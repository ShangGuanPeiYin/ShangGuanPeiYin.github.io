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aruhi\Desktop\计算器\"/>
    </mc:Choice>
  </mc:AlternateContent>
  <bookViews>
    <workbookView windowWidth="27945" windowHeight="12375" activeTab="4"/>
  </bookViews>
  <sheets>
    <sheet name="期望" sheetId="1" r:id="rId1"/>
    <sheet name="RD" sheetId="6"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<sst xmlns="http://schemas.openxmlformats.org/spreadsheetml/2006/main" count="5795" uniqueCount="249">
  <si>
    <t>最小攻击</t>
  </si>
  <si>
    <t>最大攻击</t>
  </si>
  <si>
    <t>穿透</t>
  </si>
  <si>
    <t>伤害加成</t>
  </si>
  <si>
    <t>武学属性</t>
  </si>
  <si>
    <t>破竹</t>
  </si>
  <si>
    <t>怪物属性</t>
  </si>
  <si>
    <t>真气比列</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</si>
  <si>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</si>
  <si>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</si>
  <si>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</si>
  <si>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</si>
  <si>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</si>
  <si>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</si>
  <si>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</si>
  <si>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</si>
  <si>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</si>
  <si>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</si>
  <si>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</si>
  <si>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</si>
  <si>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</si>
  <si>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</si>
  <si>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</si>
  <si>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</si>
  <si>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</si>
  <si>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</si>
  <si>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</si>
  <si>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</si>
  <si>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</si>
  <si>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</si>
  <si>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</si>
  <si>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</si>
  <si>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</si>
  <si>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</si>
  <si>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</si>
  <si>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</si>
  <si>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</si>
  <si>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</si>
  <si>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</si>
  <si>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</si>
  <si>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</si>
  <si>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</si>
  <si>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</si>
  <si>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</si>
  <si>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</si>
  <si>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</si>
  <si>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</si>
  <si>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</si>
  <si>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</si>
  <si>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</si>
  <si>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</si>
  <si>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</si>
  <si>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</si>
  <si>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</si>
  <si>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</si>
  <si>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</si>
  <si>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</si>
  <si>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</si>
  <si>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</si>
  <si>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</si>
  <si>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</si>
  <si>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</si>
  <si>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</si>
  <si>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</si>
  <si>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</si>
  <si>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</si>
  <si>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</si>
  <si>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外功</t>
  </si>
  <si>
    <t>套装</t>
  </si>
  <si>
    <t>连星</t>
  </si>
  <si>
    <t>防御</t>
  </si>
  <si>
    <t>萧呤千浪流星</t>
  </si>
  <si>
    <t>N/a</t>
  </si>
  <si>
    <t>失魂落魄</t>
  </si>
  <si>
    <t>近战笛</t>
  </si>
  <si>
    <t>沧海帖1层</t>
  </si>
  <si>
    <t>易水歌1层</t>
  </si>
  <si>
    <t>裁云(拐)</t>
  </si>
  <si>
    <t>无惧</t>
  </si>
  <si>
    <t>鸣金</t>
  </si>
  <si>
    <t>外抗</t>
  </si>
  <si>
    <t>远程笛</t>
  </si>
  <si>
    <t>沧海帖2层</t>
  </si>
  <si>
    <t>易水歌2层</t>
  </si>
  <si>
    <t>惧刃(拐)</t>
  </si>
  <si>
    <t>扶风(拐)</t>
  </si>
  <si>
    <t>裂石</t>
  </si>
  <si>
    <t>伞</t>
  </si>
  <si>
    <t>属抗</t>
  </si>
  <si>
    <t>沧海帖3层</t>
  </si>
  <si>
    <t>易水歌3层</t>
  </si>
  <si>
    <t>烁鼓(拐)</t>
  </si>
  <si>
    <t>牵丝</t>
  </si>
  <si>
    <t>绳镖</t>
  </si>
  <si>
    <t>副本天赋</t>
  </si>
  <si>
    <t>幻鸣5层</t>
  </si>
  <si>
    <t>沧海帖4层</t>
  </si>
  <si>
    <t>易水歌4层</t>
  </si>
  <si>
    <t>单体奇术</t>
  </si>
  <si>
    <t>易水歌5层</t>
  </si>
  <si>
    <t>无相</t>
  </si>
  <si>
    <t>群体奇术</t>
  </si>
  <si>
    <t>R蓄123</t>
  </si>
  <si>
    <t>精准率</t>
  </si>
  <si>
    <t>实际属性</t>
  </si>
  <si>
    <t>战斗时间</t>
  </si>
  <si>
    <t>R蓄45</t>
  </si>
  <si>
    <t>会心率</t>
  </si>
  <si>
    <t>完美伞</t>
  </si>
  <si>
    <t>连星(8+)</t>
  </si>
  <si>
    <t>会意率</t>
  </si>
  <si>
    <t>总伤</t>
  </si>
  <si>
    <t>共鸣</t>
  </si>
  <si>
    <t>直接会心率</t>
  </si>
  <si>
    <t>幻鸣2层</t>
  </si>
  <si>
    <t>唐歌2层</t>
  </si>
  <si>
    <t>直接会意率</t>
  </si>
  <si>
    <t>ADPS</t>
  </si>
  <si>
    <t>会心伤害加成</t>
  </si>
  <si>
    <t>幻鸣4层</t>
  </si>
  <si>
    <t>唐歌4层</t>
  </si>
  <si>
    <t>会意伤害加成</t>
  </si>
  <si>
    <t>RDPS</t>
  </si>
  <si>
    <t>全武增</t>
  </si>
  <si>
    <t>团队增益</t>
  </si>
  <si>
    <t>完美伞(芳歌)</t>
  </si>
  <si>
    <t>唐歌5层</t>
  </si>
  <si>
    <t>首领增</t>
  </si>
  <si>
    <t>威</t>
  </si>
  <si>
    <t>√</t>
  </si>
  <si>
    <t>沧海帖</t>
  </si>
  <si>
    <t>毕业率</t>
  </si>
  <si>
    <t>共鸣(芳歌)</t>
  </si>
  <si>
    <t>伞增</t>
  </si>
  <si>
    <t>所恨年年</t>
  </si>
  <si>
    <t>绳镖增</t>
  </si>
  <si>
    <t>虹</t>
  </si>
  <si>
    <t>机制时间</t>
  </si>
  <si>
    <t>单体奇术增</t>
  </si>
  <si>
    <t>钧</t>
  </si>
  <si>
    <t>群体奇术增</t>
  </si>
  <si>
    <t>影</t>
  </si>
  <si>
    <t>真气比例</t>
  </si>
  <si>
    <t>回旋伞定音</t>
  </si>
  <si>
    <t>翊</t>
  </si>
  <si>
    <t>×</t>
  </si>
  <si>
    <t>第三心法</t>
  </si>
  <si>
    <t>固伤加成</t>
  </si>
  <si>
    <t>大唐歌</t>
  </si>
  <si>
    <t>食物加成</t>
  </si>
  <si>
    <t>第四心法</t>
  </si>
  <si>
    <t>易水歌</t>
  </si>
  <si>
    <t>沧海帖5层</t>
  </si>
  <si>
    <t>笛</t>
  </si>
  <si>
    <t>前置</t>
  </si>
  <si>
    <t>蓄力</t>
  </si>
  <si>
    <t>rr5</t>
  </si>
  <si>
    <t>惧</t>
  </si>
  <si>
    <t>闪避切武</t>
  </si>
  <si>
    <t>伞R蓄</t>
  </si>
  <si>
    <t>沧海帖6层</t>
  </si>
  <si>
    <t>Q</t>
  </si>
  <si>
    <t>共鸣(R蓄)</t>
  </si>
  <si>
    <t>鼓</t>
  </si>
  <si>
    <t>加速Q</t>
  </si>
  <si>
    <t>沧海帖7层</t>
  </si>
  <si>
    <t>指响</t>
  </si>
  <si>
    <t>结算</t>
  </si>
  <si>
    <t>沧海帖8层</t>
  </si>
  <si>
    <t>沧海帖9层</t>
  </si>
  <si>
    <t>R</t>
  </si>
  <si>
    <t>切武器</t>
  </si>
  <si>
    <t>沧海帖10层</t>
  </si>
  <si>
    <t>等待</t>
  </si>
  <si>
    <t>机制</t>
  </si>
  <si>
    <t>萧呤千浪AOE</t>
  </si>
  <si>
    <t>气竭</t>
  </si>
  <si>
    <t>真气失衡</t>
  </si>
  <si>
    <t>断石5层</t>
  </si>
  <si>
    <t>气</t>
  </si>
  <si>
    <t>药叉</t>
  </si>
  <si>
    <t>Q2</t>
  </si>
  <si>
    <t>骑龙回马</t>
  </si>
  <si>
    <t>骑龙</t>
  </si>
  <si>
    <t>射箭</t>
  </si>
  <si>
    <t>衍九矢9hit</t>
  </si>
  <si>
    <t>易水歌6重</t>
  </si>
  <si>
    <t>DPS</t>
  </si>
  <si>
    <t>最小外功</t>
  </si>
  <si>
    <t>最大外功</t>
  </si>
  <si>
    <t>外功加成</t>
  </si>
  <si>
    <t>外功穿透</t>
  </si>
  <si>
    <t>外攻伤害加成</t>
  </si>
  <si>
    <t>属性攻击加成</t>
  </si>
  <si>
    <t>会心伤害</t>
  </si>
  <si>
    <t>会意伤害</t>
  </si>
  <si>
    <t>强制精准</t>
  </si>
  <si>
    <t>强制会心</t>
  </si>
  <si>
    <t>强制会意</t>
  </si>
  <si>
    <t>定音加成</t>
  </si>
  <si>
    <t>回旋伞</t>
  </si>
  <si>
    <t>绳Q</t>
  </si>
  <si>
    <t>R蓄67</t>
  </si>
  <si>
    <t>心法</t>
  </si>
  <si>
    <t>叶龙骧首(32层+70%HP)</t>
  </si>
  <si>
    <t>墨洗翰华(打盾)</t>
  </si>
  <si>
    <t>神龙吐火暗灼1hit</t>
  </si>
  <si>
    <t>神龙吐火暗灼2hit</t>
  </si>
  <si>
    <t>神龙吐火暗灼dot</t>
  </si>
  <si>
    <t>神龙吐火1hit</t>
  </si>
  <si>
    <t>神龙吐火2hit</t>
  </si>
  <si>
    <t>神龙吐火dot</t>
  </si>
  <si>
    <t>太白醉月1-4</t>
  </si>
  <si>
    <t>太白醉月5</t>
  </si>
  <si>
    <t>太白醉月爆燃</t>
  </si>
  <si>
    <t>太白醉月暗灼</t>
  </si>
  <si>
    <t>衍九矢9hit一段</t>
  </si>
  <si>
    <t>惊神(拐)</t>
  </si>
  <si>
    <t>惊神5(拐)</t>
  </si>
  <si>
    <t>特殊技减防</t>
  </si>
  <si>
    <t>连星(4-)</t>
  </si>
  <si>
    <t>版本号</t>
  </si>
  <si>
    <t>编号</t>
  </si>
  <si>
    <t>描述</t>
  </si>
  <si>
    <t>BiliBili@片雲</t>
  </si>
  <si>
    <t>重构了计算器Pro版本,因为有xlookup函数,建议用WPS打开.</t>
  </si>
  <si>
    <t>如有问题⬆</t>
  </si>
  <si>
    <t>数据更新至6月12日先琢版本,所恨大唐</t>
  </si>
  <si>
    <t>可能有小bug,但不会差很多</t>
  </si>
  <si>
    <t>增加了一个隐藏表来计算实际rdps,以减少需要去掉团队增益的操作步骤</t>
  </si>
  <si>
    <t>修正了没有移除易水歌特效的bug</t>
  </si>
  <si>
    <t>修正bug</t>
  </si>
  <si>
    <t>调整了属性</t>
  </si>
  <si>
    <t>将所恨年年从尘增益区划入公共增益区以观测实际RD</t>
  </si>
  <si>
    <t>默认以易水歌作为心法选择</t>
  </si>
  <si>
    <t>增加了走机制时间和大约损失的伤害</t>
  </si>
  <si>
    <t>更新6月18日先琢改动,缩轴替换瞬发R,+1.8%</t>
  </si>
  <si>
    <t>修正了rd加成</t>
  </si>
  <si>
    <t>更新蕤宾叠奏上半数值,将铁花替换成了无惧</t>
  </si>
  <si>
    <r>
      <rPr>
        <sz val="11"/>
        <color theme="1"/>
        <rFont val="宋体"/>
        <charset val="134"/>
        <scheme val="minor"/>
      </rPr>
      <t>轴变更为拏云蛇慢气轴,心法变更为断石之构(</t>
    </r>
    <r>
      <rPr>
        <strike/>
        <sz val="11"/>
        <color theme="1"/>
        <rFont val="宋体"/>
        <charset val="134"/>
        <scheme val="minor"/>
      </rPr>
      <t>大唐歌最严厉的父亲</t>
    </r>
    <r>
      <rPr>
        <sz val="11"/>
        <color theme="1"/>
        <rFont val="宋体"/>
        <charset val="134"/>
        <scheme val="minor"/>
      </rPr>
      <t>),+1.5%</t>
    </r>
  </si>
  <si>
    <t>保证在第三轮的第三或第四伞进气竭,这样后面才能无损</t>
  </si>
  <si>
    <t>气竭太慢就增加第一轮伞数量至多延后8秒(45秒气竭)</t>
  </si>
  <si>
    <t>二气不要强对气竭,这样会压不掉机制</t>
  </si>
  <si>
    <t>前期装备差对不上气竭的情况,伤害会掉3%左右,表可以理解为上限</t>
  </si>
  <si>
    <t>只要带了断石,打气能力只比鸣金影高10%,打不进气选择大唐歌</t>
  </si>
  <si>
    <t>增加了影的rd计算,队友dps统一调整为11万</t>
  </si>
  <si>
    <t>更新8/2先琢测试内容,+1.8%,真气比例从91%增加到99%.</t>
  </si>
  <si>
    <t>更新蕤宾叠奏下半数值,更新虎孟极快气轴</t>
  </si>
  <si>
    <t>根据排轴修正rd</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</si>
</sst>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trike/>
      <sz val="11"/>
      <color theme="1"/>
      <name val="宋体"/>
      <charset val="134"/>
      <scheme val="minor"/>
    </font>
  </fonts>
  <fills count="38">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7" borderId="14">
      <alignment vertical="center"/>
    </xf>
    <xf numFmtId="0" fontId="3" fillId="0" borderId="0">
      <alignment vertical="center"/>
    </xf>
    <xf numFmtId="0" fontId="4" fillId="0" borderId="0">
      <alignment vertical="center"/>
    </xf>
    <xf numFmtId="0" fontId="5" fillId="0" borderId="0">
      <alignment vertical="center"/>
    </xf>
    <xf numFmtId="0" fontId="6" fillId="0" borderId="15">
      <alignment vertical="center"/>
    </xf>
    <xf numFmtId="0" fontId="7" fillId="0" borderId="15">
      <alignment vertical="center"/>
    </xf>
    <xf numFmtId="0" fontId="8" fillId="0" borderId="16">
      <alignment vertical="center"/>
    </xf>
    <xf numFmtId="0" fontId="8" fillId="0" borderId="0">
      <alignment vertical="center"/>
    </xf>
    <xf numFmtId="0" fontId="9" fillId="8" borderId="17">
      <alignment vertical="center"/>
    </xf>
    <xf numFmtId="0" fontId="10" fillId="9" borderId="18">
      <alignment vertical="center"/>
    </xf>
    <xf numFmtId="0" fontId="11" fillId="9" borderId="17">
      <alignment vertical="center"/>
    </xf>
    <xf numFmtId="0" fontId="12" fillId="10" borderId="19">
      <alignment vertical="center"/>
    </xf>
    <xf numFmtId="0" fontId="13" fillId="0" borderId="20">
      <alignment vertical="center"/>
    </xf>
    <xf numFmtId="0" fontId="14" fillId="0" borderId="21">
      <alignment vertical="center"/>
    </xf>
    <xf numFmtId="0" fontId="15" fillId="11" borderId="0">
      <alignment vertical="center"/>
    </xf>
    <xf numFmtId="0" fontId="16" fillId="12" borderId="0">
      <alignment vertical="center"/>
    </xf>
    <xf numFmtId="0" fontId="17" fillId="13" borderId="0">
      <alignment vertical="center"/>
    </xf>
    <xf numFmtId="0" fontId="18" fillId="14" borderId="0">
      <alignment vertical="center"/>
    </xf>
    <xf numFmtId="0" fontId="19" fillId="15" borderId="0">
      <alignment vertical="center"/>
    </xf>
    <xf numFmtId="0" fontId="19" fillId="16" borderId="0">
      <alignment vertical="center"/>
    </xf>
    <xf numFmtId="0" fontId="18" fillId="17" borderId="0">
      <alignment vertical="center"/>
    </xf>
    <xf numFmtId="0" fontId="18" fillId="18" borderId="0">
      <alignment vertical="center"/>
    </xf>
    <xf numFmtId="0" fontId="19" fillId="19" borderId="0">
      <alignment vertical="center"/>
    </xf>
    <xf numFmtId="0" fontId="19" fillId="20" borderId="0">
      <alignment vertical="center"/>
    </xf>
    <xf numFmtId="0" fontId="18" fillId="21" borderId="0">
      <alignment vertical="center"/>
    </xf>
    <xf numFmtId="0" fontId="18" fillId="22" borderId="0">
      <alignment vertical="center"/>
    </xf>
    <xf numFmtId="0" fontId="19" fillId="23" borderId="0">
      <alignment vertical="center"/>
    </xf>
    <xf numFmtId="0" fontId="19" fillId="24" borderId="0">
      <alignment vertical="center"/>
    </xf>
    <xf numFmtId="0" fontId="18" fillId="25" borderId="0">
      <alignment vertical="center"/>
    </xf>
    <xf numFmtId="0" fontId="18" fillId="26" borderId="0">
      <alignment vertical="center"/>
    </xf>
    <xf numFmtId="0" fontId="19" fillId="27" borderId="0">
      <alignment vertical="center"/>
    </xf>
    <xf numFmtId="0" fontId="19" fillId="28" borderId="0">
      <alignment vertical="center"/>
    </xf>
    <xf numFmtId="0" fontId="18" fillId="29" borderId="0">
      <alignment vertical="center"/>
    </xf>
    <xf numFmtId="0" fontId="18" fillId="30" borderId="0">
      <alignment vertical="center"/>
    </xf>
    <xf numFmtId="0" fontId="19" fillId="31" borderId="0">
      <alignment vertical="center"/>
    </xf>
    <xf numFmtId="0" fontId="19" fillId="32" borderId="0">
      <alignment vertical="center"/>
    </xf>
    <xf numFmtId="0" fontId="18" fillId="33" borderId="0">
      <alignment vertical="center"/>
    </xf>
    <xf numFmtId="0" fontId="18" fillId="34" borderId="0">
      <alignment vertical="center"/>
    </xf>
    <xf numFmtId="0" fontId="19" fillId="35" borderId="0">
      <alignment vertical="center"/>
    </xf>
    <xf numFmtId="0" fontId="19" fillId="36" borderId="0">
      <alignment vertical="center"/>
    </xf>
    <xf numFmtId="0" fontId="18" fillId="37" borderId="0">
      <alignment vertical="center"/>
    </xf>
  </cellStyleXfs>
  <cellXfs count="95">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176" fontId="0" fillId="0" borderId="6" xfId="0" applyNumberFormat="1" applyFont="1" applyBorder="1" applyAlignment="1">
      <alignment horizontal="center" vertical="center"/>
    </xf>
    <xf numFmtId="0" fontId="0" fillId="0" borderId="7" xfId="0" applyNumberFormat="1" applyFont="1" applyBorder="1" applyAlignment="1">
      <alignment vertical="center"/>
    </xf>
    <xf numFmtId="0" fontId="0" fillId="0" borderId="8" xfId="0" applyBorder="1" applyAlignment="1">
      <alignment vertical="center"/>
    </xf>
    <xf numFmtId="176" fontId="0" fillId="0" borderId="9" xfId="0" applyNumberFormat="1" applyFon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176" fontId="0" fillId="0" borderId="1" xfId="0" applyNumberFormat="1" applyBorder="1" applyAlignment="1">
      <alignment horizontal="center" vertical="center"/>
    </xf>
    <xf numFmtId="0" fontId="0" fillId="0" borderId="2" xfId="0" applyBorder="1" applyAlignment="1">
      <alignment vertical="center"/>
    </xf>
    <xf numFmtId="176" fontId="0" fillId="0" borderId="4" xfId="0" applyNumberFormat="1" applyBorder="1" applyAlignment="1">
      <alignment horizontal="center" vertical="center"/>
    </xf>
    <xf numFmtId="0" fontId="0" fillId="0" borderId="0" xfId="0" applyBorder="1" applyAlignment="1">
      <alignment vertical="center"/>
    </xf>
    <xf numFmtId="176" fontId="0" fillId="0" borderId="6" xfId="0" applyNumberFormat="1" applyBorder="1" applyAlignment="1">
      <alignment horizontal="center" vertical="center"/>
    </xf>
    <xf numFmtId="0" fontId="0" fillId="0" borderId="7" xfId="0" applyBorder="1" applyAlignment="1">
      <alignment vertical="center"/>
    </xf>
    <xf numFmtId="176" fontId="0" fillId="0" borderId="9" xfId="0" applyNumberFormat="1" applyBorder="1" applyAlignment="1">
      <alignment horizontal="center" vertical="center"/>
    </xf>
    <xf numFmtId="0" fontId="0" fillId="0" borderId="3" xfId="0" applyFon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2" fontId="0" fillId="0" borderId="0" xfId="0" applyNumberFormat="1">
      <alignment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7"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12" xfId="0" applyBorder="1" applyAlignment="1">
      <alignment horizontal="center" vertical="center"/>
    </xf>
    <xf numFmtId="176" fontId="0" fillId="0" borderId="3" xfId="0" applyNumberFormat="1" applyBorder="1" applyAlignment="1">
      <alignment horizontal="center" vertical="center"/>
    </xf>
    <xf numFmtId="10" fontId="0" fillId="2" borderId="5" xfId="0" applyNumberFormat="1" applyFill="1" applyBorder="1" applyAlignment="1">
      <alignment vertical="center"/>
    </xf>
    <xf numFmtId="0" fontId="0" fillId="0" borderId="13" xfId="0" applyBorder="1" applyAlignment="1">
      <alignment horizontal="center" vertical="center"/>
    </xf>
    <xf numFmtId="176" fontId="0" fillId="0" borderId="8" xfId="0" applyNumberFormat="1" applyBorder="1" applyAlignment="1">
      <alignment horizontal="center"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2" borderId="6" xfId="0" applyFill="1" applyBorder="1" applyAlignment="1">
      <alignment vertical="center"/>
    </xf>
    <xf numFmtId="10" fontId="0" fillId="2" borderId="8" xfId="0" applyNumberFormat="1" applyFill="1" applyBorder="1" applyAlignment="1">
      <alignment vertical="center"/>
    </xf>
    <xf numFmtId="1" fontId="0" fillId="0" borderId="0" xfId="0" applyNumberFormat="1" applyAlignment="1">
      <alignment vertical="center"/>
    </xf>
    <xf numFmtId="0" fontId="0" fillId="0" borderId="0" xfId="0" applyFill="1">
      <alignment vertical="center"/>
    </xf>
    <xf numFmtId="2" fontId="0" fillId="5" borderId="0" xfId="0" applyNumberFormat="1" applyFill="1" applyAlignment="1">
      <alignment horizontal="center" vertical="center"/>
    </xf>
    <xf numFmtId="177" fontId="0" fillId="0" borderId="5" xfId="0" applyNumberFormat="1" applyBorder="1" applyAlignment="1">
      <alignment vertical="center"/>
    </xf>
    <xf numFmtId="177" fontId="0" fillId="0" borderId="7" xfId="0" applyNumberFormat="1" applyBorder="1" applyAlignment="1">
      <alignment vertical="center"/>
    </xf>
    <xf numFmtId="0" fontId="0" fillId="0" borderId="8" xfId="0" applyBorder="1" applyAlignment="1">
      <alignment horizontal="center" vertical="center"/>
    </xf>
    <xf numFmtId="177" fontId="0" fillId="2" borderId="8" xfId="0" applyNumberFormat="1" applyFill="1" applyBorder="1" applyAlignment="1">
      <alignment vertical="center"/>
    </xf>
    <xf numFmtId="0" fontId="0" fillId="0" borderId="0" xfId="0" applyFill="1" applyAlignment="1">
      <alignment horizontal="center" vertical="center"/>
    </xf>
    <xf numFmtId="0" fontId="0" fillId="0" borderId="0" xfId="0"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164"/>
  <sheetViews>
    <sheetView workbookViewId="0">
      <selection activeCell="J27" sqref="J27"/>
    </sheetView>
  </sheetViews>
  <sheetFormatPr defaultColWidth="9" defaultRowHeight="13.5"/>
  <cols>
    <col min="1" max="1" width="12.875" customWidth="1"/>
    <col min="4" max="4" width="9.375"/>
    <col min="11" max="11" width="12.625"/>
    <col min="12" max="16" width="12.625" style="27" customWidth="1"/>
    <col min="18" max="18" width="24.625" style="31" customWidth="1"/>
    <col min="19" max="33" width="9" style="31"/>
    <col min="35" max="35" width="9" style="26"/>
    <col min="36" max="36" width="9" style="27"/>
    <col min="37" max="37" width="9" style="26"/>
    <col min="38" max="38" width="9" style="27"/>
    <col min="39" max="40" width="9" style="26"/>
    <col min="43" max="45" width="9" style="32"/>
    <col min="48" max="49" width="9" style="32"/>
    <col min="62" max="66" width="9" style="26"/>
    <col min="67" max="68" width="9.00833333333333" style="26" customWidth="1"/>
    <col min="69" max="70" width="9" style="26"/>
  </cols>
  <sheetData>
    <row r="1" spans="1:70">
      <c r="A1" s="33"/>
      <c r="B1" s="34" t="s">
        <v>0</v>
      </c>
      <c r="C1" s="34" t="s">
        <v>1</v>
      </c>
      <c r="D1" s="34" t="s">
        <v>2</v>
      </c>
      <c r="E1" s="35" t="s">
        <v>3</v>
      </c>
      <c r="F1" s="36" t="s">
        <v>4</v>
      </c>
      <c r="G1" s="37" t="s">
        <v>5</v>
      </c>
      <c r="H1" s="36" t="s">
        <v>6</v>
      </c>
      <c r="I1" s="37"/>
      <c r="K1" s="38" t="s">
        <v>7</v>
      </c>
      <c r="L1" s="38" t="s">
        <v>8</v>
      </c>
      <c r="M1" s="38" t="s">
        <v>9</v>
      </c>
      <c r="N1" s="38" t="s">
        <v>10</v>
      </c>
      <c r="O1" s="38" t="s">
        <v>11</v>
      </c>
      <c r="P1" s="38" t="s">
        <v>12</v>
      </c>
      <c r="Q1" s="39" t="s">
        <v>13</v>
      </c>
      <c r="R1" s="40" t="s">
        <v>14</v>
      </c>
      <c r="S1" s="40" t="s">
        <v>15</v>
      </c>
      <c r="T1" s="40" t="s">
        <v>16</v>
      </c>
      <c r="U1" s="40" t="s">
        <v>17</v>
      </c>
      <c r="V1" s="40" t="s">
        <v>18</v>
      </c>
      <c r="W1" s="40" t="s">
        <v>19</v>
      </c>
      <c r="X1" s="40" t="s">
        <v>20</v>
      </c>
      <c r="Y1" s="40" t="s">
        <v>21</v>
      </c>
      <c r="Z1" s="40" t="s">
        <v>22</v>
      </c>
      <c r="AA1" s="40" t="s">
        <v>23</v>
      </c>
      <c r="AB1" s="40" t="s">
        <v>24</v>
      </c>
      <c r="AC1" s="40" t="s">
        <v>25</v>
      </c>
      <c r="AD1" s="40" t="s">
        <v>26</v>
      </c>
      <c r="AE1" s="40" t="s">
        <v>27</v>
      </c>
      <c r="AF1" s="40" t="s">
        <v>28</v>
      </c>
      <c r="AG1" s="40" t="s">
        <v>29</v>
      </c>
      <c r="AH1" t="s">
        <v>30</v>
      </c>
      <c r="AI1" s="26" t="s">
        <v>31</v>
      </c>
      <c r="AJ1" s="27" t="s">
        <v>32</v>
      </c>
      <c r="AK1" s="26" t="s">
        <v>33</v>
      </c>
      <c r="AL1" s="27" t="s">
        <v>34</v>
      </c>
      <c r="AM1" s="26" t="s">
        <v>35</v>
      </c>
      <c r="AN1" s="26" t="s">
        <v>36</v>
      </c>
      <c r="AO1" t="s">
        <v>37</v>
      </c>
      <c r="AP1" t="s">
        <v>38</v>
      </c>
      <c r="AQ1" s="32" t="s">
        <v>39</v>
      </c>
      <c r="AR1" s="32" t="s">
        <v>40</v>
      </c>
      <c r="AS1" s="32" t="s">
        <v>41</v>
      </c>
      <c r="AT1" t="s">
        <v>42</v>
      </c>
      <c r="AU1" t="s">
        <v>43</v>
      </c>
      <c r="AV1" s="32" t="s">
        <v>44</v>
      </c>
      <c r="AW1" s="32" t="s">
        <v>45</v>
      </c>
      <c r="AX1" t="s">
        <v>46</v>
      </c>
      <c r="AY1" t="s">
        <v>47</v>
      </c>
      <c r="AZ1" s="32" t="s">
        <v>48</v>
      </c>
      <c r="BA1" s="32" t="s">
        <v>49</v>
      </c>
      <c r="BB1" t="s">
        <v>50</v>
      </c>
      <c r="BC1" t="s">
        <v>51</v>
      </c>
      <c r="BD1" s="32" t="s">
        <v>52</v>
      </c>
      <c r="BE1" s="32" t="s">
        <v>53</v>
      </c>
      <c r="BF1" t="s">
        <v>54</v>
      </c>
      <c r="BG1" t="s">
        <v>55</v>
      </c>
      <c r="BH1" s="32" t="s">
        <v>56</v>
      </c>
      <c r="BI1" s="32" t="s">
        <v>57</v>
      </c>
      <c r="BJ1" s="26" t="s">
        <v>58</v>
      </c>
      <c r="BK1" s="26" t="s">
        <v>59</v>
      </c>
      <c r="BL1" s="26" t="s">
        <v>60</v>
      </c>
      <c r="BM1" s="26" t="s">
        <v>61</v>
      </c>
      <c r="BN1" s="26" t="s">
        <v>62</v>
      </c>
      <c r="BO1" s="26" t="s">
        <v>63</v>
      </c>
      <c r="BP1" s="26" t="s">
        <v>64</v>
      </c>
      <c r="BQ1" s="26" t="s">
        <v>65</v>
      </c>
      <c r="BR1" s="26" t="s">
        <v>66</v>
      </c>
    </row>
    <row r="2" spans="1:70">
      <c r="A2" s="41" t="s">
        <v>67</v>
      </c>
      <c r="B2" s="31">
        <v>3982.6</v>
      </c>
      <c r="C2" s="31">
        <v>3071.9</v>
      </c>
      <c r="D2" s="31">
        <v>63.5</v>
      </c>
      <c r="E2" s="42">
        <f>2.8%+IF(E24="所恨年年",2.5%,0)</f>
        <v>0.028</v>
      </c>
      <c r="F2" s="43" t="s">
        <v>68</v>
      </c>
      <c r="G2" s="44" t="s">
        <v>69</v>
      </c>
      <c r="H2" s="45" t="s">
        <v>70</v>
      </c>
      <c r="I2" s="11">
        <f>620*(1-IF(F17="√",0.06,0)-IF(D20="√",0.04,0))</f>
        <v>558</v>
      </c>
      <c r="K2">
        <f>$L2*VLOOKUP($R2,武学奇术!$A:$ZZ,31,FALSE)</f>
        <v>26125.7947249214</v>
      </c>
      <c r="L2" s="38">
        <f>($M2*$BO2+$N2*$BM2+$O2*$BP2+$P2*$BQ2)</f>
        <v>24881.7092618299</v>
      </c>
      <c r="M2" s="38">
        <f>((($AO2+$AP2)/2*$AI2+$AJ2)*(1+$AQ2)*(1+$AR2)+(($AT2+$AU2)/2*IF($G$1="鸣金",$AK2,$AI2)+IF($G$1="鸣金",$AL2*1.5,0))*(1+$AV2)*(1+$AW2)+(($AX2+$AY2)/2*IF($G$1="裂石",$AK2,$AI2)+IF($G$1="裂石",$AL2*1.5,0))*(1+$AZ2)*(1+$BA2)+(($BB2+$BC2)/2*IF($G$1="牵丝",$AK2,$AI2)+IF($G$1="牵丝",$AL2*1.5,0))*(1+$BD2)*(1+$BE2)+(($BF2+$BG2)/2*IF($G$1="破竹",$AK2,$AI2)+IF($G$1="破竹",$AL2*1.5,0))*(1+$BH2)*(1+$BI2))*(1+$AM2)*$BL2*$Q2*(1+IF(VLOOKUP($R2,武学奇术!$A:$ZZ,30,FALSE)="回旋伞",$B$21,0))*(1+$BR2)</f>
        <v>26216.098720591</v>
      </c>
      <c r="N2" s="38">
        <f>(($AP2*$AI2+$AJ2)*(1+$AQ2)*(1+$AR2)+($AU2*IF($G$1="鸣金",$AK2,$AI2)+IF($G$1="鸣金",$AL2*1.5,0))*(1+$AV2)*(1+$AW2)+($AY2*IF($G$1="裂石",$AK2,$AI2)+IF($G$1="裂石",$AL2*1.5,0))*(1+$AZ2)*(1+$BA2)+($BC2*IF($G$1="牵丝",$AK2,$AI2)+IF($G$1="牵丝",$AL2*1.5,0))*(1+$BD2)*(1+$BE2)+($BG2*IF($G$1="破竹",$AK2,$AI2)+IF($G$1="破竹",$AL2*1.5,0))*(1+$BH2)*(1+$BI2))*(1+$AM2)*$BN2*$Q2*(1+IF(VLOOKUP($R2,武学奇术!$A:$ZZ,30,FALSE)="回旋伞",$B$21,0))*(1+$BR2)</f>
        <v>22018.0210353862</v>
      </c>
      <c r="O2" s="38">
        <f>((($AO2+$AP2)/2*$AI2+$AJ2)*(1+$AQ2)*(1+$AR2)+(($AT2+$AU2)/2*IF($G$1="鸣金",$AK2,$AI2)+IF($G$1="鸣金",$AL2*1.5,0))*(1+$AV2)*(1+$AW2)+(($AX2+$AY2)/2*IF($G$1="裂石",$AK2,$AI2)+IF($G$1="裂石",$AL2*1.5,0))*(1+$AZ2)*(1+$BA2)+(($BB2+$BC2)/2*IF($G$1="牵丝",$AK2,$AI2)+IF($G$1="牵丝",$AL2*1.5,0))*(1+$BD2)*(1+$BE2)+(($BF2+$BG2)/2*IF($G$1="破竹",$AK2,$AI2)+IF($G$1="破竹",$AL2*1.5,0))*(1+$BH2)*(1+$BI2))*(1+$AM2)*$Q2*(1+IF(VLOOKUP($R2,武学奇术!$A:$ZZ,30,FALSE)="回旋伞",$B$21,0))*(1+$BR2)</f>
        <v>14404.4498464786</v>
      </c>
      <c r="P2" s="38">
        <f>((($AO2*$AI2+$AJ2)*(1+$AQ2)*(1+$AR2)+($AT2*IF($G$1="鸣金",$AK2,$AI2)+IF($G$1="鸣金",$AL2*1.5,0))*(1+$AV2)*(1+$AW2)+($AX2*IF($G$1="裂石",$AK2,$AI2)+IF($G$1="裂石",$AL2*1.5,0))*(1+$AZ2)*(1+$BA2)+($BB2*IF($G$1="牵丝",$AK2,$AI2)+IF($G$1="牵丝",$AL2*1.5,0))*(1+$BD2)*(1+$BE2)+($BF2*IF($G$1="破竹",$AK2,$AI2)+IF($G$1="破竹",$AL2*1.5,0))*(1+$BH2)*(1+$BI2))*(1+$AM2))*$Q2*(1+IF(VLOOKUP($R2,武学奇术!$A:$ZZ,30,FALSE)="回旋伞",$B$21,0))*(1+$BR2)</f>
        <v>12499.25448156</v>
      </c>
      <c r="Q2" s="39">
        <v>1</v>
      </c>
      <c r="R2" s="40" t="s">
        <v>71</v>
      </c>
      <c r="S2" s="40" t="s">
        <v>72</v>
      </c>
      <c r="T2" s="40" t="s">
        <v>72</v>
      </c>
      <c r="U2" s="40" t="s">
        <v>73</v>
      </c>
      <c r="V2" s="40" t="s">
        <v>74</v>
      </c>
      <c r="W2" s="40" t="s">
        <v>75</v>
      </c>
      <c r="X2" s="40" t="s">
        <v>76</v>
      </c>
      <c r="Y2" s="40" t="s">
        <v>72</v>
      </c>
      <c r="Z2" s="40" t="s">
        <v>72</v>
      </c>
      <c r="AA2" s="40" t="s">
        <v>72</v>
      </c>
      <c r="AB2" s="40" t="s">
        <v>72</v>
      </c>
      <c r="AC2" s="40" t="s">
        <v>72</v>
      </c>
      <c r="AD2" s="40" t="s">
        <v>72</v>
      </c>
      <c r="AE2" s="40" t="s">
        <v>72</v>
      </c>
      <c r="AF2" s="40" t="s">
        <v>77</v>
      </c>
      <c r="AG2" s="40" t="s">
        <v>78</v>
      </c>
      <c r="AH2" t="str">
        <f>VLOOKUP($R2,武学奇术!$A:$ZZ,25,FALSE)</f>
        <v>群体奇术</v>
      </c>
      <c r="AI2" s="26">
        <f>VLOOKUP($R2,武学奇术!$A:$ZZ,26,FALSE)</f>
        <v>1.4904</v>
      </c>
      <c r="AJ2" s="27">
        <f>VLOOKUP($R2,武学奇术!$A:$ZZ,27,FALSE)*(1+IF(OR($AH2=$F$4,$AH2=$F$5),$B$22,0))</f>
        <v>378</v>
      </c>
      <c r="AK2" s="26">
        <f>VLOOKUP($R2,武学奇术!$A:$ZZ,28,FALSE)</f>
        <v>2.2356</v>
      </c>
      <c r="AL2" s="27">
        <f>VLOOKUP($R2,武学奇术!$A:$ZZ,29,FALSE)*(1+IF(OR($AH2=$F$4,$AH2=$F$5),$B$22,0))</f>
        <v>0</v>
      </c>
      <c r="AM2" s="26" cm="1">
        <f t="array" ref="AM2">$G$3+IFERROR(VLOOKUP($AH2,$F$4:$G$7,2,FALSE),0)+VLOOKUP($R2,武学奇术!$A:$ZZ,2,FALSE)+SUM(_xlfn.XLOOKUP($S2:$AG2,增益!$A:$A,增益!$B:$B,0))</f>
        <v>0.2637</v>
      </c>
      <c r="AN2" s="26" cm="1">
        <f t="array" ref="AN2">VLOOKUP($R2,武学奇术!$A:$ZZ,5,FALSE)+SUM(_xlfn.XLOOKUP($S2:$AG2,增益!$A:$A,增益!$E:$E,0))</f>
        <v>0</v>
      </c>
      <c r="AO2" cm="1">
        <f t="array" ref="AO2">$D$10*(1+$AN2)+VLOOKUP($R2,武学奇术!$A:$ZZ,3,FALSE)+SUM(_xlfn.XLOOKUP($S2:$AG2,增益!$A:$A,增益!$C:$C,0))-$I$2</f>
        <v>3624.6</v>
      </c>
      <c r="AP2" cm="1">
        <f t="array" ref="AP2">$E$10*(1+$AN2)+VLOOKUP($R2,武学奇术!$A:$ZZ,4,FALSE)+SUM(_xlfn.XLOOKUP($S2:$AG2,增益!$A:$A,增益!$D:$D,0))-$I$2</f>
        <v>3624.6</v>
      </c>
      <c r="AQ2" s="32" cm="1">
        <f t="array" ref="AQ2">IF($F$10-$I$3+VLOOKUP($R2,武学奇术!$A:$ZZ,6,FALSE)+SUM(_xlfn.XLOOKUP(S2:AG2,增益!$A:$A,增益!$F:$F,0))&gt;0,($F$10-$I$3+VLOOKUP($R2,武学奇术!$A:$ZZ,6,FALSE)+SUM(_xlfn.XLOOKUP(S2:AG2,增益!$A:$A,增益!$F:$F,0)))/200,($F$10-$I$3+VLOOKUP($R2,武学奇术!$A:$ZZ,6,FALSE)+SUM(_xlfn.XLOOKUP(S2:AG2,增益!$A:$A,增益!$F:$F,0)))/100)</f>
        <v>0.2525</v>
      </c>
      <c r="AR2" s="32" cm="1">
        <f t="array" ref="AR2">$G$10+VLOOKUP($R2,武学奇术!$A:$ZZ,7,FALSE)+SUM(_xlfn.XLOOKUP(S2:AG2,增益!$A:$A,增益!$G:$G,0))</f>
        <v>0.028</v>
      </c>
      <c r="AS2" s="26" cm="1">
        <f t="array" ref="AS2">VLOOKUP($R2,武学奇术!$A:$ZZ,8,FALSE)+SUM(_xlfn.XLOOKUP(S2:AG2,增益!$A:$A,增益!$H:$H,0))</f>
        <v>0</v>
      </c>
      <c r="AT2">
        <f>$D$11*(1+$AS2)</f>
        <v>0</v>
      </c>
      <c r="AU2">
        <f>$E$11*(1+$AS2)</f>
        <v>0</v>
      </c>
      <c r="AV2" s="32" cm="1">
        <f t="array" ref="AV2">IF($F$11-$I$4+VLOOKUP($R2,武学奇术!$A:$ZZ,9,FALSE)+SUM(_xlfn.XLOOKUP(S2:AG2,增益!$A:$A,增益!$I:$I,0))&gt;0,($F$11-$I$4+VLOOKUP($R2,武学奇术!$A:$ZZ,9,FALSE)+SUM(_xlfn.XLOOKUP(S2:AG2,增益!$A:$A,增益!$I:$I,0)))/200,($F$11-$I$4+VLOOKUP($R2,武学奇术!$A:$ZZ,9,FALSE)+SUM(_xlfn.XLOOKUP(S2:AG2,增益!$A:$A,增益!$I:$I,0)))/100)</f>
        <v>-0.3</v>
      </c>
      <c r="AW2" s="32" cm="1">
        <f t="array" ref="AW2">$G$11+VLOOKUP($R2,武学奇术!$A:$ZZ,10,FALSE)+SUM(_xlfn.XLOOKUP(S2:AG2,增益!$A:$A,增益!$J:$J,0))</f>
        <v>0</v>
      </c>
      <c r="AX2">
        <f>$D$12*(1+$AS2)</f>
        <v>0</v>
      </c>
      <c r="AY2">
        <f>$E$12*(1+$AS2)</f>
        <v>0</v>
      </c>
      <c r="AZ2" s="32" cm="1">
        <f t="array" ref="AZ2">IF($F$12-$I$4+VLOOKUP($R2,武学奇术!$A:$ZZ,11,FALSE)+SUM(_xlfn.XLOOKUP(S2:AG2,增益!$A:$A,增益!$K:$K,0))&gt;0,($F$12-$I$4+VLOOKUP($R2,武学奇术!$A:$ZZ,11,FALSE)+SUM(_xlfn.XLOOKUP(S2:AG2,增益!$A:$A,增益!$K:$K,0)))/200,($F$12-$I$4+VLOOKUP($R2,武学奇术!$A:$ZZ,11,FALSE)+SUM(_xlfn.XLOOKUP(S2:AG2,增益!$A:$A,增益!$K:$K,0)))/100)</f>
        <v>-0.3</v>
      </c>
      <c r="BA2" s="32" cm="1">
        <f t="array" ref="BA2">$G$12+VLOOKUP($R2,武学奇术!$A:$ZZ,12,FALSE)+SUM(_xlfn.XLOOKUP(S2:AG2,增益!$A:$A,增益!$L:$L,0))</f>
        <v>0</v>
      </c>
      <c r="BB2">
        <f>$D$13*(1+$AS2)</f>
        <v>0</v>
      </c>
      <c r="BC2">
        <f>$E$13*(1+$AS2)</f>
        <v>0</v>
      </c>
      <c r="BD2" s="32" cm="1">
        <f t="array" ref="BD2">IF($F$13-$I$4+VLOOKUP($R2,武学奇术!$A:$ZZ,13,FALSE)+SUM(_xlfn.XLOOKUP(S2:AG2,增益!$A:$A,增益!$M:$M,0))&gt;0,($F$13-$I$4+VLOOKUP($R2,武学奇术!$A:$ZZ,13,FALSE)+SUM(_xlfn.XLOOKUP(S2:AG2,增益!$A:$A,增益!$K:$K,0)))/200,($F$13-$I$4+VLOOKUP($R2,武学奇术!$A:$ZZ,13,FALSE)+SUM(_xlfn.XLOOKUP(S2:AG2,增益!$A:$A,增益!$M:$M,0)))/100)</f>
        <v>-0.3</v>
      </c>
      <c r="BE2" s="32" cm="1">
        <f t="array" ref="BE2">$G$13+VLOOKUP($R2,武学奇术!$A:$ZZ,14,FALSE)+SUM(_xlfn.XLOOKUP(S2:AG2,增益!$A:$A,增益!$N:$N,0))</f>
        <v>0</v>
      </c>
      <c r="BF2">
        <f>$D$14*(1+$AS2)</f>
        <v>571.2</v>
      </c>
      <c r="BG2">
        <f>$E$14*(1+$AS2)</f>
        <v>1627.8</v>
      </c>
      <c r="BH2" s="32" cm="1">
        <f t="array" ref="BH2">IF($F$14-$I$4+VLOOKUP($R2,武学奇术!$A:$ZZ,15,FALSE)+SUM(_xlfn.XLOOKUP(S2:AG2,增益!$A:$A,增益!$O:$O,0))&gt;0,($F$14-$I$4+VLOOKUP($R2,武学奇术!$A:$ZZ,15,FALSE)+SUM(_xlfn.XLOOKUP(S2:AG2,增益!$A:$A,增益!$O:$O,0)))/200,($F$14-$I$4+VLOOKUP($R2,武学奇术!$A:$ZZ,15,FALSE)+SUM(_xlfn.XLOOKUP(S2:AG2,增益!$A:$A,增益!$O:$O,0)))/100)</f>
        <v>0</v>
      </c>
      <c r="BI2" s="32" cm="1">
        <f t="array" ref="BI2">$G$14+VLOOKUP($R2,武学奇术!$A:$ZZ,16,FALSE)+SUM(_xlfn.XLOOKUP(S2:AG2,增益!$A:$A,增益!$P:$P,0))</f>
        <v>0.15</v>
      </c>
      <c r="BJ2" s="26">
        <f>MIN(IF(VLOOKUP($R2,武学奇术!$A:$ZZ,23,FALSE)=1,100%,$B$8),100%)</f>
        <v>0.981</v>
      </c>
      <c r="BK2" s="26" cm="1">
        <f t="array" ref="BK2">IF(VLOOKUP($R2,武学奇术!$A:$ZZ,23,FALSE)=1,100%,MIN(80%,$B$9+VLOOKUP($R2,武学奇术!$A:$ZZ,17,FALSE)+SUM(_xlfn.XLOOKUP(S2:AG2,增益!$A:$A,增益!$Q:$Q,0)))+$B$11+SUM(_xlfn.XLOOKUP(S2:AG2,增益!$A:$A,增益!$U:$U,0)))*IF(VLOOKUP($R2,武学奇术!$A:$ZZ,24,FALSE)=1,0,1)</f>
        <v>0.846</v>
      </c>
      <c r="BL2" s="26" cm="1">
        <f t="array" ref="BL2">1+$B$13+VLOOKUP($R2,武学奇术!$A:$ZZ,18,FALSE)+SUM(_xlfn.XLOOKUP(S2:AG2,增益!$A:$A,增益!$R:$R,0))</f>
        <v>1.82</v>
      </c>
      <c r="BM2" s="26" cm="1">
        <f t="array" ref="BM2">IF(VLOOKUP($R2,武学奇术!$A:$ZZ,24,FALSE)=1,100%,MIN(40%,$B$10+VLOOKUP($R2,武学奇术!$A:$ZZ,19,FALSE)+SUM(_xlfn.XLOOKUP(S2:AG2,增益!$A:$A,增益!$S:$S,0)))+$B$12+SUM(_xlfn.XLOOKUP(S2:AG2,增益!$A:$A,增益!$V:$V,0)))*IF(VLOOKUP($R2,武学奇术!$A:$ZZ,23,FALSE)=1,0,1)</f>
        <v>0.0929</v>
      </c>
      <c r="BN2" s="26" cm="1">
        <f t="array" ref="BN2">1+$B$14+VLOOKUP($R2,武学奇术!$A:$ZZ,20,FALSE)+SUM(_xlfn.XLOOKUP(S2:AG2,增益!$A:$A,增益!$T:$T,0))</f>
        <v>1.35</v>
      </c>
      <c r="BO2" s="26">
        <f>MIN((1-BM2)*BJ2,BJ2*BK2)</f>
        <v>0.829926</v>
      </c>
      <c r="BP2" s="26">
        <f>1-BM2-BO2-BQ2</f>
        <v>0.0599391</v>
      </c>
      <c r="BQ2" s="26">
        <f>IF(VLOOKUP($R2,武学奇术!$A:$ZZ,22,FALSE)=1,0,(1-$BJ2))*(1-$BM2)</f>
        <v>0.0172349</v>
      </c>
      <c r="BR2" s="26" cm="1">
        <f t="array" ref="BR2">SUM(_xlfn.XLOOKUP(S2:AG2,增益!$A:$A,增益!$W:$W,0))+$I$5</f>
        <v>0.11</v>
      </c>
    </row>
    <row r="3" spans="1:70">
      <c r="A3" s="46" t="s">
        <v>79</v>
      </c>
      <c r="B3" s="47"/>
      <c r="C3" s="47"/>
      <c r="D3" s="47"/>
      <c r="E3" s="48"/>
      <c r="F3" s="45" t="s">
        <v>35</v>
      </c>
      <c r="G3" s="49">
        <f>B16+1.5%+IF($D$16="√",8%,0)+IF($E$24="征人归",8%,0)</f>
        <v>0.1837</v>
      </c>
      <c r="H3" s="45" t="s">
        <v>80</v>
      </c>
      <c r="I3" s="11">
        <f>25-IF(F17="√",10,0)</f>
        <v>15</v>
      </c>
      <c r="K3">
        <f>$L3*VLOOKUP($R3,武学奇术!$A:$ZZ,31,FALSE)</f>
        <v>31051.0005685975</v>
      </c>
      <c r="L3" s="38">
        <f>($M3*$BO3+$N3*$BM3+$O3*$BP3+$P3*$BQ3)</f>
        <v>29572.3814939024</v>
      </c>
      <c r="M3" s="38">
        <f>((($AO3+$AP3)/2*$AI3+$AJ3)*(1+$AQ3)*(1+$AR3)+(($AT3+$AU3)/2*IF($G$1="鸣金",$AK3,$AI3)+IF($G$1="鸣金",$AL3*1.5,0))*(1+$AV3)*(1+$AW3)+(($AX3+$AY3)/2*IF($G$1="裂石",$AK3,$AI3)+IF($G$1="裂石",$AL3*1.5,0))*(1+$AZ3)*(1+$BA3)+(($BB3+$BC3)/2*IF($G$1="牵丝",$AK3,$AI3)+IF($G$1="牵丝",$AL3*1.5,0))*(1+$BD3)*(1+$BE3)+(($BF3+$BG3)/2*IF($G$1="破竹",$AK3,$AI3)+IF($G$1="破竹",$AL3*1.5,0))*(1+$BH3)*(1+$BI3))*(1+$AM3)*$BL3*$Q3*(1+IF(VLOOKUP($R3,武学奇术!$A:$ZZ,30,FALSE)="回旋伞",$B$21,0))*(1+$BR3)</f>
        <v>31166.675612523</v>
      </c>
      <c r="N3" s="38">
        <f>(($AP3*$AI3+$AJ3)*(1+$AQ3)*(1+$AR3)+($AU3*IF($G$1="鸣金",$AK3,$AI3)+IF($G$1="鸣金",$AL3*1.5,0))*(1+$AV3)*(1+$AW3)+($AY3*IF($G$1="裂石",$AK3,$AI3)+IF($G$1="裂石",$AL3*1.5,0))*(1+$AZ3)*(1+$BA3)+($BC3*IF($G$1="牵丝",$AK3,$AI3)+IF($G$1="牵丝",$AL3*1.5,0))*(1+$BD3)*(1+$BE3)+($BG3*IF($G$1="破竹",$AK3,$AI3)+IF($G$1="破竹",$AL3*1.5,0))*(1+$BH3)*(1+$BI3))*(1+$AM3)*$BN3*$Q3*(1+IF(VLOOKUP($R3,武学奇术!$A:$ZZ,30,FALSE)="回旋伞",$B$21,0))*(1+$BR3)</f>
        <v>26187.2291135818</v>
      </c>
      <c r="O3" s="38">
        <f>((($AO3+$AP3)/2*$AI3+$AJ3)*(1+$AQ3)*(1+$AR3)+(($AT3+$AU3)/2*IF($G$1="鸣金",$AK3,$AI3)+IF($G$1="鸣金",$AL3*1.5,0))*(1+$AV3)*(1+$AW3)+(($AX3+$AY3)/2*IF($G$1="裂石",$AK3,$AI3)+IF($G$1="裂石",$AL3*1.5,0))*(1+$AZ3)*(1+$BA3)+(($BB3+$BC3)/2*IF($G$1="牵丝",$AK3,$AI3)+IF($G$1="牵丝",$AL3*1.5,0))*(1+$BD3)*(1+$BE3)+(($BF3+$BG3)/2*IF($G$1="破竹",$AK3,$AI3)+IF($G$1="破竹",$AL3*1.5,0))*(1+$BH3)*(1+$BI3))*(1+$AM3)*$Q3*(1+IF(VLOOKUP($R3,武学奇术!$A:$ZZ,30,FALSE)="回旋伞",$B$21,0))*(1+$BR3)</f>
        <v>17030.9702800672</v>
      </c>
      <c r="P3" s="38">
        <f>((($AO3*$AI3+$AJ3)*(1+$AQ3)*(1+$AR3)+($AT3*IF($G$1="鸣金",$AK3,$AI3)+IF($G$1="鸣金",$AL3*1.5,0))*(1+$AV3)*(1+$AW3)+($AX3*IF($G$1="裂石",$AK3,$AI3)+IF($G$1="裂石",$AL3*1.5,0))*(1+$AZ3)*(1+$BA3)+($BB3*IF($G$1="牵丝",$AK3,$AI3)+IF($G$1="牵丝",$AL3*1.5,0))*(1+$BD3)*(1+$BE3)+($BF3*IF($G$1="破竹",$AK3,$AI3)+IF($G$1="破竹",$AL3*1.5,0))*(1+$BH3)*(1+$BI3))*(1+$AM3))*$Q3*(1+IF(VLOOKUP($R3,武学奇术!$A:$ZZ,30,FALSE)="回旋伞",$B$21,0))*(1+$BR3)</f>
        <v>14663.9930685924</v>
      </c>
      <c r="Q3" s="39">
        <v>1</v>
      </c>
      <c r="R3" s="40" t="s">
        <v>71</v>
      </c>
      <c r="S3" s="40" t="s">
        <v>72</v>
      </c>
      <c r="T3" s="40" t="s">
        <v>72</v>
      </c>
      <c r="U3" s="40" t="s">
        <v>73</v>
      </c>
      <c r="V3" s="40" t="s">
        <v>81</v>
      </c>
      <c r="W3" s="40" t="s">
        <v>82</v>
      </c>
      <c r="X3" s="40" t="s">
        <v>83</v>
      </c>
      <c r="Y3" s="40" t="s">
        <v>84</v>
      </c>
      <c r="Z3" s="40" t="s">
        <v>72</v>
      </c>
      <c r="AA3" s="40" t="s">
        <v>72</v>
      </c>
      <c r="AB3" s="40" t="s">
        <v>72</v>
      </c>
      <c r="AC3" s="40" t="s">
        <v>85</v>
      </c>
      <c r="AD3" s="40" t="s">
        <v>72</v>
      </c>
      <c r="AE3" s="40" t="s">
        <v>72</v>
      </c>
      <c r="AF3" s="40" t="s">
        <v>77</v>
      </c>
      <c r="AG3" s="40" t="s">
        <v>78</v>
      </c>
      <c r="AH3" t="str">
        <f>VLOOKUP($R3,武学奇术!$A:$ZZ,25,FALSE)</f>
        <v>群体奇术</v>
      </c>
      <c r="AI3" s="26">
        <f>VLOOKUP($R3,武学奇术!$A:$ZZ,26,FALSE)</f>
        <v>1.4904</v>
      </c>
      <c r="AJ3" s="27">
        <f>VLOOKUP($R3,武学奇术!$A:$ZZ,27,FALSE)*(1+IF(OR($AH3=$F$4,$AH3=$F$5),$B$22,0))</f>
        <v>378</v>
      </c>
      <c r="AK3" s="26">
        <f>VLOOKUP($R3,武学奇术!$A:$ZZ,28,FALSE)</f>
        <v>2.2356</v>
      </c>
      <c r="AL3" s="27">
        <f>VLOOKUP($R3,武学奇术!$A:$ZZ,29,FALSE)*(1+IF(OR($AH3=$F$4,$AH3=$F$5),$B$22,0))</f>
        <v>0</v>
      </c>
      <c r="AM3" s="26" cm="1">
        <f t="array" ref="AM3">$G$3+IFERROR(VLOOKUP($AH3,$F$4:$G$7,2,FALSE),0)+VLOOKUP($R3,武学奇术!$A:$ZZ,2,FALSE)+SUM(_xlfn.XLOOKUP($S3:$AG3,增益!$A:$A,增益!$B:$B,0))</f>
        <v>0.4537</v>
      </c>
      <c r="AN3" s="26" cm="1">
        <f t="array" ref="AN3">VLOOKUP($R3,武学奇术!$A:$ZZ,5,FALSE)+SUM(_xlfn.XLOOKUP($S3:$AG3,增益!$A:$A,增益!$E:$E,0))</f>
        <v>0</v>
      </c>
      <c r="AO3" cm="1">
        <f t="array" ref="AO3">$D$10*(1+$AN3)+VLOOKUP($R3,武学奇术!$A:$ZZ,3,FALSE)+SUM(_xlfn.XLOOKUP($S3:$AG3,增益!$A:$A,增益!$C:$C,0))-$I$2</f>
        <v>3624.6</v>
      </c>
      <c r="AP3" cm="1">
        <f t="array" ref="AP3">$E$10*(1+$AN3)+VLOOKUP($R3,武学奇术!$A:$ZZ,4,FALSE)+SUM(_xlfn.XLOOKUP($S3:$AG3,增益!$A:$A,增益!$D:$D,0))-$I$2</f>
        <v>3624.6</v>
      </c>
      <c r="AQ3" s="32" cm="1">
        <f t="array" ref="AQ3">IF($F$10-$I$3+VLOOKUP($R3,武学奇术!$A:$ZZ,6,FALSE)+SUM(_xlfn.XLOOKUP(S3:AG3,增益!$A:$A,增益!$F:$F,0))&gt;0,($F$10-$I$3+VLOOKUP($R3,武学奇术!$A:$ZZ,6,FALSE)+SUM(_xlfn.XLOOKUP(S3:AG3,增益!$A:$A,增益!$F:$F,0)))/200,($F$10-$I$3+VLOOKUP($R3,武学奇术!$A:$ZZ,6,FALSE)+SUM(_xlfn.XLOOKUP(S3:AG3,增益!$A:$A,增益!$F:$F,0)))/100)</f>
        <v>0.2625</v>
      </c>
      <c r="AR3" s="32" cm="1">
        <f t="array" ref="AR3">$G$10+VLOOKUP($R3,武学奇术!$A:$ZZ,7,FALSE)+SUM(_xlfn.XLOOKUP(S3:AG3,增益!$A:$A,增益!$G:$G,0))</f>
        <v>0.028</v>
      </c>
      <c r="AS3" s="26" cm="1">
        <f t="array" ref="AS3">VLOOKUP($R3,武学奇术!$A:$ZZ,8,FALSE)+SUM(_xlfn.XLOOKUP(S3:AG3,增益!$A:$A,增益!$H:$H,0))</f>
        <v>0</v>
      </c>
      <c r="AT3">
        <f t="shared" ref="AT3:AT43" si="0">$D$11*(1+$AS3)</f>
        <v>0</v>
      </c>
      <c r="AU3">
        <f t="shared" ref="AU3:AU43" si="1">$E$11*(1+$AS3)</f>
        <v>0</v>
      </c>
      <c r="AV3" s="32" cm="1">
        <f t="array" ref="AV3">IF($F$11-$I$4+VLOOKUP($R3,武学奇术!$A:$ZZ,9,FALSE)+SUM(_xlfn.XLOOKUP(S3:AG3,增益!$A:$A,增益!$I:$I,0))&gt;0,($F$11-$I$4+VLOOKUP($R3,武学奇术!$A:$ZZ,9,FALSE)+SUM(_xlfn.XLOOKUP(S3:AG3,增益!$A:$A,增益!$I:$I,0)))/200,($F$11-$I$4+VLOOKUP($R3,武学奇术!$A:$ZZ,9,FALSE)+SUM(_xlfn.XLOOKUP(S3:AG3,增益!$A:$A,增益!$I:$I,0)))/100)</f>
        <v>-0.14</v>
      </c>
      <c r="AW3" s="32" cm="1">
        <f t="array" ref="AW3">$G$11+VLOOKUP($R3,武学奇术!$A:$ZZ,10,FALSE)+SUM(_xlfn.XLOOKUP(S3:AG3,增益!$A:$A,增益!$J:$J,0))</f>
        <v>0</v>
      </c>
      <c r="AX3">
        <f t="shared" ref="AX3:AX43" si="2">$D$12*(1+$AS3)</f>
        <v>0</v>
      </c>
      <c r="AY3">
        <f t="shared" ref="AY3:AY43" si="3">$E$12*(1+$AS3)</f>
        <v>0</v>
      </c>
      <c r="AZ3" s="32" cm="1">
        <f t="array" ref="AZ3">IF($F$12-$I$4+VLOOKUP($R3,武学奇术!$A:$ZZ,11,FALSE)+SUM(_xlfn.XLOOKUP(S3:AG3,增益!$A:$A,增益!$K:$K,0))&gt;0,($F$12-$I$4+VLOOKUP($R3,武学奇术!$A:$ZZ,11,FALSE)+SUM(_xlfn.XLOOKUP(S3:AG3,增益!$A:$A,增益!$K:$K,0)))/200,($F$12-$I$4+VLOOKUP($R3,武学奇术!$A:$ZZ,11,FALSE)+SUM(_xlfn.XLOOKUP(S3:AG3,增益!$A:$A,增益!$K:$K,0)))/100)</f>
        <v>-0.14</v>
      </c>
      <c r="BA3" s="32" cm="1">
        <f t="array" ref="BA3">$G$12+VLOOKUP($R3,武学奇术!$A:$ZZ,12,FALSE)+SUM(_xlfn.XLOOKUP(S3:AG3,增益!$A:$A,增益!$L:$L,0))</f>
        <v>0</v>
      </c>
      <c r="BB3">
        <f t="shared" ref="BB3:BB34" si="4">$D$13*(1+$AS3)</f>
        <v>0</v>
      </c>
      <c r="BC3">
        <f t="shared" ref="BC3:BC34" si="5">$E$13*(1+$AS3)</f>
        <v>0</v>
      </c>
      <c r="BD3" s="32" cm="1">
        <f t="array" ref="BD3">IF($F$13-$I$4+VLOOKUP($R3,武学奇术!$A:$ZZ,13,FALSE)+SUM(_xlfn.XLOOKUP(S3:AG3,增益!$A:$A,增益!$M:$M,0))&gt;0,($F$13-$I$4+VLOOKUP($R3,武学奇术!$A:$ZZ,13,FALSE)+SUM(_xlfn.XLOOKUP(S3:AG3,增益!$A:$A,增益!$K:$K,0)))/200,($F$13-$I$4+VLOOKUP($R3,武学奇术!$A:$ZZ,13,FALSE)+SUM(_xlfn.XLOOKUP(S3:AG3,增益!$A:$A,增益!$M:$M,0)))/100)</f>
        <v>-0.14</v>
      </c>
      <c r="BE3" s="32" cm="1">
        <f t="array" ref="BE3">$G$13+VLOOKUP($R3,武学奇术!$A:$ZZ,14,FALSE)+SUM(_xlfn.XLOOKUP(S3:AG3,增益!$A:$A,增益!$N:$N,0))</f>
        <v>0</v>
      </c>
      <c r="BF3">
        <f t="shared" ref="BF3:BF34" si="6">$D$14*(1+$AS3)</f>
        <v>571.2</v>
      </c>
      <c r="BG3">
        <f t="shared" ref="BG3:BG34" si="7">$E$14*(1+$AS3)</f>
        <v>1627.8</v>
      </c>
      <c r="BH3" s="32" cm="1">
        <f t="array" ref="BH3">IF($F$14-$I$4+VLOOKUP($R3,武学奇术!$A:$ZZ,15,FALSE)+SUM(_xlfn.XLOOKUP(S3:AG3,增益!$A:$A,增益!$O:$O,0))&gt;0,($F$14-$I$4+VLOOKUP($R3,武学奇术!$A:$ZZ,15,FALSE)+SUM(_xlfn.XLOOKUP(S3:AG3,增益!$A:$A,增益!$O:$O,0)))/200,($F$14-$I$4+VLOOKUP($R3,武学奇术!$A:$ZZ,15,FALSE)+SUM(_xlfn.XLOOKUP(S3:AG3,增益!$A:$A,增益!$O:$O,0)))/100)</f>
        <v>0.08</v>
      </c>
      <c r="BI3" s="32" cm="1">
        <f t="array" ref="BI3">$G$14+VLOOKUP($R3,武学奇术!$A:$ZZ,16,FALSE)+SUM(_xlfn.XLOOKUP(S3:AG3,增益!$A:$A,增益!$P:$P,0))</f>
        <v>0.15</v>
      </c>
      <c r="BJ3" s="26">
        <f>MIN(IF(VLOOKUP($R3,武学奇术!$A:$ZZ,23,FALSE)=1,100%,$B$8),100%)</f>
        <v>0.981</v>
      </c>
      <c r="BK3" s="26" cm="1">
        <f t="array" ref="BK3">IF(VLOOKUP($R3,武学奇术!$A:$ZZ,23,FALSE)=1,100%,MIN(80%,$B$9+VLOOKUP($R3,武学奇术!$A:$ZZ,17,FALSE)+SUM(_xlfn.XLOOKUP(S3:AG3,增益!$A:$A,增益!$Q:$Q,0)))+$B$11+SUM(_xlfn.XLOOKUP(S3:AG3,增益!$A:$A,增益!$U:$U,0)))*IF(VLOOKUP($R3,武学奇术!$A:$ZZ,24,FALSE)=1,0,1)</f>
        <v>0.846</v>
      </c>
      <c r="BL3" s="26" cm="1">
        <f t="array" ref="BL3">1+$B$13+VLOOKUP($R3,武学奇术!$A:$ZZ,18,FALSE)+SUM(_xlfn.XLOOKUP(S3:AG3,增益!$A:$A,增益!$R:$R,0))</f>
        <v>1.83</v>
      </c>
      <c r="BM3" s="26" cm="1">
        <f t="array" ref="BM3">IF(VLOOKUP($R3,武学奇术!$A:$ZZ,24,FALSE)=1,100%,MIN(40%,$B$10+VLOOKUP($R3,武学奇术!$A:$ZZ,19,FALSE)+SUM(_xlfn.XLOOKUP(S3:AG3,增益!$A:$A,增益!$S:$S,0)))+$B$12+SUM(_xlfn.XLOOKUP(S3:AG3,增益!$A:$A,增益!$V:$V,0)))*IF(VLOOKUP($R3,武学奇术!$A:$ZZ,23,FALSE)=1,0,1)</f>
        <v>0.0929</v>
      </c>
      <c r="BN3" s="26" cm="1">
        <f t="array" ref="BN3">1+$B$14+VLOOKUP($R3,武学奇术!$A:$ZZ,20,FALSE)+SUM(_xlfn.XLOOKUP(S3:AG3,增益!$A:$A,增益!$T:$T,0))</f>
        <v>1.35</v>
      </c>
      <c r="BO3" s="26">
        <f t="shared" ref="BO3:BO27" si="8">MIN((1-BM3)*BJ3,BJ3*BK3)</f>
        <v>0.829926</v>
      </c>
      <c r="BP3" s="26">
        <f t="shared" ref="BP3:BP34" si="9">1-BM3-BO3-BQ3</f>
        <v>0.0599391</v>
      </c>
      <c r="BQ3" s="26">
        <f>IF(VLOOKUP($R3,武学奇术!$A:$ZZ,22,FALSE)=1,0,(1-$BJ3))*(1-$BM3)</f>
        <v>0.0172349</v>
      </c>
      <c r="BR3" s="26" cm="1">
        <f t="array" ref="BR3">SUM(_xlfn.XLOOKUP(S3:AG3,增益!$A:$A,增益!$W:$W,0))+$I$5</f>
        <v>0.11</v>
      </c>
    </row>
    <row r="4" ht="14.25" spans="1:70">
      <c r="A4" s="50" t="s">
        <v>86</v>
      </c>
      <c r="B4" s="51"/>
      <c r="C4" s="51"/>
      <c r="D4" s="51"/>
      <c r="E4" s="52"/>
      <c r="F4" s="45" t="s">
        <v>87</v>
      </c>
      <c r="G4" s="49">
        <f>B15+B17</f>
        <v>0.1704</v>
      </c>
      <c r="H4" s="53" t="s">
        <v>88</v>
      </c>
      <c r="I4" s="14">
        <f>30</f>
        <v>30</v>
      </c>
      <c r="K4">
        <f>$L4*VLOOKUP($R4,武学奇术!$A:$ZZ,31,FALSE)</f>
        <v>31589.361260432</v>
      </c>
      <c r="L4" s="38">
        <f t="shared" ref="L4:L24" si="10">($M4*$BO4+$N4*$BM4+$O4*$BP4+$P4*$BQ4)</f>
        <v>30085.1059623162</v>
      </c>
      <c r="M4" s="38">
        <f>((($AO4+$AP4)/2*$AI4+$AJ4)*(1+$AQ4)*(1+$AR4)+(($AT4+$AU4)/2*IF($G$1="鸣金",$AK4,$AI4)+IF($G$1="鸣金",$AL4*1.5,0))*(1+$AV4)*(1+$AW4)+(($AX4+$AY4)/2*IF($G$1="裂石",$AK4,$AI4)+IF($G$1="裂石",$AL4*1.5,0))*(1+$AZ4)*(1+$BA4)+(($BB4+$BC4)/2*IF($G$1="牵丝",$AK4,$AI4)+IF($G$1="牵丝",$AL4*1.5,0))*(1+$BD4)*(1+$BE4)+(($BF4+$BG4)/2*IF($G$1="破竹",$AK4,$AI4)+IF($G$1="破竹",$AL4*1.5,0))*(1+$BH4)*(1+$BI4))*(1+$AM4)*$BL4*$Q4*(1+IF(VLOOKUP($R4,武学奇术!$A:$ZZ,30,FALSE)="回旋伞",$B$21,0))*(1+$BR4)</f>
        <v>31730.1845612549</v>
      </c>
      <c r="N4" s="38">
        <f>(($AP4*$AI4+$AJ4)*(1+$AQ4)*(1+$AR4)+($AU4*IF($G$1="鸣金",$AK4,$AI4)+IF($G$1="鸣金",$AL4*1.5,0))*(1+$AV4)*(1+$AW4)+($AY4*IF($G$1="裂石",$AK4,$AI4)+IF($G$1="裂石",$AL4*1.5,0))*(1+$AZ4)*(1+$BA4)+($BC4*IF($G$1="牵丝",$AK4,$AI4)+IF($G$1="牵丝",$AL4*1.5,0))*(1+$BD4)*(1+$BE4)+($BG4*IF($G$1="破竹",$AK4,$AI4)+IF($G$1="破竹",$AL4*1.5,0))*(1+$BH4)*(1+$BI4))*(1+$AM4)*$BN4*$Q4*(1+IF(VLOOKUP($R4,武学奇术!$A:$ZZ,30,FALSE)="回旋伞",$B$21,0))*(1+$BR4)</f>
        <v>26497.6989746249</v>
      </c>
      <c r="O4" s="38">
        <f>((($AO4+$AP4)/2*$AI4+$AJ4)*(1+$AQ4)*(1+$AR4)+(($AT4+$AU4)/2*IF($G$1="鸣金",$AK4,$AI4)+IF($G$1="鸣金",$AL4*1.5,0))*(1+$AV4)*(1+$AW4)+(($AX4+$AY4)/2*IF($G$1="裂石",$AK4,$AI4)+IF($G$1="裂石",$AL4*1.5,0))*(1+$AZ4)*(1+$BA4)+(($BB4+$BC4)/2*IF($G$1="牵丝",$AK4,$AI4)+IF($G$1="牵丝",$AL4*1.5,0))*(1+$BD4)*(1+$BE4)+(($BF4+$BG4)/2*IF($G$1="破竹",$AK4,$AI4)+IF($G$1="破竹",$AL4*1.5,0))*(1+$BH4)*(1+$BI4))*(1+$AM4)*$Q4*(1+IF(VLOOKUP($R4,武学奇术!$A:$ZZ,30,FALSE)="回旋伞",$B$21,0))*(1+$BR4)</f>
        <v>17244.6655224212</v>
      </c>
      <c r="P4" s="38">
        <f>((($AO4*$AI4+$AJ4)*(1+$AQ4)*(1+$AR4)+($AT4*IF($G$1="鸣金",$AK4,$AI4)+IF($G$1="鸣金",$AL4*1.5,0))*(1+$AV4)*(1+$AW4)+($AX4*IF($G$1="裂石",$AK4,$AI4)+IF($G$1="裂石",$AL4*1.5,0))*(1+$AZ4)*(1+$BA4)+($BB4*IF($G$1="牵丝",$AK4,$AI4)+IF($G$1="牵丝",$AL4*1.5,0))*(1+$BD4)*(1+$BE4)+($BF4*IF($G$1="破竹",$AK4,$AI4)+IF($G$1="破竹",$AL4*1.5,0))*(1+$BH4)*(1+$BI4))*(1+$AM4))*$Q4*(1+IF(VLOOKUP($R4,武学奇术!$A:$ZZ,30,FALSE)="回旋伞",$B$21,0))*(1+$BR4)</f>
        <v>14861.4058784535</v>
      </c>
      <c r="Q4" s="39">
        <v>1</v>
      </c>
      <c r="R4" s="40" t="s">
        <v>71</v>
      </c>
      <c r="S4" s="40" t="s">
        <v>72</v>
      </c>
      <c r="T4" s="40" t="s">
        <v>72</v>
      </c>
      <c r="U4" s="40" t="s">
        <v>73</v>
      </c>
      <c r="V4" s="40" t="s">
        <v>81</v>
      </c>
      <c r="W4" s="40" t="s">
        <v>89</v>
      </c>
      <c r="X4" s="40" t="s">
        <v>90</v>
      </c>
      <c r="Y4" s="40" t="s">
        <v>84</v>
      </c>
      <c r="Z4" s="40" t="s">
        <v>72</v>
      </c>
      <c r="AA4" s="40" t="s">
        <v>72</v>
      </c>
      <c r="AB4" s="40" t="s">
        <v>72</v>
      </c>
      <c r="AC4" s="40" t="s">
        <v>91</v>
      </c>
      <c r="AD4" s="40" t="s">
        <v>72</v>
      </c>
      <c r="AE4" s="40" t="s">
        <v>72</v>
      </c>
      <c r="AF4" s="40" t="s">
        <v>77</v>
      </c>
      <c r="AG4" s="40" t="s">
        <v>78</v>
      </c>
      <c r="AH4" t="str">
        <f>VLOOKUP($R4,武学奇术!$A:$ZZ,25,FALSE)</f>
        <v>群体奇术</v>
      </c>
      <c r="AI4" s="26">
        <f>VLOOKUP($R4,武学奇术!$A:$ZZ,26,FALSE)</f>
        <v>1.4904</v>
      </c>
      <c r="AJ4" s="27">
        <f>VLOOKUP($R4,武学奇术!$A:$ZZ,27,FALSE)*(1+IF(OR($AH4=$F$4,$AH4=$F$5),$B$22,0))</f>
        <v>378</v>
      </c>
      <c r="AK4" s="26">
        <f>VLOOKUP($R4,武学奇术!$A:$ZZ,28,FALSE)</f>
        <v>2.2356</v>
      </c>
      <c r="AL4" s="27">
        <f>VLOOKUP($R4,武学奇术!$A:$ZZ,29,FALSE)*(1+IF(OR($AH4=$F$4,$AH4=$F$5),$B$22,0))</f>
        <v>0</v>
      </c>
      <c r="AM4" s="26" cm="1">
        <f t="array" ref="AM4">$G$3+IFERROR(VLOOKUP($AH4,$F$4:$G$7,2,FALSE),0)+VLOOKUP($R4,武学奇术!$A:$ZZ,2,FALSE)+SUM(_xlfn.XLOOKUP($S4:$AG4,增益!$A:$A,增益!$B:$B,0))</f>
        <v>0.4637</v>
      </c>
      <c r="AN4" s="26" cm="1">
        <f t="array" ref="AN4">VLOOKUP($R4,武学奇术!$A:$ZZ,5,FALSE)+SUM(_xlfn.XLOOKUP($S4:$AG4,增益!$A:$A,增益!$E:$E,0))</f>
        <v>0</v>
      </c>
      <c r="AO4" cm="1">
        <f t="array" ref="AO4">$D$10*(1+$AN4)+VLOOKUP($R4,武学奇术!$A:$ZZ,3,FALSE)+SUM(_xlfn.XLOOKUP($S4:$AG4,增益!$A:$A,增益!$C:$C,0))-$I$2</f>
        <v>3624.6</v>
      </c>
      <c r="AP4" cm="1">
        <f t="array" ref="AP4">$E$10*(1+$AN4)+VLOOKUP($R4,武学奇术!$A:$ZZ,4,FALSE)+SUM(_xlfn.XLOOKUP($S4:$AG4,增益!$A:$A,增益!$D:$D,0))-$I$2</f>
        <v>3624.6</v>
      </c>
      <c r="AQ4" s="32" cm="1">
        <f t="array" ref="AQ4">IF($F$10-$I$3+VLOOKUP($R4,武学奇术!$A:$ZZ,6,FALSE)+SUM(_xlfn.XLOOKUP(S4:AG4,增益!$A:$A,增益!$F:$F,0))&gt;0,($F$10-$I$3+VLOOKUP($R4,武学奇术!$A:$ZZ,6,FALSE)+SUM(_xlfn.XLOOKUP(S4:AG4,增益!$A:$A,增益!$F:$F,0)))/200,($F$10-$I$3+VLOOKUP($R4,武学奇术!$A:$ZZ,6,FALSE)+SUM(_xlfn.XLOOKUP(S4:AG4,增益!$A:$A,增益!$F:$F,0)))/100)</f>
        <v>0.2725</v>
      </c>
      <c r="AR4" s="32" cm="1">
        <f t="array" ref="AR4">$G$10+VLOOKUP($R4,武学奇术!$A:$ZZ,7,FALSE)+SUM(_xlfn.XLOOKUP(S4:AG4,增益!$A:$A,增益!$G:$G,0))</f>
        <v>0.028</v>
      </c>
      <c r="AS4" s="26" cm="1">
        <f t="array" ref="AS4">VLOOKUP($R4,武学奇术!$A:$ZZ,8,FALSE)+SUM(_xlfn.XLOOKUP(S4:AG4,增益!$A:$A,增益!$H:$H,0))</f>
        <v>0</v>
      </c>
      <c r="AT4">
        <f t="shared" si="0"/>
        <v>0</v>
      </c>
      <c r="AU4">
        <f t="shared" si="1"/>
        <v>0</v>
      </c>
      <c r="AV4" s="32" cm="1">
        <f t="array" ref="AV4">IF($F$11-$I$4+VLOOKUP($R4,武学奇术!$A:$ZZ,9,FALSE)+SUM(_xlfn.XLOOKUP(S4:AG4,增益!$A:$A,增益!$I:$I,0))&gt;0,($F$11-$I$4+VLOOKUP($R4,武学奇术!$A:$ZZ,9,FALSE)+SUM(_xlfn.XLOOKUP(S4:AG4,增益!$A:$A,增益!$I:$I,0)))/200,($F$11-$I$4+VLOOKUP($R4,武学奇术!$A:$ZZ,9,FALSE)+SUM(_xlfn.XLOOKUP(S4:AG4,增益!$A:$A,增益!$I:$I,0)))/100)</f>
        <v>-0.14</v>
      </c>
      <c r="AW4" s="32" cm="1">
        <f t="array" ref="AW4">$G$11+VLOOKUP($R4,武学奇术!$A:$ZZ,10,FALSE)+SUM(_xlfn.XLOOKUP(S4:AG4,增益!$A:$A,增益!$J:$J,0))</f>
        <v>0</v>
      </c>
      <c r="AX4">
        <f t="shared" si="2"/>
        <v>0</v>
      </c>
      <c r="AY4">
        <f t="shared" si="3"/>
        <v>0</v>
      </c>
      <c r="AZ4" s="32" cm="1">
        <f t="array" ref="AZ4">IF($F$12-$I$4+VLOOKUP($R4,武学奇术!$A:$ZZ,11,FALSE)+SUM(_xlfn.XLOOKUP(S4:AG4,增益!$A:$A,增益!$K:$K,0))&gt;0,($F$12-$I$4+VLOOKUP($R4,武学奇术!$A:$ZZ,11,FALSE)+SUM(_xlfn.XLOOKUP(S4:AG4,增益!$A:$A,增益!$K:$K,0)))/200,($F$12-$I$4+VLOOKUP($R4,武学奇术!$A:$ZZ,11,FALSE)+SUM(_xlfn.XLOOKUP(S4:AG4,增益!$A:$A,增益!$K:$K,0)))/100)</f>
        <v>-0.14</v>
      </c>
      <c r="BA4" s="32" cm="1">
        <f t="array" ref="BA4">$G$12+VLOOKUP($R4,武学奇术!$A:$ZZ,12,FALSE)+SUM(_xlfn.XLOOKUP(S4:AG4,增益!$A:$A,增益!$L:$L,0))</f>
        <v>0</v>
      </c>
      <c r="BB4">
        <f t="shared" si="4"/>
        <v>0</v>
      </c>
      <c r="BC4">
        <f t="shared" si="5"/>
        <v>0</v>
      </c>
      <c r="BD4" s="32" cm="1">
        <f t="array" ref="BD4">IF($F$13-$I$4+VLOOKUP($R4,武学奇术!$A:$ZZ,13,FALSE)+SUM(_xlfn.XLOOKUP(S4:AG4,增益!$A:$A,增益!$M:$M,0))&gt;0,($F$13-$I$4+VLOOKUP($R4,武学奇术!$A:$ZZ,13,FALSE)+SUM(_xlfn.XLOOKUP(S4:AG4,增益!$A:$A,增益!$K:$K,0)))/200,($F$13-$I$4+VLOOKUP($R4,武学奇术!$A:$ZZ,13,FALSE)+SUM(_xlfn.XLOOKUP(S4:AG4,增益!$A:$A,增益!$M:$M,0)))/100)</f>
        <v>-0.14</v>
      </c>
      <c r="BE4" s="32" cm="1">
        <f t="array" ref="BE4">$G$13+VLOOKUP($R4,武学奇术!$A:$ZZ,14,FALSE)+SUM(_xlfn.XLOOKUP(S4:AG4,增益!$A:$A,增益!$N:$N,0))</f>
        <v>0</v>
      </c>
      <c r="BF4">
        <f t="shared" si="6"/>
        <v>571.2</v>
      </c>
      <c r="BG4">
        <f t="shared" si="7"/>
        <v>1627.8</v>
      </c>
      <c r="BH4" s="32" cm="1">
        <f t="array" ref="BH4">IF($F$14-$I$4+VLOOKUP($R4,武学奇术!$A:$ZZ,15,FALSE)+SUM(_xlfn.XLOOKUP(S4:AG4,增益!$A:$A,增益!$O:$O,0))&gt;0,($F$14-$I$4+VLOOKUP($R4,武学奇术!$A:$ZZ,15,FALSE)+SUM(_xlfn.XLOOKUP(S4:AG4,增益!$A:$A,增益!$O:$O,0)))/200,($F$14-$I$4+VLOOKUP($R4,武学奇术!$A:$ZZ,15,FALSE)+SUM(_xlfn.XLOOKUP(S4:AG4,增益!$A:$A,增益!$O:$O,0)))/100)</f>
        <v>0.08</v>
      </c>
      <c r="BI4" s="32" cm="1">
        <f t="array" ref="BI4">$G$14+VLOOKUP($R4,武学奇术!$A:$ZZ,16,FALSE)+SUM(_xlfn.XLOOKUP(S4:AG4,增益!$A:$A,增益!$P:$P,0))</f>
        <v>0.15</v>
      </c>
      <c r="BJ4" s="26">
        <f>MIN(IF(VLOOKUP($R4,武学奇术!$A:$ZZ,23,FALSE)=1,100%,$B$8),100%)</f>
        <v>0.981</v>
      </c>
      <c r="BK4" s="26" cm="1">
        <f t="array" ref="BK4">IF(VLOOKUP($R4,武学奇术!$A:$ZZ,23,FALSE)=1,100%,MIN(80%,$B$9+VLOOKUP($R4,武学奇术!$A:$ZZ,17,FALSE)+SUM(_xlfn.XLOOKUP(S4:AG4,增益!$A:$A,增益!$Q:$Q,0)))+$B$11+SUM(_xlfn.XLOOKUP(S4:AG4,增益!$A:$A,增益!$U:$U,0)))*IF(VLOOKUP($R4,武学奇术!$A:$ZZ,24,FALSE)=1,0,1)</f>
        <v>0.846</v>
      </c>
      <c r="BL4" s="26" cm="1">
        <f t="array" ref="BL4">1+$B$13+VLOOKUP($R4,武学奇术!$A:$ZZ,18,FALSE)+SUM(_xlfn.XLOOKUP(S4:AG4,增益!$A:$A,增益!$R:$R,0))</f>
        <v>1.84</v>
      </c>
      <c r="BM4" s="26" cm="1">
        <f t="array" ref="BM4">IF(VLOOKUP($R4,武学奇术!$A:$ZZ,24,FALSE)=1,100%,MIN(40%,$B$10+VLOOKUP($R4,武学奇术!$A:$ZZ,19,FALSE)+SUM(_xlfn.XLOOKUP(S4:AG4,增益!$A:$A,增益!$S:$S,0)))+$B$12+SUM(_xlfn.XLOOKUP(S4:AG4,增益!$A:$A,增益!$V:$V,0)))*IF(VLOOKUP($R4,武学奇术!$A:$ZZ,23,FALSE)=1,0,1)</f>
        <v>0.0929</v>
      </c>
      <c r="BN4" s="26" cm="1">
        <f t="array" ref="BN4">1+$B$14+VLOOKUP($R4,武学奇术!$A:$ZZ,20,FALSE)+SUM(_xlfn.XLOOKUP(S4:AG4,增益!$A:$A,增益!$T:$T,0))</f>
        <v>1.35</v>
      </c>
      <c r="BO4" s="26">
        <f t="shared" si="8"/>
        <v>0.829926</v>
      </c>
      <c r="BP4" s="26">
        <f t="shared" si="9"/>
        <v>0.0599391</v>
      </c>
      <c r="BQ4" s="26">
        <f>IF(VLOOKUP($R4,武学奇术!$A:$ZZ,22,FALSE)=1,0,(1-$BJ4))*(1-$BM4)</f>
        <v>0.0172349</v>
      </c>
      <c r="BR4" s="26" cm="1">
        <f t="array" ref="BR4">SUM(_xlfn.XLOOKUP(S4:AG4,增益!$A:$A,增益!$W:$W,0))+$I$5</f>
        <v>0.11</v>
      </c>
    </row>
    <row r="5" spans="1:70">
      <c r="A5" s="54" t="s">
        <v>92</v>
      </c>
      <c r="B5" s="55"/>
      <c r="C5" s="55"/>
      <c r="D5" s="55"/>
      <c r="E5" s="56"/>
      <c r="F5" s="45" t="s">
        <v>93</v>
      </c>
      <c r="G5" s="49">
        <f>B15+B18</f>
        <v>0.0852</v>
      </c>
      <c r="H5" t="s">
        <v>94</v>
      </c>
      <c r="I5" s="28">
        <v>0.06</v>
      </c>
      <c r="K5">
        <f>$L5*VLOOKUP($R5,武学奇术!$A:$ZZ,31,FALSE)</f>
        <v>33020.7193423672</v>
      </c>
      <c r="L5" s="38">
        <f t="shared" si="10"/>
        <v>31448.3041355878</v>
      </c>
      <c r="M5" s="38">
        <f>((($AO5+$AP5)/2*$AI5+$AJ5)*(1+$AQ5)*(1+$AR5)+(($AT5+$AU5)/2*IF($G$1="鸣金",$AK5,$AI5)+IF($G$1="鸣金",$AL5*1.5,0))*(1+$AV5)*(1+$AW5)+(($AX5+$AY5)/2*IF($G$1="裂石",$AK5,$AI5)+IF($G$1="裂石",$AL5*1.5,0))*(1+$AZ5)*(1+$BA5)+(($BB5+$BC5)/2*IF($G$1="牵丝",$AK5,$AI5)+IF($G$1="牵丝",$AL5*1.5,0))*(1+$BD5)*(1+$BE5)+(($BF5+$BG5)/2*IF($G$1="破竹",$AK5,$AI5)+IF($G$1="破竹",$AL5*1.5,0))*(1+$BH5)*(1+$BI5))*(1+$AM5)*$BL5*$Q5*(1+IF(VLOOKUP($R5,武学奇术!$A:$ZZ,30,FALSE)="回旋伞",$B$21,0))*(1+$BR5)</f>
        <v>33199.496495061</v>
      </c>
      <c r="N5" s="38">
        <f>(($AP5*$AI5+$AJ5)*(1+$AQ5)*(1+$AR5)+($AU5*IF($G$1="鸣金",$AK5,$AI5)+IF($G$1="鸣金",$AL5*1.5,0))*(1+$AV5)*(1+$AW5)+($AY5*IF($G$1="裂石",$AK5,$AI5)+IF($G$1="裂石",$AL5*1.5,0))*(1+$AZ5)*(1+$BA5)+($BC5*IF($G$1="牵丝",$AK5,$AI5)+IF($G$1="牵丝",$AL5*1.5,0))*(1+$BD5)*(1+$BE5)+($BG5*IF($G$1="破竹",$AK5,$AI5)+IF($G$1="破竹",$AL5*1.5,0))*(1+$BH5)*(1+$BI5))*(1+$AM5)*$BN5*$Q5*(1+IF(VLOOKUP($R5,武学奇术!$A:$ZZ,30,FALSE)="回旋伞",$B$21,0))*(1+$BR5)</f>
        <v>27466.0414077255</v>
      </c>
      <c r="O5" s="38">
        <f>((($AO5+$AP5)/2*$AI5+$AJ5)*(1+$AQ5)*(1+$AR5)+(($AT5+$AU5)/2*IF($G$1="鸣金",$AK5,$AI5)+IF($G$1="鸣金",$AL5*1.5,0))*(1+$AV5)*(1+$AW5)+(($AX5+$AY5)/2*IF($G$1="裂石",$AK5,$AI5)+IF($G$1="裂石",$AL5*1.5,0))*(1+$AZ5)*(1+$BA5)+(($BB5+$BC5)/2*IF($G$1="牵丝",$AK5,$AI5)+IF($G$1="牵丝",$AL5*1.5,0))*(1+$BD5)*(1+$BE5)+(($BF5+$BG5)/2*IF($G$1="破竹",$AK5,$AI5)+IF($G$1="破竹",$AL5*1.5,0))*(1+$BH5)*(1+$BI5))*(1+$AM5)*$Q5*(1+IF(VLOOKUP($R5,武学奇术!$A:$ZZ,30,FALSE)="回旋伞",$B$21,0))*(1+$BR5)</f>
        <v>17945.6737811141</v>
      </c>
      <c r="P5" s="38">
        <f>((($AO5*$AI5+$AJ5)*(1+$AQ5)*(1+$AR5)+($AT5*IF($G$1="鸣金",$AK5,$AI5)+IF($G$1="鸣金",$AL5*1.5,0))*(1+$AV5)*(1+$AW5)+($AX5*IF($G$1="裂石",$AK5,$AI5)+IF($G$1="裂石",$AL5*1.5,0))*(1+$AZ5)*(1+$BA5)+($BB5*IF($G$1="牵丝",$AK5,$AI5)+IF($G$1="牵丝",$AL5*1.5,0))*(1+$BD5)*(1+$BE5)+($BF5*IF($G$1="破竹",$AK5,$AI5)+IF($G$1="破竹",$AL5*1.5,0))*(1+$BH5)*(1+$BI5))*(1+$AM5))*$Q5*(1+IF(VLOOKUP($R5,武学奇术!$A:$ZZ,30,FALSE)="回旋伞",$B$21,0))*(1+$BR5)</f>
        <v>15546.1317046537</v>
      </c>
      <c r="Q5" s="39">
        <v>1</v>
      </c>
      <c r="R5" s="40" t="s">
        <v>71</v>
      </c>
      <c r="S5" s="40" t="s">
        <v>72</v>
      </c>
      <c r="T5" s="40" t="s">
        <v>95</v>
      </c>
      <c r="U5" s="40" t="s">
        <v>73</v>
      </c>
      <c r="V5" s="40" t="s">
        <v>81</v>
      </c>
      <c r="W5" s="40" t="s">
        <v>96</v>
      </c>
      <c r="X5" s="40" t="s">
        <v>97</v>
      </c>
      <c r="Y5" s="40" t="s">
        <v>84</v>
      </c>
      <c r="Z5" s="40" t="s">
        <v>72</v>
      </c>
      <c r="AA5" s="40" t="s">
        <v>72</v>
      </c>
      <c r="AB5" s="40" t="s">
        <v>72</v>
      </c>
      <c r="AC5" s="40" t="s">
        <v>91</v>
      </c>
      <c r="AD5" s="40" t="s">
        <v>72</v>
      </c>
      <c r="AE5" s="40" t="s">
        <v>72</v>
      </c>
      <c r="AF5" s="40" t="s">
        <v>77</v>
      </c>
      <c r="AG5" s="40" t="s">
        <v>78</v>
      </c>
      <c r="AH5" t="str">
        <f>VLOOKUP($R5,武学奇术!$A:$ZZ,25,FALSE)</f>
        <v>群体奇术</v>
      </c>
      <c r="AI5" s="26">
        <f>VLOOKUP($R5,武学奇术!$A:$ZZ,26,FALSE)</f>
        <v>1.4904</v>
      </c>
      <c r="AJ5" s="27">
        <f>VLOOKUP($R5,武学奇术!$A:$ZZ,27,FALSE)*(1+IF(OR($AH5=$F$4,$AH5=$F$5),$B$22,0))</f>
        <v>378</v>
      </c>
      <c r="AK5" s="26">
        <f>VLOOKUP($R5,武学奇术!$A:$ZZ,28,FALSE)</f>
        <v>2.2356</v>
      </c>
      <c r="AL5" s="27">
        <f>VLOOKUP($R5,武学奇术!$A:$ZZ,29,FALSE)*(1+IF(OR($AH5=$F$4,$AH5=$F$5),$B$22,0))</f>
        <v>0</v>
      </c>
      <c r="AM5" s="26" cm="1">
        <f t="array" ref="AM5">$G$3+IFERROR(VLOOKUP($AH5,$F$4:$G$7,2,FALSE),0)+VLOOKUP($R5,武学奇术!$A:$ZZ,2,FALSE)+SUM(_xlfn.XLOOKUP($S5:$AG5,增益!$A:$A,增益!$B:$B,0))</f>
        <v>0.4737</v>
      </c>
      <c r="AN5" s="26" cm="1">
        <f t="array" ref="AN5">VLOOKUP($R5,武学奇术!$A:$ZZ,5,FALSE)+SUM(_xlfn.XLOOKUP($S5:$AG5,增益!$A:$A,增益!$E:$E,0))</f>
        <v>0</v>
      </c>
      <c r="AO5" cm="1">
        <f t="array" ref="AO5">$D$10*(1+$AN5)+VLOOKUP($R5,武学奇术!$A:$ZZ,3,FALSE)+SUM(_xlfn.XLOOKUP($S5:$AG5,增益!$A:$A,增益!$C:$C,0))-$I$2</f>
        <v>3624.6</v>
      </c>
      <c r="AP5" cm="1">
        <f t="array" ref="AP5">$E$10*(1+$AN5)+VLOOKUP($R5,武学奇术!$A:$ZZ,4,FALSE)+SUM(_xlfn.XLOOKUP($S5:$AG5,增益!$A:$A,增益!$D:$D,0))-$I$2</f>
        <v>3624.6</v>
      </c>
      <c r="AQ5" s="32" cm="1">
        <f t="array" ref="AQ5">IF($F$10-$I$3+VLOOKUP($R5,武学奇术!$A:$ZZ,6,FALSE)+SUM(_xlfn.XLOOKUP(S5:AG5,增益!$A:$A,增益!$F:$F,0))&gt;0,($F$10-$I$3+VLOOKUP($R5,武学奇术!$A:$ZZ,6,FALSE)+SUM(_xlfn.XLOOKUP(S5:AG5,增益!$A:$A,增益!$F:$F,0)))/200,($F$10-$I$3+VLOOKUP($R5,武学奇术!$A:$ZZ,6,FALSE)+SUM(_xlfn.XLOOKUP(S5:AG5,增益!$A:$A,增益!$F:$F,0)))/100)</f>
        <v>0.3325</v>
      </c>
      <c r="AR5" s="32" cm="1">
        <f t="array" ref="AR5">$G$10+VLOOKUP($R5,武学奇术!$A:$ZZ,7,FALSE)+SUM(_xlfn.XLOOKUP(S5:AG5,增益!$A:$A,增益!$G:$G,0))</f>
        <v>0.028</v>
      </c>
      <c r="AS5" s="26" cm="1">
        <f t="array" ref="AS5">VLOOKUP($R5,武学奇术!$A:$ZZ,8,FALSE)+SUM(_xlfn.XLOOKUP(S5:AG5,增益!$A:$A,增益!$H:$H,0))</f>
        <v>0</v>
      </c>
      <c r="AT5">
        <f t="shared" si="0"/>
        <v>0</v>
      </c>
      <c r="AU5">
        <f t="shared" si="1"/>
        <v>0</v>
      </c>
      <c r="AV5" s="32" cm="1">
        <f t="array" ref="AV5">IF($F$11-$I$4+VLOOKUP($R5,武学奇术!$A:$ZZ,9,FALSE)+SUM(_xlfn.XLOOKUP(S5:AG5,增益!$A:$A,增益!$I:$I,0))&gt;0,($F$11-$I$4+VLOOKUP($R5,武学奇术!$A:$ZZ,9,FALSE)+SUM(_xlfn.XLOOKUP(S5:AG5,增益!$A:$A,增益!$I:$I,0)))/200,($F$11-$I$4+VLOOKUP($R5,武学奇术!$A:$ZZ,9,FALSE)+SUM(_xlfn.XLOOKUP(S5:AG5,增益!$A:$A,增益!$I:$I,0)))/100)</f>
        <v>-0.14</v>
      </c>
      <c r="AW5" s="32" cm="1">
        <f t="array" ref="AW5">$G$11+VLOOKUP($R5,武学奇术!$A:$ZZ,10,FALSE)+SUM(_xlfn.XLOOKUP(S5:AG5,增益!$A:$A,增益!$J:$J,0))</f>
        <v>0</v>
      </c>
      <c r="AX5">
        <f t="shared" si="2"/>
        <v>0</v>
      </c>
      <c r="AY5">
        <f t="shared" si="3"/>
        <v>0</v>
      </c>
      <c r="AZ5" s="32" cm="1">
        <f t="array" ref="AZ5">IF($F$12-$I$4+VLOOKUP($R5,武学奇术!$A:$ZZ,11,FALSE)+SUM(_xlfn.XLOOKUP(S5:AG5,增益!$A:$A,增益!$K:$K,0))&gt;0,($F$12-$I$4+VLOOKUP($R5,武学奇术!$A:$ZZ,11,FALSE)+SUM(_xlfn.XLOOKUP(S5:AG5,增益!$A:$A,增益!$K:$K,0)))/200,($F$12-$I$4+VLOOKUP($R5,武学奇术!$A:$ZZ,11,FALSE)+SUM(_xlfn.XLOOKUP(S5:AG5,增益!$A:$A,增益!$K:$K,0)))/100)</f>
        <v>-0.14</v>
      </c>
      <c r="BA5" s="32" cm="1">
        <f t="array" ref="BA5">$G$12+VLOOKUP($R5,武学奇术!$A:$ZZ,12,FALSE)+SUM(_xlfn.XLOOKUP(S5:AG5,增益!$A:$A,增益!$L:$L,0))</f>
        <v>0</v>
      </c>
      <c r="BB5">
        <f t="shared" si="4"/>
        <v>0</v>
      </c>
      <c r="BC5">
        <f t="shared" si="5"/>
        <v>0</v>
      </c>
      <c r="BD5" s="32" cm="1">
        <f t="array" ref="BD5">IF($F$13-$I$4+VLOOKUP($R5,武学奇术!$A:$ZZ,13,FALSE)+SUM(_xlfn.XLOOKUP(S5:AG5,增益!$A:$A,增益!$M:$M,0))&gt;0,($F$13-$I$4+VLOOKUP($R5,武学奇术!$A:$ZZ,13,FALSE)+SUM(_xlfn.XLOOKUP(S5:AG5,增益!$A:$A,增益!$K:$K,0)))/200,($F$13-$I$4+VLOOKUP($R5,武学奇术!$A:$ZZ,13,FALSE)+SUM(_xlfn.XLOOKUP(S5:AG5,增益!$A:$A,增益!$M:$M,0)))/100)</f>
        <v>-0.14</v>
      </c>
      <c r="BE5" s="32" cm="1">
        <f t="array" ref="BE5">$G$13+VLOOKUP($R5,武学奇术!$A:$ZZ,14,FALSE)+SUM(_xlfn.XLOOKUP(S5:AG5,增益!$A:$A,增益!$N:$N,0))</f>
        <v>0</v>
      </c>
      <c r="BF5">
        <f t="shared" si="6"/>
        <v>571.2</v>
      </c>
      <c r="BG5">
        <f t="shared" si="7"/>
        <v>1627.8</v>
      </c>
      <c r="BH5" s="32" cm="1">
        <f t="array" ref="BH5">IF($F$14-$I$4+VLOOKUP($R5,武学奇术!$A:$ZZ,15,FALSE)+SUM(_xlfn.XLOOKUP(S5:AG5,增益!$A:$A,增益!$O:$O,0))&gt;0,($F$14-$I$4+VLOOKUP($R5,武学奇术!$A:$ZZ,15,FALSE)+SUM(_xlfn.XLOOKUP(S5:AG5,增益!$A:$A,增益!$O:$O,0)))/200,($F$14-$I$4+VLOOKUP($R5,武学奇术!$A:$ZZ,15,FALSE)+SUM(_xlfn.XLOOKUP(S5:AG5,增益!$A:$A,增益!$O:$O,0)))/100)</f>
        <v>0.08</v>
      </c>
      <c r="BI5" s="32" cm="1">
        <f t="array" ref="BI5">$G$14+VLOOKUP($R5,武学奇术!$A:$ZZ,16,FALSE)+SUM(_xlfn.XLOOKUP(S5:AG5,增益!$A:$A,增益!$P:$P,0))</f>
        <v>0.15</v>
      </c>
      <c r="BJ5" s="26">
        <f>MIN(IF(VLOOKUP($R5,武学奇术!$A:$ZZ,23,FALSE)=1,100%,$B$8),100%)</f>
        <v>0.981</v>
      </c>
      <c r="BK5" s="26" cm="1">
        <f t="array" ref="BK5">IF(VLOOKUP($R5,武学奇术!$A:$ZZ,23,FALSE)=1,100%,MIN(80%,$B$9+VLOOKUP($R5,武学奇术!$A:$ZZ,17,FALSE)+SUM(_xlfn.XLOOKUP(S5:AG5,增益!$A:$A,增益!$Q:$Q,0)))+$B$11+SUM(_xlfn.XLOOKUP(S5:AG5,增益!$A:$A,增益!$U:$U,0)))*IF(VLOOKUP($R5,武学奇术!$A:$ZZ,24,FALSE)=1,0,1)</f>
        <v>0.846</v>
      </c>
      <c r="BL5" s="26" cm="1">
        <f t="array" ref="BL5">1+$B$13+VLOOKUP($R5,武学奇术!$A:$ZZ,18,FALSE)+SUM(_xlfn.XLOOKUP(S5:AG5,增益!$A:$A,增益!$R:$R,0))</f>
        <v>1.85</v>
      </c>
      <c r="BM5" s="26" cm="1">
        <f t="array" ref="BM5">IF(VLOOKUP($R5,武学奇术!$A:$ZZ,24,FALSE)=1,100%,MIN(40%,$B$10+VLOOKUP($R5,武学奇术!$A:$ZZ,19,FALSE)+SUM(_xlfn.XLOOKUP(S5:AG5,增益!$A:$A,增益!$S:$S,0)))+$B$12+SUM(_xlfn.XLOOKUP(S5:AG5,增益!$A:$A,增益!$V:$V,0)))*IF(VLOOKUP($R5,武学奇术!$A:$ZZ,23,FALSE)=1,0,1)</f>
        <v>0.0929</v>
      </c>
      <c r="BN5" s="26" cm="1">
        <f t="array" ref="BN5">1+$B$14+VLOOKUP($R5,武学奇术!$A:$ZZ,20,FALSE)+SUM(_xlfn.XLOOKUP(S5:AG5,增益!$A:$A,增益!$T:$T,0))</f>
        <v>1.35</v>
      </c>
      <c r="BO5" s="26">
        <f t="shared" si="8"/>
        <v>0.829926</v>
      </c>
      <c r="BP5" s="26">
        <f t="shared" si="9"/>
        <v>0.0599391</v>
      </c>
      <c r="BQ5" s="26">
        <f>IF(VLOOKUP($R5,武学奇术!$A:$ZZ,22,FALSE)=1,0,(1-$BJ5))*(1-$BM5)</f>
        <v>0.0172349</v>
      </c>
      <c r="BR5" s="26" cm="1">
        <f t="array" ref="BR5">SUM(_xlfn.XLOOKUP(S5:AG5,增益!$A:$A,增益!$W:$W,0))+$I$5</f>
        <v>0.11</v>
      </c>
    </row>
    <row r="6" spans="1:70">
      <c r="A6" s="57" t="s">
        <v>5</v>
      </c>
      <c r="B6" s="58">
        <v>492</v>
      </c>
      <c r="C6" s="58">
        <v>1397.8</v>
      </c>
      <c r="D6" s="58">
        <v>30</v>
      </c>
      <c r="E6" s="59">
        <v>0.15</v>
      </c>
      <c r="F6" s="45" t="s">
        <v>98</v>
      </c>
      <c r="G6" s="49">
        <f>B19</f>
        <v>0</v>
      </c>
      <c r="K6">
        <f>$L6*VLOOKUP($R6,武学奇术!$A:$ZZ,31,FALSE)</f>
        <v>33423.3628658803</v>
      </c>
      <c r="L6" s="38">
        <f t="shared" si="10"/>
        <v>31831.7741579813</v>
      </c>
      <c r="M6" s="38">
        <f>((($AO6+$AP6)/2*$AI6+$AJ6)*(1+$AQ6)*(1+$AR6)+(($AT6+$AU6)/2*IF($G$1="鸣金",$AK6,$AI6)+IF($G$1="鸣金",$AL6*1.5,0))*(1+$AV6)*(1+$AW6)+(($AX6+$AY6)/2*IF($G$1="裂石",$AK6,$AI6)+IF($G$1="裂石",$AL6*1.5,0))*(1+$AZ6)*(1+$BA6)+(($BB6+$BC6)/2*IF($G$1="牵丝",$AK6,$AI6)+IF($G$1="牵丝",$AL6*1.5,0))*(1+$BD6)*(1+$BE6)+(($BF6+$BG6)/2*IF($G$1="破竹",$AK6,$AI6)+IF($G$1="破竹",$AL6*1.5,0))*(1+$BH6)*(1+$BI6))*(1+$AM6)*$BL6*$Q6*(1+IF(VLOOKUP($R6,武学奇术!$A:$ZZ,30,FALSE)="回旋伞",$B$21,0))*(1+$BR6)</f>
        <v>33605.8143022972</v>
      </c>
      <c r="N6" s="38">
        <f>(($AP6*$AI6+$AJ6)*(1+$AQ6)*(1+$AR6)+($AU6*IF($G$1="鸣金",$AK6,$AI6)+IF($G$1="鸣金",$AL6*1.5,0))*(1+$AV6)*(1+$AW6)+($AY6*IF($G$1="裂石",$AK6,$AI6)+IF($G$1="裂石",$AL6*1.5,0))*(1+$AZ6)*(1+$BA6)+($BC6*IF($G$1="牵丝",$AK6,$AI6)+IF($G$1="牵丝",$AL6*1.5,0))*(1+$BD6)*(1+$BE6)+($BG6*IF($G$1="破竹",$AK6,$AI6)+IF($G$1="破竹",$AL6*1.5,0))*(1+$BH6)*(1+$BI6))*(1+$AM6)*$BN6*$Q6*(1+IF(VLOOKUP($R6,武学奇术!$A:$ZZ,30,FALSE)="回旋伞",$B$21,0))*(1+$BR6)</f>
        <v>27784.5248752496</v>
      </c>
      <c r="O6" s="38">
        <f>((($AO6+$AP6)/2*$AI6+$AJ6)*(1+$AQ6)*(1+$AR6)+(($AT6+$AU6)/2*IF($G$1="鸣金",$AK6,$AI6)+IF($G$1="鸣金",$AL6*1.5,0))*(1+$AV6)*(1+$AW6)+(($AX6+$AY6)/2*IF($G$1="裂石",$AK6,$AI6)+IF($G$1="裂石",$AL6*1.5,0))*(1+$AZ6)*(1+$BA6)+(($BB6+$BC6)/2*IF($G$1="牵丝",$AK6,$AI6)+IF($G$1="牵丝",$AL6*1.5,0))*(1+$BD6)*(1+$BE6)+(($BF6+$BG6)/2*IF($G$1="破竹",$AK6,$AI6)+IF($G$1="破竹",$AL6*1.5,0))*(1+$BH6)*(1+$BI6))*(1+$AM6)*$Q6*(1+IF(VLOOKUP($R6,武学奇术!$A:$ZZ,30,FALSE)="回旋伞",$B$21,0))*(1+$BR6)</f>
        <v>18165.3050282688</v>
      </c>
      <c r="P6" s="38">
        <f>((($AO6*$AI6+$AJ6)*(1+$AQ6)*(1+$AR6)+($AT6*IF($G$1="鸣金",$AK6,$AI6)+IF($G$1="鸣金",$AL6*1.5,0))*(1+$AV6)*(1+$AW6)+($AX6*IF($G$1="裂石",$AK6,$AI6)+IF($G$1="裂石",$AL6*1.5,0))*(1+$AZ6)*(1+$BA6)+($BB6*IF($G$1="牵丝",$AK6,$AI6)+IF($G$1="牵丝",$AL6*1.5,0))*(1+$BD6)*(1+$BE6)+($BF6*IF($G$1="破竹",$AK6,$AI6)+IF($G$1="破竹",$AL6*1.5,0))*(1+$BH6)*(1+$BI6))*(1+$AM6))*$Q6*(1+IF(VLOOKUP($R6,武学奇术!$A:$ZZ,30,FALSE)="回旋伞",$B$21,0))*(1+$BR6)</f>
        <v>15749.4805193156</v>
      </c>
      <c r="Q6" s="39">
        <v>1</v>
      </c>
      <c r="R6" s="40" t="s">
        <v>71</v>
      </c>
      <c r="S6" s="40" t="s">
        <v>72</v>
      </c>
      <c r="T6" s="40" t="s">
        <v>95</v>
      </c>
      <c r="U6" s="40" t="s">
        <v>73</v>
      </c>
      <c r="V6" s="40" t="s">
        <v>81</v>
      </c>
      <c r="W6" s="40" t="s">
        <v>96</v>
      </c>
      <c r="X6" s="40" t="s">
        <v>99</v>
      </c>
      <c r="Y6" s="40" t="s">
        <v>84</v>
      </c>
      <c r="Z6" s="40" t="s">
        <v>72</v>
      </c>
      <c r="AA6" s="40" t="s">
        <v>72</v>
      </c>
      <c r="AB6" s="40" t="s">
        <v>72</v>
      </c>
      <c r="AC6" s="40" t="s">
        <v>85</v>
      </c>
      <c r="AD6" s="40" t="s">
        <v>72</v>
      </c>
      <c r="AE6" s="40" t="s">
        <v>72</v>
      </c>
      <c r="AF6" s="40" t="s">
        <v>77</v>
      </c>
      <c r="AG6" s="40" t="s">
        <v>78</v>
      </c>
      <c r="AH6" t="str">
        <f>VLOOKUP($R6,武学奇术!$A:$ZZ,25,FALSE)</f>
        <v>群体奇术</v>
      </c>
      <c r="AI6" s="26">
        <f>VLOOKUP($R6,武学奇术!$A:$ZZ,26,FALSE)</f>
        <v>1.4904</v>
      </c>
      <c r="AJ6" s="27">
        <f>VLOOKUP($R6,武学奇术!$A:$ZZ,27,FALSE)*(1+IF(OR($AH6=$F$4,$AH6=$F$5),$B$22,0))</f>
        <v>378</v>
      </c>
      <c r="AK6" s="26">
        <f>VLOOKUP($R6,武学奇术!$A:$ZZ,28,FALSE)</f>
        <v>2.2356</v>
      </c>
      <c r="AL6" s="27">
        <f>VLOOKUP($R6,武学奇术!$A:$ZZ,29,FALSE)*(1+IF(OR($AH6=$F$4,$AH6=$F$5),$B$22,0))</f>
        <v>0</v>
      </c>
      <c r="AM6" s="26" cm="1">
        <f t="array" ref="AM6">$G$3+IFERROR(VLOOKUP($AH6,$F$4:$G$7,2,FALSE),0)+VLOOKUP($R6,武学奇术!$A:$ZZ,2,FALSE)+SUM(_xlfn.XLOOKUP($S6:$AG6,增益!$A:$A,增益!$B:$B,0))</f>
        <v>0.4837</v>
      </c>
      <c r="AN6" s="26" cm="1">
        <f t="array" ref="AN6">VLOOKUP($R6,武学奇术!$A:$ZZ,5,FALSE)+SUM(_xlfn.XLOOKUP($S6:$AG6,增益!$A:$A,增益!$E:$E,0))</f>
        <v>0</v>
      </c>
      <c r="AO6" cm="1">
        <f t="array" ref="AO6">$D$10*(1+$AN6)+VLOOKUP($R6,武学奇术!$A:$ZZ,3,FALSE)+SUM(_xlfn.XLOOKUP($S6:$AG6,增益!$A:$A,增益!$C:$C,0))-$I$2</f>
        <v>3624.6</v>
      </c>
      <c r="AP6" cm="1">
        <f t="array" ref="AP6">$E$10*(1+$AN6)+VLOOKUP($R6,武学奇术!$A:$ZZ,4,FALSE)+SUM(_xlfn.XLOOKUP($S6:$AG6,增益!$A:$A,增益!$D:$D,0))-$I$2</f>
        <v>3624.6</v>
      </c>
      <c r="AQ6" s="32" cm="1">
        <f t="array" ref="AQ6">IF($F$10-$I$3+VLOOKUP($R6,武学奇术!$A:$ZZ,6,FALSE)+SUM(_xlfn.XLOOKUP(S6:AG6,增益!$A:$A,增益!$F:$F,0))&gt;0,($F$10-$I$3+VLOOKUP($R6,武学奇术!$A:$ZZ,6,FALSE)+SUM(_xlfn.XLOOKUP(S6:AG6,增益!$A:$A,增益!$F:$F,0)))/200,($F$10-$I$3+VLOOKUP($R6,武学奇术!$A:$ZZ,6,FALSE)+SUM(_xlfn.XLOOKUP(S6:AG6,增益!$A:$A,增益!$F:$F,0)))/100)</f>
        <v>0.3425</v>
      </c>
      <c r="AR6" s="32" cm="1">
        <f t="array" ref="AR6">$G$10+VLOOKUP($R6,武学奇术!$A:$ZZ,7,FALSE)+SUM(_xlfn.XLOOKUP(S6:AG6,增益!$A:$A,增益!$G:$G,0))</f>
        <v>0.028</v>
      </c>
      <c r="AS6" s="26" cm="1">
        <f t="array" ref="AS6">VLOOKUP($R6,武学奇术!$A:$ZZ,8,FALSE)+SUM(_xlfn.XLOOKUP(S6:AG6,增益!$A:$A,增益!$H:$H,0))</f>
        <v>0</v>
      </c>
      <c r="AT6">
        <f t="shared" si="0"/>
        <v>0</v>
      </c>
      <c r="AU6">
        <f t="shared" si="1"/>
        <v>0</v>
      </c>
      <c r="AV6" s="32" cm="1">
        <f t="array" ref="AV6">IF($F$11-$I$4+VLOOKUP($R6,武学奇术!$A:$ZZ,9,FALSE)+SUM(_xlfn.XLOOKUP(S6:AG6,增益!$A:$A,增益!$I:$I,0))&gt;0,($F$11-$I$4+VLOOKUP($R6,武学奇术!$A:$ZZ,9,FALSE)+SUM(_xlfn.XLOOKUP(S6:AG6,增益!$A:$A,增益!$I:$I,0)))/200,($F$11-$I$4+VLOOKUP($R6,武学奇术!$A:$ZZ,9,FALSE)+SUM(_xlfn.XLOOKUP(S6:AG6,增益!$A:$A,增益!$I:$I,0)))/100)</f>
        <v>-0.14</v>
      </c>
      <c r="AW6" s="32" cm="1">
        <f t="array" ref="AW6">$G$11+VLOOKUP($R6,武学奇术!$A:$ZZ,10,FALSE)+SUM(_xlfn.XLOOKUP(S6:AG6,增益!$A:$A,增益!$J:$J,0))</f>
        <v>0</v>
      </c>
      <c r="AX6">
        <f t="shared" si="2"/>
        <v>0</v>
      </c>
      <c r="AY6">
        <f t="shared" si="3"/>
        <v>0</v>
      </c>
      <c r="AZ6" s="32" cm="1">
        <f t="array" ref="AZ6">IF($F$12-$I$4+VLOOKUP($R6,武学奇术!$A:$ZZ,11,FALSE)+SUM(_xlfn.XLOOKUP(S6:AG6,增益!$A:$A,增益!$K:$K,0))&gt;0,($F$12-$I$4+VLOOKUP($R6,武学奇术!$A:$ZZ,11,FALSE)+SUM(_xlfn.XLOOKUP(S6:AG6,增益!$A:$A,增益!$K:$K,0)))/200,($F$12-$I$4+VLOOKUP($R6,武学奇术!$A:$ZZ,11,FALSE)+SUM(_xlfn.XLOOKUP(S6:AG6,增益!$A:$A,增益!$K:$K,0)))/100)</f>
        <v>-0.14</v>
      </c>
      <c r="BA6" s="32" cm="1">
        <f t="array" ref="BA6">$G$12+VLOOKUP($R6,武学奇术!$A:$ZZ,12,FALSE)+SUM(_xlfn.XLOOKUP(S6:AG6,增益!$A:$A,增益!$L:$L,0))</f>
        <v>0</v>
      </c>
      <c r="BB6">
        <f t="shared" si="4"/>
        <v>0</v>
      </c>
      <c r="BC6">
        <f t="shared" si="5"/>
        <v>0</v>
      </c>
      <c r="BD6" s="32" cm="1">
        <f t="array" ref="BD6">IF($F$13-$I$4+VLOOKUP($R6,武学奇术!$A:$ZZ,13,FALSE)+SUM(_xlfn.XLOOKUP(S6:AG6,增益!$A:$A,增益!$M:$M,0))&gt;0,($F$13-$I$4+VLOOKUP($R6,武学奇术!$A:$ZZ,13,FALSE)+SUM(_xlfn.XLOOKUP(S6:AG6,增益!$A:$A,增益!$K:$K,0)))/200,($F$13-$I$4+VLOOKUP($R6,武学奇术!$A:$ZZ,13,FALSE)+SUM(_xlfn.XLOOKUP(S6:AG6,增益!$A:$A,增益!$M:$M,0)))/100)</f>
        <v>-0.14</v>
      </c>
      <c r="BE6" s="32" cm="1">
        <f t="array" ref="BE6">$G$13+VLOOKUP($R6,武学奇术!$A:$ZZ,14,FALSE)+SUM(_xlfn.XLOOKUP(S6:AG6,增益!$A:$A,增益!$N:$N,0))</f>
        <v>0</v>
      </c>
      <c r="BF6">
        <f t="shared" si="6"/>
        <v>571.2</v>
      </c>
      <c r="BG6">
        <f t="shared" si="7"/>
        <v>1627.8</v>
      </c>
      <c r="BH6" s="32" cm="1">
        <f t="array" ref="BH6">IF($F$14-$I$4+VLOOKUP($R6,武学奇术!$A:$ZZ,15,FALSE)+SUM(_xlfn.XLOOKUP(S6:AG6,增益!$A:$A,增益!$O:$O,0))&gt;0,($F$14-$I$4+VLOOKUP($R6,武学奇术!$A:$ZZ,15,FALSE)+SUM(_xlfn.XLOOKUP(S6:AG6,增益!$A:$A,增益!$O:$O,0)))/200,($F$14-$I$4+VLOOKUP($R6,武学奇术!$A:$ZZ,15,FALSE)+SUM(_xlfn.XLOOKUP(S6:AG6,增益!$A:$A,增益!$O:$O,0)))/100)</f>
        <v>0.08</v>
      </c>
      <c r="BI6" s="32" cm="1">
        <f t="array" ref="BI6">$G$14+VLOOKUP($R6,武学奇术!$A:$ZZ,16,FALSE)+SUM(_xlfn.XLOOKUP(S6:AG6,增益!$A:$A,增益!$P:$P,0))</f>
        <v>0.15</v>
      </c>
      <c r="BJ6" s="26">
        <f>MIN(IF(VLOOKUP($R6,武学奇术!$A:$ZZ,23,FALSE)=1,100%,$B$8),100%)</f>
        <v>0.981</v>
      </c>
      <c r="BK6" s="26" cm="1">
        <f t="array" ref="BK6">IF(VLOOKUP($R6,武学奇术!$A:$ZZ,23,FALSE)=1,100%,MIN(80%,$B$9+VLOOKUP($R6,武学奇术!$A:$ZZ,17,FALSE)+SUM(_xlfn.XLOOKUP(S6:AG6,增益!$A:$A,增益!$Q:$Q,0)))+$B$11+SUM(_xlfn.XLOOKUP(S6:AG6,增益!$A:$A,增益!$U:$U,0)))*IF(VLOOKUP($R6,武学奇术!$A:$ZZ,24,FALSE)=1,0,1)</f>
        <v>0.846</v>
      </c>
      <c r="BL6" s="26" cm="1">
        <f t="array" ref="BL6">1+$B$13+VLOOKUP($R6,武学奇术!$A:$ZZ,18,FALSE)+SUM(_xlfn.XLOOKUP(S6:AG6,增益!$A:$A,增益!$R:$R,0))</f>
        <v>1.85</v>
      </c>
      <c r="BM6" s="26" cm="1">
        <f t="array" ref="BM6">IF(VLOOKUP($R6,武学奇术!$A:$ZZ,24,FALSE)=1,100%,MIN(40%,$B$10+VLOOKUP($R6,武学奇术!$A:$ZZ,19,FALSE)+SUM(_xlfn.XLOOKUP(S6:AG6,增益!$A:$A,增益!$S:$S,0)))+$B$12+SUM(_xlfn.XLOOKUP(S6:AG6,增益!$A:$A,增益!$V:$V,0)))*IF(VLOOKUP($R6,武学奇术!$A:$ZZ,23,FALSE)=1,0,1)</f>
        <v>0.0929</v>
      </c>
      <c r="BN6" s="26" cm="1">
        <f t="array" ref="BN6">1+$B$14+VLOOKUP($R6,武学奇术!$A:$ZZ,20,FALSE)+SUM(_xlfn.XLOOKUP(S6:AG6,增益!$A:$A,增益!$T:$T,0))</f>
        <v>1.35</v>
      </c>
      <c r="BO6" s="26">
        <f t="shared" si="8"/>
        <v>0.829926</v>
      </c>
      <c r="BP6" s="26">
        <f t="shared" si="9"/>
        <v>0.0599391</v>
      </c>
      <c r="BQ6" s="26">
        <f>IF(VLOOKUP($R6,武学奇术!$A:$ZZ,22,FALSE)=1,0,(1-$BJ6))*(1-$BM6)</f>
        <v>0.0172349</v>
      </c>
      <c r="BR6" s="26" cm="1">
        <f t="array" ref="BR6">SUM(_xlfn.XLOOKUP(S6:AG6,增益!$A:$A,增益!$W:$W,0))+$I$5</f>
        <v>0.11</v>
      </c>
    </row>
    <row r="7" ht="14.25" spans="1:70">
      <c r="A7" s="84" t="s">
        <v>100</v>
      </c>
      <c r="B7" s="60">
        <v>79.2</v>
      </c>
      <c r="C7" s="60">
        <f>92.4+68.8*2</f>
        <v>230</v>
      </c>
      <c r="D7" s="61"/>
      <c r="E7" s="62"/>
      <c r="F7" s="53" t="s">
        <v>101</v>
      </c>
      <c r="G7" s="63">
        <f>B20</f>
        <v>0</v>
      </c>
      <c r="K7">
        <f>$L7*VLOOKUP($R7,武学奇术!$A:$ZZ,31,FALSE)</f>
        <v>19406.750688525</v>
      </c>
      <c r="L7" s="38">
        <f t="shared" si="10"/>
        <v>18482.6197033571</v>
      </c>
      <c r="M7" s="38">
        <f>((($AO7+$AP7)/2*$AI7+$AJ7)*(1+$AQ7)*(1+$AR7)+(($AT7+$AU7)/2*IF($G$1="鸣金",$AK7,$AI7)+IF($G$1="鸣金",$AL7*1.5,0))*(1+$AV7)*(1+$AW7)+(($AX7+$AY7)/2*IF($G$1="裂石",$AK7,$AI7)+IF($G$1="裂石",$AL7*1.5,0))*(1+$AZ7)*(1+$BA7)+(($BB7+$BC7)/2*IF($G$1="牵丝",$AK7,$AI7)+IF($G$1="牵丝",$AL7*1.5,0))*(1+$BD7)*(1+$BE7)+(($BF7+$BG7)/2*IF($G$1="破竹",$AK7,$AI7)+IF($G$1="破竹",$AL7*1.5,0))*(1+$BH7)*(1+$BI7))*(1+$AM7)*$BL7*$Q7*(1+IF(VLOOKUP($R7,武学奇术!$A:$ZZ,30,FALSE)="回旋伞",$B$21,0))*(1+$BR7)</f>
        <v>19071.5307690079</v>
      </c>
      <c r="N7" s="38">
        <f>(($AP7*$AI7+$AJ7)*(1+$AQ7)*(1+$AR7)+($AU7*IF($G$1="鸣金",$AK7,$AI7)+IF($G$1="鸣金",$AL7*1.5,0))*(1+$AV7)*(1+$AW7)+($AY7*IF($G$1="裂石",$AK7,$AI7)+IF($G$1="裂石",$AL7*1.5,0))*(1+$AZ7)*(1+$BA7)+($BC7*IF($G$1="牵丝",$AK7,$AI7)+IF($G$1="牵丝",$AL7*1.5,0))*(1+$BD7)*(1+$BE7)+($BG7*IF($G$1="破竹",$AK7,$AI7)+IF($G$1="破竹",$AL7*1.5,0))*(1+$BH7)*(1+$BI7))*(1+$AM7)*$BN7*$Q7*(1+IF(VLOOKUP($R7,武学奇术!$A:$ZZ,30,FALSE)="回旋伞",$B$21,0))*(1+$BR7)</f>
        <v>18631.8447481949</v>
      </c>
      <c r="O7" s="38">
        <f>((($AO7+$AP7)/2*$AI7+$AJ7)*(1+$AQ7)*(1+$AR7)+(($AT7+$AU7)/2*IF($G$1="鸣金",$AK7,$AI7)+IF($G$1="鸣金",$AL7*1.5,0))*(1+$AV7)*(1+$AW7)+(($AX7+$AY7)/2*IF($G$1="裂石",$AK7,$AI7)+IF($G$1="裂石",$AL7*1.5,0))*(1+$AZ7)*(1+$BA7)+(($BB7+$BC7)/2*IF($G$1="牵丝",$AK7,$AI7)+IF($G$1="牵丝",$AL7*1.5,0))*(1+$BD7)*(1+$BE7)+(($BF7+$BG7)/2*IF($G$1="破竹",$AK7,$AI7)+IF($G$1="破竹",$AL7*1.5,0))*(1+$BH7)*(1+$BI7))*(1+$AM7)*$Q7*(1+IF(VLOOKUP($R7,武学奇术!$A:$ZZ,30,FALSE)="回旋伞",$B$21,0))*(1+$BR7)</f>
        <v>12304.2133993599</v>
      </c>
      <c r="P7" s="38">
        <f>((($AO7*$AI7+$AJ7)*(1+$AQ7)*(1+$AR7)+($AT7*IF($G$1="鸣金",$AK7,$AI7)+IF($G$1="鸣金",$AL7*1.5,0))*(1+$AV7)*(1+$AW7)+($AX7*IF($G$1="裂石",$AK7,$AI7)+IF($G$1="裂石",$AL7*1.5,0))*(1+$AZ7)*(1+$BA7)+($BB7*IF($G$1="牵丝",$AK7,$AI7)+IF($G$1="牵丝",$AL7*1.5,0))*(1+$BD7)*(1+$BE7)+($BF7*IF($G$1="破竹",$AK7,$AI7)+IF($G$1="破竹",$AL7*1.5,0))*(1+$BH7)*(1+$BI7))*(1+$AM7))*$Q7*(1+IF(VLOOKUP($R7,武学奇术!$A:$ZZ,30,FALSE)="回旋伞",$B$21,0))*(1+$BR7)</f>
        <v>10807.0603185754</v>
      </c>
      <c r="Q7" s="39">
        <v>1</v>
      </c>
      <c r="R7" s="40" t="s">
        <v>102</v>
      </c>
      <c r="S7" s="40" t="s">
        <v>72</v>
      </c>
      <c r="T7" s="40" t="s">
        <v>72</v>
      </c>
      <c r="U7" s="40" t="s">
        <v>72</v>
      </c>
      <c r="V7" s="40" t="s">
        <v>72</v>
      </c>
      <c r="W7" s="40" t="s">
        <v>75</v>
      </c>
      <c r="X7" s="40" t="s">
        <v>76</v>
      </c>
      <c r="Y7" s="40" t="s">
        <v>72</v>
      </c>
      <c r="Z7" s="40" t="s">
        <v>72</v>
      </c>
      <c r="AA7" s="40" t="s">
        <v>72</v>
      </c>
      <c r="AB7" s="40" t="s">
        <v>72</v>
      </c>
      <c r="AC7" s="40" t="s">
        <v>72</v>
      </c>
      <c r="AD7" s="40" t="s">
        <v>72</v>
      </c>
      <c r="AE7" s="40" t="s">
        <v>72</v>
      </c>
      <c r="AF7" s="40" t="s">
        <v>77</v>
      </c>
      <c r="AG7" s="40" t="s">
        <v>78</v>
      </c>
      <c r="AH7" t="str">
        <f>VLOOKUP($R7,武学奇术!$A:$ZZ,25,FALSE)</f>
        <v>绳镖</v>
      </c>
      <c r="AI7" s="26">
        <f>VLOOKUP($R7,武学奇术!$A:$ZZ,26,FALSE)</f>
        <v>1.1137</v>
      </c>
      <c r="AJ7" s="27">
        <f>VLOOKUP($R7,武学奇术!$A:$ZZ,27,FALSE)*(1+IF(OR($AH7=$F$4,$AH7=$F$5),$B$22,0))</f>
        <v>463.5</v>
      </c>
      <c r="AK7" s="26">
        <f>VLOOKUP($R7,武学奇术!$A:$ZZ,28,FALSE)</f>
        <v>1.6706</v>
      </c>
      <c r="AL7" s="27">
        <f>VLOOKUP($R7,武学奇术!$A:$ZZ,29,FALSE)*(1+IF(OR($AH7=$F$4,$AH7=$F$5),$B$22,0))</f>
        <v>252</v>
      </c>
      <c r="AM7" s="26" cm="1">
        <f t="array" ref="AM7">$G$3+IFERROR(VLOOKUP($AH7,$F$4:$G$7,2,FALSE),0)+VLOOKUP($R7,武学奇术!$A:$ZZ,2,FALSE)+SUM(_xlfn.XLOOKUP($S7:$AG7,增益!$A:$A,增益!$B:$B,0))</f>
        <v>0.3289</v>
      </c>
      <c r="AN7" s="26" cm="1">
        <f t="array" ref="AN7">VLOOKUP($R7,武学奇术!$A:$ZZ,5,FALSE)+SUM(_xlfn.XLOOKUP($S7:$AG7,增益!$A:$A,增益!$E:$E,0))</f>
        <v>0</v>
      </c>
      <c r="AO7" cm="1">
        <f t="array" ref="AO7">$D$10*(1+$AN7)+VLOOKUP($R7,武学奇术!$A:$ZZ,3,FALSE)+SUM(_xlfn.XLOOKUP($S7:$AG7,增益!$A:$A,增益!$C:$C,0))-$I$2</f>
        <v>3624.6</v>
      </c>
      <c r="AP7" cm="1">
        <f t="array" ref="AP7">$E$10*(1+$AN7)+VLOOKUP($R7,武学奇术!$A:$ZZ,4,FALSE)+SUM(_xlfn.XLOOKUP($S7:$AG7,增益!$A:$A,增益!$D:$D,0))-$I$2</f>
        <v>3624.6</v>
      </c>
      <c r="AQ7" s="32" cm="1">
        <f t="array" ref="AQ7">IF($F$10-$I$3+VLOOKUP($R7,武学奇术!$A:$ZZ,6,FALSE)+SUM(_xlfn.XLOOKUP(S7:AG7,增益!$A:$A,增益!$F:$F,0))&gt;0,($F$10-$I$3+VLOOKUP($R7,武学奇术!$A:$ZZ,6,FALSE)+SUM(_xlfn.XLOOKUP(S7:AG7,增益!$A:$A,增益!$F:$F,0)))/200,($F$10-$I$3+VLOOKUP($R7,武学奇术!$A:$ZZ,6,FALSE)+SUM(_xlfn.XLOOKUP(S7:AG7,增益!$A:$A,增益!$F:$F,0)))/100)</f>
        <v>0.2525</v>
      </c>
      <c r="AR7" s="32" cm="1">
        <f t="array" ref="AR7">$G$10+VLOOKUP($R7,武学奇术!$A:$ZZ,7,FALSE)+SUM(_xlfn.XLOOKUP(S7:AG7,增益!$A:$A,增益!$G:$G,0))</f>
        <v>0.028</v>
      </c>
      <c r="AS7" s="26" cm="1">
        <f t="array" ref="AS7">VLOOKUP($R7,武学奇术!$A:$ZZ,8,FALSE)+SUM(_xlfn.XLOOKUP(S7:AG7,增益!$A:$A,增益!$H:$H,0))</f>
        <v>0</v>
      </c>
      <c r="AT7">
        <f t="shared" si="0"/>
        <v>0</v>
      </c>
      <c r="AU7">
        <f t="shared" si="1"/>
        <v>0</v>
      </c>
      <c r="AV7" s="32" cm="1">
        <f t="array" ref="AV7">IF($F$11-$I$4+VLOOKUP($R7,武学奇术!$A:$ZZ,9,FALSE)+SUM(_xlfn.XLOOKUP(S7:AG7,增益!$A:$A,增益!$I:$I,0))&gt;0,($F$11-$I$4+VLOOKUP($R7,武学奇术!$A:$ZZ,9,FALSE)+SUM(_xlfn.XLOOKUP(S7:AG7,增益!$A:$A,增益!$I:$I,0)))/200,($F$11-$I$4+VLOOKUP($R7,武学奇术!$A:$ZZ,9,FALSE)+SUM(_xlfn.XLOOKUP(S7:AG7,增益!$A:$A,增益!$I:$I,0)))/100)</f>
        <v>-0.3</v>
      </c>
      <c r="AW7" s="32" cm="1">
        <f t="array" ref="AW7">$G$11+VLOOKUP($R7,武学奇术!$A:$ZZ,10,FALSE)+SUM(_xlfn.XLOOKUP(S7:AG7,增益!$A:$A,增益!$J:$J,0))</f>
        <v>0</v>
      </c>
      <c r="AX7">
        <f t="shared" si="2"/>
        <v>0</v>
      </c>
      <c r="AY7">
        <f t="shared" si="3"/>
        <v>0</v>
      </c>
      <c r="AZ7" s="32" cm="1">
        <f t="array" ref="AZ7">IF($F$12-$I$4+VLOOKUP($R7,武学奇术!$A:$ZZ,11,FALSE)+SUM(_xlfn.XLOOKUP(S7:AG7,增益!$A:$A,增益!$K:$K,0))&gt;0,($F$12-$I$4+VLOOKUP($R7,武学奇术!$A:$ZZ,11,FALSE)+SUM(_xlfn.XLOOKUP(S7:AG7,增益!$A:$A,增益!$K:$K,0)))/200,($F$12-$I$4+VLOOKUP($R7,武学奇术!$A:$ZZ,11,FALSE)+SUM(_xlfn.XLOOKUP(S7:AG7,增益!$A:$A,增益!$K:$K,0)))/100)</f>
        <v>-0.3</v>
      </c>
      <c r="BA7" s="32" cm="1">
        <f t="array" ref="BA7">$G$12+VLOOKUP($R7,武学奇术!$A:$ZZ,12,FALSE)+SUM(_xlfn.XLOOKUP(S7:AG7,增益!$A:$A,增益!$L:$L,0))</f>
        <v>0</v>
      </c>
      <c r="BB7">
        <f t="shared" si="4"/>
        <v>0</v>
      </c>
      <c r="BC7">
        <f t="shared" si="5"/>
        <v>0</v>
      </c>
      <c r="BD7" s="32" cm="1">
        <f t="array" ref="BD7">IF($F$13-$I$4+VLOOKUP($R7,武学奇术!$A:$ZZ,13,FALSE)+SUM(_xlfn.XLOOKUP(S7:AG7,增益!$A:$A,增益!$M:$M,0))&gt;0,($F$13-$I$4+VLOOKUP($R7,武学奇术!$A:$ZZ,13,FALSE)+SUM(_xlfn.XLOOKUP(S7:AG7,增益!$A:$A,增益!$K:$K,0)))/200,($F$13-$I$4+VLOOKUP($R7,武学奇术!$A:$ZZ,13,FALSE)+SUM(_xlfn.XLOOKUP(S7:AG7,增益!$A:$A,增益!$M:$M,0)))/100)</f>
        <v>-0.3</v>
      </c>
      <c r="BE7" s="32" cm="1">
        <f t="array" ref="BE7">$G$13+VLOOKUP($R7,武学奇术!$A:$ZZ,14,FALSE)+SUM(_xlfn.XLOOKUP(S7:AG7,增益!$A:$A,增益!$N:$N,0))</f>
        <v>0</v>
      </c>
      <c r="BF7">
        <f t="shared" si="6"/>
        <v>571.2</v>
      </c>
      <c r="BG7">
        <f t="shared" si="7"/>
        <v>1627.8</v>
      </c>
      <c r="BH7" s="32" cm="1">
        <f t="array" ref="BH7">IF($F$14-$I$4+VLOOKUP($R7,武学奇术!$A:$ZZ,15,FALSE)+SUM(_xlfn.XLOOKUP(S7:AG7,增益!$A:$A,增益!$O:$O,0))&gt;0,($F$14-$I$4+VLOOKUP($R7,武学奇术!$A:$ZZ,15,FALSE)+SUM(_xlfn.XLOOKUP(S7:AG7,增益!$A:$A,增益!$O:$O,0)))/200,($F$14-$I$4+VLOOKUP($R7,武学奇术!$A:$ZZ,15,FALSE)+SUM(_xlfn.XLOOKUP(S7:AG7,增益!$A:$A,增益!$O:$O,0)))/100)</f>
        <v>0</v>
      </c>
      <c r="BI7" s="32" cm="1">
        <f t="array" ref="BI7">$G$14+VLOOKUP($R7,武学奇术!$A:$ZZ,16,FALSE)+SUM(_xlfn.XLOOKUP(S7:AG7,增益!$A:$A,增益!$P:$P,0))</f>
        <v>0.15</v>
      </c>
      <c r="BJ7" s="26">
        <f>MIN(IF(VLOOKUP($R7,武学奇术!$A:$ZZ,23,FALSE)=1,100%,$B$8),100%)</f>
        <v>0.981</v>
      </c>
      <c r="BK7" s="26" cm="1">
        <f t="array" ref="BK7">IF(VLOOKUP($R7,武学奇术!$A:$ZZ,23,FALSE)=1,100%,MIN(80%,$B$9+VLOOKUP($R7,武学奇术!$A:$ZZ,17,FALSE)+SUM(_xlfn.XLOOKUP(S7:AG7,增益!$A:$A,增益!$Q:$Q,0)))+$B$11+SUM(_xlfn.XLOOKUP(S7:AG7,增益!$A:$A,增益!$U:$U,0)))*IF(VLOOKUP($R7,武学奇术!$A:$ZZ,24,FALSE)=1,0,1)</f>
        <v>0.846</v>
      </c>
      <c r="BL7" s="26" cm="1">
        <f t="array" ref="BL7">1+$B$13+VLOOKUP($R7,武学奇术!$A:$ZZ,18,FALSE)+SUM(_xlfn.XLOOKUP(S7:AG7,增益!$A:$A,增益!$R:$R,0))</f>
        <v>1.55</v>
      </c>
      <c r="BM7" s="26" cm="1">
        <f t="array" ref="BM7">IF(VLOOKUP($R7,武学奇术!$A:$ZZ,24,FALSE)=1,100%,MIN(40%,$B$10+VLOOKUP($R7,武学奇术!$A:$ZZ,19,FALSE)+SUM(_xlfn.XLOOKUP(S7:AG7,增益!$A:$A,增益!$S:$S,0)))+$B$12+SUM(_xlfn.XLOOKUP(S7:AG7,增益!$A:$A,增益!$V:$V,0)))*IF(VLOOKUP($R7,武学奇术!$A:$ZZ,23,FALSE)=1,0,1)</f>
        <v>0.0929</v>
      </c>
      <c r="BN7" s="26" cm="1">
        <f t="array" ref="BN7">1+$B$14+VLOOKUP($R7,武学奇术!$A:$ZZ,20,FALSE)+SUM(_xlfn.XLOOKUP(S7:AG7,增益!$A:$A,增益!$T:$T,0))</f>
        <v>1.35</v>
      </c>
      <c r="BO7" s="26">
        <f t="shared" si="8"/>
        <v>0.829926</v>
      </c>
      <c r="BP7" s="26">
        <f t="shared" si="9"/>
        <v>0.0599391</v>
      </c>
      <c r="BQ7" s="26">
        <f>IF(VLOOKUP($R7,武学奇术!$A:$ZZ,22,FALSE)=1,0,(1-$BJ7))*(1-$BM7)</f>
        <v>0.0172349</v>
      </c>
      <c r="BR7" s="26" cm="1">
        <f t="array" ref="BR7">SUM(_xlfn.XLOOKUP(S7:AG7,增益!$A:$A,增益!$W:$W,0))+$I$5</f>
        <v>0.11</v>
      </c>
    </row>
    <row r="8" spans="1:70">
      <c r="A8" s="64" t="s">
        <v>103</v>
      </c>
      <c r="B8" s="65">
        <v>0.981</v>
      </c>
      <c r="C8" s="36" t="s">
        <v>104</v>
      </c>
      <c r="D8" s="66"/>
      <c r="E8" s="66"/>
      <c r="F8" s="66"/>
      <c r="G8" s="37"/>
      <c r="H8" s="67" t="s">
        <v>105</v>
      </c>
      <c r="I8" s="18">
        <v>101</v>
      </c>
      <c r="J8" s="68"/>
      <c r="K8">
        <f>$L8*VLOOKUP($R8,武学奇术!$A:$ZZ,31,FALSE)</f>
        <v>14534.3161656595</v>
      </c>
      <c r="L8" s="38">
        <f t="shared" si="10"/>
        <v>13842.2058720567</v>
      </c>
      <c r="M8" s="38">
        <f>((($AO8+$AP8)/2*$AI8+$AJ8)*(1+$AQ8)*(1+$AR8)+(($AT8+$AU8)/2*IF($G$1="鸣金",$AK8,$AI8)+IF($G$1="鸣金",$AL8*1.5,0))*(1+$AV8)*(1+$AW8)+(($AX8+$AY8)/2*IF($G$1="裂石",$AK8,$AI8)+IF($G$1="裂石",$AL8*1.5,0))*(1+$AZ8)*(1+$BA8)+(($BB8+$BC8)/2*IF($G$1="牵丝",$AK8,$AI8)+IF($G$1="牵丝",$AL8*1.5,0))*(1+$BD8)*(1+$BE8)+(($BF8+$BG8)/2*IF($G$1="破竹",$AK8,$AI8)+IF($G$1="破竹",$AL8*1.5,0))*(1+$BH8)*(1+$BI8))*(1+$AM8)*$BL8*$Q8*(1+IF(VLOOKUP($R8,武学奇术!$A:$ZZ,30,FALSE)="回旋伞",$B$21,0))*(1+$BR8)</f>
        <v>14276.5391221896</v>
      </c>
      <c r="N8" s="38">
        <f>(($AP8*$AI8+$AJ8)*(1+$AQ8)*(1+$AR8)+($AU8*IF($G$1="鸣金",$AK8,$AI8)+IF($G$1="鸣金",$AL8*1.5,0))*(1+$AV8)*(1+$AW8)+($AY8*IF($G$1="裂石",$AK8,$AI8)+IF($G$1="裂石",$AL8*1.5,0))*(1+$AZ8)*(1+$BA8)+($BC8*IF($G$1="牵丝",$AK8,$AI8)+IF($G$1="牵丝",$AL8*1.5,0))*(1+$BD8)*(1+$BE8)+($BG8*IF($G$1="破竹",$AK8,$AI8)+IF($G$1="破竹",$AL8*1.5,0))*(1+$BH8)*(1+$BI8))*(1+$AM8)*$BN8*$Q8*(1+IF(VLOOKUP($R8,武学奇术!$A:$ZZ,30,FALSE)="回旋伞",$B$21,0))*(1+$BR8)</f>
        <v>14028.6759298653</v>
      </c>
      <c r="O8" s="38">
        <f>((($AO8+$AP8)/2*$AI8+$AJ8)*(1+$AQ8)*(1+$AR8)+(($AT8+$AU8)/2*IF($G$1="鸣金",$AK8,$AI8)+IF($G$1="鸣金",$AL8*1.5,0))*(1+$AV8)*(1+$AW8)+(($AX8+$AY8)/2*IF($G$1="裂石",$AK8,$AI8)+IF($G$1="裂石",$AL8*1.5,0))*(1+$AZ8)*(1+$BA8)+(($BB8+$BC8)/2*IF($G$1="牵丝",$AK8,$AI8)+IF($G$1="牵丝",$AL8*1.5,0))*(1+$BD8)*(1+$BE8)+(($BF8+$BG8)/2*IF($G$1="破竹",$AK8,$AI8)+IF($G$1="破竹",$AL8*1.5,0))*(1+$BH8)*(1+$BI8))*(1+$AM8)*$Q8*(1+IF(VLOOKUP($R8,武学奇术!$A:$ZZ,30,FALSE)="回旋伞",$B$21,0))*(1+$BR8)</f>
        <v>9210.67040141266</v>
      </c>
      <c r="P8" s="38">
        <f>((($AO8*$AI8+$AJ8)*(1+$AQ8)*(1+$AR8)+($AT8*IF($G$1="鸣金",$AK8,$AI8)+IF($G$1="鸣金",$AL8*1.5,0))*(1+$AV8)*(1+$AW8)+($AX8*IF($G$1="裂石",$AK8,$AI8)+IF($G$1="裂石",$AL8*1.5,0))*(1+$AZ8)*(1+$BA8)+($BB8*IF($G$1="牵丝",$AK8,$AI8)+IF($G$1="牵丝",$AL8*1.5,0))*(1+$BD8)*(1+$BE8)+($BF8*IF($G$1="破竹",$AK8,$AI8)+IF($G$1="破竹",$AL8*1.5,0))*(1+$BH8)*(1+$BI8))*(1+$AM8))*$Q8*(1+IF(VLOOKUP($R8,武学奇术!$A:$ZZ,30,FALSE)="回旋伞",$B$21,0))*(1+$BR8)</f>
        <v>8029.72900292513</v>
      </c>
      <c r="Q8" s="39">
        <v>1</v>
      </c>
      <c r="R8" s="40" t="s">
        <v>106</v>
      </c>
      <c r="S8" s="40" t="s">
        <v>72</v>
      </c>
      <c r="T8" s="40" t="s">
        <v>72</v>
      </c>
      <c r="U8" s="40" t="s">
        <v>72</v>
      </c>
      <c r="V8" s="40" t="s">
        <v>72</v>
      </c>
      <c r="W8" s="40" t="s">
        <v>75</v>
      </c>
      <c r="X8" s="40" t="s">
        <v>76</v>
      </c>
      <c r="Y8" s="40" t="s">
        <v>84</v>
      </c>
      <c r="Z8" s="40" t="s">
        <v>72</v>
      </c>
      <c r="AA8" s="40" t="s">
        <v>72</v>
      </c>
      <c r="AB8" s="40" t="s">
        <v>72</v>
      </c>
      <c r="AC8" s="40" t="s">
        <v>85</v>
      </c>
      <c r="AD8" s="40" t="s">
        <v>72</v>
      </c>
      <c r="AE8" s="40" t="s">
        <v>72</v>
      </c>
      <c r="AF8" s="40" t="s">
        <v>77</v>
      </c>
      <c r="AG8" s="40" t="s">
        <v>78</v>
      </c>
      <c r="AH8" t="str">
        <f>VLOOKUP($R8,武学奇术!$A:$ZZ,25,FALSE)</f>
        <v>绳镖</v>
      </c>
      <c r="AI8" s="26">
        <f>VLOOKUP($R8,武学奇术!$A:$ZZ,26,FALSE)</f>
        <v>0.7839</v>
      </c>
      <c r="AJ8" s="27">
        <f>VLOOKUP($R8,武学奇术!$A:$ZZ,27,FALSE)*(1+IF(OR($AH8=$F$4,$AH8=$F$5),$B$22,0))</f>
        <v>327</v>
      </c>
      <c r="AK8" s="26">
        <f>VLOOKUP($R8,武学奇术!$A:$ZZ,28,FALSE)</f>
        <v>1.1759</v>
      </c>
      <c r="AL8" s="27">
        <f>VLOOKUP($R8,武学奇术!$A:$ZZ,29,FALSE)*(1+IF(OR($AH8=$F$4,$AH8=$F$5),$B$22,0))</f>
        <v>178.5</v>
      </c>
      <c r="AM8" s="26" cm="1">
        <f t="array" ref="AM8">$G$3+IFERROR(VLOOKUP($AH8,$F$4:$G$7,2,FALSE),0)+VLOOKUP($R8,武学奇术!$A:$ZZ,2,FALSE)+SUM(_xlfn.XLOOKUP($S8:$AG8,增益!$A:$A,增益!$B:$B,0))</f>
        <v>0.3789</v>
      </c>
      <c r="AN8" s="26" cm="1">
        <f t="array" ref="AN8">VLOOKUP($R8,武学奇术!$A:$ZZ,5,FALSE)+SUM(_xlfn.XLOOKUP($S8:$AG8,增益!$A:$A,增益!$E:$E,0))</f>
        <v>0</v>
      </c>
      <c r="AO8" cm="1">
        <f t="array" ref="AO8">$D$10*(1+$AN8)+VLOOKUP($R8,武学奇术!$A:$ZZ,3,FALSE)+SUM(_xlfn.XLOOKUP($S8:$AG8,增益!$A:$A,增益!$C:$C,0))-$I$2</f>
        <v>3624.6</v>
      </c>
      <c r="AP8" cm="1">
        <f t="array" ref="AP8">$E$10*(1+$AN8)+VLOOKUP($R8,武学奇术!$A:$ZZ,4,FALSE)+SUM(_xlfn.XLOOKUP($S8:$AG8,增益!$A:$A,增益!$D:$D,0))-$I$2</f>
        <v>3624.6</v>
      </c>
      <c r="AQ8" s="32" cm="1">
        <f t="array" ref="AQ8">IF($F$10-$I$3+VLOOKUP($R8,武学奇术!$A:$ZZ,6,FALSE)+SUM(_xlfn.XLOOKUP(S8:AG8,增益!$A:$A,增益!$F:$F,0))&gt;0,($F$10-$I$3+VLOOKUP($R8,武学奇术!$A:$ZZ,6,FALSE)+SUM(_xlfn.XLOOKUP(S8:AG8,增益!$A:$A,增益!$F:$F,0)))/200,($F$10-$I$3+VLOOKUP($R8,武学奇术!$A:$ZZ,6,FALSE)+SUM(_xlfn.XLOOKUP(S8:AG8,增益!$A:$A,增益!$F:$F,0)))/100)</f>
        <v>0.2525</v>
      </c>
      <c r="AR8" s="32" cm="1">
        <f t="array" ref="AR8">$G$10+VLOOKUP($R8,武学奇术!$A:$ZZ,7,FALSE)+SUM(_xlfn.XLOOKUP(S8:AG8,增益!$A:$A,增益!$G:$G,0))</f>
        <v>0.028</v>
      </c>
      <c r="AS8" s="26" cm="1">
        <f t="array" ref="AS8">VLOOKUP($R8,武学奇术!$A:$ZZ,8,FALSE)+SUM(_xlfn.XLOOKUP(S8:AG8,增益!$A:$A,增益!$H:$H,0))</f>
        <v>0</v>
      </c>
      <c r="AT8">
        <f t="shared" si="0"/>
        <v>0</v>
      </c>
      <c r="AU8">
        <f t="shared" si="1"/>
        <v>0</v>
      </c>
      <c r="AV8" s="32" cm="1">
        <f t="array" ref="AV8">IF($F$11-$I$4+VLOOKUP($R8,武学奇术!$A:$ZZ,9,FALSE)+SUM(_xlfn.XLOOKUP(S8:AG8,增益!$A:$A,增益!$I:$I,0))&gt;0,($F$11-$I$4+VLOOKUP($R8,武学奇术!$A:$ZZ,9,FALSE)+SUM(_xlfn.XLOOKUP(S8:AG8,增益!$A:$A,增益!$I:$I,0)))/200,($F$11-$I$4+VLOOKUP($R8,武学奇术!$A:$ZZ,9,FALSE)+SUM(_xlfn.XLOOKUP(S8:AG8,增益!$A:$A,增益!$I:$I,0)))/100)</f>
        <v>-0.14</v>
      </c>
      <c r="AW8" s="32" cm="1">
        <f t="array" ref="AW8">$G$11+VLOOKUP($R8,武学奇术!$A:$ZZ,10,FALSE)+SUM(_xlfn.XLOOKUP(S8:AG8,增益!$A:$A,增益!$J:$J,0))</f>
        <v>0</v>
      </c>
      <c r="AX8">
        <f t="shared" si="2"/>
        <v>0</v>
      </c>
      <c r="AY8">
        <f t="shared" si="3"/>
        <v>0</v>
      </c>
      <c r="AZ8" s="32" cm="1">
        <f t="array" ref="AZ8">IF($F$12-$I$4+VLOOKUP($R8,武学奇术!$A:$ZZ,11,FALSE)+SUM(_xlfn.XLOOKUP(S8:AG8,增益!$A:$A,增益!$K:$K,0))&gt;0,($F$12-$I$4+VLOOKUP($R8,武学奇术!$A:$ZZ,11,FALSE)+SUM(_xlfn.XLOOKUP(S8:AG8,增益!$A:$A,增益!$K:$K,0)))/200,($F$12-$I$4+VLOOKUP($R8,武学奇术!$A:$ZZ,11,FALSE)+SUM(_xlfn.XLOOKUP(S8:AG8,增益!$A:$A,增益!$K:$K,0)))/100)</f>
        <v>-0.14</v>
      </c>
      <c r="BA8" s="32" cm="1">
        <f t="array" ref="BA8">$G$12+VLOOKUP($R8,武学奇术!$A:$ZZ,12,FALSE)+SUM(_xlfn.XLOOKUP(S8:AG8,增益!$A:$A,增益!$L:$L,0))</f>
        <v>0</v>
      </c>
      <c r="BB8">
        <f t="shared" si="4"/>
        <v>0</v>
      </c>
      <c r="BC8">
        <f t="shared" si="5"/>
        <v>0</v>
      </c>
      <c r="BD8" s="32" cm="1">
        <f t="array" ref="BD8">IF($F$13-$I$4+VLOOKUP($R8,武学奇术!$A:$ZZ,13,FALSE)+SUM(_xlfn.XLOOKUP(S8:AG8,增益!$A:$A,增益!$M:$M,0))&gt;0,($F$13-$I$4+VLOOKUP($R8,武学奇术!$A:$ZZ,13,FALSE)+SUM(_xlfn.XLOOKUP(S8:AG8,增益!$A:$A,增益!$K:$K,0)))/200,($F$13-$I$4+VLOOKUP($R8,武学奇术!$A:$ZZ,13,FALSE)+SUM(_xlfn.XLOOKUP(S8:AG8,增益!$A:$A,增益!$M:$M,0)))/100)</f>
        <v>-0.14</v>
      </c>
      <c r="BE8" s="32" cm="1">
        <f t="array" ref="BE8">$G$13+VLOOKUP($R8,武学奇术!$A:$ZZ,14,FALSE)+SUM(_xlfn.XLOOKUP(S8:AG8,增益!$A:$A,增益!$N:$N,0))</f>
        <v>0</v>
      </c>
      <c r="BF8">
        <f t="shared" si="6"/>
        <v>571.2</v>
      </c>
      <c r="BG8">
        <f t="shared" si="7"/>
        <v>1627.8</v>
      </c>
      <c r="BH8" s="32" cm="1">
        <f t="array" ref="BH8">IF($F$14-$I$4+VLOOKUP($R8,武学奇术!$A:$ZZ,15,FALSE)+SUM(_xlfn.XLOOKUP(S8:AG8,增益!$A:$A,增益!$O:$O,0))&gt;0,($F$14-$I$4+VLOOKUP($R8,武学奇术!$A:$ZZ,15,FALSE)+SUM(_xlfn.XLOOKUP(S8:AG8,增益!$A:$A,增益!$O:$O,0)))/200,($F$14-$I$4+VLOOKUP($R8,武学奇术!$A:$ZZ,15,FALSE)+SUM(_xlfn.XLOOKUP(S8:AG8,增益!$A:$A,增益!$O:$O,0)))/100)</f>
        <v>0.08</v>
      </c>
      <c r="BI8" s="32" cm="1">
        <f t="array" ref="BI8">$G$14+VLOOKUP($R8,武学奇术!$A:$ZZ,16,FALSE)+SUM(_xlfn.XLOOKUP(S8:AG8,增益!$A:$A,增益!$P:$P,0))</f>
        <v>0.15</v>
      </c>
      <c r="BJ8" s="26">
        <f>MIN(IF(VLOOKUP($R8,武学奇术!$A:$ZZ,23,FALSE)=1,100%,$B$8),100%)</f>
        <v>0.981</v>
      </c>
      <c r="BK8" s="26" cm="1">
        <f t="array" ref="BK8">IF(VLOOKUP($R8,武学奇术!$A:$ZZ,23,FALSE)=1,100%,MIN(80%,$B$9+VLOOKUP($R8,武学奇术!$A:$ZZ,17,FALSE)+SUM(_xlfn.XLOOKUP(S8:AG8,增益!$A:$A,增益!$Q:$Q,0)))+$B$11+SUM(_xlfn.XLOOKUP(S8:AG8,增益!$A:$A,增益!$U:$U,0)))*IF(VLOOKUP($R8,武学奇术!$A:$ZZ,24,FALSE)=1,0,1)</f>
        <v>0.846</v>
      </c>
      <c r="BL8" s="26" cm="1">
        <f t="array" ref="BL8">1+$B$13+VLOOKUP($R8,武学奇术!$A:$ZZ,18,FALSE)+SUM(_xlfn.XLOOKUP(S8:AG8,增益!$A:$A,增益!$R:$R,0))</f>
        <v>1.55</v>
      </c>
      <c r="BM8" s="26" cm="1">
        <f t="array" ref="BM8">IF(VLOOKUP($R8,武学奇术!$A:$ZZ,24,FALSE)=1,100%,MIN(40%,$B$10+VLOOKUP($R8,武学奇术!$A:$ZZ,19,FALSE)+SUM(_xlfn.XLOOKUP(S8:AG8,增益!$A:$A,增益!$S:$S,0)))+$B$12+SUM(_xlfn.XLOOKUP(S8:AG8,增益!$A:$A,增益!$V:$V,0)))*IF(VLOOKUP($R8,武学奇术!$A:$ZZ,23,FALSE)=1,0,1)</f>
        <v>0.0929</v>
      </c>
      <c r="BN8" s="26" cm="1">
        <f t="array" ref="BN8">1+$B$14+VLOOKUP($R8,武学奇术!$A:$ZZ,20,FALSE)+SUM(_xlfn.XLOOKUP(S8:AG8,增益!$A:$A,增益!$T:$T,0))</f>
        <v>1.35</v>
      </c>
      <c r="BO8" s="26">
        <f t="shared" si="8"/>
        <v>0.829926</v>
      </c>
      <c r="BP8" s="26">
        <f t="shared" si="9"/>
        <v>0.0599391</v>
      </c>
      <c r="BQ8" s="26">
        <f>IF(VLOOKUP($R8,武学奇术!$A:$ZZ,22,FALSE)=1,0,(1-$BJ8))*(1-$BM8)</f>
        <v>0.0172349</v>
      </c>
      <c r="BR8" s="26" cm="1">
        <f t="array" ref="BR8">SUM(_xlfn.XLOOKUP(S8:AG8,增益!$A:$A,增益!$W:$W,0))+$I$5</f>
        <v>0.11</v>
      </c>
    </row>
    <row r="9" ht="14.25" spans="1:70">
      <c r="A9" s="41" t="s">
        <v>107</v>
      </c>
      <c r="B9" s="69">
        <v>0.8049</v>
      </c>
      <c r="C9" s="45"/>
      <c r="D9" t="s">
        <v>0</v>
      </c>
      <c r="E9" t="s">
        <v>1</v>
      </c>
      <c r="F9" s="39" t="s">
        <v>2</v>
      </c>
      <c r="G9" s="44" t="s">
        <v>3</v>
      </c>
      <c r="H9" s="70"/>
      <c r="I9" s="22"/>
      <c r="J9" s="71"/>
      <c r="K9">
        <f>$L9*VLOOKUP($R9,武学奇术!$A:$ZZ,31,FALSE)</f>
        <v>75193.9906945642</v>
      </c>
      <c r="L9" s="38">
        <f t="shared" si="10"/>
        <v>71613.3244710135</v>
      </c>
      <c r="M9" s="38">
        <f>((($AO9+$AP9)/2*$AI9+$AJ9)*(1+$AQ9)*(1+$AR9)+(($AT9+$AU9)/2*IF($G$1="鸣金",$AK9,$AI9)+IF($G$1="鸣金",$AL9*1.5,0))*(1+$AV9)*(1+$AW9)+(($AX9+$AY9)/2*IF($G$1="裂石",$AK9,$AI9)+IF($G$1="裂石",$AL9*1.5,0))*(1+$AZ9)*(1+$BA9)+(($BB9+$BC9)/2*IF($G$1="牵丝",$AK9,$AI9)+IF($G$1="牵丝",$AL9*1.5,0))*(1+$BD9)*(1+$BE9)+(($BF9+$BG9)/2*IF($G$1="破竹",$AK9,$AI9)+IF($G$1="破竹",$AL9*1.5,0))*(1+$BH9)*(1+$BI9))*(1+$AM9)*$BL9*$Q9*(1+IF(VLOOKUP($R9,武学奇术!$A:$ZZ,30,FALSE)="回旋伞",$B$21,0))*(1+$BR9)</f>
        <v>75480.3401774637</v>
      </c>
      <c r="N9" s="38">
        <f>(($AP9*$AI9+$AJ9)*(1+$AQ9)*(1+$AR9)+($AU9*IF($G$1="鸣金",$AK9,$AI9)+IF($G$1="鸣金",$AL9*1.5,0))*(1+$AV9)*(1+$AW9)+($AY9*IF($G$1="裂石",$AK9,$AI9)+IF($G$1="裂石",$AL9*1.5,0))*(1+$AZ9)*(1+$BA9)+($BC9*IF($G$1="牵丝",$AK9,$AI9)+IF($G$1="牵丝",$AL9*1.5,0))*(1+$BD9)*(1+$BE9)+($BG9*IF($G$1="破竹",$AK9,$AI9)+IF($G$1="破竹",$AL9*1.5,0))*(1+$BH9)*(1+$BI9))*(1+$AM9)*$BN9*$Q9*(1+IF(VLOOKUP($R9,武学奇术!$A:$ZZ,30,FALSE)="回旋伞",$B$21,0))*(1+$BR9)</f>
        <v>63080.2369136537</v>
      </c>
      <c r="O9" s="38">
        <f>((($AO9+$AP9)/2*$AI9+$AJ9)*(1+$AQ9)*(1+$AR9)+(($AT9+$AU9)/2*IF($G$1="鸣金",$AK9,$AI9)+IF($G$1="鸣金",$AL9*1.5,0))*(1+$AV9)*(1+$AW9)+(($AX9+$AY9)/2*IF($G$1="裂石",$AK9,$AI9)+IF($G$1="裂石",$AL9*1.5,0))*(1+$AZ9)*(1+$BA9)+(($BB9+$BC9)/2*IF($G$1="牵丝",$AK9,$AI9)+IF($G$1="牵丝",$AL9*1.5,0))*(1+$BD9)*(1+$BE9)+(($BF9+$BG9)/2*IF($G$1="破竹",$AK9,$AI9)+IF($G$1="破竹",$AL9*1.5,0))*(1+$BH9)*(1+$BI9))*(1+$AM9)*$Q9*(1+IF(VLOOKUP($R9,武学奇术!$A:$ZZ,30,FALSE)="回旋伞",$B$21,0))*(1+$BR9)</f>
        <v>41472.7143832218</v>
      </c>
      <c r="P9" s="38">
        <f>((($AO9*$AI9+$AJ9)*(1+$AQ9)*(1+$AR9)+($AT9*IF($G$1="鸣金",$AK9,$AI9)+IF($G$1="鸣金",$AL9*1.5,0))*(1+$AV9)*(1+$AW9)+($AX9*IF($G$1="裂石",$AK9,$AI9)+IF($G$1="裂石",$AL9*1.5,0))*(1+$AZ9)*(1+$BA9)+($BB9*IF($G$1="牵丝",$AK9,$AI9)+IF($G$1="牵丝",$AL9*1.5,0))*(1+$BD9)*(1+$BE9)+($BF9*IF($G$1="破竹",$AK9,$AI9)+IF($G$1="破竹",$AL9*1.5,0))*(1+$BH9)*(1+$BI9))*(1+$AM9))*$Q9*(1+IF(VLOOKUP($R9,武学奇术!$A:$ZZ,30,FALSE)="回旋伞",$B$21,0))*(1+$BR9)</f>
        <v>36219.3273489224</v>
      </c>
      <c r="Q9" s="39">
        <v>1</v>
      </c>
      <c r="R9" s="40" t="s">
        <v>108</v>
      </c>
      <c r="S9" s="40" t="s">
        <v>109</v>
      </c>
      <c r="T9" s="40" t="s">
        <v>72</v>
      </c>
      <c r="U9" s="40" t="s">
        <v>73</v>
      </c>
      <c r="V9" s="40" t="s">
        <v>81</v>
      </c>
      <c r="W9" s="40" t="s">
        <v>75</v>
      </c>
      <c r="X9" s="40" t="s">
        <v>83</v>
      </c>
      <c r="Y9" s="40" t="s">
        <v>84</v>
      </c>
      <c r="Z9" s="40" t="s">
        <v>72</v>
      </c>
      <c r="AA9" s="40" t="s">
        <v>72</v>
      </c>
      <c r="AB9" s="40" t="s">
        <v>72</v>
      </c>
      <c r="AC9" s="40" t="s">
        <v>85</v>
      </c>
      <c r="AD9" s="40" t="s">
        <v>72</v>
      </c>
      <c r="AE9" s="40" t="s">
        <v>72</v>
      </c>
      <c r="AF9" s="40" t="s">
        <v>77</v>
      </c>
      <c r="AG9" s="40" t="s">
        <v>78</v>
      </c>
      <c r="AH9" t="str">
        <f>VLOOKUP($R9,武学奇术!$A:$ZZ,25,FALSE)</f>
        <v>伞</v>
      </c>
      <c r="AI9" s="26">
        <f>VLOOKUP($R9,武学奇术!$A:$ZZ,26,FALSE)</f>
        <v>1.8084</v>
      </c>
      <c r="AJ9" s="27">
        <f>VLOOKUP($R9,武学奇术!$A:$ZZ,27,FALSE)*(1+IF(OR($AH9=$F$4,$AH9=$F$5),$B$22,0))</f>
        <v>750</v>
      </c>
      <c r="AK9" s="26">
        <f>VLOOKUP($R9,武学奇术!$A:$ZZ,28,FALSE)</f>
        <v>2.7126</v>
      </c>
      <c r="AL9" s="27">
        <f>VLOOKUP($R9,武学奇术!$A:$ZZ,29,FALSE)*(1+IF(OR($AH9=$F$4,$AH9=$F$5),$B$22,0))</f>
        <v>408</v>
      </c>
      <c r="AM9" s="26" cm="1">
        <f t="array" ref="AM9">$G$3+IFERROR(VLOOKUP($AH9,$F$4:$G$7,2,FALSE),0)+VLOOKUP($R9,武学奇术!$A:$ZZ,2,FALSE)+SUM(_xlfn.XLOOKUP($S9:$AG9,增益!$A:$A,增益!$B:$B,0))</f>
        <v>0.8241</v>
      </c>
      <c r="AN9" s="26" cm="1">
        <f t="array" ref="AN9">VLOOKUP($R9,武学奇术!$A:$ZZ,5,FALSE)+SUM(_xlfn.XLOOKUP($S9:$AG9,增益!$A:$A,增益!$E:$E,0))</f>
        <v>0</v>
      </c>
      <c r="AO9" cm="1">
        <f t="array" ref="AO9">$D$10*(1+$AN9)+VLOOKUP($R9,武学奇术!$A:$ZZ,3,FALSE)+SUM(_xlfn.XLOOKUP($S9:$AG9,增益!$A:$A,增益!$C:$C,0))-$I$2</f>
        <v>3624.6</v>
      </c>
      <c r="AP9" cm="1">
        <f t="array" ref="AP9">$E$10*(1+$AN9)+VLOOKUP($R9,武学奇术!$A:$ZZ,4,FALSE)+SUM(_xlfn.XLOOKUP($S9:$AG9,增益!$A:$A,增益!$D:$D,0))-$I$2</f>
        <v>3624.6</v>
      </c>
      <c r="AQ9" s="32" cm="1">
        <f t="array" ref="AQ9">IF($F$10-$I$3+VLOOKUP($R9,武学奇术!$A:$ZZ,6,FALSE)+SUM(_xlfn.XLOOKUP(S9:AG9,增益!$A:$A,增益!$F:$F,0))&gt;0,($F$10-$I$3+VLOOKUP($R9,武学奇术!$A:$ZZ,6,FALSE)+SUM(_xlfn.XLOOKUP(S9:AG9,增益!$A:$A,增益!$F:$F,0)))/200,($F$10-$I$3+VLOOKUP($R9,武学奇术!$A:$ZZ,6,FALSE)+SUM(_xlfn.XLOOKUP(S9:AG9,增益!$A:$A,增益!$F:$F,0)))/100)</f>
        <v>0.2625</v>
      </c>
      <c r="AR9" s="32" cm="1">
        <f t="array" ref="AR9">$G$10+VLOOKUP($R9,武学奇术!$A:$ZZ,7,FALSE)+SUM(_xlfn.XLOOKUP(S9:AG9,增益!$A:$A,增益!$G:$G,0))</f>
        <v>0.148</v>
      </c>
      <c r="AS9" s="26" cm="1">
        <f t="array" ref="AS9">VLOOKUP($R9,武学奇术!$A:$ZZ,8,FALSE)+SUM(_xlfn.XLOOKUP(S9:AG9,增益!$A:$A,增益!$H:$H,0))</f>
        <v>0</v>
      </c>
      <c r="AT9">
        <f t="shared" si="0"/>
        <v>0</v>
      </c>
      <c r="AU9">
        <f t="shared" si="1"/>
        <v>0</v>
      </c>
      <c r="AV9" s="32" cm="1">
        <f t="array" ref="AV9">IF($F$11-$I$4+VLOOKUP($R9,武学奇术!$A:$ZZ,9,FALSE)+SUM(_xlfn.XLOOKUP(S9:AG9,增益!$A:$A,增益!$I:$I,0))&gt;0,($F$11-$I$4+VLOOKUP($R9,武学奇术!$A:$ZZ,9,FALSE)+SUM(_xlfn.XLOOKUP(S9:AG9,增益!$A:$A,增益!$I:$I,0)))/200,($F$11-$I$4+VLOOKUP($R9,武学奇术!$A:$ZZ,9,FALSE)+SUM(_xlfn.XLOOKUP(S9:AG9,增益!$A:$A,增益!$I:$I,0)))/100)</f>
        <v>-0.14</v>
      </c>
      <c r="AW9" s="32" cm="1">
        <f t="array" ref="AW9">$G$11+VLOOKUP($R9,武学奇术!$A:$ZZ,10,FALSE)+SUM(_xlfn.XLOOKUP(S9:AG9,增益!$A:$A,增益!$J:$J,0))</f>
        <v>0</v>
      </c>
      <c r="AX9">
        <f t="shared" si="2"/>
        <v>0</v>
      </c>
      <c r="AY9">
        <f t="shared" si="3"/>
        <v>0</v>
      </c>
      <c r="AZ9" s="32" cm="1">
        <f t="array" ref="AZ9">IF($F$12-$I$4+VLOOKUP($R9,武学奇术!$A:$ZZ,11,FALSE)+SUM(_xlfn.XLOOKUP(S9:AG9,增益!$A:$A,增益!$K:$K,0))&gt;0,($F$12-$I$4+VLOOKUP($R9,武学奇术!$A:$ZZ,11,FALSE)+SUM(_xlfn.XLOOKUP(S9:AG9,增益!$A:$A,增益!$K:$K,0)))/200,($F$12-$I$4+VLOOKUP($R9,武学奇术!$A:$ZZ,11,FALSE)+SUM(_xlfn.XLOOKUP(S9:AG9,增益!$A:$A,增益!$K:$K,0)))/100)</f>
        <v>-0.14</v>
      </c>
      <c r="BA9" s="32" cm="1">
        <f t="array" ref="BA9">$G$12+VLOOKUP($R9,武学奇术!$A:$ZZ,12,FALSE)+SUM(_xlfn.XLOOKUP(S9:AG9,增益!$A:$A,增益!$L:$L,0))</f>
        <v>0</v>
      </c>
      <c r="BB9">
        <f t="shared" si="4"/>
        <v>0</v>
      </c>
      <c r="BC9">
        <f t="shared" si="5"/>
        <v>0</v>
      </c>
      <c r="BD9" s="32" cm="1">
        <f t="array" ref="BD9">IF($F$13-$I$4+VLOOKUP($R9,武学奇术!$A:$ZZ,13,FALSE)+SUM(_xlfn.XLOOKUP(S9:AG9,增益!$A:$A,增益!$M:$M,0))&gt;0,($F$13-$I$4+VLOOKUP($R9,武学奇术!$A:$ZZ,13,FALSE)+SUM(_xlfn.XLOOKUP(S9:AG9,增益!$A:$A,增益!$K:$K,0)))/200,($F$13-$I$4+VLOOKUP($R9,武学奇术!$A:$ZZ,13,FALSE)+SUM(_xlfn.XLOOKUP(S9:AG9,增益!$A:$A,增益!$M:$M,0)))/100)</f>
        <v>-0.14</v>
      </c>
      <c r="BE9" s="32" cm="1">
        <f t="array" ref="BE9">$G$13+VLOOKUP($R9,武学奇术!$A:$ZZ,14,FALSE)+SUM(_xlfn.XLOOKUP(S9:AG9,增益!$A:$A,增益!$N:$N,0))</f>
        <v>0</v>
      </c>
      <c r="BF9">
        <f t="shared" si="6"/>
        <v>571.2</v>
      </c>
      <c r="BG9">
        <f t="shared" si="7"/>
        <v>1627.8</v>
      </c>
      <c r="BH9" s="32" cm="1">
        <f t="array" ref="BH9">IF($F$14-$I$4+VLOOKUP($R9,武学奇术!$A:$ZZ,15,FALSE)+SUM(_xlfn.XLOOKUP(S9:AG9,增益!$A:$A,增益!$O:$O,0))&gt;0,($F$14-$I$4+VLOOKUP($R9,武学奇术!$A:$ZZ,15,FALSE)+SUM(_xlfn.XLOOKUP(S9:AG9,增益!$A:$A,增益!$O:$O,0)))/200,($F$14-$I$4+VLOOKUP($R9,武学奇术!$A:$ZZ,15,FALSE)+SUM(_xlfn.XLOOKUP(S9:AG9,增益!$A:$A,增益!$O:$O,0)))/100)</f>
        <v>0.08</v>
      </c>
      <c r="BI9" s="32" cm="1">
        <f t="array" ref="BI9">$G$14+VLOOKUP($R9,武学奇术!$A:$ZZ,16,FALSE)+SUM(_xlfn.XLOOKUP(S9:AG9,增益!$A:$A,增益!$P:$P,0))</f>
        <v>0.27</v>
      </c>
      <c r="BJ9" s="26">
        <f>MIN(IF(VLOOKUP($R9,武学奇术!$A:$ZZ,23,FALSE)=1,100%,$B$8),100%)</f>
        <v>0.981</v>
      </c>
      <c r="BK9" s="26" cm="1">
        <f t="array" ref="BK9">IF(VLOOKUP($R9,武学奇术!$A:$ZZ,23,FALSE)=1,100%,MIN(80%,$B$9+VLOOKUP($R9,武学奇术!$A:$ZZ,17,FALSE)+SUM(_xlfn.XLOOKUP(S9:AG9,增益!$A:$A,增益!$Q:$Q,0)))+$B$11+SUM(_xlfn.XLOOKUP(S9:AG9,增益!$A:$A,增益!$U:$U,0)))*IF(VLOOKUP($R9,武学奇术!$A:$ZZ,24,FALSE)=1,0,1)</f>
        <v>0.846</v>
      </c>
      <c r="BL9" s="26" cm="1">
        <f t="array" ref="BL9">1+$B$13+VLOOKUP($R9,武学奇术!$A:$ZZ,18,FALSE)+SUM(_xlfn.XLOOKUP(S9:AG9,增益!$A:$A,增益!$R:$R,0))</f>
        <v>1.82</v>
      </c>
      <c r="BM9" s="26" cm="1">
        <f t="array" ref="BM9">IF(VLOOKUP($R9,武学奇术!$A:$ZZ,24,FALSE)=1,100%,MIN(40%,$B$10+VLOOKUP($R9,武学奇术!$A:$ZZ,19,FALSE)+SUM(_xlfn.XLOOKUP(S9:AG9,增益!$A:$A,增益!$S:$S,0)))+$B$12+SUM(_xlfn.XLOOKUP(S9:AG9,增益!$A:$A,增益!$V:$V,0)))*IF(VLOOKUP($R9,武学奇术!$A:$ZZ,23,FALSE)=1,0,1)</f>
        <v>0.0929</v>
      </c>
      <c r="BN9" s="26" cm="1">
        <f t="array" ref="BN9">1+$B$14+VLOOKUP($R9,武学奇术!$A:$ZZ,20,FALSE)+SUM(_xlfn.XLOOKUP(S9:AG9,增益!$A:$A,增益!$T:$T,0))</f>
        <v>1.35</v>
      </c>
      <c r="BO9" s="26">
        <f t="shared" si="8"/>
        <v>0.829926</v>
      </c>
      <c r="BP9" s="26">
        <f t="shared" si="9"/>
        <v>0.0599391</v>
      </c>
      <c r="BQ9" s="26">
        <f>IF(VLOOKUP($R9,武学奇术!$A:$ZZ,22,FALSE)=1,0,(1-$BJ9))*(1-$BM9)</f>
        <v>0.0172349</v>
      </c>
      <c r="BR9" s="26" cm="1">
        <f t="array" ref="BR9">SUM(_xlfn.XLOOKUP(S9:AG9,增益!$A:$A,增益!$W:$W,0))+$I$5</f>
        <v>0.11</v>
      </c>
    </row>
    <row r="10" spans="1:70">
      <c r="A10" s="41" t="s">
        <v>110</v>
      </c>
      <c r="B10" s="69">
        <v>0.0929</v>
      </c>
      <c r="C10" s="45" t="s">
        <v>67</v>
      </c>
      <c r="D10">
        <f>(B2+B23)*IF($G$2="撼天",1.06,1)</f>
        <v>4182.6</v>
      </c>
      <c r="E10">
        <f>MAX(B2+B23,C2+B24)*IF($G$2="撼天",1.06,1)</f>
        <v>4182.6</v>
      </c>
      <c r="F10">
        <f>D2</f>
        <v>63.5</v>
      </c>
      <c r="G10" s="89">
        <f>E2</f>
        <v>0.028</v>
      </c>
      <c r="H10" s="67" t="s">
        <v>111</v>
      </c>
      <c r="I10" s="72">
        <f>SUM(L:L)</f>
        <v>13394742.0408693</v>
      </c>
      <c r="J10" s="73"/>
      <c r="K10">
        <f>$L10*VLOOKUP($R10,武学奇术!$A:$ZZ,31,FALSE)</f>
        <v>43693.3267808748</v>
      </c>
      <c r="L10" s="38">
        <f t="shared" si="10"/>
        <v>41612.6921722617</v>
      </c>
      <c r="M10" s="38">
        <f>((($AO10+$AP10)/2*$AI10+$AJ10)*(1+$AQ10)*(1+$AR10)+(($AT10+$AU10)/2*IF($G$1="鸣金",$AK10,$AI10)+IF($G$1="鸣金",$AL10*1.5,0))*(1+$AV10)*(1+$AW10)+(($AX10+$AY10)/2*IF($G$1="裂石",$AK10,$AI10)+IF($G$1="裂石",$AL10*1.5,0))*(1+$AZ10)*(1+$BA10)+(($BB10+$BC10)/2*IF($G$1="牵丝",$AK10,$AI10)+IF($G$1="牵丝",$AL10*1.5,0))*(1+$BD10)*(1+$BE10)+(($BF10+$BG10)/2*IF($G$1="破竹",$AK10,$AI10)+IF($G$1="破竹",$AL10*1.5,0))*(1+$BH10)*(1+$BI10))*(1+$AM10)*$BL10*$Q10*(1+IF(VLOOKUP($R10,武学奇术!$A:$ZZ,30,FALSE)="回旋伞",$B$21,0))*(1+$BR10)</f>
        <v>43810.4366150361</v>
      </c>
      <c r="N10" s="38">
        <f>(($AP10*$AI10+$AJ10)*(1+$AQ10)*(1+$AR10)+($AU10*IF($G$1="鸣金",$AK10,$AI10)+IF($G$1="鸣金",$AL10*1.5,0))*(1+$AV10)*(1+$AW10)+($AY10*IF($G$1="裂石",$AK10,$AI10)+IF($G$1="裂石",$AL10*1.5,0))*(1+$AZ10)*(1+$BA10)+($BC10*IF($G$1="牵丝",$AK10,$AI10)+IF($G$1="牵丝",$AL10*1.5,0))*(1+$BD10)*(1+$BE10)+($BG10*IF($G$1="破竹",$AK10,$AI10)+IF($G$1="破竹",$AL10*1.5,0))*(1+$BH10)*(1+$BI10))*(1+$AM10)*$BN10*$Q10*(1+IF(VLOOKUP($R10,武学奇术!$A:$ZZ,30,FALSE)="回旋伞",$B$21,0))*(1+$BR10)</f>
        <v>37196.6213484298</v>
      </c>
      <c r="O10" s="38">
        <f>((($AO10+$AP10)/2*$AI10+$AJ10)*(1+$AQ10)*(1+$AR10)+(($AT10+$AU10)/2*IF($G$1="鸣金",$AK10,$AI10)+IF($G$1="鸣金",$AL10*1.5,0))*(1+$AV10)*(1+$AW10)+(($AX10+$AY10)/2*IF($G$1="裂石",$AK10,$AI10)+IF($G$1="裂石",$AL10*1.5,0))*(1+$AZ10)*(1+$BA10)+(($BB10+$BC10)/2*IF($G$1="牵丝",$AK10,$AI10)+IF($G$1="牵丝",$AL10*1.5,0))*(1+$BD10)*(1+$BE10)+(($BF10+$BG10)/2*IF($G$1="破竹",$AK10,$AI10)+IF($G$1="破竹",$AL10*1.5,0))*(1+$BH10)*(1+$BI10))*(1+$AM10)*$Q10*(1+IF(VLOOKUP($R10,武学奇术!$A:$ZZ,30,FALSE)="回旋伞",$B$21,0))*(1+$BR10)</f>
        <v>24071.6684698</v>
      </c>
      <c r="P10" s="38">
        <f>((($AO10*$AI10+$AJ10)*(1+$AQ10)*(1+$AR10)+($AT10*IF($G$1="鸣金",$AK10,$AI10)+IF($G$1="鸣金",$AL10*1.5,0))*(1+$AV10)*(1+$AW10)+($AX10*IF($G$1="裂石",$AK10,$AI10)+IF($G$1="裂石",$AL10*1.5,0))*(1+$AZ10)*(1+$BA10)+($BB10*IF($G$1="牵丝",$AK10,$AI10)+IF($G$1="牵丝",$AL10*1.5,0))*(1+$BD10)*(1+$BE10)+($BF10*IF($G$1="破竹",$AK10,$AI10)+IF($G$1="破竹",$AL10*1.5,0))*(1+$BH10)*(1+$BI10))*(1+$AM10))*$Q10*(1+IF(VLOOKUP($R10,武学奇术!$A:$ZZ,30,FALSE)="回旋伞",$B$21,0))*(1+$BR10)</f>
        <v>20590.2840889113</v>
      </c>
      <c r="Q10" s="39">
        <v>2</v>
      </c>
      <c r="R10" s="40" t="s">
        <v>112</v>
      </c>
      <c r="S10" s="40" t="s">
        <v>109</v>
      </c>
      <c r="T10" s="40" t="s">
        <v>72</v>
      </c>
      <c r="U10" s="40" t="s">
        <v>73</v>
      </c>
      <c r="V10" s="40" t="s">
        <v>81</v>
      </c>
      <c r="W10" s="40" t="s">
        <v>75</v>
      </c>
      <c r="X10" s="40" t="s">
        <v>83</v>
      </c>
      <c r="Y10" s="40" t="s">
        <v>84</v>
      </c>
      <c r="Z10" s="40" t="s">
        <v>72</v>
      </c>
      <c r="AA10" s="40" t="s">
        <v>72</v>
      </c>
      <c r="AB10" s="40" t="s">
        <v>72</v>
      </c>
      <c r="AC10" s="40" t="s">
        <v>85</v>
      </c>
      <c r="AD10" s="40" t="s">
        <v>72</v>
      </c>
      <c r="AE10" s="40" t="s">
        <v>72</v>
      </c>
      <c r="AF10" s="40" t="s">
        <v>77</v>
      </c>
      <c r="AG10" s="40" t="s">
        <v>78</v>
      </c>
      <c r="AH10" t="str">
        <f>VLOOKUP($R10,武学奇术!$A:$ZZ,25,FALSE)</f>
        <v>伞</v>
      </c>
      <c r="AI10" s="26">
        <f>VLOOKUP($R10,武学奇术!$A:$ZZ,26,FALSE)</f>
        <v>0.54</v>
      </c>
      <c r="AJ10" s="27">
        <f>VLOOKUP($R10,武学奇术!$A:$ZZ,27,FALSE)*(1+IF(OR($AH10=$F$4,$AH10=$F$5),$B$22,0))</f>
        <v>0</v>
      </c>
      <c r="AK10" s="26">
        <f>VLOOKUP($R10,武学奇术!$A:$ZZ,28,FALSE)</f>
        <v>0.81</v>
      </c>
      <c r="AL10" s="27">
        <f>VLOOKUP($R10,武学奇术!$A:$ZZ,29,FALSE)*(1+IF(OR($AH10=$F$4,$AH10=$F$5),$B$22,0))</f>
        <v>0</v>
      </c>
      <c r="AM10" s="26" cm="1">
        <f t="array" ref="AM10">$G$3+IFERROR(VLOOKUP($AH10,$F$4:$G$7,2,FALSE),0)+VLOOKUP($R10,武学奇术!$A:$ZZ,2,FALSE)+SUM(_xlfn.XLOOKUP($S10:$AG10,增益!$A:$A,增益!$B:$B,0))</f>
        <v>1.0241</v>
      </c>
      <c r="AN10" s="26" cm="1">
        <f t="array" ref="AN10">VLOOKUP($R10,武学奇术!$A:$ZZ,5,FALSE)+SUM(_xlfn.XLOOKUP($S10:$AG10,增益!$A:$A,增益!$E:$E,0))</f>
        <v>0</v>
      </c>
      <c r="AO10" cm="1">
        <f t="array" ref="AO10">$D$10*(1+$AN10)+VLOOKUP($R10,武学奇术!$A:$ZZ,3,FALSE)+SUM(_xlfn.XLOOKUP($S10:$AG10,增益!$A:$A,增益!$C:$C,0))-$I$2</f>
        <v>3624.6</v>
      </c>
      <c r="AP10" cm="1">
        <f t="array" ref="AP10">$E$10*(1+$AN10)+VLOOKUP($R10,武学奇术!$A:$ZZ,4,FALSE)+SUM(_xlfn.XLOOKUP($S10:$AG10,增益!$A:$A,增益!$D:$D,0))-$I$2</f>
        <v>3624.6</v>
      </c>
      <c r="AQ10" s="32" cm="1">
        <f t="array" ref="AQ10">IF($F$10-$I$3+VLOOKUP($R10,武学奇术!$A:$ZZ,6,FALSE)+SUM(_xlfn.XLOOKUP(S10:AG10,增益!$A:$A,增益!$F:$F,0))&gt;0,($F$10-$I$3+VLOOKUP($R10,武学奇术!$A:$ZZ,6,FALSE)+SUM(_xlfn.XLOOKUP(S10:AG10,增益!$A:$A,增益!$F:$F,0)))/200,($F$10-$I$3+VLOOKUP($R10,武学奇术!$A:$ZZ,6,FALSE)+SUM(_xlfn.XLOOKUP(S10:AG10,增益!$A:$A,增益!$F:$F,0)))/100)</f>
        <v>0.2625</v>
      </c>
      <c r="AR10" s="32" cm="1">
        <f t="array" ref="AR10">$G$10+VLOOKUP($R10,武学奇术!$A:$ZZ,7,FALSE)+SUM(_xlfn.XLOOKUP(S10:AG10,增益!$A:$A,增益!$G:$G,0))</f>
        <v>0.148</v>
      </c>
      <c r="AS10" s="26" cm="1">
        <f t="array" ref="AS10">VLOOKUP($R10,武学奇术!$A:$ZZ,8,FALSE)+SUM(_xlfn.XLOOKUP(S10:AG10,增益!$A:$A,增益!$H:$H,0))</f>
        <v>0</v>
      </c>
      <c r="AT10">
        <f t="shared" si="0"/>
        <v>0</v>
      </c>
      <c r="AU10">
        <f t="shared" si="1"/>
        <v>0</v>
      </c>
      <c r="AV10" s="32" cm="1">
        <f t="array" ref="AV10">IF($F$11-$I$4+VLOOKUP($R10,武学奇术!$A:$ZZ,9,FALSE)+SUM(_xlfn.XLOOKUP(S10:AG10,增益!$A:$A,增益!$I:$I,0))&gt;0,($F$11-$I$4+VLOOKUP($R10,武学奇术!$A:$ZZ,9,FALSE)+SUM(_xlfn.XLOOKUP(S10:AG10,增益!$A:$A,增益!$I:$I,0)))/200,($F$11-$I$4+VLOOKUP($R10,武学奇术!$A:$ZZ,9,FALSE)+SUM(_xlfn.XLOOKUP(S10:AG10,增益!$A:$A,增益!$I:$I,0)))/100)</f>
        <v>-0.14</v>
      </c>
      <c r="AW10" s="32" cm="1">
        <f t="array" ref="AW10">$G$11+VLOOKUP($R10,武学奇术!$A:$ZZ,10,FALSE)+SUM(_xlfn.XLOOKUP(S10:AG10,增益!$A:$A,增益!$J:$J,0))</f>
        <v>0</v>
      </c>
      <c r="AX10">
        <f t="shared" si="2"/>
        <v>0</v>
      </c>
      <c r="AY10">
        <f t="shared" si="3"/>
        <v>0</v>
      </c>
      <c r="AZ10" s="32" cm="1">
        <f t="array" ref="AZ10">IF($F$12-$I$4+VLOOKUP($R10,武学奇术!$A:$ZZ,11,FALSE)+SUM(_xlfn.XLOOKUP(S10:AG10,增益!$A:$A,增益!$K:$K,0))&gt;0,($F$12-$I$4+VLOOKUP($R10,武学奇术!$A:$ZZ,11,FALSE)+SUM(_xlfn.XLOOKUP(S10:AG10,增益!$A:$A,增益!$K:$K,0)))/200,($F$12-$I$4+VLOOKUP($R10,武学奇术!$A:$ZZ,11,FALSE)+SUM(_xlfn.XLOOKUP(S10:AG10,增益!$A:$A,增益!$K:$K,0)))/100)</f>
        <v>-0.14</v>
      </c>
      <c r="BA10" s="32" cm="1">
        <f t="array" ref="BA10">$G$12+VLOOKUP($R10,武学奇术!$A:$ZZ,12,FALSE)+SUM(_xlfn.XLOOKUP(S10:AG10,增益!$A:$A,增益!$L:$L,0))</f>
        <v>0</v>
      </c>
      <c r="BB10">
        <f t="shared" si="4"/>
        <v>0</v>
      </c>
      <c r="BC10">
        <f t="shared" si="5"/>
        <v>0</v>
      </c>
      <c r="BD10" s="32" cm="1">
        <f t="array" ref="BD10">IF($F$13-$I$4+VLOOKUP($R10,武学奇术!$A:$ZZ,13,FALSE)+SUM(_xlfn.XLOOKUP(S10:AG10,增益!$A:$A,增益!$M:$M,0))&gt;0,($F$13-$I$4+VLOOKUP($R10,武学奇术!$A:$ZZ,13,FALSE)+SUM(_xlfn.XLOOKUP(S10:AG10,增益!$A:$A,增益!$K:$K,0)))/200,($F$13-$I$4+VLOOKUP($R10,武学奇术!$A:$ZZ,13,FALSE)+SUM(_xlfn.XLOOKUP(S10:AG10,增益!$A:$A,增益!$M:$M,0)))/100)</f>
        <v>-0.14</v>
      </c>
      <c r="BE10" s="32" cm="1">
        <f t="array" ref="BE10">$G$13+VLOOKUP($R10,武学奇术!$A:$ZZ,14,FALSE)+SUM(_xlfn.XLOOKUP(S10:AG10,增益!$A:$A,增益!$N:$N,0))</f>
        <v>0</v>
      </c>
      <c r="BF10">
        <f t="shared" si="6"/>
        <v>571.2</v>
      </c>
      <c r="BG10">
        <f t="shared" si="7"/>
        <v>1627.8</v>
      </c>
      <c r="BH10" s="32" cm="1">
        <f t="array" ref="BH10">IF($F$14-$I$4+VLOOKUP($R10,武学奇术!$A:$ZZ,15,FALSE)+SUM(_xlfn.XLOOKUP(S10:AG10,增益!$A:$A,增益!$O:$O,0))&gt;0,($F$14-$I$4+VLOOKUP($R10,武学奇术!$A:$ZZ,15,FALSE)+SUM(_xlfn.XLOOKUP(S10:AG10,增益!$A:$A,增益!$O:$O,0)))/200,($F$14-$I$4+VLOOKUP($R10,武学奇术!$A:$ZZ,15,FALSE)+SUM(_xlfn.XLOOKUP(S10:AG10,增益!$A:$A,增益!$O:$O,0)))/100)</f>
        <v>0.08</v>
      </c>
      <c r="BI10" s="32" cm="1">
        <f t="array" ref="BI10">$G$14+VLOOKUP($R10,武学奇术!$A:$ZZ,16,FALSE)+SUM(_xlfn.XLOOKUP(S10:AG10,增益!$A:$A,增益!$P:$P,0))</f>
        <v>0.27</v>
      </c>
      <c r="BJ10" s="26">
        <f>MIN(IF(VLOOKUP($R10,武学奇术!$A:$ZZ,23,FALSE)=1,100%,$B$8),100%)</f>
        <v>0.981</v>
      </c>
      <c r="BK10" s="26" cm="1">
        <f t="array" ref="BK10">IF(VLOOKUP($R10,武学奇术!$A:$ZZ,23,FALSE)=1,100%,MIN(80%,$B$9+VLOOKUP($R10,武学奇术!$A:$ZZ,17,FALSE)+SUM(_xlfn.XLOOKUP(S10:AG10,增益!$A:$A,增益!$Q:$Q,0)))+$B$11+SUM(_xlfn.XLOOKUP(S10:AG10,增益!$A:$A,增益!$U:$U,0)))*IF(VLOOKUP($R10,武学奇术!$A:$ZZ,24,FALSE)=1,0,1)</f>
        <v>0.846</v>
      </c>
      <c r="BL10" s="26" cm="1">
        <f t="array" ref="BL10">1+$B$13+VLOOKUP($R10,武学奇术!$A:$ZZ,18,FALSE)+SUM(_xlfn.XLOOKUP(S10:AG10,增益!$A:$A,增益!$R:$R,0))</f>
        <v>1.82</v>
      </c>
      <c r="BM10" s="26" cm="1">
        <f t="array" ref="BM10">IF(VLOOKUP($R10,武学奇术!$A:$ZZ,24,FALSE)=1,100%,MIN(40%,$B$10+VLOOKUP($R10,武学奇术!$A:$ZZ,19,FALSE)+SUM(_xlfn.XLOOKUP(S10:AG10,增益!$A:$A,增益!$S:$S,0)))+$B$12+SUM(_xlfn.XLOOKUP(S10:AG10,增益!$A:$A,增益!$V:$V,0)))*IF(VLOOKUP($R10,武学奇术!$A:$ZZ,23,FALSE)=1,0,1)</f>
        <v>0.0929</v>
      </c>
      <c r="BN10" s="26" cm="1">
        <f t="array" ref="BN10">1+$B$14+VLOOKUP($R10,武学奇术!$A:$ZZ,20,FALSE)+SUM(_xlfn.XLOOKUP(S10:AG10,增益!$A:$A,增益!$T:$T,0))</f>
        <v>1.35</v>
      </c>
      <c r="BO10" s="26">
        <f t="shared" si="8"/>
        <v>0.829926</v>
      </c>
      <c r="BP10" s="26">
        <f t="shared" si="9"/>
        <v>0.0599391</v>
      </c>
      <c r="BQ10" s="26">
        <f>IF(VLOOKUP($R10,武学奇术!$A:$ZZ,22,FALSE)=1,0,(1-$BJ10))*(1-$BM10)</f>
        <v>0.0172349</v>
      </c>
      <c r="BR10" s="26" cm="1">
        <f t="array" ref="BR10">SUM(_xlfn.XLOOKUP(S10:AG10,增益!$A:$A,增益!$W:$W,0))+$I$5</f>
        <v>0.11</v>
      </c>
    </row>
    <row r="11" ht="14.25" spans="1:70">
      <c r="A11" s="41" t="s">
        <v>113</v>
      </c>
      <c r="B11" s="69">
        <f>IF($E$24="易水歌",4.6%,0)+IF($E$22="断石之构",4.1%,0)</f>
        <v>0.046</v>
      </c>
      <c r="C11" s="45" t="s">
        <v>79</v>
      </c>
      <c r="D11">
        <f>(B3+IF($G$1=$C11,$B$7,0))*IF($G$2="撼天",1.06,1)</f>
        <v>0</v>
      </c>
      <c r="E11">
        <f>(MAX(B3,C3)+IF($G$1=$C11,$C$7,0))*IF($G$2="撼天",1.06,1)</f>
        <v>0</v>
      </c>
      <c r="F11">
        <f>D3</f>
        <v>0</v>
      </c>
      <c r="G11" s="89">
        <f>E3</f>
        <v>0</v>
      </c>
      <c r="H11" s="70"/>
      <c r="I11" s="74"/>
      <c r="J11" s="75"/>
      <c r="K11">
        <f>$L11*VLOOKUP($R11,武学奇术!$A:$ZZ,31,FALSE)</f>
        <v>78557.4236725389</v>
      </c>
      <c r="L11" s="38">
        <f t="shared" si="10"/>
        <v>74816.5939738466</v>
      </c>
      <c r="M11" s="38">
        <f>((($AO11+$AP11)/2*$AI11+$AJ11)*(1+$AQ11)*(1+$AR11)+(($AT11+$AU11)/2*IF($G$1="鸣金",$AK11,$AI11)+IF($G$1="鸣金",$AL11*1.5,0))*(1+$AV11)*(1+$AW11)+(($AX11+$AY11)/2*IF($G$1="裂石",$AK11,$AI11)+IF($G$1="裂石",$AL11*1.5,0))*(1+$AZ11)*(1+$BA11)+(($BB11+$BC11)/2*IF($G$1="牵丝",$AK11,$AI11)+IF($G$1="牵丝",$AL11*1.5,0))*(1+$BD11)*(1+$BE11)+(($BF11+$BG11)/2*IF($G$1="破竹",$AK11,$AI11)+IF($G$1="破竹",$AL11*1.5,0))*(1+$BH11)*(1+$BI11))*(1+$AM11)*$BL11*$Q11*(1+IF(VLOOKUP($R11,武学奇术!$A:$ZZ,30,FALSE)="回旋伞",$B$21,0))*(1+$BR11)</f>
        <v>79230.6248439189</v>
      </c>
      <c r="N11" s="38">
        <f>(($AP11*$AI11+$AJ11)*(1+$AQ11)*(1+$AR11)+($AU11*IF($G$1="鸣金",$AK11,$AI11)+IF($G$1="鸣金",$AL11*1.5,0))*(1+$AV11)*(1+$AW11)+($AY11*IF($G$1="裂石",$AK11,$AI11)+IF($G$1="裂石",$AL11*1.5,0))*(1+$AZ11)*(1+$BA11)+($BC11*IF($G$1="牵丝",$AK11,$AI11)+IF($G$1="牵丝",$AL11*1.5,0))*(1+$BD11)*(1+$BE11)+($BG11*IF($G$1="破竹",$AK11,$AI11)+IF($G$1="破竹",$AL11*1.5,0))*(1+$BH11)*(1+$BI11))*(1+$AM11)*$BN11*$Q11*(1+IF(VLOOKUP($R11,武学奇术!$A:$ZZ,30,FALSE)="回旋伞",$B$21,0))*(1+$BR11)</f>
        <v>63685.3759562463</v>
      </c>
      <c r="O11" s="38">
        <f>((($AO11+$AP11)/2*$AI11+$AJ11)*(1+$AQ11)*(1+$AR11)+(($AT11+$AU11)/2*IF($G$1="鸣金",$AK11,$AI11)+IF($G$1="鸣金",$AL11*1.5,0))*(1+$AV11)*(1+$AW11)+(($AX11+$AY11)/2*IF($G$1="裂石",$AK11,$AI11)+IF($G$1="裂石",$AL11*1.5,0))*(1+$AZ11)*(1+$BA11)+(($BB11+$BC11)/2*IF($G$1="牵丝",$AK11,$AI11)+IF($G$1="牵丝",$AL11*1.5,0))*(1+$BD11)*(1+$BE11)+(($BF11+$BG11)/2*IF($G$1="破竹",$AK11,$AI11)+IF($G$1="破竹",$AL11*1.5,0))*(1+$BH11)*(1+$BI11))*(1+$AM11)*$Q11*(1+IF(VLOOKUP($R11,武学奇术!$A:$ZZ,30,FALSE)="回旋伞",$B$21,0))*(1+$BR11)</f>
        <v>41920.965525883</v>
      </c>
      <c r="P11" s="38">
        <f>((($AO11*$AI11+$AJ11)*(1+$AQ11)*(1+$AR11)+($AT11*IF($G$1="鸣金",$AK11,$AI11)+IF($G$1="鸣金",$AL11*1.5,0))*(1+$AV11)*(1+$AW11)+($AX11*IF($G$1="裂石",$AK11,$AI11)+IF($G$1="裂石",$AL11*1.5,0))*(1+$AZ11)*(1+$BA11)+($BB11*IF($G$1="牵丝",$AK11,$AI11)+IF($G$1="牵丝",$AL11*1.5,0))*(1+$BD11)*(1+$BE11)+($BF11*IF($G$1="破竹",$AK11,$AI11)+IF($G$1="破竹",$AL11*1.5,0))*(1+$BH11)*(1+$BI11))*(1+$AM11))*$Q11*(1+IF(VLOOKUP($R11,武学奇术!$A:$ZZ,30,FALSE)="回旋伞",$B$21,0))*(1+$BR11)</f>
        <v>36667.5784915836</v>
      </c>
      <c r="Q11" s="39">
        <v>1</v>
      </c>
      <c r="R11" s="40" t="s">
        <v>108</v>
      </c>
      <c r="S11" s="40" t="s">
        <v>109</v>
      </c>
      <c r="T11" s="40" t="s">
        <v>114</v>
      </c>
      <c r="U11" s="40" t="s">
        <v>73</v>
      </c>
      <c r="V11" s="40" t="s">
        <v>81</v>
      </c>
      <c r="W11" s="40" t="s">
        <v>82</v>
      </c>
      <c r="X11" s="40" t="s">
        <v>83</v>
      </c>
      <c r="Y11" s="40" t="s">
        <v>84</v>
      </c>
      <c r="Z11" s="40" t="s">
        <v>72</v>
      </c>
      <c r="AA11" s="40" t="s">
        <v>72</v>
      </c>
      <c r="AB11" s="40" t="s">
        <v>115</v>
      </c>
      <c r="AC11" s="40" t="s">
        <v>91</v>
      </c>
      <c r="AD11" s="40" t="s">
        <v>72</v>
      </c>
      <c r="AE11" s="40" t="s">
        <v>72</v>
      </c>
      <c r="AF11" s="40" t="s">
        <v>77</v>
      </c>
      <c r="AG11" s="40" t="s">
        <v>78</v>
      </c>
      <c r="AH11" t="str">
        <f>VLOOKUP($R11,武学奇术!$A:$ZZ,25,FALSE)</f>
        <v>伞</v>
      </c>
      <c r="AI11" s="26">
        <f>VLOOKUP($R11,武学奇术!$A:$ZZ,26,FALSE)</f>
        <v>1.8084</v>
      </c>
      <c r="AJ11" s="27">
        <f>VLOOKUP($R11,武学奇术!$A:$ZZ,27,FALSE)*(1+IF(OR($AH11=$F$4,$AH11=$F$5),$B$22,0))</f>
        <v>750</v>
      </c>
      <c r="AK11" s="26">
        <f>VLOOKUP($R11,武学奇术!$A:$ZZ,28,FALSE)</f>
        <v>2.7126</v>
      </c>
      <c r="AL11" s="27">
        <f>VLOOKUP($R11,武学奇术!$A:$ZZ,29,FALSE)*(1+IF(OR($AH11=$F$4,$AH11=$F$5),$B$22,0))</f>
        <v>408</v>
      </c>
      <c r="AM11" s="26" cm="1">
        <f t="array" ref="AM11">$G$3+IFERROR(VLOOKUP($AH11,$F$4:$G$7,2,FALSE),0)+VLOOKUP($R11,武学奇术!$A:$ZZ,2,FALSE)+SUM(_xlfn.XLOOKUP($S11:$AG11,增益!$A:$A,增益!$B:$B,0))</f>
        <v>0.8241</v>
      </c>
      <c r="AN11" s="26" cm="1">
        <f t="array" ref="AN11">VLOOKUP($R11,武学奇术!$A:$ZZ,5,FALSE)+SUM(_xlfn.XLOOKUP($S11:$AG11,增益!$A:$A,增益!$E:$E,0))</f>
        <v>0</v>
      </c>
      <c r="AO11" cm="1">
        <f t="array" ref="AO11">$D$10*(1+$AN11)+VLOOKUP($R11,武学奇术!$A:$ZZ,3,FALSE)+SUM(_xlfn.XLOOKUP($S11:$AG11,增益!$A:$A,增益!$C:$C,0))-$I$2</f>
        <v>3624.6</v>
      </c>
      <c r="AP11" cm="1">
        <f t="array" ref="AP11">$E$10*(1+$AN11)+VLOOKUP($R11,武学奇术!$A:$ZZ,4,FALSE)+SUM(_xlfn.XLOOKUP($S11:$AG11,增益!$A:$A,增益!$D:$D,0))-$I$2</f>
        <v>3624.6</v>
      </c>
      <c r="AQ11" s="32" cm="1">
        <f t="array" ref="AQ11">IF($F$10-$I$3+VLOOKUP($R11,武学奇术!$A:$ZZ,6,FALSE)+SUM(_xlfn.XLOOKUP(S11:AG11,增益!$A:$A,增益!$F:$F,0))&gt;0,($F$10-$I$3+VLOOKUP($R11,武学奇术!$A:$ZZ,6,FALSE)+SUM(_xlfn.XLOOKUP(S11:AG11,增益!$A:$A,增益!$F:$F,0)))/200,($F$10-$I$3+VLOOKUP($R11,武学奇术!$A:$ZZ,6,FALSE)+SUM(_xlfn.XLOOKUP(S11:AG11,增益!$A:$A,增益!$F:$F,0)))/100)</f>
        <v>0.2825</v>
      </c>
      <c r="AR11" s="32" cm="1">
        <f t="array" ref="AR11">$G$10+VLOOKUP($R11,武学奇术!$A:$ZZ,7,FALSE)+SUM(_xlfn.XLOOKUP(S11:AG11,增益!$A:$A,增益!$G:$G,0))</f>
        <v>0.148</v>
      </c>
      <c r="AS11" s="26" cm="1">
        <f t="array" ref="AS11">VLOOKUP($R11,武学奇术!$A:$ZZ,8,FALSE)+SUM(_xlfn.XLOOKUP(S11:AG11,增益!$A:$A,增益!$H:$H,0))</f>
        <v>0</v>
      </c>
      <c r="AT11">
        <f t="shared" si="0"/>
        <v>0</v>
      </c>
      <c r="AU11">
        <f t="shared" si="1"/>
        <v>0</v>
      </c>
      <c r="AV11" s="32" cm="1">
        <f t="array" ref="AV11">IF($F$11-$I$4+VLOOKUP($R11,武学奇术!$A:$ZZ,9,FALSE)+SUM(_xlfn.XLOOKUP(S11:AG11,增益!$A:$A,增益!$I:$I,0))&gt;0,($F$11-$I$4+VLOOKUP($R11,武学奇术!$A:$ZZ,9,FALSE)+SUM(_xlfn.XLOOKUP(S11:AG11,增益!$A:$A,增益!$I:$I,0)))/200,($F$11-$I$4+VLOOKUP($R11,武学奇术!$A:$ZZ,9,FALSE)+SUM(_xlfn.XLOOKUP(S11:AG11,增益!$A:$A,增益!$I:$I,0)))/100)</f>
        <v>-0.14</v>
      </c>
      <c r="AW11" s="32" cm="1">
        <f t="array" ref="AW11">$G$11+VLOOKUP($R11,武学奇术!$A:$ZZ,10,FALSE)+SUM(_xlfn.XLOOKUP(S11:AG11,增益!$A:$A,增益!$J:$J,0))</f>
        <v>0</v>
      </c>
      <c r="AX11">
        <f t="shared" si="2"/>
        <v>0</v>
      </c>
      <c r="AY11">
        <f t="shared" si="3"/>
        <v>0</v>
      </c>
      <c r="AZ11" s="32" cm="1">
        <f t="array" ref="AZ11">IF($F$12-$I$4+VLOOKUP($R11,武学奇术!$A:$ZZ,11,FALSE)+SUM(_xlfn.XLOOKUP(S11:AG11,增益!$A:$A,增益!$K:$K,0))&gt;0,($F$12-$I$4+VLOOKUP($R11,武学奇术!$A:$ZZ,11,FALSE)+SUM(_xlfn.XLOOKUP(S11:AG11,增益!$A:$A,增益!$K:$K,0)))/200,($F$12-$I$4+VLOOKUP($R11,武学奇术!$A:$ZZ,11,FALSE)+SUM(_xlfn.XLOOKUP(S11:AG11,增益!$A:$A,增益!$K:$K,0)))/100)</f>
        <v>-0.14</v>
      </c>
      <c r="BA11" s="32" cm="1">
        <f t="array" ref="BA11">$G$12+VLOOKUP($R11,武学奇术!$A:$ZZ,12,FALSE)+SUM(_xlfn.XLOOKUP(S11:AG11,增益!$A:$A,增益!$L:$L,0))</f>
        <v>0</v>
      </c>
      <c r="BB11">
        <f t="shared" si="4"/>
        <v>0</v>
      </c>
      <c r="BC11">
        <f t="shared" si="5"/>
        <v>0</v>
      </c>
      <c r="BD11" s="32" cm="1">
        <f t="array" ref="BD11">IF($F$13-$I$4+VLOOKUP($R11,武学奇术!$A:$ZZ,13,FALSE)+SUM(_xlfn.XLOOKUP(S11:AG11,增益!$A:$A,增益!$M:$M,0))&gt;0,($F$13-$I$4+VLOOKUP($R11,武学奇术!$A:$ZZ,13,FALSE)+SUM(_xlfn.XLOOKUP(S11:AG11,增益!$A:$A,增益!$K:$K,0)))/200,($F$13-$I$4+VLOOKUP($R11,武学奇术!$A:$ZZ,13,FALSE)+SUM(_xlfn.XLOOKUP(S11:AG11,增益!$A:$A,增益!$M:$M,0)))/100)</f>
        <v>-0.14</v>
      </c>
      <c r="BE11" s="32" cm="1">
        <f t="array" ref="BE11">$G$13+VLOOKUP($R11,武学奇术!$A:$ZZ,14,FALSE)+SUM(_xlfn.XLOOKUP(S11:AG11,增益!$A:$A,增益!$N:$N,0))</f>
        <v>0</v>
      </c>
      <c r="BF11">
        <f t="shared" si="6"/>
        <v>571.2</v>
      </c>
      <c r="BG11">
        <f t="shared" si="7"/>
        <v>1627.8</v>
      </c>
      <c r="BH11" s="32" cm="1">
        <f t="array" ref="BH11">IF($F$14-$I$4+VLOOKUP($R11,武学奇术!$A:$ZZ,15,FALSE)+SUM(_xlfn.XLOOKUP(S11:AG11,增益!$A:$A,增益!$O:$O,0))&gt;0,($F$14-$I$4+VLOOKUP($R11,武学奇术!$A:$ZZ,15,FALSE)+SUM(_xlfn.XLOOKUP(S11:AG11,增益!$A:$A,增益!$O:$O,0)))/200,($F$14-$I$4+VLOOKUP($R11,武学奇术!$A:$ZZ,15,FALSE)+SUM(_xlfn.XLOOKUP(S11:AG11,增益!$A:$A,增益!$O:$O,0)))/100)</f>
        <v>0.08</v>
      </c>
      <c r="BI11" s="32" cm="1">
        <f t="array" ref="BI11">$G$14+VLOOKUP($R11,武学奇术!$A:$ZZ,16,FALSE)+SUM(_xlfn.XLOOKUP(S11:AG11,增益!$A:$A,增益!$P:$P,0))</f>
        <v>0.27</v>
      </c>
      <c r="BJ11" s="26">
        <f>MIN(IF(VLOOKUP($R11,武学奇术!$A:$ZZ,23,FALSE)=1,100%,$B$8),100%)</f>
        <v>0.981</v>
      </c>
      <c r="BK11" s="26" cm="1">
        <f t="array" ref="BK11">IF(VLOOKUP($R11,武学奇术!$A:$ZZ,23,FALSE)=1,100%,MIN(80%,$B$9+VLOOKUP($R11,武学奇术!$A:$ZZ,17,FALSE)+SUM(_xlfn.XLOOKUP(S11:AG11,增益!$A:$A,增益!$Q:$Q,0)))+$B$11+SUM(_xlfn.XLOOKUP(S11:AG11,增益!$A:$A,增益!$U:$U,0)))*IF(VLOOKUP($R11,武学奇术!$A:$ZZ,24,FALSE)=1,0,1)</f>
        <v>0.846</v>
      </c>
      <c r="BL11" s="26" cm="1">
        <f t="array" ref="BL11">1+$B$13+VLOOKUP($R11,武学奇术!$A:$ZZ,18,FALSE)+SUM(_xlfn.XLOOKUP(S11:AG11,增益!$A:$A,增益!$R:$R,0))</f>
        <v>1.89</v>
      </c>
      <c r="BM11" s="26" cm="1">
        <f t="array" ref="BM11">IF(VLOOKUP($R11,武学奇术!$A:$ZZ,24,FALSE)=1,100%,MIN(40%,$B$10+VLOOKUP($R11,武学奇术!$A:$ZZ,19,FALSE)+SUM(_xlfn.XLOOKUP(S11:AG11,增益!$A:$A,增益!$S:$S,0)))+$B$12+SUM(_xlfn.XLOOKUP(S11:AG11,增益!$A:$A,增益!$V:$V,0)))*IF(VLOOKUP($R11,武学奇术!$A:$ZZ,23,FALSE)=1,0,1)</f>
        <v>0.0929</v>
      </c>
      <c r="BN11" s="26" cm="1">
        <f t="array" ref="BN11">1+$B$14+VLOOKUP($R11,武学奇术!$A:$ZZ,20,FALSE)+SUM(_xlfn.XLOOKUP(S11:AG11,增益!$A:$A,增益!$T:$T,0))</f>
        <v>1.35</v>
      </c>
      <c r="BO11" s="26">
        <f t="shared" si="8"/>
        <v>0.829926</v>
      </c>
      <c r="BP11" s="26">
        <f t="shared" si="9"/>
        <v>0.0599391</v>
      </c>
      <c r="BQ11" s="26">
        <f>IF(VLOOKUP($R11,武学奇术!$A:$ZZ,22,FALSE)=1,0,(1-$BJ11))*(1-$BM11)</f>
        <v>0.0172349</v>
      </c>
      <c r="BR11" s="26" cm="1">
        <f t="array" ref="BR11">SUM(_xlfn.XLOOKUP(S11:AG11,增益!$A:$A,增益!$W:$W,0))+$I$5</f>
        <v>0.11</v>
      </c>
    </row>
    <row r="12" spans="1:70">
      <c r="A12" s="41" t="s">
        <v>116</v>
      </c>
      <c r="B12" s="69">
        <v>0</v>
      </c>
      <c r="C12" s="45" t="s">
        <v>86</v>
      </c>
      <c r="D12">
        <f>(B4+IF($G$1=$C12,$B$7,0))*IF($G$2="撼天",1.06,1)</f>
        <v>0</v>
      </c>
      <c r="E12">
        <f>(MAX(B4,C4)+IF($G$1=$C12,$C$7,0))*IF($G$2="撼天",1.06,1)</f>
        <v>0</v>
      </c>
      <c r="F12">
        <f>D4</f>
        <v>0</v>
      </c>
      <c r="G12" s="89">
        <f>E4</f>
        <v>0</v>
      </c>
      <c r="H12" s="67" t="s">
        <v>117</v>
      </c>
      <c r="I12" s="38">
        <f>I10/I8</f>
        <v>132621.208325439</v>
      </c>
      <c r="J12" s="76"/>
      <c r="K12">
        <f>$L12*VLOOKUP($R12,武学奇术!$A:$ZZ,31,FALSE)</f>
        <v>45657.3995330387</v>
      </c>
      <c r="L12" s="38">
        <f t="shared" si="10"/>
        <v>43483.2376505131</v>
      </c>
      <c r="M12" s="38">
        <f>((($AO12+$AP12)/2*$AI12+$AJ12)*(1+$AQ12)*(1+$AR12)+(($AT12+$AU12)/2*IF($G$1="鸣金",$AK12,$AI12)+IF($G$1="鸣金",$AL12*1.5,0))*(1+$AV12)*(1+$AW12)+(($AX12+$AY12)/2*IF($G$1="裂石",$AK12,$AI12)+IF($G$1="裂石",$AL12*1.5,0))*(1+$AZ12)*(1+$BA12)+(($BB12+$BC12)/2*IF($G$1="牵丝",$AK12,$AI12)+IF($G$1="牵丝",$AL12*1.5,0))*(1+$BD12)*(1+$BE12)+(($BF12+$BG12)/2*IF($G$1="破竹",$AK12,$AI12)+IF($G$1="破竹",$AL12*1.5,0))*(1+$BH12)*(1+$BI12))*(1+$AM12)*$BL12*$Q12*(1+IF(VLOOKUP($R12,武学奇术!$A:$ZZ,30,FALSE)="回旋伞",$B$21,0))*(1+$BR12)</f>
        <v>45999.2397674059</v>
      </c>
      <c r="N12" s="38">
        <f>(($AP12*$AI12+$AJ12)*(1+$AQ12)*(1+$AR12)+($AU12*IF($G$1="鸣金",$AK12,$AI12)+IF($G$1="鸣金",$AL12*1.5,0))*(1+$AV12)*(1+$AW12)+($AY12*IF($G$1="裂石",$AK12,$AI12)+IF($G$1="裂石",$AL12*1.5,0))*(1+$AZ12)*(1+$BA12)+($BC12*IF($G$1="牵丝",$AK12,$AI12)+IF($G$1="牵丝",$AL12*1.5,0))*(1+$BD12)*(1+$BE12)+($BG12*IF($G$1="破竹",$AK12,$AI12)+IF($G$1="破竹",$AL12*1.5,0))*(1+$BH12)*(1+$BI12))*(1+$AM12)*$BN12*$Q12*(1+IF(VLOOKUP($R12,武学奇术!$A:$ZZ,30,FALSE)="回旋伞",$B$21,0))*(1+$BR12)</f>
        <v>37556.4687480611</v>
      </c>
      <c r="O12" s="38">
        <f>((($AO12+$AP12)/2*$AI12+$AJ12)*(1+$AQ12)*(1+$AR12)+(($AT12+$AU12)/2*IF($G$1="鸣金",$AK12,$AI12)+IF($G$1="鸣金",$AL12*1.5,0))*(1+$AV12)*(1+$AW12)+(($AX12+$AY12)/2*IF($G$1="裂石",$AK12,$AI12)+IF($G$1="裂石",$AL12*1.5,0))*(1+$AZ12)*(1+$BA12)+(($BB12+$BC12)/2*IF($G$1="牵丝",$AK12,$AI12)+IF($G$1="牵丝",$AL12*1.5,0))*(1+$BD12)*(1+$BE12)+(($BF12+$BG12)/2*IF($G$1="破竹",$AK12,$AI12)+IF($G$1="破竹",$AL12*1.5,0))*(1+$BH12)*(1+$BI12))*(1+$AM12)*$Q12*(1+IF(VLOOKUP($R12,武学奇术!$A:$ZZ,30,FALSE)="回旋伞",$B$21,0))*(1+$BR12)</f>
        <v>24338.2220991565</v>
      </c>
      <c r="P12" s="38">
        <f>((($AO12*$AI12+$AJ12)*(1+$AQ12)*(1+$AR12)+($AT12*IF($G$1="鸣金",$AK12,$AI12)+IF($G$1="鸣金",$AL12*1.5,0))*(1+$AV12)*(1+$AW12)+($AX12*IF($G$1="裂石",$AK12,$AI12)+IF($G$1="裂石",$AL12*1.5,0))*(1+$AZ12)*(1+$BA12)+($BB12*IF($G$1="牵丝",$AK12,$AI12)+IF($G$1="牵丝",$AL12*1.5,0))*(1+$BD12)*(1+$BE12)+($BF12*IF($G$1="破竹",$AK12,$AI12)+IF($G$1="破竹",$AL12*1.5,0))*(1+$BH12)*(1+$BI12))*(1+$AM12))*$Q12*(1+IF(VLOOKUP($R12,武学奇术!$A:$ZZ,30,FALSE)="回旋伞",$B$21,0))*(1+$BR12)</f>
        <v>20856.8377182678</v>
      </c>
      <c r="Q12" s="39">
        <v>2</v>
      </c>
      <c r="R12" s="40" t="s">
        <v>112</v>
      </c>
      <c r="S12" s="40" t="s">
        <v>109</v>
      </c>
      <c r="T12" s="40" t="s">
        <v>114</v>
      </c>
      <c r="U12" s="40" t="s">
        <v>73</v>
      </c>
      <c r="V12" s="40" t="s">
        <v>81</v>
      </c>
      <c r="W12" s="40" t="s">
        <v>82</v>
      </c>
      <c r="X12" s="40" t="s">
        <v>83</v>
      </c>
      <c r="Y12" s="40" t="s">
        <v>84</v>
      </c>
      <c r="Z12" s="40" t="s">
        <v>72</v>
      </c>
      <c r="AA12" s="40" t="s">
        <v>72</v>
      </c>
      <c r="AB12" s="40" t="s">
        <v>115</v>
      </c>
      <c r="AC12" s="40" t="s">
        <v>91</v>
      </c>
      <c r="AD12" s="40" t="s">
        <v>72</v>
      </c>
      <c r="AE12" s="40" t="s">
        <v>72</v>
      </c>
      <c r="AF12" s="40" t="s">
        <v>77</v>
      </c>
      <c r="AG12" s="40" t="s">
        <v>78</v>
      </c>
      <c r="AH12" t="str">
        <f>VLOOKUP($R12,武学奇术!$A:$ZZ,25,FALSE)</f>
        <v>伞</v>
      </c>
      <c r="AI12" s="26">
        <f>VLOOKUP($R12,武学奇术!$A:$ZZ,26,FALSE)</f>
        <v>0.54</v>
      </c>
      <c r="AJ12" s="27">
        <f>VLOOKUP($R12,武学奇术!$A:$ZZ,27,FALSE)*(1+IF(OR($AH12=$F$4,$AH12=$F$5),$B$22,0))</f>
        <v>0</v>
      </c>
      <c r="AK12" s="26">
        <f>VLOOKUP($R12,武学奇术!$A:$ZZ,28,FALSE)</f>
        <v>0.81</v>
      </c>
      <c r="AL12" s="27">
        <f>VLOOKUP($R12,武学奇术!$A:$ZZ,29,FALSE)*(1+IF(OR($AH12=$F$4,$AH12=$F$5),$B$22,0))</f>
        <v>0</v>
      </c>
      <c r="AM12" s="26" cm="1">
        <f t="array" ref="AM12">$G$3+IFERROR(VLOOKUP($AH12,$F$4:$G$7,2,FALSE),0)+VLOOKUP($R12,武学奇术!$A:$ZZ,2,FALSE)+SUM(_xlfn.XLOOKUP($S12:$AG12,增益!$A:$A,增益!$B:$B,0))</f>
        <v>1.0241</v>
      </c>
      <c r="AN12" s="26" cm="1">
        <f t="array" ref="AN12">VLOOKUP($R12,武学奇术!$A:$ZZ,5,FALSE)+SUM(_xlfn.XLOOKUP($S12:$AG12,增益!$A:$A,增益!$E:$E,0))</f>
        <v>0</v>
      </c>
      <c r="AO12" cm="1">
        <f t="array" ref="AO12">$D$10*(1+$AN12)+VLOOKUP($R12,武学奇术!$A:$ZZ,3,FALSE)+SUM(_xlfn.XLOOKUP($S12:$AG12,增益!$A:$A,增益!$C:$C,0))-$I$2</f>
        <v>3624.6</v>
      </c>
      <c r="AP12" cm="1">
        <f t="array" ref="AP12">$E$10*(1+$AN12)+VLOOKUP($R12,武学奇术!$A:$ZZ,4,FALSE)+SUM(_xlfn.XLOOKUP($S12:$AG12,增益!$A:$A,增益!$D:$D,0))-$I$2</f>
        <v>3624.6</v>
      </c>
      <c r="AQ12" s="32" cm="1">
        <f t="array" ref="AQ12">IF($F$10-$I$3+VLOOKUP($R12,武学奇术!$A:$ZZ,6,FALSE)+SUM(_xlfn.XLOOKUP(S12:AG12,增益!$A:$A,增益!$F:$F,0))&gt;0,($F$10-$I$3+VLOOKUP($R12,武学奇术!$A:$ZZ,6,FALSE)+SUM(_xlfn.XLOOKUP(S12:AG12,增益!$A:$A,增益!$F:$F,0)))/200,($F$10-$I$3+VLOOKUP($R12,武学奇术!$A:$ZZ,6,FALSE)+SUM(_xlfn.XLOOKUP(S12:AG12,增益!$A:$A,增益!$F:$F,0)))/100)</f>
        <v>0.2825</v>
      </c>
      <c r="AR12" s="32" cm="1">
        <f t="array" ref="AR12">$G$10+VLOOKUP($R12,武学奇术!$A:$ZZ,7,FALSE)+SUM(_xlfn.XLOOKUP(S12:AG12,增益!$A:$A,增益!$G:$G,0))</f>
        <v>0.148</v>
      </c>
      <c r="AS12" s="26" cm="1">
        <f t="array" ref="AS12">VLOOKUP($R12,武学奇术!$A:$ZZ,8,FALSE)+SUM(_xlfn.XLOOKUP(S12:AG12,增益!$A:$A,增益!$H:$H,0))</f>
        <v>0</v>
      </c>
      <c r="AT12">
        <f t="shared" si="0"/>
        <v>0</v>
      </c>
      <c r="AU12">
        <f t="shared" si="1"/>
        <v>0</v>
      </c>
      <c r="AV12" s="32" cm="1">
        <f t="array" ref="AV12">IF($F$11-$I$4+VLOOKUP($R12,武学奇术!$A:$ZZ,9,FALSE)+SUM(_xlfn.XLOOKUP(S12:AG12,增益!$A:$A,增益!$I:$I,0))&gt;0,($F$11-$I$4+VLOOKUP($R12,武学奇术!$A:$ZZ,9,FALSE)+SUM(_xlfn.XLOOKUP(S12:AG12,增益!$A:$A,增益!$I:$I,0)))/200,($F$11-$I$4+VLOOKUP($R12,武学奇术!$A:$ZZ,9,FALSE)+SUM(_xlfn.XLOOKUP(S12:AG12,增益!$A:$A,增益!$I:$I,0)))/100)</f>
        <v>-0.14</v>
      </c>
      <c r="AW12" s="32" cm="1">
        <f t="array" ref="AW12">$G$11+VLOOKUP($R12,武学奇术!$A:$ZZ,10,FALSE)+SUM(_xlfn.XLOOKUP(S12:AG12,增益!$A:$A,增益!$J:$J,0))</f>
        <v>0</v>
      </c>
      <c r="AX12">
        <f t="shared" si="2"/>
        <v>0</v>
      </c>
      <c r="AY12">
        <f t="shared" si="3"/>
        <v>0</v>
      </c>
      <c r="AZ12" s="32" cm="1">
        <f t="array" ref="AZ12">IF($F$12-$I$4+VLOOKUP($R12,武学奇术!$A:$ZZ,11,FALSE)+SUM(_xlfn.XLOOKUP(S12:AG12,增益!$A:$A,增益!$K:$K,0))&gt;0,($F$12-$I$4+VLOOKUP($R12,武学奇术!$A:$ZZ,11,FALSE)+SUM(_xlfn.XLOOKUP(S12:AG12,增益!$A:$A,增益!$K:$K,0)))/200,($F$12-$I$4+VLOOKUP($R12,武学奇术!$A:$ZZ,11,FALSE)+SUM(_xlfn.XLOOKUP(S12:AG12,增益!$A:$A,增益!$K:$K,0)))/100)</f>
        <v>-0.14</v>
      </c>
      <c r="BA12" s="32" cm="1">
        <f t="array" ref="BA12">$G$12+VLOOKUP($R12,武学奇术!$A:$ZZ,12,FALSE)+SUM(_xlfn.XLOOKUP(S12:AG12,增益!$A:$A,增益!$L:$L,0))</f>
        <v>0</v>
      </c>
      <c r="BB12">
        <f t="shared" si="4"/>
        <v>0</v>
      </c>
      <c r="BC12">
        <f t="shared" si="5"/>
        <v>0</v>
      </c>
      <c r="BD12" s="32" cm="1">
        <f t="array" ref="BD12">IF($F$13-$I$4+VLOOKUP($R12,武学奇术!$A:$ZZ,13,FALSE)+SUM(_xlfn.XLOOKUP(S12:AG12,增益!$A:$A,增益!$M:$M,0))&gt;0,($F$13-$I$4+VLOOKUP($R12,武学奇术!$A:$ZZ,13,FALSE)+SUM(_xlfn.XLOOKUP(S12:AG12,增益!$A:$A,增益!$K:$K,0)))/200,($F$13-$I$4+VLOOKUP($R12,武学奇术!$A:$ZZ,13,FALSE)+SUM(_xlfn.XLOOKUP(S12:AG12,增益!$A:$A,增益!$M:$M,0)))/100)</f>
        <v>-0.14</v>
      </c>
      <c r="BE12" s="32" cm="1">
        <f t="array" ref="BE12">$G$13+VLOOKUP($R12,武学奇术!$A:$ZZ,14,FALSE)+SUM(_xlfn.XLOOKUP(S12:AG12,增益!$A:$A,增益!$N:$N,0))</f>
        <v>0</v>
      </c>
      <c r="BF12">
        <f t="shared" si="6"/>
        <v>571.2</v>
      </c>
      <c r="BG12">
        <f t="shared" si="7"/>
        <v>1627.8</v>
      </c>
      <c r="BH12" s="32" cm="1">
        <f t="array" ref="BH12">IF($F$14-$I$4+VLOOKUP($R12,武学奇术!$A:$ZZ,15,FALSE)+SUM(_xlfn.XLOOKUP(S12:AG12,增益!$A:$A,增益!$O:$O,0))&gt;0,($F$14-$I$4+VLOOKUP($R12,武学奇术!$A:$ZZ,15,FALSE)+SUM(_xlfn.XLOOKUP(S12:AG12,增益!$A:$A,增益!$O:$O,0)))/200,($F$14-$I$4+VLOOKUP($R12,武学奇术!$A:$ZZ,15,FALSE)+SUM(_xlfn.XLOOKUP(S12:AG12,增益!$A:$A,增益!$O:$O,0)))/100)</f>
        <v>0.08</v>
      </c>
      <c r="BI12" s="32" cm="1">
        <f t="array" ref="BI12">$G$14+VLOOKUP($R12,武学奇术!$A:$ZZ,16,FALSE)+SUM(_xlfn.XLOOKUP(S12:AG12,增益!$A:$A,增益!$P:$P,0))</f>
        <v>0.27</v>
      </c>
      <c r="BJ12" s="26">
        <f>MIN(IF(VLOOKUP($R12,武学奇术!$A:$ZZ,23,FALSE)=1,100%,$B$8),100%)</f>
        <v>0.981</v>
      </c>
      <c r="BK12" s="26" cm="1">
        <f t="array" ref="BK12">IF(VLOOKUP($R12,武学奇术!$A:$ZZ,23,FALSE)=1,100%,MIN(80%,$B$9+VLOOKUP($R12,武学奇术!$A:$ZZ,17,FALSE)+SUM(_xlfn.XLOOKUP(S12:AG12,增益!$A:$A,增益!$Q:$Q,0)))+$B$11+SUM(_xlfn.XLOOKUP(S12:AG12,增益!$A:$A,增益!$U:$U,0)))*IF(VLOOKUP($R12,武学奇术!$A:$ZZ,24,FALSE)=1,0,1)</f>
        <v>0.846</v>
      </c>
      <c r="BL12" s="26" cm="1">
        <f t="array" ref="BL12">1+$B$13+VLOOKUP($R12,武学奇术!$A:$ZZ,18,FALSE)+SUM(_xlfn.XLOOKUP(S12:AG12,增益!$A:$A,增益!$R:$R,0))</f>
        <v>1.89</v>
      </c>
      <c r="BM12" s="26" cm="1">
        <f t="array" ref="BM12">IF(VLOOKUP($R12,武学奇术!$A:$ZZ,24,FALSE)=1,100%,MIN(40%,$B$10+VLOOKUP($R12,武学奇术!$A:$ZZ,19,FALSE)+SUM(_xlfn.XLOOKUP(S12:AG12,增益!$A:$A,增益!$S:$S,0)))+$B$12+SUM(_xlfn.XLOOKUP(S12:AG12,增益!$A:$A,增益!$V:$V,0)))*IF(VLOOKUP($R12,武学奇术!$A:$ZZ,23,FALSE)=1,0,1)</f>
        <v>0.0929</v>
      </c>
      <c r="BN12" s="26" cm="1">
        <f t="array" ref="BN12">1+$B$14+VLOOKUP($R12,武学奇术!$A:$ZZ,20,FALSE)+SUM(_xlfn.XLOOKUP(S12:AG12,增益!$A:$A,增益!$T:$T,0))</f>
        <v>1.35</v>
      </c>
      <c r="BO12" s="26">
        <f t="shared" si="8"/>
        <v>0.829926</v>
      </c>
      <c r="BP12" s="26">
        <f t="shared" si="9"/>
        <v>0.0599391</v>
      </c>
      <c r="BQ12" s="26">
        <f>IF(VLOOKUP($R12,武学奇术!$A:$ZZ,22,FALSE)=1,0,(1-$BJ12))*(1-$BM12)</f>
        <v>0.0172349</v>
      </c>
      <c r="BR12" s="26" cm="1">
        <f t="array" ref="BR12">SUM(_xlfn.XLOOKUP(S12:AG12,增益!$A:$A,增益!$W:$W,0))+$I$5</f>
        <v>0.11</v>
      </c>
    </row>
    <row r="13" ht="14.25" spans="1:70">
      <c r="A13" s="41" t="s">
        <v>118</v>
      </c>
      <c r="B13" s="69">
        <f>50%+IF($E$22="大唐歌",4%,0)</f>
        <v>0.54</v>
      </c>
      <c r="C13" s="45" t="s">
        <v>92</v>
      </c>
      <c r="D13">
        <f>(B5+IF($G$1=$C13,$B$7,0))*IF($G$2="撼天",1.06,1)</f>
        <v>0</v>
      </c>
      <c r="E13">
        <f>(MAX(B5,C5)+IF($G$1=$C13,$C$7,0))*IF($G$2="撼天",1.06,1)</f>
        <v>0</v>
      </c>
      <c r="F13">
        <f>D5</f>
        <v>0</v>
      </c>
      <c r="G13" s="89">
        <f>E5</f>
        <v>0</v>
      </c>
      <c r="H13" s="70"/>
      <c r="I13" s="77"/>
      <c r="J13" s="75"/>
      <c r="K13">
        <f>$L13*VLOOKUP($R13,武学奇术!$A:$ZZ,31,FALSE)</f>
        <v>82484.5822137607</v>
      </c>
      <c r="L13" s="38">
        <f t="shared" si="10"/>
        <v>78556.7449654863</v>
      </c>
      <c r="M13" s="38">
        <f>((($AO13+$AP13)/2*$AI13+$AJ13)*(1+$AQ13)*(1+$AR13)+(($AT13+$AU13)/2*IF($G$1="鸣金",$AK13,$AI13)+IF($G$1="鸣金",$AL13*1.5,0))*(1+$AV13)*(1+$AW13)+(($AX13+$AY13)/2*IF($G$1="裂石",$AK13,$AI13)+IF($G$1="裂石",$AL13*1.5,0))*(1+$AZ13)*(1+$BA13)+(($BB13+$BC13)/2*IF($G$1="牵丝",$AK13,$AI13)+IF($G$1="牵丝",$AL13*1.5,0))*(1+$BD13)*(1+$BE13)+(($BF13+$BG13)/2*IF($G$1="破竹",$AK13,$AI13)+IF($G$1="破竹",$AL13*1.5,0))*(1+$BH13)*(1+$BI13))*(1+$AM13)*$BL13*$Q13*(1+IF(VLOOKUP($R13,武学奇术!$A:$ZZ,30,FALSE)="回旋伞",$B$21,0))*(1+$BR13)</f>
        <v>83512.3488592737</v>
      </c>
      <c r="N13" s="38">
        <f>(($AP13*$AI13+$AJ13)*(1+$AQ13)*(1+$AR13)+($AU13*IF($G$1="鸣金",$AK13,$AI13)+IF($G$1="鸣金",$AL13*1.5,0))*(1+$AV13)*(1+$AW13)+($AY13*IF($G$1="裂石",$AK13,$AI13)+IF($G$1="裂石",$AL13*1.5,0))*(1+$AZ13)*(1+$BA13)+($BC13*IF($G$1="牵丝",$AK13,$AI13)+IF($G$1="牵丝",$AL13*1.5,0))*(1+$BD13)*(1+$BE13)+($BG13*IF($G$1="破竹",$AK13,$AI13)+IF($G$1="破竹",$AL13*1.5,0))*(1+$BH13)*(1+$BI13))*(1+$AM13)*$BN13*$Q13*(1+IF(VLOOKUP($R13,武学奇术!$A:$ZZ,30,FALSE)="回旋伞",$B$21,0))*(1+$BR13)</f>
        <v>64947.1938590977</v>
      </c>
      <c r="O13" s="38">
        <f>((($AO13+$AP13)/2*$AI13+$AJ13)*(1+$AQ13)*(1+$AR13)+(($AT13+$AU13)/2*IF($G$1="鸣金",$AK13,$AI13)+IF($G$1="鸣金",$AL13*1.5,0))*(1+$AV13)*(1+$AW13)+(($AX13+$AY13)/2*IF($G$1="裂石",$AK13,$AI13)+IF($G$1="裂石",$AL13*1.5,0))*(1+$AZ13)*(1+$BA13)+(($BB13+$BC13)/2*IF($G$1="牵丝",$AK13,$AI13)+IF($G$1="牵丝",$AL13*1.5,0))*(1+$BD13)*(1+$BE13)+(($BF13+$BG13)/2*IF($G$1="破竹",$AK13,$AI13)+IF($G$1="破竹",$AL13*1.5,0))*(1+$BH13)*(1+$BI13))*(1+$AM13)*$Q13*(1+IF(VLOOKUP($R13,武学奇术!$A:$ZZ,30,FALSE)="回旋伞",$B$21,0))*(1+$BR13)</f>
        <v>42826.8455688583</v>
      </c>
      <c r="P13" s="38">
        <f>((($AO13*$AI13+$AJ13)*(1+$AQ13)*(1+$AR13)+($AT13*IF($G$1="鸣金",$AK13,$AI13)+IF($G$1="鸣金",$AL13*1.5,0))*(1+$AV13)*(1+$AW13)+($AX13*IF($G$1="裂石",$AK13,$AI13)+IF($G$1="裂石",$AL13*1.5,0))*(1+$AZ13)*(1+$BA13)+($BB13*IF($G$1="牵丝",$AK13,$AI13)+IF($G$1="牵丝",$AL13*1.5,0))*(1+$BD13)*(1+$BE13)+($BF13*IF($G$1="破竹",$AK13,$AI13)+IF($G$1="破竹",$AL13*1.5,0))*(1+$BH13)*(1+$BI13))*(1+$AM13))*$Q13*(1+IF(VLOOKUP($R13,武学奇术!$A:$ZZ,30,FALSE)="回旋伞",$B$21,0))*(1+$BR13)</f>
        <v>37544.6586494962</v>
      </c>
      <c r="Q13" s="39">
        <v>1</v>
      </c>
      <c r="R13" s="40" t="s">
        <v>108</v>
      </c>
      <c r="S13" s="40" t="s">
        <v>109</v>
      </c>
      <c r="T13" s="40" t="s">
        <v>119</v>
      </c>
      <c r="U13" s="40" t="s">
        <v>73</v>
      </c>
      <c r="V13" s="40" t="s">
        <v>81</v>
      </c>
      <c r="W13" s="40" t="s">
        <v>82</v>
      </c>
      <c r="X13" s="40" t="s">
        <v>90</v>
      </c>
      <c r="Y13" s="40" t="s">
        <v>84</v>
      </c>
      <c r="Z13" s="40" t="s">
        <v>72</v>
      </c>
      <c r="AA13" s="40" t="s">
        <v>72</v>
      </c>
      <c r="AB13" s="40" t="s">
        <v>120</v>
      </c>
      <c r="AC13" s="40" t="s">
        <v>91</v>
      </c>
      <c r="AD13" s="40" t="s">
        <v>72</v>
      </c>
      <c r="AE13" s="40" t="s">
        <v>72</v>
      </c>
      <c r="AF13" s="40" t="s">
        <v>77</v>
      </c>
      <c r="AG13" s="40" t="s">
        <v>78</v>
      </c>
      <c r="AH13" t="str">
        <f>VLOOKUP($R13,武学奇术!$A:$ZZ,25,FALSE)</f>
        <v>伞</v>
      </c>
      <c r="AI13" s="26">
        <f>VLOOKUP($R13,武学奇术!$A:$ZZ,26,FALSE)</f>
        <v>1.8084</v>
      </c>
      <c r="AJ13" s="27">
        <f>VLOOKUP($R13,武学奇术!$A:$ZZ,27,FALSE)*(1+IF(OR($AH13=$F$4,$AH13=$F$5),$B$22,0))</f>
        <v>750</v>
      </c>
      <c r="AK13" s="26">
        <f>VLOOKUP($R13,武学奇术!$A:$ZZ,28,FALSE)</f>
        <v>2.7126</v>
      </c>
      <c r="AL13" s="27">
        <f>VLOOKUP($R13,武学奇术!$A:$ZZ,29,FALSE)*(1+IF(OR($AH13=$F$4,$AH13=$F$5),$B$22,0))</f>
        <v>408</v>
      </c>
      <c r="AM13" s="26" cm="1">
        <f t="array" ref="AM13">$G$3+IFERROR(VLOOKUP($AH13,$F$4:$G$7,2,FALSE),0)+VLOOKUP($R13,武学奇术!$A:$ZZ,2,FALSE)+SUM(_xlfn.XLOOKUP($S13:$AG13,增益!$A:$A,增益!$B:$B,0))</f>
        <v>0.8341</v>
      </c>
      <c r="AN13" s="26" cm="1">
        <f t="array" ref="AN13">VLOOKUP($R13,武学奇术!$A:$ZZ,5,FALSE)+SUM(_xlfn.XLOOKUP($S13:$AG13,增益!$A:$A,增益!$E:$E,0))</f>
        <v>0</v>
      </c>
      <c r="AO13" cm="1">
        <f t="array" ref="AO13">$D$10*(1+$AN13)+VLOOKUP($R13,武学奇术!$A:$ZZ,3,FALSE)+SUM(_xlfn.XLOOKUP($S13:$AG13,增益!$A:$A,增益!$C:$C,0))-$I$2</f>
        <v>3624.6</v>
      </c>
      <c r="AP13" cm="1">
        <f t="array" ref="AP13">$E$10*(1+$AN13)+VLOOKUP($R13,武学奇术!$A:$ZZ,4,FALSE)+SUM(_xlfn.XLOOKUP($S13:$AG13,增益!$A:$A,增益!$D:$D,0))-$I$2</f>
        <v>3624.6</v>
      </c>
      <c r="AQ13" s="32" cm="1">
        <f t="array" ref="AQ13">IF($F$10-$I$3+VLOOKUP($R13,武学奇术!$A:$ZZ,6,FALSE)+SUM(_xlfn.XLOOKUP(S13:AG13,增益!$A:$A,增益!$F:$F,0))&gt;0,($F$10-$I$3+VLOOKUP($R13,武学奇术!$A:$ZZ,6,FALSE)+SUM(_xlfn.XLOOKUP(S13:AG13,增益!$A:$A,增益!$F:$F,0)))/200,($F$10-$I$3+VLOOKUP($R13,武学奇术!$A:$ZZ,6,FALSE)+SUM(_xlfn.XLOOKUP(S13:AG13,增益!$A:$A,增益!$F:$F,0)))/100)</f>
        <v>0.3125</v>
      </c>
      <c r="AR13" s="32" cm="1">
        <f t="array" ref="AR13">$G$10+VLOOKUP($R13,武学奇术!$A:$ZZ,7,FALSE)+SUM(_xlfn.XLOOKUP(S13:AG13,增益!$A:$A,增益!$G:$G,0))</f>
        <v>0.148</v>
      </c>
      <c r="AS13" s="26" cm="1">
        <f t="array" ref="AS13">VLOOKUP($R13,武学奇术!$A:$ZZ,8,FALSE)+SUM(_xlfn.XLOOKUP(S13:AG13,增益!$A:$A,增益!$H:$H,0))</f>
        <v>0</v>
      </c>
      <c r="AT13">
        <f t="shared" si="0"/>
        <v>0</v>
      </c>
      <c r="AU13">
        <f t="shared" si="1"/>
        <v>0</v>
      </c>
      <c r="AV13" s="32" cm="1">
        <f t="array" ref="AV13">IF($F$11-$I$4+VLOOKUP($R13,武学奇术!$A:$ZZ,9,FALSE)+SUM(_xlfn.XLOOKUP(S13:AG13,增益!$A:$A,增益!$I:$I,0))&gt;0,($F$11-$I$4+VLOOKUP($R13,武学奇术!$A:$ZZ,9,FALSE)+SUM(_xlfn.XLOOKUP(S13:AG13,增益!$A:$A,增益!$I:$I,0)))/200,($F$11-$I$4+VLOOKUP($R13,武学奇术!$A:$ZZ,9,FALSE)+SUM(_xlfn.XLOOKUP(S13:AG13,增益!$A:$A,增益!$I:$I,0)))/100)</f>
        <v>-0.14</v>
      </c>
      <c r="AW13" s="32" cm="1">
        <f t="array" ref="AW13">$G$11+VLOOKUP($R13,武学奇术!$A:$ZZ,10,FALSE)+SUM(_xlfn.XLOOKUP(S13:AG13,增益!$A:$A,增益!$J:$J,0))</f>
        <v>0</v>
      </c>
      <c r="AX13">
        <f t="shared" si="2"/>
        <v>0</v>
      </c>
      <c r="AY13">
        <f t="shared" si="3"/>
        <v>0</v>
      </c>
      <c r="AZ13" s="32" cm="1">
        <f t="array" ref="AZ13">IF($F$12-$I$4+VLOOKUP($R13,武学奇术!$A:$ZZ,11,FALSE)+SUM(_xlfn.XLOOKUP(S13:AG13,增益!$A:$A,增益!$K:$K,0))&gt;0,($F$12-$I$4+VLOOKUP($R13,武学奇术!$A:$ZZ,11,FALSE)+SUM(_xlfn.XLOOKUP(S13:AG13,增益!$A:$A,增益!$K:$K,0)))/200,($F$12-$I$4+VLOOKUP($R13,武学奇术!$A:$ZZ,11,FALSE)+SUM(_xlfn.XLOOKUP(S13:AG13,增益!$A:$A,增益!$K:$K,0)))/100)</f>
        <v>-0.14</v>
      </c>
      <c r="BA13" s="32" cm="1">
        <f t="array" ref="BA13">$G$12+VLOOKUP($R13,武学奇术!$A:$ZZ,12,FALSE)+SUM(_xlfn.XLOOKUP(S13:AG13,增益!$A:$A,增益!$L:$L,0))</f>
        <v>0</v>
      </c>
      <c r="BB13">
        <f t="shared" si="4"/>
        <v>0</v>
      </c>
      <c r="BC13">
        <f t="shared" si="5"/>
        <v>0</v>
      </c>
      <c r="BD13" s="32" cm="1">
        <f t="array" ref="BD13">IF($F$13-$I$4+VLOOKUP($R13,武学奇术!$A:$ZZ,13,FALSE)+SUM(_xlfn.XLOOKUP(S13:AG13,增益!$A:$A,增益!$M:$M,0))&gt;0,($F$13-$I$4+VLOOKUP($R13,武学奇术!$A:$ZZ,13,FALSE)+SUM(_xlfn.XLOOKUP(S13:AG13,增益!$A:$A,增益!$K:$K,0)))/200,($F$13-$I$4+VLOOKUP($R13,武学奇术!$A:$ZZ,13,FALSE)+SUM(_xlfn.XLOOKUP(S13:AG13,增益!$A:$A,增益!$M:$M,0)))/100)</f>
        <v>-0.14</v>
      </c>
      <c r="BE13" s="32" cm="1">
        <f t="array" ref="BE13">$G$13+VLOOKUP($R13,武学奇术!$A:$ZZ,14,FALSE)+SUM(_xlfn.XLOOKUP(S13:AG13,增益!$A:$A,增益!$N:$N,0))</f>
        <v>0</v>
      </c>
      <c r="BF13">
        <f t="shared" si="6"/>
        <v>571.2</v>
      </c>
      <c r="BG13">
        <f t="shared" si="7"/>
        <v>1627.8</v>
      </c>
      <c r="BH13" s="32" cm="1">
        <f t="array" ref="BH13">IF($F$14-$I$4+VLOOKUP($R13,武学奇术!$A:$ZZ,15,FALSE)+SUM(_xlfn.XLOOKUP(S13:AG13,增益!$A:$A,增益!$O:$O,0))&gt;0,($F$14-$I$4+VLOOKUP($R13,武学奇术!$A:$ZZ,15,FALSE)+SUM(_xlfn.XLOOKUP(S13:AG13,增益!$A:$A,增益!$O:$O,0)))/200,($F$14-$I$4+VLOOKUP($R13,武学奇术!$A:$ZZ,15,FALSE)+SUM(_xlfn.XLOOKUP(S13:AG13,增益!$A:$A,增益!$O:$O,0)))/100)</f>
        <v>0.08</v>
      </c>
      <c r="BI13" s="32" cm="1">
        <f t="array" ref="BI13">$G$14+VLOOKUP($R13,武学奇术!$A:$ZZ,16,FALSE)+SUM(_xlfn.XLOOKUP(S13:AG13,增益!$A:$A,增益!$P:$P,0))</f>
        <v>0.27</v>
      </c>
      <c r="BJ13" s="26">
        <f>MIN(IF(VLOOKUP($R13,武学奇术!$A:$ZZ,23,FALSE)=1,100%,$B$8),100%)</f>
        <v>0.981</v>
      </c>
      <c r="BK13" s="26" cm="1">
        <f t="array" ref="BK13">IF(VLOOKUP($R13,武学奇术!$A:$ZZ,23,FALSE)=1,100%,MIN(80%,$B$9+VLOOKUP($R13,武学奇术!$A:$ZZ,17,FALSE)+SUM(_xlfn.XLOOKUP(S13:AG13,增益!$A:$A,增益!$Q:$Q,0)))+$B$11+SUM(_xlfn.XLOOKUP(S13:AG13,增益!$A:$A,增益!$U:$U,0)))*IF(VLOOKUP($R13,武学奇术!$A:$ZZ,24,FALSE)=1,0,1)</f>
        <v>0.846</v>
      </c>
      <c r="BL13" s="26" cm="1">
        <f t="array" ref="BL13">1+$B$13+VLOOKUP($R13,武学奇术!$A:$ZZ,18,FALSE)+SUM(_xlfn.XLOOKUP(S13:AG13,增益!$A:$A,增益!$R:$R,0))</f>
        <v>1.95</v>
      </c>
      <c r="BM13" s="26" cm="1">
        <f t="array" ref="BM13">IF(VLOOKUP($R13,武学奇术!$A:$ZZ,24,FALSE)=1,100%,MIN(40%,$B$10+VLOOKUP($R13,武学奇术!$A:$ZZ,19,FALSE)+SUM(_xlfn.XLOOKUP(S13:AG13,增益!$A:$A,增益!$S:$S,0)))+$B$12+SUM(_xlfn.XLOOKUP(S13:AG13,增益!$A:$A,增益!$V:$V,0)))*IF(VLOOKUP($R13,武学奇术!$A:$ZZ,23,FALSE)=1,0,1)</f>
        <v>0.0929</v>
      </c>
      <c r="BN13" s="26" cm="1">
        <f t="array" ref="BN13">1+$B$14+VLOOKUP($R13,武学奇术!$A:$ZZ,20,FALSE)+SUM(_xlfn.XLOOKUP(S13:AG13,增益!$A:$A,增益!$T:$T,0))</f>
        <v>1.35</v>
      </c>
      <c r="BO13" s="26">
        <f t="shared" si="8"/>
        <v>0.829926</v>
      </c>
      <c r="BP13" s="26">
        <f t="shared" si="9"/>
        <v>0.0599391</v>
      </c>
      <c r="BQ13" s="26">
        <f>IF(VLOOKUP($R13,武学奇术!$A:$ZZ,22,FALSE)=1,0,(1-$BJ13))*(1-$BM13)</f>
        <v>0.0172349</v>
      </c>
      <c r="BR13" s="26" cm="1">
        <f t="array" ref="BR13">SUM(_xlfn.XLOOKUP(S13:AG13,增益!$A:$A,增益!$W:$W,0))+$I$5</f>
        <v>0.11</v>
      </c>
    </row>
    <row r="14" ht="14.25" spans="1:70">
      <c r="A14" s="41" t="s">
        <v>121</v>
      </c>
      <c r="B14" s="69">
        <v>0.35</v>
      </c>
      <c r="C14" s="53" t="s">
        <v>5</v>
      </c>
      <c r="D14" s="23">
        <f>(B6+IF($G$1=$C14,B7,0))*IF($G$2="撼天",1.06,1)</f>
        <v>571.2</v>
      </c>
      <c r="E14" s="23">
        <f>(MAX(B6,C6)+IF($G$1=$C14,$C$7,0))*IF($G$2="撼天",1.06,1)</f>
        <v>1627.8</v>
      </c>
      <c r="F14" s="23">
        <f>D6</f>
        <v>30</v>
      </c>
      <c r="G14" s="90">
        <f>E6</f>
        <v>0.15</v>
      </c>
      <c r="H14" s="36" t="s">
        <v>122</v>
      </c>
      <c r="I14" s="72">
        <f>RD!I14</f>
        <v>129307.921624983</v>
      </c>
      <c r="J14" s="73"/>
      <c r="K14">
        <f>$L14*VLOOKUP($R14,武学奇术!$A:$ZZ,31,FALSE)</f>
        <v>47930.0369341963</v>
      </c>
      <c r="L14" s="38">
        <f t="shared" si="10"/>
        <v>45647.6542230441</v>
      </c>
      <c r="M14" s="38">
        <f>((($AO14+$AP14)/2*$AI14+$AJ14)*(1+$AQ14)*(1+$AR14)+(($AT14+$AU14)/2*IF($G$1="鸣金",$AK14,$AI14)+IF($G$1="鸣金",$AL14*1.5,0))*(1+$AV14)*(1+$AW14)+(($AX14+$AY14)/2*IF($G$1="裂石",$AK14,$AI14)+IF($G$1="裂石",$AL14*1.5,0))*(1+$AZ14)*(1+$BA14)+(($BB14+$BC14)/2*IF($G$1="牵丝",$AK14,$AI14)+IF($G$1="牵丝",$AL14*1.5,0))*(1+$BD14)*(1+$BE14)+(($BF14+$BG14)/2*IF($G$1="破竹",$AK14,$AI14)+IF($G$1="破竹",$AL14*1.5,0))*(1+$BH14)*(1+$BI14))*(1+$AM14)*$BL14*$Q14*(1+IF(VLOOKUP($R14,武学奇术!$A:$ZZ,30,FALSE)="回旋伞",$B$21,0))*(1+$BR14)</f>
        <v>48477.5266648414</v>
      </c>
      <c r="N14" s="38">
        <f>(($AP14*$AI14+$AJ14)*(1+$AQ14)*(1+$AR14)+($AU14*IF($G$1="鸣金",$AK14,$AI14)+IF($G$1="鸣金",$AL14*1.5,0))*(1+$AV14)*(1+$AW14)+($AY14*IF($G$1="裂石",$AK14,$AI14)+IF($G$1="裂石",$AL14*1.5,0))*(1+$AZ14)*(1+$BA14)+($BC14*IF($G$1="牵丝",$AK14,$AI14)+IF($G$1="牵丝",$AL14*1.5,0))*(1+$BD14)*(1+$BE14)+($BG14*IF($G$1="破竹",$AK14,$AI14)+IF($G$1="破竹",$AL14*1.5,0))*(1+$BH14)*(1+$BI14))*(1+$AM14)*$BN14*$Q14*(1+IF(VLOOKUP($R14,武学奇术!$A:$ZZ,30,FALSE)="回旋伞",$B$21,0))*(1+$BR14)</f>
        <v>38284.4530773262</v>
      </c>
      <c r="O14" s="38">
        <f>((($AO14+$AP14)/2*$AI14+$AJ14)*(1+$AQ14)*(1+$AR14)+(($AT14+$AU14)/2*IF($G$1="鸣金",$AK14,$AI14)+IF($G$1="鸣金",$AL14*1.5,0))*(1+$AV14)*(1+$AW14)+(($AX14+$AY14)/2*IF($G$1="裂石",$AK14,$AI14)+IF($G$1="裂石",$AL14*1.5,0))*(1+$AZ14)*(1+$BA14)+(($BB14+$BC14)/2*IF($G$1="牵丝",$AK14,$AI14)+IF($G$1="牵丝",$AL14*1.5,0))*(1+$BD14)*(1+$BE14)+(($BF14+$BG14)/2*IF($G$1="破竹",$AK14,$AI14)+IF($G$1="破竹",$AL14*1.5,0))*(1+$BH14)*(1+$BI14))*(1+$AM14)*$Q14*(1+IF(VLOOKUP($R14,武学奇术!$A:$ZZ,30,FALSE)="回旋伞",$B$21,0))*(1+$BR14)</f>
        <v>24860.2700845341</v>
      </c>
      <c r="P14" s="38">
        <f>((($AO14*$AI14+$AJ14)*(1+$AQ14)*(1+$AR14)+($AT14*IF($G$1="鸣金",$AK14,$AI14)+IF($G$1="鸣金",$AL14*1.5,0))*(1+$AV14)*(1+$AW14)+($AX14*IF($G$1="裂石",$AK14,$AI14)+IF($G$1="裂石",$AL14*1.5,0))*(1+$AZ14)*(1+$BA14)+($BB14*IF($G$1="牵丝",$AK14,$AI14)+IF($G$1="牵丝",$AL14*1.5,0))*(1+$BD14)*(1+$BE14)+($BF14*IF($G$1="破竹",$AK14,$AI14)+IF($G$1="破竹",$AL14*1.5,0))*(1+$BH14)*(1+$BI14))*(1+$AM14))*$Q14*(1+IF(VLOOKUP($R14,武学奇术!$A:$ZZ,30,FALSE)="回旋伞",$B$21,0))*(1+$BR14)</f>
        <v>21361.6860377154</v>
      </c>
      <c r="Q14" s="39">
        <v>2</v>
      </c>
      <c r="R14" s="40" t="s">
        <v>112</v>
      </c>
      <c r="S14" s="40" t="s">
        <v>109</v>
      </c>
      <c r="T14" s="40" t="s">
        <v>119</v>
      </c>
      <c r="U14" s="40" t="s">
        <v>73</v>
      </c>
      <c r="V14" s="40" t="s">
        <v>81</v>
      </c>
      <c r="W14" s="40" t="s">
        <v>82</v>
      </c>
      <c r="X14" s="40" t="s">
        <v>90</v>
      </c>
      <c r="Y14" s="40" t="s">
        <v>84</v>
      </c>
      <c r="Z14" s="40" t="s">
        <v>72</v>
      </c>
      <c r="AA14" s="40" t="s">
        <v>72</v>
      </c>
      <c r="AB14" s="40" t="s">
        <v>120</v>
      </c>
      <c r="AC14" s="40" t="s">
        <v>91</v>
      </c>
      <c r="AD14" s="40" t="s">
        <v>72</v>
      </c>
      <c r="AE14" s="40" t="s">
        <v>72</v>
      </c>
      <c r="AF14" s="40" t="s">
        <v>77</v>
      </c>
      <c r="AG14" s="40" t="s">
        <v>78</v>
      </c>
      <c r="AH14" t="str">
        <f>VLOOKUP($R14,武学奇术!$A:$ZZ,25,FALSE)</f>
        <v>伞</v>
      </c>
      <c r="AI14" s="26">
        <f>VLOOKUP($R14,武学奇术!$A:$ZZ,26,FALSE)</f>
        <v>0.54</v>
      </c>
      <c r="AJ14" s="27">
        <f>VLOOKUP($R14,武学奇术!$A:$ZZ,27,FALSE)*(1+IF(OR($AH14=$F$4,$AH14=$F$5),$B$22,0))</f>
        <v>0</v>
      </c>
      <c r="AK14" s="26">
        <f>VLOOKUP($R14,武学奇术!$A:$ZZ,28,FALSE)</f>
        <v>0.81</v>
      </c>
      <c r="AL14" s="27">
        <f>VLOOKUP($R14,武学奇术!$A:$ZZ,29,FALSE)*(1+IF(OR($AH14=$F$4,$AH14=$F$5),$B$22,0))</f>
        <v>0</v>
      </c>
      <c r="AM14" s="26" cm="1">
        <f t="array" ref="AM14">$G$3+IFERROR(VLOOKUP($AH14,$F$4:$G$7,2,FALSE),0)+VLOOKUP($R14,武学奇术!$A:$ZZ,2,FALSE)+SUM(_xlfn.XLOOKUP($S14:$AG14,增益!$A:$A,增益!$B:$B,0))</f>
        <v>1.0341</v>
      </c>
      <c r="AN14" s="26" cm="1">
        <f t="array" ref="AN14">VLOOKUP($R14,武学奇术!$A:$ZZ,5,FALSE)+SUM(_xlfn.XLOOKUP($S14:$AG14,增益!$A:$A,增益!$E:$E,0))</f>
        <v>0</v>
      </c>
      <c r="AO14" cm="1">
        <f t="array" ref="AO14">$D$10*(1+$AN14)+VLOOKUP($R14,武学奇术!$A:$ZZ,3,FALSE)+SUM(_xlfn.XLOOKUP($S14:$AG14,增益!$A:$A,增益!$C:$C,0))-$I$2</f>
        <v>3624.6</v>
      </c>
      <c r="AP14" cm="1">
        <f t="array" ref="AP14">$E$10*(1+$AN14)+VLOOKUP($R14,武学奇术!$A:$ZZ,4,FALSE)+SUM(_xlfn.XLOOKUP($S14:$AG14,增益!$A:$A,增益!$D:$D,0))-$I$2</f>
        <v>3624.6</v>
      </c>
      <c r="AQ14" s="32" cm="1">
        <f t="array" ref="AQ14">IF($F$10-$I$3+VLOOKUP($R14,武学奇术!$A:$ZZ,6,FALSE)+SUM(_xlfn.XLOOKUP(S14:AG14,增益!$A:$A,增益!$F:$F,0))&gt;0,($F$10-$I$3+VLOOKUP($R14,武学奇术!$A:$ZZ,6,FALSE)+SUM(_xlfn.XLOOKUP(S14:AG14,增益!$A:$A,增益!$F:$F,0)))/200,($F$10-$I$3+VLOOKUP($R14,武学奇术!$A:$ZZ,6,FALSE)+SUM(_xlfn.XLOOKUP(S14:AG14,增益!$A:$A,增益!$F:$F,0)))/100)</f>
        <v>0.3125</v>
      </c>
      <c r="AR14" s="32" cm="1">
        <f t="array" ref="AR14">$G$10+VLOOKUP($R14,武学奇术!$A:$ZZ,7,FALSE)+SUM(_xlfn.XLOOKUP(S14:AG14,增益!$A:$A,增益!$G:$G,0))</f>
        <v>0.148</v>
      </c>
      <c r="AS14" s="26" cm="1">
        <f t="array" ref="AS14">VLOOKUP($R14,武学奇术!$A:$ZZ,8,FALSE)+SUM(_xlfn.XLOOKUP(S14:AG14,增益!$A:$A,增益!$H:$H,0))</f>
        <v>0</v>
      </c>
      <c r="AT14">
        <f t="shared" si="0"/>
        <v>0</v>
      </c>
      <c r="AU14">
        <f t="shared" si="1"/>
        <v>0</v>
      </c>
      <c r="AV14" s="32" cm="1">
        <f t="array" ref="AV14">IF($F$11-$I$4+VLOOKUP($R14,武学奇术!$A:$ZZ,9,FALSE)+SUM(_xlfn.XLOOKUP(S14:AG14,增益!$A:$A,增益!$I:$I,0))&gt;0,($F$11-$I$4+VLOOKUP($R14,武学奇术!$A:$ZZ,9,FALSE)+SUM(_xlfn.XLOOKUP(S14:AG14,增益!$A:$A,增益!$I:$I,0)))/200,($F$11-$I$4+VLOOKUP($R14,武学奇术!$A:$ZZ,9,FALSE)+SUM(_xlfn.XLOOKUP(S14:AG14,增益!$A:$A,增益!$I:$I,0)))/100)</f>
        <v>-0.14</v>
      </c>
      <c r="AW14" s="32" cm="1">
        <f t="array" ref="AW14">$G$11+VLOOKUP($R14,武学奇术!$A:$ZZ,10,FALSE)+SUM(_xlfn.XLOOKUP(S14:AG14,增益!$A:$A,增益!$J:$J,0))</f>
        <v>0</v>
      </c>
      <c r="AX14">
        <f t="shared" si="2"/>
        <v>0</v>
      </c>
      <c r="AY14">
        <f t="shared" si="3"/>
        <v>0</v>
      </c>
      <c r="AZ14" s="32" cm="1">
        <f t="array" ref="AZ14">IF($F$12-$I$4+VLOOKUP($R14,武学奇术!$A:$ZZ,11,FALSE)+SUM(_xlfn.XLOOKUP(S14:AG14,增益!$A:$A,增益!$K:$K,0))&gt;0,($F$12-$I$4+VLOOKUP($R14,武学奇术!$A:$ZZ,11,FALSE)+SUM(_xlfn.XLOOKUP(S14:AG14,增益!$A:$A,增益!$K:$K,0)))/200,($F$12-$I$4+VLOOKUP($R14,武学奇术!$A:$ZZ,11,FALSE)+SUM(_xlfn.XLOOKUP(S14:AG14,增益!$A:$A,增益!$K:$K,0)))/100)</f>
        <v>-0.14</v>
      </c>
      <c r="BA14" s="32" cm="1">
        <f t="array" ref="BA14">$G$12+VLOOKUP($R14,武学奇术!$A:$ZZ,12,FALSE)+SUM(_xlfn.XLOOKUP(S14:AG14,增益!$A:$A,增益!$L:$L,0))</f>
        <v>0</v>
      </c>
      <c r="BB14">
        <f t="shared" si="4"/>
        <v>0</v>
      </c>
      <c r="BC14">
        <f t="shared" si="5"/>
        <v>0</v>
      </c>
      <c r="BD14" s="32" cm="1">
        <f t="array" ref="BD14">IF($F$13-$I$4+VLOOKUP($R14,武学奇术!$A:$ZZ,13,FALSE)+SUM(_xlfn.XLOOKUP(S14:AG14,增益!$A:$A,增益!$M:$M,0))&gt;0,($F$13-$I$4+VLOOKUP($R14,武学奇术!$A:$ZZ,13,FALSE)+SUM(_xlfn.XLOOKUP(S14:AG14,增益!$A:$A,增益!$K:$K,0)))/200,($F$13-$I$4+VLOOKUP($R14,武学奇术!$A:$ZZ,13,FALSE)+SUM(_xlfn.XLOOKUP(S14:AG14,增益!$A:$A,增益!$M:$M,0)))/100)</f>
        <v>-0.14</v>
      </c>
      <c r="BE14" s="32" cm="1">
        <f t="array" ref="BE14">$G$13+VLOOKUP($R14,武学奇术!$A:$ZZ,14,FALSE)+SUM(_xlfn.XLOOKUP(S14:AG14,增益!$A:$A,增益!$N:$N,0))</f>
        <v>0</v>
      </c>
      <c r="BF14">
        <f t="shared" si="6"/>
        <v>571.2</v>
      </c>
      <c r="BG14">
        <f t="shared" si="7"/>
        <v>1627.8</v>
      </c>
      <c r="BH14" s="32" cm="1">
        <f t="array" ref="BH14">IF($F$14-$I$4+VLOOKUP($R14,武学奇术!$A:$ZZ,15,FALSE)+SUM(_xlfn.XLOOKUP(S14:AG14,增益!$A:$A,增益!$O:$O,0))&gt;0,($F$14-$I$4+VLOOKUP($R14,武学奇术!$A:$ZZ,15,FALSE)+SUM(_xlfn.XLOOKUP(S14:AG14,增益!$A:$A,增益!$O:$O,0)))/200,($F$14-$I$4+VLOOKUP($R14,武学奇术!$A:$ZZ,15,FALSE)+SUM(_xlfn.XLOOKUP(S14:AG14,增益!$A:$A,增益!$O:$O,0)))/100)</f>
        <v>0.08</v>
      </c>
      <c r="BI14" s="32" cm="1">
        <f t="array" ref="BI14">$G$14+VLOOKUP($R14,武学奇术!$A:$ZZ,16,FALSE)+SUM(_xlfn.XLOOKUP(S14:AG14,增益!$A:$A,增益!$P:$P,0))</f>
        <v>0.27</v>
      </c>
      <c r="BJ14" s="26">
        <f>MIN(IF(VLOOKUP($R14,武学奇术!$A:$ZZ,23,FALSE)=1,100%,$B$8),100%)</f>
        <v>0.981</v>
      </c>
      <c r="BK14" s="26" cm="1">
        <f t="array" ref="BK14">IF(VLOOKUP($R14,武学奇术!$A:$ZZ,23,FALSE)=1,100%,MIN(80%,$B$9+VLOOKUP($R14,武学奇术!$A:$ZZ,17,FALSE)+SUM(_xlfn.XLOOKUP(S14:AG14,增益!$A:$A,增益!$Q:$Q,0)))+$B$11+SUM(_xlfn.XLOOKUP(S14:AG14,增益!$A:$A,增益!$U:$U,0)))*IF(VLOOKUP($R14,武学奇术!$A:$ZZ,24,FALSE)=1,0,1)</f>
        <v>0.846</v>
      </c>
      <c r="BL14" s="26" cm="1">
        <f t="array" ref="BL14">1+$B$13+VLOOKUP($R14,武学奇术!$A:$ZZ,18,FALSE)+SUM(_xlfn.XLOOKUP(S14:AG14,增益!$A:$A,增益!$R:$R,0))</f>
        <v>1.95</v>
      </c>
      <c r="BM14" s="26" cm="1">
        <f t="array" ref="BM14">IF(VLOOKUP($R14,武学奇术!$A:$ZZ,24,FALSE)=1,100%,MIN(40%,$B$10+VLOOKUP($R14,武学奇术!$A:$ZZ,19,FALSE)+SUM(_xlfn.XLOOKUP(S14:AG14,增益!$A:$A,增益!$S:$S,0)))+$B$12+SUM(_xlfn.XLOOKUP(S14:AG14,增益!$A:$A,增益!$V:$V,0)))*IF(VLOOKUP($R14,武学奇术!$A:$ZZ,23,FALSE)=1,0,1)</f>
        <v>0.0929</v>
      </c>
      <c r="BN14" s="26" cm="1">
        <f t="array" ref="BN14">1+$B$14+VLOOKUP($R14,武学奇术!$A:$ZZ,20,FALSE)+SUM(_xlfn.XLOOKUP(S14:AG14,增益!$A:$A,增益!$T:$T,0))</f>
        <v>1.35</v>
      </c>
      <c r="BO14" s="26">
        <f t="shared" si="8"/>
        <v>0.829926</v>
      </c>
      <c r="BP14" s="26">
        <f t="shared" si="9"/>
        <v>0.0599391</v>
      </c>
      <c r="BQ14" s="26">
        <f>IF(VLOOKUP($R14,武学奇术!$A:$ZZ,22,FALSE)=1,0,(1-$BJ14))*(1-$BM14)</f>
        <v>0.0172349</v>
      </c>
      <c r="BR14" s="26" cm="1">
        <f t="array" ref="BR14">SUM(_xlfn.XLOOKUP(S14:AG14,增益!$A:$A,增益!$W:$W,0))+$I$5</f>
        <v>0.11</v>
      </c>
    </row>
    <row r="15" ht="14.25" spans="1:70">
      <c r="A15" s="41" t="s">
        <v>123</v>
      </c>
      <c r="B15" s="69">
        <v>0.0852</v>
      </c>
      <c r="C15" s="39" t="s">
        <v>124</v>
      </c>
      <c r="D15" s="39"/>
      <c r="F15" s="78"/>
      <c r="H15" s="79"/>
      <c r="I15" s="74"/>
      <c r="J15" s="75"/>
      <c r="K15">
        <f>$L15*VLOOKUP($R15,武学奇术!$A:$ZZ,31,FALSE)</f>
        <v>99265.6808509693</v>
      </c>
      <c r="L15" s="38">
        <f t="shared" si="10"/>
        <v>94538.7436675898</v>
      </c>
      <c r="M15" s="38">
        <f>((($AO15+$AP15)/2*$AI15+$AJ15)*(1+$AQ15)*(1+$AR15)+(($AT15+$AU15)/2*IF($G$1="鸣金",$AK15,$AI15)+IF($G$1="鸣金",$AL15*1.5,0))*(1+$AV15)*(1+$AW15)+(($AX15+$AY15)/2*IF($G$1="裂石",$AK15,$AI15)+IF($G$1="裂石",$AL15*1.5,0))*(1+$AZ15)*(1+$BA15)+(($BB15+$BC15)/2*IF($G$1="牵丝",$AK15,$AI15)+IF($G$1="牵丝",$AL15*1.5,0))*(1+$BD15)*(1+$BE15)+(($BF15+$BG15)/2*IF($G$1="破竹",$AK15,$AI15)+IF($G$1="破竹",$AL15*1.5,0))*(1+$BH15)*(1+$BI15))*(1+$AM15)*$BL15*$Q15*(1+IF(VLOOKUP($R15,武学奇术!$A:$ZZ,30,FALSE)="回旋伞",$B$21,0))*(1+$BR15)</f>
        <v>94538.7436675898</v>
      </c>
      <c r="N15" s="38">
        <f>(($AP15*$AI15+$AJ15)*(1+$AQ15)*(1+$AR15)+($AU15*IF($G$1="鸣金",$AK15,$AI15)+IF($G$1="鸣金",$AL15*1.5,0))*(1+$AV15)*(1+$AW15)+($AY15*IF($G$1="裂石",$AK15,$AI15)+IF($G$1="裂石",$AL15*1.5,0))*(1+$AZ15)*(1+$BA15)+($BC15*IF($G$1="牵丝",$AK15,$AI15)+IF($G$1="牵丝",$AL15*1.5,0))*(1+$BD15)*(1+$BE15)+($BG15*IF($G$1="破竹",$AK15,$AI15)+IF($G$1="破竹",$AL15*1.5,0))*(1+$BH15)*(1+$BI15))*(1+$AM15)*$BN15*$Q15*(1+IF(VLOOKUP($R15,武学奇术!$A:$ZZ,30,FALSE)="回旋伞",$B$21,0))*(1+$BR15)</f>
        <v>72366.7835566449</v>
      </c>
      <c r="O15" s="38">
        <f>((($AO15+$AP15)/2*$AI15+$AJ15)*(1+$AQ15)*(1+$AR15)+(($AT15+$AU15)/2*IF($G$1="鸣金",$AK15,$AI15)+IF($G$1="鸣金",$AL15*1.5,0))*(1+$AV15)*(1+$AW15)+(($AX15+$AY15)/2*IF($G$1="裂石",$AK15,$AI15)+IF($G$1="裂石",$AL15*1.5,0))*(1+$AZ15)*(1+$BA15)+(($BB15+$BC15)/2*IF($G$1="牵丝",$AK15,$AI15)+IF($G$1="牵丝",$AL15*1.5,0))*(1+$BD15)*(1+$BE15)+(($BF15+$BG15)/2*IF($G$1="破竹",$AK15,$AI15)+IF($G$1="破竹",$AL15*1.5,0))*(1+$BH15)*(1+$BI15))*(1+$AM15)*$Q15*(1+IF(VLOOKUP($R15,武学奇术!$A:$ZZ,30,FALSE)="回旋伞",$B$21,0))*(1+$BR15)</f>
        <v>47746.8402361565</v>
      </c>
      <c r="P15" s="38">
        <f>((($AO15*$AI15+$AJ15)*(1+$AQ15)*(1+$AR15)+($AT15*IF($G$1="鸣金",$AK15,$AI15)+IF($G$1="鸣金",$AL15*1.5,0))*(1+$AV15)*(1+$AW15)+($AX15*IF($G$1="裂石",$AK15,$AI15)+IF($G$1="裂石",$AL15*1.5,0))*(1+$AZ15)*(1+$BA15)+($BB15*IF($G$1="牵丝",$AK15,$AI15)+IF($G$1="牵丝",$AL15*1.5,0))*(1+$BD15)*(1+$BE15)+($BF15*IF($G$1="破竹",$AK15,$AI15)+IF($G$1="破竹",$AL15*1.5,0))*(1+$BH15)*(1+$BI15))*(1+$AM15))*$Q15*(1+IF(VLOOKUP($R15,武学奇术!$A:$ZZ,30,FALSE)="回旋伞",$B$21,0))*(1+$BR15)</f>
        <v>41888.6556155389</v>
      </c>
      <c r="Q15" s="39">
        <v>1</v>
      </c>
      <c r="R15" s="40" t="s">
        <v>125</v>
      </c>
      <c r="S15" s="40" t="s">
        <v>109</v>
      </c>
      <c r="T15" s="40" t="s">
        <v>95</v>
      </c>
      <c r="U15" s="40" t="s">
        <v>73</v>
      </c>
      <c r="V15" s="40" t="s">
        <v>81</v>
      </c>
      <c r="W15" s="40" t="s">
        <v>82</v>
      </c>
      <c r="X15" s="40" t="s">
        <v>90</v>
      </c>
      <c r="Y15" s="40" t="s">
        <v>84</v>
      </c>
      <c r="Z15" s="40" t="s">
        <v>72</v>
      </c>
      <c r="AA15" s="40" t="s">
        <v>72</v>
      </c>
      <c r="AB15" s="40" t="s">
        <v>126</v>
      </c>
      <c r="AC15" s="40" t="s">
        <v>91</v>
      </c>
      <c r="AD15" s="40" t="s">
        <v>72</v>
      </c>
      <c r="AE15" s="40" t="s">
        <v>72</v>
      </c>
      <c r="AF15" s="40" t="s">
        <v>77</v>
      </c>
      <c r="AG15" s="40" t="s">
        <v>78</v>
      </c>
      <c r="AH15" t="str">
        <f>VLOOKUP($R15,武学奇术!$A:$ZZ,25,FALSE)</f>
        <v>伞</v>
      </c>
      <c r="AI15" s="26">
        <f>VLOOKUP($R15,武学奇术!$A:$ZZ,26,FALSE)</f>
        <v>1.8084</v>
      </c>
      <c r="AJ15" s="27">
        <f>VLOOKUP($R15,武学奇术!$A:$ZZ,27,FALSE)*(1+IF(OR($AH15=$F$4,$AH15=$F$5),$B$22,0))</f>
        <v>750</v>
      </c>
      <c r="AK15" s="26">
        <f>VLOOKUP($R15,武学奇术!$A:$ZZ,28,FALSE)</f>
        <v>2.7126</v>
      </c>
      <c r="AL15" s="27">
        <f>VLOOKUP($R15,武学奇术!$A:$ZZ,29,FALSE)*(1+IF(OR($AH15=$F$4,$AH15=$F$5),$B$22,0))</f>
        <v>408</v>
      </c>
      <c r="AM15" s="26" cm="1">
        <f t="array" ref="AM15">$G$3+IFERROR(VLOOKUP($AH15,$F$4:$G$7,2,FALSE),0)+VLOOKUP($R15,武学奇术!$A:$ZZ,2,FALSE)+SUM(_xlfn.XLOOKUP($S15:$AG15,增益!$A:$A,增益!$B:$B,0))</f>
        <v>1.0341</v>
      </c>
      <c r="AN15" s="26" cm="1">
        <f t="array" ref="AN15">VLOOKUP($R15,武学奇术!$A:$ZZ,5,FALSE)+SUM(_xlfn.XLOOKUP($S15:$AG15,增益!$A:$A,增益!$E:$E,0))</f>
        <v>0</v>
      </c>
      <c r="AO15" cm="1">
        <f t="array" ref="AO15">$D$10*(1+$AN15)+VLOOKUP($R15,武学奇术!$A:$ZZ,3,FALSE)+SUM(_xlfn.XLOOKUP($S15:$AG15,增益!$A:$A,增益!$C:$C,0))-$I$2</f>
        <v>3624.6</v>
      </c>
      <c r="AP15" cm="1">
        <f t="array" ref="AP15">$E$10*(1+$AN15)+VLOOKUP($R15,武学奇术!$A:$ZZ,4,FALSE)+SUM(_xlfn.XLOOKUP($S15:$AG15,增益!$A:$A,增益!$D:$D,0))-$I$2</f>
        <v>3624.6</v>
      </c>
      <c r="AQ15" s="32" cm="1">
        <f t="array" ref="AQ15">IF($F$10-$I$3+VLOOKUP($R15,武学奇术!$A:$ZZ,6,FALSE)+SUM(_xlfn.XLOOKUP(S15:AG15,增益!$A:$A,增益!$F:$F,0))&gt;0,($F$10-$I$3+VLOOKUP($R15,武学奇术!$A:$ZZ,6,FALSE)+SUM(_xlfn.XLOOKUP(S15:AG15,增益!$A:$A,增益!$F:$F,0)))/200,($F$10-$I$3+VLOOKUP($R15,武学奇术!$A:$ZZ,6,FALSE)+SUM(_xlfn.XLOOKUP(S15:AG15,增益!$A:$A,增益!$F:$F,0)))/100)</f>
        <v>0.3225</v>
      </c>
      <c r="AR15" s="32" cm="1">
        <f t="array" ref="AR15">$G$10+VLOOKUP($R15,武学奇术!$A:$ZZ,7,FALSE)+SUM(_xlfn.XLOOKUP(S15:AG15,增益!$A:$A,增益!$G:$G,0))</f>
        <v>0.148</v>
      </c>
      <c r="AS15" s="26" cm="1">
        <f t="array" ref="AS15">VLOOKUP($R15,武学奇术!$A:$ZZ,8,FALSE)+SUM(_xlfn.XLOOKUP(S15:AG15,增益!$A:$A,增益!$H:$H,0))</f>
        <v>0</v>
      </c>
      <c r="AT15">
        <f t="shared" si="0"/>
        <v>0</v>
      </c>
      <c r="AU15">
        <f t="shared" si="1"/>
        <v>0</v>
      </c>
      <c r="AV15" s="32" cm="1">
        <f t="array" ref="AV15">IF($F$11-$I$4+VLOOKUP($R15,武学奇术!$A:$ZZ,9,FALSE)+SUM(_xlfn.XLOOKUP(S15:AG15,增益!$A:$A,增益!$I:$I,0))&gt;0,($F$11-$I$4+VLOOKUP($R15,武学奇术!$A:$ZZ,9,FALSE)+SUM(_xlfn.XLOOKUP(S15:AG15,增益!$A:$A,增益!$I:$I,0)))/200,($F$11-$I$4+VLOOKUP($R15,武学奇术!$A:$ZZ,9,FALSE)+SUM(_xlfn.XLOOKUP(S15:AG15,增益!$A:$A,增益!$I:$I,0)))/100)</f>
        <v>-0.14</v>
      </c>
      <c r="AW15" s="32" cm="1">
        <f t="array" ref="AW15">$G$11+VLOOKUP($R15,武学奇术!$A:$ZZ,10,FALSE)+SUM(_xlfn.XLOOKUP(S15:AG15,增益!$A:$A,增益!$J:$J,0))</f>
        <v>0</v>
      </c>
      <c r="AX15">
        <f t="shared" si="2"/>
        <v>0</v>
      </c>
      <c r="AY15">
        <f t="shared" si="3"/>
        <v>0</v>
      </c>
      <c r="AZ15" s="32" cm="1">
        <f t="array" ref="AZ15">IF($F$12-$I$4+VLOOKUP($R15,武学奇术!$A:$ZZ,11,FALSE)+SUM(_xlfn.XLOOKUP(S15:AG15,增益!$A:$A,增益!$K:$K,0))&gt;0,($F$12-$I$4+VLOOKUP($R15,武学奇术!$A:$ZZ,11,FALSE)+SUM(_xlfn.XLOOKUP(S15:AG15,增益!$A:$A,增益!$K:$K,0)))/200,($F$12-$I$4+VLOOKUP($R15,武学奇术!$A:$ZZ,11,FALSE)+SUM(_xlfn.XLOOKUP(S15:AG15,增益!$A:$A,增益!$K:$K,0)))/100)</f>
        <v>-0.14</v>
      </c>
      <c r="BA15" s="32" cm="1">
        <f t="array" ref="BA15">$G$12+VLOOKUP($R15,武学奇术!$A:$ZZ,12,FALSE)+SUM(_xlfn.XLOOKUP(S15:AG15,增益!$A:$A,增益!$L:$L,0))</f>
        <v>0</v>
      </c>
      <c r="BB15">
        <f t="shared" si="4"/>
        <v>0</v>
      </c>
      <c r="BC15">
        <f t="shared" si="5"/>
        <v>0</v>
      </c>
      <c r="BD15" s="32" cm="1">
        <f t="array" ref="BD15">IF($F$13-$I$4+VLOOKUP($R15,武学奇术!$A:$ZZ,13,FALSE)+SUM(_xlfn.XLOOKUP(S15:AG15,增益!$A:$A,增益!$M:$M,0))&gt;0,($F$13-$I$4+VLOOKUP($R15,武学奇术!$A:$ZZ,13,FALSE)+SUM(_xlfn.XLOOKUP(S15:AG15,增益!$A:$A,增益!$K:$K,0)))/200,($F$13-$I$4+VLOOKUP($R15,武学奇术!$A:$ZZ,13,FALSE)+SUM(_xlfn.XLOOKUP(S15:AG15,增益!$A:$A,增益!$M:$M,0)))/100)</f>
        <v>-0.14</v>
      </c>
      <c r="BE15" s="32" cm="1">
        <f t="array" ref="BE15">$G$13+VLOOKUP($R15,武学奇术!$A:$ZZ,14,FALSE)+SUM(_xlfn.XLOOKUP(S15:AG15,增益!$A:$A,增益!$N:$N,0))</f>
        <v>0</v>
      </c>
      <c r="BF15">
        <f t="shared" si="6"/>
        <v>571.2</v>
      </c>
      <c r="BG15">
        <f t="shared" si="7"/>
        <v>1627.8</v>
      </c>
      <c r="BH15" s="32" cm="1">
        <f t="array" ref="BH15">IF($F$14-$I$4+VLOOKUP($R15,武学奇术!$A:$ZZ,15,FALSE)+SUM(_xlfn.XLOOKUP(S15:AG15,增益!$A:$A,增益!$O:$O,0))&gt;0,($F$14-$I$4+VLOOKUP($R15,武学奇术!$A:$ZZ,15,FALSE)+SUM(_xlfn.XLOOKUP(S15:AG15,增益!$A:$A,增益!$O:$O,0)))/200,($F$14-$I$4+VLOOKUP($R15,武学奇术!$A:$ZZ,15,FALSE)+SUM(_xlfn.XLOOKUP(S15:AG15,增益!$A:$A,增益!$O:$O,0)))/100)</f>
        <v>0.08</v>
      </c>
      <c r="BI15" s="32" cm="1">
        <f t="array" ref="BI15">$G$14+VLOOKUP($R15,武学奇术!$A:$ZZ,16,FALSE)+SUM(_xlfn.XLOOKUP(S15:AG15,增益!$A:$A,增益!$P:$P,0))</f>
        <v>0.27</v>
      </c>
      <c r="BJ15" s="26">
        <f>MIN(IF(VLOOKUP($R15,武学奇术!$A:$ZZ,23,FALSE)=1,100%,$B$8),100%)</f>
        <v>1</v>
      </c>
      <c r="BK15" s="26" cm="1">
        <f t="array" ref="BK15">IF(VLOOKUP($R15,武学奇术!$A:$ZZ,23,FALSE)=1,100%,MIN(80%,$B$9+VLOOKUP($R15,武学奇术!$A:$ZZ,17,FALSE)+SUM(_xlfn.XLOOKUP(S15:AG15,增益!$A:$A,增益!$Q:$Q,0)))+$B$11+SUM(_xlfn.XLOOKUP(S15:AG15,增益!$A:$A,增益!$U:$U,0)))*IF(VLOOKUP($R15,武学奇术!$A:$ZZ,24,FALSE)=1,0,1)</f>
        <v>1</v>
      </c>
      <c r="BL15" s="26" cm="1">
        <f t="array" ref="BL15">1+$B$13+VLOOKUP($R15,武学奇术!$A:$ZZ,18,FALSE)+SUM(_xlfn.XLOOKUP(S15:AG15,增益!$A:$A,增益!$R:$R,0))</f>
        <v>1.98</v>
      </c>
      <c r="BM15" s="26" cm="1">
        <f t="array" ref="BM15">IF(VLOOKUP($R15,武学奇术!$A:$ZZ,24,FALSE)=1,100%,MIN(40%,$B$10+VLOOKUP($R15,武学奇术!$A:$ZZ,19,FALSE)+SUM(_xlfn.XLOOKUP(S15:AG15,增益!$A:$A,增益!$S:$S,0)))+$B$12+SUM(_xlfn.XLOOKUP(S15:AG15,增益!$A:$A,增益!$V:$V,0)))*IF(VLOOKUP($R15,武学奇术!$A:$ZZ,23,FALSE)=1,0,1)</f>
        <v>0</v>
      </c>
      <c r="BN15" s="26" cm="1">
        <f t="array" ref="BN15">1+$B$14+VLOOKUP($R15,武学奇术!$A:$ZZ,20,FALSE)+SUM(_xlfn.XLOOKUP(S15:AG15,增益!$A:$A,增益!$T:$T,0))</f>
        <v>1.35</v>
      </c>
      <c r="BO15" s="26">
        <f t="shared" si="8"/>
        <v>1</v>
      </c>
      <c r="BP15" s="26">
        <f t="shared" si="9"/>
        <v>0</v>
      </c>
      <c r="BQ15" s="26">
        <f>IF(VLOOKUP($R15,武学奇术!$A:$ZZ,22,FALSE)=1,0,(1-$BJ15))*(1-$BM15)</f>
        <v>0</v>
      </c>
      <c r="BR15" s="26" cm="1">
        <f t="array" ref="BR15">SUM(_xlfn.XLOOKUP(S15:AG15,增益!$A:$A,增益!$W:$W,0))+$I$5</f>
        <v>0.11</v>
      </c>
    </row>
    <row r="16" spans="1:70">
      <c r="A16" s="41" t="s">
        <v>127</v>
      </c>
      <c r="B16" s="69">
        <v>0.0887</v>
      </c>
      <c r="C16" s="39" t="s">
        <v>128</v>
      </c>
      <c r="D16" s="78" t="s">
        <v>129</v>
      </c>
      <c r="E16" s="39" t="s">
        <v>130</v>
      </c>
      <c r="F16" s="78" t="s">
        <v>129</v>
      </c>
      <c r="H16" s="67" t="s">
        <v>131</v>
      </c>
      <c r="I16" s="80">
        <f>I12/132621.21</f>
        <v>0.999999987373354</v>
      </c>
      <c r="J16" s="81"/>
      <c r="K16">
        <f>$L16*VLOOKUP($R16,武学奇术!$A:$ZZ,31,FALSE)</f>
        <v>57072.1366302987</v>
      </c>
      <c r="L16" s="38">
        <f t="shared" si="10"/>
        <v>54354.4158383797</v>
      </c>
      <c r="M16" s="38">
        <f>((($AO16+$AP16)/2*$AI16+$AJ16)*(1+$AQ16)*(1+$AR16)+(($AT16+$AU16)/2*IF($G$1="鸣金",$AK16,$AI16)+IF($G$1="鸣金",$AL16*1.5,0))*(1+$AV16)*(1+$AW16)+(($AX16+$AY16)/2*IF($G$1="裂石",$AK16,$AI16)+IF($G$1="裂石",$AL16*1.5,0))*(1+$AZ16)*(1+$BA16)+(($BB16+$BC16)/2*IF($G$1="牵丝",$AK16,$AI16)+IF($G$1="牵丝",$AL16*1.5,0))*(1+$BD16)*(1+$BE16)+(($BF16+$BG16)/2*IF($G$1="破竹",$AK16,$AI16)+IF($G$1="破竹",$AL16*1.5,0))*(1+$BH16)*(1+$BI16))*(1+$AM16)*$BL16*$Q16*(1+IF(VLOOKUP($R16,武学奇术!$A:$ZZ,30,FALSE)="回旋伞",$B$21,0))*(1+$BR16)</f>
        <v>54354.4158383797</v>
      </c>
      <c r="N16" s="38">
        <f>(($AP16*$AI16+$AJ16)*(1+$AQ16)*(1+$AR16)+($AU16*IF($G$1="鸣金",$AK16,$AI16)+IF($G$1="鸣金",$AL16*1.5,0))*(1+$AV16)*(1+$AW16)+($AY16*IF($G$1="裂石",$AK16,$AI16)+IF($G$1="裂石",$AL16*1.5,0))*(1+$AZ16)*(1+$BA16)+($BC16*IF($G$1="牵丝",$AK16,$AI16)+IF($G$1="牵丝",$AL16*1.5,0))*(1+$BD16)*(1+$BE16)+($BG16*IF($G$1="破竹",$AK16,$AI16)+IF($G$1="破竹",$AL16*1.5,0))*(1+$BH16)*(1+$BI16))*(1+$AM16)*$BN16*$Q16*(1+IF(VLOOKUP($R16,武学奇术!$A:$ZZ,30,FALSE)="回旋伞",$B$21,0))*(1+$BR16)</f>
        <v>42247.3084240283</v>
      </c>
      <c r="O16" s="38">
        <f>((($AO16+$AP16)/2*$AI16+$AJ16)*(1+$AQ16)*(1+$AR16)+(($AT16+$AU16)/2*IF($G$1="鸣金",$AK16,$AI16)+IF($G$1="鸣金",$AL16*1.5,0))*(1+$AV16)*(1+$AW16)+(($AX16+$AY16)/2*IF($G$1="裂石",$AK16,$AI16)+IF($G$1="裂石",$AL16*1.5,0))*(1+$AZ16)*(1+$BA16)+(($BB16+$BC16)/2*IF($G$1="牵丝",$AK16,$AI16)+IF($G$1="牵丝",$AL16*1.5,0))*(1+$BD16)*(1+$BE16)+(($BF16+$BG16)/2*IF($G$1="破竹",$AK16,$AI16)+IF($G$1="破竹",$AL16*1.5,0))*(1+$BH16)*(1+$BI16))*(1+$AM16)*$Q16*(1+IF(VLOOKUP($R16,武学奇术!$A:$ZZ,30,FALSE)="回旋伞",$B$21,0))*(1+$BR16)</f>
        <v>27451.7251708988</v>
      </c>
      <c r="P16" s="38">
        <f>((($AO16*$AI16+$AJ16)*(1+$AQ16)*(1+$AR16)+($AT16*IF($G$1="鸣金",$AK16,$AI16)+IF($G$1="鸣金",$AL16*1.5,0))*(1+$AV16)*(1+$AW16)+($AX16*IF($G$1="裂石",$AK16,$AI16)+IF($G$1="裂石",$AL16*1.5,0))*(1+$AZ16)*(1+$BA16)+($BB16*IF($G$1="牵丝",$AK16,$AI16)+IF($G$1="牵丝",$AL16*1.5,0))*(1+$BD16)*(1+$BE16)+($BF16*IF($G$1="破竹",$AK16,$AI16)+IF($G$1="破竹",$AL16*1.5,0))*(1+$BH16)*(1+$BI16))*(1+$AM16))*$Q16*(1+IF(VLOOKUP($R16,武学奇术!$A:$ZZ,30,FALSE)="回旋伞",$B$21,0))*(1+$BR16)</f>
        <v>23609.1478054804</v>
      </c>
      <c r="Q16" s="39">
        <v>2</v>
      </c>
      <c r="R16" s="40" t="s">
        <v>132</v>
      </c>
      <c r="S16" s="40" t="s">
        <v>109</v>
      </c>
      <c r="T16" s="40" t="s">
        <v>95</v>
      </c>
      <c r="U16" s="40" t="s">
        <v>73</v>
      </c>
      <c r="V16" s="40" t="s">
        <v>81</v>
      </c>
      <c r="W16" s="40" t="s">
        <v>82</v>
      </c>
      <c r="X16" s="40" t="s">
        <v>90</v>
      </c>
      <c r="Y16" s="40" t="s">
        <v>84</v>
      </c>
      <c r="Z16" s="40" t="s">
        <v>72</v>
      </c>
      <c r="AA16" s="40" t="s">
        <v>72</v>
      </c>
      <c r="AB16" s="40" t="s">
        <v>126</v>
      </c>
      <c r="AC16" s="40" t="s">
        <v>91</v>
      </c>
      <c r="AD16" s="40" t="s">
        <v>72</v>
      </c>
      <c r="AE16" s="40" t="s">
        <v>72</v>
      </c>
      <c r="AF16" s="40" t="s">
        <v>77</v>
      </c>
      <c r="AG16" s="40" t="s">
        <v>78</v>
      </c>
      <c r="AH16" t="str">
        <f>VLOOKUP($R16,武学奇术!$A:$ZZ,25,FALSE)</f>
        <v>伞</v>
      </c>
      <c r="AI16" s="26">
        <f>VLOOKUP($R16,武学奇术!$A:$ZZ,26,FALSE)</f>
        <v>0.54</v>
      </c>
      <c r="AJ16" s="27">
        <f>VLOOKUP($R16,武学奇术!$A:$ZZ,27,FALSE)*(1+IF(OR($AH16=$F$4,$AH16=$F$5),$B$22,0))</f>
        <v>0</v>
      </c>
      <c r="AK16" s="26">
        <f>VLOOKUP($R16,武学奇术!$A:$ZZ,28,FALSE)</f>
        <v>0.81</v>
      </c>
      <c r="AL16" s="27">
        <f>VLOOKUP($R16,武学奇术!$A:$ZZ,29,FALSE)*(1+IF(OR($AH16=$F$4,$AH16=$F$5),$B$22,0))</f>
        <v>0</v>
      </c>
      <c r="AM16" s="26" cm="1">
        <f t="array" ref="AM16">$G$3+IFERROR(VLOOKUP($AH16,$F$4:$G$7,2,FALSE),0)+VLOOKUP($R16,武学奇术!$A:$ZZ,2,FALSE)+SUM(_xlfn.XLOOKUP($S16:$AG16,增益!$A:$A,增益!$B:$B,0))</f>
        <v>1.2341</v>
      </c>
      <c r="AN16" s="26" cm="1">
        <f t="array" ref="AN16">VLOOKUP($R16,武学奇术!$A:$ZZ,5,FALSE)+SUM(_xlfn.XLOOKUP($S16:$AG16,增益!$A:$A,增益!$E:$E,0))</f>
        <v>0</v>
      </c>
      <c r="AO16" cm="1">
        <f t="array" ref="AO16">$D$10*(1+$AN16)+VLOOKUP($R16,武学奇术!$A:$ZZ,3,FALSE)+SUM(_xlfn.XLOOKUP($S16:$AG16,增益!$A:$A,增益!$C:$C,0))-$I$2</f>
        <v>3624.6</v>
      </c>
      <c r="AP16" cm="1">
        <f t="array" ref="AP16">$E$10*(1+$AN16)+VLOOKUP($R16,武学奇术!$A:$ZZ,4,FALSE)+SUM(_xlfn.XLOOKUP($S16:$AG16,增益!$A:$A,增益!$D:$D,0))-$I$2</f>
        <v>3624.6</v>
      </c>
      <c r="AQ16" s="32" cm="1">
        <f t="array" ref="AQ16">IF($F$10-$I$3+VLOOKUP($R16,武学奇术!$A:$ZZ,6,FALSE)+SUM(_xlfn.XLOOKUP(S16:AG16,增益!$A:$A,增益!$F:$F,0))&gt;0,($F$10-$I$3+VLOOKUP($R16,武学奇术!$A:$ZZ,6,FALSE)+SUM(_xlfn.XLOOKUP(S16:AG16,增益!$A:$A,增益!$F:$F,0)))/200,($F$10-$I$3+VLOOKUP($R16,武学奇术!$A:$ZZ,6,FALSE)+SUM(_xlfn.XLOOKUP(S16:AG16,增益!$A:$A,增益!$F:$F,0)))/100)</f>
        <v>0.3225</v>
      </c>
      <c r="AR16" s="32" cm="1">
        <f t="array" ref="AR16">$G$10+VLOOKUP($R16,武学奇术!$A:$ZZ,7,FALSE)+SUM(_xlfn.XLOOKUP(S16:AG16,增益!$A:$A,增益!$G:$G,0))</f>
        <v>0.148</v>
      </c>
      <c r="AS16" s="26" cm="1">
        <f t="array" ref="AS16">VLOOKUP($R16,武学奇术!$A:$ZZ,8,FALSE)+SUM(_xlfn.XLOOKUP(S16:AG16,增益!$A:$A,增益!$H:$H,0))</f>
        <v>0</v>
      </c>
      <c r="AT16">
        <f t="shared" si="0"/>
        <v>0</v>
      </c>
      <c r="AU16">
        <f t="shared" si="1"/>
        <v>0</v>
      </c>
      <c r="AV16" s="32" cm="1">
        <f t="array" ref="AV16">IF($F$11-$I$4+VLOOKUP($R16,武学奇术!$A:$ZZ,9,FALSE)+SUM(_xlfn.XLOOKUP(S16:AG16,增益!$A:$A,增益!$I:$I,0))&gt;0,($F$11-$I$4+VLOOKUP($R16,武学奇术!$A:$ZZ,9,FALSE)+SUM(_xlfn.XLOOKUP(S16:AG16,增益!$A:$A,增益!$I:$I,0)))/200,($F$11-$I$4+VLOOKUP($R16,武学奇术!$A:$ZZ,9,FALSE)+SUM(_xlfn.XLOOKUP(S16:AG16,增益!$A:$A,增益!$I:$I,0)))/100)</f>
        <v>-0.14</v>
      </c>
      <c r="AW16" s="32" cm="1">
        <f t="array" ref="AW16">$G$11+VLOOKUP($R16,武学奇术!$A:$ZZ,10,FALSE)+SUM(_xlfn.XLOOKUP(S16:AG16,增益!$A:$A,增益!$J:$J,0))</f>
        <v>0</v>
      </c>
      <c r="AX16">
        <f t="shared" si="2"/>
        <v>0</v>
      </c>
      <c r="AY16">
        <f t="shared" si="3"/>
        <v>0</v>
      </c>
      <c r="AZ16" s="32" cm="1">
        <f t="array" ref="AZ16">IF($F$12-$I$4+VLOOKUP($R16,武学奇术!$A:$ZZ,11,FALSE)+SUM(_xlfn.XLOOKUP(S16:AG16,增益!$A:$A,增益!$K:$K,0))&gt;0,($F$12-$I$4+VLOOKUP($R16,武学奇术!$A:$ZZ,11,FALSE)+SUM(_xlfn.XLOOKUP(S16:AG16,增益!$A:$A,增益!$K:$K,0)))/200,($F$12-$I$4+VLOOKUP($R16,武学奇术!$A:$ZZ,11,FALSE)+SUM(_xlfn.XLOOKUP(S16:AG16,增益!$A:$A,增益!$K:$K,0)))/100)</f>
        <v>-0.14</v>
      </c>
      <c r="BA16" s="32" cm="1">
        <f t="array" ref="BA16">$G$12+VLOOKUP($R16,武学奇术!$A:$ZZ,12,FALSE)+SUM(_xlfn.XLOOKUP(S16:AG16,增益!$A:$A,增益!$L:$L,0))</f>
        <v>0</v>
      </c>
      <c r="BB16">
        <f t="shared" si="4"/>
        <v>0</v>
      </c>
      <c r="BC16">
        <f t="shared" si="5"/>
        <v>0</v>
      </c>
      <c r="BD16" s="32" cm="1">
        <f t="array" ref="BD16">IF($F$13-$I$4+VLOOKUP($R16,武学奇术!$A:$ZZ,13,FALSE)+SUM(_xlfn.XLOOKUP(S16:AG16,增益!$A:$A,增益!$M:$M,0))&gt;0,($F$13-$I$4+VLOOKUP($R16,武学奇术!$A:$ZZ,13,FALSE)+SUM(_xlfn.XLOOKUP(S16:AG16,增益!$A:$A,增益!$K:$K,0)))/200,($F$13-$I$4+VLOOKUP($R16,武学奇术!$A:$ZZ,13,FALSE)+SUM(_xlfn.XLOOKUP(S16:AG16,增益!$A:$A,增益!$M:$M,0)))/100)</f>
        <v>-0.14</v>
      </c>
      <c r="BE16" s="32" cm="1">
        <f t="array" ref="BE16">$G$13+VLOOKUP($R16,武学奇术!$A:$ZZ,14,FALSE)+SUM(_xlfn.XLOOKUP(S16:AG16,增益!$A:$A,增益!$N:$N,0))</f>
        <v>0</v>
      </c>
      <c r="BF16">
        <f t="shared" si="6"/>
        <v>571.2</v>
      </c>
      <c r="BG16">
        <f t="shared" si="7"/>
        <v>1627.8</v>
      </c>
      <c r="BH16" s="32" cm="1">
        <f t="array" ref="BH16">IF($F$14-$I$4+VLOOKUP($R16,武学奇术!$A:$ZZ,15,FALSE)+SUM(_xlfn.XLOOKUP(S16:AG16,增益!$A:$A,增益!$O:$O,0))&gt;0,($F$14-$I$4+VLOOKUP($R16,武学奇术!$A:$ZZ,15,FALSE)+SUM(_xlfn.XLOOKUP(S16:AG16,增益!$A:$A,增益!$O:$O,0)))/200,($F$14-$I$4+VLOOKUP($R16,武学奇术!$A:$ZZ,15,FALSE)+SUM(_xlfn.XLOOKUP(S16:AG16,增益!$A:$A,增益!$O:$O,0)))/100)</f>
        <v>0.08</v>
      </c>
      <c r="BI16" s="32" cm="1">
        <f t="array" ref="BI16">$G$14+VLOOKUP($R16,武学奇术!$A:$ZZ,16,FALSE)+SUM(_xlfn.XLOOKUP(S16:AG16,增益!$A:$A,增益!$P:$P,0))</f>
        <v>0.27</v>
      </c>
      <c r="BJ16" s="26">
        <f>MIN(IF(VLOOKUP($R16,武学奇术!$A:$ZZ,23,FALSE)=1,100%,$B$8),100%)</f>
        <v>1</v>
      </c>
      <c r="BK16" s="26" cm="1">
        <f t="array" ref="BK16">IF(VLOOKUP($R16,武学奇术!$A:$ZZ,23,FALSE)=1,100%,MIN(80%,$B$9+VLOOKUP($R16,武学奇术!$A:$ZZ,17,FALSE)+SUM(_xlfn.XLOOKUP(S16:AG16,增益!$A:$A,增益!$Q:$Q,0)))+$B$11+SUM(_xlfn.XLOOKUP(S16:AG16,增益!$A:$A,增益!$U:$U,0)))*IF(VLOOKUP($R16,武学奇术!$A:$ZZ,24,FALSE)=1,0,1)</f>
        <v>1</v>
      </c>
      <c r="BL16" s="26" cm="1">
        <f t="array" ref="BL16">1+$B$13+VLOOKUP($R16,武学奇术!$A:$ZZ,18,FALSE)+SUM(_xlfn.XLOOKUP(S16:AG16,增益!$A:$A,增益!$R:$R,0))</f>
        <v>1.98</v>
      </c>
      <c r="BM16" s="26" cm="1">
        <f t="array" ref="BM16">IF(VLOOKUP($R16,武学奇术!$A:$ZZ,24,FALSE)=1,100%,MIN(40%,$B$10+VLOOKUP($R16,武学奇术!$A:$ZZ,19,FALSE)+SUM(_xlfn.XLOOKUP(S16:AG16,增益!$A:$A,增益!$S:$S,0)))+$B$12+SUM(_xlfn.XLOOKUP(S16:AG16,增益!$A:$A,增益!$V:$V,0)))*IF(VLOOKUP($R16,武学奇术!$A:$ZZ,23,FALSE)=1,0,1)</f>
        <v>0</v>
      </c>
      <c r="BN16" s="26" cm="1">
        <f t="array" ref="BN16">1+$B$14+VLOOKUP($R16,武学奇术!$A:$ZZ,20,FALSE)+SUM(_xlfn.XLOOKUP(S16:AG16,增益!$A:$A,增益!$T:$T,0))</f>
        <v>1.35</v>
      </c>
      <c r="BO16" s="26">
        <f t="shared" si="8"/>
        <v>1</v>
      </c>
      <c r="BP16" s="26">
        <f t="shared" si="9"/>
        <v>0</v>
      </c>
      <c r="BQ16" s="26">
        <f>IF(VLOOKUP($R16,武学奇术!$A:$ZZ,22,FALSE)=1,0,(1-$BJ16))*(1-$BM16)</f>
        <v>0</v>
      </c>
      <c r="BR16" s="26" cm="1">
        <f t="array" ref="BR16">SUM(_xlfn.XLOOKUP(S16:AG16,增益!$A:$A,增益!$W:$W,0))+$I$5</f>
        <v>0.11</v>
      </c>
    </row>
    <row r="17" ht="14.25" spans="1:70">
      <c r="A17" s="41" t="s">
        <v>133</v>
      </c>
      <c r="B17" s="69">
        <v>0.0852</v>
      </c>
      <c r="C17" s="39"/>
      <c r="D17" s="78"/>
      <c r="E17" s="39" t="s">
        <v>134</v>
      </c>
      <c r="F17" s="78" t="s">
        <v>129</v>
      </c>
      <c r="H17" s="70"/>
      <c r="I17" s="82"/>
      <c r="J17" s="83"/>
      <c r="K17">
        <f>$L17*VLOOKUP($R17,武学奇术!$A:$ZZ,31,FALSE)</f>
        <v>170635.01099108</v>
      </c>
      <c r="L17" s="38">
        <f t="shared" si="10"/>
        <v>162509.534277219</v>
      </c>
      <c r="M17" s="38">
        <f>((($AO17+$AP17)/2*$AI17+$AJ17)*(1+$AQ17)*(1+$AR17)+(($AT17+$AU17)/2*IF($G$1="鸣金",$AK17,$AI17)+IF($G$1="鸣金",$AL17*1.5,0))*(1+$AV17)*(1+$AW17)+(($AX17+$AY17)/2*IF($G$1="裂石",$AK17,$AI17)+IF($G$1="裂石",$AL17*1.5,0))*(1+$AZ17)*(1+$BA17)+(($BB17+$BC17)/2*IF($G$1="牵丝",$AK17,$AI17)+IF($G$1="牵丝",$AL17*1.5,0))*(1+$BD17)*(1+$BE17)+(($BF17+$BG17)/2*IF($G$1="破竹",$AK17,$AI17)+IF($G$1="破竹",$AL17*1.5,0))*(1+$BH17)*(1+$BI17))*(1+$AM17)*$BL17*$Q17*(1+IF(VLOOKUP($R17,武学奇术!$A:$ZZ,30,FALSE)="回旋伞",$B$21,0))*(1+$BR17)</f>
        <v>173183.788925939</v>
      </c>
      <c r="N17" s="38">
        <f>(($AP17*$AI17+$AJ17)*(1+$AQ17)*(1+$AR17)+($AU17*IF($G$1="鸣金",$AK17,$AI17)+IF($G$1="鸣金",$AL17*1.5,0))*(1+$AV17)*(1+$AW17)+($AY17*IF($G$1="裂石",$AK17,$AI17)+IF($G$1="裂石",$AL17*1.5,0))*(1+$AZ17)*(1+$BA17)+($BC17*IF($G$1="牵丝",$AK17,$AI17)+IF($G$1="牵丝",$AL17*1.5,0))*(1+$BD17)*(1+$BE17)+($BG17*IF($G$1="破竹",$AK17,$AI17)+IF($G$1="破竹",$AL17*1.5,0))*(1+$BH17)*(1+$BI17))*(1+$AM17)*$BN17*$Q17*(1+IF(VLOOKUP($R17,武学奇术!$A:$ZZ,30,FALSE)="回旋伞",$B$21,0))*(1+$BR17)</f>
        <v>131826.15434683</v>
      </c>
      <c r="O17" s="38">
        <f>((($AO17+$AP17)/2*$AI17+$AJ17)*(1+$AQ17)*(1+$AR17)+(($AT17+$AU17)/2*IF($G$1="鸣金",$AK17,$AI17)+IF($G$1="鸣金",$AL17*1.5,0))*(1+$AV17)*(1+$AW17)+(($AX17+$AY17)/2*IF($G$1="裂石",$AK17,$AI17)+IF($G$1="裂石",$AL17*1.5,0))*(1+$AZ17)*(1+$BA17)+(($BB17+$BC17)/2*IF($G$1="牵丝",$AK17,$AI17)+IF($G$1="牵丝",$AL17*1.5,0))*(1+$BD17)*(1+$BE17)+(($BF17+$BG17)/2*IF($G$1="破竹",$AK17,$AI17)+IF($G$1="破竹",$AL17*1.5,0))*(1+$BH17)*(1+$BI17))*(1+$AM17)*$Q17*(1+IF(VLOOKUP($R17,武学奇术!$A:$ZZ,30,FALSE)="回旋伞",$B$21,0))*(1+$BR17)</f>
        <v>87027.0296110244</v>
      </c>
      <c r="P17" s="38">
        <f>((($AO17*$AI17+$AJ17)*(1+$AQ17)*(1+$AR17)+($AT17*IF($G$1="鸣金",$AK17,$AI17)+IF($G$1="鸣金",$AL17*1.5,0))*(1+$AV17)*(1+$AW17)+($AX17*IF($G$1="裂石",$AK17,$AI17)+IF($G$1="裂石",$AL17*1.5,0))*(1+$AZ17)*(1+$BA17)+($BB17*IF($G$1="牵丝",$AK17,$AI17)+IF($G$1="牵丝",$AL17*1.5,0))*(1+$BD17)*(1+$BE17)+($BF17*IF($G$1="破竹",$AK17,$AI17)+IF($G$1="破竹",$AL17*1.5,0))*(1+$BH17)*(1+$BI17))*(1+$AM17))*$Q17*(1+IF(VLOOKUP($R17,武学奇术!$A:$ZZ,30,FALSE)="回旋伞",$B$21,0))*(1+$BR17)</f>
        <v>76405.0560021745</v>
      </c>
      <c r="Q17" s="39">
        <v>2</v>
      </c>
      <c r="R17" s="40" t="s">
        <v>108</v>
      </c>
      <c r="S17" s="40" t="s">
        <v>109</v>
      </c>
      <c r="T17" s="40" t="s">
        <v>95</v>
      </c>
      <c r="U17" s="40" t="s">
        <v>73</v>
      </c>
      <c r="V17" s="40" t="s">
        <v>81</v>
      </c>
      <c r="W17" s="40" t="s">
        <v>89</v>
      </c>
      <c r="X17" s="40" t="s">
        <v>97</v>
      </c>
      <c r="Y17" s="40" t="s">
        <v>84</v>
      </c>
      <c r="Z17" s="40" t="s">
        <v>72</v>
      </c>
      <c r="AA17" s="40" t="s">
        <v>72</v>
      </c>
      <c r="AB17" s="40" t="s">
        <v>126</v>
      </c>
      <c r="AC17" s="40" t="s">
        <v>91</v>
      </c>
      <c r="AD17" s="40" t="s">
        <v>72</v>
      </c>
      <c r="AE17" s="40" t="s">
        <v>72</v>
      </c>
      <c r="AF17" s="40" t="s">
        <v>77</v>
      </c>
      <c r="AG17" s="40" t="s">
        <v>78</v>
      </c>
      <c r="AH17" t="str">
        <f>VLOOKUP($R17,武学奇术!$A:$ZZ,25,FALSE)</f>
        <v>伞</v>
      </c>
      <c r="AI17" s="26">
        <f>VLOOKUP($R17,武学奇术!$A:$ZZ,26,FALSE)</f>
        <v>1.8084</v>
      </c>
      <c r="AJ17" s="27">
        <f>VLOOKUP($R17,武学奇术!$A:$ZZ,27,FALSE)*(1+IF(OR($AH17=$F$4,$AH17=$F$5),$B$22,0))</f>
        <v>750</v>
      </c>
      <c r="AK17" s="26">
        <f>VLOOKUP($R17,武学奇术!$A:$ZZ,28,FALSE)</f>
        <v>2.7126</v>
      </c>
      <c r="AL17" s="27">
        <f>VLOOKUP($R17,武学奇术!$A:$ZZ,29,FALSE)*(1+IF(OR($AH17=$F$4,$AH17=$F$5),$B$22,0))</f>
        <v>408</v>
      </c>
      <c r="AM17" s="26" cm="1">
        <f t="array" ref="AM17">$G$3+IFERROR(VLOOKUP($AH17,$F$4:$G$7,2,FALSE),0)+VLOOKUP($R17,武学奇术!$A:$ZZ,2,FALSE)+SUM(_xlfn.XLOOKUP($S17:$AG17,增益!$A:$A,增益!$B:$B,0))</f>
        <v>0.8441</v>
      </c>
      <c r="AN17" s="26" cm="1">
        <f t="array" ref="AN17">VLOOKUP($R17,武学奇术!$A:$ZZ,5,FALSE)+SUM(_xlfn.XLOOKUP($S17:$AG17,增益!$A:$A,增益!$E:$E,0))</f>
        <v>0</v>
      </c>
      <c r="AO17" cm="1">
        <f t="array" ref="AO17">$D$10*(1+$AN17)+VLOOKUP($R17,武学奇术!$A:$ZZ,3,FALSE)+SUM(_xlfn.XLOOKUP($S17:$AG17,增益!$A:$A,增益!$C:$C,0))-$I$2</f>
        <v>3624.6</v>
      </c>
      <c r="AP17" cm="1">
        <f t="array" ref="AP17">$E$10*(1+$AN17)+VLOOKUP($R17,武学奇术!$A:$ZZ,4,FALSE)+SUM(_xlfn.XLOOKUP($S17:$AG17,增益!$A:$A,增益!$D:$D,0))-$I$2</f>
        <v>3624.6</v>
      </c>
      <c r="AQ17" s="32" cm="1">
        <f t="array" ref="AQ17">IF($F$10-$I$3+VLOOKUP($R17,武学奇术!$A:$ZZ,6,FALSE)+SUM(_xlfn.XLOOKUP(S17:AG17,增益!$A:$A,增益!$F:$F,0))&gt;0,($F$10-$I$3+VLOOKUP($R17,武学奇术!$A:$ZZ,6,FALSE)+SUM(_xlfn.XLOOKUP(S17:AG17,增益!$A:$A,增益!$F:$F,0)))/200,($F$10-$I$3+VLOOKUP($R17,武学奇术!$A:$ZZ,6,FALSE)+SUM(_xlfn.XLOOKUP(S17:AG17,增益!$A:$A,增益!$F:$F,0)))/100)</f>
        <v>0.3325</v>
      </c>
      <c r="AR17" s="32" cm="1">
        <f t="array" ref="AR17">$G$10+VLOOKUP($R17,武学奇术!$A:$ZZ,7,FALSE)+SUM(_xlfn.XLOOKUP(S17:AG17,增益!$A:$A,增益!$G:$G,0))</f>
        <v>0.148</v>
      </c>
      <c r="AS17" s="26" cm="1">
        <f t="array" ref="AS17">VLOOKUP($R17,武学奇术!$A:$ZZ,8,FALSE)+SUM(_xlfn.XLOOKUP(S17:AG17,增益!$A:$A,增益!$H:$H,0))</f>
        <v>0</v>
      </c>
      <c r="AT17">
        <f t="shared" si="0"/>
        <v>0</v>
      </c>
      <c r="AU17">
        <f t="shared" si="1"/>
        <v>0</v>
      </c>
      <c r="AV17" s="32" cm="1">
        <f t="array" ref="AV17">IF($F$11-$I$4+VLOOKUP($R17,武学奇术!$A:$ZZ,9,FALSE)+SUM(_xlfn.XLOOKUP(S17:AG17,增益!$A:$A,增益!$I:$I,0))&gt;0,($F$11-$I$4+VLOOKUP($R17,武学奇术!$A:$ZZ,9,FALSE)+SUM(_xlfn.XLOOKUP(S17:AG17,增益!$A:$A,增益!$I:$I,0)))/200,($F$11-$I$4+VLOOKUP($R17,武学奇术!$A:$ZZ,9,FALSE)+SUM(_xlfn.XLOOKUP(S17:AG17,增益!$A:$A,增益!$I:$I,0)))/100)</f>
        <v>-0.14</v>
      </c>
      <c r="AW17" s="32" cm="1">
        <f t="array" ref="AW17">$G$11+VLOOKUP($R17,武学奇术!$A:$ZZ,10,FALSE)+SUM(_xlfn.XLOOKUP(S17:AG17,增益!$A:$A,增益!$J:$J,0))</f>
        <v>0</v>
      </c>
      <c r="AX17">
        <f t="shared" si="2"/>
        <v>0</v>
      </c>
      <c r="AY17">
        <f t="shared" si="3"/>
        <v>0</v>
      </c>
      <c r="AZ17" s="32" cm="1">
        <f t="array" ref="AZ17">IF($F$12-$I$4+VLOOKUP($R17,武学奇术!$A:$ZZ,11,FALSE)+SUM(_xlfn.XLOOKUP(S17:AG17,增益!$A:$A,增益!$K:$K,0))&gt;0,($F$12-$I$4+VLOOKUP($R17,武学奇术!$A:$ZZ,11,FALSE)+SUM(_xlfn.XLOOKUP(S17:AG17,增益!$A:$A,增益!$K:$K,0)))/200,($F$12-$I$4+VLOOKUP($R17,武学奇术!$A:$ZZ,11,FALSE)+SUM(_xlfn.XLOOKUP(S17:AG17,增益!$A:$A,增益!$K:$K,0)))/100)</f>
        <v>-0.14</v>
      </c>
      <c r="BA17" s="32" cm="1">
        <f t="array" ref="BA17">$G$12+VLOOKUP($R17,武学奇术!$A:$ZZ,12,FALSE)+SUM(_xlfn.XLOOKUP(S17:AG17,增益!$A:$A,增益!$L:$L,0))</f>
        <v>0</v>
      </c>
      <c r="BB17">
        <f t="shared" si="4"/>
        <v>0</v>
      </c>
      <c r="BC17">
        <f t="shared" si="5"/>
        <v>0</v>
      </c>
      <c r="BD17" s="32" cm="1">
        <f t="array" ref="BD17">IF($F$13-$I$4+VLOOKUP($R17,武学奇术!$A:$ZZ,13,FALSE)+SUM(_xlfn.XLOOKUP(S17:AG17,增益!$A:$A,增益!$M:$M,0))&gt;0,($F$13-$I$4+VLOOKUP($R17,武学奇术!$A:$ZZ,13,FALSE)+SUM(_xlfn.XLOOKUP(S17:AG17,增益!$A:$A,增益!$K:$K,0)))/200,($F$13-$I$4+VLOOKUP($R17,武学奇术!$A:$ZZ,13,FALSE)+SUM(_xlfn.XLOOKUP(S17:AG17,增益!$A:$A,增益!$M:$M,0)))/100)</f>
        <v>-0.14</v>
      </c>
      <c r="BE17" s="32" cm="1">
        <f t="array" ref="BE17">$G$13+VLOOKUP($R17,武学奇术!$A:$ZZ,14,FALSE)+SUM(_xlfn.XLOOKUP(S17:AG17,增益!$A:$A,增益!$N:$N,0))</f>
        <v>0</v>
      </c>
      <c r="BF17">
        <f t="shared" si="6"/>
        <v>571.2</v>
      </c>
      <c r="BG17">
        <f t="shared" si="7"/>
        <v>1627.8</v>
      </c>
      <c r="BH17" s="32" cm="1">
        <f t="array" ref="BH17">IF($F$14-$I$4+VLOOKUP($R17,武学奇术!$A:$ZZ,15,FALSE)+SUM(_xlfn.XLOOKUP(S17:AG17,增益!$A:$A,增益!$O:$O,0))&gt;0,($F$14-$I$4+VLOOKUP($R17,武学奇术!$A:$ZZ,15,FALSE)+SUM(_xlfn.XLOOKUP(S17:AG17,增益!$A:$A,增益!$O:$O,0)))/200,($F$14-$I$4+VLOOKUP($R17,武学奇术!$A:$ZZ,15,FALSE)+SUM(_xlfn.XLOOKUP(S17:AG17,增益!$A:$A,增益!$O:$O,0)))/100)</f>
        <v>0.08</v>
      </c>
      <c r="BI17" s="32" cm="1">
        <f t="array" ref="BI17">$G$14+VLOOKUP($R17,武学奇术!$A:$ZZ,16,FALSE)+SUM(_xlfn.XLOOKUP(S17:AG17,增益!$A:$A,增益!$P:$P,0))</f>
        <v>0.27</v>
      </c>
      <c r="BJ17" s="26">
        <f>MIN(IF(VLOOKUP($R17,武学奇术!$A:$ZZ,23,FALSE)=1,100%,$B$8),100%)</f>
        <v>0.981</v>
      </c>
      <c r="BK17" s="26" cm="1">
        <f t="array" ref="BK17">IF(VLOOKUP($R17,武学奇术!$A:$ZZ,23,FALSE)=1,100%,MIN(80%,$B$9+VLOOKUP($R17,武学奇术!$A:$ZZ,17,FALSE)+SUM(_xlfn.XLOOKUP(S17:AG17,增益!$A:$A,增益!$Q:$Q,0)))+$B$11+SUM(_xlfn.XLOOKUP(S17:AG17,增益!$A:$A,增益!$U:$U,0)))*IF(VLOOKUP($R17,武学奇术!$A:$ZZ,24,FALSE)=1,0,1)</f>
        <v>0.846</v>
      </c>
      <c r="BL17" s="26" cm="1">
        <f t="array" ref="BL17">1+$B$13+VLOOKUP($R17,武学奇术!$A:$ZZ,18,FALSE)+SUM(_xlfn.XLOOKUP(S17:AG17,增益!$A:$A,增益!$R:$R,0))</f>
        <v>1.99</v>
      </c>
      <c r="BM17" s="26" cm="1">
        <f t="array" ref="BM17">IF(VLOOKUP($R17,武学奇术!$A:$ZZ,24,FALSE)=1,100%,MIN(40%,$B$10+VLOOKUP($R17,武学奇术!$A:$ZZ,19,FALSE)+SUM(_xlfn.XLOOKUP(S17:AG17,增益!$A:$A,增益!$S:$S,0)))+$B$12+SUM(_xlfn.XLOOKUP(S17:AG17,增益!$A:$A,增益!$V:$V,0)))*IF(VLOOKUP($R17,武学奇术!$A:$ZZ,23,FALSE)=1,0,1)</f>
        <v>0.0929</v>
      </c>
      <c r="BN17" s="26" cm="1">
        <f t="array" ref="BN17">1+$B$14+VLOOKUP($R17,武学奇术!$A:$ZZ,20,FALSE)+SUM(_xlfn.XLOOKUP(S17:AG17,增益!$A:$A,增益!$T:$T,0))</f>
        <v>1.35</v>
      </c>
      <c r="BO17" s="26">
        <f t="shared" si="8"/>
        <v>0.829926</v>
      </c>
      <c r="BP17" s="26">
        <f t="shared" si="9"/>
        <v>0.0599391</v>
      </c>
      <c r="BQ17" s="26">
        <f>IF(VLOOKUP($R17,武学奇术!$A:$ZZ,22,FALSE)=1,0,(1-$BJ17))*(1-$BM17)</f>
        <v>0.0172349</v>
      </c>
      <c r="BR17" s="26" cm="1">
        <f t="array" ref="BR17">SUM(_xlfn.XLOOKUP(S17:AG17,增益!$A:$A,增益!$W:$W,0))+$I$5</f>
        <v>0.11</v>
      </c>
    </row>
    <row r="18" spans="1:70">
      <c r="A18" s="41" t="s">
        <v>135</v>
      </c>
      <c r="B18" s="69">
        <v>0</v>
      </c>
      <c r="C18" s="39" t="s">
        <v>136</v>
      </c>
      <c r="D18" s="78" t="s">
        <v>129</v>
      </c>
      <c r="H18" s="67" t="s">
        <v>137</v>
      </c>
      <c r="I18" s="36"/>
      <c r="J18" s="37"/>
      <c r="K18">
        <f>$L18*VLOOKUP($R18,武学奇术!$A:$ZZ,31,FALSE)</f>
        <v>99121.0973689082</v>
      </c>
      <c r="L18" s="38">
        <f t="shared" si="10"/>
        <v>94401.0451132459</v>
      </c>
      <c r="M18" s="38">
        <f>((($AO18+$AP18)/2*$AI18+$AJ18)*(1+$AQ18)*(1+$AR18)+(($AT18+$AU18)/2*IF($G$1="鸣金",$AK18,$AI18)+IF($G$1="鸣金",$AL18*1.5,0))*(1+$AV18)*(1+$AW18)+(($AX18+$AY18)/2*IF($G$1="裂石",$AK18,$AI18)+IF($G$1="裂石",$AL18*1.5,0))*(1+$AZ18)*(1+$BA18)+(($BB18+$BC18)/2*IF($G$1="牵丝",$AK18,$AI18)+IF($G$1="牵丝",$AL18*1.5,0))*(1+$BD18)*(1+$BE18)+(($BF18+$BG18)/2*IF($G$1="破竹",$AK18,$AI18)+IF($G$1="破竹",$AL18*1.5,0))*(1+$BH18)*(1+$BI18))*(1+$AM18)*$BL18*$Q18*(1+IF(VLOOKUP($R18,武学奇术!$A:$ZZ,30,FALSE)="回旋伞",$B$21,0))*(1+$BR18)</f>
        <v>100501.66671591</v>
      </c>
      <c r="N18" s="38">
        <f>(($AP18*$AI18+$AJ18)*(1+$AQ18)*(1+$AR18)+($AU18*IF($G$1="鸣金",$AK18,$AI18)+IF($G$1="鸣金",$AL18*1.5,0))*(1+$AV18)*(1+$AW18)+($AY18*IF($G$1="裂石",$AK18,$AI18)+IF($G$1="裂石",$AL18*1.5,0))*(1+$AZ18)*(1+$BA18)+($BC18*IF($G$1="牵丝",$AK18,$AI18)+IF($G$1="牵丝",$AL18*1.5,0))*(1+$BD18)*(1+$BE18)+($BG18*IF($G$1="破竹",$AK18,$AI18)+IF($G$1="破竹",$AL18*1.5,0))*(1+$BH18)*(1+$BI18))*(1+$AM18)*$BN18*$Q18*(1+IF(VLOOKUP($R18,武学奇术!$A:$ZZ,30,FALSE)="回旋伞",$B$21,0))*(1+$BR18)</f>
        <v>77672.1386708932</v>
      </c>
      <c r="O18" s="38">
        <f>((($AO18+$AP18)/2*$AI18+$AJ18)*(1+$AQ18)*(1+$AR18)+(($AT18+$AU18)/2*IF($G$1="鸣金",$AK18,$AI18)+IF($G$1="鸣金",$AL18*1.5,0))*(1+$AV18)*(1+$AW18)+(($AX18+$AY18)/2*IF($G$1="裂石",$AK18,$AI18)+IF($G$1="裂石",$AL18*1.5,0))*(1+$AZ18)*(1+$BA18)+(($BB18+$BC18)/2*IF($G$1="牵丝",$AK18,$AI18)+IF($G$1="牵丝",$AL18*1.5,0))*(1+$BD18)*(1+$BE18)+(($BF18+$BG18)/2*IF($G$1="破竹",$AK18,$AI18)+IF($G$1="破竹",$AL18*1.5,0))*(1+$BH18)*(1+$BI18))*(1+$AM18)*$Q18*(1+IF(VLOOKUP($R18,武学奇术!$A:$ZZ,30,FALSE)="回旋伞",$B$21,0))*(1+$BR18)</f>
        <v>50503.3501084976</v>
      </c>
      <c r="P18" s="38">
        <f>((($AO18*$AI18+$AJ18)*(1+$AQ18)*(1+$AR18)+($AT18*IF($G$1="鸣金",$AK18,$AI18)+IF($G$1="鸣金",$AL18*1.5,0))*(1+$AV18)*(1+$AW18)+($AX18*IF($G$1="裂石",$AK18,$AI18)+IF($G$1="裂石",$AL18*1.5,0))*(1+$AZ18)*(1+$BA18)+($BB18*IF($G$1="牵丝",$AK18,$AI18)+IF($G$1="牵丝",$AL18*1.5,0))*(1+$BD18)*(1+$BE18)+($BF18*IF($G$1="破竹",$AK18,$AI18)+IF($G$1="破竹",$AL18*1.5,0))*(1+$BH18)*(1+$BI18))*(1+$AM18))*$Q18*(1+IF(VLOOKUP($R18,武学奇术!$A:$ZZ,30,FALSE)="回旋伞",$B$21,0))*(1+$BR18)</f>
        <v>43471.7826830002</v>
      </c>
      <c r="Q18" s="39">
        <v>4</v>
      </c>
      <c r="R18" s="40" t="s">
        <v>112</v>
      </c>
      <c r="S18" s="40" t="s">
        <v>109</v>
      </c>
      <c r="T18" s="40" t="s">
        <v>95</v>
      </c>
      <c r="U18" s="40" t="s">
        <v>73</v>
      </c>
      <c r="V18" s="40" t="s">
        <v>81</v>
      </c>
      <c r="W18" s="40" t="s">
        <v>89</v>
      </c>
      <c r="X18" s="40" t="s">
        <v>97</v>
      </c>
      <c r="Y18" s="40" t="s">
        <v>84</v>
      </c>
      <c r="Z18" s="40" t="s">
        <v>72</v>
      </c>
      <c r="AA18" s="40" t="s">
        <v>72</v>
      </c>
      <c r="AB18" s="40" t="s">
        <v>126</v>
      </c>
      <c r="AC18" s="40" t="s">
        <v>91</v>
      </c>
      <c r="AD18" s="40" t="s">
        <v>72</v>
      </c>
      <c r="AE18" s="40" t="s">
        <v>72</v>
      </c>
      <c r="AF18" s="40" t="s">
        <v>77</v>
      </c>
      <c r="AG18" s="40" t="s">
        <v>78</v>
      </c>
      <c r="AH18" t="str">
        <f>VLOOKUP($R18,武学奇术!$A:$ZZ,25,FALSE)</f>
        <v>伞</v>
      </c>
      <c r="AI18" s="26">
        <f>VLOOKUP($R18,武学奇术!$A:$ZZ,26,FALSE)</f>
        <v>0.54</v>
      </c>
      <c r="AJ18" s="27">
        <f>VLOOKUP($R18,武学奇术!$A:$ZZ,27,FALSE)*(1+IF(OR($AH18=$F$4,$AH18=$F$5),$B$22,0))</f>
        <v>0</v>
      </c>
      <c r="AK18" s="26">
        <f>VLOOKUP($R18,武学奇术!$A:$ZZ,28,FALSE)</f>
        <v>0.81</v>
      </c>
      <c r="AL18" s="27">
        <f>VLOOKUP($R18,武学奇术!$A:$ZZ,29,FALSE)*(1+IF(OR($AH18=$F$4,$AH18=$F$5),$B$22,0))</f>
        <v>0</v>
      </c>
      <c r="AM18" s="26" cm="1">
        <f t="array" ref="AM18">$G$3+IFERROR(VLOOKUP($AH18,$F$4:$G$7,2,FALSE),0)+VLOOKUP($R18,武学奇术!$A:$ZZ,2,FALSE)+SUM(_xlfn.XLOOKUP($S18:$AG18,增益!$A:$A,增益!$B:$B,0))</f>
        <v>1.0441</v>
      </c>
      <c r="AN18" s="26" cm="1">
        <f t="array" ref="AN18">VLOOKUP($R18,武学奇术!$A:$ZZ,5,FALSE)+SUM(_xlfn.XLOOKUP($S18:$AG18,增益!$A:$A,增益!$E:$E,0))</f>
        <v>0</v>
      </c>
      <c r="AO18" cm="1">
        <f t="array" ref="AO18">$D$10*(1+$AN18)+VLOOKUP($R18,武学奇术!$A:$ZZ,3,FALSE)+SUM(_xlfn.XLOOKUP($S18:$AG18,增益!$A:$A,增益!$C:$C,0))-$I$2</f>
        <v>3624.6</v>
      </c>
      <c r="AP18" cm="1">
        <f t="array" ref="AP18">$E$10*(1+$AN18)+VLOOKUP($R18,武学奇术!$A:$ZZ,4,FALSE)+SUM(_xlfn.XLOOKUP($S18:$AG18,增益!$A:$A,增益!$D:$D,0))-$I$2</f>
        <v>3624.6</v>
      </c>
      <c r="AQ18" s="32" cm="1">
        <f t="array" ref="AQ18">IF($F$10-$I$3+VLOOKUP($R18,武学奇术!$A:$ZZ,6,FALSE)+SUM(_xlfn.XLOOKUP(S18:AG18,增益!$A:$A,增益!$F:$F,0))&gt;0,($F$10-$I$3+VLOOKUP($R18,武学奇术!$A:$ZZ,6,FALSE)+SUM(_xlfn.XLOOKUP(S18:AG18,增益!$A:$A,增益!$F:$F,0)))/200,($F$10-$I$3+VLOOKUP($R18,武学奇术!$A:$ZZ,6,FALSE)+SUM(_xlfn.XLOOKUP(S18:AG18,增益!$A:$A,增益!$F:$F,0)))/100)</f>
        <v>0.3325</v>
      </c>
      <c r="AR18" s="32" cm="1">
        <f t="array" ref="AR18">$G$10+VLOOKUP($R18,武学奇术!$A:$ZZ,7,FALSE)+SUM(_xlfn.XLOOKUP(S18:AG18,增益!$A:$A,增益!$G:$G,0))</f>
        <v>0.148</v>
      </c>
      <c r="AS18" s="26" cm="1">
        <f t="array" ref="AS18">VLOOKUP($R18,武学奇术!$A:$ZZ,8,FALSE)+SUM(_xlfn.XLOOKUP(S18:AG18,增益!$A:$A,增益!$H:$H,0))</f>
        <v>0</v>
      </c>
      <c r="AT18">
        <f t="shared" si="0"/>
        <v>0</v>
      </c>
      <c r="AU18">
        <f t="shared" si="1"/>
        <v>0</v>
      </c>
      <c r="AV18" s="32" cm="1">
        <f t="array" ref="AV18">IF($F$11-$I$4+VLOOKUP($R18,武学奇术!$A:$ZZ,9,FALSE)+SUM(_xlfn.XLOOKUP(S18:AG18,增益!$A:$A,增益!$I:$I,0))&gt;0,($F$11-$I$4+VLOOKUP($R18,武学奇术!$A:$ZZ,9,FALSE)+SUM(_xlfn.XLOOKUP(S18:AG18,增益!$A:$A,增益!$I:$I,0)))/200,($F$11-$I$4+VLOOKUP($R18,武学奇术!$A:$ZZ,9,FALSE)+SUM(_xlfn.XLOOKUP(S18:AG18,增益!$A:$A,增益!$I:$I,0)))/100)</f>
        <v>-0.14</v>
      </c>
      <c r="AW18" s="32" cm="1">
        <f t="array" ref="AW18">$G$11+VLOOKUP($R18,武学奇术!$A:$ZZ,10,FALSE)+SUM(_xlfn.XLOOKUP(S18:AG18,增益!$A:$A,增益!$J:$J,0))</f>
        <v>0</v>
      </c>
      <c r="AX18">
        <f t="shared" si="2"/>
        <v>0</v>
      </c>
      <c r="AY18">
        <f t="shared" si="3"/>
        <v>0</v>
      </c>
      <c r="AZ18" s="32" cm="1">
        <f t="array" ref="AZ18">IF($F$12-$I$4+VLOOKUP($R18,武学奇术!$A:$ZZ,11,FALSE)+SUM(_xlfn.XLOOKUP(S18:AG18,增益!$A:$A,增益!$K:$K,0))&gt;0,($F$12-$I$4+VLOOKUP($R18,武学奇术!$A:$ZZ,11,FALSE)+SUM(_xlfn.XLOOKUP(S18:AG18,增益!$A:$A,增益!$K:$K,0)))/200,($F$12-$I$4+VLOOKUP($R18,武学奇术!$A:$ZZ,11,FALSE)+SUM(_xlfn.XLOOKUP(S18:AG18,增益!$A:$A,增益!$K:$K,0)))/100)</f>
        <v>-0.14</v>
      </c>
      <c r="BA18" s="32" cm="1">
        <f t="array" ref="BA18">$G$12+VLOOKUP($R18,武学奇术!$A:$ZZ,12,FALSE)+SUM(_xlfn.XLOOKUP(S18:AG18,增益!$A:$A,增益!$L:$L,0))</f>
        <v>0</v>
      </c>
      <c r="BB18">
        <f t="shared" si="4"/>
        <v>0</v>
      </c>
      <c r="BC18">
        <f t="shared" si="5"/>
        <v>0</v>
      </c>
      <c r="BD18" s="32" cm="1">
        <f t="array" ref="BD18">IF($F$13-$I$4+VLOOKUP($R18,武学奇术!$A:$ZZ,13,FALSE)+SUM(_xlfn.XLOOKUP(S18:AG18,增益!$A:$A,增益!$M:$M,0))&gt;0,($F$13-$I$4+VLOOKUP($R18,武学奇术!$A:$ZZ,13,FALSE)+SUM(_xlfn.XLOOKUP(S18:AG18,增益!$A:$A,增益!$K:$K,0)))/200,($F$13-$I$4+VLOOKUP($R18,武学奇术!$A:$ZZ,13,FALSE)+SUM(_xlfn.XLOOKUP(S18:AG18,增益!$A:$A,增益!$M:$M,0)))/100)</f>
        <v>-0.14</v>
      </c>
      <c r="BE18" s="32" cm="1">
        <f t="array" ref="BE18">$G$13+VLOOKUP($R18,武学奇术!$A:$ZZ,14,FALSE)+SUM(_xlfn.XLOOKUP(S18:AG18,增益!$A:$A,增益!$N:$N,0))</f>
        <v>0</v>
      </c>
      <c r="BF18">
        <f t="shared" si="6"/>
        <v>571.2</v>
      </c>
      <c r="BG18">
        <f t="shared" si="7"/>
        <v>1627.8</v>
      </c>
      <c r="BH18" s="32" cm="1">
        <f t="array" ref="BH18">IF($F$14-$I$4+VLOOKUP($R18,武学奇术!$A:$ZZ,15,FALSE)+SUM(_xlfn.XLOOKUP(S18:AG18,增益!$A:$A,增益!$O:$O,0))&gt;0,($F$14-$I$4+VLOOKUP($R18,武学奇术!$A:$ZZ,15,FALSE)+SUM(_xlfn.XLOOKUP(S18:AG18,增益!$A:$A,增益!$O:$O,0)))/200,($F$14-$I$4+VLOOKUP($R18,武学奇术!$A:$ZZ,15,FALSE)+SUM(_xlfn.XLOOKUP(S18:AG18,增益!$A:$A,增益!$O:$O,0)))/100)</f>
        <v>0.08</v>
      </c>
      <c r="BI18" s="32" cm="1">
        <f t="array" ref="BI18">$G$14+VLOOKUP($R18,武学奇术!$A:$ZZ,16,FALSE)+SUM(_xlfn.XLOOKUP(S18:AG18,增益!$A:$A,增益!$P:$P,0))</f>
        <v>0.27</v>
      </c>
      <c r="BJ18" s="26">
        <f>MIN(IF(VLOOKUP($R18,武学奇术!$A:$ZZ,23,FALSE)=1,100%,$B$8),100%)</f>
        <v>0.981</v>
      </c>
      <c r="BK18" s="26" cm="1">
        <f t="array" ref="BK18">IF(VLOOKUP($R18,武学奇术!$A:$ZZ,23,FALSE)=1,100%,MIN(80%,$B$9+VLOOKUP($R18,武学奇术!$A:$ZZ,17,FALSE)+SUM(_xlfn.XLOOKUP(S18:AG18,增益!$A:$A,增益!$Q:$Q,0)))+$B$11+SUM(_xlfn.XLOOKUP(S18:AG18,增益!$A:$A,增益!$U:$U,0)))*IF(VLOOKUP($R18,武学奇术!$A:$ZZ,24,FALSE)=1,0,1)</f>
        <v>0.846</v>
      </c>
      <c r="BL18" s="26" cm="1">
        <f t="array" ref="BL18">1+$B$13+VLOOKUP($R18,武学奇术!$A:$ZZ,18,FALSE)+SUM(_xlfn.XLOOKUP(S18:AG18,增益!$A:$A,增益!$R:$R,0))</f>
        <v>1.99</v>
      </c>
      <c r="BM18" s="26" cm="1">
        <f t="array" ref="BM18">IF(VLOOKUP($R18,武学奇术!$A:$ZZ,24,FALSE)=1,100%,MIN(40%,$B$10+VLOOKUP($R18,武学奇术!$A:$ZZ,19,FALSE)+SUM(_xlfn.XLOOKUP(S18:AG18,增益!$A:$A,增益!$S:$S,0)))+$B$12+SUM(_xlfn.XLOOKUP(S18:AG18,增益!$A:$A,增益!$V:$V,0)))*IF(VLOOKUP($R18,武学奇术!$A:$ZZ,23,FALSE)=1,0,1)</f>
        <v>0.0929</v>
      </c>
      <c r="BN18" s="26" cm="1">
        <f t="array" ref="BN18">1+$B$14+VLOOKUP($R18,武学奇术!$A:$ZZ,20,FALSE)+SUM(_xlfn.XLOOKUP(S18:AG18,增益!$A:$A,增益!$T:$T,0))</f>
        <v>1.35</v>
      </c>
      <c r="BO18" s="26">
        <f t="shared" si="8"/>
        <v>0.829926</v>
      </c>
      <c r="BP18" s="26">
        <f t="shared" si="9"/>
        <v>0.0599391</v>
      </c>
      <c r="BQ18" s="26">
        <f>IF(VLOOKUP($R18,武学奇术!$A:$ZZ,22,FALSE)=1,0,(1-$BJ18))*(1-$BM18)</f>
        <v>0.0172349</v>
      </c>
      <c r="BR18" s="26" cm="1">
        <f t="array" ref="BR18">SUM(_xlfn.XLOOKUP(S18:AG18,增益!$A:$A,增益!$W:$W,0))+$I$5</f>
        <v>0.11</v>
      </c>
    </row>
    <row r="19" ht="14.25" spans="1:70">
      <c r="A19" s="41" t="s">
        <v>138</v>
      </c>
      <c r="B19" s="69">
        <v>0</v>
      </c>
      <c r="C19" s="39" t="s">
        <v>139</v>
      </c>
      <c r="D19" s="78" t="s">
        <v>129</v>
      </c>
      <c r="H19" s="70"/>
      <c r="I19" s="79"/>
      <c r="J19" s="91"/>
      <c r="K19">
        <f>$L19*VLOOKUP($R19,武学奇术!$A:$ZZ,31,FALSE)</f>
        <v>101802.686665701</v>
      </c>
      <c r="L19" s="38">
        <f t="shared" si="10"/>
        <v>96954.9396816204</v>
      </c>
      <c r="M19" s="38">
        <f>((($AO19+$AP19)/2*$AI19+$AJ19)*(1+$AQ19)*(1+$AR19)+(($AT19+$AU19)/2*IF($G$1="鸣金",$AK19,$AI19)+IF($G$1="鸣金",$AL19*1.5,0))*(1+$AV19)*(1+$AW19)+(($AX19+$AY19)/2*IF($G$1="裂石",$AK19,$AI19)+IF($G$1="裂石",$AL19*1.5,0))*(1+$AZ19)*(1+$BA19)+(($BB19+$BC19)/2*IF($G$1="牵丝",$AK19,$AI19)+IF($G$1="牵丝",$AL19*1.5,0))*(1+$BD19)*(1+$BE19)+(($BF19+$BG19)/2*IF($G$1="破竹",$AK19,$AI19)+IF($G$1="破竹",$AL19*1.5,0))*(1+$BH19)*(1+$BI19))*(1+$AM19)*$BL19*$Q19*(1+IF(VLOOKUP($R19,武学奇术!$A:$ZZ,30,FALSE)="回旋伞",$B$21,0))*(1+$BR19)</f>
        <v>96954.9396816204</v>
      </c>
      <c r="N19" s="38">
        <f>(($AP19*$AI19+$AJ19)*(1+$AQ19)*(1+$AR19)+($AU19*IF($G$1="鸣金",$AK19,$AI19)+IF($G$1="鸣金",$AL19*1.5,0))*(1+$AV19)*(1+$AW19)+($AY19*IF($G$1="裂石",$AK19,$AI19)+IF($G$1="裂石",$AL19*1.5,0))*(1+$AZ19)*(1+$BA19)+($BC19*IF($G$1="牵丝",$AK19,$AI19)+IF($G$1="牵丝",$AL19*1.5,0))*(1+$BD19)*(1+$BE19)+($BG19*IF($G$1="破竹",$AK19,$AI19)+IF($G$1="破竹",$AL19*1.5,0))*(1+$BH19)*(1+$BI19))*(1+$AM19)*$BN19*$Q19*(1+IF(VLOOKUP($R19,武学奇术!$A:$ZZ,30,FALSE)="回旋伞",$B$21,0))*(1+$BR19)</f>
        <v>73759.7604703109</v>
      </c>
      <c r="O19" s="38">
        <f>((($AO19+$AP19)/2*$AI19+$AJ19)*(1+$AQ19)*(1+$AR19)+(($AT19+$AU19)/2*IF($G$1="鸣金",$AK19,$AI19)+IF($G$1="鸣金",$AL19*1.5,0))*(1+$AV19)*(1+$AW19)+(($AX19+$AY19)/2*IF($G$1="裂石",$AK19,$AI19)+IF($G$1="裂石",$AL19*1.5,0))*(1+$AZ19)*(1+$BA19)+(($BB19+$BC19)/2*IF($G$1="牵丝",$AK19,$AI19)+IF($G$1="牵丝",$AL19*1.5,0))*(1+$BD19)*(1+$BE19)+(($BF19+$BG19)/2*IF($G$1="破竹",$AK19,$AI19)+IF($G$1="破竹",$AL19*1.5,0))*(1+$BH19)*(1+$BI19))*(1+$AM19)*$Q19*(1+IF(VLOOKUP($R19,武学奇术!$A:$ZZ,30,FALSE)="回旋伞",$B$21,0))*(1+$BR19)</f>
        <v>48721.0752168947</v>
      </c>
      <c r="P19" s="38">
        <f>((($AO19*$AI19+$AJ19)*(1+$AQ19)*(1+$AR19)+($AT19*IF($G$1="鸣金",$AK19,$AI19)+IF($G$1="鸣金",$AL19*1.5,0))*(1+$AV19)*(1+$AW19)+($AX19*IF($G$1="裂石",$AK19,$AI19)+IF($G$1="裂石",$AL19*1.5,0))*(1+$AZ19)*(1+$BA19)+($BB19*IF($G$1="牵丝",$AK19,$AI19)+IF($G$1="牵丝",$AL19*1.5,0))*(1+$BD19)*(1+$BE19)+($BF19*IF($G$1="破竹",$AK19,$AI19)+IF($G$1="破竹",$AL19*1.5,0))*(1+$BH19)*(1+$BI19))*(1+$AM19))*$Q19*(1+IF(VLOOKUP($R19,武学奇术!$A:$ZZ,30,FALSE)="回旋伞",$B$21,0))*(1+$BR19)</f>
        <v>42805.2908261516</v>
      </c>
      <c r="Q19" s="39">
        <v>1</v>
      </c>
      <c r="R19" s="40" t="s">
        <v>125</v>
      </c>
      <c r="S19" s="40" t="s">
        <v>109</v>
      </c>
      <c r="T19" s="40" t="s">
        <v>95</v>
      </c>
      <c r="U19" s="40" t="s">
        <v>73</v>
      </c>
      <c r="V19" s="40" t="s">
        <v>81</v>
      </c>
      <c r="W19" s="40" t="s">
        <v>89</v>
      </c>
      <c r="X19" s="40" t="s">
        <v>99</v>
      </c>
      <c r="Y19" s="40" t="s">
        <v>84</v>
      </c>
      <c r="Z19" s="40" t="s">
        <v>72</v>
      </c>
      <c r="AA19" s="40" t="s">
        <v>72</v>
      </c>
      <c r="AB19" s="40" t="s">
        <v>126</v>
      </c>
      <c r="AC19" s="40" t="s">
        <v>91</v>
      </c>
      <c r="AD19" s="40" t="s">
        <v>72</v>
      </c>
      <c r="AE19" s="40" t="s">
        <v>72</v>
      </c>
      <c r="AF19" s="40" t="s">
        <v>77</v>
      </c>
      <c r="AG19" s="40" t="s">
        <v>78</v>
      </c>
      <c r="AH19" t="str">
        <f>VLOOKUP($R19,武学奇术!$A:$ZZ,25,FALSE)</f>
        <v>伞</v>
      </c>
      <c r="AI19" s="26">
        <f>VLOOKUP($R19,武学奇术!$A:$ZZ,26,FALSE)</f>
        <v>1.8084</v>
      </c>
      <c r="AJ19" s="27">
        <f>VLOOKUP($R19,武学奇术!$A:$ZZ,27,FALSE)*(1+IF(OR($AH19=$F$4,$AH19=$F$5),$B$22,0))</f>
        <v>750</v>
      </c>
      <c r="AK19" s="26">
        <f>VLOOKUP($R19,武学奇术!$A:$ZZ,28,FALSE)</f>
        <v>2.7126</v>
      </c>
      <c r="AL19" s="27">
        <f>VLOOKUP($R19,武学奇术!$A:$ZZ,29,FALSE)*(1+IF(OR($AH19=$F$4,$AH19=$F$5),$B$22,0))</f>
        <v>408</v>
      </c>
      <c r="AM19" s="26" cm="1">
        <f t="array" ref="AM19">$G$3+IFERROR(VLOOKUP($AH19,$F$4:$G$7,2,FALSE),0)+VLOOKUP($R19,武学奇术!$A:$ZZ,2,FALSE)+SUM(_xlfn.XLOOKUP($S19:$AG19,增益!$A:$A,增益!$B:$B,0))</f>
        <v>1.0541</v>
      </c>
      <c r="AN19" s="26" cm="1">
        <f t="array" ref="AN19">VLOOKUP($R19,武学奇术!$A:$ZZ,5,FALSE)+SUM(_xlfn.XLOOKUP($S19:$AG19,增益!$A:$A,增益!$E:$E,0))</f>
        <v>0</v>
      </c>
      <c r="AO19" cm="1">
        <f t="array" ref="AO19">$D$10*(1+$AN19)+VLOOKUP($R19,武学奇术!$A:$ZZ,3,FALSE)+SUM(_xlfn.XLOOKUP($S19:$AG19,增益!$A:$A,增益!$C:$C,0))-$I$2</f>
        <v>3624.6</v>
      </c>
      <c r="AP19" cm="1">
        <f t="array" ref="AP19">$E$10*(1+$AN19)+VLOOKUP($R19,武学奇术!$A:$ZZ,4,FALSE)+SUM(_xlfn.XLOOKUP($S19:$AG19,增益!$A:$A,增益!$D:$D,0))-$I$2</f>
        <v>3624.6</v>
      </c>
      <c r="AQ19" s="32" cm="1">
        <f t="array" ref="AQ19">IF($F$10-$I$3+VLOOKUP($R19,武学奇术!$A:$ZZ,6,FALSE)+SUM(_xlfn.XLOOKUP(S19:AG19,增益!$A:$A,增益!$F:$F,0))&gt;0,($F$10-$I$3+VLOOKUP($R19,武学奇术!$A:$ZZ,6,FALSE)+SUM(_xlfn.XLOOKUP(S19:AG19,增益!$A:$A,增益!$F:$F,0)))/200,($F$10-$I$3+VLOOKUP($R19,武学奇术!$A:$ZZ,6,FALSE)+SUM(_xlfn.XLOOKUP(S19:AG19,增益!$A:$A,增益!$F:$F,0)))/100)</f>
        <v>0.3425</v>
      </c>
      <c r="AR19" s="32" cm="1">
        <f t="array" ref="AR19">$G$10+VLOOKUP($R19,武学奇术!$A:$ZZ,7,FALSE)+SUM(_xlfn.XLOOKUP(S19:AG19,增益!$A:$A,增益!$G:$G,0))</f>
        <v>0.148</v>
      </c>
      <c r="AS19" s="26" cm="1">
        <f t="array" ref="AS19">VLOOKUP($R19,武学奇术!$A:$ZZ,8,FALSE)+SUM(_xlfn.XLOOKUP(S19:AG19,增益!$A:$A,增益!$H:$H,0))</f>
        <v>0</v>
      </c>
      <c r="AT19">
        <f t="shared" si="0"/>
        <v>0</v>
      </c>
      <c r="AU19">
        <f t="shared" si="1"/>
        <v>0</v>
      </c>
      <c r="AV19" s="32" cm="1">
        <f t="array" ref="AV19">IF($F$11-$I$4+VLOOKUP($R19,武学奇术!$A:$ZZ,9,FALSE)+SUM(_xlfn.XLOOKUP(S19:AG19,增益!$A:$A,增益!$I:$I,0))&gt;0,($F$11-$I$4+VLOOKUP($R19,武学奇术!$A:$ZZ,9,FALSE)+SUM(_xlfn.XLOOKUP(S19:AG19,增益!$A:$A,增益!$I:$I,0)))/200,($F$11-$I$4+VLOOKUP($R19,武学奇术!$A:$ZZ,9,FALSE)+SUM(_xlfn.XLOOKUP(S19:AG19,增益!$A:$A,增益!$I:$I,0)))/100)</f>
        <v>-0.14</v>
      </c>
      <c r="AW19" s="32" cm="1">
        <f t="array" ref="AW19">$G$11+VLOOKUP($R19,武学奇术!$A:$ZZ,10,FALSE)+SUM(_xlfn.XLOOKUP(S19:AG19,增益!$A:$A,增益!$J:$J,0))</f>
        <v>0</v>
      </c>
      <c r="AX19">
        <f t="shared" si="2"/>
        <v>0</v>
      </c>
      <c r="AY19">
        <f t="shared" si="3"/>
        <v>0</v>
      </c>
      <c r="AZ19" s="32" cm="1">
        <f t="array" ref="AZ19">IF($F$12-$I$4+VLOOKUP($R19,武学奇术!$A:$ZZ,11,FALSE)+SUM(_xlfn.XLOOKUP(S19:AG19,增益!$A:$A,增益!$K:$K,0))&gt;0,($F$12-$I$4+VLOOKUP($R19,武学奇术!$A:$ZZ,11,FALSE)+SUM(_xlfn.XLOOKUP(S19:AG19,增益!$A:$A,增益!$K:$K,0)))/200,($F$12-$I$4+VLOOKUP($R19,武学奇术!$A:$ZZ,11,FALSE)+SUM(_xlfn.XLOOKUP(S19:AG19,增益!$A:$A,增益!$K:$K,0)))/100)</f>
        <v>-0.14</v>
      </c>
      <c r="BA19" s="32" cm="1">
        <f t="array" ref="BA19">$G$12+VLOOKUP($R19,武学奇术!$A:$ZZ,12,FALSE)+SUM(_xlfn.XLOOKUP(S19:AG19,增益!$A:$A,增益!$L:$L,0))</f>
        <v>0</v>
      </c>
      <c r="BB19">
        <f t="shared" si="4"/>
        <v>0</v>
      </c>
      <c r="BC19">
        <f t="shared" si="5"/>
        <v>0</v>
      </c>
      <c r="BD19" s="32" cm="1">
        <f t="array" ref="BD19">IF($F$13-$I$4+VLOOKUP($R19,武学奇术!$A:$ZZ,13,FALSE)+SUM(_xlfn.XLOOKUP(S19:AG19,增益!$A:$A,增益!$M:$M,0))&gt;0,($F$13-$I$4+VLOOKUP($R19,武学奇术!$A:$ZZ,13,FALSE)+SUM(_xlfn.XLOOKUP(S19:AG19,增益!$A:$A,增益!$K:$K,0)))/200,($F$13-$I$4+VLOOKUP($R19,武学奇术!$A:$ZZ,13,FALSE)+SUM(_xlfn.XLOOKUP(S19:AG19,增益!$A:$A,增益!$M:$M,0)))/100)</f>
        <v>-0.14</v>
      </c>
      <c r="BE19" s="32" cm="1">
        <f t="array" ref="BE19">$G$13+VLOOKUP($R19,武学奇术!$A:$ZZ,14,FALSE)+SUM(_xlfn.XLOOKUP(S19:AG19,增益!$A:$A,增益!$N:$N,0))</f>
        <v>0</v>
      </c>
      <c r="BF19">
        <f t="shared" si="6"/>
        <v>571.2</v>
      </c>
      <c r="BG19">
        <f t="shared" si="7"/>
        <v>1627.8</v>
      </c>
      <c r="BH19" s="32" cm="1">
        <f t="array" ref="BH19">IF($F$14-$I$4+VLOOKUP($R19,武学奇术!$A:$ZZ,15,FALSE)+SUM(_xlfn.XLOOKUP(S19:AG19,增益!$A:$A,增益!$O:$O,0))&gt;0,($F$14-$I$4+VLOOKUP($R19,武学奇术!$A:$ZZ,15,FALSE)+SUM(_xlfn.XLOOKUP(S19:AG19,增益!$A:$A,增益!$O:$O,0)))/200,($F$14-$I$4+VLOOKUP($R19,武学奇术!$A:$ZZ,15,FALSE)+SUM(_xlfn.XLOOKUP(S19:AG19,增益!$A:$A,增益!$O:$O,0)))/100)</f>
        <v>0.08</v>
      </c>
      <c r="BI19" s="32" cm="1">
        <f t="array" ref="BI19">$G$14+VLOOKUP($R19,武学奇术!$A:$ZZ,16,FALSE)+SUM(_xlfn.XLOOKUP(S19:AG19,增益!$A:$A,增益!$P:$P,0))</f>
        <v>0.27</v>
      </c>
      <c r="BJ19" s="26">
        <f>MIN(IF(VLOOKUP($R19,武学奇术!$A:$ZZ,23,FALSE)=1,100%,$B$8),100%)</f>
        <v>1</v>
      </c>
      <c r="BK19" s="26" cm="1">
        <f t="array" ref="BK19">IF(VLOOKUP($R19,武学奇术!$A:$ZZ,23,FALSE)=1,100%,MIN(80%,$B$9+VLOOKUP($R19,武学奇术!$A:$ZZ,17,FALSE)+SUM(_xlfn.XLOOKUP(S19:AG19,增益!$A:$A,增益!$Q:$Q,0)))+$B$11+SUM(_xlfn.XLOOKUP(S19:AG19,增益!$A:$A,增益!$U:$U,0)))*IF(VLOOKUP($R19,武学奇术!$A:$ZZ,24,FALSE)=1,0,1)</f>
        <v>1</v>
      </c>
      <c r="BL19" s="26" cm="1">
        <f t="array" ref="BL19">1+$B$13+VLOOKUP($R19,武学奇术!$A:$ZZ,18,FALSE)+SUM(_xlfn.XLOOKUP(S19:AG19,增益!$A:$A,增益!$R:$R,0))</f>
        <v>1.99</v>
      </c>
      <c r="BM19" s="26" cm="1">
        <f t="array" ref="BM19">IF(VLOOKUP($R19,武学奇术!$A:$ZZ,24,FALSE)=1,100%,MIN(40%,$B$10+VLOOKUP($R19,武学奇术!$A:$ZZ,19,FALSE)+SUM(_xlfn.XLOOKUP(S19:AG19,增益!$A:$A,增益!$S:$S,0)))+$B$12+SUM(_xlfn.XLOOKUP(S19:AG19,增益!$A:$A,增益!$V:$V,0)))*IF(VLOOKUP($R19,武学奇术!$A:$ZZ,23,FALSE)=1,0,1)</f>
        <v>0</v>
      </c>
      <c r="BN19" s="26" cm="1">
        <f t="array" ref="BN19">1+$B$14+VLOOKUP($R19,武学奇术!$A:$ZZ,20,FALSE)+SUM(_xlfn.XLOOKUP(S19:AG19,增益!$A:$A,增益!$T:$T,0))</f>
        <v>1.35</v>
      </c>
      <c r="BO19" s="26">
        <f t="shared" si="8"/>
        <v>1</v>
      </c>
      <c r="BP19" s="26">
        <f t="shared" si="9"/>
        <v>0</v>
      </c>
      <c r="BQ19" s="26">
        <f>IF(VLOOKUP($R19,武学奇术!$A:$ZZ,22,FALSE)=1,0,(1-$BJ19))*(1-$BM19)</f>
        <v>0</v>
      </c>
      <c r="BR19" s="26" cm="1">
        <f t="array" ref="BR19">SUM(_xlfn.XLOOKUP(S19:AG19,增益!$A:$A,增益!$W:$W,0))+$I$5</f>
        <v>0.11</v>
      </c>
    </row>
    <row r="20" spans="1:70">
      <c r="A20" s="41" t="s">
        <v>140</v>
      </c>
      <c r="B20" s="69">
        <v>0</v>
      </c>
      <c r="C20" s="39" t="s">
        <v>141</v>
      </c>
      <c r="D20" s="78" t="s">
        <v>129</v>
      </c>
      <c r="H20" s="67" t="s">
        <v>142</v>
      </c>
      <c r="I20" s="80">
        <f>SUM(K:K)/SUM(L:L)</f>
        <v>0.993990233636063</v>
      </c>
      <c r="J20" s="81"/>
      <c r="K20">
        <f>$L20*VLOOKUP($R20,武学奇术!$A:$ZZ,31,FALSE)</f>
        <v>58494.1305349179</v>
      </c>
      <c r="L20" s="38">
        <f t="shared" si="10"/>
        <v>55708.6957475408</v>
      </c>
      <c r="M20" s="38">
        <f>((($AO20+$AP20)/2*$AI20+$AJ20)*(1+$AQ20)*(1+$AR20)+(($AT20+$AU20)/2*IF($G$1="鸣金",$AK20,$AI20)+IF($G$1="鸣金",$AL20*1.5,0))*(1+$AV20)*(1+$AW20)+(($AX20+$AY20)/2*IF($G$1="裂石",$AK20,$AI20)+IF($G$1="裂石",$AL20*1.5,0))*(1+$AZ20)*(1+$BA20)+(($BB20+$BC20)/2*IF($G$1="牵丝",$AK20,$AI20)+IF($G$1="牵丝",$AL20*1.5,0))*(1+$BD20)*(1+$BE20)+(($BF20+$BG20)/2*IF($G$1="破竹",$AK20,$AI20)+IF($G$1="破竹",$AL20*1.5,0))*(1+$BH20)*(1+$BI20))*(1+$AM20)*$BL20*$Q20*(1+IF(VLOOKUP($R20,武学奇术!$A:$ZZ,30,FALSE)="回旋伞",$B$21,0))*(1+$BR20)</f>
        <v>55708.6957475408</v>
      </c>
      <c r="N20" s="38">
        <f>(($AP20*$AI20+$AJ20)*(1+$AQ20)*(1+$AR20)+($AU20*IF($G$1="鸣金",$AK20,$AI20)+IF($G$1="鸣金",$AL20*1.5,0))*(1+$AV20)*(1+$AW20)+($AY20*IF($G$1="裂石",$AK20,$AI20)+IF($G$1="裂石",$AL20*1.5,0))*(1+$AZ20)*(1+$BA20)+($BC20*IF($G$1="牵丝",$AK20,$AI20)+IF($G$1="牵丝",$AL20*1.5,0))*(1+$BD20)*(1+$BE20)+($BG20*IF($G$1="破竹",$AK20,$AI20)+IF($G$1="破竹",$AL20*1.5,0))*(1+$BH20)*(1+$BI20))*(1+$AM20)*$BN20*$Q20*(1+IF(VLOOKUP($R20,武学奇术!$A:$ZZ,30,FALSE)="回旋伞",$B$21,0))*(1+$BR20)</f>
        <v>43026.249827346</v>
      </c>
      <c r="O20" s="38">
        <f>((($AO20+$AP20)/2*$AI20+$AJ20)*(1+$AQ20)*(1+$AR20)+(($AT20+$AU20)/2*IF($G$1="鸣金",$AK20,$AI20)+IF($G$1="鸣金",$AL20*1.5,0))*(1+$AV20)*(1+$AW20)+(($AX20+$AY20)/2*IF($G$1="裂石",$AK20,$AI20)+IF($G$1="裂石",$AL20*1.5,0))*(1+$AZ20)*(1+$BA20)+(($BB20+$BC20)/2*IF($G$1="牵丝",$AK20,$AI20)+IF($G$1="牵丝",$AL20*1.5,0))*(1+$BD20)*(1+$BE20)+(($BF20+$BG20)/2*IF($G$1="破竹",$AK20,$AI20)+IF($G$1="破竹",$AL20*1.5,0))*(1+$BH20)*(1+$BI20))*(1+$AM20)*$Q20*(1+IF(VLOOKUP($R20,武学奇术!$A:$ZZ,30,FALSE)="回旋伞",$B$21,0))*(1+$BR20)</f>
        <v>27994.3194711261</v>
      </c>
      <c r="P20" s="38">
        <f>((($AO20*$AI20+$AJ20)*(1+$AQ20)*(1+$AR20)+($AT20*IF($G$1="鸣金",$AK20,$AI20)+IF($G$1="鸣金",$AL20*1.5,0))*(1+$AV20)*(1+$AW20)+($AX20*IF($G$1="裂石",$AK20,$AI20)+IF($G$1="裂石",$AL20*1.5,0))*(1+$AZ20)*(1+$BA20)+($BB20*IF($G$1="牵丝",$AK20,$AI20)+IF($G$1="牵丝",$AL20*1.5,0))*(1+$BD20)*(1+$BE20)+($BF20*IF($G$1="破竹",$AK20,$AI20)+IF($G$1="破竹",$AL20*1.5,0))*(1+$BH20)*(1+$BI20))*(1+$AM20))*$Q20*(1+IF(VLOOKUP($R20,武学奇术!$A:$ZZ,30,FALSE)="回旋伞",$B$21,0))*(1+$BR20)</f>
        <v>24117.3427738476</v>
      </c>
      <c r="Q20" s="39">
        <v>2</v>
      </c>
      <c r="R20" s="40" t="s">
        <v>132</v>
      </c>
      <c r="S20" s="40" t="s">
        <v>109</v>
      </c>
      <c r="T20" s="40" t="s">
        <v>95</v>
      </c>
      <c r="U20" s="40" t="s">
        <v>73</v>
      </c>
      <c r="V20" s="40" t="s">
        <v>81</v>
      </c>
      <c r="W20" s="40" t="s">
        <v>89</v>
      </c>
      <c r="X20" s="40" t="s">
        <v>99</v>
      </c>
      <c r="Y20" s="40" t="s">
        <v>84</v>
      </c>
      <c r="Z20" s="40" t="s">
        <v>72</v>
      </c>
      <c r="AA20" s="40" t="s">
        <v>72</v>
      </c>
      <c r="AB20" s="40" t="s">
        <v>126</v>
      </c>
      <c r="AC20" s="40" t="s">
        <v>91</v>
      </c>
      <c r="AD20" s="40" t="s">
        <v>72</v>
      </c>
      <c r="AE20" s="40" t="s">
        <v>72</v>
      </c>
      <c r="AF20" s="40" t="s">
        <v>77</v>
      </c>
      <c r="AG20" s="40" t="s">
        <v>78</v>
      </c>
      <c r="AH20" t="str">
        <f>VLOOKUP($R20,武学奇术!$A:$ZZ,25,FALSE)</f>
        <v>伞</v>
      </c>
      <c r="AI20" s="26">
        <f>VLOOKUP($R20,武学奇术!$A:$ZZ,26,FALSE)</f>
        <v>0.54</v>
      </c>
      <c r="AJ20" s="27">
        <f>VLOOKUP($R20,武学奇术!$A:$ZZ,27,FALSE)*(1+IF(OR($AH20=$F$4,$AH20=$F$5),$B$22,0))</f>
        <v>0</v>
      </c>
      <c r="AK20" s="26">
        <f>VLOOKUP($R20,武学奇术!$A:$ZZ,28,FALSE)</f>
        <v>0.81</v>
      </c>
      <c r="AL20" s="27">
        <f>VLOOKUP($R20,武学奇术!$A:$ZZ,29,FALSE)*(1+IF(OR($AH20=$F$4,$AH20=$F$5),$B$22,0))</f>
        <v>0</v>
      </c>
      <c r="AM20" s="26" cm="1">
        <f t="array" ref="AM20">$G$3+IFERROR(VLOOKUP($AH20,$F$4:$G$7,2,FALSE),0)+VLOOKUP($R20,武学奇术!$A:$ZZ,2,FALSE)+SUM(_xlfn.XLOOKUP($S20:$AG20,增益!$A:$A,增益!$B:$B,0))</f>
        <v>1.2541</v>
      </c>
      <c r="AN20" s="26" cm="1">
        <f t="array" ref="AN20">VLOOKUP($R20,武学奇术!$A:$ZZ,5,FALSE)+SUM(_xlfn.XLOOKUP($S20:$AG20,增益!$A:$A,增益!$E:$E,0))</f>
        <v>0</v>
      </c>
      <c r="AO20" cm="1">
        <f t="array" ref="AO20">$D$10*(1+$AN20)+VLOOKUP($R20,武学奇术!$A:$ZZ,3,FALSE)+SUM(_xlfn.XLOOKUP($S20:$AG20,增益!$A:$A,增益!$C:$C,0))-$I$2</f>
        <v>3624.6</v>
      </c>
      <c r="AP20" cm="1">
        <f t="array" ref="AP20">$E$10*(1+$AN20)+VLOOKUP($R20,武学奇术!$A:$ZZ,4,FALSE)+SUM(_xlfn.XLOOKUP($S20:$AG20,增益!$A:$A,增益!$D:$D,0))-$I$2</f>
        <v>3624.6</v>
      </c>
      <c r="AQ20" s="32" cm="1">
        <f t="array" ref="AQ20">IF($F$10-$I$3+VLOOKUP($R20,武学奇术!$A:$ZZ,6,FALSE)+SUM(_xlfn.XLOOKUP(S20:AG20,增益!$A:$A,增益!$F:$F,0))&gt;0,($F$10-$I$3+VLOOKUP($R20,武学奇术!$A:$ZZ,6,FALSE)+SUM(_xlfn.XLOOKUP(S20:AG20,增益!$A:$A,增益!$F:$F,0)))/200,($F$10-$I$3+VLOOKUP($R20,武学奇术!$A:$ZZ,6,FALSE)+SUM(_xlfn.XLOOKUP(S20:AG20,增益!$A:$A,增益!$F:$F,0)))/100)</f>
        <v>0.3425</v>
      </c>
      <c r="AR20" s="32" cm="1">
        <f t="array" ref="AR20">$G$10+VLOOKUP($R20,武学奇术!$A:$ZZ,7,FALSE)+SUM(_xlfn.XLOOKUP(S20:AG20,增益!$A:$A,增益!$G:$G,0))</f>
        <v>0.148</v>
      </c>
      <c r="AS20" s="26" cm="1">
        <f t="array" ref="AS20">VLOOKUP($R20,武学奇术!$A:$ZZ,8,FALSE)+SUM(_xlfn.XLOOKUP(S20:AG20,增益!$A:$A,增益!$H:$H,0))</f>
        <v>0</v>
      </c>
      <c r="AT20">
        <f t="shared" si="0"/>
        <v>0</v>
      </c>
      <c r="AU20">
        <f t="shared" si="1"/>
        <v>0</v>
      </c>
      <c r="AV20" s="32" cm="1">
        <f t="array" ref="AV20">IF($F$11-$I$4+VLOOKUP($R20,武学奇术!$A:$ZZ,9,FALSE)+SUM(_xlfn.XLOOKUP(S20:AG20,增益!$A:$A,增益!$I:$I,0))&gt;0,($F$11-$I$4+VLOOKUP($R20,武学奇术!$A:$ZZ,9,FALSE)+SUM(_xlfn.XLOOKUP(S20:AG20,增益!$A:$A,增益!$I:$I,0)))/200,($F$11-$I$4+VLOOKUP($R20,武学奇术!$A:$ZZ,9,FALSE)+SUM(_xlfn.XLOOKUP(S20:AG20,增益!$A:$A,增益!$I:$I,0)))/100)</f>
        <v>-0.14</v>
      </c>
      <c r="AW20" s="32" cm="1">
        <f t="array" ref="AW20">$G$11+VLOOKUP($R20,武学奇术!$A:$ZZ,10,FALSE)+SUM(_xlfn.XLOOKUP(S20:AG20,增益!$A:$A,增益!$J:$J,0))</f>
        <v>0</v>
      </c>
      <c r="AX20">
        <f t="shared" si="2"/>
        <v>0</v>
      </c>
      <c r="AY20">
        <f t="shared" si="3"/>
        <v>0</v>
      </c>
      <c r="AZ20" s="32" cm="1">
        <f t="array" ref="AZ20">IF($F$12-$I$4+VLOOKUP($R20,武学奇术!$A:$ZZ,11,FALSE)+SUM(_xlfn.XLOOKUP(S20:AG20,增益!$A:$A,增益!$K:$K,0))&gt;0,($F$12-$I$4+VLOOKUP($R20,武学奇术!$A:$ZZ,11,FALSE)+SUM(_xlfn.XLOOKUP(S20:AG20,增益!$A:$A,增益!$K:$K,0)))/200,($F$12-$I$4+VLOOKUP($R20,武学奇术!$A:$ZZ,11,FALSE)+SUM(_xlfn.XLOOKUP(S20:AG20,增益!$A:$A,增益!$K:$K,0)))/100)</f>
        <v>-0.14</v>
      </c>
      <c r="BA20" s="32" cm="1">
        <f t="array" ref="BA20">$G$12+VLOOKUP($R20,武学奇术!$A:$ZZ,12,FALSE)+SUM(_xlfn.XLOOKUP(S20:AG20,增益!$A:$A,增益!$L:$L,0))</f>
        <v>0</v>
      </c>
      <c r="BB20">
        <f t="shared" si="4"/>
        <v>0</v>
      </c>
      <c r="BC20">
        <f t="shared" si="5"/>
        <v>0</v>
      </c>
      <c r="BD20" s="32" cm="1">
        <f t="array" ref="BD20">IF($F$13-$I$4+VLOOKUP($R20,武学奇术!$A:$ZZ,13,FALSE)+SUM(_xlfn.XLOOKUP(S20:AG20,增益!$A:$A,增益!$M:$M,0))&gt;0,($F$13-$I$4+VLOOKUP($R20,武学奇术!$A:$ZZ,13,FALSE)+SUM(_xlfn.XLOOKUP(S20:AG20,增益!$A:$A,增益!$K:$K,0)))/200,($F$13-$I$4+VLOOKUP($R20,武学奇术!$A:$ZZ,13,FALSE)+SUM(_xlfn.XLOOKUP(S20:AG20,增益!$A:$A,增益!$M:$M,0)))/100)</f>
        <v>-0.14</v>
      </c>
      <c r="BE20" s="32" cm="1">
        <f t="array" ref="BE20">$G$13+VLOOKUP($R20,武学奇术!$A:$ZZ,14,FALSE)+SUM(_xlfn.XLOOKUP(S20:AG20,增益!$A:$A,增益!$N:$N,0))</f>
        <v>0</v>
      </c>
      <c r="BF20">
        <f t="shared" si="6"/>
        <v>571.2</v>
      </c>
      <c r="BG20">
        <f t="shared" si="7"/>
        <v>1627.8</v>
      </c>
      <c r="BH20" s="32" cm="1">
        <f t="array" ref="BH20">IF($F$14-$I$4+VLOOKUP($R20,武学奇术!$A:$ZZ,15,FALSE)+SUM(_xlfn.XLOOKUP(S20:AG20,增益!$A:$A,增益!$O:$O,0))&gt;0,($F$14-$I$4+VLOOKUP($R20,武学奇术!$A:$ZZ,15,FALSE)+SUM(_xlfn.XLOOKUP(S20:AG20,增益!$A:$A,增益!$O:$O,0)))/200,($F$14-$I$4+VLOOKUP($R20,武学奇术!$A:$ZZ,15,FALSE)+SUM(_xlfn.XLOOKUP(S20:AG20,增益!$A:$A,增益!$O:$O,0)))/100)</f>
        <v>0.08</v>
      </c>
      <c r="BI20" s="32" cm="1">
        <f t="array" ref="BI20">$G$14+VLOOKUP($R20,武学奇术!$A:$ZZ,16,FALSE)+SUM(_xlfn.XLOOKUP(S20:AG20,增益!$A:$A,增益!$P:$P,0))</f>
        <v>0.27</v>
      </c>
      <c r="BJ20" s="26">
        <f>MIN(IF(VLOOKUP($R20,武学奇术!$A:$ZZ,23,FALSE)=1,100%,$B$8),100%)</f>
        <v>1</v>
      </c>
      <c r="BK20" s="26" cm="1">
        <f t="array" ref="BK20">IF(VLOOKUP($R20,武学奇术!$A:$ZZ,23,FALSE)=1,100%,MIN(80%,$B$9+VLOOKUP($R20,武学奇术!$A:$ZZ,17,FALSE)+SUM(_xlfn.XLOOKUP(S20:AG20,增益!$A:$A,增益!$Q:$Q,0)))+$B$11+SUM(_xlfn.XLOOKUP(S20:AG20,增益!$A:$A,增益!$U:$U,0)))*IF(VLOOKUP($R20,武学奇术!$A:$ZZ,24,FALSE)=1,0,1)</f>
        <v>1</v>
      </c>
      <c r="BL20" s="26" cm="1">
        <f t="array" ref="BL20">1+$B$13+VLOOKUP($R20,武学奇术!$A:$ZZ,18,FALSE)+SUM(_xlfn.XLOOKUP(S20:AG20,增益!$A:$A,增益!$R:$R,0))</f>
        <v>1.99</v>
      </c>
      <c r="BM20" s="26" cm="1">
        <f t="array" ref="BM20">IF(VLOOKUP($R20,武学奇术!$A:$ZZ,24,FALSE)=1,100%,MIN(40%,$B$10+VLOOKUP($R20,武学奇术!$A:$ZZ,19,FALSE)+SUM(_xlfn.XLOOKUP(S20:AG20,增益!$A:$A,增益!$S:$S,0)))+$B$12+SUM(_xlfn.XLOOKUP(S20:AG20,增益!$A:$A,增益!$V:$V,0)))*IF(VLOOKUP($R20,武学奇术!$A:$ZZ,23,FALSE)=1,0,1)</f>
        <v>0</v>
      </c>
      <c r="BN20" s="26" cm="1">
        <f t="array" ref="BN20">1+$B$14+VLOOKUP($R20,武学奇术!$A:$ZZ,20,FALSE)+SUM(_xlfn.XLOOKUP(S20:AG20,增益!$A:$A,增益!$T:$T,0))</f>
        <v>1.35</v>
      </c>
      <c r="BO20" s="26">
        <f t="shared" si="8"/>
        <v>1</v>
      </c>
      <c r="BP20" s="26">
        <f t="shared" si="9"/>
        <v>0</v>
      </c>
      <c r="BQ20" s="26">
        <f>IF(VLOOKUP($R20,武学奇术!$A:$ZZ,22,FALSE)=1,0,(1-$BJ20))*(1-$BM20)</f>
        <v>0</v>
      </c>
      <c r="BR20" s="26" cm="1">
        <f t="array" ref="BR20">SUM(_xlfn.XLOOKUP(S20:AG20,增益!$A:$A,增益!$W:$W,0))+$I$5</f>
        <v>0.11</v>
      </c>
    </row>
    <row r="21" ht="14.25" spans="1:70">
      <c r="A21" s="84" t="s">
        <v>143</v>
      </c>
      <c r="B21" s="92">
        <v>0.32</v>
      </c>
      <c r="C21" s="39" t="s">
        <v>144</v>
      </c>
      <c r="D21" s="78" t="s">
        <v>145</v>
      </c>
      <c r="E21" s="39" t="s">
        <v>146</v>
      </c>
      <c r="F21" s="39"/>
      <c r="H21" s="70"/>
      <c r="I21" s="82"/>
      <c r="J21" s="83"/>
      <c r="K21">
        <f>$L21*VLOOKUP($R21,武学奇术!$A:$ZZ,31,FALSE)</f>
        <v>86606.8994043679</v>
      </c>
      <c r="L21" s="38">
        <f t="shared" si="10"/>
        <v>82482.7613374933</v>
      </c>
      <c r="M21" s="38">
        <f>((($AO21+$AP21)/2*$AI21+$AJ21)*(1+$AQ21)*(1+$AR21)+(($AT21+$AU21)/2*IF($G$1="鸣金",$AK21,$AI21)+IF($G$1="鸣金",$AL21*1.5,0))*(1+$AV21)*(1+$AW21)+(($AX21+$AY21)/2*IF($G$1="裂石",$AK21,$AI21)+IF($G$1="裂石",$AL21*1.5,0))*(1+$AZ21)*(1+$BA21)+(($BB21+$BC21)/2*IF($G$1="牵丝",$AK21,$AI21)+IF($G$1="牵丝",$AL21*1.5,0))*(1+$BD21)*(1+$BE21)+(($BF21+$BG21)/2*IF($G$1="破竹",$AK21,$AI21)+IF($G$1="破竹",$AL21*1.5,0))*(1+$BH21)*(1+$BI21))*(1+$AM21)*$BL21*$Q21*(1+IF(VLOOKUP($R21,武学奇术!$A:$ZZ,30,FALSE)="回旋伞",$B$21,0))*(1+$BR21)</f>
        <v>87954.5743241754</v>
      </c>
      <c r="N21" s="38">
        <f>(($AP21*$AI21+$AJ21)*(1+$AQ21)*(1+$AR21)+($AU21*IF($G$1="鸣金",$AK21,$AI21)+IF($G$1="鸣金",$AL21*1.5,0))*(1+$AV21)*(1+$AW21)+($AY21*IF($G$1="裂石",$AK21,$AI21)+IF($G$1="裂石",$AL21*1.5,0))*(1+$AZ21)*(1+$BA21)+($BC21*IF($G$1="牵丝",$AK21,$AI21)+IF($G$1="牵丝",$AL21*1.5,0))*(1+$BD21)*(1+$BE21)+($BG21*IF($G$1="破竹",$AK21,$AI21)+IF($G$1="破竹",$AL21*1.5,0))*(1+$BH21)*(1+$BI21))*(1+$AM21)*$BN21*$Q21*(1+IF(VLOOKUP($R21,武学奇术!$A:$ZZ,30,FALSE)="回旋伞",$B$21,0))*(1+$BR21)</f>
        <v>66578.0496996268</v>
      </c>
      <c r="O21" s="38">
        <f>((($AO21+$AP21)/2*$AI21+$AJ21)*(1+$AQ21)*(1+$AR21)+(($AT21+$AU21)/2*IF($G$1="鸣金",$AK21,$AI21)+IF($G$1="鸣金",$AL21*1.5,0))*(1+$AV21)*(1+$AW21)+(($AX21+$AY21)/2*IF($G$1="裂石",$AK21,$AI21)+IF($G$1="裂石",$AL21*1.5,0))*(1+$AZ21)*(1+$BA21)+(($BB21+$BC21)/2*IF($G$1="牵丝",$AK21,$AI21)+IF($G$1="牵丝",$AL21*1.5,0))*(1+$BD21)*(1+$BE21)+(($BF21+$BG21)/2*IF($G$1="破竹",$AK21,$AI21)+IF($G$1="破竹",$AL21*1.5,0))*(1+$BH21)*(1+$BI21))*(1+$AM21)*$Q21*(1+IF(VLOOKUP($R21,武学奇术!$A:$ZZ,30,FALSE)="回旋伞",$B$21,0))*(1+$BR21)</f>
        <v>43977.2871620877</v>
      </c>
      <c r="P21" s="38">
        <f>((($AO21*$AI21+$AJ21)*(1+$AQ21)*(1+$AR21)+($AT21*IF($G$1="鸣金",$AK21,$AI21)+IF($G$1="鸣金",$AL21*1.5,0))*(1+$AV21)*(1+$AW21)+($AX21*IF($G$1="裂石",$AK21,$AI21)+IF($G$1="裂石",$AL21*1.5,0))*(1+$AZ21)*(1+$BA21)+($BB21*IF($G$1="牵丝",$AK21,$AI21)+IF($G$1="牵丝",$AL21*1.5,0))*(1+$BD21)*(1+$BE21)+($BF21*IF($G$1="破竹",$AK21,$AI21)+IF($G$1="破竹",$AL21*1.5,0))*(1+$BH21)*(1+$BI21))*(1+$AM21))*$Q21*(1+IF(VLOOKUP($R21,武学奇术!$A:$ZZ,30,FALSE)="回旋伞",$B$21,0))*(1+$BR21)</f>
        <v>38637.5004726</v>
      </c>
      <c r="Q21" s="39">
        <v>1</v>
      </c>
      <c r="R21" s="40" t="s">
        <v>108</v>
      </c>
      <c r="S21" s="40" t="s">
        <v>109</v>
      </c>
      <c r="T21" s="40" t="s">
        <v>95</v>
      </c>
      <c r="U21" s="40" t="s">
        <v>73</v>
      </c>
      <c r="V21" s="40" t="s">
        <v>81</v>
      </c>
      <c r="W21" s="40" t="s">
        <v>96</v>
      </c>
      <c r="X21" s="40" t="s">
        <v>99</v>
      </c>
      <c r="Y21" s="40" t="s">
        <v>84</v>
      </c>
      <c r="Z21" s="40" t="s">
        <v>72</v>
      </c>
      <c r="AA21" s="40" t="s">
        <v>72</v>
      </c>
      <c r="AB21" s="40" t="s">
        <v>126</v>
      </c>
      <c r="AC21" s="40" t="s">
        <v>91</v>
      </c>
      <c r="AD21" s="40" t="s">
        <v>72</v>
      </c>
      <c r="AE21" s="40" t="s">
        <v>72</v>
      </c>
      <c r="AF21" s="40" t="s">
        <v>77</v>
      </c>
      <c r="AG21" s="40" t="s">
        <v>78</v>
      </c>
      <c r="AH21" t="str">
        <f>VLOOKUP($R21,武学奇术!$A:$ZZ,25,FALSE)</f>
        <v>伞</v>
      </c>
      <c r="AI21" s="26">
        <f>VLOOKUP($R21,武学奇术!$A:$ZZ,26,FALSE)</f>
        <v>1.8084</v>
      </c>
      <c r="AJ21" s="27">
        <f>VLOOKUP($R21,武学奇术!$A:$ZZ,27,FALSE)*(1+IF(OR($AH21=$F$4,$AH21=$F$5),$B$22,0))</f>
        <v>750</v>
      </c>
      <c r="AK21" s="26">
        <f>VLOOKUP($R21,武学奇术!$A:$ZZ,28,FALSE)</f>
        <v>2.7126</v>
      </c>
      <c r="AL21" s="27">
        <f>VLOOKUP($R21,武学奇术!$A:$ZZ,29,FALSE)*(1+IF(OR($AH21=$F$4,$AH21=$F$5),$B$22,0))</f>
        <v>408</v>
      </c>
      <c r="AM21" s="26" cm="1">
        <f t="array" ref="AM21">$G$3+IFERROR(VLOOKUP($AH21,$F$4:$G$7,2,FALSE),0)+VLOOKUP($R21,武学奇术!$A:$ZZ,2,FALSE)+SUM(_xlfn.XLOOKUP($S21:$AG21,增益!$A:$A,增益!$B:$B,0))</f>
        <v>0.8541</v>
      </c>
      <c r="AN21" s="26" cm="1">
        <f t="array" ref="AN21">VLOOKUP($R21,武学奇术!$A:$ZZ,5,FALSE)+SUM(_xlfn.XLOOKUP($S21:$AG21,增益!$A:$A,增益!$E:$E,0))</f>
        <v>0</v>
      </c>
      <c r="AO21" cm="1">
        <f t="array" ref="AO21">$D$10*(1+$AN21)+VLOOKUP($R21,武学奇术!$A:$ZZ,3,FALSE)+SUM(_xlfn.XLOOKUP($S21:$AG21,增益!$A:$A,增益!$C:$C,0))-$I$2</f>
        <v>3624.6</v>
      </c>
      <c r="AP21" cm="1">
        <f t="array" ref="AP21">$E$10*(1+$AN21)+VLOOKUP($R21,武学奇术!$A:$ZZ,4,FALSE)+SUM(_xlfn.XLOOKUP($S21:$AG21,增益!$A:$A,增益!$D:$D,0))-$I$2</f>
        <v>3624.6</v>
      </c>
      <c r="AQ21" s="32" cm="1">
        <f t="array" ref="AQ21">IF($F$10-$I$3+VLOOKUP($R21,武学奇术!$A:$ZZ,6,FALSE)+SUM(_xlfn.XLOOKUP(S21:AG21,增益!$A:$A,增益!$F:$F,0))&gt;0,($F$10-$I$3+VLOOKUP($R21,武学奇术!$A:$ZZ,6,FALSE)+SUM(_xlfn.XLOOKUP(S21:AG21,增益!$A:$A,增益!$F:$F,0)))/200,($F$10-$I$3+VLOOKUP($R21,武学奇术!$A:$ZZ,6,FALSE)+SUM(_xlfn.XLOOKUP(S21:AG21,增益!$A:$A,增益!$F:$F,0)))/100)</f>
        <v>0.3425</v>
      </c>
      <c r="AR21" s="32" cm="1">
        <f t="array" ref="AR21">$G$10+VLOOKUP($R21,武学奇术!$A:$ZZ,7,FALSE)+SUM(_xlfn.XLOOKUP(S21:AG21,增益!$A:$A,增益!$G:$G,0))</f>
        <v>0.148</v>
      </c>
      <c r="AS21" s="26" cm="1">
        <f t="array" ref="AS21">VLOOKUP($R21,武学奇术!$A:$ZZ,8,FALSE)+SUM(_xlfn.XLOOKUP(S21:AG21,增益!$A:$A,增益!$H:$H,0))</f>
        <v>0</v>
      </c>
      <c r="AT21">
        <f t="shared" si="0"/>
        <v>0</v>
      </c>
      <c r="AU21">
        <f t="shared" si="1"/>
        <v>0</v>
      </c>
      <c r="AV21" s="32" cm="1">
        <f t="array" ref="AV21">IF($F$11-$I$4+VLOOKUP($R21,武学奇术!$A:$ZZ,9,FALSE)+SUM(_xlfn.XLOOKUP(S21:AG21,增益!$A:$A,增益!$I:$I,0))&gt;0,($F$11-$I$4+VLOOKUP($R21,武学奇术!$A:$ZZ,9,FALSE)+SUM(_xlfn.XLOOKUP(S21:AG21,增益!$A:$A,增益!$I:$I,0)))/200,($F$11-$I$4+VLOOKUP($R21,武学奇术!$A:$ZZ,9,FALSE)+SUM(_xlfn.XLOOKUP(S21:AG21,增益!$A:$A,增益!$I:$I,0)))/100)</f>
        <v>-0.14</v>
      </c>
      <c r="AW21" s="32" cm="1">
        <f t="array" ref="AW21">$G$11+VLOOKUP($R21,武学奇术!$A:$ZZ,10,FALSE)+SUM(_xlfn.XLOOKUP(S21:AG21,增益!$A:$A,增益!$J:$J,0))</f>
        <v>0</v>
      </c>
      <c r="AX21">
        <f t="shared" si="2"/>
        <v>0</v>
      </c>
      <c r="AY21">
        <f t="shared" si="3"/>
        <v>0</v>
      </c>
      <c r="AZ21" s="32" cm="1">
        <f t="array" ref="AZ21">IF($F$12-$I$4+VLOOKUP($R21,武学奇术!$A:$ZZ,11,FALSE)+SUM(_xlfn.XLOOKUP(S21:AG21,增益!$A:$A,增益!$K:$K,0))&gt;0,($F$12-$I$4+VLOOKUP($R21,武学奇术!$A:$ZZ,11,FALSE)+SUM(_xlfn.XLOOKUP(S21:AG21,增益!$A:$A,增益!$K:$K,0)))/200,($F$12-$I$4+VLOOKUP($R21,武学奇术!$A:$ZZ,11,FALSE)+SUM(_xlfn.XLOOKUP(S21:AG21,增益!$A:$A,增益!$K:$K,0)))/100)</f>
        <v>-0.14</v>
      </c>
      <c r="BA21" s="32" cm="1">
        <f t="array" ref="BA21">$G$12+VLOOKUP($R21,武学奇术!$A:$ZZ,12,FALSE)+SUM(_xlfn.XLOOKUP(S21:AG21,增益!$A:$A,增益!$L:$L,0))</f>
        <v>0</v>
      </c>
      <c r="BB21">
        <f t="shared" si="4"/>
        <v>0</v>
      </c>
      <c r="BC21">
        <f t="shared" si="5"/>
        <v>0</v>
      </c>
      <c r="BD21" s="32" cm="1">
        <f t="array" ref="BD21">IF($F$13-$I$4+VLOOKUP($R21,武学奇术!$A:$ZZ,13,FALSE)+SUM(_xlfn.XLOOKUP(S21:AG21,增益!$A:$A,增益!$M:$M,0))&gt;0,($F$13-$I$4+VLOOKUP($R21,武学奇术!$A:$ZZ,13,FALSE)+SUM(_xlfn.XLOOKUP(S21:AG21,增益!$A:$A,增益!$K:$K,0)))/200,($F$13-$I$4+VLOOKUP($R21,武学奇术!$A:$ZZ,13,FALSE)+SUM(_xlfn.XLOOKUP(S21:AG21,增益!$A:$A,增益!$M:$M,0)))/100)</f>
        <v>-0.14</v>
      </c>
      <c r="BE21" s="32" cm="1">
        <f t="array" ref="BE21">$G$13+VLOOKUP($R21,武学奇术!$A:$ZZ,14,FALSE)+SUM(_xlfn.XLOOKUP(S21:AG21,增益!$A:$A,增益!$N:$N,0))</f>
        <v>0</v>
      </c>
      <c r="BF21">
        <f t="shared" si="6"/>
        <v>571.2</v>
      </c>
      <c r="BG21">
        <f t="shared" si="7"/>
        <v>1627.8</v>
      </c>
      <c r="BH21" s="32" cm="1">
        <f t="array" ref="BH21">IF($F$14-$I$4+VLOOKUP($R21,武学奇术!$A:$ZZ,15,FALSE)+SUM(_xlfn.XLOOKUP(S21:AG21,增益!$A:$A,增益!$O:$O,0))&gt;0,($F$14-$I$4+VLOOKUP($R21,武学奇术!$A:$ZZ,15,FALSE)+SUM(_xlfn.XLOOKUP(S21:AG21,增益!$A:$A,增益!$O:$O,0)))/200,($F$14-$I$4+VLOOKUP($R21,武学奇术!$A:$ZZ,15,FALSE)+SUM(_xlfn.XLOOKUP(S21:AG21,增益!$A:$A,增益!$O:$O,0)))/100)</f>
        <v>0.08</v>
      </c>
      <c r="BI21" s="32" cm="1">
        <f t="array" ref="BI21">$G$14+VLOOKUP($R21,武学奇术!$A:$ZZ,16,FALSE)+SUM(_xlfn.XLOOKUP(S21:AG21,增益!$A:$A,增益!$P:$P,0))</f>
        <v>0.27</v>
      </c>
      <c r="BJ21" s="26">
        <f>MIN(IF(VLOOKUP($R21,武学奇术!$A:$ZZ,23,FALSE)=1,100%,$B$8),100%)</f>
        <v>0.981</v>
      </c>
      <c r="BK21" s="26" cm="1">
        <f t="array" ref="BK21">IF(VLOOKUP($R21,武学奇术!$A:$ZZ,23,FALSE)=1,100%,MIN(80%,$B$9+VLOOKUP($R21,武学奇术!$A:$ZZ,17,FALSE)+SUM(_xlfn.XLOOKUP(S21:AG21,增益!$A:$A,增益!$Q:$Q,0)))+$B$11+SUM(_xlfn.XLOOKUP(S21:AG21,增益!$A:$A,增益!$U:$U,0)))*IF(VLOOKUP($R21,武学奇术!$A:$ZZ,24,FALSE)=1,0,1)</f>
        <v>0.846</v>
      </c>
      <c r="BL21" s="26" cm="1">
        <f t="array" ref="BL21">1+$B$13+VLOOKUP($R21,武学奇术!$A:$ZZ,18,FALSE)+SUM(_xlfn.XLOOKUP(S21:AG21,增益!$A:$A,增益!$R:$R,0))</f>
        <v>2</v>
      </c>
      <c r="BM21" s="26" cm="1">
        <f t="array" ref="BM21">IF(VLOOKUP($R21,武学奇术!$A:$ZZ,24,FALSE)=1,100%,MIN(40%,$B$10+VLOOKUP($R21,武学奇术!$A:$ZZ,19,FALSE)+SUM(_xlfn.XLOOKUP(S21:AG21,增益!$A:$A,增益!$S:$S,0)))+$B$12+SUM(_xlfn.XLOOKUP(S21:AG21,增益!$A:$A,增益!$V:$V,0)))*IF(VLOOKUP($R21,武学奇术!$A:$ZZ,23,FALSE)=1,0,1)</f>
        <v>0.0929</v>
      </c>
      <c r="BN21" s="26" cm="1">
        <f t="array" ref="BN21">1+$B$14+VLOOKUP($R21,武学奇术!$A:$ZZ,20,FALSE)+SUM(_xlfn.XLOOKUP(S21:AG21,增益!$A:$A,增益!$T:$T,0))</f>
        <v>1.35</v>
      </c>
      <c r="BO21" s="26">
        <f t="shared" si="8"/>
        <v>0.829926</v>
      </c>
      <c r="BP21" s="26">
        <f t="shared" si="9"/>
        <v>0.0599391</v>
      </c>
      <c r="BQ21" s="26">
        <f>IF(VLOOKUP($R21,武学奇术!$A:$ZZ,22,FALSE)=1,0,(1-$BJ21))*(1-$BM21)</f>
        <v>0.0172349</v>
      </c>
      <c r="BR21" s="26" cm="1">
        <f t="array" ref="BR21">SUM(_xlfn.XLOOKUP(S21:AG21,增益!$A:$A,增益!$W:$W,0))+$I$5</f>
        <v>0.11</v>
      </c>
    </row>
    <row r="22" spans="1:70">
      <c r="A22" t="s">
        <v>147</v>
      </c>
      <c r="B22" s="28">
        <v>0.5</v>
      </c>
      <c r="E22" s="40" t="s">
        <v>148</v>
      </c>
      <c r="F22" s="40"/>
      <c r="K22">
        <f>$L22*VLOOKUP($R22,武学奇术!$A:$ZZ,31,FALSE)</f>
        <v>50288.6246288226</v>
      </c>
      <c r="L22" s="38">
        <f t="shared" si="10"/>
        <v>47893.9282179262</v>
      </c>
      <c r="M22" s="38">
        <f>((($AO22+$AP22)/2*$AI22+$AJ22)*(1+$AQ22)*(1+$AR22)+(($AT22+$AU22)/2*IF($G$1="鸣金",$AK22,$AI22)+IF($G$1="鸣金",$AL22*1.5,0))*(1+$AV22)*(1+$AW22)+(($AX22+$AY22)/2*IF($G$1="裂石",$AK22,$AI22)+IF($G$1="裂石",$AL22*1.5,0))*(1+$AZ22)*(1+$BA22)+(($BB22+$BC22)/2*IF($G$1="牵丝",$AK22,$AI22)+IF($G$1="牵丝",$AL22*1.5,0))*(1+$BD22)*(1+$BE22)+(($BF22+$BG22)/2*IF($G$1="破竹",$AK22,$AI22)+IF($G$1="破竹",$AL22*1.5,0))*(1+$BH22)*(1+$BI22))*(1+$AM22)*$BL22*$Q22*(1+IF(VLOOKUP($R22,武学奇术!$A:$ZZ,30,FALSE)="回旋伞",$B$21,0))*(1+$BR22)</f>
        <v>51020.9233180782</v>
      </c>
      <c r="N22" s="38">
        <f>(($AP22*$AI22+$AJ22)*(1+$AQ22)*(1+$AR22)+($AU22*IF($G$1="鸣金",$AK22,$AI22)+IF($G$1="鸣金",$AL22*1.5,0))*(1+$AV22)*(1+$AW22)+($AY22*IF($G$1="裂石",$AK22,$AI22)+IF($G$1="裂石",$AL22*1.5,0))*(1+$AZ22)*(1+$BA22)+($BC22*IF($G$1="牵丝",$AK22,$AI22)+IF($G$1="牵丝",$AL22*1.5,0))*(1+$BD22)*(1+$BE22)+($BG22*IF($G$1="破竹",$AK22,$AI22)+IF($G$1="破竹",$AL22*1.5,0))*(1+$BH22)*(1+$BI22))*(1+$AM22)*$BN22*$Q22*(1+IF(VLOOKUP($R22,武学奇术!$A:$ZZ,30,FALSE)="回旋伞",$B$21,0))*(1+$BR22)</f>
        <v>39208.650800919</v>
      </c>
      <c r="O22" s="38">
        <f>((($AO22+$AP22)/2*$AI22+$AJ22)*(1+$AQ22)*(1+$AR22)+(($AT22+$AU22)/2*IF($G$1="鸣金",$AK22,$AI22)+IF($G$1="鸣金",$AL22*1.5,0))*(1+$AV22)*(1+$AW22)+(($AX22+$AY22)/2*IF($G$1="裂石",$AK22,$AI22)+IF($G$1="裂石",$AL22*1.5,0))*(1+$AZ22)*(1+$BA22)+(($BB22+$BC22)/2*IF($G$1="牵丝",$AK22,$AI22)+IF($G$1="牵丝",$AL22*1.5,0))*(1+$BD22)*(1+$BE22)+(($BF22+$BG22)/2*IF($G$1="破竹",$AK22,$AI22)+IF($G$1="破竹",$AL22*1.5,0))*(1+$BH22)*(1+$BI22))*(1+$AM22)*$Q22*(1+IF(VLOOKUP($R22,武学奇术!$A:$ZZ,30,FALSE)="回旋伞",$B$21,0))*(1+$BR22)</f>
        <v>25510.4616590391</v>
      </c>
      <c r="P22" s="38">
        <f>((($AO22*$AI22+$AJ22)*(1+$AQ22)*(1+$AR22)+($AT22*IF($G$1="鸣金",$AK22,$AI22)+IF($G$1="鸣金",$AL22*1.5,0))*(1+$AV22)*(1+$AW22)+($AX22*IF($G$1="裂石",$AK22,$AI22)+IF($G$1="裂石",$AL22*1.5,0))*(1+$AZ22)*(1+$BA22)+($BB22*IF($G$1="牵丝",$AK22,$AI22)+IF($G$1="牵丝",$AL22*1.5,0))*(1+$BD22)*(1+$BE22)+($BF22*IF($G$1="破竹",$AK22,$AI22)+IF($G$1="破竹",$AL22*1.5,0))*(1+$BH22)*(1+$BI22))*(1+$AM22))*$Q22*(1+IF(VLOOKUP($R22,武学奇术!$A:$ZZ,30,FALSE)="回旋伞",$B$21,0))*(1+$BR22)</f>
        <v>21977.4782803604</v>
      </c>
      <c r="Q22" s="39">
        <v>2</v>
      </c>
      <c r="R22" s="40" t="s">
        <v>112</v>
      </c>
      <c r="S22" s="40" t="s">
        <v>109</v>
      </c>
      <c r="T22" s="40" t="s">
        <v>95</v>
      </c>
      <c r="U22" s="40" t="s">
        <v>73</v>
      </c>
      <c r="V22" s="40" t="s">
        <v>81</v>
      </c>
      <c r="W22" s="40" t="s">
        <v>96</v>
      </c>
      <c r="X22" s="40" t="s">
        <v>99</v>
      </c>
      <c r="Y22" s="40" t="s">
        <v>84</v>
      </c>
      <c r="Z22" s="40" t="s">
        <v>72</v>
      </c>
      <c r="AA22" s="40" t="s">
        <v>72</v>
      </c>
      <c r="AB22" s="40" t="s">
        <v>126</v>
      </c>
      <c r="AC22" s="40" t="s">
        <v>91</v>
      </c>
      <c r="AD22" s="40" t="s">
        <v>72</v>
      </c>
      <c r="AE22" s="40" t="s">
        <v>72</v>
      </c>
      <c r="AF22" s="40" t="s">
        <v>77</v>
      </c>
      <c r="AG22" s="40" t="s">
        <v>78</v>
      </c>
      <c r="AH22" t="str">
        <f>VLOOKUP($R22,武学奇术!$A:$ZZ,25,FALSE)</f>
        <v>伞</v>
      </c>
      <c r="AI22" s="26">
        <f>VLOOKUP($R22,武学奇术!$A:$ZZ,26,FALSE)</f>
        <v>0.54</v>
      </c>
      <c r="AJ22" s="27">
        <f>VLOOKUP($R22,武学奇术!$A:$ZZ,27,FALSE)*(1+IF(OR($AH22=$F$4,$AH22=$F$5),$B$22,0))</f>
        <v>0</v>
      </c>
      <c r="AK22" s="26">
        <f>VLOOKUP($R22,武学奇术!$A:$ZZ,28,FALSE)</f>
        <v>0.81</v>
      </c>
      <c r="AL22" s="27">
        <f>VLOOKUP($R22,武学奇术!$A:$ZZ,29,FALSE)*(1+IF(OR($AH22=$F$4,$AH22=$F$5),$B$22,0))</f>
        <v>0</v>
      </c>
      <c r="AM22" s="26" cm="1">
        <f t="array" ref="AM22">$G$3+IFERROR(VLOOKUP($AH22,$F$4:$G$7,2,FALSE),0)+VLOOKUP($R22,武学奇术!$A:$ZZ,2,FALSE)+SUM(_xlfn.XLOOKUP($S22:$AG22,增益!$A:$A,增益!$B:$B,0))</f>
        <v>1.0541</v>
      </c>
      <c r="AN22" s="26" cm="1">
        <f t="array" ref="AN22">VLOOKUP($R22,武学奇术!$A:$ZZ,5,FALSE)+SUM(_xlfn.XLOOKUP($S22:$AG22,增益!$A:$A,增益!$E:$E,0))</f>
        <v>0</v>
      </c>
      <c r="AO22" cm="1">
        <f t="array" ref="AO22">$D$10*(1+$AN22)+VLOOKUP($R22,武学奇术!$A:$ZZ,3,FALSE)+SUM(_xlfn.XLOOKUP($S22:$AG22,增益!$A:$A,增益!$C:$C,0))-$I$2</f>
        <v>3624.6</v>
      </c>
      <c r="AP22" cm="1">
        <f t="array" ref="AP22">$E$10*(1+$AN22)+VLOOKUP($R22,武学奇术!$A:$ZZ,4,FALSE)+SUM(_xlfn.XLOOKUP($S22:$AG22,增益!$A:$A,增益!$D:$D,0))-$I$2</f>
        <v>3624.6</v>
      </c>
      <c r="AQ22" s="32" cm="1">
        <f t="array" ref="AQ22">IF($F$10-$I$3+VLOOKUP($R22,武学奇术!$A:$ZZ,6,FALSE)+SUM(_xlfn.XLOOKUP(S22:AG22,增益!$A:$A,增益!$F:$F,0))&gt;0,($F$10-$I$3+VLOOKUP($R22,武学奇术!$A:$ZZ,6,FALSE)+SUM(_xlfn.XLOOKUP(S22:AG22,增益!$A:$A,增益!$F:$F,0)))/200,($F$10-$I$3+VLOOKUP($R22,武学奇术!$A:$ZZ,6,FALSE)+SUM(_xlfn.XLOOKUP(S22:AG22,增益!$A:$A,增益!$F:$F,0)))/100)</f>
        <v>0.3425</v>
      </c>
      <c r="AR22" s="32" cm="1">
        <f t="array" ref="AR22">$G$10+VLOOKUP($R22,武学奇术!$A:$ZZ,7,FALSE)+SUM(_xlfn.XLOOKUP(S22:AG22,增益!$A:$A,增益!$G:$G,0))</f>
        <v>0.148</v>
      </c>
      <c r="AS22" s="26" cm="1">
        <f t="array" ref="AS22">VLOOKUP($R22,武学奇术!$A:$ZZ,8,FALSE)+SUM(_xlfn.XLOOKUP(S22:AG22,增益!$A:$A,增益!$H:$H,0))</f>
        <v>0</v>
      </c>
      <c r="AT22">
        <f t="shared" si="0"/>
        <v>0</v>
      </c>
      <c r="AU22">
        <f t="shared" si="1"/>
        <v>0</v>
      </c>
      <c r="AV22" s="32" cm="1">
        <f t="array" ref="AV22">IF($F$11-$I$4+VLOOKUP($R22,武学奇术!$A:$ZZ,9,FALSE)+SUM(_xlfn.XLOOKUP(S22:AG22,增益!$A:$A,增益!$I:$I,0))&gt;0,($F$11-$I$4+VLOOKUP($R22,武学奇术!$A:$ZZ,9,FALSE)+SUM(_xlfn.XLOOKUP(S22:AG22,增益!$A:$A,增益!$I:$I,0)))/200,($F$11-$I$4+VLOOKUP($R22,武学奇术!$A:$ZZ,9,FALSE)+SUM(_xlfn.XLOOKUP(S22:AG22,增益!$A:$A,增益!$I:$I,0)))/100)</f>
        <v>-0.14</v>
      </c>
      <c r="AW22" s="32" cm="1">
        <f t="array" ref="AW22">$G$11+VLOOKUP($R22,武学奇术!$A:$ZZ,10,FALSE)+SUM(_xlfn.XLOOKUP(S22:AG22,增益!$A:$A,增益!$J:$J,0))</f>
        <v>0</v>
      </c>
      <c r="AX22">
        <f t="shared" si="2"/>
        <v>0</v>
      </c>
      <c r="AY22">
        <f t="shared" si="3"/>
        <v>0</v>
      </c>
      <c r="AZ22" s="32" cm="1">
        <f t="array" ref="AZ22">IF($F$12-$I$4+VLOOKUP($R22,武学奇术!$A:$ZZ,11,FALSE)+SUM(_xlfn.XLOOKUP(S22:AG22,增益!$A:$A,增益!$K:$K,0))&gt;0,($F$12-$I$4+VLOOKUP($R22,武学奇术!$A:$ZZ,11,FALSE)+SUM(_xlfn.XLOOKUP(S22:AG22,增益!$A:$A,增益!$K:$K,0)))/200,($F$12-$I$4+VLOOKUP($R22,武学奇术!$A:$ZZ,11,FALSE)+SUM(_xlfn.XLOOKUP(S22:AG22,增益!$A:$A,增益!$K:$K,0)))/100)</f>
        <v>-0.14</v>
      </c>
      <c r="BA22" s="32" cm="1">
        <f t="array" ref="BA22">$G$12+VLOOKUP($R22,武学奇术!$A:$ZZ,12,FALSE)+SUM(_xlfn.XLOOKUP(S22:AG22,增益!$A:$A,增益!$L:$L,0))</f>
        <v>0</v>
      </c>
      <c r="BB22">
        <f t="shared" si="4"/>
        <v>0</v>
      </c>
      <c r="BC22">
        <f t="shared" si="5"/>
        <v>0</v>
      </c>
      <c r="BD22" s="32" cm="1">
        <f t="array" ref="BD22">IF($F$13-$I$4+VLOOKUP($R22,武学奇术!$A:$ZZ,13,FALSE)+SUM(_xlfn.XLOOKUP(S22:AG22,增益!$A:$A,增益!$M:$M,0))&gt;0,($F$13-$I$4+VLOOKUP($R22,武学奇术!$A:$ZZ,13,FALSE)+SUM(_xlfn.XLOOKUP(S22:AG22,增益!$A:$A,增益!$K:$K,0)))/200,($F$13-$I$4+VLOOKUP($R22,武学奇术!$A:$ZZ,13,FALSE)+SUM(_xlfn.XLOOKUP(S22:AG22,增益!$A:$A,增益!$M:$M,0)))/100)</f>
        <v>-0.14</v>
      </c>
      <c r="BE22" s="32" cm="1">
        <f t="array" ref="BE22">$G$13+VLOOKUP($R22,武学奇术!$A:$ZZ,14,FALSE)+SUM(_xlfn.XLOOKUP(S22:AG22,增益!$A:$A,增益!$N:$N,0))</f>
        <v>0</v>
      </c>
      <c r="BF22">
        <f t="shared" si="6"/>
        <v>571.2</v>
      </c>
      <c r="BG22">
        <f t="shared" si="7"/>
        <v>1627.8</v>
      </c>
      <c r="BH22" s="32" cm="1">
        <f t="array" ref="BH22">IF($F$14-$I$4+VLOOKUP($R22,武学奇术!$A:$ZZ,15,FALSE)+SUM(_xlfn.XLOOKUP(S22:AG22,增益!$A:$A,增益!$O:$O,0))&gt;0,($F$14-$I$4+VLOOKUP($R22,武学奇术!$A:$ZZ,15,FALSE)+SUM(_xlfn.XLOOKUP(S22:AG22,增益!$A:$A,增益!$O:$O,0)))/200,($F$14-$I$4+VLOOKUP($R22,武学奇术!$A:$ZZ,15,FALSE)+SUM(_xlfn.XLOOKUP(S22:AG22,增益!$A:$A,增益!$O:$O,0)))/100)</f>
        <v>0.08</v>
      </c>
      <c r="BI22" s="32" cm="1">
        <f t="array" ref="BI22">$G$14+VLOOKUP($R22,武学奇术!$A:$ZZ,16,FALSE)+SUM(_xlfn.XLOOKUP(S22:AG22,增益!$A:$A,增益!$P:$P,0))</f>
        <v>0.27</v>
      </c>
      <c r="BJ22" s="26">
        <f>MIN(IF(VLOOKUP($R22,武学奇术!$A:$ZZ,23,FALSE)=1,100%,$B$8),100%)</f>
        <v>0.981</v>
      </c>
      <c r="BK22" s="26" cm="1">
        <f t="array" ref="BK22">IF(VLOOKUP($R22,武学奇术!$A:$ZZ,23,FALSE)=1,100%,MIN(80%,$B$9+VLOOKUP($R22,武学奇术!$A:$ZZ,17,FALSE)+SUM(_xlfn.XLOOKUP(S22:AG22,增益!$A:$A,增益!$Q:$Q,0)))+$B$11+SUM(_xlfn.XLOOKUP(S22:AG22,增益!$A:$A,增益!$U:$U,0)))*IF(VLOOKUP($R22,武学奇术!$A:$ZZ,24,FALSE)=1,0,1)</f>
        <v>0.846</v>
      </c>
      <c r="BL22" s="26" cm="1">
        <f t="array" ref="BL22">1+$B$13+VLOOKUP($R22,武学奇术!$A:$ZZ,18,FALSE)+SUM(_xlfn.XLOOKUP(S22:AG22,增益!$A:$A,增益!$R:$R,0))</f>
        <v>2</v>
      </c>
      <c r="BM22" s="26" cm="1">
        <f t="array" ref="BM22">IF(VLOOKUP($R22,武学奇术!$A:$ZZ,24,FALSE)=1,100%,MIN(40%,$B$10+VLOOKUP($R22,武学奇术!$A:$ZZ,19,FALSE)+SUM(_xlfn.XLOOKUP(S22:AG22,增益!$A:$A,增益!$S:$S,0)))+$B$12+SUM(_xlfn.XLOOKUP(S22:AG22,增益!$A:$A,增益!$V:$V,0)))*IF(VLOOKUP($R22,武学奇术!$A:$ZZ,23,FALSE)=1,0,1)</f>
        <v>0.0929</v>
      </c>
      <c r="BN22" s="26" cm="1">
        <f t="array" ref="BN22">1+$B$14+VLOOKUP($R22,武学奇术!$A:$ZZ,20,FALSE)+SUM(_xlfn.XLOOKUP(S22:AG22,增益!$A:$A,增益!$T:$T,0))</f>
        <v>1.35</v>
      </c>
      <c r="BO22" s="26">
        <f t="shared" si="8"/>
        <v>0.829926</v>
      </c>
      <c r="BP22" s="26">
        <f t="shared" si="9"/>
        <v>0.0599391</v>
      </c>
      <c r="BQ22" s="26">
        <f>IF(VLOOKUP($R22,武学奇术!$A:$ZZ,22,FALSE)=1,0,(1-$BJ22))*(1-$BM22)</f>
        <v>0.0172349</v>
      </c>
      <c r="BR22" s="26" cm="1">
        <f t="array" ref="BR22">SUM(_xlfn.XLOOKUP(S22:AG22,增益!$A:$A,增益!$W:$W,0))+$I$5</f>
        <v>0.11</v>
      </c>
    </row>
    <row r="23" spans="1:70">
      <c r="A23" s="39" t="s">
        <v>149</v>
      </c>
      <c r="B23">
        <v>200</v>
      </c>
      <c r="E23" s="39" t="s">
        <v>150</v>
      </c>
      <c r="F23" s="39"/>
      <c r="K23">
        <f>$L23*VLOOKUP($R23,武学奇术!$A:$ZZ,31,FALSE)</f>
        <v>86606.8994043679</v>
      </c>
      <c r="L23" s="38">
        <f t="shared" si="10"/>
        <v>82482.7613374933</v>
      </c>
      <c r="M23" s="38">
        <f>((($AO23+$AP23)/2*$AI23+$AJ23)*(1+$AQ23)*(1+$AR23)+(($AT23+$AU23)/2*IF($G$1="鸣金",$AK23,$AI23)+IF($G$1="鸣金",$AL23*1.5,0))*(1+$AV23)*(1+$AW23)+(($AX23+$AY23)/2*IF($G$1="裂石",$AK23,$AI23)+IF($G$1="裂石",$AL23*1.5,0))*(1+$AZ23)*(1+$BA23)+(($BB23+$BC23)/2*IF($G$1="牵丝",$AK23,$AI23)+IF($G$1="牵丝",$AL23*1.5,0))*(1+$BD23)*(1+$BE23)+(($BF23+$BG23)/2*IF($G$1="破竹",$AK23,$AI23)+IF($G$1="破竹",$AL23*1.5,0))*(1+$BH23)*(1+$BI23))*(1+$AM23)*$BL23*$Q23*(1+IF(VLOOKUP($R23,武学奇术!$A:$ZZ,30,FALSE)="回旋伞",$B$21,0))*(1+$BR23)</f>
        <v>87954.5743241754</v>
      </c>
      <c r="N23" s="38">
        <f>(($AP23*$AI23+$AJ23)*(1+$AQ23)*(1+$AR23)+($AU23*IF($G$1="鸣金",$AK23,$AI23)+IF($G$1="鸣金",$AL23*1.5,0))*(1+$AV23)*(1+$AW23)+($AY23*IF($G$1="裂石",$AK23,$AI23)+IF($G$1="裂石",$AL23*1.5,0))*(1+$AZ23)*(1+$BA23)+($BC23*IF($G$1="牵丝",$AK23,$AI23)+IF($G$1="牵丝",$AL23*1.5,0))*(1+$BD23)*(1+$BE23)+($BG23*IF($G$1="破竹",$AK23,$AI23)+IF($G$1="破竹",$AL23*1.5,0))*(1+$BH23)*(1+$BI23))*(1+$AM23)*$BN23*$Q23*(1+IF(VLOOKUP($R23,武学奇术!$A:$ZZ,30,FALSE)="回旋伞",$B$21,0))*(1+$BR23)</f>
        <v>66578.0496996268</v>
      </c>
      <c r="O23" s="38">
        <f>((($AO23+$AP23)/2*$AI23+$AJ23)*(1+$AQ23)*(1+$AR23)+(($AT23+$AU23)/2*IF($G$1="鸣金",$AK23,$AI23)+IF($G$1="鸣金",$AL23*1.5,0))*(1+$AV23)*(1+$AW23)+(($AX23+$AY23)/2*IF($G$1="裂石",$AK23,$AI23)+IF($G$1="裂石",$AL23*1.5,0))*(1+$AZ23)*(1+$BA23)+(($BB23+$BC23)/2*IF($G$1="牵丝",$AK23,$AI23)+IF($G$1="牵丝",$AL23*1.5,0))*(1+$BD23)*(1+$BE23)+(($BF23+$BG23)/2*IF($G$1="破竹",$AK23,$AI23)+IF($G$1="破竹",$AL23*1.5,0))*(1+$BH23)*(1+$BI23))*(1+$AM23)*$Q23*(1+IF(VLOOKUP($R23,武学奇术!$A:$ZZ,30,FALSE)="回旋伞",$B$21,0))*(1+$BR23)</f>
        <v>43977.2871620877</v>
      </c>
      <c r="P23" s="38">
        <f>((($AO23*$AI23+$AJ23)*(1+$AQ23)*(1+$AR23)+($AT23*IF($G$1="鸣金",$AK23,$AI23)+IF($G$1="鸣金",$AL23*1.5,0))*(1+$AV23)*(1+$AW23)+($AX23*IF($G$1="裂石",$AK23,$AI23)+IF($G$1="裂石",$AL23*1.5,0))*(1+$AZ23)*(1+$BA23)+($BB23*IF($G$1="牵丝",$AK23,$AI23)+IF($G$1="牵丝",$AL23*1.5,0))*(1+$BD23)*(1+$BE23)+($BF23*IF($G$1="破竹",$AK23,$AI23)+IF($G$1="破竹",$AL23*1.5,0))*(1+$BH23)*(1+$BI23))*(1+$AM23))*$Q23*(1+IF(VLOOKUP($R23,武学奇术!$A:$ZZ,30,FALSE)="回旋伞",$B$21,0))*(1+$BR23)</f>
        <v>38637.5004726</v>
      </c>
      <c r="Q23" s="39">
        <v>1</v>
      </c>
      <c r="R23" s="40" t="s">
        <v>108</v>
      </c>
      <c r="S23" s="40" t="s">
        <v>109</v>
      </c>
      <c r="T23" s="40" t="s">
        <v>95</v>
      </c>
      <c r="U23" s="40" t="s">
        <v>73</v>
      </c>
      <c r="V23" s="40" t="s">
        <v>81</v>
      </c>
      <c r="W23" s="40" t="s">
        <v>96</v>
      </c>
      <c r="X23" s="40" t="s">
        <v>99</v>
      </c>
      <c r="Y23" s="40" t="s">
        <v>84</v>
      </c>
      <c r="Z23" s="40" t="s">
        <v>72</v>
      </c>
      <c r="AA23" s="40" t="s">
        <v>72</v>
      </c>
      <c r="AB23" s="40" t="s">
        <v>126</v>
      </c>
      <c r="AC23" s="40" t="s">
        <v>85</v>
      </c>
      <c r="AD23" s="40" t="s">
        <v>72</v>
      </c>
      <c r="AE23" s="40" t="s">
        <v>72</v>
      </c>
      <c r="AF23" s="40" t="s">
        <v>77</v>
      </c>
      <c r="AG23" s="40" t="s">
        <v>78</v>
      </c>
      <c r="AH23" t="str">
        <f>VLOOKUP($R23,武学奇术!$A:$ZZ,25,FALSE)</f>
        <v>伞</v>
      </c>
      <c r="AI23" s="26">
        <f>VLOOKUP($R23,武学奇术!$A:$ZZ,26,FALSE)</f>
        <v>1.8084</v>
      </c>
      <c r="AJ23" s="27">
        <f>VLOOKUP($R23,武学奇术!$A:$ZZ,27,FALSE)*(1+IF(OR($AH23=$F$4,$AH23=$F$5),$B$22,0))</f>
        <v>750</v>
      </c>
      <c r="AK23" s="26">
        <f>VLOOKUP($R23,武学奇术!$A:$ZZ,28,FALSE)</f>
        <v>2.7126</v>
      </c>
      <c r="AL23" s="27">
        <f>VLOOKUP($R23,武学奇术!$A:$ZZ,29,FALSE)*(1+IF(OR($AH23=$F$4,$AH23=$F$5),$B$22,0))</f>
        <v>408</v>
      </c>
      <c r="AM23" s="26" cm="1">
        <f t="array" ref="AM23">$G$3+IFERROR(VLOOKUP($AH23,$F$4:$G$7,2,FALSE),0)+VLOOKUP($R23,武学奇术!$A:$ZZ,2,FALSE)+SUM(_xlfn.XLOOKUP($S23:$AG23,增益!$A:$A,增益!$B:$B,0))</f>
        <v>0.8541</v>
      </c>
      <c r="AN23" s="26" cm="1">
        <f t="array" ref="AN23">VLOOKUP($R23,武学奇术!$A:$ZZ,5,FALSE)+SUM(_xlfn.XLOOKUP($S23:$AG23,增益!$A:$A,增益!$E:$E,0))</f>
        <v>0</v>
      </c>
      <c r="AO23" cm="1">
        <f t="array" ref="AO23">$D$10*(1+$AN23)+VLOOKUP($R23,武学奇术!$A:$ZZ,3,FALSE)+SUM(_xlfn.XLOOKUP($S23:$AG23,增益!$A:$A,增益!$C:$C,0))-$I$2</f>
        <v>3624.6</v>
      </c>
      <c r="AP23" cm="1">
        <f t="array" ref="AP23">$E$10*(1+$AN23)+VLOOKUP($R23,武学奇术!$A:$ZZ,4,FALSE)+SUM(_xlfn.XLOOKUP($S23:$AG23,增益!$A:$A,增益!$D:$D,0))-$I$2</f>
        <v>3624.6</v>
      </c>
      <c r="AQ23" s="32" cm="1">
        <f t="array" ref="AQ23">IF($F$10-$I$3+VLOOKUP($R23,武学奇术!$A:$ZZ,6,FALSE)+SUM(_xlfn.XLOOKUP(S23:AG23,增益!$A:$A,增益!$F:$F,0))&gt;0,($F$10-$I$3+VLOOKUP($R23,武学奇术!$A:$ZZ,6,FALSE)+SUM(_xlfn.XLOOKUP(S23:AG23,增益!$A:$A,增益!$F:$F,0)))/200,($F$10-$I$3+VLOOKUP($R23,武学奇术!$A:$ZZ,6,FALSE)+SUM(_xlfn.XLOOKUP(S23:AG23,增益!$A:$A,增益!$F:$F,0)))/100)</f>
        <v>0.3425</v>
      </c>
      <c r="AR23" s="32" cm="1">
        <f t="array" ref="AR23">$G$10+VLOOKUP($R23,武学奇术!$A:$ZZ,7,FALSE)+SUM(_xlfn.XLOOKUP(S23:AG23,增益!$A:$A,增益!$G:$G,0))</f>
        <v>0.148</v>
      </c>
      <c r="AS23" s="26" cm="1">
        <f t="array" ref="AS23">VLOOKUP($R23,武学奇术!$A:$ZZ,8,FALSE)+SUM(_xlfn.XLOOKUP(S23:AG23,增益!$A:$A,增益!$H:$H,0))</f>
        <v>0</v>
      </c>
      <c r="AT23">
        <f t="shared" si="0"/>
        <v>0</v>
      </c>
      <c r="AU23">
        <f t="shared" si="1"/>
        <v>0</v>
      </c>
      <c r="AV23" s="32" cm="1">
        <f t="array" ref="AV23">IF($F$11-$I$4+VLOOKUP($R23,武学奇术!$A:$ZZ,9,FALSE)+SUM(_xlfn.XLOOKUP(S23:AG23,增益!$A:$A,增益!$I:$I,0))&gt;0,($F$11-$I$4+VLOOKUP($R23,武学奇术!$A:$ZZ,9,FALSE)+SUM(_xlfn.XLOOKUP(S23:AG23,增益!$A:$A,增益!$I:$I,0)))/200,($F$11-$I$4+VLOOKUP($R23,武学奇术!$A:$ZZ,9,FALSE)+SUM(_xlfn.XLOOKUP(S23:AG23,增益!$A:$A,增益!$I:$I,0)))/100)</f>
        <v>-0.14</v>
      </c>
      <c r="AW23" s="32" cm="1">
        <f t="array" ref="AW23">$G$11+VLOOKUP($R23,武学奇术!$A:$ZZ,10,FALSE)+SUM(_xlfn.XLOOKUP(S23:AG23,增益!$A:$A,增益!$J:$J,0))</f>
        <v>0</v>
      </c>
      <c r="AX23">
        <f t="shared" si="2"/>
        <v>0</v>
      </c>
      <c r="AY23">
        <f t="shared" si="3"/>
        <v>0</v>
      </c>
      <c r="AZ23" s="32" cm="1">
        <f t="array" ref="AZ23">IF($F$12-$I$4+VLOOKUP($R23,武学奇术!$A:$ZZ,11,FALSE)+SUM(_xlfn.XLOOKUP(S23:AG23,增益!$A:$A,增益!$K:$K,0))&gt;0,($F$12-$I$4+VLOOKUP($R23,武学奇术!$A:$ZZ,11,FALSE)+SUM(_xlfn.XLOOKUP(S23:AG23,增益!$A:$A,增益!$K:$K,0)))/200,($F$12-$I$4+VLOOKUP($R23,武学奇术!$A:$ZZ,11,FALSE)+SUM(_xlfn.XLOOKUP(S23:AG23,增益!$A:$A,增益!$K:$K,0)))/100)</f>
        <v>-0.14</v>
      </c>
      <c r="BA23" s="32" cm="1">
        <f t="array" ref="BA23">$G$12+VLOOKUP($R23,武学奇术!$A:$ZZ,12,FALSE)+SUM(_xlfn.XLOOKUP(S23:AG23,增益!$A:$A,增益!$L:$L,0))</f>
        <v>0</v>
      </c>
      <c r="BB23">
        <f t="shared" si="4"/>
        <v>0</v>
      </c>
      <c r="BC23">
        <f t="shared" si="5"/>
        <v>0</v>
      </c>
      <c r="BD23" s="32" cm="1">
        <f t="array" ref="BD23">IF($F$13-$I$4+VLOOKUP($R23,武学奇术!$A:$ZZ,13,FALSE)+SUM(_xlfn.XLOOKUP(S23:AG23,增益!$A:$A,增益!$M:$M,0))&gt;0,($F$13-$I$4+VLOOKUP($R23,武学奇术!$A:$ZZ,13,FALSE)+SUM(_xlfn.XLOOKUP(S23:AG23,增益!$A:$A,增益!$K:$K,0)))/200,($F$13-$I$4+VLOOKUP($R23,武学奇术!$A:$ZZ,13,FALSE)+SUM(_xlfn.XLOOKUP(S23:AG23,增益!$A:$A,增益!$M:$M,0)))/100)</f>
        <v>-0.14</v>
      </c>
      <c r="BE23" s="32" cm="1">
        <f t="array" ref="BE23">$G$13+VLOOKUP($R23,武学奇术!$A:$ZZ,14,FALSE)+SUM(_xlfn.XLOOKUP(S23:AG23,增益!$A:$A,增益!$N:$N,0))</f>
        <v>0</v>
      </c>
      <c r="BF23">
        <f t="shared" si="6"/>
        <v>571.2</v>
      </c>
      <c r="BG23">
        <f t="shared" si="7"/>
        <v>1627.8</v>
      </c>
      <c r="BH23" s="32" cm="1">
        <f t="array" ref="BH23">IF($F$14-$I$4+VLOOKUP($R23,武学奇术!$A:$ZZ,15,FALSE)+SUM(_xlfn.XLOOKUP(S23:AG23,增益!$A:$A,增益!$O:$O,0))&gt;0,($F$14-$I$4+VLOOKUP($R23,武学奇术!$A:$ZZ,15,FALSE)+SUM(_xlfn.XLOOKUP(S23:AG23,增益!$A:$A,增益!$O:$O,0)))/200,($F$14-$I$4+VLOOKUP($R23,武学奇术!$A:$ZZ,15,FALSE)+SUM(_xlfn.XLOOKUP(S23:AG23,增益!$A:$A,增益!$O:$O,0)))/100)</f>
        <v>0.08</v>
      </c>
      <c r="BI23" s="32" cm="1">
        <f t="array" ref="BI23">$G$14+VLOOKUP($R23,武学奇术!$A:$ZZ,16,FALSE)+SUM(_xlfn.XLOOKUP(S23:AG23,增益!$A:$A,增益!$P:$P,0))</f>
        <v>0.27</v>
      </c>
      <c r="BJ23" s="26">
        <f>MIN(IF(VLOOKUP($R23,武学奇术!$A:$ZZ,23,FALSE)=1,100%,$B$8),100%)</f>
        <v>0.981</v>
      </c>
      <c r="BK23" s="26" cm="1">
        <f t="array" ref="BK23">IF(VLOOKUP($R23,武学奇术!$A:$ZZ,23,FALSE)=1,100%,MIN(80%,$B$9+VLOOKUP($R23,武学奇术!$A:$ZZ,17,FALSE)+SUM(_xlfn.XLOOKUP(S23:AG23,增益!$A:$A,增益!$Q:$Q,0)))+$B$11+SUM(_xlfn.XLOOKUP(S23:AG23,增益!$A:$A,增益!$U:$U,0)))*IF(VLOOKUP($R23,武学奇术!$A:$ZZ,24,FALSE)=1,0,1)</f>
        <v>0.846</v>
      </c>
      <c r="BL23" s="26" cm="1">
        <f t="array" ref="BL23">1+$B$13+VLOOKUP($R23,武学奇术!$A:$ZZ,18,FALSE)+SUM(_xlfn.XLOOKUP(S23:AG23,增益!$A:$A,增益!$R:$R,0))</f>
        <v>2</v>
      </c>
      <c r="BM23" s="26" cm="1">
        <f t="array" ref="BM23">IF(VLOOKUP($R23,武学奇术!$A:$ZZ,24,FALSE)=1,100%,MIN(40%,$B$10+VLOOKUP($R23,武学奇术!$A:$ZZ,19,FALSE)+SUM(_xlfn.XLOOKUP(S23:AG23,增益!$A:$A,增益!$S:$S,0)))+$B$12+SUM(_xlfn.XLOOKUP(S23:AG23,增益!$A:$A,增益!$V:$V,0)))*IF(VLOOKUP($R23,武学奇术!$A:$ZZ,23,FALSE)=1,0,1)</f>
        <v>0.0929</v>
      </c>
      <c r="BN23" s="26" cm="1">
        <f t="array" ref="BN23">1+$B$14+VLOOKUP($R23,武学奇术!$A:$ZZ,20,FALSE)+SUM(_xlfn.XLOOKUP(S23:AG23,增益!$A:$A,增益!$T:$T,0))</f>
        <v>1.35</v>
      </c>
      <c r="BO23" s="26">
        <f t="shared" si="8"/>
        <v>0.829926</v>
      </c>
      <c r="BP23" s="26">
        <f t="shared" si="9"/>
        <v>0.0599391</v>
      </c>
      <c r="BQ23" s="26">
        <f>IF(VLOOKUP($R23,武学奇术!$A:$ZZ,22,FALSE)=1,0,(1-$BJ23))*(1-$BM23)</f>
        <v>0.0172349</v>
      </c>
      <c r="BR23" s="26" cm="1">
        <f t="array" ref="BR23">SUM(_xlfn.XLOOKUP(S23:AG23,增益!$A:$A,增益!$W:$W,0))+$I$5</f>
        <v>0.11</v>
      </c>
    </row>
    <row r="24" spans="1:70">
      <c r="A24" s="39"/>
      <c r="B24">
        <v>400</v>
      </c>
      <c r="E24" s="40" t="s">
        <v>151</v>
      </c>
      <c r="F24" s="40"/>
      <c r="K24">
        <f>$L24*VLOOKUP($R24,武学奇术!$A:$ZZ,31,FALSE)</f>
        <v>50288.6246288226</v>
      </c>
      <c r="L24" s="38">
        <f t="shared" si="10"/>
        <v>47893.9282179262</v>
      </c>
      <c r="M24" s="38">
        <f>((($AO24+$AP24)/2*$AI24+$AJ24)*(1+$AQ24)*(1+$AR24)+(($AT24+$AU24)/2*IF($G$1="鸣金",$AK24,$AI24)+IF($G$1="鸣金",$AL24*1.5,0))*(1+$AV24)*(1+$AW24)+(($AX24+$AY24)/2*IF($G$1="裂石",$AK24,$AI24)+IF($G$1="裂石",$AL24*1.5,0))*(1+$AZ24)*(1+$BA24)+(($BB24+$BC24)/2*IF($G$1="牵丝",$AK24,$AI24)+IF($G$1="牵丝",$AL24*1.5,0))*(1+$BD24)*(1+$BE24)+(($BF24+$BG24)/2*IF($G$1="破竹",$AK24,$AI24)+IF($G$1="破竹",$AL24*1.5,0))*(1+$BH24)*(1+$BI24))*(1+$AM24)*$BL24*$Q24*(1+IF(VLOOKUP($R24,武学奇术!$A:$ZZ,30,FALSE)="回旋伞",$B$21,0))*(1+$BR24)</f>
        <v>51020.9233180782</v>
      </c>
      <c r="N24" s="38">
        <f>(($AP24*$AI24+$AJ24)*(1+$AQ24)*(1+$AR24)+($AU24*IF($G$1="鸣金",$AK24,$AI24)+IF($G$1="鸣金",$AL24*1.5,0))*(1+$AV24)*(1+$AW24)+($AY24*IF($G$1="裂石",$AK24,$AI24)+IF($G$1="裂石",$AL24*1.5,0))*(1+$AZ24)*(1+$BA24)+($BC24*IF($G$1="牵丝",$AK24,$AI24)+IF($G$1="牵丝",$AL24*1.5,0))*(1+$BD24)*(1+$BE24)+($BG24*IF($G$1="破竹",$AK24,$AI24)+IF($G$1="破竹",$AL24*1.5,0))*(1+$BH24)*(1+$BI24))*(1+$AM24)*$BN24*$Q24*(1+IF(VLOOKUP($R24,武学奇术!$A:$ZZ,30,FALSE)="回旋伞",$B$21,0))*(1+$BR24)</f>
        <v>39208.650800919</v>
      </c>
      <c r="O24" s="38">
        <f>((($AO24+$AP24)/2*$AI24+$AJ24)*(1+$AQ24)*(1+$AR24)+(($AT24+$AU24)/2*IF($G$1="鸣金",$AK24,$AI24)+IF($G$1="鸣金",$AL24*1.5,0))*(1+$AV24)*(1+$AW24)+(($AX24+$AY24)/2*IF($G$1="裂石",$AK24,$AI24)+IF($G$1="裂石",$AL24*1.5,0))*(1+$AZ24)*(1+$BA24)+(($BB24+$BC24)/2*IF($G$1="牵丝",$AK24,$AI24)+IF($G$1="牵丝",$AL24*1.5,0))*(1+$BD24)*(1+$BE24)+(($BF24+$BG24)/2*IF($G$1="破竹",$AK24,$AI24)+IF($G$1="破竹",$AL24*1.5,0))*(1+$BH24)*(1+$BI24))*(1+$AM24)*$Q24*(1+IF(VLOOKUP($R24,武学奇术!$A:$ZZ,30,FALSE)="回旋伞",$B$21,0))*(1+$BR24)</f>
        <v>25510.4616590391</v>
      </c>
      <c r="P24" s="38">
        <f>((($AO24*$AI24+$AJ24)*(1+$AQ24)*(1+$AR24)+($AT24*IF($G$1="鸣金",$AK24,$AI24)+IF($G$1="鸣金",$AL24*1.5,0))*(1+$AV24)*(1+$AW24)+($AX24*IF($G$1="裂石",$AK24,$AI24)+IF($G$1="裂石",$AL24*1.5,0))*(1+$AZ24)*(1+$BA24)+($BB24*IF($G$1="牵丝",$AK24,$AI24)+IF($G$1="牵丝",$AL24*1.5,0))*(1+$BD24)*(1+$BE24)+($BF24*IF($G$1="破竹",$AK24,$AI24)+IF($G$1="破竹",$AL24*1.5,0))*(1+$BH24)*(1+$BI24))*(1+$AM24))*$Q24*(1+IF(VLOOKUP($R24,武学奇术!$A:$ZZ,30,FALSE)="回旋伞",$B$21,0))*(1+$BR24)</f>
        <v>21977.4782803604</v>
      </c>
      <c r="Q24" s="39">
        <v>2</v>
      </c>
      <c r="R24" s="40" t="s">
        <v>112</v>
      </c>
      <c r="S24" s="40" t="s">
        <v>109</v>
      </c>
      <c r="T24" s="40" t="s">
        <v>95</v>
      </c>
      <c r="U24" s="40" t="s">
        <v>73</v>
      </c>
      <c r="V24" s="40" t="s">
        <v>81</v>
      </c>
      <c r="W24" s="40" t="s">
        <v>96</v>
      </c>
      <c r="X24" s="40" t="s">
        <v>99</v>
      </c>
      <c r="Y24" s="40" t="s">
        <v>84</v>
      </c>
      <c r="Z24" s="40" t="s">
        <v>72</v>
      </c>
      <c r="AA24" s="40" t="s">
        <v>72</v>
      </c>
      <c r="AB24" s="40" t="s">
        <v>126</v>
      </c>
      <c r="AC24" s="40" t="s">
        <v>85</v>
      </c>
      <c r="AD24" s="40" t="s">
        <v>72</v>
      </c>
      <c r="AE24" s="40" t="s">
        <v>72</v>
      </c>
      <c r="AF24" s="40" t="s">
        <v>77</v>
      </c>
      <c r="AG24" s="40" t="s">
        <v>78</v>
      </c>
      <c r="AH24" t="str">
        <f>VLOOKUP($R24,武学奇术!$A:$ZZ,25,FALSE)</f>
        <v>伞</v>
      </c>
      <c r="AI24" s="26">
        <f>VLOOKUP($R24,武学奇术!$A:$ZZ,26,FALSE)</f>
        <v>0.54</v>
      </c>
      <c r="AJ24" s="27">
        <f>VLOOKUP($R24,武学奇术!$A:$ZZ,27,FALSE)*(1+IF(OR($AH24=$F$4,$AH24=$F$5),$B$22,0))</f>
        <v>0</v>
      </c>
      <c r="AK24" s="26">
        <f>VLOOKUP($R24,武学奇术!$A:$ZZ,28,FALSE)</f>
        <v>0.81</v>
      </c>
      <c r="AL24" s="27">
        <f>VLOOKUP($R24,武学奇术!$A:$ZZ,29,FALSE)*(1+IF(OR($AH24=$F$4,$AH24=$F$5),$B$22,0))</f>
        <v>0</v>
      </c>
      <c r="AM24" s="26" cm="1">
        <f t="array" ref="AM24">$G$3+IFERROR(VLOOKUP($AH24,$F$4:$G$7,2,FALSE),0)+VLOOKUP($R24,武学奇术!$A:$ZZ,2,FALSE)+SUM(_xlfn.XLOOKUP($S24:$AG24,增益!$A:$A,增益!$B:$B,0))</f>
        <v>1.0541</v>
      </c>
      <c r="AN24" s="26" cm="1">
        <f t="array" ref="AN24">VLOOKUP($R24,武学奇术!$A:$ZZ,5,FALSE)+SUM(_xlfn.XLOOKUP($S24:$AG24,增益!$A:$A,增益!$E:$E,0))</f>
        <v>0</v>
      </c>
      <c r="AO24" cm="1">
        <f t="array" ref="AO24">$D$10*(1+$AN24)+VLOOKUP($R24,武学奇术!$A:$ZZ,3,FALSE)+SUM(_xlfn.XLOOKUP($S24:$AG24,增益!$A:$A,增益!$C:$C,0))-$I$2</f>
        <v>3624.6</v>
      </c>
      <c r="AP24" cm="1">
        <f t="array" ref="AP24">$E$10*(1+$AN24)+VLOOKUP($R24,武学奇术!$A:$ZZ,4,FALSE)+SUM(_xlfn.XLOOKUP($S24:$AG24,增益!$A:$A,增益!$D:$D,0))-$I$2</f>
        <v>3624.6</v>
      </c>
      <c r="AQ24" s="32" cm="1">
        <f t="array" ref="AQ24">IF($F$10-$I$3+VLOOKUP($R24,武学奇术!$A:$ZZ,6,FALSE)+SUM(_xlfn.XLOOKUP(S24:AG24,增益!$A:$A,增益!$F:$F,0))&gt;0,($F$10-$I$3+VLOOKUP($R24,武学奇术!$A:$ZZ,6,FALSE)+SUM(_xlfn.XLOOKUP(S24:AG24,增益!$A:$A,增益!$F:$F,0)))/200,($F$10-$I$3+VLOOKUP($R24,武学奇术!$A:$ZZ,6,FALSE)+SUM(_xlfn.XLOOKUP(S24:AG24,增益!$A:$A,增益!$F:$F,0)))/100)</f>
        <v>0.3425</v>
      </c>
      <c r="AR24" s="32" cm="1">
        <f t="array" ref="AR24">$G$10+VLOOKUP($R24,武学奇术!$A:$ZZ,7,FALSE)+SUM(_xlfn.XLOOKUP(S24:AG24,增益!$A:$A,增益!$G:$G,0))</f>
        <v>0.148</v>
      </c>
      <c r="AS24" s="26" cm="1">
        <f t="array" ref="AS24">VLOOKUP($R24,武学奇术!$A:$ZZ,8,FALSE)+SUM(_xlfn.XLOOKUP(S24:AG24,增益!$A:$A,增益!$H:$H,0))</f>
        <v>0</v>
      </c>
      <c r="AT24">
        <f t="shared" si="0"/>
        <v>0</v>
      </c>
      <c r="AU24">
        <f t="shared" si="1"/>
        <v>0</v>
      </c>
      <c r="AV24" s="32" cm="1">
        <f t="array" ref="AV24">IF($F$11-$I$4+VLOOKUP($R24,武学奇术!$A:$ZZ,9,FALSE)+SUM(_xlfn.XLOOKUP(S24:AG24,增益!$A:$A,增益!$I:$I,0))&gt;0,($F$11-$I$4+VLOOKUP($R24,武学奇术!$A:$ZZ,9,FALSE)+SUM(_xlfn.XLOOKUP(S24:AG24,增益!$A:$A,增益!$I:$I,0)))/200,($F$11-$I$4+VLOOKUP($R24,武学奇术!$A:$ZZ,9,FALSE)+SUM(_xlfn.XLOOKUP(S24:AG24,增益!$A:$A,增益!$I:$I,0)))/100)</f>
        <v>-0.14</v>
      </c>
      <c r="AW24" s="32" cm="1">
        <f t="array" ref="AW24">$G$11+VLOOKUP($R24,武学奇术!$A:$ZZ,10,FALSE)+SUM(_xlfn.XLOOKUP(S24:AG24,增益!$A:$A,增益!$J:$J,0))</f>
        <v>0</v>
      </c>
      <c r="AX24">
        <f t="shared" si="2"/>
        <v>0</v>
      </c>
      <c r="AY24">
        <f t="shared" si="3"/>
        <v>0</v>
      </c>
      <c r="AZ24" s="32" cm="1">
        <f t="array" ref="AZ24">IF($F$12-$I$4+VLOOKUP($R24,武学奇术!$A:$ZZ,11,FALSE)+SUM(_xlfn.XLOOKUP(S24:AG24,增益!$A:$A,增益!$K:$K,0))&gt;0,($F$12-$I$4+VLOOKUP($R24,武学奇术!$A:$ZZ,11,FALSE)+SUM(_xlfn.XLOOKUP(S24:AG24,增益!$A:$A,增益!$K:$K,0)))/200,($F$12-$I$4+VLOOKUP($R24,武学奇术!$A:$ZZ,11,FALSE)+SUM(_xlfn.XLOOKUP(S24:AG24,增益!$A:$A,增益!$K:$K,0)))/100)</f>
        <v>-0.14</v>
      </c>
      <c r="BA24" s="32" cm="1">
        <f t="array" ref="BA24">$G$12+VLOOKUP($R24,武学奇术!$A:$ZZ,12,FALSE)+SUM(_xlfn.XLOOKUP(S24:AG24,增益!$A:$A,增益!$L:$L,0))</f>
        <v>0</v>
      </c>
      <c r="BB24">
        <f t="shared" si="4"/>
        <v>0</v>
      </c>
      <c r="BC24">
        <f t="shared" si="5"/>
        <v>0</v>
      </c>
      <c r="BD24" s="32" cm="1">
        <f t="array" ref="BD24">IF($F$13-$I$4+VLOOKUP($R24,武学奇术!$A:$ZZ,13,FALSE)+SUM(_xlfn.XLOOKUP(S24:AG24,增益!$A:$A,增益!$M:$M,0))&gt;0,($F$13-$I$4+VLOOKUP($R24,武学奇术!$A:$ZZ,13,FALSE)+SUM(_xlfn.XLOOKUP(S24:AG24,增益!$A:$A,增益!$K:$K,0)))/200,($F$13-$I$4+VLOOKUP($R24,武学奇术!$A:$ZZ,13,FALSE)+SUM(_xlfn.XLOOKUP(S24:AG24,增益!$A:$A,增益!$M:$M,0)))/100)</f>
        <v>-0.14</v>
      </c>
      <c r="BE24" s="32" cm="1">
        <f t="array" ref="BE24">$G$13+VLOOKUP($R24,武学奇术!$A:$ZZ,14,FALSE)+SUM(_xlfn.XLOOKUP(S24:AG24,增益!$A:$A,增益!$N:$N,0))</f>
        <v>0</v>
      </c>
      <c r="BF24">
        <f t="shared" si="6"/>
        <v>571.2</v>
      </c>
      <c r="BG24">
        <f t="shared" si="7"/>
        <v>1627.8</v>
      </c>
      <c r="BH24" s="32" cm="1">
        <f t="array" ref="BH24">IF($F$14-$I$4+VLOOKUP($R24,武学奇术!$A:$ZZ,15,FALSE)+SUM(_xlfn.XLOOKUP(S24:AG24,增益!$A:$A,增益!$O:$O,0))&gt;0,($F$14-$I$4+VLOOKUP($R24,武学奇术!$A:$ZZ,15,FALSE)+SUM(_xlfn.XLOOKUP(S24:AG24,增益!$A:$A,增益!$O:$O,0)))/200,($F$14-$I$4+VLOOKUP($R24,武学奇术!$A:$ZZ,15,FALSE)+SUM(_xlfn.XLOOKUP(S24:AG24,增益!$A:$A,增益!$O:$O,0)))/100)</f>
        <v>0.08</v>
      </c>
      <c r="BI24" s="32" cm="1">
        <f t="array" ref="BI24">$G$14+VLOOKUP($R24,武学奇术!$A:$ZZ,16,FALSE)+SUM(_xlfn.XLOOKUP(S24:AG24,增益!$A:$A,增益!$P:$P,0))</f>
        <v>0.27</v>
      </c>
      <c r="BJ24" s="26">
        <f>MIN(IF(VLOOKUP($R24,武学奇术!$A:$ZZ,23,FALSE)=1,100%,$B$8),100%)</f>
        <v>0.981</v>
      </c>
      <c r="BK24" s="26" cm="1">
        <f t="array" ref="BK24">IF(VLOOKUP($R24,武学奇术!$A:$ZZ,23,FALSE)=1,100%,MIN(80%,$B$9+VLOOKUP($R24,武学奇术!$A:$ZZ,17,FALSE)+SUM(_xlfn.XLOOKUP(S24:AG24,增益!$A:$A,增益!$Q:$Q,0)))+$B$11+SUM(_xlfn.XLOOKUP(S24:AG24,增益!$A:$A,增益!$U:$U,0)))*IF(VLOOKUP($R24,武学奇术!$A:$ZZ,24,FALSE)=1,0,1)</f>
        <v>0.846</v>
      </c>
      <c r="BL24" s="26" cm="1">
        <f t="array" ref="BL24">1+$B$13+VLOOKUP($R24,武学奇术!$A:$ZZ,18,FALSE)+SUM(_xlfn.XLOOKUP(S24:AG24,增益!$A:$A,增益!$R:$R,0))</f>
        <v>2</v>
      </c>
      <c r="BM24" s="26" cm="1">
        <f t="array" ref="BM24">IF(VLOOKUP($R24,武学奇术!$A:$ZZ,24,FALSE)=1,100%,MIN(40%,$B$10+VLOOKUP($R24,武学奇术!$A:$ZZ,19,FALSE)+SUM(_xlfn.XLOOKUP(S24:AG24,增益!$A:$A,增益!$S:$S,0)))+$B$12+SUM(_xlfn.XLOOKUP(S24:AG24,增益!$A:$A,增益!$V:$V,0)))*IF(VLOOKUP($R24,武学奇术!$A:$ZZ,23,FALSE)=1,0,1)</f>
        <v>0.0929</v>
      </c>
      <c r="BN24" s="26" cm="1">
        <f t="array" ref="BN24">1+$B$14+VLOOKUP($R24,武学奇术!$A:$ZZ,20,FALSE)+SUM(_xlfn.XLOOKUP(S24:AG24,增益!$A:$A,增益!$T:$T,0))</f>
        <v>1.35</v>
      </c>
      <c r="BO24" s="26">
        <f t="shared" si="8"/>
        <v>0.829926</v>
      </c>
      <c r="BP24" s="26">
        <f t="shared" si="9"/>
        <v>0.0599391</v>
      </c>
      <c r="BQ24" s="26">
        <f>IF(VLOOKUP($R24,武学奇术!$A:$ZZ,22,FALSE)=1,0,(1-$BJ24))*(1-$BM24)</f>
        <v>0.0172349</v>
      </c>
      <c r="BR24" s="26" cm="1">
        <f t="array" ref="BR24">SUM(_xlfn.XLOOKUP(S24:AG24,增益!$A:$A,增益!$W:$W,0))+$I$5</f>
        <v>0.11</v>
      </c>
    </row>
    <row r="25" spans="1:70">
      <c r="K25">
        <f>$L25*VLOOKUP($R25,武学奇术!$A:$ZZ,31,FALSE)</f>
        <v>102314.257955479</v>
      </c>
      <c r="L25" s="38">
        <f>($M25*$BO25+$N25*$BM25+$O25*$BP25+$P25*$BQ25)</f>
        <v>97442.1504337893</v>
      </c>
      <c r="M25" s="38">
        <f>((($AO25+$AP25)/2*$AI25+$AJ25)*(1+$AQ25)*(1+$AR25)+(($AT25+$AU25)/2*IF($G$1="鸣金",$AK25,$AI25)+IF($G$1="鸣金",$AL25*1.5,0))*(1+$AV25)*(1+$AW25)+(($AX25+$AY25)/2*IF($G$1="裂石",$AK25,$AI25)+IF($G$1="裂石",$AL25*1.5,0))*(1+$AZ25)*(1+$BA25)+(($BB25+$BC25)/2*IF($G$1="牵丝",$AK25,$AI25)+IF($G$1="牵丝",$AL25*1.5,0))*(1+$BD25)*(1+$BE25)+(($BF25+$BG25)/2*IF($G$1="破竹",$AK25,$AI25)+IF($G$1="破竹",$AL25*1.5,0))*(1+$BH25)*(1+$BI25))*(1+$AM25)*$BL25*$Q25*(1+IF(VLOOKUP($R25,武学奇术!$A:$ZZ,30,FALSE)="回旋伞",$B$21,0))*(1+$BR25)</f>
        <v>97442.1504337893</v>
      </c>
      <c r="N25" s="38">
        <f>(($AP25*$AI25+$AJ25)*(1+$AQ25)*(1+$AR25)+($AU25*IF($G$1="鸣金",$AK25,$AI25)+IF($G$1="鸣金",$AL25*1.5,0))*(1+$AV25)*(1+$AW25)+($AY25*IF($G$1="裂石",$AK25,$AI25)+IF($G$1="裂石",$AL25*1.5,0))*(1+$AZ25)*(1+$BA25)+($BC25*IF($G$1="牵丝",$AK25,$AI25)+IF($G$1="牵丝",$AL25*1.5,0))*(1+$BD25)*(1+$BE25)+($BG25*IF($G$1="破竹",$AK25,$AI25)+IF($G$1="破竹",$AL25*1.5,0))*(1+$BH25)*(1+$BI25))*(1+$AM25)*$BN25*$Q25*(1+IF(VLOOKUP($R25,武学奇术!$A:$ZZ,30,FALSE)="回旋伞",$B$21,0))*(1+$BR25)</f>
        <v>73759.7604703109</v>
      </c>
      <c r="O25" s="38">
        <f>((($AO25+$AP25)/2*$AI25+$AJ25)*(1+$AQ25)*(1+$AR25)+(($AT25+$AU25)/2*IF($G$1="鸣金",$AK25,$AI25)+IF($G$1="鸣金",$AL25*1.5,0))*(1+$AV25)*(1+$AW25)+(($AX25+$AY25)/2*IF($G$1="裂石",$AK25,$AI25)+IF($G$1="裂石",$AL25*1.5,0))*(1+$AZ25)*(1+$BA25)+(($BB25+$BC25)/2*IF($G$1="牵丝",$AK25,$AI25)+IF($G$1="牵丝",$AL25*1.5,0))*(1+$BD25)*(1+$BE25)+(($BF25+$BG25)/2*IF($G$1="破竹",$AK25,$AI25)+IF($G$1="破竹",$AL25*1.5,0))*(1+$BH25)*(1+$BI25))*(1+$AM25)*$Q25*(1+IF(VLOOKUP($R25,武学奇术!$A:$ZZ,30,FALSE)="回旋伞",$B$21,0))*(1+$BR25)</f>
        <v>48721.0752168947</v>
      </c>
      <c r="P25" s="38">
        <f>((($AO25*$AI25+$AJ25)*(1+$AQ25)*(1+$AR25)+($AT25*IF($G$1="鸣金",$AK25,$AI25)+IF($G$1="鸣金",$AL25*1.5,0))*(1+$AV25)*(1+$AW25)+($AX25*IF($G$1="裂石",$AK25,$AI25)+IF($G$1="裂石",$AL25*1.5,0))*(1+$AZ25)*(1+$BA25)+($BB25*IF($G$1="牵丝",$AK25,$AI25)+IF($G$1="牵丝",$AL25*1.5,0))*(1+$BD25)*(1+$BE25)+($BF25*IF($G$1="破竹",$AK25,$AI25)+IF($G$1="破竹",$AL25*1.5,0))*(1+$BH25)*(1+$BI25))*(1+$AM25))*$Q25*(1+IF(VLOOKUP($R25,武学奇术!$A:$ZZ,30,FALSE)="回旋伞",$B$21,0))*(1+$BR25)</f>
        <v>42805.2908261516</v>
      </c>
      <c r="Q25" s="39">
        <v>1</v>
      </c>
      <c r="R25" s="40" t="s">
        <v>125</v>
      </c>
      <c r="S25" s="40" t="s">
        <v>109</v>
      </c>
      <c r="T25" s="40" t="s">
        <v>95</v>
      </c>
      <c r="U25" s="40" t="s">
        <v>73</v>
      </c>
      <c r="V25" s="40" t="s">
        <v>81</v>
      </c>
      <c r="W25" s="40" t="s">
        <v>96</v>
      </c>
      <c r="X25" s="40" t="s">
        <v>99</v>
      </c>
      <c r="Y25" s="40" t="s">
        <v>84</v>
      </c>
      <c r="Z25" s="40" t="s">
        <v>72</v>
      </c>
      <c r="AA25" s="40" t="s">
        <v>72</v>
      </c>
      <c r="AB25" s="40" t="s">
        <v>126</v>
      </c>
      <c r="AC25" s="40" t="s">
        <v>85</v>
      </c>
      <c r="AD25" s="40" t="s">
        <v>72</v>
      </c>
      <c r="AE25" s="40" t="s">
        <v>72</v>
      </c>
      <c r="AF25" s="40" t="s">
        <v>77</v>
      </c>
      <c r="AG25" s="40" t="s">
        <v>78</v>
      </c>
      <c r="AH25" t="str">
        <f>VLOOKUP($R25,武学奇术!$A:$ZZ,25,FALSE)</f>
        <v>伞</v>
      </c>
      <c r="AI25" s="26">
        <f>VLOOKUP($R25,武学奇术!$A:$ZZ,26,FALSE)</f>
        <v>1.8084</v>
      </c>
      <c r="AJ25" s="27">
        <f>VLOOKUP($R25,武学奇术!$A:$ZZ,27,FALSE)*(1+IF(OR($AH25=$F$4,$AH25=$F$5),$B$22,0))</f>
        <v>750</v>
      </c>
      <c r="AK25" s="26">
        <f>VLOOKUP($R25,武学奇术!$A:$ZZ,28,FALSE)</f>
        <v>2.7126</v>
      </c>
      <c r="AL25" s="27">
        <f>VLOOKUP($R25,武学奇术!$A:$ZZ,29,FALSE)*(1+IF(OR($AH25=$F$4,$AH25=$F$5),$B$22,0))</f>
        <v>408</v>
      </c>
      <c r="AM25" s="26" cm="1">
        <f t="array" ref="AM25">$G$3+IFERROR(VLOOKUP($AH25,$F$4:$G$7,2,FALSE),0)+VLOOKUP($R25,武学奇术!$A:$ZZ,2,FALSE)+SUM(_xlfn.XLOOKUP($S25:$AG25,增益!$A:$A,增益!$B:$B,0))</f>
        <v>1.0541</v>
      </c>
      <c r="AN25" s="26" cm="1">
        <f t="array" ref="AN25">VLOOKUP($R25,武学奇术!$A:$ZZ,5,FALSE)+SUM(_xlfn.XLOOKUP($S25:$AG25,增益!$A:$A,增益!$E:$E,0))</f>
        <v>0</v>
      </c>
      <c r="AO25" cm="1">
        <f t="array" ref="AO25">$D$10*(1+$AN25)+VLOOKUP($R25,武学奇术!$A:$ZZ,3,FALSE)+SUM(_xlfn.XLOOKUP($S25:$AG25,增益!$A:$A,增益!$C:$C,0))-$I$2</f>
        <v>3624.6</v>
      </c>
      <c r="AP25" cm="1">
        <f t="array" ref="AP25">$E$10*(1+$AN25)+VLOOKUP($R25,武学奇术!$A:$ZZ,4,FALSE)+SUM(_xlfn.XLOOKUP($S25:$AG25,增益!$A:$A,增益!$D:$D,0))-$I$2</f>
        <v>3624.6</v>
      </c>
      <c r="AQ25" s="32" cm="1">
        <f t="array" ref="AQ25">IF($F$10-$I$3+VLOOKUP($R25,武学奇术!$A:$ZZ,6,FALSE)+SUM(_xlfn.XLOOKUP(S25:AG25,增益!$A:$A,增益!$F:$F,0))&gt;0,($F$10-$I$3+VLOOKUP($R25,武学奇术!$A:$ZZ,6,FALSE)+SUM(_xlfn.XLOOKUP(S25:AG25,增益!$A:$A,增益!$F:$F,0)))/200,($F$10-$I$3+VLOOKUP($R25,武学奇术!$A:$ZZ,6,FALSE)+SUM(_xlfn.XLOOKUP(S25:AG25,增益!$A:$A,增益!$F:$F,0)))/100)</f>
        <v>0.3425</v>
      </c>
      <c r="AR25" s="32" cm="1">
        <f t="array" ref="AR25">$G$10+VLOOKUP($R25,武学奇术!$A:$ZZ,7,FALSE)+SUM(_xlfn.XLOOKUP(S25:AG25,增益!$A:$A,增益!$G:$G,0))</f>
        <v>0.148</v>
      </c>
      <c r="AS25" s="26" cm="1">
        <f t="array" ref="AS25">VLOOKUP($R25,武学奇术!$A:$ZZ,8,FALSE)+SUM(_xlfn.XLOOKUP(S25:AG25,增益!$A:$A,增益!$H:$H,0))</f>
        <v>0</v>
      </c>
      <c r="AT25">
        <f t="shared" si="0"/>
        <v>0</v>
      </c>
      <c r="AU25">
        <f t="shared" si="1"/>
        <v>0</v>
      </c>
      <c r="AV25" s="32" cm="1">
        <f t="array" ref="AV25">IF($F$11-$I$4+VLOOKUP($R25,武学奇术!$A:$ZZ,9,FALSE)+SUM(_xlfn.XLOOKUP(S25:AG25,增益!$A:$A,增益!$I:$I,0))&gt;0,($F$11-$I$4+VLOOKUP($R25,武学奇术!$A:$ZZ,9,FALSE)+SUM(_xlfn.XLOOKUP(S25:AG25,增益!$A:$A,增益!$I:$I,0)))/200,($F$11-$I$4+VLOOKUP($R25,武学奇术!$A:$ZZ,9,FALSE)+SUM(_xlfn.XLOOKUP(S25:AG25,增益!$A:$A,增益!$I:$I,0)))/100)</f>
        <v>-0.14</v>
      </c>
      <c r="AW25" s="32" cm="1">
        <f t="array" ref="AW25">$G$11+VLOOKUP($R25,武学奇术!$A:$ZZ,10,FALSE)+SUM(_xlfn.XLOOKUP(S25:AG25,增益!$A:$A,增益!$J:$J,0))</f>
        <v>0</v>
      </c>
      <c r="AX25">
        <f t="shared" si="2"/>
        <v>0</v>
      </c>
      <c r="AY25">
        <f t="shared" si="3"/>
        <v>0</v>
      </c>
      <c r="AZ25" s="32" cm="1">
        <f t="array" ref="AZ25">IF($F$12-$I$4+VLOOKUP($R25,武学奇术!$A:$ZZ,11,FALSE)+SUM(_xlfn.XLOOKUP(S25:AG25,增益!$A:$A,增益!$K:$K,0))&gt;0,($F$12-$I$4+VLOOKUP($R25,武学奇术!$A:$ZZ,11,FALSE)+SUM(_xlfn.XLOOKUP(S25:AG25,增益!$A:$A,增益!$K:$K,0)))/200,($F$12-$I$4+VLOOKUP($R25,武学奇术!$A:$ZZ,11,FALSE)+SUM(_xlfn.XLOOKUP(S25:AG25,增益!$A:$A,增益!$K:$K,0)))/100)</f>
        <v>-0.14</v>
      </c>
      <c r="BA25" s="32" cm="1">
        <f t="array" ref="BA25">$G$12+VLOOKUP($R25,武学奇术!$A:$ZZ,12,FALSE)+SUM(_xlfn.XLOOKUP(S25:AG25,增益!$A:$A,增益!$L:$L,0))</f>
        <v>0</v>
      </c>
      <c r="BB25">
        <f t="shared" si="4"/>
        <v>0</v>
      </c>
      <c r="BC25">
        <f t="shared" si="5"/>
        <v>0</v>
      </c>
      <c r="BD25" s="32" cm="1">
        <f t="array" ref="BD25">IF($F$13-$I$4+VLOOKUP($R25,武学奇术!$A:$ZZ,13,FALSE)+SUM(_xlfn.XLOOKUP(S25:AG25,增益!$A:$A,增益!$M:$M,0))&gt;0,($F$13-$I$4+VLOOKUP($R25,武学奇术!$A:$ZZ,13,FALSE)+SUM(_xlfn.XLOOKUP(S25:AG25,增益!$A:$A,增益!$K:$K,0)))/200,($F$13-$I$4+VLOOKUP($R25,武学奇术!$A:$ZZ,13,FALSE)+SUM(_xlfn.XLOOKUP(S25:AG25,增益!$A:$A,增益!$M:$M,0)))/100)</f>
        <v>-0.14</v>
      </c>
      <c r="BE25" s="32" cm="1">
        <f t="array" ref="BE25">$G$13+VLOOKUP($R25,武学奇术!$A:$ZZ,14,FALSE)+SUM(_xlfn.XLOOKUP(S25:AG25,增益!$A:$A,增益!$N:$N,0))</f>
        <v>0</v>
      </c>
      <c r="BF25">
        <f t="shared" si="6"/>
        <v>571.2</v>
      </c>
      <c r="BG25">
        <f t="shared" si="7"/>
        <v>1627.8</v>
      </c>
      <c r="BH25" s="32" cm="1">
        <f t="array" ref="BH25">IF($F$14-$I$4+VLOOKUP($R25,武学奇术!$A:$ZZ,15,FALSE)+SUM(_xlfn.XLOOKUP(S25:AG25,增益!$A:$A,增益!$O:$O,0))&gt;0,($F$14-$I$4+VLOOKUP($R25,武学奇术!$A:$ZZ,15,FALSE)+SUM(_xlfn.XLOOKUP(S25:AG25,增益!$A:$A,增益!$O:$O,0)))/200,($F$14-$I$4+VLOOKUP($R25,武学奇术!$A:$ZZ,15,FALSE)+SUM(_xlfn.XLOOKUP(S25:AG25,增益!$A:$A,增益!$O:$O,0)))/100)</f>
        <v>0.08</v>
      </c>
      <c r="BI25" s="32" cm="1">
        <f t="array" ref="BI25">$G$14+VLOOKUP($R25,武学奇术!$A:$ZZ,16,FALSE)+SUM(_xlfn.XLOOKUP(S25:AG25,增益!$A:$A,增益!$P:$P,0))</f>
        <v>0.27</v>
      </c>
      <c r="BJ25" s="26">
        <f>MIN(IF(VLOOKUP($R25,武学奇术!$A:$ZZ,23,FALSE)=1,100%,$B$8),100%)</f>
        <v>1</v>
      </c>
      <c r="BK25" s="26" cm="1">
        <f t="array" ref="BK25">IF(VLOOKUP($R25,武学奇术!$A:$ZZ,23,FALSE)=1,100%,MIN(80%,$B$9+VLOOKUP($R25,武学奇术!$A:$ZZ,17,FALSE)+SUM(_xlfn.XLOOKUP(S25:AG25,增益!$A:$A,增益!$Q:$Q,0)))+$B$11+SUM(_xlfn.XLOOKUP(S25:AG25,增益!$A:$A,增益!$U:$U,0)))*IF(VLOOKUP($R25,武学奇术!$A:$ZZ,24,FALSE)=1,0,1)</f>
        <v>1</v>
      </c>
      <c r="BL25" s="26" cm="1">
        <f t="array" ref="BL25">1+$B$13+VLOOKUP($R25,武学奇术!$A:$ZZ,18,FALSE)+SUM(_xlfn.XLOOKUP(S25:AG25,增益!$A:$A,增益!$R:$R,0))</f>
        <v>2</v>
      </c>
      <c r="BM25" s="26" cm="1">
        <f t="array" ref="BM25">IF(VLOOKUP($R25,武学奇术!$A:$ZZ,24,FALSE)=1,100%,MIN(40%,$B$10+VLOOKUP($R25,武学奇术!$A:$ZZ,19,FALSE)+SUM(_xlfn.XLOOKUP(S25:AG25,增益!$A:$A,增益!$S:$S,0)))+$B$12+SUM(_xlfn.XLOOKUP(S25:AG25,增益!$A:$A,增益!$V:$V,0)))*IF(VLOOKUP($R25,武学奇术!$A:$ZZ,23,FALSE)=1,0,1)</f>
        <v>0</v>
      </c>
      <c r="BN25" s="26" cm="1">
        <f t="array" ref="BN25">1+$B$14+VLOOKUP($R25,武学奇术!$A:$ZZ,20,FALSE)+SUM(_xlfn.XLOOKUP(S25:AG25,增益!$A:$A,增益!$T:$T,0))</f>
        <v>1.35</v>
      </c>
      <c r="BO25" s="26">
        <f t="shared" si="8"/>
        <v>1</v>
      </c>
      <c r="BP25" s="26">
        <f t="shared" si="9"/>
        <v>0</v>
      </c>
      <c r="BQ25" s="26">
        <f>IF(VLOOKUP($R25,武学奇术!$A:$ZZ,22,FALSE)=1,0,(1-$BJ25))*(1-$BM25)</f>
        <v>0</v>
      </c>
      <c r="BR25" s="26" cm="1">
        <f t="array" ref="BR25">SUM(_xlfn.XLOOKUP(S25:AG25,增益!$A:$A,增益!$W:$W,0))+$I$5</f>
        <v>0.11</v>
      </c>
    </row>
    <row r="26" spans="1:70">
      <c r="K26">
        <f>$L26*VLOOKUP($R26,武学奇术!$A:$ZZ,31,FALSE)</f>
        <v>58788.0708893647</v>
      </c>
      <c r="L26" s="38">
        <f t="shared" ref="L26:L34" si="11">($M26*$BO26+$N26*$BM26+$O26*$BP26+$P26*$BQ26)</f>
        <v>55988.6389422521</v>
      </c>
      <c r="M26" s="38">
        <f>((($AO26+$AP26)/2*$AI26+$AJ26)*(1+$AQ26)*(1+$AR26)+(($AT26+$AU26)/2*IF($G$1="鸣金",$AK26,$AI26)+IF($G$1="鸣金",$AL26*1.5,0))*(1+$AV26)*(1+$AW26)+(($AX26+$AY26)/2*IF($G$1="裂石",$AK26,$AI26)+IF($G$1="裂石",$AL26*1.5,0))*(1+$AZ26)*(1+$BA26)+(($BB26+$BC26)/2*IF($G$1="牵丝",$AK26,$AI26)+IF($G$1="牵丝",$AL26*1.5,0))*(1+$BD26)*(1+$BE26)+(($BF26+$BG26)/2*IF($G$1="破竹",$AK26,$AI26)+IF($G$1="破竹",$AL26*1.5,0))*(1+$BH26)*(1+$BI26))*(1+$AM26)*$BL26*$Q26*(1+IF(VLOOKUP($R26,武学奇术!$A:$ZZ,30,FALSE)="回旋伞",$B$21,0))*(1+$BR26)</f>
        <v>55988.6389422521</v>
      </c>
      <c r="N26" s="38">
        <f>(($AP26*$AI26+$AJ26)*(1+$AQ26)*(1+$AR26)+($AU26*IF($G$1="鸣金",$AK26,$AI26)+IF($G$1="鸣金",$AL26*1.5,0))*(1+$AV26)*(1+$AW26)+($AY26*IF($G$1="裂石",$AK26,$AI26)+IF($G$1="裂石",$AL26*1.5,0))*(1+$AZ26)*(1+$BA26)+($BC26*IF($G$1="牵丝",$AK26,$AI26)+IF($G$1="牵丝",$AL26*1.5,0))*(1+$BD26)*(1+$BE26)+($BG26*IF($G$1="破竹",$AK26,$AI26)+IF($G$1="破竹",$AL26*1.5,0))*(1+$BH26)*(1+$BI26))*(1+$AM26)*$BN26*$Q26*(1+IF(VLOOKUP($R26,武学奇术!$A:$ZZ,30,FALSE)="回旋伞",$B$21,0))*(1+$BR26)</f>
        <v>43026.249827346</v>
      </c>
      <c r="O26" s="38">
        <f>((($AO26+$AP26)/2*$AI26+$AJ26)*(1+$AQ26)*(1+$AR26)+(($AT26+$AU26)/2*IF($G$1="鸣金",$AK26,$AI26)+IF($G$1="鸣金",$AL26*1.5,0))*(1+$AV26)*(1+$AW26)+(($AX26+$AY26)/2*IF($G$1="裂石",$AK26,$AI26)+IF($G$1="裂石",$AL26*1.5,0))*(1+$AZ26)*(1+$BA26)+(($BB26+$BC26)/2*IF($G$1="牵丝",$AK26,$AI26)+IF($G$1="牵丝",$AL26*1.5,0))*(1+$BD26)*(1+$BE26)+(($BF26+$BG26)/2*IF($G$1="破竹",$AK26,$AI26)+IF($G$1="破竹",$AL26*1.5,0))*(1+$BH26)*(1+$BI26))*(1+$AM26)*$Q26*(1+IF(VLOOKUP($R26,武学奇术!$A:$ZZ,30,FALSE)="回旋伞",$B$21,0))*(1+$BR26)</f>
        <v>27994.3194711261</v>
      </c>
      <c r="P26" s="38">
        <f>((($AO26*$AI26+$AJ26)*(1+$AQ26)*(1+$AR26)+($AT26*IF($G$1="鸣金",$AK26,$AI26)+IF($G$1="鸣金",$AL26*1.5,0))*(1+$AV26)*(1+$AW26)+($AX26*IF($G$1="裂石",$AK26,$AI26)+IF($G$1="裂石",$AL26*1.5,0))*(1+$AZ26)*(1+$BA26)+($BB26*IF($G$1="牵丝",$AK26,$AI26)+IF($G$1="牵丝",$AL26*1.5,0))*(1+$BD26)*(1+$BE26)+($BF26*IF($G$1="破竹",$AK26,$AI26)+IF($G$1="破竹",$AL26*1.5,0))*(1+$BH26)*(1+$BI26))*(1+$AM26))*$Q26*(1+IF(VLOOKUP($R26,武学奇术!$A:$ZZ,30,FALSE)="回旋伞",$B$21,0))*(1+$BR26)</f>
        <v>24117.3427738476</v>
      </c>
      <c r="Q26" s="39">
        <v>2</v>
      </c>
      <c r="R26" s="40" t="s">
        <v>132</v>
      </c>
      <c r="S26" s="40" t="s">
        <v>109</v>
      </c>
      <c r="T26" s="40" t="s">
        <v>95</v>
      </c>
      <c r="U26" s="40" t="s">
        <v>73</v>
      </c>
      <c r="V26" s="40" t="s">
        <v>81</v>
      </c>
      <c r="W26" s="40" t="s">
        <v>96</v>
      </c>
      <c r="X26" s="40" t="s">
        <v>99</v>
      </c>
      <c r="Y26" s="40" t="s">
        <v>84</v>
      </c>
      <c r="Z26" s="40" t="s">
        <v>72</v>
      </c>
      <c r="AA26" s="40" t="s">
        <v>72</v>
      </c>
      <c r="AB26" s="40" t="s">
        <v>126</v>
      </c>
      <c r="AC26" s="40" t="s">
        <v>85</v>
      </c>
      <c r="AD26" s="40" t="s">
        <v>72</v>
      </c>
      <c r="AE26" s="40" t="s">
        <v>72</v>
      </c>
      <c r="AF26" s="40" t="s">
        <v>77</v>
      </c>
      <c r="AG26" s="40" t="s">
        <v>78</v>
      </c>
      <c r="AH26" t="str">
        <f>VLOOKUP($R26,武学奇术!$A:$ZZ,25,FALSE)</f>
        <v>伞</v>
      </c>
      <c r="AI26" s="26">
        <f>VLOOKUP($R26,武学奇术!$A:$ZZ,26,FALSE)</f>
        <v>0.54</v>
      </c>
      <c r="AJ26" s="27">
        <f>VLOOKUP($R26,武学奇术!$A:$ZZ,27,FALSE)*(1+IF(OR($AH26=$F$4,$AH26=$F$5),$B$22,0))</f>
        <v>0</v>
      </c>
      <c r="AK26" s="26">
        <f>VLOOKUP($R26,武学奇术!$A:$ZZ,28,FALSE)</f>
        <v>0.81</v>
      </c>
      <c r="AL26" s="27">
        <f>VLOOKUP($R26,武学奇术!$A:$ZZ,29,FALSE)*(1+IF(OR($AH26=$F$4,$AH26=$F$5),$B$22,0))</f>
        <v>0</v>
      </c>
      <c r="AM26" s="26" cm="1">
        <f t="array" ref="AM26">$G$3+IFERROR(VLOOKUP($AH26,$F$4:$G$7,2,FALSE),0)+VLOOKUP($R26,武学奇术!$A:$ZZ,2,FALSE)+SUM(_xlfn.XLOOKUP($S26:$AG26,增益!$A:$A,增益!$B:$B,0))</f>
        <v>1.2541</v>
      </c>
      <c r="AN26" s="26" cm="1">
        <f t="array" ref="AN26">VLOOKUP($R26,武学奇术!$A:$ZZ,5,FALSE)+SUM(_xlfn.XLOOKUP($S26:$AG26,增益!$A:$A,增益!$E:$E,0))</f>
        <v>0</v>
      </c>
      <c r="AO26" cm="1">
        <f t="array" ref="AO26">$D$10*(1+$AN26)+VLOOKUP($R26,武学奇术!$A:$ZZ,3,FALSE)+SUM(_xlfn.XLOOKUP($S26:$AG26,增益!$A:$A,增益!$C:$C,0))-$I$2</f>
        <v>3624.6</v>
      </c>
      <c r="AP26" cm="1">
        <f t="array" ref="AP26">$E$10*(1+$AN26)+VLOOKUP($R26,武学奇术!$A:$ZZ,4,FALSE)+SUM(_xlfn.XLOOKUP($S26:$AG26,增益!$A:$A,增益!$D:$D,0))-$I$2</f>
        <v>3624.6</v>
      </c>
      <c r="AQ26" s="32" cm="1">
        <f t="array" ref="AQ26">IF($F$10-$I$3+VLOOKUP($R26,武学奇术!$A:$ZZ,6,FALSE)+SUM(_xlfn.XLOOKUP(S26:AG26,增益!$A:$A,增益!$F:$F,0))&gt;0,($F$10-$I$3+VLOOKUP($R26,武学奇术!$A:$ZZ,6,FALSE)+SUM(_xlfn.XLOOKUP(S26:AG26,增益!$A:$A,增益!$F:$F,0)))/200,($F$10-$I$3+VLOOKUP($R26,武学奇术!$A:$ZZ,6,FALSE)+SUM(_xlfn.XLOOKUP(S26:AG26,增益!$A:$A,增益!$F:$F,0)))/100)</f>
        <v>0.3425</v>
      </c>
      <c r="AR26" s="32" cm="1">
        <f t="array" ref="AR26">$G$10+VLOOKUP($R26,武学奇术!$A:$ZZ,7,FALSE)+SUM(_xlfn.XLOOKUP(S26:AG26,增益!$A:$A,增益!$G:$G,0))</f>
        <v>0.148</v>
      </c>
      <c r="AS26" s="26" cm="1">
        <f t="array" ref="AS26">VLOOKUP($R26,武学奇术!$A:$ZZ,8,FALSE)+SUM(_xlfn.XLOOKUP(S26:AG26,增益!$A:$A,增益!$H:$H,0))</f>
        <v>0</v>
      </c>
      <c r="AT26">
        <f t="shared" si="0"/>
        <v>0</v>
      </c>
      <c r="AU26">
        <f t="shared" si="1"/>
        <v>0</v>
      </c>
      <c r="AV26" s="32" cm="1">
        <f t="array" ref="AV26">IF($F$11-$I$4+VLOOKUP($R26,武学奇术!$A:$ZZ,9,FALSE)+SUM(_xlfn.XLOOKUP(S26:AG26,增益!$A:$A,增益!$I:$I,0))&gt;0,($F$11-$I$4+VLOOKUP($R26,武学奇术!$A:$ZZ,9,FALSE)+SUM(_xlfn.XLOOKUP(S26:AG26,增益!$A:$A,增益!$I:$I,0)))/200,($F$11-$I$4+VLOOKUP($R26,武学奇术!$A:$ZZ,9,FALSE)+SUM(_xlfn.XLOOKUP(S26:AG26,增益!$A:$A,增益!$I:$I,0)))/100)</f>
        <v>-0.14</v>
      </c>
      <c r="AW26" s="32" cm="1">
        <f t="array" ref="AW26">$G$11+VLOOKUP($R26,武学奇术!$A:$ZZ,10,FALSE)+SUM(_xlfn.XLOOKUP(S26:AG26,增益!$A:$A,增益!$J:$J,0))</f>
        <v>0</v>
      </c>
      <c r="AX26">
        <f t="shared" si="2"/>
        <v>0</v>
      </c>
      <c r="AY26">
        <f t="shared" si="3"/>
        <v>0</v>
      </c>
      <c r="AZ26" s="32" cm="1">
        <f t="array" ref="AZ26">IF($F$12-$I$4+VLOOKUP($R26,武学奇术!$A:$ZZ,11,FALSE)+SUM(_xlfn.XLOOKUP(S26:AG26,增益!$A:$A,增益!$K:$K,0))&gt;0,($F$12-$I$4+VLOOKUP($R26,武学奇术!$A:$ZZ,11,FALSE)+SUM(_xlfn.XLOOKUP(S26:AG26,增益!$A:$A,增益!$K:$K,0)))/200,($F$12-$I$4+VLOOKUP($R26,武学奇术!$A:$ZZ,11,FALSE)+SUM(_xlfn.XLOOKUP(S26:AG26,增益!$A:$A,增益!$K:$K,0)))/100)</f>
        <v>-0.14</v>
      </c>
      <c r="BA26" s="32" cm="1">
        <f t="array" ref="BA26">$G$12+VLOOKUP($R26,武学奇术!$A:$ZZ,12,FALSE)+SUM(_xlfn.XLOOKUP(S26:AG26,增益!$A:$A,增益!$L:$L,0))</f>
        <v>0</v>
      </c>
      <c r="BB26">
        <f t="shared" si="4"/>
        <v>0</v>
      </c>
      <c r="BC26">
        <f t="shared" si="5"/>
        <v>0</v>
      </c>
      <c r="BD26" s="32" cm="1">
        <f t="array" ref="BD26">IF($F$13-$I$4+VLOOKUP($R26,武学奇术!$A:$ZZ,13,FALSE)+SUM(_xlfn.XLOOKUP(S26:AG26,增益!$A:$A,增益!$M:$M,0))&gt;0,($F$13-$I$4+VLOOKUP($R26,武学奇术!$A:$ZZ,13,FALSE)+SUM(_xlfn.XLOOKUP(S26:AG26,增益!$A:$A,增益!$K:$K,0)))/200,($F$13-$I$4+VLOOKUP($R26,武学奇术!$A:$ZZ,13,FALSE)+SUM(_xlfn.XLOOKUP(S26:AG26,增益!$A:$A,增益!$M:$M,0)))/100)</f>
        <v>-0.14</v>
      </c>
      <c r="BE26" s="32" cm="1">
        <f t="array" ref="BE26">$G$13+VLOOKUP($R26,武学奇术!$A:$ZZ,14,FALSE)+SUM(_xlfn.XLOOKUP(S26:AG26,增益!$A:$A,增益!$N:$N,0))</f>
        <v>0</v>
      </c>
      <c r="BF26">
        <f t="shared" si="6"/>
        <v>571.2</v>
      </c>
      <c r="BG26">
        <f t="shared" si="7"/>
        <v>1627.8</v>
      </c>
      <c r="BH26" s="32" cm="1">
        <f t="array" ref="BH26">IF($F$14-$I$4+VLOOKUP($R26,武学奇术!$A:$ZZ,15,FALSE)+SUM(_xlfn.XLOOKUP(S26:AG26,增益!$A:$A,增益!$O:$O,0))&gt;0,($F$14-$I$4+VLOOKUP($R26,武学奇术!$A:$ZZ,15,FALSE)+SUM(_xlfn.XLOOKUP(S26:AG26,增益!$A:$A,增益!$O:$O,0)))/200,($F$14-$I$4+VLOOKUP($R26,武学奇术!$A:$ZZ,15,FALSE)+SUM(_xlfn.XLOOKUP(S26:AG26,增益!$A:$A,增益!$O:$O,0)))/100)</f>
        <v>0.08</v>
      </c>
      <c r="BI26" s="32" cm="1">
        <f t="array" ref="BI26">$G$14+VLOOKUP($R26,武学奇术!$A:$ZZ,16,FALSE)+SUM(_xlfn.XLOOKUP(S26:AG26,增益!$A:$A,增益!$P:$P,0))</f>
        <v>0.27</v>
      </c>
      <c r="BJ26" s="26">
        <f>MIN(IF(VLOOKUP($R26,武学奇术!$A:$ZZ,23,FALSE)=1,100%,$B$8),100%)</f>
        <v>1</v>
      </c>
      <c r="BK26" s="26" cm="1">
        <f t="array" ref="BK26">IF(VLOOKUP($R26,武学奇术!$A:$ZZ,23,FALSE)=1,100%,MIN(80%,$B$9+VLOOKUP($R26,武学奇术!$A:$ZZ,17,FALSE)+SUM(_xlfn.XLOOKUP(S26:AG26,增益!$A:$A,增益!$Q:$Q,0)))+$B$11+SUM(_xlfn.XLOOKUP(S26:AG26,增益!$A:$A,增益!$U:$U,0)))*IF(VLOOKUP($R26,武学奇术!$A:$ZZ,24,FALSE)=1,0,1)</f>
        <v>1</v>
      </c>
      <c r="BL26" s="26" cm="1">
        <f t="array" ref="BL26">1+$B$13+VLOOKUP($R26,武学奇术!$A:$ZZ,18,FALSE)+SUM(_xlfn.XLOOKUP(S26:AG26,增益!$A:$A,增益!$R:$R,0))</f>
        <v>2</v>
      </c>
      <c r="BM26" s="26" cm="1">
        <f t="array" ref="BM26">IF(VLOOKUP($R26,武学奇术!$A:$ZZ,24,FALSE)=1,100%,MIN(40%,$B$10+VLOOKUP($R26,武学奇术!$A:$ZZ,19,FALSE)+SUM(_xlfn.XLOOKUP(S26:AG26,增益!$A:$A,增益!$S:$S,0)))+$B$12+SUM(_xlfn.XLOOKUP(S26:AG26,增益!$A:$A,增益!$V:$V,0)))*IF(VLOOKUP($R26,武学奇术!$A:$ZZ,23,FALSE)=1,0,1)</f>
        <v>0</v>
      </c>
      <c r="BN26" s="26" cm="1">
        <f t="array" ref="BN26">1+$B$14+VLOOKUP($R26,武学奇术!$A:$ZZ,20,FALSE)+SUM(_xlfn.XLOOKUP(S26:AG26,增益!$A:$A,增益!$T:$T,0))</f>
        <v>1.35</v>
      </c>
      <c r="BO26" s="26">
        <f t="shared" si="8"/>
        <v>1</v>
      </c>
      <c r="BP26" s="26">
        <f t="shared" si="9"/>
        <v>0</v>
      </c>
      <c r="BQ26" s="26">
        <f>IF(VLOOKUP($R26,武学奇术!$A:$ZZ,22,FALSE)=1,0,(1-$BJ26))*(1-$BM26)</f>
        <v>0</v>
      </c>
      <c r="BR26" s="26" cm="1">
        <f t="array" ref="BR26">SUM(_xlfn.XLOOKUP(S26:AG26,增益!$A:$A,增益!$W:$W,0))+$I$5</f>
        <v>0.11</v>
      </c>
    </row>
    <row r="27" spans="1:70">
      <c r="K27">
        <f>$L27*VLOOKUP($R27,武学奇术!$A:$ZZ,31,FALSE)</f>
        <v>173980.254583267</v>
      </c>
      <c r="L27" s="38">
        <f t="shared" si="11"/>
        <v>165695.480555492</v>
      </c>
      <c r="M27" s="38">
        <f>((($AO27+$AP27)/2*$AI27+$AJ27)*(1+$AQ27)*(1+$AR27)+(($AT27+$AU27)/2*IF($G$1="鸣金",$AK27,$AI27)+IF($G$1="鸣金",$AL27*1.5,0))*(1+$AV27)*(1+$AW27)+(($AX27+$AY27)/2*IF($G$1="裂石",$AK27,$AI27)+IF($G$1="裂石",$AL27*1.5,0))*(1+$AZ27)*(1+$BA27)+(($BB27+$BC27)/2*IF($G$1="牵丝",$AK27,$AI27)+IF($G$1="牵丝",$AL27*1.5,0))*(1+$BD27)*(1+$BE27)+(($BF27+$BG27)/2*IF($G$1="破竹",$AK27,$AI27)+IF($G$1="破竹",$AL27*1.5,0))*(1+$BH27)*(1+$BI27))*(1+$AM27)*$BL27*$Q27*(1+IF(VLOOKUP($R27,武学奇术!$A:$ZZ,30,FALSE)="回旋伞",$B$21,0))*(1+$BR27)</f>
        <v>176788.694391593</v>
      </c>
      <c r="N27" s="38">
        <f>(($AP27*$AI27+$AJ27)*(1+$AQ27)*(1+$AR27)+($AU27*IF($G$1="鸣金",$AK27,$AI27)+IF($G$1="鸣金",$AL27*1.5,0))*(1+$AV27)*(1+$AW27)+($AY27*IF($G$1="裂石",$AK27,$AI27)+IF($G$1="裂石",$AL27*1.5,0))*(1+$AZ27)*(1+$BA27)+($BC27*IF($G$1="牵丝",$AK27,$AI27)+IF($G$1="牵丝",$AL27*1.5,0))*(1+$BD27)*(1+$BE27)+($BG27*IF($G$1="破竹",$AK27,$AI27)+IF($G$1="破竹",$AL27*1.5,0))*(1+$BH27)*(1+$BI27))*(1+$AM27)*$BN27*$Q27*(1+IF(VLOOKUP($R27,武学奇术!$A:$ZZ,30,FALSE)="回旋伞",$B$21,0))*(1+$BR27)</f>
        <v>133156.099399254</v>
      </c>
      <c r="O27" s="38">
        <f>((($AO27+$AP27)/2*$AI27+$AJ27)*(1+$AQ27)*(1+$AR27)+(($AT27+$AU27)/2*IF($G$1="鸣金",$AK27,$AI27)+IF($G$1="鸣金",$AL27*1.5,0))*(1+$AV27)*(1+$AW27)+(($AX27+$AY27)/2*IF($G$1="裂石",$AK27,$AI27)+IF($G$1="裂石",$AL27*1.5,0))*(1+$AZ27)*(1+$BA27)+(($BB27+$BC27)/2*IF($G$1="牵丝",$AK27,$AI27)+IF($G$1="牵丝",$AL27*1.5,0))*(1+$BD27)*(1+$BE27)+(($BF27+$BG27)/2*IF($G$1="破竹",$AK27,$AI27)+IF($G$1="破竹",$AL27*1.5,0))*(1+$BH27)*(1+$BI27))*(1+$AM27)*$Q27*(1+IF(VLOOKUP($R27,武学奇术!$A:$ZZ,30,FALSE)="回旋伞",$B$21,0))*(1+$BR27)</f>
        <v>87954.5743241754</v>
      </c>
      <c r="P27" s="38">
        <f>((($AO27*$AI27+$AJ27)*(1+$AQ27)*(1+$AR27)+($AT27*IF($G$1="鸣金",$AK27,$AI27)+IF($G$1="鸣金",$AL27*1.5,0))*(1+$AV27)*(1+$AW27)+($AX27*IF($G$1="裂石",$AK27,$AI27)+IF($G$1="裂石",$AL27*1.5,0))*(1+$AZ27)*(1+$BA27)+($BB27*IF($G$1="牵丝",$AK27,$AI27)+IF($G$1="牵丝",$AL27*1.5,0))*(1+$BD27)*(1+$BE27)+($BF27*IF($G$1="破竹",$AK27,$AI27)+IF($G$1="破竹",$AL27*1.5,0))*(1+$BH27)*(1+$BI27))*(1+$AM27))*$Q27*(1+IF(VLOOKUP($R27,武学奇术!$A:$ZZ,30,FALSE)="回旋伞",$B$21,0))*(1+$BR27)</f>
        <v>77275.0009452</v>
      </c>
      <c r="Q27" s="39">
        <v>2</v>
      </c>
      <c r="R27" s="40" t="s">
        <v>108</v>
      </c>
      <c r="S27" s="40" t="s">
        <v>109</v>
      </c>
      <c r="T27" s="40" t="s">
        <v>95</v>
      </c>
      <c r="U27" s="40" t="s">
        <v>73</v>
      </c>
      <c r="V27" s="40" t="s">
        <v>81</v>
      </c>
      <c r="W27" s="40" t="s">
        <v>152</v>
      </c>
      <c r="X27" s="40" t="s">
        <v>99</v>
      </c>
      <c r="Y27" s="40" t="s">
        <v>84</v>
      </c>
      <c r="Z27" s="40" t="s">
        <v>72</v>
      </c>
      <c r="AA27" s="40" t="s">
        <v>72</v>
      </c>
      <c r="AB27" s="40" t="s">
        <v>126</v>
      </c>
      <c r="AC27" s="40" t="s">
        <v>85</v>
      </c>
      <c r="AD27" s="40" t="s">
        <v>72</v>
      </c>
      <c r="AE27" s="40" t="s">
        <v>72</v>
      </c>
      <c r="AF27" s="40" t="s">
        <v>77</v>
      </c>
      <c r="AG27" s="40" t="s">
        <v>78</v>
      </c>
      <c r="AH27" t="str">
        <f>VLOOKUP($R27,武学奇术!$A:$ZZ,25,FALSE)</f>
        <v>伞</v>
      </c>
      <c r="AI27" s="26">
        <f>VLOOKUP($R27,武学奇术!$A:$ZZ,26,FALSE)</f>
        <v>1.8084</v>
      </c>
      <c r="AJ27" s="27">
        <f>VLOOKUP($R27,武学奇术!$A:$ZZ,27,FALSE)*(1+IF(OR($AH27=$F$4,$AH27=$F$5),$B$22,0))</f>
        <v>750</v>
      </c>
      <c r="AK27" s="26">
        <f>VLOOKUP($R27,武学奇术!$A:$ZZ,28,FALSE)</f>
        <v>2.7126</v>
      </c>
      <c r="AL27" s="27">
        <f>VLOOKUP($R27,武学奇术!$A:$ZZ,29,FALSE)*(1+IF(OR($AH27=$F$4,$AH27=$F$5),$B$22,0))</f>
        <v>408</v>
      </c>
      <c r="AM27" s="26" cm="1">
        <f t="array" ref="AM27">$G$3+IFERROR(VLOOKUP($AH27,$F$4:$G$7,2,FALSE),0)+VLOOKUP($R27,武学奇术!$A:$ZZ,2,FALSE)+SUM(_xlfn.XLOOKUP($S27:$AG27,增益!$A:$A,增益!$B:$B,0))</f>
        <v>0.8541</v>
      </c>
      <c r="AN27" s="26" cm="1">
        <f t="array" ref="AN27">VLOOKUP($R27,武学奇术!$A:$ZZ,5,FALSE)+SUM(_xlfn.XLOOKUP($S27:$AG27,增益!$A:$A,增益!$E:$E,0))</f>
        <v>0</v>
      </c>
      <c r="AO27" cm="1">
        <f t="array" ref="AO27">$D$10*(1+$AN27)+VLOOKUP($R27,武学奇术!$A:$ZZ,3,FALSE)+SUM(_xlfn.XLOOKUP($S27:$AG27,增益!$A:$A,增益!$C:$C,0))-$I$2</f>
        <v>3624.6</v>
      </c>
      <c r="AP27" cm="1">
        <f t="array" ref="AP27">$E$10*(1+$AN27)+VLOOKUP($R27,武学奇术!$A:$ZZ,4,FALSE)+SUM(_xlfn.XLOOKUP($S27:$AG27,增益!$A:$A,增益!$D:$D,0))-$I$2</f>
        <v>3624.6</v>
      </c>
      <c r="AQ27" s="32" cm="1">
        <f t="array" ref="AQ27">IF($F$10-$I$3+VLOOKUP($R27,武学奇术!$A:$ZZ,6,FALSE)+SUM(_xlfn.XLOOKUP(S27:AG27,增益!$A:$A,增益!$F:$F,0))&gt;0,($F$10-$I$3+VLOOKUP($R27,武学奇术!$A:$ZZ,6,FALSE)+SUM(_xlfn.XLOOKUP(S27:AG27,增益!$A:$A,增益!$F:$F,0)))/200,($F$10-$I$3+VLOOKUP($R27,武学奇术!$A:$ZZ,6,FALSE)+SUM(_xlfn.XLOOKUP(S27:AG27,增益!$A:$A,增益!$F:$F,0)))/100)</f>
        <v>0.3425</v>
      </c>
      <c r="AR27" s="32" cm="1">
        <f t="array" ref="AR27">$G$10+VLOOKUP($R27,武学奇术!$A:$ZZ,7,FALSE)+SUM(_xlfn.XLOOKUP(S27:AG27,增益!$A:$A,增益!$G:$G,0))</f>
        <v>0.148</v>
      </c>
      <c r="AS27" s="26" cm="1">
        <f t="array" ref="AS27">VLOOKUP($R27,武学奇术!$A:$ZZ,8,FALSE)+SUM(_xlfn.XLOOKUP(S27:AG27,增益!$A:$A,增益!$H:$H,0))</f>
        <v>0</v>
      </c>
      <c r="AT27">
        <f t="shared" si="0"/>
        <v>0</v>
      </c>
      <c r="AU27">
        <f t="shared" si="1"/>
        <v>0</v>
      </c>
      <c r="AV27" s="32" cm="1">
        <f t="array" ref="AV27">IF($F$11-$I$4+VLOOKUP($R27,武学奇术!$A:$ZZ,9,FALSE)+SUM(_xlfn.XLOOKUP(S27:AG27,增益!$A:$A,增益!$I:$I,0))&gt;0,($F$11-$I$4+VLOOKUP($R27,武学奇术!$A:$ZZ,9,FALSE)+SUM(_xlfn.XLOOKUP(S27:AG27,增益!$A:$A,增益!$I:$I,0)))/200,($F$11-$I$4+VLOOKUP($R27,武学奇术!$A:$ZZ,9,FALSE)+SUM(_xlfn.XLOOKUP(S27:AG27,增益!$A:$A,增益!$I:$I,0)))/100)</f>
        <v>-0.14</v>
      </c>
      <c r="AW27" s="32" cm="1">
        <f t="array" ref="AW27">$G$11+VLOOKUP($R27,武学奇术!$A:$ZZ,10,FALSE)+SUM(_xlfn.XLOOKUP(S27:AG27,增益!$A:$A,增益!$J:$J,0))</f>
        <v>0</v>
      </c>
      <c r="AX27">
        <f t="shared" si="2"/>
        <v>0</v>
      </c>
      <c r="AY27">
        <f t="shared" si="3"/>
        <v>0</v>
      </c>
      <c r="AZ27" s="32" cm="1">
        <f t="array" ref="AZ27">IF($F$12-$I$4+VLOOKUP($R27,武学奇术!$A:$ZZ,11,FALSE)+SUM(_xlfn.XLOOKUP(S27:AG27,增益!$A:$A,增益!$K:$K,0))&gt;0,($F$12-$I$4+VLOOKUP($R27,武学奇术!$A:$ZZ,11,FALSE)+SUM(_xlfn.XLOOKUP(S27:AG27,增益!$A:$A,增益!$K:$K,0)))/200,($F$12-$I$4+VLOOKUP($R27,武学奇术!$A:$ZZ,11,FALSE)+SUM(_xlfn.XLOOKUP(S27:AG27,增益!$A:$A,增益!$K:$K,0)))/100)</f>
        <v>-0.14</v>
      </c>
      <c r="BA27" s="32" cm="1">
        <f t="array" ref="BA27">$G$12+VLOOKUP($R27,武学奇术!$A:$ZZ,12,FALSE)+SUM(_xlfn.XLOOKUP(S27:AG27,增益!$A:$A,增益!$L:$L,0))</f>
        <v>0</v>
      </c>
      <c r="BB27">
        <f t="shared" si="4"/>
        <v>0</v>
      </c>
      <c r="BC27">
        <f t="shared" si="5"/>
        <v>0</v>
      </c>
      <c r="BD27" s="32" cm="1">
        <f t="array" ref="BD27">IF($F$13-$I$4+VLOOKUP($R27,武学奇术!$A:$ZZ,13,FALSE)+SUM(_xlfn.XLOOKUP(S27:AG27,增益!$A:$A,增益!$M:$M,0))&gt;0,($F$13-$I$4+VLOOKUP($R27,武学奇术!$A:$ZZ,13,FALSE)+SUM(_xlfn.XLOOKUP(S27:AG27,增益!$A:$A,增益!$K:$K,0)))/200,($F$13-$I$4+VLOOKUP($R27,武学奇术!$A:$ZZ,13,FALSE)+SUM(_xlfn.XLOOKUP(S27:AG27,增益!$A:$A,增益!$M:$M,0)))/100)</f>
        <v>-0.14</v>
      </c>
      <c r="BE27" s="32" cm="1">
        <f t="array" ref="BE27">$G$13+VLOOKUP($R27,武学奇术!$A:$ZZ,14,FALSE)+SUM(_xlfn.XLOOKUP(S27:AG27,增益!$A:$A,增益!$N:$N,0))</f>
        <v>0</v>
      </c>
      <c r="BF27">
        <f t="shared" si="6"/>
        <v>571.2</v>
      </c>
      <c r="BG27">
        <f t="shared" si="7"/>
        <v>1627.8</v>
      </c>
      <c r="BH27" s="32" cm="1">
        <f t="array" ref="BH27">IF($F$14-$I$4+VLOOKUP($R27,武学奇术!$A:$ZZ,15,FALSE)+SUM(_xlfn.XLOOKUP(S27:AG27,增益!$A:$A,增益!$O:$O,0))&gt;0,($F$14-$I$4+VLOOKUP($R27,武学奇术!$A:$ZZ,15,FALSE)+SUM(_xlfn.XLOOKUP(S27:AG27,增益!$A:$A,增益!$O:$O,0)))/200,($F$14-$I$4+VLOOKUP($R27,武学奇术!$A:$ZZ,15,FALSE)+SUM(_xlfn.XLOOKUP(S27:AG27,增益!$A:$A,增益!$O:$O,0)))/100)</f>
        <v>0.08</v>
      </c>
      <c r="BI27" s="32" cm="1">
        <f t="array" ref="BI27">$G$14+VLOOKUP($R27,武学奇术!$A:$ZZ,16,FALSE)+SUM(_xlfn.XLOOKUP(S27:AG27,增益!$A:$A,增益!$P:$P,0))</f>
        <v>0.27</v>
      </c>
      <c r="BJ27" s="26">
        <f>MIN(IF(VLOOKUP($R27,武学奇术!$A:$ZZ,23,FALSE)=1,100%,$B$8),100%)</f>
        <v>0.981</v>
      </c>
      <c r="BK27" s="26" cm="1">
        <f t="array" ref="BK27">IF(VLOOKUP($R27,武学奇术!$A:$ZZ,23,FALSE)=1,100%,MIN(80%,$B$9+VLOOKUP($R27,武学奇术!$A:$ZZ,17,FALSE)+SUM(_xlfn.XLOOKUP(S27:AG27,增益!$A:$A,增益!$Q:$Q,0)))+$B$11+SUM(_xlfn.XLOOKUP(S27:AG27,增益!$A:$A,增益!$U:$U,0)))*IF(VLOOKUP($R27,武学奇术!$A:$ZZ,24,FALSE)=1,0,1)</f>
        <v>0.846</v>
      </c>
      <c r="BL27" s="26" cm="1">
        <f t="array" ref="BL27">1+$B$13+VLOOKUP($R27,武学奇术!$A:$ZZ,18,FALSE)+SUM(_xlfn.XLOOKUP(S27:AG27,增益!$A:$A,增益!$R:$R,0))</f>
        <v>2.01</v>
      </c>
      <c r="BM27" s="26" cm="1">
        <f t="array" ref="BM27">IF(VLOOKUP($R27,武学奇术!$A:$ZZ,24,FALSE)=1,100%,MIN(40%,$B$10+VLOOKUP($R27,武学奇术!$A:$ZZ,19,FALSE)+SUM(_xlfn.XLOOKUP(S27:AG27,增益!$A:$A,增益!$S:$S,0)))+$B$12+SUM(_xlfn.XLOOKUP(S27:AG27,增益!$A:$A,增益!$V:$V,0)))*IF(VLOOKUP($R27,武学奇术!$A:$ZZ,23,FALSE)=1,0,1)</f>
        <v>0.0929</v>
      </c>
      <c r="BN27" s="26" cm="1">
        <f t="array" ref="BN27">1+$B$14+VLOOKUP($R27,武学奇术!$A:$ZZ,20,FALSE)+SUM(_xlfn.XLOOKUP(S27:AG27,增益!$A:$A,增益!$T:$T,0))</f>
        <v>1.35</v>
      </c>
      <c r="BO27" s="26">
        <f t="shared" si="8"/>
        <v>0.829926</v>
      </c>
      <c r="BP27" s="26">
        <f t="shared" si="9"/>
        <v>0.0599391</v>
      </c>
      <c r="BQ27" s="26">
        <f>IF(VLOOKUP($R27,武学奇术!$A:$ZZ,22,FALSE)=1,0,(1-$BJ27))*(1-$BM27)</f>
        <v>0.0172349</v>
      </c>
      <c r="BR27" s="26" cm="1">
        <f t="array" ref="BR27">SUM(_xlfn.XLOOKUP(S27:AG27,增益!$A:$A,增益!$W:$W,0))+$I$5</f>
        <v>0.11</v>
      </c>
    </row>
    <row r="28" spans="1:70">
      <c r="A28" s="4" t="s">
        <v>153</v>
      </c>
      <c r="B28" s="87">
        <v>1.3</v>
      </c>
      <c r="C28" s="39" t="s">
        <v>154</v>
      </c>
      <c r="H28">
        <v>1</v>
      </c>
      <c r="K28">
        <f>$L28*VLOOKUP($R28,武学奇术!$A:$ZZ,31,FALSE)</f>
        <v>101021.856961105</v>
      </c>
      <c r="L28" s="38">
        <f t="shared" si="11"/>
        <v>96211.2923439093</v>
      </c>
      <c r="M28" s="38">
        <f>((($AO28+$AP28)/2*$AI28+$AJ28)*(1+$AQ28)*(1+$AR28)+(($AT28+$AU28)/2*IF($G$1="鸣金",$AK28,$AI28)+IF($G$1="鸣金",$AL28*1.5,0))*(1+$AV28)*(1+$AW28)+(($AX28+$AY28)/2*IF($G$1="裂石",$AK28,$AI28)+IF($G$1="裂石",$AL28*1.5,0))*(1+$AZ28)*(1+$BA28)+(($BB28+$BC28)/2*IF($G$1="牵丝",$AK28,$AI28)+IF($G$1="牵丝",$AL28*1.5,0))*(1+$BD28)*(1+$BE28)+(($BF28+$BG28)/2*IF($G$1="破竹",$AK28,$AI28)+IF($G$1="破竹",$AL28*1.5,0))*(1+$BH28)*(1+$BI28))*(1+$AM28)*$BL28*$Q28*(1+IF(VLOOKUP($R28,武学奇术!$A:$ZZ,30,FALSE)="回旋伞",$B$21,0))*(1+$BR28)</f>
        <v>102552.055869337</v>
      </c>
      <c r="N28" s="38">
        <f>(($AP28*$AI28+$AJ28)*(1+$AQ28)*(1+$AR28)+($AU28*IF($G$1="鸣金",$AK28,$AI28)+IF($G$1="鸣金",$AL28*1.5,0))*(1+$AV28)*(1+$AW28)+($AY28*IF($G$1="裂石",$AK28,$AI28)+IF($G$1="裂石",$AL28*1.5,0))*(1+$AZ28)*(1+$BA28)+($BC28*IF($G$1="牵丝",$AK28,$AI28)+IF($G$1="牵丝",$AL28*1.5,0))*(1+$BD28)*(1+$BE28)+($BG28*IF($G$1="破竹",$AK28,$AI28)+IF($G$1="破竹",$AL28*1.5,0))*(1+$BH28)*(1+$BI28))*(1+$AM28)*$BN28*$Q28*(1+IF(VLOOKUP($R28,武学奇术!$A:$ZZ,30,FALSE)="回旋伞",$B$21,0))*(1+$BR28)</f>
        <v>78417.301601838</v>
      </c>
      <c r="O28" s="38">
        <f>((($AO28+$AP28)/2*$AI28+$AJ28)*(1+$AQ28)*(1+$AR28)+(($AT28+$AU28)/2*IF($G$1="鸣金",$AK28,$AI28)+IF($G$1="鸣金",$AL28*1.5,0))*(1+$AV28)*(1+$AW28)+(($AX28+$AY28)/2*IF($G$1="裂石",$AK28,$AI28)+IF($G$1="裂石",$AL28*1.5,0))*(1+$AZ28)*(1+$BA28)+(($BB28+$BC28)/2*IF($G$1="牵丝",$AK28,$AI28)+IF($G$1="牵丝",$AL28*1.5,0))*(1+$BD28)*(1+$BE28)+(($BF28+$BG28)/2*IF($G$1="破竹",$AK28,$AI28)+IF($G$1="破竹",$AL28*1.5,0))*(1+$BH28)*(1+$BI28))*(1+$AM28)*$Q28*(1+IF(VLOOKUP($R28,武学奇术!$A:$ZZ,30,FALSE)="回旋伞",$B$21,0))*(1+$BR28)</f>
        <v>51020.9233180782</v>
      </c>
      <c r="P28" s="38">
        <f>((($AO28*$AI28+$AJ28)*(1+$AQ28)*(1+$AR28)+($AT28*IF($G$1="鸣金",$AK28,$AI28)+IF($G$1="鸣金",$AL28*1.5,0))*(1+$AV28)*(1+$AW28)+($AX28*IF($G$1="裂石",$AK28,$AI28)+IF($G$1="裂石",$AL28*1.5,0))*(1+$AZ28)*(1+$BA28)+($BB28*IF($G$1="牵丝",$AK28,$AI28)+IF($G$1="牵丝",$AL28*1.5,0))*(1+$BD28)*(1+$BE28)+($BF28*IF($G$1="破竹",$AK28,$AI28)+IF($G$1="破竹",$AL28*1.5,0))*(1+$BH28)*(1+$BI28))*(1+$AM28))*$Q28*(1+IF(VLOOKUP($R28,武学奇术!$A:$ZZ,30,FALSE)="回旋伞",$B$21,0))*(1+$BR28)</f>
        <v>43954.9565607208</v>
      </c>
      <c r="Q28" s="39">
        <v>4</v>
      </c>
      <c r="R28" s="40" t="s">
        <v>112</v>
      </c>
      <c r="S28" s="40" t="s">
        <v>109</v>
      </c>
      <c r="T28" s="40" t="s">
        <v>95</v>
      </c>
      <c r="U28" s="40" t="s">
        <v>73</v>
      </c>
      <c r="V28" s="40" t="s">
        <v>81</v>
      </c>
      <c r="W28" s="40" t="s">
        <v>152</v>
      </c>
      <c r="X28" s="40" t="s">
        <v>99</v>
      </c>
      <c r="Y28" s="40" t="s">
        <v>84</v>
      </c>
      <c r="Z28" s="40" t="s">
        <v>72</v>
      </c>
      <c r="AA28" s="40" t="s">
        <v>72</v>
      </c>
      <c r="AB28" s="40" t="s">
        <v>126</v>
      </c>
      <c r="AC28" s="40" t="s">
        <v>85</v>
      </c>
      <c r="AD28" s="40" t="s">
        <v>72</v>
      </c>
      <c r="AE28" s="40" t="s">
        <v>72</v>
      </c>
      <c r="AF28" s="40" t="s">
        <v>77</v>
      </c>
      <c r="AG28" s="40" t="s">
        <v>78</v>
      </c>
      <c r="AH28" t="str">
        <f>VLOOKUP($R28,武学奇术!$A:$ZZ,25,FALSE)</f>
        <v>伞</v>
      </c>
      <c r="AI28" s="26">
        <f>VLOOKUP($R28,武学奇术!$A:$ZZ,26,FALSE)</f>
        <v>0.54</v>
      </c>
      <c r="AJ28" s="27">
        <f>VLOOKUP($R28,武学奇术!$A:$ZZ,27,FALSE)*(1+IF(OR($AH28=$F$4,$AH28=$F$5),$B$22,0))</f>
        <v>0</v>
      </c>
      <c r="AK28" s="26">
        <f>VLOOKUP($R28,武学奇术!$A:$ZZ,28,FALSE)</f>
        <v>0.81</v>
      </c>
      <c r="AL28" s="27">
        <f>VLOOKUP($R28,武学奇术!$A:$ZZ,29,FALSE)*(1+IF(OR($AH28=$F$4,$AH28=$F$5),$B$22,0))</f>
        <v>0</v>
      </c>
      <c r="AM28" s="26" cm="1">
        <f t="array" ref="AM28">$G$3+IFERROR(VLOOKUP($AH28,$F$4:$G$7,2,FALSE),0)+VLOOKUP($R28,武学奇术!$A:$ZZ,2,FALSE)+SUM(_xlfn.XLOOKUP($S28:$AG28,增益!$A:$A,增益!$B:$B,0))</f>
        <v>1.0541</v>
      </c>
      <c r="AN28" s="26" cm="1">
        <f t="array" ref="AN28">VLOOKUP($R28,武学奇术!$A:$ZZ,5,FALSE)+SUM(_xlfn.XLOOKUP($S28:$AG28,增益!$A:$A,增益!$E:$E,0))</f>
        <v>0</v>
      </c>
      <c r="AO28" cm="1">
        <f t="array" ref="AO28">$D$10*(1+$AN28)+VLOOKUP($R28,武学奇术!$A:$ZZ,3,FALSE)+SUM(_xlfn.XLOOKUP($S28:$AG28,增益!$A:$A,增益!$C:$C,0))-$I$2</f>
        <v>3624.6</v>
      </c>
      <c r="AP28" cm="1">
        <f t="array" ref="AP28">$E$10*(1+$AN28)+VLOOKUP($R28,武学奇术!$A:$ZZ,4,FALSE)+SUM(_xlfn.XLOOKUP($S28:$AG28,增益!$A:$A,增益!$D:$D,0))-$I$2</f>
        <v>3624.6</v>
      </c>
      <c r="AQ28" s="32" cm="1">
        <f t="array" ref="AQ28">IF($F$10-$I$3+VLOOKUP($R28,武学奇术!$A:$ZZ,6,FALSE)+SUM(_xlfn.XLOOKUP(S28:AG28,增益!$A:$A,增益!$F:$F,0))&gt;0,($F$10-$I$3+VLOOKUP($R28,武学奇术!$A:$ZZ,6,FALSE)+SUM(_xlfn.XLOOKUP(S28:AG28,增益!$A:$A,增益!$F:$F,0)))/200,($F$10-$I$3+VLOOKUP($R28,武学奇术!$A:$ZZ,6,FALSE)+SUM(_xlfn.XLOOKUP(S28:AG28,增益!$A:$A,增益!$F:$F,0)))/100)</f>
        <v>0.3425</v>
      </c>
      <c r="AR28" s="32" cm="1">
        <f t="array" ref="AR28">$G$10+VLOOKUP($R28,武学奇术!$A:$ZZ,7,FALSE)+SUM(_xlfn.XLOOKUP(S28:AG28,增益!$A:$A,增益!$G:$G,0))</f>
        <v>0.148</v>
      </c>
      <c r="AS28" s="26" cm="1">
        <f t="array" ref="AS28">VLOOKUP($R28,武学奇术!$A:$ZZ,8,FALSE)+SUM(_xlfn.XLOOKUP(S28:AG28,增益!$A:$A,增益!$H:$H,0))</f>
        <v>0</v>
      </c>
      <c r="AT28">
        <f t="shared" si="0"/>
        <v>0</v>
      </c>
      <c r="AU28">
        <f t="shared" si="1"/>
        <v>0</v>
      </c>
      <c r="AV28" s="32" cm="1">
        <f t="array" ref="AV28">IF($F$11-$I$4+VLOOKUP($R28,武学奇术!$A:$ZZ,9,FALSE)+SUM(_xlfn.XLOOKUP(S28:AG28,增益!$A:$A,增益!$I:$I,0))&gt;0,($F$11-$I$4+VLOOKUP($R28,武学奇术!$A:$ZZ,9,FALSE)+SUM(_xlfn.XLOOKUP(S28:AG28,增益!$A:$A,增益!$I:$I,0)))/200,($F$11-$I$4+VLOOKUP($R28,武学奇术!$A:$ZZ,9,FALSE)+SUM(_xlfn.XLOOKUP(S28:AG28,增益!$A:$A,增益!$I:$I,0)))/100)</f>
        <v>-0.14</v>
      </c>
      <c r="AW28" s="32" cm="1">
        <f t="array" ref="AW28">$G$11+VLOOKUP($R28,武学奇术!$A:$ZZ,10,FALSE)+SUM(_xlfn.XLOOKUP(S28:AG28,增益!$A:$A,增益!$J:$J,0))</f>
        <v>0</v>
      </c>
      <c r="AX28">
        <f t="shared" si="2"/>
        <v>0</v>
      </c>
      <c r="AY28">
        <f t="shared" si="3"/>
        <v>0</v>
      </c>
      <c r="AZ28" s="32" cm="1">
        <f t="array" ref="AZ28">IF($F$12-$I$4+VLOOKUP($R28,武学奇术!$A:$ZZ,11,FALSE)+SUM(_xlfn.XLOOKUP(S28:AG28,增益!$A:$A,增益!$K:$K,0))&gt;0,($F$12-$I$4+VLOOKUP($R28,武学奇术!$A:$ZZ,11,FALSE)+SUM(_xlfn.XLOOKUP(S28:AG28,增益!$A:$A,增益!$K:$K,0)))/200,($F$12-$I$4+VLOOKUP($R28,武学奇术!$A:$ZZ,11,FALSE)+SUM(_xlfn.XLOOKUP(S28:AG28,增益!$A:$A,增益!$K:$K,0)))/100)</f>
        <v>-0.14</v>
      </c>
      <c r="BA28" s="32" cm="1">
        <f t="array" ref="BA28">$G$12+VLOOKUP($R28,武学奇术!$A:$ZZ,12,FALSE)+SUM(_xlfn.XLOOKUP(S28:AG28,增益!$A:$A,增益!$L:$L,0))</f>
        <v>0</v>
      </c>
      <c r="BB28">
        <f t="shared" si="4"/>
        <v>0</v>
      </c>
      <c r="BC28">
        <f t="shared" si="5"/>
        <v>0</v>
      </c>
      <c r="BD28" s="32" cm="1">
        <f t="array" ref="BD28">IF($F$13-$I$4+VLOOKUP($R28,武学奇术!$A:$ZZ,13,FALSE)+SUM(_xlfn.XLOOKUP(S28:AG28,增益!$A:$A,增益!$M:$M,0))&gt;0,($F$13-$I$4+VLOOKUP($R28,武学奇术!$A:$ZZ,13,FALSE)+SUM(_xlfn.XLOOKUP(S28:AG28,增益!$A:$A,增益!$K:$K,0)))/200,($F$13-$I$4+VLOOKUP($R28,武学奇术!$A:$ZZ,13,FALSE)+SUM(_xlfn.XLOOKUP(S28:AG28,增益!$A:$A,增益!$M:$M,0)))/100)</f>
        <v>-0.14</v>
      </c>
      <c r="BE28" s="32" cm="1">
        <f t="array" ref="BE28">$G$13+VLOOKUP($R28,武学奇术!$A:$ZZ,14,FALSE)+SUM(_xlfn.XLOOKUP(S28:AG28,增益!$A:$A,增益!$N:$N,0))</f>
        <v>0</v>
      </c>
      <c r="BF28">
        <f t="shared" si="6"/>
        <v>571.2</v>
      </c>
      <c r="BG28">
        <f t="shared" si="7"/>
        <v>1627.8</v>
      </c>
      <c r="BH28" s="32" cm="1">
        <f t="array" ref="BH28">IF($F$14-$I$4+VLOOKUP($R28,武学奇术!$A:$ZZ,15,FALSE)+SUM(_xlfn.XLOOKUP(S28:AG28,增益!$A:$A,增益!$O:$O,0))&gt;0,($F$14-$I$4+VLOOKUP($R28,武学奇术!$A:$ZZ,15,FALSE)+SUM(_xlfn.XLOOKUP(S28:AG28,增益!$A:$A,增益!$O:$O,0)))/200,($F$14-$I$4+VLOOKUP($R28,武学奇术!$A:$ZZ,15,FALSE)+SUM(_xlfn.XLOOKUP(S28:AG28,增益!$A:$A,增益!$O:$O,0)))/100)</f>
        <v>0.08</v>
      </c>
      <c r="BI28" s="32" cm="1">
        <f t="array" ref="BI28">$G$14+VLOOKUP($R28,武学奇术!$A:$ZZ,16,FALSE)+SUM(_xlfn.XLOOKUP(S28:AG28,增益!$A:$A,增益!$P:$P,0))</f>
        <v>0.27</v>
      </c>
      <c r="BJ28" s="26">
        <f>MIN(IF(VLOOKUP($R28,武学奇术!$A:$ZZ,23,FALSE)=1,100%,$B$8),100%)</f>
        <v>0.981</v>
      </c>
      <c r="BK28" s="26" cm="1">
        <f t="array" ref="BK28">IF(VLOOKUP($R28,武学奇术!$A:$ZZ,23,FALSE)=1,100%,MIN(80%,$B$9+VLOOKUP($R28,武学奇术!$A:$ZZ,17,FALSE)+SUM(_xlfn.XLOOKUP(S28:AG28,增益!$A:$A,增益!$Q:$Q,0)))+$B$11+SUM(_xlfn.XLOOKUP(S28:AG28,增益!$A:$A,增益!$U:$U,0)))*IF(VLOOKUP($R28,武学奇术!$A:$ZZ,24,FALSE)=1,0,1)</f>
        <v>0.846</v>
      </c>
      <c r="BL28" s="26" cm="1">
        <f t="array" ref="BL28">1+$B$13+VLOOKUP($R28,武学奇术!$A:$ZZ,18,FALSE)+SUM(_xlfn.XLOOKUP(S28:AG28,增益!$A:$A,增益!$R:$R,0))</f>
        <v>2.01</v>
      </c>
      <c r="BM28" s="26" cm="1">
        <f t="array" ref="BM28">IF(VLOOKUP($R28,武学奇术!$A:$ZZ,24,FALSE)=1,100%,MIN(40%,$B$10+VLOOKUP($R28,武学奇术!$A:$ZZ,19,FALSE)+SUM(_xlfn.XLOOKUP(S28:AG28,增益!$A:$A,增益!$S:$S,0)))+$B$12+SUM(_xlfn.XLOOKUP(S28:AG28,增益!$A:$A,增益!$V:$V,0)))*IF(VLOOKUP($R28,武学奇术!$A:$ZZ,23,FALSE)=1,0,1)</f>
        <v>0.0929</v>
      </c>
      <c r="BN28" s="26" cm="1">
        <f t="array" ref="BN28">1+$B$14+VLOOKUP($R28,武学奇术!$A:$ZZ,20,FALSE)+SUM(_xlfn.XLOOKUP(S28:AG28,增益!$A:$A,增益!$T:$T,0))</f>
        <v>1.35</v>
      </c>
      <c r="BO28" s="26">
        <f t="shared" ref="BO28:BO59" si="12">MIN((1-BM28)*BJ28,BJ28*BK28)</f>
        <v>0.829926</v>
      </c>
      <c r="BP28" s="26">
        <f t="shared" si="9"/>
        <v>0.0599391</v>
      </c>
      <c r="BQ28" s="26">
        <f>IF(VLOOKUP($R28,武学奇术!$A:$ZZ,22,FALSE)=1,0,(1-$BJ28))*(1-$BM28)</f>
        <v>0.0172349</v>
      </c>
      <c r="BR28" s="26" cm="1">
        <f t="array" ref="BR28">SUM(_xlfn.XLOOKUP(S28:AG28,增益!$A:$A,增益!$W:$W,0))+$I$5</f>
        <v>0.11</v>
      </c>
    </row>
    <row r="29" spans="1:70">
      <c r="A29" s="4" t="s">
        <v>155</v>
      </c>
      <c r="B29" s="87">
        <v>0.5</v>
      </c>
      <c r="C29" s="39"/>
      <c r="H29">
        <v>21</v>
      </c>
      <c r="K29">
        <f>$L29*VLOOKUP($R29,武学奇术!$A:$ZZ,31,FALSE)</f>
        <v>102825.829245256</v>
      </c>
      <c r="L29" s="38">
        <f t="shared" si="11"/>
        <v>97929.3611859583</v>
      </c>
      <c r="M29" s="38">
        <f>((($AO29+$AP29)/2*$AI29+$AJ29)*(1+$AQ29)*(1+$AR29)+(($AT29+$AU29)/2*IF($G$1="鸣金",$AK29,$AI29)+IF($G$1="鸣金",$AL29*1.5,0))*(1+$AV29)*(1+$AW29)+(($AX29+$AY29)/2*IF($G$1="裂石",$AK29,$AI29)+IF($G$1="裂石",$AL29*1.5,0))*(1+$AZ29)*(1+$BA29)+(($BB29+$BC29)/2*IF($G$1="牵丝",$AK29,$AI29)+IF($G$1="牵丝",$AL29*1.5,0))*(1+$BD29)*(1+$BE29)+(($BF29+$BG29)/2*IF($G$1="破竹",$AK29,$AI29)+IF($G$1="破竹",$AL29*1.5,0))*(1+$BH29)*(1+$BI29))*(1+$AM29)*$BL29*$Q29*(1+IF(VLOOKUP($R29,武学奇术!$A:$ZZ,30,FALSE)="回旋伞",$B$21,0))*(1+$BR29)</f>
        <v>97929.3611859583</v>
      </c>
      <c r="N29" s="38">
        <f>(($AP29*$AI29+$AJ29)*(1+$AQ29)*(1+$AR29)+($AU29*IF($G$1="鸣金",$AK29,$AI29)+IF($G$1="鸣金",$AL29*1.5,0))*(1+$AV29)*(1+$AW29)+($AY29*IF($G$1="裂石",$AK29,$AI29)+IF($G$1="裂石",$AL29*1.5,0))*(1+$AZ29)*(1+$BA29)+($BC29*IF($G$1="牵丝",$AK29,$AI29)+IF($G$1="牵丝",$AL29*1.5,0))*(1+$BD29)*(1+$BE29)+($BG29*IF($G$1="破竹",$AK29,$AI29)+IF($G$1="破竹",$AL29*1.5,0))*(1+$BH29)*(1+$BI29))*(1+$AM29)*$BN29*$Q29*(1+IF(VLOOKUP($R29,武学奇术!$A:$ZZ,30,FALSE)="回旋伞",$B$21,0))*(1+$BR29)</f>
        <v>73759.7604703109</v>
      </c>
      <c r="O29" s="38">
        <f>((($AO29+$AP29)/2*$AI29+$AJ29)*(1+$AQ29)*(1+$AR29)+(($AT29+$AU29)/2*IF($G$1="鸣金",$AK29,$AI29)+IF($G$1="鸣金",$AL29*1.5,0))*(1+$AV29)*(1+$AW29)+(($AX29+$AY29)/2*IF($G$1="裂石",$AK29,$AI29)+IF($G$1="裂石",$AL29*1.5,0))*(1+$AZ29)*(1+$BA29)+(($BB29+$BC29)/2*IF($G$1="牵丝",$AK29,$AI29)+IF($G$1="牵丝",$AL29*1.5,0))*(1+$BD29)*(1+$BE29)+(($BF29+$BG29)/2*IF($G$1="破竹",$AK29,$AI29)+IF($G$1="破竹",$AL29*1.5,0))*(1+$BH29)*(1+$BI29))*(1+$AM29)*$Q29*(1+IF(VLOOKUP($R29,武学奇术!$A:$ZZ,30,FALSE)="回旋伞",$B$21,0))*(1+$BR29)</f>
        <v>48721.0752168947</v>
      </c>
      <c r="P29" s="38">
        <f>((($AO29*$AI29+$AJ29)*(1+$AQ29)*(1+$AR29)+($AT29*IF($G$1="鸣金",$AK29,$AI29)+IF($G$1="鸣金",$AL29*1.5,0))*(1+$AV29)*(1+$AW29)+($AX29*IF($G$1="裂石",$AK29,$AI29)+IF($G$1="裂石",$AL29*1.5,0))*(1+$AZ29)*(1+$BA29)+($BB29*IF($G$1="牵丝",$AK29,$AI29)+IF($G$1="牵丝",$AL29*1.5,0))*(1+$BD29)*(1+$BE29)+($BF29*IF($G$1="破竹",$AK29,$AI29)+IF($G$1="破竹",$AL29*1.5,0))*(1+$BH29)*(1+$BI29))*(1+$AM29))*$Q29*(1+IF(VLOOKUP($R29,武学奇术!$A:$ZZ,30,FALSE)="回旋伞",$B$21,0))*(1+$BR29)</f>
        <v>42805.2908261516</v>
      </c>
      <c r="Q29" s="39">
        <v>1</v>
      </c>
      <c r="R29" s="40" t="s">
        <v>125</v>
      </c>
      <c r="S29" s="40" t="s">
        <v>109</v>
      </c>
      <c r="T29" s="40" t="s">
        <v>95</v>
      </c>
      <c r="U29" s="40" t="s">
        <v>73</v>
      </c>
      <c r="V29" s="40" t="s">
        <v>81</v>
      </c>
      <c r="W29" s="40" t="s">
        <v>152</v>
      </c>
      <c r="X29" s="40" t="s">
        <v>99</v>
      </c>
      <c r="Y29" s="40" t="s">
        <v>84</v>
      </c>
      <c r="Z29" s="40" t="s">
        <v>72</v>
      </c>
      <c r="AA29" s="40" t="s">
        <v>72</v>
      </c>
      <c r="AB29" s="40" t="s">
        <v>126</v>
      </c>
      <c r="AC29" s="40" t="s">
        <v>85</v>
      </c>
      <c r="AD29" s="40" t="s">
        <v>72</v>
      </c>
      <c r="AE29" s="40" t="s">
        <v>72</v>
      </c>
      <c r="AF29" s="40" t="s">
        <v>77</v>
      </c>
      <c r="AG29" s="40" t="s">
        <v>78</v>
      </c>
      <c r="AH29" t="str">
        <f>VLOOKUP($R29,武学奇术!$A:$ZZ,25,FALSE)</f>
        <v>伞</v>
      </c>
      <c r="AI29" s="26">
        <f>VLOOKUP($R29,武学奇术!$A:$ZZ,26,FALSE)</f>
        <v>1.8084</v>
      </c>
      <c r="AJ29" s="27">
        <f>VLOOKUP($R29,武学奇术!$A:$ZZ,27,FALSE)*(1+IF(OR($AH29=$F$4,$AH29=$F$5),$B$22,0))</f>
        <v>750</v>
      </c>
      <c r="AK29" s="26">
        <f>VLOOKUP($R29,武学奇术!$A:$ZZ,28,FALSE)</f>
        <v>2.7126</v>
      </c>
      <c r="AL29" s="27">
        <f>VLOOKUP($R29,武学奇术!$A:$ZZ,29,FALSE)*(1+IF(OR($AH29=$F$4,$AH29=$F$5),$B$22,0))</f>
        <v>408</v>
      </c>
      <c r="AM29" s="26" cm="1">
        <f t="array" ref="AM29">$G$3+IFERROR(VLOOKUP($AH29,$F$4:$G$7,2,FALSE),0)+VLOOKUP($R29,武学奇术!$A:$ZZ,2,FALSE)+SUM(_xlfn.XLOOKUP($S29:$AG29,增益!$A:$A,增益!$B:$B,0))</f>
        <v>1.0541</v>
      </c>
      <c r="AN29" s="26" cm="1">
        <f t="array" ref="AN29">VLOOKUP($R29,武学奇术!$A:$ZZ,5,FALSE)+SUM(_xlfn.XLOOKUP($S29:$AG29,增益!$A:$A,增益!$E:$E,0))</f>
        <v>0</v>
      </c>
      <c r="AO29" cm="1">
        <f t="array" ref="AO29">$D$10*(1+$AN29)+VLOOKUP($R29,武学奇术!$A:$ZZ,3,FALSE)+SUM(_xlfn.XLOOKUP($S29:$AG29,增益!$A:$A,增益!$C:$C,0))-$I$2</f>
        <v>3624.6</v>
      </c>
      <c r="AP29" cm="1">
        <f t="array" ref="AP29">$E$10*(1+$AN29)+VLOOKUP($R29,武学奇术!$A:$ZZ,4,FALSE)+SUM(_xlfn.XLOOKUP($S29:$AG29,增益!$A:$A,增益!$D:$D,0))-$I$2</f>
        <v>3624.6</v>
      </c>
      <c r="AQ29" s="32" cm="1">
        <f t="array" ref="AQ29">IF($F$10-$I$3+VLOOKUP($R29,武学奇术!$A:$ZZ,6,FALSE)+SUM(_xlfn.XLOOKUP(S29:AG29,增益!$A:$A,增益!$F:$F,0))&gt;0,($F$10-$I$3+VLOOKUP($R29,武学奇术!$A:$ZZ,6,FALSE)+SUM(_xlfn.XLOOKUP(S29:AG29,增益!$A:$A,增益!$F:$F,0)))/200,($F$10-$I$3+VLOOKUP($R29,武学奇术!$A:$ZZ,6,FALSE)+SUM(_xlfn.XLOOKUP(S29:AG29,增益!$A:$A,增益!$F:$F,0)))/100)</f>
        <v>0.3425</v>
      </c>
      <c r="AR29" s="32" cm="1">
        <f t="array" ref="AR29">$G$10+VLOOKUP($R29,武学奇术!$A:$ZZ,7,FALSE)+SUM(_xlfn.XLOOKUP(S29:AG29,增益!$A:$A,增益!$G:$G,0))</f>
        <v>0.148</v>
      </c>
      <c r="AS29" s="26" cm="1">
        <f t="array" ref="AS29">VLOOKUP($R29,武学奇术!$A:$ZZ,8,FALSE)+SUM(_xlfn.XLOOKUP(S29:AG29,增益!$A:$A,增益!$H:$H,0))</f>
        <v>0</v>
      </c>
      <c r="AT29">
        <f t="shared" si="0"/>
        <v>0</v>
      </c>
      <c r="AU29">
        <f t="shared" si="1"/>
        <v>0</v>
      </c>
      <c r="AV29" s="32" cm="1">
        <f t="array" ref="AV29">IF($F$11-$I$4+VLOOKUP($R29,武学奇术!$A:$ZZ,9,FALSE)+SUM(_xlfn.XLOOKUP(S29:AG29,增益!$A:$A,增益!$I:$I,0))&gt;0,($F$11-$I$4+VLOOKUP($R29,武学奇术!$A:$ZZ,9,FALSE)+SUM(_xlfn.XLOOKUP(S29:AG29,增益!$A:$A,增益!$I:$I,0)))/200,($F$11-$I$4+VLOOKUP($R29,武学奇术!$A:$ZZ,9,FALSE)+SUM(_xlfn.XLOOKUP(S29:AG29,增益!$A:$A,增益!$I:$I,0)))/100)</f>
        <v>-0.14</v>
      </c>
      <c r="AW29" s="32" cm="1">
        <f t="array" ref="AW29">$G$11+VLOOKUP($R29,武学奇术!$A:$ZZ,10,FALSE)+SUM(_xlfn.XLOOKUP(S29:AG29,增益!$A:$A,增益!$J:$J,0))</f>
        <v>0</v>
      </c>
      <c r="AX29">
        <f t="shared" si="2"/>
        <v>0</v>
      </c>
      <c r="AY29">
        <f t="shared" si="3"/>
        <v>0</v>
      </c>
      <c r="AZ29" s="32" cm="1">
        <f t="array" ref="AZ29">IF($F$12-$I$4+VLOOKUP($R29,武学奇术!$A:$ZZ,11,FALSE)+SUM(_xlfn.XLOOKUP(S29:AG29,增益!$A:$A,增益!$K:$K,0))&gt;0,($F$12-$I$4+VLOOKUP($R29,武学奇术!$A:$ZZ,11,FALSE)+SUM(_xlfn.XLOOKUP(S29:AG29,增益!$A:$A,增益!$K:$K,0)))/200,($F$12-$I$4+VLOOKUP($R29,武学奇术!$A:$ZZ,11,FALSE)+SUM(_xlfn.XLOOKUP(S29:AG29,增益!$A:$A,增益!$K:$K,0)))/100)</f>
        <v>-0.14</v>
      </c>
      <c r="BA29" s="32" cm="1">
        <f t="array" ref="BA29">$G$12+VLOOKUP($R29,武学奇术!$A:$ZZ,12,FALSE)+SUM(_xlfn.XLOOKUP(S29:AG29,增益!$A:$A,增益!$L:$L,0))</f>
        <v>0</v>
      </c>
      <c r="BB29">
        <f t="shared" si="4"/>
        <v>0</v>
      </c>
      <c r="BC29">
        <f t="shared" si="5"/>
        <v>0</v>
      </c>
      <c r="BD29" s="32" cm="1">
        <f t="array" ref="BD29">IF($F$13-$I$4+VLOOKUP($R29,武学奇术!$A:$ZZ,13,FALSE)+SUM(_xlfn.XLOOKUP(S29:AG29,增益!$A:$A,增益!$M:$M,0))&gt;0,($F$13-$I$4+VLOOKUP($R29,武学奇术!$A:$ZZ,13,FALSE)+SUM(_xlfn.XLOOKUP(S29:AG29,增益!$A:$A,增益!$K:$K,0)))/200,($F$13-$I$4+VLOOKUP($R29,武学奇术!$A:$ZZ,13,FALSE)+SUM(_xlfn.XLOOKUP(S29:AG29,增益!$A:$A,增益!$M:$M,0)))/100)</f>
        <v>-0.14</v>
      </c>
      <c r="BE29" s="32" cm="1">
        <f t="array" ref="BE29">$G$13+VLOOKUP($R29,武学奇术!$A:$ZZ,14,FALSE)+SUM(_xlfn.XLOOKUP(S29:AG29,增益!$A:$A,增益!$N:$N,0))</f>
        <v>0</v>
      </c>
      <c r="BF29">
        <f t="shared" si="6"/>
        <v>571.2</v>
      </c>
      <c r="BG29">
        <f t="shared" si="7"/>
        <v>1627.8</v>
      </c>
      <c r="BH29" s="32" cm="1">
        <f t="array" ref="BH29">IF($F$14-$I$4+VLOOKUP($R29,武学奇术!$A:$ZZ,15,FALSE)+SUM(_xlfn.XLOOKUP(S29:AG29,增益!$A:$A,增益!$O:$O,0))&gt;0,($F$14-$I$4+VLOOKUP($R29,武学奇术!$A:$ZZ,15,FALSE)+SUM(_xlfn.XLOOKUP(S29:AG29,增益!$A:$A,增益!$O:$O,0)))/200,($F$14-$I$4+VLOOKUP($R29,武学奇术!$A:$ZZ,15,FALSE)+SUM(_xlfn.XLOOKUP(S29:AG29,增益!$A:$A,增益!$O:$O,0)))/100)</f>
        <v>0.08</v>
      </c>
      <c r="BI29" s="32" cm="1">
        <f t="array" ref="BI29">$G$14+VLOOKUP($R29,武学奇术!$A:$ZZ,16,FALSE)+SUM(_xlfn.XLOOKUP(S29:AG29,增益!$A:$A,增益!$P:$P,0))</f>
        <v>0.27</v>
      </c>
      <c r="BJ29" s="26">
        <f>MIN(IF(VLOOKUP($R29,武学奇术!$A:$ZZ,23,FALSE)=1,100%,$B$8),100%)</f>
        <v>1</v>
      </c>
      <c r="BK29" s="26" cm="1">
        <f t="array" ref="BK29">IF(VLOOKUP($R29,武学奇术!$A:$ZZ,23,FALSE)=1,100%,MIN(80%,$B$9+VLOOKUP($R29,武学奇术!$A:$ZZ,17,FALSE)+SUM(_xlfn.XLOOKUP(S29:AG29,增益!$A:$A,增益!$Q:$Q,0)))+$B$11+SUM(_xlfn.XLOOKUP(S29:AG29,增益!$A:$A,增益!$U:$U,0)))*IF(VLOOKUP($R29,武学奇术!$A:$ZZ,24,FALSE)=1,0,1)</f>
        <v>1</v>
      </c>
      <c r="BL29" s="26" cm="1">
        <f t="array" ref="BL29">1+$B$13+VLOOKUP($R29,武学奇术!$A:$ZZ,18,FALSE)+SUM(_xlfn.XLOOKUP(S29:AG29,增益!$A:$A,增益!$R:$R,0))</f>
        <v>2.01</v>
      </c>
      <c r="BM29" s="26" cm="1">
        <f t="array" ref="BM29">IF(VLOOKUP($R29,武学奇术!$A:$ZZ,24,FALSE)=1,100%,MIN(40%,$B$10+VLOOKUP($R29,武学奇术!$A:$ZZ,19,FALSE)+SUM(_xlfn.XLOOKUP(S29:AG29,增益!$A:$A,增益!$S:$S,0)))+$B$12+SUM(_xlfn.XLOOKUP(S29:AG29,增益!$A:$A,增益!$V:$V,0)))*IF(VLOOKUP($R29,武学奇术!$A:$ZZ,23,FALSE)=1,0,1)</f>
        <v>0</v>
      </c>
      <c r="BN29" s="26" cm="1">
        <f t="array" ref="BN29">1+$B$14+VLOOKUP($R29,武学奇术!$A:$ZZ,20,FALSE)+SUM(_xlfn.XLOOKUP(S29:AG29,增益!$A:$A,增益!$T:$T,0))</f>
        <v>1.35</v>
      </c>
      <c r="BO29" s="26">
        <f t="shared" si="12"/>
        <v>1</v>
      </c>
      <c r="BP29" s="26">
        <f t="shared" si="9"/>
        <v>0</v>
      </c>
      <c r="BQ29" s="26">
        <f>IF(VLOOKUP($R29,武学奇术!$A:$ZZ,22,FALSE)=1,0,(1-$BJ29))*(1-$BM29)</f>
        <v>0</v>
      </c>
      <c r="BR29" s="26" cm="1">
        <f t="array" ref="BR29">SUM(_xlfn.XLOOKUP(S29:AG29,增益!$A:$A,增益!$W:$W,0))+$I$5</f>
        <v>0.11</v>
      </c>
    </row>
    <row r="30" spans="1:70">
      <c r="A30" s="4" t="s">
        <v>156</v>
      </c>
      <c r="B30" s="87">
        <v>1.5</v>
      </c>
      <c r="F30" s="39" t="s">
        <v>157</v>
      </c>
      <c r="H30">
        <v>41</v>
      </c>
      <c r="K30">
        <f>$L30*VLOOKUP($R30,武学奇术!$A:$ZZ,31,FALSE)</f>
        <v>29541.0056219058</v>
      </c>
      <c r="L30" s="38">
        <f t="shared" si="11"/>
        <v>28134.2910684817</v>
      </c>
      <c r="M30" s="38">
        <f>((($AO30+$AP30)/2*$AI30+$AJ30)*(1+$AQ30)*(1+$AR30)+(($AT30+$AU30)/2*IF($G$1="鸣金",$AK30,$AI30)+IF($G$1="鸣金",$AL30*1.5,0))*(1+$AV30)*(1+$AW30)+(($AX30+$AY30)/2*IF($G$1="裂石",$AK30,$AI30)+IF($G$1="裂石",$AL30*1.5,0))*(1+$AZ30)*(1+$BA30)+(($BB30+$BC30)/2*IF($G$1="牵丝",$AK30,$AI30)+IF($G$1="牵丝",$AL30*1.5,0))*(1+$BD30)*(1+$BE30)+(($BF30+$BG30)/2*IF($G$1="破竹",$AK30,$AI30)+IF($G$1="破竹",$AL30*1.5,0))*(1+$BH30)*(1+$BI30))*(1+$AM30)*$BL30*$Q30*(1+IF(VLOOKUP($R30,武学奇术!$A:$ZZ,30,FALSE)="回旋伞",$B$21,0))*(1+$BR30)</f>
        <v>28134.2910684817</v>
      </c>
      <c r="N30" s="38">
        <f>(($AP30*$AI30+$AJ30)*(1+$AQ30)*(1+$AR30)+($AU30*IF($G$1="鸣金",$AK30,$AI30)+IF($G$1="鸣金",$AL30*1.5,0))*(1+$AV30)*(1+$AW30)+($AY30*IF($G$1="裂石",$AK30,$AI30)+IF($G$1="裂石",$AL30*1.5,0))*(1+$AZ30)*(1+$BA30)+($BC30*IF($G$1="牵丝",$AK30,$AI30)+IF($G$1="牵丝",$AL30*1.5,0))*(1+$BD30)*(1+$BE30)+($BG30*IF($G$1="破竹",$AK30,$AI30)+IF($G$1="破竹",$AL30*1.5,0))*(1+$BH30)*(1+$BI30))*(1+$AM30)*$BN30*$Q30*(1+IF(VLOOKUP($R30,武学奇术!$A:$ZZ,30,FALSE)="回旋伞",$B$21,0))*(1+$BR30)</f>
        <v>21513.124913673</v>
      </c>
      <c r="O30" s="38">
        <f>((($AO30+$AP30)/2*$AI30+$AJ30)*(1+$AQ30)*(1+$AR30)+(($AT30+$AU30)/2*IF($G$1="鸣金",$AK30,$AI30)+IF($G$1="鸣金",$AL30*1.5,0))*(1+$AV30)*(1+$AW30)+(($AX30+$AY30)/2*IF($G$1="裂石",$AK30,$AI30)+IF($G$1="裂石",$AL30*1.5,0))*(1+$AZ30)*(1+$BA30)+(($BB30+$BC30)/2*IF($G$1="牵丝",$AK30,$AI30)+IF($G$1="牵丝",$AL30*1.5,0))*(1+$BD30)*(1+$BE30)+(($BF30+$BG30)/2*IF($G$1="破竹",$AK30,$AI30)+IF($G$1="破竹",$AL30*1.5,0))*(1+$BH30)*(1+$BI30))*(1+$AM30)*$Q30*(1+IF(VLOOKUP($R30,武学奇术!$A:$ZZ,30,FALSE)="回旋伞",$B$21,0))*(1+$BR30)</f>
        <v>13997.159735563</v>
      </c>
      <c r="P30" s="38">
        <f>((($AO30*$AI30+$AJ30)*(1+$AQ30)*(1+$AR30)+($AT30*IF($G$1="鸣金",$AK30,$AI30)+IF($G$1="鸣金",$AL30*1.5,0))*(1+$AV30)*(1+$AW30)+($AX30*IF($G$1="裂石",$AK30,$AI30)+IF($G$1="裂石",$AL30*1.5,0))*(1+$AZ30)*(1+$BA30)+($BB30*IF($G$1="牵丝",$AK30,$AI30)+IF($G$1="牵丝",$AL30*1.5,0))*(1+$BD30)*(1+$BE30)+($BF30*IF($G$1="破竹",$AK30,$AI30)+IF($G$1="破竹",$AL30*1.5,0))*(1+$BH30)*(1+$BI30))*(1+$AM30))*$Q30*(1+IF(VLOOKUP($R30,武学奇术!$A:$ZZ,30,FALSE)="回旋伞",$B$21,0))*(1+$BR30)</f>
        <v>12058.6713869238</v>
      </c>
      <c r="Q30" s="39">
        <v>1</v>
      </c>
      <c r="R30" s="40" t="s">
        <v>132</v>
      </c>
      <c r="S30" s="40" t="s">
        <v>109</v>
      </c>
      <c r="T30" s="40" t="s">
        <v>95</v>
      </c>
      <c r="U30" s="40" t="s">
        <v>73</v>
      </c>
      <c r="V30" s="40" t="s">
        <v>81</v>
      </c>
      <c r="W30" s="40" t="s">
        <v>152</v>
      </c>
      <c r="X30" s="40" t="s">
        <v>99</v>
      </c>
      <c r="Y30" s="40" t="s">
        <v>84</v>
      </c>
      <c r="Z30" s="40" t="s">
        <v>72</v>
      </c>
      <c r="AA30" s="40" t="s">
        <v>72</v>
      </c>
      <c r="AB30" s="40" t="s">
        <v>126</v>
      </c>
      <c r="AC30" s="40" t="s">
        <v>85</v>
      </c>
      <c r="AD30" s="40" t="s">
        <v>72</v>
      </c>
      <c r="AE30" s="40" t="s">
        <v>72</v>
      </c>
      <c r="AF30" s="40" t="s">
        <v>77</v>
      </c>
      <c r="AG30" s="40" t="s">
        <v>78</v>
      </c>
      <c r="AH30" t="str">
        <f>VLOOKUP($R30,武学奇术!$A:$ZZ,25,FALSE)</f>
        <v>伞</v>
      </c>
      <c r="AI30" s="26">
        <f>VLOOKUP($R30,武学奇术!$A:$ZZ,26,FALSE)</f>
        <v>0.54</v>
      </c>
      <c r="AJ30" s="27">
        <f>VLOOKUP($R30,武学奇术!$A:$ZZ,27,FALSE)*(1+IF(OR($AH30=$F$4,$AH30=$F$5),$B$22,0))</f>
        <v>0</v>
      </c>
      <c r="AK30" s="26">
        <f>VLOOKUP($R30,武学奇术!$A:$ZZ,28,FALSE)</f>
        <v>0.81</v>
      </c>
      <c r="AL30" s="27">
        <f>VLOOKUP($R30,武学奇术!$A:$ZZ,29,FALSE)*(1+IF(OR($AH30=$F$4,$AH30=$F$5),$B$22,0))</f>
        <v>0</v>
      </c>
      <c r="AM30" s="26" cm="1">
        <f t="array" ref="AM30">$G$3+IFERROR(VLOOKUP($AH30,$F$4:$G$7,2,FALSE),0)+VLOOKUP($R30,武学奇术!$A:$ZZ,2,FALSE)+SUM(_xlfn.XLOOKUP($S30:$AG30,增益!$A:$A,增益!$B:$B,0))</f>
        <v>1.2541</v>
      </c>
      <c r="AN30" s="26" cm="1">
        <f t="array" ref="AN30">VLOOKUP($R30,武学奇术!$A:$ZZ,5,FALSE)+SUM(_xlfn.XLOOKUP($S30:$AG30,增益!$A:$A,增益!$E:$E,0))</f>
        <v>0</v>
      </c>
      <c r="AO30" cm="1">
        <f t="array" ref="AO30">$D$10*(1+$AN30)+VLOOKUP($R30,武学奇术!$A:$ZZ,3,FALSE)+SUM(_xlfn.XLOOKUP($S30:$AG30,增益!$A:$A,增益!$C:$C,0))-$I$2</f>
        <v>3624.6</v>
      </c>
      <c r="AP30" cm="1">
        <f t="array" ref="AP30">$E$10*(1+$AN30)+VLOOKUP($R30,武学奇术!$A:$ZZ,4,FALSE)+SUM(_xlfn.XLOOKUP($S30:$AG30,增益!$A:$A,增益!$D:$D,0))-$I$2</f>
        <v>3624.6</v>
      </c>
      <c r="AQ30" s="32" cm="1">
        <f t="array" ref="AQ30">IF($F$10-$I$3+VLOOKUP($R30,武学奇术!$A:$ZZ,6,FALSE)+SUM(_xlfn.XLOOKUP(S30:AG30,增益!$A:$A,增益!$F:$F,0))&gt;0,($F$10-$I$3+VLOOKUP($R30,武学奇术!$A:$ZZ,6,FALSE)+SUM(_xlfn.XLOOKUP(S30:AG30,增益!$A:$A,增益!$F:$F,0)))/200,($F$10-$I$3+VLOOKUP($R30,武学奇术!$A:$ZZ,6,FALSE)+SUM(_xlfn.XLOOKUP(S30:AG30,增益!$A:$A,增益!$F:$F,0)))/100)</f>
        <v>0.3425</v>
      </c>
      <c r="AR30" s="32" cm="1">
        <f t="array" ref="AR30">$G$10+VLOOKUP($R30,武学奇术!$A:$ZZ,7,FALSE)+SUM(_xlfn.XLOOKUP(S30:AG30,增益!$A:$A,增益!$G:$G,0))</f>
        <v>0.148</v>
      </c>
      <c r="AS30" s="26" cm="1">
        <f t="array" ref="AS30">VLOOKUP($R30,武学奇术!$A:$ZZ,8,FALSE)+SUM(_xlfn.XLOOKUP(S30:AG30,增益!$A:$A,增益!$H:$H,0))</f>
        <v>0</v>
      </c>
      <c r="AT30">
        <f t="shared" si="0"/>
        <v>0</v>
      </c>
      <c r="AU30">
        <f t="shared" si="1"/>
        <v>0</v>
      </c>
      <c r="AV30" s="32" cm="1">
        <f t="array" ref="AV30">IF($F$11-$I$4+VLOOKUP($R30,武学奇术!$A:$ZZ,9,FALSE)+SUM(_xlfn.XLOOKUP(S30:AG30,增益!$A:$A,增益!$I:$I,0))&gt;0,($F$11-$I$4+VLOOKUP($R30,武学奇术!$A:$ZZ,9,FALSE)+SUM(_xlfn.XLOOKUP(S30:AG30,增益!$A:$A,增益!$I:$I,0)))/200,($F$11-$I$4+VLOOKUP($R30,武学奇术!$A:$ZZ,9,FALSE)+SUM(_xlfn.XLOOKUP(S30:AG30,增益!$A:$A,增益!$I:$I,0)))/100)</f>
        <v>-0.14</v>
      </c>
      <c r="AW30" s="32" cm="1">
        <f t="array" ref="AW30">$G$11+VLOOKUP($R30,武学奇术!$A:$ZZ,10,FALSE)+SUM(_xlfn.XLOOKUP(S30:AG30,增益!$A:$A,增益!$J:$J,0))</f>
        <v>0</v>
      </c>
      <c r="AX30">
        <f t="shared" si="2"/>
        <v>0</v>
      </c>
      <c r="AY30">
        <f t="shared" si="3"/>
        <v>0</v>
      </c>
      <c r="AZ30" s="32" cm="1">
        <f t="array" ref="AZ30">IF($F$12-$I$4+VLOOKUP($R30,武学奇术!$A:$ZZ,11,FALSE)+SUM(_xlfn.XLOOKUP(S30:AG30,增益!$A:$A,增益!$K:$K,0))&gt;0,($F$12-$I$4+VLOOKUP($R30,武学奇术!$A:$ZZ,11,FALSE)+SUM(_xlfn.XLOOKUP(S30:AG30,增益!$A:$A,增益!$K:$K,0)))/200,($F$12-$I$4+VLOOKUP($R30,武学奇术!$A:$ZZ,11,FALSE)+SUM(_xlfn.XLOOKUP(S30:AG30,增益!$A:$A,增益!$K:$K,0)))/100)</f>
        <v>-0.14</v>
      </c>
      <c r="BA30" s="32" cm="1">
        <f t="array" ref="BA30">$G$12+VLOOKUP($R30,武学奇术!$A:$ZZ,12,FALSE)+SUM(_xlfn.XLOOKUP(S30:AG30,增益!$A:$A,增益!$L:$L,0))</f>
        <v>0</v>
      </c>
      <c r="BB30">
        <f t="shared" si="4"/>
        <v>0</v>
      </c>
      <c r="BC30">
        <f t="shared" si="5"/>
        <v>0</v>
      </c>
      <c r="BD30" s="32" cm="1">
        <f t="array" ref="BD30">IF($F$13-$I$4+VLOOKUP($R30,武学奇术!$A:$ZZ,13,FALSE)+SUM(_xlfn.XLOOKUP(S30:AG30,增益!$A:$A,增益!$M:$M,0))&gt;0,($F$13-$I$4+VLOOKUP($R30,武学奇术!$A:$ZZ,13,FALSE)+SUM(_xlfn.XLOOKUP(S30:AG30,增益!$A:$A,增益!$K:$K,0)))/200,($F$13-$I$4+VLOOKUP($R30,武学奇术!$A:$ZZ,13,FALSE)+SUM(_xlfn.XLOOKUP(S30:AG30,增益!$A:$A,增益!$M:$M,0)))/100)</f>
        <v>-0.14</v>
      </c>
      <c r="BE30" s="32" cm="1">
        <f t="array" ref="BE30">$G$13+VLOOKUP($R30,武学奇术!$A:$ZZ,14,FALSE)+SUM(_xlfn.XLOOKUP(S30:AG30,增益!$A:$A,增益!$N:$N,0))</f>
        <v>0</v>
      </c>
      <c r="BF30">
        <f t="shared" si="6"/>
        <v>571.2</v>
      </c>
      <c r="BG30">
        <f t="shared" si="7"/>
        <v>1627.8</v>
      </c>
      <c r="BH30" s="32" cm="1">
        <f t="array" ref="BH30">IF($F$14-$I$4+VLOOKUP($R30,武学奇术!$A:$ZZ,15,FALSE)+SUM(_xlfn.XLOOKUP(S30:AG30,增益!$A:$A,增益!$O:$O,0))&gt;0,($F$14-$I$4+VLOOKUP($R30,武学奇术!$A:$ZZ,15,FALSE)+SUM(_xlfn.XLOOKUP(S30:AG30,增益!$A:$A,增益!$O:$O,0)))/200,($F$14-$I$4+VLOOKUP($R30,武学奇术!$A:$ZZ,15,FALSE)+SUM(_xlfn.XLOOKUP(S30:AG30,增益!$A:$A,增益!$O:$O,0)))/100)</f>
        <v>0.08</v>
      </c>
      <c r="BI30" s="32" cm="1">
        <f t="array" ref="BI30">$G$14+VLOOKUP($R30,武学奇术!$A:$ZZ,16,FALSE)+SUM(_xlfn.XLOOKUP(S30:AG30,增益!$A:$A,增益!$P:$P,0))</f>
        <v>0.27</v>
      </c>
      <c r="BJ30" s="26">
        <f>MIN(IF(VLOOKUP($R30,武学奇术!$A:$ZZ,23,FALSE)=1,100%,$B$8),100%)</f>
        <v>1</v>
      </c>
      <c r="BK30" s="26" cm="1">
        <f t="array" ref="BK30">IF(VLOOKUP($R30,武学奇术!$A:$ZZ,23,FALSE)=1,100%,MIN(80%,$B$9+VLOOKUP($R30,武学奇术!$A:$ZZ,17,FALSE)+SUM(_xlfn.XLOOKUP(S30:AG30,增益!$A:$A,增益!$Q:$Q,0)))+$B$11+SUM(_xlfn.XLOOKUP(S30:AG30,增益!$A:$A,增益!$U:$U,0)))*IF(VLOOKUP($R30,武学奇术!$A:$ZZ,24,FALSE)=1,0,1)</f>
        <v>1</v>
      </c>
      <c r="BL30" s="26" cm="1">
        <f t="array" ref="BL30">1+$B$13+VLOOKUP($R30,武学奇术!$A:$ZZ,18,FALSE)+SUM(_xlfn.XLOOKUP(S30:AG30,增益!$A:$A,增益!$R:$R,0))</f>
        <v>2.01</v>
      </c>
      <c r="BM30" s="26" cm="1">
        <f t="array" ref="BM30">IF(VLOOKUP($R30,武学奇术!$A:$ZZ,24,FALSE)=1,100%,MIN(40%,$B$10+VLOOKUP($R30,武学奇术!$A:$ZZ,19,FALSE)+SUM(_xlfn.XLOOKUP(S30:AG30,增益!$A:$A,增益!$S:$S,0)))+$B$12+SUM(_xlfn.XLOOKUP(S30:AG30,增益!$A:$A,增益!$V:$V,0)))*IF(VLOOKUP($R30,武学奇术!$A:$ZZ,23,FALSE)=1,0,1)</f>
        <v>0</v>
      </c>
      <c r="BN30" s="26" cm="1">
        <f t="array" ref="BN30">1+$B$14+VLOOKUP($R30,武学奇术!$A:$ZZ,20,FALSE)+SUM(_xlfn.XLOOKUP(S30:AG30,增益!$A:$A,增益!$T:$T,0))</f>
        <v>1.35</v>
      </c>
      <c r="BO30" s="26">
        <f t="shared" si="12"/>
        <v>1</v>
      </c>
      <c r="BP30" s="26">
        <f t="shared" si="9"/>
        <v>0</v>
      </c>
      <c r="BQ30" s="26">
        <f>IF(VLOOKUP($R30,武学奇术!$A:$ZZ,22,FALSE)=1,0,(1-$BJ30))*(1-$BM30)</f>
        <v>0</v>
      </c>
      <c r="BR30" s="26" cm="1">
        <f t="array" ref="BR30">SUM(_xlfn.XLOOKUP(S30:AG30,增益!$A:$A,增益!$W:$W,0))+$I$5</f>
        <v>0.11</v>
      </c>
    </row>
    <row r="31" spans="1:70">
      <c r="A31" s="4" t="s">
        <v>158</v>
      </c>
      <c r="B31" s="4">
        <v>0.5</v>
      </c>
      <c r="F31" s="39"/>
      <c r="H31">
        <v>73</v>
      </c>
      <c r="K31">
        <f>$L31*VLOOKUP($R31,武学奇术!$A:$ZZ,31,FALSE)</f>
        <v>48547.0151574835</v>
      </c>
      <c r="L31" s="38">
        <f t="shared" si="11"/>
        <v>46235.2525309367</v>
      </c>
      <c r="M31" s="38">
        <f>((($AO31+$AP31)/2*$AI31+$AJ31)*(1+$AQ31)*(1+$AR31)+(($AT31+$AU31)/2*IF($G$1="鸣金",$AK31,$AI31)+IF($G$1="鸣金",$AL31*1.5,0))*(1+$AV31)*(1+$AW31)+(($AX31+$AY31)/2*IF($G$1="裂石",$AK31,$AI31)+IF($G$1="裂石",$AL31*1.5,0))*(1+$AZ31)*(1+$BA31)+(($BB31+$BC31)/2*IF($G$1="牵丝",$AK31,$AI31)+IF($G$1="牵丝",$AL31*1.5,0))*(1+$BD31)*(1+$BE31)+(($BF31+$BG31)/2*IF($G$1="破竹",$AK31,$AI31)+IF($G$1="破竹",$AL31*1.5,0))*(1+$BH31)*(1+$BI31))*(1+$AM31)*$BL31*$Q31*(1+IF(VLOOKUP($R31,武学奇术!$A:$ZZ,30,FALSE)="回旋伞",$B$21,0))*(1+$BR31)</f>
        <v>48908.5413088658</v>
      </c>
      <c r="N31" s="38">
        <f>(($AP31*$AI31+$AJ31)*(1+$AQ31)*(1+$AR31)+($AU31*IF($G$1="鸣金",$AK31,$AI31)+IF($G$1="鸣金",$AL31*1.5,0))*(1+$AV31)*(1+$AW31)+($AY31*IF($G$1="裂石",$AK31,$AI31)+IF($G$1="裂石",$AL31*1.5,0))*(1+$AZ31)*(1+$BA31)+($BC31*IF($G$1="牵丝",$AK31,$AI31)+IF($G$1="牵丝",$AL31*1.5,0))*(1+$BD31)*(1+$BE31)+($BG31*IF($G$1="破竹",$AK31,$AI31)+IF($G$1="破竹",$AL31*1.5,0))*(1+$BH31)*(1+$BI31))*(1+$AM31)*$BN31*$Q31*(1+IF(VLOOKUP($R31,武学奇术!$A:$ZZ,30,FALSE)="回旋伞",$B$21,0))*(1+$BR31)</f>
        <v>39628.7125496418</v>
      </c>
      <c r="O31" s="38">
        <f>((($AO31+$AP31)/2*$AI31+$AJ31)*(1+$AQ31)*(1+$AR31)+(($AT31+$AU31)/2*IF($G$1="鸣金",$AK31,$AI31)+IF($G$1="鸣金",$AL31*1.5,0))*(1+$AV31)*(1+$AW31)+(($AX31+$AY31)/2*IF($G$1="裂石",$AK31,$AI31)+IF($G$1="裂石",$AL31*1.5,0))*(1+$AZ31)*(1+$BA31)+(($BB31+$BC31)/2*IF($G$1="牵丝",$AK31,$AI31)+IF($G$1="牵丝",$AL31*1.5,0))*(1+$BD31)*(1+$BE31)+(($BF31+$BG31)/2*IF($G$1="破竹",$AK31,$AI31)+IF($G$1="破竹",$AL31*1.5,0))*(1+$BH31)*(1+$BI31))*(1+$AM31)*$Q31*(1+IF(VLOOKUP($R31,武学奇术!$A:$ZZ,30,FALSE)="回旋伞",$B$21,0))*(1+$BR31)</f>
        <v>26154.3001651689</v>
      </c>
      <c r="P31" s="38">
        <f>((($AO31*$AI31+$AJ31)*(1+$AQ31)*(1+$AR31)+($AT31*IF($G$1="鸣金",$AK31,$AI31)+IF($G$1="鸣金",$AL31*1.5,0))*(1+$AV31)*(1+$AW31)+($AX31*IF($G$1="裂石",$AK31,$AI31)+IF($G$1="裂石",$AL31*1.5,0))*(1+$AZ31)*(1+$BA31)+($BB31*IF($G$1="牵丝",$AK31,$AI31)+IF($G$1="牵丝",$AL31*1.5,0))*(1+$BD31)*(1+$BE31)+($BF31*IF($G$1="破竹",$AK31,$AI31)+IF($G$1="破竹",$AL31*1.5,0))*(1+$BH31)*(1+$BI31))*(1+$AM31))*$Q31*(1+IF(VLOOKUP($R31,武学奇术!$A:$ZZ,30,FALSE)="回旋伞",$B$21,0))*(1+$BR31)</f>
        <v>22953.9984417142</v>
      </c>
      <c r="Q31" s="39">
        <v>1</v>
      </c>
      <c r="R31" s="40" t="s">
        <v>159</v>
      </c>
      <c r="S31" s="40" t="s">
        <v>72</v>
      </c>
      <c r="T31" s="40" t="s">
        <v>95</v>
      </c>
      <c r="U31" s="40" t="s">
        <v>73</v>
      </c>
      <c r="V31" s="40" t="s">
        <v>72</v>
      </c>
      <c r="W31" s="40" t="s">
        <v>160</v>
      </c>
      <c r="X31" s="40" t="s">
        <v>99</v>
      </c>
      <c r="Y31" s="40" t="s">
        <v>84</v>
      </c>
      <c r="Z31" s="40" t="s">
        <v>72</v>
      </c>
      <c r="AA31" s="40" t="s">
        <v>72</v>
      </c>
      <c r="AB31" s="40" t="s">
        <v>72</v>
      </c>
      <c r="AC31" s="40" t="s">
        <v>85</v>
      </c>
      <c r="AD31" s="40" t="s">
        <v>72</v>
      </c>
      <c r="AE31" s="40" t="s">
        <v>72</v>
      </c>
      <c r="AF31" s="40" t="s">
        <v>77</v>
      </c>
      <c r="AG31" s="40" t="s">
        <v>78</v>
      </c>
      <c r="AH31" t="str">
        <f>VLOOKUP($R31,武学奇术!$A:$ZZ,25,FALSE)</f>
        <v>伞</v>
      </c>
      <c r="AI31" s="26">
        <f>VLOOKUP($R31,武学奇术!$A:$ZZ,26,FALSE)</f>
        <v>2.01456</v>
      </c>
      <c r="AJ31" s="27">
        <f>VLOOKUP($R31,武学奇术!$A:$ZZ,27,FALSE)*(1+IF(OR($AH31=$F$4,$AH31=$F$5),$B$22,0))</f>
        <v>837</v>
      </c>
      <c r="AK31" s="26">
        <f>VLOOKUP($R31,武学奇术!$A:$ZZ,28,FALSE)</f>
        <v>3.02184</v>
      </c>
      <c r="AL31" s="27">
        <f>VLOOKUP($R31,武学奇术!$A:$ZZ,29,FALSE)*(1+IF(OR($AH31=$F$4,$AH31=$F$5),$B$22,0))</f>
        <v>453.6</v>
      </c>
      <c r="AM31" s="26" cm="1">
        <f t="array" ref="AM31">$G$3+IFERROR(VLOOKUP($AH31,$F$4:$G$7,2,FALSE),0)+VLOOKUP($R31,武学奇术!$A:$ZZ,2,FALSE)+SUM(_xlfn.XLOOKUP($S31:$AG31,增益!$A:$A,增益!$B:$B,0))</f>
        <v>0.4541</v>
      </c>
      <c r="AN31" s="26" cm="1">
        <f t="array" ref="AN31">VLOOKUP($R31,武学奇术!$A:$ZZ,5,FALSE)+SUM(_xlfn.XLOOKUP($S31:$AG31,增益!$A:$A,增益!$E:$E,0))</f>
        <v>0</v>
      </c>
      <c r="AO31" cm="1">
        <f t="array" ref="AO31">$D$10*(1+$AN31)+VLOOKUP($R31,武学奇术!$A:$ZZ,3,FALSE)+SUM(_xlfn.XLOOKUP($S31:$AG31,增益!$A:$A,增益!$C:$C,0))-$I$2</f>
        <v>3624.6</v>
      </c>
      <c r="AP31" cm="1">
        <f t="array" ref="AP31">$E$10*(1+$AN31)+VLOOKUP($R31,武学奇术!$A:$ZZ,4,FALSE)+SUM(_xlfn.XLOOKUP($S31:$AG31,增益!$A:$A,增益!$D:$D,0))-$I$2</f>
        <v>3624.6</v>
      </c>
      <c r="AQ31" s="32" cm="1">
        <f t="array" ref="AQ31">IF($F$10-$I$3+VLOOKUP($R31,武学奇术!$A:$ZZ,6,FALSE)+SUM(_xlfn.XLOOKUP(S31:AG31,增益!$A:$A,增益!$F:$F,0))&gt;0,($F$10-$I$3+VLOOKUP($R31,武学奇术!$A:$ZZ,6,FALSE)+SUM(_xlfn.XLOOKUP(S31:AG31,增益!$A:$A,增益!$F:$F,0)))/200,($F$10-$I$3+VLOOKUP($R31,武学奇术!$A:$ZZ,6,FALSE)+SUM(_xlfn.XLOOKUP(S31:AG31,增益!$A:$A,增益!$F:$F,0)))/100)</f>
        <v>0.3425</v>
      </c>
      <c r="AR31" s="32" cm="1">
        <f t="array" ref="AR31">$G$10+VLOOKUP($R31,武学奇术!$A:$ZZ,7,FALSE)+SUM(_xlfn.XLOOKUP(S31:AG31,增益!$A:$A,增益!$G:$G,0))</f>
        <v>0.028</v>
      </c>
      <c r="AS31" s="26" cm="1">
        <f t="array" ref="AS31">VLOOKUP($R31,武学奇术!$A:$ZZ,8,FALSE)+SUM(_xlfn.XLOOKUP(S31:AG31,增益!$A:$A,增益!$H:$H,0))</f>
        <v>0</v>
      </c>
      <c r="AT31">
        <f t="shared" si="0"/>
        <v>0</v>
      </c>
      <c r="AU31">
        <f t="shared" si="1"/>
        <v>0</v>
      </c>
      <c r="AV31" s="32" cm="1">
        <f t="array" ref="AV31">IF($F$11-$I$4+VLOOKUP($R31,武学奇术!$A:$ZZ,9,FALSE)+SUM(_xlfn.XLOOKUP(S31:AG31,增益!$A:$A,增益!$I:$I,0))&gt;0,($F$11-$I$4+VLOOKUP($R31,武学奇术!$A:$ZZ,9,FALSE)+SUM(_xlfn.XLOOKUP(S31:AG31,增益!$A:$A,增益!$I:$I,0)))/200,($F$11-$I$4+VLOOKUP($R31,武学奇术!$A:$ZZ,9,FALSE)+SUM(_xlfn.XLOOKUP(S31:AG31,增益!$A:$A,增益!$I:$I,0)))/100)</f>
        <v>-0.14</v>
      </c>
      <c r="AW31" s="32" cm="1">
        <f t="array" ref="AW31">$G$11+VLOOKUP($R31,武学奇术!$A:$ZZ,10,FALSE)+SUM(_xlfn.XLOOKUP(S31:AG31,增益!$A:$A,增益!$J:$J,0))</f>
        <v>0</v>
      </c>
      <c r="AX31">
        <f t="shared" si="2"/>
        <v>0</v>
      </c>
      <c r="AY31">
        <f t="shared" si="3"/>
        <v>0</v>
      </c>
      <c r="AZ31" s="32" cm="1">
        <f t="array" ref="AZ31">IF($F$12-$I$4+VLOOKUP($R31,武学奇术!$A:$ZZ,11,FALSE)+SUM(_xlfn.XLOOKUP(S31:AG31,增益!$A:$A,增益!$K:$K,0))&gt;0,($F$12-$I$4+VLOOKUP($R31,武学奇术!$A:$ZZ,11,FALSE)+SUM(_xlfn.XLOOKUP(S31:AG31,增益!$A:$A,增益!$K:$K,0)))/200,($F$12-$I$4+VLOOKUP($R31,武学奇术!$A:$ZZ,11,FALSE)+SUM(_xlfn.XLOOKUP(S31:AG31,增益!$A:$A,增益!$K:$K,0)))/100)</f>
        <v>-0.14</v>
      </c>
      <c r="BA31" s="32" cm="1">
        <f t="array" ref="BA31">$G$12+VLOOKUP($R31,武学奇术!$A:$ZZ,12,FALSE)+SUM(_xlfn.XLOOKUP(S31:AG31,增益!$A:$A,增益!$L:$L,0))</f>
        <v>0</v>
      </c>
      <c r="BB31">
        <f t="shared" si="4"/>
        <v>0</v>
      </c>
      <c r="BC31">
        <f t="shared" si="5"/>
        <v>0</v>
      </c>
      <c r="BD31" s="32" cm="1">
        <f t="array" ref="BD31">IF($F$13-$I$4+VLOOKUP($R31,武学奇术!$A:$ZZ,13,FALSE)+SUM(_xlfn.XLOOKUP(S31:AG31,增益!$A:$A,增益!$M:$M,0))&gt;0,($F$13-$I$4+VLOOKUP($R31,武学奇术!$A:$ZZ,13,FALSE)+SUM(_xlfn.XLOOKUP(S31:AG31,增益!$A:$A,增益!$K:$K,0)))/200,($F$13-$I$4+VLOOKUP($R31,武学奇术!$A:$ZZ,13,FALSE)+SUM(_xlfn.XLOOKUP(S31:AG31,增益!$A:$A,增益!$M:$M,0)))/100)</f>
        <v>-0.14</v>
      </c>
      <c r="BE31" s="32" cm="1">
        <f t="array" ref="BE31">$G$13+VLOOKUP($R31,武学奇术!$A:$ZZ,14,FALSE)+SUM(_xlfn.XLOOKUP(S31:AG31,增益!$A:$A,增益!$N:$N,0))</f>
        <v>0</v>
      </c>
      <c r="BF31">
        <f t="shared" si="6"/>
        <v>571.2</v>
      </c>
      <c r="BG31">
        <f t="shared" si="7"/>
        <v>1627.8</v>
      </c>
      <c r="BH31" s="32" cm="1">
        <f t="array" ref="BH31">IF($F$14-$I$4+VLOOKUP($R31,武学奇术!$A:$ZZ,15,FALSE)+SUM(_xlfn.XLOOKUP(S31:AG31,增益!$A:$A,增益!$O:$O,0))&gt;0,($F$14-$I$4+VLOOKUP($R31,武学奇术!$A:$ZZ,15,FALSE)+SUM(_xlfn.XLOOKUP(S31:AG31,增益!$A:$A,增益!$O:$O,0)))/200,($F$14-$I$4+VLOOKUP($R31,武学奇术!$A:$ZZ,15,FALSE)+SUM(_xlfn.XLOOKUP(S31:AG31,增益!$A:$A,增益!$O:$O,0)))/100)</f>
        <v>0.08</v>
      </c>
      <c r="BI31" s="32" cm="1">
        <f t="array" ref="BI31">$G$14+VLOOKUP($R31,武学奇术!$A:$ZZ,16,FALSE)+SUM(_xlfn.XLOOKUP(S31:AG31,增益!$A:$A,增益!$P:$P,0))</f>
        <v>0.15</v>
      </c>
      <c r="BJ31" s="26">
        <f>MIN(IF(VLOOKUP($R31,武学奇术!$A:$ZZ,23,FALSE)=1,100%,$B$8),100%)</f>
        <v>0.981</v>
      </c>
      <c r="BK31" s="26" cm="1">
        <f t="array" ref="BK31">IF(VLOOKUP($R31,武学奇术!$A:$ZZ,23,FALSE)=1,100%,MIN(80%,$B$9+VLOOKUP($R31,武学奇术!$A:$ZZ,17,FALSE)+SUM(_xlfn.XLOOKUP(S31:AG31,增益!$A:$A,增益!$Q:$Q,0)))+$B$11+SUM(_xlfn.XLOOKUP(S31:AG31,增益!$A:$A,增益!$U:$U,0)))*IF(VLOOKUP($R31,武学奇术!$A:$ZZ,24,FALSE)=1,0,1)</f>
        <v>0.846</v>
      </c>
      <c r="BL31" s="26" cm="1">
        <f t="array" ref="BL31">1+$B$13+VLOOKUP($R31,武学奇术!$A:$ZZ,18,FALSE)+SUM(_xlfn.XLOOKUP(S31:AG31,增益!$A:$A,增益!$R:$R,0))</f>
        <v>1.87</v>
      </c>
      <c r="BM31" s="26" cm="1">
        <f t="array" ref="BM31">IF(VLOOKUP($R31,武学奇术!$A:$ZZ,24,FALSE)=1,100%,MIN(40%,$B$10+VLOOKUP($R31,武学奇术!$A:$ZZ,19,FALSE)+SUM(_xlfn.XLOOKUP(S31:AG31,增益!$A:$A,增益!$S:$S,0)))+$B$12+SUM(_xlfn.XLOOKUP(S31:AG31,增益!$A:$A,增益!$V:$V,0)))*IF(VLOOKUP($R31,武学奇术!$A:$ZZ,23,FALSE)=1,0,1)</f>
        <v>0.0929</v>
      </c>
      <c r="BN31" s="26" cm="1">
        <f t="array" ref="BN31">1+$B$14+VLOOKUP($R31,武学奇术!$A:$ZZ,20,FALSE)+SUM(_xlfn.XLOOKUP(S31:AG31,增益!$A:$A,增益!$T:$T,0))</f>
        <v>1.35</v>
      </c>
      <c r="BO31" s="26">
        <f t="shared" si="12"/>
        <v>0.829926</v>
      </c>
      <c r="BP31" s="26">
        <f t="shared" si="9"/>
        <v>0.0599391</v>
      </c>
      <c r="BQ31" s="26">
        <f>IF(VLOOKUP($R31,武学奇术!$A:$ZZ,22,FALSE)=1,0,(1-$BJ31))*(1-$BM31)</f>
        <v>0.0172349</v>
      </c>
      <c r="BR31" s="26" cm="1">
        <f t="array" ref="BR31">SUM(_xlfn.XLOOKUP(S31:AG31,增益!$A:$A,增益!$W:$W,0))+$I$5</f>
        <v>0.11</v>
      </c>
    </row>
    <row r="32" spans="1:70">
      <c r="A32" s="4" t="s">
        <v>161</v>
      </c>
      <c r="B32" s="87">
        <v>1</v>
      </c>
      <c r="D32" s="39" t="s">
        <v>153</v>
      </c>
      <c r="F32" s="39"/>
      <c r="H32">
        <v>121</v>
      </c>
      <c r="K32">
        <f>$L32*VLOOKUP($R32,武学奇术!$A:$ZZ,31,FALSE)</f>
        <v>12989.2579038399</v>
      </c>
      <c r="L32" s="38">
        <f t="shared" si="11"/>
        <v>12370.7218131809</v>
      </c>
      <c r="M32" s="38">
        <f>((($AO32+$AP32)/2*$AI32+$AJ32)*(1+$AQ32)*(1+$AR32)+(($AT32+$AU32)/2*IF($G$1="鸣金",$AK32,$AI32)+IF($G$1="鸣金",$AL32*1.5,0))*(1+$AV32)*(1+$AW32)+(($AX32+$AY32)/2*IF($G$1="裂石",$AK32,$AI32)+IF($G$1="裂石",$AL32*1.5,0))*(1+$AZ32)*(1+$BA32)+(($BB32+$BC32)/2*IF($G$1="牵丝",$AK32,$AI32)+IF($G$1="牵丝",$AL32*1.5,0))*(1+$BD32)*(1+$BE32)+(($BF32+$BG32)/2*IF($G$1="破竹",$AK32,$AI32)+IF($G$1="破竹",$AL32*1.5,0))*(1+$BH32)*(1+$BI32))*(1+$AM32)*$BL32*$Q32*(1+IF(VLOOKUP($R32,武学奇术!$A:$ZZ,30,FALSE)="回旋伞",$B$21,0))*(1+$BR32)</f>
        <v>13072.2039338181</v>
      </c>
      <c r="N32" s="38">
        <f>(($AP32*$AI32+$AJ32)*(1+$AQ32)*(1+$AR32)+($AU32*IF($G$1="鸣金",$AK32,$AI32)+IF($G$1="鸣金",$AL32*1.5,0))*(1+$AV32)*(1+$AW32)+($AY32*IF($G$1="裂石",$AK32,$AI32)+IF($G$1="裂石",$AL32*1.5,0))*(1+$AZ32)*(1+$BA32)+($BC32*IF($G$1="牵丝",$AK32,$AI32)+IF($G$1="牵丝",$AL32*1.5,0))*(1+$BD32)*(1+$BE32)+($BG32*IF($G$1="破竹",$AK32,$AI32)+IF($G$1="破竹",$AL32*1.5,0))*(1+$BH32)*(1+$BI32))*(1+$AM32)*$BN32*$Q32*(1+IF(VLOOKUP($R32,武学奇术!$A:$ZZ,30,FALSE)="回旋伞",$B$21,0))*(1+$BR32)</f>
        <v>10754.5164001333</v>
      </c>
      <c r="O32" s="38">
        <f>((($AO32+$AP32)/2*$AI32+$AJ32)*(1+$AQ32)*(1+$AR32)+(($AT32+$AU32)/2*IF($G$1="鸣金",$AK32,$AI32)+IF($G$1="鸣金",$AL32*1.5,0))*(1+$AV32)*(1+$AW32)+(($AX32+$AY32)/2*IF($G$1="裂石",$AK32,$AI32)+IF($G$1="裂石",$AL32*1.5,0))*(1+$AZ32)*(1+$BA32)+(($BB32+$BC32)/2*IF($G$1="牵丝",$AK32,$AI32)+IF($G$1="牵丝",$AL32*1.5,0))*(1+$BD32)*(1+$BE32)+(($BF32+$BG32)/2*IF($G$1="破竹",$AK32,$AI32)+IF($G$1="破竹",$AL32*1.5,0))*(1+$BH32)*(1+$BI32))*(1+$AM32)*$Q32*(1+IF(VLOOKUP($R32,武学奇术!$A:$ZZ,30,FALSE)="回旋伞",$B$21,0))*(1+$BR32)</f>
        <v>6990.48338706851</v>
      </c>
      <c r="P32" s="38">
        <f>((($AO32*$AI32+$AJ32)*(1+$AQ32)*(1+$AR32)+($AT32*IF($G$1="鸣金",$AK32,$AI32)+IF($G$1="鸣金",$AL32*1.5,0))*(1+$AV32)*(1+$AW32)+($AX32*IF($G$1="裂石",$AK32,$AI32)+IF($G$1="裂石",$AL32*1.5,0))*(1+$AZ32)*(1+$BA32)+($BB32*IF($G$1="牵丝",$AK32,$AI32)+IF($G$1="牵丝",$AL32*1.5,0))*(1+$BD32)*(1+$BE32)+($BF32*IF($G$1="破竹",$AK32,$AI32)+IF($G$1="破竹",$AL32*1.5,0))*(1+$BH32)*(1+$BI32))*(1+$AM32))*$Q32*(1+IF(VLOOKUP($R32,武学奇术!$A:$ZZ,30,FALSE)="回旋伞",$B$21,0))*(1+$BR32)</f>
        <v>6014.65832959384</v>
      </c>
      <c r="Q32" s="39">
        <v>1</v>
      </c>
      <c r="R32" s="40" t="s">
        <v>162</v>
      </c>
      <c r="S32" s="40" t="s">
        <v>72</v>
      </c>
      <c r="T32" s="40" t="s">
        <v>95</v>
      </c>
      <c r="U32" s="40" t="s">
        <v>73</v>
      </c>
      <c r="V32" s="40" t="s">
        <v>72</v>
      </c>
      <c r="W32" s="40" t="s">
        <v>160</v>
      </c>
      <c r="X32" s="40" t="s">
        <v>99</v>
      </c>
      <c r="Y32" s="40" t="s">
        <v>84</v>
      </c>
      <c r="Z32" s="40" t="s">
        <v>72</v>
      </c>
      <c r="AA32" s="40" t="s">
        <v>72</v>
      </c>
      <c r="AB32" s="40" t="s">
        <v>72</v>
      </c>
      <c r="AC32" s="40" t="s">
        <v>85</v>
      </c>
      <c r="AD32" s="40" t="s">
        <v>72</v>
      </c>
      <c r="AE32" s="40" t="s">
        <v>72</v>
      </c>
      <c r="AF32" s="40" t="s">
        <v>77</v>
      </c>
      <c r="AG32" s="40" t="s">
        <v>78</v>
      </c>
      <c r="AH32" t="str">
        <f>VLOOKUP($R32,武学奇术!$A:$ZZ,25,FALSE)</f>
        <v>伞</v>
      </c>
      <c r="AI32" s="26">
        <f>VLOOKUP($R32,武学奇术!$A:$ZZ,26,FALSE)</f>
        <v>0.54</v>
      </c>
      <c r="AJ32" s="27">
        <f>VLOOKUP($R32,武学奇术!$A:$ZZ,27,FALSE)*(1+IF(OR($AH32=$F$4,$AH32=$F$5),$B$22,0))</f>
        <v>0</v>
      </c>
      <c r="AK32" s="26">
        <f>VLOOKUP($R32,武学奇术!$A:$ZZ,28,FALSE)</f>
        <v>0.81</v>
      </c>
      <c r="AL32" s="27">
        <f>VLOOKUP($R32,武学奇术!$A:$ZZ,29,FALSE)*(1+IF(OR($AH32=$F$4,$AH32=$F$5),$B$22,0))</f>
        <v>0</v>
      </c>
      <c r="AM32" s="26" cm="1">
        <f t="array" ref="AM32">$G$3+IFERROR(VLOOKUP($AH32,$F$4:$G$7,2,FALSE),0)+VLOOKUP($R32,武学奇术!$A:$ZZ,2,FALSE)+SUM(_xlfn.XLOOKUP($S32:$AG32,增益!$A:$A,增益!$B:$B,0))</f>
        <v>0.6541</v>
      </c>
      <c r="AN32" s="26" cm="1">
        <f t="array" ref="AN32">VLOOKUP($R32,武学奇术!$A:$ZZ,5,FALSE)+SUM(_xlfn.XLOOKUP($S32:$AG32,增益!$A:$A,增益!$E:$E,0))</f>
        <v>0</v>
      </c>
      <c r="AO32" cm="1">
        <f t="array" ref="AO32">$D$10*(1+$AN32)+VLOOKUP($R32,武学奇术!$A:$ZZ,3,FALSE)+SUM(_xlfn.XLOOKUP($S32:$AG32,增益!$A:$A,增益!$C:$C,0))-$I$2</f>
        <v>3624.6</v>
      </c>
      <c r="AP32" cm="1">
        <f t="array" ref="AP32">$E$10*(1+$AN32)+VLOOKUP($R32,武学奇术!$A:$ZZ,4,FALSE)+SUM(_xlfn.XLOOKUP($S32:$AG32,增益!$A:$A,增益!$D:$D,0))-$I$2</f>
        <v>3624.6</v>
      </c>
      <c r="AQ32" s="32" cm="1">
        <f t="array" ref="AQ32">IF($F$10-$I$3+VLOOKUP($R32,武学奇术!$A:$ZZ,6,FALSE)+SUM(_xlfn.XLOOKUP(S32:AG32,增益!$A:$A,增益!$F:$F,0))&gt;0,($F$10-$I$3+VLOOKUP($R32,武学奇术!$A:$ZZ,6,FALSE)+SUM(_xlfn.XLOOKUP(S32:AG32,增益!$A:$A,增益!$F:$F,0)))/200,($F$10-$I$3+VLOOKUP($R32,武学奇术!$A:$ZZ,6,FALSE)+SUM(_xlfn.XLOOKUP(S32:AG32,增益!$A:$A,增益!$F:$F,0)))/100)</f>
        <v>0.3425</v>
      </c>
      <c r="AR32" s="32" cm="1">
        <f t="array" ref="AR32">$G$10+VLOOKUP($R32,武学奇术!$A:$ZZ,7,FALSE)+SUM(_xlfn.XLOOKUP(S32:AG32,增益!$A:$A,增益!$G:$G,0))</f>
        <v>0.028</v>
      </c>
      <c r="AS32" s="26" cm="1">
        <f t="array" ref="AS32">VLOOKUP($R32,武学奇术!$A:$ZZ,8,FALSE)+SUM(_xlfn.XLOOKUP(S32:AG32,增益!$A:$A,增益!$H:$H,0))</f>
        <v>0</v>
      </c>
      <c r="AT32">
        <f t="shared" si="0"/>
        <v>0</v>
      </c>
      <c r="AU32">
        <f t="shared" si="1"/>
        <v>0</v>
      </c>
      <c r="AV32" s="32" cm="1">
        <f t="array" ref="AV32">IF($F$11-$I$4+VLOOKUP($R32,武学奇术!$A:$ZZ,9,FALSE)+SUM(_xlfn.XLOOKUP(S32:AG32,增益!$A:$A,增益!$I:$I,0))&gt;0,($F$11-$I$4+VLOOKUP($R32,武学奇术!$A:$ZZ,9,FALSE)+SUM(_xlfn.XLOOKUP(S32:AG32,增益!$A:$A,增益!$I:$I,0)))/200,($F$11-$I$4+VLOOKUP($R32,武学奇术!$A:$ZZ,9,FALSE)+SUM(_xlfn.XLOOKUP(S32:AG32,增益!$A:$A,增益!$I:$I,0)))/100)</f>
        <v>-0.14</v>
      </c>
      <c r="AW32" s="32" cm="1">
        <f t="array" ref="AW32">$G$11+VLOOKUP($R32,武学奇术!$A:$ZZ,10,FALSE)+SUM(_xlfn.XLOOKUP(S32:AG32,增益!$A:$A,增益!$J:$J,0))</f>
        <v>0</v>
      </c>
      <c r="AX32">
        <f t="shared" si="2"/>
        <v>0</v>
      </c>
      <c r="AY32">
        <f t="shared" si="3"/>
        <v>0</v>
      </c>
      <c r="AZ32" s="32" cm="1">
        <f t="array" ref="AZ32">IF($F$12-$I$4+VLOOKUP($R32,武学奇术!$A:$ZZ,11,FALSE)+SUM(_xlfn.XLOOKUP(S32:AG32,增益!$A:$A,增益!$K:$K,0))&gt;0,($F$12-$I$4+VLOOKUP($R32,武学奇术!$A:$ZZ,11,FALSE)+SUM(_xlfn.XLOOKUP(S32:AG32,增益!$A:$A,增益!$K:$K,0)))/200,($F$12-$I$4+VLOOKUP($R32,武学奇术!$A:$ZZ,11,FALSE)+SUM(_xlfn.XLOOKUP(S32:AG32,增益!$A:$A,增益!$K:$K,0)))/100)</f>
        <v>-0.14</v>
      </c>
      <c r="BA32" s="32" cm="1">
        <f t="array" ref="BA32">$G$12+VLOOKUP($R32,武学奇术!$A:$ZZ,12,FALSE)+SUM(_xlfn.XLOOKUP(S32:AG32,增益!$A:$A,增益!$L:$L,0))</f>
        <v>0</v>
      </c>
      <c r="BB32">
        <f t="shared" si="4"/>
        <v>0</v>
      </c>
      <c r="BC32">
        <f t="shared" si="5"/>
        <v>0</v>
      </c>
      <c r="BD32" s="32" cm="1">
        <f t="array" ref="BD32">IF($F$13-$I$4+VLOOKUP($R32,武学奇术!$A:$ZZ,13,FALSE)+SUM(_xlfn.XLOOKUP(S32:AG32,增益!$A:$A,增益!$M:$M,0))&gt;0,($F$13-$I$4+VLOOKUP($R32,武学奇术!$A:$ZZ,13,FALSE)+SUM(_xlfn.XLOOKUP(S32:AG32,增益!$A:$A,增益!$K:$K,0)))/200,($F$13-$I$4+VLOOKUP($R32,武学奇术!$A:$ZZ,13,FALSE)+SUM(_xlfn.XLOOKUP(S32:AG32,增益!$A:$A,增益!$M:$M,0)))/100)</f>
        <v>-0.14</v>
      </c>
      <c r="BE32" s="32" cm="1">
        <f t="array" ref="BE32">$G$13+VLOOKUP($R32,武学奇术!$A:$ZZ,14,FALSE)+SUM(_xlfn.XLOOKUP(S32:AG32,增益!$A:$A,增益!$N:$N,0))</f>
        <v>0</v>
      </c>
      <c r="BF32">
        <f t="shared" si="6"/>
        <v>571.2</v>
      </c>
      <c r="BG32">
        <f t="shared" si="7"/>
        <v>1627.8</v>
      </c>
      <c r="BH32" s="32" cm="1">
        <f t="array" ref="BH32">IF($F$14-$I$4+VLOOKUP($R32,武学奇术!$A:$ZZ,15,FALSE)+SUM(_xlfn.XLOOKUP(S32:AG32,增益!$A:$A,增益!$O:$O,0))&gt;0,($F$14-$I$4+VLOOKUP($R32,武学奇术!$A:$ZZ,15,FALSE)+SUM(_xlfn.XLOOKUP(S32:AG32,增益!$A:$A,增益!$O:$O,0)))/200,($F$14-$I$4+VLOOKUP($R32,武学奇术!$A:$ZZ,15,FALSE)+SUM(_xlfn.XLOOKUP(S32:AG32,增益!$A:$A,增益!$O:$O,0)))/100)</f>
        <v>0.08</v>
      </c>
      <c r="BI32" s="32" cm="1">
        <f t="array" ref="BI32">$G$14+VLOOKUP($R32,武学奇术!$A:$ZZ,16,FALSE)+SUM(_xlfn.XLOOKUP(S32:AG32,增益!$A:$A,增益!$P:$P,0))</f>
        <v>0.15</v>
      </c>
      <c r="BJ32" s="26">
        <f>MIN(IF(VLOOKUP($R32,武学奇术!$A:$ZZ,23,FALSE)=1,100%,$B$8),100%)</f>
        <v>0.981</v>
      </c>
      <c r="BK32" s="26" cm="1">
        <f t="array" ref="BK32">IF(VLOOKUP($R32,武学奇术!$A:$ZZ,23,FALSE)=1,100%,MIN(80%,$B$9+VLOOKUP($R32,武学奇术!$A:$ZZ,17,FALSE)+SUM(_xlfn.XLOOKUP(S32:AG32,增益!$A:$A,增益!$Q:$Q,0)))+$B$11+SUM(_xlfn.XLOOKUP(S32:AG32,增益!$A:$A,增益!$U:$U,0)))*IF(VLOOKUP($R32,武学奇术!$A:$ZZ,24,FALSE)=1,0,1)</f>
        <v>0.846</v>
      </c>
      <c r="BL32" s="26" cm="1">
        <f t="array" ref="BL32">1+$B$13+VLOOKUP($R32,武学奇术!$A:$ZZ,18,FALSE)+SUM(_xlfn.XLOOKUP(S32:AG32,增益!$A:$A,增益!$R:$R,0))</f>
        <v>1.87</v>
      </c>
      <c r="BM32" s="26" cm="1">
        <f t="array" ref="BM32">IF(VLOOKUP($R32,武学奇术!$A:$ZZ,24,FALSE)=1,100%,MIN(40%,$B$10+VLOOKUP($R32,武学奇术!$A:$ZZ,19,FALSE)+SUM(_xlfn.XLOOKUP(S32:AG32,增益!$A:$A,增益!$S:$S,0)))+$B$12+SUM(_xlfn.XLOOKUP(S32:AG32,增益!$A:$A,增益!$V:$V,0)))*IF(VLOOKUP($R32,武学奇术!$A:$ZZ,23,FALSE)=1,0,1)</f>
        <v>0.0929</v>
      </c>
      <c r="BN32" s="26" cm="1">
        <f t="array" ref="BN32">1+$B$14+VLOOKUP($R32,武学奇术!$A:$ZZ,20,FALSE)+SUM(_xlfn.XLOOKUP(S32:AG32,增益!$A:$A,增益!$T:$T,0))</f>
        <v>1.35</v>
      </c>
      <c r="BO32" s="26">
        <f t="shared" si="12"/>
        <v>0.829926</v>
      </c>
      <c r="BP32" s="26">
        <f t="shared" si="9"/>
        <v>0.0599391</v>
      </c>
      <c r="BQ32" s="26">
        <f>IF(VLOOKUP($R32,武学奇术!$A:$ZZ,22,FALSE)=1,0,(1-$BJ32))*(1-$BM32)</f>
        <v>0.0172349</v>
      </c>
      <c r="BR32" s="26" cm="1">
        <f t="array" ref="BR32">SUM(_xlfn.XLOOKUP(S32:AG32,增益!$A:$A,增益!$W:$W,0))+$I$5</f>
        <v>0.11</v>
      </c>
    </row>
    <row r="33" spans="1:70">
      <c r="A33" s="4" t="s">
        <v>161</v>
      </c>
      <c r="B33" s="4">
        <v>1</v>
      </c>
      <c r="D33" s="39"/>
      <c r="E33" s="39" t="s">
        <v>163</v>
      </c>
      <c r="F33" s="39"/>
      <c r="H33">
        <v>141</v>
      </c>
      <c r="K33">
        <f>$L33*VLOOKUP($R33,武学奇术!$A:$ZZ,31,FALSE)</f>
        <v>94850.0630188039</v>
      </c>
      <c r="L33" s="38">
        <f t="shared" si="11"/>
        <v>90333.3933512418</v>
      </c>
      <c r="M33" s="38">
        <f>((($AO33+$AP33)/2*$AI33+$AJ33)*(1+$AQ33)*(1+$AR33)+(($AT33+$AU33)/2*IF($G$1="鸣金",$AK33,$AI33)+IF($G$1="鸣金",$AL33*1.5,0))*(1+$AV33)*(1+$AW33)+(($AX33+$AY33)/2*IF($G$1="裂石",$AK33,$AI33)+IF($G$1="裂石",$AL33*1.5,0))*(1+$AZ33)*(1+$BA33)+(($BB33+$BC33)/2*IF($G$1="牵丝",$AK33,$AI33)+IF($G$1="牵丝",$AL33*1.5,0))*(1+$BD33)*(1+$BE33)+(($BF33+$BG33)/2*IF($G$1="破竹",$AK33,$AI33)+IF($G$1="破竹",$AL33*1.5,0))*(1+$BH33)*(1+$BI33))*(1+$AM33)*$BL33*$Q33*(1+IF(VLOOKUP($R33,武学奇术!$A:$ZZ,30,FALSE)="回旋伞",$B$21,0))*(1+$BR33)</f>
        <v>95594.0141295305</v>
      </c>
      <c r="N33" s="38">
        <f>(($AP33*$AI33+$AJ33)*(1+$AQ33)*(1+$AR33)+($AU33*IF($G$1="鸣金",$AK33,$AI33)+IF($G$1="鸣金",$AL33*1.5,0))*(1+$AV33)*(1+$AW33)+($AY33*IF($G$1="裂石",$AK33,$AI33)+IF($G$1="裂石",$AL33*1.5,0))*(1+$AZ33)*(1+$BA33)+($BC33*IF($G$1="牵丝",$AK33,$AI33)+IF($G$1="牵丝",$AL33*1.5,0))*(1+$BD33)*(1+$BE33)+($BG33*IF($G$1="破竹",$AK33,$AI33)+IF($G$1="破竹",$AL33*1.5,0))*(1+$BH33)*(1+$BI33))*(1+$AM33)*$BN33*$Q33*(1+IF(VLOOKUP($R33,武学奇术!$A:$ZZ,30,FALSE)="回旋伞",$B$21,0))*(1+$BR33)</f>
        <v>77012.4757390464</v>
      </c>
      <c r="O33" s="38">
        <f>((($AO33+$AP33)/2*$AI33+$AJ33)*(1+$AQ33)*(1+$AR33)+(($AT33+$AU33)/2*IF($G$1="鸣金",$AK33,$AI33)+IF($G$1="鸣金",$AL33*1.5,0))*(1+$AV33)*(1+$AW33)+(($AX33+$AY33)/2*IF($G$1="裂石",$AK33,$AI33)+IF($G$1="裂石",$AL33*1.5,0))*(1+$AZ33)*(1+$BA33)+(($BB33+$BC33)/2*IF($G$1="牵丝",$AK33,$AI33)+IF($G$1="牵丝",$AL33*1.5,0))*(1+$BD33)*(1+$BE33)+(($BF33+$BG33)/2*IF($G$1="破竹",$AK33,$AI33)+IF($G$1="破竹",$AL33*1.5,0))*(1+$BH33)*(1+$BI33))*(1+$AM33)*$Q33*(1+IF(VLOOKUP($R33,武学奇术!$A:$ZZ,30,FALSE)="回旋伞",$B$21,0))*(1+$BR33)</f>
        <v>51119.7936521553</v>
      </c>
      <c r="P33" s="38">
        <f>((($AO33*$AI33+$AJ33)*(1+$AQ33)*(1+$AR33)+($AT33*IF($G$1="鸣金",$AK33,$AI33)+IF($G$1="鸣金",$AL33*1.5,0))*(1+$AV33)*(1+$AW33)+($AX33*IF($G$1="裂石",$AK33,$AI33)+IF($G$1="裂石",$AL33*1.5,0))*(1+$AZ33)*(1+$BA33)+($BB33*IF($G$1="牵丝",$AK33,$AI33)+IF($G$1="牵丝",$AL33*1.5,0))*(1+$BD33)*(1+$BE33)+($BF33*IF($G$1="破竹",$AK33,$AI33)+IF($G$1="破竹",$AL33*1.5,0))*(1+$BH33)*(1+$BI33))*(1+$AM33))*$Q33*(1+IF(VLOOKUP($R33,武学奇术!$A:$ZZ,30,FALSE)="回旋伞",$B$21,0))*(1+$BR33)</f>
        <v>45193.3089790911</v>
      </c>
      <c r="Q33" s="39">
        <v>2</v>
      </c>
      <c r="R33" s="40" t="s">
        <v>159</v>
      </c>
      <c r="S33" s="40" t="s">
        <v>72</v>
      </c>
      <c r="T33" s="40" t="s">
        <v>95</v>
      </c>
      <c r="U33" s="40" t="s">
        <v>73</v>
      </c>
      <c r="V33" s="40" t="s">
        <v>72</v>
      </c>
      <c r="W33" s="40" t="s">
        <v>160</v>
      </c>
      <c r="X33" s="40" t="s">
        <v>99</v>
      </c>
      <c r="Y33" s="40" t="s">
        <v>72</v>
      </c>
      <c r="Z33" s="40" t="s">
        <v>72</v>
      </c>
      <c r="AA33" s="40" t="s">
        <v>72</v>
      </c>
      <c r="AB33" s="40" t="s">
        <v>72</v>
      </c>
      <c r="AC33" s="40" t="s">
        <v>85</v>
      </c>
      <c r="AD33" s="40" t="s">
        <v>72</v>
      </c>
      <c r="AE33" s="40" t="s">
        <v>72</v>
      </c>
      <c r="AF33" s="40" t="s">
        <v>77</v>
      </c>
      <c r="AG33" s="40" t="s">
        <v>78</v>
      </c>
      <c r="AH33" t="str">
        <f>VLOOKUP($R33,武学奇术!$A:$ZZ,25,FALSE)</f>
        <v>伞</v>
      </c>
      <c r="AI33" s="26">
        <f>VLOOKUP($R33,武学奇术!$A:$ZZ,26,FALSE)</f>
        <v>2.01456</v>
      </c>
      <c r="AJ33" s="27">
        <f>VLOOKUP($R33,武学奇术!$A:$ZZ,27,FALSE)*(1+IF(OR($AH33=$F$4,$AH33=$F$5),$B$22,0))</f>
        <v>837</v>
      </c>
      <c r="AK33" s="26">
        <f>VLOOKUP($R33,武学奇术!$A:$ZZ,28,FALSE)</f>
        <v>3.02184</v>
      </c>
      <c r="AL33" s="27">
        <f>VLOOKUP($R33,武学奇术!$A:$ZZ,29,FALSE)*(1+IF(OR($AH33=$F$4,$AH33=$F$5),$B$22,0))</f>
        <v>453.6</v>
      </c>
      <c r="AM33" s="26" cm="1">
        <f t="array" ref="AM33">$G$3+IFERROR(VLOOKUP($AH33,$F$4:$G$7,2,FALSE),0)+VLOOKUP($R33,武学奇术!$A:$ZZ,2,FALSE)+SUM(_xlfn.XLOOKUP($S33:$AG33,增益!$A:$A,增益!$B:$B,0))</f>
        <v>0.4541</v>
      </c>
      <c r="AN33" s="26" cm="1">
        <f t="array" ref="AN33">VLOOKUP($R33,武学奇术!$A:$ZZ,5,FALSE)+SUM(_xlfn.XLOOKUP($S33:$AG33,增益!$A:$A,增益!$E:$E,0))</f>
        <v>0</v>
      </c>
      <c r="AO33" cm="1">
        <f t="array" ref="AO33">$D$10*(1+$AN33)+VLOOKUP($R33,武学奇术!$A:$ZZ,3,FALSE)+SUM(_xlfn.XLOOKUP($S33:$AG33,增益!$A:$A,增益!$C:$C,0))-$I$2</f>
        <v>3624.6</v>
      </c>
      <c r="AP33" cm="1">
        <f t="array" ref="AP33">$E$10*(1+$AN33)+VLOOKUP($R33,武学奇术!$A:$ZZ,4,FALSE)+SUM(_xlfn.XLOOKUP($S33:$AG33,增益!$A:$A,增益!$D:$D,0))-$I$2</f>
        <v>3624.6</v>
      </c>
      <c r="AQ33" s="32" cm="1">
        <f t="array" ref="AQ33">IF($F$10-$I$3+VLOOKUP($R33,武学奇术!$A:$ZZ,6,FALSE)+SUM(_xlfn.XLOOKUP(S33:AG33,增益!$A:$A,增益!$F:$F,0))&gt;0,($F$10-$I$3+VLOOKUP($R33,武学奇术!$A:$ZZ,6,FALSE)+SUM(_xlfn.XLOOKUP(S33:AG33,增益!$A:$A,增益!$F:$F,0)))/200,($F$10-$I$3+VLOOKUP($R33,武学奇术!$A:$ZZ,6,FALSE)+SUM(_xlfn.XLOOKUP(S33:AG33,增益!$A:$A,增益!$F:$F,0)))/100)</f>
        <v>0.3425</v>
      </c>
      <c r="AR33" s="32" cm="1">
        <f t="array" ref="AR33">$G$10+VLOOKUP($R33,武学奇术!$A:$ZZ,7,FALSE)+SUM(_xlfn.XLOOKUP(S33:AG33,增益!$A:$A,增益!$G:$G,0))</f>
        <v>0.028</v>
      </c>
      <c r="AS33" s="26" cm="1">
        <f t="array" ref="AS33">VLOOKUP($R33,武学奇术!$A:$ZZ,8,FALSE)+SUM(_xlfn.XLOOKUP(S33:AG33,增益!$A:$A,增益!$H:$H,0))</f>
        <v>0</v>
      </c>
      <c r="AT33">
        <f t="shared" si="0"/>
        <v>0</v>
      </c>
      <c r="AU33">
        <f t="shared" si="1"/>
        <v>0</v>
      </c>
      <c r="AV33" s="32" cm="1">
        <f t="array" ref="AV33">IF($F$11-$I$4+VLOOKUP($R33,武学奇术!$A:$ZZ,9,FALSE)+SUM(_xlfn.XLOOKUP(S33:AG33,增益!$A:$A,增益!$I:$I,0))&gt;0,($F$11-$I$4+VLOOKUP($R33,武学奇术!$A:$ZZ,9,FALSE)+SUM(_xlfn.XLOOKUP(S33:AG33,增益!$A:$A,增益!$I:$I,0)))/200,($F$11-$I$4+VLOOKUP($R33,武学奇术!$A:$ZZ,9,FALSE)+SUM(_xlfn.XLOOKUP(S33:AG33,增益!$A:$A,增益!$I:$I,0)))/100)</f>
        <v>-0.3</v>
      </c>
      <c r="AW33" s="32" cm="1">
        <f t="array" ref="AW33">$G$11+VLOOKUP($R33,武学奇术!$A:$ZZ,10,FALSE)+SUM(_xlfn.XLOOKUP(S33:AG33,增益!$A:$A,增益!$J:$J,0))</f>
        <v>0</v>
      </c>
      <c r="AX33">
        <f t="shared" si="2"/>
        <v>0</v>
      </c>
      <c r="AY33">
        <f t="shared" si="3"/>
        <v>0</v>
      </c>
      <c r="AZ33" s="32" cm="1">
        <f t="array" ref="AZ33">IF($F$12-$I$4+VLOOKUP($R33,武学奇术!$A:$ZZ,11,FALSE)+SUM(_xlfn.XLOOKUP(S33:AG33,增益!$A:$A,增益!$K:$K,0))&gt;0,($F$12-$I$4+VLOOKUP($R33,武学奇术!$A:$ZZ,11,FALSE)+SUM(_xlfn.XLOOKUP(S33:AG33,增益!$A:$A,增益!$K:$K,0)))/200,($F$12-$I$4+VLOOKUP($R33,武学奇术!$A:$ZZ,11,FALSE)+SUM(_xlfn.XLOOKUP(S33:AG33,增益!$A:$A,增益!$K:$K,0)))/100)</f>
        <v>-0.3</v>
      </c>
      <c r="BA33" s="32" cm="1">
        <f t="array" ref="BA33">$G$12+VLOOKUP($R33,武学奇术!$A:$ZZ,12,FALSE)+SUM(_xlfn.XLOOKUP(S33:AG33,增益!$A:$A,增益!$L:$L,0))</f>
        <v>0</v>
      </c>
      <c r="BB33">
        <f t="shared" si="4"/>
        <v>0</v>
      </c>
      <c r="BC33">
        <f t="shared" si="5"/>
        <v>0</v>
      </c>
      <c r="BD33" s="32" cm="1">
        <f t="array" ref="BD33">IF($F$13-$I$4+VLOOKUP($R33,武学奇术!$A:$ZZ,13,FALSE)+SUM(_xlfn.XLOOKUP(S33:AG33,增益!$A:$A,增益!$M:$M,0))&gt;0,($F$13-$I$4+VLOOKUP($R33,武学奇术!$A:$ZZ,13,FALSE)+SUM(_xlfn.XLOOKUP(S33:AG33,增益!$A:$A,增益!$K:$K,0)))/200,($F$13-$I$4+VLOOKUP($R33,武学奇术!$A:$ZZ,13,FALSE)+SUM(_xlfn.XLOOKUP(S33:AG33,增益!$A:$A,增益!$M:$M,0)))/100)</f>
        <v>-0.3</v>
      </c>
      <c r="BE33" s="32" cm="1">
        <f t="array" ref="BE33">$G$13+VLOOKUP($R33,武学奇术!$A:$ZZ,14,FALSE)+SUM(_xlfn.XLOOKUP(S33:AG33,增益!$A:$A,增益!$N:$N,0))</f>
        <v>0</v>
      </c>
      <c r="BF33">
        <f t="shared" si="6"/>
        <v>571.2</v>
      </c>
      <c r="BG33">
        <f t="shared" si="7"/>
        <v>1627.8</v>
      </c>
      <c r="BH33" s="32" cm="1">
        <f t="array" ref="BH33">IF($F$14-$I$4+VLOOKUP($R33,武学奇术!$A:$ZZ,15,FALSE)+SUM(_xlfn.XLOOKUP(S33:AG33,增益!$A:$A,增益!$O:$O,0))&gt;0,($F$14-$I$4+VLOOKUP($R33,武学奇术!$A:$ZZ,15,FALSE)+SUM(_xlfn.XLOOKUP(S33:AG33,增益!$A:$A,增益!$O:$O,0)))/200,($F$14-$I$4+VLOOKUP($R33,武学奇术!$A:$ZZ,15,FALSE)+SUM(_xlfn.XLOOKUP(S33:AG33,增益!$A:$A,增益!$O:$O,0)))/100)</f>
        <v>0</v>
      </c>
      <c r="BI33" s="32" cm="1">
        <f t="array" ref="BI33">$G$14+VLOOKUP($R33,武学奇术!$A:$ZZ,16,FALSE)+SUM(_xlfn.XLOOKUP(S33:AG33,增益!$A:$A,增益!$P:$P,0))</f>
        <v>0.15</v>
      </c>
      <c r="BJ33" s="26">
        <f>MIN(IF(VLOOKUP($R33,武学奇术!$A:$ZZ,23,FALSE)=1,100%,$B$8),100%)</f>
        <v>0.981</v>
      </c>
      <c r="BK33" s="26" cm="1">
        <f t="array" ref="BK33">IF(VLOOKUP($R33,武学奇术!$A:$ZZ,23,FALSE)=1,100%,MIN(80%,$B$9+VLOOKUP($R33,武学奇术!$A:$ZZ,17,FALSE)+SUM(_xlfn.XLOOKUP(S33:AG33,增益!$A:$A,增益!$Q:$Q,0)))+$B$11+SUM(_xlfn.XLOOKUP(S33:AG33,增益!$A:$A,增益!$U:$U,0)))*IF(VLOOKUP($R33,武学奇术!$A:$ZZ,24,FALSE)=1,0,1)</f>
        <v>0.846</v>
      </c>
      <c r="BL33" s="26" cm="1">
        <f t="array" ref="BL33">1+$B$13+VLOOKUP($R33,武学奇术!$A:$ZZ,18,FALSE)+SUM(_xlfn.XLOOKUP(S33:AG33,增益!$A:$A,增益!$R:$R,0))</f>
        <v>1.87</v>
      </c>
      <c r="BM33" s="26" cm="1">
        <f t="array" ref="BM33">IF(VLOOKUP($R33,武学奇术!$A:$ZZ,24,FALSE)=1,100%,MIN(40%,$B$10+VLOOKUP($R33,武学奇术!$A:$ZZ,19,FALSE)+SUM(_xlfn.XLOOKUP(S33:AG33,增益!$A:$A,增益!$S:$S,0)))+$B$12+SUM(_xlfn.XLOOKUP(S33:AG33,增益!$A:$A,增益!$V:$V,0)))*IF(VLOOKUP($R33,武学奇术!$A:$ZZ,23,FALSE)=1,0,1)</f>
        <v>0.0929</v>
      </c>
      <c r="BN33" s="26" cm="1">
        <f t="array" ref="BN33">1+$B$14+VLOOKUP($R33,武学奇术!$A:$ZZ,20,FALSE)+SUM(_xlfn.XLOOKUP(S33:AG33,增益!$A:$A,增益!$T:$T,0))</f>
        <v>1.35</v>
      </c>
      <c r="BO33" s="26">
        <f t="shared" si="12"/>
        <v>0.829926</v>
      </c>
      <c r="BP33" s="26">
        <f t="shared" si="9"/>
        <v>0.0599391</v>
      </c>
      <c r="BQ33" s="26">
        <f>IF(VLOOKUP($R33,武学奇术!$A:$ZZ,22,FALSE)=1,0,(1-$BJ33))*(1-$BM33)</f>
        <v>0.0172349</v>
      </c>
      <c r="BR33" s="26" cm="1">
        <f t="array" ref="BR33">SUM(_xlfn.XLOOKUP(S33:AG33,增益!$A:$A,增益!$W:$W,0))+$I$5</f>
        <v>0.11</v>
      </c>
    </row>
    <row r="34" spans="1:70">
      <c r="A34" s="4" t="s">
        <v>161</v>
      </c>
      <c r="B34" s="4">
        <v>1</v>
      </c>
      <c r="D34" s="39"/>
      <c r="E34" s="39"/>
      <c r="F34" s="39"/>
      <c r="G34"/>
      <c r="K34">
        <f>$L34*VLOOKUP($R34,武学奇术!$A:$ZZ,31,FALSE)</f>
        <v>25407.803365312</v>
      </c>
      <c r="L34" s="38">
        <f t="shared" si="11"/>
        <v>24197.9079669638</v>
      </c>
      <c r="M34" s="38">
        <f>((($AO34+$AP34)/2*$AI34+$AJ34)*(1+$AQ34)*(1+$AR34)+(($AT34+$AU34)/2*IF($G$1="鸣金",$AK34,$AI34)+IF($G$1="鸣金",$AL34*1.5,0))*(1+$AV34)*(1+$AW34)+(($AX34+$AY34)/2*IF($G$1="裂石",$AK34,$AI34)+IF($G$1="裂石",$AL34*1.5,0))*(1+$AZ34)*(1+$BA34)+(($BB34+$BC34)/2*IF($G$1="牵丝",$AK34,$AI34)+IF($G$1="牵丝",$AL34*1.5,0))*(1+$BD34)*(1+$BE34)+(($BF34+$BG34)/2*IF($G$1="破竹",$AK34,$AI34)+IF($G$1="破竹",$AL34*1.5,0))*(1+$BH34)*(1+$BI34))*(1+$AM34)*$BL34*$Q34*(1+IF(VLOOKUP($R34,武学奇术!$A:$ZZ,30,FALSE)="回旋伞",$B$21,0))*(1+$BR34)</f>
        <v>25581.7758763303</v>
      </c>
      <c r="N34" s="38">
        <f>(($AP34*$AI34+$AJ34)*(1+$AQ34)*(1+$AR34)+($AU34*IF($G$1="鸣金",$AK34,$AI34)+IF($G$1="鸣金",$AL34*1.5,0))*(1+$AV34)*(1+$AW34)+($AY34*IF($G$1="裂石",$AK34,$AI34)+IF($G$1="裂石",$AL34*1.5,0))*(1+$AZ34)*(1+$BA34)+($BC34*IF($G$1="牵丝",$AK34,$AI34)+IF($G$1="牵丝",$AL34*1.5,0))*(1+$BD34)*(1+$BE34)+($BG34*IF($G$1="破竹",$AK34,$AI34)+IF($G$1="破竹",$AL34*1.5,0))*(1+$BH34)*(1+$BI34))*(1+$AM34)*$BN34*$Q34*(1+IF(VLOOKUP($R34,武学奇术!$A:$ZZ,30,FALSE)="回旋伞",$B$21,0))*(1+$BR34)</f>
        <v>20907.6896132299</v>
      </c>
      <c r="O34" s="38">
        <f>((($AO34+$AP34)/2*$AI34+$AJ34)*(1+$AQ34)*(1+$AR34)+(($AT34+$AU34)/2*IF($G$1="鸣金",$AK34,$AI34)+IF($G$1="鸣金",$AL34*1.5,0))*(1+$AV34)*(1+$AW34)+(($AX34+$AY34)/2*IF($G$1="裂石",$AK34,$AI34)+IF($G$1="裂石",$AL34*1.5,0))*(1+$AZ34)*(1+$BA34)+(($BB34+$BC34)/2*IF($G$1="牵丝",$AK34,$AI34)+IF($G$1="牵丝",$AL34*1.5,0))*(1+$BD34)*(1+$BE34)+(($BF34+$BG34)/2*IF($G$1="破竹",$AK34,$AI34)+IF($G$1="破竹",$AL34*1.5,0))*(1+$BH34)*(1+$BI34))*(1+$AM34)*$Q34*(1+IF(VLOOKUP($R34,武学奇术!$A:$ZZ,30,FALSE)="回旋伞",$B$21,0))*(1+$BR34)</f>
        <v>13680.0940515135</v>
      </c>
      <c r="P34" s="38">
        <f>((($AO34*$AI34+$AJ34)*(1+$AQ34)*(1+$AR34)+($AT34*IF($G$1="鸣金",$AK34,$AI34)+IF($G$1="鸣金",$AL34*1.5,0))*(1+$AV34)*(1+$AW34)+($AX34*IF($G$1="裂石",$AK34,$AI34)+IF($G$1="裂石",$AL34*1.5,0))*(1+$AZ34)*(1+$BA34)+($BB34*IF($G$1="牵丝",$AK34,$AI34)+IF($G$1="牵丝",$AL34*1.5,0))*(1+$BD34)*(1+$BE34)+($BF34*IF($G$1="破竹",$AK34,$AI34)+IF($G$1="破竹",$AL34*1.5,0))*(1+$BH34)*(1+$BI34))*(1+$AM34))*$Q34*(1+IF(VLOOKUP($R34,武学奇术!$A:$ZZ,30,FALSE)="回旋伞",$B$21,0))*(1+$BR34)</f>
        <v>11873.0106117456</v>
      </c>
      <c r="Q34" s="39">
        <v>2</v>
      </c>
      <c r="R34" s="40" t="s">
        <v>162</v>
      </c>
      <c r="S34" s="40" t="s">
        <v>72</v>
      </c>
      <c r="T34" s="40" t="s">
        <v>95</v>
      </c>
      <c r="U34" s="40" t="s">
        <v>73</v>
      </c>
      <c r="V34" s="40" t="s">
        <v>72</v>
      </c>
      <c r="W34" s="40" t="s">
        <v>160</v>
      </c>
      <c r="X34" s="40" t="s">
        <v>99</v>
      </c>
      <c r="Y34" s="40" t="s">
        <v>72</v>
      </c>
      <c r="Z34" s="40" t="s">
        <v>72</v>
      </c>
      <c r="AA34" s="40" t="s">
        <v>72</v>
      </c>
      <c r="AB34" s="40" t="s">
        <v>72</v>
      </c>
      <c r="AC34" s="40" t="s">
        <v>85</v>
      </c>
      <c r="AD34" s="40" t="s">
        <v>72</v>
      </c>
      <c r="AE34" s="40" t="s">
        <v>72</v>
      </c>
      <c r="AF34" s="40" t="s">
        <v>77</v>
      </c>
      <c r="AG34" s="40" t="s">
        <v>78</v>
      </c>
      <c r="AH34" t="str">
        <f>VLOOKUP($R34,武学奇术!$A:$ZZ,25,FALSE)</f>
        <v>伞</v>
      </c>
      <c r="AI34" s="26">
        <f>VLOOKUP($R34,武学奇术!$A:$ZZ,26,FALSE)</f>
        <v>0.54</v>
      </c>
      <c r="AJ34" s="27">
        <f>VLOOKUP($R34,武学奇术!$A:$ZZ,27,FALSE)*(1+IF(OR($AH34=$F$4,$AH34=$F$5),$B$22,0))</f>
        <v>0</v>
      </c>
      <c r="AK34" s="26">
        <f>VLOOKUP($R34,武学奇术!$A:$ZZ,28,FALSE)</f>
        <v>0.81</v>
      </c>
      <c r="AL34" s="27">
        <f>VLOOKUP($R34,武学奇术!$A:$ZZ,29,FALSE)*(1+IF(OR($AH34=$F$4,$AH34=$F$5),$B$22,0))</f>
        <v>0</v>
      </c>
      <c r="AM34" s="26" cm="1">
        <f t="array" ref="AM34">$G$3+IFERROR(VLOOKUP($AH34,$F$4:$G$7,2,FALSE),0)+VLOOKUP($R34,武学奇术!$A:$ZZ,2,FALSE)+SUM(_xlfn.XLOOKUP($S34:$AG34,增益!$A:$A,增益!$B:$B,0))</f>
        <v>0.6541</v>
      </c>
      <c r="AN34" s="26" cm="1">
        <f t="array" ref="AN34">VLOOKUP($R34,武学奇术!$A:$ZZ,5,FALSE)+SUM(_xlfn.XLOOKUP($S34:$AG34,增益!$A:$A,增益!$E:$E,0))</f>
        <v>0</v>
      </c>
      <c r="AO34" cm="1">
        <f t="array" ref="AO34">$D$10*(1+$AN34)+VLOOKUP($R34,武学奇术!$A:$ZZ,3,FALSE)+SUM(_xlfn.XLOOKUP($S34:$AG34,增益!$A:$A,增益!$C:$C,0))-$I$2</f>
        <v>3624.6</v>
      </c>
      <c r="AP34" cm="1">
        <f t="array" ref="AP34">$E$10*(1+$AN34)+VLOOKUP($R34,武学奇术!$A:$ZZ,4,FALSE)+SUM(_xlfn.XLOOKUP($S34:$AG34,增益!$A:$A,增益!$D:$D,0))-$I$2</f>
        <v>3624.6</v>
      </c>
      <c r="AQ34" s="32" cm="1">
        <f t="array" ref="AQ34">IF($F$10-$I$3+VLOOKUP($R34,武学奇术!$A:$ZZ,6,FALSE)+SUM(_xlfn.XLOOKUP(S34:AG34,增益!$A:$A,增益!$F:$F,0))&gt;0,($F$10-$I$3+VLOOKUP($R34,武学奇术!$A:$ZZ,6,FALSE)+SUM(_xlfn.XLOOKUP(S34:AG34,增益!$A:$A,增益!$F:$F,0)))/200,($F$10-$I$3+VLOOKUP($R34,武学奇术!$A:$ZZ,6,FALSE)+SUM(_xlfn.XLOOKUP(S34:AG34,增益!$A:$A,增益!$F:$F,0)))/100)</f>
        <v>0.3425</v>
      </c>
      <c r="AR34" s="32" cm="1">
        <f t="array" ref="AR34">$G$10+VLOOKUP($R34,武学奇术!$A:$ZZ,7,FALSE)+SUM(_xlfn.XLOOKUP(S34:AG34,增益!$A:$A,增益!$G:$G,0))</f>
        <v>0.028</v>
      </c>
      <c r="AS34" s="26" cm="1">
        <f t="array" ref="AS34">VLOOKUP($R34,武学奇术!$A:$ZZ,8,FALSE)+SUM(_xlfn.XLOOKUP(S34:AG34,增益!$A:$A,增益!$H:$H,0))</f>
        <v>0</v>
      </c>
      <c r="AT34">
        <f t="shared" si="0"/>
        <v>0</v>
      </c>
      <c r="AU34">
        <f t="shared" si="1"/>
        <v>0</v>
      </c>
      <c r="AV34" s="32" cm="1">
        <f t="array" ref="AV34">IF($F$11-$I$4+VLOOKUP($R34,武学奇术!$A:$ZZ,9,FALSE)+SUM(_xlfn.XLOOKUP(S34:AG34,增益!$A:$A,增益!$I:$I,0))&gt;0,($F$11-$I$4+VLOOKUP($R34,武学奇术!$A:$ZZ,9,FALSE)+SUM(_xlfn.XLOOKUP(S34:AG34,增益!$A:$A,增益!$I:$I,0)))/200,($F$11-$I$4+VLOOKUP($R34,武学奇术!$A:$ZZ,9,FALSE)+SUM(_xlfn.XLOOKUP(S34:AG34,增益!$A:$A,增益!$I:$I,0)))/100)</f>
        <v>-0.3</v>
      </c>
      <c r="AW34" s="32" cm="1">
        <f t="array" ref="AW34">$G$11+VLOOKUP($R34,武学奇术!$A:$ZZ,10,FALSE)+SUM(_xlfn.XLOOKUP(S34:AG34,增益!$A:$A,增益!$J:$J,0))</f>
        <v>0</v>
      </c>
      <c r="AX34">
        <f t="shared" si="2"/>
        <v>0</v>
      </c>
      <c r="AY34">
        <f t="shared" si="3"/>
        <v>0</v>
      </c>
      <c r="AZ34" s="32" cm="1">
        <f t="array" ref="AZ34">IF($F$12-$I$4+VLOOKUP($R34,武学奇术!$A:$ZZ,11,FALSE)+SUM(_xlfn.XLOOKUP(S34:AG34,增益!$A:$A,增益!$K:$K,0))&gt;0,($F$12-$I$4+VLOOKUP($R34,武学奇术!$A:$ZZ,11,FALSE)+SUM(_xlfn.XLOOKUP(S34:AG34,增益!$A:$A,增益!$K:$K,0)))/200,($F$12-$I$4+VLOOKUP($R34,武学奇术!$A:$ZZ,11,FALSE)+SUM(_xlfn.XLOOKUP(S34:AG34,增益!$A:$A,增益!$K:$K,0)))/100)</f>
        <v>-0.3</v>
      </c>
      <c r="BA34" s="32" cm="1">
        <f t="array" ref="BA34">$G$12+VLOOKUP($R34,武学奇术!$A:$ZZ,12,FALSE)+SUM(_xlfn.XLOOKUP(S34:AG34,增益!$A:$A,增益!$L:$L,0))</f>
        <v>0</v>
      </c>
      <c r="BB34">
        <f t="shared" si="4"/>
        <v>0</v>
      </c>
      <c r="BC34">
        <f t="shared" si="5"/>
        <v>0</v>
      </c>
      <c r="BD34" s="32" cm="1">
        <f t="array" ref="BD34">IF($F$13-$I$4+VLOOKUP($R34,武学奇术!$A:$ZZ,13,FALSE)+SUM(_xlfn.XLOOKUP(S34:AG34,增益!$A:$A,增益!$M:$M,0))&gt;0,($F$13-$I$4+VLOOKUP($R34,武学奇术!$A:$ZZ,13,FALSE)+SUM(_xlfn.XLOOKUP(S34:AG34,增益!$A:$A,增益!$K:$K,0)))/200,($F$13-$I$4+VLOOKUP($R34,武学奇术!$A:$ZZ,13,FALSE)+SUM(_xlfn.XLOOKUP(S34:AG34,增益!$A:$A,增益!$M:$M,0)))/100)</f>
        <v>-0.3</v>
      </c>
      <c r="BE34" s="32" cm="1">
        <f t="array" ref="BE34">$G$13+VLOOKUP($R34,武学奇术!$A:$ZZ,14,FALSE)+SUM(_xlfn.XLOOKUP(S34:AG34,增益!$A:$A,增益!$N:$N,0))</f>
        <v>0</v>
      </c>
      <c r="BF34">
        <f t="shared" si="6"/>
        <v>571.2</v>
      </c>
      <c r="BG34">
        <f t="shared" si="7"/>
        <v>1627.8</v>
      </c>
      <c r="BH34" s="32" cm="1">
        <f t="array" ref="BH34">IF($F$14-$I$4+VLOOKUP($R34,武学奇术!$A:$ZZ,15,FALSE)+SUM(_xlfn.XLOOKUP(S34:AG34,增益!$A:$A,增益!$O:$O,0))&gt;0,($F$14-$I$4+VLOOKUP($R34,武学奇术!$A:$ZZ,15,FALSE)+SUM(_xlfn.XLOOKUP(S34:AG34,增益!$A:$A,增益!$O:$O,0)))/200,($F$14-$I$4+VLOOKUP($R34,武学奇术!$A:$ZZ,15,FALSE)+SUM(_xlfn.XLOOKUP(S34:AG34,增益!$A:$A,增益!$O:$O,0)))/100)</f>
        <v>0</v>
      </c>
      <c r="BI34" s="32" cm="1">
        <f t="array" ref="BI34">$G$14+VLOOKUP($R34,武学奇术!$A:$ZZ,16,FALSE)+SUM(_xlfn.XLOOKUP(S34:AG34,增益!$A:$A,增益!$P:$P,0))</f>
        <v>0.15</v>
      </c>
      <c r="BJ34" s="26">
        <f>MIN(IF(VLOOKUP($R34,武学奇术!$A:$ZZ,23,FALSE)=1,100%,$B$8),100%)</f>
        <v>0.981</v>
      </c>
      <c r="BK34" s="26" cm="1">
        <f t="array" ref="BK34">IF(VLOOKUP($R34,武学奇术!$A:$ZZ,23,FALSE)=1,100%,MIN(80%,$B$9+VLOOKUP($R34,武学奇术!$A:$ZZ,17,FALSE)+SUM(_xlfn.XLOOKUP(S34:AG34,增益!$A:$A,增益!$Q:$Q,0)))+$B$11+SUM(_xlfn.XLOOKUP(S34:AG34,增益!$A:$A,增益!$U:$U,0)))*IF(VLOOKUP($R34,武学奇术!$A:$ZZ,24,FALSE)=1,0,1)</f>
        <v>0.846</v>
      </c>
      <c r="BL34" s="26" cm="1">
        <f t="array" ref="BL34">1+$B$13+VLOOKUP($R34,武学奇术!$A:$ZZ,18,FALSE)+SUM(_xlfn.XLOOKUP(S34:AG34,增益!$A:$A,增益!$R:$R,0))</f>
        <v>1.87</v>
      </c>
      <c r="BM34" s="26" cm="1">
        <f t="array" ref="BM34">IF(VLOOKUP($R34,武学奇术!$A:$ZZ,24,FALSE)=1,100%,MIN(40%,$B$10+VLOOKUP($R34,武学奇术!$A:$ZZ,19,FALSE)+SUM(_xlfn.XLOOKUP(S34:AG34,增益!$A:$A,增益!$S:$S,0)))+$B$12+SUM(_xlfn.XLOOKUP(S34:AG34,增益!$A:$A,增益!$V:$V,0)))*IF(VLOOKUP($R34,武学奇术!$A:$ZZ,23,FALSE)=1,0,1)</f>
        <v>0.0929</v>
      </c>
      <c r="BN34" s="26" cm="1">
        <f t="array" ref="BN34">1+$B$14+VLOOKUP($R34,武学奇术!$A:$ZZ,20,FALSE)+SUM(_xlfn.XLOOKUP(S34:AG34,增益!$A:$A,增益!$T:$T,0))</f>
        <v>1.35</v>
      </c>
      <c r="BO34" s="26">
        <f t="shared" si="12"/>
        <v>0.829926</v>
      </c>
      <c r="BP34" s="26">
        <f t="shared" si="9"/>
        <v>0.0599391</v>
      </c>
      <c r="BQ34" s="26">
        <f>IF(VLOOKUP($R34,武学奇术!$A:$ZZ,22,FALSE)=1,0,(1-$BJ34))*(1-$BM34)</f>
        <v>0.0172349</v>
      </c>
      <c r="BR34" s="26" cm="1">
        <f t="array" ref="BR34">SUM(_xlfn.XLOOKUP(S34:AG34,增益!$A:$A,增益!$W:$W,0))+$I$5</f>
        <v>0.11</v>
      </c>
    </row>
    <row r="35" spans="1:70">
      <c r="A35" s="4" t="s">
        <v>164</v>
      </c>
      <c r="B35" s="4">
        <v>0.85</v>
      </c>
      <c r="D35" s="39"/>
      <c r="E35" s="39"/>
      <c r="F35" s="39"/>
      <c r="K35">
        <f>$L35*VLOOKUP($R35,武学奇术!$A:$ZZ,31,FALSE)</f>
        <v>47647.7661502014</v>
      </c>
      <c r="L35" s="38">
        <f t="shared" ref="L35:L61" si="13">($M35*$BO35+$N35*$BM35+$O35*$BP35+$P35*$BQ35)</f>
        <v>45378.8249049537</v>
      </c>
      <c r="M35" s="38">
        <f>((($AO35+$AP35)/2*$AI35+$AJ35)*(1+$AQ35)*(1+$AR35)+(($AT35+$AU35)/2*IF($G$1="鸣金",$AK35,$AI35)+IF($G$1="鸣金",$AL35*1.5,0))*(1+$AV35)*(1+$AW35)+(($AX35+$AY35)/2*IF($G$1="裂石",$AK35,$AI35)+IF($G$1="裂石",$AL35*1.5,0))*(1+$AZ35)*(1+$BA35)+(($BB35+$BC35)/2*IF($G$1="牵丝",$AK35,$AI35)+IF($G$1="牵丝",$AL35*1.5,0))*(1+$BD35)*(1+$BE35)+(($BF35+$BG35)/2*IF($G$1="破竹",$AK35,$AI35)+IF($G$1="破竹",$AL35*1.5,0))*(1+$BH35)*(1+$BI35))*(1+$AM35)*$BL35*$Q35*(1+IF(VLOOKUP($R35,武学奇术!$A:$ZZ,30,FALSE)="回旋伞",$B$21,0))*(1+$BR35)</f>
        <v>48052.606033026</v>
      </c>
      <c r="N35" s="38">
        <f>(($AP35*$AI35+$AJ35)*(1+$AQ35)*(1+$AR35)+($AU35*IF($G$1="鸣金",$AK35,$AI35)+IF($G$1="鸣金",$AL35*1.5,0))*(1+$AV35)*(1+$AW35)+($AY35*IF($G$1="裂石",$AK35,$AI35)+IF($G$1="裂石",$AL35*1.5,0))*(1+$AZ35)*(1+$BA35)+($BC35*IF($G$1="牵丝",$AK35,$AI35)+IF($G$1="牵丝",$AL35*1.5,0))*(1+$BD35)*(1+$BE35)+($BG35*IF($G$1="破竹",$AK35,$AI35)+IF($G$1="破竹",$AL35*1.5,0))*(1+$BH35)*(1+$BI35))*(1+$AM35)*$BN35*$Q35*(1+IF(VLOOKUP($R35,武学奇术!$A:$ZZ,30,FALSE)="回旋伞",$B$21,0))*(1+$BR35)</f>
        <v>38506.2378695232</v>
      </c>
      <c r="O35" s="38">
        <f>((($AO35+$AP35)/2*$AI35+$AJ35)*(1+$AQ35)*(1+$AR35)+(($AT35+$AU35)/2*IF($G$1="鸣金",$AK35,$AI35)+IF($G$1="鸣金",$AL35*1.5,0))*(1+$AV35)*(1+$AW35)+(($AX35+$AY35)/2*IF($G$1="裂石",$AK35,$AI35)+IF($G$1="裂石",$AL35*1.5,0))*(1+$AZ35)*(1+$BA35)+(($BB35+$BC35)/2*IF($G$1="牵丝",$AK35,$AI35)+IF($G$1="牵丝",$AL35*1.5,0))*(1+$BD35)*(1+$BE35)+(($BF35+$BG35)/2*IF($G$1="破竹",$AK35,$AI35)+IF($G$1="破竹",$AL35*1.5,0))*(1+$BH35)*(1+$BI35))*(1+$AM35)*$Q35*(1+IF(VLOOKUP($R35,武学奇术!$A:$ZZ,30,FALSE)="回旋伞",$B$21,0))*(1+$BR35)</f>
        <v>25559.8968260777</v>
      </c>
      <c r="P35" s="38">
        <f>((($AO35*$AI35+$AJ35)*(1+$AQ35)*(1+$AR35)+($AT35*IF($G$1="鸣金",$AK35,$AI35)+IF($G$1="鸣金",$AL35*1.5,0))*(1+$AV35)*(1+$AW35)+($AX35*IF($G$1="裂石",$AK35,$AI35)+IF($G$1="裂石",$AL35*1.5,0))*(1+$AZ35)*(1+$BA35)+($BB35*IF($G$1="牵丝",$AK35,$AI35)+IF($G$1="牵丝",$AL35*1.5,0))*(1+$BD35)*(1+$BE35)+($BF35*IF($G$1="破竹",$AK35,$AI35)+IF($G$1="破竹",$AL35*1.5,0))*(1+$BH35)*(1+$BI35))*(1+$AM35))*$Q35*(1+IF(VLOOKUP($R35,武学奇术!$A:$ZZ,30,FALSE)="回旋伞",$B$21,0))*(1+$BR35)</f>
        <v>22596.6544895455</v>
      </c>
      <c r="Q35" s="39">
        <v>1</v>
      </c>
      <c r="R35" s="40" t="s">
        <v>159</v>
      </c>
      <c r="S35" s="40" t="s">
        <v>72</v>
      </c>
      <c r="T35" s="40" t="s">
        <v>95</v>
      </c>
      <c r="U35" s="40" t="s">
        <v>73</v>
      </c>
      <c r="V35" s="40" t="s">
        <v>72</v>
      </c>
      <c r="W35" s="40" t="s">
        <v>165</v>
      </c>
      <c r="X35" s="40" t="s">
        <v>99</v>
      </c>
      <c r="Y35" s="40" t="s">
        <v>72</v>
      </c>
      <c r="Z35" s="40" t="s">
        <v>72</v>
      </c>
      <c r="AA35" s="40" t="s">
        <v>72</v>
      </c>
      <c r="AB35" s="40" t="s">
        <v>72</v>
      </c>
      <c r="AC35" s="40" t="s">
        <v>85</v>
      </c>
      <c r="AD35" s="40" t="s">
        <v>72</v>
      </c>
      <c r="AE35" s="40" t="s">
        <v>72</v>
      </c>
      <c r="AF35" s="40" t="s">
        <v>77</v>
      </c>
      <c r="AG35" s="40" t="s">
        <v>78</v>
      </c>
      <c r="AH35" t="str">
        <f>VLOOKUP($R35,武学奇术!$A:$ZZ,25,FALSE)</f>
        <v>伞</v>
      </c>
      <c r="AI35" s="26">
        <f>VLOOKUP($R35,武学奇术!$A:$ZZ,26,FALSE)</f>
        <v>2.01456</v>
      </c>
      <c r="AJ35" s="27">
        <f>VLOOKUP($R35,武学奇术!$A:$ZZ,27,FALSE)*(1+IF(OR($AH35=$F$4,$AH35=$F$5),$B$22,0))</f>
        <v>837</v>
      </c>
      <c r="AK35" s="26">
        <f>VLOOKUP($R35,武学奇术!$A:$ZZ,28,FALSE)</f>
        <v>3.02184</v>
      </c>
      <c r="AL35" s="27">
        <f>VLOOKUP($R35,武学奇术!$A:$ZZ,29,FALSE)*(1+IF(OR($AH35=$F$4,$AH35=$F$5),$B$22,0))</f>
        <v>453.6</v>
      </c>
      <c r="AM35" s="26" cm="1">
        <f t="array" ref="AM35">$G$3+IFERROR(VLOOKUP($AH35,$F$4:$G$7,2,FALSE),0)+VLOOKUP($R35,武学奇术!$A:$ZZ,2,FALSE)+SUM(_xlfn.XLOOKUP($S35:$AG35,增益!$A:$A,增益!$B:$B,0))</f>
        <v>0.4541</v>
      </c>
      <c r="AN35" s="26" cm="1">
        <f t="array" ref="AN35">VLOOKUP($R35,武学奇术!$A:$ZZ,5,FALSE)+SUM(_xlfn.XLOOKUP($S35:$AG35,增益!$A:$A,增益!$E:$E,0))</f>
        <v>0</v>
      </c>
      <c r="AO35" cm="1">
        <f t="array" ref="AO35">$D$10*(1+$AN35)+VLOOKUP($R35,武学奇术!$A:$ZZ,3,FALSE)+SUM(_xlfn.XLOOKUP($S35:$AG35,增益!$A:$A,增益!$C:$C,0))-$I$2</f>
        <v>3624.6</v>
      </c>
      <c r="AP35" cm="1">
        <f t="array" ref="AP35">$E$10*(1+$AN35)+VLOOKUP($R35,武学奇术!$A:$ZZ,4,FALSE)+SUM(_xlfn.XLOOKUP($S35:$AG35,增益!$A:$A,增益!$D:$D,0))-$I$2</f>
        <v>3624.6</v>
      </c>
      <c r="AQ35" s="32" cm="1">
        <f t="array" ref="AQ35">IF($F$10-$I$3+VLOOKUP($R35,武学奇术!$A:$ZZ,6,FALSE)+SUM(_xlfn.XLOOKUP(S35:AG35,增益!$A:$A,增益!$F:$F,0))&gt;0,($F$10-$I$3+VLOOKUP($R35,武学奇术!$A:$ZZ,6,FALSE)+SUM(_xlfn.XLOOKUP(S35:AG35,增益!$A:$A,增益!$F:$F,0)))/200,($F$10-$I$3+VLOOKUP($R35,武学奇术!$A:$ZZ,6,FALSE)+SUM(_xlfn.XLOOKUP(S35:AG35,增益!$A:$A,增益!$F:$F,0)))/100)</f>
        <v>0.3425</v>
      </c>
      <c r="AR35" s="32" cm="1">
        <f t="array" ref="AR35">$G$10+VLOOKUP($R35,武学奇术!$A:$ZZ,7,FALSE)+SUM(_xlfn.XLOOKUP(S35:AG35,增益!$A:$A,增益!$G:$G,0))</f>
        <v>0.028</v>
      </c>
      <c r="AS35" s="26" cm="1">
        <f t="array" ref="AS35">VLOOKUP($R35,武学奇术!$A:$ZZ,8,FALSE)+SUM(_xlfn.XLOOKUP(S35:AG35,增益!$A:$A,增益!$H:$H,0))</f>
        <v>0</v>
      </c>
      <c r="AT35">
        <f t="shared" si="0"/>
        <v>0</v>
      </c>
      <c r="AU35">
        <f t="shared" si="1"/>
        <v>0</v>
      </c>
      <c r="AV35" s="32" cm="1">
        <f t="array" ref="AV35">IF($F$11-$I$4+VLOOKUP($R35,武学奇术!$A:$ZZ,9,FALSE)+SUM(_xlfn.XLOOKUP(S35:AG35,增益!$A:$A,增益!$I:$I,0))&gt;0,($F$11-$I$4+VLOOKUP($R35,武学奇术!$A:$ZZ,9,FALSE)+SUM(_xlfn.XLOOKUP(S35:AG35,增益!$A:$A,增益!$I:$I,0)))/200,($F$11-$I$4+VLOOKUP($R35,武学奇术!$A:$ZZ,9,FALSE)+SUM(_xlfn.XLOOKUP(S35:AG35,增益!$A:$A,增益!$I:$I,0)))/100)</f>
        <v>-0.3</v>
      </c>
      <c r="AW35" s="32" cm="1">
        <f t="array" ref="AW35">$G$11+VLOOKUP($R35,武学奇术!$A:$ZZ,10,FALSE)+SUM(_xlfn.XLOOKUP(S35:AG35,增益!$A:$A,增益!$J:$J,0))</f>
        <v>0</v>
      </c>
      <c r="AX35">
        <f t="shared" si="2"/>
        <v>0</v>
      </c>
      <c r="AY35">
        <f t="shared" si="3"/>
        <v>0</v>
      </c>
      <c r="AZ35" s="32" cm="1">
        <f t="array" ref="AZ35">IF($F$12-$I$4+VLOOKUP($R35,武学奇术!$A:$ZZ,11,FALSE)+SUM(_xlfn.XLOOKUP(S35:AG35,增益!$A:$A,增益!$K:$K,0))&gt;0,($F$12-$I$4+VLOOKUP($R35,武学奇术!$A:$ZZ,11,FALSE)+SUM(_xlfn.XLOOKUP(S35:AG35,增益!$A:$A,增益!$K:$K,0)))/200,($F$12-$I$4+VLOOKUP($R35,武学奇术!$A:$ZZ,11,FALSE)+SUM(_xlfn.XLOOKUP(S35:AG35,增益!$A:$A,增益!$K:$K,0)))/100)</f>
        <v>-0.3</v>
      </c>
      <c r="BA35" s="32" cm="1">
        <f t="array" ref="BA35">$G$12+VLOOKUP($R35,武学奇术!$A:$ZZ,12,FALSE)+SUM(_xlfn.XLOOKUP(S35:AG35,增益!$A:$A,增益!$L:$L,0))</f>
        <v>0</v>
      </c>
      <c r="BB35">
        <f t="shared" ref="BB35:BB60" si="14">$D$13*(1+$AS35)</f>
        <v>0</v>
      </c>
      <c r="BC35">
        <f t="shared" ref="BC35:BC60" si="15">$E$13*(1+$AS35)</f>
        <v>0</v>
      </c>
      <c r="BD35" s="32" cm="1">
        <f t="array" ref="BD35">IF($F$13-$I$4+VLOOKUP($R35,武学奇术!$A:$ZZ,13,FALSE)+SUM(_xlfn.XLOOKUP(S35:AG35,增益!$A:$A,增益!$M:$M,0))&gt;0,($F$13-$I$4+VLOOKUP($R35,武学奇术!$A:$ZZ,13,FALSE)+SUM(_xlfn.XLOOKUP(S35:AG35,增益!$A:$A,增益!$K:$K,0)))/200,($F$13-$I$4+VLOOKUP($R35,武学奇术!$A:$ZZ,13,FALSE)+SUM(_xlfn.XLOOKUP(S35:AG35,增益!$A:$A,增益!$M:$M,0)))/100)</f>
        <v>-0.3</v>
      </c>
      <c r="BE35" s="32" cm="1">
        <f t="array" ref="BE35">$G$13+VLOOKUP($R35,武学奇术!$A:$ZZ,14,FALSE)+SUM(_xlfn.XLOOKUP(S35:AG35,增益!$A:$A,增益!$N:$N,0))</f>
        <v>0</v>
      </c>
      <c r="BF35">
        <f t="shared" ref="BF35:BF60" si="16">$D$14*(1+$AS35)</f>
        <v>571.2</v>
      </c>
      <c r="BG35">
        <f t="shared" ref="BG35:BG60" si="17">$E$14*(1+$AS35)</f>
        <v>1627.8</v>
      </c>
      <c r="BH35" s="32" cm="1">
        <f t="array" ref="BH35">IF($F$14-$I$4+VLOOKUP($R35,武学奇术!$A:$ZZ,15,FALSE)+SUM(_xlfn.XLOOKUP(S35:AG35,增益!$A:$A,增益!$O:$O,0))&gt;0,($F$14-$I$4+VLOOKUP($R35,武学奇术!$A:$ZZ,15,FALSE)+SUM(_xlfn.XLOOKUP(S35:AG35,增益!$A:$A,增益!$O:$O,0)))/200,($F$14-$I$4+VLOOKUP($R35,武学奇术!$A:$ZZ,15,FALSE)+SUM(_xlfn.XLOOKUP(S35:AG35,增益!$A:$A,增益!$O:$O,0)))/100)</f>
        <v>0</v>
      </c>
      <c r="BI35" s="32" cm="1">
        <f t="array" ref="BI35">$G$14+VLOOKUP($R35,武学奇术!$A:$ZZ,16,FALSE)+SUM(_xlfn.XLOOKUP(S35:AG35,增益!$A:$A,增益!$P:$P,0))</f>
        <v>0.15</v>
      </c>
      <c r="BJ35" s="26">
        <f>MIN(IF(VLOOKUP($R35,武学奇术!$A:$ZZ,23,FALSE)=1,100%,$B$8),100%)</f>
        <v>0.981</v>
      </c>
      <c r="BK35" s="26" cm="1">
        <f t="array" ref="BK35">IF(VLOOKUP($R35,武学奇术!$A:$ZZ,23,FALSE)=1,100%,MIN(80%,$B$9+VLOOKUP($R35,武学奇术!$A:$ZZ,17,FALSE)+SUM(_xlfn.XLOOKUP(S35:AG35,增益!$A:$A,增益!$Q:$Q,0)))+$B$11+SUM(_xlfn.XLOOKUP(S35:AG35,增益!$A:$A,增益!$U:$U,0)))*IF(VLOOKUP($R35,武学奇术!$A:$ZZ,24,FALSE)=1,0,1)</f>
        <v>0.846</v>
      </c>
      <c r="BL35" s="26" cm="1">
        <f t="array" ref="BL35">1+$B$13+VLOOKUP($R35,武学奇术!$A:$ZZ,18,FALSE)+SUM(_xlfn.XLOOKUP(S35:AG35,增益!$A:$A,增益!$R:$R,0))</f>
        <v>1.88</v>
      </c>
      <c r="BM35" s="26" cm="1">
        <f t="array" ref="BM35">IF(VLOOKUP($R35,武学奇术!$A:$ZZ,24,FALSE)=1,100%,MIN(40%,$B$10+VLOOKUP($R35,武学奇术!$A:$ZZ,19,FALSE)+SUM(_xlfn.XLOOKUP(S35:AG35,增益!$A:$A,增益!$S:$S,0)))+$B$12+SUM(_xlfn.XLOOKUP(S35:AG35,增益!$A:$A,增益!$V:$V,0)))*IF(VLOOKUP($R35,武学奇术!$A:$ZZ,23,FALSE)=1,0,1)</f>
        <v>0.0929</v>
      </c>
      <c r="BN35" s="26" cm="1">
        <f t="array" ref="BN35">1+$B$14+VLOOKUP($R35,武学奇术!$A:$ZZ,20,FALSE)+SUM(_xlfn.XLOOKUP(S35:AG35,增益!$A:$A,增益!$T:$T,0))</f>
        <v>1.35</v>
      </c>
      <c r="BO35" s="26">
        <f t="shared" si="12"/>
        <v>0.829926</v>
      </c>
      <c r="BP35" s="26">
        <f t="shared" ref="BP35:BP66" si="18">1-BM35-BO35-BQ35</f>
        <v>0.0599391</v>
      </c>
      <c r="BQ35" s="26">
        <f>IF(VLOOKUP($R35,武学奇术!$A:$ZZ,22,FALSE)=1,0,(1-$BJ35))*(1-$BM35)</f>
        <v>0.0172349</v>
      </c>
      <c r="BR35" s="26" cm="1">
        <f t="array" ref="BR35">SUM(_xlfn.XLOOKUP(S35:AG35,增益!$A:$A,增益!$W:$W,0))+$I$5</f>
        <v>0.11</v>
      </c>
    </row>
    <row r="36" spans="1:70">
      <c r="A36" s="4" t="s">
        <v>161</v>
      </c>
      <c r="B36" s="87">
        <v>1</v>
      </c>
      <c r="D36" s="39"/>
      <c r="E36" s="39"/>
      <c r="F36" s="39"/>
      <c r="G36"/>
      <c r="K36">
        <f>$L36*VLOOKUP($R36,武学奇术!$A:$ZZ,31,FALSE)</f>
        <v>12763.5073777689</v>
      </c>
      <c r="L36" s="38">
        <f t="shared" si="13"/>
        <v>12155.7213121609</v>
      </c>
      <c r="M36" s="38">
        <f>((($AO36+$AP36)/2*$AI36+$AJ36)*(1+$AQ36)*(1+$AR36)+(($AT36+$AU36)/2*IF($G$1="鸣金",$AK36,$AI36)+IF($G$1="鸣金",$AL36*1.5,0))*(1+$AV36)*(1+$AW36)+(($AX36+$AY36)/2*IF($G$1="裂石",$AK36,$AI36)+IF($G$1="裂石",$AL36*1.5,0))*(1+$AZ36)*(1+$BA36)+(($BB36+$BC36)/2*IF($G$1="牵丝",$AK36,$AI36)+IF($G$1="牵丝",$AL36*1.5,0))*(1+$BD36)*(1+$BE36)+(($BF36+$BG36)/2*IF($G$1="破竹",$AK36,$AI36)+IF($G$1="破竹",$AL36*1.5,0))*(1+$BH36)*(1+$BI36))*(1+$AM36)*$BL36*$Q36*(1+IF(VLOOKUP($R36,武学奇术!$A:$ZZ,30,FALSE)="回旋伞",$B$21,0))*(1+$BR36)</f>
        <v>12859.2884084227</v>
      </c>
      <c r="N36" s="38">
        <f>(($AP36*$AI36+$AJ36)*(1+$AQ36)*(1+$AR36)+($AU36*IF($G$1="鸣金",$AK36,$AI36)+IF($G$1="鸣金",$AL36*1.5,0))*(1+$AV36)*(1+$AW36)+($AY36*IF($G$1="裂石",$AK36,$AI36)+IF($G$1="裂石",$AL36*1.5,0))*(1+$AZ36)*(1+$BA36)+($BC36*IF($G$1="牵丝",$AK36,$AI36)+IF($G$1="牵丝",$AL36*1.5,0))*(1+$BD36)*(1+$BE36)+($BG36*IF($G$1="破竹",$AK36,$AI36)+IF($G$1="破竹",$AL36*1.5,0))*(1+$BH36)*(1+$BI36))*(1+$AM36)*$BN36*$Q36*(1+IF(VLOOKUP($R36,武学奇术!$A:$ZZ,30,FALSE)="回旋伞",$B$21,0))*(1+$BR36)</f>
        <v>10453.844806615</v>
      </c>
      <c r="O36" s="38">
        <f>((($AO36+$AP36)/2*$AI36+$AJ36)*(1+$AQ36)*(1+$AR36)+(($AT36+$AU36)/2*IF($G$1="鸣金",$AK36,$AI36)+IF($G$1="鸣金",$AL36*1.5,0))*(1+$AV36)*(1+$AW36)+(($AX36+$AY36)/2*IF($G$1="裂石",$AK36,$AI36)+IF($G$1="裂石",$AL36*1.5,0))*(1+$AZ36)*(1+$BA36)+(($BB36+$BC36)/2*IF($G$1="牵丝",$AK36,$AI36)+IF($G$1="牵丝",$AL36*1.5,0))*(1+$BD36)*(1+$BE36)+(($BF36+$BG36)/2*IF($G$1="破竹",$AK36,$AI36)+IF($G$1="破竹",$AL36*1.5,0))*(1+$BH36)*(1+$BI36))*(1+$AM36)*$Q36*(1+IF(VLOOKUP($R36,武学奇术!$A:$ZZ,30,FALSE)="回旋伞",$B$21,0))*(1+$BR36)</f>
        <v>6840.04702575677</v>
      </c>
      <c r="P36" s="38">
        <f>((($AO36*$AI36+$AJ36)*(1+$AQ36)*(1+$AR36)+($AT36*IF($G$1="鸣金",$AK36,$AI36)+IF($G$1="鸣金",$AL36*1.5,0))*(1+$AV36)*(1+$AW36)+($AX36*IF($G$1="裂石",$AK36,$AI36)+IF($G$1="裂石",$AL36*1.5,0))*(1+$AZ36)*(1+$BA36)+($BB36*IF($G$1="牵丝",$AK36,$AI36)+IF($G$1="牵丝",$AL36*1.5,0))*(1+$BD36)*(1+$BE36)+($BF36*IF($G$1="破竹",$AK36,$AI36)+IF($G$1="破竹",$AL36*1.5,0))*(1+$BH36)*(1+$BI36))*(1+$AM36))*$Q36*(1+IF(VLOOKUP($R36,武学奇术!$A:$ZZ,30,FALSE)="回旋伞",$B$21,0))*(1+$BR36)</f>
        <v>5936.50530587282</v>
      </c>
      <c r="Q36" s="39">
        <v>1</v>
      </c>
      <c r="R36" s="40" t="s">
        <v>162</v>
      </c>
      <c r="S36" s="40" t="s">
        <v>72</v>
      </c>
      <c r="T36" s="40" t="s">
        <v>95</v>
      </c>
      <c r="U36" s="40" t="s">
        <v>73</v>
      </c>
      <c r="V36" s="40" t="s">
        <v>72</v>
      </c>
      <c r="W36" s="40" t="s">
        <v>165</v>
      </c>
      <c r="X36" s="40" t="s">
        <v>99</v>
      </c>
      <c r="Y36" s="40" t="s">
        <v>72</v>
      </c>
      <c r="Z36" s="40" t="s">
        <v>72</v>
      </c>
      <c r="AA36" s="40" t="s">
        <v>72</v>
      </c>
      <c r="AB36" s="40" t="s">
        <v>72</v>
      </c>
      <c r="AC36" s="40" t="s">
        <v>85</v>
      </c>
      <c r="AD36" s="40" t="s">
        <v>72</v>
      </c>
      <c r="AE36" s="40" t="s">
        <v>72</v>
      </c>
      <c r="AF36" s="40" t="s">
        <v>77</v>
      </c>
      <c r="AG36" s="40" t="s">
        <v>78</v>
      </c>
      <c r="AH36" t="str">
        <f>VLOOKUP($R36,武学奇术!$A:$ZZ,25,FALSE)</f>
        <v>伞</v>
      </c>
      <c r="AI36" s="26">
        <f>VLOOKUP($R36,武学奇术!$A:$ZZ,26,FALSE)</f>
        <v>0.54</v>
      </c>
      <c r="AJ36" s="27">
        <f>VLOOKUP($R36,武学奇术!$A:$ZZ,27,FALSE)*(1+IF(OR($AH36=$F$4,$AH36=$F$5),$B$22,0))</f>
        <v>0</v>
      </c>
      <c r="AK36" s="26">
        <f>VLOOKUP($R36,武学奇术!$A:$ZZ,28,FALSE)</f>
        <v>0.81</v>
      </c>
      <c r="AL36" s="27">
        <f>VLOOKUP($R36,武学奇术!$A:$ZZ,29,FALSE)*(1+IF(OR($AH36=$F$4,$AH36=$F$5),$B$22,0))</f>
        <v>0</v>
      </c>
      <c r="AM36" s="26" cm="1">
        <f t="array" ref="AM36">$G$3+IFERROR(VLOOKUP($AH36,$F$4:$G$7,2,FALSE),0)+VLOOKUP($R36,武学奇术!$A:$ZZ,2,FALSE)+SUM(_xlfn.XLOOKUP($S36:$AG36,增益!$A:$A,增益!$B:$B,0))</f>
        <v>0.6541</v>
      </c>
      <c r="AN36" s="26" cm="1">
        <f t="array" ref="AN36">VLOOKUP($R36,武学奇术!$A:$ZZ,5,FALSE)+SUM(_xlfn.XLOOKUP($S36:$AG36,增益!$A:$A,增益!$E:$E,0))</f>
        <v>0</v>
      </c>
      <c r="AO36" cm="1">
        <f t="array" ref="AO36">$D$10*(1+$AN36)+VLOOKUP($R36,武学奇术!$A:$ZZ,3,FALSE)+SUM(_xlfn.XLOOKUP($S36:$AG36,增益!$A:$A,增益!$C:$C,0))-$I$2</f>
        <v>3624.6</v>
      </c>
      <c r="AP36" cm="1">
        <f t="array" ref="AP36">$E$10*(1+$AN36)+VLOOKUP($R36,武学奇术!$A:$ZZ,4,FALSE)+SUM(_xlfn.XLOOKUP($S36:$AG36,增益!$A:$A,增益!$D:$D,0))-$I$2</f>
        <v>3624.6</v>
      </c>
      <c r="AQ36" s="32" cm="1">
        <f t="array" ref="AQ36">IF($F$10-$I$3+VLOOKUP($R36,武学奇术!$A:$ZZ,6,FALSE)+SUM(_xlfn.XLOOKUP(S36:AG36,增益!$A:$A,增益!$F:$F,0))&gt;0,($F$10-$I$3+VLOOKUP($R36,武学奇术!$A:$ZZ,6,FALSE)+SUM(_xlfn.XLOOKUP(S36:AG36,增益!$A:$A,增益!$F:$F,0)))/200,($F$10-$I$3+VLOOKUP($R36,武学奇术!$A:$ZZ,6,FALSE)+SUM(_xlfn.XLOOKUP(S36:AG36,增益!$A:$A,增益!$F:$F,0)))/100)</f>
        <v>0.3425</v>
      </c>
      <c r="AR36" s="32" cm="1">
        <f t="array" ref="AR36">$G$10+VLOOKUP($R36,武学奇术!$A:$ZZ,7,FALSE)+SUM(_xlfn.XLOOKUP(S36:AG36,增益!$A:$A,增益!$G:$G,0))</f>
        <v>0.028</v>
      </c>
      <c r="AS36" s="26" cm="1">
        <f t="array" ref="AS36">VLOOKUP($R36,武学奇术!$A:$ZZ,8,FALSE)+SUM(_xlfn.XLOOKUP(S36:AG36,增益!$A:$A,增益!$H:$H,0))</f>
        <v>0</v>
      </c>
      <c r="AT36">
        <f t="shared" si="0"/>
        <v>0</v>
      </c>
      <c r="AU36">
        <f t="shared" si="1"/>
        <v>0</v>
      </c>
      <c r="AV36" s="32" cm="1">
        <f t="array" ref="AV36">IF($F$11-$I$4+VLOOKUP($R36,武学奇术!$A:$ZZ,9,FALSE)+SUM(_xlfn.XLOOKUP(S36:AG36,增益!$A:$A,增益!$I:$I,0))&gt;0,($F$11-$I$4+VLOOKUP($R36,武学奇术!$A:$ZZ,9,FALSE)+SUM(_xlfn.XLOOKUP(S36:AG36,增益!$A:$A,增益!$I:$I,0)))/200,($F$11-$I$4+VLOOKUP($R36,武学奇术!$A:$ZZ,9,FALSE)+SUM(_xlfn.XLOOKUP(S36:AG36,增益!$A:$A,增益!$I:$I,0)))/100)</f>
        <v>-0.3</v>
      </c>
      <c r="AW36" s="32" cm="1">
        <f t="array" ref="AW36">$G$11+VLOOKUP($R36,武学奇术!$A:$ZZ,10,FALSE)+SUM(_xlfn.XLOOKUP(S36:AG36,增益!$A:$A,增益!$J:$J,0))</f>
        <v>0</v>
      </c>
      <c r="AX36">
        <f t="shared" si="2"/>
        <v>0</v>
      </c>
      <c r="AY36">
        <f t="shared" si="3"/>
        <v>0</v>
      </c>
      <c r="AZ36" s="32" cm="1">
        <f t="array" ref="AZ36">IF($F$12-$I$4+VLOOKUP($R36,武学奇术!$A:$ZZ,11,FALSE)+SUM(_xlfn.XLOOKUP(S36:AG36,增益!$A:$A,增益!$K:$K,0))&gt;0,($F$12-$I$4+VLOOKUP($R36,武学奇术!$A:$ZZ,11,FALSE)+SUM(_xlfn.XLOOKUP(S36:AG36,增益!$A:$A,增益!$K:$K,0)))/200,($F$12-$I$4+VLOOKUP($R36,武学奇术!$A:$ZZ,11,FALSE)+SUM(_xlfn.XLOOKUP(S36:AG36,增益!$A:$A,增益!$K:$K,0)))/100)</f>
        <v>-0.3</v>
      </c>
      <c r="BA36" s="32" cm="1">
        <f t="array" ref="BA36">$G$12+VLOOKUP($R36,武学奇术!$A:$ZZ,12,FALSE)+SUM(_xlfn.XLOOKUP(S36:AG36,增益!$A:$A,增益!$L:$L,0))</f>
        <v>0</v>
      </c>
      <c r="BB36">
        <f t="shared" si="14"/>
        <v>0</v>
      </c>
      <c r="BC36">
        <f t="shared" si="15"/>
        <v>0</v>
      </c>
      <c r="BD36" s="32" cm="1">
        <f t="array" ref="BD36">IF($F$13-$I$4+VLOOKUP($R36,武学奇术!$A:$ZZ,13,FALSE)+SUM(_xlfn.XLOOKUP(S36:AG36,增益!$A:$A,增益!$M:$M,0))&gt;0,($F$13-$I$4+VLOOKUP($R36,武学奇术!$A:$ZZ,13,FALSE)+SUM(_xlfn.XLOOKUP(S36:AG36,增益!$A:$A,增益!$K:$K,0)))/200,($F$13-$I$4+VLOOKUP($R36,武学奇术!$A:$ZZ,13,FALSE)+SUM(_xlfn.XLOOKUP(S36:AG36,增益!$A:$A,增益!$M:$M,0)))/100)</f>
        <v>-0.3</v>
      </c>
      <c r="BE36" s="32" cm="1">
        <f t="array" ref="BE36">$G$13+VLOOKUP($R36,武学奇术!$A:$ZZ,14,FALSE)+SUM(_xlfn.XLOOKUP(S36:AG36,增益!$A:$A,增益!$N:$N,0))</f>
        <v>0</v>
      </c>
      <c r="BF36">
        <f t="shared" si="16"/>
        <v>571.2</v>
      </c>
      <c r="BG36">
        <f t="shared" si="17"/>
        <v>1627.8</v>
      </c>
      <c r="BH36" s="32" cm="1">
        <f t="array" ref="BH36">IF($F$14-$I$4+VLOOKUP($R36,武学奇术!$A:$ZZ,15,FALSE)+SUM(_xlfn.XLOOKUP(S36:AG36,增益!$A:$A,增益!$O:$O,0))&gt;0,($F$14-$I$4+VLOOKUP($R36,武学奇术!$A:$ZZ,15,FALSE)+SUM(_xlfn.XLOOKUP(S36:AG36,增益!$A:$A,增益!$O:$O,0)))/200,($F$14-$I$4+VLOOKUP($R36,武学奇术!$A:$ZZ,15,FALSE)+SUM(_xlfn.XLOOKUP(S36:AG36,增益!$A:$A,增益!$O:$O,0)))/100)</f>
        <v>0</v>
      </c>
      <c r="BI36" s="32" cm="1">
        <f t="array" ref="BI36">$G$14+VLOOKUP($R36,武学奇术!$A:$ZZ,16,FALSE)+SUM(_xlfn.XLOOKUP(S36:AG36,增益!$A:$A,增益!$P:$P,0))</f>
        <v>0.15</v>
      </c>
      <c r="BJ36" s="26">
        <f>MIN(IF(VLOOKUP($R36,武学奇术!$A:$ZZ,23,FALSE)=1,100%,$B$8),100%)</f>
        <v>0.981</v>
      </c>
      <c r="BK36" s="26" cm="1">
        <f t="array" ref="BK36">IF(VLOOKUP($R36,武学奇术!$A:$ZZ,23,FALSE)=1,100%,MIN(80%,$B$9+VLOOKUP($R36,武学奇术!$A:$ZZ,17,FALSE)+SUM(_xlfn.XLOOKUP(S36:AG36,增益!$A:$A,增益!$Q:$Q,0)))+$B$11+SUM(_xlfn.XLOOKUP(S36:AG36,增益!$A:$A,增益!$U:$U,0)))*IF(VLOOKUP($R36,武学奇术!$A:$ZZ,24,FALSE)=1,0,1)</f>
        <v>0.846</v>
      </c>
      <c r="BL36" s="26" cm="1">
        <f t="array" ref="BL36">1+$B$13+VLOOKUP($R36,武学奇术!$A:$ZZ,18,FALSE)+SUM(_xlfn.XLOOKUP(S36:AG36,增益!$A:$A,增益!$R:$R,0))</f>
        <v>1.88</v>
      </c>
      <c r="BM36" s="26" cm="1">
        <f t="array" ref="BM36">IF(VLOOKUP($R36,武学奇术!$A:$ZZ,24,FALSE)=1,100%,MIN(40%,$B$10+VLOOKUP($R36,武学奇术!$A:$ZZ,19,FALSE)+SUM(_xlfn.XLOOKUP(S36:AG36,增益!$A:$A,增益!$S:$S,0)))+$B$12+SUM(_xlfn.XLOOKUP(S36:AG36,增益!$A:$A,增益!$V:$V,0)))*IF(VLOOKUP($R36,武学奇术!$A:$ZZ,23,FALSE)=1,0,1)</f>
        <v>0.0929</v>
      </c>
      <c r="BN36" s="26" cm="1">
        <f t="array" ref="BN36">1+$B$14+VLOOKUP($R36,武学奇术!$A:$ZZ,20,FALSE)+SUM(_xlfn.XLOOKUP(S36:AG36,增益!$A:$A,增益!$T:$T,0))</f>
        <v>1.35</v>
      </c>
      <c r="BO36" s="26">
        <f t="shared" si="12"/>
        <v>0.829926</v>
      </c>
      <c r="BP36" s="26">
        <f t="shared" si="18"/>
        <v>0.0599391</v>
      </c>
      <c r="BQ36" s="26">
        <f>IF(VLOOKUP($R36,武学奇术!$A:$ZZ,22,FALSE)=1,0,(1-$BJ36))*(1-$BM36)</f>
        <v>0.0172349</v>
      </c>
      <c r="BR36" s="26" cm="1">
        <f t="array" ref="BR36">SUM(_xlfn.XLOOKUP(S36:AG36,增益!$A:$A,增益!$W:$W,0))+$I$5</f>
        <v>0.11</v>
      </c>
    </row>
    <row r="37" spans="1:70">
      <c r="A37" s="4" t="s">
        <v>161</v>
      </c>
      <c r="B37" s="4">
        <v>1</v>
      </c>
      <c r="D37" s="39"/>
      <c r="E37" s="39"/>
      <c r="F37" s="39"/>
      <c r="K37">
        <f>$L37*VLOOKUP($R37,武学奇术!$A:$ZZ,31,FALSE)</f>
        <v>60155.8271024371</v>
      </c>
      <c r="L37" s="38">
        <f t="shared" si="13"/>
        <v>57291.2639070829</v>
      </c>
      <c r="M37" s="38">
        <f>((($AO37+$AP37)/2*$AI37+$AJ37)*(1+$AQ37)*(1+$AR37)+(($AT37+$AU37)/2*IF($G$1="鸣金",$AK37,$AI37)+IF($G$1="鸣金",$AL37*1.5,0))*(1+$AV37)*(1+$AW37)+(($AX37+$AY37)/2*IF($G$1="裂石",$AK37,$AI37)+IF($G$1="裂石",$AL37*1.5,0))*(1+$AZ37)*(1+$BA37)+(($BB37+$BC37)/2*IF($G$1="牵丝",$AK37,$AI37)+IF($G$1="牵丝",$AL37*1.5,0))*(1+$BD37)*(1+$BE37)+(($BF37+$BG37)/2*IF($G$1="破竹",$AK37,$AI37)+IF($G$1="破竹",$AL37*1.5,0))*(1+$BH37)*(1+$BI37))*(1+$AM37)*$BL37*$Q37*(1+IF(VLOOKUP($R37,武学奇术!$A:$ZZ,30,FALSE)="回旋伞",$B$21,0))*(1+$BR37)</f>
        <v>57291.2639070829</v>
      </c>
      <c r="N37" s="38">
        <f>(($AP37*$AI37+$AJ37)*(1+$AQ37)*(1+$AR37)+($AU37*IF($G$1="鸣金",$AK37,$AI37)+IF($G$1="鸣金",$AL37*1.5,0))*(1+$AV37)*(1+$AW37)+($AY37*IF($G$1="裂石",$AK37,$AI37)+IF($G$1="裂石",$AL37*1.5,0))*(1+$AZ37)*(1+$BA37)+($BC37*IF($G$1="牵丝",$AK37,$AI37)+IF($G$1="牵丝",$AL37*1.5,0))*(1+$BD37)*(1+$BE37)+($BG37*IF($G$1="破竹",$AK37,$AI37)+IF($G$1="破竹",$AL37*1.5,0))*(1+$BH37)*(1+$BI37))*(1+$AM37)*$BN37*$Q37*(1+IF(VLOOKUP($R37,武学奇术!$A:$ZZ,30,FALSE)="回旋伞",$B$21,0))*(1+$BR37)</f>
        <v>45907.9527351992</v>
      </c>
      <c r="O37" s="38">
        <f>((($AO37+$AP37)/2*$AI37+$AJ37)*(1+$AQ37)*(1+$AR37)+(($AT37+$AU37)/2*IF($G$1="鸣金",$AK37,$AI37)+IF($G$1="鸣金",$AL37*1.5,0))*(1+$AV37)*(1+$AW37)+(($AX37+$AY37)/2*IF($G$1="裂石",$AK37,$AI37)+IF($G$1="裂石",$AL37*1.5,0))*(1+$AZ37)*(1+$BA37)+(($BB37+$BC37)/2*IF($G$1="牵丝",$AK37,$AI37)+IF($G$1="牵丝",$AL37*1.5,0))*(1+$BD37)*(1+$BE37)+(($BF37+$BG37)/2*IF($G$1="破竹",$AK37,$AI37)+IF($G$1="破竹",$AL37*1.5,0))*(1+$BH37)*(1+$BI37))*(1+$AM37)*$Q37*(1+IF(VLOOKUP($R37,武学奇术!$A:$ZZ,30,FALSE)="回旋伞",$B$21,0))*(1+$BR37)</f>
        <v>30474.0765463207</v>
      </c>
      <c r="P37" s="38">
        <f>((($AO37*$AI37+$AJ37)*(1+$AQ37)*(1+$AR37)+($AT37*IF($G$1="鸣金",$AK37,$AI37)+IF($G$1="鸣金",$AL37*1.5,0))*(1+$AV37)*(1+$AW37)+($AX37*IF($G$1="裂石",$AK37,$AI37)+IF($G$1="裂石",$AL37*1.5,0))*(1+$AZ37)*(1+$BA37)+($BB37*IF($G$1="牵丝",$AK37,$AI37)+IF($G$1="牵丝",$AL37*1.5,0))*(1+$BD37)*(1+$BE37)+($BF37*IF($G$1="破竹",$AK37,$AI37)+IF($G$1="破竹",$AL37*1.5,0))*(1+$BH37)*(1+$BI37))*(1+$AM37))*$Q37*(1+IF(VLOOKUP($R37,武学奇术!$A:$ZZ,30,FALSE)="回旋伞",$B$21,0))*(1+$BR37)</f>
        <v>26942.2621776791</v>
      </c>
      <c r="Q37" s="39">
        <v>1</v>
      </c>
      <c r="R37" s="40" t="s">
        <v>166</v>
      </c>
      <c r="S37" s="40" t="s">
        <v>72</v>
      </c>
      <c r="T37" s="40" t="s">
        <v>95</v>
      </c>
      <c r="U37" s="40" t="s">
        <v>73</v>
      </c>
      <c r="V37" s="40" t="s">
        <v>72</v>
      </c>
      <c r="W37" s="40" t="s">
        <v>165</v>
      </c>
      <c r="X37" s="40" t="s">
        <v>99</v>
      </c>
      <c r="Y37" s="40" t="s">
        <v>72</v>
      </c>
      <c r="Z37" s="40" t="s">
        <v>72</v>
      </c>
      <c r="AA37" s="40" t="s">
        <v>72</v>
      </c>
      <c r="AB37" s="40" t="s">
        <v>72</v>
      </c>
      <c r="AC37" s="40" t="s">
        <v>85</v>
      </c>
      <c r="AD37" s="40" t="s">
        <v>72</v>
      </c>
      <c r="AE37" s="40" t="s">
        <v>72</v>
      </c>
      <c r="AF37" s="40" t="s">
        <v>77</v>
      </c>
      <c r="AG37" s="40" t="s">
        <v>78</v>
      </c>
      <c r="AH37" t="str">
        <f>VLOOKUP($R37,武学奇术!$A:$ZZ,25,FALSE)</f>
        <v>绳镖</v>
      </c>
      <c r="AI37" s="26">
        <f>VLOOKUP($R37,武学奇术!$A:$ZZ,26,FALSE)</f>
        <v>2.2987</v>
      </c>
      <c r="AJ37" s="27">
        <f>VLOOKUP($R37,武学奇术!$A:$ZZ,27,FALSE)*(1+IF(OR($AH37=$F$4,$AH37=$F$5),$B$22,0))</f>
        <v>955.5</v>
      </c>
      <c r="AK37" s="26">
        <f>VLOOKUP($R37,武学奇术!$A:$ZZ,28,FALSE)</f>
        <v>3.448</v>
      </c>
      <c r="AL37" s="27">
        <f>VLOOKUP($R37,武学奇术!$A:$ZZ,29,FALSE)*(1+IF(OR($AH37=$F$4,$AH37=$F$5),$B$22,0))</f>
        <v>520.5</v>
      </c>
      <c r="AM37" s="26" cm="1">
        <f t="array" ref="AM37">$G$3+IFERROR(VLOOKUP($AH37,$F$4:$G$7,2,FALSE),0)+VLOOKUP($R37,武学奇术!$A:$ZZ,2,FALSE)+SUM(_xlfn.XLOOKUP($S37:$AG37,增益!$A:$A,增益!$B:$B,0))</f>
        <v>0.5189</v>
      </c>
      <c r="AN37" s="26" cm="1">
        <f t="array" ref="AN37">VLOOKUP($R37,武学奇术!$A:$ZZ,5,FALSE)+SUM(_xlfn.XLOOKUP($S37:$AG37,增益!$A:$A,增益!$E:$E,0))</f>
        <v>0</v>
      </c>
      <c r="AO37" cm="1">
        <f t="array" ref="AO37">$D$10*(1+$AN37)+VLOOKUP($R37,武学奇术!$A:$ZZ,3,FALSE)+SUM(_xlfn.XLOOKUP($S37:$AG37,增益!$A:$A,增益!$C:$C,0))-$I$2</f>
        <v>3624.6</v>
      </c>
      <c r="AP37" cm="1">
        <f t="array" ref="AP37">$E$10*(1+$AN37)+VLOOKUP($R37,武学奇术!$A:$ZZ,4,FALSE)+SUM(_xlfn.XLOOKUP($S37:$AG37,增益!$A:$A,增益!$D:$D,0))-$I$2</f>
        <v>3624.6</v>
      </c>
      <c r="AQ37" s="32" cm="1">
        <f t="array" ref="AQ37">IF($F$10-$I$3+VLOOKUP($R37,武学奇术!$A:$ZZ,6,FALSE)+SUM(_xlfn.XLOOKUP(S37:AG37,增益!$A:$A,增益!$F:$F,0))&gt;0,($F$10-$I$3+VLOOKUP($R37,武学奇术!$A:$ZZ,6,FALSE)+SUM(_xlfn.XLOOKUP(S37:AG37,增益!$A:$A,增益!$F:$F,0)))/200,($F$10-$I$3+VLOOKUP($R37,武学奇术!$A:$ZZ,6,FALSE)+SUM(_xlfn.XLOOKUP(S37:AG37,增益!$A:$A,增益!$F:$F,0)))/100)</f>
        <v>0.3425</v>
      </c>
      <c r="AR37" s="32" cm="1">
        <f t="array" ref="AR37">$G$10+VLOOKUP($R37,武学奇术!$A:$ZZ,7,FALSE)+SUM(_xlfn.XLOOKUP(S37:AG37,增益!$A:$A,增益!$G:$G,0))</f>
        <v>0.028</v>
      </c>
      <c r="AS37" s="26" cm="1">
        <f t="array" ref="AS37">VLOOKUP($R37,武学奇术!$A:$ZZ,8,FALSE)+SUM(_xlfn.XLOOKUP(S37:AG37,增益!$A:$A,增益!$H:$H,0))</f>
        <v>0</v>
      </c>
      <c r="AT37">
        <f t="shared" si="0"/>
        <v>0</v>
      </c>
      <c r="AU37">
        <f t="shared" si="1"/>
        <v>0</v>
      </c>
      <c r="AV37" s="32" cm="1">
        <f t="array" ref="AV37">IF($F$11-$I$4+VLOOKUP($R37,武学奇术!$A:$ZZ,9,FALSE)+SUM(_xlfn.XLOOKUP(S37:AG37,增益!$A:$A,增益!$I:$I,0))&gt;0,($F$11-$I$4+VLOOKUP($R37,武学奇术!$A:$ZZ,9,FALSE)+SUM(_xlfn.XLOOKUP(S37:AG37,增益!$A:$A,增益!$I:$I,0)))/200,($F$11-$I$4+VLOOKUP($R37,武学奇术!$A:$ZZ,9,FALSE)+SUM(_xlfn.XLOOKUP(S37:AG37,增益!$A:$A,增益!$I:$I,0)))/100)</f>
        <v>-0.3</v>
      </c>
      <c r="AW37" s="32" cm="1">
        <f t="array" ref="AW37">$G$11+VLOOKUP($R37,武学奇术!$A:$ZZ,10,FALSE)+SUM(_xlfn.XLOOKUP(S37:AG37,增益!$A:$A,增益!$J:$J,0))</f>
        <v>0</v>
      </c>
      <c r="AX37">
        <f t="shared" si="2"/>
        <v>0</v>
      </c>
      <c r="AY37">
        <f t="shared" si="3"/>
        <v>0</v>
      </c>
      <c r="AZ37" s="32" cm="1">
        <f t="array" ref="AZ37">IF($F$12-$I$4+VLOOKUP($R37,武学奇术!$A:$ZZ,11,FALSE)+SUM(_xlfn.XLOOKUP(S37:AG37,增益!$A:$A,增益!$K:$K,0))&gt;0,($F$12-$I$4+VLOOKUP($R37,武学奇术!$A:$ZZ,11,FALSE)+SUM(_xlfn.XLOOKUP(S37:AG37,增益!$A:$A,增益!$K:$K,0)))/200,($F$12-$I$4+VLOOKUP($R37,武学奇术!$A:$ZZ,11,FALSE)+SUM(_xlfn.XLOOKUP(S37:AG37,增益!$A:$A,增益!$K:$K,0)))/100)</f>
        <v>-0.3</v>
      </c>
      <c r="BA37" s="32" cm="1">
        <f t="array" ref="BA37">$G$12+VLOOKUP($R37,武学奇术!$A:$ZZ,12,FALSE)+SUM(_xlfn.XLOOKUP(S37:AG37,增益!$A:$A,增益!$L:$L,0))</f>
        <v>0</v>
      </c>
      <c r="BB37">
        <f t="shared" si="14"/>
        <v>0</v>
      </c>
      <c r="BC37">
        <f t="shared" si="15"/>
        <v>0</v>
      </c>
      <c r="BD37" s="32" cm="1">
        <f t="array" ref="BD37">IF($F$13-$I$4+VLOOKUP($R37,武学奇术!$A:$ZZ,13,FALSE)+SUM(_xlfn.XLOOKUP(S37:AG37,增益!$A:$A,增益!$M:$M,0))&gt;0,($F$13-$I$4+VLOOKUP($R37,武学奇术!$A:$ZZ,13,FALSE)+SUM(_xlfn.XLOOKUP(S37:AG37,增益!$A:$A,增益!$K:$K,0)))/200,($F$13-$I$4+VLOOKUP($R37,武学奇术!$A:$ZZ,13,FALSE)+SUM(_xlfn.XLOOKUP(S37:AG37,增益!$A:$A,增益!$M:$M,0)))/100)</f>
        <v>-0.3</v>
      </c>
      <c r="BE37" s="32" cm="1">
        <f t="array" ref="BE37">$G$13+VLOOKUP($R37,武学奇术!$A:$ZZ,14,FALSE)+SUM(_xlfn.XLOOKUP(S37:AG37,增益!$A:$A,增益!$N:$N,0))</f>
        <v>0</v>
      </c>
      <c r="BF37">
        <f t="shared" si="16"/>
        <v>571.2</v>
      </c>
      <c r="BG37">
        <f t="shared" si="17"/>
        <v>1627.8</v>
      </c>
      <c r="BH37" s="32" cm="1">
        <f t="array" ref="BH37">IF($F$14-$I$4+VLOOKUP($R37,武学奇术!$A:$ZZ,15,FALSE)+SUM(_xlfn.XLOOKUP(S37:AG37,增益!$A:$A,增益!$O:$O,0))&gt;0,($F$14-$I$4+VLOOKUP($R37,武学奇术!$A:$ZZ,15,FALSE)+SUM(_xlfn.XLOOKUP(S37:AG37,增益!$A:$A,增益!$O:$O,0)))/200,($F$14-$I$4+VLOOKUP($R37,武学奇术!$A:$ZZ,15,FALSE)+SUM(_xlfn.XLOOKUP(S37:AG37,增益!$A:$A,增益!$O:$O,0)))/100)</f>
        <v>0</v>
      </c>
      <c r="BI37" s="32" cm="1">
        <f t="array" ref="BI37">$G$14+VLOOKUP($R37,武学奇术!$A:$ZZ,16,FALSE)+SUM(_xlfn.XLOOKUP(S37:AG37,增益!$A:$A,增益!$P:$P,0))</f>
        <v>0.15</v>
      </c>
      <c r="BJ37" s="26">
        <f>MIN(IF(VLOOKUP($R37,武学奇术!$A:$ZZ,23,FALSE)=1,100%,$B$8),100%)</f>
        <v>1</v>
      </c>
      <c r="BK37" s="26" cm="1">
        <f t="array" ref="BK37">IF(VLOOKUP($R37,武学奇术!$A:$ZZ,23,FALSE)=1,100%,MIN(80%,$B$9+VLOOKUP($R37,武学奇术!$A:$ZZ,17,FALSE)+SUM(_xlfn.XLOOKUP(S37:AG37,增益!$A:$A,增益!$Q:$Q,0)))+$B$11+SUM(_xlfn.XLOOKUP(S37:AG37,增益!$A:$A,增益!$U:$U,0)))*IF(VLOOKUP($R37,武学奇术!$A:$ZZ,24,FALSE)=1,0,1)</f>
        <v>1</v>
      </c>
      <c r="BL37" s="26" cm="1">
        <f t="array" ref="BL37">1+$B$13+VLOOKUP($R37,武学奇术!$A:$ZZ,18,FALSE)+SUM(_xlfn.XLOOKUP(S37:AG37,增益!$A:$A,增益!$R:$R,0))</f>
        <v>1.88</v>
      </c>
      <c r="BM37" s="26" cm="1">
        <f t="array" ref="BM37">IF(VLOOKUP($R37,武学奇术!$A:$ZZ,24,FALSE)=1,100%,MIN(40%,$B$10+VLOOKUP($R37,武学奇术!$A:$ZZ,19,FALSE)+SUM(_xlfn.XLOOKUP(S37:AG37,增益!$A:$A,增益!$S:$S,0)))+$B$12+SUM(_xlfn.XLOOKUP(S37:AG37,增益!$A:$A,增益!$V:$V,0)))*IF(VLOOKUP($R37,武学奇术!$A:$ZZ,23,FALSE)=1,0,1)</f>
        <v>0</v>
      </c>
      <c r="BN37" s="26" cm="1">
        <f t="array" ref="BN37">1+$B$14+VLOOKUP($R37,武学奇术!$A:$ZZ,20,FALSE)+SUM(_xlfn.XLOOKUP(S37:AG37,增益!$A:$A,增益!$T:$T,0))</f>
        <v>1.35</v>
      </c>
      <c r="BO37" s="26">
        <f t="shared" si="12"/>
        <v>1</v>
      </c>
      <c r="BP37" s="26">
        <f t="shared" si="18"/>
        <v>0</v>
      </c>
      <c r="BQ37" s="26">
        <f>IF(VLOOKUP($R37,武学奇术!$A:$ZZ,22,FALSE)=1,0,(1-$BJ37))*(1-$BM37)</f>
        <v>0</v>
      </c>
      <c r="BR37" s="26" cm="1">
        <f t="array" ref="BR37">SUM(_xlfn.XLOOKUP(S37:AG37,增益!$A:$A,增益!$W:$W,0))+$I$5</f>
        <v>0.11</v>
      </c>
    </row>
    <row r="38" spans="1:70">
      <c r="A38" s="4" t="s">
        <v>164</v>
      </c>
      <c r="B38" s="4">
        <v>0.85</v>
      </c>
      <c r="D38" s="39"/>
      <c r="E38" s="39"/>
      <c r="F38" s="39"/>
      <c r="K38">
        <f>$L38*VLOOKUP($R38,武学奇术!$A:$ZZ,31,FALSE)</f>
        <v>136164.674861154</v>
      </c>
      <c r="L38" s="88">
        <f>(SUM(L9:L37)+SUM(L3:L6)+L154+L155)*12%</f>
        <v>259361.285449817</v>
      </c>
      <c r="M38" s="38">
        <f>((($AO38+$AP38)/2*$AI38+$AJ38)*(1+$AQ38)*(1+$AR38)+(($AT38+$AU38)/2*IF($G$1="鸣金",$AK38,$AI38)+IF($G$1="鸣金",$AL38*1.5,0))*(1+$AV38)*(1+$AW38)+(($AX38+$AY38)/2*IF($G$1="裂石",$AK38,$AI38)+IF($G$1="裂石",$AL38*1.5,0))*(1+$AZ38)*(1+$BA38)+(($BB38+$BC38)/2*IF($G$1="牵丝",$AK38,$AI38)+IF($G$1="牵丝",$AL38*1.5,0))*(1+$BD38)*(1+$BE38)+(($BF38+$BG38)/2*IF($G$1="破竹",$AK38,$AI38)+IF($G$1="破竹",$AL38*1.5,0))*(1+$BH38)*(1+$BI38))*(1+$AM38)*$BL38*$Q38*(1+IF(VLOOKUP($R38,武学奇术!$A:$ZZ,30,FALSE)="回旋伞",$B$21,0))*(1+$BR38)</f>
        <v>0</v>
      </c>
      <c r="N38" s="38">
        <f>(($AP38*$AI38+$AJ38)*(1+$AQ38)*(1+$AR38)+($AU38*IF($G$1="鸣金",$AK38,$AI38)+IF($G$1="鸣金",$AL38*1.5,0))*(1+$AV38)*(1+$AW38)+($AY38*IF($G$1="裂石",$AK38,$AI38)+IF($G$1="裂石",$AL38*1.5,0))*(1+$AZ38)*(1+$BA38)+($BC38*IF($G$1="牵丝",$AK38,$AI38)+IF($G$1="牵丝",$AL38*1.5,0))*(1+$BD38)*(1+$BE38)+($BG38*IF($G$1="破竹",$AK38,$AI38)+IF($G$1="破竹",$AL38*1.5,0))*(1+$BH38)*(1+$BI38))*(1+$AM38)*$BN38*$Q38*(1+IF(VLOOKUP($R38,武学奇术!$A:$ZZ,30,FALSE)="回旋伞",$B$21,0))*(1+$BR38)</f>
        <v>0</v>
      </c>
      <c r="O38" s="38">
        <f>((($AO38+$AP38)/2*$AI38+$AJ38)*(1+$AQ38)*(1+$AR38)+(($AT38+$AU38)/2*IF($G$1="鸣金",$AK38,$AI38)+IF($G$1="鸣金",$AL38*1.5,0))*(1+$AV38)*(1+$AW38)+(($AX38+$AY38)/2*IF($G$1="裂石",$AK38,$AI38)+IF($G$1="裂石",$AL38*1.5,0))*(1+$AZ38)*(1+$BA38)+(($BB38+$BC38)/2*IF($G$1="牵丝",$AK38,$AI38)+IF($G$1="牵丝",$AL38*1.5,0))*(1+$BD38)*(1+$BE38)+(($BF38+$BG38)/2*IF($G$1="破竹",$AK38,$AI38)+IF($G$1="破竹",$AL38*1.5,0))*(1+$BH38)*(1+$BI38))*(1+$AM38)*$Q38*(1+IF(VLOOKUP($R38,武学奇术!$A:$ZZ,30,FALSE)="回旋伞",$B$21,0))*(1+$BR38)</f>
        <v>0</v>
      </c>
      <c r="P38" s="38">
        <f>((($AO38*$AI38+$AJ38)*(1+$AQ38)*(1+$AR38)+($AT38*IF($G$1="鸣金",$AK38,$AI38)+IF($G$1="鸣金",$AL38*1.5,0))*(1+$AV38)*(1+$AW38)+($AX38*IF($G$1="裂石",$AK38,$AI38)+IF($G$1="裂石",$AL38*1.5,0))*(1+$AZ38)*(1+$BA38)+($BB38*IF($G$1="牵丝",$AK38,$AI38)+IF($G$1="牵丝",$AL38*1.5,0))*(1+$BD38)*(1+$BE38)+($BF38*IF($G$1="破竹",$AK38,$AI38)+IF($G$1="破竹",$AL38*1.5,0))*(1+$BH38)*(1+$BI38))*(1+$AM38))*$Q38*(1+IF(VLOOKUP($R38,武学奇术!$A:$ZZ,30,FALSE)="回旋伞",$B$21,0))*(1+$BR38)</f>
        <v>0</v>
      </c>
      <c r="Q38" s="39">
        <v>1</v>
      </c>
      <c r="R38" s="40" t="s">
        <v>167</v>
      </c>
      <c r="S38" s="40" t="s">
        <v>72</v>
      </c>
      <c r="T38" s="40" t="s">
        <v>72</v>
      </c>
      <c r="U38" s="40" t="s">
        <v>72</v>
      </c>
      <c r="V38" s="40" t="s">
        <v>72</v>
      </c>
      <c r="W38" s="40" t="s">
        <v>72</v>
      </c>
      <c r="X38" s="40" t="s">
        <v>72</v>
      </c>
      <c r="Y38" s="40" t="s">
        <v>72</v>
      </c>
      <c r="Z38" s="40" t="s">
        <v>72</v>
      </c>
      <c r="AA38" s="40" t="s">
        <v>72</v>
      </c>
      <c r="AB38" s="40" t="s">
        <v>72</v>
      </c>
      <c r="AC38" s="40" t="s">
        <v>72</v>
      </c>
      <c r="AD38" s="40" t="s">
        <v>72</v>
      </c>
      <c r="AE38" s="40" t="s">
        <v>72</v>
      </c>
      <c r="AF38" s="40" t="s">
        <v>77</v>
      </c>
      <c r="AG38" s="40" t="s">
        <v>78</v>
      </c>
      <c r="AH38" t="str">
        <f>VLOOKUP($R38,武学奇术!$A:$ZZ,25,FALSE)</f>
        <v>心法</v>
      </c>
      <c r="AI38" s="26">
        <f>VLOOKUP($R38,武学奇术!$A:$ZZ,26,FALSE)</f>
        <v>0</v>
      </c>
      <c r="AJ38" s="27">
        <f>VLOOKUP($R38,武学奇术!$A:$ZZ,27,FALSE)*(1+IF(OR($AH38=$F$4,$AH38=$F$5),$B$22,0))</f>
        <v>0</v>
      </c>
      <c r="AK38" s="26">
        <f>VLOOKUP($R38,武学奇术!$A:$ZZ,28,FALSE)</f>
        <v>0</v>
      </c>
      <c r="AL38" s="27">
        <f>VLOOKUP($R38,武学奇术!$A:$ZZ,29,FALSE)*(1+IF(OR($AH38=$F$4,$AH38=$F$5),$B$22,0))</f>
        <v>0</v>
      </c>
      <c r="AM38" s="26" cm="1">
        <f t="array" ref="AM38">$G$3+IFERROR(VLOOKUP($AH38,$F$4:$G$7,2,FALSE),0)+VLOOKUP($R38,武学奇术!$A:$ZZ,2,FALSE)+SUM(_xlfn.XLOOKUP($S38:$AG38,增益!$A:$A,增益!$B:$B,0))</f>
        <v>0.1837</v>
      </c>
      <c r="AN38" s="26" cm="1">
        <f t="array" ref="AN38">VLOOKUP($R38,武学奇术!$A:$ZZ,5,FALSE)+SUM(_xlfn.XLOOKUP($S38:$AG38,增益!$A:$A,增益!$E:$E,0))</f>
        <v>0</v>
      </c>
      <c r="AO38" cm="1">
        <f t="array" ref="AO38">$D$10*(1+$AN38)+VLOOKUP($R38,武学奇术!$A:$ZZ,3,FALSE)+SUM(_xlfn.XLOOKUP($S38:$AG38,增益!$A:$A,增益!$C:$C,0))-$I$2</f>
        <v>3624.6</v>
      </c>
      <c r="AP38" cm="1">
        <f t="array" ref="AP38">$E$10*(1+$AN38)+VLOOKUP($R38,武学奇术!$A:$ZZ,4,FALSE)+SUM(_xlfn.XLOOKUP($S38:$AG38,增益!$A:$A,增益!$D:$D,0))-$I$2</f>
        <v>3624.6</v>
      </c>
      <c r="AQ38" s="32" cm="1">
        <f t="array" ref="AQ38">IF($F$10-$I$3+VLOOKUP($R38,武学奇术!$A:$ZZ,6,FALSE)+SUM(_xlfn.XLOOKUP(S38:AG38,增益!$A:$A,增益!$F:$F,0))&gt;0,($F$10-$I$3+VLOOKUP($R38,武学奇术!$A:$ZZ,6,FALSE)+SUM(_xlfn.XLOOKUP(S38:AG38,增益!$A:$A,增益!$F:$F,0)))/200,($F$10-$I$3+VLOOKUP($R38,武学奇术!$A:$ZZ,6,FALSE)+SUM(_xlfn.XLOOKUP(S38:AG38,增益!$A:$A,增益!$F:$F,0)))/100)</f>
        <v>0.2425</v>
      </c>
      <c r="AR38" s="32" cm="1">
        <f t="array" ref="AR38">$G$10+VLOOKUP($R38,武学奇术!$A:$ZZ,7,FALSE)+SUM(_xlfn.XLOOKUP(S38:AG38,增益!$A:$A,增益!$G:$G,0))</f>
        <v>0.028</v>
      </c>
      <c r="AS38" s="26" cm="1">
        <f t="array" ref="AS38">VLOOKUP($R38,武学奇术!$A:$ZZ,8,FALSE)+SUM(_xlfn.XLOOKUP(S38:AG38,增益!$A:$A,增益!$H:$H,0))</f>
        <v>0</v>
      </c>
      <c r="AT38">
        <f t="shared" si="0"/>
        <v>0</v>
      </c>
      <c r="AU38">
        <f t="shared" si="1"/>
        <v>0</v>
      </c>
      <c r="AV38" s="32" cm="1">
        <f t="array" ref="AV38">IF($F$11-$I$4+VLOOKUP($R38,武学奇术!$A:$ZZ,9,FALSE)+SUM(_xlfn.XLOOKUP(S38:AG38,增益!$A:$A,增益!$I:$I,0))&gt;0,($F$11-$I$4+VLOOKUP($R38,武学奇术!$A:$ZZ,9,FALSE)+SUM(_xlfn.XLOOKUP(S38:AG38,增益!$A:$A,增益!$I:$I,0)))/200,($F$11-$I$4+VLOOKUP($R38,武学奇术!$A:$ZZ,9,FALSE)+SUM(_xlfn.XLOOKUP(S38:AG38,增益!$A:$A,增益!$I:$I,0)))/100)</f>
        <v>-0.3</v>
      </c>
      <c r="AW38" s="32" cm="1">
        <f t="array" ref="AW38">$G$11+VLOOKUP($R38,武学奇术!$A:$ZZ,10,FALSE)+SUM(_xlfn.XLOOKUP(S38:AG38,增益!$A:$A,增益!$J:$J,0))</f>
        <v>0</v>
      </c>
      <c r="AX38">
        <f t="shared" si="2"/>
        <v>0</v>
      </c>
      <c r="AY38">
        <f t="shared" si="3"/>
        <v>0</v>
      </c>
      <c r="AZ38" s="32" cm="1">
        <f t="array" ref="AZ38">IF($F$12-$I$4+VLOOKUP($R38,武学奇术!$A:$ZZ,11,FALSE)+SUM(_xlfn.XLOOKUP(S38:AG38,增益!$A:$A,增益!$K:$K,0))&gt;0,($F$12-$I$4+VLOOKUP($R38,武学奇术!$A:$ZZ,11,FALSE)+SUM(_xlfn.XLOOKUP(S38:AG38,增益!$A:$A,增益!$K:$K,0)))/200,($F$12-$I$4+VLOOKUP($R38,武学奇术!$A:$ZZ,11,FALSE)+SUM(_xlfn.XLOOKUP(S38:AG38,增益!$A:$A,增益!$K:$K,0)))/100)</f>
        <v>-0.3</v>
      </c>
      <c r="BA38" s="32" cm="1">
        <f t="array" ref="BA38">$G$12+VLOOKUP($R38,武学奇术!$A:$ZZ,12,FALSE)+SUM(_xlfn.XLOOKUP(S38:AG38,增益!$A:$A,增益!$L:$L,0))</f>
        <v>0</v>
      </c>
      <c r="BB38">
        <f t="shared" si="14"/>
        <v>0</v>
      </c>
      <c r="BC38">
        <f t="shared" si="15"/>
        <v>0</v>
      </c>
      <c r="BD38" s="32" cm="1">
        <f t="array" ref="BD38">IF($F$13-$I$4+VLOOKUP($R38,武学奇术!$A:$ZZ,13,FALSE)+SUM(_xlfn.XLOOKUP(S38:AG38,增益!$A:$A,增益!$M:$M,0))&gt;0,($F$13-$I$4+VLOOKUP($R38,武学奇术!$A:$ZZ,13,FALSE)+SUM(_xlfn.XLOOKUP(S38:AG38,增益!$A:$A,增益!$K:$K,0)))/200,($F$13-$I$4+VLOOKUP($R38,武学奇术!$A:$ZZ,13,FALSE)+SUM(_xlfn.XLOOKUP(S38:AG38,增益!$A:$A,增益!$M:$M,0)))/100)</f>
        <v>-0.3</v>
      </c>
      <c r="BE38" s="32" cm="1">
        <f t="array" ref="BE38">$G$13+VLOOKUP($R38,武学奇术!$A:$ZZ,14,FALSE)+SUM(_xlfn.XLOOKUP(S38:AG38,增益!$A:$A,增益!$N:$N,0))</f>
        <v>0</v>
      </c>
      <c r="BF38">
        <f t="shared" si="16"/>
        <v>571.2</v>
      </c>
      <c r="BG38">
        <f t="shared" si="17"/>
        <v>1627.8</v>
      </c>
      <c r="BH38" s="32" cm="1">
        <f t="array" ref="BH38">IF($F$14-$I$4+VLOOKUP($R38,武学奇术!$A:$ZZ,15,FALSE)+SUM(_xlfn.XLOOKUP(S38:AG38,增益!$A:$A,增益!$O:$O,0))&gt;0,($F$14-$I$4+VLOOKUP($R38,武学奇术!$A:$ZZ,15,FALSE)+SUM(_xlfn.XLOOKUP(S38:AG38,增益!$A:$A,增益!$O:$O,0)))/200,($F$14-$I$4+VLOOKUP($R38,武学奇术!$A:$ZZ,15,FALSE)+SUM(_xlfn.XLOOKUP(S38:AG38,增益!$A:$A,增益!$O:$O,0)))/100)</f>
        <v>0</v>
      </c>
      <c r="BI38" s="32" cm="1">
        <f t="array" ref="BI38">$G$14+VLOOKUP($R38,武学奇术!$A:$ZZ,16,FALSE)+SUM(_xlfn.XLOOKUP(S38:AG38,增益!$A:$A,增益!$P:$P,0))</f>
        <v>0.15</v>
      </c>
      <c r="BJ38" s="26">
        <f>MIN(IF(VLOOKUP($R38,武学奇术!$A:$ZZ,23,FALSE)=1,100%,$B$8),100%)</f>
        <v>0.981</v>
      </c>
      <c r="BK38" s="26" cm="1">
        <f t="array" ref="BK38">IF(VLOOKUP($R38,武学奇术!$A:$ZZ,23,FALSE)=1,100%,MIN(80%,$B$9+VLOOKUP($R38,武学奇术!$A:$ZZ,17,FALSE)+SUM(_xlfn.XLOOKUP(S38:AG38,增益!$A:$A,增益!$Q:$Q,0)))+$B$11+SUM(_xlfn.XLOOKUP(S38:AG38,增益!$A:$A,增益!$U:$U,0)))*IF(VLOOKUP($R38,武学奇术!$A:$ZZ,24,FALSE)=1,0,1)</f>
        <v>0.846</v>
      </c>
      <c r="BL38" s="26" cm="1">
        <f t="array" ref="BL38">1+$B$13+VLOOKUP($R38,武学奇术!$A:$ZZ,18,FALSE)+SUM(_xlfn.XLOOKUP(S38:AG38,增益!$A:$A,增益!$R:$R,0))</f>
        <v>1.54</v>
      </c>
      <c r="BM38" s="26" cm="1">
        <f t="array" ref="BM38">IF(VLOOKUP($R38,武学奇术!$A:$ZZ,24,FALSE)=1,100%,MIN(40%,$B$10+VLOOKUP($R38,武学奇术!$A:$ZZ,19,FALSE)+SUM(_xlfn.XLOOKUP(S38:AG38,增益!$A:$A,增益!$S:$S,0)))+$B$12+SUM(_xlfn.XLOOKUP(S38:AG38,增益!$A:$A,增益!$V:$V,0)))*IF(VLOOKUP($R38,武学奇术!$A:$ZZ,23,FALSE)=1,0,1)</f>
        <v>0.0929</v>
      </c>
      <c r="BN38" s="26" cm="1">
        <f t="array" ref="BN38">1+$B$14+VLOOKUP($R38,武学奇术!$A:$ZZ,20,FALSE)+SUM(_xlfn.XLOOKUP(S38:AG38,增益!$A:$A,增益!$T:$T,0))</f>
        <v>1.35</v>
      </c>
      <c r="BO38" s="26">
        <f t="shared" si="12"/>
        <v>0.829926</v>
      </c>
      <c r="BP38" s="26">
        <f t="shared" si="18"/>
        <v>0.0599391</v>
      </c>
      <c r="BQ38" s="26">
        <f>IF(VLOOKUP($R38,武学奇术!$A:$ZZ,22,FALSE)=1,0,(1-$BJ38))*(1-$BM38)</f>
        <v>0.0172349</v>
      </c>
      <c r="BR38" s="26" cm="1">
        <f t="array" ref="BR38">SUM(_xlfn.XLOOKUP(S38:AG38,增益!$A:$A,增益!$W:$W,0))+$I$5</f>
        <v>0.11</v>
      </c>
    </row>
    <row r="39" spans="1:70">
      <c r="A39" s="4" t="s">
        <v>161</v>
      </c>
      <c r="B39" s="87">
        <v>1</v>
      </c>
      <c r="D39" s="39"/>
      <c r="E39" s="39"/>
      <c r="F39" s="39"/>
      <c r="K39">
        <f>$L39*VLOOKUP($R39,武学奇术!$A:$ZZ,31,FALSE)</f>
        <v>73503.9116407859</v>
      </c>
      <c r="L39" s="38">
        <f t="shared" si="13"/>
        <v>70003.725372177</v>
      </c>
      <c r="M39" s="38">
        <f>((($AO39+$AP39)/2*$AI39+$AJ39)*(1+$AQ39)*(1+$AR39)+(($AT39+$AU39)/2*IF($G$1="鸣金",$AK39,$AI39)+IF($G$1="鸣金",$AL39*1.5,0))*(1+$AV39)*(1+$AW39)+(($AX39+$AY39)/2*IF($G$1="裂石",$AK39,$AI39)+IF($G$1="裂石",$AL39*1.5,0))*(1+$AZ39)*(1+$BA39)+(($BB39+$BC39)/2*IF($G$1="牵丝",$AK39,$AI39)+IF($G$1="牵丝",$AL39*1.5,0))*(1+$BD39)*(1+$BE39)+(($BF39+$BG39)/2*IF($G$1="破竹",$AK39,$AI39)+IF($G$1="破竹",$AL39*1.5,0))*(1+$BH39)*(1+$BI39))*(1+$AM39)*$BL39*$Q39*(1+IF(VLOOKUP($R39,武学奇术!$A:$ZZ,30,FALSE)="回旋伞",$B$21,0))*(1+$BR39)</f>
        <v>74151.3133127607</v>
      </c>
      <c r="N39" s="38">
        <f>(($AP39*$AI39+$AJ39)*(1+$AQ39)*(1+$AR39)+($AU39*IF($G$1="鸣金",$AK39,$AI39)+IF($G$1="鸣金",$AL39*1.5,0))*(1+$AV39)*(1+$AW39)+($AY39*IF($G$1="裂石",$AK39,$AI39)+IF($G$1="裂石",$AL39*1.5,0))*(1+$AZ39)*(1+$BA39)+($BC39*IF($G$1="牵丝",$AK39,$AI39)+IF($G$1="牵丝",$AL39*1.5,0))*(1+$BD39)*(1+$BE39)+($BG39*IF($G$1="破竹",$AK39,$AI39)+IF($G$1="破竹",$AL39*1.5,0))*(1+$BH39)*(1+$BI39))*(1+$AM39)*$BN39*$Q39*(1+IF(VLOOKUP($R39,武学奇术!$A:$ZZ,30,FALSE)="回旋伞",$B$21,0))*(1+$BR39)</f>
        <v>59396.3389289428</v>
      </c>
      <c r="O39" s="38">
        <f>((($AO39+$AP39)/2*$AI39+$AJ39)*(1+$AQ39)*(1+$AR39)+(($AT39+$AU39)/2*IF($G$1="鸣金",$AK39,$AI39)+IF($G$1="鸣金",$AL39*1.5,0))*(1+$AV39)*(1+$AW39)+(($AX39+$AY39)/2*IF($G$1="裂石",$AK39,$AI39)+IF($G$1="裂石",$AL39*1.5,0))*(1+$AZ39)*(1+$BA39)+(($BB39+$BC39)/2*IF($G$1="牵丝",$AK39,$AI39)+IF($G$1="牵丝",$AL39*1.5,0))*(1+$BD39)*(1+$BE39)+(($BF39+$BG39)/2*IF($G$1="破竹",$AK39,$AI39)+IF($G$1="破竹",$AL39*1.5,0))*(1+$BH39)*(1+$BI39))*(1+$AM39)*$Q39*(1+IF(VLOOKUP($R39,武学奇术!$A:$ZZ,30,FALSE)="回旋伞",$B$21,0))*(1+$BR39)</f>
        <v>39233.4991072808</v>
      </c>
      <c r="P39" s="38">
        <f>((($AO39*$AI39+$AJ39)*(1+$AQ39)*(1+$AR39)+($AT39*IF($G$1="鸣金",$AK39,$AI39)+IF($G$1="鸣金",$AL39*1.5,0))*(1+$AV39)*(1+$AW39)+($AX39*IF($G$1="裂石",$AK39,$AI39)+IF($G$1="裂石",$AL39*1.5,0))*(1+$AZ39)*(1+$BA39)+($BB39*IF($G$1="牵丝",$AK39,$AI39)+IF($G$1="牵丝",$AL39*1.5,0))*(1+$BD39)*(1+$BE39)+($BF39*IF($G$1="破竹",$AK39,$AI39)+IF($G$1="破竹",$AL39*1.5,0))*(1+$BH39)*(1+$BI39))*(1+$AM39))*$Q39*(1+IF(VLOOKUP($R39,武学奇术!$A:$ZZ,30,FALSE)="回旋伞",$B$21,0))*(1+$BR39)</f>
        <v>34469.7101190484</v>
      </c>
      <c r="Q39" s="39">
        <v>1</v>
      </c>
      <c r="R39" s="40" t="s">
        <v>108</v>
      </c>
      <c r="S39" s="40" t="s">
        <v>109</v>
      </c>
      <c r="T39" s="40" t="s">
        <v>95</v>
      </c>
      <c r="U39" s="40" t="s">
        <v>73</v>
      </c>
      <c r="V39" s="40" t="s">
        <v>72</v>
      </c>
      <c r="W39" s="40" t="s">
        <v>168</v>
      </c>
      <c r="X39" s="40" t="s">
        <v>99</v>
      </c>
      <c r="Y39" s="40" t="s">
        <v>84</v>
      </c>
      <c r="Z39" s="40" t="s">
        <v>72</v>
      </c>
      <c r="AA39" s="40" t="s">
        <v>72</v>
      </c>
      <c r="AB39" s="40" t="s">
        <v>72</v>
      </c>
      <c r="AC39" s="40" t="s">
        <v>85</v>
      </c>
      <c r="AD39" s="40" t="s">
        <v>72</v>
      </c>
      <c r="AE39" s="40" t="s">
        <v>72</v>
      </c>
      <c r="AF39" s="40" t="s">
        <v>77</v>
      </c>
      <c r="AG39" s="40" t="s">
        <v>78</v>
      </c>
      <c r="AH39" t="str">
        <f>VLOOKUP($R39,武学奇术!$A:$ZZ,25,FALSE)</f>
        <v>伞</v>
      </c>
      <c r="AI39" s="26">
        <f>VLOOKUP($R39,武学奇术!$A:$ZZ,26,FALSE)</f>
        <v>1.8084</v>
      </c>
      <c r="AJ39" s="27">
        <f>VLOOKUP($R39,武学奇术!$A:$ZZ,27,FALSE)*(1+IF(OR($AH39=$F$4,$AH39=$F$5),$B$22,0))</f>
        <v>750</v>
      </c>
      <c r="AK39" s="26">
        <f>VLOOKUP($R39,武学奇术!$A:$ZZ,28,FALSE)</f>
        <v>2.7126</v>
      </c>
      <c r="AL39" s="27">
        <f>VLOOKUP($R39,武学奇术!$A:$ZZ,29,FALSE)*(1+IF(OR($AH39=$F$4,$AH39=$F$5),$B$22,0))</f>
        <v>408</v>
      </c>
      <c r="AM39" s="26" cm="1">
        <f t="array" ref="AM39">$G$3+IFERROR(VLOOKUP($AH39,$F$4:$G$7,2,FALSE),0)+VLOOKUP($R39,武学奇术!$A:$ZZ,2,FALSE)+SUM(_xlfn.XLOOKUP($S39:$AG39,增益!$A:$A,增益!$B:$B,0))</f>
        <v>0.6541</v>
      </c>
      <c r="AN39" s="26" cm="1">
        <f t="array" ref="AN39">VLOOKUP($R39,武学奇术!$A:$ZZ,5,FALSE)+SUM(_xlfn.XLOOKUP($S39:$AG39,增益!$A:$A,增益!$E:$E,0))</f>
        <v>0</v>
      </c>
      <c r="AO39" cm="1">
        <f t="array" ref="AO39">$D$10*(1+$AN39)+VLOOKUP($R39,武学奇术!$A:$ZZ,3,FALSE)+SUM(_xlfn.XLOOKUP($S39:$AG39,增益!$A:$A,增益!$C:$C,0))-$I$2</f>
        <v>3624.6</v>
      </c>
      <c r="AP39" cm="1">
        <f t="array" ref="AP39">$E$10*(1+$AN39)+VLOOKUP($R39,武学奇术!$A:$ZZ,4,FALSE)+SUM(_xlfn.XLOOKUP($S39:$AG39,增益!$A:$A,增益!$D:$D,0))-$I$2</f>
        <v>3624.6</v>
      </c>
      <c r="AQ39" s="32" cm="1">
        <f t="array" ref="AQ39">IF($F$10-$I$3+VLOOKUP($R39,武学奇术!$A:$ZZ,6,FALSE)+SUM(_xlfn.XLOOKUP(S39:AG39,增益!$A:$A,增益!$F:$F,0))&gt;0,($F$10-$I$3+VLOOKUP($R39,武学奇术!$A:$ZZ,6,FALSE)+SUM(_xlfn.XLOOKUP(S39:AG39,增益!$A:$A,增益!$F:$F,0)))/200,($F$10-$I$3+VLOOKUP($R39,武学奇术!$A:$ZZ,6,FALSE)+SUM(_xlfn.XLOOKUP(S39:AG39,增益!$A:$A,增益!$F:$F,0)))/100)</f>
        <v>0.3425</v>
      </c>
      <c r="AR39" s="32" cm="1">
        <f t="array" ref="AR39">$G$10+VLOOKUP($R39,武学奇术!$A:$ZZ,7,FALSE)+SUM(_xlfn.XLOOKUP(S39:AG39,增益!$A:$A,增益!$G:$G,0))</f>
        <v>0.148</v>
      </c>
      <c r="AS39" s="26" cm="1">
        <f t="array" ref="AS39">VLOOKUP($R39,武学奇术!$A:$ZZ,8,FALSE)+SUM(_xlfn.XLOOKUP(S39:AG39,增益!$A:$A,增益!$H:$H,0))</f>
        <v>0</v>
      </c>
      <c r="AT39">
        <f t="shared" si="0"/>
        <v>0</v>
      </c>
      <c r="AU39">
        <f t="shared" si="1"/>
        <v>0</v>
      </c>
      <c r="AV39" s="32" cm="1">
        <f t="array" ref="AV39">IF($F$11-$I$4+VLOOKUP($R39,武学奇术!$A:$ZZ,9,FALSE)+SUM(_xlfn.XLOOKUP(S39:AG39,增益!$A:$A,增益!$I:$I,0))&gt;0,($F$11-$I$4+VLOOKUP($R39,武学奇术!$A:$ZZ,9,FALSE)+SUM(_xlfn.XLOOKUP(S39:AG39,增益!$A:$A,增益!$I:$I,0)))/200,($F$11-$I$4+VLOOKUP($R39,武学奇术!$A:$ZZ,9,FALSE)+SUM(_xlfn.XLOOKUP(S39:AG39,增益!$A:$A,增益!$I:$I,0)))/100)</f>
        <v>-0.14</v>
      </c>
      <c r="AW39" s="32" cm="1">
        <f t="array" ref="AW39">$G$11+VLOOKUP($R39,武学奇术!$A:$ZZ,10,FALSE)+SUM(_xlfn.XLOOKUP(S39:AG39,增益!$A:$A,增益!$J:$J,0))</f>
        <v>0</v>
      </c>
      <c r="AX39">
        <f t="shared" si="2"/>
        <v>0</v>
      </c>
      <c r="AY39">
        <f t="shared" si="3"/>
        <v>0</v>
      </c>
      <c r="AZ39" s="32" cm="1">
        <f t="array" ref="AZ39">IF($F$12-$I$4+VLOOKUP($R39,武学奇术!$A:$ZZ,11,FALSE)+SUM(_xlfn.XLOOKUP(S39:AG39,增益!$A:$A,增益!$K:$K,0))&gt;0,($F$12-$I$4+VLOOKUP($R39,武学奇术!$A:$ZZ,11,FALSE)+SUM(_xlfn.XLOOKUP(S39:AG39,增益!$A:$A,增益!$K:$K,0)))/200,($F$12-$I$4+VLOOKUP($R39,武学奇术!$A:$ZZ,11,FALSE)+SUM(_xlfn.XLOOKUP(S39:AG39,增益!$A:$A,增益!$K:$K,0)))/100)</f>
        <v>-0.14</v>
      </c>
      <c r="BA39" s="32" cm="1">
        <f t="array" ref="BA39">$G$12+VLOOKUP($R39,武学奇术!$A:$ZZ,12,FALSE)+SUM(_xlfn.XLOOKUP(S39:AG39,增益!$A:$A,增益!$L:$L,0))</f>
        <v>0</v>
      </c>
      <c r="BB39">
        <f t="shared" si="14"/>
        <v>0</v>
      </c>
      <c r="BC39">
        <f t="shared" si="15"/>
        <v>0</v>
      </c>
      <c r="BD39" s="32" cm="1">
        <f t="array" ref="BD39">IF($F$13-$I$4+VLOOKUP($R39,武学奇术!$A:$ZZ,13,FALSE)+SUM(_xlfn.XLOOKUP(S39:AG39,增益!$A:$A,增益!$M:$M,0))&gt;0,($F$13-$I$4+VLOOKUP($R39,武学奇术!$A:$ZZ,13,FALSE)+SUM(_xlfn.XLOOKUP(S39:AG39,增益!$A:$A,增益!$K:$K,0)))/200,($F$13-$I$4+VLOOKUP($R39,武学奇术!$A:$ZZ,13,FALSE)+SUM(_xlfn.XLOOKUP(S39:AG39,增益!$A:$A,增益!$M:$M,0)))/100)</f>
        <v>-0.14</v>
      </c>
      <c r="BE39" s="32" cm="1">
        <f t="array" ref="BE39">$G$13+VLOOKUP($R39,武学奇术!$A:$ZZ,14,FALSE)+SUM(_xlfn.XLOOKUP(S39:AG39,增益!$A:$A,增益!$N:$N,0))</f>
        <v>0</v>
      </c>
      <c r="BF39">
        <f t="shared" si="16"/>
        <v>571.2</v>
      </c>
      <c r="BG39">
        <f t="shared" si="17"/>
        <v>1627.8</v>
      </c>
      <c r="BH39" s="32" cm="1">
        <f t="array" ref="BH39">IF($F$14-$I$4+VLOOKUP($R39,武学奇术!$A:$ZZ,15,FALSE)+SUM(_xlfn.XLOOKUP(S39:AG39,增益!$A:$A,增益!$O:$O,0))&gt;0,($F$14-$I$4+VLOOKUP($R39,武学奇术!$A:$ZZ,15,FALSE)+SUM(_xlfn.XLOOKUP(S39:AG39,增益!$A:$A,增益!$O:$O,0)))/200,($F$14-$I$4+VLOOKUP($R39,武学奇术!$A:$ZZ,15,FALSE)+SUM(_xlfn.XLOOKUP(S39:AG39,增益!$A:$A,增益!$O:$O,0)))/100)</f>
        <v>0.08</v>
      </c>
      <c r="BI39" s="32" cm="1">
        <f t="array" ref="BI39">$G$14+VLOOKUP($R39,武学奇术!$A:$ZZ,16,FALSE)+SUM(_xlfn.XLOOKUP(S39:AG39,增益!$A:$A,增益!$P:$P,0))</f>
        <v>0.27</v>
      </c>
      <c r="BJ39" s="26">
        <f>MIN(IF(VLOOKUP($R39,武学奇术!$A:$ZZ,23,FALSE)=1,100%,$B$8),100%)</f>
        <v>0.981</v>
      </c>
      <c r="BK39" s="26" cm="1">
        <f t="array" ref="BK39">IF(VLOOKUP($R39,武学奇术!$A:$ZZ,23,FALSE)=1,100%,MIN(80%,$B$9+VLOOKUP($R39,武学奇术!$A:$ZZ,17,FALSE)+SUM(_xlfn.XLOOKUP(S39:AG39,增益!$A:$A,增益!$Q:$Q,0)))+$B$11+SUM(_xlfn.XLOOKUP(S39:AG39,增益!$A:$A,增益!$U:$U,0)))*IF(VLOOKUP($R39,武学奇术!$A:$ZZ,24,FALSE)=1,0,1)</f>
        <v>0.846</v>
      </c>
      <c r="BL39" s="26" cm="1">
        <f t="array" ref="BL39">1+$B$13+VLOOKUP($R39,武学奇术!$A:$ZZ,18,FALSE)+SUM(_xlfn.XLOOKUP(S39:AG39,增益!$A:$A,增益!$R:$R,0))</f>
        <v>1.89</v>
      </c>
      <c r="BM39" s="26" cm="1">
        <f t="array" ref="BM39">IF(VLOOKUP($R39,武学奇术!$A:$ZZ,24,FALSE)=1,100%,MIN(40%,$B$10+VLOOKUP($R39,武学奇术!$A:$ZZ,19,FALSE)+SUM(_xlfn.XLOOKUP(S39:AG39,增益!$A:$A,增益!$S:$S,0)))+$B$12+SUM(_xlfn.XLOOKUP(S39:AG39,增益!$A:$A,增益!$V:$V,0)))*IF(VLOOKUP($R39,武学奇术!$A:$ZZ,23,FALSE)=1,0,1)</f>
        <v>0.0929</v>
      </c>
      <c r="BN39" s="26" cm="1">
        <f t="array" ref="BN39">1+$B$14+VLOOKUP($R39,武学奇术!$A:$ZZ,20,FALSE)+SUM(_xlfn.XLOOKUP(S39:AG39,增益!$A:$A,增益!$T:$T,0))</f>
        <v>1.35</v>
      </c>
      <c r="BO39" s="26">
        <f t="shared" si="12"/>
        <v>0.829926</v>
      </c>
      <c r="BP39" s="26">
        <f t="shared" si="18"/>
        <v>0.0599391</v>
      </c>
      <c r="BQ39" s="26">
        <f>IF(VLOOKUP($R39,武学奇术!$A:$ZZ,22,FALSE)=1,0,(1-$BJ39))*(1-$BM39)</f>
        <v>0.0172349</v>
      </c>
      <c r="BR39" s="26" cm="1">
        <f t="array" ref="BR39">SUM(_xlfn.XLOOKUP(S39:AG39,增益!$A:$A,增益!$W:$W,0))+$I$5</f>
        <v>0.11</v>
      </c>
    </row>
    <row r="40" spans="1:70">
      <c r="A40" s="4" t="s">
        <v>161</v>
      </c>
      <c r="B40" s="4">
        <v>1</v>
      </c>
      <c r="D40" s="39"/>
      <c r="E40"/>
      <c r="F40" s="39"/>
      <c r="K40">
        <f>$L40*VLOOKUP($R40,武学奇术!$A:$ZZ,31,FALSE)</f>
        <v>43184.9616074607</v>
      </c>
      <c r="L40" s="38">
        <f t="shared" si="13"/>
        <v>41128.5348642483</v>
      </c>
      <c r="M40" s="38">
        <f>((($AO40+$AP40)/2*$AI40+$AJ40)*(1+$AQ40)*(1+$AR40)+(($AT40+$AU40)/2*IF($G$1="鸣金",$AK40,$AI40)+IF($G$1="鸣金",$AL40*1.5,0))*(1+$AV40)*(1+$AW40)+(($AX40+$AY40)/2*IF($G$1="裂石",$AK40,$AI40)+IF($G$1="裂石",$AL40*1.5,0))*(1+$AZ40)*(1+$BA40)+(($BB40+$BC40)/2*IF($G$1="牵丝",$AK40,$AI40)+IF($G$1="牵丝",$AL40*1.5,0))*(1+$BD40)*(1+$BE40)+(($BF40+$BG40)/2*IF($G$1="破竹",$AK40,$AI40)+IF($G$1="破竹",$AL40*1.5,0))*(1+$BH40)*(1+$BI40))*(1+$AM40)*$BL40*$Q40*(1+IF(VLOOKUP($R40,武学奇术!$A:$ZZ,30,FALSE)="回旋伞",$B$21,0))*(1+$BR40)</f>
        <v>43520.2812707395</v>
      </c>
      <c r="N40" s="38">
        <f>(($AP40*$AI40+$AJ40)*(1+$AQ40)*(1+$AR40)+($AU40*IF($G$1="鸣金",$AK40,$AI40)+IF($G$1="鸣金",$AL40*1.5,0))*(1+$AV40)*(1+$AW40)+($AY40*IF($G$1="裂石",$AK40,$AI40)+IF($G$1="裂石",$AL40*1.5,0))*(1+$AZ40)*(1+$BA40)+($BC40*IF($G$1="牵丝",$AK40,$AI40)+IF($G$1="牵丝",$AL40*1.5,0))*(1+$BD40)*(1+$BE40)+($BG40*IF($G$1="破竹",$AK40,$AI40)+IF($G$1="破竹",$AL40*1.5,0))*(1+$BH40)*(1+$BI40))*(1+$AM40)*$BN40*$Q40*(1+IF(VLOOKUP($R40,武学奇术!$A:$ZZ,30,FALSE)="回旋伞",$B$21,0))*(1+$BR40)</f>
        <v>35391.0517744919</v>
      </c>
      <c r="O40" s="38">
        <f>((($AO40+$AP40)/2*$AI40+$AJ40)*(1+$AQ40)*(1+$AR40)+(($AT40+$AU40)/2*IF($G$1="鸣金",$AK40,$AI40)+IF($G$1="鸣金",$AL40*1.5,0))*(1+$AV40)*(1+$AW40)+(($AX40+$AY40)/2*IF($G$1="裂石",$AK40,$AI40)+IF($G$1="裂石",$AL40*1.5,0))*(1+$AZ40)*(1+$BA40)+(($BB40+$BC40)/2*IF($G$1="牵丝",$AK40,$AI40)+IF($G$1="牵丝",$AL40*1.5,0))*(1+$BD40)*(1+$BE40)+(($BF40+$BG40)/2*IF($G$1="破竹",$AK40,$AI40)+IF($G$1="破竹",$AL40*1.5,0))*(1+$BH40)*(1+$BI40))*(1+$AM40)*$Q40*(1+IF(VLOOKUP($R40,武学奇术!$A:$ZZ,30,FALSE)="回旋伞",$B$21,0))*(1+$BR40)</f>
        <v>23026.6038469521</v>
      </c>
      <c r="P40" s="38">
        <f>((($AO40*$AI40+$AJ40)*(1+$AQ40)*(1+$AR40)+($AT40*IF($G$1="鸣金",$AK40,$AI40)+IF($G$1="鸣金",$AL40*1.5,0))*(1+$AV40)*(1+$AW40)+($AX40*IF($G$1="裂石",$AK40,$AI40)+IF($G$1="裂石",$AL40*1.5,0))*(1+$AZ40)*(1+$BA40)+($BB40*IF($G$1="牵丝",$AK40,$AI40)+IF($G$1="牵丝",$AL40*1.5,0))*(1+$BD40)*(1+$BE40)+($BF40*IF($G$1="破竹",$AK40,$AI40)+IF($G$1="破竹",$AL40*1.5,0))*(1+$BH40)*(1+$BI40))*(1+$AM40))*$Q40*(1+IF(VLOOKUP($R40,武学奇术!$A:$ZZ,30,FALSE)="回旋伞",$B$21,0))*(1+$BR40)</f>
        <v>19837.6137868732</v>
      </c>
      <c r="Q40" s="39">
        <v>2</v>
      </c>
      <c r="R40" s="40" t="s">
        <v>112</v>
      </c>
      <c r="S40" s="40" t="s">
        <v>109</v>
      </c>
      <c r="T40" s="40" t="s">
        <v>95</v>
      </c>
      <c r="U40" s="40" t="s">
        <v>73</v>
      </c>
      <c r="V40" s="40" t="s">
        <v>72</v>
      </c>
      <c r="W40" s="40" t="s">
        <v>168</v>
      </c>
      <c r="X40" s="40" t="s">
        <v>99</v>
      </c>
      <c r="Y40" s="40" t="s">
        <v>84</v>
      </c>
      <c r="Z40" s="40" t="s">
        <v>72</v>
      </c>
      <c r="AA40" s="40" t="s">
        <v>72</v>
      </c>
      <c r="AB40" s="40" t="s">
        <v>72</v>
      </c>
      <c r="AC40" s="40" t="s">
        <v>85</v>
      </c>
      <c r="AD40" s="40" t="s">
        <v>72</v>
      </c>
      <c r="AE40" s="40" t="s">
        <v>72</v>
      </c>
      <c r="AF40" s="40" t="s">
        <v>77</v>
      </c>
      <c r="AG40" s="40" t="s">
        <v>78</v>
      </c>
      <c r="AH40" t="str">
        <f>VLOOKUP($R40,武学奇术!$A:$ZZ,25,FALSE)</f>
        <v>伞</v>
      </c>
      <c r="AI40" s="26">
        <f>VLOOKUP($R40,武学奇术!$A:$ZZ,26,FALSE)</f>
        <v>0.54</v>
      </c>
      <c r="AJ40" s="27">
        <f>VLOOKUP($R40,武学奇术!$A:$ZZ,27,FALSE)*(1+IF(OR($AH40=$F$4,$AH40=$F$5),$B$22,0))</f>
        <v>0</v>
      </c>
      <c r="AK40" s="26">
        <f>VLOOKUP($R40,武学奇术!$A:$ZZ,28,FALSE)</f>
        <v>0.81</v>
      </c>
      <c r="AL40" s="27">
        <f>VLOOKUP($R40,武学奇术!$A:$ZZ,29,FALSE)*(1+IF(OR($AH40=$F$4,$AH40=$F$5),$B$22,0))</f>
        <v>0</v>
      </c>
      <c r="AM40" s="26" cm="1">
        <f t="array" ref="AM40">$G$3+IFERROR(VLOOKUP($AH40,$F$4:$G$7,2,FALSE),0)+VLOOKUP($R40,武学奇术!$A:$ZZ,2,FALSE)+SUM(_xlfn.XLOOKUP($S40:$AG40,增益!$A:$A,增益!$B:$B,0))</f>
        <v>0.8541</v>
      </c>
      <c r="AN40" s="26" cm="1">
        <f t="array" ref="AN40">VLOOKUP($R40,武学奇术!$A:$ZZ,5,FALSE)+SUM(_xlfn.XLOOKUP($S40:$AG40,增益!$A:$A,增益!$E:$E,0))</f>
        <v>0</v>
      </c>
      <c r="AO40" cm="1">
        <f t="array" ref="AO40">$D$10*(1+$AN40)+VLOOKUP($R40,武学奇术!$A:$ZZ,3,FALSE)+SUM(_xlfn.XLOOKUP($S40:$AG40,增益!$A:$A,增益!$C:$C,0))-$I$2</f>
        <v>3624.6</v>
      </c>
      <c r="AP40" cm="1">
        <f t="array" ref="AP40">$E$10*(1+$AN40)+VLOOKUP($R40,武学奇术!$A:$ZZ,4,FALSE)+SUM(_xlfn.XLOOKUP($S40:$AG40,增益!$A:$A,增益!$D:$D,0))-$I$2</f>
        <v>3624.6</v>
      </c>
      <c r="AQ40" s="32" cm="1">
        <f t="array" ref="AQ40">IF($F$10-$I$3+VLOOKUP($R40,武学奇术!$A:$ZZ,6,FALSE)+SUM(_xlfn.XLOOKUP(S40:AG40,增益!$A:$A,增益!$F:$F,0))&gt;0,($F$10-$I$3+VLOOKUP($R40,武学奇术!$A:$ZZ,6,FALSE)+SUM(_xlfn.XLOOKUP(S40:AG40,增益!$A:$A,增益!$F:$F,0)))/200,($F$10-$I$3+VLOOKUP($R40,武学奇术!$A:$ZZ,6,FALSE)+SUM(_xlfn.XLOOKUP(S40:AG40,增益!$A:$A,增益!$F:$F,0)))/100)</f>
        <v>0.3425</v>
      </c>
      <c r="AR40" s="32" cm="1">
        <f t="array" ref="AR40">$G$10+VLOOKUP($R40,武学奇术!$A:$ZZ,7,FALSE)+SUM(_xlfn.XLOOKUP(S40:AG40,增益!$A:$A,增益!$G:$G,0))</f>
        <v>0.148</v>
      </c>
      <c r="AS40" s="26" cm="1">
        <f t="array" ref="AS40">VLOOKUP($R40,武学奇术!$A:$ZZ,8,FALSE)+SUM(_xlfn.XLOOKUP(S40:AG40,增益!$A:$A,增益!$H:$H,0))</f>
        <v>0</v>
      </c>
      <c r="AT40">
        <f t="shared" si="0"/>
        <v>0</v>
      </c>
      <c r="AU40">
        <f t="shared" si="1"/>
        <v>0</v>
      </c>
      <c r="AV40" s="32" cm="1">
        <f t="array" ref="AV40">IF($F$11-$I$4+VLOOKUP($R40,武学奇术!$A:$ZZ,9,FALSE)+SUM(_xlfn.XLOOKUP(S40:AG40,增益!$A:$A,增益!$I:$I,0))&gt;0,($F$11-$I$4+VLOOKUP($R40,武学奇术!$A:$ZZ,9,FALSE)+SUM(_xlfn.XLOOKUP(S40:AG40,增益!$A:$A,增益!$I:$I,0)))/200,($F$11-$I$4+VLOOKUP($R40,武学奇术!$A:$ZZ,9,FALSE)+SUM(_xlfn.XLOOKUP(S40:AG40,增益!$A:$A,增益!$I:$I,0)))/100)</f>
        <v>-0.14</v>
      </c>
      <c r="AW40" s="32" cm="1">
        <f t="array" ref="AW40">$G$11+VLOOKUP($R40,武学奇术!$A:$ZZ,10,FALSE)+SUM(_xlfn.XLOOKUP(S40:AG40,增益!$A:$A,增益!$J:$J,0))</f>
        <v>0</v>
      </c>
      <c r="AX40">
        <f t="shared" si="2"/>
        <v>0</v>
      </c>
      <c r="AY40">
        <f t="shared" si="3"/>
        <v>0</v>
      </c>
      <c r="AZ40" s="32" cm="1">
        <f t="array" ref="AZ40">IF($F$12-$I$4+VLOOKUP($R40,武学奇术!$A:$ZZ,11,FALSE)+SUM(_xlfn.XLOOKUP(S40:AG40,增益!$A:$A,增益!$K:$K,0))&gt;0,($F$12-$I$4+VLOOKUP($R40,武学奇术!$A:$ZZ,11,FALSE)+SUM(_xlfn.XLOOKUP(S40:AG40,增益!$A:$A,增益!$K:$K,0)))/200,($F$12-$I$4+VLOOKUP($R40,武学奇术!$A:$ZZ,11,FALSE)+SUM(_xlfn.XLOOKUP(S40:AG40,增益!$A:$A,增益!$K:$K,0)))/100)</f>
        <v>-0.14</v>
      </c>
      <c r="BA40" s="32" cm="1">
        <f t="array" ref="BA40">$G$12+VLOOKUP($R40,武学奇术!$A:$ZZ,12,FALSE)+SUM(_xlfn.XLOOKUP(S40:AG40,增益!$A:$A,增益!$L:$L,0))</f>
        <v>0</v>
      </c>
      <c r="BB40">
        <f t="shared" si="14"/>
        <v>0</v>
      </c>
      <c r="BC40">
        <f t="shared" si="15"/>
        <v>0</v>
      </c>
      <c r="BD40" s="32" cm="1">
        <f t="array" ref="BD40">IF($F$13-$I$4+VLOOKUP($R40,武学奇术!$A:$ZZ,13,FALSE)+SUM(_xlfn.XLOOKUP(S40:AG40,增益!$A:$A,增益!$M:$M,0))&gt;0,($F$13-$I$4+VLOOKUP($R40,武学奇术!$A:$ZZ,13,FALSE)+SUM(_xlfn.XLOOKUP(S40:AG40,增益!$A:$A,增益!$K:$K,0)))/200,($F$13-$I$4+VLOOKUP($R40,武学奇术!$A:$ZZ,13,FALSE)+SUM(_xlfn.XLOOKUP(S40:AG40,增益!$A:$A,增益!$M:$M,0)))/100)</f>
        <v>-0.14</v>
      </c>
      <c r="BE40" s="32" cm="1">
        <f t="array" ref="BE40">$G$13+VLOOKUP($R40,武学奇术!$A:$ZZ,14,FALSE)+SUM(_xlfn.XLOOKUP(S40:AG40,增益!$A:$A,增益!$N:$N,0))</f>
        <v>0</v>
      </c>
      <c r="BF40">
        <f t="shared" si="16"/>
        <v>571.2</v>
      </c>
      <c r="BG40">
        <f t="shared" si="17"/>
        <v>1627.8</v>
      </c>
      <c r="BH40" s="32" cm="1">
        <f t="array" ref="BH40">IF($F$14-$I$4+VLOOKUP($R40,武学奇术!$A:$ZZ,15,FALSE)+SUM(_xlfn.XLOOKUP(S40:AG40,增益!$A:$A,增益!$O:$O,0))&gt;0,($F$14-$I$4+VLOOKUP($R40,武学奇术!$A:$ZZ,15,FALSE)+SUM(_xlfn.XLOOKUP(S40:AG40,增益!$A:$A,增益!$O:$O,0)))/200,($F$14-$I$4+VLOOKUP($R40,武学奇术!$A:$ZZ,15,FALSE)+SUM(_xlfn.XLOOKUP(S40:AG40,增益!$A:$A,增益!$O:$O,0)))/100)</f>
        <v>0.08</v>
      </c>
      <c r="BI40" s="32" cm="1">
        <f t="array" ref="BI40">$G$14+VLOOKUP($R40,武学奇术!$A:$ZZ,16,FALSE)+SUM(_xlfn.XLOOKUP(S40:AG40,增益!$A:$A,增益!$P:$P,0))</f>
        <v>0.27</v>
      </c>
      <c r="BJ40" s="26">
        <f>MIN(IF(VLOOKUP($R40,武学奇术!$A:$ZZ,23,FALSE)=1,100%,$B$8),100%)</f>
        <v>0.981</v>
      </c>
      <c r="BK40" s="26" cm="1">
        <f t="array" ref="BK40">IF(VLOOKUP($R40,武学奇术!$A:$ZZ,23,FALSE)=1,100%,MIN(80%,$B$9+VLOOKUP($R40,武学奇术!$A:$ZZ,17,FALSE)+SUM(_xlfn.XLOOKUP(S40:AG40,增益!$A:$A,增益!$Q:$Q,0)))+$B$11+SUM(_xlfn.XLOOKUP(S40:AG40,增益!$A:$A,增益!$U:$U,0)))*IF(VLOOKUP($R40,武学奇术!$A:$ZZ,24,FALSE)=1,0,1)</f>
        <v>0.846</v>
      </c>
      <c r="BL40" s="26" cm="1">
        <f t="array" ref="BL40">1+$B$13+VLOOKUP($R40,武学奇术!$A:$ZZ,18,FALSE)+SUM(_xlfn.XLOOKUP(S40:AG40,增益!$A:$A,增益!$R:$R,0))</f>
        <v>1.89</v>
      </c>
      <c r="BM40" s="26" cm="1">
        <f t="array" ref="BM40">IF(VLOOKUP($R40,武学奇术!$A:$ZZ,24,FALSE)=1,100%,MIN(40%,$B$10+VLOOKUP($R40,武学奇术!$A:$ZZ,19,FALSE)+SUM(_xlfn.XLOOKUP(S40:AG40,增益!$A:$A,增益!$S:$S,0)))+$B$12+SUM(_xlfn.XLOOKUP(S40:AG40,增益!$A:$A,增益!$V:$V,0)))*IF(VLOOKUP($R40,武学奇术!$A:$ZZ,23,FALSE)=1,0,1)</f>
        <v>0.0929</v>
      </c>
      <c r="BN40" s="26" cm="1">
        <f t="array" ref="BN40">1+$B$14+VLOOKUP($R40,武学奇术!$A:$ZZ,20,FALSE)+SUM(_xlfn.XLOOKUP(S40:AG40,增益!$A:$A,增益!$T:$T,0))</f>
        <v>1.35</v>
      </c>
      <c r="BO40" s="26">
        <f t="shared" si="12"/>
        <v>0.829926</v>
      </c>
      <c r="BP40" s="26">
        <f t="shared" si="18"/>
        <v>0.0599391</v>
      </c>
      <c r="BQ40" s="26">
        <f>IF(VLOOKUP($R40,武学奇术!$A:$ZZ,22,FALSE)=1,0,(1-$BJ40))*(1-$BM40)</f>
        <v>0.0172349</v>
      </c>
      <c r="BR40" s="26" cm="1">
        <f t="array" ref="BR40">SUM(_xlfn.XLOOKUP(S40:AG40,增益!$A:$A,增益!$W:$W,0))+$I$5</f>
        <v>0.11</v>
      </c>
    </row>
    <row r="41" spans="1:70">
      <c r="A41" s="4" t="s">
        <v>164</v>
      </c>
      <c r="B41" s="4">
        <v>0.85</v>
      </c>
      <c r="D41" s="39"/>
      <c r="E41"/>
      <c r="F41" s="39"/>
      <c r="K41">
        <f>$L41*VLOOKUP($R41,武学奇术!$A:$ZZ,31,FALSE)</f>
        <v>75555.2484025327</v>
      </c>
      <c r="L41" s="38">
        <f t="shared" si="13"/>
        <v>71957.3794309836</v>
      </c>
      <c r="M41" s="38">
        <f>((($AO41+$AP41)/2*$AI41+$AJ41)*(1+$AQ41)*(1+$AR41)+(($AT41+$AU41)/2*IF($G$1="鸣金",$AK41,$AI41)+IF($G$1="鸣金",$AL41*1.5,0))*(1+$AV41)*(1+$AW41)+(($AX41+$AY41)/2*IF($G$1="裂石",$AK41,$AI41)+IF($G$1="裂石",$AL41*1.5,0))*(1+$AZ41)*(1+$BA41)+(($BB41+$BC41)/2*IF($G$1="牵丝",$AK41,$AI41)+IF($G$1="牵丝",$AL41*1.5,0))*(1+$BD41)*(1+$BE41)+(($BF41+$BG41)/2*IF($G$1="破竹",$AK41,$AI41)+IF($G$1="破竹",$AL41*1.5,0))*(1+$BH41)*(1+$BI41))*(1+$AM41)*$BL41*$Q41*(1+IF(VLOOKUP($R41,武学奇术!$A:$ZZ,30,FALSE)="回旋伞",$B$21,0))*(1+$BR41)</f>
        <v>76505.3232591975</v>
      </c>
      <c r="N41" s="38">
        <f>(($AP41*$AI41+$AJ41)*(1+$AQ41)*(1+$AR41)+($AU41*IF($G$1="鸣金",$AK41,$AI41)+IF($G$1="鸣金",$AL41*1.5,0))*(1+$AV41)*(1+$AW41)+($AY41*IF($G$1="裂石",$AK41,$AI41)+IF($G$1="裂石",$AL41*1.5,0))*(1+$AZ41)*(1+$BA41)+($BC41*IF($G$1="牵丝",$AK41,$AI41)+IF($G$1="牵丝",$AL41*1.5,0))*(1+$BD41)*(1+$BE41)+($BG41*IF($G$1="破竹",$AK41,$AI41)+IF($G$1="破竹",$AL41*1.5,0))*(1+$BH41)*(1+$BI41))*(1+$AM41)*$BN41*$Q41*(1+IF(VLOOKUP($R41,武学奇术!$A:$ZZ,30,FALSE)="回旋伞",$B$21,0))*(1+$BR41)</f>
        <v>59396.3389289428</v>
      </c>
      <c r="O41" s="38">
        <f>((($AO41+$AP41)/2*$AI41+$AJ41)*(1+$AQ41)*(1+$AR41)+(($AT41+$AU41)/2*IF($G$1="鸣金",$AK41,$AI41)+IF($G$1="鸣金",$AL41*1.5,0))*(1+$AV41)*(1+$AW41)+(($AX41+$AY41)/2*IF($G$1="裂石",$AK41,$AI41)+IF($G$1="裂石",$AL41*1.5,0))*(1+$AZ41)*(1+$BA41)+(($BB41+$BC41)/2*IF($G$1="牵丝",$AK41,$AI41)+IF($G$1="牵丝",$AL41*1.5,0))*(1+$BD41)*(1+$BE41)+(($BF41+$BG41)/2*IF($G$1="破竹",$AK41,$AI41)+IF($G$1="破竹",$AL41*1.5,0))*(1+$BH41)*(1+$BI41))*(1+$AM41)*$Q41*(1+IF(VLOOKUP($R41,武学奇术!$A:$ZZ,30,FALSE)="回旋伞",$B$21,0))*(1+$BR41)</f>
        <v>39233.4991072808</v>
      </c>
      <c r="P41" s="38">
        <f>((($AO41*$AI41+$AJ41)*(1+$AQ41)*(1+$AR41)+($AT41*IF($G$1="鸣金",$AK41,$AI41)+IF($G$1="鸣金",$AL41*1.5,0))*(1+$AV41)*(1+$AW41)+($AX41*IF($G$1="裂石",$AK41,$AI41)+IF($G$1="裂石",$AL41*1.5,0))*(1+$AZ41)*(1+$BA41)+($BB41*IF($G$1="牵丝",$AK41,$AI41)+IF($G$1="牵丝",$AL41*1.5,0))*(1+$BD41)*(1+$BE41)+($BF41*IF($G$1="破竹",$AK41,$AI41)+IF($G$1="破竹",$AL41*1.5,0))*(1+$BH41)*(1+$BI41))*(1+$AM41))*$Q41*(1+IF(VLOOKUP($R41,武学奇术!$A:$ZZ,30,FALSE)="回旋伞",$B$21,0))*(1+$BR41)</f>
        <v>34469.7101190484</v>
      </c>
      <c r="Q41" s="39">
        <v>1</v>
      </c>
      <c r="R41" s="40" t="s">
        <v>108</v>
      </c>
      <c r="S41" s="40" t="s">
        <v>109</v>
      </c>
      <c r="T41" s="40" t="s">
        <v>95</v>
      </c>
      <c r="U41" s="40" t="s">
        <v>73</v>
      </c>
      <c r="V41" s="40" t="s">
        <v>72</v>
      </c>
      <c r="W41" s="40" t="s">
        <v>168</v>
      </c>
      <c r="X41" s="40" t="s">
        <v>99</v>
      </c>
      <c r="Y41" s="40" t="s">
        <v>84</v>
      </c>
      <c r="Z41" s="40" t="s">
        <v>72</v>
      </c>
      <c r="AA41" s="40" t="s">
        <v>72</v>
      </c>
      <c r="AB41" s="40" t="s">
        <v>115</v>
      </c>
      <c r="AC41" s="40" t="s">
        <v>91</v>
      </c>
      <c r="AD41" s="40" t="s">
        <v>72</v>
      </c>
      <c r="AE41" s="40" t="s">
        <v>72</v>
      </c>
      <c r="AF41" s="40" t="s">
        <v>77</v>
      </c>
      <c r="AG41" s="40" t="s">
        <v>78</v>
      </c>
      <c r="AH41" t="str">
        <f>VLOOKUP($R41,武学奇术!$A:$ZZ,25,FALSE)</f>
        <v>伞</v>
      </c>
      <c r="AI41" s="26">
        <f>VLOOKUP($R41,武学奇术!$A:$ZZ,26,FALSE)</f>
        <v>1.8084</v>
      </c>
      <c r="AJ41" s="27">
        <f>VLOOKUP($R41,武学奇术!$A:$ZZ,27,FALSE)*(1+IF(OR($AH41=$F$4,$AH41=$F$5),$B$22,0))</f>
        <v>750</v>
      </c>
      <c r="AK41" s="26">
        <f>VLOOKUP($R41,武学奇术!$A:$ZZ,28,FALSE)</f>
        <v>2.7126</v>
      </c>
      <c r="AL41" s="27">
        <f>VLOOKUP($R41,武学奇术!$A:$ZZ,29,FALSE)*(1+IF(OR($AH41=$F$4,$AH41=$F$5),$B$22,0))</f>
        <v>408</v>
      </c>
      <c r="AM41" s="26" cm="1">
        <f t="array" ref="AM41">$G$3+IFERROR(VLOOKUP($AH41,$F$4:$G$7,2,FALSE),0)+VLOOKUP($R41,武学奇术!$A:$ZZ,2,FALSE)+SUM(_xlfn.XLOOKUP($S41:$AG41,增益!$A:$A,增益!$B:$B,0))</f>
        <v>0.6541</v>
      </c>
      <c r="AN41" s="26" cm="1">
        <f t="array" ref="AN41">VLOOKUP($R41,武学奇术!$A:$ZZ,5,FALSE)+SUM(_xlfn.XLOOKUP($S41:$AG41,增益!$A:$A,增益!$E:$E,0))</f>
        <v>0</v>
      </c>
      <c r="AO41" cm="1">
        <f t="array" ref="AO41">$D$10*(1+$AN41)+VLOOKUP($R41,武学奇术!$A:$ZZ,3,FALSE)+SUM(_xlfn.XLOOKUP($S41:$AG41,增益!$A:$A,增益!$C:$C,0))-$I$2</f>
        <v>3624.6</v>
      </c>
      <c r="AP41" cm="1">
        <f t="array" ref="AP41">$E$10*(1+$AN41)+VLOOKUP($R41,武学奇术!$A:$ZZ,4,FALSE)+SUM(_xlfn.XLOOKUP($S41:$AG41,增益!$A:$A,增益!$D:$D,0))-$I$2</f>
        <v>3624.6</v>
      </c>
      <c r="AQ41" s="32" cm="1">
        <f t="array" ref="AQ41">IF($F$10-$I$3+VLOOKUP($R41,武学奇术!$A:$ZZ,6,FALSE)+SUM(_xlfn.XLOOKUP(S41:AG41,增益!$A:$A,增益!$F:$F,0))&gt;0,($F$10-$I$3+VLOOKUP($R41,武学奇术!$A:$ZZ,6,FALSE)+SUM(_xlfn.XLOOKUP(S41:AG41,增益!$A:$A,增益!$F:$F,0)))/200,($F$10-$I$3+VLOOKUP($R41,武学奇术!$A:$ZZ,6,FALSE)+SUM(_xlfn.XLOOKUP(S41:AG41,增益!$A:$A,增益!$F:$F,0)))/100)</f>
        <v>0.3425</v>
      </c>
      <c r="AR41" s="32" cm="1">
        <f t="array" ref="AR41">$G$10+VLOOKUP($R41,武学奇术!$A:$ZZ,7,FALSE)+SUM(_xlfn.XLOOKUP(S41:AG41,增益!$A:$A,增益!$G:$G,0))</f>
        <v>0.148</v>
      </c>
      <c r="AS41" s="26" cm="1">
        <f t="array" ref="AS41">VLOOKUP($R41,武学奇术!$A:$ZZ,8,FALSE)+SUM(_xlfn.XLOOKUP(S41:AG41,增益!$A:$A,增益!$H:$H,0))</f>
        <v>0</v>
      </c>
      <c r="AT41">
        <f t="shared" si="0"/>
        <v>0</v>
      </c>
      <c r="AU41">
        <f t="shared" si="1"/>
        <v>0</v>
      </c>
      <c r="AV41" s="32" cm="1">
        <f t="array" ref="AV41">IF($F$11-$I$4+VLOOKUP($R41,武学奇术!$A:$ZZ,9,FALSE)+SUM(_xlfn.XLOOKUP(S41:AG41,增益!$A:$A,增益!$I:$I,0))&gt;0,($F$11-$I$4+VLOOKUP($R41,武学奇术!$A:$ZZ,9,FALSE)+SUM(_xlfn.XLOOKUP(S41:AG41,增益!$A:$A,增益!$I:$I,0)))/200,($F$11-$I$4+VLOOKUP($R41,武学奇术!$A:$ZZ,9,FALSE)+SUM(_xlfn.XLOOKUP(S41:AG41,增益!$A:$A,增益!$I:$I,0)))/100)</f>
        <v>-0.14</v>
      </c>
      <c r="AW41" s="32" cm="1">
        <f t="array" ref="AW41">$G$11+VLOOKUP($R41,武学奇术!$A:$ZZ,10,FALSE)+SUM(_xlfn.XLOOKUP(S41:AG41,增益!$A:$A,增益!$J:$J,0))</f>
        <v>0</v>
      </c>
      <c r="AX41">
        <f t="shared" si="2"/>
        <v>0</v>
      </c>
      <c r="AY41">
        <f t="shared" si="3"/>
        <v>0</v>
      </c>
      <c r="AZ41" s="32" cm="1">
        <f t="array" ref="AZ41">IF($F$12-$I$4+VLOOKUP($R41,武学奇术!$A:$ZZ,11,FALSE)+SUM(_xlfn.XLOOKUP(S41:AG41,增益!$A:$A,增益!$K:$K,0))&gt;0,($F$12-$I$4+VLOOKUP($R41,武学奇术!$A:$ZZ,11,FALSE)+SUM(_xlfn.XLOOKUP(S41:AG41,增益!$A:$A,增益!$K:$K,0)))/200,($F$12-$I$4+VLOOKUP($R41,武学奇术!$A:$ZZ,11,FALSE)+SUM(_xlfn.XLOOKUP(S41:AG41,增益!$A:$A,增益!$K:$K,0)))/100)</f>
        <v>-0.14</v>
      </c>
      <c r="BA41" s="32" cm="1">
        <f t="array" ref="BA41">$G$12+VLOOKUP($R41,武学奇术!$A:$ZZ,12,FALSE)+SUM(_xlfn.XLOOKUP(S41:AG41,增益!$A:$A,增益!$L:$L,0))</f>
        <v>0</v>
      </c>
      <c r="BB41">
        <f t="shared" si="14"/>
        <v>0</v>
      </c>
      <c r="BC41">
        <f t="shared" si="15"/>
        <v>0</v>
      </c>
      <c r="BD41" s="32" cm="1">
        <f t="array" ref="BD41">IF($F$13-$I$4+VLOOKUP($R41,武学奇术!$A:$ZZ,13,FALSE)+SUM(_xlfn.XLOOKUP(S41:AG41,增益!$A:$A,增益!$M:$M,0))&gt;0,($F$13-$I$4+VLOOKUP($R41,武学奇术!$A:$ZZ,13,FALSE)+SUM(_xlfn.XLOOKUP(S41:AG41,增益!$A:$A,增益!$K:$K,0)))/200,($F$13-$I$4+VLOOKUP($R41,武学奇术!$A:$ZZ,13,FALSE)+SUM(_xlfn.XLOOKUP(S41:AG41,增益!$A:$A,增益!$M:$M,0)))/100)</f>
        <v>-0.14</v>
      </c>
      <c r="BE41" s="32" cm="1">
        <f t="array" ref="BE41">$G$13+VLOOKUP($R41,武学奇术!$A:$ZZ,14,FALSE)+SUM(_xlfn.XLOOKUP(S41:AG41,增益!$A:$A,增益!$N:$N,0))</f>
        <v>0</v>
      </c>
      <c r="BF41">
        <f t="shared" si="16"/>
        <v>571.2</v>
      </c>
      <c r="BG41">
        <f t="shared" si="17"/>
        <v>1627.8</v>
      </c>
      <c r="BH41" s="32" cm="1">
        <f t="array" ref="BH41">IF($F$14-$I$4+VLOOKUP($R41,武学奇术!$A:$ZZ,15,FALSE)+SUM(_xlfn.XLOOKUP(S41:AG41,增益!$A:$A,增益!$O:$O,0))&gt;0,($F$14-$I$4+VLOOKUP($R41,武学奇术!$A:$ZZ,15,FALSE)+SUM(_xlfn.XLOOKUP(S41:AG41,增益!$A:$A,增益!$O:$O,0)))/200,($F$14-$I$4+VLOOKUP($R41,武学奇术!$A:$ZZ,15,FALSE)+SUM(_xlfn.XLOOKUP(S41:AG41,增益!$A:$A,增益!$O:$O,0)))/100)</f>
        <v>0.08</v>
      </c>
      <c r="BI41" s="32" cm="1">
        <f t="array" ref="BI41">$G$14+VLOOKUP($R41,武学奇术!$A:$ZZ,16,FALSE)+SUM(_xlfn.XLOOKUP(S41:AG41,增益!$A:$A,增益!$P:$P,0))</f>
        <v>0.27</v>
      </c>
      <c r="BJ41" s="26">
        <f>MIN(IF(VLOOKUP($R41,武学奇术!$A:$ZZ,23,FALSE)=1,100%,$B$8),100%)</f>
        <v>0.981</v>
      </c>
      <c r="BK41" s="26" cm="1">
        <f t="array" ref="BK41">IF(VLOOKUP($R41,武学奇术!$A:$ZZ,23,FALSE)=1,100%,MIN(80%,$B$9+VLOOKUP($R41,武学奇术!$A:$ZZ,17,FALSE)+SUM(_xlfn.XLOOKUP(S41:AG41,增益!$A:$A,增益!$Q:$Q,0)))+$B$11+SUM(_xlfn.XLOOKUP(S41:AG41,增益!$A:$A,增益!$U:$U,0)))*IF(VLOOKUP($R41,武学奇术!$A:$ZZ,24,FALSE)=1,0,1)</f>
        <v>0.846</v>
      </c>
      <c r="BL41" s="26" cm="1">
        <f t="array" ref="BL41">1+$B$13+VLOOKUP($R41,武学奇术!$A:$ZZ,18,FALSE)+SUM(_xlfn.XLOOKUP(S41:AG41,增益!$A:$A,增益!$R:$R,0))</f>
        <v>1.95</v>
      </c>
      <c r="BM41" s="26" cm="1">
        <f t="array" ref="BM41">IF(VLOOKUP($R41,武学奇术!$A:$ZZ,24,FALSE)=1,100%,MIN(40%,$B$10+VLOOKUP($R41,武学奇术!$A:$ZZ,19,FALSE)+SUM(_xlfn.XLOOKUP(S41:AG41,增益!$A:$A,增益!$S:$S,0)))+$B$12+SUM(_xlfn.XLOOKUP(S41:AG41,增益!$A:$A,增益!$V:$V,0)))*IF(VLOOKUP($R41,武学奇术!$A:$ZZ,23,FALSE)=1,0,1)</f>
        <v>0.0929</v>
      </c>
      <c r="BN41" s="26" cm="1">
        <f t="array" ref="BN41">1+$B$14+VLOOKUP($R41,武学奇术!$A:$ZZ,20,FALSE)+SUM(_xlfn.XLOOKUP(S41:AG41,增益!$A:$A,增益!$T:$T,0))</f>
        <v>1.35</v>
      </c>
      <c r="BO41" s="26">
        <f t="shared" si="12"/>
        <v>0.829926</v>
      </c>
      <c r="BP41" s="26">
        <f t="shared" si="18"/>
        <v>0.0599391</v>
      </c>
      <c r="BQ41" s="26">
        <f>IF(VLOOKUP($R41,武学奇术!$A:$ZZ,22,FALSE)=1,0,(1-$BJ41))*(1-$BM41)</f>
        <v>0.0172349</v>
      </c>
      <c r="BR41" s="26" cm="1">
        <f t="array" ref="BR41">SUM(_xlfn.XLOOKUP(S41:AG41,增益!$A:$A,增益!$W:$W,0))+$I$5</f>
        <v>0.11</v>
      </c>
    </row>
    <row r="42" spans="1:70">
      <c r="A42" s="4" t="s">
        <v>161</v>
      </c>
      <c r="B42" s="87">
        <v>1</v>
      </c>
      <c r="D42" s="39"/>
      <c r="F42" s="39"/>
      <c r="G42"/>
      <c r="K42">
        <f>$L42*VLOOKUP($R42,武学奇术!$A:$ZZ,31,FALSE)</f>
        <v>44388.9153725907</v>
      </c>
      <c r="L42" s="38">
        <f t="shared" si="13"/>
        <v>42275.1574977055</v>
      </c>
      <c r="M42" s="38">
        <f>((($AO42+$AP42)/2*$AI42+$AJ42)*(1+$AQ42)*(1+$AR42)+(($AT42+$AU42)/2*IF($G$1="鸣金",$AK42,$AI42)+IF($G$1="鸣金",$AL42*1.5,0))*(1+$AV42)*(1+$AW42)+(($AX42+$AY42)/2*IF($G$1="裂石",$AK42,$AI42)+IF($G$1="裂石",$AL42*1.5,0))*(1+$AZ42)*(1+$BA42)+(($BB42+$BC42)/2*IF($G$1="牵丝",$AK42,$AI42)+IF($G$1="牵丝",$AL42*1.5,0))*(1+$BD42)*(1+$BE42)+(($BF42+$BG42)/2*IF($G$1="破竹",$AK42,$AI42)+IF($G$1="破竹",$AL42*1.5,0))*(1+$BH42)*(1+$BI42))*(1+$AM42)*$BL42*$Q42*(1+IF(VLOOKUP($R42,武学奇术!$A:$ZZ,30,FALSE)="回旋伞",$B$21,0))*(1+$BR42)</f>
        <v>44901.8775015567</v>
      </c>
      <c r="N42" s="38">
        <f>(($AP42*$AI42+$AJ42)*(1+$AQ42)*(1+$AR42)+($AU42*IF($G$1="鸣金",$AK42,$AI42)+IF($G$1="鸣金",$AL42*1.5,0))*(1+$AV42)*(1+$AW42)+($AY42*IF($G$1="裂石",$AK42,$AI42)+IF($G$1="裂石",$AL42*1.5,0))*(1+$AZ42)*(1+$BA42)+($BC42*IF($G$1="牵丝",$AK42,$AI42)+IF($G$1="牵丝",$AL42*1.5,0))*(1+$BD42)*(1+$BE42)+($BG42*IF($G$1="破竹",$AK42,$AI42)+IF($G$1="破竹",$AL42*1.5,0))*(1+$BH42)*(1+$BI42))*(1+$AM42)*$BN42*$Q42*(1+IF(VLOOKUP($R42,武学奇术!$A:$ZZ,30,FALSE)="回旋伞",$B$21,0))*(1+$BR42)</f>
        <v>35391.0517744919</v>
      </c>
      <c r="O42" s="38">
        <f>((($AO42+$AP42)/2*$AI42+$AJ42)*(1+$AQ42)*(1+$AR42)+(($AT42+$AU42)/2*IF($G$1="鸣金",$AK42,$AI42)+IF($G$1="鸣金",$AL42*1.5,0))*(1+$AV42)*(1+$AW42)+(($AX42+$AY42)/2*IF($G$1="裂石",$AK42,$AI42)+IF($G$1="裂石",$AL42*1.5,0))*(1+$AZ42)*(1+$BA42)+(($BB42+$BC42)/2*IF($G$1="牵丝",$AK42,$AI42)+IF($G$1="牵丝",$AL42*1.5,0))*(1+$BD42)*(1+$BE42)+(($BF42+$BG42)/2*IF($G$1="破竹",$AK42,$AI42)+IF($G$1="破竹",$AL42*1.5,0))*(1+$BH42)*(1+$BI42))*(1+$AM42)*$Q42*(1+IF(VLOOKUP($R42,武学奇术!$A:$ZZ,30,FALSE)="回旋伞",$B$21,0))*(1+$BR42)</f>
        <v>23026.6038469521</v>
      </c>
      <c r="P42" s="38">
        <f>((($AO42*$AI42+$AJ42)*(1+$AQ42)*(1+$AR42)+($AT42*IF($G$1="鸣金",$AK42,$AI42)+IF($G$1="鸣金",$AL42*1.5,0))*(1+$AV42)*(1+$AW42)+($AX42*IF($G$1="裂石",$AK42,$AI42)+IF($G$1="裂石",$AL42*1.5,0))*(1+$AZ42)*(1+$BA42)+($BB42*IF($G$1="牵丝",$AK42,$AI42)+IF($G$1="牵丝",$AL42*1.5,0))*(1+$BD42)*(1+$BE42)+($BF42*IF($G$1="破竹",$AK42,$AI42)+IF($G$1="破竹",$AL42*1.5,0))*(1+$BH42)*(1+$BI42))*(1+$AM42))*$Q42*(1+IF(VLOOKUP($R42,武学奇术!$A:$ZZ,30,FALSE)="回旋伞",$B$21,0))*(1+$BR42)</f>
        <v>19837.6137868732</v>
      </c>
      <c r="Q42" s="39">
        <v>2</v>
      </c>
      <c r="R42" s="40" t="s">
        <v>112</v>
      </c>
      <c r="S42" s="40" t="s">
        <v>109</v>
      </c>
      <c r="T42" s="40" t="s">
        <v>95</v>
      </c>
      <c r="U42" s="40" t="s">
        <v>73</v>
      </c>
      <c r="V42" s="40" t="s">
        <v>72</v>
      </c>
      <c r="W42" s="40" t="s">
        <v>168</v>
      </c>
      <c r="X42" s="40" t="s">
        <v>99</v>
      </c>
      <c r="Y42" s="40" t="s">
        <v>84</v>
      </c>
      <c r="Z42" s="40" t="s">
        <v>72</v>
      </c>
      <c r="AA42" s="40" t="s">
        <v>72</v>
      </c>
      <c r="AB42" s="40" t="s">
        <v>115</v>
      </c>
      <c r="AC42" s="40" t="s">
        <v>91</v>
      </c>
      <c r="AD42" s="40" t="s">
        <v>72</v>
      </c>
      <c r="AE42" s="40" t="s">
        <v>72</v>
      </c>
      <c r="AF42" s="40" t="s">
        <v>77</v>
      </c>
      <c r="AG42" s="40" t="s">
        <v>78</v>
      </c>
      <c r="AH42" t="str">
        <f>VLOOKUP($R42,武学奇术!$A:$ZZ,25,FALSE)</f>
        <v>伞</v>
      </c>
      <c r="AI42" s="26">
        <f>VLOOKUP($R42,武学奇术!$A:$ZZ,26,FALSE)</f>
        <v>0.54</v>
      </c>
      <c r="AJ42" s="27">
        <f>VLOOKUP($R42,武学奇术!$A:$ZZ,27,FALSE)*(1+IF(OR($AH42=$F$4,$AH42=$F$5),$B$22,0))</f>
        <v>0</v>
      </c>
      <c r="AK42" s="26">
        <f>VLOOKUP($R42,武学奇术!$A:$ZZ,28,FALSE)</f>
        <v>0.81</v>
      </c>
      <c r="AL42" s="27">
        <f>VLOOKUP($R42,武学奇术!$A:$ZZ,29,FALSE)*(1+IF(OR($AH42=$F$4,$AH42=$F$5),$B$22,0))</f>
        <v>0</v>
      </c>
      <c r="AM42" s="26" cm="1">
        <f t="array" ref="AM42">$G$3+IFERROR(VLOOKUP($AH42,$F$4:$G$7,2,FALSE),0)+VLOOKUP($R42,武学奇术!$A:$ZZ,2,FALSE)+SUM(_xlfn.XLOOKUP($S42:$AG42,增益!$A:$A,增益!$B:$B,0))</f>
        <v>0.8541</v>
      </c>
      <c r="AN42" s="26" cm="1">
        <f t="array" ref="AN42">VLOOKUP($R42,武学奇术!$A:$ZZ,5,FALSE)+SUM(_xlfn.XLOOKUP($S42:$AG42,增益!$A:$A,增益!$E:$E,0))</f>
        <v>0</v>
      </c>
      <c r="AO42" cm="1">
        <f t="array" ref="AO42">$D$10*(1+$AN42)+VLOOKUP($R42,武学奇术!$A:$ZZ,3,FALSE)+SUM(_xlfn.XLOOKUP($S42:$AG42,增益!$A:$A,增益!$C:$C,0))-$I$2</f>
        <v>3624.6</v>
      </c>
      <c r="AP42" cm="1">
        <f t="array" ref="AP42">$E$10*(1+$AN42)+VLOOKUP($R42,武学奇术!$A:$ZZ,4,FALSE)+SUM(_xlfn.XLOOKUP($S42:$AG42,增益!$A:$A,增益!$D:$D,0))-$I$2</f>
        <v>3624.6</v>
      </c>
      <c r="AQ42" s="32" cm="1">
        <f t="array" ref="AQ42">IF($F$10-$I$3+VLOOKUP($R42,武学奇术!$A:$ZZ,6,FALSE)+SUM(_xlfn.XLOOKUP(S42:AG42,增益!$A:$A,增益!$F:$F,0))&gt;0,($F$10-$I$3+VLOOKUP($R42,武学奇术!$A:$ZZ,6,FALSE)+SUM(_xlfn.XLOOKUP(S42:AG42,增益!$A:$A,增益!$F:$F,0)))/200,($F$10-$I$3+VLOOKUP($R42,武学奇术!$A:$ZZ,6,FALSE)+SUM(_xlfn.XLOOKUP(S42:AG42,增益!$A:$A,增益!$F:$F,0)))/100)</f>
        <v>0.3425</v>
      </c>
      <c r="AR42" s="32" cm="1">
        <f t="array" ref="AR42">$G$10+VLOOKUP($R42,武学奇术!$A:$ZZ,7,FALSE)+SUM(_xlfn.XLOOKUP(S42:AG42,增益!$A:$A,增益!$G:$G,0))</f>
        <v>0.148</v>
      </c>
      <c r="AS42" s="26" cm="1">
        <f t="array" ref="AS42">VLOOKUP($R42,武学奇术!$A:$ZZ,8,FALSE)+SUM(_xlfn.XLOOKUP(S42:AG42,增益!$A:$A,增益!$H:$H,0))</f>
        <v>0</v>
      </c>
      <c r="AT42">
        <f t="shared" si="0"/>
        <v>0</v>
      </c>
      <c r="AU42">
        <f t="shared" si="1"/>
        <v>0</v>
      </c>
      <c r="AV42" s="32" cm="1">
        <f t="array" ref="AV42">IF($F$11-$I$4+VLOOKUP($R42,武学奇术!$A:$ZZ,9,FALSE)+SUM(_xlfn.XLOOKUP(S42:AG42,增益!$A:$A,增益!$I:$I,0))&gt;0,($F$11-$I$4+VLOOKUP($R42,武学奇术!$A:$ZZ,9,FALSE)+SUM(_xlfn.XLOOKUP(S42:AG42,增益!$A:$A,增益!$I:$I,0)))/200,($F$11-$I$4+VLOOKUP($R42,武学奇术!$A:$ZZ,9,FALSE)+SUM(_xlfn.XLOOKUP(S42:AG42,增益!$A:$A,增益!$I:$I,0)))/100)</f>
        <v>-0.14</v>
      </c>
      <c r="AW42" s="32" cm="1">
        <f t="array" ref="AW42">$G$11+VLOOKUP($R42,武学奇术!$A:$ZZ,10,FALSE)+SUM(_xlfn.XLOOKUP(S42:AG42,增益!$A:$A,增益!$J:$J,0))</f>
        <v>0</v>
      </c>
      <c r="AX42">
        <f t="shared" si="2"/>
        <v>0</v>
      </c>
      <c r="AY42">
        <f t="shared" si="3"/>
        <v>0</v>
      </c>
      <c r="AZ42" s="32" cm="1">
        <f t="array" ref="AZ42">IF($F$12-$I$4+VLOOKUP($R42,武学奇术!$A:$ZZ,11,FALSE)+SUM(_xlfn.XLOOKUP(S42:AG42,增益!$A:$A,增益!$K:$K,0))&gt;0,($F$12-$I$4+VLOOKUP($R42,武学奇术!$A:$ZZ,11,FALSE)+SUM(_xlfn.XLOOKUP(S42:AG42,增益!$A:$A,增益!$K:$K,0)))/200,($F$12-$I$4+VLOOKUP($R42,武学奇术!$A:$ZZ,11,FALSE)+SUM(_xlfn.XLOOKUP(S42:AG42,增益!$A:$A,增益!$K:$K,0)))/100)</f>
        <v>-0.14</v>
      </c>
      <c r="BA42" s="32" cm="1">
        <f t="array" ref="BA42">$G$12+VLOOKUP($R42,武学奇术!$A:$ZZ,12,FALSE)+SUM(_xlfn.XLOOKUP(S42:AG42,增益!$A:$A,增益!$L:$L,0))</f>
        <v>0</v>
      </c>
      <c r="BB42">
        <f t="shared" si="14"/>
        <v>0</v>
      </c>
      <c r="BC42">
        <f t="shared" si="15"/>
        <v>0</v>
      </c>
      <c r="BD42" s="32" cm="1">
        <f t="array" ref="BD42">IF($F$13-$I$4+VLOOKUP($R42,武学奇术!$A:$ZZ,13,FALSE)+SUM(_xlfn.XLOOKUP(S42:AG42,增益!$A:$A,增益!$M:$M,0))&gt;0,($F$13-$I$4+VLOOKUP($R42,武学奇术!$A:$ZZ,13,FALSE)+SUM(_xlfn.XLOOKUP(S42:AG42,增益!$A:$A,增益!$K:$K,0)))/200,($F$13-$I$4+VLOOKUP($R42,武学奇术!$A:$ZZ,13,FALSE)+SUM(_xlfn.XLOOKUP(S42:AG42,增益!$A:$A,增益!$M:$M,0)))/100)</f>
        <v>-0.14</v>
      </c>
      <c r="BE42" s="32" cm="1">
        <f t="array" ref="BE42">$G$13+VLOOKUP($R42,武学奇术!$A:$ZZ,14,FALSE)+SUM(_xlfn.XLOOKUP(S42:AG42,增益!$A:$A,增益!$N:$N,0))</f>
        <v>0</v>
      </c>
      <c r="BF42">
        <f t="shared" si="16"/>
        <v>571.2</v>
      </c>
      <c r="BG42">
        <f t="shared" si="17"/>
        <v>1627.8</v>
      </c>
      <c r="BH42" s="32" cm="1">
        <f t="array" ref="BH42">IF($F$14-$I$4+VLOOKUP($R42,武学奇术!$A:$ZZ,15,FALSE)+SUM(_xlfn.XLOOKUP(S42:AG42,增益!$A:$A,增益!$O:$O,0))&gt;0,($F$14-$I$4+VLOOKUP($R42,武学奇术!$A:$ZZ,15,FALSE)+SUM(_xlfn.XLOOKUP(S42:AG42,增益!$A:$A,增益!$O:$O,0)))/200,($F$14-$I$4+VLOOKUP($R42,武学奇术!$A:$ZZ,15,FALSE)+SUM(_xlfn.XLOOKUP(S42:AG42,增益!$A:$A,增益!$O:$O,0)))/100)</f>
        <v>0.08</v>
      </c>
      <c r="BI42" s="32" cm="1">
        <f t="array" ref="BI42">$G$14+VLOOKUP($R42,武学奇术!$A:$ZZ,16,FALSE)+SUM(_xlfn.XLOOKUP(S42:AG42,增益!$A:$A,增益!$P:$P,0))</f>
        <v>0.27</v>
      </c>
      <c r="BJ42" s="26">
        <f>MIN(IF(VLOOKUP($R42,武学奇术!$A:$ZZ,23,FALSE)=1,100%,$B$8),100%)</f>
        <v>0.981</v>
      </c>
      <c r="BK42" s="26" cm="1">
        <f t="array" ref="BK42">IF(VLOOKUP($R42,武学奇术!$A:$ZZ,23,FALSE)=1,100%,MIN(80%,$B$9+VLOOKUP($R42,武学奇术!$A:$ZZ,17,FALSE)+SUM(_xlfn.XLOOKUP(S42:AG42,增益!$A:$A,增益!$Q:$Q,0)))+$B$11+SUM(_xlfn.XLOOKUP(S42:AG42,增益!$A:$A,增益!$U:$U,0)))*IF(VLOOKUP($R42,武学奇术!$A:$ZZ,24,FALSE)=1,0,1)</f>
        <v>0.846</v>
      </c>
      <c r="BL42" s="26" cm="1">
        <f t="array" ref="BL42">1+$B$13+VLOOKUP($R42,武学奇术!$A:$ZZ,18,FALSE)+SUM(_xlfn.XLOOKUP(S42:AG42,增益!$A:$A,增益!$R:$R,0))</f>
        <v>1.95</v>
      </c>
      <c r="BM42" s="26" cm="1">
        <f t="array" ref="BM42">IF(VLOOKUP($R42,武学奇术!$A:$ZZ,24,FALSE)=1,100%,MIN(40%,$B$10+VLOOKUP($R42,武学奇术!$A:$ZZ,19,FALSE)+SUM(_xlfn.XLOOKUP(S42:AG42,增益!$A:$A,增益!$S:$S,0)))+$B$12+SUM(_xlfn.XLOOKUP(S42:AG42,增益!$A:$A,增益!$V:$V,0)))*IF(VLOOKUP($R42,武学奇术!$A:$ZZ,23,FALSE)=1,0,1)</f>
        <v>0.0929</v>
      </c>
      <c r="BN42" s="26" cm="1">
        <f t="array" ref="BN42">1+$B$14+VLOOKUP($R42,武学奇术!$A:$ZZ,20,FALSE)+SUM(_xlfn.XLOOKUP(S42:AG42,增益!$A:$A,增益!$T:$T,0))</f>
        <v>1.35</v>
      </c>
      <c r="BO42" s="26">
        <f t="shared" si="12"/>
        <v>0.829926</v>
      </c>
      <c r="BP42" s="26">
        <f t="shared" si="18"/>
        <v>0.0599391</v>
      </c>
      <c r="BQ42" s="26">
        <f>IF(VLOOKUP($R42,武学奇术!$A:$ZZ,22,FALSE)=1,0,(1-$BJ42))*(1-$BM42)</f>
        <v>0.0172349</v>
      </c>
      <c r="BR42" s="26" cm="1">
        <f t="array" ref="BR42">SUM(_xlfn.XLOOKUP(S42:AG42,增益!$A:$A,增益!$W:$W,0))+$I$5</f>
        <v>0.11</v>
      </c>
    </row>
    <row r="43" spans="1:70">
      <c r="A43" s="4" t="s">
        <v>161</v>
      </c>
      <c r="B43" s="4">
        <v>1</v>
      </c>
      <c r="D43" s="39"/>
      <c r="E43"/>
      <c r="F43" s="39"/>
      <c r="G43"/>
      <c r="K43">
        <f>$L43*VLOOKUP($R43,武学奇术!$A:$ZZ,31,FALSE)</f>
        <v>77948.4746245708</v>
      </c>
      <c r="L43" s="38">
        <f t="shared" si="13"/>
        <v>74236.6424995912</v>
      </c>
      <c r="M43" s="38">
        <f>((($AO43+$AP43)/2*$AI43+$AJ43)*(1+$AQ43)*(1+$AR43)+(($AT43+$AU43)/2*IF($G$1="鸣金",$AK43,$AI43)+IF($G$1="鸣金",$AL43*1.5,0))*(1+$AV43)*(1+$AW43)+(($AX43+$AY43)/2*IF($G$1="裂石",$AK43,$AI43)+IF($G$1="裂石",$AL43*1.5,0))*(1+$AZ43)*(1+$BA43)+(($BB43+$BC43)/2*IF($G$1="牵丝",$AK43,$AI43)+IF($G$1="牵丝",$AL43*1.5,0))*(1+$BD43)*(1+$BE43)+(($BF43+$BG43)/2*IF($G$1="破竹",$AK43,$AI43)+IF($G$1="破竹",$AL43*1.5,0))*(1+$BH43)*(1+$BI43))*(1+$AM43)*$BL43*$Q43*(1+IF(VLOOKUP($R43,武学奇术!$A:$ZZ,30,FALSE)="回旋伞",$B$21,0))*(1+$BR43)</f>
        <v>79251.6681967072</v>
      </c>
      <c r="N43" s="38">
        <f>(($AP43*$AI43+$AJ43)*(1+$AQ43)*(1+$AR43)+($AU43*IF($G$1="鸣金",$AK43,$AI43)+IF($G$1="鸣金",$AL43*1.5,0))*(1+$AV43)*(1+$AW43)+($AY43*IF($G$1="裂石",$AK43,$AI43)+IF($G$1="裂石",$AL43*1.5,0))*(1+$AZ43)*(1+$BA43)+($BC43*IF($G$1="牵丝",$AK43,$AI43)+IF($G$1="牵丝",$AL43*1.5,0))*(1+$BD43)*(1+$BE43)+($BG43*IF($G$1="破竹",$AK43,$AI43)+IF($G$1="破竹",$AL43*1.5,0))*(1+$BH43)*(1+$BI43))*(1+$AM43)*$BN43*$Q43*(1+IF(VLOOKUP($R43,武学奇术!$A:$ZZ,30,FALSE)="回旋伞",$B$21,0))*(1+$BR43)</f>
        <v>59396.3389289428</v>
      </c>
      <c r="O43" s="38">
        <f>((($AO43+$AP43)/2*$AI43+$AJ43)*(1+$AQ43)*(1+$AR43)+(($AT43+$AU43)/2*IF($G$1="鸣金",$AK43,$AI43)+IF($G$1="鸣金",$AL43*1.5,0))*(1+$AV43)*(1+$AW43)+(($AX43+$AY43)/2*IF($G$1="裂石",$AK43,$AI43)+IF($G$1="裂石",$AL43*1.5,0))*(1+$AZ43)*(1+$BA43)+(($BB43+$BC43)/2*IF($G$1="牵丝",$AK43,$AI43)+IF($G$1="牵丝",$AL43*1.5,0))*(1+$BD43)*(1+$BE43)+(($BF43+$BG43)/2*IF($G$1="破竹",$AK43,$AI43)+IF($G$1="破竹",$AL43*1.5,0))*(1+$BH43)*(1+$BI43))*(1+$AM43)*$Q43*(1+IF(VLOOKUP($R43,武学奇术!$A:$ZZ,30,FALSE)="回旋伞",$B$21,0))*(1+$BR43)</f>
        <v>39233.4991072808</v>
      </c>
      <c r="P43" s="38">
        <f>((($AO43*$AI43+$AJ43)*(1+$AQ43)*(1+$AR43)+($AT43*IF($G$1="鸣金",$AK43,$AI43)+IF($G$1="鸣金",$AL43*1.5,0))*(1+$AV43)*(1+$AW43)+($AX43*IF($G$1="裂石",$AK43,$AI43)+IF($G$1="裂石",$AL43*1.5,0))*(1+$AZ43)*(1+$BA43)+($BB43*IF($G$1="牵丝",$AK43,$AI43)+IF($G$1="牵丝",$AL43*1.5,0))*(1+$BD43)*(1+$BE43)+($BF43*IF($G$1="破竹",$AK43,$AI43)+IF($G$1="破竹",$AL43*1.5,0))*(1+$BH43)*(1+$BI43))*(1+$AM43))*$Q43*(1+IF(VLOOKUP($R43,武学奇术!$A:$ZZ,30,FALSE)="回旋伞",$B$21,0))*(1+$BR43)</f>
        <v>34469.7101190484</v>
      </c>
      <c r="Q43" s="39">
        <v>1</v>
      </c>
      <c r="R43" s="40" t="s">
        <v>108</v>
      </c>
      <c r="S43" s="40" t="s">
        <v>109</v>
      </c>
      <c r="T43" s="40" t="s">
        <v>95</v>
      </c>
      <c r="U43" s="40" t="s">
        <v>73</v>
      </c>
      <c r="V43" s="40" t="s">
        <v>72</v>
      </c>
      <c r="W43" s="40" t="s">
        <v>169</v>
      </c>
      <c r="X43" s="40" t="s">
        <v>99</v>
      </c>
      <c r="Y43" s="40" t="s">
        <v>84</v>
      </c>
      <c r="Z43" s="40" t="s">
        <v>72</v>
      </c>
      <c r="AA43" s="40" t="s">
        <v>72</v>
      </c>
      <c r="AB43" s="40" t="s">
        <v>120</v>
      </c>
      <c r="AC43" s="40" t="s">
        <v>91</v>
      </c>
      <c r="AD43" s="40" t="s">
        <v>72</v>
      </c>
      <c r="AE43" s="40" t="s">
        <v>72</v>
      </c>
      <c r="AF43" s="40" t="s">
        <v>77</v>
      </c>
      <c r="AG43" s="40" t="s">
        <v>78</v>
      </c>
      <c r="AH43" t="str">
        <f>VLOOKUP($R43,武学奇术!$A:$ZZ,25,FALSE)</f>
        <v>伞</v>
      </c>
      <c r="AI43" s="26">
        <f>VLOOKUP($R43,武学奇术!$A:$ZZ,26,FALSE)</f>
        <v>1.8084</v>
      </c>
      <c r="AJ43" s="27">
        <f>VLOOKUP($R43,武学奇术!$A:$ZZ,27,FALSE)*(1+IF(OR($AH43=$F$4,$AH43=$F$5),$B$22,0))</f>
        <v>750</v>
      </c>
      <c r="AK43" s="26">
        <f>VLOOKUP($R43,武学奇术!$A:$ZZ,28,FALSE)</f>
        <v>2.7126</v>
      </c>
      <c r="AL43" s="27">
        <f>VLOOKUP($R43,武学奇术!$A:$ZZ,29,FALSE)*(1+IF(OR($AH43=$F$4,$AH43=$F$5),$B$22,0))</f>
        <v>408</v>
      </c>
      <c r="AM43" s="26" cm="1">
        <f t="array" ref="AM43">$G$3+IFERROR(VLOOKUP($AH43,$F$4:$G$7,2,FALSE),0)+VLOOKUP($R43,武学奇术!$A:$ZZ,2,FALSE)+SUM(_xlfn.XLOOKUP($S43:$AG43,增益!$A:$A,增益!$B:$B,0))</f>
        <v>0.6541</v>
      </c>
      <c r="AN43" s="26" cm="1">
        <f t="array" ref="AN43">VLOOKUP($R43,武学奇术!$A:$ZZ,5,FALSE)+SUM(_xlfn.XLOOKUP($S43:$AG43,增益!$A:$A,增益!$E:$E,0))</f>
        <v>0</v>
      </c>
      <c r="AO43" cm="1">
        <f t="array" ref="AO43">$D$10*(1+$AN43)+VLOOKUP($R43,武学奇术!$A:$ZZ,3,FALSE)+SUM(_xlfn.XLOOKUP($S43:$AG43,增益!$A:$A,增益!$C:$C,0))-$I$2</f>
        <v>3624.6</v>
      </c>
      <c r="AP43" cm="1">
        <f t="array" ref="AP43">$E$10*(1+$AN43)+VLOOKUP($R43,武学奇术!$A:$ZZ,4,FALSE)+SUM(_xlfn.XLOOKUP($S43:$AG43,增益!$A:$A,增益!$D:$D,0))-$I$2</f>
        <v>3624.6</v>
      </c>
      <c r="AQ43" s="32" cm="1">
        <f t="array" ref="AQ43">IF($F$10-$I$3+VLOOKUP($R43,武学奇术!$A:$ZZ,6,FALSE)+SUM(_xlfn.XLOOKUP(S43:AG43,增益!$A:$A,增益!$F:$F,0))&gt;0,($F$10-$I$3+VLOOKUP($R43,武学奇术!$A:$ZZ,6,FALSE)+SUM(_xlfn.XLOOKUP(S43:AG43,增益!$A:$A,增益!$F:$F,0)))/200,($F$10-$I$3+VLOOKUP($R43,武学奇术!$A:$ZZ,6,FALSE)+SUM(_xlfn.XLOOKUP(S43:AG43,增益!$A:$A,增益!$F:$F,0)))/100)</f>
        <v>0.3425</v>
      </c>
      <c r="AR43" s="32" cm="1">
        <f t="array" ref="AR43">$G$10+VLOOKUP($R43,武学奇术!$A:$ZZ,7,FALSE)+SUM(_xlfn.XLOOKUP(S43:AG43,增益!$A:$A,增益!$G:$G,0))</f>
        <v>0.148</v>
      </c>
      <c r="AS43" s="26" cm="1">
        <f t="array" ref="AS43">VLOOKUP($R43,武学奇术!$A:$ZZ,8,FALSE)+SUM(_xlfn.XLOOKUP(S43:AG43,增益!$A:$A,增益!$H:$H,0))</f>
        <v>0</v>
      </c>
      <c r="AT43">
        <f t="shared" si="0"/>
        <v>0</v>
      </c>
      <c r="AU43">
        <f t="shared" si="1"/>
        <v>0</v>
      </c>
      <c r="AV43" s="32" cm="1">
        <f t="array" ref="AV43">IF($F$11-$I$4+VLOOKUP($R43,武学奇术!$A:$ZZ,9,FALSE)+SUM(_xlfn.XLOOKUP(S43:AG43,增益!$A:$A,增益!$I:$I,0))&gt;0,($F$11-$I$4+VLOOKUP($R43,武学奇术!$A:$ZZ,9,FALSE)+SUM(_xlfn.XLOOKUP(S43:AG43,增益!$A:$A,增益!$I:$I,0)))/200,($F$11-$I$4+VLOOKUP($R43,武学奇术!$A:$ZZ,9,FALSE)+SUM(_xlfn.XLOOKUP(S43:AG43,增益!$A:$A,增益!$I:$I,0)))/100)</f>
        <v>-0.14</v>
      </c>
      <c r="AW43" s="32" cm="1">
        <f t="array" ref="AW43">$G$11+VLOOKUP($R43,武学奇术!$A:$ZZ,10,FALSE)+SUM(_xlfn.XLOOKUP(S43:AG43,增益!$A:$A,增益!$J:$J,0))</f>
        <v>0</v>
      </c>
      <c r="AX43">
        <f t="shared" si="2"/>
        <v>0</v>
      </c>
      <c r="AY43">
        <f t="shared" si="3"/>
        <v>0</v>
      </c>
      <c r="AZ43" s="32" cm="1">
        <f t="array" ref="AZ43">IF($F$12-$I$4+VLOOKUP($R43,武学奇术!$A:$ZZ,11,FALSE)+SUM(_xlfn.XLOOKUP(S43:AG43,增益!$A:$A,增益!$K:$K,0))&gt;0,($F$12-$I$4+VLOOKUP($R43,武学奇术!$A:$ZZ,11,FALSE)+SUM(_xlfn.XLOOKUP(S43:AG43,增益!$A:$A,增益!$K:$K,0)))/200,($F$12-$I$4+VLOOKUP($R43,武学奇术!$A:$ZZ,11,FALSE)+SUM(_xlfn.XLOOKUP(S43:AG43,增益!$A:$A,增益!$K:$K,0)))/100)</f>
        <v>-0.14</v>
      </c>
      <c r="BA43" s="32" cm="1">
        <f t="array" ref="BA43">$G$12+VLOOKUP($R43,武学奇术!$A:$ZZ,12,FALSE)+SUM(_xlfn.XLOOKUP(S43:AG43,增益!$A:$A,增益!$L:$L,0))</f>
        <v>0</v>
      </c>
      <c r="BB43">
        <f t="shared" si="14"/>
        <v>0</v>
      </c>
      <c r="BC43">
        <f t="shared" si="15"/>
        <v>0</v>
      </c>
      <c r="BD43" s="32" cm="1">
        <f t="array" ref="BD43">IF($F$13-$I$4+VLOOKUP($R43,武学奇术!$A:$ZZ,13,FALSE)+SUM(_xlfn.XLOOKUP(S43:AG43,增益!$A:$A,增益!$M:$M,0))&gt;0,($F$13-$I$4+VLOOKUP($R43,武学奇术!$A:$ZZ,13,FALSE)+SUM(_xlfn.XLOOKUP(S43:AG43,增益!$A:$A,增益!$K:$K,0)))/200,($F$13-$I$4+VLOOKUP($R43,武学奇术!$A:$ZZ,13,FALSE)+SUM(_xlfn.XLOOKUP(S43:AG43,增益!$A:$A,增益!$M:$M,0)))/100)</f>
        <v>-0.14</v>
      </c>
      <c r="BE43" s="32" cm="1">
        <f t="array" ref="BE43">$G$13+VLOOKUP($R43,武学奇术!$A:$ZZ,14,FALSE)+SUM(_xlfn.XLOOKUP(S43:AG43,增益!$A:$A,增益!$N:$N,0))</f>
        <v>0</v>
      </c>
      <c r="BF43">
        <f t="shared" si="16"/>
        <v>571.2</v>
      </c>
      <c r="BG43">
        <f t="shared" si="17"/>
        <v>1627.8</v>
      </c>
      <c r="BH43" s="32" cm="1">
        <f t="array" ref="BH43">IF($F$14-$I$4+VLOOKUP($R43,武学奇术!$A:$ZZ,15,FALSE)+SUM(_xlfn.XLOOKUP(S43:AG43,增益!$A:$A,增益!$O:$O,0))&gt;0,($F$14-$I$4+VLOOKUP($R43,武学奇术!$A:$ZZ,15,FALSE)+SUM(_xlfn.XLOOKUP(S43:AG43,增益!$A:$A,增益!$O:$O,0)))/200,($F$14-$I$4+VLOOKUP($R43,武学奇术!$A:$ZZ,15,FALSE)+SUM(_xlfn.XLOOKUP(S43:AG43,增益!$A:$A,增益!$O:$O,0)))/100)</f>
        <v>0.08</v>
      </c>
      <c r="BI43" s="32" cm="1">
        <f t="array" ref="BI43">$G$14+VLOOKUP($R43,武学奇术!$A:$ZZ,16,FALSE)+SUM(_xlfn.XLOOKUP(S43:AG43,增益!$A:$A,增益!$P:$P,0))</f>
        <v>0.27</v>
      </c>
      <c r="BJ43" s="26">
        <f>MIN(IF(VLOOKUP($R43,武学奇术!$A:$ZZ,23,FALSE)=1,100%,$B$8),100%)</f>
        <v>0.981</v>
      </c>
      <c r="BK43" s="26" cm="1">
        <f t="array" ref="BK43">IF(VLOOKUP($R43,武学奇术!$A:$ZZ,23,FALSE)=1,100%,MIN(80%,$B$9+VLOOKUP($R43,武学奇术!$A:$ZZ,17,FALSE)+SUM(_xlfn.XLOOKUP(S43:AG43,增益!$A:$A,增益!$Q:$Q,0)))+$B$11+SUM(_xlfn.XLOOKUP(S43:AG43,增益!$A:$A,增益!$U:$U,0)))*IF(VLOOKUP($R43,武学奇术!$A:$ZZ,24,FALSE)=1,0,1)</f>
        <v>0.846</v>
      </c>
      <c r="BL43" s="26" cm="1">
        <f t="array" ref="BL43">1+$B$13+VLOOKUP($R43,武学奇术!$A:$ZZ,18,FALSE)+SUM(_xlfn.XLOOKUP(S43:AG43,增益!$A:$A,增益!$R:$R,0))</f>
        <v>2.02</v>
      </c>
      <c r="BM43" s="26" cm="1">
        <f t="array" ref="BM43">IF(VLOOKUP($R43,武学奇术!$A:$ZZ,24,FALSE)=1,100%,MIN(40%,$B$10+VLOOKUP($R43,武学奇术!$A:$ZZ,19,FALSE)+SUM(_xlfn.XLOOKUP(S43:AG43,增益!$A:$A,增益!$S:$S,0)))+$B$12+SUM(_xlfn.XLOOKUP(S43:AG43,增益!$A:$A,增益!$V:$V,0)))*IF(VLOOKUP($R43,武学奇术!$A:$ZZ,23,FALSE)=1,0,1)</f>
        <v>0.0929</v>
      </c>
      <c r="BN43" s="26" cm="1">
        <f t="array" ref="BN43">1+$B$14+VLOOKUP($R43,武学奇术!$A:$ZZ,20,FALSE)+SUM(_xlfn.XLOOKUP(S43:AG43,增益!$A:$A,增益!$T:$T,0))</f>
        <v>1.35</v>
      </c>
      <c r="BO43" s="26">
        <f t="shared" si="12"/>
        <v>0.829926</v>
      </c>
      <c r="BP43" s="26">
        <f t="shared" si="18"/>
        <v>0.0599391</v>
      </c>
      <c r="BQ43" s="26">
        <f>IF(VLOOKUP($R43,武学奇术!$A:$ZZ,22,FALSE)=1,0,(1-$BJ43))*(1-$BM43)</f>
        <v>0.0172349</v>
      </c>
      <c r="BR43" s="26" cm="1">
        <f t="array" ref="BR43">SUM(_xlfn.XLOOKUP(S43:AG43,增益!$A:$A,增益!$W:$W,0))+$I$5</f>
        <v>0.11</v>
      </c>
    </row>
    <row r="44" spans="1:70">
      <c r="A44" s="4" t="s">
        <v>164</v>
      </c>
      <c r="B44" s="4">
        <v>0.85</v>
      </c>
      <c r="D44" s="39"/>
      <c r="E44"/>
      <c r="F44" s="39"/>
      <c r="K44">
        <f>$L44*VLOOKUP($R44,武学奇术!$A:$ZZ,31,FALSE)</f>
        <v>45793.5280985757</v>
      </c>
      <c r="L44" s="38">
        <f t="shared" si="13"/>
        <v>43612.8839034054</v>
      </c>
      <c r="M44" s="38">
        <f>((($AO44+$AP44)/2*$AI44+$AJ44)*(1+$AQ44)*(1+$AR44)+(($AT44+$AU44)/2*IF($G$1="鸣金",$AK44,$AI44)+IF($G$1="鸣金",$AL44*1.5,0))*(1+$AV44)*(1+$AW44)+(($AX44+$AY44)/2*IF($G$1="裂石",$AK44,$AI44)+IF($G$1="裂石",$AL44*1.5,0))*(1+$AZ44)*(1+$BA44)+(($BB44+$BC44)/2*IF($G$1="牵丝",$AK44,$AI44)+IF($G$1="牵丝",$AL44*1.5,0))*(1+$BD44)*(1+$BE44)+(($BF44+$BG44)/2*IF($G$1="破竹",$AK44,$AI44)+IF($G$1="破竹",$AL44*1.5,0))*(1+$BH44)*(1+$BI44))*(1+$AM44)*$BL44*$Q44*(1+IF(VLOOKUP($R44,武学奇术!$A:$ZZ,30,FALSE)="回旋伞",$B$21,0))*(1+$BR44)</f>
        <v>46513.7397708433</v>
      </c>
      <c r="N44" s="38">
        <f>(($AP44*$AI44+$AJ44)*(1+$AQ44)*(1+$AR44)+($AU44*IF($G$1="鸣金",$AK44,$AI44)+IF($G$1="鸣金",$AL44*1.5,0))*(1+$AV44)*(1+$AW44)+($AY44*IF($G$1="裂石",$AK44,$AI44)+IF($G$1="裂石",$AL44*1.5,0))*(1+$AZ44)*(1+$BA44)+($BC44*IF($G$1="牵丝",$AK44,$AI44)+IF($G$1="牵丝",$AL44*1.5,0))*(1+$BD44)*(1+$BE44)+($BG44*IF($G$1="破竹",$AK44,$AI44)+IF($G$1="破竹",$AL44*1.5,0))*(1+$BH44)*(1+$BI44))*(1+$AM44)*$BN44*$Q44*(1+IF(VLOOKUP($R44,武学奇术!$A:$ZZ,30,FALSE)="回旋伞",$B$21,0))*(1+$BR44)</f>
        <v>35391.0517744919</v>
      </c>
      <c r="O44" s="38">
        <f>((($AO44+$AP44)/2*$AI44+$AJ44)*(1+$AQ44)*(1+$AR44)+(($AT44+$AU44)/2*IF($G$1="鸣金",$AK44,$AI44)+IF($G$1="鸣金",$AL44*1.5,0))*(1+$AV44)*(1+$AW44)+(($AX44+$AY44)/2*IF($G$1="裂石",$AK44,$AI44)+IF($G$1="裂石",$AL44*1.5,0))*(1+$AZ44)*(1+$BA44)+(($BB44+$BC44)/2*IF($G$1="牵丝",$AK44,$AI44)+IF($G$1="牵丝",$AL44*1.5,0))*(1+$BD44)*(1+$BE44)+(($BF44+$BG44)/2*IF($G$1="破竹",$AK44,$AI44)+IF($G$1="破竹",$AL44*1.5,0))*(1+$BH44)*(1+$BI44))*(1+$AM44)*$Q44*(1+IF(VLOOKUP($R44,武学奇术!$A:$ZZ,30,FALSE)="回旋伞",$B$21,0))*(1+$BR44)</f>
        <v>23026.6038469521</v>
      </c>
      <c r="P44" s="38">
        <f>((($AO44*$AI44+$AJ44)*(1+$AQ44)*(1+$AR44)+($AT44*IF($G$1="鸣金",$AK44,$AI44)+IF($G$1="鸣金",$AL44*1.5,0))*(1+$AV44)*(1+$AW44)+($AX44*IF($G$1="裂石",$AK44,$AI44)+IF($G$1="裂石",$AL44*1.5,0))*(1+$AZ44)*(1+$BA44)+($BB44*IF($G$1="牵丝",$AK44,$AI44)+IF($G$1="牵丝",$AL44*1.5,0))*(1+$BD44)*(1+$BE44)+($BF44*IF($G$1="破竹",$AK44,$AI44)+IF($G$1="破竹",$AL44*1.5,0))*(1+$BH44)*(1+$BI44))*(1+$AM44))*$Q44*(1+IF(VLOOKUP($R44,武学奇术!$A:$ZZ,30,FALSE)="回旋伞",$B$21,0))*(1+$BR44)</f>
        <v>19837.6137868732</v>
      </c>
      <c r="Q44" s="39">
        <v>2</v>
      </c>
      <c r="R44" s="40" t="s">
        <v>112</v>
      </c>
      <c r="S44" s="40" t="s">
        <v>109</v>
      </c>
      <c r="T44" s="40" t="s">
        <v>95</v>
      </c>
      <c r="U44" s="40" t="s">
        <v>73</v>
      </c>
      <c r="V44" s="40" t="s">
        <v>72</v>
      </c>
      <c r="W44" s="40" t="s">
        <v>169</v>
      </c>
      <c r="X44" s="40" t="s">
        <v>99</v>
      </c>
      <c r="Y44" s="40" t="s">
        <v>84</v>
      </c>
      <c r="Z44" s="40" t="s">
        <v>72</v>
      </c>
      <c r="AA44" s="40" t="s">
        <v>72</v>
      </c>
      <c r="AB44" s="40" t="s">
        <v>120</v>
      </c>
      <c r="AC44" s="40" t="s">
        <v>91</v>
      </c>
      <c r="AD44" s="40" t="s">
        <v>72</v>
      </c>
      <c r="AE44" s="40" t="s">
        <v>72</v>
      </c>
      <c r="AF44" s="40" t="s">
        <v>77</v>
      </c>
      <c r="AG44" s="40" t="s">
        <v>78</v>
      </c>
      <c r="AH44" t="str">
        <f>VLOOKUP($R44,武学奇术!$A:$ZZ,25,FALSE)</f>
        <v>伞</v>
      </c>
      <c r="AI44" s="26">
        <f>VLOOKUP($R44,武学奇术!$A:$ZZ,26,FALSE)</f>
        <v>0.54</v>
      </c>
      <c r="AJ44" s="27">
        <f>VLOOKUP($R44,武学奇术!$A:$ZZ,27,FALSE)*(1+IF(OR($AH44=$F$4,$AH44=$F$5),$B$22,0))</f>
        <v>0</v>
      </c>
      <c r="AK44" s="26">
        <f>VLOOKUP($R44,武学奇术!$A:$ZZ,28,FALSE)</f>
        <v>0.81</v>
      </c>
      <c r="AL44" s="27">
        <f>VLOOKUP($R44,武学奇术!$A:$ZZ,29,FALSE)*(1+IF(OR($AH44=$F$4,$AH44=$F$5),$B$22,0))</f>
        <v>0</v>
      </c>
      <c r="AM44" s="26" cm="1">
        <f t="array" ref="AM44">$G$3+IFERROR(VLOOKUP($AH44,$F$4:$G$7,2,FALSE),0)+VLOOKUP($R44,武学奇术!$A:$ZZ,2,FALSE)+SUM(_xlfn.XLOOKUP($S44:$AG44,增益!$A:$A,增益!$B:$B,0))</f>
        <v>0.8541</v>
      </c>
      <c r="AN44" s="26" cm="1">
        <f t="array" ref="AN44">VLOOKUP($R44,武学奇术!$A:$ZZ,5,FALSE)+SUM(_xlfn.XLOOKUP($S44:$AG44,增益!$A:$A,增益!$E:$E,0))</f>
        <v>0</v>
      </c>
      <c r="AO44" cm="1">
        <f t="array" ref="AO44">$D$10*(1+$AN44)+VLOOKUP($R44,武学奇术!$A:$ZZ,3,FALSE)+SUM(_xlfn.XLOOKUP($S44:$AG44,增益!$A:$A,增益!$C:$C,0))-$I$2</f>
        <v>3624.6</v>
      </c>
      <c r="AP44" cm="1">
        <f t="array" ref="AP44">$E$10*(1+$AN44)+VLOOKUP($R44,武学奇术!$A:$ZZ,4,FALSE)+SUM(_xlfn.XLOOKUP($S44:$AG44,增益!$A:$A,增益!$D:$D,0))-$I$2</f>
        <v>3624.6</v>
      </c>
      <c r="AQ44" s="32" cm="1">
        <f t="array" ref="AQ44">IF($F$10-$I$3+VLOOKUP($R44,武学奇术!$A:$ZZ,6,FALSE)+SUM(_xlfn.XLOOKUP(S44:AG44,增益!$A:$A,增益!$F:$F,0))&gt;0,($F$10-$I$3+VLOOKUP($R44,武学奇术!$A:$ZZ,6,FALSE)+SUM(_xlfn.XLOOKUP(S44:AG44,增益!$A:$A,增益!$F:$F,0)))/200,($F$10-$I$3+VLOOKUP($R44,武学奇术!$A:$ZZ,6,FALSE)+SUM(_xlfn.XLOOKUP(S44:AG44,增益!$A:$A,增益!$F:$F,0)))/100)</f>
        <v>0.3425</v>
      </c>
      <c r="AR44" s="32" cm="1">
        <f t="array" ref="AR44">$G$10+VLOOKUP($R44,武学奇术!$A:$ZZ,7,FALSE)+SUM(_xlfn.XLOOKUP(S44:AG44,增益!$A:$A,增益!$G:$G,0))</f>
        <v>0.148</v>
      </c>
      <c r="AS44" s="26" cm="1">
        <f t="array" ref="AS44">VLOOKUP($R44,武学奇术!$A:$ZZ,8,FALSE)+SUM(_xlfn.XLOOKUP(S44:AG44,增益!$A:$A,增益!$H:$H,0))</f>
        <v>0</v>
      </c>
      <c r="AT44">
        <f t="shared" ref="AT44:AT60" si="19">$D$11*(1+$AS44)</f>
        <v>0</v>
      </c>
      <c r="AU44">
        <f t="shared" ref="AU44:AU60" si="20">$E$11*(1+$AS44)</f>
        <v>0</v>
      </c>
      <c r="AV44" s="32" cm="1">
        <f t="array" ref="AV44">IF($F$11-$I$4+VLOOKUP($R44,武学奇术!$A:$ZZ,9,FALSE)+SUM(_xlfn.XLOOKUP(S44:AG44,增益!$A:$A,增益!$I:$I,0))&gt;0,($F$11-$I$4+VLOOKUP($R44,武学奇术!$A:$ZZ,9,FALSE)+SUM(_xlfn.XLOOKUP(S44:AG44,增益!$A:$A,增益!$I:$I,0)))/200,($F$11-$I$4+VLOOKUP($R44,武学奇术!$A:$ZZ,9,FALSE)+SUM(_xlfn.XLOOKUP(S44:AG44,增益!$A:$A,增益!$I:$I,0)))/100)</f>
        <v>-0.14</v>
      </c>
      <c r="AW44" s="32" cm="1">
        <f t="array" ref="AW44">$G$11+VLOOKUP($R44,武学奇术!$A:$ZZ,10,FALSE)+SUM(_xlfn.XLOOKUP(S44:AG44,增益!$A:$A,增益!$J:$J,0))</f>
        <v>0</v>
      </c>
      <c r="AX44">
        <f t="shared" ref="AX44:AX60" si="21">$D$12*(1+$AS44)</f>
        <v>0</v>
      </c>
      <c r="AY44">
        <f t="shared" ref="AY44:AY60" si="22">$E$12*(1+$AS44)</f>
        <v>0</v>
      </c>
      <c r="AZ44" s="32" cm="1">
        <f t="array" ref="AZ44">IF($F$12-$I$4+VLOOKUP($R44,武学奇术!$A:$ZZ,11,FALSE)+SUM(_xlfn.XLOOKUP(S44:AG44,增益!$A:$A,增益!$K:$K,0))&gt;0,($F$12-$I$4+VLOOKUP($R44,武学奇术!$A:$ZZ,11,FALSE)+SUM(_xlfn.XLOOKUP(S44:AG44,增益!$A:$A,增益!$K:$K,0)))/200,($F$12-$I$4+VLOOKUP($R44,武学奇术!$A:$ZZ,11,FALSE)+SUM(_xlfn.XLOOKUP(S44:AG44,增益!$A:$A,增益!$K:$K,0)))/100)</f>
        <v>-0.14</v>
      </c>
      <c r="BA44" s="32" cm="1">
        <f t="array" ref="BA44">$G$12+VLOOKUP($R44,武学奇术!$A:$ZZ,12,FALSE)+SUM(_xlfn.XLOOKUP(S44:AG44,增益!$A:$A,增益!$L:$L,0))</f>
        <v>0</v>
      </c>
      <c r="BB44">
        <f t="shared" si="14"/>
        <v>0</v>
      </c>
      <c r="BC44">
        <f t="shared" si="15"/>
        <v>0</v>
      </c>
      <c r="BD44" s="32" cm="1">
        <f t="array" ref="BD44">IF($F$13-$I$4+VLOOKUP($R44,武学奇术!$A:$ZZ,13,FALSE)+SUM(_xlfn.XLOOKUP(S44:AG44,增益!$A:$A,增益!$M:$M,0))&gt;0,($F$13-$I$4+VLOOKUP($R44,武学奇术!$A:$ZZ,13,FALSE)+SUM(_xlfn.XLOOKUP(S44:AG44,增益!$A:$A,增益!$K:$K,0)))/200,($F$13-$I$4+VLOOKUP($R44,武学奇术!$A:$ZZ,13,FALSE)+SUM(_xlfn.XLOOKUP(S44:AG44,增益!$A:$A,增益!$M:$M,0)))/100)</f>
        <v>-0.14</v>
      </c>
      <c r="BE44" s="32" cm="1">
        <f t="array" ref="BE44">$G$13+VLOOKUP($R44,武学奇术!$A:$ZZ,14,FALSE)+SUM(_xlfn.XLOOKUP(S44:AG44,增益!$A:$A,增益!$N:$N,0))</f>
        <v>0</v>
      </c>
      <c r="BF44">
        <f t="shared" si="16"/>
        <v>571.2</v>
      </c>
      <c r="BG44">
        <f t="shared" si="17"/>
        <v>1627.8</v>
      </c>
      <c r="BH44" s="32" cm="1">
        <f t="array" ref="BH44">IF($F$14-$I$4+VLOOKUP($R44,武学奇术!$A:$ZZ,15,FALSE)+SUM(_xlfn.XLOOKUP(S44:AG44,增益!$A:$A,增益!$O:$O,0))&gt;0,($F$14-$I$4+VLOOKUP($R44,武学奇术!$A:$ZZ,15,FALSE)+SUM(_xlfn.XLOOKUP(S44:AG44,增益!$A:$A,增益!$O:$O,0)))/200,($F$14-$I$4+VLOOKUP($R44,武学奇术!$A:$ZZ,15,FALSE)+SUM(_xlfn.XLOOKUP(S44:AG44,增益!$A:$A,增益!$O:$O,0)))/100)</f>
        <v>0.08</v>
      </c>
      <c r="BI44" s="32" cm="1">
        <f t="array" ref="BI44">$G$14+VLOOKUP($R44,武学奇术!$A:$ZZ,16,FALSE)+SUM(_xlfn.XLOOKUP(S44:AG44,增益!$A:$A,增益!$P:$P,0))</f>
        <v>0.27</v>
      </c>
      <c r="BJ44" s="26">
        <f>MIN(IF(VLOOKUP($R44,武学奇术!$A:$ZZ,23,FALSE)=1,100%,$B$8),100%)</f>
        <v>0.981</v>
      </c>
      <c r="BK44" s="26" cm="1">
        <f t="array" ref="BK44">IF(VLOOKUP($R44,武学奇术!$A:$ZZ,23,FALSE)=1,100%,MIN(80%,$B$9+VLOOKUP($R44,武学奇术!$A:$ZZ,17,FALSE)+SUM(_xlfn.XLOOKUP(S44:AG44,增益!$A:$A,增益!$Q:$Q,0)))+$B$11+SUM(_xlfn.XLOOKUP(S44:AG44,增益!$A:$A,增益!$U:$U,0)))*IF(VLOOKUP($R44,武学奇术!$A:$ZZ,24,FALSE)=1,0,1)</f>
        <v>0.846</v>
      </c>
      <c r="BL44" s="26" cm="1">
        <f t="array" ref="BL44">1+$B$13+VLOOKUP($R44,武学奇术!$A:$ZZ,18,FALSE)+SUM(_xlfn.XLOOKUP(S44:AG44,增益!$A:$A,增益!$R:$R,0))</f>
        <v>2.02</v>
      </c>
      <c r="BM44" s="26" cm="1">
        <f t="array" ref="BM44">IF(VLOOKUP($R44,武学奇术!$A:$ZZ,24,FALSE)=1,100%,MIN(40%,$B$10+VLOOKUP($R44,武学奇术!$A:$ZZ,19,FALSE)+SUM(_xlfn.XLOOKUP(S44:AG44,增益!$A:$A,增益!$S:$S,0)))+$B$12+SUM(_xlfn.XLOOKUP(S44:AG44,增益!$A:$A,增益!$V:$V,0)))*IF(VLOOKUP($R44,武学奇术!$A:$ZZ,23,FALSE)=1,0,1)</f>
        <v>0.0929</v>
      </c>
      <c r="BN44" s="26" cm="1">
        <f t="array" ref="BN44">1+$B$14+VLOOKUP($R44,武学奇术!$A:$ZZ,20,FALSE)+SUM(_xlfn.XLOOKUP(S44:AG44,增益!$A:$A,增益!$T:$T,0))</f>
        <v>1.35</v>
      </c>
      <c r="BO44" s="26">
        <f t="shared" si="12"/>
        <v>0.829926</v>
      </c>
      <c r="BP44" s="26">
        <f t="shared" si="18"/>
        <v>0.0599391</v>
      </c>
      <c r="BQ44" s="26">
        <f>IF(VLOOKUP($R44,武学奇术!$A:$ZZ,22,FALSE)=1,0,(1-$BJ44))*(1-$BM44)</f>
        <v>0.0172349</v>
      </c>
      <c r="BR44" s="26" cm="1">
        <f t="array" ref="BR44">SUM(_xlfn.XLOOKUP(S44:AG44,增益!$A:$A,增益!$W:$W,0))+$I$5</f>
        <v>0.11</v>
      </c>
    </row>
    <row r="45" spans="1:70">
      <c r="A45" s="4" t="s">
        <v>170</v>
      </c>
      <c r="B45" s="4">
        <v>1.3</v>
      </c>
      <c r="F45" s="39"/>
      <c r="K45">
        <f>$L45*VLOOKUP($R45,武学奇术!$A:$ZZ,31,FALSE)</f>
        <v>94661.1106163938</v>
      </c>
      <c r="L45" s="38">
        <f t="shared" si="13"/>
        <v>90153.4386822798</v>
      </c>
      <c r="M45" s="38">
        <f>((($AO45+$AP45)/2*$AI45+$AJ45)*(1+$AQ45)*(1+$AR45)+(($AT45+$AU45)/2*IF($G$1="鸣金",$AK45,$AI45)+IF($G$1="鸣金",$AL45*1.5,0))*(1+$AV45)*(1+$AW45)+(($AX45+$AY45)/2*IF($G$1="裂石",$AK45,$AI45)+IF($G$1="裂石",$AL45*1.5,0))*(1+$AZ45)*(1+$BA45)+(($BB45+$BC45)/2*IF($G$1="牵丝",$AK45,$AI45)+IF($G$1="牵丝",$AL45*1.5,0))*(1+$BD45)*(1+$BE45)+(($BF45+$BG45)/2*IF($G$1="破竹",$AK45,$AI45)+IF($G$1="破竹",$AL45*1.5,0))*(1+$BH45)*(1+$BI45))*(1+$AM45)*$BL45*$Q45*(1+IF(VLOOKUP($R45,武学奇术!$A:$ZZ,30,FALSE)="回旋伞",$B$21,0))*(1+$BR45)</f>
        <v>90153.4386822798</v>
      </c>
      <c r="N45" s="38">
        <f>(($AP45*$AI45+$AJ45)*(1+$AQ45)*(1+$AR45)+($AU45*IF($G$1="鸣金",$AK45,$AI45)+IF($G$1="鸣金",$AL45*1.5,0))*(1+$AV45)*(1+$AW45)+($AY45*IF($G$1="裂石",$AK45,$AI45)+IF($G$1="裂石",$AL45*1.5,0))*(1+$AZ45)*(1+$BA45)+($BC45*IF($G$1="牵丝",$AK45,$AI45)+IF($G$1="牵丝",$AL45*1.5,0))*(1+$BD45)*(1+$BE45)+($BG45*IF($G$1="破竹",$AK45,$AI45)+IF($G$1="破竹",$AL45*1.5,0))*(1+$BH45)*(1+$BI45))*(1+$AM45)*$BN45*$Q45*(1+IF(VLOOKUP($R45,武学奇术!$A:$ZZ,30,FALSE)="回旋伞",$B$21,0))*(1+$BR45)</f>
        <v>66578.0496996268</v>
      </c>
      <c r="O45" s="38">
        <f>((($AO45+$AP45)/2*$AI45+$AJ45)*(1+$AQ45)*(1+$AR45)+(($AT45+$AU45)/2*IF($G$1="鸣金",$AK45,$AI45)+IF($G$1="鸣金",$AL45*1.5,0))*(1+$AV45)*(1+$AW45)+(($AX45+$AY45)/2*IF($G$1="裂石",$AK45,$AI45)+IF($G$1="裂石",$AL45*1.5,0))*(1+$AZ45)*(1+$BA45)+(($BB45+$BC45)/2*IF($G$1="牵丝",$AK45,$AI45)+IF($G$1="牵丝",$AL45*1.5,0))*(1+$BD45)*(1+$BE45)+(($BF45+$BG45)/2*IF($G$1="破竹",$AK45,$AI45)+IF($G$1="破竹",$AL45*1.5,0))*(1+$BH45)*(1+$BI45))*(1+$AM45)*$Q45*(1+IF(VLOOKUP($R45,武学奇术!$A:$ZZ,30,FALSE)="回旋伞",$B$21,0))*(1+$BR45)</f>
        <v>43977.2871620877</v>
      </c>
      <c r="P45" s="38">
        <f>((($AO45*$AI45+$AJ45)*(1+$AQ45)*(1+$AR45)+($AT45*IF($G$1="鸣金",$AK45,$AI45)+IF($G$1="鸣金",$AL45*1.5,0))*(1+$AV45)*(1+$AW45)+($AX45*IF($G$1="裂石",$AK45,$AI45)+IF($G$1="裂石",$AL45*1.5,0))*(1+$AZ45)*(1+$BA45)+($BB45*IF($G$1="牵丝",$AK45,$AI45)+IF($G$1="牵丝",$AL45*1.5,0))*(1+$BD45)*(1+$BE45)+($BF45*IF($G$1="破竹",$AK45,$AI45)+IF($G$1="破竹",$AL45*1.5,0))*(1+$BH45)*(1+$BI45))*(1+$AM45))*$Q45*(1+IF(VLOOKUP($R45,武学奇术!$A:$ZZ,30,FALSE)="回旋伞",$B$21,0))*(1+$BR45)</f>
        <v>38637.5004726</v>
      </c>
      <c r="Q45" s="39">
        <v>1</v>
      </c>
      <c r="R45" s="40" t="s">
        <v>125</v>
      </c>
      <c r="S45" s="40" t="s">
        <v>109</v>
      </c>
      <c r="T45" s="40" t="s">
        <v>95</v>
      </c>
      <c r="U45" s="40" t="s">
        <v>73</v>
      </c>
      <c r="V45" s="40" t="s">
        <v>72</v>
      </c>
      <c r="W45" s="40" t="s">
        <v>169</v>
      </c>
      <c r="X45" s="40" t="s">
        <v>99</v>
      </c>
      <c r="Y45" s="40" t="s">
        <v>84</v>
      </c>
      <c r="Z45" s="40" t="s">
        <v>72</v>
      </c>
      <c r="AA45" s="40" t="s">
        <v>72</v>
      </c>
      <c r="AB45" s="40" t="s">
        <v>126</v>
      </c>
      <c r="AC45" s="40" t="s">
        <v>91</v>
      </c>
      <c r="AD45" s="40" t="s">
        <v>72</v>
      </c>
      <c r="AE45" s="40" t="s">
        <v>72</v>
      </c>
      <c r="AF45" s="40" t="s">
        <v>77</v>
      </c>
      <c r="AG45" s="40" t="s">
        <v>78</v>
      </c>
      <c r="AH45" t="str">
        <f>VLOOKUP($R45,武学奇术!$A:$ZZ,25,FALSE)</f>
        <v>伞</v>
      </c>
      <c r="AI45" s="26">
        <f>VLOOKUP($R45,武学奇术!$A:$ZZ,26,FALSE)</f>
        <v>1.8084</v>
      </c>
      <c r="AJ45" s="27">
        <f>VLOOKUP($R45,武学奇术!$A:$ZZ,27,FALSE)*(1+IF(OR($AH45=$F$4,$AH45=$F$5),$B$22,0))</f>
        <v>750</v>
      </c>
      <c r="AK45" s="26">
        <f>VLOOKUP($R45,武学奇术!$A:$ZZ,28,FALSE)</f>
        <v>2.7126</v>
      </c>
      <c r="AL45" s="27">
        <f>VLOOKUP($R45,武学奇术!$A:$ZZ,29,FALSE)*(1+IF(OR($AH45=$F$4,$AH45=$F$5),$B$22,0))</f>
        <v>408</v>
      </c>
      <c r="AM45" s="26" cm="1">
        <f t="array" ref="AM45">$G$3+IFERROR(VLOOKUP($AH45,$F$4:$G$7,2,FALSE),0)+VLOOKUP($R45,武学奇术!$A:$ZZ,2,FALSE)+SUM(_xlfn.XLOOKUP($S45:$AG45,增益!$A:$A,增益!$B:$B,0))</f>
        <v>0.8541</v>
      </c>
      <c r="AN45" s="26" cm="1">
        <f t="array" ref="AN45">VLOOKUP($R45,武学奇术!$A:$ZZ,5,FALSE)+SUM(_xlfn.XLOOKUP($S45:$AG45,增益!$A:$A,增益!$E:$E,0))</f>
        <v>0</v>
      </c>
      <c r="AO45" cm="1">
        <f t="array" ref="AO45">$D$10*(1+$AN45)+VLOOKUP($R45,武学奇术!$A:$ZZ,3,FALSE)+SUM(_xlfn.XLOOKUP($S45:$AG45,增益!$A:$A,增益!$C:$C,0))-$I$2</f>
        <v>3624.6</v>
      </c>
      <c r="AP45" cm="1">
        <f t="array" ref="AP45">$E$10*(1+$AN45)+VLOOKUP($R45,武学奇术!$A:$ZZ,4,FALSE)+SUM(_xlfn.XLOOKUP($S45:$AG45,增益!$A:$A,增益!$D:$D,0))-$I$2</f>
        <v>3624.6</v>
      </c>
      <c r="AQ45" s="32" cm="1">
        <f t="array" ref="AQ45">IF($F$10-$I$3+VLOOKUP($R45,武学奇术!$A:$ZZ,6,FALSE)+SUM(_xlfn.XLOOKUP(S45:AG45,增益!$A:$A,增益!$F:$F,0))&gt;0,($F$10-$I$3+VLOOKUP($R45,武学奇术!$A:$ZZ,6,FALSE)+SUM(_xlfn.XLOOKUP(S45:AG45,增益!$A:$A,增益!$F:$F,0)))/200,($F$10-$I$3+VLOOKUP($R45,武学奇术!$A:$ZZ,6,FALSE)+SUM(_xlfn.XLOOKUP(S45:AG45,增益!$A:$A,增益!$F:$F,0)))/100)</f>
        <v>0.3425</v>
      </c>
      <c r="AR45" s="32" cm="1">
        <f t="array" ref="AR45">$G$10+VLOOKUP($R45,武学奇术!$A:$ZZ,7,FALSE)+SUM(_xlfn.XLOOKUP(S45:AG45,增益!$A:$A,增益!$G:$G,0))</f>
        <v>0.148</v>
      </c>
      <c r="AS45" s="26" cm="1">
        <f t="array" ref="AS45">VLOOKUP($R45,武学奇术!$A:$ZZ,8,FALSE)+SUM(_xlfn.XLOOKUP(S45:AG45,增益!$A:$A,增益!$H:$H,0))</f>
        <v>0</v>
      </c>
      <c r="AT45">
        <f t="shared" si="19"/>
        <v>0</v>
      </c>
      <c r="AU45">
        <f t="shared" si="20"/>
        <v>0</v>
      </c>
      <c r="AV45" s="32" cm="1">
        <f t="array" ref="AV45">IF($F$11-$I$4+VLOOKUP($R45,武学奇术!$A:$ZZ,9,FALSE)+SUM(_xlfn.XLOOKUP(S45:AG45,增益!$A:$A,增益!$I:$I,0))&gt;0,($F$11-$I$4+VLOOKUP($R45,武学奇术!$A:$ZZ,9,FALSE)+SUM(_xlfn.XLOOKUP(S45:AG45,增益!$A:$A,增益!$I:$I,0)))/200,($F$11-$I$4+VLOOKUP($R45,武学奇术!$A:$ZZ,9,FALSE)+SUM(_xlfn.XLOOKUP(S45:AG45,增益!$A:$A,增益!$I:$I,0)))/100)</f>
        <v>-0.14</v>
      </c>
      <c r="AW45" s="32" cm="1">
        <f t="array" ref="AW45">$G$11+VLOOKUP($R45,武学奇术!$A:$ZZ,10,FALSE)+SUM(_xlfn.XLOOKUP(S45:AG45,增益!$A:$A,增益!$J:$J,0))</f>
        <v>0</v>
      </c>
      <c r="AX45">
        <f t="shared" si="21"/>
        <v>0</v>
      </c>
      <c r="AY45">
        <f t="shared" si="22"/>
        <v>0</v>
      </c>
      <c r="AZ45" s="32" cm="1">
        <f t="array" ref="AZ45">IF($F$12-$I$4+VLOOKUP($R45,武学奇术!$A:$ZZ,11,FALSE)+SUM(_xlfn.XLOOKUP(S45:AG45,增益!$A:$A,增益!$K:$K,0))&gt;0,($F$12-$I$4+VLOOKUP($R45,武学奇术!$A:$ZZ,11,FALSE)+SUM(_xlfn.XLOOKUP(S45:AG45,增益!$A:$A,增益!$K:$K,0)))/200,($F$12-$I$4+VLOOKUP($R45,武学奇术!$A:$ZZ,11,FALSE)+SUM(_xlfn.XLOOKUP(S45:AG45,增益!$A:$A,增益!$K:$K,0)))/100)</f>
        <v>-0.14</v>
      </c>
      <c r="BA45" s="32" cm="1">
        <f t="array" ref="BA45">$G$12+VLOOKUP($R45,武学奇术!$A:$ZZ,12,FALSE)+SUM(_xlfn.XLOOKUP(S45:AG45,增益!$A:$A,增益!$L:$L,0))</f>
        <v>0</v>
      </c>
      <c r="BB45">
        <f t="shared" si="14"/>
        <v>0</v>
      </c>
      <c r="BC45">
        <f t="shared" si="15"/>
        <v>0</v>
      </c>
      <c r="BD45" s="32" cm="1">
        <f t="array" ref="BD45">IF($F$13-$I$4+VLOOKUP($R45,武学奇术!$A:$ZZ,13,FALSE)+SUM(_xlfn.XLOOKUP(S45:AG45,增益!$A:$A,增益!$M:$M,0))&gt;0,($F$13-$I$4+VLOOKUP($R45,武学奇术!$A:$ZZ,13,FALSE)+SUM(_xlfn.XLOOKUP(S45:AG45,增益!$A:$A,增益!$K:$K,0)))/200,($F$13-$I$4+VLOOKUP($R45,武学奇术!$A:$ZZ,13,FALSE)+SUM(_xlfn.XLOOKUP(S45:AG45,增益!$A:$A,增益!$M:$M,0)))/100)</f>
        <v>-0.14</v>
      </c>
      <c r="BE45" s="32" cm="1">
        <f t="array" ref="BE45">$G$13+VLOOKUP($R45,武学奇术!$A:$ZZ,14,FALSE)+SUM(_xlfn.XLOOKUP(S45:AG45,增益!$A:$A,增益!$N:$N,0))</f>
        <v>0</v>
      </c>
      <c r="BF45">
        <f t="shared" si="16"/>
        <v>571.2</v>
      </c>
      <c r="BG45">
        <f t="shared" si="17"/>
        <v>1627.8</v>
      </c>
      <c r="BH45" s="32" cm="1">
        <f t="array" ref="BH45">IF($F$14-$I$4+VLOOKUP($R45,武学奇术!$A:$ZZ,15,FALSE)+SUM(_xlfn.XLOOKUP(S45:AG45,增益!$A:$A,增益!$O:$O,0))&gt;0,($F$14-$I$4+VLOOKUP($R45,武学奇术!$A:$ZZ,15,FALSE)+SUM(_xlfn.XLOOKUP(S45:AG45,增益!$A:$A,增益!$O:$O,0)))/200,($F$14-$I$4+VLOOKUP($R45,武学奇术!$A:$ZZ,15,FALSE)+SUM(_xlfn.XLOOKUP(S45:AG45,增益!$A:$A,增益!$O:$O,0)))/100)</f>
        <v>0.08</v>
      </c>
      <c r="BI45" s="32" cm="1">
        <f t="array" ref="BI45">$G$14+VLOOKUP($R45,武学奇术!$A:$ZZ,16,FALSE)+SUM(_xlfn.XLOOKUP(S45:AG45,增益!$A:$A,增益!$P:$P,0))</f>
        <v>0.27</v>
      </c>
      <c r="BJ45" s="26">
        <f>MIN(IF(VLOOKUP($R45,武学奇术!$A:$ZZ,23,FALSE)=1,100%,$B$8),100%)</f>
        <v>1</v>
      </c>
      <c r="BK45" s="26" cm="1">
        <f t="array" ref="BK45">IF(VLOOKUP($R45,武学奇术!$A:$ZZ,23,FALSE)=1,100%,MIN(80%,$B$9+VLOOKUP($R45,武学奇术!$A:$ZZ,17,FALSE)+SUM(_xlfn.XLOOKUP(S45:AG45,增益!$A:$A,增益!$Q:$Q,0)))+$B$11+SUM(_xlfn.XLOOKUP(S45:AG45,增益!$A:$A,增益!$U:$U,0)))*IF(VLOOKUP($R45,武学奇术!$A:$ZZ,24,FALSE)=1,0,1)</f>
        <v>1</v>
      </c>
      <c r="BL45" s="26" cm="1">
        <f t="array" ref="BL45">1+$B$13+VLOOKUP($R45,武学奇术!$A:$ZZ,18,FALSE)+SUM(_xlfn.XLOOKUP(S45:AG45,增益!$A:$A,增益!$R:$R,0))</f>
        <v>2.05</v>
      </c>
      <c r="BM45" s="26" cm="1">
        <f t="array" ref="BM45">IF(VLOOKUP($R45,武学奇术!$A:$ZZ,24,FALSE)=1,100%,MIN(40%,$B$10+VLOOKUP($R45,武学奇术!$A:$ZZ,19,FALSE)+SUM(_xlfn.XLOOKUP(S45:AG45,增益!$A:$A,增益!$S:$S,0)))+$B$12+SUM(_xlfn.XLOOKUP(S45:AG45,增益!$A:$A,增益!$V:$V,0)))*IF(VLOOKUP($R45,武学奇术!$A:$ZZ,23,FALSE)=1,0,1)</f>
        <v>0</v>
      </c>
      <c r="BN45" s="26" cm="1">
        <f t="array" ref="BN45">1+$B$14+VLOOKUP($R45,武学奇术!$A:$ZZ,20,FALSE)+SUM(_xlfn.XLOOKUP(S45:AG45,增益!$A:$A,增益!$T:$T,0))</f>
        <v>1.35</v>
      </c>
      <c r="BO45" s="26">
        <f t="shared" si="12"/>
        <v>1</v>
      </c>
      <c r="BP45" s="26">
        <f t="shared" si="18"/>
        <v>0</v>
      </c>
      <c r="BQ45" s="26">
        <f>IF(VLOOKUP($R45,武学奇术!$A:$ZZ,22,FALSE)=1,0,(1-$BJ45))*(1-$BM45)</f>
        <v>0</v>
      </c>
      <c r="BR45" s="26" cm="1">
        <f t="array" ref="BR45">SUM(_xlfn.XLOOKUP(S45:AG45,增益!$A:$A,增益!$W:$W,0))+$I$5</f>
        <v>0.11</v>
      </c>
    </row>
    <row r="46" spans="1:70">
      <c r="A46" s="4" t="s">
        <v>170</v>
      </c>
      <c r="B46" s="4">
        <v>1.3</v>
      </c>
      <c r="K46">
        <f>$L46*VLOOKUP($R46,武学奇术!$A:$ZZ,31,FALSE)</f>
        <v>54911.2687210817</v>
      </c>
      <c r="L46" s="38">
        <f t="shared" si="13"/>
        <v>52296.4464010302</v>
      </c>
      <c r="M46" s="38">
        <f>((($AO46+$AP46)/2*$AI46+$AJ46)*(1+$AQ46)*(1+$AR46)+(($AT46+$AU46)/2*IF($G$1="鸣金",$AK46,$AI46)+IF($G$1="鸣金",$AL46*1.5,0))*(1+$AV46)*(1+$AW46)+(($AX46+$AY46)/2*IF($G$1="裂石",$AK46,$AI46)+IF($G$1="裂石",$AL46*1.5,0))*(1+$AZ46)*(1+$BA46)+(($BB46+$BC46)/2*IF($G$1="牵丝",$AK46,$AI46)+IF($G$1="牵丝",$AL46*1.5,0))*(1+$BD46)*(1+$BE46)+(($BF46+$BG46)/2*IF($G$1="破竹",$AK46,$AI46)+IF($G$1="破竹",$AL46*1.5,0))*(1+$BH46)*(1+$BI46))*(1+$AM46)*$BL46*$Q46*(1+IF(VLOOKUP($R46,武学奇术!$A:$ZZ,30,FALSE)="回旋伞",$B$21,0))*(1+$BR46)</f>
        <v>52296.4464010302</v>
      </c>
      <c r="N46" s="38">
        <f>(($AP46*$AI46+$AJ46)*(1+$AQ46)*(1+$AR46)+($AU46*IF($G$1="鸣金",$AK46,$AI46)+IF($G$1="鸣金",$AL46*1.5,0))*(1+$AV46)*(1+$AW46)+($AY46*IF($G$1="裂石",$AK46,$AI46)+IF($G$1="裂石",$AL46*1.5,0))*(1+$AZ46)*(1+$BA46)+($BC46*IF($G$1="牵丝",$AK46,$AI46)+IF($G$1="牵丝",$AL46*1.5,0))*(1+$BD46)*(1+$BE46)+($BG46*IF($G$1="破竹",$AK46,$AI46)+IF($G$1="破竹",$AL46*1.5,0))*(1+$BH46)*(1+$BI46))*(1+$AM46)*$BN46*$Q46*(1+IF(VLOOKUP($R46,武学奇术!$A:$ZZ,30,FALSE)="回旋伞",$B$21,0))*(1+$BR46)</f>
        <v>39208.650800919</v>
      </c>
      <c r="O46" s="38">
        <f>((($AO46+$AP46)/2*$AI46+$AJ46)*(1+$AQ46)*(1+$AR46)+(($AT46+$AU46)/2*IF($G$1="鸣金",$AK46,$AI46)+IF($G$1="鸣金",$AL46*1.5,0))*(1+$AV46)*(1+$AW46)+(($AX46+$AY46)/2*IF($G$1="裂石",$AK46,$AI46)+IF($G$1="裂石",$AL46*1.5,0))*(1+$AZ46)*(1+$BA46)+(($BB46+$BC46)/2*IF($G$1="牵丝",$AK46,$AI46)+IF($G$1="牵丝",$AL46*1.5,0))*(1+$BD46)*(1+$BE46)+(($BF46+$BG46)/2*IF($G$1="破竹",$AK46,$AI46)+IF($G$1="破竹",$AL46*1.5,0))*(1+$BH46)*(1+$BI46))*(1+$AM46)*$Q46*(1+IF(VLOOKUP($R46,武学奇术!$A:$ZZ,30,FALSE)="回旋伞",$B$21,0))*(1+$BR46)</f>
        <v>25510.4616590391</v>
      </c>
      <c r="P46" s="38">
        <f>((($AO46*$AI46+$AJ46)*(1+$AQ46)*(1+$AR46)+($AT46*IF($G$1="鸣金",$AK46,$AI46)+IF($G$1="鸣金",$AL46*1.5,0))*(1+$AV46)*(1+$AW46)+($AX46*IF($G$1="裂石",$AK46,$AI46)+IF($G$1="裂石",$AL46*1.5,0))*(1+$AZ46)*(1+$BA46)+($BB46*IF($G$1="牵丝",$AK46,$AI46)+IF($G$1="牵丝",$AL46*1.5,0))*(1+$BD46)*(1+$BE46)+($BF46*IF($G$1="破竹",$AK46,$AI46)+IF($G$1="破竹",$AL46*1.5,0))*(1+$BH46)*(1+$BI46))*(1+$AM46))*$Q46*(1+IF(VLOOKUP($R46,武学奇术!$A:$ZZ,30,FALSE)="回旋伞",$B$21,0))*(1+$BR46)</f>
        <v>21977.4782803604</v>
      </c>
      <c r="Q46" s="39">
        <v>2</v>
      </c>
      <c r="R46" s="40" t="s">
        <v>132</v>
      </c>
      <c r="S46" s="40" t="s">
        <v>109</v>
      </c>
      <c r="T46" s="40" t="s">
        <v>95</v>
      </c>
      <c r="U46" s="40" t="s">
        <v>73</v>
      </c>
      <c r="V46" s="40" t="s">
        <v>72</v>
      </c>
      <c r="W46" s="40" t="s">
        <v>169</v>
      </c>
      <c r="X46" s="40" t="s">
        <v>99</v>
      </c>
      <c r="Y46" s="40" t="s">
        <v>84</v>
      </c>
      <c r="Z46" s="40" t="s">
        <v>72</v>
      </c>
      <c r="AA46" s="40" t="s">
        <v>72</v>
      </c>
      <c r="AB46" s="40" t="s">
        <v>126</v>
      </c>
      <c r="AC46" s="40" t="s">
        <v>91</v>
      </c>
      <c r="AD46" s="40" t="s">
        <v>72</v>
      </c>
      <c r="AE46" s="40" t="s">
        <v>72</v>
      </c>
      <c r="AF46" s="40" t="s">
        <v>77</v>
      </c>
      <c r="AG46" s="40" t="s">
        <v>78</v>
      </c>
      <c r="AH46" t="str">
        <f>VLOOKUP($R46,武学奇术!$A:$ZZ,25,FALSE)</f>
        <v>伞</v>
      </c>
      <c r="AI46" s="26">
        <f>VLOOKUP($R46,武学奇术!$A:$ZZ,26,FALSE)</f>
        <v>0.54</v>
      </c>
      <c r="AJ46" s="27">
        <f>VLOOKUP($R46,武学奇术!$A:$ZZ,27,FALSE)*(1+IF(OR($AH46=$F$4,$AH46=$F$5),$B$22,0))</f>
        <v>0</v>
      </c>
      <c r="AK46" s="26">
        <f>VLOOKUP($R46,武学奇术!$A:$ZZ,28,FALSE)</f>
        <v>0.81</v>
      </c>
      <c r="AL46" s="27">
        <f>VLOOKUP($R46,武学奇术!$A:$ZZ,29,FALSE)*(1+IF(OR($AH46=$F$4,$AH46=$F$5),$B$22,0))</f>
        <v>0</v>
      </c>
      <c r="AM46" s="26" cm="1">
        <f t="array" ref="AM46">$G$3+IFERROR(VLOOKUP($AH46,$F$4:$G$7,2,FALSE),0)+VLOOKUP($R46,武学奇术!$A:$ZZ,2,FALSE)+SUM(_xlfn.XLOOKUP($S46:$AG46,增益!$A:$A,增益!$B:$B,0))</f>
        <v>1.0541</v>
      </c>
      <c r="AN46" s="26" cm="1">
        <f t="array" ref="AN46">VLOOKUP($R46,武学奇术!$A:$ZZ,5,FALSE)+SUM(_xlfn.XLOOKUP($S46:$AG46,增益!$A:$A,增益!$E:$E,0))</f>
        <v>0</v>
      </c>
      <c r="AO46" cm="1">
        <f t="array" ref="AO46">$D$10*(1+$AN46)+VLOOKUP($R46,武学奇术!$A:$ZZ,3,FALSE)+SUM(_xlfn.XLOOKUP($S46:$AG46,增益!$A:$A,增益!$C:$C,0))-$I$2</f>
        <v>3624.6</v>
      </c>
      <c r="AP46" cm="1">
        <f t="array" ref="AP46">$E$10*(1+$AN46)+VLOOKUP($R46,武学奇术!$A:$ZZ,4,FALSE)+SUM(_xlfn.XLOOKUP($S46:$AG46,增益!$A:$A,增益!$D:$D,0))-$I$2</f>
        <v>3624.6</v>
      </c>
      <c r="AQ46" s="32" cm="1">
        <f t="array" ref="AQ46">IF($F$10-$I$3+VLOOKUP($R46,武学奇术!$A:$ZZ,6,FALSE)+SUM(_xlfn.XLOOKUP(S46:AG46,增益!$A:$A,增益!$F:$F,0))&gt;0,($F$10-$I$3+VLOOKUP($R46,武学奇术!$A:$ZZ,6,FALSE)+SUM(_xlfn.XLOOKUP(S46:AG46,增益!$A:$A,增益!$F:$F,0)))/200,($F$10-$I$3+VLOOKUP($R46,武学奇术!$A:$ZZ,6,FALSE)+SUM(_xlfn.XLOOKUP(S46:AG46,增益!$A:$A,增益!$F:$F,0)))/100)</f>
        <v>0.3425</v>
      </c>
      <c r="AR46" s="32" cm="1">
        <f t="array" ref="AR46">$G$10+VLOOKUP($R46,武学奇术!$A:$ZZ,7,FALSE)+SUM(_xlfn.XLOOKUP(S46:AG46,增益!$A:$A,增益!$G:$G,0))</f>
        <v>0.148</v>
      </c>
      <c r="AS46" s="26" cm="1">
        <f t="array" ref="AS46">VLOOKUP($R46,武学奇术!$A:$ZZ,8,FALSE)+SUM(_xlfn.XLOOKUP(S46:AG46,增益!$A:$A,增益!$H:$H,0))</f>
        <v>0</v>
      </c>
      <c r="AT46">
        <f t="shared" si="19"/>
        <v>0</v>
      </c>
      <c r="AU46">
        <f t="shared" si="20"/>
        <v>0</v>
      </c>
      <c r="AV46" s="32" cm="1">
        <f t="array" ref="AV46">IF($F$11-$I$4+VLOOKUP($R46,武学奇术!$A:$ZZ,9,FALSE)+SUM(_xlfn.XLOOKUP(S46:AG46,增益!$A:$A,增益!$I:$I,0))&gt;0,($F$11-$I$4+VLOOKUP($R46,武学奇术!$A:$ZZ,9,FALSE)+SUM(_xlfn.XLOOKUP(S46:AG46,增益!$A:$A,增益!$I:$I,0)))/200,($F$11-$I$4+VLOOKUP($R46,武学奇术!$A:$ZZ,9,FALSE)+SUM(_xlfn.XLOOKUP(S46:AG46,增益!$A:$A,增益!$I:$I,0)))/100)</f>
        <v>-0.14</v>
      </c>
      <c r="AW46" s="32" cm="1">
        <f t="array" ref="AW46">$G$11+VLOOKUP($R46,武学奇术!$A:$ZZ,10,FALSE)+SUM(_xlfn.XLOOKUP(S46:AG46,增益!$A:$A,增益!$J:$J,0))</f>
        <v>0</v>
      </c>
      <c r="AX46">
        <f t="shared" si="21"/>
        <v>0</v>
      </c>
      <c r="AY46">
        <f t="shared" si="22"/>
        <v>0</v>
      </c>
      <c r="AZ46" s="32" cm="1">
        <f t="array" ref="AZ46">IF($F$12-$I$4+VLOOKUP($R46,武学奇术!$A:$ZZ,11,FALSE)+SUM(_xlfn.XLOOKUP(S46:AG46,增益!$A:$A,增益!$K:$K,0))&gt;0,($F$12-$I$4+VLOOKUP($R46,武学奇术!$A:$ZZ,11,FALSE)+SUM(_xlfn.XLOOKUP(S46:AG46,增益!$A:$A,增益!$K:$K,0)))/200,($F$12-$I$4+VLOOKUP($R46,武学奇术!$A:$ZZ,11,FALSE)+SUM(_xlfn.XLOOKUP(S46:AG46,增益!$A:$A,增益!$K:$K,0)))/100)</f>
        <v>-0.14</v>
      </c>
      <c r="BA46" s="32" cm="1">
        <f t="array" ref="BA46">$G$12+VLOOKUP($R46,武学奇术!$A:$ZZ,12,FALSE)+SUM(_xlfn.XLOOKUP(S46:AG46,增益!$A:$A,增益!$L:$L,0))</f>
        <v>0</v>
      </c>
      <c r="BB46">
        <f t="shared" si="14"/>
        <v>0</v>
      </c>
      <c r="BC46">
        <f t="shared" si="15"/>
        <v>0</v>
      </c>
      <c r="BD46" s="32" cm="1">
        <f t="array" ref="BD46">IF($F$13-$I$4+VLOOKUP($R46,武学奇术!$A:$ZZ,13,FALSE)+SUM(_xlfn.XLOOKUP(S46:AG46,增益!$A:$A,增益!$M:$M,0))&gt;0,($F$13-$I$4+VLOOKUP($R46,武学奇术!$A:$ZZ,13,FALSE)+SUM(_xlfn.XLOOKUP(S46:AG46,增益!$A:$A,增益!$K:$K,0)))/200,($F$13-$I$4+VLOOKUP($R46,武学奇术!$A:$ZZ,13,FALSE)+SUM(_xlfn.XLOOKUP(S46:AG46,增益!$A:$A,增益!$M:$M,0)))/100)</f>
        <v>-0.14</v>
      </c>
      <c r="BE46" s="32" cm="1">
        <f t="array" ref="BE46">$G$13+VLOOKUP($R46,武学奇术!$A:$ZZ,14,FALSE)+SUM(_xlfn.XLOOKUP(S46:AG46,增益!$A:$A,增益!$N:$N,0))</f>
        <v>0</v>
      </c>
      <c r="BF46">
        <f t="shared" si="16"/>
        <v>571.2</v>
      </c>
      <c r="BG46">
        <f t="shared" si="17"/>
        <v>1627.8</v>
      </c>
      <c r="BH46" s="32" cm="1">
        <f t="array" ref="BH46">IF($F$14-$I$4+VLOOKUP($R46,武学奇术!$A:$ZZ,15,FALSE)+SUM(_xlfn.XLOOKUP(S46:AG46,增益!$A:$A,增益!$O:$O,0))&gt;0,($F$14-$I$4+VLOOKUP($R46,武学奇术!$A:$ZZ,15,FALSE)+SUM(_xlfn.XLOOKUP(S46:AG46,增益!$A:$A,增益!$O:$O,0)))/200,($F$14-$I$4+VLOOKUP($R46,武学奇术!$A:$ZZ,15,FALSE)+SUM(_xlfn.XLOOKUP(S46:AG46,增益!$A:$A,增益!$O:$O,0)))/100)</f>
        <v>0.08</v>
      </c>
      <c r="BI46" s="32" cm="1">
        <f t="array" ref="BI46">$G$14+VLOOKUP($R46,武学奇术!$A:$ZZ,16,FALSE)+SUM(_xlfn.XLOOKUP(S46:AG46,增益!$A:$A,增益!$P:$P,0))</f>
        <v>0.27</v>
      </c>
      <c r="BJ46" s="26">
        <f>MIN(IF(VLOOKUP($R46,武学奇术!$A:$ZZ,23,FALSE)=1,100%,$B$8),100%)</f>
        <v>1</v>
      </c>
      <c r="BK46" s="26" cm="1">
        <f t="array" ref="BK46">IF(VLOOKUP($R46,武学奇术!$A:$ZZ,23,FALSE)=1,100%,MIN(80%,$B$9+VLOOKUP($R46,武学奇术!$A:$ZZ,17,FALSE)+SUM(_xlfn.XLOOKUP(S46:AG46,增益!$A:$A,增益!$Q:$Q,0)))+$B$11+SUM(_xlfn.XLOOKUP(S46:AG46,增益!$A:$A,增益!$U:$U,0)))*IF(VLOOKUP($R46,武学奇术!$A:$ZZ,24,FALSE)=1,0,1)</f>
        <v>1</v>
      </c>
      <c r="BL46" s="26" cm="1">
        <f t="array" ref="BL46">1+$B$13+VLOOKUP($R46,武学奇术!$A:$ZZ,18,FALSE)+SUM(_xlfn.XLOOKUP(S46:AG46,增益!$A:$A,增益!$R:$R,0))</f>
        <v>2.05</v>
      </c>
      <c r="BM46" s="26" cm="1">
        <f t="array" ref="BM46">IF(VLOOKUP($R46,武学奇术!$A:$ZZ,24,FALSE)=1,100%,MIN(40%,$B$10+VLOOKUP($R46,武学奇术!$A:$ZZ,19,FALSE)+SUM(_xlfn.XLOOKUP(S46:AG46,增益!$A:$A,增益!$S:$S,0)))+$B$12+SUM(_xlfn.XLOOKUP(S46:AG46,增益!$A:$A,增益!$V:$V,0)))*IF(VLOOKUP($R46,武学奇术!$A:$ZZ,23,FALSE)=1,0,1)</f>
        <v>0</v>
      </c>
      <c r="BN46" s="26" cm="1">
        <f t="array" ref="BN46">1+$B$14+VLOOKUP($R46,武学奇术!$A:$ZZ,20,FALSE)+SUM(_xlfn.XLOOKUP(S46:AG46,增益!$A:$A,增益!$T:$T,0))</f>
        <v>1.35</v>
      </c>
      <c r="BO46" s="26">
        <f t="shared" si="12"/>
        <v>1</v>
      </c>
      <c r="BP46" s="26">
        <f t="shared" si="18"/>
        <v>0</v>
      </c>
      <c r="BQ46" s="26">
        <f>IF(VLOOKUP($R46,武学奇术!$A:$ZZ,22,FALSE)=1,0,(1-$BJ46))*(1-$BM46)</f>
        <v>0</v>
      </c>
      <c r="BR46" s="26" cm="1">
        <f t="array" ref="BR46">SUM(_xlfn.XLOOKUP(S46:AG46,增益!$A:$A,增益!$W:$W,0))+$I$5</f>
        <v>0.11</v>
      </c>
    </row>
    <row r="47" spans="1:70">
      <c r="A47" s="4" t="s">
        <v>170</v>
      </c>
      <c r="B47" s="4">
        <v>1.3</v>
      </c>
      <c r="K47">
        <f>$L47*VLOOKUP($R47,武学奇术!$A:$ZZ,31,FALSE)</f>
        <v>78974.1430054442</v>
      </c>
      <c r="L47" s="38">
        <f t="shared" si="13"/>
        <v>75213.4695289945</v>
      </c>
      <c r="M47" s="38">
        <f>((($AO47+$AP47)/2*$AI47+$AJ47)*(1+$AQ47)*(1+$AR47)+(($AT47+$AU47)/2*IF($G$1="鸣金",$AK47,$AI47)+IF($G$1="鸣金",$AL47*1.5,0))*(1+$AV47)*(1+$AW47)+(($AX47+$AY47)/2*IF($G$1="裂石",$AK47,$AI47)+IF($G$1="裂石",$AL47*1.5,0))*(1+$AZ47)*(1+$BA47)+(($BB47+$BC47)/2*IF($G$1="牵丝",$AK47,$AI47)+IF($G$1="牵丝",$AL47*1.5,0))*(1+$BD47)*(1+$BE47)+(($BF47+$BG47)/2*IF($G$1="破竹",$AK47,$AI47)+IF($G$1="破竹",$AL47*1.5,0))*(1+$BH47)*(1+$BI47))*(1+$AM47)*$BL47*$Q47*(1+IF(VLOOKUP($R47,武学奇术!$A:$ZZ,30,FALSE)="回旋伞",$B$21,0))*(1+$BR47)</f>
        <v>80428.6731699256</v>
      </c>
      <c r="N47" s="38">
        <f>(($AP47*$AI47+$AJ47)*(1+$AQ47)*(1+$AR47)+($AU47*IF($G$1="鸣金",$AK47,$AI47)+IF($G$1="鸣金",$AL47*1.5,0))*(1+$AV47)*(1+$AW47)+($AY47*IF($G$1="裂石",$AK47,$AI47)+IF($G$1="裂石",$AL47*1.5,0))*(1+$AZ47)*(1+$BA47)+($BC47*IF($G$1="牵丝",$AK47,$AI47)+IF($G$1="牵丝",$AL47*1.5,0))*(1+$BD47)*(1+$BE47)+($BG47*IF($G$1="破竹",$AK47,$AI47)+IF($G$1="破竹",$AL47*1.5,0))*(1+$BH47)*(1+$BI47))*(1+$AM47)*$BN47*$Q47*(1+IF(VLOOKUP($R47,武学奇术!$A:$ZZ,30,FALSE)="回旋伞",$B$21,0))*(1+$BR47)</f>
        <v>59396.3389289428</v>
      </c>
      <c r="O47" s="38">
        <f>((($AO47+$AP47)/2*$AI47+$AJ47)*(1+$AQ47)*(1+$AR47)+(($AT47+$AU47)/2*IF($G$1="鸣金",$AK47,$AI47)+IF($G$1="鸣金",$AL47*1.5,0))*(1+$AV47)*(1+$AW47)+(($AX47+$AY47)/2*IF($G$1="裂石",$AK47,$AI47)+IF($G$1="裂石",$AL47*1.5,0))*(1+$AZ47)*(1+$BA47)+(($BB47+$BC47)/2*IF($G$1="牵丝",$AK47,$AI47)+IF($G$1="牵丝",$AL47*1.5,0))*(1+$BD47)*(1+$BE47)+(($BF47+$BG47)/2*IF($G$1="破竹",$AK47,$AI47)+IF($G$1="破竹",$AL47*1.5,0))*(1+$BH47)*(1+$BI47))*(1+$AM47)*$Q47*(1+IF(VLOOKUP($R47,武学奇术!$A:$ZZ,30,FALSE)="回旋伞",$B$21,0))*(1+$BR47)</f>
        <v>39233.4991072808</v>
      </c>
      <c r="P47" s="38">
        <f>((($AO47*$AI47+$AJ47)*(1+$AQ47)*(1+$AR47)+($AT47*IF($G$1="鸣金",$AK47,$AI47)+IF($G$1="鸣金",$AL47*1.5,0))*(1+$AV47)*(1+$AW47)+($AX47*IF($G$1="裂石",$AK47,$AI47)+IF($G$1="裂石",$AL47*1.5,0))*(1+$AZ47)*(1+$BA47)+($BB47*IF($G$1="牵丝",$AK47,$AI47)+IF($G$1="牵丝",$AL47*1.5,0))*(1+$BD47)*(1+$BE47)+($BF47*IF($G$1="破竹",$AK47,$AI47)+IF($G$1="破竹",$AL47*1.5,0))*(1+$BH47)*(1+$BI47))*(1+$AM47))*$Q47*(1+IF(VLOOKUP($R47,武学奇术!$A:$ZZ,30,FALSE)="回旋伞",$B$21,0))*(1+$BR47)</f>
        <v>34469.7101190484</v>
      </c>
      <c r="Q47" s="39">
        <v>1</v>
      </c>
      <c r="R47" s="40" t="s">
        <v>108</v>
      </c>
      <c r="S47" s="40" t="s">
        <v>109</v>
      </c>
      <c r="T47" s="40" t="s">
        <v>95</v>
      </c>
      <c r="U47" s="40" t="s">
        <v>73</v>
      </c>
      <c r="V47" s="40" t="s">
        <v>72</v>
      </c>
      <c r="W47" s="40" t="s">
        <v>169</v>
      </c>
      <c r="X47" s="40" t="s">
        <v>99</v>
      </c>
      <c r="Y47" s="40" t="s">
        <v>84</v>
      </c>
      <c r="Z47" s="40" t="s">
        <v>72</v>
      </c>
      <c r="AA47" s="40" t="s">
        <v>72</v>
      </c>
      <c r="AB47" s="40" t="s">
        <v>126</v>
      </c>
      <c r="AC47" s="40" t="s">
        <v>91</v>
      </c>
      <c r="AD47" s="40" t="s">
        <v>72</v>
      </c>
      <c r="AE47" s="40" t="s">
        <v>72</v>
      </c>
      <c r="AF47" s="40" t="s">
        <v>77</v>
      </c>
      <c r="AG47" s="40" t="s">
        <v>78</v>
      </c>
      <c r="AH47" t="str">
        <f>VLOOKUP($R47,武学奇术!$A:$ZZ,25,FALSE)</f>
        <v>伞</v>
      </c>
      <c r="AI47" s="26">
        <f>VLOOKUP($R47,武学奇术!$A:$ZZ,26,FALSE)</f>
        <v>1.8084</v>
      </c>
      <c r="AJ47" s="27">
        <f>VLOOKUP($R47,武学奇术!$A:$ZZ,27,FALSE)*(1+IF(OR($AH47=$F$4,$AH47=$F$5),$B$22,0))</f>
        <v>750</v>
      </c>
      <c r="AK47" s="26">
        <f>VLOOKUP($R47,武学奇术!$A:$ZZ,28,FALSE)</f>
        <v>2.7126</v>
      </c>
      <c r="AL47" s="27">
        <f>VLOOKUP($R47,武学奇术!$A:$ZZ,29,FALSE)*(1+IF(OR($AH47=$F$4,$AH47=$F$5),$B$22,0))</f>
        <v>408</v>
      </c>
      <c r="AM47" s="26" cm="1">
        <f t="array" ref="AM47">$G$3+IFERROR(VLOOKUP($AH47,$F$4:$G$7,2,FALSE),0)+VLOOKUP($R47,武学奇术!$A:$ZZ,2,FALSE)+SUM(_xlfn.XLOOKUP($S47:$AG47,增益!$A:$A,增益!$B:$B,0))</f>
        <v>0.6541</v>
      </c>
      <c r="AN47" s="26" cm="1">
        <f t="array" ref="AN47">VLOOKUP($R47,武学奇术!$A:$ZZ,5,FALSE)+SUM(_xlfn.XLOOKUP($S47:$AG47,增益!$A:$A,增益!$E:$E,0))</f>
        <v>0</v>
      </c>
      <c r="AO47" cm="1">
        <f t="array" ref="AO47">$D$10*(1+$AN47)+VLOOKUP($R47,武学奇术!$A:$ZZ,3,FALSE)+SUM(_xlfn.XLOOKUP($S47:$AG47,增益!$A:$A,增益!$C:$C,0))-$I$2</f>
        <v>3624.6</v>
      </c>
      <c r="AP47" cm="1">
        <f t="array" ref="AP47">$E$10*(1+$AN47)+VLOOKUP($R47,武学奇术!$A:$ZZ,4,FALSE)+SUM(_xlfn.XLOOKUP($S47:$AG47,增益!$A:$A,增益!$D:$D,0))-$I$2</f>
        <v>3624.6</v>
      </c>
      <c r="AQ47" s="32" cm="1">
        <f t="array" ref="AQ47">IF($F$10-$I$3+VLOOKUP($R47,武学奇术!$A:$ZZ,6,FALSE)+SUM(_xlfn.XLOOKUP(S47:AG47,增益!$A:$A,增益!$F:$F,0))&gt;0,($F$10-$I$3+VLOOKUP($R47,武学奇术!$A:$ZZ,6,FALSE)+SUM(_xlfn.XLOOKUP(S47:AG47,增益!$A:$A,增益!$F:$F,0)))/200,($F$10-$I$3+VLOOKUP($R47,武学奇术!$A:$ZZ,6,FALSE)+SUM(_xlfn.XLOOKUP(S47:AG47,增益!$A:$A,增益!$F:$F,0)))/100)</f>
        <v>0.3425</v>
      </c>
      <c r="AR47" s="32" cm="1">
        <f t="array" ref="AR47">$G$10+VLOOKUP($R47,武学奇术!$A:$ZZ,7,FALSE)+SUM(_xlfn.XLOOKUP(S47:AG47,增益!$A:$A,增益!$G:$G,0))</f>
        <v>0.148</v>
      </c>
      <c r="AS47" s="26" cm="1">
        <f t="array" ref="AS47">VLOOKUP($R47,武学奇术!$A:$ZZ,8,FALSE)+SUM(_xlfn.XLOOKUP(S47:AG47,增益!$A:$A,增益!$H:$H,0))</f>
        <v>0</v>
      </c>
      <c r="AT47">
        <f t="shared" si="19"/>
        <v>0</v>
      </c>
      <c r="AU47">
        <f t="shared" si="20"/>
        <v>0</v>
      </c>
      <c r="AV47" s="32" cm="1">
        <f t="array" ref="AV47">IF($F$11-$I$4+VLOOKUP($R47,武学奇术!$A:$ZZ,9,FALSE)+SUM(_xlfn.XLOOKUP(S47:AG47,增益!$A:$A,增益!$I:$I,0))&gt;0,($F$11-$I$4+VLOOKUP($R47,武学奇术!$A:$ZZ,9,FALSE)+SUM(_xlfn.XLOOKUP(S47:AG47,增益!$A:$A,增益!$I:$I,0)))/200,($F$11-$I$4+VLOOKUP($R47,武学奇术!$A:$ZZ,9,FALSE)+SUM(_xlfn.XLOOKUP(S47:AG47,增益!$A:$A,增益!$I:$I,0)))/100)</f>
        <v>-0.14</v>
      </c>
      <c r="AW47" s="32" cm="1">
        <f t="array" ref="AW47">$G$11+VLOOKUP($R47,武学奇术!$A:$ZZ,10,FALSE)+SUM(_xlfn.XLOOKUP(S47:AG47,增益!$A:$A,增益!$J:$J,0))</f>
        <v>0</v>
      </c>
      <c r="AX47">
        <f t="shared" si="21"/>
        <v>0</v>
      </c>
      <c r="AY47">
        <f t="shared" si="22"/>
        <v>0</v>
      </c>
      <c r="AZ47" s="32" cm="1">
        <f t="array" ref="AZ47">IF($F$12-$I$4+VLOOKUP($R47,武学奇术!$A:$ZZ,11,FALSE)+SUM(_xlfn.XLOOKUP(S47:AG47,增益!$A:$A,增益!$K:$K,0))&gt;0,($F$12-$I$4+VLOOKUP($R47,武学奇术!$A:$ZZ,11,FALSE)+SUM(_xlfn.XLOOKUP(S47:AG47,增益!$A:$A,增益!$K:$K,0)))/200,($F$12-$I$4+VLOOKUP($R47,武学奇术!$A:$ZZ,11,FALSE)+SUM(_xlfn.XLOOKUP(S47:AG47,增益!$A:$A,增益!$K:$K,0)))/100)</f>
        <v>-0.14</v>
      </c>
      <c r="BA47" s="32" cm="1">
        <f t="array" ref="BA47">$G$12+VLOOKUP($R47,武学奇术!$A:$ZZ,12,FALSE)+SUM(_xlfn.XLOOKUP(S47:AG47,增益!$A:$A,增益!$L:$L,0))</f>
        <v>0</v>
      </c>
      <c r="BB47">
        <f t="shared" si="14"/>
        <v>0</v>
      </c>
      <c r="BC47">
        <f t="shared" si="15"/>
        <v>0</v>
      </c>
      <c r="BD47" s="32" cm="1">
        <f t="array" ref="BD47">IF($F$13-$I$4+VLOOKUP($R47,武学奇术!$A:$ZZ,13,FALSE)+SUM(_xlfn.XLOOKUP(S47:AG47,增益!$A:$A,增益!$M:$M,0))&gt;0,($F$13-$I$4+VLOOKUP($R47,武学奇术!$A:$ZZ,13,FALSE)+SUM(_xlfn.XLOOKUP(S47:AG47,增益!$A:$A,增益!$K:$K,0)))/200,($F$13-$I$4+VLOOKUP($R47,武学奇术!$A:$ZZ,13,FALSE)+SUM(_xlfn.XLOOKUP(S47:AG47,增益!$A:$A,增益!$M:$M,0)))/100)</f>
        <v>-0.14</v>
      </c>
      <c r="BE47" s="32" cm="1">
        <f t="array" ref="BE47">$G$13+VLOOKUP($R47,武学奇术!$A:$ZZ,14,FALSE)+SUM(_xlfn.XLOOKUP(S47:AG47,增益!$A:$A,增益!$N:$N,0))</f>
        <v>0</v>
      </c>
      <c r="BF47">
        <f t="shared" si="16"/>
        <v>571.2</v>
      </c>
      <c r="BG47">
        <f t="shared" si="17"/>
        <v>1627.8</v>
      </c>
      <c r="BH47" s="32" cm="1">
        <f t="array" ref="BH47">IF($F$14-$I$4+VLOOKUP($R47,武学奇术!$A:$ZZ,15,FALSE)+SUM(_xlfn.XLOOKUP(S47:AG47,增益!$A:$A,增益!$O:$O,0))&gt;0,($F$14-$I$4+VLOOKUP($R47,武学奇术!$A:$ZZ,15,FALSE)+SUM(_xlfn.XLOOKUP(S47:AG47,增益!$A:$A,增益!$O:$O,0)))/200,($F$14-$I$4+VLOOKUP($R47,武学奇术!$A:$ZZ,15,FALSE)+SUM(_xlfn.XLOOKUP(S47:AG47,增益!$A:$A,增益!$O:$O,0)))/100)</f>
        <v>0.08</v>
      </c>
      <c r="BI47" s="32" cm="1">
        <f t="array" ref="BI47">$G$14+VLOOKUP($R47,武学奇术!$A:$ZZ,16,FALSE)+SUM(_xlfn.XLOOKUP(S47:AG47,增益!$A:$A,增益!$P:$P,0))</f>
        <v>0.27</v>
      </c>
      <c r="BJ47" s="26">
        <f>MIN(IF(VLOOKUP($R47,武学奇术!$A:$ZZ,23,FALSE)=1,100%,$B$8),100%)</f>
        <v>0.981</v>
      </c>
      <c r="BK47" s="26" cm="1">
        <f t="array" ref="BK47">IF(VLOOKUP($R47,武学奇术!$A:$ZZ,23,FALSE)=1,100%,MIN(80%,$B$9+VLOOKUP($R47,武学奇术!$A:$ZZ,17,FALSE)+SUM(_xlfn.XLOOKUP(S47:AG47,增益!$A:$A,增益!$Q:$Q,0)))+$B$11+SUM(_xlfn.XLOOKUP(S47:AG47,增益!$A:$A,增益!$U:$U,0)))*IF(VLOOKUP($R47,武学奇术!$A:$ZZ,24,FALSE)=1,0,1)</f>
        <v>0.846</v>
      </c>
      <c r="BL47" s="26" cm="1">
        <f t="array" ref="BL47">1+$B$13+VLOOKUP($R47,武学奇术!$A:$ZZ,18,FALSE)+SUM(_xlfn.XLOOKUP(S47:AG47,增益!$A:$A,增益!$R:$R,0))</f>
        <v>2.05</v>
      </c>
      <c r="BM47" s="26" cm="1">
        <f t="array" ref="BM47">IF(VLOOKUP($R47,武学奇术!$A:$ZZ,24,FALSE)=1,100%,MIN(40%,$B$10+VLOOKUP($R47,武学奇术!$A:$ZZ,19,FALSE)+SUM(_xlfn.XLOOKUP(S47:AG47,增益!$A:$A,增益!$S:$S,0)))+$B$12+SUM(_xlfn.XLOOKUP(S47:AG47,增益!$A:$A,增益!$V:$V,0)))*IF(VLOOKUP($R47,武学奇术!$A:$ZZ,23,FALSE)=1,0,1)</f>
        <v>0.0929</v>
      </c>
      <c r="BN47" s="26" cm="1">
        <f t="array" ref="BN47">1+$B$14+VLOOKUP($R47,武学奇术!$A:$ZZ,20,FALSE)+SUM(_xlfn.XLOOKUP(S47:AG47,增益!$A:$A,增益!$T:$T,0))</f>
        <v>1.35</v>
      </c>
      <c r="BO47" s="26">
        <f t="shared" si="12"/>
        <v>0.829926</v>
      </c>
      <c r="BP47" s="26">
        <f t="shared" si="18"/>
        <v>0.0599391</v>
      </c>
      <c r="BQ47" s="26">
        <f>IF(VLOOKUP($R47,武学奇术!$A:$ZZ,22,FALSE)=1,0,(1-$BJ47))*(1-$BM47)</f>
        <v>0.0172349</v>
      </c>
      <c r="BR47" s="26" cm="1">
        <f t="array" ref="BR47">SUM(_xlfn.XLOOKUP(S47:AG47,增益!$A:$A,增益!$W:$W,0))+$I$5</f>
        <v>0.11</v>
      </c>
    </row>
    <row r="48" spans="1:70">
      <c r="A48" s="4" t="s">
        <v>170</v>
      </c>
      <c r="B48" s="4">
        <v>1.3</v>
      </c>
      <c r="C48" s="39"/>
      <c r="K48">
        <f>$L48*VLOOKUP($R48,武学奇术!$A:$ZZ,31,FALSE)</f>
        <v>46395.5049811407</v>
      </c>
      <c r="L48" s="38">
        <f t="shared" si="13"/>
        <v>44186.195220134</v>
      </c>
      <c r="M48" s="38">
        <f>((($AO48+$AP48)/2*$AI48+$AJ48)*(1+$AQ48)*(1+$AR48)+(($AT48+$AU48)/2*IF($G$1="鸣金",$AK48,$AI48)+IF($G$1="鸣金",$AL48*1.5,0))*(1+$AV48)*(1+$AW48)+(($AX48+$AY48)/2*IF($G$1="裂石",$AK48,$AI48)+IF($G$1="裂石",$AL48*1.5,0))*(1+$AZ48)*(1+$BA48)+(($BB48+$BC48)/2*IF($G$1="牵丝",$AK48,$AI48)+IF($G$1="牵丝",$AL48*1.5,0))*(1+$BD48)*(1+$BE48)+(($BF48+$BG48)/2*IF($G$1="破竹",$AK48,$AI48)+IF($G$1="破竹",$AL48*1.5,0))*(1+$BH48)*(1+$BI48))*(1+$AM48)*$BL48*$Q48*(1+IF(VLOOKUP($R48,武学奇术!$A:$ZZ,30,FALSE)="回旋伞",$B$21,0))*(1+$BR48)</f>
        <v>47204.5378862519</v>
      </c>
      <c r="N48" s="38">
        <f>(($AP48*$AI48+$AJ48)*(1+$AQ48)*(1+$AR48)+($AU48*IF($G$1="鸣金",$AK48,$AI48)+IF($G$1="鸣金",$AL48*1.5,0))*(1+$AV48)*(1+$AW48)+($AY48*IF($G$1="裂石",$AK48,$AI48)+IF($G$1="裂石",$AL48*1.5,0))*(1+$AZ48)*(1+$BA48)+($BC48*IF($G$1="牵丝",$AK48,$AI48)+IF($G$1="牵丝",$AL48*1.5,0))*(1+$BD48)*(1+$BE48)+($BG48*IF($G$1="破竹",$AK48,$AI48)+IF($G$1="破竹",$AL48*1.5,0))*(1+$BH48)*(1+$BI48))*(1+$AM48)*$BN48*$Q48*(1+IF(VLOOKUP($R48,武学奇术!$A:$ZZ,30,FALSE)="回旋伞",$B$21,0))*(1+$BR48)</f>
        <v>35391.0517744919</v>
      </c>
      <c r="O48" s="38">
        <f>((($AO48+$AP48)/2*$AI48+$AJ48)*(1+$AQ48)*(1+$AR48)+(($AT48+$AU48)/2*IF($G$1="鸣金",$AK48,$AI48)+IF($G$1="鸣金",$AL48*1.5,0))*(1+$AV48)*(1+$AW48)+(($AX48+$AY48)/2*IF($G$1="裂石",$AK48,$AI48)+IF($G$1="裂石",$AL48*1.5,0))*(1+$AZ48)*(1+$BA48)+(($BB48+$BC48)/2*IF($G$1="牵丝",$AK48,$AI48)+IF($G$1="牵丝",$AL48*1.5,0))*(1+$BD48)*(1+$BE48)+(($BF48+$BG48)/2*IF($G$1="破竹",$AK48,$AI48)+IF($G$1="破竹",$AL48*1.5,0))*(1+$BH48)*(1+$BI48))*(1+$AM48)*$Q48*(1+IF(VLOOKUP($R48,武学奇术!$A:$ZZ,30,FALSE)="回旋伞",$B$21,0))*(1+$BR48)</f>
        <v>23026.6038469521</v>
      </c>
      <c r="P48" s="38">
        <f>((($AO48*$AI48+$AJ48)*(1+$AQ48)*(1+$AR48)+($AT48*IF($G$1="鸣金",$AK48,$AI48)+IF($G$1="鸣金",$AL48*1.5,0))*(1+$AV48)*(1+$AW48)+($AX48*IF($G$1="裂石",$AK48,$AI48)+IF($G$1="裂石",$AL48*1.5,0))*(1+$AZ48)*(1+$BA48)+($BB48*IF($G$1="牵丝",$AK48,$AI48)+IF($G$1="牵丝",$AL48*1.5,0))*(1+$BD48)*(1+$BE48)+($BF48*IF($G$1="破竹",$AK48,$AI48)+IF($G$1="破竹",$AL48*1.5,0))*(1+$BH48)*(1+$BI48))*(1+$AM48))*$Q48*(1+IF(VLOOKUP($R48,武学奇术!$A:$ZZ,30,FALSE)="回旋伞",$B$21,0))*(1+$BR48)</f>
        <v>19837.6137868732</v>
      </c>
      <c r="Q48" s="39">
        <v>2</v>
      </c>
      <c r="R48" s="40" t="s">
        <v>112</v>
      </c>
      <c r="S48" s="40" t="s">
        <v>109</v>
      </c>
      <c r="T48" s="40" t="s">
        <v>95</v>
      </c>
      <c r="U48" s="40" t="s">
        <v>73</v>
      </c>
      <c r="V48" s="40" t="s">
        <v>72</v>
      </c>
      <c r="W48" s="40" t="s">
        <v>169</v>
      </c>
      <c r="X48" s="40" t="s">
        <v>99</v>
      </c>
      <c r="Y48" s="40" t="s">
        <v>84</v>
      </c>
      <c r="Z48" s="40" t="s">
        <v>72</v>
      </c>
      <c r="AA48" s="40" t="s">
        <v>72</v>
      </c>
      <c r="AB48" s="40" t="s">
        <v>126</v>
      </c>
      <c r="AC48" s="40" t="s">
        <v>91</v>
      </c>
      <c r="AD48" s="40" t="s">
        <v>72</v>
      </c>
      <c r="AE48" s="40" t="s">
        <v>72</v>
      </c>
      <c r="AF48" s="40" t="s">
        <v>77</v>
      </c>
      <c r="AG48" s="40" t="s">
        <v>78</v>
      </c>
      <c r="AH48" t="str">
        <f>VLOOKUP($R48,武学奇术!$A:$ZZ,25,FALSE)</f>
        <v>伞</v>
      </c>
      <c r="AI48" s="26">
        <f>VLOOKUP($R48,武学奇术!$A:$ZZ,26,FALSE)</f>
        <v>0.54</v>
      </c>
      <c r="AJ48" s="27">
        <f>VLOOKUP($R48,武学奇术!$A:$ZZ,27,FALSE)*(1+IF(OR($AH48=$F$4,$AH48=$F$5),$B$22,0))</f>
        <v>0</v>
      </c>
      <c r="AK48" s="26">
        <f>VLOOKUP($R48,武学奇术!$A:$ZZ,28,FALSE)</f>
        <v>0.81</v>
      </c>
      <c r="AL48" s="27">
        <f>VLOOKUP($R48,武学奇术!$A:$ZZ,29,FALSE)*(1+IF(OR($AH48=$F$4,$AH48=$F$5),$B$22,0))</f>
        <v>0</v>
      </c>
      <c r="AM48" s="26" cm="1">
        <f t="array" ref="AM48">$G$3+IFERROR(VLOOKUP($AH48,$F$4:$G$7,2,FALSE),0)+VLOOKUP($R48,武学奇术!$A:$ZZ,2,FALSE)+SUM(_xlfn.XLOOKUP($S48:$AG48,增益!$A:$A,增益!$B:$B,0))</f>
        <v>0.8541</v>
      </c>
      <c r="AN48" s="26" cm="1">
        <f t="array" ref="AN48">VLOOKUP($R48,武学奇术!$A:$ZZ,5,FALSE)+SUM(_xlfn.XLOOKUP($S48:$AG48,增益!$A:$A,增益!$E:$E,0))</f>
        <v>0</v>
      </c>
      <c r="AO48" cm="1">
        <f t="array" ref="AO48">$D$10*(1+$AN48)+VLOOKUP($R48,武学奇术!$A:$ZZ,3,FALSE)+SUM(_xlfn.XLOOKUP($S48:$AG48,增益!$A:$A,增益!$C:$C,0))-$I$2</f>
        <v>3624.6</v>
      </c>
      <c r="AP48" cm="1">
        <f t="array" ref="AP48">$E$10*(1+$AN48)+VLOOKUP($R48,武学奇术!$A:$ZZ,4,FALSE)+SUM(_xlfn.XLOOKUP($S48:$AG48,增益!$A:$A,增益!$D:$D,0))-$I$2</f>
        <v>3624.6</v>
      </c>
      <c r="AQ48" s="32" cm="1">
        <f t="array" ref="AQ48">IF($F$10-$I$3+VLOOKUP($R48,武学奇术!$A:$ZZ,6,FALSE)+SUM(_xlfn.XLOOKUP(S48:AG48,增益!$A:$A,增益!$F:$F,0))&gt;0,($F$10-$I$3+VLOOKUP($R48,武学奇术!$A:$ZZ,6,FALSE)+SUM(_xlfn.XLOOKUP(S48:AG48,增益!$A:$A,增益!$F:$F,0)))/200,($F$10-$I$3+VLOOKUP($R48,武学奇术!$A:$ZZ,6,FALSE)+SUM(_xlfn.XLOOKUP(S48:AG48,增益!$A:$A,增益!$F:$F,0)))/100)</f>
        <v>0.3425</v>
      </c>
      <c r="AR48" s="32" cm="1">
        <f t="array" ref="AR48">$G$10+VLOOKUP($R48,武学奇术!$A:$ZZ,7,FALSE)+SUM(_xlfn.XLOOKUP(S48:AG48,增益!$A:$A,增益!$G:$G,0))</f>
        <v>0.148</v>
      </c>
      <c r="AS48" s="26" cm="1">
        <f t="array" ref="AS48">VLOOKUP($R48,武学奇术!$A:$ZZ,8,FALSE)+SUM(_xlfn.XLOOKUP(S48:AG48,增益!$A:$A,增益!$H:$H,0))</f>
        <v>0</v>
      </c>
      <c r="AT48">
        <f t="shared" si="19"/>
        <v>0</v>
      </c>
      <c r="AU48">
        <f t="shared" si="20"/>
        <v>0</v>
      </c>
      <c r="AV48" s="32" cm="1">
        <f t="array" ref="AV48">IF($F$11-$I$4+VLOOKUP($R48,武学奇术!$A:$ZZ,9,FALSE)+SUM(_xlfn.XLOOKUP(S48:AG48,增益!$A:$A,增益!$I:$I,0))&gt;0,($F$11-$I$4+VLOOKUP($R48,武学奇术!$A:$ZZ,9,FALSE)+SUM(_xlfn.XLOOKUP(S48:AG48,增益!$A:$A,增益!$I:$I,0)))/200,($F$11-$I$4+VLOOKUP($R48,武学奇术!$A:$ZZ,9,FALSE)+SUM(_xlfn.XLOOKUP(S48:AG48,增益!$A:$A,增益!$I:$I,0)))/100)</f>
        <v>-0.14</v>
      </c>
      <c r="AW48" s="32" cm="1">
        <f t="array" ref="AW48">$G$11+VLOOKUP($R48,武学奇术!$A:$ZZ,10,FALSE)+SUM(_xlfn.XLOOKUP(S48:AG48,增益!$A:$A,增益!$J:$J,0))</f>
        <v>0</v>
      </c>
      <c r="AX48">
        <f t="shared" si="21"/>
        <v>0</v>
      </c>
      <c r="AY48">
        <f t="shared" si="22"/>
        <v>0</v>
      </c>
      <c r="AZ48" s="32" cm="1">
        <f t="array" ref="AZ48">IF($F$12-$I$4+VLOOKUP($R48,武学奇术!$A:$ZZ,11,FALSE)+SUM(_xlfn.XLOOKUP(S48:AG48,增益!$A:$A,增益!$K:$K,0))&gt;0,($F$12-$I$4+VLOOKUP($R48,武学奇术!$A:$ZZ,11,FALSE)+SUM(_xlfn.XLOOKUP(S48:AG48,增益!$A:$A,增益!$K:$K,0)))/200,($F$12-$I$4+VLOOKUP($R48,武学奇术!$A:$ZZ,11,FALSE)+SUM(_xlfn.XLOOKUP(S48:AG48,增益!$A:$A,增益!$K:$K,0)))/100)</f>
        <v>-0.14</v>
      </c>
      <c r="BA48" s="32" cm="1">
        <f t="array" ref="BA48">$G$12+VLOOKUP($R48,武学奇术!$A:$ZZ,12,FALSE)+SUM(_xlfn.XLOOKUP(S48:AG48,增益!$A:$A,增益!$L:$L,0))</f>
        <v>0</v>
      </c>
      <c r="BB48">
        <f t="shared" si="14"/>
        <v>0</v>
      </c>
      <c r="BC48">
        <f t="shared" si="15"/>
        <v>0</v>
      </c>
      <c r="BD48" s="32" cm="1">
        <f t="array" ref="BD48">IF($F$13-$I$4+VLOOKUP($R48,武学奇术!$A:$ZZ,13,FALSE)+SUM(_xlfn.XLOOKUP(S48:AG48,增益!$A:$A,增益!$M:$M,0))&gt;0,($F$13-$I$4+VLOOKUP($R48,武学奇术!$A:$ZZ,13,FALSE)+SUM(_xlfn.XLOOKUP(S48:AG48,增益!$A:$A,增益!$K:$K,0)))/200,($F$13-$I$4+VLOOKUP($R48,武学奇术!$A:$ZZ,13,FALSE)+SUM(_xlfn.XLOOKUP(S48:AG48,增益!$A:$A,增益!$M:$M,0)))/100)</f>
        <v>-0.14</v>
      </c>
      <c r="BE48" s="32" cm="1">
        <f t="array" ref="BE48">$G$13+VLOOKUP($R48,武学奇术!$A:$ZZ,14,FALSE)+SUM(_xlfn.XLOOKUP(S48:AG48,增益!$A:$A,增益!$N:$N,0))</f>
        <v>0</v>
      </c>
      <c r="BF48">
        <f t="shared" si="16"/>
        <v>571.2</v>
      </c>
      <c r="BG48">
        <f t="shared" si="17"/>
        <v>1627.8</v>
      </c>
      <c r="BH48" s="32" cm="1">
        <f t="array" ref="BH48">IF($F$14-$I$4+VLOOKUP($R48,武学奇术!$A:$ZZ,15,FALSE)+SUM(_xlfn.XLOOKUP(S48:AG48,增益!$A:$A,增益!$O:$O,0))&gt;0,($F$14-$I$4+VLOOKUP($R48,武学奇术!$A:$ZZ,15,FALSE)+SUM(_xlfn.XLOOKUP(S48:AG48,增益!$A:$A,增益!$O:$O,0)))/200,($F$14-$I$4+VLOOKUP($R48,武学奇术!$A:$ZZ,15,FALSE)+SUM(_xlfn.XLOOKUP(S48:AG48,增益!$A:$A,增益!$O:$O,0)))/100)</f>
        <v>0.08</v>
      </c>
      <c r="BI48" s="32" cm="1">
        <f t="array" ref="BI48">$G$14+VLOOKUP($R48,武学奇术!$A:$ZZ,16,FALSE)+SUM(_xlfn.XLOOKUP(S48:AG48,增益!$A:$A,增益!$P:$P,0))</f>
        <v>0.27</v>
      </c>
      <c r="BJ48" s="26">
        <f>MIN(IF(VLOOKUP($R48,武学奇术!$A:$ZZ,23,FALSE)=1,100%,$B$8),100%)</f>
        <v>0.981</v>
      </c>
      <c r="BK48" s="26" cm="1">
        <f t="array" ref="BK48">IF(VLOOKUP($R48,武学奇术!$A:$ZZ,23,FALSE)=1,100%,MIN(80%,$B$9+VLOOKUP($R48,武学奇术!$A:$ZZ,17,FALSE)+SUM(_xlfn.XLOOKUP(S48:AG48,增益!$A:$A,增益!$Q:$Q,0)))+$B$11+SUM(_xlfn.XLOOKUP(S48:AG48,增益!$A:$A,增益!$U:$U,0)))*IF(VLOOKUP($R48,武学奇术!$A:$ZZ,24,FALSE)=1,0,1)</f>
        <v>0.846</v>
      </c>
      <c r="BL48" s="26" cm="1">
        <f t="array" ref="BL48">1+$B$13+VLOOKUP($R48,武学奇术!$A:$ZZ,18,FALSE)+SUM(_xlfn.XLOOKUP(S48:AG48,增益!$A:$A,增益!$R:$R,0))</f>
        <v>2.05</v>
      </c>
      <c r="BM48" s="26" cm="1">
        <f t="array" ref="BM48">IF(VLOOKUP($R48,武学奇术!$A:$ZZ,24,FALSE)=1,100%,MIN(40%,$B$10+VLOOKUP($R48,武学奇术!$A:$ZZ,19,FALSE)+SUM(_xlfn.XLOOKUP(S48:AG48,增益!$A:$A,增益!$S:$S,0)))+$B$12+SUM(_xlfn.XLOOKUP(S48:AG48,增益!$A:$A,增益!$V:$V,0)))*IF(VLOOKUP($R48,武学奇术!$A:$ZZ,23,FALSE)=1,0,1)</f>
        <v>0.0929</v>
      </c>
      <c r="BN48" s="26" cm="1">
        <f t="array" ref="BN48">1+$B$14+VLOOKUP($R48,武学奇术!$A:$ZZ,20,FALSE)+SUM(_xlfn.XLOOKUP(S48:AG48,增益!$A:$A,增益!$T:$T,0))</f>
        <v>1.35</v>
      </c>
      <c r="BO48" s="26">
        <f t="shared" si="12"/>
        <v>0.829926</v>
      </c>
      <c r="BP48" s="26">
        <f t="shared" si="18"/>
        <v>0.0599391</v>
      </c>
      <c r="BQ48" s="26">
        <f>IF(VLOOKUP($R48,武学奇术!$A:$ZZ,22,FALSE)=1,0,(1-$BJ48))*(1-$BM48)</f>
        <v>0.0172349</v>
      </c>
      <c r="BR48" s="26" cm="1">
        <f t="array" ref="BR48">SUM(_xlfn.XLOOKUP(S48:AG48,增益!$A:$A,增益!$W:$W,0))+$I$5</f>
        <v>0.11</v>
      </c>
    </row>
    <row r="49" spans="1:70">
      <c r="A49" s="4" t="s">
        <v>171</v>
      </c>
      <c r="B49" s="87">
        <v>0.1</v>
      </c>
      <c r="F49" s="4"/>
      <c r="G49" s="87"/>
      <c r="K49">
        <f>$L49*VLOOKUP($R49,武学奇术!$A:$ZZ,31,FALSE)</f>
        <v>79316.0324657353</v>
      </c>
      <c r="L49" s="38">
        <f>($M49*$BO49+$N49*$BM49+$O49*$BP49+$P49*$BQ49)</f>
        <v>75539.0785387956</v>
      </c>
      <c r="M49" s="38">
        <f>((($AO49+$AP49)/2*$AI49+$AJ49)*(1+$AQ49)*(1+$AR49)+(($AT49+$AU49)/2*IF($G$1="鸣金",$AK49,$AI49)+IF($G$1="鸣金",$AL49*1.5,0))*(1+$AV49)*(1+$AW49)+(($AX49+$AY49)/2*IF($G$1="裂石",$AK49,$AI49)+IF($G$1="裂石",$AL49*1.5,0))*(1+$AZ49)*(1+$BA49)+(($BB49+$BC49)/2*IF($G$1="牵丝",$AK49,$AI49)+IF($G$1="牵丝",$AL49*1.5,0))*(1+$BD49)*(1+$BE49)+(($BF49+$BG49)/2*IF($G$1="破竹",$AK49,$AI49)+IF($G$1="破竹",$AL49*1.5,0))*(1+$BH49)*(1+$BI49))*(1+$AM49)*$BL49*$Q49*(1+IF(VLOOKUP($R49,武学奇术!$A:$ZZ,30,FALSE)="回旋伞",$B$21,0))*(1+$BR49)</f>
        <v>80821.0081609984</v>
      </c>
      <c r="N49" s="38">
        <f>(($AP49*$AI49+$AJ49)*(1+$AQ49)*(1+$AR49)+($AU49*IF($G$1="鸣金",$AK49,$AI49)+IF($G$1="鸣金",$AL49*1.5,0))*(1+$AV49)*(1+$AW49)+($AY49*IF($G$1="裂石",$AK49,$AI49)+IF($G$1="裂石",$AL49*1.5,0))*(1+$AZ49)*(1+$BA49)+($BC49*IF($G$1="牵丝",$AK49,$AI49)+IF($G$1="牵丝",$AL49*1.5,0))*(1+$BD49)*(1+$BE49)+($BG49*IF($G$1="破竹",$AK49,$AI49)+IF($G$1="破竹",$AL49*1.5,0))*(1+$BH49)*(1+$BI49))*(1+$AM49)*$BN49*$Q49*(1+IF(VLOOKUP($R49,武学奇术!$A:$ZZ,30,FALSE)="回旋伞",$B$21,0))*(1+$BR49)</f>
        <v>59396.3389289428</v>
      </c>
      <c r="O49" s="38">
        <f>((($AO49+$AP49)/2*$AI49+$AJ49)*(1+$AQ49)*(1+$AR49)+(($AT49+$AU49)/2*IF($G$1="鸣金",$AK49,$AI49)+IF($G$1="鸣金",$AL49*1.5,0))*(1+$AV49)*(1+$AW49)+(($AX49+$AY49)/2*IF($G$1="裂石",$AK49,$AI49)+IF($G$1="裂石",$AL49*1.5,0))*(1+$AZ49)*(1+$BA49)+(($BB49+$BC49)/2*IF($G$1="牵丝",$AK49,$AI49)+IF($G$1="牵丝",$AL49*1.5,0))*(1+$BD49)*(1+$BE49)+(($BF49+$BG49)/2*IF($G$1="破竹",$AK49,$AI49)+IF($G$1="破竹",$AL49*1.5,0))*(1+$BH49)*(1+$BI49))*(1+$AM49)*$Q49*(1+IF(VLOOKUP($R49,武学奇术!$A:$ZZ,30,FALSE)="回旋伞",$B$21,0))*(1+$BR49)</f>
        <v>39233.4991072808</v>
      </c>
      <c r="P49" s="38">
        <f>((($AO49*$AI49+$AJ49)*(1+$AQ49)*(1+$AR49)+($AT49*IF($G$1="鸣金",$AK49,$AI49)+IF($G$1="鸣金",$AL49*1.5,0))*(1+$AV49)*(1+$AW49)+($AX49*IF($G$1="裂石",$AK49,$AI49)+IF($G$1="裂石",$AL49*1.5,0))*(1+$AZ49)*(1+$BA49)+($BB49*IF($G$1="牵丝",$AK49,$AI49)+IF($G$1="牵丝",$AL49*1.5,0))*(1+$BD49)*(1+$BE49)+($BF49*IF($G$1="破竹",$AK49,$AI49)+IF($G$1="破竹",$AL49*1.5,0))*(1+$BH49)*(1+$BI49))*(1+$AM49))*$Q49*(1+IF(VLOOKUP($R49,武学奇术!$A:$ZZ,30,FALSE)="回旋伞",$B$21,0))*(1+$BR49)</f>
        <v>34469.7101190484</v>
      </c>
      <c r="Q49" s="39">
        <v>1</v>
      </c>
      <c r="R49" s="40" t="s">
        <v>108</v>
      </c>
      <c r="S49" s="40" t="s">
        <v>109</v>
      </c>
      <c r="T49" s="40" t="s">
        <v>95</v>
      </c>
      <c r="U49" s="40" t="s">
        <v>73</v>
      </c>
      <c r="V49" s="40" t="s">
        <v>72</v>
      </c>
      <c r="W49" s="40" t="s">
        <v>172</v>
      </c>
      <c r="X49" s="40" t="s">
        <v>99</v>
      </c>
      <c r="Y49" s="40" t="s">
        <v>84</v>
      </c>
      <c r="Z49" s="40" t="s">
        <v>72</v>
      </c>
      <c r="AA49" s="40" t="s">
        <v>72</v>
      </c>
      <c r="AB49" s="40" t="s">
        <v>126</v>
      </c>
      <c r="AC49" s="40" t="s">
        <v>91</v>
      </c>
      <c r="AD49" s="40" t="s">
        <v>72</v>
      </c>
      <c r="AE49" s="40" t="s">
        <v>72</v>
      </c>
      <c r="AF49" s="40" t="s">
        <v>77</v>
      </c>
      <c r="AG49" s="40" t="s">
        <v>78</v>
      </c>
      <c r="AH49" t="str">
        <f>VLOOKUP($R49,武学奇术!$A:$ZZ,25,FALSE)</f>
        <v>伞</v>
      </c>
      <c r="AI49" s="26">
        <f>VLOOKUP($R49,武学奇术!$A:$ZZ,26,FALSE)</f>
        <v>1.8084</v>
      </c>
      <c r="AJ49" s="27">
        <f>VLOOKUP($R49,武学奇术!$A:$ZZ,27,FALSE)*(1+IF(OR($AH49=$F$4,$AH49=$F$5),$B$22,0))</f>
        <v>750</v>
      </c>
      <c r="AK49" s="26">
        <f>VLOOKUP($R49,武学奇术!$A:$ZZ,28,FALSE)</f>
        <v>2.7126</v>
      </c>
      <c r="AL49" s="27">
        <f>VLOOKUP($R49,武学奇术!$A:$ZZ,29,FALSE)*(1+IF(OR($AH49=$F$4,$AH49=$F$5),$B$22,0))</f>
        <v>408</v>
      </c>
      <c r="AM49" s="26" cm="1">
        <f t="array" ref="AM49">$G$3+IFERROR(VLOOKUP($AH49,$F$4:$G$7,2,FALSE),0)+VLOOKUP($R49,武学奇术!$A:$ZZ,2,FALSE)+SUM(_xlfn.XLOOKUP($S49:$AG49,增益!$A:$A,增益!$B:$B,0))</f>
        <v>0.6541</v>
      </c>
      <c r="AN49" s="26" cm="1">
        <f t="array" ref="AN49">VLOOKUP($R49,武学奇术!$A:$ZZ,5,FALSE)+SUM(_xlfn.XLOOKUP($S49:$AG49,增益!$A:$A,增益!$E:$E,0))</f>
        <v>0</v>
      </c>
      <c r="AO49" cm="1">
        <f t="array" ref="AO49">$D$10*(1+$AN49)+VLOOKUP($R49,武学奇术!$A:$ZZ,3,FALSE)+SUM(_xlfn.XLOOKUP($S49:$AG49,增益!$A:$A,增益!$C:$C,0))-$I$2</f>
        <v>3624.6</v>
      </c>
      <c r="AP49" cm="1">
        <f t="array" ref="AP49">$E$10*(1+$AN49)+VLOOKUP($R49,武学奇术!$A:$ZZ,4,FALSE)+SUM(_xlfn.XLOOKUP($S49:$AG49,增益!$A:$A,增益!$D:$D,0))-$I$2</f>
        <v>3624.6</v>
      </c>
      <c r="AQ49" s="32" cm="1">
        <f t="array" ref="AQ49">IF($F$10-$I$3+VLOOKUP($R49,武学奇术!$A:$ZZ,6,FALSE)+SUM(_xlfn.XLOOKUP(S49:AG49,增益!$A:$A,增益!$F:$F,0))&gt;0,($F$10-$I$3+VLOOKUP($R49,武学奇术!$A:$ZZ,6,FALSE)+SUM(_xlfn.XLOOKUP(S49:AG49,增益!$A:$A,增益!$F:$F,0)))/200,($F$10-$I$3+VLOOKUP($R49,武学奇术!$A:$ZZ,6,FALSE)+SUM(_xlfn.XLOOKUP(S49:AG49,增益!$A:$A,增益!$F:$F,0)))/100)</f>
        <v>0.3425</v>
      </c>
      <c r="AR49" s="32" cm="1">
        <f t="array" ref="AR49">$G$10+VLOOKUP($R49,武学奇术!$A:$ZZ,7,FALSE)+SUM(_xlfn.XLOOKUP(S49:AG49,增益!$A:$A,增益!$G:$G,0))</f>
        <v>0.148</v>
      </c>
      <c r="AS49" s="26" cm="1">
        <f t="array" ref="AS49">VLOOKUP($R49,武学奇术!$A:$ZZ,8,FALSE)+SUM(_xlfn.XLOOKUP(S49:AG49,增益!$A:$A,增益!$H:$H,0))</f>
        <v>0</v>
      </c>
      <c r="AT49">
        <f t="shared" si="19"/>
        <v>0</v>
      </c>
      <c r="AU49">
        <f t="shared" si="20"/>
        <v>0</v>
      </c>
      <c r="AV49" s="32" cm="1">
        <f t="array" ref="AV49">IF($F$11-$I$4+VLOOKUP($R49,武学奇术!$A:$ZZ,9,FALSE)+SUM(_xlfn.XLOOKUP(S49:AG49,增益!$A:$A,增益!$I:$I,0))&gt;0,($F$11-$I$4+VLOOKUP($R49,武学奇术!$A:$ZZ,9,FALSE)+SUM(_xlfn.XLOOKUP(S49:AG49,增益!$A:$A,增益!$I:$I,0)))/200,($F$11-$I$4+VLOOKUP($R49,武学奇术!$A:$ZZ,9,FALSE)+SUM(_xlfn.XLOOKUP(S49:AG49,增益!$A:$A,增益!$I:$I,0)))/100)</f>
        <v>-0.14</v>
      </c>
      <c r="AW49" s="32" cm="1">
        <f t="array" ref="AW49">$G$11+VLOOKUP($R49,武学奇术!$A:$ZZ,10,FALSE)+SUM(_xlfn.XLOOKUP(S49:AG49,增益!$A:$A,增益!$J:$J,0))</f>
        <v>0</v>
      </c>
      <c r="AX49">
        <f t="shared" si="21"/>
        <v>0</v>
      </c>
      <c r="AY49">
        <f t="shared" si="22"/>
        <v>0</v>
      </c>
      <c r="AZ49" s="32" cm="1">
        <f t="array" ref="AZ49">IF($F$12-$I$4+VLOOKUP($R49,武学奇术!$A:$ZZ,11,FALSE)+SUM(_xlfn.XLOOKUP(S49:AG49,增益!$A:$A,增益!$K:$K,0))&gt;0,($F$12-$I$4+VLOOKUP($R49,武学奇术!$A:$ZZ,11,FALSE)+SUM(_xlfn.XLOOKUP(S49:AG49,增益!$A:$A,增益!$K:$K,0)))/200,($F$12-$I$4+VLOOKUP($R49,武学奇术!$A:$ZZ,11,FALSE)+SUM(_xlfn.XLOOKUP(S49:AG49,增益!$A:$A,增益!$K:$K,0)))/100)</f>
        <v>-0.14</v>
      </c>
      <c r="BA49" s="32" cm="1">
        <f t="array" ref="BA49">$G$12+VLOOKUP($R49,武学奇术!$A:$ZZ,12,FALSE)+SUM(_xlfn.XLOOKUP(S49:AG49,增益!$A:$A,增益!$L:$L,0))</f>
        <v>0</v>
      </c>
      <c r="BB49">
        <f t="shared" si="14"/>
        <v>0</v>
      </c>
      <c r="BC49">
        <f t="shared" si="15"/>
        <v>0</v>
      </c>
      <c r="BD49" s="32" cm="1">
        <f t="array" ref="BD49">IF($F$13-$I$4+VLOOKUP($R49,武学奇术!$A:$ZZ,13,FALSE)+SUM(_xlfn.XLOOKUP(S49:AG49,增益!$A:$A,增益!$M:$M,0))&gt;0,($F$13-$I$4+VLOOKUP($R49,武学奇术!$A:$ZZ,13,FALSE)+SUM(_xlfn.XLOOKUP(S49:AG49,增益!$A:$A,增益!$K:$K,0)))/200,($F$13-$I$4+VLOOKUP($R49,武学奇术!$A:$ZZ,13,FALSE)+SUM(_xlfn.XLOOKUP(S49:AG49,增益!$A:$A,增益!$M:$M,0)))/100)</f>
        <v>-0.14</v>
      </c>
      <c r="BE49" s="32" cm="1">
        <f t="array" ref="BE49">$G$13+VLOOKUP($R49,武学奇术!$A:$ZZ,14,FALSE)+SUM(_xlfn.XLOOKUP(S49:AG49,增益!$A:$A,增益!$N:$N,0))</f>
        <v>0</v>
      </c>
      <c r="BF49">
        <f t="shared" si="16"/>
        <v>571.2</v>
      </c>
      <c r="BG49">
        <f t="shared" si="17"/>
        <v>1627.8</v>
      </c>
      <c r="BH49" s="32" cm="1">
        <f t="array" ref="BH49">IF($F$14-$I$4+VLOOKUP($R49,武学奇术!$A:$ZZ,15,FALSE)+SUM(_xlfn.XLOOKUP(S49:AG49,增益!$A:$A,增益!$O:$O,0))&gt;0,($F$14-$I$4+VLOOKUP($R49,武学奇术!$A:$ZZ,15,FALSE)+SUM(_xlfn.XLOOKUP(S49:AG49,增益!$A:$A,增益!$O:$O,0)))/200,($F$14-$I$4+VLOOKUP($R49,武学奇术!$A:$ZZ,15,FALSE)+SUM(_xlfn.XLOOKUP(S49:AG49,增益!$A:$A,增益!$O:$O,0)))/100)</f>
        <v>0.08</v>
      </c>
      <c r="BI49" s="32" cm="1">
        <f t="array" ref="BI49">$G$14+VLOOKUP($R49,武学奇术!$A:$ZZ,16,FALSE)+SUM(_xlfn.XLOOKUP(S49:AG49,增益!$A:$A,增益!$P:$P,0))</f>
        <v>0.27</v>
      </c>
      <c r="BJ49" s="26">
        <f>MIN(IF(VLOOKUP($R49,武学奇术!$A:$ZZ,23,FALSE)=1,100%,$B$8),100%)</f>
        <v>0.981</v>
      </c>
      <c r="BK49" s="26" cm="1">
        <f t="array" ref="BK49">IF(VLOOKUP($R49,武学奇术!$A:$ZZ,23,FALSE)=1,100%,MIN(80%,$B$9+VLOOKUP($R49,武学奇术!$A:$ZZ,17,FALSE)+SUM(_xlfn.XLOOKUP(S49:AG49,增益!$A:$A,增益!$Q:$Q,0)))+$B$11+SUM(_xlfn.XLOOKUP(S49:AG49,增益!$A:$A,增益!$U:$U,0)))*IF(VLOOKUP($R49,武学奇术!$A:$ZZ,24,FALSE)=1,0,1)</f>
        <v>0.846</v>
      </c>
      <c r="BL49" s="26" cm="1">
        <f t="array" ref="BL49">1+$B$13+VLOOKUP($R49,武学奇术!$A:$ZZ,18,FALSE)+SUM(_xlfn.XLOOKUP(S49:AG49,增益!$A:$A,增益!$R:$R,0))</f>
        <v>2.06</v>
      </c>
      <c r="BM49" s="26" cm="1">
        <f t="array" ref="BM49">IF(VLOOKUP($R49,武学奇术!$A:$ZZ,24,FALSE)=1,100%,MIN(40%,$B$10+VLOOKUP($R49,武学奇术!$A:$ZZ,19,FALSE)+SUM(_xlfn.XLOOKUP(S49:AG49,增益!$A:$A,增益!$S:$S,0)))+$B$12+SUM(_xlfn.XLOOKUP(S49:AG49,增益!$A:$A,增益!$V:$V,0)))*IF(VLOOKUP($R49,武学奇术!$A:$ZZ,23,FALSE)=1,0,1)</f>
        <v>0.0929</v>
      </c>
      <c r="BN49" s="26" cm="1">
        <f t="array" ref="BN49">1+$B$14+VLOOKUP($R49,武学奇术!$A:$ZZ,20,FALSE)+SUM(_xlfn.XLOOKUP(S49:AG49,增益!$A:$A,增益!$T:$T,0))</f>
        <v>1.35</v>
      </c>
      <c r="BO49" s="26">
        <f t="shared" si="12"/>
        <v>0.829926</v>
      </c>
      <c r="BP49" s="26">
        <f t="shared" si="18"/>
        <v>0.0599391</v>
      </c>
      <c r="BQ49" s="26">
        <f>IF(VLOOKUP($R49,武学奇术!$A:$ZZ,22,FALSE)=1,0,(1-$BJ49))*(1-$BM49)</f>
        <v>0.0172349</v>
      </c>
      <c r="BR49" s="26" cm="1">
        <f t="array" ref="BR49">SUM(_xlfn.XLOOKUP(S49:AG49,增益!$A:$A,增益!$W:$W,0))+$I$5</f>
        <v>0.11</v>
      </c>
    </row>
    <row r="50" spans="1:70">
      <c r="A50" s="4" t="s">
        <v>166</v>
      </c>
      <c r="B50" s="4">
        <v>1</v>
      </c>
      <c r="G50" s="4"/>
      <c r="K50">
        <f>$L50*VLOOKUP($R50,武学奇术!$A:$ZZ,31,FALSE)</f>
        <v>46596.1639419957</v>
      </c>
      <c r="L50" s="38">
        <f>($M50*$BO50+$N50*$BM50+$O50*$BP50+$P50*$BQ50)</f>
        <v>44377.2989923769</v>
      </c>
      <c r="M50" s="38">
        <f>((($AO50+$AP50)/2*$AI50+$AJ50)*(1+$AQ50)*(1+$AR50)+(($AT50+$AU50)/2*IF($G$1="鸣金",$AK50,$AI50)+IF($G$1="鸣金",$AL50*1.5,0))*(1+$AV50)*(1+$AW50)+(($AX50+$AY50)/2*IF($G$1="裂石",$AK50,$AI50)+IF($G$1="裂石",$AL50*1.5,0))*(1+$AZ50)*(1+$BA50)+(($BB50+$BC50)/2*IF($G$1="牵丝",$AK50,$AI50)+IF($G$1="牵丝",$AL50*1.5,0))*(1+$BD50)*(1+$BE50)+(($BF50+$BG50)/2*IF($G$1="破竹",$AK50,$AI50)+IF($G$1="破竹",$AL50*1.5,0))*(1+$BH50)*(1+$BI50))*(1+$AM50)*$BL50*$Q50*(1+IF(VLOOKUP($R50,武学奇术!$A:$ZZ,30,FALSE)="回旋伞",$B$21,0))*(1+$BR50)</f>
        <v>47434.8039247214</v>
      </c>
      <c r="N50" s="38">
        <f>(($AP50*$AI50+$AJ50)*(1+$AQ50)*(1+$AR50)+($AU50*IF($G$1="鸣金",$AK50,$AI50)+IF($G$1="鸣金",$AL50*1.5,0))*(1+$AV50)*(1+$AW50)+($AY50*IF($G$1="裂石",$AK50,$AI50)+IF($G$1="裂石",$AL50*1.5,0))*(1+$AZ50)*(1+$BA50)+($BC50*IF($G$1="牵丝",$AK50,$AI50)+IF($G$1="牵丝",$AL50*1.5,0))*(1+$BD50)*(1+$BE50)+($BG50*IF($G$1="破竹",$AK50,$AI50)+IF($G$1="破竹",$AL50*1.5,0))*(1+$BH50)*(1+$BI50))*(1+$AM50)*$BN50*$Q50*(1+IF(VLOOKUP($R50,武学奇术!$A:$ZZ,30,FALSE)="回旋伞",$B$21,0))*(1+$BR50)</f>
        <v>35391.0517744919</v>
      </c>
      <c r="O50" s="38">
        <f>((($AO50+$AP50)/2*$AI50+$AJ50)*(1+$AQ50)*(1+$AR50)+(($AT50+$AU50)/2*IF($G$1="鸣金",$AK50,$AI50)+IF($G$1="鸣金",$AL50*1.5,0))*(1+$AV50)*(1+$AW50)+(($AX50+$AY50)/2*IF($G$1="裂石",$AK50,$AI50)+IF($G$1="裂石",$AL50*1.5,0))*(1+$AZ50)*(1+$BA50)+(($BB50+$BC50)/2*IF($G$1="牵丝",$AK50,$AI50)+IF($G$1="牵丝",$AL50*1.5,0))*(1+$BD50)*(1+$BE50)+(($BF50+$BG50)/2*IF($G$1="破竹",$AK50,$AI50)+IF($G$1="破竹",$AL50*1.5,0))*(1+$BH50)*(1+$BI50))*(1+$AM50)*$Q50*(1+IF(VLOOKUP($R50,武学奇术!$A:$ZZ,30,FALSE)="回旋伞",$B$21,0))*(1+$BR50)</f>
        <v>23026.6038469521</v>
      </c>
      <c r="P50" s="38">
        <f>((($AO50*$AI50+$AJ50)*(1+$AQ50)*(1+$AR50)+($AT50*IF($G$1="鸣金",$AK50,$AI50)+IF($G$1="鸣金",$AL50*1.5,0))*(1+$AV50)*(1+$AW50)+($AX50*IF($G$1="裂石",$AK50,$AI50)+IF($G$1="裂石",$AL50*1.5,0))*(1+$AZ50)*(1+$BA50)+($BB50*IF($G$1="牵丝",$AK50,$AI50)+IF($G$1="牵丝",$AL50*1.5,0))*(1+$BD50)*(1+$BE50)+($BF50*IF($G$1="破竹",$AK50,$AI50)+IF($G$1="破竹",$AL50*1.5,0))*(1+$BH50)*(1+$BI50))*(1+$AM50))*$Q50*(1+IF(VLOOKUP($R50,武学奇术!$A:$ZZ,30,FALSE)="回旋伞",$B$21,0))*(1+$BR50)</f>
        <v>19837.6137868732</v>
      </c>
      <c r="Q50" s="39">
        <v>2</v>
      </c>
      <c r="R50" s="40" t="s">
        <v>112</v>
      </c>
      <c r="S50" s="40" t="s">
        <v>109</v>
      </c>
      <c r="T50" s="40" t="s">
        <v>95</v>
      </c>
      <c r="U50" s="40" t="s">
        <v>73</v>
      </c>
      <c r="V50" s="40" t="s">
        <v>72</v>
      </c>
      <c r="W50" s="40" t="s">
        <v>172</v>
      </c>
      <c r="X50" s="40" t="s">
        <v>99</v>
      </c>
      <c r="Y50" s="40" t="s">
        <v>84</v>
      </c>
      <c r="Z50" s="40" t="s">
        <v>72</v>
      </c>
      <c r="AA50" s="40" t="s">
        <v>72</v>
      </c>
      <c r="AB50" s="40" t="s">
        <v>126</v>
      </c>
      <c r="AC50" s="40" t="s">
        <v>91</v>
      </c>
      <c r="AD50" s="40" t="s">
        <v>72</v>
      </c>
      <c r="AE50" s="40" t="s">
        <v>72</v>
      </c>
      <c r="AF50" s="40" t="s">
        <v>77</v>
      </c>
      <c r="AG50" s="40" t="s">
        <v>78</v>
      </c>
      <c r="AH50" t="str">
        <f>VLOOKUP($R50,武学奇术!$A:$ZZ,25,FALSE)</f>
        <v>伞</v>
      </c>
      <c r="AI50" s="26">
        <f>VLOOKUP($R50,武学奇术!$A:$ZZ,26,FALSE)</f>
        <v>0.54</v>
      </c>
      <c r="AJ50" s="27">
        <f>VLOOKUP($R50,武学奇术!$A:$ZZ,27,FALSE)*(1+IF(OR($AH50=$F$4,$AH50=$F$5),$B$22,0))</f>
        <v>0</v>
      </c>
      <c r="AK50" s="26">
        <f>VLOOKUP($R50,武学奇术!$A:$ZZ,28,FALSE)</f>
        <v>0.81</v>
      </c>
      <c r="AL50" s="27">
        <f>VLOOKUP($R50,武学奇术!$A:$ZZ,29,FALSE)*(1+IF(OR($AH50=$F$4,$AH50=$F$5),$B$22,0))</f>
        <v>0</v>
      </c>
      <c r="AM50" s="26" cm="1">
        <f t="array" ref="AM50">$G$3+IFERROR(VLOOKUP($AH50,$F$4:$G$7,2,FALSE),0)+VLOOKUP($R50,武学奇术!$A:$ZZ,2,FALSE)+SUM(_xlfn.XLOOKUP($S50:$AG50,增益!$A:$A,增益!$B:$B,0))</f>
        <v>0.8541</v>
      </c>
      <c r="AN50" s="26" cm="1">
        <f t="array" ref="AN50">VLOOKUP($R50,武学奇术!$A:$ZZ,5,FALSE)+SUM(_xlfn.XLOOKUP($S50:$AG50,增益!$A:$A,增益!$E:$E,0))</f>
        <v>0</v>
      </c>
      <c r="AO50" cm="1">
        <f t="array" ref="AO50">$D$10*(1+$AN50)+VLOOKUP($R50,武学奇术!$A:$ZZ,3,FALSE)+SUM(_xlfn.XLOOKUP($S50:$AG50,增益!$A:$A,增益!$C:$C,0))-$I$2</f>
        <v>3624.6</v>
      </c>
      <c r="AP50" cm="1">
        <f t="array" ref="AP50">$E$10*(1+$AN50)+VLOOKUP($R50,武学奇术!$A:$ZZ,4,FALSE)+SUM(_xlfn.XLOOKUP($S50:$AG50,增益!$A:$A,增益!$D:$D,0))-$I$2</f>
        <v>3624.6</v>
      </c>
      <c r="AQ50" s="32" cm="1">
        <f t="array" ref="AQ50">IF($F$10-$I$3+VLOOKUP($R50,武学奇术!$A:$ZZ,6,FALSE)+SUM(_xlfn.XLOOKUP(S50:AG50,增益!$A:$A,增益!$F:$F,0))&gt;0,($F$10-$I$3+VLOOKUP($R50,武学奇术!$A:$ZZ,6,FALSE)+SUM(_xlfn.XLOOKUP(S50:AG50,增益!$A:$A,增益!$F:$F,0)))/200,($F$10-$I$3+VLOOKUP($R50,武学奇术!$A:$ZZ,6,FALSE)+SUM(_xlfn.XLOOKUP(S50:AG50,增益!$A:$A,增益!$F:$F,0)))/100)</f>
        <v>0.3425</v>
      </c>
      <c r="AR50" s="32" cm="1">
        <f t="array" ref="AR50">$G$10+VLOOKUP($R50,武学奇术!$A:$ZZ,7,FALSE)+SUM(_xlfn.XLOOKUP(S50:AG50,增益!$A:$A,增益!$G:$G,0))</f>
        <v>0.148</v>
      </c>
      <c r="AS50" s="26" cm="1">
        <f t="array" ref="AS50">VLOOKUP($R50,武学奇术!$A:$ZZ,8,FALSE)+SUM(_xlfn.XLOOKUP(S50:AG50,增益!$A:$A,增益!$H:$H,0))</f>
        <v>0</v>
      </c>
      <c r="AT50">
        <f t="shared" si="19"/>
        <v>0</v>
      </c>
      <c r="AU50">
        <f t="shared" si="20"/>
        <v>0</v>
      </c>
      <c r="AV50" s="32" cm="1">
        <f t="array" ref="AV50">IF($F$11-$I$4+VLOOKUP($R50,武学奇术!$A:$ZZ,9,FALSE)+SUM(_xlfn.XLOOKUP(S50:AG50,增益!$A:$A,增益!$I:$I,0))&gt;0,($F$11-$I$4+VLOOKUP($R50,武学奇术!$A:$ZZ,9,FALSE)+SUM(_xlfn.XLOOKUP(S50:AG50,增益!$A:$A,增益!$I:$I,0)))/200,($F$11-$I$4+VLOOKUP($R50,武学奇术!$A:$ZZ,9,FALSE)+SUM(_xlfn.XLOOKUP(S50:AG50,增益!$A:$A,增益!$I:$I,0)))/100)</f>
        <v>-0.14</v>
      </c>
      <c r="AW50" s="32" cm="1">
        <f t="array" ref="AW50">$G$11+VLOOKUP($R50,武学奇术!$A:$ZZ,10,FALSE)+SUM(_xlfn.XLOOKUP(S50:AG50,增益!$A:$A,增益!$J:$J,0))</f>
        <v>0</v>
      </c>
      <c r="AX50">
        <f t="shared" si="21"/>
        <v>0</v>
      </c>
      <c r="AY50">
        <f t="shared" si="22"/>
        <v>0</v>
      </c>
      <c r="AZ50" s="32" cm="1">
        <f t="array" ref="AZ50">IF($F$12-$I$4+VLOOKUP($R50,武学奇术!$A:$ZZ,11,FALSE)+SUM(_xlfn.XLOOKUP(S50:AG50,增益!$A:$A,增益!$K:$K,0))&gt;0,($F$12-$I$4+VLOOKUP($R50,武学奇术!$A:$ZZ,11,FALSE)+SUM(_xlfn.XLOOKUP(S50:AG50,增益!$A:$A,增益!$K:$K,0)))/200,($F$12-$I$4+VLOOKUP($R50,武学奇术!$A:$ZZ,11,FALSE)+SUM(_xlfn.XLOOKUP(S50:AG50,增益!$A:$A,增益!$K:$K,0)))/100)</f>
        <v>-0.14</v>
      </c>
      <c r="BA50" s="32" cm="1">
        <f t="array" ref="BA50">$G$12+VLOOKUP($R50,武学奇术!$A:$ZZ,12,FALSE)+SUM(_xlfn.XLOOKUP(S50:AG50,增益!$A:$A,增益!$L:$L,0))</f>
        <v>0</v>
      </c>
      <c r="BB50">
        <f t="shared" si="14"/>
        <v>0</v>
      </c>
      <c r="BC50">
        <f t="shared" si="15"/>
        <v>0</v>
      </c>
      <c r="BD50" s="32" cm="1">
        <f t="array" ref="BD50">IF($F$13-$I$4+VLOOKUP($R50,武学奇术!$A:$ZZ,13,FALSE)+SUM(_xlfn.XLOOKUP(S50:AG50,增益!$A:$A,增益!$M:$M,0))&gt;0,($F$13-$I$4+VLOOKUP($R50,武学奇术!$A:$ZZ,13,FALSE)+SUM(_xlfn.XLOOKUP(S50:AG50,增益!$A:$A,增益!$K:$K,0)))/200,($F$13-$I$4+VLOOKUP($R50,武学奇术!$A:$ZZ,13,FALSE)+SUM(_xlfn.XLOOKUP(S50:AG50,增益!$A:$A,增益!$M:$M,0)))/100)</f>
        <v>-0.14</v>
      </c>
      <c r="BE50" s="32" cm="1">
        <f t="array" ref="BE50">$G$13+VLOOKUP($R50,武学奇术!$A:$ZZ,14,FALSE)+SUM(_xlfn.XLOOKUP(S50:AG50,增益!$A:$A,增益!$N:$N,0))</f>
        <v>0</v>
      </c>
      <c r="BF50">
        <f t="shared" si="16"/>
        <v>571.2</v>
      </c>
      <c r="BG50">
        <f t="shared" si="17"/>
        <v>1627.8</v>
      </c>
      <c r="BH50" s="32" cm="1">
        <f t="array" ref="BH50">IF($F$14-$I$4+VLOOKUP($R50,武学奇术!$A:$ZZ,15,FALSE)+SUM(_xlfn.XLOOKUP(S50:AG50,增益!$A:$A,增益!$O:$O,0))&gt;0,($F$14-$I$4+VLOOKUP($R50,武学奇术!$A:$ZZ,15,FALSE)+SUM(_xlfn.XLOOKUP(S50:AG50,增益!$A:$A,增益!$O:$O,0)))/200,($F$14-$I$4+VLOOKUP($R50,武学奇术!$A:$ZZ,15,FALSE)+SUM(_xlfn.XLOOKUP(S50:AG50,增益!$A:$A,增益!$O:$O,0)))/100)</f>
        <v>0.08</v>
      </c>
      <c r="BI50" s="32" cm="1">
        <f t="array" ref="BI50">$G$14+VLOOKUP($R50,武学奇术!$A:$ZZ,16,FALSE)+SUM(_xlfn.XLOOKUP(S50:AG50,增益!$A:$A,增益!$P:$P,0))</f>
        <v>0.27</v>
      </c>
      <c r="BJ50" s="26">
        <f>MIN(IF(VLOOKUP($R50,武学奇术!$A:$ZZ,23,FALSE)=1,100%,$B$8),100%)</f>
        <v>0.981</v>
      </c>
      <c r="BK50" s="26" cm="1">
        <f t="array" ref="BK50">IF(VLOOKUP($R50,武学奇术!$A:$ZZ,23,FALSE)=1,100%,MIN(80%,$B$9+VLOOKUP($R50,武学奇术!$A:$ZZ,17,FALSE)+SUM(_xlfn.XLOOKUP(S50:AG50,增益!$A:$A,增益!$Q:$Q,0)))+$B$11+SUM(_xlfn.XLOOKUP(S50:AG50,增益!$A:$A,增益!$U:$U,0)))*IF(VLOOKUP($R50,武学奇术!$A:$ZZ,24,FALSE)=1,0,1)</f>
        <v>0.846</v>
      </c>
      <c r="BL50" s="26" cm="1">
        <f t="array" ref="BL50">1+$B$13+VLOOKUP($R50,武学奇术!$A:$ZZ,18,FALSE)+SUM(_xlfn.XLOOKUP(S50:AG50,增益!$A:$A,增益!$R:$R,0))</f>
        <v>2.06</v>
      </c>
      <c r="BM50" s="26" cm="1">
        <f t="array" ref="BM50">IF(VLOOKUP($R50,武学奇术!$A:$ZZ,24,FALSE)=1,100%,MIN(40%,$B$10+VLOOKUP($R50,武学奇术!$A:$ZZ,19,FALSE)+SUM(_xlfn.XLOOKUP(S50:AG50,增益!$A:$A,增益!$S:$S,0)))+$B$12+SUM(_xlfn.XLOOKUP(S50:AG50,增益!$A:$A,增益!$V:$V,0)))*IF(VLOOKUP($R50,武学奇术!$A:$ZZ,23,FALSE)=1,0,1)</f>
        <v>0.0929</v>
      </c>
      <c r="BN50" s="26" cm="1">
        <f t="array" ref="BN50">1+$B$14+VLOOKUP($R50,武学奇术!$A:$ZZ,20,FALSE)+SUM(_xlfn.XLOOKUP(S50:AG50,增益!$A:$A,增益!$T:$T,0))</f>
        <v>1.35</v>
      </c>
      <c r="BO50" s="26">
        <f t="shared" si="12"/>
        <v>0.829926</v>
      </c>
      <c r="BP50" s="26">
        <f t="shared" si="18"/>
        <v>0.0599391</v>
      </c>
      <c r="BQ50" s="26">
        <f>IF(VLOOKUP($R50,武学奇术!$A:$ZZ,22,FALSE)=1,0,(1-$BJ50))*(1-$BM50)</f>
        <v>0.0172349</v>
      </c>
      <c r="BR50" s="26" cm="1">
        <f t="array" ref="BR50">SUM(_xlfn.XLOOKUP(S50:AG50,增益!$A:$A,增益!$W:$W,0))+$I$5</f>
        <v>0.11</v>
      </c>
    </row>
    <row r="51" spans="1:70">
      <c r="A51" s="4" t="s">
        <v>171</v>
      </c>
      <c r="B51" s="87">
        <v>0.1</v>
      </c>
      <c r="C51"/>
      <c r="D51"/>
      <c r="F51" s="4"/>
      <c r="G51" s="87"/>
      <c r="K51">
        <f>$L51*VLOOKUP($R51,武学奇术!$A:$ZZ,31,FALSE)</f>
        <v>95122.8721315958</v>
      </c>
      <c r="L51" s="38">
        <f t="shared" si="13"/>
        <v>90593.2115539007</v>
      </c>
      <c r="M51" s="38">
        <f>((($AO51+$AP51)/2*$AI51+$AJ51)*(1+$AQ51)*(1+$AR51)+(($AT51+$AU51)/2*IF($G$1="鸣金",$AK51,$AI51)+IF($G$1="鸣金",$AL51*1.5,0))*(1+$AV51)*(1+$AW51)+(($AX51+$AY51)/2*IF($G$1="裂石",$AK51,$AI51)+IF($G$1="裂石",$AL51*1.5,0))*(1+$AZ51)*(1+$BA51)+(($BB51+$BC51)/2*IF($G$1="牵丝",$AK51,$AI51)+IF($G$1="牵丝",$AL51*1.5,0))*(1+$BD51)*(1+$BE51)+(($BF51+$BG51)/2*IF($G$1="破竹",$AK51,$AI51)+IF($G$1="破竹",$AL51*1.5,0))*(1+$BH51)*(1+$BI51))*(1+$AM51)*$BL51*$Q51*(1+IF(VLOOKUP($R51,武学奇术!$A:$ZZ,30,FALSE)="回旋伞",$B$21,0))*(1+$BR51)</f>
        <v>90593.2115539007</v>
      </c>
      <c r="N51" s="38">
        <f>(($AP51*$AI51+$AJ51)*(1+$AQ51)*(1+$AR51)+($AU51*IF($G$1="鸣金",$AK51,$AI51)+IF($G$1="鸣金",$AL51*1.5,0))*(1+$AV51)*(1+$AW51)+($AY51*IF($G$1="裂石",$AK51,$AI51)+IF($G$1="裂石",$AL51*1.5,0))*(1+$AZ51)*(1+$BA51)+($BC51*IF($G$1="牵丝",$AK51,$AI51)+IF($G$1="牵丝",$AL51*1.5,0))*(1+$BD51)*(1+$BE51)+($BG51*IF($G$1="破竹",$AK51,$AI51)+IF($G$1="破竹",$AL51*1.5,0))*(1+$BH51)*(1+$BI51))*(1+$AM51)*$BN51*$Q51*(1+IF(VLOOKUP($R51,武学奇术!$A:$ZZ,30,FALSE)="回旋伞",$B$21,0))*(1+$BR51)</f>
        <v>66578.0496996268</v>
      </c>
      <c r="O51" s="38">
        <f>((($AO51+$AP51)/2*$AI51+$AJ51)*(1+$AQ51)*(1+$AR51)+(($AT51+$AU51)/2*IF($G$1="鸣金",$AK51,$AI51)+IF($G$1="鸣金",$AL51*1.5,0))*(1+$AV51)*(1+$AW51)+(($AX51+$AY51)/2*IF($G$1="裂石",$AK51,$AI51)+IF($G$1="裂石",$AL51*1.5,0))*(1+$AZ51)*(1+$BA51)+(($BB51+$BC51)/2*IF($G$1="牵丝",$AK51,$AI51)+IF($G$1="牵丝",$AL51*1.5,0))*(1+$BD51)*(1+$BE51)+(($BF51+$BG51)/2*IF($G$1="破竹",$AK51,$AI51)+IF($G$1="破竹",$AL51*1.5,0))*(1+$BH51)*(1+$BI51))*(1+$AM51)*$Q51*(1+IF(VLOOKUP($R51,武学奇术!$A:$ZZ,30,FALSE)="回旋伞",$B$21,0))*(1+$BR51)</f>
        <v>43977.2871620877</v>
      </c>
      <c r="P51" s="38">
        <f>((($AO51*$AI51+$AJ51)*(1+$AQ51)*(1+$AR51)+($AT51*IF($G$1="鸣金",$AK51,$AI51)+IF($G$1="鸣金",$AL51*1.5,0))*(1+$AV51)*(1+$AW51)+($AX51*IF($G$1="裂石",$AK51,$AI51)+IF($G$1="裂石",$AL51*1.5,0))*(1+$AZ51)*(1+$BA51)+($BB51*IF($G$1="牵丝",$AK51,$AI51)+IF($G$1="牵丝",$AL51*1.5,0))*(1+$BD51)*(1+$BE51)+($BF51*IF($G$1="破竹",$AK51,$AI51)+IF($G$1="破竹",$AL51*1.5,0))*(1+$BH51)*(1+$BI51))*(1+$AM51))*$Q51*(1+IF(VLOOKUP($R51,武学奇术!$A:$ZZ,30,FALSE)="回旋伞",$B$21,0))*(1+$BR51)</f>
        <v>38637.5004726</v>
      </c>
      <c r="Q51" s="39">
        <v>1</v>
      </c>
      <c r="R51" s="40" t="s">
        <v>125</v>
      </c>
      <c r="S51" s="40" t="s">
        <v>109</v>
      </c>
      <c r="T51" s="40" t="s">
        <v>95</v>
      </c>
      <c r="U51" s="40" t="s">
        <v>73</v>
      </c>
      <c r="V51" s="40" t="s">
        <v>72</v>
      </c>
      <c r="W51" s="40" t="s">
        <v>172</v>
      </c>
      <c r="X51" s="40" t="s">
        <v>99</v>
      </c>
      <c r="Y51" s="40" t="s">
        <v>84</v>
      </c>
      <c r="Z51" s="40" t="s">
        <v>72</v>
      </c>
      <c r="AA51" s="40" t="s">
        <v>72</v>
      </c>
      <c r="AB51" s="40" t="s">
        <v>126</v>
      </c>
      <c r="AC51" s="40" t="s">
        <v>91</v>
      </c>
      <c r="AD51" s="40" t="s">
        <v>72</v>
      </c>
      <c r="AE51" s="40" t="s">
        <v>72</v>
      </c>
      <c r="AF51" s="40" t="s">
        <v>77</v>
      </c>
      <c r="AG51" s="40" t="s">
        <v>78</v>
      </c>
      <c r="AH51" t="str">
        <f>VLOOKUP($R51,武学奇术!$A:$ZZ,25,FALSE)</f>
        <v>伞</v>
      </c>
      <c r="AI51" s="26">
        <f>VLOOKUP($R51,武学奇术!$A:$ZZ,26,FALSE)</f>
        <v>1.8084</v>
      </c>
      <c r="AJ51" s="27">
        <f>VLOOKUP($R51,武学奇术!$A:$ZZ,27,FALSE)*(1+IF(OR($AH51=$F$4,$AH51=$F$5),$B$22,0))</f>
        <v>750</v>
      </c>
      <c r="AK51" s="26">
        <f>VLOOKUP($R51,武学奇术!$A:$ZZ,28,FALSE)</f>
        <v>2.7126</v>
      </c>
      <c r="AL51" s="27">
        <f>VLOOKUP($R51,武学奇术!$A:$ZZ,29,FALSE)*(1+IF(OR($AH51=$F$4,$AH51=$F$5),$B$22,0))</f>
        <v>408</v>
      </c>
      <c r="AM51" s="26" cm="1">
        <f t="array" ref="AM51">$G$3+IFERROR(VLOOKUP($AH51,$F$4:$G$7,2,FALSE),0)+VLOOKUP($R51,武学奇术!$A:$ZZ,2,FALSE)+SUM(_xlfn.XLOOKUP($S51:$AG51,增益!$A:$A,增益!$B:$B,0))</f>
        <v>0.8541</v>
      </c>
      <c r="AN51" s="26" cm="1">
        <f t="array" ref="AN51">VLOOKUP($R51,武学奇术!$A:$ZZ,5,FALSE)+SUM(_xlfn.XLOOKUP($S51:$AG51,增益!$A:$A,增益!$E:$E,0))</f>
        <v>0</v>
      </c>
      <c r="AO51" cm="1">
        <f t="array" ref="AO51">$D$10*(1+$AN51)+VLOOKUP($R51,武学奇术!$A:$ZZ,3,FALSE)+SUM(_xlfn.XLOOKUP($S51:$AG51,增益!$A:$A,增益!$C:$C,0))-$I$2</f>
        <v>3624.6</v>
      </c>
      <c r="AP51" cm="1">
        <f t="array" ref="AP51">$E$10*(1+$AN51)+VLOOKUP($R51,武学奇术!$A:$ZZ,4,FALSE)+SUM(_xlfn.XLOOKUP($S51:$AG51,增益!$A:$A,增益!$D:$D,0))-$I$2</f>
        <v>3624.6</v>
      </c>
      <c r="AQ51" s="32" cm="1">
        <f t="array" ref="AQ51">IF($F$10-$I$3+VLOOKUP($R51,武学奇术!$A:$ZZ,6,FALSE)+SUM(_xlfn.XLOOKUP(S51:AG51,增益!$A:$A,增益!$F:$F,0))&gt;0,($F$10-$I$3+VLOOKUP($R51,武学奇术!$A:$ZZ,6,FALSE)+SUM(_xlfn.XLOOKUP(S51:AG51,增益!$A:$A,增益!$F:$F,0)))/200,($F$10-$I$3+VLOOKUP($R51,武学奇术!$A:$ZZ,6,FALSE)+SUM(_xlfn.XLOOKUP(S51:AG51,增益!$A:$A,增益!$F:$F,0)))/100)</f>
        <v>0.3425</v>
      </c>
      <c r="AR51" s="32" cm="1">
        <f t="array" ref="AR51">$G$10+VLOOKUP($R51,武学奇术!$A:$ZZ,7,FALSE)+SUM(_xlfn.XLOOKUP(S51:AG51,增益!$A:$A,增益!$G:$G,0))</f>
        <v>0.148</v>
      </c>
      <c r="AS51" s="26" cm="1">
        <f t="array" ref="AS51">VLOOKUP($R51,武学奇术!$A:$ZZ,8,FALSE)+SUM(_xlfn.XLOOKUP(S51:AG51,增益!$A:$A,增益!$H:$H,0))</f>
        <v>0</v>
      </c>
      <c r="AT51">
        <f t="shared" si="19"/>
        <v>0</v>
      </c>
      <c r="AU51">
        <f t="shared" si="20"/>
        <v>0</v>
      </c>
      <c r="AV51" s="32" cm="1">
        <f t="array" ref="AV51">IF($F$11-$I$4+VLOOKUP($R51,武学奇术!$A:$ZZ,9,FALSE)+SUM(_xlfn.XLOOKUP(S51:AG51,增益!$A:$A,增益!$I:$I,0))&gt;0,($F$11-$I$4+VLOOKUP($R51,武学奇术!$A:$ZZ,9,FALSE)+SUM(_xlfn.XLOOKUP(S51:AG51,增益!$A:$A,增益!$I:$I,0)))/200,($F$11-$I$4+VLOOKUP($R51,武学奇术!$A:$ZZ,9,FALSE)+SUM(_xlfn.XLOOKUP(S51:AG51,增益!$A:$A,增益!$I:$I,0)))/100)</f>
        <v>-0.14</v>
      </c>
      <c r="AW51" s="32" cm="1">
        <f t="array" ref="AW51">$G$11+VLOOKUP($R51,武学奇术!$A:$ZZ,10,FALSE)+SUM(_xlfn.XLOOKUP(S51:AG51,增益!$A:$A,增益!$J:$J,0))</f>
        <v>0</v>
      </c>
      <c r="AX51">
        <f t="shared" si="21"/>
        <v>0</v>
      </c>
      <c r="AY51">
        <f t="shared" si="22"/>
        <v>0</v>
      </c>
      <c r="AZ51" s="32" cm="1">
        <f t="array" ref="AZ51">IF($F$12-$I$4+VLOOKUP($R51,武学奇术!$A:$ZZ,11,FALSE)+SUM(_xlfn.XLOOKUP(S51:AG51,增益!$A:$A,增益!$K:$K,0))&gt;0,($F$12-$I$4+VLOOKUP($R51,武学奇术!$A:$ZZ,11,FALSE)+SUM(_xlfn.XLOOKUP(S51:AG51,增益!$A:$A,增益!$K:$K,0)))/200,($F$12-$I$4+VLOOKUP($R51,武学奇术!$A:$ZZ,11,FALSE)+SUM(_xlfn.XLOOKUP(S51:AG51,增益!$A:$A,增益!$K:$K,0)))/100)</f>
        <v>-0.14</v>
      </c>
      <c r="BA51" s="32" cm="1">
        <f t="array" ref="BA51">$G$12+VLOOKUP($R51,武学奇术!$A:$ZZ,12,FALSE)+SUM(_xlfn.XLOOKUP(S51:AG51,增益!$A:$A,增益!$L:$L,0))</f>
        <v>0</v>
      </c>
      <c r="BB51">
        <f t="shared" si="14"/>
        <v>0</v>
      </c>
      <c r="BC51">
        <f t="shared" si="15"/>
        <v>0</v>
      </c>
      <c r="BD51" s="32" cm="1">
        <f t="array" ref="BD51">IF($F$13-$I$4+VLOOKUP($R51,武学奇术!$A:$ZZ,13,FALSE)+SUM(_xlfn.XLOOKUP(S51:AG51,增益!$A:$A,增益!$M:$M,0))&gt;0,($F$13-$I$4+VLOOKUP($R51,武学奇术!$A:$ZZ,13,FALSE)+SUM(_xlfn.XLOOKUP(S51:AG51,增益!$A:$A,增益!$K:$K,0)))/200,($F$13-$I$4+VLOOKUP($R51,武学奇术!$A:$ZZ,13,FALSE)+SUM(_xlfn.XLOOKUP(S51:AG51,增益!$A:$A,增益!$M:$M,0)))/100)</f>
        <v>-0.14</v>
      </c>
      <c r="BE51" s="32" cm="1">
        <f t="array" ref="BE51">$G$13+VLOOKUP($R51,武学奇术!$A:$ZZ,14,FALSE)+SUM(_xlfn.XLOOKUP(S51:AG51,增益!$A:$A,增益!$N:$N,0))</f>
        <v>0</v>
      </c>
      <c r="BF51">
        <f t="shared" si="16"/>
        <v>571.2</v>
      </c>
      <c r="BG51">
        <f t="shared" si="17"/>
        <v>1627.8</v>
      </c>
      <c r="BH51" s="32" cm="1">
        <f t="array" ref="BH51">IF($F$14-$I$4+VLOOKUP($R51,武学奇术!$A:$ZZ,15,FALSE)+SUM(_xlfn.XLOOKUP(S51:AG51,增益!$A:$A,增益!$O:$O,0))&gt;0,($F$14-$I$4+VLOOKUP($R51,武学奇术!$A:$ZZ,15,FALSE)+SUM(_xlfn.XLOOKUP(S51:AG51,增益!$A:$A,增益!$O:$O,0)))/200,($F$14-$I$4+VLOOKUP($R51,武学奇术!$A:$ZZ,15,FALSE)+SUM(_xlfn.XLOOKUP(S51:AG51,增益!$A:$A,增益!$O:$O,0)))/100)</f>
        <v>0.08</v>
      </c>
      <c r="BI51" s="32" cm="1">
        <f t="array" ref="BI51">$G$14+VLOOKUP($R51,武学奇术!$A:$ZZ,16,FALSE)+SUM(_xlfn.XLOOKUP(S51:AG51,增益!$A:$A,增益!$P:$P,0))</f>
        <v>0.27</v>
      </c>
      <c r="BJ51" s="26">
        <f>MIN(IF(VLOOKUP($R51,武学奇术!$A:$ZZ,23,FALSE)=1,100%,$B$8),100%)</f>
        <v>1</v>
      </c>
      <c r="BK51" s="26" cm="1">
        <f t="array" ref="BK51">IF(VLOOKUP($R51,武学奇术!$A:$ZZ,23,FALSE)=1,100%,MIN(80%,$B$9+VLOOKUP($R51,武学奇术!$A:$ZZ,17,FALSE)+SUM(_xlfn.XLOOKUP(S51:AG51,增益!$A:$A,增益!$Q:$Q,0)))+$B$11+SUM(_xlfn.XLOOKUP(S51:AG51,增益!$A:$A,增益!$U:$U,0)))*IF(VLOOKUP($R51,武学奇术!$A:$ZZ,24,FALSE)=1,0,1)</f>
        <v>1</v>
      </c>
      <c r="BL51" s="26" cm="1">
        <f t="array" ref="BL51">1+$B$13+VLOOKUP($R51,武学奇术!$A:$ZZ,18,FALSE)+SUM(_xlfn.XLOOKUP(S51:AG51,增益!$A:$A,增益!$R:$R,0))</f>
        <v>2.06</v>
      </c>
      <c r="BM51" s="26" cm="1">
        <f t="array" ref="BM51">IF(VLOOKUP($R51,武学奇术!$A:$ZZ,24,FALSE)=1,100%,MIN(40%,$B$10+VLOOKUP($R51,武学奇术!$A:$ZZ,19,FALSE)+SUM(_xlfn.XLOOKUP(S51:AG51,增益!$A:$A,增益!$S:$S,0)))+$B$12+SUM(_xlfn.XLOOKUP(S51:AG51,增益!$A:$A,增益!$V:$V,0)))*IF(VLOOKUP($R51,武学奇术!$A:$ZZ,23,FALSE)=1,0,1)</f>
        <v>0</v>
      </c>
      <c r="BN51" s="26" cm="1">
        <f t="array" ref="BN51">1+$B$14+VLOOKUP($R51,武学奇术!$A:$ZZ,20,FALSE)+SUM(_xlfn.XLOOKUP(S51:AG51,增益!$A:$A,增益!$T:$T,0))</f>
        <v>1.35</v>
      </c>
      <c r="BO51" s="26">
        <f t="shared" si="12"/>
        <v>1</v>
      </c>
      <c r="BP51" s="26">
        <f t="shared" si="18"/>
        <v>0</v>
      </c>
      <c r="BQ51" s="26">
        <f>IF(VLOOKUP($R51,武学奇术!$A:$ZZ,22,FALSE)=1,0,(1-$BJ51))*(1-$BM51)</f>
        <v>0</v>
      </c>
      <c r="BR51" s="26" cm="1">
        <f t="array" ref="BR51">SUM(_xlfn.XLOOKUP(S51:AG51,增益!$A:$A,增益!$W:$W,0))+$I$5</f>
        <v>0.11</v>
      </c>
    </row>
    <row r="52" spans="1:70">
      <c r="A52" s="4" t="s">
        <v>173</v>
      </c>
      <c r="B52" s="4">
        <v>1.2</v>
      </c>
      <c r="C52" s="39" t="s">
        <v>174</v>
      </c>
      <c r="F52" s="39" t="s">
        <v>157</v>
      </c>
      <c r="K52">
        <f>$L52*VLOOKUP($R52,武学奇术!$A:$ZZ,31,FALSE)</f>
        <v>55179.1285685016</v>
      </c>
      <c r="L52" s="38">
        <f t="shared" si="13"/>
        <v>52551.5510176205</v>
      </c>
      <c r="M52" s="38">
        <f>((($AO52+$AP52)/2*$AI52+$AJ52)*(1+$AQ52)*(1+$AR52)+(($AT52+$AU52)/2*IF($G$1="鸣金",$AK52,$AI52)+IF($G$1="鸣金",$AL52*1.5,0))*(1+$AV52)*(1+$AW52)+(($AX52+$AY52)/2*IF($G$1="裂石",$AK52,$AI52)+IF($G$1="裂石",$AL52*1.5,0))*(1+$AZ52)*(1+$BA52)+(($BB52+$BC52)/2*IF($G$1="牵丝",$AK52,$AI52)+IF($G$1="牵丝",$AL52*1.5,0))*(1+$BD52)*(1+$BE52)+(($BF52+$BG52)/2*IF($G$1="破竹",$AK52,$AI52)+IF($G$1="破竹",$AL52*1.5,0))*(1+$BH52)*(1+$BI52))*(1+$AM52)*$BL52*$Q52*(1+IF(VLOOKUP($R52,武学奇术!$A:$ZZ,30,FALSE)="回旋伞",$B$21,0))*(1+$BR52)</f>
        <v>52551.5510176205</v>
      </c>
      <c r="N52" s="38">
        <f>(($AP52*$AI52+$AJ52)*(1+$AQ52)*(1+$AR52)+($AU52*IF($G$1="鸣金",$AK52,$AI52)+IF($G$1="鸣金",$AL52*1.5,0))*(1+$AV52)*(1+$AW52)+($AY52*IF($G$1="裂石",$AK52,$AI52)+IF($G$1="裂石",$AL52*1.5,0))*(1+$AZ52)*(1+$BA52)+($BC52*IF($G$1="牵丝",$AK52,$AI52)+IF($G$1="牵丝",$AL52*1.5,0))*(1+$BD52)*(1+$BE52)+($BG52*IF($G$1="破竹",$AK52,$AI52)+IF($G$1="破竹",$AL52*1.5,0))*(1+$BH52)*(1+$BI52))*(1+$AM52)*$BN52*$Q52*(1+IF(VLOOKUP($R52,武学奇术!$A:$ZZ,30,FALSE)="回旋伞",$B$21,0))*(1+$BR52)</f>
        <v>39208.650800919</v>
      </c>
      <c r="O52" s="38">
        <f>((($AO52+$AP52)/2*$AI52+$AJ52)*(1+$AQ52)*(1+$AR52)+(($AT52+$AU52)/2*IF($G$1="鸣金",$AK52,$AI52)+IF($G$1="鸣金",$AL52*1.5,0))*(1+$AV52)*(1+$AW52)+(($AX52+$AY52)/2*IF($G$1="裂石",$AK52,$AI52)+IF($G$1="裂石",$AL52*1.5,0))*(1+$AZ52)*(1+$BA52)+(($BB52+$BC52)/2*IF($G$1="牵丝",$AK52,$AI52)+IF($G$1="牵丝",$AL52*1.5,0))*(1+$BD52)*(1+$BE52)+(($BF52+$BG52)/2*IF($G$1="破竹",$AK52,$AI52)+IF($G$1="破竹",$AL52*1.5,0))*(1+$BH52)*(1+$BI52))*(1+$AM52)*$Q52*(1+IF(VLOOKUP($R52,武学奇术!$A:$ZZ,30,FALSE)="回旋伞",$B$21,0))*(1+$BR52)</f>
        <v>25510.4616590391</v>
      </c>
      <c r="P52" s="38">
        <f>((($AO52*$AI52+$AJ52)*(1+$AQ52)*(1+$AR52)+($AT52*IF($G$1="鸣金",$AK52,$AI52)+IF($G$1="鸣金",$AL52*1.5,0))*(1+$AV52)*(1+$AW52)+($AX52*IF($G$1="裂石",$AK52,$AI52)+IF($G$1="裂石",$AL52*1.5,0))*(1+$AZ52)*(1+$BA52)+($BB52*IF($G$1="牵丝",$AK52,$AI52)+IF($G$1="牵丝",$AL52*1.5,0))*(1+$BD52)*(1+$BE52)+($BF52*IF($G$1="破竹",$AK52,$AI52)+IF($G$1="破竹",$AL52*1.5,0))*(1+$BH52)*(1+$BI52))*(1+$AM52))*$Q52*(1+IF(VLOOKUP($R52,武学奇术!$A:$ZZ,30,FALSE)="回旋伞",$B$21,0))*(1+$BR52)</f>
        <v>21977.4782803604</v>
      </c>
      <c r="Q52" s="39">
        <v>2</v>
      </c>
      <c r="R52" s="40" t="s">
        <v>132</v>
      </c>
      <c r="S52" s="40" t="s">
        <v>109</v>
      </c>
      <c r="T52" s="40" t="s">
        <v>95</v>
      </c>
      <c r="U52" s="40" t="s">
        <v>73</v>
      </c>
      <c r="V52" s="40" t="s">
        <v>72</v>
      </c>
      <c r="W52" s="40" t="s">
        <v>172</v>
      </c>
      <c r="X52" s="40" t="s">
        <v>99</v>
      </c>
      <c r="Y52" s="40" t="s">
        <v>84</v>
      </c>
      <c r="Z52" s="40" t="s">
        <v>72</v>
      </c>
      <c r="AA52" s="40" t="s">
        <v>72</v>
      </c>
      <c r="AB52" s="40" t="s">
        <v>126</v>
      </c>
      <c r="AC52" s="40" t="s">
        <v>91</v>
      </c>
      <c r="AD52" s="40" t="s">
        <v>72</v>
      </c>
      <c r="AE52" s="40" t="s">
        <v>72</v>
      </c>
      <c r="AF52" s="40" t="s">
        <v>77</v>
      </c>
      <c r="AG52" s="40" t="s">
        <v>78</v>
      </c>
      <c r="AH52" t="str">
        <f>VLOOKUP($R52,武学奇术!$A:$ZZ,25,FALSE)</f>
        <v>伞</v>
      </c>
      <c r="AI52" s="26">
        <f>VLOOKUP($R52,武学奇术!$A:$ZZ,26,FALSE)</f>
        <v>0.54</v>
      </c>
      <c r="AJ52" s="27">
        <f>VLOOKUP($R52,武学奇术!$A:$ZZ,27,FALSE)*(1+IF(OR($AH52=$F$4,$AH52=$F$5),$B$22,0))</f>
        <v>0</v>
      </c>
      <c r="AK52" s="26">
        <f>VLOOKUP($R52,武学奇术!$A:$ZZ,28,FALSE)</f>
        <v>0.81</v>
      </c>
      <c r="AL52" s="27">
        <f>VLOOKUP($R52,武学奇术!$A:$ZZ,29,FALSE)*(1+IF(OR($AH52=$F$4,$AH52=$F$5),$B$22,0))</f>
        <v>0</v>
      </c>
      <c r="AM52" s="26" cm="1">
        <f t="array" ref="AM52">$G$3+IFERROR(VLOOKUP($AH52,$F$4:$G$7,2,FALSE),0)+VLOOKUP($R52,武学奇术!$A:$ZZ,2,FALSE)+SUM(_xlfn.XLOOKUP($S52:$AG52,增益!$A:$A,增益!$B:$B,0))</f>
        <v>1.0541</v>
      </c>
      <c r="AN52" s="26" cm="1">
        <f t="array" ref="AN52">VLOOKUP($R52,武学奇术!$A:$ZZ,5,FALSE)+SUM(_xlfn.XLOOKUP($S52:$AG52,增益!$A:$A,增益!$E:$E,0))</f>
        <v>0</v>
      </c>
      <c r="AO52" cm="1">
        <f t="array" ref="AO52">$D$10*(1+$AN52)+VLOOKUP($R52,武学奇术!$A:$ZZ,3,FALSE)+SUM(_xlfn.XLOOKUP($S52:$AG52,增益!$A:$A,增益!$C:$C,0))-$I$2</f>
        <v>3624.6</v>
      </c>
      <c r="AP52" cm="1">
        <f t="array" ref="AP52">$E$10*(1+$AN52)+VLOOKUP($R52,武学奇术!$A:$ZZ,4,FALSE)+SUM(_xlfn.XLOOKUP($S52:$AG52,增益!$A:$A,增益!$D:$D,0))-$I$2</f>
        <v>3624.6</v>
      </c>
      <c r="AQ52" s="32" cm="1">
        <f t="array" ref="AQ52">IF($F$10-$I$3+VLOOKUP($R52,武学奇术!$A:$ZZ,6,FALSE)+SUM(_xlfn.XLOOKUP(S52:AG52,增益!$A:$A,增益!$F:$F,0))&gt;0,($F$10-$I$3+VLOOKUP($R52,武学奇术!$A:$ZZ,6,FALSE)+SUM(_xlfn.XLOOKUP(S52:AG52,增益!$A:$A,增益!$F:$F,0)))/200,($F$10-$I$3+VLOOKUP($R52,武学奇术!$A:$ZZ,6,FALSE)+SUM(_xlfn.XLOOKUP(S52:AG52,增益!$A:$A,增益!$F:$F,0)))/100)</f>
        <v>0.3425</v>
      </c>
      <c r="AR52" s="32" cm="1">
        <f t="array" ref="AR52">$G$10+VLOOKUP($R52,武学奇术!$A:$ZZ,7,FALSE)+SUM(_xlfn.XLOOKUP(S52:AG52,增益!$A:$A,增益!$G:$G,0))</f>
        <v>0.148</v>
      </c>
      <c r="AS52" s="26" cm="1">
        <f t="array" ref="AS52">VLOOKUP($R52,武学奇术!$A:$ZZ,8,FALSE)+SUM(_xlfn.XLOOKUP(S52:AG52,增益!$A:$A,增益!$H:$H,0))</f>
        <v>0</v>
      </c>
      <c r="AT52">
        <f t="shared" si="19"/>
        <v>0</v>
      </c>
      <c r="AU52">
        <f t="shared" si="20"/>
        <v>0</v>
      </c>
      <c r="AV52" s="32" cm="1">
        <f t="array" ref="AV52">IF($F$11-$I$4+VLOOKUP($R52,武学奇术!$A:$ZZ,9,FALSE)+SUM(_xlfn.XLOOKUP(S52:AG52,增益!$A:$A,增益!$I:$I,0))&gt;0,($F$11-$I$4+VLOOKUP($R52,武学奇术!$A:$ZZ,9,FALSE)+SUM(_xlfn.XLOOKUP(S52:AG52,增益!$A:$A,增益!$I:$I,0)))/200,($F$11-$I$4+VLOOKUP($R52,武学奇术!$A:$ZZ,9,FALSE)+SUM(_xlfn.XLOOKUP(S52:AG52,增益!$A:$A,增益!$I:$I,0)))/100)</f>
        <v>-0.14</v>
      </c>
      <c r="AW52" s="32" cm="1">
        <f t="array" ref="AW52">$G$11+VLOOKUP($R52,武学奇术!$A:$ZZ,10,FALSE)+SUM(_xlfn.XLOOKUP(S52:AG52,增益!$A:$A,增益!$J:$J,0))</f>
        <v>0</v>
      </c>
      <c r="AX52">
        <f t="shared" si="21"/>
        <v>0</v>
      </c>
      <c r="AY52">
        <f t="shared" si="22"/>
        <v>0</v>
      </c>
      <c r="AZ52" s="32" cm="1">
        <f t="array" ref="AZ52">IF($F$12-$I$4+VLOOKUP($R52,武学奇术!$A:$ZZ,11,FALSE)+SUM(_xlfn.XLOOKUP(S52:AG52,增益!$A:$A,增益!$K:$K,0))&gt;0,($F$12-$I$4+VLOOKUP($R52,武学奇术!$A:$ZZ,11,FALSE)+SUM(_xlfn.XLOOKUP(S52:AG52,增益!$A:$A,增益!$K:$K,0)))/200,($F$12-$I$4+VLOOKUP($R52,武学奇术!$A:$ZZ,11,FALSE)+SUM(_xlfn.XLOOKUP(S52:AG52,增益!$A:$A,增益!$K:$K,0)))/100)</f>
        <v>-0.14</v>
      </c>
      <c r="BA52" s="32" cm="1">
        <f t="array" ref="BA52">$G$12+VLOOKUP($R52,武学奇术!$A:$ZZ,12,FALSE)+SUM(_xlfn.XLOOKUP(S52:AG52,增益!$A:$A,增益!$L:$L,0))</f>
        <v>0</v>
      </c>
      <c r="BB52">
        <f t="shared" si="14"/>
        <v>0</v>
      </c>
      <c r="BC52">
        <f t="shared" si="15"/>
        <v>0</v>
      </c>
      <c r="BD52" s="32" cm="1">
        <f t="array" ref="BD52">IF($F$13-$I$4+VLOOKUP($R52,武学奇术!$A:$ZZ,13,FALSE)+SUM(_xlfn.XLOOKUP(S52:AG52,增益!$A:$A,增益!$M:$M,0))&gt;0,($F$13-$I$4+VLOOKUP($R52,武学奇术!$A:$ZZ,13,FALSE)+SUM(_xlfn.XLOOKUP(S52:AG52,增益!$A:$A,增益!$K:$K,0)))/200,($F$13-$I$4+VLOOKUP($R52,武学奇术!$A:$ZZ,13,FALSE)+SUM(_xlfn.XLOOKUP(S52:AG52,增益!$A:$A,增益!$M:$M,0)))/100)</f>
        <v>-0.14</v>
      </c>
      <c r="BE52" s="32" cm="1">
        <f t="array" ref="BE52">$G$13+VLOOKUP($R52,武学奇术!$A:$ZZ,14,FALSE)+SUM(_xlfn.XLOOKUP(S52:AG52,增益!$A:$A,增益!$N:$N,0))</f>
        <v>0</v>
      </c>
      <c r="BF52">
        <f t="shared" si="16"/>
        <v>571.2</v>
      </c>
      <c r="BG52">
        <f t="shared" si="17"/>
        <v>1627.8</v>
      </c>
      <c r="BH52" s="32" cm="1">
        <f t="array" ref="BH52">IF($F$14-$I$4+VLOOKUP($R52,武学奇术!$A:$ZZ,15,FALSE)+SUM(_xlfn.XLOOKUP(S52:AG52,增益!$A:$A,增益!$O:$O,0))&gt;0,($F$14-$I$4+VLOOKUP($R52,武学奇术!$A:$ZZ,15,FALSE)+SUM(_xlfn.XLOOKUP(S52:AG52,增益!$A:$A,增益!$O:$O,0)))/200,($F$14-$I$4+VLOOKUP($R52,武学奇术!$A:$ZZ,15,FALSE)+SUM(_xlfn.XLOOKUP(S52:AG52,增益!$A:$A,增益!$O:$O,0)))/100)</f>
        <v>0.08</v>
      </c>
      <c r="BI52" s="32" cm="1">
        <f t="array" ref="BI52">$G$14+VLOOKUP($R52,武学奇术!$A:$ZZ,16,FALSE)+SUM(_xlfn.XLOOKUP(S52:AG52,增益!$A:$A,增益!$P:$P,0))</f>
        <v>0.27</v>
      </c>
      <c r="BJ52" s="26">
        <f>MIN(IF(VLOOKUP($R52,武学奇术!$A:$ZZ,23,FALSE)=1,100%,$B$8),100%)</f>
        <v>1</v>
      </c>
      <c r="BK52" s="26" cm="1">
        <f t="array" ref="BK52">IF(VLOOKUP($R52,武学奇术!$A:$ZZ,23,FALSE)=1,100%,MIN(80%,$B$9+VLOOKUP($R52,武学奇术!$A:$ZZ,17,FALSE)+SUM(_xlfn.XLOOKUP(S52:AG52,增益!$A:$A,增益!$Q:$Q,0)))+$B$11+SUM(_xlfn.XLOOKUP(S52:AG52,增益!$A:$A,增益!$U:$U,0)))*IF(VLOOKUP($R52,武学奇术!$A:$ZZ,24,FALSE)=1,0,1)</f>
        <v>1</v>
      </c>
      <c r="BL52" s="26" cm="1">
        <f t="array" ref="BL52">1+$B$13+VLOOKUP($R52,武学奇术!$A:$ZZ,18,FALSE)+SUM(_xlfn.XLOOKUP(S52:AG52,增益!$A:$A,增益!$R:$R,0))</f>
        <v>2.06</v>
      </c>
      <c r="BM52" s="26" cm="1">
        <f t="array" ref="BM52">IF(VLOOKUP($R52,武学奇术!$A:$ZZ,24,FALSE)=1,100%,MIN(40%,$B$10+VLOOKUP($R52,武学奇术!$A:$ZZ,19,FALSE)+SUM(_xlfn.XLOOKUP(S52:AG52,增益!$A:$A,增益!$S:$S,0)))+$B$12+SUM(_xlfn.XLOOKUP(S52:AG52,增益!$A:$A,增益!$V:$V,0)))*IF(VLOOKUP($R52,武学奇术!$A:$ZZ,23,FALSE)=1,0,1)</f>
        <v>0</v>
      </c>
      <c r="BN52" s="26" cm="1">
        <f t="array" ref="BN52">1+$B$14+VLOOKUP($R52,武学奇术!$A:$ZZ,20,FALSE)+SUM(_xlfn.XLOOKUP(S52:AG52,增益!$A:$A,增益!$T:$T,0))</f>
        <v>1.35</v>
      </c>
      <c r="BO52" s="26">
        <f t="shared" si="12"/>
        <v>1</v>
      </c>
      <c r="BP52" s="26">
        <f t="shared" si="18"/>
        <v>0</v>
      </c>
      <c r="BQ52" s="26">
        <f>IF(VLOOKUP($R52,武学奇术!$A:$ZZ,22,FALSE)=1,0,(1-$BJ52))*(1-$BM52)</f>
        <v>0</v>
      </c>
      <c r="BR52" s="26" cm="1">
        <f t="array" ref="BR52">SUM(_xlfn.XLOOKUP(S52:AG52,增益!$A:$A,增益!$W:$W,0))+$I$5</f>
        <v>0.11</v>
      </c>
    </row>
    <row r="53" spans="1:70">
      <c r="A53" s="4" t="s">
        <v>161</v>
      </c>
      <c r="B53" s="87">
        <v>1</v>
      </c>
      <c r="C53" s="39"/>
      <c r="F53" s="39"/>
      <c r="K53">
        <f>$L53*VLOOKUP($R53,武学奇术!$A:$ZZ,31,FALSE)</f>
        <v>79316.0324657353</v>
      </c>
      <c r="L53" s="38">
        <f t="shared" si="13"/>
        <v>75539.0785387956</v>
      </c>
      <c r="M53" s="38">
        <f>((($AO53+$AP53)/2*$AI53+$AJ53)*(1+$AQ53)*(1+$AR53)+(($AT53+$AU53)/2*IF($G$1="鸣金",$AK53,$AI53)+IF($G$1="鸣金",$AL53*1.5,0))*(1+$AV53)*(1+$AW53)+(($AX53+$AY53)/2*IF($G$1="裂石",$AK53,$AI53)+IF($G$1="裂石",$AL53*1.5,0))*(1+$AZ53)*(1+$BA53)+(($BB53+$BC53)/2*IF($G$1="牵丝",$AK53,$AI53)+IF($G$1="牵丝",$AL53*1.5,0))*(1+$BD53)*(1+$BE53)+(($BF53+$BG53)/2*IF($G$1="破竹",$AK53,$AI53)+IF($G$1="破竹",$AL53*1.5,0))*(1+$BH53)*(1+$BI53))*(1+$AM53)*$BL53*$Q53*(1+IF(VLOOKUP($R53,武学奇术!$A:$ZZ,30,FALSE)="回旋伞",$B$21,0))*(1+$BR53)</f>
        <v>80821.0081609984</v>
      </c>
      <c r="N53" s="38">
        <f>(($AP53*$AI53+$AJ53)*(1+$AQ53)*(1+$AR53)+($AU53*IF($G$1="鸣金",$AK53,$AI53)+IF($G$1="鸣金",$AL53*1.5,0))*(1+$AV53)*(1+$AW53)+($AY53*IF($G$1="裂石",$AK53,$AI53)+IF($G$1="裂石",$AL53*1.5,0))*(1+$AZ53)*(1+$BA53)+($BC53*IF($G$1="牵丝",$AK53,$AI53)+IF($G$1="牵丝",$AL53*1.5,0))*(1+$BD53)*(1+$BE53)+($BG53*IF($G$1="破竹",$AK53,$AI53)+IF($G$1="破竹",$AL53*1.5,0))*(1+$BH53)*(1+$BI53))*(1+$AM53)*$BN53*$Q53*(1+IF(VLOOKUP($R53,武学奇术!$A:$ZZ,30,FALSE)="回旋伞",$B$21,0))*(1+$BR53)</f>
        <v>59396.3389289428</v>
      </c>
      <c r="O53" s="38">
        <f>((($AO53+$AP53)/2*$AI53+$AJ53)*(1+$AQ53)*(1+$AR53)+(($AT53+$AU53)/2*IF($G$1="鸣金",$AK53,$AI53)+IF($G$1="鸣金",$AL53*1.5,0))*(1+$AV53)*(1+$AW53)+(($AX53+$AY53)/2*IF($G$1="裂石",$AK53,$AI53)+IF($G$1="裂石",$AL53*1.5,0))*(1+$AZ53)*(1+$BA53)+(($BB53+$BC53)/2*IF($G$1="牵丝",$AK53,$AI53)+IF($G$1="牵丝",$AL53*1.5,0))*(1+$BD53)*(1+$BE53)+(($BF53+$BG53)/2*IF($G$1="破竹",$AK53,$AI53)+IF($G$1="破竹",$AL53*1.5,0))*(1+$BH53)*(1+$BI53))*(1+$AM53)*$Q53*(1+IF(VLOOKUP($R53,武学奇术!$A:$ZZ,30,FALSE)="回旋伞",$B$21,0))*(1+$BR53)</f>
        <v>39233.4991072808</v>
      </c>
      <c r="P53" s="38">
        <f>((($AO53*$AI53+$AJ53)*(1+$AQ53)*(1+$AR53)+($AT53*IF($G$1="鸣金",$AK53,$AI53)+IF($G$1="鸣金",$AL53*1.5,0))*(1+$AV53)*(1+$AW53)+($AX53*IF($G$1="裂石",$AK53,$AI53)+IF($G$1="裂石",$AL53*1.5,0))*(1+$AZ53)*(1+$BA53)+($BB53*IF($G$1="牵丝",$AK53,$AI53)+IF($G$1="牵丝",$AL53*1.5,0))*(1+$BD53)*(1+$BE53)+($BF53*IF($G$1="破竹",$AK53,$AI53)+IF($G$1="破竹",$AL53*1.5,0))*(1+$BH53)*(1+$BI53))*(1+$AM53))*$Q53*(1+IF(VLOOKUP($R53,武学奇术!$A:$ZZ,30,FALSE)="回旋伞",$B$21,0))*(1+$BR53)</f>
        <v>34469.7101190484</v>
      </c>
      <c r="Q53" s="39">
        <v>1</v>
      </c>
      <c r="R53" s="40" t="s">
        <v>108</v>
      </c>
      <c r="S53" s="40" t="s">
        <v>109</v>
      </c>
      <c r="T53" s="40" t="s">
        <v>95</v>
      </c>
      <c r="U53" s="40" t="s">
        <v>73</v>
      </c>
      <c r="V53" s="40" t="s">
        <v>72</v>
      </c>
      <c r="W53" s="40" t="s">
        <v>172</v>
      </c>
      <c r="X53" s="40" t="s">
        <v>99</v>
      </c>
      <c r="Y53" s="40" t="s">
        <v>84</v>
      </c>
      <c r="Z53" s="40" t="s">
        <v>72</v>
      </c>
      <c r="AA53" s="40" t="s">
        <v>72</v>
      </c>
      <c r="AB53" s="40" t="s">
        <v>126</v>
      </c>
      <c r="AC53" s="40" t="s">
        <v>91</v>
      </c>
      <c r="AD53" s="40" t="s">
        <v>72</v>
      </c>
      <c r="AE53" s="40" t="s">
        <v>72</v>
      </c>
      <c r="AF53" s="40" t="s">
        <v>77</v>
      </c>
      <c r="AG53" s="40" t="s">
        <v>78</v>
      </c>
      <c r="AH53" t="str">
        <f>VLOOKUP($R53,武学奇术!$A:$ZZ,25,FALSE)</f>
        <v>伞</v>
      </c>
      <c r="AI53" s="26">
        <f>VLOOKUP($R53,武学奇术!$A:$ZZ,26,FALSE)</f>
        <v>1.8084</v>
      </c>
      <c r="AJ53" s="27">
        <f>VLOOKUP($R53,武学奇术!$A:$ZZ,27,FALSE)*(1+IF(OR($AH53=$F$4,$AH53=$F$5),$B$22,0))</f>
        <v>750</v>
      </c>
      <c r="AK53" s="26">
        <f>VLOOKUP($R53,武学奇术!$A:$ZZ,28,FALSE)</f>
        <v>2.7126</v>
      </c>
      <c r="AL53" s="27">
        <f>VLOOKUP($R53,武学奇术!$A:$ZZ,29,FALSE)*(1+IF(OR($AH53=$F$4,$AH53=$F$5),$B$22,0))</f>
        <v>408</v>
      </c>
      <c r="AM53" s="26" cm="1">
        <f t="array" ref="AM53">$G$3+IFERROR(VLOOKUP($AH53,$F$4:$G$7,2,FALSE),0)+VLOOKUP($R53,武学奇术!$A:$ZZ,2,FALSE)+SUM(_xlfn.XLOOKUP($S53:$AG53,增益!$A:$A,增益!$B:$B,0))</f>
        <v>0.6541</v>
      </c>
      <c r="AN53" s="26" cm="1">
        <f t="array" ref="AN53">VLOOKUP($R53,武学奇术!$A:$ZZ,5,FALSE)+SUM(_xlfn.XLOOKUP($S53:$AG53,增益!$A:$A,增益!$E:$E,0))</f>
        <v>0</v>
      </c>
      <c r="AO53" cm="1">
        <f t="array" ref="AO53">$D$10*(1+$AN53)+VLOOKUP($R53,武学奇术!$A:$ZZ,3,FALSE)+SUM(_xlfn.XLOOKUP($S53:$AG53,增益!$A:$A,增益!$C:$C,0))-$I$2</f>
        <v>3624.6</v>
      </c>
      <c r="AP53" cm="1">
        <f t="array" ref="AP53">$E$10*(1+$AN53)+VLOOKUP($R53,武学奇术!$A:$ZZ,4,FALSE)+SUM(_xlfn.XLOOKUP($S53:$AG53,增益!$A:$A,增益!$D:$D,0))-$I$2</f>
        <v>3624.6</v>
      </c>
      <c r="AQ53" s="32" cm="1">
        <f t="array" ref="AQ53">IF($F$10-$I$3+VLOOKUP($R53,武学奇术!$A:$ZZ,6,FALSE)+SUM(_xlfn.XLOOKUP(S53:AG53,增益!$A:$A,增益!$F:$F,0))&gt;0,($F$10-$I$3+VLOOKUP($R53,武学奇术!$A:$ZZ,6,FALSE)+SUM(_xlfn.XLOOKUP(S53:AG53,增益!$A:$A,增益!$F:$F,0)))/200,($F$10-$I$3+VLOOKUP($R53,武学奇术!$A:$ZZ,6,FALSE)+SUM(_xlfn.XLOOKUP(S53:AG53,增益!$A:$A,增益!$F:$F,0)))/100)</f>
        <v>0.3425</v>
      </c>
      <c r="AR53" s="32" cm="1">
        <f t="array" ref="AR53">$G$10+VLOOKUP($R53,武学奇术!$A:$ZZ,7,FALSE)+SUM(_xlfn.XLOOKUP(S53:AG53,增益!$A:$A,增益!$G:$G,0))</f>
        <v>0.148</v>
      </c>
      <c r="AS53" s="26" cm="1">
        <f t="array" ref="AS53">VLOOKUP($R53,武学奇术!$A:$ZZ,8,FALSE)+SUM(_xlfn.XLOOKUP(S53:AG53,增益!$A:$A,增益!$H:$H,0))</f>
        <v>0</v>
      </c>
      <c r="AT53">
        <f t="shared" si="19"/>
        <v>0</v>
      </c>
      <c r="AU53">
        <f t="shared" si="20"/>
        <v>0</v>
      </c>
      <c r="AV53" s="32" cm="1">
        <f t="array" ref="AV53">IF($F$11-$I$4+VLOOKUP($R53,武学奇术!$A:$ZZ,9,FALSE)+SUM(_xlfn.XLOOKUP(S53:AG53,增益!$A:$A,增益!$I:$I,0))&gt;0,($F$11-$I$4+VLOOKUP($R53,武学奇术!$A:$ZZ,9,FALSE)+SUM(_xlfn.XLOOKUP(S53:AG53,增益!$A:$A,增益!$I:$I,0)))/200,($F$11-$I$4+VLOOKUP($R53,武学奇术!$A:$ZZ,9,FALSE)+SUM(_xlfn.XLOOKUP(S53:AG53,增益!$A:$A,增益!$I:$I,0)))/100)</f>
        <v>-0.14</v>
      </c>
      <c r="AW53" s="32" cm="1">
        <f t="array" ref="AW53">$G$11+VLOOKUP($R53,武学奇术!$A:$ZZ,10,FALSE)+SUM(_xlfn.XLOOKUP(S53:AG53,增益!$A:$A,增益!$J:$J,0))</f>
        <v>0</v>
      </c>
      <c r="AX53">
        <f t="shared" si="21"/>
        <v>0</v>
      </c>
      <c r="AY53">
        <f t="shared" si="22"/>
        <v>0</v>
      </c>
      <c r="AZ53" s="32" cm="1">
        <f t="array" ref="AZ53">IF($F$12-$I$4+VLOOKUP($R53,武学奇术!$A:$ZZ,11,FALSE)+SUM(_xlfn.XLOOKUP(S53:AG53,增益!$A:$A,增益!$K:$K,0))&gt;0,($F$12-$I$4+VLOOKUP($R53,武学奇术!$A:$ZZ,11,FALSE)+SUM(_xlfn.XLOOKUP(S53:AG53,增益!$A:$A,增益!$K:$K,0)))/200,($F$12-$I$4+VLOOKUP($R53,武学奇术!$A:$ZZ,11,FALSE)+SUM(_xlfn.XLOOKUP(S53:AG53,增益!$A:$A,增益!$K:$K,0)))/100)</f>
        <v>-0.14</v>
      </c>
      <c r="BA53" s="32" cm="1">
        <f t="array" ref="BA53">$G$12+VLOOKUP($R53,武学奇术!$A:$ZZ,12,FALSE)+SUM(_xlfn.XLOOKUP(S53:AG53,增益!$A:$A,增益!$L:$L,0))</f>
        <v>0</v>
      </c>
      <c r="BB53">
        <f t="shared" si="14"/>
        <v>0</v>
      </c>
      <c r="BC53">
        <f t="shared" si="15"/>
        <v>0</v>
      </c>
      <c r="BD53" s="32" cm="1">
        <f t="array" ref="BD53">IF($F$13-$I$4+VLOOKUP($R53,武学奇术!$A:$ZZ,13,FALSE)+SUM(_xlfn.XLOOKUP(S53:AG53,增益!$A:$A,增益!$M:$M,0))&gt;0,($F$13-$I$4+VLOOKUP($R53,武学奇术!$A:$ZZ,13,FALSE)+SUM(_xlfn.XLOOKUP(S53:AG53,增益!$A:$A,增益!$K:$K,0)))/200,($F$13-$I$4+VLOOKUP($R53,武学奇术!$A:$ZZ,13,FALSE)+SUM(_xlfn.XLOOKUP(S53:AG53,增益!$A:$A,增益!$M:$M,0)))/100)</f>
        <v>-0.14</v>
      </c>
      <c r="BE53" s="32" cm="1">
        <f t="array" ref="BE53">$G$13+VLOOKUP($R53,武学奇术!$A:$ZZ,14,FALSE)+SUM(_xlfn.XLOOKUP(S53:AG53,增益!$A:$A,增益!$N:$N,0))</f>
        <v>0</v>
      </c>
      <c r="BF53">
        <f t="shared" si="16"/>
        <v>571.2</v>
      </c>
      <c r="BG53">
        <f t="shared" si="17"/>
        <v>1627.8</v>
      </c>
      <c r="BH53" s="32" cm="1">
        <f t="array" ref="BH53">IF($F$14-$I$4+VLOOKUP($R53,武学奇术!$A:$ZZ,15,FALSE)+SUM(_xlfn.XLOOKUP(S53:AG53,增益!$A:$A,增益!$O:$O,0))&gt;0,($F$14-$I$4+VLOOKUP($R53,武学奇术!$A:$ZZ,15,FALSE)+SUM(_xlfn.XLOOKUP(S53:AG53,增益!$A:$A,增益!$O:$O,0)))/200,($F$14-$I$4+VLOOKUP($R53,武学奇术!$A:$ZZ,15,FALSE)+SUM(_xlfn.XLOOKUP(S53:AG53,增益!$A:$A,增益!$O:$O,0)))/100)</f>
        <v>0.08</v>
      </c>
      <c r="BI53" s="32" cm="1">
        <f t="array" ref="BI53">$G$14+VLOOKUP($R53,武学奇术!$A:$ZZ,16,FALSE)+SUM(_xlfn.XLOOKUP(S53:AG53,增益!$A:$A,增益!$P:$P,0))</f>
        <v>0.27</v>
      </c>
      <c r="BJ53" s="26">
        <f>MIN(IF(VLOOKUP($R53,武学奇术!$A:$ZZ,23,FALSE)=1,100%,$B$8),100%)</f>
        <v>0.981</v>
      </c>
      <c r="BK53" s="26" cm="1">
        <f t="array" ref="BK53">IF(VLOOKUP($R53,武学奇术!$A:$ZZ,23,FALSE)=1,100%,MIN(80%,$B$9+VLOOKUP($R53,武学奇术!$A:$ZZ,17,FALSE)+SUM(_xlfn.XLOOKUP(S53:AG53,增益!$A:$A,增益!$Q:$Q,0)))+$B$11+SUM(_xlfn.XLOOKUP(S53:AG53,增益!$A:$A,增益!$U:$U,0)))*IF(VLOOKUP($R53,武学奇术!$A:$ZZ,24,FALSE)=1,0,1)</f>
        <v>0.846</v>
      </c>
      <c r="BL53" s="26" cm="1">
        <f t="array" ref="BL53">1+$B$13+VLOOKUP($R53,武学奇术!$A:$ZZ,18,FALSE)+SUM(_xlfn.XLOOKUP(S53:AG53,增益!$A:$A,增益!$R:$R,0))</f>
        <v>2.06</v>
      </c>
      <c r="BM53" s="26" cm="1">
        <f t="array" ref="BM53">IF(VLOOKUP($R53,武学奇术!$A:$ZZ,24,FALSE)=1,100%,MIN(40%,$B$10+VLOOKUP($R53,武学奇术!$A:$ZZ,19,FALSE)+SUM(_xlfn.XLOOKUP(S53:AG53,增益!$A:$A,增益!$S:$S,0)))+$B$12+SUM(_xlfn.XLOOKUP(S53:AG53,增益!$A:$A,增益!$V:$V,0)))*IF(VLOOKUP($R53,武学奇术!$A:$ZZ,23,FALSE)=1,0,1)</f>
        <v>0.0929</v>
      </c>
      <c r="BN53" s="26" cm="1">
        <f t="array" ref="BN53">1+$B$14+VLOOKUP($R53,武学奇术!$A:$ZZ,20,FALSE)+SUM(_xlfn.XLOOKUP(S53:AG53,增益!$A:$A,增益!$T:$T,0))</f>
        <v>1.35</v>
      </c>
      <c r="BO53" s="26">
        <f t="shared" si="12"/>
        <v>0.829926</v>
      </c>
      <c r="BP53" s="26">
        <f t="shared" si="18"/>
        <v>0.0599391</v>
      </c>
      <c r="BQ53" s="26">
        <f>IF(VLOOKUP($R53,武学奇术!$A:$ZZ,22,FALSE)=1,0,(1-$BJ53))*(1-$BM53)</f>
        <v>0.0172349</v>
      </c>
      <c r="BR53" s="26" cm="1">
        <f t="array" ref="BR53">SUM(_xlfn.XLOOKUP(S53:AG53,增益!$A:$A,增益!$W:$W,0))+$I$5</f>
        <v>0.11</v>
      </c>
    </row>
    <row r="54" spans="1:70">
      <c r="A54" s="4" t="s">
        <v>161</v>
      </c>
      <c r="B54" s="4">
        <v>1</v>
      </c>
      <c r="E54" s="39" t="s">
        <v>163</v>
      </c>
      <c r="F54" s="39"/>
      <c r="K54">
        <f>$L54*VLOOKUP($R54,武学奇术!$A:$ZZ,31,FALSE)</f>
        <v>46596.1639419957</v>
      </c>
      <c r="L54" s="38">
        <f t="shared" si="13"/>
        <v>44377.2989923769</v>
      </c>
      <c r="M54" s="38">
        <f>((($AO54+$AP54)/2*$AI54+$AJ54)*(1+$AQ54)*(1+$AR54)+(($AT54+$AU54)/2*IF($G$1="鸣金",$AK54,$AI54)+IF($G$1="鸣金",$AL54*1.5,0))*(1+$AV54)*(1+$AW54)+(($AX54+$AY54)/2*IF($G$1="裂石",$AK54,$AI54)+IF($G$1="裂石",$AL54*1.5,0))*(1+$AZ54)*(1+$BA54)+(($BB54+$BC54)/2*IF($G$1="牵丝",$AK54,$AI54)+IF($G$1="牵丝",$AL54*1.5,0))*(1+$BD54)*(1+$BE54)+(($BF54+$BG54)/2*IF($G$1="破竹",$AK54,$AI54)+IF($G$1="破竹",$AL54*1.5,0))*(1+$BH54)*(1+$BI54))*(1+$AM54)*$BL54*$Q54*(1+IF(VLOOKUP($R54,武学奇术!$A:$ZZ,30,FALSE)="回旋伞",$B$21,0))*(1+$BR54)</f>
        <v>47434.8039247214</v>
      </c>
      <c r="N54" s="38">
        <f>(($AP54*$AI54+$AJ54)*(1+$AQ54)*(1+$AR54)+($AU54*IF($G$1="鸣金",$AK54,$AI54)+IF($G$1="鸣金",$AL54*1.5,0))*(1+$AV54)*(1+$AW54)+($AY54*IF($G$1="裂石",$AK54,$AI54)+IF($G$1="裂石",$AL54*1.5,0))*(1+$AZ54)*(1+$BA54)+($BC54*IF($G$1="牵丝",$AK54,$AI54)+IF($G$1="牵丝",$AL54*1.5,0))*(1+$BD54)*(1+$BE54)+($BG54*IF($G$1="破竹",$AK54,$AI54)+IF($G$1="破竹",$AL54*1.5,0))*(1+$BH54)*(1+$BI54))*(1+$AM54)*$BN54*$Q54*(1+IF(VLOOKUP($R54,武学奇术!$A:$ZZ,30,FALSE)="回旋伞",$B$21,0))*(1+$BR54)</f>
        <v>35391.0517744919</v>
      </c>
      <c r="O54" s="38">
        <f>((($AO54+$AP54)/2*$AI54+$AJ54)*(1+$AQ54)*(1+$AR54)+(($AT54+$AU54)/2*IF($G$1="鸣金",$AK54,$AI54)+IF($G$1="鸣金",$AL54*1.5,0))*(1+$AV54)*(1+$AW54)+(($AX54+$AY54)/2*IF($G$1="裂石",$AK54,$AI54)+IF($G$1="裂石",$AL54*1.5,0))*(1+$AZ54)*(1+$BA54)+(($BB54+$BC54)/2*IF($G$1="牵丝",$AK54,$AI54)+IF($G$1="牵丝",$AL54*1.5,0))*(1+$BD54)*(1+$BE54)+(($BF54+$BG54)/2*IF($G$1="破竹",$AK54,$AI54)+IF($G$1="破竹",$AL54*1.5,0))*(1+$BH54)*(1+$BI54))*(1+$AM54)*$Q54*(1+IF(VLOOKUP($R54,武学奇术!$A:$ZZ,30,FALSE)="回旋伞",$B$21,0))*(1+$BR54)</f>
        <v>23026.6038469521</v>
      </c>
      <c r="P54" s="38">
        <f>((($AO54*$AI54+$AJ54)*(1+$AQ54)*(1+$AR54)+($AT54*IF($G$1="鸣金",$AK54,$AI54)+IF($G$1="鸣金",$AL54*1.5,0))*(1+$AV54)*(1+$AW54)+($AX54*IF($G$1="裂石",$AK54,$AI54)+IF($G$1="裂石",$AL54*1.5,0))*(1+$AZ54)*(1+$BA54)+($BB54*IF($G$1="牵丝",$AK54,$AI54)+IF($G$1="牵丝",$AL54*1.5,0))*(1+$BD54)*(1+$BE54)+($BF54*IF($G$1="破竹",$AK54,$AI54)+IF($G$1="破竹",$AL54*1.5,0))*(1+$BH54)*(1+$BI54))*(1+$AM54))*$Q54*(1+IF(VLOOKUP($R54,武学奇术!$A:$ZZ,30,FALSE)="回旋伞",$B$21,0))*(1+$BR54)</f>
        <v>19837.6137868732</v>
      </c>
      <c r="Q54" s="39">
        <v>2</v>
      </c>
      <c r="R54" s="40" t="s">
        <v>112</v>
      </c>
      <c r="S54" s="40" t="s">
        <v>109</v>
      </c>
      <c r="T54" s="40" t="s">
        <v>95</v>
      </c>
      <c r="U54" s="40" t="s">
        <v>73</v>
      </c>
      <c r="V54" s="40" t="s">
        <v>72</v>
      </c>
      <c r="W54" s="40" t="s">
        <v>172</v>
      </c>
      <c r="X54" s="40" t="s">
        <v>99</v>
      </c>
      <c r="Y54" s="40" t="s">
        <v>84</v>
      </c>
      <c r="Z54" s="40" t="s">
        <v>72</v>
      </c>
      <c r="AA54" s="40" t="s">
        <v>72</v>
      </c>
      <c r="AB54" s="40" t="s">
        <v>126</v>
      </c>
      <c r="AC54" s="40" t="s">
        <v>91</v>
      </c>
      <c r="AD54" s="40" t="s">
        <v>72</v>
      </c>
      <c r="AE54" s="40" t="s">
        <v>72</v>
      </c>
      <c r="AF54" s="40" t="s">
        <v>77</v>
      </c>
      <c r="AG54" s="40" t="s">
        <v>78</v>
      </c>
      <c r="AH54" t="str">
        <f>VLOOKUP($R54,武学奇术!$A:$ZZ,25,FALSE)</f>
        <v>伞</v>
      </c>
      <c r="AI54" s="26">
        <f>VLOOKUP($R54,武学奇术!$A:$ZZ,26,FALSE)</f>
        <v>0.54</v>
      </c>
      <c r="AJ54" s="27">
        <f>VLOOKUP($R54,武学奇术!$A:$ZZ,27,FALSE)*(1+IF(OR($AH54=$F$4,$AH54=$F$5),$B$22,0))</f>
        <v>0</v>
      </c>
      <c r="AK54" s="26">
        <f>VLOOKUP($R54,武学奇术!$A:$ZZ,28,FALSE)</f>
        <v>0.81</v>
      </c>
      <c r="AL54" s="27">
        <f>VLOOKUP($R54,武学奇术!$A:$ZZ,29,FALSE)*(1+IF(OR($AH54=$F$4,$AH54=$F$5),$B$22,0))</f>
        <v>0</v>
      </c>
      <c r="AM54" s="26" cm="1">
        <f t="array" ref="AM54">$G$3+IFERROR(VLOOKUP($AH54,$F$4:$G$7,2,FALSE),0)+VLOOKUP($R54,武学奇术!$A:$ZZ,2,FALSE)+SUM(_xlfn.XLOOKUP($S54:$AG54,增益!$A:$A,增益!$B:$B,0))</f>
        <v>0.8541</v>
      </c>
      <c r="AN54" s="26" cm="1">
        <f t="array" ref="AN54">VLOOKUP($R54,武学奇术!$A:$ZZ,5,FALSE)+SUM(_xlfn.XLOOKUP($S54:$AG54,增益!$A:$A,增益!$E:$E,0))</f>
        <v>0</v>
      </c>
      <c r="AO54" cm="1">
        <f t="array" ref="AO54">$D$10*(1+$AN54)+VLOOKUP($R54,武学奇术!$A:$ZZ,3,FALSE)+SUM(_xlfn.XLOOKUP($S54:$AG54,增益!$A:$A,增益!$C:$C,0))-$I$2</f>
        <v>3624.6</v>
      </c>
      <c r="AP54" cm="1">
        <f t="array" ref="AP54">$E$10*(1+$AN54)+VLOOKUP($R54,武学奇术!$A:$ZZ,4,FALSE)+SUM(_xlfn.XLOOKUP($S54:$AG54,增益!$A:$A,增益!$D:$D,0))-$I$2</f>
        <v>3624.6</v>
      </c>
      <c r="AQ54" s="32" cm="1">
        <f t="array" ref="AQ54">IF($F$10-$I$3+VLOOKUP($R54,武学奇术!$A:$ZZ,6,FALSE)+SUM(_xlfn.XLOOKUP(S54:AG54,增益!$A:$A,增益!$F:$F,0))&gt;0,($F$10-$I$3+VLOOKUP($R54,武学奇术!$A:$ZZ,6,FALSE)+SUM(_xlfn.XLOOKUP(S54:AG54,增益!$A:$A,增益!$F:$F,0)))/200,($F$10-$I$3+VLOOKUP($R54,武学奇术!$A:$ZZ,6,FALSE)+SUM(_xlfn.XLOOKUP(S54:AG54,增益!$A:$A,增益!$F:$F,0)))/100)</f>
        <v>0.3425</v>
      </c>
      <c r="AR54" s="32" cm="1">
        <f t="array" ref="AR54">$G$10+VLOOKUP($R54,武学奇术!$A:$ZZ,7,FALSE)+SUM(_xlfn.XLOOKUP(S54:AG54,增益!$A:$A,增益!$G:$G,0))</f>
        <v>0.148</v>
      </c>
      <c r="AS54" s="26" cm="1">
        <f t="array" ref="AS54">VLOOKUP($R54,武学奇术!$A:$ZZ,8,FALSE)+SUM(_xlfn.XLOOKUP(S54:AG54,增益!$A:$A,增益!$H:$H,0))</f>
        <v>0</v>
      </c>
      <c r="AT54">
        <f t="shared" si="19"/>
        <v>0</v>
      </c>
      <c r="AU54">
        <f t="shared" si="20"/>
        <v>0</v>
      </c>
      <c r="AV54" s="32" cm="1">
        <f t="array" ref="AV54">IF($F$11-$I$4+VLOOKUP($R54,武学奇术!$A:$ZZ,9,FALSE)+SUM(_xlfn.XLOOKUP(S54:AG54,增益!$A:$A,增益!$I:$I,0))&gt;0,($F$11-$I$4+VLOOKUP($R54,武学奇术!$A:$ZZ,9,FALSE)+SUM(_xlfn.XLOOKUP(S54:AG54,增益!$A:$A,增益!$I:$I,0)))/200,($F$11-$I$4+VLOOKUP($R54,武学奇术!$A:$ZZ,9,FALSE)+SUM(_xlfn.XLOOKUP(S54:AG54,增益!$A:$A,增益!$I:$I,0)))/100)</f>
        <v>-0.14</v>
      </c>
      <c r="AW54" s="32" cm="1">
        <f t="array" ref="AW54">$G$11+VLOOKUP($R54,武学奇术!$A:$ZZ,10,FALSE)+SUM(_xlfn.XLOOKUP(S54:AG54,增益!$A:$A,增益!$J:$J,0))</f>
        <v>0</v>
      </c>
      <c r="AX54">
        <f t="shared" si="21"/>
        <v>0</v>
      </c>
      <c r="AY54">
        <f t="shared" si="22"/>
        <v>0</v>
      </c>
      <c r="AZ54" s="32" cm="1">
        <f t="array" ref="AZ54">IF($F$12-$I$4+VLOOKUP($R54,武学奇术!$A:$ZZ,11,FALSE)+SUM(_xlfn.XLOOKUP(S54:AG54,增益!$A:$A,增益!$K:$K,0))&gt;0,($F$12-$I$4+VLOOKUP($R54,武学奇术!$A:$ZZ,11,FALSE)+SUM(_xlfn.XLOOKUP(S54:AG54,增益!$A:$A,增益!$K:$K,0)))/200,($F$12-$I$4+VLOOKUP($R54,武学奇术!$A:$ZZ,11,FALSE)+SUM(_xlfn.XLOOKUP(S54:AG54,增益!$A:$A,增益!$K:$K,0)))/100)</f>
        <v>-0.14</v>
      </c>
      <c r="BA54" s="32" cm="1">
        <f t="array" ref="BA54">$G$12+VLOOKUP($R54,武学奇术!$A:$ZZ,12,FALSE)+SUM(_xlfn.XLOOKUP(S54:AG54,增益!$A:$A,增益!$L:$L,0))</f>
        <v>0</v>
      </c>
      <c r="BB54">
        <f t="shared" si="14"/>
        <v>0</v>
      </c>
      <c r="BC54">
        <f t="shared" si="15"/>
        <v>0</v>
      </c>
      <c r="BD54" s="32" cm="1">
        <f t="array" ref="BD54">IF($F$13-$I$4+VLOOKUP($R54,武学奇术!$A:$ZZ,13,FALSE)+SUM(_xlfn.XLOOKUP(S54:AG54,增益!$A:$A,增益!$M:$M,0))&gt;0,($F$13-$I$4+VLOOKUP($R54,武学奇术!$A:$ZZ,13,FALSE)+SUM(_xlfn.XLOOKUP(S54:AG54,增益!$A:$A,增益!$K:$K,0)))/200,($F$13-$I$4+VLOOKUP($R54,武学奇术!$A:$ZZ,13,FALSE)+SUM(_xlfn.XLOOKUP(S54:AG54,增益!$A:$A,增益!$M:$M,0)))/100)</f>
        <v>-0.14</v>
      </c>
      <c r="BE54" s="32" cm="1">
        <f t="array" ref="BE54">$G$13+VLOOKUP($R54,武学奇术!$A:$ZZ,14,FALSE)+SUM(_xlfn.XLOOKUP(S54:AG54,增益!$A:$A,增益!$N:$N,0))</f>
        <v>0</v>
      </c>
      <c r="BF54">
        <f t="shared" si="16"/>
        <v>571.2</v>
      </c>
      <c r="BG54">
        <f t="shared" si="17"/>
        <v>1627.8</v>
      </c>
      <c r="BH54" s="32" cm="1">
        <f t="array" ref="BH54">IF($F$14-$I$4+VLOOKUP($R54,武学奇术!$A:$ZZ,15,FALSE)+SUM(_xlfn.XLOOKUP(S54:AG54,增益!$A:$A,增益!$O:$O,0))&gt;0,($F$14-$I$4+VLOOKUP($R54,武学奇术!$A:$ZZ,15,FALSE)+SUM(_xlfn.XLOOKUP(S54:AG54,增益!$A:$A,增益!$O:$O,0)))/200,($F$14-$I$4+VLOOKUP($R54,武学奇术!$A:$ZZ,15,FALSE)+SUM(_xlfn.XLOOKUP(S54:AG54,增益!$A:$A,增益!$O:$O,0)))/100)</f>
        <v>0.08</v>
      </c>
      <c r="BI54" s="32" cm="1">
        <f t="array" ref="BI54">$G$14+VLOOKUP($R54,武学奇术!$A:$ZZ,16,FALSE)+SUM(_xlfn.XLOOKUP(S54:AG54,增益!$A:$A,增益!$P:$P,0))</f>
        <v>0.27</v>
      </c>
      <c r="BJ54" s="26">
        <f>MIN(IF(VLOOKUP($R54,武学奇术!$A:$ZZ,23,FALSE)=1,100%,$B$8),100%)</f>
        <v>0.981</v>
      </c>
      <c r="BK54" s="26" cm="1">
        <f t="array" ref="BK54">IF(VLOOKUP($R54,武学奇术!$A:$ZZ,23,FALSE)=1,100%,MIN(80%,$B$9+VLOOKUP($R54,武学奇术!$A:$ZZ,17,FALSE)+SUM(_xlfn.XLOOKUP(S54:AG54,增益!$A:$A,增益!$Q:$Q,0)))+$B$11+SUM(_xlfn.XLOOKUP(S54:AG54,增益!$A:$A,增益!$U:$U,0)))*IF(VLOOKUP($R54,武学奇术!$A:$ZZ,24,FALSE)=1,0,1)</f>
        <v>0.846</v>
      </c>
      <c r="BL54" s="26" cm="1">
        <f t="array" ref="BL54">1+$B$13+VLOOKUP($R54,武学奇术!$A:$ZZ,18,FALSE)+SUM(_xlfn.XLOOKUP(S54:AG54,增益!$A:$A,增益!$R:$R,0))</f>
        <v>2.06</v>
      </c>
      <c r="BM54" s="26" cm="1">
        <f t="array" ref="BM54">IF(VLOOKUP($R54,武学奇术!$A:$ZZ,24,FALSE)=1,100%,MIN(40%,$B$10+VLOOKUP($R54,武学奇术!$A:$ZZ,19,FALSE)+SUM(_xlfn.XLOOKUP(S54:AG54,增益!$A:$A,增益!$S:$S,0)))+$B$12+SUM(_xlfn.XLOOKUP(S54:AG54,增益!$A:$A,增益!$V:$V,0)))*IF(VLOOKUP($R54,武学奇术!$A:$ZZ,23,FALSE)=1,0,1)</f>
        <v>0.0929</v>
      </c>
      <c r="BN54" s="26" cm="1">
        <f t="array" ref="BN54">1+$B$14+VLOOKUP($R54,武学奇术!$A:$ZZ,20,FALSE)+SUM(_xlfn.XLOOKUP(S54:AG54,增益!$A:$A,增益!$T:$T,0))</f>
        <v>1.35</v>
      </c>
      <c r="BO54" s="26">
        <f t="shared" si="12"/>
        <v>0.829926</v>
      </c>
      <c r="BP54" s="26">
        <f t="shared" si="18"/>
        <v>0.0599391</v>
      </c>
      <c r="BQ54" s="26">
        <f>IF(VLOOKUP($R54,武学奇术!$A:$ZZ,22,FALSE)=1,0,(1-$BJ54))*(1-$BM54)</f>
        <v>0.0172349</v>
      </c>
      <c r="BR54" s="26" cm="1">
        <f t="array" ref="BR54">SUM(_xlfn.XLOOKUP(S54:AG54,增益!$A:$A,增益!$W:$W,0))+$I$5</f>
        <v>0.11</v>
      </c>
    </row>
    <row r="55" spans="1:70">
      <c r="A55" s="4" t="s">
        <v>161</v>
      </c>
      <c r="B55" s="4">
        <v>1</v>
      </c>
      <c r="E55" s="39"/>
      <c r="F55" s="39"/>
      <c r="K55">
        <f>$L55*VLOOKUP($R55,武学奇术!$A:$ZZ,31,FALSE)</f>
        <v>237948.097397206</v>
      </c>
      <c r="L55" s="38">
        <f t="shared" si="13"/>
        <v>226617.235616387</v>
      </c>
      <c r="M55" s="38">
        <f>((($AO55+$AP55)/2*$AI55+$AJ55)*(1+$AQ55)*(1+$AR55)+(($AT55+$AU55)/2*IF($G$1="鸣金",$AK55,$AI55)+IF($G$1="鸣金",$AL55*1.5,0))*(1+$AV55)*(1+$AW55)+(($AX55+$AY55)/2*IF($G$1="裂石",$AK55,$AI55)+IF($G$1="裂石",$AL55*1.5,0))*(1+$AZ55)*(1+$BA55)+(($BB55+$BC55)/2*IF($G$1="牵丝",$AK55,$AI55)+IF($G$1="牵丝",$AL55*1.5,0))*(1+$BD55)*(1+$BE55)+(($BF55+$BG55)/2*IF($G$1="破竹",$AK55,$AI55)+IF($G$1="破竹",$AL55*1.5,0))*(1+$BH55)*(1+$BI55))*(1+$AM55)*$BL55*$Q55*(1+IF(VLOOKUP($R55,武学奇术!$A:$ZZ,30,FALSE)="回旋伞",$B$21,0))*(1+$BR55)</f>
        <v>242463.024482995</v>
      </c>
      <c r="N55" s="38">
        <f>(($AP55*$AI55+$AJ55)*(1+$AQ55)*(1+$AR55)+($AU55*IF($G$1="鸣金",$AK55,$AI55)+IF($G$1="鸣金",$AL55*1.5,0))*(1+$AV55)*(1+$AW55)+($AY55*IF($G$1="裂石",$AK55,$AI55)+IF($G$1="裂石",$AL55*1.5,0))*(1+$AZ55)*(1+$BA55)+($BC55*IF($G$1="牵丝",$AK55,$AI55)+IF($G$1="牵丝",$AL55*1.5,0))*(1+$BD55)*(1+$BE55)+($BG55*IF($G$1="破竹",$AK55,$AI55)+IF($G$1="破竹",$AL55*1.5,0))*(1+$BH55)*(1+$BI55))*(1+$AM55)*$BN55*$Q55*(1+IF(VLOOKUP($R55,武学奇术!$A:$ZZ,30,FALSE)="回旋伞",$B$21,0))*(1+$BR55)</f>
        <v>178189.016786828</v>
      </c>
      <c r="O55" s="38">
        <f>((($AO55+$AP55)/2*$AI55+$AJ55)*(1+$AQ55)*(1+$AR55)+(($AT55+$AU55)/2*IF($G$1="鸣金",$AK55,$AI55)+IF($G$1="鸣金",$AL55*1.5,0))*(1+$AV55)*(1+$AW55)+(($AX55+$AY55)/2*IF($G$1="裂石",$AK55,$AI55)+IF($G$1="裂石",$AL55*1.5,0))*(1+$AZ55)*(1+$BA55)+(($BB55+$BC55)/2*IF($G$1="牵丝",$AK55,$AI55)+IF($G$1="牵丝",$AL55*1.5,0))*(1+$BD55)*(1+$BE55)+(($BF55+$BG55)/2*IF($G$1="破竹",$AK55,$AI55)+IF($G$1="破竹",$AL55*1.5,0))*(1+$BH55)*(1+$BI55))*(1+$AM55)*$Q55*(1+IF(VLOOKUP($R55,武学奇术!$A:$ZZ,30,FALSE)="回旋伞",$B$21,0))*(1+$BR55)</f>
        <v>117700.497321842</v>
      </c>
      <c r="P55" s="38">
        <f>((($AO55*$AI55+$AJ55)*(1+$AQ55)*(1+$AR55)+($AT55*IF($G$1="鸣金",$AK55,$AI55)+IF($G$1="鸣金",$AL55*1.5,0))*(1+$AV55)*(1+$AW55)+($AX55*IF($G$1="裂石",$AK55,$AI55)+IF($G$1="裂石",$AL55*1.5,0))*(1+$AZ55)*(1+$BA55)+($BB55*IF($G$1="牵丝",$AK55,$AI55)+IF($G$1="牵丝",$AL55*1.5,0))*(1+$BD55)*(1+$BE55)+($BF55*IF($G$1="破竹",$AK55,$AI55)+IF($G$1="破竹",$AL55*1.5,0))*(1+$BH55)*(1+$BI55))*(1+$AM55))*$Q55*(1+IF(VLOOKUP($R55,武学奇术!$A:$ZZ,30,FALSE)="回旋伞",$B$21,0))*(1+$BR55)</f>
        <v>103409.130357145</v>
      </c>
      <c r="Q55" s="39">
        <v>3</v>
      </c>
      <c r="R55" s="40" t="s">
        <v>108</v>
      </c>
      <c r="S55" s="40" t="s">
        <v>109</v>
      </c>
      <c r="T55" s="40" t="s">
        <v>95</v>
      </c>
      <c r="U55" s="40" t="s">
        <v>73</v>
      </c>
      <c r="V55" s="40" t="s">
        <v>72</v>
      </c>
      <c r="W55" s="40" t="s">
        <v>172</v>
      </c>
      <c r="X55" s="40" t="s">
        <v>99</v>
      </c>
      <c r="Y55" s="40" t="s">
        <v>84</v>
      </c>
      <c r="Z55" s="40" t="s">
        <v>72</v>
      </c>
      <c r="AA55" s="40" t="s">
        <v>72</v>
      </c>
      <c r="AB55" s="40" t="s">
        <v>126</v>
      </c>
      <c r="AC55" s="40" t="s">
        <v>85</v>
      </c>
      <c r="AD55" s="40" t="s">
        <v>72</v>
      </c>
      <c r="AE55" s="40" t="s">
        <v>72</v>
      </c>
      <c r="AF55" s="40" t="s">
        <v>77</v>
      </c>
      <c r="AG55" s="40" t="s">
        <v>78</v>
      </c>
      <c r="AH55" t="str">
        <f>VLOOKUP($R55,武学奇术!$A:$ZZ,25,FALSE)</f>
        <v>伞</v>
      </c>
      <c r="AI55" s="26">
        <f>VLOOKUP($R55,武学奇术!$A:$ZZ,26,FALSE)</f>
        <v>1.8084</v>
      </c>
      <c r="AJ55" s="27">
        <f>VLOOKUP($R55,武学奇术!$A:$ZZ,27,FALSE)*(1+IF(OR($AH55=$F$4,$AH55=$F$5),$B$22,0))</f>
        <v>750</v>
      </c>
      <c r="AK55" s="26">
        <f>VLOOKUP($R55,武学奇术!$A:$ZZ,28,FALSE)</f>
        <v>2.7126</v>
      </c>
      <c r="AL55" s="27">
        <f>VLOOKUP($R55,武学奇术!$A:$ZZ,29,FALSE)*(1+IF(OR($AH55=$F$4,$AH55=$F$5),$B$22,0))</f>
        <v>408</v>
      </c>
      <c r="AM55" s="26" cm="1">
        <f t="array" ref="AM55">$G$3+IFERROR(VLOOKUP($AH55,$F$4:$G$7,2,FALSE),0)+VLOOKUP($R55,武学奇术!$A:$ZZ,2,FALSE)+SUM(_xlfn.XLOOKUP($S55:$AG55,增益!$A:$A,增益!$B:$B,0))</f>
        <v>0.6541</v>
      </c>
      <c r="AN55" s="26" cm="1">
        <f t="array" ref="AN55">VLOOKUP($R55,武学奇术!$A:$ZZ,5,FALSE)+SUM(_xlfn.XLOOKUP($S55:$AG55,增益!$A:$A,增益!$E:$E,0))</f>
        <v>0</v>
      </c>
      <c r="AO55" cm="1">
        <f t="array" ref="AO55">$D$10*(1+$AN55)+VLOOKUP($R55,武学奇术!$A:$ZZ,3,FALSE)+SUM(_xlfn.XLOOKUP($S55:$AG55,增益!$A:$A,增益!$C:$C,0))-$I$2</f>
        <v>3624.6</v>
      </c>
      <c r="AP55" cm="1">
        <f t="array" ref="AP55">$E$10*(1+$AN55)+VLOOKUP($R55,武学奇术!$A:$ZZ,4,FALSE)+SUM(_xlfn.XLOOKUP($S55:$AG55,增益!$A:$A,增益!$D:$D,0))-$I$2</f>
        <v>3624.6</v>
      </c>
      <c r="AQ55" s="32" cm="1">
        <f t="array" ref="AQ55">IF($F$10-$I$3+VLOOKUP($R55,武学奇术!$A:$ZZ,6,FALSE)+SUM(_xlfn.XLOOKUP(S55:AG55,增益!$A:$A,增益!$F:$F,0))&gt;0,($F$10-$I$3+VLOOKUP($R55,武学奇术!$A:$ZZ,6,FALSE)+SUM(_xlfn.XLOOKUP(S55:AG55,增益!$A:$A,增益!$F:$F,0)))/200,($F$10-$I$3+VLOOKUP($R55,武学奇术!$A:$ZZ,6,FALSE)+SUM(_xlfn.XLOOKUP(S55:AG55,增益!$A:$A,增益!$F:$F,0)))/100)</f>
        <v>0.3425</v>
      </c>
      <c r="AR55" s="32" cm="1">
        <f t="array" ref="AR55">$G$10+VLOOKUP($R55,武学奇术!$A:$ZZ,7,FALSE)+SUM(_xlfn.XLOOKUP(S55:AG55,增益!$A:$A,增益!$G:$G,0))</f>
        <v>0.148</v>
      </c>
      <c r="AS55" s="26" cm="1">
        <f t="array" ref="AS55">VLOOKUP($R55,武学奇术!$A:$ZZ,8,FALSE)+SUM(_xlfn.XLOOKUP(S55:AG55,增益!$A:$A,增益!$H:$H,0))</f>
        <v>0</v>
      </c>
      <c r="AT55">
        <f t="shared" si="19"/>
        <v>0</v>
      </c>
      <c r="AU55">
        <f t="shared" si="20"/>
        <v>0</v>
      </c>
      <c r="AV55" s="32" cm="1">
        <f t="array" ref="AV55">IF($F$11-$I$4+VLOOKUP($R55,武学奇术!$A:$ZZ,9,FALSE)+SUM(_xlfn.XLOOKUP(S55:AG55,增益!$A:$A,增益!$I:$I,0))&gt;0,($F$11-$I$4+VLOOKUP($R55,武学奇术!$A:$ZZ,9,FALSE)+SUM(_xlfn.XLOOKUP(S55:AG55,增益!$A:$A,增益!$I:$I,0)))/200,($F$11-$I$4+VLOOKUP($R55,武学奇术!$A:$ZZ,9,FALSE)+SUM(_xlfn.XLOOKUP(S55:AG55,增益!$A:$A,增益!$I:$I,0)))/100)</f>
        <v>-0.14</v>
      </c>
      <c r="AW55" s="32" cm="1">
        <f t="array" ref="AW55">$G$11+VLOOKUP($R55,武学奇术!$A:$ZZ,10,FALSE)+SUM(_xlfn.XLOOKUP(S55:AG55,增益!$A:$A,增益!$J:$J,0))</f>
        <v>0</v>
      </c>
      <c r="AX55">
        <f t="shared" si="21"/>
        <v>0</v>
      </c>
      <c r="AY55">
        <f t="shared" si="22"/>
        <v>0</v>
      </c>
      <c r="AZ55" s="32" cm="1">
        <f t="array" ref="AZ55">IF($F$12-$I$4+VLOOKUP($R55,武学奇术!$A:$ZZ,11,FALSE)+SUM(_xlfn.XLOOKUP(S55:AG55,增益!$A:$A,增益!$K:$K,0))&gt;0,($F$12-$I$4+VLOOKUP($R55,武学奇术!$A:$ZZ,11,FALSE)+SUM(_xlfn.XLOOKUP(S55:AG55,增益!$A:$A,增益!$K:$K,0)))/200,($F$12-$I$4+VLOOKUP($R55,武学奇术!$A:$ZZ,11,FALSE)+SUM(_xlfn.XLOOKUP(S55:AG55,增益!$A:$A,增益!$K:$K,0)))/100)</f>
        <v>-0.14</v>
      </c>
      <c r="BA55" s="32" cm="1">
        <f t="array" ref="BA55">$G$12+VLOOKUP($R55,武学奇术!$A:$ZZ,12,FALSE)+SUM(_xlfn.XLOOKUP(S55:AG55,增益!$A:$A,增益!$L:$L,0))</f>
        <v>0</v>
      </c>
      <c r="BB55">
        <f t="shared" si="14"/>
        <v>0</v>
      </c>
      <c r="BC55">
        <f t="shared" si="15"/>
        <v>0</v>
      </c>
      <c r="BD55" s="32" cm="1">
        <f t="array" ref="BD55">IF($F$13-$I$4+VLOOKUP($R55,武学奇术!$A:$ZZ,13,FALSE)+SUM(_xlfn.XLOOKUP(S55:AG55,增益!$A:$A,增益!$M:$M,0))&gt;0,($F$13-$I$4+VLOOKUP($R55,武学奇术!$A:$ZZ,13,FALSE)+SUM(_xlfn.XLOOKUP(S55:AG55,增益!$A:$A,增益!$K:$K,0)))/200,($F$13-$I$4+VLOOKUP($R55,武学奇术!$A:$ZZ,13,FALSE)+SUM(_xlfn.XLOOKUP(S55:AG55,增益!$A:$A,增益!$M:$M,0)))/100)</f>
        <v>-0.14</v>
      </c>
      <c r="BE55" s="32" cm="1">
        <f t="array" ref="BE55">$G$13+VLOOKUP($R55,武学奇术!$A:$ZZ,14,FALSE)+SUM(_xlfn.XLOOKUP(S55:AG55,增益!$A:$A,增益!$N:$N,0))</f>
        <v>0</v>
      </c>
      <c r="BF55">
        <f t="shared" si="16"/>
        <v>571.2</v>
      </c>
      <c r="BG55">
        <f t="shared" si="17"/>
        <v>1627.8</v>
      </c>
      <c r="BH55" s="32" cm="1">
        <f t="array" ref="BH55">IF($F$14-$I$4+VLOOKUP($R55,武学奇术!$A:$ZZ,15,FALSE)+SUM(_xlfn.XLOOKUP(S55:AG55,增益!$A:$A,增益!$O:$O,0))&gt;0,($F$14-$I$4+VLOOKUP($R55,武学奇术!$A:$ZZ,15,FALSE)+SUM(_xlfn.XLOOKUP(S55:AG55,增益!$A:$A,增益!$O:$O,0)))/200,($F$14-$I$4+VLOOKUP($R55,武学奇术!$A:$ZZ,15,FALSE)+SUM(_xlfn.XLOOKUP(S55:AG55,增益!$A:$A,增益!$O:$O,0)))/100)</f>
        <v>0.08</v>
      </c>
      <c r="BI55" s="32" cm="1">
        <f t="array" ref="BI55">$G$14+VLOOKUP($R55,武学奇术!$A:$ZZ,16,FALSE)+SUM(_xlfn.XLOOKUP(S55:AG55,增益!$A:$A,增益!$P:$P,0))</f>
        <v>0.27</v>
      </c>
      <c r="BJ55" s="26">
        <f>MIN(IF(VLOOKUP($R55,武学奇术!$A:$ZZ,23,FALSE)=1,100%,$B$8),100%)</f>
        <v>0.981</v>
      </c>
      <c r="BK55" s="26" cm="1">
        <f t="array" ref="BK55">IF(VLOOKUP($R55,武学奇术!$A:$ZZ,23,FALSE)=1,100%,MIN(80%,$B$9+VLOOKUP($R55,武学奇术!$A:$ZZ,17,FALSE)+SUM(_xlfn.XLOOKUP(S55:AG55,增益!$A:$A,增益!$Q:$Q,0)))+$B$11+SUM(_xlfn.XLOOKUP(S55:AG55,增益!$A:$A,增益!$U:$U,0)))*IF(VLOOKUP($R55,武学奇术!$A:$ZZ,24,FALSE)=1,0,1)</f>
        <v>0.846</v>
      </c>
      <c r="BL55" s="26" cm="1">
        <f t="array" ref="BL55">1+$B$13+VLOOKUP($R55,武学奇术!$A:$ZZ,18,FALSE)+SUM(_xlfn.XLOOKUP(S55:AG55,增益!$A:$A,增益!$R:$R,0))</f>
        <v>2.06</v>
      </c>
      <c r="BM55" s="26" cm="1">
        <f t="array" ref="BM55">IF(VLOOKUP($R55,武学奇术!$A:$ZZ,24,FALSE)=1,100%,MIN(40%,$B$10+VLOOKUP($R55,武学奇术!$A:$ZZ,19,FALSE)+SUM(_xlfn.XLOOKUP(S55:AG55,增益!$A:$A,增益!$S:$S,0)))+$B$12+SUM(_xlfn.XLOOKUP(S55:AG55,增益!$A:$A,增益!$V:$V,0)))*IF(VLOOKUP($R55,武学奇术!$A:$ZZ,23,FALSE)=1,0,1)</f>
        <v>0.0929</v>
      </c>
      <c r="BN55" s="26" cm="1">
        <f t="array" ref="BN55">1+$B$14+VLOOKUP($R55,武学奇术!$A:$ZZ,20,FALSE)+SUM(_xlfn.XLOOKUP(S55:AG55,增益!$A:$A,增益!$T:$T,0))</f>
        <v>1.35</v>
      </c>
      <c r="BO55" s="26">
        <f t="shared" si="12"/>
        <v>0.829926</v>
      </c>
      <c r="BP55" s="26">
        <f t="shared" si="18"/>
        <v>0.0599391</v>
      </c>
      <c r="BQ55" s="26">
        <f>IF(VLOOKUP($R55,武学奇术!$A:$ZZ,22,FALSE)=1,0,(1-$BJ55))*(1-$BM55)</f>
        <v>0.0172349</v>
      </c>
      <c r="BR55" s="26" cm="1">
        <f t="array" ref="BR55">SUM(_xlfn.XLOOKUP(S55:AG55,增益!$A:$A,增益!$W:$W,0))+$I$5</f>
        <v>0.11</v>
      </c>
    </row>
    <row r="56" spans="1:70">
      <c r="A56" s="4" t="s">
        <v>164</v>
      </c>
      <c r="B56" s="4">
        <v>0.85</v>
      </c>
      <c r="E56" s="39"/>
      <c r="F56" s="39"/>
      <c r="K56">
        <f>$L56*VLOOKUP($R56,武学奇术!$A:$ZZ,31,FALSE)</f>
        <v>139788.491825987</v>
      </c>
      <c r="L56" s="38">
        <f t="shared" si="13"/>
        <v>133131.896977131</v>
      </c>
      <c r="M56" s="38">
        <f>((($AO56+$AP56)/2*$AI56+$AJ56)*(1+$AQ56)*(1+$AR56)+(($AT56+$AU56)/2*IF($G$1="鸣金",$AK56,$AI56)+IF($G$1="鸣金",$AL56*1.5,0))*(1+$AV56)*(1+$AW56)+(($AX56+$AY56)/2*IF($G$1="裂石",$AK56,$AI56)+IF($G$1="裂石",$AL56*1.5,0))*(1+$AZ56)*(1+$BA56)+(($BB56+$BC56)/2*IF($G$1="牵丝",$AK56,$AI56)+IF($G$1="牵丝",$AL56*1.5,0))*(1+$BD56)*(1+$BE56)+(($BF56+$BG56)/2*IF($G$1="破竹",$AK56,$AI56)+IF($G$1="破竹",$AL56*1.5,0))*(1+$BH56)*(1+$BI56))*(1+$AM56)*$BL56*$Q56*(1+IF(VLOOKUP($R56,武学奇术!$A:$ZZ,30,FALSE)="回旋伞",$B$21,0))*(1+$BR56)</f>
        <v>142304.411774164</v>
      </c>
      <c r="N56" s="38">
        <f>(($AP56*$AI56+$AJ56)*(1+$AQ56)*(1+$AR56)+($AU56*IF($G$1="鸣金",$AK56,$AI56)+IF($G$1="鸣金",$AL56*1.5,0))*(1+$AV56)*(1+$AW56)+($AY56*IF($G$1="裂石",$AK56,$AI56)+IF($G$1="裂石",$AL56*1.5,0))*(1+$AZ56)*(1+$BA56)+($BC56*IF($G$1="牵丝",$AK56,$AI56)+IF($G$1="牵丝",$AL56*1.5,0))*(1+$BD56)*(1+$BE56)+($BG56*IF($G$1="破竹",$AK56,$AI56)+IF($G$1="破竹",$AL56*1.5,0))*(1+$BH56)*(1+$BI56))*(1+$AM56)*$BN56*$Q56*(1+IF(VLOOKUP($R56,武学奇术!$A:$ZZ,30,FALSE)="回旋伞",$B$21,0))*(1+$BR56)</f>
        <v>106173.155323476</v>
      </c>
      <c r="O56" s="38">
        <f>((($AO56+$AP56)/2*$AI56+$AJ56)*(1+$AQ56)*(1+$AR56)+(($AT56+$AU56)/2*IF($G$1="鸣金",$AK56,$AI56)+IF($G$1="鸣金",$AL56*1.5,0))*(1+$AV56)*(1+$AW56)+(($AX56+$AY56)/2*IF($G$1="裂石",$AK56,$AI56)+IF($G$1="裂石",$AL56*1.5,0))*(1+$AZ56)*(1+$BA56)+(($BB56+$BC56)/2*IF($G$1="牵丝",$AK56,$AI56)+IF($G$1="牵丝",$AL56*1.5,0))*(1+$BD56)*(1+$BE56)+(($BF56+$BG56)/2*IF($G$1="破竹",$AK56,$AI56)+IF($G$1="破竹",$AL56*1.5,0))*(1+$BH56)*(1+$BI56))*(1+$AM56)*$Q56*(1+IF(VLOOKUP($R56,武学奇术!$A:$ZZ,30,FALSE)="回旋伞",$B$21,0))*(1+$BR56)</f>
        <v>69079.8115408564</v>
      </c>
      <c r="P56" s="38">
        <f>((($AO56*$AI56+$AJ56)*(1+$AQ56)*(1+$AR56)+($AT56*IF($G$1="鸣金",$AK56,$AI56)+IF($G$1="鸣金",$AL56*1.5,0))*(1+$AV56)*(1+$AW56)+($AX56*IF($G$1="裂石",$AK56,$AI56)+IF($G$1="裂石",$AL56*1.5,0))*(1+$AZ56)*(1+$BA56)+($BB56*IF($G$1="牵丝",$AK56,$AI56)+IF($G$1="牵丝",$AL56*1.5,0))*(1+$BD56)*(1+$BE56)+($BF56*IF($G$1="破竹",$AK56,$AI56)+IF($G$1="破竹",$AL56*1.5,0))*(1+$BH56)*(1+$BI56))*(1+$AM56))*$Q56*(1+IF(VLOOKUP($R56,武学奇术!$A:$ZZ,30,FALSE)="回旋伞",$B$21,0))*(1+$BR56)</f>
        <v>59512.8413606196</v>
      </c>
      <c r="Q56" s="39">
        <v>6</v>
      </c>
      <c r="R56" s="40" t="s">
        <v>112</v>
      </c>
      <c r="S56" s="40" t="s">
        <v>109</v>
      </c>
      <c r="T56" s="40" t="s">
        <v>95</v>
      </c>
      <c r="U56" s="40" t="s">
        <v>73</v>
      </c>
      <c r="V56" s="40" t="s">
        <v>72</v>
      </c>
      <c r="W56" s="40" t="s">
        <v>172</v>
      </c>
      <c r="X56" s="40" t="s">
        <v>99</v>
      </c>
      <c r="Y56" s="40" t="s">
        <v>84</v>
      </c>
      <c r="Z56" s="40" t="s">
        <v>72</v>
      </c>
      <c r="AA56" s="40" t="s">
        <v>72</v>
      </c>
      <c r="AB56" s="40" t="s">
        <v>126</v>
      </c>
      <c r="AC56" s="40" t="s">
        <v>85</v>
      </c>
      <c r="AD56" s="40" t="s">
        <v>72</v>
      </c>
      <c r="AE56" s="40" t="s">
        <v>72</v>
      </c>
      <c r="AF56" s="40" t="s">
        <v>77</v>
      </c>
      <c r="AG56" s="40" t="s">
        <v>78</v>
      </c>
      <c r="AH56" t="str">
        <f>VLOOKUP($R56,武学奇术!$A:$ZZ,25,FALSE)</f>
        <v>伞</v>
      </c>
      <c r="AI56" s="26">
        <f>VLOOKUP($R56,武学奇术!$A:$ZZ,26,FALSE)</f>
        <v>0.54</v>
      </c>
      <c r="AJ56" s="27">
        <f>VLOOKUP($R56,武学奇术!$A:$ZZ,27,FALSE)*(1+IF(OR($AH56=$F$4,$AH56=$F$5),$B$22,0))</f>
        <v>0</v>
      </c>
      <c r="AK56" s="26">
        <f>VLOOKUP($R56,武学奇术!$A:$ZZ,28,FALSE)</f>
        <v>0.81</v>
      </c>
      <c r="AL56" s="27">
        <f>VLOOKUP($R56,武学奇术!$A:$ZZ,29,FALSE)*(1+IF(OR($AH56=$F$4,$AH56=$F$5),$B$22,0))</f>
        <v>0</v>
      </c>
      <c r="AM56" s="26" cm="1">
        <f t="array" ref="AM56">$G$3+IFERROR(VLOOKUP($AH56,$F$4:$G$7,2,FALSE),0)+VLOOKUP($R56,武学奇术!$A:$ZZ,2,FALSE)+SUM(_xlfn.XLOOKUP($S56:$AG56,增益!$A:$A,增益!$B:$B,0))</f>
        <v>0.8541</v>
      </c>
      <c r="AN56" s="26" cm="1">
        <f t="array" ref="AN56">VLOOKUP($R56,武学奇术!$A:$ZZ,5,FALSE)+SUM(_xlfn.XLOOKUP($S56:$AG56,增益!$A:$A,增益!$E:$E,0))</f>
        <v>0</v>
      </c>
      <c r="AO56" cm="1">
        <f t="array" ref="AO56">$D$10*(1+$AN56)+VLOOKUP($R56,武学奇术!$A:$ZZ,3,FALSE)+SUM(_xlfn.XLOOKUP($S56:$AG56,增益!$A:$A,增益!$C:$C,0))-$I$2</f>
        <v>3624.6</v>
      </c>
      <c r="AP56" cm="1">
        <f t="array" ref="AP56">$E$10*(1+$AN56)+VLOOKUP($R56,武学奇术!$A:$ZZ,4,FALSE)+SUM(_xlfn.XLOOKUP($S56:$AG56,增益!$A:$A,增益!$D:$D,0))-$I$2</f>
        <v>3624.6</v>
      </c>
      <c r="AQ56" s="32" cm="1">
        <f t="array" ref="AQ56">IF($F$10-$I$3+VLOOKUP($R56,武学奇术!$A:$ZZ,6,FALSE)+SUM(_xlfn.XLOOKUP(S56:AG56,增益!$A:$A,增益!$F:$F,0))&gt;0,($F$10-$I$3+VLOOKUP($R56,武学奇术!$A:$ZZ,6,FALSE)+SUM(_xlfn.XLOOKUP(S56:AG56,增益!$A:$A,增益!$F:$F,0)))/200,($F$10-$I$3+VLOOKUP($R56,武学奇术!$A:$ZZ,6,FALSE)+SUM(_xlfn.XLOOKUP(S56:AG56,增益!$A:$A,增益!$F:$F,0)))/100)</f>
        <v>0.3425</v>
      </c>
      <c r="AR56" s="32" cm="1">
        <f t="array" ref="AR56">$G$10+VLOOKUP($R56,武学奇术!$A:$ZZ,7,FALSE)+SUM(_xlfn.XLOOKUP(S56:AG56,增益!$A:$A,增益!$G:$G,0))</f>
        <v>0.148</v>
      </c>
      <c r="AS56" s="26" cm="1">
        <f t="array" ref="AS56">VLOOKUP($R56,武学奇术!$A:$ZZ,8,FALSE)+SUM(_xlfn.XLOOKUP(S56:AG56,增益!$A:$A,增益!$H:$H,0))</f>
        <v>0</v>
      </c>
      <c r="AT56">
        <f t="shared" si="19"/>
        <v>0</v>
      </c>
      <c r="AU56">
        <f t="shared" si="20"/>
        <v>0</v>
      </c>
      <c r="AV56" s="32" cm="1">
        <f t="array" ref="AV56">IF($F$11-$I$4+VLOOKUP($R56,武学奇术!$A:$ZZ,9,FALSE)+SUM(_xlfn.XLOOKUP(S56:AG56,增益!$A:$A,增益!$I:$I,0))&gt;0,($F$11-$I$4+VLOOKUP($R56,武学奇术!$A:$ZZ,9,FALSE)+SUM(_xlfn.XLOOKUP(S56:AG56,增益!$A:$A,增益!$I:$I,0)))/200,($F$11-$I$4+VLOOKUP($R56,武学奇术!$A:$ZZ,9,FALSE)+SUM(_xlfn.XLOOKUP(S56:AG56,增益!$A:$A,增益!$I:$I,0)))/100)</f>
        <v>-0.14</v>
      </c>
      <c r="AW56" s="32" cm="1">
        <f t="array" ref="AW56">$G$11+VLOOKUP($R56,武学奇术!$A:$ZZ,10,FALSE)+SUM(_xlfn.XLOOKUP(S56:AG56,增益!$A:$A,增益!$J:$J,0))</f>
        <v>0</v>
      </c>
      <c r="AX56">
        <f t="shared" si="21"/>
        <v>0</v>
      </c>
      <c r="AY56">
        <f t="shared" si="22"/>
        <v>0</v>
      </c>
      <c r="AZ56" s="32" cm="1">
        <f t="array" ref="AZ56">IF($F$12-$I$4+VLOOKUP($R56,武学奇术!$A:$ZZ,11,FALSE)+SUM(_xlfn.XLOOKUP(S56:AG56,增益!$A:$A,增益!$K:$K,0))&gt;0,($F$12-$I$4+VLOOKUP($R56,武学奇术!$A:$ZZ,11,FALSE)+SUM(_xlfn.XLOOKUP(S56:AG56,增益!$A:$A,增益!$K:$K,0)))/200,($F$12-$I$4+VLOOKUP($R56,武学奇术!$A:$ZZ,11,FALSE)+SUM(_xlfn.XLOOKUP(S56:AG56,增益!$A:$A,增益!$K:$K,0)))/100)</f>
        <v>-0.14</v>
      </c>
      <c r="BA56" s="32" cm="1">
        <f t="array" ref="BA56">$G$12+VLOOKUP($R56,武学奇术!$A:$ZZ,12,FALSE)+SUM(_xlfn.XLOOKUP(S56:AG56,增益!$A:$A,增益!$L:$L,0))</f>
        <v>0</v>
      </c>
      <c r="BB56">
        <f t="shared" si="14"/>
        <v>0</v>
      </c>
      <c r="BC56">
        <f t="shared" si="15"/>
        <v>0</v>
      </c>
      <c r="BD56" s="32" cm="1">
        <f t="array" ref="BD56">IF($F$13-$I$4+VLOOKUP($R56,武学奇术!$A:$ZZ,13,FALSE)+SUM(_xlfn.XLOOKUP(S56:AG56,增益!$A:$A,增益!$M:$M,0))&gt;0,($F$13-$I$4+VLOOKUP($R56,武学奇术!$A:$ZZ,13,FALSE)+SUM(_xlfn.XLOOKUP(S56:AG56,增益!$A:$A,增益!$K:$K,0)))/200,($F$13-$I$4+VLOOKUP($R56,武学奇术!$A:$ZZ,13,FALSE)+SUM(_xlfn.XLOOKUP(S56:AG56,增益!$A:$A,增益!$M:$M,0)))/100)</f>
        <v>-0.14</v>
      </c>
      <c r="BE56" s="32" cm="1">
        <f t="array" ref="BE56">$G$13+VLOOKUP($R56,武学奇术!$A:$ZZ,14,FALSE)+SUM(_xlfn.XLOOKUP(S56:AG56,增益!$A:$A,增益!$N:$N,0))</f>
        <v>0</v>
      </c>
      <c r="BF56">
        <f t="shared" si="16"/>
        <v>571.2</v>
      </c>
      <c r="BG56">
        <f t="shared" si="17"/>
        <v>1627.8</v>
      </c>
      <c r="BH56" s="32" cm="1">
        <f t="array" ref="BH56">IF($F$14-$I$4+VLOOKUP($R56,武学奇术!$A:$ZZ,15,FALSE)+SUM(_xlfn.XLOOKUP(S56:AG56,增益!$A:$A,增益!$O:$O,0))&gt;0,($F$14-$I$4+VLOOKUP($R56,武学奇术!$A:$ZZ,15,FALSE)+SUM(_xlfn.XLOOKUP(S56:AG56,增益!$A:$A,增益!$O:$O,0)))/200,($F$14-$I$4+VLOOKUP($R56,武学奇术!$A:$ZZ,15,FALSE)+SUM(_xlfn.XLOOKUP(S56:AG56,增益!$A:$A,增益!$O:$O,0)))/100)</f>
        <v>0.08</v>
      </c>
      <c r="BI56" s="32" cm="1">
        <f t="array" ref="BI56">$G$14+VLOOKUP($R56,武学奇术!$A:$ZZ,16,FALSE)+SUM(_xlfn.XLOOKUP(S56:AG56,增益!$A:$A,增益!$P:$P,0))</f>
        <v>0.27</v>
      </c>
      <c r="BJ56" s="26">
        <f>MIN(IF(VLOOKUP($R56,武学奇术!$A:$ZZ,23,FALSE)=1,100%,$B$8),100%)</f>
        <v>0.981</v>
      </c>
      <c r="BK56" s="26" cm="1">
        <f t="array" ref="BK56">IF(VLOOKUP($R56,武学奇术!$A:$ZZ,23,FALSE)=1,100%,MIN(80%,$B$9+VLOOKUP($R56,武学奇术!$A:$ZZ,17,FALSE)+SUM(_xlfn.XLOOKUP(S56:AG56,增益!$A:$A,增益!$Q:$Q,0)))+$B$11+SUM(_xlfn.XLOOKUP(S56:AG56,增益!$A:$A,增益!$U:$U,0)))*IF(VLOOKUP($R56,武学奇术!$A:$ZZ,24,FALSE)=1,0,1)</f>
        <v>0.846</v>
      </c>
      <c r="BL56" s="26" cm="1">
        <f t="array" ref="BL56">1+$B$13+VLOOKUP($R56,武学奇术!$A:$ZZ,18,FALSE)+SUM(_xlfn.XLOOKUP(S56:AG56,增益!$A:$A,增益!$R:$R,0))</f>
        <v>2.06</v>
      </c>
      <c r="BM56" s="26" cm="1">
        <f t="array" ref="BM56">IF(VLOOKUP($R56,武学奇术!$A:$ZZ,24,FALSE)=1,100%,MIN(40%,$B$10+VLOOKUP($R56,武学奇术!$A:$ZZ,19,FALSE)+SUM(_xlfn.XLOOKUP(S56:AG56,增益!$A:$A,增益!$S:$S,0)))+$B$12+SUM(_xlfn.XLOOKUP(S56:AG56,增益!$A:$A,增益!$V:$V,0)))*IF(VLOOKUP($R56,武学奇术!$A:$ZZ,23,FALSE)=1,0,1)</f>
        <v>0.0929</v>
      </c>
      <c r="BN56" s="26" cm="1">
        <f t="array" ref="BN56">1+$B$14+VLOOKUP($R56,武学奇术!$A:$ZZ,20,FALSE)+SUM(_xlfn.XLOOKUP(S56:AG56,增益!$A:$A,增益!$T:$T,0))</f>
        <v>1.35</v>
      </c>
      <c r="BO56" s="26">
        <f t="shared" si="12"/>
        <v>0.829926</v>
      </c>
      <c r="BP56" s="26">
        <f t="shared" si="18"/>
        <v>0.0599391</v>
      </c>
      <c r="BQ56" s="26">
        <f>IF(VLOOKUP($R56,武学奇术!$A:$ZZ,22,FALSE)=1,0,(1-$BJ56))*(1-$BM56)</f>
        <v>0.0172349</v>
      </c>
      <c r="BR56" s="26" cm="1">
        <f t="array" ref="BR56">SUM(_xlfn.XLOOKUP(S56:AG56,增益!$A:$A,增益!$W:$W,0))+$I$5</f>
        <v>0.11</v>
      </c>
    </row>
    <row r="57" spans="1:70">
      <c r="A57" s="4" t="s">
        <v>161</v>
      </c>
      <c r="B57" s="87">
        <v>1</v>
      </c>
      <c r="D57" s="4"/>
      <c r="E57" s="39"/>
      <c r="F57" s="39"/>
      <c r="K57">
        <f>$L57*VLOOKUP($R57,武学奇术!$A:$ZZ,31,FALSE)</f>
        <v>190245.744263192</v>
      </c>
      <c r="L57" s="38">
        <f t="shared" si="13"/>
        <v>181186.423107801</v>
      </c>
      <c r="M57" s="38">
        <f>((($AO57+$AP57)/2*$AI57+$AJ57)*(1+$AQ57)*(1+$AR57)+(($AT57+$AU57)/2*IF($G$1="鸣金",$AK57,$AI57)+IF($G$1="鸣金",$AL57*1.5,0))*(1+$AV57)*(1+$AW57)+(($AX57+$AY57)/2*IF($G$1="裂石",$AK57,$AI57)+IF($G$1="裂石",$AL57*1.5,0))*(1+$AZ57)*(1+$BA57)+(($BB57+$BC57)/2*IF($G$1="牵丝",$AK57,$AI57)+IF($G$1="牵丝",$AL57*1.5,0))*(1+$BD57)*(1+$BE57)+(($BF57+$BG57)/2*IF($G$1="破竹",$AK57,$AI57)+IF($G$1="破竹",$AL57*1.5,0))*(1+$BH57)*(1+$BI57))*(1+$AM57)*$BL57*$Q57*(1+IF(VLOOKUP($R57,武学奇术!$A:$ZZ,30,FALSE)="回旋伞",$B$21,0))*(1+$BR57)</f>
        <v>181186.423107801</v>
      </c>
      <c r="N57" s="38">
        <f>(($AP57*$AI57+$AJ57)*(1+$AQ57)*(1+$AR57)+($AU57*IF($G$1="鸣金",$AK57,$AI57)+IF($G$1="鸣金",$AL57*1.5,0))*(1+$AV57)*(1+$AW57)+($AY57*IF($G$1="裂石",$AK57,$AI57)+IF($G$1="裂石",$AL57*1.5,0))*(1+$AZ57)*(1+$BA57)+($BC57*IF($G$1="牵丝",$AK57,$AI57)+IF($G$1="牵丝",$AL57*1.5,0))*(1+$BD57)*(1+$BE57)+($BG57*IF($G$1="破竹",$AK57,$AI57)+IF($G$1="破竹",$AL57*1.5,0))*(1+$BH57)*(1+$BI57))*(1+$AM57)*$BN57*$Q57*(1+IF(VLOOKUP($R57,武学奇术!$A:$ZZ,30,FALSE)="回旋伞",$B$21,0))*(1+$BR57)</f>
        <v>133156.099399254</v>
      </c>
      <c r="O57" s="38">
        <f>((($AO57+$AP57)/2*$AI57+$AJ57)*(1+$AQ57)*(1+$AR57)+(($AT57+$AU57)/2*IF($G$1="鸣金",$AK57,$AI57)+IF($G$1="鸣金",$AL57*1.5,0))*(1+$AV57)*(1+$AW57)+(($AX57+$AY57)/2*IF($G$1="裂石",$AK57,$AI57)+IF($G$1="裂石",$AL57*1.5,0))*(1+$AZ57)*(1+$BA57)+(($BB57+$BC57)/2*IF($G$1="牵丝",$AK57,$AI57)+IF($G$1="牵丝",$AL57*1.5,0))*(1+$BD57)*(1+$BE57)+(($BF57+$BG57)/2*IF($G$1="破竹",$AK57,$AI57)+IF($G$1="破竹",$AL57*1.5,0))*(1+$BH57)*(1+$BI57))*(1+$AM57)*$Q57*(1+IF(VLOOKUP($R57,武学奇术!$A:$ZZ,30,FALSE)="回旋伞",$B$21,0))*(1+$BR57)</f>
        <v>87954.5743241755</v>
      </c>
      <c r="P57" s="38">
        <f>((($AO57*$AI57+$AJ57)*(1+$AQ57)*(1+$AR57)+($AT57*IF($G$1="鸣金",$AK57,$AI57)+IF($G$1="鸣金",$AL57*1.5,0))*(1+$AV57)*(1+$AW57)+($AX57*IF($G$1="裂石",$AK57,$AI57)+IF($G$1="裂石",$AL57*1.5,0))*(1+$AZ57)*(1+$BA57)+($BB57*IF($G$1="牵丝",$AK57,$AI57)+IF($G$1="牵丝",$AL57*1.5,0))*(1+$BD57)*(1+$BE57)+($BF57*IF($G$1="破竹",$AK57,$AI57)+IF($G$1="破竹",$AL57*1.5,0))*(1+$BH57)*(1+$BI57))*(1+$AM57))*$Q57*(1+IF(VLOOKUP($R57,武学奇术!$A:$ZZ,30,FALSE)="回旋伞",$B$21,0))*(1+$BR57)</f>
        <v>77275.0009452</v>
      </c>
      <c r="Q57" s="39">
        <v>2</v>
      </c>
      <c r="R57" s="40" t="s">
        <v>125</v>
      </c>
      <c r="S57" s="40" t="s">
        <v>109</v>
      </c>
      <c r="T57" s="40" t="s">
        <v>95</v>
      </c>
      <c r="U57" s="40" t="s">
        <v>73</v>
      </c>
      <c r="V57" s="40" t="s">
        <v>72</v>
      </c>
      <c r="W57" s="40" t="s">
        <v>172</v>
      </c>
      <c r="X57" s="40" t="s">
        <v>99</v>
      </c>
      <c r="Y57" s="40" t="s">
        <v>84</v>
      </c>
      <c r="Z57" s="40" t="s">
        <v>72</v>
      </c>
      <c r="AA57" s="40" t="s">
        <v>72</v>
      </c>
      <c r="AB57" s="40" t="s">
        <v>126</v>
      </c>
      <c r="AC57" s="40" t="s">
        <v>85</v>
      </c>
      <c r="AD57" s="40" t="s">
        <v>72</v>
      </c>
      <c r="AE57" s="40" t="s">
        <v>72</v>
      </c>
      <c r="AF57" s="40" t="s">
        <v>77</v>
      </c>
      <c r="AG57" s="40" t="s">
        <v>78</v>
      </c>
      <c r="AH57" t="str">
        <f>VLOOKUP($R57,武学奇术!$A:$ZZ,25,FALSE)</f>
        <v>伞</v>
      </c>
      <c r="AI57" s="26">
        <f>VLOOKUP($R57,武学奇术!$A:$ZZ,26,FALSE)</f>
        <v>1.8084</v>
      </c>
      <c r="AJ57" s="27">
        <f>VLOOKUP($R57,武学奇术!$A:$ZZ,27,FALSE)*(1+IF(OR($AH57=$F$4,$AH57=$F$5),$B$22,0))</f>
        <v>750</v>
      </c>
      <c r="AK57" s="26">
        <f>VLOOKUP($R57,武学奇术!$A:$ZZ,28,FALSE)</f>
        <v>2.7126</v>
      </c>
      <c r="AL57" s="27">
        <f>VLOOKUP($R57,武学奇术!$A:$ZZ,29,FALSE)*(1+IF(OR($AH57=$F$4,$AH57=$F$5),$B$22,0))</f>
        <v>408</v>
      </c>
      <c r="AM57" s="26" cm="1">
        <f t="array" ref="AM57">$G$3+IFERROR(VLOOKUP($AH57,$F$4:$G$7,2,FALSE),0)+VLOOKUP($R57,武学奇术!$A:$ZZ,2,FALSE)+SUM(_xlfn.XLOOKUP($S57:$AG57,增益!$A:$A,增益!$B:$B,0))</f>
        <v>0.8541</v>
      </c>
      <c r="AN57" s="26" cm="1">
        <f t="array" ref="AN57">VLOOKUP($R57,武学奇术!$A:$ZZ,5,FALSE)+SUM(_xlfn.XLOOKUP($S57:$AG57,增益!$A:$A,增益!$E:$E,0))</f>
        <v>0</v>
      </c>
      <c r="AO57" cm="1">
        <f t="array" ref="AO57">$D$10*(1+$AN57)+VLOOKUP($R57,武学奇术!$A:$ZZ,3,FALSE)+SUM(_xlfn.XLOOKUP($S57:$AG57,增益!$A:$A,增益!$C:$C,0))-$I$2</f>
        <v>3624.6</v>
      </c>
      <c r="AP57" cm="1">
        <f t="array" ref="AP57">$E$10*(1+$AN57)+VLOOKUP($R57,武学奇术!$A:$ZZ,4,FALSE)+SUM(_xlfn.XLOOKUP($S57:$AG57,增益!$A:$A,增益!$D:$D,0))-$I$2</f>
        <v>3624.6</v>
      </c>
      <c r="AQ57" s="32" cm="1">
        <f t="array" ref="AQ57">IF($F$10-$I$3+VLOOKUP($R57,武学奇术!$A:$ZZ,6,FALSE)+SUM(_xlfn.XLOOKUP(S57:AG57,增益!$A:$A,增益!$F:$F,0))&gt;0,($F$10-$I$3+VLOOKUP($R57,武学奇术!$A:$ZZ,6,FALSE)+SUM(_xlfn.XLOOKUP(S57:AG57,增益!$A:$A,增益!$F:$F,0)))/200,($F$10-$I$3+VLOOKUP($R57,武学奇术!$A:$ZZ,6,FALSE)+SUM(_xlfn.XLOOKUP(S57:AG57,增益!$A:$A,增益!$F:$F,0)))/100)</f>
        <v>0.3425</v>
      </c>
      <c r="AR57" s="32" cm="1">
        <f t="array" ref="AR57">$G$10+VLOOKUP($R57,武学奇术!$A:$ZZ,7,FALSE)+SUM(_xlfn.XLOOKUP(S57:AG57,增益!$A:$A,增益!$G:$G,0))</f>
        <v>0.148</v>
      </c>
      <c r="AS57" s="26" cm="1">
        <f t="array" ref="AS57">VLOOKUP($R57,武学奇术!$A:$ZZ,8,FALSE)+SUM(_xlfn.XLOOKUP(S57:AG57,增益!$A:$A,增益!$H:$H,0))</f>
        <v>0</v>
      </c>
      <c r="AT57">
        <f t="shared" si="19"/>
        <v>0</v>
      </c>
      <c r="AU57">
        <f t="shared" si="20"/>
        <v>0</v>
      </c>
      <c r="AV57" s="32" cm="1">
        <f t="array" ref="AV57">IF($F$11-$I$4+VLOOKUP($R57,武学奇术!$A:$ZZ,9,FALSE)+SUM(_xlfn.XLOOKUP(S57:AG57,增益!$A:$A,增益!$I:$I,0))&gt;0,($F$11-$I$4+VLOOKUP($R57,武学奇术!$A:$ZZ,9,FALSE)+SUM(_xlfn.XLOOKUP(S57:AG57,增益!$A:$A,增益!$I:$I,0)))/200,($F$11-$I$4+VLOOKUP($R57,武学奇术!$A:$ZZ,9,FALSE)+SUM(_xlfn.XLOOKUP(S57:AG57,增益!$A:$A,增益!$I:$I,0)))/100)</f>
        <v>-0.14</v>
      </c>
      <c r="AW57" s="32" cm="1">
        <f t="array" ref="AW57">$G$11+VLOOKUP($R57,武学奇术!$A:$ZZ,10,FALSE)+SUM(_xlfn.XLOOKUP(S57:AG57,增益!$A:$A,增益!$J:$J,0))</f>
        <v>0</v>
      </c>
      <c r="AX57">
        <f t="shared" si="21"/>
        <v>0</v>
      </c>
      <c r="AY57">
        <f t="shared" si="22"/>
        <v>0</v>
      </c>
      <c r="AZ57" s="32" cm="1">
        <f t="array" ref="AZ57">IF($F$12-$I$4+VLOOKUP($R57,武学奇术!$A:$ZZ,11,FALSE)+SUM(_xlfn.XLOOKUP(S57:AG57,增益!$A:$A,增益!$K:$K,0))&gt;0,($F$12-$I$4+VLOOKUP($R57,武学奇术!$A:$ZZ,11,FALSE)+SUM(_xlfn.XLOOKUP(S57:AG57,增益!$A:$A,增益!$K:$K,0)))/200,($F$12-$I$4+VLOOKUP($R57,武学奇术!$A:$ZZ,11,FALSE)+SUM(_xlfn.XLOOKUP(S57:AG57,增益!$A:$A,增益!$K:$K,0)))/100)</f>
        <v>-0.14</v>
      </c>
      <c r="BA57" s="32" cm="1">
        <f t="array" ref="BA57">$G$12+VLOOKUP($R57,武学奇术!$A:$ZZ,12,FALSE)+SUM(_xlfn.XLOOKUP(S57:AG57,增益!$A:$A,增益!$L:$L,0))</f>
        <v>0</v>
      </c>
      <c r="BB57">
        <f t="shared" si="14"/>
        <v>0</v>
      </c>
      <c r="BC57">
        <f t="shared" si="15"/>
        <v>0</v>
      </c>
      <c r="BD57" s="32" cm="1">
        <f t="array" ref="BD57">IF($F$13-$I$4+VLOOKUP($R57,武学奇术!$A:$ZZ,13,FALSE)+SUM(_xlfn.XLOOKUP(S57:AG57,增益!$A:$A,增益!$M:$M,0))&gt;0,($F$13-$I$4+VLOOKUP($R57,武学奇术!$A:$ZZ,13,FALSE)+SUM(_xlfn.XLOOKUP(S57:AG57,增益!$A:$A,增益!$K:$K,0)))/200,($F$13-$I$4+VLOOKUP($R57,武学奇术!$A:$ZZ,13,FALSE)+SUM(_xlfn.XLOOKUP(S57:AG57,增益!$A:$A,增益!$M:$M,0)))/100)</f>
        <v>-0.14</v>
      </c>
      <c r="BE57" s="32" cm="1">
        <f t="array" ref="BE57">$G$13+VLOOKUP($R57,武学奇术!$A:$ZZ,14,FALSE)+SUM(_xlfn.XLOOKUP(S57:AG57,增益!$A:$A,增益!$N:$N,0))</f>
        <v>0</v>
      </c>
      <c r="BF57">
        <f t="shared" si="16"/>
        <v>571.2</v>
      </c>
      <c r="BG57">
        <f t="shared" si="17"/>
        <v>1627.8</v>
      </c>
      <c r="BH57" s="32" cm="1">
        <f t="array" ref="BH57">IF($F$14-$I$4+VLOOKUP($R57,武学奇术!$A:$ZZ,15,FALSE)+SUM(_xlfn.XLOOKUP(S57:AG57,增益!$A:$A,增益!$O:$O,0))&gt;0,($F$14-$I$4+VLOOKUP($R57,武学奇术!$A:$ZZ,15,FALSE)+SUM(_xlfn.XLOOKUP(S57:AG57,增益!$A:$A,增益!$O:$O,0)))/200,($F$14-$I$4+VLOOKUP($R57,武学奇术!$A:$ZZ,15,FALSE)+SUM(_xlfn.XLOOKUP(S57:AG57,增益!$A:$A,增益!$O:$O,0)))/100)</f>
        <v>0.08</v>
      </c>
      <c r="BI57" s="32" cm="1">
        <f t="array" ref="BI57">$G$14+VLOOKUP($R57,武学奇术!$A:$ZZ,16,FALSE)+SUM(_xlfn.XLOOKUP(S57:AG57,增益!$A:$A,增益!$P:$P,0))</f>
        <v>0.27</v>
      </c>
      <c r="BJ57" s="26">
        <f>MIN(IF(VLOOKUP($R57,武学奇术!$A:$ZZ,23,FALSE)=1,100%,$B$8),100%)</f>
        <v>1</v>
      </c>
      <c r="BK57" s="26" cm="1">
        <f t="array" ref="BK57">IF(VLOOKUP($R57,武学奇术!$A:$ZZ,23,FALSE)=1,100%,MIN(80%,$B$9+VLOOKUP($R57,武学奇术!$A:$ZZ,17,FALSE)+SUM(_xlfn.XLOOKUP(S57:AG57,增益!$A:$A,增益!$Q:$Q,0)))+$B$11+SUM(_xlfn.XLOOKUP(S57:AG57,增益!$A:$A,增益!$U:$U,0)))*IF(VLOOKUP($R57,武学奇术!$A:$ZZ,24,FALSE)=1,0,1)</f>
        <v>1</v>
      </c>
      <c r="BL57" s="26" cm="1">
        <f t="array" ref="BL57">1+$B$13+VLOOKUP($R57,武学奇术!$A:$ZZ,18,FALSE)+SUM(_xlfn.XLOOKUP(S57:AG57,增益!$A:$A,增益!$R:$R,0))</f>
        <v>2.06</v>
      </c>
      <c r="BM57" s="26" cm="1">
        <f t="array" ref="BM57">IF(VLOOKUP($R57,武学奇术!$A:$ZZ,24,FALSE)=1,100%,MIN(40%,$B$10+VLOOKUP($R57,武学奇术!$A:$ZZ,19,FALSE)+SUM(_xlfn.XLOOKUP(S57:AG57,增益!$A:$A,增益!$S:$S,0)))+$B$12+SUM(_xlfn.XLOOKUP(S57:AG57,增益!$A:$A,增益!$V:$V,0)))*IF(VLOOKUP($R57,武学奇术!$A:$ZZ,23,FALSE)=1,0,1)</f>
        <v>0</v>
      </c>
      <c r="BN57" s="26" cm="1">
        <f t="array" ref="BN57">1+$B$14+VLOOKUP($R57,武学奇术!$A:$ZZ,20,FALSE)+SUM(_xlfn.XLOOKUP(S57:AG57,增益!$A:$A,增益!$T:$T,0))</f>
        <v>1.35</v>
      </c>
      <c r="BO57" s="26">
        <f t="shared" si="12"/>
        <v>1</v>
      </c>
      <c r="BP57" s="26">
        <f t="shared" si="18"/>
        <v>0</v>
      </c>
      <c r="BQ57" s="26">
        <f>IF(VLOOKUP($R57,武学奇术!$A:$ZZ,22,FALSE)=1,0,(1-$BJ57))*(1-$BM57)</f>
        <v>0</v>
      </c>
      <c r="BR57" s="26" cm="1">
        <f t="array" ref="BR57">SUM(_xlfn.XLOOKUP(S57:AG57,增益!$A:$A,增益!$W:$W,0))+$I$5</f>
        <v>0.11</v>
      </c>
    </row>
    <row r="58" spans="1:70">
      <c r="A58" s="4" t="s">
        <v>161</v>
      </c>
      <c r="B58" s="4">
        <v>1</v>
      </c>
      <c r="E58" s="39"/>
      <c r="F58" s="39"/>
      <c r="K58">
        <f>$L58*VLOOKUP($R58,武学奇术!$A:$ZZ,31,FALSE)</f>
        <v>82768.6928527524</v>
      </c>
      <c r="L58" s="38">
        <f t="shared" si="13"/>
        <v>78827.3265264308</v>
      </c>
      <c r="M58" s="38">
        <f>((($AO58+$AP58)/2*$AI58+$AJ58)*(1+$AQ58)*(1+$AR58)+(($AT58+$AU58)/2*IF($G$1="鸣金",$AK58,$AI58)+IF($G$1="鸣金",$AL58*1.5,0))*(1+$AV58)*(1+$AW58)+(($AX58+$AY58)/2*IF($G$1="裂石",$AK58,$AI58)+IF($G$1="裂石",$AL58*1.5,0))*(1+$AZ58)*(1+$BA58)+(($BB58+$BC58)/2*IF($G$1="牵丝",$AK58,$AI58)+IF($G$1="牵丝",$AL58*1.5,0))*(1+$BD58)*(1+$BE58)+(($BF58+$BG58)/2*IF($G$1="破竹",$AK58,$AI58)+IF($G$1="破竹",$AL58*1.5,0))*(1+$BH58)*(1+$BI58))*(1+$AM58)*$BL58*$Q58*(1+IF(VLOOKUP($R58,武学奇术!$A:$ZZ,30,FALSE)="回旋伞",$B$21,0))*(1+$BR58)</f>
        <v>78827.3265264308</v>
      </c>
      <c r="N58" s="38">
        <f>(($AP58*$AI58+$AJ58)*(1+$AQ58)*(1+$AR58)+($AU58*IF($G$1="鸣金",$AK58,$AI58)+IF($G$1="鸣金",$AL58*1.5,0))*(1+$AV58)*(1+$AW58)+($AY58*IF($G$1="裂石",$AK58,$AI58)+IF($G$1="裂石",$AL58*1.5,0))*(1+$AZ58)*(1+$BA58)+($BC58*IF($G$1="牵丝",$AK58,$AI58)+IF($G$1="牵丝",$AL58*1.5,0))*(1+$BD58)*(1+$BE58)+($BG58*IF($G$1="破竹",$AK58,$AI58)+IF($G$1="破竹",$AL58*1.5,0))*(1+$BH58)*(1+$BI58))*(1+$AM58)*$BN58*$Q58*(1+IF(VLOOKUP($R58,武学奇术!$A:$ZZ,30,FALSE)="回旋伞",$B$21,0))*(1+$BR58)</f>
        <v>58812.9762013785</v>
      </c>
      <c r="O58" s="38">
        <f>((($AO58+$AP58)/2*$AI58+$AJ58)*(1+$AQ58)*(1+$AR58)+(($AT58+$AU58)/2*IF($G$1="鸣金",$AK58,$AI58)+IF($G$1="鸣金",$AL58*1.5,0))*(1+$AV58)*(1+$AW58)+(($AX58+$AY58)/2*IF($G$1="裂石",$AK58,$AI58)+IF($G$1="裂石",$AL58*1.5,0))*(1+$AZ58)*(1+$BA58)+(($BB58+$BC58)/2*IF($G$1="牵丝",$AK58,$AI58)+IF($G$1="牵丝",$AL58*1.5,0))*(1+$BD58)*(1+$BE58)+(($BF58+$BG58)/2*IF($G$1="破竹",$AK58,$AI58)+IF($G$1="破竹",$AL58*1.5,0))*(1+$BH58)*(1+$BI58))*(1+$AM58)*$Q58*(1+IF(VLOOKUP($R58,武学奇术!$A:$ZZ,30,FALSE)="回旋伞",$B$21,0))*(1+$BR58)</f>
        <v>38265.6924885586</v>
      </c>
      <c r="P58" s="38">
        <f>((($AO58*$AI58+$AJ58)*(1+$AQ58)*(1+$AR58)+($AT58*IF($G$1="鸣金",$AK58,$AI58)+IF($G$1="鸣金",$AL58*1.5,0))*(1+$AV58)*(1+$AW58)+($AX58*IF($G$1="裂石",$AK58,$AI58)+IF($G$1="裂石",$AL58*1.5,0))*(1+$AZ58)*(1+$BA58)+($BB58*IF($G$1="牵丝",$AK58,$AI58)+IF($G$1="牵丝",$AL58*1.5,0))*(1+$BD58)*(1+$BE58)+($BF58*IF($G$1="破竹",$AK58,$AI58)+IF($G$1="破竹",$AL58*1.5,0))*(1+$BH58)*(1+$BI58))*(1+$AM58))*$Q58*(1+IF(VLOOKUP($R58,武学奇术!$A:$ZZ,30,FALSE)="回旋伞",$B$21,0))*(1+$BR58)</f>
        <v>32966.2174205406</v>
      </c>
      <c r="Q58" s="39">
        <v>3</v>
      </c>
      <c r="R58" s="40" t="s">
        <v>132</v>
      </c>
      <c r="S58" s="40" t="s">
        <v>109</v>
      </c>
      <c r="T58" s="40" t="s">
        <v>95</v>
      </c>
      <c r="U58" s="40" t="s">
        <v>73</v>
      </c>
      <c r="V58" s="40" t="s">
        <v>72</v>
      </c>
      <c r="W58" s="40" t="s">
        <v>172</v>
      </c>
      <c r="X58" s="40" t="s">
        <v>99</v>
      </c>
      <c r="Y58" s="40" t="s">
        <v>84</v>
      </c>
      <c r="Z58" s="40" t="s">
        <v>72</v>
      </c>
      <c r="AA58" s="40" t="s">
        <v>72</v>
      </c>
      <c r="AB58" s="40" t="s">
        <v>126</v>
      </c>
      <c r="AC58" s="40" t="s">
        <v>85</v>
      </c>
      <c r="AD58" s="40" t="s">
        <v>72</v>
      </c>
      <c r="AE58" s="40" t="s">
        <v>72</v>
      </c>
      <c r="AF58" s="40" t="s">
        <v>77</v>
      </c>
      <c r="AG58" s="40" t="s">
        <v>78</v>
      </c>
      <c r="AH58" t="str">
        <f>VLOOKUP($R58,武学奇术!$A:$ZZ,25,FALSE)</f>
        <v>伞</v>
      </c>
      <c r="AI58" s="26">
        <f>VLOOKUP($R58,武学奇术!$A:$ZZ,26,FALSE)</f>
        <v>0.54</v>
      </c>
      <c r="AJ58" s="27">
        <f>VLOOKUP($R58,武学奇术!$A:$ZZ,27,FALSE)*(1+IF(OR($AH58=$F$4,$AH58=$F$5),$B$22,0))</f>
        <v>0</v>
      </c>
      <c r="AK58" s="26">
        <f>VLOOKUP($R58,武学奇术!$A:$ZZ,28,FALSE)</f>
        <v>0.81</v>
      </c>
      <c r="AL58" s="27">
        <f>VLOOKUP($R58,武学奇术!$A:$ZZ,29,FALSE)*(1+IF(OR($AH58=$F$4,$AH58=$F$5),$B$22,0))</f>
        <v>0</v>
      </c>
      <c r="AM58" s="26" cm="1">
        <f t="array" ref="AM58">$G$3+IFERROR(VLOOKUP($AH58,$F$4:$G$7,2,FALSE),0)+VLOOKUP($R58,武学奇术!$A:$ZZ,2,FALSE)+SUM(_xlfn.XLOOKUP($S58:$AG58,增益!$A:$A,增益!$B:$B,0))</f>
        <v>1.0541</v>
      </c>
      <c r="AN58" s="26" cm="1">
        <f t="array" ref="AN58">VLOOKUP($R58,武学奇术!$A:$ZZ,5,FALSE)+SUM(_xlfn.XLOOKUP($S58:$AG58,增益!$A:$A,增益!$E:$E,0))</f>
        <v>0</v>
      </c>
      <c r="AO58" cm="1">
        <f t="array" ref="AO58">$D$10*(1+$AN58)+VLOOKUP($R58,武学奇术!$A:$ZZ,3,FALSE)+SUM(_xlfn.XLOOKUP($S58:$AG58,增益!$A:$A,增益!$C:$C,0))-$I$2</f>
        <v>3624.6</v>
      </c>
      <c r="AP58" cm="1">
        <f t="array" ref="AP58">$E$10*(1+$AN58)+VLOOKUP($R58,武学奇术!$A:$ZZ,4,FALSE)+SUM(_xlfn.XLOOKUP($S58:$AG58,增益!$A:$A,增益!$D:$D,0))-$I$2</f>
        <v>3624.6</v>
      </c>
      <c r="AQ58" s="32" cm="1">
        <f t="array" ref="AQ58">IF($F$10-$I$3+VLOOKUP($R58,武学奇术!$A:$ZZ,6,FALSE)+SUM(_xlfn.XLOOKUP(S58:AG58,增益!$A:$A,增益!$F:$F,0))&gt;0,($F$10-$I$3+VLOOKUP($R58,武学奇术!$A:$ZZ,6,FALSE)+SUM(_xlfn.XLOOKUP(S58:AG58,增益!$A:$A,增益!$F:$F,0)))/200,($F$10-$I$3+VLOOKUP($R58,武学奇术!$A:$ZZ,6,FALSE)+SUM(_xlfn.XLOOKUP(S58:AG58,增益!$A:$A,增益!$F:$F,0)))/100)</f>
        <v>0.3425</v>
      </c>
      <c r="AR58" s="32" cm="1">
        <f t="array" ref="AR58">$G$10+VLOOKUP($R58,武学奇术!$A:$ZZ,7,FALSE)+SUM(_xlfn.XLOOKUP(S58:AG58,增益!$A:$A,增益!$G:$G,0))</f>
        <v>0.148</v>
      </c>
      <c r="AS58" s="26" cm="1">
        <f t="array" ref="AS58">VLOOKUP($R58,武学奇术!$A:$ZZ,8,FALSE)+SUM(_xlfn.XLOOKUP(S58:AG58,增益!$A:$A,增益!$H:$H,0))</f>
        <v>0</v>
      </c>
      <c r="AT58">
        <f t="shared" si="19"/>
        <v>0</v>
      </c>
      <c r="AU58">
        <f t="shared" si="20"/>
        <v>0</v>
      </c>
      <c r="AV58" s="32" cm="1">
        <f t="array" ref="AV58">IF($F$11-$I$4+VLOOKUP($R58,武学奇术!$A:$ZZ,9,FALSE)+SUM(_xlfn.XLOOKUP(S58:AG58,增益!$A:$A,增益!$I:$I,0))&gt;0,($F$11-$I$4+VLOOKUP($R58,武学奇术!$A:$ZZ,9,FALSE)+SUM(_xlfn.XLOOKUP(S58:AG58,增益!$A:$A,增益!$I:$I,0)))/200,($F$11-$I$4+VLOOKUP($R58,武学奇术!$A:$ZZ,9,FALSE)+SUM(_xlfn.XLOOKUP(S58:AG58,增益!$A:$A,增益!$I:$I,0)))/100)</f>
        <v>-0.14</v>
      </c>
      <c r="AW58" s="32" cm="1">
        <f t="array" ref="AW58">$G$11+VLOOKUP($R58,武学奇术!$A:$ZZ,10,FALSE)+SUM(_xlfn.XLOOKUP(S58:AG58,增益!$A:$A,增益!$J:$J,0))</f>
        <v>0</v>
      </c>
      <c r="AX58">
        <f t="shared" si="21"/>
        <v>0</v>
      </c>
      <c r="AY58">
        <f t="shared" si="22"/>
        <v>0</v>
      </c>
      <c r="AZ58" s="32" cm="1">
        <f t="array" ref="AZ58">IF($F$12-$I$4+VLOOKUP($R58,武学奇术!$A:$ZZ,11,FALSE)+SUM(_xlfn.XLOOKUP(S58:AG58,增益!$A:$A,增益!$K:$K,0))&gt;0,($F$12-$I$4+VLOOKUP($R58,武学奇术!$A:$ZZ,11,FALSE)+SUM(_xlfn.XLOOKUP(S58:AG58,增益!$A:$A,增益!$K:$K,0)))/200,($F$12-$I$4+VLOOKUP($R58,武学奇术!$A:$ZZ,11,FALSE)+SUM(_xlfn.XLOOKUP(S58:AG58,增益!$A:$A,增益!$K:$K,0)))/100)</f>
        <v>-0.14</v>
      </c>
      <c r="BA58" s="32" cm="1">
        <f t="array" ref="BA58">$G$12+VLOOKUP($R58,武学奇术!$A:$ZZ,12,FALSE)+SUM(_xlfn.XLOOKUP(S58:AG58,增益!$A:$A,增益!$L:$L,0))</f>
        <v>0</v>
      </c>
      <c r="BB58">
        <f t="shared" si="14"/>
        <v>0</v>
      </c>
      <c r="BC58">
        <f t="shared" si="15"/>
        <v>0</v>
      </c>
      <c r="BD58" s="32" cm="1">
        <f t="array" ref="BD58">IF($F$13-$I$4+VLOOKUP($R58,武学奇术!$A:$ZZ,13,FALSE)+SUM(_xlfn.XLOOKUP(S58:AG58,增益!$A:$A,增益!$M:$M,0))&gt;0,($F$13-$I$4+VLOOKUP($R58,武学奇术!$A:$ZZ,13,FALSE)+SUM(_xlfn.XLOOKUP(S58:AG58,增益!$A:$A,增益!$K:$K,0)))/200,($F$13-$I$4+VLOOKUP($R58,武学奇术!$A:$ZZ,13,FALSE)+SUM(_xlfn.XLOOKUP(S58:AG58,增益!$A:$A,增益!$M:$M,0)))/100)</f>
        <v>-0.14</v>
      </c>
      <c r="BE58" s="32" cm="1">
        <f t="array" ref="BE58">$G$13+VLOOKUP($R58,武学奇术!$A:$ZZ,14,FALSE)+SUM(_xlfn.XLOOKUP(S58:AG58,增益!$A:$A,增益!$N:$N,0))</f>
        <v>0</v>
      </c>
      <c r="BF58">
        <f t="shared" si="16"/>
        <v>571.2</v>
      </c>
      <c r="BG58">
        <f t="shared" si="17"/>
        <v>1627.8</v>
      </c>
      <c r="BH58" s="32" cm="1">
        <f t="array" ref="BH58">IF($F$14-$I$4+VLOOKUP($R58,武学奇术!$A:$ZZ,15,FALSE)+SUM(_xlfn.XLOOKUP(S58:AG58,增益!$A:$A,增益!$O:$O,0))&gt;0,($F$14-$I$4+VLOOKUP($R58,武学奇术!$A:$ZZ,15,FALSE)+SUM(_xlfn.XLOOKUP(S58:AG58,增益!$A:$A,增益!$O:$O,0)))/200,($F$14-$I$4+VLOOKUP($R58,武学奇术!$A:$ZZ,15,FALSE)+SUM(_xlfn.XLOOKUP(S58:AG58,增益!$A:$A,增益!$O:$O,0)))/100)</f>
        <v>0.08</v>
      </c>
      <c r="BI58" s="32" cm="1">
        <f t="array" ref="BI58">$G$14+VLOOKUP($R58,武学奇术!$A:$ZZ,16,FALSE)+SUM(_xlfn.XLOOKUP(S58:AG58,增益!$A:$A,增益!$P:$P,0))</f>
        <v>0.27</v>
      </c>
      <c r="BJ58" s="26">
        <f>MIN(IF(VLOOKUP($R58,武学奇术!$A:$ZZ,23,FALSE)=1,100%,$B$8),100%)</f>
        <v>1</v>
      </c>
      <c r="BK58" s="26" cm="1">
        <f t="array" ref="BK58">IF(VLOOKUP($R58,武学奇术!$A:$ZZ,23,FALSE)=1,100%,MIN(80%,$B$9+VLOOKUP($R58,武学奇术!$A:$ZZ,17,FALSE)+SUM(_xlfn.XLOOKUP(S58:AG58,增益!$A:$A,增益!$Q:$Q,0)))+$B$11+SUM(_xlfn.XLOOKUP(S58:AG58,增益!$A:$A,增益!$U:$U,0)))*IF(VLOOKUP($R58,武学奇术!$A:$ZZ,24,FALSE)=1,0,1)</f>
        <v>1</v>
      </c>
      <c r="BL58" s="26" cm="1">
        <f t="array" ref="BL58">1+$B$13+VLOOKUP($R58,武学奇术!$A:$ZZ,18,FALSE)+SUM(_xlfn.XLOOKUP(S58:AG58,增益!$A:$A,增益!$R:$R,0))</f>
        <v>2.06</v>
      </c>
      <c r="BM58" s="26" cm="1">
        <f t="array" ref="BM58">IF(VLOOKUP($R58,武学奇术!$A:$ZZ,24,FALSE)=1,100%,MIN(40%,$B$10+VLOOKUP($R58,武学奇术!$A:$ZZ,19,FALSE)+SUM(_xlfn.XLOOKUP(S58:AG58,增益!$A:$A,增益!$S:$S,0)))+$B$12+SUM(_xlfn.XLOOKUP(S58:AG58,增益!$A:$A,增益!$V:$V,0)))*IF(VLOOKUP($R58,武学奇术!$A:$ZZ,23,FALSE)=1,0,1)</f>
        <v>0</v>
      </c>
      <c r="BN58" s="26" cm="1">
        <f t="array" ref="BN58">1+$B$14+VLOOKUP($R58,武学奇术!$A:$ZZ,20,FALSE)+SUM(_xlfn.XLOOKUP(S58:AG58,增益!$A:$A,增益!$T:$T,0))</f>
        <v>1.35</v>
      </c>
      <c r="BO58" s="26">
        <f t="shared" si="12"/>
        <v>1</v>
      </c>
      <c r="BP58" s="26">
        <f t="shared" si="18"/>
        <v>0</v>
      </c>
      <c r="BQ58" s="26">
        <f>IF(VLOOKUP($R58,武学奇术!$A:$ZZ,22,FALSE)=1,0,(1-$BJ58))*(1-$BM58)</f>
        <v>0</v>
      </c>
      <c r="BR58" s="26" cm="1">
        <f t="array" ref="BR58">SUM(_xlfn.XLOOKUP(S58:AG58,增益!$A:$A,增益!$W:$W,0))+$I$5</f>
        <v>0.11</v>
      </c>
    </row>
    <row r="59" spans="1:70">
      <c r="A59" s="4" t="s">
        <v>164</v>
      </c>
      <c r="B59" s="4">
        <v>0.85</v>
      </c>
      <c r="E59" s="39"/>
      <c r="F59" s="39"/>
      <c r="K59">
        <f>$L59*VLOOKUP($R59,武学奇术!$A:$ZZ,31,FALSE)</f>
        <v>49458.6727736764</v>
      </c>
      <c r="L59" s="38">
        <f t="shared" si="13"/>
        <v>47103.4978796918</v>
      </c>
      <c r="M59" s="38">
        <f>((($AO59+$AP59)/2*$AI59+$AJ59)*(1+$AQ59)*(1+$AR59)+(($AT59+$AU59)/2*IF($G$1="鸣金",$AK59,$AI59)+IF($G$1="鸣金",$AL59*1.5,0))*(1+$AV59)*(1+$AW59)+(($AX59+$AY59)/2*IF($G$1="裂石",$AK59,$AI59)+IF($G$1="裂石",$AL59*1.5,0))*(1+$AZ59)*(1+$BA59)+(($BB59+$BC59)/2*IF($G$1="牵丝",$AK59,$AI59)+IF($G$1="牵丝",$AL59*1.5,0))*(1+$BD59)*(1+$BE59)+(($BF59+$BG59)/2*IF($G$1="破竹",$AK59,$AI59)+IF($G$1="破竹",$AL59*1.5,0))*(1+$BH59)*(1+$BI59))*(1+$AM59)*$BL59*$Q59*(1+IF(VLOOKUP($R59,武学奇术!$A:$ZZ,30,FALSE)="回旋伞",$B$21,0))*(1+$BR59)</f>
        <v>49954.7133154726</v>
      </c>
      <c r="N59" s="38">
        <f>(($AP59*$AI59+$AJ59)*(1+$AQ59)*(1+$AR59)+($AU59*IF($G$1="鸣金",$AK59,$AI59)+IF($G$1="鸣金",$AL59*1.5,0))*(1+$AV59)*(1+$AW59)+($AY59*IF($G$1="裂石",$AK59,$AI59)+IF($G$1="裂石",$AL59*1.5,0))*(1+$AZ59)*(1+$BA59)+($BC59*IF($G$1="牵丝",$AK59,$AI59)+IF($G$1="牵丝",$AL59*1.5,0))*(1+$BD59)*(1+$BE59)+($BG59*IF($G$1="破竹",$AK59,$AI59)+IF($G$1="破竹",$AL59*1.5,0))*(1+$BH59)*(1+$BI59))*(1+$AM59)*$BN59*$Q59*(1+IF(VLOOKUP($R59,武学奇术!$A:$ZZ,30,FALSE)="回旋伞",$B$21,0))*(1+$BR59)</f>
        <v>39628.7125496418</v>
      </c>
      <c r="O59" s="38">
        <f>((($AO59+$AP59)/2*$AI59+$AJ59)*(1+$AQ59)*(1+$AR59)+(($AT59+$AU59)/2*IF($G$1="鸣金",$AK59,$AI59)+IF($G$1="鸣金",$AL59*1.5,0))*(1+$AV59)*(1+$AW59)+(($AX59+$AY59)/2*IF($G$1="裂石",$AK59,$AI59)+IF($G$1="裂石",$AL59*1.5,0))*(1+$AZ59)*(1+$BA59)+(($BB59+$BC59)/2*IF($G$1="牵丝",$AK59,$AI59)+IF($G$1="牵丝",$AL59*1.5,0))*(1+$BD59)*(1+$BE59)+(($BF59+$BG59)/2*IF($G$1="破竹",$AK59,$AI59)+IF($G$1="破竹",$AL59*1.5,0))*(1+$BH59)*(1+$BI59))*(1+$AM59)*$Q59*(1+IF(VLOOKUP($R59,武学奇术!$A:$ZZ,30,FALSE)="回旋伞",$B$21,0))*(1+$BR59)</f>
        <v>26154.3001651689</v>
      </c>
      <c r="P59" s="38">
        <f>((($AO59*$AI59+$AJ59)*(1+$AQ59)*(1+$AR59)+($AT59*IF($G$1="鸣金",$AK59,$AI59)+IF($G$1="鸣金",$AL59*1.5,0))*(1+$AV59)*(1+$AW59)+($AX59*IF($G$1="裂石",$AK59,$AI59)+IF($G$1="裂石",$AL59*1.5,0))*(1+$AZ59)*(1+$BA59)+($BB59*IF($G$1="牵丝",$AK59,$AI59)+IF($G$1="牵丝",$AL59*1.5,0))*(1+$BD59)*(1+$BE59)+($BF59*IF($G$1="破竹",$AK59,$AI59)+IF($G$1="破竹",$AL59*1.5,0))*(1+$BH59)*(1+$BI59))*(1+$AM59))*$Q59*(1+IF(VLOOKUP($R59,武学奇术!$A:$ZZ,30,FALSE)="回旋伞",$B$21,0))*(1+$BR59)</f>
        <v>22953.9984417142</v>
      </c>
      <c r="Q59" s="39">
        <v>1</v>
      </c>
      <c r="R59" s="40" t="s">
        <v>159</v>
      </c>
      <c r="S59" s="40" t="s">
        <v>72</v>
      </c>
      <c r="T59" s="40" t="s">
        <v>95</v>
      </c>
      <c r="U59" s="40" t="s">
        <v>73</v>
      </c>
      <c r="V59" s="40" t="s">
        <v>72</v>
      </c>
      <c r="W59" s="40" t="s">
        <v>172</v>
      </c>
      <c r="X59" s="40" t="s">
        <v>99</v>
      </c>
      <c r="Y59" s="40" t="s">
        <v>84</v>
      </c>
      <c r="Z59" s="40" t="s">
        <v>72</v>
      </c>
      <c r="AA59" s="40" t="s">
        <v>72</v>
      </c>
      <c r="AB59" s="40" t="s">
        <v>72</v>
      </c>
      <c r="AC59" s="40" t="s">
        <v>85</v>
      </c>
      <c r="AD59" s="40" t="s">
        <v>72</v>
      </c>
      <c r="AE59" s="40" t="s">
        <v>72</v>
      </c>
      <c r="AF59" s="40" t="s">
        <v>77</v>
      </c>
      <c r="AG59" s="40" t="s">
        <v>78</v>
      </c>
      <c r="AH59" t="str">
        <f>VLOOKUP($R59,武学奇术!$A:$ZZ,25,FALSE)</f>
        <v>伞</v>
      </c>
      <c r="AI59" s="26">
        <f>VLOOKUP($R59,武学奇术!$A:$ZZ,26,FALSE)</f>
        <v>2.01456</v>
      </c>
      <c r="AJ59" s="27">
        <f>VLOOKUP($R59,武学奇术!$A:$ZZ,27,FALSE)*(1+IF(OR($AH59=$F$4,$AH59=$F$5),$B$22,0))</f>
        <v>837</v>
      </c>
      <c r="AK59" s="26">
        <f>VLOOKUP($R59,武学奇术!$A:$ZZ,28,FALSE)</f>
        <v>3.02184</v>
      </c>
      <c r="AL59" s="27">
        <f>VLOOKUP($R59,武学奇术!$A:$ZZ,29,FALSE)*(1+IF(OR($AH59=$F$4,$AH59=$F$5),$B$22,0))</f>
        <v>453.6</v>
      </c>
      <c r="AM59" s="26" cm="1">
        <f t="array" ref="AM59">$G$3+IFERROR(VLOOKUP($AH59,$F$4:$G$7,2,FALSE),0)+VLOOKUP($R59,武学奇术!$A:$ZZ,2,FALSE)+SUM(_xlfn.XLOOKUP($S59:$AG59,增益!$A:$A,增益!$B:$B,0))</f>
        <v>0.4541</v>
      </c>
      <c r="AN59" s="26" cm="1">
        <f t="array" ref="AN59">VLOOKUP($R59,武学奇术!$A:$ZZ,5,FALSE)+SUM(_xlfn.XLOOKUP($S59:$AG59,增益!$A:$A,增益!$E:$E,0))</f>
        <v>0</v>
      </c>
      <c r="AO59" cm="1">
        <f t="array" ref="AO59">$D$10*(1+$AN59)+VLOOKUP($R59,武学奇术!$A:$ZZ,3,FALSE)+SUM(_xlfn.XLOOKUP($S59:$AG59,增益!$A:$A,增益!$C:$C,0))-$I$2</f>
        <v>3624.6</v>
      </c>
      <c r="AP59" cm="1">
        <f t="array" ref="AP59">$E$10*(1+$AN59)+VLOOKUP($R59,武学奇术!$A:$ZZ,4,FALSE)+SUM(_xlfn.XLOOKUP($S59:$AG59,增益!$A:$A,增益!$D:$D,0))-$I$2</f>
        <v>3624.6</v>
      </c>
      <c r="AQ59" s="32" cm="1">
        <f t="array" ref="AQ59">IF($F$10-$I$3+VLOOKUP($R59,武学奇术!$A:$ZZ,6,FALSE)+SUM(_xlfn.XLOOKUP(S59:AG59,增益!$A:$A,增益!$F:$F,0))&gt;0,($F$10-$I$3+VLOOKUP($R59,武学奇术!$A:$ZZ,6,FALSE)+SUM(_xlfn.XLOOKUP(S59:AG59,增益!$A:$A,增益!$F:$F,0)))/200,($F$10-$I$3+VLOOKUP($R59,武学奇术!$A:$ZZ,6,FALSE)+SUM(_xlfn.XLOOKUP(S59:AG59,增益!$A:$A,增益!$F:$F,0)))/100)</f>
        <v>0.3425</v>
      </c>
      <c r="AR59" s="32" cm="1">
        <f t="array" ref="AR59">$G$10+VLOOKUP($R59,武学奇术!$A:$ZZ,7,FALSE)+SUM(_xlfn.XLOOKUP(S59:AG59,增益!$A:$A,增益!$G:$G,0))</f>
        <v>0.028</v>
      </c>
      <c r="AS59" s="26" cm="1">
        <f t="array" ref="AS59">VLOOKUP($R59,武学奇术!$A:$ZZ,8,FALSE)+SUM(_xlfn.XLOOKUP(S59:AG59,增益!$A:$A,增益!$H:$H,0))</f>
        <v>0</v>
      </c>
      <c r="AT59">
        <f t="shared" si="19"/>
        <v>0</v>
      </c>
      <c r="AU59">
        <f t="shared" si="20"/>
        <v>0</v>
      </c>
      <c r="AV59" s="32" cm="1">
        <f t="array" ref="AV59">IF($F$11-$I$4+VLOOKUP($R59,武学奇术!$A:$ZZ,9,FALSE)+SUM(_xlfn.XLOOKUP(S59:AG59,增益!$A:$A,增益!$I:$I,0))&gt;0,($F$11-$I$4+VLOOKUP($R59,武学奇术!$A:$ZZ,9,FALSE)+SUM(_xlfn.XLOOKUP(S59:AG59,增益!$A:$A,增益!$I:$I,0)))/200,($F$11-$I$4+VLOOKUP($R59,武学奇术!$A:$ZZ,9,FALSE)+SUM(_xlfn.XLOOKUP(S59:AG59,增益!$A:$A,增益!$I:$I,0)))/100)</f>
        <v>-0.14</v>
      </c>
      <c r="AW59" s="32" cm="1">
        <f t="array" ref="AW59">$G$11+VLOOKUP($R59,武学奇术!$A:$ZZ,10,FALSE)+SUM(_xlfn.XLOOKUP(S59:AG59,增益!$A:$A,增益!$J:$J,0))</f>
        <v>0</v>
      </c>
      <c r="AX59">
        <f t="shared" si="21"/>
        <v>0</v>
      </c>
      <c r="AY59">
        <f t="shared" si="22"/>
        <v>0</v>
      </c>
      <c r="AZ59" s="32" cm="1">
        <f t="array" ref="AZ59">IF($F$12-$I$4+VLOOKUP($R59,武学奇术!$A:$ZZ,11,FALSE)+SUM(_xlfn.XLOOKUP(S59:AG59,增益!$A:$A,增益!$K:$K,0))&gt;0,($F$12-$I$4+VLOOKUP($R59,武学奇术!$A:$ZZ,11,FALSE)+SUM(_xlfn.XLOOKUP(S59:AG59,增益!$A:$A,增益!$K:$K,0)))/200,($F$12-$I$4+VLOOKUP($R59,武学奇术!$A:$ZZ,11,FALSE)+SUM(_xlfn.XLOOKUP(S59:AG59,增益!$A:$A,增益!$K:$K,0)))/100)</f>
        <v>-0.14</v>
      </c>
      <c r="BA59" s="32" cm="1">
        <f t="array" ref="BA59">$G$12+VLOOKUP($R59,武学奇术!$A:$ZZ,12,FALSE)+SUM(_xlfn.XLOOKUP(S59:AG59,增益!$A:$A,增益!$L:$L,0))</f>
        <v>0</v>
      </c>
      <c r="BB59">
        <f t="shared" si="14"/>
        <v>0</v>
      </c>
      <c r="BC59">
        <f t="shared" si="15"/>
        <v>0</v>
      </c>
      <c r="BD59" s="32" cm="1">
        <f t="array" ref="BD59">IF($F$13-$I$4+VLOOKUP($R59,武学奇术!$A:$ZZ,13,FALSE)+SUM(_xlfn.XLOOKUP(S59:AG59,增益!$A:$A,增益!$M:$M,0))&gt;0,($F$13-$I$4+VLOOKUP($R59,武学奇术!$A:$ZZ,13,FALSE)+SUM(_xlfn.XLOOKUP(S59:AG59,增益!$A:$A,增益!$K:$K,0)))/200,($F$13-$I$4+VLOOKUP($R59,武学奇术!$A:$ZZ,13,FALSE)+SUM(_xlfn.XLOOKUP(S59:AG59,增益!$A:$A,增益!$M:$M,0)))/100)</f>
        <v>-0.14</v>
      </c>
      <c r="BE59" s="32" cm="1">
        <f t="array" ref="BE59">$G$13+VLOOKUP($R59,武学奇术!$A:$ZZ,14,FALSE)+SUM(_xlfn.XLOOKUP(S59:AG59,增益!$A:$A,增益!$N:$N,0))</f>
        <v>0</v>
      </c>
      <c r="BF59">
        <f t="shared" si="16"/>
        <v>571.2</v>
      </c>
      <c r="BG59">
        <f t="shared" si="17"/>
        <v>1627.8</v>
      </c>
      <c r="BH59" s="32" cm="1">
        <f t="array" ref="BH59">IF($F$14-$I$4+VLOOKUP($R59,武学奇术!$A:$ZZ,15,FALSE)+SUM(_xlfn.XLOOKUP(S59:AG59,增益!$A:$A,增益!$O:$O,0))&gt;0,($F$14-$I$4+VLOOKUP($R59,武学奇术!$A:$ZZ,15,FALSE)+SUM(_xlfn.XLOOKUP(S59:AG59,增益!$A:$A,增益!$O:$O,0)))/200,($F$14-$I$4+VLOOKUP($R59,武学奇术!$A:$ZZ,15,FALSE)+SUM(_xlfn.XLOOKUP(S59:AG59,增益!$A:$A,增益!$O:$O,0)))/100)</f>
        <v>0.08</v>
      </c>
      <c r="BI59" s="32" cm="1">
        <f t="array" ref="BI59">$G$14+VLOOKUP($R59,武学奇术!$A:$ZZ,16,FALSE)+SUM(_xlfn.XLOOKUP(S59:AG59,增益!$A:$A,增益!$P:$P,0))</f>
        <v>0.15</v>
      </c>
      <c r="BJ59" s="26">
        <f>MIN(IF(VLOOKUP($R59,武学奇术!$A:$ZZ,23,FALSE)=1,100%,$B$8),100%)</f>
        <v>0.981</v>
      </c>
      <c r="BK59" s="26" cm="1">
        <f t="array" ref="BK59">IF(VLOOKUP($R59,武学奇术!$A:$ZZ,23,FALSE)=1,100%,MIN(80%,$B$9+VLOOKUP($R59,武学奇术!$A:$ZZ,17,FALSE)+SUM(_xlfn.XLOOKUP(S59:AG59,增益!$A:$A,增益!$Q:$Q,0)))+$B$11+SUM(_xlfn.XLOOKUP(S59:AG59,增益!$A:$A,增益!$U:$U,0)))*IF(VLOOKUP($R59,武学奇术!$A:$ZZ,24,FALSE)=1,0,1)</f>
        <v>0.846</v>
      </c>
      <c r="BL59" s="26" cm="1">
        <f t="array" ref="BL59">1+$B$13+VLOOKUP($R59,武学奇术!$A:$ZZ,18,FALSE)+SUM(_xlfn.XLOOKUP(S59:AG59,增益!$A:$A,增益!$R:$R,0))</f>
        <v>1.91</v>
      </c>
      <c r="BM59" s="26" cm="1">
        <f t="array" ref="BM59">IF(VLOOKUP($R59,武学奇术!$A:$ZZ,24,FALSE)=1,100%,MIN(40%,$B$10+VLOOKUP($R59,武学奇术!$A:$ZZ,19,FALSE)+SUM(_xlfn.XLOOKUP(S59:AG59,增益!$A:$A,增益!$S:$S,0)))+$B$12+SUM(_xlfn.XLOOKUP(S59:AG59,增益!$A:$A,增益!$V:$V,0)))*IF(VLOOKUP($R59,武学奇术!$A:$ZZ,23,FALSE)=1,0,1)</f>
        <v>0.0929</v>
      </c>
      <c r="BN59" s="26" cm="1">
        <f t="array" ref="BN59">1+$B$14+VLOOKUP($R59,武学奇术!$A:$ZZ,20,FALSE)+SUM(_xlfn.XLOOKUP(S59:AG59,增益!$A:$A,增益!$T:$T,0))</f>
        <v>1.35</v>
      </c>
      <c r="BO59" s="26">
        <f t="shared" si="12"/>
        <v>0.829926</v>
      </c>
      <c r="BP59" s="26">
        <f t="shared" si="18"/>
        <v>0.0599391</v>
      </c>
      <c r="BQ59" s="26">
        <f>IF(VLOOKUP($R59,武学奇术!$A:$ZZ,22,FALSE)=1,0,(1-$BJ59))*(1-$BM59)</f>
        <v>0.0172349</v>
      </c>
      <c r="BR59" s="26" cm="1">
        <f t="array" ref="BR59">SUM(_xlfn.XLOOKUP(S59:AG59,增益!$A:$A,增益!$W:$W,0))+$I$5</f>
        <v>0.11</v>
      </c>
    </row>
    <row r="60" spans="1:70">
      <c r="A60" s="4" t="s">
        <v>161</v>
      </c>
      <c r="B60" s="87">
        <v>1</v>
      </c>
      <c r="E60" s="39"/>
      <c r="F60" s="39"/>
      <c r="K60">
        <f>$L60*VLOOKUP($R60,武学奇术!$A:$ZZ,31,FALSE)</f>
        <v>13232.9244282907</v>
      </c>
      <c r="L60" s="38">
        <f t="shared" si="13"/>
        <v>12602.7851698007</v>
      </c>
      <c r="M60" s="38">
        <f>((($AO60+$AP60)/2*$AI60+$AJ60)*(1+$AQ60)*(1+$AR60)+(($AT60+$AU60)/2*IF($G$1="鸣金",$AK60,$AI60)+IF($G$1="鸣金",$AL60*1.5,0))*(1+$AV60)*(1+$AW60)+(($AX60+$AY60)/2*IF($G$1="裂石",$AK60,$AI60)+IF($G$1="裂石",$AL60*1.5,0))*(1+$AZ60)*(1+$BA60)+(($BB60+$BC60)/2*IF($G$1="牵丝",$AK60,$AI60)+IF($G$1="牵丝",$AL60*1.5,0))*(1+$BD60)*(1+$BE60)+(($BF60+$BG60)/2*IF($G$1="破竹",$AK60,$AI60)+IF($G$1="破竹",$AL60*1.5,0))*(1+$BH60)*(1+$BI60))*(1+$AM60)*$BL60*$Q60*(1+IF(VLOOKUP($R60,武学奇术!$A:$ZZ,30,FALSE)="回旋伞",$B$21,0))*(1+$BR60)</f>
        <v>13351.8232693008</v>
      </c>
      <c r="N60" s="38">
        <f>(($AP60*$AI60+$AJ60)*(1+$AQ60)*(1+$AR60)+($AU60*IF($G$1="鸣金",$AK60,$AI60)+IF($G$1="鸣金",$AL60*1.5,0))*(1+$AV60)*(1+$AW60)+($AY60*IF($G$1="裂石",$AK60,$AI60)+IF($G$1="裂石",$AL60*1.5,0))*(1+$AZ60)*(1+$BA60)+($BC60*IF($G$1="牵丝",$AK60,$AI60)+IF($G$1="牵丝",$AL60*1.5,0))*(1+$BD60)*(1+$BE60)+($BG60*IF($G$1="破竹",$AK60,$AI60)+IF($G$1="破竹",$AL60*1.5,0))*(1+$BH60)*(1+$BI60))*(1+$AM60)*$BN60*$Q60*(1+IF(VLOOKUP($R60,武学奇术!$A:$ZZ,30,FALSE)="回旋伞",$B$21,0))*(1+$BR60)</f>
        <v>10754.5164001333</v>
      </c>
      <c r="O60" s="38">
        <f>((($AO60+$AP60)/2*$AI60+$AJ60)*(1+$AQ60)*(1+$AR60)+(($AT60+$AU60)/2*IF($G$1="鸣金",$AK60,$AI60)+IF($G$1="鸣金",$AL60*1.5,0))*(1+$AV60)*(1+$AW60)+(($AX60+$AY60)/2*IF($G$1="裂石",$AK60,$AI60)+IF($G$1="裂石",$AL60*1.5,0))*(1+$AZ60)*(1+$BA60)+(($BB60+$BC60)/2*IF($G$1="牵丝",$AK60,$AI60)+IF($G$1="牵丝",$AL60*1.5,0))*(1+$BD60)*(1+$BE60)+(($BF60+$BG60)/2*IF($G$1="破竹",$AK60,$AI60)+IF($G$1="破竹",$AL60*1.5,0))*(1+$BH60)*(1+$BI60))*(1+$AM60)*$Q60*(1+IF(VLOOKUP($R60,武学奇术!$A:$ZZ,30,FALSE)="回旋伞",$B$21,0))*(1+$BR60)</f>
        <v>6990.48338706851</v>
      </c>
      <c r="P60" s="38">
        <f>((($AO60*$AI60+$AJ60)*(1+$AQ60)*(1+$AR60)+($AT60*IF($G$1="鸣金",$AK60,$AI60)+IF($G$1="鸣金",$AL60*1.5,0))*(1+$AV60)*(1+$AW60)+($AX60*IF($G$1="裂石",$AK60,$AI60)+IF($G$1="裂石",$AL60*1.5,0))*(1+$AZ60)*(1+$BA60)+($BB60*IF($G$1="牵丝",$AK60,$AI60)+IF($G$1="牵丝",$AL60*1.5,0))*(1+$BD60)*(1+$BE60)+($BF60*IF($G$1="破竹",$AK60,$AI60)+IF($G$1="破竹",$AL60*1.5,0))*(1+$BH60)*(1+$BI60))*(1+$AM60))*$Q60*(1+IF(VLOOKUP($R60,武学奇术!$A:$ZZ,30,FALSE)="回旋伞",$B$21,0))*(1+$BR60)</f>
        <v>6014.65832959384</v>
      </c>
      <c r="Q60" s="39">
        <v>1</v>
      </c>
      <c r="R60" s="40" t="s">
        <v>162</v>
      </c>
      <c r="S60" s="40" t="s">
        <v>72</v>
      </c>
      <c r="T60" s="40" t="s">
        <v>95</v>
      </c>
      <c r="U60" s="40" t="s">
        <v>73</v>
      </c>
      <c r="V60" s="40" t="s">
        <v>72</v>
      </c>
      <c r="W60" s="40" t="s">
        <v>172</v>
      </c>
      <c r="X60" s="40" t="s">
        <v>99</v>
      </c>
      <c r="Y60" s="40" t="s">
        <v>84</v>
      </c>
      <c r="Z60" s="40" t="s">
        <v>72</v>
      </c>
      <c r="AA60" s="40" t="s">
        <v>72</v>
      </c>
      <c r="AB60" s="40" t="s">
        <v>72</v>
      </c>
      <c r="AC60" s="40" t="s">
        <v>85</v>
      </c>
      <c r="AD60" s="40" t="s">
        <v>72</v>
      </c>
      <c r="AE60" s="40" t="s">
        <v>72</v>
      </c>
      <c r="AF60" s="40" t="s">
        <v>77</v>
      </c>
      <c r="AG60" s="40" t="s">
        <v>78</v>
      </c>
      <c r="AH60" t="str">
        <f>VLOOKUP($R60,武学奇术!$A:$ZZ,25,FALSE)</f>
        <v>伞</v>
      </c>
      <c r="AI60" s="26">
        <f>VLOOKUP($R60,武学奇术!$A:$ZZ,26,FALSE)</f>
        <v>0.54</v>
      </c>
      <c r="AJ60" s="27">
        <f>VLOOKUP($R60,武学奇术!$A:$ZZ,27,FALSE)*(1+IF(OR($AH60=$F$4,$AH60=$F$5),$B$22,0))</f>
        <v>0</v>
      </c>
      <c r="AK60" s="26">
        <f>VLOOKUP($R60,武学奇术!$A:$ZZ,28,FALSE)</f>
        <v>0.81</v>
      </c>
      <c r="AL60" s="27">
        <f>VLOOKUP($R60,武学奇术!$A:$ZZ,29,FALSE)*(1+IF(OR($AH60=$F$4,$AH60=$F$5),$B$22,0))</f>
        <v>0</v>
      </c>
      <c r="AM60" s="26" cm="1">
        <f t="array" ref="AM60">$G$3+IFERROR(VLOOKUP($AH60,$F$4:$G$7,2,FALSE),0)+VLOOKUP($R60,武学奇术!$A:$ZZ,2,FALSE)+SUM(_xlfn.XLOOKUP($S60:$AG60,增益!$A:$A,增益!$B:$B,0))</f>
        <v>0.6541</v>
      </c>
      <c r="AN60" s="26" cm="1">
        <f t="array" ref="AN60">VLOOKUP($R60,武学奇术!$A:$ZZ,5,FALSE)+SUM(_xlfn.XLOOKUP($S60:$AG60,增益!$A:$A,增益!$E:$E,0))</f>
        <v>0</v>
      </c>
      <c r="AO60" cm="1">
        <f t="array" ref="AO60">$D$10*(1+$AN60)+VLOOKUP($R60,武学奇术!$A:$ZZ,3,FALSE)+SUM(_xlfn.XLOOKUP($S60:$AG60,增益!$A:$A,增益!$C:$C,0))-$I$2</f>
        <v>3624.6</v>
      </c>
      <c r="AP60" cm="1">
        <f t="array" ref="AP60">$E$10*(1+$AN60)+VLOOKUP($R60,武学奇术!$A:$ZZ,4,FALSE)+SUM(_xlfn.XLOOKUP($S60:$AG60,增益!$A:$A,增益!$D:$D,0))-$I$2</f>
        <v>3624.6</v>
      </c>
      <c r="AQ60" s="32" cm="1">
        <f t="array" ref="AQ60">IF($F$10-$I$3+VLOOKUP($R60,武学奇术!$A:$ZZ,6,FALSE)+SUM(_xlfn.XLOOKUP(S60:AG60,增益!$A:$A,增益!$F:$F,0))&gt;0,($F$10-$I$3+VLOOKUP($R60,武学奇术!$A:$ZZ,6,FALSE)+SUM(_xlfn.XLOOKUP(S60:AG60,增益!$A:$A,增益!$F:$F,0)))/200,($F$10-$I$3+VLOOKUP($R60,武学奇术!$A:$ZZ,6,FALSE)+SUM(_xlfn.XLOOKUP(S60:AG60,增益!$A:$A,增益!$F:$F,0)))/100)</f>
        <v>0.3425</v>
      </c>
      <c r="AR60" s="32" cm="1">
        <f t="array" ref="AR60">$G$10+VLOOKUP($R60,武学奇术!$A:$ZZ,7,FALSE)+SUM(_xlfn.XLOOKUP(S60:AG60,增益!$A:$A,增益!$G:$G,0))</f>
        <v>0.028</v>
      </c>
      <c r="AS60" s="26" cm="1">
        <f t="array" ref="AS60">VLOOKUP($R60,武学奇术!$A:$ZZ,8,FALSE)+SUM(_xlfn.XLOOKUP(S60:AG60,增益!$A:$A,增益!$H:$H,0))</f>
        <v>0</v>
      </c>
      <c r="AT60">
        <f t="shared" si="19"/>
        <v>0</v>
      </c>
      <c r="AU60">
        <f t="shared" si="20"/>
        <v>0</v>
      </c>
      <c r="AV60" s="32" cm="1">
        <f t="array" ref="AV60">IF($F$11-$I$4+VLOOKUP($R60,武学奇术!$A:$ZZ,9,FALSE)+SUM(_xlfn.XLOOKUP(S60:AG60,增益!$A:$A,增益!$I:$I,0))&gt;0,($F$11-$I$4+VLOOKUP($R60,武学奇术!$A:$ZZ,9,FALSE)+SUM(_xlfn.XLOOKUP(S60:AG60,增益!$A:$A,增益!$I:$I,0)))/200,($F$11-$I$4+VLOOKUP($R60,武学奇术!$A:$ZZ,9,FALSE)+SUM(_xlfn.XLOOKUP(S60:AG60,增益!$A:$A,增益!$I:$I,0)))/100)</f>
        <v>-0.14</v>
      </c>
      <c r="AW60" s="32" cm="1">
        <f t="array" ref="AW60">$G$11+VLOOKUP($R60,武学奇术!$A:$ZZ,10,FALSE)+SUM(_xlfn.XLOOKUP(S60:AG60,增益!$A:$A,增益!$J:$J,0))</f>
        <v>0</v>
      </c>
      <c r="AX60">
        <f t="shared" si="21"/>
        <v>0</v>
      </c>
      <c r="AY60">
        <f t="shared" si="22"/>
        <v>0</v>
      </c>
      <c r="AZ60" s="32" cm="1">
        <f t="array" ref="AZ60">IF($F$12-$I$4+VLOOKUP($R60,武学奇术!$A:$ZZ,11,FALSE)+SUM(_xlfn.XLOOKUP(S60:AG60,增益!$A:$A,增益!$K:$K,0))&gt;0,($F$12-$I$4+VLOOKUP($R60,武学奇术!$A:$ZZ,11,FALSE)+SUM(_xlfn.XLOOKUP(S60:AG60,增益!$A:$A,增益!$K:$K,0)))/200,($F$12-$I$4+VLOOKUP($R60,武学奇术!$A:$ZZ,11,FALSE)+SUM(_xlfn.XLOOKUP(S60:AG60,增益!$A:$A,增益!$K:$K,0)))/100)</f>
        <v>-0.14</v>
      </c>
      <c r="BA60" s="32" cm="1">
        <f t="array" ref="BA60">$G$12+VLOOKUP($R60,武学奇术!$A:$ZZ,12,FALSE)+SUM(_xlfn.XLOOKUP(S60:AG60,增益!$A:$A,增益!$L:$L,0))</f>
        <v>0</v>
      </c>
      <c r="BB60">
        <f t="shared" si="14"/>
        <v>0</v>
      </c>
      <c r="BC60">
        <f t="shared" si="15"/>
        <v>0</v>
      </c>
      <c r="BD60" s="32" cm="1">
        <f t="array" ref="BD60">IF($F$13-$I$4+VLOOKUP($R60,武学奇术!$A:$ZZ,13,FALSE)+SUM(_xlfn.XLOOKUP(S60:AG60,增益!$A:$A,增益!$M:$M,0))&gt;0,($F$13-$I$4+VLOOKUP($R60,武学奇术!$A:$ZZ,13,FALSE)+SUM(_xlfn.XLOOKUP(S60:AG60,增益!$A:$A,增益!$K:$K,0)))/200,($F$13-$I$4+VLOOKUP($R60,武学奇术!$A:$ZZ,13,FALSE)+SUM(_xlfn.XLOOKUP(S60:AG60,增益!$A:$A,增益!$M:$M,0)))/100)</f>
        <v>-0.14</v>
      </c>
      <c r="BE60" s="32" cm="1">
        <f t="array" ref="BE60">$G$13+VLOOKUP($R60,武学奇术!$A:$ZZ,14,FALSE)+SUM(_xlfn.XLOOKUP(S60:AG60,增益!$A:$A,增益!$N:$N,0))</f>
        <v>0</v>
      </c>
      <c r="BF60">
        <f t="shared" si="16"/>
        <v>571.2</v>
      </c>
      <c r="BG60">
        <f t="shared" si="17"/>
        <v>1627.8</v>
      </c>
      <c r="BH60" s="32" cm="1">
        <f t="array" ref="BH60">IF($F$14-$I$4+VLOOKUP($R60,武学奇术!$A:$ZZ,15,FALSE)+SUM(_xlfn.XLOOKUP(S60:AG60,增益!$A:$A,增益!$O:$O,0))&gt;0,($F$14-$I$4+VLOOKUP($R60,武学奇术!$A:$ZZ,15,FALSE)+SUM(_xlfn.XLOOKUP(S60:AG60,增益!$A:$A,增益!$O:$O,0)))/200,($F$14-$I$4+VLOOKUP($R60,武学奇术!$A:$ZZ,15,FALSE)+SUM(_xlfn.XLOOKUP(S60:AG60,增益!$A:$A,增益!$O:$O,0)))/100)</f>
        <v>0.08</v>
      </c>
      <c r="BI60" s="32" cm="1">
        <f t="array" ref="BI60">$G$14+VLOOKUP($R60,武学奇术!$A:$ZZ,16,FALSE)+SUM(_xlfn.XLOOKUP(S60:AG60,增益!$A:$A,增益!$P:$P,0))</f>
        <v>0.15</v>
      </c>
      <c r="BJ60" s="26">
        <f>MIN(IF(VLOOKUP($R60,武学奇术!$A:$ZZ,23,FALSE)=1,100%,$B$8),100%)</f>
        <v>0.981</v>
      </c>
      <c r="BK60" s="26" cm="1">
        <f t="array" ref="BK60">IF(VLOOKUP($R60,武学奇术!$A:$ZZ,23,FALSE)=1,100%,MIN(80%,$B$9+VLOOKUP($R60,武学奇术!$A:$ZZ,17,FALSE)+SUM(_xlfn.XLOOKUP(S60:AG60,增益!$A:$A,增益!$Q:$Q,0)))+$B$11+SUM(_xlfn.XLOOKUP(S60:AG60,增益!$A:$A,增益!$U:$U,0)))*IF(VLOOKUP($R60,武学奇术!$A:$ZZ,24,FALSE)=1,0,1)</f>
        <v>0.846</v>
      </c>
      <c r="BL60" s="26" cm="1">
        <f t="array" ref="BL60">1+$B$13+VLOOKUP($R60,武学奇术!$A:$ZZ,18,FALSE)+SUM(_xlfn.XLOOKUP(S60:AG60,增益!$A:$A,增益!$R:$R,0))</f>
        <v>1.91</v>
      </c>
      <c r="BM60" s="26" cm="1">
        <f t="array" ref="BM60">IF(VLOOKUP($R60,武学奇术!$A:$ZZ,24,FALSE)=1,100%,MIN(40%,$B$10+VLOOKUP($R60,武学奇术!$A:$ZZ,19,FALSE)+SUM(_xlfn.XLOOKUP(S60:AG60,增益!$A:$A,增益!$S:$S,0)))+$B$12+SUM(_xlfn.XLOOKUP(S60:AG60,增益!$A:$A,增益!$V:$V,0)))*IF(VLOOKUP($R60,武学奇术!$A:$ZZ,23,FALSE)=1,0,1)</f>
        <v>0.0929</v>
      </c>
      <c r="BN60" s="26" cm="1">
        <f t="array" ref="BN60">1+$B$14+VLOOKUP($R60,武学奇术!$A:$ZZ,20,FALSE)+SUM(_xlfn.XLOOKUP(S60:AG60,增益!$A:$A,增益!$T:$T,0))</f>
        <v>1.35</v>
      </c>
      <c r="BO60" s="26">
        <f t="shared" ref="BO60:BO106" si="23">MIN((1-BM60)*BJ60,BJ60*BK60)</f>
        <v>0.829926</v>
      </c>
      <c r="BP60" s="26">
        <f t="shared" si="18"/>
        <v>0.0599391</v>
      </c>
      <c r="BQ60" s="26">
        <f>IF(VLOOKUP($R60,武学奇术!$A:$ZZ,22,FALSE)=1,0,(1-$BJ60))*(1-$BM60)</f>
        <v>0.0172349</v>
      </c>
      <c r="BR60" s="26" cm="1">
        <f t="array" ref="BR60">SUM(_xlfn.XLOOKUP(S60:AG60,增益!$A:$A,增益!$W:$W,0))+$I$5</f>
        <v>0.11</v>
      </c>
    </row>
    <row r="61" spans="1:70">
      <c r="A61" s="4" t="s">
        <v>161</v>
      </c>
      <c r="B61" s="4">
        <v>1</v>
      </c>
      <c r="F61" s="39"/>
      <c r="K61">
        <f>$L61*VLOOKUP($R61,武学奇术!$A:$ZZ,31,FALSE)</f>
        <v>89747.5296869767</v>
      </c>
      <c r="L61" s="38">
        <f t="shared" si="13"/>
        <v>85473.8377971207</v>
      </c>
      <c r="M61" s="38">
        <f>((($AO61+$AP61)/2*$AI61+$AJ61)*(1+$AQ61)*(1+$AR61)+(($AT61+$AU61)/2*IF($G$1="鸣金",$AK61,$AI61)+IF($G$1="鸣金",$AL61*1.5,0))*(1+$AV61)*(1+$AW61)+(($AX61+$AY61)/2*IF($G$1="裂石",$AK61,$AI61)+IF($G$1="裂石",$AL61*1.5,0))*(1+$AZ61)*(1+$BA61)+(($BB61+$BC61)/2*IF($G$1="牵丝",$AK61,$AI61)+IF($G$1="牵丝",$AL61*1.5,0))*(1+$BD61)*(1+$BE61)+(($BF61+$BG61)/2*IF($G$1="破竹",$AK61,$AI61)+IF($G$1="破竹",$AL61*1.5,0))*(1+$BH61)*(1+$BI61))*(1+$AM61)*$BL61*$Q61*(1+IF(VLOOKUP($R61,武学奇术!$A:$ZZ,30,FALSE)="回旋伞",$B$21,0))*(1+$BR61)</f>
        <v>90629.3768071116</v>
      </c>
      <c r="N61" s="38">
        <f>(($AP61*$AI61+$AJ61)*(1+$AQ61)*(1+$AR61)+($AU61*IF($G$1="鸣金",$AK61,$AI61)+IF($G$1="鸣金",$AL61*1.5,0))*(1+$AV61)*(1+$AW61)+($AY61*IF($G$1="裂石",$AK61,$AI61)+IF($G$1="裂石",$AL61*1.5,0))*(1+$AZ61)*(1+$BA61)+($BC61*IF($G$1="牵丝",$AK61,$AI61)+IF($G$1="牵丝",$AL61*1.5,0))*(1+$BD61)*(1+$BE61)+($BG61*IF($G$1="破竹",$AK61,$AI61)+IF($G$1="破竹",$AL61*1.5,0))*(1+$BH61)*(1+$BI61))*(1+$AM61)*$BN61*$Q61*(1+IF(VLOOKUP($R61,武学奇术!$A:$ZZ,30,FALSE)="回旋伞",$B$21,0))*(1+$BR61)</f>
        <v>72110.5665205656</v>
      </c>
      <c r="O61" s="38">
        <f>((($AO61+$AP61)/2*$AI61+$AJ61)*(1+$AQ61)*(1+$AR61)+(($AT61+$AU61)/2*IF($G$1="鸣金",$AK61,$AI61)+IF($G$1="鸣金",$AL61*1.5,0))*(1+$AV61)*(1+$AW61)+(($AX61+$AY61)/2*IF($G$1="裂石",$AK61,$AI61)+IF($G$1="裂石",$AL61*1.5,0))*(1+$AZ61)*(1+$BA61)+(($BB61+$BC61)/2*IF($G$1="牵丝",$AK61,$AI61)+IF($G$1="牵丝",$AL61*1.5,0))*(1+$BD61)*(1+$BE61)+(($BF61+$BG61)/2*IF($G$1="破竹",$AK61,$AI61)+IF($G$1="破竹",$AL61*1.5,0))*(1+$BH61)*(1+$BI61))*(1+$AM61)*$Q61*(1+IF(VLOOKUP($R61,武学奇术!$A:$ZZ,30,FALSE)="回旋伞",$B$21,0))*(1+$BR61)</f>
        <v>47449.9355011055</v>
      </c>
      <c r="P61" s="38">
        <f>((($AO61*$AI61+$AJ61)*(1+$AQ61)*(1+$AR61)+($AT61*IF($G$1="鸣金",$AK61,$AI61)+IF($G$1="鸣金",$AL61*1.5,0))*(1+$AV61)*(1+$AW61)+($AX61*IF($G$1="裂石",$AK61,$AI61)+IF($G$1="裂石",$AL61*1.5,0))*(1+$AZ61)*(1+$BA61)+($BB61*IF($G$1="牵丝",$AK61,$AI61)+IF($G$1="牵丝",$AL61*1.5,0))*(1+$BD61)*(1+$BE61)+($BF61*IF($G$1="破竹",$AK61,$AI61)+IF($G$1="破竹",$AL61*1.5,0))*(1+$BH61)*(1+$BI61))*(1+$AM61))*$Q61*(1+IF(VLOOKUP($R61,武学奇术!$A:$ZZ,30,FALSE)="回旋伞",$B$21,0))*(1+$BR61)</f>
        <v>41484.6365425328</v>
      </c>
      <c r="Q61" s="39">
        <v>1</v>
      </c>
      <c r="R61" s="40" t="s">
        <v>175</v>
      </c>
      <c r="S61" s="40" t="s">
        <v>72</v>
      </c>
      <c r="T61" s="40" t="s">
        <v>95</v>
      </c>
      <c r="U61" s="40" t="s">
        <v>73</v>
      </c>
      <c r="V61" s="40" t="s">
        <v>81</v>
      </c>
      <c r="W61" s="40" t="s">
        <v>172</v>
      </c>
      <c r="X61" s="40" t="s">
        <v>99</v>
      </c>
      <c r="Y61" s="40" t="s">
        <v>72</v>
      </c>
      <c r="Z61" s="40" t="s">
        <v>72</v>
      </c>
      <c r="AA61" s="40" t="s">
        <v>72</v>
      </c>
      <c r="AB61" s="40" t="s">
        <v>72</v>
      </c>
      <c r="AC61" s="40" t="s">
        <v>85</v>
      </c>
      <c r="AD61" s="40" t="s">
        <v>72</v>
      </c>
      <c r="AE61" s="40" t="s">
        <v>72</v>
      </c>
      <c r="AF61" s="40" t="s">
        <v>77</v>
      </c>
      <c r="AG61" s="40" t="s">
        <v>78</v>
      </c>
      <c r="AH61" t="str">
        <f>VLOOKUP($R61,武学奇术!$A:$ZZ,25,FALSE)</f>
        <v>群体奇术</v>
      </c>
      <c r="AI61" s="26">
        <f>VLOOKUP($R61,武学奇术!$A:$ZZ,26,FALSE)</f>
        <v>3.9746</v>
      </c>
      <c r="AJ61" s="27">
        <f>VLOOKUP($R61,武学奇术!$A:$ZZ,27,FALSE)*(1+IF(OR($AH61=$F$4,$AH61=$F$5),$B$22,0))</f>
        <v>1008</v>
      </c>
      <c r="AK61" s="26">
        <f>VLOOKUP($R61,武学奇术!$A:$ZZ,28,FALSE)</f>
        <v>5.9619</v>
      </c>
      <c r="AL61" s="27">
        <f>VLOOKUP($R61,武学奇术!$A:$ZZ,29,FALSE)*(1+IF(OR($AH61=$F$4,$AH61=$F$5),$B$22,0))</f>
        <v>0</v>
      </c>
      <c r="AM61" s="26" cm="1">
        <f t="array" ref="AM61">$G$3+IFERROR(VLOOKUP($AH61,$F$4:$G$7,2,FALSE),0)+VLOOKUP($R61,武学奇术!$A:$ZZ,2,FALSE)+SUM(_xlfn.XLOOKUP($S61:$AG61,增益!$A:$A,增益!$B:$B,0))</f>
        <v>0.4837</v>
      </c>
      <c r="AN61" s="26" cm="1">
        <f t="array" ref="AN61">VLOOKUP($R61,武学奇术!$A:$ZZ,5,FALSE)+SUM(_xlfn.XLOOKUP($S61:$AG61,增益!$A:$A,增益!$E:$E,0))</f>
        <v>0</v>
      </c>
      <c r="AO61" cm="1">
        <f t="array" ref="AO61">$D$10*(1+$AN61)+VLOOKUP($R61,武学奇术!$A:$ZZ,3,FALSE)+SUM(_xlfn.XLOOKUP($S61:$AG61,增益!$A:$A,增益!$C:$C,0))-$I$2</f>
        <v>3624.6</v>
      </c>
      <c r="AP61" cm="1">
        <f t="array" ref="AP61">$E$10*(1+$AN61)+VLOOKUP($R61,武学奇术!$A:$ZZ,4,FALSE)+SUM(_xlfn.XLOOKUP($S61:$AG61,增益!$A:$A,增益!$D:$D,0))-$I$2</f>
        <v>3624.6</v>
      </c>
      <c r="AQ61" s="32" cm="1">
        <f t="array" ref="AQ61">IF($F$10-$I$3+VLOOKUP($R61,武学奇术!$A:$ZZ,6,FALSE)+SUM(_xlfn.XLOOKUP(S61:AG61,增益!$A:$A,增益!$F:$F,0))&gt;0,($F$10-$I$3+VLOOKUP($R61,武学奇术!$A:$ZZ,6,FALSE)+SUM(_xlfn.XLOOKUP(S61:AG61,增益!$A:$A,增益!$F:$F,0)))/200,($F$10-$I$3+VLOOKUP($R61,武学奇术!$A:$ZZ,6,FALSE)+SUM(_xlfn.XLOOKUP(S61:AG61,增益!$A:$A,增益!$F:$F,0)))/100)</f>
        <v>0.3425</v>
      </c>
      <c r="AR61" s="32" cm="1">
        <f t="array" ref="AR61">$G$10+VLOOKUP($R61,武学奇术!$A:$ZZ,7,FALSE)+SUM(_xlfn.XLOOKUP(S61:AG61,增益!$A:$A,增益!$G:$G,0))</f>
        <v>0.028</v>
      </c>
      <c r="AS61" s="26" cm="1">
        <f t="array" ref="AS61">VLOOKUP($R61,武学奇术!$A:$ZZ,8,FALSE)+SUM(_xlfn.XLOOKUP(S61:AG61,增益!$A:$A,增益!$H:$H,0))</f>
        <v>0</v>
      </c>
      <c r="AT61">
        <f t="shared" ref="AT61:AT73" si="24">$D$11*(1+$AS61)</f>
        <v>0</v>
      </c>
      <c r="AU61">
        <f t="shared" ref="AU61:AU73" si="25">$E$11*(1+$AS61)</f>
        <v>0</v>
      </c>
      <c r="AV61" s="32" cm="1">
        <f t="array" ref="AV61">IF($F$11-$I$4+VLOOKUP($R61,武学奇术!$A:$ZZ,9,FALSE)+SUM(_xlfn.XLOOKUP(S61:AG61,增益!$A:$A,增益!$I:$I,0))&gt;0,($F$11-$I$4+VLOOKUP($R61,武学奇术!$A:$ZZ,9,FALSE)+SUM(_xlfn.XLOOKUP(S61:AG61,增益!$A:$A,增益!$I:$I,0)))/200,($F$11-$I$4+VLOOKUP($R61,武学奇术!$A:$ZZ,9,FALSE)+SUM(_xlfn.XLOOKUP(S61:AG61,增益!$A:$A,增益!$I:$I,0)))/100)</f>
        <v>-0.3</v>
      </c>
      <c r="AW61" s="32" cm="1">
        <f t="array" ref="AW61">$G$11+VLOOKUP($R61,武学奇术!$A:$ZZ,10,FALSE)+SUM(_xlfn.XLOOKUP(S61:AG61,增益!$A:$A,增益!$J:$J,0))</f>
        <v>0</v>
      </c>
      <c r="AX61">
        <f t="shared" ref="AX61:AX73" si="26">$D$12*(1+$AS61)</f>
        <v>0</v>
      </c>
      <c r="AY61">
        <f t="shared" ref="AY61:AY73" si="27">$E$12*(1+$AS61)</f>
        <v>0</v>
      </c>
      <c r="AZ61" s="32" cm="1">
        <f t="array" ref="AZ61">IF($F$12-$I$4+VLOOKUP($R61,武学奇术!$A:$ZZ,11,FALSE)+SUM(_xlfn.XLOOKUP(S61:AG61,增益!$A:$A,增益!$K:$K,0))&gt;0,($F$12-$I$4+VLOOKUP($R61,武学奇术!$A:$ZZ,11,FALSE)+SUM(_xlfn.XLOOKUP(S61:AG61,增益!$A:$A,增益!$K:$K,0)))/200,($F$12-$I$4+VLOOKUP($R61,武学奇术!$A:$ZZ,11,FALSE)+SUM(_xlfn.XLOOKUP(S61:AG61,增益!$A:$A,增益!$K:$K,0)))/100)</f>
        <v>-0.3</v>
      </c>
      <c r="BA61" s="32" cm="1">
        <f t="array" ref="BA61">$G$12+VLOOKUP($R61,武学奇术!$A:$ZZ,12,FALSE)+SUM(_xlfn.XLOOKUP(S61:AG61,增益!$A:$A,增益!$L:$L,0))</f>
        <v>0</v>
      </c>
      <c r="BB61">
        <f t="shared" ref="BB61:BB73" si="28">$D$13*(1+$AS61)</f>
        <v>0</v>
      </c>
      <c r="BC61">
        <f t="shared" ref="BC61:BC73" si="29">$E$13*(1+$AS61)</f>
        <v>0</v>
      </c>
      <c r="BD61" s="32" cm="1">
        <f t="array" ref="BD61">IF($F$13-$I$4+VLOOKUP($R61,武学奇术!$A:$ZZ,13,FALSE)+SUM(_xlfn.XLOOKUP(S61:AG61,增益!$A:$A,增益!$M:$M,0))&gt;0,($F$13-$I$4+VLOOKUP($R61,武学奇术!$A:$ZZ,13,FALSE)+SUM(_xlfn.XLOOKUP(S61:AG61,增益!$A:$A,增益!$K:$K,0)))/200,($F$13-$I$4+VLOOKUP($R61,武学奇术!$A:$ZZ,13,FALSE)+SUM(_xlfn.XLOOKUP(S61:AG61,增益!$A:$A,增益!$M:$M,0)))/100)</f>
        <v>-0.3</v>
      </c>
      <c r="BE61" s="32" cm="1">
        <f t="array" ref="BE61">$G$13+VLOOKUP($R61,武学奇术!$A:$ZZ,14,FALSE)+SUM(_xlfn.XLOOKUP(S61:AG61,增益!$A:$A,增益!$N:$N,0))</f>
        <v>0</v>
      </c>
      <c r="BF61">
        <f t="shared" ref="BF61:BF73" si="30">$D$14*(1+$AS61)</f>
        <v>571.2</v>
      </c>
      <c r="BG61">
        <f t="shared" ref="BG61:BG73" si="31">$E$14*(1+$AS61)</f>
        <v>1627.8</v>
      </c>
      <c r="BH61" s="32" cm="1">
        <f t="array" ref="BH61">IF($F$14-$I$4+VLOOKUP($R61,武学奇术!$A:$ZZ,15,FALSE)+SUM(_xlfn.XLOOKUP(S61:AG61,增益!$A:$A,增益!$O:$O,0))&gt;0,($F$14-$I$4+VLOOKUP($R61,武学奇术!$A:$ZZ,15,FALSE)+SUM(_xlfn.XLOOKUP(S61:AG61,增益!$A:$A,增益!$O:$O,0)))/200,($F$14-$I$4+VLOOKUP($R61,武学奇术!$A:$ZZ,15,FALSE)+SUM(_xlfn.XLOOKUP(S61:AG61,增益!$A:$A,增益!$O:$O,0)))/100)</f>
        <v>0</v>
      </c>
      <c r="BI61" s="32" cm="1">
        <f t="array" ref="BI61">$G$14+VLOOKUP($R61,武学奇术!$A:$ZZ,16,FALSE)+SUM(_xlfn.XLOOKUP(S61:AG61,增益!$A:$A,增益!$P:$P,0))</f>
        <v>0.15</v>
      </c>
      <c r="BJ61" s="26">
        <f>MIN(IF(VLOOKUP($R61,武学奇术!$A:$ZZ,23,FALSE)=1,100%,$B$8),100%)</f>
        <v>0.981</v>
      </c>
      <c r="BK61" s="26" cm="1">
        <f t="array" ref="BK61">IF(VLOOKUP($R61,武学奇术!$A:$ZZ,23,FALSE)=1,100%,MIN(80%,$B$9+VLOOKUP($R61,武学奇术!$A:$ZZ,17,FALSE)+SUM(_xlfn.XLOOKUP(S61:AG61,增益!$A:$A,增益!$Q:$Q,0)))+$B$11+SUM(_xlfn.XLOOKUP(S61:AG61,增益!$A:$A,增益!$U:$U,0)))*IF(VLOOKUP($R61,武学奇术!$A:$ZZ,24,FALSE)=1,0,1)</f>
        <v>0.846</v>
      </c>
      <c r="BL61" s="26" cm="1">
        <f t="array" ref="BL61">1+$B$13+VLOOKUP($R61,武学奇术!$A:$ZZ,18,FALSE)+SUM(_xlfn.XLOOKUP(S61:AG61,增益!$A:$A,增益!$R:$R,0))</f>
        <v>1.91</v>
      </c>
      <c r="BM61" s="26" cm="1">
        <f t="array" ref="BM61">IF(VLOOKUP($R61,武学奇术!$A:$ZZ,24,FALSE)=1,100%,MIN(40%,$B$10+VLOOKUP($R61,武学奇术!$A:$ZZ,19,FALSE)+SUM(_xlfn.XLOOKUP(S61:AG61,增益!$A:$A,增益!$S:$S,0)))+$B$12+SUM(_xlfn.XLOOKUP(S61:AG61,增益!$A:$A,增益!$V:$V,0)))*IF(VLOOKUP($R61,武学奇术!$A:$ZZ,23,FALSE)=1,0,1)</f>
        <v>0.0929</v>
      </c>
      <c r="BN61" s="26" cm="1">
        <f t="array" ref="BN61">1+$B$14+VLOOKUP($R61,武学奇术!$A:$ZZ,20,FALSE)+SUM(_xlfn.XLOOKUP(S61:AG61,增益!$A:$A,增益!$T:$T,0))</f>
        <v>1.35</v>
      </c>
      <c r="BO61" s="26">
        <f t="shared" si="23"/>
        <v>0.829926</v>
      </c>
      <c r="BP61" s="26">
        <f t="shared" si="18"/>
        <v>0.0599391</v>
      </c>
      <c r="BQ61" s="26">
        <f>IF(VLOOKUP($R61,武学奇术!$A:$ZZ,22,FALSE)=1,0,(1-$BJ61))*(1-$BM61)</f>
        <v>0.0172349</v>
      </c>
      <c r="BR61" s="26" cm="1">
        <f t="array" ref="BR61">SUM(_xlfn.XLOOKUP(S61:AG61,增益!$A:$A,增益!$W:$W,0))+$I$5</f>
        <v>0.11</v>
      </c>
    </row>
    <row r="62" spans="1:70">
      <c r="A62" s="4" t="s">
        <v>164</v>
      </c>
      <c r="B62" s="4">
        <v>0.85</v>
      </c>
      <c r="F62" s="39"/>
      <c r="K62">
        <f>$L62*VLOOKUP($R62,武学奇术!$A:$ZZ,31,FALSE)</f>
        <v>29117.2535894172</v>
      </c>
      <c r="L62" s="38">
        <f t="shared" ref="L61:L73" si="32">($M62*$BO62+$N62*$BM62+$O62*$BP62+$P62*$BQ62)</f>
        <v>27730.7177042069</v>
      </c>
      <c r="M62" s="38">
        <f>((($AO62+$AP62)/2*$AI62+$AJ62)*(1+$AQ62)*(1+$AR62)+(($AT62+$AU62)/2*IF($G$1="鸣金",$AK62,$AI62)+IF($G$1="鸣金",$AL62*1.5,0))*(1+$AV62)*(1+$AW62)+(($AX62+$AY62)/2*IF($G$1="裂石",$AK62,$AI62)+IF($G$1="裂石",$AL62*1.5,0))*(1+$AZ62)*(1+$BA62)+(($BB62+$BC62)/2*IF($G$1="牵丝",$AK62,$AI62)+IF($G$1="牵丝",$AL62*1.5,0))*(1+$BD62)*(1+$BE62)+(($BF62+$BG62)/2*IF($G$1="破竹",$AK62,$AI62)+IF($G$1="破竹",$AL62*1.5,0))*(1+$BH62)*(1+$BI62))*(1+$AM62)*$BL62*$Q62*(1+IF(VLOOKUP($R62,武学奇术!$A:$ZZ,30,FALSE)="回旋伞",$B$21,0))*(1+$BR62)</f>
        <v>29403.3563347791</v>
      </c>
      <c r="N62" s="38">
        <f>(($AP62*$AI62+$AJ62)*(1+$AQ62)*(1+$AR62)+($AU62*IF($G$1="鸣金",$AK62,$AI62)+IF($G$1="鸣金",$AL62*1.5,0))*(1+$AV62)*(1+$AW62)+($AY62*IF($G$1="裂石",$AK62,$AI62)+IF($G$1="裂石",$AL62*1.5,0))*(1+$AZ62)*(1+$BA62)+($BC62*IF($G$1="牵丝",$AK62,$AI62)+IF($G$1="牵丝",$AL62*1.5,0))*(1+$BD62)*(1+$BE62)+($BG62*IF($G$1="破竹",$AK62,$AI62)+IF($G$1="破竹",$AL62*1.5,0))*(1+$BH62)*(1+$BI62))*(1+$AM62)*$BN62*$Q62*(1+IF(VLOOKUP($R62,武学奇术!$A:$ZZ,30,FALSE)="回旋伞",$B$21,0))*(1+$BR62)</f>
        <v>23395.1968144227</v>
      </c>
      <c r="O62" s="38">
        <f>((($AO62+$AP62)/2*$AI62+$AJ62)*(1+$AQ62)*(1+$AR62)+(($AT62+$AU62)/2*IF($G$1="鸣金",$AK62,$AI62)+IF($G$1="鸣金",$AL62*1.5,0))*(1+$AV62)*(1+$AW62)+(($AX62+$AY62)/2*IF($G$1="裂石",$AK62,$AI62)+IF($G$1="裂石",$AL62*1.5,0))*(1+$AZ62)*(1+$BA62)+(($BB62+$BC62)/2*IF($G$1="牵丝",$AK62,$AI62)+IF($G$1="牵丝",$AL62*1.5,0))*(1+$BD62)*(1+$BE62)+(($BF62+$BG62)/2*IF($G$1="破竹",$AK62,$AI62)+IF($G$1="破竹",$AL62*1.5,0))*(1+$BH62)*(1+$BI62))*(1+$AM62)*$Q62*(1+IF(VLOOKUP($R62,武学奇术!$A:$ZZ,30,FALSE)="回旋伞",$B$21,0))*(1+$BR62)</f>
        <v>15394.4274004079</v>
      </c>
      <c r="P62" s="38">
        <f>((($AO62*$AI62+$AJ62)*(1+$AQ62)*(1+$AR62)+($AT62*IF($G$1="鸣金",$AK62,$AI62)+IF($G$1="鸣金",$AL62*1.5,0))*(1+$AV62)*(1+$AW62)+($AX62*IF($G$1="裂石",$AK62,$AI62)+IF($G$1="裂石",$AL62*1.5,0))*(1+$AZ62)*(1+$BA62)+($BB62*IF($G$1="牵丝",$AK62,$AI62)+IF($G$1="牵丝",$AL62*1.5,0))*(1+$BD62)*(1+$BE62)+($BF62*IF($G$1="破竹",$AK62,$AI62)+IF($G$1="破竹",$AL62*1.5,0))*(1+$BH62)*(1+$BI62))*(1+$AM62))*$Q62*(1+IF(VLOOKUP($R62,武学奇术!$A:$ZZ,30,FALSE)="回旋伞",$B$21,0))*(1+$BR62)</f>
        <v>13459.0793827249</v>
      </c>
      <c r="Q62" s="39">
        <v>1</v>
      </c>
      <c r="R62" s="40" t="s">
        <v>71</v>
      </c>
      <c r="S62" s="40" t="s">
        <v>72</v>
      </c>
      <c r="T62" s="40" t="s">
        <v>95</v>
      </c>
      <c r="U62" s="40" t="s">
        <v>73</v>
      </c>
      <c r="V62" s="40" t="s">
        <v>72</v>
      </c>
      <c r="W62" s="40" t="s">
        <v>172</v>
      </c>
      <c r="X62" s="40" t="s">
        <v>99</v>
      </c>
      <c r="Y62" s="40" t="s">
        <v>72</v>
      </c>
      <c r="Z62" s="40" t="s">
        <v>72</v>
      </c>
      <c r="AA62" s="40" t="s">
        <v>72</v>
      </c>
      <c r="AB62" s="40" t="s">
        <v>72</v>
      </c>
      <c r="AC62" s="40" t="s">
        <v>85</v>
      </c>
      <c r="AD62" s="40" t="s">
        <v>72</v>
      </c>
      <c r="AE62" s="40" t="s">
        <v>72</v>
      </c>
      <c r="AF62" s="40" t="s">
        <v>77</v>
      </c>
      <c r="AG62" s="40" t="s">
        <v>78</v>
      </c>
      <c r="AH62" t="str">
        <f>VLOOKUP($R62,武学奇术!$A:$ZZ,25,FALSE)</f>
        <v>群体奇术</v>
      </c>
      <c r="AI62" s="26">
        <f>VLOOKUP($R62,武学奇术!$A:$ZZ,26,FALSE)</f>
        <v>1.4904</v>
      </c>
      <c r="AJ62" s="27">
        <f>VLOOKUP($R62,武学奇术!$A:$ZZ,27,FALSE)*(1+IF(OR($AH62=$F$4,$AH62=$F$5),$B$22,0))</f>
        <v>378</v>
      </c>
      <c r="AK62" s="26">
        <f>VLOOKUP($R62,武学奇术!$A:$ZZ,28,FALSE)</f>
        <v>2.2356</v>
      </c>
      <c r="AL62" s="27">
        <f>VLOOKUP($R62,武学奇术!$A:$ZZ,29,FALSE)*(1+IF(OR($AH62=$F$4,$AH62=$F$5),$B$22,0))</f>
        <v>0</v>
      </c>
      <c r="AM62" s="26" cm="1">
        <f t="array" ref="AM62">$G$3+IFERROR(VLOOKUP($AH62,$F$4:$G$7,2,FALSE),0)+VLOOKUP($R62,武学奇术!$A:$ZZ,2,FALSE)+SUM(_xlfn.XLOOKUP($S62:$AG62,增益!$A:$A,增益!$B:$B,0))</f>
        <v>0.2837</v>
      </c>
      <c r="AN62" s="26" cm="1">
        <f t="array" ref="AN62">VLOOKUP($R62,武学奇术!$A:$ZZ,5,FALSE)+SUM(_xlfn.XLOOKUP($S62:$AG62,增益!$A:$A,增益!$E:$E,0))</f>
        <v>0</v>
      </c>
      <c r="AO62" cm="1">
        <f t="array" ref="AO62">$D$10*(1+$AN62)+VLOOKUP($R62,武学奇术!$A:$ZZ,3,FALSE)+SUM(_xlfn.XLOOKUP($S62:$AG62,增益!$A:$A,增益!$C:$C,0))-$I$2</f>
        <v>3624.6</v>
      </c>
      <c r="AP62" cm="1">
        <f t="array" ref="AP62">$E$10*(1+$AN62)+VLOOKUP($R62,武学奇术!$A:$ZZ,4,FALSE)+SUM(_xlfn.XLOOKUP($S62:$AG62,增益!$A:$A,增益!$D:$D,0))-$I$2</f>
        <v>3624.6</v>
      </c>
      <c r="AQ62" s="32" cm="1">
        <f t="array" ref="AQ62">IF($F$10-$I$3+VLOOKUP($R62,武学奇术!$A:$ZZ,6,FALSE)+SUM(_xlfn.XLOOKUP(S62:AG62,增益!$A:$A,增益!$F:$F,0))&gt;0,($F$10-$I$3+VLOOKUP($R62,武学奇术!$A:$ZZ,6,FALSE)+SUM(_xlfn.XLOOKUP(S62:AG62,增益!$A:$A,增益!$F:$F,0)))/200,($F$10-$I$3+VLOOKUP($R62,武学奇术!$A:$ZZ,6,FALSE)+SUM(_xlfn.XLOOKUP(S62:AG62,增益!$A:$A,增益!$F:$F,0)))/100)</f>
        <v>0.3425</v>
      </c>
      <c r="AR62" s="32" cm="1">
        <f t="array" ref="AR62">$G$10+VLOOKUP($R62,武学奇术!$A:$ZZ,7,FALSE)+SUM(_xlfn.XLOOKUP(S62:AG62,增益!$A:$A,增益!$G:$G,0))</f>
        <v>0.028</v>
      </c>
      <c r="AS62" s="26" cm="1">
        <f t="array" ref="AS62">VLOOKUP($R62,武学奇术!$A:$ZZ,8,FALSE)+SUM(_xlfn.XLOOKUP(S62:AG62,增益!$A:$A,增益!$H:$H,0))</f>
        <v>0</v>
      </c>
      <c r="AT62">
        <f t="shared" si="24"/>
        <v>0</v>
      </c>
      <c r="AU62">
        <f t="shared" si="25"/>
        <v>0</v>
      </c>
      <c r="AV62" s="32" cm="1">
        <f t="array" ref="AV62">IF($F$11-$I$4+VLOOKUP($R62,武学奇术!$A:$ZZ,9,FALSE)+SUM(_xlfn.XLOOKUP(S62:AG62,增益!$A:$A,增益!$I:$I,0))&gt;0,($F$11-$I$4+VLOOKUP($R62,武学奇术!$A:$ZZ,9,FALSE)+SUM(_xlfn.XLOOKUP(S62:AG62,增益!$A:$A,增益!$I:$I,0)))/200,($F$11-$I$4+VLOOKUP($R62,武学奇术!$A:$ZZ,9,FALSE)+SUM(_xlfn.XLOOKUP(S62:AG62,增益!$A:$A,增益!$I:$I,0)))/100)</f>
        <v>-0.3</v>
      </c>
      <c r="AW62" s="32" cm="1">
        <f t="array" ref="AW62">$G$11+VLOOKUP($R62,武学奇术!$A:$ZZ,10,FALSE)+SUM(_xlfn.XLOOKUP(S62:AG62,增益!$A:$A,增益!$J:$J,0))</f>
        <v>0</v>
      </c>
      <c r="AX62">
        <f t="shared" si="26"/>
        <v>0</v>
      </c>
      <c r="AY62">
        <f t="shared" si="27"/>
        <v>0</v>
      </c>
      <c r="AZ62" s="32" cm="1">
        <f t="array" ref="AZ62">IF($F$12-$I$4+VLOOKUP($R62,武学奇术!$A:$ZZ,11,FALSE)+SUM(_xlfn.XLOOKUP(S62:AG62,增益!$A:$A,增益!$K:$K,0))&gt;0,($F$12-$I$4+VLOOKUP($R62,武学奇术!$A:$ZZ,11,FALSE)+SUM(_xlfn.XLOOKUP(S62:AG62,增益!$A:$A,增益!$K:$K,0)))/200,($F$12-$I$4+VLOOKUP($R62,武学奇术!$A:$ZZ,11,FALSE)+SUM(_xlfn.XLOOKUP(S62:AG62,增益!$A:$A,增益!$K:$K,0)))/100)</f>
        <v>-0.3</v>
      </c>
      <c r="BA62" s="32" cm="1">
        <f t="array" ref="BA62">$G$12+VLOOKUP($R62,武学奇术!$A:$ZZ,12,FALSE)+SUM(_xlfn.XLOOKUP(S62:AG62,增益!$A:$A,增益!$L:$L,0))</f>
        <v>0</v>
      </c>
      <c r="BB62">
        <f t="shared" si="28"/>
        <v>0</v>
      </c>
      <c r="BC62">
        <f t="shared" si="29"/>
        <v>0</v>
      </c>
      <c r="BD62" s="32" cm="1">
        <f t="array" ref="BD62">IF($F$13-$I$4+VLOOKUP($R62,武学奇术!$A:$ZZ,13,FALSE)+SUM(_xlfn.XLOOKUP(S62:AG62,增益!$A:$A,增益!$M:$M,0))&gt;0,($F$13-$I$4+VLOOKUP($R62,武学奇术!$A:$ZZ,13,FALSE)+SUM(_xlfn.XLOOKUP(S62:AG62,增益!$A:$A,增益!$K:$K,0)))/200,($F$13-$I$4+VLOOKUP($R62,武学奇术!$A:$ZZ,13,FALSE)+SUM(_xlfn.XLOOKUP(S62:AG62,增益!$A:$A,增益!$M:$M,0)))/100)</f>
        <v>-0.3</v>
      </c>
      <c r="BE62" s="32" cm="1">
        <f t="array" ref="BE62">$G$13+VLOOKUP($R62,武学奇术!$A:$ZZ,14,FALSE)+SUM(_xlfn.XLOOKUP(S62:AG62,增益!$A:$A,增益!$N:$N,0))</f>
        <v>0</v>
      </c>
      <c r="BF62">
        <f t="shared" si="30"/>
        <v>571.2</v>
      </c>
      <c r="BG62">
        <f t="shared" si="31"/>
        <v>1627.8</v>
      </c>
      <c r="BH62" s="32" cm="1">
        <f t="array" ref="BH62">IF($F$14-$I$4+VLOOKUP($R62,武学奇术!$A:$ZZ,15,FALSE)+SUM(_xlfn.XLOOKUP(S62:AG62,增益!$A:$A,增益!$O:$O,0))&gt;0,($F$14-$I$4+VLOOKUP($R62,武学奇术!$A:$ZZ,15,FALSE)+SUM(_xlfn.XLOOKUP(S62:AG62,增益!$A:$A,增益!$O:$O,0)))/200,($F$14-$I$4+VLOOKUP($R62,武学奇术!$A:$ZZ,15,FALSE)+SUM(_xlfn.XLOOKUP(S62:AG62,增益!$A:$A,增益!$O:$O,0)))/100)</f>
        <v>0</v>
      </c>
      <c r="BI62" s="32" cm="1">
        <f t="array" ref="BI62">$G$14+VLOOKUP($R62,武学奇术!$A:$ZZ,16,FALSE)+SUM(_xlfn.XLOOKUP(S62:AG62,增益!$A:$A,增益!$P:$P,0))</f>
        <v>0.15</v>
      </c>
      <c r="BJ62" s="26">
        <f>MIN(IF(VLOOKUP($R62,武学奇术!$A:$ZZ,23,FALSE)=1,100%,$B$8),100%)</f>
        <v>0.981</v>
      </c>
      <c r="BK62" s="26" cm="1">
        <f t="array" ref="BK62">IF(VLOOKUP($R62,武学奇术!$A:$ZZ,23,FALSE)=1,100%,MIN(80%,$B$9+VLOOKUP($R62,武学奇术!$A:$ZZ,17,FALSE)+SUM(_xlfn.XLOOKUP(S62:AG62,增益!$A:$A,增益!$Q:$Q,0)))+$B$11+SUM(_xlfn.XLOOKUP(S62:AG62,增益!$A:$A,增益!$U:$U,0)))*IF(VLOOKUP($R62,武学奇术!$A:$ZZ,24,FALSE)=1,0,1)</f>
        <v>0.846</v>
      </c>
      <c r="BL62" s="26" cm="1">
        <f t="array" ref="BL62">1+$B$13+VLOOKUP($R62,武学奇术!$A:$ZZ,18,FALSE)+SUM(_xlfn.XLOOKUP(S62:AG62,增益!$A:$A,增益!$R:$R,0))</f>
        <v>1.91</v>
      </c>
      <c r="BM62" s="26" cm="1">
        <f t="array" ref="BM62">IF(VLOOKUP($R62,武学奇术!$A:$ZZ,24,FALSE)=1,100%,MIN(40%,$B$10+VLOOKUP($R62,武学奇术!$A:$ZZ,19,FALSE)+SUM(_xlfn.XLOOKUP(S62:AG62,增益!$A:$A,增益!$S:$S,0)))+$B$12+SUM(_xlfn.XLOOKUP(S62:AG62,增益!$A:$A,增益!$V:$V,0)))*IF(VLOOKUP($R62,武学奇术!$A:$ZZ,23,FALSE)=1,0,1)</f>
        <v>0.0929</v>
      </c>
      <c r="BN62" s="26" cm="1">
        <f t="array" ref="BN62">1+$B$14+VLOOKUP($R62,武学奇术!$A:$ZZ,20,FALSE)+SUM(_xlfn.XLOOKUP(S62:AG62,增益!$A:$A,增益!$T:$T,0))</f>
        <v>1.35</v>
      </c>
      <c r="BO62" s="26">
        <f t="shared" si="23"/>
        <v>0.829926</v>
      </c>
      <c r="BP62" s="26">
        <f t="shared" si="18"/>
        <v>0.0599391</v>
      </c>
      <c r="BQ62" s="26">
        <f>IF(VLOOKUP($R62,武学奇术!$A:$ZZ,22,FALSE)=1,0,(1-$BJ62))*(1-$BM62)</f>
        <v>0.0172349</v>
      </c>
      <c r="BR62" s="26" cm="1">
        <f t="array" ref="BR62">SUM(_xlfn.XLOOKUP(S62:AG62,增益!$A:$A,增益!$W:$W,0))+$I$5</f>
        <v>0.11</v>
      </c>
    </row>
    <row r="63" spans="1:70">
      <c r="A63" s="4" t="s">
        <v>161</v>
      </c>
      <c r="B63" s="87">
        <v>1</v>
      </c>
      <c r="F63" s="39"/>
      <c r="G63"/>
      <c r="K63">
        <f>$L63*VLOOKUP($R63,武学奇术!$A:$ZZ,31,FALSE)</f>
        <v>61115.7605136462</v>
      </c>
      <c r="L63" s="38">
        <f t="shared" si="32"/>
        <v>58205.4862034726</v>
      </c>
      <c r="M63" s="38">
        <f>((($AO63+$AP63)/2*$AI63+$AJ63)*(1+$AQ63)*(1+$AR63)+(($AT63+$AU63)/2*IF($G$1="鸣金",$AK63,$AI63)+IF($G$1="鸣金",$AL63*1.5,0))*(1+$AV63)*(1+$AW63)+(($AX63+$AY63)/2*IF($G$1="裂石",$AK63,$AI63)+IF($G$1="裂石",$AL63*1.5,0))*(1+$AZ63)*(1+$BA63)+(($BB63+$BC63)/2*IF($G$1="牵丝",$AK63,$AI63)+IF($G$1="牵丝",$AL63*1.5,0))*(1+$BD63)*(1+$BE63)+(($BF63+$BG63)/2*IF($G$1="破竹",$AK63,$AI63)+IF($G$1="破竹",$AL63*1.5,0))*(1+$BH63)*(1+$BI63))*(1+$AM63)*$BL63*$Q63*(1+IF(VLOOKUP($R63,武学奇术!$A:$ZZ,30,FALSE)="回旋伞",$B$21,0))*(1+$BR63)</f>
        <v>58205.4862034726</v>
      </c>
      <c r="N63" s="38">
        <f>(($AP63*$AI63+$AJ63)*(1+$AQ63)*(1+$AR63)+($AU63*IF($G$1="鸣金",$AK63,$AI63)+IF($G$1="鸣金",$AL63*1.5,0))*(1+$AV63)*(1+$AW63)+($AY63*IF($G$1="裂石",$AK63,$AI63)+IF($G$1="裂石",$AL63*1.5,0))*(1+$AZ63)*(1+$BA63)+($BC63*IF($G$1="牵丝",$AK63,$AI63)+IF($G$1="牵丝",$AL63*1.5,0))*(1+$BD63)*(1+$BE63)+($BG63*IF($G$1="破竹",$AK63,$AI63)+IF($G$1="破竹",$AL63*1.5,0))*(1+$BH63)*(1+$BI63))*(1+$AM63)*$BN63*$Q63*(1+IF(VLOOKUP($R63,武学奇术!$A:$ZZ,30,FALSE)="回旋伞",$B$21,0))*(1+$BR63)</f>
        <v>45907.9527351992</v>
      </c>
      <c r="O63" s="38">
        <f>((($AO63+$AP63)/2*$AI63+$AJ63)*(1+$AQ63)*(1+$AR63)+(($AT63+$AU63)/2*IF($G$1="鸣金",$AK63,$AI63)+IF($G$1="鸣金",$AL63*1.5,0))*(1+$AV63)*(1+$AW63)+(($AX63+$AY63)/2*IF($G$1="裂石",$AK63,$AI63)+IF($G$1="裂石",$AL63*1.5,0))*(1+$AZ63)*(1+$BA63)+(($BB63+$BC63)/2*IF($G$1="牵丝",$AK63,$AI63)+IF($G$1="牵丝",$AL63*1.5,0))*(1+$BD63)*(1+$BE63)+(($BF63+$BG63)/2*IF($G$1="破竹",$AK63,$AI63)+IF($G$1="破竹",$AL63*1.5,0))*(1+$BH63)*(1+$BI63))*(1+$AM63)*$Q63*(1+IF(VLOOKUP($R63,武学奇术!$A:$ZZ,30,FALSE)="回旋伞",$B$21,0))*(1+$BR63)</f>
        <v>30474.0765463207</v>
      </c>
      <c r="P63" s="38">
        <f>((($AO63*$AI63+$AJ63)*(1+$AQ63)*(1+$AR63)+($AT63*IF($G$1="鸣金",$AK63,$AI63)+IF($G$1="鸣金",$AL63*1.5,0))*(1+$AV63)*(1+$AW63)+($AX63*IF($G$1="裂石",$AK63,$AI63)+IF($G$1="裂石",$AL63*1.5,0))*(1+$AZ63)*(1+$BA63)+($BB63*IF($G$1="牵丝",$AK63,$AI63)+IF($G$1="牵丝",$AL63*1.5,0))*(1+$BD63)*(1+$BE63)+($BF63*IF($G$1="破竹",$AK63,$AI63)+IF($G$1="破竹",$AL63*1.5,0))*(1+$BH63)*(1+$BI63))*(1+$AM63))*$Q63*(1+IF(VLOOKUP($R63,武学奇术!$A:$ZZ,30,FALSE)="回旋伞",$B$21,0))*(1+$BR63)</f>
        <v>26942.2621776791</v>
      </c>
      <c r="Q63" s="39">
        <v>1</v>
      </c>
      <c r="R63" s="40" t="s">
        <v>166</v>
      </c>
      <c r="S63" s="40" t="s">
        <v>72</v>
      </c>
      <c r="T63" s="40" t="s">
        <v>95</v>
      </c>
      <c r="U63" s="40" t="s">
        <v>73</v>
      </c>
      <c r="V63" s="40" t="s">
        <v>72</v>
      </c>
      <c r="W63" s="40" t="s">
        <v>172</v>
      </c>
      <c r="X63" s="40" t="s">
        <v>99</v>
      </c>
      <c r="Y63" s="40" t="s">
        <v>72</v>
      </c>
      <c r="Z63" s="40" t="s">
        <v>72</v>
      </c>
      <c r="AA63" s="40" t="s">
        <v>72</v>
      </c>
      <c r="AB63" s="40" t="s">
        <v>72</v>
      </c>
      <c r="AC63" s="40" t="s">
        <v>85</v>
      </c>
      <c r="AD63" s="40" t="s">
        <v>72</v>
      </c>
      <c r="AE63" s="40" t="s">
        <v>72</v>
      </c>
      <c r="AF63" s="40" t="s">
        <v>77</v>
      </c>
      <c r="AG63" s="40" t="s">
        <v>78</v>
      </c>
      <c r="AH63" t="str">
        <f>VLOOKUP($R63,武学奇术!$A:$ZZ,25,FALSE)</f>
        <v>绳镖</v>
      </c>
      <c r="AI63" s="26">
        <f>VLOOKUP($R63,武学奇术!$A:$ZZ,26,FALSE)</f>
        <v>2.2987</v>
      </c>
      <c r="AJ63" s="27">
        <f>VLOOKUP($R63,武学奇术!$A:$ZZ,27,FALSE)*(1+IF(OR($AH63=$F$4,$AH63=$F$5),$B$22,0))</f>
        <v>955.5</v>
      </c>
      <c r="AK63" s="26">
        <f>VLOOKUP($R63,武学奇术!$A:$ZZ,28,FALSE)</f>
        <v>3.448</v>
      </c>
      <c r="AL63" s="27">
        <f>VLOOKUP($R63,武学奇术!$A:$ZZ,29,FALSE)*(1+IF(OR($AH63=$F$4,$AH63=$F$5),$B$22,0))</f>
        <v>520.5</v>
      </c>
      <c r="AM63" s="26" cm="1">
        <f t="array" ref="AM63">$G$3+IFERROR(VLOOKUP($AH63,$F$4:$G$7,2,FALSE),0)+VLOOKUP($R63,武学奇术!$A:$ZZ,2,FALSE)+SUM(_xlfn.XLOOKUP($S63:$AG63,增益!$A:$A,增益!$B:$B,0))</f>
        <v>0.5189</v>
      </c>
      <c r="AN63" s="26" cm="1">
        <f t="array" ref="AN63">VLOOKUP($R63,武学奇术!$A:$ZZ,5,FALSE)+SUM(_xlfn.XLOOKUP($S63:$AG63,增益!$A:$A,增益!$E:$E,0))</f>
        <v>0</v>
      </c>
      <c r="AO63" cm="1">
        <f t="array" ref="AO63">$D$10*(1+$AN63)+VLOOKUP($R63,武学奇术!$A:$ZZ,3,FALSE)+SUM(_xlfn.XLOOKUP($S63:$AG63,增益!$A:$A,增益!$C:$C,0))-$I$2</f>
        <v>3624.6</v>
      </c>
      <c r="AP63" cm="1">
        <f t="array" ref="AP63">$E$10*(1+$AN63)+VLOOKUP($R63,武学奇术!$A:$ZZ,4,FALSE)+SUM(_xlfn.XLOOKUP($S63:$AG63,增益!$A:$A,增益!$D:$D,0))-$I$2</f>
        <v>3624.6</v>
      </c>
      <c r="AQ63" s="32" cm="1">
        <f t="array" ref="AQ63">IF($F$10-$I$3+VLOOKUP($R63,武学奇术!$A:$ZZ,6,FALSE)+SUM(_xlfn.XLOOKUP(S63:AG63,增益!$A:$A,增益!$F:$F,0))&gt;0,($F$10-$I$3+VLOOKUP($R63,武学奇术!$A:$ZZ,6,FALSE)+SUM(_xlfn.XLOOKUP(S63:AG63,增益!$A:$A,增益!$F:$F,0)))/200,($F$10-$I$3+VLOOKUP($R63,武学奇术!$A:$ZZ,6,FALSE)+SUM(_xlfn.XLOOKUP(S63:AG63,增益!$A:$A,增益!$F:$F,0)))/100)</f>
        <v>0.3425</v>
      </c>
      <c r="AR63" s="32" cm="1">
        <f t="array" ref="AR63">$G$10+VLOOKUP($R63,武学奇术!$A:$ZZ,7,FALSE)+SUM(_xlfn.XLOOKUP(S63:AG63,增益!$A:$A,增益!$G:$G,0))</f>
        <v>0.028</v>
      </c>
      <c r="AS63" s="26" cm="1">
        <f t="array" ref="AS63">VLOOKUP($R63,武学奇术!$A:$ZZ,8,FALSE)+SUM(_xlfn.XLOOKUP(S63:AG63,增益!$A:$A,增益!$H:$H,0))</f>
        <v>0</v>
      </c>
      <c r="AT63">
        <f t="shared" si="24"/>
        <v>0</v>
      </c>
      <c r="AU63">
        <f t="shared" si="25"/>
        <v>0</v>
      </c>
      <c r="AV63" s="32" cm="1">
        <f t="array" ref="AV63">IF($F$11-$I$4+VLOOKUP($R63,武学奇术!$A:$ZZ,9,FALSE)+SUM(_xlfn.XLOOKUP(S63:AG63,增益!$A:$A,增益!$I:$I,0))&gt;0,($F$11-$I$4+VLOOKUP($R63,武学奇术!$A:$ZZ,9,FALSE)+SUM(_xlfn.XLOOKUP(S63:AG63,增益!$A:$A,增益!$I:$I,0)))/200,($F$11-$I$4+VLOOKUP($R63,武学奇术!$A:$ZZ,9,FALSE)+SUM(_xlfn.XLOOKUP(S63:AG63,增益!$A:$A,增益!$I:$I,0)))/100)</f>
        <v>-0.3</v>
      </c>
      <c r="AW63" s="32" cm="1">
        <f t="array" ref="AW63">$G$11+VLOOKUP($R63,武学奇术!$A:$ZZ,10,FALSE)+SUM(_xlfn.XLOOKUP(S63:AG63,增益!$A:$A,增益!$J:$J,0))</f>
        <v>0</v>
      </c>
      <c r="AX63">
        <f t="shared" si="26"/>
        <v>0</v>
      </c>
      <c r="AY63">
        <f t="shared" si="27"/>
        <v>0</v>
      </c>
      <c r="AZ63" s="32" cm="1">
        <f t="array" ref="AZ63">IF($F$12-$I$4+VLOOKUP($R63,武学奇术!$A:$ZZ,11,FALSE)+SUM(_xlfn.XLOOKUP(S63:AG63,增益!$A:$A,增益!$K:$K,0))&gt;0,($F$12-$I$4+VLOOKUP($R63,武学奇术!$A:$ZZ,11,FALSE)+SUM(_xlfn.XLOOKUP(S63:AG63,增益!$A:$A,增益!$K:$K,0)))/200,($F$12-$I$4+VLOOKUP($R63,武学奇术!$A:$ZZ,11,FALSE)+SUM(_xlfn.XLOOKUP(S63:AG63,增益!$A:$A,增益!$K:$K,0)))/100)</f>
        <v>-0.3</v>
      </c>
      <c r="BA63" s="32" cm="1">
        <f t="array" ref="BA63">$G$12+VLOOKUP($R63,武学奇术!$A:$ZZ,12,FALSE)+SUM(_xlfn.XLOOKUP(S63:AG63,增益!$A:$A,增益!$L:$L,0))</f>
        <v>0</v>
      </c>
      <c r="BB63">
        <f t="shared" si="28"/>
        <v>0</v>
      </c>
      <c r="BC63">
        <f t="shared" si="29"/>
        <v>0</v>
      </c>
      <c r="BD63" s="32" cm="1">
        <f t="array" ref="BD63">IF($F$13-$I$4+VLOOKUP($R63,武学奇术!$A:$ZZ,13,FALSE)+SUM(_xlfn.XLOOKUP(S63:AG63,增益!$A:$A,增益!$M:$M,0))&gt;0,($F$13-$I$4+VLOOKUP($R63,武学奇术!$A:$ZZ,13,FALSE)+SUM(_xlfn.XLOOKUP(S63:AG63,增益!$A:$A,增益!$K:$K,0)))/200,($F$13-$I$4+VLOOKUP($R63,武学奇术!$A:$ZZ,13,FALSE)+SUM(_xlfn.XLOOKUP(S63:AG63,增益!$A:$A,增益!$M:$M,0)))/100)</f>
        <v>-0.3</v>
      </c>
      <c r="BE63" s="32" cm="1">
        <f t="array" ref="BE63">$G$13+VLOOKUP($R63,武学奇术!$A:$ZZ,14,FALSE)+SUM(_xlfn.XLOOKUP(S63:AG63,增益!$A:$A,增益!$N:$N,0))</f>
        <v>0</v>
      </c>
      <c r="BF63">
        <f t="shared" si="30"/>
        <v>571.2</v>
      </c>
      <c r="BG63">
        <f t="shared" si="31"/>
        <v>1627.8</v>
      </c>
      <c r="BH63" s="32" cm="1">
        <f t="array" ref="BH63">IF($F$14-$I$4+VLOOKUP($R63,武学奇术!$A:$ZZ,15,FALSE)+SUM(_xlfn.XLOOKUP(S63:AG63,增益!$A:$A,增益!$O:$O,0))&gt;0,($F$14-$I$4+VLOOKUP($R63,武学奇术!$A:$ZZ,15,FALSE)+SUM(_xlfn.XLOOKUP(S63:AG63,增益!$A:$A,增益!$O:$O,0)))/200,($F$14-$I$4+VLOOKUP($R63,武学奇术!$A:$ZZ,15,FALSE)+SUM(_xlfn.XLOOKUP(S63:AG63,增益!$A:$A,增益!$O:$O,0)))/100)</f>
        <v>0</v>
      </c>
      <c r="BI63" s="32" cm="1">
        <f t="array" ref="BI63">$G$14+VLOOKUP($R63,武学奇术!$A:$ZZ,16,FALSE)+SUM(_xlfn.XLOOKUP(S63:AG63,增益!$A:$A,增益!$P:$P,0))</f>
        <v>0.15</v>
      </c>
      <c r="BJ63" s="26">
        <f>MIN(IF(VLOOKUP($R63,武学奇术!$A:$ZZ,23,FALSE)=1,100%,$B$8),100%)</f>
        <v>1</v>
      </c>
      <c r="BK63" s="26" cm="1">
        <f t="array" ref="BK63">IF(VLOOKUP($R63,武学奇术!$A:$ZZ,23,FALSE)=1,100%,MIN(80%,$B$9+VLOOKUP($R63,武学奇术!$A:$ZZ,17,FALSE)+SUM(_xlfn.XLOOKUP(S63:AG63,增益!$A:$A,增益!$Q:$Q,0)))+$B$11+SUM(_xlfn.XLOOKUP(S63:AG63,增益!$A:$A,增益!$U:$U,0)))*IF(VLOOKUP($R63,武学奇术!$A:$ZZ,24,FALSE)=1,0,1)</f>
        <v>1</v>
      </c>
      <c r="BL63" s="26" cm="1">
        <f t="array" ref="BL63">1+$B$13+VLOOKUP($R63,武学奇术!$A:$ZZ,18,FALSE)+SUM(_xlfn.XLOOKUP(S63:AG63,增益!$A:$A,增益!$R:$R,0))</f>
        <v>1.91</v>
      </c>
      <c r="BM63" s="26" cm="1">
        <f t="array" ref="BM63">IF(VLOOKUP($R63,武学奇术!$A:$ZZ,24,FALSE)=1,100%,MIN(40%,$B$10+VLOOKUP($R63,武学奇术!$A:$ZZ,19,FALSE)+SUM(_xlfn.XLOOKUP(S63:AG63,增益!$A:$A,增益!$S:$S,0)))+$B$12+SUM(_xlfn.XLOOKUP(S63:AG63,增益!$A:$A,增益!$V:$V,0)))*IF(VLOOKUP($R63,武学奇术!$A:$ZZ,23,FALSE)=1,0,1)</f>
        <v>0</v>
      </c>
      <c r="BN63" s="26" cm="1">
        <f t="array" ref="BN63">1+$B$14+VLOOKUP($R63,武学奇术!$A:$ZZ,20,FALSE)+SUM(_xlfn.XLOOKUP(S63:AG63,增益!$A:$A,增益!$T:$T,0))</f>
        <v>1.35</v>
      </c>
      <c r="BO63" s="26">
        <f t="shared" si="23"/>
        <v>1</v>
      </c>
      <c r="BP63" s="26">
        <f t="shared" si="18"/>
        <v>0</v>
      </c>
      <c r="BQ63" s="26">
        <f>IF(VLOOKUP($R63,武学奇术!$A:$ZZ,22,FALSE)=1,0,(1-$BJ63))*(1-$BM63)</f>
        <v>0</v>
      </c>
      <c r="BR63" s="26" cm="1">
        <f t="array" ref="BR63">SUM(_xlfn.XLOOKUP(S63:AG63,增益!$A:$A,增益!$W:$W,0))+$I$5</f>
        <v>0.11</v>
      </c>
    </row>
    <row r="64" spans="1:70">
      <c r="A64" s="4" t="s">
        <v>161</v>
      </c>
      <c r="B64" s="4">
        <v>1</v>
      </c>
      <c r="F64" s="39"/>
      <c r="G64"/>
      <c r="K64">
        <f>$L64*VLOOKUP($R64,武学奇术!$A:$ZZ,31,FALSE)</f>
        <v>118049.528685805</v>
      </c>
      <c r="L64" s="88">
        <f>(SUM(L39:L63)+L156+L157)*12%</f>
        <v>224856.24511582</v>
      </c>
      <c r="M64" s="38">
        <f>((($AO64+$AP64)/2*$AI64+$AJ64)*(1+$AQ64)*(1+$AR64)+(($AT64+$AU64)/2*IF($G$1="鸣金",$AK64,$AI64)+IF($G$1="鸣金",$AL64*1.5,0))*(1+$AV64)*(1+$AW64)+(($AX64+$AY64)/2*IF($G$1="裂石",$AK64,$AI64)+IF($G$1="裂石",$AL64*1.5,0))*(1+$AZ64)*(1+$BA64)+(($BB64+$BC64)/2*IF($G$1="牵丝",$AK64,$AI64)+IF($G$1="牵丝",$AL64*1.5,0))*(1+$BD64)*(1+$BE64)+(($BF64+$BG64)/2*IF($G$1="破竹",$AK64,$AI64)+IF($G$1="破竹",$AL64*1.5,0))*(1+$BH64)*(1+$BI64))*(1+$AM64)*$BL64*$Q64*(1+IF(VLOOKUP($R64,武学奇术!$A:$ZZ,30,FALSE)="回旋伞",$B$21,0))*(1+$BR64)</f>
        <v>0</v>
      </c>
      <c r="N64" s="38">
        <f>(($AP64*$AI64+$AJ64)*(1+$AQ64)*(1+$AR64)+($AU64*IF($G$1="鸣金",$AK64,$AI64)+IF($G$1="鸣金",$AL64*1.5,0))*(1+$AV64)*(1+$AW64)+($AY64*IF($G$1="裂石",$AK64,$AI64)+IF($G$1="裂石",$AL64*1.5,0))*(1+$AZ64)*(1+$BA64)+($BC64*IF($G$1="牵丝",$AK64,$AI64)+IF($G$1="牵丝",$AL64*1.5,0))*(1+$BD64)*(1+$BE64)+($BG64*IF($G$1="破竹",$AK64,$AI64)+IF($G$1="破竹",$AL64*1.5,0))*(1+$BH64)*(1+$BI64))*(1+$AM64)*$BN64*$Q64*(1+IF(VLOOKUP($R64,武学奇术!$A:$ZZ,30,FALSE)="回旋伞",$B$21,0))*(1+$BR64)</f>
        <v>0</v>
      </c>
      <c r="O64" s="38">
        <f>((($AO64+$AP64)/2*$AI64+$AJ64)*(1+$AQ64)*(1+$AR64)+(($AT64+$AU64)/2*IF($G$1="鸣金",$AK64,$AI64)+IF($G$1="鸣金",$AL64*1.5,0))*(1+$AV64)*(1+$AW64)+(($AX64+$AY64)/2*IF($G$1="裂石",$AK64,$AI64)+IF($G$1="裂石",$AL64*1.5,0))*(1+$AZ64)*(1+$BA64)+(($BB64+$BC64)/2*IF($G$1="牵丝",$AK64,$AI64)+IF($G$1="牵丝",$AL64*1.5,0))*(1+$BD64)*(1+$BE64)+(($BF64+$BG64)/2*IF($G$1="破竹",$AK64,$AI64)+IF($G$1="破竹",$AL64*1.5,0))*(1+$BH64)*(1+$BI64))*(1+$AM64)*$Q64*(1+IF(VLOOKUP($R64,武学奇术!$A:$ZZ,30,FALSE)="回旋伞",$B$21,0))*(1+$BR64)</f>
        <v>0</v>
      </c>
      <c r="P64" s="38">
        <f>((($AO64*$AI64+$AJ64)*(1+$AQ64)*(1+$AR64)+($AT64*IF($G$1="鸣金",$AK64,$AI64)+IF($G$1="鸣金",$AL64*1.5,0))*(1+$AV64)*(1+$AW64)+($AX64*IF($G$1="裂石",$AK64,$AI64)+IF($G$1="裂石",$AL64*1.5,0))*(1+$AZ64)*(1+$BA64)+($BB64*IF($G$1="牵丝",$AK64,$AI64)+IF($G$1="牵丝",$AL64*1.5,0))*(1+$BD64)*(1+$BE64)+($BF64*IF($G$1="破竹",$AK64,$AI64)+IF($G$1="破竹",$AL64*1.5,0))*(1+$BH64)*(1+$BI64))*(1+$AM64))*$Q64*(1+IF(VLOOKUP($R64,武学奇术!$A:$ZZ,30,FALSE)="回旋伞",$B$21,0))*(1+$BR64)</f>
        <v>0</v>
      </c>
      <c r="Q64" s="39">
        <v>1</v>
      </c>
      <c r="R64" s="40" t="s">
        <v>167</v>
      </c>
      <c r="S64" s="40" t="s">
        <v>72</v>
      </c>
      <c r="T64" s="40" t="s">
        <v>72</v>
      </c>
      <c r="U64" s="40" t="s">
        <v>72</v>
      </c>
      <c r="V64" s="40" t="s">
        <v>72</v>
      </c>
      <c r="W64" s="40" t="s">
        <v>72</v>
      </c>
      <c r="X64" s="40" t="s">
        <v>72</v>
      </c>
      <c r="Y64" s="40" t="s">
        <v>72</v>
      </c>
      <c r="Z64" s="40" t="s">
        <v>72</v>
      </c>
      <c r="AA64" s="40" t="s">
        <v>72</v>
      </c>
      <c r="AB64" s="40" t="s">
        <v>72</v>
      </c>
      <c r="AC64" s="40" t="s">
        <v>72</v>
      </c>
      <c r="AD64" s="40" t="s">
        <v>72</v>
      </c>
      <c r="AE64" s="40" t="s">
        <v>72</v>
      </c>
      <c r="AF64" s="40" t="s">
        <v>77</v>
      </c>
      <c r="AG64" s="40" t="s">
        <v>78</v>
      </c>
      <c r="AH64" t="str">
        <f>VLOOKUP($R64,武学奇术!$A:$ZZ,25,FALSE)</f>
        <v>心法</v>
      </c>
      <c r="AI64" s="26">
        <f>VLOOKUP($R64,武学奇术!$A:$ZZ,26,FALSE)</f>
        <v>0</v>
      </c>
      <c r="AJ64" s="27">
        <f>VLOOKUP($R64,武学奇术!$A:$ZZ,27,FALSE)*(1+IF(OR($AH64=$F$4,$AH64=$F$5),$B$22,0))</f>
        <v>0</v>
      </c>
      <c r="AK64" s="26">
        <f>VLOOKUP($R64,武学奇术!$A:$ZZ,28,FALSE)</f>
        <v>0</v>
      </c>
      <c r="AL64" s="27">
        <f>VLOOKUP($R64,武学奇术!$A:$ZZ,29,FALSE)*(1+IF(OR($AH64=$F$4,$AH64=$F$5),$B$22,0))</f>
        <v>0</v>
      </c>
      <c r="AM64" s="26" cm="1">
        <f t="array" ref="AM64">$G$3+IFERROR(VLOOKUP($AH64,$F$4:$G$7,2,FALSE),0)+VLOOKUP($R64,武学奇术!$A:$ZZ,2,FALSE)+SUM(_xlfn.XLOOKUP($S64:$AG64,增益!$A:$A,增益!$B:$B,0))</f>
        <v>0.1837</v>
      </c>
      <c r="AN64" s="26" cm="1">
        <f t="array" ref="AN64">VLOOKUP($R64,武学奇术!$A:$ZZ,5,FALSE)+SUM(_xlfn.XLOOKUP($S64:$AG64,增益!$A:$A,增益!$E:$E,0))</f>
        <v>0</v>
      </c>
      <c r="AO64" cm="1">
        <f t="array" ref="AO64">$D$10*(1+$AN64)+VLOOKUP($R64,武学奇术!$A:$ZZ,3,FALSE)+SUM(_xlfn.XLOOKUP($S64:$AG64,增益!$A:$A,增益!$C:$C,0))-$I$2</f>
        <v>3624.6</v>
      </c>
      <c r="AP64" cm="1">
        <f t="array" ref="AP64">$E$10*(1+$AN64)+VLOOKUP($R64,武学奇术!$A:$ZZ,4,FALSE)+SUM(_xlfn.XLOOKUP($S64:$AG64,增益!$A:$A,增益!$D:$D,0))-$I$2</f>
        <v>3624.6</v>
      </c>
      <c r="AQ64" s="32" cm="1">
        <f t="array" ref="AQ64">IF($F$10-$I$3+VLOOKUP($R64,武学奇术!$A:$ZZ,6,FALSE)+SUM(_xlfn.XLOOKUP(S64:AG64,增益!$A:$A,增益!$F:$F,0))&gt;0,($F$10-$I$3+VLOOKUP($R64,武学奇术!$A:$ZZ,6,FALSE)+SUM(_xlfn.XLOOKUP(S64:AG64,增益!$A:$A,增益!$F:$F,0)))/200,($F$10-$I$3+VLOOKUP($R64,武学奇术!$A:$ZZ,6,FALSE)+SUM(_xlfn.XLOOKUP(S64:AG64,增益!$A:$A,增益!$F:$F,0)))/100)</f>
        <v>0.2425</v>
      </c>
      <c r="AR64" s="32" cm="1">
        <f t="array" ref="AR64">$G$10+VLOOKUP($R64,武学奇术!$A:$ZZ,7,FALSE)+SUM(_xlfn.XLOOKUP(S64:AG64,增益!$A:$A,增益!$G:$G,0))</f>
        <v>0.028</v>
      </c>
      <c r="AS64" s="26" cm="1">
        <f t="array" ref="AS64">VLOOKUP($R64,武学奇术!$A:$ZZ,8,FALSE)+SUM(_xlfn.XLOOKUP(S64:AG64,增益!$A:$A,增益!$H:$H,0))</f>
        <v>0</v>
      </c>
      <c r="AT64">
        <f t="shared" si="24"/>
        <v>0</v>
      </c>
      <c r="AU64">
        <f t="shared" si="25"/>
        <v>0</v>
      </c>
      <c r="AV64" s="32" cm="1">
        <f t="array" ref="AV64">IF($F$11-$I$4+VLOOKUP($R64,武学奇术!$A:$ZZ,9,FALSE)+SUM(_xlfn.XLOOKUP(S64:AG64,增益!$A:$A,增益!$I:$I,0))&gt;0,($F$11-$I$4+VLOOKUP($R64,武学奇术!$A:$ZZ,9,FALSE)+SUM(_xlfn.XLOOKUP(S64:AG64,增益!$A:$A,增益!$I:$I,0)))/200,($F$11-$I$4+VLOOKUP($R64,武学奇术!$A:$ZZ,9,FALSE)+SUM(_xlfn.XLOOKUP(S64:AG64,增益!$A:$A,增益!$I:$I,0)))/100)</f>
        <v>-0.3</v>
      </c>
      <c r="AW64" s="32" cm="1">
        <f t="array" ref="AW64">$G$11+VLOOKUP($R64,武学奇术!$A:$ZZ,10,FALSE)+SUM(_xlfn.XLOOKUP(S64:AG64,增益!$A:$A,增益!$J:$J,0))</f>
        <v>0</v>
      </c>
      <c r="AX64">
        <f t="shared" si="26"/>
        <v>0</v>
      </c>
      <c r="AY64">
        <f t="shared" si="27"/>
        <v>0</v>
      </c>
      <c r="AZ64" s="32" cm="1">
        <f t="array" ref="AZ64">IF($F$12-$I$4+VLOOKUP($R64,武学奇术!$A:$ZZ,11,FALSE)+SUM(_xlfn.XLOOKUP(S64:AG64,增益!$A:$A,增益!$K:$K,0))&gt;0,($F$12-$I$4+VLOOKUP($R64,武学奇术!$A:$ZZ,11,FALSE)+SUM(_xlfn.XLOOKUP(S64:AG64,增益!$A:$A,增益!$K:$K,0)))/200,($F$12-$I$4+VLOOKUP($R64,武学奇术!$A:$ZZ,11,FALSE)+SUM(_xlfn.XLOOKUP(S64:AG64,增益!$A:$A,增益!$K:$K,0)))/100)</f>
        <v>-0.3</v>
      </c>
      <c r="BA64" s="32" cm="1">
        <f t="array" ref="BA64">$G$12+VLOOKUP($R64,武学奇术!$A:$ZZ,12,FALSE)+SUM(_xlfn.XLOOKUP(S64:AG64,增益!$A:$A,增益!$L:$L,0))</f>
        <v>0</v>
      </c>
      <c r="BB64">
        <f t="shared" si="28"/>
        <v>0</v>
      </c>
      <c r="BC64">
        <f t="shared" si="29"/>
        <v>0</v>
      </c>
      <c r="BD64" s="32" cm="1">
        <f t="array" ref="BD64">IF($F$13-$I$4+VLOOKUP($R64,武学奇术!$A:$ZZ,13,FALSE)+SUM(_xlfn.XLOOKUP(S64:AG64,增益!$A:$A,增益!$M:$M,0))&gt;0,($F$13-$I$4+VLOOKUP($R64,武学奇术!$A:$ZZ,13,FALSE)+SUM(_xlfn.XLOOKUP(S64:AG64,增益!$A:$A,增益!$K:$K,0)))/200,($F$13-$I$4+VLOOKUP($R64,武学奇术!$A:$ZZ,13,FALSE)+SUM(_xlfn.XLOOKUP(S64:AG64,增益!$A:$A,增益!$M:$M,0)))/100)</f>
        <v>-0.3</v>
      </c>
      <c r="BE64" s="32" cm="1">
        <f t="array" ref="BE64">$G$13+VLOOKUP($R64,武学奇术!$A:$ZZ,14,FALSE)+SUM(_xlfn.XLOOKUP(S64:AG64,增益!$A:$A,增益!$N:$N,0))</f>
        <v>0</v>
      </c>
      <c r="BF64">
        <f t="shared" si="30"/>
        <v>571.2</v>
      </c>
      <c r="BG64">
        <f t="shared" si="31"/>
        <v>1627.8</v>
      </c>
      <c r="BH64" s="32" cm="1">
        <f t="array" ref="BH64">IF($F$14-$I$4+VLOOKUP($R64,武学奇术!$A:$ZZ,15,FALSE)+SUM(_xlfn.XLOOKUP(S64:AG64,增益!$A:$A,增益!$O:$O,0))&gt;0,($F$14-$I$4+VLOOKUP($R64,武学奇术!$A:$ZZ,15,FALSE)+SUM(_xlfn.XLOOKUP(S64:AG64,增益!$A:$A,增益!$O:$O,0)))/200,($F$14-$I$4+VLOOKUP($R64,武学奇术!$A:$ZZ,15,FALSE)+SUM(_xlfn.XLOOKUP(S64:AG64,增益!$A:$A,增益!$O:$O,0)))/100)</f>
        <v>0</v>
      </c>
      <c r="BI64" s="32" cm="1">
        <f t="array" ref="BI64">$G$14+VLOOKUP($R64,武学奇术!$A:$ZZ,16,FALSE)+SUM(_xlfn.XLOOKUP(S64:AG64,增益!$A:$A,增益!$P:$P,0))</f>
        <v>0.15</v>
      </c>
      <c r="BJ64" s="26">
        <f>MIN(IF(VLOOKUP($R64,武学奇术!$A:$ZZ,23,FALSE)=1,100%,$B$8),100%)</f>
        <v>0.981</v>
      </c>
      <c r="BK64" s="26" cm="1">
        <f t="array" ref="BK64">IF(VLOOKUP($R64,武学奇术!$A:$ZZ,23,FALSE)=1,100%,MIN(80%,$B$9+VLOOKUP($R64,武学奇术!$A:$ZZ,17,FALSE)+SUM(_xlfn.XLOOKUP(S64:AG64,增益!$A:$A,增益!$Q:$Q,0)))+$B$11+SUM(_xlfn.XLOOKUP(S64:AG64,增益!$A:$A,增益!$U:$U,0)))*IF(VLOOKUP($R64,武学奇术!$A:$ZZ,24,FALSE)=1,0,1)</f>
        <v>0.846</v>
      </c>
      <c r="BL64" s="26" cm="1">
        <f t="array" ref="BL64">1+$B$13+VLOOKUP($R64,武学奇术!$A:$ZZ,18,FALSE)+SUM(_xlfn.XLOOKUP(S64:AG64,增益!$A:$A,增益!$R:$R,0))</f>
        <v>1.54</v>
      </c>
      <c r="BM64" s="26" cm="1">
        <f t="array" ref="BM64">IF(VLOOKUP($R64,武学奇术!$A:$ZZ,24,FALSE)=1,100%,MIN(40%,$B$10+VLOOKUP($R64,武学奇术!$A:$ZZ,19,FALSE)+SUM(_xlfn.XLOOKUP(S64:AG64,增益!$A:$A,增益!$S:$S,0)))+$B$12+SUM(_xlfn.XLOOKUP(S64:AG64,增益!$A:$A,增益!$V:$V,0)))*IF(VLOOKUP($R64,武学奇术!$A:$ZZ,23,FALSE)=1,0,1)</f>
        <v>0.0929</v>
      </c>
      <c r="BN64" s="26" cm="1">
        <f t="array" ref="BN64">1+$B$14+VLOOKUP($R64,武学奇术!$A:$ZZ,20,FALSE)+SUM(_xlfn.XLOOKUP(S64:AG64,增益!$A:$A,增益!$T:$T,0))</f>
        <v>1.35</v>
      </c>
      <c r="BO64" s="26">
        <f t="shared" si="23"/>
        <v>0.829926</v>
      </c>
      <c r="BP64" s="26">
        <f t="shared" si="18"/>
        <v>0.0599391</v>
      </c>
      <c r="BQ64" s="26">
        <f>IF(VLOOKUP($R64,武学奇术!$A:$ZZ,22,FALSE)=1,0,(1-$BJ64))*(1-$BM64)</f>
        <v>0.0172349</v>
      </c>
      <c r="BR64" s="26" cm="1">
        <f t="array" ref="BR64">SUM(_xlfn.XLOOKUP(S64:AG64,增益!$A:$A,增益!$W:$W,0))+$I$5</f>
        <v>0.11</v>
      </c>
    </row>
    <row r="65" spans="1:70">
      <c r="A65" s="4" t="s">
        <v>164</v>
      </c>
      <c r="B65" s="4">
        <v>0.85</v>
      </c>
      <c r="F65" s="39"/>
      <c r="K65">
        <f>$L65*VLOOKUP($R65,武学奇术!$A:$ZZ,31,FALSE)</f>
        <v>66398.4990138285</v>
      </c>
      <c r="L65" s="38">
        <f t="shared" si="32"/>
        <v>63236.6657274557</v>
      </c>
      <c r="M65" s="38">
        <f>((($AO65+$AP65)/2*$AI65+$AJ65)*(1+$AQ65)*(1+$AR65)+(($AT65+$AU65)/2*IF($G$1="鸣金",$AK65,$AI65)+IF($G$1="鸣金",$AL65*1.5,0))*(1+$AV65)*(1+$AW65)+(($AX65+$AY65)/2*IF($G$1="裂石",$AK65,$AI65)+IF($G$1="裂石",$AL65*1.5,0))*(1+$AZ65)*(1+$BA65)+(($BB65+$BC65)/2*IF($G$1="牵丝",$AK65,$AI65)+IF($G$1="牵丝",$AL65*1.5,0))*(1+$BD65)*(1+$BE65)+(($BF65+$BG65)/2*IF($G$1="破竹",$AK65,$AI65)+IF($G$1="破竹",$AL65*1.5,0))*(1+$BH65)*(1+$BI65))*(1+$AM65)*$BL65*$Q65*(1+IF(VLOOKUP($R65,武学奇术!$A:$ZZ,30,FALSE)="回旋伞",$B$21,0))*(1+$BR65)</f>
        <v>67064.4357561263</v>
      </c>
      <c r="N65" s="38">
        <f>(($AP65*$AI65+$AJ65)*(1+$AQ65)*(1+$AR65)+($AU65*IF($G$1="鸣金",$AK65,$AI65)+IF($G$1="鸣金",$AL65*1.5,0))*(1+$AV65)*(1+$AW65)+($AY65*IF($G$1="裂石",$AK65,$AI65)+IF($G$1="裂石",$AL65*1.5,0))*(1+$AZ65)*(1+$BA65)+($BC65*IF($G$1="牵丝",$AK65,$AI65)+IF($G$1="牵丝",$AL65*1.5,0))*(1+$BD65)*(1+$BE65)+($BG65*IF($G$1="破竹",$AK65,$AI65)+IF($G$1="破竹",$AL65*1.5,0))*(1+$BH65)*(1+$BI65))*(1+$AM65)*$BN65*$Q65*(1+IF(VLOOKUP($R65,武学奇术!$A:$ZZ,30,FALSE)="回旋伞",$B$21,0))*(1+$BR65)</f>
        <v>53201.7315383188</v>
      </c>
      <c r="O65" s="38">
        <f>((($AO65+$AP65)/2*$AI65+$AJ65)*(1+$AQ65)*(1+$AR65)+(($AT65+$AU65)/2*IF($G$1="鸣金",$AK65,$AI65)+IF($G$1="鸣金",$AL65*1.5,0))*(1+$AV65)*(1+$AW65)+(($AX65+$AY65)/2*IF($G$1="裂石",$AK65,$AI65)+IF($G$1="裂石",$AL65*1.5,0))*(1+$AZ65)*(1+$BA65)+(($BB65+$BC65)/2*IF($G$1="牵丝",$AK65,$AI65)+IF($G$1="牵丝",$AL65*1.5,0))*(1+$BD65)*(1+$BE65)+(($BF65+$BG65)/2*IF($G$1="破竹",$AK65,$AI65)+IF($G$1="破竹",$AL65*1.5,0))*(1+$BH65)*(1+$BI65))*(1+$AM65)*$Q65*(1+IF(VLOOKUP($R65,武学奇术!$A:$ZZ,30,FALSE)="回旋伞",$B$21,0))*(1+$BR65)</f>
        <v>35112.2700293855</v>
      </c>
      <c r="P65" s="38">
        <f>((($AO65*$AI65+$AJ65)*(1+$AQ65)*(1+$AR65)+($AT65*IF($G$1="鸣金",$AK65,$AI65)+IF($G$1="鸣金",$AL65*1.5,0))*(1+$AV65)*(1+$AW65)+($AX65*IF($G$1="裂石",$AK65,$AI65)+IF($G$1="裂石",$AL65*1.5,0))*(1+$AZ65)*(1+$BA65)+($BB65*IF($G$1="牵丝",$AK65,$AI65)+IF($G$1="牵丝",$AL65*1.5,0))*(1+$BD65)*(1+$BE65)+($BF65*IF($G$1="破竹",$AK65,$AI65)+IF($G$1="破竹",$AL65*1.5,0))*(1+$BH65)*(1+$BI65))*(1+$AM65))*$Q65*(1+IF(VLOOKUP($R65,武学奇术!$A:$ZZ,30,FALSE)="回旋伞",$B$21,0))*(1+$BR65)</f>
        <v>30815.8500303867</v>
      </c>
      <c r="Q65" s="39">
        <v>1</v>
      </c>
      <c r="R65" s="40" t="s">
        <v>159</v>
      </c>
      <c r="S65" s="40" t="s">
        <v>72</v>
      </c>
      <c r="T65" s="40" t="s">
        <v>95</v>
      </c>
      <c r="U65" s="40" t="s">
        <v>73</v>
      </c>
      <c r="V65" s="40" t="s">
        <v>81</v>
      </c>
      <c r="W65" s="40" t="s">
        <v>172</v>
      </c>
      <c r="X65" s="40" t="s">
        <v>99</v>
      </c>
      <c r="Y65" s="40" t="s">
        <v>84</v>
      </c>
      <c r="Z65" s="40" t="s">
        <v>176</v>
      </c>
      <c r="AA65" s="40" t="s">
        <v>177</v>
      </c>
      <c r="AB65" s="40" t="s">
        <v>72</v>
      </c>
      <c r="AC65" s="40" t="s">
        <v>85</v>
      </c>
      <c r="AD65" s="40" t="s">
        <v>72</v>
      </c>
      <c r="AE65" s="40" t="s">
        <v>72</v>
      </c>
      <c r="AF65" s="40" t="s">
        <v>77</v>
      </c>
      <c r="AG65" s="40" t="s">
        <v>78</v>
      </c>
      <c r="AH65" t="str">
        <f>VLOOKUP($R65,武学奇术!$A:$ZZ,25,FALSE)</f>
        <v>伞</v>
      </c>
      <c r="AI65" s="26">
        <f>VLOOKUP($R65,武学奇术!$A:$ZZ,26,FALSE)</f>
        <v>2.01456</v>
      </c>
      <c r="AJ65" s="27">
        <f>VLOOKUP($R65,武学奇术!$A:$ZZ,27,FALSE)*(1+IF(OR($AH65=$F$4,$AH65=$F$5),$B$22,0))</f>
        <v>837</v>
      </c>
      <c r="AK65" s="26">
        <f>VLOOKUP($R65,武学奇术!$A:$ZZ,28,FALSE)</f>
        <v>3.02184</v>
      </c>
      <c r="AL65" s="27">
        <f>VLOOKUP($R65,武学奇术!$A:$ZZ,29,FALSE)*(1+IF(OR($AH65=$F$4,$AH65=$F$5),$B$22,0))</f>
        <v>453.6</v>
      </c>
      <c r="AM65" s="26" cm="1">
        <f t="array" ref="AM65">$G$3+IFERROR(VLOOKUP($AH65,$F$4:$G$7,2,FALSE),0)+VLOOKUP($R65,武学奇术!$A:$ZZ,2,FALSE)+SUM(_xlfn.XLOOKUP($S65:$AG65,增益!$A:$A,增益!$B:$B,0))</f>
        <v>0.6541</v>
      </c>
      <c r="AN65" s="26" cm="1">
        <f t="array" ref="AN65">VLOOKUP($R65,武学奇术!$A:$ZZ,5,FALSE)+SUM(_xlfn.XLOOKUP($S65:$AG65,增益!$A:$A,增益!$E:$E,0))</f>
        <v>0</v>
      </c>
      <c r="AO65" cm="1">
        <f t="array" ref="AO65">$D$10*(1+$AN65)+VLOOKUP($R65,武学奇术!$A:$ZZ,3,FALSE)+SUM(_xlfn.XLOOKUP($S65:$AG65,增益!$A:$A,增益!$C:$C,0))-$I$2</f>
        <v>3624.6</v>
      </c>
      <c r="AP65" cm="1">
        <f t="array" ref="AP65">$E$10*(1+$AN65)+VLOOKUP($R65,武学奇术!$A:$ZZ,4,FALSE)+SUM(_xlfn.XLOOKUP($S65:$AG65,增益!$A:$A,增益!$D:$D,0))-$I$2</f>
        <v>3624.6</v>
      </c>
      <c r="AQ65" s="32" cm="1">
        <f t="array" ref="AQ65">IF($F$10-$I$3+VLOOKUP($R65,武学奇术!$A:$ZZ,6,FALSE)+SUM(_xlfn.XLOOKUP(S65:AG65,增益!$A:$A,增益!$F:$F,0))&gt;0,($F$10-$I$3+VLOOKUP($R65,武学奇术!$A:$ZZ,6,FALSE)+SUM(_xlfn.XLOOKUP(S65:AG65,增益!$A:$A,增益!$F:$F,0)))/200,($F$10-$I$3+VLOOKUP($R65,武学奇术!$A:$ZZ,6,FALSE)+SUM(_xlfn.XLOOKUP(S65:AG65,增益!$A:$A,增益!$F:$F,0)))/100)</f>
        <v>0.3425</v>
      </c>
      <c r="AR65" s="32" cm="1">
        <f t="array" ref="AR65">$G$10+VLOOKUP($R65,武学奇术!$A:$ZZ,7,FALSE)+SUM(_xlfn.XLOOKUP(S65:AG65,增益!$A:$A,增益!$G:$G,0))</f>
        <v>0.028</v>
      </c>
      <c r="AS65" s="26" cm="1">
        <f t="array" ref="AS65">VLOOKUP($R65,武学奇术!$A:$ZZ,8,FALSE)+SUM(_xlfn.XLOOKUP(S65:AG65,增益!$A:$A,增益!$H:$H,0))</f>
        <v>0</v>
      </c>
      <c r="AT65">
        <f t="shared" si="24"/>
        <v>0</v>
      </c>
      <c r="AU65">
        <f t="shared" si="25"/>
        <v>0</v>
      </c>
      <c r="AV65" s="32" cm="1">
        <f t="array" ref="AV65">IF($F$11-$I$4+VLOOKUP($R65,武学奇术!$A:$ZZ,9,FALSE)+SUM(_xlfn.XLOOKUP(S65:AG65,增益!$A:$A,增益!$I:$I,0))&gt;0,($F$11-$I$4+VLOOKUP($R65,武学奇术!$A:$ZZ,9,FALSE)+SUM(_xlfn.XLOOKUP(S65:AG65,增益!$A:$A,增益!$I:$I,0)))/200,($F$11-$I$4+VLOOKUP($R65,武学奇术!$A:$ZZ,9,FALSE)+SUM(_xlfn.XLOOKUP(S65:AG65,增益!$A:$A,增益!$I:$I,0)))/100)</f>
        <v>-0.14</v>
      </c>
      <c r="AW65" s="32" cm="1">
        <f t="array" ref="AW65">$G$11+VLOOKUP($R65,武学奇术!$A:$ZZ,10,FALSE)+SUM(_xlfn.XLOOKUP(S65:AG65,增益!$A:$A,增益!$J:$J,0))</f>
        <v>0.1</v>
      </c>
      <c r="AX65">
        <f t="shared" si="26"/>
        <v>0</v>
      </c>
      <c r="AY65">
        <f t="shared" si="27"/>
        <v>0</v>
      </c>
      <c r="AZ65" s="32" cm="1">
        <f t="array" ref="AZ65">IF($F$12-$I$4+VLOOKUP($R65,武学奇术!$A:$ZZ,11,FALSE)+SUM(_xlfn.XLOOKUP(S65:AG65,增益!$A:$A,增益!$K:$K,0))&gt;0,($F$12-$I$4+VLOOKUP($R65,武学奇术!$A:$ZZ,11,FALSE)+SUM(_xlfn.XLOOKUP(S65:AG65,增益!$A:$A,增益!$K:$K,0)))/200,($F$12-$I$4+VLOOKUP($R65,武学奇术!$A:$ZZ,11,FALSE)+SUM(_xlfn.XLOOKUP(S65:AG65,增益!$A:$A,增益!$K:$K,0)))/100)</f>
        <v>-0.14</v>
      </c>
      <c r="BA65" s="32" cm="1">
        <f t="array" ref="BA65">$G$12+VLOOKUP($R65,武学奇术!$A:$ZZ,12,FALSE)+SUM(_xlfn.XLOOKUP(S65:AG65,增益!$A:$A,增益!$L:$L,0))</f>
        <v>0</v>
      </c>
      <c r="BB65">
        <f t="shared" si="28"/>
        <v>0</v>
      </c>
      <c r="BC65">
        <f t="shared" si="29"/>
        <v>0</v>
      </c>
      <c r="BD65" s="32" cm="1">
        <f t="array" ref="BD65">IF($F$13-$I$4+VLOOKUP($R65,武学奇术!$A:$ZZ,13,FALSE)+SUM(_xlfn.XLOOKUP(S65:AG65,增益!$A:$A,增益!$M:$M,0))&gt;0,($F$13-$I$4+VLOOKUP($R65,武学奇术!$A:$ZZ,13,FALSE)+SUM(_xlfn.XLOOKUP(S65:AG65,增益!$A:$A,增益!$K:$K,0)))/200,($F$13-$I$4+VLOOKUP($R65,武学奇术!$A:$ZZ,13,FALSE)+SUM(_xlfn.XLOOKUP(S65:AG65,增益!$A:$A,增益!$M:$M,0)))/100)</f>
        <v>-0.14</v>
      </c>
      <c r="BE65" s="32" cm="1">
        <f t="array" ref="BE65">$G$13+VLOOKUP($R65,武学奇术!$A:$ZZ,14,FALSE)+SUM(_xlfn.XLOOKUP(S65:AG65,增益!$A:$A,增益!$N:$N,0))</f>
        <v>0</v>
      </c>
      <c r="BF65">
        <f t="shared" si="30"/>
        <v>571.2</v>
      </c>
      <c r="BG65">
        <f t="shared" si="31"/>
        <v>1627.8</v>
      </c>
      <c r="BH65" s="32" cm="1">
        <f t="array" ref="BH65">IF($F$14-$I$4+VLOOKUP($R65,武学奇术!$A:$ZZ,15,FALSE)+SUM(_xlfn.XLOOKUP(S65:AG65,增益!$A:$A,增益!$O:$O,0))&gt;0,($F$14-$I$4+VLOOKUP($R65,武学奇术!$A:$ZZ,15,FALSE)+SUM(_xlfn.XLOOKUP(S65:AG65,增益!$A:$A,增益!$O:$O,0)))/200,($F$14-$I$4+VLOOKUP($R65,武学奇术!$A:$ZZ,15,FALSE)+SUM(_xlfn.XLOOKUP(S65:AG65,增益!$A:$A,增益!$O:$O,0)))/100)</f>
        <v>0.08</v>
      </c>
      <c r="BI65" s="32" cm="1">
        <f t="array" ref="BI65">$G$14+VLOOKUP($R65,武学奇术!$A:$ZZ,16,FALSE)+SUM(_xlfn.XLOOKUP(S65:AG65,增益!$A:$A,增益!$P:$P,0))</f>
        <v>0.15</v>
      </c>
      <c r="BJ65" s="26">
        <f>MIN(IF(VLOOKUP($R65,武学奇术!$A:$ZZ,23,FALSE)=1,100%,$B$8),100%)</f>
        <v>0.981</v>
      </c>
      <c r="BK65" s="26" cm="1">
        <f t="array" ref="BK65">IF(VLOOKUP($R65,武学奇术!$A:$ZZ,23,FALSE)=1,100%,MIN(80%,$B$9+VLOOKUP($R65,武学奇术!$A:$ZZ,17,FALSE)+SUM(_xlfn.XLOOKUP(S65:AG65,增益!$A:$A,增益!$Q:$Q,0)))+$B$11+SUM(_xlfn.XLOOKUP(S65:AG65,增益!$A:$A,增益!$U:$U,0)))*IF(VLOOKUP($R65,武学奇术!$A:$ZZ,24,FALSE)=1,0,1)</f>
        <v>0.846</v>
      </c>
      <c r="BL65" s="26" cm="1">
        <f t="array" ref="BL65">1+$B$13+VLOOKUP($R65,武学奇术!$A:$ZZ,18,FALSE)+SUM(_xlfn.XLOOKUP(S65:AG65,增益!$A:$A,增益!$R:$R,0))</f>
        <v>1.91</v>
      </c>
      <c r="BM65" s="26" cm="1">
        <f t="array" ref="BM65">IF(VLOOKUP($R65,武学奇术!$A:$ZZ,24,FALSE)=1,100%,MIN(40%,$B$10+VLOOKUP($R65,武学奇术!$A:$ZZ,19,FALSE)+SUM(_xlfn.XLOOKUP(S65:AG65,增益!$A:$A,增益!$S:$S,0)))+$B$12+SUM(_xlfn.XLOOKUP(S65:AG65,增益!$A:$A,增益!$V:$V,0)))*IF(VLOOKUP($R65,武学奇术!$A:$ZZ,23,FALSE)=1,0,1)</f>
        <v>0.0929</v>
      </c>
      <c r="BN65" s="26" cm="1">
        <f t="array" ref="BN65">1+$B$14+VLOOKUP($R65,武学奇术!$A:$ZZ,20,FALSE)+SUM(_xlfn.XLOOKUP(S65:AG65,增益!$A:$A,增益!$T:$T,0))</f>
        <v>1.35</v>
      </c>
      <c r="BO65" s="26">
        <f t="shared" si="23"/>
        <v>0.829926</v>
      </c>
      <c r="BP65" s="26">
        <f t="shared" si="18"/>
        <v>0.0599391</v>
      </c>
      <c r="BQ65" s="26">
        <f>IF(VLOOKUP($R65,武学奇术!$A:$ZZ,22,FALSE)=1,0,(1-$BJ65))*(1-$BM65)</f>
        <v>0.0172349</v>
      </c>
      <c r="BR65" s="26" cm="1">
        <f t="array" ref="BR65">SUM(_xlfn.XLOOKUP(S65:AG65,增益!$A:$A,增益!$W:$W,0))+$I$5</f>
        <v>0.31</v>
      </c>
    </row>
    <row r="66" spans="1:70">
      <c r="A66" s="4" t="s">
        <v>170</v>
      </c>
      <c r="B66" s="4">
        <v>1.3</v>
      </c>
      <c r="F66" s="39"/>
      <c r="G66"/>
      <c r="K66">
        <f>$L66*VLOOKUP($R66,武学奇术!$A:$ZZ,31,FALSE)</f>
        <v>162266.003577279</v>
      </c>
      <c r="L66" s="38">
        <f t="shared" si="32"/>
        <v>154539.05102598</v>
      </c>
      <c r="M66" s="38">
        <f>((($AO66+$AP66)/2*$AI66+$AJ66)*(1+$AQ66)*(1+$AR66)+(($AT66+$AU66)/2*IF($G$1="鸣金",$AK66,$AI66)+IF($G$1="鸣金",$AL66*1.5,0))*(1+$AV66)*(1+$AW66)+(($AX66+$AY66)/2*IF($G$1="裂石",$AK66,$AI66)+IF($G$1="裂石",$AL66*1.5,0))*(1+$AZ66)*(1+$BA66)+(($BB66+$BC66)/2*IF($G$1="牵丝",$AK66,$AI66)+IF($G$1="牵丝",$AL66*1.5,0))*(1+$BD66)*(1+$BE66)+(($BF66+$BG66)/2*IF($G$1="破竹",$AK66,$AI66)+IF($G$1="破竹",$AL66*1.5,0))*(1+$BH66)*(1+$BI66))*(1+$AM66)*$BL66*$Q66*(1+IF(VLOOKUP($R66,武学奇术!$A:$ZZ,30,FALSE)="回旋伞",$B$21,0))*(1+$BR66)</f>
        <v>163788.863824257</v>
      </c>
      <c r="N66" s="38">
        <f>(($AP66*$AI66+$AJ66)*(1+$AQ66)*(1+$AR66)+($AU66*IF($G$1="鸣金",$AK66,$AI66)+IF($G$1="鸣金",$AL66*1.5,0))*(1+$AV66)*(1+$AW66)+($AY66*IF($G$1="裂石",$AK66,$AI66)+IF($G$1="裂石",$AL66*1.5,0))*(1+$AZ66)*(1+$BA66)+($BC66*IF($G$1="牵丝",$AK66,$AI66)+IF($G$1="牵丝",$AL66*1.5,0))*(1+$BD66)*(1+$BE66)+($BG66*IF($G$1="破竹",$AK66,$AI66)+IF($G$1="破竹",$AL66*1.5,0))*(1+$BH66)*(1+$BI66))*(1+$AM66)*$BN66*$Q66*(1+IF(VLOOKUP($R66,武学奇术!$A:$ZZ,30,FALSE)="回旋伞",$B$21,0))*(1+$BR66)</f>
        <v>131162.982293971</v>
      </c>
      <c r="O66" s="38">
        <f>((($AO66+$AP66)/2*$AI66+$AJ66)*(1+$AQ66)*(1+$AR66)+(($AT66+$AU66)/2*IF($G$1="鸣金",$AK66,$AI66)+IF($G$1="鸣金",$AL66*1.5,0))*(1+$AV66)*(1+$AW66)+(($AX66+$AY66)/2*IF($G$1="裂石",$AK66,$AI66)+IF($G$1="裂石",$AL66*1.5,0))*(1+$AZ66)*(1+$BA66)+(($BB66+$BC66)/2*IF($G$1="牵丝",$AK66,$AI66)+IF($G$1="牵丝",$AL66*1.5,0))*(1+$BD66)*(1+$BE66)+(($BF66+$BG66)/2*IF($G$1="破竹",$AK66,$AI66)+IF($G$1="破竹",$AL66*1.5,0))*(1+$BH66)*(1+$BI66))*(1+$AM66)*$Q66*(1+IF(VLOOKUP($R66,武学奇术!$A:$ZZ,30,FALSE)="回旋伞",$B$21,0))*(1+$BR66)</f>
        <v>85753.3318451606</v>
      </c>
      <c r="P66" s="38">
        <f>((($AO66*$AI66+$AJ66)*(1+$AQ66)*(1+$AR66)+($AT66*IF($G$1="鸣金",$AK66,$AI66)+IF($G$1="鸣金",$AL66*1.5,0))*(1+$AV66)*(1+$AW66)+($AX66*IF($G$1="裂石",$AK66,$AI66)+IF($G$1="裂石",$AL66*1.5,0))*(1+$AZ66)*(1+$BA66)+($BB66*IF($G$1="牵丝",$AK66,$AI66)+IF($G$1="牵丝",$AL66*1.5,0))*(1+$BD66)*(1+$BE66)+($BF66*IF($G$1="破竹",$AK66,$AI66)+IF($G$1="破竹",$AL66*1.5,0))*(1+$BH66)*(1+$BI66))*(1+$AM66))*$Q66*(1+IF(VLOOKUP($R66,武学奇术!$A:$ZZ,30,FALSE)="回旋伞",$B$21,0))*(1+$BR66)</f>
        <v>74348.8990281204</v>
      </c>
      <c r="Q66" s="39">
        <v>4</v>
      </c>
      <c r="R66" s="40" t="s">
        <v>71</v>
      </c>
      <c r="S66" s="40" t="s">
        <v>72</v>
      </c>
      <c r="T66" s="40" t="s">
        <v>95</v>
      </c>
      <c r="U66" s="40" t="s">
        <v>73</v>
      </c>
      <c r="V66" s="40" t="s">
        <v>81</v>
      </c>
      <c r="W66" s="40" t="s">
        <v>172</v>
      </c>
      <c r="X66" s="40" t="s">
        <v>99</v>
      </c>
      <c r="Y66" s="40" t="s">
        <v>84</v>
      </c>
      <c r="Z66" s="40" t="s">
        <v>176</v>
      </c>
      <c r="AA66" s="40" t="s">
        <v>177</v>
      </c>
      <c r="AB66" s="40" t="s">
        <v>72</v>
      </c>
      <c r="AC66" s="40" t="s">
        <v>85</v>
      </c>
      <c r="AD66" s="40" t="s">
        <v>72</v>
      </c>
      <c r="AE66" s="40" t="s">
        <v>72</v>
      </c>
      <c r="AF66" s="40" t="s">
        <v>77</v>
      </c>
      <c r="AG66" s="40" t="s">
        <v>78</v>
      </c>
      <c r="AH66" t="str">
        <f>VLOOKUP($R66,武学奇术!$A:$ZZ,25,FALSE)</f>
        <v>群体奇术</v>
      </c>
      <c r="AI66" s="26">
        <f>VLOOKUP($R66,武学奇术!$A:$ZZ,26,FALSE)</f>
        <v>1.4904</v>
      </c>
      <c r="AJ66" s="27">
        <f>VLOOKUP($R66,武学奇术!$A:$ZZ,27,FALSE)*(1+IF(OR($AH66=$F$4,$AH66=$F$5),$B$22,0))</f>
        <v>378</v>
      </c>
      <c r="AK66" s="26">
        <f>VLOOKUP($R66,武学奇术!$A:$ZZ,28,FALSE)</f>
        <v>2.2356</v>
      </c>
      <c r="AL66" s="27">
        <f>VLOOKUP($R66,武学奇术!$A:$ZZ,29,FALSE)*(1+IF(OR($AH66=$F$4,$AH66=$F$5),$B$22,0))</f>
        <v>0</v>
      </c>
      <c r="AM66" s="26" cm="1">
        <f t="array" ref="AM66">$G$3+IFERROR(VLOOKUP($AH66,$F$4:$G$7,2,FALSE),0)+VLOOKUP($R66,武学奇术!$A:$ZZ,2,FALSE)+SUM(_xlfn.XLOOKUP($S66:$AG66,增益!$A:$A,增益!$B:$B,0))</f>
        <v>0.4837</v>
      </c>
      <c r="AN66" s="26" cm="1">
        <f t="array" ref="AN66">VLOOKUP($R66,武学奇术!$A:$ZZ,5,FALSE)+SUM(_xlfn.XLOOKUP($S66:$AG66,增益!$A:$A,增益!$E:$E,0))</f>
        <v>0</v>
      </c>
      <c r="AO66" cm="1">
        <f t="array" ref="AO66">$D$10*(1+$AN66)+VLOOKUP($R66,武学奇术!$A:$ZZ,3,FALSE)+SUM(_xlfn.XLOOKUP($S66:$AG66,增益!$A:$A,增益!$C:$C,0))-$I$2</f>
        <v>3624.6</v>
      </c>
      <c r="AP66" cm="1">
        <f t="array" ref="AP66">$E$10*(1+$AN66)+VLOOKUP($R66,武学奇术!$A:$ZZ,4,FALSE)+SUM(_xlfn.XLOOKUP($S66:$AG66,增益!$A:$A,增益!$D:$D,0))-$I$2</f>
        <v>3624.6</v>
      </c>
      <c r="AQ66" s="32" cm="1">
        <f t="array" ref="AQ66">IF($F$10-$I$3+VLOOKUP($R66,武学奇术!$A:$ZZ,6,FALSE)+SUM(_xlfn.XLOOKUP(S66:AG66,增益!$A:$A,增益!$F:$F,0))&gt;0,($F$10-$I$3+VLOOKUP($R66,武学奇术!$A:$ZZ,6,FALSE)+SUM(_xlfn.XLOOKUP(S66:AG66,增益!$A:$A,增益!$F:$F,0)))/200,($F$10-$I$3+VLOOKUP($R66,武学奇术!$A:$ZZ,6,FALSE)+SUM(_xlfn.XLOOKUP(S66:AG66,增益!$A:$A,增益!$F:$F,0)))/100)</f>
        <v>0.3425</v>
      </c>
      <c r="AR66" s="32" cm="1">
        <f t="array" ref="AR66">$G$10+VLOOKUP($R66,武学奇术!$A:$ZZ,7,FALSE)+SUM(_xlfn.XLOOKUP(S66:AG66,增益!$A:$A,增益!$G:$G,0))</f>
        <v>0.028</v>
      </c>
      <c r="AS66" s="26" cm="1">
        <f t="array" ref="AS66">VLOOKUP($R66,武学奇术!$A:$ZZ,8,FALSE)+SUM(_xlfn.XLOOKUP(S66:AG66,增益!$A:$A,增益!$H:$H,0))</f>
        <v>0</v>
      </c>
      <c r="AT66">
        <f t="shared" si="24"/>
        <v>0</v>
      </c>
      <c r="AU66">
        <f t="shared" si="25"/>
        <v>0</v>
      </c>
      <c r="AV66" s="32" cm="1">
        <f t="array" ref="AV66">IF($F$11-$I$4+VLOOKUP($R66,武学奇术!$A:$ZZ,9,FALSE)+SUM(_xlfn.XLOOKUP(S66:AG66,增益!$A:$A,增益!$I:$I,0))&gt;0,($F$11-$I$4+VLOOKUP($R66,武学奇术!$A:$ZZ,9,FALSE)+SUM(_xlfn.XLOOKUP(S66:AG66,增益!$A:$A,增益!$I:$I,0)))/200,($F$11-$I$4+VLOOKUP($R66,武学奇术!$A:$ZZ,9,FALSE)+SUM(_xlfn.XLOOKUP(S66:AG66,增益!$A:$A,增益!$I:$I,0)))/100)</f>
        <v>-0.14</v>
      </c>
      <c r="AW66" s="32" cm="1">
        <f t="array" ref="AW66">$G$11+VLOOKUP($R66,武学奇术!$A:$ZZ,10,FALSE)+SUM(_xlfn.XLOOKUP(S66:AG66,增益!$A:$A,增益!$J:$J,0))</f>
        <v>0.1</v>
      </c>
      <c r="AX66">
        <f t="shared" si="26"/>
        <v>0</v>
      </c>
      <c r="AY66">
        <f t="shared" si="27"/>
        <v>0</v>
      </c>
      <c r="AZ66" s="32" cm="1">
        <f t="array" ref="AZ66">IF($F$12-$I$4+VLOOKUP($R66,武学奇术!$A:$ZZ,11,FALSE)+SUM(_xlfn.XLOOKUP(S66:AG66,增益!$A:$A,增益!$K:$K,0))&gt;0,($F$12-$I$4+VLOOKUP($R66,武学奇术!$A:$ZZ,11,FALSE)+SUM(_xlfn.XLOOKUP(S66:AG66,增益!$A:$A,增益!$K:$K,0)))/200,($F$12-$I$4+VLOOKUP($R66,武学奇术!$A:$ZZ,11,FALSE)+SUM(_xlfn.XLOOKUP(S66:AG66,增益!$A:$A,增益!$K:$K,0)))/100)</f>
        <v>-0.14</v>
      </c>
      <c r="BA66" s="32" cm="1">
        <f t="array" ref="BA66">$G$12+VLOOKUP($R66,武学奇术!$A:$ZZ,12,FALSE)+SUM(_xlfn.XLOOKUP(S66:AG66,增益!$A:$A,增益!$L:$L,0))</f>
        <v>0</v>
      </c>
      <c r="BB66">
        <f t="shared" si="28"/>
        <v>0</v>
      </c>
      <c r="BC66">
        <f t="shared" si="29"/>
        <v>0</v>
      </c>
      <c r="BD66" s="32" cm="1">
        <f t="array" ref="BD66">IF($F$13-$I$4+VLOOKUP($R66,武学奇术!$A:$ZZ,13,FALSE)+SUM(_xlfn.XLOOKUP(S66:AG66,增益!$A:$A,增益!$M:$M,0))&gt;0,($F$13-$I$4+VLOOKUP($R66,武学奇术!$A:$ZZ,13,FALSE)+SUM(_xlfn.XLOOKUP(S66:AG66,增益!$A:$A,增益!$K:$K,0)))/200,($F$13-$I$4+VLOOKUP($R66,武学奇术!$A:$ZZ,13,FALSE)+SUM(_xlfn.XLOOKUP(S66:AG66,增益!$A:$A,增益!$M:$M,0)))/100)</f>
        <v>-0.14</v>
      </c>
      <c r="BE66" s="32" cm="1">
        <f t="array" ref="BE66">$G$13+VLOOKUP($R66,武学奇术!$A:$ZZ,14,FALSE)+SUM(_xlfn.XLOOKUP(S66:AG66,增益!$A:$A,增益!$N:$N,0))</f>
        <v>0</v>
      </c>
      <c r="BF66">
        <f t="shared" si="30"/>
        <v>571.2</v>
      </c>
      <c r="BG66">
        <f t="shared" si="31"/>
        <v>1627.8</v>
      </c>
      <c r="BH66" s="32" cm="1">
        <f t="array" ref="BH66">IF($F$14-$I$4+VLOOKUP($R66,武学奇术!$A:$ZZ,15,FALSE)+SUM(_xlfn.XLOOKUP(S66:AG66,增益!$A:$A,增益!$O:$O,0))&gt;0,($F$14-$I$4+VLOOKUP($R66,武学奇术!$A:$ZZ,15,FALSE)+SUM(_xlfn.XLOOKUP(S66:AG66,增益!$A:$A,增益!$O:$O,0)))/200,($F$14-$I$4+VLOOKUP($R66,武学奇术!$A:$ZZ,15,FALSE)+SUM(_xlfn.XLOOKUP(S66:AG66,增益!$A:$A,增益!$O:$O,0)))/100)</f>
        <v>0.08</v>
      </c>
      <c r="BI66" s="32" cm="1">
        <f t="array" ref="BI66">$G$14+VLOOKUP($R66,武学奇术!$A:$ZZ,16,FALSE)+SUM(_xlfn.XLOOKUP(S66:AG66,增益!$A:$A,增益!$P:$P,0))</f>
        <v>0.15</v>
      </c>
      <c r="BJ66" s="26">
        <f>MIN(IF(VLOOKUP($R66,武学奇术!$A:$ZZ,23,FALSE)=1,100%,$B$8),100%)</f>
        <v>0.981</v>
      </c>
      <c r="BK66" s="26" cm="1">
        <f t="array" ref="BK66">IF(VLOOKUP($R66,武学奇术!$A:$ZZ,23,FALSE)=1,100%,MIN(80%,$B$9+VLOOKUP($R66,武学奇术!$A:$ZZ,17,FALSE)+SUM(_xlfn.XLOOKUP(S66:AG66,增益!$A:$A,增益!$Q:$Q,0)))+$B$11+SUM(_xlfn.XLOOKUP(S66:AG66,增益!$A:$A,增益!$U:$U,0)))*IF(VLOOKUP($R66,武学奇术!$A:$ZZ,24,FALSE)=1,0,1)</f>
        <v>0.846</v>
      </c>
      <c r="BL66" s="26" cm="1">
        <f t="array" ref="BL66">1+$B$13+VLOOKUP($R66,武学奇术!$A:$ZZ,18,FALSE)+SUM(_xlfn.XLOOKUP(S66:AG66,增益!$A:$A,增益!$R:$R,0))</f>
        <v>1.91</v>
      </c>
      <c r="BM66" s="26" cm="1">
        <f t="array" ref="BM66">IF(VLOOKUP($R66,武学奇术!$A:$ZZ,24,FALSE)=1,100%,MIN(40%,$B$10+VLOOKUP($R66,武学奇术!$A:$ZZ,19,FALSE)+SUM(_xlfn.XLOOKUP(S66:AG66,增益!$A:$A,增益!$S:$S,0)))+$B$12+SUM(_xlfn.XLOOKUP(S66:AG66,增益!$A:$A,增益!$V:$V,0)))*IF(VLOOKUP($R66,武学奇术!$A:$ZZ,23,FALSE)=1,0,1)</f>
        <v>0.0929</v>
      </c>
      <c r="BN66" s="26" cm="1">
        <f t="array" ref="BN66">1+$B$14+VLOOKUP($R66,武学奇术!$A:$ZZ,20,FALSE)+SUM(_xlfn.XLOOKUP(S66:AG66,增益!$A:$A,增益!$T:$T,0))</f>
        <v>1.35</v>
      </c>
      <c r="BO66" s="26">
        <f t="shared" si="23"/>
        <v>0.829926</v>
      </c>
      <c r="BP66" s="26">
        <f t="shared" si="18"/>
        <v>0.0599391</v>
      </c>
      <c r="BQ66" s="26">
        <f>IF(VLOOKUP($R66,武学奇术!$A:$ZZ,22,FALSE)=1,0,(1-$BJ66))*(1-$BM66)</f>
        <v>0.0172349</v>
      </c>
      <c r="BR66" s="26" cm="1">
        <f t="array" ref="BR66">SUM(_xlfn.XLOOKUP(S66:AG66,增益!$A:$A,增益!$W:$W,0))+$I$5</f>
        <v>0.31</v>
      </c>
    </row>
    <row r="67" spans="1:70">
      <c r="A67" s="4" t="s">
        <v>153</v>
      </c>
      <c r="B67" s="4">
        <v>3.5</v>
      </c>
      <c r="K67">
        <f>$L67*VLOOKUP($R67,武学奇术!$A:$ZZ,31,FALSE)</f>
        <v>66398.4990138285</v>
      </c>
      <c r="L67" s="38">
        <f t="shared" si="32"/>
        <v>63236.6657274557</v>
      </c>
      <c r="M67" s="38">
        <f>((($AO67+$AP67)/2*$AI67+$AJ67)*(1+$AQ67)*(1+$AR67)+(($AT67+$AU67)/2*IF($G$1="鸣金",$AK67,$AI67)+IF($G$1="鸣金",$AL67*1.5,0))*(1+$AV67)*(1+$AW67)+(($AX67+$AY67)/2*IF($G$1="裂石",$AK67,$AI67)+IF($G$1="裂石",$AL67*1.5,0))*(1+$AZ67)*(1+$BA67)+(($BB67+$BC67)/2*IF($G$1="牵丝",$AK67,$AI67)+IF($G$1="牵丝",$AL67*1.5,0))*(1+$BD67)*(1+$BE67)+(($BF67+$BG67)/2*IF($G$1="破竹",$AK67,$AI67)+IF($G$1="破竹",$AL67*1.5,0))*(1+$BH67)*(1+$BI67))*(1+$AM67)*$BL67*$Q67*(1+IF(VLOOKUP($R67,武学奇术!$A:$ZZ,30,FALSE)="回旋伞",$B$21,0))*(1+$BR67)</f>
        <v>67064.4357561263</v>
      </c>
      <c r="N67" s="38">
        <f>(($AP67*$AI67+$AJ67)*(1+$AQ67)*(1+$AR67)+($AU67*IF($G$1="鸣金",$AK67,$AI67)+IF($G$1="鸣金",$AL67*1.5,0))*(1+$AV67)*(1+$AW67)+($AY67*IF($G$1="裂石",$AK67,$AI67)+IF($G$1="裂石",$AL67*1.5,0))*(1+$AZ67)*(1+$BA67)+($BC67*IF($G$1="牵丝",$AK67,$AI67)+IF($G$1="牵丝",$AL67*1.5,0))*(1+$BD67)*(1+$BE67)+($BG67*IF($G$1="破竹",$AK67,$AI67)+IF($G$1="破竹",$AL67*1.5,0))*(1+$BH67)*(1+$BI67))*(1+$AM67)*$BN67*$Q67*(1+IF(VLOOKUP($R67,武学奇术!$A:$ZZ,30,FALSE)="回旋伞",$B$21,0))*(1+$BR67)</f>
        <v>53201.7315383188</v>
      </c>
      <c r="O67" s="38">
        <f>((($AO67+$AP67)/2*$AI67+$AJ67)*(1+$AQ67)*(1+$AR67)+(($AT67+$AU67)/2*IF($G$1="鸣金",$AK67,$AI67)+IF($G$1="鸣金",$AL67*1.5,0))*(1+$AV67)*(1+$AW67)+(($AX67+$AY67)/2*IF($G$1="裂石",$AK67,$AI67)+IF($G$1="裂石",$AL67*1.5,0))*(1+$AZ67)*(1+$BA67)+(($BB67+$BC67)/2*IF($G$1="牵丝",$AK67,$AI67)+IF($G$1="牵丝",$AL67*1.5,0))*(1+$BD67)*(1+$BE67)+(($BF67+$BG67)/2*IF($G$1="破竹",$AK67,$AI67)+IF($G$1="破竹",$AL67*1.5,0))*(1+$BH67)*(1+$BI67))*(1+$AM67)*$Q67*(1+IF(VLOOKUP($R67,武学奇术!$A:$ZZ,30,FALSE)="回旋伞",$B$21,0))*(1+$BR67)</f>
        <v>35112.2700293855</v>
      </c>
      <c r="P67" s="38">
        <f>((($AO67*$AI67+$AJ67)*(1+$AQ67)*(1+$AR67)+($AT67*IF($G$1="鸣金",$AK67,$AI67)+IF($G$1="鸣金",$AL67*1.5,0))*(1+$AV67)*(1+$AW67)+($AX67*IF($G$1="裂石",$AK67,$AI67)+IF($G$1="裂石",$AL67*1.5,0))*(1+$AZ67)*(1+$BA67)+($BB67*IF($G$1="牵丝",$AK67,$AI67)+IF($G$1="牵丝",$AL67*1.5,0))*(1+$BD67)*(1+$BE67)+($BF67*IF($G$1="破竹",$AK67,$AI67)+IF($G$1="破竹",$AL67*1.5,0))*(1+$BH67)*(1+$BI67))*(1+$AM67))*$Q67*(1+IF(VLOOKUP($R67,武学奇术!$A:$ZZ,30,FALSE)="回旋伞",$B$21,0))*(1+$BR67)</f>
        <v>30815.8500303867</v>
      </c>
      <c r="Q67" s="39">
        <v>1</v>
      </c>
      <c r="R67" s="40" t="s">
        <v>159</v>
      </c>
      <c r="S67" s="40" t="s">
        <v>72</v>
      </c>
      <c r="T67" s="40" t="s">
        <v>95</v>
      </c>
      <c r="U67" s="40" t="s">
        <v>73</v>
      </c>
      <c r="V67" s="40" t="s">
        <v>81</v>
      </c>
      <c r="W67" s="40" t="s">
        <v>172</v>
      </c>
      <c r="X67" s="40" t="s">
        <v>99</v>
      </c>
      <c r="Y67" s="40" t="s">
        <v>84</v>
      </c>
      <c r="Z67" s="40" t="s">
        <v>176</v>
      </c>
      <c r="AA67" s="40" t="s">
        <v>177</v>
      </c>
      <c r="AB67" s="40" t="s">
        <v>72</v>
      </c>
      <c r="AC67" s="40" t="s">
        <v>85</v>
      </c>
      <c r="AD67" s="40" t="s">
        <v>178</v>
      </c>
      <c r="AE67" s="40" t="s">
        <v>72</v>
      </c>
      <c r="AF67" s="40" t="s">
        <v>77</v>
      </c>
      <c r="AG67" s="40" t="s">
        <v>78</v>
      </c>
      <c r="AH67" t="str">
        <f>VLOOKUP($R67,武学奇术!$A:$ZZ,25,FALSE)</f>
        <v>伞</v>
      </c>
      <c r="AI67" s="26">
        <f>VLOOKUP($R67,武学奇术!$A:$ZZ,26,FALSE)</f>
        <v>2.01456</v>
      </c>
      <c r="AJ67" s="27">
        <f>VLOOKUP($R67,武学奇术!$A:$ZZ,27,FALSE)*(1+IF(OR($AH67=$F$4,$AH67=$F$5),$B$22,0))</f>
        <v>837</v>
      </c>
      <c r="AK67" s="26">
        <f>VLOOKUP($R67,武学奇术!$A:$ZZ,28,FALSE)</f>
        <v>3.02184</v>
      </c>
      <c r="AL67" s="27">
        <f>VLOOKUP($R67,武学奇术!$A:$ZZ,29,FALSE)*(1+IF(OR($AH67=$F$4,$AH67=$F$5),$B$22,0))</f>
        <v>453.6</v>
      </c>
      <c r="AM67" s="26" cm="1">
        <f t="array" ref="AM67">$G$3+IFERROR(VLOOKUP($AH67,$F$4:$G$7,2,FALSE),0)+VLOOKUP($R67,武学奇术!$A:$ZZ,2,FALSE)+SUM(_xlfn.XLOOKUP($S67:$AG67,增益!$A:$A,增益!$B:$B,0))</f>
        <v>0.6541</v>
      </c>
      <c r="AN67" s="26" cm="1">
        <f t="array" ref="AN67">VLOOKUP($R67,武学奇术!$A:$ZZ,5,FALSE)+SUM(_xlfn.XLOOKUP($S67:$AG67,增益!$A:$A,增益!$E:$E,0))</f>
        <v>0</v>
      </c>
      <c r="AO67" cm="1">
        <f t="array" ref="AO67">$D$10*(1+$AN67)+VLOOKUP($R67,武学奇术!$A:$ZZ,3,FALSE)+SUM(_xlfn.XLOOKUP($S67:$AG67,增益!$A:$A,增益!$C:$C,0))-$I$2</f>
        <v>3624.6</v>
      </c>
      <c r="AP67" cm="1">
        <f t="array" ref="AP67">$E$10*(1+$AN67)+VLOOKUP($R67,武学奇术!$A:$ZZ,4,FALSE)+SUM(_xlfn.XLOOKUP($S67:$AG67,增益!$A:$A,增益!$D:$D,0))-$I$2</f>
        <v>3624.6</v>
      </c>
      <c r="AQ67" s="32" cm="1">
        <f t="array" ref="AQ67">IF($F$10-$I$3+VLOOKUP($R67,武学奇术!$A:$ZZ,6,FALSE)+SUM(_xlfn.XLOOKUP(S67:AG67,增益!$A:$A,增益!$F:$F,0))&gt;0,($F$10-$I$3+VLOOKUP($R67,武学奇术!$A:$ZZ,6,FALSE)+SUM(_xlfn.XLOOKUP(S67:AG67,增益!$A:$A,增益!$F:$F,0)))/200,($F$10-$I$3+VLOOKUP($R67,武学奇术!$A:$ZZ,6,FALSE)+SUM(_xlfn.XLOOKUP(S67:AG67,增益!$A:$A,增益!$F:$F,0)))/100)</f>
        <v>0.3425</v>
      </c>
      <c r="AR67" s="32" cm="1">
        <f t="array" ref="AR67">$G$10+VLOOKUP($R67,武学奇术!$A:$ZZ,7,FALSE)+SUM(_xlfn.XLOOKUP(S67:AG67,增益!$A:$A,增益!$G:$G,0))</f>
        <v>0.028</v>
      </c>
      <c r="AS67" s="26" cm="1">
        <f t="array" ref="AS67">VLOOKUP($R67,武学奇术!$A:$ZZ,8,FALSE)+SUM(_xlfn.XLOOKUP(S67:AG67,增益!$A:$A,增益!$H:$H,0))</f>
        <v>0</v>
      </c>
      <c r="AT67">
        <f t="shared" si="24"/>
        <v>0</v>
      </c>
      <c r="AU67">
        <f t="shared" si="25"/>
        <v>0</v>
      </c>
      <c r="AV67" s="32" cm="1">
        <f t="array" ref="AV67">IF($F$11-$I$4+VLOOKUP($R67,武学奇术!$A:$ZZ,9,FALSE)+SUM(_xlfn.XLOOKUP(S67:AG67,增益!$A:$A,增益!$I:$I,0))&gt;0,($F$11-$I$4+VLOOKUP($R67,武学奇术!$A:$ZZ,9,FALSE)+SUM(_xlfn.XLOOKUP(S67:AG67,增益!$A:$A,增益!$I:$I,0)))/200,($F$11-$I$4+VLOOKUP($R67,武学奇术!$A:$ZZ,9,FALSE)+SUM(_xlfn.XLOOKUP(S67:AG67,增益!$A:$A,增益!$I:$I,0)))/100)</f>
        <v>-0.14</v>
      </c>
      <c r="AW67" s="32" cm="1">
        <f t="array" ref="AW67">$G$11+VLOOKUP($R67,武学奇术!$A:$ZZ,10,FALSE)+SUM(_xlfn.XLOOKUP(S67:AG67,增益!$A:$A,增益!$J:$J,0))</f>
        <v>0.1</v>
      </c>
      <c r="AX67">
        <f t="shared" si="26"/>
        <v>0</v>
      </c>
      <c r="AY67">
        <f t="shared" si="27"/>
        <v>0</v>
      </c>
      <c r="AZ67" s="32" cm="1">
        <f t="array" ref="AZ67">IF($F$12-$I$4+VLOOKUP($R67,武学奇术!$A:$ZZ,11,FALSE)+SUM(_xlfn.XLOOKUP(S67:AG67,增益!$A:$A,增益!$K:$K,0))&gt;0,($F$12-$I$4+VLOOKUP($R67,武学奇术!$A:$ZZ,11,FALSE)+SUM(_xlfn.XLOOKUP(S67:AG67,增益!$A:$A,增益!$K:$K,0)))/200,($F$12-$I$4+VLOOKUP($R67,武学奇术!$A:$ZZ,11,FALSE)+SUM(_xlfn.XLOOKUP(S67:AG67,增益!$A:$A,增益!$K:$K,0)))/100)</f>
        <v>-0.14</v>
      </c>
      <c r="BA67" s="32" cm="1">
        <f t="array" ref="BA67">$G$12+VLOOKUP($R67,武学奇术!$A:$ZZ,12,FALSE)+SUM(_xlfn.XLOOKUP(S67:AG67,增益!$A:$A,增益!$L:$L,0))</f>
        <v>0</v>
      </c>
      <c r="BB67">
        <f t="shared" si="28"/>
        <v>0</v>
      </c>
      <c r="BC67">
        <f t="shared" si="29"/>
        <v>0</v>
      </c>
      <c r="BD67" s="32" cm="1">
        <f t="array" ref="BD67">IF($F$13-$I$4+VLOOKUP($R67,武学奇术!$A:$ZZ,13,FALSE)+SUM(_xlfn.XLOOKUP(S67:AG67,增益!$A:$A,增益!$M:$M,0))&gt;0,($F$13-$I$4+VLOOKUP($R67,武学奇术!$A:$ZZ,13,FALSE)+SUM(_xlfn.XLOOKUP(S67:AG67,增益!$A:$A,增益!$K:$K,0)))/200,($F$13-$I$4+VLOOKUP($R67,武学奇术!$A:$ZZ,13,FALSE)+SUM(_xlfn.XLOOKUP(S67:AG67,增益!$A:$A,增益!$M:$M,0)))/100)</f>
        <v>-0.14</v>
      </c>
      <c r="BE67" s="32" cm="1">
        <f t="array" ref="BE67">$G$13+VLOOKUP($R67,武学奇术!$A:$ZZ,14,FALSE)+SUM(_xlfn.XLOOKUP(S67:AG67,增益!$A:$A,增益!$N:$N,0))</f>
        <v>0</v>
      </c>
      <c r="BF67">
        <f t="shared" si="30"/>
        <v>571.2</v>
      </c>
      <c r="BG67">
        <f t="shared" si="31"/>
        <v>1627.8</v>
      </c>
      <c r="BH67" s="32" cm="1">
        <f t="array" ref="BH67">IF($F$14-$I$4+VLOOKUP($R67,武学奇术!$A:$ZZ,15,FALSE)+SUM(_xlfn.XLOOKUP(S67:AG67,增益!$A:$A,增益!$O:$O,0))&gt;0,($F$14-$I$4+VLOOKUP($R67,武学奇术!$A:$ZZ,15,FALSE)+SUM(_xlfn.XLOOKUP(S67:AG67,增益!$A:$A,增益!$O:$O,0)))/200,($F$14-$I$4+VLOOKUP($R67,武学奇术!$A:$ZZ,15,FALSE)+SUM(_xlfn.XLOOKUP(S67:AG67,增益!$A:$A,增益!$O:$O,0)))/100)</f>
        <v>0.08</v>
      </c>
      <c r="BI67" s="32" cm="1">
        <f t="array" ref="BI67">$G$14+VLOOKUP($R67,武学奇术!$A:$ZZ,16,FALSE)+SUM(_xlfn.XLOOKUP(S67:AG67,增益!$A:$A,增益!$P:$P,0))</f>
        <v>0.15</v>
      </c>
      <c r="BJ67" s="26">
        <f>MIN(IF(VLOOKUP($R67,武学奇术!$A:$ZZ,23,FALSE)=1,100%,$B$8),100%)</f>
        <v>0.981</v>
      </c>
      <c r="BK67" s="26" cm="1">
        <f t="array" ref="BK67">IF(VLOOKUP($R67,武学奇术!$A:$ZZ,23,FALSE)=1,100%,MIN(80%,$B$9+VLOOKUP($R67,武学奇术!$A:$ZZ,17,FALSE)+SUM(_xlfn.XLOOKUP(S67:AG67,增益!$A:$A,增益!$Q:$Q,0)))+$B$11+SUM(_xlfn.XLOOKUP(S67:AG67,增益!$A:$A,增益!$U:$U,0)))*IF(VLOOKUP($R67,武学奇术!$A:$ZZ,24,FALSE)=1,0,1)</f>
        <v>0.846</v>
      </c>
      <c r="BL67" s="26" cm="1">
        <f t="array" ref="BL67">1+$B$13+VLOOKUP($R67,武学奇术!$A:$ZZ,18,FALSE)+SUM(_xlfn.XLOOKUP(S67:AG67,增益!$A:$A,增益!$R:$R,0))</f>
        <v>1.91</v>
      </c>
      <c r="BM67" s="26" cm="1">
        <f t="array" ref="BM67">IF(VLOOKUP($R67,武学奇术!$A:$ZZ,24,FALSE)=1,100%,MIN(40%,$B$10+VLOOKUP($R67,武学奇术!$A:$ZZ,19,FALSE)+SUM(_xlfn.XLOOKUP(S67:AG67,增益!$A:$A,增益!$S:$S,0)))+$B$12+SUM(_xlfn.XLOOKUP(S67:AG67,增益!$A:$A,增益!$V:$V,0)))*IF(VLOOKUP($R67,武学奇术!$A:$ZZ,23,FALSE)=1,0,1)</f>
        <v>0.0929</v>
      </c>
      <c r="BN67" s="26" cm="1">
        <f t="array" ref="BN67">1+$B$14+VLOOKUP($R67,武学奇术!$A:$ZZ,20,FALSE)+SUM(_xlfn.XLOOKUP(S67:AG67,增益!$A:$A,增益!$T:$T,0))</f>
        <v>1.35</v>
      </c>
      <c r="BO67" s="26">
        <f t="shared" si="23"/>
        <v>0.829926</v>
      </c>
      <c r="BP67" s="26">
        <f t="shared" ref="BP67:BP106" si="33">1-BM67-BO67-BQ67</f>
        <v>0.0599391</v>
      </c>
      <c r="BQ67" s="26">
        <f>IF(VLOOKUP($R67,武学奇术!$A:$ZZ,22,FALSE)=1,0,(1-$BJ67))*(1-$BM67)</f>
        <v>0.0172349</v>
      </c>
      <c r="BR67" s="26" cm="1">
        <f t="array" ref="BR67">SUM(_xlfn.XLOOKUP(S67:AG67,增益!$A:$A,增益!$W:$W,0))+$I$5</f>
        <v>0.31</v>
      </c>
    </row>
    <row r="68" spans="1:70">
      <c r="A68" s="4" t="s">
        <v>171</v>
      </c>
      <c r="B68" s="87">
        <v>0.1</v>
      </c>
      <c r="D68" s="39" t="s">
        <v>153</v>
      </c>
      <c r="K68">
        <f>$L68*VLOOKUP($R68,武学奇术!$A:$ZZ,31,FALSE)</f>
        <v>17505.5411799928</v>
      </c>
      <c r="L68" s="38">
        <f t="shared" si="32"/>
        <v>16671.9439809455</v>
      </c>
      <c r="M68" s="38">
        <f>((($AO68+$AP68)/2*$AI68+$AJ68)*(1+$AQ68)*(1+$AR68)+(($AT68+$AU68)/2*IF($G$1="鸣金",$AK68,$AI68)+IF($G$1="鸣金",$AL68*1.5,0))*(1+$AV68)*(1+$AW68)+(($AX68+$AY68)/2*IF($G$1="裂石",$AK68,$AI68)+IF($G$1="裂石",$AL68*1.5,0))*(1+$AZ68)*(1+$BA68)+(($BB68+$BC68)/2*IF($G$1="牵丝",$AK68,$AI68)+IF($G$1="牵丝",$AL68*1.5,0))*(1+$BD68)*(1+$BE68)+(($BF68+$BG68)/2*IF($G$1="破竹",$AK68,$AI68)+IF($G$1="破竹",$AL68*1.5,0))*(1+$BH68)*(1+$BI68))*(1+$AM68)*$BL68*$Q68*(1+IF(VLOOKUP($R68,武学奇术!$A:$ZZ,30,FALSE)="回旋伞",$B$21,0))*(1+$BR68)</f>
        <v>17662.8298102449</v>
      </c>
      <c r="N68" s="38">
        <f>(($AP68*$AI68+$AJ68)*(1+$AQ68)*(1+$AR68)+($AU68*IF($G$1="鸣金",$AK68,$AI68)+IF($G$1="鸣金",$AL68*1.5,0))*(1+$AV68)*(1+$AW68)+($AY68*IF($G$1="裂石",$AK68,$AI68)+IF($G$1="裂石",$AL68*1.5,0))*(1+$AZ68)*(1+$BA68)+($BC68*IF($G$1="牵丝",$AK68,$AI68)+IF($G$1="牵丝",$AL68*1.5,0))*(1+$BD68)*(1+$BE68)+($BG68*IF($G$1="破竹",$AK68,$AI68)+IF($G$1="破竹",$AL68*1.5,0))*(1+$BH68)*(1+$BI68))*(1+$AM68)*$BN68*$Q68*(1+IF(VLOOKUP($R68,武学奇术!$A:$ZZ,30,FALSE)="回旋伞",$B$21,0))*(1+$BR68)</f>
        <v>14226.9103654028</v>
      </c>
      <c r="O68" s="38">
        <f>((($AO68+$AP68)/2*$AI68+$AJ68)*(1+$AQ68)*(1+$AR68)+(($AT68+$AU68)/2*IF($G$1="鸣金",$AK68,$AI68)+IF($G$1="鸣金",$AL68*1.5,0))*(1+$AV68)*(1+$AW68)+(($AX68+$AY68)/2*IF($G$1="裂石",$AK68,$AI68)+IF($G$1="裂石",$AL68*1.5,0))*(1+$AZ68)*(1+$BA68)+(($BB68+$BC68)/2*IF($G$1="牵丝",$AK68,$AI68)+IF($G$1="牵丝",$AL68*1.5,0))*(1+$BD68)*(1+$BE68)+(($BF68+$BG68)/2*IF($G$1="破竹",$AK68,$AI68)+IF($G$1="破竹",$AL68*1.5,0))*(1+$BH68)*(1+$BI68))*(1+$AM68)*$Q68*(1+IF(VLOOKUP($R68,武学奇术!$A:$ZZ,30,FALSE)="回旋伞",$B$21,0))*(1+$BR68)</f>
        <v>9247.55487447378</v>
      </c>
      <c r="P68" s="38">
        <f>((($AO68*$AI68+$AJ68)*(1+$AQ68)*(1+$AR68)+($AT68*IF($G$1="鸣金",$AK68,$AI68)+IF($G$1="鸣金",$AL68*1.5,0))*(1+$AV68)*(1+$AW68)+($AX68*IF($G$1="裂石",$AK68,$AI68)+IF($G$1="裂石",$AL68*1.5,0))*(1+$AZ68)*(1+$BA68)+($BB68*IF($G$1="牵丝",$AK68,$AI68)+IF($G$1="牵丝",$AL68*1.5,0))*(1+$BD68)*(1+$BE68)+($BF68*IF($G$1="破竹",$AK68,$AI68)+IF($G$1="破竹",$AL68*1.5,0))*(1+$BH68)*(1+$BI68))*(1+$AM68))*$Q68*(1+IF(VLOOKUP($R68,武学奇术!$A:$ZZ,30,FALSE)="回旋伞",$B$21,0))*(1+$BR68)</f>
        <v>7956.657626427</v>
      </c>
      <c r="Q68" s="39">
        <v>1</v>
      </c>
      <c r="R68" s="40" t="s">
        <v>162</v>
      </c>
      <c r="S68" s="40" t="s">
        <v>72</v>
      </c>
      <c r="T68" s="40" t="s">
        <v>95</v>
      </c>
      <c r="U68" s="40" t="s">
        <v>73</v>
      </c>
      <c r="V68" s="40" t="s">
        <v>81</v>
      </c>
      <c r="W68" s="40" t="s">
        <v>172</v>
      </c>
      <c r="X68" s="40" t="s">
        <v>99</v>
      </c>
      <c r="Y68" s="40" t="s">
        <v>84</v>
      </c>
      <c r="Z68" s="40" t="s">
        <v>176</v>
      </c>
      <c r="AA68" s="40" t="s">
        <v>177</v>
      </c>
      <c r="AB68" s="40" t="s">
        <v>72</v>
      </c>
      <c r="AC68" s="40" t="s">
        <v>85</v>
      </c>
      <c r="AD68" s="40" t="s">
        <v>178</v>
      </c>
      <c r="AE68" s="40" t="s">
        <v>72</v>
      </c>
      <c r="AF68" s="40" t="s">
        <v>77</v>
      </c>
      <c r="AG68" s="40" t="s">
        <v>78</v>
      </c>
      <c r="AH68" t="str">
        <f>VLOOKUP($R68,武学奇术!$A:$ZZ,25,FALSE)</f>
        <v>伞</v>
      </c>
      <c r="AI68" s="26">
        <f>VLOOKUP($R68,武学奇术!$A:$ZZ,26,FALSE)</f>
        <v>0.54</v>
      </c>
      <c r="AJ68" s="27">
        <f>VLOOKUP($R68,武学奇术!$A:$ZZ,27,FALSE)*(1+IF(OR($AH68=$F$4,$AH68=$F$5),$B$22,0))</f>
        <v>0</v>
      </c>
      <c r="AK68" s="26">
        <f>VLOOKUP($R68,武学奇术!$A:$ZZ,28,FALSE)</f>
        <v>0.81</v>
      </c>
      <c r="AL68" s="27">
        <f>VLOOKUP($R68,武学奇术!$A:$ZZ,29,FALSE)*(1+IF(OR($AH68=$F$4,$AH68=$F$5),$B$22,0))</f>
        <v>0</v>
      </c>
      <c r="AM68" s="26" cm="1">
        <f t="array" ref="AM68">$G$3+IFERROR(VLOOKUP($AH68,$F$4:$G$7,2,FALSE),0)+VLOOKUP($R68,武学奇术!$A:$ZZ,2,FALSE)+SUM(_xlfn.XLOOKUP($S68:$AG68,增益!$A:$A,增益!$B:$B,0))</f>
        <v>0.8541</v>
      </c>
      <c r="AN68" s="26" cm="1">
        <f t="array" ref="AN68">VLOOKUP($R68,武学奇术!$A:$ZZ,5,FALSE)+SUM(_xlfn.XLOOKUP($S68:$AG68,增益!$A:$A,增益!$E:$E,0))</f>
        <v>0</v>
      </c>
      <c r="AO68" cm="1">
        <f t="array" ref="AO68">$D$10*(1+$AN68)+VLOOKUP($R68,武学奇术!$A:$ZZ,3,FALSE)+SUM(_xlfn.XLOOKUP($S68:$AG68,增益!$A:$A,增益!$C:$C,0))-$I$2</f>
        <v>3624.6</v>
      </c>
      <c r="AP68" cm="1">
        <f t="array" ref="AP68">$E$10*(1+$AN68)+VLOOKUP($R68,武学奇术!$A:$ZZ,4,FALSE)+SUM(_xlfn.XLOOKUP($S68:$AG68,增益!$A:$A,增益!$D:$D,0))-$I$2</f>
        <v>3624.6</v>
      </c>
      <c r="AQ68" s="32" cm="1">
        <f t="array" ref="AQ68">IF($F$10-$I$3+VLOOKUP($R68,武学奇术!$A:$ZZ,6,FALSE)+SUM(_xlfn.XLOOKUP(S68:AG68,增益!$A:$A,增益!$F:$F,0))&gt;0,($F$10-$I$3+VLOOKUP($R68,武学奇术!$A:$ZZ,6,FALSE)+SUM(_xlfn.XLOOKUP(S68:AG68,增益!$A:$A,增益!$F:$F,0)))/200,($F$10-$I$3+VLOOKUP($R68,武学奇术!$A:$ZZ,6,FALSE)+SUM(_xlfn.XLOOKUP(S68:AG68,增益!$A:$A,增益!$F:$F,0)))/100)</f>
        <v>0.3425</v>
      </c>
      <c r="AR68" s="32" cm="1">
        <f t="array" ref="AR68">$G$10+VLOOKUP($R68,武学奇术!$A:$ZZ,7,FALSE)+SUM(_xlfn.XLOOKUP(S68:AG68,增益!$A:$A,增益!$G:$G,0))</f>
        <v>0.028</v>
      </c>
      <c r="AS68" s="26" cm="1">
        <f t="array" ref="AS68">VLOOKUP($R68,武学奇术!$A:$ZZ,8,FALSE)+SUM(_xlfn.XLOOKUP(S68:AG68,增益!$A:$A,增益!$H:$H,0))</f>
        <v>0</v>
      </c>
      <c r="AT68">
        <f t="shared" si="24"/>
        <v>0</v>
      </c>
      <c r="AU68">
        <f t="shared" si="25"/>
        <v>0</v>
      </c>
      <c r="AV68" s="32" cm="1">
        <f t="array" ref="AV68">IF($F$11-$I$4+VLOOKUP($R68,武学奇术!$A:$ZZ,9,FALSE)+SUM(_xlfn.XLOOKUP(S68:AG68,增益!$A:$A,增益!$I:$I,0))&gt;0,($F$11-$I$4+VLOOKUP($R68,武学奇术!$A:$ZZ,9,FALSE)+SUM(_xlfn.XLOOKUP(S68:AG68,增益!$A:$A,增益!$I:$I,0)))/200,($F$11-$I$4+VLOOKUP($R68,武学奇术!$A:$ZZ,9,FALSE)+SUM(_xlfn.XLOOKUP(S68:AG68,增益!$A:$A,增益!$I:$I,0)))/100)</f>
        <v>-0.14</v>
      </c>
      <c r="AW68" s="32" cm="1">
        <f t="array" ref="AW68">$G$11+VLOOKUP($R68,武学奇术!$A:$ZZ,10,FALSE)+SUM(_xlfn.XLOOKUP(S68:AG68,增益!$A:$A,增益!$J:$J,0))</f>
        <v>0.1</v>
      </c>
      <c r="AX68">
        <f t="shared" si="26"/>
        <v>0</v>
      </c>
      <c r="AY68">
        <f t="shared" si="27"/>
        <v>0</v>
      </c>
      <c r="AZ68" s="32" cm="1">
        <f t="array" ref="AZ68">IF($F$12-$I$4+VLOOKUP($R68,武学奇术!$A:$ZZ,11,FALSE)+SUM(_xlfn.XLOOKUP(S68:AG68,增益!$A:$A,增益!$K:$K,0))&gt;0,($F$12-$I$4+VLOOKUP($R68,武学奇术!$A:$ZZ,11,FALSE)+SUM(_xlfn.XLOOKUP(S68:AG68,增益!$A:$A,增益!$K:$K,0)))/200,($F$12-$I$4+VLOOKUP($R68,武学奇术!$A:$ZZ,11,FALSE)+SUM(_xlfn.XLOOKUP(S68:AG68,增益!$A:$A,增益!$K:$K,0)))/100)</f>
        <v>-0.14</v>
      </c>
      <c r="BA68" s="32" cm="1">
        <f t="array" ref="BA68">$G$12+VLOOKUP($R68,武学奇术!$A:$ZZ,12,FALSE)+SUM(_xlfn.XLOOKUP(S68:AG68,增益!$A:$A,增益!$L:$L,0))</f>
        <v>0</v>
      </c>
      <c r="BB68">
        <f t="shared" si="28"/>
        <v>0</v>
      </c>
      <c r="BC68">
        <f t="shared" si="29"/>
        <v>0</v>
      </c>
      <c r="BD68" s="32" cm="1">
        <f t="array" ref="BD68">IF($F$13-$I$4+VLOOKUP($R68,武学奇术!$A:$ZZ,13,FALSE)+SUM(_xlfn.XLOOKUP(S68:AG68,增益!$A:$A,增益!$M:$M,0))&gt;0,($F$13-$I$4+VLOOKUP($R68,武学奇术!$A:$ZZ,13,FALSE)+SUM(_xlfn.XLOOKUP(S68:AG68,增益!$A:$A,增益!$K:$K,0)))/200,($F$13-$I$4+VLOOKUP($R68,武学奇术!$A:$ZZ,13,FALSE)+SUM(_xlfn.XLOOKUP(S68:AG68,增益!$A:$A,增益!$M:$M,0)))/100)</f>
        <v>-0.14</v>
      </c>
      <c r="BE68" s="32" cm="1">
        <f t="array" ref="BE68">$G$13+VLOOKUP($R68,武学奇术!$A:$ZZ,14,FALSE)+SUM(_xlfn.XLOOKUP(S68:AG68,增益!$A:$A,增益!$N:$N,0))</f>
        <v>0</v>
      </c>
      <c r="BF68">
        <f t="shared" si="30"/>
        <v>571.2</v>
      </c>
      <c r="BG68">
        <f t="shared" si="31"/>
        <v>1627.8</v>
      </c>
      <c r="BH68" s="32" cm="1">
        <f t="array" ref="BH68">IF($F$14-$I$4+VLOOKUP($R68,武学奇术!$A:$ZZ,15,FALSE)+SUM(_xlfn.XLOOKUP(S68:AG68,增益!$A:$A,增益!$O:$O,0))&gt;0,($F$14-$I$4+VLOOKUP($R68,武学奇术!$A:$ZZ,15,FALSE)+SUM(_xlfn.XLOOKUP(S68:AG68,增益!$A:$A,增益!$O:$O,0)))/200,($F$14-$I$4+VLOOKUP($R68,武学奇术!$A:$ZZ,15,FALSE)+SUM(_xlfn.XLOOKUP(S68:AG68,增益!$A:$A,增益!$O:$O,0)))/100)</f>
        <v>0.08</v>
      </c>
      <c r="BI68" s="32" cm="1">
        <f t="array" ref="BI68">$G$14+VLOOKUP($R68,武学奇术!$A:$ZZ,16,FALSE)+SUM(_xlfn.XLOOKUP(S68:AG68,增益!$A:$A,增益!$P:$P,0))</f>
        <v>0.15</v>
      </c>
      <c r="BJ68" s="26">
        <f>MIN(IF(VLOOKUP($R68,武学奇术!$A:$ZZ,23,FALSE)=1,100%,$B$8),100%)</f>
        <v>0.981</v>
      </c>
      <c r="BK68" s="26" cm="1">
        <f t="array" ref="BK68">IF(VLOOKUP($R68,武学奇术!$A:$ZZ,23,FALSE)=1,100%,MIN(80%,$B$9+VLOOKUP($R68,武学奇术!$A:$ZZ,17,FALSE)+SUM(_xlfn.XLOOKUP(S68:AG68,增益!$A:$A,增益!$Q:$Q,0)))+$B$11+SUM(_xlfn.XLOOKUP(S68:AG68,增益!$A:$A,增益!$U:$U,0)))*IF(VLOOKUP($R68,武学奇术!$A:$ZZ,24,FALSE)=1,0,1)</f>
        <v>0.846</v>
      </c>
      <c r="BL68" s="26" cm="1">
        <f t="array" ref="BL68">1+$B$13+VLOOKUP($R68,武学奇术!$A:$ZZ,18,FALSE)+SUM(_xlfn.XLOOKUP(S68:AG68,增益!$A:$A,增益!$R:$R,0))</f>
        <v>1.91</v>
      </c>
      <c r="BM68" s="26" cm="1">
        <f t="array" ref="BM68">IF(VLOOKUP($R68,武学奇术!$A:$ZZ,24,FALSE)=1,100%,MIN(40%,$B$10+VLOOKUP($R68,武学奇术!$A:$ZZ,19,FALSE)+SUM(_xlfn.XLOOKUP(S68:AG68,增益!$A:$A,增益!$S:$S,0)))+$B$12+SUM(_xlfn.XLOOKUP(S68:AG68,增益!$A:$A,增益!$V:$V,0)))*IF(VLOOKUP($R68,武学奇术!$A:$ZZ,23,FALSE)=1,0,1)</f>
        <v>0.0929</v>
      </c>
      <c r="BN68" s="26" cm="1">
        <f t="array" ref="BN68">1+$B$14+VLOOKUP($R68,武学奇术!$A:$ZZ,20,FALSE)+SUM(_xlfn.XLOOKUP(S68:AG68,增益!$A:$A,增益!$T:$T,0))</f>
        <v>1.35</v>
      </c>
      <c r="BO68" s="26">
        <f t="shared" si="23"/>
        <v>0.829926</v>
      </c>
      <c r="BP68" s="26">
        <f t="shared" si="33"/>
        <v>0.0599391</v>
      </c>
      <c r="BQ68" s="26">
        <f>IF(VLOOKUP($R68,武学奇术!$A:$ZZ,22,FALSE)=1,0,(1-$BJ68))*(1-$BM68)</f>
        <v>0.0172349</v>
      </c>
      <c r="BR68" s="26" cm="1">
        <f t="array" ref="BR68">SUM(_xlfn.XLOOKUP(S68:AG68,增益!$A:$A,增益!$W:$W,0))+$I$5</f>
        <v>0.31</v>
      </c>
    </row>
    <row r="69" spans="1:70">
      <c r="A69" s="4" t="s">
        <v>166</v>
      </c>
      <c r="B69" s="4">
        <v>1</v>
      </c>
      <c r="D69" s="39"/>
      <c r="E69"/>
      <c r="K69">
        <f>$L69*VLOOKUP($R69,武学奇术!$A:$ZZ,31,FALSE)</f>
        <v>98141.2445305064</v>
      </c>
      <c r="L69" s="38">
        <f t="shared" si="32"/>
        <v>93467.8519338156</v>
      </c>
      <c r="M69" s="38">
        <f>((($AO69+$AP69)/2*$AI69+$AJ69)*(1+$AQ69)*(1+$AR69)+(($AT69+$AU69)/2*IF($G$1="鸣金",$AK69,$AI69)+IF($G$1="鸣金",$AL69*1.5,0))*(1+$AV69)*(1+$AW69)+(($AX69+$AY69)/2*IF($G$1="裂石",$AK69,$AI69)+IF($G$1="裂石",$AL69*1.5,0))*(1+$AZ69)*(1+$BA69)+(($BB69+$BC69)/2*IF($G$1="牵丝",$AK69,$AI69)+IF($G$1="牵丝",$AL69*1.5,0))*(1+$BD69)*(1+$BE69)+(($BF69+$BG69)/2*IF($G$1="破竹",$AK69,$AI69)+IF($G$1="破竹",$AL69*1.5,0))*(1+$BH69)*(1+$BI69))*(1+$AM69)*$BL69*$Q69*(1+IF(VLOOKUP($R69,武学奇术!$A:$ZZ,30,FALSE)="回旋伞",$B$21,0))*(1+$BR69)</f>
        <v>99131.1443317655</v>
      </c>
      <c r="N69" s="38">
        <f>(($AP69*$AI69+$AJ69)*(1+$AQ69)*(1+$AR69)+($AU69*IF($G$1="鸣金",$AK69,$AI69)+IF($G$1="鸣金",$AL69*1.5,0))*(1+$AV69)*(1+$AW69)+($AY69*IF($G$1="裂石",$AK69,$AI69)+IF($G$1="裂石",$AL69*1.5,0))*(1+$AZ69)*(1+$BA69)+($BC69*IF($G$1="牵丝",$AK69,$AI69)+IF($G$1="牵丝",$AL69*1.5,0))*(1+$BD69)*(1+$BE69)+($BG69*IF($G$1="破竹",$AK69,$AI69)+IF($G$1="破竹",$AL69*1.5,0))*(1+$BH69)*(1+$BI69))*(1+$AM69)*$BN69*$Q69*(1+IF(VLOOKUP($R69,武学奇术!$A:$ZZ,30,FALSE)="回旋伞",$B$21,0))*(1+$BR69)</f>
        <v>78574.0946905506</v>
      </c>
      <c r="O69" s="38">
        <f>((($AO69+$AP69)/2*$AI69+$AJ69)*(1+$AQ69)*(1+$AR69)+(($AT69+$AU69)/2*IF($G$1="鸣金",$AK69,$AI69)+IF($G$1="鸣金",$AL69*1.5,0))*(1+$AV69)*(1+$AW69)+(($AX69+$AY69)/2*IF($G$1="裂石",$AK69,$AI69)+IF($G$1="裂石",$AL69*1.5,0))*(1+$AZ69)*(1+$BA69)+(($BB69+$BC69)/2*IF($G$1="牵丝",$AK69,$AI69)+IF($G$1="牵丝",$AL69*1.5,0))*(1+$BD69)*(1+$BE69)+(($BF69+$BG69)/2*IF($G$1="破竹",$AK69,$AI69)+IF($G$1="破竹",$AL69*1.5,0))*(1+$BH69)*(1+$BI69))*(1+$AM69)*$Q69*(1+IF(VLOOKUP($R69,武学奇术!$A:$ZZ,30,FALSE)="回旋伞",$B$21,0))*(1+$BR69)</f>
        <v>51901.1226867882</v>
      </c>
      <c r="P69" s="38">
        <f>((($AO69*$AI69+$AJ69)*(1+$AQ69)*(1+$AR69)+($AT69*IF($G$1="鸣金",$AK69,$AI69)+IF($G$1="鸣金",$AL69*1.5,0))*(1+$AV69)*(1+$AW69)+($AX69*IF($G$1="裂石",$AK69,$AI69)+IF($G$1="裂石",$AL69*1.5,0))*(1+$AZ69)*(1+$BA69)+($BB69*IF($G$1="牵丝",$AK69,$AI69)+IF($G$1="牵丝",$AL69*1.5,0))*(1+$BD69)*(1+$BE69)+($BF69*IF($G$1="破竹",$AK69,$AI69)+IF($G$1="破竹",$AL69*1.5,0))*(1+$BH69)*(1+$BI69))*(1+$AM69))*$Q69*(1+IF(VLOOKUP($R69,武学奇术!$A:$ZZ,30,FALSE)="回旋伞",$B$21,0))*(1+$BR69)</f>
        <v>45599.2122694649</v>
      </c>
      <c r="Q69" s="39">
        <v>1</v>
      </c>
      <c r="R69" s="40" t="s">
        <v>108</v>
      </c>
      <c r="S69" s="40" t="s">
        <v>109</v>
      </c>
      <c r="T69" s="40" t="s">
        <v>95</v>
      </c>
      <c r="U69" s="40" t="s">
        <v>73</v>
      </c>
      <c r="V69" s="40" t="s">
        <v>81</v>
      </c>
      <c r="W69" s="40" t="s">
        <v>172</v>
      </c>
      <c r="X69" s="40" t="s">
        <v>99</v>
      </c>
      <c r="Y69" s="40" t="s">
        <v>84</v>
      </c>
      <c r="Z69" s="40" t="s">
        <v>176</v>
      </c>
      <c r="AA69" s="40" t="s">
        <v>177</v>
      </c>
      <c r="AB69" s="40" t="s">
        <v>72</v>
      </c>
      <c r="AC69" s="40" t="s">
        <v>85</v>
      </c>
      <c r="AD69" s="40" t="s">
        <v>178</v>
      </c>
      <c r="AE69" s="40" t="s">
        <v>72</v>
      </c>
      <c r="AF69" s="40" t="s">
        <v>77</v>
      </c>
      <c r="AG69" s="40" t="s">
        <v>78</v>
      </c>
      <c r="AH69" t="str">
        <f>VLOOKUP($R69,武学奇术!$A:$ZZ,25,FALSE)</f>
        <v>伞</v>
      </c>
      <c r="AI69" s="26">
        <f>VLOOKUP($R69,武学奇术!$A:$ZZ,26,FALSE)</f>
        <v>1.8084</v>
      </c>
      <c r="AJ69" s="27">
        <f>VLOOKUP($R69,武学奇术!$A:$ZZ,27,FALSE)*(1+IF(OR($AH69=$F$4,$AH69=$F$5),$B$22,0))</f>
        <v>750</v>
      </c>
      <c r="AK69" s="26">
        <f>VLOOKUP($R69,武学奇术!$A:$ZZ,28,FALSE)</f>
        <v>2.7126</v>
      </c>
      <c r="AL69" s="27">
        <f>VLOOKUP($R69,武学奇术!$A:$ZZ,29,FALSE)*(1+IF(OR($AH69=$F$4,$AH69=$F$5),$B$22,0))</f>
        <v>408</v>
      </c>
      <c r="AM69" s="26" cm="1">
        <f t="array" ref="AM69">$G$3+IFERROR(VLOOKUP($AH69,$F$4:$G$7,2,FALSE),0)+VLOOKUP($R69,武学奇术!$A:$ZZ,2,FALSE)+SUM(_xlfn.XLOOKUP($S69:$AG69,增益!$A:$A,增益!$B:$B,0))</f>
        <v>0.8541</v>
      </c>
      <c r="AN69" s="26" cm="1">
        <f t="array" ref="AN69">VLOOKUP($R69,武学奇术!$A:$ZZ,5,FALSE)+SUM(_xlfn.XLOOKUP($S69:$AG69,增益!$A:$A,增益!$E:$E,0))</f>
        <v>0</v>
      </c>
      <c r="AO69" cm="1">
        <f t="array" ref="AO69">$D$10*(1+$AN69)+VLOOKUP($R69,武学奇术!$A:$ZZ,3,FALSE)+SUM(_xlfn.XLOOKUP($S69:$AG69,增益!$A:$A,增益!$C:$C,0))-$I$2</f>
        <v>3624.6</v>
      </c>
      <c r="AP69" cm="1">
        <f t="array" ref="AP69">$E$10*(1+$AN69)+VLOOKUP($R69,武学奇术!$A:$ZZ,4,FALSE)+SUM(_xlfn.XLOOKUP($S69:$AG69,增益!$A:$A,增益!$D:$D,0))-$I$2</f>
        <v>3624.6</v>
      </c>
      <c r="AQ69" s="32" cm="1">
        <f t="array" ref="AQ69">IF($F$10-$I$3+VLOOKUP($R69,武学奇术!$A:$ZZ,6,FALSE)+SUM(_xlfn.XLOOKUP(S69:AG69,增益!$A:$A,增益!$F:$F,0))&gt;0,($F$10-$I$3+VLOOKUP($R69,武学奇术!$A:$ZZ,6,FALSE)+SUM(_xlfn.XLOOKUP(S69:AG69,增益!$A:$A,增益!$F:$F,0)))/200,($F$10-$I$3+VLOOKUP($R69,武学奇术!$A:$ZZ,6,FALSE)+SUM(_xlfn.XLOOKUP(S69:AG69,增益!$A:$A,增益!$F:$F,0)))/100)</f>
        <v>0.3425</v>
      </c>
      <c r="AR69" s="32" cm="1">
        <f t="array" ref="AR69">$G$10+VLOOKUP($R69,武学奇术!$A:$ZZ,7,FALSE)+SUM(_xlfn.XLOOKUP(S69:AG69,增益!$A:$A,增益!$G:$G,0))</f>
        <v>0.148</v>
      </c>
      <c r="AS69" s="26" cm="1">
        <f t="array" ref="AS69">VLOOKUP($R69,武学奇术!$A:$ZZ,8,FALSE)+SUM(_xlfn.XLOOKUP(S69:AG69,增益!$A:$A,增益!$H:$H,0))</f>
        <v>0</v>
      </c>
      <c r="AT69">
        <f t="shared" si="24"/>
        <v>0</v>
      </c>
      <c r="AU69">
        <f t="shared" si="25"/>
        <v>0</v>
      </c>
      <c r="AV69" s="32" cm="1">
        <f t="array" ref="AV69">IF($F$11-$I$4+VLOOKUP($R69,武学奇术!$A:$ZZ,9,FALSE)+SUM(_xlfn.XLOOKUP(S69:AG69,增益!$A:$A,增益!$I:$I,0))&gt;0,($F$11-$I$4+VLOOKUP($R69,武学奇术!$A:$ZZ,9,FALSE)+SUM(_xlfn.XLOOKUP(S69:AG69,增益!$A:$A,增益!$I:$I,0)))/200,($F$11-$I$4+VLOOKUP($R69,武学奇术!$A:$ZZ,9,FALSE)+SUM(_xlfn.XLOOKUP(S69:AG69,增益!$A:$A,增益!$I:$I,0)))/100)</f>
        <v>-0.14</v>
      </c>
      <c r="AW69" s="32" cm="1">
        <f t="array" ref="AW69">$G$11+VLOOKUP($R69,武学奇术!$A:$ZZ,10,FALSE)+SUM(_xlfn.XLOOKUP(S69:AG69,增益!$A:$A,增益!$J:$J,0))</f>
        <v>0.1</v>
      </c>
      <c r="AX69">
        <f t="shared" si="26"/>
        <v>0</v>
      </c>
      <c r="AY69">
        <f t="shared" si="27"/>
        <v>0</v>
      </c>
      <c r="AZ69" s="32" cm="1">
        <f t="array" ref="AZ69">IF($F$12-$I$4+VLOOKUP($R69,武学奇术!$A:$ZZ,11,FALSE)+SUM(_xlfn.XLOOKUP(S69:AG69,增益!$A:$A,增益!$K:$K,0))&gt;0,($F$12-$I$4+VLOOKUP($R69,武学奇术!$A:$ZZ,11,FALSE)+SUM(_xlfn.XLOOKUP(S69:AG69,增益!$A:$A,增益!$K:$K,0)))/200,($F$12-$I$4+VLOOKUP($R69,武学奇术!$A:$ZZ,11,FALSE)+SUM(_xlfn.XLOOKUP(S69:AG69,增益!$A:$A,增益!$K:$K,0)))/100)</f>
        <v>-0.14</v>
      </c>
      <c r="BA69" s="32" cm="1">
        <f t="array" ref="BA69">$G$12+VLOOKUP($R69,武学奇术!$A:$ZZ,12,FALSE)+SUM(_xlfn.XLOOKUP(S69:AG69,增益!$A:$A,增益!$L:$L,0))</f>
        <v>0</v>
      </c>
      <c r="BB69">
        <f t="shared" si="28"/>
        <v>0</v>
      </c>
      <c r="BC69">
        <f t="shared" si="29"/>
        <v>0</v>
      </c>
      <c r="BD69" s="32" cm="1">
        <f t="array" ref="BD69">IF($F$13-$I$4+VLOOKUP($R69,武学奇术!$A:$ZZ,13,FALSE)+SUM(_xlfn.XLOOKUP(S69:AG69,增益!$A:$A,增益!$M:$M,0))&gt;0,($F$13-$I$4+VLOOKUP($R69,武学奇术!$A:$ZZ,13,FALSE)+SUM(_xlfn.XLOOKUP(S69:AG69,增益!$A:$A,增益!$K:$K,0)))/200,($F$13-$I$4+VLOOKUP($R69,武学奇术!$A:$ZZ,13,FALSE)+SUM(_xlfn.XLOOKUP(S69:AG69,增益!$A:$A,增益!$M:$M,0)))/100)</f>
        <v>-0.14</v>
      </c>
      <c r="BE69" s="32" cm="1">
        <f t="array" ref="BE69">$G$13+VLOOKUP($R69,武学奇术!$A:$ZZ,14,FALSE)+SUM(_xlfn.XLOOKUP(S69:AG69,增益!$A:$A,增益!$N:$N,0))</f>
        <v>0</v>
      </c>
      <c r="BF69">
        <f t="shared" si="30"/>
        <v>571.2</v>
      </c>
      <c r="BG69">
        <f t="shared" si="31"/>
        <v>1627.8</v>
      </c>
      <c r="BH69" s="32" cm="1">
        <f t="array" ref="BH69">IF($F$14-$I$4+VLOOKUP($R69,武学奇术!$A:$ZZ,15,FALSE)+SUM(_xlfn.XLOOKUP(S69:AG69,增益!$A:$A,增益!$O:$O,0))&gt;0,($F$14-$I$4+VLOOKUP($R69,武学奇术!$A:$ZZ,15,FALSE)+SUM(_xlfn.XLOOKUP(S69:AG69,增益!$A:$A,增益!$O:$O,0)))/200,($F$14-$I$4+VLOOKUP($R69,武学奇术!$A:$ZZ,15,FALSE)+SUM(_xlfn.XLOOKUP(S69:AG69,增益!$A:$A,增益!$O:$O,0)))/100)</f>
        <v>0.08</v>
      </c>
      <c r="BI69" s="32" cm="1">
        <f t="array" ref="BI69">$G$14+VLOOKUP($R69,武学奇术!$A:$ZZ,16,FALSE)+SUM(_xlfn.XLOOKUP(S69:AG69,增益!$A:$A,增益!$P:$P,0))</f>
        <v>0.27</v>
      </c>
      <c r="BJ69" s="26">
        <f>MIN(IF(VLOOKUP($R69,武学奇术!$A:$ZZ,23,FALSE)=1,100%,$B$8),100%)</f>
        <v>0.981</v>
      </c>
      <c r="BK69" s="26" cm="1">
        <f t="array" ref="BK69">IF(VLOOKUP($R69,武学奇术!$A:$ZZ,23,FALSE)=1,100%,MIN(80%,$B$9+VLOOKUP($R69,武学奇术!$A:$ZZ,17,FALSE)+SUM(_xlfn.XLOOKUP(S69:AG69,增益!$A:$A,增益!$Q:$Q,0)))+$B$11+SUM(_xlfn.XLOOKUP(S69:AG69,增益!$A:$A,增益!$U:$U,0)))*IF(VLOOKUP($R69,武学奇术!$A:$ZZ,24,FALSE)=1,0,1)</f>
        <v>0.846</v>
      </c>
      <c r="BL69" s="26" cm="1">
        <f t="array" ref="BL69">1+$B$13+VLOOKUP($R69,武学奇术!$A:$ZZ,18,FALSE)+SUM(_xlfn.XLOOKUP(S69:AG69,增益!$A:$A,增益!$R:$R,0))</f>
        <v>1.91</v>
      </c>
      <c r="BM69" s="26" cm="1">
        <f t="array" ref="BM69">IF(VLOOKUP($R69,武学奇术!$A:$ZZ,24,FALSE)=1,100%,MIN(40%,$B$10+VLOOKUP($R69,武学奇术!$A:$ZZ,19,FALSE)+SUM(_xlfn.XLOOKUP(S69:AG69,增益!$A:$A,增益!$S:$S,0)))+$B$12+SUM(_xlfn.XLOOKUP(S69:AG69,增益!$A:$A,增益!$V:$V,0)))*IF(VLOOKUP($R69,武学奇术!$A:$ZZ,23,FALSE)=1,0,1)</f>
        <v>0.0929</v>
      </c>
      <c r="BN69" s="26" cm="1">
        <f t="array" ref="BN69">1+$B$14+VLOOKUP($R69,武学奇术!$A:$ZZ,20,FALSE)+SUM(_xlfn.XLOOKUP(S69:AG69,增益!$A:$A,增益!$T:$T,0))</f>
        <v>1.35</v>
      </c>
      <c r="BO69" s="26">
        <f t="shared" si="23"/>
        <v>0.829926</v>
      </c>
      <c r="BP69" s="26">
        <f t="shared" si="33"/>
        <v>0.0599391</v>
      </c>
      <c r="BQ69" s="26">
        <f>IF(VLOOKUP($R69,武学奇术!$A:$ZZ,22,FALSE)=1,0,(1-$BJ69))*(1-$BM69)</f>
        <v>0.0172349</v>
      </c>
      <c r="BR69" s="26" cm="1">
        <f t="array" ref="BR69">SUM(_xlfn.XLOOKUP(S69:AG69,增益!$A:$A,增益!$W:$W,0))+$I$5</f>
        <v>0.31</v>
      </c>
    </row>
    <row r="70" spans="1:70">
      <c r="A70" s="4" t="s">
        <v>171</v>
      </c>
      <c r="B70" s="87">
        <v>0.1</v>
      </c>
      <c r="D70" s="39"/>
      <c r="E70"/>
      <c r="K70">
        <f>$L70*VLOOKUP($R70,武学奇术!$A:$ZZ,31,FALSE)</f>
        <v>56988.4106773541</v>
      </c>
      <c r="L70" s="38">
        <f t="shared" si="32"/>
        <v>54274.6768355753</v>
      </c>
      <c r="M70" s="38">
        <f>((($AO70+$AP70)/2*$AI70+$AJ70)*(1+$AQ70)*(1+$AR70)+(($AT70+$AU70)/2*IF($G$1="鸣金",$AK70,$AI70)+IF($G$1="鸣金",$AL70*1.5,0))*(1+$AV70)*(1+$AW70)+(($AX70+$AY70)/2*IF($G$1="裂石",$AK70,$AI70)+IF($G$1="裂石",$AL70*1.5,0))*(1+$AZ70)*(1+$BA70)+(($BB70+$BC70)/2*IF($G$1="牵丝",$AK70,$AI70)+IF($G$1="牵丝",$AL70*1.5,0))*(1+$BD70)*(1+$BE70)+(($BF70+$BG70)/2*IF($G$1="破竹",$AK70,$AI70)+IF($G$1="破竹",$AL70*1.5,0))*(1+$BH70)*(1+$BI70))*(1+$AM70)*$BL70*$Q70*(1+IF(VLOOKUP($R70,武学奇术!$A:$ZZ,30,FALSE)="回旋伞",$B$21,0))*(1+$BR70)</f>
        <v>57504.2577631367</v>
      </c>
      <c r="N70" s="38">
        <f>(($AP70*$AI70+$AJ70)*(1+$AQ70)*(1+$AR70)+($AU70*IF($G$1="鸣金",$AK70,$AI70)+IF($G$1="鸣金",$AL70*1.5,0))*(1+$AV70)*(1+$AW70)+($AY70*IF($G$1="裂石",$AK70,$AI70)+IF($G$1="裂石",$AL70*1.5,0))*(1+$AZ70)*(1+$BA70)+($BC70*IF($G$1="牵丝",$AK70,$AI70)+IF($G$1="牵丝",$AL70*1.5,0))*(1+$BD70)*(1+$BE70)+($BG70*IF($G$1="破竹",$AK70,$AI70)+IF($G$1="破竹",$AL70*1.5,0))*(1+$BH70)*(1+$BI70))*(1+$AM70)*$BN70*$Q70*(1+IF(VLOOKUP($R70,武学奇术!$A:$ZZ,30,FALSE)="回旋伞",$B$21,0))*(1+$BR70)</f>
        <v>46273.2725668503</v>
      </c>
      <c r="O70" s="38">
        <f>((($AO70+$AP70)/2*$AI70+$AJ70)*(1+$AQ70)*(1+$AR70)+(($AT70+$AU70)/2*IF($G$1="鸣金",$AK70,$AI70)+IF($G$1="鸣金",$AL70*1.5,0))*(1+$AV70)*(1+$AW70)+(($AX70+$AY70)/2*IF($G$1="裂石",$AK70,$AI70)+IF($G$1="裂石",$AL70*1.5,0))*(1+$AZ70)*(1+$BA70)+(($BB70+$BC70)/2*IF($G$1="牵丝",$AK70,$AI70)+IF($G$1="牵丝",$AL70*1.5,0))*(1+$BD70)*(1+$BE70)+(($BF70+$BG70)/2*IF($G$1="破竹",$AK70,$AI70)+IF($G$1="破竹",$AL70*1.5,0))*(1+$BH70)*(1+$BI70))*(1+$AM70)*$Q70*(1+IF(VLOOKUP($R70,武学奇术!$A:$ZZ,30,FALSE)="回旋伞",$B$21,0))*(1+$BR70)</f>
        <v>30106.9412372443</v>
      </c>
      <c r="P70" s="38">
        <f>((($AO70*$AI70+$AJ70)*(1+$AQ70)*(1+$AR70)+($AT70*IF($G$1="鸣金",$AK70,$AI70)+IF($G$1="鸣金",$AL70*1.5,0))*(1+$AV70)*(1+$AW70)+($AX70*IF($G$1="裂石",$AK70,$AI70)+IF($G$1="裂石",$AL70*1.5,0))*(1+$AZ70)*(1+$BA70)+($BB70*IF($G$1="牵丝",$AK70,$AI70)+IF($G$1="牵丝",$AL70*1.5,0))*(1+$BD70)*(1+$BE70)+($BF70*IF($G$1="破竹",$AK70,$AI70)+IF($G$1="破竹",$AL70*1.5,0))*(1+$BH70)*(1+$BI70))*(1+$AM70))*$Q70*(1+IF(VLOOKUP($R70,武学奇术!$A:$ZZ,30,FALSE)="回旋伞",$B$21,0))*(1+$BR70)</f>
        <v>25937.3842768218</v>
      </c>
      <c r="Q70" s="39">
        <v>2</v>
      </c>
      <c r="R70" s="40" t="s">
        <v>112</v>
      </c>
      <c r="S70" s="40" t="s">
        <v>109</v>
      </c>
      <c r="T70" s="40" t="s">
        <v>95</v>
      </c>
      <c r="U70" s="40" t="s">
        <v>73</v>
      </c>
      <c r="V70" s="40" t="s">
        <v>81</v>
      </c>
      <c r="W70" s="40" t="s">
        <v>172</v>
      </c>
      <c r="X70" s="40" t="s">
        <v>99</v>
      </c>
      <c r="Y70" s="40" t="s">
        <v>84</v>
      </c>
      <c r="Z70" s="40" t="s">
        <v>176</v>
      </c>
      <c r="AA70" s="40" t="s">
        <v>177</v>
      </c>
      <c r="AB70" s="40" t="s">
        <v>72</v>
      </c>
      <c r="AC70" s="40" t="s">
        <v>85</v>
      </c>
      <c r="AD70" s="40" t="s">
        <v>178</v>
      </c>
      <c r="AE70" s="40" t="s">
        <v>72</v>
      </c>
      <c r="AF70" s="40" t="s">
        <v>77</v>
      </c>
      <c r="AG70" s="40" t="s">
        <v>78</v>
      </c>
      <c r="AH70" t="str">
        <f>VLOOKUP($R70,武学奇术!$A:$ZZ,25,FALSE)</f>
        <v>伞</v>
      </c>
      <c r="AI70" s="26">
        <f>VLOOKUP($R70,武学奇术!$A:$ZZ,26,FALSE)</f>
        <v>0.54</v>
      </c>
      <c r="AJ70" s="27">
        <f>VLOOKUP($R70,武学奇术!$A:$ZZ,27,FALSE)*(1+IF(OR($AH70=$F$4,$AH70=$F$5),$B$22,0))</f>
        <v>0</v>
      </c>
      <c r="AK70" s="26">
        <f>VLOOKUP($R70,武学奇术!$A:$ZZ,28,FALSE)</f>
        <v>0.81</v>
      </c>
      <c r="AL70" s="27">
        <f>VLOOKUP($R70,武学奇术!$A:$ZZ,29,FALSE)*(1+IF(OR($AH70=$F$4,$AH70=$F$5),$B$22,0))</f>
        <v>0</v>
      </c>
      <c r="AM70" s="26" cm="1">
        <f t="array" ref="AM70">$G$3+IFERROR(VLOOKUP($AH70,$F$4:$G$7,2,FALSE),0)+VLOOKUP($R70,武学奇术!$A:$ZZ,2,FALSE)+SUM(_xlfn.XLOOKUP($S70:$AG70,增益!$A:$A,增益!$B:$B,0))</f>
        <v>1.0541</v>
      </c>
      <c r="AN70" s="26" cm="1">
        <f t="array" ref="AN70">VLOOKUP($R70,武学奇术!$A:$ZZ,5,FALSE)+SUM(_xlfn.XLOOKUP($S70:$AG70,增益!$A:$A,增益!$E:$E,0))</f>
        <v>0</v>
      </c>
      <c r="AO70" cm="1">
        <f t="array" ref="AO70">$D$10*(1+$AN70)+VLOOKUP($R70,武学奇术!$A:$ZZ,3,FALSE)+SUM(_xlfn.XLOOKUP($S70:$AG70,增益!$A:$A,增益!$C:$C,0))-$I$2</f>
        <v>3624.6</v>
      </c>
      <c r="AP70" cm="1">
        <f t="array" ref="AP70">$E$10*(1+$AN70)+VLOOKUP($R70,武学奇术!$A:$ZZ,4,FALSE)+SUM(_xlfn.XLOOKUP($S70:$AG70,增益!$A:$A,增益!$D:$D,0))-$I$2</f>
        <v>3624.6</v>
      </c>
      <c r="AQ70" s="32" cm="1">
        <f t="array" ref="AQ70">IF($F$10-$I$3+VLOOKUP($R70,武学奇术!$A:$ZZ,6,FALSE)+SUM(_xlfn.XLOOKUP(S70:AG70,增益!$A:$A,增益!$F:$F,0))&gt;0,($F$10-$I$3+VLOOKUP($R70,武学奇术!$A:$ZZ,6,FALSE)+SUM(_xlfn.XLOOKUP(S70:AG70,增益!$A:$A,增益!$F:$F,0)))/200,($F$10-$I$3+VLOOKUP($R70,武学奇术!$A:$ZZ,6,FALSE)+SUM(_xlfn.XLOOKUP(S70:AG70,增益!$A:$A,增益!$F:$F,0)))/100)</f>
        <v>0.3425</v>
      </c>
      <c r="AR70" s="32" cm="1">
        <f t="array" ref="AR70">$G$10+VLOOKUP($R70,武学奇术!$A:$ZZ,7,FALSE)+SUM(_xlfn.XLOOKUP(S70:AG70,增益!$A:$A,增益!$G:$G,0))</f>
        <v>0.148</v>
      </c>
      <c r="AS70" s="26" cm="1">
        <f t="array" ref="AS70">VLOOKUP($R70,武学奇术!$A:$ZZ,8,FALSE)+SUM(_xlfn.XLOOKUP(S70:AG70,增益!$A:$A,增益!$H:$H,0))</f>
        <v>0</v>
      </c>
      <c r="AT70">
        <f t="shared" si="24"/>
        <v>0</v>
      </c>
      <c r="AU70">
        <f t="shared" si="25"/>
        <v>0</v>
      </c>
      <c r="AV70" s="32" cm="1">
        <f t="array" ref="AV70">IF($F$11-$I$4+VLOOKUP($R70,武学奇术!$A:$ZZ,9,FALSE)+SUM(_xlfn.XLOOKUP(S70:AG70,增益!$A:$A,增益!$I:$I,0))&gt;0,($F$11-$I$4+VLOOKUP($R70,武学奇术!$A:$ZZ,9,FALSE)+SUM(_xlfn.XLOOKUP(S70:AG70,增益!$A:$A,增益!$I:$I,0)))/200,($F$11-$I$4+VLOOKUP($R70,武学奇术!$A:$ZZ,9,FALSE)+SUM(_xlfn.XLOOKUP(S70:AG70,增益!$A:$A,增益!$I:$I,0)))/100)</f>
        <v>-0.14</v>
      </c>
      <c r="AW70" s="32" cm="1">
        <f t="array" ref="AW70">$G$11+VLOOKUP($R70,武学奇术!$A:$ZZ,10,FALSE)+SUM(_xlfn.XLOOKUP(S70:AG70,增益!$A:$A,增益!$J:$J,0))</f>
        <v>0.1</v>
      </c>
      <c r="AX70">
        <f t="shared" si="26"/>
        <v>0</v>
      </c>
      <c r="AY70">
        <f t="shared" si="27"/>
        <v>0</v>
      </c>
      <c r="AZ70" s="32" cm="1">
        <f t="array" ref="AZ70">IF($F$12-$I$4+VLOOKUP($R70,武学奇术!$A:$ZZ,11,FALSE)+SUM(_xlfn.XLOOKUP(S70:AG70,增益!$A:$A,增益!$K:$K,0))&gt;0,($F$12-$I$4+VLOOKUP($R70,武学奇术!$A:$ZZ,11,FALSE)+SUM(_xlfn.XLOOKUP(S70:AG70,增益!$A:$A,增益!$K:$K,0)))/200,($F$12-$I$4+VLOOKUP($R70,武学奇术!$A:$ZZ,11,FALSE)+SUM(_xlfn.XLOOKUP(S70:AG70,增益!$A:$A,增益!$K:$K,0)))/100)</f>
        <v>-0.14</v>
      </c>
      <c r="BA70" s="32" cm="1">
        <f t="array" ref="BA70">$G$12+VLOOKUP($R70,武学奇术!$A:$ZZ,12,FALSE)+SUM(_xlfn.XLOOKUP(S70:AG70,增益!$A:$A,增益!$L:$L,0))</f>
        <v>0</v>
      </c>
      <c r="BB70">
        <f t="shared" si="28"/>
        <v>0</v>
      </c>
      <c r="BC70">
        <f t="shared" si="29"/>
        <v>0</v>
      </c>
      <c r="BD70" s="32" cm="1">
        <f t="array" ref="BD70">IF($F$13-$I$4+VLOOKUP($R70,武学奇术!$A:$ZZ,13,FALSE)+SUM(_xlfn.XLOOKUP(S70:AG70,增益!$A:$A,增益!$M:$M,0))&gt;0,($F$13-$I$4+VLOOKUP($R70,武学奇术!$A:$ZZ,13,FALSE)+SUM(_xlfn.XLOOKUP(S70:AG70,增益!$A:$A,增益!$K:$K,0)))/200,($F$13-$I$4+VLOOKUP($R70,武学奇术!$A:$ZZ,13,FALSE)+SUM(_xlfn.XLOOKUP(S70:AG70,增益!$A:$A,增益!$M:$M,0)))/100)</f>
        <v>-0.14</v>
      </c>
      <c r="BE70" s="32" cm="1">
        <f t="array" ref="BE70">$G$13+VLOOKUP($R70,武学奇术!$A:$ZZ,14,FALSE)+SUM(_xlfn.XLOOKUP(S70:AG70,增益!$A:$A,增益!$N:$N,0))</f>
        <v>0</v>
      </c>
      <c r="BF70">
        <f t="shared" si="30"/>
        <v>571.2</v>
      </c>
      <c r="BG70">
        <f t="shared" si="31"/>
        <v>1627.8</v>
      </c>
      <c r="BH70" s="32" cm="1">
        <f t="array" ref="BH70">IF($F$14-$I$4+VLOOKUP($R70,武学奇术!$A:$ZZ,15,FALSE)+SUM(_xlfn.XLOOKUP(S70:AG70,增益!$A:$A,增益!$O:$O,0))&gt;0,($F$14-$I$4+VLOOKUP($R70,武学奇术!$A:$ZZ,15,FALSE)+SUM(_xlfn.XLOOKUP(S70:AG70,增益!$A:$A,增益!$O:$O,0)))/200,($F$14-$I$4+VLOOKUP($R70,武学奇术!$A:$ZZ,15,FALSE)+SUM(_xlfn.XLOOKUP(S70:AG70,增益!$A:$A,增益!$O:$O,0)))/100)</f>
        <v>0.08</v>
      </c>
      <c r="BI70" s="32" cm="1">
        <f t="array" ref="BI70">$G$14+VLOOKUP($R70,武学奇术!$A:$ZZ,16,FALSE)+SUM(_xlfn.XLOOKUP(S70:AG70,增益!$A:$A,增益!$P:$P,0))</f>
        <v>0.27</v>
      </c>
      <c r="BJ70" s="26">
        <f>MIN(IF(VLOOKUP($R70,武学奇术!$A:$ZZ,23,FALSE)=1,100%,$B$8),100%)</f>
        <v>0.981</v>
      </c>
      <c r="BK70" s="26" cm="1">
        <f t="array" ref="BK70">IF(VLOOKUP($R70,武学奇术!$A:$ZZ,23,FALSE)=1,100%,MIN(80%,$B$9+VLOOKUP($R70,武学奇术!$A:$ZZ,17,FALSE)+SUM(_xlfn.XLOOKUP(S70:AG70,增益!$A:$A,增益!$Q:$Q,0)))+$B$11+SUM(_xlfn.XLOOKUP(S70:AG70,增益!$A:$A,增益!$U:$U,0)))*IF(VLOOKUP($R70,武学奇术!$A:$ZZ,24,FALSE)=1,0,1)</f>
        <v>0.846</v>
      </c>
      <c r="BL70" s="26" cm="1">
        <f t="array" ref="BL70">1+$B$13+VLOOKUP($R70,武学奇术!$A:$ZZ,18,FALSE)+SUM(_xlfn.XLOOKUP(S70:AG70,增益!$A:$A,增益!$R:$R,0))</f>
        <v>1.91</v>
      </c>
      <c r="BM70" s="26" cm="1">
        <f t="array" ref="BM70">IF(VLOOKUP($R70,武学奇术!$A:$ZZ,24,FALSE)=1,100%,MIN(40%,$B$10+VLOOKUP($R70,武学奇术!$A:$ZZ,19,FALSE)+SUM(_xlfn.XLOOKUP(S70:AG70,增益!$A:$A,增益!$S:$S,0)))+$B$12+SUM(_xlfn.XLOOKUP(S70:AG70,增益!$A:$A,增益!$V:$V,0)))*IF(VLOOKUP($R70,武学奇术!$A:$ZZ,23,FALSE)=1,0,1)</f>
        <v>0.0929</v>
      </c>
      <c r="BN70" s="26" cm="1">
        <f t="array" ref="BN70">1+$B$14+VLOOKUP($R70,武学奇术!$A:$ZZ,20,FALSE)+SUM(_xlfn.XLOOKUP(S70:AG70,增益!$A:$A,增益!$T:$T,0))</f>
        <v>1.35</v>
      </c>
      <c r="BO70" s="26">
        <f t="shared" si="23"/>
        <v>0.829926</v>
      </c>
      <c r="BP70" s="26">
        <f t="shared" si="33"/>
        <v>0.0599391</v>
      </c>
      <c r="BQ70" s="26">
        <f>IF(VLOOKUP($R70,武学奇术!$A:$ZZ,22,FALSE)=1,0,(1-$BJ70))*(1-$BM70)</f>
        <v>0.0172349</v>
      </c>
      <c r="BR70" s="26" cm="1">
        <f t="array" ref="BR70">SUM(_xlfn.XLOOKUP(S70:AG70,增益!$A:$A,增益!$W:$W,0))+$I$5</f>
        <v>0.31</v>
      </c>
    </row>
    <row r="71" spans="1:70">
      <c r="A71" s="4" t="s">
        <v>170</v>
      </c>
      <c r="B71" s="4">
        <v>1.3</v>
      </c>
      <c r="C71" s="39" t="s">
        <v>179</v>
      </c>
      <c r="D71" s="39"/>
      <c r="E71"/>
      <c r="F71" s="39" t="s">
        <v>157</v>
      </c>
      <c r="K71">
        <f>$L71*VLOOKUP($R71,武学奇术!$A:$ZZ,31,FALSE)</f>
        <v>100854.912272765</v>
      </c>
      <c r="L71" s="38">
        <f>($M71*$BO71+$N71*$BM71+$O71*$BP71+$P71*$BQ71)</f>
        <v>96052.2974026329</v>
      </c>
      <c r="M71" s="38">
        <f>((($AO71+$AP71)/2*$AI71+$AJ71)*(1+$AQ71)*(1+$AR71)+(($AT71+$AU71)/2*IF($G$1="鸣金",$AK71,$AI71)+IF($G$1="鸣金",$AL71*1.5,0))*(1+$AV71)*(1+$AW71)+(($AX71+$AY71)/2*IF($G$1="裂石",$AK71,$AI71)+IF($G$1="裂石",$AL71*1.5,0))*(1+$AZ71)*(1+$BA71)+(($BB71+$BC71)/2*IF($G$1="牵丝",$AK71,$AI71)+IF($G$1="牵丝",$AL71*1.5,0))*(1+$BD71)*(1+$BE71)+(($BF71+$BG71)/2*IF($G$1="破竹",$AK71,$AI71)+IF($G$1="破竹",$AL71*1.5,0))*(1+$BH71)*(1+$BI71))*(1+$AM71)*$BL71*$Q71*(1+IF(VLOOKUP($R71,武学奇术!$A:$ZZ,30,FALSE)="回旋伞",$B$21,0))*(1+$BR71)</f>
        <v>102245.211692973</v>
      </c>
      <c r="N71" s="38">
        <f>(($AP71*$AI71+$AJ71)*(1+$AQ71)*(1+$AR71)+($AU71*IF($G$1="鸣金",$AK71,$AI71)+IF($G$1="鸣金",$AL71*1.5,0))*(1+$AV71)*(1+$AW71)+($AY71*IF($G$1="裂石",$AK71,$AI71)+IF($G$1="裂石",$AL71*1.5,0))*(1+$AZ71)*(1+$BA71)+($BC71*IF($G$1="牵丝",$AK71,$AI71)+IF($G$1="牵丝",$AL71*1.5,0))*(1+$BD71)*(1+$BE71)+($BG71*IF($G$1="破竹",$AK71,$AI71)+IF($G$1="破竹",$AL71*1.5,0))*(1+$BH71)*(1+$BI71))*(1+$AM71)*$BN71*$Q71*(1+IF(VLOOKUP($R71,武学奇术!$A:$ZZ,30,FALSE)="回旋伞",$B$21,0))*(1+$BR71)</f>
        <v>78574.0946905506</v>
      </c>
      <c r="O71" s="38">
        <f>((($AO71+$AP71)/2*$AI71+$AJ71)*(1+$AQ71)*(1+$AR71)+(($AT71+$AU71)/2*IF($G$1="鸣金",$AK71,$AI71)+IF($G$1="鸣金",$AL71*1.5,0))*(1+$AV71)*(1+$AW71)+(($AX71+$AY71)/2*IF($G$1="裂石",$AK71,$AI71)+IF($G$1="裂石",$AL71*1.5,0))*(1+$AZ71)*(1+$BA71)+(($BB71+$BC71)/2*IF($G$1="牵丝",$AK71,$AI71)+IF($G$1="牵丝",$AL71*1.5,0))*(1+$BD71)*(1+$BE71)+(($BF71+$BG71)/2*IF($G$1="破竹",$AK71,$AI71)+IF($G$1="破竹",$AL71*1.5,0))*(1+$BH71)*(1+$BI71))*(1+$AM71)*$Q71*(1+IF(VLOOKUP($R71,武学奇术!$A:$ZZ,30,FALSE)="回旋伞",$B$21,0))*(1+$BR71)</f>
        <v>51901.1226867882</v>
      </c>
      <c r="P71" s="38">
        <f>((($AO71*$AI71+$AJ71)*(1+$AQ71)*(1+$AR71)+($AT71*IF($G$1="鸣金",$AK71,$AI71)+IF($G$1="鸣金",$AL71*1.5,0))*(1+$AV71)*(1+$AW71)+($AX71*IF($G$1="裂石",$AK71,$AI71)+IF($G$1="裂石",$AL71*1.5,0))*(1+$AZ71)*(1+$BA71)+($BB71*IF($G$1="牵丝",$AK71,$AI71)+IF($G$1="牵丝",$AL71*1.5,0))*(1+$BD71)*(1+$BE71)+($BF71*IF($G$1="破竹",$AK71,$AI71)+IF($G$1="破竹",$AL71*1.5,0))*(1+$BH71)*(1+$BI71))*(1+$AM71))*$Q71*(1+IF(VLOOKUP($R71,武学奇术!$A:$ZZ,30,FALSE)="回旋伞",$B$21,0))*(1+$BR71)</f>
        <v>45599.2122694649</v>
      </c>
      <c r="Q71" s="39">
        <v>1</v>
      </c>
      <c r="R71" s="40" t="s">
        <v>108</v>
      </c>
      <c r="S71" s="40" t="s">
        <v>109</v>
      </c>
      <c r="T71" s="40" t="s">
        <v>95</v>
      </c>
      <c r="U71" s="40" t="s">
        <v>73</v>
      </c>
      <c r="V71" s="40" t="s">
        <v>81</v>
      </c>
      <c r="W71" s="40" t="s">
        <v>172</v>
      </c>
      <c r="X71" s="40" t="s">
        <v>99</v>
      </c>
      <c r="Y71" s="40" t="s">
        <v>84</v>
      </c>
      <c r="Z71" s="40" t="s">
        <v>176</v>
      </c>
      <c r="AA71" s="40" t="s">
        <v>177</v>
      </c>
      <c r="AB71" s="40" t="s">
        <v>115</v>
      </c>
      <c r="AC71" s="40" t="s">
        <v>91</v>
      </c>
      <c r="AD71" s="40" t="s">
        <v>178</v>
      </c>
      <c r="AE71" s="40" t="s">
        <v>72</v>
      </c>
      <c r="AF71" s="40" t="s">
        <v>77</v>
      </c>
      <c r="AG71" s="40" t="s">
        <v>78</v>
      </c>
      <c r="AH71" t="str">
        <f>VLOOKUP($R71,武学奇术!$A:$ZZ,25,FALSE)</f>
        <v>伞</v>
      </c>
      <c r="AI71" s="26">
        <f>VLOOKUP($R71,武学奇术!$A:$ZZ,26,FALSE)</f>
        <v>1.8084</v>
      </c>
      <c r="AJ71" s="27">
        <f>VLOOKUP($R71,武学奇术!$A:$ZZ,27,FALSE)*(1+IF(OR($AH71=$F$4,$AH71=$F$5),$B$22,0))</f>
        <v>750</v>
      </c>
      <c r="AK71" s="26">
        <f>VLOOKUP($R71,武学奇术!$A:$ZZ,28,FALSE)</f>
        <v>2.7126</v>
      </c>
      <c r="AL71" s="27">
        <f>VLOOKUP($R71,武学奇术!$A:$ZZ,29,FALSE)*(1+IF(OR($AH71=$F$4,$AH71=$F$5),$B$22,0))</f>
        <v>408</v>
      </c>
      <c r="AM71" s="26" cm="1">
        <f t="array" ref="AM71">$G$3+IFERROR(VLOOKUP($AH71,$F$4:$G$7,2,FALSE),0)+VLOOKUP($R71,武学奇术!$A:$ZZ,2,FALSE)+SUM(_xlfn.XLOOKUP($S71:$AG71,增益!$A:$A,增益!$B:$B,0))</f>
        <v>0.8541</v>
      </c>
      <c r="AN71" s="26" cm="1">
        <f t="array" ref="AN71">VLOOKUP($R71,武学奇术!$A:$ZZ,5,FALSE)+SUM(_xlfn.XLOOKUP($S71:$AG71,增益!$A:$A,增益!$E:$E,0))</f>
        <v>0</v>
      </c>
      <c r="AO71" cm="1">
        <f t="array" ref="AO71">$D$10*(1+$AN71)+VLOOKUP($R71,武学奇术!$A:$ZZ,3,FALSE)+SUM(_xlfn.XLOOKUP($S71:$AG71,增益!$A:$A,增益!$C:$C,0))-$I$2</f>
        <v>3624.6</v>
      </c>
      <c r="AP71" cm="1">
        <f t="array" ref="AP71">$E$10*(1+$AN71)+VLOOKUP($R71,武学奇术!$A:$ZZ,4,FALSE)+SUM(_xlfn.XLOOKUP($S71:$AG71,增益!$A:$A,增益!$D:$D,0))-$I$2</f>
        <v>3624.6</v>
      </c>
      <c r="AQ71" s="32" cm="1">
        <f t="array" ref="AQ71">IF($F$10-$I$3+VLOOKUP($R71,武学奇术!$A:$ZZ,6,FALSE)+SUM(_xlfn.XLOOKUP(S71:AG71,增益!$A:$A,增益!$F:$F,0))&gt;0,($F$10-$I$3+VLOOKUP($R71,武学奇术!$A:$ZZ,6,FALSE)+SUM(_xlfn.XLOOKUP(S71:AG71,增益!$A:$A,增益!$F:$F,0)))/200,($F$10-$I$3+VLOOKUP($R71,武学奇术!$A:$ZZ,6,FALSE)+SUM(_xlfn.XLOOKUP(S71:AG71,增益!$A:$A,增益!$F:$F,0)))/100)</f>
        <v>0.3425</v>
      </c>
      <c r="AR71" s="32" cm="1">
        <f t="array" ref="AR71">$G$10+VLOOKUP($R71,武学奇术!$A:$ZZ,7,FALSE)+SUM(_xlfn.XLOOKUP(S71:AG71,增益!$A:$A,增益!$G:$G,0))</f>
        <v>0.148</v>
      </c>
      <c r="AS71" s="26" cm="1">
        <f t="array" ref="AS71">VLOOKUP($R71,武学奇术!$A:$ZZ,8,FALSE)+SUM(_xlfn.XLOOKUP(S71:AG71,增益!$A:$A,增益!$H:$H,0))</f>
        <v>0</v>
      </c>
      <c r="AT71">
        <f t="shared" si="24"/>
        <v>0</v>
      </c>
      <c r="AU71">
        <f t="shared" si="25"/>
        <v>0</v>
      </c>
      <c r="AV71" s="32" cm="1">
        <f t="array" ref="AV71">IF($F$11-$I$4+VLOOKUP($R71,武学奇术!$A:$ZZ,9,FALSE)+SUM(_xlfn.XLOOKUP(S71:AG71,增益!$A:$A,增益!$I:$I,0))&gt;0,($F$11-$I$4+VLOOKUP($R71,武学奇术!$A:$ZZ,9,FALSE)+SUM(_xlfn.XLOOKUP(S71:AG71,增益!$A:$A,增益!$I:$I,0)))/200,($F$11-$I$4+VLOOKUP($R71,武学奇术!$A:$ZZ,9,FALSE)+SUM(_xlfn.XLOOKUP(S71:AG71,增益!$A:$A,增益!$I:$I,0)))/100)</f>
        <v>-0.14</v>
      </c>
      <c r="AW71" s="32" cm="1">
        <f t="array" ref="AW71">$G$11+VLOOKUP($R71,武学奇术!$A:$ZZ,10,FALSE)+SUM(_xlfn.XLOOKUP(S71:AG71,增益!$A:$A,增益!$J:$J,0))</f>
        <v>0.1</v>
      </c>
      <c r="AX71">
        <f t="shared" si="26"/>
        <v>0</v>
      </c>
      <c r="AY71">
        <f t="shared" si="27"/>
        <v>0</v>
      </c>
      <c r="AZ71" s="32" cm="1">
        <f t="array" ref="AZ71">IF($F$12-$I$4+VLOOKUP($R71,武学奇术!$A:$ZZ,11,FALSE)+SUM(_xlfn.XLOOKUP(S71:AG71,增益!$A:$A,增益!$K:$K,0))&gt;0,($F$12-$I$4+VLOOKUP($R71,武学奇术!$A:$ZZ,11,FALSE)+SUM(_xlfn.XLOOKUP(S71:AG71,增益!$A:$A,增益!$K:$K,0)))/200,($F$12-$I$4+VLOOKUP($R71,武学奇术!$A:$ZZ,11,FALSE)+SUM(_xlfn.XLOOKUP(S71:AG71,增益!$A:$A,增益!$K:$K,0)))/100)</f>
        <v>-0.14</v>
      </c>
      <c r="BA71" s="32" cm="1">
        <f t="array" ref="BA71">$G$12+VLOOKUP($R71,武学奇术!$A:$ZZ,12,FALSE)+SUM(_xlfn.XLOOKUP(S71:AG71,增益!$A:$A,增益!$L:$L,0))</f>
        <v>0</v>
      </c>
      <c r="BB71">
        <f t="shared" si="28"/>
        <v>0</v>
      </c>
      <c r="BC71">
        <f t="shared" si="29"/>
        <v>0</v>
      </c>
      <c r="BD71" s="32" cm="1">
        <f t="array" ref="BD71">IF($F$13-$I$4+VLOOKUP($R71,武学奇术!$A:$ZZ,13,FALSE)+SUM(_xlfn.XLOOKUP(S71:AG71,增益!$A:$A,增益!$M:$M,0))&gt;0,($F$13-$I$4+VLOOKUP($R71,武学奇术!$A:$ZZ,13,FALSE)+SUM(_xlfn.XLOOKUP(S71:AG71,增益!$A:$A,增益!$K:$K,0)))/200,($F$13-$I$4+VLOOKUP($R71,武学奇术!$A:$ZZ,13,FALSE)+SUM(_xlfn.XLOOKUP(S71:AG71,增益!$A:$A,增益!$M:$M,0)))/100)</f>
        <v>-0.14</v>
      </c>
      <c r="BE71" s="32" cm="1">
        <f t="array" ref="BE71">$G$13+VLOOKUP($R71,武学奇术!$A:$ZZ,14,FALSE)+SUM(_xlfn.XLOOKUP(S71:AG71,增益!$A:$A,增益!$N:$N,0))</f>
        <v>0</v>
      </c>
      <c r="BF71">
        <f t="shared" si="30"/>
        <v>571.2</v>
      </c>
      <c r="BG71">
        <f t="shared" si="31"/>
        <v>1627.8</v>
      </c>
      <c r="BH71" s="32" cm="1">
        <f t="array" ref="BH71">IF($F$14-$I$4+VLOOKUP($R71,武学奇术!$A:$ZZ,15,FALSE)+SUM(_xlfn.XLOOKUP(S71:AG71,增益!$A:$A,增益!$O:$O,0))&gt;0,($F$14-$I$4+VLOOKUP($R71,武学奇术!$A:$ZZ,15,FALSE)+SUM(_xlfn.XLOOKUP(S71:AG71,增益!$A:$A,增益!$O:$O,0)))/200,($F$14-$I$4+VLOOKUP($R71,武学奇术!$A:$ZZ,15,FALSE)+SUM(_xlfn.XLOOKUP(S71:AG71,增益!$A:$A,增益!$O:$O,0)))/100)</f>
        <v>0.08</v>
      </c>
      <c r="BI71" s="32" cm="1">
        <f t="array" ref="BI71">$G$14+VLOOKUP($R71,武学奇术!$A:$ZZ,16,FALSE)+SUM(_xlfn.XLOOKUP(S71:AG71,增益!$A:$A,增益!$P:$P,0))</f>
        <v>0.27</v>
      </c>
      <c r="BJ71" s="26">
        <f>MIN(IF(VLOOKUP($R71,武学奇术!$A:$ZZ,23,FALSE)=1,100%,$B$8),100%)</f>
        <v>0.981</v>
      </c>
      <c r="BK71" s="26" cm="1">
        <f t="array" ref="BK71">IF(VLOOKUP($R71,武学奇术!$A:$ZZ,23,FALSE)=1,100%,MIN(80%,$B$9+VLOOKUP($R71,武学奇术!$A:$ZZ,17,FALSE)+SUM(_xlfn.XLOOKUP(S71:AG71,增益!$A:$A,增益!$Q:$Q,0)))+$B$11+SUM(_xlfn.XLOOKUP(S71:AG71,增益!$A:$A,增益!$U:$U,0)))*IF(VLOOKUP($R71,武学奇术!$A:$ZZ,24,FALSE)=1,0,1)</f>
        <v>0.846</v>
      </c>
      <c r="BL71" s="26" cm="1">
        <f t="array" ref="BL71">1+$B$13+VLOOKUP($R71,武学奇术!$A:$ZZ,18,FALSE)+SUM(_xlfn.XLOOKUP(S71:AG71,增益!$A:$A,增益!$R:$R,0))</f>
        <v>1.97</v>
      </c>
      <c r="BM71" s="26" cm="1">
        <f t="array" ref="BM71">IF(VLOOKUP($R71,武学奇术!$A:$ZZ,24,FALSE)=1,100%,MIN(40%,$B$10+VLOOKUP($R71,武学奇术!$A:$ZZ,19,FALSE)+SUM(_xlfn.XLOOKUP(S71:AG71,增益!$A:$A,增益!$S:$S,0)))+$B$12+SUM(_xlfn.XLOOKUP(S71:AG71,增益!$A:$A,增益!$V:$V,0)))*IF(VLOOKUP($R71,武学奇术!$A:$ZZ,23,FALSE)=1,0,1)</f>
        <v>0.0929</v>
      </c>
      <c r="BN71" s="26" cm="1">
        <f t="array" ref="BN71">1+$B$14+VLOOKUP($R71,武学奇术!$A:$ZZ,20,FALSE)+SUM(_xlfn.XLOOKUP(S71:AG71,增益!$A:$A,增益!$T:$T,0))</f>
        <v>1.35</v>
      </c>
      <c r="BO71" s="26">
        <f t="shared" si="23"/>
        <v>0.829926</v>
      </c>
      <c r="BP71" s="26">
        <f t="shared" si="33"/>
        <v>0.0599391</v>
      </c>
      <c r="BQ71" s="26">
        <f>IF(VLOOKUP($R71,武学奇术!$A:$ZZ,22,FALSE)=1,0,(1-$BJ71))*(1-$BM71)</f>
        <v>0.0172349</v>
      </c>
      <c r="BR71" s="26" cm="1">
        <f t="array" ref="BR71">SUM(_xlfn.XLOOKUP(S71:AG71,增益!$A:$A,增益!$W:$W,0))+$I$5</f>
        <v>0.31</v>
      </c>
    </row>
    <row r="72" spans="1:70">
      <c r="A72" s="4" t="s">
        <v>173</v>
      </c>
      <c r="B72" s="4">
        <v>0.3</v>
      </c>
      <c r="C72" s="39"/>
      <c r="D72" s="39"/>
      <c r="E72"/>
      <c r="F72" s="39"/>
      <c r="G72"/>
      <c r="K72">
        <f>$L72*VLOOKUP($R72,武学奇术!$A:$ZZ,31,FALSE)</f>
        <v>58562.5622760895</v>
      </c>
      <c r="L72" s="38">
        <f>($M72*$BO72+$N72*$BM72+$O72*$BP72+$P72*$BQ72)</f>
        <v>55773.868834371</v>
      </c>
      <c r="M72" s="38">
        <f>((($AO72+$AP72)/2*$AI72+$AJ72)*(1+$AQ72)*(1+$AR72)+(($AT72+$AU72)/2*IF($G$1="鸣金",$AK72,$AI72)+IF($G$1="鸣金",$AL72*1.5,0))*(1+$AV72)*(1+$AW72)+(($AX72+$AY72)/2*IF($G$1="裂石",$AK72,$AI72)+IF($G$1="裂石",$AL72*1.5,0))*(1+$AZ72)*(1+$BA72)+(($BB72+$BC72)/2*IF($G$1="牵丝",$AK72,$AI72)+IF($G$1="牵丝",$AL72*1.5,0))*(1+$BD72)*(1+$BE72)+(($BF72+$BG72)/2*IF($G$1="破竹",$AK72,$AI72)+IF($G$1="破竹",$AL72*1.5,0))*(1+$BH72)*(1+$BI72))*(1+$AM72)*$BL72*$Q72*(1+IF(VLOOKUP($R72,武学奇术!$A:$ZZ,30,FALSE)="回旋伞",$B$21,0))*(1+$BR72)</f>
        <v>59310.6742373713</v>
      </c>
      <c r="N72" s="38">
        <f>(($AP72*$AI72+$AJ72)*(1+$AQ72)*(1+$AR72)+($AU72*IF($G$1="鸣金",$AK72,$AI72)+IF($G$1="鸣金",$AL72*1.5,0))*(1+$AV72)*(1+$AW72)+($AY72*IF($G$1="裂石",$AK72,$AI72)+IF($G$1="裂石",$AL72*1.5,0))*(1+$AZ72)*(1+$BA72)+($BC72*IF($G$1="牵丝",$AK72,$AI72)+IF($G$1="牵丝",$AL72*1.5,0))*(1+$BD72)*(1+$BE72)+($BG72*IF($G$1="破竹",$AK72,$AI72)+IF($G$1="破竹",$AL72*1.5,0))*(1+$BH72)*(1+$BI72))*(1+$AM72)*$BN72*$Q72*(1+IF(VLOOKUP($R72,武学奇术!$A:$ZZ,30,FALSE)="回旋伞",$B$21,0))*(1+$BR72)</f>
        <v>46273.2725668503</v>
      </c>
      <c r="O72" s="38">
        <f>((($AO72+$AP72)/2*$AI72+$AJ72)*(1+$AQ72)*(1+$AR72)+(($AT72+$AU72)/2*IF($G$1="鸣金",$AK72,$AI72)+IF($G$1="鸣金",$AL72*1.5,0))*(1+$AV72)*(1+$AW72)+(($AX72+$AY72)/2*IF($G$1="裂石",$AK72,$AI72)+IF($G$1="裂石",$AL72*1.5,0))*(1+$AZ72)*(1+$BA72)+(($BB72+$BC72)/2*IF($G$1="牵丝",$AK72,$AI72)+IF($G$1="牵丝",$AL72*1.5,0))*(1+$BD72)*(1+$BE72)+(($BF72+$BG72)/2*IF($G$1="破竹",$AK72,$AI72)+IF($G$1="破竹",$AL72*1.5,0))*(1+$BH72)*(1+$BI72))*(1+$AM72)*$Q72*(1+IF(VLOOKUP($R72,武学奇术!$A:$ZZ,30,FALSE)="回旋伞",$B$21,0))*(1+$BR72)</f>
        <v>30106.9412372443</v>
      </c>
      <c r="P72" s="38">
        <f>((($AO72*$AI72+$AJ72)*(1+$AQ72)*(1+$AR72)+($AT72*IF($G$1="鸣金",$AK72,$AI72)+IF($G$1="鸣金",$AL72*1.5,0))*(1+$AV72)*(1+$AW72)+($AX72*IF($G$1="裂石",$AK72,$AI72)+IF($G$1="裂石",$AL72*1.5,0))*(1+$AZ72)*(1+$BA72)+($BB72*IF($G$1="牵丝",$AK72,$AI72)+IF($G$1="牵丝",$AL72*1.5,0))*(1+$BD72)*(1+$BE72)+($BF72*IF($G$1="破竹",$AK72,$AI72)+IF($G$1="破竹",$AL72*1.5,0))*(1+$BH72)*(1+$BI72))*(1+$AM72))*$Q72*(1+IF(VLOOKUP($R72,武学奇术!$A:$ZZ,30,FALSE)="回旋伞",$B$21,0))*(1+$BR72)</f>
        <v>25937.3842768218</v>
      </c>
      <c r="Q72" s="39">
        <v>2</v>
      </c>
      <c r="R72" s="40" t="s">
        <v>112</v>
      </c>
      <c r="S72" s="40" t="s">
        <v>109</v>
      </c>
      <c r="T72" s="40" t="s">
        <v>95</v>
      </c>
      <c r="U72" s="40" t="s">
        <v>73</v>
      </c>
      <c r="V72" s="40" t="s">
        <v>81</v>
      </c>
      <c r="W72" s="40" t="s">
        <v>172</v>
      </c>
      <c r="X72" s="40" t="s">
        <v>99</v>
      </c>
      <c r="Y72" s="40" t="s">
        <v>84</v>
      </c>
      <c r="Z72" s="40" t="s">
        <v>176</v>
      </c>
      <c r="AA72" s="40" t="s">
        <v>177</v>
      </c>
      <c r="AB72" s="40" t="s">
        <v>115</v>
      </c>
      <c r="AC72" s="40" t="s">
        <v>91</v>
      </c>
      <c r="AD72" s="40" t="s">
        <v>178</v>
      </c>
      <c r="AE72" s="40" t="s">
        <v>72</v>
      </c>
      <c r="AF72" s="40" t="s">
        <v>77</v>
      </c>
      <c r="AG72" s="40" t="s">
        <v>78</v>
      </c>
      <c r="AH72" t="str">
        <f>VLOOKUP($R72,武学奇术!$A:$ZZ,25,FALSE)</f>
        <v>伞</v>
      </c>
      <c r="AI72" s="26">
        <f>VLOOKUP($R72,武学奇术!$A:$ZZ,26,FALSE)</f>
        <v>0.54</v>
      </c>
      <c r="AJ72" s="27">
        <f>VLOOKUP($R72,武学奇术!$A:$ZZ,27,FALSE)*(1+IF(OR($AH72=$F$4,$AH72=$F$5),$B$22,0))</f>
        <v>0</v>
      </c>
      <c r="AK72" s="26">
        <f>VLOOKUP($R72,武学奇术!$A:$ZZ,28,FALSE)</f>
        <v>0.81</v>
      </c>
      <c r="AL72" s="27">
        <f>VLOOKUP($R72,武学奇术!$A:$ZZ,29,FALSE)*(1+IF(OR($AH72=$F$4,$AH72=$F$5),$B$22,0))</f>
        <v>0</v>
      </c>
      <c r="AM72" s="26" cm="1">
        <f t="array" ref="AM72">$G$3+IFERROR(VLOOKUP($AH72,$F$4:$G$7,2,FALSE),0)+VLOOKUP($R72,武学奇术!$A:$ZZ,2,FALSE)+SUM(_xlfn.XLOOKUP($S72:$AG72,增益!$A:$A,增益!$B:$B,0))</f>
        <v>1.0541</v>
      </c>
      <c r="AN72" s="26" cm="1">
        <f t="array" ref="AN72">VLOOKUP($R72,武学奇术!$A:$ZZ,5,FALSE)+SUM(_xlfn.XLOOKUP($S72:$AG72,增益!$A:$A,增益!$E:$E,0))</f>
        <v>0</v>
      </c>
      <c r="AO72" cm="1">
        <f t="array" ref="AO72">$D$10*(1+$AN72)+VLOOKUP($R72,武学奇术!$A:$ZZ,3,FALSE)+SUM(_xlfn.XLOOKUP($S72:$AG72,增益!$A:$A,增益!$C:$C,0))-$I$2</f>
        <v>3624.6</v>
      </c>
      <c r="AP72" cm="1">
        <f t="array" ref="AP72">$E$10*(1+$AN72)+VLOOKUP($R72,武学奇术!$A:$ZZ,4,FALSE)+SUM(_xlfn.XLOOKUP($S72:$AG72,增益!$A:$A,增益!$D:$D,0))-$I$2</f>
        <v>3624.6</v>
      </c>
      <c r="AQ72" s="32" cm="1">
        <f t="array" ref="AQ72">IF($F$10-$I$3+VLOOKUP($R72,武学奇术!$A:$ZZ,6,FALSE)+SUM(_xlfn.XLOOKUP(S72:AG72,增益!$A:$A,增益!$F:$F,0))&gt;0,($F$10-$I$3+VLOOKUP($R72,武学奇术!$A:$ZZ,6,FALSE)+SUM(_xlfn.XLOOKUP(S72:AG72,增益!$A:$A,增益!$F:$F,0)))/200,($F$10-$I$3+VLOOKUP($R72,武学奇术!$A:$ZZ,6,FALSE)+SUM(_xlfn.XLOOKUP(S72:AG72,增益!$A:$A,增益!$F:$F,0)))/100)</f>
        <v>0.3425</v>
      </c>
      <c r="AR72" s="32" cm="1">
        <f t="array" ref="AR72">$G$10+VLOOKUP($R72,武学奇术!$A:$ZZ,7,FALSE)+SUM(_xlfn.XLOOKUP(S72:AG72,增益!$A:$A,增益!$G:$G,0))</f>
        <v>0.148</v>
      </c>
      <c r="AS72" s="26" cm="1">
        <f t="array" ref="AS72">VLOOKUP($R72,武学奇术!$A:$ZZ,8,FALSE)+SUM(_xlfn.XLOOKUP(S72:AG72,增益!$A:$A,增益!$H:$H,0))</f>
        <v>0</v>
      </c>
      <c r="AT72">
        <f t="shared" si="24"/>
        <v>0</v>
      </c>
      <c r="AU72">
        <f t="shared" si="25"/>
        <v>0</v>
      </c>
      <c r="AV72" s="32" cm="1">
        <f t="array" ref="AV72">IF($F$11-$I$4+VLOOKUP($R72,武学奇术!$A:$ZZ,9,FALSE)+SUM(_xlfn.XLOOKUP(S72:AG72,增益!$A:$A,增益!$I:$I,0))&gt;0,($F$11-$I$4+VLOOKUP($R72,武学奇术!$A:$ZZ,9,FALSE)+SUM(_xlfn.XLOOKUP(S72:AG72,增益!$A:$A,增益!$I:$I,0)))/200,($F$11-$I$4+VLOOKUP($R72,武学奇术!$A:$ZZ,9,FALSE)+SUM(_xlfn.XLOOKUP(S72:AG72,增益!$A:$A,增益!$I:$I,0)))/100)</f>
        <v>-0.14</v>
      </c>
      <c r="AW72" s="32" cm="1">
        <f t="array" ref="AW72">$G$11+VLOOKUP($R72,武学奇术!$A:$ZZ,10,FALSE)+SUM(_xlfn.XLOOKUP(S72:AG72,增益!$A:$A,增益!$J:$J,0))</f>
        <v>0.1</v>
      </c>
      <c r="AX72">
        <f t="shared" si="26"/>
        <v>0</v>
      </c>
      <c r="AY72">
        <f t="shared" si="27"/>
        <v>0</v>
      </c>
      <c r="AZ72" s="32" cm="1">
        <f t="array" ref="AZ72">IF($F$12-$I$4+VLOOKUP($R72,武学奇术!$A:$ZZ,11,FALSE)+SUM(_xlfn.XLOOKUP(S72:AG72,增益!$A:$A,增益!$K:$K,0))&gt;0,($F$12-$I$4+VLOOKUP($R72,武学奇术!$A:$ZZ,11,FALSE)+SUM(_xlfn.XLOOKUP(S72:AG72,增益!$A:$A,增益!$K:$K,0)))/200,($F$12-$I$4+VLOOKUP($R72,武学奇术!$A:$ZZ,11,FALSE)+SUM(_xlfn.XLOOKUP(S72:AG72,增益!$A:$A,增益!$K:$K,0)))/100)</f>
        <v>-0.14</v>
      </c>
      <c r="BA72" s="32" cm="1">
        <f t="array" ref="BA72">$G$12+VLOOKUP($R72,武学奇术!$A:$ZZ,12,FALSE)+SUM(_xlfn.XLOOKUP(S72:AG72,增益!$A:$A,增益!$L:$L,0))</f>
        <v>0</v>
      </c>
      <c r="BB72">
        <f t="shared" si="28"/>
        <v>0</v>
      </c>
      <c r="BC72">
        <f t="shared" si="29"/>
        <v>0</v>
      </c>
      <c r="BD72" s="32" cm="1">
        <f t="array" ref="BD72">IF($F$13-$I$4+VLOOKUP($R72,武学奇术!$A:$ZZ,13,FALSE)+SUM(_xlfn.XLOOKUP(S72:AG72,增益!$A:$A,增益!$M:$M,0))&gt;0,($F$13-$I$4+VLOOKUP($R72,武学奇术!$A:$ZZ,13,FALSE)+SUM(_xlfn.XLOOKUP(S72:AG72,增益!$A:$A,增益!$K:$K,0)))/200,($F$13-$I$4+VLOOKUP($R72,武学奇术!$A:$ZZ,13,FALSE)+SUM(_xlfn.XLOOKUP(S72:AG72,增益!$A:$A,增益!$M:$M,0)))/100)</f>
        <v>-0.14</v>
      </c>
      <c r="BE72" s="32" cm="1">
        <f t="array" ref="BE72">$G$13+VLOOKUP($R72,武学奇术!$A:$ZZ,14,FALSE)+SUM(_xlfn.XLOOKUP(S72:AG72,增益!$A:$A,增益!$N:$N,0))</f>
        <v>0</v>
      </c>
      <c r="BF72">
        <f t="shared" si="30"/>
        <v>571.2</v>
      </c>
      <c r="BG72">
        <f t="shared" si="31"/>
        <v>1627.8</v>
      </c>
      <c r="BH72" s="32" cm="1">
        <f t="array" ref="BH72">IF($F$14-$I$4+VLOOKUP($R72,武学奇术!$A:$ZZ,15,FALSE)+SUM(_xlfn.XLOOKUP(S72:AG72,增益!$A:$A,增益!$O:$O,0))&gt;0,($F$14-$I$4+VLOOKUP($R72,武学奇术!$A:$ZZ,15,FALSE)+SUM(_xlfn.XLOOKUP(S72:AG72,增益!$A:$A,增益!$O:$O,0)))/200,($F$14-$I$4+VLOOKUP($R72,武学奇术!$A:$ZZ,15,FALSE)+SUM(_xlfn.XLOOKUP(S72:AG72,增益!$A:$A,增益!$O:$O,0)))/100)</f>
        <v>0.08</v>
      </c>
      <c r="BI72" s="32" cm="1">
        <f t="array" ref="BI72">$G$14+VLOOKUP($R72,武学奇术!$A:$ZZ,16,FALSE)+SUM(_xlfn.XLOOKUP(S72:AG72,增益!$A:$A,增益!$P:$P,0))</f>
        <v>0.27</v>
      </c>
      <c r="BJ72" s="26">
        <f>MIN(IF(VLOOKUP($R72,武学奇术!$A:$ZZ,23,FALSE)=1,100%,$B$8),100%)</f>
        <v>0.981</v>
      </c>
      <c r="BK72" s="26" cm="1">
        <f t="array" ref="BK72">IF(VLOOKUP($R72,武学奇术!$A:$ZZ,23,FALSE)=1,100%,MIN(80%,$B$9+VLOOKUP($R72,武学奇术!$A:$ZZ,17,FALSE)+SUM(_xlfn.XLOOKUP(S72:AG72,增益!$A:$A,增益!$Q:$Q,0)))+$B$11+SUM(_xlfn.XLOOKUP(S72:AG72,增益!$A:$A,增益!$U:$U,0)))*IF(VLOOKUP($R72,武学奇术!$A:$ZZ,24,FALSE)=1,0,1)</f>
        <v>0.846</v>
      </c>
      <c r="BL72" s="26" cm="1">
        <f t="array" ref="BL72">1+$B$13+VLOOKUP($R72,武学奇术!$A:$ZZ,18,FALSE)+SUM(_xlfn.XLOOKUP(S72:AG72,增益!$A:$A,增益!$R:$R,0))</f>
        <v>1.97</v>
      </c>
      <c r="BM72" s="26" cm="1">
        <f t="array" ref="BM72">IF(VLOOKUP($R72,武学奇术!$A:$ZZ,24,FALSE)=1,100%,MIN(40%,$B$10+VLOOKUP($R72,武学奇术!$A:$ZZ,19,FALSE)+SUM(_xlfn.XLOOKUP(S72:AG72,增益!$A:$A,增益!$S:$S,0)))+$B$12+SUM(_xlfn.XLOOKUP(S72:AG72,增益!$A:$A,增益!$V:$V,0)))*IF(VLOOKUP($R72,武学奇术!$A:$ZZ,23,FALSE)=1,0,1)</f>
        <v>0.0929</v>
      </c>
      <c r="BN72" s="26" cm="1">
        <f t="array" ref="BN72">1+$B$14+VLOOKUP($R72,武学奇术!$A:$ZZ,20,FALSE)+SUM(_xlfn.XLOOKUP(S72:AG72,增益!$A:$A,增益!$T:$T,0))</f>
        <v>1.35</v>
      </c>
      <c r="BO72" s="26">
        <f t="shared" si="23"/>
        <v>0.829926</v>
      </c>
      <c r="BP72" s="26">
        <f t="shared" si="33"/>
        <v>0.0599391</v>
      </c>
      <c r="BQ72" s="26">
        <f>IF(VLOOKUP($R72,武学奇术!$A:$ZZ,22,FALSE)=1,0,(1-$BJ72))*(1-$BM72)</f>
        <v>0.0172349</v>
      </c>
      <c r="BR72" s="26" cm="1">
        <f t="array" ref="BR72">SUM(_xlfn.XLOOKUP(S72:AG72,增益!$A:$A,增益!$W:$W,0))+$I$5</f>
        <v>0.31</v>
      </c>
    </row>
    <row r="73" spans="1:70">
      <c r="A73" s="4" t="s">
        <v>161</v>
      </c>
      <c r="B73" s="87">
        <v>1</v>
      </c>
      <c r="C73" s="39"/>
      <c r="D73" s="39"/>
      <c r="E73"/>
      <c r="F73" s="39"/>
      <c r="K73">
        <f>$L73*VLOOKUP($R73,武学奇术!$A:$ZZ,31,FALSE)</f>
        <v>103568.580015023</v>
      </c>
      <c r="L73" s="38">
        <f t="shared" si="32"/>
        <v>98636.7428714503</v>
      </c>
      <c r="M73" s="38">
        <f>((($AO73+$AP73)/2*$AI73+$AJ73)*(1+$AQ73)*(1+$AR73)+(($AT73+$AU73)/2*IF($G$1="鸣金",$AK73,$AI73)+IF($G$1="鸣金",$AL73*1.5,0))*(1+$AV73)*(1+$AW73)+(($AX73+$AY73)/2*IF($G$1="裂石",$AK73,$AI73)+IF($G$1="裂石",$AL73*1.5,0))*(1+$AZ73)*(1+$BA73)+(($BB73+$BC73)/2*IF($G$1="牵丝",$AK73,$AI73)+IF($G$1="牵丝",$AL73*1.5,0))*(1+$BD73)*(1+$BE73)+(($BF73+$BG73)/2*IF($G$1="破竹",$AK73,$AI73)+IF($G$1="破竹",$AL73*1.5,0))*(1+$BH73)*(1+$BI73))*(1+$AM73)*$BL73*$Q73*(1+IF(VLOOKUP($R73,武学奇术!$A:$ZZ,30,FALSE)="回旋伞",$B$21,0))*(1+$BR73)</f>
        <v>105359.27905418</v>
      </c>
      <c r="N73" s="38">
        <f>(($AP73*$AI73+$AJ73)*(1+$AQ73)*(1+$AR73)+($AU73*IF($G$1="鸣金",$AK73,$AI73)+IF($G$1="鸣金",$AL73*1.5,0))*(1+$AV73)*(1+$AW73)+($AY73*IF($G$1="裂石",$AK73,$AI73)+IF($G$1="裂石",$AL73*1.5,0))*(1+$AZ73)*(1+$BA73)+($BC73*IF($G$1="牵丝",$AK73,$AI73)+IF($G$1="牵丝",$AL73*1.5,0))*(1+$BD73)*(1+$BE73)+($BG73*IF($G$1="破竹",$AK73,$AI73)+IF($G$1="破竹",$AL73*1.5,0))*(1+$BH73)*(1+$BI73))*(1+$AM73)*$BN73*$Q73*(1+IF(VLOOKUP($R73,武学奇术!$A:$ZZ,30,FALSE)="回旋伞",$B$21,0))*(1+$BR73)</f>
        <v>78574.0946905506</v>
      </c>
      <c r="O73" s="38">
        <f>((($AO73+$AP73)/2*$AI73+$AJ73)*(1+$AQ73)*(1+$AR73)+(($AT73+$AU73)/2*IF($G$1="鸣金",$AK73,$AI73)+IF($G$1="鸣金",$AL73*1.5,0))*(1+$AV73)*(1+$AW73)+(($AX73+$AY73)/2*IF($G$1="裂石",$AK73,$AI73)+IF($G$1="裂石",$AL73*1.5,0))*(1+$AZ73)*(1+$BA73)+(($BB73+$BC73)/2*IF($G$1="牵丝",$AK73,$AI73)+IF($G$1="牵丝",$AL73*1.5,0))*(1+$BD73)*(1+$BE73)+(($BF73+$BG73)/2*IF($G$1="破竹",$AK73,$AI73)+IF($G$1="破竹",$AL73*1.5,0))*(1+$BH73)*(1+$BI73))*(1+$AM73)*$Q73*(1+IF(VLOOKUP($R73,武学奇术!$A:$ZZ,30,FALSE)="回旋伞",$B$21,0))*(1+$BR73)</f>
        <v>51901.1226867882</v>
      </c>
      <c r="P73" s="38">
        <f>((($AO73*$AI73+$AJ73)*(1+$AQ73)*(1+$AR73)+($AT73*IF($G$1="鸣金",$AK73,$AI73)+IF($G$1="鸣金",$AL73*1.5,0))*(1+$AV73)*(1+$AW73)+($AX73*IF($G$1="裂石",$AK73,$AI73)+IF($G$1="裂石",$AL73*1.5,0))*(1+$AZ73)*(1+$BA73)+($BB73*IF($G$1="牵丝",$AK73,$AI73)+IF($G$1="牵丝",$AL73*1.5,0))*(1+$BD73)*(1+$BE73)+($BF73*IF($G$1="破竹",$AK73,$AI73)+IF($G$1="破竹",$AL73*1.5,0))*(1+$BH73)*(1+$BI73))*(1+$AM73))*$Q73*(1+IF(VLOOKUP($R73,武学奇术!$A:$ZZ,30,FALSE)="回旋伞",$B$21,0))*(1+$BR73)</f>
        <v>45599.2122694649</v>
      </c>
      <c r="Q73" s="39">
        <v>1</v>
      </c>
      <c r="R73" s="40" t="s">
        <v>108</v>
      </c>
      <c r="S73" s="40" t="s">
        <v>109</v>
      </c>
      <c r="T73" s="40" t="s">
        <v>95</v>
      </c>
      <c r="U73" s="40" t="s">
        <v>73</v>
      </c>
      <c r="V73" s="40" t="s">
        <v>81</v>
      </c>
      <c r="W73" s="40" t="s">
        <v>172</v>
      </c>
      <c r="X73" s="40" t="s">
        <v>99</v>
      </c>
      <c r="Y73" s="40" t="s">
        <v>84</v>
      </c>
      <c r="Z73" s="40" t="s">
        <v>176</v>
      </c>
      <c r="AA73" s="40" t="s">
        <v>177</v>
      </c>
      <c r="AB73" s="40" t="s">
        <v>120</v>
      </c>
      <c r="AC73" s="40" t="s">
        <v>91</v>
      </c>
      <c r="AD73" s="40" t="s">
        <v>178</v>
      </c>
      <c r="AE73" s="40" t="s">
        <v>72</v>
      </c>
      <c r="AF73" s="40" t="s">
        <v>77</v>
      </c>
      <c r="AG73" s="40" t="s">
        <v>78</v>
      </c>
      <c r="AH73" t="str">
        <f>VLOOKUP($R73,武学奇术!$A:$ZZ,25,FALSE)</f>
        <v>伞</v>
      </c>
      <c r="AI73" s="26">
        <f>VLOOKUP($R73,武学奇术!$A:$ZZ,26,FALSE)</f>
        <v>1.8084</v>
      </c>
      <c r="AJ73" s="27">
        <f>VLOOKUP($R73,武学奇术!$A:$ZZ,27,FALSE)*(1+IF(OR($AH73=$F$4,$AH73=$F$5),$B$22,0))</f>
        <v>750</v>
      </c>
      <c r="AK73" s="26">
        <f>VLOOKUP($R73,武学奇术!$A:$ZZ,28,FALSE)</f>
        <v>2.7126</v>
      </c>
      <c r="AL73" s="27">
        <f>VLOOKUP($R73,武学奇术!$A:$ZZ,29,FALSE)*(1+IF(OR($AH73=$F$4,$AH73=$F$5),$B$22,0))</f>
        <v>408</v>
      </c>
      <c r="AM73" s="26" cm="1">
        <f t="array" ref="AM73">$G$3+IFERROR(VLOOKUP($AH73,$F$4:$G$7,2,FALSE),0)+VLOOKUP($R73,武学奇术!$A:$ZZ,2,FALSE)+SUM(_xlfn.XLOOKUP($S73:$AG73,增益!$A:$A,增益!$B:$B,0))</f>
        <v>0.8541</v>
      </c>
      <c r="AN73" s="26" cm="1">
        <f t="array" ref="AN73">VLOOKUP($R73,武学奇术!$A:$ZZ,5,FALSE)+SUM(_xlfn.XLOOKUP($S73:$AG73,增益!$A:$A,增益!$E:$E,0))</f>
        <v>0</v>
      </c>
      <c r="AO73" cm="1">
        <f t="array" ref="AO73">$D$10*(1+$AN73)+VLOOKUP($R73,武学奇术!$A:$ZZ,3,FALSE)+SUM(_xlfn.XLOOKUP($S73:$AG73,增益!$A:$A,增益!$C:$C,0))-$I$2</f>
        <v>3624.6</v>
      </c>
      <c r="AP73" cm="1">
        <f t="array" ref="AP73">$E$10*(1+$AN73)+VLOOKUP($R73,武学奇术!$A:$ZZ,4,FALSE)+SUM(_xlfn.XLOOKUP($S73:$AG73,增益!$A:$A,增益!$D:$D,0))-$I$2</f>
        <v>3624.6</v>
      </c>
      <c r="AQ73" s="32" cm="1">
        <f t="array" ref="AQ73">IF($F$10-$I$3+VLOOKUP($R73,武学奇术!$A:$ZZ,6,FALSE)+SUM(_xlfn.XLOOKUP(S73:AG73,增益!$A:$A,增益!$F:$F,0))&gt;0,($F$10-$I$3+VLOOKUP($R73,武学奇术!$A:$ZZ,6,FALSE)+SUM(_xlfn.XLOOKUP(S73:AG73,增益!$A:$A,增益!$F:$F,0)))/200,($F$10-$I$3+VLOOKUP($R73,武学奇术!$A:$ZZ,6,FALSE)+SUM(_xlfn.XLOOKUP(S73:AG73,增益!$A:$A,增益!$F:$F,0)))/100)</f>
        <v>0.3425</v>
      </c>
      <c r="AR73" s="32" cm="1">
        <f t="array" ref="AR73">$G$10+VLOOKUP($R73,武学奇术!$A:$ZZ,7,FALSE)+SUM(_xlfn.XLOOKUP(S73:AG73,增益!$A:$A,增益!$G:$G,0))</f>
        <v>0.148</v>
      </c>
      <c r="AS73" s="26" cm="1">
        <f t="array" ref="AS73">VLOOKUP($R73,武学奇术!$A:$ZZ,8,FALSE)+SUM(_xlfn.XLOOKUP(S73:AG73,增益!$A:$A,增益!$H:$H,0))</f>
        <v>0</v>
      </c>
      <c r="AT73">
        <f t="shared" si="24"/>
        <v>0</v>
      </c>
      <c r="AU73">
        <f t="shared" si="25"/>
        <v>0</v>
      </c>
      <c r="AV73" s="32" cm="1">
        <f t="array" ref="AV73">IF($F$11-$I$4+VLOOKUP($R73,武学奇术!$A:$ZZ,9,FALSE)+SUM(_xlfn.XLOOKUP(S73:AG73,增益!$A:$A,增益!$I:$I,0))&gt;0,($F$11-$I$4+VLOOKUP($R73,武学奇术!$A:$ZZ,9,FALSE)+SUM(_xlfn.XLOOKUP(S73:AG73,增益!$A:$A,增益!$I:$I,0)))/200,($F$11-$I$4+VLOOKUP($R73,武学奇术!$A:$ZZ,9,FALSE)+SUM(_xlfn.XLOOKUP(S73:AG73,增益!$A:$A,增益!$I:$I,0)))/100)</f>
        <v>-0.14</v>
      </c>
      <c r="AW73" s="32" cm="1">
        <f t="array" ref="AW73">$G$11+VLOOKUP($R73,武学奇术!$A:$ZZ,10,FALSE)+SUM(_xlfn.XLOOKUP(S73:AG73,增益!$A:$A,增益!$J:$J,0))</f>
        <v>0.1</v>
      </c>
      <c r="AX73">
        <f t="shared" si="26"/>
        <v>0</v>
      </c>
      <c r="AY73">
        <f t="shared" si="27"/>
        <v>0</v>
      </c>
      <c r="AZ73" s="32" cm="1">
        <f t="array" ref="AZ73">IF($F$12-$I$4+VLOOKUP($R73,武学奇术!$A:$ZZ,11,FALSE)+SUM(_xlfn.XLOOKUP(S73:AG73,增益!$A:$A,增益!$K:$K,0))&gt;0,($F$12-$I$4+VLOOKUP($R73,武学奇术!$A:$ZZ,11,FALSE)+SUM(_xlfn.XLOOKUP(S73:AG73,增益!$A:$A,增益!$K:$K,0)))/200,($F$12-$I$4+VLOOKUP($R73,武学奇术!$A:$ZZ,11,FALSE)+SUM(_xlfn.XLOOKUP(S73:AG73,增益!$A:$A,增益!$K:$K,0)))/100)</f>
        <v>-0.14</v>
      </c>
      <c r="BA73" s="32" cm="1">
        <f t="array" ref="BA73">$G$12+VLOOKUP($R73,武学奇术!$A:$ZZ,12,FALSE)+SUM(_xlfn.XLOOKUP(S73:AG73,增益!$A:$A,增益!$L:$L,0))</f>
        <v>0</v>
      </c>
      <c r="BB73">
        <f t="shared" si="28"/>
        <v>0</v>
      </c>
      <c r="BC73">
        <f t="shared" si="29"/>
        <v>0</v>
      </c>
      <c r="BD73" s="32" cm="1">
        <f t="array" ref="BD73">IF($F$13-$I$4+VLOOKUP($R73,武学奇术!$A:$ZZ,13,FALSE)+SUM(_xlfn.XLOOKUP(S73:AG73,增益!$A:$A,增益!$M:$M,0))&gt;0,($F$13-$I$4+VLOOKUP($R73,武学奇术!$A:$ZZ,13,FALSE)+SUM(_xlfn.XLOOKUP(S73:AG73,增益!$A:$A,增益!$K:$K,0)))/200,($F$13-$I$4+VLOOKUP($R73,武学奇术!$A:$ZZ,13,FALSE)+SUM(_xlfn.XLOOKUP(S73:AG73,增益!$A:$A,增益!$M:$M,0)))/100)</f>
        <v>-0.14</v>
      </c>
      <c r="BE73" s="32" cm="1">
        <f t="array" ref="BE73">$G$13+VLOOKUP($R73,武学奇术!$A:$ZZ,14,FALSE)+SUM(_xlfn.XLOOKUP(S73:AG73,增益!$A:$A,增益!$N:$N,0))</f>
        <v>0</v>
      </c>
      <c r="BF73">
        <f t="shared" si="30"/>
        <v>571.2</v>
      </c>
      <c r="BG73">
        <f t="shared" si="31"/>
        <v>1627.8</v>
      </c>
      <c r="BH73" s="32" cm="1">
        <f t="array" ref="BH73">IF($F$14-$I$4+VLOOKUP($R73,武学奇术!$A:$ZZ,15,FALSE)+SUM(_xlfn.XLOOKUP(S73:AG73,增益!$A:$A,增益!$O:$O,0))&gt;0,($F$14-$I$4+VLOOKUP($R73,武学奇术!$A:$ZZ,15,FALSE)+SUM(_xlfn.XLOOKUP(S73:AG73,增益!$A:$A,增益!$O:$O,0)))/200,($F$14-$I$4+VLOOKUP($R73,武学奇术!$A:$ZZ,15,FALSE)+SUM(_xlfn.XLOOKUP(S73:AG73,增益!$A:$A,增益!$O:$O,0)))/100)</f>
        <v>0.08</v>
      </c>
      <c r="BI73" s="32" cm="1">
        <f t="array" ref="BI73">$G$14+VLOOKUP($R73,武学奇术!$A:$ZZ,16,FALSE)+SUM(_xlfn.XLOOKUP(S73:AG73,增益!$A:$A,增益!$P:$P,0))</f>
        <v>0.27</v>
      </c>
      <c r="BJ73" s="26">
        <f>MIN(IF(VLOOKUP($R73,武学奇术!$A:$ZZ,23,FALSE)=1,100%,$B$8),100%)</f>
        <v>0.981</v>
      </c>
      <c r="BK73" s="26" cm="1">
        <f t="array" ref="BK73">IF(VLOOKUP($R73,武学奇术!$A:$ZZ,23,FALSE)=1,100%,MIN(80%,$B$9+VLOOKUP($R73,武学奇术!$A:$ZZ,17,FALSE)+SUM(_xlfn.XLOOKUP(S73:AG73,增益!$A:$A,增益!$Q:$Q,0)))+$B$11+SUM(_xlfn.XLOOKUP(S73:AG73,增益!$A:$A,增益!$U:$U,0)))*IF(VLOOKUP($R73,武学奇术!$A:$ZZ,24,FALSE)=1,0,1)</f>
        <v>0.846</v>
      </c>
      <c r="BL73" s="26" cm="1">
        <f t="array" ref="BL73">1+$B$13+VLOOKUP($R73,武学奇术!$A:$ZZ,18,FALSE)+SUM(_xlfn.XLOOKUP(S73:AG73,增益!$A:$A,增益!$R:$R,0))</f>
        <v>2.03</v>
      </c>
      <c r="BM73" s="26" cm="1">
        <f t="array" ref="BM73">IF(VLOOKUP($R73,武学奇术!$A:$ZZ,24,FALSE)=1,100%,MIN(40%,$B$10+VLOOKUP($R73,武学奇术!$A:$ZZ,19,FALSE)+SUM(_xlfn.XLOOKUP(S73:AG73,增益!$A:$A,增益!$S:$S,0)))+$B$12+SUM(_xlfn.XLOOKUP(S73:AG73,增益!$A:$A,增益!$V:$V,0)))*IF(VLOOKUP($R73,武学奇术!$A:$ZZ,23,FALSE)=1,0,1)</f>
        <v>0.0929</v>
      </c>
      <c r="BN73" s="26" cm="1">
        <f t="array" ref="BN73">1+$B$14+VLOOKUP($R73,武学奇术!$A:$ZZ,20,FALSE)+SUM(_xlfn.XLOOKUP(S73:AG73,增益!$A:$A,增益!$T:$T,0))</f>
        <v>1.35</v>
      </c>
      <c r="BO73" s="26">
        <f t="shared" si="23"/>
        <v>0.829926</v>
      </c>
      <c r="BP73" s="26">
        <f t="shared" si="33"/>
        <v>0.0599391</v>
      </c>
      <c r="BQ73" s="26">
        <f>IF(VLOOKUP($R73,武学奇术!$A:$ZZ,22,FALSE)=1,0,(1-$BJ73))*(1-$BM73)</f>
        <v>0.0172349</v>
      </c>
      <c r="BR73" s="26" cm="1">
        <f t="array" ref="BR73">SUM(_xlfn.XLOOKUP(S73:AG73,增益!$A:$A,增益!$W:$W,0))+$I$5</f>
        <v>0.31</v>
      </c>
    </row>
    <row r="74" spans="1:70">
      <c r="A74" s="4" t="s">
        <v>161</v>
      </c>
      <c r="B74" s="4">
        <v>1</v>
      </c>
      <c r="C74" s="39"/>
      <c r="D74" s="39"/>
      <c r="E74" s="39" t="s">
        <v>163</v>
      </c>
      <c r="F74" s="39"/>
      <c r="G74"/>
      <c r="K74">
        <f>$L74*VLOOKUP($R74,武学奇术!$A:$ZZ,31,FALSE)</f>
        <v>60136.713874825</v>
      </c>
      <c r="L74" s="38">
        <f t="shared" ref="L74:L89" si="34">($M74*$BO74+$N74*$BM74+$O74*$BP74+$P74*$BQ74)</f>
        <v>57273.0608331666</v>
      </c>
      <c r="M74" s="38">
        <f>((($AO74+$AP74)/2*$AI74+$AJ74)*(1+$AQ74)*(1+$AR74)+(($AT74+$AU74)/2*IF($G$1="鸣金",$AK74,$AI74)+IF($G$1="鸣金",$AL74*1.5,0))*(1+$AV74)*(1+$AW74)+(($AX74+$AY74)/2*IF($G$1="裂石",$AK74,$AI74)+IF($G$1="裂石",$AL74*1.5,0))*(1+$AZ74)*(1+$BA74)+(($BB74+$BC74)/2*IF($G$1="牵丝",$AK74,$AI74)+IF($G$1="牵丝",$AL74*1.5,0))*(1+$BD74)*(1+$BE74)+(($BF74+$BG74)/2*IF($G$1="破竹",$AK74,$AI74)+IF($G$1="破竹",$AL74*1.5,0))*(1+$BH74)*(1+$BI74))*(1+$AM74)*$BL74*$Q74*(1+IF(VLOOKUP($R74,武学奇术!$A:$ZZ,30,FALSE)="回旋伞",$B$21,0))*(1+$BR74)</f>
        <v>61117.090711606</v>
      </c>
      <c r="N74" s="38">
        <f>(($AP74*$AI74+$AJ74)*(1+$AQ74)*(1+$AR74)+($AU74*IF($G$1="鸣金",$AK74,$AI74)+IF($G$1="鸣金",$AL74*1.5,0))*(1+$AV74)*(1+$AW74)+($AY74*IF($G$1="裂石",$AK74,$AI74)+IF($G$1="裂石",$AL74*1.5,0))*(1+$AZ74)*(1+$BA74)+($BC74*IF($G$1="牵丝",$AK74,$AI74)+IF($G$1="牵丝",$AL74*1.5,0))*(1+$BD74)*(1+$BE74)+($BG74*IF($G$1="破竹",$AK74,$AI74)+IF($G$1="破竹",$AL74*1.5,0))*(1+$BH74)*(1+$BI74))*(1+$AM74)*$BN74*$Q74*(1+IF(VLOOKUP($R74,武学奇术!$A:$ZZ,30,FALSE)="回旋伞",$B$21,0))*(1+$BR74)</f>
        <v>46273.2725668503</v>
      </c>
      <c r="O74" s="38">
        <f>((($AO74+$AP74)/2*$AI74+$AJ74)*(1+$AQ74)*(1+$AR74)+(($AT74+$AU74)/2*IF($G$1="鸣金",$AK74,$AI74)+IF($G$1="鸣金",$AL74*1.5,0))*(1+$AV74)*(1+$AW74)+(($AX74+$AY74)/2*IF($G$1="裂石",$AK74,$AI74)+IF($G$1="裂石",$AL74*1.5,0))*(1+$AZ74)*(1+$BA74)+(($BB74+$BC74)/2*IF($G$1="牵丝",$AK74,$AI74)+IF($G$1="牵丝",$AL74*1.5,0))*(1+$BD74)*(1+$BE74)+(($BF74+$BG74)/2*IF($G$1="破竹",$AK74,$AI74)+IF($G$1="破竹",$AL74*1.5,0))*(1+$BH74)*(1+$BI74))*(1+$AM74)*$Q74*(1+IF(VLOOKUP($R74,武学奇术!$A:$ZZ,30,FALSE)="回旋伞",$B$21,0))*(1+$BR74)</f>
        <v>30106.9412372443</v>
      </c>
      <c r="P74" s="38">
        <f>((($AO74*$AI74+$AJ74)*(1+$AQ74)*(1+$AR74)+($AT74*IF($G$1="鸣金",$AK74,$AI74)+IF($G$1="鸣金",$AL74*1.5,0))*(1+$AV74)*(1+$AW74)+($AX74*IF($G$1="裂石",$AK74,$AI74)+IF($G$1="裂石",$AL74*1.5,0))*(1+$AZ74)*(1+$BA74)+($BB74*IF($G$1="牵丝",$AK74,$AI74)+IF($G$1="牵丝",$AL74*1.5,0))*(1+$BD74)*(1+$BE74)+($BF74*IF($G$1="破竹",$AK74,$AI74)+IF($G$1="破竹",$AL74*1.5,0))*(1+$BH74)*(1+$BI74))*(1+$AM74))*$Q74*(1+IF(VLOOKUP($R74,武学奇术!$A:$ZZ,30,FALSE)="回旋伞",$B$21,0))*(1+$BR74)</f>
        <v>25937.3842768218</v>
      </c>
      <c r="Q74" s="39">
        <v>2</v>
      </c>
      <c r="R74" s="40" t="s">
        <v>112</v>
      </c>
      <c r="S74" s="40" t="s">
        <v>109</v>
      </c>
      <c r="T74" s="40" t="s">
        <v>95</v>
      </c>
      <c r="U74" s="40" t="s">
        <v>73</v>
      </c>
      <c r="V74" s="40" t="s">
        <v>81</v>
      </c>
      <c r="W74" s="40" t="s">
        <v>172</v>
      </c>
      <c r="X74" s="40" t="s">
        <v>99</v>
      </c>
      <c r="Y74" s="40" t="s">
        <v>84</v>
      </c>
      <c r="Z74" s="40" t="s">
        <v>176</v>
      </c>
      <c r="AA74" s="40" t="s">
        <v>177</v>
      </c>
      <c r="AB74" s="40" t="s">
        <v>120</v>
      </c>
      <c r="AC74" s="40" t="s">
        <v>91</v>
      </c>
      <c r="AD74" s="40" t="s">
        <v>178</v>
      </c>
      <c r="AE74" s="40" t="s">
        <v>72</v>
      </c>
      <c r="AF74" s="40" t="s">
        <v>77</v>
      </c>
      <c r="AG74" s="40" t="s">
        <v>78</v>
      </c>
      <c r="AH74" t="str">
        <f>VLOOKUP($R74,武学奇术!$A:$ZZ,25,FALSE)</f>
        <v>伞</v>
      </c>
      <c r="AI74" s="26">
        <f>VLOOKUP($R74,武学奇术!$A:$ZZ,26,FALSE)</f>
        <v>0.54</v>
      </c>
      <c r="AJ74" s="27">
        <f>VLOOKUP($R74,武学奇术!$A:$ZZ,27,FALSE)*(1+IF(OR($AH74=$F$4,$AH74=$F$5),$B$22,0))</f>
        <v>0</v>
      </c>
      <c r="AK74" s="26">
        <f>VLOOKUP($R74,武学奇术!$A:$ZZ,28,FALSE)</f>
        <v>0.81</v>
      </c>
      <c r="AL74" s="27">
        <f>VLOOKUP($R74,武学奇术!$A:$ZZ,29,FALSE)*(1+IF(OR($AH74=$F$4,$AH74=$F$5),$B$22,0))</f>
        <v>0</v>
      </c>
      <c r="AM74" s="26" cm="1">
        <f t="array" ref="AM74">$G$3+IFERROR(VLOOKUP($AH74,$F$4:$G$7,2,FALSE),0)+VLOOKUP($R74,武学奇术!$A:$ZZ,2,FALSE)+SUM(_xlfn.XLOOKUP($S74:$AG74,增益!$A:$A,增益!$B:$B,0))</f>
        <v>1.0541</v>
      </c>
      <c r="AN74" s="26" cm="1">
        <f t="array" ref="AN74">VLOOKUP($R74,武学奇术!$A:$ZZ,5,FALSE)+SUM(_xlfn.XLOOKUP($S74:$AG74,增益!$A:$A,增益!$E:$E,0))</f>
        <v>0</v>
      </c>
      <c r="AO74" cm="1">
        <f t="array" ref="AO74">$D$10*(1+$AN74)+VLOOKUP($R74,武学奇术!$A:$ZZ,3,FALSE)+SUM(_xlfn.XLOOKUP($S74:$AG74,增益!$A:$A,增益!$C:$C,0))-$I$2</f>
        <v>3624.6</v>
      </c>
      <c r="AP74" cm="1">
        <f t="array" ref="AP74">$E$10*(1+$AN74)+VLOOKUP($R74,武学奇术!$A:$ZZ,4,FALSE)+SUM(_xlfn.XLOOKUP($S74:$AG74,增益!$A:$A,增益!$D:$D,0))-$I$2</f>
        <v>3624.6</v>
      </c>
      <c r="AQ74" s="32" cm="1">
        <f t="array" ref="AQ74">IF($F$10-$I$3+VLOOKUP($R74,武学奇术!$A:$ZZ,6,FALSE)+SUM(_xlfn.XLOOKUP(S74:AG74,增益!$A:$A,增益!$F:$F,0))&gt;0,($F$10-$I$3+VLOOKUP($R74,武学奇术!$A:$ZZ,6,FALSE)+SUM(_xlfn.XLOOKUP(S74:AG74,增益!$A:$A,增益!$F:$F,0)))/200,($F$10-$I$3+VLOOKUP($R74,武学奇术!$A:$ZZ,6,FALSE)+SUM(_xlfn.XLOOKUP(S74:AG74,增益!$A:$A,增益!$F:$F,0)))/100)</f>
        <v>0.3425</v>
      </c>
      <c r="AR74" s="32" cm="1">
        <f t="array" ref="AR74">$G$10+VLOOKUP($R74,武学奇术!$A:$ZZ,7,FALSE)+SUM(_xlfn.XLOOKUP(S74:AG74,增益!$A:$A,增益!$G:$G,0))</f>
        <v>0.148</v>
      </c>
      <c r="AS74" s="26" cm="1">
        <f t="array" ref="AS74">VLOOKUP($R74,武学奇术!$A:$ZZ,8,FALSE)+SUM(_xlfn.XLOOKUP(S74:AG74,增益!$A:$A,增益!$H:$H,0))</f>
        <v>0</v>
      </c>
      <c r="AT74">
        <f t="shared" ref="AT74:AT86" si="35">$D$11*(1+$AS74)</f>
        <v>0</v>
      </c>
      <c r="AU74">
        <f t="shared" ref="AU74:AU86" si="36">$E$11*(1+$AS74)</f>
        <v>0</v>
      </c>
      <c r="AV74" s="32" cm="1">
        <f t="array" ref="AV74">IF($F$11-$I$4+VLOOKUP($R74,武学奇术!$A:$ZZ,9,FALSE)+SUM(_xlfn.XLOOKUP(S74:AG74,增益!$A:$A,增益!$I:$I,0))&gt;0,($F$11-$I$4+VLOOKUP($R74,武学奇术!$A:$ZZ,9,FALSE)+SUM(_xlfn.XLOOKUP(S74:AG74,增益!$A:$A,增益!$I:$I,0)))/200,($F$11-$I$4+VLOOKUP($R74,武学奇术!$A:$ZZ,9,FALSE)+SUM(_xlfn.XLOOKUP(S74:AG74,增益!$A:$A,增益!$I:$I,0)))/100)</f>
        <v>-0.14</v>
      </c>
      <c r="AW74" s="32" cm="1">
        <f t="array" ref="AW74">$G$11+VLOOKUP($R74,武学奇术!$A:$ZZ,10,FALSE)+SUM(_xlfn.XLOOKUP(S74:AG74,增益!$A:$A,增益!$J:$J,0))</f>
        <v>0.1</v>
      </c>
      <c r="AX74">
        <f t="shared" ref="AX74:AX86" si="37">$D$12*(1+$AS74)</f>
        <v>0</v>
      </c>
      <c r="AY74">
        <f t="shared" ref="AY74:AY86" si="38">$E$12*(1+$AS74)</f>
        <v>0</v>
      </c>
      <c r="AZ74" s="32" cm="1">
        <f t="array" ref="AZ74">IF($F$12-$I$4+VLOOKUP($R74,武学奇术!$A:$ZZ,11,FALSE)+SUM(_xlfn.XLOOKUP(S74:AG74,增益!$A:$A,增益!$K:$K,0))&gt;0,($F$12-$I$4+VLOOKUP($R74,武学奇术!$A:$ZZ,11,FALSE)+SUM(_xlfn.XLOOKUP(S74:AG74,增益!$A:$A,增益!$K:$K,0)))/200,($F$12-$I$4+VLOOKUP($R74,武学奇术!$A:$ZZ,11,FALSE)+SUM(_xlfn.XLOOKUP(S74:AG74,增益!$A:$A,增益!$K:$K,0)))/100)</f>
        <v>-0.14</v>
      </c>
      <c r="BA74" s="32" cm="1">
        <f t="array" ref="BA74">$G$12+VLOOKUP($R74,武学奇术!$A:$ZZ,12,FALSE)+SUM(_xlfn.XLOOKUP(S74:AG74,增益!$A:$A,增益!$L:$L,0))</f>
        <v>0</v>
      </c>
      <c r="BB74">
        <f t="shared" ref="BB74:BB86" si="39">$D$13*(1+$AS74)</f>
        <v>0</v>
      </c>
      <c r="BC74">
        <f t="shared" ref="BC74:BC86" si="40">$E$13*(1+$AS74)</f>
        <v>0</v>
      </c>
      <c r="BD74" s="32" cm="1">
        <f t="array" ref="BD74">IF($F$13-$I$4+VLOOKUP($R74,武学奇术!$A:$ZZ,13,FALSE)+SUM(_xlfn.XLOOKUP(S74:AG74,增益!$A:$A,增益!$M:$M,0))&gt;0,($F$13-$I$4+VLOOKUP($R74,武学奇术!$A:$ZZ,13,FALSE)+SUM(_xlfn.XLOOKUP(S74:AG74,增益!$A:$A,增益!$K:$K,0)))/200,($F$13-$I$4+VLOOKUP($R74,武学奇术!$A:$ZZ,13,FALSE)+SUM(_xlfn.XLOOKUP(S74:AG74,增益!$A:$A,增益!$M:$M,0)))/100)</f>
        <v>-0.14</v>
      </c>
      <c r="BE74" s="32" cm="1">
        <f t="array" ref="BE74">$G$13+VLOOKUP($R74,武学奇术!$A:$ZZ,14,FALSE)+SUM(_xlfn.XLOOKUP(S74:AG74,增益!$A:$A,增益!$N:$N,0))</f>
        <v>0</v>
      </c>
      <c r="BF74">
        <f t="shared" ref="BF74:BF86" si="41">$D$14*(1+$AS74)</f>
        <v>571.2</v>
      </c>
      <c r="BG74">
        <f t="shared" ref="BG74:BG86" si="42">$E$14*(1+$AS74)</f>
        <v>1627.8</v>
      </c>
      <c r="BH74" s="32" cm="1">
        <f t="array" ref="BH74">IF($F$14-$I$4+VLOOKUP($R74,武学奇术!$A:$ZZ,15,FALSE)+SUM(_xlfn.XLOOKUP(S74:AG74,增益!$A:$A,增益!$O:$O,0))&gt;0,($F$14-$I$4+VLOOKUP($R74,武学奇术!$A:$ZZ,15,FALSE)+SUM(_xlfn.XLOOKUP(S74:AG74,增益!$A:$A,增益!$O:$O,0)))/200,($F$14-$I$4+VLOOKUP($R74,武学奇术!$A:$ZZ,15,FALSE)+SUM(_xlfn.XLOOKUP(S74:AG74,增益!$A:$A,增益!$O:$O,0)))/100)</f>
        <v>0.08</v>
      </c>
      <c r="BI74" s="32" cm="1">
        <f t="array" ref="BI74">$G$14+VLOOKUP($R74,武学奇术!$A:$ZZ,16,FALSE)+SUM(_xlfn.XLOOKUP(S74:AG74,增益!$A:$A,增益!$P:$P,0))</f>
        <v>0.27</v>
      </c>
      <c r="BJ74" s="26">
        <f>MIN(IF(VLOOKUP($R74,武学奇术!$A:$ZZ,23,FALSE)=1,100%,$B$8),100%)</f>
        <v>0.981</v>
      </c>
      <c r="BK74" s="26" cm="1">
        <f t="array" ref="BK74">IF(VLOOKUP($R74,武学奇术!$A:$ZZ,23,FALSE)=1,100%,MIN(80%,$B$9+VLOOKUP($R74,武学奇术!$A:$ZZ,17,FALSE)+SUM(_xlfn.XLOOKUP(S74:AG74,增益!$A:$A,增益!$Q:$Q,0)))+$B$11+SUM(_xlfn.XLOOKUP(S74:AG74,增益!$A:$A,增益!$U:$U,0)))*IF(VLOOKUP($R74,武学奇术!$A:$ZZ,24,FALSE)=1,0,1)</f>
        <v>0.846</v>
      </c>
      <c r="BL74" s="26" cm="1">
        <f t="array" ref="BL74">1+$B$13+VLOOKUP($R74,武学奇术!$A:$ZZ,18,FALSE)+SUM(_xlfn.XLOOKUP(S74:AG74,增益!$A:$A,增益!$R:$R,0))</f>
        <v>2.03</v>
      </c>
      <c r="BM74" s="26" cm="1">
        <f t="array" ref="BM74">IF(VLOOKUP($R74,武学奇术!$A:$ZZ,24,FALSE)=1,100%,MIN(40%,$B$10+VLOOKUP($R74,武学奇术!$A:$ZZ,19,FALSE)+SUM(_xlfn.XLOOKUP(S74:AG74,增益!$A:$A,增益!$S:$S,0)))+$B$12+SUM(_xlfn.XLOOKUP(S74:AG74,增益!$A:$A,增益!$V:$V,0)))*IF(VLOOKUP($R74,武学奇术!$A:$ZZ,23,FALSE)=1,0,1)</f>
        <v>0.0929</v>
      </c>
      <c r="BN74" s="26" cm="1">
        <f t="array" ref="BN74">1+$B$14+VLOOKUP($R74,武学奇术!$A:$ZZ,20,FALSE)+SUM(_xlfn.XLOOKUP(S74:AG74,增益!$A:$A,增益!$T:$T,0))</f>
        <v>1.35</v>
      </c>
      <c r="BO74" s="26">
        <f t="shared" si="23"/>
        <v>0.829926</v>
      </c>
      <c r="BP74" s="26">
        <f t="shared" si="33"/>
        <v>0.0599391</v>
      </c>
      <c r="BQ74" s="26">
        <f>IF(VLOOKUP($R74,武学奇术!$A:$ZZ,22,FALSE)=1,0,(1-$BJ74))*(1-$BM74)</f>
        <v>0.0172349</v>
      </c>
      <c r="BR74" s="26" cm="1">
        <f t="array" ref="BR74">SUM(_xlfn.XLOOKUP(S74:AG74,增益!$A:$A,增益!$W:$W,0))+$I$5</f>
        <v>0.31</v>
      </c>
    </row>
    <row r="75" spans="1:70">
      <c r="A75" s="4" t="s">
        <v>161</v>
      </c>
      <c r="B75" s="4">
        <v>1</v>
      </c>
      <c r="C75" s="39"/>
      <c r="D75" s="39"/>
      <c r="E75" s="39"/>
      <c r="F75" s="39"/>
      <c r="K75">
        <f>$L75*VLOOKUP($R75,武学奇术!$A:$ZZ,31,FALSE)</f>
        <v>248743.474341131</v>
      </c>
      <c r="L75" s="38">
        <f t="shared" si="34"/>
        <v>236898.546991553</v>
      </c>
      <c r="M75" s="38">
        <f>((($AO75+$AP75)/2*$AI75+$AJ75)*(1+$AQ75)*(1+$AR75)+(($AT75+$AU75)/2*IF($G$1="鸣金",$AK75,$AI75)+IF($G$1="鸣金",$AL75*1.5,0))*(1+$AV75)*(1+$AW75)+(($AX75+$AY75)/2*IF($G$1="裂石",$AK75,$AI75)+IF($G$1="裂石",$AL75*1.5,0))*(1+$AZ75)*(1+$BA75)+(($BB75+$BC75)/2*IF($G$1="牵丝",$AK75,$AI75)+IF($G$1="牵丝",$AL75*1.5,0))*(1+$BD75)*(1+$BE75)+(($BF75+$BG75)/2*IF($G$1="破竹",$AK75,$AI75)+IF($G$1="破竹",$AL75*1.5,0))*(1+$BH75)*(1+$BI75))*(1+$AM75)*$BL75*$Q75*(1+IF(VLOOKUP($R75,武学奇术!$A:$ZZ,30,FALSE)="回旋伞",$B$21,0))*(1+$BR75)</f>
        <v>236898.546991553</v>
      </c>
      <c r="N75" s="38">
        <f>(($AP75*$AI75+$AJ75)*(1+$AQ75)*(1+$AR75)+($AU75*IF($G$1="鸣金",$AK75,$AI75)+IF($G$1="鸣金",$AL75*1.5,0))*(1+$AV75)*(1+$AW75)+($AY75*IF($G$1="裂石",$AK75,$AI75)+IF($G$1="裂石",$AL75*1.5,0))*(1+$AZ75)*(1+$BA75)+($BC75*IF($G$1="牵丝",$AK75,$AI75)+IF($G$1="牵丝",$AL75*1.5,0))*(1+$BD75)*(1+$BE75)+($BG75*IF($G$1="破竹",$AK75,$AI75)+IF($G$1="破竹",$AL75*1.5,0))*(1+$BH75)*(1+$BI75))*(1+$AM75)*$BN75*$Q75*(1+IF(VLOOKUP($R75,武学奇术!$A:$ZZ,30,FALSE)="回旋伞",$B$21,0))*(1+$BR75)</f>
        <v>174099.614803797</v>
      </c>
      <c r="O75" s="38">
        <f>((($AO75+$AP75)/2*$AI75+$AJ75)*(1+$AQ75)*(1+$AR75)+(($AT75+$AU75)/2*IF($G$1="鸣金",$AK75,$AI75)+IF($G$1="鸣金",$AL75*1.5,0))*(1+$AV75)*(1+$AW75)+(($AX75+$AY75)/2*IF($G$1="裂石",$AK75,$AI75)+IF($G$1="裂石",$AL75*1.5,0))*(1+$AZ75)*(1+$BA75)+(($BB75+$BC75)/2*IF($G$1="牵丝",$AK75,$AI75)+IF($G$1="牵丝",$AL75*1.5,0))*(1+$BD75)*(1+$BE75)+(($BF75+$BG75)/2*IF($G$1="破竹",$AK75,$AI75)+IF($G$1="破竹",$AL75*1.5,0))*(1+$BH75)*(1+$BI75))*(1+$AM75)*$Q75*(1+IF(VLOOKUP($R75,武学奇术!$A:$ZZ,30,FALSE)="回旋伞",$B$21,0))*(1+$BR75)</f>
        <v>114999.294656094</v>
      </c>
      <c r="P75" s="38">
        <f>((($AO75*$AI75+$AJ75)*(1+$AQ75)*(1+$AR75)+($AT75*IF($G$1="鸣金",$AK75,$AI75)+IF($G$1="鸣金",$AL75*1.5,0))*(1+$AV75)*(1+$AW75)+($AX75*IF($G$1="裂石",$AK75,$AI75)+IF($G$1="裂石",$AL75*1.5,0))*(1+$AZ75)*(1+$BA75)+($BB75*IF($G$1="牵丝",$AK75,$AI75)+IF($G$1="牵丝",$AL75*1.5,0))*(1+$BD75)*(1+$BE75)+($BF75*IF($G$1="破竹",$AK75,$AI75)+IF($G$1="破竹",$AL75*1.5,0))*(1+$BH75)*(1+$BI75))*(1+$AM75))*$Q75*(1+IF(VLOOKUP($R75,武学奇术!$A:$ZZ,30,FALSE)="回旋伞",$B$21,0))*(1+$BR75)</f>
        <v>101035.911679745</v>
      </c>
      <c r="Q75" s="39">
        <v>2</v>
      </c>
      <c r="R75" s="40" t="s">
        <v>125</v>
      </c>
      <c r="S75" s="40" t="s">
        <v>109</v>
      </c>
      <c r="T75" s="40" t="s">
        <v>95</v>
      </c>
      <c r="U75" s="40" t="s">
        <v>73</v>
      </c>
      <c r="V75" s="40" t="s">
        <v>81</v>
      </c>
      <c r="W75" s="40" t="s">
        <v>172</v>
      </c>
      <c r="X75" s="40" t="s">
        <v>99</v>
      </c>
      <c r="Y75" s="40" t="s">
        <v>84</v>
      </c>
      <c r="Z75" s="40" t="s">
        <v>176</v>
      </c>
      <c r="AA75" s="40" t="s">
        <v>177</v>
      </c>
      <c r="AB75" s="40" t="s">
        <v>126</v>
      </c>
      <c r="AC75" s="40" t="s">
        <v>91</v>
      </c>
      <c r="AD75" s="40" t="s">
        <v>178</v>
      </c>
      <c r="AE75" s="40" t="s">
        <v>72</v>
      </c>
      <c r="AF75" s="40" t="s">
        <v>77</v>
      </c>
      <c r="AG75" s="40" t="s">
        <v>78</v>
      </c>
      <c r="AH75" t="str">
        <f>VLOOKUP($R75,武学奇术!$A:$ZZ,25,FALSE)</f>
        <v>伞</v>
      </c>
      <c r="AI75" s="26">
        <f>VLOOKUP($R75,武学奇术!$A:$ZZ,26,FALSE)</f>
        <v>1.8084</v>
      </c>
      <c r="AJ75" s="27">
        <f>VLOOKUP($R75,武学奇术!$A:$ZZ,27,FALSE)*(1+IF(OR($AH75=$F$4,$AH75=$F$5),$B$22,0))</f>
        <v>750</v>
      </c>
      <c r="AK75" s="26">
        <f>VLOOKUP($R75,武学奇术!$A:$ZZ,28,FALSE)</f>
        <v>2.7126</v>
      </c>
      <c r="AL75" s="27">
        <f>VLOOKUP($R75,武学奇术!$A:$ZZ,29,FALSE)*(1+IF(OR($AH75=$F$4,$AH75=$F$5),$B$22,0))</f>
        <v>408</v>
      </c>
      <c r="AM75" s="26" cm="1">
        <f t="array" ref="AM75">$G$3+IFERROR(VLOOKUP($AH75,$F$4:$G$7,2,FALSE),0)+VLOOKUP($R75,武学奇术!$A:$ZZ,2,FALSE)+SUM(_xlfn.XLOOKUP($S75:$AG75,增益!$A:$A,增益!$B:$B,0))</f>
        <v>1.0541</v>
      </c>
      <c r="AN75" s="26" cm="1">
        <f t="array" ref="AN75">VLOOKUP($R75,武学奇术!$A:$ZZ,5,FALSE)+SUM(_xlfn.XLOOKUP($S75:$AG75,增益!$A:$A,增益!$E:$E,0))</f>
        <v>0</v>
      </c>
      <c r="AO75" cm="1">
        <f t="array" ref="AO75">$D$10*(1+$AN75)+VLOOKUP($R75,武学奇术!$A:$ZZ,3,FALSE)+SUM(_xlfn.XLOOKUP($S75:$AG75,增益!$A:$A,增益!$C:$C,0))-$I$2</f>
        <v>3624.6</v>
      </c>
      <c r="AP75" cm="1">
        <f t="array" ref="AP75">$E$10*(1+$AN75)+VLOOKUP($R75,武学奇术!$A:$ZZ,4,FALSE)+SUM(_xlfn.XLOOKUP($S75:$AG75,增益!$A:$A,增益!$D:$D,0))-$I$2</f>
        <v>3624.6</v>
      </c>
      <c r="AQ75" s="32" cm="1">
        <f t="array" ref="AQ75">IF($F$10-$I$3+VLOOKUP($R75,武学奇术!$A:$ZZ,6,FALSE)+SUM(_xlfn.XLOOKUP(S75:AG75,增益!$A:$A,增益!$F:$F,0))&gt;0,($F$10-$I$3+VLOOKUP($R75,武学奇术!$A:$ZZ,6,FALSE)+SUM(_xlfn.XLOOKUP(S75:AG75,增益!$A:$A,增益!$F:$F,0)))/200,($F$10-$I$3+VLOOKUP($R75,武学奇术!$A:$ZZ,6,FALSE)+SUM(_xlfn.XLOOKUP(S75:AG75,增益!$A:$A,增益!$F:$F,0)))/100)</f>
        <v>0.3425</v>
      </c>
      <c r="AR75" s="32" cm="1">
        <f t="array" ref="AR75">$G$10+VLOOKUP($R75,武学奇术!$A:$ZZ,7,FALSE)+SUM(_xlfn.XLOOKUP(S75:AG75,增益!$A:$A,增益!$G:$G,0))</f>
        <v>0.148</v>
      </c>
      <c r="AS75" s="26" cm="1">
        <f t="array" ref="AS75">VLOOKUP($R75,武学奇术!$A:$ZZ,8,FALSE)+SUM(_xlfn.XLOOKUP(S75:AG75,增益!$A:$A,增益!$H:$H,0))</f>
        <v>0</v>
      </c>
      <c r="AT75">
        <f t="shared" si="35"/>
        <v>0</v>
      </c>
      <c r="AU75">
        <f t="shared" si="36"/>
        <v>0</v>
      </c>
      <c r="AV75" s="32" cm="1">
        <f t="array" ref="AV75">IF($F$11-$I$4+VLOOKUP($R75,武学奇术!$A:$ZZ,9,FALSE)+SUM(_xlfn.XLOOKUP(S75:AG75,增益!$A:$A,增益!$I:$I,0))&gt;0,($F$11-$I$4+VLOOKUP($R75,武学奇术!$A:$ZZ,9,FALSE)+SUM(_xlfn.XLOOKUP(S75:AG75,增益!$A:$A,增益!$I:$I,0)))/200,($F$11-$I$4+VLOOKUP($R75,武学奇术!$A:$ZZ,9,FALSE)+SUM(_xlfn.XLOOKUP(S75:AG75,增益!$A:$A,增益!$I:$I,0)))/100)</f>
        <v>-0.14</v>
      </c>
      <c r="AW75" s="32" cm="1">
        <f t="array" ref="AW75">$G$11+VLOOKUP($R75,武学奇术!$A:$ZZ,10,FALSE)+SUM(_xlfn.XLOOKUP(S75:AG75,增益!$A:$A,增益!$J:$J,0))</f>
        <v>0.1</v>
      </c>
      <c r="AX75">
        <f t="shared" si="37"/>
        <v>0</v>
      </c>
      <c r="AY75">
        <f t="shared" si="38"/>
        <v>0</v>
      </c>
      <c r="AZ75" s="32" cm="1">
        <f t="array" ref="AZ75">IF($F$12-$I$4+VLOOKUP($R75,武学奇术!$A:$ZZ,11,FALSE)+SUM(_xlfn.XLOOKUP(S75:AG75,增益!$A:$A,增益!$K:$K,0))&gt;0,($F$12-$I$4+VLOOKUP($R75,武学奇术!$A:$ZZ,11,FALSE)+SUM(_xlfn.XLOOKUP(S75:AG75,增益!$A:$A,增益!$K:$K,0)))/200,($F$12-$I$4+VLOOKUP($R75,武学奇术!$A:$ZZ,11,FALSE)+SUM(_xlfn.XLOOKUP(S75:AG75,增益!$A:$A,增益!$K:$K,0)))/100)</f>
        <v>-0.14</v>
      </c>
      <c r="BA75" s="32" cm="1">
        <f t="array" ref="BA75">$G$12+VLOOKUP($R75,武学奇术!$A:$ZZ,12,FALSE)+SUM(_xlfn.XLOOKUP(S75:AG75,增益!$A:$A,增益!$L:$L,0))</f>
        <v>0</v>
      </c>
      <c r="BB75">
        <f t="shared" si="39"/>
        <v>0</v>
      </c>
      <c r="BC75">
        <f t="shared" si="40"/>
        <v>0</v>
      </c>
      <c r="BD75" s="32" cm="1">
        <f t="array" ref="BD75">IF($F$13-$I$4+VLOOKUP($R75,武学奇术!$A:$ZZ,13,FALSE)+SUM(_xlfn.XLOOKUP(S75:AG75,增益!$A:$A,增益!$M:$M,0))&gt;0,($F$13-$I$4+VLOOKUP($R75,武学奇术!$A:$ZZ,13,FALSE)+SUM(_xlfn.XLOOKUP(S75:AG75,增益!$A:$A,增益!$K:$K,0)))/200,($F$13-$I$4+VLOOKUP($R75,武学奇术!$A:$ZZ,13,FALSE)+SUM(_xlfn.XLOOKUP(S75:AG75,增益!$A:$A,增益!$M:$M,0)))/100)</f>
        <v>-0.14</v>
      </c>
      <c r="BE75" s="32" cm="1">
        <f t="array" ref="BE75">$G$13+VLOOKUP($R75,武学奇术!$A:$ZZ,14,FALSE)+SUM(_xlfn.XLOOKUP(S75:AG75,增益!$A:$A,增益!$N:$N,0))</f>
        <v>0</v>
      </c>
      <c r="BF75">
        <f t="shared" si="41"/>
        <v>571.2</v>
      </c>
      <c r="BG75">
        <f t="shared" si="42"/>
        <v>1627.8</v>
      </c>
      <c r="BH75" s="32" cm="1">
        <f t="array" ref="BH75">IF($F$14-$I$4+VLOOKUP($R75,武学奇术!$A:$ZZ,15,FALSE)+SUM(_xlfn.XLOOKUP(S75:AG75,增益!$A:$A,增益!$O:$O,0))&gt;0,($F$14-$I$4+VLOOKUP($R75,武学奇术!$A:$ZZ,15,FALSE)+SUM(_xlfn.XLOOKUP(S75:AG75,增益!$A:$A,增益!$O:$O,0)))/200,($F$14-$I$4+VLOOKUP($R75,武学奇术!$A:$ZZ,15,FALSE)+SUM(_xlfn.XLOOKUP(S75:AG75,增益!$A:$A,增益!$O:$O,0)))/100)</f>
        <v>0.08</v>
      </c>
      <c r="BI75" s="32" cm="1">
        <f t="array" ref="BI75">$G$14+VLOOKUP($R75,武学奇术!$A:$ZZ,16,FALSE)+SUM(_xlfn.XLOOKUP(S75:AG75,增益!$A:$A,增益!$P:$P,0))</f>
        <v>0.27</v>
      </c>
      <c r="BJ75" s="26">
        <f>MIN(IF(VLOOKUP($R75,武学奇术!$A:$ZZ,23,FALSE)=1,100%,$B$8),100%)</f>
        <v>1</v>
      </c>
      <c r="BK75" s="26" cm="1">
        <f t="array" ref="BK75">IF(VLOOKUP($R75,武学奇术!$A:$ZZ,23,FALSE)=1,100%,MIN(80%,$B$9+VLOOKUP($R75,武学奇术!$A:$ZZ,17,FALSE)+SUM(_xlfn.XLOOKUP(S75:AG75,增益!$A:$A,增益!$Q:$Q,0)))+$B$11+SUM(_xlfn.XLOOKUP(S75:AG75,增益!$A:$A,增益!$U:$U,0)))*IF(VLOOKUP($R75,武学奇术!$A:$ZZ,24,FALSE)=1,0,1)</f>
        <v>1</v>
      </c>
      <c r="BL75" s="26" cm="1">
        <f t="array" ref="BL75">1+$B$13+VLOOKUP($R75,武学奇术!$A:$ZZ,18,FALSE)+SUM(_xlfn.XLOOKUP(S75:AG75,增益!$A:$A,增益!$R:$R,0))</f>
        <v>2.06</v>
      </c>
      <c r="BM75" s="26" cm="1">
        <f t="array" ref="BM75">IF(VLOOKUP($R75,武学奇术!$A:$ZZ,24,FALSE)=1,100%,MIN(40%,$B$10+VLOOKUP($R75,武学奇术!$A:$ZZ,19,FALSE)+SUM(_xlfn.XLOOKUP(S75:AG75,增益!$A:$A,增益!$S:$S,0)))+$B$12+SUM(_xlfn.XLOOKUP(S75:AG75,增益!$A:$A,增益!$V:$V,0)))*IF(VLOOKUP($R75,武学奇术!$A:$ZZ,23,FALSE)=1,0,1)</f>
        <v>0</v>
      </c>
      <c r="BN75" s="26" cm="1">
        <f t="array" ref="BN75">1+$B$14+VLOOKUP($R75,武学奇术!$A:$ZZ,20,FALSE)+SUM(_xlfn.XLOOKUP(S75:AG75,增益!$A:$A,增益!$T:$T,0))</f>
        <v>1.35</v>
      </c>
      <c r="BO75" s="26">
        <f t="shared" si="23"/>
        <v>1</v>
      </c>
      <c r="BP75" s="26">
        <f t="shared" si="33"/>
        <v>0</v>
      </c>
      <c r="BQ75" s="26">
        <f>IF(VLOOKUP($R75,武学奇术!$A:$ZZ,22,FALSE)=1,0,(1-$BJ75))*(1-$BM75)</f>
        <v>0</v>
      </c>
      <c r="BR75" s="26" cm="1">
        <f t="array" ref="BR75">SUM(_xlfn.XLOOKUP(S75:AG75,增益!$A:$A,增益!$W:$W,0))+$I$5</f>
        <v>0.31</v>
      </c>
    </row>
    <row r="76" spans="1:70">
      <c r="A76" s="4" t="s">
        <v>164</v>
      </c>
      <c r="B76" s="4">
        <v>0.85</v>
      </c>
      <c r="C76" s="39"/>
      <c r="D76" s="39"/>
      <c r="E76" s="39"/>
      <c r="F76" s="39"/>
      <c r="K76">
        <f>$L76*VLOOKUP($R76,武学奇术!$A:$ZZ,31,FALSE)</f>
        <v>142923.863154991</v>
      </c>
      <c r="L76" s="38">
        <f t="shared" si="34"/>
        <v>136117.964909515</v>
      </c>
      <c r="M76" s="38">
        <f>((($AO76+$AP76)/2*$AI76+$AJ76)*(1+$AQ76)*(1+$AR76)+(($AT76+$AU76)/2*IF($G$1="鸣金",$AK76,$AI76)+IF($G$1="鸣金",$AL76*1.5,0))*(1+$AV76)*(1+$AW76)+(($AX76+$AY76)/2*IF($G$1="裂石",$AK76,$AI76)+IF($G$1="裂石",$AL76*1.5,0))*(1+$AZ76)*(1+$BA76)+(($BB76+$BC76)/2*IF($G$1="牵丝",$AK76,$AI76)+IF($G$1="牵丝",$AL76*1.5,0))*(1+$BD76)*(1+$BE76)+(($BF76+$BG76)/2*IF($G$1="破竹",$AK76,$AI76)+IF($G$1="破竹",$AL76*1.5,0))*(1+$BH76)*(1+$BI76))*(1+$AM76)*$BL76*$Q76*(1+IF(VLOOKUP($R76,武学奇术!$A:$ZZ,30,FALSE)="回旋伞",$B$21,0))*(1+$BR76)</f>
        <v>136117.964909515</v>
      </c>
      <c r="N76" s="38">
        <f>(($AP76*$AI76+$AJ76)*(1+$AQ76)*(1+$AR76)+($AU76*IF($G$1="鸣金",$AK76,$AI76)+IF($G$1="鸣金",$AL76*1.5,0))*(1+$AV76)*(1+$AW76)+($AY76*IF($G$1="裂石",$AK76,$AI76)+IF($G$1="裂石",$AL76*1.5,0))*(1+$AZ76)*(1+$BA76)+($BC76*IF($G$1="牵丝",$AK76,$AI76)+IF($G$1="牵丝",$AL76*1.5,0))*(1+$BD76)*(1+$BE76)+($BG76*IF($G$1="破竹",$AK76,$AI76)+IF($G$1="破竹",$AL76*1.5,0))*(1+$BH76)*(1+$BI76))*(1+$AM76)*$BN76*$Q76*(1+IF(VLOOKUP($R76,武学奇术!$A:$ZZ,30,FALSE)="回旋伞",$B$21,0))*(1+$BR76)</f>
        <v>101557.454547429</v>
      </c>
      <c r="O76" s="38">
        <f>((($AO76+$AP76)/2*$AI76+$AJ76)*(1+$AQ76)*(1+$AR76)+(($AT76+$AU76)/2*IF($G$1="鸣金",$AK76,$AI76)+IF($G$1="鸣金",$AL76*1.5,0))*(1+$AV76)*(1+$AW76)+(($AX76+$AY76)/2*IF($G$1="裂石",$AK76,$AI76)+IF($G$1="裂石",$AL76*1.5,0))*(1+$AZ76)*(1+$BA76)+(($BB76+$BC76)/2*IF($G$1="牵丝",$AK76,$AI76)+IF($G$1="牵丝",$AL76*1.5,0))*(1+$BD76)*(1+$BE76)+(($BF76+$BG76)/2*IF($G$1="破竹",$AK76,$AI76)+IF($G$1="破竹",$AL76*1.5,0))*(1+$BH76)*(1+$BI76))*(1+$AM76)*$Q76*(1+IF(VLOOKUP($R76,武学奇术!$A:$ZZ,30,FALSE)="回旋伞",$B$21,0))*(1+$BR76)</f>
        <v>66076.6819949101</v>
      </c>
      <c r="P76" s="38">
        <f>((($AO76*$AI76+$AJ76)*(1+$AQ76)*(1+$AR76)+($AT76*IF($G$1="鸣金",$AK76,$AI76)+IF($G$1="鸣金",$AL76*1.5,0))*(1+$AV76)*(1+$AW76)+($AX76*IF($G$1="裂石",$AK76,$AI76)+IF($G$1="裂石",$AL76*1.5,0))*(1+$AZ76)*(1+$BA76)+($BB76*IF($G$1="牵丝",$AK76,$AI76)+IF($G$1="牵丝",$AL76*1.5,0))*(1+$BD76)*(1+$BE76)+($BF76*IF($G$1="破竹",$AK76,$AI76)+IF($G$1="破竹",$AL76*1.5,0))*(1+$BH76)*(1+$BI76))*(1+$AM76))*$Q76*(1+IF(VLOOKUP($R76,武学奇术!$A:$ZZ,30,FALSE)="回旋伞",$B$21,0))*(1+$BR76)</f>
        <v>56925.6198806133</v>
      </c>
      <c r="Q76" s="39">
        <v>4</v>
      </c>
      <c r="R76" s="40" t="s">
        <v>132</v>
      </c>
      <c r="S76" s="40" t="s">
        <v>109</v>
      </c>
      <c r="T76" s="40" t="s">
        <v>95</v>
      </c>
      <c r="U76" s="40" t="s">
        <v>73</v>
      </c>
      <c r="V76" s="40" t="s">
        <v>81</v>
      </c>
      <c r="W76" s="40" t="s">
        <v>172</v>
      </c>
      <c r="X76" s="40" t="s">
        <v>99</v>
      </c>
      <c r="Y76" s="40" t="s">
        <v>84</v>
      </c>
      <c r="Z76" s="40" t="s">
        <v>176</v>
      </c>
      <c r="AA76" s="40" t="s">
        <v>177</v>
      </c>
      <c r="AB76" s="40" t="s">
        <v>126</v>
      </c>
      <c r="AC76" s="40" t="s">
        <v>91</v>
      </c>
      <c r="AD76" s="40" t="s">
        <v>178</v>
      </c>
      <c r="AE76" s="40" t="s">
        <v>72</v>
      </c>
      <c r="AF76" s="40" t="s">
        <v>77</v>
      </c>
      <c r="AG76" s="40" t="s">
        <v>78</v>
      </c>
      <c r="AH76" t="str">
        <f>VLOOKUP($R76,武学奇术!$A:$ZZ,25,FALSE)</f>
        <v>伞</v>
      </c>
      <c r="AI76" s="26">
        <f>VLOOKUP($R76,武学奇术!$A:$ZZ,26,FALSE)</f>
        <v>0.54</v>
      </c>
      <c r="AJ76" s="27">
        <f>VLOOKUP($R76,武学奇术!$A:$ZZ,27,FALSE)*(1+IF(OR($AH76=$F$4,$AH76=$F$5),$B$22,0))</f>
        <v>0</v>
      </c>
      <c r="AK76" s="26">
        <f>VLOOKUP($R76,武学奇术!$A:$ZZ,28,FALSE)</f>
        <v>0.81</v>
      </c>
      <c r="AL76" s="27">
        <f>VLOOKUP($R76,武学奇术!$A:$ZZ,29,FALSE)*(1+IF(OR($AH76=$F$4,$AH76=$F$5),$B$22,0))</f>
        <v>0</v>
      </c>
      <c r="AM76" s="26" cm="1">
        <f t="array" ref="AM76">$G$3+IFERROR(VLOOKUP($AH76,$F$4:$G$7,2,FALSE),0)+VLOOKUP($R76,武学奇术!$A:$ZZ,2,FALSE)+SUM(_xlfn.XLOOKUP($S76:$AG76,增益!$A:$A,增益!$B:$B,0))</f>
        <v>1.2541</v>
      </c>
      <c r="AN76" s="26" cm="1">
        <f t="array" ref="AN76">VLOOKUP($R76,武学奇术!$A:$ZZ,5,FALSE)+SUM(_xlfn.XLOOKUP($S76:$AG76,增益!$A:$A,增益!$E:$E,0))</f>
        <v>0</v>
      </c>
      <c r="AO76" cm="1">
        <f t="array" ref="AO76">$D$10*(1+$AN76)+VLOOKUP($R76,武学奇术!$A:$ZZ,3,FALSE)+SUM(_xlfn.XLOOKUP($S76:$AG76,增益!$A:$A,增益!$C:$C,0))-$I$2</f>
        <v>3624.6</v>
      </c>
      <c r="AP76" cm="1">
        <f t="array" ref="AP76">$E$10*(1+$AN76)+VLOOKUP($R76,武学奇术!$A:$ZZ,4,FALSE)+SUM(_xlfn.XLOOKUP($S76:$AG76,增益!$A:$A,增益!$D:$D,0))-$I$2</f>
        <v>3624.6</v>
      </c>
      <c r="AQ76" s="32" cm="1">
        <f t="array" ref="AQ76">IF($F$10-$I$3+VLOOKUP($R76,武学奇术!$A:$ZZ,6,FALSE)+SUM(_xlfn.XLOOKUP(S76:AG76,增益!$A:$A,增益!$F:$F,0))&gt;0,($F$10-$I$3+VLOOKUP($R76,武学奇术!$A:$ZZ,6,FALSE)+SUM(_xlfn.XLOOKUP(S76:AG76,增益!$A:$A,增益!$F:$F,0)))/200,($F$10-$I$3+VLOOKUP($R76,武学奇术!$A:$ZZ,6,FALSE)+SUM(_xlfn.XLOOKUP(S76:AG76,增益!$A:$A,增益!$F:$F,0)))/100)</f>
        <v>0.3425</v>
      </c>
      <c r="AR76" s="32" cm="1">
        <f t="array" ref="AR76">$G$10+VLOOKUP($R76,武学奇术!$A:$ZZ,7,FALSE)+SUM(_xlfn.XLOOKUP(S76:AG76,增益!$A:$A,增益!$G:$G,0))</f>
        <v>0.148</v>
      </c>
      <c r="AS76" s="26" cm="1">
        <f t="array" ref="AS76">VLOOKUP($R76,武学奇术!$A:$ZZ,8,FALSE)+SUM(_xlfn.XLOOKUP(S76:AG76,增益!$A:$A,增益!$H:$H,0))</f>
        <v>0</v>
      </c>
      <c r="AT76">
        <f t="shared" si="35"/>
        <v>0</v>
      </c>
      <c r="AU76">
        <f t="shared" si="36"/>
        <v>0</v>
      </c>
      <c r="AV76" s="32" cm="1">
        <f t="array" ref="AV76">IF($F$11-$I$4+VLOOKUP($R76,武学奇术!$A:$ZZ,9,FALSE)+SUM(_xlfn.XLOOKUP(S76:AG76,增益!$A:$A,增益!$I:$I,0))&gt;0,($F$11-$I$4+VLOOKUP($R76,武学奇术!$A:$ZZ,9,FALSE)+SUM(_xlfn.XLOOKUP(S76:AG76,增益!$A:$A,增益!$I:$I,0)))/200,($F$11-$I$4+VLOOKUP($R76,武学奇术!$A:$ZZ,9,FALSE)+SUM(_xlfn.XLOOKUP(S76:AG76,增益!$A:$A,增益!$I:$I,0)))/100)</f>
        <v>-0.14</v>
      </c>
      <c r="AW76" s="32" cm="1">
        <f t="array" ref="AW76">$G$11+VLOOKUP($R76,武学奇术!$A:$ZZ,10,FALSE)+SUM(_xlfn.XLOOKUP(S76:AG76,增益!$A:$A,增益!$J:$J,0))</f>
        <v>0.1</v>
      </c>
      <c r="AX76">
        <f t="shared" si="37"/>
        <v>0</v>
      </c>
      <c r="AY76">
        <f t="shared" si="38"/>
        <v>0</v>
      </c>
      <c r="AZ76" s="32" cm="1">
        <f t="array" ref="AZ76">IF($F$12-$I$4+VLOOKUP($R76,武学奇术!$A:$ZZ,11,FALSE)+SUM(_xlfn.XLOOKUP(S76:AG76,增益!$A:$A,增益!$K:$K,0))&gt;0,($F$12-$I$4+VLOOKUP($R76,武学奇术!$A:$ZZ,11,FALSE)+SUM(_xlfn.XLOOKUP(S76:AG76,增益!$A:$A,增益!$K:$K,0)))/200,($F$12-$I$4+VLOOKUP($R76,武学奇术!$A:$ZZ,11,FALSE)+SUM(_xlfn.XLOOKUP(S76:AG76,增益!$A:$A,增益!$K:$K,0)))/100)</f>
        <v>-0.14</v>
      </c>
      <c r="BA76" s="32" cm="1">
        <f t="array" ref="BA76">$G$12+VLOOKUP($R76,武学奇术!$A:$ZZ,12,FALSE)+SUM(_xlfn.XLOOKUP(S76:AG76,增益!$A:$A,增益!$L:$L,0))</f>
        <v>0</v>
      </c>
      <c r="BB76">
        <f t="shared" si="39"/>
        <v>0</v>
      </c>
      <c r="BC76">
        <f t="shared" si="40"/>
        <v>0</v>
      </c>
      <c r="BD76" s="32" cm="1">
        <f t="array" ref="BD76">IF($F$13-$I$4+VLOOKUP($R76,武学奇术!$A:$ZZ,13,FALSE)+SUM(_xlfn.XLOOKUP(S76:AG76,增益!$A:$A,增益!$M:$M,0))&gt;0,($F$13-$I$4+VLOOKUP($R76,武学奇术!$A:$ZZ,13,FALSE)+SUM(_xlfn.XLOOKUP(S76:AG76,增益!$A:$A,增益!$K:$K,0)))/200,($F$13-$I$4+VLOOKUP($R76,武学奇术!$A:$ZZ,13,FALSE)+SUM(_xlfn.XLOOKUP(S76:AG76,增益!$A:$A,增益!$M:$M,0)))/100)</f>
        <v>-0.14</v>
      </c>
      <c r="BE76" s="32" cm="1">
        <f t="array" ref="BE76">$G$13+VLOOKUP($R76,武学奇术!$A:$ZZ,14,FALSE)+SUM(_xlfn.XLOOKUP(S76:AG76,增益!$A:$A,增益!$N:$N,0))</f>
        <v>0</v>
      </c>
      <c r="BF76">
        <f t="shared" si="41"/>
        <v>571.2</v>
      </c>
      <c r="BG76">
        <f t="shared" si="42"/>
        <v>1627.8</v>
      </c>
      <c r="BH76" s="32" cm="1">
        <f t="array" ref="BH76">IF($F$14-$I$4+VLOOKUP($R76,武学奇术!$A:$ZZ,15,FALSE)+SUM(_xlfn.XLOOKUP(S76:AG76,增益!$A:$A,增益!$O:$O,0))&gt;0,($F$14-$I$4+VLOOKUP($R76,武学奇术!$A:$ZZ,15,FALSE)+SUM(_xlfn.XLOOKUP(S76:AG76,增益!$A:$A,增益!$O:$O,0)))/200,($F$14-$I$4+VLOOKUP($R76,武学奇术!$A:$ZZ,15,FALSE)+SUM(_xlfn.XLOOKUP(S76:AG76,增益!$A:$A,增益!$O:$O,0)))/100)</f>
        <v>0.08</v>
      </c>
      <c r="BI76" s="32" cm="1">
        <f t="array" ref="BI76">$G$14+VLOOKUP($R76,武学奇术!$A:$ZZ,16,FALSE)+SUM(_xlfn.XLOOKUP(S76:AG76,增益!$A:$A,增益!$P:$P,0))</f>
        <v>0.27</v>
      </c>
      <c r="BJ76" s="26">
        <f>MIN(IF(VLOOKUP($R76,武学奇术!$A:$ZZ,23,FALSE)=1,100%,$B$8),100%)</f>
        <v>1</v>
      </c>
      <c r="BK76" s="26" cm="1">
        <f t="array" ref="BK76">IF(VLOOKUP($R76,武学奇术!$A:$ZZ,23,FALSE)=1,100%,MIN(80%,$B$9+VLOOKUP($R76,武学奇术!$A:$ZZ,17,FALSE)+SUM(_xlfn.XLOOKUP(S76:AG76,增益!$A:$A,增益!$Q:$Q,0)))+$B$11+SUM(_xlfn.XLOOKUP(S76:AG76,增益!$A:$A,增益!$U:$U,0)))*IF(VLOOKUP($R76,武学奇术!$A:$ZZ,24,FALSE)=1,0,1)</f>
        <v>1</v>
      </c>
      <c r="BL76" s="26" cm="1">
        <f t="array" ref="BL76">1+$B$13+VLOOKUP($R76,武学奇术!$A:$ZZ,18,FALSE)+SUM(_xlfn.XLOOKUP(S76:AG76,增益!$A:$A,增益!$R:$R,0))</f>
        <v>2.06</v>
      </c>
      <c r="BM76" s="26" cm="1">
        <f t="array" ref="BM76">IF(VLOOKUP($R76,武学奇术!$A:$ZZ,24,FALSE)=1,100%,MIN(40%,$B$10+VLOOKUP($R76,武学奇术!$A:$ZZ,19,FALSE)+SUM(_xlfn.XLOOKUP(S76:AG76,增益!$A:$A,增益!$S:$S,0)))+$B$12+SUM(_xlfn.XLOOKUP(S76:AG76,增益!$A:$A,增益!$V:$V,0)))*IF(VLOOKUP($R76,武学奇术!$A:$ZZ,23,FALSE)=1,0,1)</f>
        <v>0</v>
      </c>
      <c r="BN76" s="26" cm="1">
        <f t="array" ref="BN76">1+$B$14+VLOOKUP($R76,武学奇术!$A:$ZZ,20,FALSE)+SUM(_xlfn.XLOOKUP(S76:AG76,增益!$A:$A,增益!$T:$T,0))</f>
        <v>1.35</v>
      </c>
      <c r="BO76" s="26">
        <f t="shared" si="23"/>
        <v>1</v>
      </c>
      <c r="BP76" s="26">
        <f t="shared" si="33"/>
        <v>0</v>
      </c>
      <c r="BQ76" s="26">
        <f>IF(VLOOKUP($R76,武学奇术!$A:$ZZ,22,FALSE)=1,0,(1-$BJ76))*(1-$BM76)</f>
        <v>0</v>
      </c>
      <c r="BR76" s="26" cm="1">
        <f t="array" ref="BR76">SUM(_xlfn.XLOOKUP(S76:AG76,增益!$A:$A,增益!$W:$W,0))+$I$5</f>
        <v>0.31</v>
      </c>
    </row>
    <row r="77" spans="1:70">
      <c r="A77" s="4" t="s">
        <v>161</v>
      </c>
      <c r="B77" s="87">
        <v>1</v>
      </c>
      <c r="C77" s="39"/>
      <c r="D77" s="39"/>
      <c r="E77" s="39"/>
      <c r="F77" s="39"/>
      <c r="G77"/>
      <c r="K77">
        <f>$L77*VLOOKUP($R77,武学奇术!$A:$ZZ,31,FALSE)</f>
        <v>314776.241658456</v>
      </c>
      <c r="L77" s="38">
        <f t="shared" si="34"/>
        <v>299786.896817577</v>
      </c>
      <c r="M77" s="38">
        <f>((($AO77+$AP77)/2*$AI77+$AJ77)*(1+$AQ77)*(1+$AR77)+(($AT77+$AU77)/2*IF($G$1="鸣金",$AK77,$AI77)+IF($G$1="鸣金",$AL77*1.5,0))*(1+$AV77)*(1+$AW77)+(($AX77+$AY77)/2*IF($G$1="裂石",$AK77,$AI77)+IF($G$1="裂石",$AL77*1.5,0))*(1+$AZ77)*(1+$BA77)+(($BB77+$BC77)/2*IF($G$1="牵丝",$AK77,$AI77)+IF($G$1="牵丝",$AL77*1.5,0))*(1+$BD77)*(1+$BE77)+(($BF77+$BG77)/2*IF($G$1="破竹",$AK77,$AI77)+IF($G$1="破竹",$AL77*1.5,0))*(1+$BH77)*(1+$BI77))*(1+$AM77)*$BL77*$Q77*(1+IF(VLOOKUP($R77,武学奇术!$A:$ZZ,30,FALSE)="回旋伞",$B$21,0))*(1+$BR77)</f>
        <v>320748.938204351</v>
      </c>
      <c r="N77" s="38">
        <f>(($AP77*$AI77+$AJ77)*(1+$AQ77)*(1+$AR77)+($AU77*IF($G$1="鸣金",$AK77,$AI77)+IF($G$1="鸣金",$AL77*1.5,0))*(1+$AV77)*(1+$AW77)+($AY77*IF($G$1="裂石",$AK77,$AI77)+IF($G$1="裂石",$AL77*1.5,0))*(1+$AZ77)*(1+$BA77)+($BC77*IF($G$1="牵丝",$AK77,$AI77)+IF($G$1="牵丝",$AL77*1.5,0))*(1+$BD77)*(1+$BE77)+($BG77*IF($G$1="破竹",$AK77,$AI77)+IF($G$1="破竹",$AL77*1.5,0))*(1+$BH77)*(1+$BI77))*(1+$AM77)*$BN77*$Q77*(1+IF(VLOOKUP($R77,武学奇术!$A:$ZZ,30,FALSE)="回旋伞",$B$21,0))*(1+$BR77)</f>
        <v>235722.284071652</v>
      </c>
      <c r="O77" s="38">
        <f>((($AO77+$AP77)/2*$AI77+$AJ77)*(1+$AQ77)*(1+$AR77)+(($AT77+$AU77)/2*IF($G$1="鸣金",$AK77,$AI77)+IF($G$1="鸣金",$AL77*1.5,0))*(1+$AV77)*(1+$AW77)+(($AX77+$AY77)/2*IF($G$1="裂石",$AK77,$AI77)+IF($G$1="裂石",$AL77*1.5,0))*(1+$AZ77)*(1+$BA77)+(($BB77+$BC77)/2*IF($G$1="牵丝",$AK77,$AI77)+IF($G$1="牵丝",$AL77*1.5,0))*(1+$BD77)*(1+$BE77)+(($BF77+$BG77)/2*IF($G$1="破竹",$AK77,$AI77)+IF($G$1="破竹",$AL77*1.5,0))*(1+$BH77)*(1+$BI77))*(1+$AM77)*$Q77*(1+IF(VLOOKUP($R77,武学奇术!$A:$ZZ,30,FALSE)="回旋伞",$B$21,0))*(1+$BR77)</f>
        <v>155703.368060365</v>
      </c>
      <c r="P77" s="38">
        <f>((($AO77*$AI77+$AJ77)*(1+$AQ77)*(1+$AR77)+($AT77*IF($G$1="鸣金",$AK77,$AI77)+IF($G$1="鸣金",$AL77*1.5,0))*(1+$AV77)*(1+$AW77)+($AX77*IF($G$1="裂石",$AK77,$AI77)+IF($G$1="裂石",$AL77*1.5,0))*(1+$AZ77)*(1+$BA77)+($BB77*IF($G$1="牵丝",$AK77,$AI77)+IF($G$1="牵丝",$AL77*1.5,0))*(1+$BD77)*(1+$BE77)+($BF77*IF($G$1="破竹",$AK77,$AI77)+IF($G$1="破竹",$AL77*1.5,0))*(1+$BH77)*(1+$BI77))*(1+$AM77))*$Q77*(1+IF(VLOOKUP($R77,武学奇术!$A:$ZZ,30,FALSE)="回旋伞",$B$21,0))*(1+$BR77)</f>
        <v>136797.636808395</v>
      </c>
      <c r="Q77" s="39">
        <v>3</v>
      </c>
      <c r="R77" s="40" t="s">
        <v>108</v>
      </c>
      <c r="S77" s="40" t="s">
        <v>109</v>
      </c>
      <c r="T77" s="40" t="s">
        <v>95</v>
      </c>
      <c r="U77" s="40" t="s">
        <v>73</v>
      </c>
      <c r="V77" s="40" t="s">
        <v>81</v>
      </c>
      <c r="W77" s="40" t="s">
        <v>172</v>
      </c>
      <c r="X77" s="40" t="s">
        <v>99</v>
      </c>
      <c r="Y77" s="40" t="s">
        <v>84</v>
      </c>
      <c r="Z77" s="40" t="s">
        <v>176</v>
      </c>
      <c r="AA77" s="40" t="s">
        <v>177</v>
      </c>
      <c r="AB77" s="40" t="s">
        <v>126</v>
      </c>
      <c r="AC77" s="40" t="s">
        <v>91</v>
      </c>
      <c r="AD77" s="40" t="s">
        <v>178</v>
      </c>
      <c r="AE77" s="40" t="s">
        <v>72</v>
      </c>
      <c r="AF77" s="40" t="s">
        <v>77</v>
      </c>
      <c r="AG77" s="40" t="s">
        <v>78</v>
      </c>
      <c r="AH77" t="str">
        <f>VLOOKUP($R77,武学奇术!$A:$ZZ,25,FALSE)</f>
        <v>伞</v>
      </c>
      <c r="AI77" s="26">
        <f>VLOOKUP($R77,武学奇术!$A:$ZZ,26,FALSE)</f>
        <v>1.8084</v>
      </c>
      <c r="AJ77" s="27">
        <f>VLOOKUP($R77,武学奇术!$A:$ZZ,27,FALSE)*(1+IF(OR($AH77=$F$4,$AH77=$F$5),$B$22,0))</f>
        <v>750</v>
      </c>
      <c r="AK77" s="26">
        <f>VLOOKUP($R77,武学奇术!$A:$ZZ,28,FALSE)</f>
        <v>2.7126</v>
      </c>
      <c r="AL77" s="27">
        <f>VLOOKUP($R77,武学奇术!$A:$ZZ,29,FALSE)*(1+IF(OR($AH77=$F$4,$AH77=$F$5),$B$22,0))</f>
        <v>408</v>
      </c>
      <c r="AM77" s="26" cm="1">
        <f t="array" ref="AM77">$G$3+IFERROR(VLOOKUP($AH77,$F$4:$G$7,2,FALSE),0)+VLOOKUP($R77,武学奇术!$A:$ZZ,2,FALSE)+SUM(_xlfn.XLOOKUP($S77:$AG77,增益!$A:$A,增益!$B:$B,0))</f>
        <v>0.8541</v>
      </c>
      <c r="AN77" s="26" cm="1">
        <f t="array" ref="AN77">VLOOKUP($R77,武学奇术!$A:$ZZ,5,FALSE)+SUM(_xlfn.XLOOKUP($S77:$AG77,增益!$A:$A,增益!$E:$E,0))</f>
        <v>0</v>
      </c>
      <c r="AO77" cm="1">
        <f t="array" ref="AO77">$D$10*(1+$AN77)+VLOOKUP($R77,武学奇术!$A:$ZZ,3,FALSE)+SUM(_xlfn.XLOOKUP($S77:$AG77,增益!$A:$A,增益!$C:$C,0))-$I$2</f>
        <v>3624.6</v>
      </c>
      <c r="AP77" cm="1">
        <f t="array" ref="AP77">$E$10*(1+$AN77)+VLOOKUP($R77,武学奇术!$A:$ZZ,4,FALSE)+SUM(_xlfn.XLOOKUP($S77:$AG77,增益!$A:$A,增益!$D:$D,0))-$I$2</f>
        <v>3624.6</v>
      </c>
      <c r="AQ77" s="32" cm="1">
        <f t="array" ref="AQ77">IF($F$10-$I$3+VLOOKUP($R77,武学奇术!$A:$ZZ,6,FALSE)+SUM(_xlfn.XLOOKUP(S77:AG77,增益!$A:$A,增益!$F:$F,0))&gt;0,($F$10-$I$3+VLOOKUP($R77,武学奇术!$A:$ZZ,6,FALSE)+SUM(_xlfn.XLOOKUP(S77:AG77,增益!$A:$A,增益!$F:$F,0)))/200,($F$10-$I$3+VLOOKUP($R77,武学奇术!$A:$ZZ,6,FALSE)+SUM(_xlfn.XLOOKUP(S77:AG77,增益!$A:$A,增益!$F:$F,0)))/100)</f>
        <v>0.3425</v>
      </c>
      <c r="AR77" s="32" cm="1">
        <f t="array" ref="AR77">$G$10+VLOOKUP($R77,武学奇术!$A:$ZZ,7,FALSE)+SUM(_xlfn.XLOOKUP(S77:AG77,增益!$A:$A,增益!$G:$G,0))</f>
        <v>0.148</v>
      </c>
      <c r="AS77" s="26" cm="1">
        <f t="array" ref="AS77">VLOOKUP($R77,武学奇术!$A:$ZZ,8,FALSE)+SUM(_xlfn.XLOOKUP(S77:AG77,增益!$A:$A,增益!$H:$H,0))</f>
        <v>0</v>
      </c>
      <c r="AT77">
        <f t="shared" si="35"/>
        <v>0</v>
      </c>
      <c r="AU77">
        <f t="shared" si="36"/>
        <v>0</v>
      </c>
      <c r="AV77" s="32" cm="1">
        <f t="array" ref="AV77">IF($F$11-$I$4+VLOOKUP($R77,武学奇术!$A:$ZZ,9,FALSE)+SUM(_xlfn.XLOOKUP(S77:AG77,增益!$A:$A,增益!$I:$I,0))&gt;0,($F$11-$I$4+VLOOKUP($R77,武学奇术!$A:$ZZ,9,FALSE)+SUM(_xlfn.XLOOKUP(S77:AG77,增益!$A:$A,增益!$I:$I,0)))/200,($F$11-$I$4+VLOOKUP($R77,武学奇术!$A:$ZZ,9,FALSE)+SUM(_xlfn.XLOOKUP(S77:AG77,增益!$A:$A,增益!$I:$I,0)))/100)</f>
        <v>-0.14</v>
      </c>
      <c r="AW77" s="32" cm="1">
        <f t="array" ref="AW77">$G$11+VLOOKUP($R77,武学奇术!$A:$ZZ,10,FALSE)+SUM(_xlfn.XLOOKUP(S77:AG77,增益!$A:$A,增益!$J:$J,0))</f>
        <v>0.1</v>
      </c>
      <c r="AX77">
        <f t="shared" si="37"/>
        <v>0</v>
      </c>
      <c r="AY77">
        <f t="shared" si="38"/>
        <v>0</v>
      </c>
      <c r="AZ77" s="32" cm="1">
        <f t="array" ref="AZ77">IF($F$12-$I$4+VLOOKUP($R77,武学奇术!$A:$ZZ,11,FALSE)+SUM(_xlfn.XLOOKUP(S77:AG77,增益!$A:$A,增益!$K:$K,0))&gt;0,($F$12-$I$4+VLOOKUP($R77,武学奇术!$A:$ZZ,11,FALSE)+SUM(_xlfn.XLOOKUP(S77:AG77,增益!$A:$A,增益!$K:$K,0)))/200,($F$12-$I$4+VLOOKUP($R77,武学奇术!$A:$ZZ,11,FALSE)+SUM(_xlfn.XLOOKUP(S77:AG77,增益!$A:$A,增益!$K:$K,0)))/100)</f>
        <v>-0.14</v>
      </c>
      <c r="BA77" s="32" cm="1">
        <f t="array" ref="BA77">$G$12+VLOOKUP($R77,武学奇术!$A:$ZZ,12,FALSE)+SUM(_xlfn.XLOOKUP(S77:AG77,增益!$A:$A,增益!$L:$L,0))</f>
        <v>0</v>
      </c>
      <c r="BB77">
        <f t="shared" si="39"/>
        <v>0</v>
      </c>
      <c r="BC77">
        <f t="shared" si="40"/>
        <v>0</v>
      </c>
      <c r="BD77" s="32" cm="1">
        <f t="array" ref="BD77">IF($F$13-$I$4+VLOOKUP($R77,武学奇术!$A:$ZZ,13,FALSE)+SUM(_xlfn.XLOOKUP(S77:AG77,增益!$A:$A,增益!$M:$M,0))&gt;0,($F$13-$I$4+VLOOKUP($R77,武学奇术!$A:$ZZ,13,FALSE)+SUM(_xlfn.XLOOKUP(S77:AG77,增益!$A:$A,增益!$K:$K,0)))/200,($F$13-$I$4+VLOOKUP($R77,武学奇术!$A:$ZZ,13,FALSE)+SUM(_xlfn.XLOOKUP(S77:AG77,增益!$A:$A,增益!$M:$M,0)))/100)</f>
        <v>-0.14</v>
      </c>
      <c r="BE77" s="32" cm="1">
        <f t="array" ref="BE77">$G$13+VLOOKUP($R77,武学奇术!$A:$ZZ,14,FALSE)+SUM(_xlfn.XLOOKUP(S77:AG77,增益!$A:$A,增益!$N:$N,0))</f>
        <v>0</v>
      </c>
      <c r="BF77">
        <f t="shared" si="41"/>
        <v>571.2</v>
      </c>
      <c r="BG77">
        <f t="shared" si="42"/>
        <v>1627.8</v>
      </c>
      <c r="BH77" s="32" cm="1">
        <f t="array" ref="BH77">IF($F$14-$I$4+VLOOKUP($R77,武学奇术!$A:$ZZ,15,FALSE)+SUM(_xlfn.XLOOKUP(S77:AG77,增益!$A:$A,增益!$O:$O,0))&gt;0,($F$14-$I$4+VLOOKUP($R77,武学奇术!$A:$ZZ,15,FALSE)+SUM(_xlfn.XLOOKUP(S77:AG77,增益!$A:$A,增益!$O:$O,0)))/200,($F$14-$I$4+VLOOKUP($R77,武学奇术!$A:$ZZ,15,FALSE)+SUM(_xlfn.XLOOKUP(S77:AG77,增益!$A:$A,增益!$O:$O,0)))/100)</f>
        <v>0.08</v>
      </c>
      <c r="BI77" s="32" cm="1">
        <f t="array" ref="BI77">$G$14+VLOOKUP($R77,武学奇术!$A:$ZZ,16,FALSE)+SUM(_xlfn.XLOOKUP(S77:AG77,增益!$A:$A,增益!$P:$P,0))</f>
        <v>0.27</v>
      </c>
      <c r="BJ77" s="26">
        <f>MIN(IF(VLOOKUP($R77,武学奇术!$A:$ZZ,23,FALSE)=1,100%,$B$8),100%)</f>
        <v>0.981</v>
      </c>
      <c r="BK77" s="26" cm="1">
        <f t="array" ref="BK77">IF(VLOOKUP($R77,武学奇术!$A:$ZZ,23,FALSE)=1,100%,MIN(80%,$B$9+VLOOKUP($R77,武学奇术!$A:$ZZ,17,FALSE)+SUM(_xlfn.XLOOKUP(S77:AG77,增益!$A:$A,增益!$Q:$Q,0)))+$B$11+SUM(_xlfn.XLOOKUP(S77:AG77,增益!$A:$A,增益!$U:$U,0)))*IF(VLOOKUP($R77,武学奇术!$A:$ZZ,24,FALSE)=1,0,1)</f>
        <v>0.846</v>
      </c>
      <c r="BL77" s="26" cm="1">
        <f t="array" ref="BL77">1+$B$13+VLOOKUP($R77,武学奇术!$A:$ZZ,18,FALSE)+SUM(_xlfn.XLOOKUP(S77:AG77,增益!$A:$A,增益!$R:$R,0))</f>
        <v>2.06</v>
      </c>
      <c r="BM77" s="26" cm="1">
        <f t="array" ref="BM77">IF(VLOOKUP($R77,武学奇术!$A:$ZZ,24,FALSE)=1,100%,MIN(40%,$B$10+VLOOKUP($R77,武学奇术!$A:$ZZ,19,FALSE)+SUM(_xlfn.XLOOKUP(S77:AG77,增益!$A:$A,增益!$S:$S,0)))+$B$12+SUM(_xlfn.XLOOKUP(S77:AG77,增益!$A:$A,增益!$V:$V,0)))*IF(VLOOKUP($R77,武学奇术!$A:$ZZ,23,FALSE)=1,0,1)</f>
        <v>0.0929</v>
      </c>
      <c r="BN77" s="26" cm="1">
        <f t="array" ref="BN77">1+$B$14+VLOOKUP($R77,武学奇术!$A:$ZZ,20,FALSE)+SUM(_xlfn.XLOOKUP(S77:AG77,增益!$A:$A,增益!$T:$T,0))</f>
        <v>1.35</v>
      </c>
      <c r="BO77" s="26">
        <f t="shared" si="23"/>
        <v>0.829926</v>
      </c>
      <c r="BP77" s="26">
        <f t="shared" si="33"/>
        <v>0.0599391</v>
      </c>
      <c r="BQ77" s="26">
        <f>IF(VLOOKUP($R77,武学奇术!$A:$ZZ,22,FALSE)=1,0,(1-$BJ77))*(1-$BM77)</f>
        <v>0.0172349</v>
      </c>
      <c r="BR77" s="26" cm="1">
        <f t="array" ref="BR77">SUM(_xlfn.XLOOKUP(S77:AG77,增益!$A:$A,增益!$W:$W,0))+$I$5</f>
        <v>0.31</v>
      </c>
    </row>
    <row r="78" spans="1:70">
      <c r="A78" s="4" t="s">
        <v>161</v>
      </c>
      <c r="B78" s="4">
        <v>1</v>
      </c>
      <c r="C78" s="39"/>
      <c r="D78" s="39"/>
      <c r="E78" s="39"/>
      <c r="F78" s="39"/>
      <c r="G78"/>
      <c r="K78">
        <f>$L78*VLOOKUP($R78,武学奇术!$A:$ZZ,31,FALSE)</f>
        <v>182771.369022578</v>
      </c>
      <c r="L78" s="38">
        <f t="shared" si="34"/>
        <v>174067.970497693</v>
      </c>
      <c r="M78" s="38">
        <f>((($AO78+$AP78)/2*$AI78+$AJ78)*(1+$AQ78)*(1+$AR78)+(($AT78+$AU78)/2*IF($G$1="鸣金",$AK78,$AI78)+IF($G$1="鸣金",$AL78*1.5,0))*(1+$AV78)*(1+$AW78)+(($AX78+$AY78)/2*IF($G$1="裂石",$AK78,$AI78)+IF($G$1="裂石",$AL78*1.5,0))*(1+$AZ78)*(1+$BA78)+(($BB78+$BC78)/2*IF($G$1="牵丝",$AK78,$AI78)+IF($G$1="牵丝",$AL78*1.5,0))*(1+$BD78)*(1+$BE78)+(($BF78+$BG78)/2*IF($G$1="破竹",$AK78,$AI78)+IF($G$1="破竹",$AL78*1.5,0))*(1+$BH78)*(1+$BI78))*(1+$AM78)*$BL78*$Q78*(1+IF(VLOOKUP($R78,武学奇术!$A:$ZZ,30,FALSE)="回旋伞",$B$21,0))*(1+$BR78)</f>
        <v>186060.89684617</v>
      </c>
      <c r="N78" s="38">
        <f>(($AP78*$AI78+$AJ78)*(1+$AQ78)*(1+$AR78)+($AU78*IF($G$1="鸣金",$AK78,$AI78)+IF($G$1="鸣金",$AL78*1.5,0))*(1+$AV78)*(1+$AW78)+($AY78*IF($G$1="裂石",$AK78,$AI78)+IF($G$1="裂石",$AL78*1.5,0))*(1+$AZ78)*(1+$BA78)+($BC78*IF($G$1="牵丝",$AK78,$AI78)+IF($G$1="牵丝",$AL78*1.5,0))*(1+$BD78)*(1+$BE78)+($BG78*IF($G$1="破竹",$AK78,$AI78)+IF($G$1="破竹",$AL78*1.5,0))*(1+$BH78)*(1+$BI78))*(1+$AM78)*$BN78*$Q78*(1+IF(VLOOKUP($R78,武学奇术!$A:$ZZ,30,FALSE)="回旋伞",$B$21,0))*(1+$BR78)</f>
        <v>138819.817700551</v>
      </c>
      <c r="O78" s="38">
        <f>((($AO78+$AP78)/2*$AI78+$AJ78)*(1+$AQ78)*(1+$AR78)+(($AT78+$AU78)/2*IF($G$1="鸣金",$AK78,$AI78)+IF($G$1="鸣金",$AL78*1.5,0))*(1+$AV78)*(1+$AW78)+(($AX78+$AY78)/2*IF($G$1="裂石",$AK78,$AI78)+IF($G$1="裂石",$AL78*1.5,0))*(1+$AZ78)*(1+$BA78)+(($BB78+$BC78)/2*IF($G$1="牵丝",$AK78,$AI78)+IF($G$1="牵丝",$AL78*1.5,0))*(1+$BD78)*(1+$BE78)+(($BF78+$BG78)/2*IF($G$1="破竹",$AK78,$AI78)+IF($G$1="破竹",$AL78*1.5,0))*(1+$BH78)*(1+$BI78))*(1+$AM78)*$Q78*(1+IF(VLOOKUP($R78,武学奇术!$A:$ZZ,30,FALSE)="回旋伞",$B$21,0))*(1+$BR78)</f>
        <v>90320.823711733</v>
      </c>
      <c r="P78" s="38">
        <f>((($AO78*$AI78+$AJ78)*(1+$AQ78)*(1+$AR78)+($AT78*IF($G$1="鸣金",$AK78,$AI78)+IF($G$1="鸣金",$AL78*1.5,0))*(1+$AV78)*(1+$AW78)+($AX78*IF($G$1="裂石",$AK78,$AI78)+IF($G$1="裂石",$AL78*1.5,0))*(1+$AZ78)*(1+$BA78)+($BB78*IF($G$1="牵丝",$AK78,$AI78)+IF($G$1="牵丝",$AL78*1.5,0))*(1+$BD78)*(1+$BE78)+($BF78*IF($G$1="破竹",$AK78,$AI78)+IF($G$1="破竹",$AL78*1.5,0))*(1+$BH78)*(1+$BI78))*(1+$AM78))*$Q78*(1+IF(VLOOKUP($R78,武学奇术!$A:$ZZ,30,FALSE)="回旋伞",$B$21,0))*(1+$BR78)</f>
        <v>77812.1528304653</v>
      </c>
      <c r="Q78" s="39">
        <v>6</v>
      </c>
      <c r="R78" s="40" t="s">
        <v>112</v>
      </c>
      <c r="S78" s="40" t="s">
        <v>109</v>
      </c>
      <c r="T78" s="40" t="s">
        <v>95</v>
      </c>
      <c r="U78" s="40" t="s">
        <v>73</v>
      </c>
      <c r="V78" s="40" t="s">
        <v>81</v>
      </c>
      <c r="W78" s="40" t="s">
        <v>172</v>
      </c>
      <c r="X78" s="40" t="s">
        <v>99</v>
      </c>
      <c r="Y78" s="40" t="s">
        <v>84</v>
      </c>
      <c r="Z78" s="40" t="s">
        <v>176</v>
      </c>
      <c r="AA78" s="40" t="s">
        <v>177</v>
      </c>
      <c r="AB78" s="40" t="s">
        <v>126</v>
      </c>
      <c r="AC78" s="40" t="s">
        <v>91</v>
      </c>
      <c r="AD78" s="40" t="s">
        <v>178</v>
      </c>
      <c r="AE78" s="40" t="s">
        <v>72</v>
      </c>
      <c r="AF78" s="40" t="s">
        <v>77</v>
      </c>
      <c r="AG78" s="40" t="s">
        <v>78</v>
      </c>
      <c r="AH78" t="str">
        <f>VLOOKUP($R78,武学奇术!$A:$ZZ,25,FALSE)</f>
        <v>伞</v>
      </c>
      <c r="AI78" s="26">
        <f>VLOOKUP($R78,武学奇术!$A:$ZZ,26,FALSE)</f>
        <v>0.54</v>
      </c>
      <c r="AJ78" s="27">
        <f>VLOOKUP($R78,武学奇术!$A:$ZZ,27,FALSE)*(1+IF(OR($AH78=$F$4,$AH78=$F$5),$B$22,0))</f>
        <v>0</v>
      </c>
      <c r="AK78" s="26">
        <f>VLOOKUP($R78,武学奇术!$A:$ZZ,28,FALSE)</f>
        <v>0.81</v>
      </c>
      <c r="AL78" s="27">
        <f>VLOOKUP($R78,武学奇术!$A:$ZZ,29,FALSE)*(1+IF(OR($AH78=$F$4,$AH78=$F$5),$B$22,0))</f>
        <v>0</v>
      </c>
      <c r="AM78" s="26" cm="1">
        <f t="array" ref="AM78">$G$3+IFERROR(VLOOKUP($AH78,$F$4:$G$7,2,FALSE),0)+VLOOKUP($R78,武学奇术!$A:$ZZ,2,FALSE)+SUM(_xlfn.XLOOKUP($S78:$AG78,增益!$A:$A,增益!$B:$B,0))</f>
        <v>1.0541</v>
      </c>
      <c r="AN78" s="26" cm="1">
        <f t="array" ref="AN78">VLOOKUP($R78,武学奇术!$A:$ZZ,5,FALSE)+SUM(_xlfn.XLOOKUP($S78:$AG78,增益!$A:$A,增益!$E:$E,0))</f>
        <v>0</v>
      </c>
      <c r="AO78" cm="1">
        <f t="array" ref="AO78">$D$10*(1+$AN78)+VLOOKUP($R78,武学奇术!$A:$ZZ,3,FALSE)+SUM(_xlfn.XLOOKUP($S78:$AG78,增益!$A:$A,增益!$C:$C,0))-$I$2</f>
        <v>3624.6</v>
      </c>
      <c r="AP78" cm="1">
        <f t="array" ref="AP78">$E$10*(1+$AN78)+VLOOKUP($R78,武学奇术!$A:$ZZ,4,FALSE)+SUM(_xlfn.XLOOKUP($S78:$AG78,增益!$A:$A,增益!$D:$D,0))-$I$2</f>
        <v>3624.6</v>
      </c>
      <c r="AQ78" s="32" cm="1">
        <f t="array" ref="AQ78">IF($F$10-$I$3+VLOOKUP($R78,武学奇术!$A:$ZZ,6,FALSE)+SUM(_xlfn.XLOOKUP(S78:AG78,增益!$A:$A,增益!$F:$F,0))&gt;0,($F$10-$I$3+VLOOKUP($R78,武学奇术!$A:$ZZ,6,FALSE)+SUM(_xlfn.XLOOKUP(S78:AG78,增益!$A:$A,增益!$F:$F,0)))/200,($F$10-$I$3+VLOOKUP($R78,武学奇术!$A:$ZZ,6,FALSE)+SUM(_xlfn.XLOOKUP(S78:AG78,增益!$A:$A,增益!$F:$F,0)))/100)</f>
        <v>0.3425</v>
      </c>
      <c r="AR78" s="32" cm="1">
        <f t="array" ref="AR78">$G$10+VLOOKUP($R78,武学奇术!$A:$ZZ,7,FALSE)+SUM(_xlfn.XLOOKUP(S78:AG78,增益!$A:$A,增益!$G:$G,0))</f>
        <v>0.148</v>
      </c>
      <c r="AS78" s="26" cm="1">
        <f t="array" ref="AS78">VLOOKUP($R78,武学奇术!$A:$ZZ,8,FALSE)+SUM(_xlfn.XLOOKUP(S78:AG78,增益!$A:$A,增益!$H:$H,0))</f>
        <v>0</v>
      </c>
      <c r="AT78">
        <f t="shared" si="35"/>
        <v>0</v>
      </c>
      <c r="AU78">
        <f t="shared" si="36"/>
        <v>0</v>
      </c>
      <c r="AV78" s="32" cm="1">
        <f t="array" ref="AV78">IF($F$11-$I$4+VLOOKUP($R78,武学奇术!$A:$ZZ,9,FALSE)+SUM(_xlfn.XLOOKUP(S78:AG78,增益!$A:$A,增益!$I:$I,0))&gt;0,($F$11-$I$4+VLOOKUP($R78,武学奇术!$A:$ZZ,9,FALSE)+SUM(_xlfn.XLOOKUP(S78:AG78,增益!$A:$A,增益!$I:$I,0)))/200,($F$11-$I$4+VLOOKUP($R78,武学奇术!$A:$ZZ,9,FALSE)+SUM(_xlfn.XLOOKUP(S78:AG78,增益!$A:$A,增益!$I:$I,0)))/100)</f>
        <v>-0.14</v>
      </c>
      <c r="AW78" s="32" cm="1">
        <f t="array" ref="AW78">$G$11+VLOOKUP($R78,武学奇术!$A:$ZZ,10,FALSE)+SUM(_xlfn.XLOOKUP(S78:AG78,增益!$A:$A,增益!$J:$J,0))</f>
        <v>0.1</v>
      </c>
      <c r="AX78">
        <f t="shared" si="37"/>
        <v>0</v>
      </c>
      <c r="AY78">
        <f t="shared" si="38"/>
        <v>0</v>
      </c>
      <c r="AZ78" s="32" cm="1">
        <f t="array" ref="AZ78">IF($F$12-$I$4+VLOOKUP($R78,武学奇术!$A:$ZZ,11,FALSE)+SUM(_xlfn.XLOOKUP(S78:AG78,增益!$A:$A,增益!$K:$K,0))&gt;0,($F$12-$I$4+VLOOKUP($R78,武学奇术!$A:$ZZ,11,FALSE)+SUM(_xlfn.XLOOKUP(S78:AG78,增益!$A:$A,增益!$K:$K,0)))/200,($F$12-$I$4+VLOOKUP($R78,武学奇术!$A:$ZZ,11,FALSE)+SUM(_xlfn.XLOOKUP(S78:AG78,增益!$A:$A,增益!$K:$K,0)))/100)</f>
        <v>-0.14</v>
      </c>
      <c r="BA78" s="32" cm="1">
        <f t="array" ref="BA78">$G$12+VLOOKUP($R78,武学奇术!$A:$ZZ,12,FALSE)+SUM(_xlfn.XLOOKUP(S78:AG78,增益!$A:$A,增益!$L:$L,0))</f>
        <v>0</v>
      </c>
      <c r="BB78">
        <f t="shared" si="39"/>
        <v>0</v>
      </c>
      <c r="BC78">
        <f t="shared" si="40"/>
        <v>0</v>
      </c>
      <c r="BD78" s="32" cm="1">
        <f t="array" ref="BD78">IF($F$13-$I$4+VLOOKUP($R78,武学奇术!$A:$ZZ,13,FALSE)+SUM(_xlfn.XLOOKUP(S78:AG78,增益!$A:$A,增益!$M:$M,0))&gt;0,($F$13-$I$4+VLOOKUP($R78,武学奇术!$A:$ZZ,13,FALSE)+SUM(_xlfn.XLOOKUP(S78:AG78,增益!$A:$A,增益!$K:$K,0)))/200,($F$13-$I$4+VLOOKUP($R78,武学奇术!$A:$ZZ,13,FALSE)+SUM(_xlfn.XLOOKUP(S78:AG78,增益!$A:$A,增益!$M:$M,0)))/100)</f>
        <v>-0.14</v>
      </c>
      <c r="BE78" s="32" cm="1">
        <f t="array" ref="BE78">$G$13+VLOOKUP($R78,武学奇术!$A:$ZZ,14,FALSE)+SUM(_xlfn.XLOOKUP(S78:AG78,增益!$A:$A,增益!$N:$N,0))</f>
        <v>0</v>
      </c>
      <c r="BF78">
        <f t="shared" si="41"/>
        <v>571.2</v>
      </c>
      <c r="BG78">
        <f t="shared" si="42"/>
        <v>1627.8</v>
      </c>
      <c r="BH78" s="32" cm="1">
        <f t="array" ref="BH78">IF($F$14-$I$4+VLOOKUP($R78,武学奇术!$A:$ZZ,15,FALSE)+SUM(_xlfn.XLOOKUP(S78:AG78,增益!$A:$A,增益!$O:$O,0))&gt;0,($F$14-$I$4+VLOOKUP($R78,武学奇术!$A:$ZZ,15,FALSE)+SUM(_xlfn.XLOOKUP(S78:AG78,增益!$A:$A,增益!$O:$O,0)))/200,($F$14-$I$4+VLOOKUP($R78,武学奇术!$A:$ZZ,15,FALSE)+SUM(_xlfn.XLOOKUP(S78:AG78,增益!$A:$A,增益!$O:$O,0)))/100)</f>
        <v>0.08</v>
      </c>
      <c r="BI78" s="32" cm="1">
        <f t="array" ref="BI78">$G$14+VLOOKUP($R78,武学奇术!$A:$ZZ,16,FALSE)+SUM(_xlfn.XLOOKUP(S78:AG78,增益!$A:$A,增益!$P:$P,0))</f>
        <v>0.27</v>
      </c>
      <c r="BJ78" s="26">
        <f>MIN(IF(VLOOKUP($R78,武学奇术!$A:$ZZ,23,FALSE)=1,100%,$B$8),100%)</f>
        <v>0.981</v>
      </c>
      <c r="BK78" s="26" cm="1">
        <f t="array" ref="BK78">IF(VLOOKUP($R78,武学奇术!$A:$ZZ,23,FALSE)=1,100%,MIN(80%,$B$9+VLOOKUP($R78,武学奇术!$A:$ZZ,17,FALSE)+SUM(_xlfn.XLOOKUP(S78:AG78,增益!$A:$A,增益!$Q:$Q,0)))+$B$11+SUM(_xlfn.XLOOKUP(S78:AG78,增益!$A:$A,增益!$U:$U,0)))*IF(VLOOKUP($R78,武学奇术!$A:$ZZ,24,FALSE)=1,0,1)</f>
        <v>0.846</v>
      </c>
      <c r="BL78" s="26" cm="1">
        <f t="array" ref="BL78">1+$B$13+VLOOKUP($R78,武学奇术!$A:$ZZ,18,FALSE)+SUM(_xlfn.XLOOKUP(S78:AG78,增益!$A:$A,增益!$R:$R,0))</f>
        <v>2.06</v>
      </c>
      <c r="BM78" s="26" cm="1">
        <f t="array" ref="BM78">IF(VLOOKUP($R78,武学奇术!$A:$ZZ,24,FALSE)=1,100%,MIN(40%,$B$10+VLOOKUP($R78,武学奇术!$A:$ZZ,19,FALSE)+SUM(_xlfn.XLOOKUP(S78:AG78,增益!$A:$A,增益!$S:$S,0)))+$B$12+SUM(_xlfn.XLOOKUP(S78:AG78,增益!$A:$A,增益!$V:$V,0)))*IF(VLOOKUP($R78,武学奇术!$A:$ZZ,23,FALSE)=1,0,1)</f>
        <v>0.0929</v>
      </c>
      <c r="BN78" s="26" cm="1">
        <f t="array" ref="BN78">1+$B$14+VLOOKUP($R78,武学奇术!$A:$ZZ,20,FALSE)+SUM(_xlfn.XLOOKUP(S78:AG78,增益!$A:$A,增益!$T:$T,0))</f>
        <v>1.35</v>
      </c>
      <c r="BO78" s="26">
        <f t="shared" si="23"/>
        <v>0.829926</v>
      </c>
      <c r="BP78" s="26">
        <f t="shared" si="33"/>
        <v>0.0599391</v>
      </c>
      <c r="BQ78" s="26">
        <f>IF(VLOOKUP($R78,武学奇术!$A:$ZZ,22,FALSE)=1,0,(1-$BJ78))*(1-$BM78)</f>
        <v>0.0172349</v>
      </c>
      <c r="BR78" s="26" cm="1">
        <f t="array" ref="BR78">SUM(_xlfn.XLOOKUP(S78:AG78,增益!$A:$A,增益!$W:$W,0))+$I$5</f>
        <v>0.31</v>
      </c>
    </row>
    <row r="79" spans="1:70">
      <c r="A79" s="4" t="s">
        <v>164</v>
      </c>
      <c r="B79" s="4">
        <v>0.85</v>
      </c>
      <c r="C79" s="39"/>
      <c r="D79" s="39"/>
      <c r="E79" s="39"/>
      <c r="F79" s="39"/>
      <c r="K79">
        <f>$L79*VLOOKUP($R79,武学奇术!$A:$ZZ,31,FALSE)</f>
        <v>124371.737170565</v>
      </c>
      <c r="L79" s="38">
        <f t="shared" si="34"/>
        <v>118449.273495777</v>
      </c>
      <c r="M79" s="38">
        <f>((($AO79+$AP79)/2*$AI79+$AJ79)*(1+$AQ79)*(1+$AR79)+(($AT79+$AU79)/2*IF($G$1="鸣金",$AK79,$AI79)+IF($G$1="鸣金",$AL79*1.5,0))*(1+$AV79)*(1+$AW79)+(($AX79+$AY79)/2*IF($G$1="裂石",$AK79,$AI79)+IF($G$1="裂石",$AL79*1.5,0))*(1+$AZ79)*(1+$BA79)+(($BB79+$BC79)/2*IF($G$1="牵丝",$AK79,$AI79)+IF($G$1="牵丝",$AL79*1.5,0))*(1+$BD79)*(1+$BE79)+(($BF79+$BG79)/2*IF($G$1="破竹",$AK79,$AI79)+IF($G$1="破竹",$AL79*1.5,0))*(1+$BH79)*(1+$BI79))*(1+$AM79)*$BL79*$Q79*(1+IF(VLOOKUP($R79,武学奇术!$A:$ZZ,30,FALSE)="回旋伞",$B$21,0))*(1+$BR79)</f>
        <v>118449.273495777</v>
      </c>
      <c r="N79" s="38">
        <f>(($AP79*$AI79+$AJ79)*(1+$AQ79)*(1+$AR79)+($AU79*IF($G$1="鸣金",$AK79,$AI79)+IF($G$1="鸣金",$AL79*1.5,0))*(1+$AV79)*(1+$AW79)+($AY79*IF($G$1="裂石",$AK79,$AI79)+IF($G$1="裂石",$AL79*1.5,0))*(1+$AZ79)*(1+$BA79)+($BC79*IF($G$1="牵丝",$AK79,$AI79)+IF($G$1="牵丝",$AL79*1.5,0))*(1+$BD79)*(1+$BE79)+($BG79*IF($G$1="破竹",$AK79,$AI79)+IF($G$1="破竹",$AL79*1.5,0))*(1+$BH79)*(1+$BI79))*(1+$AM79)*$BN79*$Q79*(1+IF(VLOOKUP($R79,武学奇术!$A:$ZZ,30,FALSE)="回旋伞",$B$21,0))*(1+$BR79)</f>
        <v>87049.8074018985</v>
      </c>
      <c r="O79" s="38">
        <f>((($AO79+$AP79)/2*$AI79+$AJ79)*(1+$AQ79)*(1+$AR79)+(($AT79+$AU79)/2*IF($G$1="鸣金",$AK79,$AI79)+IF($G$1="鸣金",$AL79*1.5,0))*(1+$AV79)*(1+$AW79)+(($AX79+$AY79)/2*IF($G$1="裂石",$AK79,$AI79)+IF($G$1="裂石",$AL79*1.5,0))*(1+$AZ79)*(1+$BA79)+(($BB79+$BC79)/2*IF($G$1="牵丝",$AK79,$AI79)+IF($G$1="牵丝",$AL79*1.5,0))*(1+$BD79)*(1+$BE79)+(($BF79+$BG79)/2*IF($G$1="破竹",$AK79,$AI79)+IF($G$1="破竹",$AL79*1.5,0))*(1+$BH79)*(1+$BI79))*(1+$AM79)*$Q79*(1+IF(VLOOKUP($R79,武学奇术!$A:$ZZ,30,FALSE)="回旋伞",$B$21,0))*(1+$BR79)</f>
        <v>57499.6473280469</v>
      </c>
      <c r="P79" s="38">
        <f>((($AO79*$AI79+$AJ79)*(1+$AQ79)*(1+$AR79)+($AT79*IF($G$1="鸣金",$AK79,$AI79)+IF($G$1="鸣金",$AL79*1.5,0))*(1+$AV79)*(1+$AW79)+($AX79*IF($G$1="裂石",$AK79,$AI79)+IF($G$1="裂石",$AL79*1.5,0))*(1+$AZ79)*(1+$BA79)+($BB79*IF($G$1="牵丝",$AK79,$AI79)+IF($G$1="牵丝",$AL79*1.5,0))*(1+$BD79)*(1+$BE79)+($BF79*IF($G$1="破竹",$AK79,$AI79)+IF($G$1="破竹",$AL79*1.5,0))*(1+$BH79)*(1+$BI79))*(1+$AM79))*$Q79*(1+IF(VLOOKUP($R79,武学奇术!$A:$ZZ,30,FALSE)="回旋伞",$B$21,0))*(1+$BR79)</f>
        <v>50517.9558398726</v>
      </c>
      <c r="Q79" s="39">
        <v>1</v>
      </c>
      <c r="R79" s="40" t="s">
        <v>125</v>
      </c>
      <c r="S79" s="40" t="s">
        <v>109</v>
      </c>
      <c r="T79" s="40" t="s">
        <v>95</v>
      </c>
      <c r="U79" s="40" t="s">
        <v>73</v>
      </c>
      <c r="V79" s="40" t="s">
        <v>81</v>
      </c>
      <c r="W79" s="40" t="s">
        <v>172</v>
      </c>
      <c r="X79" s="40" t="s">
        <v>99</v>
      </c>
      <c r="Y79" s="40" t="s">
        <v>84</v>
      </c>
      <c r="Z79" s="40" t="s">
        <v>176</v>
      </c>
      <c r="AA79" s="40" t="s">
        <v>177</v>
      </c>
      <c r="AB79" s="40" t="s">
        <v>126</v>
      </c>
      <c r="AC79" s="40" t="s">
        <v>85</v>
      </c>
      <c r="AD79" s="40" t="s">
        <v>178</v>
      </c>
      <c r="AE79" s="40" t="s">
        <v>72</v>
      </c>
      <c r="AF79" s="40" t="s">
        <v>77</v>
      </c>
      <c r="AG79" s="40" t="s">
        <v>78</v>
      </c>
      <c r="AH79" t="str">
        <f>VLOOKUP($R79,武学奇术!$A:$ZZ,25,FALSE)</f>
        <v>伞</v>
      </c>
      <c r="AI79" s="26">
        <f>VLOOKUP($R79,武学奇术!$A:$ZZ,26,FALSE)</f>
        <v>1.8084</v>
      </c>
      <c r="AJ79" s="27">
        <f>VLOOKUP($R79,武学奇术!$A:$ZZ,27,FALSE)*(1+IF(OR($AH79=$F$4,$AH79=$F$5),$B$22,0))</f>
        <v>750</v>
      </c>
      <c r="AK79" s="26">
        <f>VLOOKUP($R79,武学奇术!$A:$ZZ,28,FALSE)</f>
        <v>2.7126</v>
      </c>
      <c r="AL79" s="27">
        <f>VLOOKUP($R79,武学奇术!$A:$ZZ,29,FALSE)*(1+IF(OR($AH79=$F$4,$AH79=$F$5),$B$22,0))</f>
        <v>408</v>
      </c>
      <c r="AM79" s="26" cm="1">
        <f t="array" ref="AM79">$G$3+IFERROR(VLOOKUP($AH79,$F$4:$G$7,2,FALSE),0)+VLOOKUP($R79,武学奇术!$A:$ZZ,2,FALSE)+SUM(_xlfn.XLOOKUP($S79:$AG79,增益!$A:$A,增益!$B:$B,0))</f>
        <v>1.0541</v>
      </c>
      <c r="AN79" s="26" cm="1">
        <f t="array" ref="AN79">VLOOKUP($R79,武学奇术!$A:$ZZ,5,FALSE)+SUM(_xlfn.XLOOKUP($S79:$AG79,增益!$A:$A,增益!$E:$E,0))</f>
        <v>0</v>
      </c>
      <c r="AO79" cm="1">
        <f t="array" ref="AO79">$D$10*(1+$AN79)+VLOOKUP($R79,武学奇术!$A:$ZZ,3,FALSE)+SUM(_xlfn.XLOOKUP($S79:$AG79,增益!$A:$A,增益!$C:$C,0))-$I$2</f>
        <v>3624.6</v>
      </c>
      <c r="AP79" cm="1">
        <f t="array" ref="AP79">$E$10*(1+$AN79)+VLOOKUP($R79,武学奇术!$A:$ZZ,4,FALSE)+SUM(_xlfn.XLOOKUP($S79:$AG79,增益!$A:$A,增益!$D:$D,0))-$I$2</f>
        <v>3624.6</v>
      </c>
      <c r="AQ79" s="32" cm="1">
        <f t="array" ref="AQ79">IF($F$10-$I$3+VLOOKUP($R79,武学奇术!$A:$ZZ,6,FALSE)+SUM(_xlfn.XLOOKUP(S79:AG79,增益!$A:$A,增益!$F:$F,0))&gt;0,($F$10-$I$3+VLOOKUP($R79,武学奇术!$A:$ZZ,6,FALSE)+SUM(_xlfn.XLOOKUP(S79:AG79,增益!$A:$A,增益!$F:$F,0)))/200,($F$10-$I$3+VLOOKUP($R79,武学奇术!$A:$ZZ,6,FALSE)+SUM(_xlfn.XLOOKUP(S79:AG79,增益!$A:$A,增益!$F:$F,0)))/100)</f>
        <v>0.3425</v>
      </c>
      <c r="AR79" s="32" cm="1">
        <f t="array" ref="AR79">$G$10+VLOOKUP($R79,武学奇术!$A:$ZZ,7,FALSE)+SUM(_xlfn.XLOOKUP(S79:AG79,增益!$A:$A,增益!$G:$G,0))</f>
        <v>0.148</v>
      </c>
      <c r="AS79" s="26" cm="1">
        <f t="array" ref="AS79">VLOOKUP($R79,武学奇术!$A:$ZZ,8,FALSE)+SUM(_xlfn.XLOOKUP(S79:AG79,增益!$A:$A,增益!$H:$H,0))</f>
        <v>0</v>
      </c>
      <c r="AT79">
        <f t="shared" si="35"/>
        <v>0</v>
      </c>
      <c r="AU79">
        <f t="shared" si="36"/>
        <v>0</v>
      </c>
      <c r="AV79" s="32" cm="1">
        <f t="array" ref="AV79">IF($F$11-$I$4+VLOOKUP($R79,武学奇术!$A:$ZZ,9,FALSE)+SUM(_xlfn.XLOOKUP(S79:AG79,增益!$A:$A,增益!$I:$I,0))&gt;0,($F$11-$I$4+VLOOKUP($R79,武学奇术!$A:$ZZ,9,FALSE)+SUM(_xlfn.XLOOKUP(S79:AG79,增益!$A:$A,增益!$I:$I,0)))/200,($F$11-$I$4+VLOOKUP($R79,武学奇术!$A:$ZZ,9,FALSE)+SUM(_xlfn.XLOOKUP(S79:AG79,增益!$A:$A,增益!$I:$I,0)))/100)</f>
        <v>-0.14</v>
      </c>
      <c r="AW79" s="32" cm="1">
        <f t="array" ref="AW79">$G$11+VLOOKUP($R79,武学奇术!$A:$ZZ,10,FALSE)+SUM(_xlfn.XLOOKUP(S79:AG79,增益!$A:$A,增益!$J:$J,0))</f>
        <v>0.1</v>
      </c>
      <c r="AX79">
        <f t="shared" si="37"/>
        <v>0</v>
      </c>
      <c r="AY79">
        <f t="shared" si="38"/>
        <v>0</v>
      </c>
      <c r="AZ79" s="32" cm="1">
        <f t="array" ref="AZ79">IF($F$12-$I$4+VLOOKUP($R79,武学奇术!$A:$ZZ,11,FALSE)+SUM(_xlfn.XLOOKUP(S79:AG79,增益!$A:$A,增益!$K:$K,0))&gt;0,($F$12-$I$4+VLOOKUP($R79,武学奇术!$A:$ZZ,11,FALSE)+SUM(_xlfn.XLOOKUP(S79:AG79,增益!$A:$A,增益!$K:$K,0)))/200,($F$12-$I$4+VLOOKUP($R79,武学奇术!$A:$ZZ,11,FALSE)+SUM(_xlfn.XLOOKUP(S79:AG79,增益!$A:$A,增益!$K:$K,0)))/100)</f>
        <v>-0.14</v>
      </c>
      <c r="BA79" s="32" cm="1">
        <f t="array" ref="BA79">$G$12+VLOOKUP($R79,武学奇术!$A:$ZZ,12,FALSE)+SUM(_xlfn.XLOOKUP(S79:AG79,增益!$A:$A,增益!$L:$L,0))</f>
        <v>0</v>
      </c>
      <c r="BB79">
        <f t="shared" si="39"/>
        <v>0</v>
      </c>
      <c r="BC79">
        <f t="shared" si="40"/>
        <v>0</v>
      </c>
      <c r="BD79" s="32" cm="1">
        <f t="array" ref="BD79">IF($F$13-$I$4+VLOOKUP($R79,武学奇术!$A:$ZZ,13,FALSE)+SUM(_xlfn.XLOOKUP(S79:AG79,增益!$A:$A,增益!$M:$M,0))&gt;0,($F$13-$I$4+VLOOKUP($R79,武学奇术!$A:$ZZ,13,FALSE)+SUM(_xlfn.XLOOKUP(S79:AG79,增益!$A:$A,增益!$K:$K,0)))/200,($F$13-$I$4+VLOOKUP($R79,武学奇术!$A:$ZZ,13,FALSE)+SUM(_xlfn.XLOOKUP(S79:AG79,增益!$A:$A,增益!$M:$M,0)))/100)</f>
        <v>-0.14</v>
      </c>
      <c r="BE79" s="32" cm="1">
        <f t="array" ref="BE79">$G$13+VLOOKUP($R79,武学奇术!$A:$ZZ,14,FALSE)+SUM(_xlfn.XLOOKUP(S79:AG79,增益!$A:$A,增益!$N:$N,0))</f>
        <v>0</v>
      </c>
      <c r="BF79">
        <f t="shared" si="41"/>
        <v>571.2</v>
      </c>
      <c r="BG79">
        <f t="shared" si="42"/>
        <v>1627.8</v>
      </c>
      <c r="BH79" s="32" cm="1">
        <f t="array" ref="BH79">IF($F$14-$I$4+VLOOKUP($R79,武学奇术!$A:$ZZ,15,FALSE)+SUM(_xlfn.XLOOKUP(S79:AG79,增益!$A:$A,增益!$O:$O,0))&gt;0,($F$14-$I$4+VLOOKUP($R79,武学奇术!$A:$ZZ,15,FALSE)+SUM(_xlfn.XLOOKUP(S79:AG79,增益!$A:$A,增益!$O:$O,0)))/200,($F$14-$I$4+VLOOKUP($R79,武学奇术!$A:$ZZ,15,FALSE)+SUM(_xlfn.XLOOKUP(S79:AG79,增益!$A:$A,增益!$O:$O,0)))/100)</f>
        <v>0.08</v>
      </c>
      <c r="BI79" s="32" cm="1">
        <f t="array" ref="BI79">$G$14+VLOOKUP($R79,武学奇术!$A:$ZZ,16,FALSE)+SUM(_xlfn.XLOOKUP(S79:AG79,增益!$A:$A,增益!$P:$P,0))</f>
        <v>0.27</v>
      </c>
      <c r="BJ79" s="26">
        <f>MIN(IF(VLOOKUP($R79,武学奇术!$A:$ZZ,23,FALSE)=1,100%,$B$8),100%)</f>
        <v>1</v>
      </c>
      <c r="BK79" s="26" cm="1">
        <f t="array" ref="BK79">IF(VLOOKUP($R79,武学奇术!$A:$ZZ,23,FALSE)=1,100%,MIN(80%,$B$9+VLOOKUP($R79,武学奇术!$A:$ZZ,17,FALSE)+SUM(_xlfn.XLOOKUP(S79:AG79,增益!$A:$A,增益!$Q:$Q,0)))+$B$11+SUM(_xlfn.XLOOKUP(S79:AG79,增益!$A:$A,增益!$U:$U,0)))*IF(VLOOKUP($R79,武学奇术!$A:$ZZ,24,FALSE)=1,0,1)</f>
        <v>1</v>
      </c>
      <c r="BL79" s="26" cm="1">
        <f t="array" ref="BL79">1+$B$13+VLOOKUP($R79,武学奇术!$A:$ZZ,18,FALSE)+SUM(_xlfn.XLOOKUP(S79:AG79,增益!$A:$A,增益!$R:$R,0))</f>
        <v>2.06</v>
      </c>
      <c r="BM79" s="26" cm="1">
        <f t="array" ref="BM79">IF(VLOOKUP($R79,武学奇术!$A:$ZZ,24,FALSE)=1,100%,MIN(40%,$B$10+VLOOKUP($R79,武学奇术!$A:$ZZ,19,FALSE)+SUM(_xlfn.XLOOKUP(S79:AG79,增益!$A:$A,增益!$S:$S,0)))+$B$12+SUM(_xlfn.XLOOKUP(S79:AG79,增益!$A:$A,增益!$V:$V,0)))*IF(VLOOKUP($R79,武学奇术!$A:$ZZ,23,FALSE)=1,0,1)</f>
        <v>0</v>
      </c>
      <c r="BN79" s="26" cm="1">
        <f t="array" ref="BN79">1+$B$14+VLOOKUP($R79,武学奇术!$A:$ZZ,20,FALSE)+SUM(_xlfn.XLOOKUP(S79:AG79,增益!$A:$A,增益!$T:$T,0))</f>
        <v>1.35</v>
      </c>
      <c r="BO79" s="26">
        <f t="shared" si="23"/>
        <v>1</v>
      </c>
      <c r="BP79" s="26">
        <f t="shared" si="33"/>
        <v>0</v>
      </c>
      <c r="BQ79" s="26">
        <f>IF(VLOOKUP($R79,武学奇术!$A:$ZZ,22,FALSE)=1,0,(1-$BJ79))*(1-$BM79)</f>
        <v>0</v>
      </c>
      <c r="BR79" s="26" cm="1">
        <f t="array" ref="BR79">SUM(_xlfn.XLOOKUP(S79:AG79,增益!$A:$A,增益!$W:$W,0))+$I$5</f>
        <v>0.31</v>
      </c>
    </row>
    <row r="80" spans="1:70">
      <c r="A80" s="4" t="s">
        <v>161</v>
      </c>
      <c r="B80" s="87">
        <v>1</v>
      </c>
      <c r="C80" s="39"/>
      <c r="D80" s="39"/>
      <c r="E80" s="39"/>
      <c r="F80" s="39"/>
      <c r="K80">
        <f>$L80*VLOOKUP($R80,武学奇术!$A:$ZZ,31,FALSE)</f>
        <v>71461.9315774953</v>
      </c>
      <c r="L80" s="38">
        <f t="shared" si="34"/>
        <v>68058.9824547575</v>
      </c>
      <c r="M80" s="38">
        <f>((($AO80+$AP80)/2*$AI80+$AJ80)*(1+$AQ80)*(1+$AR80)+(($AT80+$AU80)/2*IF($G$1="鸣金",$AK80,$AI80)+IF($G$1="鸣金",$AL80*1.5,0))*(1+$AV80)*(1+$AW80)+(($AX80+$AY80)/2*IF($G$1="裂石",$AK80,$AI80)+IF($G$1="裂石",$AL80*1.5,0))*(1+$AZ80)*(1+$BA80)+(($BB80+$BC80)/2*IF($G$1="牵丝",$AK80,$AI80)+IF($G$1="牵丝",$AL80*1.5,0))*(1+$BD80)*(1+$BE80)+(($BF80+$BG80)/2*IF($G$1="破竹",$AK80,$AI80)+IF($G$1="破竹",$AL80*1.5,0))*(1+$BH80)*(1+$BI80))*(1+$AM80)*$BL80*$Q80*(1+IF(VLOOKUP($R80,武学奇术!$A:$ZZ,30,FALSE)="回旋伞",$B$21,0))*(1+$BR80)</f>
        <v>68058.9824547575</v>
      </c>
      <c r="N80" s="38">
        <f>(($AP80*$AI80+$AJ80)*(1+$AQ80)*(1+$AR80)+($AU80*IF($G$1="鸣金",$AK80,$AI80)+IF($G$1="鸣金",$AL80*1.5,0))*(1+$AV80)*(1+$AW80)+($AY80*IF($G$1="裂石",$AK80,$AI80)+IF($G$1="裂石",$AL80*1.5,0))*(1+$AZ80)*(1+$BA80)+($BC80*IF($G$1="牵丝",$AK80,$AI80)+IF($G$1="牵丝",$AL80*1.5,0))*(1+$BD80)*(1+$BE80)+($BG80*IF($G$1="破竹",$AK80,$AI80)+IF($G$1="破竹",$AL80*1.5,0))*(1+$BH80)*(1+$BI80))*(1+$AM80)*$BN80*$Q80*(1+IF(VLOOKUP($R80,武学奇术!$A:$ZZ,30,FALSE)="回旋伞",$B$21,0))*(1+$BR80)</f>
        <v>50778.7272737147</v>
      </c>
      <c r="O80" s="38">
        <f>((($AO80+$AP80)/2*$AI80+$AJ80)*(1+$AQ80)*(1+$AR80)+(($AT80+$AU80)/2*IF($G$1="鸣金",$AK80,$AI80)+IF($G$1="鸣金",$AL80*1.5,0))*(1+$AV80)*(1+$AW80)+(($AX80+$AY80)/2*IF($G$1="裂石",$AK80,$AI80)+IF($G$1="裂石",$AL80*1.5,0))*(1+$AZ80)*(1+$BA80)+(($BB80+$BC80)/2*IF($G$1="牵丝",$AK80,$AI80)+IF($G$1="牵丝",$AL80*1.5,0))*(1+$BD80)*(1+$BE80)+(($BF80+$BG80)/2*IF($G$1="破竹",$AK80,$AI80)+IF($G$1="破竹",$AL80*1.5,0))*(1+$BH80)*(1+$BI80))*(1+$AM80)*$Q80*(1+IF(VLOOKUP($R80,武学奇术!$A:$ZZ,30,FALSE)="回旋伞",$B$21,0))*(1+$BR80)</f>
        <v>33038.3409974551</v>
      </c>
      <c r="P80" s="38">
        <f>((($AO80*$AI80+$AJ80)*(1+$AQ80)*(1+$AR80)+($AT80*IF($G$1="鸣金",$AK80,$AI80)+IF($G$1="鸣金",$AL80*1.5,0))*(1+$AV80)*(1+$AW80)+($AX80*IF($G$1="裂石",$AK80,$AI80)+IF($G$1="裂石",$AL80*1.5,0))*(1+$AZ80)*(1+$BA80)+($BB80*IF($G$1="牵丝",$AK80,$AI80)+IF($G$1="牵丝",$AL80*1.5,0))*(1+$BD80)*(1+$BE80)+($BF80*IF($G$1="破竹",$AK80,$AI80)+IF($G$1="破竹",$AL80*1.5,0))*(1+$BH80)*(1+$BI80))*(1+$AM80))*$Q80*(1+IF(VLOOKUP($R80,武学奇术!$A:$ZZ,30,FALSE)="回旋伞",$B$21,0))*(1+$BR80)</f>
        <v>28462.8099403067</v>
      </c>
      <c r="Q80" s="39">
        <v>2</v>
      </c>
      <c r="R80" s="40" t="s">
        <v>132</v>
      </c>
      <c r="S80" s="40" t="s">
        <v>109</v>
      </c>
      <c r="T80" s="40" t="s">
        <v>95</v>
      </c>
      <c r="U80" s="40" t="s">
        <v>73</v>
      </c>
      <c r="V80" s="40" t="s">
        <v>81</v>
      </c>
      <c r="W80" s="40" t="s">
        <v>172</v>
      </c>
      <c r="X80" s="40" t="s">
        <v>99</v>
      </c>
      <c r="Y80" s="40" t="s">
        <v>84</v>
      </c>
      <c r="Z80" s="40" t="s">
        <v>176</v>
      </c>
      <c r="AA80" s="40" t="s">
        <v>177</v>
      </c>
      <c r="AB80" s="40" t="s">
        <v>126</v>
      </c>
      <c r="AC80" s="40" t="s">
        <v>85</v>
      </c>
      <c r="AD80" s="40" t="s">
        <v>178</v>
      </c>
      <c r="AE80" s="40" t="s">
        <v>72</v>
      </c>
      <c r="AF80" s="40" t="s">
        <v>77</v>
      </c>
      <c r="AG80" s="40" t="s">
        <v>78</v>
      </c>
      <c r="AH80" t="str">
        <f>VLOOKUP($R80,武学奇术!$A:$ZZ,25,FALSE)</f>
        <v>伞</v>
      </c>
      <c r="AI80" s="26">
        <f>VLOOKUP($R80,武学奇术!$A:$ZZ,26,FALSE)</f>
        <v>0.54</v>
      </c>
      <c r="AJ80" s="27">
        <f>VLOOKUP($R80,武学奇术!$A:$ZZ,27,FALSE)*(1+IF(OR($AH80=$F$4,$AH80=$F$5),$B$22,0))</f>
        <v>0</v>
      </c>
      <c r="AK80" s="26">
        <f>VLOOKUP($R80,武学奇术!$A:$ZZ,28,FALSE)</f>
        <v>0.81</v>
      </c>
      <c r="AL80" s="27">
        <f>VLOOKUP($R80,武学奇术!$A:$ZZ,29,FALSE)*(1+IF(OR($AH80=$F$4,$AH80=$F$5),$B$22,0))</f>
        <v>0</v>
      </c>
      <c r="AM80" s="26" cm="1">
        <f t="array" ref="AM80">$G$3+IFERROR(VLOOKUP($AH80,$F$4:$G$7,2,FALSE),0)+VLOOKUP($R80,武学奇术!$A:$ZZ,2,FALSE)+SUM(_xlfn.XLOOKUP($S80:$AG80,增益!$A:$A,增益!$B:$B,0))</f>
        <v>1.2541</v>
      </c>
      <c r="AN80" s="26" cm="1">
        <f t="array" ref="AN80">VLOOKUP($R80,武学奇术!$A:$ZZ,5,FALSE)+SUM(_xlfn.XLOOKUP($S80:$AG80,增益!$A:$A,增益!$E:$E,0))</f>
        <v>0</v>
      </c>
      <c r="AO80" cm="1">
        <f t="array" ref="AO80">$D$10*(1+$AN80)+VLOOKUP($R80,武学奇术!$A:$ZZ,3,FALSE)+SUM(_xlfn.XLOOKUP($S80:$AG80,增益!$A:$A,增益!$C:$C,0))-$I$2</f>
        <v>3624.6</v>
      </c>
      <c r="AP80" cm="1">
        <f t="array" ref="AP80">$E$10*(1+$AN80)+VLOOKUP($R80,武学奇术!$A:$ZZ,4,FALSE)+SUM(_xlfn.XLOOKUP($S80:$AG80,增益!$A:$A,增益!$D:$D,0))-$I$2</f>
        <v>3624.6</v>
      </c>
      <c r="AQ80" s="32" cm="1">
        <f t="array" ref="AQ80">IF($F$10-$I$3+VLOOKUP($R80,武学奇术!$A:$ZZ,6,FALSE)+SUM(_xlfn.XLOOKUP(S80:AG80,增益!$A:$A,增益!$F:$F,0))&gt;0,($F$10-$I$3+VLOOKUP($R80,武学奇术!$A:$ZZ,6,FALSE)+SUM(_xlfn.XLOOKUP(S80:AG80,增益!$A:$A,增益!$F:$F,0)))/200,($F$10-$I$3+VLOOKUP($R80,武学奇术!$A:$ZZ,6,FALSE)+SUM(_xlfn.XLOOKUP(S80:AG80,增益!$A:$A,增益!$F:$F,0)))/100)</f>
        <v>0.3425</v>
      </c>
      <c r="AR80" s="32" cm="1">
        <f t="array" ref="AR80">$G$10+VLOOKUP($R80,武学奇术!$A:$ZZ,7,FALSE)+SUM(_xlfn.XLOOKUP(S80:AG80,增益!$A:$A,增益!$G:$G,0))</f>
        <v>0.148</v>
      </c>
      <c r="AS80" s="26" cm="1">
        <f t="array" ref="AS80">VLOOKUP($R80,武学奇术!$A:$ZZ,8,FALSE)+SUM(_xlfn.XLOOKUP(S80:AG80,增益!$A:$A,增益!$H:$H,0))</f>
        <v>0</v>
      </c>
      <c r="AT80">
        <f t="shared" si="35"/>
        <v>0</v>
      </c>
      <c r="AU80">
        <f t="shared" si="36"/>
        <v>0</v>
      </c>
      <c r="AV80" s="32" cm="1">
        <f t="array" ref="AV80">IF($F$11-$I$4+VLOOKUP($R80,武学奇术!$A:$ZZ,9,FALSE)+SUM(_xlfn.XLOOKUP(S80:AG80,增益!$A:$A,增益!$I:$I,0))&gt;0,($F$11-$I$4+VLOOKUP($R80,武学奇术!$A:$ZZ,9,FALSE)+SUM(_xlfn.XLOOKUP(S80:AG80,增益!$A:$A,增益!$I:$I,0)))/200,($F$11-$I$4+VLOOKUP($R80,武学奇术!$A:$ZZ,9,FALSE)+SUM(_xlfn.XLOOKUP(S80:AG80,增益!$A:$A,增益!$I:$I,0)))/100)</f>
        <v>-0.14</v>
      </c>
      <c r="AW80" s="32" cm="1">
        <f t="array" ref="AW80">$G$11+VLOOKUP($R80,武学奇术!$A:$ZZ,10,FALSE)+SUM(_xlfn.XLOOKUP(S80:AG80,增益!$A:$A,增益!$J:$J,0))</f>
        <v>0.1</v>
      </c>
      <c r="AX80">
        <f t="shared" si="37"/>
        <v>0</v>
      </c>
      <c r="AY80">
        <f t="shared" si="38"/>
        <v>0</v>
      </c>
      <c r="AZ80" s="32" cm="1">
        <f t="array" ref="AZ80">IF($F$12-$I$4+VLOOKUP($R80,武学奇术!$A:$ZZ,11,FALSE)+SUM(_xlfn.XLOOKUP(S80:AG80,增益!$A:$A,增益!$K:$K,0))&gt;0,($F$12-$I$4+VLOOKUP($R80,武学奇术!$A:$ZZ,11,FALSE)+SUM(_xlfn.XLOOKUP(S80:AG80,增益!$A:$A,增益!$K:$K,0)))/200,($F$12-$I$4+VLOOKUP($R80,武学奇术!$A:$ZZ,11,FALSE)+SUM(_xlfn.XLOOKUP(S80:AG80,增益!$A:$A,增益!$K:$K,0)))/100)</f>
        <v>-0.14</v>
      </c>
      <c r="BA80" s="32" cm="1">
        <f t="array" ref="BA80">$G$12+VLOOKUP($R80,武学奇术!$A:$ZZ,12,FALSE)+SUM(_xlfn.XLOOKUP(S80:AG80,增益!$A:$A,增益!$L:$L,0))</f>
        <v>0</v>
      </c>
      <c r="BB80">
        <f t="shared" si="39"/>
        <v>0</v>
      </c>
      <c r="BC80">
        <f t="shared" si="40"/>
        <v>0</v>
      </c>
      <c r="BD80" s="32" cm="1">
        <f t="array" ref="BD80">IF($F$13-$I$4+VLOOKUP($R80,武学奇术!$A:$ZZ,13,FALSE)+SUM(_xlfn.XLOOKUP(S80:AG80,增益!$A:$A,增益!$M:$M,0))&gt;0,($F$13-$I$4+VLOOKUP($R80,武学奇术!$A:$ZZ,13,FALSE)+SUM(_xlfn.XLOOKUP(S80:AG80,增益!$A:$A,增益!$K:$K,0)))/200,($F$13-$I$4+VLOOKUP($R80,武学奇术!$A:$ZZ,13,FALSE)+SUM(_xlfn.XLOOKUP(S80:AG80,增益!$A:$A,增益!$M:$M,0)))/100)</f>
        <v>-0.14</v>
      </c>
      <c r="BE80" s="32" cm="1">
        <f t="array" ref="BE80">$G$13+VLOOKUP($R80,武学奇术!$A:$ZZ,14,FALSE)+SUM(_xlfn.XLOOKUP(S80:AG80,增益!$A:$A,增益!$N:$N,0))</f>
        <v>0</v>
      </c>
      <c r="BF80">
        <f t="shared" si="41"/>
        <v>571.2</v>
      </c>
      <c r="BG80">
        <f t="shared" si="42"/>
        <v>1627.8</v>
      </c>
      <c r="BH80" s="32" cm="1">
        <f t="array" ref="BH80">IF($F$14-$I$4+VLOOKUP($R80,武学奇术!$A:$ZZ,15,FALSE)+SUM(_xlfn.XLOOKUP(S80:AG80,增益!$A:$A,增益!$O:$O,0))&gt;0,($F$14-$I$4+VLOOKUP($R80,武学奇术!$A:$ZZ,15,FALSE)+SUM(_xlfn.XLOOKUP(S80:AG80,增益!$A:$A,增益!$O:$O,0)))/200,($F$14-$I$4+VLOOKUP($R80,武学奇术!$A:$ZZ,15,FALSE)+SUM(_xlfn.XLOOKUP(S80:AG80,增益!$A:$A,增益!$O:$O,0)))/100)</f>
        <v>0.08</v>
      </c>
      <c r="BI80" s="32" cm="1">
        <f t="array" ref="BI80">$G$14+VLOOKUP($R80,武学奇术!$A:$ZZ,16,FALSE)+SUM(_xlfn.XLOOKUP(S80:AG80,增益!$A:$A,增益!$P:$P,0))</f>
        <v>0.27</v>
      </c>
      <c r="BJ80" s="26">
        <f>MIN(IF(VLOOKUP($R80,武学奇术!$A:$ZZ,23,FALSE)=1,100%,$B$8),100%)</f>
        <v>1</v>
      </c>
      <c r="BK80" s="26" cm="1">
        <f t="array" ref="BK80">IF(VLOOKUP($R80,武学奇术!$A:$ZZ,23,FALSE)=1,100%,MIN(80%,$B$9+VLOOKUP($R80,武学奇术!$A:$ZZ,17,FALSE)+SUM(_xlfn.XLOOKUP(S80:AG80,增益!$A:$A,增益!$Q:$Q,0)))+$B$11+SUM(_xlfn.XLOOKUP(S80:AG80,增益!$A:$A,增益!$U:$U,0)))*IF(VLOOKUP($R80,武学奇术!$A:$ZZ,24,FALSE)=1,0,1)</f>
        <v>1</v>
      </c>
      <c r="BL80" s="26" cm="1">
        <f t="array" ref="BL80">1+$B$13+VLOOKUP($R80,武学奇术!$A:$ZZ,18,FALSE)+SUM(_xlfn.XLOOKUP(S80:AG80,增益!$A:$A,增益!$R:$R,0))</f>
        <v>2.06</v>
      </c>
      <c r="BM80" s="26" cm="1">
        <f t="array" ref="BM80">IF(VLOOKUP($R80,武学奇术!$A:$ZZ,24,FALSE)=1,100%,MIN(40%,$B$10+VLOOKUP($R80,武学奇术!$A:$ZZ,19,FALSE)+SUM(_xlfn.XLOOKUP(S80:AG80,增益!$A:$A,增益!$S:$S,0)))+$B$12+SUM(_xlfn.XLOOKUP(S80:AG80,增益!$A:$A,增益!$V:$V,0)))*IF(VLOOKUP($R80,武学奇术!$A:$ZZ,23,FALSE)=1,0,1)</f>
        <v>0</v>
      </c>
      <c r="BN80" s="26" cm="1">
        <f t="array" ref="BN80">1+$B$14+VLOOKUP($R80,武学奇术!$A:$ZZ,20,FALSE)+SUM(_xlfn.XLOOKUP(S80:AG80,增益!$A:$A,增益!$T:$T,0))</f>
        <v>1.35</v>
      </c>
      <c r="BO80" s="26">
        <f t="shared" si="23"/>
        <v>1</v>
      </c>
      <c r="BP80" s="26">
        <f t="shared" si="33"/>
        <v>0</v>
      </c>
      <c r="BQ80" s="26">
        <f>IF(VLOOKUP($R80,武学奇术!$A:$ZZ,22,FALSE)=1,0,(1-$BJ80))*(1-$BM80)</f>
        <v>0</v>
      </c>
      <c r="BR80" s="26" cm="1">
        <f t="array" ref="BR80">SUM(_xlfn.XLOOKUP(S80:AG80,增益!$A:$A,增益!$W:$W,0))+$I$5</f>
        <v>0.31</v>
      </c>
    </row>
    <row r="81" spans="1:70">
      <c r="A81" s="4" t="s">
        <v>161</v>
      </c>
      <c r="B81" s="4">
        <v>1</v>
      </c>
      <c r="C81" s="39"/>
      <c r="D81" s="39"/>
      <c r="E81"/>
      <c r="F81" s="39"/>
      <c r="K81">
        <f>$L81*VLOOKUP($R81,武学奇术!$A:$ZZ,31,FALSE)</f>
        <v>104925.413886152</v>
      </c>
      <c r="L81" s="38">
        <f t="shared" si="34"/>
        <v>99928.9656058589</v>
      </c>
      <c r="M81" s="38">
        <f>((($AO81+$AP81)/2*$AI81+$AJ81)*(1+$AQ81)*(1+$AR81)+(($AT81+$AU81)/2*IF($G$1="鸣金",$AK81,$AI81)+IF($G$1="鸣金",$AL81*1.5,0))*(1+$AV81)*(1+$AW81)+(($AX81+$AY81)/2*IF($G$1="裂石",$AK81,$AI81)+IF($G$1="裂石",$AL81*1.5,0))*(1+$AZ81)*(1+$BA81)+(($BB81+$BC81)/2*IF($G$1="牵丝",$AK81,$AI81)+IF($G$1="牵丝",$AL81*1.5,0))*(1+$BD81)*(1+$BE81)+(($BF81+$BG81)/2*IF($G$1="破竹",$AK81,$AI81)+IF($G$1="破竹",$AL81*1.5,0))*(1+$BH81)*(1+$BI81))*(1+$AM81)*$BL81*$Q81*(1+IF(VLOOKUP($R81,武学奇术!$A:$ZZ,30,FALSE)="回旋伞",$B$21,0))*(1+$BR81)</f>
        <v>106916.312734784</v>
      </c>
      <c r="N81" s="38">
        <f>(($AP81*$AI81+$AJ81)*(1+$AQ81)*(1+$AR81)+($AU81*IF($G$1="鸣金",$AK81,$AI81)+IF($G$1="鸣金",$AL81*1.5,0))*(1+$AV81)*(1+$AW81)+($AY81*IF($G$1="裂石",$AK81,$AI81)+IF($G$1="裂石",$AL81*1.5,0))*(1+$AZ81)*(1+$BA81)+($BC81*IF($G$1="牵丝",$AK81,$AI81)+IF($G$1="牵丝",$AL81*1.5,0))*(1+$BD81)*(1+$BE81)+($BG81*IF($G$1="破竹",$AK81,$AI81)+IF($G$1="破竹",$AL81*1.5,0))*(1+$BH81)*(1+$BI81))*(1+$AM81)*$BN81*$Q81*(1+IF(VLOOKUP($R81,武学奇术!$A:$ZZ,30,FALSE)="回旋伞",$B$21,0))*(1+$BR81)</f>
        <v>78574.0946905506</v>
      </c>
      <c r="O81" s="38">
        <f>((($AO81+$AP81)/2*$AI81+$AJ81)*(1+$AQ81)*(1+$AR81)+(($AT81+$AU81)/2*IF($G$1="鸣金",$AK81,$AI81)+IF($G$1="鸣金",$AL81*1.5,0))*(1+$AV81)*(1+$AW81)+(($AX81+$AY81)/2*IF($G$1="裂石",$AK81,$AI81)+IF($G$1="裂石",$AL81*1.5,0))*(1+$AZ81)*(1+$BA81)+(($BB81+$BC81)/2*IF($G$1="牵丝",$AK81,$AI81)+IF($G$1="牵丝",$AL81*1.5,0))*(1+$BD81)*(1+$BE81)+(($BF81+$BG81)/2*IF($G$1="破竹",$AK81,$AI81)+IF($G$1="破竹",$AL81*1.5,0))*(1+$BH81)*(1+$BI81))*(1+$AM81)*$Q81*(1+IF(VLOOKUP($R81,武学奇术!$A:$ZZ,30,FALSE)="回旋伞",$B$21,0))*(1+$BR81)</f>
        <v>51901.1226867882</v>
      </c>
      <c r="P81" s="38">
        <f>((($AO81*$AI81+$AJ81)*(1+$AQ81)*(1+$AR81)+($AT81*IF($G$1="鸣金",$AK81,$AI81)+IF($G$1="鸣金",$AL81*1.5,0))*(1+$AV81)*(1+$AW81)+($AX81*IF($G$1="裂石",$AK81,$AI81)+IF($G$1="裂石",$AL81*1.5,0))*(1+$AZ81)*(1+$BA81)+($BB81*IF($G$1="牵丝",$AK81,$AI81)+IF($G$1="牵丝",$AL81*1.5,0))*(1+$BD81)*(1+$BE81)+($BF81*IF($G$1="破竹",$AK81,$AI81)+IF($G$1="破竹",$AL81*1.5,0))*(1+$BH81)*(1+$BI81))*(1+$AM81))*$Q81*(1+IF(VLOOKUP($R81,武学奇术!$A:$ZZ,30,FALSE)="回旋伞",$B$21,0))*(1+$BR81)</f>
        <v>45599.2122694649</v>
      </c>
      <c r="Q81" s="39">
        <v>1</v>
      </c>
      <c r="R81" s="40" t="s">
        <v>108</v>
      </c>
      <c r="S81" s="40" t="s">
        <v>109</v>
      </c>
      <c r="T81" s="40" t="s">
        <v>95</v>
      </c>
      <c r="U81" s="40" t="s">
        <v>73</v>
      </c>
      <c r="V81" s="40" t="s">
        <v>81</v>
      </c>
      <c r="W81" s="40" t="s">
        <v>172</v>
      </c>
      <c r="X81" s="40" t="s">
        <v>99</v>
      </c>
      <c r="Y81" s="40" t="s">
        <v>84</v>
      </c>
      <c r="Z81" s="40" t="s">
        <v>176</v>
      </c>
      <c r="AA81" s="40" t="s">
        <v>177</v>
      </c>
      <c r="AB81" s="40" t="s">
        <v>126</v>
      </c>
      <c r="AC81" s="40" t="s">
        <v>85</v>
      </c>
      <c r="AD81" s="40" t="s">
        <v>178</v>
      </c>
      <c r="AE81" s="40" t="s">
        <v>72</v>
      </c>
      <c r="AF81" s="40" t="s">
        <v>77</v>
      </c>
      <c r="AG81" s="40" t="s">
        <v>78</v>
      </c>
      <c r="AH81" t="str">
        <f>VLOOKUP($R81,武学奇术!$A:$ZZ,25,FALSE)</f>
        <v>伞</v>
      </c>
      <c r="AI81" s="26">
        <f>VLOOKUP($R81,武学奇术!$A:$ZZ,26,FALSE)</f>
        <v>1.8084</v>
      </c>
      <c r="AJ81" s="27">
        <f>VLOOKUP($R81,武学奇术!$A:$ZZ,27,FALSE)*(1+IF(OR($AH81=$F$4,$AH81=$F$5),$B$22,0))</f>
        <v>750</v>
      </c>
      <c r="AK81" s="26">
        <f>VLOOKUP($R81,武学奇术!$A:$ZZ,28,FALSE)</f>
        <v>2.7126</v>
      </c>
      <c r="AL81" s="27">
        <f>VLOOKUP($R81,武学奇术!$A:$ZZ,29,FALSE)*(1+IF(OR($AH81=$F$4,$AH81=$F$5),$B$22,0))</f>
        <v>408</v>
      </c>
      <c r="AM81" s="26" cm="1">
        <f t="array" ref="AM81">$G$3+IFERROR(VLOOKUP($AH81,$F$4:$G$7,2,FALSE),0)+VLOOKUP($R81,武学奇术!$A:$ZZ,2,FALSE)+SUM(_xlfn.XLOOKUP($S81:$AG81,增益!$A:$A,增益!$B:$B,0))</f>
        <v>0.8541</v>
      </c>
      <c r="AN81" s="26" cm="1">
        <f t="array" ref="AN81">VLOOKUP($R81,武学奇术!$A:$ZZ,5,FALSE)+SUM(_xlfn.XLOOKUP($S81:$AG81,增益!$A:$A,增益!$E:$E,0))</f>
        <v>0</v>
      </c>
      <c r="AO81" cm="1">
        <f t="array" ref="AO81">$D$10*(1+$AN81)+VLOOKUP($R81,武学奇术!$A:$ZZ,3,FALSE)+SUM(_xlfn.XLOOKUP($S81:$AG81,增益!$A:$A,增益!$C:$C,0))-$I$2</f>
        <v>3624.6</v>
      </c>
      <c r="AP81" cm="1">
        <f t="array" ref="AP81">$E$10*(1+$AN81)+VLOOKUP($R81,武学奇术!$A:$ZZ,4,FALSE)+SUM(_xlfn.XLOOKUP($S81:$AG81,增益!$A:$A,增益!$D:$D,0))-$I$2</f>
        <v>3624.6</v>
      </c>
      <c r="AQ81" s="32" cm="1">
        <f t="array" ref="AQ81">IF($F$10-$I$3+VLOOKUP($R81,武学奇术!$A:$ZZ,6,FALSE)+SUM(_xlfn.XLOOKUP(S81:AG81,增益!$A:$A,增益!$F:$F,0))&gt;0,($F$10-$I$3+VLOOKUP($R81,武学奇术!$A:$ZZ,6,FALSE)+SUM(_xlfn.XLOOKUP(S81:AG81,增益!$A:$A,增益!$F:$F,0)))/200,($F$10-$I$3+VLOOKUP($R81,武学奇术!$A:$ZZ,6,FALSE)+SUM(_xlfn.XLOOKUP(S81:AG81,增益!$A:$A,增益!$F:$F,0)))/100)</f>
        <v>0.3425</v>
      </c>
      <c r="AR81" s="32" cm="1">
        <f t="array" ref="AR81">$G$10+VLOOKUP($R81,武学奇术!$A:$ZZ,7,FALSE)+SUM(_xlfn.XLOOKUP(S81:AG81,增益!$A:$A,增益!$G:$G,0))</f>
        <v>0.148</v>
      </c>
      <c r="AS81" s="26" cm="1">
        <f t="array" ref="AS81">VLOOKUP($R81,武学奇术!$A:$ZZ,8,FALSE)+SUM(_xlfn.XLOOKUP(S81:AG81,增益!$A:$A,增益!$H:$H,0))</f>
        <v>0</v>
      </c>
      <c r="AT81">
        <f t="shared" si="35"/>
        <v>0</v>
      </c>
      <c r="AU81">
        <f t="shared" si="36"/>
        <v>0</v>
      </c>
      <c r="AV81" s="32" cm="1">
        <f t="array" ref="AV81">IF($F$11-$I$4+VLOOKUP($R81,武学奇术!$A:$ZZ,9,FALSE)+SUM(_xlfn.XLOOKUP(S81:AG81,增益!$A:$A,增益!$I:$I,0))&gt;0,($F$11-$I$4+VLOOKUP($R81,武学奇术!$A:$ZZ,9,FALSE)+SUM(_xlfn.XLOOKUP(S81:AG81,增益!$A:$A,增益!$I:$I,0)))/200,($F$11-$I$4+VLOOKUP($R81,武学奇术!$A:$ZZ,9,FALSE)+SUM(_xlfn.XLOOKUP(S81:AG81,增益!$A:$A,增益!$I:$I,0)))/100)</f>
        <v>-0.14</v>
      </c>
      <c r="AW81" s="32" cm="1">
        <f t="array" ref="AW81">$G$11+VLOOKUP($R81,武学奇术!$A:$ZZ,10,FALSE)+SUM(_xlfn.XLOOKUP(S81:AG81,增益!$A:$A,增益!$J:$J,0))</f>
        <v>0.1</v>
      </c>
      <c r="AX81">
        <f t="shared" si="37"/>
        <v>0</v>
      </c>
      <c r="AY81">
        <f t="shared" si="38"/>
        <v>0</v>
      </c>
      <c r="AZ81" s="32" cm="1">
        <f t="array" ref="AZ81">IF($F$12-$I$4+VLOOKUP($R81,武学奇术!$A:$ZZ,11,FALSE)+SUM(_xlfn.XLOOKUP(S81:AG81,增益!$A:$A,增益!$K:$K,0))&gt;0,($F$12-$I$4+VLOOKUP($R81,武学奇术!$A:$ZZ,11,FALSE)+SUM(_xlfn.XLOOKUP(S81:AG81,增益!$A:$A,增益!$K:$K,0)))/200,($F$12-$I$4+VLOOKUP($R81,武学奇术!$A:$ZZ,11,FALSE)+SUM(_xlfn.XLOOKUP(S81:AG81,增益!$A:$A,增益!$K:$K,0)))/100)</f>
        <v>-0.14</v>
      </c>
      <c r="BA81" s="32" cm="1">
        <f t="array" ref="BA81">$G$12+VLOOKUP($R81,武学奇术!$A:$ZZ,12,FALSE)+SUM(_xlfn.XLOOKUP(S81:AG81,增益!$A:$A,增益!$L:$L,0))</f>
        <v>0</v>
      </c>
      <c r="BB81">
        <f t="shared" si="39"/>
        <v>0</v>
      </c>
      <c r="BC81">
        <f t="shared" si="40"/>
        <v>0</v>
      </c>
      <c r="BD81" s="32" cm="1">
        <f t="array" ref="BD81">IF($F$13-$I$4+VLOOKUP($R81,武学奇术!$A:$ZZ,13,FALSE)+SUM(_xlfn.XLOOKUP(S81:AG81,增益!$A:$A,增益!$M:$M,0))&gt;0,($F$13-$I$4+VLOOKUP($R81,武学奇术!$A:$ZZ,13,FALSE)+SUM(_xlfn.XLOOKUP(S81:AG81,增益!$A:$A,增益!$K:$K,0)))/200,($F$13-$I$4+VLOOKUP($R81,武学奇术!$A:$ZZ,13,FALSE)+SUM(_xlfn.XLOOKUP(S81:AG81,增益!$A:$A,增益!$M:$M,0)))/100)</f>
        <v>-0.14</v>
      </c>
      <c r="BE81" s="32" cm="1">
        <f t="array" ref="BE81">$G$13+VLOOKUP($R81,武学奇术!$A:$ZZ,14,FALSE)+SUM(_xlfn.XLOOKUP(S81:AG81,增益!$A:$A,增益!$N:$N,0))</f>
        <v>0</v>
      </c>
      <c r="BF81">
        <f t="shared" si="41"/>
        <v>571.2</v>
      </c>
      <c r="BG81">
        <f t="shared" si="42"/>
        <v>1627.8</v>
      </c>
      <c r="BH81" s="32" cm="1">
        <f t="array" ref="BH81">IF($F$14-$I$4+VLOOKUP($R81,武学奇术!$A:$ZZ,15,FALSE)+SUM(_xlfn.XLOOKUP(S81:AG81,增益!$A:$A,增益!$O:$O,0))&gt;0,($F$14-$I$4+VLOOKUP($R81,武学奇术!$A:$ZZ,15,FALSE)+SUM(_xlfn.XLOOKUP(S81:AG81,增益!$A:$A,增益!$O:$O,0)))/200,($F$14-$I$4+VLOOKUP($R81,武学奇术!$A:$ZZ,15,FALSE)+SUM(_xlfn.XLOOKUP(S81:AG81,增益!$A:$A,增益!$O:$O,0)))/100)</f>
        <v>0.08</v>
      </c>
      <c r="BI81" s="32" cm="1">
        <f t="array" ref="BI81">$G$14+VLOOKUP($R81,武学奇术!$A:$ZZ,16,FALSE)+SUM(_xlfn.XLOOKUP(S81:AG81,增益!$A:$A,增益!$P:$P,0))</f>
        <v>0.27</v>
      </c>
      <c r="BJ81" s="26">
        <f>MIN(IF(VLOOKUP($R81,武学奇术!$A:$ZZ,23,FALSE)=1,100%,$B$8),100%)</f>
        <v>0.981</v>
      </c>
      <c r="BK81" s="26" cm="1">
        <f t="array" ref="BK81">IF(VLOOKUP($R81,武学奇术!$A:$ZZ,23,FALSE)=1,100%,MIN(80%,$B$9+VLOOKUP($R81,武学奇术!$A:$ZZ,17,FALSE)+SUM(_xlfn.XLOOKUP(S81:AG81,增益!$A:$A,增益!$Q:$Q,0)))+$B$11+SUM(_xlfn.XLOOKUP(S81:AG81,增益!$A:$A,增益!$U:$U,0)))*IF(VLOOKUP($R81,武学奇术!$A:$ZZ,24,FALSE)=1,0,1)</f>
        <v>0.846</v>
      </c>
      <c r="BL81" s="26" cm="1">
        <f t="array" ref="BL81">1+$B$13+VLOOKUP($R81,武学奇术!$A:$ZZ,18,FALSE)+SUM(_xlfn.XLOOKUP(S81:AG81,增益!$A:$A,增益!$R:$R,0))</f>
        <v>2.06</v>
      </c>
      <c r="BM81" s="26" cm="1">
        <f t="array" ref="BM81">IF(VLOOKUP($R81,武学奇术!$A:$ZZ,24,FALSE)=1,100%,MIN(40%,$B$10+VLOOKUP($R81,武学奇术!$A:$ZZ,19,FALSE)+SUM(_xlfn.XLOOKUP(S81:AG81,增益!$A:$A,增益!$S:$S,0)))+$B$12+SUM(_xlfn.XLOOKUP(S81:AG81,增益!$A:$A,增益!$V:$V,0)))*IF(VLOOKUP($R81,武学奇术!$A:$ZZ,23,FALSE)=1,0,1)</f>
        <v>0.0929</v>
      </c>
      <c r="BN81" s="26" cm="1">
        <f t="array" ref="BN81">1+$B$14+VLOOKUP($R81,武学奇术!$A:$ZZ,20,FALSE)+SUM(_xlfn.XLOOKUP(S81:AG81,增益!$A:$A,增益!$T:$T,0))</f>
        <v>1.35</v>
      </c>
      <c r="BO81" s="26">
        <f t="shared" si="23"/>
        <v>0.829926</v>
      </c>
      <c r="BP81" s="26">
        <f t="shared" si="33"/>
        <v>0.0599391</v>
      </c>
      <c r="BQ81" s="26">
        <f>IF(VLOOKUP($R81,武学奇术!$A:$ZZ,22,FALSE)=1,0,(1-$BJ81))*(1-$BM81)</f>
        <v>0.0172349</v>
      </c>
      <c r="BR81" s="26" cm="1">
        <f t="array" ref="BR81">SUM(_xlfn.XLOOKUP(S81:AG81,增益!$A:$A,增益!$W:$W,0))+$I$5</f>
        <v>0.31</v>
      </c>
    </row>
    <row r="82" spans="1:70">
      <c r="A82" s="4" t="s">
        <v>164</v>
      </c>
      <c r="B82" s="4">
        <v>0.85</v>
      </c>
      <c r="C82" s="39"/>
      <c r="D82" s="39"/>
      <c r="E82"/>
      <c r="F82" s="39"/>
      <c r="K82">
        <f>$L82*VLOOKUP($R82,武学奇术!$A:$ZZ,31,FALSE)</f>
        <v>60923.7896741927</v>
      </c>
      <c r="L82" s="38">
        <f t="shared" si="34"/>
        <v>58022.6568325645</v>
      </c>
      <c r="M82" s="38">
        <f>((($AO82+$AP82)/2*$AI82+$AJ82)*(1+$AQ82)*(1+$AR82)+(($AT82+$AU82)/2*IF($G$1="鸣金",$AK82,$AI82)+IF($G$1="鸣金",$AL82*1.5,0))*(1+$AV82)*(1+$AW82)+(($AX82+$AY82)/2*IF($G$1="裂石",$AK82,$AI82)+IF($G$1="裂石",$AL82*1.5,0))*(1+$AZ82)*(1+$BA82)+(($BB82+$BC82)/2*IF($G$1="牵丝",$AK82,$AI82)+IF($G$1="牵丝",$AL82*1.5,0))*(1+$BD82)*(1+$BE82)+(($BF82+$BG82)/2*IF($G$1="破竹",$AK82,$AI82)+IF($G$1="破竹",$AL82*1.5,0))*(1+$BH82)*(1+$BI82))*(1+$AM82)*$BL82*$Q82*(1+IF(VLOOKUP($R82,武学奇术!$A:$ZZ,30,FALSE)="回旋伞",$B$21,0))*(1+$BR82)</f>
        <v>62020.2989487233</v>
      </c>
      <c r="N82" s="38">
        <f>(($AP82*$AI82+$AJ82)*(1+$AQ82)*(1+$AR82)+($AU82*IF($G$1="鸣金",$AK82,$AI82)+IF($G$1="鸣金",$AL82*1.5,0))*(1+$AV82)*(1+$AW82)+($AY82*IF($G$1="裂石",$AK82,$AI82)+IF($G$1="裂石",$AL82*1.5,0))*(1+$AZ82)*(1+$BA82)+($BC82*IF($G$1="牵丝",$AK82,$AI82)+IF($G$1="牵丝",$AL82*1.5,0))*(1+$BD82)*(1+$BE82)+($BG82*IF($G$1="破竹",$AK82,$AI82)+IF($G$1="破竹",$AL82*1.5,0))*(1+$BH82)*(1+$BI82))*(1+$AM82)*$BN82*$Q82*(1+IF(VLOOKUP($R82,武学奇术!$A:$ZZ,30,FALSE)="回旋伞",$B$21,0))*(1+$BR82)</f>
        <v>46273.2725668503</v>
      </c>
      <c r="O82" s="38">
        <f>((($AO82+$AP82)/2*$AI82+$AJ82)*(1+$AQ82)*(1+$AR82)+(($AT82+$AU82)/2*IF($G$1="鸣金",$AK82,$AI82)+IF($G$1="鸣金",$AL82*1.5,0))*(1+$AV82)*(1+$AW82)+(($AX82+$AY82)/2*IF($G$1="裂石",$AK82,$AI82)+IF($G$1="裂石",$AL82*1.5,0))*(1+$AZ82)*(1+$BA82)+(($BB82+$BC82)/2*IF($G$1="牵丝",$AK82,$AI82)+IF($G$1="牵丝",$AL82*1.5,0))*(1+$BD82)*(1+$BE82)+(($BF82+$BG82)/2*IF($G$1="破竹",$AK82,$AI82)+IF($G$1="破竹",$AL82*1.5,0))*(1+$BH82)*(1+$BI82))*(1+$AM82)*$Q82*(1+IF(VLOOKUP($R82,武学奇术!$A:$ZZ,30,FALSE)="回旋伞",$B$21,0))*(1+$BR82)</f>
        <v>30106.9412372443</v>
      </c>
      <c r="P82" s="38">
        <f>((($AO82*$AI82+$AJ82)*(1+$AQ82)*(1+$AR82)+($AT82*IF($G$1="鸣金",$AK82,$AI82)+IF($G$1="鸣金",$AL82*1.5,0))*(1+$AV82)*(1+$AW82)+($AX82*IF($G$1="裂石",$AK82,$AI82)+IF($G$1="裂石",$AL82*1.5,0))*(1+$AZ82)*(1+$BA82)+($BB82*IF($G$1="牵丝",$AK82,$AI82)+IF($G$1="牵丝",$AL82*1.5,0))*(1+$BD82)*(1+$BE82)+($BF82*IF($G$1="破竹",$AK82,$AI82)+IF($G$1="破竹",$AL82*1.5,0))*(1+$BH82)*(1+$BI82))*(1+$AM82))*$Q82*(1+IF(VLOOKUP($R82,武学奇术!$A:$ZZ,30,FALSE)="回旋伞",$B$21,0))*(1+$BR82)</f>
        <v>25937.3842768218</v>
      </c>
      <c r="Q82" s="39">
        <v>2</v>
      </c>
      <c r="R82" s="40" t="s">
        <v>112</v>
      </c>
      <c r="S82" s="40" t="s">
        <v>109</v>
      </c>
      <c r="T82" s="40" t="s">
        <v>95</v>
      </c>
      <c r="U82" s="40" t="s">
        <v>73</v>
      </c>
      <c r="V82" s="40" t="s">
        <v>81</v>
      </c>
      <c r="W82" s="40" t="s">
        <v>172</v>
      </c>
      <c r="X82" s="40" t="s">
        <v>99</v>
      </c>
      <c r="Y82" s="40" t="s">
        <v>84</v>
      </c>
      <c r="Z82" s="40" t="s">
        <v>176</v>
      </c>
      <c r="AA82" s="40" t="s">
        <v>177</v>
      </c>
      <c r="AB82" s="40" t="s">
        <v>126</v>
      </c>
      <c r="AC82" s="40" t="s">
        <v>85</v>
      </c>
      <c r="AD82" s="40" t="s">
        <v>178</v>
      </c>
      <c r="AE82" s="40" t="s">
        <v>72</v>
      </c>
      <c r="AF82" s="40" t="s">
        <v>77</v>
      </c>
      <c r="AG82" s="40" t="s">
        <v>78</v>
      </c>
      <c r="AH82" t="str">
        <f>VLOOKUP($R82,武学奇术!$A:$ZZ,25,FALSE)</f>
        <v>伞</v>
      </c>
      <c r="AI82" s="26">
        <f>VLOOKUP($R82,武学奇术!$A:$ZZ,26,FALSE)</f>
        <v>0.54</v>
      </c>
      <c r="AJ82" s="27">
        <f>VLOOKUP($R82,武学奇术!$A:$ZZ,27,FALSE)*(1+IF(OR($AH82=$F$4,$AH82=$F$5),$B$22,0))</f>
        <v>0</v>
      </c>
      <c r="AK82" s="26">
        <f>VLOOKUP($R82,武学奇术!$A:$ZZ,28,FALSE)</f>
        <v>0.81</v>
      </c>
      <c r="AL82" s="27">
        <f>VLOOKUP($R82,武学奇术!$A:$ZZ,29,FALSE)*(1+IF(OR($AH82=$F$4,$AH82=$F$5),$B$22,0))</f>
        <v>0</v>
      </c>
      <c r="AM82" s="26" cm="1">
        <f t="array" ref="AM82">$G$3+IFERROR(VLOOKUP($AH82,$F$4:$G$7,2,FALSE),0)+VLOOKUP($R82,武学奇术!$A:$ZZ,2,FALSE)+SUM(_xlfn.XLOOKUP($S82:$AG82,增益!$A:$A,增益!$B:$B,0))</f>
        <v>1.0541</v>
      </c>
      <c r="AN82" s="26" cm="1">
        <f t="array" ref="AN82">VLOOKUP($R82,武学奇术!$A:$ZZ,5,FALSE)+SUM(_xlfn.XLOOKUP($S82:$AG82,增益!$A:$A,增益!$E:$E,0))</f>
        <v>0</v>
      </c>
      <c r="AO82" cm="1">
        <f t="array" ref="AO82">$D$10*(1+$AN82)+VLOOKUP($R82,武学奇术!$A:$ZZ,3,FALSE)+SUM(_xlfn.XLOOKUP($S82:$AG82,增益!$A:$A,增益!$C:$C,0))-$I$2</f>
        <v>3624.6</v>
      </c>
      <c r="AP82" cm="1">
        <f t="array" ref="AP82">$E$10*(1+$AN82)+VLOOKUP($R82,武学奇术!$A:$ZZ,4,FALSE)+SUM(_xlfn.XLOOKUP($S82:$AG82,增益!$A:$A,增益!$D:$D,0))-$I$2</f>
        <v>3624.6</v>
      </c>
      <c r="AQ82" s="32" cm="1">
        <f t="array" ref="AQ82">IF($F$10-$I$3+VLOOKUP($R82,武学奇术!$A:$ZZ,6,FALSE)+SUM(_xlfn.XLOOKUP(S82:AG82,增益!$A:$A,增益!$F:$F,0))&gt;0,($F$10-$I$3+VLOOKUP($R82,武学奇术!$A:$ZZ,6,FALSE)+SUM(_xlfn.XLOOKUP(S82:AG82,增益!$A:$A,增益!$F:$F,0)))/200,($F$10-$I$3+VLOOKUP($R82,武学奇术!$A:$ZZ,6,FALSE)+SUM(_xlfn.XLOOKUP(S82:AG82,增益!$A:$A,增益!$F:$F,0)))/100)</f>
        <v>0.3425</v>
      </c>
      <c r="AR82" s="32" cm="1">
        <f t="array" ref="AR82">$G$10+VLOOKUP($R82,武学奇术!$A:$ZZ,7,FALSE)+SUM(_xlfn.XLOOKUP(S82:AG82,增益!$A:$A,增益!$G:$G,0))</f>
        <v>0.148</v>
      </c>
      <c r="AS82" s="26" cm="1">
        <f t="array" ref="AS82">VLOOKUP($R82,武学奇术!$A:$ZZ,8,FALSE)+SUM(_xlfn.XLOOKUP(S82:AG82,增益!$A:$A,增益!$H:$H,0))</f>
        <v>0</v>
      </c>
      <c r="AT82">
        <f t="shared" si="35"/>
        <v>0</v>
      </c>
      <c r="AU82">
        <f t="shared" si="36"/>
        <v>0</v>
      </c>
      <c r="AV82" s="32" cm="1">
        <f t="array" ref="AV82">IF($F$11-$I$4+VLOOKUP($R82,武学奇术!$A:$ZZ,9,FALSE)+SUM(_xlfn.XLOOKUP(S82:AG82,增益!$A:$A,增益!$I:$I,0))&gt;0,($F$11-$I$4+VLOOKUP($R82,武学奇术!$A:$ZZ,9,FALSE)+SUM(_xlfn.XLOOKUP(S82:AG82,增益!$A:$A,增益!$I:$I,0)))/200,($F$11-$I$4+VLOOKUP($R82,武学奇术!$A:$ZZ,9,FALSE)+SUM(_xlfn.XLOOKUP(S82:AG82,增益!$A:$A,增益!$I:$I,0)))/100)</f>
        <v>-0.14</v>
      </c>
      <c r="AW82" s="32" cm="1">
        <f t="array" ref="AW82">$G$11+VLOOKUP($R82,武学奇术!$A:$ZZ,10,FALSE)+SUM(_xlfn.XLOOKUP(S82:AG82,增益!$A:$A,增益!$J:$J,0))</f>
        <v>0.1</v>
      </c>
      <c r="AX82">
        <f t="shared" si="37"/>
        <v>0</v>
      </c>
      <c r="AY82">
        <f t="shared" si="38"/>
        <v>0</v>
      </c>
      <c r="AZ82" s="32" cm="1">
        <f t="array" ref="AZ82">IF($F$12-$I$4+VLOOKUP($R82,武学奇术!$A:$ZZ,11,FALSE)+SUM(_xlfn.XLOOKUP(S82:AG82,增益!$A:$A,增益!$K:$K,0))&gt;0,($F$12-$I$4+VLOOKUP($R82,武学奇术!$A:$ZZ,11,FALSE)+SUM(_xlfn.XLOOKUP(S82:AG82,增益!$A:$A,增益!$K:$K,0)))/200,($F$12-$I$4+VLOOKUP($R82,武学奇术!$A:$ZZ,11,FALSE)+SUM(_xlfn.XLOOKUP(S82:AG82,增益!$A:$A,增益!$K:$K,0)))/100)</f>
        <v>-0.14</v>
      </c>
      <c r="BA82" s="32" cm="1">
        <f t="array" ref="BA82">$G$12+VLOOKUP($R82,武学奇术!$A:$ZZ,12,FALSE)+SUM(_xlfn.XLOOKUP(S82:AG82,增益!$A:$A,增益!$L:$L,0))</f>
        <v>0</v>
      </c>
      <c r="BB82">
        <f t="shared" si="39"/>
        <v>0</v>
      </c>
      <c r="BC82">
        <f t="shared" si="40"/>
        <v>0</v>
      </c>
      <c r="BD82" s="32" cm="1">
        <f t="array" ref="BD82">IF($F$13-$I$4+VLOOKUP($R82,武学奇术!$A:$ZZ,13,FALSE)+SUM(_xlfn.XLOOKUP(S82:AG82,增益!$A:$A,增益!$M:$M,0))&gt;0,($F$13-$I$4+VLOOKUP($R82,武学奇术!$A:$ZZ,13,FALSE)+SUM(_xlfn.XLOOKUP(S82:AG82,增益!$A:$A,增益!$K:$K,0)))/200,($F$13-$I$4+VLOOKUP($R82,武学奇术!$A:$ZZ,13,FALSE)+SUM(_xlfn.XLOOKUP(S82:AG82,增益!$A:$A,增益!$M:$M,0)))/100)</f>
        <v>-0.14</v>
      </c>
      <c r="BE82" s="32" cm="1">
        <f t="array" ref="BE82">$G$13+VLOOKUP($R82,武学奇术!$A:$ZZ,14,FALSE)+SUM(_xlfn.XLOOKUP(S82:AG82,增益!$A:$A,增益!$N:$N,0))</f>
        <v>0</v>
      </c>
      <c r="BF82">
        <f t="shared" si="41"/>
        <v>571.2</v>
      </c>
      <c r="BG82">
        <f t="shared" si="42"/>
        <v>1627.8</v>
      </c>
      <c r="BH82" s="32" cm="1">
        <f t="array" ref="BH82">IF($F$14-$I$4+VLOOKUP($R82,武学奇术!$A:$ZZ,15,FALSE)+SUM(_xlfn.XLOOKUP(S82:AG82,增益!$A:$A,增益!$O:$O,0))&gt;0,($F$14-$I$4+VLOOKUP($R82,武学奇术!$A:$ZZ,15,FALSE)+SUM(_xlfn.XLOOKUP(S82:AG82,增益!$A:$A,增益!$O:$O,0)))/200,($F$14-$I$4+VLOOKUP($R82,武学奇术!$A:$ZZ,15,FALSE)+SUM(_xlfn.XLOOKUP(S82:AG82,增益!$A:$A,增益!$O:$O,0)))/100)</f>
        <v>0.08</v>
      </c>
      <c r="BI82" s="32" cm="1">
        <f t="array" ref="BI82">$G$14+VLOOKUP($R82,武学奇术!$A:$ZZ,16,FALSE)+SUM(_xlfn.XLOOKUP(S82:AG82,增益!$A:$A,增益!$P:$P,0))</f>
        <v>0.27</v>
      </c>
      <c r="BJ82" s="26">
        <f>MIN(IF(VLOOKUP($R82,武学奇术!$A:$ZZ,23,FALSE)=1,100%,$B$8),100%)</f>
        <v>0.981</v>
      </c>
      <c r="BK82" s="26" cm="1">
        <f t="array" ref="BK82">IF(VLOOKUP($R82,武学奇术!$A:$ZZ,23,FALSE)=1,100%,MIN(80%,$B$9+VLOOKUP($R82,武学奇术!$A:$ZZ,17,FALSE)+SUM(_xlfn.XLOOKUP(S82:AG82,增益!$A:$A,增益!$Q:$Q,0)))+$B$11+SUM(_xlfn.XLOOKUP(S82:AG82,增益!$A:$A,增益!$U:$U,0)))*IF(VLOOKUP($R82,武学奇术!$A:$ZZ,24,FALSE)=1,0,1)</f>
        <v>0.846</v>
      </c>
      <c r="BL82" s="26" cm="1">
        <f t="array" ref="BL82">1+$B$13+VLOOKUP($R82,武学奇术!$A:$ZZ,18,FALSE)+SUM(_xlfn.XLOOKUP(S82:AG82,增益!$A:$A,增益!$R:$R,0))</f>
        <v>2.06</v>
      </c>
      <c r="BM82" s="26" cm="1">
        <f t="array" ref="BM82">IF(VLOOKUP($R82,武学奇术!$A:$ZZ,24,FALSE)=1,100%,MIN(40%,$B$10+VLOOKUP($R82,武学奇术!$A:$ZZ,19,FALSE)+SUM(_xlfn.XLOOKUP(S82:AG82,增益!$A:$A,增益!$S:$S,0)))+$B$12+SUM(_xlfn.XLOOKUP(S82:AG82,增益!$A:$A,增益!$V:$V,0)))*IF(VLOOKUP($R82,武学奇术!$A:$ZZ,23,FALSE)=1,0,1)</f>
        <v>0.0929</v>
      </c>
      <c r="BN82" s="26" cm="1">
        <f t="array" ref="BN82">1+$B$14+VLOOKUP($R82,武学奇术!$A:$ZZ,20,FALSE)+SUM(_xlfn.XLOOKUP(S82:AG82,增益!$A:$A,增益!$T:$T,0))</f>
        <v>1.35</v>
      </c>
      <c r="BO82" s="26">
        <f t="shared" si="23"/>
        <v>0.829926</v>
      </c>
      <c r="BP82" s="26">
        <f t="shared" si="33"/>
        <v>0.0599391</v>
      </c>
      <c r="BQ82" s="26">
        <f>IF(VLOOKUP($R82,武学奇术!$A:$ZZ,22,FALSE)=1,0,(1-$BJ82))*(1-$BM82)</f>
        <v>0.0172349</v>
      </c>
      <c r="BR82" s="26" cm="1">
        <f t="array" ref="BR82">SUM(_xlfn.XLOOKUP(S82:AG82,增益!$A:$A,增益!$W:$W,0))+$I$5</f>
        <v>0.31</v>
      </c>
    </row>
    <row r="83" spans="1:70">
      <c r="A83" s="4" t="s">
        <v>174</v>
      </c>
      <c r="B83" s="4">
        <v>20.05</v>
      </c>
      <c r="K83">
        <f>$L83*VLOOKUP($R83,武学奇术!$A:$ZZ,31,FALSE)</f>
        <v>61115.7605136462</v>
      </c>
      <c r="L83" s="38">
        <f t="shared" si="34"/>
        <v>58205.4862034726</v>
      </c>
      <c r="M83" s="38">
        <f>((($AO83+$AP83)/2*$AI83+$AJ83)*(1+$AQ83)*(1+$AR83)+(($AT83+$AU83)/2*IF($G$1="鸣金",$AK83,$AI83)+IF($G$1="鸣金",$AL83*1.5,0))*(1+$AV83)*(1+$AW83)+(($AX83+$AY83)/2*IF($G$1="裂石",$AK83,$AI83)+IF($G$1="裂石",$AL83*1.5,0))*(1+$AZ83)*(1+$BA83)+(($BB83+$BC83)/2*IF($G$1="牵丝",$AK83,$AI83)+IF($G$1="牵丝",$AL83*1.5,0))*(1+$BD83)*(1+$BE83)+(($BF83+$BG83)/2*IF($G$1="破竹",$AK83,$AI83)+IF($G$1="破竹",$AL83*1.5,0))*(1+$BH83)*(1+$BI83))*(1+$AM83)*$BL83*$Q83*(1+IF(VLOOKUP($R83,武学奇术!$A:$ZZ,30,FALSE)="回旋伞",$B$21,0))*(1+$BR83)</f>
        <v>58205.4862034726</v>
      </c>
      <c r="N83" s="38">
        <f>(($AP83*$AI83+$AJ83)*(1+$AQ83)*(1+$AR83)+($AU83*IF($G$1="鸣金",$AK83,$AI83)+IF($G$1="鸣金",$AL83*1.5,0))*(1+$AV83)*(1+$AW83)+($AY83*IF($G$1="裂石",$AK83,$AI83)+IF($G$1="裂石",$AL83*1.5,0))*(1+$AZ83)*(1+$BA83)+($BC83*IF($G$1="牵丝",$AK83,$AI83)+IF($G$1="牵丝",$AL83*1.5,0))*(1+$BD83)*(1+$BE83)+($BG83*IF($G$1="破竹",$AK83,$AI83)+IF($G$1="破竹",$AL83*1.5,0))*(1+$BH83)*(1+$BI83))*(1+$AM83)*$BN83*$Q83*(1+IF(VLOOKUP($R83,武学奇术!$A:$ZZ,30,FALSE)="回旋伞",$B$21,0))*(1+$BR83)</f>
        <v>45907.9527351992</v>
      </c>
      <c r="O83" s="38">
        <f>((($AO83+$AP83)/2*$AI83+$AJ83)*(1+$AQ83)*(1+$AR83)+(($AT83+$AU83)/2*IF($G$1="鸣金",$AK83,$AI83)+IF($G$1="鸣金",$AL83*1.5,0))*(1+$AV83)*(1+$AW83)+(($AX83+$AY83)/2*IF($G$1="裂石",$AK83,$AI83)+IF($G$1="裂石",$AL83*1.5,0))*(1+$AZ83)*(1+$BA83)+(($BB83+$BC83)/2*IF($G$1="牵丝",$AK83,$AI83)+IF($G$1="牵丝",$AL83*1.5,0))*(1+$BD83)*(1+$BE83)+(($BF83+$BG83)/2*IF($G$1="破竹",$AK83,$AI83)+IF($G$1="破竹",$AL83*1.5,0))*(1+$BH83)*(1+$BI83))*(1+$AM83)*$Q83*(1+IF(VLOOKUP($R83,武学奇术!$A:$ZZ,30,FALSE)="回旋伞",$B$21,0))*(1+$BR83)</f>
        <v>30474.0765463207</v>
      </c>
      <c r="P83" s="38">
        <f>((($AO83*$AI83+$AJ83)*(1+$AQ83)*(1+$AR83)+($AT83*IF($G$1="鸣金",$AK83,$AI83)+IF($G$1="鸣金",$AL83*1.5,0))*(1+$AV83)*(1+$AW83)+($AX83*IF($G$1="裂石",$AK83,$AI83)+IF($G$1="裂石",$AL83*1.5,0))*(1+$AZ83)*(1+$BA83)+($BB83*IF($G$1="牵丝",$AK83,$AI83)+IF($G$1="牵丝",$AL83*1.5,0))*(1+$BD83)*(1+$BE83)+($BF83*IF($G$1="破竹",$AK83,$AI83)+IF($G$1="破竹",$AL83*1.5,0))*(1+$BH83)*(1+$BI83))*(1+$AM83))*$Q83*(1+IF(VLOOKUP($R83,武学奇术!$A:$ZZ,30,FALSE)="回旋伞",$B$21,0))*(1+$BR83)</f>
        <v>26942.2621776791</v>
      </c>
      <c r="Q83" s="39">
        <v>1</v>
      </c>
      <c r="R83" s="40" t="s">
        <v>166</v>
      </c>
      <c r="S83" s="40" t="s">
        <v>72</v>
      </c>
      <c r="T83" s="40" t="s">
        <v>95</v>
      </c>
      <c r="U83" s="40" t="s">
        <v>73</v>
      </c>
      <c r="V83" s="40" t="s">
        <v>72</v>
      </c>
      <c r="W83" s="40" t="s">
        <v>172</v>
      </c>
      <c r="X83" s="40" t="s">
        <v>99</v>
      </c>
      <c r="Y83" s="40" t="s">
        <v>72</v>
      </c>
      <c r="Z83" s="40" t="s">
        <v>72</v>
      </c>
      <c r="AA83" s="40" t="s">
        <v>72</v>
      </c>
      <c r="AB83" s="40" t="s">
        <v>72</v>
      </c>
      <c r="AC83" s="40" t="s">
        <v>85</v>
      </c>
      <c r="AD83" s="40" t="s">
        <v>72</v>
      </c>
      <c r="AE83" s="40" t="s">
        <v>72</v>
      </c>
      <c r="AF83" s="40" t="s">
        <v>77</v>
      </c>
      <c r="AG83" s="40" t="s">
        <v>78</v>
      </c>
      <c r="AH83" t="str">
        <f>VLOOKUP($R83,武学奇术!$A:$ZZ,25,FALSE)</f>
        <v>绳镖</v>
      </c>
      <c r="AI83" s="26">
        <f>VLOOKUP($R83,武学奇术!$A:$ZZ,26,FALSE)</f>
        <v>2.2987</v>
      </c>
      <c r="AJ83" s="27">
        <f>VLOOKUP($R83,武学奇术!$A:$ZZ,27,FALSE)*(1+IF(OR($AH83=$F$4,$AH83=$F$5),$B$22,0))</f>
        <v>955.5</v>
      </c>
      <c r="AK83" s="26">
        <f>VLOOKUP($R83,武学奇术!$A:$ZZ,28,FALSE)</f>
        <v>3.448</v>
      </c>
      <c r="AL83" s="27">
        <f>VLOOKUP($R83,武学奇术!$A:$ZZ,29,FALSE)*(1+IF(OR($AH83=$F$4,$AH83=$F$5),$B$22,0))</f>
        <v>520.5</v>
      </c>
      <c r="AM83" s="26" cm="1">
        <f t="array" ref="AM83">$G$3+IFERROR(VLOOKUP($AH83,$F$4:$G$7,2,FALSE),0)+VLOOKUP($R83,武学奇术!$A:$ZZ,2,FALSE)+SUM(_xlfn.XLOOKUP($S83:$AG83,增益!$A:$A,增益!$B:$B,0))</f>
        <v>0.5189</v>
      </c>
      <c r="AN83" s="26" cm="1">
        <f t="array" ref="AN83">VLOOKUP($R83,武学奇术!$A:$ZZ,5,FALSE)+SUM(_xlfn.XLOOKUP($S83:$AG83,增益!$A:$A,增益!$E:$E,0))</f>
        <v>0</v>
      </c>
      <c r="AO83" cm="1">
        <f t="array" ref="AO83">$D$10*(1+$AN83)+VLOOKUP($R83,武学奇术!$A:$ZZ,3,FALSE)+SUM(_xlfn.XLOOKUP($S83:$AG83,增益!$A:$A,增益!$C:$C,0))-$I$2</f>
        <v>3624.6</v>
      </c>
      <c r="AP83" cm="1">
        <f t="array" ref="AP83">$E$10*(1+$AN83)+VLOOKUP($R83,武学奇术!$A:$ZZ,4,FALSE)+SUM(_xlfn.XLOOKUP($S83:$AG83,增益!$A:$A,增益!$D:$D,0))-$I$2</f>
        <v>3624.6</v>
      </c>
      <c r="AQ83" s="32" cm="1">
        <f t="array" ref="AQ83">IF($F$10-$I$3+VLOOKUP($R83,武学奇术!$A:$ZZ,6,FALSE)+SUM(_xlfn.XLOOKUP(S83:AG83,增益!$A:$A,增益!$F:$F,0))&gt;0,($F$10-$I$3+VLOOKUP($R83,武学奇术!$A:$ZZ,6,FALSE)+SUM(_xlfn.XLOOKUP(S83:AG83,增益!$A:$A,增益!$F:$F,0)))/200,($F$10-$I$3+VLOOKUP($R83,武学奇术!$A:$ZZ,6,FALSE)+SUM(_xlfn.XLOOKUP(S83:AG83,增益!$A:$A,增益!$F:$F,0)))/100)</f>
        <v>0.3425</v>
      </c>
      <c r="AR83" s="32" cm="1">
        <f t="array" ref="AR83">$G$10+VLOOKUP($R83,武学奇术!$A:$ZZ,7,FALSE)+SUM(_xlfn.XLOOKUP(S83:AG83,增益!$A:$A,增益!$G:$G,0))</f>
        <v>0.028</v>
      </c>
      <c r="AS83" s="26" cm="1">
        <f t="array" ref="AS83">VLOOKUP($R83,武学奇术!$A:$ZZ,8,FALSE)+SUM(_xlfn.XLOOKUP(S83:AG83,增益!$A:$A,增益!$H:$H,0))</f>
        <v>0</v>
      </c>
      <c r="AT83">
        <f t="shared" si="35"/>
        <v>0</v>
      </c>
      <c r="AU83">
        <f t="shared" si="36"/>
        <v>0</v>
      </c>
      <c r="AV83" s="32" cm="1">
        <f t="array" ref="AV83">IF($F$11-$I$4+VLOOKUP($R83,武学奇术!$A:$ZZ,9,FALSE)+SUM(_xlfn.XLOOKUP(S83:AG83,增益!$A:$A,增益!$I:$I,0))&gt;0,($F$11-$I$4+VLOOKUP($R83,武学奇术!$A:$ZZ,9,FALSE)+SUM(_xlfn.XLOOKUP(S83:AG83,增益!$A:$A,增益!$I:$I,0)))/200,($F$11-$I$4+VLOOKUP($R83,武学奇术!$A:$ZZ,9,FALSE)+SUM(_xlfn.XLOOKUP(S83:AG83,增益!$A:$A,增益!$I:$I,0)))/100)</f>
        <v>-0.3</v>
      </c>
      <c r="AW83" s="32" cm="1">
        <f t="array" ref="AW83">$G$11+VLOOKUP($R83,武学奇术!$A:$ZZ,10,FALSE)+SUM(_xlfn.XLOOKUP(S83:AG83,增益!$A:$A,增益!$J:$J,0))</f>
        <v>0</v>
      </c>
      <c r="AX83">
        <f t="shared" si="37"/>
        <v>0</v>
      </c>
      <c r="AY83">
        <f t="shared" si="38"/>
        <v>0</v>
      </c>
      <c r="AZ83" s="32" cm="1">
        <f t="array" ref="AZ83">IF($F$12-$I$4+VLOOKUP($R83,武学奇术!$A:$ZZ,11,FALSE)+SUM(_xlfn.XLOOKUP(S83:AG83,增益!$A:$A,增益!$K:$K,0))&gt;0,($F$12-$I$4+VLOOKUP($R83,武学奇术!$A:$ZZ,11,FALSE)+SUM(_xlfn.XLOOKUP(S83:AG83,增益!$A:$A,增益!$K:$K,0)))/200,($F$12-$I$4+VLOOKUP($R83,武学奇术!$A:$ZZ,11,FALSE)+SUM(_xlfn.XLOOKUP(S83:AG83,增益!$A:$A,增益!$K:$K,0)))/100)</f>
        <v>-0.3</v>
      </c>
      <c r="BA83" s="32" cm="1">
        <f t="array" ref="BA83">$G$12+VLOOKUP($R83,武学奇术!$A:$ZZ,12,FALSE)+SUM(_xlfn.XLOOKUP(S83:AG83,增益!$A:$A,增益!$L:$L,0))</f>
        <v>0</v>
      </c>
      <c r="BB83">
        <f t="shared" si="39"/>
        <v>0</v>
      </c>
      <c r="BC83">
        <f t="shared" si="40"/>
        <v>0</v>
      </c>
      <c r="BD83" s="32" cm="1">
        <f t="array" ref="BD83">IF($F$13-$I$4+VLOOKUP($R83,武学奇术!$A:$ZZ,13,FALSE)+SUM(_xlfn.XLOOKUP(S83:AG83,增益!$A:$A,增益!$M:$M,0))&gt;0,($F$13-$I$4+VLOOKUP($R83,武学奇术!$A:$ZZ,13,FALSE)+SUM(_xlfn.XLOOKUP(S83:AG83,增益!$A:$A,增益!$K:$K,0)))/200,($F$13-$I$4+VLOOKUP($R83,武学奇术!$A:$ZZ,13,FALSE)+SUM(_xlfn.XLOOKUP(S83:AG83,增益!$A:$A,增益!$M:$M,0)))/100)</f>
        <v>-0.3</v>
      </c>
      <c r="BE83" s="32" cm="1">
        <f t="array" ref="BE83">$G$13+VLOOKUP($R83,武学奇术!$A:$ZZ,14,FALSE)+SUM(_xlfn.XLOOKUP(S83:AG83,增益!$A:$A,增益!$N:$N,0))</f>
        <v>0</v>
      </c>
      <c r="BF83">
        <f t="shared" si="41"/>
        <v>571.2</v>
      </c>
      <c r="BG83">
        <f t="shared" si="42"/>
        <v>1627.8</v>
      </c>
      <c r="BH83" s="32" cm="1">
        <f t="array" ref="BH83">IF($F$14-$I$4+VLOOKUP($R83,武学奇术!$A:$ZZ,15,FALSE)+SUM(_xlfn.XLOOKUP(S83:AG83,增益!$A:$A,增益!$O:$O,0))&gt;0,($F$14-$I$4+VLOOKUP($R83,武学奇术!$A:$ZZ,15,FALSE)+SUM(_xlfn.XLOOKUP(S83:AG83,增益!$A:$A,增益!$O:$O,0)))/200,($F$14-$I$4+VLOOKUP($R83,武学奇术!$A:$ZZ,15,FALSE)+SUM(_xlfn.XLOOKUP(S83:AG83,增益!$A:$A,增益!$O:$O,0)))/100)</f>
        <v>0</v>
      </c>
      <c r="BI83" s="32" cm="1">
        <f t="array" ref="BI83">$G$14+VLOOKUP($R83,武学奇术!$A:$ZZ,16,FALSE)+SUM(_xlfn.XLOOKUP(S83:AG83,增益!$A:$A,增益!$P:$P,0))</f>
        <v>0.15</v>
      </c>
      <c r="BJ83" s="26">
        <f>MIN(IF(VLOOKUP($R83,武学奇术!$A:$ZZ,23,FALSE)=1,100%,$B$8),100%)</f>
        <v>1</v>
      </c>
      <c r="BK83" s="26" cm="1">
        <f t="array" ref="BK83">IF(VLOOKUP($R83,武学奇术!$A:$ZZ,23,FALSE)=1,100%,MIN(80%,$B$9+VLOOKUP($R83,武学奇术!$A:$ZZ,17,FALSE)+SUM(_xlfn.XLOOKUP(S83:AG83,增益!$A:$A,增益!$Q:$Q,0)))+$B$11+SUM(_xlfn.XLOOKUP(S83:AG83,增益!$A:$A,增益!$U:$U,0)))*IF(VLOOKUP($R83,武学奇术!$A:$ZZ,24,FALSE)=1,0,1)</f>
        <v>1</v>
      </c>
      <c r="BL83" s="26" cm="1">
        <f t="array" ref="BL83">1+$B$13+VLOOKUP($R83,武学奇术!$A:$ZZ,18,FALSE)+SUM(_xlfn.XLOOKUP(S83:AG83,增益!$A:$A,增益!$R:$R,0))</f>
        <v>1.91</v>
      </c>
      <c r="BM83" s="26" cm="1">
        <f t="array" ref="BM83">IF(VLOOKUP($R83,武学奇术!$A:$ZZ,24,FALSE)=1,100%,MIN(40%,$B$10+VLOOKUP($R83,武学奇术!$A:$ZZ,19,FALSE)+SUM(_xlfn.XLOOKUP(S83:AG83,增益!$A:$A,增益!$S:$S,0)))+$B$12+SUM(_xlfn.XLOOKUP(S83:AG83,增益!$A:$A,增益!$V:$V,0)))*IF(VLOOKUP($R83,武学奇术!$A:$ZZ,23,FALSE)=1,0,1)</f>
        <v>0</v>
      </c>
      <c r="BN83" s="26" cm="1">
        <f t="array" ref="BN83">1+$B$14+VLOOKUP($R83,武学奇术!$A:$ZZ,20,FALSE)+SUM(_xlfn.XLOOKUP(S83:AG83,增益!$A:$A,增益!$T:$T,0))</f>
        <v>1.35</v>
      </c>
      <c r="BO83" s="26">
        <f t="shared" si="23"/>
        <v>1</v>
      </c>
      <c r="BP83" s="26">
        <f t="shared" si="33"/>
        <v>0</v>
      </c>
      <c r="BQ83" s="26">
        <f>IF(VLOOKUP($R83,武学奇术!$A:$ZZ,22,FALSE)=1,0,(1-$BJ83))*(1-$BM83)</f>
        <v>0</v>
      </c>
      <c r="BR83" s="26" cm="1">
        <f t="array" ref="BR83">SUM(_xlfn.XLOOKUP(S83:AG83,增益!$A:$A,增益!$W:$W,0))+$I$5</f>
        <v>0.11</v>
      </c>
    </row>
    <row r="84" spans="1:70">
      <c r="A84" s="4" t="s">
        <v>153</v>
      </c>
      <c r="B84" s="4"/>
      <c r="K84">
        <f>$L84*VLOOKUP($R84,武学奇术!$A:$ZZ,31,FALSE)</f>
        <v>128761.271918347</v>
      </c>
      <c r="L84" s="88">
        <f>(SUM(L65:L83)+L158+L159)*12%</f>
        <v>245259.565558757</v>
      </c>
      <c r="M84" s="38">
        <f>((($AO84+$AP84)/2*$AI84+$AJ84)*(1+$AQ84)*(1+$AR84)+(($AT84+$AU84)/2*IF($G$1="鸣金",$AK84,$AI84)+IF($G$1="鸣金",$AL84*1.5,0))*(1+$AV84)*(1+$AW84)+(($AX84+$AY84)/2*IF($G$1="裂石",$AK84,$AI84)+IF($G$1="裂石",$AL84*1.5,0))*(1+$AZ84)*(1+$BA84)+(($BB84+$BC84)/2*IF($G$1="牵丝",$AK84,$AI84)+IF($G$1="牵丝",$AL84*1.5,0))*(1+$BD84)*(1+$BE84)+(($BF84+$BG84)/2*IF($G$1="破竹",$AK84,$AI84)+IF($G$1="破竹",$AL84*1.5,0))*(1+$BH84)*(1+$BI84))*(1+$AM84)*$BL84*$Q84*(1+IF(VLOOKUP($R84,武学奇术!$A:$ZZ,30,FALSE)="回旋伞",$B$21,0))*(1+$BR84)</f>
        <v>0</v>
      </c>
      <c r="N84" s="38">
        <f>(($AP84*$AI84+$AJ84)*(1+$AQ84)*(1+$AR84)+($AU84*IF($G$1="鸣金",$AK84,$AI84)+IF($G$1="鸣金",$AL84*1.5,0))*(1+$AV84)*(1+$AW84)+($AY84*IF($G$1="裂石",$AK84,$AI84)+IF($G$1="裂石",$AL84*1.5,0))*(1+$AZ84)*(1+$BA84)+($BC84*IF($G$1="牵丝",$AK84,$AI84)+IF($G$1="牵丝",$AL84*1.5,0))*(1+$BD84)*(1+$BE84)+($BG84*IF($G$1="破竹",$AK84,$AI84)+IF($G$1="破竹",$AL84*1.5,0))*(1+$BH84)*(1+$BI84))*(1+$AM84)*$BN84*$Q84*(1+IF(VLOOKUP($R84,武学奇术!$A:$ZZ,30,FALSE)="回旋伞",$B$21,0))*(1+$BR84)</f>
        <v>0</v>
      </c>
      <c r="O84" s="38">
        <f>((($AO84+$AP84)/2*$AI84+$AJ84)*(1+$AQ84)*(1+$AR84)+(($AT84+$AU84)/2*IF($G$1="鸣金",$AK84,$AI84)+IF($G$1="鸣金",$AL84*1.5,0))*(1+$AV84)*(1+$AW84)+(($AX84+$AY84)/2*IF($G$1="裂石",$AK84,$AI84)+IF($G$1="裂石",$AL84*1.5,0))*(1+$AZ84)*(1+$BA84)+(($BB84+$BC84)/2*IF($G$1="牵丝",$AK84,$AI84)+IF($G$1="牵丝",$AL84*1.5,0))*(1+$BD84)*(1+$BE84)+(($BF84+$BG84)/2*IF($G$1="破竹",$AK84,$AI84)+IF($G$1="破竹",$AL84*1.5,0))*(1+$BH84)*(1+$BI84))*(1+$AM84)*$Q84*(1+IF(VLOOKUP($R84,武学奇术!$A:$ZZ,30,FALSE)="回旋伞",$B$21,0))*(1+$BR84)</f>
        <v>0</v>
      </c>
      <c r="P84" s="38">
        <f>((($AO84*$AI84+$AJ84)*(1+$AQ84)*(1+$AR84)+($AT84*IF($G$1="鸣金",$AK84,$AI84)+IF($G$1="鸣金",$AL84*1.5,0))*(1+$AV84)*(1+$AW84)+($AX84*IF($G$1="裂石",$AK84,$AI84)+IF($G$1="裂石",$AL84*1.5,0))*(1+$AZ84)*(1+$BA84)+($BB84*IF($G$1="牵丝",$AK84,$AI84)+IF($G$1="牵丝",$AL84*1.5,0))*(1+$BD84)*(1+$BE84)+($BF84*IF($G$1="破竹",$AK84,$AI84)+IF($G$1="破竹",$AL84*1.5,0))*(1+$BH84)*(1+$BI84))*(1+$AM84))*$Q84*(1+IF(VLOOKUP($R84,武学奇术!$A:$ZZ,30,FALSE)="回旋伞",$B$21,0))*(1+$BR84)</f>
        <v>0</v>
      </c>
      <c r="Q84" s="39">
        <v>1</v>
      </c>
      <c r="R84" s="40" t="s">
        <v>167</v>
      </c>
      <c r="S84" s="40" t="s">
        <v>72</v>
      </c>
      <c r="T84" s="40" t="s">
        <v>72</v>
      </c>
      <c r="U84" s="40" t="s">
        <v>72</v>
      </c>
      <c r="V84" s="40" t="s">
        <v>72</v>
      </c>
      <c r="W84" s="40" t="s">
        <v>72</v>
      </c>
      <c r="X84" s="40" t="s">
        <v>72</v>
      </c>
      <c r="Y84" s="40" t="s">
        <v>72</v>
      </c>
      <c r="Z84" s="40" t="s">
        <v>72</v>
      </c>
      <c r="AA84" s="40" t="s">
        <v>72</v>
      </c>
      <c r="AB84" s="40" t="s">
        <v>72</v>
      </c>
      <c r="AC84" s="40" t="s">
        <v>72</v>
      </c>
      <c r="AD84" s="40" t="s">
        <v>72</v>
      </c>
      <c r="AE84" s="40" t="s">
        <v>72</v>
      </c>
      <c r="AF84" s="40" t="s">
        <v>77</v>
      </c>
      <c r="AG84" s="40" t="s">
        <v>78</v>
      </c>
      <c r="AH84" t="str">
        <f>VLOOKUP($R84,武学奇术!$A:$ZZ,25,FALSE)</f>
        <v>心法</v>
      </c>
      <c r="AI84" s="26">
        <f>VLOOKUP($R84,武学奇术!$A:$ZZ,26,FALSE)</f>
        <v>0</v>
      </c>
      <c r="AJ84" s="27">
        <f>VLOOKUP($R84,武学奇术!$A:$ZZ,27,FALSE)*(1+IF(OR($AH84=$F$4,$AH84=$F$5),$B$22,0))</f>
        <v>0</v>
      </c>
      <c r="AK84" s="26">
        <f>VLOOKUP($R84,武学奇术!$A:$ZZ,28,FALSE)</f>
        <v>0</v>
      </c>
      <c r="AL84" s="27">
        <f>VLOOKUP($R84,武学奇术!$A:$ZZ,29,FALSE)*(1+IF(OR($AH84=$F$4,$AH84=$F$5),$B$22,0))</f>
        <v>0</v>
      </c>
      <c r="AM84" s="26" cm="1">
        <f t="array" ref="AM84">$G$3+IFERROR(VLOOKUP($AH84,$F$4:$G$7,2,FALSE),0)+VLOOKUP($R84,武学奇术!$A:$ZZ,2,FALSE)+SUM(_xlfn.XLOOKUP($S84:$AG84,增益!$A:$A,增益!$B:$B,0))</f>
        <v>0.1837</v>
      </c>
      <c r="AN84" s="26" cm="1">
        <f t="array" ref="AN84">VLOOKUP($R84,武学奇术!$A:$ZZ,5,FALSE)+SUM(_xlfn.XLOOKUP($S84:$AG84,增益!$A:$A,增益!$E:$E,0))</f>
        <v>0</v>
      </c>
      <c r="AO84" cm="1">
        <f t="array" ref="AO84">$D$10*(1+$AN84)+VLOOKUP($R84,武学奇术!$A:$ZZ,3,FALSE)+SUM(_xlfn.XLOOKUP($S84:$AG84,增益!$A:$A,增益!$C:$C,0))-$I$2</f>
        <v>3624.6</v>
      </c>
      <c r="AP84" cm="1">
        <f t="array" ref="AP84">$E$10*(1+$AN84)+VLOOKUP($R84,武学奇术!$A:$ZZ,4,FALSE)+SUM(_xlfn.XLOOKUP($S84:$AG84,增益!$A:$A,增益!$D:$D,0))-$I$2</f>
        <v>3624.6</v>
      </c>
      <c r="AQ84" s="32" cm="1">
        <f t="array" ref="AQ84">IF($F$10-$I$3+VLOOKUP($R84,武学奇术!$A:$ZZ,6,FALSE)+SUM(_xlfn.XLOOKUP(S84:AG84,增益!$A:$A,增益!$F:$F,0))&gt;0,($F$10-$I$3+VLOOKUP($R84,武学奇术!$A:$ZZ,6,FALSE)+SUM(_xlfn.XLOOKUP(S84:AG84,增益!$A:$A,增益!$F:$F,0)))/200,($F$10-$I$3+VLOOKUP($R84,武学奇术!$A:$ZZ,6,FALSE)+SUM(_xlfn.XLOOKUP(S84:AG84,增益!$A:$A,增益!$F:$F,0)))/100)</f>
        <v>0.2425</v>
      </c>
      <c r="AR84" s="32" cm="1">
        <f t="array" ref="AR84">$G$10+VLOOKUP($R84,武学奇术!$A:$ZZ,7,FALSE)+SUM(_xlfn.XLOOKUP(S84:AG84,增益!$A:$A,增益!$G:$G,0))</f>
        <v>0.028</v>
      </c>
      <c r="AS84" s="26" cm="1">
        <f t="array" ref="AS84">VLOOKUP($R84,武学奇术!$A:$ZZ,8,FALSE)+SUM(_xlfn.XLOOKUP(S84:AG84,增益!$A:$A,增益!$H:$H,0))</f>
        <v>0</v>
      </c>
      <c r="AT84">
        <f t="shared" si="35"/>
        <v>0</v>
      </c>
      <c r="AU84">
        <f t="shared" si="36"/>
        <v>0</v>
      </c>
      <c r="AV84" s="32" cm="1">
        <f t="array" ref="AV84">IF($F$11-$I$4+VLOOKUP($R84,武学奇术!$A:$ZZ,9,FALSE)+SUM(_xlfn.XLOOKUP(S84:AG84,增益!$A:$A,增益!$I:$I,0))&gt;0,($F$11-$I$4+VLOOKUP($R84,武学奇术!$A:$ZZ,9,FALSE)+SUM(_xlfn.XLOOKUP(S84:AG84,增益!$A:$A,增益!$I:$I,0)))/200,($F$11-$I$4+VLOOKUP($R84,武学奇术!$A:$ZZ,9,FALSE)+SUM(_xlfn.XLOOKUP(S84:AG84,增益!$A:$A,增益!$I:$I,0)))/100)</f>
        <v>-0.3</v>
      </c>
      <c r="AW84" s="32" cm="1">
        <f t="array" ref="AW84">$G$11+VLOOKUP($R84,武学奇术!$A:$ZZ,10,FALSE)+SUM(_xlfn.XLOOKUP(S84:AG84,增益!$A:$A,增益!$J:$J,0))</f>
        <v>0</v>
      </c>
      <c r="AX84">
        <f t="shared" si="37"/>
        <v>0</v>
      </c>
      <c r="AY84">
        <f t="shared" si="38"/>
        <v>0</v>
      </c>
      <c r="AZ84" s="32" cm="1">
        <f t="array" ref="AZ84">IF($F$12-$I$4+VLOOKUP($R84,武学奇术!$A:$ZZ,11,FALSE)+SUM(_xlfn.XLOOKUP(S84:AG84,增益!$A:$A,增益!$K:$K,0))&gt;0,($F$12-$I$4+VLOOKUP($R84,武学奇术!$A:$ZZ,11,FALSE)+SUM(_xlfn.XLOOKUP(S84:AG84,增益!$A:$A,增益!$K:$K,0)))/200,($F$12-$I$4+VLOOKUP($R84,武学奇术!$A:$ZZ,11,FALSE)+SUM(_xlfn.XLOOKUP(S84:AG84,增益!$A:$A,增益!$K:$K,0)))/100)</f>
        <v>-0.3</v>
      </c>
      <c r="BA84" s="32" cm="1">
        <f t="array" ref="BA84">$G$12+VLOOKUP($R84,武学奇术!$A:$ZZ,12,FALSE)+SUM(_xlfn.XLOOKUP(S84:AG84,增益!$A:$A,增益!$L:$L,0))</f>
        <v>0</v>
      </c>
      <c r="BB84">
        <f t="shared" si="39"/>
        <v>0</v>
      </c>
      <c r="BC84">
        <f t="shared" si="40"/>
        <v>0</v>
      </c>
      <c r="BD84" s="32" cm="1">
        <f t="array" ref="BD84">IF($F$13-$I$4+VLOOKUP($R84,武学奇术!$A:$ZZ,13,FALSE)+SUM(_xlfn.XLOOKUP(S84:AG84,增益!$A:$A,增益!$M:$M,0))&gt;0,($F$13-$I$4+VLOOKUP($R84,武学奇术!$A:$ZZ,13,FALSE)+SUM(_xlfn.XLOOKUP(S84:AG84,增益!$A:$A,增益!$K:$K,0)))/200,($F$13-$I$4+VLOOKUP($R84,武学奇术!$A:$ZZ,13,FALSE)+SUM(_xlfn.XLOOKUP(S84:AG84,增益!$A:$A,增益!$M:$M,0)))/100)</f>
        <v>-0.3</v>
      </c>
      <c r="BE84" s="32" cm="1">
        <f t="array" ref="BE84">$G$13+VLOOKUP($R84,武学奇术!$A:$ZZ,14,FALSE)+SUM(_xlfn.XLOOKUP(S84:AG84,增益!$A:$A,增益!$N:$N,0))</f>
        <v>0</v>
      </c>
      <c r="BF84">
        <f t="shared" si="41"/>
        <v>571.2</v>
      </c>
      <c r="BG84">
        <f t="shared" si="42"/>
        <v>1627.8</v>
      </c>
      <c r="BH84" s="32" cm="1">
        <f t="array" ref="BH84">IF($F$14-$I$4+VLOOKUP($R84,武学奇术!$A:$ZZ,15,FALSE)+SUM(_xlfn.XLOOKUP(S84:AG84,增益!$A:$A,增益!$O:$O,0))&gt;0,($F$14-$I$4+VLOOKUP($R84,武学奇术!$A:$ZZ,15,FALSE)+SUM(_xlfn.XLOOKUP(S84:AG84,增益!$A:$A,增益!$O:$O,0)))/200,($F$14-$I$4+VLOOKUP($R84,武学奇术!$A:$ZZ,15,FALSE)+SUM(_xlfn.XLOOKUP(S84:AG84,增益!$A:$A,增益!$O:$O,0)))/100)</f>
        <v>0</v>
      </c>
      <c r="BI84" s="32" cm="1">
        <f t="array" ref="BI84">$G$14+VLOOKUP($R84,武学奇术!$A:$ZZ,16,FALSE)+SUM(_xlfn.XLOOKUP(S84:AG84,增益!$A:$A,增益!$P:$P,0))</f>
        <v>0.15</v>
      </c>
      <c r="BJ84" s="26">
        <f>MIN(IF(VLOOKUP($R84,武学奇术!$A:$ZZ,23,FALSE)=1,100%,$B$8),100%)</f>
        <v>0.981</v>
      </c>
      <c r="BK84" s="26" cm="1">
        <f t="array" ref="BK84">IF(VLOOKUP($R84,武学奇术!$A:$ZZ,23,FALSE)=1,100%,MIN(80%,$B$9+VLOOKUP($R84,武学奇术!$A:$ZZ,17,FALSE)+SUM(_xlfn.XLOOKUP(S84:AG84,增益!$A:$A,增益!$Q:$Q,0)))+$B$11+SUM(_xlfn.XLOOKUP(S84:AG84,增益!$A:$A,增益!$U:$U,0)))*IF(VLOOKUP($R84,武学奇术!$A:$ZZ,24,FALSE)=1,0,1)</f>
        <v>0.846</v>
      </c>
      <c r="BL84" s="26" cm="1">
        <f t="array" ref="BL84">1+$B$13+VLOOKUP($R84,武学奇术!$A:$ZZ,18,FALSE)+SUM(_xlfn.XLOOKUP(S84:AG84,增益!$A:$A,增益!$R:$R,0))</f>
        <v>1.54</v>
      </c>
      <c r="BM84" s="26" cm="1">
        <f t="array" ref="BM84">IF(VLOOKUP($R84,武学奇术!$A:$ZZ,24,FALSE)=1,100%,MIN(40%,$B$10+VLOOKUP($R84,武学奇术!$A:$ZZ,19,FALSE)+SUM(_xlfn.XLOOKUP(S84:AG84,增益!$A:$A,增益!$S:$S,0)))+$B$12+SUM(_xlfn.XLOOKUP(S84:AG84,增益!$A:$A,增益!$V:$V,0)))*IF(VLOOKUP($R84,武学奇术!$A:$ZZ,23,FALSE)=1,0,1)</f>
        <v>0.0929</v>
      </c>
      <c r="BN84" s="26" cm="1">
        <f t="array" ref="BN84">1+$B$14+VLOOKUP($R84,武学奇术!$A:$ZZ,20,FALSE)+SUM(_xlfn.XLOOKUP(S84:AG84,增益!$A:$A,增益!$T:$T,0))</f>
        <v>1.35</v>
      </c>
      <c r="BO84" s="26">
        <f t="shared" si="23"/>
        <v>0.829926</v>
      </c>
      <c r="BP84" s="26">
        <f t="shared" si="33"/>
        <v>0.0599391</v>
      </c>
      <c r="BQ84" s="26">
        <f>IF(VLOOKUP($R84,武学奇术!$A:$ZZ,22,FALSE)=1,0,(1-$BJ84))*(1-$BM84)</f>
        <v>0.0172349</v>
      </c>
      <c r="BR84" s="26" cm="1">
        <f t="array" ref="BR84">SUM(_xlfn.XLOOKUP(S84:AG84,增益!$A:$A,增益!$W:$W,0))+$I$5</f>
        <v>0.11</v>
      </c>
    </row>
    <row r="85" spans="1:70">
      <c r="A85" s="4" t="s">
        <v>180</v>
      </c>
      <c r="B85" s="4"/>
      <c r="K85">
        <f>$L85*VLOOKUP($R85,武学奇术!$A:$ZZ,31,FALSE)</f>
        <v>83157.8484189787</v>
      </c>
      <c r="L85" s="38">
        <f t="shared" si="34"/>
        <v>79197.9508752178</v>
      </c>
      <c r="M85" s="38">
        <f>((($AO85+$AP85)/2*$AI85+$AJ85)*(1+$AQ85)*(1+$AR85)+(($AT85+$AU85)/2*IF($G$1="鸣金",$AK85,$AI85)+IF($G$1="鸣金",$AL85*1.5,0))*(1+$AV85)*(1+$AW85)+(($AX85+$AY85)/2*IF($G$1="裂石",$AK85,$AI85)+IF($G$1="裂石",$AL85*1.5,0))*(1+$AZ85)*(1+$BA85)+(($BB85+$BC85)/2*IF($G$1="牵丝",$AK85,$AI85)+IF($G$1="牵丝",$AL85*1.5,0))*(1+$BD85)*(1+$BE85)+(($BF85+$BG85)/2*IF($G$1="破竹",$AK85,$AI85)+IF($G$1="破竹",$AL85*1.5,0))*(1+$BH85)*(1+$BI85))*(1+$AM85)*$BL85*$Q85*(1+IF(VLOOKUP($R85,武学奇术!$A:$ZZ,30,FALSE)="回旋伞",$B$21,0))*(1+$BR85)</f>
        <v>83996.6184795875</v>
      </c>
      <c r="N85" s="38">
        <f>(($AP85*$AI85+$AJ85)*(1+$AQ85)*(1+$AR85)+($AU85*IF($G$1="鸣金",$AK85,$AI85)+IF($G$1="鸣金",$AL85*1.5,0))*(1+$AV85)*(1+$AW85)+($AY85*IF($G$1="裂石",$AK85,$AI85)+IF($G$1="裂石",$AL85*1.5,0))*(1+$AZ85)*(1+$BA85)+($BC85*IF($G$1="牵丝",$AK85,$AI85)+IF($G$1="牵丝",$AL85*1.5,0))*(1+$BD85)*(1+$BE85)+($BG85*IF($G$1="破竹",$AK85,$AI85)+IF($G$1="破竹",$AL85*1.5,0))*(1+$BH85)*(1+$BI85))*(1+$AM85)*$BN85*$Q85*(1+IF(VLOOKUP($R85,武学奇术!$A:$ZZ,30,FALSE)="回旋伞",$B$21,0))*(1+$BR85)</f>
        <v>66578.0496996268</v>
      </c>
      <c r="O85" s="38">
        <f>((($AO85+$AP85)/2*$AI85+$AJ85)*(1+$AQ85)*(1+$AR85)+(($AT85+$AU85)/2*IF($G$1="鸣金",$AK85,$AI85)+IF($G$1="鸣金",$AL85*1.5,0))*(1+$AV85)*(1+$AW85)+(($AX85+$AY85)/2*IF($G$1="裂石",$AK85,$AI85)+IF($G$1="裂石",$AL85*1.5,0))*(1+$AZ85)*(1+$BA85)+(($BB85+$BC85)/2*IF($G$1="牵丝",$AK85,$AI85)+IF($G$1="牵丝",$AL85*1.5,0))*(1+$BD85)*(1+$BE85)+(($BF85+$BG85)/2*IF($G$1="破竹",$AK85,$AI85)+IF($G$1="破竹",$AL85*1.5,0))*(1+$BH85)*(1+$BI85))*(1+$AM85)*$Q85*(1+IF(VLOOKUP($R85,武学奇术!$A:$ZZ,30,FALSE)="回旋伞",$B$21,0))*(1+$BR85)</f>
        <v>43977.2871620877</v>
      </c>
      <c r="P85" s="38">
        <f>((($AO85*$AI85+$AJ85)*(1+$AQ85)*(1+$AR85)+($AT85*IF($G$1="鸣金",$AK85,$AI85)+IF($G$1="鸣金",$AL85*1.5,0))*(1+$AV85)*(1+$AW85)+($AX85*IF($G$1="裂石",$AK85,$AI85)+IF($G$1="裂石",$AL85*1.5,0))*(1+$AZ85)*(1+$BA85)+($BB85*IF($G$1="牵丝",$AK85,$AI85)+IF($G$1="牵丝",$AL85*1.5,0))*(1+$BD85)*(1+$BE85)+($BF85*IF($G$1="破竹",$AK85,$AI85)+IF($G$1="破竹",$AL85*1.5,0))*(1+$BH85)*(1+$BI85))*(1+$AM85))*$Q85*(1+IF(VLOOKUP($R85,武学奇术!$A:$ZZ,30,FALSE)="回旋伞",$B$21,0))*(1+$BR85)</f>
        <v>38637.5004726</v>
      </c>
      <c r="Q85" s="39">
        <v>1</v>
      </c>
      <c r="R85" s="40" t="s">
        <v>108</v>
      </c>
      <c r="S85" s="40" t="s">
        <v>109</v>
      </c>
      <c r="T85" s="40" t="s">
        <v>95</v>
      </c>
      <c r="U85" s="40" t="s">
        <v>73</v>
      </c>
      <c r="V85" s="40" t="s">
        <v>81</v>
      </c>
      <c r="W85" s="40" t="s">
        <v>172</v>
      </c>
      <c r="X85" s="40" t="s">
        <v>99</v>
      </c>
      <c r="Y85" s="40" t="s">
        <v>84</v>
      </c>
      <c r="Z85" s="40" t="s">
        <v>72</v>
      </c>
      <c r="AA85" s="40" t="s">
        <v>72</v>
      </c>
      <c r="AB85" s="40" t="s">
        <v>72</v>
      </c>
      <c r="AC85" s="40" t="s">
        <v>85</v>
      </c>
      <c r="AD85" s="40" t="s">
        <v>72</v>
      </c>
      <c r="AE85" s="40" t="s">
        <v>72</v>
      </c>
      <c r="AF85" s="40" t="s">
        <v>77</v>
      </c>
      <c r="AG85" s="40" t="s">
        <v>78</v>
      </c>
      <c r="AH85" t="str">
        <f>VLOOKUP($R85,武学奇术!$A:$ZZ,25,FALSE)</f>
        <v>伞</v>
      </c>
      <c r="AI85" s="26">
        <f>VLOOKUP($R85,武学奇术!$A:$ZZ,26,FALSE)</f>
        <v>1.8084</v>
      </c>
      <c r="AJ85" s="27">
        <f>VLOOKUP($R85,武学奇术!$A:$ZZ,27,FALSE)*(1+IF(OR($AH85=$F$4,$AH85=$F$5),$B$22,0))</f>
        <v>750</v>
      </c>
      <c r="AK85" s="26">
        <f>VLOOKUP($R85,武学奇术!$A:$ZZ,28,FALSE)</f>
        <v>2.7126</v>
      </c>
      <c r="AL85" s="27">
        <f>VLOOKUP($R85,武学奇术!$A:$ZZ,29,FALSE)*(1+IF(OR($AH85=$F$4,$AH85=$F$5),$B$22,0))</f>
        <v>408</v>
      </c>
      <c r="AM85" s="26" cm="1">
        <f t="array" ref="AM85">$G$3+IFERROR(VLOOKUP($AH85,$F$4:$G$7,2,FALSE),0)+VLOOKUP($R85,武学奇术!$A:$ZZ,2,FALSE)+SUM(_xlfn.XLOOKUP($S85:$AG85,增益!$A:$A,增益!$B:$B,0))</f>
        <v>0.8541</v>
      </c>
      <c r="AN85" s="26" cm="1">
        <f t="array" ref="AN85">VLOOKUP($R85,武学奇术!$A:$ZZ,5,FALSE)+SUM(_xlfn.XLOOKUP($S85:$AG85,增益!$A:$A,增益!$E:$E,0))</f>
        <v>0</v>
      </c>
      <c r="AO85" cm="1">
        <f t="array" ref="AO85">$D$10*(1+$AN85)+VLOOKUP($R85,武学奇术!$A:$ZZ,3,FALSE)+SUM(_xlfn.XLOOKUP($S85:$AG85,增益!$A:$A,增益!$C:$C,0))-$I$2</f>
        <v>3624.6</v>
      </c>
      <c r="AP85" cm="1">
        <f t="array" ref="AP85">$E$10*(1+$AN85)+VLOOKUP($R85,武学奇术!$A:$ZZ,4,FALSE)+SUM(_xlfn.XLOOKUP($S85:$AG85,增益!$A:$A,增益!$D:$D,0))-$I$2</f>
        <v>3624.6</v>
      </c>
      <c r="AQ85" s="32" cm="1">
        <f t="array" ref="AQ85">IF($F$10-$I$3+VLOOKUP($R85,武学奇术!$A:$ZZ,6,FALSE)+SUM(_xlfn.XLOOKUP(S85:AG85,增益!$A:$A,增益!$F:$F,0))&gt;0,($F$10-$I$3+VLOOKUP($R85,武学奇术!$A:$ZZ,6,FALSE)+SUM(_xlfn.XLOOKUP(S85:AG85,增益!$A:$A,增益!$F:$F,0)))/200,($F$10-$I$3+VLOOKUP($R85,武学奇术!$A:$ZZ,6,FALSE)+SUM(_xlfn.XLOOKUP(S85:AG85,增益!$A:$A,增益!$F:$F,0)))/100)</f>
        <v>0.3425</v>
      </c>
      <c r="AR85" s="32" cm="1">
        <f t="array" ref="AR85">$G$10+VLOOKUP($R85,武学奇术!$A:$ZZ,7,FALSE)+SUM(_xlfn.XLOOKUP(S85:AG85,增益!$A:$A,增益!$G:$G,0))</f>
        <v>0.148</v>
      </c>
      <c r="AS85" s="26" cm="1">
        <f t="array" ref="AS85">VLOOKUP($R85,武学奇术!$A:$ZZ,8,FALSE)+SUM(_xlfn.XLOOKUP(S85:AG85,增益!$A:$A,增益!$H:$H,0))</f>
        <v>0</v>
      </c>
      <c r="AT85">
        <f t="shared" si="35"/>
        <v>0</v>
      </c>
      <c r="AU85">
        <f t="shared" si="36"/>
        <v>0</v>
      </c>
      <c r="AV85" s="32" cm="1">
        <f t="array" ref="AV85">IF($F$11-$I$4+VLOOKUP($R85,武学奇术!$A:$ZZ,9,FALSE)+SUM(_xlfn.XLOOKUP(S85:AG85,增益!$A:$A,增益!$I:$I,0))&gt;0,($F$11-$I$4+VLOOKUP($R85,武学奇术!$A:$ZZ,9,FALSE)+SUM(_xlfn.XLOOKUP(S85:AG85,增益!$A:$A,增益!$I:$I,0)))/200,($F$11-$I$4+VLOOKUP($R85,武学奇术!$A:$ZZ,9,FALSE)+SUM(_xlfn.XLOOKUP(S85:AG85,增益!$A:$A,增益!$I:$I,0)))/100)</f>
        <v>-0.14</v>
      </c>
      <c r="AW85" s="32" cm="1">
        <f t="array" ref="AW85">$G$11+VLOOKUP($R85,武学奇术!$A:$ZZ,10,FALSE)+SUM(_xlfn.XLOOKUP(S85:AG85,增益!$A:$A,增益!$J:$J,0))</f>
        <v>0</v>
      </c>
      <c r="AX85">
        <f t="shared" si="37"/>
        <v>0</v>
      </c>
      <c r="AY85">
        <f t="shared" si="38"/>
        <v>0</v>
      </c>
      <c r="AZ85" s="32" cm="1">
        <f t="array" ref="AZ85">IF($F$12-$I$4+VLOOKUP($R85,武学奇术!$A:$ZZ,11,FALSE)+SUM(_xlfn.XLOOKUP(S85:AG85,增益!$A:$A,增益!$K:$K,0))&gt;0,($F$12-$I$4+VLOOKUP($R85,武学奇术!$A:$ZZ,11,FALSE)+SUM(_xlfn.XLOOKUP(S85:AG85,增益!$A:$A,增益!$K:$K,0)))/200,($F$12-$I$4+VLOOKUP($R85,武学奇术!$A:$ZZ,11,FALSE)+SUM(_xlfn.XLOOKUP(S85:AG85,增益!$A:$A,增益!$K:$K,0)))/100)</f>
        <v>-0.14</v>
      </c>
      <c r="BA85" s="32" cm="1">
        <f t="array" ref="BA85">$G$12+VLOOKUP($R85,武学奇术!$A:$ZZ,12,FALSE)+SUM(_xlfn.XLOOKUP(S85:AG85,增益!$A:$A,增益!$L:$L,0))</f>
        <v>0</v>
      </c>
      <c r="BB85">
        <f t="shared" si="39"/>
        <v>0</v>
      </c>
      <c r="BC85">
        <f t="shared" si="40"/>
        <v>0</v>
      </c>
      <c r="BD85" s="32" cm="1">
        <f t="array" ref="BD85">IF($F$13-$I$4+VLOOKUP($R85,武学奇术!$A:$ZZ,13,FALSE)+SUM(_xlfn.XLOOKUP(S85:AG85,增益!$A:$A,增益!$M:$M,0))&gt;0,($F$13-$I$4+VLOOKUP($R85,武学奇术!$A:$ZZ,13,FALSE)+SUM(_xlfn.XLOOKUP(S85:AG85,增益!$A:$A,增益!$K:$K,0)))/200,($F$13-$I$4+VLOOKUP($R85,武学奇术!$A:$ZZ,13,FALSE)+SUM(_xlfn.XLOOKUP(S85:AG85,增益!$A:$A,增益!$M:$M,0)))/100)</f>
        <v>-0.14</v>
      </c>
      <c r="BE85" s="32" cm="1">
        <f t="array" ref="BE85">$G$13+VLOOKUP($R85,武学奇术!$A:$ZZ,14,FALSE)+SUM(_xlfn.XLOOKUP(S85:AG85,增益!$A:$A,增益!$N:$N,0))</f>
        <v>0</v>
      </c>
      <c r="BF85">
        <f t="shared" si="41"/>
        <v>571.2</v>
      </c>
      <c r="BG85">
        <f t="shared" si="42"/>
        <v>1627.8</v>
      </c>
      <c r="BH85" s="32" cm="1">
        <f t="array" ref="BH85">IF($F$14-$I$4+VLOOKUP($R85,武学奇术!$A:$ZZ,15,FALSE)+SUM(_xlfn.XLOOKUP(S85:AG85,增益!$A:$A,增益!$O:$O,0))&gt;0,($F$14-$I$4+VLOOKUP($R85,武学奇术!$A:$ZZ,15,FALSE)+SUM(_xlfn.XLOOKUP(S85:AG85,增益!$A:$A,增益!$O:$O,0)))/200,($F$14-$I$4+VLOOKUP($R85,武学奇术!$A:$ZZ,15,FALSE)+SUM(_xlfn.XLOOKUP(S85:AG85,增益!$A:$A,增益!$O:$O,0)))/100)</f>
        <v>0.08</v>
      </c>
      <c r="BI85" s="32" cm="1">
        <f t="array" ref="BI85">$G$14+VLOOKUP($R85,武学奇术!$A:$ZZ,16,FALSE)+SUM(_xlfn.XLOOKUP(S85:AG85,增益!$A:$A,增益!$P:$P,0))</f>
        <v>0.27</v>
      </c>
      <c r="BJ85" s="26">
        <f>MIN(IF(VLOOKUP($R85,武学奇术!$A:$ZZ,23,FALSE)=1,100%,$B$8),100%)</f>
        <v>0.981</v>
      </c>
      <c r="BK85" s="26" cm="1">
        <f t="array" ref="BK85">IF(VLOOKUP($R85,武学奇术!$A:$ZZ,23,FALSE)=1,100%,MIN(80%,$B$9+VLOOKUP($R85,武学奇术!$A:$ZZ,17,FALSE)+SUM(_xlfn.XLOOKUP(S85:AG85,增益!$A:$A,增益!$Q:$Q,0)))+$B$11+SUM(_xlfn.XLOOKUP(S85:AG85,增益!$A:$A,增益!$U:$U,0)))*IF(VLOOKUP($R85,武学奇术!$A:$ZZ,24,FALSE)=1,0,1)</f>
        <v>0.846</v>
      </c>
      <c r="BL85" s="26" cm="1">
        <f t="array" ref="BL85">1+$B$13+VLOOKUP($R85,武学奇术!$A:$ZZ,18,FALSE)+SUM(_xlfn.XLOOKUP(S85:AG85,增益!$A:$A,增益!$R:$R,0))</f>
        <v>1.91</v>
      </c>
      <c r="BM85" s="26" cm="1">
        <f t="array" ref="BM85">IF(VLOOKUP($R85,武学奇术!$A:$ZZ,24,FALSE)=1,100%,MIN(40%,$B$10+VLOOKUP($R85,武学奇术!$A:$ZZ,19,FALSE)+SUM(_xlfn.XLOOKUP(S85:AG85,增益!$A:$A,增益!$S:$S,0)))+$B$12+SUM(_xlfn.XLOOKUP(S85:AG85,增益!$A:$A,增益!$V:$V,0)))*IF(VLOOKUP($R85,武学奇术!$A:$ZZ,23,FALSE)=1,0,1)</f>
        <v>0.0929</v>
      </c>
      <c r="BN85" s="26" cm="1">
        <f t="array" ref="BN85">1+$B$14+VLOOKUP($R85,武学奇术!$A:$ZZ,20,FALSE)+SUM(_xlfn.XLOOKUP(S85:AG85,增益!$A:$A,增益!$T:$T,0))</f>
        <v>1.35</v>
      </c>
      <c r="BO85" s="26">
        <f t="shared" si="23"/>
        <v>0.829926</v>
      </c>
      <c r="BP85" s="26">
        <f t="shared" si="33"/>
        <v>0.0599391</v>
      </c>
      <c r="BQ85" s="26">
        <f>IF(VLOOKUP($R85,武学奇术!$A:$ZZ,22,FALSE)=1,0,(1-$BJ85))*(1-$BM85)</f>
        <v>0.0172349</v>
      </c>
      <c r="BR85" s="26" cm="1">
        <f t="array" ref="BR85">SUM(_xlfn.XLOOKUP(S85:AG85,增益!$A:$A,增益!$W:$W,0))+$I$5</f>
        <v>0.11</v>
      </c>
    </row>
    <row r="86" spans="1:70">
      <c r="A86" s="4" t="s">
        <v>166</v>
      </c>
      <c r="B86" s="87">
        <v>1</v>
      </c>
      <c r="K86">
        <f>$L86*VLOOKUP($R86,武学奇术!$A:$ZZ,31,FALSE)</f>
        <v>48287.8899632542</v>
      </c>
      <c r="L86" s="38">
        <f t="shared" si="34"/>
        <v>45988.4666316707</v>
      </c>
      <c r="M86" s="38">
        <f>((($AO86+$AP86)/2*$AI86+$AJ86)*(1+$AQ86)*(1+$AR86)+(($AT86+$AU86)/2*IF($G$1="鸣金",$AK86,$AI86)+IF($G$1="鸣金",$AL86*1.5,0))*(1+$AV86)*(1+$AW86)+(($AX86+$AY86)/2*IF($G$1="裂石",$AK86,$AI86)+IF($G$1="裂石",$AL86*1.5,0))*(1+$AZ86)*(1+$BA86)+(($BB86+$BC86)/2*IF($G$1="牵丝",$AK86,$AI86)+IF($G$1="牵丝",$AL86*1.5,0))*(1+$BD86)*(1+$BE86)+(($BF86+$BG86)/2*IF($G$1="破竹",$AK86,$AI86)+IF($G$1="破竹",$AL86*1.5,0))*(1+$BH86)*(1+$BI86))*(1+$AM86)*$BL86*$Q86*(1+IF(VLOOKUP($R86,武学奇术!$A:$ZZ,30,FALSE)="回旋伞",$B$21,0))*(1+$BR86)</f>
        <v>48724.9817687647</v>
      </c>
      <c r="N86" s="38">
        <f>(($AP86*$AI86+$AJ86)*(1+$AQ86)*(1+$AR86)+($AU86*IF($G$1="鸣金",$AK86,$AI86)+IF($G$1="鸣金",$AL86*1.5,0))*(1+$AV86)*(1+$AW86)+($AY86*IF($G$1="裂石",$AK86,$AI86)+IF($G$1="裂石",$AL86*1.5,0))*(1+$AZ86)*(1+$BA86)+($BC86*IF($G$1="牵丝",$AK86,$AI86)+IF($G$1="牵丝",$AL86*1.5,0))*(1+$BD86)*(1+$BE86)+($BG86*IF($G$1="破竹",$AK86,$AI86)+IF($G$1="破竹",$AL86*1.5,0))*(1+$BH86)*(1+$BI86))*(1+$AM86)*$BN86*$Q86*(1+IF(VLOOKUP($R86,武学奇术!$A:$ZZ,30,FALSE)="回旋伞",$B$21,0))*(1+$BR86)</f>
        <v>39208.650800919</v>
      </c>
      <c r="O86" s="38">
        <f>((($AO86+$AP86)/2*$AI86+$AJ86)*(1+$AQ86)*(1+$AR86)+(($AT86+$AU86)/2*IF($G$1="鸣金",$AK86,$AI86)+IF($G$1="鸣金",$AL86*1.5,0))*(1+$AV86)*(1+$AW86)+(($AX86+$AY86)/2*IF($G$1="裂石",$AK86,$AI86)+IF($G$1="裂石",$AL86*1.5,0))*(1+$AZ86)*(1+$BA86)+(($BB86+$BC86)/2*IF($G$1="牵丝",$AK86,$AI86)+IF($G$1="牵丝",$AL86*1.5,0))*(1+$BD86)*(1+$BE86)+(($BF86+$BG86)/2*IF($G$1="破竹",$AK86,$AI86)+IF($G$1="破竹",$AL86*1.5,0))*(1+$BH86)*(1+$BI86))*(1+$AM86)*$Q86*(1+IF(VLOOKUP($R86,武学奇术!$A:$ZZ,30,FALSE)="回旋伞",$B$21,0))*(1+$BR86)</f>
        <v>25510.4616590391</v>
      </c>
      <c r="P86" s="38">
        <f>((($AO86*$AI86+$AJ86)*(1+$AQ86)*(1+$AR86)+($AT86*IF($G$1="鸣金",$AK86,$AI86)+IF($G$1="鸣金",$AL86*1.5,0))*(1+$AV86)*(1+$AW86)+($AX86*IF($G$1="裂石",$AK86,$AI86)+IF($G$1="裂石",$AL86*1.5,0))*(1+$AZ86)*(1+$BA86)+($BB86*IF($G$1="牵丝",$AK86,$AI86)+IF($G$1="牵丝",$AL86*1.5,0))*(1+$BD86)*(1+$BE86)+($BF86*IF($G$1="破竹",$AK86,$AI86)+IF($G$1="破竹",$AL86*1.5,0))*(1+$BH86)*(1+$BI86))*(1+$AM86))*$Q86*(1+IF(VLOOKUP($R86,武学奇术!$A:$ZZ,30,FALSE)="回旋伞",$B$21,0))*(1+$BR86)</f>
        <v>21977.4782803604</v>
      </c>
      <c r="Q86" s="39">
        <v>2</v>
      </c>
      <c r="R86" s="40" t="s">
        <v>112</v>
      </c>
      <c r="S86" s="40" t="s">
        <v>109</v>
      </c>
      <c r="T86" s="40" t="s">
        <v>95</v>
      </c>
      <c r="U86" s="40" t="s">
        <v>73</v>
      </c>
      <c r="V86" s="40" t="s">
        <v>81</v>
      </c>
      <c r="W86" s="40" t="s">
        <v>172</v>
      </c>
      <c r="X86" s="40" t="s">
        <v>99</v>
      </c>
      <c r="Y86" s="40" t="s">
        <v>84</v>
      </c>
      <c r="Z86" s="40" t="s">
        <v>72</v>
      </c>
      <c r="AA86" s="40" t="s">
        <v>72</v>
      </c>
      <c r="AB86" s="40" t="s">
        <v>72</v>
      </c>
      <c r="AC86" s="40" t="s">
        <v>85</v>
      </c>
      <c r="AD86" s="40" t="s">
        <v>72</v>
      </c>
      <c r="AE86" s="40" t="s">
        <v>72</v>
      </c>
      <c r="AF86" s="40" t="s">
        <v>77</v>
      </c>
      <c r="AG86" s="40" t="s">
        <v>78</v>
      </c>
      <c r="AH86" t="str">
        <f>VLOOKUP($R86,武学奇术!$A:$ZZ,25,FALSE)</f>
        <v>伞</v>
      </c>
      <c r="AI86" s="26">
        <f>VLOOKUP($R86,武学奇术!$A:$ZZ,26,FALSE)</f>
        <v>0.54</v>
      </c>
      <c r="AJ86" s="27">
        <f>VLOOKUP($R86,武学奇术!$A:$ZZ,27,FALSE)*(1+IF(OR($AH86=$F$4,$AH86=$F$5),$B$22,0))</f>
        <v>0</v>
      </c>
      <c r="AK86" s="26">
        <f>VLOOKUP($R86,武学奇术!$A:$ZZ,28,FALSE)</f>
        <v>0.81</v>
      </c>
      <c r="AL86" s="27">
        <f>VLOOKUP($R86,武学奇术!$A:$ZZ,29,FALSE)*(1+IF(OR($AH86=$F$4,$AH86=$F$5),$B$22,0))</f>
        <v>0</v>
      </c>
      <c r="AM86" s="26" cm="1">
        <f t="array" ref="AM86">$G$3+IFERROR(VLOOKUP($AH86,$F$4:$G$7,2,FALSE),0)+VLOOKUP($R86,武学奇术!$A:$ZZ,2,FALSE)+SUM(_xlfn.XLOOKUP($S86:$AG86,增益!$A:$A,增益!$B:$B,0))</f>
        <v>1.0541</v>
      </c>
      <c r="AN86" s="26" cm="1">
        <f t="array" ref="AN86">VLOOKUP($R86,武学奇术!$A:$ZZ,5,FALSE)+SUM(_xlfn.XLOOKUP($S86:$AG86,增益!$A:$A,增益!$E:$E,0))</f>
        <v>0</v>
      </c>
      <c r="AO86" cm="1">
        <f t="array" ref="AO86">$D$10*(1+$AN86)+VLOOKUP($R86,武学奇术!$A:$ZZ,3,FALSE)+SUM(_xlfn.XLOOKUP($S86:$AG86,增益!$A:$A,增益!$C:$C,0))-$I$2</f>
        <v>3624.6</v>
      </c>
      <c r="AP86" cm="1">
        <f t="array" ref="AP86">$E$10*(1+$AN86)+VLOOKUP($R86,武学奇术!$A:$ZZ,4,FALSE)+SUM(_xlfn.XLOOKUP($S86:$AG86,增益!$A:$A,增益!$D:$D,0))-$I$2</f>
        <v>3624.6</v>
      </c>
      <c r="AQ86" s="32" cm="1">
        <f t="array" ref="AQ86">IF($F$10-$I$3+VLOOKUP($R86,武学奇术!$A:$ZZ,6,FALSE)+SUM(_xlfn.XLOOKUP(S86:AG86,增益!$A:$A,增益!$F:$F,0))&gt;0,($F$10-$I$3+VLOOKUP($R86,武学奇术!$A:$ZZ,6,FALSE)+SUM(_xlfn.XLOOKUP(S86:AG86,增益!$A:$A,增益!$F:$F,0)))/200,($F$10-$I$3+VLOOKUP($R86,武学奇术!$A:$ZZ,6,FALSE)+SUM(_xlfn.XLOOKUP(S86:AG86,增益!$A:$A,增益!$F:$F,0)))/100)</f>
        <v>0.3425</v>
      </c>
      <c r="AR86" s="32" cm="1">
        <f t="array" ref="AR86">$G$10+VLOOKUP($R86,武学奇术!$A:$ZZ,7,FALSE)+SUM(_xlfn.XLOOKUP(S86:AG86,增益!$A:$A,增益!$G:$G,0))</f>
        <v>0.148</v>
      </c>
      <c r="AS86" s="26" cm="1">
        <f t="array" ref="AS86">VLOOKUP($R86,武学奇术!$A:$ZZ,8,FALSE)+SUM(_xlfn.XLOOKUP(S86:AG86,增益!$A:$A,增益!$H:$H,0))</f>
        <v>0</v>
      </c>
      <c r="AT86">
        <f t="shared" si="35"/>
        <v>0</v>
      </c>
      <c r="AU86">
        <f t="shared" si="36"/>
        <v>0</v>
      </c>
      <c r="AV86" s="32" cm="1">
        <f t="array" ref="AV86">IF($F$11-$I$4+VLOOKUP($R86,武学奇术!$A:$ZZ,9,FALSE)+SUM(_xlfn.XLOOKUP(S86:AG86,增益!$A:$A,增益!$I:$I,0))&gt;0,($F$11-$I$4+VLOOKUP($R86,武学奇术!$A:$ZZ,9,FALSE)+SUM(_xlfn.XLOOKUP(S86:AG86,增益!$A:$A,增益!$I:$I,0)))/200,($F$11-$I$4+VLOOKUP($R86,武学奇术!$A:$ZZ,9,FALSE)+SUM(_xlfn.XLOOKUP(S86:AG86,增益!$A:$A,增益!$I:$I,0)))/100)</f>
        <v>-0.14</v>
      </c>
      <c r="AW86" s="32" cm="1">
        <f t="array" ref="AW86">$G$11+VLOOKUP($R86,武学奇术!$A:$ZZ,10,FALSE)+SUM(_xlfn.XLOOKUP(S86:AG86,增益!$A:$A,增益!$J:$J,0))</f>
        <v>0</v>
      </c>
      <c r="AX86">
        <f t="shared" si="37"/>
        <v>0</v>
      </c>
      <c r="AY86">
        <f t="shared" si="38"/>
        <v>0</v>
      </c>
      <c r="AZ86" s="32" cm="1">
        <f t="array" ref="AZ86">IF($F$12-$I$4+VLOOKUP($R86,武学奇术!$A:$ZZ,11,FALSE)+SUM(_xlfn.XLOOKUP(S86:AG86,增益!$A:$A,增益!$K:$K,0))&gt;0,($F$12-$I$4+VLOOKUP($R86,武学奇术!$A:$ZZ,11,FALSE)+SUM(_xlfn.XLOOKUP(S86:AG86,增益!$A:$A,增益!$K:$K,0)))/200,($F$12-$I$4+VLOOKUP($R86,武学奇术!$A:$ZZ,11,FALSE)+SUM(_xlfn.XLOOKUP(S86:AG86,增益!$A:$A,增益!$K:$K,0)))/100)</f>
        <v>-0.14</v>
      </c>
      <c r="BA86" s="32" cm="1">
        <f t="array" ref="BA86">$G$12+VLOOKUP($R86,武学奇术!$A:$ZZ,12,FALSE)+SUM(_xlfn.XLOOKUP(S86:AG86,增益!$A:$A,增益!$L:$L,0))</f>
        <v>0</v>
      </c>
      <c r="BB86">
        <f t="shared" si="39"/>
        <v>0</v>
      </c>
      <c r="BC86">
        <f t="shared" si="40"/>
        <v>0</v>
      </c>
      <c r="BD86" s="32" cm="1">
        <f t="array" ref="BD86">IF($F$13-$I$4+VLOOKUP($R86,武学奇术!$A:$ZZ,13,FALSE)+SUM(_xlfn.XLOOKUP(S86:AG86,增益!$A:$A,增益!$M:$M,0))&gt;0,($F$13-$I$4+VLOOKUP($R86,武学奇术!$A:$ZZ,13,FALSE)+SUM(_xlfn.XLOOKUP(S86:AG86,增益!$A:$A,增益!$K:$K,0)))/200,($F$13-$I$4+VLOOKUP($R86,武学奇术!$A:$ZZ,13,FALSE)+SUM(_xlfn.XLOOKUP(S86:AG86,增益!$A:$A,增益!$M:$M,0)))/100)</f>
        <v>-0.14</v>
      </c>
      <c r="BE86" s="32" cm="1">
        <f t="array" ref="BE86">$G$13+VLOOKUP($R86,武学奇术!$A:$ZZ,14,FALSE)+SUM(_xlfn.XLOOKUP(S86:AG86,增益!$A:$A,增益!$N:$N,0))</f>
        <v>0</v>
      </c>
      <c r="BF86">
        <f t="shared" si="41"/>
        <v>571.2</v>
      </c>
      <c r="BG86">
        <f t="shared" si="42"/>
        <v>1627.8</v>
      </c>
      <c r="BH86" s="32" cm="1">
        <f t="array" ref="BH86">IF($F$14-$I$4+VLOOKUP($R86,武学奇术!$A:$ZZ,15,FALSE)+SUM(_xlfn.XLOOKUP(S86:AG86,增益!$A:$A,增益!$O:$O,0))&gt;0,($F$14-$I$4+VLOOKUP($R86,武学奇术!$A:$ZZ,15,FALSE)+SUM(_xlfn.XLOOKUP(S86:AG86,增益!$A:$A,增益!$O:$O,0)))/200,($F$14-$I$4+VLOOKUP($R86,武学奇术!$A:$ZZ,15,FALSE)+SUM(_xlfn.XLOOKUP(S86:AG86,增益!$A:$A,增益!$O:$O,0)))/100)</f>
        <v>0.08</v>
      </c>
      <c r="BI86" s="32" cm="1">
        <f t="array" ref="BI86">$G$14+VLOOKUP($R86,武学奇术!$A:$ZZ,16,FALSE)+SUM(_xlfn.XLOOKUP(S86:AG86,增益!$A:$A,增益!$P:$P,0))</f>
        <v>0.27</v>
      </c>
      <c r="BJ86" s="26">
        <f>MIN(IF(VLOOKUP($R86,武学奇术!$A:$ZZ,23,FALSE)=1,100%,$B$8),100%)</f>
        <v>0.981</v>
      </c>
      <c r="BK86" s="26" cm="1">
        <f t="array" ref="BK86">IF(VLOOKUP($R86,武学奇术!$A:$ZZ,23,FALSE)=1,100%,MIN(80%,$B$9+VLOOKUP($R86,武学奇术!$A:$ZZ,17,FALSE)+SUM(_xlfn.XLOOKUP(S86:AG86,增益!$A:$A,增益!$Q:$Q,0)))+$B$11+SUM(_xlfn.XLOOKUP(S86:AG86,增益!$A:$A,增益!$U:$U,0)))*IF(VLOOKUP($R86,武学奇术!$A:$ZZ,24,FALSE)=1,0,1)</f>
        <v>0.846</v>
      </c>
      <c r="BL86" s="26" cm="1">
        <f t="array" ref="BL86">1+$B$13+VLOOKUP($R86,武学奇术!$A:$ZZ,18,FALSE)+SUM(_xlfn.XLOOKUP(S86:AG86,增益!$A:$A,增益!$R:$R,0))</f>
        <v>1.91</v>
      </c>
      <c r="BM86" s="26" cm="1">
        <f t="array" ref="BM86">IF(VLOOKUP($R86,武学奇术!$A:$ZZ,24,FALSE)=1,100%,MIN(40%,$B$10+VLOOKUP($R86,武学奇术!$A:$ZZ,19,FALSE)+SUM(_xlfn.XLOOKUP(S86:AG86,增益!$A:$A,增益!$S:$S,0)))+$B$12+SUM(_xlfn.XLOOKUP(S86:AG86,增益!$A:$A,增益!$V:$V,0)))*IF(VLOOKUP($R86,武学奇术!$A:$ZZ,23,FALSE)=1,0,1)</f>
        <v>0.0929</v>
      </c>
      <c r="BN86" s="26" cm="1">
        <f t="array" ref="BN86">1+$B$14+VLOOKUP($R86,武学奇术!$A:$ZZ,20,FALSE)+SUM(_xlfn.XLOOKUP(S86:AG86,增益!$A:$A,增益!$T:$T,0))</f>
        <v>1.35</v>
      </c>
      <c r="BO86" s="26">
        <f t="shared" si="23"/>
        <v>0.829926</v>
      </c>
      <c r="BP86" s="26">
        <f t="shared" si="33"/>
        <v>0.0599391</v>
      </c>
      <c r="BQ86" s="26">
        <f>IF(VLOOKUP($R86,武学奇术!$A:$ZZ,22,FALSE)=1,0,(1-$BJ86))*(1-$BM86)</f>
        <v>0.0172349</v>
      </c>
      <c r="BR86" s="26" cm="1">
        <f t="array" ref="BR86">SUM(_xlfn.XLOOKUP(S86:AG86,增益!$A:$A,增益!$W:$W,0))+$I$5</f>
        <v>0.11</v>
      </c>
    </row>
    <row r="87" spans="1:70">
      <c r="A87" s="4" t="s">
        <v>171</v>
      </c>
      <c r="B87" s="87">
        <v>0.1</v>
      </c>
      <c r="K87">
        <f>$L87*VLOOKUP($R87,武学奇术!$A:$ZZ,31,FALSE)</f>
        <v>85457.2157425715</v>
      </c>
      <c r="L87" s="38">
        <f t="shared" si="34"/>
        <v>81387.8245167348</v>
      </c>
      <c r="M87" s="38">
        <f>((($AO87+$AP87)/2*$AI87+$AJ87)*(1+$AQ87)*(1+$AR87)+(($AT87+$AU87)/2*IF($G$1="鸣金",$AK87,$AI87)+IF($G$1="鸣金",$AL87*1.5,0))*(1+$AV87)*(1+$AW87)+(($AX87+$AY87)/2*IF($G$1="裂石",$AK87,$AI87)+IF($G$1="裂石",$AL87*1.5,0))*(1+$AZ87)*(1+$BA87)+(($BB87+$BC87)/2*IF($G$1="牵丝",$AK87,$AI87)+IF($G$1="牵丝",$AL87*1.5,0))*(1+$BD87)*(1+$BE87)+(($BF87+$BG87)/2*IF($G$1="破竹",$AK87,$AI87)+IF($G$1="破竹",$AL87*1.5,0))*(1+$BH87)*(1+$BI87))*(1+$AM87)*$BL87*$Q87*(1+IF(VLOOKUP($R87,武学奇术!$A:$ZZ,30,FALSE)="回旋伞",$B$21,0))*(1+$BR87)</f>
        <v>86635.2557093128</v>
      </c>
      <c r="N87" s="38">
        <f>(($AP87*$AI87+$AJ87)*(1+$AQ87)*(1+$AR87)+($AU87*IF($G$1="鸣金",$AK87,$AI87)+IF($G$1="鸣金",$AL87*1.5,0))*(1+$AV87)*(1+$AW87)+($AY87*IF($G$1="裂石",$AK87,$AI87)+IF($G$1="裂石",$AL87*1.5,0))*(1+$AZ87)*(1+$BA87)+($BC87*IF($G$1="牵丝",$AK87,$AI87)+IF($G$1="牵丝",$AL87*1.5,0))*(1+$BD87)*(1+$BE87)+($BG87*IF($G$1="破竹",$AK87,$AI87)+IF($G$1="破竹",$AL87*1.5,0))*(1+$BH87)*(1+$BI87))*(1+$AM87)*$BN87*$Q87*(1+IF(VLOOKUP($R87,武学奇术!$A:$ZZ,30,FALSE)="回旋伞",$B$21,0))*(1+$BR87)</f>
        <v>66578.0496996268</v>
      </c>
      <c r="O87" s="38">
        <f>((($AO87+$AP87)/2*$AI87+$AJ87)*(1+$AQ87)*(1+$AR87)+(($AT87+$AU87)/2*IF($G$1="鸣金",$AK87,$AI87)+IF($G$1="鸣金",$AL87*1.5,0))*(1+$AV87)*(1+$AW87)+(($AX87+$AY87)/2*IF($G$1="裂石",$AK87,$AI87)+IF($G$1="裂石",$AL87*1.5,0))*(1+$AZ87)*(1+$BA87)+(($BB87+$BC87)/2*IF($G$1="牵丝",$AK87,$AI87)+IF($G$1="牵丝",$AL87*1.5,0))*(1+$BD87)*(1+$BE87)+(($BF87+$BG87)/2*IF($G$1="破竹",$AK87,$AI87)+IF($G$1="破竹",$AL87*1.5,0))*(1+$BH87)*(1+$BI87))*(1+$AM87)*$Q87*(1+IF(VLOOKUP($R87,武学奇术!$A:$ZZ,30,FALSE)="回旋伞",$B$21,0))*(1+$BR87)</f>
        <v>43977.2871620877</v>
      </c>
      <c r="P87" s="38">
        <f>((($AO87*$AI87+$AJ87)*(1+$AQ87)*(1+$AR87)+($AT87*IF($G$1="鸣金",$AK87,$AI87)+IF($G$1="鸣金",$AL87*1.5,0))*(1+$AV87)*(1+$AW87)+($AX87*IF($G$1="裂石",$AK87,$AI87)+IF($G$1="裂石",$AL87*1.5,0))*(1+$AZ87)*(1+$BA87)+($BB87*IF($G$1="牵丝",$AK87,$AI87)+IF($G$1="牵丝",$AL87*1.5,0))*(1+$BD87)*(1+$BE87)+($BF87*IF($G$1="破竹",$AK87,$AI87)+IF($G$1="破竹",$AL87*1.5,0))*(1+$BH87)*(1+$BI87))*(1+$AM87))*$Q87*(1+IF(VLOOKUP($R87,武学奇术!$A:$ZZ,30,FALSE)="回旋伞",$B$21,0))*(1+$BR87)</f>
        <v>38637.5004726</v>
      </c>
      <c r="Q87" s="39">
        <v>1</v>
      </c>
      <c r="R87" s="40" t="s">
        <v>108</v>
      </c>
      <c r="S87" s="40" t="s">
        <v>109</v>
      </c>
      <c r="T87" s="40" t="s">
        <v>95</v>
      </c>
      <c r="U87" s="40" t="s">
        <v>73</v>
      </c>
      <c r="V87" s="40" t="s">
        <v>81</v>
      </c>
      <c r="W87" s="40" t="s">
        <v>172</v>
      </c>
      <c r="X87" s="40" t="s">
        <v>99</v>
      </c>
      <c r="Y87" s="40" t="s">
        <v>84</v>
      </c>
      <c r="Z87" s="40" t="s">
        <v>72</v>
      </c>
      <c r="AA87" s="40" t="s">
        <v>72</v>
      </c>
      <c r="AB87" s="40" t="s">
        <v>115</v>
      </c>
      <c r="AC87" s="40" t="s">
        <v>91</v>
      </c>
      <c r="AD87" s="40" t="s">
        <v>72</v>
      </c>
      <c r="AE87" s="40" t="s">
        <v>72</v>
      </c>
      <c r="AF87" s="40" t="s">
        <v>77</v>
      </c>
      <c r="AG87" s="40" t="s">
        <v>78</v>
      </c>
      <c r="AH87" t="str">
        <f>VLOOKUP($R87,武学奇术!$A:$ZZ,25,FALSE)</f>
        <v>伞</v>
      </c>
      <c r="AI87" s="26">
        <f>VLOOKUP($R87,武学奇术!$A:$ZZ,26,FALSE)</f>
        <v>1.8084</v>
      </c>
      <c r="AJ87" s="27">
        <f>VLOOKUP($R87,武学奇术!$A:$ZZ,27,FALSE)*(1+IF(OR($AH87=$F$4,$AH87=$F$5),$B$22,0))</f>
        <v>750</v>
      </c>
      <c r="AK87" s="26">
        <f>VLOOKUP($R87,武学奇术!$A:$ZZ,28,FALSE)</f>
        <v>2.7126</v>
      </c>
      <c r="AL87" s="27">
        <f>VLOOKUP($R87,武学奇术!$A:$ZZ,29,FALSE)*(1+IF(OR($AH87=$F$4,$AH87=$F$5),$B$22,0))</f>
        <v>408</v>
      </c>
      <c r="AM87" s="26" cm="1">
        <f t="array" ref="AM87">$G$3+IFERROR(VLOOKUP($AH87,$F$4:$G$7,2,FALSE),0)+VLOOKUP($R87,武学奇术!$A:$ZZ,2,FALSE)+SUM(_xlfn.XLOOKUP($S87:$AG87,增益!$A:$A,增益!$B:$B,0))</f>
        <v>0.8541</v>
      </c>
      <c r="AN87" s="26" cm="1">
        <f t="array" ref="AN87">VLOOKUP($R87,武学奇术!$A:$ZZ,5,FALSE)+SUM(_xlfn.XLOOKUP($S87:$AG87,增益!$A:$A,增益!$E:$E,0))</f>
        <v>0</v>
      </c>
      <c r="AO87" cm="1">
        <f t="array" ref="AO87">$D$10*(1+$AN87)+VLOOKUP($R87,武学奇术!$A:$ZZ,3,FALSE)+SUM(_xlfn.XLOOKUP($S87:$AG87,增益!$A:$A,增益!$C:$C,0))-$I$2</f>
        <v>3624.6</v>
      </c>
      <c r="AP87" cm="1">
        <f t="array" ref="AP87">$E$10*(1+$AN87)+VLOOKUP($R87,武学奇术!$A:$ZZ,4,FALSE)+SUM(_xlfn.XLOOKUP($S87:$AG87,增益!$A:$A,增益!$D:$D,0))-$I$2</f>
        <v>3624.6</v>
      </c>
      <c r="AQ87" s="32" cm="1">
        <f t="array" ref="AQ87">IF($F$10-$I$3+VLOOKUP($R87,武学奇术!$A:$ZZ,6,FALSE)+SUM(_xlfn.XLOOKUP(S87:AG87,增益!$A:$A,增益!$F:$F,0))&gt;0,($F$10-$I$3+VLOOKUP($R87,武学奇术!$A:$ZZ,6,FALSE)+SUM(_xlfn.XLOOKUP(S87:AG87,增益!$A:$A,增益!$F:$F,0)))/200,($F$10-$I$3+VLOOKUP($R87,武学奇术!$A:$ZZ,6,FALSE)+SUM(_xlfn.XLOOKUP(S87:AG87,增益!$A:$A,增益!$F:$F,0)))/100)</f>
        <v>0.3425</v>
      </c>
      <c r="AR87" s="32" cm="1">
        <f t="array" ref="AR87">$G$10+VLOOKUP($R87,武学奇术!$A:$ZZ,7,FALSE)+SUM(_xlfn.XLOOKUP(S87:AG87,增益!$A:$A,增益!$G:$G,0))</f>
        <v>0.148</v>
      </c>
      <c r="AS87" s="26" cm="1">
        <f t="array" ref="AS87">VLOOKUP($R87,武学奇术!$A:$ZZ,8,FALSE)+SUM(_xlfn.XLOOKUP(S87:AG87,增益!$A:$A,增益!$H:$H,0))</f>
        <v>0</v>
      </c>
      <c r="AT87">
        <f t="shared" ref="AT87:AT106" si="43">$D$11*(1+$AS87)</f>
        <v>0</v>
      </c>
      <c r="AU87">
        <f t="shared" ref="AU87:AU106" si="44">$E$11*(1+$AS87)</f>
        <v>0</v>
      </c>
      <c r="AV87" s="32" cm="1">
        <f t="array" ref="AV87">IF($F$11-$I$4+VLOOKUP($R87,武学奇术!$A:$ZZ,9,FALSE)+SUM(_xlfn.XLOOKUP(S87:AG87,增益!$A:$A,增益!$I:$I,0))&gt;0,($F$11-$I$4+VLOOKUP($R87,武学奇术!$A:$ZZ,9,FALSE)+SUM(_xlfn.XLOOKUP(S87:AG87,增益!$A:$A,增益!$I:$I,0)))/200,($F$11-$I$4+VLOOKUP($R87,武学奇术!$A:$ZZ,9,FALSE)+SUM(_xlfn.XLOOKUP(S87:AG87,增益!$A:$A,增益!$I:$I,0)))/100)</f>
        <v>-0.14</v>
      </c>
      <c r="AW87" s="32" cm="1">
        <f t="array" ref="AW87">$G$11+VLOOKUP($R87,武学奇术!$A:$ZZ,10,FALSE)+SUM(_xlfn.XLOOKUP(S87:AG87,增益!$A:$A,增益!$J:$J,0))</f>
        <v>0</v>
      </c>
      <c r="AX87">
        <f t="shared" ref="AX87:AX106" si="45">$D$12*(1+$AS87)</f>
        <v>0</v>
      </c>
      <c r="AY87">
        <f t="shared" ref="AY87:AY106" si="46">$E$12*(1+$AS87)</f>
        <v>0</v>
      </c>
      <c r="AZ87" s="32" cm="1">
        <f t="array" ref="AZ87">IF($F$12-$I$4+VLOOKUP($R87,武学奇术!$A:$ZZ,11,FALSE)+SUM(_xlfn.XLOOKUP(S87:AG87,增益!$A:$A,增益!$K:$K,0))&gt;0,($F$12-$I$4+VLOOKUP($R87,武学奇术!$A:$ZZ,11,FALSE)+SUM(_xlfn.XLOOKUP(S87:AG87,增益!$A:$A,增益!$K:$K,0)))/200,($F$12-$I$4+VLOOKUP($R87,武学奇术!$A:$ZZ,11,FALSE)+SUM(_xlfn.XLOOKUP(S87:AG87,增益!$A:$A,增益!$K:$K,0)))/100)</f>
        <v>-0.14</v>
      </c>
      <c r="BA87" s="32" cm="1">
        <f t="array" ref="BA87">$G$12+VLOOKUP($R87,武学奇术!$A:$ZZ,12,FALSE)+SUM(_xlfn.XLOOKUP(S87:AG87,增益!$A:$A,增益!$L:$L,0))</f>
        <v>0</v>
      </c>
      <c r="BB87">
        <f t="shared" ref="BB87:BB106" si="47">$D$13*(1+$AS87)</f>
        <v>0</v>
      </c>
      <c r="BC87">
        <f t="shared" ref="BC87:BC106" si="48">$E$13*(1+$AS87)</f>
        <v>0</v>
      </c>
      <c r="BD87" s="32" cm="1">
        <f t="array" ref="BD87">IF($F$13-$I$4+VLOOKUP($R87,武学奇术!$A:$ZZ,13,FALSE)+SUM(_xlfn.XLOOKUP(S87:AG87,增益!$A:$A,增益!$M:$M,0))&gt;0,($F$13-$I$4+VLOOKUP($R87,武学奇术!$A:$ZZ,13,FALSE)+SUM(_xlfn.XLOOKUP(S87:AG87,增益!$A:$A,增益!$K:$K,0)))/200,($F$13-$I$4+VLOOKUP($R87,武学奇术!$A:$ZZ,13,FALSE)+SUM(_xlfn.XLOOKUP(S87:AG87,增益!$A:$A,增益!$M:$M,0)))/100)</f>
        <v>-0.14</v>
      </c>
      <c r="BE87" s="32" cm="1">
        <f t="array" ref="BE87">$G$13+VLOOKUP($R87,武学奇术!$A:$ZZ,14,FALSE)+SUM(_xlfn.XLOOKUP(S87:AG87,增益!$A:$A,增益!$N:$N,0))</f>
        <v>0</v>
      </c>
      <c r="BF87">
        <f t="shared" ref="BF87:BF106" si="49">$D$14*(1+$AS87)</f>
        <v>571.2</v>
      </c>
      <c r="BG87">
        <f t="shared" ref="BG87:BG106" si="50">$E$14*(1+$AS87)</f>
        <v>1627.8</v>
      </c>
      <c r="BH87" s="32" cm="1">
        <f t="array" ref="BH87">IF($F$14-$I$4+VLOOKUP($R87,武学奇术!$A:$ZZ,15,FALSE)+SUM(_xlfn.XLOOKUP(S87:AG87,增益!$A:$A,增益!$O:$O,0))&gt;0,($F$14-$I$4+VLOOKUP($R87,武学奇术!$A:$ZZ,15,FALSE)+SUM(_xlfn.XLOOKUP(S87:AG87,增益!$A:$A,增益!$O:$O,0)))/200,($F$14-$I$4+VLOOKUP($R87,武学奇术!$A:$ZZ,15,FALSE)+SUM(_xlfn.XLOOKUP(S87:AG87,增益!$A:$A,增益!$O:$O,0)))/100)</f>
        <v>0.08</v>
      </c>
      <c r="BI87" s="32" cm="1">
        <f t="array" ref="BI87">$G$14+VLOOKUP($R87,武学奇术!$A:$ZZ,16,FALSE)+SUM(_xlfn.XLOOKUP(S87:AG87,增益!$A:$A,增益!$P:$P,0))</f>
        <v>0.27</v>
      </c>
      <c r="BJ87" s="26">
        <f>MIN(IF(VLOOKUP($R87,武学奇术!$A:$ZZ,23,FALSE)=1,100%,$B$8),100%)</f>
        <v>0.981</v>
      </c>
      <c r="BK87" s="26" cm="1">
        <f t="array" ref="BK87">IF(VLOOKUP($R87,武学奇术!$A:$ZZ,23,FALSE)=1,100%,MIN(80%,$B$9+VLOOKUP($R87,武学奇术!$A:$ZZ,17,FALSE)+SUM(_xlfn.XLOOKUP(S87:AG87,增益!$A:$A,增益!$Q:$Q,0)))+$B$11+SUM(_xlfn.XLOOKUP(S87:AG87,增益!$A:$A,增益!$U:$U,0)))*IF(VLOOKUP($R87,武学奇术!$A:$ZZ,24,FALSE)=1,0,1)</f>
        <v>0.846</v>
      </c>
      <c r="BL87" s="26" cm="1">
        <f t="array" ref="BL87">1+$B$13+VLOOKUP($R87,武学奇术!$A:$ZZ,18,FALSE)+SUM(_xlfn.XLOOKUP(S87:AG87,增益!$A:$A,增益!$R:$R,0))</f>
        <v>1.97</v>
      </c>
      <c r="BM87" s="26" cm="1">
        <f t="array" ref="BM87">IF(VLOOKUP($R87,武学奇术!$A:$ZZ,24,FALSE)=1,100%,MIN(40%,$B$10+VLOOKUP($R87,武学奇术!$A:$ZZ,19,FALSE)+SUM(_xlfn.XLOOKUP(S87:AG87,增益!$A:$A,增益!$S:$S,0)))+$B$12+SUM(_xlfn.XLOOKUP(S87:AG87,增益!$A:$A,增益!$V:$V,0)))*IF(VLOOKUP($R87,武学奇术!$A:$ZZ,23,FALSE)=1,0,1)</f>
        <v>0.0929</v>
      </c>
      <c r="BN87" s="26" cm="1">
        <f t="array" ref="BN87">1+$B$14+VLOOKUP($R87,武学奇术!$A:$ZZ,20,FALSE)+SUM(_xlfn.XLOOKUP(S87:AG87,增益!$A:$A,增益!$T:$T,0))</f>
        <v>1.35</v>
      </c>
      <c r="BO87" s="26">
        <f t="shared" si="23"/>
        <v>0.829926</v>
      </c>
      <c r="BP87" s="26">
        <f t="shared" si="33"/>
        <v>0.0599391</v>
      </c>
      <c r="BQ87" s="26">
        <f>IF(VLOOKUP($R87,武学奇术!$A:$ZZ,22,FALSE)=1,0,(1-$BJ87))*(1-$BM87)</f>
        <v>0.0172349</v>
      </c>
      <c r="BR87" s="26" cm="1">
        <f t="array" ref="BR87">SUM(_xlfn.XLOOKUP(S87:AG87,增益!$A:$A,增益!$W:$W,0))+$I$5</f>
        <v>0.11</v>
      </c>
    </row>
    <row r="88" spans="1:70">
      <c r="A88" s="4" t="s">
        <v>181</v>
      </c>
      <c r="B88" s="4">
        <v>2</v>
      </c>
      <c r="D88" s="39" t="s">
        <v>153</v>
      </c>
      <c r="F88" s="39" t="s">
        <v>157</v>
      </c>
      <c r="K88">
        <f>$L88*VLOOKUP($R88,武学奇术!$A:$ZZ,31,FALSE)</f>
        <v>49621.7130736331</v>
      </c>
      <c r="L88" s="38">
        <f t="shared" si="34"/>
        <v>47258.7743558411</v>
      </c>
      <c r="M88" s="38">
        <f>((($AO88+$AP88)/2*$AI88+$AJ88)*(1+$AQ88)*(1+$AR88)+(($AT88+$AU88)/2*IF($G$1="鸣金",$AK88,$AI88)+IF($G$1="鸣金",$AL88*1.5,0))*(1+$AV88)*(1+$AW88)+(($AX88+$AY88)/2*IF($G$1="裂石",$AK88,$AI88)+IF($G$1="裂石",$AL88*1.5,0))*(1+$AZ88)*(1+$BA88)+(($BB88+$BC88)/2*IF($G$1="牵丝",$AK88,$AI88)+IF($G$1="牵丝",$AL88*1.5,0))*(1+$BD88)*(1+$BE88)+(($BF88+$BG88)/2*IF($G$1="破竹",$AK88,$AI88)+IF($G$1="破竹",$AL88*1.5,0))*(1+$BH88)*(1+$BI88))*(1+$AM88)*$BL88*$Q88*(1+IF(VLOOKUP($R88,武学奇术!$A:$ZZ,30,FALSE)="回旋伞",$B$21,0))*(1+$BR88)</f>
        <v>50255.609468307</v>
      </c>
      <c r="N88" s="38">
        <f>(($AP88*$AI88+$AJ88)*(1+$AQ88)*(1+$AR88)+($AU88*IF($G$1="鸣金",$AK88,$AI88)+IF($G$1="鸣金",$AL88*1.5,0))*(1+$AV88)*(1+$AW88)+($AY88*IF($G$1="裂石",$AK88,$AI88)+IF($G$1="裂石",$AL88*1.5,0))*(1+$AZ88)*(1+$BA88)+($BC88*IF($G$1="牵丝",$AK88,$AI88)+IF($G$1="牵丝",$AL88*1.5,0))*(1+$BD88)*(1+$BE88)+($BG88*IF($G$1="破竹",$AK88,$AI88)+IF($G$1="破竹",$AL88*1.5,0))*(1+$BH88)*(1+$BI88))*(1+$AM88)*$BN88*$Q88*(1+IF(VLOOKUP($R88,武学奇术!$A:$ZZ,30,FALSE)="回旋伞",$B$21,0))*(1+$BR88)</f>
        <v>39208.650800919</v>
      </c>
      <c r="O88" s="38">
        <f>((($AO88+$AP88)/2*$AI88+$AJ88)*(1+$AQ88)*(1+$AR88)+(($AT88+$AU88)/2*IF($G$1="鸣金",$AK88,$AI88)+IF($G$1="鸣金",$AL88*1.5,0))*(1+$AV88)*(1+$AW88)+(($AX88+$AY88)/2*IF($G$1="裂石",$AK88,$AI88)+IF($G$1="裂石",$AL88*1.5,0))*(1+$AZ88)*(1+$BA88)+(($BB88+$BC88)/2*IF($G$1="牵丝",$AK88,$AI88)+IF($G$1="牵丝",$AL88*1.5,0))*(1+$BD88)*(1+$BE88)+(($BF88+$BG88)/2*IF($G$1="破竹",$AK88,$AI88)+IF($G$1="破竹",$AL88*1.5,0))*(1+$BH88)*(1+$BI88))*(1+$AM88)*$Q88*(1+IF(VLOOKUP($R88,武学奇术!$A:$ZZ,30,FALSE)="回旋伞",$B$21,0))*(1+$BR88)</f>
        <v>25510.4616590391</v>
      </c>
      <c r="P88" s="38">
        <f>((($AO88*$AI88+$AJ88)*(1+$AQ88)*(1+$AR88)+($AT88*IF($G$1="鸣金",$AK88,$AI88)+IF($G$1="鸣金",$AL88*1.5,0))*(1+$AV88)*(1+$AW88)+($AX88*IF($G$1="裂石",$AK88,$AI88)+IF($G$1="裂石",$AL88*1.5,0))*(1+$AZ88)*(1+$BA88)+($BB88*IF($G$1="牵丝",$AK88,$AI88)+IF($G$1="牵丝",$AL88*1.5,0))*(1+$BD88)*(1+$BE88)+($BF88*IF($G$1="破竹",$AK88,$AI88)+IF($G$1="破竹",$AL88*1.5,0))*(1+$BH88)*(1+$BI88))*(1+$AM88))*$Q88*(1+IF(VLOOKUP($R88,武学奇术!$A:$ZZ,30,FALSE)="回旋伞",$B$21,0))*(1+$BR88)</f>
        <v>21977.4782803604</v>
      </c>
      <c r="Q88" s="39">
        <v>2</v>
      </c>
      <c r="R88" s="40" t="s">
        <v>112</v>
      </c>
      <c r="S88" s="40" t="s">
        <v>109</v>
      </c>
      <c r="T88" s="40" t="s">
        <v>95</v>
      </c>
      <c r="U88" s="40" t="s">
        <v>73</v>
      </c>
      <c r="V88" s="40" t="s">
        <v>81</v>
      </c>
      <c r="W88" s="40" t="s">
        <v>172</v>
      </c>
      <c r="X88" s="40" t="s">
        <v>99</v>
      </c>
      <c r="Y88" s="40" t="s">
        <v>84</v>
      </c>
      <c r="Z88" s="40" t="s">
        <v>72</v>
      </c>
      <c r="AA88" s="40" t="s">
        <v>72</v>
      </c>
      <c r="AB88" s="40" t="s">
        <v>115</v>
      </c>
      <c r="AC88" s="40" t="s">
        <v>91</v>
      </c>
      <c r="AD88" s="40" t="s">
        <v>72</v>
      </c>
      <c r="AE88" s="40" t="s">
        <v>72</v>
      </c>
      <c r="AF88" s="40" t="s">
        <v>77</v>
      </c>
      <c r="AG88" s="40" t="s">
        <v>78</v>
      </c>
      <c r="AH88" t="str">
        <f>VLOOKUP($R88,武学奇术!$A:$ZZ,25,FALSE)</f>
        <v>伞</v>
      </c>
      <c r="AI88" s="26">
        <f>VLOOKUP($R88,武学奇术!$A:$ZZ,26,FALSE)</f>
        <v>0.54</v>
      </c>
      <c r="AJ88" s="27">
        <f>VLOOKUP($R88,武学奇术!$A:$ZZ,27,FALSE)*(1+IF(OR($AH88=$F$4,$AH88=$F$5),$B$22,0))</f>
        <v>0</v>
      </c>
      <c r="AK88" s="26">
        <f>VLOOKUP($R88,武学奇术!$A:$ZZ,28,FALSE)</f>
        <v>0.81</v>
      </c>
      <c r="AL88" s="27">
        <f>VLOOKUP($R88,武学奇术!$A:$ZZ,29,FALSE)*(1+IF(OR($AH88=$F$4,$AH88=$F$5),$B$22,0))</f>
        <v>0</v>
      </c>
      <c r="AM88" s="26" cm="1">
        <f t="array" ref="AM88">$G$3+IFERROR(VLOOKUP($AH88,$F$4:$G$7,2,FALSE),0)+VLOOKUP($R88,武学奇术!$A:$ZZ,2,FALSE)+SUM(_xlfn.XLOOKUP($S88:$AG88,增益!$A:$A,增益!$B:$B,0))</f>
        <v>1.0541</v>
      </c>
      <c r="AN88" s="26" cm="1">
        <f t="array" ref="AN88">VLOOKUP($R88,武学奇术!$A:$ZZ,5,FALSE)+SUM(_xlfn.XLOOKUP($S88:$AG88,增益!$A:$A,增益!$E:$E,0))</f>
        <v>0</v>
      </c>
      <c r="AO88" cm="1">
        <f t="array" ref="AO88">$D$10*(1+$AN88)+VLOOKUP($R88,武学奇术!$A:$ZZ,3,FALSE)+SUM(_xlfn.XLOOKUP($S88:$AG88,增益!$A:$A,增益!$C:$C,0))-$I$2</f>
        <v>3624.6</v>
      </c>
      <c r="AP88" cm="1">
        <f t="array" ref="AP88">$E$10*(1+$AN88)+VLOOKUP($R88,武学奇术!$A:$ZZ,4,FALSE)+SUM(_xlfn.XLOOKUP($S88:$AG88,增益!$A:$A,增益!$D:$D,0))-$I$2</f>
        <v>3624.6</v>
      </c>
      <c r="AQ88" s="32" cm="1">
        <f t="array" ref="AQ88">IF($F$10-$I$3+VLOOKUP($R88,武学奇术!$A:$ZZ,6,FALSE)+SUM(_xlfn.XLOOKUP(S88:AG88,增益!$A:$A,增益!$F:$F,0))&gt;0,($F$10-$I$3+VLOOKUP($R88,武学奇术!$A:$ZZ,6,FALSE)+SUM(_xlfn.XLOOKUP(S88:AG88,增益!$A:$A,增益!$F:$F,0)))/200,($F$10-$I$3+VLOOKUP($R88,武学奇术!$A:$ZZ,6,FALSE)+SUM(_xlfn.XLOOKUP(S88:AG88,增益!$A:$A,增益!$F:$F,0)))/100)</f>
        <v>0.3425</v>
      </c>
      <c r="AR88" s="32" cm="1">
        <f t="array" ref="AR88">$G$10+VLOOKUP($R88,武学奇术!$A:$ZZ,7,FALSE)+SUM(_xlfn.XLOOKUP(S88:AG88,增益!$A:$A,增益!$G:$G,0))</f>
        <v>0.148</v>
      </c>
      <c r="AS88" s="26" cm="1">
        <f t="array" ref="AS88">VLOOKUP($R88,武学奇术!$A:$ZZ,8,FALSE)+SUM(_xlfn.XLOOKUP(S88:AG88,增益!$A:$A,增益!$H:$H,0))</f>
        <v>0</v>
      </c>
      <c r="AT88">
        <f t="shared" si="43"/>
        <v>0</v>
      </c>
      <c r="AU88">
        <f t="shared" si="44"/>
        <v>0</v>
      </c>
      <c r="AV88" s="32" cm="1">
        <f t="array" ref="AV88">IF($F$11-$I$4+VLOOKUP($R88,武学奇术!$A:$ZZ,9,FALSE)+SUM(_xlfn.XLOOKUP(S88:AG88,增益!$A:$A,增益!$I:$I,0))&gt;0,($F$11-$I$4+VLOOKUP($R88,武学奇术!$A:$ZZ,9,FALSE)+SUM(_xlfn.XLOOKUP(S88:AG88,增益!$A:$A,增益!$I:$I,0)))/200,($F$11-$I$4+VLOOKUP($R88,武学奇术!$A:$ZZ,9,FALSE)+SUM(_xlfn.XLOOKUP(S88:AG88,增益!$A:$A,增益!$I:$I,0)))/100)</f>
        <v>-0.14</v>
      </c>
      <c r="AW88" s="32" cm="1">
        <f t="array" ref="AW88">$G$11+VLOOKUP($R88,武学奇术!$A:$ZZ,10,FALSE)+SUM(_xlfn.XLOOKUP(S88:AG88,增益!$A:$A,增益!$J:$J,0))</f>
        <v>0</v>
      </c>
      <c r="AX88">
        <f t="shared" si="45"/>
        <v>0</v>
      </c>
      <c r="AY88">
        <f t="shared" si="46"/>
        <v>0</v>
      </c>
      <c r="AZ88" s="32" cm="1">
        <f t="array" ref="AZ88">IF($F$12-$I$4+VLOOKUP($R88,武学奇术!$A:$ZZ,11,FALSE)+SUM(_xlfn.XLOOKUP(S88:AG88,增益!$A:$A,增益!$K:$K,0))&gt;0,($F$12-$I$4+VLOOKUP($R88,武学奇术!$A:$ZZ,11,FALSE)+SUM(_xlfn.XLOOKUP(S88:AG88,增益!$A:$A,增益!$K:$K,0)))/200,($F$12-$I$4+VLOOKUP($R88,武学奇术!$A:$ZZ,11,FALSE)+SUM(_xlfn.XLOOKUP(S88:AG88,增益!$A:$A,增益!$K:$K,0)))/100)</f>
        <v>-0.14</v>
      </c>
      <c r="BA88" s="32" cm="1">
        <f t="array" ref="BA88">$G$12+VLOOKUP($R88,武学奇术!$A:$ZZ,12,FALSE)+SUM(_xlfn.XLOOKUP(S88:AG88,增益!$A:$A,增益!$L:$L,0))</f>
        <v>0</v>
      </c>
      <c r="BB88">
        <f t="shared" si="47"/>
        <v>0</v>
      </c>
      <c r="BC88">
        <f t="shared" si="48"/>
        <v>0</v>
      </c>
      <c r="BD88" s="32" cm="1">
        <f t="array" ref="BD88">IF($F$13-$I$4+VLOOKUP($R88,武学奇术!$A:$ZZ,13,FALSE)+SUM(_xlfn.XLOOKUP(S88:AG88,增益!$A:$A,增益!$M:$M,0))&gt;0,($F$13-$I$4+VLOOKUP($R88,武学奇术!$A:$ZZ,13,FALSE)+SUM(_xlfn.XLOOKUP(S88:AG88,增益!$A:$A,增益!$K:$K,0)))/200,($F$13-$I$4+VLOOKUP($R88,武学奇术!$A:$ZZ,13,FALSE)+SUM(_xlfn.XLOOKUP(S88:AG88,增益!$A:$A,增益!$M:$M,0)))/100)</f>
        <v>-0.14</v>
      </c>
      <c r="BE88" s="32" cm="1">
        <f t="array" ref="BE88">$G$13+VLOOKUP($R88,武学奇术!$A:$ZZ,14,FALSE)+SUM(_xlfn.XLOOKUP(S88:AG88,增益!$A:$A,增益!$N:$N,0))</f>
        <v>0</v>
      </c>
      <c r="BF88">
        <f t="shared" si="49"/>
        <v>571.2</v>
      </c>
      <c r="BG88">
        <f t="shared" si="50"/>
        <v>1627.8</v>
      </c>
      <c r="BH88" s="32" cm="1">
        <f t="array" ref="BH88">IF($F$14-$I$4+VLOOKUP($R88,武学奇术!$A:$ZZ,15,FALSE)+SUM(_xlfn.XLOOKUP(S88:AG88,增益!$A:$A,增益!$O:$O,0))&gt;0,($F$14-$I$4+VLOOKUP($R88,武学奇术!$A:$ZZ,15,FALSE)+SUM(_xlfn.XLOOKUP(S88:AG88,增益!$A:$A,增益!$O:$O,0)))/200,($F$14-$I$4+VLOOKUP($R88,武学奇术!$A:$ZZ,15,FALSE)+SUM(_xlfn.XLOOKUP(S88:AG88,增益!$A:$A,增益!$O:$O,0)))/100)</f>
        <v>0.08</v>
      </c>
      <c r="BI88" s="32" cm="1">
        <f t="array" ref="BI88">$G$14+VLOOKUP($R88,武学奇术!$A:$ZZ,16,FALSE)+SUM(_xlfn.XLOOKUP(S88:AG88,增益!$A:$A,增益!$P:$P,0))</f>
        <v>0.27</v>
      </c>
      <c r="BJ88" s="26">
        <f>MIN(IF(VLOOKUP($R88,武学奇术!$A:$ZZ,23,FALSE)=1,100%,$B$8),100%)</f>
        <v>0.981</v>
      </c>
      <c r="BK88" s="26" cm="1">
        <f t="array" ref="BK88">IF(VLOOKUP($R88,武学奇术!$A:$ZZ,23,FALSE)=1,100%,MIN(80%,$B$9+VLOOKUP($R88,武学奇术!$A:$ZZ,17,FALSE)+SUM(_xlfn.XLOOKUP(S88:AG88,增益!$A:$A,增益!$Q:$Q,0)))+$B$11+SUM(_xlfn.XLOOKUP(S88:AG88,增益!$A:$A,增益!$U:$U,0)))*IF(VLOOKUP($R88,武学奇术!$A:$ZZ,24,FALSE)=1,0,1)</f>
        <v>0.846</v>
      </c>
      <c r="BL88" s="26" cm="1">
        <f t="array" ref="BL88">1+$B$13+VLOOKUP($R88,武学奇术!$A:$ZZ,18,FALSE)+SUM(_xlfn.XLOOKUP(S88:AG88,增益!$A:$A,增益!$R:$R,0))</f>
        <v>1.97</v>
      </c>
      <c r="BM88" s="26" cm="1">
        <f t="array" ref="BM88">IF(VLOOKUP($R88,武学奇术!$A:$ZZ,24,FALSE)=1,100%,MIN(40%,$B$10+VLOOKUP($R88,武学奇术!$A:$ZZ,19,FALSE)+SUM(_xlfn.XLOOKUP(S88:AG88,增益!$A:$A,增益!$S:$S,0)))+$B$12+SUM(_xlfn.XLOOKUP(S88:AG88,增益!$A:$A,增益!$V:$V,0)))*IF(VLOOKUP($R88,武学奇术!$A:$ZZ,23,FALSE)=1,0,1)</f>
        <v>0.0929</v>
      </c>
      <c r="BN88" s="26" cm="1">
        <f t="array" ref="BN88">1+$B$14+VLOOKUP($R88,武学奇术!$A:$ZZ,20,FALSE)+SUM(_xlfn.XLOOKUP(S88:AG88,增益!$A:$A,增益!$T:$T,0))</f>
        <v>1.35</v>
      </c>
      <c r="BO88" s="26">
        <f t="shared" si="23"/>
        <v>0.829926</v>
      </c>
      <c r="BP88" s="26">
        <f t="shared" si="33"/>
        <v>0.0599391</v>
      </c>
      <c r="BQ88" s="26">
        <f>IF(VLOOKUP($R88,武学奇术!$A:$ZZ,22,FALSE)=1,0,(1-$BJ88))*(1-$BM88)</f>
        <v>0.0172349</v>
      </c>
      <c r="BR88" s="26" cm="1">
        <f t="array" ref="BR88">SUM(_xlfn.XLOOKUP(S88:AG88,增益!$A:$A,增益!$W:$W,0))+$I$5</f>
        <v>0.11</v>
      </c>
    </row>
    <row r="89" spans="1:70">
      <c r="A89" s="4" t="s">
        <v>161</v>
      </c>
      <c r="B89" s="4">
        <v>1</v>
      </c>
      <c r="D89" s="39"/>
      <c r="E89" s="93" t="s">
        <v>163</v>
      </c>
      <c r="F89" s="39"/>
      <c r="G89" s="4"/>
      <c r="K89">
        <f>$L89*VLOOKUP($R89,武学奇术!$A:$ZZ,31,FALSE)</f>
        <v>87756.5830661644</v>
      </c>
      <c r="L89" s="38">
        <f t="shared" si="34"/>
        <v>83577.6981582518</v>
      </c>
      <c r="M89" s="38">
        <f>((($AO89+$AP89)/2*$AI89+$AJ89)*(1+$AQ89)*(1+$AR89)+(($AT89+$AU89)/2*IF($G$1="鸣金",$AK89,$AI89)+IF($G$1="鸣金",$AL89*1.5,0))*(1+$AV89)*(1+$AW89)+(($AX89+$AY89)/2*IF($G$1="裂石",$AK89,$AI89)+IF($G$1="裂石",$AL89*1.5,0))*(1+$AZ89)*(1+$BA89)+(($BB89+$BC89)/2*IF($G$1="牵丝",$AK89,$AI89)+IF($G$1="牵丝",$AL89*1.5,0))*(1+$BD89)*(1+$BE89)+(($BF89+$BG89)/2*IF($G$1="破竹",$AK89,$AI89)+IF($G$1="破竹",$AL89*1.5,0))*(1+$BH89)*(1+$BI89))*(1+$AM89)*$BL89*$Q89*(1+IF(VLOOKUP($R89,武学奇术!$A:$ZZ,30,FALSE)="回旋伞",$B$21,0))*(1+$BR89)</f>
        <v>89273.8929390381</v>
      </c>
      <c r="N89" s="38">
        <f>(($AP89*$AI89+$AJ89)*(1+$AQ89)*(1+$AR89)+($AU89*IF($G$1="鸣金",$AK89,$AI89)+IF($G$1="鸣金",$AL89*1.5,0))*(1+$AV89)*(1+$AW89)+($AY89*IF($G$1="裂石",$AK89,$AI89)+IF($G$1="裂石",$AL89*1.5,0))*(1+$AZ89)*(1+$BA89)+($BC89*IF($G$1="牵丝",$AK89,$AI89)+IF($G$1="牵丝",$AL89*1.5,0))*(1+$BD89)*(1+$BE89)+($BG89*IF($G$1="破竹",$AK89,$AI89)+IF($G$1="破竹",$AL89*1.5,0))*(1+$BH89)*(1+$BI89))*(1+$AM89)*$BN89*$Q89*(1+IF(VLOOKUP($R89,武学奇术!$A:$ZZ,30,FALSE)="回旋伞",$B$21,0))*(1+$BR89)</f>
        <v>66578.0496996268</v>
      </c>
      <c r="O89" s="38">
        <f>((($AO89+$AP89)/2*$AI89+$AJ89)*(1+$AQ89)*(1+$AR89)+(($AT89+$AU89)/2*IF($G$1="鸣金",$AK89,$AI89)+IF($G$1="鸣金",$AL89*1.5,0))*(1+$AV89)*(1+$AW89)+(($AX89+$AY89)/2*IF($G$1="裂石",$AK89,$AI89)+IF($G$1="裂石",$AL89*1.5,0))*(1+$AZ89)*(1+$BA89)+(($BB89+$BC89)/2*IF($G$1="牵丝",$AK89,$AI89)+IF($G$1="牵丝",$AL89*1.5,0))*(1+$BD89)*(1+$BE89)+(($BF89+$BG89)/2*IF($G$1="破竹",$AK89,$AI89)+IF($G$1="破竹",$AL89*1.5,0))*(1+$BH89)*(1+$BI89))*(1+$AM89)*$Q89*(1+IF(VLOOKUP($R89,武学奇术!$A:$ZZ,30,FALSE)="回旋伞",$B$21,0))*(1+$BR89)</f>
        <v>43977.2871620877</v>
      </c>
      <c r="P89" s="38">
        <f>((($AO89*$AI89+$AJ89)*(1+$AQ89)*(1+$AR89)+($AT89*IF($G$1="鸣金",$AK89,$AI89)+IF($G$1="鸣金",$AL89*1.5,0))*(1+$AV89)*(1+$AW89)+($AX89*IF($G$1="裂石",$AK89,$AI89)+IF($G$1="裂石",$AL89*1.5,0))*(1+$AZ89)*(1+$BA89)+($BB89*IF($G$1="牵丝",$AK89,$AI89)+IF($G$1="牵丝",$AL89*1.5,0))*(1+$BD89)*(1+$BE89)+($BF89*IF($G$1="破竹",$AK89,$AI89)+IF($G$1="破竹",$AL89*1.5,0))*(1+$BH89)*(1+$BI89))*(1+$AM89))*$Q89*(1+IF(VLOOKUP($R89,武学奇术!$A:$ZZ,30,FALSE)="回旋伞",$B$21,0))*(1+$BR89)</f>
        <v>38637.5004726</v>
      </c>
      <c r="Q89" s="39">
        <v>1</v>
      </c>
      <c r="R89" s="40" t="s">
        <v>108</v>
      </c>
      <c r="S89" s="40" t="s">
        <v>109</v>
      </c>
      <c r="T89" s="40" t="s">
        <v>95</v>
      </c>
      <c r="U89" s="40" t="s">
        <v>73</v>
      </c>
      <c r="V89" s="40" t="s">
        <v>81</v>
      </c>
      <c r="W89" s="40" t="s">
        <v>172</v>
      </c>
      <c r="X89" s="40" t="s">
        <v>99</v>
      </c>
      <c r="Y89" s="40" t="s">
        <v>84</v>
      </c>
      <c r="Z89" s="40" t="s">
        <v>72</v>
      </c>
      <c r="AA89" s="40" t="s">
        <v>72</v>
      </c>
      <c r="AB89" s="40" t="s">
        <v>120</v>
      </c>
      <c r="AC89" s="40" t="s">
        <v>91</v>
      </c>
      <c r="AD89" s="40" t="s">
        <v>72</v>
      </c>
      <c r="AE89" s="40" t="s">
        <v>72</v>
      </c>
      <c r="AF89" s="40" t="s">
        <v>77</v>
      </c>
      <c r="AG89" s="40" t="s">
        <v>78</v>
      </c>
      <c r="AH89" t="str">
        <f>VLOOKUP($R89,武学奇术!$A:$ZZ,25,FALSE)</f>
        <v>伞</v>
      </c>
      <c r="AI89" s="26">
        <f>VLOOKUP($R89,武学奇术!$A:$ZZ,26,FALSE)</f>
        <v>1.8084</v>
      </c>
      <c r="AJ89" s="27">
        <f>VLOOKUP($R89,武学奇术!$A:$ZZ,27,FALSE)*(1+IF(OR($AH89=$F$4,$AH89=$F$5),$B$22,0))</f>
        <v>750</v>
      </c>
      <c r="AK89" s="26">
        <f>VLOOKUP($R89,武学奇术!$A:$ZZ,28,FALSE)</f>
        <v>2.7126</v>
      </c>
      <c r="AL89" s="27">
        <f>VLOOKUP($R89,武学奇术!$A:$ZZ,29,FALSE)*(1+IF(OR($AH89=$F$4,$AH89=$F$5),$B$22,0))</f>
        <v>408</v>
      </c>
      <c r="AM89" s="26" cm="1">
        <f t="array" ref="AM89">$G$3+IFERROR(VLOOKUP($AH89,$F$4:$G$7,2,FALSE),0)+VLOOKUP($R89,武学奇术!$A:$ZZ,2,FALSE)+SUM(_xlfn.XLOOKUP($S89:$AG89,增益!$A:$A,增益!$B:$B,0))</f>
        <v>0.8541</v>
      </c>
      <c r="AN89" s="26" cm="1">
        <f t="array" ref="AN89">VLOOKUP($R89,武学奇术!$A:$ZZ,5,FALSE)+SUM(_xlfn.XLOOKUP($S89:$AG89,增益!$A:$A,增益!$E:$E,0))</f>
        <v>0</v>
      </c>
      <c r="AO89" cm="1">
        <f t="array" ref="AO89">$D$10*(1+$AN89)+VLOOKUP($R89,武学奇术!$A:$ZZ,3,FALSE)+SUM(_xlfn.XLOOKUP($S89:$AG89,增益!$A:$A,增益!$C:$C,0))-$I$2</f>
        <v>3624.6</v>
      </c>
      <c r="AP89" cm="1">
        <f t="array" ref="AP89">$E$10*(1+$AN89)+VLOOKUP($R89,武学奇术!$A:$ZZ,4,FALSE)+SUM(_xlfn.XLOOKUP($S89:$AG89,增益!$A:$A,增益!$D:$D,0))-$I$2</f>
        <v>3624.6</v>
      </c>
      <c r="AQ89" s="32" cm="1">
        <f t="array" ref="AQ89">IF($F$10-$I$3+VLOOKUP($R89,武学奇术!$A:$ZZ,6,FALSE)+SUM(_xlfn.XLOOKUP(S89:AG89,增益!$A:$A,增益!$F:$F,0))&gt;0,($F$10-$I$3+VLOOKUP($R89,武学奇术!$A:$ZZ,6,FALSE)+SUM(_xlfn.XLOOKUP(S89:AG89,增益!$A:$A,增益!$F:$F,0)))/200,($F$10-$I$3+VLOOKUP($R89,武学奇术!$A:$ZZ,6,FALSE)+SUM(_xlfn.XLOOKUP(S89:AG89,增益!$A:$A,增益!$F:$F,0)))/100)</f>
        <v>0.3425</v>
      </c>
      <c r="AR89" s="32" cm="1">
        <f t="array" ref="AR89">$G$10+VLOOKUP($R89,武学奇术!$A:$ZZ,7,FALSE)+SUM(_xlfn.XLOOKUP(S89:AG89,增益!$A:$A,增益!$G:$G,0))</f>
        <v>0.148</v>
      </c>
      <c r="AS89" s="26" cm="1">
        <f t="array" ref="AS89">VLOOKUP($R89,武学奇术!$A:$ZZ,8,FALSE)+SUM(_xlfn.XLOOKUP(S89:AG89,增益!$A:$A,增益!$H:$H,0))</f>
        <v>0</v>
      </c>
      <c r="AT89">
        <f t="shared" si="43"/>
        <v>0</v>
      </c>
      <c r="AU89">
        <f t="shared" si="44"/>
        <v>0</v>
      </c>
      <c r="AV89" s="32" cm="1">
        <f t="array" ref="AV89">IF($F$11-$I$4+VLOOKUP($R89,武学奇术!$A:$ZZ,9,FALSE)+SUM(_xlfn.XLOOKUP(S89:AG89,增益!$A:$A,增益!$I:$I,0))&gt;0,($F$11-$I$4+VLOOKUP($R89,武学奇术!$A:$ZZ,9,FALSE)+SUM(_xlfn.XLOOKUP(S89:AG89,增益!$A:$A,增益!$I:$I,0)))/200,($F$11-$I$4+VLOOKUP($R89,武学奇术!$A:$ZZ,9,FALSE)+SUM(_xlfn.XLOOKUP(S89:AG89,增益!$A:$A,增益!$I:$I,0)))/100)</f>
        <v>-0.14</v>
      </c>
      <c r="AW89" s="32" cm="1">
        <f t="array" ref="AW89">$G$11+VLOOKUP($R89,武学奇术!$A:$ZZ,10,FALSE)+SUM(_xlfn.XLOOKUP(S89:AG89,增益!$A:$A,增益!$J:$J,0))</f>
        <v>0</v>
      </c>
      <c r="AX89">
        <f t="shared" si="45"/>
        <v>0</v>
      </c>
      <c r="AY89">
        <f t="shared" si="46"/>
        <v>0</v>
      </c>
      <c r="AZ89" s="32" cm="1">
        <f t="array" ref="AZ89">IF($F$12-$I$4+VLOOKUP($R89,武学奇术!$A:$ZZ,11,FALSE)+SUM(_xlfn.XLOOKUP(S89:AG89,增益!$A:$A,增益!$K:$K,0))&gt;0,($F$12-$I$4+VLOOKUP($R89,武学奇术!$A:$ZZ,11,FALSE)+SUM(_xlfn.XLOOKUP(S89:AG89,增益!$A:$A,增益!$K:$K,0)))/200,($F$12-$I$4+VLOOKUP($R89,武学奇术!$A:$ZZ,11,FALSE)+SUM(_xlfn.XLOOKUP(S89:AG89,增益!$A:$A,增益!$K:$K,0)))/100)</f>
        <v>-0.14</v>
      </c>
      <c r="BA89" s="32" cm="1">
        <f t="array" ref="BA89">$G$12+VLOOKUP($R89,武学奇术!$A:$ZZ,12,FALSE)+SUM(_xlfn.XLOOKUP(S89:AG89,增益!$A:$A,增益!$L:$L,0))</f>
        <v>0</v>
      </c>
      <c r="BB89">
        <f t="shared" si="47"/>
        <v>0</v>
      </c>
      <c r="BC89">
        <f t="shared" si="48"/>
        <v>0</v>
      </c>
      <c r="BD89" s="32" cm="1">
        <f t="array" ref="BD89">IF($F$13-$I$4+VLOOKUP($R89,武学奇术!$A:$ZZ,13,FALSE)+SUM(_xlfn.XLOOKUP(S89:AG89,增益!$A:$A,增益!$M:$M,0))&gt;0,($F$13-$I$4+VLOOKUP($R89,武学奇术!$A:$ZZ,13,FALSE)+SUM(_xlfn.XLOOKUP(S89:AG89,增益!$A:$A,增益!$K:$K,0)))/200,($F$13-$I$4+VLOOKUP($R89,武学奇术!$A:$ZZ,13,FALSE)+SUM(_xlfn.XLOOKUP(S89:AG89,增益!$A:$A,增益!$M:$M,0)))/100)</f>
        <v>-0.14</v>
      </c>
      <c r="BE89" s="32" cm="1">
        <f t="array" ref="BE89">$G$13+VLOOKUP($R89,武学奇术!$A:$ZZ,14,FALSE)+SUM(_xlfn.XLOOKUP(S89:AG89,增益!$A:$A,增益!$N:$N,0))</f>
        <v>0</v>
      </c>
      <c r="BF89">
        <f t="shared" si="49"/>
        <v>571.2</v>
      </c>
      <c r="BG89">
        <f t="shared" si="50"/>
        <v>1627.8</v>
      </c>
      <c r="BH89" s="32" cm="1">
        <f t="array" ref="BH89">IF($F$14-$I$4+VLOOKUP($R89,武学奇术!$A:$ZZ,15,FALSE)+SUM(_xlfn.XLOOKUP(S89:AG89,增益!$A:$A,增益!$O:$O,0))&gt;0,($F$14-$I$4+VLOOKUP($R89,武学奇术!$A:$ZZ,15,FALSE)+SUM(_xlfn.XLOOKUP(S89:AG89,增益!$A:$A,增益!$O:$O,0)))/200,($F$14-$I$4+VLOOKUP($R89,武学奇术!$A:$ZZ,15,FALSE)+SUM(_xlfn.XLOOKUP(S89:AG89,增益!$A:$A,增益!$O:$O,0)))/100)</f>
        <v>0.08</v>
      </c>
      <c r="BI89" s="32" cm="1">
        <f t="array" ref="BI89">$G$14+VLOOKUP($R89,武学奇术!$A:$ZZ,16,FALSE)+SUM(_xlfn.XLOOKUP(S89:AG89,增益!$A:$A,增益!$P:$P,0))</f>
        <v>0.27</v>
      </c>
      <c r="BJ89" s="26">
        <f>MIN(IF(VLOOKUP($R89,武学奇术!$A:$ZZ,23,FALSE)=1,100%,$B$8),100%)</f>
        <v>0.981</v>
      </c>
      <c r="BK89" s="26" cm="1">
        <f t="array" ref="BK89">IF(VLOOKUP($R89,武学奇术!$A:$ZZ,23,FALSE)=1,100%,MIN(80%,$B$9+VLOOKUP($R89,武学奇术!$A:$ZZ,17,FALSE)+SUM(_xlfn.XLOOKUP(S89:AG89,增益!$A:$A,增益!$Q:$Q,0)))+$B$11+SUM(_xlfn.XLOOKUP(S89:AG89,增益!$A:$A,增益!$U:$U,0)))*IF(VLOOKUP($R89,武学奇术!$A:$ZZ,24,FALSE)=1,0,1)</f>
        <v>0.846</v>
      </c>
      <c r="BL89" s="26" cm="1">
        <f t="array" ref="BL89">1+$B$13+VLOOKUP($R89,武学奇术!$A:$ZZ,18,FALSE)+SUM(_xlfn.XLOOKUP(S89:AG89,增益!$A:$A,增益!$R:$R,0))</f>
        <v>2.03</v>
      </c>
      <c r="BM89" s="26" cm="1">
        <f t="array" ref="BM89">IF(VLOOKUP($R89,武学奇术!$A:$ZZ,24,FALSE)=1,100%,MIN(40%,$B$10+VLOOKUP($R89,武学奇术!$A:$ZZ,19,FALSE)+SUM(_xlfn.XLOOKUP(S89:AG89,增益!$A:$A,增益!$S:$S,0)))+$B$12+SUM(_xlfn.XLOOKUP(S89:AG89,增益!$A:$A,增益!$V:$V,0)))*IF(VLOOKUP($R89,武学奇术!$A:$ZZ,23,FALSE)=1,0,1)</f>
        <v>0.0929</v>
      </c>
      <c r="BN89" s="26" cm="1">
        <f t="array" ref="BN89">1+$B$14+VLOOKUP($R89,武学奇术!$A:$ZZ,20,FALSE)+SUM(_xlfn.XLOOKUP(S89:AG89,增益!$A:$A,增益!$T:$T,0))</f>
        <v>1.35</v>
      </c>
      <c r="BO89" s="26">
        <f t="shared" si="23"/>
        <v>0.829926</v>
      </c>
      <c r="BP89" s="26">
        <f t="shared" si="33"/>
        <v>0.0599391</v>
      </c>
      <c r="BQ89" s="26">
        <f>IF(VLOOKUP($R89,武学奇术!$A:$ZZ,22,FALSE)=1,0,(1-$BJ89))*(1-$BM89)</f>
        <v>0.0172349</v>
      </c>
      <c r="BR89" s="26" cm="1">
        <f t="array" ref="BR89">SUM(_xlfn.XLOOKUP(S89:AG89,增益!$A:$A,增益!$W:$W,0))+$I$5</f>
        <v>0.11</v>
      </c>
    </row>
    <row r="90" spans="1:70">
      <c r="A90" s="4" t="s">
        <v>164</v>
      </c>
      <c r="B90" s="4">
        <v>0.85</v>
      </c>
      <c r="D90" s="39"/>
      <c r="E90" s="94"/>
      <c r="F90" s="39"/>
      <c r="K90">
        <f>$L90*VLOOKUP($R90,武学奇术!$A:$ZZ,31,FALSE)</f>
        <v>50955.536184012</v>
      </c>
      <c r="L90" s="38">
        <f>($M90*$BO90+$N90*$BM90+$O90*$BP90+$P90*$BQ90)</f>
        <v>48529.0820800114</v>
      </c>
      <c r="M90" s="38">
        <f>((($AO90+$AP90)/2*$AI90+$AJ90)*(1+$AQ90)*(1+$AR90)+(($AT90+$AU90)/2*IF($G$1="鸣金",$AK90,$AI90)+IF($G$1="鸣金",$AL90*1.5,0))*(1+$AV90)*(1+$AW90)+(($AX90+$AY90)/2*IF($G$1="裂石",$AK90,$AI90)+IF($G$1="裂石",$AL90*1.5,0))*(1+$AZ90)*(1+$BA90)+(($BB90+$BC90)/2*IF($G$1="牵丝",$AK90,$AI90)+IF($G$1="牵丝",$AL90*1.5,0))*(1+$BD90)*(1+$BE90)+(($BF90+$BG90)/2*IF($G$1="破竹",$AK90,$AI90)+IF($G$1="破竹",$AL90*1.5,0))*(1+$BH90)*(1+$BI90))*(1+$AM90)*$BL90*$Q90*(1+IF(VLOOKUP($R90,武学奇术!$A:$ZZ,30,FALSE)="回旋伞",$B$21,0))*(1+$BR90)</f>
        <v>51786.2371678494</v>
      </c>
      <c r="N90" s="38">
        <f>(($AP90*$AI90+$AJ90)*(1+$AQ90)*(1+$AR90)+($AU90*IF($G$1="鸣金",$AK90,$AI90)+IF($G$1="鸣金",$AL90*1.5,0))*(1+$AV90)*(1+$AW90)+($AY90*IF($G$1="裂石",$AK90,$AI90)+IF($G$1="裂石",$AL90*1.5,0))*(1+$AZ90)*(1+$BA90)+($BC90*IF($G$1="牵丝",$AK90,$AI90)+IF($G$1="牵丝",$AL90*1.5,0))*(1+$BD90)*(1+$BE90)+($BG90*IF($G$1="破竹",$AK90,$AI90)+IF($G$1="破竹",$AL90*1.5,0))*(1+$BH90)*(1+$BI90))*(1+$AM90)*$BN90*$Q90*(1+IF(VLOOKUP($R90,武学奇术!$A:$ZZ,30,FALSE)="回旋伞",$B$21,0))*(1+$BR90)</f>
        <v>39208.650800919</v>
      </c>
      <c r="O90" s="38">
        <f>((($AO90+$AP90)/2*$AI90+$AJ90)*(1+$AQ90)*(1+$AR90)+(($AT90+$AU90)/2*IF($G$1="鸣金",$AK90,$AI90)+IF($G$1="鸣金",$AL90*1.5,0))*(1+$AV90)*(1+$AW90)+(($AX90+$AY90)/2*IF($G$1="裂石",$AK90,$AI90)+IF($G$1="裂石",$AL90*1.5,0))*(1+$AZ90)*(1+$BA90)+(($BB90+$BC90)/2*IF($G$1="牵丝",$AK90,$AI90)+IF($G$1="牵丝",$AL90*1.5,0))*(1+$BD90)*(1+$BE90)+(($BF90+$BG90)/2*IF($G$1="破竹",$AK90,$AI90)+IF($G$1="破竹",$AL90*1.5,0))*(1+$BH90)*(1+$BI90))*(1+$AM90)*$Q90*(1+IF(VLOOKUP($R90,武学奇术!$A:$ZZ,30,FALSE)="回旋伞",$B$21,0))*(1+$BR90)</f>
        <v>25510.4616590391</v>
      </c>
      <c r="P90" s="38">
        <f>((($AO90*$AI90+$AJ90)*(1+$AQ90)*(1+$AR90)+($AT90*IF($G$1="鸣金",$AK90,$AI90)+IF($G$1="鸣金",$AL90*1.5,0))*(1+$AV90)*(1+$AW90)+($AX90*IF($G$1="裂石",$AK90,$AI90)+IF($G$1="裂石",$AL90*1.5,0))*(1+$AZ90)*(1+$BA90)+($BB90*IF($G$1="牵丝",$AK90,$AI90)+IF($G$1="牵丝",$AL90*1.5,0))*(1+$BD90)*(1+$BE90)+($BF90*IF($G$1="破竹",$AK90,$AI90)+IF($G$1="破竹",$AL90*1.5,0))*(1+$BH90)*(1+$BI90))*(1+$AM90))*$Q90*(1+IF(VLOOKUP($R90,武学奇术!$A:$ZZ,30,FALSE)="回旋伞",$B$21,0))*(1+$BR90)</f>
        <v>21977.4782803604</v>
      </c>
      <c r="Q90" s="39">
        <v>2</v>
      </c>
      <c r="R90" s="40" t="s">
        <v>112</v>
      </c>
      <c r="S90" s="40" t="s">
        <v>109</v>
      </c>
      <c r="T90" s="40" t="s">
        <v>95</v>
      </c>
      <c r="U90" s="40" t="s">
        <v>73</v>
      </c>
      <c r="V90" s="40" t="s">
        <v>81</v>
      </c>
      <c r="W90" s="40" t="s">
        <v>172</v>
      </c>
      <c r="X90" s="40" t="s">
        <v>99</v>
      </c>
      <c r="Y90" s="40" t="s">
        <v>84</v>
      </c>
      <c r="Z90" s="40" t="s">
        <v>72</v>
      </c>
      <c r="AA90" s="40" t="s">
        <v>72</v>
      </c>
      <c r="AB90" s="40" t="s">
        <v>120</v>
      </c>
      <c r="AC90" s="40" t="s">
        <v>91</v>
      </c>
      <c r="AD90" s="40" t="s">
        <v>72</v>
      </c>
      <c r="AE90" s="40" t="s">
        <v>72</v>
      </c>
      <c r="AF90" s="40" t="s">
        <v>77</v>
      </c>
      <c r="AG90" s="40" t="s">
        <v>78</v>
      </c>
      <c r="AH90" t="str">
        <f>VLOOKUP($R90,武学奇术!$A:$ZZ,25,FALSE)</f>
        <v>伞</v>
      </c>
      <c r="AI90" s="26">
        <f>VLOOKUP($R90,武学奇术!$A:$ZZ,26,FALSE)</f>
        <v>0.54</v>
      </c>
      <c r="AJ90" s="27">
        <f>VLOOKUP($R90,武学奇术!$A:$ZZ,27,FALSE)*(1+IF(OR($AH90=$F$4,$AH90=$F$5),$B$22,0))</f>
        <v>0</v>
      </c>
      <c r="AK90" s="26">
        <f>VLOOKUP($R90,武学奇术!$A:$ZZ,28,FALSE)</f>
        <v>0.81</v>
      </c>
      <c r="AL90" s="27">
        <f>VLOOKUP($R90,武学奇术!$A:$ZZ,29,FALSE)*(1+IF(OR($AH90=$F$4,$AH90=$F$5),$B$22,0))</f>
        <v>0</v>
      </c>
      <c r="AM90" s="26" cm="1">
        <f t="array" ref="AM90">$G$3+IFERROR(VLOOKUP($AH90,$F$4:$G$7,2,FALSE),0)+VLOOKUP($R90,武学奇术!$A:$ZZ,2,FALSE)+SUM(_xlfn.XLOOKUP($S90:$AG90,增益!$A:$A,增益!$B:$B,0))</f>
        <v>1.0541</v>
      </c>
      <c r="AN90" s="26" cm="1">
        <f t="array" ref="AN90">VLOOKUP($R90,武学奇术!$A:$ZZ,5,FALSE)+SUM(_xlfn.XLOOKUP($S90:$AG90,增益!$A:$A,增益!$E:$E,0))</f>
        <v>0</v>
      </c>
      <c r="AO90" cm="1">
        <f t="array" ref="AO90">$D$10*(1+$AN90)+VLOOKUP($R90,武学奇术!$A:$ZZ,3,FALSE)+SUM(_xlfn.XLOOKUP($S90:$AG90,增益!$A:$A,增益!$C:$C,0))-$I$2</f>
        <v>3624.6</v>
      </c>
      <c r="AP90" cm="1">
        <f t="array" ref="AP90">$E$10*(1+$AN90)+VLOOKUP($R90,武学奇术!$A:$ZZ,4,FALSE)+SUM(_xlfn.XLOOKUP($S90:$AG90,增益!$A:$A,增益!$D:$D,0))-$I$2</f>
        <v>3624.6</v>
      </c>
      <c r="AQ90" s="32" cm="1">
        <f t="array" ref="AQ90">IF($F$10-$I$3+VLOOKUP($R90,武学奇术!$A:$ZZ,6,FALSE)+SUM(_xlfn.XLOOKUP(S90:AG90,增益!$A:$A,增益!$F:$F,0))&gt;0,($F$10-$I$3+VLOOKUP($R90,武学奇术!$A:$ZZ,6,FALSE)+SUM(_xlfn.XLOOKUP(S90:AG90,增益!$A:$A,增益!$F:$F,0)))/200,($F$10-$I$3+VLOOKUP($R90,武学奇术!$A:$ZZ,6,FALSE)+SUM(_xlfn.XLOOKUP(S90:AG90,增益!$A:$A,增益!$F:$F,0)))/100)</f>
        <v>0.3425</v>
      </c>
      <c r="AR90" s="32" cm="1">
        <f t="array" ref="AR90">$G$10+VLOOKUP($R90,武学奇术!$A:$ZZ,7,FALSE)+SUM(_xlfn.XLOOKUP(S90:AG90,增益!$A:$A,增益!$G:$G,0))</f>
        <v>0.148</v>
      </c>
      <c r="AS90" s="26" cm="1">
        <f t="array" ref="AS90">VLOOKUP($R90,武学奇术!$A:$ZZ,8,FALSE)+SUM(_xlfn.XLOOKUP(S90:AG90,增益!$A:$A,增益!$H:$H,0))</f>
        <v>0</v>
      </c>
      <c r="AT90">
        <f t="shared" si="43"/>
        <v>0</v>
      </c>
      <c r="AU90">
        <f t="shared" si="44"/>
        <v>0</v>
      </c>
      <c r="AV90" s="32" cm="1">
        <f t="array" ref="AV90">IF($F$11-$I$4+VLOOKUP($R90,武学奇术!$A:$ZZ,9,FALSE)+SUM(_xlfn.XLOOKUP(S90:AG90,增益!$A:$A,增益!$I:$I,0))&gt;0,($F$11-$I$4+VLOOKUP($R90,武学奇术!$A:$ZZ,9,FALSE)+SUM(_xlfn.XLOOKUP(S90:AG90,增益!$A:$A,增益!$I:$I,0)))/200,($F$11-$I$4+VLOOKUP($R90,武学奇术!$A:$ZZ,9,FALSE)+SUM(_xlfn.XLOOKUP(S90:AG90,增益!$A:$A,增益!$I:$I,0)))/100)</f>
        <v>-0.14</v>
      </c>
      <c r="AW90" s="32" cm="1">
        <f t="array" ref="AW90">$G$11+VLOOKUP($R90,武学奇术!$A:$ZZ,10,FALSE)+SUM(_xlfn.XLOOKUP(S90:AG90,增益!$A:$A,增益!$J:$J,0))</f>
        <v>0</v>
      </c>
      <c r="AX90">
        <f t="shared" si="45"/>
        <v>0</v>
      </c>
      <c r="AY90">
        <f t="shared" si="46"/>
        <v>0</v>
      </c>
      <c r="AZ90" s="32" cm="1">
        <f t="array" ref="AZ90">IF($F$12-$I$4+VLOOKUP($R90,武学奇术!$A:$ZZ,11,FALSE)+SUM(_xlfn.XLOOKUP(S90:AG90,增益!$A:$A,增益!$K:$K,0))&gt;0,($F$12-$I$4+VLOOKUP($R90,武学奇术!$A:$ZZ,11,FALSE)+SUM(_xlfn.XLOOKUP(S90:AG90,增益!$A:$A,增益!$K:$K,0)))/200,($F$12-$I$4+VLOOKUP($R90,武学奇术!$A:$ZZ,11,FALSE)+SUM(_xlfn.XLOOKUP(S90:AG90,增益!$A:$A,增益!$K:$K,0)))/100)</f>
        <v>-0.14</v>
      </c>
      <c r="BA90" s="32" cm="1">
        <f t="array" ref="BA90">$G$12+VLOOKUP($R90,武学奇术!$A:$ZZ,12,FALSE)+SUM(_xlfn.XLOOKUP(S90:AG90,增益!$A:$A,增益!$L:$L,0))</f>
        <v>0</v>
      </c>
      <c r="BB90">
        <f t="shared" si="47"/>
        <v>0</v>
      </c>
      <c r="BC90">
        <f t="shared" si="48"/>
        <v>0</v>
      </c>
      <c r="BD90" s="32" cm="1">
        <f t="array" ref="BD90">IF($F$13-$I$4+VLOOKUP($R90,武学奇术!$A:$ZZ,13,FALSE)+SUM(_xlfn.XLOOKUP(S90:AG90,增益!$A:$A,增益!$M:$M,0))&gt;0,($F$13-$I$4+VLOOKUP($R90,武学奇术!$A:$ZZ,13,FALSE)+SUM(_xlfn.XLOOKUP(S90:AG90,增益!$A:$A,增益!$K:$K,0)))/200,($F$13-$I$4+VLOOKUP($R90,武学奇术!$A:$ZZ,13,FALSE)+SUM(_xlfn.XLOOKUP(S90:AG90,增益!$A:$A,增益!$M:$M,0)))/100)</f>
        <v>-0.14</v>
      </c>
      <c r="BE90" s="32" cm="1">
        <f t="array" ref="BE90">$G$13+VLOOKUP($R90,武学奇术!$A:$ZZ,14,FALSE)+SUM(_xlfn.XLOOKUP(S90:AG90,增益!$A:$A,增益!$N:$N,0))</f>
        <v>0</v>
      </c>
      <c r="BF90">
        <f t="shared" si="49"/>
        <v>571.2</v>
      </c>
      <c r="BG90">
        <f t="shared" si="50"/>
        <v>1627.8</v>
      </c>
      <c r="BH90" s="32" cm="1">
        <f t="array" ref="BH90">IF($F$14-$I$4+VLOOKUP($R90,武学奇术!$A:$ZZ,15,FALSE)+SUM(_xlfn.XLOOKUP(S90:AG90,增益!$A:$A,增益!$O:$O,0))&gt;0,($F$14-$I$4+VLOOKUP($R90,武学奇术!$A:$ZZ,15,FALSE)+SUM(_xlfn.XLOOKUP(S90:AG90,增益!$A:$A,增益!$O:$O,0)))/200,($F$14-$I$4+VLOOKUP($R90,武学奇术!$A:$ZZ,15,FALSE)+SUM(_xlfn.XLOOKUP(S90:AG90,增益!$A:$A,增益!$O:$O,0)))/100)</f>
        <v>0.08</v>
      </c>
      <c r="BI90" s="32" cm="1">
        <f t="array" ref="BI90">$G$14+VLOOKUP($R90,武学奇术!$A:$ZZ,16,FALSE)+SUM(_xlfn.XLOOKUP(S90:AG90,增益!$A:$A,增益!$P:$P,0))</f>
        <v>0.27</v>
      </c>
      <c r="BJ90" s="26">
        <f>MIN(IF(VLOOKUP($R90,武学奇术!$A:$ZZ,23,FALSE)=1,100%,$B$8),100%)</f>
        <v>0.981</v>
      </c>
      <c r="BK90" s="26" cm="1">
        <f t="array" ref="BK90">IF(VLOOKUP($R90,武学奇术!$A:$ZZ,23,FALSE)=1,100%,MIN(80%,$B$9+VLOOKUP($R90,武学奇术!$A:$ZZ,17,FALSE)+SUM(_xlfn.XLOOKUP(S90:AG90,增益!$A:$A,增益!$Q:$Q,0)))+$B$11+SUM(_xlfn.XLOOKUP(S90:AG90,增益!$A:$A,增益!$U:$U,0)))*IF(VLOOKUP($R90,武学奇术!$A:$ZZ,24,FALSE)=1,0,1)</f>
        <v>0.846</v>
      </c>
      <c r="BL90" s="26" cm="1">
        <f t="array" ref="BL90">1+$B$13+VLOOKUP($R90,武学奇术!$A:$ZZ,18,FALSE)+SUM(_xlfn.XLOOKUP(S90:AG90,增益!$A:$A,增益!$R:$R,0))</f>
        <v>2.03</v>
      </c>
      <c r="BM90" s="26" cm="1">
        <f t="array" ref="BM90">IF(VLOOKUP($R90,武学奇术!$A:$ZZ,24,FALSE)=1,100%,MIN(40%,$B$10+VLOOKUP($R90,武学奇术!$A:$ZZ,19,FALSE)+SUM(_xlfn.XLOOKUP(S90:AG90,增益!$A:$A,增益!$S:$S,0)))+$B$12+SUM(_xlfn.XLOOKUP(S90:AG90,增益!$A:$A,增益!$V:$V,0)))*IF(VLOOKUP($R90,武学奇术!$A:$ZZ,23,FALSE)=1,0,1)</f>
        <v>0.0929</v>
      </c>
      <c r="BN90" s="26" cm="1">
        <f t="array" ref="BN90">1+$B$14+VLOOKUP($R90,武学奇术!$A:$ZZ,20,FALSE)+SUM(_xlfn.XLOOKUP(S90:AG90,增益!$A:$A,增益!$T:$T,0))</f>
        <v>1.35</v>
      </c>
      <c r="BO90" s="26">
        <f t="shared" si="23"/>
        <v>0.829926</v>
      </c>
      <c r="BP90" s="26">
        <f t="shared" si="33"/>
        <v>0.0599391</v>
      </c>
      <c r="BQ90" s="26">
        <f>IF(VLOOKUP($R90,武学奇术!$A:$ZZ,22,FALSE)=1,0,(1-$BJ90))*(1-$BM90)</f>
        <v>0.0172349</v>
      </c>
      <c r="BR90" s="26" cm="1">
        <f t="array" ref="BR90">SUM(_xlfn.XLOOKUP(S90:AG90,增益!$A:$A,增益!$W:$W,0))+$I$5</f>
        <v>0.11</v>
      </c>
    </row>
    <row r="91" spans="1:70">
      <c r="A91" s="4" t="s">
        <v>161</v>
      </c>
      <c r="B91" s="87">
        <v>1</v>
      </c>
      <c r="D91" s="39"/>
      <c r="E91" s="94"/>
      <c r="F91" s="39"/>
      <c r="K91">
        <f>$L91*VLOOKUP($R91,武学奇术!$A:$ZZ,31,FALSE)</f>
        <v>210767.371388286</v>
      </c>
      <c r="L91" s="38">
        <f t="shared" ref="L91:L111" si="51">($M91*$BO91+$N91*$BM91+$O91*$BP91+$P91*$BQ91)</f>
        <v>200730.829893606</v>
      </c>
      <c r="M91" s="38">
        <f>((($AO91+$AP91)/2*$AI91+$AJ91)*(1+$AQ91)*(1+$AR91)+(($AT91+$AU91)/2*IF($G$1="鸣金",$AK91,$AI91)+IF($G$1="鸣金",$AL91*1.5,0))*(1+$AV91)*(1+$AW91)+(($AX91+$AY91)/2*IF($G$1="裂石",$AK91,$AI91)+IF($G$1="裂石",$AL91*1.5,0))*(1+$AZ91)*(1+$BA91)+(($BB91+$BC91)/2*IF($G$1="牵丝",$AK91,$AI91)+IF($G$1="牵丝",$AL91*1.5,0))*(1+$BD91)*(1+$BE91)+(($BF91+$BG91)/2*IF($G$1="破竹",$AK91,$AI91)+IF($G$1="破竹",$AL91*1.5,0))*(1+$BH91)*(1+$BI91))*(1+$AM91)*$BL91*$Q91*(1+IF(VLOOKUP($R91,武学奇术!$A:$ZZ,30,FALSE)="回旋伞",$B$21,0))*(1+$BR91)</f>
        <v>200730.829893606</v>
      </c>
      <c r="N91" s="38">
        <f>(($AP91*$AI91+$AJ91)*(1+$AQ91)*(1+$AR91)+($AU91*IF($G$1="鸣金",$AK91,$AI91)+IF($G$1="鸣金",$AL91*1.5,0))*(1+$AV91)*(1+$AW91)+($AY91*IF($G$1="裂石",$AK91,$AI91)+IF($G$1="裂石",$AL91*1.5,0))*(1+$AZ91)*(1+$BA91)+($BC91*IF($G$1="牵丝",$AK91,$AI91)+IF($G$1="牵丝",$AL91*1.5,0))*(1+$BD91)*(1+$BE91)+($BG91*IF($G$1="破竹",$AK91,$AI91)+IF($G$1="破竹",$AL91*1.5,0))*(1+$BH91)*(1+$BI91))*(1+$AM91)*$BN91*$Q91*(1+IF(VLOOKUP($R91,武学奇术!$A:$ZZ,30,FALSE)="回旋伞",$B$21,0))*(1+$BR91)</f>
        <v>147519.520940622</v>
      </c>
      <c r="O91" s="38">
        <f>((($AO91+$AP91)/2*$AI91+$AJ91)*(1+$AQ91)*(1+$AR91)+(($AT91+$AU91)/2*IF($G$1="鸣金",$AK91,$AI91)+IF($G$1="鸣金",$AL91*1.5,0))*(1+$AV91)*(1+$AW91)+(($AX91+$AY91)/2*IF($G$1="裂石",$AK91,$AI91)+IF($G$1="裂石",$AL91*1.5,0))*(1+$AZ91)*(1+$BA91)+(($BB91+$BC91)/2*IF($G$1="牵丝",$AK91,$AI91)+IF($G$1="牵丝",$AL91*1.5,0))*(1+$BD91)*(1+$BE91)+(($BF91+$BG91)/2*IF($G$1="破竹",$AK91,$AI91)+IF($G$1="破竹",$AL91*1.5,0))*(1+$BH91)*(1+$BI91))*(1+$AM91)*$Q91*(1+IF(VLOOKUP($R91,武学奇术!$A:$ZZ,30,FALSE)="回旋伞",$B$21,0))*(1+$BR91)</f>
        <v>97442.1504337893</v>
      </c>
      <c r="P91" s="38">
        <f>((($AO91*$AI91+$AJ91)*(1+$AQ91)*(1+$AR91)+($AT91*IF($G$1="鸣金",$AK91,$AI91)+IF($G$1="鸣金",$AL91*1.5,0))*(1+$AV91)*(1+$AW91)+($AX91*IF($G$1="裂石",$AK91,$AI91)+IF($G$1="裂石",$AL91*1.5,0))*(1+$AZ91)*(1+$BA91)+($BB91*IF($G$1="牵丝",$AK91,$AI91)+IF($G$1="牵丝",$AL91*1.5,0))*(1+$BD91)*(1+$BE91)+($BF91*IF($G$1="破竹",$AK91,$AI91)+IF($G$1="破竹",$AL91*1.5,0))*(1+$BH91)*(1+$BI91))*(1+$AM91))*$Q91*(1+IF(VLOOKUP($R91,武学奇术!$A:$ZZ,30,FALSE)="回旋伞",$B$21,0))*(1+$BR91)</f>
        <v>85610.5816523032</v>
      </c>
      <c r="Q91" s="39">
        <v>2</v>
      </c>
      <c r="R91" s="40" t="s">
        <v>125</v>
      </c>
      <c r="S91" s="40" t="s">
        <v>109</v>
      </c>
      <c r="T91" s="40" t="s">
        <v>95</v>
      </c>
      <c r="U91" s="40" t="s">
        <v>73</v>
      </c>
      <c r="V91" s="40" t="s">
        <v>81</v>
      </c>
      <c r="W91" s="40" t="s">
        <v>172</v>
      </c>
      <c r="X91" s="40" t="s">
        <v>99</v>
      </c>
      <c r="Y91" s="40" t="s">
        <v>84</v>
      </c>
      <c r="Z91" s="40" t="s">
        <v>72</v>
      </c>
      <c r="AA91" s="40" t="s">
        <v>72</v>
      </c>
      <c r="AB91" s="40" t="s">
        <v>126</v>
      </c>
      <c r="AC91" s="40" t="s">
        <v>91</v>
      </c>
      <c r="AD91" s="40" t="s">
        <v>72</v>
      </c>
      <c r="AE91" s="40" t="s">
        <v>72</v>
      </c>
      <c r="AF91" s="40" t="s">
        <v>77</v>
      </c>
      <c r="AG91" s="40" t="s">
        <v>78</v>
      </c>
      <c r="AH91" t="str">
        <f>VLOOKUP($R91,武学奇术!$A:$ZZ,25,FALSE)</f>
        <v>伞</v>
      </c>
      <c r="AI91" s="26">
        <f>VLOOKUP($R91,武学奇术!$A:$ZZ,26,FALSE)</f>
        <v>1.8084</v>
      </c>
      <c r="AJ91" s="27">
        <f>VLOOKUP($R91,武学奇术!$A:$ZZ,27,FALSE)*(1+IF(OR($AH91=$F$4,$AH91=$F$5),$B$22,0))</f>
        <v>750</v>
      </c>
      <c r="AK91" s="26">
        <f>VLOOKUP($R91,武学奇术!$A:$ZZ,28,FALSE)</f>
        <v>2.7126</v>
      </c>
      <c r="AL91" s="27">
        <f>VLOOKUP($R91,武学奇术!$A:$ZZ,29,FALSE)*(1+IF(OR($AH91=$F$4,$AH91=$F$5),$B$22,0))</f>
        <v>408</v>
      </c>
      <c r="AM91" s="26" cm="1">
        <f t="array" ref="AM91">$G$3+IFERROR(VLOOKUP($AH91,$F$4:$G$7,2,FALSE),0)+VLOOKUP($R91,武学奇术!$A:$ZZ,2,FALSE)+SUM(_xlfn.XLOOKUP($S91:$AG91,增益!$A:$A,增益!$B:$B,0))</f>
        <v>1.0541</v>
      </c>
      <c r="AN91" s="26" cm="1">
        <f t="array" ref="AN91">VLOOKUP($R91,武学奇术!$A:$ZZ,5,FALSE)+SUM(_xlfn.XLOOKUP($S91:$AG91,增益!$A:$A,增益!$E:$E,0))</f>
        <v>0</v>
      </c>
      <c r="AO91" cm="1">
        <f t="array" ref="AO91">$D$10*(1+$AN91)+VLOOKUP($R91,武学奇术!$A:$ZZ,3,FALSE)+SUM(_xlfn.XLOOKUP($S91:$AG91,增益!$A:$A,增益!$C:$C,0))-$I$2</f>
        <v>3624.6</v>
      </c>
      <c r="AP91" cm="1">
        <f t="array" ref="AP91">$E$10*(1+$AN91)+VLOOKUP($R91,武学奇术!$A:$ZZ,4,FALSE)+SUM(_xlfn.XLOOKUP($S91:$AG91,增益!$A:$A,增益!$D:$D,0))-$I$2</f>
        <v>3624.6</v>
      </c>
      <c r="AQ91" s="32" cm="1">
        <f t="array" ref="AQ91">IF($F$10-$I$3+VLOOKUP($R91,武学奇术!$A:$ZZ,6,FALSE)+SUM(_xlfn.XLOOKUP(S91:AG91,增益!$A:$A,增益!$F:$F,0))&gt;0,($F$10-$I$3+VLOOKUP($R91,武学奇术!$A:$ZZ,6,FALSE)+SUM(_xlfn.XLOOKUP(S91:AG91,增益!$A:$A,增益!$F:$F,0)))/200,($F$10-$I$3+VLOOKUP($R91,武学奇术!$A:$ZZ,6,FALSE)+SUM(_xlfn.XLOOKUP(S91:AG91,增益!$A:$A,增益!$F:$F,0)))/100)</f>
        <v>0.3425</v>
      </c>
      <c r="AR91" s="32" cm="1">
        <f t="array" ref="AR91">$G$10+VLOOKUP($R91,武学奇术!$A:$ZZ,7,FALSE)+SUM(_xlfn.XLOOKUP(S91:AG91,增益!$A:$A,增益!$G:$G,0))</f>
        <v>0.148</v>
      </c>
      <c r="AS91" s="26" cm="1">
        <f t="array" ref="AS91">VLOOKUP($R91,武学奇术!$A:$ZZ,8,FALSE)+SUM(_xlfn.XLOOKUP(S91:AG91,增益!$A:$A,增益!$H:$H,0))</f>
        <v>0</v>
      </c>
      <c r="AT91">
        <f t="shared" si="43"/>
        <v>0</v>
      </c>
      <c r="AU91">
        <f t="shared" si="44"/>
        <v>0</v>
      </c>
      <c r="AV91" s="32" cm="1">
        <f t="array" ref="AV91">IF($F$11-$I$4+VLOOKUP($R91,武学奇术!$A:$ZZ,9,FALSE)+SUM(_xlfn.XLOOKUP(S91:AG91,增益!$A:$A,增益!$I:$I,0))&gt;0,($F$11-$I$4+VLOOKUP($R91,武学奇术!$A:$ZZ,9,FALSE)+SUM(_xlfn.XLOOKUP(S91:AG91,增益!$A:$A,增益!$I:$I,0)))/200,($F$11-$I$4+VLOOKUP($R91,武学奇术!$A:$ZZ,9,FALSE)+SUM(_xlfn.XLOOKUP(S91:AG91,增益!$A:$A,增益!$I:$I,0)))/100)</f>
        <v>-0.14</v>
      </c>
      <c r="AW91" s="32" cm="1">
        <f t="array" ref="AW91">$G$11+VLOOKUP($R91,武学奇术!$A:$ZZ,10,FALSE)+SUM(_xlfn.XLOOKUP(S91:AG91,增益!$A:$A,增益!$J:$J,0))</f>
        <v>0</v>
      </c>
      <c r="AX91">
        <f t="shared" si="45"/>
        <v>0</v>
      </c>
      <c r="AY91">
        <f t="shared" si="46"/>
        <v>0</v>
      </c>
      <c r="AZ91" s="32" cm="1">
        <f t="array" ref="AZ91">IF($F$12-$I$4+VLOOKUP($R91,武学奇术!$A:$ZZ,11,FALSE)+SUM(_xlfn.XLOOKUP(S91:AG91,增益!$A:$A,增益!$K:$K,0))&gt;0,($F$12-$I$4+VLOOKUP($R91,武学奇术!$A:$ZZ,11,FALSE)+SUM(_xlfn.XLOOKUP(S91:AG91,增益!$A:$A,增益!$K:$K,0)))/200,($F$12-$I$4+VLOOKUP($R91,武学奇术!$A:$ZZ,11,FALSE)+SUM(_xlfn.XLOOKUP(S91:AG91,增益!$A:$A,增益!$K:$K,0)))/100)</f>
        <v>-0.14</v>
      </c>
      <c r="BA91" s="32" cm="1">
        <f t="array" ref="BA91">$G$12+VLOOKUP($R91,武学奇术!$A:$ZZ,12,FALSE)+SUM(_xlfn.XLOOKUP(S91:AG91,增益!$A:$A,增益!$L:$L,0))</f>
        <v>0</v>
      </c>
      <c r="BB91">
        <f t="shared" si="47"/>
        <v>0</v>
      </c>
      <c r="BC91">
        <f t="shared" si="48"/>
        <v>0</v>
      </c>
      <c r="BD91" s="32" cm="1">
        <f t="array" ref="BD91">IF($F$13-$I$4+VLOOKUP($R91,武学奇术!$A:$ZZ,13,FALSE)+SUM(_xlfn.XLOOKUP(S91:AG91,增益!$A:$A,增益!$M:$M,0))&gt;0,($F$13-$I$4+VLOOKUP($R91,武学奇术!$A:$ZZ,13,FALSE)+SUM(_xlfn.XLOOKUP(S91:AG91,增益!$A:$A,增益!$K:$K,0)))/200,($F$13-$I$4+VLOOKUP($R91,武学奇术!$A:$ZZ,13,FALSE)+SUM(_xlfn.XLOOKUP(S91:AG91,增益!$A:$A,增益!$M:$M,0)))/100)</f>
        <v>-0.14</v>
      </c>
      <c r="BE91" s="32" cm="1">
        <f t="array" ref="BE91">$G$13+VLOOKUP($R91,武学奇术!$A:$ZZ,14,FALSE)+SUM(_xlfn.XLOOKUP(S91:AG91,增益!$A:$A,增益!$N:$N,0))</f>
        <v>0</v>
      </c>
      <c r="BF91">
        <f t="shared" si="49"/>
        <v>571.2</v>
      </c>
      <c r="BG91">
        <f t="shared" si="50"/>
        <v>1627.8</v>
      </c>
      <c r="BH91" s="32" cm="1">
        <f t="array" ref="BH91">IF($F$14-$I$4+VLOOKUP($R91,武学奇术!$A:$ZZ,15,FALSE)+SUM(_xlfn.XLOOKUP(S91:AG91,增益!$A:$A,增益!$O:$O,0))&gt;0,($F$14-$I$4+VLOOKUP($R91,武学奇术!$A:$ZZ,15,FALSE)+SUM(_xlfn.XLOOKUP(S91:AG91,增益!$A:$A,增益!$O:$O,0)))/200,($F$14-$I$4+VLOOKUP($R91,武学奇术!$A:$ZZ,15,FALSE)+SUM(_xlfn.XLOOKUP(S91:AG91,增益!$A:$A,增益!$O:$O,0)))/100)</f>
        <v>0.08</v>
      </c>
      <c r="BI91" s="32" cm="1">
        <f t="array" ref="BI91">$G$14+VLOOKUP($R91,武学奇术!$A:$ZZ,16,FALSE)+SUM(_xlfn.XLOOKUP(S91:AG91,增益!$A:$A,增益!$P:$P,0))</f>
        <v>0.27</v>
      </c>
      <c r="BJ91" s="26">
        <f>MIN(IF(VLOOKUP($R91,武学奇术!$A:$ZZ,23,FALSE)=1,100%,$B$8),100%)</f>
        <v>1</v>
      </c>
      <c r="BK91" s="26" cm="1">
        <f t="array" ref="BK91">IF(VLOOKUP($R91,武学奇术!$A:$ZZ,23,FALSE)=1,100%,MIN(80%,$B$9+VLOOKUP($R91,武学奇术!$A:$ZZ,17,FALSE)+SUM(_xlfn.XLOOKUP(S91:AG91,增益!$A:$A,增益!$Q:$Q,0)))+$B$11+SUM(_xlfn.XLOOKUP(S91:AG91,增益!$A:$A,增益!$U:$U,0)))*IF(VLOOKUP($R91,武学奇术!$A:$ZZ,24,FALSE)=1,0,1)</f>
        <v>1</v>
      </c>
      <c r="BL91" s="26" cm="1">
        <f t="array" ref="BL91">1+$B$13+VLOOKUP($R91,武学奇术!$A:$ZZ,18,FALSE)+SUM(_xlfn.XLOOKUP(S91:AG91,增益!$A:$A,增益!$R:$R,0))</f>
        <v>2.06</v>
      </c>
      <c r="BM91" s="26" cm="1">
        <f t="array" ref="BM91">IF(VLOOKUP($R91,武学奇术!$A:$ZZ,24,FALSE)=1,100%,MIN(40%,$B$10+VLOOKUP($R91,武学奇术!$A:$ZZ,19,FALSE)+SUM(_xlfn.XLOOKUP(S91:AG91,增益!$A:$A,增益!$S:$S,0)))+$B$12+SUM(_xlfn.XLOOKUP(S91:AG91,增益!$A:$A,增益!$V:$V,0)))*IF(VLOOKUP($R91,武学奇术!$A:$ZZ,23,FALSE)=1,0,1)</f>
        <v>0</v>
      </c>
      <c r="BN91" s="26" cm="1">
        <f t="array" ref="BN91">1+$B$14+VLOOKUP($R91,武学奇术!$A:$ZZ,20,FALSE)+SUM(_xlfn.XLOOKUP(S91:AG91,增益!$A:$A,增益!$T:$T,0))</f>
        <v>1.35</v>
      </c>
      <c r="BO91" s="26">
        <f t="shared" si="23"/>
        <v>1</v>
      </c>
      <c r="BP91" s="26">
        <f t="shared" si="33"/>
        <v>0</v>
      </c>
      <c r="BQ91" s="26">
        <f>IF(VLOOKUP($R91,武学奇术!$A:$ZZ,22,FALSE)=1,0,(1-$BJ91))*(1-$BM91)</f>
        <v>0</v>
      </c>
      <c r="BR91" s="26" cm="1">
        <f t="array" ref="BR91">SUM(_xlfn.XLOOKUP(S91:AG91,增益!$A:$A,增益!$W:$W,0))+$I$5</f>
        <v>0.11</v>
      </c>
    </row>
    <row r="92" spans="1:70">
      <c r="A92" s="4" t="s">
        <v>161</v>
      </c>
      <c r="B92" s="4">
        <v>1</v>
      </c>
      <c r="D92" s="39"/>
      <c r="E92" s="94"/>
      <c r="F92" s="39"/>
      <c r="K92">
        <f>$L92*VLOOKUP($R92,武学奇术!$A:$ZZ,31,FALSE)</f>
        <v>121103.426032091</v>
      </c>
      <c r="L92" s="38">
        <f t="shared" si="51"/>
        <v>115336.596221039</v>
      </c>
      <c r="M92" s="38">
        <f>((($AO92+$AP92)/2*$AI92+$AJ92)*(1+$AQ92)*(1+$AR92)+(($AT92+$AU92)/2*IF($G$1="鸣金",$AK92,$AI92)+IF($G$1="鸣金",$AL92*1.5,0))*(1+$AV92)*(1+$AW92)+(($AX92+$AY92)/2*IF($G$1="裂石",$AK92,$AI92)+IF($G$1="裂石",$AL92*1.5,0))*(1+$AZ92)*(1+$BA92)+(($BB92+$BC92)/2*IF($G$1="牵丝",$AK92,$AI92)+IF($G$1="牵丝",$AL92*1.5,0))*(1+$BD92)*(1+$BE92)+(($BF92+$BG92)/2*IF($G$1="破竹",$AK92,$AI92)+IF($G$1="破竹",$AL92*1.5,0))*(1+$BH92)*(1+$BI92))*(1+$AM92)*$BL92*$Q92*(1+IF(VLOOKUP($R92,武学奇术!$A:$ZZ,30,FALSE)="回旋伞",$B$21,0))*(1+$BR92)</f>
        <v>115336.596221039</v>
      </c>
      <c r="N92" s="38">
        <f>(($AP92*$AI92+$AJ92)*(1+$AQ92)*(1+$AR92)+($AU92*IF($G$1="鸣金",$AK92,$AI92)+IF($G$1="鸣金",$AL92*1.5,0))*(1+$AV92)*(1+$AW92)+($AY92*IF($G$1="裂石",$AK92,$AI92)+IF($G$1="裂石",$AL92*1.5,0))*(1+$AZ92)*(1+$BA92)+($BC92*IF($G$1="牵丝",$AK92,$AI92)+IF($G$1="牵丝",$AL92*1.5,0))*(1+$BD92)*(1+$BE92)+($BG92*IF($G$1="破竹",$AK92,$AI92)+IF($G$1="破竹",$AL92*1.5,0))*(1+$BH92)*(1+$BI92))*(1+$AM92)*$BN92*$Q92*(1+IF(VLOOKUP($R92,武学奇术!$A:$ZZ,30,FALSE)="回旋伞",$B$21,0))*(1+$BR92)</f>
        <v>86052.4996546921</v>
      </c>
      <c r="O92" s="38">
        <f>((($AO92+$AP92)/2*$AI92+$AJ92)*(1+$AQ92)*(1+$AR92)+(($AT92+$AU92)/2*IF($G$1="鸣金",$AK92,$AI92)+IF($G$1="鸣金",$AL92*1.5,0))*(1+$AV92)*(1+$AW92)+(($AX92+$AY92)/2*IF($G$1="裂石",$AK92,$AI92)+IF($G$1="裂石",$AL92*1.5,0))*(1+$AZ92)*(1+$BA92)+(($BB92+$BC92)/2*IF($G$1="牵丝",$AK92,$AI92)+IF($G$1="牵丝",$AL92*1.5,0))*(1+$BD92)*(1+$BE92)+(($BF92+$BG92)/2*IF($G$1="破竹",$AK92,$AI92)+IF($G$1="破竹",$AL92*1.5,0))*(1+$BH92)*(1+$BI92))*(1+$AM92)*$Q92*(1+IF(VLOOKUP($R92,武学奇术!$A:$ZZ,30,FALSE)="回旋伞",$B$21,0))*(1+$BR92)</f>
        <v>55988.6389422521</v>
      </c>
      <c r="P92" s="38">
        <f>((($AO92*$AI92+$AJ92)*(1+$AQ92)*(1+$AR92)+($AT92*IF($G$1="鸣金",$AK92,$AI92)+IF($G$1="鸣金",$AL92*1.5,0))*(1+$AV92)*(1+$AW92)+($AX92*IF($G$1="裂石",$AK92,$AI92)+IF($G$1="裂石",$AL92*1.5,0))*(1+$AZ92)*(1+$BA92)+($BB92*IF($G$1="牵丝",$AK92,$AI92)+IF($G$1="牵丝",$AL92*1.5,0))*(1+$BD92)*(1+$BE92)+($BF92*IF($G$1="破竹",$AK92,$AI92)+IF($G$1="破竹",$AL92*1.5,0))*(1+$BH92)*(1+$BI92))*(1+$AM92))*$Q92*(1+IF(VLOOKUP($R92,武学奇术!$A:$ZZ,30,FALSE)="回旋伞",$B$21,0))*(1+$BR92)</f>
        <v>48234.6855476953</v>
      </c>
      <c r="Q92" s="39">
        <v>4</v>
      </c>
      <c r="R92" s="40" t="s">
        <v>132</v>
      </c>
      <c r="S92" s="40" t="s">
        <v>109</v>
      </c>
      <c r="T92" s="40" t="s">
        <v>95</v>
      </c>
      <c r="U92" s="40" t="s">
        <v>73</v>
      </c>
      <c r="V92" s="40" t="s">
        <v>81</v>
      </c>
      <c r="W92" s="40" t="s">
        <v>172</v>
      </c>
      <c r="X92" s="40" t="s">
        <v>99</v>
      </c>
      <c r="Y92" s="40" t="s">
        <v>84</v>
      </c>
      <c r="Z92" s="40" t="s">
        <v>72</v>
      </c>
      <c r="AA92" s="40" t="s">
        <v>72</v>
      </c>
      <c r="AB92" s="40" t="s">
        <v>126</v>
      </c>
      <c r="AC92" s="40" t="s">
        <v>91</v>
      </c>
      <c r="AD92" s="40" t="s">
        <v>72</v>
      </c>
      <c r="AE92" s="40" t="s">
        <v>72</v>
      </c>
      <c r="AF92" s="40" t="s">
        <v>77</v>
      </c>
      <c r="AG92" s="40" t="s">
        <v>78</v>
      </c>
      <c r="AH92" t="str">
        <f>VLOOKUP($R92,武学奇术!$A:$ZZ,25,FALSE)</f>
        <v>伞</v>
      </c>
      <c r="AI92" s="26">
        <f>VLOOKUP($R92,武学奇术!$A:$ZZ,26,FALSE)</f>
        <v>0.54</v>
      </c>
      <c r="AJ92" s="27">
        <f>VLOOKUP($R92,武学奇术!$A:$ZZ,27,FALSE)*(1+IF(OR($AH92=$F$4,$AH92=$F$5),$B$22,0))</f>
        <v>0</v>
      </c>
      <c r="AK92" s="26">
        <f>VLOOKUP($R92,武学奇术!$A:$ZZ,28,FALSE)</f>
        <v>0.81</v>
      </c>
      <c r="AL92" s="27">
        <f>VLOOKUP($R92,武学奇术!$A:$ZZ,29,FALSE)*(1+IF(OR($AH92=$F$4,$AH92=$F$5),$B$22,0))</f>
        <v>0</v>
      </c>
      <c r="AM92" s="26" cm="1">
        <f t="array" ref="AM92">$G$3+IFERROR(VLOOKUP($AH92,$F$4:$G$7,2,FALSE),0)+VLOOKUP($R92,武学奇术!$A:$ZZ,2,FALSE)+SUM(_xlfn.XLOOKUP($S92:$AG92,增益!$A:$A,增益!$B:$B,0))</f>
        <v>1.2541</v>
      </c>
      <c r="AN92" s="26" cm="1">
        <f t="array" ref="AN92">VLOOKUP($R92,武学奇术!$A:$ZZ,5,FALSE)+SUM(_xlfn.XLOOKUP($S92:$AG92,增益!$A:$A,增益!$E:$E,0))</f>
        <v>0</v>
      </c>
      <c r="AO92" cm="1">
        <f t="array" ref="AO92">$D$10*(1+$AN92)+VLOOKUP($R92,武学奇术!$A:$ZZ,3,FALSE)+SUM(_xlfn.XLOOKUP($S92:$AG92,增益!$A:$A,增益!$C:$C,0))-$I$2</f>
        <v>3624.6</v>
      </c>
      <c r="AP92" cm="1">
        <f t="array" ref="AP92">$E$10*(1+$AN92)+VLOOKUP($R92,武学奇术!$A:$ZZ,4,FALSE)+SUM(_xlfn.XLOOKUP($S92:$AG92,增益!$A:$A,增益!$D:$D,0))-$I$2</f>
        <v>3624.6</v>
      </c>
      <c r="AQ92" s="32" cm="1">
        <f t="array" ref="AQ92">IF($F$10-$I$3+VLOOKUP($R92,武学奇术!$A:$ZZ,6,FALSE)+SUM(_xlfn.XLOOKUP(S92:AG92,增益!$A:$A,增益!$F:$F,0))&gt;0,($F$10-$I$3+VLOOKUP($R92,武学奇术!$A:$ZZ,6,FALSE)+SUM(_xlfn.XLOOKUP(S92:AG92,增益!$A:$A,增益!$F:$F,0)))/200,($F$10-$I$3+VLOOKUP($R92,武学奇术!$A:$ZZ,6,FALSE)+SUM(_xlfn.XLOOKUP(S92:AG92,增益!$A:$A,增益!$F:$F,0)))/100)</f>
        <v>0.3425</v>
      </c>
      <c r="AR92" s="32" cm="1">
        <f t="array" ref="AR92">$G$10+VLOOKUP($R92,武学奇术!$A:$ZZ,7,FALSE)+SUM(_xlfn.XLOOKUP(S92:AG92,增益!$A:$A,增益!$G:$G,0))</f>
        <v>0.148</v>
      </c>
      <c r="AS92" s="26" cm="1">
        <f t="array" ref="AS92">VLOOKUP($R92,武学奇术!$A:$ZZ,8,FALSE)+SUM(_xlfn.XLOOKUP(S92:AG92,增益!$A:$A,增益!$H:$H,0))</f>
        <v>0</v>
      </c>
      <c r="AT92">
        <f t="shared" si="43"/>
        <v>0</v>
      </c>
      <c r="AU92">
        <f t="shared" si="44"/>
        <v>0</v>
      </c>
      <c r="AV92" s="32" cm="1">
        <f t="array" ref="AV92">IF($F$11-$I$4+VLOOKUP($R92,武学奇术!$A:$ZZ,9,FALSE)+SUM(_xlfn.XLOOKUP(S92:AG92,增益!$A:$A,增益!$I:$I,0))&gt;0,($F$11-$I$4+VLOOKUP($R92,武学奇术!$A:$ZZ,9,FALSE)+SUM(_xlfn.XLOOKUP(S92:AG92,增益!$A:$A,增益!$I:$I,0)))/200,($F$11-$I$4+VLOOKUP($R92,武学奇术!$A:$ZZ,9,FALSE)+SUM(_xlfn.XLOOKUP(S92:AG92,增益!$A:$A,增益!$I:$I,0)))/100)</f>
        <v>-0.14</v>
      </c>
      <c r="AW92" s="32" cm="1">
        <f t="array" ref="AW92">$G$11+VLOOKUP($R92,武学奇术!$A:$ZZ,10,FALSE)+SUM(_xlfn.XLOOKUP(S92:AG92,增益!$A:$A,增益!$J:$J,0))</f>
        <v>0</v>
      </c>
      <c r="AX92">
        <f t="shared" si="45"/>
        <v>0</v>
      </c>
      <c r="AY92">
        <f t="shared" si="46"/>
        <v>0</v>
      </c>
      <c r="AZ92" s="32" cm="1">
        <f t="array" ref="AZ92">IF($F$12-$I$4+VLOOKUP($R92,武学奇术!$A:$ZZ,11,FALSE)+SUM(_xlfn.XLOOKUP(S92:AG92,增益!$A:$A,增益!$K:$K,0))&gt;0,($F$12-$I$4+VLOOKUP($R92,武学奇术!$A:$ZZ,11,FALSE)+SUM(_xlfn.XLOOKUP(S92:AG92,增益!$A:$A,增益!$K:$K,0)))/200,($F$12-$I$4+VLOOKUP($R92,武学奇术!$A:$ZZ,11,FALSE)+SUM(_xlfn.XLOOKUP(S92:AG92,增益!$A:$A,增益!$K:$K,0)))/100)</f>
        <v>-0.14</v>
      </c>
      <c r="BA92" s="32" cm="1">
        <f t="array" ref="BA92">$G$12+VLOOKUP($R92,武学奇术!$A:$ZZ,12,FALSE)+SUM(_xlfn.XLOOKUP(S92:AG92,增益!$A:$A,增益!$L:$L,0))</f>
        <v>0</v>
      </c>
      <c r="BB92">
        <f t="shared" si="47"/>
        <v>0</v>
      </c>
      <c r="BC92">
        <f t="shared" si="48"/>
        <v>0</v>
      </c>
      <c r="BD92" s="32" cm="1">
        <f t="array" ref="BD92">IF($F$13-$I$4+VLOOKUP($R92,武学奇术!$A:$ZZ,13,FALSE)+SUM(_xlfn.XLOOKUP(S92:AG92,增益!$A:$A,增益!$M:$M,0))&gt;0,($F$13-$I$4+VLOOKUP($R92,武学奇术!$A:$ZZ,13,FALSE)+SUM(_xlfn.XLOOKUP(S92:AG92,增益!$A:$A,增益!$K:$K,0)))/200,($F$13-$I$4+VLOOKUP($R92,武学奇术!$A:$ZZ,13,FALSE)+SUM(_xlfn.XLOOKUP(S92:AG92,增益!$A:$A,增益!$M:$M,0)))/100)</f>
        <v>-0.14</v>
      </c>
      <c r="BE92" s="32" cm="1">
        <f t="array" ref="BE92">$G$13+VLOOKUP($R92,武学奇术!$A:$ZZ,14,FALSE)+SUM(_xlfn.XLOOKUP(S92:AG92,增益!$A:$A,增益!$N:$N,0))</f>
        <v>0</v>
      </c>
      <c r="BF92">
        <f t="shared" si="49"/>
        <v>571.2</v>
      </c>
      <c r="BG92">
        <f t="shared" si="50"/>
        <v>1627.8</v>
      </c>
      <c r="BH92" s="32" cm="1">
        <f t="array" ref="BH92">IF($F$14-$I$4+VLOOKUP($R92,武学奇术!$A:$ZZ,15,FALSE)+SUM(_xlfn.XLOOKUP(S92:AG92,增益!$A:$A,增益!$O:$O,0))&gt;0,($F$14-$I$4+VLOOKUP($R92,武学奇术!$A:$ZZ,15,FALSE)+SUM(_xlfn.XLOOKUP(S92:AG92,增益!$A:$A,增益!$O:$O,0)))/200,($F$14-$I$4+VLOOKUP($R92,武学奇术!$A:$ZZ,15,FALSE)+SUM(_xlfn.XLOOKUP(S92:AG92,增益!$A:$A,增益!$O:$O,0)))/100)</f>
        <v>0.08</v>
      </c>
      <c r="BI92" s="32" cm="1">
        <f t="array" ref="BI92">$G$14+VLOOKUP($R92,武学奇术!$A:$ZZ,16,FALSE)+SUM(_xlfn.XLOOKUP(S92:AG92,增益!$A:$A,增益!$P:$P,0))</f>
        <v>0.27</v>
      </c>
      <c r="BJ92" s="26">
        <f>MIN(IF(VLOOKUP($R92,武学奇术!$A:$ZZ,23,FALSE)=1,100%,$B$8),100%)</f>
        <v>1</v>
      </c>
      <c r="BK92" s="26" cm="1">
        <f t="array" ref="BK92">IF(VLOOKUP($R92,武学奇术!$A:$ZZ,23,FALSE)=1,100%,MIN(80%,$B$9+VLOOKUP($R92,武学奇术!$A:$ZZ,17,FALSE)+SUM(_xlfn.XLOOKUP(S92:AG92,增益!$A:$A,增益!$Q:$Q,0)))+$B$11+SUM(_xlfn.XLOOKUP(S92:AG92,增益!$A:$A,增益!$U:$U,0)))*IF(VLOOKUP($R92,武学奇术!$A:$ZZ,24,FALSE)=1,0,1)</f>
        <v>1</v>
      </c>
      <c r="BL92" s="26" cm="1">
        <f t="array" ref="BL92">1+$B$13+VLOOKUP($R92,武学奇术!$A:$ZZ,18,FALSE)+SUM(_xlfn.XLOOKUP(S92:AG92,增益!$A:$A,增益!$R:$R,0))</f>
        <v>2.06</v>
      </c>
      <c r="BM92" s="26" cm="1">
        <f t="array" ref="BM92">IF(VLOOKUP($R92,武学奇术!$A:$ZZ,24,FALSE)=1,100%,MIN(40%,$B$10+VLOOKUP($R92,武学奇术!$A:$ZZ,19,FALSE)+SUM(_xlfn.XLOOKUP(S92:AG92,增益!$A:$A,增益!$S:$S,0)))+$B$12+SUM(_xlfn.XLOOKUP(S92:AG92,增益!$A:$A,增益!$V:$V,0)))*IF(VLOOKUP($R92,武学奇术!$A:$ZZ,23,FALSE)=1,0,1)</f>
        <v>0</v>
      </c>
      <c r="BN92" s="26" cm="1">
        <f t="array" ref="BN92">1+$B$14+VLOOKUP($R92,武学奇术!$A:$ZZ,20,FALSE)+SUM(_xlfn.XLOOKUP(S92:AG92,增益!$A:$A,增益!$T:$T,0))</f>
        <v>1.35</v>
      </c>
      <c r="BO92" s="26">
        <f t="shared" si="23"/>
        <v>1</v>
      </c>
      <c r="BP92" s="26">
        <f t="shared" si="33"/>
        <v>0</v>
      </c>
      <c r="BQ92" s="26">
        <f>IF(VLOOKUP($R92,武学奇术!$A:$ZZ,22,FALSE)=1,0,(1-$BJ92))*(1-$BM92)</f>
        <v>0</v>
      </c>
      <c r="BR92" s="26" cm="1">
        <f t="array" ref="BR92">SUM(_xlfn.XLOOKUP(S92:AG92,增益!$A:$A,增益!$W:$W,0))+$I$5</f>
        <v>0.11</v>
      </c>
    </row>
    <row r="93" spans="1:70">
      <c r="A93" s="4" t="s">
        <v>164</v>
      </c>
      <c r="B93" s="4">
        <v>0.85</v>
      </c>
      <c r="D93" s="39"/>
      <c r="E93" s="94"/>
      <c r="F93" s="39"/>
      <c r="K93">
        <f>$L93*VLOOKUP($R93,武学奇术!$A:$ZZ,31,FALSE)</f>
        <v>355625.066911843</v>
      </c>
      <c r="L93" s="38">
        <f t="shared" si="51"/>
        <v>338690.539916041</v>
      </c>
      <c r="M93" s="38">
        <f>((($AO93+$AP93)/2*$AI93+$AJ93)*(1+$AQ93)*(1+$AR93)+(($AT93+$AU93)/2*IF($G$1="鸣金",$AK93,$AI93)+IF($G$1="鸣金",$AL93*1.5,0))*(1+$AV93)*(1+$AW93)+(($AX93+$AY93)/2*IF($G$1="裂石",$AK93,$AI93)+IF($G$1="裂石",$AL93*1.5,0))*(1+$AZ93)*(1+$BA93)+(($BB93+$BC93)/2*IF($G$1="牵丝",$AK93,$AI93)+IF($G$1="牵丝",$AL93*1.5,0))*(1+$BD93)*(1+$BE93)+(($BF93+$BG93)/2*IF($G$1="破竹",$AK93,$AI93)+IF($G$1="破竹",$AL93*1.5,0))*(1+$BH93)*(1+$BI93))*(1+$AM93)*$BL93*$Q93*(1+IF(VLOOKUP($R93,武学奇术!$A:$ZZ,30,FALSE)="回旋伞",$B$21,0))*(1+$BR93)</f>
        <v>362372.846215603</v>
      </c>
      <c r="N93" s="38">
        <f>(($AP93*$AI93+$AJ93)*(1+$AQ93)*(1+$AR93)+($AU93*IF($G$1="鸣金",$AK93,$AI93)+IF($G$1="鸣金",$AL93*1.5,0))*(1+$AV93)*(1+$AW93)+($AY93*IF($G$1="裂石",$AK93,$AI93)+IF($G$1="裂石",$AL93*1.5,0))*(1+$AZ93)*(1+$BA93)+($BC93*IF($G$1="牵丝",$AK93,$AI93)+IF($G$1="牵丝",$AL93*1.5,0))*(1+$BD93)*(1+$BE93)+($BG93*IF($G$1="破竹",$AK93,$AI93)+IF($G$1="破竹",$AL93*1.5,0))*(1+$BH93)*(1+$BI93))*(1+$AM93)*$BN93*$Q93*(1+IF(VLOOKUP($R93,武学奇术!$A:$ZZ,30,FALSE)="回旋伞",$B$21,0))*(1+$BR93)</f>
        <v>266312.198798507</v>
      </c>
      <c r="O93" s="38">
        <f>((($AO93+$AP93)/2*$AI93+$AJ93)*(1+$AQ93)*(1+$AR93)+(($AT93+$AU93)/2*IF($G$1="鸣金",$AK93,$AI93)+IF($G$1="鸣金",$AL93*1.5,0))*(1+$AV93)*(1+$AW93)+(($AX93+$AY93)/2*IF($G$1="裂石",$AK93,$AI93)+IF($G$1="裂石",$AL93*1.5,0))*(1+$AZ93)*(1+$BA93)+(($BB93+$BC93)/2*IF($G$1="牵丝",$AK93,$AI93)+IF($G$1="牵丝",$AL93*1.5,0))*(1+$BD93)*(1+$BE93)+(($BF93+$BG93)/2*IF($G$1="破竹",$AK93,$AI93)+IF($G$1="破竹",$AL93*1.5,0))*(1+$BH93)*(1+$BI93))*(1+$AM93)*$Q93*(1+IF(VLOOKUP($R93,武学奇术!$A:$ZZ,30,FALSE)="回旋伞",$B$21,0))*(1+$BR93)</f>
        <v>175909.148648351</v>
      </c>
      <c r="P93" s="38">
        <f>((($AO93*$AI93+$AJ93)*(1+$AQ93)*(1+$AR93)+($AT93*IF($G$1="鸣金",$AK93,$AI93)+IF($G$1="鸣金",$AL93*1.5,0))*(1+$AV93)*(1+$AW93)+($AX93*IF($G$1="裂石",$AK93,$AI93)+IF($G$1="裂石",$AL93*1.5,0))*(1+$AZ93)*(1+$BA93)+($BB93*IF($G$1="牵丝",$AK93,$AI93)+IF($G$1="牵丝",$AL93*1.5,0))*(1+$BD93)*(1+$BE93)+($BF93*IF($G$1="破竹",$AK93,$AI93)+IF($G$1="破竹",$AL93*1.5,0))*(1+$BH93)*(1+$BI93))*(1+$AM93))*$Q93*(1+IF(VLOOKUP($R93,武学奇术!$A:$ZZ,30,FALSE)="回旋伞",$B$21,0))*(1+$BR93)</f>
        <v>154550.0018904</v>
      </c>
      <c r="Q93" s="39">
        <v>4</v>
      </c>
      <c r="R93" s="40" t="s">
        <v>108</v>
      </c>
      <c r="S93" s="40" t="s">
        <v>109</v>
      </c>
      <c r="T93" s="40" t="s">
        <v>95</v>
      </c>
      <c r="U93" s="40" t="s">
        <v>73</v>
      </c>
      <c r="V93" s="40" t="s">
        <v>81</v>
      </c>
      <c r="W93" s="40" t="s">
        <v>172</v>
      </c>
      <c r="X93" s="40" t="s">
        <v>99</v>
      </c>
      <c r="Y93" s="40" t="s">
        <v>84</v>
      </c>
      <c r="Z93" s="40" t="s">
        <v>72</v>
      </c>
      <c r="AA93" s="40" t="s">
        <v>72</v>
      </c>
      <c r="AB93" s="40" t="s">
        <v>126</v>
      </c>
      <c r="AC93" s="40" t="s">
        <v>91</v>
      </c>
      <c r="AD93" s="40" t="s">
        <v>72</v>
      </c>
      <c r="AE93" s="40" t="s">
        <v>72</v>
      </c>
      <c r="AF93" s="40" t="s">
        <v>77</v>
      </c>
      <c r="AG93" s="40" t="s">
        <v>78</v>
      </c>
      <c r="AH93" t="str">
        <f>VLOOKUP($R93,武学奇术!$A:$ZZ,25,FALSE)</f>
        <v>伞</v>
      </c>
      <c r="AI93" s="26">
        <f>VLOOKUP($R93,武学奇术!$A:$ZZ,26,FALSE)</f>
        <v>1.8084</v>
      </c>
      <c r="AJ93" s="27">
        <f>VLOOKUP($R93,武学奇术!$A:$ZZ,27,FALSE)*(1+IF(OR($AH93=$F$4,$AH93=$F$5),$B$22,0))</f>
        <v>750</v>
      </c>
      <c r="AK93" s="26">
        <f>VLOOKUP($R93,武学奇术!$A:$ZZ,28,FALSE)</f>
        <v>2.7126</v>
      </c>
      <c r="AL93" s="27">
        <f>VLOOKUP($R93,武学奇术!$A:$ZZ,29,FALSE)*(1+IF(OR($AH93=$F$4,$AH93=$F$5),$B$22,0))</f>
        <v>408</v>
      </c>
      <c r="AM93" s="26" cm="1">
        <f t="array" ref="AM93">$G$3+IFERROR(VLOOKUP($AH93,$F$4:$G$7,2,FALSE),0)+VLOOKUP($R93,武学奇术!$A:$ZZ,2,FALSE)+SUM(_xlfn.XLOOKUP($S93:$AG93,增益!$A:$A,增益!$B:$B,0))</f>
        <v>0.8541</v>
      </c>
      <c r="AN93" s="26" cm="1">
        <f t="array" ref="AN93">VLOOKUP($R93,武学奇术!$A:$ZZ,5,FALSE)+SUM(_xlfn.XLOOKUP($S93:$AG93,增益!$A:$A,增益!$E:$E,0))</f>
        <v>0</v>
      </c>
      <c r="AO93" cm="1">
        <f t="array" ref="AO93">$D$10*(1+$AN93)+VLOOKUP($R93,武学奇术!$A:$ZZ,3,FALSE)+SUM(_xlfn.XLOOKUP($S93:$AG93,增益!$A:$A,增益!$C:$C,0))-$I$2</f>
        <v>3624.6</v>
      </c>
      <c r="AP93" cm="1">
        <f t="array" ref="AP93">$E$10*(1+$AN93)+VLOOKUP($R93,武学奇术!$A:$ZZ,4,FALSE)+SUM(_xlfn.XLOOKUP($S93:$AG93,增益!$A:$A,增益!$D:$D,0))-$I$2</f>
        <v>3624.6</v>
      </c>
      <c r="AQ93" s="32" cm="1">
        <f t="array" ref="AQ93">IF($F$10-$I$3+VLOOKUP($R93,武学奇术!$A:$ZZ,6,FALSE)+SUM(_xlfn.XLOOKUP(S93:AG93,增益!$A:$A,增益!$F:$F,0))&gt;0,($F$10-$I$3+VLOOKUP($R93,武学奇术!$A:$ZZ,6,FALSE)+SUM(_xlfn.XLOOKUP(S93:AG93,增益!$A:$A,增益!$F:$F,0)))/200,($F$10-$I$3+VLOOKUP($R93,武学奇术!$A:$ZZ,6,FALSE)+SUM(_xlfn.XLOOKUP(S93:AG93,增益!$A:$A,增益!$F:$F,0)))/100)</f>
        <v>0.3425</v>
      </c>
      <c r="AR93" s="32" cm="1">
        <f t="array" ref="AR93">$G$10+VLOOKUP($R93,武学奇术!$A:$ZZ,7,FALSE)+SUM(_xlfn.XLOOKUP(S93:AG93,增益!$A:$A,增益!$G:$G,0))</f>
        <v>0.148</v>
      </c>
      <c r="AS93" s="26" cm="1">
        <f t="array" ref="AS93">VLOOKUP($R93,武学奇术!$A:$ZZ,8,FALSE)+SUM(_xlfn.XLOOKUP(S93:AG93,增益!$A:$A,增益!$H:$H,0))</f>
        <v>0</v>
      </c>
      <c r="AT93">
        <f t="shared" si="43"/>
        <v>0</v>
      </c>
      <c r="AU93">
        <f t="shared" si="44"/>
        <v>0</v>
      </c>
      <c r="AV93" s="32" cm="1">
        <f t="array" ref="AV93">IF($F$11-$I$4+VLOOKUP($R93,武学奇术!$A:$ZZ,9,FALSE)+SUM(_xlfn.XLOOKUP(S93:AG93,增益!$A:$A,增益!$I:$I,0))&gt;0,($F$11-$I$4+VLOOKUP($R93,武学奇术!$A:$ZZ,9,FALSE)+SUM(_xlfn.XLOOKUP(S93:AG93,增益!$A:$A,增益!$I:$I,0)))/200,($F$11-$I$4+VLOOKUP($R93,武学奇术!$A:$ZZ,9,FALSE)+SUM(_xlfn.XLOOKUP(S93:AG93,增益!$A:$A,增益!$I:$I,0)))/100)</f>
        <v>-0.14</v>
      </c>
      <c r="AW93" s="32" cm="1">
        <f t="array" ref="AW93">$G$11+VLOOKUP($R93,武学奇术!$A:$ZZ,10,FALSE)+SUM(_xlfn.XLOOKUP(S93:AG93,增益!$A:$A,增益!$J:$J,0))</f>
        <v>0</v>
      </c>
      <c r="AX93">
        <f t="shared" si="45"/>
        <v>0</v>
      </c>
      <c r="AY93">
        <f t="shared" si="46"/>
        <v>0</v>
      </c>
      <c r="AZ93" s="32" cm="1">
        <f t="array" ref="AZ93">IF($F$12-$I$4+VLOOKUP($R93,武学奇术!$A:$ZZ,11,FALSE)+SUM(_xlfn.XLOOKUP(S93:AG93,增益!$A:$A,增益!$K:$K,0))&gt;0,($F$12-$I$4+VLOOKUP($R93,武学奇术!$A:$ZZ,11,FALSE)+SUM(_xlfn.XLOOKUP(S93:AG93,增益!$A:$A,增益!$K:$K,0)))/200,($F$12-$I$4+VLOOKUP($R93,武学奇术!$A:$ZZ,11,FALSE)+SUM(_xlfn.XLOOKUP(S93:AG93,增益!$A:$A,增益!$K:$K,0)))/100)</f>
        <v>-0.14</v>
      </c>
      <c r="BA93" s="32" cm="1">
        <f t="array" ref="BA93">$G$12+VLOOKUP($R93,武学奇术!$A:$ZZ,12,FALSE)+SUM(_xlfn.XLOOKUP(S93:AG93,增益!$A:$A,增益!$L:$L,0))</f>
        <v>0</v>
      </c>
      <c r="BB93">
        <f t="shared" si="47"/>
        <v>0</v>
      </c>
      <c r="BC93">
        <f t="shared" si="48"/>
        <v>0</v>
      </c>
      <c r="BD93" s="32" cm="1">
        <f t="array" ref="BD93">IF($F$13-$I$4+VLOOKUP($R93,武学奇术!$A:$ZZ,13,FALSE)+SUM(_xlfn.XLOOKUP(S93:AG93,增益!$A:$A,增益!$M:$M,0))&gt;0,($F$13-$I$4+VLOOKUP($R93,武学奇术!$A:$ZZ,13,FALSE)+SUM(_xlfn.XLOOKUP(S93:AG93,增益!$A:$A,增益!$K:$K,0)))/200,($F$13-$I$4+VLOOKUP($R93,武学奇术!$A:$ZZ,13,FALSE)+SUM(_xlfn.XLOOKUP(S93:AG93,增益!$A:$A,增益!$M:$M,0)))/100)</f>
        <v>-0.14</v>
      </c>
      <c r="BE93" s="32" cm="1">
        <f t="array" ref="BE93">$G$13+VLOOKUP($R93,武学奇术!$A:$ZZ,14,FALSE)+SUM(_xlfn.XLOOKUP(S93:AG93,增益!$A:$A,增益!$N:$N,0))</f>
        <v>0</v>
      </c>
      <c r="BF93">
        <f t="shared" si="49"/>
        <v>571.2</v>
      </c>
      <c r="BG93">
        <f t="shared" si="50"/>
        <v>1627.8</v>
      </c>
      <c r="BH93" s="32" cm="1">
        <f t="array" ref="BH93">IF($F$14-$I$4+VLOOKUP($R93,武学奇术!$A:$ZZ,15,FALSE)+SUM(_xlfn.XLOOKUP(S93:AG93,增益!$A:$A,增益!$O:$O,0))&gt;0,($F$14-$I$4+VLOOKUP($R93,武学奇术!$A:$ZZ,15,FALSE)+SUM(_xlfn.XLOOKUP(S93:AG93,增益!$A:$A,增益!$O:$O,0)))/200,($F$14-$I$4+VLOOKUP($R93,武学奇术!$A:$ZZ,15,FALSE)+SUM(_xlfn.XLOOKUP(S93:AG93,增益!$A:$A,增益!$O:$O,0)))/100)</f>
        <v>0.08</v>
      </c>
      <c r="BI93" s="32" cm="1">
        <f t="array" ref="BI93">$G$14+VLOOKUP($R93,武学奇术!$A:$ZZ,16,FALSE)+SUM(_xlfn.XLOOKUP(S93:AG93,增益!$A:$A,增益!$P:$P,0))</f>
        <v>0.27</v>
      </c>
      <c r="BJ93" s="26">
        <f>MIN(IF(VLOOKUP($R93,武学奇术!$A:$ZZ,23,FALSE)=1,100%,$B$8),100%)</f>
        <v>0.981</v>
      </c>
      <c r="BK93" s="26" cm="1">
        <f t="array" ref="BK93">IF(VLOOKUP($R93,武学奇术!$A:$ZZ,23,FALSE)=1,100%,MIN(80%,$B$9+VLOOKUP($R93,武学奇术!$A:$ZZ,17,FALSE)+SUM(_xlfn.XLOOKUP(S93:AG93,增益!$A:$A,增益!$Q:$Q,0)))+$B$11+SUM(_xlfn.XLOOKUP(S93:AG93,增益!$A:$A,增益!$U:$U,0)))*IF(VLOOKUP($R93,武学奇术!$A:$ZZ,24,FALSE)=1,0,1)</f>
        <v>0.846</v>
      </c>
      <c r="BL93" s="26" cm="1">
        <f t="array" ref="BL93">1+$B$13+VLOOKUP($R93,武学奇术!$A:$ZZ,18,FALSE)+SUM(_xlfn.XLOOKUP(S93:AG93,增益!$A:$A,增益!$R:$R,0))</f>
        <v>2.06</v>
      </c>
      <c r="BM93" s="26" cm="1">
        <f t="array" ref="BM93">IF(VLOOKUP($R93,武学奇术!$A:$ZZ,24,FALSE)=1,100%,MIN(40%,$B$10+VLOOKUP($R93,武学奇术!$A:$ZZ,19,FALSE)+SUM(_xlfn.XLOOKUP(S93:AG93,增益!$A:$A,增益!$S:$S,0)))+$B$12+SUM(_xlfn.XLOOKUP(S93:AG93,增益!$A:$A,增益!$V:$V,0)))*IF(VLOOKUP($R93,武学奇术!$A:$ZZ,23,FALSE)=1,0,1)</f>
        <v>0.0929</v>
      </c>
      <c r="BN93" s="26" cm="1">
        <f t="array" ref="BN93">1+$B$14+VLOOKUP($R93,武学奇术!$A:$ZZ,20,FALSE)+SUM(_xlfn.XLOOKUP(S93:AG93,增益!$A:$A,增益!$T:$T,0))</f>
        <v>1.35</v>
      </c>
      <c r="BO93" s="26">
        <f t="shared" si="23"/>
        <v>0.829926</v>
      </c>
      <c r="BP93" s="26">
        <f t="shared" si="33"/>
        <v>0.0599391</v>
      </c>
      <c r="BQ93" s="26">
        <f>IF(VLOOKUP($R93,武学奇术!$A:$ZZ,22,FALSE)=1,0,(1-$BJ93))*(1-$BM93)</f>
        <v>0.0172349</v>
      </c>
      <c r="BR93" s="26" cm="1">
        <f t="array" ref="BR93">SUM(_xlfn.XLOOKUP(S93:AG93,增益!$A:$A,增益!$W:$W,0))+$I$5</f>
        <v>0.11</v>
      </c>
    </row>
    <row r="94" spans="1:70">
      <c r="A94" s="4" t="s">
        <v>161</v>
      </c>
      <c r="B94" s="87">
        <v>1</v>
      </c>
      <c r="D94" s="39"/>
      <c r="E94" s="94"/>
      <c r="F94" s="39"/>
      <c r="K94">
        <f>$L94*VLOOKUP($R94,武学奇术!$A:$ZZ,31,FALSE)</f>
        <v>206489.790956806</v>
      </c>
      <c r="L94" s="38">
        <f t="shared" si="51"/>
        <v>196656.943768386</v>
      </c>
      <c r="M94" s="38">
        <f>((($AO94+$AP94)/2*$AI94+$AJ94)*(1+$AQ94)*(1+$AR94)+(($AT94+$AU94)/2*IF($G$1="鸣金",$AK94,$AI94)+IF($G$1="鸣金",$AL94*1.5,0))*(1+$AV94)*(1+$AW94)+(($AX94+$AY94)/2*IF($G$1="裂石",$AK94,$AI94)+IF($G$1="裂石",$AL94*1.5,0))*(1+$AZ94)*(1+$BA94)+(($BB94+$BC94)/2*IF($G$1="牵丝",$AK94,$AI94)+IF($G$1="牵丝",$AL94*1.5,0))*(1+$BD94)*(1+$BE94)+(($BF94+$BG94)/2*IF($G$1="破竹",$AK94,$AI94)+IF($G$1="破竹",$AL94*1.5,0))*(1+$BH94)*(1+$BI94))*(1+$AM94)*$BL94*$Q94*(1+IF(VLOOKUP($R94,武学奇术!$A:$ZZ,30,FALSE)="回旋伞",$B$21,0))*(1+$BR94)</f>
        <v>210206.204070482</v>
      </c>
      <c r="N94" s="38">
        <f>(($AP94*$AI94+$AJ94)*(1+$AQ94)*(1+$AR94)+($AU94*IF($G$1="鸣金",$AK94,$AI94)+IF($G$1="鸣金",$AL94*1.5,0))*(1+$AV94)*(1+$AW94)+($AY94*IF($G$1="裂石",$AK94,$AI94)+IF($G$1="裂石",$AL94*1.5,0))*(1+$AZ94)*(1+$BA94)+($BC94*IF($G$1="牵丝",$AK94,$AI94)+IF($G$1="牵丝",$AL94*1.5,0))*(1+$BD94)*(1+$BE94)+($BG94*IF($G$1="破竹",$AK94,$AI94)+IF($G$1="破竹",$AL94*1.5,0))*(1+$BH94)*(1+$BI94))*(1+$AM94)*$BN94*$Q94*(1+IF(VLOOKUP($R94,武学奇术!$A:$ZZ,30,FALSE)="回旋伞",$B$21,0))*(1+$BR94)</f>
        <v>156834.603203676</v>
      </c>
      <c r="O94" s="38">
        <f>((($AO94+$AP94)/2*$AI94+$AJ94)*(1+$AQ94)*(1+$AR94)+(($AT94+$AU94)/2*IF($G$1="鸣金",$AK94,$AI94)+IF($G$1="鸣金",$AL94*1.5,0))*(1+$AV94)*(1+$AW94)+(($AX94+$AY94)/2*IF($G$1="裂石",$AK94,$AI94)+IF($G$1="裂石",$AL94*1.5,0))*(1+$AZ94)*(1+$BA94)+(($BB94+$BC94)/2*IF($G$1="牵丝",$AK94,$AI94)+IF($G$1="牵丝",$AL94*1.5,0))*(1+$BD94)*(1+$BE94)+(($BF94+$BG94)/2*IF($G$1="破竹",$AK94,$AI94)+IF($G$1="破竹",$AL94*1.5,0))*(1+$BH94)*(1+$BI94))*(1+$AM94)*$Q94*(1+IF(VLOOKUP($R94,武学奇术!$A:$ZZ,30,FALSE)="回旋伞",$B$21,0))*(1+$BR94)</f>
        <v>102041.846636156</v>
      </c>
      <c r="P94" s="38">
        <f>((($AO94*$AI94+$AJ94)*(1+$AQ94)*(1+$AR94)+($AT94*IF($G$1="鸣金",$AK94,$AI94)+IF($G$1="鸣金",$AL94*1.5,0))*(1+$AV94)*(1+$AW94)+($AX94*IF($G$1="裂石",$AK94,$AI94)+IF($G$1="裂石",$AL94*1.5,0))*(1+$AZ94)*(1+$BA94)+($BB94*IF($G$1="牵丝",$AK94,$AI94)+IF($G$1="牵丝",$AL94*1.5,0))*(1+$BD94)*(1+$BE94)+($BF94*IF($G$1="破竹",$AK94,$AI94)+IF($G$1="破竹",$AL94*1.5,0))*(1+$BH94)*(1+$BI94))*(1+$AM94))*$Q94*(1+IF(VLOOKUP($R94,武学奇术!$A:$ZZ,30,FALSE)="回旋伞",$B$21,0))*(1+$BR94)</f>
        <v>87909.9131214417</v>
      </c>
      <c r="Q94" s="39">
        <v>8</v>
      </c>
      <c r="R94" s="40" t="s">
        <v>112</v>
      </c>
      <c r="S94" s="40" t="s">
        <v>109</v>
      </c>
      <c r="T94" s="40" t="s">
        <v>95</v>
      </c>
      <c r="U94" s="40" t="s">
        <v>73</v>
      </c>
      <c r="V94" s="40" t="s">
        <v>81</v>
      </c>
      <c r="W94" s="40" t="s">
        <v>172</v>
      </c>
      <c r="X94" s="40" t="s">
        <v>99</v>
      </c>
      <c r="Y94" s="40" t="s">
        <v>84</v>
      </c>
      <c r="Z94" s="40" t="s">
        <v>72</v>
      </c>
      <c r="AA94" s="40" t="s">
        <v>72</v>
      </c>
      <c r="AB94" s="40" t="s">
        <v>126</v>
      </c>
      <c r="AC94" s="40" t="s">
        <v>91</v>
      </c>
      <c r="AD94" s="40" t="s">
        <v>72</v>
      </c>
      <c r="AE94" s="40" t="s">
        <v>72</v>
      </c>
      <c r="AF94" s="40" t="s">
        <v>77</v>
      </c>
      <c r="AG94" s="40" t="s">
        <v>78</v>
      </c>
      <c r="AH94" t="str">
        <f>VLOOKUP($R94,武学奇术!$A:$ZZ,25,FALSE)</f>
        <v>伞</v>
      </c>
      <c r="AI94" s="26">
        <f>VLOOKUP($R94,武学奇术!$A:$ZZ,26,FALSE)</f>
        <v>0.54</v>
      </c>
      <c r="AJ94" s="27">
        <f>VLOOKUP($R94,武学奇术!$A:$ZZ,27,FALSE)*(1+IF(OR($AH94=$F$4,$AH94=$F$5),$B$22,0))</f>
        <v>0</v>
      </c>
      <c r="AK94" s="26">
        <f>VLOOKUP($R94,武学奇术!$A:$ZZ,28,FALSE)</f>
        <v>0.81</v>
      </c>
      <c r="AL94" s="27">
        <f>VLOOKUP($R94,武学奇术!$A:$ZZ,29,FALSE)*(1+IF(OR($AH94=$F$4,$AH94=$F$5),$B$22,0))</f>
        <v>0</v>
      </c>
      <c r="AM94" s="26" cm="1">
        <f t="array" ref="AM94">$G$3+IFERROR(VLOOKUP($AH94,$F$4:$G$7,2,FALSE),0)+VLOOKUP($R94,武学奇术!$A:$ZZ,2,FALSE)+SUM(_xlfn.XLOOKUP($S94:$AG94,增益!$A:$A,增益!$B:$B,0))</f>
        <v>1.0541</v>
      </c>
      <c r="AN94" s="26" cm="1">
        <f t="array" ref="AN94">VLOOKUP($R94,武学奇术!$A:$ZZ,5,FALSE)+SUM(_xlfn.XLOOKUP($S94:$AG94,增益!$A:$A,增益!$E:$E,0))</f>
        <v>0</v>
      </c>
      <c r="AO94" cm="1">
        <f t="array" ref="AO94">$D$10*(1+$AN94)+VLOOKUP($R94,武学奇术!$A:$ZZ,3,FALSE)+SUM(_xlfn.XLOOKUP($S94:$AG94,增益!$A:$A,增益!$C:$C,0))-$I$2</f>
        <v>3624.6</v>
      </c>
      <c r="AP94" cm="1">
        <f t="array" ref="AP94">$E$10*(1+$AN94)+VLOOKUP($R94,武学奇术!$A:$ZZ,4,FALSE)+SUM(_xlfn.XLOOKUP($S94:$AG94,增益!$A:$A,增益!$D:$D,0))-$I$2</f>
        <v>3624.6</v>
      </c>
      <c r="AQ94" s="32" cm="1">
        <f t="array" ref="AQ94">IF($F$10-$I$3+VLOOKUP($R94,武学奇术!$A:$ZZ,6,FALSE)+SUM(_xlfn.XLOOKUP(S94:AG94,增益!$A:$A,增益!$F:$F,0))&gt;0,($F$10-$I$3+VLOOKUP($R94,武学奇术!$A:$ZZ,6,FALSE)+SUM(_xlfn.XLOOKUP(S94:AG94,增益!$A:$A,增益!$F:$F,0)))/200,($F$10-$I$3+VLOOKUP($R94,武学奇术!$A:$ZZ,6,FALSE)+SUM(_xlfn.XLOOKUP(S94:AG94,增益!$A:$A,增益!$F:$F,0)))/100)</f>
        <v>0.3425</v>
      </c>
      <c r="AR94" s="32" cm="1">
        <f t="array" ref="AR94">$G$10+VLOOKUP($R94,武学奇术!$A:$ZZ,7,FALSE)+SUM(_xlfn.XLOOKUP(S94:AG94,增益!$A:$A,增益!$G:$G,0))</f>
        <v>0.148</v>
      </c>
      <c r="AS94" s="26" cm="1">
        <f t="array" ref="AS94">VLOOKUP($R94,武学奇术!$A:$ZZ,8,FALSE)+SUM(_xlfn.XLOOKUP(S94:AG94,增益!$A:$A,增益!$H:$H,0))</f>
        <v>0</v>
      </c>
      <c r="AT94">
        <f t="shared" si="43"/>
        <v>0</v>
      </c>
      <c r="AU94">
        <f t="shared" si="44"/>
        <v>0</v>
      </c>
      <c r="AV94" s="32" cm="1">
        <f t="array" ref="AV94">IF($F$11-$I$4+VLOOKUP($R94,武学奇术!$A:$ZZ,9,FALSE)+SUM(_xlfn.XLOOKUP(S94:AG94,增益!$A:$A,增益!$I:$I,0))&gt;0,($F$11-$I$4+VLOOKUP($R94,武学奇术!$A:$ZZ,9,FALSE)+SUM(_xlfn.XLOOKUP(S94:AG94,增益!$A:$A,增益!$I:$I,0)))/200,($F$11-$I$4+VLOOKUP($R94,武学奇术!$A:$ZZ,9,FALSE)+SUM(_xlfn.XLOOKUP(S94:AG94,增益!$A:$A,增益!$I:$I,0)))/100)</f>
        <v>-0.14</v>
      </c>
      <c r="AW94" s="32" cm="1">
        <f t="array" ref="AW94">$G$11+VLOOKUP($R94,武学奇术!$A:$ZZ,10,FALSE)+SUM(_xlfn.XLOOKUP(S94:AG94,增益!$A:$A,增益!$J:$J,0))</f>
        <v>0</v>
      </c>
      <c r="AX94">
        <f t="shared" si="45"/>
        <v>0</v>
      </c>
      <c r="AY94">
        <f t="shared" si="46"/>
        <v>0</v>
      </c>
      <c r="AZ94" s="32" cm="1">
        <f t="array" ref="AZ94">IF($F$12-$I$4+VLOOKUP($R94,武学奇术!$A:$ZZ,11,FALSE)+SUM(_xlfn.XLOOKUP(S94:AG94,增益!$A:$A,增益!$K:$K,0))&gt;0,($F$12-$I$4+VLOOKUP($R94,武学奇术!$A:$ZZ,11,FALSE)+SUM(_xlfn.XLOOKUP(S94:AG94,增益!$A:$A,增益!$K:$K,0)))/200,($F$12-$I$4+VLOOKUP($R94,武学奇术!$A:$ZZ,11,FALSE)+SUM(_xlfn.XLOOKUP(S94:AG94,增益!$A:$A,增益!$K:$K,0)))/100)</f>
        <v>-0.14</v>
      </c>
      <c r="BA94" s="32" cm="1">
        <f t="array" ref="BA94">$G$12+VLOOKUP($R94,武学奇术!$A:$ZZ,12,FALSE)+SUM(_xlfn.XLOOKUP(S94:AG94,增益!$A:$A,增益!$L:$L,0))</f>
        <v>0</v>
      </c>
      <c r="BB94">
        <f t="shared" si="47"/>
        <v>0</v>
      </c>
      <c r="BC94">
        <f t="shared" si="48"/>
        <v>0</v>
      </c>
      <c r="BD94" s="32" cm="1">
        <f t="array" ref="BD94">IF($F$13-$I$4+VLOOKUP($R94,武学奇术!$A:$ZZ,13,FALSE)+SUM(_xlfn.XLOOKUP(S94:AG94,增益!$A:$A,增益!$M:$M,0))&gt;0,($F$13-$I$4+VLOOKUP($R94,武学奇术!$A:$ZZ,13,FALSE)+SUM(_xlfn.XLOOKUP(S94:AG94,增益!$A:$A,增益!$K:$K,0)))/200,($F$13-$I$4+VLOOKUP($R94,武学奇术!$A:$ZZ,13,FALSE)+SUM(_xlfn.XLOOKUP(S94:AG94,增益!$A:$A,增益!$M:$M,0)))/100)</f>
        <v>-0.14</v>
      </c>
      <c r="BE94" s="32" cm="1">
        <f t="array" ref="BE94">$G$13+VLOOKUP($R94,武学奇术!$A:$ZZ,14,FALSE)+SUM(_xlfn.XLOOKUP(S94:AG94,增益!$A:$A,增益!$N:$N,0))</f>
        <v>0</v>
      </c>
      <c r="BF94">
        <f t="shared" si="49"/>
        <v>571.2</v>
      </c>
      <c r="BG94">
        <f t="shared" si="50"/>
        <v>1627.8</v>
      </c>
      <c r="BH94" s="32" cm="1">
        <f t="array" ref="BH94">IF($F$14-$I$4+VLOOKUP($R94,武学奇术!$A:$ZZ,15,FALSE)+SUM(_xlfn.XLOOKUP(S94:AG94,增益!$A:$A,增益!$O:$O,0))&gt;0,($F$14-$I$4+VLOOKUP($R94,武学奇术!$A:$ZZ,15,FALSE)+SUM(_xlfn.XLOOKUP(S94:AG94,增益!$A:$A,增益!$O:$O,0)))/200,($F$14-$I$4+VLOOKUP($R94,武学奇术!$A:$ZZ,15,FALSE)+SUM(_xlfn.XLOOKUP(S94:AG94,增益!$A:$A,增益!$O:$O,0)))/100)</f>
        <v>0.08</v>
      </c>
      <c r="BI94" s="32" cm="1">
        <f t="array" ref="BI94">$G$14+VLOOKUP($R94,武学奇术!$A:$ZZ,16,FALSE)+SUM(_xlfn.XLOOKUP(S94:AG94,增益!$A:$A,增益!$P:$P,0))</f>
        <v>0.27</v>
      </c>
      <c r="BJ94" s="26">
        <f>MIN(IF(VLOOKUP($R94,武学奇术!$A:$ZZ,23,FALSE)=1,100%,$B$8),100%)</f>
        <v>0.981</v>
      </c>
      <c r="BK94" s="26" cm="1">
        <f t="array" ref="BK94">IF(VLOOKUP($R94,武学奇术!$A:$ZZ,23,FALSE)=1,100%,MIN(80%,$B$9+VLOOKUP($R94,武学奇术!$A:$ZZ,17,FALSE)+SUM(_xlfn.XLOOKUP(S94:AG94,增益!$A:$A,增益!$Q:$Q,0)))+$B$11+SUM(_xlfn.XLOOKUP(S94:AG94,增益!$A:$A,增益!$U:$U,0)))*IF(VLOOKUP($R94,武学奇术!$A:$ZZ,24,FALSE)=1,0,1)</f>
        <v>0.846</v>
      </c>
      <c r="BL94" s="26" cm="1">
        <f t="array" ref="BL94">1+$B$13+VLOOKUP($R94,武学奇术!$A:$ZZ,18,FALSE)+SUM(_xlfn.XLOOKUP(S94:AG94,增益!$A:$A,增益!$R:$R,0))</f>
        <v>2.06</v>
      </c>
      <c r="BM94" s="26" cm="1">
        <f t="array" ref="BM94">IF(VLOOKUP($R94,武学奇术!$A:$ZZ,24,FALSE)=1,100%,MIN(40%,$B$10+VLOOKUP($R94,武学奇术!$A:$ZZ,19,FALSE)+SUM(_xlfn.XLOOKUP(S94:AG94,增益!$A:$A,增益!$S:$S,0)))+$B$12+SUM(_xlfn.XLOOKUP(S94:AG94,增益!$A:$A,增益!$V:$V,0)))*IF(VLOOKUP($R94,武学奇术!$A:$ZZ,23,FALSE)=1,0,1)</f>
        <v>0.0929</v>
      </c>
      <c r="BN94" s="26" cm="1">
        <f t="array" ref="BN94">1+$B$14+VLOOKUP($R94,武学奇术!$A:$ZZ,20,FALSE)+SUM(_xlfn.XLOOKUP(S94:AG94,增益!$A:$A,增益!$T:$T,0))</f>
        <v>1.35</v>
      </c>
      <c r="BO94" s="26">
        <f t="shared" si="23"/>
        <v>0.829926</v>
      </c>
      <c r="BP94" s="26">
        <f t="shared" si="33"/>
        <v>0.0599391</v>
      </c>
      <c r="BQ94" s="26">
        <f>IF(VLOOKUP($R94,武学奇术!$A:$ZZ,22,FALSE)=1,0,(1-$BJ94))*(1-$BM94)</f>
        <v>0.0172349</v>
      </c>
      <c r="BR94" s="26" cm="1">
        <f t="array" ref="BR94">SUM(_xlfn.XLOOKUP(S94:AG94,增益!$A:$A,增益!$W:$W,0))+$I$5</f>
        <v>0.11</v>
      </c>
    </row>
    <row r="95" spans="1:70">
      <c r="A95" s="4" t="s">
        <v>161</v>
      </c>
      <c r="B95" s="4">
        <v>1</v>
      </c>
      <c r="D95" s="39"/>
      <c r="E95" s="94"/>
      <c r="F95" s="39"/>
      <c r="K95">
        <f>$L95*VLOOKUP($R95,武学奇术!$A:$ZZ,31,FALSE)</f>
        <v>210767.371388286</v>
      </c>
      <c r="L95" s="38">
        <f t="shared" si="51"/>
        <v>200730.829893606</v>
      </c>
      <c r="M95" s="38">
        <f>((($AO95+$AP95)/2*$AI95+$AJ95)*(1+$AQ95)*(1+$AR95)+(($AT95+$AU95)/2*IF($G$1="鸣金",$AK95,$AI95)+IF($G$1="鸣金",$AL95*1.5,0))*(1+$AV95)*(1+$AW95)+(($AX95+$AY95)/2*IF($G$1="裂石",$AK95,$AI95)+IF($G$1="裂石",$AL95*1.5,0))*(1+$AZ95)*(1+$BA95)+(($BB95+$BC95)/2*IF($G$1="牵丝",$AK95,$AI95)+IF($G$1="牵丝",$AL95*1.5,0))*(1+$BD95)*(1+$BE95)+(($BF95+$BG95)/2*IF($G$1="破竹",$AK95,$AI95)+IF($G$1="破竹",$AL95*1.5,0))*(1+$BH95)*(1+$BI95))*(1+$AM95)*$BL95*$Q95*(1+IF(VLOOKUP($R95,武学奇术!$A:$ZZ,30,FALSE)="回旋伞",$B$21,0))*(1+$BR95)</f>
        <v>200730.829893606</v>
      </c>
      <c r="N95" s="38">
        <f>(($AP95*$AI95+$AJ95)*(1+$AQ95)*(1+$AR95)+($AU95*IF($G$1="鸣金",$AK95,$AI95)+IF($G$1="鸣金",$AL95*1.5,0))*(1+$AV95)*(1+$AW95)+($AY95*IF($G$1="裂石",$AK95,$AI95)+IF($G$1="裂石",$AL95*1.5,0))*(1+$AZ95)*(1+$BA95)+($BC95*IF($G$1="牵丝",$AK95,$AI95)+IF($G$1="牵丝",$AL95*1.5,0))*(1+$BD95)*(1+$BE95)+($BG95*IF($G$1="破竹",$AK95,$AI95)+IF($G$1="破竹",$AL95*1.5,0))*(1+$BH95)*(1+$BI95))*(1+$AM95)*$BN95*$Q95*(1+IF(VLOOKUP($R95,武学奇术!$A:$ZZ,30,FALSE)="回旋伞",$B$21,0))*(1+$BR95)</f>
        <v>147519.520940622</v>
      </c>
      <c r="O95" s="38">
        <f>((($AO95+$AP95)/2*$AI95+$AJ95)*(1+$AQ95)*(1+$AR95)+(($AT95+$AU95)/2*IF($G$1="鸣金",$AK95,$AI95)+IF($G$1="鸣金",$AL95*1.5,0))*(1+$AV95)*(1+$AW95)+(($AX95+$AY95)/2*IF($G$1="裂石",$AK95,$AI95)+IF($G$1="裂石",$AL95*1.5,0))*(1+$AZ95)*(1+$BA95)+(($BB95+$BC95)/2*IF($G$1="牵丝",$AK95,$AI95)+IF($G$1="牵丝",$AL95*1.5,0))*(1+$BD95)*(1+$BE95)+(($BF95+$BG95)/2*IF($G$1="破竹",$AK95,$AI95)+IF($G$1="破竹",$AL95*1.5,0))*(1+$BH95)*(1+$BI95))*(1+$AM95)*$Q95*(1+IF(VLOOKUP($R95,武学奇术!$A:$ZZ,30,FALSE)="回旋伞",$B$21,0))*(1+$BR95)</f>
        <v>97442.1504337893</v>
      </c>
      <c r="P95" s="38">
        <f>((($AO95*$AI95+$AJ95)*(1+$AQ95)*(1+$AR95)+($AT95*IF($G$1="鸣金",$AK95,$AI95)+IF($G$1="鸣金",$AL95*1.5,0))*(1+$AV95)*(1+$AW95)+($AX95*IF($G$1="裂石",$AK95,$AI95)+IF($G$1="裂石",$AL95*1.5,0))*(1+$AZ95)*(1+$BA95)+($BB95*IF($G$1="牵丝",$AK95,$AI95)+IF($G$1="牵丝",$AL95*1.5,0))*(1+$BD95)*(1+$BE95)+($BF95*IF($G$1="破竹",$AK95,$AI95)+IF($G$1="破竹",$AL95*1.5,0))*(1+$BH95)*(1+$BI95))*(1+$AM95))*$Q95*(1+IF(VLOOKUP($R95,武学奇术!$A:$ZZ,30,FALSE)="回旋伞",$B$21,0))*(1+$BR95)</f>
        <v>85610.5816523032</v>
      </c>
      <c r="Q95" s="39">
        <v>2</v>
      </c>
      <c r="R95" s="40" t="s">
        <v>125</v>
      </c>
      <c r="S95" s="40" t="s">
        <v>109</v>
      </c>
      <c r="T95" s="40" t="s">
        <v>95</v>
      </c>
      <c r="U95" s="40" t="s">
        <v>73</v>
      </c>
      <c r="V95" s="40" t="s">
        <v>81</v>
      </c>
      <c r="W95" s="40" t="s">
        <v>172</v>
      </c>
      <c r="X95" s="40" t="s">
        <v>99</v>
      </c>
      <c r="Y95" s="40" t="s">
        <v>84</v>
      </c>
      <c r="Z95" s="40" t="s">
        <v>72</v>
      </c>
      <c r="AA95" s="40" t="s">
        <v>72</v>
      </c>
      <c r="AB95" s="40" t="s">
        <v>126</v>
      </c>
      <c r="AC95" s="40" t="s">
        <v>85</v>
      </c>
      <c r="AD95" s="40" t="s">
        <v>72</v>
      </c>
      <c r="AE95" s="40" t="s">
        <v>72</v>
      </c>
      <c r="AF95" s="40" t="s">
        <v>77</v>
      </c>
      <c r="AG95" s="40" t="s">
        <v>78</v>
      </c>
      <c r="AH95" t="str">
        <f>VLOOKUP($R95,武学奇术!$A:$ZZ,25,FALSE)</f>
        <v>伞</v>
      </c>
      <c r="AI95" s="26">
        <f>VLOOKUP($R95,武学奇术!$A:$ZZ,26,FALSE)</f>
        <v>1.8084</v>
      </c>
      <c r="AJ95" s="27">
        <f>VLOOKUP($R95,武学奇术!$A:$ZZ,27,FALSE)*(1+IF(OR($AH95=$F$4,$AH95=$F$5),$B$22,0))</f>
        <v>750</v>
      </c>
      <c r="AK95" s="26">
        <f>VLOOKUP($R95,武学奇术!$A:$ZZ,28,FALSE)</f>
        <v>2.7126</v>
      </c>
      <c r="AL95" s="27">
        <f>VLOOKUP($R95,武学奇术!$A:$ZZ,29,FALSE)*(1+IF(OR($AH95=$F$4,$AH95=$F$5),$B$22,0))</f>
        <v>408</v>
      </c>
      <c r="AM95" s="26" cm="1">
        <f t="array" ref="AM95">$G$3+IFERROR(VLOOKUP($AH95,$F$4:$G$7,2,FALSE),0)+VLOOKUP($R95,武学奇术!$A:$ZZ,2,FALSE)+SUM(_xlfn.XLOOKUP($S95:$AG95,增益!$A:$A,增益!$B:$B,0))</f>
        <v>1.0541</v>
      </c>
      <c r="AN95" s="26" cm="1">
        <f t="array" ref="AN95">VLOOKUP($R95,武学奇术!$A:$ZZ,5,FALSE)+SUM(_xlfn.XLOOKUP($S95:$AG95,增益!$A:$A,增益!$E:$E,0))</f>
        <v>0</v>
      </c>
      <c r="AO95" cm="1">
        <f t="array" ref="AO95">$D$10*(1+$AN95)+VLOOKUP($R95,武学奇术!$A:$ZZ,3,FALSE)+SUM(_xlfn.XLOOKUP($S95:$AG95,增益!$A:$A,增益!$C:$C,0))-$I$2</f>
        <v>3624.6</v>
      </c>
      <c r="AP95" cm="1">
        <f t="array" ref="AP95">$E$10*(1+$AN95)+VLOOKUP($R95,武学奇术!$A:$ZZ,4,FALSE)+SUM(_xlfn.XLOOKUP($S95:$AG95,增益!$A:$A,增益!$D:$D,0))-$I$2</f>
        <v>3624.6</v>
      </c>
      <c r="AQ95" s="32" cm="1">
        <f t="array" ref="AQ95">IF($F$10-$I$3+VLOOKUP($R95,武学奇术!$A:$ZZ,6,FALSE)+SUM(_xlfn.XLOOKUP(S95:AG95,增益!$A:$A,增益!$F:$F,0))&gt;0,($F$10-$I$3+VLOOKUP($R95,武学奇术!$A:$ZZ,6,FALSE)+SUM(_xlfn.XLOOKUP(S95:AG95,增益!$A:$A,增益!$F:$F,0)))/200,($F$10-$I$3+VLOOKUP($R95,武学奇术!$A:$ZZ,6,FALSE)+SUM(_xlfn.XLOOKUP(S95:AG95,增益!$A:$A,增益!$F:$F,0)))/100)</f>
        <v>0.3425</v>
      </c>
      <c r="AR95" s="32" cm="1">
        <f t="array" ref="AR95">$G$10+VLOOKUP($R95,武学奇术!$A:$ZZ,7,FALSE)+SUM(_xlfn.XLOOKUP(S95:AG95,增益!$A:$A,增益!$G:$G,0))</f>
        <v>0.148</v>
      </c>
      <c r="AS95" s="26" cm="1">
        <f t="array" ref="AS95">VLOOKUP($R95,武学奇术!$A:$ZZ,8,FALSE)+SUM(_xlfn.XLOOKUP(S95:AG95,增益!$A:$A,增益!$H:$H,0))</f>
        <v>0</v>
      </c>
      <c r="AT95">
        <f t="shared" si="43"/>
        <v>0</v>
      </c>
      <c r="AU95">
        <f t="shared" si="44"/>
        <v>0</v>
      </c>
      <c r="AV95" s="32" cm="1">
        <f t="array" ref="AV95">IF($F$11-$I$4+VLOOKUP($R95,武学奇术!$A:$ZZ,9,FALSE)+SUM(_xlfn.XLOOKUP(S95:AG95,增益!$A:$A,增益!$I:$I,0))&gt;0,($F$11-$I$4+VLOOKUP($R95,武学奇术!$A:$ZZ,9,FALSE)+SUM(_xlfn.XLOOKUP(S95:AG95,增益!$A:$A,增益!$I:$I,0)))/200,($F$11-$I$4+VLOOKUP($R95,武学奇术!$A:$ZZ,9,FALSE)+SUM(_xlfn.XLOOKUP(S95:AG95,增益!$A:$A,增益!$I:$I,0)))/100)</f>
        <v>-0.14</v>
      </c>
      <c r="AW95" s="32" cm="1">
        <f t="array" ref="AW95">$G$11+VLOOKUP($R95,武学奇术!$A:$ZZ,10,FALSE)+SUM(_xlfn.XLOOKUP(S95:AG95,增益!$A:$A,增益!$J:$J,0))</f>
        <v>0</v>
      </c>
      <c r="AX95">
        <f t="shared" si="45"/>
        <v>0</v>
      </c>
      <c r="AY95">
        <f t="shared" si="46"/>
        <v>0</v>
      </c>
      <c r="AZ95" s="32" cm="1">
        <f t="array" ref="AZ95">IF($F$12-$I$4+VLOOKUP($R95,武学奇术!$A:$ZZ,11,FALSE)+SUM(_xlfn.XLOOKUP(S95:AG95,增益!$A:$A,增益!$K:$K,0))&gt;0,($F$12-$I$4+VLOOKUP($R95,武学奇术!$A:$ZZ,11,FALSE)+SUM(_xlfn.XLOOKUP(S95:AG95,增益!$A:$A,增益!$K:$K,0)))/200,($F$12-$I$4+VLOOKUP($R95,武学奇术!$A:$ZZ,11,FALSE)+SUM(_xlfn.XLOOKUP(S95:AG95,增益!$A:$A,增益!$K:$K,0)))/100)</f>
        <v>-0.14</v>
      </c>
      <c r="BA95" s="32" cm="1">
        <f t="array" ref="BA95">$G$12+VLOOKUP($R95,武学奇术!$A:$ZZ,12,FALSE)+SUM(_xlfn.XLOOKUP(S95:AG95,增益!$A:$A,增益!$L:$L,0))</f>
        <v>0</v>
      </c>
      <c r="BB95">
        <f t="shared" si="47"/>
        <v>0</v>
      </c>
      <c r="BC95">
        <f t="shared" si="48"/>
        <v>0</v>
      </c>
      <c r="BD95" s="32" cm="1">
        <f t="array" ref="BD95">IF($F$13-$I$4+VLOOKUP($R95,武学奇术!$A:$ZZ,13,FALSE)+SUM(_xlfn.XLOOKUP(S95:AG95,增益!$A:$A,增益!$M:$M,0))&gt;0,($F$13-$I$4+VLOOKUP($R95,武学奇术!$A:$ZZ,13,FALSE)+SUM(_xlfn.XLOOKUP(S95:AG95,增益!$A:$A,增益!$K:$K,0)))/200,($F$13-$I$4+VLOOKUP($R95,武学奇术!$A:$ZZ,13,FALSE)+SUM(_xlfn.XLOOKUP(S95:AG95,增益!$A:$A,增益!$M:$M,0)))/100)</f>
        <v>-0.14</v>
      </c>
      <c r="BE95" s="32" cm="1">
        <f t="array" ref="BE95">$G$13+VLOOKUP($R95,武学奇术!$A:$ZZ,14,FALSE)+SUM(_xlfn.XLOOKUP(S95:AG95,增益!$A:$A,增益!$N:$N,0))</f>
        <v>0</v>
      </c>
      <c r="BF95">
        <f t="shared" si="49"/>
        <v>571.2</v>
      </c>
      <c r="BG95">
        <f t="shared" si="50"/>
        <v>1627.8</v>
      </c>
      <c r="BH95" s="32" cm="1">
        <f t="array" ref="BH95">IF($F$14-$I$4+VLOOKUP($R95,武学奇术!$A:$ZZ,15,FALSE)+SUM(_xlfn.XLOOKUP(S95:AG95,增益!$A:$A,增益!$O:$O,0))&gt;0,($F$14-$I$4+VLOOKUP($R95,武学奇术!$A:$ZZ,15,FALSE)+SUM(_xlfn.XLOOKUP(S95:AG95,增益!$A:$A,增益!$O:$O,0)))/200,($F$14-$I$4+VLOOKUP($R95,武学奇术!$A:$ZZ,15,FALSE)+SUM(_xlfn.XLOOKUP(S95:AG95,增益!$A:$A,增益!$O:$O,0)))/100)</f>
        <v>0.08</v>
      </c>
      <c r="BI95" s="32" cm="1">
        <f t="array" ref="BI95">$G$14+VLOOKUP($R95,武学奇术!$A:$ZZ,16,FALSE)+SUM(_xlfn.XLOOKUP(S95:AG95,增益!$A:$A,增益!$P:$P,0))</f>
        <v>0.27</v>
      </c>
      <c r="BJ95" s="26">
        <f>MIN(IF(VLOOKUP($R95,武学奇术!$A:$ZZ,23,FALSE)=1,100%,$B$8),100%)</f>
        <v>1</v>
      </c>
      <c r="BK95" s="26" cm="1">
        <f t="array" ref="BK95">IF(VLOOKUP($R95,武学奇术!$A:$ZZ,23,FALSE)=1,100%,MIN(80%,$B$9+VLOOKUP($R95,武学奇术!$A:$ZZ,17,FALSE)+SUM(_xlfn.XLOOKUP(S95:AG95,增益!$A:$A,增益!$Q:$Q,0)))+$B$11+SUM(_xlfn.XLOOKUP(S95:AG95,增益!$A:$A,增益!$U:$U,0)))*IF(VLOOKUP($R95,武学奇术!$A:$ZZ,24,FALSE)=1,0,1)</f>
        <v>1</v>
      </c>
      <c r="BL95" s="26" cm="1">
        <f t="array" ref="BL95">1+$B$13+VLOOKUP($R95,武学奇术!$A:$ZZ,18,FALSE)+SUM(_xlfn.XLOOKUP(S95:AG95,增益!$A:$A,增益!$R:$R,0))</f>
        <v>2.06</v>
      </c>
      <c r="BM95" s="26" cm="1">
        <f t="array" ref="BM95">IF(VLOOKUP($R95,武学奇术!$A:$ZZ,24,FALSE)=1,100%,MIN(40%,$B$10+VLOOKUP($R95,武学奇术!$A:$ZZ,19,FALSE)+SUM(_xlfn.XLOOKUP(S95:AG95,增益!$A:$A,增益!$S:$S,0)))+$B$12+SUM(_xlfn.XLOOKUP(S95:AG95,增益!$A:$A,增益!$V:$V,0)))*IF(VLOOKUP($R95,武学奇术!$A:$ZZ,23,FALSE)=1,0,1)</f>
        <v>0</v>
      </c>
      <c r="BN95" s="26" cm="1">
        <f t="array" ref="BN95">1+$B$14+VLOOKUP($R95,武学奇术!$A:$ZZ,20,FALSE)+SUM(_xlfn.XLOOKUP(S95:AG95,增益!$A:$A,增益!$T:$T,0))</f>
        <v>1.35</v>
      </c>
      <c r="BO95" s="26">
        <f t="shared" si="23"/>
        <v>1</v>
      </c>
      <c r="BP95" s="26">
        <f t="shared" si="33"/>
        <v>0</v>
      </c>
      <c r="BQ95" s="26">
        <f>IF(VLOOKUP($R95,武学奇术!$A:$ZZ,22,FALSE)=1,0,(1-$BJ95))*(1-$BM95)</f>
        <v>0</v>
      </c>
      <c r="BR95" s="26" cm="1">
        <f t="array" ref="BR95">SUM(_xlfn.XLOOKUP(S95:AG95,增益!$A:$A,增益!$W:$W,0))+$I$5</f>
        <v>0.11</v>
      </c>
    </row>
    <row r="96" spans="1:70">
      <c r="A96" s="4" t="s">
        <v>164</v>
      </c>
      <c r="B96" s="4">
        <v>0.85</v>
      </c>
      <c r="D96" s="39"/>
      <c r="F96" s="39"/>
      <c r="K96">
        <f>$L96*VLOOKUP($R96,武学奇术!$A:$ZZ,31,FALSE)</f>
        <v>90827.5695240685</v>
      </c>
      <c r="L96" s="38">
        <f t="shared" si="51"/>
        <v>86502.4471657795</v>
      </c>
      <c r="M96" s="38">
        <f>((($AO96+$AP96)/2*$AI96+$AJ96)*(1+$AQ96)*(1+$AR96)+(($AT96+$AU96)/2*IF($G$1="鸣金",$AK96,$AI96)+IF($G$1="鸣金",$AL96*1.5,0))*(1+$AV96)*(1+$AW96)+(($AX96+$AY96)/2*IF($G$1="裂石",$AK96,$AI96)+IF($G$1="裂石",$AL96*1.5,0))*(1+$AZ96)*(1+$BA96)+(($BB96+$BC96)/2*IF($G$1="牵丝",$AK96,$AI96)+IF($G$1="牵丝",$AL96*1.5,0))*(1+$BD96)*(1+$BE96)+(($BF96+$BG96)/2*IF($G$1="破竹",$AK96,$AI96)+IF($G$1="破竹",$AL96*1.5,0))*(1+$BH96)*(1+$BI96))*(1+$AM96)*$BL96*$Q96*(1+IF(VLOOKUP($R96,武学奇术!$A:$ZZ,30,FALSE)="回旋伞",$B$21,0))*(1+$BR96)</f>
        <v>86502.4471657795</v>
      </c>
      <c r="N96" s="38">
        <f>(($AP96*$AI96+$AJ96)*(1+$AQ96)*(1+$AR96)+($AU96*IF($G$1="鸣金",$AK96,$AI96)+IF($G$1="鸣金",$AL96*1.5,0))*(1+$AV96)*(1+$AW96)+($AY96*IF($G$1="裂石",$AK96,$AI96)+IF($G$1="裂石",$AL96*1.5,0))*(1+$AZ96)*(1+$BA96)+($BC96*IF($G$1="牵丝",$AK96,$AI96)+IF($G$1="牵丝",$AL96*1.5,0))*(1+$BD96)*(1+$BE96)+($BG96*IF($G$1="破竹",$AK96,$AI96)+IF($G$1="破竹",$AL96*1.5,0))*(1+$BH96)*(1+$BI96))*(1+$AM96)*$BN96*$Q96*(1+IF(VLOOKUP($R96,武学奇术!$A:$ZZ,30,FALSE)="回旋伞",$B$21,0))*(1+$BR96)</f>
        <v>64539.3747410191</v>
      </c>
      <c r="O96" s="38">
        <f>((($AO96+$AP96)/2*$AI96+$AJ96)*(1+$AQ96)*(1+$AR96)+(($AT96+$AU96)/2*IF($G$1="鸣金",$AK96,$AI96)+IF($G$1="鸣金",$AL96*1.5,0))*(1+$AV96)*(1+$AW96)+(($AX96+$AY96)/2*IF($G$1="裂石",$AK96,$AI96)+IF($G$1="裂石",$AL96*1.5,0))*(1+$AZ96)*(1+$BA96)+(($BB96+$BC96)/2*IF($G$1="牵丝",$AK96,$AI96)+IF($G$1="牵丝",$AL96*1.5,0))*(1+$BD96)*(1+$BE96)+(($BF96+$BG96)/2*IF($G$1="破竹",$AK96,$AI96)+IF($G$1="破竹",$AL96*1.5,0))*(1+$BH96)*(1+$BI96))*(1+$AM96)*$Q96*(1+IF(VLOOKUP($R96,武学奇术!$A:$ZZ,30,FALSE)="回旋伞",$B$21,0))*(1+$BR96)</f>
        <v>41991.4792066891</v>
      </c>
      <c r="P96" s="38">
        <f>((($AO96*$AI96+$AJ96)*(1+$AQ96)*(1+$AR96)+($AT96*IF($G$1="鸣金",$AK96,$AI96)+IF($G$1="鸣金",$AL96*1.5,0))*(1+$AV96)*(1+$AW96)+($AX96*IF($G$1="裂石",$AK96,$AI96)+IF($G$1="裂石",$AL96*1.5,0))*(1+$AZ96)*(1+$BA96)+($BB96*IF($G$1="牵丝",$AK96,$AI96)+IF($G$1="牵丝",$AL96*1.5,0))*(1+$BD96)*(1+$BE96)+($BF96*IF($G$1="破竹",$AK96,$AI96)+IF($G$1="破竹",$AL96*1.5,0))*(1+$BH96)*(1+$BI96))*(1+$AM96))*$Q96*(1+IF(VLOOKUP($R96,武学奇术!$A:$ZZ,30,FALSE)="回旋伞",$B$21,0))*(1+$BR96)</f>
        <v>36176.0141607715</v>
      </c>
      <c r="Q96" s="39">
        <v>3</v>
      </c>
      <c r="R96" s="40" t="s">
        <v>132</v>
      </c>
      <c r="S96" s="40" t="s">
        <v>109</v>
      </c>
      <c r="T96" s="40" t="s">
        <v>95</v>
      </c>
      <c r="U96" s="40" t="s">
        <v>73</v>
      </c>
      <c r="V96" s="40" t="s">
        <v>81</v>
      </c>
      <c r="W96" s="40" t="s">
        <v>172</v>
      </c>
      <c r="X96" s="40" t="s">
        <v>99</v>
      </c>
      <c r="Y96" s="40" t="s">
        <v>84</v>
      </c>
      <c r="Z96" s="40" t="s">
        <v>72</v>
      </c>
      <c r="AA96" s="40" t="s">
        <v>72</v>
      </c>
      <c r="AB96" s="40" t="s">
        <v>126</v>
      </c>
      <c r="AC96" s="40" t="s">
        <v>85</v>
      </c>
      <c r="AD96" s="40" t="s">
        <v>72</v>
      </c>
      <c r="AE96" s="40" t="s">
        <v>72</v>
      </c>
      <c r="AF96" s="40" t="s">
        <v>77</v>
      </c>
      <c r="AG96" s="40" t="s">
        <v>78</v>
      </c>
      <c r="AH96" t="str">
        <f>VLOOKUP($R96,武学奇术!$A:$ZZ,25,FALSE)</f>
        <v>伞</v>
      </c>
      <c r="AI96" s="26">
        <f>VLOOKUP($R96,武学奇术!$A:$ZZ,26,FALSE)</f>
        <v>0.54</v>
      </c>
      <c r="AJ96" s="27">
        <f>VLOOKUP($R96,武学奇术!$A:$ZZ,27,FALSE)*(1+IF(OR($AH96=$F$4,$AH96=$F$5),$B$22,0))</f>
        <v>0</v>
      </c>
      <c r="AK96" s="26">
        <f>VLOOKUP($R96,武学奇术!$A:$ZZ,28,FALSE)</f>
        <v>0.81</v>
      </c>
      <c r="AL96" s="27">
        <f>VLOOKUP($R96,武学奇术!$A:$ZZ,29,FALSE)*(1+IF(OR($AH96=$F$4,$AH96=$F$5),$B$22,0))</f>
        <v>0</v>
      </c>
      <c r="AM96" s="26" cm="1">
        <f t="array" ref="AM96">$G$3+IFERROR(VLOOKUP($AH96,$F$4:$G$7,2,FALSE),0)+VLOOKUP($R96,武学奇术!$A:$ZZ,2,FALSE)+SUM(_xlfn.XLOOKUP($S96:$AG96,增益!$A:$A,增益!$B:$B,0))</f>
        <v>1.2541</v>
      </c>
      <c r="AN96" s="26" cm="1">
        <f t="array" ref="AN96">VLOOKUP($R96,武学奇术!$A:$ZZ,5,FALSE)+SUM(_xlfn.XLOOKUP($S96:$AG96,增益!$A:$A,增益!$E:$E,0))</f>
        <v>0</v>
      </c>
      <c r="AO96" cm="1">
        <f t="array" ref="AO96">$D$10*(1+$AN96)+VLOOKUP($R96,武学奇术!$A:$ZZ,3,FALSE)+SUM(_xlfn.XLOOKUP($S96:$AG96,增益!$A:$A,增益!$C:$C,0))-$I$2</f>
        <v>3624.6</v>
      </c>
      <c r="AP96" cm="1">
        <f t="array" ref="AP96">$E$10*(1+$AN96)+VLOOKUP($R96,武学奇术!$A:$ZZ,4,FALSE)+SUM(_xlfn.XLOOKUP($S96:$AG96,增益!$A:$A,增益!$D:$D,0))-$I$2</f>
        <v>3624.6</v>
      </c>
      <c r="AQ96" s="32" cm="1">
        <f t="array" ref="AQ96">IF($F$10-$I$3+VLOOKUP($R96,武学奇术!$A:$ZZ,6,FALSE)+SUM(_xlfn.XLOOKUP(S96:AG96,增益!$A:$A,增益!$F:$F,0))&gt;0,($F$10-$I$3+VLOOKUP($R96,武学奇术!$A:$ZZ,6,FALSE)+SUM(_xlfn.XLOOKUP(S96:AG96,增益!$A:$A,增益!$F:$F,0)))/200,($F$10-$I$3+VLOOKUP($R96,武学奇术!$A:$ZZ,6,FALSE)+SUM(_xlfn.XLOOKUP(S96:AG96,增益!$A:$A,增益!$F:$F,0)))/100)</f>
        <v>0.3425</v>
      </c>
      <c r="AR96" s="32" cm="1">
        <f t="array" ref="AR96">$G$10+VLOOKUP($R96,武学奇术!$A:$ZZ,7,FALSE)+SUM(_xlfn.XLOOKUP(S96:AG96,增益!$A:$A,增益!$G:$G,0))</f>
        <v>0.148</v>
      </c>
      <c r="AS96" s="26" cm="1">
        <f t="array" ref="AS96">VLOOKUP($R96,武学奇术!$A:$ZZ,8,FALSE)+SUM(_xlfn.XLOOKUP(S96:AG96,增益!$A:$A,增益!$H:$H,0))</f>
        <v>0</v>
      </c>
      <c r="AT96">
        <f t="shared" si="43"/>
        <v>0</v>
      </c>
      <c r="AU96">
        <f t="shared" si="44"/>
        <v>0</v>
      </c>
      <c r="AV96" s="32" cm="1">
        <f t="array" ref="AV96">IF($F$11-$I$4+VLOOKUP($R96,武学奇术!$A:$ZZ,9,FALSE)+SUM(_xlfn.XLOOKUP(S96:AG96,增益!$A:$A,增益!$I:$I,0))&gt;0,($F$11-$I$4+VLOOKUP($R96,武学奇术!$A:$ZZ,9,FALSE)+SUM(_xlfn.XLOOKUP(S96:AG96,增益!$A:$A,增益!$I:$I,0)))/200,($F$11-$I$4+VLOOKUP($R96,武学奇术!$A:$ZZ,9,FALSE)+SUM(_xlfn.XLOOKUP(S96:AG96,增益!$A:$A,增益!$I:$I,0)))/100)</f>
        <v>-0.14</v>
      </c>
      <c r="AW96" s="32" cm="1">
        <f t="array" ref="AW96">$G$11+VLOOKUP($R96,武学奇术!$A:$ZZ,10,FALSE)+SUM(_xlfn.XLOOKUP(S96:AG96,增益!$A:$A,增益!$J:$J,0))</f>
        <v>0</v>
      </c>
      <c r="AX96">
        <f t="shared" si="45"/>
        <v>0</v>
      </c>
      <c r="AY96">
        <f t="shared" si="46"/>
        <v>0</v>
      </c>
      <c r="AZ96" s="32" cm="1">
        <f t="array" ref="AZ96">IF($F$12-$I$4+VLOOKUP($R96,武学奇术!$A:$ZZ,11,FALSE)+SUM(_xlfn.XLOOKUP(S96:AG96,增益!$A:$A,增益!$K:$K,0))&gt;0,($F$12-$I$4+VLOOKUP($R96,武学奇术!$A:$ZZ,11,FALSE)+SUM(_xlfn.XLOOKUP(S96:AG96,增益!$A:$A,增益!$K:$K,0)))/200,($F$12-$I$4+VLOOKUP($R96,武学奇术!$A:$ZZ,11,FALSE)+SUM(_xlfn.XLOOKUP(S96:AG96,增益!$A:$A,增益!$K:$K,0)))/100)</f>
        <v>-0.14</v>
      </c>
      <c r="BA96" s="32" cm="1">
        <f t="array" ref="BA96">$G$12+VLOOKUP($R96,武学奇术!$A:$ZZ,12,FALSE)+SUM(_xlfn.XLOOKUP(S96:AG96,增益!$A:$A,增益!$L:$L,0))</f>
        <v>0</v>
      </c>
      <c r="BB96">
        <f t="shared" si="47"/>
        <v>0</v>
      </c>
      <c r="BC96">
        <f t="shared" si="48"/>
        <v>0</v>
      </c>
      <c r="BD96" s="32" cm="1">
        <f t="array" ref="BD96">IF($F$13-$I$4+VLOOKUP($R96,武学奇术!$A:$ZZ,13,FALSE)+SUM(_xlfn.XLOOKUP(S96:AG96,增益!$A:$A,增益!$M:$M,0))&gt;0,($F$13-$I$4+VLOOKUP($R96,武学奇术!$A:$ZZ,13,FALSE)+SUM(_xlfn.XLOOKUP(S96:AG96,增益!$A:$A,增益!$K:$K,0)))/200,($F$13-$I$4+VLOOKUP($R96,武学奇术!$A:$ZZ,13,FALSE)+SUM(_xlfn.XLOOKUP(S96:AG96,增益!$A:$A,增益!$M:$M,0)))/100)</f>
        <v>-0.14</v>
      </c>
      <c r="BE96" s="32" cm="1">
        <f t="array" ref="BE96">$G$13+VLOOKUP($R96,武学奇术!$A:$ZZ,14,FALSE)+SUM(_xlfn.XLOOKUP(S96:AG96,增益!$A:$A,增益!$N:$N,0))</f>
        <v>0</v>
      </c>
      <c r="BF96">
        <f t="shared" si="49"/>
        <v>571.2</v>
      </c>
      <c r="BG96">
        <f t="shared" si="50"/>
        <v>1627.8</v>
      </c>
      <c r="BH96" s="32" cm="1">
        <f t="array" ref="BH96">IF($F$14-$I$4+VLOOKUP($R96,武学奇术!$A:$ZZ,15,FALSE)+SUM(_xlfn.XLOOKUP(S96:AG96,增益!$A:$A,增益!$O:$O,0))&gt;0,($F$14-$I$4+VLOOKUP($R96,武学奇术!$A:$ZZ,15,FALSE)+SUM(_xlfn.XLOOKUP(S96:AG96,增益!$A:$A,增益!$O:$O,0)))/200,($F$14-$I$4+VLOOKUP($R96,武学奇术!$A:$ZZ,15,FALSE)+SUM(_xlfn.XLOOKUP(S96:AG96,增益!$A:$A,增益!$O:$O,0)))/100)</f>
        <v>0.08</v>
      </c>
      <c r="BI96" s="32" cm="1">
        <f t="array" ref="BI96">$G$14+VLOOKUP($R96,武学奇术!$A:$ZZ,16,FALSE)+SUM(_xlfn.XLOOKUP(S96:AG96,增益!$A:$A,增益!$P:$P,0))</f>
        <v>0.27</v>
      </c>
      <c r="BJ96" s="26">
        <f>MIN(IF(VLOOKUP($R96,武学奇术!$A:$ZZ,23,FALSE)=1,100%,$B$8),100%)</f>
        <v>1</v>
      </c>
      <c r="BK96" s="26" cm="1">
        <f t="array" ref="BK96">IF(VLOOKUP($R96,武学奇术!$A:$ZZ,23,FALSE)=1,100%,MIN(80%,$B$9+VLOOKUP($R96,武学奇术!$A:$ZZ,17,FALSE)+SUM(_xlfn.XLOOKUP(S96:AG96,增益!$A:$A,增益!$Q:$Q,0)))+$B$11+SUM(_xlfn.XLOOKUP(S96:AG96,增益!$A:$A,增益!$U:$U,0)))*IF(VLOOKUP($R96,武学奇术!$A:$ZZ,24,FALSE)=1,0,1)</f>
        <v>1</v>
      </c>
      <c r="BL96" s="26" cm="1">
        <f t="array" ref="BL96">1+$B$13+VLOOKUP($R96,武学奇术!$A:$ZZ,18,FALSE)+SUM(_xlfn.XLOOKUP(S96:AG96,增益!$A:$A,增益!$R:$R,0))</f>
        <v>2.06</v>
      </c>
      <c r="BM96" s="26" cm="1">
        <f t="array" ref="BM96">IF(VLOOKUP($R96,武学奇术!$A:$ZZ,24,FALSE)=1,100%,MIN(40%,$B$10+VLOOKUP($R96,武学奇术!$A:$ZZ,19,FALSE)+SUM(_xlfn.XLOOKUP(S96:AG96,增益!$A:$A,增益!$S:$S,0)))+$B$12+SUM(_xlfn.XLOOKUP(S96:AG96,增益!$A:$A,增益!$V:$V,0)))*IF(VLOOKUP($R96,武学奇术!$A:$ZZ,23,FALSE)=1,0,1)</f>
        <v>0</v>
      </c>
      <c r="BN96" s="26" cm="1">
        <f t="array" ref="BN96">1+$B$14+VLOOKUP($R96,武学奇术!$A:$ZZ,20,FALSE)+SUM(_xlfn.XLOOKUP(S96:AG96,增益!$A:$A,增益!$T:$T,0))</f>
        <v>1.35</v>
      </c>
      <c r="BO96" s="26">
        <f t="shared" si="23"/>
        <v>1</v>
      </c>
      <c r="BP96" s="26">
        <f t="shared" si="33"/>
        <v>0</v>
      </c>
      <c r="BQ96" s="26">
        <f>IF(VLOOKUP($R96,武学奇术!$A:$ZZ,22,FALSE)=1,0,(1-$BJ96))*(1-$BM96)</f>
        <v>0</v>
      </c>
      <c r="BR96" s="26" cm="1">
        <f t="array" ref="BR96">SUM(_xlfn.XLOOKUP(S96:AG96,增益!$A:$A,增益!$W:$W,0))+$I$5</f>
        <v>0.11</v>
      </c>
    </row>
    <row r="97" spans="1:70">
      <c r="A97" s="4" t="s">
        <v>161</v>
      </c>
      <c r="B97" s="87">
        <v>1</v>
      </c>
      <c r="D97" s="39"/>
      <c r="F97" s="39"/>
      <c r="K97">
        <f>$L97*VLOOKUP($R97,武学奇术!$A:$ZZ,31,FALSE)</f>
        <v>177812.533455922</v>
      </c>
      <c r="L97" s="38">
        <f t="shared" si="51"/>
        <v>169345.26995802</v>
      </c>
      <c r="M97" s="38">
        <f>((($AO97+$AP97)/2*$AI97+$AJ97)*(1+$AQ97)*(1+$AR97)+(($AT97+$AU97)/2*IF($G$1="鸣金",$AK97,$AI97)+IF($G$1="鸣金",$AL97*1.5,0))*(1+$AV97)*(1+$AW97)+(($AX97+$AY97)/2*IF($G$1="裂石",$AK97,$AI97)+IF($G$1="裂石",$AL97*1.5,0))*(1+$AZ97)*(1+$BA97)+(($BB97+$BC97)/2*IF($G$1="牵丝",$AK97,$AI97)+IF($G$1="牵丝",$AL97*1.5,0))*(1+$BD97)*(1+$BE97)+(($BF97+$BG97)/2*IF($G$1="破竹",$AK97,$AI97)+IF($G$1="破竹",$AL97*1.5,0))*(1+$BH97)*(1+$BI97))*(1+$AM97)*$BL97*$Q97*(1+IF(VLOOKUP($R97,武学奇术!$A:$ZZ,30,FALSE)="回旋伞",$B$21,0))*(1+$BR97)</f>
        <v>181186.423107801</v>
      </c>
      <c r="N97" s="38">
        <f>(($AP97*$AI97+$AJ97)*(1+$AQ97)*(1+$AR97)+($AU97*IF($G$1="鸣金",$AK97,$AI97)+IF($G$1="鸣金",$AL97*1.5,0))*(1+$AV97)*(1+$AW97)+($AY97*IF($G$1="裂石",$AK97,$AI97)+IF($G$1="裂石",$AL97*1.5,0))*(1+$AZ97)*(1+$BA97)+($BC97*IF($G$1="牵丝",$AK97,$AI97)+IF($G$1="牵丝",$AL97*1.5,0))*(1+$BD97)*(1+$BE97)+($BG97*IF($G$1="破竹",$AK97,$AI97)+IF($G$1="破竹",$AL97*1.5,0))*(1+$BH97)*(1+$BI97))*(1+$AM97)*$BN97*$Q97*(1+IF(VLOOKUP($R97,武学奇术!$A:$ZZ,30,FALSE)="回旋伞",$B$21,0))*(1+$BR97)</f>
        <v>133156.099399254</v>
      </c>
      <c r="O97" s="38">
        <f>((($AO97+$AP97)/2*$AI97+$AJ97)*(1+$AQ97)*(1+$AR97)+(($AT97+$AU97)/2*IF($G$1="鸣金",$AK97,$AI97)+IF($G$1="鸣金",$AL97*1.5,0))*(1+$AV97)*(1+$AW97)+(($AX97+$AY97)/2*IF($G$1="裂石",$AK97,$AI97)+IF($G$1="裂石",$AL97*1.5,0))*(1+$AZ97)*(1+$BA97)+(($BB97+$BC97)/2*IF($G$1="牵丝",$AK97,$AI97)+IF($G$1="牵丝",$AL97*1.5,0))*(1+$BD97)*(1+$BE97)+(($BF97+$BG97)/2*IF($G$1="破竹",$AK97,$AI97)+IF($G$1="破竹",$AL97*1.5,0))*(1+$BH97)*(1+$BI97))*(1+$AM97)*$Q97*(1+IF(VLOOKUP($R97,武学奇术!$A:$ZZ,30,FALSE)="回旋伞",$B$21,0))*(1+$BR97)</f>
        <v>87954.5743241754</v>
      </c>
      <c r="P97" s="38">
        <f>((($AO97*$AI97+$AJ97)*(1+$AQ97)*(1+$AR97)+($AT97*IF($G$1="鸣金",$AK97,$AI97)+IF($G$1="鸣金",$AL97*1.5,0))*(1+$AV97)*(1+$AW97)+($AX97*IF($G$1="裂石",$AK97,$AI97)+IF($G$1="裂石",$AL97*1.5,0))*(1+$AZ97)*(1+$BA97)+($BB97*IF($G$1="牵丝",$AK97,$AI97)+IF($G$1="牵丝",$AL97*1.5,0))*(1+$BD97)*(1+$BE97)+($BF97*IF($G$1="破竹",$AK97,$AI97)+IF($G$1="破竹",$AL97*1.5,0))*(1+$BH97)*(1+$BI97))*(1+$AM97))*$Q97*(1+IF(VLOOKUP($R97,武学奇术!$A:$ZZ,30,FALSE)="回旋伞",$B$21,0))*(1+$BR97)</f>
        <v>77275.0009452</v>
      </c>
      <c r="Q97" s="39">
        <v>2</v>
      </c>
      <c r="R97" s="40" t="s">
        <v>108</v>
      </c>
      <c r="S97" s="40" t="s">
        <v>109</v>
      </c>
      <c r="T97" s="40" t="s">
        <v>95</v>
      </c>
      <c r="U97" s="40" t="s">
        <v>73</v>
      </c>
      <c r="V97" s="40" t="s">
        <v>81</v>
      </c>
      <c r="W97" s="40" t="s">
        <v>172</v>
      </c>
      <c r="X97" s="40" t="s">
        <v>99</v>
      </c>
      <c r="Y97" s="40" t="s">
        <v>84</v>
      </c>
      <c r="Z97" s="40" t="s">
        <v>72</v>
      </c>
      <c r="AA97" s="40" t="s">
        <v>72</v>
      </c>
      <c r="AB97" s="40" t="s">
        <v>126</v>
      </c>
      <c r="AC97" s="40" t="s">
        <v>85</v>
      </c>
      <c r="AD97" s="40" t="s">
        <v>72</v>
      </c>
      <c r="AE97" s="40" t="s">
        <v>72</v>
      </c>
      <c r="AF97" s="40" t="s">
        <v>77</v>
      </c>
      <c r="AG97" s="40" t="s">
        <v>78</v>
      </c>
      <c r="AH97" t="str">
        <f>VLOOKUP($R97,武学奇术!$A:$ZZ,25,FALSE)</f>
        <v>伞</v>
      </c>
      <c r="AI97" s="26">
        <f>VLOOKUP($R97,武学奇术!$A:$ZZ,26,FALSE)</f>
        <v>1.8084</v>
      </c>
      <c r="AJ97" s="27">
        <f>VLOOKUP($R97,武学奇术!$A:$ZZ,27,FALSE)*(1+IF(OR($AH97=$F$4,$AH97=$F$5),$B$22,0))</f>
        <v>750</v>
      </c>
      <c r="AK97" s="26">
        <f>VLOOKUP($R97,武学奇术!$A:$ZZ,28,FALSE)</f>
        <v>2.7126</v>
      </c>
      <c r="AL97" s="27">
        <f>VLOOKUP($R97,武学奇术!$A:$ZZ,29,FALSE)*(1+IF(OR($AH97=$F$4,$AH97=$F$5),$B$22,0))</f>
        <v>408</v>
      </c>
      <c r="AM97" s="26" cm="1">
        <f t="array" ref="AM97">$G$3+IFERROR(VLOOKUP($AH97,$F$4:$G$7,2,FALSE),0)+VLOOKUP($R97,武学奇术!$A:$ZZ,2,FALSE)+SUM(_xlfn.XLOOKUP($S97:$AG97,增益!$A:$A,增益!$B:$B,0))</f>
        <v>0.8541</v>
      </c>
      <c r="AN97" s="26" cm="1">
        <f t="array" ref="AN97">VLOOKUP($R97,武学奇术!$A:$ZZ,5,FALSE)+SUM(_xlfn.XLOOKUP($S97:$AG97,增益!$A:$A,增益!$E:$E,0))</f>
        <v>0</v>
      </c>
      <c r="AO97" cm="1">
        <f t="array" ref="AO97">$D$10*(1+$AN97)+VLOOKUP($R97,武学奇术!$A:$ZZ,3,FALSE)+SUM(_xlfn.XLOOKUP($S97:$AG97,增益!$A:$A,增益!$C:$C,0))-$I$2</f>
        <v>3624.6</v>
      </c>
      <c r="AP97" cm="1">
        <f t="array" ref="AP97">$E$10*(1+$AN97)+VLOOKUP($R97,武学奇术!$A:$ZZ,4,FALSE)+SUM(_xlfn.XLOOKUP($S97:$AG97,增益!$A:$A,增益!$D:$D,0))-$I$2</f>
        <v>3624.6</v>
      </c>
      <c r="AQ97" s="32" cm="1">
        <f t="array" ref="AQ97">IF($F$10-$I$3+VLOOKUP($R97,武学奇术!$A:$ZZ,6,FALSE)+SUM(_xlfn.XLOOKUP(S97:AG97,增益!$A:$A,增益!$F:$F,0))&gt;0,($F$10-$I$3+VLOOKUP($R97,武学奇术!$A:$ZZ,6,FALSE)+SUM(_xlfn.XLOOKUP(S97:AG97,增益!$A:$A,增益!$F:$F,0)))/200,($F$10-$I$3+VLOOKUP($R97,武学奇术!$A:$ZZ,6,FALSE)+SUM(_xlfn.XLOOKUP(S97:AG97,增益!$A:$A,增益!$F:$F,0)))/100)</f>
        <v>0.3425</v>
      </c>
      <c r="AR97" s="32" cm="1">
        <f t="array" ref="AR97">$G$10+VLOOKUP($R97,武学奇术!$A:$ZZ,7,FALSE)+SUM(_xlfn.XLOOKUP(S97:AG97,增益!$A:$A,增益!$G:$G,0))</f>
        <v>0.148</v>
      </c>
      <c r="AS97" s="26" cm="1">
        <f t="array" ref="AS97">VLOOKUP($R97,武学奇术!$A:$ZZ,8,FALSE)+SUM(_xlfn.XLOOKUP(S97:AG97,增益!$A:$A,增益!$H:$H,0))</f>
        <v>0</v>
      </c>
      <c r="AT97">
        <f t="shared" si="43"/>
        <v>0</v>
      </c>
      <c r="AU97">
        <f t="shared" si="44"/>
        <v>0</v>
      </c>
      <c r="AV97" s="32" cm="1">
        <f t="array" ref="AV97">IF($F$11-$I$4+VLOOKUP($R97,武学奇术!$A:$ZZ,9,FALSE)+SUM(_xlfn.XLOOKUP(S97:AG97,增益!$A:$A,增益!$I:$I,0))&gt;0,($F$11-$I$4+VLOOKUP($R97,武学奇术!$A:$ZZ,9,FALSE)+SUM(_xlfn.XLOOKUP(S97:AG97,增益!$A:$A,增益!$I:$I,0)))/200,($F$11-$I$4+VLOOKUP($R97,武学奇术!$A:$ZZ,9,FALSE)+SUM(_xlfn.XLOOKUP(S97:AG97,增益!$A:$A,增益!$I:$I,0)))/100)</f>
        <v>-0.14</v>
      </c>
      <c r="AW97" s="32" cm="1">
        <f t="array" ref="AW97">$G$11+VLOOKUP($R97,武学奇术!$A:$ZZ,10,FALSE)+SUM(_xlfn.XLOOKUP(S97:AG97,增益!$A:$A,增益!$J:$J,0))</f>
        <v>0</v>
      </c>
      <c r="AX97">
        <f t="shared" si="45"/>
        <v>0</v>
      </c>
      <c r="AY97">
        <f t="shared" si="46"/>
        <v>0</v>
      </c>
      <c r="AZ97" s="32" cm="1">
        <f t="array" ref="AZ97">IF($F$12-$I$4+VLOOKUP($R97,武学奇术!$A:$ZZ,11,FALSE)+SUM(_xlfn.XLOOKUP(S97:AG97,增益!$A:$A,增益!$K:$K,0))&gt;0,($F$12-$I$4+VLOOKUP($R97,武学奇术!$A:$ZZ,11,FALSE)+SUM(_xlfn.XLOOKUP(S97:AG97,增益!$A:$A,增益!$K:$K,0)))/200,($F$12-$I$4+VLOOKUP($R97,武学奇术!$A:$ZZ,11,FALSE)+SUM(_xlfn.XLOOKUP(S97:AG97,增益!$A:$A,增益!$K:$K,0)))/100)</f>
        <v>-0.14</v>
      </c>
      <c r="BA97" s="32" cm="1">
        <f t="array" ref="BA97">$G$12+VLOOKUP($R97,武学奇术!$A:$ZZ,12,FALSE)+SUM(_xlfn.XLOOKUP(S97:AG97,增益!$A:$A,增益!$L:$L,0))</f>
        <v>0</v>
      </c>
      <c r="BB97">
        <f t="shared" si="47"/>
        <v>0</v>
      </c>
      <c r="BC97">
        <f t="shared" si="48"/>
        <v>0</v>
      </c>
      <c r="BD97" s="32" cm="1">
        <f t="array" ref="BD97">IF($F$13-$I$4+VLOOKUP($R97,武学奇术!$A:$ZZ,13,FALSE)+SUM(_xlfn.XLOOKUP(S97:AG97,增益!$A:$A,增益!$M:$M,0))&gt;0,($F$13-$I$4+VLOOKUP($R97,武学奇术!$A:$ZZ,13,FALSE)+SUM(_xlfn.XLOOKUP(S97:AG97,增益!$A:$A,增益!$K:$K,0)))/200,($F$13-$I$4+VLOOKUP($R97,武学奇术!$A:$ZZ,13,FALSE)+SUM(_xlfn.XLOOKUP(S97:AG97,增益!$A:$A,增益!$M:$M,0)))/100)</f>
        <v>-0.14</v>
      </c>
      <c r="BE97" s="32" cm="1">
        <f t="array" ref="BE97">$G$13+VLOOKUP($R97,武学奇术!$A:$ZZ,14,FALSE)+SUM(_xlfn.XLOOKUP(S97:AG97,增益!$A:$A,增益!$N:$N,0))</f>
        <v>0</v>
      </c>
      <c r="BF97">
        <f t="shared" si="49"/>
        <v>571.2</v>
      </c>
      <c r="BG97">
        <f t="shared" si="50"/>
        <v>1627.8</v>
      </c>
      <c r="BH97" s="32" cm="1">
        <f t="array" ref="BH97">IF($F$14-$I$4+VLOOKUP($R97,武学奇术!$A:$ZZ,15,FALSE)+SUM(_xlfn.XLOOKUP(S97:AG97,增益!$A:$A,增益!$O:$O,0))&gt;0,($F$14-$I$4+VLOOKUP($R97,武学奇术!$A:$ZZ,15,FALSE)+SUM(_xlfn.XLOOKUP(S97:AG97,增益!$A:$A,增益!$O:$O,0)))/200,($F$14-$I$4+VLOOKUP($R97,武学奇术!$A:$ZZ,15,FALSE)+SUM(_xlfn.XLOOKUP(S97:AG97,增益!$A:$A,增益!$O:$O,0)))/100)</f>
        <v>0.08</v>
      </c>
      <c r="BI97" s="32" cm="1">
        <f t="array" ref="BI97">$G$14+VLOOKUP($R97,武学奇术!$A:$ZZ,16,FALSE)+SUM(_xlfn.XLOOKUP(S97:AG97,增益!$A:$A,增益!$P:$P,0))</f>
        <v>0.27</v>
      </c>
      <c r="BJ97" s="26">
        <f>MIN(IF(VLOOKUP($R97,武学奇术!$A:$ZZ,23,FALSE)=1,100%,$B$8),100%)</f>
        <v>0.981</v>
      </c>
      <c r="BK97" s="26" cm="1">
        <f t="array" ref="BK97">IF(VLOOKUP($R97,武学奇术!$A:$ZZ,23,FALSE)=1,100%,MIN(80%,$B$9+VLOOKUP($R97,武学奇术!$A:$ZZ,17,FALSE)+SUM(_xlfn.XLOOKUP(S97:AG97,增益!$A:$A,增益!$Q:$Q,0)))+$B$11+SUM(_xlfn.XLOOKUP(S97:AG97,增益!$A:$A,增益!$U:$U,0)))*IF(VLOOKUP($R97,武学奇术!$A:$ZZ,24,FALSE)=1,0,1)</f>
        <v>0.846</v>
      </c>
      <c r="BL97" s="26" cm="1">
        <f t="array" ref="BL97">1+$B$13+VLOOKUP($R97,武学奇术!$A:$ZZ,18,FALSE)+SUM(_xlfn.XLOOKUP(S97:AG97,增益!$A:$A,增益!$R:$R,0))</f>
        <v>2.06</v>
      </c>
      <c r="BM97" s="26" cm="1">
        <f t="array" ref="BM97">IF(VLOOKUP($R97,武学奇术!$A:$ZZ,24,FALSE)=1,100%,MIN(40%,$B$10+VLOOKUP($R97,武学奇术!$A:$ZZ,19,FALSE)+SUM(_xlfn.XLOOKUP(S97:AG97,增益!$A:$A,增益!$S:$S,0)))+$B$12+SUM(_xlfn.XLOOKUP(S97:AG97,增益!$A:$A,增益!$V:$V,0)))*IF(VLOOKUP($R97,武学奇术!$A:$ZZ,23,FALSE)=1,0,1)</f>
        <v>0.0929</v>
      </c>
      <c r="BN97" s="26" cm="1">
        <f t="array" ref="BN97">1+$B$14+VLOOKUP($R97,武学奇术!$A:$ZZ,20,FALSE)+SUM(_xlfn.XLOOKUP(S97:AG97,增益!$A:$A,增益!$T:$T,0))</f>
        <v>1.35</v>
      </c>
      <c r="BO97" s="26">
        <f t="shared" si="23"/>
        <v>0.829926</v>
      </c>
      <c r="BP97" s="26">
        <f t="shared" si="33"/>
        <v>0.0599391</v>
      </c>
      <c r="BQ97" s="26">
        <f>IF(VLOOKUP($R97,武学奇术!$A:$ZZ,22,FALSE)=1,0,(1-$BJ97))*(1-$BM97)</f>
        <v>0.0172349</v>
      </c>
      <c r="BR97" s="26" cm="1">
        <f t="array" ref="BR97">SUM(_xlfn.XLOOKUP(S97:AG97,增益!$A:$A,增益!$W:$W,0))+$I$5</f>
        <v>0.11</v>
      </c>
    </row>
    <row r="98" spans="1:70">
      <c r="A98" s="4" t="s">
        <v>161</v>
      </c>
      <c r="B98" s="4">
        <v>1</v>
      </c>
      <c r="D98" s="39"/>
      <c r="F98" s="39"/>
      <c r="K98">
        <f>$L98*VLOOKUP($R98,武学奇术!$A:$ZZ,31,FALSE)</f>
        <v>103244.895478403</v>
      </c>
      <c r="L98" s="38">
        <f t="shared" si="51"/>
        <v>98328.4718841932</v>
      </c>
      <c r="M98" s="38">
        <f>((($AO98+$AP98)/2*$AI98+$AJ98)*(1+$AQ98)*(1+$AR98)+(($AT98+$AU98)/2*IF($G$1="鸣金",$AK98,$AI98)+IF($G$1="鸣金",$AL98*1.5,0))*(1+$AV98)*(1+$AW98)+(($AX98+$AY98)/2*IF($G$1="裂石",$AK98,$AI98)+IF($G$1="裂石",$AL98*1.5,0))*(1+$AZ98)*(1+$BA98)+(($BB98+$BC98)/2*IF($G$1="牵丝",$AK98,$AI98)+IF($G$1="牵丝",$AL98*1.5,0))*(1+$BD98)*(1+$BE98)+(($BF98+$BG98)/2*IF($G$1="破竹",$AK98,$AI98)+IF($G$1="破竹",$AL98*1.5,0))*(1+$BH98)*(1+$BI98))*(1+$AM98)*$BL98*$Q98*(1+IF(VLOOKUP($R98,武学奇术!$A:$ZZ,30,FALSE)="回旋伞",$B$21,0))*(1+$BR98)</f>
        <v>105103.102035241</v>
      </c>
      <c r="N98" s="38">
        <f>(($AP98*$AI98+$AJ98)*(1+$AQ98)*(1+$AR98)+($AU98*IF($G$1="鸣金",$AK98,$AI98)+IF($G$1="鸣金",$AL98*1.5,0))*(1+$AV98)*(1+$AW98)+($AY98*IF($G$1="裂石",$AK98,$AI98)+IF($G$1="裂石",$AL98*1.5,0))*(1+$AZ98)*(1+$BA98)+($BC98*IF($G$1="牵丝",$AK98,$AI98)+IF($G$1="牵丝",$AL98*1.5,0))*(1+$BD98)*(1+$BE98)+($BG98*IF($G$1="破竹",$AK98,$AI98)+IF($G$1="破竹",$AL98*1.5,0))*(1+$BH98)*(1+$BI98))*(1+$AM98)*$BN98*$Q98*(1+IF(VLOOKUP($R98,武学奇术!$A:$ZZ,30,FALSE)="回旋伞",$B$21,0))*(1+$BR98)</f>
        <v>78417.301601838</v>
      </c>
      <c r="O98" s="38">
        <f>((($AO98+$AP98)/2*$AI98+$AJ98)*(1+$AQ98)*(1+$AR98)+(($AT98+$AU98)/2*IF($G$1="鸣金",$AK98,$AI98)+IF($G$1="鸣金",$AL98*1.5,0))*(1+$AV98)*(1+$AW98)+(($AX98+$AY98)/2*IF($G$1="裂石",$AK98,$AI98)+IF($G$1="裂石",$AL98*1.5,0))*(1+$AZ98)*(1+$BA98)+(($BB98+$BC98)/2*IF($G$1="牵丝",$AK98,$AI98)+IF($G$1="牵丝",$AL98*1.5,0))*(1+$BD98)*(1+$BE98)+(($BF98+$BG98)/2*IF($G$1="破竹",$AK98,$AI98)+IF($G$1="破竹",$AL98*1.5,0))*(1+$BH98)*(1+$BI98))*(1+$AM98)*$Q98*(1+IF(VLOOKUP($R98,武学奇术!$A:$ZZ,30,FALSE)="回旋伞",$B$21,0))*(1+$BR98)</f>
        <v>51020.9233180782</v>
      </c>
      <c r="P98" s="38">
        <f>((($AO98*$AI98+$AJ98)*(1+$AQ98)*(1+$AR98)+($AT98*IF($G$1="鸣金",$AK98,$AI98)+IF($G$1="鸣金",$AL98*1.5,0))*(1+$AV98)*(1+$AW98)+($AX98*IF($G$1="裂石",$AK98,$AI98)+IF($G$1="裂石",$AL98*1.5,0))*(1+$AZ98)*(1+$BA98)+($BB98*IF($G$1="牵丝",$AK98,$AI98)+IF($G$1="牵丝",$AL98*1.5,0))*(1+$BD98)*(1+$BE98)+($BF98*IF($G$1="破竹",$AK98,$AI98)+IF($G$1="破竹",$AL98*1.5,0))*(1+$BH98)*(1+$BI98))*(1+$AM98))*$Q98*(1+IF(VLOOKUP($R98,武学奇术!$A:$ZZ,30,FALSE)="回旋伞",$B$21,0))*(1+$BR98)</f>
        <v>43954.9565607208</v>
      </c>
      <c r="Q98" s="39">
        <v>4</v>
      </c>
      <c r="R98" s="40" t="s">
        <v>112</v>
      </c>
      <c r="S98" s="40" t="s">
        <v>109</v>
      </c>
      <c r="T98" s="40" t="s">
        <v>95</v>
      </c>
      <c r="U98" s="40" t="s">
        <v>73</v>
      </c>
      <c r="V98" s="40" t="s">
        <v>81</v>
      </c>
      <c r="W98" s="40" t="s">
        <v>172</v>
      </c>
      <c r="X98" s="40" t="s">
        <v>99</v>
      </c>
      <c r="Y98" s="40" t="s">
        <v>84</v>
      </c>
      <c r="Z98" s="40" t="s">
        <v>72</v>
      </c>
      <c r="AA98" s="40" t="s">
        <v>72</v>
      </c>
      <c r="AB98" s="40" t="s">
        <v>126</v>
      </c>
      <c r="AC98" s="40" t="s">
        <v>85</v>
      </c>
      <c r="AD98" s="40" t="s">
        <v>72</v>
      </c>
      <c r="AE98" s="40" t="s">
        <v>72</v>
      </c>
      <c r="AF98" s="40" t="s">
        <v>77</v>
      </c>
      <c r="AG98" s="40" t="s">
        <v>78</v>
      </c>
      <c r="AH98" t="str">
        <f>VLOOKUP($R98,武学奇术!$A:$ZZ,25,FALSE)</f>
        <v>伞</v>
      </c>
      <c r="AI98" s="26">
        <f>VLOOKUP($R98,武学奇术!$A:$ZZ,26,FALSE)</f>
        <v>0.54</v>
      </c>
      <c r="AJ98" s="27">
        <f>VLOOKUP($R98,武学奇术!$A:$ZZ,27,FALSE)*(1+IF(OR($AH98=$F$4,$AH98=$F$5),$B$22,0))</f>
        <v>0</v>
      </c>
      <c r="AK98" s="26">
        <f>VLOOKUP($R98,武学奇术!$A:$ZZ,28,FALSE)</f>
        <v>0.81</v>
      </c>
      <c r="AL98" s="27">
        <f>VLOOKUP($R98,武学奇术!$A:$ZZ,29,FALSE)*(1+IF(OR($AH98=$F$4,$AH98=$F$5),$B$22,0))</f>
        <v>0</v>
      </c>
      <c r="AM98" s="26" cm="1">
        <f t="array" ref="AM98">$G$3+IFERROR(VLOOKUP($AH98,$F$4:$G$7,2,FALSE),0)+VLOOKUP($R98,武学奇术!$A:$ZZ,2,FALSE)+SUM(_xlfn.XLOOKUP($S98:$AG98,增益!$A:$A,增益!$B:$B,0))</f>
        <v>1.0541</v>
      </c>
      <c r="AN98" s="26" cm="1">
        <f t="array" ref="AN98">VLOOKUP($R98,武学奇术!$A:$ZZ,5,FALSE)+SUM(_xlfn.XLOOKUP($S98:$AG98,增益!$A:$A,增益!$E:$E,0))</f>
        <v>0</v>
      </c>
      <c r="AO98" cm="1">
        <f t="array" ref="AO98">$D$10*(1+$AN98)+VLOOKUP($R98,武学奇术!$A:$ZZ,3,FALSE)+SUM(_xlfn.XLOOKUP($S98:$AG98,增益!$A:$A,增益!$C:$C,0))-$I$2</f>
        <v>3624.6</v>
      </c>
      <c r="AP98" cm="1">
        <f t="array" ref="AP98">$E$10*(1+$AN98)+VLOOKUP($R98,武学奇术!$A:$ZZ,4,FALSE)+SUM(_xlfn.XLOOKUP($S98:$AG98,增益!$A:$A,增益!$D:$D,0))-$I$2</f>
        <v>3624.6</v>
      </c>
      <c r="AQ98" s="32" cm="1">
        <f t="array" ref="AQ98">IF($F$10-$I$3+VLOOKUP($R98,武学奇术!$A:$ZZ,6,FALSE)+SUM(_xlfn.XLOOKUP(S98:AG98,增益!$A:$A,增益!$F:$F,0))&gt;0,($F$10-$I$3+VLOOKUP($R98,武学奇术!$A:$ZZ,6,FALSE)+SUM(_xlfn.XLOOKUP(S98:AG98,增益!$A:$A,增益!$F:$F,0)))/200,($F$10-$I$3+VLOOKUP($R98,武学奇术!$A:$ZZ,6,FALSE)+SUM(_xlfn.XLOOKUP(S98:AG98,增益!$A:$A,增益!$F:$F,0)))/100)</f>
        <v>0.3425</v>
      </c>
      <c r="AR98" s="32" cm="1">
        <f t="array" ref="AR98">$G$10+VLOOKUP($R98,武学奇术!$A:$ZZ,7,FALSE)+SUM(_xlfn.XLOOKUP(S98:AG98,增益!$A:$A,增益!$G:$G,0))</f>
        <v>0.148</v>
      </c>
      <c r="AS98" s="26" cm="1">
        <f t="array" ref="AS98">VLOOKUP($R98,武学奇术!$A:$ZZ,8,FALSE)+SUM(_xlfn.XLOOKUP(S98:AG98,增益!$A:$A,增益!$H:$H,0))</f>
        <v>0</v>
      </c>
      <c r="AT98">
        <f t="shared" si="43"/>
        <v>0</v>
      </c>
      <c r="AU98">
        <f t="shared" si="44"/>
        <v>0</v>
      </c>
      <c r="AV98" s="32" cm="1">
        <f t="array" ref="AV98">IF($F$11-$I$4+VLOOKUP($R98,武学奇术!$A:$ZZ,9,FALSE)+SUM(_xlfn.XLOOKUP(S98:AG98,增益!$A:$A,增益!$I:$I,0))&gt;0,($F$11-$I$4+VLOOKUP($R98,武学奇术!$A:$ZZ,9,FALSE)+SUM(_xlfn.XLOOKUP(S98:AG98,增益!$A:$A,增益!$I:$I,0)))/200,($F$11-$I$4+VLOOKUP($R98,武学奇术!$A:$ZZ,9,FALSE)+SUM(_xlfn.XLOOKUP(S98:AG98,增益!$A:$A,增益!$I:$I,0)))/100)</f>
        <v>-0.14</v>
      </c>
      <c r="AW98" s="32" cm="1">
        <f t="array" ref="AW98">$G$11+VLOOKUP($R98,武学奇术!$A:$ZZ,10,FALSE)+SUM(_xlfn.XLOOKUP(S98:AG98,增益!$A:$A,增益!$J:$J,0))</f>
        <v>0</v>
      </c>
      <c r="AX98">
        <f t="shared" si="45"/>
        <v>0</v>
      </c>
      <c r="AY98">
        <f t="shared" si="46"/>
        <v>0</v>
      </c>
      <c r="AZ98" s="32" cm="1">
        <f t="array" ref="AZ98">IF($F$12-$I$4+VLOOKUP($R98,武学奇术!$A:$ZZ,11,FALSE)+SUM(_xlfn.XLOOKUP(S98:AG98,增益!$A:$A,增益!$K:$K,0))&gt;0,($F$12-$I$4+VLOOKUP($R98,武学奇术!$A:$ZZ,11,FALSE)+SUM(_xlfn.XLOOKUP(S98:AG98,增益!$A:$A,增益!$K:$K,0)))/200,($F$12-$I$4+VLOOKUP($R98,武学奇术!$A:$ZZ,11,FALSE)+SUM(_xlfn.XLOOKUP(S98:AG98,增益!$A:$A,增益!$K:$K,0)))/100)</f>
        <v>-0.14</v>
      </c>
      <c r="BA98" s="32" cm="1">
        <f t="array" ref="BA98">$G$12+VLOOKUP($R98,武学奇术!$A:$ZZ,12,FALSE)+SUM(_xlfn.XLOOKUP(S98:AG98,增益!$A:$A,增益!$L:$L,0))</f>
        <v>0</v>
      </c>
      <c r="BB98">
        <f t="shared" si="47"/>
        <v>0</v>
      </c>
      <c r="BC98">
        <f t="shared" si="48"/>
        <v>0</v>
      </c>
      <c r="BD98" s="32" cm="1">
        <f t="array" ref="BD98">IF($F$13-$I$4+VLOOKUP($R98,武学奇术!$A:$ZZ,13,FALSE)+SUM(_xlfn.XLOOKUP(S98:AG98,增益!$A:$A,增益!$M:$M,0))&gt;0,($F$13-$I$4+VLOOKUP($R98,武学奇术!$A:$ZZ,13,FALSE)+SUM(_xlfn.XLOOKUP(S98:AG98,增益!$A:$A,增益!$K:$K,0)))/200,($F$13-$I$4+VLOOKUP($R98,武学奇术!$A:$ZZ,13,FALSE)+SUM(_xlfn.XLOOKUP(S98:AG98,增益!$A:$A,增益!$M:$M,0)))/100)</f>
        <v>-0.14</v>
      </c>
      <c r="BE98" s="32" cm="1">
        <f t="array" ref="BE98">$G$13+VLOOKUP($R98,武学奇术!$A:$ZZ,14,FALSE)+SUM(_xlfn.XLOOKUP(S98:AG98,增益!$A:$A,增益!$N:$N,0))</f>
        <v>0</v>
      </c>
      <c r="BF98">
        <f t="shared" si="49"/>
        <v>571.2</v>
      </c>
      <c r="BG98">
        <f t="shared" si="50"/>
        <v>1627.8</v>
      </c>
      <c r="BH98" s="32" cm="1">
        <f t="array" ref="BH98">IF($F$14-$I$4+VLOOKUP($R98,武学奇术!$A:$ZZ,15,FALSE)+SUM(_xlfn.XLOOKUP(S98:AG98,增益!$A:$A,增益!$O:$O,0))&gt;0,($F$14-$I$4+VLOOKUP($R98,武学奇术!$A:$ZZ,15,FALSE)+SUM(_xlfn.XLOOKUP(S98:AG98,增益!$A:$A,增益!$O:$O,0)))/200,($F$14-$I$4+VLOOKUP($R98,武学奇术!$A:$ZZ,15,FALSE)+SUM(_xlfn.XLOOKUP(S98:AG98,增益!$A:$A,增益!$O:$O,0)))/100)</f>
        <v>0.08</v>
      </c>
      <c r="BI98" s="32" cm="1">
        <f t="array" ref="BI98">$G$14+VLOOKUP($R98,武学奇术!$A:$ZZ,16,FALSE)+SUM(_xlfn.XLOOKUP(S98:AG98,增益!$A:$A,增益!$P:$P,0))</f>
        <v>0.27</v>
      </c>
      <c r="BJ98" s="26">
        <f>MIN(IF(VLOOKUP($R98,武学奇术!$A:$ZZ,23,FALSE)=1,100%,$B$8),100%)</f>
        <v>0.981</v>
      </c>
      <c r="BK98" s="26" cm="1">
        <f t="array" ref="BK98">IF(VLOOKUP($R98,武学奇术!$A:$ZZ,23,FALSE)=1,100%,MIN(80%,$B$9+VLOOKUP($R98,武学奇术!$A:$ZZ,17,FALSE)+SUM(_xlfn.XLOOKUP(S98:AG98,增益!$A:$A,增益!$Q:$Q,0)))+$B$11+SUM(_xlfn.XLOOKUP(S98:AG98,增益!$A:$A,增益!$U:$U,0)))*IF(VLOOKUP($R98,武学奇术!$A:$ZZ,24,FALSE)=1,0,1)</f>
        <v>0.846</v>
      </c>
      <c r="BL98" s="26" cm="1">
        <f t="array" ref="BL98">1+$B$13+VLOOKUP($R98,武学奇术!$A:$ZZ,18,FALSE)+SUM(_xlfn.XLOOKUP(S98:AG98,增益!$A:$A,增益!$R:$R,0))</f>
        <v>2.06</v>
      </c>
      <c r="BM98" s="26" cm="1">
        <f t="array" ref="BM98">IF(VLOOKUP($R98,武学奇术!$A:$ZZ,24,FALSE)=1,100%,MIN(40%,$B$10+VLOOKUP($R98,武学奇术!$A:$ZZ,19,FALSE)+SUM(_xlfn.XLOOKUP(S98:AG98,增益!$A:$A,增益!$S:$S,0)))+$B$12+SUM(_xlfn.XLOOKUP(S98:AG98,增益!$A:$A,增益!$V:$V,0)))*IF(VLOOKUP($R98,武学奇术!$A:$ZZ,23,FALSE)=1,0,1)</f>
        <v>0.0929</v>
      </c>
      <c r="BN98" s="26" cm="1">
        <f t="array" ref="BN98">1+$B$14+VLOOKUP($R98,武学奇术!$A:$ZZ,20,FALSE)+SUM(_xlfn.XLOOKUP(S98:AG98,增益!$A:$A,增益!$T:$T,0))</f>
        <v>1.35</v>
      </c>
      <c r="BO98" s="26">
        <f t="shared" si="23"/>
        <v>0.829926</v>
      </c>
      <c r="BP98" s="26">
        <f t="shared" si="33"/>
        <v>0.0599391</v>
      </c>
      <c r="BQ98" s="26">
        <f>IF(VLOOKUP($R98,武学奇术!$A:$ZZ,22,FALSE)=1,0,(1-$BJ98))*(1-$BM98)</f>
        <v>0.0172349</v>
      </c>
      <c r="BR98" s="26" cm="1">
        <f t="array" ref="BR98">SUM(_xlfn.XLOOKUP(S98:AG98,增益!$A:$A,增益!$W:$W,0))+$I$5</f>
        <v>0.11</v>
      </c>
    </row>
    <row r="99" spans="1:70">
      <c r="A99" s="4" t="s">
        <v>164</v>
      </c>
      <c r="B99" s="4">
        <v>0.85</v>
      </c>
      <c r="D99" s="39"/>
      <c r="F99" s="39"/>
      <c r="K99">
        <f>$L99*VLOOKUP($R99,武学奇术!$A:$ZZ,31,FALSE)</f>
        <v>140240.749978197</v>
      </c>
      <c r="L99" s="38">
        <f t="shared" si="51"/>
        <v>133562.619026854</v>
      </c>
      <c r="M99" s="38">
        <f>((($AO99+$AP99)/2*$AI99+$AJ99)*(1+$AQ99)*(1+$AR99)+(($AT99+$AU99)/2*IF($G$1="鸣金",$AK99,$AI99)+IF($G$1="鸣金",$AL99*1.5,0))*(1+$AV99)*(1+$AW99)+(($AX99+$AY99)/2*IF($G$1="裂石",$AK99,$AI99)+IF($G$1="裂石",$AL99*1.5,0))*(1+$AZ99)*(1+$BA99)+(($BB99+$BC99)/2*IF($G$1="牵丝",$AK99,$AI99)+IF($G$1="牵丝",$AL99*1.5,0))*(1+$BD99)*(1+$BE99)+(($BF99+$BG99)/2*IF($G$1="破竹",$AK99,$AI99)+IF($G$1="破竹",$AL99*1.5,0))*(1+$BH99)*(1+$BI99))*(1+$AM99)*$BL99*$Q99*(1+IF(VLOOKUP($R99,武学奇术!$A:$ZZ,30,FALSE)="回旋伞",$B$21,0))*(1+$BR99)</f>
        <v>141543.894735019</v>
      </c>
      <c r="N99" s="38">
        <f>(($AP99*$AI99+$AJ99)*(1+$AQ99)*(1+$AR99)+($AU99*IF($G$1="鸣金",$AK99,$AI99)+IF($G$1="鸣金",$AL99*1.5,0))*(1+$AV99)*(1+$AW99)+($AY99*IF($G$1="裂石",$AK99,$AI99)+IF($G$1="裂石",$AL99*1.5,0))*(1+$AZ99)*(1+$BA99)+($BC99*IF($G$1="牵丝",$AK99,$AI99)+IF($G$1="牵丝",$AL99*1.5,0))*(1+$BD99)*(1+$BE99)+($BG99*IF($G$1="破竹",$AK99,$AI99)+IF($G$1="破竹",$AL99*1.5,0))*(1+$BH99)*(1+$BI99))*(1+$AM99)*$BN99*$Q99*(1+IF(VLOOKUP($R99,武学奇术!$A:$ZZ,30,FALSE)="回旋伞",$B$21,0))*(1+$BR99)</f>
        <v>113502.271757995</v>
      </c>
      <c r="O99" s="38">
        <f>((($AO99+$AP99)/2*$AI99+$AJ99)*(1+$AQ99)*(1+$AR99)+(($AT99+$AU99)/2*IF($G$1="鸣金",$AK99,$AI99)+IF($G$1="鸣金",$AL99*1.5,0))*(1+$AV99)*(1+$AW99)+(($AX99+$AY99)/2*IF($G$1="裂石",$AK99,$AI99)+IF($G$1="裂石",$AL99*1.5,0))*(1+$AZ99)*(1+$BA99)+(($BB99+$BC99)/2*IF($G$1="牵丝",$AK99,$AI99)+IF($G$1="牵丝",$AL99*1.5,0))*(1+$BD99)*(1+$BE99)+(($BF99+$BG99)/2*IF($G$1="破竹",$AK99,$AI99)+IF($G$1="破竹",$AL99*1.5,0))*(1+$BH99)*(1+$BI99))*(1+$AM99)*$Q99*(1+IF(VLOOKUP($R99,武学奇术!$A:$ZZ,30,FALSE)="回旋伞",$B$21,0))*(1+$BR99)</f>
        <v>74106.7511701669</v>
      </c>
      <c r="P99" s="38">
        <f>((($AO99*$AI99+$AJ99)*(1+$AQ99)*(1+$AR99)+($AT99*IF($G$1="鸣金",$AK99,$AI99)+IF($G$1="鸣金",$AL99*1.5,0))*(1+$AV99)*(1+$AW99)+($AX99*IF($G$1="裂石",$AK99,$AI99)+IF($G$1="裂石",$AL99*1.5,0))*(1+$AZ99)*(1+$BA99)+($BB99*IF($G$1="牵丝",$AK99,$AI99)+IF($G$1="牵丝",$AL99*1.5,0))*(1+$BD99)*(1+$BE99)+($BF99*IF($G$1="破竹",$AK99,$AI99)+IF($G$1="破竹",$AL99*1.5,0))*(1+$BH99)*(1+$BI99))*(1+$AM99))*$Q99*(1+IF(VLOOKUP($R99,武学奇术!$A:$ZZ,30,FALSE)="回旋伞",$B$21,0))*(1+$BR99)</f>
        <v>64137.7454825597</v>
      </c>
      <c r="Q99" s="39">
        <v>1</v>
      </c>
      <c r="R99" s="40" t="s">
        <v>182</v>
      </c>
      <c r="S99" s="40" t="s">
        <v>72</v>
      </c>
      <c r="T99" s="40" t="s">
        <v>95</v>
      </c>
      <c r="U99" s="40" t="s">
        <v>73</v>
      </c>
      <c r="V99" s="40" t="s">
        <v>72</v>
      </c>
      <c r="W99" s="40" t="s">
        <v>172</v>
      </c>
      <c r="X99" s="40" t="s">
        <v>99</v>
      </c>
      <c r="Y99" s="40" t="s">
        <v>84</v>
      </c>
      <c r="Z99" s="40" t="s">
        <v>72</v>
      </c>
      <c r="AA99" s="40" t="s">
        <v>72</v>
      </c>
      <c r="AB99" s="40" t="s">
        <v>72</v>
      </c>
      <c r="AC99" s="40" t="s">
        <v>85</v>
      </c>
      <c r="AD99" s="40" t="s">
        <v>72</v>
      </c>
      <c r="AE99" s="40" t="s">
        <v>72</v>
      </c>
      <c r="AF99" s="40" t="s">
        <v>77</v>
      </c>
      <c r="AG99" s="40" t="s">
        <v>78</v>
      </c>
      <c r="AH99" t="str">
        <f>VLOOKUP($R99,武学奇术!$A:$ZZ,25,FALSE)</f>
        <v>单体奇术</v>
      </c>
      <c r="AI99" s="26">
        <f>VLOOKUP($R99,武学奇术!$A:$ZZ,26,FALSE)</f>
        <v>7.1084</v>
      </c>
      <c r="AJ99" s="27">
        <f>VLOOKUP($R99,武学奇术!$A:$ZZ,27,FALSE)*(1+IF(OR($AH99=$F$4,$AH99=$F$5),$B$22,0))</f>
        <v>1369</v>
      </c>
      <c r="AK99" s="26">
        <f>VLOOKUP($R99,武学奇术!$A:$ZZ,28,FALSE)</f>
        <v>10.6626</v>
      </c>
      <c r="AL99" s="27">
        <f>VLOOKUP($R99,武学奇术!$A:$ZZ,29,FALSE)*(1+IF(OR($AH99=$F$4,$AH99=$F$5),$B$22,0))</f>
        <v>0</v>
      </c>
      <c r="AM99" s="26" cm="1">
        <f t="array" ref="AM99">$G$3+IFERROR(VLOOKUP($AH99,$F$4:$G$7,2,FALSE),0)+VLOOKUP($R99,武学奇术!$A:$ZZ,2,FALSE)+SUM(_xlfn.XLOOKUP($S99:$AG99,增益!$A:$A,增益!$B:$B,0))</f>
        <v>0.2837</v>
      </c>
      <c r="AN99" s="26" cm="1">
        <f t="array" ref="AN99">VLOOKUP($R99,武学奇术!$A:$ZZ,5,FALSE)+SUM(_xlfn.XLOOKUP($S99:$AG99,增益!$A:$A,增益!$E:$E,0))</f>
        <v>0</v>
      </c>
      <c r="AO99" cm="1">
        <f t="array" ref="AO99">$D$10*(1+$AN99)+VLOOKUP($R99,武学奇术!$A:$ZZ,3,FALSE)+SUM(_xlfn.XLOOKUP($S99:$AG99,增益!$A:$A,增益!$C:$C,0))-$I$2</f>
        <v>3624.6</v>
      </c>
      <c r="AP99" cm="1">
        <f t="array" ref="AP99">$E$10*(1+$AN99)+VLOOKUP($R99,武学奇术!$A:$ZZ,4,FALSE)+SUM(_xlfn.XLOOKUP($S99:$AG99,增益!$A:$A,增益!$D:$D,0))-$I$2</f>
        <v>3624.6</v>
      </c>
      <c r="AQ99" s="32" cm="1">
        <f t="array" ref="AQ99">IF($F$10-$I$3+VLOOKUP($R99,武学奇术!$A:$ZZ,6,FALSE)+SUM(_xlfn.XLOOKUP(S99:AG99,增益!$A:$A,增益!$F:$F,0))&gt;0,($F$10-$I$3+VLOOKUP($R99,武学奇术!$A:$ZZ,6,FALSE)+SUM(_xlfn.XLOOKUP(S99:AG99,增益!$A:$A,增益!$F:$F,0)))/200,($F$10-$I$3+VLOOKUP($R99,武学奇术!$A:$ZZ,6,FALSE)+SUM(_xlfn.XLOOKUP(S99:AG99,增益!$A:$A,增益!$F:$F,0)))/100)</f>
        <v>0.3425</v>
      </c>
      <c r="AR99" s="32" cm="1">
        <f t="array" ref="AR99">$G$10+VLOOKUP($R99,武学奇术!$A:$ZZ,7,FALSE)+SUM(_xlfn.XLOOKUP(S99:AG99,增益!$A:$A,增益!$G:$G,0))</f>
        <v>0.028</v>
      </c>
      <c r="AS99" s="26" cm="1">
        <f t="array" ref="AS99">VLOOKUP($R99,武学奇术!$A:$ZZ,8,FALSE)+SUM(_xlfn.XLOOKUP(S99:AG99,增益!$A:$A,增益!$H:$H,0))</f>
        <v>0</v>
      </c>
      <c r="AT99">
        <f t="shared" si="43"/>
        <v>0</v>
      </c>
      <c r="AU99">
        <f t="shared" si="44"/>
        <v>0</v>
      </c>
      <c r="AV99" s="32" cm="1">
        <f t="array" ref="AV99">IF($F$11-$I$4+VLOOKUP($R99,武学奇术!$A:$ZZ,9,FALSE)+SUM(_xlfn.XLOOKUP(S99:AG99,增益!$A:$A,增益!$I:$I,0))&gt;0,($F$11-$I$4+VLOOKUP($R99,武学奇术!$A:$ZZ,9,FALSE)+SUM(_xlfn.XLOOKUP(S99:AG99,增益!$A:$A,增益!$I:$I,0)))/200,($F$11-$I$4+VLOOKUP($R99,武学奇术!$A:$ZZ,9,FALSE)+SUM(_xlfn.XLOOKUP(S99:AG99,增益!$A:$A,增益!$I:$I,0)))/100)</f>
        <v>-0.14</v>
      </c>
      <c r="AW99" s="32" cm="1">
        <f t="array" ref="AW99">$G$11+VLOOKUP($R99,武学奇术!$A:$ZZ,10,FALSE)+SUM(_xlfn.XLOOKUP(S99:AG99,增益!$A:$A,增益!$J:$J,0))</f>
        <v>0</v>
      </c>
      <c r="AX99">
        <f t="shared" si="45"/>
        <v>0</v>
      </c>
      <c r="AY99">
        <f t="shared" si="46"/>
        <v>0</v>
      </c>
      <c r="AZ99" s="32" cm="1">
        <f t="array" ref="AZ99">IF($F$12-$I$4+VLOOKUP($R99,武学奇术!$A:$ZZ,11,FALSE)+SUM(_xlfn.XLOOKUP(S99:AG99,增益!$A:$A,增益!$K:$K,0))&gt;0,($F$12-$I$4+VLOOKUP($R99,武学奇术!$A:$ZZ,11,FALSE)+SUM(_xlfn.XLOOKUP(S99:AG99,增益!$A:$A,增益!$K:$K,0)))/200,($F$12-$I$4+VLOOKUP($R99,武学奇术!$A:$ZZ,11,FALSE)+SUM(_xlfn.XLOOKUP(S99:AG99,增益!$A:$A,增益!$K:$K,0)))/100)</f>
        <v>-0.14</v>
      </c>
      <c r="BA99" s="32" cm="1">
        <f t="array" ref="BA99">$G$12+VLOOKUP($R99,武学奇术!$A:$ZZ,12,FALSE)+SUM(_xlfn.XLOOKUP(S99:AG99,增益!$A:$A,增益!$L:$L,0))</f>
        <v>0</v>
      </c>
      <c r="BB99">
        <f t="shared" si="47"/>
        <v>0</v>
      </c>
      <c r="BC99">
        <f t="shared" si="48"/>
        <v>0</v>
      </c>
      <c r="BD99" s="32" cm="1">
        <f t="array" ref="BD99">IF($F$13-$I$4+VLOOKUP($R99,武学奇术!$A:$ZZ,13,FALSE)+SUM(_xlfn.XLOOKUP(S99:AG99,增益!$A:$A,增益!$M:$M,0))&gt;0,($F$13-$I$4+VLOOKUP($R99,武学奇术!$A:$ZZ,13,FALSE)+SUM(_xlfn.XLOOKUP(S99:AG99,增益!$A:$A,增益!$K:$K,0)))/200,($F$13-$I$4+VLOOKUP($R99,武学奇术!$A:$ZZ,13,FALSE)+SUM(_xlfn.XLOOKUP(S99:AG99,增益!$A:$A,增益!$M:$M,0)))/100)</f>
        <v>-0.14</v>
      </c>
      <c r="BE99" s="32" cm="1">
        <f t="array" ref="BE99">$G$13+VLOOKUP($R99,武学奇术!$A:$ZZ,14,FALSE)+SUM(_xlfn.XLOOKUP(S99:AG99,增益!$A:$A,增益!$N:$N,0))</f>
        <v>0</v>
      </c>
      <c r="BF99">
        <f t="shared" si="49"/>
        <v>571.2</v>
      </c>
      <c r="BG99">
        <f t="shared" si="50"/>
        <v>1627.8</v>
      </c>
      <c r="BH99" s="32" cm="1">
        <f t="array" ref="BH99">IF($F$14-$I$4+VLOOKUP($R99,武学奇术!$A:$ZZ,15,FALSE)+SUM(_xlfn.XLOOKUP(S99:AG99,增益!$A:$A,增益!$O:$O,0))&gt;0,($F$14-$I$4+VLOOKUP($R99,武学奇术!$A:$ZZ,15,FALSE)+SUM(_xlfn.XLOOKUP(S99:AG99,增益!$A:$A,增益!$O:$O,0)))/200,($F$14-$I$4+VLOOKUP($R99,武学奇术!$A:$ZZ,15,FALSE)+SUM(_xlfn.XLOOKUP(S99:AG99,增益!$A:$A,增益!$O:$O,0)))/100)</f>
        <v>0.08</v>
      </c>
      <c r="BI99" s="32" cm="1">
        <f t="array" ref="BI99">$G$14+VLOOKUP($R99,武学奇术!$A:$ZZ,16,FALSE)+SUM(_xlfn.XLOOKUP(S99:AG99,增益!$A:$A,增益!$P:$P,0))</f>
        <v>0.15</v>
      </c>
      <c r="BJ99" s="26">
        <f>MIN(IF(VLOOKUP($R99,武学奇术!$A:$ZZ,23,FALSE)=1,100%,$B$8),100%)</f>
        <v>0.981</v>
      </c>
      <c r="BK99" s="26" cm="1">
        <f t="array" ref="BK99">IF(VLOOKUP($R99,武学奇术!$A:$ZZ,23,FALSE)=1,100%,MIN(80%,$B$9+VLOOKUP($R99,武学奇术!$A:$ZZ,17,FALSE)+SUM(_xlfn.XLOOKUP(S99:AG99,增益!$A:$A,增益!$Q:$Q,0)))+$B$11+SUM(_xlfn.XLOOKUP(S99:AG99,增益!$A:$A,增益!$U:$U,0)))*IF(VLOOKUP($R99,武学奇术!$A:$ZZ,24,FALSE)=1,0,1)</f>
        <v>0.846</v>
      </c>
      <c r="BL99" s="26" cm="1">
        <f t="array" ref="BL99">1+$B$13+VLOOKUP($R99,武学奇术!$A:$ZZ,18,FALSE)+SUM(_xlfn.XLOOKUP(S99:AG99,增益!$A:$A,增益!$R:$R,0))</f>
        <v>1.91</v>
      </c>
      <c r="BM99" s="26" cm="1">
        <f t="array" ref="BM99">IF(VLOOKUP($R99,武学奇术!$A:$ZZ,24,FALSE)=1,100%,MIN(40%,$B$10+VLOOKUP($R99,武学奇术!$A:$ZZ,19,FALSE)+SUM(_xlfn.XLOOKUP(S99:AG99,增益!$A:$A,增益!$S:$S,0)))+$B$12+SUM(_xlfn.XLOOKUP(S99:AG99,增益!$A:$A,增益!$V:$V,0)))*IF(VLOOKUP($R99,武学奇术!$A:$ZZ,23,FALSE)=1,0,1)</f>
        <v>0.0929</v>
      </c>
      <c r="BN99" s="26" cm="1">
        <f t="array" ref="BN99">1+$B$14+VLOOKUP($R99,武学奇术!$A:$ZZ,20,FALSE)+SUM(_xlfn.XLOOKUP(S99:AG99,增益!$A:$A,增益!$T:$T,0))</f>
        <v>1.35</v>
      </c>
      <c r="BO99" s="26">
        <f t="shared" si="23"/>
        <v>0.829926</v>
      </c>
      <c r="BP99" s="26">
        <f t="shared" si="33"/>
        <v>0.0599391</v>
      </c>
      <c r="BQ99" s="26">
        <f>IF(VLOOKUP($R99,武学奇术!$A:$ZZ,22,FALSE)=1,0,(1-$BJ99))*(1-$BM99)</f>
        <v>0.0172349</v>
      </c>
      <c r="BR99" s="26" cm="1">
        <f t="array" ref="BR99">SUM(_xlfn.XLOOKUP(S99:AG99,增益!$A:$A,增益!$W:$W,0))+$I$5</f>
        <v>0.11</v>
      </c>
    </row>
    <row r="100" spans="1:70">
      <c r="A100" s="4" t="s">
        <v>183</v>
      </c>
      <c r="B100" s="87">
        <v>2</v>
      </c>
      <c r="F100" s="39"/>
      <c r="K100">
        <f>$L100*VLOOKUP($R100,武学奇术!$A:$ZZ,31,FALSE)</f>
        <v>61115.7605136462</v>
      </c>
      <c r="L100" s="38">
        <f t="shared" si="51"/>
        <v>58205.4862034726</v>
      </c>
      <c r="M100" s="38">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BL100*$Q100*(1+IF(VLOOKUP($R100,武学奇术!$A:$ZZ,30,FALSE)="回旋伞",$B$21,0))*(1+$BR100)</f>
        <v>58205.4862034726</v>
      </c>
      <c r="N100" s="38">
        <f>(($AP100*$AI100+$AJ100)*(1+$AQ100)*(1+$AR100)+($AU100*IF($G$1="鸣金",$AK100,$AI100)+IF($G$1="鸣金",$AL100*1.5,0))*(1+$AV100)*(1+$AW100)+($AY100*IF($G$1="裂石",$AK100,$AI100)+IF($G$1="裂石",$AL100*1.5,0))*(1+$AZ100)*(1+$BA100)+($BC100*IF($G$1="牵丝",$AK100,$AI100)+IF($G$1="牵丝",$AL100*1.5,0))*(1+$BD100)*(1+$BE100)+($BG100*IF($G$1="破竹",$AK100,$AI100)+IF($G$1="破竹",$AL100*1.5,0))*(1+$BH100)*(1+$BI100))*(1+$AM100)*$BN100*$Q100*(1+IF(VLOOKUP($R100,武学奇术!$A:$ZZ,30,FALSE)="回旋伞",$B$21,0))*(1+$BR100)</f>
        <v>45907.9527351992</v>
      </c>
      <c r="O100" s="38">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Q100*(1+IF(VLOOKUP($R100,武学奇术!$A:$ZZ,30,FALSE)="回旋伞",$B$21,0))*(1+$BR100)</f>
        <v>30474.0765463207</v>
      </c>
      <c r="P100" s="38">
        <f>((($AO100*$AI100+$AJ100)*(1+$AQ100)*(1+$AR100)+($AT100*IF($G$1="鸣金",$AK100,$AI100)+IF($G$1="鸣金",$AL100*1.5,0))*(1+$AV100)*(1+$AW100)+($AX100*IF($G$1="裂石",$AK100,$AI100)+IF($G$1="裂石",$AL100*1.5,0))*(1+$AZ100)*(1+$BA100)+($BB100*IF($G$1="牵丝",$AK100,$AI100)+IF($G$1="牵丝",$AL100*1.5,0))*(1+$BD100)*(1+$BE100)+($BF100*IF($G$1="破竹",$AK100,$AI100)+IF($G$1="破竹",$AL100*1.5,0))*(1+$BH100)*(1+$BI100))*(1+$AM100))*$Q100*(1+IF(VLOOKUP($R100,武学奇术!$A:$ZZ,30,FALSE)="回旋伞",$B$21,0))*(1+$BR100)</f>
        <v>26942.2621776791</v>
      </c>
      <c r="Q100" s="39">
        <v>1</v>
      </c>
      <c r="R100" s="40" t="s">
        <v>166</v>
      </c>
      <c r="S100" s="40" t="s">
        <v>72</v>
      </c>
      <c r="T100" s="40" t="s">
        <v>95</v>
      </c>
      <c r="U100" s="40" t="s">
        <v>73</v>
      </c>
      <c r="V100" s="40" t="s">
        <v>72</v>
      </c>
      <c r="W100" s="40" t="s">
        <v>172</v>
      </c>
      <c r="X100" s="40" t="s">
        <v>99</v>
      </c>
      <c r="Y100" s="40" t="s">
        <v>72</v>
      </c>
      <c r="Z100" s="40" t="s">
        <v>72</v>
      </c>
      <c r="AA100" s="40" t="s">
        <v>72</v>
      </c>
      <c r="AB100" s="40" t="s">
        <v>72</v>
      </c>
      <c r="AC100" s="40" t="s">
        <v>85</v>
      </c>
      <c r="AD100" s="40" t="s">
        <v>72</v>
      </c>
      <c r="AE100" s="40" t="s">
        <v>72</v>
      </c>
      <c r="AF100" s="40" t="s">
        <v>77</v>
      </c>
      <c r="AG100" s="40" t="s">
        <v>78</v>
      </c>
      <c r="AH100" t="str">
        <f>VLOOKUP($R100,武学奇术!$A:$ZZ,25,FALSE)</f>
        <v>绳镖</v>
      </c>
      <c r="AI100" s="26">
        <f>VLOOKUP($R100,武学奇术!$A:$ZZ,26,FALSE)</f>
        <v>2.2987</v>
      </c>
      <c r="AJ100" s="27">
        <f>VLOOKUP($R100,武学奇术!$A:$ZZ,27,FALSE)*(1+IF(OR($AH100=$F$4,$AH100=$F$5),$B$22,0))</f>
        <v>955.5</v>
      </c>
      <c r="AK100" s="26">
        <f>VLOOKUP($R100,武学奇术!$A:$ZZ,28,FALSE)</f>
        <v>3.448</v>
      </c>
      <c r="AL100" s="27">
        <f>VLOOKUP($R100,武学奇术!$A:$ZZ,29,FALSE)*(1+IF(OR($AH100=$F$4,$AH100=$F$5),$B$22,0))</f>
        <v>520.5</v>
      </c>
      <c r="AM100" s="26" cm="1">
        <f t="array" ref="AM100">$G$3+IFERROR(VLOOKUP($AH100,$F$4:$G$7,2,FALSE),0)+VLOOKUP($R100,武学奇术!$A:$ZZ,2,FALSE)+SUM(_xlfn.XLOOKUP($S100:$AG100,增益!$A:$A,增益!$B:$B,0))</f>
        <v>0.5189</v>
      </c>
      <c r="AN100" s="26" cm="1">
        <f t="array" ref="AN100">VLOOKUP($R100,武学奇术!$A:$ZZ,5,FALSE)+SUM(_xlfn.XLOOKUP($S100:$AG100,增益!$A:$A,增益!$E:$E,0))</f>
        <v>0</v>
      </c>
      <c r="AO100" cm="1">
        <f t="array" ref="AO100">$D$10*(1+$AN100)+VLOOKUP($R100,武学奇术!$A:$ZZ,3,FALSE)+SUM(_xlfn.XLOOKUP($S100:$AG100,增益!$A:$A,增益!$C:$C,0))-$I$2</f>
        <v>3624.6</v>
      </c>
      <c r="AP100" cm="1">
        <f t="array" ref="AP100">$E$10*(1+$AN100)+VLOOKUP($R100,武学奇术!$A:$ZZ,4,FALSE)+SUM(_xlfn.XLOOKUP($S100:$AG100,增益!$A:$A,增益!$D:$D,0))-$I$2</f>
        <v>3624.6</v>
      </c>
      <c r="AQ100" s="32" cm="1">
        <f t="array" ref="AQ100">IF($F$10-$I$3+VLOOKUP($R100,武学奇术!$A:$ZZ,6,FALSE)+SUM(_xlfn.XLOOKUP(S100:AG100,增益!$A:$A,增益!$F:$F,0))&gt;0,($F$10-$I$3+VLOOKUP($R100,武学奇术!$A:$ZZ,6,FALSE)+SUM(_xlfn.XLOOKUP(S100:AG100,增益!$A:$A,增益!$F:$F,0)))/200,($F$10-$I$3+VLOOKUP($R100,武学奇术!$A:$ZZ,6,FALSE)+SUM(_xlfn.XLOOKUP(S100:AG100,增益!$A:$A,增益!$F:$F,0)))/100)</f>
        <v>0.3425</v>
      </c>
      <c r="AR100" s="32" cm="1">
        <f t="array" ref="AR100">$G$10+VLOOKUP($R100,武学奇术!$A:$ZZ,7,FALSE)+SUM(_xlfn.XLOOKUP(S100:AG100,增益!$A:$A,增益!$G:$G,0))</f>
        <v>0.028</v>
      </c>
      <c r="AS100" s="26" cm="1">
        <f t="array" ref="AS100">VLOOKUP($R100,武学奇术!$A:$ZZ,8,FALSE)+SUM(_xlfn.XLOOKUP(S100:AG100,增益!$A:$A,增益!$H:$H,0))</f>
        <v>0</v>
      </c>
      <c r="AT100">
        <f t="shared" si="43"/>
        <v>0</v>
      </c>
      <c r="AU100">
        <f t="shared" si="44"/>
        <v>0</v>
      </c>
      <c r="AV100" s="32" cm="1">
        <f t="array" ref="AV100">IF($F$11-$I$4+VLOOKUP($R100,武学奇术!$A:$ZZ,9,FALSE)+SUM(_xlfn.XLOOKUP(S100:AG100,增益!$A:$A,增益!$I:$I,0))&gt;0,($F$11-$I$4+VLOOKUP($R100,武学奇术!$A:$ZZ,9,FALSE)+SUM(_xlfn.XLOOKUP(S100:AG100,增益!$A:$A,增益!$I:$I,0)))/200,($F$11-$I$4+VLOOKUP($R100,武学奇术!$A:$ZZ,9,FALSE)+SUM(_xlfn.XLOOKUP(S100:AG100,增益!$A:$A,增益!$I:$I,0)))/100)</f>
        <v>-0.3</v>
      </c>
      <c r="AW100" s="32" cm="1">
        <f t="array" ref="AW100">$G$11+VLOOKUP($R100,武学奇术!$A:$ZZ,10,FALSE)+SUM(_xlfn.XLOOKUP(S100:AG100,增益!$A:$A,增益!$J:$J,0))</f>
        <v>0</v>
      </c>
      <c r="AX100">
        <f t="shared" si="45"/>
        <v>0</v>
      </c>
      <c r="AY100">
        <f t="shared" si="46"/>
        <v>0</v>
      </c>
      <c r="AZ100" s="32" cm="1">
        <f t="array" ref="AZ100">IF($F$12-$I$4+VLOOKUP($R100,武学奇术!$A:$ZZ,11,FALSE)+SUM(_xlfn.XLOOKUP(S100:AG100,增益!$A:$A,增益!$K:$K,0))&gt;0,($F$12-$I$4+VLOOKUP($R100,武学奇术!$A:$ZZ,11,FALSE)+SUM(_xlfn.XLOOKUP(S100:AG100,增益!$A:$A,增益!$K:$K,0)))/200,($F$12-$I$4+VLOOKUP($R100,武学奇术!$A:$ZZ,11,FALSE)+SUM(_xlfn.XLOOKUP(S100:AG100,增益!$A:$A,增益!$K:$K,0)))/100)</f>
        <v>-0.3</v>
      </c>
      <c r="BA100" s="32" cm="1">
        <f t="array" ref="BA100">$G$12+VLOOKUP($R100,武学奇术!$A:$ZZ,12,FALSE)+SUM(_xlfn.XLOOKUP(S100:AG100,增益!$A:$A,增益!$L:$L,0))</f>
        <v>0</v>
      </c>
      <c r="BB100">
        <f t="shared" si="47"/>
        <v>0</v>
      </c>
      <c r="BC100">
        <f t="shared" si="48"/>
        <v>0</v>
      </c>
      <c r="BD100" s="32" cm="1">
        <f t="array" ref="BD100">IF($F$13-$I$4+VLOOKUP($R100,武学奇术!$A:$ZZ,13,FALSE)+SUM(_xlfn.XLOOKUP(S100:AG100,增益!$A:$A,增益!$M:$M,0))&gt;0,($F$13-$I$4+VLOOKUP($R100,武学奇术!$A:$ZZ,13,FALSE)+SUM(_xlfn.XLOOKUP(S100:AG100,增益!$A:$A,增益!$K:$K,0)))/200,($F$13-$I$4+VLOOKUP($R100,武学奇术!$A:$ZZ,13,FALSE)+SUM(_xlfn.XLOOKUP(S100:AG100,增益!$A:$A,增益!$M:$M,0)))/100)</f>
        <v>-0.3</v>
      </c>
      <c r="BE100" s="32" cm="1">
        <f t="array" ref="BE100">$G$13+VLOOKUP($R100,武学奇术!$A:$ZZ,14,FALSE)+SUM(_xlfn.XLOOKUP(S100:AG100,增益!$A:$A,增益!$N:$N,0))</f>
        <v>0</v>
      </c>
      <c r="BF100">
        <f t="shared" si="49"/>
        <v>571.2</v>
      </c>
      <c r="BG100">
        <f t="shared" si="50"/>
        <v>1627.8</v>
      </c>
      <c r="BH100" s="32" cm="1">
        <f t="array" ref="BH100">IF($F$14-$I$4+VLOOKUP($R100,武学奇术!$A:$ZZ,15,FALSE)+SUM(_xlfn.XLOOKUP(S100:AG100,增益!$A:$A,增益!$O:$O,0))&gt;0,($F$14-$I$4+VLOOKUP($R100,武学奇术!$A:$ZZ,15,FALSE)+SUM(_xlfn.XLOOKUP(S100:AG100,增益!$A:$A,增益!$O:$O,0)))/200,($F$14-$I$4+VLOOKUP($R100,武学奇术!$A:$ZZ,15,FALSE)+SUM(_xlfn.XLOOKUP(S100:AG100,增益!$A:$A,增益!$O:$O,0)))/100)</f>
        <v>0</v>
      </c>
      <c r="BI100" s="32" cm="1">
        <f t="array" ref="BI100">$G$14+VLOOKUP($R100,武学奇术!$A:$ZZ,16,FALSE)+SUM(_xlfn.XLOOKUP(S100:AG100,增益!$A:$A,增益!$P:$P,0))</f>
        <v>0.15</v>
      </c>
      <c r="BJ100" s="26">
        <f>MIN(IF(VLOOKUP($R100,武学奇术!$A:$ZZ,23,FALSE)=1,100%,$B$8),100%)</f>
        <v>1</v>
      </c>
      <c r="BK100" s="26" cm="1">
        <f t="array" ref="BK100">IF(VLOOKUP($R100,武学奇术!$A:$ZZ,23,FALSE)=1,100%,MIN(80%,$B$9+VLOOKUP($R100,武学奇术!$A:$ZZ,17,FALSE)+SUM(_xlfn.XLOOKUP(S100:AG100,增益!$A:$A,增益!$Q:$Q,0)))+$B$11+SUM(_xlfn.XLOOKUP(S100:AG100,增益!$A:$A,增益!$U:$U,0)))*IF(VLOOKUP($R100,武学奇术!$A:$ZZ,24,FALSE)=1,0,1)</f>
        <v>1</v>
      </c>
      <c r="BL100" s="26" cm="1">
        <f t="array" ref="BL100">1+$B$13+VLOOKUP($R100,武学奇术!$A:$ZZ,18,FALSE)+SUM(_xlfn.XLOOKUP(S100:AG100,增益!$A:$A,增益!$R:$R,0))</f>
        <v>1.91</v>
      </c>
      <c r="BM100" s="26" cm="1">
        <f t="array" ref="BM100">IF(VLOOKUP($R100,武学奇术!$A:$ZZ,24,FALSE)=1,100%,MIN(40%,$B$10+VLOOKUP($R100,武学奇术!$A:$ZZ,19,FALSE)+SUM(_xlfn.XLOOKUP(S100:AG100,增益!$A:$A,增益!$S:$S,0)))+$B$12+SUM(_xlfn.XLOOKUP(S100:AG100,增益!$A:$A,增益!$V:$V,0)))*IF(VLOOKUP($R100,武学奇术!$A:$ZZ,23,FALSE)=1,0,1)</f>
        <v>0</v>
      </c>
      <c r="BN100" s="26" cm="1">
        <f t="array" ref="BN100">1+$B$14+VLOOKUP($R100,武学奇术!$A:$ZZ,20,FALSE)+SUM(_xlfn.XLOOKUP(S100:AG100,增益!$A:$A,增益!$T:$T,0))</f>
        <v>1.35</v>
      </c>
      <c r="BO100" s="26">
        <f t="shared" si="23"/>
        <v>1</v>
      </c>
      <c r="BP100" s="26">
        <f t="shared" si="33"/>
        <v>0</v>
      </c>
      <c r="BQ100" s="26">
        <f>IF(VLOOKUP($R100,武学奇术!$A:$ZZ,22,FALSE)=1,0,(1-$BJ100))*(1-$BM100)</f>
        <v>0</v>
      </c>
      <c r="BR100" s="26" cm="1">
        <f t="array" ref="BR100">SUM(_xlfn.XLOOKUP(S100:AG100,增益!$A:$A,增益!$W:$W,0))+$I$5</f>
        <v>0.11</v>
      </c>
    </row>
    <row r="101" spans="1:70">
      <c r="A101" s="4" t="s">
        <v>166</v>
      </c>
      <c r="B101" s="87">
        <v>1</v>
      </c>
      <c r="K101">
        <f>$L101*VLOOKUP($R101,武学奇术!$A:$ZZ,31,FALSE)</f>
        <v>126182.404518983</v>
      </c>
      <c r="L101" s="88">
        <f>(SUM(L85:L100)+L160)*12%</f>
        <v>240347.437179016</v>
      </c>
      <c r="M101" s="38">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BL101*$Q101*(1+IF(VLOOKUP($R101,武学奇术!$A:$ZZ,30,FALSE)="回旋伞",$B$21,0))*(1+$BR101)</f>
        <v>0</v>
      </c>
      <c r="N101" s="38">
        <f>(($AP101*$AI101+$AJ101)*(1+$AQ101)*(1+$AR101)+($AU101*IF($G$1="鸣金",$AK101,$AI101)+IF($G$1="鸣金",$AL101*1.5,0))*(1+$AV101)*(1+$AW101)+($AY101*IF($G$1="裂石",$AK101,$AI101)+IF($G$1="裂石",$AL101*1.5,0))*(1+$AZ101)*(1+$BA101)+($BC101*IF($G$1="牵丝",$AK101,$AI101)+IF($G$1="牵丝",$AL101*1.5,0))*(1+$BD101)*(1+$BE101)+($BG101*IF($G$1="破竹",$AK101,$AI101)+IF($G$1="破竹",$AL101*1.5,0))*(1+$BH101)*(1+$BI101))*(1+$AM101)*$BN101*$Q101*(1+IF(VLOOKUP($R101,武学奇术!$A:$ZZ,30,FALSE)="回旋伞",$B$21,0))*(1+$BR101)</f>
        <v>0</v>
      </c>
      <c r="O101" s="38">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Q101*(1+IF(VLOOKUP($R101,武学奇术!$A:$ZZ,30,FALSE)="回旋伞",$B$21,0))*(1+$BR101)</f>
        <v>0</v>
      </c>
      <c r="P101" s="38">
        <f>((($AO101*$AI101+$AJ101)*(1+$AQ101)*(1+$AR101)+($AT101*IF($G$1="鸣金",$AK101,$AI101)+IF($G$1="鸣金",$AL101*1.5,0))*(1+$AV101)*(1+$AW101)+($AX101*IF($G$1="裂石",$AK101,$AI101)+IF($G$1="裂石",$AL101*1.5,0))*(1+$AZ101)*(1+$BA101)+($BB101*IF($G$1="牵丝",$AK101,$AI101)+IF($G$1="牵丝",$AL101*1.5,0))*(1+$BD101)*(1+$BE101)+($BF101*IF($G$1="破竹",$AK101,$AI101)+IF($G$1="破竹",$AL101*1.5,0))*(1+$BH101)*(1+$BI101))*(1+$AM101))*$Q101*(1+IF(VLOOKUP($R101,武学奇术!$A:$ZZ,30,FALSE)="回旋伞",$B$21,0))*(1+$BR101)</f>
        <v>0</v>
      </c>
      <c r="Q101" s="39">
        <v>1</v>
      </c>
      <c r="R101" s="40" t="s">
        <v>167</v>
      </c>
      <c r="S101" s="40" t="s">
        <v>72</v>
      </c>
      <c r="T101" s="40" t="s">
        <v>72</v>
      </c>
      <c r="U101" s="40" t="s">
        <v>72</v>
      </c>
      <c r="V101" s="40" t="s">
        <v>72</v>
      </c>
      <c r="W101" s="40" t="s">
        <v>72</v>
      </c>
      <c r="X101" s="40" t="s">
        <v>72</v>
      </c>
      <c r="Y101" s="40" t="s">
        <v>72</v>
      </c>
      <c r="Z101" s="40" t="s">
        <v>72</v>
      </c>
      <c r="AA101" s="40" t="s">
        <v>72</v>
      </c>
      <c r="AB101" s="40" t="s">
        <v>72</v>
      </c>
      <c r="AC101" s="40" t="s">
        <v>72</v>
      </c>
      <c r="AD101" s="40" t="s">
        <v>72</v>
      </c>
      <c r="AE101" s="40" t="s">
        <v>72</v>
      </c>
      <c r="AF101" s="40" t="s">
        <v>77</v>
      </c>
      <c r="AG101" s="40" t="s">
        <v>78</v>
      </c>
      <c r="AH101" t="str">
        <f>VLOOKUP($R101,武学奇术!$A:$ZZ,25,FALSE)</f>
        <v>心法</v>
      </c>
      <c r="AI101" s="26">
        <f>VLOOKUP($R101,武学奇术!$A:$ZZ,26,FALSE)</f>
        <v>0</v>
      </c>
      <c r="AJ101" s="27">
        <f>VLOOKUP($R101,武学奇术!$A:$ZZ,27,FALSE)*(1+IF(OR($AH101=$F$4,$AH101=$F$5),$B$22,0))</f>
        <v>0</v>
      </c>
      <c r="AK101" s="26">
        <f>VLOOKUP($R101,武学奇术!$A:$ZZ,28,FALSE)</f>
        <v>0</v>
      </c>
      <c r="AL101" s="27">
        <f>VLOOKUP($R101,武学奇术!$A:$ZZ,29,FALSE)*(1+IF(OR($AH101=$F$4,$AH101=$F$5),$B$22,0))</f>
        <v>0</v>
      </c>
      <c r="AM101" s="26" cm="1">
        <f t="array" ref="AM101">$G$3+IFERROR(VLOOKUP($AH101,$F$4:$G$7,2,FALSE),0)+VLOOKUP($R101,武学奇术!$A:$ZZ,2,FALSE)+SUM(_xlfn.XLOOKUP($S101:$AG101,增益!$A:$A,增益!$B:$B,0))</f>
        <v>0.1837</v>
      </c>
      <c r="AN101" s="26" cm="1">
        <f t="array" ref="AN101">VLOOKUP($R101,武学奇术!$A:$ZZ,5,FALSE)+SUM(_xlfn.XLOOKUP($S101:$AG101,增益!$A:$A,增益!$E:$E,0))</f>
        <v>0</v>
      </c>
      <c r="AO101" cm="1">
        <f t="array" ref="AO101">$D$10*(1+$AN101)+VLOOKUP($R101,武学奇术!$A:$ZZ,3,FALSE)+SUM(_xlfn.XLOOKUP($S101:$AG101,增益!$A:$A,增益!$C:$C,0))-$I$2</f>
        <v>3624.6</v>
      </c>
      <c r="AP101" cm="1">
        <f t="array" ref="AP101">$E$10*(1+$AN101)+VLOOKUP($R101,武学奇术!$A:$ZZ,4,FALSE)+SUM(_xlfn.XLOOKUP($S101:$AG101,增益!$A:$A,增益!$D:$D,0))-$I$2</f>
        <v>3624.6</v>
      </c>
      <c r="AQ101" s="32" cm="1">
        <f t="array" ref="AQ101">IF($F$10-$I$3+VLOOKUP($R101,武学奇术!$A:$ZZ,6,FALSE)+SUM(_xlfn.XLOOKUP(S101:AG101,增益!$A:$A,增益!$F:$F,0))&gt;0,($F$10-$I$3+VLOOKUP($R101,武学奇术!$A:$ZZ,6,FALSE)+SUM(_xlfn.XLOOKUP(S101:AG101,增益!$A:$A,增益!$F:$F,0)))/200,($F$10-$I$3+VLOOKUP($R101,武学奇术!$A:$ZZ,6,FALSE)+SUM(_xlfn.XLOOKUP(S101:AG101,增益!$A:$A,增益!$F:$F,0)))/100)</f>
        <v>0.2425</v>
      </c>
      <c r="AR101" s="32" cm="1">
        <f t="array" ref="AR101">$G$10+VLOOKUP($R101,武学奇术!$A:$ZZ,7,FALSE)+SUM(_xlfn.XLOOKUP(S101:AG101,增益!$A:$A,增益!$G:$G,0))</f>
        <v>0.028</v>
      </c>
      <c r="AS101" s="26" cm="1">
        <f t="array" ref="AS101">VLOOKUP($R101,武学奇术!$A:$ZZ,8,FALSE)+SUM(_xlfn.XLOOKUP(S101:AG101,增益!$A:$A,增益!$H:$H,0))</f>
        <v>0</v>
      </c>
      <c r="AT101">
        <f t="shared" si="43"/>
        <v>0</v>
      </c>
      <c r="AU101">
        <f t="shared" si="44"/>
        <v>0</v>
      </c>
      <c r="AV101" s="32" cm="1">
        <f t="array" ref="AV101">IF($F$11-$I$4+VLOOKUP($R101,武学奇术!$A:$ZZ,9,FALSE)+SUM(_xlfn.XLOOKUP(S101:AG101,增益!$A:$A,增益!$I:$I,0))&gt;0,($F$11-$I$4+VLOOKUP($R101,武学奇术!$A:$ZZ,9,FALSE)+SUM(_xlfn.XLOOKUP(S101:AG101,增益!$A:$A,增益!$I:$I,0)))/200,($F$11-$I$4+VLOOKUP($R101,武学奇术!$A:$ZZ,9,FALSE)+SUM(_xlfn.XLOOKUP(S101:AG101,增益!$A:$A,增益!$I:$I,0)))/100)</f>
        <v>-0.3</v>
      </c>
      <c r="AW101" s="32" cm="1">
        <f t="array" ref="AW101">$G$11+VLOOKUP($R101,武学奇术!$A:$ZZ,10,FALSE)+SUM(_xlfn.XLOOKUP(S101:AG101,增益!$A:$A,增益!$J:$J,0))</f>
        <v>0</v>
      </c>
      <c r="AX101">
        <f t="shared" si="45"/>
        <v>0</v>
      </c>
      <c r="AY101">
        <f t="shared" si="46"/>
        <v>0</v>
      </c>
      <c r="AZ101" s="32" cm="1">
        <f t="array" ref="AZ101">IF($F$12-$I$4+VLOOKUP($R101,武学奇术!$A:$ZZ,11,FALSE)+SUM(_xlfn.XLOOKUP(S101:AG101,增益!$A:$A,增益!$K:$K,0))&gt;0,($F$12-$I$4+VLOOKUP($R101,武学奇术!$A:$ZZ,11,FALSE)+SUM(_xlfn.XLOOKUP(S101:AG101,增益!$A:$A,增益!$K:$K,0)))/200,($F$12-$I$4+VLOOKUP($R101,武学奇术!$A:$ZZ,11,FALSE)+SUM(_xlfn.XLOOKUP(S101:AG101,增益!$A:$A,增益!$K:$K,0)))/100)</f>
        <v>-0.3</v>
      </c>
      <c r="BA101" s="32" cm="1">
        <f t="array" ref="BA101">$G$12+VLOOKUP($R101,武学奇术!$A:$ZZ,12,FALSE)+SUM(_xlfn.XLOOKUP(S101:AG101,增益!$A:$A,增益!$L:$L,0))</f>
        <v>0</v>
      </c>
      <c r="BB101">
        <f t="shared" si="47"/>
        <v>0</v>
      </c>
      <c r="BC101">
        <f t="shared" si="48"/>
        <v>0</v>
      </c>
      <c r="BD101" s="32" cm="1">
        <f t="array" ref="BD101">IF($F$13-$I$4+VLOOKUP($R101,武学奇术!$A:$ZZ,13,FALSE)+SUM(_xlfn.XLOOKUP(S101:AG101,增益!$A:$A,增益!$M:$M,0))&gt;0,($F$13-$I$4+VLOOKUP($R101,武学奇术!$A:$ZZ,13,FALSE)+SUM(_xlfn.XLOOKUP(S101:AG101,增益!$A:$A,增益!$K:$K,0)))/200,($F$13-$I$4+VLOOKUP($R101,武学奇术!$A:$ZZ,13,FALSE)+SUM(_xlfn.XLOOKUP(S101:AG101,增益!$A:$A,增益!$M:$M,0)))/100)</f>
        <v>-0.3</v>
      </c>
      <c r="BE101" s="32" cm="1">
        <f t="array" ref="BE101">$G$13+VLOOKUP($R101,武学奇术!$A:$ZZ,14,FALSE)+SUM(_xlfn.XLOOKUP(S101:AG101,增益!$A:$A,增益!$N:$N,0))</f>
        <v>0</v>
      </c>
      <c r="BF101">
        <f t="shared" si="49"/>
        <v>571.2</v>
      </c>
      <c r="BG101">
        <f t="shared" si="50"/>
        <v>1627.8</v>
      </c>
      <c r="BH101" s="32" cm="1">
        <f t="array" ref="BH101">IF($F$14-$I$4+VLOOKUP($R101,武学奇术!$A:$ZZ,15,FALSE)+SUM(_xlfn.XLOOKUP(S101:AG101,增益!$A:$A,增益!$O:$O,0))&gt;0,($F$14-$I$4+VLOOKUP($R101,武学奇术!$A:$ZZ,15,FALSE)+SUM(_xlfn.XLOOKUP(S101:AG101,增益!$A:$A,增益!$O:$O,0)))/200,($F$14-$I$4+VLOOKUP($R101,武学奇术!$A:$ZZ,15,FALSE)+SUM(_xlfn.XLOOKUP(S101:AG101,增益!$A:$A,增益!$O:$O,0)))/100)</f>
        <v>0</v>
      </c>
      <c r="BI101" s="32" cm="1">
        <f t="array" ref="BI101">$G$14+VLOOKUP($R101,武学奇术!$A:$ZZ,16,FALSE)+SUM(_xlfn.XLOOKUP(S101:AG101,增益!$A:$A,增益!$P:$P,0))</f>
        <v>0.15</v>
      </c>
      <c r="BJ101" s="26">
        <f>MIN(IF(VLOOKUP($R101,武学奇术!$A:$ZZ,23,FALSE)=1,100%,$B$8),100%)</f>
        <v>0.981</v>
      </c>
      <c r="BK101" s="26" cm="1">
        <f t="array" ref="BK101">IF(VLOOKUP($R101,武学奇术!$A:$ZZ,23,FALSE)=1,100%,MIN(80%,$B$9+VLOOKUP($R101,武学奇术!$A:$ZZ,17,FALSE)+SUM(_xlfn.XLOOKUP(S101:AG101,增益!$A:$A,增益!$Q:$Q,0)))+$B$11+SUM(_xlfn.XLOOKUP(S101:AG101,增益!$A:$A,增益!$U:$U,0)))*IF(VLOOKUP($R101,武学奇术!$A:$ZZ,24,FALSE)=1,0,1)</f>
        <v>0.846</v>
      </c>
      <c r="BL101" s="26" cm="1">
        <f t="array" ref="BL101">1+$B$13+VLOOKUP($R101,武学奇术!$A:$ZZ,18,FALSE)+SUM(_xlfn.XLOOKUP(S101:AG101,增益!$A:$A,增益!$R:$R,0))</f>
        <v>1.54</v>
      </c>
      <c r="BM101" s="26" cm="1">
        <f t="array" ref="BM101">IF(VLOOKUP($R101,武学奇术!$A:$ZZ,24,FALSE)=1,100%,MIN(40%,$B$10+VLOOKUP($R101,武学奇术!$A:$ZZ,19,FALSE)+SUM(_xlfn.XLOOKUP(S101:AG101,增益!$A:$A,增益!$S:$S,0)))+$B$12+SUM(_xlfn.XLOOKUP(S101:AG101,增益!$A:$A,增益!$V:$V,0)))*IF(VLOOKUP($R101,武学奇术!$A:$ZZ,23,FALSE)=1,0,1)</f>
        <v>0.0929</v>
      </c>
      <c r="BN101" s="26" cm="1">
        <f t="array" ref="BN101">1+$B$14+VLOOKUP($R101,武学奇术!$A:$ZZ,20,FALSE)+SUM(_xlfn.XLOOKUP(S101:AG101,增益!$A:$A,增益!$T:$T,0))</f>
        <v>1.35</v>
      </c>
      <c r="BO101" s="26">
        <f t="shared" si="23"/>
        <v>0.829926</v>
      </c>
      <c r="BP101" s="26">
        <f t="shared" si="33"/>
        <v>0.0599391</v>
      </c>
      <c r="BQ101" s="26">
        <f>IF(VLOOKUP($R101,武学奇术!$A:$ZZ,22,FALSE)=1,0,(1-$BJ101))*(1-$BM101)</f>
        <v>0.0172349</v>
      </c>
      <c r="BR101" s="26" cm="1">
        <f t="array" ref="BR101">SUM(_xlfn.XLOOKUP(S101:AG101,增益!$A:$A,增益!$W:$W,0))+$I$5</f>
        <v>0.11</v>
      </c>
    </row>
    <row r="102" spans="1:70">
      <c r="A102" s="4" t="s">
        <v>174</v>
      </c>
      <c r="B102" s="4">
        <v>30</v>
      </c>
      <c r="K102">
        <f>$L102*VLOOKUP($R102,武学奇术!$A:$ZZ,31,FALSE)</f>
        <v>0</v>
      </c>
      <c r="L102" s="38">
        <f t="shared" si="51"/>
        <v>0</v>
      </c>
      <c r="M102" s="38">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BL102*$Q102*(1+IF(VLOOKUP($R102,武学奇术!$A:$ZZ,30,FALSE)="回旋伞",$B$21,0))*(1+$BR102)</f>
        <v>0</v>
      </c>
      <c r="N102" s="38">
        <f>(($AP102*$AI102+$AJ102)*(1+$AQ102)*(1+$AR102)+($AU102*IF($G$1="鸣金",$AK102,$AI102)+IF($G$1="鸣金",$AL102*1.5,0))*(1+$AV102)*(1+$AW102)+($AY102*IF($G$1="裂石",$AK102,$AI102)+IF($G$1="裂石",$AL102*1.5,0))*(1+$AZ102)*(1+$BA102)+($BC102*IF($G$1="牵丝",$AK102,$AI102)+IF($G$1="牵丝",$AL102*1.5,0))*(1+$BD102)*(1+$BE102)+($BG102*IF($G$1="破竹",$AK102,$AI102)+IF($G$1="破竹",$AL102*1.5,0))*(1+$BH102)*(1+$BI102))*(1+$AM102)*$BN102*$Q102*(1+IF(VLOOKUP($R102,武学奇术!$A:$ZZ,30,FALSE)="回旋伞",$B$21,0))*(1+$BR102)</f>
        <v>0</v>
      </c>
      <c r="O102" s="38">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Q102*(1+IF(VLOOKUP($R102,武学奇术!$A:$ZZ,30,FALSE)="回旋伞",$B$21,0))*(1+$BR102)</f>
        <v>0</v>
      </c>
      <c r="P102" s="38">
        <f>((($AO102*$AI102+$AJ102)*(1+$AQ102)*(1+$AR102)+($AT102*IF($G$1="鸣金",$AK102,$AI102)+IF($G$1="鸣金",$AL102*1.5,0))*(1+$AV102)*(1+$AW102)+($AX102*IF($G$1="裂石",$AK102,$AI102)+IF($G$1="裂石",$AL102*1.5,0))*(1+$AZ102)*(1+$BA102)+($BB102*IF($G$1="牵丝",$AK102,$AI102)+IF($G$1="牵丝",$AL102*1.5,0))*(1+$BD102)*(1+$BE102)+($BF102*IF($G$1="破竹",$AK102,$AI102)+IF($G$1="破竹",$AL102*1.5,0))*(1+$BH102)*(1+$BI102))*(1+$AM102))*$Q102*(1+IF(VLOOKUP($R102,武学奇术!$A:$ZZ,30,FALSE)="回旋伞",$B$21,0))*(1+$BR102)</f>
        <v>0</v>
      </c>
      <c r="Q102" s="39">
        <v>1</v>
      </c>
      <c r="R102" s="40" t="s">
        <v>72</v>
      </c>
      <c r="S102" s="40" t="s">
        <v>72</v>
      </c>
      <c r="T102" s="40" t="s">
        <v>72</v>
      </c>
      <c r="U102" s="40" t="s">
        <v>72</v>
      </c>
      <c r="V102" s="40" t="s">
        <v>72</v>
      </c>
      <c r="W102" s="40" t="s">
        <v>72</v>
      </c>
      <c r="X102" s="40" t="s">
        <v>72</v>
      </c>
      <c r="Y102" s="40" t="s">
        <v>72</v>
      </c>
      <c r="Z102" s="40" t="s">
        <v>72</v>
      </c>
      <c r="AA102" s="40" t="s">
        <v>72</v>
      </c>
      <c r="AB102" s="40" t="s">
        <v>72</v>
      </c>
      <c r="AC102" s="40" t="s">
        <v>72</v>
      </c>
      <c r="AD102" s="40" t="s">
        <v>72</v>
      </c>
      <c r="AE102" s="40" t="s">
        <v>72</v>
      </c>
      <c r="AF102" s="40" t="s">
        <v>77</v>
      </c>
      <c r="AG102" s="40" t="s">
        <v>78</v>
      </c>
      <c r="AH102" t="str">
        <f>VLOOKUP($R102,武学奇术!$A:$ZZ,25,FALSE)</f>
        <v>心法</v>
      </c>
      <c r="AI102" s="26">
        <f>VLOOKUP($R102,武学奇术!$A:$ZZ,26,FALSE)</f>
        <v>0</v>
      </c>
      <c r="AJ102" s="27">
        <f>VLOOKUP($R102,武学奇术!$A:$ZZ,27,FALSE)*(1+IF(OR($AH102=$F$4,$AH102=$F$5),$B$22,0))</f>
        <v>0</v>
      </c>
      <c r="AK102" s="26">
        <f>VLOOKUP($R102,武学奇术!$A:$ZZ,28,FALSE)</f>
        <v>0</v>
      </c>
      <c r="AL102" s="27">
        <f>VLOOKUP($R102,武学奇术!$A:$ZZ,29,FALSE)*(1+IF(OR($AH102=$F$4,$AH102=$F$5),$B$22,0))</f>
        <v>0</v>
      </c>
      <c r="AM102" s="26" cm="1">
        <f t="array" ref="AM102">$G$3+IFERROR(VLOOKUP($AH102,$F$4:$G$7,2,FALSE),0)+VLOOKUP($R102,武学奇术!$A:$ZZ,2,FALSE)+SUM(_xlfn.XLOOKUP($S102:$AG102,增益!$A:$A,增益!$B:$B,0))</f>
        <v>0.1837</v>
      </c>
      <c r="AN102" s="26" cm="1">
        <f t="array" ref="AN102">VLOOKUP($R102,武学奇术!$A:$ZZ,5,FALSE)+SUM(_xlfn.XLOOKUP($S102:$AG102,增益!$A:$A,增益!$E:$E,0))</f>
        <v>0</v>
      </c>
      <c r="AO102" cm="1">
        <f t="array" ref="AO102">$D$10*(1+$AN102)+VLOOKUP($R102,武学奇术!$A:$ZZ,3,FALSE)+SUM(_xlfn.XLOOKUP($S102:$AG102,增益!$A:$A,增益!$C:$C,0))-$I$2</f>
        <v>3624.6</v>
      </c>
      <c r="AP102" cm="1">
        <f t="array" ref="AP102">$E$10*(1+$AN102)+VLOOKUP($R102,武学奇术!$A:$ZZ,4,FALSE)+SUM(_xlfn.XLOOKUP($S102:$AG102,增益!$A:$A,增益!$D:$D,0))-$I$2</f>
        <v>3624.6</v>
      </c>
      <c r="AQ102" s="32" cm="1">
        <f t="array" ref="AQ102">IF($F$10-$I$3+VLOOKUP($R102,武学奇术!$A:$ZZ,6,FALSE)+SUM(_xlfn.XLOOKUP(S102:AG102,增益!$A:$A,增益!$F:$F,0))&gt;0,($F$10-$I$3+VLOOKUP($R102,武学奇术!$A:$ZZ,6,FALSE)+SUM(_xlfn.XLOOKUP(S102:AG102,增益!$A:$A,增益!$F:$F,0)))/200,($F$10-$I$3+VLOOKUP($R102,武学奇术!$A:$ZZ,6,FALSE)+SUM(_xlfn.XLOOKUP(S102:AG102,增益!$A:$A,增益!$F:$F,0)))/100)</f>
        <v>0.2425</v>
      </c>
      <c r="AR102" s="32" cm="1">
        <f t="array" ref="AR102">$G$10+VLOOKUP($R102,武学奇术!$A:$ZZ,7,FALSE)+SUM(_xlfn.XLOOKUP(S102:AG102,增益!$A:$A,增益!$G:$G,0))</f>
        <v>0.028</v>
      </c>
      <c r="AS102" s="26" cm="1">
        <f t="array" ref="AS102">VLOOKUP($R102,武学奇术!$A:$ZZ,8,FALSE)+SUM(_xlfn.XLOOKUP(S102:AG102,增益!$A:$A,增益!$H:$H,0))</f>
        <v>0</v>
      </c>
      <c r="AT102">
        <f t="shared" si="43"/>
        <v>0</v>
      </c>
      <c r="AU102">
        <f t="shared" si="44"/>
        <v>0</v>
      </c>
      <c r="AV102" s="32" cm="1">
        <f t="array" ref="AV102">IF($F$11-$I$4+VLOOKUP($R102,武学奇术!$A:$ZZ,9,FALSE)+SUM(_xlfn.XLOOKUP(S102:AG102,增益!$A:$A,增益!$I:$I,0))&gt;0,($F$11-$I$4+VLOOKUP($R102,武学奇术!$A:$ZZ,9,FALSE)+SUM(_xlfn.XLOOKUP(S102:AG102,增益!$A:$A,增益!$I:$I,0)))/200,($F$11-$I$4+VLOOKUP($R102,武学奇术!$A:$ZZ,9,FALSE)+SUM(_xlfn.XLOOKUP(S102:AG102,增益!$A:$A,增益!$I:$I,0)))/100)</f>
        <v>-0.3</v>
      </c>
      <c r="AW102" s="32" cm="1">
        <f t="array" ref="AW102">$G$11+VLOOKUP($R102,武学奇术!$A:$ZZ,10,FALSE)+SUM(_xlfn.XLOOKUP(S102:AG102,增益!$A:$A,增益!$J:$J,0))</f>
        <v>0</v>
      </c>
      <c r="AX102">
        <f t="shared" si="45"/>
        <v>0</v>
      </c>
      <c r="AY102">
        <f t="shared" si="46"/>
        <v>0</v>
      </c>
      <c r="AZ102" s="32" cm="1">
        <f t="array" ref="AZ102">IF($F$12-$I$4+VLOOKUP($R102,武学奇术!$A:$ZZ,11,FALSE)+SUM(_xlfn.XLOOKUP(S102:AG102,增益!$A:$A,增益!$K:$K,0))&gt;0,($F$12-$I$4+VLOOKUP($R102,武学奇术!$A:$ZZ,11,FALSE)+SUM(_xlfn.XLOOKUP(S102:AG102,增益!$A:$A,增益!$K:$K,0)))/200,($F$12-$I$4+VLOOKUP($R102,武学奇术!$A:$ZZ,11,FALSE)+SUM(_xlfn.XLOOKUP(S102:AG102,增益!$A:$A,增益!$K:$K,0)))/100)</f>
        <v>-0.3</v>
      </c>
      <c r="BA102" s="32" cm="1">
        <f t="array" ref="BA102">$G$12+VLOOKUP($R102,武学奇术!$A:$ZZ,12,FALSE)+SUM(_xlfn.XLOOKUP(S102:AG102,增益!$A:$A,增益!$L:$L,0))</f>
        <v>0</v>
      </c>
      <c r="BB102">
        <f t="shared" si="47"/>
        <v>0</v>
      </c>
      <c r="BC102">
        <f t="shared" si="48"/>
        <v>0</v>
      </c>
      <c r="BD102" s="32" cm="1">
        <f t="array" ref="BD102">IF($F$13-$I$4+VLOOKUP($R102,武学奇术!$A:$ZZ,13,FALSE)+SUM(_xlfn.XLOOKUP(S102:AG102,增益!$A:$A,增益!$M:$M,0))&gt;0,($F$13-$I$4+VLOOKUP($R102,武学奇术!$A:$ZZ,13,FALSE)+SUM(_xlfn.XLOOKUP(S102:AG102,增益!$A:$A,增益!$K:$K,0)))/200,($F$13-$I$4+VLOOKUP($R102,武学奇术!$A:$ZZ,13,FALSE)+SUM(_xlfn.XLOOKUP(S102:AG102,增益!$A:$A,增益!$M:$M,0)))/100)</f>
        <v>-0.3</v>
      </c>
      <c r="BE102" s="32" cm="1">
        <f t="array" ref="BE102">$G$13+VLOOKUP($R102,武学奇术!$A:$ZZ,14,FALSE)+SUM(_xlfn.XLOOKUP(S102:AG102,增益!$A:$A,增益!$N:$N,0))</f>
        <v>0</v>
      </c>
      <c r="BF102">
        <f t="shared" si="49"/>
        <v>571.2</v>
      </c>
      <c r="BG102">
        <f t="shared" si="50"/>
        <v>1627.8</v>
      </c>
      <c r="BH102" s="32" cm="1">
        <f t="array" ref="BH102">IF($F$14-$I$4+VLOOKUP($R102,武学奇术!$A:$ZZ,15,FALSE)+SUM(_xlfn.XLOOKUP(S102:AG102,增益!$A:$A,增益!$O:$O,0))&gt;0,($F$14-$I$4+VLOOKUP($R102,武学奇术!$A:$ZZ,15,FALSE)+SUM(_xlfn.XLOOKUP(S102:AG102,增益!$A:$A,增益!$O:$O,0)))/200,($F$14-$I$4+VLOOKUP($R102,武学奇术!$A:$ZZ,15,FALSE)+SUM(_xlfn.XLOOKUP(S102:AG102,增益!$A:$A,增益!$O:$O,0)))/100)</f>
        <v>0</v>
      </c>
      <c r="BI102" s="32" cm="1">
        <f t="array" ref="BI102">$G$14+VLOOKUP($R102,武学奇术!$A:$ZZ,16,FALSE)+SUM(_xlfn.XLOOKUP(S102:AG102,增益!$A:$A,增益!$P:$P,0))</f>
        <v>0.15</v>
      </c>
      <c r="BJ102" s="26">
        <f>MIN(IF(VLOOKUP($R102,武学奇术!$A:$ZZ,23,FALSE)=1,100%,$B$8),100%)</f>
        <v>0.981</v>
      </c>
      <c r="BK102" s="26" cm="1">
        <f t="array" ref="BK102">IF(VLOOKUP($R102,武学奇术!$A:$ZZ,23,FALSE)=1,100%,MIN(80%,$B$9+VLOOKUP($R102,武学奇术!$A:$ZZ,17,FALSE)+SUM(_xlfn.XLOOKUP(S102:AG102,增益!$A:$A,增益!$Q:$Q,0)))+$B$11+SUM(_xlfn.XLOOKUP(S102:AG102,增益!$A:$A,增益!$U:$U,0)))*IF(VLOOKUP($R102,武学奇术!$A:$ZZ,24,FALSE)=1,0,1)</f>
        <v>0.846</v>
      </c>
      <c r="BL102" s="26" cm="1">
        <f t="array" ref="BL102">1+$B$13+VLOOKUP($R102,武学奇术!$A:$ZZ,18,FALSE)+SUM(_xlfn.XLOOKUP(S102:AG102,增益!$A:$A,增益!$R:$R,0))</f>
        <v>1.54</v>
      </c>
      <c r="BM102" s="26" cm="1">
        <f t="array" ref="BM102">IF(VLOOKUP($R102,武学奇术!$A:$ZZ,24,FALSE)=1,100%,MIN(40%,$B$10+VLOOKUP($R102,武学奇术!$A:$ZZ,19,FALSE)+SUM(_xlfn.XLOOKUP(S102:AG102,增益!$A:$A,增益!$S:$S,0)))+$B$12+SUM(_xlfn.XLOOKUP(S102:AG102,增益!$A:$A,增益!$V:$V,0)))*IF(VLOOKUP($R102,武学奇术!$A:$ZZ,23,FALSE)=1,0,1)</f>
        <v>0.0929</v>
      </c>
      <c r="BN102" s="26" cm="1">
        <f t="array" ref="BN102">1+$B$14+VLOOKUP($R102,武学奇术!$A:$ZZ,20,FALSE)+SUM(_xlfn.XLOOKUP(S102:AG102,增益!$A:$A,增益!$T:$T,0))</f>
        <v>1.35</v>
      </c>
      <c r="BO102" s="26">
        <f t="shared" si="23"/>
        <v>0.829926</v>
      </c>
      <c r="BP102" s="26">
        <f t="shared" si="33"/>
        <v>0.0599391</v>
      </c>
      <c r="BQ102" s="26">
        <f>IF(VLOOKUP($R102,武学奇术!$A:$ZZ,22,FALSE)=1,0,(1-$BJ102))*(1-$BM102)</f>
        <v>0.0172349</v>
      </c>
      <c r="BR102" s="26" cm="1">
        <f t="array" ref="BR102">SUM(_xlfn.XLOOKUP(S102:AG102,增益!$A:$A,增益!$W:$W,0))+$I$5</f>
        <v>0.11</v>
      </c>
    </row>
    <row r="103" spans="1:70">
      <c r="A103" s="4" t="s">
        <v>156</v>
      </c>
      <c r="B103" s="87">
        <v>1.5</v>
      </c>
      <c r="K103">
        <f>$L103*VLOOKUP($R103,武学奇术!$A:$ZZ,31,FALSE)</f>
        <v>20107.2502789224</v>
      </c>
      <c r="L103" s="38">
        <f t="shared" si="51"/>
        <v>19149.7621704023</v>
      </c>
      <c r="M103" s="38">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BL103*$Q103*(1+IF(VLOOKUP($R103,武学奇术!$A:$ZZ,30,FALSE)="回旋伞",$B$21,0))*(1+$BR103)</f>
        <v>19915.9910870224</v>
      </c>
      <c r="N103" s="38">
        <f>(($AP103*$AI103+$AJ103)*(1+$AQ103)*(1+$AR103)+($AU103*IF($G$1="鸣金",$AK103,$AI103)+IF($G$1="鸣金",$AL103*1.5,0))*(1+$AV103)*(1+$AW103)+($AY103*IF($G$1="裂石",$AK103,$AI103)+IF($G$1="裂石",$AL103*1.5,0))*(1+$AZ103)*(1+$BA103)+($BC103*IF($G$1="牵丝",$AK103,$AI103)+IF($G$1="牵丝",$AL103*1.5,0))*(1+$BD103)*(1+$BE103)+($BG103*IF($G$1="破竹",$AK103,$AI103)+IF($G$1="破竹",$AL103*1.5,0))*(1+$BH103)*(1+$BI103))*(1+$AM103)*$BN103*$Q103*(1+IF(VLOOKUP($R103,武学奇术!$A:$ZZ,30,FALSE)="回旋伞",$B$21,0))*(1+$BR103)</f>
        <v>18400.2083691548</v>
      </c>
      <c r="O103" s="38">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Q103*(1+IF(VLOOKUP($R103,武学奇术!$A:$ZZ,30,FALSE)="回旋伞",$B$21,0))*(1+$BR103)</f>
        <v>12143.8970042819</v>
      </c>
      <c r="P103" s="38">
        <f>((($AO103*$AI103+$AJ103)*(1+$AQ103)*(1+$AR103)+($AT103*IF($G$1="鸣金",$AK103,$AI103)+IF($G$1="鸣金",$AL103*1.5,0))*(1+$AV103)*(1+$AW103)+($AX103*IF($G$1="裂石",$AK103,$AI103)+IF($G$1="裂石",$AL103*1.5,0))*(1+$AZ103)*(1+$BA103)+($BB103*IF($G$1="牵丝",$AK103,$AI103)+IF($G$1="牵丝",$AL103*1.5,0))*(1+$BD103)*(1+$BE103)+($BF103*IF($G$1="破竹",$AK103,$AI103)+IF($G$1="破竹",$AL103*1.5,0))*(1+$BH103)*(1+$BI103))*(1+$AM103))*$Q103*(1+IF(VLOOKUP($R103,武学奇术!$A:$ZZ,30,FALSE)="回旋伞",$B$21,0))*(1+$BR103)</f>
        <v>10658.0100314121</v>
      </c>
      <c r="Q103" s="39">
        <v>1</v>
      </c>
      <c r="R103" s="40" t="s">
        <v>102</v>
      </c>
      <c r="S103" s="40" t="s">
        <v>72</v>
      </c>
      <c r="T103" s="40" t="s">
        <v>72</v>
      </c>
      <c r="U103" s="40" t="s">
        <v>72</v>
      </c>
      <c r="V103" s="40" t="s">
        <v>72</v>
      </c>
      <c r="W103" s="40" t="s">
        <v>172</v>
      </c>
      <c r="X103" s="40" t="s">
        <v>72</v>
      </c>
      <c r="Y103" s="40" t="s">
        <v>72</v>
      </c>
      <c r="Z103" s="40" t="s">
        <v>72</v>
      </c>
      <c r="AA103" s="40" t="s">
        <v>72</v>
      </c>
      <c r="AB103" s="40" t="s">
        <v>72</v>
      </c>
      <c r="AC103" s="40" t="s">
        <v>72</v>
      </c>
      <c r="AD103" s="40" t="s">
        <v>72</v>
      </c>
      <c r="AE103" s="40" t="s">
        <v>72</v>
      </c>
      <c r="AF103" s="40" t="s">
        <v>77</v>
      </c>
      <c r="AG103" s="40" t="s">
        <v>78</v>
      </c>
      <c r="AH103" t="str">
        <f>VLOOKUP($R103,武学奇术!$A:$ZZ,25,FALSE)</f>
        <v>绳镖</v>
      </c>
      <c r="AI103" s="26">
        <f>VLOOKUP($R103,武学奇术!$A:$ZZ,26,FALSE)</f>
        <v>1.1137</v>
      </c>
      <c r="AJ103" s="27">
        <f>VLOOKUP($R103,武学奇术!$A:$ZZ,27,FALSE)*(1+IF(OR($AH103=$F$4,$AH103=$F$5),$B$22,0))</f>
        <v>463.5</v>
      </c>
      <c r="AK103" s="26">
        <f>VLOOKUP($R103,武学奇术!$A:$ZZ,28,FALSE)</f>
        <v>1.6706</v>
      </c>
      <c r="AL103" s="27">
        <f>VLOOKUP($R103,武学奇术!$A:$ZZ,29,FALSE)*(1+IF(OR($AH103=$F$4,$AH103=$F$5),$B$22,0))</f>
        <v>252</v>
      </c>
      <c r="AM103" s="26" cm="1">
        <f t="array" ref="AM103">$G$3+IFERROR(VLOOKUP($AH103,$F$4:$G$7,2,FALSE),0)+VLOOKUP($R103,武学奇术!$A:$ZZ,2,FALSE)+SUM(_xlfn.XLOOKUP($S103:$AG103,增益!$A:$A,增益!$B:$B,0))</f>
        <v>0.3189</v>
      </c>
      <c r="AN103" s="26" cm="1">
        <f t="array" ref="AN103">VLOOKUP($R103,武学奇术!$A:$ZZ,5,FALSE)+SUM(_xlfn.XLOOKUP($S103:$AG103,增益!$A:$A,增益!$E:$E,0))</f>
        <v>0</v>
      </c>
      <c r="AO103" cm="1">
        <f t="array" ref="AO103">$D$10*(1+$AN103)+VLOOKUP($R103,武学奇术!$A:$ZZ,3,FALSE)+SUM(_xlfn.XLOOKUP($S103:$AG103,增益!$A:$A,增益!$C:$C,0))-$I$2</f>
        <v>3624.6</v>
      </c>
      <c r="AP103" cm="1">
        <f t="array" ref="AP103">$E$10*(1+$AN103)+VLOOKUP($R103,武学奇术!$A:$ZZ,4,FALSE)+SUM(_xlfn.XLOOKUP($S103:$AG103,增益!$A:$A,增益!$D:$D,0))-$I$2</f>
        <v>3624.6</v>
      </c>
      <c r="AQ103" s="32" cm="1">
        <f t="array" ref="AQ103">IF($F$10-$I$3+VLOOKUP($R103,武学奇术!$A:$ZZ,6,FALSE)+SUM(_xlfn.XLOOKUP(S103:AG103,增益!$A:$A,增益!$F:$F,0))&gt;0,($F$10-$I$3+VLOOKUP($R103,武学奇术!$A:$ZZ,6,FALSE)+SUM(_xlfn.XLOOKUP(S103:AG103,增益!$A:$A,增益!$F:$F,0)))/200,($F$10-$I$3+VLOOKUP($R103,武学奇术!$A:$ZZ,6,FALSE)+SUM(_xlfn.XLOOKUP(S103:AG103,增益!$A:$A,增益!$F:$F,0)))/100)</f>
        <v>0.2425</v>
      </c>
      <c r="AR103" s="32" cm="1">
        <f t="array" ref="AR103">$G$10+VLOOKUP($R103,武学奇术!$A:$ZZ,7,FALSE)+SUM(_xlfn.XLOOKUP(S103:AG103,增益!$A:$A,增益!$G:$G,0))</f>
        <v>0.028</v>
      </c>
      <c r="AS103" s="26" cm="1">
        <f t="array" ref="AS103">VLOOKUP($R103,武学奇术!$A:$ZZ,8,FALSE)+SUM(_xlfn.XLOOKUP(S103:AG103,增益!$A:$A,增益!$H:$H,0))</f>
        <v>0</v>
      </c>
      <c r="AT103">
        <f t="shared" si="43"/>
        <v>0</v>
      </c>
      <c r="AU103">
        <f t="shared" si="44"/>
        <v>0</v>
      </c>
      <c r="AV103" s="32" cm="1">
        <f t="array" ref="AV103">IF($F$11-$I$4+VLOOKUP($R103,武学奇术!$A:$ZZ,9,FALSE)+SUM(_xlfn.XLOOKUP(S103:AG103,增益!$A:$A,增益!$I:$I,0))&gt;0,($F$11-$I$4+VLOOKUP($R103,武学奇术!$A:$ZZ,9,FALSE)+SUM(_xlfn.XLOOKUP(S103:AG103,增益!$A:$A,增益!$I:$I,0)))/200,($F$11-$I$4+VLOOKUP($R103,武学奇术!$A:$ZZ,9,FALSE)+SUM(_xlfn.XLOOKUP(S103:AG103,增益!$A:$A,增益!$I:$I,0)))/100)</f>
        <v>-0.3</v>
      </c>
      <c r="AW103" s="32" cm="1">
        <f t="array" ref="AW103">$G$11+VLOOKUP($R103,武学奇术!$A:$ZZ,10,FALSE)+SUM(_xlfn.XLOOKUP(S103:AG103,增益!$A:$A,增益!$J:$J,0))</f>
        <v>0</v>
      </c>
      <c r="AX103">
        <f t="shared" si="45"/>
        <v>0</v>
      </c>
      <c r="AY103">
        <f t="shared" si="46"/>
        <v>0</v>
      </c>
      <c r="AZ103" s="32" cm="1">
        <f t="array" ref="AZ103">IF($F$12-$I$4+VLOOKUP($R103,武学奇术!$A:$ZZ,11,FALSE)+SUM(_xlfn.XLOOKUP(S103:AG103,增益!$A:$A,增益!$K:$K,0))&gt;0,($F$12-$I$4+VLOOKUP($R103,武学奇术!$A:$ZZ,11,FALSE)+SUM(_xlfn.XLOOKUP(S103:AG103,增益!$A:$A,增益!$K:$K,0)))/200,($F$12-$I$4+VLOOKUP($R103,武学奇术!$A:$ZZ,11,FALSE)+SUM(_xlfn.XLOOKUP(S103:AG103,增益!$A:$A,增益!$K:$K,0)))/100)</f>
        <v>-0.3</v>
      </c>
      <c r="BA103" s="32" cm="1">
        <f t="array" ref="BA103">$G$12+VLOOKUP($R103,武学奇术!$A:$ZZ,12,FALSE)+SUM(_xlfn.XLOOKUP(S103:AG103,增益!$A:$A,增益!$L:$L,0))</f>
        <v>0</v>
      </c>
      <c r="BB103">
        <f t="shared" si="47"/>
        <v>0</v>
      </c>
      <c r="BC103">
        <f t="shared" si="48"/>
        <v>0</v>
      </c>
      <c r="BD103" s="32" cm="1">
        <f t="array" ref="BD103">IF($F$13-$I$4+VLOOKUP($R103,武学奇术!$A:$ZZ,13,FALSE)+SUM(_xlfn.XLOOKUP(S103:AG103,增益!$A:$A,增益!$M:$M,0))&gt;0,($F$13-$I$4+VLOOKUP($R103,武学奇术!$A:$ZZ,13,FALSE)+SUM(_xlfn.XLOOKUP(S103:AG103,增益!$A:$A,增益!$K:$K,0)))/200,($F$13-$I$4+VLOOKUP($R103,武学奇术!$A:$ZZ,13,FALSE)+SUM(_xlfn.XLOOKUP(S103:AG103,增益!$A:$A,增益!$M:$M,0)))/100)</f>
        <v>-0.3</v>
      </c>
      <c r="BE103" s="32" cm="1">
        <f t="array" ref="BE103">$G$13+VLOOKUP($R103,武学奇术!$A:$ZZ,14,FALSE)+SUM(_xlfn.XLOOKUP(S103:AG103,增益!$A:$A,增益!$N:$N,0))</f>
        <v>0</v>
      </c>
      <c r="BF103">
        <f t="shared" si="49"/>
        <v>571.2</v>
      </c>
      <c r="BG103">
        <f t="shared" si="50"/>
        <v>1627.8</v>
      </c>
      <c r="BH103" s="32" cm="1">
        <f t="array" ref="BH103">IF($F$14-$I$4+VLOOKUP($R103,武学奇术!$A:$ZZ,15,FALSE)+SUM(_xlfn.XLOOKUP(S103:AG103,增益!$A:$A,增益!$O:$O,0))&gt;0,($F$14-$I$4+VLOOKUP($R103,武学奇术!$A:$ZZ,15,FALSE)+SUM(_xlfn.XLOOKUP(S103:AG103,增益!$A:$A,增益!$O:$O,0)))/200,($F$14-$I$4+VLOOKUP($R103,武学奇术!$A:$ZZ,15,FALSE)+SUM(_xlfn.XLOOKUP(S103:AG103,增益!$A:$A,增益!$O:$O,0)))/100)</f>
        <v>0</v>
      </c>
      <c r="BI103" s="32" cm="1">
        <f t="array" ref="BI103">$G$14+VLOOKUP($R103,武学奇术!$A:$ZZ,16,FALSE)+SUM(_xlfn.XLOOKUP(S103:AG103,增益!$A:$A,增益!$P:$P,0))</f>
        <v>0.15</v>
      </c>
      <c r="BJ103" s="26">
        <f>MIN(IF(VLOOKUP($R103,武学奇术!$A:$ZZ,23,FALSE)=1,100%,$B$8),100%)</f>
        <v>0.981</v>
      </c>
      <c r="BK103" s="26" cm="1">
        <f t="array" ref="BK103">IF(VLOOKUP($R103,武学奇术!$A:$ZZ,23,FALSE)=1,100%,MIN(80%,$B$9+VLOOKUP($R103,武学奇术!$A:$ZZ,17,FALSE)+SUM(_xlfn.XLOOKUP(S103:AG103,增益!$A:$A,增益!$Q:$Q,0)))+$B$11+SUM(_xlfn.XLOOKUP(S103:AG103,增益!$A:$A,增益!$U:$U,0)))*IF(VLOOKUP($R103,武学奇术!$A:$ZZ,24,FALSE)=1,0,1)</f>
        <v>0.846</v>
      </c>
      <c r="BL103" s="26" cm="1">
        <f t="array" ref="BL103">1+$B$13+VLOOKUP($R103,武学奇术!$A:$ZZ,18,FALSE)+SUM(_xlfn.XLOOKUP(S103:AG103,增益!$A:$A,增益!$R:$R,0))</f>
        <v>1.64</v>
      </c>
      <c r="BM103" s="26" cm="1">
        <f t="array" ref="BM103">IF(VLOOKUP($R103,武学奇术!$A:$ZZ,24,FALSE)=1,100%,MIN(40%,$B$10+VLOOKUP($R103,武学奇术!$A:$ZZ,19,FALSE)+SUM(_xlfn.XLOOKUP(S103:AG103,增益!$A:$A,增益!$S:$S,0)))+$B$12+SUM(_xlfn.XLOOKUP(S103:AG103,增益!$A:$A,增益!$V:$V,0)))*IF(VLOOKUP($R103,武学奇术!$A:$ZZ,23,FALSE)=1,0,1)</f>
        <v>0.0929</v>
      </c>
      <c r="BN103" s="26" cm="1">
        <f t="array" ref="BN103">1+$B$14+VLOOKUP($R103,武学奇术!$A:$ZZ,20,FALSE)+SUM(_xlfn.XLOOKUP(S103:AG103,增益!$A:$A,增益!$T:$T,0))</f>
        <v>1.35</v>
      </c>
      <c r="BO103" s="26">
        <f t="shared" si="23"/>
        <v>0.829926</v>
      </c>
      <c r="BP103" s="26">
        <f t="shared" si="33"/>
        <v>0.0599391</v>
      </c>
      <c r="BQ103" s="26">
        <f>IF(VLOOKUP($R103,武学奇术!$A:$ZZ,22,FALSE)=1,0,(1-$BJ103))*(1-$BM103)</f>
        <v>0.0172349</v>
      </c>
      <c r="BR103" s="26" cm="1">
        <f t="array" ref="BR103">SUM(_xlfn.XLOOKUP(S103:AG103,增益!$A:$A,增益!$W:$W,0))+$I$5</f>
        <v>0.11</v>
      </c>
    </row>
    <row r="104" spans="1:70">
      <c r="A104" s="4" t="s">
        <v>158</v>
      </c>
      <c r="B104" s="4">
        <v>0.5</v>
      </c>
      <c r="K104">
        <f>$L104*VLOOKUP($R104,武学奇术!$A:$ZZ,31,FALSE)</f>
        <v>14696.7298320732</v>
      </c>
      <c r="L104" s="38">
        <f t="shared" si="51"/>
        <v>13996.8855543554</v>
      </c>
      <c r="M104" s="38">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BL104*$Q104*(1+IF(VLOOKUP($R104,武学奇术!$A:$ZZ,30,FALSE)="回旋伞",$B$21,0))*(1+$BR104)</f>
        <v>14556.9948926113</v>
      </c>
      <c r="N104" s="38">
        <f>(($AP104*$AI104+$AJ104)*(1+$AQ104)*(1+$AR104)+($AU104*IF($G$1="鸣金",$AK104,$AI104)+IF($G$1="鸣金",$AL104*1.5,0))*(1+$AV104)*(1+$AW104)+($AY104*IF($G$1="裂石",$AK104,$AI104)+IF($G$1="裂石",$AL104*1.5,0))*(1+$AZ104)*(1+$BA104)+($BC104*IF($G$1="牵丝",$AK104,$AI104)+IF($G$1="牵丝",$AL104*1.5,0))*(1+$BD104)*(1+$BE104)+($BG104*IF($G$1="破竹",$AK104,$AI104)+IF($G$1="破竹",$AL104*1.5,0))*(1+$BH104)*(1+$BI104))*(1+$AM104)*$BN104*$Q104*(1+IF(VLOOKUP($R104,武学奇术!$A:$ZZ,30,FALSE)="回旋伞",$B$21,0))*(1+$BR104)</f>
        <v>13448.3634190199</v>
      </c>
      <c r="O104" s="38">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Q104*(1+IF(VLOOKUP($R104,武学奇术!$A:$ZZ,30,FALSE)="回旋伞",$B$21,0))*(1+$BR104)</f>
        <v>8876.21639793374</v>
      </c>
      <c r="P104" s="38">
        <f>((($AO104*$AI104+$AJ104)*(1+$AQ104)*(1+$AR104)+($AT104*IF($G$1="鸣金",$AK104,$AI104)+IF($G$1="鸣金",$AL104*1.5,0))*(1+$AV104)*(1+$AW104)+($AX104*IF($G$1="裂石",$AK104,$AI104)+IF($G$1="裂石",$AL104*1.5,0))*(1+$AZ104)*(1+$BA104)+($BB104*IF($G$1="牵丝",$AK104,$AI104)+IF($G$1="牵丝",$AL104*1.5,0))*(1+$BD104)*(1+$BE104)+($BF104*IF($G$1="破竹",$AK104,$AI104)+IF($G$1="破竹",$AL104*1.5,0))*(1+$BH104)*(1+$BI104))*(1+$AM104))*$Q104*(1+IF(VLOOKUP($R104,武学奇术!$A:$ZZ,30,FALSE)="回旋伞",$B$21,0))*(1+$BR104)</f>
        <v>7790.68211511197</v>
      </c>
      <c r="Q104" s="39">
        <v>1</v>
      </c>
      <c r="R104" s="40" t="s">
        <v>106</v>
      </c>
      <c r="S104" s="40" t="s">
        <v>72</v>
      </c>
      <c r="T104" s="40" t="s">
        <v>72</v>
      </c>
      <c r="U104" s="40" t="s">
        <v>72</v>
      </c>
      <c r="V104" s="40" t="s">
        <v>72</v>
      </c>
      <c r="W104" s="40" t="s">
        <v>172</v>
      </c>
      <c r="X104" s="40" t="s">
        <v>72</v>
      </c>
      <c r="Y104" s="40" t="s">
        <v>72</v>
      </c>
      <c r="Z104" s="40" t="s">
        <v>72</v>
      </c>
      <c r="AA104" s="40" t="s">
        <v>72</v>
      </c>
      <c r="AB104" s="40" t="s">
        <v>72</v>
      </c>
      <c r="AC104" s="40" t="s">
        <v>72</v>
      </c>
      <c r="AD104" s="40" t="s">
        <v>72</v>
      </c>
      <c r="AE104" s="40" t="s">
        <v>72</v>
      </c>
      <c r="AF104" s="40" t="s">
        <v>77</v>
      </c>
      <c r="AG104" s="40" t="s">
        <v>78</v>
      </c>
      <c r="AH104" t="str">
        <f>VLOOKUP($R104,武学奇术!$A:$ZZ,25,FALSE)</f>
        <v>绳镖</v>
      </c>
      <c r="AI104" s="26">
        <f>VLOOKUP($R104,武学奇术!$A:$ZZ,26,FALSE)</f>
        <v>0.7839</v>
      </c>
      <c r="AJ104" s="27">
        <f>VLOOKUP($R104,武学奇术!$A:$ZZ,27,FALSE)*(1+IF(OR($AH104=$F$4,$AH104=$F$5),$B$22,0))</f>
        <v>327</v>
      </c>
      <c r="AK104" s="26">
        <f>VLOOKUP($R104,武学奇术!$A:$ZZ,28,FALSE)</f>
        <v>1.1759</v>
      </c>
      <c r="AL104" s="27">
        <f>VLOOKUP($R104,武学奇术!$A:$ZZ,29,FALSE)*(1+IF(OR($AH104=$F$4,$AH104=$F$5),$B$22,0))</f>
        <v>178.5</v>
      </c>
      <c r="AM104" s="26" cm="1">
        <f t="array" ref="AM104">$G$3+IFERROR(VLOOKUP($AH104,$F$4:$G$7,2,FALSE),0)+VLOOKUP($R104,武学奇术!$A:$ZZ,2,FALSE)+SUM(_xlfn.XLOOKUP($S104:$AG104,增益!$A:$A,增益!$B:$B,0))</f>
        <v>0.3689</v>
      </c>
      <c r="AN104" s="26" cm="1">
        <f t="array" ref="AN104">VLOOKUP($R104,武学奇术!$A:$ZZ,5,FALSE)+SUM(_xlfn.XLOOKUP($S104:$AG104,增益!$A:$A,增益!$E:$E,0))</f>
        <v>0</v>
      </c>
      <c r="AO104" cm="1">
        <f t="array" ref="AO104">$D$10*(1+$AN104)+VLOOKUP($R104,武学奇术!$A:$ZZ,3,FALSE)+SUM(_xlfn.XLOOKUP($S104:$AG104,增益!$A:$A,增益!$C:$C,0))-$I$2</f>
        <v>3624.6</v>
      </c>
      <c r="AP104" cm="1">
        <f t="array" ref="AP104">$E$10*(1+$AN104)+VLOOKUP($R104,武学奇术!$A:$ZZ,4,FALSE)+SUM(_xlfn.XLOOKUP($S104:$AG104,增益!$A:$A,增益!$D:$D,0))-$I$2</f>
        <v>3624.6</v>
      </c>
      <c r="AQ104" s="32" cm="1">
        <f t="array" ref="AQ104">IF($F$10-$I$3+VLOOKUP($R104,武学奇术!$A:$ZZ,6,FALSE)+SUM(_xlfn.XLOOKUP(S104:AG104,增益!$A:$A,增益!$F:$F,0))&gt;0,($F$10-$I$3+VLOOKUP($R104,武学奇术!$A:$ZZ,6,FALSE)+SUM(_xlfn.XLOOKUP(S104:AG104,增益!$A:$A,增益!$F:$F,0)))/200,($F$10-$I$3+VLOOKUP($R104,武学奇术!$A:$ZZ,6,FALSE)+SUM(_xlfn.XLOOKUP(S104:AG104,增益!$A:$A,增益!$F:$F,0)))/100)</f>
        <v>0.2425</v>
      </c>
      <c r="AR104" s="32" cm="1">
        <f t="array" ref="AR104">$G$10+VLOOKUP($R104,武学奇术!$A:$ZZ,7,FALSE)+SUM(_xlfn.XLOOKUP(S104:AG104,增益!$A:$A,增益!$G:$G,0))</f>
        <v>0.028</v>
      </c>
      <c r="AS104" s="26" cm="1">
        <f t="array" ref="AS104">VLOOKUP($R104,武学奇术!$A:$ZZ,8,FALSE)+SUM(_xlfn.XLOOKUP(S104:AG104,增益!$A:$A,增益!$H:$H,0))</f>
        <v>0</v>
      </c>
      <c r="AT104">
        <f t="shared" si="43"/>
        <v>0</v>
      </c>
      <c r="AU104">
        <f t="shared" si="44"/>
        <v>0</v>
      </c>
      <c r="AV104" s="32" cm="1">
        <f t="array" ref="AV104">IF($F$11-$I$4+VLOOKUP($R104,武学奇术!$A:$ZZ,9,FALSE)+SUM(_xlfn.XLOOKUP(S104:AG104,增益!$A:$A,增益!$I:$I,0))&gt;0,($F$11-$I$4+VLOOKUP($R104,武学奇术!$A:$ZZ,9,FALSE)+SUM(_xlfn.XLOOKUP(S104:AG104,增益!$A:$A,增益!$I:$I,0)))/200,($F$11-$I$4+VLOOKUP($R104,武学奇术!$A:$ZZ,9,FALSE)+SUM(_xlfn.XLOOKUP(S104:AG104,增益!$A:$A,增益!$I:$I,0)))/100)</f>
        <v>-0.3</v>
      </c>
      <c r="AW104" s="32" cm="1">
        <f t="array" ref="AW104">$G$11+VLOOKUP($R104,武学奇术!$A:$ZZ,10,FALSE)+SUM(_xlfn.XLOOKUP(S104:AG104,增益!$A:$A,增益!$J:$J,0))</f>
        <v>0</v>
      </c>
      <c r="AX104">
        <f t="shared" si="45"/>
        <v>0</v>
      </c>
      <c r="AY104">
        <f t="shared" si="46"/>
        <v>0</v>
      </c>
      <c r="AZ104" s="32" cm="1">
        <f t="array" ref="AZ104">IF($F$12-$I$4+VLOOKUP($R104,武学奇术!$A:$ZZ,11,FALSE)+SUM(_xlfn.XLOOKUP(S104:AG104,增益!$A:$A,增益!$K:$K,0))&gt;0,($F$12-$I$4+VLOOKUP($R104,武学奇术!$A:$ZZ,11,FALSE)+SUM(_xlfn.XLOOKUP(S104:AG104,增益!$A:$A,增益!$K:$K,0)))/200,($F$12-$I$4+VLOOKUP($R104,武学奇术!$A:$ZZ,11,FALSE)+SUM(_xlfn.XLOOKUP(S104:AG104,增益!$A:$A,增益!$K:$K,0)))/100)</f>
        <v>-0.3</v>
      </c>
      <c r="BA104" s="32" cm="1">
        <f t="array" ref="BA104">$G$12+VLOOKUP($R104,武学奇术!$A:$ZZ,12,FALSE)+SUM(_xlfn.XLOOKUP(S104:AG104,增益!$A:$A,增益!$L:$L,0))</f>
        <v>0</v>
      </c>
      <c r="BB104">
        <f t="shared" si="47"/>
        <v>0</v>
      </c>
      <c r="BC104">
        <f t="shared" si="48"/>
        <v>0</v>
      </c>
      <c r="BD104" s="32" cm="1">
        <f t="array" ref="BD104">IF($F$13-$I$4+VLOOKUP($R104,武学奇术!$A:$ZZ,13,FALSE)+SUM(_xlfn.XLOOKUP(S104:AG104,增益!$A:$A,增益!$M:$M,0))&gt;0,($F$13-$I$4+VLOOKUP($R104,武学奇术!$A:$ZZ,13,FALSE)+SUM(_xlfn.XLOOKUP(S104:AG104,增益!$A:$A,增益!$K:$K,0)))/200,($F$13-$I$4+VLOOKUP($R104,武学奇术!$A:$ZZ,13,FALSE)+SUM(_xlfn.XLOOKUP(S104:AG104,增益!$A:$A,增益!$M:$M,0)))/100)</f>
        <v>-0.3</v>
      </c>
      <c r="BE104" s="32" cm="1">
        <f t="array" ref="BE104">$G$13+VLOOKUP($R104,武学奇术!$A:$ZZ,14,FALSE)+SUM(_xlfn.XLOOKUP(S104:AG104,增益!$A:$A,增益!$N:$N,0))</f>
        <v>0</v>
      </c>
      <c r="BF104">
        <f t="shared" si="49"/>
        <v>571.2</v>
      </c>
      <c r="BG104">
        <f t="shared" si="50"/>
        <v>1627.8</v>
      </c>
      <c r="BH104" s="32" cm="1">
        <f t="array" ref="BH104">IF($F$14-$I$4+VLOOKUP($R104,武学奇术!$A:$ZZ,15,FALSE)+SUM(_xlfn.XLOOKUP(S104:AG104,增益!$A:$A,增益!$O:$O,0))&gt;0,($F$14-$I$4+VLOOKUP($R104,武学奇术!$A:$ZZ,15,FALSE)+SUM(_xlfn.XLOOKUP(S104:AG104,增益!$A:$A,增益!$O:$O,0)))/200,($F$14-$I$4+VLOOKUP($R104,武学奇术!$A:$ZZ,15,FALSE)+SUM(_xlfn.XLOOKUP(S104:AG104,增益!$A:$A,增益!$O:$O,0)))/100)</f>
        <v>0</v>
      </c>
      <c r="BI104" s="32" cm="1">
        <f t="array" ref="BI104">$G$14+VLOOKUP($R104,武学奇术!$A:$ZZ,16,FALSE)+SUM(_xlfn.XLOOKUP(S104:AG104,增益!$A:$A,增益!$P:$P,0))</f>
        <v>0.15</v>
      </c>
      <c r="BJ104" s="26">
        <f>MIN(IF(VLOOKUP($R104,武学奇术!$A:$ZZ,23,FALSE)=1,100%,$B$8),100%)</f>
        <v>0.981</v>
      </c>
      <c r="BK104" s="26" cm="1">
        <f t="array" ref="BK104">IF(VLOOKUP($R104,武学奇术!$A:$ZZ,23,FALSE)=1,100%,MIN(80%,$B$9+VLOOKUP($R104,武学奇术!$A:$ZZ,17,FALSE)+SUM(_xlfn.XLOOKUP(S104:AG104,增益!$A:$A,增益!$Q:$Q,0)))+$B$11+SUM(_xlfn.XLOOKUP(S104:AG104,增益!$A:$A,增益!$U:$U,0)))*IF(VLOOKUP($R104,武学奇术!$A:$ZZ,24,FALSE)=1,0,1)</f>
        <v>0.846</v>
      </c>
      <c r="BL104" s="26" cm="1">
        <f t="array" ref="BL104">1+$B$13+VLOOKUP($R104,武学奇术!$A:$ZZ,18,FALSE)+SUM(_xlfn.XLOOKUP(S104:AG104,增益!$A:$A,增益!$R:$R,0))</f>
        <v>1.64</v>
      </c>
      <c r="BM104" s="26" cm="1">
        <f t="array" ref="BM104">IF(VLOOKUP($R104,武学奇术!$A:$ZZ,24,FALSE)=1,100%,MIN(40%,$B$10+VLOOKUP($R104,武学奇术!$A:$ZZ,19,FALSE)+SUM(_xlfn.XLOOKUP(S104:AG104,增益!$A:$A,增益!$S:$S,0)))+$B$12+SUM(_xlfn.XLOOKUP(S104:AG104,增益!$A:$A,增益!$V:$V,0)))*IF(VLOOKUP($R104,武学奇术!$A:$ZZ,23,FALSE)=1,0,1)</f>
        <v>0.0929</v>
      </c>
      <c r="BN104" s="26" cm="1">
        <f t="array" ref="BN104">1+$B$14+VLOOKUP($R104,武学奇术!$A:$ZZ,20,FALSE)+SUM(_xlfn.XLOOKUP(S104:AG104,增益!$A:$A,增益!$T:$T,0))</f>
        <v>1.35</v>
      </c>
      <c r="BO104" s="26">
        <f t="shared" si="23"/>
        <v>0.829926</v>
      </c>
      <c r="BP104" s="26">
        <f t="shared" si="33"/>
        <v>0.0599391</v>
      </c>
      <c r="BQ104" s="26">
        <f>IF(VLOOKUP($R104,武学奇术!$A:$ZZ,22,FALSE)=1,0,(1-$BJ104))*(1-$BM104)</f>
        <v>0.0172349</v>
      </c>
      <c r="BR104" s="26" cm="1">
        <f t="array" ref="BR104">SUM(_xlfn.XLOOKUP(S104:AG104,增益!$A:$A,增益!$W:$W,0))+$I$5</f>
        <v>0.11</v>
      </c>
    </row>
    <row r="105" spans="1:70">
      <c r="A105" s="4" t="s">
        <v>161</v>
      </c>
      <c r="B105" s="87">
        <v>1</v>
      </c>
      <c r="K105">
        <f>$L105*VLOOKUP($R105,武学奇术!$A:$ZZ,31,FALSE)</f>
        <v>68174.8116592563</v>
      </c>
      <c r="L105" s="38">
        <f t="shared" si="51"/>
        <v>64928.3920564346</v>
      </c>
      <c r="M105" s="38">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BL105*$Q105*(1+IF(VLOOKUP($R105,武学奇术!$A:$ZZ,30,FALSE)="回旋伞",$B$21,0))*(1+$BR105)</f>
        <v>68867.8611773632</v>
      </c>
      <c r="N105" s="38">
        <f>(($AP105*$AI105+$AJ105)*(1+$AQ105)*(1+$AR105)+($AU105*IF($G$1="鸣金",$AK105,$AI105)+IF($G$1="鸣金",$AL105*1.5,0))*(1+$AV105)*(1+$AW105)+($AY105*IF($G$1="裂石",$AK105,$AI105)+IF($G$1="裂石",$AL105*1.5,0))*(1+$AZ105)*(1+$BA105)+($BC105*IF($G$1="牵丝",$AK105,$AI105)+IF($G$1="牵丝",$AL105*1.5,0))*(1+$BD105)*(1+$BE105)+($BG105*IF($G$1="破竹",$AK105,$AI105)+IF($G$1="破竹",$AL105*1.5,0))*(1+$BH105)*(1+$BI105))*(1+$AM105)*$BN105*$Q105*(1+IF(VLOOKUP($R105,武学奇术!$A:$ZZ,30,FALSE)="回旋伞",$B$21,0))*(1+$BR105)</f>
        <v>54522.9736241273</v>
      </c>
      <c r="O105" s="38">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Q105*(1+IF(VLOOKUP($R105,武学奇术!$A:$ZZ,30,FALSE)="回旋伞",$B$21,0))*(1+$BR105)</f>
        <v>36056.471820609</v>
      </c>
      <c r="P105" s="38">
        <f>((($AO105*$AI105+$AJ105)*(1+$AQ105)*(1+$AR105)+($AT105*IF($G$1="鸣金",$AK105,$AI105)+IF($G$1="鸣金",$AL105*1.5,0))*(1+$AV105)*(1+$AW105)+($AX105*IF($G$1="裂石",$AK105,$AI105)+IF($G$1="裂石",$AL105*1.5,0))*(1+$AZ105)*(1+$BA105)+($BB105*IF($G$1="牵丝",$AK105,$AI105)+IF($G$1="牵丝",$AL105*1.5,0))*(1+$BD105)*(1+$BE105)+($BF105*IF($G$1="破竹",$AK105,$AI105)+IF($G$1="破竹",$AL105*1.5,0))*(1+$BH105)*(1+$BI105))*(1+$AM105))*$Q105*(1+IF(VLOOKUP($R105,武学奇术!$A:$ZZ,30,FALSE)="回旋伞",$B$21,0))*(1+$BR105)</f>
        <v>31725.5557714942</v>
      </c>
      <c r="Q105" s="39">
        <v>1</v>
      </c>
      <c r="R105" s="40" t="s">
        <v>108</v>
      </c>
      <c r="S105" s="40" t="s">
        <v>109</v>
      </c>
      <c r="T105" s="40" t="s">
        <v>72</v>
      </c>
      <c r="U105" s="40" t="s">
        <v>73</v>
      </c>
      <c r="V105" s="40" t="s">
        <v>72</v>
      </c>
      <c r="W105" s="40" t="s">
        <v>172</v>
      </c>
      <c r="X105" s="40" t="s">
        <v>83</v>
      </c>
      <c r="Y105" s="40" t="s">
        <v>72</v>
      </c>
      <c r="Z105" s="40" t="s">
        <v>72</v>
      </c>
      <c r="AA105" s="40" t="s">
        <v>72</v>
      </c>
      <c r="AB105" s="40" t="s">
        <v>72</v>
      </c>
      <c r="AC105" s="40" t="s">
        <v>85</v>
      </c>
      <c r="AD105" s="40" t="s">
        <v>72</v>
      </c>
      <c r="AE105" s="40" t="s">
        <v>72</v>
      </c>
      <c r="AF105" s="40" t="s">
        <v>77</v>
      </c>
      <c r="AG105" s="40" t="s">
        <v>78</v>
      </c>
      <c r="AH105" t="str">
        <f>VLOOKUP($R105,武学奇术!$A:$ZZ,25,FALSE)</f>
        <v>伞</v>
      </c>
      <c r="AI105" s="26">
        <f>VLOOKUP($R105,武学奇术!$A:$ZZ,26,FALSE)</f>
        <v>1.8084</v>
      </c>
      <c r="AJ105" s="27">
        <f>VLOOKUP($R105,武学奇术!$A:$ZZ,27,FALSE)*(1+IF(OR($AH105=$F$4,$AH105=$F$5),$B$22,0))</f>
        <v>750</v>
      </c>
      <c r="AK105" s="26">
        <f>VLOOKUP($R105,武学奇术!$A:$ZZ,28,FALSE)</f>
        <v>2.7126</v>
      </c>
      <c r="AL105" s="27">
        <f>VLOOKUP($R105,武学奇术!$A:$ZZ,29,FALSE)*(1+IF(OR($AH105=$F$4,$AH105=$F$5),$B$22,0))</f>
        <v>408</v>
      </c>
      <c r="AM105" s="26" cm="1">
        <f t="array" ref="AM105">$G$3+IFERROR(VLOOKUP($AH105,$F$4:$G$7,2,FALSE),0)+VLOOKUP($R105,武学奇术!$A:$ZZ,2,FALSE)+SUM(_xlfn.XLOOKUP($S105:$AG105,增益!$A:$A,增益!$B:$B,0))</f>
        <v>0.6241</v>
      </c>
      <c r="AN105" s="26" cm="1">
        <f t="array" ref="AN105">VLOOKUP($R105,武学奇术!$A:$ZZ,5,FALSE)+SUM(_xlfn.XLOOKUP($S105:$AG105,增益!$A:$A,增益!$E:$E,0))</f>
        <v>0</v>
      </c>
      <c r="AO105" cm="1">
        <f t="array" ref="AO105">$D$10*(1+$AN105)+VLOOKUP($R105,武学奇术!$A:$ZZ,3,FALSE)+SUM(_xlfn.XLOOKUP($S105:$AG105,增益!$A:$A,增益!$C:$C,0))-$I$2</f>
        <v>3624.6</v>
      </c>
      <c r="AP105" cm="1">
        <f t="array" ref="AP105">$E$10*(1+$AN105)+VLOOKUP($R105,武学奇术!$A:$ZZ,4,FALSE)+SUM(_xlfn.XLOOKUP($S105:$AG105,增益!$A:$A,增益!$D:$D,0))-$I$2</f>
        <v>3624.6</v>
      </c>
      <c r="AQ105" s="32" cm="1">
        <f t="array" ref="AQ105">IF($F$10-$I$3+VLOOKUP($R105,武学奇术!$A:$ZZ,6,FALSE)+SUM(_xlfn.XLOOKUP(S105:AG105,增益!$A:$A,增益!$F:$F,0))&gt;0,($F$10-$I$3+VLOOKUP($R105,武学奇术!$A:$ZZ,6,FALSE)+SUM(_xlfn.XLOOKUP(S105:AG105,增益!$A:$A,增益!$F:$F,0)))/200,($F$10-$I$3+VLOOKUP($R105,武学奇术!$A:$ZZ,6,FALSE)+SUM(_xlfn.XLOOKUP(S105:AG105,增益!$A:$A,增益!$F:$F,0)))/100)</f>
        <v>0.2625</v>
      </c>
      <c r="AR105" s="32" cm="1">
        <f t="array" ref="AR105">$G$10+VLOOKUP($R105,武学奇术!$A:$ZZ,7,FALSE)+SUM(_xlfn.XLOOKUP(S105:AG105,增益!$A:$A,增益!$G:$G,0))</f>
        <v>0.148</v>
      </c>
      <c r="AS105" s="26" cm="1">
        <f t="array" ref="AS105">VLOOKUP($R105,武学奇术!$A:$ZZ,8,FALSE)+SUM(_xlfn.XLOOKUP(S105:AG105,增益!$A:$A,增益!$H:$H,0))</f>
        <v>0</v>
      </c>
      <c r="AT105">
        <f t="shared" si="43"/>
        <v>0</v>
      </c>
      <c r="AU105">
        <f t="shared" si="44"/>
        <v>0</v>
      </c>
      <c r="AV105" s="32" cm="1">
        <f t="array" ref="AV105">IF($F$11-$I$4+VLOOKUP($R105,武学奇术!$A:$ZZ,9,FALSE)+SUM(_xlfn.XLOOKUP(S105:AG105,增益!$A:$A,增益!$I:$I,0))&gt;0,($F$11-$I$4+VLOOKUP($R105,武学奇术!$A:$ZZ,9,FALSE)+SUM(_xlfn.XLOOKUP(S105:AG105,增益!$A:$A,增益!$I:$I,0)))/200,($F$11-$I$4+VLOOKUP($R105,武学奇术!$A:$ZZ,9,FALSE)+SUM(_xlfn.XLOOKUP(S105:AG105,增益!$A:$A,增益!$I:$I,0)))/100)</f>
        <v>-0.3</v>
      </c>
      <c r="AW105" s="32" cm="1">
        <f t="array" ref="AW105">$G$11+VLOOKUP($R105,武学奇术!$A:$ZZ,10,FALSE)+SUM(_xlfn.XLOOKUP(S105:AG105,增益!$A:$A,增益!$J:$J,0))</f>
        <v>0</v>
      </c>
      <c r="AX105">
        <f t="shared" si="45"/>
        <v>0</v>
      </c>
      <c r="AY105">
        <f t="shared" si="46"/>
        <v>0</v>
      </c>
      <c r="AZ105" s="32" cm="1">
        <f t="array" ref="AZ105">IF($F$12-$I$4+VLOOKUP($R105,武学奇术!$A:$ZZ,11,FALSE)+SUM(_xlfn.XLOOKUP(S105:AG105,增益!$A:$A,增益!$K:$K,0))&gt;0,($F$12-$I$4+VLOOKUP($R105,武学奇术!$A:$ZZ,11,FALSE)+SUM(_xlfn.XLOOKUP(S105:AG105,增益!$A:$A,增益!$K:$K,0)))/200,($F$12-$I$4+VLOOKUP($R105,武学奇术!$A:$ZZ,11,FALSE)+SUM(_xlfn.XLOOKUP(S105:AG105,增益!$A:$A,增益!$K:$K,0)))/100)</f>
        <v>-0.3</v>
      </c>
      <c r="BA105" s="32" cm="1">
        <f t="array" ref="BA105">$G$12+VLOOKUP($R105,武学奇术!$A:$ZZ,12,FALSE)+SUM(_xlfn.XLOOKUP(S105:AG105,增益!$A:$A,增益!$L:$L,0))</f>
        <v>0</v>
      </c>
      <c r="BB105">
        <f t="shared" si="47"/>
        <v>0</v>
      </c>
      <c r="BC105">
        <f t="shared" si="48"/>
        <v>0</v>
      </c>
      <c r="BD105" s="32" cm="1">
        <f t="array" ref="BD105">IF($F$13-$I$4+VLOOKUP($R105,武学奇术!$A:$ZZ,13,FALSE)+SUM(_xlfn.XLOOKUP(S105:AG105,增益!$A:$A,增益!$M:$M,0))&gt;0,($F$13-$I$4+VLOOKUP($R105,武学奇术!$A:$ZZ,13,FALSE)+SUM(_xlfn.XLOOKUP(S105:AG105,增益!$A:$A,增益!$K:$K,0)))/200,($F$13-$I$4+VLOOKUP($R105,武学奇术!$A:$ZZ,13,FALSE)+SUM(_xlfn.XLOOKUP(S105:AG105,增益!$A:$A,增益!$M:$M,0)))/100)</f>
        <v>-0.3</v>
      </c>
      <c r="BE105" s="32" cm="1">
        <f t="array" ref="BE105">$G$13+VLOOKUP($R105,武学奇术!$A:$ZZ,14,FALSE)+SUM(_xlfn.XLOOKUP(S105:AG105,增益!$A:$A,增益!$N:$N,0))</f>
        <v>0</v>
      </c>
      <c r="BF105">
        <f t="shared" si="49"/>
        <v>571.2</v>
      </c>
      <c r="BG105">
        <f t="shared" si="50"/>
        <v>1627.8</v>
      </c>
      <c r="BH105" s="32" cm="1">
        <f t="array" ref="BH105">IF($F$14-$I$4+VLOOKUP($R105,武学奇术!$A:$ZZ,15,FALSE)+SUM(_xlfn.XLOOKUP(S105:AG105,增益!$A:$A,增益!$O:$O,0))&gt;0,($F$14-$I$4+VLOOKUP($R105,武学奇术!$A:$ZZ,15,FALSE)+SUM(_xlfn.XLOOKUP(S105:AG105,增益!$A:$A,增益!$O:$O,0)))/200,($F$14-$I$4+VLOOKUP($R105,武学奇术!$A:$ZZ,15,FALSE)+SUM(_xlfn.XLOOKUP(S105:AG105,增益!$A:$A,增益!$O:$O,0)))/100)</f>
        <v>0</v>
      </c>
      <c r="BI105" s="32" cm="1">
        <f t="array" ref="BI105">$G$14+VLOOKUP($R105,武学奇术!$A:$ZZ,16,FALSE)+SUM(_xlfn.XLOOKUP(S105:AG105,增益!$A:$A,增益!$P:$P,0))</f>
        <v>0.27</v>
      </c>
      <c r="BJ105" s="26">
        <f>MIN(IF(VLOOKUP($R105,武学奇术!$A:$ZZ,23,FALSE)=1,100%,$B$8),100%)</f>
        <v>0.981</v>
      </c>
      <c r="BK105" s="26" cm="1">
        <f t="array" ref="BK105">IF(VLOOKUP($R105,武学奇术!$A:$ZZ,23,FALSE)=1,100%,MIN(80%,$B$9+VLOOKUP($R105,武学奇术!$A:$ZZ,17,FALSE)+SUM(_xlfn.XLOOKUP(S105:AG105,增益!$A:$A,增益!$Q:$Q,0)))+$B$11+SUM(_xlfn.XLOOKUP(S105:AG105,增益!$A:$A,增益!$U:$U,0)))*IF(VLOOKUP($R105,武学奇术!$A:$ZZ,24,FALSE)=1,0,1)</f>
        <v>0.846</v>
      </c>
      <c r="BL105" s="26" cm="1">
        <f t="array" ref="BL105">1+$B$13+VLOOKUP($R105,武学奇术!$A:$ZZ,18,FALSE)+SUM(_xlfn.XLOOKUP(S105:AG105,增益!$A:$A,增益!$R:$R,0))</f>
        <v>1.91</v>
      </c>
      <c r="BM105" s="26" cm="1">
        <f t="array" ref="BM105">IF(VLOOKUP($R105,武学奇术!$A:$ZZ,24,FALSE)=1,100%,MIN(40%,$B$10+VLOOKUP($R105,武学奇术!$A:$ZZ,19,FALSE)+SUM(_xlfn.XLOOKUP(S105:AG105,增益!$A:$A,增益!$S:$S,0)))+$B$12+SUM(_xlfn.XLOOKUP(S105:AG105,增益!$A:$A,增益!$V:$V,0)))*IF(VLOOKUP($R105,武学奇术!$A:$ZZ,23,FALSE)=1,0,1)</f>
        <v>0.0929</v>
      </c>
      <c r="BN105" s="26" cm="1">
        <f t="array" ref="BN105">1+$B$14+VLOOKUP($R105,武学奇术!$A:$ZZ,20,FALSE)+SUM(_xlfn.XLOOKUP(S105:AG105,增益!$A:$A,增益!$T:$T,0))</f>
        <v>1.35</v>
      </c>
      <c r="BO105" s="26">
        <f t="shared" si="23"/>
        <v>0.829926</v>
      </c>
      <c r="BP105" s="26">
        <f t="shared" si="33"/>
        <v>0.0599391</v>
      </c>
      <c r="BQ105" s="26">
        <f>IF(VLOOKUP($R105,武学奇术!$A:$ZZ,22,FALSE)=1,0,(1-$BJ105))*(1-$BM105)</f>
        <v>0.0172349</v>
      </c>
      <c r="BR105" s="26" cm="1">
        <f t="array" ref="BR105">SUM(_xlfn.XLOOKUP(S105:AG105,增益!$A:$A,增益!$W:$W,0))+$I$5</f>
        <v>0.11</v>
      </c>
    </row>
    <row r="106" spans="1:70">
      <c r="A106" s="4" t="s">
        <v>161</v>
      </c>
      <c r="B106" s="87">
        <v>1</v>
      </c>
      <c r="F106" s="39" t="s">
        <v>157</v>
      </c>
      <c r="K106">
        <f>$L106*VLOOKUP($R106,武学奇术!$A:$ZZ,31,FALSE)</f>
        <v>40143.0564981412</v>
      </c>
      <c r="L106" s="38">
        <f t="shared" si="51"/>
        <v>38231.4823791821</v>
      </c>
      <c r="M106" s="38">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BL106*$Q106*(1+IF(VLOOKUP($R106,武学奇术!$A:$ZZ,30,FALSE)="回旋伞",$B$21,0))*(1+$BR106)</f>
        <v>40510.1301379034</v>
      </c>
      <c r="N106" s="38">
        <f>(($AP106*$AI106+$AJ106)*(1+$AQ106)*(1+$AR106)+($AU106*IF($G$1="鸣金",$AK106,$AI106)+IF($G$1="鸣金",$AL106*1.5,0))*(1+$AV106)*(1+$AW106)+($AY106*IF($G$1="裂石",$AK106,$AI106)+IF($G$1="裂石",$AL106*1.5,0))*(1+$AZ106)*(1+$BA106)+($BC106*IF($G$1="牵丝",$AK106,$AI106)+IF($G$1="牵丝",$AL106*1.5,0))*(1+$BD106)*(1+$BE106)+($BG106*IF($G$1="破竹",$AK106,$AI106)+IF($G$1="破竹",$AL106*1.5,0))*(1+$BH106)*(1+$BI106))*(1+$AM106)*$BN106*$Q106*(1+IF(VLOOKUP($R106,武学奇术!$A:$ZZ,30,FALSE)="回旋伞",$B$21,0))*(1+$BR106)</f>
        <v>32554.553323238</v>
      </c>
      <c r="O106" s="38">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Q106*(1+IF(VLOOKUP($R106,武学奇术!$A:$ZZ,30,FALSE)="回旋伞",$B$21,0))*(1+$BR106)</f>
        <v>21209.4922187976</v>
      </c>
      <c r="P106" s="38">
        <f>((($AO106*$AI106+$AJ106)*(1+$AQ106)*(1+$AR106)+($AT106*IF($G$1="鸣金",$AK106,$AI106)+IF($G$1="鸣金",$AL106*1.5,0))*(1+$AV106)*(1+$AW106)+($AX106*IF($G$1="裂石",$AK106,$AI106)+IF($G$1="裂石",$AL106*1.5,0))*(1+$AZ106)*(1+$BA106)+($BB106*IF($G$1="牵丝",$AK106,$AI106)+IF($G$1="牵丝",$AL106*1.5,0))*(1+$BD106)*(1+$BE106)+($BF106*IF($G$1="破竹",$AK106,$AI106)+IF($G$1="破竹",$AL106*1.5,0))*(1+$BH106)*(1+$BI106))*(1+$AM106))*$Q106*(1+IF(VLOOKUP($R106,武学奇术!$A:$ZZ,30,FALSE)="回旋伞",$B$21,0))*(1+$BR106)</f>
        <v>18304.500494456</v>
      </c>
      <c r="Q106" s="39">
        <v>2</v>
      </c>
      <c r="R106" s="40" t="s">
        <v>112</v>
      </c>
      <c r="S106" s="40" t="s">
        <v>109</v>
      </c>
      <c r="T106" s="40" t="s">
        <v>72</v>
      </c>
      <c r="U106" s="40" t="s">
        <v>73</v>
      </c>
      <c r="V106" s="40" t="s">
        <v>72</v>
      </c>
      <c r="W106" s="40" t="s">
        <v>172</v>
      </c>
      <c r="X106" s="40" t="s">
        <v>83</v>
      </c>
      <c r="Y106" s="40" t="s">
        <v>72</v>
      </c>
      <c r="Z106" s="40" t="s">
        <v>72</v>
      </c>
      <c r="AA106" s="40" t="s">
        <v>72</v>
      </c>
      <c r="AB106" s="40" t="s">
        <v>72</v>
      </c>
      <c r="AC106" s="40" t="s">
        <v>85</v>
      </c>
      <c r="AD106" s="40" t="s">
        <v>72</v>
      </c>
      <c r="AE106" s="40" t="s">
        <v>72</v>
      </c>
      <c r="AF106" s="40" t="s">
        <v>77</v>
      </c>
      <c r="AG106" s="40" t="s">
        <v>78</v>
      </c>
      <c r="AH106" t="str">
        <f>VLOOKUP($R106,武学奇术!$A:$ZZ,25,FALSE)</f>
        <v>伞</v>
      </c>
      <c r="AI106" s="26">
        <f>VLOOKUP($R106,武学奇术!$A:$ZZ,26,FALSE)</f>
        <v>0.54</v>
      </c>
      <c r="AJ106" s="27">
        <f>VLOOKUP($R106,武学奇术!$A:$ZZ,27,FALSE)*(1+IF(OR($AH106=$F$4,$AH106=$F$5),$B$22,0))</f>
        <v>0</v>
      </c>
      <c r="AK106" s="26">
        <f>VLOOKUP($R106,武学奇术!$A:$ZZ,28,FALSE)</f>
        <v>0.81</v>
      </c>
      <c r="AL106" s="27">
        <f>VLOOKUP($R106,武学奇术!$A:$ZZ,29,FALSE)*(1+IF(OR($AH106=$F$4,$AH106=$F$5),$B$22,0))</f>
        <v>0</v>
      </c>
      <c r="AM106" s="26" cm="1">
        <f t="array" ref="AM106">$G$3+IFERROR(VLOOKUP($AH106,$F$4:$G$7,2,FALSE),0)+VLOOKUP($R106,武学奇术!$A:$ZZ,2,FALSE)+SUM(_xlfn.XLOOKUP($S106:$AG106,增益!$A:$A,增益!$B:$B,0))</f>
        <v>0.8241</v>
      </c>
      <c r="AN106" s="26" cm="1">
        <f t="array" ref="AN106">VLOOKUP($R106,武学奇术!$A:$ZZ,5,FALSE)+SUM(_xlfn.XLOOKUP($S106:$AG106,增益!$A:$A,增益!$E:$E,0))</f>
        <v>0</v>
      </c>
      <c r="AO106" cm="1">
        <f t="array" ref="AO106">$D$10*(1+$AN106)+VLOOKUP($R106,武学奇术!$A:$ZZ,3,FALSE)+SUM(_xlfn.XLOOKUP($S106:$AG106,增益!$A:$A,增益!$C:$C,0))-$I$2</f>
        <v>3624.6</v>
      </c>
      <c r="AP106" cm="1">
        <f t="array" ref="AP106">$E$10*(1+$AN106)+VLOOKUP($R106,武学奇术!$A:$ZZ,4,FALSE)+SUM(_xlfn.XLOOKUP($S106:$AG106,增益!$A:$A,增益!$D:$D,0))-$I$2</f>
        <v>3624.6</v>
      </c>
      <c r="AQ106" s="32" cm="1">
        <f t="array" ref="AQ106">IF($F$10-$I$3+VLOOKUP($R106,武学奇术!$A:$ZZ,6,FALSE)+SUM(_xlfn.XLOOKUP(S106:AG106,增益!$A:$A,增益!$F:$F,0))&gt;0,($F$10-$I$3+VLOOKUP($R106,武学奇术!$A:$ZZ,6,FALSE)+SUM(_xlfn.XLOOKUP(S106:AG106,增益!$A:$A,增益!$F:$F,0)))/200,($F$10-$I$3+VLOOKUP($R106,武学奇术!$A:$ZZ,6,FALSE)+SUM(_xlfn.XLOOKUP(S106:AG106,增益!$A:$A,增益!$F:$F,0)))/100)</f>
        <v>0.2625</v>
      </c>
      <c r="AR106" s="32" cm="1">
        <f t="array" ref="AR106">$G$10+VLOOKUP($R106,武学奇术!$A:$ZZ,7,FALSE)+SUM(_xlfn.XLOOKUP(S106:AG106,增益!$A:$A,增益!$G:$G,0))</f>
        <v>0.148</v>
      </c>
      <c r="AS106" s="26" cm="1">
        <f t="array" ref="AS106">VLOOKUP($R106,武学奇术!$A:$ZZ,8,FALSE)+SUM(_xlfn.XLOOKUP(S106:AG106,增益!$A:$A,增益!$H:$H,0))</f>
        <v>0</v>
      </c>
      <c r="AT106">
        <f t="shared" si="43"/>
        <v>0</v>
      </c>
      <c r="AU106">
        <f t="shared" si="44"/>
        <v>0</v>
      </c>
      <c r="AV106" s="32" cm="1">
        <f t="array" ref="AV106">IF($F$11-$I$4+VLOOKUP($R106,武学奇术!$A:$ZZ,9,FALSE)+SUM(_xlfn.XLOOKUP(S106:AG106,增益!$A:$A,增益!$I:$I,0))&gt;0,($F$11-$I$4+VLOOKUP($R106,武学奇术!$A:$ZZ,9,FALSE)+SUM(_xlfn.XLOOKUP(S106:AG106,增益!$A:$A,增益!$I:$I,0)))/200,($F$11-$I$4+VLOOKUP($R106,武学奇术!$A:$ZZ,9,FALSE)+SUM(_xlfn.XLOOKUP(S106:AG106,增益!$A:$A,增益!$I:$I,0)))/100)</f>
        <v>-0.3</v>
      </c>
      <c r="AW106" s="32" cm="1">
        <f t="array" ref="AW106">$G$11+VLOOKUP($R106,武学奇术!$A:$ZZ,10,FALSE)+SUM(_xlfn.XLOOKUP(S106:AG106,增益!$A:$A,增益!$J:$J,0))</f>
        <v>0</v>
      </c>
      <c r="AX106">
        <f t="shared" si="45"/>
        <v>0</v>
      </c>
      <c r="AY106">
        <f t="shared" si="46"/>
        <v>0</v>
      </c>
      <c r="AZ106" s="32" cm="1">
        <f t="array" ref="AZ106">IF($F$12-$I$4+VLOOKUP($R106,武学奇术!$A:$ZZ,11,FALSE)+SUM(_xlfn.XLOOKUP(S106:AG106,增益!$A:$A,增益!$K:$K,0))&gt;0,($F$12-$I$4+VLOOKUP($R106,武学奇术!$A:$ZZ,11,FALSE)+SUM(_xlfn.XLOOKUP(S106:AG106,增益!$A:$A,增益!$K:$K,0)))/200,($F$12-$I$4+VLOOKUP($R106,武学奇术!$A:$ZZ,11,FALSE)+SUM(_xlfn.XLOOKUP(S106:AG106,增益!$A:$A,增益!$K:$K,0)))/100)</f>
        <v>-0.3</v>
      </c>
      <c r="BA106" s="32" cm="1">
        <f t="array" ref="BA106">$G$12+VLOOKUP($R106,武学奇术!$A:$ZZ,12,FALSE)+SUM(_xlfn.XLOOKUP(S106:AG106,增益!$A:$A,增益!$L:$L,0))</f>
        <v>0</v>
      </c>
      <c r="BB106">
        <f t="shared" si="47"/>
        <v>0</v>
      </c>
      <c r="BC106">
        <f t="shared" si="48"/>
        <v>0</v>
      </c>
      <c r="BD106" s="32" cm="1">
        <f t="array" ref="BD106">IF($F$13-$I$4+VLOOKUP($R106,武学奇术!$A:$ZZ,13,FALSE)+SUM(_xlfn.XLOOKUP(S106:AG106,增益!$A:$A,增益!$M:$M,0))&gt;0,($F$13-$I$4+VLOOKUP($R106,武学奇术!$A:$ZZ,13,FALSE)+SUM(_xlfn.XLOOKUP(S106:AG106,增益!$A:$A,增益!$K:$K,0)))/200,($F$13-$I$4+VLOOKUP($R106,武学奇术!$A:$ZZ,13,FALSE)+SUM(_xlfn.XLOOKUP(S106:AG106,增益!$A:$A,增益!$M:$M,0)))/100)</f>
        <v>-0.3</v>
      </c>
      <c r="BE106" s="32" cm="1">
        <f t="array" ref="BE106">$G$13+VLOOKUP($R106,武学奇术!$A:$ZZ,14,FALSE)+SUM(_xlfn.XLOOKUP(S106:AG106,增益!$A:$A,增益!$N:$N,0))</f>
        <v>0</v>
      </c>
      <c r="BF106">
        <f t="shared" si="49"/>
        <v>571.2</v>
      </c>
      <c r="BG106">
        <f t="shared" si="50"/>
        <v>1627.8</v>
      </c>
      <c r="BH106" s="32" cm="1">
        <f t="array" ref="BH106">IF($F$14-$I$4+VLOOKUP($R106,武学奇术!$A:$ZZ,15,FALSE)+SUM(_xlfn.XLOOKUP(S106:AG106,增益!$A:$A,增益!$O:$O,0))&gt;0,($F$14-$I$4+VLOOKUP($R106,武学奇术!$A:$ZZ,15,FALSE)+SUM(_xlfn.XLOOKUP(S106:AG106,增益!$A:$A,增益!$O:$O,0)))/200,($F$14-$I$4+VLOOKUP($R106,武学奇术!$A:$ZZ,15,FALSE)+SUM(_xlfn.XLOOKUP(S106:AG106,增益!$A:$A,增益!$O:$O,0)))/100)</f>
        <v>0</v>
      </c>
      <c r="BI106" s="32" cm="1">
        <f t="array" ref="BI106">$G$14+VLOOKUP($R106,武学奇术!$A:$ZZ,16,FALSE)+SUM(_xlfn.XLOOKUP(S106:AG106,增益!$A:$A,增益!$P:$P,0))</f>
        <v>0.27</v>
      </c>
      <c r="BJ106" s="26">
        <f>MIN(IF(VLOOKUP($R106,武学奇术!$A:$ZZ,23,FALSE)=1,100%,$B$8),100%)</f>
        <v>0.981</v>
      </c>
      <c r="BK106" s="26" cm="1">
        <f t="array" ref="BK106">IF(VLOOKUP($R106,武学奇术!$A:$ZZ,23,FALSE)=1,100%,MIN(80%,$B$9+VLOOKUP($R106,武学奇术!$A:$ZZ,17,FALSE)+SUM(_xlfn.XLOOKUP(S106:AG106,增益!$A:$A,增益!$Q:$Q,0)))+$B$11+SUM(_xlfn.XLOOKUP(S106:AG106,增益!$A:$A,增益!$U:$U,0)))*IF(VLOOKUP($R106,武学奇术!$A:$ZZ,24,FALSE)=1,0,1)</f>
        <v>0.846</v>
      </c>
      <c r="BL106" s="26" cm="1">
        <f t="array" ref="BL106">1+$B$13+VLOOKUP($R106,武学奇术!$A:$ZZ,18,FALSE)+SUM(_xlfn.XLOOKUP(S106:AG106,增益!$A:$A,增益!$R:$R,0))</f>
        <v>1.91</v>
      </c>
      <c r="BM106" s="26" cm="1">
        <f t="array" ref="BM106">IF(VLOOKUP($R106,武学奇术!$A:$ZZ,24,FALSE)=1,100%,MIN(40%,$B$10+VLOOKUP($R106,武学奇术!$A:$ZZ,19,FALSE)+SUM(_xlfn.XLOOKUP(S106:AG106,增益!$A:$A,增益!$S:$S,0)))+$B$12+SUM(_xlfn.XLOOKUP(S106:AG106,增益!$A:$A,增益!$V:$V,0)))*IF(VLOOKUP($R106,武学奇术!$A:$ZZ,23,FALSE)=1,0,1)</f>
        <v>0.0929</v>
      </c>
      <c r="BN106" s="26" cm="1">
        <f t="array" ref="BN106">1+$B$14+VLOOKUP($R106,武学奇术!$A:$ZZ,20,FALSE)+SUM(_xlfn.XLOOKUP(S106:AG106,增益!$A:$A,增益!$T:$T,0))</f>
        <v>1.35</v>
      </c>
      <c r="BO106" s="26">
        <f t="shared" si="23"/>
        <v>0.829926</v>
      </c>
      <c r="BP106" s="26">
        <f t="shared" si="33"/>
        <v>0.0599391</v>
      </c>
      <c r="BQ106" s="26">
        <f>IF(VLOOKUP($R106,武学奇术!$A:$ZZ,22,FALSE)=1,0,(1-$BJ106))*(1-$BM106)</f>
        <v>0.0172349</v>
      </c>
      <c r="BR106" s="26" cm="1">
        <f t="array" ref="BR106">SUM(_xlfn.XLOOKUP(S106:AG106,增益!$A:$A,增益!$W:$W,0))+$I$5</f>
        <v>0.11</v>
      </c>
    </row>
    <row r="107" spans="1:70">
      <c r="A107" s="4" t="s">
        <v>161</v>
      </c>
      <c r="B107" s="4">
        <v>1</v>
      </c>
      <c r="E107" s="39" t="s">
        <v>163</v>
      </c>
      <c r="F107" s="39"/>
      <c r="K107">
        <f>$L107*VLOOKUP($R107,武学奇术!$A:$ZZ,31,FALSE)</f>
        <v>72546.1838221207</v>
      </c>
      <c r="L107" s="38">
        <f t="shared" si="51"/>
        <v>69091.603640115</v>
      </c>
      <c r="M107" s="38">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BL107*$Q107*(1+IF(VLOOKUP($R107,武学奇术!$A:$ZZ,30,FALSE)="回旋伞",$B$21,0))*(1+$BR107)</f>
        <v>73529.5022300618</v>
      </c>
      <c r="N107" s="38">
        <f>(($AP107*$AI107+$AJ107)*(1+$AQ107)*(1+$AR107)+($AU107*IF($G$1="鸣金",$AK107,$AI107)+IF($G$1="鸣金",$AL107*1.5,0))*(1+$AV107)*(1+$AW107)+($AY107*IF($G$1="裂石",$AK107,$AI107)+IF($G$1="裂石",$AL107*1.5,0))*(1+$AZ107)*(1+$BA107)+($BC107*IF($G$1="牵丝",$AK107,$AI107)+IF($G$1="牵丝",$AL107*1.5,0))*(1+$BD107)*(1+$BE107)+($BG107*IF($G$1="破竹",$AK107,$AI107)+IF($G$1="破竹",$AL107*1.5,0))*(1+$BH107)*(1+$BI107))*(1+$AM107)*$BN107*$Q107*(1+IF(VLOOKUP($R107,武学奇术!$A:$ZZ,30,FALSE)="回旋伞",$B$21,0))*(1+$BR107)</f>
        <v>56702.7131684335</v>
      </c>
      <c r="O107" s="38">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Q107*(1+IF(VLOOKUP($R107,武学奇术!$A:$ZZ,30,FALSE)="回旋伞",$B$21,0))*(1+$BR107)</f>
        <v>37324.6204213511</v>
      </c>
      <c r="P107" s="38">
        <f>((($AO107*$AI107+$AJ107)*(1+$AQ107)*(1+$AR107)+($AT107*IF($G$1="鸣金",$AK107,$AI107)+IF($G$1="鸣金",$AL107*1.5,0))*(1+$AV107)*(1+$AW107)+($AX107*IF($G$1="裂石",$AK107,$AI107)+IF($G$1="裂石",$AL107*1.5,0))*(1+$AZ107)*(1+$BA107)+($BB107*IF($G$1="牵丝",$AK107,$AI107)+IF($G$1="牵丝",$AL107*1.5,0))*(1+$BD107)*(1+$BE107)+($BF107*IF($G$1="破竹",$AK107,$AI107)+IF($G$1="破竹",$AL107*1.5,0))*(1+$BH107)*(1+$BI107))*(1+$AM107))*$Q107*(1+IF(VLOOKUP($R107,武学奇术!$A:$ZZ,30,FALSE)="回旋伞",$B$21,0))*(1+$BR107)</f>
        <v>32647.2310883071</v>
      </c>
      <c r="Q107" s="39">
        <v>1</v>
      </c>
      <c r="R107" s="40" t="s">
        <v>108</v>
      </c>
      <c r="S107" s="40" t="s">
        <v>109</v>
      </c>
      <c r="T107" s="40" t="s">
        <v>114</v>
      </c>
      <c r="U107" s="40" t="s">
        <v>73</v>
      </c>
      <c r="V107" s="40" t="s">
        <v>72</v>
      </c>
      <c r="W107" s="40" t="s">
        <v>172</v>
      </c>
      <c r="X107" s="40" t="s">
        <v>83</v>
      </c>
      <c r="Y107" s="40" t="s">
        <v>84</v>
      </c>
      <c r="Z107" s="40" t="s">
        <v>72</v>
      </c>
      <c r="AA107" s="40" t="s">
        <v>72</v>
      </c>
      <c r="AB107" s="40" t="s">
        <v>115</v>
      </c>
      <c r="AC107" s="40" t="s">
        <v>85</v>
      </c>
      <c r="AD107" s="40" t="s">
        <v>72</v>
      </c>
      <c r="AE107" s="40" t="s">
        <v>72</v>
      </c>
      <c r="AF107" s="40" t="s">
        <v>77</v>
      </c>
      <c r="AG107" s="40" t="s">
        <v>78</v>
      </c>
      <c r="AH107" t="str">
        <f>VLOOKUP($R107,武学奇术!$A:$ZZ,25,FALSE)</f>
        <v>伞</v>
      </c>
      <c r="AI107" s="26">
        <f>VLOOKUP($R107,武学奇术!$A:$ZZ,26,FALSE)</f>
        <v>1.8084</v>
      </c>
      <c r="AJ107" s="27">
        <f>VLOOKUP($R107,武学奇术!$A:$ZZ,27,FALSE)*(1+IF(OR($AH107=$F$4,$AH107=$F$5),$B$22,0))</f>
        <v>750</v>
      </c>
      <c r="AK107" s="26">
        <f>VLOOKUP($R107,武学奇术!$A:$ZZ,28,FALSE)</f>
        <v>2.7126</v>
      </c>
      <c r="AL107" s="27">
        <f>VLOOKUP($R107,武学奇术!$A:$ZZ,29,FALSE)*(1+IF(OR($AH107=$F$4,$AH107=$F$5),$B$22,0))</f>
        <v>408</v>
      </c>
      <c r="AM107" s="26" cm="1">
        <f t="array" ref="AM107">$G$3+IFERROR(VLOOKUP($AH107,$F$4:$G$7,2,FALSE),0)+VLOOKUP($R107,武学奇术!$A:$ZZ,2,FALSE)+SUM(_xlfn.XLOOKUP($S107:$AG107,增益!$A:$A,增益!$B:$B,0))</f>
        <v>0.6241</v>
      </c>
      <c r="AN107" s="26" cm="1">
        <f t="array" ref="AN107">VLOOKUP($R107,武学奇术!$A:$ZZ,5,FALSE)+SUM(_xlfn.XLOOKUP($S107:$AG107,增益!$A:$A,增益!$E:$E,0))</f>
        <v>0</v>
      </c>
      <c r="AO107" cm="1">
        <f t="array" ref="AO107">$D$10*(1+$AN107)+VLOOKUP($R107,武学奇术!$A:$ZZ,3,FALSE)+SUM(_xlfn.XLOOKUP($S107:$AG107,增益!$A:$A,增益!$C:$C,0))-$I$2</f>
        <v>3624.6</v>
      </c>
      <c r="AP107" cm="1">
        <f t="array" ref="AP107">$E$10*(1+$AN107)+VLOOKUP($R107,武学奇术!$A:$ZZ,4,FALSE)+SUM(_xlfn.XLOOKUP($S107:$AG107,增益!$A:$A,增益!$D:$D,0))-$I$2</f>
        <v>3624.6</v>
      </c>
      <c r="AQ107" s="32" cm="1">
        <f t="array" ref="AQ107">IF($F$10-$I$3+VLOOKUP($R107,武学奇术!$A:$ZZ,6,FALSE)+SUM(_xlfn.XLOOKUP(S107:AG107,增益!$A:$A,增益!$F:$F,0))&gt;0,($F$10-$I$3+VLOOKUP($R107,武学奇术!$A:$ZZ,6,FALSE)+SUM(_xlfn.XLOOKUP(S107:AG107,增益!$A:$A,增益!$F:$F,0)))/200,($F$10-$I$3+VLOOKUP($R107,武学奇术!$A:$ZZ,6,FALSE)+SUM(_xlfn.XLOOKUP(S107:AG107,增益!$A:$A,增益!$F:$F,0)))/100)</f>
        <v>0.2825</v>
      </c>
      <c r="AR107" s="32" cm="1">
        <f t="array" ref="AR107">$G$10+VLOOKUP($R107,武学奇术!$A:$ZZ,7,FALSE)+SUM(_xlfn.XLOOKUP(S107:AG107,增益!$A:$A,增益!$G:$G,0))</f>
        <v>0.148</v>
      </c>
      <c r="AS107" s="26" cm="1">
        <f t="array" ref="AS107">VLOOKUP($R107,武学奇术!$A:$ZZ,8,FALSE)+SUM(_xlfn.XLOOKUP(S107:AG107,增益!$A:$A,增益!$H:$H,0))</f>
        <v>0</v>
      </c>
      <c r="AT107">
        <f t="shared" ref="AT107:AT119" si="52">$D$11*(1+$AS107)</f>
        <v>0</v>
      </c>
      <c r="AU107">
        <f t="shared" ref="AU107:AU119" si="53">$E$11*(1+$AS107)</f>
        <v>0</v>
      </c>
      <c r="AV107" s="32" cm="1">
        <f t="array" ref="AV107">IF($F$11-$I$4+VLOOKUP($R107,武学奇术!$A:$ZZ,9,FALSE)+SUM(_xlfn.XLOOKUP(S107:AG107,增益!$A:$A,增益!$I:$I,0))&gt;0,($F$11-$I$4+VLOOKUP($R107,武学奇术!$A:$ZZ,9,FALSE)+SUM(_xlfn.XLOOKUP(S107:AG107,增益!$A:$A,增益!$I:$I,0)))/200,($F$11-$I$4+VLOOKUP($R107,武学奇术!$A:$ZZ,9,FALSE)+SUM(_xlfn.XLOOKUP(S107:AG107,增益!$A:$A,增益!$I:$I,0)))/100)</f>
        <v>-0.14</v>
      </c>
      <c r="AW107" s="32" cm="1">
        <f t="array" ref="AW107">$G$11+VLOOKUP($R107,武学奇术!$A:$ZZ,10,FALSE)+SUM(_xlfn.XLOOKUP(S107:AG107,增益!$A:$A,增益!$J:$J,0))</f>
        <v>0</v>
      </c>
      <c r="AX107">
        <f t="shared" ref="AX107:AX119" si="54">$D$12*(1+$AS107)</f>
        <v>0</v>
      </c>
      <c r="AY107">
        <f t="shared" ref="AY107:AY119" si="55">$E$12*(1+$AS107)</f>
        <v>0</v>
      </c>
      <c r="AZ107" s="32" cm="1">
        <f t="array" ref="AZ107">IF($F$12-$I$4+VLOOKUP($R107,武学奇术!$A:$ZZ,11,FALSE)+SUM(_xlfn.XLOOKUP(S107:AG107,增益!$A:$A,增益!$K:$K,0))&gt;0,($F$12-$I$4+VLOOKUP($R107,武学奇术!$A:$ZZ,11,FALSE)+SUM(_xlfn.XLOOKUP(S107:AG107,增益!$A:$A,增益!$K:$K,0)))/200,($F$12-$I$4+VLOOKUP($R107,武学奇术!$A:$ZZ,11,FALSE)+SUM(_xlfn.XLOOKUP(S107:AG107,增益!$A:$A,增益!$K:$K,0)))/100)</f>
        <v>-0.14</v>
      </c>
      <c r="BA107" s="32" cm="1">
        <f t="array" ref="BA107">$G$12+VLOOKUP($R107,武学奇术!$A:$ZZ,12,FALSE)+SUM(_xlfn.XLOOKUP(S107:AG107,增益!$A:$A,增益!$L:$L,0))</f>
        <v>0</v>
      </c>
      <c r="BB107">
        <f t="shared" ref="BB107:BB119" si="56">$D$13*(1+$AS107)</f>
        <v>0</v>
      </c>
      <c r="BC107">
        <f t="shared" ref="BC107:BC119" si="57">$E$13*(1+$AS107)</f>
        <v>0</v>
      </c>
      <c r="BD107" s="32" cm="1">
        <f t="array" ref="BD107">IF($F$13-$I$4+VLOOKUP($R107,武学奇术!$A:$ZZ,13,FALSE)+SUM(_xlfn.XLOOKUP(S107:AG107,增益!$A:$A,增益!$M:$M,0))&gt;0,($F$13-$I$4+VLOOKUP($R107,武学奇术!$A:$ZZ,13,FALSE)+SUM(_xlfn.XLOOKUP(S107:AG107,增益!$A:$A,增益!$K:$K,0)))/200,($F$13-$I$4+VLOOKUP($R107,武学奇术!$A:$ZZ,13,FALSE)+SUM(_xlfn.XLOOKUP(S107:AG107,增益!$A:$A,增益!$M:$M,0)))/100)</f>
        <v>-0.14</v>
      </c>
      <c r="BE107" s="32" cm="1">
        <f t="array" ref="BE107">$G$13+VLOOKUP($R107,武学奇术!$A:$ZZ,14,FALSE)+SUM(_xlfn.XLOOKUP(S107:AG107,增益!$A:$A,增益!$N:$N,0))</f>
        <v>0</v>
      </c>
      <c r="BF107">
        <f t="shared" ref="BF107:BF119" si="58">$D$14*(1+$AS107)</f>
        <v>571.2</v>
      </c>
      <c r="BG107">
        <f t="shared" ref="BG107:BG119" si="59">$E$14*(1+$AS107)</f>
        <v>1627.8</v>
      </c>
      <c r="BH107" s="32" cm="1">
        <f t="array" ref="BH107">IF($F$14-$I$4+VLOOKUP($R107,武学奇术!$A:$ZZ,15,FALSE)+SUM(_xlfn.XLOOKUP(S107:AG107,增益!$A:$A,增益!$O:$O,0))&gt;0,($F$14-$I$4+VLOOKUP($R107,武学奇术!$A:$ZZ,15,FALSE)+SUM(_xlfn.XLOOKUP(S107:AG107,增益!$A:$A,增益!$O:$O,0)))/200,($F$14-$I$4+VLOOKUP($R107,武学奇术!$A:$ZZ,15,FALSE)+SUM(_xlfn.XLOOKUP(S107:AG107,增益!$A:$A,增益!$O:$O,0)))/100)</f>
        <v>0.08</v>
      </c>
      <c r="BI107" s="32" cm="1">
        <f t="array" ref="BI107">$G$14+VLOOKUP($R107,武学奇术!$A:$ZZ,16,FALSE)+SUM(_xlfn.XLOOKUP(S107:AG107,增益!$A:$A,增益!$P:$P,0))</f>
        <v>0.27</v>
      </c>
      <c r="BJ107" s="26">
        <f>MIN(IF(VLOOKUP($R107,武学奇术!$A:$ZZ,23,FALSE)=1,100%,$B$8),100%)</f>
        <v>0.981</v>
      </c>
      <c r="BK107" s="26" cm="1">
        <f t="array" ref="BK107">IF(VLOOKUP($R107,武学奇术!$A:$ZZ,23,FALSE)=1,100%,MIN(80%,$B$9+VLOOKUP($R107,武学奇术!$A:$ZZ,17,FALSE)+SUM(_xlfn.XLOOKUP(S107:AG107,增益!$A:$A,增益!$Q:$Q,0)))+$B$11+SUM(_xlfn.XLOOKUP(S107:AG107,增益!$A:$A,增益!$U:$U,0)))*IF(VLOOKUP($R107,武学奇术!$A:$ZZ,24,FALSE)=1,0,1)</f>
        <v>0.846</v>
      </c>
      <c r="BL107" s="26" cm="1">
        <f t="array" ref="BL107">1+$B$13+VLOOKUP($R107,武学奇术!$A:$ZZ,18,FALSE)+SUM(_xlfn.XLOOKUP(S107:AG107,增益!$A:$A,增益!$R:$R,0))</f>
        <v>1.97</v>
      </c>
      <c r="BM107" s="26" cm="1">
        <f t="array" ref="BM107">IF(VLOOKUP($R107,武学奇术!$A:$ZZ,24,FALSE)=1,100%,MIN(40%,$B$10+VLOOKUP($R107,武学奇术!$A:$ZZ,19,FALSE)+SUM(_xlfn.XLOOKUP(S107:AG107,增益!$A:$A,增益!$S:$S,0)))+$B$12+SUM(_xlfn.XLOOKUP(S107:AG107,增益!$A:$A,增益!$V:$V,0)))*IF(VLOOKUP($R107,武学奇术!$A:$ZZ,23,FALSE)=1,0,1)</f>
        <v>0.0929</v>
      </c>
      <c r="BN107" s="26" cm="1">
        <f t="array" ref="BN107">1+$B$14+VLOOKUP($R107,武学奇术!$A:$ZZ,20,FALSE)+SUM(_xlfn.XLOOKUP(S107:AG107,增益!$A:$A,增益!$T:$T,0))</f>
        <v>1.35</v>
      </c>
      <c r="BO107" s="26">
        <f t="shared" ref="BO107:BO119" si="60">MIN((1-BM107)*BJ107,BJ107*BK107)</f>
        <v>0.829926</v>
      </c>
      <c r="BP107" s="26">
        <f t="shared" ref="BP107:BP119" si="61">1-BM107-BO107-BQ107</f>
        <v>0.0599391</v>
      </c>
      <c r="BQ107" s="26">
        <f>IF(VLOOKUP($R107,武学奇术!$A:$ZZ,22,FALSE)=1,0,(1-$BJ107))*(1-$BM107)</f>
        <v>0.0172349</v>
      </c>
      <c r="BR107" s="26" cm="1">
        <f t="array" ref="BR107">SUM(_xlfn.XLOOKUP(S107:AG107,增益!$A:$A,增益!$W:$W,0))+$I$5</f>
        <v>0.11</v>
      </c>
    </row>
    <row r="108" spans="1:70">
      <c r="A108" s="4" t="s">
        <v>164</v>
      </c>
      <c r="B108" s="4">
        <v>0.85</v>
      </c>
      <c r="E108" s="39"/>
      <c r="F108" s="39"/>
      <c r="K108">
        <f>$L108*VLOOKUP($R108,武学奇术!$A:$ZZ,31,FALSE)</f>
        <v>42675.0804770658</v>
      </c>
      <c r="L108" s="38">
        <f t="shared" si="51"/>
        <v>40642.9337876817</v>
      </c>
      <c r="M108" s="38">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BL108*$Q108*(1+IF(VLOOKUP($R108,武学奇术!$A:$ZZ,30,FALSE)="回旋伞",$B$21,0))*(1+$BR108)</f>
        <v>43208.7551673389</v>
      </c>
      <c r="N108" s="38">
        <f>(($AP108*$AI108+$AJ108)*(1+$AQ108)*(1+$AR108)+($AU108*IF($G$1="鸣金",$AK108,$AI108)+IF($G$1="鸣金",$AL108*1.5,0))*(1+$AV108)*(1+$AW108)+($AY108*IF($G$1="裂石",$AK108,$AI108)+IF($G$1="裂石",$AL108*1.5,0))*(1+$AZ108)*(1+$BA108)+($BC108*IF($G$1="牵丝",$AK108,$AI108)+IF($G$1="牵丝",$AL108*1.5,0))*(1+$BD108)*(1+$BE108)+($BG108*IF($G$1="破竹",$AK108,$AI108)+IF($G$1="破竹",$AL108*1.5,0))*(1+$BH108)*(1+$BI108))*(1+$AM108)*$BN108*$Q108*(1+IF(VLOOKUP($R108,武学奇术!$A:$ZZ,30,FALSE)="回旋伞",$B$21,0))*(1+$BR108)</f>
        <v>33845.5385817589</v>
      </c>
      <c r="O108" s="38">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Q108*(1+IF(VLOOKUP($R108,武学奇术!$A:$ZZ,30,FALSE)="回旋伞",$B$21,0))*(1+$BR108)</f>
        <v>21933.3782575325</v>
      </c>
      <c r="P108" s="38">
        <f>((($AO108*$AI108+$AJ108)*(1+$AQ108)*(1+$AR108)+($AT108*IF($G$1="鸣金",$AK108,$AI108)+IF($G$1="鸣金",$AL108*1.5,0))*(1+$AV108)*(1+$AW108)+($AX108*IF($G$1="裂石",$AK108,$AI108)+IF($G$1="裂石",$AL108*1.5,0))*(1+$AZ108)*(1+$BA108)+($BB108*IF($G$1="牵丝",$AK108,$AI108)+IF($G$1="牵丝",$AL108*1.5,0))*(1+$BD108)*(1+$BE108)+($BF108*IF($G$1="破竹",$AK108,$AI108)+IF($G$1="破竹",$AL108*1.5,0))*(1+$BH108)*(1+$BI108))*(1+$AM108))*$Q108*(1+IF(VLOOKUP($R108,武学奇术!$A:$ZZ,30,FALSE)="回旋伞",$B$21,0))*(1+$BR108)</f>
        <v>18795.9871952435</v>
      </c>
      <c r="Q108" s="39">
        <v>2</v>
      </c>
      <c r="R108" s="40" t="s">
        <v>112</v>
      </c>
      <c r="S108" s="40" t="s">
        <v>109</v>
      </c>
      <c r="T108" s="40" t="s">
        <v>114</v>
      </c>
      <c r="U108" s="40" t="s">
        <v>73</v>
      </c>
      <c r="V108" s="40" t="s">
        <v>72</v>
      </c>
      <c r="W108" s="40" t="s">
        <v>172</v>
      </c>
      <c r="X108" s="40" t="s">
        <v>83</v>
      </c>
      <c r="Y108" s="40" t="s">
        <v>84</v>
      </c>
      <c r="Z108" s="40" t="s">
        <v>72</v>
      </c>
      <c r="AA108" s="40" t="s">
        <v>72</v>
      </c>
      <c r="AB108" s="40" t="s">
        <v>115</v>
      </c>
      <c r="AC108" s="40" t="s">
        <v>85</v>
      </c>
      <c r="AD108" s="40" t="s">
        <v>72</v>
      </c>
      <c r="AE108" s="40" t="s">
        <v>72</v>
      </c>
      <c r="AF108" s="40" t="s">
        <v>77</v>
      </c>
      <c r="AG108" s="40" t="s">
        <v>78</v>
      </c>
      <c r="AH108" t="str">
        <f>VLOOKUP($R108,武学奇术!$A:$ZZ,25,FALSE)</f>
        <v>伞</v>
      </c>
      <c r="AI108" s="26">
        <f>VLOOKUP($R108,武学奇术!$A:$ZZ,26,FALSE)</f>
        <v>0.54</v>
      </c>
      <c r="AJ108" s="27">
        <f>VLOOKUP($R108,武学奇术!$A:$ZZ,27,FALSE)*(1+IF(OR($AH108=$F$4,$AH108=$F$5),$B$22,0))</f>
        <v>0</v>
      </c>
      <c r="AK108" s="26">
        <f>VLOOKUP($R108,武学奇术!$A:$ZZ,28,FALSE)</f>
        <v>0.81</v>
      </c>
      <c r="AL108" s="27">
        <f>VLOOKUP($R108,武学奇术!$A:$ZZ,29,FALSE)*(1+IF(OR($AH108=$F$4,$AH108=$F$5),$B$22,0))</f>
        <v>0</v>
      </c>
      <c r="AM108" s="26" cm="1">
        <f t="array" ref="AM108">$G$3+IFERROR(VLOOKUP($AH108,$F$4:$G$7,2,FALSE),0)+VLOOKUP($R108,武学奇术!$A:$ZZ,2,FALSE)+SUM(_xlfn.XLOOKUP($S108:$AG108,增益!$A:$A,增益!$B:$B,0))</f>
        <v>0.8241</v>
      </c>
      <c r="AN108" s="26" cm="1">
        <f t="array" ref="AN108">VLOOKUP($R108,武学奇术!$A:$ZZ,5,FALSE)+SUM(_xlfn.XLOOKUP($S108:$AG108,增益!$A:$A,增益!$E:$E,0))</f>
        <v>0</v>
      </c>
      <c r="AO108" cm="1">
        <f t="array" ref="AO108">$D$10*(1+$AN108)+VLOOKUP($R108,武学奇术!$A:$ZZ,3,FALSE)+SUM(_xlfn.XLOOKUP($S108:$AG108,增益!$A:$A,增益!$C:$C,0))-$I$2</f>
        <v>3624.6</v>
      </c>
      <c r="AP108" cm="1">
        <f t="array" ref="AP108">$E$10*(1+$AN108)+VLOOKUP($R108,武学奇术!$A:$ZZ,4,FALSE)+SUM(_xlfn.XLOOKUP($S108:$AG108,增益!$A:$A,增益!$D:$D,0))-$I$2</f>
        <v>3624.6</v>
      </c>
      <c r="AQ108" s="32" cm="1">
        <f t="array" ref="AQ108">IF($F$10-$I$3+VLOOKUP($R108,武学奇术!$A:$ZZ,6,FALSE)+SUM(_xlfn.XLOOKUP(S108:AG108,增益!$A:$A,增益!$F:$F,0))&gt;0,($F$10-$I$3+VLOOKUP($R108,武学奇术!$A:$ZZ,6,FALSE)+SUM(_xlfn.XLOOKUP(S108:AG108,增益!$A:$A,增益!$F:$F,0)))/200,($F$10-$I$3+VLOOKUP($R108,武学奇术!$A:$ZZ,6,FALSE)+SUM(_xlfn.XLOOKUP(S108:AG108,增益!$A:$A,增益!$F:$F,0)))/100)</f>
        <v>0.2825</v>
      </c>
      <c r="AR108" s="32" cm="1">
        <f t="array" ref="AR108">$G$10+VLOOKUP($R108,武学奇术!$A:$ZZ,7,FALSE)+SUM(_xlfn.XLOOKUP(S108:AG108,增益!$A:$A,增益!$G:$G,0))</f>
        <v>0.148</v>
      </c>
      <c r="AS108" s="26" cm="1">
        <f t="array" ref="AS108">VLOOKUP($R108,武学奇术!$A:$ZZ,8,FALSE)+SUM(_xlfn.XLOOKUP(S108:AG108,增益!$A:$A,增益!$H:$H,0))</f>
        <v>0</v>
      </c>
      <c r="AT108">
        <f t="shared" si="52"/>
        <v>0</v>
      </c>
      <c r="AU108">
        <f t="shared" si="53"/>
        <v>0</v>
      </c>
      <c r="AV108" s="32" cm="1">
        <f t="array" ref="AV108">IF($F$11-$I$4+VLOOKUP($R108,武学奇术!$A:$ZZ,9,FALSE)+SUM(_xlfn.XLOOKUP(S108:AG108,增益!$A:$A,增益!$I:$I,0))&gt;0,($F$11-$I$4+VLOOKUP($R108,武学奇术!$A:$ZZ,9,FALSE)+SUM(_xlfn.XLOOKUP(S108:AG108,增益!$A:$A,增益!$I:$I,0)))/200,($F$11-$I$4+VLOOKUP($R108,武学奇术!$A:$ZZ,9,FALSE)+SUM(_xlfn.XLOOKUP(S108:AG108,增益!$A:$A,增益!$I:$I,0)))/100)</f>
        <v>-0.14</v>
      </c>
      <c r="AW108" s="32" cm="1">
        <f t="array" ref="AW108">$G$11+VLOOKUP($R108,武学奇术!$A:$ZZ,10,FALSE)+SUM(_xlfn.XLOOKUP(S108:AG108,增益!$A:$A,增益!$J:$J,0))</f>
        <v>0</v>
      </c>
      <c r="AX108">
        <f t="shared" si="54"/>
        <v>0</v>
      </c>
      <c r="AY108">
        <f t="shared" si="55"/>
        <v>0</v>
      </c>
      <c r="AZ108" s="32" cm="1">
        <f t="array" ref="AZ108">IF($F$12-$I$4+VLOOKUP($R108,武学奇术!$A:$ZZ,11,FALSE)+SUM(_xlfn.XLOOKUP(S108:AG108,增益!$A:$A,增益!$K:$K,0))&gt;0,($F$12-$I$4+VLOOKUP($R108,武学奇术!$A:$ZZ,11,FALSE)+SUM(_xlfn.XLOOKUP(S108:AG108,增益!$A:$A,增益!$K:$K,0)))/200,($F$12-$I$4+VLOOKUP($R108,武学奇术!$A:$ZZ,11,FALSE)+SUM(_xlfn.XLOOKUP(S108:AG108,增益!$A:$A,增益!$K:$K,0)))/100)</f>
        <v>-0.14</v>
      </c>
      <c r="BA108" s="32" cm="1">
        <f t="array" ref="BA108">$G$12+VLOOKUP($R108,武学奇术!$A:$ZZ,12,FALSE)+SUM(_xlfn.XLOOKUP(S108:AG108,增益!$A:$A,增益!$L:$L,0))</f>
        <v>0</v>
      </c>
      <c r="BB108">
        <f t="shared" si="56"/>
        <v>0</v>
      </c>
      <c r="BC108">
        <f t="shared" si="57"/>
        <v>0</v>
      </c>
      <c r="BD108" s="32" cm="1">
        <f t="array" ref="BD108">IF($F$13-$I$4+VLOOKUP($R108,武学奇术!$A:$ZZ,13,FALSE)+SUM(_xlfn.XLOOKUP(S108:AG108,增益!$A:$A,增益!$M:$M,0))&gt;0,($F$13-$I$4+VLOOKUP($R108,武学奇术!$A:$ZZ,13,FALSE)+SUM(_xlfn.XLOOKUP(S108:AG108,增益!$A:$A,增益!$K:$K,0)))/200,($F$13-$I$4+VLOOKUP($R108,武学奇术!$A:$ZZ,13,FALSE)+SUM(_xlfn.XLOOKUP(S108:AG108,增益!$A:$A,增益!$M:$M,0)))/100)</f>
        <v>-0.14</v>
      </c>
      <c r="BE108" s="32" cm="1">
        <f t="array" ref="BE108">$G$13+VLOOKUP($R108,武学奇术!$A:$ZZ,14,FALSE)+SUM(_xlfn.XLOOKUP(S108:AG108,增益!$A:$A,增益!$N:$N,0))</f>
        <v>0</v>
      </c>
      <c r="BF108">
        <f t="shared" si="58"/>
        <v>571.2</v>
      </c>
      <c r="BG108">
        <f t="shared" si="59"/>
        <v>1627.8</v>
      </c>
      <c r="BH108" s="32" cm="1">
        <f t="array" ref="BH108">IF($F$14-$I$4+VLOOKUP($R108,武学奇术!$A:$ZZ,15,FALSE)+SUM(_xlfn.XLOOKUP(S108:AG108,增益!$A:$A,增益!$O:$O,0))&gt;0,($F$14-$I$4+VLOOKUP($R108,武学奇术!$A:$ZZ,15,FALSE)+SUM(_xlfn.XLOOKUP(S108:AG108,增益!$A:$A,增益!$O:$O,0)))/200,($F$14-$I$4+VLOOKUP($R108,武学奇术!$A:$ZZ,15,FALSE)+SUM(_xlfn.XLOOKUP(S108:AG108,增益!$A:$A,增益!$O:$O,0)))/100)</f>
        <v>0.08</v>
      </c>
      <c r="BI108" s="32" cm="1">
        <f t="array" ref="BI108">$G$14+VLOOKUP($R108,武学奇术!$A:$ZZ,16,FALSE)+SUM(_xlfn.XLOOKUP(S108:AG108,增益!$A:$A,增益!$P:$P,0))</f>
        <v>0.27</v>
      </c>
      <c r="BJ108" s="26">
        <f>MIN(IF(VLOOKUP($R108,武学奇术!$A:$ZZ,23,FALSE)=1,100%,$B$8),100%)</f>
        <v>0.981</v>
      </c>
      <c r="BK108" s="26" cm="1">
        <f t="array" ref="BK108">IF(VLOOKUP($R108,武学奇术!$A:$ZZ,23,FALSE)=1,100%,MIN(80%,$B$9+VLOOKUP($R108,武学奇术!$A:$ZZ,17,FALSE)+SUM(_xlfn.XLOOKUP(S108:AG108,增益!$A:$A,增益!$Q:$Q,0)))+$B$11+SUM(_xlfn.XLOOKUP(S108:AG108,增益!$A:$A,增益!$U:$U,0)))*IF(VLOOKUP($R108,武学奇术!$A:$ZZ,24,FALSE)=1,0,1)</f>
        <v>0.846</v>
      </c>
      <c r="BL108" s="26" cm="1">
        <f t="array" ref="BL108">1+$B$13+VLOOKUP($R108,武学奇术!$A:$ZZ,18,FALSE)+SUM(_xlfn.XLOOKUP(S108:AG108,增益!$A:$A,增益!$R:$R,0))</f>
        <v>1.97</v>
      </c>
      <c r="BM108" s="26" cm="1">
        <f t="array" ref="BM108">IF(VLOOKUP($R108,武学奇术!$A:$ZZ,24,FALSE)=1,100%,MIN(40%,$B$10+VLOOKUP($R108,武学奇术!$A:$ZZ,19,FALSE)+SUM(_xlfn.XLOOKUP(S108:AG108,增益!$A:$A,增益!$S:$S,0)))+$B$12+SUM(_xlfn.XLOOKUP(S108:AG108,增益!$A:$A,增益!$V:$V,0)))*IF(VLOOKUP($R108,武学奇术!$A:$ZZ,23,FALSE)=1,0,1)</f>
        <v>0.0929</v>
      </c>
      <c r="BN108" s="26" cm="1">
        <f t="array" ref="BN108">1+$B$14+VLOOKUP($R108,武学奇术!$A:$ZZ,20,FALSE)+SUM(_xlfn.XLOOKUP(S108:AG108,增益!$A:$A,增益!$T:$T,0))</f>
        <v>1.35</v>
      </c>
      <c r="BO108" s="26">
        <f t="shared" si="60"/>
        <v>0.829926</v>
      </c>
      <c r="BP108" s="26">
        <f t="shared" si="61"/>
        <v>0.0599391</v>
      </c>
      <c r="BQ108" s="26">
        <f>IF(VLOOKUP($R108,武学奇术!$A:$ZZ,22,FALSE)=1,0,(1-$BJ108))*(1-$BM108)</f>
        <v>0.0172349</v>
      </c>
      <c r="BR108" s="26" cm="1">
        <f t="array" ref="BR108">SUM(_xlfn.XLOOKUP(S108:AG108,增益!$A:$A,增益!$W:$W,0))+$I$5</f>
        <v>0.11</v>
      </c>
    </row>
    <row r="109" spans="1:70">
      <c r="A109" s="4" t="s">
        <v>161</v>
      </c>
      <c r="B109" s="87">
        <v>1</v>
      </c>
      <c r="E109" s="39"/>
      <c r="F109" s="39"/>
      <c r="K109">
        <f>$L109*VLOOKUP($R109,武学奇术!$A:$ZZ,31,FALSE)</f>
        <v>76150.0789627402</v>
      </c>
      <c r="L109" s="38">
        <f t="shared" si="51"/>
        <v>72523.8847264192</v>
      </c>
      <c r="M109" s="38">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BL109*$Q109*(1+IF(VLOOKUP($R109,武学奇术!$A:$ZZ,30,FALSE)="回旋伞",$B$21,0))*(1+$BR109)</f>
        <v>77458.2613480535</v>
      </c>
      <c r="N109" s="38">
        <f>(($AP109*$AI109+$AJ109)*(1+$AQ109)*(1+$AR109)+($AU109*IF($G$1="鸣金",$AK109,$AI109)+IF($G$1="鸣金",$AL109*1.5,0))*(1+$AV109)*(1+$AW109)+($AY109*IF($G$1="裂石",$AK109,$AI109)+IF($G$1="裂石",$AL109*1.5,0))*(1+$AZ109)*(1+$BA109)+($BC109*IF($G$1="牵丝",$AK109,$AI109)+IF($G$1="牵丝",$AL109*1.5,0))*(1+$BD109)*(1+$BE109)+($BG109*IF($G$1="破竹",$AK109,$AI109)+IF($G$1="破竹",$AL109*1.5,0))*(1+$BH109)*(1+$BI109))*(1+$AM109)*$BN109*$Q109*(1+IF(VLOOKUP($R109,武学奇术!$A:$ZZ,30,FALSE)="回旋伞",$B$21,0))*(1+$BR109)</f>
        <v>57865.0070798493</v>
      </c>
      <c r="O109" s="38">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Q109*(1+IF(VLOOKUP($R109,武学奇术!$A:$ZZ,30,FALSE)="回旋伞",$B$21,0))*(1+$BR109)</f>
        <v>38156.7789891889</v>
      </c>
      <c r="P109" s="38">
        <f>((($AO109*$AI109+$AJ109)*(1+$AQ109)*(1+$AR109)+($AT109*IF($G$1="鸣金",$AK109,$AI109)+IF($G$1="鸣金",$AL109*1.5,0))*(1+$AV109)*(1+$AW109)+($AX109*IF($G$1="裂石",$AK109,$AI109)+IF($G$1="裂石",$AL109*1.5,0))*(1+$AZ109)*(1+$BA109)+($BB109*IF($G$1="牵丝",$AK109,$AI109)+IF($G$1="牵丝",$AL109*1.5,0))*(1+$BD109)*(1+$BE109)+($BF109*IF($G$1="破竹",$AK109,$AI109)+IF($G$1="破竹",$AL109*1.5,0))*(1+$BH109)*(1+$BI109))*(1+$AM109))*$Q109*(1+IF(VLOOKUP($R109,武学奇术!$A:$ZZ,30,FALSE)="回旋伞",$B$21,0))*(1+$BR109)</f>
        <v>33450.5897710821</v>
      </c>
      <c r="Q109" s="39">
        <v>1</v>
      </c>
      <c r="R109" s="40" t="s">
        <v>108</v>
      </c>
      <c r="S109" s="40" t="s">
        <v>109</v>
      </c>
      <c r="T109" s="40" t="s">
        <v>119</v>
      </c>
      <c r="U109" s="40" t="s">
        <v>73</v>
      </c>
      <c r="V109" s="40" t="s">
        <v>72</v>
      </c>
      <c r="W109" s="40" t="s">
        <v>172</v>
      </c>
      <c r="X109" s="40" t="s">
        <v>90</v>
      </c>
      <c r="Y109" s="40" t="s">
        <v>84</v>
      </c>
      <c r="Z109" s="40" t="s">
        <v>72</v>
      </c>
      <c r="AA109" s="40" t="s">
        <v>72</v>
      </c>
      <c r="AB109" s="40" t="s">
        <v>120</v>
      </c>
      <c r="AC109" s="40" t="s">
        <v>91</v>
      </c>
      <c r="AD109" s="40" t="s">
        <v>72</v>
      </c>
      <c r="AE109" s="40" t="s">
        <v>72</v>
      </c>
      <c r="AF109" s="40" t="s">
        <v>77</v>
      </c>
      <c r="AG109" s="40" t="s">
        <v>78</v>
      </c>
      <c r="AH109" t="str">
        <f>VLOOKUP($R109,武学奇术!$A:$ZZ,25,FALSE)</f>
        <v>伞</v>
      </c>
      <c r="AI109" s="26">
        <f>VLOOKUP($R109,武学奇术!$A:$ZZ,26,FALSE)</f>
        <v>1.8084</v>
      </c>
      <c r="AJ109" s="27">
        <f>VLOOKUP($R109,武学奇术!$A:$ZZ,27,FALSE)*(1+IF(OR($AH109=$F$4,$AH109=$F$5),$B$22,0))</f>
        <v>750</v>
      </c>
      <c r="AK109" s="26">
        <f>VLOOKUP($R109,武学奇术!$A:$ZZ,28,FALSE)</f>
        <v>2.7126</v>
      </c>
      <c r="AL109" s="27">
        <f>VLOOKUP($R109,武学奇术!$A:$ZZ,29,FALSE)*(1+IF(OR($AH109=$F$4,$AH109=$F$5),$B$22,0))</f>
        <v>408</v>
      </c>
      <c r="AM109" s="26" cm="1">
        <f t="array" ref="AM109">$G$3+IFERROR(VLOOKUP($AH109,$F$4:$G$7,2,FALSE),0)+VLOOKUP($R109,武学奇术!$A:$ZZ,2,FALSE)+SUM(_xlfn.XLOOKUP($S109:$AG109,增益!$A:$A,增益!$B:$B,0))</f>
        <v>0.6341</v>
      </c>
      <c r="AN109" s="26" cm="1">
        <f t="array" ref="AN109">VLOOKUP($R109,武学奇术!$A:$ZZ,5,FALSE)+SUM(_xlfn.XLOOKUP($S109:$AG109,增益!$A:$A,增益!$E:$E,0))</f>
        <v>0</v>
      </c>
      <c r="AO109" cm="1">
        <f t="array" ref="AO109">$D$10*(1+$AN109)+VLOOKUP($R109,武学奇术!$A:$ZZ,3,FALSE)+SUM(_xlfn.XLOOKUP($S109:$AG109,增益!$A:$A,增益!$C:$C,0))-$I$2</f>
        <v>3624.6</v>
      </c>
      <c r="AP109" cm="1">
        <f t="array" ref="AP109">$E$10*(1+$AN109)+VLOOKUP($R109,武学奇术!$A:$ZZ,4,FALSE)+SUM(_xlfn.XLOOKUP($S109:$AG109,增益!$A:$A,增益!$D:$D,0))-$I$2</f>
        <v>3624.6</v>
      </c>
      <c r="AQ109" s="32" cm="1">
        <f t="array" ref="AQ109">IF($F$10-$I$3+VLOOKUP($R109,武学奇术!$A:$ZZ,6,FALSE)+SUM(_xlfn.XLOOKUP(S109:AG109,增益!$A:$A,增益!$F:$F,0))&gt;0,($F$10-$I$3+VLOOKUP($R109,武学奇术!$A:$ZZ,6,FALSE)+SUM(_xlfn.XLOOKUP(S109:AG109,增益!$A:$A,增益!$F:$F,0)))/200,($F$10-$I$3+VLOOKUP($R109,武学奇术!$A:$ZZ,6,FALSE)+SUM(_xlfn.XLOOKUP(S109:AG109,增益!$A:$A,增益!$F:$F,0)))/100)</f>
        <v>0.3125</v>
      </c>
      <c r="AR109" s="32" cm="1">
        <f t="array" ref="AR109">$G$10+VLOOKUP($R109,武学奇术!$A:$ZZ,7,FALSE)+SUM(_xlfn.XLOOKUP(S109:AG109,增益!$A:$A,增益!$G:$G,0))</f>
        <v>0.148</v>
      </c>
      <c r="AS109" s="26" cm="1">
        <f t="array" ref="AS109">VLOOKUP($R109,武学奇术!$A:$ZZ,8,FALSE)+SUM(_xlfn.XLOOKUP(S109:AG109,增益!$A:$A,增益!$H:$H,0))</f>
        <v>0</v>
      </c>
      <c r="AT109">
        <f t="shared" si="52"/>
        <v>0</v>
      </c>
      <c r="AU109">
        <f t="shared" si="53"/>
        <v>0</v>
      </c>
      <c r="AV109" s="32" cm="1">
        <f t="array" ref="AV109">IF($F$11-$I$4+VLOOKUP($R109,武学奇术!$A:$ZZ,9,FALSE)+SUM(_xlfn.XLOOKUP(S109:AG109,增益!$A:$A,增益!$I:$I,0))&gt;0,($F$11-$I$4+VLOOKUP($R109,武学奇术!$A:$ZZ,9,FALSE)+SUM(_xlfn.XLOOKUP(S109:AG109,增益!$A:$A,增益!$I:$I,0)))/200,($F$11-$I$4+VLOOKUP($R109,武学奇术!$A:$ZZ,9,FALSE)+SUM(_xlfn.XLOOKUP(S109:AG109,增益!$A:$A,增益!$I:$I,0)))/100)</f>
        <v>-0.14</v>
      </c>
      <c r="AW109" s="32" cm="1">
        <f t="array" ref="AW109">$G$11+VLOOKUP($R109,武学奇术!$A:$ZZ,10,FALSE)+SUM(_xlfn.XLOOKUP(S109:AG109,增益!$A:$A,增益!$J:$J,0))</f>
        <v>0</v>
      </c>
      <c r="AX109">
        <f t="shared" si="54"/>
        <v>0</v>
      </c>
      <c r="AY109">
        <f t="shared" si="55"/>
        <v>0</v>
      </c>
      <c r="AZ109" s="32" cm="1">
        <f t="array" ref="AZ109">IF($F$12-$I$4+VLOOKUP($R109,武学奇术!$A:$ZZ,11,FALSE)+SUM(_xlfn.XLOOKUP(S109:AG109,增益!$A:$A,增益!$K:$K,0))&gt;0,($F$12-$I$4+VLOOKUP($R109,武学奇术!$A:$ZZ,11,FALSE)+SUM(_xlfn.XLOOKUP(S109:AG109,增益!$A:$A,增益!$K:$K,0)))/200,($F$12-$I$4+VLOOKUP($R109,武学奇术!$A:$ZZ,11,FALSE)+SUM(_xlfn.XLOOKUP(S109:AG109,增益!$A:$A,增益!$K:$K,0)))/100)</f>
        <v>-0.14</v>
      </c>
      <c r="BA109" s="32" cm="1">
        <f t="array" ref="BA109">$G$12+VLOOKUP($R109,武学奇术!$A:$ZZ,12,FALSE)+SUM(_xlfn.XLOOKUP(S109:AG109,增益!$A:$A,增益!$L:$L,0))</f>
        <v>0</v>
      </c>
      <c r="BB109">
        <f t="shared" si="56"/>
        <v>0</v>
      </c>
      <c r="BC109">
        <f t="shared" si="57"/>
        <v>0</v>
      </c>
      <c r="BD109" s="32" cm="1">
        <f t="array" ref="BD109">IF($F$13-$I$4+VLOOKUP($R109,武学奇术!$A:$ZZ,13,FALSE)+SUM(_xlfn.XLOOKUP(S109:AG109,增益!$A:$A,增益!$M:$M,0))&gt;0,($F$13-$I$4+VLOOKUP($R109,武学奇术!$A:$ZZ,13,FALSE)+SUM(_xlfn.XLOOKUP(S109:AG109,增益!$A:$A,增益!$K:$K,0)))/200,($F$13-$I$4+VLOOKUP($R109,武学奇术!$A:$ZZ,13,FALSE)+SUM(_xlfn.XLOOKUP(S109:AG109,增益!$A:$A,增益!$M:$M,0)))/100)</f>
        <v>-0.14</v>
      </c>
      <c r="BE109" s="32" cm="1">
        <f t="array" ref="BE109">$G$13+VLOOKUP($R109,武学奇术!$A:$ZZ,14,FALSE)+SUM(_xlfn.XLOOKUP(S109:AG109,增益!$A:$A,增益!$N:$N,0))</f>
        <v>0</v>
      </c>
      <c r="BF109">
        <f t="shared" si="58"/>
        <v>571.2</v>
      </c>
      <c r="BG109">
        <f t="shared" si="59"/>
        <v>1627.8</v>
      </c>
      <c r="BH109" s="32" cm="1">
        <f t="array" ref="BH109">IF($F$14-$I$4+VLOOKUP($R109,武学奇术!$A:$ZZ,15,FALSE)+SUM(_xlfn.XLOOKUP(S109:AG109,增益!$A:$A,增益!$O:$O,0))&gt;0,($F$14-$I$4+VLOOKUP($R109,武学奇术!$A:$ZZ,15,FALSE)+SUM(_xlfn.XLOOKUP(S109:AG109,增益!$A:$A,增益!$O:$O,0)))/200,($F$14-$I$4+VLOOKUP($R109,武学奇术!$A:$ZZ,15,FALSE)+SUM(_xlfn.XLOOKUP(S109:AG109,增益!$A:$A,增益!$O:$O,0)))/100)</f>
        <v>0.08</v>
      </c>
      <c r="BI109" s="32" cm="1">
        <f t="array" ref="BI109">$G$14+VLOOKUP($R109,武学奇术!$A:$ZZ,16,FALSE)+SUM(_xlfn.XLOOKUP(S109:AG109,增益!$A:$A,增益!$P:$P,0))</f>
        <v>0.27</v>
      </c>
      <c r="BJ109" s="26">
        <f>MIN(IF(VLOOKUP($R109,武学奇术!$A:$ZZ,23,FALSE)=1,100%,$B$8),100%)</f>
        <v>0.981</v>
      </c>
      <c r="BK109" s="26" cm="1">
        <f t="array" ref="BK109">IF(VLOOKUP($R109,武学奇术!$A:$ZZ,23,FALSE)=1,100%,MIN(80%,$B$9+VLOOKUP($R109,武学奇术!$A:$ZZ,17,FALSE)+SUM(_xlfn.XLOOKUP(S109:AG109,增益!$A:$A,增益!$Q:$Q,0)))+$B$11+SUM(_xlfn.XLOOKUP(S109:AG109,增益!$A:$A,增益!$U:$U,0)))*IF(VLOOKUP($R109,武学奇术!$A:$ZZ,24,FALSE)=1,0,1)</f>
        <v>0.846</v>
      </c>
      <c r="BL109" s="26" cm="1">
        <f t="array" ref="BL109">1+$B$13+VLOOKUP($R109,武学奇术!$A:$ZZ,18,FALSE)+SUM(_xlfn.XLOOKUP(S109:AG109,增益!$A:$A,增益!$R:$R,0))</f>
        <v>2.03</v>
      </c>
      <c r="BM109" s="26" cm="1">
        <f t="array" ref="BM109">IF(VLOOKUP($R109,武学奇术!$A:$ZZ,24,FALSE)=1,100%,MIN(40%,$B$10+VLOOKUP($R109,武学奇术!$A:$ZZ,19,FALSE)+SUM(_xlfn.XLOOKUP(S109:AG109,增益!$A:$A,增益!$S:$S,0)))+$B$12+SUM(_xlfn.XLOOKUP(S109:AG109,增益!$A:$A,增益!$V:$V,0)))*IF(VLOOKUP($R109,武学奇术!$A:$ZZ,23,FALSE)=1,0,1)</f>
        <v>0.0929</v>
      </c>
      <c r="BN109" s="26" cm="1">
        <f t="array" ref="BN109">1+$B$14+VLOOKUP($R109,武学奇术!$A:$ZZ,20,FALSE)+SUM(_xlfn.XLOOKUP(S109:AG109,增益!$A:$A,增益!$T:$T,0))</f>
        <v>1.35</v>
      </c>
      <c r="BO109" s="26">
        <f t="shared" si="60"/>
        <v>0.829926</v>
      </c>
      <c r="BP109" s="26">
        <f t="shared" si="61"/>
        <v>0.0599391</v>
      </c>
      <c r="BQ109" s="26">
        <f>IF(VLOOKUP($R109,武学奇术!$A:$ZZ,22,FALSE)=1,0,(1-$BJ109))*(1-$BM109)</f>
        <v>0.0172349</v>
      </c>
      <c r="BR109" s="26" cm="1">
        <f t="array" ref="BR109">SUM(_xlfn.XLOOKUP(S109:AG109,增益!$A:$A,增益!$W:$W,0))+$I$5</f>
        <v>0.11</v>
      </c>
    </row>
    <row r="110" spans="1:70">
      <c r="A110" s="4" t="s">
        <v>161</v>
      </c>
      <c r="B110" s="4">
        <v>1</v>
      </c>
      <c r="E110" s="39"/>
      <c r="F110" s="39"/>
      <c r="K110">
        <f>$L110*VLOOKUP($R110,武学奇术!$A:$ZZ,31,FALSE)</f>
        <v>44780.0825270435</v>
      </c>
      <c r="L110" s="38">
        <f t="shared" si="51"/>
        <v>42647.6976448034</v>
      </c>
      <c r="M110" s="38">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BL110*$Q110*(1+IF(VLOOKUP($R110,武学奇术!$A:$ZZ,30,FALSE)="回旋伞",$B$21,0))*(1+$BR110)</f>
        <v>45504.3160930875</v>
      </c>
      <c r="N110" s="38">
        <f>(($AP110*$AI110+$AJ110)*(1+$AQ110)*(1+$AR110)+($AU110*IF($G$1="鸣金",$AK110,$AI110)+IF($G$1="鸣金",$AL110*1.5,0))*(1+$AV110)*(1+$AW110)+($AY110*IF($G$1="裂石",$AK110,$AI110)+IF($G$1="裂石",$AL110*1.5,0))*(1+$AZ110)*(1+$BA110)+($BC110*IF($G$1="牵丝",$AK110,$AI110)+IF($G$1="牵丝",$AL110*1.5,0))*(1+$BD110)*(1+$BE110)+($BG110*IF($G$1="破竹",$AK110,$AI110)+IF($G$1="破竹",$AL110*1.5,0))*(1+$BH110)*(1+$BI110))*(1+$AM110)*$BN110*$Q110*(1+IF(VLOOKUP($R110,武学奇术!$A:$ZZ,30,FALSE)="回旋伞",$B$21,0))*(1+$BR110)</f>
        <v>34520.1884809616</v>
      </c>
      <c r="O110" s="38">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Q110*(1+IF(VLOOKUP($R110,武学奇术!$A:$ZZ,30,FALSE)="回旋伞",$B$21,0))*(1+$BR110)</f>
        <v>22415.9192576786</v>
      </c>
      <c r="P110" s="38">
        <f>((($AO110*$AI110+$AJ110)*(1+$AQ110)*(1+$AR110)+($AT110*IF($G$1="鸣金",$AK110,$AI110)+IF($G$1="鸣金",$AL110*1.5,0))*(1+$AV110)*(1+$AW110)+($AX110*IF($G$1="裂石",$AK110,$AI110)+IF($G$1="裂石",$AL110*1.5,0))*(1+$AZ110)*(1+$BA110)+($BB110*IF($G$1="牵丝",$AK110,$AI110)+IF($G$1="牵丝",$AL110*1.5,0))*(1+$BD110)*(1+$BE110)+($BF110*IF($G$1="破竹",$AK110,$AI110)+IF($G$1="破竹",$AL110*1.5,0))*(1+$BH110)*(1+$BI110))*(1+$AM110))*$Q110*(1+IF(VLOOKUP($R110,武学奇术!$A:$ZZ,30,FALSE)="回旋伞",$B$21,0))*(1+$BR110)</f>
        <v>19261.3285294596</v>
      </c>
      <c r="Q110" s="39">
        <v>2</v>
      </c>
      <c r="R110" s="40" t="s">
        <v>112</v>
      </c>
      <c r="S110" s="40" t="s">
        <v>109</v>
      </c>
      <c r="T110" s="40" t="s">
        <v>119</v>
      </c>
      <c r="U110" s="40" t="s">
        <v>73</v>
      </c>
      <c r="V110" s="40" t="s">
        <v>72</v>
      </c>
      <c r="W110" s="40" t="s">
        <v>172</v>
      </c>
      <c r="X110" s="40" t="s">
        <v>90</v>
      </c>
      <c r="Y110" s="40" t="s">
        <v>84</v>
      </c>
      <c r="Z110" s="40" t="s">
        <v>72</v>
      </c>
      <c r="AA110" s="40" t="s">
        <v>72</v>
      </c>
      <c r="AB110" s="40" t="s">
        <v>120</v>
      </c>
      <c r="AC110" s="40" t="s">
        <v>91</v>
      </c>
      <c r="AD110" s="40" t="s">
        <v>72</v>
      </c>
      <c r="AE110" s="40" t="s">
        <v>72</v>
      </c>
      <c r="AF110" s="40" t="s">
        <v>77</v>
      </c>
      <c r="AG110" s="40" t="s">
        <v>78</v>
      </c>
      <c r="AH110" t="str">
        <f>VLOOKUP($R110,武学奇术!$A:$ZZ,25,FALSE)</f>
        <v>伞</v>
      </c>
      <c r="AI110" s="26">
        <f>VLOOKUP($R110,武学奇术!$A:$ZZ,26,FALSE)</f>
        <v>0.54</v>
      </c>
      <c r="AJ110" s="27">
        <f>VLOOKUP($R110,武学奇术!$A:$ZZ,27,FALSE)*(1+IF(OR($AH110=$F$4,$AH110=$F$5),$B$22,0))</f>
        <v>0</v>
      </c>
      <c r="AK110" s="26">
        <f>VLOOKUP($R110,武学奇术!$A:$ZZ,28,FALSE)</f>
        <v>0.81</v>
      </c>
      <c r="AL110" s="27">
        <f>VLOOKUP($R110,武学奇术!$A:$ZZ,29,FALSE)*(1+IF(OR($AH110=$F$4,$AH110=$F$5),$B$22,0))</f>
        <v>0</v>
      </c>
      <c r="AM110" s="26" cm="1">
        <f t="array" ref="AM110">$G$3+IFERROR(VLOOKUP($AH110,$F$4:$G$7,2,FALSE),0)+VLOOKUP($R110,武学奇术!$A:$ZZ,2,FALSE)+SUM(_xlfn.XLOOKUP($S110:$AG110,增益!$A:$A,增益!$B:$B,0))</f>
        <v>0.8341</v>
      </c>
      <c r="AN110" s="26" cm="1">
        <f t="array" ref="AN110">VLOOKUP($R110,武学奇术!$A:$ZZ,5,FALSE)+SUM(_xlfn.XLOOKUP($S110:$AG110,增益!$A:$A,增益!$E:$E,0))</f>
        <v>0</v>
      </c>
      <c r="AO110" cm="1">
        <f t="array" ref="AO110">$D$10*(1+$AN110)+VLOOKUP($R110,武学奇术!$A:$ZZ,3,FALSE)+SUM(_xlfn.XLOOKUP($S110:$AG110,增益!$A:$A,增益!$C:$C,0))-$I$2</f>
        <v>3624.6</v>
      </c>
      <c r="AP110" cm="1">
        <f t="array" ref="AP110">$E$10*(1+$AN110)+VLOOKUP($R110,武学奇术!$A:$ZZ,4,FALSE)+SUM(_xlfn.XLOOKUP($S110:$AG110,增益!$A:$A,增益!$D:$D,0))-$I$2</f>
        <v>3624.6</v>
      </c>
      <c r="AQ110" s="32" cm="1">
        <f t="array" ref="AQ110">IF($F$10-$I$3+VLOOKUP($R110,武学奇术!$A:$ZZ,6,FALSE)+SUM(_xlfn.XLOOKUP(S110:AG110,增益!$A:$A,增益!$F:$F,0))&gt;0,($F$10-$I$3+VLOOKUP($R110,武学奇术!$A:$ZZ,6,FALSE)+SUM(_xlfn.XLOOKUP(S110:AG110,增益!$A:$A,增益!$F:$F,0)))/200,($F$10-$I$3+VLOOKUP($R110,武学奇术!$A:$ZZ,6,FALSE)+SUM(_xlfn.XLOOKUP(S110:AG110,增益!$A:$A,增益!$F:$F,0)))/100)</f>
        <v>0.3125</v>
      </c>
      <c r="AR110" s="32" cm="1">
        <f t="array" ref="AR110">$G$10+VLOOKUP($R110,武学奇术!$A:$ZZ,7,FALSE)+SUM(_xlfn.XLOOKUP(S110:AG110,增益!$A:$A,增益!$G:$G,0))</f>
        <v>0.148</v>
      </c>
      <c r="AS110" s="26" cm="1">
        <f t="array" ref="AS110">VLOOKUP($R110,武学奇术!$A:$ZZ,8,FALSE)+SUM(_xlfn.XLOOKUP(S110:AG110,增益!$A:$A,增益!$H:$H,0))</f>
        <v>0</v>
      </c>
      <c r="AT110">
        <f t="shared" si="52"/>
        <v>0</v>
      </c>
      <c r="AU110">
        <f t="shared" si="53"/>
        <v>0</v>
      </c>
      <c r="AV110" s="32" cm="1">
        <f t="array" ref="AV110">IF($F$11-$I$4+VLOOKUP($R110,武学奇术!$A:$ZZ,9,FALSE)+SUM(_xlfn.XLOOKUP(S110:AG110,增益!$A:$A,增益!$I:$I,0))&gt;0,($F$11-$I$4+VLOOKUP($R110,武学奇术!$A:$ZZ,9,FALSE)+SUM(_xlfn.XLOOKUP(S110:AG110,增益!$A:$A,增益!$I:$I,0)))/200,($F$11-$I$4+VLOOKUP($R110,武学奇术!$A:$ZZ,9,FALSE)+SUM(_xlfn.XLOOKUP(S110:AG110,增益!$A:$A,增益!$I:$I,0)))/100)</f>
        <v>-0.14</v>
      </c>
      <c r="AW110" s="32" cm="1">
        <f t="array" ref="AW110">$G$11+VLOOKUP($R110,武学奇术!$A:$ZZ,10,FALSE)+SUM(_xlfn.XLOOKUP(S110:AG110,增益!$A:$A,增益!$J:$J,0))</f>
        <v>0</v>
      </c>
      <c r="AX110">
        <f t="shared" si="54"/>
        <v>0</v>
      </c>
      <c r="AY110">
        <f t="shared" si="55"/>
        <v>0</v>
      </c>
      <c r="AZ110" s="32" cm="1">
        <f t="array" ref="AZ110">IF($F$12-$I$4+VLOOKUP($R110,武学奇术!$A:$ZZ,11,FALSE)+SUM(_xlfn.XLOOKUP(S110:AG110,增益!$A:$A,增益!$K:$K,0))&gt;0,($F$12-$I$4+VLOOKUP($R110,武学奇术!$A:$ZZ,11,FALSE)+SUM(_xlfn.XLOOKUP(S110:AG110,增益!$A:$A,增益!$K:$K,0)))/200,($F$12-$I$4+VLOOKUP($R110,武学奇术!$A:$ZZ,11,FALSE)+SUM(_xlfn.XLOOKUP(S110:AG110,增益!$A:$A,增益!$K:$K,0)))/100)</f>
        <v>-0.14</v>
      </c>
      <c r="BA110" s="32" cm="1">
        <f t="array" ref="BA110">$G$12+VLOOKUP($R110,武学奇术!$A:$ZZ,12,FALSE)+SUM(_xlfn.XLOOKUP(S110:AG110,增益!$A:$A,增益!$L:$L,0))</f>
        <v>0</v>
      </c>
      <c r="BB110">
        <f t="shared" si="56"/>
        <v>0</v>
      </c>
      <c r="BC110">
        <f t="shared" si="57"/>
        <v>0</v>
      </c>
      <c r="BD110" s="32" cm="1">
        <f t="array" ref="BD110">IF($F$13-$I$4+VLOOKUP($R110,武学奇术!$A:$ZZ,13,FALSE)+SUM(_xlfn.XLOOKUP(S110:AG110,增益!$A:$A,增益!$M:$M,0))&gt;0,($F$13-$I$4+VLOOKUP($R110,武学奇术!$A:$ZZ,13,FALSE)+SUM(_xlfn.XLOOKUP(S110:AG110,增益!$A:$A,增益!$K:$K,0)))/200,($F$13-$I$4+VLOOKUP($R110,武学奇术!$A:$ZZ,13,FALSE)+SUM(_xlfn.XLOOKUP(S110:AG110,增益!$A:$A,增益!$M:$M,0)))/100)</f>
        <v>-0.14</v>
      </c>
      <c r="BE110" s="32" cm="1">
        <f t="array" ref="BE110">$G$13+VLOOKUP($R110,武学奇术!$A:$ZZ,14,FALSE)+SUM(_xlfn.XLOOKUP(S110:AG110,增益!$A:$A,增益!$N:$N,0))</f>
        <v>0</v>
      </c>
      <c r="BF110">
        <f t="shared" si="58"/>
        <v>571.2</v>
      </c>
      <c r="BG110">
        <f t="shared" si="59"/>
        <v>1627.8</v>
      </c>
      <c r="BH110" s="32" cm="1">
        <f t="array" ref="BH110">IF($F$14-$I$4+VLOOKUP($R110,武学奇术!$A:$ZZ,15,FALSE)+SUM(_xlfn.XLOOKUP(S110:AG110,增益!$A:$A,增益!$O:$O,0))&gt;0,($F$14-$I$4+VLOOKUP($R110,武学奇术!$A:$ZZ,15,FALSE)+SUM(_xlfn.XLOOKUP(S110:AG110,增益!$A:$A,增益!$O:$O,0)))/200,($F$14-$I$4+VLOOKUP($R110,武学奇术!$A:$ZZ,15,FALSE)+SUM(_xlfn.XLOOKUP(S110:AG110,增益!$A:$A,增益!$O:$O,0)))/100)</f>
        <v>0.08</v>
      </c>
      <c r="BI110" s="32" cm="1">
        <f t="array" ref="BI110">$G$14+VLOOKUP($R110,武学奇术!$A:$ZZ,16,FALSE)+SUM(_xlfn.XLOOKUP(S110:AG110,增益!$A:$A,增益!$P:$P,0))</f>
        <v>0.27</v>
      </c>
      <c r="BJ110" s="26">
        <f>MIN(IF(VLOOKUP($R110,武学奇术!$A:$ZZ,23,FALSE)=1,100%,$B$8),100%)</f>
        <v>0.981</v>
      </c>
      <c r="BK110" s="26" cm="1">
        <f t="array" ref="BK110">IF(VLOOKUP($R110,武学奇术!$A:$ZZ,23,FALSE)=1,100%,MIN(80%,$B$9+VLOOKUP($R110,武学奇术!$A:$ZZ,17,FALSE)+SUM(_xlfn.XLOOKUP(S110:AG110,增益!$A:$A,增益!$Q:$Q,0)))+$B$11+SUM(_xlfn.XLOOKUP(S110:AG110,增益!$A:$A,增益!$U:$U,0)))*IF(VLOOKUP($R110,武学奇术!$A:$ZZ,24,FALSE)=1,0,1)</f>
        <v>0.846</v>
      </c>
      <c r="BL110" s="26" cm="1">
        <f t="array" ref="BL110">1+$B$13+VLOOKUP($R110,武学奇术!$A:$ZZ,18,FALSE)+SUM(_xlfn.XLOOKUP(S110:AG110,增益!$A:$A,增益!$R:$R,0))</f>
        <v>2.03</v>
      </c>
      <c r="BM110" s="26" cm="1">
        <f t="array" ref="BM110">IF(VLOOKUP($R110,武学奇术!$A:$ZZ,24,FALSE)=1,100%,MIN(40%,$B$10+VLOOKUP($R110,武学奇术!$A:$ZZ,19,FALSE)+SUM(_xlfn.XLOOKUP(S110:AG110,增益!$A:$A,增益!$S:$S,0)))+$B$12+SUM(_xlfn.XLOOKUP(S110:AG110,增益!$A:$A,增益!$V:$V,0)))*IF(VLOOKUP($R110,武学奇术!$A:$ZZ,23,FALSE)=1,0,1)</f>
        <v>0.0929</v>
      </c>
      <c r="BN110" s="26" cm="1">
        <f t="array" ref="BN110">1+$B$14+VLOOKUP($R110,武学奇术!$A:$ZZ,20,FALSE)+SUM(_xlfn.XLOOKUP(S110:AG110,增益!$A:$A,增益!$T:$T,0))</f>
        <v>1.35</v>
      </c>
      <c r="BO110" s="26">
        <f t="shared" si="60"/>
        <v>0.829926</v>
      </c>
      <c r="BP110" s="26">
        <f t="shared" si="61"/>
        <v>0.0599391</v>
      </c>
      <c r="BQ110" s="26">
        <f>IF(VLOOKUP($R110,武学奇术!$A:$ZZ,22,FALSE)=1,0,(1-$BJ110))*(1-$BM110)</f>
        <v>0.0172349</v>
      </c>
      <c r="BR110" s="26" cm="1">
        <f t="array" ref="BR110">SUM(_xlfn.XLOOKUP(S110:AG110,增益!$A:$A,增益!$W:$W,0))+$I$5</f>
        <v>0.11</v>
      </c>
    </row>
    <row r="111" spans="1:70">
      <c r="A111" s="4" t="s">
        <v>164</v>
      </c>
      <c r="B111" s="4">
        <v>0.85</v>
      </c>
      <c r="E111" s="39"/>
      <c r="F111" s="39"/>
      <c r="K111">
        <f>$L111*VLOOKUP($R111,武学奇术!$A:$ZZ,31,FALSE)</f>
        <v>93121.9082354074</v>
      </c>
      <c r="L111" s="38">
        <f t="shared" ref="L111:L132" si="62">($M111*$BO111+$N111*$BM111+$O111*$BP111+$P111*$BQ111)</f>
        <v>88687.5316527689</v>
      </c>
      <c r="M111" s="38">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BL111*$Q111*(1+IF(VLOOKUP($R111,武学奇术!$A:$ZZ,30,FALSE)="回旋伞",$B$21,0))*(1+$BR111)</f>
        <v>88687.5316527689</v>
      </c>
      <c r="N111" s="38">
        <f>(($AP111*$AI111+$AJ111)*(1+$AQ111)*(1+$AR111)+($AU111*IF($G$1="鸣金",$AK111,$AI111)+IF($G$1="鸣金",$AL111*1.5,0))*(1+$AV111)*(1+$AW111)+($AY111*IF($G$1="裂石",$AK111,$AI111)+IF($G$1="裂石",$AL111*1.5,0))*(1+$AZ111)*(1+$BA111)+($BC111*IF($G$1="牵丝",$AK111,$AI111)+IF($G$1="牵丝",$AL111*1.5,0))*(1+$BD111)*(1+$BE111)+($BG111*IF($G$1="破竹",$AK111,$AI111)+IF($G$1="破竹",$AL111*1.5,0))*(1+$BH111)*(1+$BI111))*(1+$AM111)*$BN111*$Q111*(1+IF(VLOOKUP($R111,武学奇术!$A:$ZZ,30,FALSE)="回旋伞",$B$21,0))*(1+$BR111)</f>
        <v>65251.4221135846</v>
      </c>
      <c r="O111" s="38">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Q111*(1+IF(VLOOKUP($R111,武学奇术!$A:$ZZ,30,FALSE)="回旋伞",$B$21,0))*(1+$BR111)</f>
        <v>43052.1998314412</v>
      </c>
      <c r="P111" s="38">
        <f>((($AO111*$AI111+$AJ111)*(1+$AQ111)*(1+$AR111)+($AT111*IF($G$1="鸣金",$AK111,$AI111)+IF($G$1="鸣金",$AL111*1.5,0))*(1+$AV111)*(1+$AW111)+($AX111*IF($G$1="裂石",$AK111,$AI111)+IF($G$1="裂石",$AL111*1.5,0))*(1+$AZ111)*(1+$BA111)+($BB111*IF($G$1="牵丝",$AK111,$AI111)+IF($G$1="牵丝",$AL111*1.5,0))*(1+$BD111)*(1+$BE111)+($BF111*IF($G$1="破竹",$AK111,$AI111)+IF($G$1="破竹",$AL111*1.5,0))*(1+$BH111)*(1+$BI111))*(1+$AM111))*$Q111*(1+IF(VLOOKUP($R111,武学奇术!$A:$ZZ,30,FALSE)="回旋伞",$B$21,0))*(1+$BR111)</f>
        <v>37770.012912079</v>
      </c>
      <c r="Q111" s="39">
        <v>1</v>
      </c>
      <c r="R111" s="40" t="s">
        <v>125</v>
      </c>
      <c r="S111" s="40" t="s">
        <v>109</v>
      </c>
      <c r="T111" s="40" t="s">
        <v>95</v>
      </c>
      <c r="U111" s="40" t="s">
        <v>73</v>
      </c>
      <c r="V111" s="40" t="s">
        <v>72</v>
      </c>
      <c r="W111" s="40" t="s">
        <v>172</v>
      </c>
      <c r="X111" s="40" t="s">
        <v>90</v>
      </c>
      <c r="Y111" s="40" t="s">
        <v>84</v>
      </c>
      <c r="Z111" s="40" t="s">
        <v>72</v>
      </c>
      <c r="AA111" s="40" t="s">
        <v>72</v>
      </c>
      <c r="AB111" s="40" t="s">
        <v>126</v>
      </c>
      <c r="AC111" s="40" t="s">
        <v>91</v>
      </c>
      <c r="AD111" s="40" t="s">
        <v>72</v>
      </c>
      <c r="AE111" s="40" t="s">
        <v>72</v>
      </c>
      <c r="AF111" s="40" t="s">
        <v>77</v>
      </c>
      <c r="AG111" s="40" t="s">
        <v>78</v>
      </c>
      <c r="AH111" t="str">
        <f>VLOOKUP($R111,武学奇术!$A:$ZZ,25,FALSE)</f>
        <v>伞</v>
      </c>
      <c r="AI111" s="26">
        <f>VLOOKUP($R111,武学奇术!$A:$ZZ,26,FALSE)</f>
        <v>1.8084</v>
      </c>
      <c r="AJ111" s="27">
        <f>VLOOKUP($R111,武学奇术!$A:$ZZ,27,FALSE)*(1+IF(OR($AH111=$F$4,$AH111=$F$5),$B$22,0))</f>
        <v>750</v>
      </c>
      <c r="AK111" s="26">
        <f>VLOOKUP($R111,武学奇术!$A:$ZZ,28,FALSE)</f>
        <v>2.7126</v>
      </c>
      <c r="AL111" s="27">
        <f>VLOOKUP($R111,武学奇术!$A:$ZZ,29,FALSE)*(1+IF(OR($AH111=$F$4,$AH111=$F$5),$B$22,0))</f>
        <v>408</v>
      </c>
      <c r="AM111" s="26" cm="1">
        <f t="array" ref="AM111">$G$3+IFERROR(VLOOKUP($AH111,$F$4:$G$7,2,FALSE),0)+VLOOKUP($R111,武学奇术!$A:$ZZ,2,FALSE)+SUM(_xlfn.XLOOKUP($S111:$AG111,增益!$A:$A,增益!$B:$B,0))</f>
        <v>0.8341</v>
      </c>
      <c r="AN111" s="26" cm="1">
        <f t="array" ref="AN111">VLOOKUP($R111,武学奇术!$A:$ZZ,5,FALSE)+SUM(_xlfn.XLOOKUP($S111:$AG111,增益!$A:$A,增益!$E:$E,0))</f>
        <v>0</v>
      </c>
      <c r="AO111" cm="1">
        <f t="array" ref="AO111">$D$10*(1+$AN111)+VLOOKUP($R111,武学奇术!$A:$ZZ,3,FALSE)+SUM(_xlfn.XLOOKUP($S111:$AG111,增益!$A:$A,增益!$C:$C,0))-$I$2</f>
        <v>3624.6</v>
      </c>
      <c r="AP111" cm="1">
        <f t="array" ref="AP111">$E$10*(1+$AN111)+VLOOKUP($R111,武学奇术!$A:$ZZ,4,FALSE)+SUM(_xlfn.XLOOKUP($S111:$AG111,增益!$A:$A,增益!$D:$D,0))-$I$2</f>
        <v>3624.6</v>
      </c>
      <c r="AQ111" s="32" cm="1">
        <f t="array" ref="AQ111">IF($F$10-$I$3+VLOOKUP($R111,武学奇术!$A:$ZZ,6,FALSE)+SUM(_xlfn.XLOOKUP(S111:AG111,增益!$A:$A,增益!$F:$F,0))&gt;0,($F$10-$I$3+VLOOKUP($R111,武学奇术!$A:$ZZ,6,FALSE)+SUM(_xlfn.XLOOKUP(S111:AG111,增益!$A:$A,增益!$F:$F,0)))/200,($F$10-$I$3+VLOOKUP($R111,武学奇术!$A:$ZZ,6,FALSE)+SUM(_xlfn.XLOOKUP(S111:AG111,增益!$A:$A,增益!$F:$F,0)))/100)</f>
        <v>0.3225</v>
      </c>
      <c r="AR111" s="32" cm="1">
        <f t="array" ref="AR111">$G$10+VLOOKUP($R111,武学奇术!$A:$ZZ,7,FALSE)+SUM(_xlfn.XLOOKUP(S111:AG111,增益!$A:$A,增益!$G:$G,0))</f>
        <v>0.148</v>
      </c>
      <c r="AS111" s="26" cm="1">
        <f t="array" ref="AS111">VLOOKUP($R111,武学奇术!$A:$ZZ,8,FALSE)+SUM(_xlfn.XLOOKUP(S111:AG111,增益!$A:$A,增益!$H:$H,0))</f>
        <v>0</v>
      </c>
      <c r="AT111">
        <f t="shared" si="52"/>
        <v>0</v>
      </c>
      <c r="AU111">
        <f t="shared" si="53"/>
        <v>0</v>
      </c>
      <c r="AV111" s="32" cm="1">
        <f t="array" ref="AV111">IF($F$11-$I$4+VLOOKUP($R111,武学奇术!$A:$ZZ,9,FALSE)+SUM(_xlfn.XLOOKUP(S111:AG111,增益!$A:$A,增益!$I:$I,0))&gt;0,($F$11-$I$4+VLOOKUP($R111,武学奇术!$A:$ZZ,9,FALSE)+SUM(_xlfn.XLOOKUP(S111:AG111,增益!$A:$A,增益!$I:$I,0)))/200,($F$11-$I$4+VLOOKUP($R111,武学奇术!$A:$ZZ,9,FALSE)+SUM(_xlfn.XLOOKUP(S111:AG111,增益!$A:$A,增益!$I:$I,0)))/100)</f>
        <v>-0.14</v>
      </c>
      <c r="AW111" s="32" cm="1">
        <f t="array" ref="AW111">$G$11+VLOOKUP($R111,武学奇术!$A:$ZZ,10,FALSE)+SUM(_xlfn.XLOOKUP(S111:AG111,增益!$A:$A,增益!$J:$J,0))</f>
        <v>0</v>
      </c>
      <c r="AX111">
        <f t="shared" si="54"/>
        <v>0</v>
      </c>
      <c r="AY111">
        <f t="shared" si="55"/>
        <v>0</v>
      </c>
      <c r="AZ111" s="32" cm="1">
        <f t="array" ref="AZ111">IF($F$12-$I$4+VLOOKUP($R111,武学奇术!$A:$ZZ,11,FALSE)+SUM(_xlfn.XLOOKUP(S111:AG111,增益!$A:$A,增益!$K:$K,0))&gt;0,($F$12-$I$4+VLOOKUP($R111,武学奇术!$A:$ZZ,11,FALSE)+SUM(_xlfn.XLOOKUP(S111:AG111,增益!$A:$A,增益!$K:$K,0)))/200,($F$12-$I$4+VLOOKUP($R111,武学奇术!$A:$ZZ,11,FALSE)+SUM(_xlfn.XLOOKUP(S111:AG111,增益!$A:$A,增益!$K:$K,0)))/100)</f>
        <v>-0.14</v>
      </c>
      <c r="BA111" s="32" cm="1">
        <f t="array" ref="BA111">$G$12+VLOOKUP($R111,武学奇术!$A:$ZZ,12,FALSE)+SUM(_xlfn.XLOOKUP(S111:AG111,增益!$A:$A,增益!$L:$L,0))</f>
        <v>0</v>
      </c>
      <c r="BB111">
        <f t="shared" si="56"/>
        <v>0</v>
      </c>
      <c r="BC111">
        <f t="shared" si="57"/>
        <v>0</v>
      </c>
      <c r="BD111" s="32" cm="1">
        <f t="array" ref="BD111">IF($F$13-$I$4+VLOOKUP($R111,武学奇术!$A:$ZZ,13,FALSE)+SUM(_xlfn.XLOOKUP(S111:AG111,增益!$A:$A,增益!$M:$M,0))&gt;0,($F$13-$I$4+VLOOKUP($R111,武学奇术!$A:$ZZ,13,FALSE)+SUM(_xlfn.XLOOKUP(S111:AG111,增益!$A:$A,增益!$K:$K,0)))/200,($F$13-$I$4+VLOOKUP($R111,武学奇术!$A:$ZZ,13,FALSE)+SUM(_xlfn.XLOOKUP(S111:AG111,增益!$A:$A,增益!$M:$M,0)))/100)</f>
        <v>-0.14</v>
      </c>
      <c r="BE111" s="32" cm="1">
        <f t="array" ref="BE111">$G$13+VLOOKUP($R111,武学奇术!$A:$ZZ,14,FALSE)+SUM(_xlfn.XLOOKUP(S111:AG111,增益!$A:$A,增益!$N:$N,0))</f>
        <v>0</v>
      </c>
      <c r="BF111">
        <f t="shared" si="58"/>
        <v>571.2</v>
      </c>
      <c r="BG111">
        <f t="shared" si="59"/>
        <v>1627.8</v>
      </c>
      <c r="BH111" s="32" cm="1">
        <f t="array" ref="BH111">IF($F$14-$I$4+VLOOKUP($R111,武学奇术!$A:$ZZ,15,FALSE)+SUM(_xlfn.XLOOKUP(S111:AG111,增益!$A:$A,增益!$O:$O,0))&gt;0,($F$14-$I$4+VLOOKUP($R111,武学奇术!$A:$ZZ,15,FALSE)+SUM(_xlfn.XLOOKUP(S111:AG111,增益!$A:$A,增益!$O:$O,0)))/200,($F$14-$I$4+VLOOKUP($R111,武学奇术!$A:$ZZ,15,FALSE)+SUM(_xlfn.XLOOKUP(S111:AG111,增益!$A:$A,增益!$O:$O,0)))/100)</f>
        <v>0.08</v>
      </c>
      <c r="BI111" s="32" cm="1">
        <f t="array" ref="BI111">$G$14+VLOOKUP($R111,武学奇术!$A:$ZZ,16,FALSE)+SUM(_xlfn.XLOOKUP(S111:AG111,增益!$A:$A,增益!$P:$P,0))</f>
        <v>0.27</v>
      </c>
      <c r="BJ111" s="26">
        <f>MIN(IF(VLOOKUP($R111,武学奇术!$A:$ZZ,23,FALSE)=1,100%,$B$8),100%)</f>
        <v>1</v>
      </c>
      <c r="BK111" s="26" cm="1">
        <f t="array" ref="BK111">IF(VLOOKUP($R111,武学奇术!$A:$ZZ,23,FALSE)=1,100%,MIN(80%,$B$9+VLOOKUP($R111,武学奇术!$A:$ZZ,17,FALSE)+SUM(_xlfn.XLOOKUP(S111:AG111,增益!$A:$A,增益!$Q:$Q,0)))+$B$11+SUM(_xlfn.XLOOKUP(S111:AG111,增益!$A:$A,增益!$U:$U,0)))*IF(VLOOKUP($R111,武学奇术!$A:$ZZ,24,FALSE)=1,0,1)</f>
        <v>1</v>
      </c>
      <c r="BL111" s="26" cm="1">
        <f t="array" ref="BL111">1+$B$13+VLOOKUP($R111,武学奇术!$A:$ZZ,18,FALSE)+SUM(_xlfn.XLOOKUP(S111:AG111,增益!$A:$A,增益!$R:$R,0))</f>
        <v>2.06</v>
      </c>
      <c r="BM111" s="26" cm="1">
        <f t="array" ref="BM111">IF(VLOOKUP($R111,武学奇术!$A:$ZZ,24,FALSE)=1,100%,MIN(40%,$B$10+VLOOKUP($R111,武学奇术!$A:$ZZ,19,FALSE)+SUM(_xlfn.XLOOKUP(S111:AG111,增益!$A:$A,增益!$S:$S,0)))+$B$12+SUM(_xlfn.XLOOKUP(S111:AG111,增益!$A:$A,增益!$V:$V,0)))*IF(VLOOKUP($R111,武学奇术!$A:$ZZ,23,FALSE)=1,0,1)</f>
        <v>0</v>
      </c>
      <c r="BN111" s="26" cm="1">
        <f t="array" ref="BN111">1+$B$14+VLOOKUP($R111,武学奇术!$A:$ZZ,20,FALSE)+SUM(_xlfn.XLOOKUP(S111:AG111,增益!$A:$A,增益!$T:$T,0))</f>
        <v>1.35</v>
      </c>
      <c r="BO111" s="26">
        <f t="shared" si="60"/>
        <v>1</v>
      </c>
      <c r="BP111" s="26">
        <f t="shared" si="61"/>
        <v>0</v>
      </c>
      <c r="BQ111" s="26">
        <f>IF(VLOOKUP($R111,武学奇术!$A:$ZZ,22,FALSE)=1,0,(1-$BJ111))*(1-$BM111)</f>
        <v>0</v>
      </c>
      <c r="BR111" s="26" cm="1">
        <f t="array" ref="BR111">SUM(_xlfn.XLOOKUP(S111:AG111,增益!$A:$A,增益!$W:$W,0))+$I$5</f>
        <v>0.11</v>
      </c>
    </row>
    <row r="112" spans="1:70">
      <c r="A112" s="4" t="s">
        <v>161</v>
      </c>
      <c r="B112" s="87">
        <v>1</v>
      </c>
      <c r="E112" s="39"/>
      <c r="F112" s="39"/>
      <c r="K112">
        <f>$L112*VLOOKUP($R112,武学奇术!$A:$ZZ,31,FALSE)</f>
        <v>54062.4661698138</v>
      </c>
      <c r="L112" s="38">
        <f t="shared" si="62"/>
        <v>51488.0630188703</v>
      </c>
      <c r="M112" s="38">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BL112*$Q112*(1+IF(VLOOKUP($R112,武学奇术!$A:$ZZ,30,FALSE)="回旋伞",$B$21,0))*(1+$BR112)</f>
        <v>51488.0630188703</v>
      </c>
      <c r="N112" s="38">
        <f>(($AP112*$AI112+$AJ112)*(1+$AQ112)*(1+$AR112)+($AU112*IF($G$1="鸣金",$AK112,$AI112)+IF($G$1="鸣金",$AL112*1.5,0))*(1+$AV112)*(1+$AW112)+($AY112*IF($G$1="裂石",$AK112,$AI112)+IF($G$1="裂石",$AL112*1.5,0))*(1+$AZ112)*(1+$BA112)+($BC112*IF($G$1="牵丝",$AK112,$AI112)+IF($G$1="牵丝",$AL112*1.5,0))*(1+$BD112)*(1+$BE112)+($BG112*IF($G$1="破竹",$AK112,$AI112)+IF($G$1="破竹",$AL112*1.5,0))*(1+$BH112)*(1+$BI112))*(1+$AM112)*$BN112*$Q112*(1+IF(VLOOKUP($R112,武学奇术!$A:$ZZ,30,FALSE)="回旋伞",$B$21,0))*(1+$BR112)</f>
        <v>38465.2656843096</v>
      </c>
      <c r="O112" s="38">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Q112*(1+IF(VLOOKUP($R112,武学奇术!$A:$ZZ,30,FALSE)="回旋伞",$B$21,0))*(1+$BR112)</f>
        <v>24994.2053489662</v>
      </c>
      <c r="P112" s="38">
        <f>((($AO112*$AI112+$AJ112)*(1+$AQ112)*(1+$AR112)+($AT112*IF($G$1="鸣金",$AK112,$AI112)+IF($G$1="鸣金",$AL112*1.5,0))*(1+$AV112)*(1+$AW112)+($AX112*IF($G$1="裂石",$AK112,$AI112)+IF($G$1="裂石",$AL112*1.5,0))*(1+$AZ112)*(1+$BA112)+($BB112*IF($G$1="牵丝",$AK112,$AI112)+IF($G$1="牵丝",$AL112*1.5,0))*(1+$BD112)*(1+$BE112)+($BF112*IF($G$1="破竹",$AK112,$AI112)+IF($G$1="破竹",$AL112*1.5,0))*(1+$BH112)*(1+$BI112))*(1+$AM112))*$Q112*(1+IF(VLOOKUP($R112,武学奇术!$A:$ZZ,30,FALSE)="回旋伞",$B$21,0))*(1+$BR112)</f>
        <v>21495.6213021475</v>
      </c>
      <c r="Q112" s="39">
        <v>2</v>
      </c>
      <c r="R112" s="40" t="s">
        <v>132</v>
      </c>
      <c r="S112" s="40" t="s">
        <v>109</v>
      </c>
      <c r="T112" s="40" t="s">
        <v>95</v>
      </c>
      <c r="U112" s="40" t="s">
        <v>73</v>
      </c>
      <c r="V112" s="40" t="s">
        <v>72</v>
      </c>
      <c r="W112" s="40" t="s">
        <v>172</v>
      </c>
      <c r="X112" s="40" t="s">
        <v>90</v>
      </c>
      <c r="Y112" s="40" t="s">
        <v>84</v>
      </c>
      <c r="Z112" s="40" t="s">
        <v>72</v>
      </c>
      <c r="AA112" s="40" t="s">
        <v>72</v>
      </c>
      <c r="AB112" s="40" t="s">
        <v>126</v>
      </c>
      <c r="AC112" s="40" t="s">
        <v>91</v>
      </c>
      <c r="AD112" s="40" t="s">
        <v>72</v>
      </c>
      <c r="AE112" s="40" t="s">
        <v>72</v>
      </c>
      <c r="AF112" s="40" t="s">
        <v>77</v>
      </c>
      <c r="AG112" s="40" t="s">
        <v>78</v>
      </c>
      <c r="AH112" t="str">
        <f>VLOOKUP($R112,武学奇术!$A:$ZZ,25,FALSE)</f>
        <v>伞</v>
      </c>
      <c r="AI112" s="26">
        <f>VLOOKUP($R112,武学奇术!$A:$ZZ,26,FALSE)</f>
        <v>0.54</v>
      </c>
      <c r="AJ112" s="27">
        <f>VLOOKUP($R112,武学奇术!$A:$ZZ,27,FALSE)*(1+IF(OR($AH112=$F$4,$AH112=$F$5),$B$22,0))</f>
        <v>0</v>
      </c>
      <c r="AK112" s="26">
        <f>VLOOKUP($R112,武学奇术!$A:$ZZ,28,FALSE)</f>
        <v>0.81</v>
      </c>
      <c r="AL112" s="27">
        <f>VLOOKUP($R112,武学奇术!$A:$ZZ,29,FALSE)*(1+IF(OR($AH112=$F$4,$AH112=$F$5),$B$22,0))</f>
        <v>0</v>
      </c>
      <c r="AM112" s="26" cm="1">
        <f t="array" ref="AM112">$G$3+IFERROR(VLOOKUP($AH112,$F$4:$G$7,2,FALSE),0)+VLOOKUP($R112,武学奇术!$A:$ZZ,2,FALSE)+SUM(_xlfn.XLOOKUP($S112:$AG112,增益!$A:$A,增益!$B:$B,0))</f>
        <v>1.0341</v>
      </c>
      <c r="AN112" s="26" cm="1">
        <f t="array" ref="AN112">VLOOKUP($R112,武学奇术!$A:$ZZ,5,FALSE)+SUM(_xlfn.XLOOKUP($S112:$AG112,增益!$A:$A,增益!$E:$E,0))</f>
        <v>0</v>
      </c>
      <c r="AO112" cm="1">
        <f t="array" ref="AO112">$D$10*(1+$AN112)+VLOOKUP($R112,武学奇术!$A:$ZZ,3,FALSE)+SUM(_xlfn.XLOOKUP($S112:$AG112,增益!$A:$A,增益!$C:$C,0))-$I$2</f>
        <v>3624.6</v>
      </c>
      <c r="AP112" cm="1">
        <f t="array" ref="AP112">$E$10*(1+$AN112)+VLOOKUP($R112,武学奇术!$A:$ZZ,4,FALSE)+SUM(_xlfn.XLOOKUP($S112:$AG112,增益!$A:$A,增益!$D:$D,0))-$I$2</f>
        <v>3624.6</v>
      </c>
      <c r="AQ112" s="32" cm="1">
        <f t="array" ref="AQ112">IF($F$10-$I$3+VLOOKUP($R112,武学奇术!$A:$ZZ,6,FALSE)+SUM(_xlfn.XLOOKUP(S112:AG112,增益!$A:$A,增益!$F:$F,0))&gt;0,($F$10-$I$3+VLOOKUP($R112,武学奇术!$A:$ZZ,6,FALSE)+SUM(_xlfn.XLOOKUP(S112:AG112,增益!$A:$A,增益!$F:$F,0)))/200,($F$10-$I$3+VLOOKUP($R112,武学奇术!$A:$ZZ,6,FALSE)+SUM(_xlfn.XLOOKUP(S112:AG112,增益!$A:$A,增益!$F:$F,0)))/100)</f>
        <v>0.3225</v>
      </c>
      <c r="AR112" s="32" cm="1">
        <f t="array" ref="AR112">$G$10+VLOOKUP($R112,武学奇术!$A:$ZZ,7,FALSE)+SUM(_xlfn.XLOOKUP(S112:AG112,增益!$A:$A,增益!$G:$G,0))</f>
        <v>0.148</v>
      </c>
      <c r="AS112" s="26" cm="1">
        <f t="array" ref="AS112">VLOOKUP($R112,武学奇术!$A:$ZZ,8,FALSE)+SUM(_xlfn.XLOOKUP(S112:AG112,增益!$A:$A,增益!$H:$H,0))</f>
        <v>0</v>
      </c>
      <c r="AT112">
        <f t="shared" si="52"/>
        <v>0</v>
      </c>
      <c r="AU112">
        <f t="shared" si="53"/>
        <v>0</v>
      </c>
      <c r="AV112" s="32" cm="1">
        <f t="array" ref="AV112">IF($F$11-$I$4+VLOOKUP($R112,武学奇术!$A:$ZZ,9,FALSE)+SUM(_xlfn.XLOOKUP(S112:AG112,增益!$A:$A,增益!$I:$I,0))&gt;0,($F$11-$I$4+VLOOKUP($R112,武学奇术!$A:$ZZ,9,FALSE)+SUM(_xlfn.XLOOKUP(S112:AG112,增益!$A:$A,增益!$I:$I,0)))/200,($F$11-$I$4+VLOOKUP($R112,武学奇术!$A:$ZZ,9,FALSE)+SUM(_xlfn.XLOOKUP(S112:AG112,增益!$A:$A,增益!$I:$I,0)))/100)</f>
        <v>-0.14</v>
      </c>
      <c r="AW112" s="32" cm="1">
        <f t="array" ref="AW112">$G$11+VLOOKUP($R112,武学奇术!$A:$ZZ,10,FALSE)+SUM(_xlfn.XLOOKUP(S112:AG112,增益!$A:$A,增益!$J:$J,0))</f>
        <v>0</v>
      </c>
      <c r="AX112">
        <f t="shared" si="54"/>
        <v>0</v>
      </c>
      <c r="AY112">
        <f t="shared" si="55"/>
        <v>0</v>
      </c>
      <c r="AZ112" s="32" cm="1">
        <f t="array" ref="AZ112">IF($F$12-$I$4+VLOOKUP($R112,武学奇术!$A:$ZZ,11,FALSE)+SUM(_xlfn.XLOOKUP(S112:AG112,增益!$A:$A,增益!$K:$K,0))&gt;0,($F$12-$I$4+VLOOKUP($R112,武学奇术!$A:$ZZ,11,FALSE)+SUM(_xlfn.XLOOKUP(S112:AG112,增益!$A:$A,增益!$K:$K,0)))/200,($F$12-$I$4+VLOOKUP($R112,武学奇术!$A:$ZZ,11,FALSE)+SUM(_xlfn.XLOOKUP(S112:AG112,增益!$A:$A,增益!$K:$K,0)))/100)</f>
        <v>-0.14</v>
      </c>
      <c r="BA112" s="32" cm="1">
        <f t="array" ref="BA112">$G$12+VLOOKUP($R112,武学奇术!$A:$ZZ,12,FALSE)+SUM(_xlfn.XLOOKUP(S112:AG112,增益!$A:$A,增益!$L:$L,0))</f>
        <v>0</v>
      </c>
      <c r="BB112">
        <f t="shared" si="56"/>
        <v>0</v>
      </c>
      <c r="BC112">
        <f t="shared" si="57"/>
        <v>0</v>
      </c>
      <c r="BD112" s="32" cm="1">
        <f t="array" ref="BD112">IF($F$13-$I$4+VLOOKUP($R112,武学奇术!$A:$ZZ,13,FALSE)+SUM(_xlfn.XLOOKUP(S112:AG112,增益!$A:$A,增益!$M:$M,0))&gt;0,($F$13-$I$4+VLOOKUP($R112,武学奇术!$A:$ZZ,13,FALSE)+SUM(_xlfn.XLOOKUP(S112:AG112,增益!$A:$A,增益!$K:$K,0)))/200,($F$13-$I$4+VLOOKUP($R112,武学奇术!$A:$ZZ,13,FALSE)+SUM(_xlfn.XLOOKUP(S112:AG112,增益!$A:$A,增益!$M:$M,0)))/100)</f>
        <v>-0.14</v>
      </c>
      <c r="BE112" s="32" cm="1">
        <f t="array" ref="BE112">$G$13+VLOOKUP($R112,武学奇术!$A:$ZZ,14,FALSE)+SUM(_xlfn.XLOOKUP(S112:AG112,增益!$A:$A,增益!$N:$N,0))</f>
        <v>0</v>
      </c>
      <c r="BF112">
        <f t="shared" si="58"/>
        <v>571.2</v>
      </c>
      <c r="BG112">
        <f t="shared" si="59"/>
        <v>1627.8</v>
      </c>
      <c r="BH112" s="32" cm="1">
        <f t="array" ref="BH112">IF($F$14-$I$4+VLOOKUP($R112,武学奇术!$A:$ZZ,15,FALSE)+SUM(_xlfn.XLOOKUP(S112:AG112,增益!$A:$A,增益!$O:$O,0))&gt;0,($F$14-$I$4+VLOOKUP($R112,武学奇术!$A:$ZZ,15,FALSE)+SUM(_xlfn.XLOOKUP(S112:AG112,增益!$A:$A,增益!$O:$O,0)))/200,($F$14-$I$4+VLOOKUP($R112,武学奇术!$A:$ZZ,15,FALSE)+SUM(_xlfn.XLOOKUP(S112:AG112,增益!$A:$A,增益!$O:$O,0)))/100)</f>
        <v>0.08</v>
      </c>
      <c r="BI112" s="32" cm="1">
        <f t="array" ref="BI112">$G$14+VLOOKUP($R112,武学奇术!$A:$ZZ,16,FALSE)+SUM(_xlfn.XLOOKUP(S112:AG112,增益!$A:$A,增益!$P:$P,0))</f>
        <v>0.27</v>
      </c>
      <c r="BJ112" s="26">
        <f>MIN(IF(VLOOKUP($R112,武学奇术!$A:$ZZ,23,FALSE)=1,100%,$B$8),100%)</f>
        <v>1</v>
      </c>
      <c r="BK112" s="26" cm="1">
        <f t="array" ref="BK112">IF(VLOOKUP($R112,武学奇术!$A:$ZZ,23,FALSE)=1,100%,MIN(80%,$B$9+VLOOKUP($R112,武学奇术!$A:$ZZ,17,FALSE)+SUM(_xlfn.XLOOKUP(S112:AG112,增益!$A:$A,增益!$Q:$Q,0)))+$B$11+SUM(_xlfn.XLOOKUP(S112:AG112,增益!$A:$A,增益!$U:$U,0)))*IF(VLOOKUP($R112,武学奇术!$A:$ZZ,24,FALSE)=1,0,1)</f>
        <v>1</v>
      </c>
      <c r="BL112" s="26" cm="1">
        <f t="array" ref="BL112">1+$B$13+VLOOKUP($R112,武学奇术!$A:$ZZ,18,FALSE)+SUM(_xlfn.XLOOKUP(S112:AG112,增益!$A:$A,增益!$R:$R,0))</f>
        <v>2.06</v>
      </c>
      <c r="BM112" s="26" cm="1">
        <f t="array" ref="BM112">IF(VLOOKUP($R112,武学奇术!$A:$ZZ,24,FALSE)=1,100%,MIN(40%,$B$10+VLOOKUP($R112,武学奇术!$A:$ZZ,19,FALSE)+SUM(_xlfn.XLOOKUP(S112:AG112,增益!$A:$A,增益!$S:$S,0)))+$B$12+SUM(_xlfn.XLOOKUP(S112:AG112,增益!$A:$A,增益!$V:$V,0)))*IF(VLOOKUP($R112,武学奇术!$A:$ZZ,23,FALSE)=1,0,1)</f>
        <v>0</v>
      </c>
      <c r="BN112" s="26" cm="1">
        <f t="array" ref="BN112">1+$B$14+VLOOKUP($R112,武学奇术!$A:$ZZ,20,FALSE)+SUM(_xlfn.XLOOKUP(S112:AG112,增益!$A:$A,增益!$T:$T,0))</f>
        <v>1.35</v>
      </c>
      <c r="BO112" s="26">
        <f t="shared" si="60"/>
        <v>1</v>
      </c>
      <c r="BP112" s="26">
        <f t="shared" si="61"/>
        <v>0</v>
      </c>
      <c r="BQ112" s="26">
        <f>IF(VLOOKUP($R112,武学奇术!$A:$ZZ,22,FALSE)=1,0,(1-$BJ112))*(1-$BM112)</f>
        <v>0</v>
      </c>
      <c r="BR112" s="26" cm="1">
        <f t="array" ref="BR112">SUM(_xlfn.XLOOKUP(S112:AG112,增益!$A:$A,增益!$W:$W,0))+$I$5</f>
        <v>0.11</v>
      </c>
    </row>
    <row r="113" spans="1:70">
      <c r="A113" s="4" t="s">
        <v>161</v>
      </c>
      <c r="B113" s="4">
        <v>1</v>
      </c>
      <c r="E113" s="39"/>
      <c r="F113" s="39"/>
      <c r="K113">
        <f>$L113*VLOOKUP($R113,武学奇术!$A:$ZZ,31,FALSE)</f>
        <v>156861.834098046</v>
      </c>
      <c r="L113" s="38">
        <f t="shared" si="62"/>
        <v>149392.22295052</v>
      </c>
      <c r="M113" s="38">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BL113*$Q113*(1+IF(VLOOKUP($R113,武学奇术!$A:$ZZ,30,FALSE)="回旋伞",$B$21,0))*(1+$BR113)</f>
        <v>159832.518372094</v>
      </c>
      <c r="N113" s="38">
        <f>(($AP113*$AI113+$AJ113)*(1+$AQ113)*(1+$AR113)+($AU113*IF($G$1="鸣金",$AK113,$AI113)+IF($G$1="鸣金",$AL113*1.5,0))*(1+$AV113)*(1+$AW113)+($AY113*IF($G$1="裂石",$AK113,$AI113)+IF($G$1="裂石",$AL113*1.5,0))*(1+$AZ113)*(1+$BA113)+($BC113*IF($G$1="牵丝",$AK113,$AI113)+IF($G$1="牵丝",$AL113*1.5,0))*(1+$BD113)*(1+$BE113)+($BG113*IF($G$1="破竹",$AK113,$AI113)+IF($G$1="破竹",$AL113*1.5,0))*(1+$BH113)*(1+$BI113))*(1+$AM113)*$BN113*$Q113*(1+IF(VLOOKUP($R113,武学奇术!$A:$ZZ,30,FALSE)="回旋伞",$B$21,0))*(1+$BR113)</f>
        <v>117529.082133086</v>
      </c>
      <c r="O113" s="38">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Q113*(1+IF(VLOOKUP($R113,武学奇术!$A:$ZZ,30,FALSE)="回旋伞",$B$21,0))*(1+$BR113)</f>
        <v>77588.6011515022</v>
      </c>
      <c r="P113" s="38">
        <f>((($AO113*$AI113+$AJ113)*(1+$AQ113)*(1+$AR113)+($AT113*IF($G$1="鸣金",$AK113,$AI113)+IF($G$1="鸣金",$AL113*1.5,0))*(1+$AV113)*(1+$AW113)+($AX113*IF($G$1="裂石",$AK113,$AI113)+IF($G$1="裂石",$AL113*1.5,0))*(1+$AZ113)*(1+$BA113)+($BB113*IF($G$1="牵丝",$AK113,$AI113)+IF($G$1="牵丝",$AL113*1.5,0))*(1+$BD113)*(1+$BE113)+($BF113*IF($G$1="破竹",$AK113,$AI113)+IF($G$1="破竹",$AL113*1.5,0))*(1+$BH113)*(1+$BI113))*(1+$AM113))*$Q113*(1+IF(VLOOKUP($R113,武学奇术!$A:$ZZ,30,FALSE)="回旋伞",$B$21,0))*(1+$BR113)</f>
        <v>68118.622945163</v>
      </c>
      <c r="Q113" s="39">
        <v>2</v>
      </c>
      <c r="R113" s="40" t="s">
        <v>108</v>
      </c>
      <c r="S113" s="40" t="s">
        <v>109</v>
      </c>
      <c r="T113" s="40" t="s">
        <v>95</v>
      </c>
      <c r="U113" s="40" t="s">
        <v>73</v>
      </c>
      <c r="V113" s="40" t="s">
        <v>72</v>
      </c>
      <c r="W113" s="40" t="s">
        <v>172</v>
      </c>
      <c r="X113" s="40" t="s">
        <v>97</v>
      </c>
      <c r="Y113" s="40" t="s">
        <v>84</v>
      </c>
      <c r="Z113" s="40" t="s">
        <v>72</v>
      </c>
      <c r="AA113" s="40" t="s">
        <v>72</v>
      </c>
      <c r="AB113" s="40" t="s">
        <v>126</v>
      </c>
      <c r="AC113" s="40" t="s">
        <v>91</v>
      </c>
      <c r="AD113" s="40" t="s">
        <v>72</v>
      </c>
      <c r="AE113" s="40" t="s">
        <v>72</v>
      </c>
      <c r="AF113" s="40" t="s">
        <v>77</v>
      </c>
      <c r="AG113" s="40" t="s">
        <v>78</v>
      </c>
      <c r="AH113" t="str">
        <f>VLOOKUP($R113,武学奇术!$A:$ZZ,25,FALSE)</f>
        <v>伞</v>
      </c>
      <c r="AI113" s="26">
        <f>VLOOKUP($R113,武学奇术!$A:$ZZ,26,FALSE)</f>
        <v>1.8084</v>
      </c>
      <c r="AJ113" s="27">
        <f>VLOOKUP($R113,武学奇术!$A:$ZZ,27,FALSE)*(1+IF(OR($AH113=$F$4,$AH113=$F$5),$B$22,0))</f>
        <v>750</v>
      </c>
      <c r="AK113" s="26">
        <f>VLOOKUP($R113,武学奇术!$A:$ZZ,28,FALSE)</f>
        <v>2.7126</v>
      </c>
      <c r="AL113" s="27">
        <f>VLOOKUP($R113,武学奇术!$A:$ZZ,29,FALSE)*(1+IF(OR($AH113=$F$4,$AH113=$F$5),$B$22,0))</f>
        <v>408</v>
      </c>
      <c r="AM113" s="26" cm="1">
        <f t="array" ref="AM113">$G$3+IFERROR(VLOOKUP($AH113,$F$4:$G$7,2,FALSE),0)+VLOOKUP($R113,武学奇术!$A:$ZZ,2,FALSE)+SUM(_xlfn.XLOOKUP($S113:$AG113,增益!$A:$A,增益!$B:$B,0))</f>
        <v>0.6441</v>
      </c>
      <c r="AN113" s="26" cm="1">
        <f t="array" ref="AN113">VLOOKUP($R113,武学奇术!$A:$ZZ,5,FALSE)+SUM(_xlfn.XLOOKUP($S113:$AG113,增益!$A:$A,增益!$E:$E,0))</f>
        <v>0</v>
      </c>
      <c r="AO113" cm="1">
        <f t="array" ref="AO113">$D$10*(1+$AN113)+VLOOKUP($R113,武学奇术!$A:$ZZ,3,FALSE)+SUM(_xlfn.XLOOKUP($S113:$AG113,增益!$A:$A,增益!$C:$C,0))-$I$2</f>
        <v>3624.6</v>
      </c>
      <c r="AP113" cm="1">
        <f t="array" ref="AP113">$E$10*(1+$AN113)+VLOOKUP($R113,武学奇术!$A:$ZZ,4,FALSE)+SUM(_xlfn.XLOOKUP($S113:$AG113,增益!$A:$A,增益!$D:$D,0))-$I$2</f>
        <v>3624.6</v>
      </c>
      <c r="AQ113" s="32" cm="1">
        <f t="array" ref="AQ113">IF($F$10-$I$3+VLOOKUP($R113,武学奇术!$A:$ZZ,6,FALSE)+SUM(_xlfn.XLOOKUP(S113:AG113,增益!$A:$A,增益!$F:$F,0))&gt;0,($F$10-$I$3+VLOOKUP($R113,武学奇术!$A:$ZZ,6,FALSE)+SUM(_xlfn.XLOOKUP(S113:AG113,增益!$A:$A,增益!$F:$F,0)))/200,($F$10-$I$3+VLOOKUP($R113,武学奇术!$A:$ZZ,6,FALSE)+SUM(_xlfn.XLOOKUP(S113:AG113,增益!$A:$A,增益!$F:$F,0)))/100)</f>
        <v>0.3325</v>
      </c>
      <c r="AR113" s="32" cm="1">
        <f t="array" ref="AR113">$G$10+VLOOKUP($R113,武学奇术!$A:$ZZ,7,FALSE)+SUM(_xlfn.XLOOKUP(S113:AG113,增益!$A:$A,增益!$G:$G,0))</f>
        <v>0.148</v>
      </c>
      <c r="AS113" s="26" cm="1">
        <f t="array" ref="AS113">VLOOKUP($R113,武学奇术!$A:$ZZ,8,FALSE)+SUM(_xlfn.XLOOKUP(S113:AG113,增益!$A:$A,增益!$H:$H,0))</f>
        <v>0</v>
      </c>
      <c r="AT113">
        <f t="shared" si="52"/>
        <v>0</v>
      </c>
      <c r="AU113">
        <f t="shared" si="53"/>
        <v>0</v>
      </c>
      <c r="AV113" s="32" cm="1">
        <f t="array" ref="AV113">IF($F$11-$I$4+VLOOKUP($R113,武学奇术!$A:$ZZ,9,FALSE)+SUM(_xlfn.XLOOKUP(S113:AG113,增益!$A:$A,增益!$I:$I,0))&gt;0,($F$11-$I$4+VLOOKUP($R113,武学奇术!$A:$ZZ,9,FALSE)+SUM(_xlfn.XLOOKUP(S113:AG113,增益!$A:$A,增益!$I:$I,0)))/200,($F$11-$I$4+VLOOKUP($R113,武学奇术!$A:$ZZ,9,FALSE)+SUM(_xlfn.XLOOKUP(S113:AG113,增益!$A:$A,增益!$I:$I,0)))/100)</f>
        <v>-0.14</v>
      </c>
      <c r="AW113" s="32" cm="1">
        <f t="array" ref="AW113">$G$11+VLOOKUP($R113,武学奇术!$A:$ZZ,10,FALSE)+SUM(_xlfn.XLOOKUP(S113:AG113,增益!$A:$A,增益!$J:$J,0))</f>
        <v>0</v>
      </c>
      <c r="AX113">
        <f t="shared" si="54"/>
        <v>0</v>
      </c>
      <c r="AY113">
        <f t="shared" si="55"/>
        <v>0</v>
      </c>
      <c r="AZ113" s="32" cm="1">
        <f t="array" ref="AZ113">IF($F$12-$I$4+VLOOKUP($R113,武学奇术!$A:$ZZ,11,FALSE)+SUM(_xlfn.XLOOKUP(S113:AG113,增益!$A:$A,增益!$K:$K,0))&gt;0,($F$12-$I$4+VLOOKUP($R113,武学奇术!$A:$ZZ,11,FALSE)+SUM(_xlfn.XLOOKUP(S113:AG113,增益!$A:$A,增益!$K:$K,0)))/200,($F$12-$I$4+VLOOKUP($R113,武学奇术!$A:$ZZ,11,FALSE)+SUM(_xlfn.XLOOKUP(S113:AG113,增益!$A:$A,增益!$K:$K,0)))/100)</f>
        <v>-0.14</v>
      </c>
      <c r="BA113" s="32" cm="1">
        <f t="array" ref="BA113">$G$12+VLOOKUP($R113,武学奇术!$A:$ZZ,12,FALSE)+SUM(_xlfn.XLOOKUP(S113:AG113,增益!$A:$A,增益!$L:$L,0))</f>
        <v>0</v>
      </c>
      <c r="BB113">
        <f t="shared" si="56"/>
        <v>0</v>
      </c>
      <c r="BC113">
        <f t="shared" si="57"/>
        <v>0</v>
      </c>
      <c r="BD113" s="32" cm="1">
        <f t="array" ref="BD113">IF($F$13-$I$4+VLOOKUP($R113,武学奇术!$A:$ZZ,13,FALSE)+SUM(_xlfn.XLOOKUP(S113:AG113,增益!$A:$A,增益!$M:$M,0))&gt;0,($F$13-$I$4+VLOOKUP($R113,武学奇术!$A:$ZZ,13,FALSE)+SUM(_xlfn.XLOOKUP(S113:AG113,增益!$A:$A,增益!$K:$K,0)))/200,($F$13-$I$4+VLOOKUP($R113,武学奇术!$A:$ZZ,13,FALSE)+SUM(_xlfn.XLOOKUP(S113:AG113,增益!$A:$A,增益!$M:$M,0)))/100)</f>
        <v>-0.14</v>
      </c>
      <c r="BE113" s="32" cm="1">
        <f t="array" ref="BE113">$G$13+VLOOKUP($R113,武学奇术!$A:$ZZ,14,FALSE)+SUM(_xlfn.XLOOKUP(S113:AG113,增益!$A:$A,增益!$N:$N,0))</f>
        <v>0</v>
      </c>
      <c r="BF113">
        <f t="shared" si="58"/>
        <v>571.2</v>
      </c>
      <c r="BG113">
        <f t="shared" si="59"/>
        <v>1627.8</v>
      </c>
      <c r="BH113" s="32" cm="1">
        <f t="array" ref="BH113">IF($F$14-$I$4+VLOOKUP($R113,武学奇术!$A:$ZZ,15,FALSE)+SUM(_xlfn.XLOOKUP(S113:AG113,增益!$A:$A,增益!$O:$O,0))&gt;0,($F$14-$I$4+VLOOKUP($R113,武学奇术!$A:$ZZ,15,FALSE)+SUM(_xlfn.XLOOKUP(S113:AG113,增益!$A:$A,增益!$O:$O,0)))/200,($F$14-$I$4+VLOOKUP($R113,武学奇术!$A:$ZZ,15,FALSE)+SUM(_xlfn.XLOOKUP(S113:AG113,增益!$A:$A,增益!$O:$O,0)))/100)</f>
        <v>0.08</v>
      </c>
      <c r="BI113" s="32" cm="1">
        <f t="array" ref="BI113">$G$14+VLOOKUP($R113,武学奇术!$A:$ZZ,16,FALSE)+SUM(_xlfn.XLOOKUP(S113:AG113,增益!$A:$A,增益!$P:$P,0))</f>
        <v>0.27</v>
      </c>
      <c r="BJ113" s="26">
        <f>MIN(IF(VLOOKUP($R113,武学奇术!$A:$ZZ,23,FALSE)=1,100%,$B$8),100%)</f>
        <v>0.981</v>
      </c>
      <c r="BK113" s="26" cm="1">
        <f t="array" ref="BK113">IF(VLOOKUP($R113,武学奇术!$A:$ZZ,23,FALSE)=1,100%,MIN(80%,$B$9+VLOOKUP($R113,武学奇术!$A:$ZZ,17,FALSE)+SUM(_xlfn.XLOOKUP(S113:AG113,增益!$A:$A,增益!$Q:$Q,0)))+$B$11+SUM(_xlfn.XLOOKUP(S113:AG113,增益!$A:$A,增益!$U:$U,0)))*IF(VLOOKUP($R113,武学奇术!$A:$ZZ,24,FALSE)=1,0,1)</f>
        <v>0.846</v>
      </c>
      <c r="BL113" s="26" cm="1">
        <f t="array" ref="BL113">1+$B$13+VLOOKUP($R113,武学奇术!$A:$ZZ,18,FALSE)+SUM(_xlfn.XLOOKUP(S113:AG113,增益!$A:$A,增益!$R:$R,0))</f>
        <v>2.06</v>
      </c>
      <c r="BM113" s="26" cm="1">
        <f t="array" ref="BM113">IF(VLOOKUP($R113,武学奇术!$A:$ZZ,24,FALSE)=1,100%,MIN(40%,$B$10+VLOOKUP($R113,武学奇术!$A:$ZZ,19,FALSE)+SUM(_xlfn.XLOOKUP(S113:AG113,增益!$A:$A,增益!$S:$S,0)))+$B$12+SUM(_xlfn.XLOOKUP(S113:AG113,增益!$A:$A,增益!$V:$V,0)))*IF(VLOOKUP($R113,武学奇术!$A:$ZZ,23,FALSE)=1,0,1)</f>
        <v>0.0929</v>
      </c>
      <c r="BN113" s="26" cm="1">
        <f t="array" ref="BN113">1+$B$14+VLOOKUP($R113,武学奇术!$A:$ZZ,20,FALSE)+SUM(_xlfn.XLOOKUP(S113:AG113,增益!$A:$A,增益!$T:$T,0))</f>
        <v>1.35</v>
      </c>
      <c r="BO113" s="26">
        <f t="shared" si="60"/>
        <v>0.829926</v>
      </c>
      <c r="BP113" s="26">
        <f t="shared" si="61"/>
        <v>0.0599391</v>
      </c>
      <c r="BQ113" s="26">
        <f>IF(VLOOKUP($R113,武学奇术!$A:$ZZ,22,FALSE)=1,0,(1-$BJ113))*(1-$BM113)</f>
        <v>0.0172349</v>
      </c>
      <c r="BR113" s="26" cm="1">
        <f t="array" ref="BR113">SUM(_xlfn.XLOOKUP(S113:AG113,增益!$A:$A,增益!$W:$W,0))+$I$5</f>
        <v>0.11</v>
      </c>
    </row>
    <row r="114" spans="1:70">
      <c r="A114" s="4" t="s">
        <v>164</v>
      </c>
      <c r="B114" s="4">
        <v>0.85</v>
      </c>
      <c r="F114" s="39"/>
      <c r="K114">
        <f>$L114*VLOOKUP($R114,武学奇术!$A:$ZZ,31,FALSE)</f>
        <v>92202.0946512189</v>
      </c>
      <c r="L114" s="38">
        <f t="shared" si="62"/>
        <v>87811.5187154465</v>
      </c>
      <c r="M114" s="38">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BL114*$Q114*(1+IF(VLOOKUP($R114,武学奇术!$A:$ZZ,30,FALSE)="回旋伞",$B$21,0))*(1+$BR114)</f>
        <v>93857.6632974246</v>
      </c>
      <c r="N114" s="38">
        <f>(($AP114*$AI114+$AJ114)*(1+$AQ114)*(1+$AR114)+($AU114*IF($G$1="鸣金",$AK114,$AI114)+IF($G$1="鸣金",$AL114*1.5,0))*(1+$AV114)*(1+$AW114)+($AY114*IF($G$1="裂石",$AK114,$AI114)+IF($G$1="裂石",$AL114*1.5,0))*(1+$AZ114)*(1+$BA114)+($BC114*IF($G$1="牵丝",$AK114,$AI114)+IF($G$1="牵丝",$AL114*1.5,0))*(1+$BD114)*(1+$BE114)+($BG114*IF($G$1="破竹",$AK114,$AI114)+IF($G$1="破竹",$AL114*1.5,0))*(1+$BH114)*(1+$BI114))*(1+$AM114)*$BN114*$Q114*(1+IF(VLOOKUP($R114,武学奇术!$A:$ZZ,30,FALSE)="回旋伞",$B$21,0))*(1+$BR114)</f>
        <v>70072.4969047474</v>
      </c>
      <c r="O114" s="38">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Q114*(1+IF(VLOOKUP($R114,武学奇术!$A:$ZZ,30,FALSE)="回旋伞",$B$21,0))*(1+$BR114)</f>
        <v>45561.9724744779</v>
      </c>
      <c r="P114" s="38">
        <f>((($AO114*$AI114+$AJ114)*(1+$AQ114)*(1+$AR114)+($AT114*IF($G$1="鸣金",$AK114,$AI114)+IF($G$1="鸣金",$AL114*1.5,0))*(1+$AV114)*(1+$AW114)+($AX114*IF($G$1="裂石",$AK114,$AI114)+IF($G$1="裂石",$AL114*1.5,0))*(1+$AZ114)*(1+$BA114)+($BB114*IF($G$1="牵丝",$AK114,$AI114)+IF($G$1="牵丝",$AL114*1.5,0))*(1+$BD114)*(1+$BE114)+($BF114*IF($G$1="破竹",$AK114,$AI114)+IF($G$1="破竹",$AL114*1.5,0))*(1+$BH114)*(1+$BI114))*(1+$AM114))*$Q114*(1+IF(VLOOKUP($R114,武学奇术!$A:$ZZ,30,FALSE)="回旋伞",$B$21,0))*(1+$BR114)</f>
        <v>39218.3916861801</v>
      </c>
      <c r="Q114" s="39">
        <v>4</v>
      </c>
      <c r="R114" s="40" t="s">
        <v>112</v>
      </c>
      <c r="S114" s="40" t="s">
        <v>109</v>
      </c>
      <c r="T114" s="40" t="s">
        <v>95</v>
      </c>
      <c r="U114" s="40" t="s">
        <v>73</v>
      </c>
      <c r="V114" s="40" t="s">
        <v>72</v>
      </c>
      <c r="W114" s="40" t="s">
        <v>172</v>
      </c>
      <c r="X114" s="40" t="s">
        <v>97</v>
      </c>
      <c r="Y114" s="40" t="s">
        <v>84</v>
      </c>
      <c r="Z114" s="40" t="s">
        <v>72</v>
      </c>
      <c r="AA114" s="40" t="s">
        <v>72</v>
      </c>
      <c r="AB114" s="40" t="s">
        <v>126</v>
      </c>
      <c r="AC114" s="40" t="s">
        <v>91</v>
      </c>
      <c r="AD114" s="40" t="s">
        <v>72</v>
      </c>
      <c r="AE114" s="40" t="s">
        <v>72</v>
      </c>
      <c r="AF114" s="40" t="s">
        <v>77</v>
      </c>
      <c r="AG114" s="40" t="s">
        <v>78</v>
      </c>
      <c r="AH114" t="str">
        <f>VLOOKUP($R114,武学奇术!$A:$ZZ,25,FALSE)</f>
        <v>伞</v>
      </c>
      <c r="AI114" s="26">
        <f>VLOOKUP($R114,武学奇术!$A:$ZZ,26,FALSE)</f>
        <v>0.54</v>
      </c>
      <c r="AJ114" s="27">
        <f>VLOOKUP($R114,武学奇术!$A:$ZZ,27,FALSE)*(1+IF(OR($AH114=$F$4,$AH114=$F$5),$B$22,0))</f>
        <v>0</v>
      </c>
      <c r="AK114" s="26">
        <f>VLOOKUP($R114,武学奇术!$A:$ZZ,28,FALSE)</f>
        <v>0.81</v>
      </c>
      <c r="AL114" s="27">
        <f>VLOOKUP($R114,武学奇术!$A:$ZZ,29,FALSE)*(1+IF(OR($AH114=$F$4,$AH114=$F$5),$B$22,0))</f>
        <v>0</v>
      </c>
      <c r="AM114" s="26" cm="1">
        <f t="array" ref="AM114">$G$3+IFERROR(VLOOKUP($AH114,$F$4:$G$7,2,FALSE),0)+VLOOKUP($R114,武学奇术!$A:$ZZ,2,FALSE)+SUM(_xlfn.XLOOKUP($S114:$AG114,增益!$A:$A,增益!$B:$B,0))</f>
        <v>0.8441</v>
      </c>
      <c r="AN114" s="26" cm="1">
        <f t="array" ref="AN114">VLOOKUP($R114,武学奇术!$A:$ZZ,5,FALSE)+SUM(_xlfn.XLOOKUP($S114:$AG114,增益!$A:$A,增益!$E:$E,0))</f>
        <v>0</v>
      </c>
      <c r="AO114" cm="1">
        <f t="array" ref="AO114">$D$10*(1+$AN114)+VLOOKUP($R114,武学奇术!$A:$ZZ,3,FALSE)+SUM(_xlfn.XLOOKUP($S114:$AG114,增益!$A:$A,增益!$C:$C,0))-$I$2</f>
        <v>3624.6</v>
      </c>
      <c r="AP114" cm="1">
        <f t="array" ref="AP114">$E$10*(1+$AN114)+VLOOKUP($R114,武学奇术!$A:$ZZ,4,FALSE)+SUM(_xlfn.XLOOKUP($S114:$AG114,增益!$A:$A,增益!$D:$D,0))-$I$2</f>
        <v>3624.6</v>
      </c>
      <c r="AQ114" s="32" cm="1">
        <f t="array" ref="AQ114">IF($F$10-$I$3+VLOOKUP($R114,武学奇术!$A:$ZZ,6,FALSE)+SUM(_xlfn.XLOOKUP(S114:AG114,增益!$A:$A,增益!$F:$F,0))&gt;0,($F$10-$I$3+VLOOKUP($R114,武学奇术!$A:$ZZ,6,FALSE)+SUM(_xlfn.XLOOKUP(S114:AG114,增益!$A:$A,增益!$F:$F,0)))/200,($F$10-$I$3+VLOOKUP($R114,武学奇术!$A:$ZZ,6,FALSE)+SUM(_xlfn.XLOOKUP(S114:AG114,增益!$A:$A,增益!$F:$F,0)))/100)</f>
        <v>0.3325</v>
      </c>
      <c r="AR114" s="32" cm="1">
        <f t="array" ref="AR114">$G$10+VLOOKUP($R114,武学奇术!$A:$ZZ,7,FALSE)+SUM(_xlfn.XLOOKUP(S114:AG114,增益!$A:$A,增益!$G:$G,0))</f>
        <v>0.148</v>
      </c>
      <c r="AS114" s="26" cm="1">
        <f t="array" ref="AS114">VLOOKUP($R114,武学奇术!$A:$ZZ,8,FALSE)+SUM(_xlfn.XLOOKUP(S114:AG114,增益!$A:$A,增益!$H:$H,0))</f>
        <v>0</v>
      </c>
      <c r="AT114">
        <f t="shared" si="52"/>
        <v>0</v>
      </c>
      <c r="AU114">
        <f t="shared" si="53"/>
        <v>0</v>
      </c>
      <c r="AV114" s="32" cm="1">
        <f t="array" ref="AV114">IF($F$11-$I$4+VLOOKUP($R114,武学奇术!$A:$ZZ,9,FALSE)+SUM(_xlfn.XLOOKUP(S114:AG114,增益!$A:$A,增益!$I:$I,0))&gt;0,($F$11-$I$4+VLOOKUP($R114,武学奇术!$A:$ZZ,9,FALSE)+SUM(_xlfn.XLOOKUP(S114:AG114,增益!$A:$A,增益!$I:$I,0)))/200,($F$11-$I$4+VLOOKUP($R114,武学奇术!$A:$ZZ,9,FALSE)+SUM(_xlfn.XLOOKUP(S114:AG114,增益!$A:$A,增益!$I:$I,0)))/100)</f>
        <v>-0.14</v>
      </c>
      <c r="AW114" s="32" cm="1">
        <f t="array" ref="AW114">$G$11+VLOOKUP($R114,武学奇术!$A:$ZZ,10,FALSE)+SUM(_xlfn.XLOOKUP(S114:AG114,增益!$A:$A,增益!$J:$J,0))</f>
        <v>0</v>
      </c>
      <c r="AX114">
        <f t="shared" si="54"/>
        <v>0</v>
      </c>
      <c r="AY114">
        <f t="shared" si="55"/>
        <v>0</v>
      </c>
      <c r="AZ114" s="32" cm="1">
        <f t="array" ref="AZ114">IF($F$12-$I$4+VLOOKUP($R114,武学奇术!$A:$ZZ,11,FALSE)+SUM(_xlfn.XLOOKUP(S114:AG114,增益!$A:$A,增益!$K:$K,0))&gt;0,($F$12-$I$4+VLOOKUP($R114,武学奇术!$A:$ZZ,11,FALSE)+SUM(_xlfn.XLOOKUP(S114:AG114,增益!$A:$A,增益!$K:$K,0)))/200,($F$12-$I$4+VLOOKUP($R114,武学奇术!$A:$ZZ,11,FALSE)+SUM(_xlfn.XLOOKUP(S114:AG114,增益!$A:$A,增益!$K:$K,0)))/100)</f>
        <v>-0.14</v>
      </c>
      <c r="BA114" s="32" cm="1">
        <f t="array" ref="BA114">$G$12+VLOOKUP($R114,武学奇术!$A:$ZZ,12,FALSE)+SUM(_xlfn.XLOOKUP(S114:AG114,增益!$A:$A,增益!$L:$L,0))</f>
        <v>0</v>
      </c>
      <c r="BB114">
        <f t="shared" si="56"/>
        <v>0</v>
      </c>
      <c r="BC114">
        <f t="shared" si="57"/>
        <v>0</v>
      </c>
      <c r="BD114" s="32" cm="1">
        <f t="array" ref="BD114">IF($F$13-$I$4+VLOOKUP($R114,武学奇术!$A:$ZZ,13,FALSE)+SUM(_xlfn.XLOOKUP(S114:AG114,增益!$A:$A,增益!$M:$M,0))&gt;0,($F$13-$I$4+VLOOKUP($R114,武学奇术!$A:$ZZ,13,FALSE)+SUM(_xlfn.XLOOKUP(S114:AG114,增益!$A:$A,增益!$K:$K,0)))/200,($F$13-$I$4+VLOOKUP($R114,武学奇术!$A:$ZZ,13,FALSE)+SUM(_xlfn.XLOOKUP(S114:AG114,增益!$A:$A,增益!$M:$M,0)))/100)</f>
        <v>-0.14</v>
      </c>
      <c r="BE114" s="32" cm="1">
        <f t="array" ref="BE114">$G$13+VLOOKUP($R114,武学奇术!$A:$ZZ,14,FALSE)+SUM(_xlfn.XLOOKUP(S114:AG114,增益!$A:$A,增益!$N:$N,0))</f>
        <v>0</v>
      </c>
      <c r="BF114">
        <f t="shared" si="58"/>
        <v>571.2</v>
      </c>
      <c r="BG114">
        <f t="shared" si="59"/>
        <v>1627.8</v>
      </c>
      <c r="BH114" s="32" cm="1">
        <f t="array" ref="BH114">IF($F$14-$I$4+VLOOKUP($R114,武学奇术!$A:$ZZ,15,FALSE)+SUM(_xlfn.XLOOKUP(S114:AG114,增益!$A:$A,增益!$O:$O,0))&gt;0,($F$14-$I$4+VLOOKUP($R114,武学奇术!$A:$ZZ,15,FALSE)+SUM(_xlfn.XLOOKUP(S114:AG114,增益!$A:$A,增益!$O:$O,0)))/200,($F$14-$I$4+VLOOKUP($R114,武学奇术!$A:$ZZ,15,FALSE)+SUM(_xlfn.XLOOKUP(S114:AG114,增益!$A:$A,增益!$O:$O,0)))/100)</f>
        <v>0.08</v>
      </c>
      <c r="BI114" s="32" cm="1">
        <f t="array" ref="BI114">$G$14+VLOOKUP($R114,武学奇术!$A:$ZZ,16,FALSE)+SUM(_xlfn.XLOOKUP(S114:AG114,增益!$A:$A,增益!$P:$P,0))</f>
        <v>0.27</v>
      </c>
      <c r="BJ114" s="26">
        <f>MIN(IF(VLOOKUP($R114,武学奇术!$A:$ZZ,23,FALSE)=1,100%,$B$8),100%)</f>
        <v>0.981</v>
      </c>
      <c r="BK114" s="26" cm="1">
        <f t="array" ref="BK114">IF(VLOOKUP($R114,武学奇术!$A:$ZZ,23,FALSE)=1,100%,MIN(80%,$B$9+VLOOKUP($R114,武学奇术!$A:$ZZ,17,FALSE)+SUM(_xlfn.XLOOKUP(S114:AG114,增益!$A:$A,增益!$Q:$Q,0)))+$B$11+SUM(_xlfn.XLOOKUP(S114:AG114,增益!$A:$A,增益!$U:$U,0)))*IF(VLOOKUP($R114,武学奇术!$A:$ZZ,24,FALSE)=1,0,1)</f>
        <v>0.846</v>
      </c>
      <c r="BL114" s="26" cm="1">
        <f t="array" ref="BL114">1+$B$13+VLOOKUP($R114,武学奇术!$A:$ZZ,18,FALSE)+SUM(_xlfn.XLOOKUP(S114:AG114,增益!$A:$A,增益!$R:$R,0))</f>
        <v>2.06</v>
      </c>
      <c r="BM114" s="26" cm="1">
        <f t="array" ref="BM114">IF(VLOOKUP($R114,武学奇术!$A:$ZZ,24,FALSE)=1,100%,MIN(40%,$B$10+VLOOKUP($R114,武学奇术!$A:$ZZ,19,FALSE)+SUM(_xlfn.XLOOKUP(S114:AG114,增益!$A:$A,增益!$S:$S,0)))+$B$12+SUM(_xlfn.XLOOKUP(S114:AG114,增益!$A:$A,增益!$V:$V,0)))*IF(VLOOKUP($R114,武学奇术!$A:$ZZ,23,FALSE)=1,0,1)</f>
        <v>0.0929</v>
      </c>
      <c r="BN114" s="26" cm="1">
        <f t="array" ref="BN114">1+$B$14+VLOOKUP($R114,武学奇术!$A:$ZZ,20,FALSE)+SUM(_xlfn.XLOOKUP(S114:AG114,增益!$A:$A,增益!$T:$T,0))</f>
        <v>1.35</v>
      </c>
      <c r="BO114" s="26">
        <f t="shared" si="60"/>
        <v>0.829926</v>
      </c>
      <c r="BP114" s="26">
        <f t="shared" si="61"/>
        <v>0.0599391</v>
      </c>
      <c r="BQ114" s="26">
        <f>IF(VLOOKUP($R114,武学奇术!$A:$ZZ,22,FALSE)=1,0,(1-$BJ114))*(1-$BM114)</f>
        <v>0.0172349</v>
      </c>
      <c r="BR114" s="26" cm="1">
        <f t="array" ref="BR114">SUM(_xlfn.XLOOKUP(S114:AG114,增益!$A:$A,增益!$W:$W,0))+$I$5</f>
        <v>0.11</v>
      </c>
    </row>
    <row r="115" spans="1:70">
      <c r="A115" s="4" t="s">
        <v>161</v>
      </c>
      <c r="B115" s="87">
        <v>1</v>
      </c>
      <c r="F115" s="39"/>
      <c r="K115">
        <f>$L115*VLOOKUP($R115,武学奇术!$A:$ZZ,31,FALSE)</f>
        <v>95122.8721315958</v>
      </c>
      <c r="L115" s="38">
        <f t="shared" si="62"/>
        <v>90593.2115539007</v>
      </c>
      <c r="M115" s="38">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BL115*$Q115*(1+IF(VLOOKUP($R115,武学奇术!$A:$ZZ,30,FALSE)="回旋伞",$B$21,0))*(1+$BR115)</f>
        <v>90593.2115539007</v>
      </c>
      <c r="N115" s="38">
        <f>(($AP115*$AI115+$AJ115)*(1+$AQ115)*(1+$AR115)+($AU115*IF($G$1="鸣金",$AK115,$AI115)+IF($G$1="鸣金",$AL115*1.5,0))*(1+$AV115)*(1+$AW115)+($AY115*IF($G$1="裂石",$AK115,$AI115)+IF($G$1="裂石",$AL115*1.5,0))*(1+$AZ115)*(1+$BA115)+($BC115*IF($G$1="牵丝",$AK115,$AI115)+IF($G$1="牵丝",$AL115*1.5,0))*(1+$BD115)*(1+$BE115)+($BG115*IF($G$1="破竹",$AK115,$AI115)+IF($G$1="破竹",$AL115*1.5,0))*(1+$BH115)*(1+$BI115))*(1+$AM115)*$BN115*$Q115*(1+IF(VLOOKUP($R115,武学奇术!$A:$ZZ,30,FALSE)="回旋伞",$B$21,0))*(1+$BR115)</f>
        <v>66578.0496996268</v>
      </c>
      <c r="O115" s="38">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Q115*(1+IF(VLOOKUP($R115,武学奇术!$A:$ZZ,30,FALSE)="回旋伞",$B$21,0))*(1+$BR115)</f>
        <v>43977.2871620877</v>
      </c>
      <c r="P115" s="38">
        <f>((($AO115*$AI115+$AJ115)*(1+$AQ115)*(1+$AR115)+($AT115*IF($G$1="鸣金",$AK115,$AI115)+IF($G$1="鸣金",$AL115*1.5,0))*(1+$AV115)*(1+$AW115)+($AX115*IF($G$1="裂石",$AK115,$AI115)+IF($G$1="裂石",$AL115*1.5,0))*(1+$AZ115)*(1+$BA115)+($BB115*IF($G$1="牵丝",$AK115,$AI115)+IF($G$1="牵丝",$AL115*1.5,0))*(1+$BD115)*(1+$BE115)+($BF115*IF($G$1="破竹",$AK115,$AI115)+IF($G$1="破竹",$AL115*1.5,0))*(1+$BH115)*(1+$BI115))*(1+$AM115))*$Q115*(1+IF(VLOOKUP($R115,武学奇术!$A:$ZZ,30,FALSE)="回旋伞",$B$21,0))*(1+$BR115)</f>
        <v>38637.5004726</v>
      </c>
      <c r="Q115" s="39">
        <v>1</v>
      </c>
      <c r="R115" s="40" t="s">
        <v>125</v>
      </c>
      <c r="S115" s="40" t="s">
        <v>109</v>
      </c>
      <c r="T115" s="40" t="s">
        <v>95</v>
      </c>
      <c r="U115" s="40" t="s">
        <v>73</v>
      </c>
      <c r="V115" s="40" t="s">
        <v>72</v>
      </c>
      <c r="W115" s="40" t="s">
        <v>172</v>
      </c>
      <c r="X115" s="40" t="s">
        <v>99</v>
      </c>
      <c r="Y115" s="40" t="s">
        <v>84</v>
      </c>
      <c r="Z115" s="40" t="s">
        <v>72</v>
      </c>
      <c r="AA115" s="40" t="s">
        <v>72</v>
      </c>
      <c r="AB115" s="40" t="s">
        <v>126</v>
      </c>
      <c r="AC115" s="40" t="s">
        <v>91</v>
      </c>
      <c r="AD115" s="40" t="s">
        <v>72</v>
      </c>
      <c r="AE115" s="40" t="s">
        <v>72</v>
      </c>
      <c r="AF115" s="40" t="s">
        <v>77</v>
      </c>
      <c r="AG115" s="40" t="s">
        <v>78</v>
      </c>
      <c r="AH115" t="str">
        <f>VLOOKUP($R115,武学奇术!$A:$ZZ,25,FALSE)</f>
        <v>伞</v>
      </c>
      <c r="AI115" s="26">
        <f>VLOOKUP($R115,武学奇术!$A:$ZZ,26,FALSE)</f>
        <v>1.8084</v>
      </c>
      <c r="AJ115" s="27">
        <f>VLOOKUP($R115,武学奇术!$A:$ZZ,27,FALSE)*(1+IF(OR($AH115=$F$4,$AH115=$F$5),$B$22,0))</f>
        <v>750</v>
      </c>
      <c r="AK115" s="26">
        <f>VLOOKUP($R115,武学奇术!$A:$ZZ,28,FALSE)</f>
        <v>2.7126</v>
      </c>
      <c r="AL115" s="27">
        <f>VLOOKUP($R115,武学奇术!$A:$ZZ,29,FALSE)*(1+IF(OR($AH115=$F$4,$AH115=$F$5),$B$22,0))</f>
        <v>408</v>
      </c>
      <c r="AM115" s="26" cm="1">
        <f t="array" ref="AM115">$G$3+IFERROR(VLOOKUP($AH115,$F$4:$G$7,2,FALSE),0)+VLOOKUP($R115,武学奇术!$A:$ZZ,2,FALSE)+SUM(_xlfn.XLOOKUP($S115:$AG115,增益!$A:$A,增益!$B:$B,0))</f>
        <v>0.8541</v>
      </c>
      <c r="AN115" s="26" cm="1">
        <f t="array" ref="AN115">VLOOKUP($R115,武学奇术!$A:$ZZ,5,FALSE)+SUM(_xlfn.XLOOKUP($S115:$AG115,增益!$A:$A,增益!$E:$E,0))</f>
        <v>0</v>
      </c>
      <c r="AO115" cm="1">
        <f t="array" ref="AO115">$D$10*(1+$AN115)+VLOOKUP($R115,武学奇术!$A:$ZZ,3,FALSE)+SUM(_xlfn.XLOOKUP($S115:$AG115,增益!$A:$A,增益!$C:$C,0))-$I$2</f>
        <v>3624.6</v>
      </c>
      <c r="AP115" cm="1">
        <f t="array" ref="AP115">$E$10*(1+$AN115)+VLOOKUP($R115,武学奇术!$A:$ZZ,4,FALSE)+SUM(_xlfn.XLOOKUP($S115:$AG115,增益!$A:$A,增益!$D:$D,0))-$I$2</f>
        <v>3624.6</v>
      </c>
      <c r="AQ115" s="32" cm="1">
        <f t="array" ref="AQ115">IF($F$10-$I$3+VLOOKUP($R115,武学奇术!$A:$ZZ,6,FALSE)+SUM(_xlfn.XLOOKUP(S115:AG115,增益!$A:$A,增益!$F:$F,0))&gt;0,($F$10-$I$3+VLOOKUP($R115,武学奇术!$A:$ZZ,6,FALSE)+SUM(_xlfn.XLOOKUP(S115:AG115,增益!$A:$A,增益!$F:$F,0)))/200,($F$10-$I$3+VLOOKUP($R115,武学奇术!$A:$ZZ,6,FALSE)+SUM(_xlfn.XLOOKUP(S115:AG115,增益!$A:$A,增益!$F:$F,0)))/100)</f>
        <v>0.3425</v>
      </c>
      <c r="AR115" s="32" cm="1">
        <f t="array" ref="AR115">$G$10+VLOOKUP($R115,武学奇术!$A:$ZZ,7,FALSE)+SUM(_xlfn.XLOOKUP(S115:AG115,增益!$A:$A,增益!$G:$G,0))</f>
        <v>0.148</v>
      </c>
      <c r="AS115" s="26" cm="1">
        <f t="array" ref="AS115">VLOOKUP($R115,武学奇术!$A:$ZZ,8,FALSE)+SUM(_xlfn.XLOOKUP(S115:AG115,增益!$A:$A,增益!$H:$H,0))</f>
        <v>0</v>
      </c>
      <c r="AT115">
        <f t="shared" si="52"/>
        <v>0</v>
      </c>
      <c r="AU115">
        <f t="shared" si="53"/>
        <v>0</v>
      </c>
      <c r="AV115" s="32" cm="1">
        <f t="array" ref="AV115">IF($F$11-$I$4+VLOOKUP($R115,武学奇术!$A:$ZZ,9,FALSE)+SUM(_xlfn.XLOOKUP(S115:AG115,增益!$A:$A,增益!$I:$I,0))&gt;0,($F$11-$I$4+VLOOKUP($R115,武学奇术!$A:$ZZ,9,FALSE)+SUM(_xlfn.XLOOKUP(S115:AG115,增益!$A:$A,增益!$I:$I,0)))/200,($F$11-$I$4+VLOOKUP($R115,武学奇术!$A:$ZZ,9,FALSE)+SUM(_xlfn.XLOOKUP(S115:AG115,增益!$A:$A,增益!$I:$I,0)))/100)</f>
        <v>-0.14</v>
      </c>
      <c r="AW115" s="32" cm="1">
        <f t="array" ref="AW115">$G$11+VLOOKUP($R115,武学奇术!$A:$ZZ,10,FALSE)+SUM(_xlfn.XLOOKUP(S115:AG115,增益!$A:$A,增益!$J:$J,0))</f>
        <v>0</v>
      </c>
      <c r="AX115">
        <f t="shared" si="54"/>
        <v>0</v>
      </c>
      <c r="AY115">
        <f t="shared" si="55"/>
        <v>0</v>
      </c>
      <c r="AZ115" s="32" cm="1">
        <f t="array" ref="AZ115">IF($F$12-$I$4+VLOOKUP($R115,武学奇术!$A:$ZZ,11,FALSE)+SUM(_xlfn.XLOOKUP(S115:AG115,增益!$A:$A,增益!$K:$K,0))&gt;0,($F$12-$I$4+VLOOKUP($R115,武学奇术!$A:$ZZ,11,FALSE)+SUM(_xlfn.XLOOKUP(S115:AG115,增益!$A:$A,增益!$K:$K,0)))/200,($F$12-$I$4+VLOOKUP($R115,武学奇术!$A:$ZZ,11,FALSE)+SUM(_xlfn.XLOOKUP(S115:AG115,增益!$A:$A,增益!$K:$K,0)))/100)</f>
        <v>-0.14</v>
      </c>
      <c r="BA115" s="32" cm="1">
        <f t="array" ref="BA115">$G$12+VLOOKUP($R115,武学奇术!$A:$ZZ,12,FALSE)+SUM(_xlfn.XLOOKUP(S115:AG115,增益!$A:$A,增益!$L:$L,0))</f>
        <v>0</v>
      </c>
      <c r="BB115">
        <f t="shared" si="56"/>
        <v>0</v>
      </c>
      <c r="BC115">
        <f t="shared" si="57"/>
        <v>0</v>
      </c>
      <c r="BD115" s="32" cm="1">
        <f t="array" ref="BD115">IF($F$13-$I$4+VLOOKUP($R115,武学奇术!$A:$ZZ,13,FALSE)+SUM(_xlfn.XLOOKUP(S115:AG115,增益!$A:$A,增益!$M:$M,0))&gt;0,($F$13-$I$4+VLOOKUP($R115,武学奇术!$A:$ZZ,13,FALSE)+SUM(_xlfn.XLOOKUP(S115:AG115,增益!$A:$A,增益!$K:$K,0)))/200,($F$13-$I$4+VLOOKUP($R115,武学奇术!$A:$ZZ,13,FALSE)+SUM(_xlfn.XLOOKUP(S115:AG115,增益!$A:$A,增益!$M:$M,0)))/100)</f>
        <v>-0.14</v>
      </c>
      <c r="BE115" s="32" cm="1">
        <f t="array" ref="BE115">$G$13+VLOOKUP($R115,武学奇术!$A:$ZZ,14,FALSE)+SUM(_xlfn.XLOOKUP(S115:AG115,增益!$A:$A,增益!$N:$N,0))</f>
        <v>0</v>
      </c>
      <c r="BF115">
        <f t="shared" si="58"/>
        <v>571.2</v>
      </c>
      <c r="BG115">
        <f t="shared" si="59"/>
        <v>1627.8</v>
      </c>
      <c r="BH115" s="32" cm="1">
        <f t="array" ref="BH115">IF($F$14-$I$4+VLOOKUP($R115,武学奇术!$A:$ZZ,15,FALSE)+SUM(_xlfn.XLOOKUP(S115:AG115,增益!$A:$A,增益!$O:$O,0))&gt;0,($F$14-$I$4+VLOOKUP($R115,武学奇术!$A:$ZZ,15,FALSE)+SUM(_xlfn.XLOOKUP(S115:AG115,增益!$A:$A,增益!$O:$O,0)))/200,($F$14-$I$4+VLOOKUP($R115,武学奇术!$A:$ZZ,15,FALSE)+SUM(_xlfn.XLOOKUP(S115:AG115,增益!$A:$A,增益!$O:$O,0)))/100)</f>
        <v>0.08</v>
      </c>
      <c r="BI115" s="32" cm="1">
        <f t="array" ref="BI115">$G$14+VLOOKUP($R115,武学奇术!$A:$ZZ,16,FALSE)+SUM(_xlfn.XLOOKUP(S115:AG115,增益!$A:$A,增益!$P:$P,0))</f>
        <v>0.27</v>
      </c>
      <c r="BJ115" s="26">
        <f>MIN(IF(VLOOKUP($R115,武学奇术!$A:$ZZ,23,FALSE)=1,100%,$B$8),100%)</f>
        <v>1</v>
      </c>
      <c r="BK115" s="26" cm="1">
        <f t="array" ref="BK115">IF(VLOOKUP($R115,武学奇术!$A:$ZZ,23,FALSE)=1,100%,MIN(80%,$B$9+VLOOKUP($R115,武学奇术!$A:$ZZ,17,FALSE)+SUM(_xlfn.XLOOKUP(S115:AG115,增益!$A:$A,增益!$Q:$Q,0)))+$B$11+SUM(_xlfn.XLOOKUP(S115:AG115,增益!$A:$A,增益!$U:$U,0)))*IF(VLOOKUP($R115,武学奇术!$A:$ZZ,24,FALSE)=1,0,1)</f>
        <v>1</v>
      </c>
      <c r="BL115" s="26" cm="1">
        <f t="array" ref="BL115">1+$B$13+VLOOKUP($R115,武学奇术!$A:$ZZ,18,FALSE)+SUM(_xlfn.XLOOKUP(S115:AG115,增益!$A:$A,增益!$R:$R,0))</f>
        <v>2.06</v>
      </c>
      <c r="BM115" s="26" cm="1">
        <f t="array" ref="BM115">IF(VLOOKUP($R115,武学奇术!$A:$ZZ,24,FALSE)=1,100%,MIN(40%,$B$10+VLOOKUP($R115,武学奇术!$A:$ZZ,19,FALSE)+SUM(_xlfn.XLOOKUP(S115:AG115,增益!$A:$A,增益!$S:$S,0)))+$B$12+SUM(_xlfn.XLOOKUP(S115:AG115,增益!$A:$A,增益!$V:$V,0)))*IF(VLOOKUP($R115,武学奇术!$A:$ZZ,23,FALSE)=1,0,1)</f>
        <v>0</v>
      </c>
      <c r="BN115" s="26" cm="1">
        <f t="array" ref="BN115">1+$B$14+VLOOKUP($R115,武学奇术!$A:$ZZ,20,FALSE)+SUM(_xlfn.XLOOKUP(S115:AG115,增益!$A:$A,增益!$T:$T,0))</f>
        <v>1.35</v>
      </c>
      <c r="BO115" s="26">
        <f t="shared" si="60"/>
        <v>1</v>
      </c>
      <c r="BP115" s="26">
        <f t="shared" si="61"/>
        <v>0</v>
      </c>
      <c r="BQ115" s="26">
        <f>IF(VLOOKUP($R115,武学奇术!$A:$ZZ,22,FALSE)=1,0,(1-$BJ115))*(1-$BM115)</f>
        <v>0</v>
      </c>
      <c r="BR115" s="26" cm="1">
        <f t="array" ref="BR115">SUM(_xlfn.XLOOKUP(S115:AG115,增益!$A:$A,增益!$W:$W,0))+$I$5</f>
        <v>0.11</v>
      </c>
    </row>
    <row r="116" spans="1:70">
      <c r="A116" s="4" t="s">
        <v>161</v>
      </c>
      <c r="B116" s="4">
        <v>1</v>
      </c>
      <c r="F116" s="39"/>
      <c r="K116">
        <f>$L116*VLOOKUP($R116,武学奇术!$A:$ZZ,31,FALSE)</f>
        <v>55179.1285685016</v>
      </c>
      <c r="L116" s="38">
        <f t="shared" si="62"/>
        <v>52551.5510176205</v>
      </c>
      <c r="M116" s="38">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BL116*$Q116*(1+IF(VLOOKUP($R116,武学奇术!$A:$ZZ,30,FALSE)="回旋伞",$B$21,0))*(1+$BR116)</f>
        <v>52551.5510176205</v>
      </c>
      <c r="N116" s="38">
        <f>(($AP116*$AI116+$AJ116)*(1+$AQ116)*(1+$AR116)+($AU116*IF($G$1="鸣金",$AK116,$AI116)+IF($G$1="鸣金",$AL116*1.5,0))*(1+$AV116)*(1+$AW116)+($AY116*IF($G$1="裂石",$AK116,$AI116)+IF($G$1="裂石",$AL116*1.5,0))*(1+$AZ116)*(1+$BA116)+($BC116*IF($G$1="牵丝",$AK116,$AI116)+IF($G$1="牵丝",$AL116*1.5,0))*(1+$BD116)*(1+$BE116)+($BG116*IF($G$1="破竹",$AK116,$AI116)+IF($G$1="破竹",$AL116*1.5,0))*(1+$BH116)*(1+$BI116))*(1+$AM116)*$BN116*$Q116*(1+IF(VLOOKUP($R116,武学奇术!$A:$ZZ,30,FALSE)="回旋伞",$B$21,0))*(1+$BR116)</f>
        <v>39208.650800919</v>
      </c>
      <c r="O116" s="38">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Q116*(1+IF(VLOOKUP($R116,武学奇术!$A:$ZZ,30,FALSE)="回旋伞",$B$21,0))*(1+$BR116)</f>
        <v>25510.4616590391</v>
      </c>
      <c r="P116" s="38">
        <f>((($AO116*$AI116+$AJ116)*(1+$AQ116)*(1+$AR116)+($AT116*IF($G$1="鸣金",$AK116,$AI116)+IF($G$1="鸣金",$AL116*1.5,0))*(1+$AV116)*(1+$AW116)+($AX116*IF($G$1="裂石",$AK116,$AI116)+IF($G$1="裂石",$AL116*1.5,0))*(1+$AZ116)*(1+$BA116)+($BB116*IF($G$1="牵丝",$AK116,$AI116)+IF($G$1="牵丝",$AL116*1.5,0))*(1+$BD116)*(1+$BE116)+($BF116*IF($G$1="破竹",$AK116,$AI116)+IF($G$1="破竹",$AL116*1.5,0))*(1+$BH116)*(1+$BI116))*(1+$AM116))*$Q116*(1+IF(VLOOKUP($R116,武学奇术!$A:$ZZ,30,FALSE)="回旋伞",$B$21,0))*(1+$BR116)</f>
        <v>21977.4782803604</v>
      </c>
      <c r="Q116" s="39">
        <v>2</v>
      </c>
      <c r="R116" s="40" t="s">
        <v>132</v>
      </c>
      <c r="S116" s="40" t="s">
        <v>109</v>
      </c>
      <c r="T116" s="40" t="s">
        <v>95</v>
      </c>
      <c r="U116" s="40" t="s">
        <v>73</v>
      </c>
      <c r="V116" s="40" t="s">
        <v>72</v>
      </c>
      <c r="W116" s="40" t="s">
        <v>172</v>
      </c>
      <c r="X116" s="40" t="s">
        <v>99</v>
      </c>
      <c r="Y116" s="40" t="s">
        <v>84</v>
      </c>
      <c r="Z116" s="40" t="s">
        <v>72</v>
      </c>
      <c r="AA116" s="40" t="s">
        <v>72</v>
      </c>
      <c r="AB116" s="40" t="s">
        <v>126</v>
      </c>
      <c r="AC116" s="40" t="s">
        <v>91</v>
      </c>
      <c r="AD116" s="40" t="s">
        <v>72</v>
      </c>
      <c r="AE116" s="40" t="s">
        <v>72</v>
      </c>
      <c r="AF116" s="40" t="s">
        <v>77</v>
      </c>
      <c r="AG116" s="40" t="s">
        <v>78</v>
      </c>
      <c r="AH116" t="str">
        <f>VLOOKUP($R116,武学奇术!$A:$ZZ,25,FALSE)</f>
        <v>伞</v>
      </c>
      <c r="AI116" s="26">
        <f>VLOOKUP($R116,武学奇术!$A:$ZZ,26,FALSE)</f>
        <v>0.54</v>
      </c>
      <c r="AJ116" s="27">
        <f>VLOOKUP($R116,武学奇术!$A:$ZZ,27,FALSE)*(1+IF(OR($AH116=$F$4,$AH116=$F$5),$B$22,0))</f>
        <v>0</v>
      </c>
      <c r="AK116" s="26">
        <f>VLOOKUP($R116,武学奇术!$A:$ZZ,28,FALSE)</f>
        <v>0.81</v>
      </c>
      <c r="AL116" s="27">
        <f>VLOOKUP($R116,武学奇术!$A:$ZZ,29,FALSE)*(1+IF(OR($AH116=$F$4,$AH116=$F$5),$B$22,0))</f>
        <v>0</v>
      </c>
      <c r="AM116" s="26" cm="1">
        <f t="array" ref="AM116">$G$3+IFERROR(VLOOKUP($AH116,$F$4:$G$7,2,FALSE),0)+VLOOKUP($R116,武学奇术!$A:$ZZ,2,FALSE)+SUM(_xlfn.XLOOKUP($S116:$AG116,增益!$A:$A,增益!$B:$B,0))</f>
        <v>1.0541</v>
      </c>
      <c r="AN116" s="26" cm="1">
        <f t="array" ref="AN116">VLOOKUP($R116,武学奇术!$A:$ZZ,5,FALSE)+SUM(_xlfn.XLOOKUP($S116:$AG116,增益!$A:$A,增益!$E:$E,0))</f>
        <v>0</v>
      </c>
      <c r="AO116" cm="1">
        <f t="array" ref="AO116">$D$10*(1+$AN116)+VLOOKUP($R116,武学奇术!$A:$ZZ,3,FALSE)+SUM(_xlfn.XLOOKUP($S116:$AG116,增益!$A:$A,增益!$C:$C,0))-$I$2</f>
        <v>3624.6</v>
      </c>
      <c r="AP116" cm="1">
        <f t="array" ref="AP116">$E$10*(1+$AN116)+VLOOKUP($R116,武学奇术!$A:$ZZ,4,FALSE)+SUM(_xlfn.XLOOKUP($S116:$AG116,增益!$A:$A,增益!$D:$D,0))-$I$2</f>
        <v>3624.6</v>
      </c>
      <c r="AQ116" s="32" cm="1">
        <f t="array" ref="AQ116">IF($F$10-$I$3+VLOOKUP($R116,武学奇术!$A:$ZZ,6,FALSE)+SUM(_xlfn.XLOOKUP(S116:AG116,增益!$A:$A,增益!$F:$F,0))&gt;0,($F$10-$I$3+VLOOKUP($R116,武学奇术!$A:$ZZ,6,FALSE)+SUM(_xlfn.XLOOKUP(S116:AG116,增益!$A:$A,增益!$F:$F,0)))/200,($F$10-$I$3+VLOOKUP($R116,武学奇术!$A:$ZZ,6,FALSE)+SUM(_xlfn.XLOOKUP(S116:AG116,增益!$A:$A,增益!$F:$F,0)))/100)</f>
        <v>0.3425</v>
      </c>
      <c r="AR116" s="32" cm="1">
        <f t="array" ref="AR116">$G$10+VLOOKUP($R116,武学奇术!$A:$ZZ,7,FALSE)+SUM(_xlfn.XLOOKUP(S116:AG116,增益!$A:$A,增益!$G:$G,0))</f>
        <v>0.148</v>
      </c>
      <c r="AS116" s="26" cm="1">
        <f t="array" ref="AS116">VLOOKUP($R116,武学奇术!$A:$ZZ,8,FALSE)+SUM(_xlfn.XLOOKUP(S116:AG116,增益!$A:$A,增益!$H:$H,0))</f>
        <v>0</v>
      </c>
      <c r="AT116">
        <f t="shared" si="52"/>
        <v>0</v>
      </c>
      <c r="AU116">
        <f t="shared" si="53"/>
        <v>0</v>
      </c>
      <c r="AV116" s="32" cm="1">
        <f t="array" ref="AV116">IF($F$11-$I$4+VLOOKUP($R116,武学奇术!$A:$ZZ,9,FALSE)+SUM(_xlfn.XLOOKUP(S116:AG116,增益!$A:$A,增益!$I:$I,0))&gt;0,($F$11-$I$4+VLOOKUP($R116,武学奇术!$A:$ZZ,9,FALSE)+SUM(_xlfn.XLOOKUP(S116:AG116,增益!$A:$A,增益!$I:$I,0)))/200,($F$11-$I$4+VLOOKUP($R116,武学奇术!$A:$ZZ,9,FALSE)+SUM(_xlfn.XLOOKUP(S116:AG116,增益!$A:$A,增益!$I:$I,0)))/100)</f>
        <v>-0.14</v>
      </c>
      <c r="AW116" s="32" cm="1">
        <f t="array" ref="AW116">$G$11+VLOOKUP($R116,武学奇术!$A:$ZZ,10,FALSE)+SUM(_xlfn.XLOOKUP(S116:AG116,增益!$A:$A,增益!$J:$J,0))</f>
        <v>0</v>
      </c>
      <c r="AX116">
        <f t="shared" si="54"/>
        <v>0</v>
      </c>
      <c r="AY116">
        <f t="shared" si="55"/>
        <v>0</v>
      </c>
      <c r="AZ116" s="32" cm="1">
        <f t="array" ref="AZ116">IF($F$12-$I$4+VLOOKUP($R116,武学奇术!$A:$ZZ,11,FALSE)+SUM(_xlfn.XLOOKUP(S116:AG116,增益!$A:$A,增益!$K:$K,0))&gt;0,($F$12-$I$4+VLOOKUP($R116,武学奇术!$A:$ZZ,11,FALSE)+SUM(_xlfn.XLOOKUP(S116:AG116,增益!$A:$A,增益!$K:$K,0)))/200,($F$12-$I$4+VLOOKUP($R116,武学奇术!$A:$ZZ,11,FALSE)+SUM(_xlfn.XLOOKUP(S116:AG116,增益!$A:$A,增益!$K:$K,0)))/100)</f>
        <v>-0.14</v>
      </c>
      <c r="BA116" s="32" cm="1">
        <f t="array" ref="BA116">$G$12+VLOOKUP($R116,武学奇术!$A:$ZZ,12,FALSE)+SUM(_xlfn.XLOOKUP(S116:AG116,增益!$A:$A,增益!$L:$L,0))</f>
        <v>0</v>
      </c>
      <c r="BB116">
        <f t="shared" si="56"/>
        <v>0</v>
      </c>
      <c r="BC116">
        <f t="shared" si="57"/>
        <v>0</v>
      </c>
      <c r="BD116" s="32" cm="1">
        <f t="array" ref="BD116">IF($F$13-$I$4+VLOOKUP($R116,武学奇术!$A:$ZZ,13,FALSE)+SUM(_xlfn.XLOOKUP(S116:AG116,增益!$A:$A,增益!$M:$M,0))&gt;0,($F$13-$I$4+VLOOKUP($R116,武学奇术!$A:$ZZ,13,FALSE)+SUM(_xlfn.XLOOKUP(S116:AG116,增益!$A:$A,增益!$K:$K,0)))/200,($F$13-$I$4+VLOOKUP($R116,武学奇术!$A:$ZZ,13,FALSE)+SUM(_xlfn.XLOOKUP(S116:AG116,增益!$A:$A,增益!$M:$M,0)))/100)</f>
        <v>-0.14</v>
      </c>
      <c r="BE116" s="32" cm="1">
        <f t="array" ref="BE116">$G$13+VLOOKUP($R116,武学奇术!$A:$ZZ,14,FALSE)+SUM(_xlfn.XLOOKUP(S116:AG116,增益!$A:$A,增益!$N:$N,0))</f>
        <v>0</v>
      </c>
      <c r="BF116">
        <f t="shared" si="58"/>
        <v>571.2</v>
      </c>
      <c r="BG116">
        <f t="shared" si="59"/>
        <v>1627.8</v>
      </c>
      <c r="BH116" s="32" cm="1">
        <f t="array" ref="BH116">IF($F$14-$I$4+VLOOKUP($R116,武学奇术!$A:$ZZ,15,FALSE)+SUM(_xlfn.XLOOKUP(S116:AG116,增益!$A:$A,增益!$O:$O,0))&gt;0,($F$14-$I$4+VLOOKUP($R116,武学奇术!$A:$ZZ,15,FALSE)+SUM(_xlfn.XLOOKUP(S116:AG116,增益!$A:$A,增益!$O:$O,0)))/200,($F$14-$I$4+VLOOKUP($R116,武学奇术!$A:$ZZ,15,FALSE)+SUM(_xlfn.XLOOKUP(S116:AG116,增益!$A:$A,增益!$O:$O,0)))/100)</f>
        <v>0.08</v>
      </c>
      <c r="BI116" s="32" cm="1">
        <f t="array" ref="BI116">$G$14+VLOOKUP($R116,武学奇术!$A:$ZZ,16,FALSE)+SUM(_xlfn.XLOOKUP(S116:AG116,增益!$A:$A,增益!$P:$P,0))</f>
        <v>0.27</v>
      </c>
      <c r="BJ116" s="26">
        <f>MIN(IF(VLOOKUP($R116,武学奇术!$A:$ZZ,23,FALSE)=1,100%,$B$8),100%)</f>
        <v>1</v>
      </c>
      <c r="BK116" s="26" cm="1">
        <f t="array" ref="BK116">IF(VLOOKUP($R116,武学奇术!$A:$ZZ,23,FALSE)=1,100%,MIN(80%,$B$9+VLOOKUP($R116,武学奇术!$A:$ZZ,17,FALSE)+SUM(_xlfn.XLOOKUP(S116:AG116,增益!$A:$A,增益!$Q:$Q,0)))+$B$11+SUM(_xlfn.XLOOKUP(S116:AG116,增益!$A:$A,增益!$U:$U,0)))*IF(VLOOKUP($R116,武学奇术!$A:$ZZ,24,FALSE)=1,0,1)</f>
        <v>1</v>
      </c>
      <c r="BL116" s="26" cm="1">
        <f t="array" ref="BL116">1+$B$13+VLOOKUP($R116,武学奇术!$A:$ZZ,18,FALSE)+SUM(_xlfn.XLOOKUP(S116:AG116,增益!$A:$A,增益!$R:$R,0))</f>
        <v>2.06</v>
      </c>
      <c r="BM116" s="26" cm="1">
        <f t="array" ref="BM116">IF(VLOOKUP($R116,武学奇术!$A:$ZZ,24,FALSE)=1,100%,MIN(40%,$B$10+VLOOKUP($R116,武学奇术!$A:$ZZ,19,FALSE)+SUM(_xlfn.XLOOKUP(S116:AG116,增益!$A:$A,增益!$S:$S,0)))+$B$12+SUM(_xlfn.XLOOKUP(S116:AG116,增益!$A:$A,增益!$V:$V,0)))*IF(VLOOKUP($R116,武学奇术!$A:$ZZ,23,FALSE)=1,0,1)</f>
        <v>0</v>
      </c>
      <c r="BN116" s="26" cm="1">
        <f t="array" ref="BN116">1+$B$14+VLOOKUP($R116,武学奇术!$A:$ZZ,20,FALSE)+SUM(_xlfn.XLOOKUP(S116:AG116,增益!$A:$A,增益!$T:$T,0))</f>
        <v>1.35</v>
      </c>
      <c r="BO116" s="26">
        <f t="shared" si="60"/>
        <v>1</v>
      </c>
      <c r="BP116" s="26">
        <f t="shared" si="61"/>
        <v>0</v>
      </c>
      <c r="BQ116" s="26">
        <f>IF(VLOOKUP($R116,武学奇术!$A:$ZZ,22,FALSE)=1,0,(1-$BJ116))*(1-$BM116)</f>
        <v>0</v>
      </c>
      <c r="BR116" s="26" cm="1">
        <f t="array" ref="BR116">SUM(_xlfn.XLOOKUP(S116:AG116,增益!$A:$A,增益!$W:$W,0))+$I$5</f>
        <v>0.11</v>
      </c>
    </row>
    <row r="117" spans="1:70">
      <c r="A117" s="4" t="s">
        <v>164</v>
      </c>
      <c r="B117" s="4">
        <v>0.85</v>
      </c>
      <c r="F117" s="39"/>
      <c r="K117">
        <f>$L117*VLOOKUP($R117,武学奇术!$A:$ZZ,31,FALSE)</f>
        <v>158632.064931471</v>
      </c>
      <c r="L117" s="38">
        <f t="shared" si="62"/>
        <v>151078.157077591</v>
      </c>
      <c r="M117" s="38">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BL117*$Q117*(1+IF(VLOOKUP($R117,武学奇术!$A:$ZZ,30,FALSE)="回旋伞",$B$21,0))*(1+$BR117)</f>
        <v>161642.016321997</v>
      </c>
      <c r="N117" s="38">
        <f>(($AP117*$AI117+$AJ117)*(1+$AQ117)*(1+$AR117)+($AU117*IF($G$1="鸣金",$AK117,$AI117)+IF($G$1="鸣金",$AL117*1.5,0))*(1+$AV117)*(1+$AW117)+($AY117*IF($G$1="裂石",$AK117,$AI117)+IF($G$1="裂石",$AL117*1.5,0))*(1+$AZ117)*(1+$BA117)+($BC117*IF($G$1="牵丝",$AK117,$AI117)+IF($G$1="牵丝",$AL117*1.5,0))*(1+$BD117)*(1+$BE117)+($BG117*IF($G$1="破竹",$AK117,$AI117)+IF($G$1="破竹",$AL117*1.5,0))*(1+$BH117)*(1+$BI117))*(1+$AM117)*$BN117*$Q117*(1+IF(VLOOKUP($R117,武学奇术!$A:$ZZ,30,FALSE)="回旋伞",$B$21,0))*(1+$BR117)</f>
        <v>118792.677857886</v>
      </c>
      <c r="O117" s="38">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Q117*(1+IF(VLOOKUP($R117,武学奇术!$A:$ZZ,30,FALSE)="回旋伞",$B$21,0))*(1+$BR117)</f>
        <v>78466.9982145616</v>
      </c>
      <c r="P117" s="38">
        <f>((($AO117*$AI117+$AJ117)*(1+$AQ117)*(1+$AR117)+($AT117*IF($G$1="鸣金",$AK117,$AI117)+IF($G$1="鸣金",$AL117*1.5,0))*(1+$AV117)*(1+$AW117)+($AX117*IF($G$1="裂石",$AK117,$AI117)+IF($G$1="裂石",$AL117*1.5,0))*(1+$AZ117)*(1+$BA117)+($BB117*IF($G$1="牵丝",$AK117,$AI117)+IF($G$1="牵丝",$AL117*1.5,0))*(1+$BD117)*(1+$BE117)+($BF117*IF($G$1="破竹",$AK117,$AI117)+IF($G$1="破竹",$AL117*1.5,0))*(1+$BH117)*(1+$BI117))*(1+$AM117))*$Q117*(1+IF(VLOOKUP($R117,武学奇术!$A:$ZZ,30,FALSE)="回旋伞",$B$21,0))*(1+$BR117)</f>
        <v>68939.4202380968</v>
      </c>
      <c r="Q117" s="39">
        <v>2</v>
      </c>
      <c r="R117" s="40" t="s">
        <v>108</v>
      </c>
      <c r="S117" s="40" t="s">
        <v>109</v>
      </c>
      <c r="T117" s="40" t="s">
        <v>95</v>
      </c>
      <c r="U117" s="40" t="s">
        <v>73</v>
      </c>
      <c r="V117" s="40" t="s">
        <v>72</v>
      </c>
      <c r="W117" s="40" t="s">
        <v>172</v>
      </c>
      <c r="X117" s="40" t="s">
        <v>99</v>
      </c>
      <c r="Y117" s="40" t="s">
        <v>84</v>
      </c>
      <c r="Z117" s="40" t="s">
        <v>72</v>
      </c>
      <c r="AA117" s="40" t="s">
        <v>72</v>
      </c>
      <c r="AB117" s="40" t="s">
        <v>126</v>
      </c>
      <c r="AC117" s="40" t="s">
        <v>91</v>
      </c>
      <c r="AD117" s="40" t="s">
        <v>72</v>
      </c>
      <c r="AE117" s="40" t="s">
        <v>72</v>
      </c>
      <c r="AF117" s="40" t="s">
        <v>77</v>
      </c>
      <c r="AG117" s="40" t="s">
        <v>78</v>
      </c>
      <c r="AH117" t="str">
        <f>VLOOKUP($R117,武学奇术!$A:$ZZ,25,FALSE)</f>
        <v>伞</v>
      </c>
      <c r="AI117" s="26">
        <f>VLOOKUP($R117,武学奇术!$A:$ZZ,26,FALSE)</f>
        <v>1.8084</v>
      </c>
      <c r="AJ117" s="27">
        <f>VLOOKUP($R117,武学奇术!$A:$ZZ,27,FALSE)*(1+IF(OR($AH117=$F$4,$AH117=$F$5),$B$22,0))</f>
        <v>750</v>
      </c>
      <c r="AK117" s="26">
        <f>VLOOKUP($R117,武学奇术!$A:$ZZ,28,FALSE)</f>
        <v>2.7126</v>
      </c>
      <c r="AL117" s="27">
        <f>VLOOKUP($R117,武学奇术!$A:$ZZ,29,FALSE)*(1+IF(OR($AH117=$F$4,$AH117=$F$5),$B$22,0))</f>
        <v>408</v>
      </c>
      <c r="AM117" s="26" cm="1">
        <f t="array" ref="AM117">$G$3+IFERROR(VLOOKUP($AH117,$F$4:$G$7,2,FALSE),0)+VLOOKUP($R117,武学奇术!$A:$ZZ,2,FALSE)+SUM(_xlfn.XLOOKUP($S117:$AG117,增益!$A:$A,增益!$B:$B,0))</f>
        <v>0.6541</v>
      </c>
      <c r="AN117" s="26" cm="1">
        <f t="array" ref="AN117">VLOOKUP($R117,武学奇术!$A:$ZZ,5,FALSE)+SUM(_xlfn.XLOOKUP($S117:$AG117,增益!$A:$A,增益!$E:$E,0))</f>
        <v>0</v>
      </c>
      <c r="AO117" cm="1">
        <f t="array" ref="AO117">$D$10*(1+$AN117)+VLOOKUP($R117,武学奇术!$A:$ZZ,3,FALSE)+SUM(_xlfn.XLOOKUP($S117:$AG117,增益!$A:$A,增益!$C:$C,0))-$I$2</f>
        <v>3624.6</v>
      </c>
      <c r="AP117" cm="1">
        <f t="array" ref="AP117">$E$10*(1+$AN117)+VLOOKUP($R117,武学奇术!$A:$ZZ,4,FALSE)+SUM(_xlfn.XLOOKUP($S117:$AG117,增益!$A:$A,增益!$D:$D,0))-$I$2</f>
        <v>3624.6</v>
      </c>
      <c r="AQ117" s="32" cm="1">
        <f t="array" ref="AQ117">IF($F$10-$I$3+VLOOKUP($R117,武学奇术!$A:$ZZ,6,FALSE)+SUM(_xlfn.XLOOKUP(S117:AG117,增益!$A:$A,增益!$F:$F,0))&gt;0,($F$10-$I$3+VLOOKUP($R117,武学奇术!$A:$ZZ,6,FALSE)+SUM(_xlfn.XLOOKUP(S117:AG117,增益!$A:$A,增益!$F:$F,0)))/200,($F$10-$I$3+VLOOKUP($R117,武学奇术!$A:$ZZ,6,FALSE)+SUM(_xlfn.XLOOKUP(S117:AG117,增益!$A:$A,增益!$F:$F,0)))/100)</f>
        <v>0.3425</v>
      </c>
      <c r="AR117" s="32" cm="1">
        <f t="array" ref="AR117">$G$10+VLOOKUP($R117,武学奇术!$A:$ZZ,7,FALSE)+SUM(_xlfn.XLOOKUP(S117:AG117,增益!$A:$A,增益!$G:$G,0))</f>
        <v>0.148</v>
      </c>
      <c r="AS117" s="26" cm="1">
        <f t="array" ref="AS117">VLOOKUP($R117,武学奇术!$A:$ZZ,8,FALSE)+SUM(_xlfn.XLOOKUP(S117:AG117,增益!$A:$A,增益!$H:$H,0))</f>
        <v>0</v>
      </c>
      <c r="AT117">
        <f t="shared" si="52"/>
        <v>0</v>
      </c>
      <c r="AU117">
        <f t="shared" si="53"/>
        <v>0</v>
      </c>
      <c r="AV117" s="32" cm="1">
        <f t="array" ref="AV117">IF($F$11-$I$4+VLOOKUP($R117,武学奇术!$A:$ZZ,9,FALSE)+SUM(_xlfn.XLOOKUP(S117:AG117,增益!$A:$A,增益!$I:$I,0))&gt;0,($F$11-$I$4+VLOOKUP($R117,武学奇术!$A:$ZZ,9,FALSE)+SUM(_xlfn.XLOOKUP(S117:AG117,增益!$A:$A,增益!$I:$I,0)))/200,($F$11-$I$4+VLOOKUP($R117,武学奇术!$A:$ZZ,9,FALSE)+SUM(_xlfn.XLOOKUP(S117:AG117,增益!$A:$A,增益!$I:$I,0)))/100)</f>
        <v>-0.14</v>
      </c>
      <c r="AW117" s="32" cm="1">
        <f t="array" ref="AW117">$G$11+VLOOKUP($R117,武学奇术!$A:$ZZ,10,FALSE)+SUM(_xlfn.XLOOKUP(S117:AG117,增益!$A:$A,增益!$J:$J,0))</f>
        <v>0</v>
      </c>
      <c r="AX117">
        <f t="shared" si="54"/>
        <v>0</v>
      </c>
      <c r="AY117">
        <f t="shared" si="55"/>
        <v>0</v>
      </c>
      <c r="AZ117" s="32" cm="1">
        <f t="array" ref="AZ117">IF($F$12-$I$4+VLOOKUP($R117,武学奇术!$A:$ZZ,11,FALSE)+SUM(_xlfn.XLOOKUP(S117:AG117,增益!$A:$A,增益!$K:$K,0))&gt;0,($F$12-$I$4+VLOOKUP($R117,武学奇术!$A:$ZZ,11,FALSE)+SUM(_xlfn.XLOOKUP(S117:AG117,增益!$A:$A,增益!$K:$K,0)))/200,($F$12-$I$4+VLOOKUP($R117,武学奇术!$A:$ZZ,11,FALSE)+SUM(_xlfn.XLOOKUP(S117:AG117,增益!$A:$A,增益!$K:$K,0)))/100)</f>
        <v>-0.14</v>
      </c>
      <c r="BA117" s="32" cm="1">
        <f t="array" ref="BA117">$G$12+VLOOKUP($R117,武学奇术!$A:$ZZ,12,FALSE)+SUM(_xlfn.XLOOKUP(S117:AG117,增益!$A:$A,增益!$L:$L,0))</f>
        <v>0</v>
      </c>
      <c r="BB117">
        <f t="shared" si="56"/>
        <v>0</v>
      </c>
      <c r="BC117">
        <f t="shared" si="57"/>
        <v>0</v>
      </c>
      <c r="BD117" s="32" cm="1">
        <f t="array" ref="BD117">IF($F$13-$I$4+VLOOKUP($R117,武学奇术!$A:$ZZ,13,FALSE)+SUM(_xlfn.XLOOKUP(S117:AG117,增益!$A:$A,增益!$M:$M,0))&gt;0,($F$13-$I$4+VLOOKUP($R117,武学奇术!$A:$ZZ,13,FALSE)+SUM(_xlfn.XLOOKUP(S117:AG117,增益!$A:$A,增益!$K:$K,0)))/200,($F$13-$I$4+VLOOKUP($R117,武学奇术!$A:$ZZ,13,FALSE)+SUM(_xlfn.XLOOKUP(S117:AG117,增益!$A:$A,增益!$M:$M,0)))/100)</f>
        <v>-0.14</v>
      </c>
      <c r="BE117" s="32" cm="1">
        <f t="array" ref="BE117">$G$13+VLOOKUP($R117,武学奇术!$A:$ZZ,14,FALSE)+SUM(_xlfn.XLOOKUP(S117:AG117,增益!$A:$A,增益!$N:$N,0))</f>
        <v>0</v>
      </c>
      <c r="BF117">
        <f t="shared" si="58"/>
        <v>571.2</v>
      </c>
      <c r="BG117">
        <f t="shared" si="59"/>
        <v>1627.8</v>
      </c>
      <c r="BH117" s="32" cm="1">
        <f t="array" ref="BH117">IF($F$14-$I$4+VLOOKUP($R117,武学奇术!$A:$ZZ,15,FALSE)+SUM(_xlfn.XLOOKUP(S117:AG117,增益!$A:$A,增益!$O:$O,0))&gt;0,($F$14-$I$4+VLOOKUP($R117,武学奇术!$A:$ZZ,15,FALSE)+SUM(_xlfn.XLOOKUP(S117:AG117,增益!$A:$A,增益!$O:$O,0)))/200,($F$14-$I$4+VLOOKUP($R117,武学奇术!$A:$ZZ,15,FALSE)+SUM(_xlfn.XLOOKUP(S117:AG117,增益!$A:$A,增益!$O:$O,0)))/100)</f>
        <v>0.08</v>
      </c>
      <c r="BI117" s="32" cm="1">
        <f t="array" ref="BI117">$G$14+VLOOKUP($R117,武学奇术!$A:$ZZ,16,FALSE)+SUM(_xlfn.XLOOKUP(S117:AG117,增益!$A:$A,增益!$P:$P,0))</f>
        <v>0.27</v>
      </c>
      <c r="BJ117" s="26">
        <f>MIN(IF(VLOOKUP($R117,武学奇术!$A:$ZZ,23,FALSE)=1,100%,$B$8),100%)</f>
        <v>0.981</v>
      </c>
      <c r="BK117" s="26" cm="1">
        <f t="array" ref="BK117">IF(VLOOKUP($R117,武学奇术!$A:$ZZ,23,FALSE)=1,100%,MIN(80%,$B$9+VLOOKUP($R117,武学奇术!$A:$ZZ,17,FALSE)+SUM(_xlfn.XLOOKUP(S117:AG117,增益!$A:$A,增益!$Q:$Q,0)))+$B$11+SUM(_xlfn.XLOOKUP(S117:AG117,增益!$A:$A,增益!$U:$U,0)))*IF(VLOOKUP($R117,武学奇术!$A:$ZZ,24,FALSE)=1,0,1)</f>
        <v>0.846</v>
      </c>
      <c r="BL117" s="26" cm="1">
        <f t="array" ref="BL117">1+$B$13+VLOOKUP($R117,武学奇术!$A:$ZZ,18,FALSE)+SUM(_xlfn.XLOOKUP(S117:AG117,增益!$A:$A,增益!$R:$R,0))</f>
        <v>2.06</v>
      </c>
      <c r="BM117" s="26" cm="1">
        <f t="array" ref="BM117">IF(VLOOKUP($R117,武学奇术!$A:$ZZ,24,FALSE)=1,100%,MIN(40%,$B$10+VLOOKUP($R117,武学奇术!$A:$ZZ,19,FALSE)+SUM(_xlfn.XLOOKUP(S117:AG117,增益!$A:$A,增益!$S:$S,0)))+$B$12+SUM(_xlfn.XLOOKUP(S117:AG117,增益!$A:$A,增益!$V:$V,0)))*IF(VLOOKUP($R117,武学奇术!$A:$ZZ,23,FALSE)=1,0,1)</f>
        <v>0.0929</v>
      </c>
      <c r="BN117" s="26" cm="1">
        <f t="array" ref="BN117">1+$B$14+VLOOKUP($R117,武学奇术!$A:$ZZ,20,FALSE)+SUM(_xlfn.XLOOKUP(S117:AG117,增益!$A:$A,增益!$T:$T,0))</f>
        <v>1.35</v>
      </c>
      <c r="BO117" s="26">
        <f t="shared" si="60"/>
        <v>0.829926</v>
      </c>
      <c r="BP117" s="26">
        <f t="shared" si="61"/>
        <v>0.0599391</v>
      </c>
      <c r="BQ117" s="26">
        <f>IF(VLOOKUP($R117,武学奇术!$A:$ZZ,22,FALSE)=1,0,(1-$BJ117))*(1-$BM117)</f>
        <v>0.0172349</v>
      </c>
      <c r="BR117" s="26" cm="1">
        <f t="array" ref="BR117">SUM(_xlfn.XLOOKUP(S117:AG117,增益!$A:$A,增益!$W:$W,0))+$I$5</f>
        <v>0.11</v>
      </c>
    </row>
    <row r="118" spans="1:70">
      <c r="A118" s="4" t="s">
        <v>183</v>
      </c>
      <c r="B118" s="87">
        <v>2</v>
      </c>
      <c r="F118" s="39"/>
      <c r="K118">
        <f>$L118*VLOOKUP($R118,武学奇术!$A:$ZZ,31,FALSE)</f>
        <v>93192.3278839914</v>
      </c>
      <c r="L118" s="38">
        <f t="shared" si="62"/>
        <v>88754.5979847537</v>
      </c>
      <c r="M118" s="38">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BL118*$Q118*(1+IF(VLOOKUP($R118,武学奇术!$A:$ZZ,30,FALSE)="回旋伞",$B$21,0))*(1+$BR118)</f>
        <v>94869.6078494428</v>
      </c>
      <c r="N118" s="38">
        <f>(($AP118*$AI118+$AJ118)*(1+$AQ118)*(1+$AR118)+($AU118*IF($G$1="鸣金",$AK118,$AI118)+IF($G$1="鸣金",$AL118*1.5,0))*(1+$AV118)*(1+$AW118)+($AY118*IF($G$1="裂石",$AK118,$AI118)+IF($G$1="裂石",$AL118*1.5,0))*(1+$AZ118)*(1+$BA118)+($BC118*IF($G$1="牵丝",$AK118,$AI118)+IF($G$1="牵丝",$AL118*1.5,0))*(1+$BD118)*(1+$BE118)+($BG118*IF($G$1="破竹",$AK118,$AI118)+IF($G$1="破竹",$AL118*1.5,0))*(1+$BH118)*(1+$BI118))*(1+$AM118)*$BN118*$Q118*(1+IF(VLOOKUP($R118,武学奇术!$A:$ZZ,30,FALSE)="回旋伞",$B$21,0))*(1+$BR118)</f>
        <v>70782.1035489839</v>
      </c>
      <c r="O118" s="38">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Q118*(1+IF(VLOOKUP($R118,武学奇术!$A:$ZZ,30,FALSE)="回旋伞",$B$21,0))*(1+$BR118)</f>
        <v>46053.2076939043</v>
      </c>
      <c r="P118" s="38">
        <f>((($AO118*$AI118+$AJ118)*(1+$AQ118)*(1+$AR118)+($AT118*IF($G$1="鸣金",$AK118,$AI118)+IF($G$1="鸣金",$AL118*1.5,0))*(1+$AV118)*(1+$AW118)+($AX118*IF($G$1="裂石",$AK118,$AI118)+IF($G$1="裂石",$AL118*1.5,0))*(1+$AZ118)*(1+$BA118)+($BB118*IF($G$1="牵丝",$AK118,$AI118)+IF($G$1="牵丝",$AL118*1.5,0))*(1+$BD118)*(1+$BE118)+($BF118*IF($G$1="破竹",$AK118,$AI118)+IF($G$1="破竹",$AL118*1.5,0))*(1+$BH118)*(1+$BI118))*(1+$AM118))*$Q118*(1+IF(VLOOKUP($R118,武学奇术!$A:$ZZ,30,FALSE)="回旋伞",$B$21,0))*(1+$BR118)</f>
        <v>39675.2275737464</v>
      </c>
      <c r="Q118" s="39">
        <v>4</v>
      </c>
      <c r="R118" s="40" t="s">
        <v>112</v>
      </c>
      <c r="S118" s="40" t="s">
        <v>109</v>
      </c>
      <c r="T118" s="40" t="s">
        <v>95</v>
      </c>
      <c r="U118" s="40" t="s">
        <v>73</v>
      </c>
      <c r="V118" s="40" t="s">
        <v>72</v>
      </c>
      <c r="W118" s="40" t="s">
        <v>172</v>
      </c>
      <c r="X118" s="40" t="s">
        <v>99</v>
      </c>
      <c r="Y118" s="40" t="s">
        <v>84</v>
      </c>
      <c r="Z118" s="40" t="s">
        <v>72</v>
      </c>
      <c r="AA118" s="40" t="s">
        <v>72</v>
      </c>
      <c r="AB118" s="40" t="s">
        <v>126</v>
      </c>
      <c r="AC118" s="40" t="s">
        <v>91</v>
      </c>
      <c r="AD118" s="40" t="s">
        <v>72</v>
      </c>
      <c r="AE118" s="40" t="s">
        <v>72</v>
      </c>
      <c r="AF118" s="40" t="s">
        <v>77</v>
      </c>
      <c r="AG118" s="40" t="s">
        <v>78</v>
      </c>
      <c r="AH118" t="str">
        <f>VLOOKUP($R118,武学奇术!$A:$ZZ,25,FALSE)</f>
        <v>伞</v>
      </c>
      <c r="AI118" s="26">
        <f>VLOOKUP($R118,武学奇术!$A:$ZZ,26,FALSE)</f>
        <v>0.54</v>
      </c>
      <c r="AJ118" s="27">
        <f>VLOOKUP($R118,武学奇术!$A:$ZZ,27,FALSE)*(1+IF(OR($AH118=$F$4,$AH118=$F$5),$B$22,0))</f>
        <v>0</v>
      </c>
      <c r="AK118" s="26">
        <f>VLOOKUP($R118,武学奇术!$A:$ZZ,28,FALSE)</f>
        <v>0.81</v>
      </c>
      <c r="AL118" s="27">
        <f>VLOOKUP($R118,武学奇术!$A:$ZZ,29,FALSE)*(1+IF(OR($AH118=$F$4,$AH118=$F$5),$B$22,0))</f>
        <v>0</v>
      </c>
      <c r="AM118" s="26" cm="1">
        <f t="array" ref="AM118">$G$3+IFERROR(VLOOKUP($AH118,$F$4:$G$7,2,FALSE),0)+VLOOKUP($R118,武学奇术!$A:$ZZ,2,FALSE)+SUM(_xlfn.XLOOKUP($S118:$AG118,增益!$A:$A,增益!$B:$B,0))</f>
        <v>0.8541</v>
      </c>
      <c r="AN118" s="26" cm="1">
        <f t="array" ref="AN118">VLOOKUP($R118,武学奇术!$A:$ZZ,5,FALSE)+SUM(_xlfn.XLOOKUP($S118:$AG118,增益!$A:$A,增益!$E:$E,0))</f>
        <v>0</v>
      </c>
      <c r="AO118" cm="1">
        <f t="array" ref="AO118">$D$10*(1+$AN118)+VLOOKUP($R118,武学奇术!$A:$ZZ,3,FALSE)+SUM(_xlfn.XLOOKUP($S118:$AG118,增益!$A:$A,增益!$C:$C,0))-$I$2</f>
        <v>3624.6</v>
      </c>
      <c r="AP118" cm="1">
        <f t="array" ref="AP118">$E$10*(1+$AN118)+VLOOKUP($R118,武学奇术!$A:$ZZ,4,FALSE)+SUM(_xlfn.XLOOKUP($S118:$AG118,增益!$A:$A,增益!$D:$D,0))-$I$2</f>
        <v>3624.6</v>
      </c>
      <c r="AQ118" s="32" cm="1">
        <f t="array" ref="AQ118">IF($F$10-$I$3+VLOOKUP($R118,武学奇术!$A:$ZZ,6,FALSE)+SUM(_xlfn.XLOOKUP(S118:AG118,增益!$A:$A,增益!$F:$F,0))&gt;0,($F$10-$I$3+VLOOKUP($R118,武学奇术!$A:$ZZ,6,FALSE)+SUM(_xlfn.XLOOKUP(S118:AG118,增益!$A:$A,增益!$F:$F,0)))/200,($F$10-$I$3+VLOOKUP($R118,武学奇术!$A:$ZZ,6,FALSE)+SUM(_xlfn.XLOOKUP(S118:AG118,增益!$A:$A,增益!$F:$F,0)))/100)</f>
        <v>0.3425</v>
      </c>
      <c r="AR118" s="32" cm="1">
        <f t="array" ref="AR118">$G$10+VLOOKUP($R118,武学奇术!$A:$ZZ,7,FALSE)+SUM(_xlfn.XLOOKUP(S118:AG118,增益!$A:$A,增益!$G:$G,0))</f>
        <v>0.148</v>
      </c>
      <c r="AS118" s="26" cm="1">
        <f t="array" ref="AS118">VLOOKUP($R118,武学奇术!$A:$ZZ,8,FALSE)+SUM(_xlfn.XLOOKUP(S118:AG118,增益!$A:$A,增益!$H:$H,0))</f>
        <v>0</v>
      </c>
      <c r="AT118">
        <f t="shared" si="52"/>
        <v>0</v>
      </c>
      <c r="AU118">
        <f t="shared" si="53"/>
        <v>0</v>
      </c>
      <c r="AV118" s="32" cm="1">
        <f t="array" ref="AV118">IF($F$11-$I$4+VLOOKUP($R118,武学奇术!$A:$ZZ,9,FALSE)+SUM(_xlfn.XLOOKUP(S118:AG118,增益!$A:$A,增益!$I:$I,0))&gt;0,($F$11-$I$4+VLOOKUP($R118,武学奇术!$A:$ZZ,9,FALSE)+SUM(_xlfn.XLOOKUP(S118:AG118,增益!$A:$A,增益!$I:$I,0)))/200,($F$11-$I$4+VLOOKUP($R118,武学奇术!$A:$ZZ,9,FALSE)+SUM(_xlfn.XLOOKUP(S118:AG118,增益!$A:$A,增益!$I:$I,0)))/100)</f>
        <v>-0.14</v>
      </c>
      <c r="AW118" s="32" cm="1">
        <f t="array" ref="AW118">$G$11+VLOOKUP($R118,武学奇术!$A:$ZZ,10,FALSE)+SUM(_xlfn.XLOOKUP(S118:AG118,增益!$A:$A,增益!$J:$J,0))</f>
        <v>0</v>
      </c>
      <c r="AX118">
        <f t="shared" si="54"/>
        <v>0</v>
      </c>
      <c r="AY118">
        <f t="shared" si="55"/>
        <v>0</v>
      </c>
      <c r="AZ118" s="32" cm="1">
        <f t="array" ref="AZ118">IF($F$12-$I$4+VLOOKUP($R118,武学奇术!$A:$ZZ,11,FALSE)+SUM(_xlfn.XLOOKUP(S118:AG118,增益!$A:$A,增益!$K:$K,0))&gt;0,($F$12-$I$4+VLOOKUP($R118,武学奇术!$A:$ZZ,11,FALSE)+SUM(_xlfn.XLOOKUP(S118:AG118,增益!$A:$A,增益!$K:$K,0)))/200,($F$12-$I$4+VLOOKUP($R118,武学奇术!$A:$ZZ,11,FALSE)+SUM(_xlfn.XLOOKUP(S118:AG118,增益!$A:$A,增益!$K:$K,0)))/100)</f>
        <v>-0.14</v>
      </c>
      <c r="BA118" s="32" cm="1">
        <f t="array" ref="BA118">$G$12+VLOOKUP($R118,武学奇术!$A:$ZZ,12,FALSE)+SUM(_xlfn.XLOOKUP(S118:AG118,增益!$A:$A,增益!$L:$L,0))</f>
        <v>0</v>
      </c>
      <c r="BB118">
        <f t="shared" si="56"/>
        <v>0</v>
      </c>
      <c r="BC118">
        <f t="shared" si="57"/>
        <v>0</v>
      </c>
      <c r="BD118" s="32" cm="1">
        <f t="array" ref="BD118">IF($F$13-$I$4+VLOOKUP($R118,武学奇术!$A:$ZZ,13,FALSE)+SUM(_xlfn.XLOOKUP(S118:AG118,增益!$A:$A,增益!$M:$M,0))&gt;0,($F$13-$I$4+VLOOKUP($R118,武学奇术!$A:$ZZ,13,FALSE)+SUM(_xlfn.XLOOKUP(S118:AG118,增益!$A:$A,增益!$K:$K,0)))/200,($F$13-$I$4+VLOOKUP($R118,武学奇术!$A:$ZZ,13,FALSE)+SUM(_xlfn.XLOOKUP(S118:AG118,增益!$A:$A,增益!$M:$M,0)))/100)</f>
        <v>-0.14</v>
      </c>
      <c r="BE118" s="32" cm="1">
        <f t="array" ref="BE118">$G$13+VLOOKUP($R118,武学奇术!$A:$ZZ,14,FALSE)+SUM(_xlfn.XLOOKUP(S118:AG118,增益!$A:$A,增益!$N:$N,0))</f>
        <v>0</v>
      </c>
      <c r="BF118">
        <f t="shared" si="58"/>
        <v>571.2</v>
      </c>
      <c r="BG118">
        <f t="shared" si="59"/>
        <v>1627.8</v>
      </c>
      <c r="BH118" s="32" cm="1">
        <f t="array" ref="BH118">IF($F$14-$I$4+VLOOKUP($R118,武学奇术!$A:$ZZ,15,FALSE)+SUM(_xlfn.XLOOKUP(S118:AG118,增益!$A:$A,增益!$O:$O,0))&gt;0,($F$14-$I$4+VLOOKUP($R118,武学奇术!$A:$ZZ,15,FALSE)+SUM(_xlfn.XLOOKUP(S118:AG118,增益!$A:$A,增益!$O:$O,0)))/200,($F$14-$I$4+VLOOKUP($R118,武学奇术!$A:$ZZ,15,FALSE)+SUM(_xlfn.XLOOKUP(S118:AG118,增益!$A:$A,增益!$O:$O,0)))/100)</f>
        <v>0.08</v>
      </c>
      <c r="BI118" s="32" cm="1">
        <f t="array" ref="BI118">$G$14+VLOOKUP($R118,武学奇术!$A:$ZZ,16,FALSE)+SUM(_xlfn.XLOOKUP(S118:AG118,增益!$A:$A,增益!$P:$P,0))</f>
        <v>0.27</v>
      </c>
      <c r="BJ118" s="26">
        <f>MIN(IF(VLOOKUP($R118,武学奇术!$A:$ZZ,23,FALSE)=1,100%,$B$8),100%)</f>
        <v>0.981</v>
      </c>
      <c r="BK118" s="26" cm="1">
        <f t="array" ref="BK118">IF(VLOOKUP($R118,武学奇术!$A:$ZZ,23,FALSE)=1,100%,MIN(80%,$B$9+VLOOKUP($R118,武学奇术!$A:$ZZ,17,FALSE)+SUM(_xlfn.XLOOKUP(S118:AG118,增益!$A:$A,增益!$Q:$Q,0)))+$B$11+SUM(_xlfn.XLOOKUP(S118:AG118,增益!$A:$A,增益!$U:$U,0)))*IF(VLOOKUP($R118,武学奇术!$A:$ZZ,24,FALSE)=1,0,1)</f>
        <v>0.846</v>
      </c>
      <c r="BL118" s="26" cm="1">
        <f t="array" ref="BL118">1+$B$13+VLOOKUP($R118,武学奇术!$A:$ZZ,18,FALSE)+SUM(_xlfn.XLOOKUP(S118:AG118,增益!$A:$A,增益!$R:$R,0))</f>
        <v>2.06</v>
      </c>
      <c r="BM118" s="26" cm="1">
        <f t="array" ref="BM118">IF(VLOOKUP($R118,武学奇术!$A:$ZZ,24,FALSE)=1,100%,MIN(40%,$B$10+VLOOKUP($R118,武学奇术!$A:$ZZ,19,FALSE)+SUM(_xlfn.XLOOKUP(S118:AG118,增益!$A:$A,增益!$S:$S,0)))+$B$12+SUM(_xlfn.XLOOKUP(S118:AG118,增益!$A:$A,增益!$V:$V,0)))*IF(VLOOKUP($R118,武学奇术!$A:$ZZ,23,FALSE)=1,0,1)</f>
        <v>0.0929</v>
      </c>
      <c r="BN118" s="26" cm="1">
        <f t="array" ref="BN118">1+$B$14+VLOOKUP($R118,武学奇术!$A:$ZZ,20,FALSE)+SUM(_xlfn.XLOOKUP(S118:AG118,增益!$A:$A,增益!$T:$T,0))</f>
        <v>1.35</v>
      </c>
      <c r="BO118" s="26">
        <f t="shared" si="60"/>
        <v>0.829926</v>
      </c>
      <c r="BP118" s="26">
        <f t="shared" si="61"/>
        <v>0.0599391</v>
      </c>
      <c r="BQ118" s="26">
        <f>IF(VLOOKUP($R118,武学奇术!$A:$ZZ,22,FALSE)=1,0,(1-$BJ118))*(1-$BM118)</f>
        <v>0.0172349</v>
      </c>
      <c r="BR118" s="26" cm="1">
        <f t="array" ref="BR118">SUM(_xlfn.XLOOKUP(S118:AG118,增益!$A:$A,增益!$W:$W,0))+$I$5</f>
        <v>0.11</v>
      </c>
    </row>
    <row r="119" spans="1:70">
      <c r="A119" s="4" t="s">
        <v>184</v>
      </c>
      <c r="B119" s="87">
        <v>1.7</v>
      </c>
      <c r="F119" s="39"/>
      <c r="K119">
        <f>$L119*VLOOKUP($R119,武学奇术!$A:$ZZ,31,FALSE)</f>
        <v>190245.744263192</v>
      </c>
      <c r="L119" s="38">
        <f t="shared" si="62"/>
        <v>181186.423107801</v>
      </c>
      <c r="M119" s="38">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BL119*$Q119*(1+IF(VLOOKUP($R119,武学奇术!$A:$ZZ,30,FALSE)="回旋伞",$B$21,0))*(1+$BR119)</f>
        <v>181186.423107801</v>
      </c>
      <c r="N119" s="38">
        <f>(($AP119*$AI119+$AJ119)*(1+$AQ119)*(1+$AR119)+($AU119*IF($G$1="鸣金",$AK119,$AI119)+IF($G$1="鸣金",$AL119*1.5,0))*(1+$AV119)*(1+$AW119)+($AY119*IF($G$1="裂石",$AK119,$AI119)+IF($G$1="裂石",$AL119*1.5,0))*(1+$AZ119)*(1+$BA119)+($BC119*IF($G$1="牵丝",$AK119,$AI119)+IF($G$1="牵丝",$AL119*1.5,0))*(1+$BD119)*(1+$BE119)+($BG119*IF($G$1="破竹",$AK119,$AI119)+IF($G$1="破竹",$AL119*1.5,0))*(1+$BH119)*(1+$BI119))*(1+$AM119)*$BN119*$Q119*(1+IF(VLOOKUP($R119,武学奇术!$A:$ZZ,30,FALSE)="回旋伞",$B$21,0))*(1+$BR119)</f>
        <v>133156.099399254</v>
      </c>
      <c r="O119" s="38">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Q119*(1+IF(VLOOKUP($R119,武学奇术!$A:$ZZ,30,FALSE)="回旋伞",$B$21,0))*(1+$BR119)</f>
        <v>87954.5743241755</v>
      </c>
      <c r="P119" s="38">
        <f>((($AO119*$AI119+$AJ119)*(1+$AQ119)*(1+$AR119)+($AT119*IF($G$1="鸣金",$AK119,$AI119)+IF($G$1="鸣金",$AL119*1.5,0))*(1+$AV119)*(1+$AW119)+($AX119*IF($G$1="裂石",$AK119,$AI119)+IF($G$1="裂石",$AL119*1.5,0))*(1+$AZ119)*(1+$BA119)+($BB119*IF($G$1="牵丝",$AK119,$AI119)+IF($G$1="牵丝",$AL119*1.5,0))*(1+$BD119)*(1+$BE119)+($BF119*IF($G$1="破竹",$AK119,$AI119)+IF($G$1="破竹",$AL119*1.5,0))*(1+$BH119)*(1+$BI119))*(1+$AM119))*$Q119*(1+IF(VLOOKUP($R119,武学奇术!$A:$ZZ,30,FALSE)="回旋伞",$B$21,0))*(1+$BR119)</f>
        <v>77275.0009452</v>
      </c>
      <c r="Q119" s="39">
        <v>2</v>
      </c>
      <c r="R119" s="40" t="s">
        <v>125</v>
      </c>
      <c r="S119" s="40" t="s">
        <v>109</v>
      </c>
      <c r="T119" s="40" t="s">
        <v>95</v>
      </c>
      <c r="U119" s="40" t="s">
        <v>73</v>
      </c>
      <c r="V119" s="40" t="s">
        <v>72</v>
      </c>
      <c r="W119" s="40" t="s">
        <v>172</v>
      </c>
      <c r="X119" s="40" t="s">
        <v>99</v>
      </c>
      <c r="Y119" s="40" t="s">
        <v>84</v>
      </c>
      <c r="Z119" s="40" t="s">
        <v>72</v>
      </c>
      <c r="AA119" s="40" t="s">
        <v>72</v>
      </c>
      <c r="AB119" s="40" t="s">
        <v>126</v>
      </c>
      <c r="AC119" s="40" t="s">
        <v>85</v>
      </c>
      <c r="AD119" s="40" t="s">
        <v>72</v>
      </c>
      <c r="AE119" s="40" t="s">
        <v>72</v>
      </c>
      <c r="AF119" s="40" t="s">
        <v>77</v>
      </c>
      <c r="AG119" s="40" t="s">
        <v>78</v>
      </c>
      <c r="AH119" t="str">
        <f>VLOOKUP($R119,武学奇术!$A:$ZZ,25,FALSE)</f>
        <v>伞</v>
      </c>
      <c r="AI119" s="26">
        <f>VLOOKUP($R119,武学奇术!$A:$ZZ,26,FALSE)</f>
        <v>1.8084</v>
      </c>
      <c r="AJ119" s="27">
        <f>VLOOKUP($R119,武学奇术!$A:$ZZ,27,FALSE)*(1+IF(OR($AH119=$F$4,$AH119=$F$5),$B$22,0))</f>
        <v>750</v>
      </c>
      <c r="AK119" s="26">
        <f>VLOOKUP($R119,武学奇术!$A:$ZZ,28,FALSE)</f>
        <v>2.7126</v>
      </c>
      <c r="AL119" s="27">
        <f>VLOOKUP($R119,武学奇术!$A:$ZZ,29,FALSE)*(1+IF(OR($AH119=$F$4,$AH119=$F$5),$B$22,0))</f>
        <v>408</v>
      </c>
      <c r="AM119" s="26" cm="1">
        <f t="array" ref="AM119">$G$3+IFERROR(VLOOKUP($AH119,$F$4:$G$7,2,FALSE),0)+VLOOKUP($R119,武学奇术!$A:$ZZ,2,FALSE)+SUM(_xlfn.XLOOKUP($S119:$AG119,增益!$A:$A,增益!$B:$B,0))</f>
        <v>0.8541</v>
      </c>
      <c r="AN119" s="26" cm="1">
        <f t="array" ref="AN119">VLOOKUP($R119,武学奇术!$A:$ZZ,5,FALSE)+SUM(_xlfn.XLOOKUP($S119:$AG119,增益!$A:$A,增益!$E:$E,0))</f>
        <v>0</v>
      </c>
      <c r="AO119" cm="1">
        <f t="array" ref="AO119">$D$10*(1+$AN119)+VLOOKUP($R119,武学奇术!$A:$ZZ,3,FALSE)+SUM(_xlfn.XLOOKUP($S119:$AG119,增益!$A:$A,增益!$C:$C,0))-$I$2</f>
        <v>3624.6</v>
      </c>
      <c r="AP119" cm="1">
        <f t="array" ref="AP119">$E$10*(1+$AN119)+VLOOKUP($R119,武学奇术!$A:$ZZ,4,FALSE)+SUM(_xlfn.XLOOKUP($S119:$AG119,增益!$A:$A,增益!$D:$D,0))-$I$2</f>
        <v>3624.6</v>
      </c>
      <c r="AQ119" s="32" cm="1">
        <f t="array" ref="AQ119">IF($F$10-$I$3+VLOOKUP($R119,武学奇术!$A:$ZZ,6,FALSE)+SUM(_xlfn.XLOOKUP(S119:AG119,增益!$A:$A,增益!$F:$F,0))&gt;0,($F$10-$I$3+VLOOKUP($R119,武学奇术!$A:$ZZ,6,FALSE)+SUM(_xlfn.XLOOKUP(S119:AG119,增益!$A:$A,增益!$F:$F,0)))/200,($F$10-$I$3+VLOOKUP($R119,武学奇术!$A:$ZZ,6,FALSE)+SUM(_xlfn.XLOOKUP(S119:AG119,增益!$A:$A,增益!$F:$F,0)))/100)</f>
        <v>0.3425</v>
      </c>
      <c r="AR119" s="32" cm="1">
        <f t="array" ref="AR119">$G$10+VLOOKUP($R119,武学奇术!$A:$ZZ,7,FALSE)+SUM(_xlfn.XLOOKUP(S119:AG119,增益!$A:$A,增益!$G:$G,0))</f>
        <v>0.148</v>
      </c>
      <c r="AS119" s="26" cm="1">
        <f t="array" ref="AS119">VLOOKUP($R119,武学奇术!$A:$ZZ,8,FALSE)+SUM(_xlfn.XLOOKUP(S119:AG119,增益!$A:$A,增益!$H:$H,0))</f>
        <v>0</v>
      </c>
      <c r="AT119">
        <f t="shared" si="52"/>
        <v>0</v>
      </c>
      <c r="AU119">
        <f t="shared" si="53"/>
        <v>0</v>
      </c>
      <c r="AV119" s="32" cm="1">
        <f t="array" ref="AV119">IF($F$11-$I$4+VLOOKUP($R119,武学奇术!$A:$ZZ,9,FALSE)+SUM(_xlfn.XLOOKUP(S119:AG119,增益!$A:$A,增益!$I:$I,0))&gt;0,($F$11-$I$4+VLOOKUP($R119,武学奇术!$A:$ZZ,9,FALSE)+SUM(_xlfn.XLOOKUP(S119:AG119,增益!$A:$A,增益!$I:$I,0)))/200,($F$11-$I$4+VLOOKUP($R119,武学奇术!$A:$ZZ,9,FALSE)+SUM(_xlfn.XLOOKUP(S119:AG119,增益!$A:$A,增益!$I:$I,0)))/100)</f>
        <v>-0.14</v>
      </c>
      <c r="AW119" s="32" cm="1">
        <f t="array" ref="AW119">$G$11+VLOOKUP($R119,武学奇术!$A:$ZZ,10,FALSE)+SUM(_xlfn.XLOOKUP(S119:AG119,增益!$A:$A,增益!$J:$J,0))</f>
        <v>0</v>
      </c>
      <c r="AX119">
        <f t="shared" si="54"/>
        <v>0</v>
      </c>
      <c r="AY119">
        <f t="shared" si="55"/>
        <v>0</v>
      </c>
      <c r="AZ119" s="32" cm="1">
        <f t="array" ref="AZ119">IF($F$12-$I$4+VLOOKUP($R119,武学奇术!$A:$ZZ,11,FALSE)+SUM(_xlfn.XLOOKUP(S119:AG119,增益!$A:$A,增益!$K:$K,0))&gt;0,($F$12-$I$4+VLOOKUP($R119,武学奇术!$A:$ZZ,11,FALSE)+SUM(_xlfn.XLOOKUP(S119:AG119,增益!$A:$A,增益!$K:$K,0)))/200,($F$12-$I$4+VLOOKUP($R119,武学奇术!$A:$ZZ,11,FALSE)+SUM(_xlfn.XLOOKUP(S119:AG119,增益!$A:$A,增益!$K:$K,0)))/100)</f>
        <v>-0.14</v>
      </c>
      <c r="BA119" s="32" cm="1">
        <f t="array" ref="BA119">$G$12+VLOOKUP($R119,武学奇术!$A:$ZZ,12,FALSE)+SUM(_xlfn.XLOOKUP(S119:AG119,增益!$A:$A,增益!$L:$L,0))</f>
        <v>0</v>
      </c>
      <c r="BB119">
        <f t="shared" si="56"/>
        <v>0</v>
      </c>
      <c r="BC119">
        <f t="shared" si="57"/>
        <v>0</v>
      </c>
      <c r="BD119" s="32" cm="1">
        <f t="array" ref="BD119">IF($F$13-$I$4+VLOOKUP($R119,武学奇术!$A:$ZZ,13,FALSE)+SUM(_xlfn.XLOOKUP(S119:AG119,增益!$A:$A,增益!$M:$M,0))&gt;0,($F$13-$I$4+VLOOKUP($R119,武学奇术!$A:$ZZ,13,FALSE)+SUM(_xlfn.XLOOKUP(S119:AG119,增益!$A:$A,增益!$K:$K,0)))/200,($F$13-$I$4+VLOOKUP($R119,武学奇术!$A:$ZZ,13,FALSE)+SUM(_xlfn.XLOOKUP(S119:AG119,增益!$A:$A,增益!$M:$M,0)))/100)</f>
        <v>-0.14</v>
      </c>
      <c r="BE119" s="32" cm="1">
        <f t="array" ref="BE119">$G$13+VLOOKUP($R119,武学奇术!$A:$ZZ,14,FALSE)+SUM(_xlfn.XLOOKUP(S119:AG119,增益!$A:$A,增益!$N:$N,0))</f>
        <v>0</v>
      </c>
      <c r="BF119">
        <f t="shared" si="58"/>
        <v>571.2</v>
      </c>
      <c r="BG119">
        <f t="shared" si="59"/>
        <v>1627.8</v>
      </c>
      <c r="BH119" s="32" cm="1">
        <f t="array" ref="BH119">IF($F$14-$I$4+VLOOKUP($R119,武学奇术!$A:$ZZ,15,FALSE)+SUM(_xlfn.XLOOKUP(S119:AG119,增益!$A:$A,增益!$O:$O,0))&gt;0,($F$14-$I$4+VLOOKUP($R119,武学奇术!$A:$ZZ,15,FALSE)+SUM(_xlfn.XLOOKUP(S119:AG119,增益!$A:$A,增益!$O:$O,0)))/200,($F$14-$I$4+VLOOKUP($R119,武学奇术!$A:$ZZ,15,FALSE)+SUM(_xlfn.XLOOKUP(S119:AG119,增益!$A:$A,增益!$O:$O,0)))/100)</f>
        <v>0.08</v>
      </c>
      <c r="BI119" s="32" cm="1">
        <f t="array" ref="BI119">$G$14+VLOOKUP($R119,武学奇术!$A:$ZZ,16,FALSE)+SUM(_xlfn.XLOOKUP(S119:AG119,增益!$A:$A,增益!$P:$P,0))</f>
        <v>0.27</v>
      </c>
      <c r="BJ119" s="26">
        <f>MIN(IF(VLOOKUP($R119,武学奇术!$A:$ZZ,23,FALSE)=1,100%,$B$8),100%)</f>
        <v>1</v>
      </c>
      <c r="BK119" s="26" cm="1">
        <f t="array" ref="BK119">IF(VLOOKUP($R119,武学奇术!$A:$ZZ,23,FALSE)=1,100%,MIN(80%,$B$9+VLOOKUP($R119,武学奇术!$A:$ZZ,17,FALSE)+SUM(_xlfn.XLOOKUP(S119:AG119,增益!$A:$A,增益!$Q:$Q,0)))+$B$11+SUM(_xlfn.XLOOKUP(S119:AG119,增益!$A:$A,增益!$U:$U,0)))*IF(VLOOKUP($R119,武学奇术!$A:$ZZ,24,FALSE)=1,0,1)</f>
        <v>1</v>
      </c>
      <c r="BL119" s="26" cm="1">
        <f t="array" ref="BL119">1+$B$13+VLOOKUP($R119,武学奇术!$A:$ZZ,18,FALSE)+SUM(_xlfn.XLOOKUP(S119:AG119,增益!$A:$A,增益!$R:$R,0))</f>
        <v>2.06</v>
      </c>
      <c r="BM119" s="26" cm="1">
        <f t="array" ref="BM119">IF(VLOOKUP($R119,武学奇术!$A:$ZZ,24,FALSE)=1,100%,MIN(40%,$B$10+VLOOKUP($R119,武学奇术!$A:$ZZ,19,FALSE)+SUM(_xlfn.XLOOKUP(S119:AG119,增益!$A:$A,增益!$S:$S,0)))+$B$12+SUM(_xlfn.XLOOKUP(S119:AG119,增益!$A:$A,增益!$V:$V,0)))*IF(VLOOKUP($R119,武学奇术!$A:$ZZ,23,FALSE)=1,0,1)</f>
        <v>0</v>
      </c>
      <c r="BN119" s="26" cm="1">
        <f t="array" ref="BN119">1+$B$14+VLOOKUP($R119,武学奇术!$A:$ZZ,20,FALSE)+SUM(_xlfn.XLOOKUP(S119:AG119,增益!$A:$A,增益!$T:$T,0))</f>
        <v>1.35</v>
      </c>
      <c r="BO119" s="26">
        <f t="shared" si="60"/>
        <v>1</v>
      </c>
      <c r="BP119" s="26">
        <f t="shared" si="61"/>
        <v>0</v>
      </c>
      <c r="BQ119" s="26">
        <f>IF(VLOOKUP($R119,武学奇术!$A:$ZZ,22,FALSE)=1,0,(1-$BJ119))*(1-$BM119)</f>
        <v>0</v>
      </c>
      <c r="BR119" s="26" cm="1">
        <f t="array" ref="BR119">SUM(_xlfn.XLOOKUP(S119:AG119,增益!$A:$A,增益!$W:$W,0))+$I$5</f>
        <v>0.11</v>
      </c>
    </row>
    <row r="120" spans="1:70">
      <c r="A120" s="4"/>
      <c r="B120" s="87"/>
      <c r="K120">
        <f>$L120*VLOOKUP($R120,武学奇术!$A:$ZZ,31,FALSE)</f>
        <v>82768.6928527524</v>
      </c>
      <c r="L120" s="38">
        <f t="shared" si="62"/>
        <v>78827.3265264308</v>
      </c>
      <c r="M120" s="38">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BL120*$Q120*(1+IF(VLOOKUP($R120,武学奇术!$A:$ZZ,30,FALSE)="回旋伞",$B$21,0))*(1+$BR120)</f>
        <v>78827.3265264308</v>
      </c>
      <c r="N120" s="38">
        <f>(($AP120*$AI120+$AJ120)*(1+$AQ120)*(1+$AR120)+($AU120*IF($G$1="鸣金",$AK120,$AI120)+IF($G$1="鸣金",$AL120*1.5,0))*(1+$AV120)*(1+$AW120)+($AY120*IF($G$1="裂石",$AK120,$AI120)+IF($G$1="裂石",$AL120*1.5,0))*(1+$AZ120)*(1+$BA120)+($BC120*IF($G$1="牵丝",$AK120,$AI120)+IF($G$1="牵丝",$AL120*1.5,0))*(1+$BD120)*(1+$BE120)+($BG120*IF($G$1="破竹",$AK120,$AI120)+IF($G$1="破竹",$AL120*1.5,0))*(1+$BH120)*(1+$BI120))*(1+$AM120)*$BN120*$Q120*(1+IF(VLOOKUP($R120,武学奇术!$A:$ZZ,30,FALSE)="回旋伞",$B$21,0))*(1+$BR120)</f>
        <v>58812.9762013785</v>
      </c>
      <c r="O120" s="38">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Q120*(1+IF(VLOOKUP($R120,武学奇术!$A:$ZZ,30,FALSE)="回旋伞",$B$21,0))*(1+$BR120)</f>
        <v>38265.6924885586</v>
      </c>
      <c r="P120" s="38">
        <f>((($AO120*$AI120+$AJ120)*(1+$AQ120)*(1+$AR120)+($AT120*IF($G$1="鸣金",$AK120,$AI120)+IF($G$1="鸣金",$AL120*1.5,0))*(1+$AV120)*(1+$AW120)+($AX120*IF($G$1="裂石",$AK120,$AI120)+IF($G$1="裂石",$AL120*1.5,0))*(1+$AZ120)*(1+$BA120)+($BB120*IF($G$1="牵丝",$AK120,$AI120)+IF($G$1="牵丝",$AL120*1.5,0))*(1+$BD120)*(1+$BE120)+($BF120*IF($G$1="破竹",$AK120,$AI120)+IF($G$1="破竹",$AL120*1.5,0))*(1+$BH120)*(1+$BI120))*(1+$AM120))*$Q120*(1+IF(VLOOKUP($R120,武学奇术!$A:$ZZ,30,FALSE)="回旋伞",$B$21,0))*(1+$BR120)</f>
        <v>32966.2174205406</v>
      </c>
      <c r="Q120" s="39">
        <v>3</v>
      </c>
      <c r="R120" s="40" t="s">
        <v>132</v>
      </c>
      <c r="S120" s="40" t="s">
        <v>109</v>
      </c>
      <c r="T120" s="40" t="s">
        <v>95</v>
      </c>
      <c r="U120" s="40" t="s">
        <v>73</v>
      </c>
      <c r="V120" s="40" t="s">
        <v>72</v>
      </c>
      <c r="W120" s="40" t="s">
        <v>172</v>
      </c>
      <c r="X120" s="40" t="s">
        <v>99</v>
      </c>
      <c r="Y120" s="40" t="s">
        <v>84</v>
      </c>
      <c r="Z120" s="40" t="s">
        <v>72</v>
      </c>
      <c r="AA120" s="40" t="s">
        <v>72</v>
      </c>
      <c r="AB120" s="40" t="s">
        <v>126</v>
      </c>
      <c r="AC120" s="40" t="s">
        <v>85</v>
      </c>
      <c r="AD120" s="40" t="s">
        <v>72</v>
      </c>
      <c r="AE120" s="40" t="s">
        <v>72</v>
      </c>
      <c r="AF120" s="40" t="s">
        <v>77</v>
      </c>
      <c r="AG120" s="40" t="s">
        <v>78</v>
      </c>
      <c r="AH120" t="str">
        <f>VLOOKUP($R120,武学奇术!$A:$ZZ,25,FALSE)</f>
        <v>伞</v>
      </c>
      <c r="AI120" s="26">
        <f>VLOOKUP($R120,武学奇术!$A:$ZZ,26,FALSE)</f>
        <v>0.54</v>
      </c>
      <c r="AJ120" s="27">
        <f>VLOOKUP($R120,武学奇术!$A:$ZZ,27,FALSE)*(1+IF(OR($AH120=$F$4,$AH120=$F$5),$B$22,0))</f>
        <v>0</v>
      </c>
      <c r="AK120" s="26">
        <f>VLOOKUP($R120,武学奇术!$A:$ZZ,28,FALSE)</f>
        <v>0.81</v>
      </c>
      <c r="AL120" s="27">
        <f>VLOOKUP($R120,武学奇术!$A:$ZZ,29,FALSE)*(1+IF(OR($AH120=$F$4,$AH120=$F$5),$B$22,0))</f>
        <v>0</v>
      </c>
      <c r="AM120" s="26" cm="1">
        <f t="array" ref="AM120">$G$3+IFERROR(VLOOKUP($AH120,$F$4:$G$7,2,FALSE),0)+VLOOKUP($R120,武学奇术!$A:$ZZ,2,FALSE)+SUM(_xlfn.XLOOKUP($S120:$AG120,增益!$A:$A,增益!$B:$B,0))</f>
        <v>1.0541</v>
      </c>
      <c r="AN120" s="26" cm="1">
        <f t="array" ref="AN120">VLOOKUP($R120,武学奇术!$A:$ZZ,5,FALSE)+SUM(_xlfn.XLOOKUP($S120:$AG120,增益!$A:$A,增益!$E:$E,0))</f>
        <v>0</v>
      </c>
      <c r="AO120" cm="1">
        <f t="array" ref="AO120">$D$10*(1+$AN120)+VLOOKUP($R120,武学奇术!$A:$ZZ,3,FALSE)+SUM(_xlfn.XLOOKUP($S120:$AG120,增益!$A:$A,增益!$C:$C,0))-$I$2</f>
        <v>3624.6</v>
      </c>
      <c r="AP120" cm="1">
        <f t="array" ref="AP120">$E$10*(1+$AN120)+VLOOKUP($R120,武学奇术!$A:$ZZ,4,FALSE)+SUM(_xlfn.XLOOKUP($S120:$AG120,增益!$A:$A,增益!$D:$D,0))-$I$2</f>
        <v>3624.6</v>
      </c>
      <c r="AQ120" s="32" cm="1">
        <f t="array" ref="AQ120">IF($F$10-$I$3+VLOOKUP($R120,武学奇术!$A:$ZZ,6,FALSE)+SUM(_xlfn.XLOOKUP(S120:AG120,增益!$A:$A,增益!$F:$F,0))&gt;0,($F$10-$I$3+VLOOKUP($R120,武学奇术!$A:$ZZ,6,FALSE)+SUM(_xlfn.XLOOKUP(S120:AG120,增益!$A:$A,增益!$F:$F,0)))/200,($F$10-$I$3+VLOOKUP($R120,武学奇术!$A:$ZZ,6,FALSE)+SUM(_xlfn.XLOOKUP(S120:AG120,增益!$A:$A,增益!$F:$F,0)))/100)</f>
        <v>0.3425</v>
      </c>
      <c r="AR120" s="32" cm="1">
        <f t="array" ref="AR120">$G$10+VLOOKUP($R120,武学奇术!$A:$ZZ,7,FALSE)+SUM(_xlfn.XLOOKUP(S120:AG120,增益!$A:$A,增益!$G:$G,0))</f>
        <v>0.148</v>
      </c>
      <c r="AS120" s="26" cm="1">
        <f t="array" ref="AS120">VLOOKUP($R120,武学奇术!$A:$ZZ,8,FALSE)+SUM(_xlfn.XLOOKUP(S120:AG120,增益!$A:$A,增益!$H:$H,0))</f>
        <v>0</v>
      </c>
      <c r="AT120">
        <f t="shared" ref="AT120:AT126" si="63">$D$11*(1+$AS120)</f>
        <v>0</v>
      </c>
      <c r="AU120">
        <f t="shared" ref="AU120:AU126" si="64">$E$11*(1+$AS120)</f>
        <v>0</v>
      </c>
      <c r="AV120" s="32" cm="1">
        <f t="array" ref="AV120">IF($F$11-$I$4+VLOOKUP($R120,武学奇术!$A:$ZZ,9,FALSE)+SUM(_xlfn.XLOOKUP(S120:AG120,增益!$A:$A,增益!$I:$I,0))&gt;0,($F$11-$I$4+VLOOKUP($R120,武学奇术!$A:$ZZ,9,FALSE)+SUM(_xlfn.XLOOKUP(S120:AG120,增益!$A:$A,增益!$I:$I,0)))/200,($F$11-$I$4+VLOOKUP($R120,武学奇术!$A:$ZZ,9,FALSE)+SUM(_xlfn.XLOOKUP(S120:AG120,增益!$A:$A,增益!$I:$I,0)))/100)</f>
        <v>-0.14</v>
      </c>
      <c r="AW120" s="32" cm="1">
        <f t="array" ref="AW120">$G$11+VLOOKUP($R120,武学奇术!$A:$ZZ,10,FALSE)+SUM(_xlfn.XLOOKUP(S120:AG120,增益!$A:$A,增益!$J:$J,0))</f>
        <v>0</v>
      </c>
      <c r="AX120">
        <f t="shared" ref="AX120:AX126" si="65">$D$12*(1+$AS120)</f>
        <v>0</v>
      </c>
      <c r="AY120">
        <f t="shared" ref="AY120:AY126" si="66">$E$12*(1+$AS120)</f>
        <v>0</v>
      </c>
      <c r="AZ120" s="32" cm="1">
        <f t="array" ref="AZ120">IF($F$12-$I$4+VLOOKUP($R120,武学奇术!$A:$ZZ,11,FALSE)+SUM(_xlfn.XLOOKUP(S120:AG120,增益!$A:$A,增益!$K:$K,0))&gt;0,($F$12-$I$4+VLOOKUP($R120,武学奇术!$A:$ZZ,11,FALSE)+SUM(_xlfn.XLOOKUP(S120:AG120,增益!$A:$A,增益!$K:$K,0)))/200,($F$12-$I$4+VLOOKUP($R120,武学奇术!$A:$ZZ,11,FALSE)+SUM(_xlfn.XLOOKUP(S120:AG120,增益!$A:$A,增益!$K:$K,0)))/100)</f>
        <v>-0.14</v>
      </c>
      <c r="BA120" s="32" cm="1">
        <f t="array" ref="BA120">$G$12+VLOOKUP($R120,武学奇术!$A:$ZZ,12,FALSE)+SUM(_xlfn.XLOOKUP(S120:AG120,增益!$A:$A,增益!$L:$L,0))</f>
        <v>0</v>
      </c>
      <c r="BB120">
        <f t="shared" ref="BB120:BB126" si="67">$D$13*(1+$AS120)</f>
        <v>0</v>
      </c>
      <c r="BC120">
        <f t="shared" ref="BC120:BC126" si="68">$E$13*(1+$AS120)</f>
        <v>0</v>
      </c>
      <c r="BD120" s="32" cm="1">
        <f t="array" ref="BD120">IF($F$13-$I$4+VLOOKUP($R120,武学奇术!$A:$ZZ,13,FALSE)+SUM(_xlfn.XLOOKUP(S120:AG120,增益!$A:$A,增益!$M:$M,0))&gt;0,($F$13-$I$4+VLOOKUP($R120,武学奇术!$A:$ZZ,13,FALSE)+SUM(_xlfn.XLOOKUP(S120:AG120,增益!$A:$A,增益!$K:$K,0)))/200,($F$13-$I$4+VLOOKUP($R120,武学奇术!$A:$ZZ,13,FALSE)+SUM(_xlfn.XLOOKUP(S120:AG120,增益!$A:$A,增益!$M:$M,0)))/100)</f>
        <v>-0.14</v>
      </c>
      <c r="BE120" s="32" cm="1">
        <f t="array" ref="BE120">$G$13+VLOOKUP($R120,武学奇术!$A:$ZZ,14,FALSE)+SUM(_xlfn.XLOOKUP(S120:AG120,增益!$A:$A,增益!$N:$N,0))</f>
        <v>0</v>
      </c>
      <c r="BF120">
        <f t="shared" ref="BF120:BF126" si="69">$D$14*(1+$AS120)</f>
        <v>571.2</v>
      </c>
      <c r="BG120">
        <f t="shared" ref="BG120:BG126" si="70">$E$14*(1+$AS120)</f>
        <v>1627.8</v>
      </c>
      <c r="BH120" s="32" cm="1">
        <f t="array" ref="BH120">IF($F$14-$I$4+VLOOKUP($R120,武学奇术!$A:$ZZ,15,FALSE)+SUM(_xlfn.XLOOKUP(S120:AG120,增益!$A:$A,增益!$O:$O,0))&gt;0,($F$14-$I$4+VLOOKUP($R120,武学奇术!$A:$ZZ,15,FALSE)+SUM(_xlfn.XLOOKUP(S120:AG120,增益!$A:$A,增益!$O:$O,0)))/200,($F$14-$I$4+VLOOKUP($R120,武学奇术!$A:$ZZ,15,FALSE)+SUM(_xlfn.XLOOKUP(S120:AG120,增益!$A:$A,增益!$O:$O,0)))/100)</f>
        <v>0.08</v>
      </c>
      <c r="BI120" s="32" cm="1">
        <f t="array" ref="BI120">$G$14+VLOOKUP($R120,武学奇术!$A:$ZZ,16,FALSE)+SUM(_xlfn.XLOOKUP(S120:AG120,增益!$A:$A,增益!$P:$P,0))</f>
        <v>0.27</v>
      </c>
      <c r="BJ120" s="26">
        <f>MIN(IF(VLOOKUP($R120,武学奇术!$A:$ZZ,23,FALSE)=1,100%,$B$8),100%)</f>
        <v>1</v>
      </c>
      <c r="BK120" s="26" cm="1">
        <f t="array" ref="BK120">IF(VLOOKUP($R120,武学奇术!$A:$ZZ,23,FALSE)=1,100%,MIN(80%,$B$9+VLOOKUP($R120,武学奇术!$A:$ZZ,17,FALSE)+SUM(_xlfn.XLOOKUP(S120:AG120,增益!$A:$A,增益!$Q:$Q,0)))+$B$11+SUM(_xlfn.XLOOKUP(S120:AG120,增益!$A:$A,增益!$U:$U,0)))*IF(VLOOKUP($R120,武学奇术!$A:$ZZ,24,FALSE)=1,0,1)</f>
        <v>1</v>
      </c>
      <c r="BL120" s="26" cm="1">
        <f t="array" ref="BL120">1+$B$13+VLOOKUP($R120,武学奇术!$A:$ZZ,18,FALSE)+SUM(_xlfn.XLOOKUP(S120:AG120,增益!$A:$A,增益!$R:$R,0))</f>
        <v>2.06</v>
      </c>
      <c r="BM120" s="26" cm="1">
        <f t="array" ref="BM120">IF(VLOOKUP($R120,武学奇术!$A:$ZZ,24,FALSE)=1,100%,MIN(40%,$B$10+VLOOKUP($R120,武学奇术!$A:$ZZ,19,FALSE)+SUM(_xlfn.XLOOKUP(S120:AG120,增益!$A:$A,增益!$S:$S,0)))+$B$12+SUM(_xlfn.XLOOKUP(S120:AG120,增益!$A:$A,增益!$V:$V,0)))*IF(VLOOKUP($R120,武学奇术!$A:$ZZ,23,FALSE)=1,0,1)</f>
        <v>0</v>
      </c>
      <c r="BN120" s="26" cm="1">
        <f t="array" ref="BN120">1+$B$14+VLOOKUP($R120,武学奇术!$A:$ZZ,20,FALSE)+SUM(_xlfn.XLOOKUP(S120:AG120,增益!$A:$A,增益!$T:$T,0))</f>
        <v>1.35</v>
      </c>
      <c r="BO120" s="26">
        <f t="shared" ref="BO120:BO126" si="71">MIN((1-BM120)*BJ120,BJ120*BK120)</f>
        <v>1</v>
      </c>
      <c r="BP120" s="26">
        <f t="shared" ref="BP120:BP126" si="72">1-BM120-BO120-BQ120</f>
        <v>0</v>
      </c>
      <c r="BQ120" s="26">
        <f>IF(VLOOKUP($R120,武学奇术!$A:$ZZ,22,FALSE)=1,0,(1-$BJ120))*(1-$BM120)</f>
        <v>0</v>
      </c>
      <c r="BR120" s="26" cm="1">
        <f t="array" ref="BR120">SUM(_xlfn.XLOOKUP(S120:AG120,增益!$A:$A,增益!$W:$W,0))+$I$5</f>
        <v>0.11</v>
      </c>
    </row>
    <row r="121" spans="1:70">
      <c r="A121" s="4" t="s">
        <v>170</v>
      </c>
      <c r="B121" s="87">
        <v>1.3</v>
      </c>
      <c r="K121">
        <f>$L121*VLOOKUP($R121,武学奇术!$A:$ZZ,31,FALSE)</f>
        <v>158632.064931471</v>
      </c>
      <c r="L121" s="38">
        <f t="shared" si="62"/>
        <v>151078.157077591</v>
      </c>
      <c r="M121" s="38">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BL121*$Q121*(1+IF(VLOOKUP($R121,武学奇术!$A:$ZZ,30,FALSE)="回旋伞",$B$21,0))*(1+$BR121)</f>
        <v>161642.016321997</v>
      </c>
      <c r="N121" s="38">
        <f>(($AP121*$AI121+$AJ121)*(1+$AQ121)*(1+$AR121)+($AU121*IF($G$1="鸣金",$AK121,$AI121)+IF($G$1="鸣金",$AL121*1.5,0))*(1+$AV121)*(1+$AW121)+($AY121*IF($G$1="裂石",$AK121,$AI121)+IF($G$1="裂石",$AL121*1.5,0))*(1+$AZ121)*(1+$BA121)+($BC121*IF($G$1="牵丝",$AK121,$AI121)+IF($G$1="牵丝",$AL121*1.5,0))*(1+$BD121)*(1+$BE121)+($BG121*IF($G$1="破竹",$AK121,$AI121)+IF($G$1="破竹",$AL121*1.5,0))*(1+$BH121)*(1+$BI121))*(1+$AM121)*$BN121*$Q121*(1+IF(VLOOKUP($R121,武学奇术!$A:$ZZ,30,FALSE)="回旋伞",$B$21,0))*(1+$BR121)</f>
        <v>118792.677857886</v>
      </c>
      <c r="O121" s="38">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Q121*(1+IF(VLOOKUP($R121,武学奇术!$A:$ZZ,30,FALSE)="回旋伞",$B$21,0))*(1+$BR121)</f>
        <v>78466.9982145616</v>
      </c>
      <c r="P121" s="38">
        <f>((($AO121*$AI121+$AJ121)*(1+$AQ121)*(1+$AR121)+($AT121*IF($G$1="鸣金",$AK121,$AI121)+IF($G$1="鸣金",$AL121*1.5,0))*(1+$AV121)*(1+$AW121)+($AX121*IF($G$1="裂石",$AK121,$AI121)+IF($G$1="裂石",$AL121*1.5,0))*(1+$AZ121)*(1+$BA121)+($BB121*IF($G$1="牵丝",$AK121,$AI121)+IF($G$1="牵丝",$AL121*1.5,0))*(1+$BD121)*(1+$BE121)+($BF121*IF($G$1="破竹",$AK121,$AI121)+IF($G$1="破竹",$AL121*1.5,0))*(1+$BH121)*(1+$BI121))*(1+$AM121))*$Q121*(1+IF(VLOOKUP($R121,武学奇术!$A:$ZZ,30,FALSE)="回旋伞",$B$21,0))*(1+$BR121)</f>
        <v>68939.4202380968</v>
      </c>
      <c r="Q121" s="39">
        <v>2</v>
      </c>
      <c r="R121" s="40" t="s">
        <v>108</v>
      </c>
      <c r="S121" s="40" t="s">
        <v>109</v>
      </c>
      <c r="T121" s="40" t="s">
        <v>95</v>
      </c>
      <c r="U121" s="40" t="s">
        <v>73</v>
      </c>
      <c r="V121" s="40" t="s">
        <v>72</v>
      </c>
      <c r="W121" s="40" t="s">
        <v>172</v>
      </c>
      <c r="X121" s="40" t="s">
        <v>99</v>
      </c>
      <c r="Y121" s="40" t="s">
        <v>84</v>
      </c>
      <c r="Z121" s="40" t="s">
        <v>72</v>
      </c>
      <c r="AA121" s="40" t="s">
        <v>72</v>
      </c>
      <c r="AB121" s="40" t="s">
        <v>126</v>
      </c>
      <c r="AC121" s="40" t="s">
        <v>85</v>
      </c>
      <c r="AD121" s="40" t="s">
        <v>72</v>
      </c>
      <c r="AE121" s="40" t="s">
        <v>72</v>
      </c>
      <c r="AF121" s="40" t="s">
        <v>77</v>
      </c>
      <c r="AG121" s="40" t="s">
        <v>78</v>
      </c>
      <c r="AH121" t="str">
        <f>VLOOKUP($R121,武学奇术!$A:$ZZ,25,FALSE)</f>
        <v>伞</v>
      </c>
      <c r="AI121" s="26">
        <f>VLOOKUP($R121,武学奇术!$A:$ZZ,26,FALSE)</f>
        <v>1.8084</v>
      </c>
      <c r="AJ121" s="27">
        <f>VLOOKUP($R121,武学奇术!$A:$ZZ,27,FALSE)*(1+IF(OR($AH121=$F$4,$AH121=$F$5),$B$22,0))</f>
        <v>750</v>
      </c>
      <c r="AK121" s="26">
        <f>VLOOKUP($R121,武学奇术!$A:$ZZ,28,FALSE)</f>
        <v>2.7126</v>
      </c>
      <c r="AL121" s="27">
        <f>VLOOKUP($R121,武学奇术!$A:$ZZ,29,FALSE)*(1+IF(OR($AH121=$F$4,$AH121=$F$5),$B$22,0))</f>
        <v>408</v>
      </c>
      <c r="AM121" s="26" cm="1">
        <f t="array" ref="AM121">$G$3+IFERROR(VLOOKUP($AH121,$F$4:$G$7,2,FALSE),0)+VLOOKUP($R121,武学奇术!$A:$ZZ,2,FALSE)+SUM(_xlfn.XLOOKUP($S121:$AG121,增益!$A:$A,增益!$B:$B,0))</f>
        <v>0.6541</v>
      </c>
      <c r="AN121" s="26" cm="1">
        <f t="array" ref="AN121">VLOOKUP($R121,武学奇术!$A:$ZZ,5,FALSE)+SUM(_xlfn.XLOOKUP($S121:$AG121,增益!$A:$A,增益!$E:$E,0))</f>
        <v>0</v>
      </c>
      <c r="AO121" cm="1">
        <f t="array" ref="AO121">$D$10*(1+$AN121)+VLOOKUP($R121,武学奇术!$A:$ZZ,3,FALSE)+SUM(_xlfn.XLOOKUP($S121:$AG121,增益!$A:$A,增益!$C:$C,0))-$I$2</f>
        <v>3624.6</v>
      </c>
      <c r="AP121" cm="1">
        <f t="array" ref="AP121">$E$10*(1+$AN121)+VLOOKUP($R121,武学奇术!$A:$ZZ,4,FALSE)+SUM(_xlfn.XLOOKUP($S121:$AG121,增益!$A:$A,增益!$D:$D,0))-$I$2</f>
        <v>3624.6</v>
      </c>
      <c r="AQ121" s="32" cm="1">
        <f t="array" ref="AQ121">IF($F$10-$I$3+VLOOKUP($R121,武学奇术!$A:$ZZ,6,FALSE)+SUM(_xlfn.XLOOKUP(S121:AG121,增益!$A:$A,增益!$F:$F,0))&gt;0,($F$10-$I$3+VLOOKUP($R121,武学奇术!$A:$ZZ,6,FALSE)+SUM(_xlfn.XLOOKUP(S121:AG121,增益!$A:$A,增益!$F:$F,0)))/200,($F$10-$I$3+VLOOKUP($R121,武学奇术!$A:$ZZ,6,FALSE)+SUM(_xlfn.XLOOKUP(S121:AG121,增益!$A:$A,增益!$F:$F,0)))/100)</f>
        <v>0.3425</v>
      </c>
      <c r="AR121" s="32" cm="1">
        <f t="array" ref="AR121">$G$10+VLOOKUP($R121,武学奇术!$A:$ZZ,7,FALSE)+SUM(_xlfn.XLOOKUP(S121:AG121,增益!$A:$A,增益!$G:$G,0))</f>
        <v>0.148</v>
      </c>
      <c r="AS121" s="26" cm="1">
        <f t="array" ref="AS121">VLOOKUP($R121,武学奇术!$A:$ZZ,8,FALSE)+SUM(_xlfn.XLOOKUP(S121:AG121,增益!$A:$A,增益!$H:$H,0))</f>
        <v>0</v>
      </c>
      <c r="AT121">
        <f t="shared" si="63"/>
        <v>0</v>
      </c>
      <c r="AU121">
        <f t="shared" si="64"/>
        <v>0</v>
      </c>
      <c r="AV121" s="32" cm="1">
        <f t="array" ref="AV121">IF($F$11-$I$4+VLOOKUP($R121,武学奇术!$A:$ZZ,9,FALSE)+SUM(_xlfn.XLOOKUP(S121:AG121,增益!$A:$A,增益!$I:$I,0))&gt;0,($F$11-$I$4+VLOOKUP($R121,武学奇术!$A:$ZZ,9,FALSE)+SUM(_xlfn.XLOOKUP(S121:AG121,增益!$A:$A,增益!$I:$I,0)))/200,($F$11-$I$4+VLOOKUP($R121,武学奇术!$A:$ZZ,9,FALSE)+SUM(_xlfn.XLOOKUP(S121:AG121,增益!$A:$A,增益!$I:$I,0)))/100)</f>
        <v>-0.14</v>
      </c>
      <c r="AW121" s="32" cm="1">
        <f t="array" ref="AW121">$G$11+VLOOKUP($R121,武学奇术!$A:$ZZ,10,FALSE)+SUM(_xlfn.XLOOKUP(S121:AG121,增益!$A:$A,增益!$J:$J,0))</f>
        <v>0</v>
      </c>
      <c r="AX121">
        <f t="shared" si="65"/>
        <v>0</v>
      </c>
      <c r="AY121">
        <f t="shared" si="66"/>
        <v>0</v>
      </c>
      <c r="AZ121" s="32" cm="1">
        <f t="array" ref="AZ121">IF($F$12-$I$4+VLOOKUP($R121,武学奇术!$A:$ZZ,11,FALSE)+SUM(_xlfn.XLOOKUP(S121:AG121,增益!$A:$A,增益!$K:$K,0))&gt;0,($F$12-$I$4+VLOOKUP($R121,武学奇术!$A:$ZZ,11,FALSE)+SUM(_xlfn.XLOOKUP(S121:AG121,增益!$A:$A,增益!$K:$K,0)))/200,($F$12-$I$4+VLOOKUP($R121,武学奇术!$A:$ZZ,11,FALSE)+SUM(_xlfn.XLOOKUP(S121:AG121,增益!$A:$A,增益!$K:$K,0)))/100)</f>
        <v>-0.14</v>
      </c>
      <c r="BA121" s="32" cm="1">
        <f t="array" ref="BA121">$G$12+VLOOKUP($R121,武学奇术!$A:$ZZ,12,FALSE)+SUM(_xlfn.XLOOKUP(S121:AG121,增益!$A:$A,增益!$L:$L,0))</f>
        <v>0</v>
      </c>
      <c r="BB121">
        <f t="shared" si="67"/>
        <v>0</v>
      </c>
      <c r="BC121">
        <f t="shared" si="68"/>
        <v>0</v>
      </c>
      <c r="BD121" s="32" cm="1">
        <f t="array" ref="BD121">IF($F$13-$I$4+VLOOKUP($R121,武学奇术!$A:$ZZ,13,FALSE)+SUM(_xlfn.XLOOKUP(S121:AG121,增益!$A:$A,增益!$M:$M,0))&gt;0,($F$13-$I$4+VLOOKUP($R121,武学奇术!$A:$ZZ,13,FALSE)+SUM(_xlfn.XLOOKUP(S121:AG121,增益!$A:$A,增益!$K:$K,0)))/200,($F$13-$I$4+VLOOKUP($R121,武学奇术!$A:$ZZ,13,FALSE)+SUM(_xlfn.XLOOKUP(S121:AG121,增益!$A:$A,增益!$M:$M,0)))/100)</f>
        <v>-0.14</v>
      </c>
      <c r="BE121" s="32" cm="1">
        <f t="array" ref="BE121">$G$13+VLOOKUP($R121,武学奇术!$A:$ZZ,14,FALSE)+SUM(_xlfn.XLOOKUP(S121:AG121,增益!$A:$A,增益!$N:$N,0))</f>
        <v>0</v>
      </c>
      <c r="BF121">
        <f t="shared" si="69"/>
        <v>571.2</v>
      </c>
      <c r="BG121">
        <f t="shared" si="70"/>
        <v>1627.8</v>
      </c>
      <c r="BH121" s="32" cm="1">
        <f t="array" ref="BH121">IF($F$14-$I$4+VLOOKUP($R121,武学奇术!$A:$ZZ,15,FALSE)+SUM(_xlfn.XLOOKUP(S121:AG121,增益!$A:$A,增益!$O:$O,0))&gt;0,($F$14-$I$4+VLOOKUP($R121,武学奇术!$A:$ZZ,15,FALSE)+SUM(_xlfn.XLOOKUP(S121:AG121,增益!$A:$A,增益!$O:$O,0)))/200,($F$14-$I$4+VLOOKUP($R121,武学奇术!$A:$ZZ,15,FALSE)+SUM(_xlfn.XLOOKUP(S121:AG121,增益!$A:$A,增益!$O:$O,0)))/100)</f>
        <v>0.08</v>
      </c>
      <c r="BI121" s="32" cm="1">
        <f t="array" ref="BI121">$G$14+VLOOKUP($R121,武学奇术!$A:$ZZ,16,FALSE)+SUM(_xlfn.XLOOKUP(S121:AG121,增益!$A:$A,增益!$P:$P,0))</f>
        <v>0.27</v>
      </c>
      <c r="BJ121" s="26">
        <f>MIN(IF(VLOOKUP($R121,武学奇术!$A:$ZZ,23,FALSE)=1,100%,$B$8),100%)</f>
        <v>0.981</v>
      </c>
      <c r="BK121" s="26" cm="1">
        <f t="array" ref="BK121">IF(VLOOKUP($R121,武学奇术!$A:$ZZ,23,FALSE)=1,100%,MIN(80%,$B$9+VLOOKUP($R121,武学奇术!$A:$ZZ,17,FALSE)+SUM(_xlfn.XLOOKUP(S121:AG121,增益!$A:$A,增益!$Q:$Q,0)))+$B$11+SUM(_xlfn.XLOOKUP(S121:AG121,增益!$A:$A,增益!$U:$U,0)))*IF(VLOOKUP($R121,武学奇术!$A:$ZZ,24,FALSE)=1,0,1)</f>
        <v>0.846</v>
      </c>
      <c r="BL121" s="26" cm="1">
        <f t="array" ref="BL121">1+$B$13+VLOOKUP($R121,武学奇术!$A:$ZZ,18,FALSE)+SUM(_xlfn.XLOOKUP(S121:AG121,增益!$A:$A,增益!$R:$R,0))</f>
        <v>2.06</v>
      </c>
      <c r="BM121" s="26" cm="1">
        <f t="array" ref="BM121">IF(VLOOKUP($R121,武学奇术!$A:$ZZ,24,FALSE)=1,100%,MIN(40%,$B$10+VLOOKUP($R121,武学奇术!$A:$ZZ,19,FALSE)+SUM(_xlfn.XLOOKUP(S121:AG121,增益!$A:$A,增益!$S:$S,0)))+$B$12+SUM(_xlfn.XLOOKUP(S121:AG121,增益!$A:$A,增益!$V:$V,0)))*IF(VLOOKUP($R121,武学奇术!$A:$ZZ,23,FALSE)=1,0,1)</f>
        <v>0.0929</v>
      </c>
      <c r="BN121" s="26" cm="1">
        <f t="array" ref="BN121">1+$B$14+VLOOKUP($R121,武学奇术!$A:$ZZ,20,FALSE)+SUM(_xlfn.XLOOKUP(S121:AG121,增益!$A:$A,增益!$T:$T,0))</f>
        <v>1.35</v>
      </c>
      <c r="BO121" s="26">
        <f t="shared" si="71"/>
        <v>0.829926</v>
      </c>
      <c r="BP121" s="26">
        <f t="shared" si="72"/>
        <v>0.0599391</v>
      </c>
      <c r="BQ121" s="26">
        <f>IF(VLOOKUP($R121,武学奇术!$A:$ZZ,22,FALSE)=1,0,(1-$BJ121))*(1-$BM121)</f>
        <v>0.0172349</v>
      </c>
      <c r="BR121" s="26" cm="1">
        <f t="array" ref="BR121">SUM(_xlfn.XLOOKUP(S121:AG121,增益!$A:$A,增益!$W:$W,0))+$I$5</f>
        <v>0.11</v>
      </c>
    </row>
    <row r="122" spans="1:70">
      <c r="A122" s="4" t="s">
        <v>153</v>
      </c>
      <c r="B122" s="87">
        <v>1.3</v>
      </c>
      <c r="K122">
        <f>$L122*VLOOKUP($R122,武学奇术!$A:$ZZ,31,FALSE)</f>
        <v>93192.3278839914</v>
      </c>
      <c r="L122" s="38">
        <f t="shared" si="62"/>
        <v>88754.5979847537</v>
      </c>
      <c r="M122" s="38">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BL122*$Q122*(1+IF(VLOOKUP($R122,武学奇术!$A:$ZZ,30,FALSE)="回旋伞",$B$21,0))*(1+$BR122)</f>
        <v>94869.6078494428</v>
      </c>
      <c r="N122" s="38">
        <f>(($AP122*$AI122+$AJ122)*(1+$AQ122)*(1+$AR122)+($AU122*IF($G$1="鸣金",$AK122,$AI122)+IF($G$1="鸣金",$AL122*1.5,0))*(1+$AV122)*(1+$AW122)+($AY122*IF($G$1="裂石",$AK122,$AI122)+IF($G$1="裂石",$AL122*1.5,0))*(1+$AZ122)*(1+$BA122)+($BC122*IF($G$1="牵丝",$AK122,$AI122)+IF($G$1="牵丝",$AL122*1.5,0))*(1+$BD122)*(1+$BE122)+($BG122*IF($G$1="破竹",$AK122,$AI122)+IF($G$1="破竹",$AL122*1.5,0))*(1+$BH122)*(1+$BI122))*(1+$AM122)*$BN122*$Q122*(1+IF(VLOOKUP($R122,武学奇术!$A:$ZZ,30,FALSE)="回旋伞",$B$21,0))*(1+$BR122)</f>
        <v>70782.1035489839</v>
      </c>
      <c r="O122" s="38">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Q122*(1+IF(VLOOKUP($R122,武学奇术!$A:$ZZ,30,FALSE)="回旋伞",$B$21,0))*(1+$BR122)</f>
        <v>46053.2076939043</v>
      </c>
      <c r="P122" s="38">
        <f>((($AO122*$AI122+$AJ122)*(1+$AQ122)*(1+$AR122)+($AT122*IF($G$1="鸣金",$AK122,$AI122)+IF($G$1="鸣金",$AL122*1.5,0))*(1+$AV122)*(1+$AW122)+($AX122*IF($G$1="裂石",$AK122,$AI122)+IF($G$1="裂石",$AL122*1.5,0))*(1+$AZ122)*(1+$BA122)+($BB122*IF($G$1="牵丝",$AK122,$AI122)+IF($G$1="牵丝",$AL122*1.5,0))*(1+$BD122)*(1+$BE122)+($BF122*IF($G$1="破竹",$AK122,$AI122)+IF($G$1="破竹",$AL122*1.5,0))*(1+$BH122)*(1+$BI122))*(1+$AM122))*$Q122*(1+IF(VLOOKUP($R122,武学奇术!$A:$ZZ,30,FALSE)="回旋伞",$B$21,0))*(1+$BR122)</f>
        <v>39675.2275737464</v>
      </c>
      <c r="Q122" s="39">
        <v>4</v>
      </c>
      <c r="R122" s="40" t="s">
        <v>112</v>
      </c>
      <c r="S122" s="40" t="s">
        <v>109</v>
      </c>
      <c r="T122" s="40" t="s">
        <v>95</v>
      </c>
      <c r="U122" s="40" t="s">
        <v>73</v>
      </c>
      <c r="V122" s="40" t="s">
        <v>72</v>
      </c>
      <c r="W122" s="40" t="s">
        <v>172</v>
      </c>
      <c r="X122" s="40" t="s">
        <v>99</v>
      </c>
      <c r="Y122" s="40" t="s">
        <v>84</v>
      </c>
      <c r="Z122" s="40" t="s">
        <v>72</v>
      </c>
      <c r="AA122" s="40" t="s">
        <v>72</v>
      </c>
      <c r="AB122" s="40" t="s">
        <v>126</v>
      </c>
      <c r="AC122" s="40" t="s">
        <v>85</v>
      </c>
      <c r="AD122" s="40" t="s">
        <v>72</v>
      </c>
      <c r="AE122" s="40" t="s">
        <v>72</v>
      </c>
      <c r="AF122" s="40" t="s">
        <v>77</v>
      </c>
      <c r="AG122" s="40" t="s">
        <v>78</v>
      </c>
      <c r="AH122" t="str">
        <f>VLOOKUP($R122,武学奇术!$A:$ZZ,25,FALSE)</f>
        <v>伞</v>
      </c>
      <c r="AI122" s="26">
        <f>VLOOKUP($R122,武学奇术!$A:$ZZ,26,FALSE)</f>
        <v>0.54</v>
      </c>
      <c r="AJ122" s="27">
        <f>VLOOKUP($R122,武学奇术!$A:$ZZ,27,FALSE)*(1+IF(OR($AH122=$F$4,$AH122=$F$5),$B$22,0))</f>
        <v>0</v>
      </c>
      <c r="AK122" s="26">
        <f>VLOOKUP($R122,武学奇术!$A:$ZZ,28,FALSE)</f>
        <v>0.81</v>
      </c>
      <c r="AL122" s="27">
        <f>VLOOKUP($R122,武学奇术!$A:$ZZ,29,FALSE)*(1+IF(OR($AH122=$F$4,$AH122=$F$5),$B$22,0))</f>
        <v>0</v>
      </c>
      <c r="AM122" s="26" cm="1">
        <f t="array" ref="AM122">$G$3+IFERROR(VLOOKUP($AH122,$F$4:$G$7,2,FALSE),0)+VLOOKUP($R122,武学奇术!$A:$ZZ,2,FALSE)+SUM(_xlfn.XLOOKUP($S122:$AG122,增益!$A:$A,增益!$B:$B,0))</f>
        <v>0.8541</v>
      </c>
      <c r="AN122" s="26" cm="1">
        <f t="array" ref="AN122">VLOOKUP($R122,武学奇术!$A:$ZZ,5,FALSE)+SUM(_xlfn.XLOOKUP($S122:$AG122,增益!$A:$A,增益!$E:$E,0))</f>
        <v>0</v>
      </c>
      <c r="AO122" cm="1">
        <f t="array" ref="AO122">$D$10*(1+$AN122)+VLOOKUP($R122,武学奇术!$A:$ZZ,3,FALSE)+SUM(_xlfn.XLOOKUP($S122:$AG122,增益!$A:$A,增益!$C:$C,0))-$I$2</f>
        <v>3624.6</v>
      </c>
      <c r="AP122" cm="1">
        <f t="array" ref="AP122">$E$10*(1+$AN122)+VLOOKUP($R122,武学奇术!$A:$ZZ,4,FALSE)+SUM(_xlfn.XLOOKUP($S122:$AG122,增益!$A:$A,增益!$D:$D,0))-$I$2</f>
        <v>3624.6</v>
      </c>
      <c r="AQ122" s="32" cm="1">
        <f t="array" ref="AQ122">IF($F$10-$I$3+VLOOKUP($R122,武学奇术!$A:$ZZ,6,FALSE)+SUM(_xlfn.XLOOKUP(S122:AG122,增益!$A:$A,增益!$F:$F,0))&gt;0,($F$10-$I$3+VLOOKUP($R122,武学奇术!$A:$ZZ,6,FALSE)+SUM(_xlfn.XLOOKUP(S122:AG122,增益!$A:$A,增益!$F:$F,0)))/200,($F$10-$I$3+VLOOKUP($R122,武学奇术!$A:$ZZ,6,FALSE)+SUM(_xlfn.XLOOKUP(S122:AG122,增益!$A:$A,增益!$F:$F,0)))/100)</f>
        <v>0.3425</v>
      </c>
      <c r="AR122" s="32" cm="1">
        <f t="array" ref="AR122">$G$10+VLOOKUP($R122,武学奇术!$A:$ZZ,7,FALSE)+SUM(_xlfn.XLOOKUP(S122:AG122,增益!$A:$A,增益!$G:$G,0))</f>
        <v>0.148</v>
      </c>
      <c r="AS122" s="26" cm="1">
        <f t="array" ref="AS122">VLOOKUP($R122,武学奇术!$A:$ZZ,8,FALSE)+SUM(_xlfn.XLOOKUP(S122:AG122,增益!$A:$A,增益!$H:$H,0))</f>
        <v>0</v>
      </c>
      <c r="AT122">
        <f t="shared" si="63"/>
        <v>0</v>
      </c>
      <c r="AU122">
        <f t="shared" si="64"/>
        <v>0</v>
      </c>
      <c r="AV122" s="32" cm="1">
        <f t="array" ref="AV122">IF($F$11-$I$4+VLOOKUP($R122,武学奇术!$A:$ZZ,9,FALSE)+SUM(_xlfn.XLOOKUP(S122:AG122,增益!$A:$A,增益!$I:$I,0))&gt;0,($F$11-$I$4+VLOOKUP($R122,武学奇术!$A:$ZZ,9,FALSE)+SUM(_xlfn.XLOOKUP(S122:AG122,增益!$A:$A,增益!$I:$I,0)))/200,($F$11-$I$4+VLOOKUP($R122,武学奇术!$A:$ZZ,9,FALSE)+SUM(_xlfn.XLOOKUP(S122:AG122,增益!$A:$A,增益!$I:$I,0)))/100)</f>
        <v>-0.14</v>
      </c>
      <c r="AW122" s="32" cm="1">
        <f t="array" ref="AW122">$G$11+VLOOKUP($R122,武学奇术!$A:$ZZ,10,FALSE)+SUM(_xlfn.XLOOKUP(S122:AG122,增益!$A:$A,增益!$J:$J,0))</f>
        <v>0</v>
      </c>
      <c r="AX122">
        <f t="shared" si="65"/>
        <v>0</v>
      </c>
      <c r="AY122">
        <f t="shared" si="66"/>
        <v>0</v>
      </c>
      <c r="AZ122" s="32" cm="1">
        <f t="array" ref="AZ122">IF($F$12-$I$4+VLOOKUP($R122,武学奇术!$A:$ZZ,11,FALSE)+SUM(_xlfn.XLOOKUP(S122:AG122,增益!$A:$A,增益!$K:$K,0))&gt;0,($F$12-$I$4+VLOOKUP($R122,武学奇术!$A:$ZZ,11,FALSE)+SUM(_xlfn.XLOOKUP(S122:AG122,增益!$A:$A,增益!$K:$K,0)))/200,($F$12-$I$4+VLOOKUP($R122,武学奇术!$A:$ZZ,11,FALSE)+SUM(_xlfn.XLOOKUP(S122:AG122,增益!$A:$A,增益!$K:$K,0)))/100)</f>
        <v>-0.14</v>
      </c>
      <c r="BA122" s="32" cm="1">
        <f t="array" ref="BA122">$G$12+VLOOKUP($R122,武学奇术!$A:$ZZ,12,FALSE)+SUM(_xlfn.XLOOKUP(S122:AG122,增益!$A:$A,增益!$L:$L,0))</f>
        <v>0</v>
      </c>
      <c r="BB122">
        <f t="shared" si="67"/>
        <v>0</v>
      </c>
      <c r="BC122">
        <f t="shared" si="68"/>
        <v>0</v>
      </c>
      <c r="BD122" s="32" cm="1">
        <f t="array" ref="BD122">IF($F$13-$I$4+VLOOKUP($R122,武学奇术!$A:$ZZ,13,FALSE)+SUM(_xlfn.XLOOKUP(S122:AG122,增益!$A:$A,增益!$M:$M,0))&gt;0,($F$13-$I$4+VLOOKUP($R122,武学奇术!$A:$ZZ,13,FALSE)+SUM(_xlfn.XLOOKUP(S122:AG122,增益!$A:$A,增益!$K:$K,0)))/200,($F$13-$I$4+VLOOKUP($R122,武学奇术!$A:$ZZ,13,FALSE)+SUM(_xlfn.XLOOKUP(S122:AG122,增益!$A:$A,增益!$M:$M,0)))/100)</f>
        <v>-0.14</v>
      </c>
      <c r="BE122" s="32" cm="1">
        <f t="array" ref="BE122">$G$13+VLOOKUP($R122,武学奇术!$A:$ZZ,14,FALSE)+SUM(_xlfn.XLOOKUP(S122:AG122,增益!$A:$A,增益!$N:$N,0))</f>
        <v>0</v>
      </c>
      <c r="BF122">
        <f t="shared" si="69"/>
        <v>571.2</v>
      </c>
      <c r="BG122">
        <f t="shared" si="70"/>
        <v>1627.8</v>
      </c>
      <c r="BH122" s="32" cm="1">
        <f t="array" ref="BH122">IF($F$14-$I$4+VLOOKUP($R122,武学奇术!$A:$ZZ,15,FALSE)+SUM(_xlfn.XLOOKUP(S122:AG122,增益!$A:$A,增益!$O:$O,0))&gt;0,($F$14-$I$4+VLOOKUP($R122,武学奇术!$A:$ZZ,15,FALSE)+SUM(_xlfn.XLOOKUP(S122:AG122,增益!$A:$A,增益!$O:$O,0)))/200,($F$14-$I$4+VLOOKUP($R122,武学奇术!$A:$ZZ,15,FALSE)+SUM(_xlfn.XLOOKUP(S122:AG122,增益!$A:$A,增益!$O:$O,0)))/100)</f>
        <v>0.08</v>
      </c>
      <c r="BI122" s="32" cm="1">
        <f t="array" ref="BI122">$G$14+VLOOKUP($R122,武学奇术!$A:$ZZ,16,FALSE)+SUM(_xlfn.XLOOKUP(S122:AG122,增益!$A:$A,增益!$P:$P,0))</f>
        <v>0.27</v>
      </c>
      <c r="BJ122" s="26">
        <f>MIN(IF(VLOOKUP($R122,武学奇术!$A:$ZZ,23,FALSE)=1,100%,$B$8),100%)</f>
        <v>0.981</v>
      </c>
      <c r="BK122" s="26" cm="1">
        <f t="array" ref="BK122">IF(VLOOKUP($R122,武学奇术!$A:$ZZ,23,FALSE)=1,100%,MIN(80%,$B$9+VLOOKUP($R122,武学奇术!$A:$ZZ,17,FALSE)+SUM(_xlfn.XLOOKUP(S122:AG122,增益!$A:$A,增益!$Q:$Q,0)))+$B$11+SUM(_xlfn.XLOOKUP(S122:AG122,增益!$A:$A,增益!$U:$U,0)))*IF(VLOOKUP($R122,武学奇术!$A:$ZZ,24,FALSE)=1,0,1)</f>
        <v>0.846</v>
      </c>
      <c r="BL122" s="26" cm="1">
        <f t="array" ref="BL122">1+$B$13+VLOOKUP($R122,武学奇术!$A:$ZZ,18,FALSE)+SUM(_xlfn.XLOOKUP(S122:AG122,增益!$A:$A,增益!$R:$R,0))</f>
        <v>2.06</v>
      </c>
      <c r="BM122" s="26" cm="1">
        <f t="array" ref="BM122">IF(VLOOKUP($R122,武学奇术!$A:$ZZ,24,FALSE)=1,100%,MIN(40%,$B$10+VLOOKUP($R122,武学奇术!$A:$ZZ,19,FALSE)+SUM(_xlfn.XLOOKUP(S122:AG122,增益!$A:$A,增益!$S:$S,0)))+$B$12+SUM(_xlfn.XLOOKUP(S122:AG122,增益!$A:$A,增益!$V:$V,0)))*IF(VLOOKUP($R122,武学奇术!$A:$ZZ,23,FALSE)=1,0,1)</f>
        <v>0.0929</v>
      </c>
      <c r="BN122" s="26" cm="1">
        <f t="array" ref="BN122">1+$B$14+VLOOKUP($R122,武学奇术!$A:$ZZ,20,FALSE)+SUM(_xlfn.XLOOKUP(S122:AG122,增益!$A:$A,增益!$T:$T,0))</f>
        <v>1.35</v>
      </c>
      <c r="BO122" s="26">
        <f t="shared" si="71"/>
        <v>0.829926</v>
      </c>
      <c r="BP122" s="26">
        <f t="shared" si="72"/>
        <v>0.0599391</v>
      </c>
      <c r="BQ122" s="26">
        <f>IF(VLOOKUP($R122,武学奇术!$A:$ZZ,22,FALSE)=1,0,(1-$BJ122))*(1-$BM122)</f>
        <v>0.0172349</v>
      </c>
      <c r="BR122" s="26" cm="1">
        <f t="array" ref="BR122">SUM(_xlfn.XLOOKUP(S122:AG122,增益!$A:$A,增益!$W:$W,0))+$I$5</f>
        <v>0.11</v>
      </c>
    </row>
    <row r="123" spans="1:70">
      <c r="A123" s="4" t="s">
        <v>171</v>
      </c>
      <c r="B123" s="87">
        <v>0.1</v>
      </c>
      <c r="K123">
        <f>$L123*VLOOKUP($R123,武学奇术!$A:$ZZ,31,FALSE)</f>
        <v>203540.036409625</v>
      </c>
      <c r="L123" s="38">
        <f t="shared" si="62"/>
        <v>193847.653723452</v>
      </c>
      <c r="M123" s="38">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BL123*$Q123*(1+IF(VLOOKUP($R123,武学奇术!$A:$ZZ,30,FALSE)="回旋伞",$B$21,0))*(1+$BR123)</f>
        <v>205431.549532599</v>
      </c>
      <c r="N123" s="38">
        <f>(($AP123*$AI123+$AJ123)*(1+$AQ123)*(1+$AR123)+($AU123*IF($G$1="鸣金",$AK123,$AI123)+IF($G$1="鸣金",$AL123*1.5,0))*(1+$AV123)*(1+$AW123)+($AY123*IF($G$1="裂石",$AK123,$AI123)+IF($G$1="裂石",$AL123*1.5,0))*(1+$AZ123)*(1+$BA123)+($BC123*IF($G$1="牵丝",$AK123,$AI123)+IF($G$1="牵丝",$AL123*1.5,0))*(1+$BD123)*(1+$BE123)+($BG123*IF($G$1="破竹",$AK123,$AI123)+IF($G$1="破竹",$AL123*1.5,0))*(1+$BH123)*(1+$BI123))*(1+$AM123)*$BN123*$Q123*(1+IF(VLOOKUP($R123,武学奇术!$A:$ZZ,30,FALSE)="回旋伞",$B$21,0))*(1+$BR123)</f>
        <v>164730.873347691</v>
      </c>
      <c r="O123" s="38">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Q123*(1+IF(VLOOKUP($R123,武学奇术!$A:$ZZ,30,FALSE)="回旋伞",$B$21,0))*(1+$BR123)</f>
        <v>107555.785095601</v>
      </c>
      <c r="P123" s="38">
        <f>((($AO123*$AI123+$AJ123)*(1+$AQ123)*(1+$AR123)+($AT123*IF($G$1="鸣金",$AK123,$AI123)+IF($G$1="鸣金",$AL123*1.5,0))*(1+$AV123)*(1+$AW123)+($AX123*IF($G$1="裂石",$AK123,$AI123)+IF($G$1="裂石",$AL123*1.5,0))*(1+$AZ123)*(1+$BA123)+($BB123*IF($G$1="牵丝",$AK123,$AI123)+IF($G$1="牵丝",$AL123*1.5,0))*(1+$BD123)*(1+$BE123)+($BF123*IF($G$1="破竹",$AK123,$AI123)+IF($G$1="破竹",$AL123*1.5,0))*(1+$BH123)*(1+$BI123))*(1+$AM123))*$Q123*(1+IF(VLOOKUP($R123,武学奇术!$A:$ZZ,30,FALSE)="回旋伞",$B$21,0))*(1+$BR123)</f>
        <v>93088.7010447655</v>
      </c>
      <c r="Q123" s="39">
        <v>1</v>
      </c>
      <c r="R123" s="40" t="s">
        <v>185</v>
      </c>
      <c r="S123" s="40" t="s">
        <v>72</v>
      </c>
      <c r="T123" s="40" t="s">
        <v>95</v>
      </c>
      <c r="U123" s="40" t="s">
        <v>73</v>
      </c>
      <c r="V123" s="40" t="s">
        <v>72</v>
      </c>
      <c r="W123" s="40" t="s">
        <v>172</v>
      </c>
      <c r="X123" s="40" t="s">
        <v>99</v>
      </c>
      <c r="Y123" s="40" t="s">
        <v>84</v>
      </c>
      <c r="Z123" s="40" t="s">
        <v>72</v>
      </c>
      <c r="AA123" s="40" t="s">
        <v>72</v>
      </c>
      <c r="AB123" s="40" t="s">
        <v>72</v>
      </c>
      <c r="AC123" s="40" t="s">
        <v>85</v>
      </c>
      <c r="AD123" s="40" t="s">
        <v>72</v>
      </c>
      <c r="AE123" s="40" t="s">
        <v>72</v>
      </c>
      <c r="AF123" s="40" t="s">
        <v>77</v>
      </c>
      <c r="AG123" s="40" t="s">
        <v>78</v>
      </c>
      <c r="AH123" t="str">
        <f>VLOOKUP($R123,武学奇术!$A:$ZZ,25,FALSE)</f>
        <v>群体奇术</v>
      </c>
      <c r="AI123" s="26">
        <f>VLOOKUP($R123,武学奇术!$A:$ZZ,26,FALSE)</f>
        <v>10.315755</v>
      </c>
      <c r="AJ123" s="27">
        <f>VLOOKUP($R123,武学奇术!$A:$ZZ,27,FALSE)*(1+IF(OR($AH123=$F$4,$AH123=$F$5),$B$22,0))</f>
        <v>1992.6</v>
      </c>
      <c r="AK123" s="26">
        <f>VLOOKUP($R123,武学奇术!$A:$ZZ,28,FALSE)</f>
        <v>15.4736325</v>
      </c>
      <c r="AL123" s="27">
        <f>VLOOKUP($R123,武学奇术!$A:$ZZ,29,FALSE)*(1+IF(OR($AH123=$F$4,$AH123=$F$5),$B$22,0))</f>
        <v>0</v>
      </c>
      <c r="AM123" s="26" cm="1">
        <f t="array" ref="AM123">$G$3+IFERROR(VLOOKUP($AH123,$F$4:$G$7,2,FALSE),0)+VLOOKUP($R123,武学奇术!$A:$ZZ,2,FALSE)+SUM(_xlfn.XLOOKUP($S123:$AG123,增益!$A:$A,增益!$B:$B,0))</f>
        <v>0.2837</v>
      </c>
      <c r="AN123" s="26" cm="1">
        <f t="array" ref="AN123">VLOOKUP($R123,武学奇术!$A:$ZZ,5,FALSE)+SUM(_xlfn.XLOOKUP($S123:$AG123,增益!$A:$A,增益!$E:$E,0))</f>
        <v>0</v>
      </c>
      <c r="AO123" cm="1">
        <f t="array" ref="AO123">$D$10*(1+$AN123)+VLOOKUP($R123,武学奇术!$A:$ZZ,3,FALSE)+SUM(_xlfn.XLOOKUP($S123:$AG123,增益!$A:$A,增益!$C:$C,0))-$I$2</f>
        <v>3624.6</v>
      </c>
      <c r="AP123" cm="1">
        <f t="array" ref="AP123">$E$10*(1+$AN123)+VLOOKUP($R123,武学奇术!$A:$ZZ,4,FALSE)+SUM(_xlfn.XLOOKUP($S123:$AG123,增益!$A:$A,增益!$D:$D,0))-$I$2</f>
        <v>3624.6</v>
      </c>
      <c r="AQ123" s="32" cm="1">
        <f t="array" ref="AQ123">IF($F$10-$I$3+VLOOKUP($R123,武学奇术!$A:$ZZ,6,FALSE)+SUM(_xlfn.XLOOKUP(S123:AG123,增益!$A:$A,增益!$F:$F,0))&gt;0,($F$10-$I$3+VLOOKUP($R123,武学奇术!$A:$ZZ,6,FALSE)+SUM(_xlfn.XLOOKUP(S123:AG123,增益!$A:$A,增益!$F:$F,0)))/200,($F$10-$I$3+VLOOKUP($R123,武学奇术!$A:$ZZ,6,FALSE)+SUM(_xlfn.XLOOKUP(S123:AG123,增益!$A:$A,增益!$F:$F,0)))/100)</f>
        <v>0.3425</v>
      </c>
      <c r="AR123" s="32" cm="1">
        <f t="array" ref="AR123">$G$10+VLOOKUP($R123,武学奇术!$A:$ZZ,7,FALSE)+SUM(_xlfn.XLOOKUP(S123:AG123,增益!$A:$A,增益!$G:$G,0))</f>
        <v>0.028</v>
      </c>
      <c r="AS123" s="26" cm="1">
        <f t="array" ref="AS123">VLOOKUP($R123,武学奇术!$A:$ZZ,8,FALSE)+SUM(_xlfn.XLOOKUP(S123:AG123,增益!$A:$A,增益!$H:$H,0))</f>
        <v>0</v>
      </c>
      <c r="AT123">
        <f t="shared" si="63"/>
        <v>0</v>
      </c>
      <c r="AU123">
        <f t="shared" si="64"/>
        <v>0</v>
      </c>
      <c r="AV123" s="32" cm="1">
        <f t="array" ref="AV123">IF($F$11-$I$4+VLOOKUP($R123,武学奇术!$A:$ZZ,9,FALSE)+SUM(_xlfn.XLOOKUP(S123:AG123,增益!$A:$A,增益!$I:$I,0))&gt;0,($F$11-$I$4+VLOOKUP($R123,武学奇术!$A:$ZZ,9,FALSE)+SUM(_xlfn.XLOOKUP(S123:AG123,增益!$A:$A,增益!$I:$I,0)))/200,($F$11-$I$4+VLOOKUP($R123,武学奇术!$A:$ZZ,9,FALSE)+SUM(_xlfn.XLOOKUP(S123:AG123,增益!$A:$A,增益!$I:$I,0)))/100)</f>
        <v>-0.14</v>
      </c>
      <c r="AW123" s="32" cm="1">
        <f t="array" ref="AW123">$G$11+VLOOKUP($R123,武学奇术!$A:$ZZ,10,FALSE)+SUM(_xlfn.XLOOKUP(S123:AG123,增益!$A:$A,增益!$J:$J,0))</f>
        <v>0</v>
      </c>
      <c r="AX123">
        <f t="shared" si="65"/>
        <v>0</v>
      </c>
      <c r="AY123">
        <f t="shared" si="66"/>
        <v>0</v>
      </c>
      <c r="AZ123" s="32" cm="1">
        <f t="array" ref="AZ123">IF($F$12-$I$4+VLOOKUP($R123,武学奇术!$A:$ZZ,11,FALSE)+SUM(_xlfn.XLOOKUP(S123:AG123,增益!$A:$A,增益!$K:$K,0))&gt;0,($F$12-$I$4+VLOOKUP($R123,武学奇术!$A:$ZZ,11,FALSE)+SUM(_xlfn.XLOOKUP(S123:AG123,增益!$A:$A,增益!$K:$K,0)))/200,($F$12-$I$4+VLOOKUP($R123,武学奇术!$A:$ZZ,11,FALSE)+SUM(_xlfn.XLOOKUP(S123:AG123,增益!$A:$A,增益!$K:$K,0)))/100)</f>
        <v>-0.14</v>
      </c>
      <c r="BA123" s="32" cm="1">
        <f t="array" ref="BA123">$G$12+VLOOKUP($R123,武学奇术!$A:$ZZ,12,FALSE)+SUM(_xlfn.XLOOKUP(S123:AG123,增益!$A:$A,增益!$L:$L,0))</f>
        <v>0</v>
      </c>
      <c r="BB123">
        <f t="shared" si="67"/>
        <v>0</v>
      </c>
      <c r="BC123">
        <f t="shared" si="68"/>
        <v>0</v>
      </c>
      <c r="BD123" s="32" cm="1">
        <f t="array" ref="BD123">IF($F$13-$I$4+VLOOKUP($R123,武学奇术!$A:$ZZ,13,FALSE)+SUM(_xlfn.XLOOKUP(S123:AG123,增益!$A:$A,增益!$M:$M,0))&gt;0,($F$13-$I$4+VLOOKUP($R123,武学奇术!$A:$ZZ,13,FALSE)+SUM(_xlfn.XLOOKUP(S123:AG123,增益!$A:$A,增益!$K:$K,0)))/200,($F$13-$I$4+VLOOKUP($R123,武学奇术!$A:$ZZ,13,FALSE)+SUM(_xlfn.XLOOKUP(S123:AG123,增益!$A:$A,增益!$M:$M,0)))/100)</f>
        <v>-0.14</v>
      </c>
      <c r="BE123" s="32" cm="1">
        <f t="array" ref="BE123">$G$13+VLOOKUP($R123,武学奇术!$A:$ZZ,14,FALSE)+SUM(_xlfn.XLOOKUP(S123:AG123,增益!$A:$A,增益!$N:$N,0))</f>
        <v>0</v>
      </c>
      <c r="BF123">
        <f t="shared" si="69"/>
        <v>571.2</v>
      </c>
      <c r="BG123">
        <f t="shared" si="70"/>
        <v>1627.8</v>
      </c>
      <c r="BH123" s="32" cm="1">
        <f t="array" ref="BH123">IF($F$14-$I$4+VLOOKUP($R123,武学奇术!$A:$ZZ,15,FALSE)+SUM(_xlfn.XLOOKUP(S123:AG123,增益!$A:$A,增益!$O:$O,0))&gt;0,($F$14-$I$4+VLOOKUP($R123,武学奇术!$A:$ZZ,15,FALSE)+SUM(_xlfn.XLOOKUP(S123:AG123,增益!$A:$A,增益!$O:$O,0)))/200,($F$14-$I$4+VLOOKUP($R123,武学奇术!$A:$ZZ,15,FALSE)+SUM(_xlfn.XLOOKUP(S123:AG123,增益!$A:$A,增益!$O:$O,0)))/100)</f>
        <v>0.08</v>
      </c>
      <c r="BI123" s="32" cm="1">
        <f t="array" ref="BI123">$G$14+VLOOKUP($R123,武学奇术!$A:$ZZ,16,FALSE)+SUM(_xlfn.XLOOKUP(S123:AG123,增益!$A:$A,增益!$P:$P,0))</f>
        <v>0.15</v>
      </c>
      <c r="BJ123" s="26">
        <f>MIN(IF(VLOOKUP($R123,武学奇术!$A:$ZZ,23,FALSE)=1,100%,$B$8),100%)</f>
        <v>0.981</v>
      </c>
      <c r="BK123" s="26" cm="1">
        <f t="array" ref="BK123">IF(VLOOKUP($R123,武学奇术!$A:$ZZ,23,FALSE)=1,100%,MIN(80%,$B$9+VLOOKUP($R123,武学奇术!$A:$ZZ,17,FALSE)+SUM(_xlfn.XLOOKUP(S123:AG123,增益!$A:$A,增益!$Q:$Q,0)))+$B$11+SUM(_xlfn.XLOOKUP(S123:AG123,增益!$A:$A,增益!$U:$U,0)))*IF(VLOOKUP($R123,武学奇术!$A:$ZZ,24,FALSE)=1,0,1)</f>
        <v>0.846</v>
      </c>
      <c r="BL123" s="26" cm="1">
        <f t="array" ref="BL123">1+$B$13+VLOOKUP($R123,武学奇术!$A:$ZZ,18,FALSE)+SUM(_xlfn.XLOOKUP(S123:AG123,增益!$A:$A,增益!$R:$R,0))</f>
        <v>1.91</v>
      </c>
      <c r="BM123" s="26" cm="1">
        <f t="array" ref="BM123">IF(VLOOKUP($R123,武学奇术!$A:$ZZ,24,FALSE)=1,100%,MIN(40%,$B$10+VLOOKUP($R123,武学奇术!$A:$ZZ,19,FALSE)+SUM(_xlfn.XLOOKUP(S123:AG123,增益!$A:$A,增益!$S:$S,0)))+$B$12+SUM(_xlfn.XLOOKUP(S123:AG123,增益!$A:$A,增益!$V:$V,0)))*IF(VLOOKUP($R123,武学奇术!$A:$ZZ,23,FALSE)=1,0,1)</f>
        <v>0.0929</v>
      </c>
      <c r="BN123" s="26" cm="1">
        <f t="array" ref="BN123">1+$B$14+VLOOKUP($R123,武学奇术!$A:$ZZ,20,FALSE)+SUM(_xlfn.XLOOKUP(S123:AG123,增益!$A:$A,增益!$T:$T,0))</f>
        <v>1.35</v>
      </c>
      <c r="BO123" s="26">
        <f t="shared" si="71"/>
        <v>0.829926</v>
      </c>
      <c r="BP123" s="26">
        <f t="shared" si="72"/>
        <v>0.0599391</v>
      </c>
      <c r="BQ123" s="26">
        <f>IF(VLOOKUP($R123,武学奇术!$A:$ZZ,22,FALSE)=1,0,(1-$BJ123))*(1-$BM123)</f>
        <v>0.0172349</v>
      </c>
      <c r="BR123" s="26" cm="1">
        <f t="array" ref="BR123">SUM(_xlfn.XLOOKUP(S123:AG123,增益!$A:$A,增益!$W:$W,0))+$I$5</f>
        <v>0.11</v>
      </c>
    </row>
    <row r="124" spans="1:70">
      <c r="A124" s="4" t="s">
        <v>166</v>
      </c>
      <c r="B124" s="87">
        <v>1</v>
      </c>
      <c r="K124">
        <f>$L124*VLOOKUP($R124,武学奇术!$A:$ZZ,31,FALSE)</f>
        <v>140240.749978197</v>
      </c>
      <c r="L124" s="38">
        <f>($M124*$BO124+$N124*$BM124+$O124*$BP124+$P124*$BQ124)</f>
        <v>133562.619026854</v>
      </c>
      <c r="M124" s="38">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BL124*$Q124*(1+IF(VLOOKUP($R124,武学奇术!$A:$ZZ,30,FALSE)="回旋伞",$B$21,0))*(1+$BR124)</f>
        <v>141543.894735019</v>
      </c>
      <c r="N124" s="38">
        <f>(($AP124*$AI124+$AJ124)*(1+$AQ124)*(1+$AR124)+($AU124*IF($G$1="鸣金",$AK124,$AI124)+IF($G$1="鸣金",$AL124*1.5,0))*(1+$AV124)*(1+$AW124)+($AY124*IF($G$1="裂石",$AK124,$AI124)+IF($G$1="裂石",$AL124*1.5,0))*(1+$AZ124)*(1+$BA124)+($BC124*IF($G$1="牵丝",$AK124,$AI124)+IF($G$1="牵丝",$AL124*1.5,0))*(1+$BD124)*(1+$BE124)+($BG124*IF($G$1="破竹",$AK124,$AI124)+IF($G$1="破竹",$AL124*1.5,0))*(1+$BH124)*(1+$BI124))*(1+$AM124)*$BN124*$Q124*(1+IF(VLOOKUP($R124,武学奇术!$A:$ZZ,30,FALSE)="回旋伞",$B$21,0))*(1+$BR124)</f>
        <v>113502.271757995</v>
      </c>
      <c r="O124" s="38">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Q124*(1+IF(VLOOKUP($R124,武学奇术!$A:$ZZ,30,FALSE)="回旋伞",$B$21,0))*(1+$BR124)</f>
        <v>74106.7511701669</v>
      </c>
      <c r="P124" s="38">
        <f>((($AO124*$AI124+$AJ124)*(1+$AQ124)*(1+$AR124)+($AT124*IF($G$1="鸣金",$AK124,$AI124)+IF($G$1="鸣金",$AL124*1.5,0))*(1+$AV124)*(1+$AW124)+($AX124*IF($G$1="裂石",$AK124,$AI124)+IF($G$1="裂石",$AL124*1.5,0))*(1+$AZ124)*(1+$BA124)+($BB124*IF($G$1="牵丝",$AK124,$AI124)+IF($G$1="牵丝",$AL124*1.5,0))*(1+$BD124)*(1+$BE124)+($BF124*IF($G$1="破竹",$AK124,$AI124)+IF($G$1="破竹",$AL124*1.5,0))*(1+$BH124)*(1+$BI124))*(1+$AM124))*$Q124*(1+IF(VLOOKUP($R124,武学奇术!$A:$ZZ,30,FALSE)="回旋伞",$B$21,0))*(1+$BR124)</f>
        <v>64137.7454825597</v>
      </c>
      <c r="Q124" s="39">
        <v>1</v>
      </c>
      <c r="R124" s="40" t="s">
        <v>182</v>
      </c>
      <c r="S124" s="40" t="s">
        <v>72</v>
      </c>
      <c r="T124" s="40" t="s">
        <v>95</v>
      </c>
      <c r="U124" s="40" t="s">
        <v>73</v>
      </c>
      <c r="V124" s="40" t="s">
        <v>72</v>
      </c>
      <c r="W124" s="40" t="s">
        <v>172</v>
      </c>
      <c r="X124" s="40" t="s">
        <v>99</v>
      </c>
      <c r="Y124" s="40" t="s">
        <v>84</v>
      </c>
      <c r="Z124" s="40" t="s">
        <v>72</v>
      </c>
      <c r="AA124" s="40" t="s">
        <v>72</v>
      </c>
      <c r="AB124" s="40" t="s">
        <v>72</v>
      </c>
      <c r="AC124" s="40" t="s">
        <v>85</v>
      </c>
      <c r="AD124" s="40" t="s">
        <v>72</v>
      </c>
      <c r="AE124" s="40" t="s">
        <v>72</v>
      </c>
      <c r="AF124" s="40" t="s">
        <v>77</v>
      </c>
      <c r="AG124" s="40" t="s">
        <v>78</v>
      </c>
      <c r="AH124" t="str">
        <f>VLOOKUP($R124,武学奇术!$A:$ZZ,25,FALSE)</f>
        <v>单体奇术</v>
      </c>
      <c r="AI124" s="26">
        <f>VLOOKUP($R124,武学奇术!$A:$ZZ,26,FALSE)</f>
        <v>7.1084</v>
      </c>
      <c r="AJ124" s="27">
        <f>VLOOKUP($R124,武学奇术!$A:$ZZ,27,FALSE)*(1+IF(OR($AH124=$F$4,$AH124=$F$5),$B$22,0))</f>
        <v>1369</v>
      </c>
      <c r="AK124" s="26">
        <f>VLOOKUP($R124,武学奇术!$A:$ZZ,28,FALSE)</f>
        <v>10.6626</v>
      </c>
      <c r="AL124" s="27">
        <f>VLOOKUP($R124,武学奇术!$A:$ZZ,29,FALSE)*(1+IF(OR($AH124=$F$4,$AH124=$F$5),$B$22,0))</f>
        <v>0</v>
      </c>
      <c r="AM124" s="26" cm="1">
        <f t="array" ref="AM124">$G$3+IFERROR(VLOOKUP($AH124,$F$4:$G$7,2,FALSE),0)+VLOOKUP($R124,武学奇术!$A:$ZZ,2,FALSE)+SUM(_xlfn.XLOOKUP($S124:$AG124,增益!$A:$A,增益!$B:$B,0))</f>
        <v>0.2837</v>
      </c>
      <c r="AN124" s="26" cm="1">
        <f t="array" ref="AN124">VLOOKUP($R124,武学奇术!$A:$ZZ,5,FALSE)+SUM(_xlfn.XLOOKUP($S124:$AG124,增益!$A:$A,增益!$E:$E,0))</f>
        <v>0</v>
      </c>
      <c r="AO124" cm="1">
        <f t="array" ref="AO124">$D$10*(1+$AN124)+VLOOKUP($R124,武学奇术!$A:$ZZ,3,FALSE)+SUM(_xlfn.XLOOKUP($S124:$AG124,增益!$A:$A,增益!$C:$C,0))-$I$2</f>
        <v>3624.6</v>
      </c>
      <c r="AP124" cm="1">
        <f t="array" ref="AP124">$E$10*(1+$AN124)+VLOOKUP($R124,武学奇术!$A:$ZZ,4,FALSE)+SUM(_xlfn.XLOOKUP($S124:$AG124,增益!$A:$A,增益!$D:$D,0))-$I$2</f>
        <v>3624.6</v>
      </c>
      <c r="AQ124" s="32" cm="1">
        <f t="array" ref="AQ124">IF($F$10-$I$3+VLOOKUP($R124,武学奇术!$A:$ZZ,6,FALSE)+SUM(_xlfn.XLOOKUP(S124:AG124,增益!$A:$A,增益!$F:$F,0))&gt;0,($F$10-$I$3+VLOOKUP($R124,武学奇术!$A:$ZZ,6,FALSE)+SUM(_xlfn.XLOOKUP(S124:AG124,增益!$A:$A,增益!$F:$F,0)))/200,($F$10-$I$3+VLOOKUP($R124,武学奇术!$A:$ZZ,6,FALSE)+SUM(_xlfn.XLOOKUP(S124:AG124,增益!$A:$A,增益!$F:$F,0)))/100)</f>
        <v>0.3425</v>
      </c>
      <c r="AR124" s="32" cm="1">
        <f t="array" ref="AR124">$G$10+VLOOKUP($R124,武学奇术!$A:$ZZ,7,FALSE)+SUM(_xlfn.XLOOKUP(S124:AG124,增益!$A:$A,增益!$G:$G,0))</f>
        <v>0.028</v>
      </c>
      <c r="AS124" s="26" cm="1">
        <f t="array" ref="AS124">VLOOKUP($R124,武学奇术!$A:$ZZ,8,FALSE)+SUM(_xlfn.XLOOKUP(S124:AG124,增益!$A:$A,增益!$H:$H,0))</f>
        <v>0</v>
      </c>
      <c r="AT124">
        <f t="shared" si="63"/>
        <v>0</v>
      </c>
      <c r="AU124">
        <f t="shared" si="64"/>
        <v>0</v>
      </c>
      <c r="AV124" s="32" cm="1">
        <f t="array" ref="AV124">IF($F$11-$I$4+VLOOKUP($R124,武学奇术!$A:$ZZ,9,FALSE)+SUM(_xlfn.XLOOKUP(S124:AG124,增益!$A:$A,增益!$I:$I,0))&gt;0,($F$11-$I$4+VLOOKUP($R124,武学奇术!$A:$ZZ,9,FALSE)+SUM(_xlfn.XLOOKUP(S124:AG124,增益!$A:$A,增益!$I:$I,0)))/200,($F$11-$I$4+VLOOKUP($R124,武学奇术!$A:$ZZ,9,FALSE)+SUM(_xlfn.XLOOKUP(S124:AG124,增益!$A:$A,增益!$I:$I,0)))/100)</f>
        <v>-0.14</v>
      </c>
      <c r="AW124" s="32" cm="1">
        <f t="array" ref="AW124">$G$11+VLOOKUP($R124,武学奇术!$A:$ZZ,10,FALSE)+SUM(_xlfn.XLOOKUP(S124:AG124,增益!$A:$A,增益!$J:$J,0))</f>
        <v>0</v>
      </c>
      <c r="AX124">
        <f t="shared" si="65"/>
        <v>0</v>
      </c>
      <c r="AY124">
        <f t="shared" si="66"/>
        <v>0</v>
      </c>
      <c r="AZ124" s="32" cm="1">
        <f t="array" ref="AZ124">IF($F$12-$I$4+VLOOKUP($R124,武学奇术!$A:$ZZ,11,FALSE)+SUM(_xlfn.XLOOKUP(S124:AG124,增益!$A:$A,增益!$K:$K,0))&gt;0,($F$12-$I$4+VLOOKUP($R124,武学奇术!$A:$ZZ,11,FALSE)+SUM(_xlfn.XLOOKUP(S124:AG124,增益!$A:$A,增益!$K:$K,0)))/200,($F$12-$I$4+VLOOKUP($R124,武学奇术!$A:$ZZ,11,FALSE)+SUM(_xlfn.XLOOKUP(S124:AG124,增益!$A:$A,增益!$K:$K,0)))/100)</f>
        <v>-0.14</v>
      </c>
      <c r="BA124" s="32" cm="1">
        <f t="array" ref="BA124">$G$12+VLOOKUP($R124,武学奇术!$A:$ZZ,12,FALSE)+SUM(_xlfn.XLOOKUP(S124:AG124,增益!$A:$A,增益!$L:$L,0))</f>
        <v>0</v>
      </c>
      <c r="BB124">
        <f t="shared" si="67"/>
        <v>0</v>
      </c>
      <c r="BC124">
        <f t="shared" si="68"/>
        <v>0</v>
      </c>
      <c r="BD124" s="32" cm="1">
        <f t="array" ref="BD124">IF($F$13-$I$4+VLOOKUP($R124,武学奇术!$A:$ZZ,13,FALSE)+SUM(_xlfn.XLOOKUP(S124:AG124,增益!$A:$A,增益!$M:$M,0))&gt;0,($F$13-$I$4+VLOOKUP($R124,武学奇术!$A:$ZZ,13,FALSE)+SUM(_xlfn.XLOOKUP(S124:AG124,增益!$A:$A,增益!$K:$K,0)))/200,($F$13-$I$4+VLOOKUP($R124,武学奇术!$A:$ZZ,13,FALSE)+SUM(_xlfn.XLOOKUP(S124:AG124,增益!$A:$A,增益!$M:$M,0)))/100)</f>
        <v>-0.14</v>
      </c>
      <c r="BE124" s="32" cm="1">
        <f t="array" ref="BE124">$G$13+VLOOKUP($R124,武学奇术!$A:$ZZ,14,FALSE)+SUM(_xlfn.XLOOKUP(S124:AG124,增益!$A:$A,增益!$N:$N,0))</f>
        <v>0</v>
      </c>
      <c r="BF124">
        <f t="shared" si="69"/>
        <v>571.2</v>
      </c>
      <c r="BG124">
        <f t="shared" si="70"/>
        <v>1627.8</v>
      </c>
      <c r="BH124" s="32" cm="1">
        <f t="array" ref="BH124">IF($F$14-$I$4+VLOOKUP($R124,武学奇术!$A:$ZZ,15,FALSE)+SUM(_xlfn.XLOOKUP(S124:AG124,增益!$A:$A,增益!$O:$O,0))&gt;0,($F$14-$I$4+VLOOKUP($R124,武学奇术!$A:$ZZ,15,FALSE)+SUM(_xlfn.XLOOKUP(S124:AG124,增益!$A:$A,增益!$O:$O,0)))/200,($F$14-$I$4+VLOOKUP($R124,武学奇术!$A:$ZZ,15,FALSE)+SUM(_xlfn.XLOOKUP(S124:AG124,增益!$A:$A,增益!$O:$O,0)))/100)</f>
        <v>0.08</v>
      </c>
      <c r="BI124" s="32" cm="1">
        <f t="array" ref="BI124">$G$14+VLOOKUP($R124,武学奇术!$A:$ZZ,16,FALSE)+SUM(_xlfn.XLOOKUP(S124:AG124,增益!$A:$A,增益!$P:$P,0))</f>
        <v>0.15</v>
      </c>
      <c r="BJ124" s="26">
        <f>MIN(IF(VLOOKUP($R124,武学奇术!$A:$ZZ,23,FALSE)=1,100%,$B$8),100%)</f>
        <v>0.981</v>
      </c>
      <c r="BK124" s="26" cm="1">
        <f t="array" ref="BK124">IF(VLOOKUP($R124,武学奇术!$A:$ZZ,23,FALSE)=1,100%,MIN(80%,$B$9+VLOOKUP($R124,武学奇术!$A:$ZZ,17,FALSE)+SUM(_xlfn.XLOOKUP(S124:AG124,增益!$A:$A,增益!$Q:$Q,0)))+$B$11+SUM(_xlfn.XLOOKUP(S124:AG124,增益!$A:$A,增益!$U:$U,0)))*IF(VLOOKUP($R124,武学奇术!$A:$ZZ,24,FALSE)=1,0,1)</f>
        <v>0.846</v>
      </c>
      <c r="BL124" s="26" cm="1">
        <f t="array" ref="BL124">1+$B$13+VLOOKUP($R124,武学奇术!$A:$ZZ,18,FALSE)+SUM(_xlfn.XLOOKUP(S124:AG124,增益!$A:$A,增益!$R:$R,0))</f>
        <v>1.91</v>
      </c>
      <c r="BM124" s="26" cm="1">
        <f t="array" ref="BM124">IF(VLOOKUP($R124,武学奇术!$A:$ZZ,24,FALSE)=1,100%,MIN(40%,$B$10+VLOOKUP($R124,武学奇术!$A:$ZZ,19,FALSE)+SUM(_xlfn.XLOOKUP(S124:AG124,增益!$A:$A,增益!$S:$S,0)))+$B$12+SUM(_xlfn.XLOOKUP(S124:AG124,增益!$A:$A,增益!$V:$V,0)))*IF(VLOOKUP($R124,武学奇术!$A:$ZZ,23,FALSE)=1,0,1)</f>
        <v>0.0929</v>
      </c>
      <c r="BN124" s="26" cm="1">
        <f t="array" ref="BN124">1+$B$14+VLOOKUP($R124,武学奇术!$A:$ZZ,20,FALSE)+SUM(_xlfn.XLOOKUP(S124:AG124,增益!$A:$A,增益!$T:$T,0))</f>
        <v>1.35</v>
      </c>
      <c r="BO124" s="26">
        <f t="shared" si="71"/>
        <v>0.829926</v>
      </c>
      <c r="BP124" s="26">
        <f t="shared" si="72"/>
        <v>0.0599391</v>
      </c>
      <c r="BQ124" s="26">
        <f>IF(VLOOKUP($R124,武学奇术!$A:$ZZ,22,FALSE)=1,0,(1-$BJ124))*(1-$BM124)</f>
        <v>0.0172349</v>
      </c>
      <c r="BR124" s="26" cm="1">
        <f t="array" ref="BR124">SUM(_xlfn.XLOOKUP(S124:AG124,增益!$A:$A,增益!$W:$W,0))+$I$5</f>
        <v>0.11</v>
      </c>
    </row>
    <row r="125" spans="1:70">
      <c r="A125" s="4" t="s">
        <v>171</v>
      </c>
      <c r="B125" s="87">
        <v>0.1</v>
      </c>
      <c r="K125">
        <f>$L125*VLOOKUP($R125,武学奇术!$A:$ZZ,31,FALSE)</f>
        <v>48315.9700725997</v>
      </c>
      <c r="L125" s="38">
        <f t="shared" si="62"/>
        <v>46015.2095929521</v>
      </c>
      <c r="M125" s="38">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BL125*$Q125*(1+IF(VLOOKUP($R125,武学奇术!$A:$ZZ,30,FALSE)="回旋伞",$B$21,0))*(1+$BR125)</f>
        <v>48819.4029378084</v>
      </c>
      <c r="N125" s="38">
        <f>(($AP125*$AI125+$AJ125)*(1+$AQ125)*(1+$AR125)+($AU125*IF($G$1="鸣金",$AK125,$AI125)+IF($G$1="鸣金",$AL125*1.5,0))*(1+$AV125)*(1+$AW125)+($AY125*IF($G$1="裂石",$AK125,$AI125)+IF($G$1="裂石",$AL125*1.5,0))*(1+$AZ125)*(1+$BA125)+($BC125*IF($G$1="牵丝",$AK125,$AI125)+IF($G$1="牵丝",$AL125*1.5,0))*(1+$BD125)*(1+$BE125)+($BG125*IF($G$1="破竹",$AK125,$AI125)+IF($G$1="破竹",$AL125*1.5,0))*(1+$BH125)*(1+$BI125))*(1+$AM125)*$BN125*$Q125*(1+IF(VLOOKUP($R125,武学奇术!$A:$ZZ,30,FALSE)="回旋伞",$B$21,0))*(1+$BR125)</f>
        <v>38506.2378695232</v>
      </c>
      <c r="O125" s="38">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Q125*(1+IF(VLOOKUP($R125,武学奇术!$A:$ZZ,30,FALSE)="回旋伞",$B$21,0))*(1+$BR125)</f>
        <v>25559.8968260777</v>
      </c>
      <c r="P125" s="38">
        <f>((($AO125*$AI125+$AJ125)*(1+$AQ125)*(1+$AR125)+($AT125*IF($G$1="鸣金",$AK125,$AI125)+IF($G$1="鸣金",$AL125*1.5,0))*(1+$AV125)*(1+$AW125)+($AX125*IF($G$1="裂石",$AK125,$AI125)+IF($G$1="裂石",$AL125*1.5,0))*(1+$AZ125)*(1+$BA125)+($BB125*IF($G$1="牵丝",$AK125,$AI125)+IF($G$1="牵丝",$AL125*1.5,0))*(1+$BD125)*(1+$BE125)+($BF125*IF($G$1="破竹",$AK125,$AI125)+IF($G$1="破竹",$AL125*1.5,0))*(1+$BH125)*(1+$BI125))*(1+$AM125))*$Q125*(1+IF(VLOOKUP($R125,武学奇术!$A:$ZZ,30,FALSE)="回旋伞",$B$21,0))*(1+$BR125)</f>
        <v>22596.6544895455</v>
      </c>
      <c r="Q125" s="39">
        <v>1</v>
      </c>
      <c r="R125" s="40" t="s">
        <v>159</v>
      </c>
      <c r="S125" s="40" t="s">
        <v>72</v>
      </c>
      <c r="T125" s="40" t="s">
        <v>95</v>
      </c>
      <c r="U125" s="40" t="s">
        <v>73</v>
      </c>
      <c r="V125" s="40" t="s">
        <v>72</v>
      </c>
      <c r="W125" s="40" t="s">
        <v>172</v>
      </c>
      <c r="X125" s="40" t="s">
        <v>99</v>
      </c>
      <c r="Y125" s="40" t="s">
        <v>72</v>
      </c>
      <c r="Z125" s="40" t="s">
        <v>72</v>
      </c>
      <c r="AA125" s="40" t="s">
        <v>72</v>
      </c>
      <c r="AB125" s="40" t="s">
        <v>72</v>
      </c>
      <c r="AC125" s="40" t="s">
        <v>85</v>
      </c>
      <c r="AD125" s="40" t="s">
        <v>72</v>
      </c>
      <c r="AE125" s="40" t="s">
        <v>72</v>
      </c>
      <c r="AF125" s="40" t="s">
        <v>77</v>
      </c>
      <c r="AG125" s="40" t="s">
        <v>78</v>
      </c>
      <c r="AH125" t="str">
        <f>VLOOKUP($R125,武学奇术!$A:$ZZ,25,FALSE)</f>
        <v>伞</v>
      </c>
      <c r="AI125" s="26">
        <f>VLOOKUP($R125,武学奇术!$A:$ZZ,26,FALSE)</f>
        <v>2.01456</v>
      </c>
      <c r="AJ125" s="27">
        <f>VLOOKUP($R125,武学奇术!$A:$ZZ,27,FALSE)*(1+IF(OR($AH125=$F$4,$AH125=$F$5),$B$22,0))</f>
        <v>837</v>
      </c>
      <c r="AK125" s="26">
        <f>VLOOKUP($R125,武学奇术!$A:$ZZ,28,FALSE)</f>
        <v>3.02184</v>
      </c>
      <c r="AL125" s="27">
        <f>VLOOKUP($R125,武学奇术!$A:$ZZ,29,FALSE)*(1+IF(OR($AH125=$F$4,$AH125=$F$5),$B$22,0))</f>
        <v>453.6</v>
      </c>
      <c r="AM125" s="26" cm="1">
        <f t="array" ref="AM125">$G$3+IFERROR(VLOOKUP($AH125,$F$4:$G$7,2,FALSE),0)+VLOOKUP($R125,武学奇术!$A:$ZZ,2,FALSE)+SUM(_xlfn.XLOOKUP($S125:$AG125,增益!$A:$A,增益!$B:$B,0))</f>
        <v>0.4541</v>
      </c>
      <c r="AN125" s="26" cm="1">
        <f t="array" ref="AN125">VLOOKUP($R125,武学奇术!$A:$ZZ,5,FALSE)+SUM(_xlfn.XLOOKUP($S125:$AG125,增益!$A:$A,增益!$E:$E,0))</f>
        <v>0</v>
      </c>
      <c r="AO125" cm="1">
        <f t="array" ref="AO125">$D$10*(1+$AN125)+VLOOKUP($R125,武学奇术!$A:$ZZ,3,FALSE)+SUM(_xlfn.XLOOKUP($S125:$AG125,增益!$A:$A,增益!$C:$C,0))-$I$2</f>
        <v>3624.6</v>
      </c>
      <c r="AP125" cm="1">
        <f t="array" ref="AP125">$E$10*(1+$AN125)+VLOOKUP($R125,武学奇术!$A:$ZZ,4,FALSE)+SUM(_xlfn.XLOOKUP($S125:$AG125,增益!$A:$A,增益!$D:$D,0))-$I$2</f>
        <v>3624.6</v>
      </c>
      <c r="AQ125" s="32" cm="1">
        <f t="array" ref="AQ125">IF($F$10-$I$3+VLOOKUP($R125,武学奇术!$A:$ZZ,6,FALSE)+SUM(_xlfn.XLOOKUP(S125:AG125,增益!$A:$A,增益!$F:$F,0))&gt;0,($F$10-$I$3+VLOOKUP($R125,武学奇术!$A:$ZZ,6,FALSE)+SUM(_xlfn.XLOOKUP(S125:AG125,增益!$A:$A,增益!$F:$F,0)))/200,($F$10-$I$3+VLOOKUP($R125,武学奇术!$A:$ZZ,6,FALSE)+SUM(_xlfn.XLOOKUP(S125:AG125,增益!$A:$A,增益!$F:$F,0)))/100)</f>
        <v>0.3425</v>
      </c>
      <c r="AR125" s="32" cm="1">
        <f t="array" ref="AR125">$G$10+VLOOKUP($R125,武学奇术!$A:$ZZ,7,FALSE)+SUM(_xlfn.XLOOKUP(S125:AG125,增益!$A:$A,增益!$G:$G,0))</f>
        <v>0.028</v>
      </c>
      <c r="AS125" s="26" cm="1">
        <f t="array" ref="AS125">VLOOKUP($R125,武学奇术!$A:$ZZ,8,FALSE)+SUM(_xlfn.XLOOKUP(S125:AG125,增益!$A:$A,增益!$H:$H,0))</f>
        <v>0</v>
      </c>
      <c r="AT125">
        <f t="shared" si="63"/>
        <v>0</v>
      </c>
      <c r="AU125">
        <f t="shared" si="64"/>
        <v>0</v>
      </c>
      <c r="AV125" s="32" cm="1">
        <f t="array" ref="AV125">IF($F$11-$I$4+VLOOKUP($R125,武学奇术!$A:$ZZ,9,FALSE)+SUM(_xlfn.XLOOKUP(S125:AG125,增益!$A:$A,增益!$I:$I,0))&gt;0,($F$11-$I$4+VLOOKUP($R125,武学奇术!$A:$ZZ,9,FALSE)+SUM(_xlfn.XLOOKUP(S125:AG125,增益!$A:$A,增益!$I:$I,0)))/200,($F$11-$I$4+VLOOKUP($R125,武学奇术!$A:$ZZ,9,FALSE)+SUM(_xlfn.XLOOKUP(S125:AG125,增益!$A:$A,增益!$I:$I,0)))/100)</f>
        <v>-0.3</v>
      </c>
      <c r="AW125" s="32" cm="1">
        <f t="array" ref="AW125">$G$11+VLOOKUP($R125,武学奇术!$A:$ZZ,10,FALSE)+SUM(_xlfn.XLOOKUP(S125:AG125,增益!$A:$A,增益!$J:$J,0))</f>
        <v>0</v>
      </c>
      <c r="AX125">
        <f t="shared" si="65"/>
        <v>0</v>
      </c>
      <c r="AY125">
        <f t="shared" si="66"/>
        <v>0</v>
      </c>
      <c r="AZ125" s="32" cm="1">
        <f t="array" ref="AZ125">IF($F$12-$I$4+VLOOKUP($R125,武学奇术!$A:$ZZ,11,FALSE)+SUM(_xlfn.XLOOKUP(S125:AG125,增益!$A:$A,增益!$K:$K,0))&gt;0,($F$12-$I$4+VLOOKUP($R125,武学奇术!$A:$ZZ,11,FALSE)+SUM(_xlfn.XLOOKUP(S125:AG125,增益!$A:$A,增益!$K:$K,0)))/200,($F$12-$I$4+VLOOKUP($R125,武学奇术!$A:$ZZ,11,FALSE)+SUM(_xlfn.XLOOKUP(S125:AG125,增益!$A:$A,增益!$K:$K,0)))/100)</f>
        <v>-0.3</v>
      </c>
      <c r="BA125" s="32" cm="1">
        <f t="array" ref="BA125">$G$12+VLOOKUP($R125,武学奇术!$A:$ZZ,12,FALSE)+SUM(_xlfn.XLOOKUP(S125:AG125,增益!$A:$A,增益!$L:$L,0))</f>
        <v>0</v>
      </c>
      <c r="BB125">
        <f t="shared" si="67"/>
        <v>0</v>
      </c>
      <c r="BC125">
        <f t="shared" si="68"/>
        <v>0</v>
      </c>
      <c r="BD125" s="32" cm="1">
        <f t="array" ref="BD125">IF($F$13-$I$4+VLOOKUP($R125,武学奇术!$A:$ZZ,13,FALSE)+SUM(_xlfn.XLOOKUP(S125:AG125,增益!$A:$A,增益!$M:$M,0))&gt;0,($F$13-$I$4+VLOOKUP($R125,武学奇术!$A:$ZZ,13,FALSE)+SUM(_xlfn.XLOOKUP(S125:AG125,增益!$A:$A,增益!$K:$K,0)))/200,($F$13-$I$4+VLOOKUP($R125,武学奇术!$A:$ZZ,13,FALSE)+SUM(_xlfn.XLOOKUP(S125:AG125,增益!$A:$A,增益!$M:$M,0)))/100)</f>
        <v>-0.3</v>
      </c>
      <c r="BE125" s="32" cm="1">
        <f t="array" ref="BE125">$G$13+VLOOKUP($R125,武学奇术!$A:$ZZ,14,FALSE)+SUM(_xlfn.XLOOKUP(S125:AG125,增益!$A:$A,增益!$N:$N,0))</f>
        <v>0</v>
      </c>
      <c r="BF125">
        <f t="shared" si="69"/>
        <v>571.2</v>
      </c>
      <c r="BG125">
        <f t="shared" si="70"/>
        <v>1627.8</v>
      </c>
      <c r="BH125" s="32" cm="1">
        <f t="array" ref="BH125">IF($F$14-$I$4+VLOOKUP($R125,武学奇术!$A:$ZZ,15,FALSE)+SUM(_xlfn.XLOOKUP(S125:AG125,增益!$A:$A,增益!$O:$O,0))&gt;0,($F$14-$I$4+VLOOKUP($R125,武学奇术!$A:$ZZ,15,FALSE)+SUM(_xlfn.XLOOKUP(S125:AG125,增益!$A:$A,增益!$O:$O,0)))/200,($F$14-$I$4+VLOOKUP($R125,武学奇术!$A:$ZZ,15,FALSE)+SUM(_xlfn.XLOOKUP(S125:AG125,增益!$A:$A,增益!$O:$O,0)))/100)</f>
        <v>0</v>
      </c>
      <c r="BI125" s="32" cm="1">
        <f t="array" ref="BI125">$G$14+VLOOKUP($R125,武学奇术!$A:$ZZ,16,FALSE)+SUM(_xlfn.XLOOKUP(S125:AG125,增益!$A:$A,增益!$P:$P,0))</f>
        <v>0.15</v>
      </c>
      <c r="BJ125" s="26">
        <f>MIN(IF(VLOOKUP($R125,武学奇术!$A:$ZZ,23,FALSE)=1,100%,$B$8),100%)</f>
        <v>0.981</v>
      </c>
      <c r="BK125" s="26" cm="1">
        <f t="array" ref="BK125">IF(VLOOKUP($R125,武学奇术!$A:$ZZ,23,FALSE)=1,100%,MIN(80%,$B$9+VLOOKUP($R125,武学奇术!$A:$ZZ,17,FALSE)+SUM(_xlfn.XLOOKUP(S125:AG125,增益!$A:$A,增益!$Q:$Q,0)))+$B$11+SUM(_xlfn.XLOOKUP(S125:AG125,增益!$A:$A,增益!$U:$U,0)))*IF(VLOOKUP($R125,武学奇术!$A:$ZZ,24,FALSE)=1,0,1)</f>
        <v>0.846</v>
      </c>
      <c r="BL125" s="26" cm="1">
        <f t="array" ref="BL125">1+$B$13+VLOOKUP($R125,武学奇术!$A:$ZZ,18,FALSE)+SUM(_xlfn.XLOOKUP(S125:AG125,增益!$A:$A,增益!$R:$R,0))</f>
        <v>1.91</v>
      </c>
      <c r="BM125" s="26" cm="1">
        <f t="array" ref="BM125">IF(VLOOKUP($R125,武学奇术!$A:$ZZ,24,FALSE)=1,100%,MIN(40%,$B$10+VLOOKUP($R125,武学奇术!$A:$ZZ,19,FALSE)+SUM(_xlfn.XLOOKUP(S125:AG125,增益!$A:$A,增益!$S:$S,0)))+$B$12+SUM(_xlfn.XLOOKUP(S125:AG125,增益!$A:$A,增益!$V:$V,0)))*IF(VLOOKUP($R125,武学奇术!$A:$ZZ,23,FALSE)=1,0,1)</f>
        <v>0.0929</v>
      </c>
      <c r="BN125" s="26" cm="1">
        <f t="array" ref="BN125">1+$B$14+VLOOKUP($R125,武学奇术!$A:$ZZ,20,FALSE)+SUM(_xlfn.XLOOKUP(S125:AG125,增益!$A:$A,增益!$T:$T,0))</f>
        <v>1.35</v>
      </c>
      <c r="BO125" s="26">
        <f t="shared" si="71"/>
        <v>0.829926</v>
      </c>
      <c r="BP125" s="26">
        <f t="shared" si="72"/>
        <v>0.0599391</v>
      </c>
      <c r="BQ125" s="26">
        <f>IF(VLOOKUP($R125,武学奇术!$A:$ZZ,22,FALSE)=1,0,(1-$BJ125))*(1-$BM125)</f>
        <v>0.0172349</v>
      </c>
      <c r="BR125" s="26" cm="1">
        <f t="array" ref="BR125">SUM(_xlfn.XLOOKUP(S125:AG125,增益!$A:$A,增益!$W:$W,0))+$I$5</f>
        <v>0.11</v>
      </c>
    </row>
    <row r="126" spans="1:70">
      <c r="A126" s="4" t="s">
        <v>161</v>
      </c>
      <c r="B126" s="87">
        <v>1</v>
      </c>
      <c r="K126">
        <f>$L126*VLOOKUP($R126,武学奇术!$A:$ZZ,31,FALSE)</f>
        <v>12942.3244631077</v>
      </c>
      <c r="L126" s="38">
        <f t="shared" si="62"/>
        <v>12326.0232981978</v>
      </c>
      <c r="M126" s="38">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BL126*$Q126*(1+IF(VLOOKUP($R126,武学奇术!$A:$ZZ,30,FALSE)="回旋伞",$B$21,0))*(1+$BR126)</f>
        <v>13064.4898191954</v>
      </c>
      <c r="N126" s="38">
        <f>(($AP126*$AI126+$AJ126)*(1+$AQ126)*(1+$AR126)+($AU126*IF($G$1="鸣金",$AK126,$AI126)+IF($G$1="鸣金",$AL126*1.5,0))*(1+$AV126)*(1+$AW126)+($AY126*IF($G$1="裂石",$AK126,$AI126)+IF($G$1="裂石",$AL126*1.5,0))*(1+$AZ126)*(1+$BA126)+($BC126*IF($G$1="牵丝",$AK126,$AI126)+IF($G$1="牵丝",$AL126*1.5,0))*(1+$BD126)*(1+$BE126)+($BG126*IF($G$1="破竹",$AK126,$AI126)+IF($G$1="破竹",$AL126*1.5,0))*(1+$BH126)*(1+$BI126))*(1+$AM126)*$BN126*$Q126*(1+IF(VLOOKUP($R126,武学奇术!$A:$ZZ,30,FALSE)="回旋伞",$B$21,0))*(1+$BR126)</f>
        <v>10453.844806615</v>
      </c>
      <c r="O126" s="38">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Q126*(1+IF(VLOOKUP($R126,武学奇术!$A:$ZZ,30,FALSE)="回旋伞",$B$21,0))*(1+$BR126)</f>
        <v>6840.04702575677</v>
      </c>
      <c r="P126" s="38">
        <f>((($AO126*$AI126+$AJ126)*(1+$AQ126)*(1+$AR126)+($AT126*IF($G$1="鸣金",$AK126,$AI126)+IF($G$1="鸣金",$AL126*1.5,0))*(1+$AV126)*(1+$AW126)+($AX126*IF($G$1="裂石",$AK126,$AI126)+IF($G$1="裂石",$AL126*1.5,0))*(1+$AZ126)*(1+$BA126)+($BB126*IF($G$1="牵丝",$AK126,$AI126)+IF($G$1="牵丝",$AL126*1.5,0))*(1+$BD126)*(1+$BE126)+($BF126*IF($G$1="破竹",$AK126,$AI126)+IF($G$1="破竹",$AL126*1.5,0))*(1+$BH126)*(1+$BI126))*(1+$AM126))*$Q126*(1+IF(VLOOKUP($R126,武学奇术!$A:$ZZ,30,FALSE)="回旋伞",$B$21,0))*(1+$BR126)</f>
        <v>5936.50530587282</v>
      </c>
      <c r="Q126" s="39">
        <v>1</v>
      </c>
      <c r="R126" s="40" t="s">
        <v>162</v>
      </c>
      <c r="S126" s="40" t="s">
        <v>72</v>
      </c>
      <c r="T126" s="40" t="s">
        <v>95</v>
      </c>
      <c r="U126" s="40" t="s">
        <v>73</v>
      </c>
      <c r="V126" s="40" t="s">
        <v>72</v>
      </c>
      <c r="W126" s="40" t="s">
        <v>172</v>
      </c>
      <c r="X126" s="40" t="s">
        <v>99</v>
      </c>
      <c r="Y126" s="40" t="s">
        <v>72</v>
      </c>
      <c r="Z126" s="40" t="s">
        <v>72</v>
      </c>
      <c r="AA126" s="40" t="s">
        <v>72</v>
      </c>
      <c r="AB126" s="40" t="s">
        <v>72</v>
      </c>
      <c r="AC126" s="40" t="s">
        <v>85</v>
      </c>
      <c r="AD126" s="40" t="s">
        <v>72</v>
      </c>
      <c r="AE126" s="40" t="s">
        <v>72</v>
      </c>
      <c r="AF126" s="40" t="s">
        <v>77</v>
      </c>
      <c r="AG126" s="40" t="s">
        <v>78</v>
      </c>
      <c r="AH126" t="str">
        <f>VLOOKUP($R126,武学奇术!$A:$ZZ,25,FALSE)</f>
        <v>伞</v>
      </c>
      <c r="AI126" s="26">
        <f>VLOOKUP($R126,武学奇术!$A:$ZZ,26,FALSE)</f>
        <v>0.54</v>
      </c>
      <c r="AJ126" s="27">
        <f>VLOOKUP($R126,武学奇术!$A:$ZZ,27,FALSE)*(1+IF(OR($AH126=$F$4,$AH126=$F$5),$B$22,0))</f>
        <v>0</v>
      </c>
      <c r="AK126" s="26">
        <f>VLOOKUP($R126,武学奇术!$A:$ZZ,28,FALSE)</f>
        <v>0.81</v>
      </c>
      <c r="AL126" s="27">
        <f>VLOOKUP($R126,武学奇术!$A:$ZZ,29,FALSE)*(1+IF(OR($AH126=$F$4,$AH126=$F$5),$B$22,0))</f>
        <v>0</v>
      </c>
      <c r="AM126" s="26" cm="1">
        <f t="array" ref="AM126">$G$3+IFERROR(VLOOKUP($AH126,$F$4:$G$7,2,FALSE),0)+VLOOKUP($R126,武学奇术!$A:$ZZ,2,FALSE)+SUM(_xlfn.XLOOKUP($S126:$AG126,增益!$A:$A,增益!$B:$B,0))</f>
        <v>0.6541</v>
      </c>
      <c r="AN126" s="26" cm="1">
        <f t="array" ref="AN126">VLOOKUP($R126,武学奇术!$A:$ZZ,5,FALSE)+SUM(_xlfn.XLOOKUP($S126:$AG126,增益!$A:$A,增益!$E:$E,0))</f>
        <v>0</v>
      </c>
      <c r="AO126" cm="1">
        <f t="array" ref="AO126">$D$10*(1+$AN126)+VLOOKUP($R126,武学奇术!$A:$ZZ,3,FALSE)+SUM(_xlfn.XLOOKUP($S126:$AG126,增益!$A:$A,增益!$C:$C,0))-$I$2</f>
        <v>3624.6</v>
      </c>
      <c r="AP126" cm="1">
        <f t="array" ref="AP126">$E$10*(1+$AN126)+VLOOKUP($R126,武学奇术!$A:$ZZ,4,FALSE)+SUM(_xlfn.XLOOKUP($S126:$AG126,增益!$A:$A,增益!$D:$D,0))-$I$2</f>
        <v>3624.6</v>
      </c>
      <c r="AQ126" s="32" cm="1">
        <f t="array" ref="AQ126">IF($F$10-$I$3+VLOOKUP($R126,武学奇术!$A:$ZZ,6,FALSE)+SUM(_xlfn.XLOOKUP(S126:AG126,增益!$A:$A,增益!$F:$F,0))&gt;0,($F$10-$I$3+VLOOKUP($R126,武学奇术!$A:$ZZ,6,FALSE)+SUM(_xlfn.XLOOKUP(S126:AG126,增益!$A:$A,增益!$F:$F,0)))/200,($F$10-$I$3+VLOOKUP($R126,武学奇术!$A:$ZZ,6,FALSE)+SUM(_xlfn.XLOOKUP(S126:AG126,增益!$A:$A,增益!$F:$F,0)))/100)</f>
        <v>0.3425</v>
      </c>
      <c r="AR126" s="32" cm="1">
        <f t="array" ref="AR126">$G$10+VLOOKUP($R126,武学奇术!$A:$ZZ,7,FALSE)+SUM(_xlfn.XLOOKUP(S126:AG126,增益!$A:$A,增益!$G:$G,0))</f>
        <v>0.028</v>
      </c>
      <c r="AS126" s="26" cm="1">
        <f t="array" ref="AS126">VLOOKUP($R126,武学奇术!$A:$ZZ,8,FALSE)+SUM(_xlfn.XLOOKUP(S126:AG126,增益!$A:$A,增益!$H:$H,0))</f>
        <v>0</v>
      </c>
      <c r="AT126">
        <f t="shared" si="63"/>
        <v>0</v>
      </c>
      <c r="AU126">
        <f t="shared" si="64"/>
        <v>0</v>
      </c>
      <c r="AV126" s="32" cm="1">
        <f t="array" ref="AV126">IF($F$11-$I$4+VLOOKUP($R126,武学奇术!$A:$ZZ,9,FALSE)+SUM(_xlfn.XLOOKUP(S126:AG126,增益!$A:$A,增益!$I:$I,0))&gt;0,($F$11-$I$4+VLOOKUP($R126,武学奇术!$A:$ZZ,9,FALSE)+SUM(_xlfn.XLOOKUP(S126:AG126,增益!$A:$A,增益!$I:$I,0)))/200,($F$11-$I$4+VLOOKUP($R126,武学奇术!$A:$ZZ,9,FALSE)+SUM(_xlfn.XLOOKUP(S126:AG126,增益!$A:$A,增益!$I:$I,0)))/100)</f>
        <v>-0.3</v>
      </c>
      <c r="AW126" s="32" cm="1">
        <f t="array" ref="AW126">$G$11+VLOOKUP($R126,武学奇术!$A:$ZZ,10,FALSE)+SUM(_xlfn.XLOOKUP(S126:AG126,增益!$A:$A,增益!$J:$J,0))</f>
        <v>0</v>
      </c>
      <c r="AX126">
        <f t="shared" si="65"/>
        <v>0</v>
      </c>
      <c r="AY126">
        <f t="shared" si="66"/>
        <v>0</v>
      </c>
      <c r="AZ126" s="32" cm="1">
        <f t="array" ref="AZ126">IF($F$12-$I$4+VLOOKUP($R126,武学奇术!$A:$ZZ,11,FALSE)+SUM(_xlfn.XLOOKUP(S126:AG126,增益!$A:$A,增益!$K:$K,0))&gt;0,($F$12-$I$4+VLOOKUP($R126,武学奇术!$A:$ZZ,11,FALSE)+SUM(_xlfn.XLOOKUP(S126:AG126,增益!$A:$A,增益!$K:$K,0)))/200,($F$12-$I$4+VLOOKUP($R126,武学奇术!$A:$ZZ,11,FALSE)+SUM(_xlfn.XLOOKUP(S126:AG126,增益!$A:$A,增益!$K:$K,0)))/100)</f>
        <v>-0.3</v>
      </c>
      <c r="BA126" s="32" cm="1">
        <f t="array" ref="BA126">$G$12+VLOOKUP($R126,武学奇术!$A:$ZZ,12,FALSE)+SUM(_xlfn.XLOOKUP(S126:AG126,增益!$A:$A,增益!$L:$L,0))</f>
        <v>0</v>
      </c>
      <c r="BB126">
        <f t="shared" si="67"/>
        <v>0</v>
      </c>
      <c r="BC126">
        <f t="shared" si="68"/>
        <v>0</v>
      </c>
      <c r="BD126" s="32" cm="1">
        <f t="array" ref="BD126">IF($F$13-$I$4+VLOOKUP($R126,武学奇术!$A:$ZZ,13,FALSE)+SUM(_xlfn.XLOOKUP(S126:AG126,增益!$A:$A,增益!$M:$M,0))&gt;0,($F$13-$I$4+VLOOKUP($R126,武学奇术!$A:$ZZ,13,FALSE)+SUM(_xlfn.XLOOKUP(S126:AG126,增益!$A:$A,增益!$K:$K,0)))/200,($F$13-$I$4+VLOOKUP($R126,武学奇术!$A:$ZZ,13,FALSE)+SUM(_xlfn.XLOOKUP(S126:AG126,增益!$A:$A,增益!$M:$M,0)))/100)</f>
        <v>-0.3</v>
      </c>
      <c r="BE126" s="32" cm="1">
        <f t="array" ref="BE126">$G$13+VLOOKUP($R126,武学奇术!$A:$ZZ,14,FALSE)+SUM(_xlfn.XLOOKUP(S126:AG126,增益!$A:$A,增益!$N:$N,0))</f>
        <v>0</v>
      </c>
      <c r="BF126">
        <f t="shared" si="69"/>
        <v>571.2</v>
      </c>
      <c r="BG126">
        <f t="shared" si="70"/>
        <v>1627.8</v>
      </c>
      <c r="BH126" s="32" cm="1">
        <f t="array" ref="BH126">IF($F$14-$I$4+VLOOKUP($R126,武学奇术!$A:$ZZ,15,FALSE)+SUM(_xlfn.XLOOKUP(S126:AG126,增益!$A:$A,增益!$O:$O,0))&gt;0,($F$14-$I$4+VLOOKUP($R126,武学奇术!$A:$ZZ,15,FALSE)+SUM(_xlfn.XLOOKUP(S126:AG126,增益!$A:$A,增益!$O:$O,0)))/200,($F$14-$I$4+VLOOKUP($R126,武学奇术!$A:$ZZ,15,FALSE)+SUM(_xlfn.XLOOKUP(S126:AG126,增益!$A:$A,增益!$O:$O,0)))/100)</f>
        <v>0</v>
      </c>
      <c r="BI126" s="32" cm="1">
        <f t="array" ref="BI126">$G$14+VLOOKUP($R126,武学奇术!$A:$ZZ,16,FALSE)+SUM(_xlfn.XLOOKUP(S126:AG126,增益!$A:$A,增益!$P:$P,0))</f>
        <v>0.15</v>
      </c>
      <c r="BJ126" s="26">
        <f>MIN(IF(VLOOKUP($R126,武学奇术!$A:$ZZ,23,FALSE)=1,100%,$B$8),100%)</f>
        <v>0.981</v>
      </c>
      <c r="BK126" s="26" cm="1">
        <f t="array" ref="BK126">IF(VLOOKUP($R126,武学奇术!$A:$ZZ,23,FALSE)=1,100%,MIN(80%,$B$9+VLOOKUP($R126,武学奇术!$A:$ZZ,17,FALSE)+SUM(_xlfn.XLOOKUP(S126:AG126,增益!$A:$A,增益!$Q:$Q,0)))+$B$11+SUM(_xlfn.XLOOKUP(S126:AG126,增益!$A:$A,增益!$U:$U,0)))*IF(VLOOKUP($R126,武学奇术!$A:$ZZ,24,FALSE)=1,0,1)</f>
        <v>0.846</v>
      </c>
      <c r="BL126" s="26" cm="1">
        <f t="array" ref="BL126">1+$B$13+VLOOKUP($R126,武学奇术!$A:$ZZ,18,FALSE)+SUM(_xlfn.XLOOKUP(S126:AG126,增益!$A:$A,增益!$R:$R,0))</f>
        <v>1.91</v>
      </c>
      <c r="BM126" s="26" cm="1">
        <f t="array" ref="BM126">IF(VLOOKUP($R126,武学奇术!$A:$ZZ,24,FALSE)=1,100%,MIN(40%,$B$10+VLOOKUP($R126,武学奇术!$A:$ZZ,19,FALSE)+SUM(_xlfn.XLOOKUP(S126:AG126,增益!$A:$A,增益!$S:$S,0)))+$B$12+SUM(_xlfn.XLOOKUP(S126:AG126,增益!$A:$A,增益!$V:$V,0)))*IF(VLOOKUP($R126,武学奇术!$A:$ZZ,23,FALSE)=1,0,1)</f>
        <v>0.0929</v>
      </c>
      <c r="BN126" s="26" cm="1">
        <f t="array" ref="BN126">1+$B$14+VLOOKUP($R126,武学奇术!$A:$ZZ,20,FALSE)+SUM(_xlfn.XLOOKUP(S126:AG126,增益!$A:$A,增益!$T:$T,0))</f>
        <v>1.35</v>
      </c>
      <c r="BO126" s="26">
        <f t="shared" si="71"/>
        <v>0.829926</v>
      </c>
      <c r="BP126" s="26">
        <f t="shared" si="72"/>
        <v>0.0599391</v>
      </c>
      <c r="BQ126" s="26">
        <f>IF(VLOOKUP($R126,武学奇术!$A:$ZZ,22,FALSE)=1,0,(1-$BJ126))*(1-$BM126)</f>
        <v>0.0172349</v>
      </c>
      <c r="BR126" s="26" cm="1">
        <f t="array" ref="BR126">SUM(_xlfn.XLOOKUP(S126:AG126,增益!$A:$A,增益!$W:$W,0))+$I$5</f>
        <v>0.11</v>
      </c>
    </row>
    <row r="127" spans="1:70">
      <c r="A127" s="4" t="s">
        <v>161</v>
      </c>
      <c r="B127" s="87">
        <v>1</v>
      </c>
      <c r="D127" s="39" t="s">
        <v>153</v>
      </c>
      <c r="F127" s="39" t="s">
        <v>157</v>
      </c>
      <c r="K127">
        <f>$L127*VLOOKUP($R127,武学奇术!$A:$ZZ,31,FALSE)</f>
        <v>61115.7605136462</v>
      </c>
      <c r="L127" s="38">
        <f t="shared" si="62"/>
        <v>58205.4862034726</v>
      </c>
      <c r="M127" s="38">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BL127*$Q127*(1+IF(VLOOKUP($R127,武学奇术!$A:$ZZ,30,FALSE)="回旋伞",$B$21,0))*(1+$BR127)</f>
        <v>58205.4862034726</v>
      </c>
      <c r="N127" s="38">
        <f>(($AP127*$AI127+$AJ127)*(1+$AQ127)*(1+$AR127)+($AU127*IF($G$1="鸣金",$AK127,$AI127)+IF($G$1="鸣金",$AL127*1.5,0))*(1+$AV127)*(1+$AW127)+($AY127*IF($G$1="裂石",$AK127,$AI127)+IF($G$1="裂石",$AL127*1.5,0))*(1+$AZ127)*(1+$BA127)+($BC127*IF($G$1="牵丝",$AK127,$AI127)+IF($G$1="牵丝",$AL127*1.5,0))*(1+$BD127)*(1+$BE127)+($BG127*IF($G$1="破竹",$AK127,$AI127)+IF($G$1="破竹",$AL127*1.5,0))*(1+$BH127)*(1+$BI127))*(1+$AM127)*$BN127*$Q127*(1+IF(VLOOKUP($R127,武学奇术!$A:$ZZ,30,FALSE)="回旋伞",$B$21,0))*(1+$BR127)</f>
        <v>45907.9527351992</v>
      </c>
      <c r="O127" s="38">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Q127*(1+IF(VLOOKUP($R127,武学奇术!$A:$ZZ,30,FALSE)="回旋伞",$B$21,0))*(1+$BR127)</f>
        <v>30474.0765463207</v>
      </c>
      <c r="P127" s="38">
        <f>((($AO127*$AI127+$AJ127)*(1+$AQ127)*(1+$AR127)+($AT127*IF($G$1="鸣金",$AK127,$AI127)+IF($G$1="鸣金",$AL127*1.5,0))*(1+$AV127)*(1+$AW127)+($AX127*IF($G$1="裂石",$AK127,$AI127)+IF($G$1="裂石",$AL127*1.5,0))*(1+$AZ127)*(1+$BA127)+($BB127*IF($G$1="牵丝",$AK127,$AI127)+IF($G$1="牵丝",$AL127*1.5,0))*(1+$BD127)*(1+$BE127)+($BF127*IF($G$1="破竹",$AK127,$AI127)+IF($G$1="破竹",$AL127*1.5,0))*(1+$BH127)*(1+$BI127))*(1+$AM127))*$Q127*(1+IF(VLOOKUP($R127,武学奇术!$A:$ZZ,30,FALSE)="回旋伞",$B$21,0))*(1+$BR127)</f>
        <v>26942.2621776791</v>
      </c>
      <c r="Q127" s="39">
        <v>1</v>
      </c>
      <c r="R127" s="40" t="s">
        <v>166</v>
      </c>
      <c r="S127" s="40" t="s">
        <v>72</v>
      </c>
      <c r="T127" s="40" t="s">
        <v>95</v>
      </c>
      <c r="U127" s="40" t="s">
        <v>73</v>
      </c>
      <c r="V127" s="40" t="s">
        <v>72</v>
      </c>
      <c r="W127" s="40" t="s">
        <v>172</v>
      </c>
      <c r="X127" s="40" t="s">
        <v>99</v>
      </c>
      <c r="Y127" s="40" t="s">
        <v>72</v>
      </c>
      <c r="Z127" s="40" t="s">
        <v>72</v>
      </c>
      <c r="AA127" s="40" t="s">
        <v>72</v>
      </c>
      <c r="AB127" s="40" t="s">
        <v>72</v>
      </c>
      <c r="AC127" s="40" t="s">
        <v>85</v>
      </c>
      <c r="AD127" s="40" t="s">
        <v>72</v>
      </c>
      <c r="AE127" s="40" t="s">
        <v>72</v>
      </c>
      <c r="AF127" s="40" t="s">
        <v>77</v>
      </c>
      <c r="AG127" s="40" t="s">
        <v>78</v>
      </c>
      <c r="AH127" t="str">
        <f>VLOOKUP($R127,武学奇术!$A:$ZZ,25,FALSE)</f>
        <v>绳镖</v>
      </c>
      <c r="AI127" s="26">
        <f>VLOOKUP($R127,武学奇术!$A:$ZZ,26,FALSE)</f>
        <v>2.2987</v>
      </c>
      <c r="AJ127" s="27">
        <f>VLOOKUP($R127,武学奇术!$A:$ZZ,27,FALSE)*(1+IF(OR($AH127=$F$4,$AH127=$F$5),$B$22,0))</f>
        <v>955.5</v>
      </c>
      <c r="AK127" s="26">
        <f>VLOOKUP($R127,武学奇术!$A:$ZZ,28,FALSE)</f>
        <v>3.448</v>
      </c>
      <c r="AL127" s="27">
        <f>VLOOKUP($R127,武学奇术!$A:$ZZ,29,FALSE)*(1+IF(OR($AH127=$F$4,$AH127=$F$5),$B$22,0))</f>
        <v>520.5</v>
      </c>
      <c r="AM127" s="26" cm="1">
        <f t="array" ref="AM127">$G$3+IFERROR(VLOOKUP($AH127,$F$4:$G$7,2,FALSE),0)+VLOOKUP($R127,武学奇术!$A:$ZZ,2,FALSE)+SUM(_xlfn.XLOOKUP($S127:$AG127,增益!$A:$A,增益!$B:$B,0))</f>
        <v>0.5189</v>
      </c>
      <c r="AN127" s="26" cm="1">
        <f t="array" ref="AN127">VLOOKUP($R127,武学奇术!$A:$ZZ,5,FALSE)+SUM(_xlfn.XLOOKUP($S127:$AG127,增益!$A:$A,增益!$E:$E,0))</f>
        <v>0</v>
      </c>
      <c r="AO127" cm="1">
        <f t="array" ref="AO127">$D$10*(1+$AN127)+VLOOKUP($R127,武学奇术!$A:$ZZ,3,FALSE)+SUM(_xlfn.XLOOKUP($S127:$AG127,增益!$A:$A,增益!$C:$C,0))-$I$2</f>
        <v>3624.6</v>
      </c>
      <c r="AP127" cm="1">
        <f t="array" ref="AP127">$E$10*(1+$AN127)+VLOOKUP($R127,武学奇术!$A:$ZZ,4,FALSE)+SUM(_xlfn.XLOOKUP($S127:$AG127,增益!$A:$A,增益!$D:$D,0))-$I$2</f>
        <v>3624.6</v>
      </c>
      <c r="AQ127" s="32" cm="1">
        <f t="array" ref="AQ127">IF($F$10-$I$3+VLOOKUP($R127,武学奇术!$A:$ZZ,6,FALSE)+SUM(_xlfn.XLOOKUP(S127:AG127,增益!$A:$A,增益!$F:$F,0))&gt;0,($F$10-$I$3+VLOOKUP($R127,武学奇术!$A:$ZZ,6,FALSE)+SUM(_xlfn.XLOOKUP(S127:AG127,增益!$A:$A,增益!$F:$F,0)))/200,($F$10-$I$3+VLOOKUP($R127,武学奇术!$A:$ZZ,6,FALSE)+SUM(_xlfn.XLOOKUP(S127:AG127,增益!$A:$A,增益!$F:$F,0)))/100)</f>
        <v>0.3425</v>
      </c>
      <c r="AR127" s="32" cm="1">
        <f t="array" ref="AR127">$G$10+VLOOKUP($R127,武学奇术!$A:$ZZ,7,FALSE)+SUM(_xlfn.XLOOKUP(S127:AG127,增益!$A:$A,增益!$G:$G,0))</f>
        <v>0.028</v>
      </c>
      <c r="AS127" s="26" cm="1">
        <f t="array" ref="AS127">VLOOKUP($R127,武学奇术!$A:$ZZ,8,FALSE)+SUM(_xlfn.XLOOKUP(S127:AG127,增益!$A:$A,增益!$H:$H,0))</f>
        <v>0</v>
      </c>
      <c r="AT127">
        <f t="shared" ref="AT127:AT138" si="73">$D$11*(1+$AS127)</f>
        <v>0</v>
      </c>
      <c r="AU127">
        <f t="shared" ref="AU127:AU138" si="74">$E$11*(1+$AS127)</f>
        <v>0</v>
      </c>
      <c r="AV127" s="32" cm="1">
        <f t="array" ref="AV127">IF($F$11-$I$4+VLOOKUP($R127,武学奇术!$A:$ZZ,9,FALSE)+SUM(_xlfn.XLOOKUP(S127:AG127,增益!$A:$A,增益!$I:$I,0))&gt;0,($F$11-$I$4+VLOOKUP($R127,武学奇术!$A:$ZZ,9,FALSE)+SUM(_xlfn.XLOOKUP(S127:AG127,增益!$A:$A,增益!$I:$I,0)))/200,($F$11-$I$4+VLOOKUP($R127,武学奇术!$A:$ZZ,9,FALSE)+SUM(_xlfn.XLOOKUP(S127:AG127,增益!$A:$A,增益!$I:$I,0)))/100)</f>
        <v>-0.3</v>
      </c>
      <c r="AW127" s="32" cm="1">
        <f t="array" ref="AW127">$G$11+VLOOKUP($R127,武学奇术!$A:$ZZ,10,FALSE)+SUM(_xlfn.XLOOKUP(S127:AG127,增益!$A:$A,增益!$J:$J,0))</f>
        <v>0</v>
      </c>
      <c r="AX127">
        <f t="shared" ref="AX127:AX138" si="75">$D$12*(1+$AS127)</f>
        <v>0</v>
      </c>
      <c r="AY127">
        <f t="shared" ref="AY127:AY138" si="76">$E$12*(1+$AS127)</f>
        <v>0</v>
      </c>
      <c r="AZ127" s="32" cm="1">
        <f t="array" ref="AZ127">IF($F$12-$I$4+VLOOKUP($R127,武学奇术!$A:$ZZ,11,FALSE)+SUM(_xlfn.XLOOKUP(S127:AG127,增益!$A:$A,增益!$K:$K,0))&gt;0,($F$12-$I$4+VLOOKUP($R127,武学奇术!$A:$ZZ,11,FALSE)+SUM(_xlfn.XLOOKUP(S127:AG127,增益!$A:$A,增益!$K:$K,0)))/200,($F$12-$I$4+VLOOKUP($R127,武学奇术!$A:$ZZ,11,FALSE)+SUM(_xlfn.XLOOKUP(S127:AG127,增益!$A:$A,增益!$K:$K,0)))/100)</f>
        <v>-0.3</v>
      </c>
      <c r="BA127" s="32" cm="1">
        <f t="array" ref="BA127">$G$12+VLOOKUP($R127,武学奇术!$A:$ZZ,12,FALSE)+SUM(_xlfn.XLOOKUP(S127:AG127,增益!$A:$A,增益!$L:$L,0))</f>
        <v>0</v>
      </c>
      <c r="BB127">
        <f t="shared" ref="BB127:BB138" si="77">$D$13*(1+$AS127)</f>
        <v>0</v>
      </c>
      <c r="BC127">
        <f t="shared" ref="BC127:BC138" si="78">$E$13*(1+$AS127)</f>
        <v>0</v>
      </c>
      <c r="BD127" s="32" cm="1">
        <f t="array" ref="BD127">IF($F$13-$I$4+VLOOKUP($R127,武学奇术!$A:$ZZ,13,FALSE)+SUM(_xlfn.XLOOKUP(S127:AG127,增益!$A:$A,增益!$M:$M,0))&gt;0,($F$13-$I$4+VLOOKUP($R127,武学奇术!$A:$ZZ,13,FALSE)+SUM(_xlfn.XLOOKUP(S127:AG127,增益!$A:$A,增益!$K:$K,0)))/200,($F$13-$I$4+VLOOKUP($R127,武学奇术!$A:$ZZ,13,FALSE)+SUM(_xlfn.XLOOKUP(S127:AG127,增益!$A:$A,增益!$M:$M,0)))/100)</f>
        <v>-0.3</v>
      </c>
      <c r="BE127" s="32" cm="1">
        <f t="array" ref="BE127">$G$13+VLOOKUP($R127,武学奇术!$A:$ZZ,14,FALSE)+SUM(_xlfn.XLOOKUP(S127:AG127,增益!$A:$A,增益!$N:$N,0))</f>
        <v>0</v>
      </c>
      <c r="BF127">
        <f t="shared" ref="BF127:BF138" si="79">$D$14*(1+$AS127)</f>
        <v>571.2</v>
      </c>
      <c r="BG127">
        <f t="shared" ref="BG127:BG138" si="80">$E$14*(1+$AS127)</f>
        <v>1627.8</v>
      </c>
      <c r="BH127" s="32" cm="1">
        <f t="array" ref="BH127">IF($F$14-$I$4+VLOOKUP($R127,武学奇术!$A:$ZZ,15,FALSE)+SUM(_xlfn.XLOOKUP(S127:AG127,增益!$A:$A,增益!$O:$O,0))&gt;0,($F$14-$I$4+VLOOKUP($R127,武学奇术!$A:$ZZ,15,FALSE)+SUM(_xlfn.XLOOKUP(S127:AG127,增益!$A:$A,增益!$O:$O,0)))/200,($F$14-$I$4+VLOOKUP($R127,武学奇术!$A:$ZZ,15,FALSE)+SUM(_xlfn.XLOOKUP(S127:AG127,增益!$A:$A,增益!$O:$O,0)))/100)</f>
        <v>0</v>
      </c>
      <c r="BI127" s="32" cm="1">
        <f t="array" ref="BI127">$G$14+VLOOKUP($R127,武学奇术!$A:$ZZ,16,FALSE)+SUM(_xlfn.XLOOKUP(S127:AG127,增益!$A:$A,增益!$P:$P,0))</f>
        <v>0.15</v>
      </c>
      <c r="BJ127" s="26">
        <f>MIN(IF(VLOOKUP($R127,武学奇术!$A:$ZZ,23,FALSE)=1,100%,$B$8),100%)</f>
        <v>1</v>
      </c>
      <c r="BK127" s="26" cm="1">
        <f t="array" ref="BK127">IF(VLOOKUP($R127,武学奇术!$A:$ZZ,23,FALSE)=1,100%,MIN(80%,$B$9+VLOOKUP($R127,武学奇术!$A:$ZZ,17,FALSE)+SUM(_xlfn.XLOOKUP(S127:AG127,增益!$A:$A,增益!$Q:$Q,0)))+$B$11+SUM(_xlfn.XLOOKUP(S127:AG127,增益!$A:$A,增益!$U:$U,0)))*IF(VLOOKUP($R127,武学奇术!$A:$ZZ,24,FALSE)=1,0,1)</f>
        <v>1</v>
      </c>
      <c r="BL127" s="26" cm="1">
        <f t="array" ref="BL127">1+$B$13+VLOOKUP($R127,武学奇术!$A:$ZZ,18,FALSE)+SUM(_xlfn.XLOOKUP(S127:AG127,增益!$A:$A,增益!$R:$R,0))</f>
        <v>1.91</v>
      </c>
      <c r="BM127" s="26" cm="1">
        <f t="array" ref="BM127">IF(VLOOKUP($R127,武学奇术!$A:$ZZ,24,FALSE)=1,100%,MIN(40%,$B$10+VLOOKUP($R127,武学奇术!$A:$ZZ,19,FALSE)+SUM(_xlfn.XLOOKUP(S127:AG127,增益!$A:$A,增益!$S:$S,0)))+$B$12+SUM(_xlfn.XLOOKUP(S127:AG127,增益!$A:$A,增益!$V:$V,0)))*IF(VLOOKUP($R127,武学奇术!$A:$ZZ,23,FALSE)=1,0,1)</f>
        <v>0</v>
      </c>
      <c r="BN127" s="26" cm="1">
        <f t="array" ref="BN127">1+$B$14+VLOOKUP($R127,武学奇术!$A:$ZZ,20,FALSE)+SUM(_xlfn.XLOOKUP(S127:AG127,增益!$A:$A,增益!$T:$T,0))</f>
        <v>1.35</v>
      </c>
      <c r="BO127" s="26">
        <f t="shared" ref="BO127:BO138" si="81">MIN((1-BM127)*BJ127,BJ127*BK127)</f>
        <v>1</v>
      </c>
      <c r="BP127" s="26">
        <f t="shared" ref="BP127:BP138" si="82">1-BM127-BO127-BQ127</f>
        <v>0</v>
      </c>
      <c r="BQ127" s="26">
        <f>IF(VLOOKUP($R127,武学奇术!$A:$ZZ,22,FALSE)=1,0,(1-$BJ127))*(1-$BM127)</f>
        <v>0</v>
      </c>
      <c r="BR127" s="26" cm="1">
        <f t="array" ref="BR127">SUM(_xlfn.XLOOKUP(S127:AG127,增益!$A:$A,增益!$W:$W,0))+$I$5</f>
        <v>0.11</v>
      </c>
    </row>
    <row r="128" spans="1:70">
      <c r="A128" s="4" t="s">
        <v>161</v>
      </c>
      <c r="B128" s="4">
        <v>1</v>
      </c>
      <c r="D128" s="39"/>
      <c r="E128" s="39" t="s">
        <v>163</v>
      </c>
      <c r="F128" s="39"/>
      <c r="K128">
        <f>$L128*VLOOKUP($R128,武学奇术!$A:$ZZ,31,FALSE)</f>
        <v>132158.421286659</v>
      </c>
      <c r="L128" s="88">
        <f>(SUM(L103:L127)+L161+L162)*12%</f>
        <v>251730.326260304</v>
      </c>
      <c r="M128" s="38">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BL128*$Q128*(1+IF(VLOOKUP($R128,武学奇术!$A:$ZZ,30,FALSE)="回旋伞",$B$21,0))*(1+$BR128)</f>
        <v>0</v>
      </c>
      <c r="N128" s="38">
        <f>(($AP128*$AI128+$AJ128)*(1+$AQ128)*(1+$AR128)+($AU128*IF($G$1="鸣金",$AK128,$AI128)+IF($G$1="鸣金",$AL128*1.5,0))*(1+$AV128)*(1+$AW128)+($AY128*IF($G$1="裂石",$AK128,$AI128)+IF($G$1="裂石",$AL128*1.5,0))*(1+$AZ128)*(1+$BA128)+($BC128*IF($G$1="牵丝",$AK128,$AI128)+IF($G$1="牵丝",$AL128*1.5,0))*(1+$BD128)*(1+$BE128)+($BG128*IF($G$1="破竹",$AK128,$AI128)+IF($G$1="破竹",$AL128*1.5,0))*(1+$BH128)*(1+$BI128))*(1+$AM128)*$BN128*$Q128*(1+IF(VLOOKUP($R128,武学奇术!$A:$ZZ,30,FALSE)="回旋伞",$B$21,0))*(1+$BR128)</f>
        <v>0</v>
      </c>
      <c r="O128" s="38">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Q128*(1+IF(VLOOKUP($R128,武学奇术!$A:$ZZ,30,FALSE)="回旋伞",$B$21,0))*(1+$BR128)</f>
        <v>0</v>
      </c>
      <c r="P128" s="38">
        <f>((($AO128*$AI128+$AJ128)*(1+$AQ128)*(1+$AR128)+($AT128*IF($G$1="鸣金",$AK128,$AI128)+IF($G$1="鸣金",$AL128*1.5,0))*(1+$AV128)*(1+$AW128)+($AX128*IF($G$1="裂石",$AK128,$AI128)+IF($G$1="裂石",$AL128*1.5,0))*(1+$AZ128)*(1+$BA128)+($BB128*IF($G$1="牵丝",$AK128,$AI128)+IF($G$1="牵丝",$AL128*1.5,0))*(1+$BD128)*(1+$BE128)+($BF128*IF($G$1="破竹",$AK128,$AI128)+IF($G$1="破竹",$AL128*1.5,0))*(1+$BH128)*(1+$BI128))*(1+$AM128))*$Q128*(1+IF(VLOOKUP($R128,武学奇术!$A:$ZZ,30,FALSE)="回旋伞",$B$21,0))*(1+$BR128)</f>
        <v>0</v>
      </c>
      <c r="Q128" s="39">
        <v>1</v>
      </c>
      <c r="R128" s="40" t="s">
        <v>167</v>
      </c>
      <c r="S128" s="40" t="s">
        <v>72</v>
      </c>
      <c r="T128" s="40" t="s">
        <v>72</v>
      </c>
      <c r="U128" s="40" t="s">
        <v>72</v>
      </c>
      <c r="V128" s="40" t="s">
        <v>72</v>
      </c>
      <c r="W128" s="40" t="s">
        <v>72</v>
      </c>
      <c r="X128" s="40" t="s">
        <v>72</v>
      </c>
      <c r="Y128" s="40" t="s">
        <v>72</v>
      </c>
      <c r="Z128" s="40" t="s">
        <v>72</v>
      </c>
      <c r="AA128" s="40" t="s">
        <v>72</v>
      </c>
      <c r="AB128" s="40" t="s">
        <v>72</v>
      </c>
      <c r="AC128" s="40" t="s">
        <v>72</v>
      </c>
      <c r="AD128" s="40" t="s">
        <v>72</v>
      </c>
      <c r="AE128" s="40" t="s">
        <v>72</v>
      </c>
      <c r="AF128" s="40" t="s">
        <v>77</v>
      </c>
      <c r="AG128" s="40" t="s">
        <v>78</v>
      </c>
      <c r="AH128" t="str">
        <f>VLOOKUP($R128,武学奇术!$A:$ZZ,25,FALSE)</f>
        <v>心法</v>
      </c>
      <c r="AI128" s="26">
        <f>VLOOKUP($R128,武学奇术!$A:$ZZ,26,FALSE)</f>
        <v>0</v>
      </c>
      <c r="AJ128" s="27">
        <f>VLOOKUP($R128,武学奇术!$A:$ZZ,27,FALSE)*(1+IF(OR($AH128=$F$4,$AH128=$F$5),$B$22,0))</f>
        <v>0</v>
      </c>
      <c r="AK128" s="26">
        <f>VLOOKUP($R128,武学奇术!$A:$ZZ,28,FALSE)</f>
        <v>0</v>
      </c>
      <c r="AL128" s="27">
        <f>VLOOKUP($R128,武学奇术!$A:$ZZ,29,FALSE)*(1+IF(OR($AH128=$F$4,$AH128=$F$5),$B$22,0))</f>
        <v>0</v>
      </c>
      <c r="AM128" s="26" cm="1">
        <f t="array" ref="AM128">$G$3+IFERROR(VLOOKUP($AH128,$F$4:$G$7,2,FALSE),0)+VLOOKUP($R128,武学奇术!$A:$ZZ,2,FALSE)+SUM(_xlfn.XLOOKUP($S128:$AG128,增益!$A:$A,增益!$B:$B,0))</f>
        <v>0.1837</v>
      </c>
      <c r="AN128" s="26" cm="1">
        <f t="array" ref="AN128">VLOOKUP($R128,武学奇术!$A:$ZZ,5,FALSE)+SUM(_xlfn.XLOOKUP($S128:$AG128,增益!$A:$A,增益!$E:$E,0))</f>
        <v>0</v>
      </c>
      <c r="AO128" cm="1">
        <f t="array" ref="AO128">$D$10*(1+$AN128)+VLOOKUP($R128,武学奇术!$A:$ZZ,3,FALSE)+SUM(_xlfn.XLOOKUP($S128:$AG128,增益!$A:$A,增益!$C:$C,0))-$I$2</f>
        <v>3624.6</v>
      </c>
      <c r="AP128" cm="1">
        <f t="array" ref="AP128">$E$10*(1+$AN128)+VLOOKUP($R128,武学奇术!$A:$ZZ,4,FALSE)+SUM(_xlfn.XLOOKUP($S128:$AG128,增益!$A:$A,增益!$D:$D,0))-$I$2</f>
        <v>3624.6</v>
      </c>
      <c r="AQ128" s="32" cm="1">
        <f t="array" ref="AQ128">IF($F$10-$I$3+VLOOKUP($R128,武学奇术!$A:$ZZ,6,FALSE)+SUM(_xlfn.XLOOKUP(S128:AG128,增益!$A:$A,增益!$F:$F,0))&gt;0,($F$10-$I$3+VLOOKUP($R128,武学奇术!$A:$ZZ,6,FALSE)+SUM(_xlfn.XLOOKUP(S128:AG128,增益!$A:$A,增益!$F:$F,0)))/200,($F$10-$I$3+VLOOKUP($R128,武学奇术!$A:$ZZ,6,FALSE)+SUM(_xlfn.XLOOKUP(S128:AG128,增益!$A:$A,增益!$F:$F,0)))/100)</f>
        <v>0.2425</v>
      </c>
      <c r="AR128" s="32" cm="1">
        <f t="array" ref="AR128">$G$10+VLOOKUP($R128,武学奇术!$A:$ZZ,7,FALSE)+SUM(_xlfn.XLOOKUP(S128:AG128,增益!$A:$A,增益!$G:$G,0))</f>
        <v>0.028</v>
      </c>
      <c r="AS128" s="26" cm="1">
        <f t="array" ref="AS128">VLOOKUP($R128,武学奇术!$A:$ZZ,8,FALSE)+SUM(_xlfn.XLOOKUP(S128:AG128,增益!$A:$A,增益!$H:$H,0))</f>
        <v>0</v>
      </c>
      <c r="AT128">
        <f t="shared" si="73"/>
        <v>0</v>
      </c>
      <c r="AU128">
        <f t="shared" si="74"/>
        <v>0</v>
      </c>
      <c r="AV128" s="32" cm="1">
        <f t="array" ref="AV128">IF($F$11-$I$4+VLOOKUP($R128,武学奇术!$A:$ZZ,9,FALSE)+SUM(_xlfn.XLOOKUP(S128:AG128,增益!$A:$A,增益!$I:$I,0))&gt;0,($F$11-$I$4+VLOOKUP($R128,武学奇术!$A:$ZZ,9,FALSE)+SUM(_xlfn.XLOOKUP(S128:AG128,增益!$A:$A,增益!$I:$I,0)))/200,($F$11-$I$4+VLOOKUP($R128,武学奇术!$A:$ZZ,9,FALSE)+SUM(_xlfn.XLOOKUP(S128:AG128,增益!$A:$A,增益!$I:$I,0)))/100)</f>
        <v>-0.3</v>
      </c>
      <c r="AW128" s="32" cm="1">
        <f t="array" ref="AW128">$G$11+VLOOKUP($R128,武学奇术!$A:$ZZ,10,FALSE)+SUM(_xlfn.XLOOKUP(S128:AG128,增益!$A:$A,增益!$J:$J,0))</f>
        <v>0</v>
      </c>
      <c r="AX128">
        <f t="shared" si="75"/>
        <v>0</v>
      </c>
      <c r="AY128">
        <f t="shared" si="76"/>
        <v>0</v>
      </c>
      <c r="AZ128" s="32" cm="1">
        <f t="array" ref="AZ128">IF($F$12-$I$4+VLOOKUP($R128,武学奇术!$A:$ZZ,11,FALSE)+SUM(_xlfn.XLOOKUP(S128:AG128,增益!$A:$A,增益!$K:$K,0))&gt;0,($F$12-$I$4+VLOOKUP($R128,武学奇术!$A:$ZZ,11,FALSE)+SUM(_xlfn.XLOOKUP(S128:AG128,增益!$A:$A,增益!$K:$K,0)))/200,($F$12-$I$4+VLOOKUP($R128,武学奇术!$A:$ZZ,11,FALSE)+SUM(_xlfn.XLOOKUP(S128:AG128,增益!$A:$A,增益!$K:$K,0)))/100)</f>
        <v>-0.3</v>
      </c>
      <c r="BA128" s="32" cm="1">
        <f t="array" ref="BA128">$G$12+VLOOKUP($R128,武学奇术!$A:$ZZ,12,FALSE)+SUM(_xlfn.XLOOKUP(S128:AG128,增益!$A:$A,增益!$L:$L,0))</f>
        <v>0</v>
      </c>
      <c r="BB128">
        <f t="shared" si="77"/>
        <v>0</v>
      </c>
      <c r="BC128">
        <f t="shared" si="78"/>
        <v>0</v>
      </c>
      <c r="BD128" s="32" cm="1">
        <f t="array" ref="BD128">IF($F$13-$I$4+VLOOKUP($R128,武学奇术!$A:$ZZ,13,FALSE)+SUM(_xlfn.XLOOKUP(S128:AG128,增益!$A:$A,增益!$M:$M,0))&gt;0,($F$13-$I$4+VLOOKUP($R128,武学奇术!$A:$ZZ,13,FALSE)+SUM(_xlfn.XLOOKUP(S128:AG128,增益!$A:$A,增益!$K:$K,0)))/200,($F$13-$I$4+VLOOKUP($R128,武学奇术!$A:$ZZ,13,FALSE)+SUM(_xlfn.XLOOKUP(S128:AG128,增益!$A:$A,增益!$M:$M,0)))/100)</f>
        <v>-0.3</v>
      </c>
      <c r="BE128" s="32" cm="1">
        <f t="array" ref="BE128">$G$13+VLOOKUP($R128,武学奇术!$A:$ZZ,14,FALSE)+SUM(_xlfn.XLOOKUP(S128:AG128,增益!$A:$A,增益!$N:$N,0))</f>
        <v>0</v>
      </c>
      <c r="BF128">
        <f t="shared" si="79"/>
        <v>571.2</v>
      </c>
      <c r="BG128">
        <f t="shared" si="80"/>
        <v>1627.8</v>
      </c>
      <c r="BH128" s="32" cm="1">
        <f t="array" ref="BH128">IF($F$14-$I$4+VLOOKUP($R128,武学奇术!$A:$ZZ,15,FALSE)+SUM(_xlfn.XLOOKUP(S128:AG128,增益!$A:$A,增益!$O:$O,0))&gt;0,($F$14-$I$4+VLOOKUP($R128,武学奇术!$A:$ZZ,15,FALSE)+SUM(_xlfn.XLOOKUP(S128:AG128,增益!$A:$A,增益!$O:$O,0)))/200,($F$14-$I$4+VLOOKUP($R128,武学奇术!$A:$ZZ,15,FALSE)+SUM(_xlfn.XLOOKUP(S128:AG128,增益!$A:$A,增益!$O:$O,0)))/100)</f>
        <v>0</v>
      </c>
      <c r="BI128" s="32" cm="1">
        <f t="array" ref="BI128">$G$14+VLOOKUP($R128,武学奇术!$A:$ZZ,16,FALSE)+SUM(_xlfn.XLOOKUP(S128:AG128,增益!$A:$A,增益!$P:$P,0))</f>
        <v>0.15</v>
      </c>
      <c r="BJ128" s="26">
        <f>MIN(IF(VLOOKUP($R128,武学奇术!$A:$ZZ,23,FALSE)=1,100%,$B$8),100%)</f>
        <v>0.981</v>
      </c>
      <c r="BK128" s="26" cm="1">
        <f t="array" ref="BK128">IF(VLOOKUP($R128,武学奇术!$A:$ZZ,23,FALSE)=1,100%,MIN(80%,$B$9+VLOOKUP($R128,武学奇术!$A:$ZZ,17,FALSE)+SUM(_xlfn.XLOOKUP(S128:AG128,增益!$A:$A,增益!$Q:$Q,0)))+$B$11+SUM(_xlfn.XLOOKUP(S128:AG128,增益!$A:$A,增益!$U:$U,0)))*IF(VLOOKUP($R128,武学奇术!$A:$ZZ,24,FALSE)=1,0,1)</f>
        <v>0.846</v>
      </c>
      <c r="BL128" s="26" cm="1">
        <f t="array" ref="BL128">1+$B$13+VLOOKUP($R128,武学奇术!$A:$ZZ,18,FALSE)+SUM(_xlfn.XLOOKUP(S128:AG128,增益!$A:$A,增益!$R:$R,0))</f>
        <v>1.54</v>
      </c>
      <c r="BM128" s="26" cm="1">
        <f t="array" ref="BM128">IF(VLOOKUP($R128,武学奇术!$A:$ZZ,24,FALSE)=1,100%,MIN(40%,$B$10+VLOOKUP($R128,武学奇术!$A:$ZZ,19,FALSE)+SUM(_xlfn.XLOOKUP(S128:AG128,增益!$A:$A,增益!$S:$S,0)))+$B$12+SUM(_xlfn.XLOOKUP(S128:AG128,增益!$A:$A,增益!$V:$V,0)))*IF(VLOOKUP($R128,武学奇术!$A:$ZZ,23,FALSE)=1,0,1)</f>
        <v>0.0929</v>
      </c>
      <c r="BN128" s="26" cm="1">
        <f t="array" ref="BN128">1+$B$14+VLOOKUP($R128,武学奇术!$A:$ZZ,20,FALSE)+SUM(_xlfn.XLOOKUP(S128:AG128,增益!$A:$A,增益!$T:$T,0))</f>
        <v>1.35</v>
      </c>
      <c r="BO128" s="26">
        <f t="shared" si="81"/>
        <v>0.829926</v>
      </c>
      <c r="BP128" s="26">
        <f t="shared" si="82"/>
        <v>0.0599391</v>
      </c>
      <c r="BQ128" s="26">
        <f>IF(VLOOKUP($R128,武学奇术!$A:$ZZ,22,FALSE)=1,0,(1-$BJ128))*(1-$BM128)</f>
        <v>0.0172349</v>
      </c>
      <c r="BR128" s="26" cm="1">
        <f t="array" ref="BR128">SUM(_xlfn.XLOOKUP(S128:AG128,增益!$A:$A,增益!$W:$W,0))+$I$5</f>
        <v>0.11</v>
      </c>
    </row>
    <row r="129" spans="1:70">
      <c r="A129" s="4" t="s">
        <v>164</v>
      </c>
      <c r="B129" s="4">
        <v>0.85</v>
      </c>
      <c r="D129" s="39"/>
      <c r="E129" s="39"/>
      <c r="F129" s="39"/>
      <c r="K129">
        <f>$L129*VLOOKUP($R129,武学奇术!$A:$ZZ,31,FALSE)</f>
        <v>33653.7112647957</v>
      </c>
      <c r="L129" s="38">
        <f t="shared" si="62"/>
        <v>32051.1535855198</v>
      </c>
      <c r="M129" s="38">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BL129*$Q129*(1+IF(VLOOKUP($R129,武学奇术!$A:$ZZ,30,FALSE)="回旋伞",$B$21,0))*(1+$BR129)</f>
        <v>33984.3887153632</v>
      </c>
      <c r="N129" s="38">
        <f>(($AP129*$AI129+$AJ129)*(1+$AQ129)*(1+$AR129)+($AU129*IF($G$1="鸣金",$AK129,$AI129)+IF($G$1="鸣金",$AL129*1.5,0))*(1+$AV129)*(1+$AW129)+($AY129*IF($G$1="裂石",$AK129,$AI129)+IF($G$1="裂石",$AL129*1.5,0))*(1+$AZ129)*(1+$BA129)+($BC129*IF($G$1="牵丝",$AK129,$AI129)+IF($G$1="牵丝",$AL129*1.5,0))*(1+$BD129)*(1+$BE129)+($BG129*IF($G$1="破竹",$AK129,$AI129)+IF($G$1="破竹",$AL129*1.5,0))*(1+$BH129)*(1+$BI129))*(1+$AM129)*$BN129*$Q129*(1+IF(VLOOKUP($R129,武学奇术!$A:$ZZ,30,FALSE)="回旋伞",$B$21,0))*(1+$BR129)</f>
        <v>27040.1600946942</v>
      </c>
      <c r="O129" s="38">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Q129*(1+IF(VLOOKUP($R129,武学奇术!$A:$ZZ,30,FALSE)="回旋伞",$B$21,0))*(1+$BR129)</f>
        <v>17792.873672965</v>
      </c>
      <c r="P129" s="38">
        <f>((($AO129*$AI129+$AJ129)*(1+$AQ129)*(1+$AR129)+($AT129*IF($G$1="鸣金",$AK129,$AI129)+IF($G$1="鸣金",$AL129*1.5,0))*(1+$AV129)*(1+$AW129)+($AX129*IF($G$1="裂石",$AK129,$AI129)+IF($G$1="裂石",$AL129*1.5,0))*(1+$AZ129)*(1+$BA129)+($BB129*IF($G$1="牵丝",$AK129,$AI129)+IF($G$1="牵丝",$AL129*1.5,0))*(1+$BD129)*(1+$BE129)+($BF129*IF($G$1="破竹",$AK129,$AI129)+IF($G$1="破竹",$AL129*1.5,0))*(1+$BH129)*(1+$BI129))*(1+$AM129))*$Q129*(1+IF(VLOOKUP($R129,武学奇术!$A:$ZZ,30,FALSE)="回旋伞",$B$21,0))*(1+$BR129)</f>
        <v>15555.999127638</v>
      </c>
      <c r="Q129" s="39">
        <v>1</v>
      </c>
      <c r="R129" s="40" t="s">
        <v>71</v>
      </c>
      <c r="S129" s="40" t="s">
        <v>72</v>
      </c>
      <c r="T129" s="40" t="s">
        <v>95</v>
      </c>
      <c r="U129" s="40" t="s">
        <v>73</v>
      </c>
      <c r="V129" s="40" t="s">
        <v>81</v>
      </c>
      <c r="W129" s="40" t="s">
        <v>172</v>
      </c>
      <c r="X129" s="40" t="s">
        <v>99</v>
      </c>
      <c r="Y129" s="40" t="s">
        <v>72</v>
      </c>
      <c r="Z129" s="40" t="s">
        <v>72</v>
      </c>
      <c r="AA129" s="40" t="s">
        <v>72</v>
      </c>
      <c r="AB129" s="40" t="s">
        <v>72</v>
      </c>
      <c r="AC129" s="40" t="s">
        <v>85</v>
      </c>
      <c r="AD129" s="40" t="s">
        <v>72</v>
      </c>
      <c r="AE129" s="40" t="s">
        <v>72</v>
      </c>
      <c r="AF129" s="40" t="s">
        <v>77</v>
      </c>
      <c r="AG129" s="40" t="s">
        <v>78</v>
      </c>
      <c r="AH129" t="str">
        <f>VLOOKUP($R129,武学奇术!$A:$ZZ,25,FALSE)</f>
        <v>群体奇术</v>
      </c>
      <c r="AI129" s="26">
        <f>VLOOKUP($R129,武学奇术!$A:$ZZ,26,FALSE)</f>
        <v>1.4904</v>
      </c>
      <c r="AJ129" s="27">
        <f>VLOOKUP($R129,武学奇术!$A:$ZZ,27,FALSE)*(1+IF(OR($AH129=$F$4,$AH129=$F$5),$B$22,0))</f>
        <v>378</v>
      </c>
      <c r="AK129" s="26">
        <f>VLOOKUP($R129,武学奇术!$A:$ZZ,28,FALSE)</f>
        <v>2.2356</v>
      </c>
      <c r="AL129" s="27">
        <f>VLOOKUP($R129,武学奇术!$A:$ZZ,29,FALSE)*(1+IF(OR($AH129=$F$4,$AH129=$F$5),$B$22,0))</f>
        <v>0</v>
      </c>
      <c r="AM129" s="26" cm="1">
        <f t="array" ref="AM129">$G$3+IFERROR(VLOOKUP($AH129,$F$4:$G$7,2,FALSE),0)+VLOOKUP($R129,武学奇术!$A:$ZZ,2,FALSE)+SUM(_xlfn.XLOOKUP($S129:$AG129,增益!$A:$A,增益!$B:$B,0))</f>
        <v>0.4837</v>
      </c>
      <c r="AN129" s="26" cm="1">
        <f t="array" ref="AN129">VLOOKUP($R129,武学奇术!$A:$ZZ,5,FALSE)+SUM(_xlfn.XLOOKUP($S129:$AG129,增益!$A:$A,增益!$E:$E,0))</f>
        <v>0</v>
      </c>
      <c r="AO129" cm="1">
        <f t="array" ref="AO129">$D$10*(1+$AN129)+VLOOKUP($R129,武学奇术!$A:$ZZ,3,FALSE)+SUM(_xlfn.XLOOKUP($S129:$AG129,增益!$A:$A,增益!$C:$C,0))-$I$2</f>
        <v>3624.6</v>
      </c>
      <c r="AP129" cm="1">
        <f t="array" ref="AP129">$E$10*(1+$AN129)+VLOOKUP($R129,武学奇术!$A:$ZZ,4,FALSE)+SUM(_xlfn.XLOOKUP($S129:$AG129,增益!$A:$A,增益!$D:$D,0))-$I$2</f>
        <v>3624.6</v>
      </c>
      <c r="AQ129" s="32" cm="1">
        <f t="array" ref="AQ129">IF($F$10-$I$3+VLOOKUP($R129,武学奇术!$A:$ZZ,6,FALSE)+SUM(_xlfn.XLOOKUP(S129:AG129,增益!$A:$A,增益!$F:$F,0))&gt;0,($F$10-$I$3+VLOOKUP($R129,武学奇术!$A:$ZZ,6,FALSE)+SUM(_xlfn.XLOOKUP(S129:AG129,增益!$A:$A,增益!$F:$F,0)))/200,($F$10-$I$3+VLOOKUP($R129,武学奇术!$A:$ZZ,6,FALSE)+SUM(_xlfn.XLOOKUP(S129:AG129,增益!$A:$A,增益!$F:$F,0)))/100)</f>
        <v>0.3425</v>
      </c>
      <c r="AR129" s="32" cm="1">
        <f t="array" ref="AR129">$G$10+VLOOKUP($R129,武学奇术!$A:$ZZ,7,FALSE)+SUM(_xlfn.XLOOKUP(S129:AG129,增益!$A:$A,增益!$G:$G,0))</f>
        <v>0.028</v>
      </c>
      <c r="AS129" s="26" cm="1">
        <f t="array" ref="AS129">VLOOKUP($R129,武学奇术!$A:$ZZ,8,FALSE)+SUM(_xlfn.XLOOKUP(S129:AG129,增益!$A:$A,增益!$H:$H,0))</f>
        <v>0</v>
      </c>
      <c r="AT129">
        <f t="shared" si="73"/>
        <v>0</v>
      </c>
      <c r="AU129">
        <f t="shared" si="74"/>
        <v>0</v>
      </c>
      <c r="AV129" s="32" cm="1">
        <f t="array" ref="AV129">IF($F$11-$I$4+VLOOKUP($R129,武学奇术!$A:$ZZ,9,FALSE)+SUM(_xlfn.XLOOKUP(S129:AG129,增益!$A:$A,增益!$I:$I,0))&gt;0,($F$11-$I$4+VLOOKUP($R129,武学奇术!$A:$ZZ,9,FALSE)+SUM(_xlfn.XLOOKUP(S129:AG129,增益!$A:$A,增益!$I:$I,0)))/200,($F$11-$I$4+VLOOKUP($R129,武学奇术!$A:$ZZ,9,FALSE)+SUM(_xlfn.XLOOKUP(S129:AG129,增益!$A:$A,增益!$I:$I,0)))/100)</f>
        <v>-0.3</v>
      </c>
      <c r="AW129" s="32" cm="1">
        <f t="array" ref="AW129">$G$11+VLOOKUP($R129,武学奇术!$A:$ZZ,10,FALSE)+SUM(_xlfn.XLOOKUP(S129:AG129,增益!$A:$A,增益!$J:$J,0))</f>
        <v>0</v>
      </c>
      <c r="AX129">
        <f t="shared" si="75"/>
        <v>0</v>
      </c>
      <c r="AY129">
        <f t="shared" si="76"/>
        <v>0</v>
      </c>
      <c r="AZ129" s="32" cm="1">
        <f t="array" ref="AZ129">IF($F$12-$I$4+VLOOKUP($R129,武学奇术!$A:$ZZ,11,FALSE)+SUM(_xlfn.XLOOKUP(S129:AG129,增益!$A:$A,增益!$K:$K,0))&gt;0,($F$12-$I$4+VLOOKUP($R129,武学奇术!$A:$ZZ,11,FALSE)+SUM(_xlfn.XLOOKUP(S129:AG129,增益!$A:$A,增益!$K:$K,0)))/200,($F$12-$I$4+VLOOKUP($R129,武学奇术!$A:$ZZ,11,FALSE)+SUM(_xlfn.XLOOKUP(S129:AG129,增益!$A:$A,增益!$K:$K,0)))/100)</f>
        <v>-0.3</v>
      </c>
      <c r="BA129" s="32" cm="1">
        <f t="array" ref="BA129">$G$12+VLOOKUP($R129,武学奇术!$A:$ZZ,12,FALSE)+SUM(_xlfn.XLOOKUP(S129:AG129,增益!$A:$A,增益!$L:$L,0))</f>
        <v>0</v>
      </c>
      <c r="BB129">
        <f t="shared" si="77"/>
        <v>0</v>
      </c>
      <c r="BC129">
        <f t="shared" si="78"/>
        <v>0</v>
      </c>
      <c r="BD129" s="32" cm="1">
        <f t="array" ref="BD129">IF($F$13-$I$4+VLOOKUP($R129,武学奇术!$A:$ZZ,13,FALSE)+SUM(_xlfn.XLOOKUP(S129:AG129,增益!$A:$A,增益!$M:$M,0))&gt;0,($F$13-$I$4+VLOOKUP($R129,武学奇术!$A:$ZZ,13,FALSE)+SUM(_xlfn.XLOOKUP(S129:AG129,增益!$A:$A,增益!$K:$K,0)))/200,($F$13-$I$4+VLOOKUP($R129,武学奇术!$A:$ZZ,13,FALSE)+SUM(_xlfn.XLOOKUP(S129:AG129,增益!$A:$A,增益!$M:$M,0)))/100)</f>
        <v>-0.3</v>
      </c>
      <c r="BE129" s="32" cm="1">
        <f t="array" ref="BE129">$G$13+VLOOKUP($R129,武学奇术!$A:$ZZ,14,FALSE)+SUM(_xlfn.XLOOKUP(S129:AG129,增益!$A:$A,增益!$N:$N,0))</f>
        <v>0</v>
      </c>
      <c r="BF129">
        <f t="shared" si="79"/>
        <v>571.2</v>
      </c>
      <c r="BG129">
        <f t="shared" si="80"/>
        <v>1627.8</v>
      </c>
      <c r="BH129" s="32" cm="1">
        <f t="array" ref="BH129">IF($F$14-$I$4+VLOOKUP($R129,武学奇术!$A:$ZZ,15,FALSE)+SUM(_xlfn.XLOOKUP(S129:AG129,增益!$A:$A,增益!$O:$O,0))&gt;0,($F$14-$I$4+VLOOKUP($R129,武学奇术!$A:$ZZ,15,FALSE)+SUM(_xlfn.XLOOKUP(S129:AG129,增益!$A:$A,增益!$O:$O,0)))/200,($F$14-$I$4+VLOOKUP($R129,武学奇术!$A:$ZZ,15,FALSE)+SUM(_xlfn.XLOOKUP(S129:AG129,增益!$A:$A,增益!$O:$O,0)))/100)</f>
        <v>0</v>
      </c>
      <c r="BI129" s="32" cm="1">
        <f t="array" ref="BI129">$G$14+VLOOKUP($R129,武学奇术!$A:$ZZ,16,FALSE)+SUM(_xlfn.XLOOKUP(S129:AG129,增益!$A:$A,增益!$P:$P,0))</f>
        <v>0.15</v>
      </c>
      <c r="BJ129" s="26">
        <f>MIN(IF(VLOOKUP($R129,武学奇术!$A:$ZZ,23,FALSE)=1,100%,$B$8),100%)</f>
        <v>0.981</v>
      </c>
      <c r="BK129" s="26" cm="1">
        <f t="array" ref="BK129">IF(VLOOKUP($R129,武学奇术!$A:$ZZ,23,FALSE)=1,100%,MIN(80%,$B$9+VLOOKUP($R129,武学奇术!$A:$ZZ,17,FALSE)+SUM(_xlfn.XLOOKUP(S129:AG129,增益!$A:$A,增益!$Q:$Q,0)))+$B$11+SUM(_xlfn.XLOOKUP(S129:AG129,增益!$A:$A,增益!$U:$U,0)))*IF(VLOOKUP($R129,武学奇术!$A:$ZZ,24,FALSE)=1,0,1)</f>
        <v>0.846</v>
      </c>
      <c r="BL129" s="26" cm="1">
        <f t="array" ref="BL129">1+$B$13+VLOOKUP($R129,武学奇术!$A:$ZZ,18,FALSE)+SUM(_xlfn.XLOOKUP(S129:AG129,增益!$A:$A,增益!$R:$R,0))</f>
        <v>1.91</v>
      </c>
      <c r="BM129" s="26" cm="1">
        <f t="array" ref="BM129">IF(VLOOKUP($R129,武学奇术!$A:$ZZ,24,FALSE)=1,100%,MIN(40%,$B$10+VLOOKUP($R129,武学奇术!$A:$ZZ,19,FALSE)+SUM(_xlfn.XLOOKUP(S129:AG129,增益!$A:$A,增益!$S:$S,0)))+$B$12+SUM(_xlfn.XLOOKUP(S129:AG129,增益!$A:$A,增益!$V:$V,0)))*IF(VLOOKUP($R129,武学奇术!$A:$ZZ,23,FALSE)=1,0,1)</f>
        <v>0.0929</v>
      </c>
      <c r="BN129" s="26" cm="1">
        <f t="array" ref="BN129">1+$B$14+VLOOKUP($R129,武学奇术!$A:$ZZ,20,FALSE)+SUM(_xlfn.XLOOKUP(S129:AG129,增益!$A:$A,增益!$T:$T,0))</f>
        <v>1.35</v>
      </c>
      <c r="BO129" s="26">
        <f t="shared" si="81"/>
        <v>0.829926</v>
      </c>
      <c r="BP129" s="26">
        <f t="shared" si="82"/>
        <v>0.0599391</v>
      </c>
      <c r="BQ129" s="26">
        <f>IF(VLOOKUP($R129,武学奇术!$A:$ZZ,22,FALSE)=1,0,(1-$BJ129))*(1-$BM129)</f>
        <v>0.0172349</v>
      </c>
      <c r="BR129" s="26" cm="1">
        <f t="array" ref="BR129">SUM(_xlfn.XLOOKUP(S129:AG129,增益!$A:$A,增益!$W:$W,0))+$I$5</f>
        <v>0.11</v>
      </c>
    </row>
    <row r="130" spans="1:70">
      <c r="A130" s="4" t="s">
        <v>161</v>
      </c>
      <c r="B130" s="87">
        <v>1</v>
      </c>
      <c r="D130" s="39"/>
      <c r="E130" s="39"/>
      <c r="F130" s="39"/>
      <c r="K130">
        <f>$L130*VLOOKUP($R130,武学奇术!$A:$ZZ,31,FALSE)</f>
        <v>34373.1419791565</v>
      </c>
      <c r="L130" s="38">
        <f t="shared" si="62"/>
        <v>32736.3256944347</v>
      </c>
      <c r="M130" s="38">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BL130*$Q130*(1+IF(VLOOKUP($R130,武学奇术!$A:$ZZ,30,FALSE)="回旋伞",$B$21,0))*(1+$BR130)</f>
        <v>34695.7326039933</v>
      </c>
      <c r="N130" s="38">
        <f>(($AP130*$AI130+$AJ130)*(1+$AQ130)*(1+$AR130)+($AU130*IF($G$1="鸣金",$AK130,$AI130)+IF($G$1="鸣金",$AL130*1.5,0))*(1+$AV130)*(1+$AW130)+($AY130*IF($G$1="裂石",$AK130,$AI130)+IF($G$1="裂石",$AL130*1.5,0))*(1+$AZ130)*(1+$BA130)+($BC130*IF($G$1="牵丝",$AK130,$AI130)+IF($G$1="牵丝",$AL130*1.5,0))*(1+$BD130)*(1+$BE130)+($BG130*IF($G$1="破竹",$AK130,$AI130)+IF($G$1="破竹",$AL130*1.5,0))*(1+$BH130)*(1+$BI130))*(1+$AM130)*$BN130*$Q130*(1+IF(VLOOKUP($R130,武学奇术!$A:$ZZ,30,FALSE)="回旋伞",$B$21,0))*(1+$BR130)</f>
        <v>27784.5248752496</v>
      </c>
      <c r="O130" s="38">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Q130*(1+IF(VLOOKUP($R130,武学奇术!$A:$ZZ,30,FALSE)="回旋伞",$B$21,0))*(1+$BR130)</f>
        <v>18165.3050282688</v>
      </c>
      <c r="P130" s="38">
        <f>((($AO130*$AI130+$AJ130)*(1+$AQ130)*(1+$AR130)+($AT130*IF($G$1="鸣金",$AK130,$AI130)+IF($G$1="鸣金",$AL130*1.5,0))*(1+$AV130)*(1+$AW130)+($AX130*IF($G$1="裂石",$AK130,$AI130)+IF($G$1="裂石",$AL130*1.5,0))*(1+$AZ130)*(1+$BA130)+($BB130*IF($G$1="牵丝",$AK130,$AI130)+IF($G$1="牵丝",$AL130*1.5,0))*(1+$BD130)*(1+$BE130)+($BF130*IF($G$1="破竹",$AK130,$AI130)+IF($G$1="破竹",$AL130*1.5,0))*(1+$BH130)*(1+$BI130))*(1+$AM130))*$Q130*(1+IF(VLOOKUP($R130,武学奇术!$A:$ZZ,30,FALSE)="回旋伞",$B$21,0))*(1+$BR130)</f>
        <v>15749.4805193156</v>
      </c>
      <c r="Q130" s="39">
        <v>1</v>
      </c>
      <c r="R130" s="40" t="s">
        <v>71</v>
      </c>
      <c r="S130" s="40" t="s">
        <v>72</v>
      </c>
      <c r="T130" s="40" t="s">
        <v>95</v>
      </c>
      <c r="U130" s="40" t="s">
        <v>73</v>
      </c>
      <c r="V130" s="40" t="s">
        <v>81</v>
      </c>
      <c r="W130" s="40" t="s">
        <v>172</v>
      </c>
      <c r="X130" s="40" t="s">
        <v>99</v>
      </c>
      <c r="Y130" s="40" t="s">
        <v>84</v>
      </c>
      <c r="Z130" s="40" t="s">
        <v>72</v>
      </c>
      <c r="AA130" s="40" t="s">
        <v>72</v>
      </c>
      <c r="AB130" s="40" t="s">
        <v>72</v>
      </c>
      <c r="AC130" s="40" t="s">
        <v>91</v>
      </c>
      <c r="AD130" s="40" t="s">
        <v>72</v>
      </c>
      <c r="AE130" s="40" t="s">
        <v>72</v>
      </c>
      <c r="AF130" s="40" t="s">
        <v>77</v>
      </c>
      <c r="AG130" s="40" t="s">
        <v>78</v>
      </c>
      <c r="AH130" t="str">
        <f>VLOOKUP($R130,武学奇术!$A:$ZZ,25,FALSE)</f>
        <v>群体奇术</v>
      </c>
      <c r="AI130" s="26">
        <f>VLOOKUP($R130,武学奇术!$A:$ZZ,26,FALSE)</f>
        <v>1.4904</v>
      </c>
      <c r="AJ130" s="27">
        <f>VLOOKUP($R130,武学奇术!$A:$ZZ,27,FALSE)*(1+IF(OR($AH130=$F$4,$AH130=$F$5),$B$22,0))</f>
        <v>378</v>
      </c>
      <c r="AK130" s="26">
        <f>VLOOKUP($R130,武学奇术!$A:$ZZ,28,FALSE)</f>
        <v>2.2356</v>
      </c>
      <c r="AL130" s="27">
        <f>VLOOKUP($R130,武学奇术!$A:$ZZ,29,FALSE)*(1+IF(OR($AH130=$F$4,$AH130=$F$5),$B$22,0))</f>
        <v>0</v>
      </c>
      <c r="AM130" s="26" cm="1">
        <f t="array" ref="AM130">$G$3+IFERROR(VLOOKUP($AH130,$F$4:$G$7,2,FALSE),0)+VLOOKUP($R130,武学奇术!$A:$ZZ,2,FALSE)+SUM(_xlfn.XLOOKUP($S130:$AG130,增益!$A:$A,增益!$B:$B,0))</f>
        <v>0.4837</v>
      </c>
      <c r="AN130" s="26" cm="1">
        <f t="array" ref="AN130">VLOOKUP($R130,武学奇术!$A:$ZZ,5,FALSE)+SUM(_xlfn.XLOOKUP($S130:$AG130,增益!$A:$A,增益!$E:$E,0))</f>
        <v>0</v>
      </c>
      <c r="AO130" cm="1">
        <f t="array" ref="AO130">$D$10*(1+$AN130)+VLOOKUP($R130,武学奇术!$A:$ZZ,3,FALSE)+SUM(_xlfn.XLOOKUP($S130:$AG130,增益!$A:$A,增益!$C:$C,0))-$I$2</f>
        <v>3624.6</v>
      </c>
      <c r="AP130" cm="1">
        <f t="array" ref="AP130">$E$10*(1+$AN130)+VLOOKUP($R130,武学奇术!$A:$ZZ,4,FALSE)+SUM(_xlfn.XLOOKUP($S130:$AG130,增益!$A:$A,增益!$D:$D,0))-$I$2</f>
        <v>3624.6</v>
      </c>
      <c r="AQ130" s="32" cm="1">
        <f t="array" ref="AQ130">IF($F$10-$I$3+VLOOKUP($R130,武学奇术!$A:$ZZ,6,FALSE)+SUM(_xlfn.XLOOKUP(S130:AG130,增益!$A:$A,增益!$F:$F,0))&gt;0,($F$10-$I$3+VLOOKUP($R130,武学奇术!$A:$ZZ,6,FALSE)+SUM(_xlfn.XLOOKUP(S130:AG130,增益!$A:$A,增益!$F:$F,0)))/200,($F$10-$I$3+VLOOKUP($R130,武学奇术!$A:$ZZ,6,FALSE)+SUM(_xlfn.XLOOKUP(S130:AG130,增益!$A:$A,增益!$F:$F,0)))/100)</f>
        <v>0.3425</v>
      </c>
      <c r="AR130" s="32" cm="1">
        <f t="array" ref="AR130">$G$10+VLOOKUP($R130,武学奇术!$A:$ZZ,7,FALSE)+SUM(_xlfn.XLOOKUP(S130:AG130,增益!$A:$A,增益!$G:$G,0))</f>
        <v>0.028</v>
      </c>
      <c r="AS130" s="26" cm="1">
        <f t="array" ref="AS130">VLOOKUP($R130,武学奇术!$A:$ZZ,8,FALSE)+SUM(_xlfn.XLOOKUP(S130:AG130,增益!$A:$A,增益!$H:$H,0))</f>
        <v>0</v>
      </c>
      <c r="AT130">
        <f t="shared" si="73"/>
        <v>0</v>
      </c>
      <c r="AU130">
        <f t="shared" si="74"/>
        <v>0</v>
      </c>
      <c r="AV130" s="32" cm="1">
        <f t="array" ref="AV130">IF($F$11-$I$4+VLOOKUP($R130,武学奇术!$A:$ZZ,9,FALSE)+SUM(_xlfn.XLOOKUP(S130:AG130,增益!$A:$A,增益!$I:$I,0))&gt;0,($F$11-$I$4+VLOOKUP($R130,武学奇术!$A:$ZZ,9,FALSE)+SUM(_xlfn.XLOOKUP(S130:AG130,增益!$A:$A,增益!$I:$I,0)))/200,($F$11-$I$4+VLOOKUP($R130,武学奇术!$A:$ZZ,9,FALSE)+SUM(_xlfn.XLOOKUP(S130:AG130,增益!$A:$A,增益!$I:$I,0)))/100)</f>
        <v>-0.14</v>
      </c>
      <c r="AW130" s="32" cm="1">
        <f t="array" ref="AW130">$G$11+VLOOKUP($R130,武学奇术!$A:$ZZ,10,FALSE)+SUM(_xlfn.XLOOKUP(S130:AG130,增益!$A:$A,增益!$J:$J,0))</f>
        <v>0</v>
      </c>
      <c r="AX130">
        <f t="shared" si="75"/>
        <v>0</v>
      </c>
      <c r="AY130">
        <f t="shared" si="76"/>
        <v>0</v>
      </c>
      <c r="AZ130" s="32" cm="1">
        <f t="array" ref="AZ130">IF($F$12-$I$4+VLOOKUP($R130,武学奇术!$A:$ZZ,11,FALSE)+SUM(_xlfn.XLOOKUP(S130:AG130,增益!$A:$A,增益!$K:$K,0))&gt;0,($F$12-$I$4+VLOOKUP($R130,武学奇术!$A:$ZZ,11,FALSE)+SUM(_xlfn.XLOOKUP(S130:AG130,增益!$A:$A,增益!$K:$K,0)))/200,($F$12-$I$4+VLOOKUP($R130,武学奇术!$A:$ZZ,11,FALSE)+SUM(_xlfn.XLOOKUP(S130:AG130,增益!$A:$A,增益!$K:$K,0)))/100)</f>
        <v>-0.14</v>
      </c>
      <c r="BA130" s="32" cm="1">
        <f t="array" ref="BA130">$G$12+VLOOKUP($R130,武学奇术!$A:$ZZ,12,FALSE)+SUM(_xlfn.XLOOKUP(S130:AG130,增益!$A:$A,增益!$L:$L,0))</f>
        <v>0</v>
      </c>
      <c r="BB130">
        <f t="shared" si="77"/>
        <v>0</v>
      </c>
      <c r="BC130">
        <f t="shared" si="78"/>
        <v>0</v>
      </c>
      <c r="BD130" s="32" cm="1">
        <f t="array" ref="BD130">IF($F$13-$I$4+VLOOKUP($R130,武学奇术!$A:$ZZ,13,FALSE)+SUM(_xlfn.XLOOKUP(S130:AG130,增益!$A:$A,增益!$M:$M,0))&gt;0,($F$13-$I$4+VLOOKUP($R130,武学奇术!$A:$ZZ,13,FALSE)+SUM(_xlfn.XLOOKUP(S130:AG130,增益!$A:$A,增益!$K:$K,0)))/200,($F$13-$I$4+VLOOKUP($R130,武学奇术!$A:$ZZ,13,FALSE)+SUM(_xlfn.XLOOKUP(S130:AG130,增益!$A:$A,增益!$M:$M,0)))/100)</f>
        <v>-0.14</v>
      </c>
      <c r="BE130" s="32" cm="1">
        <f t="array" ref="BE130">$G$13+VLOOKUP($R130,武学奇术!$A:$ZZ,14,FALSE)+SUM(_xlfn.XLOOKUP(S130:AG130,增益!$A:$A,增益!$N:$N,0))</f>
        <v>0</v>
      </c>
      <c r="BF130">
        <f t="shared" si="79"/>
        <v>571.2</v>
      </c>
      <c r="BG130">
        <f t="shared" si="80"/>
        <v>1627.8</v>
      </c>
      <c r="BH130" s="32" cm="1">
        <f t="array" ref="BH130">IF($F$14-$I$4+VLOOKUP($R130,武学奇术!$A:$ZZ,15,FALSE)+SUM(_xlfn.XLOOKUP(S130:AG130,增益!$A:$A,增益!$O:$O,0))&gt;0,($F$14-$I$4+VLOOKUP($R130,武学奇术!$A:$ZZ,15,FALSE)+SUM(_xlfn.XLOOKUP(S130:AG130,增益!$A:$A,增益!$O:$O,0)))/200,($F$14-$I$4+VLOOKUP($R130,武学奇术!$A:$ZZ,15,FALSE)+SUM(_xlfn.XLOOKUP(S130:AG130,增益!$A:$A,增益!$O:$O,0)))/100)</f>
        <v>0.08</v>
      </c>
      <c r="BI130" s="32" cm="1">
        <f t="array" ref="BI130">$G$14+VLOOKUP($R130,武学奇术!$A:$ZZ,16,FALSE)+SUM(_xlfn.XLOOKUP(S130:AG130,增益!$A:$A,增益!$P:$P,0))</f>
        <v>0.15</v>
      </c>
      <c r="BJ130" s="26">
        <f>MIN(IF(VLOOKUP($R130,武学奇术!$A:$ZZ,23,FALSE)=1,100%,$B$8),100%)</f>
        <v>0.981</v>
      </c>
      <c r="BK130" s="26" cm="1">
        <f t="array" ref="BK130">IF(VLOOKUP($R130,武学奇术!$A:$ZZ,23,FALSE)=1,100%,MIN(80%,$B$9+VLOOKUP($R130,武学奇术!$A:$ZZ,17,FALSE)+SUM(_xlfn.XLOOKUP(S130:AG130,增益!$A:$A,增益!$Q:$Q,0)))+$B$11+SUM(_xlfn.XLOOKUP(S130:AG130,增益!$A:$A,增益!$U:$U,0)))*IF(VLOOKUP($R130,武学奇术!$A:$ZZ,24,FALSE)=1,0,1)</f>
        <v>0.846</v>
      </c>
      <c r="BL130" s="26" cm="1">
        <f t="array" ref="BL130">1+$B$13+VLOOKUP($R130,武学奇术!$A:$ZZ,18,FALSE)+SUM(_xlfn.XLOOKUP(S130:AG130,增益!$A:$A,增益!$R:$R,0))</f>
        <v>1.91</v>
      </c>
      <c r="BM130" s="26" cm="1">
        <f t="array" ref="BM130">IF(VLOOKUP($R130,武学奇术!$A:$ZZ,24,FALSE)=1,100%,MIN(40%,$B$10+VLOOKUP($R130,武学奇术!$A:$ZZ,19,FALSE)+SUM(_xlfn.XLOOKUP(S130:AG130,增益!$A:$A,增益!$S:$S,0)))+$B$12+SUM(_xlfn.XLOOKUP(S130:AG130,增益!$A:$A,增益!$V:$V,0)))*IF(VLOOKUP($R130,武学奇术!$A:$ZZ,23,FALSE)=1,0,1)</f>
        <v>0.0929</v>
      </c>
      <c r="BN130" s="26" cm="1">
        <f t="array" ref="BN130">1+$B$14+VLOOKUP($R130,武学奇术!$A:$ZZ,20,FALSE)+SUM(_xlfn.XLOOKUP(S130:AG130,增益!$A:$A,增益!$T:$T,0))</f>
        <v>1.35</v>
      </c>
      <c r="BO130" s="26">
        <f t="shared" si="81"/>
        <v>0.829926</v>
      </c>
      <c r="BP130" s="26">
        <f t="shared" si="82"/>
        <v>0.0599391</v>
      </c>
      <c r="BQ130" s="26">
        <f>IF(VLOOKUP($R130,武学奇术!$A:$ZZ,22,FALSE)=1,0,(1-$BJ130))*(1-$BM130)</f>
        <v>0.0172349</v>
      </c>
      <c r="BR130" s="26" cm="1">
        <f t="array" ref="BR130">SUM(_xlfn.XLOOKUP(S130:AG130,增益!$A:$A,增益!$W:$W,0))+$I$5</f>
        <v>0.11</v>
      </c>
    </row>
    <row r="131" spans="1:70">
      <c r="A131" s="4" t="s">
        <v>161</v>
      </c>
      <c r="B131" s="4">
        <v>1</v>
      </c>
      <c r="D131" s="39"/>
      <c r="E131" s="39"/>
      <c r="F131" s="39"/>
      <c r="K131">
        <f>$L131*VLOOKUP($R131,武学奇术!$A:$ZZ,31,FALSE)</f>
        <v>81133.0017886396</v>
      </c>
      <c r="L131" s="38">
        <f t="shared" si="62"/>
        <v>77269.52551299</v>
      </c>
      <c r="M131" s="38">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BL131*$Q131*(1+IF(VLOOKUP($R131,武学奇术!$A:$ZZ,30,FALSE)="回旋伞",$B$21,0))*(1+$BR131)</f>
        <v>81894.4319121284</v>
      </c>
      <c r="N131" s="38">
        <f>(($AP131*$AI131+$AJ131)*(1+$AQ131)*(1+$AR131)+($AU131*IF($G$1="鸣金",$AK131,$AI131)+IF($G$1="鸣金",$AL131*1.5,0))*(1+$AV131)*(1+$AW131)+($AY131*IF($G$1="裂石",$AK131,$AI131)+IF($G$1="裂石",$AL131*1.5,0))*(1+$AZ131)*(1+$BA131)+($BC131*IF($G$1="牵丝",$AK131,$AI131)+IF($G$1="牵丝",$AL131*1.5,0))*(1+$BD131)*(1+$BE131)+($BG131*IF($G$1="破竹",$AK131,$AI131)+IF($G$1="破竹",$AL131*1.5,0))*(1+$BH131)*(1+$BI131))*(1+$AM131)*$BN131*$Q131*(1+IF(VLOOKUP($R131,武学奇术!$A:$ZZ,30,FALSE)="回旋伞",$B$21,0))*(1+$BR131)</f>
        <v>65581.4911469856</v>
      </c>
      <c r="O131" s="38">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Q131*(1+IF(VLOOKUP($R131,武学奇术!$A:$ZZ,30,FALSE)="回旋伞",$B$21,0))*(1+$BR131)</f>
        <v>42876.6659225803</v>
      </c>
      <c r="P131" s="38">
        <f>((($AO131*$AI131+$AJ131)*(1+$AQ131)*(1+$AR131)+($AT131*IF($G$1="鸣金",$AK131,$AI131)+IF($G$1="鸣金",$AL131*1.5,0))*(1+$AV131)*(1+$AW131)+($AX131*IF($G$1="裂石",$AK131,$AI131)+IF($G$1="裂石",$AL131*1.5,0))*(1+$AZ131)*(1+$BA131)+($BB131*IF($G$1="牵丝",$AK131,$AI131)+IF($G$1="牵丝",$AL131*1.5,0))*(1+$BD131)*(1+$BE131)+($BF131*IF($G$1="破竹",$AK131,$AI131)+IF($G$1="破竹",$AL131*1.5,0))*(1+$BH131)*(1+$BI131))*(1+$AM131))*$Q131*(1+IF(VLOOKUP($R131,武学奇术!$A:$ZZ,30,FALSE)="回旋伞",$B$21,0))*(1+$BR131)</f>
        <v>37174.4495140602</v>
      </c>
      <c r="Q131" s="39">
        <v>2</v>
      </c>
      <c r="R131" s="40" t="s">
        <v>71</v>
      </c>
      <c r="S131" s="40" t="s">
        <v>72</v>
      </c>
      <c r="T131" s="40" t="s">
        <v>95</v>
      </c>
      <c r="U131" s="40" t="s">
        <v>73</v>
      </c>
      <c r="V131" s="40" t="s">
        <v>81</v>
      </c>
      <c r="W131" s="40" t="s">
        <v>172</v>
      </c>
      <c r="X131" s="40" t="s">
        <v>99</v>
      </c>
      <c r="Y131" s="40" t="s">
        <v>84</v>
      </c>
      <c r="Z131" s="40" t="s">
        <v>176</v>
      </c>
      <c r="AA131" s="40" t="s">
        <v>177</v>
      </c>
      <c r="AB131" s="40" t="s">
        <v>72</v>
      </c>
      <c r="AC131" s="40" t="s">
        <v>91</v>
      </c>
      <c r="AD131" s="40" t="s">
        <v>72</v>
      </c>
      <c r="AE131" s="40" t="s">
        <v>72</v>
      </c>
      <c r="AF131" s="40" t="s">
        <v>77</v>
      </c>
      <c r="AG131" s="40" t="s">
        <v>78</v>
      </c>
      <c r="AH131" t="str">
        <f>VLOOKUP($R131,武学奇术!$A:$ZZ,25,FALSE)</f>
        <v>群体奇术</v>
      </c>
      <c r="AI131" s="26">
        <f>VLOOKUP($R131,武学奇术!$A:$ZZ,26,FALSE)</f>
        <v>1.4904</v>
      </c>
      <c r="AJ131" s="27">
        <f>VLOOKUP($R131,武学奇术!$A:$ZZ,27,FALSE)*(1+IF(OR($AH131=$F$4,$AH131=$F$5),$B$22,0))</f>
        <v>378</v>
      </c>
      <c r="AK131" s="26">
        <f>VLOOKUP($R131,武学奇术!$A:$ZZ,28,FALSE)</f>
        <v>2.2356</v>
      </c>
      <c r="AL131" s="27">
        <f>VLOOKUP($R131,武学奇术!$A:$ZZ,29,FALSE)*(1+IF(OR($AH131=$F$4,$AH131=$F$5),$B$22,0))</f>
        <v>0</v>
      </c>
      <c r="AM131" s="26" cm="1">
        <f t="array" ref="AM131">$G$3+IFERROR(VLOOKUP($AH131,$F$4:$G$7,2,FALSE),0)+VLOOKUP($R131,武学奇术!$A:$ZZ,2,FALSE)+SUM(_xlfn.XLOOKUP($S131:$AG131,增益!$A:$A,增益!$B:$B,0))</f>
        <v>0.4837</v>
      </c>
      <c r="AN131" s="26" cm="1">
        <f t="array" ref="AN131">VLOOKUP($R131,武学奇术!$A:$ZZ,5,FALSE)+SUM(_xlfn.XLOOKUP($S131:$AG131,增益!$A:$A,增益!$E:$E,0))</f>
        <v>0</v>
      </c>
      <c r="AO131" cm="1">
        <f t="array" ref="AO131">$D$10*(1+$AN131)+VLOOKUP($R131,武学奇术!$A:$ZZ,3,FALSE)+SUM(_xlfn.XLOOKUP($S131:$AG131,增益!$A:$A,增益!$C:$C,0))-$I$2</f>
        <v>3624.6</v>
      </c>
      <c r="AP131" cm="1">
        <f t="array" ref="AP131">$E$10*(1+$AN131)+VLOOKUP($R131,武学奇术!$A:$ZZ,4,FALSE)+SUM(_xlfn.XLOOKUP($S131:$AG131,增益!$A:$A,增益!$D:$D,0))-$I$2</f>
        <v>3624.6</v>
      </c>
      <c r="AQ131" s="32" cm="1">
        <f t="array" ref="AQ131">IF($F$10-$I$3+VLOOKUP($R131,武学奇术!$A:$ZZ,6,FALSE)+SUM(_xlfn.XLOOKUP(S131:AG131,增益!$A:$A,增益!$F:$F,0))&gt;0,($F$10-$I$3+VLOOKUP($R131,武学奇术!$A:$ZZ,6,FALSE)+SUM(_xlfn.XLOOKUP(S131:AG131,增益!$A:$A,增益!$F:$F,0)))/200,($F$10-$I$3+VLOOKUP($R131,武学奇术!$A:$ZZ,6,FALSE)+SUM(_xlfn.XLOOKUP(S131:AG131,增益!$A:$A,增益!$F:$F,0)))/100)</f>
        <v>0.3425</v>
      </c>
      <c r="AR131" s="32" cm="1">
        <f t="array" ref="AR131">$G$10+VLOOKUP($R131,武学奇术!$A:$ZZ,7,FALSE)+SUM(_xlfn.XLOOKUP(S131:AG131,增益!$A:$A,增益!$G:$G,0))</f>
        <v>0.028</v>
      </c>
      <c r="AS131" s="26" cm="1">
        <f t="array" ref="AS131">VLOOKUP($R131,武学奇术!$A:$ZZ,8,FALSE)+SUM(_xlfn.XLOOKUP(S131:AG131,增益!$A:$A,增益!$H:$H,0))</f>
        <v>0</v>
      </c>
      <c r="AT131">
        <f t="shared" si="73"/>
        <v>0</v>
      </c>
      <c r="AU131">
        <f t="shared" si="74"/>
        <v>0</v>
      </c>
      <c r="AV131" s="32" cm="1">
        <f t="array" ref="AV131">IF($F$11-$I$4+VLOOKUP($R131,武学奇术!$A:$ZZ,9,FALSE)+SUM(_xlfn.XLOOKUP(S131:AG131,增益!$A:$A,增益!$I:$I,0))&gt;0,($F$11-$I$4+VLOOKUP($R131,武学奇术!$A:$ZZ,9,FALSE)+SUM(_xlfn.XLOOKUP(S131:AG131,增益!$A:$A,增益!$I:$I,0)))/200,($F$11-$I$4+VLOOKUP($R131,武学奇术!$A:$ZZ,9,FALSE)+SUM(_xlfn.XLOOKUP(S131:AG131,增益!$A:$A,增益!$I:$I,0)))/100)</f>
        <v>-0.14</v>
      </c>
      <c r="AW131" s="32" cm="1">
        <f t="array" ref="AW131">$G$11+VLOOKUP($R131,武学奇术!$A:$ZZ,10,FALSE)+SUM(_xlfn.XLOOKUP(S131:AG131,增益!$A:$A,增益!$J:$J,0))</f>
        <v>0.1</v>
      </c>
      <c r="AX131">
        <f t="shared" si="75"/>
        <v>0</v>
      </c>
      <c r="AY131">
        <f t="shared" si="76"/>
        <v>0</v>
      </c>
      <c r="AZ131" s="32" cm="1">
        <f t="array" ref="AZ131">IF($F$12-$I$4+VLOOKUP($R131,武学奇术!$A:$ZZ,11,FALSE)+SUM(_xlfn.XLOOKUP(S131:AG131,增益!$A:$A,增益!$K:$K,0))&gt;0,($F$12-$I$4+VLOOKUP($R131,武学奇术!$A:$ZZ,11,FALSE)+SUM(_xlfn.XLOOKUP(S131:AG131,增益!$A:$A,增益!$K:$K,0)))/200,($F$12-$I$4+VLOOKUP($R131,武学奇术!$A:$ZZ,11,FALSE)+SUM(_xlfn.XLOOKUP(S131:AG131,增益!$A:$A,增益!$K:$K,0)))/100)</f>
        <v>-0.14</v>
      </c>
      <c r="BA131" s="32" cm="1">
        <f t="array" ref="BA131">$G$12+VLOOKUP($R131,武学奇术!$A:$ZZ,12,FALSE)+SUM(_xlfn.XLOOKUP(S131:AG131,增益!$A:$A,增益!$L:$L,0))</f>
        <v>0</v>
      </c>
      <c r="BB131">
        <f t="shared" si="77"/>
        <v>0</v>
      </c>
      <c r="BC131">
        <f t="shared" si="78"/>
        <v>0</v>
      </c>
      <c r="BD131" s="32" cm="1">
        <f t="array" ref="BD131">IF($F$13-$I$4+VLOOKUP($R131,武学奇术!$A:$ZZ,13,FALSE)+SUM(_xlfn.XLOOKUP(S131:AG131,增益!$A:$A,增益!$M:$M,0))&gt;0,($F$13-$I$4+VLOOKUP($R131,武学奇术!$A:$ZZ,13,FALSE)+SUM(_xlfn.XLOOKUP(S131:AG131,增益!$A:$A,增益!$K:$K,0)))/200,($F$13-$I$4+VLOOKUP($R131,武学奇术!$A:$ZZ,13,FALSE)+SUM(_xlfn.XLOOKUP(S131:AG131,增益!$A:$A,增益!$M:$M,0)))/100)</f>
        <v>-0.14</v>
      </c>
      <c r="BE131" s="32" cm="1">
        <f t="array" ref="BE131">$G$13+VLOOKUP($R131,武学奇术!$A:$ZZ,14,FALSE)+SUM(_xlfn.XLOOKUP(S131:AG131,增益!$A:$A,增益!$N:$N,0))</f>
        <v>0</v>
      </c>
      <c r="BF131">
        <f t="shared" si="79"/>
        <v>571.2</v>
      </c>
      <c r="BG131">
        <f t="shared" si="80"/>
        <v>1627.8</v>
      </c>
      <c r="BH131" s="32" cm="1">
        <f t="array" ref="BH131">IF($F$14-$I$4+VLOOKUP($R131,武学奇术!$A:$ZZ,15,FALSE)+SUM(_xlfn.XLOOKUP(S131:AG131,增益!$A:$A,增益!$O:$O,0))&gt;0,($F$14-$I$4+VLOOKUP($R131,武学奇术!$A:$ZZ,15,FALSE)+SUM(_xlfn.XLOOKUP(S131:AG131,增益!$A:$A,增益!$O:$O,0)))/200,($F$14-$I$4+VLOOKUP($R131,武学奇术!$A:$ZZ,15,FALSE)+SUM(_xlfn.XLOOKUP(S131:AG131,增益!$A:$A,增益!$O:$O,0)))/100)</f>
        <v>0.08</v>
      </c>
      <c r="BI131" s="32" cm="1">
        <f t="array" ref="BI131">$G$14+VLOOKUP($R131,武学奇术!$A:$ZZ,16,FALSE)+SUM(_xlfn.XLOOKUP(S131:AG131,增益!$A:$A,增益!$P:$P,0))</f>
        <v>0.15</v>
      </c>
      <c r="BJ131" s="26">
        <f>MIN(IF(VLOOKUP($R131,武学奇术!$A:$ZZ,23,FALSE)=1,100%,$B$8),100%)</f>
        <v>0.981</v>
      </c>
      <c r="BK131" s="26" cm="1">
        <f t="array" ref="BK131">IF(VLOOKUP($R131,武学奇术!$A:$ZZ,23,FALSE)=1,100%,MIN(80%,$B$9+VLOOKUP($R131,武学奇术!$A:$ZZ,17,FALSE)+SUM(_xlfn.XLOOKUP(S131:AG131,增益!$A:$A,增益!$Q:$Q,0)))+$B$11+SUM(_xlfn.XLOOKUP(S131:AG131,增益!$A:$A,增益!$U:$U,0)))*IF(VLOOKUP($R131,武学奇术!$A:$ZZ,24,FALSE)=1,0,1)</f>
        <v>0.846</v>
      </c>
      <c r="BL131" s="26" cm="1">
        <f t="array" ref="BL131">1+$B$13+VLOOKUP($R131,武学奇术!$A:$ZZ,18,FALSE)+SUM(_xlfn.XLOOKUP(S131:AG131,增益!$A:$A,增益!$R:$R,0))</f>
        <v>1.91</v>
      </c>
      <c r="BM131" s="26" cm="1">
        <f t="array" ref="BM131">IF(VLOOKUP($R131,武学奇术!$A:$ZZ,24,FALSE)=1,100%,MIN(40%,$B$10+VLOOKUP($R131,武学奇术!$A:$ZZ,19,FALSE)+SUM(_xlfn.XLOOKUP(S131:AG131,增益!$A:$A,增益!$S:$S,0)))+$B$12+SUM(_xlfn.XLOOKUP(S131:AG131,增益!$A:$A,增益!$V:$V,0)))*IF(VLOOKUP($R131,武学奇术!$A:$ZZ,23,FALSE)=1,0,1)</f>
        <v>0.0929</v>
      </c>
      <c r="BN131" s="26" cm="1">
        <f t="array" ref="BN131">1+$B$14+VLOOKUP($R131,武学奇术!$A:$ZZ,20,FALSE)+SUM(_xlfn.XLOOKUP(S131:AG131,增益!$A:$A,增益!$T:$T,0))</f>
        <v>1.35</v>
      </c>
      <c r="BO131" s="26">
        <f t="shared" si="81"/>
        <v>0.829926</v>
      </c>
      <c r="BP131" s="26">
        <f t="shared" si="82"/>
        <v>0.0599391</v>
      </c>
      <c r="BQ131" s="26">
        <f>IF(VLOOKUP($R131,武学奇术!$A:$ZZ,22,FALSE)=1,0,(1-$BJ131))*(1-$BM131)</f>
        <v>0.0172349</v>
      </c>
      <c r="BR131" s="26" cm="1">
        <f t="array" ref="BR131">SUM(_xlfn.XLOOKUP(S131:AG131,增益!$A:$A,增益!$W:$W,0))+$I$5</f>
        <v>0.31</v>
      </c>
    </row>
    <row r="132" spans="1:70">
      <c r="A132" s="4" t="s">
        <v>164</v>
      </c>
      <c r="B132" s="4">
        <v>0.85</v>
      </c>
      <c r="C132" s="39" t="s">
        <v>179</v>
      </c>
      <c r="D132" s="39"/>
      <c r="E132" s="39"/>
      <c r="F132" s="39"/>
      <c r="K132">
        <f>$L132*VLOOKUP($R132,武学奇术!$A:$ZZ,31,FALSE)</f>
        <v>72486.1597029683</v>
      </c>
      <c r="L132" s="38">
        <f t="shared" si="62"/>
        <v>69034.4378123508</v>
      </c>
      <c r="M132" s="38">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BL132*$Q132*(1+IF(VLOOKUP($R132,武学奇术!$A:$ZZ,30,FALSE)="回旋伞",$B$21,0))*(1+$BR132)</f>
        <v>73245.4462893968</v>
      </c>
      <c r="N132" s="38">
        <f>(($AP132*$AI132+$AJ132)*(1+$AQ132)*(1+$AR132)+($AU132*IF($G$1="鸣金",$AK132,$AI132)+IF($G$1="鸣金",$AL132*1.5,0))*(1+$AV132)*(1+$AW132)+($AY132*IF($G$1="裂石",$AK132,$AI132)+IF($G$1="裂石",$AL132*1.5,0))*(1+$AZ132)*(1+$BA132)+($BC132*IF($G$1="牵丝",$AK132,$AI132)+IF($G$1="牵丝",$AL132*1.5,0))*(1+$BD132)*(1+$BE132)+($BG132*IF($G$1="破竹",$AK132,$AI132)+IF($G$1="破竹",$AL132*1.5,0))*(1+$BH132)*(1+$BI132))*(1+$AM132)*$BN132*$Q132*(1+IF(VLOOKUP($R132,武学奇术!$A:$ZZ,30,FALSE)="回旋伞",$B$21,0))*(1+$BR132)</f>
        <v>57725.0778534505</v>
      </c>
      <c r="O132" s="38">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Q132*(1+IF(VLOOKUP($R132,武学奇术!$A:$ZZ,30,FALSE)="回旋伞",$B$21,0))*(1+$BR132)</f>
        <v>38348.4011986371</v>
      </c>
      <c r="P132" s="38">
        <f>((($AO132*$AI132+$AJ132)*(1+$AQ132)*(1+$AR132)+($AT132*IF($G$1="鸣金",$AK132,$AI132)+IF($G$1="鸣金",$AL132*1.5,0))*(1+$AV132)*(1+$AW132)+($AX132*IF($G$1="裂石",$AK132,$AI132)+IF($G$1="裂石",$AL132*1.5,0))*(1+$AZ132)*(1+$BA132)+($BB132*IF($G$1="牵丝",$AK132,$AI132)+IF($G$1="牵丝",$AL132*1.5,0))*(1+$BD132)*(1+$BE132)+($BF132*IF($G$1="破竹",$AK132,$AI132)+IF($G$1="破竹",$AL132*1.5,0))*(1+$BH132)*(1+$BI132))*(1+$AM132))*$Q132*(1+IF(VLOOKUP($R132,武学奇术!$A:$ZZ,30,FALSE)="回旋伞",$B$21,0))*(1+$BR132)</f>
        <v>33937.4854687923</v>
      </c>
      <c r="Q132" s="39">
        <v>1</v>
      </c>
      <c r="R132" s="40" t="s">
        <v>108</v>
      </c>
      <c r="S132" s="40" t="s">
        <v>109</v>
      </c>
      <c r="T132" s="40" t="s">
        <v>95</v>
      </c>
      <c r="U132" s="40" t="s">
        <v>73</v>
      </c>
      <c r="V132" s="40" t="s">
        <v>72</v>
      </c>
      <c r="W132" s="40" t="s">
        <v>172</v>
      </c>
      <c r="X132" s="40" t="s">
        <v>99</v>
      </c>
      <c r="Y132" s="40" t="s">
        <v>72</v>
      </c>
      <c r="Z132" s="40" t="s">
        <v>72</v>
      </c>
      <c r="AA132" s="40" t="s">
        <v>72</v>
      </c>
      <c r="AB132" s="40" t="s">
        <v>72</v>
      </c>
      <c r="AC132" s="40" t="s">
        <v>85</v>
      </c>
      <c r="AD132" s="40" t="s">
        <v>72</v>
      </c>
      <c r="AE132" s="40" t="s">
        <v>72</v>
      </c>
      <c r="AF132" s="40" t="s">
        <v>77</v>
      </c>
      <c r="AG132" s="40" t="s">
        <v>78</v>
      </c>
      <c r="AH132" t="str">
        <f>VLOOKUP($R132,武学奇术!$A:$ZZ,25,FALSE)</f>
        <v>伞</v>
      </c>
      <c r="AI132" s="26">
        <f>VLOOKUP($R132,武学奇术!$A:$ZZ,26,FALSE)</f>
        <v>1.8084</v>
      </c>
      <c r="AJ132" s="27">
        <f>VLOOKUP($R132,武学奇术!$A:$ZZ,27,FALSE)*(1+IF(OR($AH132=$F$4,$AH132=$F$5),$B$22,0))</f>
        <v>750</v>
      </c>
      <c r="AK132" s="26">
        <f>VLOOKUP($R132,武学奇术!$A:$ZZ,28,FALSE)</f>
        <v>2.7126</v>
      </c>
      <c r="AL132" s="27">
        <f>VLOOKUP($R132,武学奇术!$A:$ZZ,29,FALSE)*(1+IF(OR($AH132=$F$4,$AH132=$F$5),$B$22,0))</f>
        <v>408</v>
      </c>
      <c r="AM132" s="26" cm="1">
        <f t="array" ref="AM132">$G$3+IFERROR(VLOOKUP($AH132,$F$4:$G$7,2,FALSE),0)+VLOOKUP($R132,武学奇术!$A:$ZZ,2,FALSE)+SUM(_xlfn.XLOOKUP($S132:$AG132,增益!$A:$A,增益!$B:$B,0))</f>
        <v>0.6541</v>
      </c>
      <c r="AN132" s="26" cm="1">
        <f t="array" ref="AN132">VLOOKUP($R132,武学奇术!$A:$ZZ,5,FALSE)+SUM(_xlfn.XLOOKUP($S132:$AG132,增益!$A:$A,增益!$E:$E,0))</f>
        <v>0</v>
      </c>
      <c r="AO132" cm="1">
        <f t="array" ref="AO132">$D$10*(1+$AN132)+VLOOKUP($R132,武学奇术!$A:$ZZ,3,FALSE)+SUM(_xlfn.XLOOKUP($S132:$AG132,增益!$A:$A,增益!$C:$C,0))-$I$2</f>
        <v>3624.6</v>
      </c>
      <c r="AP132" cm="1">
        <f t="array" ref="AP132">$E$10*(1+$AN132)+VLOOKUP($R132,武学奇术!$A:$ZZ,4,FALSE)+SUM(_xlfn.XLOOKUP($S132:$AG132,增益!$A:$A,增益!$D:$D,0))-$I$2</f>
        <v>3624.6</v>
      </c>
      <c r="AQ132" s="32" cm="1">
        <f t="array" ref="AQ132">IF($F$10-$I$3+VLOOKUP($R132,武学奇术!$A:$ZZ,6,FALSE)+SUM(_xlfn.XLOOKUP(S132:AG132,增益!$A:$A,增益!$F:$F,0))&gt;0,($F$10-$I$3+VLOOKUP($R132,武学奇术!$A:$ZZ,6,FALSE)+SUM(_xlfn.XLOOKUP(S132:AG132,增益!$A:$A,增益!$F:$F,0)))/200,($F$10-$I$3+VLOOKUP($R132,武学奇术!$A:$ZZ,6,FALSE)+SUM(_xlfn.XLOOKUP(S132:AG132,增益!$A:$A,增益!$F:$F,0)))/100)</f>
        <v>0.3425</v>
      </c>
      <c r="AR132" s="32" cm="1">
        <f t="array" ref="AR132">$G$10+VLOOKUP($R132,武学奇术!$A:$ZZ,7,FALSE)+SUM(_xlfn.XLOOKUP(S132:AG132,增益!$A:$A,增益!$G:$G,0))</f>
        <v>0.148</v>
      </c>
      <c r="AS132" s="26" cm="1">
        <f t="array" ref="AS132">VLOOKUP($R132,武学奇术!$A:$ZZ,8,FALSE)+SUM(_xlfn.XLOOKUP(S132:AG132,增益!$A:$A,增益!$H:$H,0))</f>
        <v>0</v>
      </c>
      <c r="AT132">
        <f t="shared" si="73"/>
        <v>0</v>
      </c>
      <c r="AU132">
        <f t="shared" si="74"/>
        <v>0</v>
      </c>
      <c r="AV132" s="32" cm="1">
        <f t="array" ref="AV132">IF($F$11-$I$4+VLOOKUP($R132,武学奇术!$A:$ZZ,9,FALSE)+SUM(_xlfn.XLOOKUP(S132:AG132,增益!$A:$A,增益!$I:$I,0))&gt;0,($F$11-$I$4+VLOOKUP($R132,武学奇术!$A:$ZZ,9,FALSE)+SUM(_xlfn.XLOOKUP(S132:AG132,增益!$A:$A,增益!$I:$I,0)))/200,($F$11-$I$4+VLOOKUP($R132,武学奇术!$A:$ZZ,9,FALSE)+SUM(_xlfn.XLOOKUP(S132:AG132,增益!$A:$A,增益!$I:$I,0)))/100)</f>
        <v>-0.3</v>
      </c>
      <c r="AW132" s="32" cm="1">
        <f t="array" ref="AW132">$G$11+VLOOKUP($R132,武学奇术!$A:$ZZ,10,FALSE)+SUM(_xlfn.XLOOKUP(S132:AG132,增益!$A:$A,增益!$J:$J,0))</f>
        <v>0</v>
      </c>
      <c r="AX132">
        <f t="shared" si="75"/>
        <v>0</v>
      </c>
      <c r="AY132">
        <f t="shared" si="76"/>
        <v>0</v>
      </c>
      <c r="AZ132" s="32" cm="1">
        <f t="array" ref="AZ132">IF($F$12-$I$4+VLOOKUP($R132,武学奇术!$A:$ZZ,11,FALSE)+SUM(_xlfn.XLOOKUP(S132:AG132,增益!$A:$A,增益!$K:$K,0))&gt;0,($F$12-$I$4+VLOOKUP($R132,武学奇术!$A:$ZZ,11,FALSE)+SUM(_xlfn.XLOOKUP(S132:AG132,增益!$A:$A,增益!$K:$K,0)))/200,($F$12-$I$4+VLOOKUP($R132,武学奇术!$A:$ZZ,11,FALSE)+SUM(_xlfn.XLOOKUP(S132:AG132,增益!$A:$A,增益!$K:$K,0)))/100)</f>
        <v>-0.3</v>
      </c>
      <c r="BA132" s="32" cm="1">
        <f t="array" ref="BA132">$G$12+VLOOKUP($R132,武学奇术!$A:$ZZ,12,FALSE)+SUM(_xlfn.XLOOKUP(S132:AG132,增益!$A:$A,增益!$L:$L,0))</f>
        <v>0</v>
      </c>
      <c r="BB132">
        <f t="shared" si="77"/>
        <v>0</v>
      </c>
      <c r="BC132">
        <f t="shared" si="78"/>
        <v>0</v>
      </c>
      <c r="BD132" s="32" cm="1">
        <f t="array" ref="BD132">IF($F$13-$I$4+VLOOKUP($R132,武学奇术!$A:$ZZ,13,FALSE)+SUM(_xlfn.XLOOKUP(S132:AG132,增益!$A:$A,增益!$M:$M,0))&gt;0,($F$13-$I$4+VLOOKUP($R132,武学奇术!$A:$ZZ,13,FALSE)+SUM(_xlfn.XLOOKUP(S132:AG132,增益!$A:$A,增益!$K:$K,0)))/200,($F$13-$I$4+VLOOKUP($R132,武学奇术!$A:$ZZ,13,FALSE)+SUM(_xlfn.XLOOKUP(S132:AG132,增益!$A:$A,增益!$M:$M,0)))/100)</f>
        <v>-0.3</v>
      </c>
      <c r="BE132" s="32" cm="1">
        <f t="array" ref="BE132">$G$13+VLOOKUP($R132,武学奇术!$A:$ZZ,14,FALSE)+SUM(_xlfn.XLOOKUP(S132:AG132,增益!$A:$A,增益!$N:$N,0))</f>
        <v>0</v>
      </c>
      <c r="BF132">
        <f t="shared" si="79"/>
        <v>571.2</v>
      </c>
      <c r="BG132">
        <f t="shared" si="80"/>
        <v>1627.8</v>
      </c>
      <c r="BH132" s="32" cm="1">
        <f t="array" ref="BH132">IF($F$14-$I$4+VLOOKUP($R132,武学奇术!$A:$ZZ,15,FALSE)+SUM(_xlfn.XLOOKUP(S132:AG132,增益!$A:$A,增益!$O:$O,0))&gt;0,($F$14-$I$4+VLOOKUP($R132,武学奇术!$A:$ZZ,15,FALSE)+SUM(_xlfn.XLOOKUP(S132:AG132,增益!$A:$A,增益!$O:$O,0)))/200,($F$14-$I$4+VLOOKUP($R132,武学奇术!$A:$ZZ,15,FALSE)+SUM(_xlfn.XLOOKUP(S132:AG132,增益!$A:$A,增益!$O:$O,0)))/100)</f>
        <v>0</v>
      </c>
      <c r="BI132" s="32" cm="1">
        <f t="array" ref="BI132">$G$14+VLOOKUP($R132,武学奇术!$A:$ZZ,16,FALSE)+SUM(_xlfn.XLOOKUP(S132:AG132,增益!$A:$A,增益!$P:$P,0))</f>
        <v>0.27</v>
      </c>
      <c r="BJ132" s="26">
        <f>MIN(IF(VLOOKUP($R132,武学奇术!$A:$ZZ,23,FALSE)=1,100%,$B$8),100%)</f>
        <v>0.981</v>
      </c>
      <c r="BK132" s="26" cm="1">
        <f t="array" ref="BK132">IF(VLOOKUP($R132,武学奇术!$A:$ZZ,23,FALSE)=1,100%,MIN(80%,$B$9+VLOOKUP($R132,武学奇术!$A:$ZZ,17,FALSE)+SUM(_xlfn.XLOOKUP(S132:AG132,增益!$A:$A,增益!$Q:$Q,0)))+$B$11+SUM(_xlfn.XLOOKUP(S132:AG132,增益!$A:$A,增益!$U:$U,0)))*IF(VLOOKUP($R132,武学奇术!$A:$ZZ,24,FALSE)=1,0,1)</f>
        <v>0.846</v>
      </c>
      <c r="BL132" s="26" cm="1">
        <f t="array" ref="BL132">1+$B$13+VLOOKUP($R132,武学奇术!$A:$ZZ,18,FALSE)+SUM(_xlfn.XLOOKUP(S132:AG132,增益!$A:$A,增益!$R:$R,0))</f>
        <v>1.91</v>
      </c>
      <c r="BM132" s="26" cm="1">
        <f t="array" ref="BM132">IF(VLOOKUP($R132,武学奇术!$A:$ZZ,24,FALSE)=1,100%,MIN(40%,$B$10+VLOOKUP($R132,武学奇术!$A:$ZZ,19,FALSE)+SUM(_xlfn.XLOOKUP(S132:AG132,增益!$A:$A,增益!$S:$S,0)))+$B$12+SUM(_xlfn.XLOOKUP(S132:AG132,增益!$A:$A,增益!$V:$V,0)))*IF(VLOOKUP($R132,武学奇术!$A:$ZZ,23,FALSE)=1,0,1)</f>
        <v>0.0929</v>
      </c>
      <c r="BN132" s="26" cm="1">
        <f t="array" ref="BN132">1+$B$14+VLOOKUP($R132,武学奇术!$A:$ZZ,20,FALSE)+SUM(_xlfn.XLOOKUP(S132:AG132,增益!$A:$A,增益!$T:$T,0))</f>
        <v>1.35</v>
      </c>
      <c r="BO132" s="26">
        <f t="shared" si="81"/>
        <v>0.829926</v>
      </c>
      <c r="BP132" s="26">
        <f t="shared" si="82"/>
        <v>0.0599391</v>
      </c>
      <c r="BQ132" s="26">
        <f>IF(VLOOKUP($R132,武学奇术!$A:$ZZ,22,FALSE)=1,0,(1-$BJ132))*(1-$BM132)</f>
        <v>0.0172349</v>
      </c>
      <c r="BR132" s="26" cm="1">
        <f t="array" ref="BR132">SUM(_xlfn.XLOOKUP(S132:AG132,增益!$A:$A,增益!$W:$W,0))+$I$5</f>
        <v>0.11</v>
      </c>
    </row>
    <row r="133" spans="1:70">
      <c r="A133" s="4" t="s">
        <v>161</v>
      </c>
      <c r="B133" s="87">
        <v>1</v>
      </c>
      <c r="C133" s="39"/>
      <c r="D133" s="39"/>
      <c r="E133" s="39"/>
      <c r="F133" s="39"/>
      <c r="K133">
        <f>$L133*VLOOKUP($R133,武学奇术!$A:$ZZ,31,FALSE)</f>
        <v>42636.6006975714</v>
      </c>
      <c r="L133" s="38">
        <f t="shared" ref="L127:L138" si="83">($M133*$BO133+$N133*$BM133+$O133*$BP133+$P133*$BQ133)</f>
        <v>40606.2863786394</v>
      </c>
      <c r="M133" s="38">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BL133*$Q133*(1+IF(VLOOKUP($R133,武学奇术!$A:$ZZ,30,FALSE)="回旋伞",$B$21,0))*(1+$BR133)</f>
        <v>43041.8094665058</v>
      </c>
      <c r="N133" s="38">
        <f>(($AP133*$AI133+$AJ133)*(1+$AQ133)*(1+$AR133)+($AU133*IF($G$1="鸣金",$AK133,$AI133)+IF($G$1="鸣金",$AL133*1.5,0))*(1+$AV133)*(1+$AW133)+($AY133*IF($G$1="裂石",$AK133,$AI133)+IF($G$1="裂石",$AL133*1.5,0))*(1+$AZ133)*(1+$BA133)+($BC133*IF($G$1="牵丝",$AK133,$AI133)+IF($G$1="牵丝",$AL133*1.5,0))*(1+$BD133)*(1+$BE133)+($BG133*IF($G$1="破竹",$AK133,$AI133)+IF($G$1="破竹",$AL133*1.5,0))*(1+$BH133)*(1+$BI133))*(1+$AM133)*$BN133*$Q133*(1+IF(VLOOKUP($R133,武学奇术!$A:$ZZ,30,FALSE)="回旋伞",$B$21,0))*(1+$BR133)</f>
        <v>34408.4589257703</v>
      </c>
      <c r="O133" s="38">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Q133*(1+IF(VLOOKUP($R133,武学奇术!$A:$ZZ,30,FALSE)="回旋伞",$B$21,0))*(1+$BR133)</f>
        <v>22534.9787782753</v>
      </c>
      <c r="P133" s="38">
        <f>((($AO133*$AI133+$AJ133)*(1+$AQ133)*(1+$AR133)+($AT133*IF($G$1="鸣金",$AK133,$AI133)+IF($G$1="鸣金",$AL133*1.5,0))*(1+$AV133)*(1+$AW133)+($AX133*IF($G$1="裂石",$AK133,$AI133)+IF($G$1="裂石",$AL133*1.5,0))*(1+$AZ133)*(1+$BA133)+($BB133*IF($G$1="牵丝",$AK133,$AI133)+IF($G$1="牵丝",$AL133*1.5,0))*(1+$BD133)*(1+$BE133)+($BF133*IF($G$1="破竹",$AK133,$AI133)+IF($G$1="破竹",$AL133*1.5,0))*(1+$BH133)*(1+$BI133))*(1+$AM133))*$Q133*(1+IF(VLOOKUP($R133,武学奇术!$A:$ZZ,30,FALSE)="回旋伞",$B$21,0))*(1+$BR133)</f>
        <v>19582.2102041281</v>
      </c>
      <c r="Q133" s="39">
        <v>2</v>
      </c>
      <c r="R133" s="40" t="s">
        <v>112</v>
      </c>
      <c r="S133" s="40" t="s">
        <v>109</v>
      </c>
      <c r="T133" s="40" t="s">
        <v>95</v>
      </c>
      <c r="U133" s="40" t="s">
        <v>73</v>
      </c>
      <c r="V133" s="40" t="s">
        <v>72</v>
      </c>
      <c r="W133" s="40" t="s">
        <v>172</v>
      </c>
      <c r="X133" s="40" t="s">
        <v>99</v>
      </c>
      <c r="Y133" s="40" t="s">
        <v>72</v>
      </c>
      <c r="Z133" s="40" t="s">
        <v>72</v>
      </c>
      <c r="AA133" s="40" t="s">
        <v>72</v>
      </c>
      <c r="AB133" s="40" t="s">
        <v>72</v>
      </c>
      <c r="AC133" s="40" t="s">
        <v>85</v>
      </c>
      <c r="AD133" s="40" t="s">
        <v>72</v>
      </c>
      <c r="AE133" s="40" t="s">
        <v>72</v>
      </c>
      <c r="AF133" s="40" t="s">
        <v>77</v>
      </c>
      <c r="AG133" s="40" t="s">
        <v>78</v>
      </c>
      <c r="AH133" t="str">
        <f>VLOOKUP($R133,武学奇术!$A:$ZZ,25,FALSE)</f>
        <v>伞</v>
      </c>
      <c r="AI133" s="26">
        <f>VLOOKUP($R133,武学奇术!$A:$ZZ,26,FALSE)</f>
        <v>0.54</v>
      </c>
      <c r="AJ133" s="27">
        <f>VLOOKUP($R133,武学奇术!$A:$ZZ,27,FALSE)*(1+IF(OR($AH133=$F$4,$AH133=$F$5),$B$22,0))</f>
        <v>0</v>
      </c>
      <c r="AK133" s="26">
        <f>VLOOKUP($R133,武学奇术!$A:$ZZ,28,FALSE)</f>
        <v>0.81</v>
      </c>
      <c r="AL133" s="27">
        <f>VLOOKUP($R133,武学奇术!$A:$ZZ,29,FALSE)*(1+IF(OR($AH133=$F$4,$AH133=$F$5),$B$22,0))</f>
        <v>0</v>
      </c>
      <c r="AM133" s="26" cm="1">
        <f t="array" ref="AM133">$G$3+IFERROR(VLOOKUP($AH133,$F$4:$G$7,2,FALSE),0)+VLOOKUP($R133,武学奇术!$A:$ZZ,2,FALSE)+SUM(_xlfn.XLOOKUP($S133:$AG133,增益!$A:$A,增益!$B:$B,0))</f>
        <v>0.8541</v>
      </c>
      <c r="AN133" s="26" cm="1">
        <f t="array" ref="AN133">VLOOKUP($R133,武学奇术!$A:$ZZ,5,FALSE)+SUM(_xlfn.XLOOKUP($S133:$AG133,增益!$A:$A,增益!$E:$E,0))</f>
        <v>0</v>
      </c>
      <c r="AO133" cm="1">
        <f t="array" ref="AO133">$D$10*(1+$AN133)+VLOOKUP($R133,武学奇术!$A:$ZZ,3,FALSE)+SUM(_xlfn.XLOOKUP($S133:$AG133,增益!$A:$A,增益!$C:$C,0))-$I$2</f>
        <v>3624.6</v>
      </c>
      <c r="AP133" cm="1">
        <f t="array" ref="AP133">$E$10*(1+$AN133)+VLOOKUP($R133,武学奇术!$A:$ZZ,4,FALSE)+SUM(_xlfn.XLOOKUP($S133:$AG133,增益!$A:$A,增益!$D:$D,0))-$I$2</f>
        <v>3624.6</v>
      </c>
      <c r="AQ133" s="32" cm="1">
        <f t="array" ref="AQ133">IF($F$10-$I$3+VLOOKUP($R133,武学奇术!$A:$ZZ,6,FALSE)+SUM(_xlfn.XLOOKUP(S133:AG133,增益!$A:$A,增益!$F:$F,0))&gt;0,($F$10-$I$3+VLOOKUP($R133,武学奇术!$A:$ZZ,6,FALSE)+SUM(_xlfn.XLOOKUP(S133:AG133,增益!$A:$A,增益!$F:$F,0)))/200,($F$10-$I$3+VLOOKUP($R133,武学奇术!$A:$ZZ,6,FALSE)+SUM(_xlfn.XLOOKUP(S133:AG133,增益!$A:$A,增益!$F:$F,0)))/100)</f>
        <v>0.3425</v>
      </c>
      <c r="AR133" s="32" cm="1">
        <f t="array" ref="AR133">$G$10+VLOOKUP($R133,武学奇术!$A:$ZZ,7,FALSE)+SUM(_xlfn.XLOOKUP(S133:AG133,增益!$A:$A,增益!$G:$G,0))</f>
        <v>0.148</v>
      </c>
      <c r="AS133" s="26" cm="1">
        <f t="array" ref="AS133">VLOOKUP($R133,武学奇术!$A:$ZZ,8,FALSE)+SUM(_xlfn.XLOOKUP(S133:AG133,增益!$A:$A,增益!$H:$H,0))</f>
        <v>0</v>
      </c>
      <c r="AT133">
        <f t="shared" si="73"/>
        <v>0</v>
      </c>
      <c r="AU133">
        <f t="shared" si="74"/>
        <v>0</v>
      </c>
      <c r="AV133" s="32" cm="1">
        <f t="array" ref="AV133">IF($F$11-$I$4+VLOOKUP($R133,武学奇术!$A:$ZZ,9,FALSE)+SUM(_xlfn.XLOOKUP(S133:AG133,增益!$A:$A,增益!$I:$I,0))&gt;0,($F$11-$I$4+VLOOKUP($R133,武学奇术!$A:$ZZ,9,FALSE)+SUM(_xlfn.XLOOKUP(S133:AG133,增益!$A:$A,增益!$I:$I,0)))/200,($F$11-$I$4+VLOOKUP($R133,武学奇术!$A:$ZZ,9,FALSE)+SUM(_xlfn.XLOOKUP(S133:AG133,增益!$A:$A,增益!$I:$I,0)))/100)</f>
        <v>-0.3</v>
      </c>
      <c r="AW133" s="32" cm="1">
        <f t="array" ref="AW133">$G$11+VLOOKUP($R133,武学奇术!$A:$ZZ,10,FALSE)+SUM(_xlfn.XLOOKUP(S133:AG133,增益!$A:$A,增益!$J:$J,0))</f>
        <v>0</v>
      </c>
      <c r="AX133">
        <f t="shared" si="75"/>
        <v>0</v>
      </c>
      <c r="AY133">
        <f t="shared" si="76"/>
        <v>0</v>
      </c>
      <c r="AZ133" s="32" cm="1">
        <f t="array" ref="AZ133">IF($F$12-$I$4+VLOOKUP($R133,武学奇术!$A:$ZZ,11,FALSE)+SUM(_xlfn.XLOOKUP(S133:AG133,增益!$A:$A,增益!$K:$K,0))&gt;0,($F$12-$I$4+VLOOKUP($R133,武学奇术!$A:$ZZ,11,FALSE)+SUM(_xlfn.XLOOKUP(S133:AG133,增益!$A:$A,增益!$K:$K,0)))/200,($F$12-$I$4+VLOOKUP($R133,武学奇术!$A:$ZZ,11,FALSE)+SUM(_xlfn.XLOOKUP(S133:AG133,增益!$A:$A,增益!$K:$K,0)))/100)</f>
        <v>-0.3</v>
      </c>
      <c r="BA133" s="32" cm="1">
        <f t="array" ref="BA133">$G$12+VLOOKUP($R133,武学奇术!$A:$ZZ,12,FALSE)+SUM(_xlfn.XLOOKUP(S133:AG133,增益!$A:$A,增益!$L:$L,0))</f>
        <v>0</v>
      </c>
      <c r="BB133">
        <f t="shared" si="77"/>
        <v>0</v>
      </c>
      <c r="BC133">
        <f t="shared" si="78"/>
        <v>0</v>
      </c>
      <c r="BD133" s="32" cm="1">
        <f t="array" ref="BD133">IF($F$13-$I$4+VLOOKUP($R133,武学奇术!$A:$ZZ,13,FALSE)+SUM(_xlfn.XLOOKUP(S133:AG133,增益!$A:$A,增益!$M:$M,0))&gt;0,($F$13-$I$4+VLOOKUP($R133,武学奇术!$A:$ZZ,13,FALSE)+SUM(_xlfn.XLOOKUP(S133:AG133,增益!$A:$A,增益!$K:$K,0)))/200,($F$13-$I$4+VLOOKUP($R133,武学奇术!$A:$ZZ,13,FALSE)+SUM(_xlfn.XLOOKUP(S133:AG133,增益!$A:$A,增益!$M:$M,0)))/100)</f>
        <v>-0.3</v>
      </c>
      <c r="BE133" s="32" cm="1">
        <f t="array" ref="BE133">$G$13+VLOOKUP($R133,武学奇术!$A:$ZZ,14,FALSE)+SUM(_xlfn.XLOOKUP(S133:AG133,增益!$A:$A,增益!$N:$N,0))</f>
        <v>0</v>
      </c>
      <c r="BF133">
        <f t="shared" si="79"/>
        <v>571.2</v>
      </c>
      <c r="BG133">
        <f t="shared" si="80"/>
        <v>1627.8</v>
      </c>
      <c r="BH133" s="32" cm="1">
        <f t="array" ref="BH133">IF($F$14-$I$4+VLOOKUP($R133,武学奇术!$A:$ZZ,15,FALSE)+SUM(_xlfn.XLOOKUP(S133:AG133,增益!$A:$A,增益!$O:$O,0))&gt;0,($F$14-$I$4+VLOOKUP($R133,武学奇术!$A:$ZZ,15,FALSE)+SUM(_xlfn.XLOOKUP(S133:AG133,增益!$A:$A,增益!$O:$O,0)))/200,($F$14-$I$4+VLOOKUP($R133,武学奇术!$A:$ZZ,15,FALSE)+SUM(_xlfn.XLOOKUP(S133:AG133,增益!$A:$A,增益!$O:$O,0)))/100)</f>
        <v>0</v>
      </c>
      <c r="BI133" s="32" cm="1">
        <f t="array" ref="BI133">$G$14+VLOOKUP($R133,武学奇术!$A:$ZZ,16,FALSE)+SUM(_xlfn.XLOOKUP(S133:AG133,增益!$A:$A,增益!$P:$P,0))</f>
        <v>0.27</v>
      </c>
      <c r="BJ133" s="26">
        <f>MIN(IF(VLOOKUP($R133,武学奇术!$A:$ZZ,23,FALSE)=1,100%,$B$8),100%)</f>
        <v>0.981</v>
      </c>
      <c r="BK133" s="26" cm="1">
        <f t="array" ref="BK133">IF(VLOOKUP($R133,武学奇术!$A:$ZZ,23,FALSE)=1,100%,MIN(80%,$B$9+VLOOKUP($R133,武学奇术!$A:$ZZ,17,FALSE)+SUM(_xlfn.XLOOKUP(S133:AG133,增益!$A:$A,增益!$Q:$Q,0)))+$B$11+SUM(_xlfn.XLOOKUP(S133:AG133,增益!$A:$A,增益!$U:$U,0)))*IF(VLOOKUP($R133,武学奇术!$A:$ZZ,24,FALSE)=1,0,1)</f>
        <v>0.846</v>
      </c>
      <c r="BL133" s="26" cm="1">
        <f t="array" ref="BL133">1+$B$13+VLOOKUP($R133,武学奇术!$A:$ZZ,18,FALSE)+SUM(_xlfn.XLOOKUP(S133:AG133,增益!$A:$A,增益!$R:$R,0))</f>
        <v>1.91</v>
      </c>
      <c r="BM133" s="26" cm="1">
        <f t="array" ref="BM133">IF(VLOOKUP($R133,武学奇术!$A:$ZZ,24,FALSE)=1,100%,MIN(40%,$B$10+VLOOKUP($R133,武学奇术!$A:$ZZ,19,FALSE)+SUM(_xlfn.XLOOKUP(S133:AG133,增益!$A:$A,增益!$S:$S,0)))+$B$12+SUM(_xlfn.XLOOKUP(S133:AG133,增益!$A:$A,增益!$V:$V,0)))*IF(VLOOKUP($R133,武学奇术!$A:$ZZ,23,FALSE)=1,0,1)</f>
        <v>0.0929</v>
      </c>
      <c r="BN133" s="26" cm="1">
        <f t="array" ref="BN133">1+$B$14+VLOOKUP($R133,武学奇术!$A:$ZZ,20,FALSE)+SUM(_xlfn.XLOOKUP(S133:AG133,增益!$A:$A,增益!$T:$T,0))</f>
        <v>1.35</v>
      </c>
      <c r="BO133" s="26">
        <f t="shared" si="81"/>
        <v>0.829926</v>
      </c>
      <c r="BP133" s="26">
        <f t="shared" si="82"/>
        <v>0.0599391</v>
      </c>
      <c r="BQ133" s="26">
        <f>IF(VLOOKUP($R133,武学奇术!$A:$ZZ,22,FALSE)=1,0,(1-$BJ133))*(1-$BM133)</f>
        <v>0.0172349</v>
      </c>
      <c r="BR133" s="26" cm="1">
        <f t="array" ref="BR133">SUM(_xlfn.XLOOKUP(S133:AG133,增益!$A:$A,增益!$W:$W,0))+$I$5</f>
        <v>0.11</v>
      </c>
    </row>
    <row r="134" spans="1:70">
      <c r="A134" s="4" t="s">
        <v>161</v>
      </c>
      <c r="B134" s="4">
        <v>1</v>
      </c>
      <c r="C134" s="39"/>
      <c r="D134" s="39"/>
      <c r="F134" s="39"/>
      <c r="K134">
        <f>$L134*VLOOKUP($R134,武学奇术!$A:$ZZ,31,FALSE)</f>
        <v>85457.2157425715</v>
      </c>
      <c r="L134" s="38">
        <f t="shared" si="83"/>
        <v>81387.8245167348</v>
      </c>
      <c r="M134" s="38">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BL134*$Q134*(1+IF(VLOOKUP($R134,武学奇术!$A:$ZZ,30,FALSE)="回旋伞",$B$21,0))*(1+$BR134)</f>
        <v>86635.2557093128</v>
      </c>
      <c r="N134" s="38">
        <f>(($AP134*$AI134+$AJ134)*(1+$AQ134)*(1+$AR134)+($AU134*IF($G$1="鸣金",$AK134,$AI134)+IF($G$1="鸣金",$AL134*1.5,0))*(1+$AV134)*(1+$AW134)+($AY134*IF($G$1="裂石",$AK134,$AI134)+IF($G$1="裂石",$AL134*1.5,0))*(1+$AZ134)*(1+$BA134)+($BC134*IF($G$1="牵丝",$AK134,$AI134)+IF($G$1="牵丝",$AL134*1.5,0))*(1+$BD134)*(1+$BE134)+($BG134*IF($G$1="破竹",$AK134,$AI134)+IF($G$1="破竹",$AL134*1.5,0))*(1+$BH134)*(1+$BI134))*(1+$AM134)*$BN134*$Q134*(1+IF(VLOOKUP($R134,武学奇术!$A:$ZZ,30,FALSE)="回旋伞",$B$21,0))*(1+$BR134)</f>
        <v>66578.0496996268</v>
      </c>
      <c r="O134" s="38">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Q134*(1+IF(VLOOKUP($R134,武学奇术!$A:$ZZ,30,FALSE)="回旋伞",$B$21,0))*(1+$BR134)</f>
        <v>43977.2871620877</v>
      </c>
      <c r="P134" s="38">
        <f>((($AO134*$AI134+$AJ134)*(1+$AQ134)*(1+$AR134)+($AT134*IF($G$1="鸣金",$AK134,$AI134)+IF($G$1="鸣金",$AL134*1.5,0))*(1+$AV134)*(1+$AW134)+($AX134*IF($G$1="裂石",$AK134,$AI134)+IF($G$1="裂石",$AL134*1.5,0))*(1+$AZ134)*(1+$BA134)+($BB134*IF($G$1="牵丝",$AK134,$AI134)+IF($G$1="牵丝",$AL134*1.5,0))*(1+$BD134)*(1+$BE134)+($BF134*IF($G$1="破竹",$AK134,$AI134)+IF($G$1="破竹",$AL134*1.5,0))*(1+$BH134)*(1+$BI134))*(1+$AM134))*$Q134*(1+IF(VLOOKUP($R134,武学奇术!$A:$ZZ,30,FALSE)="回旋伞",$B$21,0))*(1+$BR134)</f>
        <v>38637.5004726</v>
      </c>
      <c r="Q134" s="39">
        <v>1</v>
      </c>
      <c r="R134" s="40" t="s">
        <v>108</v>
      </c>
      <c r="S134" s="40" t="s">
        <v>109</v>
      </c>
      <c r="T134" s="40" t="s">
        <v>95</v>
      </c>
      <c r="U134" s="40" t="s">
        <v>73</v>
      </c>
      <c r="V134" s="40" t="s">
        <v>81</v>
      </c>
      <c r="W134" s="40" t="s">
        <v>172</v>
      </c>
      <c r="X134" s="40" t="s">
        <v>99</v>
      </c>
      <c r="Y134" s="40" t="s">
        <v>84</v>
      </c>
      <c r="Z134" s="40" t="s">
        <v>72</v>
      </c>
      <c r="AA134" s="40" t="s">
        <v>72</v>
      </c>
      <c r="AB134" s="40" t="s">
        <v>115</v>
      </c>
      <c r="AC134" s="40" t="s">
        <v>85</v>
      </c>
      <c r="AD134" s="40" t="s">
        <v>72</v>
      </c>
      <c r="AE134" s="40" t="s">
        <v>72</v>
      </c>
      <c r="AF134" s="40" t="s">
        <v>77</v>
      </c>
      <c r="AG134" s="40" t="s">
        <v>78</v>
      </c>
      <c r="AH134" t="str">
        <f>VLOOKUP($R134,武学奇术!$A:$ZZ,25,FALSE)</f>
        <v>伞</v>
      </c>
      <c r="AI134" s="26">
        <f>VLOOKUP($R134,武学奇术!$A:$ZZ,26,FALSE)</f>
        <v>1.8084</v>
      </c>
      <c r="AJ134" s="27">
        <f>VLOOKUP($R134,武学奇术!$A:$ZZ,27,FALSE)*(1+IF(OR($AH134=$F$4,$AH134=$F$5),$B$22,0))</f>
        <v>750</v>
      </c>
      <c r="AK134" s="26">
        <f>VLOOKUP($R134,武学奇术!$A:$ZZ,28,FALSE)</f>
        <v>2.7126</v>
      </c>
      <c r="AL134" s="27">
        <f>VLOOKUP($R134,武学奇术!$A:$ZZ,29,FALSE)*(1+IF(OR($AH134=$F$4,$AH134=$F$5),$B$22,0))</f>
        <v>408</v>
      </c>
      <c r="AM134" s="26" cm="1">
        <f t="array" ref="AM134">$G$3+IFERROR(VLOOKUP($AH134,$F$4:$G$7,2,FALSE),0)+VLOOKUP($R134,武学奇术!$A:$ZZ,2,FALSE)+SUM(_xlfn.XLOOKUP($S134:$AG134,增益!$A:$A,增益!$B:$B,0))</f>
        <v>0.8541</v>
      </c>
      <c r="AN134" s="26" cm="1">
        <f t="array" ref="AN134">VLOOKUP($R134,武学奇术!$A:$ZZ,5,FALSE)+SUM(_xlfn.XLOOKUP($S134:$AG134,增益!$A:$A,增益!$E:$E,0))</f>
        <v>0</v>
      </c>
      <c r="AO134" cm="1">
        <f t="array" ref="AO134">$D$10*(1+$AN134)+VLOOKUP($R134,武学奇术!$A:$ZZ,3,FALSE)+SUM(_xlfn.XLOOKUP($S134:$AG134,增益!$A:$A,增益!$C:$C,0))-$I$2</f>
        <v>3624.6</v>
      </c>
      <c r="AP134" cm="1">
        <f t="array" ref="AP134">$E$10*(1+$AN134)+VLOOKUP($R134,武学奇术!$A:$ZZ,4,FALSE)+SUM(_xlfn.XLOOKUP($S134:$AG134,增益!$A:$A,增益!$D:$D,0))-$I$2</f>
        <v>3624.6</v>
      </c>
      <c r="AQ134" s="32" cm="1">
        <f t="array" ref="AQ134">IF($F$10-$I$3+VLOOKUP($R134,武学奇术!$A:$ZZ,6,FALSE)+SUM(_xlfn.XLOOKUP(S134:AG134,增益!$A:$A,增益!$F:$F,0))&gt;0,($F$10-$I$3+VLOOKUP($R134,武学奇术!$A:$ZZ,6,FALSE)+SUM(_xlfn.XLOOKUP(S134:AG134,增益!$A:$A,增益!$F:$F,0)))/200,($F$10-$I$3+VLOOKUP($R134,武学奇术!$A:$ZZ,6,FALSE)+SUM(_xlfn.XLOOKUP(S134:AG134,增益!$A:$A,增益!$F:$F,0)))/100)</f>
        <v>0.3425</v>
      </c>
      <c r="AR134" s="32" cm="1">
        <f t="array" ref="AR134">$G$10+VLOOKUP($R134,武学奇术!$A:$ZZ,7,FALSE)+SUM(_xlfn.XLOOKUP(S134:AG134,增益!$A:$A,增益!$G:$G,0))</f>
        <v>0.148</v>
      </c>
      <c r="AS134" s="26" cm="1">
        <f t="array" ref="AS134">VLOOKUP($R134,武学奇术!$A:$ZZ,8,FALSE)+SUM(_xlfn.XLOOKUP(S134:AG134,增益!$A:$A,增益!$H:$H,0))</f>
        <v>0</v>
      </c>
      <c r="AT134">
        <f t="shared" si="73"/>
        <v>0</v>
      </c>
      <c r="AU134">
        <f t="shared" si="74"/>
        <v>0</v>
      </c>
      <c r="AV134" s="32" cm="1">
        <f t="array" ref="AV134">IF($F$11-$I$4+VLOOKUP($R134,武学奇术!$A:$ZZ,9,FALSE)+SUM(_xlfn.XLOOKUP(S134:AG134,增益!$A:$A,增益!$I:$I,0))&gt;0,($F$11-$I$4+VLOOKUP($R134,武学奇术!$A:$ZZ,9,FALSE)+SUM(_xlfn.XLOOKUP(S134:AG134,增益!$A:$A,增益!$I:$I,0)))/200,($F$11-$I$4+VLOOKUP($R134,武学奇术!$A:$ZZ,9,FALSE)+SUM(_xlfn.XLOOKUP(S134:AG134,增益!$A:$A,增益!$I:$I,0)))/100)</f>
        <v>-0.14</v>
      </c>
      <c r="AW134" s="32" cm="1">
        <f t="array" ref="AW134">$G$11+VLOOKUP($R134,武学奇术!$A:$ZZ,10,FALSE)+SUM(_xlfn.XLOOKUP(S134:AG134,增益!$A:$A,增益!$J:$J,0))</f>
        <v>0</v>
      </c>
      <c r="AX134">
        <f t="shared" si="75"/>
        <v>0</v>
      </c>
      <c r="AY134">
        <f t="shared" si="76"/>
        <v>0</v>
      </c>
      <c r="AZ134" s="32" cm="1">
        <f t="array" ref="AZ134">IF($F$12-$I$4+VLOOKUP($R134,武学奇术!$A:$ZZ,11,FALSE)+SUM(_xlfn.XLOOKUP(S134:AG134,增益!$A:$A,增益!$K:$K,0))&gt;0,($F$12-$I$4+VLOOKUP($R134,武学奇术!$A:$ZZ,11,FALSE)+SUM(_xlfn.XLOOKUP(S134:AG134,增益!$A:$A,增益!$K:$K,0)))/200,($F$12-$I$4+VLOOKUP($R134,武学奇术!$A:$ZZ,11,FALSE)+SUM(_xlfn.XLOOKUP(S134:AG134,增益!$A:$A,增益!$K:$K,0)))/100)</f>
        <v>-0.14</v>
      </c>
      <c r="BA134" s="32" cm="1">
        <f t="array" ref="BA134">$G$12+VLOOKUP($R134,武学奇术!$A:$ZZ,12,FALSE)+SUM(_xlfn.XLOOKUP(S134:AG134,增益!$A:$A,增益!$L:$L,0))</f>
        <v>0</v>
      </c>
      <c r="BB134">
        <f t="shared" si="77"/>
        <v>0</v>
      </c>
      <c r="BC134">
        <f t="shared" si="78"/>
        <v>0</v>
      </c>
      <c r="BD134" s="32" cm="1">
        <f t="array" ref="BD134">IF($F$13-$I$4+VLOOKUP($R134,武学奇术!$A:$ZZ,13,FALSE)+SUM(_xlfn.XLOOKUP(S134:AG134,增益!$A:$A,增益!$M:$M,0))&gt;0,($F$13-$I$4+VLOOKUP($R134,武学奇术!$A:$ZZ,13,FALSE)+SUM(_xlfn.XLOOKUP(S134:AG134,增益!$A:$A,增益!$K:$K,0)))/200,($F$13-$I$4+VLOOKUP($R134,武学奇术!$A:$ZZ,13,FALSE)+SUM(_xlfn.XLOOKUP(S134:AG134,增益!$A:$A,增益!$M:$M,0)))/100)</f>
        <v>-0.14</v>
      </c>
      <c r="BE134" s="32" cm="1">
        <f t="array" ref="BE134">$G$13+VLOOKUP($R134,武学奇术!$A:$ZZ,14,FALSE)+SUM(_xlfn.XLOOKUP(S134:AG134,增益!$A:$A,增益!$N:$N,0))</f>
        <v>0</v>
      </c>
      <c r="BF134">
        <f t="shared" si="79"/>
        <v>571.2</v>
      </c>
      <c r="BG134">
        <f t="shared" si="80"/>
        <v>1627.8</v>
      </c>
      <c r="BH134" s="32" cm="1">
        <f t="array" ref="BH134">IF($F$14-$I$4+VLOOKUP($R134,武学奇术!$A:$ZZ,15,FALSE)+SUM(_xlfn.XLOOKUP(S134:AG134,增益!$A:$A,增益!$O:$O,0))&gt;0,($F$14-$I$4+VLOOKUP($R134,武学奇术!$A:$ZZ,15,FALSE)+SUM(_xlfn.XLOOKUP(S134:AG134,增益!$A:$A,增益!$O:$O,0)))/200,($F$14-$I$4+VLOOKUP($R134,武学奇术!$A:$ZZ,15,FALSE)+SUM(_xlfn.XLOOKUP(S134:AG134,增益!$A:$A,增益!$O:$O,0)))/100)</f>
        <v>0.08</v>
      </c>
      <c r="BI134" s="32" cm="1">
        <f t="array" ref="BI134">$G$14+VLOOKUP($R134,武学奇术!$A:$ZZ,16,FALSE)+SUM(_xlfn.XLOOKUP(S134:AG134,增益!$A:$A,增益!$P:$P,0))</f>
        <v>0.27</v>
      </c>
      <c r="BJ134" s="26">
        <f>MIN(IF(VLOOKUP($R134,武学奇术!$A:$ZZ,23,FALSE)=1,100%,$B$8),100%)</f>
        <v>0.981</v>
      </c>
      <c r="BK134" s="26" cm="1">
        <f t="array" ref="BK134">IF(VLOOKUP($R134,武学奇术!$A:$ZZ,23,FALSE)=1,100%,MIN(80%,$B$9+VLOOKUP($R134,武学奇术!$A:$ZZ,17,FALSE)+SUM(_xlfn.XLOOKUP(S134:AG134,增益!$A:$A,增益!$Q:$Q,0)))+$B$11+SUM(_xlfn.XLOOKUP(S134:AG134,增益!$A:$A,增益!$U:$U,0)))*IF(VLOOKUP($R134,武学奇术!$A:$ZZ,24,FALSE)=1,0,1)</f>
        <v>0.846</v>
      </c>
      <c r="BL134" s="26" cm="1">
        <f t="array" ref="BL134">1+$B$13+VLOOKUP($R134,武学奇术!$A:$ZZ,18,FALSE)+SUM(_xlfn.XLOOKUP(S134:AG134,增益!$A:$A,增益!$R:$R,0))</f>
        <v>1.97</v>
      </c>
      <c r="BM134" s="26" cm="1">
        <f t="array" ref="BM134">IF(VLOOKUP($R134,武学奇术!$A:$ZZ,24,FALSE)=1,100%,MIN(40%,$B$10+VLOOKUP($R134,武学奇术!$A:$ZZ,19,FALSE)+SUM(_xlfn.XLOOKUP(S134:AG134,增益!$A:$A,增益!$S:$S,0)))+$B$12+SUM(_xlfn.XLOOKUP(S134:AG134,增益!$A:$A,增益!$V:$V,0)))*IF(VLOOKUP($R134,武学奇术!$A:$ZZ,23,FALSE)=1,0,1)</f>
        <v>0.0929</v>
      </c>
      <c r="BN134" s="26" cm="1">
        <f t="array" ref="BN134">1+$B$14+VLOOKUP($R134,武学奇术!$A:$ZZ,20,FALSE)+SUM(_xlfn.XLOOKUP(S134:AG134,增益!$A:$A,增益!$T:$T,0))</f>
        <v>1.35</v>
      </c>
      <c r="BO134" s="26">
        <f t="shared" si="81"/>
        <v>0.829926</v>
      </c>
      <c r="BP134" s="26">
        <f t="shared" si="82"/>
        <v>0.0599391</v>
      </c>
      <c r="BQ134" s="26">
        <f>IF(VLOOKUP($R134,武学奇术!$A:$ZZ,22,FALSE)=1,0,(1-$BJ134))*(1-$BM134)</f>
        <v>0.0172349</v>
      </c>
      <c r="BR134" s="26" cm="1">
        <f t="array" ref="BR134">SUM(_xlfn.XLOOKUP(S134:AG134,增益!$A:$A,增益!$W:$W,0))+$I$5</f>
        <v>0.11</v>
      </c>
    </row>
    <row r="135" spans="1:70">
      <c r="A135" s="4" t="s">
        <v>164</v>
      </c>
      <c r="B135" s="4">
        <v>0.85</v>
      </c>
      <c r="C135" s="39"/>
      <c r="D135" s="39"/>
      <c r="F135" s="39"/>
      <c r="K135">
        <f>$L135*VLOOKUP($R135,武学奇术!$A:$ZZ,31,FALSE)</f>
        <v>49621.7130736331</v>
      </c>
      <c r="L135" s="38">
        <f t="shared" si="83"/>
        <v>47258.7743558411</v>
      </c>
      <c r="M135" s="38">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BL135*$Q135*(1+IF(VLOOKUP($R135,武学奇术!$A:$ZZ,30,FALSE)="回旋伞",$B$21,0))*(1+$BR135)</f>
        <v>50255.609468307</v>
      </c>
      <c r="N135" s="38">
        <f>(($AP135*$AI135+$AJ135)*(1+$AQ135)*(1+$AR135)+($AU135*IF($G$1="鸣金",$AK135,$AI135)+IF($G$1="鸣金",$AL135*1.5,0))*(1+$AV135)*(1+$AW135)+($AY135*IF($G$1="裂石",$AK135,$AI135)+IF($G$1="裂石",$AL135*1.5,0))*(1+$AZ135)*(1+$BA135)+($BC135*IF($G$1="牵丝",$AK135,$AI135)+IF($G$1="牵丝",$AL135*1.5,0))*(1+$BD135)*(1+$BE135)+($BG135*IF($G$1="破竹",$AK135,$AI135)+IF($G$1="破竹",$AL135*1.5,0))*(1+$BH135)*(1+$BI135))*(1+$AM135)*$BN135*$Q135*(1+IF(VLOOKUP($R135,武学奇术!$A:$ZZ,30,FALSE)="回旋伞",$B$21,0))*(1+$BR135)</f>
        <v>39208.650800919</v>
      </c>
      <c r="O135" s="38">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Q135*(1+IF(VLOOKUP($R135,武学奇术!$A:$ZZ,30,FALSE)="回旋伞",$B$21,0))*(1+$BR135)</f>
        <v>25510.4616590391</v>
      </c>
      <c r="P135" s="38">
        <f>((($AO135*$AI135+$AJ135)*(1+$AQ135)*(1+$AR135)+($AT135*IF($G$1="鸣金",$AK135,$AI135)+IF($G$1="鸣金",$AL135*1.5,0))*(1+$AV135)*(1+$AW135)+($AX135*IF($G$1="裂石",$AK135,$AI135)+IF($G$1="裂石",$AL135*1.5,0))*(1+$AZ135)*(1+$BA135)+($BB135*IF($G$1="牵丝",$AK135,$AI135)+IF($G$1="牵丝",$AL135*1.5,0))*(1+$BD135)*(1+$BE135)+($BF135*IF($G$1="破竹",$AK135,$AI135)+IF($G$1="破竹",$AL135*1.5,0))*(1+$BH135)*(1+$BI135))*(1+$AM135))*$Q135*(1+IF(VLOOKUP($R135,武学奇术!$A:$ZZ,30,FALSE)="回旋伞",$B$21,0))*(1+$BR135)</f>
        <v>21977.4782803604</v>
      </c>
      <c r="Q135" s="39">
        <v>2</v>
      </c>
      <c r="R135" s="40" t="s">
        <v>112</v>
      </c>
      <c r="S135" s="40" t="s">
        <v>109</v>
      </c>
      <c r="T135" s="40" t="s">
        <v>95</v>
      </c>
      <c r="U135" s="40" t="s">
        <v>73</v>
      </c>
      <c r="V135" s="40" t="s">
        <v>81</v>
      </c>
      <c r="W135" s="40" t="s">
        <v>172</v>
      </c>
      <c r="X135" s="40" t="s">
        <v>99</v>
      </c>
      <c r="Y135" s="40" t="s">
        <v>84</v>
      </c>
      <c r="Z135" s="40" t="s">
        <v>72</v>
      </c>
      <c r="AA135" s="40" t="s">
        <v>72</v>
      </c>
      <c r="AB135" s="40" t="s">
        <v>115</v>
      </c>
      <c r="AC135" s="40" t="s">
        <v>85</v>
      </c>
      <c r="AD135" s="40" t="s">
        <v>72</v>
      </c>
      <c r="AE135" s="40" t="s">
        <v>72</v>
      </c>
      <c r="AF135" s="40" t="s">
        <v>77</v>
      </c>
      <c r="AG135" s="40" t="s">
        <v>78</v>
      </c>
      <c r="AH135" t="str">
        <f>VLOOKUP($R135,武学奇术!$A:$ZZ,25,FALSE)</f>
        <v>伞</v>
      </c>
      <c r="AI135" s="26">
        <f>VLOOKUP($R135,武学奇术!$A:$ZZ,26,FALSE)</f>
        <v>0.54</v>
      </c>
      <c r="AJ135" s="27">
        <f>VLOOKUP($R135,武学奇术!$A:$ZZ,27,FALSE)*(1+IF(OR($AH135=$F$4,$AH135=$F$5),$B$22,0))</f>
        <v>0</v>
      </c>
      <c r="AK135" s="26">
        <f>VLOOKUP($R135,武学奇术!$A:$ZZ,28,FALSE)</f>
        <v>0.81</v>
      </c>
      <c r="AL135" s="27">
        <f>VLOOKUP($R135,武学奇术!$A:$ZZ,29,FALSE)*(1+IF(OR($AH135=$F$4,$AH135=$F$5),$B$22,0))</f>
        <v>0</v>
      </c>
      <c r="AM135" s="26" cm="1">
        <f t="array" ref="AM135">$G$3+IFERROR(VLOOKUP($AH135,$F$4:$G$7,2,FALSE),0)+VLOOKUP($R135,武学奇术!$A:$ZZ,2,FALSE)+SUM(_xlfn.XLOOKUP($S135:$AG135,增益!$A:$A,增益!$B:$B,0))</f>
        <v>1.0541</v>
      </c>
      <c r="AN135" s="26" cm="1">
        <f t="array" ref="AN135">VLOOKUP($R135,武学奇术!$A:$ZZ,5,FALSE)+SUM(_xlfn.XLOOKUP($S135:$AG135,增益!$A:$A,增益!$E:$E,0))</f>
        <v>0</v>
      </c>
      <c r="AO135" cm="1">
        <f t="array" ref="AO135">$D$10*(1+$AN135)+VLOOKUP($R135,武学奇术!$A:$ZZ,3,FALSE)+SUM(_xlfn.XLOOKUP($S135:$AG135,增益!$A:$A,增益!$C:$C,0))-$I$2</f>
        <v>3624.6</v>
      </c>
      <c r="AP135" cm="1">
        <f t="array" ref="AP135">$E$10*(1+$AN135)+VLOOKUP($R135,武学奇术!$A:$ZZ,4,FALSE)+SUM(_xlfn.XLOOKUP($S135:$AG135,增益!$A:$A,增益!$D:$D,0))-$I$2</f>
        <v>3624.6</v>
      </c>
      <c r="AQ135" s="32" cm="1">
        <f t="array" ref="AQ135">IF($F$10-$I$3+VLOOKUP($R135,武学奇术!$A:$ZZ,6,FALSE)+SUM(_xlfn.XLOOKUP(S135:AG135,增益!$A:$A,增益!$F:$F,0))&gt;0,($F$10-$I$3+VLOOKUP($R135,武学奇术!$A:$ZZ,6,FALSE)+SUM(_xlfn.XLOOKUP(S135:AG135,增益!$A:$A,增益!$F:$F,0)))/200,($F$10-$I$3+VLOOKUP($R135,武学奇术!$A:$ZZ,6,FALSE)+SUM(_xlfn.XLOOKUP(S135:AG135,增益!$A:$A,增益!$F:$F,0)))/100)</f>
        <v>0.3425</v>
      </c>
      <c r="AR135" s="32" cm="1">
        <f t="array" ref="AR135">$G$10+VLOOKUP($R135,武学奇术!$A:$ZZ,7,FALSE)+SUM(_xlfn.XLOOKUP(S135:AG135,增益!$A:$A,增益!$G:$G,0))</f>
        <v>0.148</v>
      </c>
      <c r="AS135" s="26" cm="1">
        <f t="array" ref="AS135">VLOOKUP($R135,武学奇术!$A:$ZZ,8,FALSE)+SUM(_xlfn.XLOOKUP(S135:AG135,增益!$A:$A,增益!$H:$H,0))</f>
        <v>0</v>
      </c>
      <c r="AT135">
        <f t="shared" si="73"/>
        <v>0</v>
      </c>
      <c r="AU135">
        <f t="shared" si="74"/>
        <v>0</v>
      </c>
      <c r="AV135" s="32" cm="1">
        <f t="array" ref="AV135">IF($F$11-$I$4+VLOOKUP($R135,武学奇术!$A:$ZZ,9,FALSE)+SUM(_xlfn.XLOOKUP(S135:AG135,增益!$A:$A,增益!$I:$I,0))&gt;0,($F$11-$I$4+VLOOKUP($R135,武学奇术!$A:$ZZ,9,FALSE)+SUM(_xlfn.XLOOKUP(S135:AG135,增益!$A:$A,增益!$I:$I,0)))/200,($F$11-$I$4+VLOOKUP($R135,武学奇术!$A:$ZZ,9,FALSE)+SUM(_xlfn.XLOOKUP(S135:AG135,增益!$A:$A,增益!$I:$I,0)))/100)</f>
        <v>-0.14</v>
      </c>
      <c r="AW135" s="32" cm="1">
        <f t="array" ref="AW135">$G$11+VLOOKUP($R135,武学奇术!$A:$ZZ,10,FALSE)+SUM(_xlfn.XLOOKUP(S135:AG135,增益!$A:$A,增益!$J:$J,0))</f>
        <v>0</v>
      </c>
      <c r="AX135">
        <f t="shared" si="75"/>
        <v>0</v>
      </c>
      <c r="AY135">
        <f t="shared" si="76"/>
        <v>0</v>
      </c>
      <c r="AZ135" s="32" cm="1">
        <f t="array" ref="AZ135">IF($F$12-$I$4+VLOOKUP($R135,武学奇术!$A:$ZZ,11,FALSE)+SUM(_xlfn.XLOOKUP(S135:AG135,增益!$A:$A,增益!$K:$K,0))&gt;0,($F$12-$I$4+VLOOKUP($R135,武学奇术!$A:$ZZ,11,FALSE)+SUM(_xlfn.XLOOKUP(S135:AG135,增益!$A:$A,增益!$K:$K,0)))/200,($F$12-$I$4+VLOOKUP($R135,武学奇术!$A:$ZZ,11,FALSE)+SUM(_xlfn.XLOOKUP(S135:AG135,增益!$A:$A,增益!$K:$K,0)))/100)</f>
        <v>-0.14</v>
      </c>
      <c r="BA135" s="32" cm="1">
        <f t="array" ref="BA135">$G$12+VLOOKUP($R135,武学奇术!$A:$ZZ,12,FALSE)+SUM(_xlfn.XLOOKUP(S135:AG135,增益!$A:$A,增益!$L:$L,0))</f>
        <v>0</v>
      </c>
      <c r="BB135">
        <f t="shared" si="77"/>
        <v>0</v>
      </c>
      <c r="BC135">
        <f t="shared" si="78"/>
        <v>0</v>
      </c>
      <c r="BD135" s="32" cm="1">
        <f t="array" ref="BD135">IF($F$13-$I$4+VLOOKUP($R135,武学奇术!$A:$ZZ,13,FALSE)+SUM(_xlfn.XLOOKUP(S135:AG135,增益!$A:$A,增益!$M:$M,0))&gt;0,($F$13-$I$4+VLOOKUP($R135,武学奇术!$A:$ZZ,13,FALSE)+SUM(_xlfn.XLOOKUP(S135:AG135,增益!$A:$A,增益!$K:$K,0)))/200,($F$13-$I$4+VLOOKUP($R135,武学奇术!$A:$ZZ,13,FALSE)+SUM(_xlfn.XLOOKUP(S135:AG135,增益!$A:$A,增益!$M:$M,0)))/100)</f>
        <v>-0.14</v>
      </c>
      <c r="BE135" s="32" cm="1">
        <f t="array" ref="BE135">$G$13+VLOOKUP($R135,武学奇术!$A:$ZZ,14,FALSE)+SUM(_xlfn.XLOOKUP(S135:AG135,增益!$A:$A,增益!$N:$N,0))</f>
        <v>0</v>
      </c>
      <c r="BF135">
        <f t="shared" si="79"/>
        <v>571.2</v>
      </c>
      <c r="BG135">
        <f t="shared" si="80"/>
        <v>1627.8</v>
      </c>
      <c r="BH135" s="32" cm="1">
        <f t="array" ref="BH135">IF($F$14-$I$4+VLOOKUP($R135,武学奇术!$A:$ZZ,15,FALSE)+SUM(_xlfn.XLOOKUP(S135:AG135,增益!$A:$A,增益!$O:$O,0))&gt;0,($F$14-$I$4+VLOOKUP($R135,武学奇术!$A:$ZZ,15,FALSE)+SUM(_xlfn.XLOOKUP(S135:AG135,增益!$A:$A,增益!$O:$O,0)))/200,($F$14-$I$4+VLOOKUP($R135,武学奇术!$A:$ZZ,15,FALSE)+SUM(_xlfn.XLOOKUP(S135:AG135,增益!$A:$A,增益!$O:$O,0)))/100)</f>
        <v>0.08</v>
      </c>
      <c r="BI135" s="32" cm="1">
        <f t="array" ref="BI135">$G$14+VLOOKUP($R135,武学奇术!$A:$ZZ,16,FALSE)+SUM(_xlfn.XLOOKUP(S135:AG135,增益!$A:$A,增益!$P:$P,0))</f>
        <v>0.27</v>
      </c>
      <c r="BJ135" s="26">
        <f>MIN(IF(VLOOKUP($R135,武学奇术!$A:$ZZ,23,FALSE)=1,100%,$B$8),100%)</f>
        <v>0.981</v>
      </c>
      <c r="BK135" s="26" cm="1">
        <f t="array" ref="BK135">IF(VLOOKUP($R135,武学奇术!$A:$ZZ,23,FALSE)=1,100%,MIN(80%,$B$9+VLOOKUP($R135,武学奇术!$A:$ZZ,17,FALSE)+SUM(_xlfn.XLOOKUP(S135:AG135,增益!$A:$A,增益!$Q:$Q,0)))+$B$11+SUM(_xlfn.XLOOKUP(S135:AG135,增益!$A:$A,增益!$U:$U,0)))*IF(VLOOKUP($R135,武学奇术!$A:$ZZ,24,FALSE)=1,0,1)</f>
        <v>0.846</v>
      </c>
      <c r="BL135" s="26" cm="1">
        <f t="array" ref="BL135">1+$B$13+VLOOKUP($R135,武学奇术!$A:$ZZ,18,FALSE)+SUM(_xlfn.XLOOKUP(S135:AG135,增益!$A:$A,增益!$R:$R,0))</f>
        <v>1.97</v>
      </c>
      <c r="BM135" s="26" cm="1">
        <f t="array" ref="BM135">IF(VLOOKUP($R135,武学奇术!$A:$ZZ,24,FALSE)=1,100%,MIN(40%,$B$10+VLOOKUP($R135,武学奇术!$A:$ZZ,19,FALSE)+SUM(_xlfn.XLOOKUP(S135:AG135,增益!$A:$A,增益!$S:$S,0)))+$B$12+SUM(_xlfn.XLOOKUP(S135:AG135,增益!$A:$A,增益!$V:$V,0)))*IF(VLOOKUP($R135,武学奇术!$A:$ZZ,23,FALSE)=1,0,1)</f>
        <v>0.0929</v>
      </c>
      <c r="BN135" s="26" cm="1">
        <f t="array" ref="BN135">1+$B$14+VLOOKUP($R135,武学奇术!$A:$ZZ,20,FALSE)+SUM(_xlfn.XLOOKUP(S135:AG135,增益!$A:$A,增益!$T:$T,0))</f>
        <v>1.35</v>
      </c>
      <c r="BO135" s="26">
        <f t="shared" si="81"/>
        <v>0.829926</v>
      </c>
      <c r="BP135" s="26">
        <f t="shared" si="82"/>
        <v>0.0599391</v>
      </c>
      <c r="BQ135" s="26">
        <f>IF(VLOOKUP($R135,武学奇术!$A:$ZZ,22,FALSE)=1,0,(1-$BJ135))*(1-$BM135)</f>
        <v>0.0172349</v>
      </c>
      <c r="BR135" s="26" cm="1">
        <f t="array" ref="BR135">SUM(_xlfn.XLOOKUP(S135:AG135,增益!$A:$A,增益!$W:$W,0))+$I$5</f>
        <v>0.11</v>
      </c>
    </row>
    <row r="136" spans="1:70">
      <c r="A136" s="4" t="s">
        <v>166</v>
      </c>
      <c r="B136" s="87">
        <v>1</v>
      </c>
      <c r="C136" s="39"/>
      <c r="D136" s="39"/>
      <c r="E136" s="39" t="s">
        <v>163</v>
      </c>
      <c r="F136" s="39"/>
      <c r="K136">
        <f>$L136*VLOOKUP($R136,武学奇术!$A:$ZZ,31,FALSE)</f>
        <v>87756.5830661644</v>
      </c>
      <c r="L136" s="38">
        <f t="shared" si="83"/>
        <v>83577.6981582518</v>
      </c>
      <c r="M136" s="38">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BL136*$Q136*(1+IF(VLOOKUP($R136,武学奇术!$A:$ZZ,30,FALSE)="回旋伞",$B$21,0))*(1+$BR136)</f>
        <v>89273.8929390381</v>
      </c>
      <c r="N136" s="38">
        <f>(($AP136*$AI136+$AJ136)*(1+$AQ136)*(1+$AR136)+($AU136*IF($G$1="鸣金",$AK136,$AI136)+IF($G$1="鸣金",$AL136*1.5,0))*(1+$AV136)*(1+$AW136)+($AY136*IF($G$1="裂石",$AK136,$AI136)+IF($G$1="裂石",$AL136*1.5,0))*(1+$AZ136)*(1+$BA136)+($BC136*IF($G$1="牵丝",$AK136,$AI136)+IF($G$1="牵丝",$AL136*1.5,0))*(1+$BD136)*(1+$BE136)+($BG136*IF($G$1="破竹",$AK136,$AI136)+IF($G$1="破竹",$AL136*1.5,0))*(1+$BH136)*(1+$BI136))*(1+$AM136)*$BN136*$Q136*(1+IF(VLOOKUP($R136,武学奇术!$A:$ZZ,30,FALSE)="回旋伞",$B$21,0))*(1+$BR136)</f>
        <v>66578.0496996268</v>
      </c>
      <c r="O136" s="38">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Q136*(1+IF(VLOOKUP($R136,武学奇术!$A:$ZZ,30,FALSE)="回旋伞",$B$21,0))*(1+$BR136)</f>
        <v>43977.2871620877</v>
      </c>
      <c r="P136" s="38">
        <f>((($AO136*$AI136+$AJ136)*(1+$AQ136)*(1+$AR136)+($AT136*IF($G$1="鸣金",$AK136,$AI136)+IF($G$1="鸣金",$AL136*1.5,0))*(1+$AV136)*(1+$AW136)+($AX136*IF($G$1="裂石",$AK136,$AI136)+IF($G$1="裂石",$AL136*1.5,0))*(1+$AZ136)*(1+$BA136)+($BB136*IF($G$1="牵丝",$AK136,$AI136)+IF($G$1="牵丝",$AL136*1.5,0))*(1+$BD136)*(1+$BE136)+($BF136*IF($G$1="破竹",$AK136,$AI136)+IF($G$1="破竹",$AL136*1.5,0))*(1+$BH136)*(1+$BI136))*(1+$AM136))*$Q136*(1+IF(VLOOKUP($R136,武学奇术!$A:$ZZ,30,FALSE)="回旋伞",$B$21,0))*(1+$BR136)</f>
        <v>38637.5004726</v>
      </c>
      <c r="Q136" s="39">
        <v>1</v>
      </c>
      <c r="R136" s="40" t="s">
        <v>108</v>
      </c>
      <c r="S136" s="40" t="s">
        <v>109</v>
      </c>
      <c r="T136" s="40" t="s">
        <v>95</v>
      </c>
      <c r="U136" s="40" t="s">
        <v>73</v>
      </c>
      <c r="V136" s="40" t="s">
        <v>81</v>
      </c>
      <c r="W136" s="40" t="s">
        <v>172</v>
      </c>
      <c r="X136" s="40" t="s">
        <v>99</v>
      </c>
      <c r="Y136" s="40" t="s">
        <v>84</v>
      </c>
      <c r="Z136" s="40" t="s">
        <v>72</v>
      </c>
      <c r="AA136" s="40" t="s">
        <v>72</v>
      </c>
      <c r="AB136" s="40" t="s">
        <v>120</v>
      </c>
      <c r="AC136" s="40" t="s">
        <v>91</v>
      </c>
      <c r="AD136" s="40" t="s">
        <v>72</v>
      </c>
      <c r="AE136" s="40" t="s">
        <v>72</v>
      </c>
      <c r="AF136" s="40" t="s">
        <v>77</v>
      </c>
      <c r="AG136" s="40" t="s">
        <v>78</v>
      </c>
      <c r="AH136" t="str">
        <f>VLOOKUP($R136,武学奇术!$A:$ZZ,25,FALSE)</f>
        <v>伞</v>
      </c>
      <c r="AI136" s="26">
        <f>VLOOKUP($R136,武学奇术!$A:$ZZ,26,FALSE)</f>
        <v>1.8084</v>
      </c>
      <c r="AJ136" s="27">
        <f>VLOOKUP($R136,武学奇术!$A:$ZZ,27,FALSE)*(1+IF(OR($AH136=$F$4,$AH136=$F$5),$B$22,0))</f>
        <v>750</v>
      </c>
      <c r="AK136" s="26">
        <f>VLOOKUP($R136,武学奇术!$A:$ZZ,28,FALSE)</f>
        <v>2.7126</v>
      </c>
      <c r="AL136" s="27">
        <f>VLOOKUP($R136,武学奇术!$A:$ZZ,29,FALSE)*(1+IF(OR($AH136=$F$4,$AH136=$F$5),$B$22,0))</f>
        <v>408</v>
      </c>
      <c r="AM136" s="26" cm="1">
        <f t="array" ref="AM136">$G$3+IFERROR(VLOOKUP($AH136,$F$4:$G$7,2,FALSE),0)+VLOOKUP($R136,武学奇术!$A:$ZZ,2,FALSE)+SUM(_xlfn.XLOOKUP($S136:$AG136,增益!$A:$A,增益!$B:$B,0))</f>
        <v>0.8541</v>
      </c>
      <c r="AN136" s="26" cm="1">
        <f t="array" ref="AN136">VLOOKUP($R136,武学奇术!$A:$ZZ,5,FALSE)+SUM(_xlfn.XLOOKUP($S136:$AG136,增益!$A:$A,增益!$E:$E,0))</f>
        <v>0</v>
      </c>
      <c r="AO136" cm="1">
        <f t="array" ref="AO136">$D$10*(1+$AN136)+VLOOKUP($R136,武学奇术!$A:$ZZ,3,FALSE)+SUM(_xlfn.XLOOKUP($S136:$AG136,增益!$A:$A,增益!$C:$C,0))-$I$2</f>
        <v>3624.6</v>
      </c>
      <c r="AP136" cm="1">
        <f t="array" ref="AP136">$E$10*(1+$AN136)+VLOOKUP($R136,武学奇术!$A:$ZZ,4,FALSE)+SUM(_xlfn.XLOOKUP($S136:$AG136,增益!$A:$A,增益!$D:$D,0))-$I$2</f>
        <v>3624.6</v>
      </c>
      <c r="AQ136" s="32" cm="1">
        <f t="array" ref="AQ136">IF($F$10-$I$3+VLOOKUP($R136,武学奇术!$A:$ZZ,6,FALSE)+SUM(_xlfn.XLOOKUP(S136:AG136,增益!$A:$A,增益!$F:$F,0))&gt;0,($F$10-$I$3+VLOOKUP($R136,武学奇术!$A:$ZZ,6,FALSE)+SUM(_xlfn.XLOOKUP(S136:AG136,增益!$A:$A,增益!$F:$F,0)))/200,($F$10-$I$3+VLOOKUP($R136,武学奇术!$A:$ZZ,6,FALSE)+SUM(_xlfn.XLOOKUP(S136:AG136,增益!$A:$A,增益!$F:$F,0)))/100)</f>
        <v>0.3425</v>
      </c>
      <c r="AR136" s="32" cm="1">
        <f t="array" ref="AR136">$G$10+VLOOKUP($R136,武学奇术!$A:$ZZ,7,FALSE)+SUM(_xlfn.XLOOKUP(S136:AG136,增益!$A:$A,增益!$G:$G,0))</f>
        <v>0.148</v>
      </c>
      <c r="AS136" s="26" cm="1">
        <f t="array" ref="AS136">VLOOKUP($R136,武学奇术!$A:$ZZ,8,FALSE)+SUM(_xlfn.XLOOKUP(S136:AG136,增益!$A:$A,增益!$H:$H,0))</f>
        <v>0</v>
      </c>
      <c r="AT136">
        <f t="shared" si="73"/>
        <v>0</v>
      </c>
      <c r="AU136">
        <f t="shared" si="74"/>
        <v>0</v>
      </c>
      <c r="AV136" s="32" cm="1">
        <f t="array" ref="AV136">IF($F$11-$I$4+VLOOKUP($R136,武学奇术!$A:$ZZ,9,FALSE)+SUM(_xlfn.XLOOKUP(S136:AG136,增益!$A:$A,增益!$I:$I,0))&gt;0,($F$11-$I$4+VLOOKUP($R136,武学奇术!$A:$ZZ,9,FALSE)+SUM(_xlfn.XLOOKUP(S136:AG136,增益!$A:$A,增益!$I:$I,0)))/200,($F$11-$I$4+VLOOKUP($R136,武学奇术!$A:$ZZ,9,FALSE)+SUM(_xlfn.XLOOKUP(S136:AG136,增益!$A:$A,增益!$I:$I,0)))/100)</f>
        <v>-0.14</v>
      </c>
      <c r="AW136" s="32" cm="1">
        <f t="array" ref="AW136">$G$11+VLOOKUP($R136,武学奇术!$A:$ZZ,10,FALSE)+SUM(_xlfn.XLOOKUP(S136:AG136,增益!$A:$A,增益!$J:$J,0))</f>
        <v>0</v>
      </c>
      <c r="AX136">
        <f t="shared" si="75"/>
        <v>0</v>
      </c>
      <c r="AY136">
        <f t="shared" si="76"/>
        <v>0</v>
      </c>
      <c r="AZ136" s="32" cm="1">
        <f t="array" ref="AZ136">IF($F$12-$I$4+VLOOKUP($R136,武学奇术!$A:$ZZ,11,FALSE)+SUM(_xlfn.XLOOKUP(S136:AG136,增益!$A:$A,增益!$K:$K,0))&gt;0,($F$12-$I$4+VLOOKUP($R136,武学奇术!$A:$ZZ,11,FALSE)+SUM(_xlfn.XLOOKUP(S136:AG136,增益!$A:$A,增益!$K:$K,0)))/200,($F$12-$I$4+VLOOKUP($R136,武学奇术!$A:$ZZ,11,FALSE)+SUM(_xlfn.XLOOKUP(S136:AG136,增益!$A:$A,增益!$K:$K,0)))/100)</f>
        <v>-0.14</v>
      </c>
      <c r="BA136" s="32" cm="1">
        <f t="array" ref="BA136">$G$12+VLOOKUP($R136,武学奇术!$A:$ZZ,12,FALSE)+SUM(_xlfn.XLOOKUP(S136:AG136,增益!$A:$A,增益!$L:$L,0))</f>
        <v>0</v>
      </c>
      <c r="BB136">
        <f t="shared" si="77"/>
        <v>0</v>
      </c>
      <c r="BC136">
        <f t="shared" si="78"/>
        <v>0</v>
      </c>
      <c r="BD136" s="32" cm="1">
        <f t="array" ref="BD136">IF($F$13-$I$4+VLOOKUP($R136,武学奇术!$A:$ZZ,13,FALSE)+SUM(_xlfn.XLOOKUP(S136:AG136,增益!$A:$A,增益!$M:$M,0))&gt;0,($F$13-$I$4+VLOOKUP($R136,武学奇术!$A:$ZZ,13,FALSE)+SUM(_xlfn.XLOOKUP(S136:AG136,增益!$A:$A,增益!$K:$K,0)))/200,($F$13-$I$4+VLOOKUP($R136,武学奇术!$A:$ZZ,13,FALSE)+SUM(_xlfn.XLOOKUP(S136:AG136,增益!$A:$A,增益!$M:$M,0)))/100)</f>
        <v>-0.14</v>
      </c>
      <c r="BE136" s="32" cm="1">
        <f t="array" ref="BE136">$G$13+VLOOKUP($R136,武学奇术!$A:$ZZ,14,FALSE)+SUM(_xlfn.XLOOKUP(S136:AG136,增益!$A:$A,增益!$N:$N,0))</f>
        <v>0</v>
      </c>
      <c r="BF136">
        <f t="shared" si="79"/>
        <v>571.2</v>
      </c>
      <c r="BG136">
        <f t="shared" si="80"/>
        <v>1627.8</v>
      </c>
      <c r="BH136" s="32" cm="1">
        <f t="array" ref="BH136">IF($F$14-$I$4+VLOOKUP($R136,武学奇术!$A:$ZZ,15,FALSE)+SUM(_xlfn.XLOOKUP(S136:AG136,增益!$A:$A,增益!$O:$O,0))&gt;0,($F$14-$I$4+VLOOKUP($R136,武学奇术!$A:$ZZ,15,FALSE)+SUM(_xlfn.XLOOKUP(S136:AG136,增益!$A:$A,增益!$O:$O,0)))/200,($F$14-$I$4+VLOOKUP($R136,武学奇术!$A:$ZZ,15,FALSE)+SUM(_xlfn.XLOOKUP(S136:AG136,增益!$A:$A,增益!$O:$O,0)))/100)</f>
        <v>0.08</v>
      </c>
      <c r="BI136" s="32" cm="1">
        <f t="array" ref="BI136">$G$14+VLOOKUP($R136,武学奇术!$A:$ZZ,16,FALSE)+SUM(_xlfn.XLOOKUP(S136:AG136,增益!$A:$A,增益!$P:$P,0))</f>
        <v>0.27</v>
      </c>
      <c r="BJ136" s="26">
        <f>MIN(IF(VLOOKUP($R136,武学奇术!$A:$ZZ,23,FALSE)=1,100%,$B$8),100%)</f>
        <v>0.981</v>
      </c>
      <c r="BK136" s="26" cm="1">
        <f t="array" ref="BK136">IF(VLOOKUP($R136,武学奇术!$A:$ZZ,23,FALSE)=1,100%,MIN(80%,$B$9+VLOOKUP($R136,武学奇术!$A:$ZZ,17,FALSE)+SUM(_xlfn.XLOOKUP(S136:AG136,增益!$A:$A,增益!$Q:$Q,0)))+$B$11+SUM(_xlfn.XLOOKUP(S136:AG136,增益!$A:$A,增益!$U:$U,0)))*IF(VLOOKUP($R136,武学奇术!$A:$ZZ,24,FALSE)=1,0,1)</f>
        <v>0.846</v>
      </c>
      <c r="BL136" s="26" cm="1">
        <f t="array" ref="BL136">1+$B$13+VLOOKUP($R136,武学奇术!$A:$ZZ,18,FALSE)+SUM(_xlfn.XLOOKUP(S136:AG136,增益!$A:$A,增益!$R:$R,0))</f>
        <v>2.03</v>
      </c>
      <c r="BM136" s="26" cm="1">
        <f t="array" ref="BM136">IF(VLOOKUP($R136,武学奇术!$A:$ZZ,24,FALSE)=1,100%,MIN(40%,$B$10+VLOOKUP($R136,武学奇术!$A:$ZZ,19,FALSE)+SUM(_xlfn.XLOOKUP(S136:AG136,增益!$A:$A,增益!$S:$S,0)))+$B$12+SUM(_xlfn.XLOOKUP(S136:AG136,增益!$A:$A,增益!$V:$V,0)))*IF(VLOOKUP($R136,武学奇术!$A:$ZZ,23,FALSE)=1,0,1)</f>
        <v>0.0929</v>
      </c>
      <c r="BN136" s="26" cm="1">
        <f t="array" ref="BN136">1+$B$14+VLOOKUP($R136,武学奇术!$A:$ZZ,20,FALSE)+SUM(_xlfn.XLOOKUP(S136:AG136,增益!$A:$A,增益!$T:$T,0))</f>
        <v>1.35</v>
      </c>
      <c r="BO136" s="26">
        <f t="shared" si="81"/>
        <v>0.829926</v>
      </c>
      <c r="BP136" s="26">
        <f t="shared" si="82"/>
        <v>0.0599391</v>
      </c>
      <c r="BQ136" s="26">
        <f>IF(VLOOKUP($R136,武学奇术!$A:$ZZ,22,FALSE)=1,0,(1-$BJ136))*(1-$BM136)</f>
        <v>0.0172349</v>
      </c>
      <c r="BR136" s="26" cm="1">
        <f t="array" ref="BR136">SUM(_xlfn.XLOOKUP(S136:AG136,增益!$A:$A,增益!$W:$W,0))+$I$5</f>
        <v>0.11</v>
      </c>
    </row>
    <row r="137" spans="1:70">
      <c r="A137" s="4"/>
      <c r="B137" s="87"/>
      <c r="K137">
        <f>$L137*VLOOKUP($R137,武学奇术!$A:$ZZ,31,FALSE)</f>
        <v>50955.536184012</v>
      </c>
      <c r="L137" s="38">
        <f t="shared" si="83"/>
        <v>48529.0820800114</v>
      </c>
      <c r="M137" s="38">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BL137*$Q137*(1+IF(VLOOKUP($R137,武学奇术!$A:$ZZ,30,FALSE)="回旋伞",$B$21,0))*(1+$BR137)</f>
        <v>51786.2371678494</v>
      </c>
      <c r="N137" s="38">
        <f>(($AP137*$AI137+$AJ137)*(1+$AQ137)*(1+$AR137)+($AU137*IF($G$1="鸣金",$AK137,$AI137)+IF($G$1="鸣金",$AL137*1.5,0))*(1+$AV137)*(1+$AW137)+($AY137*IF($G$1="裂石",$AK137,$AI137)+IF($G$1="裂石",$AL137*1.5,0))*(1+$AZ137)*(1+$BA137)+($BC137*IF($G$1="牵丝",$AK137,$AI137)+IF($G$1="牵丝",$AL137*1.5,0))*(1+$BD137)*(1+$BE137)+($BG137*IF($G$1="破竹",$AK137,$AI137)+IF($G$1="破竹",$AL137*1.5,0))*(1+$BH137)*(1+$BI137))*(1+$AM137)*$BN137*$Q137*(1+IF(VLOOKUP($R137,武学奇术!$A:$ZZ,30,FALSE)="回旋伞",$B$21,0))*(1+$BR137)</f>
        <v>39208.650800919</v>
      </c>
      <c r="O137" s="38">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Q137*(1+IF(VLOOKUP($R137,武学奇术!$A:$ZZ,30,FALSE)="回旋伞",$B$21,0))*(1+$BR137)</f>
        <v>25510.4616590391</v>
      </c>
      <c r="P137" s="38">
        <f>((($AO137*$AI137+$AJ137)*(1+$AQ137)*(1+$AR137)+($AT137*IF($G$1="鸣金",$AK137,$AI137)+IF($G$1="鸣金",$AL137*1.5,0))*(1+$AV137)*(1+$AW137)+($AX137*IF($G$1="裂石",$AK137,$AI137)+IF($G$1="裂石",$AL137*1.5,0))*(1+$AZ137)*(1+$BA137)+($BB137*IF($G$1="牵丝",$AK137,$AI137)+IF($G$1="牵丝",$AL137*1.5,0))*(1+$BD137)*(1+$BE137)+($BF137*IF($G$1="破竹",$AK137,$AI137)+IF($G$1="破竹",$AL137*1.5,0))*(1+$BH137)*(1+$BI137))*(1+$AM137))*$Q137*(1+IF(VLOOKUP($R137,武学奇术!$A:$ZZ,30,FALSE)="回旋伞",$B$21,0))*(1+$BR137)</f>
        <v>21977.4782803604</v>
      </c>
      <c r="Q137" s="39">
        <v>2</v>
      </c>
      <c r="R137" s="40" t="s">
        <v>112</v>
      </c>
      <c r="S137" s="40" t="s">
        <v>109</v>
      </c>
      <c r="T137" s="40" t="s">
        <v>95</v>
      </c>
      <c r="U137" s="40" t="s">
        <v>73</v>
      </c>
      <c r="V137" s="40" t="s">
        <v>81</v>
      </c>
      <c r="W137" s="40" t="s">
        <v>172</v>
      </c>
      <c r="X137" s="40" t="s">
        <v>99</v>
      </c>
      <c r="Y137" s="40" t="s">
        <v>84</v>
      </c>
      <c r="Z137" s="40" t="s">
        <v>72</v>
      </c>
      <c r="AA137" s="40" t="s">
        <v>72</v>
      </c>
      <c r="AB137" s="40" t="s">
        <v>120</v>
      </c>
      <c r="AC137" s="40" t="s">
        <v>91</v>
      </c>
      <c r="AD137" s="40" t="s">
        <v>72</v>
      </c>
      <c r="AE137" s="40" t="s">
        <v>72</v>
      </c>
      <c r="AF137" s="40" t="s">
        <v>77</v>
      </c>
      <c r="AG137" s="40" t="s">
        <v>78</v>
      </c>
      <c r="AH137" t="str">
        <f>VLOOKUP($R137,武学奇术!$A:$ZZ,25,FALSE)</f>
        <v>伞</v>
      </c>
      <c r="AI137" s="26">
        <f>VLOOKUP($R137,武学奇术!$A:$ZZ,26,FALSE)</f>
        <v>0.54</v>
      </c>
      <c r="AJ137" s="27">
        <f>VLOOKUP($R137,武学奇术!$A:$ZZ,27,FALSE)*(1+IF(OR($AH137=$F$4,$AH137=$F$5),$B$22,0))</f>
        <v>0</v>
      </c>
      <c r="AK137" s="26">
        <f>VLOOKUP($R137,武学奇术!$A:$ZZ,28,FALSE)</f>
        <v>0.81</v>
      </c>
      <c r="AL137" s="27">
        <f>VLOOKUP($R137,武学奇术!$A:$ZZ,29,FALSE)*(1+IF(OR($AH137=$F$4,$AH137=$F$5),$B$22,0))</f>
        <v>0</v>
      </c>
      <c r="AM137" s="26" cm="1">
        <f t="array" ref="AM137">$G$3+IFERROR(VLOOKUP($AH137,$F$4:$G$7,2,FALSE),0)+VLOOKUP($R137,武学奇术!$A:$ZZ,2,FALSE)+SUM(_xlfn.XLOOKUP($S137:$AG137,增益!$A:$A,增益!$B:$B,0))</f>
        <v>1.0541</v>
      </c>
      <c r="AN137" s="26" cm="1">
        <f t="array" ref="AN137">VLOOKUP($R137,武学奇术!$A:$ZZ,5,FALSE)+SUM(_xlfn.XLOOKUP($S137:$AG137,增益!$A:$A,增益!$E:$E,0))</f>
        <v>0</v>
      </c>
      <c r="AO137" cm="1">
        <f t="array" ref="AO137">$D$10*(1+$AN137)+VLOOKUP($R137,武学奇术!$A:$ZZ,3,FALSE)+SUM(_xlfn.XLOOKUP($S137:$AG137,增益!$A:$A,增益!$C:$C,0))-$I$2</f>
        <v>3624.6</v>
      </c>
      <c r="AP137" cm="1">
        <f t="array" ref="AP137">$E$10*(1+$AN137)+VLOOKUP($R137,武学奇术!$A:$ZZ,4,FALSE)+SUM(_xlfn.XLOOKUP($S137:$AG137,增益!$A:$A,增益!$D:$D,0))-$I$2</f>
        <v>3624.6</v>
      </c>
      <c r="AQ137" s="32" cm="1">
        <f t="array" ref="AQ137">IF($F$10-$I$3+VLOOKUP($R137,武学奇术!$A:$ZZ,6,FALSE)+SUM(_xlfn.XLOOKUP(S137:AG137,增益!$A:$A,增益!$F:$F,0))&gt;0,($F$10-$I$3+VLOOKUP($R137,武学奇术!$A:$ZZ,6,FALSE)+SUM(_xlfn.XLOOKUP(S137:AG137,增益!$A:$A,增益!$F:$F,0)))/200,($F$10-$I$3+VLOOKUP($R137,武学奇术!$A:$ZZ,6,FALSE)+SUM(_xlfn.XLOOKUP(S137:AG137,增益!$A:$A,增益!$F:$F,0)))/100)</f>
        <v>0.3425</v>
      </c>
      <c r="AR137" s="32" cm="1">
        <f t="array" ref="AR137">$G$10+VLOOKUP($R137,武学奇术!$A:$ZZ,7,FALSE)+SUM(_xlfn.XLOOKUP(S137:AG137,增益!$A:$A,增益!$G:$G,0))</f>
        <v>0.148</v>
      </c>
      <c r="AS137" s="26" cm="1">
        <f t="array" ref="AS137">VLOOKUP($R137,武学奇术!$A:$ZZ,8,FALSE)+SUM(_xlfn.XLOOKUP(S137:AG137,增益!$A:$A,增益!$H:$H,0))</f>
        <v>0</v>
      </c>
      <c r="AT137">
        <f t="shared" si="73"/>
        <v>0</v>
      </c>
      <c r="AU137">
        <f t="shared" si="74"/>
        <v>0</v>
      </c>
      <c r="AV137" s="32" cm="1">
        <f t="array" ref="AV137">IF($F$11-$I$4+VLOOKUP($R137,武学奇术!$A:$ZZ,9,FALSE)+SUM(_xlfn.XLOOKUP(S137:AG137,增益!$A:$A,增益!$I:$I,0))&gt;0,($F$11-$I$4+VLOOKUP($R137,武学奇术!$A:$ZZ,9,FALSE)+SUM(_xlfn.XLOOKUP(S137:AG137,增益!$A:$A,增益!$I:$I,0)))/200,($F$11-$I$4+VLOOKUP($R137,武学奇术!$A:$ZZ,9,FALSE)+SUM(_xlfn.XLOOKUP(S137:AG137,增益!$A:$A,增益!$I:$I,0)))/100)</f>
        <v>-0.14</v>
      </c>
      <c r="AW137" s="32" cm="1">
        <f t="array" ref="AW137">$G$11+VLOOKUP($R137,武学奇术!$A:$ZZ,10,FALSE)+SUM(_xlfn.XLOOKUP(S137:AG137,增益!$A:$A,增益!$J:$J,0))</f>
        <v>0</v>
      </c>
      <c r="AX137">
        <f t="shared" si="75"/>
        <v>0</v>
      </c>
      <c r="AY137">
        <f t="shared" si="76"/>
        <v>0</v>
      </c>
      <c r="AZ137" s="32" cm="1">
        <f t="array" ref="AZ137">IF($F$12-$I$4+VLOOKUP($R137,武学奇术!$A:$ZZ,11,FALSE)+SUM(_xlfn.XLOOKUP(S137:AG137,增益!$A:$A,增益!$K:$K,0))&gt;0,($F$12-$I$4+VLOOKUP($R137,武学奇术!$A:$ZZ,11,FALSE)+SUM(_xlfn.XLOOKUP(S137:AG137,增益!$A:$A,增益!$K:$K,0)))/200,($F$12-$I$4+VLOOKUP($R137,武学奇术!$A:$ZZ,11,FALSE)+SUM(_xlfn.XLOOKUP(S137:AG137,增益!$A:$A,增益!$K:$K,0)))/100)</f>
        <v>-0.14</v>
      </c>
      <c r="BA137" s="32" cm="1">
        <f t="array" ref="BA137">$G$12+VLOOKUP($R137,武学奇术!$A:$ZZ,12,FALSE)+SUM(_xlfn.XLOOKUP(S137:AG137,增益!$A:$A,增益!$L:$L,0))</f>
        <v>0</v>
      </c>
      <c r="BB137">
        <f t="shared" si="77"/>
        <v>0</v>
      </c>
      <c r="BC137">
        <f t="shared" si="78"/>
        <v>0</v>
      </c>
      <c r="BD137" s="32" cm="1">
        <f t="array" ref="BD137">IF($F$13-$I$4+VLOOKUP($R137,武学奇术!$A:$ZZ,13,FALSE)+SUM(_xlfn.XLOOKUP(S137:AG137,增益!$A:$A,增益!$M:$M,0))&gt;0,($F$13-$I$4+VLOOKUP($R137,武学奇术!$A:$ZZ,13,FALSE)+SUM(_xlfn.XLOOKUP(S137:AG137,增益!$A:$A,增益!$K:$K,0)))/200,($F$13-$I$4+VLOOKUP($R137,武学奇术!$A:$ZZ,13,FALSE)+SUM(_xlfn.XLOOKUP(S137:AG137,增益!$A:$A,增益!$M:$M,0)))/100)</f>
        <v>-0.14</v>
      </c>
      <c r="BE137" s="32" cm="1">
        <f t="array" ref="BE137">$G$13+VLOOKUP($R137,武学奇术!$A:$ZZ,14,FALSE)+SUM(_xlfn.XLOOKUP(S137:AG137,增益!$A:$A,增益!$N:$N,0))</f>
        <v>0</v>
      </c>
      <c r="BF137">
        <f t="shared" si="79"/>
        <v>571.2</v>
      </c>
      <c r="BG137">
        <f t="shared" si="80"/>
        <v>1627.8</v>
      </c>
      <c r="BH137" s="32" cm="1">
        <f t="array" ref="BH137">IF($F$14-$I$4+VLOOKUP($R137,武学奇术!$A:$ZZ,15,FALSE)+SUM(_xlfn.XLOOKUP(S137:AG137,增益!$A:$A,增益!$O:$O,0))&gt;0,($F$14-$I$4+VLOOKUP($R137,武学奇术!$A:$ZZ,15,FALSE)+SUM(_xlfn.XLOOKUP(S137:AG137,增益!$A:$A,增益!$O:$O,0)))/200,($F$14-$I$4+VLOOKUP($R137,武学奇术!$A:$ZZ,15,FALSE)+SUM(_xlfn.XLOOKUP(S137:AG137,增益!$A:$A,增益!$O:$O,0)))/100)</f>
        <v>0.08</v>
      </c>
      <c r="BI137" s="32" cm="1">
        <f t="array" ref="BI137">$G$14+VLOOKUP($R137,武学奇术!$A:$ZZ,16,FALSE)+SUM(_xlfn.XLOOKUP(S137:AG137,增益!$A:$A,增益!$P:$P,0))</f>
        <v>0.27</v>
      </c>
      <c r="BJ137" s="26">
        <f>MIN(IF(VLOOKUP($R137,武学奇术!$A:$ZZ,23,FALSE)=1,100%,$B$8),100%)</f>
        <v>0.981</v>
      </c>
      <c r="BK137" s="26" cm="1">
        <f t="array" ref="BK137">IF(VLOOKUP($R137,武学奇术!$A:$ZZ,23,FALSE)=1,100%,MIN(80%,$B$9+VLOOKUP($R137,武学奇术!$A:$ZZ,17,FALSE)+SUM(_xlfn.XLOOKUP(S137:AG137,增益!$A:$A,增益!$Q:$Q,0)))+$B$11+SUM(_xlfn.XLOOKUP(S137:AG137,增益!$A:$A,增益!$U:$U,0)))*IF(VLOOKUP($R137,武学奇术!$A:$ZZ,24,FALSE)=1,0,1)</f>
        <v>0.846</v>
      </c>
      <c r="BL137" s="26" cm="1">
        <f t="array" ref="BL137">1+$B$13+VLOOKUP($R137,武学奇术!$A:$ZZ,18,FALSE)+SUM(_xlfn.XLOOKUP(S137:AG137,增益!$A:$A,增益!$R:$R,0))</f>
        <v>2.03</v>
      </c>
      <c r="BM137" s="26" cm="1">
        <f t="array" ref="BM137">IF(VLOOKUP($R137,武学奇术!$A:$ZZ,24,FALSE)=1,100%,MIN(40%,$B$10+VLOOKUP($R137,武学奇术!$A:$ZZ,19,FALSE)+SUM(_xlfn.XLOOKUP(S137:AG137,增益!$A:$A,增益!$S:$S,0)))+$B$12+SUM(_xlfn.XLOOKUP(S137:AG137,增益!$A:$A,增益!$V:$V,0)))*IF(VLOOKUP($R137,武学奇术!$A:$ZZ,23,FALSE)=1,0,1)</f>
        <v>0.0929</v>
      </c>
      <c r="BN137" s="26" cm="1">
        <f t="array" ref="BN137">1+$B$14+VLOOKUP($R137,武学奇术!$A:$ZZ,20,FALSE)+SUM(_xlfn.XLOOKUP(S137:AG137,增益!$A:$A,增益!$T:$T,0))</f>
        <v>1.35</v>
      </c>
      <c r="BO137" s="26">
        <f t="shared" si="81"/>
        <v>0.829926</v>
      </c>
      <c r="BP137" s="26">
        <f t="shared" si="82"/>
        <v>0.0599391</v>
      </c>
      <c r="BQ137" s="26">
        <f>IF(VLOOKUP($R137,武学奇术!$A:$ZZ,22,FALSE)=1,0,(1-$BJ137))*(1-$BM137)</f>
        <v>0.0172349</v>
      </c>
      <c r="BR137" s="26" cm="1">
        <f t="array" ref="BR137">SUM(_xlfn.XLOOKUP(S137:AG137,增益!$A:$A,增益!$W:$W,0))+$I$5</f>
        <v>0.11</v>
      </c>
    </row>
    <row r="138" spans="1:70">
      <c r="K138">
        <f>$L138*VLOOKUP($R138,武学奇术!$A:$ZZ,31,FALSE)</f>
        <v>105383.685694143</v>
      </c>
      <c r="L138" s="38">
        <f t="shared" si="83"/>
        <v>100365.414946803</v>
      </c>
      <c r="M138" s="38">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BL138*$Q138*(1+IF(VLOOKUP($R138,武学奇术!$A:$ZZ,30,FALSE)="回旋伞",$B$21,0))*(1+$BR138)</f>
        <v>100365.414946803</v>
      </c>
      <c r="N138" s="38">
        <f>(($AP138*$AI138+$AJ138)*(1+$AQ138)*(1+$AR138)+($AU138*IF($G$1="鸣金",$AK138,$AI138)+IF($G$1="鸣金",$AL138*1.5,0))*(1+$AV138)*(1+$AW138)+($AY138*IF($G$1="裂石",$AK138,$AI138)+IF($G$1="裂石",$AL138*1.5,0))*(1+$AZ138)*(1+$BA138)+($BC138*IF($G$1="牵丝",$AK138,$AI138)+IF($G$1="牵丝",$AL138*1.5,0))*(1+$BD138)*(1+$BE138)+($BG138*IF($G$1="破竹",$AK138,$AI138)+IF($G$1="破竹",$AL138*1.5,0))*(1+$BH138)*(1+$BI138))*(1+$AM138)*$BN138*$Q138*(1+IF(VLOOKUP($R138,武学奇术!$A:$ZZ,30,FALSE)="回旋伞",$B$21,0))*(1+$BR138)</f>
        <v>73759.7604703109</v>
      </c>
      <c r="O138" s="38">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Q138*(1+IF(VLOOKUP($R138,武学奇术!$A:$ZZ,30,FALSE)="回旋伞",$B$21,0))*(1+$BR138)</f>
        <v>48721.0752168947</v>
      </c>
      <c r="P138" s="38">
        <f>((($AO138*$AI138+$AJ138)*(1+$AQ138)*(1+$AR138)+($AT138*IF($G$1="鸣金",$AK138,$AI138)+IF($G$1="鸣金",$AL138*1.5,0))*(1+$AV138)*(1+$AW138)+($AX138*IF($G$1="裂石",$AK138,$AI138)+IF($G$1="裂石",$AL138*1.5,0))*(1+$AZ138)*(1+$BA138)+($BB138*IF($G$1="牵丝",$AK138,$AI138)+IF($G$1="牵丝",$AL138*1.5,0))*(1+$BD138)*(1+$BE138)+($BF138*IF($G$1="破竹",$AK138,$AI138)+IF($G$1="破竹",$AL138*1.5,0))*(1+$BH138)*(1+$BI138))*(1+$AM138))*$Q138*(1+IF(VLOOKUP($R138,武学奇术!$A:$ZZ,30,FALSE)="回旋伞",$B$21,0))*(1+$BR138)</f>
        <v>42805.2908261516</v>
      </c>
      <c r="Q138" s="39">
        <v>1</v>
      </c>
      <c r="R138" s="40" t="s">
        <v>125</v>
      </c>
      <c r="S138" s="40" t="s">
        <v>109</v>
      </c>
      <c r="T138" s="40" t="s">
        <v>95</v>
      </c>
      <c r="U138" s="40" t="s">
        <v>73</v>
      </c>
      <c r="V138" s="40" t="s">
        <v>81</v>
      </c>
      <c r="W138" s="40" t="s">
        <v>172</v>
      </c>
      <c r="X138" s="40" t="s">
        <v>99</v>
      </c>
      <c r="Y138" s="40" t="s">
        <v>84</v>
      </c>
      <c r="Z138" s="40" t="s">
        <v>72</v>
      </c>
      <c r="AA138" s="40" t="s">
        <v>72</v>
      </c>
      <c r="AB138" s="40" t="s">
        <v>126</v>
      </c>
      <c r="AC138" s="40" t="s">
        <v>91</v>
      </c>
      <c r="AD138" s="40" t="s">
        <v>72</v>
      </c>
      <c r="AE138" s="40" t="s">
        <v>72</v>
      </c>
      <c r="AF138" s="40" t="s">
        <v>77</v>
      </c>
      <c r="AG138" s="40" t="s">
        <v>78</v>
      </c>
      <c r="AH138" t="str">
        <f>VLOOKUP($R138,武学奇术!$A:$ZZ,25,FALSE)</f>
        <v>伞</v>
      </c>
      <c r="AI138" s="26">
        <f>VLOOKUP($R138,武学奇术!$A:$ZZ,26,FALSE)</f>
        <v>1.8084</v>
      </c>
      <c r="AJ138" s="27">
        <f>VLOOKUP($R138,武学奇术!$A:$ZZ,27,FALSE)*(1+IF(OR($AH138=$F$4,$AH138=$F$5),$B$22,0))</f>
        <v>750</v>
      </c>
      <c r="AK138" s="26">
        <f>VLOOKUP($R138,武学奇术!$A:$ZZ,28,FALSE)</f>
        <v>2.7126</v>
      </c>
      <c r="AL138" s="27">
        <f>VLOOKUP($R138,武学奇术!$A:$ZZ,29,FALSE)*(1+IF(OR($AH138=$F$4,$AH138=$F$5),$B$22,0))</f>
        <v>408</v>
      </c>
      <c r="AM138" s="26" cm="1">
        <f t="array" ref="AM138">$G$3+IFERROR(VLOOKUP($AH138,$F$4:$G$7,2,FALSE),0)+VLOOKUP($R138,武学奇术!$A:$ZZ,2,FALSE)+SUM(_xlfn.XLOOKUP($S138:$AG138,增益!$A:$A,增益!$B:$B,0))</f>
        <v>1.0541</v>
      </c>
      <c r="AN138" s="26" cm="1">
        <f t="array" ref="AN138">VLOOKUP($R138,武学奇术!$A:$ZZ,5,FALSE)+SUM(_xlfn.XLOOKUP($S138:$AG138,增益!$A:$A,增益!$E:$E,0))</f>
        <v>0</v>
      </c>
      <c r="AO138" cm="1">
        <f t="array" ref="AO138">$D$10*(1+$AN138)+VLOOKUP($R138,武学奇术!$A:$ZZ,3,FALSE)+SUM(_xlfn.XLOOKUP($S138:$AG138,增益!$A:$A,增益!$C:$C,0))-$I$2</f>
        <v>3624.6</v>
      </c>
      <c r="AP138" cm="1">
        <f t="array" ref="AP138">$E$10*(1+$AN138)+VLOOKUP($R138,武学奇术!$A:$ZZ,4,FALSE)+SUM(_xlfn.XLOOKUP($S138:$AG138,增益!$A:$A,增益!$D:$D,0))-$I$2</f>
        <v>3624.6</v>
      </c>
      <c r="AQ138" s="32" cm="1">
        <f t="array" ref="AQ138">IF($F$10-$I$3+VLOOKUP($R138,武学奇术!$A:$ZZ,6,FALSE)+SUM(_xlfn.XLOOKUP(S138:AG138,增益!$A:$A,增益!$F:$F,0))&gt;0,($F$10-$I$3+VLOOKUP($R138,武学奇术!$A:$ZZ,6,FALSE)+SUM(_xlfn.XLOOKUP(S138:AG138,增益!$A:$A,增益!$F:$F,0)))/200,($F$10-$I$3+VLOOKUP($R138,武学奇术!$A:$ZZ,6,FALSE)+SUM(_xlfn.XLOOKUP(S138:AG138,增益!$A:$A,增益!$F:$F,0)))/100)</f>
        <v>0.3425</v>
      </c>
      <c r="AR138" s="32" cm="1">
        <f t="array" ref="AR138">$G$10+VLOOKUP($R138,武学奇术!$A:$ZZ,7,FALSE)+SUM(_xlfn.XLOOKUP(S138:AG138,增益!$A:$A,增益!$G:$G,0))</f>
        <v>0.148</v>
      </c>
      <c r="AS138" s="26" cm="1">
        <f t="array" ref="AS138">VLOOKUP($R138,武学奇术!$A:$ZZ,8,FALSE)+SUM(_xlfn.XLOOKUP(S138:AG138,增益!$A:$A,增益!$H:$H,0))</f>
        <v>0</v>
      </c>
      <c r="AT138">
        <f t="shared" si="73"/>
        <v>0</v>
      </c>
      <c r="AU138">
        <f t="shared" si="74"/>
        <v>0</v>
      </c>
      <c r="AV138" s="32" cm="1">
        <f t="array" ref="AV138">IF($F$11-$I$4+VLOOKUP($R138,武学奇术!$A:$ZZ,9,FALSE)+SUM(_xlfn.XLOOKUP(S138:AG138,增益!$A:$A,增益!$I:$I,0))&gt;0,($F$11-$I$4+VLOOKUP($R138,武学奇术!$A:$ZZ,9,FALSE)+SUM(_xlfn.XLOOKUP(S138:AG138,增益!$A:$A,增益!$I:$I,0)))/200,($F$11-$I$4+VLOOKUP($R138,武学奇术!$A:$ZZ,9,FALSE)+SUM(_xlfn.XLOOKUP(S138:AG138,增益!$A:$A,增益!$I:$I,0)))/100)</f>
        <v>-0.14</v>
      </c>
      <c r="AW138" s="32" cm="1">
        <f t="array" ref="AW138">$G$11+VLOOKUP($R138,武学奇术!$A:$ZZ,10,FALSE)+SUM(_xlfn.XLOOKUP(S138:AG138,增益!$A:$A,增益!$J:$J,0))</f>
        <v>0</v>
      </c>
      <c r="AX138">
        <f t="shared" si="75"/>
        <v>0</v>
      </c>
      <c r="AY138">
        <f t="shared" si="76"/>
        <v>0</v>
      </c>
      <c r="AZ138" s="32" cm="1">
        <f t="array" ref="AZ138">IF($F$12-$I$4+VLOOKUP($R138,武学奇术!$A:$ZZ,11,FALSE)+SUM(_xlfn.XLOOKUP(S138:AG138,增益!$A:$A,增益!$K:$K,0))&gt;0,($F$12-$I$4+VLOOKUP($R138,武学奇术!$A:$ZZ,11,FALSE)+SUM(_xlfn.XLOOKUP(S138:AG138,增益!$A:$A,增益!$K:$K,0)))/200,($F$12-$I$4+VLOOKUP($R138,武学奇术!$A:$ZZ,11,FALSE)+SUM(_xlfn.XLOOKUP(S138:AG138,增益!$A:$A,增益!$K:$K,0)))/100)</f>
        <v>-0.14</v>
      </c>
      <c r="BA138" s="32" cm="1">
        <f t="array" ref="BA138">$G$12+VLOOKUP($R138,武学奇术!$A:$ZZ,12,FALSE)+SUM(_xlfn.XLOOKUP(S138:AG138,增益!$A:$A,增益!$L:$L,0))</f>
        <v>0</v>
      </c>
      <c r="BB138">
        <f t="shared" si="77"/>
        <v>0</v>
      </c>
      <c r="BC138">
        <f t="shared" si="78"/>
        <v>0</v>
      </c>
      <c r="BD138" s="32" cm="1">
        <f t="array" ref="BD138">IF($F$13-$I$4+VLOOKUP($R138,武学奇术!$A:$ZZ,13,FALSE)+SUM(_xlfn.XLOOKUP(S138:AG138,增益!$A:$A,增益!$M:$M,0))&gt;0,($F$13-$I$4+VLOOKUP($R138,武学奇术!$A:$ZZ,13,FALSE)+SUM(_xlfn.XLOOKUP(S138:AG138,增益!$A:$A,增益!$K:$K,0)))/200,($F$13-$I$4+VLOOKUP($R138,武学奇术!$A:$ZZ,13,FALSE)+SUM(_xlfn.XLOOKUP(S138:AG138,增益!$A:$A,增益!$M:$M,0)))/100)</f>
        <v>-0.14</v>
      </c>
      <c r="BE138" s="32" cm="1">
        <f t="array" ref="BE138">$G$13+VLOOKUP($R138,武学奇术!$A:$ZZ,14,FALSE)+SUM(_xlfn.XLOOKUP(S138:AG138,增益!$A:$A,增益!$N:$N,0))</f>
        <v>0</v>
      </c>
      <c r="BF138">
        <f t="shared" si="79"/>
        <v>571.2</v>
      </c>
      <c r="BG138">
        <f t="shared" si="80"/>
        <v>1627.8</v>
      </c>
      <c r="BH138" s="32" cm="1">
        <f t="array" ref="BH138">IF($F$14-$I$4+VLOOKUP($R138,武学奇术!$A:$ZZ,15,FALSE)+SUM(_xlfn.XLOOKUP(S138:AG138,增益!$A:$A,增益!$O:$O,0))&gt;0,($F$14-$I$4+VLOOKUP($R138,武学奇术!$A:$ZZ,15,FALSE)+SUM(_xlfn.XLOOKUP(S138:AG138,增益!$A:$A,增益!$O:$O,0)))/200,($F$14-$I$4+VLOOKUP($R138,武学奇术!$A:$ZZ,15,FALSE)+SUM(_xlfn.XLOOKUP(S138:AG138,增益!$A:$A,增益!$O:$O,0)))/100)</f>
        <v>0.08</v>
      </c>
      <c r="BI138" s="32" cm="1">
        <f t="array" ref="BI138">$G$14+VLOOKUP($R138,武学奇术!$A:$ZZ,16,FALSE)+SUM(_xlfn.XLOOKUP(S138:AG138,增益!$A:$A,增益!$P:$P,0))</f>
        <v>0.27</v>
      </c>
      <c r="BJ138" s="26">
        <f>MIN(IF(VLOOKUP($R138,武学奇术!$A:$ZZ,23,FALSE)=1,100%,$B$8),100%)</f>
        <v>1</v>
      </c>
      <c r="BK138" s="26" cm="1">
        <f t="array" ref="BK138">IF(VLOOKUP($R138,武学奇术!$A:$ZZ,23,FALSE)=1,100%,MIN(80%,$B$9+VLOOKUP($R138,武学奇术!$A:$ZZ,17,FALSE)+SUM(_xlfn.XLOOKUP(S138:AG138,增益!$A:$A,增益!$Q:$Q,0)))+$B$11+SUM(_xlfn.XLOOKUP(S138:AG138,增益!$A:$A,增益!$U:$U,0)))*IF(VLOOKUP($R138,武学奇术!$A:$ZZ,24,FALSE)=1,0,1)</f>
        <v>1</v>
      </c>
      <c r="BL138" s="26" cm="1">
        <f t="array" ref="BL138">1+$B$13+VLOOKUP($R138,武学奇术!$A:$ZZ,18,FALSE)+SUM(_xlfn.XLOOKUP(S138:AG138,增益!$A:$A,增益!$R:$R,0))</f>
        <v>2.06</v>
      </c>
      <c r="BM138" s="26" cm="1">
        <f t="array" ref="BM138">IF(VLOOKUP($R138,武学奇术!$A:$ZZ,24,FALSE)=1,100%,MIN(40%,$B$10+VLOOKUP($R138,武学奇术!$A:$ZZ,19,FALSE)+SUM(_xlfn.XLOOKUP(S138:AG138,增益!$A:$A,增益!$S:$S,0)))+$B$12+SUM(_xlfn.XLOOKUP(S138:AG138,增益!$A:$A,增益!$V:$V,0)))*IF(VLOOKUP($R138,武学奇术!$A:$ZZ,23,FALSE)=1,0,1)</f>
        <v>0</v>
      </c>
      <c r="BN138" s="26" cm="1">
        <f t="array" ref="BN138">1+$B$14+VLOOKUP($R138,武学奇术!$A:$ZZ,20,FALSE)+SUM(_xlfn.XLOOKUP(S138:AG138,增益!$A:$A,增益!$T:$T,0))</f>
        <v>1.35</v>
      </c>
      <c r="BO138" s="26">
        <f t="shared" si="81"/>
        <v>1</v>
      </c>
      <c r="BP138" s="26">
        <f t="shared" si="82"/>
        <v>0</v>
      </c>
      <c r="BQ138" s="26">
        <f>IF(VLOOKUP($R138,武学奇术!$A:$ZZ,22,FALSE)=1,0,(1-$BJ138))*(1-$BM138)</f>
        <v>0</v>
      </c>
      <c r="BR138" s="26" cm="1">
        <f t="array" ref="BR138">SUM(_xlfn.XLOOKUP(S138:AG138,增益!$A:$A,增益!$W:$W,0))+$I$5</f>
        <v>0.11</v>
      </c>
    </row>
    <row r="139" spans="1:70">
      <c r="K139">
        <f>$L139*VLOOKUP($R139,武学奇术!$A:$ZZ,31,FALSE)</f>
        <v>60551.7130160457</v>
      </c>
      <c r="L139" s="38">
        <f>($M139*$BO139+$N139*$BM139+$O139*$BP139+$P139*$BQ139)</f>
        <v>57668.2981105197</v>
      </c>
      <c r="M139" s="38">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BL139*$Q139*(1+IF(VLOOKUP($R139,武学奇术!$A:$ZZ,30,FALSE)="回旋伞",$B$21,0))*(1+$BR139)</f>
        <v>57668.2981105197</v>
      </c>
      <c r="N139" s="38">
        <f>(($AP139*$AI139+$AJ139)*(1+$AQ139)*(1+$AR139)+($AU139*IF($G$1="鸣金",$AK139,$AI139)+IF($G$1="鸣金",$AL139*1.5,0))*(1+$AV139)*(1+$AW139)+($AY139*IF($G$1="裂石",$AK139,$AI139)+IF($G$1="裂石",$AL139*1.5,0))*(1+$AZ139)*(1+$BA139)+($BC139*IF($G$1="牵丝",$AK139,$AI139)+IF($G$1="牵丝",$AL139*1.5,0))*(1+$BD139)*(1+$BE139)+($BG139*IF($G$1="破竹",$AK139,$AI139)+IF($G$1="破竹",$AL139*1.5,0))*(1+$BH139)*(1+$BI139))*(1+$AM139)*$BN139*$Q139*(1+IF(VLOOKUP($R139,武学奇术!$A:$ZZ,30,FALSE)="回旋伞",$B$21,0))*(1+$BR139)</f>
        <v>43026.249827346</v>
      </c>
      <c r="O139" s="38">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Q139*(1+IF(VLOOKUP($R139,武学奇术!$A:$ZZ,30,FALSE)="回旋伞",$B$21,0))*(1+$BR139)</f>
        <v>27994.3194711261</v>
      </c>
      <c r="P139" s="38">
        <f>((($AO139*$AI139+$AJ139)*(1+$AQ139)*(1+$AR139)+($AT139*IF($G$1="鸣金",$AK139,$AI139)+IF($G$1="鸣金",$AL139*1.5,0))*(1+$AV139)*(1+$AW139)+($AX139*IF($G$1="裂石",$AK139,$AI139)+IF($G$1="裂石",$AL139*1.5,0))*(1+$AZ139)*(1+$BA139)+($BB139*IF($G$1="牵丝",$AK139,$AI139)+IF($G$1="牵丝",$AL139*1.5,0))*(1+$BD139)*(1+$BE139)+($BF139*IF($G$1="破竹",$AK139,$AI139)+IF($G$1="破竹",$AL139*1.5,0))*(1+$BH139)*(1+$BI139))*(1+$AM139))*$Q139*(1+IF(VLOOKUP($R139,武学奇术!$A:$ZZ,30,FALSE)="回旋伞",$B$21,0))*(1+$BR139)</f>
        <v>24117.3427738476</v>
      </c>
      <c r="Q139" s="39">
        <v>2</v>
      </c>
      <c r="R139" s="40" t="s">
        <v>132</v>
      </c>
      <c r="S139" s="40" t="s">
        <v>109</v>
      </c>
      <c r="T139" s="40" t="s">
        <v>95</v>
      </c>
      <c r="U139" s="40" t="s">
        <v>73</v>
      </c>
      <c r="V139" s="40" t="s">
        <v>81</v>
      </c>
      <c r="W139" s="40" t="s">
        <v>172</v>
      </c>
      <c r="X139" s="40" t="s">
        <v>99</v>
      </c>
      <c r="Y139" s="40" t="s">
        <v>84</v>
      </c>
      <c r="Z139" s="40" t="s">
        <v>72</v>
      </c>
      <c r="AA139" s="40" t="s">
        <v>72</v>
      </c>
      <c r="AB139" s="40" t="s">
        <v>126</v>
      </c>
      <c r="AC139" s="40" t="s">
        <v>91</v>
      </c>
      <c r="AD139" s="40" t="s">
        <v>72</v>
      </c>
      <c r="AE139" s="40" t="s">
        <v>72</v>
      </c>
      <c r="AF139" s="40" t="s">
        <v>77</v>
      </c>
      <c r="AG139" s="40" t="s">
        <v>78</v>
      </c>
      <c r="AH139" t="str">
        <f>VLOOKUP($R139,武学奇术!$A:$ZZ,25,FALSE)</f>
        <v>伞</v>
      </c>
      <c r="AI139" s="26">
        <f>VLOOKUP($R139,武学奇术!$A:$ZZ,26,FALSE)</f>
        <v>0.54</v>
      </c>
      <c r="AJ139" s="27">
        <f>VLOOKUP($R139,武学奇术!$A:$ZZ,27,FALSE)*(1+IF(OR($AH139=$F$4,$AH139=$F$5),$B$22,0))</f>
        <v>0</v>
      </c>
      <c r="AK139" s="26">
        <f>VLOOKUP($R139,武学奇术!$A:$ZZ,28,FALSE)</f>
        <v>0.81</v>
      </c>
      <c r="AL139" s="27">
        <f>VLOOKUP($R139,武学奇术!$A:$ZZ,29,FALSE)*(1+IF(OR($AH139=$F$4,$AH139=$F$5),$B$22,0))</f>
        <v>0</v>
      </c>
      <c r="AM139" s="26" cm="1">
        <f t="array" ref="AM139">$G$3+IFERROR(VLOOKUP($AH139,$F$4:$G$7,2,FALSE),0)+VLOOKUP($R139,武学奇术!$A:$ZZ,2,FALSE)+SUM(_xlfn.XLOOKUP($S139:$AG139,增益!$A:$A,增益!$B:$B,0))</f>
        <v>1.2541</v>
      </c>
      <c r="AN139" s="26" cm="1">
        <f t="array" ref="AN139">VLOOKUP($R139,武学奇术!$A:$ZZ,5,FALSE)+SUM(_xlfn.XLOOKUP($S139:$AG139,增益!$A:$A,增益!$E:$E,0))</f>
        <v>0</v>
      </c>
      <c r="AO139" cm="1">
        <f t="array" ref="AO139">$D$10*(1+$AN139)+VLOOKUP($R139,武学奇术!$A:$ZZ,3,FALSE)+SUM(_xlfn.XLOOKUP($S139:$AG139,增益!$A:$A,增益!$C:$C,0))-$I$2</f>
        <v>3624.6</v>
      </c>
      <c r="AP139" cm="1">
        <f t="array" ref="AP139">$E$10*(1+$AN139)+VLOOKUP($R139,武学奇术!$A:$ZZ,4,FALSE)+SUM(_xlfn.XLOOKUP($S139:$AG139,增益!$A:$A,增益!$D:$D,0))-$I$2</f>
        <v>3624.6</v>
      </c>
      <c r="AQ139" s="32" cm="1">
        <f t="array" ref="AQ139">IF($F$10-$I$3+VLOOKUP($R139,武学奇术!$A:$ZZ,6,FALSE)+SUM(_xlfn.XLOOKUP(S139:AG139,增益!$A:$A,增益!$F:$F,0))&gt;0,($F$10-$I$3+VLOOKUP($R139,武学奇术!$A:$ZZ,6,FALSE)+SUM(_xlfn.XLOOKUP(S139:AG139,增益!$A:$A,增益!$F:$F,0)))/200,($F$10-$I$3+VLOOKUP($R139,武学奇术!$A:$ZZ,6,FALSE)+SUM(_xlfn.XLOOKUP(S139:AG139,增益!$A:$A,增益!$F:$F,0)))/100)</f>
        <v>0.3425</v>
      </c>
      <c r="AR139" s="32" cm="1">
        <f t="array" ref="AR139">$G$10+VLOOKUP($R139,武学奇术!$A:$ZZ,7,FALSE)+SUM(_xlfn.XLOOKUP(S139:AG139,增益!$A:$A,增益!$G:$G,0))</f>
        <v>0.148</v>
      </c>
      <c r="AS139" s="26" cm="1">
        <f t="array" ref="AS139">VLOOKUP($R139,武学奇术!$A:$ZZ,8,FALSE)+SUM(_xlfn.XLOOKUP(S139:AG139,增益!$A:$A,增益!$H:$H,0))</f>
        <v>0</v>
      </c>
      <c r="AT139">
        <f>$D$11*(1+$AS139)</f>
        <v>0</v>
      </c>
      <c r="AU139">
        <f>$E$11*(1+$AS139)</f>
        <v>0</v>
      </c>
      <c r="AV139" s="32" cm="1">
        <f t="array" ref="AV139">IF($F$11-$I$4+VLOOKUP($R139,武学奇术!$A:$ZZ,9,FALSE)+SUM(_xlfn.XLOOKUP(S139:AG139,增益!$A:$A,增益!$I:$I,0))&gt;0,($F$11-$I$4+VLOOKUP($R139,武学奇术!$A:$ZZ,9,FALSE)+SUM(_xlfn.XLOOKUP(S139:AG139,增益!$A:$A,增益!$I:$I,0)))/200,($F$11-$I$4+VLOOKUP($R139,武学奇术!$A:$ZZ,9,FALSE)+SUM(_xlfn.XLOOKUP(S139:AG139,增益!$A:$A,增益!$I:$I,0)))/100)</f>
        <v>-0.14</v>
      </c>
      <c r="AW139" s="32" cm="1">
        <f t="array" ref="AW139">$G$11+VLOOKUP($R139,武学奇术!$A:$ZZ,10,FALSE)+SUM(_xlfn.XLOOKUP(S139:AG139,增益!$A:$A,增益!$J:$J,0))</f>
        <v>0</v>
      </c>
      <c r="AX139">
        <f>$D$12*(1+$AS139)</f>
        <v>0</v>
      </c>
      <c r="AY139">
        <f>$E$12*(1+$AS139)</f>
        <v>0</v>
      </c>
      <c r="AZ139" s="32" cm="1">
        <f t="array" ref="AZ139">IF($F$12-$I$4+VLOOKUP($R139,武学奇术!$A:$ZZ,11,FALSE)+SUM(_xlfn.XLOOKUP(S139:AG139,增益!$A:$A,增益!$K:$K,0))&gt;0,($F$12-$I$4+VLOOKUP($R139,武学奇术!$A:$ZZ,11,FALSE)+SUM(_xlfn.XLOOKUP(S139:AG139,增益!$A:$A,增益!$K:$K,0)))/200,($F$12-$I$4+VLOOKUP($R139,武学奇术!$A:$ZZ,11,FALSE)+SUM(_xlfn.XLOOKUP(S139:AG139,增益!$A:$A,增益!$K:$K,0)))/100)</f>
        <v>-0.14</v>
      </c>
      <c r="BA139" s="32" cm="1">
        <f t="array" ref="BA139">$G$12+VLOOKUP($R139,武学奇术!$A:$ZZ,12,FALSE)+SUM(_xlfn.XLOOKUP(S139:AG139,增益!$A:$A,增益!$L:$L,0))</f>
        <v>0</v>
      </c>
      <c r="BB139">
        <f>$D$13*(1+$AS139)</f>
        <v>0</v>
      </c>
      <c r="BC139">
        <f>$E$13*(1+$AS139)</f>
        <v>0</v>
      </c>
      <c r="BD139" s="32" cm="1">
        <f t="array" ref="BD139">IF($F$13-$I$4+VLOOKUP($R139,武学奇术!$A:$ZZ,13,FALSE)+SUM(_xlfn.XLOOKUP(S139:AG139,增益!$A:$A,增益!$M:$M,0))&gt;0,($F$13-$I$4+VLOOKUP($R139,武学奇术!$A:$ZZ,13,FALSE)+SUM(_xlfn.XLOOKUP(S139:AG139,增益!$A:$A,增益!$K:$K,0)))/200,($F$13-$I$4+VLOOKUP($R139,武学奇术!$A:$ZZ,13,FALSE)+SUM(_xlfn.XLOOKUP(S139:AG139,增益!$A:$A,增益!$M:$M,0)))/100)</f>
        <v>-0.14</v>
      </c>
      <c r="BE139" s="32" cm="1">
        <f t="array" ref="BE139">$G$13+VLOOKUP($R139,武学奇术!$A:$ZZ,14,FALSE)+SUM(_xlfn.XLOOKUP(S139:AG139,增益!$A:$A,增益!$N:$N,0))</f>
        <v>0</v>
      </c>
      <c r="BF139">
        <f>$D$14*(1+$AS139)</f>
        <v>571.2</v>
      </c>
      <c r="BG139">
        <f>$E$14*(1+$AS139)</f>
        <v>1627.8</v>
      </c>
      <c r="BH139" s="32" cm="1">
        <f t="array" ref="BH139">IF($F$14-$I$4+VLOOKUP($R139,武学奇术!$A:$ZZ,15,FALSE)+SUM(_xlfn.XLOOKUP(S139:AG139,增益!$A:$A,增益!$O:$O,0))&gt;0,($F$14-$I$4+VLOOKUP($R139,武学奇术!$A:$ZZ,15,FALSE)+SUM(_xlfn.XLOOKUP(S139:AG139,增益!$A:$A,增益!$O:$O,0)))/200,($F$14-$I$4+VLOOKUP($R139,武学奇术!$A:$ZZ,15,FALSE)+SUM(_xlfn.XLOOKUP(S139:AG139,增益!$A:$A,增益!$O:$O,0)))/100)</f>
        <v>0.08</v>
      </c>
      <c r="BI139" s="32" cm="1">
        <f t="array" ref="BI139">$G$14+VLOOKUP($R139,武学奇术!$A:$ZZ,16,FALSE)+SUM(_xlfn.XLOOKUP(S139:AG139,增益!$A:$A,增益!$P:$P,0))</f>
        <v>0.27</v>
      </c>
      <c r="BJ139" s="26">
        <f>MIN(IF(VLOOKUP($R139,武学奇术!$A:$ZZ,23,FALSE)=1,100%,$B$8),100%)</f>
        <v>1</v>
      </c>
      <c r="BK139" s="26" cm="1">
        <f t="array" ref="BK139">IF(VLOOKUP($R139,武学奇术!$A:$ZZ,23,FALSE)=1,100%,MIN(80%,$B$9+VLOOKUP($R139,武学奇术!$A:$ZZ,17,FALSE)+SUM(_xlfn.XLOOKUP(S139:AG139,增益!$A:$A,增益!$Q:$Q,0)))+$B$11+SUM(_xlfn.XLOOKUP(S139:AG139,增益!$A:$A,增益!$U:$U,0)))*IF(VLOOKUP($R139,武学奇术!$A:$ZZ,24,FALSE)=1,0,1)</f>
        <v>1</v>
      </c>
      <c r="BL139" s="26" cm="1">
        <f t="array" ref="BL139">1+$B$13+VLOOKUP($R139,武学奇术!$A:$ZZ,18,FALSE)+SUM(_xlfn.XLOOKUP(S139:AG139,增益!$A:$A,增益!$R:$R,0))</f>
        <v>2.06</v>
      </c>
      <c r="BM139" s="26" cm="1">
        <f t="array" ref="BM139">IF(VLOOKUP($R139,武学奇术!$A:$ZZ,24,FALSE)=1,100%,MIN(40%,$B$10+VLOOKUP($R139,武学奇术!$A:$ZZ,19,FALSE)+SUM(_xlfn.XLOOKUP(S139:AG139,增益!$A:$A,增益!$S:$S,0)))+$B$12+SUM(_xlfn.XLOOKUP(S139:AG139,增益!$A:$A,增益!$V:$V,0)))*IF(VLOOKUP($R139,武学奇术!$A:$ZZ,23,FALSE)=1,0,1)</f>
        <v>0</v>
      </c>
      <c r="BN139" s="26" cm="1">
        <f t="array" ref="BN139">1+$B$14+VLOOKUP($R139,武学奇术!$A:$ZZ,20,FALSE)+SUM(_xlfn.XLOOKUP(S139:AG139,增益!$A:$A,增益!$T:$T,0))</f>
        <v>1.35</v>
      </c>
      <c r="BO139" s="26">
        <f>MIN((1-BM139)*BJ139,BJ139*BK139)</f>
        <v>1</v>
      </c>
      <c r="BP139" s="26">
        <f>1-BM139-BO139-BQ139</f>
        <v>0</v>
      </c>
      <c r="BQ139" s="26">
        <f>IF(VLOOKUP($R139,武学奇术!$A:$ZZ,22,FALSE)=1,0,(1-$BJ139))*(1-$BM139)</f>
        <v>0</v>
      </c>
      <c r="BR139" s="26" cm="1">
        <f t="array" ref="BR139">SUM(_xlfn.XLOOKUP(S139:AG139,增益!$A:$A,增益!$W:$W,0))+$I$5</f>
        <v>0.11</v>
      </c>
    </row>
    <row r="140" spans="1:70">
      <c r="K140">
        <f>$L140*VLOOKUP($R140,武学奇术!$A:$ZZ,31,FALSE)</f>
        <v>177812.533455922</v>
      </c>
      <c r="L140" s="38">
        <f t="shared" ref="L140:L149" si="84">($M140*$BO140+$N140*$BM140+$O140*$BP140+$P140*$BQ140)</f>
        <v>169345.26995802</v>
      </c>
      <c r="M140" s="38">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BL140*$Q140*(1+IF(VLOOKUP($R140,武学奇术!$A:$ZZ,30,FALSE)="回旋伞",$B$21,0))*(1+$BR140)</f>
        <v>181186.423107801</v>
      </c>
      <c r="N140" s="38">
        <f>(($AP140*$AI140+$AJ140)*(1+$AQ140)*(1+$AR140)+($AU140*IF($G$1="鸣金",$AK140,$AI140)+IF($G$1="鸣金",$AL140*1.5,0))*(1+$AV140)*(1+$AW140)+($AY140*IF($G$1="裂石",$AK140,$AI140)+IF($G$1="裂石",$AL140*1.5,0))*(1+$AZ140)*(1+$BA140)+($BC140*IF($G$1="牵丝",$AK140,$AI140)+IF($G$1="牵丝",$AL140*1.5,0))*(1+$BD140)*(1+$BE140)+($BG140*IF($G$1="破竹",$AK140,$AI140)+IF($G$1="破竹",$AL140*1.5,0))*(1+$BH140)*(1+$BI140))*(1+$AM140)*$BN140*$Q140*(1+IF(VLOOKUP($R140,武学奇术!$A:$ZZ,30,FALSE)="回旋伞",$B$21,0))*(1+$BR140)</f>
        <v>133156.099399254</v>
      </c>
      <c r="O140" s="38">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Q140*(1+IF(VLOOKUP($R140,武学奇术!$A:$ZZ,30,FALSE)="回旋伞",$B$21,0))*(1+$BR140)</f>
        <v>87954.5743241754</v>
      </c>
      <c r="P140" s="38">
        <f>((($AO140*$AI140+$AJ140)*(1+$AQ140)*(1+$AR140)+($AT140*IF($G$1="鸣金",$AK140,$AI140)+IF($G$1="鸣金",$AL140*1.5,0))*(1+$AV140)*(1+$AW140)+($AX140*IF($G$1="裂石",$AK140,$AI140)+IF($G$1="裂石",$AL140*1.5,0))*(1+$AZ140)*(1+$BA140)+($BB140*IF($G$1="牵丝",$AK140,$AI140)+IF($G$1="牵丝",$AL140*1.5,0))*(1+$BD140)*(1+$BE140)+($BF140*IF($G$1="破竹",$AK140,$AI140)+IF($G$1="破竹",$AL140*1.5,0))*(1+$BH140)*(1+$BI140))*(1+$AM140))*$Q140*(1+IF(VLOOKUP($R140,武学奇术!$A:$ZZ,30,FALSE)="回旋伞",$B$21,0))*(1+$BR140)</f>
        <v>77275.0009452</v>
      </c>
      <c r="Q140" s="39">
        <v>2</v>
      </c>
      <c r="R140" s="40" t="s">
        <v>108</v>
      </c>
      <c r="S140" s="40" t="s">
        <v>109</v>
      </c>
      <c r="T140" s="40" t="s">
        <v>95</v>
      </c>
      <c r="U140" s="40" t="s">
        <v>73</v>
      </c>
      <c r="V140" s="40" t="s">
        <v>81</v>
      </c>
      <c r="W140" s="40" t="s">
        <v>172</v>
      </c>
      <c r="X140" s="40" t="s">
        <v>99</v>
      </c>
      <c r="Y140" s="40" t="s">
        <v>84</v>
      </c>
      <c r="Z140" s="40" t="s">
        <v>72</v>
      </c>
      <c r="AA140" s="40" t="s">
        <v>72</v>
      </c>
      <c r="AB140" s="40" t="s">
        <v>126</v>
      </c>
      <c r="AC140" s="40" t="s">
        <v>91</v>
      </c>
      <c r="AD140" s="40" t="s">
        <v>72</v>
      </c>
      <c r="AE140" s="40" t="s">
        <v>72</v>
      </c>
      <c r="AF140" s="40" t="s">
        <v>77</v>
      </c>
      <c r="AG140" s="40" t="s">
        <v>78</v>
      </c>
      <c r="AH140" t="str">
        <f>VLOOKUP($R140,武学奇术!$A:$ZZ,25,FALSE)</f>
        <v>伞</v>
      </c>
      <c r="AI140" s="26">
        <f>VLOOKUP($R140,武学奇术!$A:$ZZ,26,FALSE)</f>
        <v>1.8084</v>
      </c>
      <c r="AJ140" s="27">
        <f>VLOOKUP($R140,武学奇术!$A:$ZZ,27,FALSE)*(1+IF(OR($AH140=$F$4,$AH140=$F$5),$B$22,0))</f>
        <v>750</v>
      </c>
      <c r="AK140" s="26">
        <f>VLOOKUP($R140,武学奇术!$A:$ZZ,28,FALSE)</f>
        <v>2.7126</v>
      </c>
      <c r="AL140" s="27">
        <f>VLOOKUP($R140,武学奇术!$A:$ZZ,29,FALSE)*(1+IF(OR($AH140=$F$4,$AH140=$F$5),$B$22,0))</f>
        <v>408</v>
      </c>
      <c r="AM140" s="26" cm="1">
        <f t="array" ref="AM140">$G$3+IFERROR(VLOOKUP($AH140,$F$4:$G$7,2,FALSE),0)+VLOOKUP($R140,武学奇术!$A:$ZZ,2,FALSE)+SUM(_xlfn.XLOOKUP($S140:$AG140,增益!$A:$A,增益!$B:$B,0))</f>
        <v>0.8541</v>
      </c>
      <c r="AN140" s="26" cm="1">
        <f t="array" ref="AN140">VLOOKUP($R140,武学奇术!$A:$ZZ,5,FALSE)+SUM(_xlfn.XLOOKUP($S140:$AG140,增益!$A:$A,增益!$E:$E,0))</f>
        <v>0</v>
      </c>
      <c r="AO140" cm="1">
        <f t="array" ref="AO140">$D$10*(1+$AN140)+VLOOKUP($R140,武学奇术!$A:$ZZ,3,FALSE)+SUM(_xlfn.XLOOKUP($S140:$AG140,增益!$A:$A,增益!$C:$C,0))-$I$2</f>
        <v>3624.6</v>
      </c>
      <c r="AP140" cm="1">
        <f t="array" ref="AP140">$E$10*(1+$AN140)+VLOOKUP($R140,武学奇术!$A:$ZZ,4,FALSE)+SUM(_xlfn.XLOOKUP($S140:$AG140,增益!$A:$A,增益!$D:$D,0))-$I$2</f>
        <v>3624.6</v>
      </c>
      <c r="AQ140" s="32" cm="1">
        <f t="array" ref="AQ140">IF($F$10-$I$3+VLOOKUP($R140,武学奇术!$A:$ZZ,6,FALSE)+SUM(_xlfn.XLOOKUP(S140:AG140,增益!$A:$A,增益!$F:$F,0))&gt;0,($F$10-$I$3+VLOOKUP($R140,武学奇术!$A:$ZZ,6,FALSE)+SUM(_xlfn.XLOOKUP(S140:AG140,增益!$A:$A,增益!$F:$F,0)))/200,($F$10-$I$3+VLOOKUP($R140,武学奇术!$A:$ZZ,6,FALSE)+SUM(_xlfn.XLOOKUP(S140:AG140,增益!$A:$A,增益!$F:$F,0)))/100)</f>
        <v>0.3425</v>
      </c>
      <c r="AR140" s="32" cm="1">
        <f t="array" ref="AR140">$G$10+VLOOKUP($R140,武学奇术!$A:$ZZ,7,FALSE)+SUM(_xlfn.XLOOKUP(S140:AG140,增益!$A:$A,增益!$G:$G,0))</f>
        <v>0.148</v>
      </c>
      <c r="AS140" s="26" cm="1">
        <f t="array" ref="AS140">VLOOKUP($R140,武学奇术!$A:$ZZ,8,FALSE)+SUM(_xlfn.XLOOKUP(S140:AG140,增益!$A:$A,增益!$H:$H,0))</f>
        <v>0</v>
      </c>
      <c r="AT140">
        <f t="shared" ref="AT140:AT149" si="85">$D$11*(1+$AS140)</f>
        <v>0</v>
      </c>
      <c r="AU140">
        <f t="shared" ref="AU140:AU149" si="86">$E$11*(1+$AS140)</f>
        <v>0</v>
      </c>
      <c r="AV140" s="32" cm="1">
        <f t="array" ref="AV140">IF($F$11-$I$4+VLOOKUP($R140,武学奇术!$A:$ZZ,9,FALSE)+SUM(_xlfn.XLOOKUP(S140:AG140,增益!$A:$A,增益!$I:$I,0))&gt;0,($F$11-$I$4+VLOOKUP($R140,武学奇术!$A:$ZZ,9,FALSE)+SUM(_xlfn.XLOOKUP(S140:AG140,增益!$A:$A,增益!$I:$I,0)))/200,($F$11-$I$4+VLOOKUP($R140,武学奇术!$A:$ZZ,9,FALSE)+SUM(_xlfn.XLOOKUP(S140:AG140,增益!$A:$A,增益!$I:$I,0)))/100)</f>
        <v>-0.14</v>
      </c>
      <c r="AW140" s="32" cm="1">
        <f t="array" ref="AW140">$G$11+VLOOKUP($R140,武学奇术!$A:$ZZ,10,FALSE)+SUM(_xlfn.XLOOKUP(S140:AG140,增益!$A:$A,增益!$J:$J,0))</f>
        <v>0</v>
      </c>
      <c r="AX140">
        <f t="shared" ref="AX140:AX149" si="87">$D$12*(1+$AS140)</f>
        <v>0</v>
      </c>
      <c r="AY140">
        <f t="shared" ref="AY140:AY149" si="88">$E$12*(1+$AS140)</f>
        <v>0</v>
      </c>
      <c r="AZ140" s="32" cm="1">
        <f t="array" ref="AZ140">IF($F$12-$I$4+VLOOKUP($R140,武学奇术!$A:$ZZ,11,FALSE)+SUM(_xlfn.XLOOKUP(S140:AG140,增益!$A:$A,增益!$K:$K,0))&gt;0,($F$12-$I$4+VLOOKUP($R140,武学奇术!$A:$ZZ,11,FALSE)+SUM(_xlfn.XLOOKUP(S140:AG140,增益!$A:$A,增益!$K:$K,0)))/200,($F$12-$I$4+VLOOKUP($R140,武学奇术!$A:$ZZ,11,FALSE)+SUM(_xlfn.XLOOKUP(S140:AG140,增益!$A:$A,增益!$K:$K,0)))/100)</f>
        <v>-0.14</v>
      </c>
      <c r="BA140" s="32" cm="1">
        <f t="array" ref="BA140">$G$12+VLOOKUP($R140,武学奇术!$A:$ZZ,12,FALSE)+SUM(_xlfn.XLOOKUP(S140:AG140,增益!$A:$A,增益!$L:$L,0))</f>
        <v>0</v>
      </c>
      <c r="BB140">
        <f t="shared" ref="BB140:BB149" si="89">$D$13*(1+$AS140)</f>
        <v>0</v>
      </c>
      <c r="BC140">
        <f t="shared" ref="BC140:BC149" si="90">$E$13*(1+$AS140)</f>
        <v>0</v>
      </c>
      <c r="BD140" s="32" cm="1">
        <f t="array" ref="BD140">IF($F$13-$I$4+VLOOKUP($R140,武学奇术!$A:$ZZ,13,FALSE)+SUM(_xlfn.XLOOKUP(S140:AG140,增益!$A:$A,增益!$M:$M,0))&gt;0,($F$13-$I$4+VLOOKUP($R140,武学奇术!$A:$ZZ,13,FALSE)+SUM(_xlfn.XLOOKUP(S140:AG140,增益!$A:$A,增益!$K:$K,0)))/200,($F$13-$I$4+VLOOKUP($R140,武学奇术!$A:$ZZ,13,FALSE)+SUM(_xlfn.XLOOKUP(S140:AG140,增益!$A:$A,增益!$M:$M,0)))/100)</f>
        <v>-0.14</v>
      </c>
      <c r="BE140" s="32" cm="1">
        <f t="array" ref="BE140">$G$13+VLOOKUP($R140,武学奇术!$A:$ZZ,14,FALSE)+SUM(_xlfn.XLOOKUP(S140:AG140,增益!$A:$A,增益!$N:$N,0))</f>
        <v>0</v>
      </c>
      <c r="BF140">
        <f t="shared" ref="BF140:BF149" si="91">$D$14*(1+$AS140)</f>
        <v>571.2</v>
      </c>
      <c r="BG140">
        <f t="shared" ref="BG140:BG149" si="92">$E$14*(1+$AS140)</f>
        <v>1627.8</v>
      </c>
      <c r="BH140" s="32" cm="1">
        <f t="array" ref="BH140">IF($F$14-$I$4+VLOOKUP($R140,武学奇术!$A:$ZZ,15,FALSE)+SUM(_xlfn.XLOOKUP(S140:AG140,增益!$A:$A,增益!$O:$O,0))&gt;0,($F$14-$I$4+VLOOKUP($R140,武学奇术!$A:$ZZ,15,FALSE)+SUM(_xlfn.XLOOKUP(S140:AG140,增益!$A:$A,增益!$O:$O,0)))/200,($F$14-$I$4+VLOOKUP($R140,武学奇术!$A:$ZZ,15,FALSE)+SUM(_xlfn.XLOOKUP(S140:AG140,增益!$A:$A,增益!$O:$O,0)))/100)</f>
        <v>0.08</v>
      </c>
      <c r="BI140" s="32" cm="1">
        <f t="array" ref="BI140">$G$14+VLOOKUP($R140,武学奇术!$A:$ZZ,16,FALSE)+SUM(_xlfn.XLOOKUP(S140:AG140,增益!$A:$A,增益!$P:$P,0))</f>
        <v>0.27</v>
      </c>
      <c r="BJ140" s="26">
        <f>MIN(IF(VLOOKUP($R140,武学奇术!$A:$ZZ,23,FALSE)=1,100%,$B$8),100%)</f>
        <v>0.981</v>
      </c>
      <c r="BK140" s="26" cm="1">
        <f t="array" ref="BK140">IF(VLOOKUP($R140,武学奇术!$A:$ZZ,23,FALSE)=1,100%,MIN(80%,$B$9+VLOOKUP($R140,武学奇术!$A:$ZZ,17,FALSE)+SUM(_xlfn.XLOOKUP(S140:AG140,增益!$A:$A,增益!$Q:$Q,0)))+$B$11+SUM(_xlfn.XLOOKUP(S140:AG140,增益!$A:$A,增益!$U:$U,0)))*IF(VLOOKUP($R140,武学奇术!$A:$ZZ,24,FALSE)=1,0,1)</f>
        <v>0.846</v>
      </c>
      <c r="BL140" s="26" cm="1">
        <f t="array" ref="BL140">1+$B$13+VLOOKUP($R140,武学奇术!$A:$ZZ,18,FALSE)+SUM(_xlfn.XLOOKUP(S140:AG140,增益!$A:$A,增益!$R:$R,0))</f>
        <v>2.06</v>
      </c>
      <c r="BM140" s="26" cm="1">
        <f t="array" ref="BM140">IF(VLOOKUP($R140,武学奇术!$A:$ZZ,24,FALSE)=1,100%,MIN(40%,$B$10+VLOOKUP($R140,武学奇术!$A:$ZZ,19,FALSE)+SUM(_xlfn.XLOOKUP(S140:AG140,增益!$A:$A,增益!$S:$S,0)))+$B$12+SUM(_xlfn.XLOOKUP(S140:AG140,增益!$A:$A,增益!$V:$V,0)))*IF(VLOOKUP($R140,武学奇术!$A:$ZZ,23,FALSE)=1,0,1)</f>
        <v>0.0929</v>
      </c>
      <c r="BN140" s="26" cm="1">
        <f t="array" ref="BN140">1+$B$14+VLOOKUP($R140,武学奇术!$A:$ZZ,20,FALSE)+SUM(_xlfn.XLOOKUP(S140:AG140,增益!$A:$A,增益!$T:$T,0))</f>
        <v>1.35</v>
      </c>
      <c r="BO140" s="26">
        <f t="shared" ref="BO140:BO149" si="93">MIN((1-BM140)*BJ140,BJ140*BK140)</f>
        <v>0.829926</v>
      </c>
      <c r="BP140" s="26">
        <f t="shared" ref="BP140:BP149" si="94">1-BM140-BO140-BQ140</f>
        <v>0.0599391</v>
      </c>
      <c r="BQ140" s="26">
        <f>IF(VLOOKUP($R140,武学奇术!$A:$ZZ,22,FALSE)=1,0,(1-$BJ140))*(1-$BM140)</f>
        <v>0.0172349</v>
      </c>
      <c r="BR140" s="26" cm="1">
        <f t="array" ref="BR140">SUM(_xlfn.XLOOKUP(S140:AG140,增益!$A:$A,增益!$W:$W,0))+$I$5</f>
        <v>0.11</v>
      </c>
    </row>
    <row r="141" spans="1:70">
      <c r="K141">
        <f>$L141*VLOOKUP($R141,武学奇术!$A:$ZZ,31,FALSE)</f>
        <v>103244.895478403</v>
      </c>
      <c r="L141" s="38">
        <f t="shared" si="84"/>
        <v>98328.4718841932</v>
      </c>
      <c r="M141" s="38">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BL141*$Q141*(1+IF(VLOOKUP($R141,武学奇术!$A:$ZZ,30,FALSE)="回旋伞",$B$21,0))*(1+$BR141)</f>
        <v>105103.102035241</v>
      </c>
      <c r="N141" s="38">
        <f>(($AP141*$AI141+$AJ141)*(1+$AQ141)*(1+$AR141)+($AU141*IF($G$1="鸣金",$AK141,$AI141)+IF($G$1="鸣金",$AL141*1.5,0))*(1+$AV141)*(1+$AW141)+($AY141*IF($G$1="裂石",$AK141,$AI141)+IF($G$1="裂石",$AL141*1.5,0))*(1+$AZ141)*(1+$BA141)+($BC141*IF($G$1="牵丝",$AK141,$AI141)+IF($G$1="牵丝",$AL141*1.5,0))*(1+$BD141)*(1+$BE141)+($BG141*IF($G$1="破竹",$AK141,$AI141)+IF($G$1="破竹",$AL141*1.5,0))*(1+$BH141)*(1+$BI141))*(1+$AM141)*$BN141*$Q141*(1+IF(VLOOKUP($R141,武学奇术!$A:$ZZ,30,FALSE)="回旋伞",$B$21,0))*(1+$BR141)</f>
        <v>78417.301601838</v>
      </c>
      <c r="O141" s="38">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Q141*(1+IF(VLOOKUP($R141,武学奇术!$A:$ZZ,30,FALSE)="回旋伞",$B$21,0))*(1+$BR141)</f>
        <v>51020.9233180782</v>
      </c>
      <c r="P141" s="38">
        <f>((($AO141*$AI141+$AJ141)*(1+$AQ141)*(1+$AR141)+($AT141*IF($G$1="鸣金",$AK141,$AI141)+IF($G$1="鸣金",$AL141*1.5,0))*(1+$AV141)*(1+$AW141)+($AX141*IF($G$1="裂石",$AK141,$AI141)+IF($G$1="裂石",$AL141*1.5,0))*(1+$AZ141)*(1+$BA141)+($BB141*IF($G$1="牵丝",$AK141,$AI141)+IF($G$1="牵丝",$AL141*1.5,0))*(1+$BD141)*(1+$BE141)+($BF141*IF($G$1="破竹",$AK141,$AI141)+IF($G$1="破竹",$AL141*1.5,0))*(1+$BH141)*(1+$BI141))*(1+$AM141))*$Q141*(1+IF(VLOOKUP($R141,武学奇术!$A:$ZZ,30,FALSE)="回旋伞",$B$21,0))*(1+$BR141)</f>
        <v>43954.9565607208</v>
      </c>
      <c r="Q141" s="39">
        <v>4</v>
      </c>
      <c r="R141" s="40" t="s">
        <v>112</v>
      </c>
      <c r="S141" s="40" t="s">
        <v>109</v>
      </c>
      <c r="T141" s="40" t="s">
        <v>95</v>
      </c>
      <c r="U141" s="40" t="s">
        <v>73</v>
      </c>
      <c r="V141" s="40" t="s">
        <v>81</v>
      </c>
      <c r="W141" s="40" t="s">
        <v>172</v>
      </c>
      <c r="X141" s="40" t="s">
        <v>99</v>
      </c>
      <c r="Y141" s="40" t="s">
        <v>84</v>
      </c>
      <c r="Z141" s="40" t="s">
        <v>72</v>
      </c>
      <c r="AA141" s="40" t="s">
        <v>72</v>
      </c>
      <c r="AB141" s="40" t="s">
        <v>126</v>
      </c>
      <c r="AC141" s="40" t="s">
        <v>91</v>
      </c>
      <c r="AD141" s="40" t="s">
        <v>72</v>
      </c>
      <c r="AE141" s="40" t="s">
        <v>72</v>
      </c>
      <c r="AF141" s="40" t="s">
        <v>77</v>
      </c>
      <c r="AG141" s="40" t="s">
        <v>78</v>
      </c>
      <c r="AH141" t="str">
        <f>VLOOKUP($R141,武学奇术!$A:$ZZ,25,FALSE)</f>
        <v>伞</v>
      </c>
      <c r="AI141" s="26">
        <f>VLOOKUP($R141,武学奇术!$A:$ZZ,26,FALSE)</f>
        <v>0.54</v>
      </c>
      <c r="AJ141" s="27">
        <f>VLOOKUP($R141,武学奇术!$A:$ZZ,27,FALSE)*(1+IF(OR($AH141=$F$4,$AH141=$F$5),$B$22,0))</f>
        <v>0</v>
      </c>
      <c r="AK141" s="26">
        <f>VLOOKUP($R141,武学奇术!$A:$ZZ,28,FALSE)</f>
        <v>0.81</v>
      </c>
      <c r="AL141" s="27">
        <f>VLOOKUP($R141,武学奇术!$A:$ZZ,29,FALSE)*(1+IF(OR($AH141=$F$4,$AH141=$F$5),$B$22,0))</f>
        <v>0</v>
      </c>
      <c r="AM141" s="26" cm="1">
        <f t="array" ref="AM141">$G$3+IFERROR(VLOOKUP($AH141,$F$4:$G$7,2,FALSE),0)+VLOOKUP($R141,武学奇术!$A:$ZZ,2,FALSE)+SUM(_xlfn.XLOOKUP($S141:$AG141,增益!$A:$A,增益!$B:$B,0))</f>
        <v>1.0541</v>
      </c>
      <c r="AN141" s="26" cm="1">
        <f t="array" ref="AN141">VLOOKUP($R141,武学奇术!$A:$ZZ,5,FALSE)+SUM(_xlfn.XLOOKUP($S141:$AG141,增益!$A:$A,增益!$E:$E,0))</f>
        <v>0</v>
      </c>
      <c r="AO141" cm="1">
        <f t="array" ref="AO141">$D$10*(1+$AN141)+VLOOKUP($R141,武学奇术!$A:$ZZ,3,FALSE)+SUM(_xlfn.XLOOKUP($S141:$AG141,增益!$A:$A,增益!$C:$C,0))-$I$2</f>
        <v>3624.6</v>
      </c>
      <c r="AP141" cm="1">
        <f t="array" ref="AP141">$E$10*(1+$AN141)+VLOOKUP($R141,武学奇术!$A:$ZZ,4,FALSE)+SUM(_xlfn.XLOOKUP($S141:$AG141,增益!$A:$A,增益!$D:$D,0))-$I$2</f>
        <v>3624.6</v>
      </c>
      <c r="AQ141" s="32" cm="1">
        <f t="array" ref="AQ141">IF($F$10-$I$3+VLOOKUP($R141,武学奇术!$A:$ZZ,6,FALSE)+SUM(_xlfn.XLOOKUP(S141:AG141,增益!$A:$A,增益!$F:$F,0))&gt;0,($F$10-$I$3+VLOOKUP($R141,武学奇术!$A:$ZZ,6,FALSE)+SUM(_xlfn.XLOOKUP(S141:AG141,增益!$A:$A,增益!$F:$F,0)))/200,($F$10-$I$3+VLOOKUP($R141,武学奇术!$A:$ZZ,6,FALSE)+SUM(_xlfn.XLOOKUP(S141:AG141,增益!$A:$A,增益!$F:$F,0)))/100)</f>
        <v>0.3425</v>
      </c>
      <c r="AR141" s="32" cm="1">
        <f t="array" ref="AR141">$G$10+VLOOKUP($R141,武学奇术!$A:$ZZ,7,FALSE)+SUM(_xlfn.XLOOKUP(S141:AG141,增益!$A:$A,增益!$G:$G,0))</f>
        <v>0.148</v>
      </c>
      <c r="AS141" s="26" cm="1">
        <f t="array" ref="AS141">VLOOKUP($R141,武学奇术!$A:$ZZ,8,FALSE)+SUM(_xlfn.XLOOKUP(S141:AG141,增益!$A:$A,增益!$H:$H,0))</f>
        <v>0</v>
      </c>
      <c r="AT141">
        <f t="shared" si="85"/>
        <v>0</v>
      </c>
      <c r="AU141">
        <f t="shared" si="86"/>
        <v>0</v>
      </c>
      <c r="AV141" s="32" cm="1">
        <f t="array" ref="AV141">IF($F$11-$I$4+VLOOKUP($R141,武学奇术!$A:$ZZ,9,FALSE)+SUM(_xlfn.XLOOKUP(S141:AG141,增益!$A:$A,增益!$I:$I,0))&gt;0,($F$11-$I$4+VLOOKUP($R141,武学奇术!$A:$ZZ,9,FALSE)+SUM(_xlfn.XLOOKUP(S141:AG141,增益!$A:$A,增益!$I:$I,0)))/200,($F$11-$I$4+VLOOKUP($R141,武学奇术!$A:$ZZ,9,FALSE)+SUM(_xlfn.XLOOKUP(S141:AG141,增益!$A:$A,增益!$I:$I,0)))/100)</f>
        <v>-0.14</v>
      </c>
      <c r="AW141" s="32" cm="1">
        <f t="array" ref="AW141">$G$11+VLOOKUP($R141,武学奇术!$A:$ZZ,10,FALSE)+SUM(_xlfn.XLOOKUP(S141:AG141,增益!$A:$A,增益!$J:$J,0))</f>
        <v>0</v>
      </c>
      <c r="AX141">
        <f t="shared" si="87"/>
        <v>0</v>
      </c>
      <c r="AY141">
        <f t="shared" si="88"/>
        <v>0</v>
      </c>
      <c r="AZ141" s="32" cm="1">
        <f t="array" ref="AZ141">IF($F$12-$I$4+VLOOKUP($R141,武学奇术!$A:$ZZ,11,FALSE)+SUM(_xlfn.XLOOKUP(S141:AG141,增益!$A:$A,增益!$K:$K,0))&gt;0,($F$12-$I$4+VLOOKUP($R141,武学奇术!$A:$ZZ,11,FALSE)+SUM(_xlfn.XLOOKUP(S141:AG141,增益!$A:$A,增益!$K:$K,0)))/200,($F$12-$I$4+VLOOKUP($R141,武学奇术!$A:$ZZ,11,FALSE)+SUM(_xlfn.XLOOKUP(S141:AG141,增益!$A:$A,增益!$K:$K,0)))/100)</f>
        <v>-0.14</v>
      </c>
      <c r="BA141" s="32" cm="1">
        <f t="array" ref="BA141">$G$12+VLOOKUP($R141,武学奇术!$A:$ZZ,12,FALSE)+SUM(_xlfn.XLOOKUP(S141:AG141,增益!$A:$A,增益!$L:$L,0))</f>
        <v>0</v>
      </c>
      <c r="BB141">
        <f t="shared" si="89"/>
        <v>0</v>
      </c>
      <c r="BC141">
        <f t="shared" si="90"/>
        <v>0</v>
      </c>
      <c r="BD141" s="32" cm="1">
        <f t="array" ref="BD141">IF($F$13-$I$4+VLOOKUP($R141,武学奇术!$A:$ZZ,13,FALSE)+SUM(_xlfn.XLOOKUP(S141:AG141,增益!$A:$A,增益!$M:$M,0))&gt;0,($F$13-$I$4+VLOOKUP($R141,武学奇术!$A:$ZZ,13,FALSE)+SUM(_xlfn.XLOOKUP(S141:AG141,增益!$A:$A,增益!$K:$K,0)))/200,($F$13-$I$4+VLOOKUP($R141,武学奇术!$A:$ZZ,13,FALSE)+SUM(_xlfn.XLOOKUP(S141:AG141,增益!$A:$A,增益!$M:$M,0)))/100)</f>
        <v>-0.14</v>
      </c>
      <c r="BE141" s="32" cm="1">
        <f t="array" ref="BE141">$G$13+VLOOKUP($R141,武学奇术!$A:$ZZ,14,FALSE)+SUM(_xlfn.XLOOKUP(S141:AG141,增益!$A:$A,增益!$N:$N,0))</f>
        <v>0</v>
      </c>
      <c r="BF141">
        <f t="shared" si="91"/>
        <v>571.2</v>
      </c>
      <c r="BG141">
        <f t="shared" si="92"/>
        <v>1627.8</v>
      </c>
      <c r="BH141" s="32" cm="1">
        <f t="array" ref="BH141">IF($F$14-$I$4+VLOOKUP($R141,武学奇术!$A:$ZZ,15,FALSE)+SUM(_xlfn.XLOOKUP(S141:AG141,增益!$A:$A,增益!$O:$O,0))&gt;0,($F$14-$I$4+VLOOKUP($R141,武学奇术!$A:$ZZ,15,FALSE)+SUM(_xlfn.XLOOKUP(S141:AG141,增益!$A:$A,增益!$O:$O,0)))/200,($F$14-$I$4+VLOOKUP($R141,武学奇术!$A:$ZZ,15,FALSE)+SUM(_xlfn.XLOOKUP(S141:AG141,增益!$A:$A,增益!$O:$O,0)))/100)</f>
        <v>0.08</v>
      </c>
      <c r="BI141" s="32" cm="1">
        <f t="array" ref="BI141">$G$14+VLOOKUP($R141,武学奇术!$A:$ZZ,16,FALSE)+SUM(_xlfn.XLOOKUP(S141:AG141,增益!$A:$A,增益!$P:$P,0))</f>
        <v>0.27</v>
      </c>
      <c r="BJ141" s="26">
        <f>MIN(IF(VLOOKUP($R141,武学奇术!$A:$ZZ,23,FALSE)=1,100%,$B$8),100%)</f>
        <v>0.981</v>
      </c>
      <c r="BK141" s="26" cm="1">
        <f t="array" ref="BK141">IF(VLOOKUP($R141,武学奇术!$A:$ZZ,23,FALSE)=1,100%,MIN(80%,$B$9+VLOOKUP($R141,武学奇术!$A:$ZZ,17,FALSE)+SUM(_xlfn.XLOOKUP(S141:AG141,增益!$A:$A,增益!$Q:$Q,0)))+$B$11+SUM(_xlfn.XLOOKUP(S141:AG141,增益!$A:$A,增益!$U:$U,0)))*IF(VLOOKUP($R141,武学奇术!$A:$ZZ,24,FALSE)=1,0,1)</f>
        <v>0.846</v>
      </c>
      <c r="BL141" s="26" cm="1">
        <f t="array" ref="BL141">1+$B$13+VLOOKUP($R141,武学奇术!$A:$ZZ,18,FALSE)+SUM(_xlfn.XLOOKUP(S141:AG141,增益!$A:$A,增益!$R:$R,0))</f>
        <v>2.06</v>
      </c>
      <c r="BM141" s="26" cm="1">
        <f t="array" ref="BM141">IF(VLOOKUP($R141,武学奇术!$A:$ZZ,24,FALSE)=1,100%,MIN(40%,$B$10+VLOOKUP($R141,武学奇术!$A:$ZZ,19,FALSE)+SUM(_xlfn.XLOOKUP(S141:AG141,增益!$A:$A,增益!$S:$S,0)))+$B$12+SUM(_xlfn.XLOOKUP(S141:AG141,增益!$A:$A,增益!$V:$V,0)))*IF(VLOOKUP($R141,武学奇术!$A:$ZZ,23,FALSE)=1,0,1)</f>
        <v>0.0929</v>
      </c>
      <c r="BN141" s="26" cm="1">
        <f t="array" ref="BN141">1+$B$14+VLOOKUP($R141,武学奇术!$A:$ZZ,20,FALSE)+SUM(_xlfn.XLOOKUP(S141:AG141,增益!$A:$A,增益!$T:$T,0))</f>
        <v>1.35</v>
      </c>
      <c r="BO141" s="26">
        <f t="shared" si="93"/>
        <v>0.829926</v>
      </c>
      <c r="BP141" s="26">
        <f t="shared" si="94"/>
        <v>0.0599391</v>
      </c>
      <c r="BQ141" s="26">
        <f>IF(VLOOKUP($R141,武学奇术!$A:$ZZ,22,FALSE)=1,0,(1-$BJ141))*(1-$BM141)</f>
        <v>0.0172349</v>
      </c>
      <c r="BR141" s="26" cm="1">
        <f t="array" ref="BR141">SUM(_xlfn.XLOOKUP(S141:AG141,增益!$A:$A,增益!$W:$W,0))+$I$5</f>
        <v>0.11</v>
      </c>
    </row>
    <row r="142" spans="1:70">
      <c r="K142">
        <f>$L142*VLOOKUP($R142,武学奇术!$A:$ZZ,31,FALSE)</f>
        <v>124371.737170565</v>
      </c>
      <c r="L142" s="38">
        <f t="shared" si="84"/>
        <v>118449.273495777</v>
      </c>
      <c r="M142" s="38">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BL142*$Q142*(1+IF(VLOOKUP($R142,武学奇术!$A:$ZZ,30,FALSE)="回旋伞",$B$21,0))*(1+$BR142)</f>
        <v>118449.273495777</v>
      </c>
      <c r="N142" s="38">
        <f>(($AP142*$AI142+$AJ142)*(1+$AQ142)*(1+$AR142)+($AU142*IF($G$1="鸣金",$AK142,$AI142)+IF($G$1="鸣金",$AL142*1.5,0))*(1+$AV142)*(1+$AW142)+($AY142*IF($G$1="裂石",$AK142,$AI142)+IF($G$1="裂石",$AL142*1.5,0))*(1+$AZ142)*(1+$BA142)+($BC142*IF($G$1="牵丝",$AK142,$AI142)+IF($G$1="牵丝",$AL142*1.5,0))*(1+$BD142)*(1+$BE142)+($BG142*IF($G$1="破竹",$AK142,$AI142)+IF($G$1="破竹",$AL142*1.5,0))*(1+$BH142)*(1+$BI142))*(1+$AM142)*$BN142*$Q142*(1+IF(VLOOKUP($R142,武学奇术!$A:$ZZ,30,FALSE)="回旋伞",$B$21,0))*(1+$BR142)</f>
        <v>87049.8074018985</v>
      </c>
      <c r="O142" s="38">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Q142*(1+IF(VLOOKUP($R142,武学奇术!$A:$ZZ,30,FALSE)="回旋伞",$B$21,0))*(1+$BR142)</f>
        <v>57499.6473280469</v>
      </c>
      <c r="P142" s="38">
        <f>((($AO142*$AI142+$AJ142)*(1+$AQ142)*(1+$AR142)+($AT142*IF($G$1="鸣金",$AK142,$AI142)+IF($G$1="鸣金",$AL142*1.5,0))*(1+$AV142)*(1+$AW142)+($AX142*IF($G$1="裂石",$AK142,$AI142)+IF($G$1="裂石",$AL142*1.5,0))*(1+$AZ142)*(1+$BA142)+($BB142*IF($G$1="牵丝",$AK142,$AI142)+IF($G$1="牵丝",$AL142*1.5,0))*(1+$BD142)*(1+$BE142)+($BF142*IF($G$1="破竹",$AK142,$AI142)+IF($G$1="破竹",$AL142*1.5,0))*(1+$BH142)*(1+$BI142))*(1+$AM142))*$Q142*(1+IF(VLOOKUP($R142,武学奇术!$A:$ZZ,30,FALSE)="回旋伞",$B$21,0))*(1+$BR142)</f>
        <v>50517.9558398726</v>
      </c>
      <c r="Q142" s="39">
        <v>1</v>
      </c>
      <c r="R142" s="40" t="s">
        <v>125</v>
      </c>
      <c r="S142" s="40" t="s">
        <v>109</v>
      </c>
      <c r="T142" s="40" t="s">
        <v>95</v>
      </c>
      <c r="U142" s="40" t="s">
        <v>73</v>
      </c>
      <c r="V142" s="40" t="s">
        <v>81</v>
      </c>
      <c r="W142" s="40" t="s">
        <v>172</v>
      </c>
      <c r="X142" s="40" t="s">
        <v>99</v>
      </c>
      <c r="Y142" s="40" t="s">
        <v>84</v>
      </c>
      <c r="Z142" s="40" t="s">
        <v>176</v>
      </c>
      <c r="AA142" s="40" t="s">
        <v>177</v>
      </c>
      <c r="AB142" s="40" t="s">
        <v>126</v>
      </c>
      <c r="AC142" s="40" t="s">
        <v>91</v>
      </c>
      <c r="AD142" s="40" t="s">
        <v>72</v>
      </c>
      <c r="AE142" s="40" t="s">
        <v>72</v>
      </c>
      <c r="AF142" s="40" t="s">
        <v>77</v>
      </c>
      <c r="AG142" s="40" t="s">
        <v>78</v>
      </c>
      <c r="AH142" t="str">
        <f>VLOOKUP($R142,武学奇术!$A:$ZZ,25,FALSE)</f>
        <v>伞</v>
      </c>
      <c r="AI142" s="26">
        <f>VLOOKUP($R142,武学奇术!$A:$ZZ,26,FALSE)</f>
        <v>1.8084</v>
      </c>
      <c r="AJ142" s="27">
        <f>VLOOKUP($R142,武学奇术!$A:$ZZ,27,FALSE)*(1+IF(OR($AH142=$F$4,$AH142=$F$5),$B$22,0))</f>
        <v>750</v>
      </c>
      <c r="AK142" s="26">
        <f>VLOOKUP($R142,武学奇术!$A:$ZZ,28,FALSE)</f>
        <v>2.7126</v>
      </c>
      <c r="AL142" s="27">
        <f>VLOOKUP($R142,武学奇术!$A:$ZZ,29,FALSE)*(1+IF(OR($AH142=$F$4,$AH142=$F$5),$B$22,0))</f>
        <v>408</v>
      </c>
      <c r="AM142" s="26" cm="1">
        <f t="array" ref="AM142">$G$3+IFERROR(VLOOKUP($AH142,$F$4:$G$7,2,FALSE),0)+VLOOKUP($R142,武学奇术!$A:$ZZ,2,FALSE)+SUM(_xlfn.XLOOKUP($S142:$AG142,增益!$A:$A,增益!$B:$B,0))</f>
        <v>1.0541</v>
      </c>
      <c r="AN142" s="26" cm="1">
        <f t="array" ref="AN142">VLOOKUP($R142,武学奇术!$A:$ZZ,5,FALSE)+SUM(_xlfn.XLOOKUP($S142:$AG142,增益!$A:$A,增益!$E:$E,0))</f>
        <v>0</v>
      </c>
      <c r="AO142" cm="1">
        <f t="array" ref="AO142">$D$10*(1+$AN142)+VLOOKUP($R142,武学奇术!$A:$ZZ,3,FALSE)+SUM(_xlfn.XLOOKUP($S142:$AG142,增益!$A:$A,增益!$C:$C,0))-$I$2</f>
        <v>3624.6</v>
      </c>
      <c r="AP142" cm="1">
        <f t="array" ref="AP142">$E$10*(1+$AN142)+VLOOKUP($R142,武学奇术!$A:$ZZ,4,FALSE)+SUM(_xlfn.XLOOKUP($S142:$AG142,增益!$A:$A,增益!$D:$D,0))-$I$2</f>
        <v>3624.6</v>
      </c>
      <c r="AQ142" s="32" cm="1">
        <f t="array" ref="AQ142">IF($F$10-$I$3+VLOOKUP($R142,武学奇术!$A:$ZZ,6,FALSE)+SUM(_xlfn.XLOOKUP(S142:AG142,增益!$A:$A,增益!$F:$F,0))&gt;0,($F$10-$I$3+VLOOKUP($R142,武学奇术!$A:$ZZ,6,FALSE)+SUM(_xlfn.XLOOKUP(S142:AG142,增益!$A:$A,增益!$F:$F,0)))/200,($F$10-$I$3+VLOOKUP($R142,武学奇术!$A:$ZZ,6,FALSE)+SUM(_xlfn.XLOOKUP(S142:AG142,增益!$A:$A,增益!$F:$F,0)))/100)</f>
        <v>0.3425</v>
      </c>
      <c r="AR142" s="32" cm="1">
        <f t="array" ref="AR142">$G$10+VLOOKUP($R142,武学奇术!$A:$ZZ,7,FALSE)+SUM(_xlfn.XLOOKUP(S142:AG142,增益!$A:$A,增益!$G:$G,0))</f>
        <v>0.148</v>
      </c>
      <c r="AS142" s="26" cm="1">
        <f t="array" ref="AS142">VLOOKUP($R142,武学奇术!$A:$ZZ,8,FALSE)+SUM(_xlfn.XLOOKUP(S142:AG142,增益!$A:$A,增益!$H:$H,0))</f>
        <v>0</v>
      </c>
      <c r="AT142">
        <f t="shared" si="85"/>
        <v>0</v>
      </c>
      <c r="AU142">
        <f t="shared" si="86"/>
        <v>0</v>
      </c>
      <c r="AV142" s="32" cm="1">
        <f t="array" ref="AV142">IF($F$11-$I$4+VLOOKUP($R142,武学奇术!$A:$ZZ,9,FALSE)+SUM(_xlfn.XLOOKUP(S142:AG142,增益!$A:$A,增益!$I:$I,0))&gt;0,($F$11-$I$4+VLOOKUP($R142,武学奇术!$A:$ZZ,9,FALSE)+SUM(_xlfn.XLOOKUP(S142:AG142,增益!$A:$A,增益!$I:$I,0)))/200,($F$11-$I$4+VLOOKUP($R142,武学奇术!$A:$ZZ,9,FALSE)+SUM(_xlfn.XLOOKUP(S142:AG142,增益!$A:$A,增益!$I:$I,0)))/100)</f>
        <v>-0.14</v>
      </c>
      <c r="AW142" s="32" cm="1">
        <f t="array" ref="AW142">$G$11+VLOOKUP($R142,武学奇术!$A:$ZZ,10,FALSE)+SUM(_xlfn.XLOOKUP(S142:AG142,增益!$A:$A,增益!$J:$J,0))</f>
        <v>0.1</v>
      </c>
      <c r="AX142">
        <f t="shared" si="87"/>
        <v>0</v>
      </c>
      <c r="AY142">
        <f t="shared" si="88"/>
        <v>0</v>
      </c>
      <c r="AZ142" s="32" cm="1">
        <f t="array" ref="AZ142">IF($F$12-$I$4+VLOOKUP($R142,武学奇术!$A:$ZZ,11,FALSE)+SUM(_xlfn.XLOOKUP(S142:AG142,增益!$A:$A,增益!$K:$K,0))&gt;0,($F$12-$I$4+VLOOKUP($R142,武学奇术!$A:$ZZ,11,FALSE)+SUM(_xlfn.XLOOKUP(S142:AG142,增益!$A:$A,增益!$K:$K,0)))/200,($F$12-$I$4+VLOOKUP($R142,武学奇术!$A:$ZZ,11,FALSE)+SUM(_xlfn.XLOOKUP(S142:AG142,增益!$A:$A,增益!$K:$K,0)))/100)</f>
        <v>-0.14</v>
      </c>
      <c r="BA142" s="32" cm="1">
        <f t="array" ref="BA142">$G$12+VLOOKUP($R142,武学奇术!$A:$ZZ,12,FALSE)+SUM(_xlfn.XLOOKUP(S142:AG142,增益!$A:$A,增益!$L:$L,0))</f>
        <v>0</v>
      </c>
      <c r="BB142">
        <f t="shared" si="89"/>
        <v>0</v>
      </c>
      <c r="BC142">
        <f t="shared" si="90"/>
        <v>0</v>
      </c>
      <c r="BD142" s="32" cm="1">
        <f t="array" ref="BD142">IF($F$13-$I$4+VLOOKUP($R142,武学奇术!$A:$ZZ,13,FALSE)+SUM(_xlfn.XLOOKUP(S142:AG142,增益!$A:$A,增益!$M:$M,0))&gt;0,($F$13-$I$4+VLOOKUP($R142,武学奇术!$A:$ZZ,13,FALSE)+SUM(_xlfn.XLOOKUP(S142:AG142,增益!$A:$A,增益!$K:$K,0)))/200,($F$13-$I$4+VLOOKUP($R142,武学奇术!$A:$ZZ,13,FALSE)+SUM(_xlfn.XLOOKUP(S142:AG142,增益!$A:$A,增益!$M:$M,0)))/100)</f>
        <v>-0.14</v>
      </c>
      <c r="BE142" s="32" cm="1">
        <f t="array" ref="BE142">$G$13+VLOOKUP($R142,武学奇术!$A:$ZZ,14,FALSE)+SUM(_xlfn.XLOOKUP(S142:AG142,增益!$A:$A,增益!$N:$N,0))</f>
        <v>0</v>
      </c>
      <c r="BF142">
        <f t="shared" si="91"/>
        <v>571.2</v>
      </c>
      <c r="BG142">
        <f t="shared" si="92"/>
        <v>1627.8</v>
      </c>
      <c r="BH142" s="32" cm="1">
        <f t="array" ref="BH142">IF($F$14-$I$4+VLOOKUP($R142,武学奇术!$A:$ZZ,15,FALSE)+SUM(_xlfn.XLOOKUP(S142:AG142,增益!$A:$A,增益!$O:$O,0))&gt;0,($F$14-$I$4+VLOOKUP($R142,武学奇术!$A:$ZZ,15,FALSE)+SUM(_xlfn.XLOOKUP(S142:AG142,增益!$A:$A,增益!$O:$O,0)))/200,($F$14-$I$4+VLOOKUP($R142,武学奇术!$A:$ZZ,15,FALSE)+SUM(_xlfn.XLOOKUP(S142:AG142,增益!$A:$A,增益!$O:$O,0)))/100)</f>
        <v>0.08</v>
      </c>
      <c r="BI142" s="32" cm="1">
        <f t="array" ref="BI142">$G$14+VLOOKUP($R142,武学奇术!$A:$ZZ,16,FALSE)+SUM(_xlfn.XLOOKUP(S142:AG142,增益!$A:$A,增益!$P:$P,0))</f>
        <v>0.27</v>
      </c>
      <c r="BJ142" s="26">
        <f>MIN(IF(VLOOKUP($R142,武学奇术!$A:$ZZ,23,FALSE)=1,100%,$B$8),100%)</f>
        <v>1</v>
      </c>
      <c r="BK142" s="26" cm="1">
        <f t="array" ref="BK142">IF(VLOOKUP($R142,武学奇术!$A:$ZZ,23,FALSE)=1,100%,MIN(80%,$B$9+VLOOKUP($R142,武学奇术!$A:$ZZ,17,FALSE)+SUM(_xlfn.XLOOKUP(S142:AG142,增益!$A:$A,增益!$Q:$Q,0)))+$B$11+SUM(_xlfn.XLOOKUP(S142:AG142,增益!$A:$A,增益!$U:$U,0)))*IF(VLOOKUP($R142,武学奇术!$A:$ZZ,24,FALSE)=1,0,1)</f>
        <v>1</v>
      </c>
      <c r="BL142" s="26" cm="1">
        <f t="array" ref="BL142">1+$B$13+VLOOKUP($R142,武学奇术!$A:$ZZ,18,FALSE)+SUM(_xlfn.XLOOKUP(S142:AG142,增益!$A:$A,增益!$R:$R,0))</f>
        <v>2.06</v>
      </c>
      <c r="BM142" s="26" cm="1">
        <f t="array" ref="BM142">IF(VLOOKUP($R142,武学奇术!$A:$ZZ,24,FALSE)=1,100%,MIN(40%,$B$10+VLOOKUP($R142,武学奇术!$A:$ZZ,19,FALSE)+SUM(_xlfn.XLOOKUP(S142:AG142,增益!$A:$A,增益!$S:$S,0)))+$B$12+SUM(_xlfn.XLOOKUP(S142:AG142,增益!$A:$A,增益!$V:$V,0)))*IF(VLOOKUP($R142,武学奇术!$A:$ZZ,23,FALSE)=1,0,1)</f>
        <v>0</v>
      </c>
      <c r="BN142" s="26" cm="1">
        <f t="array" ref="BN142">1+$B$14+VLOOKUP($R142,武学奇术!$A:$ZZ,20,FALSE)+SUM(_xlfn.XLOOKUP(S142:AG142,增益!$A:$A,增益!$T:$T,0))</f>
        <v>1.35</v>
      </c>
      <c r="BO142" s="26">
        <f t="shared" si="93"/>
        <v>1</v>
      </c>
      <c r="BP142" s="26">
        <f t="shared" si="94"/>
        <v>0</v>
      </c>
      <c r="BQ142" s="26">
        <f>IF(VLOOKUP($R142,武学奇术!$A:$ZZ,22,FALSE)=1,0,(1-$BJ142))*(1-$BM142)</f>
        <v>0</v>
      </c>
      <c r="BR142" s="26" cm="1">
        <f t="array" ref="BR142">SUM(_xlfn.XLOOKUP(S142:AG142,增益!$A:$A,增益!$W:$W,0))+$I$5</f>
        <v>0.31</v>
      </c>
    </row>
    <row r="143" spans="1:70">
      <c r="K143">
        <f>$L143*VLOOKUP($R143,武学奇术!$A:$ZZ,31,FALSE)</f>
        <v>71461.9315774953</v>
      </c>
      <c r="L143" s="38">
        <f t="shared" si="84"/>
        <v>68058.9824547575</v>
      </c>
      <c r="M143" s="38">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BL143*$Q143*(1+IF(VLOOKUP($R143,武学奇术!$A:$ZZ,30,FALSE)="回旋伞",$B$21,0))*(1+$BR143)</f>
        <v>68058.9824547575</v>
      </c>
      <c r="N143" s="38">
        <f>(($AP143*$AI143+$AJ143)*(1+$AQ143)*(1+$AR143)+($AU143*IF($G$1="鸣金",$AK143,$AI143)+IF($G$1="鸣金",$AL143*1.5,0))*(1+$AV143)*(1+$AW143)+($AY143*IF($G$1="裂石",$AK143,$AI143)+IF($G$1="裂石",$AL143*1.5,0))*(1+$AZ143)*(1+$BA143)+($BC143*IF($G$1="牵丝",$AK143,$AI143)+IF($G$1="牵丝",$AL143*1.5,0))*(1+$BD143)*(1+$BE143)+($BG143*IF($G$1="破竹",$AK143,$AI143)+IF($G$1="破竹",$AL143*1.5,0))*(1+$BH143)*(1+$BI143))*(1+$AM143)*$BN143*$Q143*(1+IF(VLOOKUP($R143,武学奇术!$A:$ZZ,30,FALSE)="回旋伞",$B$21,0))*(1+$BR143)</f>
        <v>50778.7272737147</v>
      </c>
      <c r="O143" s="38">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Q143*(1+IF(VLOOKUP($R143,武学奇术!$A:$ZZ,30,FALSE)="回旋伞",$B$21,0))*(1+$BR143)</f>
        <v>33038.3409974551</v>
      </c>
      <c r="P143" s="38">
        <f>((($AO143*$AI143+$AJ143)*(1+$AQ143)*(1+$AR143)+($AT143*IF($G$1="鸣金",$AK143,$AI143)+IF($G$1="鸣金",$AL143*1.5,0))*(1+$AV143)*(1+$AW143)+($AX143*IF($G$1="裂石",$AK143,$AI143)+IF($G$1="裂石",$AL143*1.5,0))*(1+$AZ143)*(1+$BA143)+($BB143*IF($G$1="牵丝",$AK143,$AI143)+IF($G$1="牵丝",$AL143*1.5,0))*(1+$BD143)*(1+$BE143)+($BF143*IF($G$1="破竹",$AK143,$AI143)+IF($G$1="破竹",$AL143*1.5,0))*(1+$BH143)*(1+$BI143))*(1+$AM143))*$Q143*(1+IF(VLOOKUP($R143,武学奇术!$A:$ZZ,30,FALSE)="回旋伞",$B$21,0))*(1+$BR143)</f>
        <v>28462.8099403067</v>
      </c>
      <c r="Q143" s="39">
        <v>2</v>
      </c>
      <c r="R143" s="40" t="s">
        <v>132</v>
      </c>
      <c r="S143" s="40" t="s">
        <v>109</v>
      </c>
      <c r="T143" s="40" t="s">
        <v>95</v>
      </c>
      <c r="U143" s="40" t="s">
        <v>73</v>
      </c>
      <c r="V143" s="40" t="s">
        <v>81</v>
      </c>
      <c r="W143" s="40" t="s">
        <v>172</v>
      </c>
      <c r="X143" s="40" t="s">
        <v>99</v>
      </c>
      <c r="Y143" s="40" t="s">
        <v>84</v>
      </c>
      <c r="Z143" s="40" t="s">
        <v>176</v>
      </c>
      <c r="AA143" s="40" t="s">
        <v>177</v>
      </c>
      <c r="AB143" s="40" t="s">
        <v>126</v>
      </c>
      <c r="AC143" s="40" t="s">
        <v>91</v>
      </c>
      <c r="AD143" s="40" t="s">
        <v>72</v>
      </c>
      <c r="AE143" s="40" t="s">
        <v>72</v>
      </c>
      <c r="AF143" s="40" t="s">
        <v>77</v>
      </c>
      <c r="AG143" s="40" t="s">
        <v>78</v>
      </c>
      <c r="AH143" t="str">
        <f>VLOOKUP($R143,武学奇术!$A:$ZZ,25,FALSE)</f>
        <v>伞</v>
      </c>
      <c r="AI143" s="26">
        <f>VLOOKUP($R143,武学奇术!$A:$ZZ,26,FALSE)</f>
        <v>0.54</v>
      </c>
      <c r="AJ143" s="27">
        <f>VLOOKUP($R143,武学奇术!$A:$ZZ,27,FALSE)*(1+IF(OR($AH143=$F$4,$AH143=$F$5),$B$22,0))</f>
        <v>0</v>
      </c>
      <c r="AK143" s="26">
        <f>VLOOKUP($R143,武学奇术!$A:$ZZ,28,FALSE)</f>
        <v>0.81</v>
      </c>
      <c r="AL143" s="27">
        <f>VLOOKUP($R143,武学奇术!$A:$ZZ,29,FALSE)*(1+IF(OR($AH143=$F$4,$AH143=$F$5),$B$22,0))</f>
        <v>0</v>
      </c>
      <c r="AM143" s="26" cm="1">
        <f t="array" ref="AM143">$G$3+IFERROR(VLOOKUP($AH143,$F$4:$G$7,2,FALSE),0)+VLOOKUP($R143,武学奇术!$A:$ZZ,2,FALSE)+SUM(_xlfn.XLOOKUP($S143:$AG143,增益!$A:$A,增益!$B:$B,0))</f>
        <v>1.2541</v>
      </c>
      <c r="AN143" s="26" cm="1">
        <f t="array" ref="AN143">VLOOKUP($R143,武学奇术!$A:$ZZ,5,FALSE)+SUM(_xlfn.XLOOKUP($S143:$AG143,增益!$A:$A,增益!$E:$E,0))</f>
        <v>0</v>
      </c>
      <c r="AO143" cm="1">
        <f t="array" ref="AO143">$D$10*(1+$AN143)+VLOOKUP($R143,武学奇术!$A:$ZZ,3,FALSE)+SUM(_xlfn.XLOOKUP($S143:$AG143,增益!$A:$A,增益!$C:$C,0))-$I$2</f>
        <v>3624.6</v>
      </c>
      <c r="AP143" cm="1">
        <f t="array" ref="AP143">$E$10*(1+$AN143)+VLOOKUP($R143,武学奇术!$A:$ZZ,4,FALSE)+SUM(_xlfn.XLOOKUP($S143:$AG143,增益!$A:$A,增益!$D:$D,0))-$I$2</f>
        <v>3624.6</v>
      </c>
      <c r="AQ143" s="32" cm="1">
        <f t="array" ref="AQ143">IF($F$10-$I$3+VLOOKUP($R143,武学奇术!$A:$ZZ,6,FALSE)+SUM(_xlfn.XLOOKUP(S143:AG143,增益!$A:$A,增益!$F:$F,0))&gt;0,($F$10-$I$3+VLOOKUP($R143,武学奇术!$A:$ZZ,6,FALSE)+SUM(_xlfn.XLOOKUP(S143:AG143,增益!$A:$A,增益!$F:$F,0)))/200,($F$10-$I$3+VLOOKUP($R143,武学奇术!$A:$ZZ,6,FALSE)+SUM(_xlfn.XLOOKUP(S143:AG143,增益!$A:$A,增益!$F:$F,0)))/100)</f>
        <v>0.3425</v>
      </c>
      <c r="AR143" s="32" cm="1">
        <f t="array" ref="AR143">$G$10+VLOOKUP($R143,武学奇术!$A:$ZZ,7,FALSE)+SUM(_xlfn.XLOOKUP(S143:AG143,增益!$A:$A,增益!$G:$G,0))</f>
        <v>0.148</v>
      </c>
      <c r="AS143" s="26" cm="1">
        <f t="array" ref="AS143">VLOOKUP($R143,武学奇术!$A:$ZZ,8,FALSE)+SUM(_xlfn.XLOOKUP(S143:AG143,增益!$A:$A,增益!$H:$H,0))</f>
        <v>0</v>
      </c>
      <c r="AT143">
        <f t="shared" si="85"/>
        <v>0</v>
      </c>
      <c r="AU143">
        <f t="shared" si="86"/>
        <v>0</v>
      </c>
      <c r="AV143" s="32" cm="1">
        <f t="array" ref="AV143">IF($F$11-$I$4+VLOOKUP($R143,武学奇术!$A:$ZZ,9,FALSE)+SUM(_xlfn.XLOOKUP(S143:AG143,增益!$A:$A,增益!$I:$I,0))&gt;0,($F$11-$I$4+VLOOKUP($R143,武学奇术!$A:$ZZ,9,FALSE)+SUM(_xlfn.XLOOKUP(S143:AG143,增益!$A:$A,增益!$I:$I,0)))/200,($F$11-$I$4+VLOOKUP($R143,武学奇术!$A:$ZZ,9,FALSE)+SUM(_xlfn.XLOOKUP(S143:AG143,增益!$A:$A,增益!$I:$I,0)))/100)</f>
        <v>-0.14</v>
      </c>
      <c r="AW143" s="32" cm="1">
        <f t="array" ref="AW143">$G$11+VLOOKUP($R143,武学奇术!$A:$ZZ,10,FALSE)+SUM(_xlfn.XLOOKUP(S143:AG143,增益!$A:$A,增益!$J:$J,0))</f>
        <v>0.1</v>
      </c>
      <c r="AX143">
        <f t="shared" si="87"/>
        <v>0</v>
      </c>
      <c r="AY143">
        <f t="shared" si="88"/>
        <v>0</v>
      </c>
      <c r="AZ143" s="32" cm="1">
        <f t="array" ref="AZ143">IF($F$12-$I$4+VLOOKUP($R143,武学奇术!$A:$ZZ,11,FALSE)+SUM(_xlfn.XLOOKUP(S143:AG143,增益!$A:$A,增益!$K:$K,0))&gt;0,($F$12-$I$4+VLOOKUP($R143,武学奇术!$A:$ZZ,11,FALSE)+SUM(_xlfn.XLOOKUP(S143:AG143,增益!$A:$A,增益!$K:$K,0)))/200,($F$12-$I$4+VLOOKUP($R143,武学奇术!$A:$ZZ,11,FALSE)+SUM(_xlfn.XLOOKUP(S143:AG143,增益!$A:$A,增益!$K:$K,0)))/100)</f>
        <v>-0.14</v>
      </c>
      <c r="BA143" s="32" cm="1">
        <f t="array" ref="BA143">$G$12+VLOOKUP($R143,武学奇术!$A:$ZZ,12,FALSE)+SUM(_xlfn.XLOOKUP(S143:AG143,增益!$A:$A,增益!$L:$L,0))</f>
        <v>0</v>
      </c>
      <c r="BB143">
        <f t="shared" si="89"/>
        <v>0</v>
      </c>
      <c r="BC143">
        <f t="shared" si="90"/>
        <v>0</v>
      </c>
      <c r="BD143" s="32" cm="1">
        <f t="array" ref="BD143">IF($F$13-$I$4+VLOOKUP($R143,武学奇术!$A:$ZZ,13,FALSE)+SUM(_xlfn.XLOOKUP(S143:AG143,增益!$A:$A,增益!$M:$M,0))&gt;0,($F$13-$I$4+VLOOKUP($R143,武学奇术!$A:$ZZ,13,FALSE)+SUM(_xlfn.XLOOKUP(S143:AG143,增益!$A:$A,增益!$K:$K,0)))/200,($F$13-$I$4+VLOOKUP($R143,武学奇术!$A:$ZZ,13,FALSE)+SUM(_xlfn.XLOOKUP(S143:AG143,增益!$A:$A,增益!$M:$M,0)))/100)</f>
        <v>-0.14</v>
      </c>
      <c r="BE143" s="32" cm="1">
        <f t="array" ref="BE143">$G$13+VLOOKUP($R143,武学奇术!$A:$ZZ,14,FALSE)+SUM(_xlfn.XLOOKUP(S143:AG143,增益!$A:$A,增益!$N:$N,0))</f>
        <v>0</v>
      </c>
      <c r="BF143">
        <f t="shared" si="91"/>
        <v>571.2</v>
      </c>
      <c r="BG143">
        <f t="shared" si="92"/>
        <v>1627.8</v>
      </c>
      <c r="BH143" s="32" cm="1">
        <f t="array" ref="BH143">IF($F$14-$I$4+VLOOKUP($R143,武学奇术!$A:$ZZ,15,FALSE)+SUM(_xlfn.XLOOKUP(S143:AG143,增益!$A:$A,增益!$O:$O,0))&gt;0,($F$14-$I$4+VLOOKUP($R143,武学奇术!$A:$ZZ,15,FALSE)+SUM(_xlfn.XLOOKUP(S143:AG143,增益!$A:$A,增益!$O:$O,0)))/200,($F$14-$I$4+VLOOKUP($R143,武学奇术!$A:$ZZ,15,FALSE)+SUM(_xlfn.XLOOKUP(S143:AG143,增益!$A:$A,增益!$O:$O,0)))/100)</f>
        <v>0.08</v>
      </c>
      <c r="BI143" s="32" cm="1">
        <f t="array" ref="BI143">$G$14+VLOOKUP($R143,武学奇术!$A:$ZZ,16,FALSE)+SUM(_xlfn.XLOOKUP(S143:AG143,增益!$A:$A,增益!$P:$P,0))</f>
        <v>0.27</v>
      </c>
      <c r="BJ143" s="26">
        <f>MIN(IF(VLOOKUP($R143,武学奇术!$A:$ZZ,23,FALSE)=1,100%,$B$8),100%)</f>
        <v>1</v>
      </c>
      <c r="BK143" s="26" cm="1">
        <f t="array" ref="BK143">IF(VLOOKUP($R143,武学奇术!$A:$ZZ,23,FALSE)=1,100%,MIN(80%,$B$9+VLOOKUP($R143,武学奇术!$A:$ZZ,17,FALSE)+SUM(_xlfn.XLOOKUP(S143:AG143,增益!$A:$A,增益!$Q:$Q,0)))+$B$11+SUM(_xlfn.XLOOKUP(S143:AG143,增益!$A:$A,增益!$U:$U,0)))*IF(VLOOKUP($R143,武学奇术!$A:$ZZ,24,FALSE)=1,0,1)</f>
        <v>1</v>
      </c>
      <c r="BL143" s="26" cm="1">
        <f t="array" ref="BL143">1+$B$13+VLOOKUP($R143,武学奇术!$A:$ZZ,18,FALSE)+SUM(_xlfn.XLOOKUP(S143:AG143,增益!$A:$A,增益!$R:$R,0))</f>
        <v>2.06</v>
      </c>
      <c r="BM143" s="26" cm="1">
        <f t="array" ref="BM143">IF(VLOOKUP($R143,武学奇术!$A:$ZZ,24,FALSE)=1,100%,MIN(40%,$B$10+VLOOKUP($R143,武学奇术!$A:$ZZ,19,FALSE)+SUM(_xlfn.XLOOKUP(S143:AG143,增益!$A:$A,增益!$S:$S,0)))+$B$12+SUM(_xlfn.XLOOKUP(S143:AG143,增益!$A:$A,增益!$V:$V,0)))*IF(VLOOKUP($R143,武学奇术!$A:$ZZ,23,FALSE)=1,0,1)</f>
        <v>0</v>
      </c>
      <c r="BN143" s="26" cm="1">
        <f t="array" ref="BN143">1+$B$14+VLOOKUP($R143,武学奇术!$A:$ZZ,20,FALSE)+SUM(_xlfn.XLOOKUP(S143:AG143,增益!$A:$A,增益!$T:$T,0))</f>
        <v>1.35</v>
      </c>
      <c r="BO143" s="26">
        <f t="shared" si="93"/>
        <v>1</v>
      </c>
      <c r="BP143" s="26">
        <f t="shared" si="94"/>
        <v>0</v>
      </c>
      <c r="BQ143" s="26">
        <f>IF(VLOOKUP($R143,武学奇术!$A:$ZZ,22,FALSE)=1,0,(1-$BJ143))*(1-$BM143)</f>
        <v>0</v>
      </c>
      <c r="BR143" s="26" cm="1">
        <f t="array" ref="BR143">SUM(_xlfn.XLOOKUP(S143:AG143,增益!$A:$A,增益!$W:$W,0))+$I$5</f>
        <v>0.31</v>
      </c>
    </row>
    <row r="144" spans="1:70">
      <c r="K144">
        <f>$L144*VLOOKUP($R144,武学奇术!$A:$ZZ,31,FALSE)</f>
        <v>104925.413886152</v>
      </c>
      <c r="L144" s="38">
        <f t="shared" si="84"/>
        <v>99928.9656058589</v>
      </c>
      <c r="M144" s="38">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BL144*$Q144*(1+IF(VLOOKUP($R144,武学奇术!$A:$ZZ,30,FALSE)="回旋伞",$B$21,0))*(1+$BR144)</f>
        <v>106916.312734784</v>
      </c>
      <c r="N144" s="38">
        <f>(($AP144*$AI144+$AJ144)*(1+$AQ144)*(1+$AR144)+($AU144*IF($G$1="鸣金",$AK144,$AI144)+IF($G$1="鸣金",$AL144*1.5,0))*(1+$AV144)*(1+$AW144)+($AY144*IF($G$1="裂石",$AK144,$AI144)+IF($G$1="裂石",$AL144*1.5,0))*(1+$AZ144)*(1+$BA144)+($BC144*IF($G$1="牵丝",$AK144,$AI144)+IF($G$1="牵丝",$AL144*1.5,0))*(1+$BD144)*(1+$BE144)+($BG144*IF($G$1="破竹",$AK144,$AI144)+IF($G$1="破竹",$AL144*1.5,0))*(1+$BH144)*(1+$BI144))*(1+$AM144)*$BN144*$Q144*(1+IF(VLOOKUP($R144,武学奇术!$A:$ZZ,30,FALSE)="回旋伞",$B$21,0))*(1+$BR144)</f>
        <v>78574.0946905506</v>
      </c>
      <c r="O144" s="38">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Q144*(1+IF(VLOOKUP($R144,武学奇术!$A:$ZZ,30,FALSE)="回旋伞",$B$21,0))*(1+$BR144)</f>
        <v>51901.1226867882</v>
      </c>
      <c r="P144" s="38">
        <f>((($AO144*$AI144+$AJ144)*(1+$AQ144)*(1+$AR144)+($AT144*IF($G$1="鸣金",$AK144,$AI144)+IF($G$1="鸣金",$AL144*1.5,0))*(1+$AV144)*(1+$AW144)+($AX144*IF($G$1="裂石",$AK144,$AI144)+IF($G$1="裂石",$AL144*1.5,0))*(1+$AZ144)*(1+$BA144)+($BB144*IF($G$1="牵丝",$AK144,$AI144)+IF($G$1="牵丝",$AL144*1.5,0))*(1+$BD144)*(1+$BE144)+($BF144*IF($G$1="破竹",$AK144,$AI144)+IF($G$1="破竹",$AL144*1.5,0))*(1+$BH144)*(1+$BI144))*(1+$AM144))*$Q144*(1+IF(VLOOKUP($R144,武学奇术!$A:$ZZ,30,FALSE)="回旋伞",$B$21,0))*(1+$BR144)</f>
        <v>45599.2122694649</v>
      </c>
      <c r="Q144" s="39">
        <v>1</v>
      </c>
      <c r="R144" s="40" t="s">
        <v>108</v>
      </c>
      <c r="S144" s="40" t="s">
        <v>109</v>
      </c>
      <c r="T144" s="40" t="s">
        <v>95</v>
      </c>
      <c r="U144" s="40" t="s">
        <v>73</v>
      </c>
      <c r="V144" s="40" t="s">
        <v>81</v>
      </c>
      <c r="W144" s="40" t="s">
        <v>172</v>
      </c>
      <c r="X144" s="40" t="s">
        <v>99</v>
      </c>
      <c r="Y144" s="40" t="s">
        <v>84</v>
      </c>
      <c r="Z144" s="40" t="s">
        <v>176</v>
      </c>
      <c r="AA144" s="40" t="s">
        <v>177</v>
      </c>
      <c r="AB144" s="40" t="s">
        <v>126</v>
      </c>
      <c r="AC144" s="40" t="s">
        <v>91</v>
      </c>
      <c r="AD144" s="40" t="s">
        <v>178</v>
      </c>
      <c r="AE144" s="40" t="s">
        <v>72</v>
      </c>
      <c r="AF144" s="40" t="s">
        <v>77</v>
      </c>
      <c r="AG144" s="40" t="s">
        <v>78</v>
      </c>
      <c r="AH144" t="str">
        <f>VLOOKUP($R144,武学奇术!$A:$ZZ,25,FALSE)</f>
        <v>伞</v>
      </c>
      <c r="AI144" s="26">
        <f>VLOOKUP($R144,武学奇术!$A:$ZZ,26,FALSE)</f>
        <v>1.8084</v>
      </c>
      <c r="AJ144" s="27">
        <f>VLOOKUP($R144,武学奇术!$A:$ZZ,27,FALSE)*(1+IF(OR($AH144=$F$4,$AH144=$F$5),$B$22,0))</f>
        <v>750</v>
      </c>
      <c r="AK144" s="26">
        <f>VLOOKUP($R144,武学奇术!$A:$ZZ,28,FALSE)</f>
        <v>2.7126</v>
      </c>
      <c r="AL144" s="27">
        <f>VLOOKUP($R144,武学奇术!$A:$ZZ,29,FALSE)*(1+IF(OR($AH144=$F$4,$AH144=$F$5),$B$22,0))</f>
        <v>408</v>
      </c>
      <c r="AM144" s="26" cm="1">
        <f t="array" ref="AM144">$G$3+IFERROR(VLOOKUP($AH144,$F$4:$G$7,2,FALSE),0)+VLOOKUP($R144,武学奇术!$A:$ZZ,2,FALSE)+SUM(_xlfn.XLOOKUP($S144:$AG144,增益!$A:$A,增益!$B:$B,0))</f>
        <v>0.8541</v>
      </c>
      <c r="AN144" s="26" cm="1">
        <f t="array" ref="AN144">VLOOKUP($R144,武学奇术!$A:$ZZ,5,FALSE)+SUM(_xlfn.XLOOKUP($S144:$AG144,增益!$A:$A,增益!$E:$E,0))</f>
        <v>0</v>
      </c>
      <c r="AO144" cm="1">
        <f t="array" ref="AO144">$D$10*(1+$AN144)+VLOOKUP($R144,武学奇术!$A:$ZZ,3,FALSE)+SUM(_xlfn.XLOOKUP($S144:$AG144,增益!$A:$A,增益!$C:$C,0))-$I$2</f>
        <v>3624.6</v>
      </c>
      <c r="AP144" cm="1">
        <f t="array" ref="AP144">$E$10*(1+$AN144)+VLOOKUP($R144,武学奇术!$A:$ZZ,4,FALSE)+SUM(_xlfn.XLOOKUP($S144:$AG144,增益!$A:$A,增益!$D:$D,0))-$I$2</f>
        <v>3624.6</v>
      </c>
      <c r="AQ144" s="32" cm="1">
        <f t="array" ref="AQ144">IF($F$10-$I$3+VLOOKUP($R144,武学奇术!$A:$ZZ,6,FALSE)+SUM(_xlfn.XLOOKUP(S144:AG144,增益!$A:$A,增益!$F:$F,0))&gt;0,($F$10-$I$3+VLOOKUP($R144,武学奇术!$A:$ZZ,6,FALSE)+SUM(_xlfn.XLOOKUP(S144:AG144,增益!$A:$A,增益!$F:$F,0)))/200,($F$10-$I$3+VLOOKUP($R144,武学奇术!$A:$ZZ,6,FALSE)+SUM(_xlfn.XLOOKUP(S144:AG144,增益!$A:$A,增益!$F:$F,0)))/100)</f>
        <v>0.3425</v>
      </c>
      <c r="AR144" s="32" cm="1">
        <f t="array" ref="AR144">$G$10+VLOOKUP($R144,武学奇术!$A:$ZZ,7,FALSE)+SUM(_xlfn.XLOOKUP(S144:AG144,增益!$A:$A,增益!$G:$G,0))</f>
        <v>0.148</v>
      </c>
      <c r="AS144" s="26" cm="1">
        <f t="array" ref="AS144">VLOOKUP($R144,武学奇术!$A:$ZZ,8,FALSE)+SUM(_xlfn.XLOOKUP(S144:AG144,增益!$A:$A,增益!$H:$H,0))</f>
        <v>0</v>
      </c>
      <c r="AT144">
        <f t="shared" si="85"/>
        <v>0</v>
      </c>
      <c r="AU144">
        <f t="shared" si="86"/>
        <v>0</v>
      </c>
      <c r="AV144" s="32" cm="1">
        <f t="array" ref="AV144">IF($F$11-$I$4+VLOOKUP($R144,武学奇术!$A:$ZZ,9,FALSE)+SUM(_xlfn.XLOOKUP(S144:AG144,增益!$A:$A,增益!$I:$I,0))&gt;0,($F$11-$I$4+VLOOKUP($R144,武学奇术!$A:$ZZ,9,FALSE)+SUM(_xlfn.XLOOKUP(S144:AG144,增益!$A:$A,增益!$I:$I,0)))/200,($F$11-$I$4+VLOOKUP($R144,武学奇术!$A:$ZZ,9,FALSE)+SUM(_xlfn.XLOOKUP(S144:AG144,增益!$A:$A,增益!$I:$I,0)))/100)</f>
        <v>-0.14</v>
      </c>
      <c r="AW144" s="32" cm="1">
        <f t="array" ref="AW144">$G$11+VLOOKUP($R144,武学奇术!$A:$ZZ,10,FALSE)+SUM(_xlfn.XLOOKUP(S144:AG144,增益!$A:$A,增益!$J:$J,0))</f>
        <v>0.1</v>
      </c>
      <c r="AX144">
        <f t="shared" si="87"/>
        <v>0</v>
      </c>
      <c r="AY144">
        <f t="shared" si="88"/>
        <v>0</v>
      </c>
      <c r="AZ144" s="32" cm="1">
        <f t="array" ref="AZ144">IF($F$12-$I$4+VLOOKUP($R144,武学奇术!$A:$ZZ,11,FALSE)+SUM(_xlfn.XLOOKUP(S144:AG144,增益!$A:$A,增益!$K:$K,0))&gt;0,($F$12-$I$4+VLOOKUP($R144,武学奇术!$A:$ZZ,11,FALSE)+SUM(_xlfn.XLOOKUP(S144:AG144,增益!$A:$A,增益!$K:$K,0)))/200,($F$12-$I$4+VLOOKUP($R144,武学奇术!$A:$ZZ,11,FALSE)+SUM(_xlfn.XLOOKUP(S144:AG144,增益!$A:$A,增益!$K:$K,0)))/100)</f>
        <v>-0.14</v>
      </c>
      <c r="BA144" s="32" cm="1">
        <f t="array" ref="BA144">$G$12+VLOOKUP($R144,武学奇术!$A:$ZZ,12,FALSE)+SUM(_xlfn.XLOOKUP(S144:AG144,增益!$A:$A,增益!$L:$L,0))</f>
        <v>0</v>
      </c>
      <c r="BB144">
        <f t="shared" si="89"/>
        <v>0</v>
      </c>
      <c r="BC144">
        <f t="shared" si="90"/>
        <v>0</v>
      </c>
      <c r="BD144" s="32" cm="1">
        <f t="array" ref="BD144">IF($F$13-$I$4+VLOOKUP($R144,武学奇术!$A:$ZZ,13,FALSE)+SUM(_xlfn.XLOOKUP(S144:AG144,增益!$A:$A,增益!$M:$M,0))&gt;0,($F$13-$I$4+VLOOKUP($R144,武学奇术!$A:$ZZ,13,FALSE)+SUM(_xlfn.XLOOKUP(S144:AG144,增益!$A:$A,增益!$K:$K,0)))/200,($F$13-$I$4+VLOOKUP($R144,武学奇术!$A:$ZZ,13,FALSE)+SUM(_xlfn.XLOOKUP(S144:AG144,增益!$A:$A,增益!$M:$M,0)))/100)</f>
        <v>-0.14</v>
      </c>
      <c r="BE144" s="32" cm="1">
        <f t="array" ref="BE144">$G$13+VLOOKUP($R144,武学奇术!$A:$ZZ,14,FALSE)+SUM(_xlfn.XLOOKUP(S144:AG144,增益!$A:$A,增益!$N:$N,0))</f>
        <v>0</v>
      </c>
      <c r="BF144">
        <f t="shared" si="91"/>
        <v>571.2</v>
      </c>
      <c r="BG144">
        <f t="shared" si="92"/>
        <v>1627.8</v>
      </c>
      <c r="BH144" s="32" cm="1">
        <f t="array" ref="BH144">IF($F$14-$I$4+VLOOKUP($R144,武学奇术!$A:$ZZ,15,FALSE)+SUM(_xlfn.XLOOKUP(S144:AG144,增益!$A:$A,增益!$O:$O,0))&gt;0,($F$14-$I$4+VLOOKUP($R144,武学奇术!$A:$ZZ,15,FALSE)+SUM(_xlfn.XLOOKUP(S144:AG144,增益!$A:$A,增益!$O:$O,0)))/200,($F$14-$I$4+VLOOKUP($R144,武学奇术!$A:$ZZ,15,FALSE)+SUM(_xlfn.XLOOKUP(S144:AG144,增益!$A:$A,增益!$O:$O,0)))/100)</f>
        <v>0.08</v>
      </c>
      <c r="BI144" s="32" cm="1">
        <f t="array" ref="BI144">$G$14+VLOOKUP($R144,武学奇术!$A:$ZZ,16,FALSE)+SUM(_xlfn.XLOOKUP(S144:AG144,增益!$A:$A,增益!$P:$P,0))</f>
        <v>0.27</v>
      </c>
      <c r="BJ144" s="26">
        <f>MIN(IF(VLOOKUP($R144,武学奇术!$A:$ZZ,23,FALSE)=1,100%,$B$8),100%)</f>
        <v>0.981</v>
      </c>
      <c r="BK144" s="26" cm="1">
        <f t="array" ref="BK144">IF(VLOOKUP($R144,武学奇术!$A:$ZZ,23,FALSE)=1,100%,MIN(80%,$B$9+VLOOKUP($R144,武学奇术!$A:$ZZ,17,FALSE)+SUM(_xlfn.XLOOKUP(S144:AG144,增益!$A:$A,增益!$Q:$Q,0)))+$B$11+SUM(_xlfn.XLOOKUP(S144:AG144,增益!$A:$A,增益!$U:$U,0)))*IF(VLOOKUP($R144,武学奇术!$A:$ZZ,24,FALSE)=1,0,1)</f>
        <v>0.846</v>
      </c>
      <c r="BL144" s="26" cm="1">
        <f t="array" ref="BL144">1+$B$13+VLOOKUP($R144,武学奇术!$A:$ZZ,18,FALSE)+SUM(_xlfn.XLOOKUP(S144:AG144,增益!$A:$A,增益!$R:$R,0))</f>
        <v>2.06</v>
      </c>
      <c r="BM144" s="26" cm="1">
        <f t="array" ref="BM144">IF(VLOOKUP($R144,武学奇术!$A:$ZZ,24,FALSE)=1,100%,MIN(40%,$B$10+VLOOKUP($R144,武学奇术!$A:$ZZ,19,FALSE)+SUM(_xlfn.XLOOKUP(S144:AG144,增益!$A:$A,增益!$S:$S,0)))+$B$12+SUM(_xlfn.XLOOKUP(S144:AG144,增益!$A:$A,增益!$V:$V,0)))*IF(VLOOKUP($R144,武学奇术!$A:$ZZ,23,FALSE)=1,0,1)</f>
        <v>0.0929</v>
      </c>
      <c r="BN144" s="26" cm="1">
        <f t="array" ref="BN144">1+$B$14+VLOOKUP($R144,武学奇术!$A:$ZZ,20,FALSE)+SUM(_xlfn.XLOOKUP(S144:AG144,增益!$A:$A,增益!$T:$T,0))</f>
        <v>1.35</v>
      </c>
      <c r="BO144" s="26">
        <f t="shared" si="93"/>
        <v>0.829926</v>
      </c>
      <c r="BP144" s="26">
        <f t="shared" si="94"/>
        <v>0.0599391</v>
      </c>
      <c r="BQ144" s="26">
        <f>IF(VLOOKUP($R144,武学奇术!$A:$ZZ,22,FALSE)=1,0,(1-$BJ144))*(1-$BM144)</f>
        <v>0.0172349</v>
      </c>
      <c r="BR144" s="26" cm="1">
        <f t="array" ref="BR144">SUM(_xlfn.XLOOKUP(S144:AG144,增益!$A:$A,增益!$W:$W,0))+$I$5</f>
        <v>0.31</v>
      </c>
    </row>
    <row r="145" spans="11:70">
      <c r="K145">
        <f>$L145*VLOOKUP($R145,武学奇术!$A:$ZZ,31,FALSE)</f>
        <v>60923.7896741927</v>
      </c>
      <c r="L145" s="38">
        <f t="shared" si="84"/>
        <v>58022.6568325645</v>
      </c>
      <c r="M145" s="38">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BL145*$Q145*(1+IF(VLOOKUP($R145,武学奇术!$A:$ZZ,30,FALSE)="回旋伞",$B$21,0))*(1+$BR145)</f>
        <v>62020.2989487233</v>
      </c>
      <c r="N145" s="38">
        <f>(($AP145*$AI145+$AJ145)*(1+$AQ145)*(1+$AR145)+($AU145*IF($G$1="鸣金",$AK145,$AI145)+IF($G$1="鸣金",$AL145*1.5,0))*(1+$AV145)*(1+$AW145)+($AY145*IF($G$1="裂石",$AK145,$AI145)+IF($G$1="裂石",$AL145*1.5,0))*(1+$AZ145)*(1+$BA145)+($BC145*IF($G$1="牵丝",$AK145,$AI145)+IF($G$1="牵丝",$AL145*1.5,0))*(1+$BD145)*(1+$BE145)+($BG145*IF($G$1="破竹",$AK145,$AI145)+IF($G$1="破竹",$AL145*1.5,0))*(1+$BH145)*(1+$BI145))*(1+$AM145)*$BN145*$Q145*(1+IF(VLOOKUP($R145,武学奇术!$A:$ZZ,30,FALSE)="回旋伞",$B$21,0))*(1+$BR145)</f>
        <v>46273.2725668503</v>
      </c>
      <c r="O145" s="38">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Q145*(1+IF(VLOOKUP($R145,武学奇术!$A:$ZZ,30,FALSE)="回旋伞",$B$21,0))*(1+$BR145)</f>
        <v>30106.9412372443</v>
      </c>
      <c r="P145" s="38">
        <f>((($AO145*$AI145+$AJ145)*(1+$AQ145)*(1+$AR145)+($AT145*IF($G$1="鸣金",$AK145,$AI145)+IF($G$1="鸣金",$AL145*1.5,0))*(1+$AV145)*(1+$AW145)+($AX145*IF($G$1="裂石",$AK145,$AI145)+IF($G$1="裂石",$AL145*1.5,0))*(1+$AZ145)*(1+$BA145)+($BB145*IF($G$1="牵丝",$AK145,$AI145)+IF($G$1="牵丝",$AL145*1.5,0))*(1+$BD145)*(1+$BE145)+($BF145*IF($G$1="破竹",$AK145,$AI145)+IF($G$1="破竹",$AL145*1.5,0))*(1+$BH145)*(1+$BI145))*(1+$AM145))*$Q145*(1+IF(VLOOKUP($R145,武学奇术!$A:$ZZ,30,FALSE)="回旋伞",$B$21,0))*(1+$BR145)</f>
        <v>25937.3842768218</v>
      </c>
      <c r="Q145" s="39">
        <v>2</v>
      </c>
      <c r="R145" s="40" t="s">
        <v>112</v>
      </c>
      <c r="S145" s="40" t="s">
        <v>109</v>
      </c>
      <c r="T145" s="40" t="s">
        <v>95</v>
      </c>
      <c r="U145" s="40" t="s">
        <v>73</v>
      </c>
      <c r="V145" s="40" t="s">
        <v>81</v>
      </c>
      <c r="W145" s="40" t="s">
        <v>172</v>
      </c>
      <c r="X145" s="40" t="s">
        <v>99</v>
      </c>
      <c r="Y145" s="40" t="s">
        <v>84</v>
      </c>
      <c r="Z145" s="40" t="s">
        <v>176</v>
      </c>
      <c r="AA145" s="40" t="s">
        <v>177</v>
      </c>
      <c r="AB145" s="40" t="s">
        <v>126</v>
      </c>
      <c r="AC145" s="40" t="s">
        <v>91</v>
      </c>
      <c r="AD145" s="40" t="s">
        <v>178</v>
      </c>
      <c r="AE145" s="40" t="s">
        <v>72</v>
      </c>
      <c r="AF145" s="40" t="s">
        <v>77</v>
      </c>
      <c r="AG145" s="40" t="s">
        <v>78</v>
      </c>
      <c r="AH145" t="str">
        <f>VLOOKUP($R145,武学奇术!$A:$ZZ,25,FALSE)</f>
        <v>伞</v>
      </c>
      <c r="AI145" s="26">
        <f>VLOOKUP($R145,武学奇术!$A:$ZZ,26,FALSE)</f>
        <v>0.54</v>
      </c>
      <c r="AJ145" s="27">
        <f>VLOOKUP($R145,武学奇术!$A:$ZZ,27,FALSE)*(1+IF(OR($AH145=$F$4,$AH145=$F$5),$B$22,0))</f>
        <v>0</v>
      </c>
      <c r="AK145" s="26">
        <f>VLOOKUP($R145,武学奇术!$A:$ZZ,28,FALSE)</f>
        <v>0.81</v>
      </c>
      <c r="AL145" s="27">
        <f>VLOOKUP($R145,武学奇术!$A:$ZZ,29,FALSE)*(1+IF(OR($AH145=$F$4,$AH145=$F$5),$B$22,0))</f>
        <v>0</v>
      </c>
      <c r="AM145" s="26" cm="1">
        <f t="array" ref="AM145">$G$3+IFERROR(VLOOKUP($AH145,$F$4:$G$7,2,FALSE),0)+VLOOKUP($R145,武学奇术!$A:$ZZ,2,FALSE)+SUM(_xlfn.XLOOKUP($S145:$AG145,增益!$A:$A,增益!$B:$B,0))</f>
        <v>1.0541</v>
      </c>
      <c r="AN145" s="26" cm="1">
        <f t="array" ref="AN145">VLOOKUP($R145,武学奇术!$A:$ZZ,5,FALSE)+SUM(_xlfn.XLOOKUP($S145:$AG145,增益!$A:$A,增益!$E:$E,0))</f>
        <v>0</v>
      </c>
      <c r="AO145" cm="1">
        <f t="array" ref="AO145">$D$10*(1+$AN145)+VLOOKUP($R145,武学奇术!$A:$ZZ,3,FALSE)+SUM(_xlfn.XLOOKUP($S145:$AG145,增益!$A:$A,增益!$C:$C,0))-$I$2</f>
        <v>3624.6</v>
      </c>
      <c r="AP145" cm="1">
        <f t="array" ref="AP145">$E$10*(1+$AN145)+VLOOKUP($R145,武学奇术!$A:$ZZ,4,FALSE)+SUM(_xlfn.XLOOKUP($S145:$AG145,增益!$A:$A,增益!$D:$D,0))-$I$2</f>
        <v>3624.6</v>
      </c>
      <c r="AQ145" s="32" cm="1">
        <f t="array" ref="AQ145">IF($F$10-$I$3+VLOOKUP($R145,武学奇术!$A:$ZZ,6,FALSE)+SUM(_xlfn.XLOOKUP(S145:AG145,增益!$A:$A,增益!$F:$F,0))&gt;0,($F$10-$I$3+VLOOKUP($R145,武学奇术!$A:$ZZ,6,FALSE)+SUM(_xlfn.XLOOKUP(S145:AG145,增益!$A:$A,增益!$F:$F,0)))/200,($F$10-$I$3+VLOOKUP($R145,武学奇术!$A:$ZZ,6,FALSE)+SUM(_xlfn.XLOOKUP(S145:AG145,增益!$A:$A,增益!$F:$F,0)))/100)</f>
        <v>0.3425</v>
      </c>
      <c r="AR145" s="32" cm="1">
        <f t="array" ref="AR145">$G$10+VLOOKUP($R145,武学奇术!$A:$ZZ,7,FALSE)+SUM(_xlfn.XLOOKUP(S145:AG145,增益!$A:$A,增益!$G:$G,0))</f>
        <v>0.148</v>
      </c>
      <c r="AS145" s="26" cm="1">
        <f t="array" ref="AS145">VLOOKUP($R145,武学奇术!$A:$ZZ,8,FALSE)+SUM(_xlfn.XLOOKUP(S145:AG145,增益!$A:$A,增益!$H:$H,0))</f>
        <v>0</v>
      </c>
      <c r="AT145">
        <f t="shared" si="85"/>
        <v>0</v>
      </c>
      <c r="AU145">
        <f t="shared" si="86"/>
        <v>0</v>
      </c>
      <c r="AV145" s="32" cm="1">
        <f t="array" ref="AV145">IF($F$11-$I$4+VLOOKUP($R145,武学奇术!$A:$ZZ,9,FALSE)+SUM(_xlfn.XLOOKUP(S145:AG145,增益!$A:$A,增益!$I:$I,0))&gt;0,($F$11-$I$4+VLOOKUP($R145,武学奇术!$A:$ZZ,9,FALSE)+SUM(_xlfn.XLOOKUP(S145:AG145,增益!$A:$A,增益!$I:$I,0)))/200,($F$11-$I$4+VLOOKUP($R145,武学奇术!$A:$ZZ,9,FALSE)+SUM(_xlfn.XLOOKUP(S145:AG145,增益!$A:$A,增益!$I:$I,0)))/100)</f>
        <v>-0.14</v>
      </c>
      <c r="AW145" s="32" cm="1">
        <f t="array" ref="AW145">$G$11+VLOOKUP($R145,武学奇术!$A:$ZZ,10,FALSE)+SUM(_xlfn.XLOOKUP(S145:AG145,增益!$A:$A,增益!$J:$J,0))</f>
        <v>0.1</v>
      </c>
      <c r="AX145">
        <f t="shared" si="87"/>
        <v>0</v>
      </c>
      <c r="AY145">
        <f t="shared" si="88"/>
        <v>0</v>
      </c>
      <c r="AZ145" s="32" cm="1">
        <f t="array" ref="AZ145">IF($F$12-$I$4+VLOOKUP($R145,武学奇术!$A:$ZZ,11,FALSE)+SUM(_xlfn.XLOOKUP(S145:AG145,增益!$A:$A,增益!$K:$K,0))&gt;0,($F$12-$I$4+VLOOKUP($R145,武学奇术!$A:$ZZ,11,FALSE)+SUM(_xlfn.XLOOKUP(S145:AG145,增益!$A:$A,增益!$K:$K,0)))/200,($F$12-$I$4+VLOOKUP($R145,武学奇术!$A:$ZZ,11,FALSE)+SUM(_xlfn.XLOOKUP(S145:AG145,增益!$A:$A,增益!$K:$K,0)))/100)</f>
        <v>-0.14</v>
      </c>
      <c r="BA145" s="32" cm="1">
        <f t="array" ref="BA145">$G$12+VLOOKUP($R145,武学奇术!$A:$ZZ,12,FALSE)+SUM(_xlfn.XLOOKUP(S145:AG145,增益!$A:$A,增益!$L:$L,0))</f>
        <v>0</v>
      </c>
      <c r="BB145">
        <f t="shared" si="89"/>
        <v>0</v>
      </c>
      <c r="BC145">
        <f t="shared" si="90"/>
        <v>0</v>
      </c>
      <c r="BD145" s="32" cm="1">
        <f t="array" ref="BD145">IF($F$13-$I$4+VLOOKUP($R145,武学奇术!$A:$ZZ,13,FALSE)+SUM(_xlfn.XLOOKUP(S145:AG145,增益!$A:$A,增益!$M:$M,0))&gt;0,($F$13-$I$4+VLOOKUP($R145,武学奇术!$A:$ZZ,13,FALSE)+SUM(_xlfn.XLOOKUP(S145:AG145,增益!$A:$A,增益!$K:$K,0)))/200,($F$13-$I$4+VLOOKUP($R145,武学奇术!$A:$ZZ,13,FALSE)+SUM(_xlfn.XLOOKUP(S145:AG145,增益!$A:$A,增益!$M:$M,0)))/100)</f>
        <v>-0.14</v>
      </c>
      <c r="BE145" s="32" cm="1">
        <f t="array" ref="BE145">$G$13+VLOOKUP($R145,武学奇术!$A:$ZZ,14,FALSE)+SUM(_xlfn.XLOOKUP(S145:AG145,增益!$A:$A,增益!$N:$N,0))</f>
        <v>0</v>
      </c>
      <c r="BF145">
        <f t="shared" si="91"/>
        <v>571.2</v>
      </c>
      <c r="BG145">
        <f t="shared" si="92"/>
        <v>1627.8</v>
      </c>
      <c r="BH145" s="32" cm="1">
        <f t="array" ref="BH145">IF($F$14-$I$4+VLOOKUP($R145,武学奇术!$A:$ZZ,15,FALSE)+SUM(_xlfn.XLOOKUP(S145:AG145,增益!$A:$A,增益!$O:$O,0))&gt;0,($F$14-$I$4+VLOOKUP($R145,武学奇术!$A:$ZZ,15,FALSE)+SUM(_xlfn.XLOOKUP(S145:AG145,增益!$A:$A,增益!$O:$O,0)))/200,($F$14-$I$4+VLOOKUP($R145,武学奇术!$A:$ZZ,15,FALSE)+SUM(_xlfn.XLOOKUP(S145:AG145,增益!$A:$A,增益!$O:$O,0)))/100)</f>
        <v>0.08</v>
      </c>
      <c r="BI145" s="32" cm="1">
        <f t="array" ref="BI145">$G$14+VLOOKUP($R145,武学奇术!$A:$ZZ,16,FALSE)+SUM(_xlfn.XLOOKUP(S145:AG145,增益!$A:$A,增益!$P:$P,0))</f>
        <v>0.27</v>
      </c>
      <c r="BJ145" s="26">
        <f>MIN(IF(VLOOKUP($R145,武学奇术!$A:$ZZ,23,FALSE)=1,100%,$B$8),100%)</f>
        <v>0.981</v>
      </c>
      <c r="BK145" s="26" cm="1">
        <f t="array" ref="BK145">IF(VLOOKUP($R145,武学奇术!$A:$ZZ,23,FALSE)=1,100%,MIN(80%,$B$9+VLOOKUP($R145,武学奇术!$A:$ZZ,17,FALSE)+SUM(_xlfn.XLOOKUP(S145:AG145,增益!$A:$A,增益!$Q:$Q,0)))+$B$11+SUM(_xlfn.XLOOKUP(S145:AG145,增益!$A:$A,增益!$U:$U,0)))*IF(VLOOKUP($R145,武学奇术!$A:$ZZ,24,FALSE)=1,0,1)</f>
        <v>0.846</v>
      </c>
      <c r="BL145" s="26" cm="1">
        <f t="array" ref="BL145">1+$B$13+VLOOKUP($R145,武学奇术!$A:$ZZ,18,FALSE)+SUM(_xlfn.XLOOKUP(S145:AG145,增益!$A:$A,增益!$R:$R,0))</f>
        <v>2.06</v>
      </c>
      <c r="BM145" s="26" cm="1">
        <f t="array" ref="BM145">IF(VLOOKUP($R145,武学奇术!$A:$ZZ,24,FALSE)=1,100%,MIN(40%,$B$10+VLOOKUP($R145,武学奇术!$A:$ZZ,19,FALSE)+SUM(_xlfn.XLOOKUP(S145:AG145,增益!$A:$A,增益!$S:$S,0)))+$B$12+SUM(_xlfn.XLOOKUP(S145:AG145,增益!$A:$A,增益!$V:$V,0)))*IF(VLOOKUP($R145,武学奇术!$A:$ZZ,23,FALSE)=1,0,1)</f>
        <v>0.0929</v>
      </c>
      <c r="BN145" s="26" cm="1">
        <f t="array" ref="BN145">1+$B$14+VLOOKUP($R145,武学奇术!$A:$ZZ,20,FALSE)+SUM(_xlfn.XLOOKUP(S145:AG145,增益!$A:$A,增益!$T:$T,0))</f>
        <v>1.35</v>
      </c>
      <c r="BO145" s="26">
        <f t="shared" si="93"/>
        <v>0.829926</v>
      </c>
      <c r="BP145" s="26">
        <f t="shared" si="94"/>
        <v>0.0599391</v>
      </c>
      <c r="BQ145" s="26">
        <f>IF(VLOOKUP($R145,武学奇术!$A:$ZZ,22,FALSE)=1,0,(1-$BJ145))*(1-$BM145)</f>
        <v>0.0172349</v>
      </c>
      <c r="BR145" s="26" cm="1">
        <f t="array" ref="BR145">SUM(_xlfn.XLOOKUP(S145:AG145,增益!$A:$A,增益!$W:$W,0))+$I$5</f>
        <v>0.31</v>
      </c>
    </row>
    <row r="146" spans="11:70">
      <c r="K146">
        <f>$L146*VLOOKUP($R146,武学奇术!$A:$ZZ,31,FALSE)</f>
        <v>124371.737170565</v>
      </c>
      <c r="L146" s="38">
        <f t="shared" si="84"/>
        <v>118449.273495777</v>
      </c>
      <c r="M146" s="38">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BL146*$Q146*(1+IF(VLOOKUP($R146,武学奇术!$A:$ZZ,30,FALSE)="回旋伞",$B$21,0))*(1+$BR146)</f>
        <v>118449.273495777</v>
      </c>
      <c r="N146" s="38">
        <f>(($AP146*$AI146+$AJ146)*(1+$AQ146)*(1+$AR146)+($AU146*IF($G$1="鸣金",$AK146,$AI146)+IF($G$1="鸣金",$AL146*1.5,0))*(1+$AV146)*(1+$AW146)+($AY146*IF($G$1="裂石",$AK146,$AI146)+IF($G$1="裂石",$AL146*1.5,0))*(1+$AZ146)*(1+$BA146)+($BC146*IF($G$1="牵丝",$AK146,$AI146)+IF($G$1="牵丝",$AL146*1.5,0))*(1+$BD146)*(1+$BE146)+($BG146*IF($G$1="破竹",$AK146,$AI146)+IF($G$1="破竹",$AL146*1.5,0))*(1+$BH146)*(1+$BI146))*(1+$AM146)*$BN146*$Q146*(1+IF(VLOOKUP($R146,武学奇术!$A:$ZZ,30,FALSE)="回旋伞",$B$21,0))*(1+$BR146)</f>
        <v>87049.8074018985</v>
      </c>
      <c r="O146" s="38">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Q146*(1+IF(VLOOKUP($R146,武学奇术!$A:$ZZ,30,FALSE)="回旋伞",$B$21,0))*(1+$BR146)</f>
        <v>57499.6473280469</v>
      </c>
      <c r="P146" s="38">
        <f>((($AO146*$AI146+$AJ146)*(1+$AQ146)*(1+$AR146)+($AT146*IF($G$1="鸣金",$AK146,$AI146)+IF($G$1="鸣金",$AL146*1.5,0))*(1+$AV146)*(1+$AW146)+($AX146*IF($G$1="裂石",$AK146,$AI146)+IF($G$1="裂石",$AL146*1.5,0))*(1+$AZ146)*(1+$BA146)+($BB146*IF($G$1="牵丝",$AK146,$AI146)+IF($G$1="牵丝",$AL146*1.5,0))*(1+$BD146)*(1+$BE146)+($BF146*IF($G$1="破竹",$AK146,$AI146)+IF($G$1="破竹",$AL146*1.5,0))*(1+$BH146)*(1+$BI146))*(1+$AM146))*$Q146*(1+IF(VLOOKUP($R146,武学奇术!$A:$ZZ,30,FALSE)="回旋伞",$B$21,0))*(1+$BR146)</f>
        <v>50517.9558398726</v>
      </c>
      <c r="Q146" s="39">
        <v>1</v>
      </c>
      <c r="R146" s="40" t="s">
        <v>125</v>
      </c>
      <c r="S146" s="40" t="s">
        <v>109</v>
      </c>
      <c r="T146" s="40" t="s">
        <v>95</v>
      </c>
      <c r="U146" s="40" t="s">
        <v>73</v>
      </c>
      <c r="V146" s="40" t="s">
        <v>81</v>
      </c>
      <c r="W146" s="40" t="s">
        <v>172</v>
      </c>
      <c r="X146" s="40" t="s">
        <v>99</v>
      </c>
      <c r="Y146" s="40" t="s">
        <v>84</v>
      </c>
      <c r="Z146" s="40" t="s">
        <v>176</v>
      </c>
      <c r="AA146" s="40" t="s">
        <v>177</v>
      </c>
      <c r="AB146" s="40" t="s">
        <v>126</v>
      </c>
      <c r="AC146" s="40" t="s">
        <v>85</v>
      </c>
      <c r="AD146" s="40" t="s">
        <v>178</v>
      </c>
      <c r="AE146" s="40" t="s">
        <v>72</v>
      </c>
      <c r="AF146" s="40" t="s">
        <v>77</v>
      </c>
      <c r="AG146" s="40" t="s">
        <v>78</v>
      </c>
      <c r="AH146" t="str">
        <f>VLOOKUP($R146,武学奇术!$A:$ZZ,25,FALSE)</f>
        <v>伞</v>
      </c>
      <c r="AI146" s="26">
        <f>VLOOKUP($R146,武学奇术!$A:$ZZ,26,FALSE)</f>
        <v>1.8084</v>
      </c>
      <c r="AJ146" s="27">
        <f>VLOOKUP($R146,武学奇术!$A:$ZZ,27,FALSE)*(1+IF(OR($AH146=$F$4,$AH146=$F$5),$B$22,0))</f>
        <v>750</v>
      </c>
      <c r="AK146" s="26">
        <f>VLOOKUP($R146,武学奇术!$A:$ZZ,28,FALSE)</f>
        <v>2.7126</v>
      </c>
      <c r="AL146" s="27">
        <f>VLOOKUP($R146,武学奇术!$A:$ZZ,29,FALSE)*(1+IF(OR($AH146=$F$4,$AH146=$F$5),$B$22,0))</f>
        <v>408</v>
      </c>
      <c r="AM146" s="26" cm="1">
        <f t="array" ref="AM146">$G$3+IFERROR(VLOOKUP($AH146,$F$4:$G$7,2,FALSE),0)+VLOOKUP($R146,武学奇术!$A:$ZZ,2,FALSE)+SUM(_xlfn.XLOOKUP($S146:$AG146,增益!$A:$A,增益!$B:$B,0))</f>
        <v>1.0541</v>
      </c>
      <c r="AN146" s="26" cm="1">
        <f t="array" ref="AN146">VLOOKUP($R146,武学奇术!$A:$ZZ,5,FALSE)+SUM(_xlfn.XLOOKUP($S146:$AG146,增益!$A:$A,增益!$E:$E,0))</f>
        <v>0</v>
      </c>
      <c r="AO146" cm="1">
        <f t="array" ref="AO146">$D$10*(1+$AN146)+VLOOKUP($R146,武学奇术!$A:$ZZ,3,FALSE)+SUM(_xlfn.XLOOKUP($S146:$AG146,增益!$A:$A,增益!$C:$C,0))-$I$2</f>
        <v>3624.6</v>
      </c>
      <c r="AP146" cm="1">
        <f t="array" ref="AP146">$E$10*(1+$AN146)+VLOOKUP($R146,武学奇术!$A:$ZZ,4,FALSE)+SUM(_xlfn.XLOOKUP($S146:$AG146,增益!$A:$A,增益!$D:$D,0))-$I$2</f>
        <v>3624.6</v>
      </c>
      <c r="AQ146" s="32" cm="1">
        <f t="array" ref="AQ146">IF($F$10-$I$3+VLOOKUP($R146,武学奇术!$A:$ZZ,6,FALSE)+SUM(_xlfn.XLOOKUP(S146:AG146,增益!$A:$A,增益!$F:$F,0))&gt;0,($F$10-$I$3+VLOOKUP($R146,武学奇术!$A:$ZZ,6,FALSE)+SUM(_xlfn.XLOOKUP(S146:AG146,增益!$A:$A,增益!$F:$F,0)))/200,($F$10-$I$3+VLOOKUP($R146,武学奇术!$A:$ZZ,6,FALSE)+SUM(_xlfn.XLOOKUP(S146:AG146,增益!$A:$A,增益!$F:$F,0)))/100)</f>
        <v>0.3425</v>
      </c>
      <c r="AR146" s="32" cm="1">
        <f t="array" ref="AR146">$G$10+VLOOKUP($R146,武学奇术!$A:$ZZ,7,FALSE)+SUM(_xlfn.XLOOKUP(S146:AG146,增益!$A:$A,增益!$G:$G,0))</f>
        <v>0.148</v>
      </c>
      <c r="AS146" s="26" cm="1">
        <f t="array" ref="AS146">VLOOKUP($R146,武学奇术!$A:$ZZ,8,FALSE)+SUM(_xlfn.XLOOKUP(S146:AG146,增益!$A:$A,增益!$H:$H,0))</f>
        <v>0</v>
      </c>
      <c r="AT146">
        <f t="shared" si="85"/>
        <v>0</v>
      </c>
      <c r="AU146">
        <f t="shared" si="86"/>
        <v>0</v>
      </c>
      <c r="AV146" s="32" cm="1">
        <f t="array" ref="AV146">IF($F$11-$I$4+VLOOKUP($R146,武学奇术!$A:$ZZ,9,FALSE)+SUM(_xlfn.XLOOKUP(S146:AG146,增益!$A:$A,增益!$I:$I,0))&gt;0,($F$11-$I$4+VLOOKUP($R146,武学奇术!$A:$ZZ,9,FALSE)+SUM(_xlfn.XLOOKUP(S146:AG146,增益!$A:$A,增益!$I:$I,0)))/200,($F$11-$I$4+VLOOKUP($R146,武学奇术!$A:$ZZ,9,FALSE)+SUM(_xlfn.XLOOKUP(S146:AG146,增益!$A:$A,增益!$I:$I,0)))/100)</f>
        <v>-0.14</v>
      </c>
      <c r="AW146" s="32" cm="1">
        <f t="array" ref="AW146">$G$11+VLOOKUP($R146,武学奇术!$A:$ZZ,10,FALSE)+SUM(_xlfn.XLOOKUP(S146:AG146,增益!$A:$A,增益!$J:$J,0))</f>
        <v>0.1</v>
      </c>
      <c r="AX146">
        <f t="shared" si="87"/>
        <v>0</v>
      </c>
      <c r="AY146">
        <f t="shared" si="88"/>
        <v>0</v>
      </c>
      <c r="AZ146" s="32" cm="1">
        <f t="array" ref="AZ146">IF($F$12-$I$4+VLOOKUP($R146,武学奇术!$A:$ZZ,11,FALSE)+SUM(_xlfn.XLOOKUP(S146:AG146,增益!$A:$A,增益!$K:$K,0))&gt;0,($F$12-$I$4+VLOOKUP($R146,武学奇术!$A:$ZZ,11,FALSE)+SUM(_xlfn.XLOOKUP(S146:AG146,增益!$A:$A,增益!$K:$K,0)))/200,($F$12-$I$4+VLOOKUP($R146,武学奇术!$A:$ZZ,11,FALSE)+SUM(_xlfn.XLOOKUP(S146:AG146,增益!$A:$A,增益!$K:$K,0)))/100)</f>
        <v>-0.14</v>
      </c>
      <c r="BA146" s="32" cm="1">
        <f t="array" ref="BA146">$G$12+VLOOKUP($R146,武学奇术!$A:$ZZ,12,FALSE)+SUM(_xlfn.XLOOKUP(S146:AG146,增益!$A:$A,增益!$L:$L,0))</f>
        <v>0</v>
      </c>
      <c r="BB146">
        <f t="shared" si="89"/>
        <v>0</v>
      </c>
      <c r="BC146">
        <f t="shared" si="90"/>
        <v>0</v>
      </c>
      <c r="BD146" s="32" cm="1">
        <f t="array" ref="BD146">IF($F$13-$I$4+VLOOKUP($R146,武学奇术!$A:$ZZ,13,FALSE)+SUM(_xlfn.XLOOKUP(S146:AG146,增益!$A:$A,增益!$M:$M,0))&gt;0,($F$13-$I$4+VLOOKUP($R146,武学奇术!$A:$ZZ,13,FALSE)+SUM(_xlfn.XLOOKUP(S146:AG146,增益!$A:$A,增益!$K:$K,0)))/200,($F$13-$I$4+VLOOKUP($R146,武学奇术!$A:$ZZ,13,FALSE)+SUM(_xlfn.XLOOKUP(S146:AG146,增益!$A:$A,增益!$M:$M,0)))/100)</f>
        <v>-0.14</v>
      </c>
      <c r="BE146" s="32" cm="1">
        <f t="array" ref="BE146">$G$13+VLOOKUP($R146,武学奇术!$A:$ZZ,14,FALSE)+SUM(_xlfn.XLOOKUP(S146:AG146,增益!$A:$A,增益!$N:$N,0))</f>
        <v>0</v>
      </c>
      <c r="BF146">
        <f t="shared" si="91"/>
        <v>571.2</v>
      </c>
      <c r="BG146">
        <f t="shared" si="92"/>
        <v>1627.8</v>
      </c>
      <c r="BH146" s="32" cm="1">
        <f t="array" ref="BH146">IF($F$14-$I$4+VLOOKUP($R146,武学奇术!$A:$ZZ,15,FALSE)+SUM(_xlfn.XLOOKUP(S146:AG146,增益!$A:$A,增益!$O:$O,0))&gt;0,($F$14-$I$4+VLOOKUP($R146,武学奇术!$A:$ZZ,15,FALSE)+SUM(_xlfn.XLOOKUP(S146:AG146,增益!$A:$A,增益!$O:$O,0)))/200,($F$14-$I$4+VLOOKUP($R146,武学奇术!$A:$ZZ,15,FALSE)+SUM(_xlfn.XLOOKUP(S146:AG146,增益!$A:$A,增益!$O:$O,0)))/100)</f>
        <v>0.08</v>
      </c>
      <c r="BI146" s="32" cm="1">
        <f t="array" ref="BI146">$G$14+VLOOKUP($R146,武学奇术!$A:$ZZ,16,FALSE)+SUM(_xlfn.XLOOKUP(S146:AG146,增益!$A:$A,增益!$P:$P,0))</f>
        <v>0.27</v>
      </c>
      <c r="BJ146" s="26">
        <f>MIN(IF(VLOOKUP($R146,武学奇术!$A:$ZZ,23,FALSE)=1,100%,$B$8),100%)</f>
        <v>1</v>
      </c>
      <c r="BK146" s="26" cm="1">
        <f t="array" ref="BK146">IF(VLOOKUP($R146,武学奇术!$A:$ZZ,23,FALSE)=1,100%,MIN(80%,$B$9+VLOOKUP($R146,武学奇术!$A:$ZZ,17,FALSE)+SUM(_xlfn.XLOOKUP(S146:AG146,增益!$A:$A,增益!$Q:$Q,0)))+$B$11+SUM(_xlfn.XLOOKUP(S146:AG146,增益!$A:$A,增益!$U:$U,0)))*IF(VLOOKUP($R146,武学奇术!$A:$ZZ,24,FALSE)=1,0,1)</f>
        <v>1</v>
      </c>
      <c r="BL146" s="26" cm="1">
        <f t="array" ref="BL146">1+$B$13+VLOOKUP($R146,武学奇术!$A:$ZZ,18,FALSE)+SUM(_xlfn.XLOOKUP(S146:AG146,增益!$A:$A,增益!$R:$R,0))</f>
        <v>2.06</v>
      </c>
      <c r="BM146" s="26" cm="1">
        <f t="array" ref="BM146">IF(VLOOKUP($R146,武学奇术!$A:$ZZ,24,FALSE)=1,100%,MIN(40%,$B$10+VLOOKUP($R146,武学奇术!$A:$ZZ,19,FALSE)+SUM(_xlfn.XLOOKUP(S146:AG146,增益!$A:$A,增益!$S:$S,0)))+$B$12+SUM(_xlfn.XLOOKUP(S146:AG146,增益!$A:$A,增益!$V:$V,0)))*IF(VLOOKUP($R146,武学奇术!$A:$ZZ,23,FALSE)=1,0,1)</f>
        <v>0</v>
      </c>
      <c r="BN146" s="26" cm="1">
        <f t="array" ref="BN146">1+$B$14+VLOOKUP($R146,武学奇术!$A:$ZZ,20,FALSE)+SUM(_xlfn.XLOOKUP(S146:AG146,增益!$A:$A,增益!$T:$T,0))</f>
        <v>1.35</v>
      </c>
      <c r="BO146" s="26">
        <f t="shared" si="93"/>
        <v>1</v>
      </c>
      <c r="BP146" s="26">
        <f t="shared" si="94"/>
        <v>0</v>
      </c>
      <c r="BQ146" s="26">
        <f>IF(VLOOKUP($R146,武学奇术!$A:$ZZ,22,FALSE)=1,0,(1-$BJ146))*(1-$BM146)</f>
        <v>0</v>
      </c>
      <c r="BR146" s="26" cm="1">
        <f t="array" ref="BR146">SUM(_xlfn.XLOOKUP(S146:AG146,增益!$A:$A,增益!$W:$W,0))+$I$5</f>
        <v>0.31</v>
      </c>
    </row>
    <row r="147" spans="11:70">
      <c r="K147">
        <f>$L147*VLOOKUP($R147,武学奇术!$A:$ZZ,31,FALSE)</f>
        <v>71461.9315774953</v>
      </c>
      <c r="L147" s="38">
        <f t="shared" si="84"/>
        <v>68058.9824547575</v>
      </c>
      <c r="M147" s="38">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BL147*$Q147*(1+IF(VLOOKUP($R147,武学奇术!$A:$ZZ,30,FALSE)="回旋伞",$B$21,0))*(1+$BR147)</f>
        <v>68058.9824547575</v>
      </c>
      <c r="N147" s="38">
        <f>(($AP147*$AI147+$AJ147)*(1+$AQ147)*(1+$AR147)+($AU147*IF($G$1="鸣金",$AK147,$AI147)+IF($G$1="鸣金",$AL147*1.5,0))*(1+$AV147)*(1+$AW147)+($AY147*IF($G$1="裂石",$AK147,$AI147)+IF($G$1="裂石",$AL147*1.5,0))*(1+$AZ147)*(1+$BA147)+($BC147*IF($G$1="牵丝",$AK147,$AI147)+IF($G$1="牵丝",$AL147*1.5,0))*(1+$BD147)*(1+$BE147)+($BG147*IF($G$1="破竹",$AK147,$AI147)+IF($G$1="破竹",$AL147*1.5,0))*(1+$BH147)*(1+$BI147))*(1+$AM147)*$BN147*$Q147*(1+IF(VLOOKUP($R147,武学奇术!$A:$ZZ,30,FALSE)="回旋伞",$B$21,0))*(1+$BR147)</f>
        <v>50778.7272737147</v>
      </c>
      <c r="O147" s="38">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Q147*(1+IF(VLOOKUP($R147,武学奇术!$A:$ZZ,30,FALSE)="回旋伞",$B$21,0))*(1+$BR147)</f>
        <v>33038.3409974551</v>
      </c>
      <c r="P147" s="38">
        <f>((($AO147*$AI147+$AJ147)*(1+$AQ147)*(1+$AR147)+($AT147*IF($G$1="鸣金",$AK147,$AI147)+IF($G$1="鸣金",$AL147*1.5,0))*(1+$AV147)*(1+$AW147)+($AX147*IF($G$1="裂石",$AK147,$AI147)+IF($G$1="裂石",$AL147*1.5,0))*(1+$AZ147)*(1+$BA147)+($BB147*IF($G$1="牵丝",$AK147,$AI147)+IF($G$1="牵丝",$AL147*1.5,0))*(1+$BD147)*(1+$BE147)+($BF147*IF($G$1="破竹",$AK147,$AI147)+IF($G$1="破竹",$AL147*1.5,0))*(1+$BH147)*(1+$BI147))*(1+$AM147))*$Q147*(1+IF(VLOOKUP($R147,武学奇术!$A:$ZZ,30,FALSE)="回旋伞",$B$21,0))*(1+$BR147)</f>
        <v>28462.8099403067</v>
      </c>
      <c r="Q147" s="39">
        <v>2</v>
      </c>
      <c r="R147" s="40" t="s">
        <v>132</v>
      </c>
      <c r="S147" s="40" t="s">
        <v>109</v>
      </c>
      <c r="T147" s="40" t="s">
        <v>95</v>
      </c>
      <c r="U147" s="40" t="s">
        <v>73</v>
      </c>
      <c r="V147" s="40" t="s">
        <v>81</v>
      </c>
      <c r="W147" s="40" t="s">
        <v>172</v>
      </c>
      <c r="X147" s="40" t="s">
        <v>99</v>
      </c>
      <c r="Y147" s="40" t="s">
        <v>84</v>
      </c>
      <c r="Z147" s="40" t="s">
        <v>176</v>
      </c>
      <c r="AA147" s="40" t="s">
        <v>177</v>
      </c>
      <c r="AB147" s="40" t="s">
        <v>126</v>
      </c>
      <c r="AC147" s="40" t="s">
        <v>85</v>
      </c>
      <c r="AD147" s="40" t="s">
        <v>178</v>
      </c>
      <c r="AE147" s="40" t="s">
        <v>72</v>
      </c>
      <c r="AF147" s="40" t="s">
        <v>77</v>
      </c>
      <c r="AG147" s="40" t="s">
        <v>78</v>
      </c>
      <c r="AH147" t="str">
        <f>VLOOKUP($R147,武学奇术!$A:$ZZ,25,FALSE)</f>
        <v>伞</v>
      </c>
      <c r="AI147" s="26">
        <f>VLOOKUP($R147,武学奇术!$A:$ZZ,26,FALSE)</f>
        <v>0.54</v>
      </c>
      <c r="AJ147" s="27">
        <f>VLOOKUP($R147,武学奇术!$A:$ZZ,27,FALSE)*(1+IF(OR($AH147=$F$4,$AH147=$F$5),$B$22,0))</f>
        <v>0</v>
      </c>
      <c r="AK147" s="26">
        <f>VLOOKUP($R147,武学奇术!$A:$ZZ,28,FALSE)</f>
        <v>0.81</v>
      </c>
      <c r="AL147" s="27">
        <f>VLOOKUP($R147,武学奇术!$A:$ZZ,29,FALSE)*(1+IF(OR($AH147=$F$4,$AH147=$F$5),$B$22,0))</f>
        <v>0</v>
      </c>
      <c r="AM147" s="26" cm="1">
        <f t="array" ref="AM147">$G$3+IFERROR(VLOOKUP($AH147,$F$4:$G$7,2,FALSE),0)+VLOOKUP($R147,武学奇术!$A:$ZZ,2,FALSE)+SUM(_xlfn.XLOOKUP($S147:$AG147,增益!$A:$A,增益!$B:$B,0))</f>
        <v>1.2541</v>
      </c>
      <c r="AN147" s="26" cm="1">
        <f t="array" ref="AN147">VLOOKUP($R147,武学奇术!$A:$ZZ,5,FALSE)+SUM(_xlfn.XLOOKUP($S147:$AG147,增益!$A:$A,增益!$E:$E,0))</f>
        <v>0</v>
      </c>
      <c r="AO147" cm="1">
        <f t="array" ref="AO147">$D$10*(1+$AN147)+VLOOKUP($R147,武学奇术!$A:$ZZ,3,FALSE)+SUM(_xlfn.XLOOKUP($S147:$AG147,增益!$A:$A,增益!$C:$C,0))-$I$2</f>
        <v>3624.6</v>
      </c>
      <c r="AP147" cm="1">
        <f t="array" ref="AP147">$E$10*(1+$AN147)+VLOOKUP($R147,武学奇术!$A:$ZZ,4,FALSE)+SUM(_xlfn.XLOOKUP($S147:$AG147,增益!$A:$A,增益!$D:$D,0))-$I$2</f>
        <v>3624.6</v>
      </c>
      <c r="AQ147" s="32" cm="1">
        <f t="array" ref="AQ147">IF($F$10-$I$3+VLOOKUP($R147,武学奇术!$A:$ZZ,6,FALSE)+SUM(_xlfn.XLOOKUP(S147:AG147,增益!$A:$A,增益!$F:$F,0))&gt;0,($F$10-$I$3+VLOOKUP($R147,武学奇术!$A:$ZZ,6,FALSE)+SUM(_xlfn.XLOOKUP(S147:AG147,增益!$A:$A,增益!$F:$F,0)))/200,($F$10-$I$3+VLOOKUP($R147,武学奇术!$A:$ZZ,6,FALSE)+SUM(_xlfn.XLOOKUP(S147:AG147,增益!$A:$A,增益!$F:$F,0)))/100)</f>
        <v>0.3425</v>
      </c>
      <c r="AR147" s="32" cm="1">
        <f t="array" ref="AR147">$G$10+VLOOKUP($R147,武学奇术!$A:$ZZ,7,FALSE)+SUM(_xlfn.XLOOKUP(S147:AG147,增益!$A:$A,增益!$G:$G,0))</f>
        <v>0.148</v>
      </c>
      <c r="AS147" s="26" cm="1">
        <f t="array" ref="AS147">VLOOKUP($R147,武学奇术!$A:$ZZ,8,FALSE)+SUM(_xlfn.XLOOKUP(S147:AG147,增益!$A:$A,增益!$H:$H,0))</f>
        <v>0</v>
      </c>
      <c r="AT147">
        <f t="shared" si="85"/>
        <v>0</v>
      </c>
      <c r="AU147">
        <f t="shared" si="86"/>
        <v>0</v>
      </c>
      <c r="AV147" s="32" cm="1">
        <f t="array" ref="AV147">IF($F$11-$I$4+VLOOKUP($R147,武学奇术!$A:$ZZ,9,FALSE)+SUM(_xlfn.XLOOKUP(S147:AG147,增益!$A:$A,增益!$I:$I,0))&gt;0,($F$11-$I$4+VLOOKUP($R147,武学奇术!$A:$ZZ,9,FALSE)+SUM(_xlfn.XLOOKUP(S147:AG147,增益!$A:$A,增益!$I:$I,0)))/200,($F$11-$I$4+VLOOKUP($R147,武学奇术!$A:$ZZ,9,FALSE)+SUM(_xlfn.XLOOKUP(S147:AG147,增益!$A:$A,增益!$I:$I,0)))/100)</f>
        <v>-0.14</v>
      </c>
      <c r="AW147" s="32" cm="1">
        <f t="array" ref="AW147">$G$11+VLOOKUP($R147,武学奇术!$A:$ZZ,10,FALSE)+SUM(_xlfn.XLOOKUP(S147:AG147,增益!$A:$A,增益!$J:$J,0))</f>
        <v>0.1</v>
      </c>
      <c r="AX147">
        <f t="shared" si="87"/>
        <v>0</v>
      </c>
      <c r="AY147">
        <f t="shared" si="88"/>
        <v>0</v>
      </c>
      <c r="AZ147" s="32" cm="1">
        <f t="array" ref="AZ147">IF($F$12-$I$4+VLOOKUP($R147,武学奇术!$A:$ZZ,11,FALSE)+SUM(_xlfn.XLOOKUP(S147:AG147,增益!$A:$A,增益!$K:$K,0))&gt;0,($F$12-$I$4+VLOOKUP($R147,武学奇术!$A:$ZZ,11,FALSE)+SUM(_xlfn.XLOOKUP(S147:AG147,增益!$A:$A,增益!$K:$K,0)))/200,($F$12-$I$4+VLOOKUP($R147,武学奇术!$A:$ZZ,11,FALSE)+SUM(_xlfn.XLOOKUP(S147:AG147,增益!$A:$A,增益!$K:$K,0)))/100)</f>
        <v>-0.14</v>
      </c>
      <c r="BA147" s="32" cm="1">
        <f t="array" ref="BA147">$G$12+VLOOKUP($R147,武学奇术!$A:$ZZ,12,FALSE)+SUM(_xlfn.XLOOKUP(S147:AG147,增益!$A:$A,增益!$L:$L,0))</f>
        <v>0</v>
      </c>
      <c r="BB147">
        <f t="shared" si="89"/>
        <v>0</v>
      </c>
      <c r="BC147">
        <f t="shared" si="90"/>
        <v>0</v>
      </c>
      <c r="BD147" s="32" cm="1">
        <f t="array" ref="BD147">IF($F$13-$I$4+VLOOKUP($R147,武学奇术!$A:$ZZ,13,FALSE)+SUM(_xlfn.XLOOKUP(S147:AG147,增益!$A:$A,增益!$M:$M,0))&gt;0,($F$13-$I$4+VLOOKUP($R147,武学奇术!$A:$ZZ,13,FALSE)+SUM(_xlfn.XLOOKUP(S147:AG147,增益!$A:$A,增益!$K:$K,0)))/200,($F$13-$I$4+VLOOKUP($R147,武学奇术!$A:$ZZ,13,FALSE)+SUM(_xlfn.XLOOKUP(S147:AG147,增益!$A:$A,增益!$M:$M,0)))/100)</f>
        <v>-0.14</v>
      </c>
      <c r="BE147" s="32" cm="1">
        <f t="array" ref="BE147">$G$13+VLOOKUP($R147,武学奇术!$A:$ZZ,14,FALSE)+SUM(_xlfn.XLOOKUP(S147:AG147,增益!$A:$A,增益!$N:$N,0))</f>
        <v>0</v>
      </c>
      <c r="BF147">
        <f t="shared" si="91"/>
        <v>571.2</v>
      </c>
      <c r="BG147">
        <f t="shared" si="92"/>
        <v>1627.8</v>
      </c>
      <c r="BH147" s="32" cm="1">
        <f t="array" ref="BH147">IF($F$14-$I$4+VLOOKUP($R147,武学奇术!$A:$ZZ,15,FALSE)+SUM(_xlfn.XLOOKUP(S147:AG147,增益!$A:$A,增益!$O:$O,0))&gt;0,($F$14-$I$4+VLOOKUP($R147,武学奇术!$A:$ZZ,15,FALSE)+SUM(_xlfn.XLOOKUP(S147:AG147,增益!$A:$A,增益!$O:$O,0)))/200,($F$14-$I$4+VLOOKUP($R147,武学奇术!$A:$ZZ,15,FALSE)+SUM(_xlfn.XLOOKUP(S147:AG147,增益!$A:$A,增益!$O:$O,0)))/100)</f>
        <v>0.08</v>
      </c>
      <c r="BI147" s="32" cm="1">
        <f t="array" ref="BI147">$G$14+VLOOKUP($R147,武学奇术!$A:$ZZ,16,FALSE)+SUM(_xlfn.XLOOKUP(S147:AG147,增益!$A:$A,增益!$P:$P,0))</f>
        <v>0.27</v>
      </c>
      <c r="BJ147" s="26">
        <f>MIN(IF(VLOOKUP($R147,武学奇术!$A:$ZZ,23,FALSE)=1,100%,$B$8),100%)</f>
        <v>1</v>
      </c>
      <c r="BK147" s="26" cm="1">
        <f t="array" ref="BK147">IF(VLOOKUP($R147,武学奇术!$A:$ZZ,23,FALSE)=1,100%,MIN(80%,$B$9+VLOOKUP($R147,武学奇术!$A:$ZZ,17,FALSE)+SUM(_xlfn.XLOOKUP(S147:AG147,增益!$A:$A,增益!$Q:$Q,0)))+$B$11+SUM(_xlfn.XLOOKUP(S147:AG147,增益!$A:$A,增益!$U:$U,0)))*IF(VLOOKUP($R147,武学奇术!$A:$ZZ,24,FALSE)=1,0,1)</f>
        <v>1</v>
      </c>
      <c r="BL147" s="26" cm="1">
        <f t="array" ref="BL147">1+$B$13+VLOOKUP($R147,武学奇术!$A:$ZZ,18,FALSE)+SUM(_xlfn.XLOOKUP(S147:AG147,增益!$A:$A,增益!$R:$R,0))</f>
        <v>2.06</v>
      </c>
      <c r="BM147" s="26" cm="1">
        <f t="array" ref="BM147">IF(VLOOKUP($R147,武学奇术!$A:$ZZ,24,FALSE)=1,100%,MIN(40%,$B$10+VLOOKUP($R147,武学奇术!$A:$ZZ,19,FALSE)+SUM(_xlfn.XLOOKUP(S147:AG147,增益!$A:$A,增益!$S:$S,0)))+$B$12+SUM(_xlfn.XLOOKUP(S147:AG147,增益!$A:$A,增益!$V:$V,0)))*IF(VLOOKUP($R147,武学奇术!$A:$ZZ,23,FALSE)=1,0,1)</f>
        <v>0</v>
      </c>
      <c r="BN147" s="26" cm="1">
        <f t="array" ref="BN147">1+$B$14+VLOOKUP($R147,武学奇术!$A:$ZZ,20,FALSE)+SUM(_xlfn.XLOOKUP(S147:AG147,增益!$A:$A,增益!$T:$T,0))</f>
        <v>1.35</v>
      </c>
      <c r="BO147" s="26">
        <f t="shared" si="93"/>
        <v>1</v>
      </c>
      <c r="BP147" s="26">
        <f t="shared" si="94"/>
        <v>0</v>
      </c>
      <c r="BQ147" s="26">
        <f>IF(VLOOKUP($R147,武学奇术!$A:$ZZ,22,FALSE)=1,0,(1-$BJ147))*(1-$BM147)</f>
        <v>0</v>
      </c>
      <c r="BR147" s="26" cm="1">
        <f t="array" ref="BR147">SUM(_xlfn.XLOOKUP(S147:AG147,增益!$A:$A,增益!$W:$W,0))+$I$5</f>
        <v>0.31</v>
      </c>
    </row>
    <row r="148" spans="11:70">
      <c r="K148">
        <f>$L148*VLOOKUP($R148,武学奇术!$A:$ZZ,31,FALSE)</f>
        <v>104925.413886152</v>
      </c>
      <c r="L148" s="38">
        <f>($M148*$BO148+$N148*$BM148+$O148*$BP148+$P148*$BQ148)</f>
        <v>99928.9656058589</v>
      </c>
      <c r="M148" s="38">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BL148*$Q148*(1+IF(VLOOKUP($R148,武学奇术!$A:$ZZ,30,FALSE)="回旋伞",$B$21,0))*(1+$BR148)</f>
        <v>106916.312734784</v>
      </c>
      <c r="N148" s="38">
        <f>(($AP148*$AI148+$AJ148)*(1+$AQ148)*(1+$AR148)+($AU148*IF($G$1="鸣金",$AK148,$AI148)+IF($G$1="鸣金",$AL148*1.5,0))*(1+$AV148)*(1+$AW148)+($AY148*IF($G$1="裂石",$AK148,$AI148)+IF($G$1="裂石",$AL148*1.5,0))*(1+$AZ148)*(1+$BA148)+($BC148*IF($G$1="牵丝",$AK148,$AI148)+IF($G$1="牵丝",$AL148*1.5,0))*(1+$BD148)*(1+$BE148)+($BG148*IF($G$1="破竹",$AK148,$AI148)+IF($G$1="破竹",$AL148*1.5,0))*(1+$BH148)*(1+$BI148))*(1+$AM148)*$BN148*$Q148*(1+IF(VLOOKUP($R148,武学奇术!$A:$ZZ,30,FALSE)="回旋伞",$B$21,0))*(1+$BR148)</f>
        <v>78574.0946905506</v>
      </c>
      <c r="O148" s="38">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Q148*(1+IF(VLOOKUP($R148,武学奇术!$A:$ZZ,30,FALSE)="回旋伞",$B$21,0))*(1+$BR148)</f>
        <v>51901.1226867882</v>
      </c>
      <c r="P148" s="38">
        <f>((($AO148*$AI148+$AJ148)*(1+$AQ148)*(1+$AR148)+($AT148*IF($G$1="鸣金",$AK148,$AI148)+IF($G$1="鸣金",$AL148*1.5,0))*(1+$AV148)*(1+$AW148)+($AX148*IF($G$1="裂石",$AK148,$AI148)+IF($G$1="裂石",$AL148*1.5,0))*(1+$AZ148)*(1+$BA148)+($BB148*IF($G$1="牵丝",$AK148,$AI148)+IF($G$1="牵丝",$AL148*1.5,0))*(1+$BD148)*(1+$BE148)+($BF148*IF($G$1="破竹",$AK148,$AI148)+IF($G$1="破竹",$AL148*1.5,0))*(1+$BH148)*(1+$BI148))*(1+$AM148))*$Q148*(1+IF(VLOOKUP($R148,武学奇术!$A:$ZZ,30,FALSE)="回旋伞",$B$21,0))*(1+$BR148)</f>
        <v>45599.2122694649</v>
      </c>
      <c r="Q148" s="39">
        <v>1</v>
      </c>
      <c r="R148" s="40" t="s">
        <v>108</v>
      </c>
      <c r="S148" s="40" t="s">
        <v>109</v>
      </c>
      <c r="T148" s="40" t="s">
        <v>95</v>
      </c>
      <c r="U148" s="40" t="s">
        <v>73</v>
      </c>
      <c r="V148" s="40" t="s">
        <v>81</v>
      </c>
      <c r="W148" s="40" t="s">
        <v>172</v>
      </c>
      <c r="X148" s="40" t="s">
        <v>99</v>
      </c>
      <c r="Y148" s="40" t="s">
        <v>84</v>
      </c>
      <c r="Z148" s="40" t="s">
        <v>176</v>
      </c>
      <c r="AA148" s="40" t="s">
        <v>177</v>
      </c>
      <c r="AB148" s="40" t="s">
        <v>126</v>
      </c>
      <c r="AC148" s="40" t="s">
        <v>85</v>
      </c>
      <c r="AD148" s="40" t="s">
        <v>178</v>
      </c>
      <c r="AE148" s="40" t="s">
        <v>72</v>
      </c>
      <c r="AF148" s="40" t="s">
        <v>77</v>
      </c>
      <c r="AG148" s="40" t="s">
        <v>78</v>
      </c>
      <c r="AH148" t="str">
        <f>VLOOKUP($R148,武学奇术!$A:$ZZ,25,FALSE)</f>
        <v>伞</v>
      </c>
      <c r="AI148" s="26">
        <f>VLOOKUP($R148,武学奇术!$A:$ZZ,26,FALSE)</f>
        <v>1.8084</v>
      </c>
      <c r="AJ148" s="27">
        <f>VLOOKUP($R148,武学奇术!$A:$ZZ,27,FALSE)*(1+IF(OR($AH148=$F$4,$AH148=$F$5),$B$22,0))</f>
        <v>750</v>
      </c>
      <c r="AK148" s="26">
        <f>VLOOKUP($R148,武学奇术!$A:$ZZ,28,FALSE)</f>
        <v>2.7126</v>
      </c>
      <c r="AL148" s="27">
        <f>VLOOKUP($R148,武学奇术!$A:$ZZ,29,FALSE)*(1+IF(OR($AH148=$F$4,$AH148=$F$5),$B$22,0))</f>
        <v>408</v>
      </c>
      <c r="AM148" s="26" cm="1">
        <f t="array" ref="AM148">$G$3+IFERROR(VLOOKUP($AH148,$F$4:$G$7,2,FALSE),0)+VLOOKUP($R148,武学奇术!$A:$ZZ,2,FALSE)+SUM(_xlfn.XLOOKUP($S148:$AG148,增益!$A:$A,增益!$B:$B,0))</f>
        <v>0.8541</v>
      </c>
      <c r="AN148" s="26" cm="1">
        <f t="array" ref="AN148">VLOOKUP($R148,武学奇术!$A:$ZZ,5,FALSE)+SUM(_xlfn.XLOOKUP($S148:$AG148,增益!$A:$A,增益!$E:$E,0))</f>
        <v>0</v>
      </c>
      <c r="AO148" cm="1">
        <f t="array" ref="AO148">$D$10*(1+$AN148)+VLOOKUP($R148,武学奇术!$A:$ZZ,3,FALSE)+SUM(_xlfn.XLOOKUP($S148:$AG148,增益!$A:$A,增益!$C:$C,0))-$I$2</f>
        <v>3624.6</v>
      </c>
      <c r="AP148" cm="1">
        <f t="array" ref="AP148">$E$10*(1+$AN148)+VLOOKUP($R148,武学奇术!$A:$ZZ,4,FALSE)+SUM(_xlfn.XLOOKUP($S148:$AG148,增益!$A:$A,增益!$D:$D,0))-$I$2</f>
        <v>3624.6</v>
      </c>
      <c r="AQ148" s="32" cm="1">
        <f t="array" ref="AQ148">IF($F$10-$I$3+VLOOKUP($R148,武学奇术!$A:$ZZ,6,FALSE)+SUM(_xlfn.XLOOKUP(S148:AG148,增益!$A:$A,增益!$F:$F,0))&gt;0,($F$10-$I$3+VLOOKUP($R148,武学奇术!$A:$ZZ,6,FALSE)+SUM(_xlfn.XLOOKUP(S148:AG148,增益!$A:$A,增益!$F:$F,0)))/200,($F$10-$I$3+VLOOKUP($R148,武学奇术!$A:$ZZ,6,FALSE)+SUM(_xlfn.XLOOKUP(S148:AG148,增益!$A:$A,增益!$F:$F,0)))/100)</f>
        <v>0.3425</v>
      </c>
      <c r="AR148" s="32" cm="1">
        <f t="array" ref="AR148">$G$10+VLOOKUP($R148,武学奇术!$A:$ZZ,7,FALSE)+SUM(_xlfn.XLOOKUP(S148:AG148,增益!$A:$A,增益!$G:$G,0))</f>
        <v>0.148</v>
      </c>
      <c r="AS148" s="26" cm="1">
        <f t="array" ref="AS148">VLOOKUP($R148,武学奇术!$A:$ZZ,8,FALSE)+SUM(_xlfn.XLOOKUP(S148:AG148,增益!$A:$A,增益!$H:$H,0))</f>
        <v>0</v>
      </c>
      <c r="AT148">
        <f t="shared" si="85"/>
        <v>0</v>
      </c>
      <c r="AU148">
        <f t="shared" si="86"/>
        <v>0</v>
      </c>
      <c r="AV148" s="32" cm="1">
        <f t="array" ref="AV148">IF($F$11-$I$4+VLOOKUP($R148,武学奇术!$A:$ZZ,9,FALSE)+SUM(_xlfn.XLOOKUP(S148:AG148,增益!$A:$A,增益!$I:$I,0))&gt;0,($F$11-$I$4+VLOOKUP($R148,武学奇术!$A:$ZZ,9,FALSE)+SUM(_xlfn.XLOOKUP(S148:AG148,增益!$A:$A,增益!$I:$I,0)))/200,($F$11-$I$4+VLOOKUP($R148,武学奇术!$A:$ZZ,9,FALSE)+SUM(_xlfn.XLOOKUP(S148:AG148,增益!$A:$A,增益!$I:$I,0)))/100)</f>
        <v>-0.14</v>
      </c>
      <c r="AW148" s="32" cm="1">
        <f t="array" ref="AW148">$G$11+VLOOKUP($R148,武学奇术!$A:$ZZ,10,FALSE)+SUM(_xlfn.XLOOKUP(S148:AG148,增益!$A:$A,增益!$J:$J,0))</f>
        <v>0.1</v>
      </c>
      <c r="AX148">
        <f t="shared" si="87"/>
        <v>0</v>
      </c>
      <c r="AY148">
        <f t="shared" si="88"/>
        <v>0</v>
      </c>
      <c r="AZ148" s="32" cm="1">
        <f t="array" ref="AZ148">IF($F$12-$I$4+VLOOKUP($R148,武学奇术!$A:$ZZ,11,FALSE)+SUM(_xlfn.XLOOKUP(S148:AG148,增益!$A:$A,增益!$K:$K,0))&gt;0,($F$12-$I$4+VLOOKUP($R148,武学奇术!$A:$ZZ,11,FALSE)+SUM(_xlfn.XLOOKUP(S148:AG148,增益!$A:$A,增益!$K:$K,0)))/200,($F$12-$I$4+VLOOKUP($R148,武学奇术!$A:$ZZ,11,FALSE)+SUM(_xlfn.XLOOKUP(S148:AG148,增益!$A:$A,增益!$K:$K,0)))/100)</f>
        <v>-0.14</v>
      </c>
      <c r="BA148" s="32" cm="1">
        <f t="array" ref="BA148">$G$12+VLOOKUP($R148,武学奇术!$A:$ZZ,12,FALSE)+SUM(_xlfn.XLOOKUP(S148:AG148,增益!$A:$A,增益!$L:$L,0))</f>
        <v>0</v>
      </c>
      <c r="BB148">
        <f t="shared" si="89"/>
        <v>0</v>
      </c>
      <c r="BC148">
        <f t="shared" si="90"/>
        <v>0</v>
      </c>
      <c r="BD148" s="32" cm="1">
        <f t="array" ref="BD148">IF($F$13-$I$4+VLOOKUP($R148,武学奇术!$A:$ZZ,13,FALSE)+SUM(_xlfn.XLOOKUP(S148:AG148,增益!$A:$A,增益!$M:$M,0))&gt;0,($F$13-$I$4+VLOOKUP($R148,武学奇术!$A:$ZZ,13,FALSE)+SUM(_xlfn.XLOOKUP(S148:AG148,增益!$A:$A,增益!$K:$K,0)))/200,($F$13-$I$4+VLOOKUP($R148,武学奇术!$A:$ZZ,13,FALSE)+SUM(_xlfn.XLOOKUP(S148:AG148,增益!$A:$A,增益!$M:$M,0)))/100)</f>
        <v>-0.14</v>
      </c>
      <c r="BE148" s="32" cm="1">
        <f t="array" ref="BE148">$G$13+VLOOKUP($R148,武学奇术!$A:$ZZ,14,FALSE)+SUM(_xlfn.XLOOKUP(S148:AG148,增益!$A:$A,增益!$N:$N,0))</f>
        <v>0</v>
      </c>
      <c r="BF148">
        <f t="shared" si="91"/>
        <v>571.2</v>
      </c>
      <c r="BG148">
        <f t="shared" si="92"/>
        <v>1627.8</v>
      </c>
      <c r="BH148" s="32" cm="1">
        <f t="array" ref="BH148">IF($F$14-$I$4+VLOOKUP($R148,武学奇术!$A:$ZZ,15,FALSE)+SUM(_xlfn.XLOOKUP(S148:AG148,增益!$A:$A,增益!$O:$O,0))&gt;0,($F$14-$I$4+VLOOKUP($R148,武学奇术!$A:$ZZ,15,FALSE)+SUM(_xlfn.XLOOKUP(S148:AG148,增益!$A:$A,增益!$O:$O,0)))/200,($F$14-$I$4+VLOOKUP($R148,武学奇术!$A:$ZZ,15,FALSE)+SUM(_xlfn.XLOOKUP(S148:AG148,增益!$A:$A,增益!$O:$O,0)))/100)</f>
        <v>0.08</v>
      </c>
      <c r="BI148" s="32" cm="1">
        <f t="array" ref="BI148">$G$14+VLOOKUP($R148,武学奇术!$A:$ZZ,16,FALSE)+SUM(_xlfn.XLOOKUP(S148:AG148,增益!$A:$A,增益!$P:$P,0))</f>
        <v>0.27</v>
      </c>
      <c r="BJ148" s="26">
        <f>MIN(IF(VLOOKUP($R148,武学奇术!$A:$ZZ,23,FALSE)=1,100%,$B$8),100%)</f>
        <v>0.981</v>
      </c>
      <c r="BK148" s="26" cm="1">
        <f t="array" ref="BK148">IF(VLOOKUP($R148,武学奇术!$A:$ZZ,23,FALSE)=1,100%,MIN(80%,$B$9+VLOOKUP($R148,武学奇术!$A:$ZZ,17,FALSE)+SUM(_xlfn.XLOOKUP(S148:AG148,增益!$A:$A,增益!$Q:$Q,0)))+$B$11+SUM(_xlfn.XLOOKUP(S148:AG148,增益!$A:$A,增益!$U:$U,0)))*IF(VLOOKUP($R148,武学奇术!$A:$ZZ,24,FALSE)=1,0,1)</f>
        <v>0.846</v>
      </c>
      <c r="BL148" s="26" cm="1">
        <f t="array" ref="BL148">1+$B$13+VLOOKUP($R148,武学奇术!$A:$ZZ,18,FALSE)+SUM(_xlfn.XLOOKUP(S148:AG148,增益!$A:$A,增益!$R:$R,0))</f>
        <v>2.06</v>
      </c>
      <c r="BM148" s="26" cm="1">
        <f t="array" ref="BM148">IF(VLOOKUP($R148,武学奇术!$A:$ZZ,24,FALSE)=1,100%,MIN(40%,$B$10+VLOOKUP($R148,武学奇术!$A:$ZZ,19,FALSE)+SUM(_xlfn.XLOOKUP(S148:AG148,增益!$A:$A,增益!$S:$S,0)))+$B$12+SUM(_xlfn.XLOOKUP(S148:AG148,增益!$A:$A,增益!$V:$V,0)))*IF(VLOOKUP($R148,武学奇术!$A:$ZZ,23,FALSE)=1,0,1)</f>
        <v>0.0929</v>
      </c>
      <c r="BN148" s="26" cm="1">
        <f t="array" ref="BN148">1+$B$14+VLOOKUP($R148,武学奇术!$A:$ZZ,20,FALSE)+SUM(_xlfn.XLOOKUP(S148:AG148,增益!$A:$A,增益!$T:$T,0))</f>
        <v>1.35</v>
      </c>
      <c r="BO148" s="26">
        <f t="shared" si="93"/>
        <v>0.829926</v>
      </c>
      <c r="BP148" s="26">
        <f t="shared" si="94"/>
        <v>0.0599391</v>
      </c>
      <c r="BQ148" s="26">
        <f>IF(VLOOKUP($R148,武学奇术!$A:$ZZ,22,FALSE)=1,0,(1-$BJ148))*(1-$BM148)</f>
        <v>0.0172349</v>
      </c>
      <c r="BR148" s="26" cm="1">
        <f t="array" ref="BR148">SUM(_xlfn.XLOOKUP(S148:AG148,增益!$A:$A,增益!$W:$W,0))+$I$5</f>
        <v>0.31</v>
      </c>
    </row>
    <row r="149" spans="11:70">
      <c r="K149">
        <f>$L149*VLOOKUP($R149,武学奇术!$A:$ZZ,31,FALSE)</f>
        <v>60923.7896741927</v>
      </c>
      <c r="L149" s="38">
        <f>($M149*$BO149+$N149*$BM149+$O149*$BP149+$P149*$BQ149)</f>
        <v>58022.6568325645</v>
      </c>
      <c r="M149" s="38">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BL149*$Q149*(1+IF(VLOOKUP($R149,武学奇术!$A:$ZZ,30,FALSE)="回旋伞",$B$21,0))*(1+$BR149)</f>
        <v>62020.2989487233</v>
      </c>
      <c r="N149" s="38">
        <f>(($AP149*$AI149+$AJ149)*(1+$AQ149)*(1+$AR149)+($AU149*IF($G$1="鸣金",$AK149,$AI149)+IF($G$1="鸣金",$AL149*1.5,0))*(1+$AV149)*(1+$AW149)+($AY149*IF($G$1="裂石",$AK149,$AI149)+IF($G$1="裂石",$AL149*1.5,0))*(1+$AZ149)*(1+$BA149)+($BC149*IF($G$1="牵丝",$AK149,$AI149)+IF($G$1="牵丝",$AL149*1.5,0))*(1+$BD149)*(1+$BE149)+($BG149*IF($G$1="破竹",$AK149,$AI149)+IF($G$1="破竹",$AL149*1.5,0))*(1+$BH149)*(1+$BI149))*(1+$AM149)*$BN149*$Q149*(1+IF(VLOOKUP($R149,武学奇术!$A:$ZZ,30,FALSE)="回旋伞",$B$21,0))*(1+$BR149)</f>
        <v>46273.2725668503</v>
      </c>
      <c r="O149" s="38">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Q149*(1+IF(VLOOKUP($R149,武学奇术!$A:$ZZ,30,FALSE)="回旋伞",$B$21,0))*(1+$BR149)</f>
        <v>30106.9412372443</v>
      </c>
      <c r="P149" s="38">
        <f>((($AO149*$AI149+$AJ149)*(1+$AQ149)*(1+$AR149)+($AT149*IF($G$1="鸣金",$AK149,$AI149)+IF($G$1="鸣金",$AL149*1.5,0))*(1+$AV149)*(1+$AW149)+($AX149*IF($G$1="裂石",$AK149,$AI149)+IF($G$1="裂石",$AL149*1.5,0))*(1+$AZ149)*(1+$BA149)+($BB149*IF($G$1="牵丝",$AK149,$AI149)+IF($G$1="牵丝",$AL149*1.5,0))*(1+$BD149)*(1+$BE149)+($BF149*IF($G$1="破竹",$AK149,$AI149)+IF($G$1="破竹",$AL149*1.5,0))*(1+$BH149)*(1+$BI149))*(1+$AM149))*$Q149*(1+IF(VLOOKUP($R149,武学奇术!$A:$ZZ,30,FALSE)="回旋伞",$B$21,0))*(1+$BR149)</f>
        <v>25937.3842768218</v>
      </c>
      <c r="Q149" s="39">
        <v>2</v>
      </c>
      <c r="R149" s="40" t="s">
        <v>112</v>
      </c>
      <c r="S149" s="40" t="s">
        <v>109</v>
      </c>
      <c r="T149" s="40" t="s">
        <v>95</v>
      </c>
      <c r="U149" s="40" t="s">
        <v>73</v>
      </c>
      <c r="V149" s="40" t="s">
        <v>81</v>
      </c>
      <c r="W149" s="40" t="s">
        <v>172</v>
      </c>
      <c r="X149" s="40" t="s">
        <v>99</v>
      </c>
      <c r="Y149" s="40" t="s">
        <v>84</v>
      </c>
      <c r="Z149" s="40" t="s">
        <v>176</v>
      </c>
      <c r="AA149" s="40" t="s">
        <v>177</v>
      </c>
      <c r="AB149" s="40" t="s">
        <v>126</v>
      </c>
      <c r="AC149" s="40" t="s">
        <v>85</v>
      </c>
      <c r="AD149" s="40" t="s">
        <v>178</v>
      </c>
      <c r="AE149" s="40" t="s">
        <v>72</v>
      </c>
      <c r="AF149" s="40" t="s">
        <v>77</v>
      </c>
      <c r="AG149" s="40" t="s">
        <v>78</v>
      </c>
      <c r="AH149" t="str">
        <f>VLOOKUP($R149,武学奇术!$A:$ZZ,25,FALSE)</f>
        <v>伞</v>
      </c>
      <c r="AI149" s="26">
        <f>VLOOKUP($R149,武学奇术!$A:$ZZ,26,FALSE)</f>
        <v>0.54</v>
      </c>
      <c r="AJ149" s="27">
        <f>VLOOKUP($R149,武学奇术!$A:$ZZ,27,FALSE)*(1+IF(OR($AH149=$F$4,$AH149=$F$5),$B$22,0))</f>
        <v>0</v>
      </c>
      <c r="AK149" s="26">
        <f>VLOOKUP($R149,武学奇术!$A:$ZZ,28,FALSE)</f>
        <v>0.81</v>
      </c>
      <c r="AL149" s="27">
        <f>VLOOKUP($R149,武学奇术!$A:$ZZ,29,FALSE)*(1+IF(OR($AH149=$F$4,$AH149=$F$5),$B$22,0))</f>
        <v>0</v>
      </c>
      <c r="AM149" s="26" cm="1">
        <f t="array" ref="AM149">$G$3+IFERROR(VLOOKUP($AH149,$F$4:$G$7,2,FALSE),0)+VLOOKUP($R149,武学奇术!$A:$ZZ,2,FALSE)+SUM(_xlfn.XLOOKUP($S149:$AG149,增益!$A:$A,增益!$B:$B,0))</f>
        <v>1.0541</v>
      </c>
      <c r="AN149" s="26" cm="1">
        <f t="array" ref="AN149">VLOOKUP($R149,武学奇术!$A:$ZZ,5,FALSE)+SUM(_xlfn.XLOOKUP($S149:$AG149,增益!$A:$A,增益!$E:$E,0))</f>
        <v>0</v>
      </c>
      <c r="AO149" cm="1">
        <f t="array" ref="AO149">$D$10*(1+$AN149)+VLOOKUP($R149,武学奇术!$A:$ZZ,3,FALSE)+SUM(_xlfn.XLOOKUP($S149:$AG149,增益!$A:$A,增益!$C:$C,0))-$I$2</f>
        <v>3624.6</v>
      </c>
      <c r="AP149" cm="1">
        <f t="array" ref="AP149">$E$10*(1+$AN149)+VLOOKUP($R149,武学奇术!$A:$ZZ,4,FALSE)+SUM(_xlfn.XLOOKUP($S149:$AG149,增益!$A:$A,增益!$D:$D,0))-$I$2</f>
        <v>3624.6</v>
      </c>
      <c r="AQ149" s="32" cm="1">
        <f t="array" ref="AQ149">IF($F$10-$I$3+VLOOKUP($R149,武学奇术!$A:$ZZ,6,FALSE)+SUM(_xlfn.XLOOKUP(S149:AG149,增益!$A:$A,增益!$F:$F,0))&gt;0,($F$10-$I$3+VLOOKUP($R149,武学奇术!$A:$ZZ,6,FALSE)+SUM(_xlfn.XLOOKUP(S149:AG149,增益!$A:$A,增益!$F:$F,0)))/200,($F$10-$I$3+VLOOKUP($R149,武学奇术!$A:$ZZ,6,FALSE)+SUM(_xlfn.XLOOKUP(S149:AG149,增益!$A:$A,增益!$F:$F,0)))/100)</f>
        <v>0.3425</v>
      </c>
      <c r="AR149" s="32" cm="1">
        <f t="array" ref="AR149">$G$10+VLOOKUP($R149,武学奇术!$A:$ZZ,7,FALSE)+SUM(_xlfn.XLOOKUP(S149:AG149,增益!$A:$A,增益!$G:$G,0))</f>
        <v>0.148</v>
      </c>
      <c r="AS149" s="26" cm="1">
        <f t="array" ref="AS149">VLOOKUP($R149,武学奇术!$A:$ZZ,8,FALSE)+SUM(_xlfn.XLOOKUP(S149:AG149,增益!$A:$A,增益!$H:$H,0))</f>
        <v>0</v>
      </c>
      <c r="AT149">
        <f t="shared" si="85"/>
        <v>0</v>
      </c>
      <c r="AU149">
        <f t="shared" si="86"/>
        <v>0</v>
      </c>
      <c r="AV149" s="32" cm="1">
        <f t="array" ref="AV149">IF($F$11-$I$4+VLOOKUP($R149,武学奇术!$A:$ZZ,9,FALSE)+SUM(_xlfn.XLOOKUP(S149:AG149,增益!$A:$A,增益!$I:$I,0))&gt;0,($F$11-$I$4+VLOOKUP($R149,武学奇术!$A:$ZZ,9,FALSE)+SUM(_xlfn.XLOOKUP(S149:AG149,增益!$A:$A,增益!$I:$I,0)))/200,($F$11-$I$4+VLOOKUP($R149,武学奇术!$A:$ZZ,9,FALSE)+SUM(_xlfn.XLOOKUP(S149:AG149,增益!$A:$A,增益!$I:$I,0)))/100)</f>
        <v>-0.14</v>
      </c>
      <c r="AW149" s="32" cm="1">
        <f t="array" ref="AW149">$G$11+VLOOKUP($R149,武学奇术!$A:$ZZ,10,FALSE)+SUM(_xlfn.XLOOKUP(S149:AG149,增益!$A:$A,增益!$J:$J,0))</f>
        <v>0.1</v>
      </c>
      <c r="AX149">
        <f t="shared" si="87"/>
        <v>0</v>
      </c>
      <c r="AY149">
        <f t="shared" si="88"/>
        <v>0</v>
      </c>
      <c r="AZ149" s="32" cm="1">
        <f t="array" ref="AZ149">IF($F$12-$I$4+VLOOKUP($R149,武学奇术!$A:$ZZ,11,FALSE)+SUM(_xlfn.XLOOKUP(S149:AG149,增益!$A:$A,增益!$K:$K,0))&gt;0,($F$12-$I$4+VLOOKUP($R149,武学奇术!$A:$ZZ,11,FALSE)+SUM(_xlfn.XLOOKUP(S149:AG149,增益!$A:$A,增益!$K:$K,0)))/200,($F$12-$I$4+VLOOKUP($R149,武学奇术!$A:$ZZ,11,FALSE)+SUM(_xlfn.XLOOKUP(S149:AG149,增益!$A:$A,增益!$K:$K,0)))/100)</f>
        <v>-0.14</v>
      </c>
      <c r="BA149" s="32" cm="1">
        <f t="array" ref="BA149">$G$12+VLOOKUP($R149,武学奇术!$A:$ZZ,12,FALSE)+SUM(_xlfn.XLOOKUP(S149:AG149,增益!$A:$A,增益!$L:$L,0))</f>
        <v>0</v>
      </c>
      <c r="BB149">
        <f t="shared" si="89"/>
        <v>0</v>
      </c>
      <c r="BC149">
        <f t="shared" si="90"/>
        <v>0</v>
      </c>
      <c r="BD149" s="32" cm="1">
        <f t="array" ref="BD149">IF($F$13-$I$4+VLOOKUP($R149,武学奇术!$A:$ZZ,13,FALSE)+SUM(_xlfn.XLOOKUP(S149:AG149,增益!$A:$A,增益!$M:$M,0))&gt;0,($F$13-$I$4+VLOOKUP($R149,武学奇术!$A:$ZZ,13,FALSE)+SUM(_xlfn.XLOOKUP(S149:AG149,增益!$A:$A,增益!$K:$K,0)))/200,($F$13-$I$4+VLOOKUP($R149,武学奇术!$A:$ZZ,13,FALSE)+SUM(_xlfn.XLOOKUP(S149:AG149,增益!$A:$A,增益!$M:$M,0)))/100)</f>
        <v>-0.14</v>
      </c>
      <c r="BE149" s="32" cm="1">
        <f t="array" ref="BE149">$G$13+VLOOKUP($R149,武学奇术!$A:$ZZ,14,FALSE)+SUM(_xlfn.XLOOKUP(S149:AG149,增益!$A:$A,增益!$N:$N,0))</f>
        <v>0</v>
      </c>
      <c r="BF149">
        <f t="shared" si="91"/>
        <v>571.2</v>
      </c>
      <c r="BG149">
        <f t="shared" si="92"/>
        <v>1627.8</v>
      </c>
      <c r="BH149" s="32" cm="1">
        <f t="array" ref="BH149">IF($F$14-$I$4+VLOOKUP($R149,武学奇术!$A:$ZZ,15,FALSE)+SUM(_xlfn.XLOOKUP(S149:AG149,增益!$A:$A,增益!$O:$O,0))&gt;0,($F$14-$I$4+VLOOKUP($R149,武学奇术!$A:$ZZ,15,FALSE)+SUM(_xlfn.XLOOKUP(S149:AG149,增益!$A:$A,增益!$O:$O,0)))/200,($F$14-$I$4+VLOOKUP($R149,武学奇术!$A:$ZZ,15,FALSE)+SUM(_xlfn.XLOOKUP(S149:AG149,增益!$A:$A,增益!$O:$O,0)))/100)</f>
        <v>0.08</v>
      </c>
      <c r="BI149" s="32" cm="1">
        <f t="array" ref="BI149">$G$14+VLOOKUP($R149,武学奇术!$A:$ZZ,16,FALSE)+SUM(_xlfn.XLOOKUP(S149:AG149,增益!$A:$A,增益!$P:$P,0))</f>
        <v>0.27</v>
      </c>
      <c r="BJ149" s="26">
        <f>MIN(IF(VLOOKUP($R149,武学奇术!$A:$ZZ,23,FALSE)=1,100%,$B$8),100%)</f>
        <v>0.981</v>
      </c>
      <c r="BK149" s="26" cm="1">
        <f t="array" ref="BK149">IF(VLOOKUP($R149,武学奇术!$A:$ZZ,23,FALSE)=1,100%,MIN(80%,$B$9+VLOOKUP($R149,武学奇术!$A:$ZZ,17,FALSE)+SUM(_xlfn.XLOOKUP(S149:AG149,增益!$A:$A,增益!$Q:$Q,0)))+$B$11+SUM(_xlfn.XLOOKUP(S149:AG149,增益!$A:$A,增益!$U:$U,0)))*IF(VLOOKUP($R149,武学奇术!$A:$ZZ,24,FALSE)=1,0,1)</f>
        <v>0.846</v>
      </c>
      <c r="BL149" s="26" cm="1">
        <f t="array" ref="BL149">1+$B$13+VLOOKUP($R149,武学奇术!$A:$ZZ,18,FALSE)+SUM(_xlfn.XLOOKUP(S149:AG149,增益!$A:$A,增益!$R:$R,0))</f>
        <v>2.06</v>
      </c>
      <c r="BM149" s="26" cm="1">
        <f t="array" ref="BM149">IF(VLOOKUP($R149,武学奇术!$A:$ZZ,24,FALSE)=1,100%,MIN(40%,$B$10+VLOOKUP($R149,武学奇术!$A:$ZZ,19,FALSE)+SUM(_xlfn.XLOOKUP(S149:AG149,增益!$A:$A,增益!$S:$S,0)))+$B$12+SUM(_xlfn.XLOOKUP(S149:AG149,增益!$A:$A,增益!$V:$V,0)))*IF(VLOOKUP($R149,武学奇术!$A:$ZZ,23,FALSE)=1,0,1)</f>
        <v>0.0929</v>
      </c>
      <c r="BN149" s="26" cm="1">
        <f t="array" ref="BN149">1+$B$14+VLOOKUP($R149,武学奇术!$A:$ZZ,20,FALSE)+SUM(_xlfn.XLOOKUP(S149:AG149,增益!$A:$A,增益!$T:$T,0))</f>
        <v>1.35</v>
      </c>
      <c r="BO149" s="26">
        <f t="shared" si="93"/>
        <v>0.829926</v>
      </c>
      <c r="BP149" s="26">
        <f t="shared" si="94"/>
        <v>0.0599391</v>
      </c>
      <c r="BQ149" s="26">
        <f>IF(VLOOKUP($R149,武学奇术!$A:$ZZ,22,FALSE)=1,0,(1-$BJ149))*(1-$BM149)</f>
        <v>0.0172349</v>
      </c>
      <c r="BR149" s="26" cm="1">
        <f t="array" ref="BR149">SUM(_xlfn.XLOOKUP(S149:AG149,增益!$A:$A,增益!$W:$W,0))+$I$5</f>
        <v>0.31</v>
      </c>
    </row>
    <row r="150" spans="11:70">
      <c r="K150">
        <f>$L150*VLOOKUP($R150,武学奇术!$A:$ZZ,31,FALSE)</f>
        <v>83524.3819935627</v>
      </c>
      <c r="L150" s="38">
        <f>($M150*$BO150+$N150*$BM150+$O150*$BP150+$P150*$BQ150)</f>
        <v>79547.0304700597</v>
      </c>
      <c r="M150" s="38">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BL150*$Q150*(1+IF(VLOOKUP($R150,武学奇术!$A:$ZZ,30,FALSE)="回旋伞",$B$21,0))*(1+$BR150)</f>
        <v>79547.0304700597</v>
      </c>
      <c r="N150" s="38">
        <f>(($AP150*$AI150+$AJ150)*(1+$AQ150)*(1+$AR150)+($AU150*IF($G$1="鸣金",$AK150,$AI150)+IF($G$1="鸣金",$AL150*1.5,0))*(1+$AV150)*(1+$AW150)+($AY150*IF($G$1="裂石",$AK150,$AI150)+IF($G$1="裂石",$AL150*1.5,0))*(1+$AZ150)*(1+$BA150)+($BC150*IF($G$1="牵丝",$AK150,$AI150)+IF($G$1="牵丝",$AL150*1.5,0))*(1+$BD150)*(1+$BE150)+($BG150*IF($G$1="破竹",$AK150,$AI150)+IF($G$1="破竹",$AL150*1.5,0))*(1+$BH150)*(1+$BI150))*(1+$AM150)*$BN150*$Q150*(1+IF(VLOOKUP($R150,武学奇术!$A:$ZZ,30,FALSE)="回旋伞",$B$21,0))*(1+$BR150)</f>
        <v>63101.7544495827</v>
      </c>
      <c r="O150" s="38">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Q150*(1+IF(VLOOKUP($R150,武学奇术!$A:$ZZ,30,FALSE)="回旋伞",$B$21,0))*(1+$BR150)</f>
        <v>41647.6599319684</v>
      </c>
      <c r="P150" s="38">
        <f>((($AO150*$AI150+$AJ150)*(1+$AQ150)*(1+$AR150)+($AT150*IF($G$1="鸣金",$AK150,$AI150)+IF($G$1="鸣金",$AL150*1.5,0))*(1+$AV150)*(1+$AW150)+($AX150*IF($G$1="裂石",$AK150,$AI150)+IF($G$1="裂石",$AL150*1.5,0))*(1+$AZ150)*(1+$BA150)+($BB150*IF($G$1="牵丝",$AK150,$AI150)+IF($G$1="牵丝",$AL150*1.5,0))*(1+$BD150)*(1+$BE150)+($BF150*IF($G$1="破竹",$AK150,$AI150)+IF($G$1="破竹",$AL150*1.5,0))*(1+$BH150)*(1+$BI150))*(1+$AM150))*$Q150*(1+IF(VLOOKUP($R150,武学奇术!$A:$ZZ,30,FALSE)="回旋伞",$B$21,0))*(1+$BR150)</f>
        <v>36553.2795309127</v>
      </c>
      <c r="Q150" s="39">
        <v>1</v>
      </c>
      <c r="R150" s="40" t="s">
        <v>166</v>
      </c>
      <c r="S150" s="40" t="s">
        <v>72</v>
      </c>
      <c r="T150" s="40" t="s">
        <v>95</v>
      </c>
      <c r="U150" s="40" t="s">
        <v>73</v>
      </c>
      <c r="V150" s="40" t="s">
        <v>81</v>
      </c>
      <c r="W150" s="40" t="s">
        <v>172</v>
      </c>
      <c r="X150" s="40" t="s">
        <v>99</v>
      </c>
      <c r="Y150" s="40" t="s">
        <v>84</v>
      </c>
      <c r="Z150" s="40" t="s">
        <v>176</v>
      </c>
      <c r="AA150" s="40" t="s">
        <v>177</v>
      </c>
      <c r="AB150" s="40" t="s">
        <v>72</v>
      </c>
      <c r="AC150" s="40" t="s">
        <v>91</v>
      </c>
      <c r="AD150" s="40" t="s">
        <v>178</v>
      </c>
      <c r="AE150" s="40" t="s">
        <v>72</v>
      </c>
      <c r="AF150" s="40" t="s">
        <v>77</v>
      </c>
      <c r="AG150" s="40" t="s">
        <v>78</v>
      </c>
      <c r="AH150" t="str">
        <f>VLOOKUP($R150,武学奇术!$A:$ZZ,25,FALSE)</f>
        <v>绳镖</v>
      </c>
      <c r="AI150" s="26">
        <f>VLOOKUP($R150,武学奇术!$A:$ZZ,26,FALSE)</f>
        <v>2.2987</v>
      </c>
      <c r="AJ150" s="27">
        <f>VLOOKUP($R150,武学奇术!$A:$ZZ,27,FALSE)*(1+IF(OR($AH150=$F$4,$AH150=$F$5),$B$22,0))</f>
        <v>955.5</v>
      </c>
      <c r="AK150" s="26">
        <f>VLOOKUP($R150,武学奇术!$A:$ZZ,28,FALSE)</f>
        <v>3.448</v>
      </c>
      <c r="AL150" s="27">
        <f>VLOOKUP($R150,武学奇术!$A:$ZZ,29,FALSE)*(1+IF(OR($AH150=$F$4,$AH150=$F$5),$B$22,0))</f>
        <v>520.5</v>
      </c>
      <c r="AM150" s="26" cm="1">
        <f t="array" ref="AM150">$G$3+IFERROR(VLOOKUP($AH150,$F$4:$G$7,2,FALSE),0)+VLOOKUP($R150,武学奇术!$A:$ZZ,2,FALSE)+SUM(_xlfn.XLOOKUP($S150:$AG150,增益!$A:$A,增益!$B:$B,0))</f>
        <v>0.7189</v>
      </c>
      <c r="AN150" s="26" cm="1">
        <f t="array" ref="AN150">VLOOKUP($R150,武学奇术!$A:$ZZ,5,FALSE)+SUM(_xlfn.XLOOKUP($S150:$AG150,增益!$A:$A,增益!$E:$E,0))</f>
        <v>0</v>
      </c>
      <c r="AO150" cm="1">
        <f t="array" ref="AO150">$D$10*(1+$AN150)+VLOOKUP($R150,武学奇术!$A:$ZZ,3,FALSE)+SUM(_xlfn.XLOOKUP($S150:$AG150,增益!$A:$A,增益!$C:$C,0))-$I$2</f>
        <v>3624.6</v>
      </c>
      <c r="AP150" cm="1">
        <f t="array" ref="AP150">$E$10*(1+$AN150)+VLOOKUP($R150,武学奇术!$A:$ZZ,4,FALSE)+SUM(_xlfn.XLOOKUP($S150:$AG150,增益!$A:$A,增益!$D:$D,0))-$I$2</f>
        <v>3624.6</v>
      </c>
      <c r="AQ150" s="32" cm="1">
        <f t="array" ref="AQ150">IF($F$10-$I$3+VLOOKUP($R150,武学奇术!$A:$ZZ,6,FALSE)+SUM(_xlfn.XLOOKUP(S150:AG150,增益!$A:$A,增益!$F:$F,0))&gt;0,($F$10-$I$3+VLOOKUP($R150,武学奇术!$A:$ZZ,6,FALSE)+SUM(_xlfn.XLOOKUP(S150:AG150,增益!$A:$A,增益!$F:$F,0)))/200,($F$10-$I$3+VLOOKUP($R150,武学奇术!$A:$ZZ,6,FALSE)+SUM(_xlfn.XLOOKUP(S150:AG150,增益!$A:$A,增益!$F:$F,0)))/100)</f>
        <v>0.3425</v>
      </c>
      <c r="AR150" s="32" cm="1">
        <f t="array" ref="AR150">$G$10+VLOOKUP($R150,武学奇术!$A:$ZZ,7,FALSE)+SUM(_xlfn.XLOOKUP(S150:AG150,增益!$A:$A,增益!$G:$G,0))</f>
        <v>0.028</v>
      </c>
      <c r="AS150" s="26" cm="1">
        <f t="array" ref="AS150">VLOOKUP($R150,武学奇术!$A:$ZZ,8,FALSE)+SUM(_xlfn.XLOOKUP(S150:AG150,增益!$A:$A,增益!$H:$H,0))</f>
        <v>0</v>
      </c>
      <c r="AT150">
        <f>$D$11*(1+$AS150)</f>
        <v>0</v>
      </c>
      <c r="AU150">
        <f>$E$11*(1+$AS150)</f>
        <v>0</v>
      </c>
      <c r="AV150" s="32" cm="1">
        <f t="array" ref="AV150">IF($F$11-$I$4+VLOOKUP($R150,武学奇术!$A:$ZZ,9,FALSE)+SUM(_xlfn.XLOOKUP(S150:AG150,增益!$A:$A,增益!$I:$I,0))&gt;0,($F$11-$I$4+VLOOKUP($R150,武学奇术!$A:$ZZ,9,FALSE)+SUM(_xlfn.XLOOKUP(S150:AG150,增益!$A:$A,增益!$I:$I,0)))/200,($F$11-$I$4+VLOOKUP($R150,武学奇术!$A:$ZZ,9,FALSE)+SUM(_xlfn.XLOOKUP(S150:AG150,增益!$A:$A,增益!$I:$I,0)))/100)</f>
        <v>-0.14</v>
      </c>
      <c r="AW150" s="32" cm="1">
        <f t="array" ref="AW150">$G$11+VLOOKUP($R150,武学奇术!$A:$ZZ,10,FALSE)+SUM(_xlfn.XLOOKUP(S150:AG150,增益!$A:$A,增益!$J:$J,0))</f>
        <v>0.1</v>
      </c>
      <c r="AX150">
        <f>$D$12*(1+$AS150)</f>
        <v>0</v>
      </c>
      <c r="AY150">
        <f>$E$12*(1+$AS150)</f>
        <v>0</v>
      </c>
      <c r="AZ150" s="32" cm="1">
        <f t="array" ref="AZ150">IF($F$12-$I$4+VLOOKUP($R150,武学奇术!$A:$ZZ,11,FALSE)+SUM(_xlfn.XLOOKUP(S150:AG150,增益!$A:$A,增益!$K:$K,0))&gt;0,($F$12-$I$4+VLOOKUP($R150,武学奇术!$A:$ZZ,11,FALSE)+SUM(_xlfn.XLOOKUP(S150:AG150,增益!$A:$A,增益!$K:$K,0)))/200,($F$12-$I$4+VLOOKUP($R150,武学奇术!$A:$ZZ,11,FALSE)+SUM(_xlfn.XLOOKUP(S150:AG150,增益!$A:$A,增益!$K:$K,0)))/100)</f>
        <v>-0.14</v>
      </c>
      <c r="BA150" s="32" cm="1">
        <f t="array" ref="BA150">$G$12+VLOOKUP($R150,武学奇术!$A:$ZZ,12,FALSE)+SUM(_xlfn.XLOOKUP(S150:AG150,增益!$A:$A,增益!$L:$L,0))</f>
        <v>0</v>
      </c>
      <c r="BB150">
        <f>$D$13*(1+$AS150)</f>
        <v>0</v>
      </c>
      <c r="BC150">
        <f>$E$13*(1+$AS150)</f>
        <v>0</v>
      </c>
      <c r="BD150" s="32" cm="1">
        <f t="array" ref="BD150">IF($F$13-$I$4+VLOOKUP($R150,武学奇术!$A:$ZZ,13,FALSE)+SUM(_xlfn.XLOOKUP(S150:AG150,增益!$A:$A,增益!$M:$M,0))&gt;0,($F$13-$I$4+VLOOKUP($R150,武学奇术!$A:$ZZ,13,FALSE)+SUM(_xlfn.XLOOKUP(S150:AG150,增益!$A:$A,增益!$K:$K,0)))/200,($F$13-$I$4+VLOOKUP($R150,武学奇术!$A:$ZZ,13,FALSE)+SUM(_xlfn.XLOOKUP(S150:AG150,增益!$A:$A,增益!$M:$M,0)))/100)</f>
        <v>-0.14</v>
      </c>
      <c r="BE150" s="32" cm="1">
        <f t="array" ref="BE150">$G$13+VLOOKUP($R150,武学奇术!$A:$ZZ,14,FALSE)+SUM(_xlfn.XLOOKUP(S150:AG150,增益!$A:$A,增益!$N:$N,0))</f>
        <v>0</v>
      </c>
      <c r="BF150">
        <f>$D$14*(1+$AS150)</f>
        <v>571.2</v>
      </c>
      <c r="BG150">
        <f>$E$14*(1+$AS150)</f>
        <v>1627.8</v>
      </c>
      <c r="BH150" s="32" cm="1">
        <f t="array" ref="BH150">IF($F$14-$I$4+VLOOKUP($R150,武学奇术!$A:$ZZ,15,FALSE)+SUM(_xlfn.XLOOKUP(S150:AG150,增益!$A:$A,增益!$O:$O,0))&gt;0,($F$14-$I$4+VLOOKUP($R150,武学奇术!$A:$ZZ,15,FALSE)+SUM(_xlfn.XLOOKUP(S150:AG150,增益!$A:$A,增益!$O:$O,0)))/200,($F$14-$I$4+VLOOKUP($R150,武学奇术!$A:$ZZ,15,FALSE)+SUM(_xlfn.XLOOKUP(S150:AG150,增益!$A:$A,增益!$O:$O,0)))/100)</f>
        <v>0.08</v>
      </c>
      <c r="BI150" s="32" cm="1">
        <f t="array" ref="BI150">$G$14+VLOOKUP($R150,武学奇术!$A:$ZZ,16,FALSE)+SUM(_xlfn.XLOOKUP(S150:AG150,增益!$A:$A,增益!$P:$P,0))</f>
        <v>0.15</v>
      </c>
      <c r="BJ150" s="26">
        <f>MIN(IF(VLOOKUP($R150,武学奇术!$A:$ZZ,23,FALSE)=1,100%,$B$8),100%)</f>
        <v>1</v>
      </c>
      <c r="BK150" s="26" cm="1">
        <f t="array" ref="BK150">IF(VLOOKUP($R150,武学奇术!$A:$ZZ,23,FALSE)=1,100%,MIN(80%,$B$9+VLOOKUP($R150,武学奇术!$A:$ZZ,17,FALSE)+SUM(_xlfn.XLOOKUP(S150:AG150,增益!$A:$A,增益!$Q:$Q,0)))+$B$11+SUM(_xlfn.XLOOKUP(S150:AG150,增益!$A:$A,增益!$U:$U,0)))*IF(VLOOKUP($R150,武学奇术!$A:$ZZ,24,FALSE)=1,0,1)</f>
        <v>1</v>
      </c>
      <c r="BL150" s="26" cm="1">
        <f t="array" ref="BL150">1+$B$13+VLOOKUP($R150,武学奇术!$A:$ZZ,18,FALSE)+SUM(_xlfn.XLOOKUP(S150:AG150,增益!$A:$A,增益!$R:$R,0))</f>
        <v>1.91</v>
      </c>
      <c r="BM150" s="26" cm="1">
        <f t="array" ref="BM150">IF(VLOOKUP($R150,武学奇术!$A:$ZZ,24,FALSE)=1,100%,MIN(40%,$B$10+VLOOKUP($R150,武学奇术!$A:$ZZ,19,FALSE)+SUM(_xlfn.XLOOKUP(S150:AG150,增益!$A:$A,增益!$S:$S,0)))+$B$12+SUM(_xlfn.XLOOKUP(S150:AG150,增益!$A:$A,增益!$V:$V,0)))*IF(VLOOKUP($R150,武学奇术!$A:$ZZ,23,FALSE)=1,0,1)</f>
        <v>0</v>
      </c>
      <c r="BN150" s="26" cm="1">
        <f t="array" ref="BN150">1+$B$14+VLOOKUP($R150,武学奇术!$A:$ZZ,20,FALSE)+SUM(_xlfn.XLOOKUP(S150:AG150,增益!$A:$A,增益!$T:$T,0))</f>
        <v>1.35</v>
      </c>
      <c r="BO150" s="26">
        <f>MIN((1-BM150)*BJ150,BJ150*BK150)</f>
        <v>1</v>
      </c>
      <c r="BP150" s="26">
        <f>1-BM150-BO150-BQ150</f>
        <v>0</v>
      </c>
      <c r="BQ150" s="26">
        <f>IF(VLOOKUP($R150,武学奇术!$A:$ZZ,22,FALSE)=1,0,(1-$BJ150))*(1-$BM150)</f>
        <v>0</v>
      </c>
      <c r="BR150" s="26" cm="1">
        <f t="array" ref="BR150">SUM(_xlfn.XLOOKUP(S150:AG150,增益!$A:$A,增益!$W:$W,0))+$I$5</f>
        <v>0.31</v>
      </c>
    </row>
    <row r="151" spans="11:70">
      <c r="K151">
        <f>$L151*VLOOKUP($R151,武学奇术!$A:$ZZ,31,FALSE)</f>
        <v>108920.070943356</v>
      </c>
      <c r="L151" s="88">
        <f>(SUM(L129:L150)+L163)*12%</f>
        <v>207466.801796868</v>
      </c>
      <c r="M151" s="38">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BL151*$Q151*(1+IF(VLOOKUP($R151,武学奇术!$A:$ZZ,30,FALSE)="回旋伞",$B$21,0))*(1+$BR151)</f>
        <v>0</v>
      </c>
      <c r="N151" s="38">
        <f>(($AP151*$AI151+$AJ151)*(1+$AQ151)*(1+$AR151)+($AU151*IF($G$1="鸣金",$AK151,$AI151)+IF($G$1="鸣金",$AL151*1.5,0))*(1+$AV151)*(1+$AW151)+($AY151*IF($G$1="裂石",$AK151,$AI151)+IF($G$1="裂石",$AL151*1.5,0))*(1+$AZ151)*(1+$BA151)+($BC151*IF($G$1="牵丝",$AK151,$AI151)+IF($G$1="牵丝",$AL151*1.5,0))*(1+$BD151)*(1+$BE151)+($BG151*IF($G$1="破竹",$AK151,$AI151)+IF($G$1="破竹",$AL151*1.5,0))*(1+$BH151)*(1+$BI151))*(1+$AM151)*$BN151*$Q151*(1+IF(VLOOKUP($R151,武学奇术!$A:$ZZ,30,FALSE)="回旋伞",$B$21,0))*(1+$BR151)</f>
        <v>0</v>
      </c>
      <c r="O151" s="38">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Q151*(1+IF(VLOOKUP($R151,武学奇术!$A:$ZZ,30,FALSE)="回旋伞",$B$21,0))*(1+$BR151)</f>
        <v>0</v>
      </c>
      <c r="P151" s="38">
        <f>((($AO151*$AI151+$AJ151)*(1+$AQ151)*(1+$AR151)+($AT151*IF($G$1="鸣金",$AK151,$AI151)+IF($G$1="鸣金",$AL151*1.5,0))*(1+$AV151)*(1+$AW151)+($AX151*IF($G$1="裂石",$AK151,$AI151)+IF($G$1="裂石",$AL151*1.5,0))*(1+$AZ151)*(1+$BA151)+($BB151*IF($G$1="牵丝",$AK151,$AI151)+IF($G$1="牵丝",$AL151*1.5,0))*(1+$BD151)*(1+$BE151)+($BF151*IF($G$1="破竹",$AK151,$AI151)+IF($G$1="破竹",$AL151*1.5,0))*(1+$BH151)*(1+$BI151))*(1+$AM151))*$Q151*(1+IF(VLOOKUP($R151,武学奇术!$A:$ZZ,30,FALSE)="回旋伞",$B$21,0))*(1+$BR151)</f>
        <v>0</v>
      </c>
      <c r="Q151" s="39">
        <v>1</v>
      </c>
      <c r="R151" s="40" t="s">
        <v>167</v>
      </c>
      <c r="S151" s="40" t="s">
        <v>72</v>
      </c>
      <c r="T151" s="40" t="s">
        <v>72</v>
      </c>
      <c r="U151" s="40" t="s">
        <v>72</v>
      </c>
      <c r="V151" s="40" t="s">
        <v>72</v>
      </c>
      <c r="W151" s="40" t="s">
        <v>72</v>
      </c>
      <c r="X151" s="40" t="s">
        <v>72</v>
      </c>
      <c r="Y151" s="40" t="s">
        <v>72</v>
      </c>
      <c r="Z151" s="40" t="s">
        <v>72</v>
      </c>
      <c r="AA151" s="40" t="s">
        <v>72</v>
      </c>
      <c r="AB151" s="40" t="s">
        <v>72</v>
      </c>
      <c r="AC151" s="40" t="s">
        <v>72</v>
      </c>
      <c r="AD151" s="40" t="s">
        <v>72</v>
      </c>
      <c r="AE151" s="40" t="s">
        <v>72</v>
      </c>
      <c r="AF151" s="40" t="s">
        <v>77</v>
      </c>
      <c r="AG151" s="40" t="s">
        <v>78</v>
      </c>
      <c r="AH151" t="str">
        <f>VLOOKUP($R151,武学奇术!$A:$ZZ,25,FALSE)</f>
        <v>心法</v>
      </c>
      <c r="AI151" s="26">
        <f>VLOOKUP($R151,武学奇术!$A:$ZZ,26,FALSE)</f>
        <v>0</v>
      </c>
      <c r="AJ151" s="27">
        <f>VLOOKUP($R151,武学奇术!$A:$ZZ,27,FALSE)*(1+IF(OR($AH151=$F$4,$AH151=$F$5),$B$22,0))</f>
        <v>0</v>
      </c>
      <c r="AK151" s="26">
        <f>VLOOKUP($R151,武学奇术!$A:$ZZ,28,FALSE)</f>
        <v>0</v>
      </c>
      <c r="AL151" s="27">
        <f>VLOOKUP($R151,武学奇术!$A:$ZZ,29,FALSE)*(1+IF(OR($AH151=$F$4,$AH151=$F$5),$B$22,0))</f>
        <v>0</v>
      </c>
      <c r="AM151" s="26" cm="1">
        <f t="array" ref="AM151">$G$3+IFERROR(VLOOKUP($AH151,$F$4:$G$7,2,FALSE),0)+VLOOKUP($R151,武学奇术!$A:$ZZ,2,FALSE)+SUM(_xlfn.XLOOKUP($S151:$AG151,增益!$A:$A,增益!$B:$B,0))</f>
        <v>0.1837</v>
      </c>
      <c r="AN151" s="26" cm="1">
        <f t="array" ref="AN151">VLOOKUP($R151,武学奇术!$A:$ZZ,5,FALSE)+SUM(_xlfn.XLOOKUP($S151:$AG151,增益!$A:$A,增益!$E:$E,0))</f>
        <v>0</v>
      </c>
      <c r="AO151" cm="1">
        <f t="array" ref="AO151">$D$10*(1+$AN151)+VLOOKUP($R151,武学奇术!$A:$ZZ,3,FALSE)+SUM(_xlfn.XLOOKUP($S151:$AG151,增益!$A:$A,增益!$C:$C,0))-$I$2</f>
        <v>3624.6</v>
      </c>
      <c r="AP151" cm="1">
        <f t="array" ref="AP151">$E$10*(1+$AN151)+VLOOKUP($R151,武学奇术!$A:$ZZ,4,FALSE)+SUM(_xlfn.XLOOKUP($S151:$AG151,增益!$A:$A,增益!$D:$D,0))-$I$2</f>
        <v>3624.6</v>
      </c>
      <c r="AQ151" s="32" cm="1">
        <f t="array" ref="AQ151">IF($F$10-$I$3+VLOOKUP($R151,武学奇术!$A:$ZZ,6,FALSE)+SUM(_xlfn.XLOOKUP(S151:AG151,增益!$A:$A,增益!$F:$F,0))&gt;0,($F$10-$I$3+VLOOKUP($R151,武学奇术!$A:$ZZ,6,FALSE)+SUM(_xlfn.XLOOKUP(S151:AG151,增益!$A:$A,增益!$F:$F,0)))/200,($F$10-$I$3+VLOOKUP($R151,武学奇术!$A:$ZZ,6,FALSE)+SUM(_xlfn.XLOOKUP(S151:AG151,增益!$A:$A,增益!$F:$F,0)))/100)</f>
        <v>0.2425</v>
      </c>
      <c r="AR151" s="32" cm="1">
        <f t="array" ref="AR151">$G$10+VLOOKUP($R151,武学奇术!$A:$ZZ,7,FALSE)+SUM(_xlfn.XLOOKUP(S151:AG151,增益!$A:$A,增益!$G:$G,0))</f>
        <v>0.028</v>
      </c>
      <c r="AS151" s="26" cm="1">
        <f t="array" ref="AS151">VLOOKUP($R151,武学奇术!$A:$ZZ,8,FALSE)+SUM(_xlfn.XLOOKUP(S151:AG151,增益!$A:$A,增益!$H:$H,0))</f>
        <v>0</v>
      </c>
      <c r="AT151">
        <f>$D$11*(1+$AS151)</f>
        <v>0</v>
      </c>
      <c r="AU151">
        <f>$E$11*(1+$AS151)</f>
        <v>0</v>
      </c>
      <c r="AV151" s="32" cm="1">
        <f t="array" ref="AV151">IF($F$11-$I$4+VLOOKUP($R151,武学奇术!$A:$ZZ,9,FALSE)+SUM(_xlfn.XLOOKUP(S151:AG151,增益!$A:$A,增益!$I:$I,0))&gt;0,($F$11-$I$4+VLOOKUP($R151,武学奇术!$A:$ZZ,9,FALSE)+SUM(_xlfn.XLOOKUP(S151:AG151,增益!$A:$A,增益!$I:$I,0)))/200,($F$11-$I$4+VLOOKUP($R151,武学奇术!$A:$ZZ,9,FALSE)+SUM(_xlfn.XLOOKUP(S151:AG151,增益!$A:$A,增益!$I:$I,0)))/100)</f>
        <v>-0.3</v>
      </c>
      <c r="AW151" s="32" cm="1">
        <f t="array" ref="AW151">$G$11+VLOOKUP($R151,武学奇术!$A:$ZZ,10,FALSE)+SUM(_xlfn.XLOOKUP(S151:AG151,增益!$A:$A,增益!$J:$J,0))</f>
        <v>0</v>
      </c>
      <c r="AX151">
        <f>$D$12*(1+$AS151)</f>
        <v>0</v>
      </c>
      <c r="AY151">
        <f>$E$12*(1+$AS151)</f>
        <v>0</v>
      </c>
      <c r="AZ151" s="32" cm="1">
        <f t="array" ref="AZ151">IF($F$12-$I$4+VLOOKUP($R151,武学奇术!$A:$ZZ,11,FALSE)+SUM(_xlfn.XLOOKUP(S151:AG151,增益!$A:$A,增益!$K:$K,0))&gt;0,($F$12-$I$4+VLOOKUP($R151,武学奇术!$A:$ZZ,11,FALSE)+SUM(_xlfn.XLOOKUP(S151:AG151,增益!$A:$A,增益!$K:$K,0)))/200,($F$12-$I$4+VLOOKUP($R151,武学奇术!$A:$ZZ,11,FALSE)+SUM(_xlfn.XLOOKUP(S151:AG151,增益!$A:$A,增益!$K:$K,0)))/100)</f>
        <v>-0.3</v>
      </c>
      <c r="BA151" s="32" cm="1">
        <f t="array" ref="BA151">$G$12+VLOOKUP($R151,武学奇术!$A:$ZZ,12,FALSE)+SUM(_xlfn.XLOOKUP(S151:AG151,增益!$A:$A,增益!$L:$L,0))</f>
        <v>0</v>
      </c>
      <c r="BB151">
        <f>$D$13*(1+$AS151)</f>
        <v>0</v>
      </c>
      <c r="BC151">
        <f>$E$13*(1+$AS151)</f>
        <v>0</v>
      </c>
      <c r="BD151" s="32" cm="1">
        <f t="array" ref="BD151">IF($F$13-$I$4+VLOOKUP($R151,武学奇术!$A:$ZZ,13,FALSE)+SUM(_xlfn.XLOOKUP(S151:AG151,增益!$A:$A,增益!$M:$M,0))&gt;0,($F$13-$I$4+VLOOKUP($R151,武学奇术!$A:$ZZ,13,FALSE)+SUM(_xlfn.XLOOKUP(S151:AG151,增益!$A:$A,增益!$K:$K,0)))/200,($F$13-$I$4+VLOOKUP($R151,武学奇术!$A:$ZZ,13,FALSE)+SUM(_xlfn.XLOOKUP(S151:AG151,增益!$A:$A,增益!$M:$M,0)))/100)</f>
        <v>-0.3</v>
      </c>
      <c r="BE151" s="32" cm="1">
        <f t="array" ref="BE151">$G$13+VLOOKUP($R151,武学奇术!$A:$ZZ,14,FALSE)+SUM(_xlfn.XLOOKUP(S151:AG151,增益!$A:$A,增益!$N:$N,0))</f>
        <v>0</v>
      </c>
      <c r="BF151">
        <f>$D$14*(1+$AS151)</f>
        <v>571.2</v>
      </c>
      <c r="BG151">
        <f>$E$14*(1+$AS151)</f>
        <v>1627.8</v>
      </c>
      <c r="BH151" s="32" cm="1">
        <f t="array" ref="BH151">IF($F$14-$I$4+VLOOKUP($R151,武学奇术!$A:$ZZ,15,FALSE)+SUM(_xlfn.XLOOKUP(S151:AG151,增益!$A:$A,增益!$O:$O,0))&gt;0,($F$14-$I$4+VLOOKUP($R151,武学奇术!$A:$ZZ,15,FALSE)+SUM(_xlfn.XLOOKUP(S151:AG151,增益!$A:$A,增益!$O:$O,0)))/200,($F$14-$I$4+VLOOKUP($R151,武学奇术!$A:$ZZ,15,FALSE)+SUM(_xlfn.XLOOKUP(S151:AG151,增益!$A:$A,增益!$O:$O,0)))/100)</f>
        <v>0</v>
      </c>
      <c r="BI151" s="32" cm="1">
        <f t="array" ref="BI151">$G$14+VLOOKUP($R151,武学奇术!$A:$ZZ,16,FALSE)+SUM(_xlfn.XLOOKUP(S151:AG151,增益!$A:$A,增益!$P:$P,0))</f>
        <v>0.15</v>
      </c>
      <c r="BJ151" s="26">
        <f>MIN(IF(VLOOKUP($R151,武学奇术!$A:$ZZ,23,FALSE)=1,100%,$B$8),100%)</f>
        <v>0.981</v>
      </c>
      <c r="BK151" s="26" cm="1">
        <f t="array" ref="BK151">IF(VLOOKUP($R151,武学奇术!$A:$ZZ,23,FALSE)=1,100%,MIN(80%,$B$9+VLOOKUP($R151,武学奇术!$A:$ZZ,17,FALSE)+SUM(_xlfn.XLOOKUP(S151:AG151,增益!$A:$A,增益!$Q:$Q,0)))+$B$11+SUM(_xlfn.XLOOKUP(S151:AG151,增益!$A:$A,增益!$U:$U,0)))*IF(VLOOKUP($R151,武学奇术!$A:$ZZ,24,FALSE)=1,0,1)</f>
        <v>0.846</v>
      </c>
      <c r="BL151" s="26" cm="1">
        <f t="array" ref="BL151">1+$B$13+VLOOKUP($R151,武学奇术!$A:$ZZ,18,FALSE)+SUM(_xlfn.XLOOKUP(S151:AG151,增益!$A:$A,增益!$R:$R,0))</f>
        <v>1.54</v>
      </c>
      <c r="BM151" s="26" cm="1">
        <f t="array" ref="BM151">IF(VLOOKUP($R151,武学奇术!$A:$ZZ,24,FALSE)=1,100%,MIN(40%,$B$10+VLOOKUP($R151,武学奇术!$A:$ZZ,19,FALSE)+SUM(_xlfn.XLOOKUP(S151:AG151,增益!$A:$A,增益!$S:$S,0)))+$B$12+SUM(_xlfn.XLOOKUP(S151:AG151,增益!$A:$A,增益!$V:$V,0)))*IF(VLOOKUP($R151,武学奇术!$A:$ZZ,23,FALSE)=1,0,1)</f>
        <v>0.0929</v>
      </c>
      <c r="BN151" s="26" cm="1">
        <f t="array" ref="BN151">1+$B$14+VLOOKUP($R151,武学奇术!$A:$ZZ,20,FALSE)+SUM(_xlfn.XLOOKUP(S151:AG151,增益!$A:$A,增益!$T:$T,0))</f>
        <v>1.35</v>
      </c>
      <c r="BO151" s="26">
        <f>MIN((1-BM151)*BJ151,BJ151*BK151)</f>
        <v>0.829926</v>
      </c>
      <c r="BP151" s="26">
        <f>1-BM151-BO151-BQ151</f>
        <v>0.0599391</v>
      </c>
      <c r="BQ151" s="26">
        <f>IF(VLOOKUP($R151,武学奇术!$A:$ZZ,22,FALSE)=1,0,(1-$BJ151))*(1-$BM151)</f>
        <v>0.0172349</v>
      </c>
      <c r="BR151" s="26" cm="1">
        <f t="array" ref="BR151">SUM(_xlfn.XLOOKUP(S151:AG151,增益!$A:$A,增益!$W:$W,0))+$I$5</f>
        <v>0.11</v>
      </c>
    </row>
    <row r="152" spans="11:70">
      <c r="K152">
        <f>$L152*VLOOKUP($R152,武学奇术!$A:$ZZ,31,FALSE)</f>
        <v>0</v>
      </c>
      <c r="L152" s="38">
        <f>($M152*$BO152+$N152*$BM152+$O152*$BP152+$P152*$BQ152)</f>
        <v>0</v>
      </c>
      <c r="M152" s="38">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BL152*$Q152*(1+IF(VLOOKUP($R152,武学奇术!$A:$ZZ,30,FALSE)="回旋伞",$B$21,0))*(1+$BR152)</f>
        <v>0</v>
      </c>
      <c r="N152" s="38">
        <f>(($AP152*$AI152+$AJ152)*(1+$AQ152)*(1+$AR152)+($AU152*IF($G$1="鸣金",$AK152,$AI152)+IF($G$1="鸣金",$AL152*1.5,0))*(1+$AV152)*(1+$AW152)+($AY152*IF($G$1="裂石",$AK152,$AI152)+IF($G$1="裂石",$AL152*1.5,0))*(1+$AZ152)*(1+$BA152)+($BC152*IF($G$1="牵丝",$AK152,$AI152)+IF($G$1="牵丝",$AL152*1.5,0))*(1+$BD152)*(1+$BE152)+($BG152*IF($G$1="破竹",$AK152,$AI152)+IF($G$1="破竹",$AL152*1.5,0))*(1+$BH152)*(1+$BI152))*(1+$AM152)*$BN152*$Q152*(1+IF(VLOOKUP($R152,武学奇术!$A:$ZZ,30,FALSE)="回旋伞",$B$21,0))*(1+$BR152)</f>
        <v>0</v>
      </c>
      <c r="O152" s="38">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Q152*(1+IF(VLOOKUP($R152,武学奇术!$A:$ZZ,30,FALSE)="回旋伞",$B$21,0))*(1+$BR152)</f>
        <v>0</v>
      </c>
      <c r="P152" s="38">
        <f>((($AO152*$AI152+$AJ152)*(1+$AQ152)*(1+$AR152)+($AT152*IF($G$1="鸣金",$AK152,$AI152)+IF($G$1="鸣金",$AL152*1.5,0))*(1+$AV152)*(1+$AW152)+($AX152*IF($G$1="裂石",$AK152,$AI152)+IF($G$1="裂石",$AL152*1.5,0))*(1+$AZ152)*(1+$BA152)+($BB152*IF($G$1="牵丝",$AK152,$AI152)+IF($G$1="牵丝",$AL152*1.5,0))*(1+$BD152)*(1+$BE152)+($BF152*IF($G$1="破竹",$AK152,$AI152)+IF($G$1="破竹",$AL152*1.5,0))*(1+$BH152)*(1+$BI152))*(1+$AM152))*$Q152*(1+IF(VLOOKUP($R152,武学奇术!$A:$ZZ,30,FALSE)="回旋伞",$B$21,0))*(1+$BR152)</f>
        <v>0</v>
      </c>
      <c r="Q152" s="39">
        <v>1</v>
      </c>
      <c r="R152" s="40" t="s">
        <v>72</v>
      </c>
      <c r="S152" s="40" t="s">
        <v>72</v>
      </c>
      <c r="T152" s="40" t="s">
        <v>72</v>
      </c>
      <c r="U152" s="40" t="s">
        <v>72</v>
      </c>
      <c r="V152" s="40" t="s">
        <v>72</v>
      </c>
      <c r="W152" s="40" t="s">
        <v>72</v>
      </c>
      <c r="X152" s="40" t="s">
        <v>72</v>
      </c>
      <c r="Y152" s="40" t="s">
        <v>72</v>
      </c>
      <c r="Z152" s="40" t="s">
        <v>72</v>
      </c>
      <c r="AA152" s="40" t="s">
        <v>72</v>
      </c>
      <c r="AB152" s="40" t="s">
        <v>72</v>
      </c>
      <c r="AC152" s="40" t="s">
        <v>72</v>
      </c>
      <c r="AD152" s="40" t="s">
        <v>72</v>
      </c>
      <c r="AE152" s="40" t="s">
        <v>72</v>
      </c>
      <c r="AF152" s="40" t="s">
        <v>77</v>
      </c>
      <c r="AG152" s="40" t="s">
        <v>78</v>
      </c>
      <c r="AH152" t="str">
        <f>VLOOKUP($R152,武学奇术!$A:$ZZ,25,FALSE)</f>
        <v>心法</v>
      </c>
      <c r="AI152" s="26">
        <f>VLOOKUP($R152,武学奇术!$A:$ZZ,26,FALSE)</f>
        <v>0</v>
      </c>
      <c r="AJ152" s="27">
        <f>VLOOKUP($R152,武学奇术!$A:$ZZ,27,FALSE)*(1+IF(OR($AH152=$F$4,$AH152=$F$5),$B$22,0))</f>
        <v>0</v>
      </c>
      <c r="AK152" s="26">
        <f>VLOOKUP($R152,武学奇术!$A:$ZZ,28,FALSE)</f>
        <v>0</v>
      </c>
      <c r="AL152" s="27">
        <f>VLOOKUP($R152,武学奇术!$A:$ZZ,29,FALSE)*(1+IF(OR($AH152=$F$4,$AH152=$F$5),$B$22,0))</f>
        <v>0</v>
      </c>
      <c r="AM152" s="26" cm="1">
        <f t="array" ref="AM152">$G$3+IFERROR(VLOOKUP($AH152,$F$4:$G$7,2,FALSE),0)+VLOOKUP($R152,武学奇术!$A:$ZZ,2,FALSE)+SUM(_xlfn.XLOOKUP($S152:$AG152,增益!$A:$A,增益!$B:$B,0))</f>
        <v>0.1837</v>
      </c>
      <c r="AN152" s="26" cm="1">
        <f t="array" ref="AN152">VLOOKUP($R152,武学奇术!$A:$ZZ,5,FALSE)+SUM(_xlfn.XLOOKUP($S152:$AG152,增益!$A:$A,增益!$E:$E,0))</f>
        <v>0</v>
      </c>
      <c r="AO152" cm="1">
        <f t="array" ref="AO152">$D$10*(1+$AN152)+VLOOKUP($R152,武学奇术!$A:$ZZ,3,FALSE)+SUM(_xlfn.XLOOKUP($S152:$AG152,增益!$A:$A,增益!$C:$C,0))-$I$2</f>
        <v>3624.6</v>
      </c>
      <c r="AP152" cm="1">
        <f t="array" ref="AP152">$E$10*(1+$AN152)+VLOOKUP($R152,武学奇术!$A:$ZZ,4,FALSE)+SUM(_xlfn.XLOOKUP($S152:$AG152,增益!$A:$A,增益!$D:$D,0))-$I$2</f>
        <v>3624.6</v>
      </c>
      <c r="AQ152" s="32" cm="1">
        <f t="array" ref="AQ152">IF($F$10-$I$3+VLOOKUP($R152,武学奇术!$A:$ZZ,6,FALSE)+SUM(_xlfn.XLOOKUP(S152:AG152,增益!$A:$A,增益!$F:$F,0))&gt;0,($F$10-$I$3+VLOOKUP($R152,武学奇术!$A:$ZZ,6,FALSE)+SUM(_xlfn.XLOOKUP(S152:AG152,增益!$A:$A,增益!$F:$F,0)))/200,($F$10-$I$3+VLOOKUP($R152,武学奇术!$A:$ZZ,6,FALSE)+SUM(_xlfn.XLOOKUP(S152:AG152,增益!$A:$A,增益!$F:$F,0)))/100)</f>
        <v>0.2425</v>
      </c>
      <c r="AR152" s="32" cm="1">
        <f t="array" ref="AR152">$G$10+VLOOKUP($R152,武学奇术!$A:$ZZ,7,FALSE)+SUM(_xlfn.XLOOKUP(S152:AG152,增益!$A:$A,增益!$G:$G,0))</f>
        <v>0.028</v>
      </c>
      <c r="AS152" s="26" cm="1">
        <f t="array" ref="AS152">VLOOKUP($R152,武学奇术!$A:$ZZ,8,FALSE)+SUM(_xlfn.XLOOKUP(S152:AG152,增益!$A:$A,增益!$H:$H,0))</f>
        <v>0</v>
      </c>
      <c r="AT152">
        <f>$D$11*(1+$AS152)</f>
        <v>0</v>
      </c>
      <c r="AU152">
        <f>$E$11*(1+$AS152)</f>
        <v>0</v>
      </c>
      <c r="AV152" s="32" cm="1">
        <f t="array" ref="AV152">IF($F$11-$I$4+VLOOKUP($R152,武学奇术!$A:$ZZ,9,FALSE)+SUM(_xlfn.XLOOKUP(S152:AG152,增益!$A:$A,增益!$I:$I,0))&gt;0,($F$11-$I$4+VLOOKUP($R152,武学奇术!$A:$ZZ,9,FALSE)+SUM(_xlfn.XLOOKUP(S152:AG152,增益!$A:$A,增益!$I:$I,0)))/200,($F$11-$I$4+VLOOKUP($R152,武学奇术!$A:$ZZ,9,FALSE)+SUM(_xlfn.XLOOKUP(S152:AG152,增益!$A:$A,增益!$I:$I,0)))/100)</f>
        <v>-0.3</v>
      </c>
      <c r="AW152" s="32" cm="1">
        <f t="array" ref="AW152">$G$11+VLOOKUP($R152,武学奇术!$A:$ZZ,10,FALSE)+SUM(_xlfn.XLOOKUP(S152:AG152,增益!$A:$A,增益!$J:$J,0))</f>
        <v>0</v>
      </c>
      <c r="AX152">
        <f>$D$12*(1+$AS152)</f>
        <v>0</v>
      </c>
      <c r="AY152">
        <f>$E$12*(1+$AS152)</f>
        <v>0</v>
      </c>
      <c r="AZ152" s="32" cm="1">
        <f t="array" ref="AZ152">IF($F$12-$I$4+VLOOKUP($R152,武学奇术!$A:$ZZ,11,FALSE)+SUM(_xlfn.XLOOKUP(S152:AG152,增益!$A:$A,增益!$K:$K,0))&gt;0,($F$12-$I$4+VLOOKUP($R152,武学奇术!$A:$ZZ,11,FALSE)+SUM(_xlfn.XLOOKUP(S152:AG152,增益!$A:$A,增益!$K:$K,0)))/200,($F$12-$I$4+VLOOKUP($R152,武学奇术!$A:$ZZ,11,FALSE)+SUM(_xlfn.XLOOKUP(S152:AG152,增益!$A:$A,增益!$K:$K,0)))/100)</f>
        <v>-0.3</v>
      </c>
      <c r="BA152" s="32" cm="1">
        <f t="array" ref="BA152">$G$12+VLOOKUP($R152,武学奇术!$A:$ZZ,12,FALSE)+SUM(_xlfn.XLOOKUP(S152:AG152,增益!$A:$A,增益!$L:$L,0))</f>
        <v>0</v>
      </c>
      <c r="BB152">
        <f>$D$13*(1+$AS152)</f>
        <v>0</v>
      </c>
      <c r="BC152">
        <f>$E$13*(1+$AS152)</f>
        <v>0</v>
      </c>
      <c r="BD152" s="32" cm="1">
        <f t="array" ref="BD152">IF($F$13-$I$4+VLOOKUP($R152,武学奇术!$A:$ZZ,13,FALSE)+SUM(_xlfn.XLOOKUP(S152:AG152,增益!$A:$A,增益!$M:$M,0))&gt;0,($F$13-$I$4+VLOOKUP($R152,武学奇术!$A:$ZZ,13,FALSE)+SUM(_xlfn.XLOOKUP(S152:AG152,增益!$A:$A,增益!$K:$K,0)))/200,($F$13-$I$4+VLOOKUP($R152,武学奇术!$A:$ZZ,13,FALSE)+SUM(_xlfn.XLOOKUP(S152:AG152,增益!$A:$A,增益!$M:$M,0)))/100)</f>
        <v>-0.3</v>
      </c>
      <c r="BE152" s="32" cm="1">
        <f t="array" ref="BE152">$G$13+VLOOKUP($R152,武学奇术!$A:$ZZ,14,FALSE)+SUM(_xlfn.XLOOKUP(S152:AG152,增益!$A:$A,增益!$N:$N,0))</f>
        <v>0</v>
      </c>
      <c r="BF152">
        <f>$D$14*(1+$AS152)</f>
        <v>571.2</v>
      </c>
      <c r="BG152">
        <f>$E$14*(1+$AS152)</f>
        <v>1627.8</v>
      </c>
      <c r="BH152" s="32" cm="1">
        <f t="array" ref="BH152">IF($F$14-$I$4+VLOOKUP($R152,武学奇术!$A:$ZZ,15,FALSE)+SUM(_xlfn.XLOOKUP(S152:AG152,增益!$A:$A,增益!$O:$O,0))&gt;0,($F$14-$I$4+VLOOKUP($R152,武学奇术!$A:$ZZ,15,FALSE)+SUM(_xlfn.XLOOKUP(S152:AG152,增益!$A:$A,增益!$O:$O,0)))/200,($F$14-$I$4+VLOOKUP($R152,武学奇术!$A:$ZZ,15,FALSE)+SUM(_xlfn.XLOOKUP(S152:AG152,增益!$A:$A,增益!$O:$O,0)))/100)</f>
        <v>0</v>
      </c>
      <c r="BI152" s="32" cm="1">
        <f t="array" ref="BI152">$G$14+VLOOKUP($R152,武学奇术!$A:$ZZ,16,FALSE)+SUM(_xlfn.XLOOKUP(S152:AG152,增益!$A:$A,增益!$P:$P,0))</f>
        <v>0.15</v>
      </c>
      <c r="BJ152" s="26">
        <f>MIN(IF(VLOOKUP($R152,武学奇术!$A:$ZZ,23,FALSE)=1,100%,$B$8),100%)</f>
        <v>0.981</v>
      </c>
      <c r="BK152" s="26" cm="1">
        <f t="array" ref="BK152">IF(VLOOKUP($R152,武学奇术!$A:$ZZ,23,FALSE)=1,100%,MIN(80%,$B$9+VLOOKUP($R152,武学奇术!$A:$ZZ,17,FALSE)+SUM(_xlfn.XLOOKUP(S152:AG152,增益!$A:$A,增益!$Q:$Q,0)))+$B$11+SUM(_xlfn.XLOOKUP(S152:AG152,增益!$A:$A,增益!$U:$U,0)))*IF(VLOOKUP($R152,武学奇术!$A:$ZZ,24,FALSE)=1,0,1)</f>
        <v>0.846</v>
      </c>
      <c r="BL152" s="26" cm="1">
        <f t="array" ref="BL152">1+$B$13+VLOOKUP($R152,武学奇术!$A:$ZZ,18,FALSE)+SUM(_xlfn.XLOOKUP(S152:AG152,增益!$A:$A,增益!$R:$R,0))</f>
        <v>1.54</v>
      </c>
      <c r="BM152" s="26" cm="1">
        <f t="array" ref="BM152">IF(VLOOKUP($R152,武学奇术!$A:$ZZ,24,FALSE)=1,100%,MIN(40%,$B$10+VLOOKUP($R152,武学奇术!$A:$ZZ,19,FALSE)+SUM(_xlfn.XLOOKUP(S152:AG152,增益!$A:$A,增益!$S:$S,0)))+$B$12+SUM(_xlfn.XLOOKUP(S152:AG152,增益!$A:$A,增益!$V:$V,0)))*IF(VLOOKUP($R152,武学奇术!$A:$ZZ,23,FALSE)=1,0,1)</f>
        <v>0.0929</v>
      </c>
      <c r="BN152" s="26" cm="1">
        <f t="array" ref="BN152">1+$B$14+VLOOKUP($R152,武学奇术!$A:$ZZ,20,FALSE)+SUM(_xlfn.XLOOKUP(S152:AG152,增益!$A:$A,增益!$T:$T,0))</f>
        <v>1.35</v>
      </c>
      <c r="BO152" s="26">
        <f>MIN((1-BM152)*BJ152,BJ152*BK152)</f>
        <v>0.829926</v>
      </c>
      <c r="BP152" s="26">
        <f>1-BM152-BO152-BQ152</f>
        <v>0.0599391</v>
      </c>
      <c r="BQ152" s="26">
        <f>IF(VLOOKUP($R152,武学奇术!$A:$ZZ,22,FALSE)=1,0,(1-$BJ152))*(1-$BM152)</f>
        <v>0.0172349</v>
      </c>
      <c r="BR152" s="26" cm="1">
        <f t="array" ref="BR152">SUM(_xlfn.XLOOKUP(S152:AG152,增益!$A:$A,增益!$W:$W,0))+$I$5</f>
        <v>0.11</v>
      </c>
    </row>
    <row r="153" spans="11:70">
      <c r="K153">
        <f>$L153*VLOOKUP($R153,武学奇术!$A:$ZZ,31,FALSE)</f>
        <v>0</v>
      </c>
      <c r="L153" s="38">
        <f>($M153*$BO153+$N153*$BM153+$O153*$BP153+$P153*$BQ153)</f>
        <v>0</v>
      </c>
      <c r="M153" s="38">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BL153*$Q153*(1+IF(VLOOKUP($R153,武学奇术!$A:$ZZ,30,FALSE)="回旋伞",$B$21,0))*(1+$BR153)</f>
        <v>0</v>
      </c>
      <c r="N153" s="38">
        <f>(($AP153*$AI153+$AJ153)*(1+$AQ153)*(1+$AR153)+($AU153*IF($G$1="鸣金",$AK153,$AI153)+IF($G$1="鸣金",$AL153*1.5,0))*(1+$AV153)*(1+$AW153)+($AY153*IF($G$1="裂石",$AK153,$AI153)+IF($G$1="裂石",$AL153*1.5,0))*(1+$AZ153)*(1+$BA153)+($BC153*IF($G$1="牵丝",$AK153,$AI153)+IF($G$1="牵丝",$AL153*1.5,0))*(1+$BD153)*(1+$BE153)+($BG153*IF($G$1="破竹",$AK153,$AI153)+IF($G$1="破竹",$AL153*1.5,0))*(1+$BH153)*(1+$BI153))*(1+$AM153)*$BN153*$Q153*(1+IF(VLOOKUP($R153,武学奇术!$A:$ZZ,30,FALSE)="回旋伞",$B$21,0))*(1+$BR153)</f>
        <v>0</v>
      </c>
      <c r="O153" s="38">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Q153*(1+IF(VLOOKUP($R153,武学奇术!$A:$ZZ,30,FALSE)="回旋伞",$B$21,0))*(1+$BR153)</f>
        <v>0</v>
      </c>
      <c r="P153" s="38">
        <f>((($AO153*$AI153+$AJ153)*(1+$AQ153)*(1+$AR153)+($AT153*IF($G$1="鸣金",$AK153,$AI153)+IF($G$1="鸣金",$AL153*1.5,0))*(1+$AV153)*(1+$AW153)+($AX153*IF($G$1="裂石",$AK153,$AI153)+IF($G$1="裂石",$AL153*1.5,0))*(1+$AZ153)*(1+$BA153)+($BB153*IF($G$1="牵丝",$AK153,$AI153)+IF($G$1="牵丝",$AL153*1.5,0))*(1+$BD153)*(1+$BE153)+($BF153*IF($G$1="破竹",$AK153,$AI153)+IF($G$1="破竹",$AL153*1.5,0))*(1+$BH153)*(1+$BI153))*(1+$AM153))*$Q153*(1+IF(VLOOKUP($R153,武学奇术!$A:$ZZ,30,FALSE)="回旋伞",$B$21,0))*(1+$BR153)</f>
        <v>0</v>
      </c>
      <c r="Q153" s="39">
        <v>1</v>
      </c>
      <c r="R153" s="40" t="s">
        <v>72</v>
      </c>
      <c r="S153" s="40" t="s">
        <v>72</v>
      </c>
      <c r="T153" s="40" t="s">
        <v>72</v>
      </c>
      <c r="U153" s="40" t="s">
        <v>72</v>
      </c>
      <c r="V153" s="40" t="s">
        <v>72</v>
      </c>
      <c r="W153" s="40" t="s">
        <v>72</v>
      </c>
      <c r="X153" s="40" t="s">
        <v>72</v>
      </c>
      <c r="Y153" s="40" t="s">
        <v>72</v>
      </c>
      <c r="Z153" s="40" t="s">
        <v>72</v>
      </c>
      <c r="AA153" s="40" t="s">
        <v>72</v>
      </c>
      <c r="AB153" s="40" t="s">
        <v>72</v>
      </c>
      <c r="AC153" s="40" t="s">
        <v>72</v>
      </c>
      <c r="AD153" s="40" t="s">
        <v>72</v>
      </c>
      <c r="AE153" s="40" t="s">
        <v>72</v>
      </c>
      <c r="AF153" s="40" t="s">
        <v>77</v>
      </c>
      <c r="AG153" s="40" t="s">
        <v>78</v>
      </c>
      <c r="AH153" t="str">
        <f>VLOOKUP($R153,武学奇术!$A:$ZZ,25,FALSE)</f>
        <v>心法</v>
      </c>
      <c r="AI153" s="26">
        <f>VLOOKUP($R153,武学奇术!$A:$ZZ,26,FALSE)</f>
        <v>0</v>
      </c>
      <c r="AJ153" s="27">
        <f>VLOOKUP($R153,武学奇术!$A:$ZZ,27,FALSE)*(1+IF(OR($AH153=$F$4,$AH153=$F$5),$B$22,0))</f>
        <v>0</v>
      </c>
      <c r="AK153" s="26">
        <f>VLOOKUP($R153,武学奇术!$A:$ZZ,28,FALSE)</f>
        <v>0</v>
      </c>
      <c r="AL153" s="27">
        <f>VLOOKUP($R153,武学奇术!$A:$ZZ,29,FALSE)*(1+IF(OR($AH153=$F$4,$AH153=$F$5),$B$22,0))</f>
        <v>0</v>
      </c>
      <c r="AM153" s="26" cm="1">
        <f t="array" ref="AM153">$G$3+IFERROR(VLOOKUP($AH153,$F$4:$G$7,2,FALSE),0)+VLOOKUP($R153,武学奇术!$A:$ZZ,2,FALSE)+SUM(_xlfn.XLOOKUP($S153:$AG153,增益!$A:$A,增益!$B:$B,0))</f>
        <v>0.1837</v>
      </c>
      <c r="AN153" s="26" cm="1">
        <f t="array" ref="AN153">VLOOKUP($R153,武学奇术!$A:$ZZ,5,FALSE)+SUM(_xlfn.XLOOKUP($S153:$AG153,增益!$A:$A,增益!$E:$E,0))</f>
        <v>0</v>
      </c>
      <c r="AO153" cm="1">
        <f t="array" ref="AO153">$D$10*(1+$AN153)+VLOOKUP($R153,武学奇术!$A:$ZZ,3,FALSE)+SUM(_xlfn.XLOOKUP($S153:$AG153,增益!$A:$A,增益!$C:$C,0))-$I$2</f>
        <v>3624.6</v>
      </c>
      <c r="AP153" cm="1">
        <f t="array" ref="AP153">$E$10*(1+$AN153)+VLOOKUP($R153,武学奇术!$A:$ZZ,4,FALSE)+SUM(_xlfn.XLOOKUP($S153:$AG153,增益!$A:$A,增益!$D:$D,0))-$I$2</f>
        <v>3624.6</v>
      </c>
      <c r="AQ153" s="32" cm="1">
        <f t="array" ref="AQ153">IF($F$10-$I$3+VLOOKUP($R153,武学奇术!$A:$ZZ,6,FALSE)+SUM(_xlfn.XLOOKUP(S153:AG153,增益!$A:$A,增益!$F:$F,0))&gt;0,($F$10-$I$3+VLOOKUP($R153,武学奇术!$A:$ZZ,6,FALSE)+SUM(_xlfn.XLOOKUP(S153:AG153,增益!$A:$A,增益!$F:$F,0)))/200,($F$10-$I$3+VLOOKUP($R153,武学奇术!$A:$ZZ,6,FALSE)+SUM(_xlfn.XLOOKUP(S153:AG153,增益!$A:$A,增益!$F:$F,0)))/100)</f>
        <v>0.2425</v>
      </c>
      <c r="AR153" s="32" cm="1">
        <f t="array" ref="AR153">$G$10+VLOOKUP($R153,武学奇术!$A:$ZZ,7,FALSE)+SUM(_xlfn.XLOOKUP(S153:AG153,增益!$A:$A,增益!$G:$G,0))</f>
        <v>0.028</v>
      </c>
      <c r="AS153" s="26" cm="1">
        <f t="array" ref="AS153">VLOOKUP($R153,武学奇术!$A:$ZZ,8,FALSE)+SUM(_xlfn.XLOOKUP(S153:AG153,增益!$A:$A,增益!$H:$H,0))</f>
        <v>0</v>
      </c>
      <c r="AT153">
        <f>$D$11*(1+$AS153)</f>
        <v>0</v>
      </c>
      <c r="AU153">
        <f>$E$11*(1+$AS153)</f>
        <v>0</v>
      </c>
      <c r="AV153" s="32" cm="1">
        <f t="array" ref="AV153">IF($F$11-$I$4+VLOOKUP($R153,武学奇术!$A:$ZZ,9,FALSE)+SUM(_xlfn.XLOOKUP(S153:AG153,增益!$A:$A,增益!$I:$I,0))&gt;0,($F$11-$I$4+VLOOKUP($R153,武学奇术!$A:$ZZ,9,FALSE)+SUM(_xlfn.XLOOKUP(S153:AG153,增益!$A:$A,增益!$I:$I,0)))/200,($F$11-$I$4+VLOOKUP($R153,武学奇术!$A:$ZZ,9,FALSE)+SUM(_xlfn.XLOOKUP(S153:AG153,增益!$A:$A,增益!$I:$I,0)))/100)</f>
        <v>-0.3</v>
      </c>
      <c r="AW153" s="32" cm="1">
        <f t="array" ref="AW153">$G$11+VLOOKUP($R153,武学奇术!$A:$ZZ,10,FALSE)+SUM(_xlfn.XLOOKUP(S153:AG153,增益!$A:$A,增益!$J:$J,0))</f>
        <v>0</v>
      </c>
      <c r="AX153">
        <f>$D$12*(1+$AS153)</f>
        <v>0</v>
      </c>
      <c r="AY153">
        <f>$E$12*(1+$AS153)</f>
        <v>0</v>
      </c>
      <c r="AZ153" s="32" cm="1">
        <f t="array" ref="AZ153">IF($F$12-$I$4+VLOOKUP($R153,武学奇术!$A:$ZZ,11,FALSE)+SUM(_xlfn.XLOOKUP(S153:AG153,增益!$A:$A,增益!$K:$K,0))&gt;0,($F$12-$I$4+VLOOKUP($R153,武学奇术!$A:$ZZ,11,FALSE)+SUM(_xlfn.XLOOKUP(S153:AG153,增益!$A:$A,增益!$K:$K,0)))/200,($F$12-$I$4+VLOOKUP($R153,武学奇术!$A:$ZZ,11,FALSE)+SUM(_xlfn.XLOOKUP(S153:AG153,增益!$A:$A,增益!$K:$K,0)))/100)</f>
        <v>-0.3</v>
      </c>
      <c r="BA153" s="32" cm="1">
        <f t="array" ref="BA153">$G$12+VLOOKUP($R153,武学奇术!$A:$ZZ,12,FALSE)+SUM(_xlfn.XLOOKUP(S153:AG153,增益!$A:$A,增益!$L:$L,0))</f>
        <v>0</v>
      </c>
      <c r="BB153">
        <f>$D$13*(1+$AS153)</f>
        <v>0</v>
      </c>
      <c r="BC153">
        <f>$E$13*(1+$AS153)</f>
        <v>0</v>
      </c>
      <c r="BD153" s="32" cm="1">
        <f t="array" ref="BD153">IF($F$13-$I$4+VLOOKUP($R153,武学奇术!$A:$ZZ,13,FALSE)+SUM(_xlfn.XLOOKUP(S153:AG153,增益!$A:$A,增益!$M:$M,0))&gt;0,($F$13-$I$4+VLOOKUP($R153,武学奇术!$A:$ZZ,13,FALSE)+SUM(_xlfn.XLOOKUP(S153:AG153,增益!$A:$A,增益!$K:$K,0)))/200,($F$13-$I$4+VLOOKUP($R153,武学奇术!$A:$ZZ,13,FALSE)+SUM(_xlfn.XLOOKUP(S153:AG153,增益!$A:$A,增益!$M:$M,0)))/100)</f>
        <v>-0.3</v>
      </c>
      <c r="BE153" s="32" cm="1">
        <f t="array" ref="BE153">$G$13+VLOOKUP($R153,武学奇术!$A:$ZZ,14,FALSE)+SUM(_xlfn.XLOOKUP(S153:AG153,增益!$A:$A,增益!$N:$N,0))</f>
        <v>0</v>
      </c>
      <c r="BF153">
        <f>$D$14*(1+$AS153)</f>
        <v>571.2</v>
      </c>
      <c r="BG153">
        <f>$E$14*(1+$AS153)</f>
        <v>1627.8</v>
      </c>
      <c r="BH153" s="32" cm="1">
        <f t="array" ref="BH153">IF($F$14-$I$4+VLOOKUP($R153,武学奇术!$A:$ZZ,15,FALSE)+SUM(_xlfn.XLOOKUP(S153:AG153,增益!$A:$A,增益!$O:$O,0))&gt;0,($F$14-$I$4+VLOOKUP($R153,武学奇术!$A:$ZZ,15,FALSE)+SUM(_xlfn.XLOOKUP(S153:AG153,增益!$A:$A,增益!$O:$O,0)))/200,($F$14-$I$4+VLOOKUP($R153,武学奇术!$A:$ZZ,15,FALSE)+SUM(_xlfn.XLOOKUP(S153:AG153,增益!$A:$A,增益!$O:$O,0)))/100)</f>
        <v>0</v>
      </c>
      <c r="BI153" s="32" cm="1">
        <f t="array" ref="BI153">$G$14+VLOOKUP($R153,武学奇术!$A:$ZZ,16,FALSE)+SUM(_xlfn.XLOOKUP(S153:AG153,增益!$A:$A,增益!$P:$P,0))</f>
        <v>0.15</v>
      </c>
      <c r="BJ153" s="26">
        <f>MIN(IF(VLOOKUP($R153,武学奇术!$A:$ZZ,23,FALSE)=1,100%,$B$8),100%)</f>
        <v>0.981</v>
      </c>
      <c r="BK153" s="26" cm="1">
        <f t="array" ref="BK153">IF(VLOOKUP($R153,武学奇术!$A:$ZZ,23,FALSE)=1,100%,MIN(80%,$B$9+VLOOKUP($R153,武学奇术!$A:$ZZ,17,FALSE)+SUM(_xlfn.XLOOKUP(S153:AG153,增益!$A:$A,增益!$Q:$Q,0)))+$B$11+SUM(_xlfn.XLOOKUP(S153:AG153,增益!$A:$A,增益!$U:$U,0)))*IF(VLOOKUP($R153,武学奇术!$A:$ZZ,24,FALSE)=1,0,1)</f>
        <v>0.846</v>
      </c>
      <c r="BL153" s="26" cm="1">
        <f t="array" ref="BL153">1+$B$13+VLOOKUP($R153,武学奇术!$A:$ZZ,18,FALSE)+SUM(_xlfn.XLOOKUP(S153:AG153,增益!$A:$A,增益!$R:$R,0))</f>
        <v>1.54</v>
      </c>
      <c r="BM153" s="26" cm="1">
        <f t="array" ref="BM153">IF(VLOOKUP($R153,武学奇术!$A:$ZZ,24,FALSE)=1,100%,MIN(40%,$B$10+VLOOKUP($R153,武学奇术!$A:$ZZ,19,FALSE)+SUM(_xlfn.XLOOKUP(S153:AG153,增益!$A:$A,增益!$S:$S,0)))+$B$12+SUM(_xlfn.XLOOKUP(S153:AG153,增益!$A:$A,增益!$V:$V,0)))*IF(VLOOKUP($R153,武学奇术!$A:$ZZ,23,FALSE)=1,0,1)</f>
        <v>0.0929</v>
      </c>
      <c r="BN153" s="26" cm="1">
        <f t="array" ref="BN153">1+$B$14+VLOOKUP($R153,武学奇术!$A:$ZZ,20,FALSE)+SUM(_xlfn.XLOOKUP(S153:AG153,增益!$A:$A,增益!$T:$T,0))</f>
        <v>1.35</v>
      </c>
      <c r="BO153" s="26">
        <f>MIN((1-BM153)*BJ153,BJ153*BK153)</f>
        <v>0.829926</v>
      </c>
      <c r="BP153" s="26">
        <f>1-BM153-BO153-BQ153</f>
        <v>0.0599391</v>
      </c>
      <c r="BQ153" s="26">
        <f>IF(VLOOKUP($R153,武学奇术!$A:$ZZ,22,FALSE)=1,0,(1-$BJ153))*(1-$BM153)</f>
        <v>0.0172349</v>
      </c>
      <c r="BR153" s="26" cm="1">
        <f t="array" ref="BR153">SUM(_xlfn.XLOOKUP(S153:AG153,增益!$A:$A,增益!$W:$W,0))+$I$5</f>
        <v>0.11</v>
      </c>
    </row>
    <row r="154" spans="11:70">
      <c r="K154">
        <f>$L154*VLOOKUP($R154,武学奇术!$A:$ZZ,31,FALSE)</f>
        <v>19169.034860115</v>
      </c>
      <c r="L154" s="38">
        <f t="shared" ref="L154:L164" si="95">($M154*$BO154+$N154*$BM154+$O154*$BP154+$P154*$BQ154)</f>
        <v>18256.2236763</v>
      </c>
      <c r="M154" s="38">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BL154*$Q154*(1+IF(VLOOKUP($R154,武学奇术!$A:$ZZ,30,FALSE)="回旋伞",$B$21,0))*(1+$BR154)</f>
        <v>19296.5621409207</v>
      </c>
      <c r="N154" s="38">
        <f>(($AP154*$AI154+$AJ154)*(1+$AQ154)*(1+$AR154)+($AU154*IF($G$1="鸣金",$AK154,$AI154)+IF($G$1="鸣金",$AL154*1.5,0))*(1+$AV154)*(1+$AW154)+($AY154*IF($G$1="裂石",$AK154,$AI154)+IF($G$1="裂石",$AL154*1.5,0))*(1+$AZ154)*(1+$BA154)+($BC154*IF($G$1="牵丝",$AK154,$AI154)+IF($G$1="牵丝",$AL154*1.5,0))*(1+$BD154)*(1+$BE154)+($BG154*IF($G$1="破竹",$AK154,$AI154)+IF($G$1="破竹",$AL154*1.5,0))*(1+$BH154)*(1+$BI154))*(1+$AM154)*$BN154*$Q154*(1+IF(VLOOKUP($R154,武学奇术!$A:$ZZ,30,FALSE)="回旋伞",$B$21,0))*(1+$BR154)</f>
        <v>15616.6349699106</v>
      </c>
      <c r="O154" s="38">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Q154*(1+IF(VLOOKUP($R154,武学奇术!$A:$ZZ,30,FALSE)="回旋伞",$B$21,0))*(1+$BR154)</f>
        <v>10487.2620331091</v>
      </c>
      <c r="P154" s="38">
        <f>((($AO154*$AI154+$AJ154)*(1+$AQ154)*(1+$AR154)+($AT154*IF($G$1="鸣金",$AK154,$AI154)+IF($G$1="鸣金",$AL154*1.5,0))*(1+$AV154)*(1+$AW154)+($AX154*IF($G$1="裂石",$AK154,$AI154)+IF($G$1="裂石",$AL154*1.5,0))*(1+$AZ154)*(1+$BA154)+($BB154*IF($G$1="牵丝",$AK154,$AI154)+IF($G$1="牵丝",$AL154*1.5,0))*(1+$BD154)*(1+$BE154)+($BF154*IF($G$1="破竹",$AK154,$AI154)+IF($G$1="破竹",$AL154*1.5,0))*(1+$BH154)*(1+$BI154))*(1+$AM154))*$Q154*(1+IF(VLOOKUP($R154,武学奇术!$A:$ZZ,30,FALSE)="回旋伞",$B$21,0))*(1+$BR154)</f>
        <v>9406.6463107289</v>
      </c>
      <c r="Q154" s="39">
        <f>IF($E$24="易水歌",1,0)</f>
        <v>1</v>
      </c>
      <c r="R154" s="40" t="s">
        <v>186</v>
      </c>
      <c r="S154" s="40" t="s">
        <v>72</v>
      </c>
      <c r="T154" s="40" t="s">
        <v>95</v>
      </c>
      <c r="U154" s="40" t="s">
        <v>73</v>
      </c>
      <c r="V154" s="40" t="s">
        <v>81</v>
      </c>
      <c r="W154" s="40" t="s">
        <v>89</v>
      </c>
      <c r="X154" s="40" t="s">
        <v>99</v>
      </c>
      <c r="Y154" s="40" t="s">
        <v>84</v>
      </c>
      <c r="Z154" s="40" t="s">
        <v>72</v>
      </c>
      <c r="AA154" s="40" t="s">
        <v>72</v>
      </c>
      <c r="AB154" s="40" t="s">
        <v>72</v>
      </c>
      <c r="AC154" s="40" t="s">
        <v>91</v>
      </c>
      <c r="AD154" s="40" t="s">
        <v>72</v>
      </c>
      <c r="AE154" s="40" t="s">
        <v>72</v>
      </c>
      <c r="AF154" s="40" t="s">
        <v>77</v>
      </c>
      <c r="AG154" s="40" t="s">
        <v>78</v>
      </c>
      <c r="AH154" t="str">
        <f>VLOOKUP($R154,武学奇术!$A:$ZZ,25,FALSE)</f>
        <v>心法</v>
      </c>
      <c r="AI154" s="26">
        <f>VLOOKUP($R154,武学奇术!$A:$ZZ,26,FALSE)</f>
        <v>1</v>
      </c>
      <c r="AJ154" s="27">
        <f>VLOOKUP($R154,武学奇术!$A:$ZZ,27,FALSE)*(1+IF(OR($AH154=$F$4,$AH154=$F$5),$B$22,0))</f>
        <v>0</v>
      </c>
      <c r="AK154" s="26">
        <f>VLOOKUP($R154,武学奇术!$A:$ZZ,28,FALSE)</f>
        <v>1</v>
      </c>
      <c r="AL154" s="27">
        <f>VLOOKUP($R154,武学奇术!$A:$ZZ,29,FALSE)*(1+IF(OR($AH154=$F$4,$AH154=$F$5),$B$22,0))</f>
        <v>0</v>
      </c>
      <c r="AM154" s="26" cm="1">
        <f t="array" ref="AM154">$G$3+IFERROR(VLOOKUP($AH154,$F$4:$G$7,2,FALSE),0)+VLOOKUP($R154,武学奇术!$A:$ZZ,2,FALSE)+SUM(_xlfn.XLOOKUP($S154:$AG154,增益!$A:$A,增益!$B:$B,0))</f>
        <v>0.4837</v>
      </c>
      <c r="AN154" s="26" cm="1">
        <f t="array" ref="AN154">VLOOKUP($R154,武学奇术!$A:$ZZ,5,FALSE)+SUM(_xlfn.XLOOKUP($S154:$AG154,增益!$A:$A,增益!$E:$E,0))</f>
        <v>0</v>
      </c>
      <c r="AO154" cm="1">
        <f t="array" ref="AO154">$D$10*(1+$AN154)+VLOOKUP($R154,武学奇术!$A:$ZZ,3,FALSE)+SUM(_xlfn.XLOOKUP($S154:$AG154,增益!$A:$A,增益!$C:$C,0))-$I$2</f>
        <v>3624.6</v>
      </c>
      <c r="AP154" cm="1">
        <f t="array" ref="AP154">$E$10*(1+$AN154)+VLOOKUP($R154,武学奇术!$A:$ZZ,4,FALSE)+SUM(_xlfn.XLOOKUP($S154:$AG154,增益!$A:$A,增益!$D:$D,0))-$I$2</f>
        <v>3624.6</v>
      </c>
      <c r="AQ154" s="32" cm="1">
        <f t="array" ref="AQ154">IF($F$10-$I$3+VLOOKUP($R154,武学奇术!$A:$ZZ,6,FALSE)+SUM(_xlfn.XLOOKUP(S154:AG154,增益!$A:$A,增益!$F:$F,0))&gt;0,($F$10-$I$3+VLOOKUP($R154,武学奇术!$A:$ZZ,6,FALSE)+SUM(_xlfn.XLOOKUP(S154:AG154,增益!$A:$A,增益!$F:$F,0)))/200,($F$10-$I$3+VLOOKUP($R154,武学奇术!$A:$ZZ,6,FALSE)+SUM(_xlfn.XLOOKUP(S154:AG154,增益!$A:$A,增益!$F:$F,0)))/100)</f>
        <v>0.3425</v>
      </c>
      <c r="AR154" s="32" cm="1">
        <f t="array" ref="AR154">$G$10+VLOOKUP($R154,武学奇术!$A:$ZZ,7,FALSE)+SUM(_xlfn.XLOOKUP(S154:AG154,增益!$A:$A,增益!$G:$G,0))</f>
        <v>0.028</v>
      </c>
      <c r="AS154" s="26" cm="1">
        <f t="array" ref="AS154">VLOOKUP($R154,武学奇术!$A:$ZZ,8,FALSE)+SUM(_xlfn.XLOOKUP(S154:AG154,增益!$A:$A,增益!$H:$H,0))</f>
        <v>0</v>
      </c>
      <c r="AT154">
        <f t="shared" ref="AT154:AT164" si="96">$D$11*(1+$AS154)</f>
        <v>0</v>
      </c>
      <c r="AU154">
        <f t="shared" ref="AU154:AU164" si="97">$E$11*(1+$AS154)</f>
        <v>0</v>
      </c>
      <c r="AV154" s="32" cm="1">
        <f t="array" ref="AV154">IF($F$11-$I$4+VLOOKUP($R154,武学奇术!$A:$ZZ,9,FALSE)+SUM(_xlfn.XLOOKUP(S154:AG154,增益!$A:$A,增益!$I:$I,0))&gt;0,($F$11-$I$4+VLOOKUP($R154,武学奇术!$A:$ZZ,9,FALSE)+SUM(_xlfn.XLOOKUP(S154:AG154,增益!$A:$A,增益!$I:$I,0)))/200,($F$11-$I$4+VLOOKUP($R154,武学奇术!$A:$ZZ,9,FALSE)+SUM(_xlfn.XLOOKUP(S154:AG154,增益!$A:$A,增益!$I:$I,0)))/100)</f>
        <v>-0.14</v>
      </c>
      <c r="AW154" s="32" cm="1">
        <f t="array" ref="AW154">$G$11+VLOOKUP($R154,武学奇术!$A:$ZZ,10,FALSE)+SUM(_xlfn.XLOOKUP(S154:AG154,增益!$A:$A,增益!$J:$J,0))</f>
        <v>0</v>
      </c>
      <c r="AX154">
        <f t="shared" ref="AX154:AX164" si="98">$D$12*(1+$AS154)</f>
        <v>0</v>
      </c>
      <c r="AY154">
        <f t="shared" ref="AY154:AY164" si="99">$E$12*(1+$AS154)</f>
        <v>0</v>
      </c>
      <c r="AZ154" s="32" cm="1">
        <f t="array" ref="AZ154">IF($F$12-$I$4+VLOOKUP($R154,武学奇术!$A:$ZZ,11,FALSE)+SUM(_xlfn.XLOOKUP(S154:AG154,增益!$A:$A,增益!$K:$K,0))&gt;0,($F$12-$I$4+VLOOKUP($R154,武学奇术!$A:$ZZ,11,FALSE)+SUM(_xlfn.XLOOKUP(S154:AG154,增益!$A:$A,增益!$K:$K,0)))/200,($F$12-$I$4+VLOOKUP($R154,武学奇术!$A:$ZZ,11,FALSE)+SUM(_xlfn.XLOOKUP(S154:AG154,增益!$A:$A,增益!$K:$K,0)))/100)</f>
        <v>-0.14</v>
      </c>
      <c r="BA154" s="32" cm="1">
        <f t="array" ref="BA154">$G$12+VLOOKUP($R154,武学奇术!$A:$ZZ,12,FALSE)+SUM(_xlfn.XLOOKUP(S154:AG154,增益!$A:$A,增益!$L:$L,0))</f>
        <v>0</v>
      </c>
      <c r="BB154">
        <f t="shared" ref="BB154:BB164" si="100">$D$13*(1+$AS154)</f>
        <v>0</v>
      </c>
      <c r="BC154">
        <f t="shared" ref="BC154:BC164" si="101">$E$13*(1+$AS154)</f>
        <v>0</v>
      </c>
      <c r="BD154" s="32" cm="1">
        <f t="array" ref="BD154">IF($F$13-$I$4+VLOOKUP($R154,武学奇术!$A:$ZZ,13,FALSE)+SUM(_xlfn.XLOOKUP(S154:AG154,增益!$A:$A,增益!$M:$M,0))&gt;0,($F$13-$I$4+VLOOKUP($R154,武学奇术!$A:$ZZ,13,FALSE)+SUM(_xlfn.XLOOKUP(S154:AG154,增益!$A:$A,增益!$K:$K,0)))/200,($F$13-$I$4+VLOOKUP($R154,武学奇术!$A:$ZZ,13,FALSE)+SUM(_xlfn.XLOOKUP(S154:AG154,增益!$A:$A,增益!$M:$M,0)))/100)</f>
        <v>-0.14</v>
      </c>
      <c r="BE154" s="32" cm="1">
        <f t="array" ref="BE154">$G$13+VLOOKUP($R154,武学奇术!$A:$ZZ,14,FALSE)+SUM(_xlfn.XLOOKUP(S154:AG154,增益!$A:$A,增益!$N:$N,0))</f>
        <v>0</v>
      </c>
      <c r="BF154">
        <f t="shared" ref="BF154:BF164" si="102">$D$14*(1+$AS154)</f>
        <v>571.2</v>
      </c>
      <c r="BG154">
        <f t="shared" ref="BG154:BG164" si="103">$E$14*(1+$AS154)</f>
        <v>1627.8</v>
      </c>
      <c r="BH154" s="32" cm="1">
        <f t="array" ref="BH154">IF($F$14-$I$4+VLOOKUP($R154,武学奇术!$A:$ZZ,15,FALSE)+SUM(_xlfn.XLOOKUP(S154:AG154,增益!$A:$A,增益!$O:$O,0))&gt;0,($F$14-$I$4+VLOOKUP($R154,武学奇术!$A:$ZZ,15,FALSE)+SUM(_xlfn.XLOOKUP(S154:AG154,增益!$A:$A,增益!$O:$O,0)))/200,($F$14-$I$4+VLOOKUP($R154,武学奇术!$A:$ZZ,15,FALSE)+SUM(_xlfn.XLOOKUP(S154:AG154,增益!$A:$A,增益!$O:$O,0)))/100)</f>
        <v>0.08</v>
      </c>
      <c r="BI154" s="32" cm="1">
        <f t="array" ref="BI154">$G$14+VLOOKUP($R154,武学奇术!$A:$ZZ,16,FALSE)+SUM(_xlfn.XLOOKUP(S154:AG154,增益!$A:$A,增益!$P:$P,0))</f>
        <v>0.15</v>
      </c>
      <c r="BJ154" s="26">
        <f>MIN(IF(VLOOKUP($R154,武学奇术!$A:$ZZ,23,FALSE)=1,100%,$B$8),100%)</f>
        <v>0.981</v>
      </c>
      <c r="BK154" s="26" cm="1">
        <f t="array" ref="BK154">IF(VLOOKUP($R154,武学奇术!$A:$ZZ,23,FALSE)=1,100%,MIN(80%,$B$9+VLOOKUP($R154,武学奇术!$A:$ZZ,17,FALSE)+SUM(_xlfn.XLOOKUP(S154:AG154,增益!$A:$A,增益!$Q:$Q,0)))+$B$11+SUM(_xlfn.XLOOKUP(S154:AG154,增益!$A:$A,增益!$U:$U,0)))*IF(VLOOKUP($R154,武学奇术!$A:$ZZ,24,FALSE)=1,0,1)</f>
        <v>0.846</v>
      </c>
      <c r="BL154" s="26" cm="1">
        <f t="array" ref="BL154">1+$B$13+VLOOKUP($R154,武学奇术!$A:$ZZ,18,FALSE)+SUM(_xlfn.XLOOKUP(S154:AG154,增益!$A:$A,增益!$R:$R,0))</f>
        <v>1.84</v>
      </c>
      <c r="BM154" s="26" cm="1">
        <f t="array" ref="BM154">IF(VLOOKUP($R154,武学奇术!$A:$ZZ,24,FALSE)=1,100%,MIN(40%,$B$10+VLOOKUP($R154,武学奇术!$A:$ZZ,19,FALSE)+SUM(_xlfn.XLOOKUP(S154:AG154,增益!$A:$A,增益!$S:$S,0)))+$B$12+SUM(_xlfn.XLOOKUP(S154:AG154,增益!$A:$A,增益!$V:$V,0)))*IF(VLOOKUP($R154,武学奇术!$A:$ZZ,23,FALSE)=1,0,1)</f>
        <v>0.0929</v>
      </c>
      <c r="BN154" s="26" cm="1">
        <f t="array" ref="BN154">1+$B$14+VLOOKUP($R154,武学奇术!$A:$ZZ,20,FALSE)+SUM(_xlfn.XLOOKUP(S154:AG154,增益!$A:$A,增益!$T:$T,0))</f>
        <v>1.35</v>
      </c>
      <c r="BO154" s="26">
        <f t="shared" ref="BO154:BO164" si="104">MIN((1-BM154)*BJ154,BJ154*BK154)</f>
        <v>0.829926</v>
      </c>
      <c r="BP154" s="26">
        <f t="shared" ref="BP154:BP164" si="105">1-BM154-BO154-BQ154</f>
        <v>0.0599391</v>
      </c>
      <c r="BQ154" s="26">
        <f>IF(VLOOKUP($R154,武学奇术!$A:$ZZ,22,FALSE)=1,0,(1-$BJ154))*(1-$BM154)</f>
        <v>0.0172349</v>
      </c>
      <c r="BR154" s="26" cm="1">
        <f t="array" ref="BR154">SUM(_xlfn.XLOOKUP(S154:AG154,增益!$A:$A,增益!$W:$W,0))+$I$5</f>
        <v>0.11</v>
      </c>
    </row>
    <row r="155" spans="11:70">
      <c r="K155">
        <f>$L155*VLOOKUP($R155,武学奇术!$A:$ZZ,31,FALSE)</f>
        <v>16626.7025190556</v>
      </c>
      <c r="L155" s="38">
        <f t="shared" si="95"/>
        <v>15834.954780053</v>
      </c>
      <c r="M155" s="38">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BL155*$Q155*(1+IF(VLOOKUP($R155,武学奇术!$A:$ZZ,30,FALSE)="回旋伞",$B$21,0))*(1+$BR155)</f>
        <v>16787.3915246154</v>
      </c>
      <c r="N155" s="38">
        <f>(($AP155*$AI155+$AJ155)*(1+$AQ155)*(1+$AR155)+($AU155*IF($G$1="鸣金",$AK155,$AI155)+IF($G$1="鸣金",$AL155*1.5,0))*(1+$AV155)*(1+$AW155)+($AY155*IF($G$1="裂石",$AK155,$AI155)+IF($G$1="裂石",$AL155*1.5,0))*(1+$AZ155)*(1+$BA155)+($BC155*IF($G$1="牵丝",$AK155,$AI155)+IF($G$1="牵丝",$AL155*1.5,0))*(1+$BD155)*(1+$BE155)+($BG155*IF($G$1="破竹",$AK155,$AI155)+IF($G$1="破竹",$AL155*1.5,0))*(1+$BH155)*(1+$BI155))*(1+$AM155)*$BN155*$Q155*(1+IF(VLOOKUP($R155,武学奇术!$A:$ZZ,30,FALSE)="回旋伞",$B$21,0))*(1+$BR155)</f>
        <v>13223.4642453214</v>
      </c>
      <c r="O155" s="38">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Q155*(1+IF(VLOOKUP($R155,武学奇术!$A:$ZZ,30,FALSE)="回旋伞",$B$21,0))*(1+$BR155)</f>
        <v>8929.4635769231</v>
      </c>
      <c r="P155" s="38">
        <f>((($AO155*$AI155+$AJ155)*(1+$AQ155)*(1+$AR155)+($AT155*IF($G$1="鸣金",$AK155,$AI155)+IF($G$1="鸣金",$AL155*1.5,0))*(1+$AV155)*(1+$AW155)+($AX155*IF($G$1="裂石",$AK155,$AI155)+IF($G$1="裂石",$AL155*1.5,0))*(1+$AZ155)*(1+$BA155)+($BB155*IF($G$1="牵丝",$AK155,$AI155)+IF($G$1="牵丝",$AL155*1.5,0))*(1+$BD155)*(1+$BE155)+($BF155*IF($G$1="破竹",$AK155,$AI155)+IF($G$1="破竹",$AL155*1.5,0))*(1+$BH155)*(1+$BI155))*(1+$AM155))*$Q155*(1+IF(VLOOKUP($R155,武学奇术!$A:$ZZ,30,FALSE)="回旋伞",$B$21,0))*(1+$BR155)</f>
        <v>8063.7684536081</v>
      </c>
      <c r="Q155" s="39">
        <f t="shared" ref="Q155:Q164" si="106">IF($E$24="易水歌",1,0)</f>
        <v>1</v>
      </c>
      <c r="R155" s="40" t="s">
        <v>186</v>
      </c>
      <c r="S155" s="40" t="s">
        <v>72</v>
      </c>
      <c r="T155" s="40" t="s">
        <v>95</v>
      </c>
      <c r="U155" s="40" t="s">
        <v>73</v>
      </c>
      <c r="V155" s="40" t="s">
        <v>72</v>
      </c>
      <c r="W155" s="40" t="s">
        <v>165</v>
      </c>
      <c r="X155" s="40" t="s">
        <v>99</v>
      </c>
      <c r="Y155" s="40" t="s">
        <v>72</v>
      </c>
      <c r="Z155" s="40" t="s">
        <v>72</v>
      </c>
      <c r="AA155" s="40" t="s">
        <v>72</v>
      </c>
      <c r="AB155" s="40" t="s">
        <v>72</v>
      </c>
      <c r="AC155" s="40" t="s">
        <v>85</v>
      </c>
      <c r="AD155" s="40" t="s">
        <v>72</v>
      </c>
      <c r="AE155" s="40" t="s">
        <v>72</v>
      </c>
      <c r="AF155" s="40" t="s">
        <v>77</v>
      </c>
      <c r="AG155" s="40" t="s">
        <v>78</v>
      </c>
      <c r="AH155" t="str">
        <f>VLOOKUP($R155,武学奇术!$A:$ZZ,25,FALSE)</f>
        <v>心法</v>
      </c>
      <c r="AI155" s="26">
        <f>VLOOKUP($R155,武学奇术!$A:$ZZ,26,FALSE)</f>
        <v>1</v>
      </c>
      <c r="AJ155" s="27">
        <f>VLOOKUP($R155,武学奇术!$A:$ZZ,27,FALSE)*(1+IF(OR($AH155=$F$4,$AH155=$F$5),$B$22,0))</f>
        <v>0</v>
      </c>
      <c r="AK155" s="26">
        <f>VLOOKUP($R155,武学奇术!$A:$ZZ,28,FALSE)</f>
        <v>1</v>
      </c>
      <c r="AL155" s="27">
        <f>VLOOKUP($R155,武学奇术!$A:$ZZ,29,FALSE)*(1+IF(OR($AH155=$F$4,$AH155=$F$5),$B$22,0))</f>
        <v>0</v>
      </c>
      <c r="AM155" s="26" cm="1">
        <f t="array" ref="AM155">$G$3+IFERROR(VLOOKUP($AH155,$F$4:$G$7,2,FALSE),0)+VLOOKUP($R155,武学奇术!$A:$ZZ,2,FALSE)+SUM(_xlfn.XLOOKUP($S155:$AG155,增益!$A:$A,增益!$B:$B,0))</f>
        <v>0.2837</v>
      </c>
      <c r="AN155" s="26" cm="1">
        <f t="array" ref="AN155">VLOOKUP($R155,武学奇术!$A:$ZZ,5,FALSE)+SUM(_xlfn.XLOOKUP($S155:$AG155,增益!$A:$A,增益!$E:$E,0))</f>
        <v>0</v>
      </c>
      <c r="AO155" cm="1">
        <f t="array" ref="AO155">$D$10*(1+$AN155)+VLOOKUP($R155,武学奇术!$A:$ZZ,3,FALSE)+SUM(_xlfn.XLOOKUP($S155:$AG155,增益!$A:$A,增益!$C:$C,0))-$I$2</f>
        <v>3624.6</v>
      </c>
      <c r="AP155" cm="1">
        <f t="array" ref="AP155">$E$10*(1+$AN155)+VLOOKUP($R155,武学奇术!$A:$ZZ,4,FALSE)+SUM(_xlfn.XLOOKUP($S155:$AG155,增益!$A:$A,增益!$D:$D,0))-$I$2</f>
        <v>3624.6</v>
      </c>
      <c r="AQ155" s="32" cm="1">
        <f t="array" ref="AQ155">IF($F$10-$I$3+VLOOKUP($R155,武学奇术!$A:$ZZ,6,FALSE)+SUM(_xlfn.XLOOKUP(S155:AG155,增益!$A:$A,增益!$F:$F,0))&gt;0,($F$10-$I$3+VLOOKUP($R155,武学奇术!$A:$ZZ,6,FALSE)+SUM(_xlfn.XLOOKUP(S155:AG155,增益!$A:$A,增益!$F:$F,0)))/200,($F$10-$I$3+VLOOKUP($R155,武学奇术!$A:$ZZ,6,FALSE)+SUM(_xlfn.XLOOKUP(S155:AG155,增益!$A:$A,增益!$F:$F,0)))/100)</f>
        <v>0.3425</v>
      </c>
      <c r="AR155" s="32" cm="1">
        <f t="array" ref="AR155">$G$10+VLOOKUP($R155,武学奇术!$A:$ZZ,7,FALSE)+SUM(_xlfn.XLOOKUP(S155:AG155,增益!$A:$A,增益!$G:$G,0))</f>
        <v>0.028</v>
      </c>
      <c r="AS155" s="26" cm="1">
        <f t="array" ref="AS155">VLOOKUP($R155,武学奇术!$A:$ZZ,8,FALSE)+SUM(_xlfn.XLOOKUP(S155:AG155,增益!$A:$A,增益!$H:$H,0))</f>
        <v>0</v>
      </c>
      <c r="AT155">
        <f t="shared" si="96"/>
        <v>0</v>
      </c>
      <c r="AU155">
        <f t="shared" si="97"/>
        <v>0</v>
      </c>
      <c r="AV155" s="32" cm="1">
        <f t="array" ref="AV155">IF($F$11-$I$4+VLOOKUP($R155,武学奇术!$A:$ZZ,9,FALSE)+SUM(_xlfn.XLOOKUP(S155:AG155,增益!$A:$A,增益!$I:$I,0))&gt;0,($F$11-$I$4+VLOOKUP($R155,武学奇术!$A:$ZZ,9,FALSE)+SUM(_xlfn.XLOOKUP(S155:AG155,增益!$A:$A,增益!$I:$I,0)))/200,($F$11-$I$4+VLOOKUP($R155,武学奇术!$A:$ZZ,9,FALSE)+SUM(_xlfn.XLOOKUP(S155:AG155,增益!$A:$A,增益!$I:$I,0)))/100)</f>
        <v>-0.3</v>
      </c>
      <c r="AW155" s="32" cm="1">
        <f t="array" ref="AW155">$G$11+VLOOKUP($R155,武学奇术!$A:$ZZ,10,FALSE)+SUM(_xlfn.XLOOKUP(S155:AG155,增益!$A:$A,增益!$J:$J,0))</f>
        <v>0</v>
      </c>
      <c r="AX155">
        <f t="shared" si="98"/>
        <v>0</v>
      </c>
      <c r="AY155">
        <f t="shared" si="99"/>
        <v>0</v>
      </c>
      <c r="AZ155" s="32" cm="1">
        <f t="array" ref="AZ155">IF($F$12-$I$4+VLOOKUP($R155,武学奇术!$A:$ZZ,11,FALSE)+SUM(_xlfn.XLOOKUP(S155:AG155,增益!$A:$A,增益!$K:$K,0))&gt;0,($F$12-$I$4+VLOOKUP($R155,武学奇术!$A:$ZZ,11,FALSE)+SUM(_xlfn.XLOOKUP(S155:AG155,增益!$A:$A,增益!$K:$K,0)))/200,($F$12-$I$4+VLOOKUP($R155,武学奇术!$A:$ZZ,11,FALSE)+SUM(_xlfn.XLOOKUP(S155:AG155,增益!$A:$A,增益!$K:$K,0)))/100)</f>
        <v>-0.3</v>
      </c>
      <c r="BA155" s="32" cm="1">
        <f t="array" ref="BA155">$G$12+VLOOKUP($R155,武学奇术!$A:$ZZ,12,FALSE)+SUM(_xlfn.XLOOKUP(S155:AG155,增益!$A:$A,增益!$L:$L,0))</f>
        <v>0</v>
      </c>
      <c r="BB155">
        <f t="shared" si="100"/>
        <v>0</v>
      </c>
      <c r="BC155">
        <f t="shared" si="101"/>
        <v>0</v>
      </c>
      <c r="BD155" s="32" cm="1">
        <f t="array" ref="BD155">IF($F$13-$I$4+VLOOKUP($R155,武学奇术!$A:$ZZ,13,FALSE)+SUM(_xlfn.XLOOKUP(S155:AG155,增益!$A:$A,增益!$M:$M,0))&gt;0,($F$13-$I$4+VLOOKUP($R155,武学奇术!$A:$ZZ,13,FALSE)+SUM(_xlfn.XLOOKUP(S155:AG155,增益!$A:$A,增益!$K:$K,0)))/200,($F$13-$I$4+VLOOKUP($R155,武学奇术!$A:$ZZ,13,FALSE)+SUM(_xlfn.XLOOKUP(S155:AG155,增益!$A:$A,增益!$M:$M,0)))/100)</f>
        <v>-0.3</v>
      </c>
      <c r="BE155" s="32" cm="1">
        <f t="array" ref="BE155">$G$13+VLOOKUP($R155,武学奇术!$A:$ZZ,14,FALSE)+SUM(_xlfn.XLOOKUP(S155:AG155,增益!$A:$A,增益!$N:$N,0))</f>
        <v>0</v>
      </c>
      <c r="BF155">
        <f t="shared" si="102"/>
        <v>571.2</v>
      </c>
      <c r="BG155">
        <f t="shared" si="103"/>
        <v>1627.8</v>
      </c>
      <c r="BH155" s="32" cm="1">
        <f t="array" ref="BH155">IF($F$14-$I$4+VLOOKUP($R155,武学奇术!$A:$ZZ,15,FALSE)+SUM(_xlfn.XLOOKUP(S155:AG155,增益!$A:$A,增益!$O:$O,0))&gt;0,($F$14-$I$4+VLOOKUP($R155,武学奇术!$A:$ZZ,15,FALSE)+SUM(_xlfn.XLOOKUP(S155:AG155,增益!$A:$A,增益!$O:$O,0)))/200,($F$14-$I$4+VLOOKUP($R155,武学奇术!$A:$ZZ,15,FALSE)+SUM(_xlfn.XLOOKUP(S155:AG155,增益!$A:$A,增益!$O:$O,0)))/100)</f>
        <v>0</v>
      </c>
      <c r="BI155" s="32" cm="1">
        <f t="array" ref="BI155">$G$14+VLOOKUP($R155,武学奇术!$A:$ZZ,16,FALSE)+SUM(_xlfn.XLOOKUP(S155:AG155,增益!$A:$A,增益!$P:$P,0))</f>
        <v>0.15</v>
      </c>
      <c r="BJ155" s="26">
        <f>MIN(IF(VLOOKUP($R155,武学奇术!$A:$ZZ,23,FALSE)=1,100%,$B$8),100%)</f>
        <v>0.981</v>
      </c>
      <c r="BK155" s="26" cm="1">
        <f t="array" ref="BK155">IF(VLOOKUP($R155,武学奇术!$A:$ZZ,23,FALSE)=1,100%,MIN(80%,$B$9+VLOOKUP($R155,武学奇术!$A:$ZZ,17,FALSE)+SUM(_xlfn.XLOOKUP(S155:AG155,增益!$A:$A,增益!$Q:$Q,0)))+$B$11+SUM(_xlfn.XLOOKUP(S155:AG155,增益!$A:$A,增益!$U:$U,0)))*IF(VLOOKUP($R155,武学奇术!$A:$ZZ,24,FALSE)=1,0,1)</f>
        <v>0.846</v>
      </c>
      <c r="BL155" s="26" cm="1">
        <f t="array" ref="BL155">1+$B$13+VLOOKUP($R155,武学奇术!$A:$ZZ,18,FALSE)+SUM(_xlfn.XLOOKUP(S155:AG155,增益!$A:$A,增益!$R:$R,0))</f>
        <v>1.88</v>
      </c>
      <c r="BM155" s="26" cm="1">
        <f t="array" ref="BM155">IF(VLOOKUP($R155,武学奇术!$A:$ZZ,24,FALSE)=1,100%,MIN(40%,$B$10+VLOOKUP($R155,武学奇术!$A:$ZZ,19,FALSE)+SUM(_xlfn.XLOOKUP(S155:AG155,增益!$A:$A,增益!$S:$S,0)))+$B$12+SUM(_xlfn.XLOOKUP(S155:AG155,增益!$A:$A,增益!$V:$V,0)))*IF(VLOOKUP($R155,武学奇术!$A:$ZZ,23,FALSE)=1,0,1)</f>
        <v>0.0929</v>
      </c>
      <c r="BN155" s="26" cm="1">
        <f t="array" ref="BN155">1+$B$14+VLOOKUP($R155,武学奇术!$A:$ZZ,20,FALSE)+SUM(_xlfn.XLOOKUP(S155:AG155,增益!$A:$A,增益!$T:$T,0))</f>
        <v>1.35</v>
      </c>
      <c r="BO155" s="26">
        <f t="shared" si="104"/>
        <v>0.829926</v>
      </c>
      <c r="BP155" s="26">
        <f t="shared" si="105"/>
        <v>0.0599391</v>
      </c>
      <c r="BQ155" s="26">
        <f>IF(VLOOKUP($R155,武学奇术!$A:$ZZ,22,FALSE)=1,0,(1-$BJ155))*(1-$BM155)</f>
        <v>0.0172349</v>
      </c>
      <c r="BR155" s="26" cm="1">
        <f t="array" ref="BR155">SUM(_xlfn.XLOOKUP(S155:AG155,增益!$A:$A,增益!$W:$W,0))+$I$5</f>
        <v>0.11</v>
      </c>
    </row>
    <row r="156" spans="11:70">
      <c r="K156">
        <f>$L156*VLOOKUP($R156,武学奇术!$A:$ZZ,31,FALSE)</f>
        <v>17138.5701519707</v>
      </c>
      <c r="L156" s="38">
        <f t="shared" si="95"/>
        <v>16322.4477637816</v>
      </c>
      <c r="M156" s="38">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BL156*$Q156*(1+IF(VLOOKUP($R156,武学奇术!$A:$ZZ,30,FALSE)="回旋伞",$B$21,0))*(1+$BR156)</f>
        <v>17330.5733634381</v>
      </c>
      <c r="N156" s="38">
        <f>(($AP156*$AI156+$AJ156)*(1+$AQ156)*(1+$AR156)+($AU156*IF($G$1="鸣金",$AK156,$AI156)+IF($G$1="鸣金",$AL156*1.5,0))*(1+$AV156)*(1+$AW156)+($AY156*IF($G$1="裂石",$AK156,$AI156)+IF($G$1="裂石",$AL156*1.5,0))*(1+$AZ156)*(1+$BA156)+($BC156*IF($G$1="牵丝",$AK156,$AI156)+IF($G$1="牵丝",$AL156*1.5,0))*(1+$BD156)*(1+$BE156)+($BG156*IF($G$1="破竹",$AK156,$AI156)+IF($G$1="破竹",$AL156*1.5,0))*(1+$BH156)*(1+$BI156))*(1+$AM156)*$BN156*$Q156*(1+IF(VLOOKUP($R156,武学奇术!$A:$ZZ,30,FALSE)="回旋伞",$B$21,0))*(1+$BR156)</f>
        <v>13511.5416262548</v>
      </c>
      <c r="O156" s="38">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Q156*(1+IF(VLOOKUP($R156,武学奇术!$A:$ZZ,30,FALSE)="回旋伞",$B$21,0))*(1+$BR156)</f>
        <v>9073.5986196011</v>
      </c>
      <c r="P156" s="38">
        <f>((($AO156*$AI156+$AJ156)*(1+$AQ156)*(1+$AR156)+($AT156*IF($G$1="鸣金",$AK156,$AI156)+IF($G$1="鸣金",$AL156*1.5,0))*(1+$AV156)*(1+$AW156)+($AX156*IF($G$1="裂石",$AK156,$AI156)+IF($G$1="裂石",$AL156*1.5,0))*(1+$AZ156)*(1+$BA156)+($BB156*IF($G$1="牵丝",$AK156,$AI156)+IF($G$1="牵丝",$AL156*1.5,0))*(1+$BD156)*(1+$BE156)+($BF156*IF($G$1="破竹",$AK156,$AI156)+IF($G$1="破竹",$AL156*1.5,0))*(1+$BH156)*(1+$BI156))*(1+$AM156))*$Q156*(1+IF(VLOOKUP($R156,武学奇术!$A:$ZZ,30,FALSE)="回旋伞",$B$21,0))*(1+$BR156)</f>
        <v>8138.6478864209</v>
      </c>
      <c r="Q156" s="39">
        <f t="shared" si="106"/>
        <v>1</v>
      </c>
      <c r="R156" s="40" t="s">
        <v>186</v>
      </c>
      <c r="S156" s="40" t="s">
        <v>72</v>
      </c>
      <c r="T156" s="40" t="s">
        <v>95</v>
      </c>
      <c r="U156" s="40" t="s">
        <v>73</v>
      </c>
      <c r="V156" s="40" t="s">
        <v>72</v>
      </c>
      <c r="W156" s="40" t="s">
        <v>172</v>
      </c>
      <c r="X156" s="40" t="s">
        <v>99</v>
      </c>
      <c r="Y156" s="40" t="s">
        <v>84</v>
      </c>
      <c r="Z156" s="40" t="s">
        <v>72</v>
      </c>
      <c r="AA156" s="40" t="s">
        <v>72</v>
      </c>
      <c r="AB156" s="40" t="s">
        <v>72</v>
      </c>
      <c r="AC156" s="40" t="s">
        <v>91</v>
      </c>
      <c r="AD156" s="40" t="s">
        <v>72</v>
      </c>
      <c r="AE156" s="40" t="s">
        <v>72</v>
      </c>
      <c r="AF156" s="40" t="s">
        <v>77</v>
      </c>
      <c r="AG156" s="40" t="s">
        <v>78</v>
      </c>
      <c r="AH156" t="str">
        <f>VLOOKUP($R156,武学奇术!$A:$ZZ,25,FALSE)</f>
        <v>心法</v>
      </c>
      <c r="AI156" s="26">
        <f>VLOOKUP($R156,武学奇术!$A:$ZZ,26,FALSE)</f>
        <v>1</v>
      </c>
      <c r="AJ156" s="27">
        <f>VLOOKUP($R156,武学奇术!$A:$ZZ,27,FALSE)*(1+IF(OR($AH156=$F$4,$AH156=$F$5),$B$22,0))</f>
        <v>0</v>
      </c>
      <c r="AK156" s="26">
        <f>VLOOKUP($R156,武学奇术!$A:$ZZ,28,FALSE)</f>
        <v>1</v>
      </c>
      <c r="AL156" s="27">
        <f>VLOOKUP($R156,武学奇术!$A:$ZZ,29,FALSE)*(1+IF(OR($AH156=$F$4,$AH156=$F$5),$B$22,0))</f>
        <v>0</v>
      </c>
      <c r="AM156" s="26" cm="1">
        <f t="array" ref="AM156">$G$3+IFERROR(VLOOKUP($AH156,$F$4:$G$7,2,FALSE),0)+VLOOKUP($R156,武学奇术!$A:$ZZ,2,FALSE)+SUM(_xlfn.XLOOKUP($S156:$AG156,增益!$A:$A,增益!$B:$B,0))</f>
        <v>0.2837</v>
      </c>
      <c r="AN156" s="26" cm="1">
        <f t="array" ref="AN156">VLOOKUP($R156,武学奇术!$A:$ZZ,5,FALSE)+SUM(_xlfn.XLOOKUP($S156:$AG156,增益!$A:$A,增益!$E:$E,0))</f>
        <v>0</v>
      </c>
      <c r="AO156" cm="1">
        <f t="array" ref="AO156">$D$10*(1+$AN156)+VLOOKUP($R156,武学奇术!$A:$ZZ,3,FALSE)+SUM(_xlfn.XLOOKUP($S156:$AG156,增益!$A:$A,增益!$C:$C,0))-$I$2</f>
        <v>3624.6</v>
      </c>
      <c r="AP156" cm="1">
        <f t="array" ref="AP156">$E$10*(1+$AN156)+VLOOKUP($R156,武学奇术!$A:$ZZ,4,FALSE)+SUM(_xlfn.XLOOKUP($S156:$AG156,增益!$A:$A,增益!$D:$D,0))-$I$2</f>
        <v>3624.6</v>
      </c>
      <c r="AQ156" s="32" cm="1">
        <f t="array" ref="AQ156">IF($F$10-$I$3+VLOOKUP($R156,武学奇术!$A:$ZZ,6,FALSE)+SUM(_xlfn.XLOOKUP(S156:AG156,增益!$A:$A,增益!$F:$F,0))&gt;0,($F$10-$I$3+VLOOKUP($R156,武学奇术!$A:$ZZ,6,FALSE)+SUM(_xlfn.XLOOKUP(S156:AG156,增益!$A:$A,增益!$F:$F,0)))/200,($F$10-$I$3+VLOOKUP($R156,武学奇术!$A:$ZZ,6,FALSE)+SUM(_xlfn.XLOOKUP(S156:AG156,增益!$A:$A,增益!$F:$F,0)))/100)</f>
        <v>0.3425</v>
      </c>
      <c r="AR156" s="32" cm="1">
        <f t="array" ref="AR156">$G$10+VLOOKUP($R156,武学奇术!$A:$ZZ,7,FALSE)+SUM(_xlfn.XLOOKUP(S156:AG156,增益!$A:$A,增益!$G:$G,0))</f>
        <v>0.028</v>
      </c>
      <c r="AS156" s="26" cm="1">
        <f t="array" ref="AS156">VLOOKUP($R156,武学奇术!$A:$ZZ,8,FALSE)+SUM(_xlfn.XLOOKUP(S156:AG156,增益!$A:$A,增益!$H:$H,0))</f>
        <v>0</v>
      </c>
      <c r="AT156">
        <f t="shared" si="96"/>
        <v>0</v>
      </c>
      <c r="AU156">
        <f t="shared" si="97"/>
        <v>0</v>
      </c>
      <c r="AV156" s="32" cm="1">
        <f t="array" ref="AV156">IF($F$11-$I$4+VLOOKUP($R156,武学奇术!$A:$ZZ,9,FALSE)+SUM(_xlfn.XLOOKUP(S156:AG156,增益!$A:$A,增益!$I:$I,0))&gt;0,($F$11-$I$4+VLOOKUP($R156,武学奇术!$A:$ZZ,9,FALSE)+SUM(_xlfn.XLOOKUP(S156:AG156,增益!$A:$A,增益!$I:$I,0)))/200,($F$11-$I$4+VLOOKUP($R156,武学奇术!$A:$ZZ,9,FALSE)+SUM(_xlfn.XLOOKUP(S156:AG156,增益!$A:$A,增益!$I:$I,0)))/100)</f>
        <v>-0.14</v>
      </c>
      <c r="AW156" s="32" cm="1">
        <f t="array" ref="AW156">$G$11+VLOOKUP($R156,武学奇术!$A:$ZZ,10,FALSE)+SUM(_xlfn.XLOOKUP(S156:AG156,增益!$A:$A,增益!$J:$J,0))</f>
        <v>0</v>
      </c>
      <c r="AX156">
        <f t="shared" si="98"/>
        <v>0</v>
      </c>
      <c r="AY156">
        <f t="shared" si="99"/>
        <v>0</v>
      </c>
      <c r="AZ156" s="32" cm="1">
        <f t="array" ref="AZ156">IF($F$12-$I$4+VLOOKUP($R156,武学奇术!$A:$ZZ,11,FALSE)+SUM(_xlfn.XLOOKUP(S156:AG156,增益!$A:$A,增益!$K:$K,0))&gt;0,($F$12-$I$4+VLOOKUP($R156,武学奇术!$A:$ZZ,11,FALSE)+SUM(_xlfn.XLOOKUP(S156:AG156,增益!$A:$A,增益!$K:$K,0)))/200,($F$12-$I$4+VLOOKUP($R156,武学奇术!$A:$ZZ,11,FALSE)+SUM(_xlfn.XLOOKUP(S156:AG156,增益!$A:$A,增益!$K:$K,0)))/100)</f>
        <v>-0.14</v>
      </c>
      <c r="BA156" s="32" cm="1">
        <f t="array" ref="BA156">$G$12+VLOOKUP($R156,武学奇术!$A:$ZZ,12,FALSE)+SUM(_xlfn.XLOOKUP(S156:AG156,增益!$A:$A,增益!$L:$L,0))</f>
        <v>0</v>
      </c>
      <c r="BB156">
        <f t="shared" si="100"/>
        <v>0</v>
      </c>
      <c r="BC156">
        <f t="shared" si="101"/>
        <v>0</v>
      </c>
      <c r="BD156" s="32" cm="1">
        <f t="array" ref="BD156">IF($F$13-$I$4+VLOOKUP($R156,武学奇术!$A:$ZZ,13,FALSE)+SUM(_xlfn.XLOOKUP(S156:AG156,增益!$A:$A,增益!$M:$M,0))&gt;0,($F$13-$I$4+VLOOKUP($R156,武学奇术!$A:$ZZ,13,FALSE)+SUM(_xlfn.XLOOKUP(S156:AG156,增益!$A:$A,增益!$K:$K,0)))/200,($F$13-$I$4+VLOOKUP($R156,武学奇术!$A:$ZZ,13,FALSE)+SUM(_xlfn.XLOOKUP(S156:AG156,增益!$A:$A,增益!$M:$M,0)))/100)</f>
        <v>-0.14</v>
      </c>
      <c r="BE156" s="32" cm="1">
        <f t="array" ref="BE156">$G$13+VLOOKUP($R156,武学奇术!$A:$ZZ,14,FALSE)+SUM(_xlfn.XLOOKUP(S156:AG156,增益!$A:$A,增益!$N:$N,0))</f>
        <v>0</v>
      </c>
      <c r="BF156">
        <f t="shared" si="102"/>
        <v>571.2</v>
      </c>
      <c r="BG156">
        <f t="shared" si="103"/>
        <v>1627.8</v>
      </c>
      <c r="BH156" s="32" cm="1">
        <f t="array" ref="BH156">IF($F$14-$I$4+VLOOKUP($R156,武学奇术!$A:$ZZ,15,FALSE)+SUM(_xlfn.XLOOKUP(S156:AG156,增益!$A:$A,增益!$O:$O,0))&gt;0,($F$14-$I$4+VLOOKUP($R156,武学奇术!$A:$ZZ,15,FALSE)+SUM(_xlfn.XLOOKUP(S156:AG156,增益!$A:$A,增益!$O:$O,0)))/200,($F$14-$I$4+VLOOKUP($R156,武学奇术!$A:$ZZ,15,FALSE)+SUM(_xlfn.XLOOKUP(S156:AG156,增益!$A:$A,增益!$O:$O,0)))/100)</f>
        <v>0.08</v>
      </c>
      <c r="BI156" s="32" cm="1">
        <f t="array" ref="BI156">$G$14+VLOOKUP($R156,武学奇术!$A:$ZZ,16,FALSE)+SUM(_xlfn.XLOOKUP(S156:AG156,增益!$A:$A,增益!$P:$P,0))</f>
        <v>0.15</v>
      </c>
      <c r="BJ156" s="26">
        <f>MIN(IF(VLOOKUP($R156,武学奇术!$A:$ZZ,23,FALSE)=1,100%,$B$8),100%)</f>
        <v>0.981</v>
      </c>
      <c r="BK156" s="26" cm="1">
        <f t="array" ref="BK156">IF(VLOOKUP($R156,武学奇术!$A:$ZZ,23,FALSE)=1,100%,MIN(80%,$B$9+VLOOKUP($R156,武学奇术!$A:$ZZ,17,FALSE)+SUM(_xlfn.XLOOKUP(S156:AG156,增益!$A:$A,增益!$Q:$Q,0)))+$B$11+SUM(_xlfn.XLOOKUP(S156:AG156,增益!$A:$A,增益!$U:$U,0)))*IF(VLOOKUP($R156,武学奇术!$A:$ZZ,24,FALSE)=1,0,1)</f>
        <v>0.846</v>
      </c>
      <c r="BL156" s="26" cm="1">
        <f t="array" ref="BL156">1+$B$13+VLOOKUP($R156,武学奇术!$A:$ZZ,18,FALSE)+SUM(_xlfn.XLOOKUP(S156:AG156,增益!$A:$A,增益!$R:$R,0))</f>
        <v>1.91</v>
      </c>
      <c r="BM156" s="26" cm="1">
        <f t="array" ref="BM156">IF(VLOOKUP($R156,武学奇术!$A:$ZZ,24,FALSE)=1,100%,MIN(40%,$B$10+VLOOKUP($R156,武学奇术!$A:$ZZ,19,FALSE)+SUM(_xlfn.XLOOKUP(S156:AG156,增益!$A:$A,增益!$S:$S,0)))+$B$12+SUM(_xlfn.XLOOKUP(S156:AG156,增益!$A:$A,增益!$V:$V,0)))*IF(VLOOKUP($R156,武学奇术!$A:$ZZ,23,FALSE)=1,0,1)</f>
        <v>0.0929</v>
      </c>
      <c r="BN156" s="26" cm="1">
        <f t="array" ref="BN156">1+$B$14+VLOOKUP($R156,武学奇术!$A:$ZZ,20,FALSE)+SUM(_xlfn.XLOOKUP(S156:AG156,增益!$A:$A,增益!$T:$T,0))</f>
        <v>1.35</v>
      </c>
      <c r="BO156" s="26">
        <f t="shared" si="104"/>
        <v>0.829926</v>
      </c>
      <c r="BP156" s="26">
        <f t="shared" si="105"/>
        <v>0.0599391</v>
      </c>
      <c r="BQ156" s="26">
        <f>IF(VLOOKUP($R156,武学奇术!$A:$ZZ,22,FALSE)=1,0,(1-$BJ156))*(1-$BM156)</f>
        <v>0.0172349</v>
      </c>
      <c r="BR156" s="26" cm="1">
        <f t="array" ref="BR156">SUM(_xlfn.XLOOKUP(S156:AG156,增益!$A:$A,增益!$W:$W,0))+$I$5</f>
        <v>0.11</v>
      </c>
    </row>
    <row r="157" spans="11:70">
      <c r="K157">
        <f>$L157*VLOOKUP($R157,武学奇术!$A:$ZZ,31,FALSE)</f>
        <v>19486.9466941716</v>
      </c>
      <c r="L157" s="38">
        <f t="shared" si="95"/>
        <v>18558.996851592</v>
      </c>
      <c r="M157" s="38">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BL157*$Q157*(1+IF(VLOOKUP($R157,武学奇术!$A:$ZZ,30,FALSE)="回旋伞",$B$21,0))*(1+$BR157)</f>
        <v>19712.4812326434</v>
      </c>
      <c r="N157" s="38">
        <f>(($AP157*$AI157+$AJ157)*(1+$AQ157)*(1+$AR157)+($AU157*IF($G$1="鸣金",$AK157,$AI157)+IF($G$1="鸣金",$AL157*1.5,0))*(1+$AV157)*(1+$AW157)+($AY157*IF($G$1="裂石",$AK157,$AI157)+IF($G$1="裂石",$AL157*1.5,0))*(1+$AZ157)*(1+$BA157)+($BC157*IF($G$1="牵丝",$AK157,$AI157)+IF($G$1="牵丝",$AL157*1.5,0))*(1+$BD157)*(1+$BE157)+($BG157*IF($G$1="破竹",$AK157,$AI157)+IF($G$1="破竹",$AL157*1.5,0))*(1+$BH157)*(1+$BI157))*(1+$AM157)*$BN157*$Q157*(1+IF(VLOOKUP($R157,武学奇术!$A:$ZZ,30,FALSE)="回旋伞",$B$21,0))*(1+$BR157)</f>
        <v>15283.6752362572</v>
      </c>
      <c r="O157" s="38">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Q157*(1+IF(VLOOKUP($R157,武学奇术!$A:$ZZ,30,FALSE)="回旋伞",$B$21,0))*(1+$BR157)</f>
        <v>10320.6708024311</v>
      </c>
      <c r="P157" s="38">
        <f>((($AO157*$AI157+$AJ157)*(1+$AQ157)*(1+$AR157)+($AT157*IF($G$1="鸣金",$AK157,$AI157)+IF($G$1="鸣金",$AL157*1.5,0))*(1+$AV157)*(1+$AW157)+($AX157*IF($G$1="裂石",$AK157,$AI157)+IF($G$1="裂石",$AL157*1.5,0))*(1+$AZ157)*(1+$BA157)+($BB157*IF($G$1="牵丝",$AK157,$AI157)+IF($G$1="牵丝",$AL157*1.5,0))*(1+$BD157)*(1+$BE157)+($BF157*IF($G$1="破竹",$AK157,$AI157)+IF($G$1="破竹",$AL157*1.5,0))*(1+$BH157)*(1+$BI157))*(1+$AM157))*$Q157*(1+IF(VLOOKUP($R157,武学奇术!$A:$ZZ,30,FALSE)="回旋伞",$B$21,0))*(1+$BR157)</f>
        <v>9320.1006891161</v>
      </c>
      <c r="Q157" s="39">
        <f t="shared" si="106"/>
        <v>1</v>
      </c>
      <c r="R157" s="40" t="s">
        <v>186</v>
      </c>
      <c r="S157" s="40" t="s">
        <v>72</v>
      </c>
      <c r="T157" s="40" t="s">
        <v>95</v>
      </c>
      <c r="U157" s="40" t="s">
        <v>73</v>
      </c>
      <c r="V157" s="40" t="s">
        <v>81</v>
      </c>
      <c r="W157" s="40" t="s">
        <v>172</v>
      </c>
      <c r="X157" s="40" t="s">
        <v>99</v>
      </c>
      <c r="Y157" s="40" t="s">
        <v>72</v>
      </c>
      <c r="Z157" s="40" t="s">
        <v>72</v>
      </c>
      <c r="AA157" s="40" t="s">
        <v>72</v>
      </c>
      <c r="AB157" s="40" t="s">
        <v>72</v>
      </c>
      <c r="AC157" s="40" t="s">
        <v>85</v>
      </c>
      <c r="AD157" s="40" t="s">
        <v>72</v>
      </c>
      <c r="AE157" s="40" t="s">
        <v>72</v>
      </c>
      <c r="AF157" s="40" t="s">
        <v>77</v>
      </c>
      <c r="AG157" s="40" t="s">
        <v>78</v>
      </c>
      <c r="AH157" t="str">
        <f>VLOOKUP($R157,武学奇术!$A:$ZZ,25,FALSE)</f>
        <v>心法</v>
      </c>
      <c r="AI157" s="26">
        <f>VLOOKUP($R157,武学奇术!$A:$ZZ,26,FALSE)</f>
        <v>1</v>
      </c>
      <c r="AJ157" s="27">
        <f>VLOOKUP($R157,武学奇术!$A:$ZZ,27,FALSE)*(1+IF(OR($AH157=$F$4,$AH157=$F$5),$B$22,0))</f>
        <v>0</v>
      </c>
      <c r="AK157" s="26">
        <f>VLOOKUP($R157,武学奇术!$A:$ZZ,28,FALSE)</f>
        <v>1</v>
      </c>
      <c r="AL157" s="27">
        <f>VLOOKUP($R157,武学奇术!$A:$ZZ,29,FALSE)*(1+IF(OR($AH157=$F$4,$AH157=$F$5),$B$22,0))</f>
        <v>0</v>
      </c>
      <c r="AM157" s="26" cm="1">
        <f t="array" ref="AM157">$G$3+IFERROR(VLOOKUP($AH157,$F$4:$G$7,2,FALSE),0)+VLOOKUP($R157,武学奇术!$A:$ZZ,2,FALSE)+SUM(_xlfn.XLOOKUP($S157:$AG157,增益!$A:$A,增益!$B:$B,0))</f>
        <v>0.4837</v>
      </c>
      <c r="AN157" s="26" cm="1">
        <f t="array" ref="AN157">VLOOKUP($R157,武学奇术!$A:$ZZ,5,FALSE)+SUM(_xlfn.XLOOKUP($S157:$AG157,增益!$A:$A,增益!$E:$E,0))</f>
        <v>0</v>
      </c>
      <c r="AO157" cm="1">
        <f t="array" ref="AO157">$D$10*(1+$AN157)+VLOOKUP($R157,武学奇术!$A:$ZZ,3,FALSE)+SUM(_xlfn.XLOOKUP($S157:$AG157,增益!$A:$A,增益!$C:$C,0))-$I$2</f>
        <v>3624.6</v>
      </c>
      <c r="AP157" cm="1">
        <f t="array" ref="AP157">$E$10*(1+$AN157)+VLOOKUP($R157,武学奇术!$A:$ZZ,4,FALSE)+SUM(_xlfn.XLOOKUP($S157:$AG157,增益!$A:$A,增益!$D:$D,0))-$I$2</f>
        <v>3624.6</v>
      </c>
      <c r="AQ157" s="32" cm="1">
        <f t="array" ref="AQ157">IF($F$10-$I$3+VLOOKUP($R157,武学奇术!$A:$ZZ,6,FALSE)+SUM(_xlfn.XLOOKUP(S157:AG157,增益!$A:$A,增益!$F:$F,0))&gt;0,($F$10-$I$3+VLOOKUP($R157,武学奇术!$A:$ZZ,6,FALSE)+SUM(_xlfn.XLOOKUP(S157:AG157,增益!$A:$A,增益!$F:$F,0)))/200,($F$10-$I$3+VLOOKUP($R157,武学奇术!$A:$ZZ,6,FALSE)+SUM(_xlfn.XLOOKUP(S157:AG157,增益!$A:$A,增益!$F:$F,0)))/100)</f>
        <v>0.3425</v>
      </c>
      <c r="AR157" s="32" cm="1">
        <f t="array" ref="AR157">$G$10+VLOOKUP($R157,武学奇术!$A:$ZZ,7,FALSE)+SUM(_xlfn.XLOOKUP(S157:AG157,增益!$A:$A,增益!$G:$G,0))</f>
        <v>0.028</v>
      </c>
      <c r="AS157" s="26" cm="1">
        <f t="array" ref="AS157">VLOOKUP($R157,武学奇术!$A:$ZZ,8,FALSE)+SUM(_xlfn.XLOOKUP(S157:AG157,增益!$A:$A,增益!$H:$H,0))</f>
        <v>0</v>
      </c>
      <c r="AT157">
        <f t="shared" si="96"/>
        <v>0</v>
      </c>
      <c r="AU157">
        <f t="shared" si="97"/>
        <v>0</v>
      </c>
      <c r="AV157" s="32" cm="1">
        <f t="array" ref="AV157">IF($F$11-$I$4+VLOOKUP($R157,武学奇术!$A:$ZZ,9,FALSE)+SUM(_xlfn.XLOOKUP(S157:AG157,增益!$A:$A,增益!$I:$I,0))&gt;0,($F$11-$I$4+VLOOKUP($R157,武学奇术!$A:$ZZ,9,FALSE)+SUM(_xlfn.XLOOKUP(S157:AG157,增益!$A:$A,增益!$I:$I,0)))/200,($F$11-$I$4+VLOOKUP($R157,武学奇术!$A:$ZZ,9,FALSE)+SUM(_xlfn.XLOOKUP(S157:AG157,增益!$A:$A,增益!$I:$I,0)))/100)</f>
        <v>-0.3</v>
      </c>
      <c r="AW157" s="32" cm="1">
        <f t="array" ref="AW157">$G$11+VLOOKUP($R157,武学奇术!$A:$ZZ,10,FALSE)+SUM(_xlfn.XLOOKUP(S157:AG157,增益!$A:$A,增益!$J:$J,0))</f>
        <v>0</v>
      </c>
      <c r="AX157">
        <f t="shared" si="98"/>
        <v>0</v>
      </c>
      <c r="AY157">
        <f t="shared" si="99"/>
        <v>0</v>
      </c>
      <c r="AZ157" s="32" cm="1">
        <f t="array" ref="AZ157">IF($F$12-$I$4+VLOOKUP($R157,武学奇术!$A:$ZZ,11,FALSE)+SUM(_xlfn.XLOOKUP(S157:AG157,增益!$A:$A,增益!$K:$K,0))&gt;0,($F$12-$I$4+VLOOKUP($R157,武学奇术!$A:$ZZ,11,FALSE)+SUM(_xlfn.XLOOKUP(S157:AG157,增益!$A:$A,增益!$K:$K,0)))/200,($F$12-$I$4+VLOOKUP($R157,武学奇术!$A:$ZZ,11,FALSE)+SUM(_xlfn.XLOOKUP(S157:AG157,增益!$A:$A,增益!$K:$K,0)))/100)</f>
        <v>-0.3</v>
      </c>
      <c r="BA157" s="32" cm="1">
        <f t="array" ref="BA157">$G$12+VLOOKUP($R157,武学奇术!$A:$ZZ,12,FALSE)+SUM(_xlfn.XLOOKUP(S157:AG157,增益!$A:$A,增益!$L:$L,0))</f>
        <v>0</v>
      </c>
      <c r="BB157">
        <f t="shared" si="100"/>
        <v>0</v>
      </c>
      <c r="BC157">
        <f t="shared" si="101"/>
        <v>0</v>
      </c>
      <c r="BD157" s="32" cm="1">
        <f t="array" ref="BD157">IF($F$13-$I$4+VLOOKUP($R157,武学奇术!$A:$ZZ,13,FALSE)+SUM(_xlfn.XLOOKUP(S157:AG157,增益!$A:$A,增益!$M:$M,0))&gt;0,($F$13-$I$4+VLOOKUP($R157,武学奇术!$A:$ZZ,13,FALSE)+SUM(_xlfn.XLOOKUP(S157:AG157,增益!$A:$A,增益!$K:$K,0)))/200,($F$13-$I$4+VLOOKUP($R157,武学奇术!$A:$ZZ,13,FALSE)+SUM(_xlfn.XLOOKUP(S157:AG157,增益!$A:$A,增益!$M:$M,0)))/100)</f>
        <v>-0.3</v>
      </c>
      <c r="BE157" s="32" cm="1">
        <f t="array" ref="BE157">$G$13+VLOOKUP($R157,武学奇术!$A:$ZZ,14,FALSE)+SUM(_xlfn.XLOOKUP(S157:AG157,增益!$A:$A,增益!$N:$N,0))</f>
        <v>0</v>
      </c>
      <c r="BF157">
        <f t="shared" si="102"/>
        <v>571.2</v>
      </c>
      <c r="BG157">
        <f t="shared" si="103"/>
        <v>1627.8</v>
      </c>
      <c r="BH157" s="32" cm="1">
        <f t="array" ref="BH157">IF($F$14-$I$4+VLOOKUP($R157,武学奇术!$A:$ZZ,15,FALSE)+SUM(_xlfn.XLOOKUP(S157:AG157,增益!$A:$A,增益!$O:$O,0))&gt;0,($F$14-$I$4+VLOOKUP($R157,武学奇术!$A:$ZZ,15,FALSE)+SUM(_xlfn.XLOOKUP(S157:AG157,增益!$A:$A,增益!$O:$O,0)))/200,($F$14-$I$4+VLOOKUP($R157,武学奇术!$A:$ZZ,15,FALSE)+SUM(_xlfn.XLOOKUP(S157:AG157,增益!$A:$A,增益!$O:$O,0)))/100)</f>
        <v>0</v>
      </c>
      <c r="BI157" s="32" cm="1">
        <f t="array" ref="BI157">$G$14+VLOOKUP($R157,武学奇术!$A:$ZZ,16,FALSE)+SUM(_xlfn.XLOOKUP(S157:AG157,增益!$A:$A,增益!$P:$P,0))</f>
        <v>0.15</v>
      </c>
      <c r="BJ157" s="26">
        <f>MIN(IF(VLOOKUP($R157,武学奇术!$A:$ZZ,23,FALSE)=1,100%,$B$8),100%)</f>
        <v>0.981</v>
      </c>
      <c r="BK157" s="26" cm="1">
        <f t="array" ref="BK157">IF(VLOOKUP($R157,武学奇术!$A:$ZZ,23,FALSE)=1,100%,MIN(80%,$B$9+VLOOKUP($R157,武学奇术!$A:$ZZ,17,FALSE)+SUM(_xlfn.XLOOKUP(S157:AG157,增益!$A:$A,增益!$Q:$Q,0)))+$B$11+SUM(_xlfn.XLOOKUP(S157:AG157,增益!$A:$A,增益!$U:$U,0)))*IF(VLOOKUP($R157,武学奇术!$A:$ZZ,24,FALSE)=1,0,1)</f>
        <v>0.846</v>
      </c>
      <c r="BL157" s="26" cm="1">
        <f t="array" ref="BL157">1+$B$13+VLOOKUP($R157,武学奇术!$A:$ZZ,18,FALSE)+SUM(_xlfn.XLOOKUP(S157:AG157,增益!$A:$A,增益!$R:$R,0))</f>
        <v>1.91</v>
      </c>
      <c r="BM157" s="26" cm="1">
        <f t="array" ref="BM157">IF(VLOOKUP($R157,武学奇术!$A:$ZZ,24,FALSE)=1,100%,MIN(40%,$B$10+VLOOKUP($R157,武学奇术!$A:$ZZ,19,FALSE)+SUM(_xlfn.XLOOKUP(S157:AG157,增益!$A:$A,增益!$S:$S,0)))+$B$12+SUM(_xlfn.XLOOKUP(S157:AG157,增益!$A:$A,增益!$V:$V,0)))*IF(VLOOKUP($R157,武学奇术!$A:$ZZ,23,FALSE)=1,0,1)</f>
        <v>0.0929</v>
      </c>
      <c r="BN157" s="26" cm="1">
        <f t="array" ref="BN157">1+$B$14+VLOOKUP($R157,武学奇术!$A:$ZZ,20,FALSE)+SUM(_xlfn.XLOOKUP(S157:AG157,增益!$A:$A,增益!$T:$T,0))</f>
        <v>1.35</v>
      </c>
      <c r="BO157" s="26">
        <f t="shared" si="104"/>
        <v>0.829926</v>
      </c>
      <c r="BP157" s="26">
        <f t="shared" si="105"/>
        <v>0.0599391</v>
      </c>
      <c r="BQ157" s="26">
        <f>IF(VLOOKUP($R157,武学奇术!$A:$ZZ,22,FALSE)=1,0,(1-$BJ157))*(1-$BM157)</f>
        <v>0.0172349</v>
      </c>
      <c r="BR157" s="26" cm="1">
        <f t="array" ref="BR157">SUM(_xlfn.XLOOKUP(S157:AG157,增益!$A:$A,增益!$W:$W,0))+$I$5</f>
        <v>0.11</v>
      </c>
    </row>
    <row r="158" spans="11:70">
      <c r="K158">
        <f>$L158*VLOOKUP($R158,武学奇术!$A:$ZZ,31,FALSE)</f>
        <v>23377.8979681954</v>
      </c>
      <c r="L158" s="38">
        <f t="shared" si="95"/>
        <v>22264.6647316146</v>
      </c>
      <c r="M158" s="38">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BL158*$Q158*(1+IF(VLOOKUP($R158,武学奇术!$A:$ZZ,30,FALSE)="回旋伞",$B$21,0))*(1+$BR158)</f>
        <v>23639.8003000381</v>
      </c>
      <c r="N158" s="38">
        <f>(($AP158*$AI158+$AJ158)*(1+$AQ158)*(1+$AR158)+($AU158*IF($G$1="鸣金",$AK158,$AI158)+IF($G$1="鸣金",$AL158*1.5,0))*(1+$AV158)*(1+$AW158)+($AY158*IF($G$1="裂石",$AK158,$AI158)+IF($G$1="裂石",$AL158*1.5,0))*(1+$AZ158)*(1+$BA158)+($BC158*IF($G$1="牵丝",$AK158,$AI158)+IF($G$1="牵丝",$AL158*1.5,0))*(1+$BD158)*(1+$BE158)+($BG158*IF($G$1="破竹",$AK158,$AI158)+IF($G$1="破竹",$AL158*1.5,0))*(1+$BH158)*(1+$BI158))*(1+$AM158)*$BN158*$Q158*(1+IF(VLOOKUP($R158,武学奇术!$A:$ZZ,30,FALSE)="回旋伞",$B$21,0))*(1+$BR158)</f>
        <v>18430.4430725971</v>
      </c>
      <c r="O158" s="38">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Q158*(1+IF(VLOOKUP($R158,武学奇术!$A:$ZZ,30,FALSE)="回旋伞",$B$21,0))*(1+$BR158)</f>
        <v>12376.8587958315</v>
      </c>
      <c r="P158" s="38">
        <f>((($AO158*$AI158+$AJ158)*(1+$AQ158)*(1+$AR158)+($AT158*IF($G$1="鸣金",$AK158,$AI158)+IF($G$1="鸣金",$AL158*1.5,0))*(1+$AV158)*(1+$AW158)+($AX158*IF($G$1="裂石",$AK158,$AI158)+IF($G$1="裂石",$AL158*1.5,0))*(1+$AZ158)*(1+$BA158)+($BB158*IF($G$1="牵丝",$AK158,$AI158)+IF($G$1="牵丝",$AL158*1.5,0))*(1+$BD158)*(1+$BE158)+($BF158*IF($G$1="破竹",$AK158,$AI158)+IF($G$1="破竹",$AL158*1.5,0))*(1+$BH158)*(1+$BI158))*(1+$AM158))*$Q158*(1+IF(VLOOKUP($R158,武学奇术!$A:$ZZ,30,FALSE)="回旋伞",$B$21,0))*(1+$BR158)</f>
        <v>11101.5375378873</v>
      </c>
      <c r="Q158" s="39">
        <f t="shared" si="106"/>
        <v>1</v>
      </c>
      <c r="R158" s="40" t="s">
        <v>186</v>
      </c>
      <c r="S158" s="40" t="s">
        <v>72</v>
      </c>
      <c r="T158" s="40" t="s">
        <v>95</v>
      </c>
      <c r="U158" s="40" t="s">
        <v>73</v>
      </c>
      <c r="V158" s="40" t="s">
        <v>81</v>
      </c>
      <c r="W158" s="40" t="s">
        <v>172</v>
      </c>
      <c r="X158" s="40" t="s">
        <v>99</v>
      </c>
      <c r="Y158" s="40" t="s">
        <v>84</v>
      </c>
      <c r="Z158" s="40" t="s">
        <v>176</v>
      </c>
      <c r="AA158" s="40" t="s">
        <v>177</v>
      </c>
      <c r="AB158" s="40" t="s">
        <v>72</v>
      </c>
      <c r="AC158" s="40" t="s">
        <v>91</v>
      </c>
      <c r="AD158" s="40" t="s">
        <v>178</v>
      </c>
      <c r="AE158" s="40" t="s">
        <v>72</v>
      </c>
      <c r="AF158" s="40" t="s">
        <v>77</v>
      </c>
      <c r="AG158" s="40" t="s">
        <v>78</v>
      </c>
      <c r="AH158" t="str">
        <f>VLOOKUP($R158,武学奇术!$A:$ZZ,25,FALSE)</f>
        <v>心法</v>
      </c>
      <c r="AI158" s="26">
        <f>VLOOKUP($R158,武学奇术!$A:$ZZ,26,FALSE)</f>
        <v>1</v>
      </c>
      <c r="AJ158" s="27">
        <f>VLOOKUP($R158,武学奇术!$A:$ZZ,27,FALSE)*(1+IF(OR($AH158=$F$4,$AH158=$F$5),$B$22,0))</f>
        <v>0</v>
      </c>
      <c r="AK158" s="26">
        <f>VLOOKUP($R158,武学奇术!$A:$ZZ,28,FALSE)</f>
        <v>1</v>
      </c>
      <c r="AL158" s="27">
        <f>VLOOKUP($R158,武学奇术!$A:$ZZ,29,FALSE)*(1+IF(OR($AH158=$F$4,$AH158=$F$5),$B$22,0))</f>
        <v>0</v>
      </c>
      <c r="AM158" s="26" cm="1">
        <f t="array" ref="AM158">$G$3+IFERROR(VLOOKUP($AH158,$F$4:$G$7,2,FALSE),0)+VLOOKUP($R158,武学奇术!$A:$ZZ,2,FALSE)+SUM(_xlfn.XLOOKUP($S158:$AG158,增益!$A:$A,增益!$B:$B,0))</f>
        <v>0.4837</v>
      </c>
      <c r="AN158" s="26" cm="1">
        <f t="array" ref="AN158">VLOOKUP($R158,武学奇术!$A:$ZZ,5,FALSE)+SUM(_xlfn.XLOOKUP($S158:$AG158,增益!$A:$A,增益!$E:$E,0))</f>
        <v>0</v>
      </c>
      <c r="AO158" cm="1">
        <f t="array" ref="AO158">$D$10*(1+$AN158)+VLOOKUP($R158,武学奇术!$A:$ZZ,3,FALSE)+SUM(_xlfn.XLOOKUP($S158:$AG158,增益!$A:$A,增益!$C:$C,0))-$I$2</f>
        <v>3624.6</v>
      </c>
      <c r="AP158" cm="1">
        <f t="array" ref="AP158">$E$10*(1+$AN158)+VLOOKUP($R158,武学奇术!$A:$ZZ,4,FALSE)+SUM(_xlfn.XLOOKUP($S158:$AG158,增益!$A:$A,增益!$D:$D,0))-$I$2</f>
        <v>3624.6</v>
      </c>
      <c r="AQ158" s="32" cm="1">
        <f t="array" ref="AQ158">IF($F$10-$I$3+VLOOKUP($R158,武学奇术!$A:$ZZ,6,FALSE)+SUM(_xlfn.XLOOKUP(S158:AG158,增益!$A:$A,增益!$F:$F,0))&gt;0,($F$10-$I$3+VLOOKUP($R158,武学奇术!$A:$ZZ,6,FALSE)+SUM(_xlfn.XLOOKUP(S158:AG158,增益!$A:$A,增益!$F:$F,0)))/200,($F$10-$I$3+VLOOKUP($R158,武学奇术!$A:$ZZ,6,FALSE)+SUM(_xlfn.XLOOKUP(S158:AG158,增益!$A:$A,增益!$F:$F,0)))/100)</f>
        <v>0.3425</v>
      </c>
      <c r="AR158" s="32" cm="1">
        <f t="array" ref="AR158">$G$10+VLOOKUP($R158,武学奇术!$A:$ZZ,7,FALSE)+SUM(_xlfn.XLOOKUP(S158:AG158,增益!$A:$A,增益!$G:$G,0))</f>
        <v>0.028</v>
      </c>
      <c r="AS158" s="26" cm="1">
        <f t="array" ref="AS158">VLOOKUP($R158,武学奇术!$A:$ZZ,8,FALSE)+SUM(_xlfn.XLOOKUP(S158:AG158,增益!$A:$A,增益!$H:$H,0))</f>
        <v>0</v>
      </c>
      <c r="AT158">
        <f t="shared" si="96"/>
        <v>0</v>
      </c>
      <c r="AU158">
        <f t="shared" si="97"/>
        <v>0</v>
      </c>
      <c r="AV158" s="32" cm="1">
        <f t="array" ref="AV158">IF($F$11-$I$4+VLOOKUP($R158,武学奇术!$A:$ZZ,9,FALSE)+SUM(_xlfn.XLOOKUP(S158:AG158,增益!$A:$A,增益!$I:$I,0))&gt;0,($F$11-$I$4+VLOOKUP($R158,武学奇术!$A:$ZZ,9,FALSE)+SUM(_xlfn.XLOOKUP(S158:AG158,增益!$A:$A,增益!$I:$I,0)))/200,($F$11-$I$4+VLOOKUP($R158,武学奇术!$A:$ZZ,9,FALSE)+SUM(_xlfn.XLOOKUP(S158:AG158,增益!$A:$A,增益!$I:$I,0)))/100)</f>
        <v>-0.14</v>
      </c>
      <c r="AW158" s="32" cm="1">
        <f t="array" ref="AW158">$G$11+VLOOKUP($R158,武学奇术!$A:$ZZ,10,FALSE)+SUM(_xlfn.XLOOKUP(S158:AG158,增益!$A:$A,增益!$J:$J,0))</f>
        <v>0.1</v>
      </c>
      <c r="AX158">
        <f t="shared" si="98"/>
        <v>0</v>
      </c>
      <c r="AY158">
        <f t="shared" si="99"/>
        <v>0</v>
      </c>
      <c r="AZ158" s="32" cm="1">
        <f t="array" ref="AZ158">IF($F$12-$I$4+VLOOKUP($R158,武学奇术!$A:$ZZ,11,FALSE)+SUM(_xlfn.XLOOKUP(S158:AG158,增益!$A:$A,增益!$K:$K,0))&gt;0,($F$12-$I$4+VLOOKUP($R158,武学奇术!$A:$ZZ,11,FALSE)+SUM(_xlfn.XLOOKUP(S158:AG158,增益!$A:$A,增益!$K:$K,0)))/200,($F$12-$I$4+VLOOKUP($R158,武学奇术!$A:$ZZ,11,FALSE)+SUM(_xlfn.XLOOKUP(S158:AG158,增益!$A:$A,增益!$K:$K,0)))/100)</f>
        <v>-0.14</v>
      </c>
      <c r="BA158" s="32" cm="1">
        <f t="array" ref="BA158">$G$12+VLOOKUP($R158,武学奇术!$A:$ZZ,12,FALSE)+SUM(_xlfn.XLOOKUP(S158:AG158,增益!$A:$A,增益!$L:$L,0))</f>
        <v>0</v>
      </c>
      <c r="BB158">
        <f t="shared" si="100"/>
        <v>0</v>
      </c>
      <c r="BC158">
        <f t="shared" si="101"/>
        <v>0</v>
      </c>
      <c r="BD158" s="32" cm="1">
        <f t="array" ref="BD158">IF($F$13-$I$4+VLOOKUP($R158,武学奇术!$A:$ZZ,13,FALSE)+SUM(_xlfn.XLOOKUP(S158:AG158,增益!$A:$A,增益!$M:$M,0))&gt;0,($F$13-$I$4+VLOOKUP($R158,武学奇术!$A:$ZZ,13,FALSE)+SUM(_xlfn.XLOOKUP(S158:AG158,增益!$A:$A,增益!$K:$K,0)))/200,($F$13-$I$4+VLOOKUP($R158,武学奇术!$A:$ZZ,13,FALSE)+SUM(_xlfn.XLOOKUP(S158:AG158,增益!$A:$A,增益!$M:$M,0)))/100)</f>
        <v>-0.14</v>
      </c>
      <c r="BE158" s="32" cm="1">
        <f t="array" ref="BE158">$G$13+VLOOKUP($R158,武学奇术!$A:$ZZ,14,FALSE)+SUM(_xlfn.XLOOKUP(S158:AG158,增益!$A:$A,增益!$N:$N,0))</f>
        <v>0</v>
      </c>
      <c r="BF158">
        <f t="shared" si="102"/>
        <v>571.2</v>
      </c>
      <c r="BG158">
        <f t="shared" si="103"/>
        <v>1627.8</v>
      </c>
      <c r="BH158" s="32" cm="1">
        <f t="array" ref="BH158">IF($F$14-$I$4+VLOOKUP($R158,武学奇术!$A:$ZZ,15,FALSE)+SUM(_xlfn.XLOOKUP(S158:AG158,增益!$A:$A,增益!$O:$O,0))&gt;0,($F$14-$I$4+VLOOKUP($R158,武学奇术!$A:$ZZ,15,FALSE)+SUM(_xlfn.XLOOKUP(S158:AG158,增益!$A:$A,增益!$O:$O,0)))/200,($F$14-$I$4+VLOOKUP($R158,武学奇术!$A:$ZZ,15,FALSE)+SUM(_xlfn.XLOOKUP(S158:AG158,增益!$A:$A,增益!$O:$O,0)))/100)</f>
        <v>0.08</v>
      </c>
      <c r="BI158" s="32" cm="1">
        <f t="array" ref="BI158">$G$14+VLOOKUP($R158,武学奇术!$A:$ZZ,16,FALSE)+SUM(_xlfn.XLOOKUP(S158:AG158,增益!$A:$A,增益!$P:$P,0))</f>
        <v>0.15</v>
      </c>
      <c r="BJ158" s="26">
        <f>MIN(IF(VLOOKUP($R158,武学奇术!$A:$ZZ,23,FALSE)=1,100%,$B$8),100%)</f>
        <v>0.981</v>
      </c>
      <c r="BK158" s="26" cm="1">
        <f t="array" ref="BK158">IF(VLOOKUP($R158,武学奇术!$A:$ZZ,23,FALSE)=1,100%,MIN(80%,$B$9+VLOOKUP($R158,武学奇术!$A:$ZZ,17,FALSE)+SUM(_xlfn.XLOOKUP(S158:AG158,增益!$A:$A,增益!$Q:$Q,0)))+$B$11+SUM(_xlfn.XLOOKUP(S158:AG158,增益!$A:$A,增益!$U:$U,0)))*IF(VLOOKUP($R158,武学奇术!$A:$ZZ,24,FALSE)=1,0,1)</f>
        <v>0.846</v>
      </c>
      <c r="BL158" s="26" cm="1">
        <f t="array" ref="BL158">1+$B$13+VLOOKUP($R158,武学奇术!$A:$ZZ,18,FALSE)+SUM(_xlfn.XLOOKUP(S158:AG158,增益!$A:$A,增益!$R:$R,0))</f>
        <v>1.91</v>
      </c>
      <c r="BM158" s="26" cm="1">
        <f t="array" ref="BM158">IF(VLOOKUP($R158,武学奇术!$A:$ZZ,24,FALSE)=1,100%,MIN(40%,$B$10+VLOOKUP($R158,武学奇术!$A:$ZZ,19,FALSE)+SUM(_xlfn.XLOOKUP(S158:AG158,增益!$A:$A,增益!$S:$S,0)))+$B$12+SUM(_xlfn.XLOOKUP(S158:AG158,增益!$A:$A,增益!$V:$V,0)))*IF(VLOOKUP($R158,武学奇术!$A:$ZZ,23,FALSE)=1,0,1)</f>
        <v>0.0929</v>
      </c>
      <c r="BN158" s="26" cm="1">
        <f t="array" ref="BN158">1+$B$14+VLOOKUP($R158,武学奇术!$A:$ZZ,20,FALSE)+SUM(_xlfn.XLOOKUP(S158:AG158,增益!$A:$A,增益!$T:$T,0))</f>
        <v>1.35</v>
      </c>
      <c r="BO158" s="26">
        <f t="shared" si="104"/>
        <v>0.829926</v>
      </c>
      <c r="BP158" s="26">
        <f t="shared" si="105"/>
        <v>0.0599391</v>
      </c>
      <c r="BQ158" s="26">
        <f>IF(VLOOKUP($R158,武学奇术!$A:$ZZ,22,FALSE)=1,0,(1-$BJ158))*(1-$BM158)</f>
        <v>0.0172349</v>
      </c>
      <c r="BR158" s="26" cm="1">
        <f t="array" ref="BR158">SUM(_xlfn.XLOOKUP(S158:AG158,增益!$A:$A,增益!$W:$W,0))+$I$5</f>
        <v>0.31</v>
      </c>
    </row>
    <row r="159" spans="11:70">
      <c r="K159">
        <f>$L159*VLOOKUP($R159,武学奇术!$A:$ZZ,31,FALSE)</f>
        <v>19808.7532402266</v>
      </c>
      <c r="L159" s="38">
        <f t="shared" si="95"/>
        <v>18865.4792764063</v>
      </c>
      <c r="M159" s="38">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BL159*$Q159*(1+IF(VLOOKUP($R159,武学奇术!$A:$ZZ,30,FALSE)="回旋伞",$B$21,0))*(1+$BR159)</f>
        <v>20030.6704832384</v>
      </c>
      <c r="N159" s="38">
        <f>(($AP159*$AI159+$AJ159)*(1+$AQ159)*(1+$AR159)+($AU159*IF($G$1="鸣金",$AK159,$AI159)+IF($G$1="鸣金",$AL159*1.5,0))*(1+$AV159)*(1+$AW159)+($AY159*IF($G$1="裂石",$AK159,$AI159)+IF($G$1="裂石",$AL159*1.5,0))*(1+$AZ159)*(1+$BA159)+($BC159*IF($G$1="牵丝",$AK159,$AI159)+IF($G$1="牵丝",$AL159*1.5,0))*(1+$BD159)*(1+$BE159)+($BG159*IF($G$1="破竹",$AK159,$AI159)+IF($G$1="破竹",$AL159*1.5,0))*(1+$BH159)*(1+$BI159))*(1+$AM159)*$BN159*$Q159*(1+IF(VLOOKUP($R159,武学奇术!$A:$ZZ,30,FALSE)="回旋伞",$B$21,0))*(1+$BR159)</f>
        <v>15616.6349699106</v>
      </c>
      <c r="O159" s="38">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Q159*(1+IF(VLOOKUP($R159,武学奇术!$A:$ZZ,30,FALSE)="回旋伞",$B$21,0))*(1+$BR159)</f>
        <v>10487.2620331091</v>
      </c>
      <c r="P159" s="38">
        <f>((($AO159*$AI159+$AJ159)*(1+$AQ159)*(1+$AR159)+($AT159*IF($G$1="鸣金",$AK159,$AI159)+IF($G$1="鸣金",$AL159*1.5,0))*(1+$AV159)*(1+$AW159)+($AX159*IF($G$1="裂石",$AK159,$AI159)+IF($G$1="裂石",$AL159*1.5,0))*(1+$AZ159)*(1+$BA159)+($BB159*IF($G$1="牵丝",$AK159,$AI159)+IF($G$1="牵丝",$AL159*1.5,0))*(1+$BD159)*(1+$BE159)+($BF159*IF($G$1="破竹",$AK159,$AI159)+IF($G$1="破竹",$AL159*1.5,0))*(1+$BH159)*(1+$BI159))*(1+$AM159))*$Q159*(1+IF(VLOOKUP($R159,武学奇术!$A:$ZZ,30,FALSE)="回旋伞",$B$21,0))*(1+$BR159)</f>
        <v>9406.6463107289</v>
      </c>
      <c r="Q159" s="39">
        <f t="shared" si="106"/>
        <v>1</v>
      </c>
      <c r="R159" s="40" t="s">
        <v>186</v>
      </c>
      <c r="S159" s="40" t="s">
        <v>72</v>
      </c>
      <c r="T159" s="40" t="s">
        <v>95</v>
      </c>
      <c r="U159" s="40" t="s">
        <v>73</v>
      </c>
      <c r="V159" s="40" t="s">
        <v>81</v>
      </c>
      <c r="W159" s="40" t="s">
        <v>172</v>
      </c>
      <c r="X159" s="40" t="s">
        <v>99</v>
      </c>
      <c r="Y159" s="40" t="s">
        <v>84</v>
      </c>
      <c r="Z159" s="40" t="s">
        <v>72</v>
      </c>
      <c r="AA159" s="40" t="s">
        <v>72</v>
      </c>
      <c r="AB159" s="40" t="s">
        <v>72</v>
      </c>
      <c r="AC159" s="40" t="s">
        <v>85</v>
      </c>
      <c r="AD159" s="40" t="s">
        <v>72</v>
      </c>
      <c r="AE159" s="40" t="s">
        <v>72</v>
      </c>
      <c r="AF159" s="40" t="s">
        <v>77</v>
      </c>
      <c r="AG159" s="40" t="s">
        <v>78</v>
      </c>
      <c r="AH159" t="str">
        <f>VLOOKUP($R159,武学奇术!$A:$ZZ,25,FALSE)</f>
        <v>心法</v>
      </c>
      <c r="AI159" s="26">
        <f>VLOOKUP($R159,武学奇术!$A:$ZZ,26,FALSE)</f>
        <v>1</v>
      </c>
      <c r="AJ159" s="27">
        <f>VLOOKUP($R159,武学奇术!$A:$ZZ,27,FALSE)*(1+IF(OR($AH159=$F$4,$AH159=$F$5),$B$22,0))</f>
        <v>0</v>
      </c>
      <c r="AK159" s="26">
        <f>VLOOKUP($R159,武学奇术!$A:$ZZ,28,FALSE)</f>
        <v>1</v>
      </c>
      <c r="AL159" s="27">
        <f>VLOOKUP($R159,武学奇术!$A:$ZZ,29,FALSE)*(1+IF(OR($AH159=$F$4,$AH159=$F$5),$B$22,0))</f>
        <v>0</v>
      </c>
      <c r="AM159" s="26" cm="1">
        <f t="array" ref="AM159">$G$3+IFERROR(VLOOKUP($AH159,$F$4:$G$7,2,FALSE),0)+VLOOKUP($R159,武学奇术!$A:$ZZ,2,FALSE)+SUM(_xlfn.XLOOKUP($S159:$AG159,增益!$A:$A,增益!$B:$B,0))</f>
        <v>0.4837</v>
      </c>
      <c r="AN159" s="26" cm="1">
        <f t="array" ref="AN159">VLOOKUP($R159,武学奇术!$A:$ZZ,5,FALSE)+SUM(_xlfn.XLOOKUP($S159:$AG159,增益!$A:$A,增益!$E:$E,0))</f>
        <v>0</v>
      </c>
      <c r="AO159" cm="1">
        <f t="array" ref="AO159">$D$10*(1+$AN159)+VLOOKUP($R159,武学奇术!$A:$ZZ,3,FALSE)+SUM(_xlfn.XLOOKUP($S159:$AG159,增益!$A:$A,增益!$C:$C,0))-$I$2</f>
        <v>3624.6</v>
      </c>
      <c r="AP159" cm="1">
        <f t="array" ref="AP159">$E$10*(1+$AN159)+VLOOKUP($R159,武学奇术!$A:$ZZ,4,FALSE)+SUM(_xlfn.XLOOKUP($S159:$AG159,增益!$A:$A,增益!$D:$D,0))-$I$2</f>
        <v>3624.6</v>
      </c>
      <c r="AQ159" s="32" cm="1">
        <f t="array" ref="AQ159">IF($F$10-$I$3+VLOOKUP($R159,武学奇术!$A:$ZZ,6,FALSE)+SUM(_xlfn.XLOOKUP(S159:AG159,增益!$A:$A,增益!$F:$F,0))&gt;0,($F$10-$I$3+VLOOKUP($R159,武学奇术!$A:$ZZ,6,FALSE)+SUM(_xlfn.XLOOKUP(S159:AG159,增益!$A:$A,增益!$F:$F,0)))/200,($F$10-$I$3+VLOOKUP($R159,武学奇术!$A:$ZZ,6,FALSE)+SUM(_xlfn.XLOOKUP(S159:AG159,增益!$A:$A,增益!$F:$F,0)))/100)</f>
        <v>0.3425</v>
      </c>
      <c r="AR159" s="32" cm="1">
        <f t="array" ref="AR159">$G$10+VLOOKUP($R159,武学奇术!$A:$ZZ,7,FALSE)+SUM(_xlfn.XLOOKUP(S159:AG159,增益!$A:$A,增益!$G:$G,0))</f>
        <v>0.028</v>
      </c>
      <c r="AS159" s="26" cm="1">
        <f t="array" ref="AS159">VLOOKUP($R159,武学奇术!$A:$ZZ,8,FALSE)+SUM(_xlfn.XLOOKUP(S159:AG159,增益!$A:$A,增益!$H:$H,0))</f>
        <v>0</v>
      </c>
      <c r="AT159">
        <f t="shared" si="96"/>
        <v>0</v>
      </c>
      <c r="AU159">
        <f t="shared" si="97"/>
        <v>0</v>
      </c>
      <c r="AV159" s="32" cm="1">
        <f t="array" ref="AV159">IF($F$11-$I$4+VLOOKUP($R159,武学奇术!$A:$ZZ,9,FALSE)+SUM(_xlfn.XLOOKUP(S159:AG159,增益!$A:$A,增益!$I:$I,0))&gt;0,($F$11-$I$4+VLOOKUP($R159,武学奇术!$A:$ZZ,9,FALSE)+SUM(_xlfn.XLOOKUP(S159:AG159,增益!$A:$A,增益!$I:$I,0)))/200,($F$11-$I$4+VLOOKUP($R159,武学奇术!$A:$ZZ,9,FALSE)+SUM(_xlfn.XLOOKUP(S159:AG159,增益!$A:$A,增益!$I:$I,0)))/100)</f>
        <v>-0.14</v>
      </c>
      <c r="AW159" s="32" cm="1">
        <f t="array" ref="AW159">$G$11+VLOOKUP($R159,武学奇术!$A:$ZZ,10,FALSE)+SUM(_xlfn.XLOOKUP(S159:AG159,增益!$A:$A,增益!$J:$J,0))</f>
        <v>0</v>
      </c>
      <c r="AX159">
        <f t="shared" si="98"/>
        <v>0</v>
      </c>
      <c r="AY159">
        <f t="shared" si="99"/>
        <v>0</v>
      </c>
      <c r="AZ159" s="32" cm="1">
        <f t="array" ref="AZ159">IF($F$12-$I$4+VLOOKUP($R159,武学奇术!$A:$ZZ,11,FALSE)+SUM(_xlfn.XLOOKUP(S159:AG159,增益!$A:$A,增益!$K:$K,0))&gt;0,($F$12-$I$4+VLOOKUP($R159,武学奇术!$A:$ZZ,11,FALSE)+SUM(_xlfn.XLOOKUP(S159:AG159,增益!$A:$A,增益!$K:$K,0)))/200,($F$12-$I$4+VLOOKUP($R159,武学奇术!$A:$ZZ,11,FALSE)+SUM(_xlfn.XLOOKUP(S159:AG159,增益!$A:$A,增益!$K:$K,0)))/100)</f>
        <v>-0.14</v>
      </c>
      <c r="BA159" s="32" cm="1">
        <f t="array" ref="BA159">$G$12+VLOOKUP($R159,武学奇术!$A:$ZZ,12,FALSE)+SUM(_xlfn.XLOOKUP(S159:AG159,增益!$A:$A,增益!$L:$L,0))</f>
        <v>0</v>
      </c>
      <c r="BB159">
        <f t="shared" si="100"/>
        <v>0</v>
      </c>
      <c r="BC159">
        <f t="shared" si="101"/>
        <v>0</v>
      </c>
      <c r="BD159" s="32" cm="1">
        <f t="array" ref="BD159">IF($F$13-$I$4+VLOOKUP($R159,武学奇术!$A:$ZZ,13,FALSE)+SUM(_xlfn.XLOOKUP(S159:AG159,增益!$A:$A,增益!$M:$M,0))&gt;0,($F$13-$I$4+VLOOKUP($R159,武学奇术!$A:$ZZ,13,FALSE)+SUM(_xlfn.XLOOKUP(S159:AG159,增益!$A:$A,增益!$K:$K,0)))/200,($F$13-$I$4+VLOOKUP($R159,武学奇术!$A:$ZZ,13,FALSE)+SUM(_xlfn.XLOOKUP(S159:AG159,增益!$A:$A,增益!$M:$M,0)))/100)</f>
        <v>-0.14</v>
      </c>
      <c r="BE159" s="32" cm="1">
        <f t="array" ref="BE159">$G$13+VLOOKUP($R159,武学奇术!$A:$ZZ,14,FALSE)+SUM(_xlfn.XLOOKUP(S159:AG159,增益!$A:$A,增益!$N:$N,0))</f>
        <v>0</v>
      </c>
      <c r="BF159">
        <f t="shared" si="102"/>
        <v>571.2</v>
      </c>
      <c r="BG159">
        <f t="shared" si="103"/>
        <v>1627.8</v>
      </c>
      <c r="BH159" s="32" cm="1">
        <f t="array" ref="BH159">IF($F$14-$I$4+VLOOKUP($R159,武学奇术!$A:$ZZ,15,FALSE)+SUM(_xlfn.XLOOKUP(S159:AG159,增益!$A:$A,增益!$O:$O,0))&gt;0,($F$14-$I$4+VLOOKUP($R159,武学奇术!$A:$ZZ,15,FALSE)+SUM(_xlfn.XLOOKUP(S159:AG159,增益!$A:$A,增益!$O:$O,0)))/200,($F$14-$I$4+VLOOKUP($R159,武学奇术!$A:$ZZ,15,FALSE)+SUM(_xlfn.XLOOKUP(S159:AG159,增益!$A:$A,增益!$O:$O,0)))/100)</f>
        <v>0.08</v>
      </c>
      <c r="BI159" s="32" cm="1">
        <f t="array" ref="BI159">$G$14+VLOOKUP($R159,武学奇术!$A:$ZZ,16,FALSE)+SUM(_xlfn.XLOOKUP(S159:AG159,增益!$A:$A,增益!$P:$P,0))</f>
        <v>0.15</v>
      </c>
      <c r="BJ159" s="26">
        <f>MIN(IF(VLOOKUP($R159,武学奇术!$A:$ZZ,23,FALSE)=1,100%,$B$8),100%)</f>
        <v>0.981</v>
      </c>
      <c r="BK159" s="26" cm="1">
        <f t="array" ref="BK159">IF(VLOOKUP($R159,武学奇术!$A:$ZZ,23,FALSE)=1,100%,MIN(80%,$B$9+VLOOKUP($R159,武学奇术!$A:$ZZ,17,FALSE)+SUM(_xlfn.XLOOKUP(S159:AG159,增益!$A:$A,增益!$Q:$Q,0)))+$B$11+SUM(_xlfn.XLOOKUP(S159:AG159,增益!$A:$A,增益!$U:$U,0)))*IF(VLOOKUP($R159,武学奇术!$A:$ZZ,24,FALSE)=1,0,1)</f>
        <v>0.846</v>
      </c>
      <c r="BL159" s="26" cm="1">
        <f t="array" ref="BL159">1+$B$13+VLOOKUP($R159,武学奇术!$A:$ZZ,18,FALSE)+SUM(_xlfn.XLOOKUP(S159:AG159,增益!$A:$A,增益!$R:$R,0))</f>
        <v>1.91</v>
      </c>
      <c r="BM159" s="26" cm="1">
        <f t="array" ref="BM159">IF(VLOOKUP($R159,武学奇术!$A:$ZZ,24,FALSE)=1,100%,MIN(40%,$B$10+VLOOKUP($R159,武学奇术!$A:$ZZ,19,FALSE)+SUM(_xlfn.XLOOKUP(S159:AG159,增益!$A:$A,增益!$S:$S,0)))+$B$12+SUM(_xlfn.XLOOKUP(S159:AG159,增益!$A:$A,增益!$V:$V,0)))*IF(VLOOKUP($R159,武学奇术!$A:$ZZ,23,FALSE)=1,0,1)</f>
        <v>0.0929</v>
      </c>
      <c r="BN159" s="26" cm="1">
        <f t="array" ref="BN159">1+$B$14+VLOOKUP($R159,武学奇术!$A:$ZZ,20,FALSE)+SUM(_xlfn.XLOOKUP(S159:AG159,增益!$A:$A,增益!$T:$T,0))</f>
        <v>1.35</v>
      </c>
      <c r="BO159" s="26">
        <f t="shared" si="104"/>
        <v>0.829926</v>
      </c>
      <c r="BP159" s="26">
        <f t="shared" si="105"/>
        <v>0.0599391</v>
      </c>
      <c r="BQ159" s="26">
        <f>IF(VLOOKUP($R159,武学奇术!$A:$ZZ,22,FALSE)=1,0,(1-$BJ159))*(1-$BM159)</f>
        <v>0.0172349</v>
      </c>
      <c r="BR159" s="26" cm="1">
        <f t="array" ref="BR159">SUM(_xlfn.XLOOKUP(S159:AG159,增益!$A:$A,增益!$W:$W,0))+$I$5</f>
        <v>0.11</v>
      </c>
    </row>
    <row r="160" spans="11:70">
      <c r="K160">
        <f>$L160*VLOOKUP($R160,武学奇术!$A:$ZZ,31,FALSE)</f>
        <v>19808.7532402266</v>
      </c>
      <c r="L160" s="38">
        <f t="shared" si="95"/>
        <v>18865.4792764063</v>
      </c>
      <c r="M160" s="38">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BL160*$Q160*(1+IF(VLOOKUP($R160,武学奇术!$A:$ZZ,30,FALSE)="回旋伞",$B$21,0))*(1+$BR160)</f>
        <v>20030.6704832384</v>
      </c>
      <c r="N160" s="38">
        <f>(($AP160*$AI160+$AJ160)*(1+$AQ160)*(1+$AR160)+($AU160*IF($G$1="鸣金",$AK160,$AI160)+IF($G$1="鸣金",$AL160*1.5,0))*(1+$AV160)*(1+$AW160)+($AY160*IF($G$1="裂石",$AK160,$AI160)+IF($G$1="裂石",$AL160*1.5,0))*(1+$AZ160)*(1+$BA160)+($BC160*IF($G$1="牵丝",$AK160,$AI160)+IF($G$1="牵丝",$AL160*1.5,0))*(1+$BD160)*(1+$BE160)+($BG160*IF($G$1="破竹",$AK160,$AI160)+IF($G$1="破竹",$AL160*1.5,0))*(1+$BH160)*(1+$BI160))*(1+$AM160)*$BN160*$Q160*(1+IF(VLOOKUP($R160,武学奇术!$A:$ZZ,30,FALSE)="回旋伞",$B$21,0))*(1+$BR160)</f>
        <v>15616.6349699106</v>
      </c>
      <c r="O160" s="38">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Q160*(1+IF(VLOOKUP($R160,武学奇术!$A:$ZZ,30,FALSE)="回旋伞",$B$21,0))*(1+$BR160)</f>
        <v>10487.2620331091</v>
      </c>
      <c r="P160" s="38">
        <f>((($AO160*$AI160+$AJ160)*(1+$AQ160)*(1+$AR160)+($AT160*IF($G$1="鸣金",$AK160,$AI160)+IF($G$1="鸣金",$AL160*1.5,0))*(1+$AV160)*(1+$AW160)+($AX160*IF($G$1="裂石",$AK160,$AI160)+IF($G$1="裂石",$AL160*1.5,0))*(1+$AZ160)*(1+$BA160)+($BB160*IF($G$1="牵丝",$AK160,$AI160)+IF($G$1="牵丝",$AL160*1.5,0))*(1+$BD160)*(1+$BE160)+($BF160*IF($G$1="破竹",$AK160,$AI160)+IF($G$1="破竹",$AL160*1.5,0))*(1+$BH160)*(1+$BI160))*(1+$AM160))*$Q160*(1+IF(VLOOKUP($R160,武学奇术!$A:$ZZ,30,FALSE)="回旋伞",$B$21,0))*(1+$BR160)</f>
        <v>9406.6463107289</v>
      </c>
      <c r="Q160" s="39">
        <f t="shared" si="106"/>
        <v>1</v>
      </c>
      <c r="R160" s="40" t="s">
        <v>186</v>
      </c>
      <c r="S160" s="40" t="s">
        <v>72</v>
      </c>
      <c r="T160" s="40" t="s">
        <v>95</v>
      </c>
      <c r="U160" s="40" t="s">
        <v>73</v>
      </c>
      <c r="V160" s="40" t="s">
        <v>81</v>
      </c>
      <c r="W160" s="40" t="s">
        <v>172</v>
      </c>
      <c r="X160" s="40" t="s">
        <v>99</v>
      </c>
      <c r="Y160" s="40" t="s">
        <v>84</v>
      </c>
      <c r="Z160" s="40" t="s">
        <v>72</v>
      </c>
      <c r="AA160" s="40" t="s">
        <v>72</v>
      </c>
      <c r="AB160" s="40" t="s">
        <v>72</v>
      </c>
      <c r="AC160" s="40" t="s">
        <v>91</v>
      </c>
      <c r="AD160" s="40" t="s">
        <v>72</v>
      </c>
      <c r="AE160" s="40" t="s">
        <v>72</v>
      </c>
      <c r="AF160" s="40" t="s">
        <v>77</v>
      </c>
      <c r="AG160" s="40" t="s">
        <v>78</v>
      </c>
      <c r="AH160" t="str">
        <f>VLOOKUP($R160,武学奇术!$A:$ZZ,25,FALSE)</f>
        <v>心法</v>
      </c>
      <c r="AI160" s="26">
        <f>VLOOKUP($R160,武学奇术!$A:$ZZ,26,FALSE)</f>
        <v>1</v>
      </c>
      <c r="AJ160" s="27">
        <f>VLOOKUP($R160,武学奇术!$A:$ZZ,27,FALSE)*(1+IF(OR($AH160=$F$4,$AH160=$F$5),$B$22,0))</f>
        <v>0</v>
      </c>
      <c r="AK160" s="26">
        <f>VLOOKUP($R160,武学奇术!$A:$ZZ,28,FALSE)</f>
        <v>1</v>
      </c>
      <c r="AL160" s="27">
        <f>VLOOKUP($R160,武学奇术!$A:$ZZ,29,FALSE)*(1+IF(OR($AH160=$F$4,$AH160=$F$5),$B$22,0))</f>
        <v>0</v>
      </c>
      <c r="AM160" s="26" cm="1">
        <f t="array" ref="AM160">$G$3+IFERROR(VLOOKUP($AH160,$F$4:$G$7,2,FALSE),0)+VLOOKUP($R160,武学奇术!$A:$ZZ,2,FALSE)+SUM(_xlfn.XLOOKUP($S160:$AG160,增益!$A:$A,增益!$B:$B,0))</f>
        <v>0.4837</v>
      </c>
      <c r="AN160" s="26" cm="1">
        <f t="array" ref="AN160">VLOOKUP($R160,武学奇术!$A:$ZZ,5,FALSE)+SUM(_xlfn.XLOOKUP($S160:$AG160,增益!$A:$A,增益!$E:$E,0))</f>
        <v>0</v>
      </c>
      <c r="AO160" cm="1">
        <f t="array" ref="AO160">$D$10*(1+$AN160)+VLOOKUP($R160,武学奇术!$A:$ZZ,3,FALSE)+SUM(_xlfn.XLOOKUP($S160:$AG160,增益!$A:$A,增益!$C:$C,0))-$I$2</f>
        <v>3624.6</v>
      </c>
      <c r="AP160" cm="1">
        <f t="array" ref="AP160">$E$10*(1+$AN160)+VLOOKUP($R160,武学奇术!$A:$ZZ,4,FALSE)+SUM(_xlfn.XLOOKUP($S160:$AG160,增益!$A:$A,增益!$D:$D,0))-$I$2</f>
        <v>3624.6</v>
      </c>
      <c r="AQ160" s="32" cm="1">
        <f t="array" ref="AQ160">IF($F$10-$I$3+VLOOKUP($R160,武学奇术!$A:$ZZ,6,FALSE)+SUM(_xlfn.XLOOKUP(S160:AG160,增益!$A:$A,增益!$F:$F,0))&gt;0,($F$10-$I$3+VLOOKUP($R160,武学奇术!$A:$ZZ,6,FALSE)+SUM(_xlfn.XLOOKUP(S160:AG160,增益!$A:$A,增益!$F:$F,0)))/200,($F$10-$I$3+VLOOKUP($R160,武学奇术!$A:$ZZ,6,FALSE)+SUM(_xlfn.XLOOKUP(S160:AG160,增益!$A:$A,增益!$F:$F,0)))/100)</f>
        <v>0.3425</v>
      </c>
      <c r="AR160" s="32" cm="1">
        <f t="array" ref="AR160">$G$10+VLOOKUP($R160,武学奇术!$A:$ZZ,7,FALSE)+SUM(_xlfn.XLOOKUP(S160:AG160,增益!$A:$A,增益!$G:$G,0))</f>
        <v>0.028</v>
      </c>
      <c r="AS160" s="26" cm="1">
        <f t="array" ref="AS160">VLOOKUP($R160,武学奇术!$A:$ZZ,8,FALSE)+SUM(_xlfn.XLOOKUP(S160:AG160,增益!$A:$A,增益!$H:$H,0))</f>
        <v>0</v>
      </c>
      <c r="AT160">
        <f t="shared" si="96"/>
        <v>0</v>
      </c>
      <c r="AU160">
        <f t="shared" si="97"/>
        <v>0</v>
      </c>
      <c r="AV160" s="32" cm="1">
        <f t="array" ref="AV160">IF($F$11-$I$4+VLOOKUP($R160,武学奇术!$A:$ZZ,9,FALSE)+SUM(_xlfn.XLOOKUP(S160:AG160,增益!$A:$A,增益!$I:$I,0))&gt;0,($F$11-$I$4+VLOOKUP($R160,武学奇术!$A:$ZZ,9,FALSE)+SUM(_xlfn.XLOOKUP(S160:AG160,增益!$A:$A,增益!$I:$I,0)))/200,($F$11-$I$4+VLOOKUP($R160,武学奇术!$A:$ZZ,9,FALSE)+SUM(_xlfn.XLOOKUP(S160:AG160,增益!$A:$A,增益!$I:$I,0)))/100)</f>
        <v>-0.14</v>
      </c>
      <c r="AW160" s="32" cm="1">
        <f t="array" ref="AW160">$G$11+VLOOKUP($R160,武学奇术!$A:$ZZ,10,FALSE)+SUM(_xlfn.XLOOKUP(S160:AG160,增益!$A:$A,增益!$J:$J,0))</f>
        <v>0</v>
      </c>
      <c r="AX160">
        <f t="shared" si="98"/>
        <v>0</v>
      </c>
      <c r="AY160">
        <f t="shared" si="99"/>
        <v>0</v>
      </c>
      <c r="AZ160" s="32" cm="1">
        <f t="array" ref="AZ160">IF($F$12-$I$4+VLOOKUP($R160,武学奇术!$A:$ZZ,11,FALSE)+SUM(_xlfn.XLOOKUP(S160:AG160,增益!$A:$A,增益!$K:$K,0))&gt;0,($F$12-$I$4+VLOOKUP($R160,武学奇术!$A:$ZZ,11,FALSE)+SUM(_xlfn.XLOOKUP(S160:AG160,增益!$A:$A,增益!$K:$K,0)))/200,($F$12-$I$4+VLOOKUP($R160,武学奇术!$A:$ZZ,11,FALSE)+SUM(_xlfn.XLOOKUP(S160:AG160,增益!$A:$A,增益!$K:$K,0)))/100)</f>
        <v>-0.14</v>
      </c>
      <c r="BA160" s="32" cm="1">
        <f t="array" ref="BA160">$G$12+VLOOKUP($R160,武学奇术!$A:$ZZ,12,FALSE)+SUM(_xlfn.XLOOKUP(S160:AG160,增益!$A:$A,增益!$L:$L,0))</f>
        <v>0</v>
      </c>
      <c r="BB160">
        <f t="shared" si="100"/>
        <v>0</v>
      </c>
      <c r="BC160">
        <f t="shared" si="101"/>
        <v>0</v>
      </c>
      <c r="BD160" s="32" cm="1">
        <f t="array" ref="BD160">IF($F$13-$I$4+VLOOKUP($R160,武学奇术!$A:$ZZ,13,FALSE)+SUM(_xlfn.XLOOKUP(S160:AG160,增益!$A:$A,增益!$M:$M,0))&gt;0,($F$13-$I$4+VLOOKUP($R160,武学奇术!$A:$ZZ,13,FALSE)+SUM(_xlfn.XLOOKUP(S160:AG160,增益!$A:$A,增益!$K:$K,0)))/200,($F$13-$I$4+VLOOKUP($R160,武学奇术!$A:$ZZ,13,FALSE)+SUM(_xlfn.XLOOKUP(S160:AG160,增益!$A:$A,增益!$M:$M,0)))/100)</f>
        <v>-0.14</v>
      </c>
      <c r="BE160" s="32" cm="1">
        <f t="array" ref="BE160">$G$13+VLOOKUP($R160,武学奇术!$A:$ZZ,14,FALSE)+SUM(_xlfn.XLOOKUP(S160:AG160,增益!$A:$A,增益!$N:$N,0))</f>
        <v>0</v>
      </c>
      <c r="BF160">
        <f t="shared" si="102"/>
        <v>571.2</v>
      </c>
      <c r="BG160">
        <f t="shared" si="103"/>
        <v>1627.8</v>
      </c>
      <c r="BH160" s="32" cm="1">
        <f t="array" ref="BH160">IF($F$14-$I$4+VLOOKUP($R160,武学奇术!$A:$ZZ,15,FALSE)+SUM(_xlfn.XLOOKUP(S160:AG160,增益!$A:$A,增益!$O:$O,0))&gt;0,($F$14-$I$4+VLOOKUP($R160,武学奇术!$A:$ZZ,15,FALSE)+SUM(_xlfn.XLOOKUP(S160:AG160,增益!$A:$A,增益!$O:$O,0)))/200,($F$14-$I$4+VLOOKUP($R160,武学奇术!$A:$ZZ,15,FALSE)+SUM(_xlfn.XLOOKUP(S160:AG160,增益!$A:$A,增益!$O:$O,0)))/100)</f>
        <v>0.08</v>
      </c>
      <c r="BI160" s="32" cm="1">
        <f t="array" ref="BI160">$G$14+VLOOKUP($R160,武学奇术!$A:$ZZ,16,FALSE)+SUM(_xlfn.XLOOKUP(S160:AG160,增益!$A:$A,增益!$P:$P,0))</f>
        <v>0.15</v>
      </c>
      <c r="BJ160" s="26">
        <f>MIN(IF(VLOOKUP($R160,武学奇术!$A:$ZZ,23,FALSE)=1,100%,$B$8),100%)</f>
        <v>0.981</v>
      </c>
      <c r="BK160" s="26" cm="1">
        <f t="array" ref="BK160">IF(VLOOKUP($R160,武学奇术!$A:$ZZ,23,FALSE)=1,100%,MIN(80%,$B$9+VLOOKUP($R160,武学奇术!$A:$ZZ,17,FALSE)+SUM(_xlfn.XLOOKUP(S160:AG160,增益!$A:$A,增益!$Q:$Q,0)))+$B$11+SUM(_xlfn.XLOOKUP(S160:AG160,增益!$A:$A,增益!$U:$U,0)))*IF(VLOOKUP($R160,武学奇术!$A:$ZZ,24,FALSE)=1,0,1)</f>
        <v>0.846</v>
      </c>
      <c r="BL160" s="26" cm="1">
        <f t="array" ref="BL160">1+$B$13+VLOOKUP($R160,武学奇术!$A:$ZZ,18,FALSE)+SUM(_xlfn.XLOOKUP(S160:AG160,增益!$A:$A,增益!$R:$R,0))</f>
        <v>1.91</v>
      </c>
      <c r="BM160" s="26" cm="1">
        <f t="array" ref="BM160">IF(VLOOKUP($R160,武学奇术!$A:$ZZ,24,FALSE)=1,100%,MIN(40%,$B$10+VLOOKUP($R160,武学奇术!$A:$ZZ,19,FALSE)+SUM(_xlfn.XLOOKUP(S160:AG160,增益!$A:$A,增益!$S:$S,0)))+$B$12+SUM(_xlfn.XLOOKUP(S160:AG160,增益!$A:$A,增益!$V:$V,0)))*IF(VLOOKUP($R160,武学奇术!$A:$ZZ,23,FALSE)=1,0,1)</f>
        <v>0.0929</v>
      </c>
      <c r="BN160" s="26" cm="1">
        <f t="array" ref="BN160">1+$B$14+VLOOKUP($R160,武学奇术!$A:$ZZ,20,FALSE)+SUM(_xlfn.XLOOKUP(S160:AG160,增益!$A:$A,增益!$T:$T,0))</f>
        <v>1.35</v>
      </c>
      <c r="BO160" s="26">
        <f t="shared" si="104"/>
        <v>0.829926</v>
      </c>
      <c r="BP160" s="26">
        <f t="shared" si="105"/>
        <v>0.0599391</v>
      </c>
      <c r="BQ160" s="26">
        <f>IF(VLOOKUP($R160,武学奇术!$A:$ZZ,22,FALSE)=1,0,(1-$BJ160))*(1-$BM160)</f>
        <v>0.0172349</v>
      </c>
      <c r="BR160" s="26" cm="1">
        <f t="array" ref="BR160">SUM(_xlfn.XLOOKUP(S160:AG160,增益!$A:$A,增益!$W:$W,0))+$I$5</f>
        <v>0.11</v>
      </c>
    </row>
    <row r="161" spans="11:70">
      <c r="K161">
        <f>$L161*VLOOKUP($R161,武学奇术!$A:$ZZ,31,FALSE)</f>
        <v>17138.5701519707</v>
      </c>
      <c r="L161" s="38">
        <f t="shared" si="95"/>
        <v>16322.4477637816</v>
      </c>
      <c r="M161" s="38">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BL161*$Q161*(1+IF(VLOOKUP($R161,武学奇术!$A:$ZZ,30,FALSE)="回旋伞",$B$21,0))*(1+$BR161)</f>
        <v>17330.5733634381</v>
      </c>
      <c r="N161" s="38">
        <f>(($AP161*$AI161+$AJ161)*(1+$AQ161)*(1+$AR161)+($AU161*IF($G$1="鸣金",$AK161,$AI161)+IF($G$1="鸣金",$AL161*1.5,0))*(1+$AV161)*(1+$AW161)+($AY161*IF($G$1="裂石",$AK161,$AI161)+IF($G$1="裂石",$AL161*1.5,0))*(1+$AZ161)*(1+$BA161)+($BC161*IF($G$1="牵丝",$AK161,$AI161)+IF($G$1="牵丝",$AL161*1.5,0))*(1+$BD161)*(1+$BE161)+($BG161*IF($G$1="破竹",$AK161,$AI161)+IF($G$1="破竹",$AL161*1.5,0))*(1+$BH161)*(1+$BI161))*(1+$AM161)*$BN161*$Q161*(1+IF(VLOOKUP($R161,武学奇术!$A:$ZZ,30,FALSE)="回旋伞",$B$21,0))*(1+$BR161)</f>
        <v>13511.5416262548</v>
      </c>
      <c r="O161" s="38">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Q161*(1+IF(VLOOKUP($R161,武学奇术!$A:$ZZ,30,FALSE)="回旋伞",$B$21,0))*(1+$BR161)</f>
        <v>9073.5986196011</v>
      </c>
      <c r="P161" s="38">
        <f>((($AO161*$AI161+$AJ161)*(1+$AQ161)*(1+$AR161)+($AT161*IF($G$1="鸣金",$AK161,$AI161)+IF($G$1="鸣金",$AL161*1.5,0))*(1+$AV161)*(1+$AW161)+($AX161*IF($G$1="裂石",$AK161,$AI161)+IF($G$1="裂石",$AL161*1.5,0))*(1+$AZ161)*(1+$BA161)+($BB161*IF($G$1="牵丝",$AK161,$AI161)+IF($G$1="牵丝",$AL161*1.5,0))*(1+$BD161)*(1+$BE161)+($BF161*IF($G$1="破竹",$AK161,$AI161)+IF($G$1="破竹",$AL161*1.5,0))*(1+$BH161)*(1+$BI161))*(1+$AM161))*$Q161*(1+IF(VLOOKUP($R161,武学奇术!$A:$ZZ,30,FALSE)="回旋伞",$B$21,0))*(1+$BR161)</f>
        <v>8138.6478864209</v>
      </c>
      <c r="Q161" s="39">
        <f t="shared" si="106"/>
        <v>1</v>
      </c>
      <c r="R161" s="40" t="s">
        <v>186</v>
      </c>
      <c r="S161" s="40" t="s">
        <v>72</v>
      </c>
      <c r="T161" s="40" t="s">
        <v>95</v>
      </c>
      <c r="U161" s="40" t="s">
        <v>73</v>
      </c>
      <c r="V161" s="40" t="s">
        <v>72</v>
      </c>
      <c r="W161" s="40" t="s">
        <v>172</v>
      </c>
      <c r="X161" s="40" t="s">
        <v>99</v>
      </c>
      <c r="Y161" s="40" t="s">
        <v>84</v>
      </c>
      <c r="Z161" s="40" t="s">
        <v>72</v>
      </c>
      <c r="AA161" s="40" t="s">
        <v>72</v>
      </c>
      <c r="AB161" s="40" t="s">
        <v>72</v>
      </c>
      <c r="AC161" s="40" t="s">
        <v>91</v>
      </c>
      <c r="AD161" s="40" t="s">
        <v>72</v>
      </c>
      <c r="AE161" s="40" t="s">
        <v>72</v>
      </c>
      <c r="AF161" s="40" t="s">
        <v>77</v>
      </c>
      <c r="AG161" s="40" t="s">
        <v>78</v>
      </c>
      <c r="AH161" t="str">
        <f>VLOOKUP($R161,武学奇术!$A:$ZZ,25,FALSE)</f>
        <v>心法</v>
      </c>
      <c r="AI161" s="26">
        <f>VLOOKUP($R161,武学奇术!$A:$ZZ,26,FALSE)</f>
        <v>1</v>
      </c>
      <c r="AJ161" s="27">
        <f>VLOOKUP($R161,武学奇术!$A:$ZZ,27,FALSE)*(1+IF(OR($AH161=$F$4,$AH161=$F$5),$B$22,0))</f>
        <v>0</v>
      </c>
      <c r="AK161" s="26">
        <f>VLOOKUP($R161,武学奇术!$A:$ZZ,28,FALSE)</f>
        <v>1</v>
      </c>
      <c r="AL161" s="27">
        <f>VLOOKUP($R161,武学奇术!$A:$ZZ,29,FALSE)*(1+IF(OR($AH161=$F$4,$AH161=$F$5),$B$22,0))</f>
        <v>0</v>
      </c>
      <c r="AM161" s="26" cm="1">
        <f t="array" ref="AM161">$G$3+IFERROR(VLOOKUP($AH161,$F$4:$G$7,2,FALSE),0)+VLOOKUP($R161,武学奇术!$A:$ZZ,2,FALSE)+SUM(_xlfn.XLOOKUP($S161:$AG161,增益!$A:$A,增益!$B:$B,0))</f>
        <v>0.2837</v>
      </c>
      <c r="AN161" s="26" cm="1">
        <f t="array" ref="AN161">VLOOKUP($R161,武学奇术!$A:$ZZ,5,FALSE)+SUM(_xlfn.XLOOKUP($S161:$AG161,增益!$A:$A,增益!$E:$E,0))</f>
        <v>0</v>
      </c>
      <c r="AO161" cm="1">
        <f t="array" ref="AO161">$D$10*(1+$AN161)+VLOOKUP($R161,武学奇术!$A:$ZZ,3,FALSE)+SUM(_xlfn.XLOOKUP($S161:$AG161,增益!$A:$A,增益!$C:$C,0))-$I$2</f>
        <v>3624.6</v>
      </c>
      <c r="AP161" cm="1">
        <f t="array" ref="AP161">$E$10*(1+$AN161)+VLOOKUP($R161,武学奇术!$A:$ZZ,4,FALSE)+SUM(_xlfn.XLOOKUP($S161:$AG161,增益!$A:$A,增益!$D:$D,0))-$I$2</f>
        <v>3624.6</v>
      </c>
      <c r="AQ161" s="32" cm="1">
        <f t="array" ref="AQ161">IF($F$10-$I$3+VLOOKUP($R161,武学奇术!$A:$ZZ,6,FALSE)+SUM(_xlfn.XLOOKUP(S161:AG161,增益!$A:$A,增益!$F:$F,0))&gt;0,($F$10-$I$3+VLOOKUP($R161,武学奇术!$A:$ZZ,6,FALSE)+SUM(_xlfn.XLOOKUP(S161:AG161,增益!$A:$A,增益!$F:$F,0)))/200,($F$10-$I$3+VLOOKUP($R161,武学奇术!$A:$ZZ,6,FALSE)+SUM(_xlfn.XLOOKUP(S161:AG161,增益!$A:$A,增益!$F:$F,0)))/100)</f>
        <v>0.3425</v>
      </c>
      <c r="AR161" s="32" cm="1">
        <f t="array" ref="AR161">$G$10+VLOOKUP($R161,武学奇术!$A:$ZZ,7,FALSE)+SUM(_xlfn.XLOOKUP(S161:AG161,增益!$A:$A,增益!$G:$G,0))</f>
        <v>0.028</v>
      </c>
      <c r="AS161" s="26" cm="1">
        <f t="array" ref="AS161">VLOOKUP($R161,武学奇术!$A:$ZZ,8,FALSE)+SUM(_xlfn.XLOOKUP(S161:AG161,增益!$A:$A,增益!$H:$H,0))</f>
        <v>0</v>
      </c>
      <c r="AT161">
        <f t="shared" si="96"/>
        <v>0</v>
      </c>
      <c r="AU161">
        <f t="shared" si="97"/>
        <v>0</v>
      </c>
      <c r="AV161" s="32" cm="1">
        <f t="array" ref="AV161">IF($F$11-$I$4+VLOOKUP($R161,武学奇术!$A:$ZZ,9,FALSE)+SUM(_xlfn.XLOOKUP(S161:AG161,增益!$A:$A,增益!$I:$I,0))&gt;0,($F$11-$I$4+VLOOKUP($R161,武学奇术!$A:$ZZ,9,FALSE)+SUM(_xlfn.XLOOKUP(S161:AG161,增益!$A:$A,增益!$I:$I,0)))/200,($F$11-$I$4+VLOOKUP($R161,武学奇术!$A:$ZZ,9,FALSE)+SUM(_xlfn.XLOOKUP(S161:AG161,增益!$A:$A,增益!$I:$I,0)))/100)</f>
        <v>-0.14</v>
      </c>
      <c r="AW161" s="32" cm="1">
        <f t="array" ref="AW161">$G$11+VLOOKUP($R161,武学奇术!$A:$ZZ,10,FALSE)+SUM(_xlfn.XLOOKUP(S161:AG161,增益!$A:$A,增益!$J:$J,0))</f>
        <v>0</v>
      </c>
      <c r="AX161">
        <f t="shared" si="98"/>
        <v>0</v>
      </c>
      <c r="AY161">
        <f t="shared" si="99"/>
        <v>0</v>
      </c>
      <c r="AZ161" s="32" cm="1">
        <f t="array" ref="AZ161">IF($F$12-$I$4+VLOOKUP($R161,武学奇术!$A:$ZZ,11,FALSE)+SUM(_xlfn.XLOOKUP(S161:AG161,增益!$A:$A,增益!$K:$K,0))&gt;0,($F$12-$I$4+VLOOKUP($R161,武学奇术!$A:$ZZ,11,FALSE)+SUM(_xlfn.XLOOKUP(S161:AG161,增益!$A:$A,增益!$K:$K,0)))/200,($F$12-$I$4+VLOOKUP($R161,武学奇术!$A:$ZZ,11,FALSE)+SUM(_xlfn.XLOOKUP(S161:AG161,增益!$A:$A,增益!$K:$K,0)))/100)</f>
        <v>-0.14</v>
      </c>
      <c r="BA161" s="32" cm="1">
        <f t="array" ref="BA161">$G$12+VLOOKUP($R161,武学奇术!$A:$ZZ,12,FALSE)+SUM(_xlfn.XLOOKUP(S161:AG161,增益!$A:$A,增益!$L:$L,0))</f>
        <v>0</v>
      </c>
      <c r="BB161">
        <f t="shared" si="100"/>
        <v>0</v>
      </c>
      <c r="BC161">
        <f t="shared" si="101"/>
        <v>0</v>
      </c>
      <c r="BD161" s="32" cm="1">
        <f t="array" ref="BD161">IF($F$13-$I$4+VLOOKUP($R161,武学奇术!$A:$ZZ,13,FALSE)+SUM(_xlfn.XLOOKUP(S161:AG161,增益!$A:$A,增益!$M:$M,0))&gt;0,($F$13-$I$4+VLOOKUP($R161,武学奇术!$A:$ZZ,13,FALSE)+SUM(_xlfn.XLOOKUP(S161:AG161,增益!$A:$A,增益!$K:$K,0)))/200,($F$13-$I$4+VLOOKUP($R161,武学奇术!$A:$ZZ,13,FALSE)+SUM(_xlfn.XLOOKUP(S161:AG161,增益!$A:$A,增益!$M:$M,0)))/100)</f>
        <v>-0.14</v>
      </c>
      <c r="BE161" s="32" cm="1">
        <f t="array" ref="BE161">$G$13+VLOOKUP($R161,武学奇术!$A:$ZZ,14,FALSE)+SUM(_xlfn.XLOOKUP(S161:AG161,增益!$A:$A,增益!$N:$N,0))</f>
        <v>0</v>
      </c>
      <c r="BF161">
        <f t="shared" si="102"/>
        <v>571.2</v>
      </c>
      <c r="BG161">
        <f t="shared" si="103"/>
        <v>1627.8</v>
      </c>
      <c r="BH161" s="32" cm="1">
        <f t="array" ref="BH161">IF($F$14-$I$4+VLOOKUP($R161,武学奇术!$A:$ZZ,15,FALSE)+SUM(_xlfn.XLOOKUP(S161:AG161,增益!$A:$A,增益!$O:$O,0))&gt;0,($F$14-$I$4+VLOOKUP($R161,武学奇术!$A:$ZZ,15,FALSE)+SUM(_xlfn.XLOOKUP(S161:AG161,增益!$A:$A,增益!$O:$O,0)))/200,($F$14-$I$4+VLOOKUP($R161,武学奇术!$A:$ZZ,15,FALSE)+SUM(_xlfn.XLOOKUP(S161:AG161,增益!$A:$A,增益!$O:$O,0)))/100)</f>
        <v>0.08</v>
      </c>
      <c r="BI161" s="32" cm="1">
        <f t="array" ref="BI161">$G$14+VLOOKUP($R161,武学奇术!$A:$ZZ,16,FALSE)+SUM(_xlfn.XLOOKUP(S161:AG161,增益!$A:$A,增益!$P:$P,0))</f>
        <v>0.15</v>
      </c>
      <c r="BJ161" s="26">
        <f>MIN(IF(VLOOKUP($R161,武学奇术!$A:$ZZ,23,FALSE)=1,100%,$B$8),100%)</f>
        <v>0.981</v>
      </c>
      <c r="BK161" s="26" cm="1">
        <f t="array" ref="BK161">IF(VLOOKUP($R161,武学奇术!$A:$ZZ,23,FALSE)=1,100%,MIN(80%,$B$9+VLOOKUP($R161,武学奇术!$A:$ZZ,17,FALSE)+SUM(_xlfn.XLOOKUP(S161:AG161,增益!$A:$A,增益!$Q:$Q,0)))+$B$11+SUM(_xlfn.XLOOKUP(S161:AG161,增益!$A:$A,增益!$U:$U,0)))*IF(VLOOKUP($R161,武学奇术!$A:$ZZ,24,FALSE)=1,0,1)</f>
        <v>0.846</v>
      </c>
      <c r="BL161" s="26" cm="1">
        <f t="array" ref="BL161">1+$B$13+VLOOKUP($R161,武学奇术!$A:$ZZ,18,FALSE)+SUM(_xlfn.XLOOKUP(S161:AG161,增益!$A:$A,增益!$R:$R,0))</f>
        <v>1.91</v>
      </c>
      <c r="BM161" s="26" cm="1">
        <f t="array" ref="BM161">IF(VLOOKUP($R161,武学奇术!$A:$ZZ,24,FALSE)=1,100%,MIN(40%,$B$10+VLOOKUP($R161,武学奇术!$A:$ZZ,19,FALSE)+SUM(_xlfn.XLOOKUP(S161:AG161,增益!$A:$A,增益!$S:$S,0)))+$B$12+SUM(_xlfn.XLOOKUP(S161:AG161,增益!$A:$A,增益!$V:$V,0)))*IF(VLOOKUP($R161,武学奇术!$A:$ZZ,23,FALSE)=1,0,1)</f>
        <v>0.0929</v>
      </c>
      <c r="BN161" s="26" cm="1">
        <f t="array" ref="BN161">1+$B$14+VLOOKUP($R161,武学奇术!$A:$ZZ,20,FALSE)+SUM(_xlfn.XLOOKUP(S161:AG161,增益!$A:$A,增益!$T:$T,0))</f>
        <v>1.35</v>
      </c>
      <c r="BO161" s="26">
        <f t="shared" si="104"/>
        <v>0.829926</v>
      </c>
      <c r="BP161" s="26">
        <f t="shared" si="105"/>
        <v>0.0599391</v>
      </c>
      <c r="BQ161" s="26">
        <f>IF(VLOOKUP($R161,武学奇术!$A:$ZZ,22,FALSE)=1,0,(1-$BJ161))*(1-$BM161)</f>
        <v>0.0172349</v>
      </c>
      <c r="BR161" s="26" cm="1">
        <f t="array" ref="BR161">SUM(_xlfn.XLOOKUP(S161:AG161,增益!$A:$A,增益!$W:$W,0))+$I$5</f>
        <v>0.11</v>
      </c>
    </row>
    <row r="162" spans="11:70">
      <c r="K162">
        <f>$L162*VLOOKUP($R162,武学奇术!$A:$ZZ,31,FALSE)</f>
        <v>16860.1425296947</v>
      </c>
      <c r="L162" s="38">
        <f t="shared" si="95"/>
        <v>16057.2785997092</v>
      </c>
      <c r="M162" s="38">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BL162*$Q162*(1+IF(VLOOKUP($R162,武学奇术!$A:$ZZ,30,FALSE)="回旋伞",$B$21,0))*(1+$BR162)</f>
        <v>17055.2754319231</v>
      </c>
      <c r="N162" s="38">
        <f>(($AP162*$AI162+$AJ162)*(1+$AQ162)*(1+$AR162)+($AU162*IF($G$1="鸣金",$AK162,$AI162)+IF($G$1="鸣金",$AL162*1.5,0))*(1+$AV162)*(1+$AW162)+($AY162*IF($G$1="裂石",$AK162,$AI162)+IF($G$1="裂石",$AL162*1.5,0))*(1+$AZ162)*(1+$BA162)+($BC162*IF($G$1="牵丝",$AK162,$AI162)+IF($G$1="牵丝",$AL162*1.5,0))*(1+$BD162)*(1+$BE162)+($BG162*IF($G$1="破竹",$AK162,$AI162)+IF($G$1="破竹",$AL162*1.5,0))*(1+$BH162)*(1+$BI162))*(1+$AM162)*$BN162*$Q162*(1+IF(VLOOKUP($R162,武学奇术!$A:$ZZ,30,FALSE)="回旋伞",$B$21,0))*(1+$BR162)</f>
        <v>13223.4642453214</v>
      </c>
      <c r="O162" s="38">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Q162*(1+IF(VLOOKUP($R162,武学奇术!$A:$ZZ,30,FALSE)="回旋伞",$B$21,0))*(1+$BR162)</f>
        <v>8929.4635769231</v>
      </c>
      <c r="P162" s="38">
        <f>((($AO162*$AI162+$AJ162)*(1+$AQ162)*(1+$AR162)+($AT162*IF($G$1="鸣金",$AK162,$AI162)+IF($G$1="鸣金",$AL162*1.5,0))*(1+$AV162)*(1+$AW162)+($AX162*IF($G$1="裂石",$AK162,$AI162)+IF($G$1="裂石",$AL162*1.5,0))*(1+$AZ162)*(1+$BA162)+($BB162*IF($G$1="牵丝",$AK162,$AI162)+IF($G$1="牵丝",$AL162*1.5,0))*(1+$BD162)*(1+$BE162)+($BF162*IF($G$1="破竹",$AK162,$AI162)+IF($G$1="破竹",$AL162*1.5,0))*(1+$BH162)*(1+$BI162))*(1+$AM162))*$Q162*(1+IF(VLOOKUP($R162,武学奇术!$A:$ZZ,30,FALSE)="回旋伞",$B$21,0))*(1+$BR162)</f>
        <v>8063.7684536081</v>
      </c>
      <c r="Q162" s="39">
        <f t="shared" si="106"/>
        <v>1</v>
      </c>
      <c r="R162" s="40" t="s">
        <v>186</v>
      </c>
      <c r="S162" s="40" t="s">
        <v>72</v>
      </c>
      <c r="T162" s="40" t="s">
        <v>95</v>
      </c>
      <c r="U162" s="40" t="s">
        <v>73</v>
      </c>
      <c r="V162" s="40" t="s">
        <v>72</v>
      </c>
      <c r="W162" s="40" t="s">
        <v>172</v>
      </c>
      <c r="X162" s="40" t="s">
        <v>99</v>
      </c>
      <c r="Y162" s="40" t="s">
        <v>72</v>
      </c>
      <c r="Z162" s="40" t="s">
        <v>72</v>
      </c>
      <c r="AA162" s="40" t="s">
        <v>72</v>
      </c>
      <c r="AB162" s="40" t="s">
        <v>72</v>
      </c>
      <c r="AC162" s="40" t="s">
        <v>85</v>
      </c>
      <c r="AD162" s="40" t="s">
        <v>72</v>
      </c>
      <c r="AE162" s="40" t="s">
        <v>72</v>
      </c>
      <c r="AF162" s="40" t="s">
        <v>77</v>
      </c>
      <c r="AG162" s="40" t="s">
        <v>78</v>
      </c>
      <c r="AH162" t="str">
        <f>VLOOKUP($R162,武学奇术!$A:$ZZ,25,FALSE)</f>
        <v>心法</v>
      </c>
      <c r="AI162" s="26">
        <f>VLOOKUP($R162,武学奇术!$A:$ZZ,26,FALSE)</f>
        <v>1</v>
      </c>
      <c r="AJ162" s="27">
        <f>VLOOKUP($R162,武学奇术!$A:$ZZ,27,FALSE)*(1+IF(OR($AH162=$F$4,$AH162=$F$5),$B$22,0))</f>
        <v>0</v>
      </c>
      <c r="AK162" s="26">
        <f>VLOOKUP($R162,武学奇术!$A:$ZZ,28,FALSE)</f>
        <v>1</v>
      </c>
      <c r="AL162" s="27">
        <f>VLOOKUP($R162,武学奇术!$A:$ZZ,29,FALSE)*(1+IF(OR($AH162=$F$4,$AH162=$F$5),$B$22,0))</f>
        <v>0</v>
      </c>
      <c r="AM162" s="26" cm="1">
        <f t="array" ref="AM162">$G$3+IFERROR(VLOOKUP($AH162,$F$4:$G$7,2,FALSE),0)+VLOOKUP($R162,武学奇术!$A:$ZZ,2,FALSE)+SUM(_xlfn.XLOOKUP($S162:$AG162,增益!$A:$A,增益!$B:$B,0))</f>
        <v>0.2837</v>
      </c>
      <c r="AN162" s="26" cm="1">
        <f t="array" ref="AN162">VLOOKUP($R162,武学奇术!$A:$ZZ,5,FALSE)+SUM(_xlfn.XLOOKUP($S162:$AG162,增益!$A:$A,增益!$E:$E,0))</f>
        <v>0</v>
      </c>
      <c r="AO162" cm="1">
        <f t="array" ref="AO162">$D$10*(1+$AN162)+VLOOKUP($R162,武学奇术!$A:$ZZ,3,FALSE)+SUM(_xlfn.XLOOKUP($S162:$AG162,增益!$A:$A,增益!$C:$C,0))-$I$2</f>
        <v>3624.6</v>
      </c>
      <c r="AP162" cm="1">
        <f t="array" ref="AP162">$E$10*(1+$AN162)+VLOOKUP($R162,武学奇术!$A:$ZZ,4,FALSE)+SUM(_xlfn.XLOOKUP($S162:$AG162,增益!$A:$A,增益!$D:$D,0))-$I$2</f>
        <v>3624.6</v>
      </c>
      <c r="AQ162" s="32" cm="1">
        <f t="array" ref="AQ162">IF($F$10-$I$3+VLOOKUP($R162,武学奇术!$A:$ZZ,6,FALSE)+SUM(_xlfn.XLOOKUP(S162:AG162,增益!$A:$A,增益!$F:$F,0))&gt;0,($F$10-$I$3+VLOOKUP($R162,武学奇术!$A:$ZZ,6,FALSE)+SUM(_xlfn.XLOOKUP(S162:AG162,增益!$A:$A,增益!$F:$F,0)))/200,($F$10-$I$3+VLOOKUP($R162,武学奇术!$A:$ZZ,6,FALSE)+SUM(_xlfn.XLOOKUP(S162:AG162,增益!$A:$A,增益!$F:$F,0)))/100)</f>
        <v>0.3425</v>
      </c>
      <c r="AR162" s="32" cm="1">
        <f t="array" ref="AR162">$G$10+VLOOKUP($R162,武学奇术!$A:$ZZ,7,FALSE)+SUM(_xlfn.XLOOKUP(S162:AG162,增益!$A:$A,增益!$G:$G,0))</f>
        <v>0.028</v>
      </c>
      <c r="AS162" s="26" cm="1">
        <f t="array" ref="AS162">VLOOKUP($R162,武学奇术!$A:$ZZ,8,FALSE)+SUM(_xlfn.XLOOKUP(S162:AG162,增益!$A:$A,增益!$H:$H,0))</f>
        <v>0</v>
      </c>
      <c r="AT162">
        <f t="shared" si="96"/>
        <v>0</v>
      </c>
      <c r="AU162">
        <f t="shared" si="97"/>
        <v>0</v>
      </c>
      <c r="AV162" s="32" cm="1">
        <f t="array" ref="AV162">IF($F$11-$I$4+VLOOKUP($R162,武学奇术!$A:$ZZ,9,FALSE)+SUM(_xlfn.XLOOKUP(S162:AG162,增益!$A:$A,增益!$I:$I,0))&gt;0,($F$11-$I$4+VLOOKUP($R162,武学奇术!$A:$ZZ,9,FALSE)+SUM(_xlfn.XLOOKUP(S162:AG162,增益!$A:$A,增益!$I:$I,0)))/200,($F$11-$I$4+VLOOKUP($R162,武学奇术!$A:$ZZ,9,FALSE)+SUM(_xlfn.XLOOKUP(S162:AG162,增益!$A:$A,增益!$I:$I,0)))/100)</f>
        <v>-0.3</v>
      </c>
      <c r="AW162" s="32" cm="1">
        <f t="array" ref="AW162">$G$11+VLOOKUP($R162,武学奇术!$A:$ZZ,10,FALSE)+SUM(_xlfn.XLOOKUP(S162:AG162,增益!$A:$A,增益!$J:$J,0))</f>
        <v>0</v>
      </c>
      <c r="AX162">
        <f t="shared" si="98"/>
        <v>0</v>
      </c>
      <c r="AY162">
        <f t="shared" si="99"/>
        <v>0</v>
      </c>
      <c r="AZ162" s="32" cm="1">
        <f t="array" ref="AZ162">IF($F$12-$I$4+VLOOKUP($R162,武学奇术!$A:$ZZ,11,FALSE)+SUM(_xlfn.XLOOKUP(S162:AG162,增益!$A:$A,增益!$K:$K,0))&gt;0,($F$12-$I$4+VLOOKUP($R162,武学奇术!$A:$ZZ,11,FALSE)+SUM(_xlfn.XLOOKUP(S162:AG162,增益!$A:$A,增益!$K:$K,0)))/200,($F$12-$I$4+VLOOKUP($R162,武学奇术!$A:$ZZ,11,FALSE)+SUM(_xlfn.XLOOKUP(S162:AG162,增益!$A:$A,增益!$K:$K,0)))/100)</f>
        <v>-0.3</v>
      </c>
      <c r="BA162" s="32" cm="1">
        <f t="array" ref="BA162">$G$12+VLOOKUP($R162,武学奇术!$A:$ZZ,12,FALSE)+SUM(_xlfn.XLOOKUP(S162:AG162,增益!$A:$A,增益!$L:$L,0))</f>
        <v>0</v>
      </c>
      <c r="BB162">
        <f t="shared" si="100"/>
        <v>0</v>
      </c>
      <c r="BC162">
        <f t="shared" si="101"/>
        <v>0</v>
      </c>
      <c r="BD162" s="32" cm="1">
        <f t="array" ref="BD162">IF($F$13-$I$4+VLOOKUP($R162,武学奇术!$A:$ZZ,13,FALSE)+SUM(_xlfn.XLOOKUP(S162:AG162,增益!$A:$A,增益!$M:$M,0))&gt;0,($F$13-$I$4+VLOOKUP($R162,武学奇术!$A:$ZZ,13,FALSE)+SUM(_xlfn.XLOOKUP(S162:AG162,增益!$A:$A,增益!$K:$K,0)))/200,($F$13-$I$4+VLOOKUP($R162,武学奇术!$A:$ZZ,13,FALSE)+SUM(_xlfn.XLOOKUP(S162:AG162,增益!$A:$A,增益!$M:$M,0)))/100)</f>
        <v>-0.3</v>
      </c>
      <c r="BE162" s="32" cm="1">
        <f t="array" ref="BE162">$G$13+VLOOKUP($R162,武学奇术!$A:$ZZ,14,FALSE)+SUM(_xlfn.XLOOKUP(S162:AG162,增益!$A:$A,增益!$N:$N,0))</f>
        <v>0</v>
      </c>
      <c r="BF162">
        <f t="shared" si="102"/>
        <v>571.2</v>
      </c>
      <c r="BG162">
        <f t="shared" si="103"/>
        <v>1627.8</v>
      </c>
      <c r="BH162" s="32" cm="1">
        <f t="array" ref="BH162">IF($F$14-$I$4+VLOOKUP($R162,武学奇术!$A:$ZZ,15,FALSE)+SUM(_xlfn.XLOOKUP(S162:AG162,增益!$A:$A,增益!$O:$O,0))&gt;0,($F$14-$I$4+VLOOKUP($R162,武学奇术!$A:$ZZ,15,FALSE)+SUM(_xlfn.XLOOKUP(S162:AG162,增益!$A:$A,增益!$O:$O,0)))/200,($F$14-$I$4+VLOOKUP($R162,武学奇术!$A:$ZZ,15,FALSE)+SUM(_xlfn.XLOOKUP(S162:AG162,增益!$A:$A,增益!$O:$O,0)))/100)</f>
        <v>0</v>
      </c>
      <c r="BI162" s="32" cm="1">
        <f t="array" ref="BI162">$G$14+VLOOKUP($R162,武学奇术!$A:$ZZ,16,FALSE)+SUM(_xlfn.XLOOKUP(S162:AG162,增益!$A:$A,增益!$P:$P,0))</f>
        <v>0.15</v>
      </c>
      <c r="BJ162" s="26">
        <f>MIN(IF(VLOOKUP($R162,武学奇术!$A:$ZZ,23,FALSE)=1,100%,$B$8),100%)</f>
        <v>0.981</v>
      </c>
      <c r="BK162" s="26" cm="1">
        <f t="array" ref="BK162">IF(VLOOKUP($R162,武学奇术!$A:$ZZ,23,FALSE)=1,100%,MIN(80%,$B$9+VLOOKUP($R162,武学奇术!$A:$ZZ,17,FALSE)+SUM(_xlfn.XLOOKUP(S162:AG162,增益!$A:$A,增益!$Q:$Q,0)))+$B$11+SUM(_xlfn.XLOOKUP(S162:AG162,增益!$A:$A,增益!$U:$U,0)))*IF(VLOOKUP($R162,武学奇术!$A:$ZZ,24,FALSE)=1,0,1)</f>
        <v>0.846</v>
      </c>
      <c r="BL162" s="26" cm="1">
        <f t="array" ref="BL162">1+$B$13+VLOOKUP($R162,武学奇术!$A:$ZZ,18,FALSE)+SUM(_xlfn.XLOOKUP(S162:AG162,增益!$A:$A,增益!$R:$R,0))</f>
        <v>1.91</v>
      </c>
      <c r="BM162" s="26" cm="1">
        <f t="array" ref="BM162">IF(VLOOKUP($R162,武学奇术!$A:$ZZ,24,FALSE)=1,100%,MIN(40%,$B$10+VLOOKUP($R162,武学奇术!$A:$ZZ,19,FALSE)+SUM(_xlfn.XLOOKUP(S162:AG162,增益!$A:$A,增益!$S:$S,0)))+$B$12+SUM(_xlfn.XLOOKUP(S162:AG162,增益!$A:$A,增益!$V:$V,0)))*IF(VLOOKUP($R162,武学奇术!$A:$ZZ,23,FALSE)=1,0,1)</f>
        <v>0.0929</v>
      </c>
      <c r="BN162" s="26" cm="1">
        <f t="array" ref="BN162">1+$B$14+VLOOKUP($R162,武学奇术!$A:$ZZ,20,FALSE)+SUM(_xlfn.XLOOKUP(S162:AG162,增益!$A:$A,增益!$T:$T,0))</f>
        <v>1.35</v>
      </c>
      <c r="BO162" s="26">
        <f t="shared" si="104"/>
        <v>0.829926</v>
      </c>
      <c r="BP162" s="26">
        <f t="shared" si="105"/>
        <v>0.0599391</v>
      </c>
      <c r="BQ162" s="26">
        <f>IF(VLOOKUP($R162,武学奇术!$A:$ZZ,22,FALSE)=1,0,(1-$BJ162))*(1-$BM162)</f>
        <v>0.0172349</v>
      </c>
      <c r="BR162" s="26" cm="1">
        <f t="array" ref="BR162">SUM(_xlfn.XLOOKUP(S162:AG162,增益!$A:$A,增益!$W:$W,0))+$I$5</f>
        <v>0.11</v>
      </c>
    </row>
    <row r="163" spans="11:70">
      <c r="K163">
        <f>$L163*VLOOKUP($R163,武学奇术!$A:$ZZ,31,FALSE)</f>
        <v>23377.8979681954</v>
      </c>
      <c r="L163" s="38">
        <f t="shared" si="95"/>
        <v>22264.6647316146</v>
      </c>
      <c r="M163" s="38">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BL163*$Q163*(1+IF(VLOOKUP($R163,武学奇术!$A:$ZZ,30,FALSE)="回旋伞",$B$21,0))*(1+$BR163)</f>
        <v>23639.8003000381</v>
      </c>
      <c r="N163" s="38">
        <f>(($AP163*$AI163+$AJ163)*(1+$AQ163)*(1+$AR163)+($AU163*IF($G$1="鸣金",$AK163,$AI163)+IF($G$1="鸣金",$AL163*1.5,0))*(1+$AV163)*(1+$AW163)+($AY163*IF($G$1="裂石",$AK163,$AI163)+IF($G$1="裂石",$AL163*1.5,0))*(1+$AZ163)*(1+$BA163)+($BC163*IF($G$1="牵丝",$AK163,$AI163)+IF($G$1="牵丝",$AL163*1.5,0))*(1+$BD163)*(1+$BE163)+($BG163*IF($G$1="破竹",$AK163,$AI163)+IF($G$1="破竹",$AL163*1.5,0))*(1+$BH163)*(1+$BI163))*(1+$AM163)*$BN163*$Q163*(1+IF(VLOOKUP($R163,武学奇术!$A:$ZZ,30,FALSE)="回旋伞",$B$21,0))*(1+$BR163)</f>
        <v>18430.4430725971</v>
      </c>
      <c r="O163" s="38">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Q163*(1+IF(VLOOKUP($R163,武学奇术!$A:$ZZ,30,FALSE)="回旋伞",$B$21,0))*(1+$BR163)</f>
        <v>12376.8587958315</v>
      </c>
      <c r="P163" s="38">
        <f>((($AO163*$AI163+$AJ163)*(1+$AQ163)*(1+$AR163)+($AT163*IF($G$1="鸣金",$AK163,$AI163)+IF($G$1="鸣金",$AL163*1.5,0))*(1+$AV163)*(1+$AW163)+($AX163*IF($G$1="裂石",$AK163,$AI163)+IF($G$1="裂石",$AL163*1.5,0))*(1+$AZ163)*(1+$BA163)+($BB163*IF($G$1="牵丝",$AK163,$AI163)+IF($G$1="牵丝",$AL163*1.5,0))*(1+$BD163)*(1+$BE163)+($BF163*IF($G$1="破竹",$AK163,$AI163)+IF($G$1="破竹",$AL163*1.5,0))*(1+$BH163)*(1+$BI163))*(1+$AM163))*$Q163*(1+IF(VLOOKUP($R163,武学奇术!$A:$ZZ,30,FALSE)="回旋伞",$B$21,0))*(1+$BR163)</f>
        <v>11101.5375378873</v>
      </c>
      <c r="Q163" s="39">
        <f t="shared" si="106"/>
        <v>1</v>
      </c>
      <c r="R163" s="40" t="s">
        <v>186</v>
      </c>
      <c r="S163" s="40" t="s">
        <v>72</v>
      </c>
      <c r="T163" s="40" t="s">
        <v>95</v>
      </c>
      <c r="U163" s="40" t="s">
        <v>73</v>
      </c>
      <c r="V163" s="40" t="s">
        <v>81</v>
      </c>
      <c r="W163" s="40" t="s">
        <v>172</v>
      </c>
      <c r="X163" s="40" t="s">
        <v>99</v>
      </c>
      <c r="Y163" s="40" t="s">
        <v>84</v>
      </c>
      <c r="Z163" s="40" t="s">
        <v>176</v>
      </c>
      <c r="AA163" s="40" t="s">
        <v>177</v>
      </c>
      <c r="AB163" s="40" t="s">
        <v>72</v>
      </c>
      <c r="AC163" s="40" t="s">
        <v>91</v>
      </c>
      <c r="AD163" s="40" t="s">
        <v>178</v>
      </c>
      <c r="AE163" s="40" t="s">
        <v>72</v>
      </c>
      <c r="AF163" s="40" t="s">
        <v>77</v>
      </c>
      <c r="AG163" s="40" t="s">
        <v>78</v>
      </c>
      <c r="AH163" t="str">
        <f>VLOOKUP($R163,武学奇术!$A:$ZZ,25,FALSE)</f>
        <v>心法</v>
      </c>
      <c r="AI163" s="26">
        <f>VLOOKUP($R163,武学奇术!$A:$ZZ,26,FALSE)</f>
        <v>1</v>
      </c>
      <c r="AJ163" s="27">
        <f>VLOOKUP($R163,武学奇术!$A:$ZZ,27,FALSE)*(1+IF(OR($AH163=$F$4,$AH163=$F$5),$B$22,0))</f>
        <v>0</v>
      </c>
      <c r="AK163" s="26">
        <f>VLOOKUP($R163,武学奇术!$A:$ZZ,28,FALSE)</f>
        <v>1</v>
      </c>
      <c r="AL163" s="27">
        <f>VLOOKUP($R163,武学奇术!$A:$ZZ,29,FALSE)*(1+IF(OR($AH163=$F$4,$AH163=$F$5),$B$22,0))</f>
        <v>0</v>
      </c>
      <c r="AM163" s="26" cm="1">
        <f t="array" ref="AM163">$G$3+IFERROR(VLOOKUP($AH163,$F$4:$G$7,2,FALSE),0)+VLOOKUP($R163,武学奇术!$A:$ZZ,2,FALSE)+SUM(_xlfn.XLOOKUP($S163:$AG163,增益!$A:$A,增益!$B:$B,0))</f>
        <v>0.4837</v>
      </c>
      <c r="AN163" s="26" cm="1">
        <f t="array" ref="AN163">VLOOKUP($R163,武学奇术!$A:$ZZ,5,FALSE)+SUM(_xlfn.XLOOKUP($S163:$AG163,增益!$A:$A,增益!$E:$E,0))</f>
        <v>0</v>
      </c>
      <c r="AO163" cm="1">
        <f t="array" ref="AO163">$D$10*(1+$AN163)+VLOOKUP($R163,武学奇术!$A:$ZZ,3,FALSE)+SUM(_xlfn.XLOOKUP($S163:$AG163,增益!$A:$A,增益!$C:$C,0))-$I$2</f>
        <v>3624.6</v>
      </c>
      <c r="AP163" cm="1">
        <f t="array" ref="AP163">$E$10*(1+$AN163)+VLOOKUP($R163,武学奇术!$A:$ZZ,4,FALSE)+SUM(_xlfn.XLOOKUP($S163:$AG163,增益!$A:$A,增益!$D:$D,0))-$I$2</f>
        <v>3624.6</v>
      </c>
      <c r="AQ163" s="32" cm="1">
        <f t="array" ref="AQ163">IF($F$10-$I$3+VLOOKUP($R163,武学奇术!$A:$ZZ,6,FALSE)+SUM(_xlfn.XLOOKUP(S163:AG163,增益!$A:$A,增益!$F:$F,0))&gt;0,($F$10-$I$3+VLOOKUP($R163,武学奇术!$A:$ZZ,6,FALSE)+SUM(_xlfn.XLOOKUP(S163:AG163,增益!$A:$A,增益!$F:$F,0)))/200,($F$10-$I$3+VLOOKUP($R163,武学奇术!$A:$ZZ,6,FALSE)+SUM(_xlfn.XLOOKUP(S163:AG163,增益!$A:$A,增益!$F:$F,0)))/100)</f>
        <v>0.3425</v>
      </c>
      <c r="AR163" s="32" cm="1">
        <f t="array" ref="AR163">$G$10+VLOOKUP($R163,武学奇术!$A:$ZZ,7,FALSE)+SUM(_xlfn.XLOOKUP(S163:AG163,增益!$A:$A,增益!$G:$G,0))</f>
        <v>0.028</v>
      </c>
      <c r="AS163" s="26" cm="1">
        <f t="array" ref="AS163">VLOOKUP($R163,武学奇术!$A:$ZZ,8,FALSE)+SUM(_xlfn.XLOOKUP(S163:AG163,增益!$A:$A,增益!$H:$H,0))</f>
        <v>0</v>
      </c>
      <c r="AT163">
        <f t="shared" si="96"/>
        <v>0</v>
      </c>
      <c r="AU163">
        <f t="shared" si="97"/>
        <v>0</v>
      </c>
      <c r="AV163" s="32" cm="1">
        <f t="array" ref="AV163">IF($F$11-$I$4+VLOOKUP($R163,武学奇术!$A:$ZZ,9,FALSE)+SUM(_xlfn.XLOOKUP(S163:AG163,增益!$A:$A,增益!$I:$I,0))&gt;0,($F$11-$I$4+VLOOKUP($R163,武学奇术!$A:$ZZ,9,FALSE)+SUM(_xlfn.XLOOKUP(S163:AG163,增益!$A:$A,增益!$I:$I,0)))/200,($F$11-$I$4+VLOOKUP($R163,武学奇术!$A:$ZZ,9,FALSE)+SUM(_xlfn.XLOOKUP(S163:AG163,增益!$A:$A,增益!$I:$I,0)))/100)</f>
        <v>-0.14</v>
      </c>
      <c r="AW163" s="32" cm="1">
        <f t="array" ref="AW163">$G$11+VLOOKUP($R163,武学奇术!$A:$ZZ,10,FALSE)+SUM(_xlfn.XLOOKUP(S163:AG163,增益!$A:$A,增益!$J:$J,0))</f>
        <v>0.1</v>
      </c>
      <c r="AX163">
        <f t="shared" si="98"/>
        <v>0</v>
      </c>
      <c r="AY163">
        <f t="shared" si="99"/>
        <v>0</v>
      </c>
      <c r="AZ163" s="32" cm="1">
        <f t="array" ref="AZ163">IF($F$12-$I$4+VLOOKUP($R163,武学奇术!$A:$ZZ,11,FALSE)+SUM(_xlfn.XLOOKUP(S163:AG163,增益!$A:$A,增益!$K:$K,0))&gt;0,($F$12-$I$4+VLOOKUP($R163,武学奇术!$A:$ZZ,11,FALSE)+SUM(_xlfn.XLOOKUP(S163:AG163,增益!$A:$A,增益!$K:$K,0)))/200,($F$12-$I$4+VLOOKUP($R163,武学奇术!$A:$ZZ,11,FALSE)+SUM(_xlfn.XLOOKUP(S163:AG163,增益!$A:$A,增益!$K:$K,0)))/100)</f>
        <v>-0.14</v>
      </c>
      <c r="BA163" s="32" cm="1">
        <f t="array" ref="BA163">$G$12+VLOOKUP($R163,武学奇术!$A:$ZZ,12,FALSE)+SUM(_xlfn.XLOOKUP(S163:AG163,增益!$A:$A,增益!$L:$L,0))</f>
        <v>0</v>
      </c>
      <c r="BB163">
        <f t="shared" si="100"/>
        <v>0</v>
      </c>
      <c r="BC163">
        <f t="shared" si="101"/>
        <v>0</v>
      </c>
      <c r="BD163" s="32" cm="1">
        <f t="array" ref="BD163">IF($F$13-$I$4+VLOOKUP($R163,武学奇术!$A:$ZZ,13,FALSE)+SUM(_xlfn.XLOOKUP(S163:AG163,增益!$A:$A,增益!$M:$M,0))&gt;0,($F$13-$I$4+VLOOKUP($R163,武学奇术!$A:$ZZ,13,FALSE)+SUM(_xlfn.XLOOKUP(S163:AG163,增益!$A:$A,增益!$K:$K,0)))/200,($F$13-$I$4+VLOOKUP($R163,武学奇术!$A:$ZZ,13,FALSE)+SUM(_xlfn.XLOOKUP(S163:AG163,增益!$A:$A,增益!$M:$M,0)))/100)</f>
        <v>-0.14</v>
      </c>
      <c r="BE163" s="32" cm="1">
        <f t="array" ref="BE163">$G$13+VLOOKUP($R163,武学奇术!$A:$ZZ,14,FALSE)+SUM(_xlfn.XLOOKUP(S163:AG163,增益!$A:$A,增益!$N:$N,0))</f>
        <v>0</v>
      </c>
      <c r="BF163">
        <f t="shared" si="102"/>
        <v>571.2</v>
      </c>
      <c r="BG163">
        <f t="shared" si="103"/>
        <v>1627.8</v>
      </c>
      <c r="BH163" s="32" cm="1">
        <f t="array" ref="BH163">IF($F$14-$I$4+VLOOKUP($R163,武学奇术!$A:$ZZ,15,FALSE)+SUM(_xlfn.XLOOKUP(S163:AG163,增益!$A:$A,增益!$O:$O,0))&gt;0,($F$14-$I$4+VLOOKUP($R163,武学奇术!$A:$ZZ,15,FALSE)+SUM(_xlfn.XLOOKUP(S163:AG163,增益!$A:$A,增益!$O:$O,0)))/200,($F$14-$I$4+VLOOKUP($R163,武学奇术!$A:$ZZ,15,FALSE)+SUM(_xlfn.XLOOKUP(S163:AG163,增益!$A:$A,增益!$O:$O,0)))/100)</f>
        <v>0.08</v>
      </c>
      <c r="BI163" s="32" cm="1">
        <f t="array" ref="BI163">$G$14+VLOOKUP($R163,武学奇术!$A:$ZZ,16,FALSE)+SUM(_xlfn.XLOOKUP(S163:AG163,增益!$A:$A,增益!$P:$P,0))</f>
        <v>0.15</v>
      </c>
      <c r="BJ163" s="26">
        <f>MIN(IF(VLOOKUP($R163,武学奇术!$A:$ZZ,23,FALSE)=1,100%,$B$8),100%)</f>
        <v>0.981</v>
      </c>
      <c r="BK163" s="26" cm="1">
        <f t="array" ref="BK163">IF(VLOOKUP($R163,武学奇术!$A:$ZZ,23,FALSE)=1,100%,MIN(80%,$B$9+VLOOKUP($R163,武学奇术!$A:$ZZ,17,FALSE)+SUM(_xlfn.XLOOKUP(S163:AG163,增益!$A:$A,增益!$Q:$Q,0)))+$B$11+SUM(_xlfn.XLOOKUP(S163:AG163,增益!$A:$A,增益!$U:$U,0)))*IF(VLOOKUP($R163,武学奇术!$A:$ZZ,24,FALSE)=1,0,1)</f>
        <v>0.846</v>
      </c>
      <c r="BL163" s="26" cm="1">
        <f t="array" ref="BL163">1+$B$13+VLOOKUP($R163,武学奇术!$A:$ZZ,18,FALSE)+SUM(_xlfn.XLOOKUP(S163:AG163,增益!$A:$A,增益!$R:$R,0))</f>
        <v>1.91</v>
      </c>
      <c r="BM163" s="26" cm="1">
        <f t="array" ref="BM163">IF(VLOOKUP($R163,武学奇术!$A:$ZZ,24,FALSE)=1,100%,MIN(40%,$B$10+VLOOKUP($R163,武学奇术!$A:$ZZ,19,FALSE)+SUM(_xlfn.XLOOKUP(S163:AG163,增益!$A:$A,增益!$S:$S,0)))+$B$12+SUM(_xlfn.XLOOKUP(S163:AG163,增益!$A:$A,增益!$V:$V,0)))*IF(VLOOKUP($R163,武学奇术!$A:$ZZ,23,FALSE)=1,0,1)</f>
        <v>0.0929</v>
      </c>
      <c r="BN163" s="26" cm="1">
        <f t="array" ref="BN163">1+$B$14+VLOOKUP($R163,武学奇术!$A:$ZZ,20,FALSE)+SUM(_xlfn.XLOOKUP(S163:AG163,增益!$A:$A,增益!$T:$T,0))</f>
        <v>1.35</v>
      </c>
      <c r="BO163" s="26">
        <f t="shared" si="104"/>
        <v>0.829926</v>
      </c>
      <c r="BP163" s="26">
        <f t="shared" si="105"/>
        <v>0.0599391</v>
      </c>
      <c r="BQ163" s="26">
        <f>IF(VLOOKUP($R163,武学奇术!$A:$ZZ,22,FALSE)=1,0,(1-$BJ163))*(1-$BM163)</f>
        <v>0.0172349</v>
      </c>
      <c r="BR163" s="26" cm="1">
        <f t="array" ref="BR163">SUM(_xlfn.XLOOKUP(S163:AG163,增益!$A:$A,增益!$W:$W,0))+$I$5</f>
        <v>0.31</v>
      </c>
    </row>
    <row r="164" spans="11:70">
      <c r="K164">
        <f>$L164*VLOOKUP($R164,武学奇术!$A:$ZZ,31,FALSE)</f>
        <v>0</v>
      </c>
      <c r="L164" s="38">
        <f t="shared" si="95"/>
        <v>0</v>
      </c>
      <c r="M164" s="38">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BL164*$Q164*(1+IF(VLOOKUP($R164,武学奇术!$A:$ZZ,30,FALSE)="回旋伞",$B$21,0))*(1+$BR164)</f>
        <v>0</v>
      </c>
      <c r="N164" s="38">
        <f>(($AP164*$AI164+$AJ164)*(1+$AQ164)*(1+$AR164)+($AU164*IF($G$1="鸣金",$AK164,$AI164)+IF($G$1="鸣金",$AL164*1.5,0))*(1+$AV164)*(1+$AW164)+($AY164*IF($G$1="裂石",$AK164,$AI164)+IF($G$1="裂石",$AL164*1.5,0))*(1+$AZ164)*(1+$BA164)+($BC164*IF($G$1="牵丝",$AK164,$AI164)+IF($G$1="牵丝",$AL164*1.5,0))*(1+$BD164)*(1+$BE164)+($BG164*IF($G$1="破竹",$AK164,$AI164)+IF($G$1="破竹",$AL164*1.5,0))*(1+$BH164)*(1+$BI164))*(1+$AM164)*$BN164*$Q164*(1+IF(VLOOKUP($R164,武学奇术!$A:$ZZ,30,FALSE)="回旋伞",$B$21,0))*(1+$BR164)</f>
        <v>0</v>
      </c>
      <c r="O164" s="38">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Q164*(1+IF(VLOOKUP($R164,武学奇术!$A:$ZZ,30,FALSE)="回旋伞",$B$21,0))*(1+$BR164)</f>
        <v>0</v>
      </c>
      <c r="P164" s="38">
        <f>((($AO164*$AI164+$AJ164)*(1+$AQ164)*(1+$AR164)+($AT164*IF($G$1="鸣金",$AK164,$AI164)+IF($G$1="鸣金",$AL164*1.5,0))*(1+$AV164)*(1+$AW164)+($AX164*IF($G$1="裂石",$AK164,$AI164)+IF($G$1="裂石",$AL164*1.5,0))*(1+$AZ164)*(1+$BA164)+($BB164*IF($G$1="牵丝",$AK164,$AI164)+IF($G$1="牵丝",$AL164*1.5,0))*(1+$BD164)*(1+$BE164)+($BF164*IF($G$1="破竹",$AK164,$AI164)+IF($G$1="破竹",$AL164*1.5,0))*(1+$BH164)*(1+$BI164))*(1+$AM164))*$Q164*(1+IF(VLOOKUP($R164,武学奇术!$A:$ZZ,30,FALSE)="回旋伞",$B$21,0))*(1+$BR164)</f>
        <v>0</v>
      </c>
      <c r="Q164" s="39">
        <v>0</v>
      </c>
      <c r="R164" s="40" t="s">
        <v>72</v>
      </c>
      <c r="S164" s="40" t="s">
        <v>72</v>
      </c>
      <c r="T164" s="40" t="s">
        <v>72</v>
      </c>
      <c r="U164" s="40" t="s">
        <v>72</v>
      </c>
      <c r="V164" s="40" t="s">
        <v>72</v>
      </c>
      <c r="W164" s="40" t="s">
        <v>72</v>
      </c>
      <c r="X164" s="40" t="s">
        <v>72</v>
      </c>
      <c r="Y164" s="40" t="s">
        <v>72</v>
      </c>
      <c r="Z164" s="40" t="s">
        <v>72</v>
      </c>
      <c r="AA164" s="40" t="s">
        <v>72</v>
      </c>
      <c r="AB164" s="40" t="s">
        <v>72</v>
      </c>
      <c r="AC164" s="40" t="s">
        <v>72</v>
      </c>
      <c r="AD164" s="40" t="s">
        <v>72</v>
      </c>
      <c r="AE164" s="40" t="s">
        <v>72</v>
      </c>
      <c r="AF164" s="40" t="s">
        <v>77</v>
      </c>
      <c r="AG164" s="40" t="s">
        <v>78</v>
      </c>
      <c r="AH164" t="str">
        <f>VLOOKUP($R164,武学奇术!$A:$ZZ,25,FALSE)</f>
        <v>心法</v>
      </c>
      <c r="AI164" s="26">
        <f>VLOOKUP($R164,武学奇术!$A:$ZZ,26,FALSE)</f>
        <v>0</v>
      </c>
      <c r="AJ164" s="27">
        <f>VLOOKUP($R164,武学奇术!$A:$ZZ,27,FALSE)*(1+IF(OR($AH164=$F$4,$AH164=$F$5),$B$22,0))</f>
        <v>0</v>
      </c>
      <c r="AK164" s="26">
        <f>VLOOKUP($R164,武学奇术!$A:$ZZ,28,FALSE)</f>
        <v>0</v>
      </c>
      <c r="AL164" s="27">
        <f>VLOOKUP($R164,武学奇术!$A:$ZZ,29,FALSE)*(1+IF(OR($AH164=$F$4,$AH164=$F$5),$B$22,0))</f>
        <v>0</v>
      </c>
      <c r="AM164" s="26" cm="1">
        <f t="array" ref="AM164">$G$3+IFERROR(VLOOKUP($AH164,$F$4:$G$7,2,FALSE),0)+VLOOKUP($R164,武学奇术!$A:$ZZ,2,FALSE)+SUM(_xlfn.XLOOKUP($S164:$AG164,增益!$A:$A,增益!$B:$B,0))</f>
        <v>0.1837</v>
      </c>
      <c r="AN164" s="26" cm="1">
        <f t="array" ref="AN164">VLOOKUP($R164,武学奇术!$A:$ZZ,5,FALSE)+SUM(_xlfn.XLOOKUP($S164:$AG164,增益!$A:$A,增益!$E:$E,0))</f>
        <v>0</v>
      </c>
      <c r="AO164" cm="1">
        <f t="array" ref="AO164">$D$10*(1+$AN164)+VLOOKUP($R164,武学奇术!$A:$ZZ,3,FALSE)+SUM(_xlfn.XLOOKUP($S164:$AG164,增益!$A:$A,增益!$C:$C,0))-$I$2</f>
        <v>3624.6</v>
      </c>
      <c r="AP164" cm="1">
        <f t="array" ref="AP164">$E$10*(1+$AN164)+VLOOKUP($R164,武学奇术!$A:$ZZ,4,FALSE)+SUM(_xlfn.XLOOKUP($S164:$AG164,增益!$A:$A,增益!$D:$D,0))-$I$2</f>
        <v>3624.6</v>
      </c>
      <c r="AQ164" s="32" cm="1">
        <f t="array" ref="AQ164">IF($F$10-$I$3+VLOOKUP($R164,武学奇术!$A:$ZZ,6,FALSE)+SUM(_xlfn.XLOOKUP(S164:AG164,增益!$A:$A,增益!$F:$F,0))&gt;0,($F$10-$I$3+VLOOKUP($R164,武学奇术!$A:$ZZ,6,FALSE)+SUM(_xlfn.XLOOKUP(S164:AG164,增益!$A:$A,增益!$F:$F,0)))/200,($F$10-$I$3+VLOOKUP($R164,武学奇术!$A:$ZZ,6,FALSE)+SUM(_xlfn.XLOOKUP(S164:AG164,增益!$A:$A,增益!$F:$F,0)))/100)</f>
        <v>0.2425</v>
      </c>
      <c r="AR164" s="32" cm="1">
        <f t="array" ref="AR164">$G$10+VLOOKUP($R164,武学奇术!$A:$ZZ,7,FALSE)+SUM(_xlfn.XLOOKUP(S164:AG164,增益!$A:$A,增益!$G:$G,0))</f>
        <v>0.028</v>
      </c>
      <c r="AS164" s="26" cm="1">
        <f t="array" ref="AS164">VLOOKUP($R164,武学奇术!$A:$ZZ,8,FALSE)+SUM(_xlfn.XLOOKUP(S164:AG164,增益!$A:$A,增益!$H:$H,0))</f>
        <v>0</v>
      </c>
      <c r="AT164">
        <f t="shared" si="96"/>
        <v>0</v>
      </c>
      <c r="AU164">
        <f t="shared" si="97"/>
        <v>0</v>
      </c>
      <c r="AV164" s="32" cm="1">
        <f t="array" ref="AV164">IF($F$11-$I$4+VLOOKUP($R164,武学奇术!$A:$ZZ,9,FALSE)+SUM(_xlfn.XLOOKUP(S164:AG164,增益!$A:$A,增益!$I:$I,0))&gt;0,($F$11-$I$4+VLOOKUP($R164,武学奇术!$A:$ZZ,9,FALSE)+SUM(_xlfn.XLOOKUP(S164:AG164,增益!$A:$A,增益!$I:$I,0)))/200,($F$11-$I$4+VLOOKUP($R164,武学奇术!$A:$ZZ,9,FALSE)+SUM(_xlfn.XLOOKUP(S164:AG164,增益!$A:$A,增益!$I:$I,0)))/100)</f>
        <v>-0.3</v>
      </c>
      <c r="AW164" s="32" cm="1">
        <f t="array" ref="AW164">$G$11+VLOOKUP($R164,武学奇术!$A:$ZZ,10,FALSE)+SUM(_xlfn.XLOOKUP(S164:AG164,增益!$A:$A,增益!$J:$J,0))</f>
        <v>0</v>
      </c>
      <c r="AX164">
        <f t="shared" si="98"/>
        <v>0</v>
      </c>
      <c r="AY164">
        <f t="shared" si="99"/>
        <v>0</v>
      </c>
      <c r="AZ164" s="32" cm="1">
        <f t="array" ref="AZ164">IF($F$12-$I$4+VLOOKUP($R164,武学奇术!$A:$ZZ,11,FALSE)+SUM(_xlfn.XLOOKUP(S164:AG164,增益!$A:$A,增益!$K:$K,0))&gt;0,($F$12-$I$4+VLOOKUP($R164,武学奇术!$A:$ZZ,11,FALSE)+SUM(_xlfn.XLOOKUP(S164:AG164,增益!$A:$A,增益!$K:$K,0)))/200,($F$12-$I$4+VLOOKUP($R164,武学奇术!$A:$ZZ,11,FALSE)+SUM(_xlfn.XLOOKUP(S164:AG164,增益!$A:$A,增益!$K:$K,0)))/100)</f>
        <v>-0.3</v>
      </c>
      <c r="BA164" s="32" cm="1">
        <f t="array" ref="BA164">$G$12+VLOOKUP($R164,武学奇术!$A:$ZZ,12,FALSE)+SUM(_xlfn.XLOOKUP(S164:AG164,增益!$A:$A,增益!$L:$L,0))</f>
        <v>0</v>
      </c>
      <c r="BB164">
        <f t="shared" si="100"/>
        <v>0</v>
      </c>
      <c r="BC164">
        <f t="shared" si="101"/>
        <v>0</v>
      </c>
      <c r="BD164" s="32" cm="1">
        <f t="array" ref="BD164">IF($F$13-$I$4+VLOOKUP($R164,武学奇术!$A:$ZZ,13,FALSE)+SUM(_xlfn.XLOOKUP(S164:AG164,增益!$A:$A,增益!$M:$M,0))&gt;0,($F$13-$I$4+VLOOKUP($R164,武学奇术!$A:$ZZ,13,FALSE)+SUM(_xlfn.XLOOKUP(S164:AG164,增益!$A:$A,增益!$K:$K,0)))/200,($F$13-$I$4+VLOOKUP($R164,武学奇术!$A:$ZZ,13,FALSE)+SUM(_xlfn.XLOOKUP(S164:AG164,增益!$A:$A,增益!$M:$M,0)))/100)</f>
        <v>-0.3</v>
      </c>
      <c r="BE164" s="32" cm="1">
        <f t="array" ref="BE164">$G$13+VLOOKUP($R164,武学奇术!$A:$ZZ,14,FALSE)+SUM(_xlfn.XLOOKUP(S164:AG164,增益!$A:$A,增益!$N:$N,0))</f>
        <v>0</v>
      </c>
      <c r="BF164">
        <f t="shared" si="102"/>
        <v>571.2</v>
      </c>
      <c r="BG164">
        <f t="shared" si="103"/>
        <v>1627.8</v>
      </c>
      <c r="BH164" s="32" cm="1">
        <f t="array" ref="BH164">IF($F$14-$I$4+VLOOKUP($R164,武学奇术!$A:$ZZ,15,FALSE)+SUM(_xlfn.XLOOKUP(S164:AG164,增益!$A:$A,增益!$O:$O,0))&gt;0,($F$14-$I$4+VLOOKUP($R164,武学奇术!$A:$ZZ,15,FALSE)+SUM(_xlfn.XLOOKUP(S164:AG164,增益!$A:$A,增益!$O:$O,0)))/200,($F$14-$I$4+VLOOKUP($R164,武学奇术!$A:$ZZ,15,FALSE)+SUM(_xlfn.XLOOKUP(S164:AG164,增益!$A:$A,增益!$O:$O,0)))/100)</f>
        <v>0</v>
      </c>
      <c r="BI164" s="32" cm="1">
        <f t="array" ref="BI164">$G$14+VLOOKUP($R164,武学奇术!$A:$ZZ,16,FALSE)+SUM(_xlfn.XLOOKUP(S164:AG164,增益!$A:$A,增益!$P:$P,0))</f>
        <v>0.15</v>
      </c>
      <c r="BJ164" s="26">
        <f>MIN(IF(VLOOKUP($R164,武学奇术!$A:$ZZ,23,FALSE)=1,100%,$B$8),100%)</f>
        <v>0.981</v>
      </c>
      <c r="BK164" s="26" cm="1">
        <f t="array" ref="BK164">IF(VLOOKUP($R164,武学奇术!$A:$ZZ,23,FALSE)=1,100%,MIN(80%,$B$9+VLOOKUP($R164,武学奇术!$A:$ZZ,17,FALSE)+SUM(_xlfn.XLOOKUP(S164:AG164,增益!$A:$A,增益!$Q:$Q,0)))+$B$11+SUM(_xlfn.XLOOKUP(S164:AG164,增益!$A:$A,增益!$U:$U,0)))*IF(VLOOKUP($R164,武学奇术!$A:$ZZ,24,FALSE)=1,0,1)</f>
        <v>0.846</v>
      </c>
      <c r="BL164" s="26" cm="1">
        <f t="array" ref="BL164">1+$B$13+VLOOKUP($R164,武学奇术!$A:$ZZ,18,FALSE)+SUM(_xlfn.XLOOKUP(S164:AG164,增益!$A:$A,增益!$R:$R,0))</f>
        <v>1.54</v>
      </c>
      <c r="BM164" s="26" cm="1">
        <f t="array" ref="BM164">IF(VLOOKUP($R164,武学奇术!$A:$ZZ,24,FALSE)=1,100%,MIN(40%,$B$10+VLOOKUP($R164,武学奇术!$A:$ZZ,19,FALSE)+SUM(_xlfn.XLOOKUP(S164:AG164,增益!$A:$A,增益!$S:$S,0)))+$B$12+SUM(_xlfn.XLOOKUP(S164:AG164,增益!$A:$A,增益!$V:$V,0)))*IF(VLOOKUP($R164,武学奇术!$A:$ZZ,23,FALSE)=1,0,1)</f>
        <v>0.0929</v>
      </c>
      <c r="BN164" s="26" cm="1">
        <f t="array" ref="BN164">1+$B$14+VLOOKUP($R164,武学奇术!$A:$ZZ,20,FALSE)+SUM(_xlfn.XLOOKUP(S164:AG164,增益!$A:$A,增益!$T:$T,0))</f>
        <v>1.35</v>
      </c>
      <c r="BO164" s="26">
        <f t="shared" si="104"/>
        <v>0.829926</v>
      </c>
      <c r="BP164" s="26">
        <f t="shared" si="105"/>
        <v>0.0599391</v>
      </c>
      <c r="BQ164" s="26">
        <f>IF(VLOOKUP($R164,武学奇术!$A:$ZZ,22,FALSE)=1,0,(1-$BJ164))*(1-$BM164)</f>
        <v>0.0172349</v>
      </c>
      <c r="BR164" s="26" cm="1">
        <f t="array" ref="BR164">SUM(_xlfn.XLOOKUP(S164:AG164,增益!$A:$A,增益!$W:$W,0))+$I$5</f>
        <v>0.11</v>
      </c>
    </row>
  </sheetData>
  <mergeCells count="42">
    <mergeCell ref="H1:I1"/>
    <mergeCell ref="C8:G8"/>
    <mergeCell ref="C15:D15"/>
    <mergeCell ref="E21:F21"/>
    <mergeCell ref="E22:F22"/>
    <mergeCell ref="E23:F23"/>
    <mergeCell ref="E24:F24"/>
    <mergeCell ref="A23:A24"/>
    <mergeCell ref="C28:C29"/>
    <mergeCell ref="C52:C53"/>
    <mergeCell ref="C71:C82"/>
    <mergeCell ref="C132:C136"/>
    <mergeCell ref="D32:D44"/>
    <mergeCell ref="D68:D82"/>
    <mergeCell ref="D88:D99"/>
    <mergeCell ref="D127:D136"/>
    <mergeCell ref="E33:E39"/>
    <mergeCell ref="E54:E60"/>
    <mergeCell ref="E74:E80"/>
    <mergeCell ref="E89:E95"/>
    <mergeCell ref="E107:E113"/>
    <mergeCell ref="E128:E133"/>
    <mergeCell ref="F30:F45"/>
    <mergeCell ref="F52:F66"/>
    <mergeCell ref="F71:F82"/>
    <mergeCell ref="F88:F100"/>
    <mergeCell ref="F106:F119"/>
    <mergeCell ref="F127:F136"/>
    <mergeCell ref="H8:H9"/>
    <mergeCell ref="H10:H11"/>
    <mergeCell ref="H12:H13"/>
    <mergeCell ref="H14:H15"/>
    <mergeCell ref="H16:H17"/>
    <mergeCell ref="H18:H19"/>
    <mergeCell ref="H20:H21"/>
    <mergeCell ref="I10:J11"/>
    <mergeCell ref="I8:J9"/>
    <mergeCell ref="I12:J13"/>
    <mergeCell ref="I14:J15"/>
    <mergeCell ref="I16:J17"/>
    <mergeCell ref="I18:J19"/>
    <mergeCell ref="I20:J21"/>
  </mergeCells>
  <dataValidations count="7">
    <dataValidation type="list" allowBlank="1" showInputMessage="1" showErrorMessage="1" sqref="G1">
      <formula1>"鸣金,裂石,牵丝,破竹"</formula1>
    </dataValidation>
    <dataValidation type="list" allowBlank="1" showInputMessage="1" showErrorMessage="1" sqref="G2">
      <formula1>"连星"</formula1>
    </dataValidation>
    <dataValidation type="list" allowBlank="1" showInputMessage="1" showErrorMessage="1" sqref="S2:AE2 AG2 S3:AB3 AC3 AD3:AE3 S6:AB6 AC6 AD6:AE6 S7:AB7 AC7 AD7:AE7 S8:X8 Y8 Z8:AB8 AC8 AD8:AE8 S9:AB9 AC9 AD9:AE9 S10:AB10 AC10 AD10:AE10 AG10 S11:AB11 AD11:AE11 AG11 S12:AB12 AD12:AE12 AG12 S13:AB13 AD13:AE13 AG13 S14:AB14 AD14:AE14 AG14 S15:AB15 AD15:AE15 AG15 S16:AB16 AD16:AE16 AG16 S17:AB17 AD17:AE17 AG17 S18:AB18 AD18:AE18 AG18 S19:AB19 S20:W20 X20 Y20:AB20 S21:V21 W21 X21 Y21:AB21 S22:V22 W22 X22 Y22:AB22 S23:V23 W23 X23 Y23:AB23 S24:V24 W24 X24 Y24:AB24 AD24:AE24 AG24 S25:V25 W25 X25:AB25 AD25:AE25 AG25 S26:V26 W26 X26 Y26:AB26 S27:V27 W27 X27 Y27:AB27 S28:V28 W28 Y28:AB28 S29:V29 W29 Y29:AB29 S30:V30 Y30:AB30 V31 Y31 Z31:AB31 V32 W32 Y32 Z32:AB32 V33 W33 Y33 Z33:AB33 V34 Y34 Z34:AB34 V35 Y35 V36 W36 Y36 S37 T37:V37 W37 X37 Y37:AB37 S38:U38 W38:AC38 S39 U39 W39 Y39:AB39 AC39 S40 U40 W40 Y40:AB40 AC40 S41 U41 W41 Y41:AB41 S42 U42 Y42:AB42 S43 U43 Y43:AB43 S44 U44 W44 Y44:AB44 S45 U45 W45 Y45:AA45 S46 U46 W46 Y46:AA46 S47 U47 W47 Y47 S48 U48 W48 Y48 S49 U49 Y49 S50 U50 Y50 S51 U51 Y51 S52 U52 Y52 S53 U53 Y53 S54 U54 Y54 S55 U55 Y55 S56 U56 Y56 S57 U57 Y57 S58 U58 Y58 V59 Y59 V60 Y60 S61 T61:U61 V61 W61 X61 Y61:AB61 S62 T62:U62 V62 W62 X62 Y62:AB62 S63 T63:V63 W63 X63 Y63:AB63 AC63 S64:U64 V64 W64:AC64 S65:U65 V65 W65 X65 Y65 Z65:AA65 AB65 AC65 S66 T66:U66 V66 X66 Y66 AB66 Y67 AE67 Y68 S69 U69 Y69 AB69 AC69 S70 U70 Y70 AB70 AC70 S71 U71 Y71 AB71 S72 U72 Y72 AB72 AE72 AG72 S73 U73 Y73 AB73 AE73 S74 U74 Y74 AB74 AE74 S75 U75 Y75 AE75 S76 U76 Y76 AE76 S77 U77 Y77 AE77 S78 U78 Y78 AE78 S79 U79 Y79 AE79 S80 U80 Y80 AE80 S81 U81 Y81 AE81 S82 U82 Y82 AE82 S83 T83:V83 W83 X83 Y83:AB83 AC83 AD83:AE83 S84:U84 V84 W84:Y84 AB84:AC84 AD84:AE84 S85 U85 Y85 AB85 AC85 AD85:AE85 S86 U86 Y86 AB86 AC86 AD86:AE86 S87 U87 Y87 AB87 AD87:AE87 S88 U88 Y88 AB88 AD88:AE88 S89 U89 Y89 AB89 AD89:AE89 S90 U90 Y90 AB90 AD90:AE90 S91 U91 Y91 AD91:AE91 S92 U92 Y92 AD92:AE92 S93 U93 Y93 AD93:AE93 S94 U94 Y94 AD94:AE94 S95 U95 Y95 AD95:AE95 S96 U96 Y96 AD96:AE96 S97 U97 Y97 AD97:AE97 S98 U98 Y98 AD98:AE98 S99 T99:V99 W99 X99 Y99 Z99:AB99 AC99 AD99:AE99 S100 T100:V100 W100 X100 Y100:AB100 AC100 AD100:AE100 S101:U101 V101 W101:Y101 Z101:AA101 AB101:AC101 AD101:AE101 W102 AD102:AE102 AD103:AE103 AD104:AE104 S105:U105 X105 Z105:AB105 AC105 AD105:AE105 S106:U106 X106 Z106:AB106 AD106:AE106 S107:U107 X107:AB107 AD107:AE107 S108:U108 X108:AB108 AD108:AE108 S109:U109 X109:AB109 AD109:AE109 S110:U110 X110:AB110 AD110:AE110 S111:U111 X111:AB111 S112:U112 X112:AB112 S113:U113 X113:AB113 S114:U114 X114:AB114 S115:U115 Y115:AB115 S116:U116 Y116:AB116 S117:U117 Y117:AB117 S118:U118 Y118:AB118 S119:U119 Y119:AB119 S120:U120 Y120:AB120 S121:U121 V121 Y121:AB121 S122:U122 Z122:AB122 S125:U125 Z125:AA125 AC125 S126 T126 U126 AE126 S127 T127 U127:V127 W127 X127 AB127 S128 T128:U128 V128 W128:X128 Z128:AA128 AB128:AC128 AD128 U129 V129 Y129 Z129:AA129 AC129 AD129 U130 Y130:AA130 AC130 U131 Y131 Z131:AA131 AC131 S132 U132 Z132:AB132 AC132 S133 U133 Z133:AB133 S134 U134 Y134:AB134 S135 U135 Y135:AB135 S136 U136 Y136:AB136 S137 U137 Y137:AB137 AE137 S138 U138 Y138:AA138 AE138 S139 U139 Y139:AA139 S140 U140 Y140:AA140 AD140 S141 U141 Y141:AA141 AD141 S142 U142 Y142 S143 U143 Y143 S144 U144 Y144 S145 U145 Y145 S146 U146 Y146 AC146 S147 U147 Y147 S148 U148 Y148 S149 U149 Y149 AE149 AF149 AG149 S150 U150 W150 X150 Y150 AB150 AC150 AE150 AF150 AG150 S151:U151 V151 W151:Y151 Z151:AA151 AB151:AC151 AD151 AE151 AF151 AG151 S152:U152 V152 W152:Y152 Z152:AA152 AB152:AC152 AD152 AE152 AF152 AG152 S153 T153 U153 V153 W153 X153 Y153 Z153 AA153 AB153 AC153 AD153 AE153 AF153 AG153 S157:U157 V157 W157:AE157 S158:U158 V158 W158:AC158 AD158 AE158 S159:U159 V159 W159:AE159 S160:U160 V160 W160:AE160 S161:U161 V161 W161:AE161 S162:AE162 S163:AC163 AD163 AE163 S164:AC164 AD164:AE164 S102:S104 S123:S124 S129:S131 T39:T46 T47:T52 T53:T54 T55:T58 T69:T74 T75:T76 T77:T78 T79:T80 T81:T82 T85:T90 T91:T92 T93:T94 T95:T96 T97:T98 T102:T104 T129:T150 U102:U104 V38:V52 V53:V54 V55:V58 V67:V82 V85:V92 V93:V94 V95:V98 V102:V103 V104:V116 V117:V118 V119:V120 V122:V124 V125:V126 V130:V131 V132:V133 V134:V150 W30:W31 W34:W35 W42:W43 W49:W52 W53:W54 W55:W56 W57:W60 W66:W82 W85:W92 W93:W94 W95:W98 W103:W116 W117:W118 W119:W120 W121:W122 W123:W124 W125:W126 W129:W131 W132:W139 W140:W141 W142:W143 W144:W145 W146:W147 W148:W149 X28:X29 X30:X36 X39:X46 X47:X52 X53:X54 X55:X58 X59:X60 X67:X68 X69:X74 X75:X76 X77:X78 X79:X80 X81:X82 X85:X90 X91:X92 X93:X94 X95:X96 X97:X98 X102:X104 X115:X118 X119:X122 X123:X124 X125:X126 X129:X131 X132:X149 Y102:Y103 Y104:Y106 Y122:Y124 Y125:Y128 Y132:Y133 Z102:Z104 Z123:Z124 AA102:AA104 AA123:AA124 AB45:AB52 AB53:AB54 AB55:AB58 AB67:AB68 AB75:AB76 AB77:AB78 AB79:AB80 AB81:AB82 AB91:AB92 AB93:AB94 AB95:AB96 AB97:AB98 AB102:AB104 AB123:AB124 AB125:AB126 AB129:AB131 AB138:AB141 AB142:AB145 AB146:AB149 AC4:AC5 AC11:AC22 AC23:AC29 AC30:AC37 AC41:AC54 AC55:AC57 AC58:AC62 AC66:AC68 AC71:AC74 AC75:AC76 AC77:AC78 AC79:AC82 AC87:AC90 AC91:AC92 AC93:AC94 AC95:AC98 AC102:AC104 AC106:AC108 AC109:AC116 AC117:AC118 AC119:AC122 AC123:AC124 AC126:AC127 AC133:AC135 AC136:AC139 AC140:AC141 AC142:AC143 AC144:AC145 AC147:AC149 AD67:AD82 AD126:AD127 AD130:AD131 AD132:AD133 AD134:AD139 AD142:AD143 AD144:AD150 AE68:AE71 AE127:AE128 AE129:AE130 AE131:AE132 AE133:AE136 AE139:AE148 AF2:AF138 AF139:AF148 AF154:AF164 AG3:AG9 AG19:AG20 AG21:AG23 AG26:AG40 AG41:AG71 AG73:AG138 AG139:AG148 AG154:AG164 AD19:AE20 Z53:AA54 T123:U124 AD26:AE40 Z148:AA150 Z142:AA147 AD4:AE5 Z126:AA127 Z55:AA58 Z93:AA98 AD41:AE66 S31:U32 S59:U60 S67:U68 Z35:AB36 Z59:AB60 AD21:AE23 S4:AB5 Z47:AA52 S33:U36 Z66:AA82 Z84:AA92 AD111:AE125 S154:AE156">
      <formula1>增益!$A:$A</formula1>
    </dataValidation>
    <dataValidation type="list" allowBlank="1" showInputMessage="1" showErrorMessage="1" sqref="R10 R11 R12 R13 R14 R15 R16 R17 R18 R19 R20 R21 R22 R23 R24 R25 R26 R27 R28 R29 R30 R39 R40 R41 R42 R43 R44 R45 R46 R47 R48 R49 R50 R51 R52 R53 R54 R55 R56 R57 R58 R65 R66 R69 R70 R71 R72 R73 R74 R75 R76 R77 R78 R79 R80 R81 R82 R85 R86 R87 R88 R89 R90 R91 R92 R93 R94 R95 R96 R97 R98 R99 R102 R105 R106 R107 R108 R109 R110 R111 R112 R113 R114 R115 R116 R117 R118 R119 R120 R121 R122 R132 R133 R134 R135 R136 R137 R138 R139 R140 R141 R142 R143 R144 R145 R146 R147 R148 R149 R150 R151 R152 R153 R164 R2:R9 R31:R32 R33:R36 R37:R38 R59:R60 R61:R62 R63:R64 R67:R68 R83:R84 R100:R101 R103:R104 R123:R124 R125:R126 R127:R128 R129:R131 R154:R163">
      <formula1>武学奇术!$A:$A</formula1>
    </dataValidation>
    <dataValidation type="list" allowBlank="1" showInputMessage="1" showErrorMessage="1" sqref="D21 D16:D20 F15:F17">
      <formula1>"√,×"</formula1>
    </dataValidation>
    <dataValidation type="list" allowBlank="1" showInputMessage="1" showErrorMessage="1" sqref="E22:F22">
      <formula1>"大唐歌,断石之构"</formula1>
    </dataValidation>
    <dataValidation type="list" allowBlank="1" showInputMessage="1" showErrorMessage="1" sqref="E24:F24">
      <formula1>"易水歌"</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164"/>
  <sheetViews>
    <sheetView workbookViewId="0">
      <selection activeCell="F33" sqref="F33"/>
    </sheetView>
  </sheetViews>
  <sheetFormatPr defaultColWidth="9" defaultRowHeight="13.5"/>
  <cols>
    <col min="1" max="1" width="12.875" customWidth="1"/>
    <col min="4" max="4" width="9.375"/>
    <col min="11" max="15" width="12.625" style="27" customWidth="1"/>
    <col min="16" max="16" width="12.625" customWidth="1"/>
    <col min="17" max="17" width="9.00833333333333" style="31" customWidth="1"/>
    <col min="18" max="18" width="24.625" style="31" customWidth="1"/>
    <col min="19" max="32" width="9" style="31"/>
    <col min="34" max="34" width="9" style="26"/>
    <col min="35" max="35" width="9" style="27"/>
    <col min="36" max="36" width="9" style="26"/>
    <col min="37" max="37" width="9" style="27"/>
    <col min="38" max="39" width="9" style="26"/>
    <col min="42" max="44" width="9" style="32"/>
    <col min="47" max="48" width="9" style="32"/>
    <col min="61" max="65" width="9" style="26"/>
    <col min="66" max="67" width="9.00833333333333" style="26" customWidth="1"/>
    <col min="68" max="69" width="9" style="26"/>
  </cols>
  <sheetData>
    <row r="1" spans="1:70">
      <c r="A1" s="33"/>
      <c r="B1" s="34" t="s">
        <v>0</v>
      </c>
      <c r="C1" s="34" t="s">
        <v>1</v>
      </c>
      <c r="D1" s="34" t="s">
        <v>2</v>
      </c>
      <c r="E1" s="35" t="s">
        <v>3</v>
      </c>
      <c r="F1" s="36" t="s">
        <v>4</v>
      </c>
      <c r="G1" s="37" t="s">
        <v>5</v>
      </c>
      <c r="H1" s="36" t="s">
        <v>6</v>
      </c>
      <c r="I1" s="37"/>
      <c r="K1" s="38" t="s">
        <v>7</v>
      </c>
      <c r="L1" s="38" t="s">
        <v>8</v>
      </c>
      <c r="M1" s="38" t="s">
        <v>9</v>
      </c>
      <c r="N1" s="38" t="s">
        <v>10</v>
      </c>
      <c r="O1" s="38" t="s">
        <v>11</v>
      </c>
      <c r="P1" s="38" t="s">
        <v>12</v>
      </c>
      <c r="Q1" s="39" t="s">
        <v>13</v>
      </c>
      <c r="R1" s="40" t="s">
        <v>14</v>
      </c>
      <c r="S1" s="40" t="s">
        <v>15</v>
      </c>
      <c r="T1" s="40" t="s">
        <v>16</v>
      </c>
      <c r="U1" s="40" t="s">
        <v>17</v>
      </c>
      <c r="V1" s="40" t="s">
        <v>18</v>
      </c>
      <c r="W1" s="40" t="s">
        <v>19</v>
      </c>
      <c r="X1" s="40" t="s">
        <v>20</v>
      </c>
      <c r="Y1" s="40" t="s">
        <v>21</v>
      </c>
      <c r="Z1" s="40" t="s">
        <v>22</v>
      </c>
      <c r="AA1" s="40" t="s">
        <v>23</v>
      </c>
      <c r="AB1" s="40" t="s">
        <v>24</v>
      </c>
      <c r="AC1" s="40" t="s">
        <v>25</v>
      </c>
      <c r="AD1" s="40" t="s">
        <v>26</v>
      </c>
      <c r="AE1" s="40" t="s">
        <v>27</v>
      </c>
      <c r="AF1" s="40" t="s">
        <v>28</v>
      </c>
      <c r="AG1" s="40" t="s">
        <v>29</v>
      </c>
      <c r="AH1" t="s">
        <v>30</v>
      </c>
      <c r="AI1" s="26" t="s">
        <v>31</v>
      </c>
      <c r="AJ1" s="27" t="s">
        <v>32</v>
      </c>
      <c r="AK1" s="26" t="s">
        <v>33</v>
      </c>
      <c r="AL1" s="27" t="s">
        <v>34</v>
      </c>
      <c r="AM1" s="26" t="s">
        <v>35</v>
      </c>
      <c r="AN1" s="26" t="s">
        <v>36</v>
      </c>
      <c r="AO1" t="s">
        <v>37</v>
      </c>
      <c r="AP1" t="s">
        <v>38</v>
      </c>
      <c r="AQ1" s="32" t="s">
        <v>39</v>
      </c>
      <c r="AR1" s="32" t="s">
        <v>40</v>
      </c>
      <c r="AS1" s="32" t="s">
        <v>41</v>
      </c>
      <c r="AT1" t="s">
        <v>42</v>
      </c>
      <c r="AU1" t="s">
        <v>43</v>
      </c>
      <c r="AV1" s="32" t="s">
        <v>44</v>
      </c>
      <c r="AW1" s="32" t="s">
        <v>45</v>
      </c>
      <c r="AX1" t="s">
        <v>46</v>
      </c>
      <c r="AY1" t="s">
        <v>47</v>
      </c>
      <c r="AZ1" s="32" t="s">
        <v>48</v>
      </c>
      <c r="BA1" s="32" t="s">
        <v>49</v>
      </c>
      <c r="BB1" t="s">
        <v>50</v>
      </c>
      <c r="BC1" t="s">
        <v>51</v>
      </c>
      <c r="BD1" s="32" t="s">
        <v>52</v>
      </c>
      <c r="BE1" s="32" t="s">
        <v>53</v>
      </c>
      <c r="BF1" t="s">
        <v>54</v>
      </c>
      <c r="BG1" t="s">
        <v>55</v>
      </c>
      <c r="BH1" s="32" t="s">
        <v>56</v>
      </c>
      <c r="BI1" s="32" t="s">
        <v>57</v>
      </c>
      <c r="BJ1" s="26" t="s">
        <v>58</v>
      </c>
      <c r="BK1" s="26" t="s">
        <v>59</v>
      </c>
      <c r="BL1" s="26" t="s">
        <v>60</v>
      </c>
      <c r="BM1" s="26" t="s">
        <v>61</v>
      </c>
      <c r="BN1" s="26" t="s">
        <v>62</v>
      </c>
      <c r="BO1" s="26" t="s">
        <v>63</v>
      </c>
      <c r="BP1" s="26" t="s">
        <v>64</v>
      </c>
      <c r="BQ1" s="26" t="s">
        <v>65</v>
      </c>
      <c r="BR1" s="26" t="s">
        <v>66</v>
      </c>
    </row>
    <row r="2" spans="1:70">
      <c r="A2" s="41" t="s">
        <v>67</v>
      </c>
      <c r="B2" s="31"/>
      <c r="C2" s="31"/>
      <c r="D2" s="31"/>
      <c r="E2" s="42"/>
      <c r="F2" s="43" t="s">
        <v>68</v>
      </c>
      <c r="G2" s="44" t="s">
        <v>69</v>
      </c>
      <c r="H2" s="45" t="s">
        <v>70</v>
      </c>
      <c r="I2" s="11">
        <f>620*(1-IF(F17="√",0.06,0)-IF(D20="√",0.04,0))</f>
        <v>620</v>
      </c>
      <c r="K2">
        <f>$L2*VLOOKUP($R2,武学奇术!$A:$ZZ,31,FALSE)</f>
        <v>23499.771711199</v>
      </c>
      <c r="L2" s="38">
        <f t="shared" ref="L2:L37" si="0">($M2*$BO2+$N2*$BM2+$O2*$BP2+$P2*$BQ2)</f>
        <v>22380.7349630466</v>
      </c>
      <c r="M2" s="38">
        <f>((($AO2+$AP2)/2*$AI2+$AJ2)*(1+$AQ2)*(1+$AR2)+(($AT2+$AU2)/2*IF($G$1="鸣金",$AK2,$AI2)+IF($G$1="鸣金",$AL2*1.5,0))*(1+$AV2)*(1+$AW2)+(($AX2+$AY2)/2*IF($G$1="裂石",$AK2,$AI2)+IF($G$1="裂石",$AL2*1.5,0))*(1+$AZ2)*(1+$BA2)+(($BB2+$BC2)/2*IF($G$1="牵丝",$AK2,$AI2)+IF($G$1="牵丝",$AL2*1.5,0))*(1+$BD2)*(1+$BE2)+(($BF2+$BG2)/2*IF($G$1="破竹",$AK2,$AI2)+IF($G$1="破竹",$AL2*1.5,0))*(1+$BH2)*(1+$BI2))*(1+$AM2)*$BL2*$Q2*(1+IF(VLOOKUP($R2,武学奇术!$A:$ZZ,30,FALSE)="回旋伞",$B$21,0))*(1+$BR2)</f>
        <v>23572.8512676505</v>
      </c>
      <c r="N2" s="38">
        <f>(($AP2*$AI2+$AJ2)*(1+$AQ2)*(1+$AR2)+($AU2*IF($G$1="鸣金",$AK2,$AI2)+IF($G$1="鸣金",$AL2*1.5,0))*(1+$AV2)*(1+$AW2)+($AY2*IF($G$1="裂石",$AK2,$AI2)+IF($G$1="裂石",$AL2*1.5,0))*(1+$AZ2)*(1+$BA2)+($BC2*IF($G$1="牵丝",$AK2,$AI2)+IF($G$1="牵丝",$AL2*1.5,0))*(1+$BD2)*(1+$BE2)+($BG2*IF($G$1="破竹",$AK2,$AI2)+IF($G$1="破竹",$AL2*1.5,0))*(1+$BH2)*(1+$BI2))*(1+$AM2)*$BN2*$Q2*(1+IF(VLOOKUP($R2,武学奇术!$A:$ZZ,30,FALSE)="回旋伞",$B$21,0))*(1+$BR2)</f>
        <v>19894.5461272334</v>
      </c>
      <c r="O2" s="38">
        <f>((($AO2+$AP2)/2*$AI2+$AJ2)*(1+$AQ2)*(1+$AR2)+(($AT2+$AU2)/2*IF($G$1="鸣金",$AK2,$AI2)+IF($G$1="鸣金",$AL2*1.5,0))*(1+$AV2)*(1+$AW2)+(($AX2+$AY2)/2*IF($G$1="裂石",$AK2,$AI2)+IF($G$1="裂石",$AL2*1.5,0))*(1+$AZ2)*(1+$BA2)+(($BB2+$BC2)/2*IF($G$1="牵丝",$AK2,$AI2)+IF($G$1="牵丝",$AL2*1.5,0))*(1+$BD2)*(1+$BE2)+(($BF2+$BG2)/2*IF($G$1="破竹",$AK2,$AI2)+IF($G$1="破竹",$AL2*1.5,0))*(1+$BH2)*(1+$BI2))*(1+$AM2)*$Q2*(1+IF(VLOOKUP($R2,武学奇术!$A:$ZZ,30,FALSE)="回旋伞",$B$21,0))*(1+$BR2)</f>
        <v>12952.1160811267</v>
      </c>
      <c r="P2" s="38">
        <f>((($AO2*$AI2+$AJ2)*(1+$AQ2)*(1+$AR2)+($AT2*IF($G$1="鸣金",$AK2,$AI2)+IF($G$1="鸣金",$AL2*1.5,0))*(1+$AV2)*(1+$AW2)+($AX2*IF($G$1="裂石",$AK2,$AI2)+IF($G$1="裂石",$AL2*1.5,0))*(1+$AZ2)*(1+$BA2)+($BB2*IF($G$1="牵丝",$AK2,$AI2)+IF($G$1="牵丝",$AL2*1.5,0))*(1+$BD2)*(1+$BE2)+($BF2*IF($G$1="破竹",$AK2,$AI2)+IF($G$1="破竹",$AL2*1.5,0))*(1+$BH2)*(1+$BI2))*(1+$AM2))*$Q2*(1+IF(VLOOKUP($R2,武学奇术!$A:$ZZ,30,FALSE)="回旋伞",$B$21,0))*(1+$BR2)</f>
        <v>11167.5313272656</v>
      </c>
      <c r="Q2" s="39">
        <v>1</v>
      </c>
      <c r="R2" s="40" t="s">
        <v>71</v>
      </c>
      <c r="S2" s="40" t="s">
        <v>72</v>
      </c>
      <c r="T2" s="40" t="s">
        <v>72</v>
      </c>
      <c r="U2" s="40" t="s">
        <v>73</v>
      </c>
      <c r="V2" s="40" t="s">
        <v>74</v>
      </c>
      <c r="W2" s="40" t="s">
        <v>75</v>
      </c>
      <c r="X2" s="40" t="s">
        <v>76</v>
      </c>
      <c r="Y2" s="40" t="s">
        <v>72</v>
      </c>
      <c r="Z2" s="40" t="s">
        <v>72</v>
      </c>
      <c r="AA2" s="40" t="s">
        <v>72</v>
      </c>
      <c r="AB2" s="40" t="s">
        <v>72</v>
      </c>
      <c r="AC2" s="40" t="s">
        <v>72</v>
      </c>
      <c r="AD2" s="40" t="s">
        <v>72</v>
      </c>
      <c r="AE2" s="40" t="s">
        <v>72</v>
      </c>
      <c r="AF2" s="40" t="s">
        <v>72</v>
      </c>
      <c r="AG2" s="40" t="s">
        <v>78</v>
      </c>
      <c r="AH2" t="str">
        <f>VLOOKUP($R2,武学奇术!$A:$ZZ,25,FALSE)</f>
        <v>群体奇术</v>
      </c>
      <c r="AI2" s="26">
        <f>VLOOKUP($R2,武学奇术!$A:$ZZ,26,FALSE)</f>
        <v>1.4904</v>
      </c>
      <c r="AJ2" s="27">
        <f>VLOOKUP($R2,武学奇术!$A:$ZZ,27,FALSE)*(1+IF(OR($AH2=$F$4,$AH2=$F$5),$B$22,0))</f>
        <v>378</v>
      </c>
      <c r="AK2" s="26">
        <f>VLOOKUP($R2,武学奇术!$A:$ZZ,28,FALSE)</f>
        <v>2.2356</v>
      </c>
      <c r="AL2" s="27">
        <f>VLOOKUP($R2,武学奇术!$A:$ZZ,29,FALSE)*(1+IF(OR($AH2=$F$4,$AH2=$F$5),$B$22,0))</f>
        <v>0</v>
      </c>
      <c r="AM2" s="26" cm="1">
        <f t="array" ref="AM2">$G$3+IFERROR(VLOOKUP($AH2,$F$4:$G$7,2,FALSE),0)+VLOOKUP($R2,武学奇术!$A:$ZZ,2,FALSE)+SUM(_xlfn.XLOOKUP($S2:$AG2,增益!$A:$A,增益!$B:$B,0))</f>
        <v>0.1837</v>
      </c>
      <c r="AN2" s="26" cm="1">
        <f t="array" ref="AN2">VLOOKUP($R2,武学奇术!$A:$ZZ,5,FALSE)+SUM(_xlfn.XLOOKUP($S2:$AG2,增益!$A:$A,增益!$E:$E,0))</f>
        <v>0</v>
      </c>
      <c r="AO2" cm="1">
        <f t="array" ref="AO2">$D$10*(1+$AN2)+VLOOKUP($R2,武学奇术!$A:$ZZ,3,FALSE)+SUM(_xlfn.XLOOKUP($S2:$AG2,增益!$A:$A,增益!$C:$C,0))-$I$2</f>
        <v>3562.6</v>
      </c>
      <c r="AP2" cm="1">
        <f t="array" ref="AP2">$E$10*(1+$AN2)+VLOOKUP($R2,武学奇术!$A:$ZZ,4,FALSE)+SUM(_xlfn.XLOOKUP($S2:$AG2,增益!$A:$A,增益!$D:$D,0))-$I$2</f>
        <v>3562.6</v>
      </c>
      <c r="AQ2" s="32" cm="1">
        <f t="array" ref="AQ2">IF($F$10-$I$3+VLOOKUP($R2,武学奇术!$A:$ZZ,6,FALSE)+SUM(_xlfn.XLOOKUP(S2:AG2,增益!$A:$A,增益!$F:$F,0))&gt;0,($F$10-$I$3+VLOOKUP($R2,武学奇术!$A:$ZZ,6,FALSE)+SUM(_xlfn.XLOOKUP(S2:AG2,增益!$A:$A,增益!$F:$F,0)))/200,($F$10-$I$3+VLOOKUP($R2,武学奇术!$A:$ZZ,6,FALSE)+SUM(_xlfn.XLOOKUP(S2:AG2,增益!$A:$A,增益!$F:$F,0)))/100)</f>
        <v>0.2025</v>
      </c>
      <c r="AR2" s="32" cm="1">
        <f t="array" ref="AR2">$G$10+VLOOKUP($R2,武学奇术!$A:$ZZ,7,FALSE)+SUM(_xlfn.XLOOKUP(S2:AG2,增益!$A:$A,增益!$G:$G,0))</f>
        <v>0.028</v>
      </c>
      <c r="AS2" s="26" cm="1">
        <f t="array" ref="AS2">VLOOKUP($R2,武学奇术!$A:$ZZ,8,FALSE)+SUM(_xlfn.XLOOKUP(S2:AG2,增益!$A:$A,增益!$H:$H,0))</f>
        <v>0</v>
      </c>
      <c r="AT2">
        <f t="shared" ref="AT2:AT65" si="1">$D$11*(1+$AS2)</f>
        <v>0</v>
      </c>
      <c r="AU2">
        <f t="shared" ref="AU2:AU65" si="2">$E$11*(1+$AS2)</f>
        <v>0</v>
      </c>
      <c r="AV2" s="32" cm="1">
        <f t="array" ref="AV2">IF($F$11-$I$4+VLOOKUP($R2,武学奇术!$A:$ZZ,9,FALSE)+SUM(_xlfn.XLOOKUP(S2:AG2,增益!$A:$A,增益!$I:$I,0))&gt;0,($F$11-$I$4+VLOOKUP($R2,武学奇术!$A:$ZZ,9,FALSE)+SUM(_xlfn.XLOOKUP(S2:AG2,增益!$A:$A,增益!$I:$I,0)))/200,($F$11-$I$4+VLOOKUP($R2,武学奇术!$A:$ZZ,9,FALSE)+SUM(_xlfn.XLOOKUP(S2:AG2,增益!$A:$A,增益!$I:$I,0)))/100)</f>
        <v>-0.3</v>
      </c>
      <c r="AW2" s="32" cm="1">
        <f t="array" ref="AW2">$G$11+VLOOKUP($R2,武学奇术!$A:$ZZ,10,FALSE)+SUM(_xlfn.XLOOKUP(S2:AG2,增益!$A:$A,增益!$J:$J,0))</f>
        <v>0</v>
      </c>
      <c r="AX2">
        <f t="shared" ref="AX2:AX65" si="3">$D$12*(1+$AS2)</f>
        <v>0</v>
      </c>
      <c r="AY2">
        <f t="shared" ref="AY2:AY65" si="4">$E$12*(1+$AS2)</f>
        <v>0</v>
      </c>
      <c r="AZ2" s="32" cm="1">
        <f t="array" ref="AZ2">IF($F$12-$I$4+VLOOKUP($R2,武学奇术!$A:$ZZ,11,FALSE)+SUM(_xlfn.XLOOKUP(S2:AG2,增益!$A:$A,增益!$K:$K,0))&gt;0,($F$12-$I$4+VLOOKUP($R2,武学奇术!$A:$ZZ,11,FALSE)+SUM(_xlfn.XLOOKUP(S2:AG2,增益!$A:$A,增益!$K:$K,0)))/200,($F$12-$I$4+VLOOKUP($R2,武学奇术!$A:$ZZ,11,FALSE)+SUM(_xlfn.XLOOKUP(S2:AG2,增益!$A:$A,增益!$K:$K,0)))/100)</f>
        <v>-0.3</v>
      </c>
      <c r="BA2" s="32" cm="1">
        <f t="array" ref="BA2">$G$12+VLOOKUP($R2,武学奇术!$A:$ZZ,12,FALSE)+SUM(_xlfn.XLOOKUP(S2:AG2,增益!$A:$A,增益!$L:$L,0))</f>
        <v>0</v>
      </c>
      <c r="BB2">
        <f t="shared" ref="BB2:BB65" si="5">$D$13*(1+$AS2)</f>
        <v>0</v>
      </c>
      <c r="BC2">
        <f t="shared" ref="BC2:BC65" si="6">$E$13*(1+$AS2)</f>
        <v>0</v>
      </c>
      <c r="BD2" s="32" cm="1">
        <f t="array" ref="BD2">IF($F$13-$I$4+VLOOKUP($R2,武学奇术!$A:$ZZ,13,FALSE)+SUM(_xlfn.XLOOKUP(S2:AG2,增益!$A:$A,增益!$M:$M,0))&gt;0,($F$13-$I$4+VLOOKUP($R2,武学奇术!$A:$ZZ,13,FALSE)+SUM(_xlfn.XLOOKUP(S2:AG2,增益!$A:$A,增益!$K:$K,0)))/200,($F$13-$I$4+VLOOKUP($R2,武学奇术!$A:$ZZ,13,FALSE)+SUM(_xlfn.XLOOKUP(S2:AG2,增益!$A:$A,增益!$M:$M,0)))/100)</f>
        <v>-0.3</v>
      </c>
      <c r="BE2" s="32" cm="1">
        <f t="array" ref="BE2">$G$13+VLOOKUP($R2,武学奇术!$A:$ZZ,14,FALSE)+SUM(_xlfn.XLOOKUP(S2:AG2,增益!$A:$A,增益!$N:$N,0))</f>
        <v>0</v>
      </c>
      <c r="BF2">
        <f t="shared" ref="BF2:BF65" si="7">$D$14*(1+$AS2)</f>
        <v>571.2</v>
      </c>
      <c r="BG2">
        <f t="shared" ref="BG2:BG65" si="8">$E$14*(1+$AS2)</f>
        <v>1627.8</v>
      </c>
      <c r="BH2" s="32" cm="1">
        <f t="array" ref="BH2">IF($F$14-$I$4+VLOOKUP($R2,武学奇术!$A:$ZZ,15,FALSE)+SUM(_xlfn.XLOOKUP(S2:AG2,增益!$A:$A,增益!$O:$O,0))&gt;0,($F$14-$I$4+VLOOKUP($R2,武学奇术!$A:$ZZ,15,FALSE)+SUM(_xlfn.XLOOKUP(S2:AG2,增益!$A:$A,增益!$O:$O,0)))/200,($F$14-$I$4+VLOOKUP($R2,武学奇术!$A:$ZZ,15,FALSE)+SUM(_xlfn.XLOOKUP(S2:AG2,增益!$A:$A,增益!$O:$O,0)))/100)</f>
        <v>0</v>
      </c>
      <c r="BI2" s="32" cm="1">
        <f t="array" ref="BI2">$G$14+VLOOKUP($R2,武学奇术!$A:$ZZ,16,FALSE)+SUM(_xlfn.XLOOKUP(S2:AG2,增益!$A:$A,增益!$P:$P,0))</f>
        <v>0.15</v>
      </c>
      <c r="BJ2" s="26">
        <f>MIN(IF(VLOOKUP($R2,武学奇术!$A:$ZZ,23,FALSE)=1,100%,$B$8),100%)</f>
        <v>0.981</v>
      </c>
      <c r="BK2" s="26" cm="1">
        <f t="array" ref="BK2">IF(VLOOKUP($R2,武学奇术!$A:$ZZ,23,FALSE)=1,100%,MIN(80%,$B$9+VLOOKUP($R2,武学奇术!$A:$ZZ,17,FALSE)+SUM(_xlfn.XLOOKUP(S2:AG2,增益!$A:$A,增益!$Q:$Q,0)))+$B$11+SUM(_xlfn.XLOOKUP(S2:AG2,增益!$A:$A,增益!$U:$U,0)))*IF(VLOOKUP($R2,武学奇术!$A:$ZZ,24,FALSE)=1,0,1)</f>
        <v>0.846</v>
      </c>
      <c r="BL2" s="26" cm="1">
        <f t="array" ref="BL2">1+$B$13+VLOOKUP($R2,武学奇术!$A:$ZZ,18,FALSE)+SUM(_xlfn.XLOOKUP(S2:AG2,增益!$A:$A,增益!$R:$R,0))</f>
        <v>1.82</v>
      </c>
      <c r="BM2" s="26" cm="1">
        <f t="array" ref="BM2">IF(VLOOKUP($R2,武学奇术!$A:$ZZ,24,FALSE)=1,100%,MIN(40%,$B$10+VLOOKUP($R2,武学奇术!$A:$ZZ,19,FALSE)+SUM(_xlfn.XLOOKUP(S2:AG2,增益!$A:$A,增益!$S:$S,0)))+$B$12+SUM(_xlfn.XLOOKUP(S2:AG2,增益!$A:$A,增益!$V:$V,0)))*IF(VLOOKUP($R2,武学奇术!$A:$ZZ,23,FALSE)=1,0,1)</f>
        <v>0.0929</v>
      </c>
      <c r="BN2" s="26" cm="1">
        <f t="array" ref="BN2">1+$B$14+VLOOKUP($R2,武学奇术!$A:$ZZ,20,FALSE)+SUM(_xlfn.XLOOKUP(S2:AG2,增益!$A:$A,增益!$T:$T,0))</f>
        <v>1.35</v>
      </c>
      <c r="BO2" s="26">
        <f t="shared" ref="BO2:BO65" si="9">MIN((1-BM2)*BJ2,BJ2*BK2)</f>
        <v>0.829926</v>
      </c>
      <c r="BP2" s="26">
        <f t="shared" ref="BP2:BP65" si="10">1-BM2-BO2-BQ2</f>
        <v>0.0599391</v>
      </c>
      <c r="BQ2" s="26">
        <f>IF(VLOOKUP($R2,武学奇术!$A:$ZZ,22,FALSE)=1,0,(1-$BJ2))*(1-$BM2)</f>
        <v>0.0172349</v>
      </c>
      <c r="BR2" s="26" cm="1">
        <f t="array" ref="BR2">SUM(_xlfn.XLOOKUP(S2:AG2,增益!$A:$A,增益!$W:$W,0))+$I$5</f>
        <v>0.11</v>
      </c>
    </row>
    <row r="3" spans="1:70">
      <c r="A3" s="46" t="s">
        <v>79</v>
      </c>
      <c r="B3" s="47"/>
      <c r="C3" s="47"/>
      <c r="D3" s="47"/>
      <c r="E3" s="48"/>
      <c r="F3" s="45" t="s">
        <v>35</v>
      </c>
      <c r="G3" s="49">
        <f>B16+1.5%+IF($D$16="√",8%,0)+IF($E$24="征人归",8%,0)</f>
        <v>0.1037</v>
      </c>
      <c r="H3" s="45" t="s">
        <v>80</v>
      </c>
      <c r="I3" s="11">
        <f>25-IF(F17="√",10,0)</f>
        <v>25</v>
      </c>
      <c r="K3">
        <f>$L3*VLOOKUP($R3,武学奇术!$A:$ZZ,31,FALSE)</f>
        <v>27563.9303482587</v>
      </c>
      <c r="L3" s="38">
        <f t="shared" si="0"/>
        <v>26251.3622364368</v>
      </c>
      <c r="M3" s="38">
        <f>((($AO3+$AP3)/2*$AI3+$AJ3)*(1+$AQ3)*(1+$AR3)+(($AT3+$AU3)/2*IF($G$1="鸣金",$AK3,$AI3)+IF($G$1="鸣金",$AL3*1.5,0))*(1+$AV3)*(1+$AW3)+(($AX3+$AY3)/2*IF($G$1="裂石",$AK3,$AI3)+IF($G$1="裂石",$AL3*1.5,0))*(1+$AZ3)*(1+$BA3)+(($BB3+$BC3)/2*IF($G$1="牵丝",$AK3,$AI3)+IF($G$1="牵丝",$AL3*1.5,0))*(1+$BD3)*(1+$BE3)+(($BF3+$BG3)/2*IF($G$1="破竹",$AK3,$AI3)+IF($G$1="破竹",$AL3*1.5,0))*(1+$BH3)*(1+$BI3))*(1+$AM3)*$BL3*$Q3*(1+IF(VLOOKUP($R3,武学奇术!$A:$ZZ,30,FALSE)="回旋伞",$B$21,0))*(1+$BR3)</f>
        <v>27670.0798253403</v>
      </c>
      <c r="N3" s="38">
        <f>(($AP3*$AI3+$AJ3)*(1+$AQ3)*(1+$AR3)+($AU3*IF($G$1="鸣金",$AK3,$AI3)+IF($G$1="鸣金",$AL3*1.5,0))*(1+$AV3)*(1+$AW3)+($AY3*IF($G$1="裂石",$AK3,$AI3)+IF($G$1="裂石",$AL3*1.5,0))*(1+$AZ3)*(1+$BA3)+($BC3*IF($G$1="牵丝",$AK3,$AI3)+IF($G$1="牵丝",$AL3*1.5,0))*(1+$BD3)*(1+$BE3)+($BG3*IF($G$1="破竹",$AK3,$AI3)+IF($G$1="破竹",$AL3*1.5,0))*(1+$BH3)*(1+$BI3))*(1+$AM3)*$BN3*$Q3*(1+IF(VLOOKUP($R3,武学奇术!$A:$ZZ,30,FALSE)="回旋伞",$B$21,0))*(1+$BR3)</f>
        <v>23208.2511589291</v>
      </c>
      <c r="O3" s="38">
        <f>((($AO3+$AP3)/2*$AI3+$AJ3)*(1+$AQ3)*(1+$AR3)+(($AT3+$AU3)/2*IF($G$1="鸣金",$AK3,$AI3)+IF($G$1="鸣金",$AL3*1.5,0))*(1+$AV3)*(1+$AW3)+(($AX3+$AY3)/2*IF($G$1="裂石",$AK3,$AI3)+IF($G$1="裂石",$AL3*1.5,0))*(1+$AZ3)*(1+$BA3)+(($BB3+$BC3)/2*IF($G$1="牵丝",$AK3,$AI3)+IF($G$1="牵丝",$AL3*1.5,0))*(1+$BD3)*(1+$BE3)+(($BF3+$BG3)/2*IF($G$1="破竹",$AK3,$AI3)+IF($G$1="破竹",$AL3*1.5,0))*(1+$BH3)*(1+$BI3))*(1+$AM3)*$Q3*(1+IF(VLOOKUP($R3,武学奇术!$A:$ZZ,30,FALSE)="回旋伞",$B$21,0))*(1+$BR3)</f>
        <v>15120.2621996395</v>
      </c>
      <c r="P3" s="38">
        <f>((($AO3*$AI3+$AJ3)*(1+$AQ3)*(1+$AR3)+($AT3*IF($G$1="鸣金",$AK3,$AI3)+IF($G$1="鸣金",$AL3*1.5,0))*(1+$AV3)*(1+$AW3)+($AX3*IF($G$1="裂石",$AK3,$AI3)+IF($G$1="裂石",$AL3*1.5,0))*(1+$AZ3)*(1+$BA3)+($BB3*IF($G$1="牵丝",$AK3,$AI3)+IF($G$1="牵丝",$AL3*1.5,0))*(1+$BD3)*(1+$BE3)+($BF3*IF($G$1="破竹",$AK3,$AI3)+IF($G$1="破竹",$AL3*1.5,0))*(1+$BH3)*(1+$BI3))*(1+$AM3))*$Q3*(1+IF(VLOOKUP($R3,武学奇术!$A:$ZZ,30,FALSE)="回旋伞",$B$21,0))*(1+$BR3)</f>
        <v>13049.2272445167</v>
      </c>
      <c r="Q3" s="39">
        <v>1</v>
      </c>
      <c r="R3" s="40" t="s">
        <v>71</v>
      </c>
      <c r="S3" s="40" t="s">
        <v>72</v>
      </c>
      <c r="T3" s="40" t="s">
        <v>72</v>
      </c>
      <c r="U3" s="40" t="s">
        <v>73</v>
      </c>
      <c r="V3" s="40" t="s">
        <v>81</v>
      </c>
      <c r="W3" s="40" t="s">
        <v>82</v>
      </c>
      <c r="X3" s="40" t="s">
        <v>83</v>
      </c>
      <c r="Y3" s="40" t="s">
        <v>72</v>
      </c>
      <c r="Z3" s="40" t="s">
        <v>72</v>
      </c>
      <c r="AA3" s="40" t="s">
        <v>72</v>
      </c>
      <c r="AB3" s="40" t="s">
        <v>72</v>
      </c>
      <c r="AC3" s="40" t="s">
        <v>72</v>
      </c>
      <c r="AD3" s="40" t="s">
        <v>72</v>
      </c>
      <c r="AE3" s="40" t="s">
        <v>72</v>
      </c>
      <c r="AF3" s="40" t="s">
        <v>72</v>
      </c>
      <c r="AG3" s="40" t="s">
        <v>78</v>
      </c>
      <c r="AH3" t="str">
        <f>VLOOKUP($R3,武学奇术!$A:$ZZ,25,FALSE)</f>
        <v>群体奇术</v>
      </c>
      <c r="AI3" s="26">
        <f>VLOOKUP($R3,武学奇术!$A:$ZZ,26,FALSE)</f>
        <v>1.4904</v>
      </c>
      <c r="AJ3" s="27">
        <f>VLOOKUP($R3,武学奇术!$A:$ZZ,27,FALSE)*(1+IF(OR($AH3=$F$4,$AH3=$F$5),$B$22,0))</f>
        <v>378</v>
      </c>
      <c r="AK3" s="26">
        <f>VLOOKUP($R3,武学奇术!$A:$ZZ,28,FALSE)</f>
        <v>2.2356</v>
      </c>
      <c r="AL3" s="27">
        <f>VLOOKUP($R3,武学奇术!$A:$ZZ,29,FALSE)*(1+IF(OR($AH3=$F$4,$AH3=$F$5),$B$22,0))</f>
        <v>0</v>
      </c>
      <c r="AM3" s="26" cm="1">
        <f t="array" ref="AM3">$G$3+IFERROR(VLOOKUP($AH3,$F$4:$G$7,2,FALSE),0)+VLOOKUP($R3,武学奇术!$A:$ZZ,2,FALSE)+SUM(_xlfn.XLOOKUP($S3:$AG3,增益!$A:$A,增益!$B:$B,0))</f>
        <v>0.3737</v>
      </c>
      <c r="AN3" s="26" cm="1">
        <f t="array" ref="AN3">VLOOKUP($R3,武学奇术!$A:$ZZ,5,FALSE)+SUM(_xlfn.XLOOKUP($S3:$AG3,增益!$A:$A,增益!$E:$E,0))</f>
        <v>0</v>
      </c>
      <c r="AO3" cm="1">
        <f t="array" ref="AO3">$D$10*(1+$AN3)+VLOOKUP($R3,武学奇术!$A:$ZZ,3,FALSE)+SUM(_xlfn.XLOOKUP($S3:$AG3,增益!$A:$A,增益!$C:$C,0))-$I$2</f>
        <v>3562.6</v>
      </c>
      <c r="AP3" cm="1">
        <f t="array" ref="AP3">$E$10*(1+$AN3)+VLOOKUP($R3,武学奇术!$A:$ZZ,4,FALSE)+SUM(_xlfn.XLOOKUP($S3:$AG3,增益!$A:$A,增益!$D:$D,0))-$I$2</f>
        <v>3562.6</v>
      </c>
      <c r="AQ3" s="32" cm="1">
        <f t="array" ref="AQ3">IF($F$10-$I$3+VLOOKUP($R3,武学奇术!$A:$ZZ,6,FALSE)+SUM(_xlfn.XLOOKUP(S3:AG3,增益!$A:$A,增益!$F:$F,0))&gt;0,($F$10-$I$3+VLOOKUP($R3,武学奇术!$A:$ZZ,6,FALSE)+SUM(_xlfn.XLOOKUP(S3:AG3,增益!$A:$A,增益!$F:$F,0)))/200,($F$10-$I$3+VLOOKUP($R3,武学奇术!$A:$ZZ,6,FALSE)+SUM(_xlfn.XLOOKUP(S3:AG3,增益!$A:$A,增益!$F:$F,0)))/100)</f>
        <v>0.2125</v>
      </c>
      <c r="AR3" s="32" cm="1">
        <f t="array" ref="AR3">$G$10+VLOOKUP($R3,武学奇术!$A:$ZZ,7,FALSE)+SUM(_xlfn.XLOOKUP(S3:AG3,增益!$A:$A,增益!$G:$G,0))</f>
        <v>0.028</v>
      </c>
      <c r="AS3" s="26" cm="1">
        <f t="array" ref="AS3">VLOOKUP($R3,武学奇术!$A:$ZZ,8,FALSE)+SUM(_xlfn.XLOOKUP(S3:AG3,增益!$A:$A,增益!$H:$H,0))</f>
        <v>0</v>
      </c>
      <c r="AT3">
        <f t="shared" si="1"/>
        <v>0</v>
      </c>
      <c r="AU3">
        <f t="shared" si="2"/>
        <v>0</v>
      </c>
      <c r="AV3" s="32" cm="1">
        <f t="array" ref="AV3">IF($F$11-$I$4+VLOOKUP($R3,武学奇术!$A:$ZZ,9,FALSE)+SUM(_xlfn.XLOOKUP(S3:AG3,增益!$A:$A,增益!$I:$I,0))&gt;0,($F$11-$I$4+VLOOKUP($R3,武学奇术!$A:$ZZ,9,FALSE)+SUM(_xlfn.XLOOKUP(S3:AG3,增益!$A:$A,增益!$I:$I,0)))/200,($F$11-$I$4+VLOOKUP($R3,武学奇术!$A:$ZZ,9,FALSE)+SUM(_xlfn.XLOOKUP(S3:AG3,增益!$A:$A,增益!$I:$I,0)))/100)</f>
        <v>-0.3</v>
      </c>
      <c r="AW3" s="32" cm="1">
        <f t="array" ref="AW3">$G$11+VLOOKUP($R3,武学奇术!$A:$ZZ,10,FALSE)+SUM(_xlfn.XLOOKUP(S3:AG3,增益!$A:$A,增益!$J:$J,0))</f>
        <v>0</v>
      </c>
      <c r="AX3">
        <f t="shared" si="3"/>
        <v>0</v>
      </c>
      <c r="AY3">
        <f t="shared" si="4"/>
        <v>0</v>
      </c>
      <c r="AZ3" s="32" cm="1">
        <f t="array" ref="AZ3">IF($F$12-$I$4+VLOOKUP($R3,武学奇术!$A:$ZZ,11,FALSE)+SUM(_xlfn.XLOOKUP(S3:AG3,增益!$A:$A,增益!$K:$K,0))&gt;0,($F$12-$I$4+VLOOKUP($R3,武学奇术!$A:$ZZ,11,FALSE)+SUM(_xlfn.XLOOKUP(S3:AG3,增益!$A:$A,增益!$K:$K,0)))/200,($F$12-$I$4+VLOOKUP($R3,武学奇术!$A:$ZZ,11,FALSE)+SUM(_xlfn.XLOOKUP(S3:AG3,增益!$A:$A,增益!$K:$K,0)))/100)</f>
        <v>-0.3</v>
      </c>
      <c r="BA3" s="32" cm="1">
        <f t="array" ref="BA3">$G$12+VLOOKUP($R3,武学奇术!$A:$ZZ,12,FALSE)+SUM(_xlfn.XLOOKUP(S3:AG3,增益!$A:$A,增益!$L:$L,0))</f>
        <v>0</v>
      </c>
      <c r="BB3">
        <f t="shared" si="5"/>
        <v>0</v>
      </c>
      <c r="BC3">
        <f t="shared" si="6"/>
        <v>0</v>
      </c>
      <c r="BD3" s="32" cm="1">
        <f t="array" ref="BD3">IF($F$13-$I$4+VLOOKUP($R3,武学奇术!$A:$ZZ,13,FALSE)+SUM(_xlfn.XLOOKUP(S3:AG3,增益!$A:$A,增益!$M:$M,0))&gt;0,($F$13-$I$4+VLOOKUP($R3,武学奇术!$A:$ZZ,13,FALSE)+SUM(_xlfn.XLOOKUP(S3:AG3,增益!$A:$A,增益!$K:$K,0)))/200,($F$13-$I$4+VLOOKUP($R3,武学奇术!$A:$ZZ,13,FALSE)+SUM(_xlfn.XLOOKUP(S3:AG3,增益!$A:$A,增益!$M:$M,0)))/100)</f>
        <v>-0.3</v>
      </c>
      <c r="BE3" s="32" cm="1">
        <f t="array" ref="BE3">$G$13+VLOOKUP($R3,武学奇术!$A:$ZZ,14,FALSE)+SUM(_xlfn.XLOOKUP(S3:AG3,增益!$A:$A,增益!$N:$N,0))</f>
        <v>0</v>
      </c>
      <c r="BF3">
        <f t="shared" si="7"/>
        <v>571.2</v>
      </c>
      <c r="BG3">
        <f t="shared" si="8"/>
        <v>1627.8</v>
      </c>
      <c r="BH3" s="32" cm="1">
        <f t="array" ref="BH3">IF($F$14-$I$4+VLOOKUP($R3,武学奇术!$A:$ZZ,15,FALSE)+SUM(_xlfn.XLOOKUP(S3:AG3,增益!$A:$A,增益!$O:$O,0))&gt;0,($F$14-$I$4+VLOOKUP($R3,武学奇术!$A:$ZZ,15,FALSE)+SUM(_xlfn.XLOOKUP(S3:AG3,增益!$A:$A,增益!$O:$O,0)))/200,($F$14-$I$4+VLOOKUP($R3,武学奇术!$A:$ZZ,15,FALSE)+SUM(_xlfn.XLOOKUP(S3:AG3,增益!$A:$A,增益!$O:$O,0)))/100)</f>
        <v>0</v>
      </c>
      <c r="BI3" s="32" cm="1">
        <f t="array" ref="BI3">$G$14+VLOOKUP($R3,武学奇术!$A:$ZZ,16,FALSE)+SUM(_xlfn.XLOOKUP(S3:AG3,增益!$A:$A,增益!$P:$P,0))</f>
        <v>0.15</v>
      </c>
      <c r="BJ3" s="26">
        <f>MIN(IF(VLOOKUP($R3,武学奇术!$A:$ZZ,23,FALSE)=1,100%,$B$8),100%)</f>
        <v>0.981</v>
      </c>
      <c r="BK3" s="26" cm="1">
        <f t="array" ref="BK3">IF(VLOOKUP($R3,武学奇术!$A:$ZZ,23,FALSE)=1,100%,MIN(80%,$B$9+VLOOKUP($R3,武学奇术!$A:$ZZ,17,FALSE)+SUM(_xlfn.XLOOKUP(S3:AG3,增益!$A:$A,增益!$Q:$Q,0)))+$B$11+SUM(_xlfn.XLOOKUP(S3:AG3,增益!$A:$A,增益!$U:$U,0)))*IF(VLOOKUP($R3,武学奇术!$A:$ZZ,24,FALSE)=1,0,1)</f>
        <v>0.846</v>
      </c>
      <c r="BL3" s="26" cm="1">
        <f t="array" ref="BL3">1+$B$13+VLOOKUP($R3,武学奇术!$A:$ZZ,18,FALSE)+SUM(_xlfn.XLOOKUP(S3:AG3,增益!$A:$A,增益!$R:$R,0))</f>
        <v>1.83</v>
      </c>
      <c r="BM3" s="26" cm="1">
        <f t="array" ref="BM3">IF(VLOOKUP($R3,武学奇术!$A:$ZZ,24,FALSE)=1,100%,MIN(40%,$B$10+VLOOKUP($R3,武学奇术!$A:$ZZ,19,FALSE)+SUM(_xlfn.XLOOKUP(S3:AG3,增益!$A:$A,增益!$S:$S,0)))+$B$12+SUM(_xlfn.XLOOKUP(S3:AG3,增益!$A:$A,增益!$V:$V,0)))*IF(VLOOKUP($R3,武学奇术!$A:$ZZ,23,FALSE)=1,0,1)</f>
        <v>0.0929</v>
      </c>
      <c r="BN3" s="26" cm="1">
        <f t="array" ref="BN3">1+$B$14+VLOOKUP($R3,武学奇术!$A:$ZZ,20,FALSE)+SUM(_xlfn.XLOOKUP(S3:AG3,增益!$A:$A,增益!$T:$T,0))</f>
        <v>1.35</v>
      </c>
      <c r="BO3" s="26">
        <f t="shared" si="9"/>
        <v>0.829926</v>
      </c>
      <c r="BP3" s="26">
        <f t="shared" si="10"/>
        <v>0.0599391</v>
      </c>
      <c r="BQ3" s="26">
        <f>IF(VLOOKUP($R3,武学奇术!$A:$ZZ,22,FALSE)=1,0,(1-$BJ3))*(1-$BM3)</f>
        <v>0.0172349</v>
      </c>
      <c r="BR3" s="26" cm="1">
        <f t="array" ref="BR3">SUM(_xlfn.XLOOKUP(S3:AG3,增益!$A:$A,增益!$W:$W,0))+$I$5</f>
        <v>0.11</v>
      </c>
    </row>
    <row r="4" ht="14.25" spans="1:70">
      <c r="A4" s="50" t="s">
        <v>86</v>
      </c>
      <c r="B4" s="51"/>
      <c r="C4" s="51"/>
      <c r="D4" s="51"/>
      <c r="E4" s="52"/>
      <c r="F4" s="45" t="s">
        <v>87</v>
      </c>
      <c r="G4" s="49">
        <f>B15+B17</f>
        <v>0.1704</v>
      </c>
      <c r="H4" s="53" t="s">
        <v>88</v>
      </c>
      <c r="I4" s="14">
        <f>30</f>
        <v>30</v>
      </c>
      <c r="K4">
        <f>$L4*VLOOKUP($R4,武学奇术!$A:$ZZ,31,FALSE)</f>
        <v>28060.4013545505</v>
      </c>
      <c r="L4" s="38">
        <f t="shared" si="0"/>
        <v>26724.1917662386</v>
      </c>
      <c r="M4" s="38">
        <f>((($AO4+$AP4)/2*$AI4+$AJ4)*(1+$AQ4)*(1+$AR4)+(($AT4+$AU4)/2*IF($G$1="鸣金",$AK4,$AI4)+IF($G$1="鸣金",$AL4*1.5,0))*(1+$AV4)*(1+$AW4)+(($AX4+$AY4)/2*IF($G$1="裂石",$AK4,$AI4)+IF($G$1="裂石",$AL4*1.5,0))*(1+$AZ4)*(1+$BA4)+(($BB4+$BC4)/2*IF($G$1="牵丝",$AK4,$AI4)+IF($G$1="牵丝",$AL4*1.5,0))*(1+$BD4)*(1+$BE4)+(($BF4+$BG4)/2*IF($G$1="破竹",$AK4,$AI4)+IF($G$1="破竹",$AL4*1.5,0))*(1+$BH4)*(1+$BI4))*(1+$AM4)*$BL4*$Q4*(1+IF(VLOOKUP($R4,武学奇术!$A:$ZZ,30,FALSE)="回旋伞",$B$21,0))*(1+$BR4)</f>
        <v>28189.0494927973</v>
      </c>
      <c r="N4" s="38">
        <f>(($AP4*$AI4+$AJ4)*(1+$AQ4)*(1+$AR4)+($AU4*IF($G$1="鸣金",$AK4,$AI4)+IF($G$1="鸣金",$AL4*1.5,0))*(1+$AV4)*(1+$AW4)+($AY4*IF($G$1="裂石",$AK4,$AI4)+IF($G$1="裂石",$AL4*1.5,0))*(1+$AZ4)*(1+$BA4)+($BC4*IF($G$1="牵丝",$AK4,$AI4)+IF($G$1="牵丝",$AL4*1.5,0))*(1+$BD4)*(1+$BE4)+($BG4*IF($G$1="破竹",$AK4,$AI4)+IF($G$1="破竹",$AL4*1.5,0))*(1+$BH4)*(1+$BI4))*(1+$AM4)*$BN4*$Q4*(1+IF(VLOOKUP($R4,武学奇术!$A:$ZZ,30,FALSE)="回旋伞",$B$21,0))*(1+$BR4)</f>
        <v>23498.4332818124</v>
      </c>
      <c r="O4" s="38">
        <f>((($AO4+$AP4)/2*$AI4+$AJ4)*(1+$AQ4)*(1+$AR4)+(($AT4+$AU4)/2*IF($G$1="鸣金",$AK4,$AI4)+IF($G$1="鸣金",$AL4*1.5,0))*(1+$AV4)*(1+$AW4)+(($AX4+$AY4)/2*IF($G$1="裂石",$AK4,$AI4)+IF($G$1="裂石",$AL4*1.5,0))*(1+$AZ4)*(1+$BA4)+(($BB4+$BC4)/2*IF($G$1="牵丝",$AK4,$AI4)+IF($G$1="牵丝",$AL4*1.5,0))*(1+$BD4)*(1+$BE4)+(($BF4+$BG4)/2*IF($G$1="破竹",$AK4,$AI4)+IF($G$1="破竹",$AL4*1.5,0))*(1+$BH4)*(1+$BI4))*(1+$AM4)*$Q4*(1+IF(VLOOKUP($R4,武学奇术!$A:$ZZ,30,FALSE)="回旋伞",$B$21,0))*(1+$BR4)</f>
        <v>15320.1355939116</v>
      </c>
      <c r="P4" s="38">
        <f>((($AO4*$AI4+$AJ4)*(1+$AQ4)*(1+$AR4)+($AT4*IF($G$1="鸣金",$AK4,$AI4)+IF($G$1="鸣金",$AL4*1.5,0))*(1+$AV4)*(1+$AW4)+($AX4*IF($G$1="裂石",$AK4,$AI4)+IF($G$1="裂石",$AL4*1.5,0))*(1+$AZ4)*(1+$BA4)+($BB4*IF($G$1="牵丝",$AK4,$AI4)+IF($G$1="牵丝",$AL4*1.5,0))*(1+$BD4)*(1+$BE4)+($BF4*IF($G$1="破竹",$AK4,$AI4)+IF($G$1="破竹",$AL4*1.5,0))*(1+$BH4)*(1+$BI4))*(1+$AM4))*$Q4*(1+IF(VLOOKUP($R4,武学奇术!$A:$ZZ,30,FALSE)="回旋伞",$B$21,0))*(1+$BR4)</f>
        <v>13234.0243124066</v>
      </c>
      <c r="Q4" s="39">
        <v>1</v>
      </c>
      <c r="R4" s="40" t="s">
        <v>71</v>
      </c>
      <c r="S4" s="40" t="s">
        <v>72</v>
      </c>
      <c r="T4" s="40" t="s">
        <v>72</v>
      </c>
      <c r="U4" s="40" t="s">
        <v>73</v>
      </c>
      <c r="V4" s="40" t="s">
        <v>81</v>
      </c>
      <c r="W4" s="40" t="s">
        <v>89</v>
      </c>
      <c r="X4" s="40" t="s">
        <v>90</v>
      </c>
      <c r="Y4" s="40" t="s">
        <v>72</v>
      </c>
      <c r="Z4" s="40" t="s">
        <v>72</v>
      </c>
      <c r="AA4" s="40" t="s">
        <v>72</v>
      </c>
      <c r="AB4" s="40" t="s">
        <v>72</v>
      </c>
      <c r="AC4" s="40" t="s">
        <v>72</v>
      </c>
      <c r="AD4" s="40" t="s">
        <v>72</v>
      </c>
      <c r="AE4" s="40" t="s">
        <v>72</v>
      </c>
      <c r="AF4" s="40" t="s">
        <v>72</v>
      </c>
      <c r="AG4" s="40" t="s">
        <v>78</v>
      </c>
      <c r="AH4" t="str">
        <f>VLOOKUP($R4,武学奇术!$A:$ZZ,25,FALSE)</f>
        <v>群体奇术</v>
      </c>
      <c r="AI4" s="26">
        <f>VLOOKUP($R4,武学奇术!$A:$ZZ,26,FALSE)</f>
        <v>1.4904</v>
      </c>
      <c r="AJ4" s="27">
        <f>VLOOKUP($R4,武学奇术!$A:$ZZ,27,FALSE)*(1+IF(OR($AH4=$F$4,$AH4=$F$5),$B$22,0))</f>
        <v>378</v>
      </c>
      <c r="AK4" s="26">
        <f>VLOOKUP($R4,武学奇术!$A:$ZZ,28,FALSE)</f>
        <v>2.2356</v>
      </c>
      <c r="AL4" s="27">
        <f>VLOOKUP($R4,武学奇术!$A:$ZZ,29,FALSE)*(1+IF(OR($AH4=$F$4,$AH4=$F$5),$B$22,0))</f>
        <v>0</v>
      </c>
      <c r="AM4" s="26" cm="1">
        <f t="array" ref="AM4">$G$3+IFERROR(VLOOKUP($AH4,$F$4:$G$7,2,FALSE),0)+VLOOKUP($R4,武学奇术!$A:$ZZ,2,FALSE)+SUM(_xlfn.XLOOKUP($S4:$AG4,增益!$A:$A,增益!$B:$B,0))</f>
        <v>0.3837</v>
      </c>
      <c r="AN4" s="26" cm="1">
        <f t="array" ref="AN4">VLOOKUP($R4,武学奇术!$A:$ZZ,5,FALSE)+SUM(_xlfn.XLOOKUP($S4:$AG4,增益!$A:$A,增益!$E:$E,0))</f>
        <v>0</v>
      </c>
      <c r="AO4" cm="1">
        <f t="array" ref="AO4">$D$10*(1+$AN4)+VLOOKUP($R4,武学奇术!$A:$ZZ,3,FALSE)+SUM(_xlfn.XLOOKUP($S4:$AG4,增益!$A:$A,增益!$C:$C,0))-$I$2</f>
        <v>3562.6</v>
      </c>
      <c r="AP4" cm="1">
        <f t="array" ref="AP4">$E$10*(1+$AN4)+VLOOKUP($R4,武学奇术!$A:$ZZ,4,FALSE)+SUM(_xlfn.XLOOKUP($S4:$AG4,增益!$A:$A,增益!$D:$D,0))-$I$2</f>
        <v>3562.6</v>
      </c>
      <c r="AQ4" s="32" cm="1">
        <f t="array" ref="AQ4">IF($F$10-$I$3+VLOOKUP($R4,武学奇术!$A:$ZZ,6,FALSE)+SUM(_xlfn.XLOOKUP(S4:AG4,增益!$A:$A,增益!$F:$F,0))&gt;0,($F$10-$I$3+VLOOKUP($R4,武学奇术!$A:$ZZ,6,FALSE)+SUM(_xlfn.XLOOKUP(S4:AG4,增益!$A:$A,增益!$F:$F,0)))/200,($F$10-$I$3+VLOOKUP($R4,武学奇术!$A:$ZZ,6,FALSE)+SUM(_xlfn.XLOOKUP(S4:AG4,增益!$A:$A,增益!$F:$F,0)))/100)</f>
        <v>0.2225</v>
      </c>
      <c r="AR4" s="32" cm="1">
        <f t="array" ref="AR4">$G$10+VLOOKUP($R4,武学奇术!$A:$ZZ,7,FALSE)+SUM(_xlfn.XLOOKUP(S4:AG4,增益!$A:$A,增益!$G:$G,0))</f>
        <v>0.028</v>
      </c>
      <c r="AS4" s="26" cm="1">
        <f t="array" ref="AS4">VLOOKUP($R4,武学奇术!$A:$ZZ,8,FALSE)+SUM(_xlfn.XLOOKUP(S4:AG4,增益!$A:$A,增益!$H:$H,0))</f>
        <v>0</v>
      </c>
      <c r="AT4">
        <f t="shared" si="1"/>
        <v>0</v>
      </c>
      <c r="AU4">
        <f t="shared" si="2"/>
        <v>0</v>
      </c>
      <c r="AV4" s="32" cm="1">
        <f t="array" ref="AV4">IF($F$11-$I$4+VLOOKUP($R4,武学奇术!$A:$ZZ,9,FALSE)+SUM(_xlfn.XLOOKUP(S4:AG4,增益!$A:$A,增益!$I:$I,0))&gt;0,($F$11-$I$4+VLOOKUP($R4,武学奇术!$A:$ZZ,9,FALSE)+SUM(_xlfn.XLOOKUP(S4:AG4,增益!$A:$A,增益!$I:$I,0)))/200,($F$11-$I$4+VLOOKUP($R4,武学奇术!$A:$ZZ,9,FALSE)+SUM(_xlfn.XLOOKUP(S4:AG4,增益!$A:$A,增益!$I:$I,0)))/100)</f>
        <v>-0.3</v>
      </c>
      <c r="AW4" s="32" cm="1">
        <f t="array" ref="AW4">$G$11+VLOOKUP($R4,武学奇术!$A:$ZZ,10,FALSE)+SUM(_xlfn.XLOOKUP(S4:AG4,增益!$A:$A,增益!$J:$J,0))</f>
        <v>0</v>
      </c>
      <c r="AX4">
        <f t="shared" si="3"/>
        <v>0</v>
      </c>
      <c r="AY4">
        <f t="shared" si="4"/>
        <v>0</v>
      </c>
      <c r="AZ4" s="32" cm="1">
        <f t="array" ref="AZ4">IF($F$12-$I$4+VLOOKUP($R4,武学奇术!$A:$ZZ,11,FALSE)+SUM(_xlfn.XLOOKUP(S4:AG4,增益!$A:$A,增益!$K:$K,0))&gt;0,($F$12-$I$4+VLOOKUP($R4,武学奇术!$A:$ZZ,11,FALSE)+SUM(_xlfn.XLOOKUP(S4:AG4,增益!$A:$A,增益!$K:$K,0)))/200,($F$12-$I$4+VLOOKUP($R4,武学奇术!$A:$ZZ,11,FALSE)+SUM(_xlfn.XLOOKUP(S4:AG4,增益!$A:$A,增益!$K:$K,0)))/100)</f>
        <v>-0.3</v>
      </c>
      <c r="BA4" s="32" cm="1">
        <f t="array" ref="BA4">$G$12+VLOOKUP($R4,武学奇术!$A:$ZZ,12,FALSE)+SUM(_xlfn.XLOOKUP(S4:AG4,增益!$A:$A,增益!$L:$L,0))</f>
        <v>0</v>
      </c>
      <c r="BB4">
        <f t="shared" si="5"/>
        <v>0</v>
      </c>
      <c r="BC4">
        <f t="shared" si="6"/>
        <v>0</v>
      </c>
      <c r="BD4" s="32" cm="1">
        <f t="array" ref="BD4">IF($F$13-$I$4+VLOOKUP($R4,武学奇术!$A:$ZZ,13,FALSE)+SUM(_xlfn.XLOOKUP(S4:AG4,增益!$A:$A,增益!$M:$M,0))&gt;0,($F$13-$I$4+VLOOKUP($R4,武学奇术!$A:$ZZ,13,FALSE)+SUM(_xlfn.XLOOKUP(S4:AG4,增益!$A:$A,增益!$K:$K,0)))/200,($F$13-$I$4+VLOOKUP($R4,武学奇术!$A:$ZZ,13,FALSE)+SUM(_xlfn.XLOOKUP(S4:AG4,增益!$A:$A,增益!$M:$M,0)))/100)</f>
        <v>-0.3</v>
      </c>
      <c r="BE4" s="32" cm="1">
        <f t="array" ref="BE4">$G$13+VLOOKUP($R4,武学奇术!$A:$ZZ,14,FALSE)+SUM(_xlfn.XLOOKUP(S4:AG4,增益!$A:$A,增益!$N:$N,0))</f>
        <v>0</v>
      </c>
      <c r="BF4">
        <f t="shared" si="7"/>
        <v>571.2</v>
      </c>
      <c r="BG4">
        <f t="shared" si="8"/>
        <v>1627.8</v>
      </c>
      <c r="BH4" s="32" cm="1">
        <f t="array" ref="BH4">IF($F$14-$I$4+VLOOKUP($R4,武学奇术!$A:$ZZ,15,FALSE)+SUM(_xlfn.XLOOKUP(S4:AG4,增益!$A:$A,增益!$O:$O,0))&gt;0,($F$14-$I$4+VLOOKUP($R4,武学奇术!$A:$ZZ,15,FALSE)+SUM(_xlfn.XLOOKUP(S4:AG4,增益!$A:$A,增益!$O:$O,0)))/200,($F$14-$I$4+VLOOKUP($R4,武学奇术!$A:$ZZ,15,FALSE)+SUM(_xlfn.XLOOKUP(S4:AG4,增益!$A:$A,增益!$O:$O,0)))/100)</f>
        <v>0</v>
      </c>
      <c r="BI4" s="32" cm="1">
        <f t="array" ref="BI4">$G$14+VLOOKUP($R4,武学奇术!$A:$ZZ,16,FALSE)+SUM(_xlfn.XLOOKUP(S4:AG4,增益!$A:$A,增益!$P:$P,0))</f>
        <v>0.15</v>
      </c>
      <c r="BJ4" s="26">
        <f>MIN(IF(VLOOKUP($R4,武学奇术!$A:$ZZ,23,FALSE)=1,100%,$B$8),100%)</f>
        <v>0.981</v>
      </c>
      <c r="BK4" s="26" cm="1">
        <f t="array" ref="BK4">IF(VLOOKUP($R4,武学奇术!$A:$ZZ,23,FALSE)=1,100%,MIN(80%,$B$9+VLOOKUP($R4,武学奇术!$A:$ZZ,17,FALSE)+SUM(_xlfn.XLOOKUP(S4:AG4,增益!$A:$A,增益!$Q:$Q,0)))+$B$11+SUM(_xlfn.XLOOKUP(S4:AG4,增益!$A:$A,增益!$U:$U,0)))*IF(VLOOKUP($R4,武学奇术!$A:$ZZ,24,FALSE)=1,0,1)</f>
        <v>0.846</v>
      </c>
      <c r="BL4" s="26" cm="1">
        <f t="array" ref="BL4">1+$B$13+VLOOKUP($R4,武学奇术!$A:$ZZ,18,FALSE)+SUM(_xlfn.XLOOKUP(S4:AG4,增益!$A:$A,增益!$R:$R,0))</f>
        <v>1.84</v>
      </c>
      <c r="BM4" s="26" cm="1">
        <f t="array" ref="BM4">IF(VLOOKUP($R4,武学奇术!$A:$ZZ,24,FALSE)=1,100%,MIN(40%,$B$10+VLOOKUP($R4,武学奇术!$A:$ZZ,19,FALSE)+SUM(_xlfn.XLOOKUP(S4:AG4,增益!$A:$A,增益!$S:$S,0)))+$B$12+SUM(_xlfn.XLOOKUP(S4:AG4,增益!$A:$A,增益!$V:$V,0)))*IF(VLOOKUP($R4,武学奇术!$A:$ZZ,23,FALSE)=1,0,1)</f>
        <v>0.0929</v>
      </c>
      <c r="BN4" s="26" cm="1">
        <f t="array" ref="BN4">1+$B$14+VLOOKUP($R4,武学奇术!$A:$ZZ,20,FALSE)+SUM(_xlfn.XLOOKUP(S4:AG4,增益!$A:$A,增益!$T:$T,0))</f>
        <v>1.35</v>
      </c>
      <c r="BO4" s="26">
        <f t="shared" si="9"/>
        <v>0.829926</v>
      </c>
      <c r="BP4" s="26">
        <f t="shared" si="10"/>
        <v>0.0599391</v>
      </c>
      <c r="BQ4" s="26">
        <f>IF(VLOOKUP($R4,武学奇术!$A:$ZZ,22,FALSE)=1,0,(1-$BJ4))*(1-$BM4)</f>
        <v>0.0172349</v>
      </c>
      <c r="BR4" s="26" cm="1">
        <f t="array" ref="BR4">SUM(_xlfn.XLOOKUP(S4:AG4,增益!$A:$A,增益!$W:$W,0))+$I$5</f>
        <v>0.11</v>
      </c>
    </row>
    <row r="5" spans="1:70">
      <c r="A5" s="54" t="s">
        <v>92</v>
      </c>
      <c r="B5" s="55"/>
      <c r="C5" s="55"/>
      <c r="D5" s="55"/>
      <c r="E5" s="56"/>
      <c r="F5" s="45" t="s">
        <v>93</v>
      </c>
      <c r="G5" s="49">
        <f>B15+B18</f>
        <v>0.0852</v>
      </c>
      <c r="H5" t="s">
        <v>94</v>
      </c>
      <c r="I5" s="28">
        <v>0.06</v>
      </c>
      <c r="K5">
        <f>$L5*VLOOKUP($R5,武学奇术!$A:$ZZ,31,FALSE)</f>
        <v>29388.0383430706</v>
      </c>
      <c r="L5" s="38">
        <f t="shared" si="0"/>
        <v>27988.6079457815</v>
      </c>
      <c r="M5" s="38">
        <f>((($AO5+$AP5)/2*$AI5+$AJ5)*(1+$AQ5)*(1+$AR5)+(($AT5+$AU5)/2*IF($G$1="鸣金",$AK5,$AI5)+IF($G$1="鸣金",$AL5*1.5,0))*(1+$AV5)*(1+$AW5)+(($AX5+$AY5)/2*IF($G$1="裂石",$AK5,$AI5)+IF($G$1="裂石",$AL5*1.5,0))*(1+$AZ5)*(1+$BA5)+(($BB5+$BC5)/2*IF($G$1="牵丝",$AK5,$AI5)+IF($G$1="牵丝",$AL5*1.5,0))*(1+$BD5)*(1+$BE5)+(($BF5+$BG5)/2*IF($G$1="破竹",$AK5,$AI5)+IF($G$1="破竹",$AL5*1.5,0))*(1+$BH5)*(1+$BI5))*(1+$AM5)*$BL5*$Q5*(1+IF(VLOOKUP($R5,武学奇术!$A:$ZZ,30,FALSE)="回旋伞",$B$21,0))*(1+$BR5)</f>
        <v>29551.1063460534</v>
      </c>
      <c r="N5" s="38">
        <f>(($AP5*$AI5+$AJ5)*(1+$AQ5)*(1+$AR5)+($AU5*IF($G$1="鸣金",$AK5,$AI5)+IF($G$1="鸣金",$AL5*1.5,0))*(1+$AV5)*(1+$AW5)+($AY5*IF($G$1="裂石",$AK5,$AI5)+IF($G$1="裂石",$AL5*1.5,0))*(1+$AZ5)*(1+$BA5)+($BC5*IF($G$1="牵丝",$AK5,$AI5)+IF($G$1="牵丝",$AL5*1.5,0))*(1+$BD5)*(1+$BE5)+($BG5*IF($G$1="破竹",$AK5,$AI5)+IF($G$1="破竹",$AL5*1.5,0))*(1+$BH5)*(1+$BI5))*(1+$AM5)*$BN5*$Q5*(1+IF(VLOOKUP($R5,武学奇术!$A:$ZZ,30,FALSE)="回旋伞",$B$21,0))*(1+$BR5)</f>
        <v>24400.9241177678</v>
      </c>
      <c r="O5" s="38">
        <f>((($AO5+$AP5)/2*$AI5+$AJ5)*(1+$AQ5)*(1+$AR5)+(($AT5+$AU5)/2*IF($G$1="鸣金",$AK5,$AI5)+IF($G$1="鸣金",$AL5*1.5,0))*(1+$AV5)*(1+$AW5)+(($AX5+$AY5)/2*IF($G$1="裂石",$AK5,$AI5)+IF($G$1="裂石",$AL5*1.5,0))*(1+$AZ5)*(1+$BA5)+(($BB5+$BC5)/2*IF($G$1="牵丝",$AK5,$AI5)+IF($G$1="牵丝",$AL5*1.5,0))*(1+$BD5)*(1+$BE5)+(($BF5+$BG5)/2*IF($G$1="破竹",$AK5,$AI5)+IF($G$1="破竹",$AL5*1.5,0))*(1+$BH5)*(1+$BI5))*(1+$AM5)*$Q5*(1+IF(VLOOKUP($R5,武学奇术!$A:$ZZ,30,FALSE)="回旋伞",$B$21,0))*(1+$BR5)</f>
        <v>15973.5709978667</v>
      </c>
      <c r="P5" s="38">
        <f>((($AO5*$AI5+$AJ5)*(1+$AQ5)*(1+$AR5)+($AT5*IF($G$1="鸣金",$AK5,$AI5)+IF($G$1="鸣金",$AL5*1.5,0))*(1+$AV5)*(1+$AW5)+($AX5*IF($G$1="裂石",$AK5,$AI5)+IF($G$1="裂石",$AL5*1.5,0))*(1+$AZ5)*(1+$BA5)+($BB5*IF($G$1="牵丝",$AK5,$AI5)+IF($G$1="牵丝",$AL5*1.5,0))*(1+$BD5)*(1+$BE5)+($BF5*IF($G$1="破竹",$AK5,$AI5)+IF($G$1="破竹",$AL5*1.5,0))*(1+$BH5)*(1+$BI5))*(1+$AM5))*$Q5*(1+IF(VLOOKUP($R5,武学奇术!$A:$ZZ,30,FALSE)="回旋伞",$B$21,0))*(1+$BR5)</f>
        <v>13872.3833899795</v>
      </c>
      <c r="Q5" s="39">
        <v>1</v>
      </c>
      <c r="R5" s="40" t="s">
        <v>71</v>
      </c>
      <c r="S5" s="40" t="s">
        <v>72</v>
      </c>
      <c r="T5" s="40" t="s">
        <v>95</v>
      </c>
      <c r="U5" s="40" t="s">
        <v>73</v>
      </c>
      <c r="V5" s="40" t="s">
        <v>81</v>
      </c>
      <c r="W5" s="40" t="s">
        <v>96</v>
      </c>
      <c r="X5" s="40" t="s">
        <v>97</v>
      </c>
      <c r="Y5" s="40" t="s">
        <v>72</v>
      </c>
      <c r="Z5" s="40" t="s">
        <v>72</v>
      </c>
      <c r="AA5" s="40" t="s">
        <v>72</v>
      </c>
      <c r="AB5" s="40" t="s">
        <v>72</v>
      </c>
      <c r="AC5" s="40" t="s">
        <v>72</v>
      </c>
      <c r="AD5" s="40" t="s">
        <v>72</v>
      </c>
      <c r="AE5" s="40" t="s">
        <v>72</v>
      </c>
      <c r="AF5" s="40" t="s">
        <v>72</v>
      </c>
      <c r="AG5" s="40" t="s">
        <v>78</v>
      </c>
      <c r="AH5" t="str">
        <f>VLOOKUP($R5,武学奇术!$A:$ZZ,25,FALSE)</f>
        <v>群体奇术</v>
      </c>
      <c r="AI5" s="26">
        <f>VLOOKUP($R5,武学奇术!$A:$ZZ,26,FALSE)</f>
        <v>1.4904</v>
      </c>
      <c r="AJ5" s="27">
        <f>VLOOKUP($R5,武学奇术!$A:$ZZ,27,FALSE)*(1+IF(OR($AH5=$F$4,$AH5=$F$5),$B$22,0))</f>
        <v>378</v>
      </c>
      <c r="AK5" s="26">
        <f>VLOOKUP($R5,武学奇术!$A:$ZZ,28,FALSE)</f>
        <v>2.2356</v>
      </c>
      <c r="AL5" s="27">
        <f>VLOOKUP($R5,武学奇术!$A:$ZZ,29,FALSE)*(1+IF(OR($AH5=$F$4,$AH5=$F$5),$B$22,0))</f>
        <v>0</v>
      </c>
      <c r="AM5" s="26" cm="1">
        <f t="array" ref="AM5">$G$3+IFERROR(VLOOKUP($AH5,$F$4:$G$7,2,FALSE),0)+VLOOKUP($R5,武学奇术!$A:$ZZ,2,FALSE)+SUM(_xlfn.XLOOKUP($S5:$AG5,增益!$A:$A,增益!$B:$B,0))</f>
        <v>0.3937</v>
      </c>
      <c r="AN5" s="26" cm="1">
        <f t="array" ref="AN5">VLOOKUP($R5,武学奇术!$A:$ZZ,5,FALSE)+SUM(_xlfn.XLOOKUP($S5:$AG5,增益!$A:$A,增益!$E:$E,0))</f>
        <v>0</v>
      </c>
      <c r="AO5" cm="1">
        <f t="array" ref="AO5">$D$10*(1+$AN5)+VLOOKUP($R5,武学奇术!$A:$ZZ,3,FALSE)+SUM(_xlfn.XLOOKUP($S5:$AG5,增益!$A:$A,增益!$C:$C,0))-$I$2</f>
        <v>3562.6</v>
      </c>
      <c r="AP5" cm="1">
        <f t="array" ref="AP5">$E$10*(1+$AN5)+VLOOKUP($R5,武学奇术!$A:$ZZ,4,FALSE)+SUM(_xlfn.XLOOKUP($S5:$AG5,增益!$A:$A,增益!$D:$D,0))-$I$2</f>
        <v>3562.6</v>
      </c>
      <c r="AQ5" s="32" cm="1">
        <f t="array" ref="AQ5">IF($F$10-$I$3+VLOOKUP($R5,武学奇术!$A:$ZZ,6,FALSE)+SUM(_xlfn.XLOOKUP(S5:AG5,增益!$A:$A,增益!$F:$F,0))&gt;0,($F$10-$I$3+VLOOKUP($R5,武学奇术!$A:$ZZ,6,FALSE)+SUM(_xlfn.XLOOKUP(S5:AG5,增益!$A:$A,增益!$F:$F,0)))/200,($F$10-$I$3+VLOOKUP($R5,武学奇术!$A:$ZZ,6,FALSE)+SUM(_xlfn.XLOOKUP(S5:AG5,增益!$A:$A,增益!$F:$F,0)))/100)</f>
        <v>0.2825</v>
      </c>
      <c r="AR5" s="32" cm="1">
        <f t="array" ref="AR5">$G$10+VLOOKUP($R5,武学奇术!$A:$ZZ,7,FALSE)+SUM(_xlfn.XLOOKUP(S5:AG5,增益!$A:$A,增益!$G:$G,0))</f>
        <v>0.028</v>
      </c>
      <c r="AS5" s="26" cm="1">
        <f t="array" ref="AS5">VLOOKUP($R5,武学奇术!$A:$ZZ,8,FALSE)+SUM(_xlfn.XLOOKUP(S5:AG5,增益!$A:$A,增益!$H:$H,0))</f>
        <v>0</v>
      </c>
      <c r="AT5">
        <f t="shared" si="1"/>
        <v>0</v>
      </c>
      <c r="AU5">
        <f t="shared" si="2"/>
        <v>0</v>
      </c>
      <c r="AV5" s="32" cm="1">
        <f t="array" ref="AV5">IF($F$11-$I$4+VLOOKUP($R5,武学奇术!$A:$ZZ,9,FALSE)+SUM(_xlfn.XLOOKUP(S5:AG5,增益!$A:$A,增益!$I:$I,0))&gt;0,($F$11-$I$4+VLOOKUP($R5,武学奇术!$A:$ZZ,9,FALSE)+SUM(_xlfn.XLOOKUP(S5:AG5,增益!$A:$A,增益!$I:$I,0)))/200,($F$11-$I$4+VLOOKUP($R5,武学奇术!$A:$ZZ,9,FALSE)+SUM(_xlfn.XLOOKUP(S5:AG5,增益!$A:$A,增益!$I:$I,0)))/100)</f>
        <v>-0.3</v>
      </c>
      <c r="AW5" s="32" cm="1">
        <f t="array" ref="AW5">$G$11+VLOOKUP($R5,武学奇术!$A:$ZZ,10,FALSE)+SUM(_xlfn.XLOOKUP(S5:AG5,增益!$A:$A,增益!$J:$J,0))</f>
        <v>0</v>
      </c>
      <c r="AX5">
        <f t="shared" si="3"/>
        <v>0</v>
      </c>
      <c r="AY5">
        <f t="shared" si="4"/>
        <v>0</v>
      </c>
      <c r="AZ5" s="32" cm="1">
        <f t="array" ref="AZ5">IF($F$12-$I$4+VLOOKUP($R5,武学奇术!$A:$ZZ,11,FALSE)+SUM(_xlfn.XLOOKUP(S5:AG5,增益!$A:$A,增益!$K:$K,0))&gt;0,($F$12-$I$4+VLOOKUP($R5,武学奇术!$A:$ZZ,11,FALSE)+SUM(_xlfn.XLOOKUP(S5:AG5,增益!$A:$A,增益!$K:$K,0)))/200,($F$12-$I$4+VLOOKUP($R5,武学奇术!$A:$ZZ,11,FALSE)+SUM(_xlfn.XLOOKUP(S5:AG5,增益!$A:$A,增益!$K:$K,0)))/100)</f>
        <v>-0.3</v>
      </c>
      <c r="BA5" s="32" cm="1">
        <f t="array" ref="BA5">$G$12+VLOOKUP($R5,武学奇术!$A:$ZZ,12,FALSE)+SUM(_xlfn.XLOOKUP(S5:AG5,增益!$A:$A,增益!$L:$L,0))</f>
        <v>0</v>
      </c>
      <c r="BB5">
        <f t="shared" si="5"/>
        <v>0</v>
      </c>
      <c r="BC5">
        <f t="shared" si="6"/>
        <v>0</v>
      </c>
      <c r="BD5" s="32" cm="1">
        <f t="array" ref="BD5">IF($F$13-$I$4+VLOOKUP($R5,武学奇术!$A:$ZZ,13,FALSE)+SUM(_xlfn.XLOOKUP(S5:AG5,增益!$A:$A,增益!$M:$M,0))&gt;0,($F$13-$I$4+VLOOKUP($R5,武学奇术!$A:$ZZ,13,FALSE)+SUM(_xlfn.XLOOKUP(S5:AG5,增益!$A:$A,增益!$K:$K,0)))/200,($F$13-$I$4+VLOOKUP($R5,武学奇术!$A:$ZZ,13,FALSE)+SUM(_xlfn.XLOOKUP(S5:AG5,增益!$A:$A,增益!$M:$M,0)))/100)</f>
        <v>-0.3</v>
      </c>
      <c r="BE5" s="32" cm="1">
        <f t="array" ref="BE5">$G$13+VLOOKUP($R5,武学奇术!$A:$ZZ,14,FALSE)+SUM(_xlfn.XLOOKUP(S5:AG5,增益!$A:$A,增益!$N:$N,0))</f>
        <v>0</v>
      </c>
      <c r="BF5">
        <f t="shared" si="7"/>
        <v>571.2</v>
      </c>
      <c r="BG5">
        <f t="shared" si="8"/>
        <v>1627.8</v>
      </c>
      <c r="BH5" s="32" cm="1">
        <f t="array" ref="BH5">IF($F$14-$I$4+VLOOKUP($R5,武学奇术!$A:$ZZ,15,FALSE)+SUM(_xlfn.XLOOKUP(S5:AG5,增益!$A:$A,增益!$O:$O,0))&gt;0,($F$14-$I$4+VLOOKUP($R5,武学奇术!$A:$ZZ,15,FALSE)+SUM(_xlfn.XLOOKUP(S5:AG5,增益!$A:$A,增益!$O:$O,0)))/200,($F$14-$I$4+VLOOKUP($R5,武学奇术!$A:$ZZ,15,FALSE)+SUM(_xlfn.XLOOKUP(S5:AG5,增益!$A:$A,增益!$O:$O,0)))/100)</f>
        <v>0</v>
      </c>
      <c r="BI5" s="32" cm="1">
        <f t="array" ref="BI5">$G$14+VLOOKUP($R5,武学奇术!$A:$ZZ,16,FALSE)+SUM(_xlfn.XLOOKUP(S5:AG5,增益!$A:$A,增益!$P:$P,0))</f>
        <v>0.15</v>
      </c>
      <c r="BJ5" s="26">
        <f>MIN(IF(VLOOKUP($R5,武学奇术!$A:$ZZ,23,FALSE)=1,100%,$B$8),100%)</f>
        <v>0.981</v>
      </c>
      <c r="BK5" s="26" cm="1">
        <f t="array" ref="BK5">IF(VLOOKUP($R5,武学奇术!$A:$ZZ,23,FALSE)=1,100%,MIN(80%,$B$9+VLOOKUP($R5,武学奇术!$A:$ZZ,17,FALSE)+SUM(_xlfn.XLOOKUP(S5:AG5,增益!$A:$A,增益!$Q:$Q,0)))+$B$11+SUM(_xlfn.XLOOKUP(S5:AG5,增益!$A:$A,增益!$U:$U,0)))*IF(VLOOKUP($R5,武学奇术!$A:$ZZ,24,FALSE)=1,0,1)</f>
        <v>0.846</v>
      </c>
      <c r="BL5" s="26" cm="1">
        <f t="array" ref="BL5">1+$B$13+VLOOKUP($R5,武学奇术!$A:$ZZ,18,FALSE)+SUM(_xlfn.XLOOKUP(S5:AG5,增益!$A:$A,增益!$R:$R,0))</f>
        <v>1.85</v>
      </c>
      <c r="BM5" s="26" cm="1">
        <f t="array" ref="BM5">IF(VLOOKUP($R5,武学奇术!$A:$ZZ,24,FALSE)=1,100%,MIN(40%,$B$10+VLOOKUP($R5,武学奇术!$A:$ZZ,19,FALSE)+SUM(_xlfn.XLOOKUP(S5:AG5,增益!$A:$A,增益!$S:$S,0)))+$B$12+SUM(_xlfn.XLOOKUP(S5:AG5,增益!$A:$A,增益!$V:$V,0)))*IF(VLOOKUP($R5,武学奇术!$A:$ZZ,23,FALSE)=1,0,1)</f>
        <v>0.0929</v>
      </c>
      <c r="BN5" s="26" cm="1">
        <f t="array" ref="BN5">1+$B$14+VLOOKUP($R5,武学奇术!$A:$ZZ,20,FALSE)+SUM(_xlfn.XLOOKUP(S5:AG5,增益!$A:$A,增益!$T:$T,0))</f>
        <v>1.35</v>
      </c>
      <c r="BO5" s="26">
        <f t="shared" si="9"/>
        <v>0.829926</v>
      </c>
      <c r="BP5" s="26">
        <f t="shared" si="10"/>
        <v>0.0599391</v>
      </c>
      <c r="BQ5" s="26">
        <f>IF(VLOOKUP($R5,武学奇术!$A:$ZZ,22,FALSE)=1,0,(1-$BJ5))*(1-$BM5)</f>
        <v>0.0172349</v>
      </c>
      <c r="BR5" s="26" cm="1">
        <f t="array" ref="BR5">SUM(_xlfn.XLOOKUP(S5:AG5,增益!$A:$A,增益!$W:$W,0))+$I$5</f>
        <v>0.11</v>
      </c>
    </row>
    <row r="6" spans="1:70">
      <c r="A6" s="57" t="s">
        <v>5</v>
      </c>
      <c r="B6" s="58"/>
      <c r="C6" s="58"/>
      <c r="D6" s="58"/>
      <c r="E6" s="59"/>
      <c r="F6" s="45" t="s">
        <v>98</v>
      </c>
      <c r="G6" s="49">
        <f>B19</f>
        <v>0</v>
      </c>
      <c r="K6">
        <f>$L6*VLOOKUP($R6,武学奇术!$A:$ZZ,31,FALSE)</f>
        <v>29765.1488976533</v>
      </c>
      <c r="L6" s="38">
        <f t="shared" si="0"/>
        <v>28347.7608549079</v>
      </c>
      <c r="M6" s="38">
        <f>((($AO6+$AP6)/2*$AI6+$AJ6)*(1+$AQ6)*(1+$AR6)+(($AT6+$AU6)/2*IF($G$1="鸣金",$AK6,$AI6)+IF($G$1="鸣金",$AL6*1.5,0))*(1+$AV6)*(1+$AW6)+(($AX6+$AY6)/2*IF($G$1="裂石",$AK6,$AI6)+IF($G$1="裂石",$AL6*1.5,0))*(1+$AZ6)*(1+$BA6)+(($BB6+$BC6)/2*IF($G$1="牵丝",$AK6,$AI6)+IF($G$1="牵丝",$AL6*1.5,0))*(1+$BD6)*(1+$BE6)+(($BF6+$BG6)/2*IF($G$1="破竹",$AK6,$AI6)+IF($G$1="破竹",$AL6*1.5,0))*(1+$BH6)*(1+$BI6))*(1+$AM6)*$BL6*$Q6*(1+IF(VLOOKUP($R6,武学奇术!$A:$ZZ,30,FALSE)="回旋伞",$B$21,0))*(1+$BR6)</f>
        <v>29931.6781746249</v>
      </c>
      <c r="N6" s="38">
        <f>(($AP6*$AI6+$AJ6)*(1+$AQ6)*(1+$AR6)+($AU6*IF($G$1="鸣金",$AK6,$AI6)+IF($G$1="鸣金",$AL6*1.5,0))*(1+$AV6)*(1+$AW6)+($AY6*IF($G$1="裂石",$AK6,$AI6)+IF($G$1="裂石",$AL6*1.5,0))*(1+$AZ6)*(1+$BA6)+($BC6*IF($G$1="牵丝",$AK6,$AI6)+IF($G$1="牵丝",$AL6*1.5,0))*(1+$BD6)*(1+$BE6)+($BG6*IF($G$1="破竹",$AK6,$AI6)+IF($G$1="破竹",$AL6*1.5,0))*(1+$BH6)*(1+$BI6))*(1+$AM6)*$BN6*$Q6*(1+IF(VLOOKUP($R6,武学奇术!$A:$ZZ,30,FALSE)="回旋伞",$B$21,0))*(1+$BR6)</f>
        <v>24698.99173599</v>
      </c>
      <c r="O6" s="38">
        <f>((($AO6+$AP6)/2*$AI6+$AJ6)*(1+$AQ6)*(1+$AR6)+(($AT6+$AU6)/2*IF($G$1="鸣金",$AK6,$AI6)+IF($G$1="鸣金",$AL6*1.5,0))*(1+$AV6)*(1+$AW6)+(($AX6+$AY6)/2*IF($G$1="裂石",$AK6,$AI6)+IF($G$1="裂石",$AL6*1.5,0))*(1+$AZ6)*(1+$BA6)+(($BB6+$BC6)/2*IF($G$1="牵丝",$AK6,$AI6)+IF($G$1="牵丝",$AL6*1.5,0))*(1+$BD6)*(1+$BE6)+(($BF6+$BG6)/2*IF($G$1="破竹",$AK6,$AI6)+IF($G$1="破竹",$AL6*1.5,0))*(1+$BH6)*(1+$BI6))*(1+$AM6)*$Q6*(1+IF(VLOOKUP($R6,武学奇术!$A:$ZZ,30,FALSE)="回旋伞",$B$21,0))*(1+$BR6)</f>
        <v>16179.2854997973</v>
      </c>
      <c r="P6" s="38">
        <f>((($AO6*$AI6+$AJ6)*(1+$AQ6)*(1+$AR6)+($AT6*IF($G$1="鸣金",$AK6,$AI6)+IF($G$1="鸣金",$AL6*1.5,0))*(1+$AV6)*(1+$AW6)+($AX6*IF($G$1="裂石",$AK6,$AI6)+IF($G$1="裂石",$AL6*1.5,0))*(1+$AZ6)*(1+$BA6)+($BB6*IF($G$1="牵丝",$AK6,$AI6)+IF($G$1="牵丝",$AL6*1.5,0))*(1+$BD6)*(1+$BE6)+($BF6*IF($G$1="破竹",$AK6,$AI6)+IF($G$1="破竹",$AL6*1.5,0))*(1+$BH6)*(1+$BI6))*(1+$AM6))*$Q6*(1+IF(VLOOKUP($R6,武学奇术!$A:$ZZ,30,FALSE)="回旋伞",$B$21,0))*(1+$BR6)</f>
        <v>14063.0215655278</v>
      </c>
      <c r="Q6" s="39">
        <v>1</v>
      </c>
      <c r="R6" s="40" t="s">
        <v>71</v>
      </c>
      <c r="S6" s="40" t="s">
        <v>72</v>
      </c>
      <c r="T6" s="40" t="s">
        <v>95</v>
      </c>
      <c r="U6" s="40" t="s">
        <v>73</v>
      </c>
      <c r="V6" s="40" t="s">
        <v>81</v>
      </c>
      <c r="W6" s="40" t="s">
        <v>96</v>
      </c>
      <c r="X6" s="40" t="s">
        <v>99</v>
      </c>
      <c r="Y6" s="40" t="s">
        <v>72</v>
      </c>
      <c r="Z6" s="40" t="s">
        <v>72</v>
      </c>
      <c r="AA6" s="40" t="s">
        <v>72</v>
      </c>
      <c r="AB6" s="40" t="s">
        <v>72</v>
      </c>
      <c r="AC6" s="40" t="s">
        <v>72</v>
      </c>
      <c r="AD6" s="40" t="s">
        <v>72</v>
      </c>
      <c r="AE6" s="40" t="s">
        <v>72</v>
      </c>
      <c r="AF6" s="40" t="s">
        <v>72</v>
      </c>
      <c r="AG6" s="40" t="s">
        <v>78</v>
      </c>
      <c r="AH6" t="str">
        <f>VLOOKUP($R6,武学奇术!$A:$ZZ,25,FALSE)</f>
        <v>群体奇术</v>
      </c>
      <c r="AI6" s="26">
        <f>VLOOKUP($R6,武学奇术!$A:$ZZ,26,FALSE)</f>
        <v>1.4904</v>
      </c>
      <c r="AJ6" s="27">
        <f>VLOOKUP($R6,武学奇术!$A:$ZZ,27,FALSE)*(1+IF(OR($AH6=$F$4,$AH6=$F$5),$B$22,0))</f>
        <v>378</v>
      </c>
      <c r="AK6" s="26">
        <f>VLOOKUP($R6,武学奇术!$A:$ZZ,28,FALSE)</f>
        <v>2.2356</v>
      </c>
      <c r="AL6" s="27">
        <f>VLOOKUP($R6,武学奇术!$A:$ZZ,29,FALSE)*(1+IF(OR($AH6=$F$4,$AH6=$F$5),$B$22,0))</f>
        <v>0</v>
      </c>
      <c r="AM6" s="26" cm="1">
        <f t="array" ref="AM6">$G$3+IFERROR(VLOOKUP($AH6,$F$4:$G$7,2,FALSE),0)+VLOOKUP($R6,武学奇术!$A:$ZZ,2,FALSE)+SUM(_xlfn.XLOOKUP($S6:$AG6,增益!$A:$A,增益!$B:$B,0))</f>
        <v>0.4037</v>
      </c>
      <c r="AN6" s="26" cm="1">
        <f t="array" ref="AN6">VLOOKUP($R6,武学奇术!$A:$ZZ,5,FALSE)+SUM(_xlfn.XLOOKUP($S6:$AG6,增益!$A:$A,增益!$E:$E,0))</f>
        <v>0</v>
      </c>
      <c r="AO6" cm="1">
        <f t="array" ref="AO6">$D$10*(1+$AN6)+VLOOKUP($R6,武学奇术!$A:$ZZ,3,FALSE)+SUM(_xlfn.XLOOKUP($S6:$AG6,增益!$A:$A,增益!$C:$C,0))-$I$2</f>
        <v>3562.6</v>
      </c>
      <c r="AP6" cm="1">
        <f t="array" ref="AP6">$E$10*(1+$AN6)+VLOOKUP($R6,武学奇术!$A:$ZZ,4,FALSE)+SUM(_xlfn.XLOOKUP($S6:$AG6,增益!$A:$A,增益!$D:$D,0))-$I$2</f>
        <v>3562.6</v>
      </c>
      <c r="AQ6" s="32" cm="1">
        <f t="array" ref="AQ6">IF($F$10-$I$3+VLOOKUP($R6,武学奇术!$A:$ZZ,6,FALSE)+SUM(_xlfn.XLOOKUP(S6:AG6,增益!$A:$A,增益!$F:$F,0))&gt;0,($F$10-$I$3+VLOOKUP($R6,武学奇术!$A:$ZZ,6,FALSE)+SUM(_xlfn.XLOOKUP(S6:AG6,增益!$A:$A,增益!$F:$F,0)))/200,($F$10-$I$3+VLOOKUP($R6,武学奇术!$A:$ZZ,6,FALSE)+SUM(_xlfn.XLOOKUP(S6:AG6,增益!$A:$A,增益!$F:$F,0)))/100)</f>
        <v>0.2925</v>
      </c>
      <c r="AR6" s="32" cm="1">
        <f t="array" ref="AR6">$G$10+VLOOKUP($R6,武学奇术!$A:$ZZ,7,FALSE)+SUM(_xlfn.XLOOKUP(S6:AG6,增益!$A:$A,增益!$G:$G,0))</f>
        <v>0.028</v>
      </c>
      <c r="AS6" s="26" cm="1">
        <f t="array" ref="AS6">VLOOKUP($R6,武学奇术!$A:$ZZ,8,FALSE)+SUM(_xlfn.XLOOKUP(S6:AG6,增益!$A:$A,增益!$H:$H,0))</f>
        <v>0</v>
      </c>
      <c r="AT6">
        <f t="shared" si="1"/>
        <v>0</v>
      </c>
      <c r="AU6">
        <f t="shared" si="2"/>
        <v>0</v>
      </c>
      <c r="AV6" s="32" cm="1">
        <f t="array" ref="AV6">IF($F$11-$I$4+VLOOKUP($R6,武学奇术!$A:$ZZ,9,FALSE)+SUM(_xlfn.XLOOKUP(S6:AG6,增益!$A:$A,增益!$I:$I,0))&gt;0,($F$11-$I$4+VLOOKUP($R6,武学奇术!$A:$ZZ,9,FALSE)+SUM(_xlfn.XLOOKUP(S6:AG6,增益!$A:$A,增益!$I:$I,0)))/200,($F$11-$I$4+VLOOKUP($R6,武学奇术!$A:$ZZ,9,FALSE)+SUM(_xlfn.XLOOKUP(S6:AG6,增益!$A:$A,增益!$I:$I,0)))/100)</f>
        <v>-0.3</v>
      </c>
      <c r="AW6" s="32" cm="1">
        <f t="array" ref="AW6">$G$11+VLOOKUP($R6,武学奇术!$A:$ZZ,10,FALSE)+SUM(_xlfn.XLOOKUP(S6:AG6,增益!$A:$A,增益!$J:$J,0))</f>
        <v>0</v>
      </c>
      <c r="AX6">
        <f t="shared" si="3"/>
        <v>0</v>
      </c>
      <c r="AY6">
        <f t="shared" si="4"/>
        <v>0</v>
      </c>
      <c r="AZ6" s="32" cm="1">
        <f t="array" ref="AZ6">IF($F$12-$I$4+VLOOKUP($R6,武学奇术!$A:$ZZ,11,FALSE)+SUM(_xlfn.XLOOKUP(S6:AG6,增益!$A:$A,增益!$K:$K,0))&gt;0,($F$12-$I$4+VLOOKUP($R6,武学奇术!$A:$ZZ,11,FALSE)+SUM(_xlfn.XLOOKUP(S6:AG6,增益!$A:$A,增益!$K:$K,0)))/200,($F$12-$I$4+VLOOKUP($R6,武学奇术!$A:$ZZ,11,FALSE)+SUM(_xlfn.XLOOKUP(S6:AG6,增益!$A:$A,增益!$K:$K,0)))/100)</f>
        <v>-0.3</v>
      </c>
      <c r="BA6" s="32" cm="1">
        <f t="array" ref="BA6">$G$12+VLOOKUP($R6,武学奇术!$A:$ZZ,12,FALSE)+SUM(_xlfn.XLOOKUP(S6:AG6,增益!$A:$A,增益!$L:$L,0))</f>
        <v>0</v>
      </c>
      <c r="BB6">
        <f t="shared" si="5"/>
        <v>0</v>
      </c>
      <c r="BC6">
        <f t="shared" si="6"/>
        <v>0</v>
      </c>
      <c r="BD6" s="32" cm="1">
        <f t="array" ref="BD6">IF($F$13-$I$4+VLOOKUP($R6,武学奇术!$A:$ZZ,13,FALSE)+SUM(_xlfn.XLOOKUP(S6:AG6,增益!$A:$A,增益!$M:$M,0))&gt;0,($F$13-$I$4+VLOOKUP($R6,武学奇术!$A:$ZZ,13,FALSE)+SUM(_xlfn.XLOOKUP(S6:AG6,增益!$A:$A,增益!$K:$K,0)))/200,($F$13-$I$4+VLOOKUP($R6,武学奇术!$A:$ZZ,13,FALSE)+SUM(_xlfn.XLOOKUP(S6:AG6,增益!$A:$A,增益!$M:$M,0)))/100)</f>
        <v>-0.3</v>
      </c>
      <c r="BE6" s="32" cm="1">
        <f t="array" ref="BE6">$G$13+VLOOKUP($R6,武学奇术!$A:$ZZ,14,FALSE)+SUM(_xlfn.XLOOKUP(S6:AG6,增益!$A:$A,增益!$N:$N,0))</f>
        <v>0</v>
      </c>
      <c r="BF6">
        <f t="shared" si="7"/>
        <v>571.2</v>
      </c>
      <c r="BG6">
        <f t="shared" si="8"/>
        <v>1627.8</v>
      </c>
      <c r="BH6" s="32" cm="1">
        <f t="array" ref="BH6">IF($F$14-$I$4+VLOOKUP($R6,武学奇术!$A:$ZZ,15,FALSE)+SUM(_xlfn.XLOOKUP(S6:AG6,增益!$A:$A,增益!$O:$O,0))&gt;0,($F$14-$I$4+VLOOKUP($R6,武学奇术!$A:$ZZ,15,FALSE)+SUM(_xlfn.XLOOKUP(S6:AG6,增益!$A:$A,增益!$O:$O,0)))/200,($F$14-$I$4+VLOOKUP($R6,武学奇术!$A:$ZZ,15,FALSE)+SUM(_xlfn.XLOOKUP(S6:AG6,增益!$A:$A,增益!$O:$O,0)))/100)</f>
        <v>0</v>
      </c>
      <c r="BI6" s="32" cm="1">
        <f t="array" ref="BI6">$G$14+VLOOKUP($R6,武学奇术!$A:$ZZ,16,FALSE)+SUM(_xlfn.XLOOKUP(S6:AG6,增益!$A:$A,增益!$P:$P,0))</f>
        <v>0.15</v>
      </c>
      <c r="BJ6" s="26">
        <f>MIN(IF(VLOOKUP($R6,武学奇术!$A:$ZZ,23,FALSE)=1,100%,$B$8),100%)</f>
        <v>0.981</v>
      </c>
      <c r="BK6" s="26" cm="1">
        <f t="array" ref="BK6">IF(VLOOKUP($R6,武学奇术!$A:$ZZ,23,FALSE)=1,100%,MIN(80%,$B$9+VLOOKUP($R6,武学奇术!$A:$ZZ,17,FALSE)+SUM(_xlfn.XLOOKUP(S6:AG6,增益!$A:$A,增益!$Q:$Q,0)))+$B$11+SUM(_xlfn.XLOOKUP(S6:AG6,增益!$A:$A,增益!$U:$U,0)))*IF(VLOOKUP($R6,武学奇术!$A:$ZZ,24,FALSE)=1,0,1)</f>
        <v>0.846</v>
      </c>
      <c r="BL6" s="26" cm="1">
        <f t="array" ref="BL6">1+$B$13+VLOOKUP($R6,武学奇术!$A:$ZZ,18,FALSE)+SUM(_xlfn.XLOOKUP(S6:AG6,增益!$A:$A,增益!$R:$R,0))</f>
        <v>1.85</v>
      </c>
      <c r="BM6" s="26" cm="1">
        <f t="array" ref="BM6">IF(VLOOKUP($R6,武学奇术!$A:$ZZ,24,FALSE)=1,100%,MIN(40%,$B$10+VLOOKUP($R6,武学奇术!$A:$ZZ,19,FALSE)+SUM(_xlfn.XLOOKUP(S6:AG6,增益!$A:$A,增益!$S:$S,0)))+$B$12+SUM(_xlfn.XLOOKUP(S6:AG6,增益!$A:$A,增益!$V:$V,0)))*IF(VLOOKUP($R6,武学奇术!$A:$ZZ,23,FALSE)=1,0,1)</f>
        <v>0.0929</v>
      </c>
      <c r="BN6" s="26" cm="1">
        <f t="array" ref="BN6">1+$B$14+VLOOKUP($R6,武学奇术!$A:$ZZ,20,FALSE)+SUM(_xlfn.XLOOKUP(S6:AG6,增益!$A:$A,增益!$T:$T,0))</f>
        <v>1.35</v>
      </c>
      <c r="BO6" s="26">
        <f t="shared" si="9"/>
        <v>0.829926</v>
      </c>
      <c r="BP6" s="26">
        <f t="shared" si="10"/>
        <v>0.0599391</v>
      </c>
      <c r="BQ6" s="26">
        <f>IF(VLOOKUP($R6,武学奇术!$A:$ZZ,22,FALSE)=1,0,(1-$BJ6))*(1-$BM6)</f>
        <v>0.0172349</v>
      </c>
      <c r="BR6" s="26" cm="1">
        <f t="array" ref="BR6">SUM(_xlfn.XLOOKUP(S6:AG6,增益!$A:$A,增益!$W:$W,0))+$I$5</f>
        <v>0.11</v>
      </c>
    </row>
    <row r="7" ht="14.25" spans="1:70">
      <c r="A7" s="41" t="s">
        <v>100</v>
      </c>
      <c r="B7" s="60"/>
      <c r="C7" s="60"/>
      <c r="D7" s="61"/>
      <c r="E7" s="62"/>
      <c r="F7" s="53" t="s">
        <v>101</v>
      </c>
      <c r="G7" s="63">
        <f>B20</f>
        <v>0</v>
      </c>
      <c r="K7">
        <f>$L7*VLOOKUP($R7,武学奇术!$A:$ZZ,31,FALSE)</f>
        <v>17552.1338096281</v>
      </c>
      <c r="L7" s="38">
        <f t="shared" si="0"/>
        <v>16716.3179139315</v>
      </c>
      <c r="M7" s="38">
        <f>((($AO7+$AP7)/2*$AI7+$AJ7)*(1+$AQ7)*(1+$AR7)+(($AT7+$AU7)/2*IF($G$1="鸣金",$AK7,$AI7)+IF($G$1="鸣金",$AL7*1.5,0))*(1+$AV7)*(1+$AW7)+(($AX7+$AY7)/2*IF($G$1="裂石",$AK7,$AI7)+IF($G$1="裂石",$AL7*1.5,0))*(1+$AZ7)*(1+$BA7)+(($BB7+$BC7)/2*IF($G$1="牵丝",$AK7,$AI7)+IF($G$1="牵丝",$AL7*1.5,0))*(1+$BD7)*(1+$BE7)+(($BF7+$BG7)/2*IF($G$1="破竹",$AK7,$AI7)+IF($G$1="破竹",$AL7*1.5,0))*(1+$BH7)*(1+$BI7))*(1+$AM7)*$BL7*$Q7*(1+IF(VLOOKUP($R7,武学奇术!$A:$ZZ,30,FALSE)="回旋伞",$B$21,0))*(1+$BR7)</f>
        <v>17242.9867558792</v>
      </c>
      <c r="N7" s="38">
        <f>(($AP7*$AI7+$AJ7)*(1+$AQ7)*(1+$AR7)+($AU7*IF($G$1="鸣金",$AK7,$AI7)+IF($G$1="鸣金",$AL7*1.5,0))*(1+$AV7)*(1+$AW7)+($AY7*IF($G$1="裂石",$AK7,$AI7)+IF($G$1="裂石",$AL7*1.5,0))*(1+$AZ7)*(1+$BA7)+($BC7*IF($G$1="牵丝",$AK7,$AI7)+IF($G$1="牵丝",$AL7*1.5,0))*(1+$BD7)*(1+$BE7)+($BG7*IF($G$1="破竹",$AK7,$AI7)+IF($G$1="破竹",$AL7*1.5,0))*(1+$BH7)*(1+$BI7))*(1+$AM7)*$BN7*$Q7*(1+IF(VLOOKUP($R7,武学奇术!$A:$ZZ,30,FALSE)="回旋伞",$B$21,0))*(1+$BR7)</f>
        <v>16917.5679325718</v>
      </c>
      <c r="O7" s="38">
        <f>((($AO7+$AP7)/2*$AI7+$AJ7)*(1+$AQ7)*(1+$AR7)+(($AT7+$AU7)/2*IF($G$1="鸣金",$AK7,$AI7)+IF($G$1="鸣金",$AL7*1.5,0))*(1+$AV7)*(1+$AW7)+(($AX7+$AY7)/2*IF($G$1="裂石",$AK7,$AI7)+IF($G$1="裂石",$AL7*1.5,0))*(1+$AZ7)*(1+$BA7)+(($BB7+$BC7)/2*IF($G$1="牵丝",$AK7,$AI7)+IF($G$1="牵丝",$AL7*1.5,0))*(1+$BD7)*(1+$BE7)+(($BF7+$BG7)/2*IF($G$1="破竹",$AK7,$AI7)+IF($G$1="破竹",$AL7*1.5,0))*(1+$BH7)*(1+$BI7))*(1+$AM7)*$Q7*(1+IF(VLOOKUP($R7,武学奇术!$A:$ZZ,30,FALSE)="回旋伞",$B$21,0))*(1+$BR7)</f>
        <v>11124.5075844382</v>
      </c>
      <c r="P7" s="38">
        <f>((($AO7*$AI7+$AJ7)*(1+$AQ7)*(1+$AR7)+($AT7*IF($G$1="鸣金",$AK7,$AI7)+IF($G$1="鸣金",$AL7*1.5,0))*(1+$AV7)*(1+$AW7)+($AX7*IF($G$1="裂石",$AK7,$AI7)+IF($G$1="裂石",$AL7*1.5,0))*(1+$AZ7)*(1+$BA7)+($BB7*IF($G$1="牵丝",$AK7,$AI7)+IF($G$1="牵丝",$AL7*1.5,0))*(1+$BD7)*(1+$BE7)+($BF7*IF($G$1="破竹",$AK7,$AI7)+IF($G$1="破竹",$AL7*1.5,0))*(1+$BH7)*(1+$BI7))*(1+$AM7))*$Q7*(1+IF(VLOOKUP($R7,武学奇术!$A:$ZZ,30,FALSE)="回旋伞",$B$21,0))*(1+$BR7)</f>
        <v>9717.48336697129</v>
      </c>
      <c r="Q7" s="39">
        <v>1</v>
      </c>
      <c r="R7" s="40" t="s">
        <v>102</v>
      </c>
      <c r="S7" s="40" t="s">
        <v>72</v>
      </c>
      <c r="T7" s="40" t="s">
        <v>72</v>
      </c>
      <c r="U7" s="40" t="s">
        <v>72</v>
      </c>
      <c r="V7" s="40" t="s">
        <v>72</v>
      </c>
      <c r="W7" s="40" t="s">
        <v>75</v>
      </c>
      <c r="X7" s="40" t="s">
        <v>76</v>
      </c>
      <c r="Y7" s="40" t="s">
        <v>72</v>
      </c>
      <c r="Z7" s="40" t="s">
        <v>72</v>
      </c>
      <c r="AA7" s="40" t="s">
        <v>72</v>
      </c>
      <c r="AB7" s="40" t="s">
        <v>72</v>
      </c>
      <c r="AC7" s="40" t="s">
        <v>72</v>
      </c>
      <c r="AD7" s="40" t="s">
        <v>72</v>
      </c>
      <c r="AE7" s="40" t="s">
        <v>72</v>
      </c>
      <c r="AF7" s="40" t="s">
        <v>72</v>
      </c>
      <c r="AG7" s="40" t="s">
        <v>78</v>
      </c>
      <c r="AH7" t="str">
        <f>VLOOKUP($R7,武学奇术!$A:$ZZ,25,FALSE)</f>
        <v>绳镖</v>
      </c>
      <c r="AI7" s="26">
        <f>VLOOKUP($R7,武学奇术!$A:$ZZ,26,FALSE)</f>
        <v>1.1137</v>
      </c>
      <c r="AJ7" s="27">
        <f>VLOOKUP($R7,武学奇术!$A:$ZZ,27,FALSE)*(1+IF(OR($AH7=$F$4,$AH7=$F$5),$B$22,0))</f>
        <v>463.5</v>
      </c>
      <c r="AK7" s="26">
        <f>VLOOKUP($R7,武学奇术!$A:$ZZ,28,FALSE)</f>
        <v>1.6706</v>
      </c>
      <c r="AL7" s="27">
        <f>VLOOKUP($R7,武学奇术!$A:$ZZ,29,FALSE)*(1+IF(OR($AH7=$F$4,$AH7=$F$5),$B$22,0))</f>
        <v>252</v>
      </c>
      <c r="AM7" s="26" cm="1">
        <f t="array" ref="AM7">$G$3+IFERROR(VLOOKUP($AH7,$F$4:$G$7,2,FALSE),0)+VLOOKUP($R7,武学奇术!$A:$ZZ,2,FALSE)+SUM(_xlfn.XLOOKUP($S7:$AG7,增益!$A:$A,增益!$B:$B,0))</f>
        <v>0.2489</v>
      </c>
      <c r="AN7" s="26" cm="1">
        <f t="array" ref="AN7">VLOOKUP($R7,武学奇术!$A:$ZZ,5,FALSE)+SUM(_xlfn.XLOOKUP($S7:$AG7,增益!$A:$A,增益!$E:$E,0))</f>
        <v>0</v>
      </c>
      <c r="AO7" cm="1">
        <f t="array" ref="AO7">$D$10*(1+$AN7)+VLOOKUP($R7,武学奇术!$A:$ZZ,3,FALSE)+SUM(_xlfn.XLOOKUP($S7:$AG7,增益!$A:$A,增益!$C:$C,0))-$I$2</f>
        <v>3562.6</v>
      </c>
      <c r="AP7" cm="1">
        <f t="array" ref="AP7">$E$10*(1+$AN7)+VLOOKUP($R7,武学奇术!$A:$ZZ,4,FALSE)+SUM(_xlfn.XLOOKUP($S7:$AG7,增益!$A:$A,增益!$D:$D,0))-$I$2</f>
        <v>3562.6</v>
      </c>
      <c r="AQ7" s="32" cm="1">
        <f t="array" ref="AQ7">IF($F$10-$I$3+VLOOKUP($R7,武学奇术!$A:$ZZ,6,FALSE)+SUM(_xlfn.XLOOKUP(S7:AG7,增益!$A:$A,增益!$F:$F,0))&gt;0,($F$10-$I$3+VLOOKUP($R7,武学奇术!$A:$ZZ,6,FALSE)+SUM(_xlfn.XLOOKUP(S7:AG7,增益!$A:$A,增益!$F:$F,0)))/200,($F$10-$I$3+VLOOKUP($R7,武学奇术!$A:$ZZ,6,FALSE)+SUM(_xlfn.XLOOKUP(S7:AG7,增益!$A:$A,增益!$F:$F,0)))/100)</f>
        <v>0.2025</v>
      </c>
      <c r="AR7" s="32" cm="1">
        <f t="array" ref="AR7">$G$10+VLOOKUP($R7,武学奇术!$A:$ZZ,7,FALSE)+SUM(_xlfn.XLOOKUP(S7:AG7,增益!$A:$A,增益!$G:$G,0))</f>
        <v>0.028</v>
      </c>
      <c r="AS7" s="26" cm="1">
        <f t="array" ref="AS7">VLOOKUP($R7,武学奇术!$A:$ZZ,8,FALSE)+SUM(_xlfn.XLOOKUP(S7:AG7,增益!$A:$A,增益!$H:$H,0))</f>
        <v>0</v>
      </c>
      <c r="AT7">
        <f t="shared" si="1"/>
        <v>0</v>
      </c>
      <c r="AU7">
        <f t="shared" si="2"/>
        <v>0</v>
      </c>
      <c r="AV7" s="32" cm="1">
        <f t="array" ref="AV7">IF($F$11-$I$4+VLOOKUP($R7,武学奇术!$A:$ZZ,9,FALSE)+SUM(_xlfn.XLOOKUP(S7:AG7,增益!$A:$A,增益!$I:$I,0))&gt;0,($F$11-$I$4+VLOOKUP($R7,武学奇术!$A:$ZZ,9,FALSE)+SUM(_xlfn.XLOOKUP(S7:AG7,增益!$A:$A,增益!$I:$I,0)))/200,($F$11-$I$4+VLOOKUP($R7,武学奇术!$A:$ZZ,9,FALSE)+SUM(_xlfn.XLOOKUP(S7:AG7,增益!$A:$A,增益!$I:$I,0)))/100)</f>
        <v>-0.3</v>
      </c>
      <c r="AW7" s="32" cm="1">
        <f t="array" ref="AW7">$G$11+VLOOKUP($R7,武学奇术!$A:$ZZ,10,FALSE)+SUM(_xlfn.XLOOKUP(S7:AG7,增益!$A:$A,增益!$J:$J,0))</f>
        <v>0</v>
      </c>
      <c r="AX7">
        <f t="shared" si="3"/>
        <v>0</v>
      </c>
      <c r="AY7">
        <f t="shared" si="4"/>
        <v>0</v>
      </c>
      <c r="AZ7" s="32" cm="1">
        <f t="array" ref="AZ7">IF($F$12-$I$4+VLOOKUP($R7,武学奇术!$A:$ZZ,11,FALSE)+SUM(_xlfn.XLOOKUP(S7:AG7,增益!$A:$A,增益!$K:$K,0))&gt;0,($F$12-$I$4+VLOOKUP($R7,武学奇术!$A:$ZZ,11,FALSE)+SUM(_xlfn.XLOOKUP(S7:AG7,增益!$A:$A,增益!$K:$K,0)))/200,($F$12-$I$4+VLOOKUP($R7,武学奇术!$A:$ZZ,11,FALSE)+SUM(_xlfn.XLOOKUP(S7:AG7,增益!$A:$A,增益!$K:$K,0)))/100)</f>
        <v>-0.3</v>
      </c>
      <c r="BA7" s="32" cm="1">
        <f t="array" ref="BA7">$G$12+VLOOKUP($R7,武学奇术!$A:$ZZ,12,FALSE)+SUM(_xlfn.XLOOKUP(S7:AG7,增益!$A:$A,增益!$L:$L,0))</f>
        <v>0</v>
      </c>
      <c r="BB7">
        <f t="shared" si="5"/>
        <v>0</v>
      </c>
      <c r="BC7">
        <f t="shared" si="6"/>
        <v>0</v>
      </c>
      <c r="BD7" s="32" cm="1">
        <f t="array" ref="BD7">IF($F$13-$I$4+VLOOKUP($R7,武学奇术!$A:$ZZ,13,FALSE)+SUM(_xlfn.XLOOKUP(S7:AG7,增益!$A:$A,增益!$M:$M,0))&gt;0,($F$13-$I$4+VLOOKUP($R7,武学奇术!$A:$ZZ,13,FALSE)+SUM(_xlfn.XLOOKUP(S7:AG7,增益!$A:$A,增益!$K:$K,0)))/200,($F$13-$I$4+VLOOKUP($R7,武学奇术!$A:$ZZ,13,FALSE)+SUM(_xlfn.XLOOKUP(S7:AG7,增益!$A:$A,增益!$M:$M,0)))/100)</f>
        <v>-0.3</v>
      </c>
      <c r="BE7" s="32" cm="1">
        <f t="array" ref="BE7">$G$13+VLOOKUP($R7,武学奇术!$A:$ZZ,14,FALSE)+SUM(_xlfn.XLOOKUP(S7:AG7,增益!$A:$A,增益!$N:$N,0))</f>
        <v>0</v>
      </c>
      <c r="BF7">
        <f t="shared" si="7"/>
        <v>571.2</v>
      </c>
      <c r="BG7">
        <f t="shared" si="8"/>
        <v>1627.8</v>
      </c>
      <c r="BH7" s="32" cm="1">
        <f t="array" ref="BH7">IF($F$14-$I$4+VLOOKUP($R7,武学奇术!$A:$ZZ,15,FALSE)+SUM(_xlfn.XLOOKUP(S7:AG7,增益!$A:$A,增益!$O:$O,0))&gt;0,($F$14-$I$4+VLOOKUP($R7,武学奇术!$A:$ZZ,15,FALSE)+SUM(_xlfn.XLOOKUP(S7:AG7,增益!$A:$A,增益!$O:$O,0)))/200,($F$14-$I$4+VLOOKUP($R7,武学奇术!$A:$ZZ,15,FALSE)+SUM(_xlfn.XLOOKUP(S7:AG7,增益!$A:$A,增益!$O:$O,0)))/100)</f>
        <v>0</v>
      </c>
      <c r="BI7" s="32" cm="1">
        <f t="array" ref="BI7">$G$14+VLOOKUP($R7,武学奇术!$A:$ZZ,16,FALSE)+SUM(_xlfn.XLOOKUP(S7:AG7,增益!$A:$A,增益!$P:$P,0))</f>
        <v>0.15</v>
      </c>
      <c r="BJ7" s="26">
        <f>MIN(IF(VLOOKUP($R7,武学奇术!$A:$ZZ,23,FALSE)=1,100%,$B$8),100%)</f>
        <v>0.981</v>
      </c>
      <c r="BK7" s="26" cm="1">
        <f t="array" ref="BK7">IF(VLOOKUP($R7,武学奇术!$A:$ZZ,23,FALSE)=1,100%,MIN(80%,$B$9+VLOOKUP($R7,武学奇术!$A:$ZZ,17,FALSE)+SUM(_xlfn.XLOOKUP(S7:AG7,增益!$A:$A,增益!$Q:$Q,0)))+$B$11+SUM(_xlfn.XLOOKUP(S7:AG7,增益!$A:$A,增益!$U:$U,0)))*IF(VLOOKUP($R7,武学奇术!$A:$ZZ,24,FALSE)=1,0,1)</f>
        <v>0.846</v>
      </c>
      <c r="BL7" s="26" cm="1">
        <f t="array" ref="BL7">1+$B$13+VLOOKUP($R7,武学奇术!$A:$ZZ,18,FALSE)+SUM(_xlfn.XLOOKUP(S7:AG7,增益!$A:$A,增益!$R:$R,0))</f>
        <v>1.55</v>
      </c>
      <c r="BM7" s="26" cm="1">
        <f t="array" ref="BM7">IF(VLOOKUP($R7,武学奇术!$A:$ZZ,24,FALSE)=1,100%,MIN(40%,$B$10+VLOOKUP($R7,武学奇术!$A:$ZZ,19,FALSE)+SUM(_xlfn.XLOOKUP(S7:AG7,增益!$A:$A,增益!$S:$S,0)))+$B$12+SUM(_xlfn.XLOOKUP(S7:AG7,增益!$A:$A,增益!$V:$V,0)))*IF(VLOOKUP($R7,武学奇术!$A:$ZZ,23,FALSE)=1,0,1)</f>
        <v>0.0929</v>
      </c>
      <c r="BN7" s="26" cm="1">
        <f t="array" ref="BN7">1+$B$14+VLOOKUP($R7,武学奇术!$A:$ZZ,20,FALSE)+SUM(_xlfn.XLOOKUP(S7:AG7,增益!$A:$A,增益!$T:$T,0))</f>
        <v>1.35</v>
      </c>
      <c r="BO7" s="26">
        <f t="shared" si="9"/>
        <v>0.829926</v>
      </c>
      <c r="BP7" s="26">
        <f t="shared" si="10"/>
        <v>0.0599391</v>
      </c>
      <c r="BQ7" s="26">
        <f>IF(VLOOKUP($R7,武学奇术!$A:$ZZ,22,FALSE)=1,0,(1-$BJ7))*(1-$BM7)</f>
        <v>0.0172349</v>
      </c>
      <c r="BR7" s="26" cm="1">
        <f t="array" ref="BR7">SUM(_xlfn.XLOOKUP(S7:AG7,增益!$A:$A,增益!$W:$W,0))+$I$5</f>
        <v>0.11</v>
      </c>
    </row>
    <row r="8" spans="1:70">
      <c r="A8" s="64" t="s">
        <v>103</v>
      </c>
      <c r="B8" s="65">
        <f>期望!B8</f>
        <v>0.981</v>
      </c>
      <c r="C8" s="66" t="s">
        <v>104</v>
      </c>
      <c r="D8" s="66"/>
      <c r="E8" s="66"/>
      <c r="F8" s="66"/>
      <c r="G8" s="37"/>
      <c r="H8" s="67" t="s">
        <v>105</v>
      </c>
      <c r="I8" s="18">
        <f>期望!I8</f>
        <v>101</v>
      </c>
      <c r="J8" s="68"/>
      <c r="K8">
        <f>$L8*VLOOKUP($R8,武学奇术!$A:$ZZ,31,FALSE)</f>
        <v>12855.5566285966</v>
      </c>
      <c r="L8" s="38">
        <f t="shared" si="0"/>
        <v>12243.3872653301</v>
      </c>
      <c r="M8" s="38">
        <f>((($AO8+$AP8)/2*$AI8+$AJ8)*(1+$AQ8)*(1+$AR8)+(($AT8+$AU8)/2*IF($G$1="鸣金",$AK8,$AI8)+IF($G$1="鸣金",$AL8*1.5,0))*(1+$AV8)*(1+$AW8)+(($AX8+$AY8)/2*IF($G$1="裂石",$AK8,$AI8)+IF($G$1="裂石",$AL8*1.5,0))*(1+$AZ8)*(1+$BA8)+(($BB8+$BC8)/2*IF($G$1="牵丝",$AK8,$AI8)+IF($G$1="牵丝",$AL8*1.5,0))*(1+$BD8)*(1+$BE8)+(($BF8+$BG8)/2*IF($G$1="破竹",$AK8,$AI8)+IF($G$1="破竹",$AL8*1.5,0))*(1+$BH8)*(1+$BI8))*(1+$AM8)*$BL8*$Q8*(1+IF(VLOOKUP($R8,武学奇术!$A:$ZZ,30,FALSE)="回旋伞",$B$21,0))*(1+$BR8)</f>
        <v>12629.1881804731</v>
      </c>
      <c r="N8" s="38">
        <f>(($AP8*$AI8+$AJ8)*(1+$AQ8)*(1+$AR8)+($AU8*IF($G$1="鸣金",$AK8,$AI8)+IF($G$1="鸣金",$AL8*1.5,0))*(1+$AV8)*(1+$AW8)+($AY8*IF($G$1="裂石",$AK8,$AI8)+IF($G$1="裂石",$AL8*1.5,0))*(1+$AZ8)*(1+$BA8)+($BC8*IF($G$1="牵丝",$AK8,$AI8)+IF($G$1="牵丝",$AL8*1.5,0))*(1+$BD8)*(1+$BE8)+($BG8*IF($G$1="破竹",$AK8,$AI8)+IF($G$1="破竹",$AL8*1.5,0))*(1+$BH8)*(1+$BI8))*(1+$AM8)*$BN8*$Q8*(1+IF(VLOOKUP($R8,武学奇术!$A:$ZZ,30,FALSE)="回旋伞",$B$21,0))*(1+$BR8)</f>
        <v>12390.1485297343</v>
      </c>
      <c r="O8" s="38">
        <f>((($AO8+$AP8)/2*$AI8+$AJ8)*(1+$AQ8)*(1+$AR8)+(($AT8+$AU8)/2*IF($G$1="鸣金",$AK8,$AI8)+IF($G$1="鸣金",$AL8*1.5,0))*(1+$AV8)*(1+$AW8)+(($AX8+$AY8)/2*IF($G$1="裂石",$AK8,$AI8)+IF($G$1="裂石",$AL8*1.5,0))*(1+$AZ8)*(1+$BA8)+(($BB8+$BC8)/2*IF($G$1="牵丝",$AK8,$AI8)+IF($G$1="牵丝",$AL8*1.5,0))*(1+$BD8)*(1+$BE8)+(($BF8+$BG8)/2*IF($G$1="破竹",$AK8,$AI8)+IF($G$1="破竹",$AL8*1.5,0))*(1+$BH8)*(1+$BI8))*(1+$AM8)*$Q8*(1+IF(VLOOKUP($R8,武学奇术!$A:$ZZ,30,FALSE)="回旋伞",$B$21,0))*(1+$BR8)</f>
        <v>8147.86334224074</v>
      </c>
      <c r="P8" s="38">
        <f>((($AO8*$AI8+$AJ8)*(1+$AQ8)*(1+$AR8)+($AT8*IF($G$1="鸣金",$AK8,$AI8)+IF($G$1="鸣金",$AL8*1.5,0))*(1+$AV8)*(1+$AW8)+($AX8*IF($G$1="裂石",$AK8,$AI8)+IF($G$1="裂石",$AL8*1.5,0))*(1+$AZ8)*(1+$BA8)+($BB8*IF($G$1="牵丝",$AK8,$AI8)+IF($G$1="牵丝",$AL8*1.5,0))*(1+$BD8)*(1+$BE8)+($BF8*IF($G$1="破竹",$AK8,$AI8)+IF($G$1="破竹",$AL8*1.5,0))*(1+$BH8)*(1+$BI8))*(1+$AM8))*$Q8*(1+IF(VLOOKUP($R8,武学奇术!$A:$ZZ,30,FALSE)="回旋伞",$B$21,0))*(1+$BR8)</f>
        <v>7117.83888467832</v>
      </c>
      <c r="Q8" s="39">
        <v>1</v>
      </c>
      <c r="R8" s="40" t="s">
        <v>106</v>
      </c>
      <c r="S8" s="40" t="s">
        <v>72</v>
      </c>
      <c r="T8" s="40" t="s">
        <v>72</v>
      </c>
      <c r="U8" s="40" t="s">
        <v>72</v>
      </c>
      <c r="V8" s="40" t="s">
        <v>72</v>
      </c>
      <c r="W8" s="40" t="s">
        <v>75</v>
      </c>
      <c r="X8" s="40" t="s">
        <v>76</v>
      </c>
      <c r="Y8" s="40" t="s">
        <v>72</v>
      </c>
      <c r="Z8" s="40" t="s">
        <v>72</v>
      </c>
      <c r="AA8" s="40" t="s">
        <v>72</v>
      </c>
      <c r="AB8" s="40" t="s">
        <v>72</v>
      </c>
      <c r="AC8" s="40" t="s">
        <v>72</v>
      </c>
      <c r="AD8" s="40" t="s">
        <v>72</v>
      </c>
      <c r="AE8" s="40" t="s">
        <v>72</v>
      </c>
      <c r="AF8" s="40" t="s">
        <v>72</v>
      </c>
      <c r="AG8" s="40" t="s">
        <v>78</v>
      </c>
      <c r="AH8" t="str">
        <f>VLOOKUP($R8,武学奇术!$A:$ZZ,25,FALSE)</f>
        <v>绳镖</v>
      </c>
      <c r="AI8" s="26">
        <f>VLOOKUP($R8,武学奇术!$A:$ZZ,26,FALSE)</f>
        <v>0.7839</v>
      </c>
      <c r="AJ8" s="27">
        <f>VLOOKUP($R8,武学奇术!$A:$ZZ,27,FALSE)*(1+IF(OR($AH8=$F$4,$AH8=$F$5),$B$22,0))</f>
        <v>327</v>
      </c>
      <c r="AK8" s="26">
        <f>VLOOKUP($R8,武学奇术!$A:$ZZ,28,FALSE)</f>
        <v>1.1759</v>
      </c>
      <c r="AL8" s="27">
        <f>VLOOKUP($R8,武学奇术!$A:$ZZ,29,FALSE)*(1+IF(OR($AH8=$F$4,$AH8=$F$5),$B$22,0))</f>
        <v>178.5</v>
      </c>
      <c r="AM8" s="26" cm="1">
        <f t="array" ref="AM8">$G$3+IFERROR(VLOOKUP($AH8,$F$4:$G$7,2,FALSE),0)+VLOOKUP($R8,武学奇术!$A:$ZZ,2,FALSE)+SUM(_xlfn.XLOOKUP($S8:$AG8,增益!$A:$A,增益!$B:$B,0))</f>
        <v>0.2989</v>
      </c>
      <c r="AN8" s="26" cm="1">
        <f t="array" ref="AN8">VLOOKUP($R8,武学奇术!$A:$ZZ,5,FALSE)+SUM(_xlfn.XLOOKUP($S8:$AG8,增益!$A:$A,增益!$E:$E,0))</f>
        <v>0</v>
      </c>
      <c r="AO8" cm="1">
        <f t="array" ref="AO8">$D$10*(1+$AN8)+VLOOKUP($R8,武学奇术!$A:$ZZ,3,FALSE)+SUM(_xlfn.XLOOKUP($S8:$AG8,增益!$A:$A,增益!$C:$C,0))-$I$2</f>
        <v>3562.6</v>
      </c>
      <c r="AP8" cm="1">
        <f t="array" ref="AP8">$E$10*(1+$AN8)+VLOOKUP($R8,武学奇术!$A:$ZZ,4,FALSE)+SUM(_xlfn.XLOOKUP($S8:$AG8,增益!$A:$A,增益!$D:$D,0))-$I$2</f>
        <v>3562.6</v>
      </c>
      <c r="AQ8" s="32" cm="1">
        <f t="array" ref="AQ8">IF($F$10-$I$3+VLOOKUP($R8,武学奇术!$A:$ZZ,6,FALSE)+SUM(_xlfn.XLOOKUP(S8:AG8,增益!$A:$A,增益!$F:$F,0))&gt;0,($F$10-$I$3+VLOOKUP($R8,武学奇术!$A:$ZZ,6,FALSE)+SUM(_xlfn.XLOOKUP(S8:AG8,增益!$A:$A,增益!$F:$F,0)))/200,($F$10-$I$3+VLOOKUP($R8,武学奇术!$A:$ZZ,6,FALSE)+SUM(_xlfn.XLOOKUP(S8:AG8,增益!$A:$A,增益!$F:$F,0)))/100)</f>
        <v>0.2025</v>
      </c>
      <c r="AR8" s="32" cm="1">
        <f t="array" ref="AR8">$G$10+VLOOKUP($R8,武学奇术!$A:$ZZ,7,FALSE)+SUM(_xlfn.XLOOKUP(S8:AG8,增益!$A:$A,增益!$G:$G,0))</f>
        <v>0.028</v>
      </c>
      <c r="AS8" s="26" cm="1">
        <f t="array" ref="AS8">VLOOKUP($R8,武学奇术!$A:$ZZ,8,FALSE)+SUM(_xlfn.XLOOKUP(S8:AG8,增益!$A:$A,增益!$H:$H,0))</f>
        <v>0</v>
      </c>
      <c r="AT8">
        <f t="shared" si="1"/>
        <v>0</v>
      </c>
      <c r="AU8">
        <f t="shared" si="2"/>
        <v>0</v>
      </c>
      <c r="AV8" s="32" cm="1">
        <f t="array" ref="AV8">IF($F$11-$I$4+VLOOKUP($R8,武学奇术!$A:$ZZ,9,FALSE)+SUM(_xlfn.XLOOKUP(S8:AG8,增益!$A:$A,增益!$I:$I,0))&gt;0,($F$11-$I$4+VLOOKUP($R8,武学奇术!$A:$ZZ,9,FALSE)+SUM(_xlfn.XLOOKUP(S8:AG8,增益!$A:$A,增益!$I:$I,0)))/200,($F$11-$I$4+VLOOKUP($R8,武学奇术!$A:$ZZ,9,FALSE)+SUM(_xlfn.XLOOKUP(S8:AG8,增益!$A:$A,增益!$I:$I,0)))/100)</f>
        <v>-0.3</v>
      </c>
      <c r="AW8" s="32" cm="1">
        <f t="array" ref="AW8">$G$11+VLOOKUP($R8,武学奇术!$A:$ZZ,10,FALSE)+SUM(_xlfn.XLOOKUP(S8:AG8,增益!$A:$A,增益!$J:$J,0))</f>
        <v>0</v>
      </c>
      <c r="AX8">
        <f t="shared" si="3"/>
        <v>0</v>
      </c>
      <c r="AY8">
        <f t="shared" si="4"/>
        <v>0</v>
      </c>
      <c r="AZ8" s="32" cm="1">
        <f t="array" ref="AZ8">IF($F$12-$I$4+VLOOKUP($R8,武学奇术!$A:$ZZ,11,FALSE)+SUM(_xlfn.XLOOKUP(S8:AG8,增益!$A:$A,增益!$K:$K,0))&gt;0,($F$12-$I$4+VLOOKUP($R8,武学奇术!$A:$ZZ,11,FALSE)+SUM(_xlfn.XLOOKUP(S8:AG8,增益!$A:$A,增益!$K:$K,0)))/200,($F$12-$I$4+VLOOKUP($R8,武学奇术!$A:$ZZ,11,FALSE)+SUM(_xlfn.XLOOKUP(S8:AG8,增益!$A:$A,增益!$K:$K,0)))/100)</f>
        <v>-0.3</v>
      </c>
      <c r="BA8" s="32" cm="1">
        <f t="array" ref="BA8">$G$12+VLOOKUP($R8,武学奇术!$A:$ZZ,12,FALSE)+SUM(_xlfn.XLOOKUP(S8:AG8,增益!$A:$A,增益!$L:$L,0))</f>
        <v>0</v>
      </c>
      <c r="BB8">
        <f t="shared" si="5"/>
        <v>0</v>
      </c>
      <c r="BC8">
        <f t="shared" si="6"/>
        <v>0</v>
      </c>
      <c r="BD8" s="32" cm="1">
        <f t="array" ref="BD8">IF($F$13-$I$4+VLOOKUP($R8,武学奇术!$A:$ZZ,13,FALSE)+SUM(_xlfn.XLOOKUP(S8:AG8,增益!$A:$A,增益!$M:$M,0))&gt;0,($F$13-$I$4+VLOOKUP($R8,武学奇术!$A:$ZZ,13,FALSE)+SUM(_xlfn.XLOOKUP(S8:AG8,增益!$A:$A,增益!$K:$K,0)))/200,($F$13-$I$4+VLOOKUP($R8,武学奇术!$A:$ZZ,13,FALSE)+SUM(_xlfn.XLOOKUP(S8:AG8,增益!$A:$A,增益!$M:$M,0)))/100)</f>
        <v>-0.3</v>
      </c>
      <c r="BE8" s="32" cm="1">
        <f t="array" ref="BE8">$G$13+VLOOKUP($R8,武学奇术!$A:$ZZ,14,FALSE)+SUM(_xlfn.XLOOKUP(S8:AG8,增益!$A:$A,增益!$N:$N,0))</f>
        <v>0</v>
      </c>
      <c r="BF8">
        <f t="shared" si="7"/>
        <v>571.2</v>
      </c>
      <c r="BG8">
        <f t="shared" si="8"/>
        <v>1627.8</v>
      </c>
      <c r="BH8" s="32" cm="1">
        <f t="array" ref="BH8">IF($F$14-$I$4+VLOOKUP($R8,武学奇术!$A:$ZZ,15,FALSE)+SUM(_xlfn.XLOOKUP(S8:AG8,增益!$A:$A,增益!$O:$O,0))&gt;0,($F$14-$I$4+VLOOKUP($R8,武学奇术!$A:$ZZ,15,FALSE)+SUM(_xlfn.XLOOKUP(S8:AG8,增益!$A:$A,增益!$O:$O,0)))/200,($F$14-$I$4+VLOOKUP($R8,武学奇术!$A:$ZZ,15,FALSE)+SUM(_xlfn.XLOOKUP(S8:AG8,增益!$A:$A,增益!$O:$O,0)))/100)</f>
        <v>0</v>
      </c>
      <c r="BI8" s="32" cm="1">
        <f t="array" ref="BI8">$G$14+VLOOKUP($R8,武学奇术!$A:$ZZ,16,FALSE)+SUM(_xlfn.XLOOKUP(S8:AG8,增益!$A:$A,增益!$P:$P,0))</f>
        <v>0.15</v>
      </c>
      <c r="BJ8" s="26">
        <f>MIN(IF(VLOOKUP($R8,武学奇术!$A:$ZZ,23,FALSE)=1,100%,$B$8),100%)</f>
        <v>0.981</v>
      </c>
      <c r="BK8" s="26" cm="1">
        <f t="array" ref="BK8">IF(VLOOKUP($R8,武学奇术!$A:$ZZ,23,FALSE)=1,100%,MIN(80%,$B$9+VLOOKUP($R8,武学奇术!$A:$ZZ,17,FALSE)+SUM(_xlfn.XLOOKUP(S8:AG8,增益!$A:$A,增益!$Q:$Q,0)))+$B$11+SUM(_xlfn.XLOOKUP(S8:AG8,增益!$A:$A,增益!$U:$U,0)))*IF(VLOOKUP($R8,武学奇术!$A:$ZZ,24,FALSE)=1,0,1)</f>
        <v>0.846</v>
      </c>
      <c r="BL8" s="26" cm="1">
        <f t="array" ref="BL8">1+$B$13+VLOOKUP($R8,武学奇术!$A:$ZZ,18,FALSE)+SUM(_xlfn.XLOOKUP(S8:AG8,增益!$A:$A,增益!$R:$R,0))</f>
        <v>1.55</v>
      </c>
      <c r="BM8" s="26" cm="1">
        <f t="array" ref="BM8">IF(VLOOKUP($R8,武学奇术!$A:$ZZ,24,FALSE)=1,100%,MIN(40%,$B$10+VLOOKUP($R8,武学奇术!$A:$ZZ,19,FALSE)+SUM(_xlfn.XLOOKUP(S8:AG8,增益!$A:$A,增益!$S:$S,0)))+$B$12+SUM(_xlfn.XLOOKUP(S8:AG8,增益!$A:$A,增益!$V:$V,0)))*IF(VLOOKUP($R8,武学奇术!$A:$ZZ,23,FALSE)=1,0,1)</f>
        <v>0.0929</v>
      </c>
      <c r="BN8" s="26" cm="1">
        <f t="array" ref="BN8">1+$B$14+VLOOKUP($R8,武学奇术!$A:$ZZ,20,FALSE)+SUM(_xlfn.XLOOKUP(S8:AG8,增益!$A:$A,增益!$T:$T,0))</f>
        <v>1.35</v>
      </c>
      <c r="BO8" s="26">
        <f t="shared" si="9"/>
        <v>0.829926</v>
      </c>
      <c r="BP8" s="26">
        <f t="shared" si="10"/>
        <v>0.0599391</v>
      </c>
      <c r="BQ8" s="26">
        <f>IF(VLOOKUP($R8,武学奇术!$A:$ZZ,22,FALSE)=1,0,(1-$BJ8))*(1-$BM8)</f>
        <v>0.0172349</v>
      </c>
      <c r="BR8" s="26" cm="1">
        <f t="array" ref="BR8">SUM(_xlfn.XLOOKUP(S8:AG8,增益!$A:$A,增益!$W:$W,0))+$I$5</f>
        <v>0.11</v>
      </c>
    </row>
    <row r="9" ht="14.25" spans="1:70">
      <c r="A9" s="41" t="s">
        <v>107</v>
      </c>
      <c r="B9" s="69">
        <f>期望!B9</f>
        <v>0.8049</v>
      </c>
      <c r="C9" s="21"/>
      <c r="D9" t="s">
        <v>0</v>
      </c>
      <c r="E9" t="s">
        <v>1</v>
      </c>
      <c r="F9" s="39" t="s">
        <v>2</v>
      </c>
      <c r="G9" s="44" t="s">
        <v>3</v>
      </c>
      <c r="H9" s="70"/>
      <c r="I9" s="22"/>
      <c r="J9" s="71"/>
      <c r="K9">
        <f>$L9*VLOOKUP($R9,武学奇术!$A:$ZZ,31,FALSE)</f>
        <v>67530.6300102708</v>
      </c>
      <c r="L9" s="38">
        <f t="shared" si="0"/>
        <v>64314.8857240674</v>
      </c>
      <c r="M9" s="38">
        <f>((($AO9+$AP9)/2*$AI9+$AJ9)*(1+$AQ9)*(1+$AR9)+(($AT9+$AU9)/2*IF($G$1="鸣金",$AK9,$AI9)+IF($G$1="鸣金",$AL9*1.5,0))*(1+$AV9)*(1+$AW9)+(($AX9+$AY9)/2*IF($G$1="裂石",$AK9,$AI9)+IF($G$1="裂石",$AL9*1.5,0))*(1+$AZ9)*(1+$BA9)+(($BB9+$BC9)/2*IF($G$1="牵丝",$AK9,$AI9)+IF($G$1="牵丝",$AL9*1.5,0))*(1+$BD9)*(1+$BE9)+(($BF9+$BG9)/2*IF($G$1="破竹",$AK9,$AI9)+IF($G$1="破竹",$AL9*1.5,0))*(1+$BH9)*(1+$BI9))*(1+$AM9)*$BL9*$Q9*(1+IF(VLOOKUP($R9,武学奇术!$A:$ZZ,30,FALSE)="回旋伞",$B$21,0))*(1+$BR9)</f>
        <v>67795.5055879756</v>
      </c>
      <c r="N9" s="38">
        <f>(($AP9*$AI9+$AJ9)*(1+$AQ9)*(1+$AR9)+($AU9*IF($G$1="鸣金",$AK9,$AI9)+IF($G$1="鸣金",$AL9*1.5,0))*(1+$AV9)*(1+$AW9)+($AY9*IF($G$1="裂石",$AK9,$AI9)+IF($G$1="裂石",$AL9*1.5,0))*(1+$AZ9)*(1+$BA9)+($BC9*IF($G$1="牵丝",$AK9,$AI9)+IF($G$1="牵丝",$AL9*1.5,0))*(1+$BD9)*(1+$BE9)+($BG9*IF($G$1="破竹",$AK9,$AI9)+IF($G$1="破竹",$AL9*1.5,0))*(1+$BH9)*(1+$BI9))*(1+$AM9)*$BN9*$Q9*(1+IF(VLOOKUP($R9,武学奇术!$A:$ZZ,30,FALSE)="回旋伞",$B$21,0))*(1+$BR9)</f>
        <v>56566.6099662944</v>
      </c>
      <c r="O9" s="38">
        <f>((($AO9+$AP9)/2*$AI9+$AJ9)*(1+$AQ9)*(1+$AR9)+(($AT9+$AU9)/2*IF($G$1="鸣金",$AK9,$AI9)+IF($G$1="鸣金",$AL9*1.5,0))*(1+$AV9)*(1+$AW9)+(($AX9+$AY9)/2*IF($G$1="裂石",$AK9,$AI9)+IF($G$1="裂石",$AL9*1.5,0))*(1+$AZ9)*(1+$BA9)+(($BB9+$BC9)/2*IF($G$1="牵丝",$AK9,$AI9)+IF($G$1="牵丝",$AL9*1.5,0))*(1+$BD9)*(1+$BE9)+(($BF9+$BG9)/2*IF($G$1="破竹",$AK9,$AI9)+IF($G$1="破竹",$AL9*1.5,0))*(1+$BH9)*(1+$BI9))*(1+$AM9)*$Q9*(1+IF(VLOOKUP($R9,武学奇术!$A:$ZZ,30,FALSE)="回旋伞",$B$21,0))*(1+$BR9)</f>
        <v>37250.277795591</v>
      </c>
      <c r="P9" s="38">
        <f>((($AO9*$AI9+$AJ9)*(1+$AQ9)*(1+$AR9)+($AT9*IF($G$1="鸣金",$AK9,$AI9)+IF($G$1="鸣金",$AL9*1.5,0))*(1+$AV9)*(1+$AW9)+($AX9*IF($G$1="裂石",$AK9,$AI9)+IF($G$1="裂石",$AL9*1.5,0))*(1+$AZ9)*(1+$BA9)+($BB9*IF($G$1="牵丝",$AK9,$AI9)+IF($G$1="牵丝",$AL9*1.5,0))*(1+$BD9)*(1+$BE9)+($BF9*IF($G$1="破竹",$AK9,$AI9)+IF($G$1="破竹",$AL9*1.5,0))*(1+$BH9)*(1+$BI9))*(1+$AM9))*$Q9*(1+IF(VLOOKUP($R9,武学奇术!$A:$ZZ,30,FALSE)="回旋伞",$B$21,0))*(1+$BR9)</f>
        <v>32599.3630235565</v>
      </c>
      <c r="Q9" s="39">
        <v>1</v>
      </c>
      <c r="R9" s="40" t="s">
        <v>108</v>
      </c>
      <c r="S9" s="40" t="s">
        <v>109</v>
      </c>
      <c r="T9" s="40" t="s">
        <v>72</v>
      </c>
      <c r="U9" s="40" t="s">
        <v>73</v>
      </c>
      <c r="V9" s="40" t="s">
        <v>81</v>
      </c>
      <c r="W9" s="40" t="s">
        <v>75</v>
      </c>
      <c r="X9" s="40" t="s">
        <v>83</v>
      </c>
      <c r="Y9" s="40" t="s">
        <v>72</v>
      </c>
      <c r="Z9" s="40" t="s">
        <v>72</v>
      </c>
      <c r="AA9" s="40" t="s">
        <v>72</v>
      </c>
      <c r="AB9" s="40" t="s">
        <v>72</v>
      </c>
      <c r="AC9" s="40" t="s">
        <v>72</v>
      </c>
      <c r="AD9" s="40" t="s">
        <v>72</v>
      </c>
      <c r="AE9" s="40" t="s">
        <v>72</v>
      </c>
      <c r="AF9" s="40" t="s">
        <v>72</v>
      </c>
      <c r="AG9" s="40" t="s">
        <v>78</v>
      </c>
      <c r="AH9" t="str">
        <f>VLOOKUP($R9,武学奇术!$A:$ZZ,25,FALSE)</f>
        <v>伞</v>
      </c>
      <c r="AI9" s="26">
        <f>VLOOKUP($R9,武学奇术!$A:$ZZ,26,FALSE)</f>
        <v>1.8084</v>
      </c>
      <c r="AJ9" s="27">
        <f>VLOOKUP($R9,武学奇术!$A:$ZZ,27,FALSE)*(1+IF(OR($AH9=$F$4,$AH9=$F$5),$B$22,0))</f>
        <v>750</v>
      </c>
      <c r="AK9" s="26">
        <f>VLOOKUP($R9,武学奇术!$A:$ZZ,28,FALSE)</f>
        <v>2.7126</v>
      </c>
      <c r="AL9" s="27">
        <f>VLOOKUP($R9,武学奇术!$A:$ZZ,29,FALSE)*(1+IF(OR($AH9=$F$4,$AH9=$F$5),$B$22,0))</f>
        <v>408</v>
      </c>
      <c r="AM9" s="26" cm="1">
        <f t="array" ref="AM9">$G$3+IFERROR(VLOOKUP($AH9,$F$4:$G$7,2,FALSE),0)+VLOOKUP($R9,武学奇术!$A:$ZZ,2,FALSE)+SUM(_xlfn.XLOOKUP($S9:$AG9,增益!$A:$A,增益!$B:$B,0))</f>
        <v>0.7441</v>
      </c>
      <c r="AN9" s="26" cm="1">
        <f t="array" ref="AN9">VLOOKUP($R9,武学奇术!$A:$ZZ,5,FALSE)+SUM(_xlfn.XLOOKUP($S9:$AG9,增益!$A:$A,增益!$E:$E,0))</f>
        <v>0</v>
      </c>
      <c r="AO9" cm="1">
        <f t="array" ref="AO9">$D$10*(1+$AN9)+VLOOKUP($R9,武学奇术!$A:$ZZ,3,FALSE)+SUM(_xlfn.XLOOKUP($S9:$AG9,增益!$A:$A,增益!$C:$C,0))-$I$2</f>
        <v>3562.6</v>
      </c>
      <c r="AP9" cm="1">
        <f t="array" ref="AP9">$E$10*(1+$AN9)+VLOOKUP($R9,武学奇术!$A:$ZZ,4,FALSE)+SUM(_xlfn.XLOOKUP($S9:$AG9,增益!$A:$A,增益!$D:$D,0))-$I$2</f>
        <v>3562.6</v>
      </c>
      <c r="AQ9" s="32" cm="1">
        <f t="array" ref="AQ9">IF($F$10-$I$3+VLOOKUP($R9,武学奇术!$A:$ZZ,6,FALSE)+SUM(_xlfn.XLOOKUP(S9:AG9,增益!$A:$A,增益!$F:$F,0))&gt;0,($F$10-$I$3+VLOOKUP($R9,武学奇术!$A:$ZZ,6,FALSE)+SUM(_xlfn.XLOOKUP(S9:AG9,增益!$A:$A,增益!$F:$F,0)))/200,($F$10-$I$3+VLOOKUP($R9,武学奇术!$A:$ZZ,6,FALSE)+SUM(_xlfn.XLOOKUP(S9:AG9,增益!$A:$A,增益!$F:$F,0)))/100)</f>
        <v>0.2125</v>
      </c>
      <c r="AR9" s="32" cm="1">
        <f t="array" ref="AR9">$G$10+VLOOKUP($R9,武学奇术!$A:$ZZ,7,FALSE)+SUM(_xlfn.XLOOKUP(S9:AG9,增益!$A:$A,增益!$G:$G,0))</f>
        <v>0.148</v>
      </c>
      <c r="AS9" s="26" cm="1">
        <f t="array" ref="AS9">VLOOKUP($R9,武学奇术!$A:$ZZ,8,FALSE)+SUM(_xlfn.XLOOKUP(S9:AG9,增益!$A:$A,增益!$H:$H,0))</f>
        <v>0</v>
      </c>
      <c r="AT9">
        <f t="shared" si="1"/>
        <v>0</v>
      </c>
      <c r="AU9">
        <f t="shared" si="2"/>
        <v>0</v>
      </c>
      <c r="AV9" s="32" cm="1">
        <f t="array" ref="AV9">IF($F$11-$I$4+VLOOKUP($R9,武学奇术!$A:$ZZ,9,FALSE)+SUM(_xlfn.XLOOKUP(S9:AG9,增益!$A:$A,增益!$I:$I,0))&gt;0,($F$11-$I$4+VLOOKUP($R9,武学奇术!$A:$ZZ,9,FALSE)+SUM(_xlfn.XLOOKUP(S9:AG9,增益!$A:$A,增益!$I:$I,0)))/200,($F$11-$I$4+VLOOKUP($R9,武学奇术!$A:$ZZ,9,FALSE)+SUM(_xlfn.XLOOKUP(S9:AG9,增益!$A:$A,增益!$I:$I,0)))/100)</f>
        <v>-0.3</v>
      </c>
      <c r="AW9" s="32" cm="1">
        <f t="array" ref="AW9">$G$11+VLOOKUP($R9,武学奇术!$A:$ZZ,10,FALSE)+SUM(_xlfn.XLOOKUP(S9:AG9,增益!$A:$A,增益!$J:$J,0))</f>
        <v>0</v>
      </c>
      <c r="AX9">
        <f t="shared" si="3"/>
        <v>0</v>
      </c>
      <c r="AY9">
        <f t="shared" si="4"/>
        <v>0</v>
      </c>
      <c r="AZ9" s="32" cm="1">
        <f t="array" ref="AZ9">IF($F$12-$I$4+VLOOKUP($R9,武学奇术!$A:$ZZ,11,FALSE)+SUM(_xlfn.XLOOKUP(S9:AG9,增益!$A:$A,增益!$K:$K,0))&gt;0,($F$12-$I$4+VLOOKUP($R9,武学奇术!$A:$ZZ,11,FALSE)+SUM(_xlfn.XLOOKUP(S9:AG9,增益!$A:$A,增益!$K:$K,0)))/200,($F$12-$I$4+VLOOKUP($R9,武学奇术!$A:$ZZ,11,FALSE)+SUM(_xlfn.XLOOKUP(S9:AG9,增益!$A:$A,增益!$K:$K,0)))/100)</f>
        <v>-0.3</v>
      </c>
      <c r="BA9" s="32" cm="1">
        <f t="array" ref="BA9">$G$12+VLOOKUP($R9,武学奇术!$A:$ZZ,12,FALSE)+SUM(_xlfn.XLOOKUP(S9:AG9,增益!$A:$A,增益!$L:$L,0))</f>
        <v>0</v>
      </c>
      <c r="BB9">
        <f t="shared" si="5"/>
        <v>0</v>
      </c>
      <c r="BC9">
        <f t="shared" si="6"/>
        <v>0</v>
      </c>
      <c r="BD9" s="32" cm="1">
        <f t="array" ref="BD9">IF($F$13-$I$4+VLOOKUP($R9,武学奇术!$A:$ZZ,13,FALSE)+SUM(_xlfn.XLOOKUP(S9:AG9,增益!$A:$A,增益!$M:$M,0))&gt;0,($F$13-$I$4+VLOOKUP($R9,武学奇术!$A:$ZZ,13,FALSE)+SUM(_xlfn.XLOOKUP(S9:AG9,增益!$A:$A,增益!$K:$K,0)))/200,($F$13-$I$4+VLOOKUP($R9,武学奇术!$A:$ZZ,13,FALSE)+SUM(_xlfn.XLOOKUP(S9:AG9,增益!$A:$A,增益!$M:$M,0)))/100)</f>
        <v>-0.3</v>
      </c>
      <c r="BE9" s="32" cm="1">
        <f t="array" ref="BE9">$G$13+VLOOKUP($R9,武学奇术!$A:$ZZ,14,FALSE)+SUM(_xlfn.XLOOKUP(S9:AG9,增益!$A:$A,增益!$N:$N,0))</f>
        <v>0</v>
      </c>
      <c r="BF9">
        <f t="shared" si="7"/>
        <v>571.2</v>
      </c>
      <c r="BG9">
        <f t="shared" si="8"/>
        <v>1627.8</v>
      </c>
      <c r="BH9" s="32" cm="1">
        <f t="array" ref="BH9">IF($F$14-$I$4+VLOOKUP($R9,武学奇术!$A:$ZZ,15,FALSE)+SUM(_xlfn.XLOOKUP(S9:AG9,增益!$A:$A,增益!$O:$O,0))&gt;0,($F$14-$I$4+VLOOKUP($R9,武学奇术!$A:$ZZ,15,FALSE)+SUM(_xlfn.XLOOKUP(S9:AG9,增益!$A:$A,增益!$O:$O,0)))/200,($F$14-$I$4+VLOOKUP($R9,武学奇术!$A:$ZZ,15,FALSE)+SUM(_xlfn.XLOOKUP(S9:AG9,增益!$A:$A,增益!$O:$O,0)))/100)</f>
        <v>0</v>
      </c>
      <c r="BI9" s="32" cm="1">
        <f t="array" ref="BI9">$G$14+VLOOKUP($R9,武学奇术!$A:$ZZ,16,FALSE)+SUM(_xlfn.XLOOKUP(S9:AG9,增益!$A:$A,增益!$P:$P,0))</f>
        <v>0.27</v>
      </c>
      <c r="BJ9" s="26">
        <f>MIN(IF(VLOOKUP($R9,武学奇术!$A:$ZZ,23,FALSE)=1,100%,$B$8),100%)</f>
        <v>0.981</v>
      </c>
      <c r="BK9" s="26" cm="1">
        <f t="array" ref="BK9">IF(VLOOKUP($R9,武学奇术!$A:$ZZ,23,FALSE)=1,100%,MIN(80%,$B$9+VLOOKUP($R9,武学奇术!$A:$ZZ,17,FALSE)+SUM(_xlfn.XLOOKUP(S9:AG9,增益!$A:$A,增益!$Q:$Q,0)))+$B$11+SUM(_xlfn.XLOOKUP(S9:AG9,增益!$A:$A,增益!$U:$U,0)))*IF(VLOOKUP($R9,武学奇术!$A:$ZZ,24,FALSE)=1,0,1)</f>
        <v>0.846</v>
      </c>
      <c r="BL9" s="26" cm="1">
        <f t="array" ref="BL9">1+$B$13+VLOOKUP($R9,武学奇术!$A:$ZZ,18,FALSE)+SUM(_xlfn.XLOOKUP(S9:AG9,增益!$A:$A,增益!$R:$R,0))</f>
        <v>1.82</v>
      </c>
      <c r="BM9" s="26" cm="1">
        <f t="array" ref="BM9">IF(VLOOKUP($R9,武学奇术!$A:$ZZ,24,FALSE)=1,100%,MIN(40%,$B$10+VLOOKUP($R9,武学奇术!$A:$ZZ,19,FALSE)+SUM(_xlfn.XLOOKUP(S9:AG9,增益!$A:$A,增益!$S:$S,0)))+$B$12+SUM(_xlfn.XLOOKUP(S9:AG9,增益!$A:$A,增益!$V:$V,0)))*IF(VLOOKUP($R9,武学奇术!$A:$ZZ,23,FALSE)=1,0,1)</f>
        <v>0.0929</v>
      </c>
      <c r="BN9" s="26" cm="1">
        <f t="array" ref="BN9">1+$B$14+VLOOKUP($R9,武学奇术!$A:$ZZ,20,FALSE)+SUM(_xlfn.XLOOKUP(S9:AG9,增益!$A:$A,增益!$T:$T,0))</f>
        <v>1.35</v>
      </c>
      <c r="BO9" s="26">
        <f t="shared" si="9"/>
        <v>0.829926</v>
      </c>
      <c r="BP9" s="26">
        <f t="shared" si="10"/>
        <v>0.0599391</v>
      </c>
      <c r="BQ9" s="26">
        <f>IF(VLOOKUP($R9,武学奇术!$A:$ZZ,22,FALSE)=1,0,(1-$BJ9))*(1-$BM9)</f>
        <v>0.0172349</v>
      </c>
      <c r="BR9" s="26" cm="1">
        <f t="array" ref="BR9">SUM(_xlfn.XLOOKUP(S9:AG9,增益!$A:$A,增益!$W:$W,0))+$I$5</f>
        <v>0.11</v>
      </c>
    </row>
    <row r="10" spans="1:70">
      <c r="A10" s="41" t="s">
        <v>110</v>
      </c>
      <c r="B10" s="69">
        <f>期望!B10</f>
        <v>0.0929</v>
      </c>
      <c r="C10" s="21" t="s">
        <v>67</v>
      </c>
      <c r="D10">
        <f>期望!D10</f>
        <v>4182.6</v>
      </c>
      <c r="E10">
        <f>期望!E10</f>
        <v>4182.6</v>
      </c>
      <c r="F10">
        <f>期望!F10</f>
        <v>63.5</v>
      </c>
      <c r="G10" s="49">
        <f>期望!G10</f>
        <v>0.028</v>
      </c>
      <c r="H10" s="67" t="s">
        <v>111</v>
      </c>
      <c r="I10" s="72">
        <f>SUM(L:L)</f>
        <v>11848100.0841233</v>
      </c>
      <c r="J10" s="73"/>
      <c r="K10">
        <f>$L10*VLOOKUP($R10,武学奇术!$A:$ZZ,31,FALSE)</f>
        <v>39382.2534740936</v>
      </c>
      <c r="L10" s="38">
        <f t="shared" si="0"/>
        <v>37506.9080705653</v>
      </c>
      <c r="M10" s="38">
        <f>((($AO10+$AP10)/2*$AI10+$AJ10)*(1+$AQ10)*(1+$AR10)+(($AT10+$AU10)/2*IF($G$1="鸣金",$AK10,$AI10)+IF($G$1="鸣金",$AL10*1.5,0))*(1+$AV10)*(1+$AW10)+(($AX10+$AY10)/2*IF($G$1="裂石",$AK10,$AI10)+IF($G$1="裂石",$AL10*1.5,0))*(1+$AZ10)*(1+$BA10)+(($BB10+$BC10)/2*IF($G$1="牵丝",$AK10,$AI10)+IF($G$1="牵丝",$AL10*1.5,0))*(1+$BD10)*(1+$BE10)+(($BF10+$BG10)/2*IF($G$1="破竹",$AK10,$AI10)+IF($G$1="破竹",$AL10*1.5,0))*(1+$BH10)*(1+$BI10))*(1+$AM10)*$BL10*$Q10*(1+IF(VLOOKUP($R10,武学奇术!$A:$ZZ,30,FALSE)="回旋伞",$B$21,0))*(1+$BR10)</f>
        <v>39492.6114188477</v>
      </c>
      <c r="N10" s="38">
        <f>(($AP10*$AI10+$AJ10)*(1+$AQ10)*(1+$AR10)+($AU10*IF($G$1="鸣金",$AK10,$AI10)+IF($G$1="鸣金",$AL10*1.5,0))*(1+$AV10)*(1+$AW10)+($AY10*IF($G$1="裂石",$AK10,$AI10)+IF($G$1="裂石",$AL10*1.5,0))*(1+$AZ10)*(1+$BA10)+($BC10*IF($G$1="牵丝",$AK10,$AI10)+IF($G$1="牵丝",$AL10*1.5,0))*(1+$BD10)*(1+$BE10)+($BG10*IF($G$1="破竹",$AK10,$AI10)+IF($G$1="破竹",$AL10*1.5,0))*(1+$BH10)*(1+$BI10))*(1+$AM10)*$BN10*$Q10*(1+IF(VLOOKUP($R10,武学奇术!$A:$ZZ,30,FALSE)="回旋伞",$B$21,0))*(1+$BR10)</f>
        <v>33473.7038252969</v>
      </c>
      <c r="O10" s="38">
        <f>((($AO10+$AP10)/2*$AI10+$AJ10)*(1+$AQ10)*(1+$AR10)+(($AT10+$AU10)/2*IF($G$1="鸣金",$AK10,$AI10)+IF($G$1="鸣金",$AL10*1.5,0))*(1+$AV10)*(1+$AW10)+(($AX10+$AY10)/2*IF($G$1="裂石",$AK10,$AI10)+IF($G$1="裂石",$AL10*1.5,0))*(1+$AZ10)*(1+$BA10)+(($BB10+$BC10)/2*IF($G$1="牵丝",$AK10,$AI10)+IF($G$1="牵丝",$AL10*1.5,0))*(1+$BD10)*(1+$BE10)+(($BF10+$BG10)/2*IF($G$1="破竹",$AK10,$AI10)+IF($G$1="破竹",$AL10*1.5,0))*(1+$BH10)*(1+$BI10))*(1+$AM10)*$Q10*(1+IF(VLOOKUP($R10,武学奇术!$A:$ZZ,30,FALSE)="回旋伞",$B$21,0))*(1+$BR10)</f>
        <v>21699.2370433229</v>
      </c>
      <c r="P10" s="38">
        <f>((($AO10*$AI10+$AJ10)*(1+$AQ10)*(1+$AR10)+($AT10*IF($G$1="鸣金",$AK10,$AI10)+IF($G$1="鸣金",$AL10*1.5,0))*(1+$AV10)*(1+$AW10)+($AX10*IF($G$1="裂石",$AK10,$AI10)+IF($G$1="裂石",$AL10*1.5,0))*(1+$AZ10)*(1+$BA10)+($BB10*IF($G$1="牵丝",$AK10,$AI10)+IF($G$1="牵丝",$AL10*1.5,0))*(1+$BD10)*(1+$BE10)+($BF10*IF($G$1="破竹",$AK10,$AI10)+IF($G$1="破竹",$AL10*1.5,0))*(1+$BH10)*(1+$BI10))*(1+$AM10))*$Q10*(1+IF(VLOOKUP($R10,武学奇术!$A:$ZZ,30,FALSE)="回旋伞",$B$21,0))*(1+$BR10)</f>
        <v>18603.1379197592</v>
      </c>
      <c r="Q10" s="39">
        <v>2</v>
      </c>
      <c r="R10" s="40" t="s">
        <v>112</v>
      </c>
      <c r="S10" s="40" t="s">
        <v>109</v>
      </c>
      <c r="T10" s="40" t="s">
        <v>72</v>
      </c>
      <c r="U10" s="40" t="s">
        <v>73</v>
      </c>
      <c r="V10" s="40" t="s">
        <v>81</v>
      </c>
      <c r="W10" s="40" t="s">
        <v>75</v>
      </c>
      <c r="X10" s="40" t="s">
        <v>83</v>
      </c>
      <c r="Y10" s="40" t="s">
        <v>72</v>
      </c>
      <c r="Z10" s="40" t="s">
        <v>72</v>
      </c>
      <c r="AA10" s="40" t="s">
        <v>72</v>
      </c>
      <c r="AB10" s="40" t="s">
        <v>72</v>
      </c>
      <c r="AC10" s="40" t="s">
        <v>72</v>
      </c>
      <c r="AD10" s="40" t="s">
        <v>72</v>
      </c>
      <c r="AE10" s="40" t="s">
        <v>72</v>
      </c>
      <c r="AF10" s="40" t="s">
        <v>72</v>
      </c>
      <c r="AG10" s="40" t="s">
        <v>78</v>
      </c>
      <c r="AH10" t="str">
        <f>VLOOKUP($R10,武学奇术!$A:$ZZ,25,FALSE)</f>
        <v>伞</v>
      </c>
      <c r="AI10" s="26">
        <f>VLOOKUP($R10,武学奇术!$A:$ZZ,26,FALSE)</f>
        <v>0.54</v>
      </c>
      <c r="AJ10" s="27">
        <f>VLOOKUP($R10,武学奇术!$A:$ZZ,27,FALSE)*(1+IF(OR($AH10=$F$4,$AH10=$F$5),$B$22,0))</f>
        <v>0</v>
      </c>
      <c r="AK10" s="26">
        <f>VLOOKUP($R10,武学奇术!$A:$ZZ,28,FALSE)</f>
        <v>0.81</v>
      </c>
      <c r="AL10" s="27">
        <f>VLOOKUP($R10,武学奇术!$A:$ZZ,29,FALSE)*(1+IF(OR($AH10=$F$4,$AH10=$F$5),$B$22,0))</f>
        <v>0</v>
      </c>
      <c r="AM10" s="26" cm="1">
        <f t="array" ref="AM10">$G$3+IFERROR(VLOOKUP($AH10,$F$4:$G$7,2,FALSE),0)+VLOOKUP($R10,武学奇术!$A:$ZZ,2,FALSE)+SUM(_xlfn.XLOOKUP($S10:$AG10,增益!$A:$A,增益!$B:$B,0))</f>
        <v>0.9441</v>
      </c>
      <c r="AN10" s="26" cm="1">
        <f t="array" ref="AN10">VLOOKUP($R10,武学奇术!$A:$ZZ,5,FALSE)+SUM(_xlfn.XLOOKUP($S10:$AG10,增益!$A:$A,增益!$E:$E,0))</f>
        <v>0</v>
      </c>
      <c r="AO10" cm="1">
        <f t="array" ref="AO10">$D$10*(1+$AN10)+VLOOKUP($R10,武学奇术!$A:$ZZ,3,FALSE)+SUM(_xlfn.XLOOKUP($S10:$AG10,增益!$A:$A,增益!$C:$C,0))-$I$2</f>
        <v>3562.6</v>
      </c>
      <c r="AP10" cm="1">
        <f t="array" ref="AP10">$E$10*(1+$AN10)+VLOOKUP($R10,武学奇术!$A:$ZZ,4,FALSE)+SUM(_xlfn.XLOOKUP($S10:$AG10,增益!$A:$A,增益!$D:$D,0))-$I$2</f>
        <v>3562.6</v>
      </c>
      <c r="AQ10" s="32" cm="1">
        <f t="array" ref="AQ10">IF($F$10-$I$3+VLOOKUP($R10,武学奇术!$A:$ZZ,6,FALSE)+SUM(_xlfn.XLOOKUP(S10:AG10,增益!$A:$A,增益!$F:$F,0))&gt;0,($F$10-$I$3+VLOOKUP($R10,武学奇术!$A:$ZZ,6,FALSE)+SUM(_xlfn.XLOOKUP(S10:AG10,增益!$A:$A,增益!$F:$F,0)))/200,($F$10-$I$3+VLOOKUP($R10,武学奇术!$A:$ZZ,6,FALSE)+SUM(_xlfn.XLOOKUP(S10:AG10,增益!$A:$A,增益!$F:$F,0)))/100)</f>
        <v>0.2125</v>
      </c>
      <c r="AR10" s="32" cm="1">
        <f t="array" ref="AR10">$G$10+VLOOKUP($R10,武学奇术!$A:$ZZ,7,FALSE)+SUM(_xlfn.XLOOKUP(S10:AG10,增益!$A:$A,增益!$G:$G,0))</f>
        <v>0.148</v>
      </c>
      <c r="AS10" s="26" cm="1">
        <f t="array" ref="AS10">VLOOKUP($R10,武学奇术!$A:$ZZ,8,FALSE)+SUM(_xlfn.XLOOKUP(S10:AG10,增益!$A:$A,增益!$H:$H,0))</f>
        <v>0</v>
      </c>
      <c r="AT10">
        <f t="shared" si="1"/>
        <v>0</v>
      </c>
      <c r="AU10">
        <f t="shared" si="2"/>
        <v>0</v>
      </c>
      <c r="AV10" s="32" cm="1">
        <f t="array" ref="AV10">IF($F$11-$I$4+VLOOKUP($R10,武学奇术!$A:$ZZ,9,FALSE)+SUM(_xlfn.XLOOKUP(S10:AG10,增益!$A:$A,增益!$I:$I,0))&gt;0,($F$11-$I$4+VLOOKUP($R10,武学奇术!$A:$ZZ,9,FALSE)+SUM(_xlfn.XLOOKUP(S10:AG10,增益!$A:$A,增益!$I:$I,0)))/200,($F$11-$I$4+VLOOKUP($R10,武学奇术!$A:$ZZ,9,FALSE)+SUM(_xlfn.XLOOKUP(S10:AG10,增益!$A:$A,增益!$I:$I,0)))/100)</f>
        <v>-0.3</v>
      </c>
      <c r="AW10" s="32" cm="1">
        <f t="array" ref="AW10">$G$11+VLOOKUP($R10,武学奇术!$A:$ZZ,10,FALSE)+SUM(_xlfn.XLOOKUP(S10:AG10,增益!$A:$A,增益!$J:$J,0))</f>
        <v>0</v>
      </c>
      <c r="AX10">
        <f t="shared" si="3"/>
        <v>0</v>
      </c>
      <c r="AY10">
        <f t="shared" si="4"/>
        <v>0</v>
      </c>
      <c r="AZ10" s="32" cm="1">
        <f t="array" ref="AZ10">IF($F$12-$I$4+VLOOKUP($R10,武学奇术!$A:$ZZ,11,FALSE)+SUM(_xlfn.XLOOKUP(S10:AG10,增益!$A:$A,增益!$K:$K,0))&gt;0,($F$12-$I$4+VLOOKUP($R10,武学奇术!$A:$ZZ,11,FALSE)+SUM(_xlfn.XLOOKUP(S10:AG10,增益!$A:$A,增益!$K:$K,0)))/200,($F$12-$I$4+VLOOKUP($R10,武学奇术!$A:$ZZ,11,FALSE)+SUM(_xlfn.XLOOKUP(S10:AG10,增益!$A:$A,增益!$K:$K,0)))/100)</f>
        <v>-0.3</v>
      </c>
      <c r="BA10" s="32" cm="1">
        <f t="array" ref="BA10">$G$12+VLOOKUP($R10,武学奇术!$A:$ZZ,12,FALSE)+SUM(_xlfn.XLOOKUP(S10:AG10,增益!$A:$A,增益!$L:$L,0))</f>
        <v>0</v>
      </c>
      <c r="BB10">
        <f t="shared" si="5"/>
        <v>0</v>
      </c>
      <c r="BC10">
        <f t="shared" si="6"/>
        <v>0</v>
      </c>
      <c r="BD10" s="32" cm="1">
        <f t="array" ref="BD10">IF($F$13-$I$4+VLOOKUP($R10,武学奇术!$A:$ZZ,13,FALSE)+SUM(_xlfn.XLOOKUP(S10:AG10,增益!$A:$A,增益!$M:$M,0))&gt;0,($F$13-$I$4+VLOOKUP($R10,武学奇术!$A:$ZZ,13,FALSE)+SUM(_xlfn.XLOOKUP(S10:AG10,增益!$A:$A,增益!$K:$K,0)))/200,($F$13-$I$4+VLOOKUP($R10,武学奇术!$A:$ZZ,13,FALSE)+SUM(_xlfn.XLOOKUP(S10:AG10,增益!$A:$A,增益!$M:$M,0)))/100)</f>
        <v>-0.3</v>
      </c>
      <c r="BE10" s="32" cm="1">
        <f t="array" ref="BE10">$G$13+VLOOKUP($R10,武学奇术!$A:$ZZ,14,FALSE)+SUM(_xlfn.XLOOKUP(S10:AG10,增益!$A:$A,增益!$N:$N,0))</f>
        <v>0</v>
      </c>
      <c r="BF10">
        <f t="shared" si="7"/>
        <v>571.2</v>
      </c>
      <c r="BG10">
        <f t="shared" si="8"/>
        <v>1627.8</v>
      </c>
      <c r="BH10" s="32" cm="1">
        <f t="array" ref="BH10">IF($F$14-$I$4+VLOOKUP($R10,武学奇术!$A:$ZZ,15,FALSE)+SUM(_xlfn.XLOOKUP(S10:AG10,增益!$A:$A,增益!$O:$O,0))&gt;0,($F$14-$I$4+VLOOKUP($R10,武学奇术!$A:$ZZ,15,FALSE)+SUM(_xlfn.XLOOKUP(S10:AG10,增益!$A:$A,增益!$O:$O,0)))/200,($F$14-$I$4+VLOOKUP($R10,武学奇术!$A:$ZZ,15,FALSE)+SUM(_xlfn.XLOOKUP(S10:AG10,增益!$A:$A,增益!$O:$O,0)))/100)</f>
        <v>0</v>
      </c>
      <c r="BI10" s="32" cm="1">
        <f t="array" ref="BI10">$G$14+VLOOKUP($R10,武学奇术!$A:$ZZ,16,FALSE)+SUM(_xlfn.XLOOKUP(S10:AG10,增益!$A:$A,增益!$P:$P,0))</f>
        <v>0.27</v>
      </c>
      <c r="BJ10" s="26">
        <f>MIN(IF(VLOOKUP($R10,武学奇术!$A:$ZZ,23,FALSE)=1,100%,$B$8),100%)</f>
        <v>0.981</v>
      </c>
      <c r="BK10" s="26" cm="1">
        <f t="array" ref="BK10">IF(VLOOKUP($R10,武学奇术!$A:$ZZ,23,FALSE)=1,100%,MIN(80%,$B$9+VLOOKUP($R10,武学奇术!$A:$ZZ,17,FALSE)+SUM(_xlfn.XLOOKUP(S10:AG10,增益!$A:$A,增益!$Q:$Q,0)))+$B$11+SUM(_xlfn.XLOOKUP(S10:AG10,增益!$A:$A,增益!$U:$U,0)))*IF(VLOOKUP($R10,武学奇术!$A:$ZZ,24,FALSE)=1,0,1)</f>
        <v>0.846</v>
      </c>
      <c r="BL10" s="26" cm="1">
        <f t="array" ref="BL10">1+$B$13+VLOOKUP($R10,武学奇术!$A:$ZZ,18,FALSE)+SUM(_xlfn.XLOOKUP(S10:AG10,增益!$A:$A,增益!$R:$R,0))</f>
        <v>1.82</v>
      </c>
      <c r="BM10" s="26" cm="1">
        <f t="array" ref="BM10">IF(VLOOKUP($R10,武学奇术!$A:$ZZ,24,FALSE)=1,100%,MIN(40%,$B$10+VLOOKUP($R10,武学奇术!$A:$ZZ,19,FALSE)+SUM(_xlfn.XLOOKUP(S10:AG10,增益!$A:$A,增益!$S:$S,0)))+$B$12+SUM(_xlfn.XLOOKUP(S10:AG10,增益!$A:$A,增益!$V:$V,0)))*IF(VLOOKUP($R10,武学奇术!$A:$ZZ,23,FALSE)=1,0,1)</f>
        <v>0.0929</v>
      </c>
      <c r="BN10" s="26" cm="1">
        <f t="array" ref="BN10">1+$B$14+VLOOKUP($R10,武学奇术!$A:$ZZ,20,FALSE)+SUM(_xlfn.XLOOKUP(S10:AG10,增益!$A:$A,增益!$T:$T,0))</f>
        <v>1.35</v>
      </c>
      <c r="BO10" s="26">
        <f t="shared" si="9"/>
        <v>0.829926</v>
      </c>
      <c r="BP10" s="26">
        <f t="shared" si="10"/>
        <v>0.0599391</v>
      </c>
      <c r="BQ10" s="26">
        <f>IF(VLOOKUP($R10,武学奇术!$A:$ZZ,22,FALSE)=1,0,(1-$BJ10))*(1-$BM10)</f>
        <v>0.0172349</v>
      </c>
      <c r="BR10" s="26" cm="1">
        <f t="array" ref="BR10">SUM(_xlfn.XLOOKUP(S10:AG10,增益!$A:$A,增益!$W:$W,0))+$I$5</f>
        <v>0.11</v>
      </c>
    </row>
    <row r="11" ht="14.25" spans="1:70">
      <c r="A11" s="41" t="s">
        <v>113</v>
      </c>
      <c r="B11" s="69">
        <f>期望!B11</f>
        <v>0.046</v>
      </c>
      <c r="C11" s="21" t="s">
        <v>79</v>
      </c>
      <c r="D11">
        <f>期望!D11</f>
        <v>0</v>
      </c>
      <c r="E11">
        <f>期望!E11</f>
        <v>0</v>
      </c>
      <c r="F11">
        <f>期望!F11</f>
        <v>0</v>
      </c>
      <c r="G11" s="49">
        <f>期望!G11</f>
        <v>0</v>
      </c>
      <c r="H11" s="70"/>
      <c r="I11" s="74"/>
      <c r="J11" s="75"/>
      <c r="K11">
        <f>$L11*VLOOKUP($R11,武学奇术!$A:$ZZ,31,FALSE)</f>
        <v>70587.702061078</v>
      </c>
      <c r="L11" s="38">
        <f t="shared" si="0"/>
        <v>67226.3829153124</v>
      </c>
      <c r="M11" s="38">
        <f>((($AO11+$AP11)/2*$AI11+$AJ11)*(1+$AQ11)*(1+$AR11)+(($AT11+$AU11)/2*IF($G$1="鸣金",$AK11,$AI11)+IF($G$1="鸣金",$AL11*1.5,0))*(1+$AV11)*(1+$AW11)+(($AX11+$AY11)/2*IF($G$1="裂石",$AK11,$AI11)+IF($G$1="裂石",$AL11*1.5,0))*(1+$AZ11)*(1+$BA11)+(($BB11+$BC11)/2*IF($G$1="牵丝",$AK11,$AI11)+IF($G$1="牵丝",$AL11*1.5,0))*(1+$BD11)*(1+$BE11)+(($BF11+$BG11)/2*IF($G$1="破竹",$AK11,$AI11)+IF($G$1="破竹",$AL11*1.5,0))*(1+$BH11)*(1+$BI11))*(1+$AM11)*$BL11*$Q11*(1+IF(VLOOKUP($R11,武学奇术!$A:$ZZ,30,FALSE)="回旋伞",$B$21,0))*(1+$BR11)</f>
        <v>71200.6307195815</v>
      </c>
      <c r="N11" s="38">
        <f>(($AP11*$AI11+$AJ11)*(1+$AQ11)*(1+$AR11)+($AU11*IF($G$1="鸣金",$AK11,$AI11)+IF($G$1="鸣金",$AL11*1.5,0))*(1+$AV11)*(1+$AW11)+($AY11*IF($G$1="裂石",$AK11,$AI11)+IF($G$1="裂石",$AL11*1.5,0))*(1+$AZ11)*(1+$BA11)+($BC11*IF($G$1="牵丝",$AK11,$AI11)+IF($G$1="牵丝",$AL11*1.5,0))*(1+$BD11)*(1+$BE11)+($BG11*IF($G$1="破竹",$AK11,$AI11)+IF($G$1="破竹",$AL11*1.5,0))*(1+$BH11)*(1+$BI11))*(1+$AM11)*$BN11*$Q11*(1+IF(VLOOKUP($R11,武学奇术!$A:$ZZ,30,FALSE)="回旋伞",$B$21,0))*(1+$BR11)</f>
        <v>57136.3283133762</v>
      </c>
      <c r="O11" s="38">
        <f>((($AO11+$AP11)/2*$AI11+$AJ11)*(1+$AQ11)*(1+$AR11)+(($AT11+$AU11)/2*IF($G$1="鸣金",$AK11,$AI11)+IF($G$1="鸣金",$AL11*1.5,0))*(1+$AV11)*(1+$AW11)+(($AX11+$AY11)/2*IF($G$1="裂石",$AK11,$AI11)+IF($G$1="裂石",$AL11*1.5,0))*(1+$AZ11)*(1+$BA11)+(($BB11+$BC11)/2*IF($G$1="牵丝",$AK11,$AI11)+IF($G$1="牵丝",$AL11*1.5,0))*(1+$BD11)*(1+$BE11)+(($BF11+$BG11)/2*IF($G$1="破竹",$AK11,$AI11)+IF($G$1="破竹",$AL11*1.5,0))*(1+$BH11)*(1+$BI11))*(1+$AM11)*$Q11*(1+IF(VLOOKUP($R11,武学奇术!$A:$ZZ,30,FALSE)="回旋伞",$B$21,0))*(1+$BR11)</f>
        <v>37672.2913860219</v>
      </c>
      <c r="P11" s="38">
        <f>((($AO11*$AI11+$AJ11)*(1+$AQ11)*(1+$AR11)+($AT11*IF($G$1="鸣金",$AK11,$AI11)+IF($G$1="鸣金",$AL11*1.5,0))*(1+$AV11)*(1+$AW11)+($AX11*IF($G$1="裂石",$AK11,$AI11)+IF($G$1="裂石",$AL11*1.5,0))*(1+$AZ11)*(1+$BA11)+($BB11*IF($G$1="牵丝",$AK11,$AI11)+IF($G$1="牵丝",$AL11*1.5,0))*(1+$BD11)*(1+$BE11)+($BF11*IF($G$1="破竹",$AK11,$AI11)+IF($G$1="破竹",$AL11*1.5,0))*(1+$BH11)*(1+$BI11))*(1+$AM11))*$Q11*(1+IF(VLOOKUP($R11,武学奇术!$A:$ZZ,30,FALSE)="回旋伞",$B$21,0))*(1+$BR11)</f>
        <v>33021.3766139874</v>
      </c>
      <c r="Q11" s="39">
        <v>1</v>
      </c>
      <c r="R11" s="40" t="s">
        <v>108</v>
      </c>
      <c r="S11" s="40" t="s">
        <v>109</v>
      </c>
      <c r="T11" s="40" t="s">
        <v>114</v>
      </c>
      <c r="U11" s="40" t="s">
        <v>73</v>
      </c>
      <c r="V11" s="40" t="s">
        <v>81</v>
      </c>
      <c r="W11" s="40" t="s">
        <v>82</v>
      </c>
      <c r="X11" s="40" t="s">
        <v>83</v>
      </c>
      <c r="Y11" s="40" t="s">
        <v>72</v>
      </c>
      <c r="Z11" s="40" t="s">
        <v>72</v>
      </c>
      <c r="AA11" s="40" t="s">
        <v>72</v>
      </c>
      <c r="AB11" s="40" t="s">
        <v>115</v>
      </c>
      <c r="AC11" s="40" t="s">
        <v>72</v>
      </c>
      <c r="AD11" s="40" t="s">
        <v>72</v>
      </c>
      <c r="AE11" s="40" t="s">
        <v>72</v>
      </c>
      <c r="AF11" s="40" t="s">
        <v>72</v>
      </c>
      <c r="AG11" s="40" t="s">
        <v>78</v>
      </c>
      <c r="AH11" t="str">
        <f>VLOOKUP($R11,武学奇术!$A:$ZZ,25,FALSE)</f>
        <v>伞</v>
      </c>
      <c r="AI11" s="26">
        <f>VLOOKUP($R11,武学奇术!$A:$ZZ,26,FALSE)</f>
        <v>1.8084</v>
      </c>
      <c r="AJ11" s="27">
        <f>VLOOKUP($R11,武学奇术!$A:$ZZ,27,FALSE)*(1+IF(OR($AH11=$F$4,$AH11=$F$5),$B$22,0))</f>
        <v>750</v>
      </c>
      <c r="AK11" s="26">
        <f>VLOOKUP($R11,武学奇术!$A:$ZZ,28,FALSE)</f>
        <v>2.7126</v>
      </c>
      <c r="AL11" s="27">
        <f>VLOOKUP($R11,武学奇术!$A:$ZZ,29,FALSE)*(1+IF(OR($AH11=$F$4,$AH11=$F$5),$B$22,0))</f>
        <v>408</v>
      </c>
      <c r="AM11" s="26" cm="1">
        <f t="array" ref="AM11">$G$3+IFERROR(VLOOKUP($AH11,$F$4:$G$7,2,FALSE),0)+VLOOKUP($R11,武学奇术!$A:$ZZ,2,FALSE)+SUM(_xlfn.XLOOKUP($S11:$AG11,增益!$A:$A,增益!$B:$B,0))</f>
        <v>0.7441</v>
      </c>
      <c r="AN11" s="26" cm="1">
        <f t="array" ref="AN11">VLOOKUP($R11,武学奇术!$A:$ZZ,5,FALSE)+SUM(_xlfn.XLOOKUP($S11:$AG11,增益!$A:$A,增益!$E:$E,0))</f>
        <v>0</v>
      </c>
      <c r="AO11" cm="1">
        <f t="array" ref="AO11">$D$10*(1+$AN11)+VLOOKUP($R11,武学奇术!$A:$ZZ,3,FALSE)+SUM(_xlfn.XLOOKUP($S11:$AG11,增益!$A:$A,增益!$C:$C,0))-$I$2</f>
        <v>3562.6</v>
      </c>
      <c r="AP11" cm="1">
        <f t="array" ref="AP11">$E$10*(1+$AN11)+VLOOKUP($R11,武学奇术!$A:$ZZ,4,FALSE)+SUM(_xlfn.XLOOKUP($S11:$AG11,增益!$A:$A,增益!$D:$D,0))-$I$2</f>
        <v>3562.6</v>
      </c>
      <c r="AQ11" s="32" cm="1">
        <f t="array" ref="AQ11">IF($F$10-$I$3+VLOOKUP($R11,武学奇术!$A:$ZZ,6,FALSE)+SUM(_xlfn.XLOOKUP(S11:AG11,增益!$A:$A,增益!$F:$F,0))&gt;0,($F$10-$I$3+VLOOKUP($R11,武学奇术!$A:$ZZ,6,FALSE)+SUM(_xlfn.XLOOKUP(S11:AG11,增益!$A:$A,增益!$F:$F,0)))/200,($F$10-$I$3+VLOOKUP($R11,武学奇术!$A:$ZZ,6,FALSE)+SUM(_xlfn.XLOOKUP(S11:AG11,增益!$A:$A,增益!$F:$F,0)))/100)</f>
        <v>0.2325</v>
      </c>
      <c r="AR11" s="32" cm="1">
        <f t="array" ref="AR11">$G$10+VLOOKUP($R11,武学奇术!$A:$ZZ,7,FALSE)+SUM(_xlfn.XLOOKUP(S11:AG11,增益!$A:$A,增益!$G:$G,0))</f>
        <v>0.148</v>
      </c>
      <c r="AS11" s="26" cm="1">
        <f t="array" ref="AS11">VLOOKUP($R11,武学奇术!$A:$ZZ,8,FALSE)+SUM(_xlfn.XLOOKUP(S11:AG11,增益!$A:$A,增益!$H:$H,0))</f>
        <v>0</v>
      </c>
      <c r="AT11">
        <f t="shared" si="1"/>
        <v>0</v>
      </c>
      <c r="AU11">
        <f t="shared" si="2"/>
        <v>0</v>
      </c>
      <c r="AV11" s="32" cm="1">
        <f t="array" ref="AV11">IF($F$11-$I$4+VLOOKUP($R11,武学奇术!$A:$ZZ,9,FALSE)+SUM(_xlfn.XLOOKUP(S11:AG11,增益!$A:$A,增益!$I:$I,0))&gt;0,($F$11-$I$4+VLOOKUP($R11,武学奇术!$A:$ZZ,9,FALSE)+SUM(_xlfn.XLOOKUP(S11:AG11,增益!$A:$A,增益!$I:$I,0)))/200,($F$11-$I$4+VLOOKUP($R11,武学奇术!$A:$ZZ,9,FALSE)+SUM(_xlfn.XLOOKUP(S11:AG11,增益!$A:$A,增益!$I:$I,0)))/100)</f>
        <v>-0.3</v>
      </c>
      <c r="AW11" s="32" cm="1">
        <f t="array" ref="AW11">$G$11+VLOOKUP($R11,武学奇术!$A:$ZZ,10,FALSE)+SUM(_xlfn.XLOOKUP(S11:AG11,增益!$A:$A,增益!$J:$J,0))</f>
        <v>0</v>
      </c>
      <c r="AX11">
        <f t="shared" si="3"/>
        <v>0</v>
      </c>
      <c r="AY11">
        <f t="shared" si="4"/>
        <v>0</v>
      </c>
      <c r="AZ11" s="32" cm="1">
        <f t="array" ref="AZ11">IF($F$12-$I$4+VLOOKUP($R11,武学奇术!$A:$ZZ,11,FALSE)+SUM(_xlfn.XLOOKUP(S11:AG11,增益!$A:$A,增益!$K:$K,0))&gt;0,($F$12-$I$4+VLOOKUP($R11,武学奇术!$A:$ZZ,11,FALSE)+SUM(_xlfn.XLOOKUP(S11:AG11,增益!$A:$A,增益!$K:$K,0)))/200,($F$12-$I$4+VLOOKUP($R11,武学奇术!$A:$ZZ,11,FALSE)+SUM(_xlfn.XLOOKUP(S11:AG11,增益!$A:$A,增益!$K:$K,0)))/100)</f>
        <v>-0.3</v>
      </c>
      <c r="BA11" s="32" cm="1">
        <f t="array" ref="BA11">$G$12+VLOOKUP($R11,武学奇术!$A:$ZZ,12,FALSE)+SUM(_xlfn.XLOOKUP(S11:AG11,增益!$A:$A,增益!$L:$L,0))</f>
        <v>0</v>
      </c>
      <c r="BB11">
        <f t="shared" si="5"/>
        <v>0</v>
      </c>
      <c r="BC11">
        <f t="shared" si="6"/>
        <v>0</v>
      </c>
      <c r="BD11" s="32" cm="1">
        <f t="array" ref="BD11">IF($F$13-$I$4+VLOOKUP($R11,武学奇术!$A:$ZZ,13,FALSE)+SUM(_xlfn.XLOOKUP(S11:AG11,增益!$A:$A,增益!$M:$M,0))&gt;0,($F$13-$I$4+VLOOKUP($R11,武学奇术!$A:$ZZ,13,FALSE)+SUM(_xlfn.XLOOKUP(S11:AG11,增益!$A:$A,增益!$K:$K,0)))/200,($F$13-$I$4+VLOOKUP($R11,武学奇术!$A:$ZZ,13,FALSE)+SUM(_xlfn.XLOOKUP(S11:AG11,增益!$A:$A,增益!$M:$M,0)))/100)</f>
        <v>-0.3</v>
      </c>
      <c r="BE11" s="32" cm="1">
        <f t="array" ref="BE11">$G$13+VLOOKUP($R11,武学奇术!$A:$ZZ,14,FALSE)+SUM(_xlfn.XLOOKUP(S11:AG11,增益!$A:$A,增益!$N:$N,0))</f>
        <v>0</v>
      </c>
      <c r="BF11">
        <f t="shared" si="7"/>
        <v>571.2</v>
      </c>
      <c r="BG11">
        <f t="shared" si="8"/>
        <v>1627.8</v>
      </c>
      <c r="BH11" s="32" cm="1">
        <f t="array" ref="BH11">IF($F$14-$I$4+VLOOKUP($R11,武学奇术!$A:$ZZ,15,FALSE)+SUM(_xlfn.XLOOKUP(S11:AG11,增益!$A:$A,增益!$O:$O,0))&gt;0,($F$14-$I$4+VLOOKUP($R11,武学奇术!$A:$ZZ,15,FALSE)+SUM(_xlfn.XLOOKUP(S11:AG11,增益!$A:$A,增益!$O:$O,0)))/200,($F$14-$I$4+VLOOKUP($R11,武学奇术!$A:$ZZ,15,FALSE)+SUM(_xlfn.XLOOKUP(S11:AG11,增益!$A:$A,增益!$O:$O,0)))/100)</f>
        <v>0</v>
      </c>
      <c r="BI11" s="32" cm="1">
        <f t="array" ref="BI11">$G$14+VLOOKUP($R11,武学奇术!$A:$ZZ,16,FALSE)+SUM(_xlfn.XLOOKUP(S11:AG11,增益!$A:$A,增益!$P:$P,0))</f>
        <v>0.27</v>
      </c>
      <c r="BJ11" s="26">
        <f>MIN(IF(VLOOKUP($R11,武学奇术!$A:$ZZ,23,FALSE)=1,100%,$B$8),100%)</f>
        <v>0.981</v>
      </c>
      <c r="BK11" s="26" cm="1">
        <f t="array" ref="BK11">IF(VLOOKUP($R11,武学奇术!$A:$ZZ,23,FALSE)=1,100%,MIN(80%,$B$9+VLOOKUP($R11,武学奇术!$A:$ZZ,17,FALSE)+SUM(_xlfn.XLOOKUP(S11:AG11,增益!$A:$A,增益!$Q:$Q,0)))+$B$11+SUM(_xlfn.XLOOKUP(S11:AG11,增益!$A:$A,增益!$U:$U,0)))*IF(VLOOKUP($R11,武学奇术!$A:$ZZ,24,FALSE)=1,0,1)</f>
        <v>0.846</v>
      </c>
      <c r="BL11" s="26" cm="1">
        <f t="array" ref="BL11">1+$B$13+VLOOKUP($R11,武学奇术!$A:$ZZ,18,FALSE)+SUM(_xlfn.XLOOKUP(S11:AG11,增益!$A:$A,增益!$R:$R,0))</f>
        <v>1.89</v>
      </c>
      <c r="BM11" s="26" cm="1">
        <f t="array" ref="BM11">IF(VLOOKUP($R11,武学奇术!$A:$ZZ,24,FALSE)=1,100%,MIN(40%,$B$10+VLOOKUP($R11,武学奇术!$A:$ZZ,19,FALSE)+SUM(_xlfn.XLOOKUP(S11:AG11,增益!$A:$A,增益!$S:$S,0)))+$B$12+SUM(_xlfn.XLOOKUP(S11:AG11,增益!$A:$A,增益!$V:$V,0)))*IF(VLOOKUP($R11,武学奇术!$A:$ZZ,23,FALSE)=1,0,1)</f>
        <v>0.0929</v>
      </c>
      <c r="BN11" s="26" cm="1">
        <f t="array" ref="BN11">1+$B$14+VLOOKUP($R11,武学奇术!$A:$ZZ,20,FALSE)+SUM(_xlfn.XLOOKUP(S11:AG11,增益!$A:$A,增益!$T:$T,0))</f>
        <v>1.35</v>
      </c>
      <c r="BO11" s="26">
        <f t="shared" si="9"/>
        <v>0.829926</v>
      </c>
      <c r="BP11" s="26">
        <f t="shared" si="10"/>
        <v>0.0599391</v>
      </c>
      <c r="BQ11" s="26">
        <f>IF(VLOOKUP($R11,武学奇术!$A:$ZZ,22,FALSE)=1,0,(1-$BJ11))*(1-$BM11)</f>
        <v>0.0172349</v>
      </c>
      <c r="BR11" s="26" cm="1">
        <f t="array" ref="BR11">SUM(_xlfn.XLOOKUP(S11:AG11,增益!$A:$A,增益!$W:$W,0))+$I$5</f>
        <v>0.11</v>
      </c>
    </row>
    <row r="12" spans="1:70">
      <c r="A12" s="41" t="s">
        <v>116</v>
      </c>
      <c r="B12" s="69">
        <f>期望!B12</f>
        <v>0</v>
      </c>
      <c r="C12" s="21" t="s">
        <v>86</v>
      </c>
      <c r="D12">
        <f>期望!D12</f>
        <v>0</v>
      </c>
      <c r="E12">
        <f>期望!E12</f>
        <v>0</v>
      </c>
      <c r="F12">
        <f>期望!F12</f>
        <v>0</v>
      </c>
      <c r="G12" s="49">
        <f>期望!G12</f>
        <v>0</v>
      </c>
      <c r="H12" s="67" t="s">
        <v>187</v>
      </c>
      <c r="I12" s="38">
        <f>I10/I8</f>
        <v>117307.921624983</v>
      </c>
      <c r="J12" s="76"/>
      <c r="K12">
        <f>$L12*VLOOKUP($R12,武学奇术!$A:$ZZ,31,FALSE)</f>
        <v>41173.8723988691</v>
      </c>
      <c r="L12" s="38">
        <f t="shared" si="0"/>
        <v>39213.2118084467</v>
      </c>
      <c r="M12" s="38">
        <f>((($AO12+$AP12)/2*$AI12+$AJ12)*(1+$AQ12)*(1+$AR12)+(($AT12+$AU12)/2*IF($G$1="鸣金",$AK12,$AI12)+IF($G$1="鸣金",$AL12*1.5,0))*(1+$AV12)*(1+$AW12)+(($AX12+$AY12)/2*IF($G$1="裂石",$AK12,$AI12)+IF($G$1="裂石",$AL12*1.5,0))*(1+$AZ12)*(1+$BA12)+(($BB12+$BC12)/2*IF($G$1="牵丝",$AK12,$AI12)+IF($G$1="牵丝",$AL12*1.5,0))*(1+$BD12)*(1+$BE12)+(($BF12+$BG12)/2*IF($G$1="破竹",$AK12,$AI12)+IF($G$1="破竹",$AL12*1.5,0))*(1+$BH12)*(1+$BI12))*(1+$AM12)*$BL12*$Q12*(1+IF(VLOOKUP($R12,武学奇术!$A:$ZZ,30,FALSE)="回旋伞",$B$21,0))*(1+$BR12)</f>
        <v>41487.1560092212</v>
      </c>
      <c r="N12" s="38">
        <f>(($AP12*$AI12+$AJ12)*(1+$AQ12)*(1+$AR12)+($AU12*IF($G$1="鸣金",$AK12,$AI12)+IF($G$1="鸣金",$AL12*1.5,0))*(1+$AV12)*(1+$AW12)+($AY12*IF($G$1="裂石",$AK12,$AI12)+IF($G$1="裂石",$AL12*1.5,0))*(1+$AZ12)*(1+$BA12)+($BC12*IF($G$1="牵丝",$AK12,$AI12)+IF($G$1="牵丝",$AL12*1.5,0))*(1+$BD12)*(1+$BE12)+($BG12*IF($G$1="破竹",$AK12,$AI12)+IF($G$1="破竹",$AL12*1.5,0))*(1+$BH12)*(1+$BI12))*(1+$AM12)*$BN12*$Q12*(1+IF(VLOOKUP($R12,武学奇术!$A:$ZZ,30,FALSE)="回旋伞",$B$21,0))*(1+$BR12)</f>
        <v>33813.4166805404</v>
      </c>
      <c r="O12" s="38">
        <f>((($AO12+$AP12)/2*$AI12+$AJ12)*(1+$AQ12)*(1+$AR12)+(($AT12+$AU12)/2*IF($G$1="鸣金",$AK12,$AI12)+IF($G$1="鸣金",$AL12*1.5,0))*(1+$AV12)*(1+$AW12)+(($AX12+$AY12)/2*IF($G$1="裂石",$AK12,$AI12)+IF($G$1="裂石",$AL12*1.5,0))*(1+$AZ12)*(1+$BA12)+(($BB12+$BC12)/2*IF($G$1="牵丝",$AK12,$AI12)+IF($G$1="牵丝",$AL12*1.5,0))*(1+$BD12)*(1+$BE12)+(($BF12+$BG12)/2*IF($G$1="破竹",$AK12,$AI12)+IF($G$1="破竹",$AL12*1.5,0))*(1+$BH12)*(1+$BI12))*(1+$AM12)*$Q12*(1+IF(VLOOKUP($R12,武学奇术!$A:$ZZ,30,FALSE)="回旋伞",$B$21,0))*(1+$BR12)</f>
        <v>21950.8761953551</v>
      </c>
      <c r="P12" s="38">
        <f>((($AO12*$AI12+$AJ12)*(1+$AQ12)*(1+$AR12)+($AT12*IF($G$1="鸣金",$AK12,$AI12)+IF($G$1="鸣金",$AL12*1.5,0))*(1+$AV12)*(1+$AW12)+($AX12*IF($G$1="裂石",$AK12,$AI12)+IF($G$1="裂石",$AL12*1.5,0))*(1+$AZ12)*(1+$BA12)+($BB12*IF($G$1="牵丝",$AK12,$AI12)+IF($G$1="牵丝",$AL12*1.5,0))*(1+$BD12)*(1+$BE12)+($BF12*IF($G$1="破竹",$AK12,$AI12)+IF($G$1="破竹",$AL12*1.5,0))*(1+$BH12)*(1+$BI12))*(1+$AM12))*$Q12*(1+IF(VLOOKUP($R12,武学奇术!$A:$ZZ,30,FALSE)="回旋伞",$B$21,0))*(1+$BR12)</f>
        <v>18854.7770717914</v>
      </c>
      <c r="Q12" s="39">
        <v>2</v>
      </c>
      <c r="R12" s="40" t="s">
        <v>112</v>
      </c>
      <c r="S12" s="40" t="s">
        <v>109</v>
      </c>
      <c r="T12" s="40" t="s">
        <v>114</v>
      </c>
      <c r="U12" s="40" t="s">
        <v>73</v>
      </c>
      <c r="V12" s="40" t="s">
        <v>81</v>
      </c>
      <c r="W12" s="40" t="s">
        <v>82</v>
      </c>
      <c r="X12" s="40" t="s">
        <v>83</v>
      </c>
      <c r="Y12" s="40" t="s">
        <v>72</v>
      </c>
      <c r="Z12" s="40" t="s">
        <v>72</v>
      </c>
      <c r="AA12" s="40" t="s">
        <v>72</v>
      </c>
      <c r="AB12" s="40" t="s">
        <v>115</v>
      </c>
      <c r="AC12" s="40" t="s">
        <v>72</v>
      </c>
      <c r="AD12" s="40" t="s">
        <v>72</v>
      </c>
      <c r="AE12" s="40" t="s">
        <v>72</v>
      </c>
      <c r="AF12" s="40" t="s">
        <v>72</v>
      </c>
      <c r="AG12" s="40" t="s">
        <v>78</v>
      </c>
      <c r="AH12" t="str">
        <f>VLOOKUP($R12,武学奇术!$A:$ZZ,25,FALSE)</f>
        <v>伞</v>
      </c>
      <c r="AI12" s="26">
        <f>VLOOKUP($R12,武学奇术!$A:$ZZ,26,FALSE)</f>
        <v>0.54</v>
      </c>
      <c r="AJ12" s="27">
        <f>VLOOKUP($R12,武学奇术!$A:$ZZ,27,FALSE)*(1+IF(OR($AH12=$F$4,$AH12=$F$5),$B$22,0))</f>
        <v>0</v>
      </c>
      <c r="AK12" s="26">
        <f>VLOOKUP($R12,武学奇术!$A:$ZZ,28,FALSE)</f>
        <v>0.81</v>
      </c>
      <c r="AL12" s="27">
        <f>VLOOKUP($R12,武学奇术!$A:$ZZ,29,FALSE)*(1+IF(OR($AH12=$F$4,$AH12=$F$5),$B$22,0))</f>
        <v>0</v>
      </c>
      <c r="AM12" s="26" cm="1">
        <f t="array" ref="AM12">$G$3+IFERROR(VLOOKUP($AH12,$F$4:$G$7,2,FALSE),0)+VLOOKUP($R12,武学奇术!$A:$ZZ,2,FALSE)+SUM(_xlfn.XLOOKUP($S12:$AG12,增益!$A:$A,增益!$B:$B,0))</f>
        <v>0.9441</v>
      </c>
      <c r="AN12" s="26" cm="1">
        <f t="array" ref="AN12">VLOOKUP($R12,武学奇术!$A:$ZZ,5,FALSE)+SUM(_xlfn.XLOOKUP($S12:$AG12,增益!$A:$A,增益!$E:$E,0))</f>
        <v>0</v>
      </c>
      <c r="AO12" cm="1">
        <f t="array" ref="AO12">$D$10*(1+$AN12)+VLOOKUP($R12,武学奇术!$A:$ZZ,3,FALSE)+SUM(_xlfn.XLOOKUP($S12:$AG12,增益!$A:$A,增益!$C:$C,0))-$I$2</f>
        <v>3562.6</v>
      </c>
      <c r="AP12" cm="1">
        <f t="array" ref="AP12">$E$10*(1+$AN12)+VLOOKUP($R12,武学奇术!$A:$ZZ,4,FALSE)+SUM(_xlfn.XLOOKUP($S12:$AG12,增益!$A:$A,增益!$D:$D,0))-$I$2</f>
        <v>3562.6</v>
      </c>
      <c r="AQ12" s="32" cm="1">
        <f t="array" ref="AQ12">IF($F$10-$I$3+VLOOKUP($R12,武学奇术!$A:$ZZ,6,FALSE)+SUM(_xlfn.XLOOKUP(S12:AG12,增益!$A:$A,增益!$F:$F,0))&gt;0,($F$10-$I$3+VLOOKUP($R12,武学奇术!$A:$ZZ,6,FALSE)+SUM(_xlfn.XLOOKUP(S12:AG12,增益!$A:$A,增益!$F:$F,0)))/200,($F$10-$I$3+VLOOKUP($R12,武学奇术!$A:$ZZ,6,FALSE)+SUM(_xlfn.XLOOKUP(S12:AG12,增益!$A:$A,增益!$F:$F,0)))/100)</f>
        <v>0.2325</v>
      </c>
      <c r="AR12" s="32" cm="1">
        <f t="array" ref="AR12">$G$10+VLOOKUP($R12,武学奇术!$A:$ZZ,7,FALSE)+SUM(_xlfn.XLOOKUP(S12:AG12,增益!$A:$A,增益!$G:$G,0))</f>
        <v>0.148</v>
      </c>
      <c r="AS12" s="26" cm="1">
        <f t="array" ref="AS12">VLOOKUP($R12,武学奇术!$A:$ZZ,8,FALSE)+SUM(_xlfn.XLOOKUP(S12:AG12,增益!$A:$A,增益!$H:$H,0))</f>
        <v>0</v>
      </c>
      <c r="AT12">
        <f t="shared" si="1"/>
        <v>0</v>
      </c>
      <c r="AU12">
        <f t="shared" si="2"/>
        <v>0</v>
      </c>
      <c r="AV12" s="32" cm="1">
        <f t="array" ref="AV12">IF($F$11-$I$4+VLOOKUP($R12,武学奇术!$A:$ZZ,9,FALSE)+SUM(_xlfn.XLOOKUP(S12:AG12,增益!$A:$A,增益!$I:$I,0))&gt;0,($F$11-$I$4+VLOOKUP($R12,武学奇术!$A:$ZZ,9,FALSE)+SUM(_xlfn.XLOOKUP(S12:AG12,增益!$A:$A,增益!$I:$I,0)))/200,($F$11-$I$4+VLOOKUP($R12,武学奇术!$A:$ZZ,9,FALSE)+SUM(_xlfn.XLOOKUP(S12:AG12,增益!$A:$A,增益!$I:$I,0)))/100)</f>
        <v>-0.3</v>
      </c>
      <c r="AW12" s="32" cm="1">
        <f t="array" ref="AW12">$G$11+VLOOKUP($R12,武学奇术!$A:$ZZ,10,FALSE)+SUM(_xlfn.XLOOKUP(S12:AG12,增益!$A:$A,增益!$J:$J,0))</f>
        <v>0</v>
      </c>
      <c r="AX12">
        <f t="shared" si="3"/>
        <v>0</v>
      </c>
      <c r="AY12">
        <f t="shared" si="4"/>
        <v>0</v>
      </c>
      <c r="AZ12" s="32" cm="1">
        <f t="array" ref="AZ12">IF($F$12-$I$4+VLOOKUP($R12,武学奇术!$A:$ZZ,11,FALSE)+SUM(_xlfn.XLOOKUP(S12:AG12,增益!$A:$A,增益!$K:$K,0))&gt;0,($F$12-$I$4+VLOOKUP($R12,武学奇术!$A:$ZZ,11,FALSE)+SUM(_xlfn.XLOOKUP(S12:AG12,增益!$A:$A,增益!$K:$K,0)))/200,($F$12-$I$4+VLOOKUP($R12,武学奇术!$A:$ZZ,11,FALSE)+SUM(_xlfn.XLOOKUP(S12:AG12,增益!$A:$A,增益!$K:$K,0)))/100)</f>
        <v>-0.3</v>
      </c>
      <c r="BA12" s="32" cm="1">
        <f t="array" ref="BA12">$G$12+VLOOKUP($R12,武学奇术!$A:$ZZ,12,FALSE)+SUM(_xlfn.XLOOKUP(S12:AG12,增益!$A:$A,增益!$L:$L,0))</f>
        <v>0</v>
      </c>
      <c r="BB12">
        <f t="shared" si="5"/>
        <v>0</v>
      </c>
      <c r="BC12">
        <f t="shared" si="6"/>
        <v>0</v>
      </c>
      <c r="BD12" s="32" cm="1">
        <f t="array" ref="BD12">IF($F$13-$I$4+VLOOKUP($R12,武学奇术!$A:$ZZ,13,FALSE)+SUM(_xlfn.XLOOKUP(S12:AG12,增益!$A:$A,增益!$M:$M,0))&gt;0,($F$13-$I$4+VLOOKUP($R12,武学奇术!$A:$ZZ,13,FALSE)+SUM(_xlfn.XLOOKUP(S12:AG12,增益!$A:$A,增益!$K:$K,0)))/200,($F$13-$I$4+VLOOKUP($R12,武学奇术!$A:$ZZ,13,FALSE)+SUM(_xlfn.XLOOKUP(S12:AG12,增益!$A:$A,增益!$M:$M,0)))/100)</f>
        <v>-0.3</v>
      </c>
      <c r="BE12" s="32" cm="1">
        <f t="array" ref="BE12">$G$13+VLOOKUP($R12,武学奇术!$A:$ZZ,14,FALSE)+SUM(_xlfn.XLOOKUP(S12:AG12,增益!$A:$A,增益!$N:$N,0))</f>
        <v>0</v>
      </c>
      <c r="BF12">
        <f t="shared" si="7"/>
        <v>571.2</v>
      </c>
      <c r="BG12">
        <f t="shared" si="8"/>
        <v>1627.8</v>
      </c>
      <c r="BH12" s="32" cm="1">
        <f t="array" ref="BH12">IF($F$14-$I$4+VLOOKUP($R12,武学奇术!$A:$ZZ,15,FALSE)+SUM(_xlfn.XLOOKUP(S12:AG12,增益!$A:$A,增益!$O:$O,0))&gt;0,($F$14-$I$4+VLOOKUP($R12,武学奇术!$A:$ZZ,15,FALSE)+SUM(_xlfn.XLOOKUP(S12:AG12,增益!$A:$A,增益!$O:$O,0)))/200,($F$14-$I$4+VLOOKUP($R12,武学奇术!$A:$ZZ,15,FALSE)+SUM(_xlfn.XLOOKUP(S12:AG12,增益!$A:$A,增益!$O:$O,0)))/100)</f>
        <v>0</v>
      </c>
      <c r="BI12" s="32" cm="1">
        <f t="array" ref="BI12">$G$14+VLOOKUP($R12,武学奇术!$A:$ZZ,16,FALSE)+SUM(_xlfn.XLOOKUP(S12:AG12,增益!$A:$A,增益!$P:$P,0))</f>
        <v>0.27</v>
      </c>
      <c r="BJ12" s="26">
        <f>MIN(IF(VLOOKUP($R12,武学奇术!$A:$ZZ,23,FALSE)=1,100%,$B$8),100%)</f>
        <v>0.981</v>
      </c>
      <c r="BK12" s="26" cm="1">
        <f t="array" ref="BK12">IF(VLOOKUP($R12,武学奇术!$A:$ZZ,23,FALSE)=1,100%,MIN(80%,$B$9+VLOOKUP($R12,武学奇术!$A:$ZZ,17,FALSE)+SUM(_xlfn.XLOOKUP(S12:AG12,增益!$A:$A,增益!$Q:$Q,0)))+$B$11+SUM(_xlfn.XLOOKUP(S12:AG12,增益!$A:$A,增益!$U:$U,0)))*IF(VLOOKUP($R12,武学奇术!$A:$ZZ,24,FALSE)=1,0,1)</f>
        <v>0.846</v>
      </c>
      <c r="BL12" s="26" cm="1">
        <f t="array" ref="BL12">1+$B$13+VLOOKUP($R12,武学奇术!$A:$ZZ,18,FALSE)+SUM(_xlfn.XLOOKUP(S12:AG12,增益!$A:$A,增益!$R:$R,0))</f>
        <v>1.89</v>
      </c>
      <c r="BM12" s="26" cm="1">
        <f t="array" ref="BM12">IF(VLOOKUP($R12,武学奇术!$A:$ZZ,24,FALSE)=1,100%,MIN(40%,$B$10+VLOOKUP($R12,武学奇术!$A:$ZZ,19,FALSE)+SUM(_xlfn.XLOOKUP(S12:AG12,增益!$A:$A,增益!$S:$S,0)))+$B$12+SUM(_xlfn.XLOOKUP(S12:AG12,增益!$A:$A,增益!$V:$V,0)))*IF(VLOOKUP($R12,武学奇术!$A:$ZZ,23,FALSE)=1,0,1)</f>
        <v>0.0929</v>
      </c>
      <c r="BN12" s="26" cm="1">
        <f t="array" ref="BN12">1+$B$14+VLOOKUP($R12,武学奇术!$A:$ZZ,20,FALSE)+SUM(_xlfn.XLOOKUP(S12:AG12,增益!$A:$A,增益!$T:$T,0))</f>
        <v>1.35</v>
      </c>
      <c r="BO12" s="26">
        <f t="shared" si="9"/>
        <v>0.829926</v>
      </c>
      <c r="BP12" s="26">
        <f t="shared" si="10"/>
        <v>0.0599391</v>
      </c>
      <c r="BQ12" s="26">
        <f>IF(VLOOKUP($R12,武学奇术!$A:$ZZ,22,FALSE)=1,0,(1-$BJ12))*(1-$BM12)</f>
        <v>0.0172349</v>
      </c>
      <c r="BR12" s="26" cm="1">
        <f t="array" ref="BR12">SUM(_xlfn.XLOOKUP(S12:AG12,增益!$A:$A,增益!$W:$W,0))+$I$5</f>
        <v>0.11</v>
      </c>
    </row>
    <row r="13" ht="14.25" spans="1:70">
      <c r="A13" s="41" t="s">
        <v>118</v>
      </c>
      <c r="B13" s="69">
        <f>期望!B13</f>
        <v>0.54</v>
      </c>
      <c r="C13" s="21" t="s">
        <v>92</v>
      </c>
      <c r="D13">
        <f>期望!D13</f>
        <v>0</v>
      </c>
      <c r="E13">
        <f>期望!E13</f>
        <v>0</v>
      </c>
      <c r="F13">
        <f>期望!F13</f>
        <v>0</v>
      </c>
      <c r="G13" s="49">
        <f>期望!G13</f>
        <v>0</v>
      </c>
      <c r="H13" s="70"/>
      <c r="I13" s="77"/>
      <c r="J13" s="75"/>
      <c r="K13">
        <f>$L13*VLOOKUP($R13,武学奇术!$A:$ZZ,31,FALSE)</f>
        <v>74190.6963323853</v>
      </c>
      <c r="L13" s="38">
        <f t="shared" si="0"/>
        <v>70657.8060308431</v>
      </c>
      <c r="M13" s="38">
        <f>((($AO13+$AP13)/2*$AI13+$AJ13)*(1+$AQ13)*(1+$AR13)+(($AT13+$AU13)/2*IF($G$1="鸣金",$AK13,$AI13)+IF($G$1="鸣金",$AL13*1.5,0))*(1+$AV13)*(1+$AW13)+(($AX13+$AY13)/2*IF($G$1="裂石",$AK13,$AI13)+IF($G$1="裂石",$AL13*1.5,0))*(1+$AZ13)*(1+$BA13)+(($BB13+$BC13)/2*IF($G$1="牵丝",$AK13,$AI13)+IF($G$1="牵丝",$AL13*1.5,0))*(1+$BD13)*(1+$BE13)+(($BF13+$BG13)/2*IF($G$1="破竹",$AK13,$AI13)+IF($G$1="破竹",$AL13*1.5,0))*(1+$BH13)*(1+$BI13))*(1+$AM13)*$BL13*$Q13*(1+IF(VLOOKUP($R13,武学奇术!$A:$ZZ,30,FALSE)="回旋伞",$B$21,0))*(1+$BR13)</f>
        <v>75123.63246857</v>
      </c>
      <c r="N13" s="38">
        <f>(($AP13*$AI13+$AJ13)*(1+$AQ13)*(1+$AR13)+($AU13*IF($G$1="鸣金",$AK13,$AI13)+IF($G$1="鸣金",$AL13*1.5,0))*(1+$AV13)*(1+$AW13)+($AY13*IF($G$1="裂石",$AK13,$AI13)+IF($G$1="裂石",$AL13*1.5,0))*(1+$AZ13)*(1+$BA13)+($BC13*IF($G$1="牵丝",$AK13,$AI13)+IF($G$1="牵丝",$AL13*1.5,0))*(1+$BD13)*(1+$BE13)+($BG13*IF($G$1="破竹",$AK13,$AI13)+IF($G$1="破竹",$AL13*1.5,0))*(1+$BH13)*(1+$BI13))*(1+$AM13)*$BN13*$Q13*(1+IF(VLOOKUP($R13,武学奇术!$A:$ZZ,30,FALSE)="回旋伞",$B$21,0))*(1+$BR13)</f>
        <v>58323.4034306619</v>
      </c>
      <c r="O13" s="38">
        <f>((($AO13+$AP13)/2*$AI13+$AJ13)*(1+$AQ13)*(1+$AR13)+(($AT13+$AU13)/2*IF($G$1="鸣金",$AK13,$AI13)+IF($G$1="鸣金",$AL13*1.5,0))*(1+$AV13)*(1+$AW13)+(($AX13+$AY13)/2*IF($G$1="裂石",$AK13,$AI13)+IF($G$1="裂石",$AL13*1.5,0))*(1+$AZ13)*(1+$BA13)+(($BB13+$BC13)/2*IF($G$1="牵丝",$AK13,$AI13)+IF($G$1="牵丝",$AL13*1.5,0))*(1+$BD13)*(1+$BE13)+(($BF13+$BG13)/2*IF($G$1="破竹",$AK13,$AI13)+IF($G$1="破竹",$AL13*1.5,0))*(1+$BH13)*(1+$BI13))*(1+$AM13)*$Q13*(1+IF(VLOOKUP($R13,武学奇术!$A:$ZZ,30,FALSE)="回旋伞",$B$21,0))*(1+$BR13)</f>
        <v>38524.9397274718</v>
      </c>
      <c r="P13" s="38">
        <f>((($AO13*$AI13+$AJ13)*(1+$AQ13)*(1+$AR13)+($AT13*IF($G$1="鸣金",$AK13,$AI13)+IF($G$1="鸣金",$AL13*1.5,0))*(1+$AV13)*(1+$AW13)+($AX13*IF($G$1="裂石",$AK13,$AI13)+IF($G$1="裂石",$AL13*1.5,0))*(1+$AZ13)*(1+$BA13)+($BB13*IF($G$1="牵丝",$AK13,$AI13)+IF($G$1="牵丝",$AL13*1.5,0))*(1+$BD13)*(1+$BE13)+($BF13*IF($G$1="破竹",$AK13,$AI13)+IF($G$1="破竹",$AL13*1.5,0))*(1+$BH13)*(1+$BI13))*(1+$AM13))*$Q13*(1+IF(VLOOKUP($R13,武学奇术!$A:$ZZ,30,FALSE)="回旋伞",$B$21,0))*(1+$BR13)</f>
        <v>33847.358395194</v>
      </c>
      <c r="Q13" s="39">
        <v>1</v>
      </c>
      <c r="R13" s="40" t="s">
        <v>108</v>
      </c>
      <c r="S13" s="40" t="s">
        <v>109</v>
      </c>
      <c r="T13" s="40" t="s">
        <v>119</v>
      </c>
      <c r="U13" s="40" t="s">
        <v>73</v>
      </c>
      <c r="V13" s="40" t="s">
        <v>81</v>
      </c>
      <c r="W13" s="40" t="s">
        <v>82</v>
      </c>
      <c r="X13" s="40" t="s">
        <v>90</v>
      </c>
      <c r="Y13" s="40" t="s">
        <v>72</v>
      </c>
      <c r="Z13" s="40" t="s">
        <v>72</v>
      </c>
      <c r="AA13" s="40" t="s">
        <v>72</v>
      </c>
      <c r="AB13" s="40" t="s">
        <v>120</v>
      </c>
      <c r="AC13" s="40" t="s">
        <v>72</v>
      </c>
      <c r="AD13" s="40" t="s">
        <v>72</v>
      </c>
      <c r="AE13" s="40" t="s">
        <v>72</v>
      </c>
      <c r="AF13" s="40" t="s">
        <v>72</v>
      </c>
      <c r="AG13" s="40" t="s">
        <v>78</v>
      </c>
      <c r="AH13" t="str">
        <f>VLOOKUP($R13,武学奇术!$A:$ZZ,25,FALSE)</f>
        <v>伞</v>
      </c>
      <c r="AI13" s="26">
        <f>VLOOKUP($R13,武学奇术!$A:$ZZ,26,FALSE)</f>
        <v>1.8084</v>
      </c>
      <c r="AJ13" s="27">
        <f>VLOOKUP($R13,武学奇术!$A:$ZZ,27,FALSE)*(1+IF(OR($AH13=$F$4,$AH13=$F$5),$B$22,0))</f>
        <v>750</v>
      </c>
      <c r="AK13" s="26">
        <f>VLOOKUP($R13,武学奇术!$A:$ZZ,28,FALSE)</f>
        <v>2.7126</v>
      </c>
      <c r="AL13" s="27">
        <f>VLOOKUP($R13,武学奇术!$A:$ZZ,29,FALSE)*(1+IF(OR($AH13=$F$4,$AH13=$F$5),$B$22,0))</f>
        <v>408</v>
      </c>
      <c r="AM13" s="26" cm="1">
        <f t="array" ref="AM13">$G$3+IFERROR(VLOOKUP($AH13,$F$4:$G$7,2,FALSE),0)+VLOOKUP($R13,武学奇术!$A:$ZZ,2,FALSE)+SUM(_xlfn.XLOOKUP($S13:$AG13,增益!$A:$A,增益!$B:$B,0))</f>
        <v>0.7541</v>
      </c>
      <c r="AN13" s="26" cm="1">
        <f t="array" ref="AN13">VLOOKUP($R13,武学奇术!$A:$ZZ,5,FALSE)+SUM(_xlfn.XLOOKUP($S13:$AG13,增益!$A:$A,增益!$E:$E,0))</f>
        <v>0</v>
      </c>
      <c r="AO13" cm="1">
        <f t="array" ref="AO13">$D$10*(1+$AN13)+VLOOKUP($R13,武学奇术!$A:$ZZ,3,FALSE)+SUM(_xlfn.XLOOKUP($S13:$AG13,增益!$A:$A,增益!$C:$C,0))-$I$2</f>
        <v>3562.6</v>
      </c>
      <c r="AP13" cm="1">
        <f t="array" ref="AP13">$E$10*(1+$AN13)+VLOOKUP($R13,武学奇术!$A:$ZZ,4,FALSE)+SUM(_xlfn.XLOOKUP($S13:$AG13,增益!$A:$A,增益!$D:$D,0))-$I$2</f>
        <v>3562.6</v>
      </c>
      <c r="AQ13" s="32" cm="1">
        <f t="array" ref="AQ13">IF($F$10-$I$3+VLOOKUP($R13,武学奇术!$A:$ZZ,6,FALSE)+SUM(_xlfn.XLOOKUP(S13:AG13,增益!$A:$A,增益!$F:$F,0))&gt;0,($F$10-$I$3+VLOOKUP($R13,武学奇术!$A:$ZZ,6,FALSE)+SUM(_xlfn.XLOOKUP(S13:AG13,增益!$A:$A,增益!$F:$F,0)))/200,($F$10-$I$3+VLOOKUP($R13,武学奇术!$A:$ZZ,6,FALSE)+SUM(_xlfn.XLOOKUP(S13:AG13,增益!$A:$A,增益!$F:$F,0)))/100)</f>
        <v>0.2625</v>
      </c>
      <c r="AR13" s="32" cm="1">
        <f t="array" ref="AR13">$G$10+VLOOKUP($R13,武学奇术!$A:$ZZ,7,FALSE)+SUM(_xlfn.XLOOKUP(S13:AG13,增益!$A:$A,增益!$G:$G,0))</f>
        <v>0.148</v>
      </c>
      <c r="AS13" s="26" cm="1">
        <f t="array" ref="AS13">VLOOKUP($R13,武学奇术!$A:$ZZ,8,FALSE)+SUM(_xlfn.XLOOKUP(S13:AG13,增益!$A:$A,增益!$H:$H,0))</f>
        <v>0</v>
      </c>
      <c r="AT13">
        <f t="shared" si="1"/>
        <v>0</v>
      </c>
      <c r="AU13">
        <f t="shared" si="2"/>
        <v>0</v>
      </c>
      <c r="AV13" s="32" cm="1">
        <f t="array" ref="AV13">IF($F$11-$I$4+VLOOKUP($R13,武学奇术!$A:$ZZ,9,FALSE)+SUM(_xlfn.XLOOKUP(S13:AG13,增益!$A:$A,增益!$I:$I,0))&gt;0,($F$11-$I$4+VLOOKUP($R13,武学奇术!$A:$ZZ,9,FALSE)+SUM(_xlfn.XLOOKUP(S13:AG13,增益!$A:$A,增益!$I:$I,0)))/200,($F$11-$I$4+VLOOKUP($R13,武学奇术!$A:$ZZ,9,FALSE)+SUM(_xlfn.XLOOKUP(S13:AG13,增益!$A:$A,增益!$I:$I,0)))/100)</f>
        <v>-0.3</v>
      </c>
      <c r="AW13" s="32" cm="1">
        <f t="array" ref="AW13">$G$11+VLOOKUP($R13,武学奇术!$A:$ZZ,10,FALSE)+SUM(_xlfn.XLOOKUP(S13:AG13,增益!$A:$A,增益!$J:$J,0))</f>
        <v>0</v>
      </c>
      <c r="AX13">
        <f t="shared" si="3"/>
        <v>0</v>
      </c>
      <c r="AY13">
        <f t="shared" si="4"/>
        <v>0</v>
      </c>
      <c r="AZ13" s="32" cm="1">
        <f t="array" ref="AZ13">IF($F$12-$I$4+VLOOKUP($R13,武学奇术!$A:$ZZ,11,FALSE)+SUM(_xlfn.XLOOKUP(S13:AG13,增益!$A:$A,增益!$K:$K,0))&gt;0,($F$12-$I$4+VLOOKUP($R13,武学奇术!$A:$ZZ,11,FALSE)+SUM(_xlfn.XLOOKUP(S13:AG13,增益!$A:$A,增益!$K:$K,0)))/200,($F$12-$I$4+VLOOKUP($R13,武学奇术!$A:$ZZ,11,FALSE)+SUM(_xlfn.XLOOKUP(S13:AG13,增益!$A:$A,增益!$K:$K,0)))/100)</f>
        <v>-0.3</v>
      </c>
      <c r="BA13" s="32" cm="1">
        <f t="array" ref="BA13">$G$12+VLOOKUP($R13,武学奇术!$A:$ZZ,12,FALSE)+SUM(_xlfn.XLOOKUP(S13:AG13,增益!$A:$A,增益!$L:$L,0))</f>
        <v>0</v>
      </c>
      <c r="BB13">
        <f t="shared" si="5"/>
        <v>0</v>
      </c>
      <c r="BC13">
        <f t="shared" si="6"/>
        <v>0</v>
      </c>
      <c r="BD13" s="32" cm="1">
        <f t="array" ref="BD13">IF($F$13-$I$4+VLOOKUP($R13,武学奇术!$A:$ZZ,13,FALSE)+SUM(_xlfn.XLOOKUP(S13:AG13,增益!$A:$A,增益!$M:$M,0))&gt;0,($F$13-$I$4+VLOOKUP($R13,武学奇术!$A:$ZZ,13,FALSE)+SUM(_xlfn.XLOOKUP(S13:AG13,增益!$A:$A,增益!$K:$K,0)))/200,($F$13-$I$4+VLOOKUP($R13,武学奇术!$A:$ZZ,13,FALSE)+SUM(_xlfn.XLOOKUP(S13:AG13,增益!$A:$A,增益!$M:$M,0)))/100)</f>
        <v>-0.3</v>
      </c>
      <c r="BE13" s="32" cm="1">
        <f t="array" ref="BE13">$G$13+VLOOKUP($R13,武学奇术!$A:$ZZ,14,FALSE)+SUM(_xlfn.XLOOKUP(S13:AG13,增益!$A:$A,增益!$N:$N,0))</f>
        <v>0</v>
      </c>
      <c r="BF13">
        <f t="shared" si="7"/>
        <v>571.2</v>
      </c>
      <c r="BG13">
        <f t="shared" si="8"/>
        <v>1627.8</v>
      </c>
      <c r="BH13" s="32" cm="1">
        <f t="array" ref="BH13">IF($F$14-$I$4+VLOOKUP($R13,武学奇术!$A:$ZZ,15,FALSE)+SUM(_xlfn.XLOOKUP(S13:AG13,增益!$A:$A,增益!$O:$O,0))&gt;0,($F$14-$I$4+VLOOKUP($R13,武学奇术!$A:$ZZ,15,FALSE)+SUM(_xlfn.XLOOKUP(S13:AG13,增益!$A:$A,增益!$O:$O,0)))/200,($F$14-$I$4+VLOOKUP($R13,武学奇术!$A:$ZZ,15,FALSE)+SUM(_xlfn.XLOOKUP(S13:AG13,增益!$A:$A,增益!$O:$O,0)))/100)</f>
        <v>0</v>
      </c>
      <c r="BI13" s="32" cm="1">
        <f t="array" ref="BI13">$G$14+VLOOKUP($R13,武学奇术!$A:$ZZ,16,FALSE)+SUM(_xlfn.XLOOKUP(S13:AG13,增益!$A:$A,增益!$P:$P,0))</f>
        <v>0.27</v>
      </c>
      <c r="BJ13" s="26">
        <f>MIN(IF(VLOOKUP($R13,武学奇术!$A:$ZZ,23,FALSE)=1,100%,$B$8),100%)</f>
        <v>0.981</v>
      </c>
      <c r="BK13" s="26" cm="1">
        <f t="array" ref="BK13">IF(VLOOKUP($R13,武学奇术!$A:$ZZ,23,FALSE)=1,100%,MIN(80%,$B$9+VLOOKUP($R13,武学奇术!$A:$ZZ,17,FALSE)+SUM(_xlfn.XLOOKUP(S13:AG13,增益!$A:$A,增益!$Q:$Q,0)))+$B$11+SUM(_xlfn.XLOOKUP(S13:AG13,增益!$A:$A,增益!$U:$U,0)))*IF(VLOOKUP($R13,武学奇术!$A:$ZZ,24,FALSE)=1,0,1)</f>
        <v>0.846</v>
      </c>
      <c r="BL13" s="26" cm="1">
        <f t="array" ref="BL13">1+$B$13+VLOOKUP($R13,武学奇术!$A:$ZZ,18,FALSE)+SUM(_xlfn.XLOOKUP(S13:AG13,增益!$A:$A,增益!$R:$R,0))</f>
        <v>1.95</v>
      </c>
      <c r="BM13" s="26" cm="1">
        <f t="array" ref="BM13">IF(VLOOKUP($R13,武学奇术!$A:$ZZ,24,FALSE)=1,100%,MIN(40%,$B$10+VLOOKUP($R13,武学奇术!$A:$ZZ,19,FALSE)+SUM(_xlfn.XLOOKUP(S13:AG13,增益!$A:$A,增益!$S:$S,0)))+$B$12+SUM(_xlfn.XLOOKUP(S13:AG13,增益!$A:$A,增益!$V:$V,0)))*IF(VLOOKUP($R13,武学奇术!$A:$ZZ,23,FALSE)=1,0,1)</f>
        <v>0.0929</v>
      </c>
      <c r="BN13" s="26" cm="1">
        <f t="array" ref="BN13">1+$B$14+VLOOKUP($R13,武学奇术!$A:$ZZ,20,FALSE)+SUM(_xlfn.XLOOKUP(S13:AG13,增益!$A:$A,增益!$T:$T,0))</f>
        <v>1.35</v>
      </c>
      <c r="BO13" s="26">
        <f t="shared" si="9"/>
        <v>0.829926</v>
      </c>
      <c r="BP13" s="26">
        <f t="shared" si="10"/>
        <v>0.0599391</v>
      </c>
      <c r="BQ13" s="26">
        <f>IF(VLOOKUP($R13,武学奇术!$A:$ZZ,22,FALSE)=1,0,(1-$BJ13))*(1-$BM13)</f>
        <v>0.0172349</v>
      </c>
      <c r="BR13" s="26" cm="1">
        <f t="array" ref="BR13">SUM(_xlfn.XLOOKUP(S13:AG13,增益!$A:$A,增益!$W:$W,0))+$I$5</f>
        <v>0.11</v>
      </c>
    </row>
    <row r="14" ht="14.25" spans="1:70">
      <c r="A14" s="41" t="s">
        <v>121</v>
      </c>
      <c r="B14" s="69">
        <f>期望!B14</f>
        <v>0.35</v>
      </c>
      <c r="C14" s="23" t="s">
        <v>5</v>
      </c>
      <c r="D14" s="23">
        <f>期望!D14</f>
        <v>571.2</v>
      </c>
      <c r="E14" s="23">
        <f>期望!E14</f>
        <v>1627.8</v>
      </c>
      <c r="F14" s="23">
        <f>期望!F14</f>
        <v>30</v>
      </c>
      <c r="G14" s="63">
        <f>期望!G14</f>
        <v>0.15</v>
      </c>
      <c r="H14" s="36" t="s">
        <v>122</v>
      </c>
      <c r="I14" s="72">
        <f>I12+120000*10%</f>
        <v>129307.921624983</v>
      </c>
      <c r="J14" s="73"/>
      <c r="K14">
        <f>$L14*VLOOKUP($R14,武学奇术!$A:$ZZ,31,FALSE)</f>
        <v>43264.6840812543</v>
      </c>
      <c r="L14" s="38">
        <f t="shared" si="0"/>
        <v>41204.461029766</v>
      </c>
      <c r="M14" s="38">
        <f>((($AO14+$AP14)/2*$AI14+$AJ14)*(1+$AQ14)*(1+$AR14)+(($AT14+$AU14)/2*IF($G$1="鸣金",$AK14,$AI14)+IF($G$1="鸣金",$AL14*1.5,0))*(1+$AV14)*(1+$AW14)+(($AX14+$AY14)/2*IF($G$1="裂石",$AK14,$AI14)+IF($G$1="裂石",$AL14*1.5,0))*(1+$AZ14)*(1+$BA14)+(($BB14+$BC14)/2*IF($G$1="牵丝",$AK14,$AI14)+IF($G$1="牵丝",$AL14*1.5,0))*(1+$BD14)*(1+$BE14)+(($BF14+$BG14)/2*IF($G$1="破竹",$AK14,$AI14)+IF($G$1="破竹",$AL14*1.5,0))*(1+$BH14)*(1+$BI14))*(1+$AM14)*$BL14*$Q14*(1+IF(VLOOKUP($R14,武学奇术!$A:$ZZ,30,FALSE)="回旋伞",$B$21,0))*(1+$BR14)</f>
        <v>43764.2140753841</v>
      </c>
      <c r="N14" s="38">
        <f>(($AP14*$AI14+$AJ14)*(1+$AQ14)*(1+$AR14)+($AU14*IF($G$1="鸣金",$AK14,$AI14)+IF($G$1="鸣金",$AL14*1.5,0))*(1+$AV14)*(1+$AW14)+($AY14*IF($G$1="裂石",$AK14,$AI14)+IF($G$1="裂石",$AL14*1.5,0))*(1+$AZ14)*(1+$BA14)+($BC14*IF($G$1="牵丝",$AK14,$AI14)+IF($G$1="牵丝",$AL14*1.5,0))*(1+$BD14)*(1+$BE14)+($BG14*IF($G$1="破竹",$AK14,$AI14)+IF($G$1="破竹",$AL14*1.5,0))*(1+$BH14)*(1+$BI14))*(1+$AM14)*$BN14*$Q14*(1+IF(VLOOKUP($R14,武学奇术!$A:$ZZ,30,FALSE)="回旋伞",$B$21,0))*(1+$BR14)</f>
        <v>34499.5354514125</v>
      </c>
      <c r="O14" s="38">
        <f>((($AO14+$AP14)/2*$AI14+$AJ14)*(1+$AQ14)*(1+$AR14)+(($AT14+$AU14)/2*IF($G$1="鸣金",$AK14,$AI14)+IF($G$1="鸣金",$AL14*1.5,0))*(1+$AV14)*(1+$AW14)+(($AX14+$AY14)/2*IF($G$1="裂石",$AK14,$AI14)+IF($G$1="裂石",$AL14*1.5,0))*(1+$AZ14)*(1+$BA14)+(($BB14+$BC14)/2*IF($G$1="牵丝",$AK14,$AI14)+IF($G$1="牵丝",$AL14*1.5,0))*(1+$BD14)*(1+$BE14)+(($BF14+$BG14)/2*IF($G$1="破竹",$AK14,$AI14)+IF($G$1="破竹",$AL14*1.5,0))*(1+$BH14)*(1+$BI14))*(1+$AM14)*$Q14*(1+IF(VLOOKUP($R14,武学奇术!$A:$ZZ,30,FALSE)="回旋伞",$B$21,0))*(1+$BR14)</f>
        <v>22443.1867053252</v>
      </c>
      <c r="P14" s="38">
        <f>((($AO14*$AI14+$AJ14)*(1+$AQ14)*(1+$AR14)+($AT14*IF($G$1="鸣金",$AK14,$AI14)+IF($G$1="鸣金",$AL14*1.5,0))*(1+$AV14)*(1+$AW14)+($AX14*IF($G$1="裂石",$AK14,$AI14)+IF($G$1="裂石",$AL14*1.5,0))*(1+$AZ14)*(1+$BA14)+($BB14*IF($G$1="牵丝",$AK14,$AI14)+IF($G$1="牵丝",$AL14*1.5,0))*(1+$BD14)*(1+$BE14)+($BF14*IF($G$1="破竹",$AK14,$AI14)+IF($G$1="破竹",$AL14*1.5,0))*(1+$BH14)*(1+$BI14))*(1+$AM14))*$Q14*(1+IF(VLOOKUP($R14,武学奇术!$A:$ZZ,30,FALSE)="回旋伞",$B$21,0))*(1+$BR14)</f>
        <v>19331.1619651596</v>
      </c>
      <c r="Q14" s="39">
        <v>2</v>
      </c>
      <c r="R14" s="40" t="s">
        <v>112</v>
      </c>
      <c r="S14" s="40" t="s">
        <v>109</v>
      </c>
      <c r="T14" s="40" t="s">
        <v>119</v>
      </c>
      <c r="U14" s="40" t="s">
        <v>73</v>
      </c>
      <c r="V14" s="40" t="s">
        <v>81</v>
      </c>
      <c r="W14" s="40" t="s">
        <v>82</v>
      </c>
      <c r="X14" s="40" t="s">
        <v>90</v>
      </c>
      <c r="Y14" s="40" t="s">
        <v>72</v>
      </c>
      <c r="Z14" s="40" t="s">
        <v>72</v>
      </c>
      <c r="AA14" s="40" t="s">
        <v>72</v>
      </c>
      <c r="AB14" s="40" t="s">
        <v>120</v>
      </c>
      <c r="AC14" s="40" t="s">
        <v>72</v>
      </c>
      <c r="AD14" s="40" t="s">
        <v>72</v>
      </c>
      <c r="AE14" s="40" t="s">
        <v>72</v>
      </c>
      <c r="AF14" s="40" t="s">
        <v>72</v>
      </c>
      <c r="AG14" s="40" t="s">
        <v>78</v>
      </c>
      <c r="AH14" t="str">
        <f>VLOOKUP($R14,武学奇术!$A:$ZZ,25,FALSE)</f>
        <v>伞</v>
      </c>
      <c r="AI14" s="26">
        <f>VLOOKUP($R14,武学奇术!$A:$ZZ,26,FALSE)</f>
        <v>0.54</v>
      </c>
      <c r="AJ14" s="27">
        <f>VLOOKUP($R14,武学奇术!$A:$ZZ,27,FALSE)*(1+IF(OR($AH14=$F$4,$AH14=$F$5),$B$22,0))</f>
        <v>0</v>
      </c>
      <c r="AK14" s="26">
        <f>VLOOKUP($R14,武学奇术!$A:$ZZ,28,FALSE)</f>
        <v>0.81</v>
      </c>
      <c r="AL14" s="27">
        <f>VLOOKUP($R14,武学奇术!$A:$ZZ,29,FALSE)*(1+IF(OR($AH14=$F$4,$AH14=$F$5),$B$22,0))</f>
        <v>0</v>
      </c>
      <c r="AM14" s="26" cm="1">
        <f t="array" ref="AM14">$G$3+IFERROR(VLOOKUP($AH14,$F$4:$G$7,2,FALSE),0)+VLOOKUP($R14,武学奇术!$A:$ZZ,2,FALSE)+SUM(_xlfn.XLOOKUP($S14:$AG14,增益!$A:$A,增益!$B:$B,0))</f>
        <v>0.9541</v>
      </c>
      <c r="AN14" s="26" cm="1">
        <f t="array" ref="AN14">VLOOKUP($R14,武学奇术!$A:$ZZ,5,FALSE)+SUM(_xlfn.XLOOKUP($S14:$AG14,增益!$A:$A,增益!$E:$E,0))</f>
        <v>0</v>
      </c>
      <c r="AO14" cm="1">
        <f t="array" ref="AO14">$D$10*(1+$AN14)+VLOOKUP($R14,武学奇术!$A:$ZZ,3,FALSE)+SUM(_xlfn.XLOOKUP($S14:$AG14,增益!$A:$A,增益!$C:$C,0))-$I$2</f>
        <v>3562.6</v>
      </c>
      <c r="AP14" cm="1">
        <f t="array" ref="AP14">$E$10*(1+$AN14)+VLOOKUP($R14,武学奇术!$A:$ZZ,4,FALSE)+SUM(_xlfn.XLOOKUP($S14:$AG14,增益!$A:$A,增益!$D:$D,0))-$I$2</f>
        <v>3562.6</v>
      </c>
      <c r="AQ14" s="32" cm="1">
        <f t="array" ref="AQ14">IF($F$10-$I$3+VLOOKUP($R14,武学奇术!$A:$ZZ,6,FALSE)+SUM(_xlfn.XLOOKUP(S14:AG14,增益!$A:$A,增益!$F:$F,0))&gt;0,($F$10-$I$3+VLOOKUP($R14,武学奇术!$A:$ZZ,6,FALSE)+SUM(_xlfn.XLOOKUP(S14:AG14,增益!$A:$A,增益!$F:$F,0)))/200,($F$10-$I$3+VLOOKUP($R14,武学奇术!$A:$ZZ,6,FALSE)+SUM(_xlfn.XLOOKUP(S14:AG14,增益!$A:$A,增益!$F:$F,0)))/100)</f>
        <v>0.2625</v>
      </c>
      <c r="AR14" s="32" cm="1">
        <f t="array" ref="AR14">$G$10+VLOOKUP($R14,武学奇术!$A:$ZZ,7,FALSE)+SUM(_xlfn.XLOOKUP(S14:AG14,增益!$A:$A,增益!$G:$G,0))</f>
        <v>0.148</v>
      </c>
      <c r="AS14" s="26" cm="1">
        <f t="array" ref="AS14">VLOOKUP($R14,武学奇术!$A:$ZZ,8,FALSE)+SUM(_xlfn.XLOOKUP(S14:AG14,增益!$A:$A,增益!$H:$H,0))</f>
        <v>0</v>
      </c>
      <c r="AT14">
        <f t="shared" si="1"/>
        <v>0</v>
      </c>
      <c r="AU14">
        <f t="shared" si="2"/>
        <v>0</v>
      </c>
      <c r="AV14" s="32" cm="1">
        <f t="array" ref="AV14">IF($F$11-$I$4+VLOOKUP($R14,武学奇术!$A:$ZZ,9,FALSE)+SUM(_xlfn.XLOOKUP(S14:AG14,增益!$A:$A,增益!$I:$I,0))&gt;0,($F$11-$I$4+VLOOKUP($R14,武学奇术!$A:$ZZ,9,FALSE)+SUM(_xlfn.XLOOKUP(S14:AG14,增益!$A:$A,增益!$I:$I,0)))/200,($F$11-$I$4+VLOOKUP($R14,武学奇术!$A:$ZZ,9,FALSE)+SUM(_xlfn.XLOOKUP(S14:AG14,增益!$A:$A,增益!$I:$I,0)))/100)</f>
        <v>-0.3</v>
      </c>
      <c r="AW14" s="32" cm="1">
        <f t="array" ref="AW14">$G$11+VLOOKUP($R14,武学奇术!$A:$ZZ,10,FALSE)+SUM(_xlfn.XLOOKUP(S14:AG14,增益!$A:$A,增益!$J:$J,0))</f>
        <v>0</v>
      </c>
      <c r="AX14">
        <f t="shared" si="3"/>
        <v>0</v>
      </c>
      <c r="AY14">
        <f t="shared" si="4"/>
        <v>0</v>
      </c>
      <c r="AZ14" s="32" cm="1">
        <f t="array" ref="AZ14">IF($F$12-$I$4+VLOOKUP($R14,武学奇术!$A:$ZZ,11,FALSE)+SUM(_xlfn.XLOOKUP(S14:AG14,增益!$A:$A,增益!$K:$K,0))&gt;0,($F$12-$I$4+VLOOKUP($R14,武学奇术!$A:$ZZ,11,FALSE)+SUM(_xlfn.XLOOKUP(S14:AG14,增益!$A:$A,增益!$K:$K,0)))/200,($F$12-$I$4+VLOOKUP($R14,武学奇术!$A:$ZZ,11,FALSE)+SUM(_xlfn.XLOOKUP(S14:AG14,增益!$A:$A,增益!$K:$K,0)))/100)</f>
        <v>-0.3</v>
      </c>
      <c r="BA14" s="32" cm="1">
        <f t="array" ref="BA14">$G$12+VLOOKUP($R14,武学奇术!$A:$ZZ,12,FALSE)+SUM(_xlfn.XLOOKUP(S14:AG14,增益!$A:$A,增益!$L:$L,0))</f>
        <v>0</v>
      </c>
      <c r="BB14">
        <f t="shared" si="5"/>
        <v>0</v>
      </c>
      <c r="BC14">
        <f t="shared" si="6"/>
        <v>0</v>
      </c>
      <c r="BD14" s="32" cm="1">
        <f t="array" ref="BD14">IF($F$13-$I$4+VLOOKUP($R14,武学奇术!$A:$ZZ,13,FALSE)+SUM(_xlfn.XLOOKUP(S14:AG14,增益!$A:$A,增益!$M:$M,0))&gt;0,($F$13-$I$4+VLOOKUP($R14,武学奇术!$A:$ZZ,13,FALSE)+SUM(_xlfn.XLOOKUP(S14:AG14,增益!$A:$A,增益!$K:$K,0)))/200,($F$13-$I$4+VLOOKUP($R14,武学奇术!$A:$ZZ,13,FALSE)+SUM(_xlfn.XLOOKUP(S14:AG14,增益!$A:$A,增益!$M:$M,0)))/100)</f>
        <v>-0.3</v>
      </c>
      <c r="BE14" s="32" cm="1">
        <f t="array" ref="BE14">$G$13+VLOOKUP($R14,武学奇术!$A:$ZZ,14,FALSE)+SUM(_xlfn.XLOOKUP(S14:AG14,增益!$A:$A,增益!$N:$N,0))</f>
        <v>0</v>
      </c>
      <c r="BF14">
        <f t="shared" si="7"/>
        <v>571.2</v>
      </c>
      <c r="BG14">
        <f t="shared" si="8"/>
        <v>1627.8</v>
      </c>
      <c r="BH14" s="32" cm="1">
        <f t="array" ref="BH14">IF($F$14-$I$4+VLOOKUP($R14,武学奇术!$A:$ZZ,15,FALSE)+SUM(_xlfn.XLOOKUP(S14:AG14,增益!$A:$A,增益!$O:$O,0))&gt;0,($F$14-$I$4+VLOOKUP($R14,武学奇术!$A:$ZZ,15,FALSE)+SUM(_xlfn.XLOOKUP(S14:AG14,增益!$A:$A,增益!$O:$O,0)))/200,($F$14-$I$4+VLOOKUP($R14,武学奇术!$A:$ZZ,15,FALSE)+SUM(_xlfn.XLOOKUP(S14:AG14,增益!$A:$A,增益!$O:$O,0)))/100)</f>
        <v>0</v>
      </c>
      <c r="BI14" s="32" cm="1">
        <f t="array" ref="BI14">$G$14+VLOOKUP($R14,武学奇术!$A:$ZZ,16,FALSE)+SUM(_xlfn.XLOOKUP(S14:AG14,增益!$A:$A,增益!$P:$P,0))</f>
        <v>0.27</v>
      </c>
      <c r="BJ14" s="26">
        <f>MIN(IF(VLOOKUP($R14,武学奇术!$A:$ZZ,23,FALSE)=1,100%,$B$8),100%)</f>
        <v>0.981</v>
      </c>
      <c r="BK14" s="26" cm="1">
        <f t="array" ref="BK14">IF(VLOOKUP($R14,武学奇术!$A:$ZZ,23,FALSE)=1,100%,MIN(80%,$B$9+VLOOKUP($R14,武学奇术!$A:$ZZ,17,FALSE)+SUM(_xlfn.XLOOKUP(S14:AG14,增益!$A:$A,增益!$Q:$Q,0)))+$B$11+SUM(_xlfn.XLOOKUP(S14:AG14,增益!$A:$A,增益!$U:$U,0)))*IF(VLOOKUP($R14,武学奇术!$A:$ZZ,24,FALSE)=1,0,1)</f>
        <v>0.846</v>
      </c>
      <c r="BL14" s="26" cm="1">
        <f t="array" ref="BL14">1+$B$13+VLOOKUP($R14,武学奇术!$A:$ZZ,18,FALSE)+SUM(_xlfn.XLOOKUP(S14:AG14,增益!$A:$A,增益!$R:$R,0))</f>
        <v>1.95</v>
      </c>
      <c r="BM14" s="26" cm="1">
        <f t="array" ref="BM14">IF(VLOOKUP($R14,武学奇术!$A:$ZZ,24,FALSE)=1,100%,MIN(40%,$B$10+VLOOKUP($R14,武学奇术!$A:$ZZ,19,FALSE)+SUM(_xlfn.XLOOKUP(S14:AG14,增益!$A:$A,增益!$S:$S,0)))+$B$12+SUM(_xlfn.XLOOKUP(S14:AG14,增益!$A:$A,增益!$V:$V,0)))*IF(VLOOKUP($R14,武学奇术!$A:$ZZ,23,FALSE)=1,0,1)</f>
        <v>0.0929</v>
      </c>
      <c r="BN14" s="26" cm="1">
        <f t="array" ref="BN14">1+$B$14+VLOOKUP($R14,武学奇术!$A:$ZZ,20,FALSE)+SUM(_xlfn.XLOOKUP(S14:AG14,增益!$A:$A,增益!$T:$T,0))</f>
        <v>1.35</v>
      </c>
      <c r="BO14" s="26">
        <f t="shared" si="9"/>
        <v>0.829926</v>
      </c>
      <c r="BP14" s="26">
        <f t="shared" si="10"/>
        <v>0.0599391</v>
      </c>
      <c r="BQ14" s="26">
        <f>IF(VLOOKUP($R14,武学奇术!$A:$ZZ,22,FALSE)=1,0,(1-$BJ14))*(1-$BM14)</f>
        <v>0.0172349</v>
      </c>
      <c r="BR14" s="26" cm="1">
        <f t="array" ref="BR14">SUM(_xlfn.XLOOKUP(S14:AG14,增益!$A:$A,增益!$W:$W,0))+$I$5</f>
        <v>0.11</v>
      </c>
    </row>
    <row r="15" ht="14.25" spans="1:70">
      <c r="A15" s="41" t="s">
        <v>123</v>
      </c>
      <c r="B15" s="69">
        <f>期望!B15</f>
        <v>0.0852</v>
      </c>
      <c r="C15" s="39" t="s">
        <v>124</v>
      </c>
      <c r="D15" s="39"/>
      <c r="F15" s="78"/>
      <c r="H15" s="79"/>
      <c r="I15" s="74"/>
      <c r="J15" s="75"/>
      <c r="K15">
        <f>$L15*VLOOKUP($R15,武学奇术!$A:$ZZ,31,FALSE)</f>
        <v>89716.9832772822</v>
      </c>
      <c r="L15" s="38">
        <f t="shared" si="0"/>
        <v>85444.7459783639</v>
      </c>
      <c r="M15" s="38">
        <f>((($AO15+$AP15)/2*$AI15+$AJ15)*(1+$AQ15)*(1+$AR15)+(($AT15+$AU15)/2*IF($G$1="鸣金",$AK15,$AI15)+IF($G$1="鸣金",$AL15*1.5,0))*(1+$AV15)*(1+$AW15)+(($AX15+$AY15)/2*IF($G$1="裂石",$AK15,$AI15)+IF($G$1="裂石",$AL15*1.5,0))*(1+$AZ15)*(1+$BA15)+(($BB15+$BC15)/2*IF($G$1="牵丝",$AK15,$AI15)+IF($G$1="牵丝",$AL15*1.5,0))*(1+$BD15)*(1+$BE15)+(($BF15+$BG15)/2*IF($G$1="破竹",$AK15,$AI15)+IF($G$1="破竹",$AL15*1.5,0))*(1+$BH15)*(1+$BI15))*(1+$AM15)*$BL15*$Q15*(1+IF(VLOOKUP($R15,武学奇术!$A:$ZZ,30,FALSE)="回旋伞",$B$21,0))*(1+$BR15)</f>
        <v>85444.7459783639</v>
      </c>
      <c r="N15" s="38">
        <f>(($AP15*$AI15+$AJ15)*(1+$AQ15)*(1+$AR15)+($AU15*IF($G$1="鸣金",$AK15,$AI15)+IF($G$1="鸣金",$AL15*1.5,0))*(1+$AV15)*(1+$AW15)+($AY15*IF($G$1="裂石",$AK15,$AI15)+IF($G$1="裂石",$AL15*1.5,0))*(1+$AZ15)*(1+$BA15)+($BC15*IF($G$1="牵丝",$AK15,$AI15)+IF($G$1="牵丝",$AL15*1.5,0))*(1+$BD15)*(1+$BE15)+($BG15*IF($G$1="破竹",$AK15,$AI15)+IF($G$1="破竹",$AL15*1.5,0))*(1+$BH15)*(1+$BI15))*(1+$AM15)*$BN15*$Q15*(1+IF(VLOOKUP($R15,武学奇术!$A:$ZZ,30,FALSE)="回旋伞",$B$21,0))*(1+$BR15)</f>
        <v>65292.5132740287</v>
      </c>
      <c r="O15" s="38">
        <f>((($AO15+$AP15)/2*$AI15+$AJ15)*(1+$AQ15)*(1+$AR15)+(($AT15+$AU15)/2*IF($G$1="鸣金",$AK15,$AI15)+IF($G$1="鸣金",$AL15*1.5,0))*(1+$AV15)*(1+$AW15)+(($AX15+$AY15)/2*IF($G$1="裂石",$AK15,$AI15)+IF($G$1="裂石",$AL15*1.5,0))*(1+$AZ15)*(1+$BA15)+(($BB15+$BC15)/2*IF($G$1="牵丝",$AK15,$AI15)+IF($G$1="牵丝",$AL15*1.5,0))*(1+$BD15)*(1+$BE15)+(($BF15+$BG15)/2*IF($G$1="破竹",$AK15,$AI15)+IF($G$1="破竹",$AL15*1.5,0))*(1+$BH15)*(1+$BI15))*(1+$AM15)*$Q15*(1+IF(VLOOKUP($R15,武学奇术!$A:$ZZ,30,FALSE)="回旋伞",$B$21,0))*(1+$BR15)</f>
        <v>43153.9121102848</v>
      </c>
      <c r="P15" s="38">
        <f>((($AO15*$AI15+$AJ15)*(1+$AQ15)*(1+$AR15)+($AT15*IF($G$1="鸣金",$AK15,$AI15)+IF($G$1="鸣金",$AL15*1.5,0))*(1+$AV15)*(1+$AW15)+($AX15*IF($G$1="裂石",$AK15,$AI15)+IF($G$1="裂石",$AL15*1.5,0))*(1+$AZ15)*(1+$BA15)+($BB15*IF($G$1="牵丝",$AK15,$AI15)+IF($G$1="牵丝",$AL15*1.5,0))*(1+$BD15)*(1+$BE15)+($BF15*IF($G$1="破竹",$AK15,$AI15)+IF($G$1="破竹",$AL15*1.5,0))*(1+$BH15)*(1+$BI15))*(1+$AM15))*$Q15*(1+IF(VLOOKUP($R15,武学奇术!$A:$ZZ,30,FALSE)="回旋伞",$B$21,0))*(1+$BR15)</f>
        <v>37942.999573141</v>
      </c>
      <c r="Q15" s="39">
        <v>1</v>
      </c>
      <c r="R15" s="40" t="s">
        <v>125</v>
      </c>
      <c r="S15" s="40" t="s">
        <v>109</v>
      </c>
      <c r="T15" s="40" t="s">
        <v>95</v>
      </c>
      <c r="U15" s="40" t="s">
        <v>73</v>
      </c>
      <c r="V15" s="40" t="s">
        <v>81</v>
      </c>
      <c r="W15" s="40" t="s">
        <v>82</v>
      </c>
      <c r="X15" s="40" t="s">
        <v>90</v>
      </c>
      <c r="Y15" s="40" t="s">
        <v>72</v>
      </c>
      <c r="Z15" s="40" t="s">
        <v>72</v>
      </c>
      <c r="AA15" s="40" t="s">
        <v>72</v>
      </c>
      <c r="AB15" s="40" t="s">
        <v>126</v>
      </c>
      <c r="AC15" s="40" t="s">
        <v>72</v>
      </c>
      <c r="AD15" s="40" t="s">
        <v>72</v>
      </c>
      <c r="AE15" s="40" t="s">
        <v>72</v>
      </c>
      <c r="AF15" s="40" t="s">
        <v>72</v>
      </c>
      <c r="AG15" s="40" t="s">
        <v>78</v>
      </c>
      <c r="AH15" t="str">
        <f>VLOOKUP($R15,武学奇术!$A:$ZZ,25,FALSE)</f>
        <v>伞</v>
      </c>
      <c r="AI15" s="26">
        <f>VLOOKUP($R15,武学奇术!$A:$ZZ,26,FALSE)</f>
        <v>1.8084</v>
      </c>
      <c r="AJ15" s="27">
        <f>VLOOKUP($R15,武学奇术!$A:$ZZ,27,FALSE)*(1+IF(OR($AH15=$F$4,$AH15=$F$5),$B$22,0))</f>
        <v>750</v>
      </c>
      <c r="AK15" s="26">
        <f>VLOOKUP($R15,武学奇术!$A:$ZZ,28,FALSE)</f>
        <v>2.7126</v>
      </c>
      <c r="AL15" s="27">
        <f>VLOOKUP($R15,武学奇术!$A:$ZZ,29,FALSE)*(1+IF(OR($AH15=$F$4,$AH15=$F$5),$B$22,0))</f>
        <v>408</v>
      </c>
      <c r="AM15" s="26" cm="1">
        <f t="array" ref="AM15">$G$3+IFERROR(VLOOKUP($AH15,$F$4:$G$7,2,FALSE),0)+VLOOKUP($R15,武学奇术!$A:$ZZ,2,FALSE)+SUM(_xlfn.XLOOKUP($S15:$AG15,增益!$A:$A,增益!$B:$B,0))</f>
        <v>0.9541</v>
      </c>
      <c r="AN15" s="26" cm="1">
        <f t="array" ref="AN15">VLOOKUP($R15,武学奇术!$A:$ZZ,5,FALSE)+SUM(_xlfn.XLOOKUP($S15:$AG15,增益!$A:$A,增益!$E:$E,0))</f>
        <v>0</v>
      </c>
      <c r="AO15" cm="1">
        <f t="array" ref="AO15">$D$10*(1+$AN15)+VLOOKUP($R15,武学奇术!$A:$ZZ,3,FALSE)+SUM(_xlfn.XLOOKUP($S15:$AG15,增益!$A:$A,增益!$C:$C,0))-$I$2</f>
        <v>3562.6</v>
      </c>
      <c r="AP15" cm="1">
        <f t="array" ref="AP15">$E$10*(1+$AN15)+VLOOKUP($R15,武学奇术!$A:$ZZ,4,FALSE)+SUM(_xlfn.XLOOKUP($S15:$AG15,增益!$A:$A,增益!$D:$D,0))-$I$2</f>
        <v>3562.6</v>
      </c>
      <c r="AQ15" s="32" cm="1">
        <f t="array" ref="AQ15">IF($F$10-$I$3+VLOOKUP($R15,武学奇术!$A:$ZZ,6,FALSE)+SUM(_xlfn.XLOOKUP(S15:AG15,增益!$A:$A,增益!$F:$F,0))&gt;0,($F$10-$I$3+VLOOKUP($R15,武学奇术!$A:$ZZ,6,FALSE)+SUM(_xlfn.XLOOKUP(S15:AG15,增益!$A:$A,增益!$F:$F,0)))/200,($F$10-$I$3+VLOOKUP($R15,武学奇术!$A:$ZZ,6,FALSE)+SUM(_xlfn.XLOOKUP(S15:AG15,增益!$A:$A,增益!$F:$F,0)))/100)</f>
        <v>0.2725</v>
      </c>
      <c r="AR15" s="32" cm="1">
        <f t="array" ref="AR15">$G$10+VLOOKUP($R15,武学奇术!$A:$ZZ,7,FALSE)+SUM(_xlfn.XLOOKUP(S15:AG15,增益!$A:$A,增益!$G:$G,0))</f>
        <v>0.148</v>
      </c>
      <c r="AS15" s="26" cm="1">
        <f t="array" ref="AS15">VLOOKUP($R15,武学奇术!$A:$ZZ,8,FALSE)+SUM(_xlfn.XLOOKUP(S15:AG15,增益!$A:$A,增益!$H:$H,0))</f>
        <v>0</v>
      </c>
      <c r="AT15">
        <f t="shared" si="1"/>
        <v>0</v>
      </c>
      <c r="AU15">
        <f t="shared" si="2"/>
        <v>0</v>
      </c>
      <c r="AV15" s="32" cm="1">
        <f t="array" ref="AV15">IF($F$11-$I$4+VLOOKUP($R15,武学奇术!$A:$ZZ,9,FALSE)+SUM(_xlfn.XLOOKUP(S15:AG15,增益!$A:$A,增益!$I:$I,0))&gt;0,($F$11-$I$4+VLOOKUP($R15,武学奇术!$A:$ZZ,9,FALSE)+SUM(_xlfn.XLOOKUP(S15:AG15,增益!$A:$A,增益!$I:$I,0)))/200,($F$11-$I$4+VLOOKUP($R15,武学奇术!$A:$ZZ,9,FALSE)+SUM(_xlfn.XLOOKUP(S15:AG15,增益!$A:$A,增益!$I:$I,0)))/100)</f>
        <v>-0.3</v>
      </c>
      <c r="AW15" s="32" cm="1">
        <f t="array" ref="AW15">$G$11+VLOOKUP($R15,武学奇术!$A:$ZZ,10,FALSE)+SUM(_xlfn.XLOOKUP(S15:AG15,增益!$A:$A,增益!$J:$J,0))</f>
        <v>0</v>
      </c>
      <c r="AX15">
        <f t="shared" si="3"/>
        <v>0</v>
      </c>
      <c r="AY15">
        <f t="shared" si="4"/>
        <v>0</v>
      </c>
      <c r="AZ15" s="32" cm="1">
        <f t="array" ref="AZ15">IF($F$12-$I$4+VLOOKUP($R15,武学奇术!$A:$ZZ,11,FALSE)+SUM(_xlfn.XLOOKUP(S15:AG15,增益!$A:$A,增益!$K:$K,0))&gt;0,($F$12-$I$4+VLOOKUP($R15,武学奇术!$A:$ZZ,11,FALSE)+SUM(_xlfn.XLOOKUP(S15:AG15,增益!$A:$A,增益!$K:$K,0)))/200,($F$12-$I$4+VLOOKUP($R15,武学奇术!$A:$ZZ,11,FALSE)+SUM(_xlfn.XLOOKUP(S15:AG15,增益!$A:$A,增益!$K:$K,0)))/100)</f>
        <v>-0.3</v>
      </c>
      <c r="BA15" s="32" cm="1">
        <f t="array" ref="BA15">$G$12+VLOOKUP($R15,武学奇术!$A:$ZZ,12,FALSE)+SUM(_xlfn.XLOOKUP(S15:AG15,增益!$A:$A,增益!$L:$L,0))</f>
        <v>0</v>
      </c>
      <c r="BB15">
        <f t="shared" si="5"/>
        <v>0</v>
      </c>
      <c r="BC15">
        <f t="shared" si="6"/>
        <v>0</v>
      </c>
      <c r="BD15" s="32" cm="1">
        <f t="array" ref="BD15">IF($F$13-$I$4+VLOOKUP($R15,武学奇术!$A:$ZZ,13,FALSE)+SUM(_xlfn.XLOOKUP(S15:AG15,增益!$A:$A,增益!$M:$M,0))&gt;0,($F$13-$I$4+VLOOKUP($R15,武学奇术!$A:$ZZ,13,FALSE)+SUM(_xlfn.XLOOKUP(S15:AG15,增益!$A:$A,增益!$K:$K,0)))/200,($F$13-$I$4+VLOOKUP($R15,武学奇术!$A:$ZZ,13,FALSE)+SUM(_xlfn.XLOOKUP(S15:AG15,增益!$A:$A,增益!$M:$M,0)))/100)</f>
        <v>-0.3</v>
      </c>
      <c r="BE15" s="32" cm="1">
        <f t="array" ref="BE15">$G$13+VLOOKUP($R15,武学奇术!$A:$ZZ,14,FALSE)+SUM(_xlfn.XLOOKUP(S15:AG15,增益!$A:$A,增益!$N:$N,0))</f>
        <v>0</v>
      </c>
      <c r="BF15">
        <f t="shared" si="7"/>
        <v>571.2</v>
      </c>
      <c r="BG15">
        <f t="shared" si="8"/>
        <v>1627.8</v>
      </c>
      <c r="BH15" s="32" cm="1">
        <f t="array" ref="BH15">IF($F$14-$I$4+VLOOKUP($R15,武学奇术!$A:$ZZ,15,FALSE)+SUM(_xlfn.XLOOKUP(S15:AG15,增益!$A:$A,增益!$O:$O,0))&gt;0,($F$14-$I$4+VLOOKUP($R15,武学奇术!$A:$ZZ,15,FALSE)+SUM(_xlfn.XLOOKUP(S15:AG15,增益!$A:$A,增益!$O:$O,0)))/200,($F$14-$I$4+VLOOKUP($R15,武学奇术!$A:$ZZ,15,FALSE)+SUM(_xlfn.XLOOKUP(S15:AG15,增益!$A:$A,增益!$O:$O,0)))/100)</f>
        <v>0</v>
      </c>
      <c r="BI15" s="32" cm="1">
        <f t="array" ref="BI15">$G$14+VLOOKUP($R15,武学奇术!$A:$ZZ,16,FALSE)+SUM(_xlfn.XLOOKUP(S15:AG15,增益!$A:$A,增益!$P:$P,0))</f>
        <v>0.27</v>
      </c>
      <c r="BJ15" s="26">
        <f>MIN(IF(VLOOKUP($R15,武学奇术!$A:$ZZ,23,FALSE)=1,100%,$B$8),100%)</f>
        <v>1</v>
      </c>
      <c r="BK15" s="26" cm="1">
        <f t="array" ref="BK15">IF(VLOOKUP($R15,武学奇术!$A:$ZZ,23,FALSE)=1,100%,MIN(80%,$B$9+VLOOKUP($R15,武学奇术!$A:$ZZ,17,FALSE)+SUM(_xlfn.XLOOKUP(S15:AG15,增益!$A:$A,增益!$Q:$Q,0)))+$B$11+SUM(_xlfn.XLOOKUP(S15:AG15,增益!$A:$A,增益!$U:$U,0)))*IF(VLOOKUP($R15,武学奇术!$A:$ZZ,24,FALSE)=1,0,1)</f>
        <v>1</v>
      </c>
      <c r="BL15" s="26" cm="1">
        <f t="array" ref="BL15">1+$B$13+VLOOKUP($R15,武学奇术!$A:$ZZ,18,FALSE)+SUM(_xlfn.XLOOKUP(S15:AG15,增益!$A:$A,增益!$R:$R,0))</f>
        <v>1.98</v>
      </c>
      <c r="BM15" s="26" cm="1">
        <f t="array" ref="BM15">IF(VLOOKUP($R15,武学奇术!$A:$ZZ,24,FALSE)=1,100%,MIN(40%,$B$10+VLOOKUP($R15,武学奇术!$A:$ZZ,19,FALSE)+SUM(_xlfn.XLOOKUP(S15:AG15,增益!$A:$A,增益!$S:$S,0)))+$B$12+SUM(_xlfn.XLOOKUP(S15:AG15,增益!$A:$A,增益!$V:$V,0)))*IF(VLOOKUP($R15,武学奇术!$A:$ZZ,23,FALSE)=1,0,1)</f>
        <v>0</v>
      </c>
      <c r="BN15" s="26" cm="1">
        <f t="array" ref="BN15">1+$B$14+VLOOKUP($R15,武学奇术!$A:$ZZ,20,FALSE)+SUM(_xlfn.XLOOKUP(S15:AG15,增益!$A:$A,增益!$T:$T,0))</f>
        <v>1.35</v>
      </c>
      <c r="BO15" s="26">
        <f t="shared" si="9"/>
        <v>1</v>
      </c>
      <c r="BP15" s="26">
        <f t="shared" si="10"/>
        <v>0</v>
      </c>
      <c r="BQ15" s="26">
        <f>IF(VLOOKUP($R15,武学奇术!$A:$ZZ,22,FALSE)=1,0,(1-$BJ15))*(1-$BM15)</f>
        <v>0</v>
      </c>
      <c r="BR15" s="26" cm="1">
        <f t="array" ref="BR15">SUM(_xlfn.XLOOKUP(S15:AG15,增益!$A:$A,增益!$W:$W,0))+$I$5</f>
        <v>0.11</v>
      </c>
    </row>
    <row r="16" spans="1:70">
      <c r="A16" s="41" t="s">
        <v>127</v>
      </c>
      <c r="B16" s="69">
        <f>期望!B16</f>
        <v>0.0887</v>
      </c>
      <c r="C16" s="39" t="s">
        <v>128</v>
      </c>
      <c r="D16" s="78" t="s">
        <v>145</v>
      </c>
      <c r="E16" s="39" t="s">
        <v>130</v>
      </c>
      <c r="F16" s="78" t="s">
        <v>129</v>
      </c>
      <c r="H16" s="67" t="s">
        <v>131</v>
      </c>
      <c r="I16" s="80"/>
      <c r="J16" s="81"/>
      <c r="K16">
        <f>$L16*VLOOKUP($R16,武学奇术!$A:$ZZ,31,FALSE)</f>
        <v>51724.7566775208</v>
      </c>
      <c r="L16" s="38">
        <f t="shared" si="0"/>
        <v>49261.6730262103</v>
      </c>
      <c r="M16" s="38">
        <f>((($AO16+$AP16)/2*$AI16+$AJ16)*(1+$AQ16)*(1+$AR16)+(($AT16+$AU16)/2*IF($G$1="鸣金",$AK16,$AI16)+IF($G$1="鸣金",$AL16*1.5,0))*(1+$AV16)*(1+$AW16)+(($AX16+$AY16)/2*IF($G$1="裂石",$AK16,$AI16)+IF($G$1="裂石",$AL16*1.5,0))*(1+$AZ16)*(1+$BA16)+(($BB16+$BC16)/2*IF($G$1="牵丝",$AK16,$AI16)+IF($G$1="牵丝",$AL16*1.5,0))*(1+$BD16)*(1+$BE16)+(($BF16+$BG16)/2*IF($G$1="破竹",$AK16,$AI16)+IF($G$1="破竹",$AL16*1.5,0))*(1+$BH16)*(1+$BI16))*(1+$AM16)*$BL16*$Q16*(1+IF(VLOOKUP($R16,武学奇术!$A:$ZZ,30,FALSE)="回旋伞",$B$21,0))*(1+$BR16)</f>
        <v>49261.6730262103</v>
      </c>
      <c r="N16" s="38">
        <f>(($AP16*$AI16+$AJ16)*(1+$AQ16)*(1+$AR16)+($AU16*IF($G$1="鸣金",$AK16,$AI16)+IF($G$1="鸣金",$AL16*1.5,0))*(1+$AV16)*(1+$AW16)+($AY16*IF($G$1="裂石",$AK16,$AI16)+IF($G$1="裂石",$AL16*1.5,0))*(1+$AZ16)*(1+$BA16)+($BC16*IF($G$1="牵丝",$AK16,$AI16)+IF($G$1="牵丝",$AL16*1.5,0))*(1+$BD16)*(1+$BE16)+($BG16*IF($G$1="破竹",$AK16,$AI16)+IF($G$1="破竹",$AL16*1.5,0))*(1+$BH16)*(1+$BI16))*(1+$AM16)*$BN16*$Q16*(1+IF(VLOOKUP($R16,武学奇术!$A:$ZZ,30,FALSE)="回旋伞",$B$21,0))*(1+$BR16)</f>
        <v>38218.7293835256</v>
      </c>
      <c r="O16" s="38">
        <f>((($AO16+$AP16)/2*$AI16+$AJ16)*(1+$AQ16)*(1+$AR16)+(($AT16+$AU16)/2*IF($G$1="鸣金",$AK16,$AI16)+IF($G$1="鸣金",$AL16*1.5,0))*(1+$AV16)*(1+$AW16)+(($AX16+$AY16)/2*IF($G$1="裂石",$AK16,$AI16)+IF($G$1="裂石",$AL16*1.5,0))*(1+$AZ16)*(1+$BA16)+(($BB16+$BC16)/2*IF($G$1="牵丝",$AK16,$AI16)+IF($G$1="牵丝",$AL16*1.5,0))*(1+$BD16)*(1+$BE16)+(($BF16+$BG16)/2*IF($G$1="破竹",$AK16,$AI16)+IF($G$1="破竹",$AL16*1.5,0))*(1+$BH16)*(1+$BI16))*(1+$AM16)*$Q16*(1+IF(VLOOKUP($R16,武学奇术!$A:$ZZ,30,FALSE)="回旋伞",$B$21,0))*(1+$BR16)</f>
        <v>24879.6328415203</v>
      </c>
      <c r="P16" s="38">
        <f>((($AO16*$AI16+$AJ16)*(1+$AQ16)*(1+$AR16)+($AT16*IF($G$1="鸣金",$AK16,$AI16)+IF($G$1="鸣金",$AL16*1.5,0))*(1+$AV16)*(1+$AW16)+($AX16*IF($G$1="裂石",$AK16,$AI16)+IF($G$1="裂石",$AL16*1.5,0))*(1+$AZ16)*(1+$BA16)+($BB16*IF($G$1="牵丝",$AK16,$AI16)+IF($G$1="牵丝",$AL16*1.5,0))*(1+$BD16)*(1+$BE16)+($BF16*IF($G$1="破竹",$AK16,$AI16)+IF($G$1="破竹",$AL16*1.5,0))*(1+$BH16)*(1+$BI16))*(1+$AM16))*$Q16*(1+IF(VLOOKUP($R16,武学奇术!$A:$ZZ,30,FALSE)="回旋伞",$B$21,0))*(1+$BR16)</f>
        <v>21449.095769318</v>
      </c>
      <c r="Q16" s="39">
        <v>2</v>
      </c>
      <c r="R16" s="40" t="s">
        <v>132</v>
      </c>
      <c r="S16" s="40" t="s">
        <v>109</v>
      </c>
      <c r="T16" s="40" t="s">
        <v>95</v>
      </c>
      <c r="U16" s="40" t="s">
        <v>73</v>
      </c>
      <c r="V16" s="40" t="s">
        <v>81</v>
      </c>
      <c r="W16" s="40" t="s">
        <v>82</v>
      </c>
      <c r="X16" s="40" t="s">
        <v>90</v>
      </c>
      <c r="Y16" s="40" t="s">
        <v>72</v>
      </c>
      <c r="Z16" s="40" t="s">
        <v>72</v>
      </c>
      <c r="AA16" s="40" t="s">
        <v>72</v>
      </c>
      <c r="AB16" s="40" t="s">
        <v>126</v>
      </c>
      <c r="AC16" s="40" t="s">
        <v>72</v>
      </c>
      <c r="AD16" s="40" t="s">
        <v>72</v>
      </c>
      <c r="AE16" s="40" t="s">
        <v>72</v>
      </c>
      <c r="AF16" s="40" t="s">
        <v>72</v>
      </c>
      <c r="AG16" s="40" t="s">
        <v>78</v>
      </c>
      <c r="AH16" t="str">
        <f>VLOOKUP($R16,武学奇术!$A:$ZZ,25,FALSE)</f>
        <v>伞</v>
      </c>
      <c r="AI16" s="26">
        <f>VLOOKUP($R16,武学奇术!$A:$ZZ,26,FALSE)</f>
        <v>0.54</v>
      </c>
      <c r="AJ16" s="27">
        <f>VLOOKUP($R16,武学奇术!$A:$ZZ,27,FALSE)*(1+IF(OR($AH16=$F$4,$AH16=$F$5),$B$22,0))</f>
        <v>0</v>
      </c>
      <c r="AK16" s="26">
        <f>VLOOKUP($R16,武学奇术!$A:$ZZ,28,FALSE)</f>
        <v>0.81</v>
      </c>
      <c r="AL16" s="27">
        <f>VLOOKUP($R16,武学奇术!$A:$ZZ,29,FALSE)*(1+IF(OR($AH16=$F$4,$AH16=$F$5),$B$22,0))</f>
        <v>0</v>
      </c>
      <c r="AM16" s="26" cm="1">
        <f t="array" ref="AM16">$G$3+IFERROR(VLOOKUP($AH16,$F$4:$G$7,2,FALSE),0)+VLOOKUP($R16,武学奇术!$A:$ZZ,2,FALSE)+SUM(_xlfn.XLOOKUP($S16:$AG16,增益!$A:$A,增益!$B:$B,0))</f>
        <v>1.1541</v>
      </c>
      <c r="AN16" s="26" cm="1">
        <f t="array" ref="AN16">VLOOKUP($R16,武学奇术!$A:$ZZ,5,FALSE)+SUM(_xlfn.XLOOKUP($S16:$AG16,增益!$A:$A,增益!$E:$E,0))</f>
        <v>0</v>
      </c>
      <c r="AO16" cm="1">
        <f t="array" ref="AO16">$D$10*(1+$AN16)+VLOOKUP($R16,武学奇术!$A:$ZZ,3,FALSE)+SUM(_xlfn.XLOOKUP($S16:$AG16,增益!$A:$A,增益!$C:$C,0))-$I$2</f>
        <v>3562.6</v>
      </c>
      <c r="AP16" cm="1">
        <f t="array" ref="AP16">$E$10*(1+$AN16)+VLOOKUP($R16,武学奇术!$A:$ZZ,4,FALSE)+SUM(_xlfn.XLOOKUP($S16:$AG16,增益!$A:$A,增益!$D:$D,0))-$I$2</f>
        <v>3562.6</v>
      </c>
      <c r="AQ16" s="32" cm="1">
        <f t="array" ref="AQ16">IF($F$10-$I$3+VLOOKUP($R16,武学奇术!$A:$ZZ,6,FALSE)+SUM(_xlfn.XLOOKUP(S16:AG16,增益!$A:$A,增益!$F:$F,0))&gt;0,($F$10-$I$3+VLOOKUP($R16,武学奇术!$A:$ZZ,6,FALSE)+SUM(_xlfn.XLOOKUP(S16:AG16,增益!$A:$A,增益!$F:$F,0)))/200,($F$10-$I$3+VLOOKUP($R16,武学奇术!$A:$ZZ,6,FALSE)+SUM(_xlfn.XLOOKUP(S16:AG16,增益!$A:$A,增益!$F:$F,0)))/100)</f>
        <v>0.2725</v>
      </c>
      <c r="AR16" s="32" cm="1">
        <f t="array" ref="AR16">$G$10+VLOOKUP($R16,武学奇术!$A:$ZZ,7,FALSE)+SUM(_xlfn.XLOOKUP(S16:AG16,增益!$A:$A,增益!$G:$G,0))</f>
        <v>0.148</v>
      </c>
      <c r="AS16" s="26" cm="1">
        <f t="array" ref="AS16">VLOOKUP($R16,武学奇术!$A:$ZZ,8,FALSE)+SUM(_xlfn.XLOOKUP(S16:AG16,增益!$A:$A,增益!$H:$H,0))</f>
        <v>0</v>
      </c>
      <c r="AT16">
        <f t="shared" si="1"/>
        <v>0</v>
      </c>
      <c r="AU16">
        <f t="shared" si="2"/>
        <v>0</v>
      </c>
      <c r="AV16" s="32" cm="1">
        <f t="array" ref="AV16">IF($F$11-$I$4+VLOOKUP($R16,武学奇术!$A:$ZZ,9,FALSE)+SUM(_xlfn.XLOOKUP(S16:AG16,增益!$A:$A,增益!$I:$I,0))&gt;0,($F$11-$I$4+VLOOKUP($R16,武学奇术!$A:$ZZ,9,FALSE)+SUM(_xlfn.XLOOKUP(S16:AG16,增益!$A:$A,增益!$I:$I,0)))/200,($F$11-$I$4+VLOOKUP($R16,武学奇术!$A:$ZZ,9,FALSE)+SUM(_xlfn.XLOOKUP(S16:AG16,增益!$A:$A,增益!$I:$I,0)))/100)</f>
        <v>-0.3</v>
      </c>
      <c r="AW16" s="32" cm="1">
        <f t="array" ref="AW16">$G$11+VLOOKUP($R16,武学奇术!$A:$ZZ,10,FALSE)+SUM(_xlfn.XLOOKUP(S16:AG16,增益!$A:$A,增益!$J:$J,0))</f>
        <v>0</v>
      </c>
      <c r="AX16">
        <f t="shared" si="3"/>
        <v>0</v>
      </c>
      <c r="AY16">
        <f t="shared" si="4"/>
        <v>0</v>
      </c>
      <c r="AZ16" s="32" cm="1">
        <f t="array" ref="AZ16">IF($F$12-$I$4+VLOOKUP($R16,武学奇术!$A:$ZZ,11,FALSE)+SUM(_xlfn.XLOOKUP(S16:AG16,增益!$A:$A,增益!$K:$K,0))&gt;0,($F$12-$I$4+VLOOKUP($R16,武学奇术!$A:$ZZ,11,FALSE)+SUM(_xlfn.XLOOKUP(S16:AG16,增益!$A:$A,增益!$K:$K,0)))/200,($F$12-$I$4+VLOOKUP($R16,武学奇术!$A:$ZZ,11,FALSE)+SUM(_xlfn.XLOOKUP(S16:AG16,增益!$A:$A,增益!$K:$K,0)))/100)</f>
        <v>-0.3</v>
      </c>
      <c r="BA16" s="32" cm="1">
        <f t="array" ref="BA16">$G$12+VLOOKUP($R16,武学奇术!$A:$ZZ,12,FALSE)+SUM(_xlfn.XLOOKUP(S16:AG16,增益!$A:$A,增益!$L:$L,0))</f>
        <v>0</v>
      </c>
      <c r="BB16">
        <f t="shared" si="5"/>
        <v>0</v>
      </c>
      <c r="BC16">
        <f t="shared" si="6"/>
        <v>0</v>
      </c>
      <c r="BD16" s="32" cm="1">
        <f t="array" ref="BD16">IF($F$13-$I$4+VLOOKUP($R16,武学奇术!$A:$ZZ,13,FALSE)+SUM(_xlfn.XLOOKUP(S16:AG16,增益!$A:$A,增益!$M:$M,0))&gt;0,($F$13-$I$4+VLOOKUP($R16,武学奇术!$A:$ZZ,13,FALSE)+SUM(_xlfn.XLOOKUP(S16:AG16,增益!$A:$A,增益!$K:$K,0)))/200,($F$13-$I$4+VLOOKUP($R16,武学奇术!$A:$ZZ,13,FALSE)+SUM(_xlfn.XLOOKUP(S16:AG16,增益!$A:$A,增益!$M:$M,0)))/100)</f>
        <v>-0.3</v>
      </c>
      <c r="BE16" s="32" cm="1">
        <f t="array" ref="BE16">$G$13+VLOOKUP($R16,武学奇术!$A:$ZZ,14,FALSE)+SUM(_xlfn.XLOOKUP(S16:AG16,增益!$A:$A,增益!$N:$N,0))</f>
        <v>0</v>
      </c>
      <c r="BF16">
        <f t="shared" si="7"/>
        <v>571.2</v>
      </c>
      <c r="BG16">
        <f t="shared" si="8"/>
        <v>1627.8</v>
      </c>
      <c r="BH16" s="32" cm="1">
        <f t="array" ref="BH16">IF($F$14-$I$4+VLOOKUP($R16,武学奇术!$A:$ZZ,15,FALSE)+SUM(_xlfn.XLOOKUP(S16:AG16,增益!$A:$A,增益!$O:$O,0))&gt;0,($F$14-$I$4+VLOOKUP($R16,武学奇术!$A:$ZZ,15,FALSE)+SUM(_xlfn.XLOOKUP(S16:AG16,增益!$A:$A,增益!$O:$O,0)))/200,($F$14-$I$4+VLOOKUP($R16,武学奇术!$A:$ZZ,15,FALSE)+SUM(_xlfn.XLOOKUP(S16:AG16,增益!$A:$A,增益!$O:$O,0)))/100)</f>
        <v>0</v>
      </c>
      <c r="BI16" s="32" cm="1">
        <f t="array" ref="BI16">$G$14+VLOOKUP($R16,武学奇术!$A:$ZZ,16,FALSE)+SUM(_xlfn.XLOOKUP(S16:AG16,增益!$A:$A,增益!$P:$P,0))</f>
        <v>0.27</v>
      </c>
      <c r="BJ16" s="26">
        <f>MIN(IF(VLOOKUP($R16,武学奇术!$A:$ZZ,23,FALSE)=1,100%,$B$8),100%)</f>
        <v>1</v>
      </c>
      <c r="BK16" s="26" cm="1">
        <f t="array" ref="BK16">IF(VLOOKUP($R16,武学奇术!$A:$ZZ,23,FALSE)=1,100%,MIN(80%,$B$9+VLOOKUP($R16,武学奇术!$A:$ZZ,17,FALSE)+SUM(_xlfn.XLOOKUP(S16:AG16,增益!$A:$A,增益!$Q:$Q,0)))+$B$11+SUM(_xlfn.XLOOKUP(S16:AG16,增益!$A:$A,增益!$U:$U,0)))*IF(VLOOKUP($R16,武学奇术!$A:$ZZ,24,FALSE)=1,0,1)</f>
        <v>1</v>
      </c>
      <c r="BL16" s="26" cm="1">
        <f t="array" ref="BL16">1+$B$13+VLOOKUP($R16,武学奇术!$A:$ZZ,18,FALSE)+SUM(_xlfn.XLOOKUP(S16:AG16,增益!$A:$A,增益!$R:$R,0))</f>
        <v>1.98</v>
      </c>
      <c r="BM16" s="26" cm="1">
        <f t="array" ref="BM16">IF(VLOOKUP($R16,武学奇术!$A:$ZZ,24,FALSE)=1,100%,MIN(40%,$B$10+VLOOKUP($R16,武学奇术!$A:$ZZ,19,FALSE)+SUM(_xlfn.XLOOKUP(S16:AG16,增益!$A:$A,增益!$S:$S,0)))+$B$12+SUM(_xlfn.XLOOKUP(S16:AG16,增益!$A:$A,增益!$V:$V,0)))*IF(VLOOKUP($R16,武学奇术!$A:$ZZ,23,FALSE)=1,0,1)</f>
        <v>0</v>
      </c>
      <c r="BN16" s="26" cm="1">
        <f t="array" ref="BN16">1+$B$14+VLOOKUP($R16,武学奇术!$A:$ZZ,20,FALSE)+SUM(_xlfn.XLOOKUP(S16:AG16,增益!$A:$A,增益!$T:$T,0))</f>
        <v>1.35</v>
      </c>
      <c r="BO16" s="26">
        <f t="shared" si="9"/>
        <v>1</v>
      </c>
      <c r="BP16" s="26">
        <f t="shared" si="10"/>
        <v>0</v>
      </c>
      <c r="BQ16" s="26">
        <f>IF(VLOOKUP($R16,武学奇术!$A:$ZZ,22,FALSE)=1,0,(1-$BJ16))*(1-$BM16)</f>
        <v>0</v>
      </c>
      <c r="BR16" s="26" cm="1">
        <f t="array" ref="BR16">SUM(_xlfn.XLOOKUP(S16:AG16,增益!$A:$A,增益!$W:$W,0))+$I$5</f>
        <v>0.11</v>
      </c>
    </row>
    <row r="17" ht="14.25" spans="1:70">
      <c r="A17" s="41" t="s">
        <v>133</v>
      </c>
      <c r="B17" s="69">
        <f>期望!B17</f>
        <v>0.0852</v>
      </c>
      <c r="C17" s="39"/>
      <c r="D17" s="78"/>
      <c r="E17" s="39" t="s">
        <v>134</v>
      </c>
      <c r="F17" s="78" t="str">
        <f>IF(E24="所恨年年","√","×")</f>
        <v>×</v>
      </c>
      <c r="H17" s="70"/>
      <c r="I17" s="82"/>
      <c r="J17" s="83"/>
      <c r="K17">
        <f>$L17*VLOOKUP($R17,武学奇术!$A:$ZZ,31,FALSE)</f>
        <v>153590.371115981</v>
      </c>
      <c r="L17" s="38">
        <f t="shared" si="0"/>
        <v>146276.543919982</v>
      </c>
      <c r="M17" s="38">
        <f>((($AO17+$AP17)/2*$AI17+$AJ17)*(1+$AQ17)*(1+$AR17)+(($AT17+$AU17)/2*IF($G$1="鸣金",$AK17,$AI17)+IF($G$1="鸣金",$AL17*1.5,0))*(1+$AV17)*(1+$AW17)+(($AX17+$AY17)/2*IF($G$1="裂石",$AK17,$AI17)+IF($G$1="裂石",$AL17*1.5,0))*(1+$AZ17)*(1+$BA17)+(($BB17+$BC17)/2*IF($G$1="牵丝",$AK17,$AI17)+IF($G$1="牵丝",$AL17*1.5,0))*(1+$BD17)*(1+$BE17)+(($BF17+$BG17)/2*IF($G$1="破竹",$AK17,$AI17)+IF($G$1="破竹",$AL17*1.5,0))*(1+$BH17)*(1+$BI17))*(1+$AM17)*$BL17*$Q17*(1+IF(VLOOKUP($R17,武学奇术!$A:$ZZ,30,FALSE)="回旋伞",$B$21,0))*(1+$BR17)</f>
        <v>155902.253994434</v>
      </c>
      <c r="N17" s="38">
        <f>(($AP17*$AI17+$AJ17)*(1+$AQ17)*(1+$AR17)+($AU17*IF($G$1="鸣金",$AK17,$AI17)+IF($G$1="鸣金",$AL17*1.5,0))*(1+$AV17)*(1+$AW17)+($AY17*IF($G$1="裂石",$AK17,$AI17)+IF($G$1="裂石",$AL17*1.5,0))*(1+$AZ17)*(1+$BA17)+($BC17*IF($G$1="牵丝",$AK17,$AI17)+IF($G$1="牵丝",$AL17*1.5,0))*(1+$BD17)*(1+$BE17)+($BG17*IF($G$1="破竹",$AK17,$AI17)+IF($G$1="破竹",$AL17*1.5,0))*(1+$BH17)*(1+$BI17))*(1+$AM17)*$BN17*$Q17*(1+IF(VLOOKUP($R17,武学奇术!$A:$ZZ,30,FALSE)="回旋伞",$B$21,0))*(1+$BR17)</f>
        <v>118464.304934172</v>
      </c>
      <c r="O17" s="38">
        <f>((($AO17+$AP17)/2*$AI17+$AJ17)*(1+$AQ17)*(1+$AR17)+(($AT17+$AU17)/2*IF($G$1="鸣金",$AK17,$AI17)+IF($G$1="鸣金",$AL17*1.5,0))*(1+$AV17)*(1+$AW17)+(($AX17+$AY17)/2*IF($G$1="裂石",$AK17,$AI17)+IF($G$1="裂石",$AL17*1.5,0))*(1+$AZ17)*(1+$BA17)+(($BB17+$BC17)/2*IF($G$1="牵丝",$AK17,$AI17)+IF($G$1="牵丝",$AL17*1.5,0))*(1+$BD17)*(1+$BE17)+(($BF17+$BG17)/2*IF($G$1="破竹",$AK17,$AI17)+IF($G$1="破竹",$AL17*1.5,0))*(1+$BH17)*(1+$BI17))*(1+$AM17)*$Q17*(1+IF(VLOOKUP($R17,武学奇术!$A:$ZZ,30,FALSE)="回旋伞",$B$21,0))*(1+$BR17)</f>
        <v>78342.8412032331</v>
      </c>
      <c r="P17" s="38">
        <f>((($AO17*$AI17+$AJ17)*(1+$AQ17)*(1+$AR17)+($AT17*IF($G$1="鸣金",$AK17,$AI17)+IF($G$1="鸣金",$AL17*1.5,0))*(1+$AV17)*(1+$AW17)+($AX17*IF($G$1="裂石",$AK17,$AI17)+IF($G$1="裂石",$AL17*1.5,0))*(1+$AZ17)*(1+$BA17)+($BB17*IF($G$1="牵丝",$AK17,$AI17)+IF($G$1="牵丝",$AL17*1.5,0))*(1+$BD17)*(1+$BE17)+($BF17*IF($G$1="破竹",$AK17,$AI17)+IF($G$1="破竹",$AL17*1.5,0))*(1+$BH17)*(1+$BI17))*(1+$AM17))*$Q17*(1+IF(VLOOKUP($R17,武学奇术!$A:$ZZ,30,FALSE)="回旋伞",$B$21,0))*(1+$BR17)</f>
        <v>68934.3454181909</v>
      </c>
      <c r="Q17" s="39">
        <v>2</v>
      </c>
      <c r="R17" s="40" t="s">
        <v>108</v>
      </c>
      <c r="S17" s="40" t="s">
        <v>109</v>
      </c>
      <c r="T17" s="40" t="s">
        <v>95</v>
      </c>
      <c r="U17" s="40" t="s">
        <v>73</v>
      </c>
      <c r="V17" s="40" t="s">
        <v>81</v>
      </c>
      <c r="W17" s="40" t="s">
        <v>89</v>
      </c>
      <c r="X17" s="40" t="s">
        <v>97</v>
      </c>
      <c r="Y17" s="40" t="s">
        <v>72</v>
      </c>
      <c r="Z17" s="40" t="s">
        <v>72</v>
      </c>
      <c r="AA17" s="40" t="s">
        <v>72</v>
      </c>
      <c r="AB17" s="40" t="s">
        <v>126</v>
      </c>
      <c r="AC17" s="40" t="s">
        <v>72</v>
      </c>
      <c r="AD17" s="40" t="s">
        <v>72</v>
      </c>
      <c r="AE17" s="40" t="s">
        <v>72</v>
      </c>
      <c r="AF17" s="40" t="s">
        <v>72</v>
      </c>
      <c r="AG17" s="40" t="s">
        <v>78</v>
      </c>
      <c r="AH17" t="str">
        <f>VLOOKUP($R17,武学奇术!$A:$ZZ,25,FALSE)</f>
        <v>伞</v>
      </c>
      <c r="AI17" s="26">
        <f>VLOOKUP($R17,武学奇术!$A:$ZZ,26,FALSE)</f>
        <v>1.8084</v>
      </c>
      <c r="AJ17" s="27">
        <f>VLOOKUP($R17,武学奇术!$A:$ZZ,27,FALSE)*(1+IF(OR($AH17=$F$4,$AH17=$F$5),$B$22,0))</f>
        <v>750</v>
      </c>
      <c r="AK17" s="26">
        <f>VLOOKUP($R17,武学奇术!$A:$ZZ,28,FALSE)</f>
        <v>2.7126</v>
      </c>
      <c r="AL17" s="27">
        <f>VLOOKUP($R17,武学奇术!$A:$ZZ,29,FALSE)*(1+IF(OR($AH17=$F$4,$AH17=$F$5),$B$22,0))</f>
        <v>408</v>
      </c>
      <c r="AM17" s="26" cm="1">
        <f t="array" ref="AM17">$G$3+IFERROR(VLOOKUP($AH17,$F$4:$G$7,2,FALSE),0)+VLOOKUP($R17,武学奇术!$A:$ZZ,2,FALSE)+SUM(_xlfn.XLOOKUP($S17:$AG17,增益!$A:$A,增益!$B:$B,0))</f>
        <v>0.7641</v>
      </c>
      <c r="AN17" s="26" cm="1">
        <f t="array" ref="AN17">VLOOKUP($R17,武学奇术!$A:$ZZ,5,FALSE)+SUM(_xlfn.XLOOKUP($S17:$AG17,增益!$A:$A,增益!$E:$E,0))</f>
        <v>0</v>
      </c>
      <c r="AO17" cm="1">
        <f t="array" ref="AO17">$D$10*(1+$AN17)+VLOOKUP($R17,武学奇术!$A:$ZZ,3,FALSE)+SUM(_xlfn.XLOOKUP($S17:$AG17,增益!$A:$A,增益!$C:$C,0))-$I$2</f>
        <v>3562.6</v>
      </c>
      <c r="AP17" cm="1">
        <f t="array" ref="AP17">$E$10*(1+$AN17)+VLOOKUP($R17,武学奇术!$A:$ZZ,4,FALSE)+SUM(_xlfn.XLOOKUP($S17:$AG17,增益!$A:$A,增益!$D:$D,0))-$I$2</f>
        <v>3562.6</v>
      </c>
      <c r="AQ17" s="32" cm="1">
        <f t="array" ref="AQ17">IF($F$10-$I$3+VLOOKUP($R17,武学奇术!$A:$ZZ,6,FALSE)+SUM(_xlfn.XLOOKUP(S17:AG17,增益!$A:$A,增益!$F:$F,0))&gt;0,($F$10-$I$3+VLOOKUP($R17,武学奇术!$A:$ZZ,6,FALSE)+SUM(_xlfn.XLOOKUP(S17:AG17,增益!$A:$A,增益!$F:$F,0)))/200,($F$10-$I$3+VLOOKUP($R17,武学奇术!$A:$ZZ,6,FALSE)+SUM(_xlfn.XLOOKUP(S17:AG17,增益!$A:$A,增益!$F:$F,0)))/100)</f>
        <v>0.2825</v>
      </c>
      <c r="AR17" s="32" cm="1">
        <f t="array" ref="AR17">$G$10+VLOOKUP($R17,武学奇术!$A:$ZZ,7,FALSE)+SUM(_xlfn.XLOOKUP(S17:AG17,增益!$A:$A,增益!$G:$G,0))</f>
        <v>0.148</v>
      </c>
      <c r="AS17" s="26" cm="1">
        <f t="array" ref="AS17">VLOOKUP($R17,武学奇术!$A:$ZZ,8,FALSE)+SUM(_xlfn.XLOOKUP(S17:AG17,增益!$A:$A,增益!$H:$H,0))</f>
        <v>0</v>
      </c>
      <c r="AT17">
        <f t="shared" si="1"/>
        <v>0</v>
      </c>
      <c r="AU17">
        <f t="shared" si="2"/>
        <v>0</v>
      </c>
      <c r="AV17" s="32" cm="1">
        <f t="array" ref="AV17">IF($F$11-$I$4+VLOOKUP($R17,武学奇术!$A:$ZZ,9,FALSE)+SUM(_xlfn.XLOOKUP(S17:AG17,增益!$A:$A,增益!$I:$I,0))&gt;0,($F$11-$I$4+VLOOKUP($R17,武学奇术!$A:$ZZ,9,FALSE)+SUM(_xlfn.XLOOKUP(S17:AG17,增益!$A:$A,增益!$I:$I,0)))/200,($F$11-$I$4+VLOOKUP($R17,武学奇术!$A:$ZZ,9,FALSE)+SUM(_xlfn.XLOOKUP(S17:AG17,增益!$A:$A,增益!$I:$I,0)))/100)</f>
        <v>-0.3</v>
      </c>
      <c r="AW17" s="32" cm="1">
        <f t="array" ref="AW17">$G$11+VLOOKUP($R17,武学奇术!$A:$ZZ,10,FALSE)+SUM(_xlfn.XLOOKUP(S17:AG17,增益!$A:$A,增益!$J:$J,0))</f>
        <v>0</v>
      </c>
      <c r="AX17">
        <f t="shared" si="3"/>
        <v>0</v>
      </c>
      <c r="AY17">
        <f t="shared" si="4"/>
        <v>0</v>
      </c>
      <c r="AZ17" s="32" cm="1">
        <f t="array" ref="AZ17">IF($F$12-$I$4+VLOOKUP($R17,武学奇术!$A:$ZZ,11,FALSE)+SUM(_xlfn.XLOOKUP(S17:AG17,增益!$A:$A,增益!$K:$K,0))&gt;0,($F$12-$I$4+VLOOKUP($R17,武学奇术!$A:$ZZ,11,FALSE)+SUM(_xlfn.XLOOKUP(S17:AG17,增益!$A:$A,增益!$K:$K,0)))/200,($F$12-$I$4+VLOOKUP($R17,武学奇术!$A:$ZZ,11,FALSE)+SUM(_xlfn.XLOOKUP(S17:AG17,增益!$A:$A,增益!$K:$K,0)))/100)</f>
        <v>-0.3</v>
      </c>
      <c r="BA17" s="32" cm="1">
        <f t="array" ref="BA17">$G$12+VLOOKUP($R17,武学奇术!$A:$ZZ,12,FALSE)+SUM(_xlfn.XLOOKUP(S17:AG17,增益!$A:$A,增益!$L:$L,0))</f>
        <v>0</v>
      </c>
      <c r="BB17">
        <f t="shared" si="5"/>
        <v>0</v>
      </c>
      <c r="BC17">
        <f t="shared" si="6"/>
        <v>0</v>
      </c>
      <c r="BD17" s="32" cm="1">
        <f t="array" ref="BD17">IF($F$13-$I$4+VLOOKUP($R17,武学奇术!$A:$ZZ,13,FALSE)+SUM(_xlfn.XLOOKUP(S17:AG17,增益!$A:$A,增益!$M:$M,0))&gt;0,($F$13-$I$4+VLOOKUP($R17,武学奇术!$A:$ZZ,13,FALSE)+SUM(_xlfn.XLOOKUP(S17:AG17,增益!$A:$A,增益!$K:$K,0)))/200,($F$13-$I$4+VLOOKUP($R17,武学奇术!$A:$ZZ,13,FALSE)+SUM(_xlfn.XLOOKUP(S17:AG17,增益!$A:$A,增益!$M:$M,0)))/100)</f>
        <v>-0.3</v>
      </c>
      <c r="BE17" s="32" cm="1">
        <f t="array" ref="BE17">$G$13+VLOOKUP($R17,武学奇术!$A:$ZZ,14,FALSE)+SUM(_xlfn.XLOOKUP(S17:AG17,增益!$A:$A,增益!$N:$N,0))</f>
        <v>0</v>
      </c>
      <c r="BF17">
        <f t="shared" si="7"/>
        <v>571.2</v>
      </c>
      <c r="BG17">
        <f t="shared" si="8"/>
        <v>1627.8</v>
      </c>
      <c r="BH17" s="32" cm="1">
        <f t="array" ref="BH17">IF($F$14-$I$4+VLOOKUP($R17,武学奇术!$A:$ZZ,15,FALSE)+SUM(_xlfn.XLOOKUP(S17:AG17,增益!$A:$A,增益!$O:$O,0))&gt;0,($F$14-$I$4+VLOOKUP($R17,武学奇术!$A:$ZZ,15,FALSE)+SUM(_xlfn.XLOOKUP(S17:AG17,增益!$A:$A,增益!$O:$O,0)))/200,($F$14-$I$4+VLOOKUP($R17,武学奇术!$A:$ZZ,15,FALSE)+SUM(_xlfn.XLOOKUP(S17:AG17,增益!$A:$A,增益!$O:$O,0)))/100)</f>
        <v>0</v>
      </c>
      <c r="BI17" s="32" cm="1">
        <f t="array" ref="BI17">$G$14+VLOOKUP($R17,武学奇术!$A:$ZZ,16,FALSE)+SUM(_xlfn.XLOOKUP(S17:AG17,增益!$A:$A,增益!$P:$P,0))</f>
        <v>0.27</v>
      </c>
      <c r="BJ17" s="26">
        <f>MIN(IF(VLOOKUP($R17,武学奇术!$A:$ZZ,23,FALSE)=1,100%,$B$8),100%)</f>
        <v>0.981</v>
      </c>
      <c r="BK17" s="26" cm="1">
        <f t="array" ref="BK17">IF(VLOOKUP($R17,武学奇术!$A:$ZZ,23,FALSE)=1,100%,MIN(80%,$B$9+VLOOKUP($R17,武学奇术!$A:$ZZ,17,FALSE)+SUM(_xlfn.XLOOKUP(S17:AG17,增益!$A:$A,增益!$Q:$Q,0)))+$B$11+SUM(_xlfn.XLOOKUP(S17:AG17,增益!$A:$A,增益!$U:$U,0)))*IF(VLOOKUP($R17,武学奇术!$A:$ZZ,24,FALSE)=1,0,1)</f>
        <v>0.846</v>
      </c>
      <c r="BL17" s="26" cm="1">
        <f t="array" ref="BL17">1+$B$13+VLOOKUP($R17,武学奇术!$A:$ZZ,18,FALSE)+SUM(_xlfn.XLOOKUP(S17:AG17,增益!$A:$A,增益!$R:$R,0))</f>
        <v>1.99</v>
      </c>
      <c r="BM17" s="26" cm="1">
        <f t="array" ref="BM17">IF(VLOOKUP($R17,武学奇术!$A:$ZZ,24,FALSE)=1,100%,MIN(40%,$B$10+VLOOKUP($R17,武学奇术!$A:$ZZ,19,FALSE)+SUM(_xlfn.XLOOKUP(S17:AG17,增益!$A:$A,增益!$S:$S,0)))+$B$12+SUM(_xlfn.XLOOKUP(S17:AG17,增益!$A:$A,增益!$V:$V,0)))*IF(VLOOKUP($R17,武学奇术!$A:$ZZ,23,FALSE)=1,0,1)</f>
        <v>0.0929</v>
      </c>
      <c r="BN17" s="26" cm="1">
        <f t="array" ref="BN17">1+$B$14+VLOOKUP($R17,武学奇术!$A:$ZZ,20,FALSE)+SUM(_xlfn.XLOOKUP(S17:AG17,增益!$A:$A,增益!$T:$T,0))</f>
        <v>1.35</v>
      </c>
      <c r="BO17" s="26">
        <f t="shared" si="9"/>
        <v>0.829926</v>
      </c>
      <c r="BP17" s="26">
        <f t="shared" si="10"/>
        <v>0.0599391</v>
      </c>
      <c r="BQ17" s="26">
        <f>IF(VLOOKUP($R17,武学奇术!$A:$ZZ,22,FALSE)=1,0,(1-$BJ17))*(1-$BM17)</f>
        <v>0.0172349</v>
      </c>
      <c r="BR17" s="26" cm="1">
        <f t="array" ref="BR17">SUM(_xlfn.XLOOKUP(S17:AG17,增益!$A:$A,增益!$W:$W,0))+$I$5</f>
        <v>0.11</v>
      </c>
    </row>
    <row r="18" spans="1:70">
      <c r="A18" s="41" t="s">
        <v>135</v>
      </c>
      <c r="B18" s="69">
        <f>期望!B18</f>
        <v>0</v>
      </c>
      <c r="C18" s="39" t="s">
        <v>136</v>
      </c>
      <c r="D18" s="78" t="s">
        <v>145</v>
      </c>
      <c r="K18">
        <f>$L18*VLOOKUP($R18,武学奇术!$A:$ZZ,31,FALSE)</f>
        <v>89534.6702736933</v>
      </c>
      <c r="L18" s="38">
        <f t="shared" si="0"/>
        <v>85271.1145463746</v>
      </c>
      <c r="M18" s="38">
        <f>((($AO18+$AP18)/2*$AI18+$AJ18)*(1+$AQ18)*(1+$AR18)+(($AT18+$AU18)/2*IF($G$1="鸣金",$AK18,$AI18)+IF($G$1="鸣金",$AL18*1.5,0))*(1+$AV18)*(1+$AW18)+(($AX18+$AY18)/2*IF($G$1="裂石",$AK18,$AI18)+IF($G$1="裂石",$AL18*1.5,0))*(1+$AZ18)*(1+$BA18)+(($BB18+$BC18)/2*IF($G$1="牵丝",$AK18,$AI18)+IF($G$1="牵丝",$AL18*1.5,0))*(1+$BD18)*(1+$BE18)+(($BF18+$BG18)/2*IF($G$1="破竹",$AK18,$AI18)+IF($G$1="破竹",$AL18*1.5,0))*(1+$BH18)*(1+$BI18))*(1+$AM18)*$BL18*$Q18*(1+IF(VLOOKUP($R18,武学奇术!$A:$ZZ,30,FALSE)="回旋伞",$B$21,0))*(1+$BR18)</f>
        <v>90792.8202173868</v>
      </c>
      <c r="N18" s="38">
        <f>(($AP18*$AI18+$AJ18)*(1+$AQ18)*(1+$AR18)+($AU18*IF($G$1="鸣金",$AK18,$AI18)+IF($G$1="鸣金",$AL18*1.5,0))*(1+$AV18)*(1+$AW18)+($AY18*IF($G$1="裂石",$AK18,$AI18)+IF($G$1="裂石",$AL18*1.5,0))*(1+$AZ18)*(1+$BA18)+($BC18*IF($G$1="牵丝",$AK18,$AI18)+IF($G$1="牵丝",$AL18*1.5,0))*(1+$BD18)*(1+$BE18)+($BG18*IF($G$1="破竹",$AK18,$AI18)+IF($G$1="破竹",$AL18*1.5,0))*(1+$BH18)*(1+$BI18))*(1+$AM18)*$BN18*$Q18*(1+IF(VLOOKUP($R18,武学奇术!$A:$ZZ,30,FALSE)="回旋伞",$B$21,0))*(1+$BR18)</f>
        <v>70038.5852062228</v>
      </c>
      <c r="O18" s="38">
        <f>((($AO18+$AP18)/2*$AI18+$AJ18)*(1+$AQ18)*(1+$AR18)+(($AT18+$AU18)/2*IF($G$1="鸣金",$AK18,$AI18)+IF($G$1="鸣金",$AL18*1.5,0))*(1+$AV18)*(1+$AW18)+(($AX18+$AY18)/2*IF($G$1="裂石",$AK18,$AI18)+IF($G$1="裂石",$AL18*1.5,0))*(1+$AZ18)*(1+$BA18)+(($BB18+$BC18)/2*IF($G$1="牵丝",$AK18,$AI18)+IF($G$1="牵丝",$AL18*1.5,0))*(1+$BD18)*(1+$BE18)+(($BF18+$BG18)/2*IF($G$1="破竹",$AK18,$AI18)+IF($G$1="破竹",$AL18*1.5,0))*(1+$BH18)*(1+$BI18))*(1+$AM18)*$Q18*(1+IF(VLOOKUP($R18,武学奇术!$A:$ZZ,30,FALSE)="回旋伞",$B$21,0))*(1+$BR18)</f>
        <v>45624.5327725562</v>
      </c>
      <c r="P18" s="38">
        <f>((($AO18*$AI18+$AJ18)*(1+$AQ18)*(1+$AR18)+($AT18*IF($G$1="鸣金",$AK18,$AI18)+IF($G$1="鸣金",$AL18*1.5,0))*(1+$AV18)*(1+$AW18)+($AX18*IF($G$1="裂石",$AK18,$AI18)+IF($G$1="裂石",$AL18*1.5,0))*(1+$AZ18)*(1+$BA18)+($BB18*IF($G$1="牵丝",$AK18,$AI18)+IF($G$1="牵丝",$AL18*1.5,0))*(1+$BD18)*(1+$BE18)+($BF18*IF($G$1="破竹",$AK18,$AI18)+IF($G$1="破竹",$AL18*1.5,0))*(1+$BH18)*(1+$BI18))*(1+$AM18))*$Q18*(1+IF(VLOOKUP($R18,武学奇术!$A:$ZZ,30,FALSE)="回旋伞",$B$21,0))*(1+$BR18)</f>
        <v>39368.6320590214</v>
      </c>
      <c r="Q18" s="39">
        <v>4</v>
      </c>
      <c r="R18" s="40" t="s">
        <v>112</v>
      </c>
      <c r="S18" s="40" t="s">
        <v>109</v>
      </c>
      <c r="T18" s="40" t="s">
        <v>95</v>
      </c>
      <c r="U18" s="40" t="s">
        <v>73</v>
      </c>
      <c r="V18" s="40" t="s">
        <v>81</v>
      </c>
      <c r="W18" s="40" t="s">
        <v>89</v>
      </c>
      <c r="X18" s="40" t="s">
        <v>97</v>
      </c>
      <c r="Y18" s="40" t="s">
        <v>72</v>
      </c>
      <c r="Z18" s="40" t="s">
        <v>72</v>
      </c>
      <c r="AA18" s="40" t="s">
        <v>72</v>
      </c>
      <c r="AB18" s="40" t="s">
        <v>126</v>
      </c>
      <c r="AC18" s="40" t="s">
        <v>72</v>
      </c>
      <c r="AD18" s="40" t="s">
        <v>72</v>
      </c>
      <c r="AE18" s="40" t="s">
        <v>72</v>
      </c>
      <c r="AF18" s="40" t="s">
        <v>72</v>
      </c>
      <c r="AG18" s="40" t="s">
        <v>78</v>
      </c>
      <c r="AH18" t="str">
        <f>VLOOKUP($R18,武学奇术!$A:$ZZ,25,FALSE)</f>
        <v>伞</v>
      </c>
      <c r="AI18" s="26">
        <f>VLOOKUP($R18,武学奇术!$A:$ZZ,26,FALSE)</f>
        <v>0.54</v>
      </c>
      <c r="AJ18" s="27">
        <f>VLOOKUP($R18,武学奇术!$A:$ZZ,27,FALSE)*(1+IF(OR($AH18=$F$4,$AH18=$F$5),$B$22,0))</f>
        <v>0</v>
      </c>
      <c r="AK18" s="26">
        <f>VLOOKUP($R18,武学奇术!$A:$ZZ,28,FALSE)</f>
        <v>0.81</v>
      </c>
      <c r="AL18" s="27">
        <f>VLOOKUP($R18,武学奇术!$A:$ZZ,29,FALSE)*(1+IF(OR($AH18=$F$4,$AH18=$F$5),$B$22,0))</f>
        <v>0</v>
      </c>
      <c r="AM18" s="26" cm="1">
        <f t="array" ref="AM18">$G$3+IFERROR(VLOOKUP($AH18,$F$4:$G$7,2,FALSE),0)+VLOOKUP($R18,武学奇术!$A:$ZZ,2,FALSE)+SUM(_xlfn.XLOOKUP($S18:$AG18,增益!$A:$A,增益!$B:$B,0))</f>
        <v>0.9641</v>
      </c>
      <c r="AN18" s="26" cm="1">
        <f t="array" ref="AN18">VLOOKUP($R18,武学奇术!$A:$ZZ,5,FALSE)+SUM(_xlfn.XLOOKUP($S18:$AG18,增益!$A:$A,增益!$E:$E,0))</f>
        <v>0</v>
      </c>
      <c r="AO18" cm="1">
        <f t="array" ref="AO18">$D$10*(1+$AN18)+VLOOKUP($R18,武学奇术!$A:$ZZ,3,FALSE)+SUM(_xlfn.XLOOKUP($S18:$AG18,增益!$A:$A,增益!$C:$C,0))-$I$2</f>
        <v>3562.6</v>
      </c>
      <c r="AP18" cm="1">
        <f t="array" ref="AP18">$E$10*(1+$AN18)+VLOOKUP($R18,武学奇术!$A:$ZZ,4,FALSE)+SUM(_xlfn.XLOOKUP($S18:$AG18,增益!$A:$A,增益!$D:$D,0))-$I$2</f>
        <v>3562.6</v>
      </c>
      <c r="AQ18" s="32" cm="1">
        <f t="array" ref="AQ18">IF($F$10-$I$3+VLOOKUP($R18,武学奇术!$A:$ZZ,6,FALSE)+SUM(_xlfn.XLOOKUP(S18:AG18,增益!$A:$A,增益!$F:$F,0))&gt;0,($F$10-$I$3+VLOOKUP($R18,武学奇术!$A:$ZZ,6,FALSE)+SUM(_xlfn.XLOOKUP(S18:AG18,增益!$A:$A,增益!$F:$F,0)))/200,($F$10-$I$3+VLOOKUP($R18,武学奇术!$A:$ZZ,6,FALSE)+SUM(_xlfn.XLOOKUP(S18:AG18,增益!$A:$A,增益!$F:$F,0)))/100)</f>
        <v>0.2825</v>
      </c>
      <c r="AR18" s="32" cm="1">
        <f t="array" ref="AR18">$G$10+VLOOKUP($R18,武学奇术!$A:$ZZ,7,FALSE)+SUM(_xlfn.XLOOKUP(S18:AG18,增益!$A:$A,增益!$G:$G,0))</f>
        <v>0.148</v>
      </c>
      <c r="AS18" s="26" cm="1">
        <f t="array" ref="AS18">VLOOKUP($R18,武学奇术!$A:$ZZ,8,FALSE)+SUM(_xlfn.XLOOKUP(S18:AG18,增益!$A:$A,增益!$H:$H,0))</f>
        <v>0</v>
      </c>
      <c r="AT18">
        <f t="shared" si="1"/>
        <v>0</v>
      </c>
      <c r="AU18">
        <f t="shared" si="2"/>
        <v>0</v>
      </c>
      <c r="AV18" s="32" cm="1">
        <f t="array" ref="AV18">IF($F$11-$I$4+VLOOKUP($R18,武学奇术!$A:$ZZ,9,FALSE)+SUM(_xlfn.XLOOKUP(S18:AG18,增益!$A:$A,增益!$I:$I,0))&gt;0,($F$11-$I$4+VLOOKUP($R18,武学奇术!$A:$ZZ,9,FALSE)+SUM(_xlfn.XLOOKUP(S18:AG18,增益!$A:$A,增益!$I:$I,0)))/200,($F$11-$I$4+VLOOKUP($R18,武学奇术!$A:$ZZ,9,FALSE)+SUM(_xlfn.XLOOKUP(S18:AG18,增益!$A:$A,增益!$I:$I,0)))/100)</f>
        <v>-0.3</v>
      </c>
      <c r="AW18" s="32" cm="1">
        <f t="array" ref="AW18">$G$11+VLOOKUP($R18,武学奇术!$A:$ZZ,10,FALSE)+SUM(_xlfn.XLOOKUP(S18:AG18,增益!$A:$A,增益!$J:$J,0))</f>
        <v>0</v>
      </c>
      <c r="AX18">
        <f t="shared" si="3"/>
        <v>0</v>
      </c>
      <c r="AY18">
        <f t="shared" si="4"/>
        <v>0</v>
      </c>
      <c r="AZ18" s="32" cm="1">
        <f t="array" ref="AZ18">IF($F$12-$I$4+VLOOKUP($R18,武学奇术!$A:$ZZ,11,FALSE)+SUM(_xlfn.XLOOKUP(S18:AG18,增益!$A:$A,增益!$K:$K,0))&gt;0,($F$12-$I$4+VLOOKUP($R18,武学奇术!$A:$ZZ,11,FALSE)+SUM(_xlfn.XLOOKUP(S18:AG18,增益!$A:$A,增益!$K:$K,0)))/200,($F$12-$I$4+VLOOKUP($R18,武学奇术!$A:$ZZ,11,FALSE)+SUM(_xlfn.XLOOKUP(S18:AG18,增益!$A:$A,增益!$K:$K,0)))/100)</f>
        <v>-0.3</v>
      </c>
      <c r="BA18" s="32" cm="1">
        <f t="array" ref="BA18">$G$12+VLOOKUP($R18,武学奇术!$A:$ZZ,12,FALSE)+SUM(_xlfn.XLOOKUP(S18:AG18,增益!$A:$A,增益!$L:$L,0))</f>
        <v>0</v>
      </c>
      <c r="BB18">
        <f t="shared" si="5"/>
        <v>0</v>
      </c>
      <c r="BC18">
        <f t="shared" si="6"/>
        <v>0</v>
      </c>
      <c r="BD18" s="32" cm="1">
        <f t="array" ref="BD18">IF($F$13-$I$4+VLOOKUP($R18,武学奇术!$A:$ZZ,13,FALSE)+SUM(_xlfn.XLOOKUP(S18:AG18,增益!$A:$A,增益!$M:$M,0))&gt;0,($F$13-$I$4+VLOOKUP($R18,武学奇术!$A:$ZZ,13,FALSE)+SUM(_xlfn.XLOOKUP(S18:AG18,增益!$A:$A,增益!$K:$K,0)))/200,($F$13-$I$4+VLOOKUP($R18,武学奇术!$A:$ZZ,13,FALSE)+SUM(_xlfn.XLOOKUP(S18:AG18,增益!$A:$A,增益!$M:$M,0)))/100)</f>
        <v>-0.3</v>
      </c>
      <c r="BE18" s="32" cm="1">
        <f t="array" ref="BE18">$G$13+VLOOKUP($R18,武学奇术!$A:$ZZ,14,FALSE)+SUM(_xlfn.XLOOKUP(S18:AG18,增益!$A:$A,增益!$N:$N,0))</f>
        <v>0</v>
      </c>
      <c r="BF18">
        <f t="shared" si="7"/>
        <v>571.2</v>
      </c>
      <c r="BG18">
        <f t="shared" si="8"/>
        <v>1627.8</v>
      </c>
      <c r="BH18" s="32" cm="1">
        <f t="array" ref="BH18">IF($F$14-$I$4+VLOOKUP($R18,武学奇术!$A:$ZZ,15,FALSE)+SUM(_xlfn.XLOOKUP(S18:AG18,增益!$A:$A,增益!$O:$O,0))&gt;0,($F$14-$I$4+VLOOKUP($R18,武学奇术!$A:$ZZ,15,FALSE)+SUM(_xlfn.XLOOKUP(S18:AG18,增益!$A:$A,增益!$O:$O,0)))/200,($F$14-$I$4+VLOOKUP($R18,武学奇术!$A:$ZZ,15,FALSE)+SUM(_xlfn.XLOOKUP(S18:AG18,增益!$A:$A,增益!$O:$O,0)))/100)</f>
        <v>0</v>
      </c>
      <c r="BI18" s="32" cm="1">
        <f t="array" ref="BI18">$G$14+VLOOKUP($R18,武学奇术!$A:$ZZ,16,FALSE)+SUM(_xlfn.XLOOKUP(S18:AG18,增益!$A:$A,增益!$P:$P,0))</f>
        <v>0.27</v>
      </c>
      <c r="BJ18" s="26">
        <f>MIN(IF(VLOOKUP($R18,武学奇术!$A:$ZZ,23,FALSE)=1,100%,$B$8),100%)</f>
        <v>0.981</v>
      </c>
      <c r="BK18" s="26" cm="1">
        <f t="array" ref="BK18">IF(VLOOKUP($R18,武学奇术!$A:$ZZ,23,FALSE)=1,100%,MIN(80%,$B$9+VLOOKUP($R18,武学奇术!$A:$ZZ,17,FALSE)+SUM(_xlfn.XLOOKUP(S18:AG18,增益!$A:$A,增益!$Q:$Q,0)))+$B$11+SUM(_xlfn.XLOOKUP(S18:AG18,增益!$A:$A,增益!$U:$U,0)))*IF(VLOOKUP($R18,武学奇术!$A:$ZZ,24,FALSE)=1,0,1)</f>
        <v>0.846</v>
      </c>
      <c r="BL18" s="26" cm="1">
        <f t="array" ref="BL18">1+$B$13+VLOOKUP($R18,武学奇术!$A:$ZZ,18,FALSE)+SUM(_xlfn.XLOOKUP(S18:AG18,增益!$A:$A,增益!$R:$R,0))</f>
        <v>1.99</v>
      </c>
      <c r="BM18" s="26" cm="1">
        <f t="array" ref="BM18">IF(VLOOKUP($R18,武学奇术!$A:$ZZ,24,FALSE)=1,100%,MIN(40%,$B$10+VLOOKUP($R18,武学奇术!$A:$ZZ,19,FALSE)+SUM(_xlfn.XLOOKUP(S18:AG18,增益!$A:$A,增益!$S:$S,0)))+$B$12+SUM(_xlfn.XLOOKUP(S18:AG18,增益!$A:$A,增益!$V:$V,0)))*IF(VLOOKUP($R18,武学奇术!$A:$ZZ,23,FALSE)=1,0,1)</f>
        <v>0.0929</v>
      </c>
      <c r="BN18" s="26" cm="1">
        <f t="array" ref="BN18">1+$B$14+VLOOKUP($R18,武学奇术!$A:$ZZ,20,FALSE)+SUM(_xlfn.XLOOKUP(S18:AG18,增益!$A:$A,增益!$T:$T,0))</f>
        <v>1.35</v>
      </c>
      <c r="BO18" s="26">
        <f t="shared" si="9"/>
        <v>0.829926</v>
      </c>
      <c r="BP18" s="26">
        <f t="shared" si="10"/>
        <v>0.0599391</v>
      </c>
      <c r="BQ18" s="26">
        <f>IF(VLOOKUP($R18,武学奇术!$A:$ZZ,22,FALSE)=1,0,(1-$BJ18))*(1-$BM18)</f>
        <v>0.0172349</v>
      </c>
      <c r="BR18" s="26" cm="1">
        <f t="array" ref="BR18">SUM(_xlfn.XLOOKUP(S18:AG18,增益!$A:$A,增益!$W:$W,0))+$I$5</f>
        <v>0.11</v>
      </c>
    </row>
    <row r="19" spans="1:70">
      <c r="A19" s="41" t="s">
        <v>138</v>
      </c>
      <c r="B19" s="69">
        <f>期望!B19</f>
        <v>0</v>
      </c>
      <c r="C19" s="39" t="s">
        <v>139</v>
      </c>
      <c r="D19" s="78" t="s">
        <v>145</v>
      </c>
      <c r="K19">
        <f>$L19*VLOOKUP($R19,武学奇术!$A:$ZZ,31,FALSE)</f>
        <v>92091.0632869746</v>
      </c>
      <c r="L19" s="38">
        <f t="shared" si="0"/>
        <v>87705.7745590235</v>
      </c>
      <c r="M19" s="38">
        <f>((($AO19+$AP19)/2*$AI19+$AJ19)*(1+$AQ19)*(1+$AR19)+(($AT19+$AU19)/2*IF($G$1="鸣金",$AK19,$AI19)+IF($G$1="鸣金",$AL19*1.5,0))*(1+$AV19)*(1+$AW19)+(($AX19+$AY19)/2*IF($G$1="裂石",$AK19,$AI19)+IF($G$1="裂石",$AL19*1.5,0))*(1+$AZ19)*(1+$BA19)+(($BB19+$BC19)/2*IF($G$1="牵丝",$AK19,$AI19)+IF($G$1="牵丝",$AL19*1.5,0))*(1+$BD19)*(1+$BE19)+(($BF19+$BG19)/2*IF($G$1="破竹",$AK19,$AI19)+IF($G$1="破竹",$AL19*1.5,0))*(1+$BH19)*(1+$BI19))*(1+$AM19)*$BL19*$Q19*(1+IF(VLOOKUP($R19,武学奇术!$A:$ZZ,30,FALSE)="回旋伞",$B$21,0))*(1+$BR19)</f>
        <v>87705.7745590235</v>
      </c>
      <c r="N19" s="38">
        <f>(($AP19*$AI19+$AJ19)*(1+$AQ19)*(1+$AR19)+($AU19*IF($G$1="鸣金",$AK19,$AI19)+IF($G$1="鸣金",$AL19*1.5,0))*(1+$AV19)*(1+$AW19)+($AY19*IF($G$1="裂石",$AK19,$AI19)+IF($G$1="裂石",$AL19*1.5,0))*(1+$AZ19)*(1+$BA19)+($BC19*IF($G$1="牵丝",$AK19,$AI19)+IF($G$1="牵丝",$AL19*1.5,0))*(1+$BD19)*(1+$BE19)+($BG19*IF($G$1="破竹",$AK19,$AI19)+IF($G$1="破竹",$AL19*1.5,0))*(1+$BH19)*(1+$BI19))*(1+$AM19)*$BN19*$Q19*(1+IF(VLOOKUP($R19,武学奇术!$A:$ZZ,30,FALSE)="回旋伞",$B$21,0))*(1+$BR19)</f>
        <v>66605.6239265859</v>
      </c>
      <c r="O19" s="38">
        <f>((($AO19+$AP19)/2*$AI19+$AJ19)*(1+$AQ19)*(1+$AR19)+(($AT19+$AU19)/2*IF($G$1="鸣金",$AK19,$AI19)+IF($G$1="鸣金",$AL19*1.5,0))*(1+$AV19)*(1+$AW19)+(($AX19+$AY19)/2*IF($G$1="裂石",$AK19,$AI19)+IF($G$1="裂石",$AL19*1.5,0))*(1+$AZ19)*(1+$BA19)+(($BB19+$BC19)/2*IF($G$1="牵丝",$AK19,$AI19)+IF($G$1="牵丝",$AL19*1.5,0))*(1+$BD19)*(1+$BE19)+(($BF19+$BG19)/2*IF($G$1="破竹",$AK19,$AI19)+IF($G$1="破竹",$AL19*1.5,0))*(1+$BH19)*(1+$BI19))*(1+$AM19)*$Q19*(1+IF(VLOOKUP($R19,武学奇术!$A:$ZZ,30,FALSE)="回旋伞",$B$21,0))*(1+$BR19)</f>
        <v>44073.253547248</v>
      </c>
      <c r="P19" s="38">
        <f>((($AO19*$AI19+$AJ19)*(1+$AQ19)*(1+$AR19)+($AT19*IF($G$1="鸣金",$AK19,$AI19)+IF($G$1="鸣金",$AL19*1.5,0))*(1+$AV19)*(1+$AW19)+($AX19*IF($G$1="裂石",$AK19,$AI19)+IF($G$1="裂石",$AL19*1.5,0))*(1+$AZ19)*(1+$BA19)+($BB19*IF($G$1="牵丝",$AK19,$AI19)+IF($G$1="牵丝",$AL19*1.5,0))*(1+$BD19)*(1+$BE19)+($BF19*IF($G$1="破竹",$AK19,$AI19)+IF($G$1="破竹",$AL19*1.5,0))*(1+$BH19)*(1+$BI19))*(1+$AM19))*$Q19*(1+IF(VLOOKUP($R19,武学奇术!$A:$ZZ,30,FALSE)="回旋伞",$B$21,0))*(1+$BR19)</f>
        <v>38809.0078896175</v>
      </c>
      <c r="Q19" s="39">
        <v>1</v>
      </c>
      <c r="R19" s="40" t="s">
        <v>125</v>
      </c>
      <c r="S19" s="40" t="s">
        <v>109</v>
      </c>
      <c r="T19" s="40" t="s">
        <v>95</v>
      </c>
      <c r="U19" s="40" t="s">
        <v>73</v>
      </c>
      <c r="V19" s="40" t="s">
        <v>81</v>
      </c>
      <c r="W19" s="40" t="s">
        <v>89</v>
      </c>
      <c r="X19" s="40" t="s">
        <v>99</v>
      </c>
      <c r="Y19" s="40" t="s">
        <v>72</v>
      </c>
      <c r="Z19" s="40" t="s">
        <v>72</v>
      </c>
      <c r="AA19" s="40" t="s">
        <v>72</v>
      </c>
      <c r="AB19" s="40" t="s">
        <v>126</v>
      </c>
      <c r="AC19" s="40" t="s">
        <v>72</v>
      </c>
      <c r="AD19" s="40" t="s">
        <v>72</v>
      </c>
      <c r="AE19" s="40" t="s">
        <v>72</v>
      </c>
      <c r="AF19" s="40" t="s">
        <v>72</v>
      </c>
      <c r="AG19" s="40" t="s">
        <v>78</v>
      </c>
      <c r="AH19" t="str">
        <f>VLOOKUP($R19,武学奇术!$A:$ZZ,25,FALSE)</f>
        <v>伞</v>
      </c>
      <c r="AI19" s="26">
        <f>VLOOKUP($R19,武学奇术!$A:$ZZ,26,FALSE)</f>
        <v>1.8084</v>
      </c>
      <c r="AJ19" s="27">
        <f>VLOOKUP($R19,武学奇术!$A:$ZZ,27,FALSE)*(1+IF(OR($AH19=$F$4,$AH19=$F$5),$B$22,0))</f>
        <v>750</v>
      </c>
      <c r="AK19" s="26">
        <f>VLOOKUP($R19,武学奇术!$A:$ZZ,28,FALSE)</f>
        <v>2.7126</v>
      </c>
      <c r="AL19" s="27">
        <f>VLOOKUP($R19,武学奇术!$A:$ZZ,29,FALSE)*(1+IF(OR($AH19=$F$4,$AH19=$F$5),$B$22,0))</f>
        <v>408</v>
      </c>
      <c r="AM19" s="26" cm="1">
        <f t="array" ref="AM19">$G$3+IFERROR(VLOOKUP($AH19,$F$4:$G$7,2,FALSE),0)+VLOOKUP($R19,武学奇术!$A:$ZZ,2,FALSE)+SUM(_xlfn.XLOOKUP($S19:$AG19,增益!$A:$A,增益!$B:$B,0))</f>
        <v>0.9741</v>
      </c>
      <c r="AN19" s="26" cm="1">
        <f t="array" ref="AN19">VLOOKUP($R19,武学奇术!$A:$ZZ,5,FALSE)+SUM(_xlfn.XLOOKUP($S19:$AG19,增益!$A:$A,增益!$E:$E,0))</f>
        <v>0</v>
      </c>
      <c r="AO19" cm="1">
        <f t="array" ref="AO19">$D$10*(1+$AN19)+VLOOKUP($R19,武学奇术!$A:$ZZ,3,FALSE)+SUM(_xlfn.XLOOKUP($S19:$AG19,增益!$A:$A,增益!$C:$C,0))-$I$2</f>
        <v>3562.6</v>
      </c>
      <c r="AP19" cm="1">
        <f t="array" ref="AP19">$E$10*(1+$AN19)+VLOOKUP($R19,武学奇术!$A:$ZZ,4,FALSE)+SUM(_xlfn.XLOOKUP($S19:$AG19,增益!$A:$A,增益!$D:$D,0))-$I$2</f>
        <v>3562.6</v>
      </c>
      <c r="AQ19" s="32" cm="1">
        <f t="array" ref="AQ19">IF($F$10-$I$3+VLOOKUP($R19,武学奇术!$A:$ZZ,6,FALSE)+SUM(_xlfn.XLOOKUP(S19:AG19,增益!$A:$A,增益!$F:$F,0))&gt;0,($F$10-$I$3+VLOOKUP($R19,武学奇术!$A:$ZZ,6,FALSE)+SUM(_xlfn.XLOOKUP(S19:AG19,增益!$A:$A,增益!$F:$F,0)))/200,($F$10-$I$3+VLOOKUP($R19,武学奇术!$A:$ZZ,6,FALSE)+SUM(_xlfn.XLOOKUP(S19:AG19,增益!$A:$A,增益!$F:$F,0)))/100)</f>
        <v>0.2925</v>
      </c>
      <c r="AR19" s="32" cm="1">
        <f t="array" ref="AR19">$G$10+VLOOKUP($R19,武学奇术!$A:$ZZ,7,FALSE)+SUM(_xlfn.XLOOKUP(S19:AG19,增益!$A:$A,增益!$G:$G,0))</f>
        <v>0.148</v>
      </c>
      <c r="AS19" s="26" cm="1">
        <f t="array" ref="AS19">VLOOKUP($R19,武学奇术!$A:$ZZ,8,FALSE)+SUM(_xlfn.XLOOKUP(S19:AG19,增益!$A:$A,增益!$H:$H,0))</f>
        <v>0</v>
      </c>
      <c r="AT19">
        <f t="shared" si="1"/>
        <v>0</v>
      </c>
      <c r="AU19">
        <f t="shared" si="2"/>
        <v>0</v>
      </c>
      <c r="AV19" s="32" cm="1">
        <f t="array" ref="AV19">IF($F$11-$I$4+VLOOKUP($R19,武学奇术!$A:$ZZ,9,FALSE)+SUM(_xlfn.XLOOKUP(S19:AG19,增益!$A:$A,增益!$I:$I,0))&gt;0,($F$11-$I$4+VLOOKUP($R19,武学奇术!$A:$ZZ,9,FALSE)+SUM(_xlfn.XLOOKUP(S19:AG19,增益!$A:$A,增益!$I:$I,0)))/200,($F$11-$I$4+VLOOKUP($R19,武学奇术!$A:$ZZ,9,FALSE)+SUM(_xlfn.XLOOKUP(S19:AG19,增益!$A:$A,增益!$I:$I,0)))/100)</f>
        <v>-0.3</v>
      </c>
      <c r="AW19" s="32" cm="1">
        <f t="array" ref="AW19">$G$11+VLOOKUP($R19,武学奇术!$A:$ZZ,10,FALSE)+SUM(_xlfn.XLOOKUP(S19:AG19,增益!$A:$A,增益!$J:$J,0))</f>
        <v>0</v>
      </c>
      <c r="AX19">
        <f t="shared" si="3"/>
        <v>0</v>
      </c>
      <c r="AY19">
        <f t="shared" si="4"/>
        <v>0</v>
      </c>
      <c r="AZ19" s="32" cm="1">
        <f t="array" ref="AZ19">IF($F$12-$I$4+VLOOKUP($R19,武学奇术!$A:$ZZ,11,FALSE)+SUM(_xlfn.XLOOKUP(S19:AG19,增益!$A:$A,增益!$K:$K,0))&gt;0,($F$12-$I$4+VLOOKUP($R19,武学奇术!$A:$ZZ,11,FALSE)+SUM(_xlfn.XLOOKUP(S19:AG19,增益!$A:$A,增益!$K:$K,0)))/200,($F$12-$I$4+VLOOKUP($R19,武学奇术!$A:$ZZ,11,FALSE)+SUM(_xlfn.XLOOKUP(S19:AG19,增益!$A:$A,增益!$K:$K,0)))/100)</f>
        <v>-0.3</v>
      </c>
      <c r="BA19" s="32" cm="1">
        <f t="array" ref="BA19">$G$12+VLOOKUP($R19,武学奇术!$A:$ZZ,12,FALSE)+SUM(_xlfn.XLOOKUP(S19:AG19,增益!$A:$A,增益!$L:$L,0))</f>
        <v>0</v>
      </c>
      <c r="BB19">
        <f t="shared" si="5"/>
        <v>0</v>
      </c>
      <c r="BC19">
        <f t="shared" si="6"/>
        <v>0</v>
      </c>
      <c r="BD19" s="32" cm="1">
        <f t="array" ref="BD19">IF($F$13-$I$4+VLOOKUP($R19,武学奇术!$A:$ZZ,13,FALSE)+SUM(_xlfn.XLOOKUP(S19:AG19,增益!$A:$A,增益!$M:$M,0))&gt;0,($F$13-$I$4+VLOOKUP($R19,武学奇术!$A:$ZZ,13,FALSE)+SUM(_xlfn.XLOOKUP(S19:AG19,增益!$A:$A,增益!$K:$K,0)))/200,($F$13-$I$4+VLOOKUP($R19,武学奇术!$A:$ZZ,13,FALSE)+SUM(_xlfn.XLOOKUP(S19:AG19,增益!$A:$A,增益!$M:$M,0)))/100)</f>
        <v>-0.3</v>
      </c>
      <c r="BE19" s="32" cm="1">
        <f t="array" ref="BE19">$G$13+VLOOKUP($R19,武学奇术!$A:$ZZ,14,FALSE)+SUM(_xlfn.XLOOKUP(S19:AG19,增益!$A:$A,增益!$N:$N,0))</f>
        <v>0</v>
      </c>
      <c r="BF19">
        <f t="shared" si="7"/>
        <v>571.2</v>
      </c>
      <c r="BG19">
        <f t="shared" si="8"/>
        <v>1627.8</v>
      </c>
      <c r="BH19" s="32" cm="1">
        <f t="array" ref="BH19">IF($F$14-$I$4+VLOOKUP($R19,武学奇术!$A:$ZZ,15,FALSE)+SUM(_xlfn.XLOOKUP(S19:AG19,增益!$A:$A,增益!$O:$O,0))&gt;0,($F$14-$I$4+VLOOKUP($R19,武学奇术!$A:$ZZ,15,FALSE)+SUM(_xlfn.XLOOKUP(S19:AG19,增益!$A:$A,增益!$O:$O,0)))/200,($F$14-$I$4+VLOOKUP($R19,武学奇术!$A:$ZZ,15,FALSE)+SUM(_xlfn.XLOOKUP(S19:AG19,增益!$A:$A,增益!$O:$O,0)))/100)</f>
        <v>0</v>
      </c>
      <c r="BI19" s="32" cm="1">
        <f t="array" ref="BI19">$G$14+VLOOKUP($R19,武学奇术!$A:$ZZ,16,FALSE)+SUM(_xlfn.XLOOKUP(S19:AG19,增益!$A:$A,增益!$P:$P,0))</f>
        <v>0.27</v>
      </c>
      <c r="BJ19" s="26">
        <f>MIN(IF(VLOOKUP($R19,武学奇术!$A:$ZZ,23,FALSE)=1,100%,$B$8),100%)</f>
        <v>1</v>
      </c>
      <c r="BK19" s="26" cm="1">
        <f t="array" ref="BK19">IF(VLOOKUP($R19,武学奇术!$A:$ZZ,23,FALSE)=1,100%,MIN(80%,$B$9+VLOOKUP($R19,武学奇术!$A:$ZZ,17,FALSE)+SUM(_xlfn.XLOOKUP(S19:AG19,增益!$A:$A,增益!$Q:$Q,0)))+$B$11+SUM(_xlfn.XLOOKUP(S19:AG19,增益!$A:$A,增益!$U:$U,0)))*IF(VLOOKUP($R19,武学奇术!$A:$ZZ,24,FALSE)=1,0,1)</f>
        <v>1</v>
      </c>
      <c r="BL19" s="26" cm="1">
        <f t="array" ref="BL19">1+$B$13+VLOOKUP($R19,武学奇术!$A:$ZZ,18,FALSE)+SUM(_xlfn.XLOOKUP(S19:AG19,增益!$A:$A,增益!$R:$R,0))</f>
        <v>1.99</v>
      </c>
      <c r="BM19" s="26" cm="1">
        <f t="array" ref="BM19">IF(VLOOKUP($R19,武学奇术!$A:$ZZ,24,FALSE)=1,100%,MIN(40%,$B$10+VLOOKUP($R19,武学奇术!$A:$ZZ,19,FALSE)+SUM(_xlfn.XLOOKUP(S19:AG19,增益!$A:$A,增益!$S:$S,0)))+$B$12+SUM(_xlfn.XLOOKUP(S19:AG19,增益!$A:$A,增益!$V:$V,0)))*IF(VLOOKUP($R19,武学奇术!$A:$ZZ,23,FALSE)=1,0,1)</f>
        <v>0</v>
      </c>
      <c r="BN19" s="26" cm="1">
        <f t="array" ref="BN19">1+$B$14+VLOOKUP($R19,武学奇术!$A:$ZZ,20,FALSE)+SUM(_xlfn.XLOOKUP(S19:AG19,增益!$A:$A,增益!$T:$T,0))</f>
        <v>1.35</v>
      </c>
      <c r="BO19" s="26">
        <f t="shared" si="9"/>
        <v>1</v>
      </c>
      <c r="BP19" s="26">
        <f t="shared" si="10"/>
        <v>0</v>
      </c>
      <c r="BQ19" s="26">
        <f>IF(VLOOKUP($R19,武学奇术!$A:$ZZ,22,FALSE)=1,0,(1-$BJ19))*(1-$BM19)</f>
        <v>0</v>
      </c>
      <c r="BR19" s="26" cm="1">
        <f t="array" ref="BR19">SUM(_xlfn.XLOOKUP(S19:AG19,增益!$A:$A,增益!$W:$W,0))+$I$5</f>
        <v>0.11</v>
      </c>
    </row>
    <row r="20" spans="1:70">
      <c r="A20" s="41" t="s">
        <v>140</v>
      </c>
      <c r="B20" s="69">
        <f>期望!B20</f>
        <v>0</v>
      </c>
      <c r="C20" s="39" t="s">
        <v>141</v>
      </c>
      <c r="D20" s="78" t="s">
        <v>145</v>
      </c>
      <c r="K20">
        <f>$L20*VLOOKUP($R20,武学奇术!$A:$ZZ,31,FALSE)</f>
        <v>53056.6686694305</v>
      </c>
      <c r="L20" s="38">
        <f t="shared" si="0"/>
        <v>50530.1606375528</v>
      </c>
      <c r="M20" s="38">
        <f>((($AO20+$AP20)/2*$AI20+$AJ20)*(1+$AQ20)*(1+$AR20)+(($AT20+$AU20)/2*IF($G$1="鸣金",$AK20,$AI20)+IF($G$1="鸣金",$AL20*1.5,0))*(1+$AV20)*(1+$AW20)+(($AX20+$AY20)/2*IF($G$1="裂石",$AK20,$AI20)+IF($G$1="裂石",$AL20*1.5,0))*(1+$AZ20)*(1+$BA20)+(($BB20+$BC20)/2*IF($G$1="牵丝",$AK20,$AI20)+IF($G$1="牵丝",$AL20*1.5,0))*(1+$BD20)*(1+$BE20)+(($BF20+$BG20)/2*IF($G$1="破竹",$AK20,$AI20)+IF($G$1="破竹",$AL20*1.5,0))*(1+$BH20)*(1+$BI20))*(1+$AM20)*$BL20*$Q20*(1+IF(VLOOKUP($R20,武学奇术!$A:$ZZ,30,FALSE)="回旋伞",$B$21,0))*(1+$BR20)</f>
        <v>50530.1606375528</v>
      </c>
      <c r="N20" s="38">
        <f>(($AP20*$AI20+$AJ20)*(1+$AQ20)*(1+$AR20)+($AU20*IF($G$1="鸣金",$AK20,$AI20)+IF($G$1="鸣金",$AL20*1.5,0))*(1+$AV20)*(1+$AW20)+($AY20*IF($G$1="裂石",$AK20,$AI20)+IF($G$1="裂石",$AL20*1.5,0))*(1+$AZ20)*(1+$BA20)+($BC20*IF($G$1="牵丝",$AK20,$AI20)+IF($G$1="牵丝",$AL20*1.5,0))*(1+$BD20)*(1+$BE20)+($BG20*IF($G$1="破竹",$AK20,$AI20)+IF($G$1="破竹",$AL20*1.5,0))*(1+$BH20)*(1+$BI20))*(1+$AM20)*$BN20*$Q20*(1+IF(VLOOKUP($R20,武学奇术!$A:$ZZ,30,FALSE)="回旋伞",$B$21,0))*(1+$BR20)</f>
        <v>38953.4789161657</v>
      </c>
      <c r="O20" s="38">
        <f>((($AO20+$AP20)/2*$AI20+$AJ20)*(1+$AQ20)*(1+$AR20)+(($AT20+$AU20)/2*IF($G$1="鸣金",$AK20,$AI20)+IF($G$1="鸣金",$AL20*1.5,0))*(1+$AV20)*(1+$AW20)+(($AX20+$AY20)/2*IF($G$1="裂石",$AK20,$AI20)+IF($G$1="裂石",$AL20*1.5,0))*(1+$AZ20)*(1+$BA20)+(($BB20+$BC20)/2*IF($G$1="牵丝",$AK20,$AI20)+IF($G$1="牵丝",$AL20*1.5,0))*(1+$BD20)*(1+$BE20)+(($BF20+$BG20)/2*IF($G$1="破竹",$AK20,$AI20)+IF($G$1="破竹",$AL20*1.5,0))*(1+$BH20)*(1+$BI20))*(1+$AM20)*$Q20*(1+IF(VLOOKUP($R20,武学奇术!$A:$ZZ,30,FALSE)="回旋伞",$B$21,0))*(1+$BR20)</f>
        <v>25392.0405213833</v>
      </c>
      <c r="P20" s="38">
        <f>((($AO20*$AI20+$AJ20)*(1+$AQ20)*(1+$AR20)+($AT20*IF($G$1="鸣金",$AK20,$AI20)+IF($G$1="鸣金",$AL20*1.5,0))*(1+$AV20)*(1+$AW20)+($AX20*IF($G$1="裂石",$AK20,$AI20)+IF($G$1="裂石",$AL20*1.5,0))*(1+$AZ20)*(1+$BA20)+($BB20*IF($G$1="牵丝",$AK20,$AI20)+IF($G$1="牵丝",$AL20*1.5,0))*(1+$BD20)*(1+$BE20)+($BF20*IF($G$1="破竹",$AK20,$AI20)+IF($G$1="破竹",$AL20*1.5,0))*(1+$BH20)*(1+$BI20))*(1+$AM20))*$Q20*(1+IF(VLOOKUP($R20,武学奇术!$A:$ZZ,30,FALSE)="回旋伞",$B$21,0))*(1+$BR20)</f>
        <v>21929.6522159773</v>
      </c>
      <c r="Q20" s="39">
        <v>2</v>
      </c>
      <c r="R20" s="40" t="s">
        <v>132</v>
      </c>
      <c r="S20" s="40" t="s">
        <v>109</v>
      </c>
      <c r="T20" s="40" t="s">
        <v>95</v>
      </c>
      <c r="U20" s="40" t="s">
        <v>73</v>
      </c>
      <c r="V20" s="40" t="s">
        <v>81</v>
      </c>
      <c r="W20" s="40" t="s">
        <v>89</v>
      </c>
      <c r="X20" s="40" t="s">
        <v>99</v>
      </c>
      <c r="Y20" s="40" t="s">
        <v>72</v>
      </c>
      <c r="Z20" s="40" t="s">
        <v>72</v>
      </c>
      <c r="AA20" s="40" t="s">
        <v>72</v>
      </c>
      <c r="AB20" s="40" t="s">
        <v>126</v>
      </c>
      <c r="AC20" s="40" t="s">
        <v>72</v>
      </c>
      <c r="AD20" s="40" t="s">
        <v>72</v>
      </c>
      <c r="AE20" s="40" t="s">
        <v>72</v>
      </c>
      <c r="AF20" s="40" t="s">
        <v>72</v>
      </c>
      <c r="AG20" s="40" t="s">
        <v>78</v>
      </c>
      <c r="AH20" t="str">
        <f>VLOOKUP($R20,武学奇术!$A:$ZZ,25,FALSE)</f>
        <v>伞</v>
      </c>
      <c r="AI20" s="26">
        <f>VLOOKUP($R20,武学奇术!$A:$ZZ,26,FALSE)</f>
        <v>0.54</v>
      </c>
      <c r="AJ20" s="27">
        <f>VLOOKUP($R20,武学奇术!$A:$ZZ,27,FALSE)*(1+IF(OR($AH20=$F$4,$AH20=$F$5),$B$22,0))</f>
        <v>0</v>
      </c>
      <c r="AK20" s="26">
        <f>VLOOKUP($R20,武学奇术!$A:$ZZ,28,FALSE)</f>
        <v>0.81</v>
      </c>
      <c r="AL20" s="27">
        <f>VLOOKUP($R20,武学奇术!$A:$ZZ,29,FALSE)*(1+IF(OR($AH20=$F$4,$AH20=$F$5),$B$22,0))</f>
        <v>0</v>
      </c>
      <c r="AM20" s="26" cm="1">
        <f t="array" ref="AM20">$G$3+IFERROR(VLOOKUP($AH20,$F$4:$G$7,2,FALSE),0)+VLOOKUP($R20,武学奇术!$A:$ZZ,2,FALSE)+SUM(_xlfn.XLOOKUP($S20:$AG20,增益!$A:$A,增益!$B:$B,0))</f>
        <v>1.1741</v>
      </c>
      <c r="AN20" s="26" cm="1">
        <f t="array" ref="AN20">VLOOKUP($R20,武学奇术!$A:$ZZ,5,FALSE)+SUM(_xlfn.XLOOKUP($S20:$AG20,增益!$A:$A,增益!$E:$E,0))</f>
        <v>0</v>
      </c>
      <c r="AO20" cm="1">
        <f t="array" ref="AO20">$D$10*(1+$AN20)+VLOOKUP($R20,武学奇术!$A:$ZZ,3,FALSE)+SUM(_xlfn.XLOOKUP($S20:$AG20,增益!$A:$A,增益!$C:$C,0))-$I$2</f>
        <v>3562.6</v>
      </c>
      <c r="AP20" cm="1">
        <f t="array" ref="AP20">$E$10*(1+$AN20)+VLOOKUP($R20,武学奇术!$A:$ZZ,4,FALSE)+SUM(_xlfn.XLOOKUP($S20:$AG20,增益!$A:$A,增益!$D:$D,0))-$I$2</f>
        <v>3562.6</v>
      </c>
      <c r="AQ20" s="32" cm="1">
        <f t="array" ref="AQ20">IF($F$10-$I$3+VLOOKUP($R20,武学奇术!$A:$ZZ,6,FALSE)+SUM(_xlfn.XLOOKUP(S20:AG20,增益!$A:$A,增益!$F:$F,0))&gt;0,($F$10-$I$3+VLOOKUP($R20,武学奇术!$A:$ZZ,6,FALSE)+SUM(_xlfn.XLOOKUP(S20:AG20,增益!$A:$A,增益!$F:$F,0)))/200,($F$10-$I$3+VLOOKUP($R20,武学奇术!$A:$ZZ,6,FALSE)+SUM(_xlfn.XLOOKUP(S20:AG20,增益!$A:$A,增益!$F:$F,0)))/100)</f>
        <v>0.2925</v>
      </c>
      <c r="AR20" s="32" cm="1">
        <f t="array" ref="AR20">$G$10+VLOOKUP($R20,武学奇术!$A:$ZZ,7,FALSE)+SUM(_xlfn.XLOOKUP(S20:AG20,增益!$A:$A,增益!$G:$G,0))</f>
        <v>0.148</v>
      </c>
      <c r="AS20" s="26" cm="1">
        <f t="array" ref="AS20">VLOOKUP($R20,武学奇术!$A:$ZZ,8,FALSE)+SUM(_xlfn.XLOOKUP(S20:AG20,增益!$A:$A,增益!$H:$H,0))</f>
        <v>0</v>
      </c>
      <c r="AT20">
        <f t="shared" si="1"/>
        <v>0</v>
      </c>
      <c r="AU20">
        <f t="shared" si="2"/>
        <v>0</v>
      </c>
      <c r="AV20" s="32" cm="1">
        <f t="array" ref="AV20">IF($F$11-$I$4+VLOOKUP($R20,武学奇术!$A:$ZZ,9,FALSE)+SUM(_xlfn.XLOOKUP(S20:AG20,增益!$A:$A,增益!$I:$I,0))&gt;0,($F$11-$I$4+VLOOKUP($R20,武学奇术!$A:$ZZ,9,FALSE)+SUM(_xlfn.XLOOKUP(S20:AG20,增益!$A:$A,增益!$I:$I,0)))/200,($F$11-$I$4+VLOOKUP($R20,武学奇术!$A:$ZZ,9,FALSE)+SUM(_xlfn.XLOOKUP(S20:AG20,增益!$A:$A,增益!$I:$I,0)))/100)</f>
        <v>-0.3</v>
      </c>
      <c r="AW20" s="32" cm="1">
        <f t="array" ref="AW20">$G$11+VLOOKUP($R20,武学奇术!$A:$ZZ,10,FALSE)+SUM(_xlfn.XLOOKUP(S20:AG20,增益!$A:$A,增益!$J:$J,0))</f>
        <v>0</v>
      </c>
      <c r="AX20">
        <f t="shared" si="3"/>
        <v>0</v>
      </c>
      <c r="AY20">
        <f t="shared" si="4"/>
        <v>0</v>
      </c>
      <c r="AZ20" s="32" cm="1">
        <f t="array" ref="AZ20">IF($F$12-$I$4+VLOOKUP($R20,武学奇术!$A:$ZZ,11,FALSE)+SUM(_xlfn.XLOOKUP(S20:AG20,增益!$A:$A,增益!$K:$K,0))&gt;0,($F$12-$I$4+VLOOKUP($R20,武学奇术!$A:$ZZ,11,FALSE)+SUM(_xlfn.XLOOKUP(S20:AG20,增益!$A:$A,增益!$K:$K,0)))/200,($F$12-$I$4+VLOOKUP($R20,武学奇术!$A:$ZZ,11,FALSE)+SUM(_xlfn.XLOOKUP(S20:AG20,增益!$A:$A,增益!$K:$K,0)))/100)</f>
        <v>-0.3</v>
      </c>
      <c r="BA20" s="32" cm="1">
        <f t="array" ref="BA20">$G$12+VLOOKUP($R20,武学奇术!$A:$ZZ,12,FALSE)+SUM(_xlfn.XLOOKUP(S20:AG20,增益!$A:$A,增益!$L:$L,0))</f>
        <v>0</v>
      </c>
      <c r="BB20">
        <f t="shared" si="5"/>
        <v>0</v>
      </c>
      <c r="BC20">
        <f t="shared" si="6"/>
        <v>0</v>
      </c>
      <c r="BD20" s="32" cm="1">
        <f t="array" ref="BD20">IF($F$13-$I$4+VLOOKUP($R20,武学奇术!$A:$ZZ,13,FALSE)+SUM(_xlfn.XLOOKUP(S20:AG20,增益!$A:$A,增益!$M:$M,0))&gt;0,($F$13-$I$4+VLOOKUP($R20,武学奇术!$A:$ZZ,13,FALSE)+SUM(_xlfn.XLOOKUP(S20:AG20,增益!$A:$A,增益!$K:$K,0)))/200,($F$13-$I$4+VLOOKUP($R20,武学奇术!$A:$ZZ,13,FALSE)+SUM(_xlfn.XLOOKUP(S20:AG20,增益!$A:$A,增益!$M:$M,0)))/100)</f>
        <v>-0.3</v>
      </c>
      <c r="BE20" s="32" cm="1">
        <f t="array" ref="BE20">$G$13+VLOOKUP($R20,武学奇术!$A:$ZZ,14,FALSE)+SUM(_xlfn.XLOOKUP(S20:AG20,增益!$A:$A,增益!$N:$N,0))</f>
        <v>0</v>
      </c>
      <c r="BF20">
        <f t="shared" si="7"/>
        <v>571.2</v>
      </c>
      <c r="BG20">
        <f t="shared" si="8"/>
        <v>1627.8</v>
      </c>
      <c r="BH20" s="32" cm="1">
        <f t="array" ref="BH20">IF($F$14-$I$4+VLOOKUP($R20,武学奇术!$A:$ZZ,15,FALSE)+SUM(_xlfn.XLOOKUP(S20:AG20,增益!$A:$A,增益!$O:$O,0))&gt;0,($F$14-$I$4+VLOOKUP($R20,武学奇术!$A:$ZZ,15,FALSE)+SUM(_xlfn.XLOOKUP(S20:AG20,增益!$A:$A,增益!$O:$O,0)))/200,($F$14-$I$4+VLOOKUP($R20,武学奇术!$A:$ZZ,15,FALSE)+SUM(_xlfn.XLOOKUP(S20:AG20,增益!$A:$A,增益!$O:$O,0)))/100)</f>
        <v>0</v>
      </c>
      <c r="BI20" s="32" cm="1">
        <f t="array" ref="BI20">$G$14+VLOOKUP($R20,武学奇术!$A:$ZZ,16,FALSE)+SUM(_xlfn.XLOOKUP(S20:AG20,增益!$A:$A,增益!$P:$P,0))</f>
        <v>0.27</v>
      </c>
      <c r="BJ20" s="26">
        <f>MIN(IF(VLOOKUP($R20,武学奇术!$A:$ZZ,23,FALSE)=1,100%,$B$8),100%)</f>
        <v>1</v>
      </c>
      <c r="BK20" s="26" cm="1">
        <f t="array" ref="BK20">IF(VLOOKUP($R20,武学奇术!$A:$ZZ,23,FALSE)=1,100%,MIN(80%,$B$9+VLOOKUP($R20,武学奇术!$A:$ZZ,17,FALSE)+SUM(_xlfn.XLOOKUP(S20:AG20,增益!$A:$A,增益!$Q:$Q,0)))+$B$11+SUM(_xlfn.XLOOKUP(S20:AG20,增益!$A:$A,增益!$U:$U,0)))*IF(VLOOKUP($R20,武学奇术!$A:$ZZ,24,FALSE)=1,0,1)</f>
        <v>1</v>
      </c>
      <c r="BL20" s="26" cm="1">
        <f t="array" ref="BL20">1+$B$13+VLOOKUP($R20,武学奇术!$A:$ZZ,18,FALSE)+SUM(_xlfn.XLOOKUP(S20:AG20,增益!$A:$A,增益!$R:$R,0))</f>
        <v>1.99</v>
      </c>
      <c r="BM20" s="26" cm="1">
        <f t="array" ref="BM20">IF(VLOOKUP($R20,武学奇术!$A:$ZZ,24,FALSE)=1,100%,MIN(40%,$B$10+VLOOKUP($R20,武学奇术!$A:$ZZ,19,FALSE)+SUM(_xlfn.XLOOKUP(S20:AG20,增益!$A:$A,增益!$S:$S,0)))+$B$12+SUM(_xlfn.XLOOKUP(S20:AG20,增益!$A:$A,增益!$V:$V,0)))*IF(VLOOKUP($R20,武学奇术!$A:$ZZ,23,FALSE)=1,0,1)</f>
        <v>0</v>
      </c>
      <c r="BN20" s="26" cm="1">
        <f t="array" ref="BN20">1+$B$14+VLOOKUP($R20,武学奇术!$A:$ZZ,20,FALSE)+SUM(_xlfn.XLOOKUP(S20:AG20,增益!$A:$A,增益!$T:$T,0))</f>
        <v>1.35</v>
      </c>
      <c r="BO20" s="26">
        <f t="shared" si="9"/>
        <v>1</v>
      </c>
      <c r="BP20" s="26">
        <f t="shared" si="10"/>
        <v>0</v>
      </c>
      <c r="BQ20" s="26">
        <f>IF(VLOOKUP($R20,武学奇术!$A:$ZZ,22,FALSE)=1,0,(1-$BJ20))*(1-$BM20)</f>
        <v>0</v>
      </c>
      <c r="BR20" s="26" cm="1">
        <f t="array" ref="BR20">SUM(_xlfn.XLOOKUP(S20:AG20,增益!$A:$A,增益!$W:$W,0))+$I$5</f>
        <v>0.11</v>
      </c>
    </row>
    <row r="21" ht="14.25" spans="1:70">
      <c r="A21" s="84" t="s">
        <v>143</v>
      </c>
      <c r="B21" s="85">
        <f>期望!B21</f>
        <v>0.32</v>
      </c>
      <c r="C21" s="39" t="s">
        <v>144</v>
      </c>
      <c r="D21" s="78" t="s">
        <v>145</v>
      </c>
      <c r="E21" s="39" t="s">
        <v>146</v>
      </c>
      <c r="F21" s="39"/>
      <c r="K21">
        <f>$L21*VLOOKUP($R21,武学奇术!$A:$ZZ,31,FALSE)</f>
        <v>77993.5260037503</v>
      </c>
      <c r="L21" s="38">
        <f t="shared" si="0"/>
        <v>74279.5485750003</v>
      </c>
      <c r="M21" s="38">
        <f>((($AO21+$AP21)/2*$AI21+$AJ21)*(1+$AQ21)*(1+$AR21)+(($AT21+$AU21)/2*IF($G$1="鸣金",$AK21,$AI21)+IF($G$1="鸣金",$AL21*1.5,0))*(1+$AV21)*(1+$AW21)+(($AX21+$AY21)/2*IF($G$1="裂石",$AK21,$AI21)+IF($G$1="裂石",$AL21*1.5,0))*(1+$AZ21)*(1+$BA21)+(($BB21+$BC21)/2*IF($G$1="牵丝",$AK21,$AI21)+IF($G$1="牵丝",$AL21*1.5,0))*(1+$BD21)*(1+$BE21)+(($BF21+$BG21)/2*IF($G$1="破竹",$AK21,$AI21)+IF($G$1="破竹",$AL21*1.5,0))*(1+$BH21)*(1+$BI21))*(1+$AM21)*$BL21*$Q21*(1+IF(VLOOKUP($R21,武学奇术!$A:$ZZ,30,FALSE)="回旋伞",$B$21,0))*(1+$BR21)</f>
        <v>79216.209025047</v>
      </c>
      <c r="N21" s="38">
        <f>(($AP21*$AI21+$AJ21)*(1+$AQ21)*(1+$AR21)+($AU21*IF($G$1="鸣金",$AK21,$AI21)+IF($G$1="鸣金",$AL21*1.5,0))*(1+$AV21)*(1+$AW21)+($AY21*IF($G$1="裂石",$AK21,$AI21)+IF($G$1="裂石",$AL21*1.5,0))*(1+$AZ21)*(1+$BA21)+($BC21*IF($G$1="牵丝",$AK21,$AI21)+IF($G$1="牵丝",$AL21*1.5,0))*(1+$BD21)*(1+$BE21)+($BG21*IF($G$1="破竹",$AK21,$AI21)+IF($G$1="破竹",$AL21*1.5,0))*(1+$BH21)*(1+$BI21))*(1+$AM21)*$BN21*$Q21*(1+IF(VLOOKUP($R21,武学奇术!$A:$ZZ,30,FALSE)="回旋伞",$B$21,0))*(1+$BR21)</f>
        <v>59857.6756031387</v>
      </c>
      <c r="O21" s="38">
        <f>((($AO21+$AP21)/2*$AI21+$AJ21)*(1+$AQ21)*(1+$AR21)+(($AT21+$AU21)/2*IF($G$1="鸣金",$AK21,$AI21)+IF($G$1="鸣金",$AL21*1.5,0))*(1+$AV21)*(1+$AW21)+(($AX21+$AY21)/2*IF($G$1="裂石",$AK21,$AI21)+IF($G$1="裂石",$AL21*1.5,0))*(1+$AZ21)*(1+$BA21)+(($BB21+$BC21)/2*IF($G$1="牵丝",$AK21,$AI21)+IF($G$1="牵丝",$AL21*1.5,0))*(1+$BD21)*(1+$BE21)+(($BF21+$BG21)/2*IF($G$1="破竹",$AK21,$AI21)+IF($G$1="破竹",$AL21*1.5,0))*(1+$BH21)*(1+$BI21))*(1+$AM21)*$Q21*(1+IF(VLOOKUP($R21,武学奇术!$A:$ZZ,30,FALSE)="回旋伞",$B$21,0))*(1+$BR21)</f>
        <v>39608.1045125235</v>
      </c>
      <c r="P21" s="38">
        <f>((($AO21*$AI21+$AJ21)*(1+$AQ21)*(1+$AR21)+($AT21*IF($G$1="鸣金",$AK21,$AI21)+IF($G$1="鸣金",$AL21*1.5,0))*(1+$AV21)*(1+$AW21)+($AX21*IF($G$1="裂石",$AK21,$AI21)+IF($G$1="裂石",$AL21*1.5,0))*(1+$AZ21)*(1+$BA21)+($BB21*IF($G$1="牵丝",$AK21,$AI21)+IF($G$1="牵丝",$AL21*1.5,0))*(1+$BD21)*(1+$BE21)+($BF21*IF($G$1="破竹",$AK21,$AI21)+IF($G$1="破竹",$AL21*1.5,0))*(1+$BH21)*(1+$BI21))*(1+$AM21))*$Q21*(1+IF(VLOOKUP($R21,武学奇术!$A:$ZZ,30,FALSE)="回旋伞",$B$21,0))*(1+$BR21)</f>
        <v>34877.1900597591</v>
      </c>
      <c r="Q21" s="39">
        <v>1</v>
      </c>
      <c r="R21" s="40" t="s">
        <v>108</v>
      </c>
      <c r="S21" s="40" t="s">
        <v>109</v>
      </c>
      <c r="T21" s="40" t="s">
        <v>95</v>
      </c>
      <c r="U21" s="40" t="s">
        <v>73</v>
      </c>
      <c r="V21" s="40" t="s">
        <v>81</v>
      </c>
      <c r="W21" s="40" t="s">
        <v>96</v>
      </c>
      <c r="X21" s="40" t="s">
        <v>99</v>
      </c>
      <c r="Y21" s="40" t="s">
        <v>72</v>
      </c>
      <c r="Z21" s="40" t="s">
        <v>72</v>
      </c>
      <c r="AA21" s="40" t="s">
        <v>72</v>
      </c>
      <c r="AB21" s="40" t="s">
        <v>126</v>
      </c>
      <c r="AC21" s="40" t="s">
        <v>72</v>
      </c>
      <c r="AD21" s="40" t="s">
        <v>72</v>
      </c>
      <c r="AE21" s="40" t="s">
        <v>72</v>
      </c>
      <c r="AF21" s="40" t="s">
        <v>72</v>
      </c>
      <c r="AG21" s="40" t="s">
        <v>78</v>
      </c>
      <c r="AH21" t="str">
        <f>VLOOKUP($R21,武学奇术!$A:$ZZ,25,FALSE)</f>
        <v>伞</v>
      </c>
      <c r="AI21" s="26">
        <f>VLOOKUP($R21,武学奇术!$A:$ZZ,26,FALSE)</f>
        <v>1.8084</v>
      </c>
      <c r="AJ21" s="27">
        <f>VLOOKUP($R21,武学奇术!$A:$ZZ,27,FALSE)*(1+IF(OR($AH21=$F$4,$AH21=$F$5),$B$22,0))</f>
        <v>750</v>
      </c>
      <c r="AK21" s="26">
        <f>VLOOKUP($R21,武学奇术!$A:$ZZ,28,FALSE)</f>
        <v>2.7126</v>
      </c>
      <c r="AL21" s="27">
        <f>VLOOKUP($R21,武学奇术!$A:$ZZ,29,FALSE)*(1+IF(OR($AH21=$F$4,$AH21=$F$5),$B$22,0))</f>
        <v>408</v>
      </c>
      <c r="AM21" s="26" cm="1">
        <f t="array" ref="AM21">$G$3+IFERROR(VLOOKUP($AH21,$F$4:$G$7,2,FALSE),0)+VLOOKUP($R21,武学奇术!$A:$ZZ,2,FALSE)+SUM(_xlfn.XLOOKUP($S21:$AG21,增益!$A:$A,增益!$B:$B,0))</f>
        <v>0.7741</v>
      </c>
      <c r="AN21" s="26" cm="1">
        <f t="array" ref="AN21">VLOOKUP($R21,武学奇术!$A:$ZZ,5,FALSE)+SUM(_xlfn.XLOOKUP($S21:$AG21,增益!$A:$A,增益!$E:$E,0))</f>
        <v>0</v>
      </c>
      <c r="AO21" cm="1">
        <f t="array" ref="AO21">$D$10*(1+$AN21)+VLOOKUP($R21,武学奇术!$A:$ZZ,3,FALSE)+SUM(_xlfn.XLOOKUP($S21:$AG21,增益!$A:$A,增益!$C:$C,0))-$I$2</f>
        <v>3562.6</v>
      </c>
      <c r="AP21" cm="1">
        <f t="array" ref="AP21">$E$10*(1+$AN21)+VLOOKUP($R21,武学奇术!$A:$ZZ,4,FALSE)+SUM(_xlfn.XLOOKUP($S21:$AG21,增益!$A:$A,增益!$D:$D,0))-$I$2</f>
        <v>3562.6</v>
      </c>
      <c r="AQ21" s="32" cm="1">
        <f t="array" ref="AQ21">IF($F$10-$I$3+VLOOKUP($R21,武学奇术!$A:$ZZ,6,FALSE)+SUM(_xlfn.XLOOKUP(S21:AG21,增益!$A:$A,增益!$F:$F,0))&gt;0,($F$10-$I$3+VLOOKUP($R21,武学奇术!$A:$ZZ,6,FALSE)+SUM(_xlfn.XLOOKUP(S21:AG21,增益!$A:$A,增益!$F:$F,0)))/200,($F$10-$I$3+VLOOKUP($R21,武学奇术!$A:$ZZ,6,FALSE)+SUM(_xlfn.XLOOKUP(S21:AG21,增益!$A:$A,增益!$F:$F,0)))/100)</f>
        <v>0.2925</v>
      </c>
      <c r="AR21" s="32" cm="1">
        <f t="array" ref="AR21">$G$10+VLOOKUP($R21,武学奇术!$A:$ZZ,7,FALSE)+SUM(_xlfn.XLOOKUP(S21:AG21,增益!$A:$A,增益!$G:$G,0))</f>
        <v>0.148</v>
      </c>
      <c r="AS21" s="26" cm="1">
        <f t="array" ref="AS21">VLOOKUP($R21,武学奇术!$A:$ZZ,8,FALSE)+SUM(_xlfn.XLOOKUP(S21:AG21,增益!$A:$A,增益!$H:$H,0))</f>
        <v>0</v>
      </c>
      <c r="AT21">
        <f t="shared" si="1"/>
        <v>0</v>
      </c>
      <c r="AU21">
        <f t="shared" si="2"/>
        <v>0</v>
      </c>
      <c r="AV21" s="32" cm="1">
        <f t="array" ref="AV21">IF($F$11-$I$4+VLOOKUP($R21,武学奇术!$A:$ZZ,9,FALSE)+SUM(_xlfn.XLOOKUP(S21:AG21,增益!$A:$A,增益!$I:$I,0))&gt;0,($F$11-$I$4+VLOOKUP($R21,武学奇术!$A:$ZZ,9,FALSE)+SUM(_xlfn.XLOOKUP(S21:AG21,增益!$A:$A,增益!$I:$I,0)))/200,($F$11-$I$4+VLOOKUP($R21,武学奇术!$A:$ZZ,9,FALSE)+SUM(_xlfn.XLOOKUP(S21:AG21,增益!$A:$A,增益!$I:$I,0)))/100)</f>
        <v>-0.3</v>
      </c>
      <c r="AW21" s="32" cm="1">
        <f t="array" ref="AW21">$G$11+VLOOKUP($R21,武学奇术!$A:$ZZ,10,FALSE)+SUM(_xlfn.XLOOKUP(S21:AG21,增益!$A:$A,增益!$J:$J,0))</f>
        <v>0</v>
      </c>
      <c r="AX21">
        <f t="shared" si="3"/>
        <v>0</v>
      </c>
      <c r="AY21">
        <f t="shared" si="4"/>
        <v>0</v>
      </c>
      <c r="AZ21" s="32" cm="1">
        <f t="array" ref="AZ21">IF($F$12-$I$4+VLOOKUP($R21,武学奇术!$A:$ZZ,11,FALSE)+SUM(_xlfn.XLOOKUP(S21:AG21,增益!$A:$A,增益!$K:$K,0))&gt;0,($F$12-$I$4+VLOOKUP($R21,武学奇术!$A:$ZZ,11,FALSE)+SUM(_xlfn.XLOOKUP(S21:AG21,增益!$A:$A,增益!$K:$K,0)))/200,($F$12-$I$4+VLOOKUP($R21,武学奇术!$A:$ZZ,11,FALSE)+SUM(_xlfn.XLOOKUP(S21:AG21,增益!$A:$A,增益!$K:$K,0)))/100)</f>
        <v>-0.3</v>
      </c>
      <c r="BA21" s="32" cm="1">
        <f t="array" ref="BA21">$G$12+VLOOKUP($R21,武学奇术!$A:$ZZ,12,FALSE)+SUM(_xlfn.XLOOKUP(S21:AG21,增益!$A:$A,增益!$L:$L,0))</f>
        <v>0</v>
      </c>
      <c r="BB21">
        <f t="shared" si="5"/>
        <v>0</v>
      </c>
      <c r="BC21">
        <f t="shared" si="6"/>
        <v>0</v>
      </c>
      <c r="BD21" s="32" cm="1">
        <f t="array" ref="BD21">IF($F$13-$I$4+VLOOKUP($R21,武学奇术!$A:$ZZ,13,FALSE)+SUM(_xlfn.XLOOKUP(S21:AG21,增益!$A:$A,增益!$M:$M,0))&gt;0,($F$13-$I$4+VLOOKUP($R21,武学奇术!$A:$ZZ,13,FALSE)+SUM(_xlfn.XLOOKUP(S21:AG21,增益!$A:$A,增益!$K:$K,0)))/200,($F$13-$I$4+VLOOKUP($R21,武学奇术!$A:$ZZ,13,FALSE)+SUM(_xlfn.XLOOKUP(S21:AG21,增益!$A:$A,增益!$M:$M,0)))/100)</f>
        <v>-0.3</v>
      </c>
      <c r="BE21" s="32" cm="1">
        <f t="array" ref="BE21">$G$13+VLOOKUP($R21,武学奇术!$A:$ZZ,14,FALSE)+SUM(_xlfn.XLOOKUP(S21:AG21,增益!$A:$A,增益!$N:$N,0))</f>
        <v>0</v>
      </c>
      <c r="BF21">
        <f t="shared" si="7"/>
        <v>571.2</v>
      </c>
      <c r="BG21">
        <f t="shared" si="8"/>
        <v>1627.8</v>
      </c>
      <c r="BH21" s="32" cm="1">
        <f t="array" ref="BH21">IF($F$14-$I$4+VLOOKUP($R21,武学奇术!$A:$ZZ,15,FALSE)+SUM(_xlfn.XLOOKUP(S21:AG21,增益!$A:$A,增益!$O:$O,0))&gt;0,($F$14-$I$4+VLOOKUP($R21,武学奇术!$A:$ZZ,15,FALSE)+SUM(_xlfn.XLOOKUP(S21:AG21,增益!$A:$A,增益!$O:$O,0)))/200,($F$14-$I$4+VLOOKUP($R21,武学奇术!$A:$ZZ,15,FALSE)+SUM(_xlfn.XLOOKUP(S21:AG21,增益!$A:$A,增益!$O:$O,0)))/100)</f>
        <v>0</v>
      </c>
      <c r="BI21" s="32" cm="1">
        <f t="array" ref="BI21">$G$14+VLOOKUP($R21,武学奇术!$A:$ZZ,16,FALSE)+SUM(_xlfn.XLOOKUP(S21:AG21,增益!$A:$A,增益!$P:$P,0))</f>
        <v>0.27</v>
      </c>
      <c r="BJ21" s="26">
        <f>MIN(IF(VLOOKUP($R21,武学奇术!$A:$ZZ,23,FALSE)=1,100%,$B$8),100%)</f>
        <v>0.981</v>
      </c>
      <c r="BK21" s="26" cm="1">
        <f t="array" ref="BK21">IF(VLOOKUP($R21,武学奇术!$A:$ZZ,23,FALSE)=1,100%,MIN(80%,$B$9+VLOOKUP($R21,武学奇术!$A:$ZZ,17,FALSE)+SUM(_xlfn.XLOOKUP(S21:AG21,增益!$A:$A,增益!$Q:$Q,0)))+$B$11+SUM(_xlfn.XLOOKUP(S21:AG21,增益!$A:$A,增益!$U:$U,0)))*IF(VLOOKUP($R21,武学奇术!$A:$ZZ,24,FALSE)=1,0,1)</f>
        <v>0.846</v>
      </c>
      <c r="BL21" s="26" cm="1">
        <f t="array" ref="BL21">1+$B$13+VLOOKUP($R21,武学奇术!$A:$ZZ,18,FALSE)+SUM(_xlfn.XLOOKUP(S21:AG21,增益!$A:$A,增益!$R:$R,0))</f>
        <v>2</v>
      </c>
      <c r="BM21" s="26" cm="1">
        <f t="array" ref="BM21">IF(VLOOKUP($R21,武学奇术!$A:$ZZ,24,FALSE)=1,100%,MIN(40%,$B$10+VLOOKUP($R21,武学奇术!$A:$ZZ,19,FALSE)+SUM(_xlfn.XLOOKUP(S21:AG21,增益!$A:$A,增益!$S:$S,0)))+$B$12+SUM(_xlfn.XLOOKUP(S21:AG21,增益!$A:$A,增益!$V:$V,0)))*IF(VLOOKUP($R21,武学奇术!$A:$ZZ,23,FALSE)=1,0,1)</f>
        <v>0.0929</v>
      </c>
      <c r="BN21" s="26" cm="1">
        <f t="array" ref="BN21">1+$B$14+VLOOKUP($R21,武学奇术!$A:$ZZ,20,FALSE)+SUM(_xlfn.XLOOKUP(S21:AG21,增益!$A:$A,增益!$T:$T,0))</f>
        <v>1.35</v>
      </c>
      <c r="BO21" s="26">
        <f t="shared" si="9"/>
        <v>0.829926</v>
      </c>
      <c r="BP21" s="26">
        <f t="shared" si="10"/>
        <v>0.0599391</v>
      </c>
      <c r="BQ21" s="26">
        <f>IF(VLOOKUP($R21,武学奇术!$A:$ZZ,22,FALSE)=1,0,(1-$BJ21))*(1-$BM21)</f>
        <v>0.0172349</v>
      </c>
      <c r="BR21" s="26" cm="1">
        <f t="array" ref="BR21">SUM(_xlfn.XLOOKUP(S21:AG21,增益!$A:$A,增益!$W:$W,0))+$I$5</f>
        <v>0.11</v>
      </c>
    </row>
    <row r="22" spans="1:70">
      <c r="A22" t="s">
        <v>147</v>
      </c>
      <c r="B22" s="28">
        <f>期望!B22</f>
        <v>0.5</v>
      </c>
      <c r="E22" s="40" t="str">
        <f>期望!E22</f>
        <v>大唐歌</v>
      </c>
      <c r="F22" s="40"/>
      <c r="K22">
        <f>$L22*VLOOKUP($R22,武学奇术!$A:$ZZ,31,FALSE)</f>
        <v>45444.9113770562</v>
      </c>
      <c r="L22" s="38">
        <f t="shared" si="0"/>
        <v>43280.8679781488</v>
      </c>
      <c r="M22" s="38">
        <f>((($AO22+$AP22)/2*$AI22+$AJ22)*(1+$AQ22)*(1+$AR22)+(($AT22+$AU22)/2*IF($G$1="鸣金",$AK22,$AI22)+IF($G$1="鸣金",$AL22*1.5,0))*(1+$AV22)*(1+$AW22)+(($AX22+$AY22)/2*IF($G$1="裂石",$AK22,$AI22)+IF($G$1="裂石",$AL22*1.5,0))*(1+$AZ22)*(1+$BA22)+(($BB22+$BC22)/2*IF($G$1="牵丝",$AK22,$AI22)+IF($G$1="牵丝",$AL22*1.5,0))*(1+$BD22)*(1+$BE22)+(($BF22+$BG22)/2*IF($G$1="破竹",$AK22,$AI22)+IF($G$1="破竹",$AL22*1.5,0))*(1+$BH22)*(1+$BI22))*(1+$AM22)*$BL22*$Q22*(1+IF(VLOOKUP($R22,武学奇术!$A:$ZZ,30,FALSE)="回旋伞",$B$21,0))*(1+$BR22)</f>
        <v>46112.3473559292</v>
      </c>
      <c r="N22" s="38">
        <f>(($AP22*$AI22+$AJ22)*(1+$AQ22)*(1+$AR22)+($AU22*IF($G$1="鸣金",$AK22,$AI22)+IF($G$1="鸣金",$AL22*1.5,0))*(1+$AV22)*(1+$AW22)+($AY22*IF($G$1="裂石",$AK22,$AI22)+IF($G$1="裂石",$AL22*1.5,0))*(1+$AZ22)*(1+$BA22)+($BC22*IF($G$1="牵丝",$AK22,$AI22)+IF($G$1="牵丝",$AL22*1.5,0))*(1+$BD22)*(1+$BE22)+($BG22*IF($G$1="破竹",$AK22,$AI22)+IF($G$1="破竹",$AL22*1.5,0))*(1+$BH22)*(1+$BI22))*(1+$AM22)*$BN22*$Q22*(1+IF(VLOOKUP($R22,武学奇术!$A:$ZZ,30,FALSE)="回旋伞",$B$21,0))*(1+$BR22)</f>
        <v>35370.0670293007</v>
      </c>
      <c r="O22" s="38">
        <f>((($AO22+$AP22)/2*$AI22+$AJ22)*(1+$AQ22)*(1+$AR22)+(($AT22+$AU22)/2*IF($G$1="鸣金",$AK22,$AI22)+IF($G$1="鸣金",$AL22*1.5,0))*(1+$AV22)*(1+$AW22)+(($AX22+$AY22)/2*IF($G$1="裂石",$AK22,$AI22)+IF($G$1="裂石",$AL22*1.5,0))*(1+$AZ22)*(1+$BA22)+(($BB22+$BC22)/2*IF($G$1="牵丝",$AK22,$AI22)+IF($G$1="牵丝",$AL22*1.5,0))*(1+$BD22)*(1+$BE22)+(($BF22+$BG22)/2*IF($G$1="破竹",$AK22,$AI22)+IF($G$1="破竹",$AL22*1.5,0))*(1+$BH22)*(1+$BI22))*(1+$AM22)*$Q22*(1+IF(VLOOKUP($R22,武学奇术!$A:$ZZ,30,FALSE)="回旋伞",$B$21,0))*(1+$BR22)</f>
        <v>23056.1736779646</v>
      </c>
      <c r="P22" s="38">
        <f>((($AO22*$AI22+$AJ22)*(1+$AQ22)*(1+$AR22)+($AT22*IF($G$1="鸣金",$AK22,$AI22)+IF($G$1="鸣金",$AL22*1.5,0))*(1+$AV22)*(1+$AW22)+($AX22*IF($G$1="裂石",$AK22,$AI22)+IF($G$1="裂石",$AL22*1.5,0))*(1+$AZ22)*(1+$BA22)+($BB22*IF($G$1="牵丝",$AK22,$AI22)+IF($G$1="牵丝",$AL22*1.5,0))*(1+$BD22)*(1+$BE22)+($BF22*IF($G$1="破竹",$AK22,$AI22)+IF($G$1="破竹",$AL22*1.5,0))*(1+$BH22)*(1+$BI22))*(1+$AM22))*$Q22*(1+IF(VLOOKUP($R22,武学奇术!$A:$ZZ,30,FALSE)="回旋伞",$B$21,0))*(1+$BR22)</f>
        <v>19912.2977045954</v>
      </c>
      <c r="Q22" s="39">
        <v>2</v>
      </c>
      <c r="R22" s="40" t="s">
        <v>112</v>
      </c>
      <c r="S22" s="40" t="s">
        <v>109</v>
      </c>
      <c r="T22" s="40" t="s">
        <v>95</v>
      </c>
      <c r="U22" s="40" t="s">
        <v>73</v>
      </c>
      <c r="V22" s="40" t="s">
        <v>81</v>
      </c>
      <c r="W22" s="40" t="s">
        <v>96</v>
      </c>
      <c r="X22" s="40" t="s">
        <v>99</v>
      </c>
      <c r="Y22" s="40" t="s">
        <v>72</v>
      </c>
      <c r="Z22" s="40" t="s">
        <v>72</v>
      </c>
      <c r="AA22" s="40" t="s">
        <v>72</v>
      </c>
      <c r="AB22" s="40" t="s">
        <v>126</v>
      </c>
      <c r="AC22" s="40" t="s">
        <v>72</v>
      </c>
      <c r="AD22" s="40" t="s">
        <v>72</v>
      </c>
      <c r="AE22" s="40" t="s">
        <v>72</v>
      </c>
      <c r="AF22" s="40" t="s">
        <v>72</v>
      </c>
      <c r="AG22" s="40" t="s">
        <v>78</v>
      </c>
      <c r="AH22" t="str">
        <f>VLOOKUP($R22,武学奇术!$A:$ZZ,25,FALSE)</f>
        <v>伞</v>
      </c>
      <c r="AI22" s="26">
        <f>VLOOKUP($R22,武学奇术!$A:$ZZ,26,FALSE)</f>
        <v>0.54</v>
      </c>
      <c r="AJ22" s="27">
        <f>VLOOKUP($R22,武学奇术!$A:$ZZ,27,FALSE)*(1+IF(OR($AH22=$F$4,$AH22=$F$5),$B$22,0))</f>
        <v>0</v>
      </c>
      <c r="AK22" s="26">
        <f>VLOOKUP($R22,武学奇术!$A:$ZZ,28,FALSE)</f>
        <v>0.81</v>
      </c>
      <c r="AL22" s="27">
        <f>VLOOKUP($R22,武学奇术!$A:$ZZ,29,FALSE)*(1+IF(OR($AH22=$F$4,$AH22=$F$5),$B$22,0))</f>
        <v>0</v>
      </c>
      <c r="AM22" s="26" cm="1">
        <f t="array" ref="AM22">$G$3+IFERROR(VLOOKUP($AH22,$F$4:$G$7,2,FALSE),0)+VLOOKUP($R22,武学奇术!$A:$ZZ,2,FALSE)+SUM(_xlfn.XLOOKUP($S22:$AG22,增益!$A:$A,增益!$B:$B,0))</f>
        <v>0.9741</v>
      </c>
      <c r="AN22" s="26" cm="1">
        <f t="array" ref="AN22">VLOOKUP($R22,武学奇术!$A:$ZZ,5,FALSE)+SUM(_xlfn.XLOOKUP($S22:$AG22,增益!$A:$A,增益!$E:$E,0))</f>
        <v>0</v>
      </c>
      <c r="AO22" cm="1">
        <f t="array" ref="AO22">$D$10*(1+$AN22)+VLOOKUP($R22,武学奇术!$A:$ZZ,3,FALSE)+SUM(_xlfn.XLOOKUP($S22:$AG22,增益!$A:$A,增益!$C:$C,0))-$I$2</f>
        <v>3562.6</v>
      </c>
      <c r="AP22" cm="1">
        <f t="array" ref="AP22">$E$10*(1+$AN22)+VLOOKUP($R22,武学奇术!$A:$ZZ,4,FALSE)+SUM(_xlfn.XLOOKUP($S22:$AG22,增益!$A:$A,增益!$D:$D,0))-$I$2</f>
        <v>3562.6</v>
      </c>
      <c r="AQ22" s="32" cm="1">
        <f t="array" ref="AQ22">IF($F$10-$I$3+VLOOKUP($R22,武学奇术!$A:$ZZ,6,FALSE)+SUM(_xlfn.XLOOKUP(S22:AG22,增益!$A:$A,增益!$F:$F,0))&gt;0,($F$10-$I$3+VLOOKUP($R22,武学奇术!$A:$ZZ,6,FALSE)+SUM(_xlfn.XLOOKUP(S22:AG22,增益!$A:$A,增益!$F:$F,0)))/200,($F$10-$I$3+VLOOKUP($R22,武学奇术!$A:$ZZ,6,FALSE)+SUM(_xlfn.XLOOKUP(S22:AG22,增益!$A:$A,增益!$F:$F,0)))/100)</f>
        <v>0.2925</v>
      </c>
      <c r="AR22" s="32" cm="1">
        <f t="array" ref="AR22">$G$10+VLOOKUP($R22,武学奇术!$A:$ZZ,7,FALSE)+SUM(_xlfn.XLOOKUP(S22:AG22,增益!$A:$A,增益!$G:$G,0))</f>
        <v>0.148</v>
      </c>
      <c r="AS22" s="26" cm="1">
        <f t="array" ref="AS22">VLOOKUP($R22,武学奇术!$A:$ZZ,8,FALSE)+SUM(_xlfn.XLOOKUP(S22:AG22,增益!$A:$A,增益!$H:$H,0))</f>
        <v>0</v>
      </c>
      <c r="AT22">
        <f t="shared" si="1"/>
        <v>0</v>
      </c>
      <c r="AU22">
        <f t="shared" si="2"/>
        <v>0</v>
      </c>
      <c r="AV22" s="32" cm="1">
        <f t="array" ref="AV22">IF($F$11-$I$4+VLOOKUP($R22,武学奇术!$A:$ZZ,9,FALSE)+SUM(_xlfn.XLOOKUP(S22:AG22,增益!$A:$A,增益!$I:$I,0))&gt;0,($F$11-$I$4+VLOOKUP($R22,武学奇术!$A:$ZZ,9,FALSE)+SUM(_xlfn.XLOOKUP(S22:AG22,增益!$A:$A,增益!$I:$I,0)))/200,($F$11-$I$4+VLOOKUP($R22,武学奇术!$A:$ZZ,9,FALSE)+SUM(_xlfn.XLOOKUP(S22:AG22,增益!$A:$A,增益!$I:$I,0)))/100)</f>
        <v>-0.3</v>
      </c>
      <c r="AW22" s="32" cm="1">
        <f t="array" ref="AW22">$G$11+VLOOKUP($R22,武学奇术!$A:$ZZ,10,FALSE)+SUM(_xlfn.XLOOKUP(S22:AG22,增益!$A:$A,增益!$J:$J,0))</f>
        <v>0</v>
      </c>
      <c r="AX22">
        <f t="shared" si="3"/>
        <v>0</v>
      </c>
      <c r="AY22">
        <f t="shared" si="4"/>
        <v>0</v>
      </c>
      <c r="AZ22" s="32" cm="1">
        <f t="array" ref="AZ22">IF($F$12-$I$4+VLOOKUP($R22,武学奇术!$A:$ZZ,11,FALSE)+SUM(_xlfn.XLOOKUP(S22:AG22,增益!$A:$A,增益!$K:$K,0))&gt;0,($F$12-$I$4+VLOOKUP($R22,武学奇术!$A:$ZZ,11,FALSE)+SUM(_xlfn.XLOOKUP(S22:AG22,增益!$A:$A,增益!$K:$K,0)))/200,($F$12-$I$4+VLOOKUP($R22,武学奇术!$A:$ZZ,11,FALSE)+SUM(_xlfn.XLOOKUP(S22:AG22,增益!$A:$A,增益!$K:$K,0)))/100)</f>
        <v>-0.3</v>
      </c>
      <c r="BA22" s="32" cm="1">
        <f t="array" ref="BA22">$G$12+VLOOKUP($R22,武学奇术!$A:$ZZ,12,FALSE)+SUM(_xlfn.XLOOKUP(S22:AG22,增益!$A:$A,增益!$L:$L,0))</f>
        <v>0</v>
      </c>
      <c r="BB22">
        <f t="shared" si="5"/>
        <v>0</v>
      </c>
      <c r="BC22">
        <f t="shared" si="6"/>
        <v>0</v>
      </c>
      <c r="BD22" s="32" cm="1">
        <f t="array" ref="BD22">IF($F$13-$I$4+VLOOKUP($R22,武学奇术!$A:$ZZ,13,FALSE)+SUM(_xlfn.XLOOKUP(S22:AG22,增益!$A:$A,增益!$M:$M,0))&gt;0,($F$13-$I$4+VLOOKUP($R22,武学奇术!$A:$ZZ,13,FALSE)+SUM(_xlfn.XLOOKUP(S22:AG22,增益!$A:$A,增益!$K:$K,0)))/200,($F$13-$I$4+VLOOKUP($R22,武学奇术!$A:$ZZ,13,FALSE)+SUM(_xlfn.XLOOKUP(S22:AG22,增益!$A:$A,增益!$M:$M,0)))/100)</f>
        <v>-0.3</v>
      </c>
      <c r="BE22" s="32" cm="1">
        <f t="array" ref="BE22">$G$13+VLOOKUP($R22,武学奇术!$A:$ZZ,14,FALSE)+SUM(_xlfn.XLOOKUP(S22:AG22,增益!$A:$A,增益!$N:$N,0))</f>
        <v>0</v>
      </c>
      <c r="BF22">
        <f t="shared" si="7"/>
        <v>571.2</v>
      </c>
      <c r="BG22">
        <f t="shared" si="8"/>
        <v>1627.8</v>
      </c>
      <c r="BH22" s="32" cm="1">
        <f t="array" ref="BH22">IF($F$14-$I$4+VLOOKUP($R22,武学奇术!$A:$ZZ,15,FALSE)+SUM(_xlfn.XLOOKUP(S22:AG22,增益!$A:$A,增益!$O:$O,0))&gt;0,($F$14-$I$4+VLOOKUP($R22,武学奇术!$A:$ZZ,15,FALSE)+SUM(_xlfn.XLOOKUP(S22:AG22,增益!$A:$A,增益!$O:$O,0)))/200,($F$14-$I$4+VLOOKUP($R22,武学奇术!$A:$ZZ,15,FALSE)+SUM(_xlfn.XLOOKUP(S22:AG22,增益!$A:$A,增益!$O:$O,0)))/100)</f>
        <v>0</v>
      </c>
      <c r="BI22" s="32" cm="1">
        <f t="array" ref="BI22">$G$14+VLOOKUP($R22,武学奇术!$A:$ZZ,16,FALSE)+SUM(_xlfn.XLOOKUP(S22:AG22,增益!$A:$A,增益!$P:$P,0))</f>
        <v>0.27</v>
      </c>
      <c r="BJ22" s="26">
        <f>MIN(IF(VLOOKUP($R22,武学奇术!$A:$ZZ,23,FALSE)=1,100%,$B$8),100%)</f>
        <v>0.981</v>
      </c>
      <c r="BK22" s="26" cm="1">
        <f t="array" ref="BK22">IF(VLOOKUP($R22,武学奇术!$A:$ZZ,23,FALSE)=1,100%,MIN(80%,$B$9+VLOOKUP($R22,武学奇术!$A:$ZZ,17,FALSE)+SUM(_xlfn.XLOOKUP(S22:AG22,增益!$A:$A,增益!$Q:$Q,0)))+$B$11+SUM(_xlfn.XLOOKUP(S22:AG22,增益!$A:$A,增益!$U:$U,0)))*IF(VLOOKUP($R22,武学奇术!$A:$ZZ,24,FALSE)=1,0,1)</f>
        <v>0.846</v>
      </c>
      <c r="BL22" s="26" cm="1">
        <f t="array" ref="BL22">1+$B$13+VLOOKUP($R22,武学奇术!$A:$ZZ,18,FALSE)+SUM(_xlfn.XLOOKUP(S22:AG22,增益!$A:$A,增益!$R:$R,0))</f>
        <v>2</v>
      </c>
      <c r="BM22" s="26" cm="1">
        <f t="array" ref="BM22">IF(VLOOKUP($R22,武学奇术!$A:$ZZ,24,FALSE)=1,100%,MIN(40%,$B$10+VLOOKUP($R22,武学奇术!$A:$ZZ,19,FALSE)+SUM(_xlfn.XLOOKUP(S22:AG22,增益!$A:$A,增益!$S:$S,0)))+$B$12+SUM(_xlfn.XLOOKUP(S22:AG22,增益!$A:$A,增益!$V:$V,0)))*IF(VLOOKUP($R22,武学奇术!$A:$ZZ,23,FALSE)=1,0,1)</f>
        <v>0.0929</v>
      </c>
      <c r="BN22" s="26" cm="1">
        <f t="array" ref="BN22">1+$B$14+VLOOKUP($R22,武学奇术!$A:$ZZ,20,FALSE)+SUM(_xlfn.XLOOKUP(S22:AG22,增益!$A:$A,增益!$T:$T,0))</f>
        <v>1.35</v>
      </c>
      <c r="BO22" s="26">
        <f t="shared" si="9"/>
        <v>0.829926</v>
      </c>
      <c r="BP22" s="26">
        <f t="shared" si="10"/>
        <v>0.0599391</v>
      </c>
      <c r="BQ22" s="26">
        <f>IF(VLOOKUP($R22,武学奇术!$A:$ZZ,22,FALSE)=1,0,(1-$BJ22))*(1-$BM22)</f>
        <v>0.0172349</v>
      </c>
      <c r="BR22" s="26" cm="1">
        <f t="array" ref="BR22">SUM(_xlfn.XLOOKUP(S22:AG22,增益!$A:$A,增益!$W:$W,0))+$I$5</f>
        <v>0.11</v>
      </c>
    </row>
    <row r="23" spans="1:70">
      <c r="A23" s="39" t="s">
        <v>149</v>
      </c>
      <c r="B23" s="86">
        <f>期望!B23</f>
        <v>200</v>
      </c>
      <c r="E23" s="39" t="s">
        <v>150</v>
      </c>
      <c r="F23" s="39"/>
      <c r="K23">
        <f>$L23*VLOOKUP($R23,武学奇术!$A:$ZZ,31,FALSE)</f>
        <v>77993.5260037503</v>
      </c>
      <c r="L23" s="38">
        <f t="shared" si="0"/>
        <v>74279.5485750003</v>
      </c>
      <c r="M23" s="38">
        <f>((($AO23+$AP23)/2*$AI23+$AJ23)*(1+$AQ23)*(1+$AR23)+(($AT23+$AU23)/2*IF($G$1="鸣金",$AK23,$AI23)+IF($G$1="鸣金",$AL23*1.5,0))*(1+$AV23)*(1+$AW23)+(($AX23+$AY23)/2*IF($G$1="裂石",$AK23,$AI23)+IF($G$1="裂石",$AL23*1.5,0))*(1+$AZ23)*(1+$BA23)+(($BB23+$BC23)/2*IF($G$1="牵丝",$AK23,$AI23)+IF($G$1="牵丝",$AL23*1.5,0))*(1+$BD23)*(1+$BE23)+(($BF23+$BG23)/2*IF($G$1="破竹",$AK23,$AI23)+IF($G$1="破竹",$AL23*1.5,0))*(1+$BH23)*(1+$BI23))*(1+$AM23)*$BL23*$Q23*(1+IF(VLOOKUP($R23,武学奇术!$A:$ZZ,30,FALSE)="回旋伞",$B$21,0))*(1+$BR23)</f>
        <v>79216.209025047</v>
      </c>
      <c r="N23" s="38">
        <f>(($AP23*$AI23+$AJ23)*(1+$AQ23)*(1+$AR23)+($AU23*IF($G$1="鸣金",$AK23,$AI23)+IF($G$1="鸣金",$AL23*1.5,0))*(1+$AV23)*(1+$AW23)+($AY23*IF($G$1="裂石",$AK23,$AI23)+IF($G$1="裂石",$AL23*1.5,0))*(1+$AZ23)*(1+$BA23)+($BC23*IF($G$1="牵丝",$AK23,$AI23)+IF($G$1="牵丝",$AL23*1.5,0))*(1+$BD23)*(1+$BE23)+($BG23*IF($G$1="破竹",$AK23,$AI23)+IF($G$1="破竹",$AL23*1.5,0))*(1+$BH23)*(1+$BI23))*(1+$AM23)*$BN23*$Q23*(1+IF(VLOOKUP($R23,武学奇术!$A:$ZZ,30,FALSE)="回旋伞",$B$21,0))*(1+$BR23)</f>
        <v>59857.6756031387</v>
      </c>
      <c r="O23" s="38">
        <f>((($AO23+$AP23)/2*$AI23+$AJ23)*(1+$AQ23)*(1+$AR23)+(($AT23+$AU23)/2*IF($G$1="鸣金",$AK23,$AI23)+IF($G$1="鸣金",$AL23*1.5,0))*(1+$AV23)*(1+$AW23)+(($AX23+$AY23)/2*IF($G$1="裂石",$AK23,$AI23)+IF($G$1="裂石",$AL23*1.5,0))*(1+$AZ23)*(1+$BA23)+(($BB23+$BC23)/2*IF($G$1="牵丝",$AK23,$AI23)+IF($G$1="牵丝",$AL23*1.5,0))*(1+$BD23)*(1+$BE23)+(($BF23+$BG23)/2*IF($G$1="破竹",$AK23,$AI23)+IF($G$1="破竹",$AL23*1.5,0))*(1+$BH23)*(1+$BI23))*(1+$AM23)*$Q23*(1+IF(VLOOKUP($R23,武学奇术!$A:$ZZ,30,FALSE)="回旋伞",$B$21,0))*(1+$BR23)</f>
        <v>39608.1045125235</v>
      </c>
      <c r="P23" s="38">
        <f>((($AO23*$AI23+$AJ23)*(1+$AQ23)*(1+$AR23)+($AT23*IF($G$1="鸣金",$AK23,$AI23)+IF($G$1="鸣金",$AL23*1.5,0))*(1+$AV23)*(1+$AW23)+($AX23*IF($G$1="裂石",$AK23,$AI23)+IF($G$1="裂石",$AL23*1.5,0))*(1+$AZ23)*(1+$BA23)+($BB23*IF($G$1="牵丝",$AK23,$AI23)+IF($G$1="牵丝",$AL23*1.5,0))*(1+$BD23)*(1+$BE23)+($BF23*IF($G$1="破竹",$AK23,$AI23)+IF($G$1="破竹",$AL23*1.5,0))*(1+$BH23)*(1+$BI23))*(1+$AM23))*$Q23*(1+IF(VLOOKUP($R23,武学奇术!$A:$ZZ,30,FALSE)="回旋伞",$B$21,0))*(1+$BR23)</f>
        <v>34877.1900597591</v>
      </c>
      <c r="Q23" s="39">
        <v>1</v>
      </c>
      <c r="R23" s="40" t="s">
        <v>108</v>
      </c>
      <c r="S23" s="40" t="s">
        <v>109</v>
      </c>
      <c r="T23" s="40" t="s">
        <v>95</v>
      </c>
      <c r="U23" s="40" t="s">
        <v>73</v>
      </c>
      <c r="V23" s="40" t="s">
        <v>81</v>
      </c>
      <c r="W23" s="40" t="s">
        <v>96</v>
      </c>
      <c r="X23" s="40" t="s">
        <v>99</v>
      </c>
      <c r="Y23" s="40" t="s">
        <v>72</v>
      </c>
      <c r="Z23" s="40" t="s">
        <v>72</v>
      </c>
      <c r="AA23" s="40" t="s">
        <v>72</v>
      </c>
      <c r="AB23" s="40" t="s">
        <v>126</v>
      </c>
      <c r="AC23" s="40" t="s">
        <v>72</v>
      </c>
      <c r="AD23" s="40" t="s">
        <v>72</v>
      </c>
      <c r="AE23" s="40" t="s">
        <v>72</v>
      </c>
      <c r="AF23" s="40" t="s">
        <v>72</v>
      </c>
      <c r="AG23" s="40" t="s">
        <v>78</v>
      </c>
      <c r="AH23" t="str">
        <f>VLOOKUP($R23,武学奇术!$A:$ZZ,25,FALSE)</f>
        <v>伞</v>
      </c>
      <c r="AI23" s="26">
        <f>VLOOKUP($R23,武学奇术!$A:$ZZ,26,FALSE)</f>
        <v>1.8084</v>
      </c>
      <c r="AJ23" s="27">
        <f>VLOOKUP($R23,武学奇术!$A:$ZZ,27,FALSE)*(1+IF(OR($AH23=$F$4,$AH23=$F$5),$B$22,0))</f>
        <v>750</v>
      </c>
      <c r="AK23" s="26">
        <f>VLOOKUP($R23,武学奇术!$A:$ZZ,28,FALSE)</f>
        <v>2.7126</v>
      </c>
      <c r="AL23" s="27">
        <f>VLOOKUP($R23,武学奇术!$A:$ZZ,29,FALSE)*(1+IF(OR($AH23=$F$4,$AH23=$F$5),$B$22,0))</f>
        <v>408</v>
      </c>
      <c r="AM23" s="26" cm="1">
        <f t="array" ref="AM23">$G$3+IFERROR(VLOOKUP($AH23,$F$4:$G$7,2,FALSE),0)+VLOOKUP($R23,武学奇术!$A:$ZZ,2,FALSE)+SUM(_xlfn.XLOOKUP($S23:$AG23,增益!$A:$A,增益!$B:$B,0))</f>
        <v>0.7741</v>
      </c>
      <c r="AN23" s="26" cm="1">
        <f t="array" ref="AN23">VLOOKUP($R23,武学奇术!$A:$ZZ,5,FALSE)+SUM(_xlfn.XLOOKUP($S23:$AG23,增益!$A:$A,增益!$E:$E,0))</f>
        <v>0</v>
      </c>
      <c r="AO23" cm="1">
        <f t="array" ref="AO23">$D$10*(1+$AN23)+VLOOKUP($R23,武学奇术!$A:$ZZ,3,FALSE)+SUM(_xlfn.XLOOKUP($S23:$AG23,增益!$A:$A,增益!$C:$C,0))-$I$2</f>
        <v>3562.6</v>
      </c>
      <c r="AP23" cm="1">
        <f t="array" ref="AP23">$E$10*(1+$AN23)+VLOOKUP($R23,武学奇术!$A:$ZZ,4,FALSE)+SUM(_xlfn.XLOOKUP($S23:$AG23,增益!$A:$A,增益!$D:$D,0))-$I$2</f>
        <v>3562.6</v>
      </c>
      <c r="AQ23" s="32" cm="1">
        <f t="array" ref="AQ23">IF($F$10-$I$3+VLOOKUP($R23,武学奇术!$A:$ZZ,6,FALSE)+SUM(_xlfn.XLOOKUP(S23:AG23,增益!$A:$A,增益!$F:$F,0))&gt;0,($F$10-$I$3+VLOOKUP($R23,武学奇术!$A:$ZZ,6,FALSE)+SUM(_xlfn.XLOOKUP(S23:AG23,增益!$A:$A,增益!$F:$F,0)))/200,($F$10-$I$3+VLOOKUP($R23,武学奇术!$A:$ZZ,6,FALSE)+SUM(_xlfn.XLOOKUP(S23:AG23,增益!$A:$A,增益!$F:$F,0)))/100)</f>
        <v>0.2925</v>
      </c>
      <c r="AR23" s="32" cm="1">
        <f t="array" ref="AR23">$G$10+VLOOKUP($R23,武学奇术!$A:$ZZ,7,FALSE)+SUM(_xlfn.XLOOKUP(S23:AG23,增益!$A:$A,增益!$G:$G,0))</f>
        <v>0.148</v>
      </c>
      <c r="AS23" s="26" cm="1">
        <f t="array" ref="AS23">VLOOKUP($R23,武学奇术!$A:$ZZ,8,FALSE)+SUM(_xlfn.XLOOKUP(S23:AG23,增益!$A:$A,增益!$H:$H,0))</f>
        <v>0</v>
      </c>
      <c r="AT23">
        <f t="shared" si="1"/>
        <v>0</v>
      </c>
      <c r="AU23">
        <f t="shared" si="2"/>
        <v>0</v>
      </c>
      <c r="AV23" s="32" cm="1">
        <f t="array" ref="AV23">IF($F$11-$I$4+VLOOKUP($R23,武学奇术!$A:$ZZ,9,FALSE)+SUM(_xlfn.XLOOKUP(S23:AG23,增益!$A:$A,增益!$I:$I,0))&gt;0,($F$11-$I$4+VLOOKUP($R23,武学奇术!$A:$ZZ,9,FALSE)+SUM(_xlfn.XLOOKUP(S23:AG23,增益!$A:$A,增益!$I:$I,0)))/200,($F$11-$I$4+VLOOKUP($R23,武学奇术!$A:$ZZ,9,FALSE)+SUM(_xlfn.XLOOKUP(S23:AG23,增益!$A:$A,增益!$I:$I,0)))/100)</f>
        <v>-0.3</v>
      </c>
      <c r="AW23" s="32" cm="1">
        <f t="array" ref="AW23">$G$11+VLOOKUP($R23,武学奇术!$A:$ZZ,10,FALSE)+SUM(_xlfn.XLOOKUP(S23:AG23,增益!$A:$A,增益!$J:$J,0))</f>
        <v>0</v>
      </c>
      <c r="AX23">
        <f t="shared" si="3"/>
        <v>0</v>
      </c>
      <c r="AY23">
        <f t="shared" si="4"/>
        <v>0</v>
      </c>
      <c r="AZ23" s="32" cm="1">
        <f t="array" ref="AZ23">IF($F$12-$I$4+VLOOKUP($R23,武学奇术!$A:$ZZ,11,FALSE)+SUM(_xlfn.XLOOKUP(S23:AG23,增益!$A:$A,增益!$K:$K,0))&gt;0,($F$12-$I$4+VLOOKUP($R23,武学奇术!$A:$ZZ,11,FALSE)+SUM(_xlfn.XLOOKUP(S23:AG23,增益!$A:$A,增益!$K:$K,0)))/200,($F$12-$I$4+VLOOKUP($R23,武学奇术!$A:$ZZ,11,FALSE)+SUM(_xlfn.XLOOKUP(S23:AG23,增益!$A:$A,增益!$K:$K,0)))/100)</f>
        <v>-0.3</v>
      </c>
      <c r="BA23" s="32" cm="1">
        <f t="array" ref="BA23">$G$12+VLOOKUP($R23,武学奇术!$A:$ZZ,12,FALSE)+SUM(_xlfn.XLOOKUP(S23:AG23,增益!$A:$A,增益!$L:$L,0))</f>
        <v>0</v>
      </c>
      <c r="BB23">
        <f t="shared" si="5"/>
        <v>0</v>
      </c>
      <c r="BC23">
        <f t="shared" si="6"/>
        <v>0</v>
      </c>
      <c r="BD23" s="32" cm="1">
        <f t="array" ref="BD23">IF($F$13-$I$4+VLOOKUP($R23,武学奇术!$A:$ZZ,13,FALSE)+SUM(_xlfn.XLOOKUP(S23:AG23,增益!$A:$A,增益!$M:$M,0))&gt;0,($F$13-$I$4+VLOOKUP($R23,武学奇术!$A:$ZZ,13,FALSE)+SUM(_xlfn.XLOOKUP(S23:AG23,增益!$A:$A,增益!$K:$K,0)))/200,($F$13-$I$4+VLOOKUP($R23,武学奇术!$A:$ZZ,13,FALSE)+SUM(_xlfn.XLOOKUP(S23:AG23,增益!$A:$A,增益!$M:$M,0)))/100)</f>
        <v>-0.3</v>
      </c>
      <c r="BE23" s="32" cm="1">
        <f t="array" ref="BE23">$G$13+VLOOKUP($R23,武学奇术!$A:$ZZ,14,FALSE)+SUM(_xlfn.XLOOKUP(S23:AG23,增益!$A:$A,增益!$N:$N,0))</f>
        <v>0</v>
      </c>
      <c r="BF23">
        <f t="shared" si="7"/>
        <v>571.2</v>
      </c>
      <c r="BG23">
        <f t="shared" si="8"/>
        <v>1627.8</v>
      </c>
      <c r="BH23" s="32" cm="1">
        <f t="array" ref="BH23">IF($F$14-$I$4+VLOOKUP($R23,武学奇术!$A:$ZZ,15,FALSE)+SUM(_xlfn.XLOOKUP(S23:AG23,增益!$A:$A,增益!$O:$O,0))&gt;0,($F$14-$I$4+VLOOKUP($R23,武学奇术!$A:$ZZ,15,FALSE)+SUM(_xlfn.XLOOKUP(S23:AG23,增益!$A:$A,增益!$O:$O,0)))/200,($F$14-$I$4+VLOOKUP($R23,武学奇术!$A:$ZZ,15,FALSE)+SUM(_xlfn.XLOOKUP(S23:AG23,增益!$A:$A,增益!$O:$O,0)))/100)</f>
        <v>0</v>
      </c>
      <c r="BI23" s="32" cm="1">
        <f t="array" ref="BI23">$G$14+VLOOKUP($R23,武学奇术!$A:$ZZ,16,FALSE)+SUM(_xlfn.XLOOKUP(S23:AG23,增益!$A:$A,增益!$P:$P,0))</f>
        <v>0.27</v>
      </c>
      <c r="BJ23" s="26">
        <f>MIN(IF(VLOOKUP($R23,武学奇术!$A:$ZZ,23,FALSE)=1,100%,$B$8),100%)</f>
        <v>0.981</v>
      </c>
      <c r="BK23" s="26" cm="1">
        <f t="array" ref="BK23">IF(VLOOKUP($R23,武学奇术!$A:$ZZ,23,FALSE)=1,100%,MIN(80%,$B$9+VLOOKUP($R23,武学奇术!$A:$ZZ,17,FALSE)+SUM(_xlfn.XLOOKUP(S23:AG23,增益!$A:$A,增益!$Q:$Q,0)))+$B$11+SUM(_xlfn.XLOOKUP(S23:AG23,增益!$A:$A,增益!$U:$U,0)))*IF(VLOOKUP($R23,武学奇术!$A:$ZZ,24,FALSE)=1,0,1)</f>
        <v>0.846</v>
      </c>
      <c r="BL23" s="26" cm="1">
        <f t="array" ref="BL23">1+$B$13+VLOOKUP($R23,武学奇术!$A:$ZZ,18,FALSE)+SUM(_xlfn.XLOOKUP(S23:AG23,增益!$A:$A,增益!$R:$R,0))</f>
        <v>2</v>
      </c>
      <c r="BM23" s="26" cm="1">
        <f t="array" ref="BM23">IF(VLOOKUP($R23,武学奇术!$A:$ZZ,24,FALSE)=1,100%,MIN(40%,$B$10+VLOOKUP($R23,武学奇术!$A:$ZZ,19,FALSE)+SUM(_xlfn.XLOOKUP(S23:AG23,增益!$A:$A,增益!$S:$S,0)))+$B$12+SUM(_xlfn.XLOOKUP(S23:AG23,增益!$A:$A,增益!$V:$V,0)))*IF(VLOOKUP($R23,武学奇术!$A:$ZZ,23,FALSE)=1,0,1)</f>
        <v>0.0929</v>
      </c>
      <c r="BN23" s="26" cm="1">
        <f t="array" ref="BN23">1+$B$14+VLOOKUP($R23,武学奇术!$A:$ZZ,20,FALSE)+SUM(_xlfn.XLOOKUP(S23:AG23,增益!$A:$A,增益!$T:$T,0))</f>
        <v>1.35</v>
      </c>
      <c r="BO23" s="26">
        <f t="shared" si="9"/>
        <v>0.829926</v>
      </c>
      <c r="BP23" s="26">
        <f t="shared" si="10"/>
        <v>0.0599391</v>
      </c>
      <c r="BQ23" s="26">
        <f>IF(VLOOKUP($R23,武学奇术!$A:$ZZ,22,FALSE)=1,0,(1-$BJ23))*(1-$BM23)</f>
        <v>0.0172349</v>
      </c>
      <c r="BR23" s="26" cm="1">
        <f t="array" ref="BR23">SUM(_xlfn.XLOOKUP(S23:AG23,增益!$A:$A,增益!$W:$W,0))+$I$5</f>
        <v>0.11</v>
      </c>
    </row>
    <row r="24" spans="1:70">
      <c r="A24" s="39"/>
      <c r="B24" s="86">
        <f>期望!B24</f>
        <v>400</v>
      </c>
      <c r="E24" s="40" t="str">
        <f>期望!E24</f>
        <v>易水歌</v>
      </c>
      <c r="F24" s="40"/>
      <c r="K24">
        <f>$L24*VLOOKUP($R24,武学奇术!$A:$ZZ,31,FALSE)</f>
        <v>45444.9113770562</v>
      </c>
      <c r="L24" s="38">
        <f t="shared" si="0"/>
        <v>43280.8679781488</v>
      </c>
      <c r="M24" s="38">
        <f>((($AO24+$AP24)/2*$AI24+$AJ24)*(1+$AQ24)*(1+$AR24)+(($AT24+$AU24)/2*IF($G$1="鸣金",$AK24,$AI24)+IF($G$1="鸣金",$AL24*1.5,0))*(1+$AV24)*(1+$AW24)+(($AX24+$AY24)/2*IF($G$1="裂石",$AK24,$AI24)+IF($G$1="裂石",$AL24*1.5,0))*(1+$AZ24)*(1+$BA24)+(($BB24+$BC24)/2*IF($G$1="牵丝",$AK24,$AI24)+IF($G$1="牵丝",$AL24*1.5,0))*(1+$BD24)*(1+$BE24)+(($BF24+$BG24)/2*IF($G$1="破竹",$AK24,$AI24)+IF($G$1="破竹",$AL24*1.5,0))*(1+$BH24)*(1+$BI24))*(1+$AM24)*$BL24*$Q24*(1+IF(VLOOKUP($R24,武学奇术!$A:$ZZ,30,FALSE)="回旋伞",$B$21,0))*(1+$BR24)</f>
        <v>46112.3473559292</v>
      </c>
      <c r="N24" s="38">
        <f>(($AP24*$AI24+$AJ24)*(1+$AQ24)*(1+$AR24)+($AU24*IF($G$1="鸣金",$AK24,$AI24)+IF($G$1="鸣金",$AL24*1.5,0))*(1+$AV24)*(1+$AW24)+($AY24*IF($G$1="裂石",$AK24,$AI24)+IF($G$1="裂石",$AL24*1.5,0))*(1+$AZ24)*(1+$BA24)+($BC24*IF($G$1="牵丝",$AK24,$AI24)+IF($G$1="牵丝",$AL24*1.5,0))*(1+$BD24)*(1+$BE24)+($BG24*IF($G$1="破竹",$AK24,$AI24)+IF($G$1="破竹",$AL24*1.5,0))*(1+$BH24)*(1+$BI24))*(1+$AM24)*$BN24*$Q24*(1+IF(VLOOKUP($R24,武学奇术!$A:$ZZ,30,FALSE)="回旋伞",$B$21,0))*(1+$BR24)</f>
        <v>35370.0670293007</v>
      </c>
      <c r="O24" s="38">
        <f>((($AO24+$AP24)/2*$AI24+$AJ24)*(1+$AQ24)*(1+$AR24)+(($AT24+$AU24)/2*IF($G$1="鸣金",$AK24,$AI24)+IF($G$1="鸣金",$AL24*1.5,0))*(1+$AV24)*(1+$AW24)+(($AX24+$AY24)/2*IF($G$1="裂石",$AK24,$AI24)+IF($G$1="裂石",$AL24*1.5,0))*(1+$AZ24)*(1+$BA24)+(($BB24+$BC24)/2*IF($G$1="牵丝",$AK24,$AI24)+IF($G$1="牵丝",$AL24*1.5,0))*(1+$BD24)*(1+$BE24)+(($BF24+$BG24)/2*IF($G$1="破竹",$AK24,$AI24)+IF($G$1="破竹",$AL24*1.5,0))*(1+$BH24)*(1+$BI24))*(1+$AM24)*$Q24*(1+IF(VLOOKUP($R24,武学奇术!$A:$ZZ,30,FALSE)="回旋伞",$B$21,0))*(1+$BR24)</f>
        <v>23056.1736779646</v>
      </c>
      <c r="P24" s="38">
        <f>((($AO24*$AI24+$AJ24)*(1+$AQ24)*(1+$AR24)+($AT24*IF($G$1="鸣金",$AK24,$AI24)+IF($G$1="鸣金",$AL24*1.5,0))*(1+$AV24)*(1+$AW24)+($AX24*IF($G$1="裂石",$AK24,$AI24)+IF($G$1="裂石",$AL24*1.5,0))*(1+$AZ24)*(1+$BA24)+($BB24*IF($G$1="牵丝",$AK24,$AI24)+IF($G$1="牵丝",$AL24*1.5,0))*(1+$BD24)*(1+$BE24)+($BF24*IF($G$1="破竹",$AK24,$AI24)+IF($G$1="破竹",$AL24*1.5,0))*(1+$BH24)*(1+$BI24))*(1+$AM24))*$Q24*(1+IF(VLOOKUP($R24,武学奇术!$A:$ZZ,30,FALSE)="回旋伞",$B$21,0))*(1+$BR24)</f>
        <v>19912.2977045954</v>
      </c>
      <c r="Q24" s="39">
        <v>2</v>
      </c>
      <c r="R24" s="40" t="s">
        <v>112</v>
      </c>
      <c r="S24" s="40" t="s">
        <v>109</v>
      </c>
      <c r="T24" s="40" t="s">
        <v>95</v>
      </c>
      <c r="U24" s="40" t="s">
        <v>73</v>
      </c>
      <c r="V24" s="40" t="s">
        <v>81</v>
      </c>
      <c r="W24" s="40" t="s">
        <v>96</v>
      </c>
      <c r="X24" s="40" t="s">
        <v>99</v>
      </c>
      <c r="Y24" s="40" t="s">
        <v>72</v>
      </c>
      <c r="Z24" s="40" t="s">
        <v>72</v>
      </c>
      <c r="AA24" s="40" t="s">
        <v>72</v>
      </c>
      <c r="AB24" s="40" t="s">
        <v>126</v>
      </c>
      <c r="AC24" s="40" t="s">
        <v>72</v>
      </c>
      <c r="AD24" s="40" t="s">
        <v>72</v>
      </c>
      <c r="AE24" s="40" t="s">
        <v>72</v>
      </c>
      <c r="AF24" s="40" t="s">
        <v>72</v>
      </c>
      <c r="AG24" s="40" t="s">
        <v>78</v>
      </c>
      <c r="AH24" t="str">
        <f>VLOOKUP($R24,武学奇术!$A:$ZZ,25,FALSE)</f>
        <v>伞</v>
      </c>
      <c r="AI24" s="26">
        <f>VLOOKUP($R24,武学奇术!$A:$ZZ,26,FALSE)</f>
        <v>0.54</v>
      </c>
      <c r="AJ24" s="27">
        <f>VLOOKUP($R24,武学奇术!$A:$ZZ,27,FALSE)*(1+IF(OR($AH24=$F$4,$AH24=$F$5),$B$22,0))</f>
        <v>0</v>
      </c>
      <c r="AK24" s="26">
        <f>VLOOKUP($R24,武学奇术!$A:$ZZ,28,FALSE)</f>
        <v>0.81</v>
      </c>
      <c r="AL24" s="27">
        <f>VLOOKUP($R24,武学奇术!$A:$ZZ,29,FALSE)*(1+IF(OR($AH24=$F$4,$AH24=$F$5),$B$22,0))</f>
        <v>0</v>
      </c>
      <c r="AM24" s="26" cm="1">
        <f t="array" ref="AM24">$G$3+IFERROR(VLOOKUP($AH24,$F$4:$G$7,2,FALSE),0)+VLOOKUP($R24,武学奇术!$A:$ZZ,2,FALSE)+SUM(_xlfn.XLOOKUP($S24:$AG24,增益!$A:$A,增益!$B:$B,0))</f>
        <v>0.9741</v>
      </c>
      <c r="AN24" s="26" cm="1">
        <f t="array" ref="AN24">VLOOKUP($R24,武学奇术!$A:$ZZ,5,FALSE)+SUM(_xlfn.XLOOKUP($S24:$AG24,增益!$A:$A,增益!$E:$E,0))</f>
        <v>0</v>
      </c>
      <c r="AO24" cm="1">
        <f t="array" ref="AO24">$D$10*(1+$AN24)+VLOOKUP($R24,武学奇术!$A:$ZZ,3,FALSE)+SUM(_xlfn.XLOOKUP($S24:$AG24,增益!$A:$A,增益!$C:$C,0))-$I$2</f>
        <v>3562.6</v>
      </c>
      <c r="AP24" cm="1">
        <f t="array" ref="AP24">$E$10*(1+$AN24)+VLOOKUP($R24,武学奇术!$A:$ZZ,4,FALSE)+SUM(_xlfn.XLOOKUP($S24:$AG24,增益!$A:$A,增益!$D:$D,0))-$I$2</f>
        <v>3562.6</v>
      </c>
      <c r="AQ24" s="32" cm="1">
        <f t="array" ref="AQ24">IF($F$10-$I$3+VLOOKUP($R24,武学奇术!$A:$ZZ,6,FALSE)+SUM(_xlfn.XLOOKUP(S24:AG24,增益!$A:$A,增益!$F:$F,0))&gt;0,($F$10-$I$3+VLOOKUP($R24,武学奇术!$A:$ZZ,6,FALSE)+SUM(_xlfn.XLOOKUP(S24:AG24,增益!$A:$A,增益!$F:$F,0)))/200,($F$10-$I$3+VLOOKUP($R24,武学奇术!$A:$ZZ,6,FALSE)+SUM(_xlfn.XLOOKUP(S24:AG24,增益!$A:$A,增益!$F:$F,0)))/100)</f>
        <v>0.2925</v>
      </c>
      <c r="AR24" s="32" cm="1">
        <f t="array" ref="AR24">$G$10+VLOOKUP($R24,武学奇术!$A:$ZZ,7,FALSE)+SUM(_xlfn.XLOOKUP(S24:AG24,增益!$A:$A,增益!$G:$G,0))</f>
        <v>0.148</v>
      </c>
      <c r="AS24" s="26" cm="1">
        <f t="array" ref="AS24">VLOOKUP($R24,武学奇术!$A:$ZZ,8,FALSE)+SUM(_xlfn.XLOOKUP(S24:AG24,增益!$A:$A,增益!$H:$H,0))</f>
        <v>0</v>
      </c>
      <c r="AT24">
        <f t="shared" si="1"/>
        <v>0</v>
      </c>
      <c r="AU24">
        <f t="shared" si="2"/>
        <v>0</v>
      </c>
      <c r="AV24" s="32" cm="1">
        <f t="array" ref="AV24">IF($F$11-$I$4+VLOOKUP($R24,武学奇术!$A:$ZZ,9,FALSE)+SUM(_xlfn.XLOOKUP(S24:AG24,增益!$A:$A,增益!$I:$I,0))&gt;0,($F$11-$I$4+VLOOKUP($R24,武学奇术!$A:$ZZ,9,FALSE)+SUM(_xlfn.XLOOKUP(S24:AG24,增益!$A:$A,增益!$I:$I,0)))/200,($F$11-$I$4+VLOOKUP($R24,武学奇术!$A:$ZZ,9,FALSE)+SUM(_xlfn.XLOOKUP(S24:AG24,增益!$A:$A,增益!$I:$I,0)))/100)</f>
        <v>-0.3</v>
      </c>
      <c r="AW24" s="32" cm="1">
        <f t="array" ref="AW24">$G$11+VLOOKUP($R24,武学奇术!$A:$ZZ,10,FALSE)+SUM(_xlfn.XLOOKUP(S24:AG24,增益!$A:$A,增益!$J:$J,0))</f>
        <v>0</v>
      </c>
      <c r="AX24">
        <f t="shared" si="3"/>
        <v>0</v>
      </c>
      <c r="AY24">
        <f t="shared" si="4"/>
        <v>0</v>
      </c>
      <c r="AZ24" s="32" cm="1">
        <f t="array" ref="AZ24">IF($F$12-$I$4+VLOOKUP($R24,武学奇术!$A:$ZZ,11,FALSE)+SUM(_xlfn.XLOOKUP(S24:AG24,增益!$A:$A,增益!$K:$K,0))&gt;0,($F$12-$I$4+VLOOKUP($R24,武学奇术!$A:$ZZ,11,FALSE)+SUM(_xlfn.XLOOKUP(S24:AG24,增益!$A:$A,增益!$K:$K,0)))/200,($F$12-$I$4+VLOOKUP($R24,武学奇术!$A:$ZZ,11,FALSE)+SUM(_xlfn.XLOOKUP(S24:AG24,增益!$A:$A,增益!$K:$K,0)))/100)</f>
        <v>-0.3</v>
      </c>
      <c r="BA24" s="32" cm="1">
        <f t="array" ref="BA24">$G$12+VLOOKUP($R24,武学奇术!$A:$ZZ,12,FALSE)+SUM(_xlfn.XLOOKUP(S24:AG24,增益!$A:$A,增益!$L:$L,0))</f>
        <v>0</v>
      </c>
      <c r="BB24">
        <f t="shared" si="5"/>
        <v>0</v>
      </c>
      <c r="BC24">
        <f t="shared" si="6"/>
        <v>0</v>
      </c>
      <c r="BD24" s="32" cm="1">
        <f t="array" ref="BD24">IF($F$13-$I$4+VLOOKUP($R24,武学奇术!$A:$ZZ,13,FALSE)+SUM(_xlfn.XLOOKUP(S24:AG24,增益!$A:$A,增益!$M:$M,0))&gt;0,($F$13-$I$4+VLOOKUP($R24,武学奇术!$A:$ZZ,13,FALSE)+SUM(_xlfn.XLOOKUP(S24:AG24,增益!$A:$A,增益!$K:$K,0)))/200,($F$13-$I$4+VLOOKUP($R24,武学奇术!$A:$ZZ,13,FALSE)+SUM(_xlfn.XLOOKUP(S24:AG24,增益!$A:$A,增益!$M:$M,0)))/100)</f>
        <v>-0.3</v>
      </c>
      <c r="BE24" s="32" cm="1">
        <f t="array" ref="BE24">$G$13+VLOOKUP($R24,武学奇术!$A:$ZZ,14,FALSE)+SUM(_xlfn.XLOOKUP(S24:AG24,增益!$A:$A,增益!$N:$N,0))</f>
        <v>0</v>
      </c>
      <c r="BF24">
        <f t="shared" si="7"/>
        <v>571.2</v>
      </c>
      <c r="BG24">
        <f t="shared" si="8"/>
        <v>1627.8</v>
      </c>
      <c r="BH24" s="32" cm="1">
        <f t="array" ref="BH24">IF($F$14-$I$4+VLOOKUP($R24,武学奇术!$A:$ZZ,15,FALSE)+SUM(_xlfn.XLOOKUP(S24:AG24,增益!$A:$A,增益!$O:$O,0))&gt;0,($F$14-$I$4+VLOOKUP($R24,武学奇术!$A:$ZZ,15,FALSE)+SUM(_xlfn.XLOOKUP(S24:AG24,增益!$A:$A,增益!$O:$O,0)))/200,($F$14-$I$4+VLOOKUP($R24,武学奇术!$A:$ZZ,15,FALSE)+SUM(_xlfn.XLOOKUP(S24:AG24,增益!$A:$A,增益!$O:$O,0)))/100)</f>
        <v>0</v>
      </c>
      <c r="BI24" s="32" cm="1">
        <f t="array" ref="BI24">$G$14+VLOOKUP($R24,武学奇术!$A:$ZZ,16,FALSE)+SUM(_xlfn.XLOOKUP(S24:AG24,增益!$A:$A,增益!$P:$P,0))</f>
        <v>0.27</v>
      </c>
      <c r="BJ24" s="26">
        <f>MIN(IF(VLOOKUP($R24,武学奇术!$A:$ZZ,23,FALSE)=1,100%,$B$8),100%)</f>
        <v>0.981</v>
      </c>
      <c r="BK24" s="26" cm="1">
        <f t="array" ref="BK24">IF(VLOOKUP($R24,武学奇术!$A:$ZZ,23,FALSE)=1,100%,MIN(80%,$B$9+VLOOKUP($R24,武学奇术!$A:$ZZ,17,FALSE)+SUM(_xlfn.XLOOKUP(S24:AG24,增益!$A:$A,增益!$Q:$Q,0)))+$B$11+SUM(_xlfn.XLOOKUP(S24:AG24,增益!$A:$A,增益!$U:$U,0)))*IF(VLOOKUP($R24,武学奇术!$A:$ZZ,24,FALSE)=1,0,1)</f>
        <v>0.846</v>
      </c>
      <c r="BL24" s="26" cm="1">
        <f t="array" ref="BL24">1+$B$13+VLOOKUP($R24,武学奇术!$A:$ZZ,18,FALSE)+SUM(_xlfn.XLOOKUP(S24:AG24,增益!$A:$A,增益!$R:$R,0))</f>
        <v>2</v>
      </c>
      <c r="BM24" s="26" cm="1">
        <f t="array" ref="BM24">IF(VLOOKUP($R24,武学奇术!$A:$ZZ,24,FALSE)=1,100%,MIN(40%,$B$10+VLOOKUP($R24,武学奇术!$A:$ZZ,19,FALSE)+SUM(_xlfn.XLOOKUP(S24:AG24,增益!$A:$A,增益!$S:$S,0)))+$B$12+SUM(_xlfn.XLOOKUP(S24:AG24,增益!$A:$A,增益!$V:$V,0)))*IF(VLOOKUP($R24,武学奇术!$A:$ZZ,23,FALSE)=1,0,1)</f>
        <v>0.0929</v>
      </c>
      <c r="BN24" s="26" cm="1">
        <f t="array" ref="BN24">1+$B$14+VLOOKUP($R24,武学奇术!$A:$ZZ,20,FALSE)+SUM(_xlfn.XLOOKUP(S24:AG24,增益!$A:$A,增益!$T:$T,0))</f>
        <v>1.35</v>
      </c>
      <c r="BO24" s="26">
        <f t="shared" si="9"/>
        <v>0.829926</v>
      </c>
      <c r="BP24" s="26">
        <f t="shared" si="10"/>
        <v>0.0599391</v>
      </c>
      <c r="BQ24" s="26">
        <f>IF(VLOOKUP($R24,武学奇术!$A:$ZZ,22,FALSE)=1,0,(1-$BJ24))*(1-$BM24)</f>
        <v>0.0172349</v>
      </c>
      <c r="BR24" s="26" cm="1">
        <f t="array" ref="BR24">SUM(_xlfn.XLOOKUP(S24:AG24,增益!$A:$A,增益!$W:$W,0))+$I$5</f>
        <v>0.11</v>
      </c>
    </row>
    <row r="25" spans="1:70">
      <c r="K25">
        <f>$L25*VLOOKUP($R25,武学奇术!$A:$ZZ,31,FALSE)</f>
        <v>92553.8324492207</v>
      </c>
      <c r="L25" s="38">
        <f t="shared" si="0"/>
        <v>88146.5070944959</v>
      </c>
      <c r="M25" s="38">
        <f>((($AO25+$AP25)/2*$AI25+$AJ25)*(1+$AQ25)*(1+$AR25)+(($AT25+$AU25)/2*IF($G$1="鸣金",$AK25,$AI25)+IF($G$1="鸣金",$AL25*1.5,0))*(1+$AV25)*(1+$AW25)+(($AX25+$AY25)/2*IF($G$1="裂石",$AK25,$AI25)+IF($G$1="裂石",$AL25*1.5,0))*(1+$AZ25)*(1+$BA25)+(($BB25+$BC25)/2*IF($G$1="牵丝",$AK25,$AI25)+IF($G$1="牵丝",$AL25*1.5,0))*(1+$BD25)*(1+$BE25)+(($BF25+$BG25)/2*IF($G$1="破竹",$AK25,$AI25)+IF($G$1="破竹",$AL25*1.5,0))*(1+$BH25)*(1+$BI25))*(1+$AM25)*$BL25*$Q25*(1+IF(VLOOKUP($R25,武学奇术!$A:$ZZ,30,FALSE)="回旋伞",$B$21,0))*(1+$BR25)</f>
        <v>88146.5070944959</v>
      </c>
      <c r="N25" s="38">
        <f>(($AP25*$AI25+$AJ25)*(1+$AQ25)*(1+$AR25)+($AU25*IF($G$1="鸣金",$AK25,$AI25)+IF($G$1="鸣金",$AL25*1.5,0))*(1+$AV25)*(1+$AW25)+($AY25*IF($G$1="裂石",$AK25,$AI25)+IF($G$1="裂石",$AL25*1.5,0))*(1+$AZ25)*(1+$BA25)+($BC25*IF($G$1="牵丝",$AK25,$AI25)+IF($G$1="牵丝",$AL25*1.5,0))*(1+$BD25)*(1+$BE25)+($BG25*IF($G$1="破竹",$AK25,$AI25)+IF($G$1="破竹",$AL25*1.5,0))*(1+$BH25)*(1+$BI25))*(1+$AM25)*$BN25*$Q25*(1+IF(VLOOKUP($R25,武学奇术!$A:$ZZ,30,FALSE)="回旋伞",$B$21,0))*(1+$BR25)</f>
        <v>66605.6239265859</v>
      </c>
      <c r="O25" s="38">
        <f>((($AO25+$AP25)/2*$AI25+$AJ25)*(1+$AQ25)*(1+$AR25)+(($AT25+$AU25)/2*IF($G$1="鸣金",$AK25,$AI25)+IF($G$1="鸣金",$AL25*1.5,0))*(1+$AV25)*(1+$AW25)+(($AX25+$AY25)/2*IF($G$1="裂石",$AK25,$AI25)+IF($G$1="裂石",$AL25*1.5,0))*(1+$AZ25)*(1+$BA25)+(($BB25+$BC25)/2*IF($G$1="牵丝",$AK25,$AI25)+IF($G$1="牵丝",$AL25*1.5,0))*(1+$BD25)*(1+$BE25)+(($BF25+$BG25)/2*IF($G$1="破竹",$AK25,$AI25)+IF($G$1="破竹",$AL25*1.5,0))*(1+$BH25)*(1+$BI25))*(1+$AM25)*$Q25*(1+IF(VLOOKUP($R25,武学奇术!$A:$ZZ,30,FALSE)="回旋伞",$B$21,0))*(1+$BR25)</f>
        <v>44073.253547248</v>
      </c>
      <c r="P25" s="38">
        <f>((($AO25*$AI25+$AJ25)*(1+$AQ25)*(1+$AR25)+($AT25*IF($G$1="鸣金",$AK25,$AI25)+IF($G$1="鸣金",$AL25*1.5,0))*(1+$AV25)*(1+$AW25)+($AX25*IF($G$1="裂石",$AK25,$AI25)+IF($G$1="裂石",$AL25*1.5,0))*(1+$AZ25)*(1+$BA25)+($BB25*IF($G$1="牵丝",$AK25,$AI25)+IF($G$1="牵丝",$AL25*1.5,0))*(1+$BD25)*(1+$BE25)+($BF25*IF($G$1="破竹",$AK25,$AI25)+IF($G$1="破竹",$AL25*1.5,0))*(1+$BH25)*(1+$BI25))*(1+$AM25))*$Q25*(1+IF(VLOOKUP($R25,武学奇术!$A:$ZZ,30,FALSE)="回旋伞",$B$21,0))*(1+$BR25)</f>
        <v>38809.0078896175</v>
      </c>
      <c r="Q25" s="39">
        <v>1</v>
      </c>
      <c r="R25" s="40" t="s">
        <v>125</v>
      </c>
      <c r="S25" s="40" t="s">
        <v>109</v>
      </c>
      <c r="T25" s="40" t="s">
        <v>95</v>
      </c>
      <c r="U25" s="40" t="s">
        <v>73</v>
      </c>
      <c r="V25" s="40" t="s">
        <v>81</v>
      </c>
      <c r="W25" s="40" t="s">
        <v>96</v>
      </c>
      <c r="X25" s="40" t="s">
        <v>99</v>
      </c>
      <c r="Y25" s="40" t="s">
        <v>72</v>
      </c>
      <c r="Z25" s="40" t="s">
        <v>72</v>
      </c>
      <c r="AA25" s="40" t="s">
        <v>72</v>
      </c>
      <c r="AB25" s="40" t="s">
        <v>126</v>
      </c>
      <c r="AC25" s="40" t="s">
        <v>72</v>
      </c>
      <c r="AD25" s="40" t="s">
        <v>72</v>
      </c>
      <c r="AE25" s="40" t="s">
        <v>72</v>
      </c>
      <c r="AF25" s="40" t="s">
        <v>72</v>
      </c>
      <c r="AG25" s="40" t="s">
        <v>78</v>
      </c>
      <c r="AH25" t="str">
        <f>VLOOKUP($R25,武学奇术!$A:$ZZ,25,FALSE)</f>
        <v>伞</v>
      </c>
      <c r="AI25" s="26">
        <f>VLOOKUP($R25,武学奇术!$A:$ZZ,26,FALSE)</f>
        <v>1.8084</v>
      </c>
      <c r="AJ25" s="27">
        <f>VLOOKUP($R25,武学奇术!$A:$ZZ,27,FALSE)*(1+IF(OR($AH25=$F$4,$AH25=$F$5),$B$22,0))</f>
        <v>750</v>
      </c>
      <c r="AK25" s="26">
        <f>VLOOKUP($R25,武学奇术!$A:$ZZ,28,FALSE)</f>
        <v>2.7126</v>
      </c>
      <c r="AL25" s="27">
        <f>VLOOKUP($R25,武学奇术!$A:$ZZ,29,FALSE)*(1+IF(OR($AH25=$F$4,$AH25=$F$5),$B$22,0))</f>
        <v>408</v>
      </c>
      <c r="AM25" s="26" cm="1">
        <f t="array" ref="AM25">$G$3+IFERROR(VLOOKUP($AH25,$F$4:$G$7,2,FALSE),0)+VLOOKUP($R25,武学奇术!$A:$ZZ,2,FALSE)+SUM(_xlfn.XLOOKUP($S25:$AG25,增益!$A:$A,增益!$B:$B,0))</f>
        <v>0.9741</v>
      </c>
      <c r="AN25" s="26" cm="1">
        <f t="array" ref="AN25">VLOOKUP($R25,武学奇术!$A:$ZZ,5,FALSE)+SUM(_xlfn.XLOOKUP($S25:$AG25,增益!$A:$A,增益!$E:$E,0))</f>
        <v>0</v>
      </c>
      <c r="AO25" cm="1">
        <f t="array" ref="AO25">$D$10*(1+$AN25)+VLOOKUP($R25,武学奇术!$A:$ZZ,3,FALSE)+SUM(_xlfn.XLOOKUP($S25:$AG25,增益!$A:$A,增益!$C:$C,0))-$I$2</f>
        <v>3562.6</v>
      </c>
      <c r="AP25" cm="1">
        <f t="array" ref="AP25">$E$10*(1+$AN25)+VLOOKUP($R25,武学奇术!$A:$ZZ,4,FALSE)+SUM(_xlfn.XLOOKUP($S25:$AG25,增益!$A:$A,增益!$D:$D,0))-$I$2</f>
        <v>3562.6</v>
      </c>
      <c r="AQ25" s="32" cm="1">
        <f t="array" ref="AQ25">IF($F$10-$I$3+VLOOKUP($R25,武学奇术!$A:$ZZ,6,FALSE)+SUM(_xlfn.XLOOKUP(S25:AG25,增益!$A:$A,增益!$F:$F,0))&gt;0,($F$10-$I$3+VLOOKUP($R25,武学奇术!$A:$ZZ,6,FALSE)+SUM(_xlfn.XLOOKUP(S25:AG25,增益!$A:$A,增益!$F:$F,0)))/200,($F$10-$I$3+VLOOKUP($R25,武学奇术!$A:$ZZ,6,FALSE)+SUM(_xlfn.XLOOKUP(S25:AG25,增益!$A:$A,增益!$F:$F,0)))/100)</f>
        <v>0.2925</v>
      </c>
      <c r="AR25" s="32" cm="1">
        <f t="array" ref="AR25">$G$10+VLOOKUP($R25,武学奇术!$A:$ZZ,7,FALSE)+SUM(_xlfn.XLOOKUP(S25:AG25,增益!$A:$A,增益!$G:$G,0))</f>
        <v>0.148</v>
      </c>
      <c r="AS25" s="26" cm="1">
        <f t="array" ref="AS25">VLOOKUP($R25,武学奇术!$A:$ZZ,8,FALSE)+SUM(_xlfn.XLOOKUP(S25:AG25,增益!$A:$A,增益!$H:$H,0))</f>
        <v>0</v>
      </c>
      <c r="AT25">
        <f t="shared" si="1"/>
        <v>0</v>
      </c>
      <c r="AU25">
        <f t="shared" si="2"/>
        <v>0</v>
      </c>
      <c r="AV25" s="32" cm="1">
        <f t="array" ref="AV25">IF($F$11-$I$4+VLOOKUP($R25,武学奇术!$A:$ZZ,9,FALSE)+SUM(_xlfn.XLOOKUP(S25:AG25,增益!$A:$A,增益!$I:$I,0))&gt;0,($F$11-$I$4+VLOOKUP($R25,武学奇术!$A:$ZZ,9,FALSE)+SUM(_xlfn.XLOOKUP(S25:AG25,增益!$A:$A,增益!$I:$I,0)))/200,($F$11-$I$4+VLOOKUP($R25,武学奇术!$A:$ZZ,9,FALSE)+SUM(_xlfn.XLOOKUP(S25:AG25,增益!$A:$A,增益!$I:$I,0)))/100)</f>
        <v>-0.3</v>
      </c>
      <c r="AW25" s="32" cm="1">
        <f t="array" ref="AW25">$G$11+VLOOKUP($R25,武学奇术!$A:$ZZ,10,FALSE)+SUM(_xlfn.XLOOKUP(S25:AG25,增益!$A:$A,增益!$J:$J,0))</f>
        <v>0</v>
      </c>
      <c r="AX25">
        <f t="shared" si="3"/>
        <v>0</v>
      </c>
      <c r="AY25">
        <f t="shared" si="4"/>
        <v>0</v>
      </c>
      <c r="AZ25" s="32" cm="1">
        <f t="array" ref="AZ25">IF($F$12-$I$4+VLOOKUP($R25,武学奇术!$A:$ZZ,11,FALSE)+SUM(_xlfn.XLOOKUP(S25:AG25,增益!$A:$A,增益!$K:$K,0))&gt;0,($F$12-$I$4+VLOOKUP($R25,武学奇术!$A:$ZZ,11,FALSE)+SUM(_xlfn.XLOOKUP(S25:AG25,增益!$A:$A,增益!$K:$K,0)))/200,($F$12-$I$4+VLOOKUP($R25,武学奇术!$A:$ZZ,11,FALSE)+SUM(_xlfn.XLOOKUP(S25:AG25,增益!$A:$A,增益!$K:$K,0)))/100)</f>
        <v>-0.3</v>
      </c>
      <c r="BA25" s="32" cm="1">
        <f t="array" ref="BA25">$G$12+VLOOKUP($R25,武学奇术!$A:$ZZ,12,FALSE)+SUM(_xlfn.XLOOKUP(S25:AG25,增益!$A:$A,增益!$L:$L,0))</f>
        <v>0</v>
      </c>
      <c r="BB25">
        <f t="shared" si="5"/>
        <v>0</v>
      </c>
      <c r="BC25">
        <f t="shared" si="6"/>
        <v>0</v>
      </c>
      <c r="BD25" s="32" cm="1">
        <f t="array" ref="BD25">IF($F$13-$I$4+VLOOKUP($R25,武学奇术!$A:$ZZ,13,FALSE)+SUM(_xlfn.XLOOKUP(S25:AG25,增益!$A:$A,增益!$M:$M,0))&gt;0,($F$13-$I$4+VLOOKUP($R25,武学奇术!$A:$ZZ,13,FALSE)+SUM(_xlfn.XLOOKUP(S25:AG25,增益!$A:$A,增益!$K:$K,0)))/200,($F$13-$I$4+VLOOKUP($R25,武学奇术!$A:$ZZ,13,FALSE)+SUM(_xlfn.XLOOKUP(S25:AG25,增益!$A:$A,增益!$M:$M,0)))/100)</f>
        <v>-0.3</v>
      </c>
      <c r="BE25" s="32" cm="1">
        <f t="array" ref="BE25">$G$13+VLOOKUP($R25,武学奇术!$A:$ZZ,14,FALSE)+SUM(_xlfn.XLOOKUP(S25:AG25,增益!$A:$A,增益!$N:$N,0))</f>
        <v>0</v>
      </c>
      <c r="BF25">
        <f t="shared" si="7"/>
        <v>571.2</v>
      </c>
      <c r="BG25">
        <f t="shared" si="8"/>
        <v>1627.8</v>
      </c>
      <c r="BH25" s="32" cm="1">
        <f t="array" ref="BH25">IF($F$14-$I$4+VLOOKUP($R25,武学奇术!$A:$ZZ,15,FALSE)+SUM(_xlfn.XLOOKUP(S25:AG25,增益!$A:$A,增益!$O:$O,0))&gt;0,($F$14-$I$4+VLOOKUP($R25,武学奇术!$A:$ZZ,15,FALSE)+SUM(_xlfn.XLOOKUP(S25:AG25,增益!$A:$A,增益!$O:$O,0)))/200,($F$14-$I$4+VLOOKUP($R25,武学奇术!$A:$ZZ,15,FALSE)+SUM(_xlfn.XLOOKUP(S25:AG25,增益!$A:$A,增益!$O:$O,0)))/100)</f>
        <v>0</v>
      </c>
      <c r="BI25" s="32" cm="1">
        <f t="array" ref="BI25">$G$14+VLOOKUP($R25,武学奇术!$A:$ZZ,16,FALSE)+SUM(_xlfn.XLOOKUP(S25:AG25,增益!$A:$A,增益!$P:$P,0))</f>
        <v>0.27</v>
      </c>
      <c r="BJ25" s="26">
        <f>MIN(IF(VLOOKUP($R25,武学奇术!$A:$ZZ,23,FALSE)=1,100%,$B$8),100%)</f>
        <v>1</v>
      </c>
      <c r="BK25" s="26" cm="1">
        <f t="array" ref="BK25">IF(VLOOKUP($R25,武学奇术!$A:$ZZ,23,FALSE)=1,100%,MIN(80%,$B$9+VLOOKUP($R25,武学奇术!$A:$ZZ,17,FALSE)+SUM(_xlfn.XLOOKUP(S25:AG25,增益!$A:$A,增益!$Q:$Q,0)))+$B$11+SUM(_xlfn.XLOOKUP(S25:AG25,增益!$A:$A,增益!$U:$U,0)))*IF(VLOOKUP($R25,武学奇术!$A:$ZZ,24,FALSE)=1,0,1)</f>
        <v>1</v>
      </c>
      <c r="BL25" s="26" cm="1">
        <f t="array" ref="BL25">1+$B$13+VLOOKUP($R25,武学奇术!$A:$ZZ,18,FALSE)+SUM(_xlfn.XLOOKUP(S25:AG25,增益!$A:$A,增益!$R:$R,0))</f>
        <v>2</v>
      </c>
      <c r="BM25" s="26" cm="1">
        <f t="array" ref="BM25">IF(VLOOKUP($R25,武学奇术!$A:$ZZ,24,FALSE)=1,100%,MIN(40%,$B$10+VLOOKUP($R25,武学奇术!$A:$ZZ,19,FALSE)+SUM(_xlfn.XLOOKUP(S25:AG25,增益!$A:$A,增益!$S:$S,0)))+$B$12+SUM(_xlfn.XLOOKUP(S25:AG25,增益!$A:$A,增益!$V:$V,0)))*IF(VLOOKUP($R25,武学奇术!$A:$ZZ,23,FALSE)=1,0,1)</f>
        <v>0</v>
      </c>
      <c r="BN25" s="26" cm="1">
        <f t="array" ref="BN25">1+$B$14+VLOOKUP($R25,武学奇术!$A:$ZZ,20,FALSE)+SUM(_xlfn.XLOOKUP(S25:AG25,增益!$A:$A,增益!$T:$T,0))</f>
        <v>1.35</v>
      </c>
      <c r="BO25" s="26">
        <f t="shared" si="9"/>
        <v>1</v>
      </c>
      <c r="BP25" s="26">
        <f t="shared" si="10"/>
        <v>0</v>
      </c>
      <c r="BQ25" s="26">
        <f>IF(VLOOKUP($R25,武学奇术!$A:$ZZ,22,FALSE)=1,0,(1-$BJ25))*(1-$BM25)</f>
        <v>0</v>
      </c>
      <c r="BR25" s="26" cm="1">
        <f t="array" ref="BR25">SUM(_xlfn.XLOOKUP(S25:AG25,增益!$A:$A,增益!$W:$W,0))+$I$5</f>
        <v>0.11</v>
      </c>
    </row>
    <row r="26" spans="1:70">
      <c r="K26">
        <f>$L26*VLOOKUP($R26,武学奇术!$A:$ZZ,31,FALSE)</f>
        <v>53323.285094905</v>
      </c>
      <c r="L26" s="38">
        <f t="shared" si="0"/>
        <v>50784.0810427667</v>
      </c>
      <c r="M26" s="38">
        <f>((($AO26+$AP26)/2*$AI26+$AJ26)*(1+$AQ26)*(1+$AR26)+(($AT26+$AU26)/2*IF($G$1="鸣金",$AK26,$AI26)+IF($G$1="鸣金",$AL26*1.5,0))*(1+$AV26)*(1+$AW26)+(($AX26+$AY26)/2*IF($G$1="裂石",$AK26,$AI26)+IF($G$1="裂石",$AL26*1.5,0))*(1+$AZ26)*(1+$BA26)+(($BB26+$BC26)/2*IF($G$1="牵丝",$AK26,$AI26)+IF($G$1="牵丝",$AL26*1.5,0))*(1+$BD26)*(1+$BE26)+(($BF26+$BG26)/2*IF($G$1="破竹",$AK26,$AI26)+IF($G$1="破竹",$AL26*1.5,0))*(1+$BH26)*(1+$BI26))*(1+$AM26)*$BL26*$Q26*(1+IF(VLOOKUP($R26,武学奇术!$A:$ZZ,30,FALSE)="回旋伞",$B$21,0))*(1+$BR26)</f>
        <v>50784.0810427667</v>
      </c>
      <c r="N26" s="38">
        <f>(($AP26*$AI26+$AJ26)*(1+$AQ26)*(1+$AR26)+($AU26*IF($G$1="鸣金",$AK26,$AI26)+IF($G$1="鸣金",$AL26*1.5,0))*(1+$AV26)*(1+$AW26)+($AY26*IF($G$1="裂石",$AK26,$AI26)+IF($G$1="裂石",$AL26*1.5,0))*(1+$AZ26)*(1+$BA26)+($BC26*IF($G$1="牵丝",$AK26,$AI26)+IF($G$1="牵丝",$AL26*1.5,0))*(1+$BD26)*(1+$BE26)+($BG26*IF($G$1="破竹",$AK26,$AI26)+IF($G$1="破竹",$AL26*1.5,0))*(1+$BH26)*(1+$BI26))*(1+$AM26)*$BN26*$Q26*(1+IF(VLOOKUP($R26,武学奇术!$A:$ZZ,30,FALSE)="回旋伞",$B$21,0))*(1+$BR26)</f>
        <v>38953.4789161657</v>
      </c>
      <c r="O26" s="38">
        <f>((($AO26+$AP26)/2*$AI26+$AJ26)*(1+$AQ26)*(1+$AR26)+(($AT26+$AU26)/2*IF($G$1="鸣金",$AK26,$AI26)+IF($G$1="鸣金",$AL26*1.5,0))*(1+$AV26)*(1+$AW26)+(($AX26+$AY26)/2*IF($G$1="裂石",$AK26,$AI26)+IF($G$1="裂石",$AL26*1.5,0))*(1+$AZ26)*(1+$BA26)+(($BB26+$BC26)/2*IF($G$1="牵丝",$AK26,$AI26)+IF($G$1="牵丝",$AL26*1.5,0))*(1+$BD26)*(1+$BE26)+(($BF26+$BG26)/2*IF($G$1="破竹",$AK26,$AI26)+IF($G$1="破竹",$AL26*1.5,0))*(1+$BH26)*(1+$BI26))*(1+$AM26)*$Q26*(1+IF(VLOOKUP($R26,武学奇术!$A:$ZZ,30,FALSE)="回旋伞",$B$21,0))*(1+$BR26)</f>
        <v>25392.0405213833</v>
      </c>
      <c r="P26" s="38">
        <f>((($AO26*$AI26+$AJ26)*(1+$AQ26)*(1+$AR26)+($AT26*IF($G$1="鸣金",$AK26,$AI26)+IF($G$1="鸣金",$AL26*1.5,0))*(1+$AV26)*(1+$AW26)+($AX26*IF($G$1="裂石",$AK26,$AI26)+IF($G$1="裂石",$AL26*1.5,0))*(1+$AZ26)*(1+$BA26)+($BB26*IF($G$1="牵丝",$AK26,$AI26)+IF($G$1="牵丝",$AL26*1.5,0))*(1+$BD26)*(1+$BE26)+($BF26*IF($G$1="破竹",$AK26,$AI26)+IF($G$1="破竹",$AL26*1.5,0))*(1+$BH26)*(1+$BI26))*(1+$AM26))*$Q26*(1+IF(VLOOKUP($R26,武学奇术!$A:$ZZ,30,FALSE)="回旋伞",$B$21,0))*(1+$BR26)</f>
        <v>21929.6522159773</v>
      </c>
      <c r="Q26" s="39">
        <v>2</v>
      </c>
      <c r="R26" s="40" t="s">
        <v>132</v>
      </c>
      <c r="S26" s="40" t="s">
        <v>109</v>
      </c>
      <c r="T26" s="40" t="s">
        <v>95</v>
      </c>
      <c r="U26" s="40" t="s">
        <v>73</v>
      </c>
      <c r="V26" s="40" t="s">
        <v>81</v>
      </c>
      <c r="W26" s="40" t="s">
        <v>96</v>
      </c>
      <c r="X26" s="40" t="s">
        <v>99</v>
      </c>
      <c r="Y26" s="40" t="s">
        <v>72</v>
      </c>
      <c r="Z26" s="40" t="s">
        <v>72</v>
      </c>
      <c r="AA26" s="40" t="s">
        <v>72</v>
      </c>
      <c r="AB26" s="40" t="s">
        <v>126</v>
      </c>
      <c r="AC26" s="40" t="s">
        <v>72</v>
      </c>
      <c r="AD26" s="40" t="s">
        <v>72</v>
      </c>
      <c r="AE26" s="40" t="s">
        <v>72</v>
      </c>
      <c r="AF26" s="40" t="s">
        <v>72</v>
      </c>
      <c r="AG26" s="40" t="s">
        <v>78</v>
      </c>
      <c r="AH26" t="str">
        <f>VLOOKUP($R26,武学奇术!$A:$ZZ,25,FALSE)</f>
        <v>伞</v>
      </c>
      <c r="AI26" s="26">
        <f>VLOOKUP($R26,武学奇术!$A:$ZZ,26,FALSE)</f>
        <v>0.54</v>
      </c>
      <c r="AJ26" s="27">
        <f>VLOOKUP($R26,武学奇术!$A:$ZZ,27,FALSE)*(1+IF(OR($AH26=$F$4,$AH26=$F$5),$B$22,0))</f>
        <v>0</v>
      </c>
      <c r="AK26" s="26">
        <f>VLOOKUP($R26,武学奇术!$A:$ZZ,28,FALSE)</f>
        <v>0.81</v>
      </c>
      <c r="AL26" s="27">
        <f>VLOOKUP($R26,武学奇术!$A:$ZZ,29,FALSE)*(1+IF(OR($AH26=$F$4,$AH26=$F$5),$B$22,0))</f>
        <v>0</v>
      </c>
      <c r="AM26" s="26" cm="1">
        <f t="array" ref="AM26">$G$3+IFERROR(VLOOKUP($AH26,$F$4:$G$7,2,FALSE),0)+VLOOKUP($R26,武学奇术!$A:$ZZ,2,FALSE)+SUM(_xlfn.XLOOKUP($S26:$AG26,增益!$A:$A,增益!$B:$B,0))</f>
        <v>1.1741</v>
      </c>
      <c r="AN26" s="26" cm="1">
        <f t="array" ref="AN26">VLOOKUP($R26,武学奇术!$A:$ZZ,5,FALSE)+SUM(_xlfn.XLOOKUP($S26:$AG26,增益!$A:$A,增益!$E:$E,0))</f>
        <v>0</v>
      </c>
      <c r="AO26" cm="1">
        <f t="array" ref="AO26">$D$10*(1+$AN26)+VLOOKUP($R26,武学奇术!$A:$ZZ,3,FALSE)+SUM(_xlfn.XLOOKUP($S26:$AG26,增益!$A:$A,增益!$C:$C,0))-$I$2</f>
        <v>3562.6</v>
      </c>
      <c r="AP26" cm="1">
        <f t="array" ref="AP26">$E$10*(1+$AN26)+VLOOKUP($R26,武学奇术!$A:$ZZ,4,FALSE)+SUM(_xlfn.XLOOKUP($S26:$AG26,增益!$A:$A,增益!$D:$D,0))-$I$2</f>
        <v>3562.6</v>
      </c>
      <c r="AQ26" s="32" cm="1">
        <f t="array" ref="AQ26">IF($F$10-$I$3+VLOOKUP($R26,武学奇术!$A:$ZZ,6,FALSE)+SUM(_xlfn.XLOOKUP(S26:AG26,增益!$A:$A,增益!$F:$F,0))&gt;0,($F$10-$I$3+VLOOKUP($R26,武学奇术!$A:$ZZ,6,FALSE)+SUM(_xlfn.XLOOKUP(S26:AG26,增益!$A:$A,增益!$F:$F,0)))/200,($F$10-$I$3+VLOOKUP($R26,武学奇术!$A:$ZZ,6,FALSE)+SUM(_xlfn.XLOOKUP(S26:AG26,增益!$A:$A,增益!$F:$F,0)))/100)</f>
        <v>0.2925</v>
      </c>
      <c r="AR26" s="32" cm="1">
        <f t="array" ref="AR26">$G$10+VLOOKUP($R26,武学奇术!$A:$ZZ,7,FALSE)+SUM(_xlfn.XLOOKUP(S26:AG26,增益!$A:$A,增益!$G:$G,0))</f>
        <v>0.148</v>
      </c>
      <c r="AS26" s="26" cm="1">
        <f t="array" ref="AS26">VLOOKUP($R26,武学奇术!$A:$ZZ,8,FALSE)+SUM(_xlfn.XLOOKUP(S26:AG26,增益!$A:$A,增益!$H:$H,0))</f>
        <v>0</v>
      </c>
      <c r="AT26">
        <f t="shared" si="1"/>
        <v>0</v>
      </c>
      <c r="AU26">
        <f t="shared" si="2"/>
        <v>0</v>
      </c>
      <c r="AV26" s="32" cm="1">
        <f t="array" ref="AV26">IF($F$11-$I$4+VLOOKUP($R26,武学奇术!$A:$ZZ,9,FALSE)+SUM(_xlfn.XLOOKUP(S26:AG26,增益!$A:$A,增益!$I:$I,0))&gt;0,($F$11-$I$4+VLOOKUP($R26,武学奇术!$A:$ZZ,9,FALSE)+SUM(_xlfn.XLOOKUP(S26:AG26,增益!$A:$A,增益!$I:$I,0)))/200,($F$11-$I$4+VLOOKUP($R26,武学奇术!$A:$ZZ,9,FALSE)+SUM(_xlfn.XLOOKUP(S26:AG26,增益!$A:$A,增益!$I:$I,0)))/100)</f>
        <v>-0.3</v>
      </c>
      <c r="AW26" s="32" cm="1">
        <f t="array" ref="AW26">$G$11+VLOOKUP($R26,武学奇术!$A:$ZZ,10,FALSE)+SUM(_xlfn.XLOOKUP(S26:AG26,增益!$A:$A,增益!$J:$J,0))</f>
        <v>0</v>
      </c>
      <c r="AX26">
        <f t="shared" si="3"/>
        <v>0</v>
      </c>
      <c r="AY26">
        <f t="shared" si="4"/>
        <v>0</v>
      </c>
      <c r="AZ26" s="32" cm="1">
        <f t="array" ref="AZ26">IF($F$12-$I$4+VLOOKUP($R26,武学奇术!$A:$ZZ,11,FALSE)+SUM(_xlfn.XLOOKUP(S26:AG26,增益!$A:$A,增益!$K:$K,0))&gt;0,($F$12-$I$4+VLOOKUP($R26,武学奇术!$A:$ZZ,11,FALSE)+SUM(_xlfn.XLOOKUP(S26:AG26,增益!$A:$A,增益!$K:$K,0)))/200,($F$12-$I$4+VLOOKUP($R26,武学奇术!$A:$ZZ,11,FALSE)+SUM(_xlfn.XLOOKUP(S26:AG26,增益!$A:$A,增益!$K:$K,0)))/100)</f>
        <v>-0.3</v>
      </c>
      <c r="BA26" s="32" cm="1">
        <f t="array" ref="BA26">$G$12+VLOOKUP($R26,武学奇术!$A:$ZZ,12,FALSE)+SUM(_xlfn.XLOOKUP(S26:AG26,增益!$A:$A,增益!$L:$L,0))</f>
        <v>0</v>
      </c>
      <c r="BB26">
        <f t="shared" si="5"/>
        <v>0</v>
      </c>
      <c r="BC26">
        <f t="shared" si="6"/>
        <v>0</v>
      </c>
      <c r="BD26" s="32" cm="1">
        <f t="array" ref="BD26">IF($F$13-$I$4+VLOOKUP($R26,武学奇术!$A:$ZZ,13,FALSE)+SUM(_xlfn.XLOOKUP(S26:AG26,增益!$A:$A,增益!$M:$M,0))&gt;0,($F$13-$I$4+VLOOKUP($R26,武学奇术!$A:$ZZ,13,FALSE)+SUM(_xlfn.XLOOKUP(S26:AG26,增益!$A:$A,增益!$K:$K,0)))/200,($F$13-$I$4+VLOOKUP($R26,武学奇术!$A:$ZZ,13,FALSE)+SUM(_xlfn.XLOOKUP(S26:AG26,增益!$A:$A,增益!$M:$M,0)))/100)</f>
        <v>-0.3</v>
      </c>
      <c r="BE26" s="32" cm="1">
        <f t="array" ref="BE26">$G$13+VLOOKUP($R26,武学奇术!$A:$ZZ,14,FALSE)+SUM(_xlfn.XLOOKUP(S26:AG26,增益!$A:$A,增益!$N:$N,0))</f>
        <v>0</v>
      </c>
      <c r="BF26">
        <f t="shared" si="7"/>
        <v>571.2</v>
      </c>
      <c r="BG26">
        <f t="shared" si="8"/>
        <v>1627.8</v>
      </c>
      <c r="BH26" s="32" cm="1">
        <f t="array" ref="BH26">IF($F$14-$I$4+VLOOKUP($R26,武学奇术!$A:$ZZ,15,FALSE)+SUM(_xlfn.XLOOKUP(S26:AG26,增益!$A:$A,增益!$O:$O,0))&gt;0,($F$14-$I$4+VLOOKUP($R26,武学奇术!$A:$ZZ,15,FALSE)+SUM(_xlfn.XLOOKUP(S26:AG26,增益!$A:$A,增益!$O:$O,0)))/200,($F$14-$I$4+VLOOKUP($R26,武学奇术!$A:$ZZ,15,FALSE)+SUM(_xlfn.XLOOKUP(S26:AG26,增益!$A:$A,增益!$O:$O,0)))/100)</f>
        <v>0</v>
      </c>
      <c r="BI26" s="32" cm="1">
        <f t="array" ref="BI26">$G$14+VLOOKUP($R26,武学奇术!$A:$ZZ,16,FALSE)+SUM(_xlfn.XLOOKUP(S26:AG26,增益!$A:$A,增益!$P:$P,0))</f>
        <v>0.27</v>
      </c>
      <c r="BJ26" s="26">
        <f>MIN(IF(VLOOKUP($R26,武学奇术!$A:$ZZ,23,FALSE)=1,100%,$B$8),100%)</f>
        <v>1</v>
      </c>
      <c r="BK26" s="26" cm="1">
        <f t="array" ref="BK26">IF(VLOOKUP($R26,武学奇术!$A:$ZZ,23,FALSE)=1,100%,MIN(80%,$B$9+VLOOKUP($R26,武学奇术!$A:$ZZ,17,FALSE)+SUM(_xlfn.XLOOKUP(S26:AG26,增益!$A:$A,增益!$Q:$Q,0)))+$B$11+SUM(_xlfn.XLOOKUP(S26:AG26,增益!$A:$A,增益!$U:$U,0)))*IF(VLOOKUP($R26,武学奇术!$A:$ZZ,24,FALSE)=1,0,1)</f>
        <v>1</v>
      </c>
      <c r="BL26" s="26" cm="1">
        <f t="array" ref="BL26">1+$B$13+VLOOKUP($R26,武学奇术!$A:$ZZ,18,FALSE)+SUM(_xlfn.XLOOKUP(S26:AG26,增益!$A:$A,增益!$R:$R,0))</f>
        <v>2</v>
      </c>
      <c r="BM26" s="26" cm="1">
        <f t="array" ref="BM26">IF(VLOOKUP($R26,武学奇术!$A:$ZZ,24,FALSE)=1,100%,MIN(40%,$B$10+VLOOKUP($R26,武学奇术!$A:$ZZ,19,FALSE)+SUM(_xlfn.XLOOKUP(S26:AG26,增益!$A:$A,增益!$S:$S,0)))+$B$12+SUM(_xlfn.XLOOKUP(S26:AG26,增益!$A:$A,增益!$V:$V,0)))*IF(VLOOKUP($R26,武学奇术!$A:$ZZ,23,FALSE)=1,0,1)</f>
        <v>0</v>
      </c>
      <c r="BN26" s="26" cm="1">
        <f t="array" ref="BN26">1+$B$14+VLOOKUP($R26,武学奇术!$A:$ZZ,20,FALSE)+SUM(_xlfn.XLOOKUP(S26:AG26,增益!$A:$A,增益!$T:$T,0))</f>
        <v>1.35</v>
      </c>
      <c r="BO26" s="26">
        <f t="shared" si="9"/>
        <v>1</v>
      </c>
      <c r="BP26" s="26">
        <f t="shared" si="10"/>
        <v>0</v>
      </c>
      <c r="BQ26" s="26">
        <f>IF(VLOOKUP($R26,武学奇术!$A:$ZZ,22,FALSE)=1,0,(1-$BJ26))*(1-$BM26)</f>
        <v>0</v>
      </c>
      <c r="BR26" s="26" cm="1">
        <f t="array" ref="BR26">SUM(_xlfn.XLOOKUP(S26:AG26,增益!$A:$A,增益!$W:$W,0))+$I$5</f>
        <v>0.11</v>
      </c>
    </row>
    <row r="27" spans="1:70">
      <c r="K27">
        <f>$L27*VLOOKUP($R27,武学奇术!$A:$ZZ,31,FALSE)</f>
        <v>156677.359718159</v>
      </c>
      <c r="L27" s="38">
        <f t="shared" si="0"/>
        <v>149216.533064914</v>
      </c>
      <c r="M27" s="38">
        <f>((($AO27+$AP27)/2*$AI27+$AJ27)*(1+$AQ27)*(1+$AR27)+(($AT27+$AU27)/2*IF($G$1="鸣金",$AK27,$AI27)+IF($G$1="鸣金",$AL27*1.5,0))*(1+$AV27)*(1+$AW27)+(($AX27+$AY27)/2*IF($G$1="裂石",$AK27,$AI27)+IF($G$1="裂石",$AL27*1.5,0))*(1+$AZ27)*(1+$BA27)+(($BB27+$BC27)/2*IF($G$1="牵丝",$AK27,$AI27)+IF($G$1="牵丝",$AL27*1.5,0))*(1+$BD27)*(1+$BE27)+(($BF27+$BG27)/2*IF($G$1="破竹",$AK27,$AI27)+IF($G$1="破竹",$AL27*1.5,0))*(1+$BH27)*(1+$BI27))*(1+$AM27)*$BL27*$Q27*(1+IF(VLOOKUP($R27,武学奇术!$A:$ZZ,30,FALSE)="回旋伞",$B$21,0))*(1+$BR27)</f>
        <v>159224.580140344</v>
      </c>
      <c r="N27" s="38">
        <f>(($AP27*$AI27+$AJ27)*(1+$AQ27)*(1+$AR27)+($AU27*IF($G$1="鸣金",$AK27,$AI27)+IF($G$1="鸣金",$AL27*1.5,0))*(1+$AV27)*(1+$AW27)+($AY27*IF($G$1="裂石",$AK27,$AI27)+IF($G$1="裂石",$AL27*1.5,0))*(1+$AZ27)*(1+$BA27)+($BC27*IF($G$1="牵丝",$AK27,$AI27)+IF($G$1="牵丝",$AL27*1.5,0))*(1+$BD27)*(1+$BE27)+($BG27*IF($G$1="破竹",$AK27,$AI27)+IF($G$1="破竹",$AL27*1.5,0))*(1+$BH27)*(1+$BI27))*(1+$AM27)*$BN27*$Q27*(1+IF(VLOOKUP($R27,武学奇术!$A:$ZZ,30,FALSE)="回旋伞",$B$21,0))*(1+$BR27)</f>
        <v>119715.351206277</v>
      </c>
      <c r="O27" s="38">
        <f>((($AO27+$AP27)/2*$AI27+$AJ27)*(1+$AQ27)*(1+$AR27)+(($AT27+$AU27)/2*IF($G$1="鸣金",$AK27,$AI27)+IF($G$1="鸣金",$AL27*1.5,0))*(1+$AV27)*(1+$AW27)+(($AX27+$AY27)/2*IF($G$1="裂石",$AK27,$AI27)+IF($G$1="裂石",$AL27*1.5,0))*(1+$AZ27)*(1+$BA27)+(($BB27+$BC27)/2*IF($G$1="牵丝",$AK27,$AI27)+IF($G$1="牵丝",$AL27*1.5,0))*(1+$BD27)*(1+$BE27)+(($BF27+$BG27)/2*IF($G$1="破竹",$AK27,$AI27)+IF($G$1="破竹",$AL27*1.5,0))*(1+$BH27)*(1+$BI27))*(1+$AM27)*$Q27*(1+IF(VLOOKUP($R27,武学奇术!$A:$ZZ,30,FALSE)="回旋伞",$B$21,0))*(1+$BR27)</f>
        <v>79216.209025047</v>
      </c>
      <c r="P27" s="38">
        <f>((($AO27*$AI27+$AJ27)*(1+$AQ27)*(1+$AR27)+($AT27*IF($G$1="鸣金",$AK27,$AI27)+IF($G$1="鸣金",$AL27*1.5,0))*(1+$AV27)*(1+$AW27)+($AX27*IF($G$1="裂石",$AK27,$AI27)+IF($G$1="裂石",$AL27*1.5,0))*(1+$AZ27)*(1+$BA27)+($BB27*IF($G$1="牵丝",$AK27,$AI27)+IF($G$1="牵丝",$AL27*1.5,0))*(1+$BD27)*(1+$BE27)+($BF27*IF($G$1="破竹",$AK27,$AI27)+IF($G$1="破竹",$AL27*1.5,0))*(1+$BH27)*(1+$BI27))*(1+$AM27))*$Q27*(1+IF(VLOOKUP($R27,武学奇术!$A:$ZZ,30,FALSE)="回旋伞",$B$21,0))*(1+$BR27)</f>
        <v>69754.3801195181</v>
      </c>
      <c r="Q27" s="39">
        <v>2</v>
      </c>
      <c r="R27" s="40" t="s">
        <v>108</v>
      </c>
      <c r="S27" s="40" t="s">
        <v>109</v>
      </c>
      <c r="T27" s="40" t="s">
        <v>95</v>
      </c>
      <c r="U27" s="40" t="s">
        <v>73</v>
      </c>
      <c r="V27" s="40" t="s">
        <v>81</v>
      </c>
      <c r="W27" s="40" t="s">
        <v>152</v>
      </c>
      <c r="X27" s="40" t="s">
        <v>99</v>
      </c>
      <c r="Y27" s="40" t="s">
        <v>72</v>
      </c>
      <c r="Z27" s="40" t="s">
        <v>72</v>
      </c>
      <c r="AA27" s="40" t="s">
        <v>72</v>
      </c>
      <c r="AB27" s="40" t="s">
        <v>126</v>
      </c>
      <c r="AC27" s="40" t="s">
        <v>72</v>
      </c>
      <c r="AD27" s="40" t="s">
        <v>72</v>
      </c>
      <c r="AE27" s="40" t="s">
        <v>72</v>
      </c>
      <c r="AF27" s="40" t="s">
        <v>72</v>
      </c>
      <c r="AG27" s="40" t="s">
        <v>78</v>
      </c>
      <c r="AH27" t="str">
        <f>VLOOKUP($R27,武学奇术!$A:$ZZ,25,FALSE)</f>
        <v>伞</v>
      </c>
      <c r="AI27" s="26">
        <f>VLOOKUP($R27,武学奇术!$A:$ZZ,26,FALSE)</f>
        <v>1.8084</v>
      </c>
      <c r="AJ27" s="27">
        <f>VLOOKUP($R27,武学奇术!$A:$ZZ,27,FALSE)*(1+IF(OR($AH27=$F$4,$AH27=$F$5),$B$22,0))</f>
        <v>750</v>
      </c>
      <c r="AK27" s="26">
        <f>VLOOKUP($R27,武学奇术!$A:$ZZ,28,FALSE)</f>
        <v>2.7126</v>
      </c>
      <c r="AL27" s="27">
        <f>VLOOKUP($R27,武学奇术!$A:$ZZ,29,FALSE)*(1+IF(OR($AH27=$F$4,$AH27=$F$5),$B$22,0))</f>
        <v>408</v>
      </c>
      <c r="AM27" s="26" cm="1">
        <f t="array" ref="AM27">$G$3+IFERROR(VLOOKUP($AH27,$F$4:$G$7,2,FALSE),0)+VLOOKUP($R27,武学奇术!$A:$ZZ,2,FALSE)+SUM(_xlfn.XLOOKUP($S27:$AG27,增益!$A:$A,增益!$B:$B,0))</f>
        <v>0.7741</v>
      </c>
      <c r="AN27" s="26" cm="1">
        <f t="array" ref="AN27">VLOOKUP($R27,武学奇术!$A:$ZZ,5,FALSE)+SUM(_xlfn.XLOOKUP($S27:$AG27,增益!$A:$A,增益!$E:$E,0))</f>
        <v>0</v>
      </c>
      <c r="AO27" cm="1">
        <f t="array" ref="AO27">$D$10*(1+$AN27)+VLOOKUP($R27,武学奇术!$A:$ZZ,3,FALSE)+SUM(_xlfn.XLOOKUP($S27:$AG27,增益!$A:$A,增益!$C:$C,0))-$I$2</f>
        <v>3562.6</v>
      </c>
      <c r="AP27" cm="1">
        <f t="array" ref="AP27">$E$10*(1+$AN27)+VLOOKUP($R27,武学奇术!$A:$ZZ,4,FALSE)+SUM(_xlfn.XLOOKUP($S27:$AG27,增益!$A:$A,增益!$D:$D,0))-$I$2</f>
        <v>3562.6</v>
      </c>
      <c r="AQ27" s="32" cm="1">
        <f t="array" ref="AQ27">IF($F$10-$I$3+VLOOKUP($R27,武学奇术!$A:$ZZ,6,FALSE)+SUM(_xlfn.XLOOKUP(S27:AG27,增益!$A:$A,增益!$F:$F,0))&gt;0,($F$10-$I$3+VLOOKUP($R27,武学奇术!$A:$ZZ,6,FALSE)+SUM(_xlfn.XLOOKUP(S27:AG27,增益!$A:$A,增益!$F:$F,0)))/200,($F$10-$I$3+VLOOKUP($R27,武学奇术!$A:$ZZ,6,FALSE)+SUM(_xlfn.XLOOKUP(S27:AG27,增益!$A:$A,增益!$F:$F,0)))/100)</f>
        <v>0.2925</v>
      </c>
      <c r="AR27" s="32" cm="1">
        <f t="array" ref="AR27">$G$10+VLOOKUP($R27,武学奇术!$A:$ZZ,7,FALSE)+SUM(_xlfn.XLOOKUP(S27:AG27,增益!$A:$A,增益!$G:$G,0))</f>
        <v>0.148</v>
      </c>
      <c r="AS27" s="26" cm="1">
        <f t="array" ref="AS27">VLOOKUP($R27,武学奇术!$A:$ZZ,8,FALSE)+SUM(_xlfn.XLOOKUP(S27:AG27,增益!$A:$A,增益!$H:$H,0))</f>
        <v>0</v>
      </c>
      <c r="AT27">
        <f t="shared" si="1"/>
        <v>0</v>
      </c>
      <c r="AU27">
        <f t="shared" si="2"/>
        <v>0</v>
      </c>
      <c r="AV27" s="32" cm="1">
        <f t="array" ref="AV27">IF($F$11-$I$4+VLOOKUP($R27,武学奇术!$A:$ZZ,9,FALSE)+SUM(_xlfn.XLOOKUP(S27:AG27,增益!$A:$A,增益!$I:$I,0))&gt;0,($F$11-$I$4+VLOOKUP($R27,武学奇术!$A:$ZZ,9,FALSE)+SUM(_xlfn.XLOOKUP(S27:AG27,增益!$A:$A,增益!$I:$I,0)))/200,($F$11-$I$4+VLOOKUP($R27,武学奇术!$A:$ZZ,9,FALSE)+SUM(_xlfn.XLOOKUP(S27:AG27,增益!$A:$A,增益!$I:$I,0)))/100)</f>
        <v>-0.3</v>
      </c>
      <c r="AW27" s="32" cm="1">
        <f t="array" ref="AW27">$G$11+VLOOKUP($R27,武学奇术!$A:$ZZ,10,FALSE)+SUM(_xlfn.XLOOKUP(S27:AG27,增益!$A:$A,增益!$J:$J,0))</f>
        <v>0</v>
      </c>
      <c r="AX27">
        <f t="shared" si="3"/>
        <v>0</v>
      </c>
      <c r="AY27">
        <f t="shared" si="4"/>
        <v>0</v>
      </c>
      <c r="AZ27" s="32" cm="1">
        <f t="array" ref="AZ27">IF($F$12-$I$4+VLOOKUP($R27,武学奇术!$A:$ZZ,11,FALSE)+SUM(_xlfn.XLOOKUP(S27:AG27,增益!$A:$A,增益!$K:$K,0))&gt;0,($F$12-$I$4+VLOOKUP($R27,武学奇术!$A:$ZZ,11,FALSE)+SUM(_xlfn.XLOOKUP(S27:AG27,增益!$A:$A,增益!$K:$K,0)))/200,($F$12-$I$4+VLOOKUP($R27,武学奇术!$A:$ZZ,11,FALSE)+SUM(_xlfn.XLOOKUP(S27:AG27,增益!$A:$A,增益!$K:$K,0)))/100)</f>
        <v>-0.3</v>
      </c>
      <c r="BA27" s="32" cm="1">
        <f t="array" ref="BA27">$G$12+VLOOKUP($R27,武学奇术!$A:$ZZ,12,FALSE)+SUM(_xlfn.XLOOKUP(S27:AG27,增益!$A:$A,增益!$L:$L,0))</f>
        <v>0</v>
      </c>
      <c r="BB27">
        <f t="shared" si="5"/>
        <v>0</v>
      </c>
      <c r="BC27">
        <f t="shared" si="6"/>
        <v>0</v>
      </c>
      <c r="BD27" s="32" cm="1">
        <f t="array" ref="BD27">IF($F$13-$I$4+VLOOKUP($R27,武学奇术!$A:$ZZ,13,FALSE)+SUM(_xlfn.XLOOKUP(S27:AG27,增益!$A:$A,增益!$M:$M,0))&gt;0,($F$13-$I$4+VLOOKUP($R27,武学奇术!$A:$ZZ,13,FALSE)+SUM(_xlfn.XLOOKUP(S27:AG27,增益!$A:$A,增益!$K:$K,0)))/200,($F$13-$I$4+VLOOKUP($R27,武学奇术!$A:$ZZ,13,FALSE)+SUM(_xlfn.XLOOKUP(S27:AG27,增益!$A:$A,增益!$M:$M,0)))/100)</f>
        <v>-0.3</v>
      </c>
      <c r="BE27" s="32" cm="1">
        <f t="array" ref="BE27">$G$13+VLOOKUP($R27,武学奇术!$A:$ZZ,14,FALSE)+SUM(_xlfn.XLOOKUP(S27:AG27,增益!$A:$A,增益!$N:$N,0))</f>
        <v>0</v>
      </c>
      <c r="BF27">
        <f t="shared" si="7"/>
        <v>571.2</v>
      </c>
      <c r="BG27">
        <f t="shared" si="8"/>
        <v>1627.8</v>
      </c>
      <c r="BH27" s="32" cm="1">
        <f t="array" ref="BH27">IF($F$14-$I$4+VLOOKUP($R27,武学奇术!$A:$ZZ,15,FALSE)+SUM(_xlfn.XLOOKUP(S27:AG27,增益!$A:$A,增益!$O:$O,0))&gt;0,($F$14-$I$4+VLOOKUP($R27,武学奇术!$A:$ZZ,15,FALSE)+SUM(_xlfn.XLOOKUP(S27:AG27,增益!$A:$A,增益!$O:$O,0)))/200,($F$14-$I$4+VLOOKUP($R27,武学奇术!$A:$ZZ,15,FALSE)+SUM(_xlfn.XLOOKUP(S27:AG27,增益!$A:$A,增益!$O:$O,0)))/100)</f>
        <v>0</v>
      </c>
      <c r="BI27" s="32" cm="1">
        <f t="array" ref="BI27">$G$14+VLOOKUP($R27,武学奇术!$A:$ZZ,16,FALSE)+SUM(_xlfn.XLOOKUP(S27:AG27,增益!$A:$A,增益!$P:$P,0))</f>
        <v>0.27</v>
      </c>
      <c r="BJ27" s="26">
        <f>MIN(IF(VLOOKUP($R27,武学奇术!$A:$ZZ,23,FALSE)=1,100%,$B$8),100%)</f>
        <v>0.981</v>
      </c>
      <c r="BK27" s="26" cm="1">
        <f t="array" ref="BK27">IF(VLOOKUP($R27,武学奇术!$A:$ZZ,23,FALSE)=1,100%,MIN(80%,$B$9+VLOOKUP($R27,武学奇术!$A:$ZZ,17,FALSE)+SUM(_xlfn.XLOOKUP(S27:AG27,增益!$A:$A,增益!$Q:$Q,0)))+$B$11+SUM(_xlfn.XLOOKUP(S27:AG27,增益!$A:$A,增益!$U:$U,0)))*IF(VLOOKUP($R27,武学奇术!$A:$ZZ,24,FALSE)=1,0,1)</f>
        <v>0.846</v>
      </c>
      <c r="BL27" s="26" cm="1">
        <f t="array" ref="BL27">1+$B$13+VLOOKUP($R27,武学奇术!$A:$ZZ,18,FALSE)+SUM(_xlfn.XLOOKUP(S27:AG27,增益!$A:$A,增益!$R:$R,0))</f>
        <v>2.01</v>
      </c>
      <c r="BM27" s="26" cm="1">
        <f t="array" ref="BM27">IF(VLOOKUP($R27,武学奇术!$A:$ZZ,24,FALSE)=1,100%,MIN(40%,$B$10+VLOOKUP($R27,武学奇术!$A:$ZZ,19,FALSE)+SUM(_xlfn.XLOOKUP(S27:AG27,增益!$A:$A,增益!$S:$S,0)))+$B$12+SUM(_xlfn.XLOOKUP(S27:AG27,增益!$A:$A,增益!$V:$V,0)))*IF(VLOOKUP($R27,武学奇术!$A:$ZZ,23,FALSE)=1,0,1)</f>
        <v>0.0929</v>
      </c>
      <c r="BN27" s="26" cm="1">
        <f t="array" ref="BN27">1+$B$14+VLOOKUP($R27,武学奇术!$A:$ZZ,20,FALSE)+SUM(_xlfn.XLOOKUP(S27:AG27,增益!$A:$A,增益!$T:$T,0))</f>
        <v>1.35</v>
      </c>
      <c r="BO27" s="26">
        <f t="shared" si="9"/>
        <v>0.829926</v>
      </c>
      <c r="BP27" s="26">
        <f t="shared" si="10"/>
        <v>0.0599391</v>
      </c>
      <c r="BQ27" s="26">
        <f>IF(VLOOKUP($R27,武学奇术!$A:$ZZ,22,FALSE)=1,0,(1-$BJ27))*(1-$BM27)</f>
        <v>0.0172349</v>
      </c>
      <c r="BR27" s="26" cm="1">
        <f t="array" ref="BR27">SUM(_xlfn.XLOOKUP(S27:AG27,增益!$A:$A,增益!$W:$W,0))+$I$5</f>
        <v>0.11</v>
      </c>
    </row>
    <row r="28" spans="1:70">
      <c r="A28" s="4"/>
      <c r="B28" s="87"/>
      <c r="K28">
        <f>$L28*VLOOKUP($R28,武学奇术!$A:$ZZ,31,FALSE)</f>
        <v>91291.6560320254</v>
      </c>
      <c r="L28" s="38">
        <f t="shared" si="0"/>
        <v>86944.4343162147</v>
      </c>
      <c r="M28" s="38">
        <f>((($AO28+$AP28)/2*$AI28+$AJ28)*(1+$AQ28)*(1+$AR28)+(($AT28+$AU28)/2*IF($G$1="鸣金",$AK28,$AI28)+IF($G$1="鸣金",$AL28*1.5,0))*(1+$AV28)*(1+$AW28)+(($AX28+$AY28)/2*IF($G$1="裂石",$AK28,$AI28)+IF($G$1="裂石",$AL28*1.5,0))*(1+$AZ28)*(1+$BA28)+(($BB28+$BC28)/2*IF($G$1="牵丝",$AK28,$AI28)+IF($G$1="牵丝",$AL28*1.5,0))*(1+$BD28)*(1+$BE28)+(($BF28+$BG28)/2*IF($G$1="破竹",$AK28,$AI28)+IF($G$1="破竹",$AL28*1.5,0))*(1+$BH28)*(1+$BI28))*(1+$AM28)*$BL28*$Q28*(1+IF(VLOOKUP($R28,武学奇术!$A:$ZZ,30,FALSE)="回旋伞",$B$21,0))*(1+$BR28)</f>
        <v>92685.8181854177</v>
      </c>
      <c r="N28" s="38">
        <f>(($AP28*$AI28+$AJ28)*(1+$AQ28)*(1+$AR28)+($AU28*IF($G$1="鸣金",$AK28,$AI28)+IF($G$1="鸣金",$AL28*1.5,0))*(1+$AV28)*(1+$AW28)+($AY28*IF($G$1="裂石",$AK28,$AI28)+IF($G$1="裂石",$AL28*1.5,0))*(1+$AZ28)*(1+$BA28)+($BC28*IF($G$1="牵丝",$AK28,$AI28)+IF($G$1="牵丝",$AL28*1.5,0))*(1+$BD28)*(1+$BE28)+($BG28*IF($G$1="破竹",$AK28,$AI28)+IF($G$1="破竹",$AL28*1.5,0))*(1+$BH28)*(1+$BI28))*(1+$AM28)*$BN28*$Q28*(1+IF(VLOOKUP($R28,武学奇术!$A:$ZZ,30,FALSE)="回旋伞",$B$21,0))*(1+$BR28)</f>
        <v>70740.1340586014</v>
      </c>
      <c r="O28" s="38">
        <f>((($AO28+$AP28)/2*$AI28+$AJ28)*(1+$AQ28)*(1+$AR28)+(($AT28+$AU28)/2*IF($G$1="鸣金",$AK28,$AI28)+IF($G$1="鸣金",$AL28*1.5,0))*(1+$AV28)*(1+$AW28)+(($AX28+$AY28)/2*IF($G$1="裂石",$AK28,$AI28)+IF($G$1="裂石",$AL28*1.5,0))*(1+$AZ28)*(1+$BA28)+(($BB28+$BC28)/2*IF($G$1="牵丝",$AK28,$AI28)+IF($G$1="牵丝",$AL28*1.5,0))*(1+$BD28)*(1+$BE28)+(($BF28+$BG28)/2*IF($G$1="破竹",$AK28,$AI28)+IF($G$1="破竹",$AL28*1.5,0))*(1+$BH28)*(1+$BI28))*(1+$AM28)*$Q28*(1+IF(VLOOKUP($R28,武学奇术!$A:$ZZ,30,FALSE)="回旋伞",$B$21,0))*(1+$BR28)</f>
        <v>46112.3473559292</v>
      </c>
      <c r="P28" s="38">
        <f>((($AO28*$AI28+$AJ28)*(1+$AQ28)*(1+$AR28)+($AT28*IF($G$1="鸣金",$AK28,$AI28)+IF($G$1="鸣金",$AL28*1.5,0))*(1+$AV28)*(1+$AW28)+($AX28*IF($G$1="裂石",$AK28,$AI28)+IF($G$1="裂石",$AL28*1.5,0))*(1+$AZ28)*(1+$BA28)+($BB28*IF($G$1="牵丝",$AK28,$AI28)+IF($G$1="牵丝",$AL28*1.5,0))*(1+$BD28)*(1+$BE28)+($BF28*IF($G$1="破竹",$AK28,$AI28)+IF($G$1="破竹",$AL28*1.5,0))*(1+$BH28)*(1+$BI28))*(1+$AM28))*$Q28*(1+IF(VLOOKUP($R28,武学奇术!$A:$ZZ,30,FALSE)="回旋伞",$B$21,0))*(1+$BR28)</f>
        <v>39824.5954091907</v>
      </c>
      <c r="Q28" s="39">
        <v>4</v>
      </c>
      <c r="R28" s="40" t="s">
        <v>112</v>
      </c>
      <c r="S28" s="40" t="s">
        <v>109</v>
      </c>
      <c r="T28" s="40" t="s">
        <v>95</v>
      </c>
      <c r="U28" s="40" t="s">
        <v>73</v>
      </c>
      <c r="V28" s="40" t="s">
        <v>81</v>
      </c>
      <c r="W28" s="40" t="s">
        <v>152</v>
      </c>
      <c r="X28" s="40" t="s">
        <v>99</v>
      </c>
      <c r="Y28" s="40" t="s">
        <v>72</v>
      </c>
      <c r="Z28" s="40" t="s">
        <v>72</v>
      </c>
      <c r="AA28" s="40" t="s">
        <v>72</v>
      </c>
      <c r="AB28" s="40" t="s">
        <v>126</v>
      </c>
      <c r="AC28" s="40" t="s">
        <v>72</v>
      </c>
      <c r="AD28" s="40" t="s">
        <v>72</v>
      </c>
      <c r="AE28" s="40" t="s">
        <v>72</v>
      </c>
      <c r="AF28" s="40" t="s">
        <v>72</v>
      </c>
      <c r="AG28" s="40" t="s">
        <v>78</v>
      </c>
      <c r="AH28" t="str">
        <f>VLOOKUP($R28,武学奇术!$A:$ZZ,25,FALSE)</f>
        <v>伞</v>
      </c>
      <c r="AI28" s="26">
        <f>VLOOKUP($R28,武学奇术!$A:$ZZ,26,FALSE)</f>
        <v>0.54</v>
      </c>
      <c r="AJ28" s="27">
        <f>VLOOKUP($R28,武学奇术!$A:$ZZ,27,FALSE)*(1+IF(OR($AH28=$F$4,$AH28=$F$5),$B$22,0))</f>
        <v>0</v>
      </c>
      <c r="AK28" s="26">
        <f>VLOOKUP($R28,武学奇术!$A:$ZZ,28,FALSE)</f>
        <v>0.81</v>
      </c>
      <c r="AL28" s="27">
        <f>VLOOKUP($R28,武学奇术!$A:$ZZ,29,FALSE)*(1+IF(OR($AH28=$F$4,$AH28=$F$5),$B$22,0))</f>
        <v>0</v>
      </c>
      <c r="AM28" s="26" cm="1">
        <f t="array" ref="AM28">$G$3+IFERROR(VLOOKUP($AH28,$F$4:$G$7,2,FALSE),0)+VLOOKUP($R28,武学奇术!$A:$ZZ,2,FALSE)+SUM(_xlfn.XLOOKUP($S28:$AG28,增益!$A:$A,增益!$B:$B,0))</f>
        <v>0.9741</v>
      </c>
      <c r="AN28" s="26" cm="1">
        <f t="array" ref="AN28">VLOOKUP($R28,武学奇术!$A:$ZZ,5,FALSE)+SUM(_xlfn.XLOOKUP($S28:$AG28,增益!$A:$A,增益!$E:$E,0))</f>
        <v>0</v>
      </c>
      <c r="AO28" cm="1">
        <f t="array" ref="AO28">$D$10*(1+$AN28)+VLOOKUP($R28,武学奇术!$A:$ZZ,3,FALSE)+SUM(_xlfn.XLOOKUP($S28:$AG28,增益!$A:$A,增益!$C:$C,0))-$I$2</f>
        <v>3562.6</v>
      </c>
      <c r="AP28" cm="1">
        <f t="array" ref="AP28">$E$10*(1+$AN28)+VLOOKUP($R28,武学奇术!$A:$ZZ,4,FALSE)+SUM(_xlfn.XLOOKUP($S28:$AG28,增益!$A:$A,增益!$D:$D,0))-$I$2</f>
        <v>3562.6</v>
      </c>
      <c r="AQ28" s="32" cm="1">
        <f t="array" ref="AQ28">IF($F$10-$I$3+VLOOKUP($R28,武学奇术!$A:$ZZ,6,FALSE)+SUM(_xlfn.XLOOKUP(S28:AG28,增益!$A:$A,增益!$F:$F,0))&gt;0,($F$10-$I$3+VLOOKUP($R28,武学奇术!$A:$ZZ,6,FALSE)+SUM(_xlfn.XLOOKUP(S28:AG28,增益!$A:$A,增益!$F:$F,0)))/200,($F$10-$I$3+VLOOKUP($R28,武学奇术!$A:$ZZ,6,FALSE)+SUM(_xlfn.XLOOKUP(S28:AG28,增益!$A:$A,增益!$F:$F,0)))/100)</f>
        <v>0.2925</v>
      </c>
      <c r="AR28" s="32" cm="1">
        <f t="array" ref="AR28">$G$10+VLOOKUP($R28,武学奇术!$A:$ZZ,7,FALSE)+SUM(_xlfn.XLOOKUP(S28:AG28,增益!$A:$A,增益!$G:$G,0))</f>
        <v>0.148</v>
      </c>
      <c r="AS28" s="26" cm="1">
        <f t="array" ref="AS28">VLOOKUP($R28,武学奇术!$A:$ZZ,8,FALSE)+SUM(_xlfn.XLOOKUP(S28:AG28,增益!$A:$A,增益!$H:$H,0))</f>
        <v>0</v>
      </c>
      <c r="AT28">
        <f t="shared" si="1"/>
        <v>0</v>
      </c>
      <c r="AU28">
        <f t="shared" si="2"/>
        <v>0</v>
      </c>
      <c r="AV28" s="32" cm="1">
        <f t="array" ref="AV28">IF($F$11-$I$4+VLOOKUP($R28,武学奇术!$A:$ZZ,9,FALSE)+SUM(_xlfn.XLOOKUP(S28:AG28,增益!$A:$A,增益!$I:$I,0))&gt;0,($F$11-$I$4+VLOOKUP($R28,武学奇术!$A:$ZZ,9,FALSE)+SUM(_xlfn.XLOOKUP(S28:AG28,增益!$A:$A,增益!$I:$I,0)))/200,($F$11-$I$4+VLOOKUP($R28,武学奇术!$A:$ZZ,9,FALSE)+SUM(_xlfn.XLOOKUP(S28:AG28,增益!$A:$A,增益!$I:$I,0)))/100)</f>
        <v>-0.3</v>
      </c>
      <c r="AW28" s="32" cm="1">
        <f t="array" ref="AW28">$G$11+VLOOKUP($R28,武学奇术!$A:$ZZ,10,FALSE)+SUM(_xlfn.XLOOKUP(S28:AG28,增益!$A:$A,增益!$J:$J,0))</f>
        <v>0</v>
      </c>
      <c r="AX28">
        <f t="shared" si="3"/>
        <v>0</v>
      </c>
      <c r="AY28">
        <f t="shared" si="4"/>
        <v>0</v>
      </c>
      <c r="AZ28" s="32" cm="1">
        <f t="array" ref="AZ28">IF($F$12-$I$4+VLOOKUP($R28,武学奇术!$A:$ZZ,11,FALSE)+SUM(_xlfn.XLOOKUP(S28:AG28,增益!$A:$A,增益!$K:$K,0))&gt;0,($F$12-$I$4+VLOOKUP($R28,武学奇术!$A:$ZZ,11,FALSE)+SUM(_xlfn.XLOOKUP(S28:AG28,增益!$A:$A,增益!$K:$K,0)))/200,($F$12-$I$4+VLOOKUP($R28,武学奇术!$A:$ZZ,11,FALSE)+SUM(_xlfn.XLOOKUP(S28:AG28,增益!$A:$A,增益!$K:$K,0)))/100)</f>
        <v>-0.3</v>
      </c>
      <c r="BA28" s="32" cm="1">
        <f t="array" ref="BA28">$G$12+VLOOKUP($R28,武学奇术!$A:$ZZ,12,FALSE)+SUM(_xlfn.XLOOKUP(S28:AG28,增益!$A:$A,增益!$L:$L,0))</f>
        <v>0</v>
      </c>
      <c r="BB28">
        <f t="shared" si="5"/>
        <v>0</v>
      </c>
      <c r="BC28">
        <f t="shared" si="6"/>
        <v>0</v>
      </c>
      <c r="BD28" s="32" cm="1">
        <f t="array" ref="BD28">IF($F$13-$I$4+VLOOKUP($R28,武学奇术!$A:$ZZ,13,FALSE)+SUM(_xlfn.XLOOKUP(S28:AG28,增益!$A:$A,增益!$M:$M,0))&gt;0,($F$13-$I$4+VLOOKUP($R28,武学奇术!$A:$ZZ,13,FALSE)+SUM(_xlfn.XLOOKUP(S28:AG28,增益!$A:$A,增益!$K:$K,0)))/200,($F$13-$I$4+VLOOKUP($R28,武学奇术!$A:$ZZ,13,FALSE)+SUM(_xlfn.XLOOKUP(S28:AG28,增益!$A:$A,增益!$M:$M,0)))/100)</f>
        <v>-0.3</v>
      </c>
      <c r="BE28" s="32" cm="1">
        <f t="array" ref="BE28">$G$13+VLOOKUP($R28,武学奇术!$A:$ZZ,14,FALSE)+SUM(_xlfn.XLOOKUP(S28:AG28,增益!$A:$A,增益!$N:$N,0))</f>
        <v>0</v>
      </c>
      <c r="BF28">
        <f t="shared" si="7"/>
        <v>571.2</v>
      </c>
      <c r="BG28">
        <f t="shared" si="8"/>
        <v>1627.8</v>
      </c>
      <c r="BH28" s="32" cm="1">
        <f t="array" ref="BH28">IF($F$14-$I$4+VLOOKUP($R28,武学奇术!$A:$ZZ,15,FALSE)+SUM(_xlfn.XLOOKUP(S28:AG28,增益!$A:$A,增益!$O:$O,0))&gt;0,($F$14-$I$4+VLOOKUP($R28,武学奇术!$A:$ZZ,15,FALSE)+SUM(_xlfn.XLOOKUP(S28:AG28,增益!$A:$A,增益!$O:$O,0)))/200,($F$14-$I$4+VLOOKUP($R28,武学奇术!$A:$ZZ,15,FALSE)+SUM(_xlfn.XLOOKUP(S28:AG28,增益!$A:$A,增益!$O:$O,0)))/100)</f>
        <v>0</v>
      </c>
      <c r="BI28" s="32" cm="1">
        <f t="array" ref="BI28">$G$14+VLOOKUP($R28,武学奇术!$A:$ZZ,16,FALSE)+SUM(_xlfn.XLOOKUP(S28:AG28,增益!$A:$A,增益!$P:$P,0))</f>
        <v>0.27</v>
      </c>
      <c r="BJ28" s="26">
        <f>MIN(IF(VLOOKUP($R28,武学奇术!$A:$ZZ,23,FALSE)=1,100%,$B$8),100%)</f>
        <v>0.981</v>
      </c>
      <c r="BK28" s="26" cm="1">
        <f t="array" ref="BK28">IF(VLOOKUP($R28,武学奇术!$A:$ZZ,23,FALSE)=1,100%,MIN(80%,$B$9+VLOOKUP($R28,武学奇术!$A:$ZZ,17,FALSE)+SUM(_xlfn.XLOOKUP(S28:AG28,增益!$A:$A,增益!$Q:$Q,0)))+$B$11+SUM(_xlfn.XLOOKUP(S28:AG28,增益!$A:$A,增益!$U:$U,0)))*IF(VLOOKUP($R28,武学奇术!$A:$ZZ,24,FALSE)=1,0,1)</f>
        <v>0.846</v>
      </c>
      <c r="BL28" s="26" cm="1">
        <f t="array" ref="BL28">1+$B$13+VLOOKUP($R28,武学奇术!$A:$ZZ,18,FALSE)+SUM(_xlfn.XLOOKUP(S28:AG28,增益!$A:$A,增益!$R:$R,0))</f>
        <v>2.01</v>
      </c>
      <c r="BM28" s="26" cm="1">
        <f t="array" ref="BM28">IF(VLOOKUP($R28,武学奇术!$A:$ZZ,24,FALSE)=1,100%,MIN(40%,$B$10+VLOOKUP($R28,武学奇术!$A:$ZZ,19,FALSE)+SUM(_xlfn.XLOOKUP(S28:AG28,增益!$A:$A,增益!$S:$S,0)))+$B$12+SUM(_xlfn.XLOOKUP(S28:AG28,增益!$A:$A,增益!$V:$V,0)))*IF(VLOOKUP($R28,武学奇术!$A:$ZZ,23,FALSE)=1,0,1)</f>
        <v>0.0929</v>
      </c>
      <c r="BN28" s="26" cm="1">
        <f t="array" ref="BN28">1+$B$14+VLOOKUP($R28,武学奇术!$A:$ZZ,20,FALSE)+SUM(_xlfn.XLOOKUP(S28:AG28,增益!$A:$A,增益!$T:$T,0))</f>
        <v>1.35</v>
      </c>
      <c r="BO28" s="26">
        <f t="shared" si="9"/>
        <v>0.829926</v>
      </c>
      <c r="BP28" s="26">
        <f t="shared" si="10"/>
        <v>0.0599391</v>
      </c>
      <c r="BQ28" s="26">
        <f>IF(VLOOKUP($R28,武学奇术!$A:$ZZ,22,FALSE)=1,0,(1-$BJ28))*(1-$BM28)</f>
        <v>0.0172349</v>
      </c>
      <c r="BR28" s="26" cm="1">
        <f t="array" ref="BR28">SUM(_xlfn.XLOOKUP(S28:AG28,增益!$A:$A,增益!$W:$W,0))+$I$5</f>
        <v>0.11</v>
      </c>
    </row>
    <row r="29" spans="1:70">
      <c r="A29" s="4"/>
      <c r="B29" s="87"/>
      <c r="K29">
        <f>$L29*VLOOKUP($R29,武学奇术!$A:$ZZ,31,FALSE)</f>
        <v>93016.6016114668</v>
      </c>
      <c r="L29" s="38">
        <f t="shared" si="0"/>
        <v>88587.2396299684</v>
      </c>
      <c r="M29" s="38">
        <f>((($AO29+$AP29)/2*$AI29+$AJ29)*(1+$AQ29)*(1+$AR29)+(($AT29+$AU29)/2*IF($G$1="鸣金",$AK29,$AI29)+IF($G$1="鸣金",$AL29*1.5,0))*(1+$AV29)*(1+$AW29)+(($AX29+$AY29)/2*IF($G$1="裂石",$AK29,$AI29)+IF($G$1="裂石",$AL29*1.5,0))*(1+$AZ29)*(1+$BA29)+(($BB29+$BC29)/2*IF($G$1="牵丝",$AK29,$AI29)+IF($G$1="牵丝",$AL29*1.5,0))*(1+$BD29)*(1+$BE29)+(($BF29+$BG29)/2*IF($G$1="破竹",$AK29,$AI29)+IF($G$1="破竹",$AL29*1.5,0))*(1+$BH29)*(1+$BI29))*(1+$AM29)*$BL29*$Q29*(1+IF(VLOOKUP($R29,武学奇术!$A:$ZZ,30,FALSE)="回旋伞",$B$21,0))*(1+$BR29)</f>
        <v>88587.2396299684</v>
      </c>
      <c r="N29" s="38">
        <f>(($AP29*$AI29+$AJ29)*(1+$AQ29)*(1+$AR29)+($AU29*IF($G$1="鸣金",$AK29,$AI29)+IF($G$1="鸣金",$AL29*1.5,0))*(1+$AV29)*(1+$AW29)+($AY29*IF($G$1="裂石",$AK29,$AI29)+IF($G$1="裂石",$AL29*1.5,0))*(1+$AZ29)*(1+$BA29)+($BC29*IF($G$1="牵丝",$AK29,$AI29)+IF($G$1="牵丝",$AL29*1.5,0))*(1+$BD29)*(1+$BE29)+($BG29*IF($G$1="破竹",$AK29,$AI29)+IF($G$1="破竹",$AL29*1.5,0))*(1+$BH29)*(1+$BI29))*(1+$AM29)*$BN29*$Q29*(1+IF(VLOOKUP($R29,武学奇术!$A:$ZZ,30,FALSE)="回旋伞",$B$21,0))*(1+$BR29)</f>
        <v>66605.6239265859</v>
      </c>
      <c r="O29" s="38">
        <f>((($AO29+$AP29)/2*$AI29+$AJ29)*(1+$AQ29)*(1+$AR29)+(($AT29+$AU29)/2*IF($G$1="鸣金",$AK29,$AI29)+IF($G$1="鸣金",$AL29*1.5,0))*(1+$AV29)*(1+$AW29)+(($AX29+$AY29)/2*IF($G$1="裂石",$AK29,$AI29)+IF($G$1="裂石",$AL29*1.5,0))*(1+$AZ29)*(1+$BA29)+(($BB29+$BC29)/2*IF($G$1="牵丝",$AK29,$AI29)+IF($G$1="牵丝",$AL29*1.5,0))*(1+$BD29)*(1+$BE29)+(($BF29+$BG29)/2*IF($G$1="破竹",$AK29,$AI29)+IF($G$1="破竹",$AL29*1.5,0))*(1+$BH29)*(1+$BI29))*(1+$AM29)*$Q29*(1+IF(VLOOKUP($R29,武学奇术!$A:$ZZ,30,FALSE)="回旋伞",$B$21,0))*(1+$BR29)</f>
        <v>44073.253547248</v>
      </c>
      <c r="P29" s="38">
        <f>((($AO29*$AI29+$AJ29)*(1+$AQ29)*(1+$AR29)+($AT29*IF($G$1="鸣金",$AK29,$AI29)+IF($G$1="鸣金",$AL29*1.5,0))*(1+$AV29)*(1+$AW29)+($AX29*IF($G$1="裂石",$AK29,$AI29)+IF($G$1="裂石",$AL29*1.5,0))*(1+$AZ29)*(1+$BA29)+($BB29*IF($G$1="牵丝",$AK29,$AI29)+IF($G$1="牵丝",$AL29*1.5,0))*(1+$BD29)*(1+$BE29)+($BF29*IF($G$1="破竹",$AK29,$AI29)+IF($G$1="破竹",$AL29*1.5,0))*(1+$BH29)*(1+$BI29))*(1+$AM29))*$Q29*(1+IF(VLOOKUP($R29,武学奇术!$A:$ZZ,30,FALSE)="回旋伞",$B$21,0))*(1+$BR29)</f>
        <v>38809.0078896175</v>
      </c>
      <c r="Q29" s="39">
        <v>1</v>
      </c>
      <c r="R29" s="40" t="s">
        <v>125</v>
      </c>
      <c r="S29" s="40" t="s">
        <v>109</v>
      </c>
      <c r="T29" s="40" t="s">
        <v>95</v>
      </c>
      <c r="U29" s="40" t="s">
        <v>73</v>
      </c>
      <c r="V29" s="40" t="s">
        <v>81</v>
      </c>
      <c r="W29" s="40" t="s">
        <v>152</v>
      </c>
      <c r="X29" s="40" t="s">
        <v>99</v>
      </c>
      <c r="Y29" s="40" t="s">
        <v>72</v>
      </c>
      <c r="Z29" s="40" t="s">
        <v>72</v>
      </c>
      <c r="AA29" s="40" t="s">
        <v>72</v>
      </c>
      <c r="AB29" s="40" t="s">
        <v>126</v>
      </c>
      <c r="AC29" s="40" t="s">
        <v>72</v>
      </c>
      <c r="AD29" s="40" t="s">
        <v>72</v>
      </c>
      <c r="AE29" s="40" t="s">
        <v>72</v>
      </c>
      <c r="AF29" s="40" t="s">
        <v>72</v>
      </c>
      <c r="AG29" s="40" t="s">
        <v>78</v>
      </c>
      <c r="AH29" t="str">
        <f>VLOOKUP($R29,武学奇术!$A:$ZZ,25,FALSE)</f>
        <v>伞</v>
      </c>
      <c r="AI29" s="26">
        <f>VLOOKUP($R29,武学奇术!$A:$ZZ,26,FALSE)</f>
        <v>1.8084</v>
      </c>
      <c r="AJ29" s="27">
        <f>VLOOKUP($R29,武学奇术!$A:$ZZ,27,FALSE)*(1+IF(OR($AH29=$F$4,$AH29=$F$5),$B$22,0))</f>
        <v>750</v>
      </c>
      <c r="AK29" s="26">
        <f>VLOOKUP($R29,武学奇术!$A:$ZZ,28,FALSE)</f>
        <v>2.7126</v>
      </c>
      <c r="AL29" s="27">
        <f>VLOOKUP($R29,武学奇术!$A:$ZZ,29,FALSE)*(1+IF(OR($AH29=$F$4,$AH29=$F$5),$B$22,0))</f>
        <v>408</v>
      </c>
      <c r="AM29" s="26" cm="1">
        <f t="array" ref="AM29">$G$3+IFERROR(VLOOKUP($AH29,$F$4:$G$7,2,FALSE),0)+VLOOKUP($R29,武学奇术!$A:$ZZ,2,FALSE)+SUM(_xlfn.XLOOKUP($S29:$AG29,增益!$A:$A,增益!$B:$B,0))</f>
        <v>0.9741</v>
      </c>
      <c r="AN29" s="26" cm="1">
        <f t="array" ref="AN29">VLOOKUP($R29,武学奇术!$A:$ZZ,5,FALSE)+SUM(_xlfn.XLOOKUP($S29:$AG29,增益!$A:$A,增益!$E:$E,0))</f>
        <v>0</v>
      </c>
      <c r="AO29" cm="1">
        <f t="array" ref="AO29">$D$10*(1+$AN29)+VLOOKUP($R29,武学奇术!$A:$ZZ,3,FALSE)+SUM(_xlfn.XLOOKUP($S29:$AG29,增益!$A:$A,增益!$C:$C,0))-$I$2</f>
        <v>3562.6</v>
      </c>
      <c r="AP29" cm="1">
        <f t="array" ref="AP29">$E$10*(1+$AN29)+VLOOKUP($R29,武学奇术!$A:$ZZ,4,FALSE)+SUM(_xlfn.XLOOKUP($S29:$AG29,增益!$A:$A,增益!$D:$D,0))-$I$2</f>
        <v>3562.6</v>
      </c>
      <c r="AQ29" s="32" cm="1">
        <f t="array" ref="AQ29">IF($F$10-$I$3+VLOOKUP($R29,武学奇术!$A:$ZZ,6,FALSE)+SUM(_xlfn.XLOOKUP(S29:AG29,增益!$A:$A,增益!$F:$F,0))&gt;0,($F$10-$I$3+VLOOKUP($R29,武学奇术!$A:$ZZ,6,FALSE)+SUM(_xlfn.XLOOKUP(S29:AG29,增益!$A:$A,增益!$F:$F,0)))/200,($F$10-$I$3+VLOOKUP($R29,武学奇术!$A:$ZZ,6,FALSE)+SUM(_xlfn.XLOOKUP(S29:AG29,增益!$A:$A,增益!$F:$F,0)))/100)</f>
        <v>0.2925</v>
      </c>
      <c r="AR29" s="32" cm="1">
        <f t="array" ref="AR29">$G$10+VLOOKUP($R29,武学奇术!$A:$ZZ,7,FALSE)+SUM(_xlfn.XLOOKUP(S29:AG29,增益!$A:$A,增益!$G:$G,0))</f>
        <v>0.148</v>
      </c>
      <c r="AS29" s="26" cm="1">
        <f t="array" ref="AS29">VLOOKUP($R29,武学奇术!$A:$ZZ,8,FALSE)+SUM(_xlfn.XLOOKUP(S29:AG29,增益!$A:$A,增益!$H:$H,0))</f>
        <v>0</v>
      </c>
      <c r="AT29">
        <f t="shared" si="1"/>
        <v>0</v>
      </c>
      <c r="AU29">
        <f t="shared" si="2"/>
        <v>0</v>
      </c>
      <c r="AV29" s="32" cm="1">
        <f t="array" ref="AV29">IF($F$11-$I$4+VLOOKUP($R29,武学奇术!$A:$ZZ,9,FALSE)+SUM(_xlfn.XLOOKUP(S29:AG29,增益!$A:$A,增益!$I:$I,0))&gt;0,($F$11-$I$4+VLOOKUP($R29,武学奇术!$A:$ZZ,9,FALSE)+SUM(_xlfn.XLOOKUP(S29:AG29,增益!$A:$A,增益!$I:$I,0)))/200,($F$11-$I$4+VLOOKUP($R29,武学奇术!$A:$ZZ,9,FALSE)+SUM(_xlfn.XLOOKUP(S29:AG29,增益!$A:$A,增益!$I:$I,0)))/100)</f>
        <v>-0.3</v>
      </c>
      <c r="AW29" s="32" cm="1">
        <f t="array" ref="AW29">$G$11+VLOOKUP($R29,武学奇术!$A:$ZZ,10,FALSE)+SUM(_xlfn.XLOOKUP(S29:AG29,增益!$A:$A,增益!$J:$J,0))</f>
        <v>0</v>
      </c>
      <c r="AX29">
        <f t="shared" si="3"/>
        <v>0</v>
      </c>
      <c r="AY29">
        <f t="shared" si="4"/>
        <v>0</v>
      </c>
      <c r="AZ29" s="32" cm="1">
        <f t="array" ref="AZ29">IF($F$12-$I$4+VLOOKUP($R29,武学奇术!$A:$ZZ,11,FALSE)+SUM(_xlfn.XLOOKUP(S29:AG29,增益!$A:$A,增益!$K:$K,0))&gt;0,($F$12-$I$4+VLOOKUP($R29,武学奇术!$A:$ZZ,11,FALSE)+SUM(_xlfn.XLOOKUP(S29:AG29,增益!$A:$A,增益!$K:$K,0)))/200,($F$12-$I$4+VLOOKUP($R29,武学奇术!$A:$ZZ,11,FALSE)+SUM(_xlfn.XLOOKUP(S29:AG29,增益!$A:$A,增益!$K:$K,0)))/100)</f>
        <v>-0.3</v>
      </c>
      <c r="BA29" s="32" cm="1">
        <f t="array" ref="BA29">$G$12+VLOOKUP($R29,武学奇术!$A:$ZZ,12,FALSE)+SUM(_xlfn.XLOOKUP(S29:AG29,增益!$A:$A,增益!$L:$L,0))</f>
        <v>0</v>
      </c>
      <c r="BB29">
        <f t="shared" si="5"/>
        <v>0</v>
      </c>
      <c r="BC29">
        <f t="shared" si="6"/>
        <v>0</v>
      </c>
      <c r="BD29" s="32" cm="1">
        <f t="array" ref="BD29">IF($F$13-$I$4+VLOOKUP($R29,武学奇术!$A:$ZZ,13,FALSE)+SUM(_xlfn.XLOOKUP(S29:AG29,增益!$A:$A,增益!$M:$M,0))&gt;0,($F$13-$I$4+VLOOKUP($R29,武学奇术!$A:$ZZ,13,FALSE)+SUM(_xlfn.XLOOKUP(S29:AG29,增益!$A:$A,增益!$K:$K,0)))/200,($F$13-$I$4+VLOOKUP($R29,武学奇术!$A:$ZZ,13,FALSE)+SUM(_xlfn.XLOOKUP(S29:AG29,增益!$A:$A,增益!$M:$M,0)))/100)</f>
        <v>-0.3</v>
      </c>
      <c r="BE29" s="32" cm="1">
        <f t="array" ref="BE29">$G$13+VLOOKUP($R29,武学奇术!$A:$ZZ,14,FALSE)+SUM(_xlfn.XLOOKUP(S29:AG29,增益!$A:$A,增益!$N:$N,0))</f>
        <v>0</v>
      </c>
      <c r="BF29">
        <f t="shared" si="7"/>
        <v>571.2</v>
      </c>
      <c r="BG29">
        <f t="shared" si="8"/>
        <v>1627.8</v>
      </c>
      <c r="BH29" s="32" cm="1">
        <f t="array" ref="BH29">IF($F$14-$I$4+VLOOKUP($R29,武学奇术!$A:$ZZ,15,FALSE)+SUM(_xlfn.XLOOKUP(S29:AG29,增益!$A:$A,增益!$O:$O,0))&gt;0,($F$14-$I$4+VLOOKUP($R29,武学奇术!$A:$ZZ,15,FALSE)+SUM(_xlfn.XLOOKUP(S29:AG29,增益!$A:$A,增益!$O:$O,0)))/200,($F$14-$I$4+VLOOKUP($R29,武学奇术!$A:$ZZ,15,FALSE)+SUM(_xlfn.XLOOKUP(S29:AG29,增益!$A:$A,增益!$O:$O,0)))/100)</f>
        <v>0</v>
      </c>
      <c r="BI29" s="32" cm="1">
        <f t="array" ref="BI29">$G$14+VLOOKUP($R29,武学奇术!$A:$ZZ,16,FALSE)+SUM(_xlfn.XLOOKUP(S29:AG29,增益!$A:$A,增益!$P:$P,0))</f>
        <v>0.27</v>
      </c>
      <c r="BJ29" s="26">
        <f>MIN(IF(VLOOKUP($R29,武学奇术!$A:$ZZ,23,FALSE)=1,100%,$B$8),100%)</f>
        <v>1</v>
      </c>
      <c r="BK29" s="26" cm="1">
        <f t="array" ref="BK29">IF(VLOOKUP($R29,武学奇术!$A:$ZZ,23,FALSE)=1,100%,MIN(80%,$B$9+VLOOKUP($R29,武学奇术!$A:$ZZ,17,FALSE)+SUM(_xlfn.XLOOKUP(S29:AG29,增益!$A:$A,增益!$Q:$Q,0)))+$B$11+SUM(_xlfn.XLOOKUP(S29:AG29,增益!$A:$A,增益!$U:$U,0)))*IF(VLOOKUP($R29,武学奇术!$A:$ZZ,24,FALSE)=1,0,1)</f>
        <v>1</v>
      </c>
      <c r="BL29" s="26" cm="1">
        <f t="array" ref="BL29">1+$B$13+VLOOKUP($R29,武学奇术!$A:$ZZ,18,FALSE)+SUM(_xlfn.XLOOKUP(S29:AG29,增益!$A:$A,增益!$R:$R,0))</f>
        <v>2.01</v>
      </c>
      <c r="BM29" s="26" cm="1">
        <f t="array" ref="BM29">IF(VLOOKUP($R29,武学奇术!$A:$ZZ,24,FALSE)=1,100%,MIN(40%,$B$10+VLOOKUP($R29,武学奇术!$A:$ZZ,19,FALSE)+SUM(_xlfn.XLOOKUP(S29:AG29,增益!$A:$A,增益!$S:$S,0)))+$B$12+SUM(_xlfn.XLOOKUP(S29:AG29,增益!$A:$A,增益!$V:$V,0)))*IF(VLOOKUP($R29,武学奇术!$A:$ZZ,23,FALSE)=1,0,1)</f>
        <v>0</v>
      </c>
      <c r="BN29" s="26" cm="1">
        <f t="array" ref="BN29">1+$B$14+VLOOKUP($R29,武学奇术!$A:$ZZ,20,FALSE)+SUM(_xlfn.XLOOKUP(S29:AG29,增益!$A:$A,增益!$T:$T,0))</f>
        <v>1.35</v>
      </c>
      <c r="BO29" s="26">
        <f t="shared" si="9"/>
        <v>1</v>
      </c>
      <c r="BP29" s="26">
        <f t="shared" si="10"/>
        <v>0</v>
      </c>
      <c r="BQ29" s="26">
        <f>IF(VLOOKUP($R29,武学奇术!$A:$ZZ,22,FALSE)=1,0,(1-$BJ29))*(1-$BM29)</f>
        <v>0</v>
      </c>
      <c r="BR29" s="26" cm="1">
        <f t="array" ref="BR29">SUM(_xlfn.XLOOKUP(S29:AG29,增益!$A:$A,增益!$W:$W,0))+$I$5</f>
        <v>0.11</v>
      </c>
    </row>
    <row r="30" spans="1:70">
      <c r="A30" s="4"/>
      <c r="B30" s="87"/>
      <c r="K30">
        <f>$L30*VLOOKUP($R30,武学奇术!$A:$ZZ,31,FALSE)</f>
        <v>26794.9507601898</v>
      </c>
      <c r="L30" s="38">
        <f t="shared" si="0"/>
        <v>25519.0007239903</v>
      </c>
      <c r="M30" s="38">
        <f>((($AO30+$AP30)/2*$AI30+$AJ30)*(1+$AQ30)*(1+$AR30)+(($AT30+$AU30)/2*IF($G$1="鸣金",$AK30,$AI30)+IF($G$1="鸣金",$AL30*1.5,0))*(1+$AV30)*(1+$AW30)+(($AX30+$AY30)/2*IF($G$1="裂石",$AK30,$AI30)+IF($G$1="裂石",$AL30*1.5,0))*(1+$AZ30)*(1+$BA30)+(($BB30+$BC30)/2*IF($G$1="牵丝",$AK30,$AI30)+IF($G$1="牵丝",$AL30*1.5,0))*(1+$BD30)*(1+$BE30)+(($BF30+$BG30)/2*IF($G$1="破竹",$AK30,$AI30)+IF($G$1="破竹",$AL30*1.5,0))*(1+$BH30)*(1+$BI30))*(1+$AM30)*$BL30*$Q30*(1+IF(VLOOKUP($R30,武学奇术!$A:$ZZ,30,FALSE)="回旋伞",$B$21,0))*(1+$BR30)</f>
        <v>25519.0007239903</v>
      </c>
      <c r="N30" s="38">
        <f>(($AP30*$AI30+$AJ30)*(1+$AQ30)*(1+$AR30)+($AU30*IF($G$1="鸣金",$AK30,$AI30)+IF($G$1="鸣金",$AL30*1.5,0))*(1+$AV30)*(1+$AW30)+($AY30*IF($G$1="裂石",$AK30,$AI30)+IF($G$1="裂石",$AL30*1.5,0))*(1+$AZ30)*(1+$BA30)+($BC30*IF($G$1="牵丝",$AK30,$AI30)+IF($G$1="牵丝",$AL30*1.5,0))*(1+$BD30)*(1+$BE30)+($BG30*IF($G$1="破竹",$AK30,$AI30)+IF($G$1="破竹",$AL30*1.5,0))*(1+$BH30)*(1+$BI30))*(1+$AM30)*$BN30*$Q30*(1+IF(VLOOKUP($R30,武学奇术!$A:$ZZ,30,FALSE)="回旋伞",$B$21,0))*(1+$BR30)</f>
        <v>19476.7394580828</v>
      </c>
      <c r="O30" s="38">
        <f>((($AO30+$AP30)/2*$AI30+$AJ30)*(1+$AQ30)*(1+$AR30)+(($AT30+$AU30)/2*IF($G$1="鸣金",$AK30,$AI30)+IF($G$1="鸣金",$AL30*1.5,0))*(1+$AV30)*(1+$AW30)+(($AX30+$AY30)/2*IF($G$1="裂石",$AK30,$AI30)+IF($G$1="裂石",$AL30*1.5,0))*(1+$AZ30)*(1+$BA30)+(($BB30+$BC30)/2*IF($G$1="牵丝",$AK30,$AI30)+IF($G$1="牵丝",$AL30*1.5,0))*(1+$BD30)*(1+$BE30)+(($BF30+$BG30)/2*IF($G$1="破竹",$AK30,$AI30)+IF($G$1="破竹",$AL30*1.5,0))*(1+$BH30)*(1+$BI30))*(1+$AM30)*$Q30*(1+IF(VLOOKUP($R30,武学奇术!$A:$ZZ,30,FALSE)="回旋伞",$B$21,0))*(1+$BR30)</f>
        <v>12696.0202606917</v>
      </c>
      <c r="P30" s="38">
        <f>((($AO30*$AI30+$AJ30)*(1+$AQ30)*(1+$AR30)+($AT30*IF($G$1="鸣金",$AK30,$AI30)+IF($G$1="鸣金",$AL30*1.5,0))*(1+$AV30)*(1+$AW30)+($AX30*IF($G$1="裂石",$AK30,$AI30)+IF($G$1="裂石",$AL30*1.5,0))*(1+$AZ30)*(1+$BA30)+($BB30*IF($G$1="牵丝",$AK30,$AI30)+IF($G$1="牵丝",$AL30*1.5,0))*(1+$BD30)*(1+$BE30)+($BF30*IF($G$1="破竹",$AK30,$AI30)+IF($G$1="破竹",$AL30*1.5,0))*(1+$BH30)*(1+$BI30))*(1+$AM30))*$Q30*(1+IF(VLOOKUP($R30,武学奇术!$A:$ZZ,30,FALSE)="回旋伞",$B$21,0))*(1+$BR30)</f>
        <v>10964.8261079887</v>
      </c>
      <c r="Q30" s="39">
        <v>1</v>
      </c>
      <c r="R30" s="40" t="s">
        <v>132</v>
      </c>
      <c r="S30" s="40" t="s">
        <v>109</v>
      </c>
      <c r="T30" s="40" t="s">
        <v>95</v>
      </c>
      <c r="U30" s="40" t="s">
        <v>73</v>
      </c>
      <c r="V30" s="40" t="s">
        <v>81</v>
      </c>
      <c r="W30" s="40" t="s">
        <v>152</v>
      </c>
      <c r="X30" s="40" t="s">
        <v>99</v>
      </c>
      <c r="Y30" s="40" t="s">
        <v>72</v>
      </c>
      <c r="Z30" s="40" t="s">
        <v>72</v>
      </c>
      <c r="AA30" s="40" t="s">
        <v>72</v>
      </c>
      <c r="AB30" s="40" t="s">
        <v>126</v>
      </c>
      <c r="AC30" s="40" t="s">
        <v>72</v>
      </c>
      <c r="AD30" s="40" t="s">
        <v>72</v>
      </c>
      <c r="AE30" s="40" t="s">
        <v>72</v>
      </c>
      <c r="AF30" s="40" t="s">
        <v>72</v>
      </c>
      <c r="AG30" s="40" t="s">
        <v>78</v>
      </c>
      <c r="AH30" t="str">
        <f>VLOOKUP($R30,武学奇术!$A:$ZZ,25,FALSE)</f>
        <v>伞</v>
      </c>
      <c r="AI30" s="26">
        <f>VLOOKUP($R30,武学奇术!$A:$ZZ,26,FALSE)</f>
        <v>0.54</v>
      </c>
      <c r="AJ30" s="27">
        <f>VLOOKUP($R30,武学奇术!$A:$ZZ,27,FALSE)*(1+IF(OR($AH30=$F$4,$AH30=$F$5),$B$22,0))</f>
        <v>0</v>
      </c>
      <c r="AK30" s="26">
        <f>VLOOKUP($R30,武学奇术!$A:$ZZ,28,FALSE)</f>
        <v>0.81</v>
      </c>
      <c r="AL30" s="27">
        <f>VLOOKUP($R30,武学奇术!$A:$ZZ,29,FALSE)*(1+IF(OR($AH30=$F$4,$AH30=$F$5),$B$22,0))</f>
        <v>0</v>
      </c>
      <c r="AM30" s="26" cm="1">
        <f t="array" ref="AM30">$G$3+IFERROR(VLOOKUP($AH30,$F$4:$G$7,2,FALSE),0)+VLOOKUP($R30,武学奇术!$A:$ZZ,2,FALSE)+SUM(_xlfn.XLOOKUP($S30:$AG30,增益!$A:$A,增益!$B:$B,0))</f>
        <v>1.1741</v>
      </c>
      <c r="AN30" s="26" cm="1">
        <f t="array" ref="AN30">VLOOKUP($R30,武学奇术!$A:$ZZ,5,FALSE)+SUM(_xlfn.XLOOKUP($S30:$AG30,增益!$A:$A,增益!$E:$E,0))</f>
        <v>0</v>
      </c>
      <c r="AO30" cm="1">
        <f t="array" ref="AO30">$D$10*(1+$AN30)+VLOOKUP($R30,武学奇术!$A:$ZZ,3,FALSE)+SUM(_xlfn.XLOOKUP($S30:$AG30,增益!$A:$A,增益!$C:$C,0))-$I$2</f>
        <v>3562.6</v>
      </c>
      <c r="AP30" cm="1">
        <f t="array" ref="AP30">$E$10*(1+$AN30)+VLOOKUP($R30,武学奇术!$A:$ZZ,4,FALSE)+SUM(_xlfn.XLOOKUP($S30:$AG30,增益!$A:$A,增益!$D:$D,0))-$I$2</f>
        <v>3562.6</v>
      </c>
      <c r="AQ30" s="32" cm="1">
        <f t="array" ref="AQ30">IF($F$10-$I$3+VLOOKUP($R30,武学奇术!$A:$ZZ,6,FALSE)+SUM(_xlfn.XLOOKUP(S30:AG30,增益!$A:$A,增益!$F:$F,0))&gt;0,($F$10-$I$3+VLOOKUP($R30,武学奇术!$A:$ZZ,6,FALSE)+SUM(_xlfn.XLOOKUP(S30:AG30,增益!$A:$A,增益!$F:$F,0)))/200,($F$10-$I$3+VLOOKUP($R30,武学奇术!$A:$ZZ,6,FALSE)+SUM(_xlfn.XLOOKUP(S30:AG30,增益!$A:$A,增益!$F:$F,0)))/100)</f>
        <v>0.2925</v>
      </c>
      <c r="AR30" s="32" cm="1">
        <f t="array" ref="AR30">$G$10+VLOOKUP($R30,武学奇术!$A:$ZZ,7,FALSE)+SUM(_xlfn.XLOOKUP(S30:AG30,增益!$A:$A,增益!$G:$G,0))</f>
        <v>0.148</v>
      </c>
      <c r="AS30" s="26" cm="1">
        <f t="array" ref="AS30">VLOOKUP($R30,武学奇术!$A:$ZZ,8,FALSE)+SUM(_xlfn.XLOOKUP(S30:AG30,增益!$A:$A,增益!$H:$H,0))</f>
        <v>0</v>
      </c>
      <c r="AT30">
        <f t="shared" si="1"/>
        <v>0</v>
      </c>
      <c r="AU30">
        <f t="shared" si="2"/>
        <v>0</v>
      </c>
      <c r="AV30" s="32" cm="1">
        <f t="array" ref="AV30">IF($F$11-$I$4+VLOOKUP($R30,武学奇术!$A:$ZZ,9,FALSE)+SUM(_xlfn.XLOOKUP(S30:AG30,增益!$A:$A,增益!$I:$I,0))&gt;0,($F$11-$I$4+VLOOKUP($R30,武学奇术!$A:$ZZ,9,FALSE)+SUM(_xlfn.XLOOKUP(S30:AG30,增益!$A:$A,增益!$I:$I,0)))/200,($F$11-$I$4+VLOOKUP($R30,武学奇术!$A:$ZZ,9,FALSE)+SUM(_xlfn.XLOOKUP(S30:AG30,增益!$A:$A,增益!$I:$I,0)))/100)</f>
        <v>-0.3</v>
      </c>
      <c r="AW30" s="32" cm="1">
        <f t="array" ref="AW30">$G$11+VLOOKUP($R30,武学奇术!$A:$ZZ,10,FALSE)+SUM(_xlfn.XLOOKUP(S30:AG30,增益!$A:$A,增益!$J:$J,0))</f>
        <v>0</v>
      </c>
      <c r="AX30">
        <f t="shared" si="3"/>
        <v>0</v>
      </c>
      <c r="AY30">
        <f t="shared" si="4"/>
        <v>0</v>
      </c>
      <c r="AZ30" s="32" cm="1">
        <f t="array" ref="AZ30">IF($F$12-$I$4+VLOOKUP($R30,武学奇术!$A:$ZZ,11,FALSE)+SUM(_xlfn.XLOOKUP(S30:AG30,增益!$A:$A,增益!$K:$K,0))&gt;0,($F$12-$I$4+VLOOKUP($R30,武学奇术!$A:$ZZ,11,FALSE)+SUM(_xlfn.XLOOKUP(S30:AG30,增益!$A:$A,增益!$K:$K,0)))/200,($F$12-$I$4+VLOOKUP($R30,武学奇术!$A:$ZZ,11,FALSE)+SUM(_xlfn.XLOOKUP(S30:AG30,增益!$A:$A,增益!$K:$K,0)))/100)</f>
        <v>-0.3</v>
      </c>
      <c r="BA30" s="32" cm="1">
        <f t="array" ref="BA30">$G$12+VLOOKUP($R30,武学奇术!$A:$ZZ,12,FALSE)+SUM(_xlfn.XLOOKUP(S30:AG30,增益!$A:$A,增益!$L:$L,0))</f>
        <v>0</v>
      </c>
      <c r="BB30">
        <f t="shared" si="5"/>
        <v>0</v>
      </c>
      <c r="BC30">
        <f t="shared" si="6"/>
        <v>0</v>
      </c>
      <c r="BD30" s="32" cm="1">
        <f t="array" ref="BD30">IF($F$13-$I$4+VLOOKUP($R30,武学奇术!$A:$ZZ,13,FALSE)+SUM(_xlfn.XLOOKUP(S30:AG30,增益!$A:$A,增益!$M:$M,0))&gt;0,($F$13-$I$4+VLOOKUP($R30,武学奇术!$A:$ZZ,13,FALSE)+SUM(_xlfn.XLOOKUP(S30:AG30,增益!$A:$A,增益!$K:$K,0)))/200,($F$13-$I$4+VLOOKUP($R30,武学奇术!$A:$ZZ,13,FALSE)+SUM(_xlfn.XLOOKUP(S30:AG30,增益!$A:$A,增益!$M:$M,0)))/100)</f>
        <v>-0.3</v>
      </c>
      <c r="BE30" s="32" cm="1">
        <f t="array" ref="BE30">$G$13+VLOOKUP($R30,武学奇术!$A:$ZZ,14,FALSE)+SUM(_xlfn.XLOOKUP(S30:AG30,增益!$A:$A,增益!$N:$N,0))</f>
        <v>0</v>
      </c>
      <c r="BF30">
        <f t="shared" si="7"/>
        <v>571.2</v>
      </c>
      <c r="BG30">
        <f t="shared" si="8"/>
        <v>1627.8</v>
      </c>
      <c r="BH30" s="32" cm="1">
        <f t="array" ref="BH30">IF($F$14-$I$4+VLOOKUP($R30,武学奇术!$A:$ZZ,15,FALSE)+SUM(_xlfn.XLOOKUP(S30:AG30,增益!$A:$A,增益!$O:$O,0))&gt;0,($F$14-$I$4+VLOOKUP($R30,武学奇术!$A:$ZZ,15,FALSE)+SUM(_xlfn.XLOOKUP(S30:AG30,增益!$A:$A,增益!$O:$O,0)))/200,($F$14-$I$4+VLOOKUP($R30,武学奇术!$A:$ZZ,15,FALSE)+SUM(_xlfn.XLOOKUP(S30:AG30,增益!$A:$A,增益!$O:$O,0)))/100)</f>
        <v>0</v>
      </c>
      <c r="BI30" s="32" cm="1">
        <f t="array" ref="BI30">$G$14+VLOOKUP($R30,武学奇术!$A:$ZZ,16,FALSE)+SUM(_xlfn.XLOOKUP(S30:AG30,增益!$A:$A,增益!$P:$P,0))</f>
        <v>0.27</v>
      </c>
      <c r="BJ30" s="26">
        <f>MIN(IF(VLOOKUP($R30,武学奇术!$A:$ZZ,23,FALSE)=1,100%,$B$8),100%)</f>
        <v>1</v>
      </c>
      <c r="BK30" s="26" cm="1">
        <f t="array" ref="BK30">IF(VLOOKUP($R30,武学奇术!$A:$ZZ,23,FALSE)=1,100%,MIN(80%,$B$9+VLOOKUP($R30,武学奇术!$A:$ZZ,17,FALSE)+SUM(_xlfn.XLOOKUP(S30:AG30,增益!$A:$A,增益!$Q:$Q,0)))+$B$11+SUM(_xlfn.XLOOKUP(S30:AG30,增益!$A:$A,增益!$U:$U,0)))*IF(VLOOKUP($R30,武学奇术!$A:$ZZ,24,FALSE)=1,0,1)</f>
        <v>1</v>
      </c>
      <c r="BL30" s="26" cm="1">
        <f t="array" ref="BL30">1+$B$13+VLOOKUP($R30,武学奇术!$A:$ZZ,18,FALSE)+SUM(_xlfn.XLOOKUP(S30:AG30,增益!$A:$A,增益!$R:$R,0))</f>
        <v>2.01</v>
      </c>
      <c r="BM30" s="26" cm="1">
        <f t="array" ref="BM30">IF(VLOOKUP($R30,武学奇术!$A:$ZZ,24,FALSE)=1,100%,MIN(40%,$B$10+VLOOKUP($R30,武学奇术!$A:$ZZ,19,FALSE)+SUM(_xlfn.XLOOKUP(S30:AG30,增益!$A:$A,增益!$S:$S,0)))+$B$12+SUM(_xlfn.XLOOKUP(S30:AG30,增益!$A:$A,增益!$V:$V,0)))*IF(VLOOKUP($R30,武学奇术!$A:$ZZ,23,FALSE)=1,0,1)</f>
        <v>0</v>
      </c>
      <c r="BN30" s="26" cm="1">
        <f t="array" ref="BN30">1+$B$14+VLOOKUP($R30,武学奇术!$A:$ZZ,20,FALSE)+SUM(_xlfn.XLOOKUP(S30:AG30,增益!$A:$A,增益!$T:$T,0))</f>
        <v>1.35</v>
      </c>
      <c r="BO30" s="26">
        <f t="shared" si="9"/>
        <v>1</v>
      </c>
      <c r="BP30" s="26">
        <f t="shared" si="10"/>
        <v>0</v>
      </c>
      <c r="BQ30" s="26">
        <f>IF(VLOOKUP($R30,武学奇术!$A:$ZZ,22,FALSE)=1,0,(1-$BJ30))*(1-$BM30)</f>
        <v>0</v>
      </c>
      <c r="BR30" s="26" cm="1">
        <f t="array" ref="BR30">SUM(_xlfn.XLOOKUP(S30:AG30,增益!$A:$A,增益!$W:$W,0))+$I$5</f>
        <v>0.11</v>
      </c>
    </row>
    <row r="31" spans="1:70">
      <c r="A31" s="4"/>
      <c r="B31" s="4"/>
      <c r="K31">
        <f>$L31*VLOOKUP($R31,武学奇术!$A:$ZZ,31,FALSE)</f>
        <v>43174.0090133667</v>
      </c>
      <c r="L31" s="38">
        <f t="shared" si="0"/>
        <v>41118.103822254</v>
      </c>
      <c r="M31" s="38">
        <f>((($AO31+$AP31)/2*$AI31+$AJ31)*(1+$AQ31)*(1+$AR31)+(($AT31+$AU31)/2*IF($G$1="鸣金",$AK31,$AI31)+IF($G$1="鸣金",$AL31*1.5,0))*(1+$AV31)*(1+$AW31)+(($AX31+$AY31)/2*IF($G$1="裂石",$AK31,$AI31)+IF($G$1="裂石",$AL31*1.5,0))*(1+$AZ31)*(1+$BA31)+(($BB31+$BC31)/2*IF($G$1="牵丝",$AK31,$AI31)+IF($G$1="牵丝",$AL31*1.5,0))*(1+$BD31)*(1+$BE31)+(($BF31+$BG31)/2*IF($G$1="破竹",$AK31,$AI31)+IF($G$1="破竹",$AL31*1.5,0))*(1+$BH31)*(1+$BI31))*(1+$AM31)*$BL31*$Q31*(1+IF(VLOOKUP($R31,武学奇术!$A:$ZZ,30,FALSE)="回旋伞",$B$21,0))*(1+$BR31)</f>
        <v>43500.8138073517</v>
      </c>
      <c r="N31" s="38">
        <f>(($AP31*$AI31+$AJ31)*(1+$AQ31)*(1+$AR31)+($AU31*IF($G$1="鸣金",$AK31,$AI31)+IF($G$1="鸣金",$AL31*1.5,0))*(1+$AV31)*(1+$AW31)+($AY31*IF($G$1="裂石",$AK31,$AI31)+IF($G$1="裂石",$AL31*1.5,0))*(1+$AZ31)*(1+$BA31)+($BC31*IF($G$1="牵丝",$AK31,$AI31)+IF($G$1="牵丝",$AL31*1.5,0))*(1+$BD31)*(1+$BE31)+($BG31*IF($G$1="破竹",$AK31,$AI31)+IF($G$1="破竹",$AL31*1.5,0))*(1+$BH31)*(1+$BI31))*(1+$AM31)*$BN31*$Q31*(1+IF(VLOOKUP($R31,武学奇术!$A:$ZZ,30,FALSE)="回旋伞",$B$21,0))*(1+$BR31)</f>
        <v>35184.6198323255</v>
      </c>
      <c r="O31" s="38">
        <f>((($AO31+$AP31)/2*$AI31+$AJ31)*(1+$AQ31)*(1+$AR31)+(($AT31+$AU31)/2*IF($G$1="鸣金",$AK31,$AI31)+IF($G$1="鸣金",$AL31*1.5,0))*(1+$AV31)*(1+$AW31)+(($AX31+$AY31)/2*IF($G$1="裂石",$AK31,$AI31)+IF($G$1="裂石",$AL31*1.5,0))*(1+$AZ31)*(1+$BA31)+(($BB31+$BC31)/2*IF($G$1="牵丝",$AK31,$AI31)+IF($G$1="牵丝",$AL31*1.5,0))*(1+$BD31)*(1+$BE31)+(($BF31+$BG31)/2*IF($G$1="破竹",$AK31,$AI31)+IF($G$1="破竹",$AL31*1.5,0))*(1+$BH31)*(1+$BI31))*(1+$AM31)*$Q31*(1+IF(VLOOKUP($R31,武学奇术!$A:$ZZ,30,FALSE)="回旋伞",$B$21,0))*(1+$BR31)</f>
        <v>23262.4672766586</v>
      </c>
      <c r="P31" s="38">
        <f>((($AO31*$AI31+$AJ31)*(1+$AQ31)*(1+$AR31)+($AT31*IF($G$1="鸣金",$AK31,$AI31)+IF($G$1="鸣金",$AL31*1.5,0))*(1+$AV31)*(1+$AW31)+($AX31*IF($G$1="裂石",$AK31,$AI31)+IF($G$1="裂石",$AL31*1.5,0))*(1+$AZ31)*(1+$BA31)+($BB31*IF($G$1="牵丝",$AK31,$AI31)+IF($G$1="牵丝",$AL31*1.5,0))*(1+$BD31)*(1+$BE31)+($BF31*IF($G$1="破竹",$AK31,$AI31)+IF($G$1="破竹",$AL31*1.5,0))*(1+$BH31)*(1+$BI31))*(1+$AM31))*$Q31*(1+IF(VLOOKUP($R31,武学奇术!$A:$ZZ,30,FALSE)="回旋伞",$B$21,0))*(1+$BR31)</f>
        <v>20462.2531960392</v>
      </c>
      <c r="Q31" s="39">
        <v>1</v>
      </c>
      <c r="R31" s="40" t="s">
        <v>159</v>
      </c>
      <c r="S31" s="40" t="s">
        <v>72</v>
      </c>
      <c r="T31" s="40" t="s">
        <v>95</v>
      </c>
      <c r="U31" s="40" t="s">
        <v>73</v>
      </c>
      <c r="V31" s="40" t="s">
        <v>72</v>
      </c>
      <c r="W31" s="40" t="s">
        <v>160</v>
      </c>
      <c r="X31" s="40" t="s">
        <v>99</v>
      </c>
      <c r="Y31" s="40" t="s">
        <v>72</v>
      </c>
      <c r="Z31" s="40" t="s">
        <v>72</v>
      </c>
      <c r="AA31" s="40" t="s">
        <v>72</v>
      </c>
      <c r="AB31" s="40" t="s">
        <v>72</v>
      </c>
      <c r="AC31" s="40" t="s">
        <v>72</v>
      </c>
      <c r="AD31" s="40" t="s">
        <v>72</v>
      </c>
      <c r="AE31" s="40" t="s">
        <v>72</v>
      </c>
      <c r="AF31" s="40" t="s">
        <v>72</v>
      </c>
      <c r="AG31" s="40" t="s">
        <v>78</v>
      </c>
      <c r="AH31" t="str">
        <f>VLOOKUP($R31,武学奇术!$A:$ZZ,25,FALSE)</f>
        <v>伞</v>
      </c>
      <c r="AI31" s="26">
        <f>VLOOKUP($R31,武学奇术!$A:$ZZ,26,FALSE)</f>
        <v>2.01456</v>
      </c>
      <c r="AJ31" s="27">
        <f>VLOOKUP($R31,武学奇术!$A:$ZZ,27,FALSE)*(1+IF(OR($AH31=$F$4,$AH31=$F$5),$B$22,0))</f>
        <v>837</v>
      </c>
      <c r="AK31" s="26">
        <f>VLOOKUP($R31,武学奇术!$A:$ZZ,28,FALSE)</f>
        <v>3.02184</v>
      </c>
      <c r="AL31" s="27">
        <f>VLOOKUP($R31,武学奇术!$A:$ZZ,29,FALSE)*(1+IF(OR($AH31=$F$4,$AH31=$F$5),$B$22,0))</f>
        <v>453.6</v>
      </c>
      <c r="AM31" s="26" cm="1">
        <f t="array" ref="AM31">$G$3+IFERROR(VLOOKUP($AH31,$F$4:$G$7,2,FALSE),0)+VLOOKUP($R31,武学奇术!$A:$ZZ,2,FALSE)+SUM(_xlfn.XLOOKUP($S31:$AG31,增益!$A:$A,增益!$B:$B,0))</f>
        <v>0.3741</v>
      </c>
      <c r="AN31" s="26" cm="1">
        <f t="array" ref="AN31">VLOOKUP($R31,武学奇术!$A:$ZZ,5,FALSE)+SUM(_xlfn.XLOOKUP($S31:$AG31,增益!$A:$A,增益!$E:$E,0))</f>
        <v>0</v>
      </c>
      <c r="AO31" cm="1">
        <f t="array" ref="AO31">$D$10*(1+$AN31)+VLOOKUP($R31,武学奇术!$A:$ZZ,3,FALSE)+SUM(_xlfn.XLOOKUP($S31:$AG31,增益!$A:$A,增益!$C:$C,0))-$I$2</f>
        <v>3562.6</v>
      </c>
      <c r="AP31" cm="1">
        <f t="array" ref="AP31">$E$10*(1+$AN31)+VLOOKUP($R31,武学奇术!$A:$ZZ,4,FALSE)+SUM(_xlfn.XLOOKUP($S31:$AG31,增益!$A:$A,增益!$D:$D,0))-$I$2</f>
        <v>3562.6</v>
      </c>
      <c r="AQ31" s="32" cm="1">
        <f t="array" ref="AQ31">IF($F$10-$I$3+VLOOKUP($R31,武学奇术!$A:$ZZ,6,FALSE)+SUM(_xlfn.XLOOKUP(S31:AG31,增益!$A:$A,增益!$F:$F,0))&gt;0,($F$10-$I$3+VLOOKUP($R31,武学奇术!$A:$ZZ,6,FALSE)+SUM(_xlfn.XLOOKUP(S31:AG31,增益!$A:$A,增益!$F:$F,0)))/200,($F$10-$I$3+VLOOKUP($R31,武学奇术!$A:$ZZ,6,FALSE)+SUM(_xlfn.XLOOKUP(S31:AG31,增益!$A:$A,增益!$F:$F,0)))/100)</f>
        <v>0.2925</v>
      </c>
      <c r="AR31" s="32" cm="1">
        <f t="array" ref="AR31">$G$10+VLOOKUP($R31,武学奇术!$A:$ZZ,7,FALSE)+SUM(_xlfn.XLOOKUP(S31:AG31,增益!$A:$A,增益!$G:$G,0))</f>
        <v>0.028</v>
      </c>
      <c r="AS31" s="26" cm="1">
        <f t="array" ref="AS31">VLOOKUP($R31,武学奇术!$A:$ZZ,8,FALSE)+SUM(_xlfn.XLOOKUP(S31:AG31,增益!$A:$A,增益!$H:$H,0))</f>
        <v>0</v>
      </c>
      <c r="AT31">
        <f t="shared" si="1"/>
        <v>0</v>
      </c>
      <c r="AU31">
        <f t="shared" si="2"/>
        <v>0</v>
      </c>
      <c r="AV31" s="32" cm="1">
        <f t="array" ref="AV31">IF($F$11-$I$4+VLOOKUP($R31,武学奇术!$A:$ZZ,9,FALSE)+SUM(_xlfn.XLOOKUP(S31:AG31,增益!$A:$A,增益!$I:$I,0))&gt;0,($F$11-$I$4+VLOOKUP($R31,武学奇术!$A:$ZZ,9,FALSE)+SUM(_xlfn.XLOOKUP(S31:AG31,增益!$A:$A,增益!$I:$I,0)))/200,($F$11-$I$4+VLOOKUP($R31,武学奇术!$A:$ZZ,9,FALSE)+SUM(_xlfn.XLOOKUP(S31:AG31,增益!$A:$A,增益!$I:$I,0)))/100)</f>
        <v>-0.3</v>
      </c>
      <c r="AW31" s="32" cm="1">
        <f t="array" ref="AW31">$G$11+VLOOKUP($R31,武学奇术!$A:$ZZ,10,FALSE)+SUM(_xlfn.XLOOKUP(S31:AG31,增益!$A:$A,增益!$J:$J,0))</f>
        <v>0</v>
      </c>
      <c r="AX31">
        <f t="shared" si="3"/>
        <v>0</v>
      </c>
      <c r="AY31">
        <f t="shared" si="4"/>
        <v>0</v>
      </c>
      <c r="AZ31" s="32" cm="1">
        <f t="array" ref="AZ31">IF($F$12-$I$4+VLOOKUP($R31,武学奇术!$A:$ZZ,11,FALSE)+SUM(_xlfn.XLOOKUP(S31:AG31,增益!$A:$A,增益!$K:$K,0))&gt;0,($F$12-$I$4+VLOOKUP($R31,武学奇术!$A:$ZZ,11,FALSE)+SUM(_xlfn.XLOOKUP(S31:AG31,增益!$A:$A,增益!$K:$K,0)))/200,($F$12-$I$4+VLOOKUP($R31,武学奇术!$A:$ZZ,11,FALSE)+SUM(_xlfn.XLOOKUP(S31:AG31,增益!$A:$A,增益!$K:$K,0)))/100)</f>
        <v>-0.3</v>
      </c>
      <c r="BA31" s="32" cm="1">
        <f t="array" ref="BA31">$G$12+VLOOKUP($R31,武学奇术!$A:$ZZ,12,FALSE)+SUM(_xlfn.XLOOKUP(S31:AG31,增益!$A:$A,增益!$L:$L,0))</f>
        <v>0</v>
      </c>
      <c r="BB31">
        <f t="shared" si="5"/>
        <v>0</v>
      </c>
      <c r="BC31">
        <f t="shared" si="6"/>
        <v>0</v>
      </c>
      <c r="BD31" s="32" cm="1">
        <f t="array" ref="BD31">IF($F$13-$I$4+VLOOKUP($R31,武学奇术!$A:$ZZ,13,FALSE)+SUM(_xlfn.XLOOKUP(S31:AG31,增益!$A:$A,增益!$M:$M,0))&gt;0,($F$13-$I$4+VLOOKUP($R31,武学奇术!$A:$ZZ,13,FALSE)+SUM(_xlfn.XLOOKUP(S31:AG31,增益!$A:$A,增益!$K:$K,0)))/200,($F$13-$I$4+VLOOKUP($R31,武学奇术!$A:$ZZ,13,FALSE)+SUM(_xlfn.XLOOKUP(S31:AG31,增益!$A:$A,增益!$M:$M,0)))/100)</f>
        <v>-0.3</v>
      </c>
      <c r="BE31" s="32" cm="1">
        <f t="array" ref="BE31">$G$13+VLOOKUP($R31,武学奇术!$A:$ZZ,14,FALSE)+SUM(_xlfn.XLOOKUP(S31:AG31,增益!$A:$A,增益!$N:$N,0))</f>
        <v>0</v>
      </c>
      <c r="BF31">
        <f t="shared" si="7"/>
        <v>571.2</v>
      </c>
      <c r="BG31">
        <f t="shared" si="8"/>
        <v>1627.8</v>
      </c>
      <c r="BH31" s="32" cm="1">
        <f t="array" ref="BH31">IF($F$14-$I$4+VLOOKUP($R31,武学奇术!$A:$ZZ,15,FALSE)+SUM(_xlfn.XLOOKUP(S31:AG31,增益!$A:$A,增益!$O:$O,0))&gt;0,($F$14-$I$4+VLOOKUP($R31,武学奇术!$A:$ZZ,15,FALSE)+SUM(_xlfn.XLOOKUP(S31:AG31,增益!$A:$A,增益!$O:$O,0)))/200,($F$14-$I$4+VLOOKUP($R31,武学奇术!$A:$ZZ,15,FALSE)+SUM(_xlfn.XLOOKUP(S31:AG31,增益!$A:$A,增益!$O:$O,0)))/100)</f>
        <v>0</v>
      </c>
      <c r="BI31" s="32" cm="1">
        <f t="array" ref="BI31">$G$14+VLOOKUP($R31,武学奇术!$A:$ZZ,16,FALSE)+SUM(_xlfn.XLOOKUP(S31:AG31,增益!$A:$A,增益!$P:$P,0))</f>
        <v>0.15</v>
      </c>
      <c r="BJ31" s="26">
        <f>MIN(IF(VLOOKUP($R31,武学奇术!$A:$ZZ,23,FALSE)=1,100%,$B$8),100%)</f>
        <v>0.981</v>
      </c>
      <c r="BK31" s="26" cm="1">
        <f t="array" ref="BK31">IF(VLOOKUP($R31,武学奇术!$A:$ZZ,23,FALSE)=1,100%,MIN(80%,$B$9+VLOOKUP($R31,武学奇术!$A:$ZZ,17,FALSE)+SUM(_xlfn.XLOOKUP(S31:AG31,增益!$A:$A,增益!$Q:$Q,0)))+$B$11+SUM(_xlfn.XLOOKUP(S31:AG31,增益!$A:$A,增益!$U:$U,0)))*IF(VLOOKUP($R31,武学奇术!$A:$ZZ,24,FALSE)=1,0,1)</f>
        <v>0.846</v>
      </c>
      <c r="BL31" s="26" cm="1">
        <f t="array" ref="BL31">1+$B$13+VLOOKUP($R31,武学奇术!$A:$ZZ,18,FALSE)+SUM(_xlfn.XLOOKUP(S31:AG31,增益!$A:$A,增益!$R:$R,0))</f>
        <v>1.87</v>
      </c>
      <c r="BM31" s="26" cm="1">
        <f t="array" ref="BM31">IF(VLOOKUP($R31,武学奇术!$A:$ZZ,24,FALSE)=1,100%,MIN(40%,$B$10+VLOOKUP($R31,武学奇术!$A:$ZZ,19,FALSE)+SUM(_xlfn.XLOOKUP(S31:AG31,增益!$A:$A,增益!$S:$S,0)))+$B$12+SUM(_xlfn.XLOOKUP(S31:AG31,增益!$A:$A,增益!$V:$V,0)))*IF(VLOOKUP($R31,武学奇术!$A:$ZZ,23,FALSE)=1,0,1)</f>
        <v>0.0929</v>
      </c>
      <c r="BN31" s="26" cm="1">
        <f t="array" ref="BN31">1+$B$14+VLOOKUP($R31,武学奇术!$A:$ZZ,20,FALSE)+SUM(_xlfn.XLOOKUP(S31:AG31,增益!$A:$A,增益!$T:$T,0))</f>
        <v>1.35</v>
      </c>
      <c r="BO31" s="26">
        <f t="shared" si="9"/>
        <v>0.829926</v>
      </c>
      <c r="BP31" s="26">
        <f t="shared" si="10"/>
        <v>0.0599391</v>
      </c>
      <c r="BQ31" s="26">
        <f>IF(VLOOKUP($R31,武学奇术!$A:$ZZ,22,FALSE)=1,0,(1-$BJ31))*(1-$BM31)</f>
        <v>0.0172349</v>
      </c>
      <c r="BR31" s="26" cm="1">
        <f t="array" ref="BR31">SUM(_xlfn.XLOOKUP(S31:AG31,增益!$A:$A,增益!$W:$W,0))+$I$5</f>
        <v>0.11</v>
      </c>
    </row>
    <row r="32" spans="1:70">
      <c r="A32" s="4"/>
      <c r="B32" s="87"/>
      <c r="K32">
        <f>$L32*VLOOKUP($R32,武学奇术!$A:$ZZ,31,FALSE)</f>
        <v>11622.4516484068</v>
      </c>
      <c r="L32" s="38">
        <f t="shared" si="0"/>
        <v>11069.0015699112</v>
      </c>
      <c r="M32" s="38">
        <f>((($AO32+$AP32)/2*$AI32+$AJ32)*(1+$AQ32)*(1+$AR32)+(($AT32+$AU32)/2*IF($G$1="鸣金",$AK32,$AI32)+IF($G$1="鸣金",$AL32*1.5,0))*(1+$AV32)*(1+$AW32)+(($AX32+$AY32)/2*IF($G$1="裂石",$AK32,$AI32)+IF($G$1="裂石",$AL32*1.5,0))*(1+$AZ32)*(1+$BA32)+(($BB32+$BC32)/2*IF($G$1="牵丝",$AK32,$AI32)+IF($G$1="牵丝",$AL32*1.5,0))*(1+$BD32)*(1+$BE32)+(($BF32+$BG32)/2*IF($G$1="破竹",$AK32,$AI32)+IF($G$1="破竹",$AL32*1.5,0))*(1+$BH32)*(1+$BI32))*(1+$AM32)*$BL32*$Q32*(1+IF(VLOOKUP($R32,武学奇术!$A:$ZZ,30,FALSE)="回旋伞",$B$21,0))*(1+$BR32)</f>
        <v>11698.2031653604</v>
      </c>
      <c r="N32" s="38">
        <f>(($AP32*$AI32+$AJ32)*(1+$AQ32)*(1+$AR32)+($AU32*IF($G$1="鸣金",$AK32,$AI32)+IF($G$1="鸣金",$AL32*1.5,0))*(1+$AV32)*(1+$AW32)+($AY32*IF($G$1="裂石",$AK32,$AI32)+IF($G$1="裂石",$AL32*1.5,0))*(1+$AZ32)*(1+$BA32)+($BC32*IF($G$1="牵丝",$AK32,$AI32)+IF($G$1="牵丝",$AL32*1.5,0))*(1+$BD32)*(1+$BE32)+($BG32*IF($G$1="破竹",$AK32,$AI32)+IF($G$1="破竹",$AL32*1.5,0))*(1+$BH32)*(1+$BI32))*(1+$AM32)*$BN32*$Q32*(1+IF(VLOOKUP($R32,武学奇术!$A:$ZZ,30,FALSE)="回旋伞",$B$21,0))*(1+$BR32)</f>
        <v>9606.01388530106</v>
      </c>
      <c r="O32" s="38">
        <f>((($AO32+$AP32)/2*$AI32+$AJ32)*(1+$AQ32)*(1+$AR32)+(($AT32+$AU32)/2*IF($G$1="鸣金",$AK32,$AI32)+IF($G$1="鸣金",$AL32*1.5,0))*(1+$AV32)*(1+$AW32)+(($AX32+$AY32)/2*IF($G$1="裂石",$AK32,$AI32)+IF($G$1="裂石",$AL32*1.5,0))*(1+$AZ32)*(1+$BA32)+(($BB32+$BC32)/2*IF($G$1="牵丝",$AK32,$AI32)+IF($G$1="牵丝",$AL32*1.5,0))*(1+$BD32)*(1+$BE32)+(($BF32+$BG32)/2*IF($G$1="破竹",$AK32,$AI32)+IF($G$1="破竹",$AL32*1.5,0))*(1+$BH32)*(1+$BI32))*(1+$AM32)*$Q32*(1+IF(VLOOKUP($R32,武学奇术!$A:$ZZ,30,FALSE)="回旋伞",$B$21,0))*(1+$BR32)</f>
        <v>6255.7236178398</v>
      </c>
      <c r="P32" s="38">
        <f>((($AO32*$AI32+$AJ32)*(1+$AQ32)*(1+$AR32)+($AT32*IF($G$1="鸣金",$AK32,$AI32)+IF($G$1="鸣金",$AL32*1.5,0))*(1+$AV32)*(1+$AW32)+($AX32*IF($G$1="裂石",$AK32,$AI32)+IF($G$1="裂石",$AL32*1.5,0))*(1+$AZ32)*(1+$BA32)+($BB32*IF($G$1="牵丝",$AK32,$AI32)+IF($G$1="牵丝",$AL32*1.5,0))*(1+$BD32)*(1+$BE32)+($BF32*IF($G$1="破竹",$AK32,$AI32)+IF($G$1="破竹",$AL32*1.5,0))*(1+$BH32)*(1+$BI32))*(1+$AM32))*$Q32*(1+IF(VLOOKUP($R32,武学奇术!$A:$ZZ,30,FALSE)="回旋伞",$B$21,0))*(1+$BR32)</f>
        <v>5395.88139471585</v>
      </c>
      <c r="Q32" s="39">
        <v>1</v>
      </c>
      <c r="R32" s="40" t="s">
        <v>162</v>
      </c>
      <c r="S32" s="40" t="s">
        <v>72</v>
      </c>
      <c r="T32" s="40" t="s">
        <v>95</v>
      </c>
      <c r="U32" s="40" t="s">
        <v>73</v>
      </c>
      <c r="V32" s="40" t="s">
        <v>72</v>
      </c>
      <c r="W32" s="40" t="s">
        <v>160</v>
      </c>
      <c r="X32" s="40" t="s">
        <v>99</v>
      </c>
      <c r="Y32" s="40" t="s">
        <v>72</v>
      </c>
      <c r="Z32" s="40" t="s">
        <v>72</v>
      </c>
      <c r="AA32" s="40" t="s">
        <v>72</v>
      </c>
      <c r="AB32" s="40" t="s">
        <v>72</v>
      </c>
      <c r="AC32" s="40" t="s">
        <v>72</v>
      </c>
      <c r="AD32" s="40" t="s">
        <v>72</v>
      </c>
      <c r="AE32" s="40" t="s">
        <v>72</v>
      </c>
      <c r="AF32" s="40" t="s">
        <v>72</v>
      </c>
      <c r="AG32" s="40" t="s">
        <v>78</v>
      </c>
      <c r="AH32" t="str">
        <f>VLOOKUP($R32,武学奇术!$A:$ZZ,25,FALSE)</f>
        <v>伞</v>
      </c>
      <c r="AI32" s="26">
        <f>VLOOKUP($R32,武学奇术!$A:$ZZ,26,FALSE)</f>
        <v>0.54</v>
      </c>
      <c r="AJ32" s="27">
        <f>VLOOKUP($R32,武学奇术!$A:$ZZ,27,FALSE)*(1+IF(OR($AH32=$F$4,$AH32=$F$5),$B$22,0))</f>
        <v>0</v>
      </c>
      <c r="AK32" s="26">
        <f>VLOOKUP($R32,武学奇术!$A:$ZZ,28,FALSE)</f>
        <v>0.81</v>
      </c>
      <c r="AL32" s="27">
        <f>VLOOKUP($R32,武学奇术!$A:$ZZ,29,FALSE)*(1+IF(OR($AH32=$F$4,$AH32=$F$5),$B$22,0))</f>
        <v>0</v>
      </c>
      <c r="AM32" s="26" cm="1">
        <f t="array" ref="AM32">$G$3+IFERROR(VLOOKUP($AH32,$F$4:$G$7,2,FALSE),0)+VLOOKUP($R32,武学奇术!$A:$ZZ,2,FALSE)+SUM(_xlfn.XLOOKUP($S32:$AG32,增益!$A:$A,增益!$B:$B,0))</f>
        <v>0.5741</v>
      </c>
      <c r="AN32" s="26" cm="1">
        <f t="array" ref="AN32">VLOOKUP($R32,武学奇术!$A:$ZZ,5,FALSE)+SUM(_xlfn.XLOOKUP($S32:$AG32,增益!$A:$A,增益!$E:$E,0))</f>
        <v>0</v>
      </c>
      <c r="AO32" cm="1">
        <f t="array" ref="AO32">$D$10*(1+$AN32)+VLOOKUP($R32,武学奇术!$A:$ZZ,3,FALSE)+SUM(_xlfn.XLOOKUP($S32:$AG32,增益!$A:$A,增益!$C:$C,0))-$I$2</f>
        <v>3562.6</v>
      </c>
      <c r="AP32" cm="1">
        <f t="array" ref="AP32">$E$10*(1+$AN32)+VLOOKUP($R32,武学奇术!$A:$ZZ,4,FALSE)+SUM(_xlfn.XLOOKUP($S32:$AG32,增益!$A:$A,增益!$D:$D,0))-$I$2</f>
        <v>3562.6</v>
      </c>
      <c r="AQ32" s="32" cm="1">
        <f t="array" ref="AQ32">IF($F$10-$I$3+VLOOKUP($R32,武学奇术!$A:$ZZ,6,FALSE)+SUM(_xlfn.XLOOKUP(S32:AG32,增益!$A:$A,增益!$F:$F,0))&gt;0,($F$10-$I$3+VLOOKUP($R32,武学奇术!$A:$ZZ,6,FALSE)+SUM(_xlfn.XLOOKUP(S32:AG32,增益!$A:$A,增益!$F:$F,0)))/200,($F$10-$I$3+VLOOKUP($R32,武学奇术!$A:$ZZ,6,FALSE)+SUM(_xlfn.XLOOKUP(S32:AG32,增益!$A:$A,增益!$F:$F,0)))/100)</f>
        <v>0.2925</v>
      </c>
      <c r="AR32" s="32" cm="1">
        <f t="array" ref="AR32">$G$10+VLOOKUP($R32,武学奇术!$A:$ZZ,7,FALSE)+SUM(_xlfn.XLOOKUP(S32:AG32,增益!$A:$A,增益!$G:$G,0))</f>
        <v>0.028</v>
      </c>
      <c r="AS32" s="26" cm="1">
        <f t="array" ref="AS32">VLOOKUP($R32,武学奇术!$A:$ZZ,8,FALSE)+SUM(_xlfn.XLOOKUP(S32:AG32,增益!$A:$A,增益!$H:$H,0))</f>
        <v>0</v>
      </c>
      <c r="AT32">
        <f t="shared" si="1"/>
        <v>0</v>
      </c>
      <c r="AU32">
        <f t="shared" si="2"/>
        <v>0</v>
      </c>
      <c r="AV32" s="32" cm="1">
        <f t="array" ref="AV32">IF($F$11-$I$4+VLOOKUP($R32,武学奇术!$A:$ZZ,9,FALSE)+SUM(_xlfn.XLOOKUP(S32:AG32,增益!$A:$A,增益!$I:$I,0))&gt;0,($F$11-$I$4+VLOOKUP($R32,武学奇术!$A:$ZZ,9,FALSE)+SUM(_xlfn.XLOOKUP(S32:AG32,增益!$A:$A,增益!$I:$I,0)))/200,($F$11-$I$4+VLOOKUP($R32,武学奇术!$A:$ZZ,9,FALSE)+SUM(_xlfn.XLOOKUP(S32:AG32,增益!$A:$A,增益!$I:$I,0)))/100)</f>
        <v>-0.3</v>
      </c>
      <c r="AW32" s="32" cm="1">
        <f t="array" ref="AW32">$G$11+VLOOKUP($R32,武学奇术!$A:$ZZ,10,FALSE)+SUM(_xlfn.XLOOKUP(S32:AG32,增益!$A:$A,增益!$J:$J,0))</f>
        <v>0</v>
      </c>
      <c r="AX32">
        <f t="shared" si="3"/>
        <v>0</v>
      </c>
      <c r="AY32">
        <f t="shared" si="4"/>
        <v>0</v>
      </c>
      <c r="AZ32" s="32" cm="1">
        <f t="array" ref="AZ32">IF($F$12-$I$4+VLOOKUP($R32,武学奇术!$A:$ZZ,11,FALSE)+SUM(_xlfn.XLOOKUP(S32:AG32,增益!$A:$A,增益!$K:$K,0))&gt;0,($F$12-$I$4+VLOOKUP($R32,武学奇术!$A:$ZZ,11,FALSE)+SUM(_xlfn.XLOOKUP(S32:AG32,增益!$A:$A,增益!$K:$K,0)))/200,($F$12-$I$4+VLOOKUP($R32,武学奇术!$A:$ZZ,11,FALSE)+SUM(_xlfn.XLOOKUP(S32:AG32,增益!$A:$A,增益!$K:$K,0)))/100)</f>
        <v>-0.3</v>
      </c>
      <c r="BA32" s="32" cm="1">
        <f t="array" ref="BA32">$G$12+VLOOKUP($R32,武学奇术!$A:$ZZ,12,FALSE)+SUM(_xlfn.XLOOKUP(S32:AG32,增益!$A:$A,增益!$L:$L,0))</f>
        <v>0</v>
      </c>
      <c r="BB32">
        <f t="shared" si="5"/>
        <v>0</v>
      </c>
      <c r="BC32">
        <f t="shared" si="6"/>
        <v>0</v>
      </c>
      <c r="BD32" s="32" cm="1">
        <f t="array" ref="BD32">IF($F$13-$I$4+VLOOKUP($R32,武学奇术!$A:$ZZ,13,FALSE)+SUM(_xlfn.XLOOKUP(S32:AG32,增益!$A:$A,增益!$M:$M,0))&gt;0,($F$13-$I$4+VLOOKUP($R32,武学奇术!$A:$ZZ,13,FALSE)+SUM(_xlfn.XLOOKUP(S32:AG32,增益!$A:$A,增益!$K:$K,0)))/200,($F$13-$I$4+VLOOKUP($R32,武学奇术!$A:$ZZ,13,FALSE)+SUM(_xlfn.XLOOKUP(S32:AG32,增益!$A:$A,增益!$M:$M,0)))/100)</f>
        <v>-0.3</v>
      </c>
      <c r="BE32" s="32" cm="1">
        <f t="array" ref="BE32">$G$13+VLOOKUP($R32,武学奇术!$A:$ZZ,14,FALSE)+SUM(_xlfn.XLOOKUP(S32:AG32,增益!$A:$A,增益!$N:$N,0))</f>
        <v>0</v>
      </c>
      <c r="BF32">
        <f t="shared" si="7"/>
        <v>571.2</v>
      </c>
      <c r="BG32">
        <f t="shared" si="8"/>
        <v>1627.8</v>
      </c>
      <c r="BH32" s="32" cm="1">
        <f t="array" ref="BH32">IF($F$14-$I$4+VLOOKUP($R32,武学奇术!$A:$ZZ,15,FALSE)+SUM(_xlfn.XLOOKUP(S32:AG32,增益!$A:$A,增益!$O:$O,0))&gt;0,($F$14-$I$4+VLOOKUP($R32,武学奇术!$A:$ZZ,15,FALSE)+SUM(_xlfn.XLOOKUP(S32:AG32,增益!$A:$A,增益!$O:$O,0)))/200,($F$14-$I$4+VLOOKUP($R32,武学奇术!$A:$ZZ,15,FALSE)+SUM(_xlfn.XLOOKUP(S32:AG32,增益!$A:$A,增益!$O:$O,0)))/100)</f>
        <v>0</v>
      </c>
      <c r="BI32" s="32" cm="1">
        <f t="array" ref="BI32">$G$14+VLOOKUP($R32,武学奇术!$A:$ZZ,16,FALSE)+SUM(_xlfn.XLOOKUP(S32:AG32,增益!$A:$A,增益!$P:$P,0))</f>
        <v>0.15</v>
      </c>
      <c r="BJ32" s="26">
        <f>MIN(IF(VLOOKUP($R32,武学奇术!$A:$ZZ,23,FALSE)=1,100%,$B$8),100%)</f>
        <v>0.981</v>
      </c>
      <c r="BK32" s="26" cm="1">
        <f t="array" ref="BK32">IF(VLOOKUP($R32,武学奇术!$A:$ZZ,23,FALSE)=1,100%,MIN(80%,$B$9+VLOOKUP($R32,武学奇术!$A:$ZZ,17,FALSE)+SUM(_xlfn.XLOOKUP(S32:AG32,增益!$A:$A,增益!$Q:$Q,0)))+$B$11+SUM(_xlfn.XLOOKUP(S32:AG32,增益!$A:$A,增益!$U:$U,0)))*IF(VLOOKUP($R32,武学奇术!$A:$ZZ,24,FALSE)=1,0,1)</f>
        <v>0.846</v>
      </c>
      <c r="BL32" s="26" cm="1">
        <f t="array" ref="BL32">1+$B$13+VLOOKUP($R32,武学奇术!$A:$ZZ,18,FALSE)+SUM(_xlfn.XLOOKUP(S32:AG32,增益!$A:$A,增益!$R:$R,0))</f>
        <v>1.87</v>
      </c>
      <c r="BM32" s="26" cm="1">
        <f t="array" ref="BM32">IF(VLOOKUP($R32,武学奇术!$A:$ZZ,24,FALSE)=1,100%,MIN(40%,$B$10+VLOOKUP($R32,武学奇术!$A:$ZZ,19,FALSE)+SUM(_xlfn.XLOOKUP(S32:AG32,增益!$A:$A,增益!$S:$S,0)))+$B$12+SUM(_xlfn.XLOOKUP(S32:AG32,增益!$A:$A,增益!$V:$V,0)))*IF(VLOOKUP($R32,武学奇术!$A:$ZZ,23,FALSE)=1,0,1)</f>
        <v>0.0929</v>
      </c>
      <c r="BN32" s="26" cm="1">
        <f t="array" ref="BN32">1+$B$14+VLOOKUP($R32,武学奇术!$A:$ZZ,20,FALSE)+SUM(_xlfn.XLOOKUP(S32:AG32,增益!$A:$A,增益!$T:$T,0))</f>
        <v>1.35</v>
      </c>
      <c r="BO32" s="26">
        <f t="shared" si="9"/>
        <v>0.829926</v>
      </c>
      <c r="BP32" s="26">
        <f t="shared" si="10"/>
        <v>0.0599391</v>
      </c>
      <c r="BQ32" s="26">
        <f>IF(VLOOKUP($R32,武学奇术!$A:$ZZ,22,FALSE)=1,0,(1-$BJ32))*(1-$BM32)</f>
        <v>0.0172349</v>
      </c>
      <c r="BR32" s="26" cm="1">
        <f t="array" ref="BR32">SUM(_xlfn.XLOOKUP(S32:AG32,增益!$A:$A,增益!$W:$W,0))+$I$5</f>
        <v>0.11</v>
      </c>
    </row>
    <row r="33" spans="1:70">
      <c r="A33" s="4"/>
      <c r="B33" s="87"/>
      <c r="K33">
        <f>$L33*VLOOKUP($R33,武学奇术!$A:$ZZ,31,FALSE)</f>
        <v>86348.0180267333</v>
      </c>
      <c r="L33" s="38">
        <f t="shared" si="0"/>
        <v>82236.2076445079</v>
      </c>
      <c r="M33" s="38">
        <f>((($AO33+$AP33)/2*$AI33+$AJ33)*(1+$AQ33)*(1+$AR33)+(($AT33+$AU33)/2*IF($G$1="鸣金",$AK33,$AI33)+IF($G$1="鸣金",$AL33*1.5,0))*(1+$AV33)*(1+$AW33)+(($AX33+$AY33)/2*IF($G$1="裂石",$AK33,$AI33)+IF($G$1="裂石",$AL33*1.5,0))*(1+$AZ33)*(1+$BA33)+(($BB33+$BC33)/2*IF($G$1="牵丝",$AK33,$AI33)+IF($G$1="牵丝",$AL33*1.5,0))*(1+$BD33)*(1+$BE33)+(($BF33+$BG33)/2*IF($G$1="破竹",$AK33,$AI33)+IF($G$1="破竹",$AL33*1.5,0))*(1+$BH33)*(1+$BI33))*(1+$AM33)*$BL33*$Q33*(1+IF(VLOOKUP($R33,武学奇术!$A:$ZZ,30,FALSE)="回旋伞",$B$21,0))*(1+$BR33)</f>
        <v>87001.6276147033</v>
      </c>
      <c r="N33" s="38">
        <f>(($AP33*$AI33+$AJ33)*(1+$AQ33)*(1+$AR33)+($AU33*IF($G$1="鸣金",$AK33,$AI33)+IF($G$1="鸣金",$AL33*1.5,0))*(1+$AV33)*(1+$AW33)+($AY33*IF($G$1="裂石",$AK33,$AI33)+IF($G$1="裂石",$AL33*1.5,0))*(1+$AZ33)*(1+$BA33)+($BC33*IF($G$1="牵丝",$AK33,$AI33)+IF($G$1="牵丝",$AL33*1.5,0))*(1+$BD33)*(1+$BE33)+($BG33*IF($G$1="破竹",$AK33,$AI33)+IF($G$1="破竹",$AL33*1.5,0))*(1+$BH33)*(1+$BI33))*(1+$AM33)*$BN33*$Q33*(1+IF(VLOOKUP($R33,武学奇术!$A:$ZZ,30,FALSE)="回旋伞",$B$21,0))*(1+$BR33)</f>
        <v>70369.2396646509</v>
      </c>
      <c r="O33" s="38">
        <f>((($AO33+$AP33)/2*$AI33+$AJ33)*(1+$AQ33)*(1+$AR33)+(($AT33+$AU33)/2*IF($G$1="鸣金",$AK33,$AI33)+IF($G$1="鸣金",$AL33*1.5,0))*(1+$AV33)*(1+$AW33)+(($AX33+$AY33)/2*IF($G$1="裂石",$AK33,$AI33)+IF($G$1="裂石",$AL33*1.5,0))*(1+$AZ33)*(1+$BA33)+(($BB33+$BC33)/2*IF($G$1="牵丝",$AK33,$AI33)+IF($G$1="牵丝",$AL33*1.5,0))*(1+$BD33)*(1+$BE33)+(($BF33+$BG33)/2*IF($G$1="破竹",$AK33,$AI33)+IF($G$1="破竹",$AL33*1.5,0))*(1+$BH33)*(1+$BI33))*(1+$AM33)*$Q33*(1+IF(VLOOKUP($R33,武学奇术!$A:$ZZ,30,FALSE)="回旋伞",$B$21,0))*(1+$BR33)</f>
        <v>46524.9345533173</v>
      </c>
      <c r="P33" s="38">
        <f>((($AO33*$AI33+$AJ33)*(1+$AQ33)*(1+$AR33)+($AT33*IF($G$1="鸣金",$AK33,$AI33)+IF($G$1="鸣金",$AL33*1.5,0))*(1+$AV33)*(1+$AW33)+($AX33*IF($G$1="裂石",$AK33,$AI33)+IF($G$1="裂石",$AL33*1.5,0))*(1+$AZ33)*(1+$BA33)+($BB33*IF($G$1="牵丝",$AK33,$AI33)+IF($G$1="牵丝",$AL33*1.5,0))*(1+$BD33)*(1+$BE33)+($BF33*IF($G$1="破竹",$AK33,$AI33)+IF($G$1="破竹",$AL33*1.5,0))*(1+$BH33)*(1+$BI33))*(1+$AM33))*$Q33*(1+IF(VLOOKUP($R33,武学奇术!$A:$ZZ,30,FALSE)="回旋伞",$B$21,0))*(1+$BR33)</f>
        <v>40924.5063920783</v>
      </c>
      <c r="Q33" s="39">
        <v>2</v>
      </c>
      <c r="R33" s="40" t="s">
        <v>159</v>
      </c>
      <c r="S33" s="40" t="s">
        <v>72</v>
      </c>
      <c r="T33" s="40" t="s">
        <v>95</v>
      </c>
      <c r="U33" s="40" t="s">
        <v>73</v>
      </c>
      <c r="V33" s="40" t="s">
        <v>72</v>
      </c>
      <c r="W33" s="40" t="s">
        <v>160</v>
      </c>
      <c r="X33" s="40" t="s">
        <v>99</v>
      </c>
      <c r="Y33" s="40" t="s">
        <v>72</v>
      </c>
      <c r="Z33" s="40" t="s">
        <v>72</v>
      </c>
      <c r="AA33" s="40" t="s">
        <v>72</v>
      </c>
      <c r="AB33" s="40" t="s">
        <v>72</v>
      </c>
      <c r="AC33" s="40" t="s">
        <v>72</v>
      </c>
      <c r="AD33" s="40" t="s">
        <v>72</v>
      </c>
      <c r="AE33" s="40" t="s">
        <v>72</v>
      </c>
      <c r="AF33" s="40" t="s">
        <v>72</v>
      </c>
      <c r="AG33" s="40" t="s">
        <v>78</v>
      </c>
      <c r="AH33" t="str">
        <f>VLOOKUP($R33,武学奇术!$A:$ZZ,25,FALSE)</f>
        <v>伞</v>
      </c>
      <c r="AI33" s="26">
        <f>VLOOKUP($R33,武学奇术!$A:$ZZ,26,FALSE)</f>
        <v>2.01456</v>
      </c>
      <c r="AJ33" s="27">
        <f>VLOOKUP($R33,武学奇术!$A:$ZZ,27,FALSE)*(1+IF(OR($AH33=$F$4,$AH33=$F$5),$B$22,0))</f>
        <v>837</v>
      </c>
      <c r="AK33" s="26">
        <f>VLOOKUP($R33,武学奇术!$A:$ZZ,28,FALSE)</f>
        <v>3.02184</v>
      </c>
      <c r="AL33" s="27">
        <f>VLOOKUP($R33,武学奇术!$A:$ZZ,29,FALSE)*(1+IF(OR($AH33=$F$4,$AH33=$F$5),$B$22,0))</f>
        <v>453.6</v>
      </c>
      <c r="AM33" s="26" cm="1">
        <f t="array" ref="AM33">$G$3+IFERROR(VLOOKUP($AH33,$F$4:$G$7,2,FALSE),0)+VLOOKUP($R33,武学奇术!$A:$ZZ,2,FALSE)+SUM(_xlfn.XLOOKUP($S33:$AG33,增益!$A:$A,增益!$B:$B,0))</f>
        <v>0.3741</v>
      </c>
      <c r="AN33" s="26" cm="1">
        <f t="array" ref="AN33">VLOOKUP($R33,武学奇术!$A:$ZZ,5,FALSE)+SUM(_xlfn.XLOOKUP($S33:$AG33,增益!$A:$A,增益!$E:$E,0))</f>
        <v>0</v>
      </c>
      <c r="AO33" cm="1">
        <f t="array" ref="AO33">$D$10*(1+$AN33)+VLOOKUP($R33,武学奇术!$A:$ZZ,3,FALSE)+SUM(_xlfn.XLOOKUP($S33:$AG33,增益!$A:$A,增益!$C:$C,0))-$I$2</f>
        <v>3562.6</v>
      </c>
      <c r="AP33" cm="1">
        <f t="array" ref="AP33">$E$10*(1+$AN33)+VLOOKUP($R33,武学奇术!$A:$ZZ,4,FALSE)+SUM(_xlfn.XLOOKUP($S33:$AG33,增益!$A:$A,增益!$D:$D,0))-$I$2</f>
        <v>3562.6</v>
      </c>
      <c r="AQ33" s="32" cm="1">
        <f t="array" ref="AQ33">IF($F$10-$I$3+VLOOKUP($R33,武学奇术!$A:$ZZ,6,FALSE)+SUM(_xlfn.XLOOKUP(S33:AG33,增益!$A:$A,增益!$F:$F,0))&gt;0,($F$10-$I$3+VLOOKUP($R33,武学奇术!$A:$ZZ,6,FALSE)+SUM(_xlfn.XLOOKUP(S33:AG33,增益!$A:$A,增益!$F:$F,0)))/200,($F$10-$I$3+VLOOKUP($R33,武学奇术!$A:$ZZ,6,FALSE)+SUM(_xlfn.XLOOKUP(S33:AG33,增益!$A:$A,增益!$F:$F,0)))/100)</f>
        <v>0.2925</v>
      </c>
      <c r="AR33" s="32" cm="1">
        <f t="array" ref="AR33">$G$10+VLOOKUP($R33,武学奇术!$A:$ZZ,7,FALSE)+SUM(_xlfn.XLOOKUP(S33:AG33,增益!$A:$A,增益!$G:$G,0))</f>
        <v>0.028</v>
      </c>
      <c r="AS33" s="26" cm="1">
        <f t="array" ref="AS33">VLOOKUP($R33,武学奇术!$A:$ZZ,8,FALSE)+SUM(_xlfn.XLOOKUP(S33:AG33,增益!$A:$A,增益!$H:$H,0))</f>
        <v>0</v>
      </c>
      <c r="AT33">
        <f t="shared" si="1"/>
        <v>0</v>
      </c>
      <c r="AU33">
        <f t="shared" si="2"/>
        <v>0</v>
      </c>
      <c r="AV33" s="32" cm="1">
        <f t="array" ref="AV33">IF($F$11-$I$4+VLOOKUP($R33,武学奇术!$A:$ZZ,9,FALSE)+SUM(_xlfn.XLOOKUP(S33:AG33,增益!$A:$A,增益!$I:$I,0))&gt;0,($F$11-$I$4+VLOOKUP($R33,武学奇术!$A:$ZZ,9,FALSE)+SUM(_xlfn.XLOOKUP(S33:AG33,增益!$A:$A,增益!$I:$I,0)))/200,($F$11-$I$4+VLOOKUP($R33,武学奇术!$A:$ZZ,9,FALSE)+SUM(_xlfn.XLOOKUP(S33:AG33,增益!$A:$A,增益!$I:$I,0)))/100)</f>
        <v>-0.3</v>
      </c>
      <c r="AW33" s="32" cm="1">
        <f t="array" ref="AW33">$G$11+VLOOKUP($R33,武学奇术!$A:$ZZ,10,FALSE)+SUM(_xlfn.XLOOKUP(S33:AG33,增益!$A:$A,增益!$J:$J,0))</f>
        <v>0</v>
      </c>
      <c r="AX33">
        <f t="shared" si="3"/>
        <v>0</v>
      </c>
      <c r="AY33">
        <f t="shared" si="4"/>
        <v>0</v>
      </c>
      <c r="AZ33" s="32" cm="1">
        <f t="array" ref="AZ33">IF($F$12-$I$4+VLOOKUP($R33,武学奇术!$A:$ZZ,11,FALSE)+SUM(_xlfn.XLOOKUP(S33:AG33,增益!$A:$A,增益!$K:$K,0))&gt;0,($F$12-$I$4+VLOOKUP($R33,武学奇术!$A:$ZZ,11,FALSE)+SUM(_xlfn.XLOOKUP(S33:AG33,增益!$A:$A,增益!$K:$K,0)))/200,($F$12-$I$4+VLOOKUP($R33,武学奇术!$A:$ZZ,11,FALSE)+SUM(_xlfn.XLOOKUP(S33:AG33,增益!$A:$A,增益!$K:$K,0)))/100)</f>
        <v>-0.3</v>
      </c>
      <c r="BA33" s="32" cm="1">
        <f t="array" ref="BA33">$G$12+VLOOKUP($R33,武学奇术!$A:$ZZ,12,FALSE)+SUM(_xlfn.XLOOKUP(S33:AG33,增益!$A:$A,增益!$L:$L,0))</f>
        <v>0</v>
      </c>
      <c r="BB33">
        <f t="shared" si="5"/>
        <v>0</v>
      </c>
      <c r="BC33">
        <f t="shared" si="6"/>
        <v>0</v>
      </c>
      <c r="BD33" s="32" cm="1">
        <f t="array" ref="BD33">IF($F$13-$I$4+VLOOKUP($R33,武学奇术!$A:$ZZ,13,FALSE)+SUM(_xlfn.XLOOKUP(S33:AG33,增益!$A:$A,增益!$M:$M,0))&gt;0,($F$13-$I$4+VLOOKUP($R33,武学奇术!$A:$ZZ,13,FALSE)+SUM(_xlfn.XLOOKUP(S33:AG33,增益!$A:$A,增益!$K:$K,0)))/200,($F$13-$I$4+VLOOKUP($R33,武学奇术!$A:$ZZ,13,FALSE)+SUM(_xlfn.XLOOKUP(S33:AG33,增益!$A:$A,增益!$M:$M,0)))/100)</f>
        <v>-0.3</v>
      </c>
      <c r="BE33" s="32" cm="1">
        <f t="array" ref="BE33">$G$13+VLOOKUP($R33,武学奇术!$A:$ZZ,14,FALSE)+SUM(_xlfn.XLOOKUP(S33:AG33,增益!$A:$A,增益!$N:$N,0))</f>
        <v>0</v>
      </c>
      <c r="BF33">
        <f t="shared" si="7"/>
        <v>571.2</v>
      </c>
      <c r="BG33">
        <f t="shared" si="8"/>
        <v>1627.8</v>
      </c>
      <c r="BH33" s="32" cm="1">
        <f t="array" ref="BH33">IF($F$14-$I$4+VLOOKUP($R33,武学奇术!$A:$ZZ,15,FALSE)+SUM(_xlfn.XLOOKUP(S33:AG33,增益!$A:$A,增益!$O:$O,0))&gt;0,($F$14-$I$4+VLOOKUP($R33,武学奇术!$A:$ZZ,15,FALSE)+SUM(_xlfn.XLOOKUP(S33:AG33,增益!$A:$A,增益!$O:$O,0)))/200,($F$14-$I$4+VLOOKUP($R33,武学奇术!$A:$ZZ,15,FALSE)+SUM(_xlfn.XLOOKUP(S33:AG33,增益!$A:$A,增益!$O:$O,0)))/100)</f>
        <v>0</v>
      </c>
      <c r="BI33" s="32" cm="1">
        <f t="array" ref="BI33">$G$14+VLOOKUP($R33,武学奇术!$A:$ZZ,16,FALSE)+SUM(_xlfn.XLOOKUP(S33:AG33,增益!$A:$A,增益!$P:$P,0))</f>
        <v>0.15</v>
      </c>
      <c r="BJ33" s="26">
        <f>MIN(IF(VLOOKUP($R33,武学奇术!$A:$ZZ,23,FALSE)=1,100%,$B$8),100%)</f>
        <v>0.981</v>
      </c>
      <c r="BK33" s="26" cm="1">
        <f t="array" ref="BK33">IF(VLOOKUP($R33,武学奇术!$A:$ZZ,23,FALSE)=1,100%,MIN(80%,$B$9+VLOOKUP($R33,武学奇术!$A:$ZZ,17,FALSE)+SUM(_xlfn.XLOOKUP(S33:AG33,增益!$A:$A,增益!$Q:$Q,0)))+$B$11+SUM(_xlfn.XLOOKUP(S33:AG33,增益!$A:$A,增益!$U:$U,0)))*IF(VLOOKUP($R33,武学奇术!$A:$ZZ,24,FALSE)=1,0,1)</f>
        <v>0.846</v>
      </c>
      <c r="BL33" s="26" cm="1">
        <f t="array" ref="BL33">1+$B$13+VLOOKUP($R33,武学奇术!$A:$ZZ,18,FALSE)+SUM(_xlfn.XLOOKUP(S33:AG33,增益!$A:$A,增益!$R:$R,0))</f>
        <v>1.87</v>
      </c>
      <c r="BM33" s="26" cm="1">
        <f t="array" ref="BM33">IF(VLOOKUP($R33,武学奇术!$A:$ZZ,24,FALSE)=1,100%,MIN(40%,$B$10+VLOOKUP($R33,武学奇术!$A:$ZZ,19,FALSE)+SUM(_xlfn.XLOOKUP(S33:AG33,增益!$A:$A,增益!$S:$S,0)))+$B$12+SUM(_xlfn.XLOOKUP(S33:AG33,增益!$A:$A,增益!$V:$V,0)))*IF(VLOOKUP($R33,武学奇术!$A:$ZZ,23,FALSE)=1,0,1)</f>
        <v>0.0929</v>
      </c>
      <c r="BN33" s="26" cm="1">
        <f t="array" ref="BN33">1+$B$14+VLOOKUP($R33,武学奇术!$A:$ZZ,20,FALSE)+SUM(_xlfn.XLOOKUP(S33:AG33,增益!$A:$A,增益!$T:$T,0))</f>
        <v>1.35</v>
      </c>
      <c r="BO33" s="26">
        <f t="shared" si="9"/>
        <v>0.829926</v>
      </c>
      <c r="BP33" s="26">
        <f t="shared" si="10"/>
        <v>0.0599391</v>
      </c>
      <c r="BQ33" s="26">
        <f>IF(VLOOKUP($R33,武学奇术!$A:$ZZ,22,FALSE)=1,0,(1-$BJ33))*(1-$BM33)</f>
        <v>0.0172349</v>
      </c>
      <c r="BR33" s="26" cm="1">
        <f t="array" ref="BR33">SUM(_xlfn.XLOOKUP(S33:AG33,增益!$A:$A,增益!$W:$W,0))+$I$5</f>
        <v>0.11</v>
      </c>
    </row>
    <row r="34" spans="1:70">
      <c r="A34" s="4"/>
      <c r="B34" s="4"/>
      <c r="K34">
        <f>$L34*VLOOKUP($R34,武学奇术!$A:$ZZ,31,FALSE)</f>
        <v>23244.9032968136</v>
      </c>
      <c r="L34" s="38">
        <f t="shared" si="0"/>
        <v>22138.0031398225</v>
      </c>
      <c r="M34" s="38">
        <f>((($AO34+$AP34)/2*$AI34+$AJ34)*(1+$AQ34)*(1+$AR34)+(($AT34+$AU34)/2*IF($G$1="鸣金",$AK34,$AI34)+IF($G$1="鸣金",$AL34*1.5,0))*(1+$AV34)*(1+$AW34)+(($AX34+$AY34)/2*IF($G$1="裂石",$AK34,$AI34)+IF($G$1="裂石",$AL34*1.5,0))*(1+$AZ34)*(1+$BA34)+(($BB34+$BC34)/2*IF($G$1="牵丝",$AK34,$AI34)+IF($G$1="牵丝",$AL34*1.5,0))*(1+$BD34)*(1+$BE34)+(($BF34+$BG34)/2*IF($G$1="破竹",$AK34,$AI34)+IF($G$1="破竹",$AL34*1.5,0))*(1+$BH34)*(1+$BI34))*(1+$AM34)*$BL34*$Q34*(1+IF(VLOOKUP($R34,武学奇术!$A:$ZZ,30,FALSE)="回旋伞",$B$21,0))*(1+$BR34)</f>
        <v>23396.4063307208</v>
      </c>
      <c r="N34" s="38">
        <f>(($AP34*$AI34+$AJ34)*(1+$AQ34)*(1+$AR34)+($AU34*IF($G$1="鸣金",$AK34,$AI34)+IF($G$1="鸣金",$AL34*1.5,0))*(1+$AV34)*(1+$AW34)+($AY34*IF($G$1="裂石",$AK34,$AI34)+IF($G$1="裂石",$AL34*1.5,0))*(1+$AZ34)*(1+$BA34)+($BC34*IF($G$1="牵丝",$AK34,$AI34)+IF($G$1="牵丝",$AL34*1.5,0))*(1+$BD34)*(1+$BE34)+($BG34*IF($G$1="破竹",$AK34,$AI34)+IF($G$1="破竹",$AL34*1.5,0))*(1+$BH34)*(1+$BI34))*(1+$AM34)*$BN34*$Q34*(1+IF(VLOOKUP($R34,武学奇术!$A:$ZZ,30,FALSE)="回旋伞",$B$21,0))*(1+$BR34)</f>
        <v>19212.0277706021</v>
      </c>
      <c r="O34" s="38">
        <f>((($AO34+$AP34)/2*$AI34+$AJ34)*(1+$AQ34)*(1+$AR34)+(($AT34+$AU34)/2*IF($G$1="鸣金",$AK34,$AI34)+IF($G$1="鸣金",$AL34*1.5,0))*(1+$AV34)*(1+$AW34)+(($AX34+$AY34)/2*IF($G$1="裂石",$AK34,$AI34)+IF($G$1="裂石",$AL34*1.5,0))*(1+$AZ34)*(1+$BA34)+(($BB34+$BC34)/2*IF($G$1="牵丝",$AK34,$AI34)+IF($G$1="牵丝",$AL34*1.5,0))*(1+$BD34)*(1+$BE34)+(($BF34+$BG34)/2*IF($G$1="破竹",$AK34,$AI34)+IF($G$1="破竹",$AL34*1.5,0))*(1+$BH34)*(1+$BI34))*(1+$AM34)*$Q34*(1+IF(VLOOKUP($R34,武学奇术!$A:$ZZ,30,FALSE)="回旋伞",$B$21,0))*(1+$BR34)</f>
        <v>12511.4472356796</v>
      </c>
      <c r="P34" s="38">
        <f>((($AO34*$AI34+$AJ34)*(1+$AQ34)*(1+$AR34)+($AT34*IF($G$1="鸣金",$AK34,$AI34)+IF($G$1="鸣金",$AL34*1.5,0))*(1+$AV34)*(1+$AW34)+($AX34*IF($G$1="裂石",$AK34,$AI34)+IF($G$1="裂石",$AL34*1.5,0))*(1+$AZ34)*(1+$BA34)+($BB34*IF($G$1="牵丝",$AK34,$AI34)+IF($G$1="牵丝",$AL34*1.5,0))*(1+$BD34)*(1+$BE34)+($BF34*IF($G$1="破竹",$AK34,$AI34)+IF($G$1="破竹",$AL34*1.5,0))*(1+$BH34)*(1+$BI34))*(1+$AM34))*$Q34*(1+IF(VLOOKUP($R34,武学奇术!$A:$ZZ,30,FALSE)="回旋伞",$B$21,0))*(1+$BR34)</f>
        <v>10791.7627894317</v>
      </c>
      <c r="Q34" s="39">
        <v>2</v>
      </c>
      <c r="R34" s="40" t="s">
        <v>162</v>
      </c>
      <c r="S34" s="40" t="s">
        <v>72</v>
      </c>
      <c r="T34" s="40" t="s">
        <v>95</v>
      </c>
      <c r="U34" s="40" t="s">
        <v>73</v>
      </c>
      <c r="V34" s="40" t="s">
        <v>72</v>
      </c>
      <c r="W34" s="40" t="s">
        <v>160</v>
      </c>
      <c r="X34" s="40" t="s">
        <v>99</v>
      </c>
      <c r="Y34" s="40" t="s">
        <v>72</v>
      </c>
      <c r="Z34" s="40" t="s">
        <v>72</v>
      </c>
      <c r="AA34" s="40" t="s">
        <v>72</v>
      </c>
      <c r="AB34" s="40" t="s">
        <v>72</v>
      </c>
      <c r="AC34" s="40" t="s">
        <v>72</v>
      </c>
      <c r="AD34" s="40" t="s">
        <v>72</v>
      </c>
      <c r="AE34" s="40" t="s">
        <v>72</v>
      </c>
      <c r="AF34" s="40" t="s">
        <v>72</v>
      </c>
      <c r="AG34" s="40" t="s">
        <v>78</v>
      </c>
      <c r="AH34" t="str">
        <f>VLOOKUP($R34,武学奇术!$A:$ZZ,25,FALSE)</f>
        <v>伞</v>
      </c>
      <c r="AI34" s="26">
        <f>VLOOKUP($R34,武学奇术!$A:$ZZ,26,FALSE)</f>
        <v>0.54</v>
      </c>
      <c r="AJ34" s="27">
        <f>VLOOKUP($R34,武学奇术!$A:$ZZ,27,FALSE)*(1+IF(OR($AH34=$F$4,$AH34=$F$5),$B$22,0))</f>
        <v>0</v>
      </c>
      <c r="AK34" s="26">
        <f>VLOOKUP($R34,武学奇术!$A:$ZZ,28,FALSE)</f>
        <v>0.81</v>
      </c>
      <c r="AL34" s="27">
        <f>VLOOKUP($R34,武学奇术!$A:$ZZ,29,FALSE)*(1+IF(OR($AH34=$F$4,$AH34=$F$5),$B$22,0))</f>
        <v>0</v>
      </c>
      <c r="AM34" s="26" cm="1">
        <f t="array" ref="AM34">$G$3+IFERROR(VLOOKUP($AH34,$F$4:$G$7,2,FALSE),0)+VLOOKUP($R34,武学奇术!$A:$ZZ,2,FALSE)+SUM(_xlfn.XLOOKUP($S34:$AG34,增益!$A:$A,增益!$B:$B,0))</f>
        <v>0.5741</v>
      </c>
      <c r="AN34" s="26" cm="1">
        <f t="array" ref="AN34">VLOOKUP($R34,武学奇术!$A:$ZZ,5,FALSE)+SUM(_xlfn.XLOOKUP($S34:$AG34,增益!$A:$A,增益!$E:$E,0))</f>
        <v>0</v>
      </c>
      <c r="AO34" cm="1">
        <f t="array" ref="AO34">$D$10*(1+$AN34)+VLOOKUP($R34,武学奇术!$A:$ZZ,3,FALSE)+SUM(_xlfn.XLOOKUP($S34:$AG34,增益!$A:$A,增益!$C:$C,0))-$I$2</f>
        <v>3562.6</v>
      </c>
      <c r="AP34" cm="1">
        <f t="array" ref="AP34">$E$10*(1+$AN34)+VLOOKUP($R34,武学奇术!$A:$ZZ,4,FALSE)+SUM(_xlfn.XLOOKUP($S34:$AG34,增益!$A:$A,增益!$D:$D,0))-$I$2</f>
        <v>3562.6</v>
      </c>
      <c r="AQ34" s="32" cm="1">
        <f t="array" ref="AQ34">IF($F$10-$I$3+VLOOKUP($R34,武学奇术!$A:$ZZ,6,FALSE)+SUM(_xlfn.XLOOKUP(S34:AG34,增益!$A:$A,增益!$F:$F,0))&gt;0,($F$10-$I$3+VLOOKUP($R34,武学奇术!$A:$ZZ,6,FALSE)+SUM(_xlfn.XLOOKUP(S34:AG34,增益!$A:$A,增益!$F:$F,0)))/200,($F$10-$I$3+VLOOKUP($R34,武学奇术!$A:$ZZ,6,FALSE)+SUM(_xlfn.XLOOKUP(S34:AG34,增益!$A:$A,增益!$F:$F,0)))/100)</f>
        <v>0.2925</v>
      </c>
      <c r="AR34" s="32" cm="1">
        <f t="array" ref="AR34">$G$10+VLOOKUP($R34,武学奇术!$A:$ZZ,7,FALSE)+SUM(_xlfn.XLOOKUP(S34:AG34,增益!$A:$A,增益!$G:$G,0))</f>
        <v>0.028</v>
      </c>
      <c r="AS34" s="26" cm="1">
        <f t="array" ref="AS34">VLOOKUP($R34,武学奇术!$A:$ZZ,8,FALSE)+SUM(_xlfn.XLOOKUP(S34:AG34,增益!$A:$A,增益!$H:$H,0))</f>
        <v>0</v>
      </c>
      <c r="AT34">
        <f t="shared" si="1"/>
        <v>0</v>
      </c>
      <c r="AU34">
        <f t="shared" si="2"/>
        <v>0</v>
      </c>
      <c r="AV34" s="32" cm="1">
        <f t="array" ref="AV34">IF($F$11-$I$4+VLOOKUP($R34,武学奇术!$A:$ZZ,9,FALSE)+SUM(_xlfn.XLOOKUP(S34:AG34,增益!$A:$A,增益!$I:$I,0))&gt;0,($F$11-$I$4+VLOOKUP($R34,武学奇术!$A:$ZZ,9,FALSE)+SUM(_xlfn.XLOOKUP(S34:AG34,增益!$A:$A,增益!$I:$I,0)))/200,($F$11-$I$4+VLOOKUP($R34,武学奇术!$A:$ZZ,9,FALSE)+SUM(_xlfn.XLOOKUP(S34:AG34,增益!$A:$A,增益!$I:$I,0)))/100)</f>
        <v>-0.3</v>
      </c>
      <c r="AW34" s="32" cm="1">
        <f t="array" ref="AW34">$G$11+VLOOKUP($R34,武学奇术!$A:$ZZ,10,FALSE)+SUM(_xlfn.XLOOKUP(S34:AG34,增益!$A:$A,增益!$J:$J,0))</f>
        <v>0</v>
      </c>
      <c r="AX34">
        <f t="shared" si="3"/>
        <v>0</v>
      </c>
      <c r="AY34">
        <f t="shared" si="4"/>
        <v>0</v>
      </c>
      <c r="AZ34" s="32" cm="1">
        <f t="array" ref="AZ34">IF($F$12-$I$4+VLOOKUP($R34,武学奇术!$A:$ZZ,11,FALSE)+SUM(_xlfn.XLOOKUP(S34:AG34,增益!$A:$A,增益!$K:$K,0))&gt;0,($F$12-$I$4+VLOOKUP($R34,武学奇术!$A:$ZZ,11,FALSE)+SUM(_xlfn.XLOOKUP(S34:AG34,增益!$A:$A,增益!$K:$K,0)))/200,($F$12-$I$4+VLOOKUP($R34,武学奇术!$A:$ZZ,11,FALSE)+SUM(_xlfn.XLOOKUP(S34:AG34,增益!$A:$A,增益!$K:$K,0)))/100)</f>
        <v>-0.3</v>
      </c>
      <c r="BA34" s="32" cm="1">
        <f t="array" ref="BA34">$G$12+VLOOKUP($R34,武学奇术!$A:$ZZ,12,FALSE)+SUM(_xlfn.XLOOKUP(S34:AG34,增益!$A:$A,增益!$L:$L,0))</f>
        <v>0</v>
      </c>
      <c r="BB34">
        <f t="shared" si="5"/>
        <v>0</v>
      </c>
      <c r="BC34">
        <f t="shared" si="6"/>
        <v>0</v>
      </c>
      <c r="BD34" s="32" cm="1">
        <f t="array" ref="BD34">IF($F$13-$I$4+VLOOKUP($R34,武学奇术!$A:$ZZ,13,FALSE)+SUM(_xlfn.XLOOKUP(S34:AG34,增益!$A:$A,增益!$M:$M,0))&gt;0,($F$13-$I$4+VLOOKUP($R34,武学奇术!$A:$ZZ,13,FALSE)+SUM(_xlfn.XLOOKUP(S34:AG34,增益!$A:$A,增益!$K:$K,0)))/200,($F$13-$I$4+VLOOKUP($R34,武学奇术!$A:$ZZ,13,FALSE)+SUM(_xlfn.XLOOKUP(S34:AG34,增益!$A:$A,增益!$M:$M,0)))/100)</f>
        <v>-0.3</v>
      </c>
      <c r="BE34" s="32" cm="1">
        <f t="array" ref="BE34">$G$13+VLOOKUP($R34,武学奇术!$A:$ZZ,14,FALSE)+SUM(_xlfn.XLOOKUP(S34:AG34,增益!$A:$A,增益!$N:$N,0))</f>
        <v>0</v>
      </c>
      <c r="BF34">
        <f t="shared" si="7"/>
        <v>571.2</v>
      </c>
      <c r="BG34">
        <f t="shared" si="8"/>
        <v>1627.8</v>
      </c>
      <c r="BH34" s="32" cm="1">
        <f t="array" ref="BH34">IF($F$14-$I$4+VLOOKUP($R34,武学奇术!$A:$ZZ,15,FALSE)+SUM(_xlfn.XLOOKUP(S34:AG34,增益!$A:$A,增益!$O:$O,0))&gt;0,($F$14-$I$4+VLOOKUP($R34,武学奇术!$A:$ZZ,15,FALSE)+SUM(_xlfn.XLOOKUP(S34:AG34,增益!$A:$A,增益!$O:$O,0)))/200,($F$14-$I$4+VLOOKUP($R34,武学奇术!$A:$ZZ,15,FALSE)+SUM(_xlfn.XLOOKUP(S34:AG34,增益!$A:$A,增益!$O:$O,0)))/100)</f>
        <v>0</v>
      </c>
      <c r="BI34" s="32" cm="1">
        <f t="array" ref="BI34">$G$14+VLOOKUP($R34,武学奇术!$A:$ZZ,16,FALSE)+SUM(_xlfn.XLOOKUP(S34:AG34,增益!$A:$A,增益!$P:$P,0))</f>
        <v>0.15</v>
      </c>
      <c r="BJ34" s="26">
        <f>MIN(IF(VLOOKUP($R34,武学奇术!$A:$ZZ,23,FALSE)=1,100%,$B$8),100%)</f>
        <v>0.981</v>
      </c>
      <c r="BK34" s="26" cm="1">
        <f t="array" ref="BK34">IF(VLOOKUP($R34,武学奇术!$A:$ZZ,23,FALSE)=1,100%,MIN(80%,$B$9+VLOOKUP($R34,武学奇术!$A:$ZZ,17,FALSE)+SUM(_xlfn.XLOOKUP(S34:AG34,增益!$A:$A,增益!$Q:$Q,0)))+$B$11+SUM(_xlfn.XLOOKUP(S34:AG34,增益!$A:$A,增益!$U:$U,0)))*IF(VLOOKUP($R34,武学奇术!$A:$ZZ,24,FALSE)=1,0,1)</f>
        <v>0.846</v>
      </c>
      <c r="BL34" s="26" cm="1">
        <f t="array" ref="BL34">1+$B$13+VLOOKUP($R34,武学奇术!$A:$ZZ,18,FALSE)+SUM(_xlfn.XLOOKUP(S34:AG34,增益!$A:$A,增益!$R:$R,0))</f>
        <v>1.87</v>
      </c>
      <c r="BM34" s="26" cm="1">
        <f t="array" ref="BM34">IF(VLOOKUP($R34,武学奇术!$A:$ZZ,24,FALSE)=1,100%,MIN(40%,$B$10+VLOOKUP($R34,武学奇术!$A:$ZZ,19,FALSE)+SUM(_xlfn.XLOOKUP(S34:AG34,增益!$A:$A,增益!$S:$S,0)))+$B$12+SUM(_xlfn.XLOOKUP(S34:AG34,增益!$A:$A,增益!$V:$V,0)))*IF(VLOOKUP($R34,武学奇术!$A:$ZZ,23,FALSE)=1,0,1)</f>
        <v>0.0929</v>
      </c>
      <c r="BN34" s="26" cm="1">
        <f t="array" ref="BN34">1+$B$14+VLOOKUP($R34,武学奇术!$A:$ZZ,20,FALSE)+SUM(_xlfn.XLOOKUP(S34:AG34,增益!$A:$A,增益!$T:$T,0))</f>
        <v>1.35</v>
      </c>
      <c r="BO34" s="26">
        <f t="shared" si="9"/>
        <v>0.829926</v>
      </c>
      <c r="BP34" s="26">
        <f t="shared" si="10"/>
        <v>0.0599391</v>
      </c>
      <c r="BQ34" s="26">
        <f>IF(VLOOKUP($R34,武学奇术!$A:$ZZ,22,FALSE)=1,0,(1-$BJ34))*(1-$BM34)</f>
        <v>0.0172349</v>
      </c>
      <c r="BR34" s="26" cm="1">
        <f t="array" ref="BR34">SUM(_xlfn.XLOOKUP(S34:AG34,增益!$A:$A,增益!$W:$W,0))+$I$5</f>
        <v>0.11</v>
      </c>
    </row>
    <row r="35" spans="1:70">
      <c r="A35" s="4"/>
      <c r="B35" s="87"/>
      <c r="K35">
        <f>$L35*VLOOKUP($R35,武学奇术!$A:$ZZ,31,FALSE)</f>
        <v>43376.7233407457</v>
      </c>
      <c r="L35" s="38">
        <f t="shared" si="0"/>
        <v>41311.1650864244</v>
      </c>
      <c r="M35" s="38">
        <f>((($AO35+$AP35)/2*$AI35+$AJ35)*(1+$AQ35)*(1+$AR35)+(($AT35+$AU35)/2*IF($G$1="鸣金",$AK35,$AI35)+IF($G$1="鸣金",$AL35*1.5,0))*(1+$AV35)*(1+$AW35)+(($AX35+$AY35)/2*IF($G$1="裂石",$AK35,$AI35)+IF($G$1="裂石",$AL35*1.5,0))*(1+$AZ35)*(1+$BA35)+(($BB35+$BC35)/2*IF($G$1="牵丝",$AK35,$AI35)+IF($G$1="牵丝",$AL35*1.5,0))*(1+$BD35)*(1+$BE35)+(($BF35+$BG35)/2*IF($G$1="破竹",$AK35,$AI35)+IF($G$1="破竹",$AL35*1.5,0))*(1+$BH35)*(1+$BI35))*(1+$AM35)*$BL35*$Q35*(1+IF(VLOOKUP($R35,武学奇术!$A:$ZZ,30,FALSE)="回旋伞",$B$21,0))*(1+$BR35)</f>
        <v>43733.4384801182</v>
      </c>
      <c r="N35" s="38">
        <f>(($AP35*$AI35+$AJ35)*(1+$AQ35)*(1+$AR35)+($AU35*IF($G$1="鸣金",$AK35,$AI35)+IF($G$1="鸣金",$AL35*1.5,0))*(1+$AV35)*(1+$AW35)+($AY35*IF($G$1="裂石",$AK35,$AI35)+IF($G$1="裂石",$AL35*1.5,0))*(1+$AZ35)*(1+$BA35)+($BC35*IF($G$1="牵丝",$AK35,$AI35)+IF($G$1="牵丝",$AL35*1.5,0))*(1+$BD35)*(1+$BE35)+($BG35*IF($G$1="破竹",$AK35,$AI35)+IF($G$1="破竹",$AL35*1.5,0))*(1+$BH35)*(1+$BI35))*(1+$AM35)*$BN35*$Q35*(1+IF(VLOOKUP($R35,武学奇术!$A:$ZZ,30,FALSE)="回旋伞",$B$21,0))*(1+$BR35)</f>
        <v>35184.6198323255</v>
      </c>
      <c r="O35" s="38">
        <f>((($AO35+$AP35)/2*$AI35+$AJ35)*(1+$AQ35)*(1+$AR35)+(($AT35+$AU35)/2*IF($G$1="鸣金",$AK35,$AI35)+IF($G$1="鸣金",$AL35*1.5,0))*(1+$AV35)*(1+$AW35)+(($AX35+$AY35)/2*IF($G$1="裂石",$AK35,$AI35)+IF($G$1="裂石",$AL35*1.5,0))*(1+$AZ35)*(1+$BA35)+(($BB35+$BC35)/2*IF($G$1="牵丝",$AK35,$AI35)+IF($G$1="牵丝",$AL35*1.5,0))*(1+$BD35)*(1+$BE35)+(($BF35+$BG35)/2*IF($G$1="破竹",$AK35,$AI35)+IF($G$1="破竹",$AL35*1.5,0))*(1+$BH35)*(1+$BI35))*(1+$AM35)*$Q35*(1+IF(VLOOKUP($R35,武学奇术!$A:$ZZ,30,FALSE)="回旋伞",$B$21,0))*(1+$BR35)</f>
        <v>23262.4672766586</v>
      </c>
      <c r="P35" s="38">
        <f>((($AO35*$AI35+$AJ35)*(1+$AQ35)*(1+$AR35)+($AT35*IF($G$1="鸣金",$AK35,$AI35)+IF($G$1="鸣金",$AL35*1.5,0))*(1+$AV35)*(1+$AW35)+($AX35*IF($G$1="裂石",$AK35,$AI35)+IF($G$1="裂石",$AL35*1.5,0))*(1+$AZ35)*(1+$BA35)+($BB35*IF($G$1="牵丝",$AK35,$AI35)+IF($G$1="牵丝",$AL35*1.5,0))*(1+$BD35)*(1+$BE35)+($BF35*IF($G$1="破竹",$AK35,$AI35)+IF($G$1="破竹",$AL35*1.5,0))*(1+$BH35)*(1+$BI35))*(1+$AM35))*$Q35*(1+IF(VLOOKUP($R35,武学奇术!$A:$ZZ,30,FALSE)="回旋伞",$B$21,0))*(1+$BR35)</f>
        <v>20462.2531960392</v>
      </c>
      <c r="Q35" s="39">
        <v>1</v>
      </c>
      <c r="R35" s="40" t="s">
        <v>159</v>
      </c>
      <c r="S35" s="40" t="s">
        <v>72</v>
      </c>
      <c r="T35" s="40" t="s">
        <v>95</v>
      </c>
      <c r="U35" s="40" t="s">
        <v>73</v>
      </c>
      <c r="V35" s="40" t="s">
        <v>72</v>
      </c>
      <c r="W35" s="40" t="s">
        <v>165</v>
      </c>
      <c r="X35" s="40" t="s">
        <v>99</v>
      </c>
      <c r="Y35" s="40" t="s">
        <v>72</v>
      </c>
      <c r="Z35" s="40" t="s">
        <v>72</v>
      </c>
      <c r="AA35" s="40" t="s">
        <v>72</v>
      </c>
      <c r="AB35" s="40" t="s">
        <v>72</v>
      </c>
      <c r="AC35" s="40" t="s">
        <v>72</v>
      </c>
      <c r="AD35" s="40" t="s">
        <v>72</v>
      </c>
      <c r="AE35" s="40" t="s">
        <v>72</v>
      </c>
      <c r="AF35" s="40" t="s">
        <v>72</v>
      </c>
      <c r="AG35" s="40" t="s">
        <v>78</v>
      </c>
      <c r="AH35" t="str">
        <f>VLOOKUP($R35,武学奇术!$A:$ZZ,25,FALSE)</f>
        <v>伞</v>
      </c>
      <c r="AI35" s="26">
        <f>VLOOKUP($R35,武学奇术!$A:$ZZ,26,FALSE)</f>
        <v>2.01456</v>
      </c>
      <c r="AJ35" s="27">
        <f>VLOOKUP($R35,武学奇术!$A:$ZZ,27,FALSE)*(1+IF(OR($AH35=$F$4,$AH35=$F$5),$B$22,0))</f>
        <v>837</v>
      </c>
      <c r="AK35" s="26">
        <f>VLOOKUP($R35,武学奇术!$A:$ZZ,28,FALSE)</f>
        <v>3.02184</v>
      </c>
      <c r="AL35" s="27">
        <f>VLOOKUP($R35,武学奇术!$A:$ZZ,29,FALSE)*(1+IF(OR($AH35=$F$4,$AH35=$F$5),$B$22,0))</f>
        <v>453.6</v>
      </c>
      <c r="AM35" s="26" cm="1">
        <f t="array" ref="AM35">$G$3+IFERROR(VLOOKUP($AH35,$F$4:$G$7,2,FALSE),0)+VLOOKUP($R35,武学奇术!$A:$ZZ,2,FALSE)+SUM(_xlfn.XLOOKUP($S35:$AG35,增益!$A:$A,增益!$B:$B,0))</f>
        <v>0.3741</v>
      </c>
      <c r="AN35" s="26" cm="1">
        <f t="array" ref="AN35">VLOOKUP($R35,武学奇术!$A:$ZZ,5,FALSE)+SUM(_xlfn.XLOOKUP($S35:$AG35,增益!$A:$A,增益!$E:$E,0))</f>
        <v>0</v>
      </c>
      <c r="AO35" cm="1">
        <f t="array" ref="AO35">$D$10*(1+$AN35)+VLOOKUP($R35,武学奇术!$A:$ZZ,3,FALSE)+SUM(_xlfn.XLOOKUP($S35:$AG35,增益!$A:$A,增益!$C:$C,0))-$I$2</f>
        <v>3562.6</v>
      </c>
      <c r="AP35" cm="1">
        <f t="array" ref="AP35">$E$10*(1+$AN35)+VLOOKUP($R35,武学奇术!$A:$ZZ,4,FALSE)+SUM(_xlfn.XLOOKUP($S35:$AG35,增益!$A:$A,增益!$D:$D,0))-$I$2</f>
        <v>3562.6</v>
      </c>
      <c r="AQ35" s="32" cm="1">
        <f t="array" ref="AQ35">IF($F$10-$I$3+VLOOKUP($R35,武学奇术!$A:$ZZ,6,FALSE)+SUM(_xlfn.XLOOKUP(S35:AG35,增益!$A:$A,增益!$F:$F,0))&gt;0,($F$10-$I$3+VLOOKUP($R35,武学奇术!$A:$ZZ,6,FALSE)+SUM(_xlfn.XLOOKUP(S35:AG35,增益!$A:$A,增益!$F:$F,0)))/200,($F$10-$I$3+VLOOKUP($R35,武学奇术!$A:$ZZ,6,FALSE)+SUM(_xlfn.XLOOKUP(S35:AG35,增益!$A:$A,增益!$F:$F,0)))/100)</f>
        <v>0.2925</v>
      </c>
      <c r="AR35" s="32" cm="1">
        <f t="array" ref="AR35">$G$10+VLOOKUP($R35,武学奇术!$A:$ZZ,7,FALSE)+SUM(_xlfn.XLOOKUP(S35:AG35,增益!$A:$A,增益!$G:$G,0))</f>
        <v>0.028</v>
      </c>
      <c r="AS35" s="26" cm="1">
        <f t="array" ref="AS35">VLOOKUP($R35,武学奇术!$A:$ZZ,8,FALSE)+SUM(_xlfn.XLOOKUP(S35:AG35,增益!$A:$A,增益!$H:$H,0))</f>
        <v>0</v>
      </c>
      <c r="AT35">
        <f t="shared" si="1"/>
        <v>0</v>
      </c>
      <c r="AU35">
        <f t="shared" si="2"/>
        <v>0</v>
      </c>
      <c r="AV35" s="32" cm="1">
        <f t="array" ref="AV35">IF($F$11-$I$4+VLOOKUP($R35,武学奇术!$A:$ZZ,9,FALSE)+SUM(_xlfn.XLOOKUP(S35:AG35,增益!$A:$A,增益!$I:$I,0))&gt;0,($F$11-$I$4+VLOOKUP($R35,武学奇术!$A:$ZZ,9,FALSE)+SUM(_xlfn.XLOOKUP(S35:AG35,增益!$A:$A,增益!$I:$I,0)))/200,($F$11-$I$4+VLOOKUP($R35,武学奇术!$A:$ZZ,9,FALSE)+SUM(_xlfn.XLOOKUP(S35:AG35,增益!$A:$A,增益!$I:$I,0)))/100)</f>
        <v>-0.3</v>
      </c>
      <c r="AW35" s="32" cm="1">
        <f t="array" ref="AW35">$G$11+VLOOKUP($R35,武学奇术!$A:$ZZ,10,FALSE)+SUM(_xlfn.XLOOKUP(S35:AG35,增益!$A:$A,增益!$J:$J,0))</f>
        <v>0</v>
      </c>
      <c r="AX35">
        <f t="shared" si="3"/>
        <v>0</v>
      </c>
      <c r="AY35">
        <f t="shared" si="4"/>
        <v>0</v>
      </c>
      <c r="AZ35" s="32" cm="1">
        <f t="array" ref="AZ35">IF($F$12-$I$4+VLOOKUP($R35,武学奇术!$A:$ZZ,11,FALSE)+SUM(_xlfn.XLOOKUP(S35:AG35,增益!$A:$A,增益!$K:$K,0))&gt;0,($F$12-$I$4+VLOOKUP($R35,武学奇术!$A:$ZZ,11,FALSE)+SUM(_xlfn.XLOOKUP(S35:AG35,增益!$A:$A,增益!$K:$K,0)))/200,($F$12-$I$4+VLOOKUP($R35,武学奇术!$A:$ZZ,11,FALSE)+SUM(_xlfn.XLOOKUP(S35:AG35,增益!$A:$A,增益!$K:$K,0)))/100)</f>
        <v>-0.3</v>
      </c>
      <c r="BA35" s="32" cm="1">
        <f t="array" ref="BA35">$G$12+VLOOKUP($R35,武学奇术!$A:$ZZ,12,FALSE)+SUM(_xlfn.XLOOKUP(S35:AG35,增益!$A:$A,增益!$L:$L,0))</f>
        <v>0</v>
      </c>
      <c r="BB35">
        <f t="shared" si="5"/>
        <v>0</v>
      </c>
      <c r="BC35">
        <f t="shared" si="6"/>
        <v>0</v>
      </c>
      <c r="BD35" s="32" cm="1">
        <f t="array" ref="BD35">IF($F$13-$I$4+VLOOKUP($R35,武学奇术!$A:$ZZ,13,FALSE)+SUM(_xlfn.XLOOKUP(S35:AG35,增益!$A:$A,增益!$M:$M,0))&gt;0,($F$13-$I$4+VLOOKUP($R35,武学奇术!$A:$ZZ,13,FALSE)+SUM(_xlfn.XLOOKUP(S35:AG35,增益!$A:$A,增益!$K:$K,0)))/200,($F$13-$I$4+VLOOKUP($R35,武学奇术!$A:$ZZ,13,FALSE)+SUM(_xlfn.XLOOKUP(S35:AG35,增益!$A:$A,增益!$M:$M,0)))/100)</f>
        <v>-0.3</v>
      </c>
      <c r="BE35" s="32" cm="1">
        <f t="array" ref="BE35">$G$13+VLOOKUP($R35,武学奇术!$A:$ZZ,14,FALSE)+SUM(_xlfn.XLOOKUP(S35:AG35,增益!$A:$A,增益!$N:$N,0))</f>
        <v>0</v>
      </c>
      <c r="BF35">
        <f t="shared" si="7"/>
        <v>571.2</v>
      </c>
      <c r="BG35">
        <f t="shared" si="8"/>
        <v>1627.8</v>
      </c>
      <c r="BH35" s="32" cm="1">
        <f t="array" ref="BH35">IF($F$14-$I$4+VLOOKUP($R35,武学奇术!$A:$ZZ,15,FALSE)+SUM(_xlfn.XLOOKUP(S35:AG35,增益!$A:$A,增益!$O:$O,0))&gt;0,($F$14-$I$4+VLOOKUP($R35,武学奇术!$A:$ZZ,15,FALSE)+SUM(_xlfn.XLOOKUP(S35:AG35,增益!$A:$A,增益!$O:$O,0)))/200,($F$14-$I$4+VLOOKUP($R35,武学奇术!$A:$ZZ,15,FALSE)+SUM(_xlfn.XLOOKUP(S35:AG35,增益!$A:$A,增益!$O:$O,0)))/100)</f>
        <v>0</v>
      </c>
      <c r="BI35" s="32" cm="1">
        <f t="array" ref="BI35">$G$14+VLOOKUP($R35,武学奇术!$A:$ZZ,16,FALSE)+SUM(_xlfn.XLOOKUP(S35:AG35,增益!$A:$A,增益!$P:$P,0))</f>
        <v>0.15</v>
      </c>
      <c r="BJ35" s="26">
        <f>MIN(IF(VLOOKUP($R35,武学奇术!$A:$ZZ,23,FALSE)=1,100%,$B$8),100%)</f>
        <v>0.981</v>
      </c>
      <c r="BK35" s="26" cm="1">
        <f t="array" ref="BK35">IF(VLOOKUP($R35,武学奇术!$A:$ZZ,23,FALSE)=1,100%,MIN(80%,$B$9+VLOOKUP($R35,武学奇术!$A:$ZZ,17,FALSE)+SUM(_xlfn.XLOOKUP(S35:AG35,增益!$A:$A,增益!$Q:$Q,0)))+$B$11+SUM(_xlfn.XLOOKUP(S35:AG35,增益!$A:$A,增益!$U:$U,0)))*IF(VLOOKUP($R35,武学奇术!$A:$ZZ,24,FALSE)=1,0,1)</f>
        <v>0.846</v>
      </c>
      <c r="BL35" s="26" cm="1">
        <f t="array" ref="BL35">1+$B$13+VLOOKUP($R35,武学奇术!$A:$ZZ,18,FALSE)+SUM(_xlfn.XLOOKUP(S35:AG35,增益!$A:$A,增益!$R:$R,0))</f>
        <v>1.88</v>
      </c>
      <c r="BM35" s="26" cm="1">
        <f t="array" ref="BM35">IF(VLOOKUP($R35,武学奇术!$A:$ZZ,24,FALSE)=1,100%,MIN(40%,$B$10+VLOOKUP($R35,武学奇术!$A:$ZZ,19,FALSE)+SUM(_xlfn.XLOOKUP(S35:AG35,增益!$A:$A,增益!$S:$S,0)))+$B$12+SUM(_xlfn.XLOOKUP(S35:AG35,增益!$A:$A,增益!$V:$V,0)))*IF(VLOOKUP($R35,武学奇术!$A:$ZZ,23,FALSE)=1,0,1)</f>
        <v>0.0929</v>
      </c>
      <c r="BN35" s="26" cm="1">
        <f t="array" ref="BN35">1+$B$14+VLOOKUP($R35,武学奇术!$A:$ZZ,20,FALSE)+SUM(_xlfn.XLOOKUP(S35:AG35,增益!$A:$A,增益!$T:$T,0))</f>
        <v>1.35</v>
      </c>
      <c r="BO35" s="26">
        <f t="shared" si="9"/>
        <v>0.829926</v>
      </c>
      <c r="BP35" s="26">
        <f t="shared" si="10"/>
        <v>0.0599391</v>
      </c>
      <c r="BQ35" s="26">
        <f>IF(VLOOKUP($R35,武学奇术!$A:$ZZ,22,FALSE)=1,0,(1-$BJ35))*(1-$BM35)</f>
        <v>0.0172349</v>
      </c>
      <c r="BR35" s="26" cm="1">
        <f t="array" ref="BR35">SUM(_xlfn.XLOOKUP(S35:AG35,增益!$A:$A,增益!$W:$W,0))+$I$5</f>
        <v>0.11</v>
      </c>
    </row>
    <row r="36" spans="1:70">
      <c r="A36" s="4"/>
      <c r="B36" s="4"/>
      <c r="K36">
        <f>$L36*VLOOKUP($R36,武学奇术!$A:$ZZ,31,FALSE)</f>
        <v>11676.965419039</v>
      </c>
      <c r="L36" s="38">
        <f t="shared" si="0"/>
        <v>11120.9194467038</v>
      </c>
      <c r="M36" s="38">
        <f>((($AO36+$AP36)/2*$AI36+$AJ36)*(1+$AQ36)*(1+$AR36)+(($AT36+$AU36)/2*IF($G$1="鸣金",$AK36,$AI36)+IF($G$1="鸣金",$AL36*1.5,0))*(1+$AV36)*(1+$AW36)+(($AX36+$AY36)/2*IF($G$1="裂石",$AK36,$AI36)+IF($G$1="裂石",$AL36*1.5,0))*(1+$AZ36)*(1+$BA36)+(($BB36+$BC36)/2*IF($G$1="牵丝",$AK36,$AI36)+IF($G$1="牵丝",$AL36*1.5,0))*(1+$BD36)*(1+$BE36)+(($BF36+$BG36)/2*IF($G$1="破竹",$AK36,$AI36)+IF($G$1="破竹",$AL36*1.5,0))*(1+$BH36)*(1+$BI36))*(1+$AM36)*$BL36*$Q36*(1+IF(VLOOKUP($R36,武学奇术!$A:$ZZ,30,FALSE)="回旋伞",$B$21,0))*(1+$BR36)</f>
        <v>11760.7604015388</v>
      </c>
      <c r="N36" s="38">
        <f>(($AP36*$AI36+$AJ36)*(1+$AQ36)*(1+$AR36)+($AU36*IF($G$1="鸣金",$AK36,$AI36)+IF($G$1="鸣金",$AL36*1.5,0))*(1+$AV36)*(1+$AW36)+($AY36*IF($G$1="裂石",$AK36,$AI36)+IF($G$1="裂石",$AL36*1.5,0))*(1+$AZ36)*(1+$BA36)+($BC36*IF($G$1="牵丝",$AK36,$AI36)+IF($G$1="牵丝",$AL36*1.5,0))*(1+$BD36)*(1+$BE36)+($BG36*IF($G$1="破竹",$AK36,$AI36)+IF($G$1="破竹",$AL36*1.5,0))*(1+$BH36)*(1+$BI36))*(1+$AM36)*$BN36*$Q36*(1+IF(VLOOKUP($R36,武学奇术!$A:$ZZ,30,FALSE)="回旋伞",$B$21,0))*(1+$BR36)</f>
        <v>9606.01388530106</v>
      </c>
      <c r="O36" s="38">
        <f>((($AO36+$AP36)/2*$AI36+$AJ36)*(1+$AQ36)*(1+$AR36)+(($AT36+$AU36)/2*IF($G$1="鸣金",$AK36,$AI36)+IF($G$1="鸣金",$AL36*1.5,0))*(1+$AV36)*(1+$AW36)+(($AX36+$AY36)/2*IF($G$1="裂石",$AK36,$AI36)+IF($G$1="裂石",$AL36*1.5,0))*(1+$AZ36)*(1+$BA36)+(($BB36+$BC36)/2*IF($G$1="牵丝",$AK36,$AI36)+IF($G$1="牵丝",$AL36*1.5,0))*(1+$BD36)*(1+$BE36)+(($BF36+$BG36)/2*IF($G$1="破竹",$AK36,$AI36)+IF($G$1="破竹",$AL36*1.5,0))*(1+$BH36)*(1+$BI36))*(1+$AM36)*$Q36*(1+IF(VLOOKUP($R36,武学奇术!$A:$ZZ,30,FALSE)="回旋伞",$B$21,0))*(1+$BR36)</f>
        <v>6255.7236178398</v>
      </c>
      <c r="P36" s="38">
        <f>((($AO36*$AI36+$AJ36)*(1+$AQ36)*(1+$AR36)+($AT36*IF($G$1="鸣金",$AK36,$AI36)+IF($G$1="鸣金",$AL36*1.5,0))*(1+$AV36)*(1+$AW36)+($AX36*IF($G$1="裂石",$AK36,$AI36)+IF($G$1="裂石",$AL36*1.5,0))*(1+$AZ36)*(1+$BA36)+($BB36*IF($G$1="牵丝",$AK36,$AI36)+IF($G$1="牵丝",$AL36*1.5,0))*(1+$BD36)*(1+$BE36)+($BF36*IF($G$1="破竹",$AK36,$AI36)+IF($G$1="破竹",$AL36*1.5,0))*(1+$BH36)*(1+$BI36))*(1+$AM36))*$Q36*(1+IF(VLOOKUP($R36,武学奇术!$A:$ZZ,30,FALSE)="回旋伞",$B$21,0))*(1+$BR36)</f>
        <v>5395.88139471585</v>
      </c>
      <c r="Q36" s="39">
        <v>1</v>
      </c>
      <c r="R36" s="40" t="s">
        <v>162</v>
      </c>
      <c r="S36" s="40" t="s">
        <v>72</v>
      </c>
      <c r="T36" s="40" t="s">
        <v>95</v>
      </c>
      <c r="U36" s="40" t="s">
        <v>73</v>
      </c>
      <c r="V36" s="40" t="s">
        <v>72</v>
      </c>
      <c r="W36" s="40" t="s">
        <v>165</v>
      </c>
      <c r="X36" s="40" t="s">
        <v>99</v>
      </c>
      <c r="Y36" s="40" t="s">
        <v>72</v>
      </c>
      <c r="Z36" s="40" t="s">
        <v>72</v>
      </c>
      <c r="AA36" s="40" t="s">
        <v>72</v>
      </c>
      <c r="AB36" s="40" t="s">
        <v>72</v>
      </c>
      <c r="AC36" s="40" t="s">
        <v>72</v>
      </c>
      <c r="AD36" s="40" t="s">
        <v>72</v>
      </c>
      <c r="AE36" s="40" t="s">
        <v>72</v>
      </c>
      <c r="AF36" s="40" t="s">
        <v>72</v>
      </c>
      <c r="AG36" s="40" t="s">
        <v>78</v>
      </c>
      <c r="AH36" t="str">
        <f>VLOOKUP($R36,武学奇术!$A:$ZZ,25,FALSE)</f>
        <v>伞</v>
      </c>
      <c r="AI36" s="26">
        <f>VLOOKUP($R36,武学奇术!$A:$ZZ,26,FALSE)</f>
        <v>0.54</v>
      </c>
      <c r="AJ36" s="27">
        <f>VLOOKUP($R36,武学奇术!$A:$ZZ,27,FALSE)*(1+IF(OR($AH36=$F$4,$AH36=$F$5),$B$22,0))</f>
        <v>0</v>
      </c>
      <c r="AK36" s="26">
        <f>VLOOKUP($R36,武学奇术!$A:$ZZ,28,FALSE)</f>
        <v>0.81</v>
      </c>
      <c r="AL36" s="27">
        <f>VLOOKUP($R36,武学奇术!$A:$ZZ,29,FALSE)*(1+IF(OR($AH36=$F$4,$AH36=$F$5),$B$22,0))</f>
        <v>0</v>
      </c>
      <c r="AM36" s="26" cm="1">
        <f t="array" ref="AM36">$G$3+IFERROR(VLOOKUP($AH36,$F$4:$G$7,2,FALSE),0)+VLOOKUP($R36,武学奇术!$A:$ZZ,2,FALSE)+SUM(_xlfn.XLOOKUP($S36:$AG36,增益!$A:$A,增益!$B:$B,0))</f>
        <v>0.5741</v>
      </c>
      <c r="AN36" s="26" cm="1">
        <f t="array" ref="AN36">VLOOKUP($R36,武学奇术!$A:$ZZ,5,FALSE)+SUM(_xlfn.XLOOKUP($S36:$AG36,增益!$A:$A,增益!$E:$E,0))</f>
        <v>0</v>
      </c>
      <c r="AO36" cm="1">
        <f t="array" ref="AO36">$D$10*(1+$AN36)+VLOOKUP($R36,武学奇术!$A:$ZZ,3,FALSE)+SUM(_xlfn.XLOOKUP($S36:$AG36,增益!$A:$A,增益!$C:$C,0))-$I$2</f>
        <v>3562.6</v>
      </c>
      <c r="AP36" cm="1">
        <f t="array" ref="AP36">$E$10*(1+$AN36)+VLOOKUP($R36,武学奇术!$A:$ZZ,4,FALSE)+SUM(_xlfn.XLOOKUP($S36:$AG36,增益!$A:$A,增益!$D:$D,0))-$I$2</f>
        <v>3562.6</v>
      </c>
      <c r="AQ36" s="32" cm="1">
        <f t="array" ref="AQ36">IF($F$10-$I$3+VLOOKUP($R36,武学奇术!$A:$ZZ,6,FALSE)+SUM(_xlfn.XLOOKUP(S36:AG36,增益!$A:$A,增益!$F:$F,0))&gt;0,($F$10-$I$3+VLOOKUP($R36,武学奇术!$A:$ZZ,6,FALSE)+SUM(_xlfn.XLOOKUP(S36:AG36,增益!$A:$A,增益!$F:$F,0)))/200,($F$10-$I$3+VLOOKUP($R36,武学奇术!$A:$ZZ,6,FALSE)+SUM(_xlfn.XLOOKUP(S36:AG36,增益!$A:$A,增益!$F:$F,0)))/100)</f>
        <v>0.2925</v>
      </c>
      <c r="AR36" s="32" cm="1">
        <f t="array" ref="AR36">$G$10+VLOOKUP($R36,武学奇术!$A:$ZZ,7,FALSE)+SUM(_xlfn.XLOOKUP(S36:AG36,增益!$A:$A,增益!$G:$G,0))</f>
        <v>0.028</v>
      </c>
      <c r="AS36" s="26" cm="1">
        <f t="array" ref="AS36">VLOOKUP($R36,武学奇术!$A:$ZZ,8,FALSE)+SUM(_xlfn.XLOOKUP(S36:AG36,增益!$A:$A,增益!$H:$H,0))</f>
        <v>0</v>
      </c>
      <c r="AT36">
        <f t="shared" si="1"/>
        <v>0</v>
      </c>
      <c r="AU36">
        <f t="shared" si="2"/>
        <v>0</v>
      </c>
      <c r="AV36" s="32" cm="1">
        <f t="array" ref="AV36">IF($F$11-$I$4+VLOOKUP($R36,武学奇术!$A:$ZZ,9,FALSE)+SUM(_xlfn.XLOOKUP(S36:AG36,增益!$A:$A,增益!$I:$I,0))&gt;0,($F$11-$I$4+VLOOKUP($R36,武学奇术!$A:$ZZ,9,FALSE)+SUM(_xlfn.XLOOKUP(S36:AG36,增益!$A:$A,增益!$I:$I,0)))/200,($F$11-$I$4+VLOOKUP($R36,武学奇术!$A:$ZZ,9,FALSE)+SUM(_xlfn.XLOOKUP(S36:AG36,增益!$A:$A,增益!$I:$I,0)))/100)</f>
        <v>-0.3</v>
      </c>
      <c r="AW36" s="32" cm="1">
        <f t="array" ref="AW36">$G$11+VLOOKUP($R36,武学奇术!$A:$ZZ,10,FALSE)+SUM(_xlfn.XLOOKUP(S36:AG36,增益!$A:$A,增益!$J:$J,0))</f>
        <v>0</v>
      </c>
      <c r="AX36">
        <f t="shared" si="3"/>
        <v>0</v>
      </c>
      <c r="AY36">
        <f t="shared" si="4"/>
        <v>0</v>
      </c>
      <c r="AZ36" s="32" cm="1">
        <f t="array" ref="AZ36">IF($F$12-$I$4+VLOOKUP($R36,武学奇术!$A:$ZZ,11,FALSE)+SUM(_xlfn.XLOOKUP(S36:AG36,增益!$A:$A,增益!$K:$K,0))&gt;0,($F$12-$I$4+VLOOKUP($R36,武学奇术!$A:$ZZ,11,FALSE)+SUM(_xlfn.XLOOKUP(S36:AG36,增益!$A:$A,增益!$K:$K,0)))/200,($F$12-$I$4+VLOOKUP($R36,武学奇术!$A:$ZZ,11,FALSE)+SUM(_xlfn.XLOOKUP(S36:AG36,增益!$A:$A,增益!$K:$K,0)))/100)</f>
        <v>-0.3</v>
      </c>
      <c r="BA36" s="32" cm="1">
        <f t="array" ref="BA36">$G$12+VLOOKUP($R36,武学奇术!$A:$ZZ,12,FALSE)+SUM(_xlfn.XLOOKUP(S36:AG36,增益!$A:$A,增益!$L:$L,0))</f>
        <v>0</v>
      </c>
      <c r="BB36">
        <f t="shared" si="5"/>
        <v>0</v>
      </c>
      <c r="BC36">
        <f t="shared" si="6"/>
        <v>0</v>
      </c>
      <c r="BD36" s="32" cm="1">
        <f t="array" ref="BD36">IF($F$13-$I$4+VLOOKUP($R36,武学奇术!$A:$ZZ,13,FALSE)+SUM(_xlfn.XLOOKUP(S36:AG36,增益!$A:$A,增益!$M:$M,0))&gt;0,($F$13-$I$4+VLOOKUP($R36,武学奇术!$A:$ZZ,13,FALSE)+SUM(_xlfn.XLOOKUP(S36:AG36,增益!$A:$A,增益!$K:$K,0)))/200,($F$13-$I$4+VLOOKUP($R36,武学奇术!$A:$ZZ,13,FALSE)+SUM(_xlfn.XLOOKUP(S36:AG36,增益!$A:$A,增益!$M:$M,0)))/100)</f>
        <v>-0.3</v>
      </c>
      <c r="BE36" s="32" cm="1">
        <f t="array" ref="BE36">$G$13+VLOOKUP($R36,武学奇术!$A:$ZZ,14,FALSE)+SUM(_xlfn.XLOOKUP(S36:AG36,增益!$A:$A,增益!$N:$N,0))</f>
        <v>0</v>
      </c>
      <c r="BF36">
        <f t="shared" si="7"/>
        <v>571.2</v>
      </c>
      <c r="BG36">
        <f t="shared" si="8"/>
        <v>1627.8</v>
      </c>
      <c r="BH36" s="32" cm="1">
        <f t="array" ref="BH36">IF($F$14-$I$4+VLOOKUP($R36,武学奇术!$A:$ZZ,15,FALSE)+SUM(_xlfn.XLOOKUP(S36:AG36,增益!$A:$A,增益!$O:$O,0))&gt;0,($F$14-$I$4+VLOOKUP($R36,武学奇术!$A:$ZZ,15,FALSE)+SUM(_xlfn.XLOOKUP(S36:AG36,增益!$A:$A,增益!$O:$O,0)))/200,($F$14-$I$4+VLOOKUP($R36,武学奇术!$A:$ZZ,15,FALSE)+SUM(_xlfn.XLOOKUP(S36:AG36,增益!$A:$A,增益!$O:$O,0)))/100)</f>
        <v>0</v>
      </c>
      <c r="BI36" s="32" cm="1">
        <f t="array" ref="BI36">$G$14+VLOOKUP($R36,武学奇术!$A:$ZZ,16,FALSE)+SUM(_xlfn.XLOOKUP(S36:AG36,增益!$A:$A,增益!$P:$P,0))</f>
        <v>0.15</v>
      </c>
      <c r="BJ36" s="26">
        <f>MIN(IF(VLOOKUP($R36,武学奇术!$A:$ZZ,23,FALSE)=1,100%,$B$8),100%)</f>
        <v>0.981</v>
      </c>
      <c r="BK36" s="26" cm="1">
        <f t="array" ref="BK36">IF(VLOOKUP($R36,武学奇术!$A:$ZZ,23,FALSE)=1,100%,MIN(80%,$B$9+VLOOKUP($R36,武学奇术!$A:$ZZ,17,FALSE)+SUM(_xlfn.XLOOKUP(S36:AG36,增益!$A:$A,增益!$Q:$Q,0)))+$B$11+SUM(_xlfn.XLOOKUP(S36:AG36,增益!$A:$A,增益!$U:$U,0)))*IF(VLOOKUP($R36,武学奇术!$A:$ZZ,24,FALSE)=1,0,1)</f>
        <v>0.846</v>
      </c>
      <c r="BL36" s="26" cm="1">
        <f t="array" ref="BL36">1+$B$13+VLOOKUP($R36,武学奇术!$A:$ZZ,18,FALSE)+SUM(_xlfn.XLOOKUP(S36:AG36,增益!$A:$A,增益!$R:$R,0))</f>
        <v>1.88</v>
      </c>
      <c r="BM36" s="26" cm="1">
        <f t="array" ref="BM36">IF(VLOOKUP($R36,武学奇术!$A:$ZZ,24,FALSE)=1,100%,MIN(40%,$B$10+VLOOKUP($R36,武学奇术!$A:$ZZ,19,FALSE)+SUM(_xlfn.XLOOKUP(S36:AG36,增益!$A:$A,增益!$S:$S,0)))+$B$12+SUM(_xlfn.XLOOKUP(S36:AG36,增益!$A:$A,增益!$V:$V,0)))*IF(VLOOKUP($R36,武学奇术!$A:$ZZ,23,FALSE)=1,0,1)</f>
        <v>0.0929</v>
      </c>
      <c r="BN36" s="26" cm="1">
        <f t="array" ref="BN36">1+$B$14+VLOOKUP($R36,武学奇术!$A:$ZZ,20,FALSE)+SUM(_xlfn.XLOOKUP(S36:AG36,增益!$A:$A,增益!$T:$T,0))</f>
        <v>1.35</v>
      </c>
      <c r="BO36" s="26">
        <f t="shared" si="9"/>
        <v>0.829926</v>
      </c>
      <c r="BP36" s="26">
        <f t="shared" si="10"/>
        <v>0.0599391</v>
      </c>
      <c r="BQ36" s="26">
        <f>IF(VLOOKUP($R36,武学奇术!$A:$ZZ,22,FALSE)=1,0,(1-$BJ36))*(1-$BM36)</f>
        <v>0.0172349</v>
      </c>
      <c r="BR36" s="26" cm="1">
        <f t="array" ref="BR36">SUM(_xlfn.XLOOKUP(S36:AG36,增益!$A:$A,增益!$W:$W,0))+$I$5</f>
        <v>0.11</v>
      </c>
    </row>
    <row r="37" spans="1:70">
      <c r="A37" s="4"/>
      <c r="B37" s="4"/>
      <c r="K37">
        <f>$L37*VLOOKUP($R37,武学奇术!$A:$ZZ,31,FALSE)</f>
        <v>54885.3355929299</v>
      </c>
      <c r="L37" s="38">
        <f t="shared" si="0"/>
        <v>52271.7481837428</v>
      </c>
      <c r="M37" s="38">
        <f>((($AO37+$AP37)/2*$AI37+$AJ37)*(1+$AQ37)*(1+$AR37)+(($AT37+$AU37)/2*IF($G$1="鸣金",$AK37,$AI37)+IF($G$1="鸣金",$AL37*1.5,0))*(1+$AV37)*(1+$AW37)+(($AX37+$AY37)/2*IF($G$1="裂石",$AK37,$AI37)+IF($G$1="裂石",$AL37*1.5,0))*(1+$AZ37)*(1+$BA37)+(($BB37+$BC37)/2*IF($G$1="牵丝",$AK37,$AI37)+IF($G$1="牵丝",$AL37*1.5,0))*(1+$BD37)*(1+$BE37)+(($BF37+$BG37)/2*IF($G$1="破竹",$AK37,$AI37)+IF($G$1="破竹",$AL37*1.5,0))*(1+$BH37)*(1+$BI37))*(1+$AM37)*$BL37*$Q37*(1+IF(VLOOKUP($R37,武学奇术!$A:$ZZ,30,FALSE)="回旋伞",$B$21,0))*(1+$BR37)</f>
        <v>52271.7481837428</v>
      </c>
      <c r="N37" s="38">
        <f>(($AP37*$AI37+$AJ37)*(1+$AQ37)*(1+$AR37)+($AU37*IF($G$1="鸣金",$AK37,$AI37)+IF($G$1="鸣金",$AL37*1.5,0))*(1+$AV37)*(1+$AW37)+($AY37*IF($G$1="裂石",$AK37,$AI37)+IF($G$1="裂石",$AL37*1.5,0))*(1+$AZ37)*(1+$BA37)+($BC37*IF($G$1="牵丝",$AK37,$AI37)+IF($G$1="牵丝",$AL37*1.5,0))*(1+$BD37)*(1+$BE37)+($BG37*IF($G$1="破竹",$AK37,$AI37)+IF($G$1="破竹",$AL37*1.5,0))*(1+$BH37)*(1+$BI37))*(1+$AM37)*$BN37*$Q37*(1+IF(VLOOKUP($R37,武学奇术!$A:$ZZ,30,FALSE)="回旋伞",$B$21,0))*(1+$BR37)</f>
        <v>42052.3868116326</v>
      </c>
      <c r="O37" s="38">
        <f>((($AO37+$AP37)/2*$AI37+$AJ37)*(1+$AQ37)*(1+$AR37)+(($AT37+$AU37)/2*IF($G$1="鸣金",$AK37,$AI37)+IF($G$1="鸣金",$AL37*1.5,0))*(1+$AV37)*(1+$AW37)+(($AX37+$AY37)/2*IF($G$1="裂石",$AK37,$AI37)+IF($G$1="裂石",$AL37*1.5,0))*(1+$AZ37)*(1+$BA37)+(($BB37+$BC37)/2*IF($G$1="牵丝",$AK37,$AI37)+IF($G$1="牵丝",$AL37*1.5,0))*(1+$BD37)*(1+$BE37)+(($BF37+$BG37)/2*IF($G$1="破竹",$AK37,$AI37)+IF($G$1="破竹",$AL37*1.5,0))*(1+$BH37)*(1+$BI37))*(1+$AM37)*$Q37*(1+IF(VLOOKUP($R37,武学奇术!$A:$ZZ,30,FALSE)="回旋伞",$B$21,0))*(1+$BR37)</f>
        <v>27804.1213743313</v>
      </c>
      <c r="P37" s="38">
        <f>((($AO37*$AI37+$AJ37)*(1+$AQ37)*(1+$AR37)+($AT37*IF($G$1="鸣金",$AK37,$AI37)+IF($G$1="鸣金",$AL37*1.5,0))*(1+$AV37)*(1+$AW37)+($AX37*IF($G$1="裂石",$AK37,$AI37)+IF($G$1="裂石",$AL37*1.5,0))*(1+$AZ37)*(1+$BA37)+($BB37*IF($G$1="牵丝",$AK37,$AI37)+IF($G$1="牵丝",$AL37*1.5,0))*(1+$BD37)*(1+$BE37)+($BF37*IF($G$1="破竹",$AK37,$AI37)+IF($G$1="破竹",$AL37*1.5,0))*(1+$BH37)*(1+$BI37))*(1+$AM37))*$Q37*(1+IF(VLOOKUP($R37,武学奇术!$A:$ZZ,30,FALSE)="回旋伞",$B$21,0))*(1+$BR37)</f>
        <v>24458.3265918976</v>
      </c>
      <c r="Q37" s="39">
        <v>1</v>
      </c>
      <c r="R37" s="40" t="s">
        <v>166</v>
      </c>
      <c r="S37" s="40" t="s">
        <v>72</v>
      </c>
      <c r="T37" s="40" t="s">
        <v>95</v>
      </c>
      <c r="U37" s="40" t="s">
        <v>73</v>
      </c>
      <c r="V37" s="40" t="s">
        <v>72</v>
      </c>
      <c r="W37" s="40" t="s">
        <v>165</v>
      </c>
      <c r="X37" s="40" t="s">
        <v>99</v>
      </c>
      <c r="Y37" s="40" t="s">
        <v>72</v>
      </c>
      <c r="Z37" s="40" t="s">
        <v>72</v>
      </c>
      <c r="AA37" s="40" t="s">
        <v>72</v>
      </c>
      <c r="AB37" s="40" t="s">
        <v>72</v>
      </c>
      <c r="AC37" s="40" t="s">
        <v>72</v>
      </c>
      <c r="AD37" s="40" t="s">
        <v>72</v>
      </c>
      <c r="AE37" s="40" t="s">
        <v>72</v>
      </c>
      <c r="AF37" s="40" t="s">
        <v>72</v>
      </c>
      <c r="AG37" s="40" t="s">
        <v>78</v>
      </c>
      <c r="AH37" t="str">
        <f>VLOOKUP($R37,武学奇术!$A:$ZZ,25,FALSE)</f>
        <v>绳镖</v>
      </c>
      <c r="AI37" s="26">
        <f>VLOOKUP($R37,武学奇术!$A:$ZZ,26,FALSE)</f>
        <v>2.2987</v>
      </c>
      <c r="AJ37" s="27">
        <f>VLOOKUP($R37,武学奇术!$A:$ZZ,27,FALSE)*(1+IF(OR($AH37=$F$4,$AH37=$F$5),$B$22,0))</f>
        <v>955.5</v>
      </c>
      <c r="AK37" s="26">
        <f>VLOOKUP($R37,武学奇术!$A:$ZZ,28,FALSE)</f>
        <v>3.448</v>
      </c>
      <c r="AL37" s="27">
        <f>VLOOKUP($R37,武学奇术!$A:$ZZ,29,FALSE)*(1+IF(OR($AH37=$F$4,$AH37=$F$5),$B$22,0))</f>
        <v>520.5</v>
      </c>
      <c r="AM37" s="26" cm="1">
        <f t="array" ref="AM37">$G$3+IFERROR(VLOOKUP($AH37,$F$4:$G$7,2,FALSE),0)+VLOOKUP($R37,武学奇术!$A:$ZZ,2,FALSE)+SUM(_xlfn.XLOOKUP($S37:$AG37,增益!$A:$A,增益!$B:$B,0))</f>
        <v>0.4389</v>
      </c>
      <c r="AN37" s="26" cm="1">
        <f t="array" ref="AN37">VLOOKUP($R37,武学奇术!$A:$ZZ,5,FALSE)+SUM(_xlfn.XLOOKUP($S37:$AG37,增益!$A:$A,增益!$E:$E,0))</f>
        <v>0</v>
      </c>
      <c r="AO37" cm="1">
        <f t="array" ref="AO37">$D$10*(1+$AN37)+VLOOKUP($R37,武学奇术!$A:$ZZ,3,FALSE)+SUM(_xlfn.XLOOKUP($S37:$AG37,增益!$A:$A,增益!$C:$C,0))-$I$2</f>
        <v>3562.6</v>
      </c>
      <c r="AP37" cm="1">
        <f t="array" ref="AP37">$E$10*(1+$AN37)+VLOOKUP($R37,武学奇术!$A:$ZZ,4,FALSE)+SUM(_xlfn.XLOOKUP($S37:$AG37,增益!$A:$A,增益!$D:$D,0))-$I$2</f>
        <v>3562.6</v>
      </c>
      <c r="AQ37" s="32" cm="1">
        <f t="array" ref="AQ37">IF($F$10-$I$3+VLOOKUP($R37,武学奇术!$A:$ZZ,6,FALSE)+SUM(_xlfn.XLOOKUP(S37:AG37,增益!$A:$A,增益!$F:$F,0))&gt;0,($F$10-$I$3+VLOOKUP($R37,武学奇术!$A:$ZZ,6,FALSE)+SUM(_xlfn.XLOOKUP(S37:AG37,增益!$A:$A,增益!$F:$F,0)))/200,($F$10-$I$3+VLOOKUP($R37,武学奇术!$A:$ZZ,6,FALSE)+SUM(_xlfn.XLOOKUP(S37:AG37,增益!$A:$A,增益!$F:$F,0)))/100)</f>
        <v>0.2925</v>
      </c>
      <c r="AR37" s="32" cm="1">
        <f t="array" ref="AR37">$G$10+VLOOKUP($R37,武学奇术!$A:$ZZ,7,FALSE)+SUM(_xlfn.XLOOKUP(S37:AG37,增益!$A:$A,增益!$G:$G,0))</f>
        <v>0.028</v>
      </c>
      <c r="AS37" s="26" cm="1">
        <f t="array" ref="AS37">VLOOKUP($R37,武学奇术!$A:$ZZ,8,FALSE)+SUM(_xlfn.XLOOKUP(S37:AG37,增益!$A:$A,增益!$H:$H,0))</f>
        <v>0</v>
      </c>
      <c r="AT37">
        <f t="shared" si="1"/>
        <v>0</v>
      </c>
      <c r="AU37">
        <f t="shared" si="2"/>
        <v>0</v>
      </c>
      <c r="AV37" s="32" cm="1">
        <f t="array" ref="AV37">IF($F$11-$I$4+VLOOKUP($R37,武学奇术!$A:$ZZ,9,FALSE)+SUM(_xlfn.XLOOKUP(S37:AG37,增益!$A:$A,增益!$I:$I,0))&gt;0,($F$11-$I$4+VLOOKUP($R37,武学奇术!$A:$ZZ,9,FALSE)+SUM(_xlfn.XLOOKUP(S37:AG37,增益!$A:$A,增益!$I:$I,0)))/200,($F$11-$I$4+VLOOKUP($R37,武学奇术!$A:$ZZ,9,FALSE)+SUM(_xlfn.XLOOKUP(S37:AG37,增益!$A:$A,增益!$I:$I,0)))/100)</f>
        <v>-0.3</v>
      </c>
      <c r="AW37" s="32" cm="1">
        <f t="array" ref="AW37">$G$11+VLOOKUP($R37,武学奇术!$A:$ZZ,10,FALSE)+SUM(_xlfn.XLOOKUP(S37:AG37,增益!$A:$A,增益!$J:$J,0))</f>
        <v>0</v>
      </c>
      <c r="AX37">
        <f t="shared" si="3"/>
        <v>0</v>
      </c>
      <c r="AY37">
        <f t="shared" si="4"/>
        <v>0</v>
      </c>
      <c r="AZ37" s="32" cm="1">
        <f t="array" ref="AZ37">IF($F$12-$I$4+VLOOKUP($R37,武学奇术!$A:$ZZ,11,FALSE)+SUM(_xlfn.XLOOKUP(S37:AG37,增益!$A:$A,增益!$K:$K,0))&gt;0,($F$12-$I$4+VLOOKUP($R37,武学奇术!$A:$ZZ,11,FALSE)+SUM(_xlfn.XLOOKUP(S37:AG37,增益!$A:$A,增益!$K:$K,0)))/200,($F$12-$I$4+VLOOKUP($R37,武学奇术!$A:$ZZ,11,FALSE)+SUM(_xlfn.XLOOKUP(S37:AG37,增益!$A:$A,增益!$K:$K,0)))/100)</f>
        <v>-0.3</v>
      </c>
      <c r="BA37" s="32" cm="1">
        <f t="array" ref="BA37">$G$12+VLOOKUP($R37,武学奇术!$A:$ZZ,12,FALSE)+SUM(_xlfn.XLOOKUP(S37:AG37,增益!$A:$A,增益!$L:$L,0))</f>
        <v>0</v>
      </c>
      <c r="BB37">
        <f t="shared" si="5"/>
        <v>0</v>
      </c>
      <c r="BC37">
        <f t="shared" si="6"/>
        <v>0</v>
      </c>
      <c r="BD37" s="32" cm="1">
        <f t="array" ref="BD37">IF($F$13-$I$4+VLOOKUP($R37,武学奇术!$A:$ZZ,13,FALSE)+SUM(_xlfn.XLOOKUP(S37:AG37,增益!$A:$A,增益!$M:$M,0))&gt;0,($F$13-$I$4+VLOOKUP($R37,武学奇术!$A:$ZZ,13,FALSE)+SUM(_xlfn.XLOOKUP(S37:AG37,增益!$A:$A,增益!$K:$K,0)))/200,($F$13-$I$4+VLOOKUP($R37,武学奇术!$A:$ZZ,13,FALSE)+SUM(_xlfn.XLOOKUP(S37:AG37,增益!$A:$A,增益!$M:$M,0)))/100)</f>
        <v>-0.3</v>
      </c>
      <c r="BE37" s="32" cm="1">
        <f t="array" ref="BE37">$G$13+VLOOKUP($R37,武学奇术!$A:$ZZ,14,FALSE)+SUM(_xlfn.XLOOKUP(S37:AG37,增益!$A:$A,增益!$N:$N,0))</f>
        <v>0</v>
      </c>
      <c r="BF37">
        <f t="shared" si="7"/>
        <v>571.2</v>
      </c>
      <c r="BG37">
        <f t="shared" si="8"/>
        <v>1627.8</v>
      </c>
      <c r="BH37" s="32" cm="1">
        <f t="array" ref="BH37">IF($F$14-$I$4+VLOOKUP($R37,武学奇术!$A:$ZZ,15,FALSE)+SUM(_xlfn.XLOOKUP(S37:AG37,增益!$A:$A,增益!$O:$O,0))&gt;0,($F$14-$I$4+VLOOKUP($R37,武学奇术!$A:$ZZ,15,FALSE)+SUM(_xlfn.XLOOKUP(S37:AG37,增益!$A:$A,增益!$O:$O,0)))/200,($F$14-$I$4+VLOOKUP($R37,武学奇术!$A:$ZZ,15,FALSE)+SUM(_xlfn.XLOOKUP(S37:AG37,增益!$A:$A,增益!$O:$O,0)))/100)</f>
        <v>0</v>
      </c>
      <c r="BI37" s="32" cm="1">
        <f t="array" ref="BI37">$G$14+VLOOKUP($R37,武学奇术!$A:$ZZ,16,FALSE)+SUM(_xlfn.XLOOKUP(S37:AG37,增益!$A:$A,增益!$P:$P,0))</f>
        <v>0.15</v>
      </c>
      <c r="BJ37" s="26">
        <f>MIN(IF(VLOOKUP($R37,武学奇术!$A:$ZZ,23,FALSE)=1,100%,$B$8),100%)</f>
        <v>1</v>
      </c>
      <c r="BK37" s="26" cm="1">
        <f t="array" ref="BK37">IF(VLOOKUP($R37,武学奇术!$A:$ZZ,23,FALSE)=1,100%,MIN(80%,$B$9+VLOOKUP($R37,武学奇术!$A:$ZZ,17,FALSE)+SUM(_xlfn.XLOOKUP(S37:AG37,增益!$A:$A,增益!$Q:$Q,0)))+$B$11+SUM(_xlfn.XLOOKUP(S37:AG37,增益!$A:$A,增益!$U:$U,0)))*IF(VLOOKUP($R37,武学奇术!$A:$ZZ,24,FALSE)=1,0,1)</f>
        <v>1</v>
      </c>
      <c r="BL37" s="26" cm="1">
        <f t="array" ref="BL37">1+$B$13+VLOOKUP($R37,武学奇术!$A:$ZZ,18,FALSE)+SUM(_xlfn.XLOOKUP(S37:AG37,增益!$A:$A,增益!$R:$R,0))</f>
        <v>1.88</v>
      </c>
      <c r="BM37" s="26" cm="1">
        <f t="array" ref="BM37">IF(VLOOKUP($R37,武学奇术!$A:$ZZ,24,FALSE)=1,100%,MIN(40%,$B$10+VLOOKUP($R37,武学奇术!$A:$ZZ,19,FALSE)+SUM(_xlfn.XLOOKUP(S37:AG37,增益!$A:$A,增益!$S:$S,0)))+$B$12+SUM(_xlfn.XLOOKUP(S37:AG37,增益!$A:$A,增益!$V:$V,0)))*IF(VLOOKUP($R37,武学奇术!$A:$ZZ,23,FALSE)=1,0,1)</f>
        <v>0</v>
      </c>
      <c r="BN37" s="26" cm="1">
        <f t="array" ref="BN37">1+$B$14+VLOOKUP($R37,武学奇术!$A:$ZZ,20,FALSE)+SUM(_xlfn.XLOOKUP(S37:AG37,增益!$A:$A,增益!$T:$T,0))</f>
        <v>1.35</v>
      </c>
      <c r="BO37" s="26">
        <f t="shared" si="9"/>
        <v>1</v>
      </c>
      <c r="BP37" s="26">
        <f t="shared" si="10"/>
        <v>0</v>
      </c>
      <c r="BQ37" s="26">
        <f>IF(VLOOKUP($R37,武学奇术!$A:$ZZ,22,FALSE)=1,0,(1-$BJ37))*(1-$BM37)</f>
        <v>0</v>
      </c>
      <c r="BR37" s="26" cm="1">
        <f t="array" ref="BR37">SUM(_xlfn.XLOOKUP(S37:AG37,增益!$A:$A,增益!$W:$W,0))+$I$5</f>
        <v>0.11</v>
      </c>
    </row>
    <row r="38" spans="1:70">
      <c r="A38" s="4"/>
      <c r="B38" s="87"/>
      <c r="K38">
        <f>$L38*VLOOKUP($R38,武学奇术!$A:$ZZ,31,FALSE)</f>
        <v>122849.471475212</v>
      </c>
      <c r="L38" s="88">
        <f>(SUM(L9:L37)+SUM(L3:L6)+L154+L155)*12%</f>
        <v>233998.993286118</v>
      </c>
      <c r="M38" s="38">
        <f>((($AO38+$AP38)/2*$AI38+$AJ38)*(1+$AQ38)*(1+$AR38)+(($AT38+$AU38)/2*IF($G$1="鸣金",$AK38,$AI38)+IF($G$1="鸣金",$AL38*1.5,0))*(1+$AV38)*(1+$AW38)+(($AX38+$AY38)/2*IF($G$1="裂石",$AK38,$AI38)+IF($G$1="裂石",$AL38*1.5,0))*(1+$AZ38)*(1+$BA38)+(($BB38+$BC38)/2*IF($G$1="牵丝",$AK38,$AI38)+IF($G$1="牵丝",$AL38*1.5,0))*(1+$BD38)*(1+$BE38)+(($BF38+$BG38)/2*IF($G$1="破竹",$AK38,$AI38)+IF($G$1="破竹",$AL38*1.5,0))*(1+$BH38)*(1+$BI38))*(1+$AM38)*$BL38*$Q38*(1+IF(VLOOKUP($R38,武学奇术!$A:$ZZ,30,FALSE)="回旋伞",$B$21,0))*(1+$BR38)</f>
        <v>0</v>
      </c>
      <c r="N38" s="38">
        <f>(($AP38*$AI38+$AJ38)*(1+$AQ38)*(1+$AR38)+($AU38*IF($G$1="鸣金",$AK38,$AI38)+IF($G$1="鸣金",$AL38*1.5,0))*(1+$AV38)*(1+$AW38)+($AY38*IF($G$1="裂石",$AK38,$AI38)+IF($G$1="裂石",$AL38*1.5,0))*(1+$AZ38)*(1+$BA38)+($BC38*IF($G$1="牵丝",$AK38,$AI38)+IF($G$1="牵丝",$AL38*1.5,0))*(1+$BD38)*(1+$BE38)+($BG38*IF($G$1="破竹",$AK38,$AI38)+IF($G$1="破竹",$AL38*1.5,0))*(1+$BH38)*(1+$BI38))*(1+$AM38)*$BN38*$Q38*(1+IF(VLOOKUP($R38,武学奇术!$A:$ZZ,30,FALSE)="回旋伞",$B$21,0))*(1+$BR38)</f>
        <v>0</v>
      </c>
      <c r="O38" s="38">
        <f>((($AO38+$AP38)/2*$AI38+$AJ38)*(1+$AQ38)*(1+$AR38)+(($AT38+$AU38)/2*IF($G$1="鸣金",$AK38,$AI38)+IF($G$1="鸣金",$AL38*1.5,0))*(1+$AV38)*(1+$AW38)+(($AX38+$AY38)/2*IF($G$1="裂石",$AK38,$AI38)+IF($G$1="裂石",$AL38*1.5,0))*(1+$AZ38)*(1+$BA38)+(($BB38+$BC38)/2*IF($G$1="牵丝",$AK38,$AI38)+IF($G$1="牵丝",$AL38*1.5,0))*(1+$BD38)*(1+$BE38)+(($BF38+$BG38)/2*IF($G$1="破竹",$AK38,$AI38)+IF($G$1="破竹",$AL38*1.5,0))*(1+$BH38)*(1+$BI38))*(1+$AM38)*$Q38*(1+IF(VLOOKUP($R38,武学奇术!$A:$ZZ,30,FALSE)="回旋伞",$B$21,0))*(1+$BR38)</f>
        <v>0</v>
      </c>
      <c r="P38" s="38">
        <f>((($AO38*$AI38+$AJ38)*(1+$AQ38)*(1+$AR38)+($AT38*IF($G$1="鸣金",$AK38,$AI38)+IF($G$1="鸣金",$AL38*1.5,0))*(1+$AV38)*(1+$AW38)+($AX38*IF($G$1="裂石",$AK38,$AI38)+IF($G$1="裂石",$AL38*1.5,0))*(1+$AZ38)*(1+$BA38)+($BB38*IF($G$1="牵丝",$AK38,$AI38)+IF($G$1="牵丝",$AL38*1.5,0))*(1+$BD38)*(1+$BE38)+($BF38*IF($G$1="破竹",$AK38,$AI38)+IF($G$1="破竹",$AL38*1.5,0))*(1+$BH38)*(1+$BI38))*(1+$AM38))*$Q38*(1+IF(VLOOKUP($R38,武学奇术!$A:$ZZ,30,FALSE)="回旋伞",$B$21,0))*(1+$BR38)</f>
        <v>0</v>
      </c>
      <c r="Q38" s="39">
        <v>1</v>
      </c>
      <c r="R38" s="40" t="s">
        <v>167</v>
      </c>
      <c r="S38" s="40" t="s">
        <v>72</v>
      </c>
      <c r="T38" s="40" t="s">
        <v>72</v>
      </c>
      <c r="U38" s="40" t="s">
        <v>72</v>
      </c>
      <c r="V38" s="40" t="s">
        <v>72</v>
      </c>
      <c r="W38" s="40" t="s">
        <v>72</v>
      </c>
      <c r="X38" s="40" t="s">
        <v>72</v>
      </c>
      <c r="Y38" s="40" t="s">
        <v>72</v>
      </c>
      <c r="Z38" s="40" t="s">
        <v>72</v>
      </c>
      <c r="AA38" s="40" t="s">
        <v>72</v>
      </c>
      <c r="AB38" s="40" t="s">
        <v>72</v>
      </c>
      <c r="AC38" s="40" t="s">
        <v>72</v>
      </c>
      <c r="AD38" s="40" t="s">
        <v>72</v>
      </c>
      <c r="AE38" s="40" t="s">
        <v>72</v>
      </c>
      <c r="AF38" s="40" t="s">
        <v>72</v>
      </c>
      <c r="AG38" s="40" t="s">
        <v>78</v>
      </c>
      <c r="AH38" t="str">
        <f>VLOOKUP($R38,武学奇术!$A:$ZZ,25,FALSE)</f>
        <v>心法</v>
      </c>
      <c r="AI38" s="26">
        <f>VLOOKUP($R38,武学奇术!$A:$ZZ,26,FALSE)</f>
        <v>0</v>
      </c>
      <c r="AJ38" s="27">
        <f>VLOOKUP($R38,武学奇术!$A:$ZZ,27,FALSE)*(1+IF(OR($AH38=$F$4,$AH38=$F$5),$B$22,0))</f>
        <v>0</v>
      </c>
      <c r="AK38" s="26">
        <f>VLOOKUP($R38,武学奇术!$A:$ZZ,28,FALSE)</f>
        <v>0</v>
      </c>
      <c r="AL38" s="27">
        <f>VLOOKUP($R38,武学奇术!$A:$ZZ,29,FALSE)*(1+IF(OR($AH38=$F$4,$AH38=$F$5),$B$22,0))</f>
        <v>0</v>
      </c>
      <c r="AM38" s="26" cm="1">
        <f t="array" ref="AM38">$G$3+IFERROR(VLOOKUP($AH38,$F$4:$G$7,2,FALSE),0)+VLOOKUP($R38,武学奇术!$A:$ZZ,2,FALSE)+SUM(_xlfn.XLOOKUP($S38:$AG38,增益!$A:$A,增益!$B:$B,0))</f>
        <v>0.1037</v>
      </c>
      <c r="AN38" s="26" cm="1">
        <f t="array" ref="AN38">VLOOKUP($R38,武学奇术!$A:$ZZ,5,FALSE)+SUM(_xlfn.XLOOKUP($S38:$AG38,增益!$A:$A,增益!$E:$E,0))</f>
        <v>0</v>
      </c>
      <c r="AO38" cm="1">
        <f t="array" ref="AO38">$D$10*(1+$AN38)+VLOOKUP($R38,武学奇术!$A:$ZZ,3,FALSE)+SUM(_xlfn.XLOOKUP($S38:$AG38,增益!$A:$A,增益!$C:$C,0))-$I$2</f>
        <v>3562.6</v>
      </c>
      <c r="AP38" cm="1">
        <f t="array" ref="AP38">$E$10*(1+$AN38)+VLOOKUP($R38,武学奇术!$A:$ZZ,4,FALSE)+SUM(_xlfn.XLOOKUP($S38:$AG38,增益!$A:$A,增益!$D:$D,0))-$I$2</f>
        <v>3562.6</v>
      </c>
      <c r="AQ38" s="32" cm="1">
        <f t="array" ref="AQ38">IF($F$10-$I$3+VLOOKUP($R38,武学奇术!$A:$ZZ,6,FALSE)+SUM(_xlfn.XLOOKUP(S38:AG38,增益!$A:$A,增益!$F:$F,0))&gt;0,($F$10-$I$3+VLOOKUP($R38,武学奇术!$A:$ZZ,6,FALSE)+SUM(_xlfn.XLOOKUP(S38:AG38,增益!$A:$A,增益!$F:$F,0)))/200,($F$10-$I$3+VLOOKUP($R38,武学奇术!$A:$ZZ,6,FALSE)+SUM(_xlfn.XLOOKUP(S38:AG38,增益!$A:$A,增益!$F:$F,0)))/100)</f>
        <v>0.1925</v>
      </c>
      <c r="AR38" s="32" cm="1">
        <f t="array" ref="AR38">$G$10+VLOOKUP($R38,武学奇术!$A:$ZZ,7,FALSE)+SUM(_xlfn.XLOOKUP(S38:AG38,增益!$A:$A,增益!$G:$G,0))</f>
        <v>0.028</v>
      </c>
      <c r="AS38" s="26" cm="1">
        <f t="array" ref="AS38">VLOOKUP($R38,武学奇术!$A:$ZZ,8,FALSE)+SUM(_xlfn.XLOOKUP(S38:AG38,增益!$A:$A,增益!$H:$H,0))</f>
        <v>0</v>
      </c>
      <c r="AT38">
        <f t="shared" si="1"/>
        <v>0</v>
      </c>
      <c r="AU38">
        <f t="shared" si="2"/>
        <v>0</v>
      </c>
      <c r="AV38" s="32" cm="1">
        <f t="array" ref="AV38">IF($F$11-$I$4+VLOOKUP($R38,武学奇术!$A:$ZZ,9,FALSE)+SUM(_xlfn.XLOOKUP(S38:AG38,增益!$A:$A,增益!$I:$I,0))&gt;0,($F$11-$I$4+VLOOKUP($R38,武学奇术!$A:$ZZ,9,FALSE)+SUM(_xlfn.XLOOKUP(S38:AG38,增益!$A:$A,增益!$I:$I,0)))/200,($F$11-$I$4+VLOOKUP($R38,武学奇术!$A:$ZZ,9,FALSE)+SUM(_xlfn.XLOOKUP(S38:AG38,增益!$A:$A,增益!$I:$I,0)))/100)</f>
        <v>-0.3</v>
      </c>
      <c r="AW38" s="32" cm="1">
        <f t="array" ref="AW38">$G$11+VLOOKUP($R38,武学奇术!$A:$ZZ,10,FALSE)+SUM(_xlfn.XLOOKUP(S38:AG38,增益!$A:$A,增益!$J:$J,0))</f>
        <v>0</v>
      </c>
      <c r="AX38">
        <f t="shared" si="3"/>
        <v>0</v>
      </c>
      <c r="AY38">
        <f t="shared" si="4"/>
        <v>0</v>
      </c>
      <c r="AZ38" s="32" cm="1">
        <f t="array" ref="AZ38">IF($F$12-$I$4+VLOOKUP($R38,武学奇术!$A:$ZZ,11,FALSE)+SUM(_xlfn.XLOOKUP(S38:AG38,增益!$A:$A,增益!$K:$K,0))&gt;0,($F$12-$I$4+VLOOKUP($R38,武学奇术!$A:$ZZ,11,FALSE)+SUM(_xlfn.XLOOKUP(S38:AG38,增益!$A:$A,增益!$K:$K,0)))/200,($F$12-$I$4+VLOOKUP($R38,武学奇术!$A:$ZZ,11,FALSE)+SUM(_xlfn.XLOOKUP(S38:AG38,增益!$A:$A,增益!$K:$K,0)))/100)</f>
        <v>-0.3</v>
      </c>
      <c r="BA38" s="32" cm="1">
        <f t="array" ref="BA38">$G$12+VLOOKUP($R38,武学奇术!$A:$ZZ,12,FALSE)+SUM(_xlfn.XLOOKUP(S38:AG38,增益!$A:$A,增益!$L:$L,0))</f>
        <v>0</v>
      </c>
      <c r="BB38">
        <f t="shared" si="5"/>
        <v>0</v>
      </c>
      <c r="BC38">
        <f t="shared" si="6"/>
        <v>0</v>
      </c>
      <c r="BD38" s="32" cm="1">
        <f t="array" ref="BD38">IF($F$13-$I$4+VLOOKUP($R38,武学奇术!$A:$ZZ,13,FALSE)+SUM(_xlfn.XLOOKUP(S38:AG38,增益!$A:$A,增益!$M:$M,0))&gt;0,($F$13-$I$4+VLOOKUP($R38,武学奇术!$A:$ZZ,13,FALSE)+SUM(_xlfn.XLOOKUP(S38:AG38,增益!$A:$A,增益!$K:$K,0)))/200,($F$13-$I$4+VLOOKUP($R38,武学奇术!$A:$ZZ,13,FALSE)+SUM(_xlfn.XLOOKUP(S38:AG38,增益!$A:$A,增益!$M:$M,0)))/100)</f>
        <v>-0.3</v>
      </c>
      <c r="BE38" s="32" cm="1">
        <f t="array" ref="BE38">$G$13+VLOOKUP($R38,武学奇术!$A:$ZZ,14,FALSE)+SUM(_xlfn.XLOOKUP(S38:AG38,增益!$A:$A,增益!$N:$N,0))</f>
        <v>0</v>
      </c>
      <c r="BF38">
        <f t="shared" si="7"/>
        <v>571.2</v>
      </c>
      <c r="BG38">
        <f t="shared" si="8"/>
        <v>1627.8</v>
      </c>
      <c r="BH38" s="32" cm="1">
        <f t="array" ref="BH38">IF($F$14-$I$4+VLOOKUP($R38,武学奇术!$A:$ZZ,15,FALSE)+SUM(_xlfn.XLOOKUP(S38:AG38,增益!$A:$A,增益!$O:$O,0))&gt;0,($F$14-$I$4+VLOOKUP($R38,武学奇术!$A:$ZZ,15,FALSE)+SUM(_xlfn.XLOOKUP(S38:AG38,增益!$A:$A,增益!$O:$O,0)))/200,($F$14-$I$4+VLOOKUP($R38,武学奇术!$A:$ZZ,15,FALSE)+SUM(_xlfn.XLOOKUP(S38:AG38,增益!$A:$A,增益!$O:$O,0)))/100)</f>
        <v>0</v>
      </c>
      <c r="BI38" s="32" cm="1">
        <f t="array" ref="BI38">$G$14+VLOOKUP($R38,武学奇术!$A:$ZZ,16,FALSE)+SUM(_xlfn.XLOOKUP(S38:AG38,增益!$A:$A,增益!$P:$P,0))</f>
        <v>0.15</v>
      </c>
      <c r="BJ38" s="26">
        <f>MIN(IF(VLOOKUP($R38,武学奇术!$A:$ZZ,23,FALSE)=1,100%,$B$8),100%)</f>
        <v>0.981</v>
      </c>
      <c r="BK38" s="26" cm="1">
        <f t="array" ref="BK38">IF(VLOOKUP($R38,武学奇术!$A:$ZZ,23,FALSE)=1,100%,MIN(80%,$B$9+VLOOKUP($R38,武学奇术!$A:$ZZ,17,FALSE)+SUM(_xlfn.XLOOKUP(S38:AG38,增益!$A:$A,增益!$Q:$Q,0)))+$B$11+SUM(_xlfn.XLOOKUP(S38:AG38,增益!$A:$A,增益!$U:$U,0)))*IF(VLOOKUP($R38,武学奇术!$A:$ZZ,24,FALSE)=1,0,1)</f>
        <v>0.846</v>
      </c>
      <c r="BL38" s="26" cm="1">
        <f t="array" ref="BL38">1+$B$13+VLOOKUP($R38,武学奇术!$A:$ZZ,18,FALSE)+SUM(_xlfn.XLOOKUP(S38:AG38,增益!$A:$A,增益!$R:$R,0))</f>
        <v>1.54</v>
      </c>
      <c r="BM38" s="26" cm="1">
        <f t="array" ref="BM38">IF(VLOOKUP($R38,武学奇术!$A:$ZZ,24,FALSE)=1,100%,MIN(40%,$B$10+VLOOKUP($R38,武学奇术!$A:$ZZ,19,FALSE)+SUM(_xlfn.XLOOKUP(S38:AG38,增益!$A:$A,增益!$S:$S,0)))+$B$12+SUM(_xlfn.XLOOKUP(S38:AG38,增益!$A:$A,增益!$V:$V,0)))*IF(VLOOKUP($R38,武学奇术!$A:$ZZ,23,FALSE)=1,0,1)</f>
        <v>0.0929</v>
      </c>
      <c r="BN38" s="26" cm="1">
        <f t="array" ref="BN38">1+$B$14+VLOOKUP($R38,武学奇术!$A:$ZZ,20,FALSE)+SUM(_xlfn.XLOOKUP(S38:AG38,增益!$A:$A,增益!$T:$T,0))</f>
        <v>1.35</v>
      </c>
      <c r="BO38" s="26">
        <f t="shared" si="9"/>
        <v>0.829926</v>
      </c>
      <c r="BP38" s="26">
        <f t="shared" si="10"/>
        <v>0.0599391</v>
      </c>
      <c r="BQ38" s="26">
        <f>IF(VLOOKUP($R38,武学奇术!$A:$ZZ,22,FALSE)=1,0,(1-$BJ38))*(1-$BM38)</f>
        <v>0.0172349</v>
      </c>
      <c r="BR38" s="26" cm="1">
        <f t="array" ref="BR38">SUM(_xlfn.XLOOKUP(S38:AG38,增益!$A:$A,增益!$W:$W,0))+$I$5</f>
        <v>0.11</v>
      </c>
    </row>
    <row r="39" spans="1:70">
      <c r="A39" s="4"/>
      <c r="B39" s="4"/>
      <c r="E39" s="4"/>
      <c r="F39" s="4"/>
      <c r="K39">
        <f>$L39*VLOOKUP($R39,武学奇术!$A:$ZZ,31,FALSE)</f>
        <v>65832.3858644319</v>
      </c>
      <c r="L39" s="38">
        <f t="shared" ref="L39:L63" si="11">($M39*$BO39+$N39*$BM39+$O39*$BP39+$P39*$BQ39)</f>
        <v>62697.510347078</v>
      </c>
      <c r="M39" s="38">
        <f>((($AO39+$AP39)/2*$AI39+$AJ39)*(1+$AQ39)*(1+$AR39)+(($AT39+$AU39)/2*IF($G$1="鸣金",$AK39,$AI39)+IF($G$1="鸣金",$AL39*1.5,0))*(1+$AV39)*(1+$AW39)+(($AX39+$AY39)/2*IF($G$1="裂石",$AK39,$AI39)+IF($G$1="裂石",$AL39*1.5,0))*(1+$AZ39)*(1+$BA39)+(($BB39+$BC39)/2*IF($G$1="牵丝",$AK39,$AI39)+IF($G$1="牵丝",$AL39*1.5,0))*(1+$BD39)*(1+$BE39)+(($BF39+$BG39)/2*IF($G$1="破竹",$AK39,$AI39)+IF($G$1="破竹",$AL39*1.5,0))*(1+$BH39)*(1+$BI39))*(1+$AM39)*$BL39*$Q39*(1+IF(VLOOKUP($R39,武学奇术!$A:$ZZ,30,FALSE)="回旋伞",$B$21,0))*(1+$BR39)</f>
        <v>66420.1858530401</v>
      </c>
      <c r="N39" s="38">
        <f>(($AP39*$AI39+$AJ39)*(1+$AQ39)*(1+$AR39)+($AU39*IF($G$1="鸣金",$AK39,$AI39)+IF($G$1="鸣金",$AL39*1.5,0))*(1+$AV39)*(1+$AW39)+($AY39*IF($G$1="裂石",$AK39,$AI39)+IF($G$1="裂石",$AL39*1.5,0))*(1+$AZ39)*(1+$BA39)+($BC39*IF($G$1="牵丝",$AK39,$AI39)+IF($G$1="牵丝",$AL39*1.5,0))*(1+$BD39)*(1+$BE39)+($BG39*IF($G$1="破竹",$AK39,$AI39)+IF($G$1="破竹",$AL39*1.5,0))*(1+$BH39)*(1+$BI39))*(1+$AM39)*$BN39*$Q39*(1+IF(VLOOKUP($R39,武学奇术!$A:$ZZ,30,FALSE)="回旋伞",$B$21,0))*(1+$BR39)</f>
        <v>53109.7272796914</v>
      </c>
      <c r="O39" s="38">
        <f>((($AO39+$AP39)/2*$AI39+$AJ39)*(1+$AQ39)*(1+$AR39)+(($AT39+$AU39)/2*IF($G$1="鸣金",$AK39,$AI39)+IF($G$1="鸣金",$AL39*1.5,0))*(1+$AV39)*(1+$AW39)+(($AX39+$AY39)/2*IF($G$1="裂石",$AK39,$AI39)+IF($G$1="裂石",$AL39*1.5,0))*(1+$AZ39)*(1+$BA39)+(($BB39+$BC39)/2*IF($G$1="牵丝",$AK39,$AI39)+IF($G$1="牵丝",$AL39*1.5,0))*(1+$BD39)*(1+$BE39)+(($BF39+$BG39)/2*IF($G$1="破竹",$AK39,$AI39)+IF($G$1="破竹",$AL39*1.5,0))*(1+$BH39)*(1+$BI39))*(1+$AM39)*$Q39*(1+IF(VLOOKUP($R39,武学奇术!$A:$ZZ,30,FALSE)="回旋伞",$B$21,0))*(1+$BR39)</f>
        <v>35142.955477799</v>
      </c>
      <c r="P39" s="38">
        <f>((($AO39*$AI39+$AJ39)*(1+$AQ39)*(1+$AR39)+($AT39*IF($G$1="鸣金",$AK39,$AI39)+IF($G$1="鸣金",$AL39*1.5,0))*(1+$AV39)*(1+$AW39)+($AX39*IF($G$1="裂石",$AK39,$AI39)+IF($G$1="裂石",$AL39*1.5,0))*(1+$AZ39)*(1+$BA39)+($BB39*IF($G$1="牵丝",$AK39,$AI39)+IF($G$1="牵丝",$AL39*1.5,0))*(1+$BD39)*(1+$BE39)+($BF39*IF($G$1="破竹",$AK39,$AI39)+IF($G$1="破竹",$AL39*1.5,0))*(1+$BH39)*(1+$BI39))*(1+$AM39))*$Q39*(1+IF(VLOOKUP($R39,武学奇术!$A:$ZZ,30,FALSE)="回旋伞",$B$21,0))*(1+$BR39)</f>
        <v>30945.3722299007</v>
      </c>
      <c r="Q39" s="39">
        <v>1</v>
      </c>
      <c r="R39" s="40" t="s">
        <v>108</v>
      </c>
      <c r="S39" s="40" t="s">
        <v>109</v>
      </c>
      <c r="T39" s="40" t="s">
        <v>95</v>
      </c>
      <c r="U39" s="40" t="s">
        <v>73</v>
      </c>
      <c r="V39" s="40" t="s">
        <v>72</v>
      </c>
      <c r="W39" s="40" t="s">
        <v>168</v>
      </c>
      <c r="X39" s="40" t="s">
        <v>99</v>
      </c>
      <c r="Y39" s="40" t="s">
        <v>72</v>
      </c>
      <c r="Z39" s="40" t="s">
        <v>72</v>
      </c>
      <c r="AA39" s="40" t="s">
        <v>72</v>
      </c>
      <c r="AB39" s="40" t="s">
        <v>72</v>
      </c>
      <c r="AC39" s="40" t="s">
        <v>72</v>
      </c>
      <c r="AD39" s="40" t="s">
        <v>72</v>
      </c>
      <c r="AE39" s="40" t="s">
        <v>72</v>
      </c>
      <c r="AF39" s="40" t="s">
        <v>72</v>
      </c>
      <c r="AG39" s="40" t="s">
        <v>78</v>
      </c>
      <c r="AH39" t="str">
        <f>VLOOKUP($R39,武学奇术!$A:$ZZ,25,FALSE)</f>
        <v>伞</v>
      </c>
      <c r="AI39" s="26">
        <f>VLOOKUP($R39,武学奇术!$A:$ZZ,26,FALSE)</f>
        <v>1.8084</v>
      </c>
      <c r="AJ39" s="27">
        <f>VLOOKUP($R39,武学奇术!$A:$ZZ,27,FALSE)*(1+IF(OR($AH39=$F$4,$AH39=$F$5),$B$22,0))</f>
        <v>750</v>
      </c>
      <c r="AK39" s="26">
        <f>VLOOKUP($R39,武学奇术!$A:$ZZ,28,FALSE)</f>
        <v>2.7126</v>
      </c>
      <c r="AL39" s="27">
        <f>VLOOKUP($R39,武学奇术!$A:$ZZ,29,FALSE)*(1+IF(OR($AH39=$F$4,$AH39=$F$5),$B$22,0))</f>
        <v>408</v>
      </c>
      <c r="AM39" s="26" cm="1">
        <f t="array" ref="AM39">$G$3+IFERROR(VLOOKUP($AH39,$F$4:$G$7,2,FALSE),0)+VLOOKUP($R39,武学奇术!$A:$ZZ,2,FALSE)+SUM(_xlfn.XLOOKUP($S39:$AG39,增益!$A:$A,增益!$B:$B,0))</f>
        <v>0.5741</v>
      </c>
      <c r="AN39" s="26" cm="1">
        <f t="array" ref="AN39">VLOOKUP($R39,武学奇术!$A:$ZZ,5,FALSE)+SUM(_xlfn.XLOOKUP($S39:$AG39,增益!$A:$A,增益!$E:$E,0))</f>
        <v>0</v>
      </c>
      <c r="AO39" cm="1">
        <f t="array" ref="AO39">$D$10*(1+$AN39)+VLOOKUP($R39,武学奇术!$A:$ZZ,3,FALSE)+SUM(_xlfn.XLOOKUP($S39:$AG39,增益!$A:$A,增益!$C:$C,0))-$I$2</f>
        <v>3562.6</v>
      </c>
      <c r="AP39" cm="1">
        <f t="array" ref="AP39">$E$10*(1+$AN39)+VLOOKUP($R39,武学奇术!$A:$ZZ,4,FALSE)+SUM(_xlfn.XLOOKUP($S39:$AG39,增益!$A:$A,增益!$D:$D,0))-$I$2</f>
        <v>3562.6</v>
      </c>
      <c r="AQ39" s="32" cm="1">
        <f t="array" ref="AQ39">IF($F$10-$I$3+VLOOKUP($R39,武学奇术!$A:$ZZ,6,FALSE)+SUM(_xlfn.XLOOKUP(S39:AG39,增益!$A:$A,增益!$F:$F,0))&gt;0,($F$10-$I$3+VLOOKUP($R39,武学奇术!$A:$ZZ,6,FALSE)+SUM(_xlfn.XLOOKUP(S39:AG39,增益!$A:$A,增益!$F:$F,0)))/200,($F$10-$I$3+VLOOKUP($R39,武学奇术!$A:$ZZ,6,FALSE)+SUM(_xlfn.XLOOKUP(S39:AG39,增益!$A:$A,增益!$F:$F,0)))/100)</f>
        <v>0.2925</v>
      </c>
      <c r="AR39" s="32" cm="1">
        <f t="array" ref="AR39">$G$10+VLOOKUP($R39,武学奇术!$A:$ZZ,7,FALSE)+SUM(_xlfn.XLOOKUP(S39:AG39,增益!$A:$A,增益!$G:$G,0))</f>
        <v>0.148</v>
      </c>
      <c r="AS39" s="26" cm="1">
        <f t="array" ref="AS39">VLOOKUP($R39,武学奇术!$A:$ZZ,8,FALSE)+SUM(_xlfn.XLOOKUP(S39:AG39,增益!$A:$A,增益!$H:$H,0))</f>
        <v>0</v>
      </c>
      <c r="AT39">
        <f t="shared" si="1"/>
        <v>0</v>
      </c>
      <c r="AU39">
        <f t="shared" si="2"/>
        <v>0</v>
      </c>
      <c r="AV39" s="32" cm="1">
        <f t="array" ref="AV39">IF($F$11-$I$4+VLOOKUP($R39,武学奇术!$A:$ZZ,9,FALSE)+SUM(_xlfn.XLOOKUP(S39:AG39,增益!$A:$A,增益!$I:$I,0))&gt;0,($F$11-$I$4+VLOOKUP($R39,武学奇术!$A:$ZZ,9,FALSE)+SUM(_xlfn.XLOOKUP(S39:AG39,增益!$A:$A,增益!$I:$I,0)))/200,($F$11-$I$4+VLOOKUP($R39,武学奇术!$A:$ZZ,9,FALSE)+SUM(_xlfn.XLOOKUP(S39:AG39,增益!$A:$A,增益!$I:$I,0)))/100)</f>
        <v>-0.3</v>
      </c>
      <c r="AW39" s="32" cm="1">
        <f t="array" ref="AW39">$G$11+VLOOKUP($R39,武学奇术!$A:$ZZ,10,FALSE)+SUM(_xlfn.XLOOKUP(S39:AG39,增益!$A:$A,增益!$J:$J,0))</f>
        <v>0</v>
      </c>
      <c r="AX39">
        <f t="shared" si="3"/>
        <v>0</v>
      </c>
      <c r="AY39">
        <f t="shared" si="4"/>
        <v>0</v>
      </c>
      <c r="AZ39" s="32" cm="1">
        <f t="array" ref="AZ39">IF($F$12-$I$4+VLOOKUP($R39,武学奇术!$A:$ZZ,11,FALSE)+SUM(_xlfn.XLOOKUP(S39:AG39,增益!$A:$A,增益!$K:$K,0))&gt;0,($F$12-$I$4+VLOOKUP($R39,武学奇术!$A:$ZZ,11,FALSE)+SUM(_xlfn.XLOOKUP(S39:AG39,增益!$A:$A,增益!$K:$K,0)))/200,($F$12-$I$4+VLOOKUP($R39,武学奇术!$A:$ZZ,11,FALSE)+SUM(_xlfn.XLOOKUP(S39:AG39,增益!$A:$A,增益!$K:$K,0)))/100)</f>
        <v>-0.3</v>
      </c>
      <c r="BA39" s="32" cm="1">
        <f t="array" ref="BA39">$G$12+VLOOKUP($R39,武学奇术!$A:$ZZ,12,FALSE)+SUM(_xlfn.XLOOKUP(S39:AG39,增益!$A:$A,增益!$L:$L,0))</f>
        <v>0</v>
      </c>
      <c r="BB39">
        <f t="shared" si="5"/>
        <v>0</v>
      </c>
      <c r="BC39">
        <f t="shared" si="6"/>
        <v>0</v>
      </c>
      <c r="BD39" s="32" cm="1">
        <f t="array" ref="BD39">IF($F$13-$I$4+VLOOKUP($R39,武学奇术!$A:$ZZ,13,FALSE)+SUM(_xlfn.XLOOKUP(S39:AG39,增益!$A:$A,增益!$M:$M,0))&gt;0,($F$13-$I$4+VLOOKUP($R39,武学奇术!$A:$ZZ,13,FALSE)+SUM(_xlfn.XLOOKUP(S39:AG39,增益!$A:$A,增益!$K:$K,0)))/200,($F$13-$I$4+VLOOKUP($R39,武学奇术!$A:$ZZ,13,FALSE)+SUM(_xlfn.XLOOKUP(S39:AG39,增益!$A:$A,增益!$M:$M,0)))/100)</f>
        <v>-0.3</v>
      </c>
      <c r="BE39" s="32" cm="1">
        <f t="array" ref="BE39">$G$13+VLOOKUP($R39,武学奇术!$A:$ZZ,14,FALSE)+SUM(_xlfn.XLOOKUP(S39:AG39,增益!$A:$A,增益!$N:$N,0))</f>
        <v>0</v>
      </c>
      <c r="BF39">
        <f t="shared" si="7"/>
        <v>571.2</v>
      </c>
      <c r="BG39">
        <f t="shared" si="8"/>
        <v>1627.8</v>
      </c>
      <c r="BH39" s="32" cm="1">
        <f t="array" ref="BH39">IF($F$14-$I$4+VLOOKUP($R39,武学奇术!$A:$ZZ,15,FALSE)+SUM(_xlfn.XLOOKUP(S39:AG39,增益!$A:$A,增益!$O:$O,0))&gt;0,($F$14-$I$4+VLOOKUP($R39,武学奇术!$A:$ZZ,15,FALSE)+SUM(_xlfn.XLOOKUP(S39:AG39,增益!$A:$A,增益!$O:$O,0)))/200,($F$14-$I$4+VLOOKUP($R39,武学奇术!$A:$ZZ,15,FALSE)+SUM(_xlfn.XLOOKUP(S39:AG39,增益!$A:$A,增益!$O:$O,0)))/100)</f>
        <v>0</v>
      </c>
      <c r="BI39" s="32" cm="1">
        <f t="array" ref="BI39">$G$14+VLOOKUP($R39,武学奇术!$A:$ZZ,16,FALSE)+SUM(_xlfn.XLOOKUP(S39:AG39,增益!$A:$A,增益!$P:$P,0))</f>
        <v>0.27</v>
      </c>
      <c r="BJ39" s="26">
        <f>MIN(IF(VLOOKUP($R39,武学奇术!$A:$ZZ,23,FALSE)=1,100%,$B$8),100%)</f>
        <v>0.981</v>
      </c>
      <c r="BK39" s="26" cm="1">
        <f t="array" ref="BK39">IF(VLOOKUP($R39,武学奇术!$A:$ZZ,23,FALSE)=1,100%,MIN(80%,$B$9+VLOOKUP($R39,武学奇术!$A:$ZZ,17,FALSE)+SUM(_xlfn.XLOOKUP(S39:AG39,增益!$A:$A,增益!$Q:$Q,0)))+$B$11+SUM(_xlfn.XLOOKUP(S39:AG39,增益!$A:$A,增益!$U:$U,0)))*IF(VLOOKUP($R39,武学奇术!$A:$ZZ,24,FALSE)=1,0,1)</f>
        <v>0.846</v>
      </c>
      <c r="BL39" s="26" cm="1">
        <f t="array" ref="BL39">1+$B$13+VLOOKUP($R39,武学奇术!$A:$ZZ,18,FALSE)+SUM(_xlfn.XLOOKUP(S39:AG39,增益!$A:$A,增益!$R:$R,0))</f>
        <v>1.89</v>
      </c>
      <c r="BM39" s="26" cm="1">
        <f t="array" ref="BM39">IF(VLOOKUP($R39,武学奇术!$A:$ZZ,24,FALSE)=1,100%,MIN(40%,$B$10+VLOOKUP($R39,武学奇术!$A:$ZZ,19,FALSE)+SUM(_xlfn.XLOOKUP(S39:AG39,增益!$A:$A,增益!$S:$S,0)))+$B$12+SUM(_xlfn.XLOOKUP(S39:AG39,增益!$A:$A,增益!$V:$V,0)))*IF(VLOOKUP($R39,武学奇术!$A:$ZZ,23,FALSE)=1,0,1)</f>
        <v>0.0929</v>
      </c>
      <c r="BN39" s="26" cm="1">
        <f t="array" ref="BN39">1+$B$14+VLOOKUP($R39,武学奇术!$A:$ZZ,20,FALSE)+SUM(_xlfn.XLOOKUP(S39:AG39,增益!$A:$A,增益!$T:$T,0))</f>
        <v>1.35</v>
      </c>
      <c r="BO39" s="26">
        <f t="shared" si="9"/>
        <v>0.829926</v>
      </c>
      <c r="BP39" s="26">
        <f t="shared" si="10"/>
        <v>0.0599391</v>
      </c>
      <c r="BQ39" s="26">
        <f>IF(VLOOKUP($R39,武学奇术!$A:$ZZ,22,FALSE)=1,0,(1-$BJ39))*(1-$BM39)</f>
        <v>0.0172349</v>
      </c>
      <c r="BR39" s="26" cm="1">
        <f t="array" ref="BR39">SUM(_xlfn.XLOOKUP(S39:AG39,增益!$A:$A,增益!$W:$W,0))+$I$5</f>
        <v>0.11</v>
      </c>
    </row>
    <row r="40" spans="1:70">
      <c r="A40" s="4"/>
      <c r="B40" s="87"/>
      <c r="C40" s="4"/>
      <c r="K40">
        <f>$L40*VLOOKUP($R40,武学奇术!$A:$ZZ,31,FALSE)</f>
        <v>38854.6218393876</v>
      </c>
      <c r="L40" s="38">
        <f t="shared" si="11"/>
        <v>37004.4017517977</v>
      </c>
      <c r="M40" s="38">
        <f>((($AO40+$AP40)/2*$AI40+$AJ40)*(1+$AQ40)*(1+$AR40)+(($AT40+$AU40)/2*IF($G$1="鸣金",$AK40,$AI40)+IF($G$1="鸣金",$AL40*1.5,0))*(1+$AV40)*(1+$AW40)+(($AX40+$AY40)/2*IF($G$1="裂石",$AK40,$AI40)+IF($G$1="裂石",$AL40*1.5,0))*(1+$AZ40)*(1+$BA40)+(($BB40+$BC40)/2*IF($G$1="牵丝",$AK40,$AI40)+IF($G$1="牵丝",$AL40*1.5,0))*(1+$BD40)*(1+$BE40)+(($BF40+$BG40)/2*IF($G$1="破竹",$AK40,$AI40)+IF($G$1="破竹",$AL40*1.5,0))*(1+$BH40)*(1+$BI40))*(1+$AM40)*$BL40*$Q40*(1+IF(VLOOKUP($R40,武学奇术!$A:$ZZ,30,FALSE)="回旋伞",$B$21,0))*(1+$BR40)</f>
        <v>39161.3799172917</v>
      </c>
      <c r="N40" s="38">
        <f>(($AP40*$AI40+$AJ40)*(1+$AQ40)*(1+$AR40)+($AU40*IF($G$1="鸣金",$AK40,$AI40)+IF($G$1="鸣金",$AL40*1.5,0))*(1+$AV40)*(1+$AW40)+($AY40*IF($G$1="裂石",$AK40,$AI40)+IF($G$1="裂石",$AL40*1.5,0))*(1+$AZ40)*(1+$BA40)+($BC40*IF($G$1="牵丝",$AK40,$AI40)+IF($G$1="牵丝",$AL40*1.5,0))*(1+$BD40)*(1+$BE40)+($BG40*IF($G$1="破竹",$AK40,$AI40)+IF($G$1="破竹",$AL40*1.5,0))*(1+$BH40)*(1+$BI40))*(1+$AM40)*$BN40*$Q40*(1+IF(VLOOKUP($R40,武学奇术!$A:$ZZ,30,FALSE)="回旋伞",$B$21,0))*(1+$BR40)</f>
        <v>31786.6551424357</v>
      </c>
      <c r="O40" s="38">
        <f>((($AO40+$AP40)/2*$AI40+$AJ40)*(1+$AQ40)*(1+$AR40)+(($AT40+$AU40)/2*IF($G$1="鸣金",$AK40,$AI40)+IF($G$1="鸣金",$AL40*1.5,0))*(1+$AV40)*(1+$AW40)+(($AX40+$AY40)/2*IF($G$1="裂石",$AK40,$AI40)+IF($G$1="裂石",$AL40*1.5,0))*(1+$AZ40)*(1+$BA40)+(($BB40+$BC40)/2*IF($G$1="牵丝",$AK40,$AI40)+IF($G$1="牵丝",$AL40*1.5,0))*(1+$BD40)*(1+$BE40)+(($BF40+$BG40)/2*IF($G$1="破竹",$AK40,$AI40)+IF($G$1="破竹",$AL40*1.5,0))*(1+$BH40)*(1+$BI40))*(1+$AM40)*$Q40*(1+IF(VLOOKUP($R40,武学奇术!$A:$ZZ,30,FALSE)="回旋伞",$B$21,0))*(1+$BR40)</f>
        <v>20720.3068345459</v>
      </c>
      <c r="P40" s="38">
        <f>((($AO40*$AI40+$AJ40)*(1+$AQ40)*(1+$AR40)+($AT40*IF($G$1="鸣金",$AK40,$AI40)+IF($G$1="鸣金",$AL40*1.5,0))*(1+$AV40)*(1+$AW40)+($AX40*IF($G$1="裂石",$AK40,$AI40)+IF($G$1="裂石",$AL40*1.5,0))*(1+$AZ40)*(1+$BA40)+($BB40*IF($G$1="牵丝",$AK40,$AI40)+IF($G$1="牵丝",$AL40*1.5,0))*(1+$BD40)*(1+$BE40)+($BF40*IF($G$1="破竹",$AK40,$AI40)+IF($G$1="破竹",$AL40*1.5,0))*(1+$BH40)*(1+$BI40))*(1+$AM40))*$Q40*(1+IF(VLOOKUP($R40,武学奇术!$A:$ZZ,30,FALSE)="回旋伞",$B$21,0))*(1+$BR40)</f>
        <v>17894.9431932134</v>
      </c>
      <c r="Q40" s="39">
        <v>2</v>
      </c>
      <c r="R40" s="40" t="s">
        <v>112</v>
      </c>
      <c r="S40" s="40" t="s">
        <v>109</v>
      </c>
      <c r="T40" s="40" t="s">
        <v>95</v>
      </c>
      <c r="U40" s="40" t="s">
        <v>73</v>
      </c>
      <c r="V40" s="40" t="s">
        <v>72</v>
      </c>
      <c r="W40" s="40" t="s">
        <v>168</v>
      </c>
      <c r="X40" s="40" t="s">
        <v>99</v>
      </c>
      <c r="Y40" s="40" t="s">
        <v>72</v>
      </c>
      <c r="Z40" s="40" t="s">
        <v>72</v>
      </c>
      <c r="AA40" s="40" t="s">
        <v>72</v>
      </c>
      <c r="AB40" s="40" t="s">
        <v>72</v>
      </c>
      <c r="AC40" s="40" t="s">
        <v>72</v>
      </c>
      <c r="AD40" s="40" t="s">
        <v>72</v>
      </c>
      <c r="AE40" s="40" t="s">
        <v>72</v>
      </c>
      <c r="AF40" s="40" t="s">
        <v>72</v>
      </c>
      <c r="AG40" s="40" t="s">
        <v>78</v>
      </c>
      <c r="AH40" t="str">
        <f>VLOOKUP($R40,武学奇术!$A:$ZZ,25,FALSE)</f>
        <v>伞</v>
      </c>
      <c r="AI40" s="26">
        <f>VLOOKUP($R40,武学奇术!$A:$ZZ,26,FALSE)</f>
        <v>0.54</v>
      </c>
      <c r="AJ40" s="27">
        <f>VLOOKUP($R40,武学奇术!$A:$ZZ,27,FALSE)*(1+IF(OR($AH40=$F$4,$AH40=$F$5),$B$22,0))</f>
        <v>0</v>
      </c>
      <c r="AK40" s="26">
        <f>VLOOKUP($R40,武学奇术!$A:$ZZ,28,FALSE)</f>
        <v>0.81</v>
      </c>
      <c r="AL40" s="27">
        <f>VLOOKUP($R40,武学奇术!$A:$ZZ,29,FALSE)*(1+IF(OR($AH40=$F$4,$AH40=$F$5),$B$22,0))</f>
        <v>0</v>
      </c>
      <c r="AM40" s="26" cm="1">
        <f t="array" ref="AM40">$G$3+IFERROR(VLOOKUP($AH40,$F$4:$G$7,2,FALSE),0)+VLOOKUP($R40,武学奇术!$A:$ZZ,2,FALSE)+SUM(_xlfn.XLOOKUP($S40:$AG40,增益!$A:$A,增益!$B:$B,0))</f>
        <v>0.7741</v>
      </c>
      <c r="AN40" s="26" cm="1">
        <f t="array" ref="AN40">VLOOKUP($R40,武学奇术!$A:$ZZ,5,FALSE)+SUM(_xlfn.XLOOKUP($S40:$AG40,增益!$A:$A,增益!$E:$E,0))</f>
        <v>0</v>
      </c>
      <c r="AO40" cm="1">
        <f t="array" ref="AO40">$D$10*(1+$AN40)+VLOOKUP($R40,武学奇术!$A:$ZZ,3,FALSE)+SUM(_xlfn.XLOOKUP($S40:$AG40,增益!$A:$A,增益!$C:$C,0))-$I$2</f>
        <v>3562.6</v>
      </c>
      <c r="AP40" cm="1">
        <f t="array" ref="AP40">$E$10*(1+$AN40)+VLOOKUP($R40,武学奇术!$A:$ZZ,4,FALSE)+SUM(_xlfn.XLOOKUP($S40:$AG40,增益!$A:$A,增益!$D:$D,0))-$I$2</f>
        <v>3562.6</v>
      </c>
      <c r="AQ40" s="32" cm="1">
        <f t="array" ref="AQ40">IF($F$10-$I$3+VLOOKUP($R40,武学奇术!$A:$ZZ,6,FALSE)+SUM(_xlfn.XLOOKUP(S40:AG40,增益!$A:$A,增益!$F:$F,0))&gt;0,($F$10-$I$3+VLOOKUP($R40,武学奇术!$A:$ZZ,6,FALSE)+SUM(_xlfn.XLOOKUP(S40:AG40,增益!$A:$A,增益!$F:$F,0)))/200,($F$10-$I$3+VLOOKUP($R40,武学奇术!$A:$ZZ,6,FALSE)+SUM(_xlfn.XLOOKUP(S40:AG40,增益!$A:$A,增益!$F:$F,0)))/100)</f>
        <v>0.2925</v>
      </c>
      <c r="AR40" s="32" cm="1">
        <f t="array" ref="AR40">$G$10+VLOOKUP($R40,武学奇术!$A:$ZZ,7,FALSE)+SUM(_xlfn.XLOOKUP(S40:AG40,增益!$A:$A,增益!$G:$G,0))</f>
        <v>0.148</v>
      </c>
      <c r="AS40" s="26" cm="1">
        <f t="array" ref="AS40">VLOOKUP($R40,武学奇术!$A:$ZZ,8,FALSE)+SUM(_xlfn.XLOOKUP(S40:AG40,增益!$A:$A,增益!$H:$H,0))</f>
        <v>0</v>
      </c>
      <c r="AT40">
        <f t="shared" si="1"/>
        <v>0</v>
      </c>
      <c r="AU40">
        <f t="shared" si="2"/>
        <v>0</v>
      </c>
      <c r="AV40" s="32" cm="1">
        <f t="array" ref="AV40">IF($F$11-$I$4+VLOOKUP($R40,武学奇术!$A:$ZZ,9,FALSE)+SUM(_xlfn.XLOOKUP(S40:AG40,增益!$A:$A,增益!$I:$I,0))&gt;0,($F$11-$I$4+VLOOKUP($R40,武学奇术!$A:$ZZ,9,FALSE)+SUM(_xlfn.XLOOKUP(S40:AG40,增益!$A:$A,增益!$I:$I,0)))/200,($F$11-$I$4+VLOOKUP($R40,武学奇术!$A:$ZZ,9,FALSE)+SUM(_xlfn.XLOOKUP(S40:AG40,增益!$A:$A,增益!$I:$I,0)))/100)</f>
        <v>-0.3</v>
      </c>
      <c r="AW40" s="32" cm="1">
        <f t="array" ref="AW40">$G$11+VLOOKUP($R40,武学奇术!$A:$ZZ,10,FALSE)+SUM(_xlfn.XLOOKUP(S40:AG40,增益!$A:$A,增益!$J:$J,0))</f>
        <v>0</v>
      </c>
      <c r="AX40">
        <f t="shared" si="3"/>
        <v>0</v>
      </c>
      <c r="AY40">
        <f t="shared" si="4"/>
        <v>0</v>
      </c>
      <c r="AZ40" s="32" cm="1">
        <f t="array" ref="AZ40">IF($F$12-$I$4+VLOOKUP($R40,武学奇术!$A:$ZZ,11,FALSE)+SUM(_xlfn.XLOOKUP(S40:AG40,增益!$A:$A,增益!$K:$K,0))&gt;0,($F$12-$I$4+VLOOKUP($R40,武学奇术!$A:$ZZ,11,FALSE)+SUM(_xlfn.XLOOKUP(S40:AG40,增益!$A:$A,增益!$K:$K,0)))/200,($F$12-$I$4+VLOOKUP($R40,武学奇术!$A:$ZZ,11,FALSE)+SUM(_xlfn.XLOOKUP(S40:AG40,增益!$A:$A,增益!$K:$K,0)))/100)</f>
        <v>-0.3</v>
      </c>
      <c r="BA40" s="32" cm="1">
        <f t="array" ref="BA40">$G$12+VLOOKUP($R40,武学奇术!$A:$ZZ,12,FALSE)+SUM(_xlfn.XLOOKUP(S40:AG40,增益!$A:$A,增益!$L:$L,0))</f>
        <v>0</v>
      </c>
      <c r="BB40">
        <f t="shared" si="5"/>
        <v>0</v>
      </c>
      <c r="BC40">
        <f t="shared" si="6"/>
        <v>0</v>
      </c>
      <c r="BD40" s="32" cm="1">
        <f t="array" ref="BD40">IF($F$13-$I$4+VLOOKUP($R40,武学奇术!$A:$ZZ,13,FALSE)+SUM(_xlfn.XLOOKUP(S40:AG40,增益!$A:$A,增益!$M:$M,0))&gt;0,($F$13-$I$4+VLOOKUP($R40,武学奇术!$A:$ZZ,13,FALSE)+SUM(_xlfn.XLOOKUP(S40:AG40,增益!$A:$A,增益!$K:$K,0)))/200,($F$13-$I$4+VLOOKUP($R40,武学奇术!$A:$ZZ,13,FALSE)+SUM(_xlfn.XLOOKUP(S40:AG40,增益!$A:$A,增益!$M:$M,0)))/100)</f>
        <v>-0.3</v>
      </c>
      <c r="BE40" s="32" cm="1">
        <f t="array" ref="BE40">$G$13+VLOOKUP($R40,武学奇术!$A:$ZZ,14,FALSE)+SUM(_xlfn.XLOOKUP(S40:AG40,增益!$A:$A,增益!$N:$N,0))</f>
        <v>0</v>
      </c>
      <c r="BF40">
        <f t="shared" si="7"/>
        <v>571.2</v>
      </c>
      <c r="BG40">
        <f t="shared" si="8"/>
        <v>1627.8</v>
      </c>
      <c r="BH40" s="32" cm="1">
        <f t="array" ref="BH40">IF($F$14-$I$4+VLOOKUP($R40,武学奇术!$A:$ZZ,15,FALSE)+SUM(_xlfn.XLOOKUP(S40:AG40,增益!$A:$A,增益!$O:$O,0))&gt;0,($F$14-$I$4+VLOOKUP($R40,武学奇术!$A:$ZZ,15,FALSE)+SUM(_xlfn.XLOOKUP(S40:AG40,增益!$A:$A,增益!$O:$O,0)))/200,($F$14-$I$4+VLOOKUP($R40,武学奇术!$A:$ZZ,15,FALSE)+SUM(_xlfn.XLOOKUP(S40:AG40,增益!$A:$A,增益!$O:$O,0)))/100)</f>
        <v>0</v>
      </c>
      <c r="BI40" s="32" cm="1">
        <f t="array" ref="BI40">$G$14+VLOOKUP($R40,武学奇术!$A:$ZZ,16,FALSE)+SUM(_xlfn.XLOOKUP(S40:AG40,增益!$A:$A,增益!$P:$P,0))</f>
        <v>0.27</v>
      </c>
      <c r="BJ40" s="26">
        <f>MIN(IF(VLOOKUP($R40,武学奇术!$A:$ZZ,23,FALSE)=1,100%,$B$8),100%)</f>
        <v>0.981</v>
      </c>
      <c r="BK40" s="26" cm="1">
        <f t="array" ref="BK40">IF(VLOOKUP($R40,武学奇术!$A:$ZZ,23,FALSE)=1,100%,MIN(80%,$B$9+VLOOKUP($R40,武学奇术!$A:$ZZ,17,FALSE)+SUM(_xlfn.XLOOKUP(S40:AG40,增益!$A:$A,增益!$Q:$Q,0)))+$B$11+SUM(_xlfn.XLOOKUP(S40:AG40,增益!$A:$A,增益!$U:$U,0)))*IF(VLOOKUP($R40,武学奇术!$A:$ZZ,24,FALSE)=1,0,1)</f>
        <v>0.846</v>
      </c>
      <c r="BL40" s="26" cm="1">
        <f t="array" ref="BL40">1+$B$13+VLOOKUP($R40,武学奇术!$A:$ZZ,18,FALSE)+SUM(_xlfn.XLOOKUP(S40:AG40,增益!$A:$A,增益!$R:$R,0))</f>
        <v>1.89</v>
      </c>
      <c r="BM40" s="26" cm="1">
        <f t="array" ref="BM40">IF(VLOOKUP($R40,武学奇术!$A:$ZZ,24,FALSE)=1,100%,MIN(40%,$B$10+VLOOKUP($R40,武学奇术!$A:$ZZ,19,FALSE)+SUM(_xlfn.XLOOKUP(S40:AG40,增益!$A:$A,增益!$S:$S,0)))+$B$12+SUM(_xlfn.XLOOKUP(S40:AG40,增益!$A:$A,增益!$V:$V,0)))*IF(VLOOKUP($R40,武学奇术!$A:$ZZ,23,FALSE)=1,0,1)</f>
        <v>0.0929</v>
      </c>
      <c r="BN40" s="26" cm="1">
        <f t="array" ref="BN40">1+$B$14+VLOOKUP($R40,武学奇术!$A:$ZZ,20,FALSE)+SUM(_xlfn.XLOOKUP(S40:AG40,增益!$A:$A,增益!$T:$T,0))</f>
        <v>1.35</v>
      </c>
      <c r="BO40" s="26">
        <f t="shared" si="9"/>
        <v>0.829926</v>
      </c>
      <c r="BP40" s="26">
        <f t="shared" si="10"/>
        <v>0.0599391</v>
      </c>
      <c r="BQ40" s="26">
        <f>IF(VLOOKUP($R40,武学奇术!$A:$ZZ,22,FALSE)=1,0,(1-$BJ40))*(1-$BM40)</f>
        <v>0.0172349</v>
      </c>
      <c r="BR40" s="26" cm="1">
        <f t="array" ref="BR40">SUM(_xlfn.XLOOKUP(S40:AG40,增益!$A:$A,增益!$W:$W,0))+$I$5</f>
        <v>0.11</v>
      </c>
    </row>
    <row r="41" spans="1:70">
      <c r="A41" s="4"/>
      <c r="B41" s="87"/>
      <c r="C41" s="4"/>
      <c r="K41">
        <f>$L41*VLOOKUP($R41,武学奇术!$A:$ZZ,31,FALSE)</f>
        <v>67669.8471699076</v>
      </c>
      <c r="L41" s="38">
        <f t="shared" si="11"/>
        <v>64447.4734951501</v>
      </c>
      <c r="M41" s="38">
        <f>((($AO41+$AP41)/2*$AI41+$AJ41)*(1+$AQ41)*(1+$AR41)+(($AT41+$AU41)/2*IF($G$1="鸣金",$AK41,$AI41)+IF($G$1="鸣金",$AL41*1.5,0))*(1+$AV41)*(1+$AW41)+(($AX41+$AY41)/2*IF($G$1="裂石",$AK41,$AI41)+IF($G$1="裂石",$AL41*1.5,0))*(1+$AZ41)*(1+$BA41)+(($BB41+$BC41)/2*IF($G$1="牵丝",$AK41,$AI41)+IF($G$1="牵丝",$AL41*1.5,0))*(1+$BD41)*(1+$BE41)+(($BF41+$BG41)/2*IF($G$1="破竹",$AK41,$AI41)+IF($G$1="破竹",$AL41*1.5,0))*(1+$BH41)*(1+$BI41))*(1+$AM41)*$BL41*$Q41*(1+IF(VLOOKUP($R41,武学奇术!$A:$ZZ,30,FALSE)="回旋伞",$B$21,0))*(1+$BR41)</f>
        <v>68528.7631817081</v>
      </c>
      <c r="N41" s="38">
        <f>(($AP41*$AI41+$AJ41)*(1+$AQ41)*(1+$AR41)+($AU41*IF($G$1="鸣金",$AK41,$AI41)+IF($G$1="鸣金",$AL41*1.5,0))*(1+$AV41)*(1+$AW41)+($AY41*IF($G$1="裂石",$AK41,$AI41)+IF($G$1="裂石",$AL41*1.5,0))*(1+$AZ41)*(1+$BA41)+($BC41*IF($G$1="牵丝",$AK41,$AI41)+IF($G$1="牵丝",$AL41*1.5,0))*(1+$BD41)*(1+$BE41)+($BG41*IF($G$1="破竹",$AK41,$AI41)+IF($G$1="破竹",$AL41*1.5,0))*(1+$BH41)*(1+$BI41))*(1+$AM41)*$BN41*$Q41*(1+IF(VLOOKUP($R41,武学奇术!$A:$ZZ,30,FALSE)="回旋伞",$B$21,0))*(1+$BR41)</f>
        <v>53109.7272796914</v>
      </c>
      <c r="O41" s="38">
        <f>((($AO41+$AP41)/2*$AI41+$AJ41)*(1+$AQ41)*(1+$AR41)+(($AT41+$AU41)/2*IF($G$1="鸣金",$AK41,$AI41)+IF($G$1="鸣金",$AL41*1.5,0))*(1+$AV41)*(1+$AW41)+(($AX41+$AY41)/2*IF($G$1="裂石",$AK41,$AI41)+IF($G$1="裂石",$AL41*1.5,0))*(1+$AZ41)*(1+$BA41)+(($BB41+$BC41)/2*IF($G$1="牵丝",$AK41,$AI41)+IF($G$1="牵丝",$AL41*1.5,0))*(1+$BD41)*(1+$BE41)+(($BF41+$BG41)/2*IF($G$1="破竹",$AK41,$AI41)+IF($G$1="破竹",$AL41*1.5,0))*(1+$BH41)*(1+$BI41))*(1+$AM41)*$Q41*(1+IF(VLOOKUP($R41,武学奇术!$A:$ZZ,30,FALSE)="回旋伞",$B$21,0))*(1+$BR41)</f>
        <v>35142.955477799</v>
      </c>
      <c r="P41" s="38">
        <f>((($AO41*$AI41+$AJ41)*(1+$AQ41)*(1+$AR41)+($AT41*IF($G$1="鸣金",$AK41,$AI41)+IF($G$1="鸣金",$AL41*1.5,0))*(1+$AV41)*(1+$AW41)+($AX41*IF($G$1="裂石",$AK41,$AI41)+IF($G$1="裂石",$AL41*1.5,0))*(1+$AZ41)*(1+$BA41)+($BB41*IF($G$1="牵丝",$AK41,$AI41)+IF($G$1="牵丝",$AL41*1.5,0))*(1+$BD41)*(1+$BE41)+($BF41*IF($G$1="破竹",$AK41,$AI41)+IF($G$1="破竹",$AL41*1.5,0))*(1+$BH41)*(1+$BI41))*(1+$AM41))*$Q41*(1+IF(VLOOKUP($R41,武学奇术!$A:$ZZ,30,FALSE)="回旋伞",$B$21,0))*(1+$BR41)</f>
        <v>30945.3722299007</v>
      </c>
      <c r="Q41" s="39">
        <v>1</v>
      </c>
      <c r="R41" s="40" t="s">
        <v>108</v>
      </c>
      <c r="S41" s="40" t="s">
        <v>109</v>
      </c>
      <c r="T41" s="40" t="s">
        <v>95</v>
      </c>
      <c r="U41" s="40" t="s">
        <v>73</v>
      </c>
      <c r="V41" s="40" t="s">
        <v>72</v>
      </c>
      <c r="W41" s="40" t="s">
        <v>168</v>
      </c>
      <c r="X41" s="40" t="s">
        <v>99</v>
      </c>
      <c r="Y41" s="40" t="s">
        <v>72</v>
      </c>
      <c r="Z41" s="40" t="s">
        <v>72</v>
      </c>
      <c r="AA41" s="40" t="s">
        <v>72</v>
      </c>
      <c r="AB41" s="40" t="s">
        <v>115</v>
      </c>
      <c r="AC41" s="40" t="s">
        <v>72</v>
      </c>
      <c r="AD41" s="40" t="s">
        <v>72</v>
      </c>
      <c r="AE41" s="40" t="s">
        <v>72</v>
      </c>
      <c r="AF41" s="40" t="s">
        <v>72</v>
      </c>
      <c r="AG41" s="40" t="s">
        <v>78</v>
      </c>
      <c r="AH41" t="str">
        <f>VLOOKUP($R41,武学奇术!$A:$ZZ,25,FALSE)</f>
        <v>伞</v>
      </c>
      <c r="AI41" s="26">
        <f>VLOOKUP($R41,武学奇术!$A:$ZZ,26,FALSE)</f>
        <v>1.8084</v>
      </c>
      <c r="AJ41" s="27">
        <f>VLOOKUP($R41,武学奇术!$A:$ZZ,27,FALSE)*(1+IF(OR($AH41=$F$4,$AH41=$F$5),$B$22,0))</f>
        <v>750</v>
      </c>
      <c r="AK41" s="26">
        <f>VLOOKUP($R41,武学奇术!$A:$ZZ,28,FALSE)</f>
        <v>2.7126</v>
      </c>
      <c r="AL41" s="27">
        <f>VLOOKUP($R41,武学奇术!$A:$ZZ,29,FALSE)*(1+IF(OR($AH41=$F$4,$AH41=$F$5),$B$22,0))</f>
        <v>408</v>
      </c>
      <c r="AM41" s="26" cm="1">
        <f t="array" ref="AM41">$G$3+IFERROR(VLOOKUP($AH41,$F$4:$G$7,2,FALSE),0)+VLOOKUP($R41,武学奇术!$A:$ZZ,2,FALSE)+SUM(_xlfn.XLOOKUP($S41:$AG41,增益!$A:$A,增益!$B:$B,0))</f>
        <v>0.5741</v>
      </c>
      <c r="AN41" s="26" cm="1">
        <f t="array" ref="AN41">VLOOKUP($R41,武学奇术!$A:$ZZ,5,FALSE)+SUM(_xlfn.XLOOKUP($S41:$AG41,增益!$A:$A,增益!$E:$E,0))</f>
        <v>0</v>
      </c>
      <c r="AO41" cm="1">
        <f t="array" ref="AO41">$D$10*(1+$AN41)+VLOOKUP($R41,武学奇术!$A:$ZZ,3,FALSE)+SUM(_xlfn.XLOOKUP($S41:$AG41,增益!$A:$A,增益!$C:$C,0))-$I$2</f>
        <v>3562.6</v>
      </c>
      <c r="AP41" cm="1">
        <f t="array" ref="AP41">$E$10*(1+$AN41)+VLOOKUP($R41,武学奇术!$A:$ZZ,4,FALSE)+SUM(_xlfn.XLOOKUP($S41:$AG41,增益!$A:$A,增益!$D:$D,0))-$I$2</f>
        <v>3562.6</v>
      </c>
      <c r="AQ41" s="32" cm="1">
        <f t="array" ref="AQ41">IF($F$10-$I$3+VLOOKUP($R41,武学奇术!$A:$ZZ,6,FALSE)+SUM(_xlfn.XLOOKUP(S41:AG41,增益!$A:$A,增益!$F:$F,0))&gt;0,($F$10-$I$3+VLOOKUP($R41,武学奇术!$A:$ZZ,6,FALSE)+SUM(_xlfn.XLOOKUP(S41:AG41,增益!$A:$A,增益!$F:$F,0)))/200,($F$10-$I$3+VLOOKUP($R41,武学奇术!$A:$ZZ,6,FALSE)+SUM(_xlfn.XLOOKUP(S41:AG41,增益!$A:$A,增益!$F:$F,0)))/100)</f>
        <v>0.2925</v>
      </c>
      <c r="AR41" s="32" cm="1">
        <f t="array" ref="AR41">$G$10+VLOOKUP($R41,武学奇术!$A:$ZZ,7,FALSE)+SUM(_xlfn.XLOOKUP(S41:AG41,增益!$A:$A,增益!$G:$G,0))</f>
        <v>0.148</v>
      </c>
      <c r="AS41" s="26" cm="1">
        <f t="array" ref="AS41">VLOOKUP($R41,武学奇术!$A:$ZZ,8,FALSE)+SUM(_xlfn.XLOOKUP(S41:AG41,增益!$A:$A,增益!$H:$H,0))</f>
        <v>0</v>
      </c>
      <c r="AT41">
        <f t="shared" si="1"/>
        <v>0</v>
      </c>
      <c r="AU41">
        <f t="shared" si="2"/>
        <v>0</v>
      </c>
      <c r="AV41" s="32" cm="1">
        <f t="array" ref="AV41">IF($F$11-$I$4+VLOOKUP($R41,武学奇术!$A:$ZZ,9,FALSE)+SUM(_xlfn.XLOOKUP(S41:AG41,增益!$A:$A,增益!$I:$I,0))&gt;0,($F$11-$I$4+VLOOKUP($R41,武学奇术!$A:$ZZ,9,FALSE)+SUM(_xlfn.XLOOKUP(S41:AG41,增益!$A:$A,增益!$I:$I,0)))/200,($F$11-$I$4+VLOOKUP($R41,武学奇术!$A:$ZZ,9,FALSE)+SUM(_xlfn.XLOOKUP(S41:AG41,增益!$A:$A,增益!$I:$I,0)))/100)</f>
        <v>-0.3</v>
      </c>
      <c r="AW41" s="32" cm="1">
        <f t="array" ref="AW41">$G$11+VLOOKUP($R41,武学奇术!$A:$ZZ,10,FALSE)+SUM(_xlfn.XLOOKUP(S41:AG41,增益!$A:$A,增益!$J:$J,0))</f>
        <v>0</v>
      </c>
      <c r="AX41">
        <f t="shared" si="3"/>
        <v>0</v>
      </c>
      <c r="AY41">
        <f t="shared" si="4"/>
        <v>0</v>
      </c>
      <c r="AZ41" s="32" cm="1">
        <f t="array" ref="AZ41">IF($F$12-$I$4+VLOOKUP($R41,武学奇术!$A:$ZZ,11,FALSE)+SUM(_xlfn.XLOOKUP(S41:AG41,增益!$A:$A,增益!$K:$K,0))&gt;0,($F$12-$I$4+VLOOKUP($R41,武学奇术!$A:$ZZ,11,FALSE)+SUM(_xlfn.XLOOKUP(S41:AG41,增益!$A:$A,增益!$K:$K,0)))/200,($F$12-$I$4+VLOOKUP($R41,武学奇术!$A:$ZZ,11,FALSE)+SUM(_xlfn.XLOOKUP(S41:AG41,增益!$A:$A,增益!$K:$K,0)))/100)</f>
        <v>-0.3</v>
      </c>
      <c r="BA41" s="32" cm="1">
        <f t="array" ref="BA41">$G$12+VLOOKUP($R41,武学奇术!$A:$ZZ,12,FALSE)+SUM(_xlfn.XLOOKUP(S41:AG41,增益!$A:$A,增益!$L:$L,0))</f>
        <v>0</v>
      </c>
      <c r="BB41">
        <f t="shared" si="5"/>
        <v>0</v>
      </c>
      <c r="BC41">
        <f t="shared" si="6"/>
        <v>0</v>
      </c>
      <c r="BD41" s="32" cm="1">
        <f t="array" ref="BD41">IF($F$13-$I$4+VLOOKUP($R41,武学奇术!$A:$ZZ,13,FALSE)+SUM(_xlfn.XLOOKUP(S41:AG41,增益!$A:$A,增益!$M:$M,0))&gt;0,($F$13-$I$4+VLOOKUP($R41,武学奇术!$A:$ZZ,13,FALSE)+SUM(_xlfn.XLOOKUP(S41:AG41,增益!$A:$A,增益!$K:$K,0)))/200,($F$13-$I$4+VLOOKUP($R41,武学奇术!$A:$ZZ,13,FALSE)+SUM(_xlfn.XLOOKUP(S41:AG41,增益!$A:$A,增益!$M:$M,0)))/100)</f>
        <v>-0.3</v>
      </c>
      <c r="BE41" s="32" cm="1">
        <f t="array" ref="BE41">$G$13+VLOOKUP($R41,武学奇术!$A:$ZZ,14,FALSE)+SUM(_xlfn.XLOOKUP(S41:AG41,增益!$A:$A,增益!$N:$N,0))</f>
        <v>0</v>
      </c>
      <c r="BF41">
        <f t="shared" si="7"/>
        <v>571.2</v>
      </c>
      <c r="BG41">
        <f t="shared" si="8"/>
        <v>1627.8</v>
      </c>
      <c r="BH41" s="32" cm="1">
        <f t="array" ref="BH41">IF($F$14-$I$4+VLOOKUP($R41,武学奇术!$A:$ZZ,15,FALSE)+SUM(_xlfn.XLOOKUP(S41:AG41,增益!$A:$A,增益!$O:$O,0))&gt;0,($F$14-$I$4+VLOOKUP($R41,武学奇术!$A:$ZZ,15,FALSE)+SUM(_xlfn.XLOOKUP(S41:AG41,增益!$A:$A,增益!$O:$O,0)))/200,($F$14-$I$4+VLOOKUP($R41,武学奇术!$A:$ZZ,15,FALSE)+SUM(_xlfn.XLOOKUP(S41:AG41,增益!$A:$A,增益!$O:$O,0)))/100)</f>
        <v>0</v>
      </c>
      <c r="BI41" s="32" cm="1">
        <f t="array" ref="BI41">$G$14+VLOOKUP($R41,武学奇术!$A:$ZZ,16,FALSE)+SUM(_xlfn.XLOOKUP(S41:AG41,增益!$A:$A,增益!$P:$P,0))</f>
        <v>0.27</v>
      </c>
      <c r="BJ41" s="26">
        <f>MIN(IF(VLOOKUP($R41,武学奇术!$A:$ZZ,23,FALSE)=1,100%,$B$8),100%)</f>
        <v>0.981</v>
      </c>
      <c r="BK41" s="26" cm="1">
        <f t="array" ref="BK41">IF(VLOOKUP($R41,武学奇术!$A:$ZZ,23,FALSE)=1,100%,MIN(80%,$B$9+VLOOKUP($R41,武学奇术!$A:$ZZ,17,FALSE)+SUM(_xlfn.XLOOKUP(S41:AG41,增益!$A:$A,增益!$Q:$Q,0)))+$B$11+SUM(_xlfn.XLOOKUP(S41:AG41,增益!$A:$A,增益!$U:$U,0)))*IF(VLOOKUP($R41,武学奇术!$A:$ZZ,24,FALSE)=1,0,1)</f>
        <v>0.846</v>
      </c>
      <c r="BL41" s="26" cm="1">
        <f t="array" ref="BL41">1+$B$13+VLOOKUP($R41,武学奇术!$A:$ZZ,18,FALSE)+SUM(_xlfn.XLOOKUP(S41:AG41,增益!$A:$A,增益!$R:$R,0))</f>
        <v>1.95</v>
      </c>
      <c r="BM41" s="26" cm="1">
        <f t="array" ref="BM41">IF(VLOOKUP($R41,武学奇术!$A:$ZZ,24,FALSE)=1,100%,MIN(40%,$B$10+VLOOKUP($R41,武学奇术!$A:$ZZ,19,FALSE)+SUM(_xlfn.XLOOKUP(S41:AG41,增益!$A:$A,增益!$S:$S,0)))+$B$12+SUM(_xlfn.XLOOKUP(S41:AG41,增益!$A:$A,增益!$V:$V,0)))*IF(VLOOKUP($R41,武学奇术!$A:$ZZ,23,FALSE)=1,0,1)</f>
        <v>0.0929</v>
      </c>
      <c r="BN41" s="26" cm="1">
        <f t="array" ref="BN41">1+$B$14+VLOOKUP($R41,武学奇术!$A:$ZZ,20,FALSE)+SUM(_xlfn.XLOOKUP(S41:AG41,增益!$A:$A,增益!$T:$T,0))</f>
        <v>1.35</v>
      </c>
      <c r="BO41" s="26">
        <f t="shared" si="9"/>
        <v>0.829926</v>
      </c>
      <c r="BP41" s="26">
        <f t="shared" si="10"/>
        <v>0.0599391</v>
      </c>
      <c r="BQ41" s="26">
        <f>IF(VLOOKUP($R41,武学奇术!$A:$ZZ,22,FALSE)=1,0,(1-$BJ41))*(1-$BM41)</f>
        <v>0.0172349</v>
      </c>
      <c r="BR41" s="26" cm="1">
        <f t="array" ref="BR41">SUM(_xlfn.XLOOKUP(S41:AG41,增益!$A:$A,增益!$W:$W,0))+$I$5</f>
        <v>0.11</v>
      </c>
    </row>
    <row r="42" spans="1:70">
      <c r="A42" s="4"/>
      <c r="B42" s="87"/>
      <c r="C42" s="4"/>
      <c r="K42">
        <f>$L42*VLOOKUP($R42,武学奇术!$A:$ZZ,31,FALSE)</f>
        <v>39937.9900856956</v>
      </c>
      <c r="L42" s="38">
        <f t="shared" si="11"/>
        <v>38036.1810339958</v>
      </c>
      <c r="M42" s="38">
        <f>((($AO42+$AP42)/2*$AI42+$AJ42)*(1+$AQ42)*(1+$AR42)+(($AT42+$AU42)/2*IF($G$1="鸣金",$AK42,$AI42)+IF($G$1="鸣金",$AL42*1.5,0))*(1+$AV42)*(1+$AW42)+(($AX42+$AY42)/2*IF($G$1="裂石",$AK42,$AI42)+IF($G$1="裂石",$AL42*1.5,0))*(1+$AZ42)*(1+$BA42)+(($BB42+$BC42)/2*IF($G$1="牵丝",$AK42,$AI42)+IF($G$1="牵丝",$AL42*1.5,0))*(1+$BD42)*(1+$BE42)+(($BF42+$BG42)/2*IF($G$1="破竹",$AK42,$AI42)+IF($G$1="破竹",$AL42*1.5,0))*(1+$BH42)*(1+$BI42))*(1+$AM42)*$BL42*$Q42*(1+IF(VLOOKUP($R42,武学奇术!$A:$ZZ,30,FALSE)="回旋伞",$B$21,0))*(1+$BR42)</f>
        <v>40404.5983273644</v>
      </c>
      <c r="N42" s="38">
        <f>(($AP42*$AI42+$AJ42)*(1+$AQ42)*(1+$AR42)+($AU42*IF($G$1="鸣金",$AK42,$AI42)+IF($G$1="鸣金",$AL42*1.5,0))*(1+$AV42)*(1+$AW42)+($AY42*IF($G$1="裂石",$AK42,$AI42)+IF($G$1="裂石",$AL42*1.5,0))*(1+$AZ42)*(1+$BA42)+($BC42*IF($G$1="牵丝",$AK42,$AI42)+IF($G$1="牵丝",$AL42*1.5,0))*(1+$BD42)*(1+$BE42)+($BG42*IF($G$1="破竹",$AK42,$AI42)+IF($G$1="破竹",$AL42*1.5,0))*(1+$BH42)*(1+$BI42))*(1+$AM42)*$BN42*$Q42*(1+IF(VLOOKUP($R42,武学奇术!$A:$ZZ,30,FALSE)="回旋伞",$B$21,0))*(1+$BR42)</f>
        <v>31786.6551424357</v>
      </c>
      <c r="O42" s="38">
        <f>((($AO42+$AP42)/2*$AI42+$AJ42)*(1+$AQ42)*(1+$AR42)+(($AT42+$AU42)/2*IF($G$1="鸣金",$AK42,$AI42)+IF($G$1="鸣金",$AL42*1.5,0))*(1+$AV42)*(1+$AW42)+(($AX42+$AY42)/2*IF($G$1="裂石",$AK42,$AI42)+IF($G$1="裂石",$AL42*1.5,0))*(1+$AZ42)*(1+$BA42)+(($BB42+$BC42)/2*IF($G$1="牵丝",$AK42,$AI42)+IF($G$1="牵丝",$AL42*1.5,0))*(1+$BD42)*(1+$BE42)+(($BF42+$BG42)/2*IF($G$1="破竹",$AK42,$AI42)+IF($G$1="破竹",$AL42*1.5,0))*(1+$BH42)*(1+$BI42))*(1+$AM42)*$Q42*(1+IF(VLOOKUP($R42,武学奇术!$A:$ZZ,30,FALSE)="回旋伞",$B$21,0))*(1+$BR42)</f>
        <v>20720.3068345459</v>
      </c>
      <c r="P42" s="38">
        <f>((($AO42*$AI42+$AJ42)*(1+$AQ42)*(1+$AR42)+($AT42*IF($G$1="鸣金",$AK42,$AI42)+IF($G$1="鸣金",$AL42*1.5,0))*(1+$AV42)*(1+$AW42)+($AX42*IF($G$1="裂石",$AK42,$AI42)+IF($G$1="裂石",$AL42*1.5,0))*(1+$AZ42)*(1+$BA42)+($BB42*IF($G$1="牵丝",$AK42,$AI42)+IF($G$1="牵丝",$AL42*1.5,0))*(1+$BD42)*(1+$BE42)+($BF42*IF($G$1="破竹",$AK42,$AI42)+IF($G$1="破竹",$AL42*1.5,0))*(1+$BH42)*(1+$BI42))*(1+$AM42))*$Q42*(1+IF(VLOOKUP($R42,武学奇术!$A:$ZZ,30,FALSE)="回旋伞",$B$21,0))*(1+$BR42)</f>
        <v>17894.9431932134</v>
      </c>
      <c r="Q42" s="39">
        <v>2</v>
      </c>
      <c r="R42" s="40" t="s">
        <v>112</v>
      </c>
      <c r="S42" s="40" t="s">
        <v>109</v>
      </c>
      <c r="T42" s="40" t="s">
        <v>95</v>
      </c>
      <c r="U42" s="40" t="s">
        <v>73</v>
      </c>
      <c r="V42" s="40" t="s">
        <v>72</v>
      </c>
      <c r="W42" s="40" t="s">
        <v>168</v>
      </c>
      <c r="X42" s="40" t="s">
        <v>99</v>
      </c>
      <c r="Y42" s="40" t="s">
        <v>72</v>
      </c>
      <c r="Z42" s="40" t="s">
        <v>72</v>
      </c>
      <c r="AA42" s="40" t="s">
        <v>72</v>
      </c>
      <c r="AB42" s="40" t="s">
        <v>115</v>
      </c>
      <c r="AC42" s="40" t="s">
        <v>72</v>
      </c>
      <c r="AD42" s="40" t="s">
        <v>72</v>
      </c>
      <c r="AE42" s="40" t="s">
        <v>72</v>
      </c>
      <c r="AF42" s="40" t="s">
        <v>72</v>
      </c>
      <c r="AG42" s="40" t="s">
        <v>78</v>
      </c>
      <c r="AH42" t="str">
        <f>VLOOKUP($R42,武学奇术!$A:$ZZ,25,FALSE)</f>
        <v>伞</v>
      </c>
      <c r="AI42" s="26">
        <f>VLOOKUP($R42,武学奇术!$A:$ZZ,26,FALSE)</f>
        <v>0.54</v>
      </c>
      <c r="AJ42" s="27">
        <f>VLOOKUP($R42,武学奇术!$A:$ZZ,27,FALSE)*(1+IF(OR($AH42=$F$4,$AH42=$F$5),$B$22,0))</f>
        <v>0</v>
      </c>
      <c r="AK42" s="26">
        <f>VLOOKUP($R42,武学奇术!$A:$ZZ,28,FALSE)</f>
        <v>0.81</v>
      </c>
      <c r="AL42" s="27">
        <f>VLOOKUP($R42,武学奇术!$A:$ZZ,29,FALSE)*(1+IF(OR($AH42=$F$4,$AH42=$F$5),$B$22,0))</f>
        <v>0</v>
      </c>
      <c r="AM42" s="26" cm="1">
        <f t="array" ref="AM42">$G$3+IFERROR(VLOOKUP($AH42,$F$4:$G$7,2,FALSE),0)+VLOOKUP($R42,武学奇术!$A:$ZZ,2,FALSE)+SUM(_xlfn.XLOOKUP($S42:$AG42,增益!$A:$A,增益!$B:$B,0))</f>
        <v>0.7741</v>
      </c>
      <c r="AN42" s="26" cm="1">
        <f t="array" ref="AN42">VLOOKUP($R42,武学奇术!$A:$ZZ,5,FALSE)+SUM(_xlfn.XLOOKUP($S42:$AG42,增益!$A:$A,增益!$E:$E,0))</f>
        <v>0</v>
      </c>
      <c r="AO42" cm="1">
        <f t="array" ref="AO42">$D$10*(1+$AN42)+VLOOKUP($R42,武学奇术!$A:$ZZ,3,FALSE)+SUM(_xlfn.XLOOKUP($S42:$AG42,增益!$A:$A,增益!$C:$C,0))-$I$2</f>
        <v>3562.6</v>
      </c>
      <c r="AP42" cm="1">
        <f t="array" ref="AP42">$E$10*(1+$AN42)+VLOOKUP($R42,武学奇术!$A:$ZZ,4,FALSE)+SUM(_xlfn.XLOOKUP($S42:$AG42,增益!$A:$A,增益!$D:$D,0))-$I$2</f>
        <v>3562.6</v>
      </c>
      <c r="AQ42" s="32" cm="1">
        <f t="array" ref="AQ42">IF($F$10-$I$3+VLOOKUP($R42,武学奇术!$A:$ZZ,6,FALSE)+SUM(_xlfn.XLOOKUP(S42:AG42,增益!$A:$A,增益!$F:$F,0))&gt;0,($F$10-$I$3+VLOOKUP($R42,武学奇术!$A:$ZZ,6,FALSE)+SUM(_xlfn.XLOOKUP(S42:AG42,增益!$A:$A,增益!$F:$F,0)))/200,($F$10-$I$3+VLOOKUP($R42,武学奇术!$A:$ZZ,6,FALSE)+SUM(_xlfn.XLOOKUP(S42:AG42,增益!$A:$A,增益!$F:$F,0)))/100)</f>
        <v>0.2925</v>
      </c>
      <c r="AR42" s="32" cm="1">
        <f t="array" ref="AR42">$G$10+VLOOKUP($R42,武学奇术!$A:$ZZ,7,FALSE)+SUM(_xlfn.XLOOKUP(S42:AG42,增益!$A:$A,增益!$G:$G,0))</f>
        <v>0.148</v>
      </c>
      <c r="AS42" s="26" cm="1">
        <f t="array" ref="AS42">VLOOKUP($R42,武学奇术!$A:$ZZ,8,FALSE)+SUM(_xlfn.XLOOKUP(S42:AG42,增益!$A:$A,增益!$H:$H,0))</f>
        <v>0</v>
      </c>
      <c r="AT42">
        <f t="shared" si="1"/>
        <v>0</v>
      </c>
      <c r="AU42">
        <f t="shared" si="2"/>
        <v>0</v>
      </c>
      <c r="AV42" s="32" cm="1">
        <f t="array" ref="AV42">IF($F$11-$I$4+VLOOKUP($R42,武学奇术!$A:$ZZ,9,FALSE)+SUM(_xlfn.XLOOKUP(S42:AG42,增益!$A:$A,增益!$I:$I,0))&gt;0,($F$11-$I$4+VLOOKUP($R42,武学奇术!$A:$ZZ,9,FALSE)+SUM(_xlfn.XLOOKUP(S42:AG42,增益!$A:$A,增益!$I:$I,0)))/200,($F$11-$I$4+VLOOKUP($R42,武学奇术!$A:$ZZ,9,FALSE)+SUM(_xlfn.XLOOKUP(S42:AG42,增益!$A:$A,增益!$I:$I,0)))/100)</f>
        <v>-0.3</v>
      </c>
      <c r="AW42" s="32" cm="1">
        <f t="array" ref="AW42">$G$11+VLOOKUP($R42,武学奇术!$A:$ZZ,10,FALSE)+SUM(_xlfn.XLOOKUP(S42:AG42,增益!$A:$A,增益!$J:$J,0))</f>
        <v>0</v>
      </c>
      <c r="AX42">
        <f t="shared" si="3"/>
        <v>0</v>
      </c>
      <c r="AY42">
        <f t="shared" si="4"/>
        <v>0</v>
      </c>
      <c r="AZ42" s="32" cm="1">
        <f t="array" ref="AZ42">IF($F$12-$I$4+VLOOKUP($R42,武学奇术!$A:$ZZ,11,FALSE)+SUM(_xlfn.XLOOKUP(S42:AG42,增益!$A:$A,增益!$K:$K,0))&gt;0,($F$12-$I$4+VLOOKUP($R42,武学奇术!$A:$ZZ,11,FALSE)+SUM(_xlfn.XLOOKUP(S42:AG42,增益!$A:$A,增益!$K:$K,0)))/200,($F$12-$I$4+VLOOKUP($R42,武学奇术!$A:$ZZ,11,FALSE)+SUM(_xlfn.XLOOKUP(S42:AG42,增益!$A:$A,增益!$K:$K,0)))/100)</f>
        <v>-0.3</v>
      </c>
      <c r="BA42" s="32" cm="1">
        <f t="array" ref="BA42">$G$12+VLOOKUP($R42,武学奇术!$A:$ZZ,12,FALSE)+SUM(_xlfn.XLOOKUP(S42:AG42,增益!$A:$A,增益!$L:$L,0))</f>
        <v>0</v>
      </c>
      <c r="BB42">
        <f t="shared" si="5"/>
        <v>0</v>
      </c>
      <c r="BC42">
        <f t="shared" si="6"/>
        <v>0</v>
      </c>
      <c r="BD42" s="32" cm="1">
        <f t="array" ref="BD42">IF($F$13-$I$4+VLOOKUP($R42,武学奇术!$A:$ZZ,13,FALSE)+SUM(_xlfn.XLOOKUP(S42:AG42,增益!$A:$A,增益!$M:$M,0))&gt;0,($F$13-$I$4+VLOOKUP($R42,武学奇术!$A:$ZZ,13,FALSE)+SUM(_xlfn.XLOOKUP(S42:AG42,增益!$A:$A,增益!$K:$K,0)))/200,($F$13-$I$4+VLOOKUP($R42,武学奇术!$A:$ZZ,13,FALSE)+SUM(_xlfn.XLOOKUP(S42:AG42,增益!$A:$A,增益!$M:$M,0)))/100)</f>
        <v>-0.3</v>
      </c>
      <c r="BE42" s="32" cm="1">
        <f t="array" ref="BE42">$G$13+VLOOKUP($R42,武学奇术!$A:$ZZ,14,FALSE)+SUM(_xlfn.XLOOKUP(S42:AG42,增益!$A:$A,增益!$N:$N,0))</f>
        <v>0</v>
      </c>
      <c r="BF42">
        <f t="shared" si="7"/>
        <v>571.2</v>
      </c>
      <c r="BG42">
        <f t="shared" si="8"/>
        <v>1627.8</v>
      </c>
      <c r="BH42" s="32" cm="1">
        <f t="array" ref="BH42">IF($F$14-$I$4+VLOOKUP($R42,武学奇术!$A:$ZZ,15,FALSE)+SUM(_xlfn.XLOOKUP(S42:AG42,增益!$A:$A,增益!$O:$O,0))&gt;0,($F$14-$I$4+VLOOKUP($R42,武学奇术!$A:$ZZ,15,FALSE)+SUM(_xlfn.XLOOKUP(S42:AG42,增益!$A:$A,增益!$O:$O,0)))/200,($F$14-$I$4+VLOOKUP($R42,武学奇术!$A:$ZZ,15,FALSE)+SUM(_xlfn.XLOOKUP(S42:AG42,增益!$A:$A,增益!$O:$O,0)))/100)</f>
        <v>0</v>
      </c>
      <c r="BI42" s="32" cm="1">
        <f t="array" ref="BI42">$G$14+VLOOKUP($R42,武学奇术!$A:$ZZ,16,FALSE)+SUM(_xlfn.XLOOKUP(S42:AG42,增益!$A:$A,增益!$P:$P,0))</f>
        <v>0.27</v>
      </c>
      <c r="BJ42" s="26">
        <f>MIN(IF(VLOOKUP($R42,武学奇术!$A:$ZZ,23,FALSE)=1,100%,$B$8),100%)</f>
        <v>0.981</v>
      </c>
      <c r="BK42" s="26" cm="1">
        <f t="array" ref="BK42">IF(VLOOKUP($R42,武学奇术!$A:$ZZ,23,FALSE)=1,100%,MIN(80%,$B$9+VLOOKUP($R42,武学奇术!$A:$ZZ,17,FALSE)+SUM(_xlfn.XLOOKUP(S42:AG42,增益!$A:$A,增益!$Q:$Q,0)))+$B$11+SUM(_xlfn.XLOOKUP(S42:AG42,增益!$A:$A,增益!$U:$U,0)))*IF(VLOOKUP($R42,武学奇术!$A:$ZZ,24,FALSE)=1,0,1)</f>
        <v>0.846</v>
      </c>
      <c r="BL42" s="26" cm="1">
        <f t="array" ref="BL42">1+$B$13+VLOOKUP($R42,武学奇术!$A:$ZZ,18,FALSE)+SUM(_xlfn.XLOOKUP(S42:AG42,增益!$A:$A,增益!$R:$R,0))</f>
        <v>1.95</v>
      </c>
      <c r="BM42" s="26" cm="1">
        <f t="array" ref="BM42">IF(VLOOKUP($R42,武学奇术!$A:$ZZ,24,FALSE)=1,100%,MIN(40%,$B$10+VLOOKUP($R42,武学奇术!$A:$ZZ,19,FALSE)+SUM(_xlfn.XLOOKUP(S42:AG42,增益!$A:$A,增益!$S:$S,0)))+$B$12+SUM(_xlfn.XLOOKUP(S42:AG42,增益!$A:$A,增益!$V:$V,0)))*IF(VLOOKUP($R42,武学奇术!$A:$ZZ,23,FALSE)=1,0,1)</f>
        <v>0.0929</v>
      </c>
      <c r="BN42" s="26" cm="1">
        <f t="array" ref="BN42">1+$B$14+VLOOKUP($R42,武学奇术!$A:$ZZ,20,FALSE)+SUM(_xlfn.XLOOKUP(S42:AG42,增益!$A:$A,增益!$T:$T,0))</f>
        <v>1.35</v>
      </c>
      <c r="BO42" s="26">
        <f t="shared" si="9"/>
        <v>0.829926</v>
      </c>
      <c r="BP42" s="26">
        <f t="shared" si="10"/>
        <v>0.0599391</v>
      </c>
      <c r="BQ42" s="26">
        <f>IF(VLOOKUP($R42,武学奇术!$A:$ZZ,22,FALSE)=1,0,(1-$BJ42))*(1-$BM42)</f>
        <v>0.0172349</v>
      </c>
      <c r="BR42" s="26" cm="1">
        <f t="array" ref="BR42">SUM(_xlfn.XLOOKUP(S42:AG42,增益!$A:$A,增益!$W:$W,0))+$I$5</f>
        <v>0.11</v>
      </c>
    </row>
    <row r="43" spans="1:70">
      <c r="A43" s="4"/>
      <c r="B43" s="87"/>
      <c r="C43" s="4"/>
      <c r="K43">
        <f>$L43*VLOOKUP($R43,武学奇术!$A:$ZZ,31,FALSE)</f>
        <v>69813.5520262958</v>
      </c>
      <c r="L43" s="38">
        <f t="shared" si="11"/>
        <v>66489.0971679008</v>
      </c>
      <c r="M43" s="38">
        <f>((($AO43+$AP43)/2*$AI43+$AJ43)*(1+$AQ43)*(1+$AR43)+(($AT43+$AU43)/2*IF($G$1="鸣金",$AK43,$AI43)+IF($G$1="鸣金",$AL43*1.5,0))*(1+$AV43)*(1+$AW43)+(($AX43+$AY43)/2*IF($G$1="裂石",$AK43,$AI43)+IF($G$1="裂石",$AL43*1.5,0))*(1+$AZ43)*(1+$BA43)+(($BB43+$BC43)/2*IF($G$1="牵丝",$AK43,$AI43)+IF($G$1="牵丝",$AL43*1.5,0))*(1+$BD43)*(1+$BE43)+(($BF43+$BG43)/2*IF($G$1="破竹",$AK43,$AI43)+IF($G$1="破竹",$AL43*1.5,0))*(1+$BH43)*(1+$BI43))*(1+$AM43)*$BL43*$Q43*(1+IF(VLOOKUP($R43,武学奇术!$A:$ZZ,30,FALSE)="回旋伞",$B$21,0))*(1+$BR43)</f>
        <v>70988.770065154</v>
      </c>
      <c r="N43" s="38">
        <f>(($AP43*$AI43+$AJ43)*(1+$AQ43)*(1+$AR43)+($AU43*IF($G$1="鸣金",$AK43,$AI43)+IF($G$1="鸣金",$AL43*1.5,0))*(1+$AV43)*(1+$AW43)+($AY43*IF($G$1="裂石",$AK43,$AI43)+IF($G$1="裂石",$AL43*1.5,0))*(1+$AZ43)*(1+$BA43)+($BC43*IF($G$1="牵丝",$AK43,$AI43)+IF($G$1="牵丝",$AL43*1.5,0))*(1+$BD43)*(1+$BE43)+($BG43*IF($G$1="破竹",$AK43,$AI43)+IF($G$1="破竹",$AL43*1.5,0))*(1+$BH43)*(1+$BI43))*(1+$AM43)*$BN43*$Q43*(1+IF(VLOOKUP($R43,武学奇术!$A:$ZZ,30,FALSE)="回旋伞",$B$21,0))*(1+$BR43)</f>
        <v>53109.7272796914</v>
      </c>
      <c r="O43" s="38">
        <f>((($AO43+$AP43)/2*$AI43+$AJ43)*(1+$AQ43)*(1+$AR43)+(($AT43+$AU43)/2*IF($G$1="鸣金",$AK43,$AI43)+IF($G$1="鸣金",$AL43*1.5,0))*(1+$AV43)*(1+$AW43)+(($AX43+$AY43)/2*IF($G$1="裂石",$AK43,$AI43)+IF($G$1="裂石",$AL43*1.5,0))*(1+$AZ43)*(1+$BA43)+(($BB43+$BC43)/2*IF($G$1="牵丝",$AK43,$AI43)+IF($G$1="牵丝",$AL43*1.5,0))*(1+$BD43)*(1+$BE43)+(($BF43+$BG43)/2*IF($G$1="破竹",$AK43,$AI43)+IF($G$1="破竹",$AL43*1.5,0))*(1+$BH43)*(1+$BI43))*(1+$AM43)*$Q43*(1+IF(VLOOKUP($R43,武学奇术!$A:$ZZ,30,FALSE)="回旋伞",$B$21,0))*(1+$BR43)</f>
        <v>35142.955477799</v>
      </c>
      <c r="P43" s="38">
        <f>((($AO43*$AI43+$AJ43)*(1+$AQ43)*(1+$AR43)+($AT43*IF($G$1="鸣金",$AK43,$AI43)+IF($G$1="鸣金",$AL43*1.5,0))*(1+$AV43)*(1+$AW43)+($AX43*IF($G$1="裂石",$AK43,$AI43)+IF($G$1="裂石",$AL43*1.5,0))*(1+$AZ43)*(1+$BA43)+($BB43*IF($G$1="牵丝",$AK43,$AI43)+IF($G$1="牵丝",$AL43*1.5,0))*(1+$BD43)*(1+$BE43)+($BF43*IF($G$1="破竹",$AK43,$AI43)+IF($G$1="破竹",$AL43*1.5,0))*(1+$BH43)*(1+$BI43))*(1+$AM43))*$Q43*(1+IF(VLOOKUP($R43,武学奇术!$A:$ZZ,30,FALSE)="回旋伞",$B$21,0))*(1+$BR43)</f>
        <v>30945.3722299007</v>
      </c>
      <c r="Q43" s="39">
        <v>1</v>
      </c>
      <c r="R43" s="40" t="s">
        <v>108</v>
      </c>
      <c r="S43" s="40" t="s">
        <v>109</v>
      </c>
      <c r="T43" s="40" t="s">
        <v>95</v>
      </c>
      <c r="U43" s="40" t="s">
        <v>73</v>
      </c>
      <c r="V43" s="40" t="s">
        <v>72</v>
      </c>
      <c r="W43" s="40" t="s">
        <v>169</v>
      </c>
      <c r="X43" s="40" t="s">
        <v>99</v>
      </c>
      <c r="Y43" s="40" t="s">
        <v>72</v>
      </c>
      <c r="Z43" s="40" t="s">
        <v>72</v>
      </c>
      <c r="AA43" s="40" t="s">
        <v>72</v>
      </c>
      <c r="AB43" s="40" t="s">
        <v>120</v>
      </c>
      <c r="AC43" s="40" t="s">
        <v>72</v>
      </c>
      <c r="AD43" s="40" t="s">
        <v>72</v>
      </c>
      <c r="AE43" s="40" t="s">
        <v>72</v>
      </c>
      <c r="AF43" s="40" t="s">
        <v>72</v>
      </c>
      <c r="AG43" s="40" t="s">
        <v>78</v>
      </c>
      <c r="AH43" t="str">
        <f>VLOOKUP($R43,武学奇术!$A:$ZZ,25,FALSE)</f>
        <v>伞</v>
      </c>
      <c r="AI43" s="26">
        <f>VLOOKUP($R43,武学奇术!$A:$ZZ,26,FALSE)</f>
        <v>1.8084</v>
      </c>
      <c r="AJ43" s="27">
        <f>VLOOKUP($R43,武学奇术!$A:$ZZ,27,FALSE)*(1+IF(OR($AH43=$F$4,$AH43=$F$5),$B$22,0))</f>
        <v>750</v>
      </c>
      <c r="AK43" s="26">
        <f>VLOOKUP($R43,武学奇术!$A:$ZZ,28,FALSE)</f>
        <v>2.7126</v>
      </c>
      <c r="AL43" s="27">
        <f>VLOOKUP($R43,武学奇术!$A:$ZZ,29,FALSE)*(1+IF(OR($AH43=$F$4,$AH43=$F$5),$B$22,0))</f>
        <v>408</v>
      </c>
      <c r="AM43" s="26" cm="1">
        <f t="array" ref="AM43">$G$3+IFERROR(VLOOKUP($AH43,$F$4:$G$7,2,FALSE),0)+VLOOKUP($R43,武学奇术!$A:$ZZ,2,FALSE)+SUM(_xlfn.XLOOKUP($S43:$AG43,增益!$A:$A,增益!$B:$B,0))</f>
        <v>0.5741</v>
      </c>
      <c r="AN43" s="26" cm="1">
        <f t="array" ref="AN43">VLOOKUP($R43,武学奇术!$A:$ZZ,5,FALSE)+SUM(_xlfn.XLOOKUP($S43:$AG43,增益!$A:$A,增益!$E:$E,0))</f>
        <v>0</v>
      </c>
      <c r="AO43" cm="1">
        <f t="array" ref="AO43">$D$10*(1+$AN43)+VLOOKUP($R43,武学奇术!$A:$ZZ,3,FALSE)+SUM(_xlfn.XLOOKUP($S43:$AG43,增益!$A:$A,增益!$C:$C,0))-$I$2</f>
        <v>3562.6</v>
      </c>
      <c r="AP43" cm="1">
        <f t="array" ref="AP43">$E$10*(1+$AN43)+VLOOKUP($R43,武学奇术!$A:$ZZ,4,FALSE)+SUM(_xlfn.XLOOKUP($S43:$AG43,增益!$A:$A,增益!$D:$D,0))-$I$2</f>
        <v>3562.6</v>
      </c>
      <c r="AQ43" s="32" cm="1">
        <f t="array" ref="AQ43">IF($F$10-$I$3+VLOOKUP($R43,武学奇术!$A:$ZZ,6,FALSE)+SUM(_xlfn.XLOOKUP(S43:AG43,增益!$A:$A,增益!$F:$F,0))&gt;0,($F$10-$I$3+VLOOKUP($R43,武学奇术!$A:$ZZ,6,FALSE)+SUM(_xlfn.XLOOKUP(S43:AG43,增益!$A:$A,增益!$F:$F,0)))/200,($F$10-$I$3+VLOOKUP($R43,武学奇术!$A:$ZZ,6,FALSE)+SUM(_xlfn.XLOOKUP(S43:AG43,增益!$A:$A,增益!$F:$F,0)))/100)</f>
        <v>0.2925</v>
      </c>
      <c r="AR43" s="32" cm="1">
        <f t="array" ref="AR43">$G$10+VLOOKUP($R43,武学奇术!$A:$ZZ,7,FALSE)+SUM(_xlfn.XLOOKUP(S43:AG43,增益!$A:$A,增益!$G:$G,0))</f>
        <v>0.148</v>
      </c>
      <c r="AS43" s="26" cm="1">
        <f t="array" ref="AS43">VLOOKUP($R43,武学奇术!$A:$ZZ,8,FALSE)+SUM(_xlfn.XLOOKUP(S43:AG43,增益!$A:$A,增益!$H:$H,0))</f>
        <v>0</v>
      </c>
      <c r="AT43">
        <f t="shared" si="1"/>
        <v>0</v>
      </c>
      <c r="AU43">
        <f t="shared" si="2"/>
        <v>0</v>
      </c>
      <c r="AV43" s="32" cm="1">
        <f t="array" ref="AV43">IF($F$11-$I$4+VLOOKUP($R43,武学奇术!$A:$ZZ,9,FALSE)+SUM(_xlfn.XLOOKUP(S43:AG43,增益!$A:$A,增益!$I:$I,0))&gt;0,($F$11-$I$4+VLOOKUP($R43,武学奇术!$A:$ZZ,9,FALSE)+SUM(_xlfn.XLOOKUP(S43:AG43,增益!$A:$A,增益!$I:$I,0)))/200,($F$11-$I$4+VLOOKUP($R43,武学奇术!$A:$ZZ,9,FALSE)+SUM(_xlfn.XLOOKUP(S43:AG43,增益!$A:$A,增益!$I:$I,0)))/100)</f>
        <v>-0.3</v>
      </c>
      <c r="AW43" s="32" cm="1">
        <f t="array" ref="AW43">$G$11+VLOOKUP($R43,武学奇术!$A:$ZZ,10,FALSE)+SUM(_xlfn.XLOOKUP(S43:AG43,增益!$A:$A,增益!$J:$J,0))</f>
        <v>0</v>
      </c>
      <c r="AX43">
        <f t="shared" si="3"/>
        <v>0</v>
      </c>
      <c r="AY43">
        <f t="shared" si="4"/>
        <v>0</v>
      </c>
      <c r="AZ43" s="32" cm="1">
        <f t="array" ref="AZ43">IF($F$12-$I$4+VLOOKUP($R43,武学奇术!$A:$ZZ,11,FALSE)+SUM(_xlfn.XLOOKUP(S43:AG43,增益!$A:$A,增益!$K:$K,0))&gt;0,($F$12-$I$4+VLOOKUP($R43,武学奇术!$A:$ZZ,11,FALSE)+SUM(_xlfn.XLOOKUP(S43:AG43,增益!$A:$A,增益!$K:$K,0)))/200,($F$12-$I$4+VLOOKUP($R43,武学奇术!$A:$ZZ,11,FALSE)+SUM(_xlfn.XLOOKUP(S43:AG43,增益!$A:$A,增益!$K:$K,0)))/100)</f>
        <v>-0.3</v>
      </c>
      <c r="BA43" s="32" cm="1">
        <f t="array" ref="BA43">$G$12+VLOOKUP($R43,武学奇术!$A:$ZZ,12,FALSE)+SUM(_xlfn.XLOOKUP(S43:AG43,增益!$A:$A,增益!$L:$L,0))</f>
        <v>0</v>
      </c>
      <c r="BB43">
        <f t="shared" si="5"/>
        <v>0</v>
      </c>
      <c r="BC43">
        <f t="shared" si="6"/>
        <v>0</v>
      </c>
      <c r="BD43" s="32" cm="1">
        <f t="array" ref="BD43">IF($F$13-$I$4+VLOOKUP($R43,武学奇术!$A:$ZZ,13,FALSE)+SUM(_xlfn.XLOOKUP(S43:AG43,增益!$A:$A,增益!$M:$M,0))&gt;0,($F$13-$I$4+VLOOKUP($R43,武学奇术!$A:$ZZ,13,FALSE)+SUM(_xlfn.XLOOKUP(S43:AG43,增益!$A:$A,增益!$K:$K,0)))/200,($F$13-$I$4+VLOOKUP($R43,武学奇术!$A:$ZZ,13,FALSE)+SUM(_xlfn.XLOOKUP(S43:AG43,增益!$A:$A,增益!$M:$M,0)))/100)</f>
        <v>-0.3</v>
      </c>
      <c r="BE43" s="32" cm="1">
        <f t="array" ref="BE43">$G$13+VLOOKUP($R43,武学奇术!$A:$ZZ,14,FALSE)+SUM(_xlfn.XLOOKUP(S43:AG43,增益!$A:$A,增益!$N:$N,0))</f>
        <v>0</v>
      </c>
      <c r="BF43">
        <f t="shared" si="7"/>
        <v>571.2</v>
      </c>
      <c r="BG43">
        <f t="shared" si="8"/>
        <v>1627.8</v>
      </c>
      <c r="BH43" s="32" cm="1">
        <f t="array" ref="BH43">IF($F$14-$I$4+VLOOKUP($R43,武学奇术!$A:$ZZ,15,FALSE)+SUM(_xlfn.XLOOKUP(S43:AG43,增益!$A:$A,增益!$O:$O,0))&gt;0,($F$14-$I$4+VLOOKUP($R43,武学奇术!$A:$ZZ,15,FALSE)+SUM(_xlfn.XLOOKUP(S43:AG43,增益!$A:$A,增益!$O:$O,0)))/200,($F$14-$I$4+VLOOKUP($R43,武学奇术!$A:$ZZ,15,FALSE)+SUM(_xlfn.XLOOKUP(S43:AG43,增益!$A:$A,增益!$O:$O,0)))/100)</f>
        <v>0</v>
      </c>
      <c r="BI43" s="32" cm="1">
        <f t="array" ref="BI43">$G$14+VLOOKUP($R43,武学奇术!$A:$ZZ,16,FALSE)+SUM(_xlfn.XLOOKUP(S43:AG43,增益!$A:$A,增益!$P:$P,0))</f>
        <v>0.27</v>
      </c>
      <c r="BJ43" s="26">
        <f>MIN(IF(VLOOKUP($R43,武学奇术!$A:$ZZ,23,FALSE)=1,100%,$B$8),100%)</f>
        <v>0.981</v>
      </c>
      <c r="BK43" s="26" cm="1">
        <f t="array" ref="BK43">IF(VLOOKUP($R43,武学奇术!$A:$ZZ,23,FALSE)=1,100%,MIN(80%,$B$9+VLOOKUP($R43,武学奇术!$A:$ZZ,17,FALSE)+SUM(_xlfn.XLOOKUP(S43:AG43,增益!$A:$A,增益!$Q:$Q,0)))+$B$11+SUM(_xlfn.XLOOKUP(S43:AG43,增益!$A:$A,增益!$U:$U,0)))*IF(VLOOKUP($R43,武学奇术!$A:$ZZ,24,FALSE)=1,0,1)</f>
        <v>0.846</v>
      </c>
      <c r="BL43" s="26" cm="1">
        <f t="array" ref="BL43">1+$B$13+VLOOKUP($R43,武学奇术!$A:$ZZ,18,FALSE)+SUM(_xlfn.XLOOKUP(S43:AG43,增益!$A:$A,增益!$R:$R,0))</f>
        <v>2.02</v>
      </c>
      <c r="BM43" s="26" cm="1">
        <f t="array" ref="BM43">IF(VLOOKUP($R43,武学奇术!$A:$ZZ,24,FALSE)=1,100%,MIN(40%,$B$10+VLOOKUP($R43,武学奇术!$A:$ZZ,19,FALSE)+SUM(_xlfn.XLOOKUP(S43:AG43,增益!$A:$A,增益!$S:$S,0)))+$B$12+SUM(_xlfn.XLOOKUP(S43:AG43,增益!$A:$A,增益!$V:$V,0)))*IF(VLOOKUP($R43,武学奇术!$A:$ZZ,23,FALSE)=1,0,1)</f>
        <v>0.0929</v>
      </c>
      <c r="BN43" s="26" cm="1">
        <f t="array" ref="BN43">1+$B$14+VLOOKUP($R43,武学奇术!$A:$ZZ,20,FALSE)+SUM(_xlfn.XLOOKUP(S43:AG43,增益!$A:$A,增益!$T:$T,0))</f>
        <v>1.35</v>
      </c>
      <c r="BO43" s="26">
        <f t="shared" si="9"/>
        <v>0.829926</v>
      </c>
      <c r="BP43" s="26">
        <f t="shared" si="10"/>
        <v>0.0599391</v>
      </c>
      <c r="BQ43" s="26">
        <f>IF(VLOOKUP($R43,武学奇术!$A:$ZZ,22,FALSE)=1,0,(1-$BJ43))*(1-$BM43)</f>
        <v>0.0172349</v>
      </c>
      <c r="BR43" s="26" cm="1">
        <f t="array" ref="BR43">SUM(_xlfn.XLOOKUP(S43:AG43,增益!$A:$A,增益!$W:$W,0))+$I$5</f>
        <v>0.11</v>
      </c>
    </row>
    <row r="44" spans="1:70">
      <c r="A44" s="4"/>
      <c r="B44" s="4"/>
      <c r="C44" s="4"/>
      <c r="K44">
        <f>$L44*VLOOKUP($R44,武学奇术!$A:$ZZ,31,FALSE)</f>
        <v>41201.9197063882</v>
      </c>
      <c r="L44" s="38">
        <f t="shared" si="11"/>
        <v>39239.9235298935</v>
      </c>
      <c r="M44" s="38">
        <f>((($AO44+$AP44)/2*$AI44+$AJ44)*(1+$AQ44)*(1+$AR44)+(($AT44+$AU44)/2*IF($G$1="鸣金",$AK44,$AI44)+IF($G$1="鸣金",$AL44*1.5,0))*(1+$AV44)*(1+$AW44)+(($AX44+$AY44)/2*IF($G$1="裂石",$AK44,$AI44)+IF($G$1="裂石",$AL44*1.5,0))*(1+$AZ44)*(1+$BA44)+(($BB44+$BC44)/2*IF($G$1="牵丝",$AK44,$AI44)+IF($G$1="牵丝",$AL44*1.5,0))*(1+$BD44)*(1+$BE44)+(($BF44+$BG44)/2*IF($G$1="破竹",$AK44,$AI44)+IF($G$1="破竹",$AL44*1.5,0))*(1+$BH44)*(1+$BI44))*(1+$AM44)*$BL44*$Q44*(1+IF(VLOOKUP($R44,武学奇术!$A:$ZZ,30,FALSE)="回旋伞",$B$21,0))*(1+$BR44)</f>
        <v>41855.0198057827</v>
      </c>
      <c r="N44" s="38">
        <f>(($AP44*$AI44+$AJ44)*(1+$AQ44)*(1+$AR44)+($AU44*IF($G$1="鸣金",$AK44,$AI44)+IF($G$1="鸣金",$AL44*1.5,0))*(1+$AV44)*(1+$AW44)+($AY44*IF($G$1="裂石",$AK44,$AI44)+IF($G$1="裂石",$AL44*1.5,0))*(1+$AZ44)*(1+$BA44)+($BC44*IF($G$1="牵丝",$AK44,$AI44)+IF($G$1="牵丝",$AL44*1.5,0))*(1+$BD44)*(1+$BE44)+($BG44*IF($G$1="破竹",$AK44,$AI44)+IF($G$1="破竹",$AL44*1.5,0))*(1+$BH44)*(1+$BI44))*(1+$AM44)*$BN44*$Q44*(1+IF(VLOOKUP($R44,武学奇术!$A:$ZZ,30,FALSE)="回旋伞",$B$21,0))*(1+$BR44)</f>
        <v>31786.6551424357</v>
      </c>
      <c r="O44" s="38">
        <f>((($AO44+$AP44)/2*$AI44+$AJ44)*(1+$AQ44)*(1+$AR44)+(($AT44+$AU44)/2*IF($G$1="鸣金",$AK44,$AI44)+IF($G$1="鸣金",$AL44*1.5,0))*(1+$AV44)*(1+$AW44)+(($AX44+$AY44)/2*IF($G$1="裂石",$AK44,$AI44)+IF($G$1="裂石",$AL44*1.5,0))*(1+$AZ44)*(1+$BA44)+(($BB44+$BC44)/2*IF($G$1="牵丝",$AK44,$AI44)+IF($G$1="牵丝",$AL44*1.5,0))*(1+$BD44)*(1+$BE44)+(($BF44+$BG44)/2*IF($G$1="破竹",$AK44,$AI44)+IF($G$1="破竹",$AL44*1.5,0))*(1+$BH44)*(1+$BI44))*(1+$AM44)*$Q44*(1+IF(VLOOKUP($R44,武学奇术!$A:$ZZ,30,FALSE)="回旋伞",$B$21,0))*(1+$BR44)</f>
        <v>20720.3068345459</v>
      </c>
      <c r="P44" s="38">
        <f>((($AO44*$AI44+$AJ44)*(1+$AQ44)*(1+$AR44)+($AT44*IF($G$1="鸣金",$AK44,$AI44)+IF($G$1="鸣金",$AL44*1.5,0))*(1+$AV44)*(1+$AW44)+($AX44*IF($G$1="裂石",$AK44,$AI44)+IF($G$1="裂石",$AL44*1.5,0))*(1+$AZ44)*(1+$BA44)+($BB44*IF($G$1="牵丝",$AK44,$AI44)+IF($G$1="牵丝",$AL44*1.5,0))*(1+$BD44)*(1+$BE44)+($BF44*IF($G$1="破竹",$AK44,$AI44)+IF($G$1="破竹",$AL44*1.5,0))*(1+$BH44)*(1+$BI44))*(1+$AM44))*$Q44*(1+IF(VLOOKUP($R44,武学奇术!$A:$ZZ,30,FALSE)="回旋伞",$B$21,0))*(1+$BR44)</f>
        <v>17894.9431932134</v>
      </c>
      <c r="Q44" s="39">
        <v>2</v>
      </c>
      <c r="R44" s="40" t="s">
        <v>112</v>
      </c>
      <c r="S44" s="40" t="s">
        <v>109</v>
      </c>
      <c r="T44" s="40" t="s">
        <v>95</v>
      </c>
      <c r="U44" s="40" t="s">
        <v>73</v>
      </c>
      <c r="V44" s="40" t="s">
        <v>72</v>
      </c>
      <c r="W44" s="40" t="s">
        <v>169</v>
      </c>
      <c r="X44" s="40" t="s">
        <v>99</v>
      </c>
      <c r="Y44" s="40" t="s">
        <v>72</v>
      </c>
      <c r="Z44" s="40" t="s">
        <v>72</v>
      </c>
      <c r="AA44" s="40" t="s">
        <v>72</v>
      </c>
      <c r="AB44" s="40" t="s">
        <v>120</v>
      </c>
      <c r="AC44" s="40" t="s">
        <v>72</v>
      </c>
      <c r="AD44" s="40" t="s">
        <v>72</v>
      </c>
      <c r="AE44" s="40" t="s">
        <v>72</v>
      </c>
      <c r="AF44" s="40" t="s">
        <v>72</v>
      </c>
      <c r="AG44" s="40" t="s">
        <v>78</v>
      </c>
      <c r="AH44" t="str">
        <f>VLOOKUP($R44,武学奇术!$A:$ZZ,25,FALSE)</f>
        <v>伞</v>
      </c>
      <c r="AI44" s="26">
        <f>VLOOKUP($R44,武学奇术!$A:$ZZ,26,FALSE)</f>
        <v>0.54</v>
      </c>
      <c r="AJ44" s="27">
        <f>VLOOKUP($R44,武学奇术!$A:$ZZ,27,FALSE)*(1+IF(OR($AH44=$F$4,$AH44=$F$5),$B$22,0))</f>
        <v>0</v>
      </c>
      <c r="AK44" s="26">
        <f>VLOOKUP($R44,武学奇术!$A:$ZZ,28,FALSE)</f>
        <v>0.81</v>
      </c>
      <c r="AL44" s="27">
        <f>VLOOKUP($R44,武学奇术!$A:$ZZ,29,FALSE)*(1+IF(OR($AH44=$F$4,$AH44=$F$5),$B$22,0))</f>
        <v>0</v>
      </c>
      <c r="AM44" s="26" cm="1">
        <f t="array" ref="AM44">$G$3+IFERROR(VLOOKUP($AH44,$F$4:$G$7,2,FALSE),0)+VLOOKUP($R44,武学奇术!$A:$ZZ,2,FALSE)+SUM(_xlfn.XLOOKUP($S44:$AG44,增益!$A:$A,增益!$B:$B,0))</f>
        <v>0.7741</v>
      </c>
      <c r="AN44" s="26" cm="1">
        <f t="array" ref="AN44">VLOOKUP($R44,武学奇术!$A:$ZZ,5,FALSE)+SUM(_xlfn.XLOOKUP($S44:$AG44,增益!$A:$A,增益!$E:$E,0))</f>
        <v>0</v>
      </c>
      <c r="AO44" cm="1">
        <f t="array" ref="AO44">$D$10*(1+$AN44)+VLOOKUP($R44,武学奇术!$A:$ZZ,3,FALSE)+SUM(_xlfn.XLOOKUP($S44:$AG44,增益!$A:$A,增益!$C:$C,0))-$I$2</f>
        <v>3562.6</v>
      </c>
      <c r="AP44" cm="1">
        <f t="array" ref="AP44">$E$10*(1+$AN44)+VLOOKUP($R44,武学奇术!$A:$ZZ,4,FALSE)+SUM(_xlfn.XLOOKUP($S44:$AG44,增益!$A:$A,增益!$D:$D,0))-$I$2</f>
        <v>3562.6</v>
      </c>
      <c r="AQ44" s="32" cm="1">
        <f t="array" ref="AQ44">IF($F$10-$I$3+VLOOKUP($R44,武学奇术!$A:$ZZ,6,FALSE)+SUM(_xlfn.XLOOKUP(S44:AG44,增益!$A:$A,增益!$F:$F,0))&gt;0,($F$10-$I$3+VLOOKUP($R44,武学奇术!$A:$ZZ,6,FALSE)+SUM(_xlfn.XLOOKUP(S44:AG44,增益!$A:$A,增益!$F:$F,0)))/200,($F$10-$I$3+VLOOKUP($R44,武学奇术!$A:$ZZ,6,FALSE)+SUM(_xlfn.XLOOKUP(S44:AG44,增益!$A:$A,增益!$F:$F,0)))/100)</f>
        <v>0.2925</v>
      </c>
      <c r="AR44" s="32" cm="1">
        <f t="array" ref="AR44">$G$10+VLOOKUP($R44,武学奇术!$A:$ZZ,7,FALSE)+SUM(_xlfn.XLOOKUP(S44:AG44,增益!$A:$A,增益!$G:$G,0))</f>
        <v>0.148</v>
      </c>
      <c r="AS44" s="26" cm="1">
        <f t="array" ref="AS44">VLOOKUP($R44,武学奇术!$A:$ZZ,8,FALSE)+SUM(_xlfn.XLOOKUP(S44:AG44,增益!$A:$A,增益!$H:$H,0))</f>
        <v>0</v>
      </c>
      <c r="AT44">
        <f t="shared" si="1"/>
        <v>0</v>
      </c>
      <c r="AU44">
        <f t="shared" si="2"/>
        <v>0</v>
      </c>
      <c r="AV44" s="32" cm="1">
        <f t="array" ref="AV44">IF($F$11-$I$4+VLOOKUP($R44,武学奇术!$A:$ZZ,9,FALSE)+SUM(_xlfn.XLOOKUP(S44:AG44,增益!$A:$A,增益!$I:$I,0))&gt;0,($F$11-$I$4+VLOOKUP($R44,武学奇术!$A:$ZZ,9,FALSE)+SUM(_xlfn.XLOOKUP(S44:AG44,增益!$A:$A,增益!$I:$I,0)))/200,($F$11-$I$4+VLOOKUP($R44,武学奇术!$A:$ZZ,9,FALSE)+SUM(_xlfn.XLOOKUP(S44:AG44,增益!$A:$A,增益!$I:$I,0)))/100)</f>
        <v>-0.3</v>
      </c>
      <c r="AW44" s="32" cm="1">
        <f t="array" ref="AW44">$G$11+VLOOKUP($R44,武学奇术!$A:$ZZ,10,FALSE)+SUM(_xlfn.XLOOKUP(S44:AG44,增益!$A:$A,增益!$J:$J,0))</f>
        <v>0</v>
      </c>
      <c r="AX44">
        <f t="shared" si="3"/>
        <v>0</v>
      </c>
      <c r="AY44">
        <f t="shared" si="4"/>
        <v>0</v>
      </c>
      <c r="AZ44" s="32" cm="1">
        <f t="array" ref="AZ44">IF($F$12-$I$4+VLOOKUP($R44,武学奇术!$A:$ZZ,11,FALSE)+SUM(_xlfn.XLOOKUP(S44:AG44,增益!$A:$A,增益!$K:$K,0))&gt;0,($F$12-$I$4+VLOOKUP($R44,武学奇术!$A:$ZZ,11,FALSE)+SUM(_xlfn.XLOOKUP(S44:AG44,增益!$A:$A,增益!$K:$K,0)))/200,($F$12-$I$4+VLOOKUP($R44,武学奇术!$A:$ZZ,11,FALSE)+SUM(_xlfn.XLOOKUP(S44:AG44,增益!$A:$A,增益!$K:$K,0)))/100)</f>
        <v>-0.3</v>
      </c>
      <c r="BA44" s="32" cm="1">
        <f t="array" ref="BA44">$G$12+VLOOKUP($R44,武学奇术!$A:$ZZ,12,FALSE)+SUM(_xlfn.XLOOKUP(S44:AG44,增益!$A:$A,增益!$L:$L,0))</f>
        <v>0</v>
      </c>
      <c r="BB44">
        <f t="shared" si="5"/>
        <v>0</v>
      </c>
      <c r="BC44">
        <f t="shared" si="6"/>
        <v>0</v>
      </c>
      <c r="BD44" s="32" cm="1">
        <f t="array" ref="BD44">IF($F$13-$I$4+VLOOKUP($R44,武学奇术!$A:$ZZ,13,FALSE)+SUM(_xlfn.XLOOKUP(S44:AG44,增益!$A:$A,增益!$M:$M,0))&gt;0,($F$13-$I$4+VLOOKUP($R44,武学奇术!$A:$ZZ,13,FALSE)+SUM(_xlfn.XLOOKUP(S44:AG44,增益!$A:$A,增益!$K:$K,0)))/200,($F$13-$I$4+VLOOKUP($R44,武学奇术!$A:$ZZ,13,FALSE)+SUM(_xlfn.XLOOKUP(S44:AG44,增益!$A:$A,增益!$M:$M,0)))/100)</f>
        <v>-0.3</v>
      </c>
      <c r="BE44" s="32" cm="1">
        <f t="array" ref="BE44">$G$13+VLOOKUP($R44,武学奇术!$A:$ZZ,14,FALSE)+SUM(_xlfn.XLOOKUP(S44:AG44,增益!$A:$A,增益!$N:$N,0))</f>
        <v>0</v>
      </c>
      <c r="BF44">
        <f t="shared" si="7"/>
        <v>571.2</v>
      </c>
      <c r="BG44">
        <f t="shared" si="8"/>
        <v>1627.8</v>
      </c>
      <c r="BH44" s="32" cm="1">
        <f t="array" ref="BH44">IF($F$14-$I$4+VLOOKUP($R44,武学奇术!$A:$ZZ,15,FALSE)+SUM(_xlfn.XLOOKUP(S44:AG44,增益!$A:$A,增益!$O:$O,0))&gt;0,($F$14-$I$4+VLOOKUP($R44,武学奇术!$A:$ZZ,15,FALSE)+SUM(_xlfn.XLOOKUP(S44:AG44,增益!$A:$A,增益!$O:$O,0)))/200,($F$14-$I$4+VLOOKUP($R44,武学奇术!$A:$ZZ,15,FALSE)+SUM(_xlfn.XLOOKUP(S44:AG44,增益!$A:$A,增益!$O:$O,0)))/100)</f>
        <v>0</v>
      </c>
      <c r="BI44" s="32" cm="1">
        <f t="array" ref="BI44">$G$14+VLOOKUP($R44,武学奇术!$A:$ZZ,16,FALSE)+SUM(_xlfn.XLOOKUP(S44:AG44,增益!$A:$A,增益!$P:$P,0))</f>
        <v>0.27</v>
      </c>
      <c r="BJ44" s="26">
        <f>MIN(IF(VLOOKUP($R44,武学奇术!$A:$ZZ,23,FALSE)=1,100%,$B$8),100%)</f>
        <v>0.981</v>
      </c>
      <c r="BK44" s="26" cm="1">
        <f t="array" ref="BK44">IF(VLOOKUP($R44,武学奇术!$A:$ZZ,23,FALSE)=1,100%,MIN(80%,$B$9+VLOOKUP($R44,武学奇术!$A:$ZZ,17,FALSE)+SUM(_xlfn.XLOOKUP(S44:AG44,增益!$A:$A,增益!$Q:$Q,0)))+$B$11+SUM(_xlfn.XLOOKUP(S44:AG44,增益!$A:$A,增益!$U:$U,0)))*IF(VLOOKUP($R44,武学奇术!$A:$ZZ,24,FALSE)=1,0,1)</f>
        <v>0.846</v>
      </c>
      <c r="BL44" s="26" cm="1">
        <f t="array" ref="BL44">1+$B$13+VLOOKUP($R44,武学奇术!$A:$ZZ,18,FALSE)+SUM(_xlfn.XLOOKUP(S44:AG44,增益!$A:$A,增益!$R:$R,0))</f>
        <v>2.02</v>
      </c>
      <c r="BM44" s="26" cm="1">
        <f t="array" ref="BM44">IF(VLOOKUP($R44,武学奇术!$A:$ZZ,24,FALSE)=1,100%,MIN(40%,$B$10+VLOOKUP($R44,武学奇术!$A:$ZZ,19,FALSE)+SUM(_xlfn.XLOOKUP(S44:AG44,增益!$A:$A,增益!$S:$S,0)))+$B$12+SUM(_xlfn.XLOOKUP(S44:AG44,增益!$A:$A,增益!$V:$V,0)))*IF(VLOOKUP($R44,武学奇术!$A:$ZZ,23,FALSE)=1,0,1)</f>
        <v>0.0929</v>
      </c>
      <c r="BN44" s="26" cm="1">
        <f t="array" ref="BN44">1+$B$14+VLOOKUP($R44,武学奇术!$A:$ZZ,20,FALSE)+SUM(_xlfn.XLOOKUP(S44:AG44,增益!$A:$A,增益!$T:$T,0))</f>
        <v>1.35</v>
      </c>
      <c r="BO44" s="26">
        <f t="shared" si="9"/>
        <v>0.829926</v>
      </c>
      <c r="BP44" s="26">
        <f t="shared" si="10"/>
        <v>0.0599391</v>
      </c>
      <c r="BQ44" s="26">
        <f>IF(VLOOKUP($R44,武学奇术!$A:$ZZ,22,FALSE)=1,0,(1-$BJ44))*(1-$BM44)</f>
        <v>0.0172349</v>
      </c>
      <c r="BR44" s="26" cm="1">
        <f t="array" ref="BR44">SUM(_xlfn.XLOOKUP(S44:AG44,增益!$A:$A,增益!$W:$W,0))+$I$5</f>
        <v>0.11</v>
      </c>
    </row>
    <row r="45" spans="1:70">
      <c r="A45" s="4"/>
      <c r="B45" s="87"/>
      <c r="C45" s="4"/>
      <c r="K45">
        <f>$L45*VLOOKUP($R45,武学奇术!$A:$ZZ,31,FALSE)</f>
        <v>85256.4449632068</v>
      </c>
      <c r="L45" s="38">
        <f t="shared" si="11"/>
        <v>81196.6142506731</v>
      </c>
      <c r="M45" s="38">
        <f>((($AO45+$AP45)/2*$AI45+$AJ45)*(1+$AQ45)*(1+$AR45)+(($AT45+$AU45)/2*IF($G$1="鸣金",$AK45,$AI45)+IF($G$1="鸣金",$AL45*1.5,0))*(1+$AV45)*(1+$AW45)+(($AX45+$AY45)/2*IF($G$1="裂石",$AK45,$AI45)+IF($G$1="裂石",$AL45*1.5,0))*(1+$AZ45)*(1+$BA45)+(($BB45+$BC45)/2*IF($G$1="牵丝",$AK45,$AI45)+IF($G$1="牵丝",$AL45*1.5,0))*(1+$BD45)*(1+$BE45)+(($BF45+$BG45)/2*IF($G$1="破竹",$AK45,$AI45)+IF($G$1="破竹",$AL45*1.5,0))*(1+$BH45)*(1+$BI45))*(1+$AM45)*$BL45*$Q45*(1+IF(VLOOKUP($R45,武学奇术!$A:$ZZ,30,FALSE)="回旋伞",$B$21,0))*(1+$BR45)</f>
        <v>81196.6142506731</v>
      </c>
      <c r="N45" s="38">
        <f>(($AP45*$AI45+$AJ45)*(1+$AQ45)*(1+$AR45)+($AU45*IF($G$1="鸣金",$AK45,$AI45)+IF($G$1="鸣金",$AL45*1.5,0))*(1+$AV45)*(1+$AW45)+($AY45*IF($G$1="裂石",$AK45,$AI45)+IF($G$1="裂石",$AL45*1.5,0))*(1+$AZ45)*(1+$BA45)+($BC45*IF($G$1="牵丝",$AK45,$AI45)+IF($G$1="牵丝",$AL45*1.5,0))*(1+$BD45)*(1+$BE45)+($BG45*IF($G$1="破竹",$AK45,$AI45)+IF($G$1="破竹",$AL45*1.5,0))*(1+$BH45)*(1+$BI45))*(1+$AM45)*$BN45*$Q45*(1+IF(VLOOKUP($R45,武学奇术!$A:$ZZ,30,FALSE)="回旋伞",$B$21,0))*(1+$BR45)</f>
        <v>59857.6756031387</v>
      </c>
      <c r="O45" s="38">
        <f>((($AO45+$AP45)/2*$AI45+$AJ45)*(1+$AQ45)*(1+$AR45)+(($AT45+$AU45)/2*IF($G$1="鸣金",$AK45,$AI45)+IF($G$1="鸣金",$AL45*1.5,0))*(1+$AV45)*(1+$AW45)+(($AX45+$AY45)/2*IF($G$1="裂石",$AK45,$AI45)+IF($G$1="裂石",$AL45*1.5,0))*(1+$AZ45)*(1+$BA45)+(($BB45+$BC45)/2*IF($G$1="牵丝",$AK45,$AI45)+IF($G$1="牵丝",$AL45*1.5,0))*(1+$BD45)*(1+$BE45)+(($BF45+$BG45)/2*IF($G$1="破竹",$AK45,$AI45)+IF($G$1="破竹",$AL45*1.5,0))*(1+$BH45)*(1+$BI45))*(1+$AM45)*$Q45*(1+IF(VLOOKUP($R45,武学奇术!$A:$ZZ,30,FALSE)="回旋伞",$B$21,0))*(1+$BR45)</f>
        <v>39608.1045125235</v>
      </c>
      <c r="P45" s="38">
        <f>((($AO45*$AI45+$AJ45)*(1+$AQ45)*(1+$AR45)+($AT45*IF($G$1="鸣金",$AK45,$AI45)+IF($G$1="鸣金",$AL45*1.5,0))*(1+$AV45)*(1+$AW45)+($AX45*IF($G$1="裂石",$AK45,$AI45)+IF($G$1="裂石",$AL45*1.5,0))*(1+$AZ45)*(1+$BA45)+($BB45*IF($G$1="牵丝",$AK45,$AI45)+IF($G$1="牵丝",$AL45*1.5,0))*(1+$BD45)*(1+$BE45)+($BF45*IF($G$1="破竹",$AK45,$AI45)+IF($G$1="破竹",$AL45*1.5,0))*(1+$BH45)*(1+$BI45))*(1+$AM45))*$Q45*(1+IF(VLOOKUP($R45,武学奇术!$A:$ZZ,30,FALSE)="回旋伞",$B$21,0))*(1+$BR45)</f>
        <v>34877.1900597591</v>
      </c>
      <c r="Q45" s="39">
        <v>1</v>
      </c>
      <c r="R45" s="40" t="s">
        <v>125</v>
      </c>
      <c r="S45" s="40" t="s">
        <v>109</v>
      </c>
      <c r="T45" s="40" t="s">
        <v>95</v>
      </c>
      <c r="U45" s="40" t="s">
        <v>73</v>
      </c>
      <c r="V45" s="40" t="s">
        <v>72</v>
      </c>
      <c r="W45" s="40" t="s">
        <v>169</v>
      </c>
      <c r="X45" s="40" t="s">
        <v>99</v>
      </c>
      <c r="Y45" s="40" t="s">
        <v>72</v>
      </c>
      <c r="Z45" s="40" t="s">
        <v>72</v>
      </c>
      <c r="AA45" s="40" t="s">
        <v>72</v>
      </c>
      <c r="AB45" s="40" t="s">
        <v>126</v>
      </c>
      <c r="AC45" s="40" t="s">
        <v>72</v>
      </c>
      <c r="AD45" s="40" t="s">
        <v>72</v>
      </c>
      <c r="AE45" s="40" t="s">
        <v>72</v>
      </c>
      <c r="AF45" s="40" t="s">
        <v>72</v>
      </c>
      <c r="AG45" s="40" t="s">
        <v>78</v>
      </c>
      <c r="AH45" t="str">
        <f>VLOOKUP($R45,武学奇术!$A:$ZZ,25,FALSE)</f>
        <v>伞</v>
      </c>
      <c r="AI45" s="26">
        <f>VLOOKUP($R45,武学奇术!$A:$ZZ,26,FALSE)</f>
        <v>1.8084</v>
      </c>
      <c r="AJ45" s="27">
        <f>VLOOKUP($R45,武学奇术!$A:$ZZ,27,FALSE)*(1+IF(OR($AH45=$F$4,$AH45=$F$5),$B$22,0))</f>
        <v>750</v>
      </c>
      <c r="AK45" s="26">
        <f>VLOOKUP($R45,武学奇术!$A:$ZZ,28,FALSE)</f>
        <v>2.7126</v>
      </c>
      <c r="AL45" s="27">
        <f>VLOOKUP($R45,武学奇术!$A:$ZZ,29,FALSE)*(1+IF(OR($AH45=$F$4,$AH45=$F$5),$B$22,0))</f>
        <v>408</v>
      </c>
      <c r="AM45" s="26" cm="1">
        <f t="array" ref="AM45">$G$3+IFERROR(VLOOKUP($AH45,$F$4:$G$7,2,FALSE),0)+VLOOKUP($R45,武学奇术!$A:$ZZ,2,FALSE)+SUM(_xlfn.XLOOKUP($S45:$AG45,增益!$A:$A,增益!$B:$B,0))</f>
        <v>0.7741</v>
      </c>
      <c r="AN45" s="26" cm="1">
        <f t="array" ref="AN45">VLOOKUP($R45,武学奇术!$A:$ZZ,5,FALSE)+SUM(_xlfn.XLOOKUP($S45:$AG45,增益!$A:$A,增益!$E:$E,0))</f>
        <v>0</v>
      </c>
      <c r="AO45" cm="1">
        <f t="array" ref="AO45">$D$10*(1+$AN45)+VLOOKUP($R45,武学奇术!$A:$ZZ,3,FALSE)+SUM(_xlfn.XLOOKUP($S45:$AG45,增益!$A:$A,增益!$C:$C,0))-$I$2</f>
        <v>3562.6</v>
      </c>
      <c r="AP45" cm="1">
        <f t="array" ref="AP45">$E$10*(1+$AN45)+VLOOKUP($R45,武学奇术!$A:$ZZ,4,FALSE)+SUM(_xlfn.XLOOKUP($S45:$AG45,增益!$A:$A,增益!$D:$D,0))-$I$2</f>
        <v>3562.6</v>
      </c>
      <c r="AQ45" s="32" cm="1">
        <f t="array" ref="AQ45">IF($F$10-$I$3+VLOOKUP($R45,武学奇术!$A:$ZZ,6,FALSE)+SUM(_xlfn.XLOOKUP(S45:AG45,增益!$A:$A,增益!$F:$F,0))&gt;0,($F$10-$I$3+VLOOKUP($R45,武学奇术!$A:$ZZ,6,FALSE)+SUM(_xlfn.XLOOKUP(S45:AG45,增益!$A:$A,增益!$F:$F,0)))/200,($F$10-$I$3+VLOOKUP($R45,武学奇术!$A:$ZZ,6,FALSE)+SUM(_xlfn.XLOOKUP(S45:AG45,增益!$A:$A,增益!$F:$F,0)))/100)</f>
        <v>0.2925</v>
      </c>
      <c r="AR45" s="32" cm="1">
        <f t="array" ref="AR45">$G$10+VLOOKUP($R45,武学奇术!$A:$ZZ,7,FALSE)+SUM(_xlfn.XLOOKUP(S45:AG45,增益!$A:$A,增益!$G:$G,0))</f>
        <v>0.148</v>
      </c>
      <c r="AS45" s="26" cm="1">
        <f t="array" ref="AS45">VLOOKUP($R45,武学奇术!$A:$ZZ,8,FALSE)+SUM(_xlfn.XLOOKUP(S45:AG45,增益!$A:$A,增益!$H:$H,0))</f>
        <v>0</v>
      </c>
      <c r="AT45">
        <f t="shared" si="1"/>
        <v>0</v>
      </c>
      <c r="AU45">
        <f t="shared" si="2"/>
        <v>0</v>
      </c>
      <c r="AV45" s="32" cm="1">
        <f t="array" ref="AV45">IF($F$11-$I$4+VLOOKUP($R45,武学奇术!$A:$ZZ,9,FALSE)+SUM(_xlfn.XLOOKUP(S45:AG45,增益!$A:$A,增益!$I:$I,0))&gt;0,($F$11-$I$4+VLOOKUP($R45,武学奇术!$A:$ZZ,9,FALSE)+SUM(_xlfn.XLOOKUP(S45:AG45,增益!$A:$A,增益!$I:$I,0)))/200,($F$11-$I$4+VLOOKUP($R45,武学奇术!$A:$ZZ,9,FALSE)+SUM(_xlfn.XLOOKUP(S45:AG45,增益!$A:$A,增益!$I:$I,0)))/100)</f>
        <v>-0.3</v>
      </c>
      <c r="AW45" s="32" cm="1">
        <f t="array" ref="AW45">$G$11+VLOOKUP($R45,武学奇术!$A:$ZZ,10,FALSE)+SUM(_xlfn.XLOOKUP(S45:AG45,增益!$A:$A,增益!$J:$J,0))</f>
        <v>0</v>
      </c>
      <c r="AX45">
        <f t="shared" si="3"/>
        <v>0</v>
      </c>
      <c r="AY45">
        <f t="shared" si="4"/>
        <v>0</v>
      </c>
      <c r="AZ45" s="32" cm="1">
        <f t="array" ref="AZ45">IF($F$12-$I$4+VLOOKUP($R45,武学奇术!$A:$ZZ,11,FALSE)+SUM(_xlfn.XLOOKUP(S45:AG45,增益!$A:$A,增益!$K:$K,0))&gt;0,($F$12-$I$4+VLOOKUP($R45,武学奇术!$A:$ZZ,11,FALSE)+SUM(_xlfn.XLOOKUP(S45:AG45,增益!$A:$A,增益!$K:$K,0)))/200,($F$12-$I$4+VLOOKUP($R45,武学奇术!$A:$ZZ,11,FALSE)+SUM(_xlfn.XLOOKUP(S45:AG45,增益!$A:$A,增益!$K:$K,0)))/100)</f>
        <v>-0.3</v>
      </c>
      <c r="BA45" s="32" cm="1">
        <f t="array" ref="BA45">$G$12+VLOOKUP($R45,武学奇术!$A:$ZZ,12,FALSE)+SUM(_xlfn.XLOOKUP(S45:AG45,增益!$A:$A,增益!$L:$L,0))</f>
        <v>0</v>
      </c>
      <c r="BB45">
        <f t="shared" si="5"/>
        <v>0</v>
      </c>
      <c r="BC45">
        <f t="shared" si="6"/>
        <v>0</v>
      </c>
      <c r="BD45" s="32" cm="1">
        <f t="array" ref="BD45">IF($F$13-$I$4+VLOOKUP($R45,武学奇术!$A:$ZZ,13,FALSE)+SUM(_xlfn.XLOOKUP(S45:AG45,增益!$A:$A,增益!$M:$M,0))&gt;0,($F$13-$I$4+VLOOKUP($R45,武学奇术!$A:$ZZ,13,FALSE)+SUM(_xlfn.XLOOKUP(S45:AG45,增益!$A:$A,增益!$K:$K,0)))/200,($F$13-$I$4+VLOOKUP($R45,武学奇术!$A:$ZZ,13,FALSE)+SUM(_xlfn.XLOOKUP(S45:AG45,增益!$A:$A,增益!$M:$M,0)))/100)</f>
        <v>-0.3</v>
      </c>
      <c r="BE45" s="32" cm="1">
        <f t="array" ref="BE45">$G$13+VLOOKUP($R45,武学奇术!$A:$ZZ,14,FALSE)+SUM(_xlfn.XLOOKUP(S45:AG45,增益!$A:$A,增益!$N:$N,0))</f>
        <v>0</v>
      </c>
      <c r="BF45">
        <f t="shared" si="7"/>
        <v>571.2</v>
      </c>
      <c r="BG45">
        <f t="shared" si="8"/>
        <v>1627.8</v>
      </c>
      <c r="BH45" s="32" cm="1">
        <f t="array" ref="BH45">IF($F$14-$I$4+VLOOKUP($R45,武学奇术!$A:$ZZ,15,FALSE)+SUM(_xlfn.XLOOKUP(S45:AG45,增益!$A:$A,增益!$O:$O,0))&gt;0,($F$14-$I$4+VLOOKUP($R45,武学奇术!$A:$ZZ,15,FALSE)+SUM(_xlfn.XLOOKUP(S45:AG45,增益!$A:$A,增益!$O:$O,0)))/200,($F$14-$I$4+VLOOKUP($R45,武学奇术!$A:$ZZ,15,FALSE)+SUM(_xlfn.XLOOKUP(S45:AG45,增益!$A:$A,增益!$O:$O,0)))/100)</f>
        <v>0</v>
      </c>
      <c r="BI45" s="32" cm="1">
        <f t="array" ref="BI45">$G$14+VLOOKUP($R45,武学奇术!$A:$ZZ,16,FALSE)+SUM(_xlfn.XLOOKUP(S45:AG45,增益!$A:$A,增益!$P:$P,0))</f>
        <v>0.27</v>
      </c>
      <c r="BJ45" s="26">
        <f>MIN(IF(VLOOKUP($R45,武学奇术!$A:$ZZ,23,FALSE)=1,100%,$B$8),100%)</f>
        <v>1</v>
      </c>
      <c r="BK45" s="26" cm="1">
        <f t="array" ref="BK45">IF(VLOOKUP($R45,武学奇术!$A:$ZZ,23,FALSE)=1,100%,MIN(80%,$B$9+VLOOKUP($R45,武学奇术!$A:$ZZ,17,FALSE)+SUM(_xlfn.XLOOKUP(S45:AG45,增益!$A:$A,增益!$Q:$Q,0)))+$B$11+SUM(_xlfn.XLOOKUP(S45:AG45,增益!$A:$A,增益!$U:$U,0)))*IF(VLOOKUP($R45,武学奇术!$A:$ZZ,24,FALSE)=1,0,1)</f>
        <v>1</v>
      </c>
      <c r="BL45" s="26" cm="1">
        <f t="array" ref="BL45">1+$B$13+VLOOKUP($R45,武学奇术!$A:$ZZ,18,FALSE)+SUM(_xlfn.XLOOKUP(S45:AG45,增益!$A:$A,增益!$R:$R,0))</f>
        <v>2.05</v>
      </c>
      <c r="BM45" s="26" cm="1">
        <f t="array" ref="BM45">IF(VLOOKUP($R45,武学奇术!$A:$ZZ,24,FALSE)=1,100%,MIN(40%,$B$10+VLOOKUP($R45,武学奇术!$A:$ZZ,19,FALSE)+SUM(_xlfn.XLOOKUP(S45:AG45,增益!$A:$A,增益!$S:$S,0)))+$B$12+SUM(_xlfn.XLOOKUP(S45:AG45,增益!$A:$A,增益!$V:$V,0)))*IF(VLOOKUP($R45,武学奇术!$A:$ZZ,23,FALSE)=1,0,1)</f>
        <v>0</v>
      </c>
      <c r="BN45" s="26" cm="1">
        <f t="array" ref="BN45">1+$B$14+VLOOKUP($R45,武学奇术!$A:$ZZ,20,FALSE)+SUM(_xlfn.XLOOKUP(S45:AG45,增益!$A:$A,增益!$T:$T,0))</f>
        <v>1.35</v>
      </c>
      <c r="BO45" s="26">
        <f t="shared" si="9"/>
        <v>1</v>
      </c>
      <c r="BP45" s="26">
        <f t="shared" si="10"/>
        <v>0</v>
      </c>
      <c r="BQ45" s="26">
        <f>IF(VLOOKUP($R45,武学奇术!$A:$ZZ,22,FALSE)=1,0,(1-$BJ45))*(1-$BM45)</f>
        <v>0</v>
      </c>
      <c r="BR45" s="26" cm="1">
        <f t="array" ref="BR45">SUM(_xlfn.XLOOKUP(S45:AG45,增益!$A:$A,增益!$W:$W,0))+$I$5</f>
        <v>0.11</v>
      </c>
    </row>
    <row r="46" spans="1:70">
      <c r="A46" s="4"/>
      <c r="B46" s="4"/>
      <c r="C46" s="4"/>
      <c r="K46">
        <f>$L46*VLOOKUP($R46,武学奇术!$A:$ZZ,31,FALSE)</f>
        <v>49628.4138418188</v>
      </c>
      <c r="L46" s="38">
        <f t="shared" si="11"/>
        <v>47265.1560398274</v>
      </c>
      <c r="M46" s="38">
        <f>((($AO46+$AP46)/2*$AI46+$AJ46)*(1+$AQ46)*(1+$AR46)+(($AT46+$AU46)/2*IF($G$1="鸣金",$AK46,$AI46)+IF($G$1="鸣金",$AL46*1.5,0))*(1+$AV46)*(1+$AW46)+(($AX46+$AY46)/2*IF($G$1="裂石",$AK46,$AI46)+IF($G$1="裂石",$AL46*1.5,0))*(1+$AZ46)*(1+$BA46)+(($BB46+$BC46)/2*IF($G$1="牵丝",$AK46,$AI46)+IF($G$1="牵丝",$AL46*1.5,0))*(1+$BD46)*(1+$BE46)+(($BF46+$BG46)/2*IF($G$1="破竹",$AK46,$AI46)+IF($G$1="破竹",$AL46*1.5,0))*(1+$BH46)*(1+$BI46))*(1+$AM46)*$BL46*$Q46*(1+IF(VLOOKUP($R46,武学奇术!$A:$ZZ,30,FALSE)="回旋伞",$B$21,0))*(1+$BR46)</f>
        <v>47265.1560398274</v>
      </c>
      <c r="N46" s="38">
        <f>(($AP46*$AI46+$AJ46)*(1+$AQ46)*(1+$AR46)+($AU46*IF($G$1="鸣金",$AK46,$AI46)+IF($G$1="鸣金",$AL46*1.5,0))*(1+$AV46)*(1+$AW46)+($AY46*IF($G$1="裂石",$AK46,$AI46)+IF($G$1="裂石",$AL46*1.5,0))*(1+$AZ46)*(1+$BA46)+($BC46*IF($G$1="牵丝",$AK46,$AI46)+IF($G$1="牵丝",$AL46*1.5,0))*(1+$BD46)*(1+$BE46)+($BG46*IF($G$1="破竹",$AK46,$AI46)+IF($G$1="破竹",$AL46*1.5,0))*(1+$BH46)*(1+$BI46))*(1+$AM46)*$BN46*$Q46*(1+IF(VLOOKUP($R46,武学奇术!$A:$ZZ,30,FALSE)="回旋伞",$B$21,0))*(1+$BR46)</f>
        <v>35370.0670293007</v>
      </c>
      <c r="O46" s="38">
        <f>((($AO46+$AP46)/2*$AI46+$AJ46)*(1+$AQ46)*(1+$AR46)+(($AT46+$AU46)/2*IF($G$1="鸣金",$AK46,$AI46)+IF($G$1="鸣金",$AL46*1.5,0))*(1+$AV46)*(1+$AW46)+(($AX46+$AY46)/2*IF($G$1="裂石",$AK46,$AI46)+IF($G$1="裂石",$AL46*1.5,0))*(1+$AZ46)*(1+$BA46)+(($BB46+$BC46)/2*IF($G$1="牵丝",$AK46,$AI46)+IF($G$1="牵丝",$AL46*1.5,0))*(1+$BD46)*(1+$BE46)+(($BF46+$BG46)/2*IF($G$1="破竹",$AK46,$AI46)+IF($G$1="破竹",$AL46*1.5,0))*(1+$BH46)*(1+$BI46))*(1+$AM46)*$Q46*(1+IF(VLOOKUP($R46,武学奇术!$A:$ZZ,30,FALSE)="回旋伞",$B$21,0))*(1+$BR46)</f>
        <v>23056.1736779646</v>
      </c>
      <c r="P46" s="38">
        <f>((($AO46*$AI46+$AJ46)*(1+$AQ46)*(1+$AR46)+($AT46*IF($G$1="鸣金",$AK46,$AI46)+IF($G$1="鸣金",$AL46*1.5,0))*(1+$AV46)*(1+$AW46)+($AX46*IF($G$1="裂石",$AK46,$AI46)+IF($G$1="裂石",$AL46*1.5,0))*(1+$AZ46)*(1+$BA46)+($BB46*IF($G$1="牵丝",$AK46,$AI46)+IF($G$1="牵丝",$AL46*1.5,0))*(1+$BD46)*(1+$BE46)+($BF46*IF($G$1="破竹",$AK46,$AI46)+IF($G$1="破竹",$AL46*1.5,0))*(1+$BH46)*(1+$BI46))*(1+$AM46))*$Q46*(1+IF(VLOOKUP($R46,武学奇术!$A:$ZZ,30,FALSE)="回旋伞",$B$21,0))*(1+$BR46)</f>
        <v>19912.2977045954</v>
      </c>
      <c r="Q46" s="39">
        <v>2</v>
      </c>
      <c r="R46" s="40" t="s">
        <v>132</v>
      </c>
      <c r="S46" s="40" t="s">
        <v>109</v>
      </c>
      <c r="T46" s="40" t="s">
        <v>95</v>
      </c>
      <c r="U46" s="40" t="s">
        <v>73</v>
      </c>
      <c r="V46" s="40" t="s">
        <v>72</v>
      </c>
      <c r="W46" s="40" t="s">
        <v>169</v>
      </c>
      <c r="X46" s="40" t="s">
        <v>99</v>
      </c>
      <c r="Y46" s="40" t="s">
        <v>72</v>
      </c>
      <c r="Z46" s="40" t="s">
        <v>72</v>
      </c>
      <c r="AA46" s="40" t="s">
        <v>72</v>
      </c>
      <c r="AB46" s="40" t="s">
        <v>126</v>
      </c>
      <c r="AC46" s="40" t="s">
        <v>72</v>
      </c>
      <c r="AD46" s="40" t="s">
        <v>72</v>
      </c>
      <c r="AE46" s="40" t="s">
        <v>72</v>
      </c>
      <c r="AF46" s="40" t="s">
        <v>72</v>
      </c>
      <c r="AG46" s="40" t="s">
        <v>78</v>
      </c>
      <c r="AH46" t="str">
        <f>VLOOKUP($R46,武学奇术!$A:$ZZ,25,FALSE)</f>
        <v>伞</v>
      </c>
      <c r="AI46" s="26">
        <f>VLOOKUP($R46,武学奇术!$A:$ZZ,26,FALSE)</f>
        <v>0.54</v>
      </c>
      <c r="AJ46" s="27">
        <f>VLOOKUP($R46,武学奇术!$A:$ZZ,27,FALSE)*(1+IF(OR($AH46=$F$4,$AH46=$F$5),$B$22,0))</f>
        <v>0</v>
      </c>
      <c r="AK46" s="26">
        <f>VLOOKUP($R46,武学奇术!$A:$ZZ,28,FALSE)</f>
        <v>0.81</v>
      </c>
      <c r="AL46" s="27">
        <f>VLOOKUP($R46,武学奇术!$A:$ZZ,29,FALSE)*(1+IF(OR($AH46=$F$4,$AH46=$F$5),$B$22,0))</f>
        <v>0</v>
      </c>
      <c r="AM46" s="26" cm="1">
        <f t="array" ref="AM46">$G$3+IFERROR(VLOOKUP($AH46,$F$4:$G$7,2,FALSE),0)+VLOOKUP($R46,武学奇术!$A:$ZZ,2,FALSE)+SUM(_xlfn.XLOOKUP($S46:$AG46,增益!$A:$A,增益!$B:$B,0))</f>
        <v>0.9741</v>
      </c>
      <c r="AN46" s="26" cm="1">
        <f t="array" ref="AN46">VLOOKUP($R46,武学奇术!$A:$ZZ,5,FALSE)+SUM(_xlfn.XLOOKUP($S46:$AG46,增益!$A:$A,增益!$E:$E,0))</f>
        <v>0</v>
      </c>
      <c r="AO46" cm="1">
        <f t="array" ref="AO46">$D$10*(1+$AN46)+VLOOKUP($R46,武学奇术!$A:$ZZ,3,FALSE)+SUM(_xlfn.XLOOKUP($S46:$AG46,增益!$A:$A,增益!$C:$C,0))-$I$2</f>
        <v>3562.6</v>
      </c>
      <c r="AP46" cm="1">
        <f t="array" ref="AP46">$E$10*(1+$AN46)+VLOOKUP($R46,武学奇术!$A:$ZZ,4,FALSE)+SUM(_xlfn.XLOOKUP($S46:$AG46,增益!$A:$A,增益!$D:$D,0))-$I$2</f>
        <v>3562.6</v>
      </c>
      <c r="AQ46" s="32" cm="1">
        <f t="array" ref="AQ46">IF($F$10-$I$3+VLOOKUP($R46,武学奇术!$A:$ZZ,6,FALSE)+SUM(_xlfn.XLOOKUP(S46:AG46,增益!$A:$A,增益!$F:$F,0))&gt;0,($F$10-$I$3+VLOOKUP($R46,武学奇术!$A:$ZZ,6,FALSE)+SUM(_xlfn.XLOOKUP(S46:AG46,增益!$A:$A,增益!$F:$F,0)))/200,($F$10-$I$3+VLOOKUP($R46,武学奇术!$A:$ZZ,6,FALSE)+SUM(_xlfn.XLOOKUP(S46:AG46,增益!$A:$A,增益!$F:$F,0)))/100)</f>
        <v>0.2925</v>
      </c>
      <c r="AR46" s="32" cm="1">
        <f t="array" ref="AR46">$G$10+VLOOKUP($R46,武学奇术!$A:$ZZ,7,FALSE)+SUM(_xlfn.XLOOKUP(S46:AG46,增益!$A:$A,增益!$G:$G,0))</f>
        <v>0.148</v>
      </c>
      <c r="AS46" s="26" cm="1">
        <f t="array" ref="AS46">VLOOKUP($R46,武学奇术!$A:$ZZ,8,FALSE)+SUM(_xlfn.XLOOKUP(S46:AG46,增益!$A:$A,增益!$H:$H,0))</f>
        <v>0</v>
      </c>
      <c r="AT46">
        <f t="shared" si="1"/>
        <v>0</v>
      </c>
      <c r="AU46">
        <f t="shared" si="2"/>
        <v>0</v>
      </c>
      <c r="AV46" s="32" cm="1">
        <f t="array" ref="AV46">IF($F$11-$I$4+VLOOKUP($R46,武学奇术!$A:$ZZ,9,FALSE)+SUM(_xlfn.XLOOKUP(S46:AG46,增益!$A:$A,增益!$I:$I,0))&gt;0,($F$11-$I$4+VLOOKUP($R46,武学奇术!$A:$ZZ,9,FALSE)+SUM(_xlfn.XLOOKUP(S46:AG46,增益!$A:$A,增益!$I:$I,0)))/200,($F$11-$I$4+VLOOKUP($R46,武学奇术!$A:$ZZ,9,FALSE)+SUM(_xlfn.XLOOKUP(S46:AG46,增益!$A:$A,增益!$I:$I,0)))/100)</f>
        <v>-0.3</v>
      </c>
      <c r="AW46" s="32" cm="1">
        <f t="array" ref="AW46">$G$11+VLOOKUP($R46,武学奇术!$A:$ZZ,10,FALSE)+SUM(_xlfn.XLOOKUP(S46:AG46,增益!$A:$A,增益!$J:$J,0))</f>
        <v>0</v>
      </c>
      <c r="AX46">
        <f t="shared" si="3"/>
        <v>0</v>
      </c>
      <c r="AY46">
        <f t="shared" si="4"/>
        <v>0</v>
      </c>
      <c r="AZ46" s="32" cm="1">
        <f t="array" ref="AZ46">IF($F$12-$I$4+VLOOKUP($R46,武学奇术!$A:$ZZ,11,FALSE)+SUM(_xlfn.XLOOKUP(S46:AG46,增益!$A:$A,增益!$K:$K,0))&gt;0,($F$12-$I$4+VLOOKUP($R46,武学奇术!$A:$ZZ,11,FALSE)+SUM(_xlfn.XLOOKUP(S46:AG46,增益!$A:$A,增益!$K:$K,0)))/200,($F$12-$I$4+VLOOKUP($R46,武学奇术!$A:$ZZ,11,FALSE)+SUM(_xlfn.XLOOKUP(S46:AG46,增益!$A:$A,增益!$K:$K,0)))/100)</f>
        <v>-0.3</v>
      </c>
      <c r="BA46" s="32" cm="1">
        <f t="array" ref="BA46">$G$12+VLOOKUP($R46,武学奇术!$A:$ZZ,12,FALSE)+SUM(_xlfn.XLOOKUP(S46:AG46,增益!$A:$A,增益!$L:$L,0))</f>
        <v>0</v>
      </c>
      <c r="BB46">
        <f t="shared" si="5"/>
        <v>0</v>
      </c>
      <c r="BC46">
        <f t="shared" si="6"/>
        <v>0</v>
      </c>
      <c r="BD46" s="32" cm="1">
        <f t="array" ref="BD46">IF($F$13-$I$4+VLOOKUP($R46,武学奇术!$A:$ZZ,13,FALSE)+SUM(_xlfn.XLOOKUP(S46:AG46,增益!$A:$A,增益!$M:$M,0))&gt;0,($F$13-$I$4+VLOOKUP($R46,武学奇术!$A:$ZZ,13,FALSE)+SUM(_xlfn.XLOOKUP(S46:AG46,增益!$A:$A,增益!$K:$K,0)))/200,($F$13-$I$4+VLOOKUP($R46,武学奇术!$A:$ZZ,13,FALSE)+SUM(_xlfn.XLOOKUP(S46:AG46,增益!$A:$A,增益!$M:$M,0)))/100)</f>
        <v>-0.3</v>
      </c>
      <c r="BE46" s="32" cm="1">
        <f t="array" ref="BE46">$G$13+VLOOKUP($R46,武学奇术!$A:$ZZ,14,FALSE)+SUM(_xlfn.XLOOKUP(S46:AG46,增益!$A:$A,增益!$N:$N,0))</f>
        <v>0</v>
      </c>
      <c r="BF46">
        <f t="shared" si="7"/>
        <v>571.2</v>
      </c>
      <c r="BG46">
        <f t="shared" si="8"/>
        <v>1627.8</v>
      </c>
      <c r="BH46" s="32" cm="1">
        <f t="array" ref="BH46">IF($F$14-$I$4+VLOOKUP($R46,武学奇术!$A:$ZZ,15,FALSE)+SUM(_xlfn.XLOOKUP(S46:AG46,增益!$A:$A,增益!$O:$O,0))&gt;0,($F$14-$I$4+VLOOKUP($R46,武学奇术!$A:$ZZ,15,FALSE)+SUM(_xlfn.XLOOKUP(S46:AG46,增益!$A:$A,增益!$O:$O,0)))/200,($F$14-$I$4+VLOOKUP($R46,武学奇术!$A:$ZZ,15,FALSE)+SUM(_xlfn.XLOOKUP(S46:AG46,增益!$A:$A,增益!$O:$O,0)))/100)</f>
        <v>0</v>
      </c>
      <c r="BI46" s="32" cm="1">
        <f t="array" ref="BI46">$G$14+VLOOKUP($R46,武学奇术!$A:$ZZ,16,FALSE)+SUM(_xlfn.XLOOKUP(S46:AG46,增益!$A:$A,增益!$P:$P,0))</f>
        <v>0.27</v>
      </c>
      <c r="BJ46" s="26">
        <f>MIN(IF(VLOOKUP($R46,武学奇术!$A:$ZZ,23,FALSE)=1,100%,$B$8),100%)</f>
        <v>1</v>
      </c>
      <c r="BK46" s="26" cm="1">
        <f t="array" ref="BK46">IF(VLOOKUP($R46,武学奇术!$A:$ZZ,23,FALSE)=1,100%,MIN(80%,$B$9+VLOOKUP($R46,武学奇术!$A:$ZZ,17,FALSE)+SUM(_xlfn.XLOOKUP(S46:AG46,增益!$A:$A,增益!$Q:$Q,0)))+$B$11+SUM(_xlfn.XLOOKUP(S46:AG46,增益!$A:$A,增益!$U:$U,0)))*IF(VLOOKUP($R46,武学奇术!$A:$ZZ,24,FALSE)=1,0,1)</f>
        <v>1</v>
      </c>
      <c r="BL46" s="26" cm="1">
        <f t="array" ref="BL46">1+$B$13+VLOOKUP($R46,武学奇术!$A:$ZZ,18,FALSE)+SUM(_xlfn.XLOOKUP(S46:AG46,增益!$A:$A,增益!$R:$R,0))</f>
        <v>2.05</v>
      </c>
      <c r="BM46" s="26" cm="1">
        <f t="array" ref="BM46">IF(VLOOKUP($R46,武学奇术!$A:$ZZ,24,FALSE)=1,100%,MIN(40%,$B$10+VLOOKUP($R46,武学奇术!$A:$ZZ,19,FALSE)+SUM(_xlfn.XLOOKUP(S46:AG46,增益!$A:$A,增益!$S:$S,0)))+$B$12+SUM(_xlfn.XLOOKUP(S46:AG46,增益!$A:$A,增益!$V:$V,0)))*IF(VLOOKUP($R46,武学奇术!$A:$ZZ,23,FALSE)=1,0,1)</f>
        <v>0</v>
      </c>
      <c r="BN46" s="26" cm="1">
        <f t="array" ref="BN46">1+$B$14+VLOOKUP($R46,武学奇术!$A:$ZZ,20,FALSE)+SUM(_xlfn.XLOOKUP(S46:AG46,增益!$A:$A,增益!$T:$T,0))</f>
        <v>1.35</v>
      </c>
      <c r="BO46" s="26">
        <f t="shared" si="9"/>
        <v>1</v>
      </c>
      <c r="BP46" s="26">
        <f t="shared" si="10"/>
        <v>0</v>
      </c>
      <c r="BQ46" s="26">
        <f>IF(VLOOKUP($R46,武学奇术!$A:$ZZ,22,FALSE)=1,0,(1-$BJ46))*(1-$BM46)</f>
        <v>0</v>
      </c>
      <c r="BR46" s="26" cm="1">
        <f t="array" ref="BR46">SUM(_xlfn.XLOOKUP(S46:AG46,增益!$A:$A,增益!$W:$W,0))+$I$5</f>
        <v>0.11</v>
      </c>
    </row>
    <row r="47" spans="1:70">
      <c r="A47" s="4"/>
      <c r="B47" s="4"/>
      <c r="C47" s="4"/>
      <c r="K47">
        <f>$L47*VLOOKUP($R47,武学奇术!$A:$ZZ,31,FALSE)</f>
        <v>70732.2826790337</v>
      </c>
      <c r="L47" s="38">
        <f t="shared" si="11"/>
        <v>67364.0787419368</v>
      </c>
      <c r="M47" s="38">
        <f>((($AO47+$AP47)/2*$AI47+$AJ47)*(1+$AQ47)*(1+$AR47)+(($AT47+$AU47)/2*IF($G$1="鸣金",$AK47,$AI47)+IF($G$1="鸣金",$AL47*1.5,0))*(1+$AV47)*(1+$AW47)+(($AX47+$AY47)/2*IF($G$1="裂石",$AK47,$AI47)+IF($G$1="裂石",$AL47*1.5,0))*(1+$AZ47)*(1+$BA47)+(($BB47+$BC47)/2*IF($G$1="牵丝",$AK47,$AI47)+IF($G$1="牵丝",$AL47*1.5,0))*(1+$BD47)*(1+$BE47)+(($BF47+$BG47)/2*IF($G$1="破竹",$AK47,$AI47)+IF($G$1="破竹",$AL47*1.5,0))*(1+$BH47)*(1+$BI47))*(1+$AM47)*$BL47*$Q47*(1+IF(VLOOKUP($R47,武学奇术!$A:$ZZ,30,FALSE)="回旋伞",$B$21,0))*(1+$BR47)</f>
        <v>72043.058729488</v>
      </c>
      <c r="N47" s="38">
        <f>(($AP47*$AI47+$AJ47)*(1+$AQ47)*(1+$AR47)+($AU47*IF($G$1="鸣金",$AK47,$AI47)+IF($G$1="鸣金",$AL47*1.5,0))*(1+$AV47)*(1+$AW47)+($AY47*IF($G$1="裂石",$AK47,$AI47)+IF($G$1="裂石",$AL47*1.5,0))*(1+$AZ47)*(1+$BA47)+($BC47*IF($G$1="牵丝",$AK47,$AI47)+IF($G$1="牵丝",$AL47*1.5,0))*(1+$BD47)*(1+$BE47)+($BG47*IF($G$1="破竹",$AK47,$AI47)+IF($G$1="破竹",$AL47*1.5,0))*(1+$BH47)*(1+$BI47))*(1+$AM47)*$BN47*$Q47*(1+IF(VLOOKUP($R47,武学奇术!$A:$ZZ,30,FALSE)="回旋伞",$B$21,0))*(1+$BR47)</f>
        <v>53109.7272796914</v>
      </c>
      <c r="O47" s="38">
        <f>((($AO47+$AP47)/2*$AI47+$AJ47)*(1+$AQ47)*(1+$AR47)+(($AT47+$AU47)/2*IF($G$1="鸣金",$AK47,$AI47)+IF($G$1="鸣金",$AL47*1.5,0))*(1+$AV47)*(1+$AW47)+(($AX47+$AY47)/2*IF($G$1="裂石",$AK47,$AI47)+IF($G$1="裂石",$AL47*1.5,0))*(1+$AZ47)*(1+$BA47)+(($BB47+$BC47)/2*IF($G$1="牵丝",$AK47,$AI47)+IF($G$1="牵丝",$AL47*1.5,0))*(1+$BD47)*(1+$BE47)+(($BF47+$BG47)/2*IF($G$1="破竹",$AK47,$AI47)+IF($G$1="破竹",$AL47*1.5,0))*(1+$BH47)*(1+$BI47))*(1+$AM47)*$Q47*(1+IF(VLOOKUP($R47,武学奇术!$A:$ZZ,30,FALSE)="回旋伞",$B$21,0))*(1+$BR47)</f>
        <v>35142.955477799</v>
      </c>
      <c r="P47" s="38">
        <f>((($AO47*$AI47+$AJ47)*(1+$AQ47)*(1+$AR47)+($AT47*IF($G$1="鸣金",$AK47,$AI47)+IF($G$1="鸣金",$AL47*1.5,0))*(1+$AV47)*(1+$AW47)+($AX47*IF($G$1="裂石",$AK47,$AI47)+IF($G$1="裂石",$AL47*1.5,0))*(1+$AZ47)*(1+$BA47)+($BB47*IF($G$1="牵丝",$AK47,$AI47)+IF($G$1="牵丝",$AL47*1.5,0))*(1+$BD47)*(1+$BE47)+($BF47*IF($G$1="破竹",$AK47,$AI47)+IF($G$1="破竹",$AL47*1.5,0))*(1+$BH47)*(1+$BI47))*(1+$AM47))*$Q47*(1+IF(VLOOKUP($R47,武学奇术!$A:$ZZ,30,FALSE)="回旋伞",$B$21,0))*(1+$BR47)</f>
        <v>30945.3722299007</v>
      </c>
      <c r="Q47" s="39">
        <v>1</v>
      </c>
      <c r="R47" s="40" t="s">
        <v>108</v>
      </c>
      <c r="S47" s="40" t="s">
        <v>109</v>
      </c>
      <c r="T47" s="40" t="s">
        <v>95</v>
      </c>
      <c r="U47" s="40" t="s">
        <v>73</v>
      </c>
      <c r="V47" s="40" t="s">
        <v>72</v>
      </c>
      <c r="W47" s="40" t="s">
        <v>169</v>
      </c>
      <c r="X47" s="40" t="s">
        <v>99</v>
      </c>
      <c r="Y47" s="40" t="s">
        <v>72</v>
      </c>
      <c r="Z47" s="40" t="s">
        <v>72</v>
      </c>
      <c r="AA47" s="40" t="s">
        <v>72</v>
      </c>
      <c r="AB47" s="40" t="s">
        <v>126</v>
      </c>
      <c r="AC47" s="40" t="s">
        <v>72</v>
      </c>
      <c r="AD47" s="40" t="s">
        <v>72</v>
      </c>
      <c r="AE47" s="40" t="s">
        <v>72</v>
      </c>
      <c r="AF47" s="40" t="s">
        <v>72</v>
      </c>
      <c r="AG47" s="40" t="s">
        <v>78</v>
      </c>
      <c r="AH47" t="str">
        <f>VLOOKUP($R47,武学奇术!$A:$ZZ,25,FALSE)</f>
        <v>伞</v>
      </c>
      <c r="AI47" s="26">
        <f>VLOOKUP($R47,武学奇术!$A:$ZZ,26,FALSE)</f>
        <v>1.8084</v>
      </c>
      <c r="AJ47" s="27">
        <f>VLOOKUP($R47,武学奇术!$A:$ZZ,27,FALSE)*(1+IF(OR($AH47=$F$4,$AH47=$F$5),$B$22,0))</f>
        <v>750</v>
      </c>
      <c r="AK47" s="26">
        <f>VLOOKUP($R47,武学奇术!$A:$ZZ,28,FALSE)</f>
        <v>2.7126</v>
      </c>
      <c r="AL47" s="27">
        <f>VLOOKUP($R47,武学奇术!$A:$ZZ,29,FALSE)*(1+IF(OR($AH47=$F$4,$AH47=$F$5),$B$22,0))</f>
        <v>408</v>
      </c>
      <c r="AM47" s="26" cm="1">
        <f t="array" ref="AM47">$G$3+IFERROR(VLOOKUP($AH47,$F$4:$G$7,2,FALSE),0)+VLOOKUP($R47,武学奇术!$A:$ZZ,2,FALSE)+SUM(_xlfn.XLOOKUP($S47:$AG47,增益!$A:$A,增益!$B:$B,0))</f>
        <v>0.5741</v>
      </c>
      <c r="AN47" s="26" cm="1">
        <f t="array" ref="AN47">VLOOKUP($R47,武学奇术!$A:$ZZ,5,FALSE)+SUM(_xlfn.XLOOKUP($S47:$AG47,增益!$A:$A,增益!$E:$E,0))</f>
        <v>0</v>
      </c>
      <c r="AO47" cm="1">
        <f t="array" ref="AO47">$D$10*(1+$AN47)+VLOOKUP($R47,武学奇术!$A:$ZZ,3,FALSE)+SUM(_xlfn.XLOOKUP($S47:$AG47,增益!$A:$A,增益!$C:$C,0))-$I$2</f>
        <v>3562.6</v>
      </c>
      <c r="AP47" cm="1">
        <f t="array" ref="AP47">$E$10*(1+$AN47)+VLOOKUP($R47,武学奇术!$A:$ZZ,4,FALSE)+SUM(_xlfn.XLOOKUP($S47:$AG47,增益!$A:$A,增益!$D:$D,0))-$I$2</f>
        <v>3562.6</v>
      </c>
      <c r="AQ47" s="32" cm="1">
        <f t="array" ref="AQ47">IF($F$10-$I$3+VLOOKUP($R47,武学奇术!$A:$ZZ,6,FALSE)+SUM(_xlfn.XLOOKUP(S47:AG47,增益!$A:$A,增益!$F:$F,0))&gt;0,($F$10-$I$3+VLOOKUP($R47,武学奇术!$A:$ZZ,6,FALSE)+SUM(_xlfn.XLOOKUP(S47:AG47,增益!$A:$A,增益!$F:$F,0)))/200,($F$10-$I$3+VLOOKUP($R47,武学奇术!$A:$ZZ,6,FALSE)+SUM(_xlfn.XLOOKUP(S47:AG47,增益!$A:$A,增益!$F:$F,0)))/100)</f>
        <v>0.2925</v>
      </c>
      <c r="AR47" s="32" cm="1">
        <f t="array" ref="AR47">$G$10+VLOOKUP($R47,武学奇术!$A:$ZZ,7,FALSE)+SUM(_xlfn.XLOOKUP(S47:AG47,增益!$A:$A,增益!$G:$G,0))</f>
        <v>0.148</v>
      </c>
      <c r="AS47" s="26" cm="1">
        <f t="array" ref="AS47">VLOOKUP($R47,武学奇术!$A:$ZZ,8,FALSE)+SUM(_xlfn.XLOOKUP(S47:AG47,增益!$A:$A,增益!$H:$H,0))</f>
        <v>0</v>
      </c>
      <c r="AT47">
        <f t="shared" si="1"/>
        <v>0</v>
      </c>
      <c r="AU47">
        <f t="shared" si="2"/>
        <v>0</v>
      </c>
      <c r="AV47" s="32" cm="1">
        <f t="array" ref="AV47">IF($F$11-$I$4+VLOOKUP($R47,武学奇术!$A:$ZZ,9,FALSE)+SUM(_xlfn.XLOOKUP(S47:AG47,增益!$A:$A,增益!$I:$I,0))&gt;0,($F$11-$I$4+VLOOKUP($R47,武学奇术!$A:$ZZ,9,FALSE)+SUM(_xlfn.XLOOKUP(S47:AG47,增益!$A:$A,增益!$I:$I,0)))/200,($F$11-$I$4+VLOOKUP($R47,武学奇术!$A:$ZZ,9,FALSE)+SUM(_xlfn.XLOOKUP(S47:AG47,增益!$A:$A,增益!$I:$I,0)))/100)</f>
        <v>-0.3</v>
      </c>
      <c r="AW47" s="32" cm="1">
        <f t="array" ref="AW47">$G$11+VLOOKUP($R47,武学奇术!$A:$ZZ,10,FALSE)+SUM(_xlfn.XLOOKUP(S47:AG47,增益!$A:$A,增益!$J:$J,0))</f>
        <v>0</v>
      </c>
      <c r="AX47">
        <f t="shared" si="3"/>
        <v>0</v>
      </c>
      <c r="AY47">
        <f t="shared" si="4"/>
        <v>0</v>
      </c>
      <c r="AZ47" s="32" cm="1">
        <f t="array" ref="AZ47">IF($F$12-$I$4+VLOOKUP($R47,武学奇术!$A:$ZZ,11,FALSE)+SUM(_xlfn.XLOOKUP(S47:AG47,增益!$A:$A,增益!$K:$K,0))&gt;0,($F$12-$I$4+VLOOKUP($R47,武学奇术!$A:$ZZ,11,FALSE)+SUM(_xlfn.XLOOKUP(S47:AG47,增益!$A:$A,增益!$K:$K,0)))/200,($F$12-$I$4+VLOOKUP($R47,武学奇术!$A:$ZZ,11,FALSE)+SUM(_xlfn.XLOOKUP(S47:AG47,增益!$A:$A,增益!$K:$K,0)))/100)</f>
        <v>-0.3</v>
      </c>
      <c r="BA47" s="32" cm="1">
        <f t="array" ref="BA47">$G$12+VLOOKUP($R47,武学奇术!$A:$ZZ,12,FALSE)+SUM(_xlfn.XLOOKUP(S47:AG47,增益!$A:$A,增益!$L:$L,0))</f>
        <v>0</v>
      </c>
      <c r="BB47">
        <f t="shared" si="5"/>
        <v>0</v>
      </c>
      <c r="BC47">
        <f t="shared" si="6"/>
        <v>0</v>
      </c>
      <c r="BD47" s="32" cm="1">
        <f t="array" ref="BD47">IF($F$13-$I$4+VLOOKUP($R47,武学奇术!$A:$ZZ,13,FALSE)+SUM(_xlfn.XLOOKUP(S47:AG47,增益!$A:$A,增益!$M:$M,0))&gt;0,($F$13-$I$4+VLOOKUP($R47,武学奇术!$A:$ZZ,13,FALSE)+SUM(_xlfn.XLOOKUP(S47:AG47,增益!$A:$A,增益!$K:$K,0)))/200,($F$13-$I$4+VLOOKUP($R47,武学奇术!$A:$ZZ,13,FALSE)+SUM(_xlfn.XLOOKUP(S47:AG47,增益!$A:$A,增益!$M:$M,0)))/100)</f>
        <v>-0.3</v>
      </c>
      <c r="BE47" s="32" cm="1">
        <f t="array" ref="BE47">$G$13+VLOOKUP($R47,武学奇术!$A:$ZZ,14,FALSE)+SUM(_xlfn.XLOOKUP(S47:AG47,增益!$A:$A,增益!$N:$N,0))</f>
        <v>0</v>
      </c>
      <c r="BF47">
        <f t="shared" si="7"/>
        <v>571.2</v>
      </c>
      <c r="BG47">
        <f t="shared" si="8"/>
        <v>1627.8</v>
      </c>
      <c r="BH47" s="32" cm="1">
        <f t="array" ref="BH47">IF($F$14-$I$4+VLOOKUP($R47,武学奇术!$A:$ZZ,15,FALSE)+SUM(_xlfn.XLOOKUP(S47:AG47,增益!$A:$A,增益!$O:$O,0))&gt;0,($F$14-$I$4+VLOOKUP($R47,武学奇术!$A:$ZZ,15,FALSE)+SUM(_xlfn.XLOOKUP(S47:AG47,增益!$A:$A,增益!$O:$O,0)))/200,($F$14-$I$4+VLOOKUP($R47,武学奇术!$A:$ZZ,15,FALSE)+SUM(_xlfn.XLOOKUP(S47:AG47,增益!$A:$A,增益!$O:$O,0)))/100)</f>
        <v>0</v>
      </c>
      <c r="BI47" s="32" cm="1">
        <f t="array" ref="BI47">$G$14+VLOOKUP($R47,武学奇术!$A:$ZZ,16,FALSE)+SUM(_xlfn.XLOOKUP(S47:AG47,增益!$A:$A,增益!$P:$P,0))</f>
        <v>0.27</v>
      </c>
      <c r="BJ47" s="26">
        <f>MIN(IF(VLOOKUP($R47,武学奇术!$A:$ZZ,23,FALSE)=1,100%,$B$8),100%)</f>
        <v>0.981</v>
      </c>
      <c r="BK47" s="26" cm="1">
        <f t="array" ref="BK47">IF(VLOOKUP($R47,武学奇术!$A:$ZZ,23,FALSE)=1,100%,MIN(80%,$B$9+VLOOKUP($R47,武学奇术!$A:$ZZ,17,FALSE)+SUM(_xlfn.XLOOKUP(S47:AG47,增益!$A:$A,增益!$Q:$Q,0)))+$B$11+SUM(_xlfn.XLOOKUP(S47:AG47,增益!$A:$A,增益!$U:$U,0)))*IF(VLOOKUP($R47,武学奇术!$A:$ZZ,24,FALSE)=1,0,1)</f>
        <v>0.846</v>
      </c>
      <c r="BL47" s="26" cm="1">
        <f t="array" ref="BL47">1+$B$13+VLOOKUP($R47,武学奇术!$A:$ZZ,18,FALSE)+SUM(_xlfn.XLOOKUP(S47:AG47,增益!$A:$A,增益!$R:$R,0))</f>
        <v>2.05</v>
      </c>
      <c r="BM47" s="26" cm="1">
        <f t="array" ref="BM47">IF(VLOOKUP($R47,武学奇术!$A:$ZZ,24,FALSE)=1,100%,MIN(40%,$B$10+VLOOKUP($R47,武学奇术!$A:$ZZ,19,FALSE)+SUM(_xlfn.XLOOKUP(S47:AG47,增益!$A:$A,增益!$S:$S,0)))+$B$12+SUM(_xlfn.XLOOKUP(S47:AG47,增益!$A:$A,增益!$V:$V,0)))*IF(VLOOKUP($R47,武学奇术!$A:$ZZ,23,FALSE)=1,0,1)</f>
        <v>0.0929</v>
      </c>
      <c r="BN47" s="26" cm="1">
        <f t="array" ref="BN47">1+$B$14+VLOOKUP($R47,武学奇术!$A:$ZZ,20,FALSE)+SUM(_xlfn.XLOOKUP(S47:AG47,增益!$A:$A,增益!$T:$T,0))</f>
        <v>1.35</v>
      </c>
      <c r="BO47" s="26">
        <f t="shared" si="9"/>
        <v>0.829926</v>
      </c>
      <c r="BP47" s="26">
        <f t="shared" si="10"/>
        <v>0.0599391</v>
      </c>
      <c r="BQ47" s="26">
        <f>IF(VLOOKUP($R47,武学奇术!$A:$ZZ,22,FALSE)=1,0,(1-$BJ47))*(1-$BM47)</f>
        <v>0.0172349</v>
      </c>
      <c r="BR47" s="26" cm="1">
        <f t="array" ref="BR47">SUM(_xlfn.XLOOKUP(S47:AG47,增益!$A:$A,增益!$W:$W,0))+$I$5</f>
        <v>0.11</v>
      </c>
    </row>
    <row r="48" spans="1:70">
      <c r="A48" s="4"/>
      <c r="B48" s="87"/>
      <c r="C48" s="4"/>
      <c r="K48">
        <f>$L48*VLOOKUP($R48,武学奇术!$A:$ZZ,31,FALSE)</f>
        <v>41743.6038295422</v>
      </c>
      <c r="L48" s="38">
        <f t="shared" si="11"/>
        <v>39755.8131709925</v>
      </c>
      <c r="M48" s="38">
        <f>((($AO48+$AP48)/2*$AI48+$AJ48)*(1+$AQ48)*(1+$AR48)+(($AT48+$AU48)/2*IF($G$1="鸣金",$AK48,$AI48)+IF($G$1="鸣金",$AL48*1.5,0))*(1+$AV48)*(1+$AW48)+(($AX48+$AY48)/2*IF($G$1="裂石",$AK48,$AI48)+IF($G$1="裂石",$AL48*1.5,0))*(1+$AZ48)*(1+$BA48)+(($BB48+$BC48)/2*IF($G$1="牵丝",$AK48,$AI48)+IF($G$1="牵丝",$AL48*1.5,0))*(1+$BD48)*(1+$BE48)+(($BF48+$BG48)/2*IF($G$1="破竹",$AK48,$AI48)+IF($G$1="破竹",$AL48*1.5,0))*(1+$BH48)*(1+$BI48))*(1+$AM48)*$BL48*$Q48*(1+IF(VLOOKUP($R48,武学奇术!$A:$ZZ,30,FALSE)="回旋伞",$B$21,0))*(1+$BR48)</f>
        <v>42476.629010819</v>
      </c>
      <c r="N48" s="38">
        <f>(($AP48*$AI48+$AJ48)*(1+$AQ48)*(1+$AR48)+($AU48*IF($G$1="鸣金",$AK48,$AI48)+IF($G$1="鸣金",$AL48*1.5,0))*(1+$AV48)*(1+$AW48)+($AY48*IF($G$1="裂石",$AK48,$AI48)+IF($G$1="裂石",$AL48*1.5,0))*(1+$AZ48)*(1+$BA48)+($BC48*IF($G$1="牵丝",$AK48,$AI48)+IF($G$1="牵丝",$AL48*1.5,0))*(1+$BD48)*(1+$BE48)+($BG48*IF($G$1="破竹",$AK48,$AI48)+IF($G$1="破竹",$AL48*1.5,0))*(1+$BH48)*(1+$BI48))*(1+$AM48)*$BN48*$Q48*(1+IF(VLOOKUP($R48,武学奇术!$A:$ZZ,30,FALSE)="回旋伞",$B$21,0))*(1+$BR48)</f>
        <v>31786.6551424357</v>
      </c>
      <c r="O48" s="38">
        <f>((($AO48+$AP48)/2*$AI48+$AJ48)*(1+$AQ48)*(1+$AR48)+(($AT48+$AU48)/2*IF($G$1="鸣金",$AK48,$AI48)+IF($G$1="鸣金",$AL48*1.5,0))*(1+$AV48)*(1+$AW48)+(($AX48+$AY48)/2*IF($G$1="裂石",$AK48,$AI48)+IF($G$1="裂石",$AL48*1.5,0))*(1+$AZ48)*(1+$BA48)+(($BB48+$BC48)/2*IF($G$1="牵丝",$AK48,$AI48)+IF($G$1="牵丝",$AL48*1.5,0))*(1+$BD48)*(1+$BE48)+(($BF48+$BG48)/2*IF($G$1="破竹",$AK48,$AI48)+IF($G$1="破竹",$AL48*1.5,0))*(1+$BH48)*(1+$BI48))*(1+$AM48)*$Q48*(1+IF(VLOOKUP($R48,武学奇术!$A:$ZZ,30,FALSE)="回旋伞",$B$21,0))*(1+$BR48)</f>
        <v>20720.3068345459</v>
      </c>
      <c r="P48" s="38">
        <f>((($AO48*$AI48+$AJ48)*(1+$AQ48)*(1+$AR48)+($AT48*IF($G$1="鸣金",$AK48,$AI48)+IF($G$1="鸣金",$AL48*1.5,0))*(1+$AV48)*(1+$AW48)+($AX48*IF($G$1="裂石",$AK48,$AI48)+IF($G$1="裂石",$AL48*1.5,0))*(1+$AZ48)*(1+$BA48)+($BB48*IF($G$1="牵丝",$AK48,$AI48)+IF($G$1="牵丝",$AL48*1.5,0))*(1+$BD48)*(1+$BE48)+($BF48*IF($G$1="破竹",$AK48,$AI48)+IF($G$1="破竹",$AL48*1.5,0))*(1+$BH48)*(1+$BI48))*(1+$AM48))*$Q48*(1+IF(VLOOKUP($R48,武学奇术!$A:$ZZ,30,FALSE)="回旋伞",$B$21,0))*(1+$BR48)</f>
        <v>17894.9431932134</v>
      </c>
      <c r="Q48" s="39">
        <v>2</v>
      </c>
      <c r="R48" s="40" t="s">
        <v>112</v>
      </c>
      <c r="S48" s="40" t="s">
        <v>109</v>
      </c>
      <c r="T48" s="40" t="s">
        <v>95</v>
      </c>
      <c r="U48" s="40" t="s">
        <v>73</v>
      </c>
      <c r="V48" s="40" t="s">
        <v>72</v>
      </c>
      <c r="W48" s="40" t="s">
        <v>169</v>
      </c>
      <c r="X48" s="40" t="s">
        <v>99</v>
      </c>
      <c r="Y48" s="40" t="s">
        <v>72</v>
      </c>
      <c r="Z48" s="40" t="s">
        <v>72</v>
      </c>
      <c r="AA48" s="40" t="s">
        <v>72</v>
      </c>
      <c r="AB48" s="40" t="s">
        <v>126</v>
      </c>
      <c r="AC48" s="40" t="s">
        <v>72</v>
      </c>
      <c r="AD48" s="40" t="s">
        <v>72</v>
      </c>
      <c r="AE48" s="40" t="s">
        <v>72</v>
      </c>
      <c r="AF48" s="40" t="s">
        <v>72</v>
      </c>
      <c r="AG48" s="40" t="s">
        <v>78</v>
      </c>
      <c r="AH48" t="str">
        <f>VLOOKUP($R48,武学奇术!$A:$ZZ,25,FALSE)</f>
        <v>伞</v>
      </c>
      <c r="AI48" s="26">
        <f>VLOOKUP($R48,武学奇术!$A:$ZZ,26,FALSE)</f>
        <v>0.54</v>
      </c>
      <c r="AJ48" s="27">
        <f>VLOOKUP($R48,武学奇术!$A:$ZZ,27,FALSE)*(1+IF(OR($AH48=$F$4,$AH48=$F$5),$B$22,0))</f>
        <v>0</v>
      </c>
      <c r="AK48" s="26">
        <f>VLOOKUP($R48,武学奇术!$A:$ZZ,28,FALSE)</f>
        <v>0.81</v>
      </c>
      <c r="AL48" s="27">
        <f>VLOOKUP($R48,武学奇术!$A:$ZZ,29,FALSE)*(1+IF(OR($AH48=$F$4,$AH48=$F$5),$B$22,0))</f>
        <v>0</v>
      </c>
      <c r="AM48" s="26" cm="1">
        <f t="array" ref="AM48">$G$3+IFERROR(VLOOKUP($AH48,$F$4:$G$7,2,FALSE),0)+VLOOKUP($R48,武学奇术!$A:$ZZ,2,FALSE)+SUM(_xlfn.XLOOKUP($S48:$AG48,增益!$A:$A,增益!$B:$B,0))</f>
        <v>0.7741</v>
      </c>
      <c r="AN48" s="26" cm="1">
        <f t="array" ref="AN48">VLOOKUP($R48,武学奇术!$A:$ZZ,5,FALSE)+SUM(_xlfn.XLOOKUP($S48:$AG48,增益!$A:$A,增益!$E:$E,0))</f>
        <v>0</v>
      </c>
      <c r="AO48" cm="1">
        <f t="array" ref="AO48">$D$10*(1+$AN48)+VLOOKUP($R48,武学奇术!$A:$ZZ,3,FALSE)+SUM(_xlfn.XLOOKUP($S48:$AG48,增益!$A:$A,增益!$C:$C,0))-$I$2</f>
        <v>3562.6</v>
      </c>
      <c r="AP48" cm="1">
        <f t="array" ref="AP48">$E$10*(1+$AN48)+VLOOKUP($R48,武学奇术!$A:$ZZ,4,FALSE)+SUM(_xlfn.XLOOKUP($S48:$AG48,增益!$A:$A,增益!$D:$D,0))-$I$2</f>
        <v>3562.6</v>
      </c>
      <c r="AQ48" s="32" cm="1">
        <f t="array" ref="AQ48">IF($F$10-$I$3+VLOOKUP($R48,武学奇术!$A:$ZZ,6,FALSE)+SUM(_xlfn.XLOOKUP(S48:AG48,增益!$A:$A,增益!$F:$F,0))&gt;0,($F$10-$I$3+VLOOKUP($R48,武学奇术!$A:$ZZ,6,FALSE)+SUM(_xlfn.XLOOKUP(S48:AG48,增益!$A:$A,增益!$F:$F,0)))/200,($F$10-$I$3+VLOOKUP($R48,武学奇术!$A:$ZZ,6,FALSE)+SUM(_xlfn.XLOOKUP(S48:AG48,增益!$A:$A,增益!$F:$F,0)))/100)</f>
        <v>0.2925</v>
      </c>
      <c r="AR48" s="32" cm="1">
        <f t="array" ref="AR48">$G$10+VLOOKUP($R48,武学奇术!$A:$ZZ,7,FALSE)+SUM(_xlfn.XLOOKUP(S48:AG48,增益!$A:$A,增益!$G:$G,0))</f>
        <v>0.148</v>
      </c>
      <c r="AS48" s="26" cm="1">
        <f t="array" ref="AS48">VLOOKUP($R48,武学奇术!$A:$ZZ,8,FALSE)+SUM(_xlfn.XLOOKUP(S48:AG48,增益!$A:$A,增益!$H:$H,0))</f>
        <v>0</v>
      </c>
      <c r="AT48">
        <f t="shared" si="1"/>
        <v>0</v>
      </c>
      <c r="AU48">
        <f t="shared" si="2"/>
        <v>0</v>
      </c>
      <c r="AV48" s="32" cm="1">
        <f t="array" ref="AV48">IF($F$11-$I$4+VLOOKUP($R48,武学奇术!$A:$ZZ,9,FALSE)+SUM(_xlfn.XLOOKUP(S48:AG48,增益!$A:$A,增益!$I:$I,0))&gt;0,($F$11-$I$4+VLOOKUP($R48,武学奇术!$A:$ZZ,9,FALSE)+SUM(_xlfn.XLOOKUP(S48:AG48,增益!$A:$A,增益!$I:$I,0)))/200,($F$11-$I$4+VLOOKUP($R48,武学奇术!$A:$ZZ,9,FALSE)+SUM(_xlfn.XLOOKUP(S48:AG48,增益!$A:$A,增益!$I:$I,0)))/100)</f>
        <v>-0.3</v>
      </c>
      <c r="AW48" s="32" cm="1">
        <f t="array" ref="AW48">$G$11+VLOOKUP($R48,武学奇术!$A:$ZZ,10,FALSE)+SUM(_xlfn.XLOOKUP(S48:AG48,增益!$A:$A,增益!$J:$J,0))</f>
        <v>0</v>
      </c>
      <c r="AX48">
        <f t="shared" si="3"/>
        <v>0</v>
      </c>
      <c r="AY48">
        <f t="shared" si="4"/>
        <v>0</v>
      </c>
      <c r="AZ48" s="32" cm="1">
        <f t="array" ref="AZ48">IF($F$12-$I$4+VLOOKUP($R48,武学奇术!$A:$ZZ,11,FALSE)+SUM(_xlfn.XLOOKUP(S48:AG48,增益!$A:$A,增益!$K:$K,0))&gt;0,($F$12-$I$4+VLOOKUP($R48,武学奇术!$A:$ZZ,11,FALSE)+SUM(_xlfn.XLOOKUP(S48:AG48,增益!$A:$A,增益!$K:$K,0)))/200,($F$12-$I$4+VLOOKUP($R48,武学奇术!$A:$ZZ,11,FALSE)+SUM(_xlfn.XLOOKUP(S48:AG48,增益!$A:$A,增益!$K:$K,0)))/100)</f>
        <v>-0.3</v>
      </c>
      <c r="BA48" s="32" cm="1">
        <f t="array" ref="BA48">$G$12+VLOOKUP($R48,武学奇术!$A:$ZZ,12,FALSE)+SUM(_xlfn.XLOOKUP(S48:AG48,增益!$A:$A,增益!$L:$L,0))</f>
        <v>0</v>
      </c>
      <c r="BB48">
        <f t="shared" si="5"/>
        <v>0</v>
      </c>
      <c r="BC48">
        <f t="shared" si="6"/>
        <v>0</v>
      </c>
      <c r="BD48" s="32" cm="1">
        <f t="array" ref="BD48">IF($F$13-$I$4+VLOOKUP($R48,武学奇术!$A:$ZZ,13,FALSE)+SUM(_xlfn.XLOOKUP(S48:AG48,增益!$A:$A,增益!$M:$M,0))&gt;0,($F$13-$I$4+VLOOKUP($R48,武学奇术!$A:$ZZ,13,FALSE)+SUM(_xlfn.XLOOKUP(S48:AG48,增益!$A:$A,增益!$K:$K,0)))/200,($F$13-$I$4+VLOOKUP($R48,武学奇术!$A:$ZZ,13,FALSE)+SUM(_xlfn.XLOOKUP(S48:AG48,增益!$A:$A,增益!$M:$M,0)))/100)</f>
        <v>-0.3</v>
      </c>
      <c r="BE48" s="32" cm="1">
        <f t="array" ref="BE48">$G$13+VLOOKUP($R48,武学奇术!$A:$ZZ,14,FALSE)+SUM(_xlfn.XLOOKUP(S48:AG48,增益!$A:$A,增益!$N:$N,0))</f>
        <v>0</v>
      </c>
      <c r="BF48">
        <f t="shared" si="7"/>
        <v>571.2</v>
      </c>
      <c r="BG48">
        <f t="shared" si="8"/>
        <v>1627.8</v>
      </c>
      <c r="BH48" s="32" cm="1">
        <f t="array" ref="BH48">IF($F$14-$I$4+VLOOKUP($R48,武学奇术!$A:$ZZ,15,FALSE)+SUM(_xlfn.XLOOKUP(S48:AG48,增益!$A:$A,增益!$O:$O,0))&gt;0,($F$14-$I$4+VLOOKUP($R48,武学奇术!$A:$ZZ,15,FALSE)+SUM(_xlfn.XLOOKUP(S48:AG48,增益!$A:$A,增益!$O:$O,0)))/200,($F$14-$I$4+VLOOKUP($R48,武学奇术!$A:$ZZ,15,FALSE)+SUM(_xlfn.XLOOKUP(S48:AG48,增益!$A:$A,增益!$O:$O,0)))/100)</f>
        <v>0</v>
      </c>
      <c r="BI48" s="32" cm="1">
        <f t="array" ref="BI48">$G$14+VLOOKUP($R48,武学奇术!$A:$ZZ,16,FALSE)+SUM(_xlfn.XLOOKUP(S48:AG48,增益!$A:$A,增益!$P:$P,0))</f>
        <v>0.27</v>
      </c>
      <c r="BJ48" s="26">
        <f>MIN(IF(VLOOKUP($R48,武学奇术!$A:$ZZ,23,FALSE)=1,100%,$B$8),100%)</f>
        <v>0.981</v>
      </c>
      <c r="BK48" s="26" cm="1">
        <f t="array" ref="BK48">IF(VLOOKUP($R48,武学奇术!$A:$ZZ,23,FALSE)=1,100%,MIN(80%,$B$9+VLOOKUP($R48,武学奇术!$A:$ZZ,17,FALSE)+SUM(_xlfn.XLOOKUP(S48:AG48,增益!$A:$A,增益!$Q:$Q,0)))+$B$11+SUM(_xlfn.XLOOKUP(S48:AG48,增益!$A:$A,增益!$U:$U,0)))*IF(VLOOKUP($R48,武学奇术!$A:$ZZ,24,FALSE)=1,0,1)</f>
        <v>0.846</v>
      </c>
      <c r="BL48" s="26" cm="1">
        <f t="array" ref="BL48">1+$B$13+VLOOKUP($R48,武学奇术!$A:$ZZ,18,FALSE)+SUM(_xlfn.XLOOKUP(S48:AG48,增益!$A:$A,增益!$R:$R,0))</f>
        <v>2.05</v>
      </c>
      <c r="BM48" s="26" cm="1">
        <f t="array" ref="BM48">IF(VLOOKUP($R48,武学奇术!$A:$ZZ,24,FALSE)=1,100%,MIN(40%,$B$10+VLOOKUP($R48,武学奇术!$A:$ZZ,19,FALSE)+SUM(_xlfn.XLOOKUP(S48:AG48,增益!$A:$A,增益!$S:$S,0)))+$B$12+SUM(_xlfn.XLOOKUP(S48:AG48,增益!$A:$A,增益!$V:$V,0)))*IF(VLOOKUP($R48,武学奇术!$A:$ZZ,23,FALSE)=1,0,1)</f>
        <v>0.0929</v>
      </c>
      <c r="BN48" s="26" cm="1">
        <f t="array" ref="BN48">1+$B$14+VLOOKUP($R48,武学奇术!$A:$ZZ,20,FALSE)+SUM(_xlfn.XLOOKUP(S48:AG48,增益!$A:$A,增益!$T:$T,0))</f>
        <v>1.35</v>
      </c>
      <c r="BO48" s="26">
        <f t="shared" si="9"/>
        <v>0.829926</v>
      </c>
      <c r="BP48" s="26">
        <f t="shared" si="10"/>
        <v>0.0599391</v>
      </c>
      <c r="BQ48" s="26">
        <f>IF(VLOOKUP($R48,武学奇术!$A:$ZZ,22,FALSE)=1,0,(1-$BJ48))*(1-$BM48)</f>
        <v>0.0172349</v>
      </c>
      <c r="BR48" s="26" cm="1">
        <f t="array" ref="BR48">SUM(_xlfn.XLOOKUP(S48:AG48,增益!$A:$A,增益!$W:$W,0))+$I$5</f>
        <v>0.11</v>
      </c>
    </row>
    <row r="49" spans="1:70">
      <c r="A49" s="4"/>
      <c r="B49" s="87"/>
      <c r="C49" s="4"/>
      <c r="K49">
        <f>$L49*VLOOKUP($R49,武学奇术!$A:$ZZ,31,FALSE)</f>
        <v>71038.5262299463</v>
      </c>
      <c r="L49" s="38">
        <f t="shared" si="11"/>
        <v>67655.7392666155</v>
      </c>
      <c r="M49" s="38">
        <f>((($AO49+$AP49)/2*$AI49+$AJ49)*(1+$AQ49)*(1+$AR49)+(($AT49+$AU49)/2*IF($G$1="鸣金",$AK49,$AI49)+IF($G$1="鸣金",$AL49*1.5,0))*(1+$AV49)*(1+$AW49)+(($AX49+$AY49)/2*IF($G$1="裂石",$AK49,$AI49)+IF($G$1="裂石",$AL49*1.5,0))*(1+$AZ49)*(1+$BA49)+(($BB49+$BC49)/2*IF($G$1="牵丝",$AK49,$AI49)+IF($G$1="牵丝",$AL49*1.5,0))*(1+$BD49)*(1+$BE49)+(($BF49+$BG49)/2*IF($G$1="破竹",$AK49,$AI49)+IF($G$1="破竹",$AL49*1.5,0))*(1+$BH49)*(1+$BI49))*(1+$AM49)*$BL49*$Q49*(1+IF(VLOOKUP($R49,武学奇术!$A:$ZZ,30,FALSE)="回旋伞",$B$21,0))*(1+$BR49)</f>
        <v>72394.488284266</v>
      </c>
      <c r="N49" s="38">
        <f>(($AP49*$AI49+$AJ49)*(1+$AQ49)*(1+$AR49)+($AU49*IF($G$1="鸣金",$AK49,$AI49)+IF($G$1="鸣金",$AL49*1.5,0))*(1+$AV49)*(1+$AW49)+($AY49*IF($G$1="裂石",$AK49,$AI49)+IF($G$1="裂石",$AL49*1.5,0))*(1+$AZ49)*(1+$BA49)+($BC49*IF($G$1="牵丝",$AK49,$AI49)+IF($G$1="牵丝",$AL49*1.5,0))*(1+$BD49)*(1+$BE49)+($BG49*IF($G$1="破竹",$AK49,$AI49)+IF($G$1="破竹",$AL49*1.5,0))*(1+$BH49)*(1+$BI49))*(1+$AM49)*$BN49*$Q49*(1+IF(VLOOKUP($R49,武学奇术!$A:$ZZ,30,FALSE)="回旋伞",$B$21,0))*(1+$BR49)</f>
        <v>53109.7272796914</v>
      </c>
      <c r="O49" s="38">
        <f>((($AO49+$AP49)/2*$AI49+$AJ49)*(1+$AQ49)*(1+$AR49)+(($AT49+$AU49)/2*IF($G$1="鸣金",$AK49,$AI49)+IF($G$1="鸣金",$AL49*1.5,0))*(1+$AV49)*(1+$AW49)+(($AX49+$AY49)/2*IF($G$1="裂石",$AK49,$AI49)+IF($G$1="裂石",$AL49*1.5,0))*(1+$AZ49)*(1+$BA49)+(($BB49+$BC49)/2*IF($G$1="牵丝",$AK49,$AI49)+IF($G$1="牵丝",$AL49*1.5,0))*(1+$BD49)*(1+$BE49)+(($BF49+$BG49)/2*IF($G$1="破竹",$AK49,$AI49)+IF($G$1="破竹",$AL49*1.5,0))*(1+$BH49)*(1+$BI49))*(1+$AM49)*$Q49*(1+IF(VLOOKUP($R49,武学奇术!$A:$ZZ,30,FALSE)="回旋伞",$B$21,0))*(1+$BR49)</f>
        <v>35142.955477799</v>
      </c>
      <c r="P49" s="38">
        <f>((($AO49*$AI49+$AJ49)*(1+$AQ49)*(1+$AR49)+($AT49*IF($G$1="鸣金",$AK49,$AI49)+IF($G$1="鸣金",$AL49*1.5,0))*(1+$AV49)*(1+$AW49)+($AX49*IF($G$1="裂石",$AK49,$AI49)+IF($G$1="裂石",$AL49*1.5,0))*(1+$AZ49)*(1+$BA49)+($BB49*IF($G$1="牵丝",$AK49,$AI49)+IF($G$1="牵丝",$AL49*1.5,0))*(1+$BD49)*(1+$BE49)+($BF49*IF($G$1="破竹",$AK49,$AI49)+IF($G$1="破竹",$AL49*1.5,0))*(1+$BH49)*(1+$BI49))*(1+$AM49))*$Q49*(1+IF(VLOOKUP($R49,武学奇术!$A:$ZZ,30,FALSE)="回旋伞",$B$21,0))*(1+$BR49)</f>
        <v>30945.3722299007</v>
      </c>
      <c r="Q49" s="39">
        <v>1</v>
      </c>
      <c r="R49" s="40" t="s">
        <v>108</v>
      </c>
      <c r="S49" s="40" t="s">
        <v>109</v>
      </c>
      <c r="T49" s="40" t="s">
        <v>95</v>
      </c>
      <c r="U49" s="40" t="s">
        <v>73</v>
      </c>
      <c r="V49" s="40" t="s">
        <v>72</v>
      </c>
      <c r="W49" s="40" t="s">
        <v>172</v>
      </c>
      <c r="X49" s="40" t="s">
        <v>99</v>
      </c>
      <c r="Y49" s="40" t="s">
        <v>72</v>
      </c>
      <c r="Z49" s="40" t="s">
        <v>72</v>
      </c>
      <c r="AA49" s="40" t="s">
        <v>72</v>
      </c>
      <c r="AB49" s="40" t="s">
        <v>126</v>
      </c>
      <c r="AC49" s="40" t="s">
        <v>72</v>
      </c>
      <c r="AD49" s="40" t="s">
        <v>72</v>
      </c>
      <c r="AE49" s="40" t="s">
        <v>72</v>
      </c>
      <c r="AF49" s="40" t="s">
        <v>72</v>
      </c>
      <c r="AG49" s="40" t="s">
        <v>78</v>
      </c>
      <c r="AH49" t="str">
        <f>VLOOKUP($R49,武学奇术!$A:$ZZ,25,FALSE)</f>
        <v>伞</v>
      </c>
      <c r="AI49" s="26">
        <f>VLOOKUP($R49,武学奇术!$A:$ZZ,26,FALSE)</f>
        <v>1.8084</v>
      </c>
      <c r="AJ49" s="27">
        <f>VLOOKUP($R49,武学奇术!$A:$ZZ,27,FALSE)*(1+IF(OR($AH49=$F$4,$AH49=$F$5),$B$22,0))</f>
        <v>750</v>
      </c>
      <c r="AK49" s="26">
        <f>VLOOKUP($R49,武学奇术!$A:$ZZ,28,FALSE)</f>
        <v>2.7126</v>
      </c>
      <c r="AL49" s="27">
        <f>VLOOKUP($R49,武学奇术!$A:$ZZ,29,FALSE)*(1+IF(OR($AH49=$F$4,$AH49=$F$5),$B$22,0))</f>
        <v>408</v>
      </c>
      <c r="AM49" s="26" cm="1">
        <f t="array" ref="AM49">$G$3+IFERROR(VLOOKUP($AH49,$F$4:$G$7,2,FALSE),0)+VLOOKUP($R49,武学奇术!$A:$ZZ,2,FALSE)+SUM(_xlfn.XLOOKUP($S49:$AG49,增益!$A:$A,增益!$B:$B,0))</f>
        <v>0.5741</v>
      </c>
      <c r="AN49" s="26" cm="1">
        <f t="array" ref="AN49">VLOOKUP($R49,武学奇术!$A:$ZZ,5,FALSE)+SUM(_xlfn.XLOOKUP($S49:$AG49,增益!$A:$A,增益!$E:$E,0))</f>
        <v>0</v>
      </c>
      <c r="AO49" cm="1">
        <f t="array" ref="AO49">$D$10*(1+$AN49)+VLOOKUP($R49,武学奇术!$A:$ZZ,3,FALSE)+SUM(_xlfn.XLOOKUP($S49:$AG49,增益!$A:$A,增益!$C:$C,0))-$I$2</f>
        <v>3562.6</v>
      </c>
      <c r="AP49" cm="1">
        <f t="array" ref="AP49">$E$10*(1+$AN49)+VLOOKUP($R49,武学奇术!$A:$ZZ,4,FALSE)+SUM(_xlfn.XLOOKUP($S49:$AG49,增益!$A:$A,增益!$D:$D,0))-$I$2</f>
        <v>3562.6</v>
      </c>
      <c r="AQ49" s="32" cm="1">
        <f t="array" ref="AQ49">IF($F$10-$I$3+VLOOKUP($R49,武学奇术!$A:$ZZ,6,FALSE)+SUM(_xlfn.XLOOKUP(S49:AG49,增益!$A:$A,增益!$F:$F,0))&gt;0,($F$10-$I$3+VLOOKUP($R49,武学奇术!$A:$ZZ,6,FALSE)+SUM(_xlfn.XLOOKUP(S49:AG49,增益!$A:$A,增益!$F:$F,0)))/200,($F$10-$I$3+VLOOKUP($R49,武学奇术!$A:$ZZ,6,FALSE)+SUM(_xlfn.XLOOKUP(S49:AG49,增益!$A:$A,增益!$F:$F,0)))/100)</f>
        <v>0.2925</v>
      </c>
      <c r="AR49" s="32" cm="1">
        <f t="array" ref="AR49">$G$10+VLOOKUP($R49,武学奇术!$A:$ZZ,7,FALSE)+SUM(_xlfn.XLOOKUP(S49:AG49,增益!$A:$A,增益!$G:$G,0))</f>
        <v>0.148</v>
      </c>
      <c r="AS49" s="26" cm="1">
        <f t="array" ref="AS49">VLOOKUP($R49,武学奇术!$A:$ZZ,8,FALSE)+SUM(_xlfn.XLOOKUP(S49:AG49,增益!$A:$A,增益!$H:$H,0))</f>
        <v>0</v>
      </c>
      <c r="AT49">
        <f t="shared" si="1"/>
        <v>0</v>
      </c>
      <c r="AU49">
        <f t="shared" si="2"/>
        <v>0</v>
      </c>
      <c r="AV49" s="32" cm="1">
        <f t="array" ref="AV49">IF($F$11-$I$4+VLOOKUP($R49,武学奇术!$A:$ZZ,9,FALSE)+SUM(_xlfn.XLOOKUP(S49:AG49,增益!$A:$A,增益!$I:$I,0))&gt;0,($F$11-$I$4+VLOOKUP($R49,武学奇术!$A:$ZZ,9,FALSE)+SUM(_xlfn.XLOOKUP(S49:AG49,增益!$A:$A,增益!$I:$I,0)))/200,($F$11-$I$4+VLOOKUP($R49,武学奇术!$A:$ZZ,9,FALSE)+SUM(_xlfn.XLOOKUP(S49:AG49,增益!$A:$A,增益!$I:$I,0)))/100)</f>
        <v>-0.3</v>
      </c>
      <c r="AW49" s="32" cm="1">
        <f t="array" ref="AW49">$G$11+VLOOKUP($R49,武学奇术!$A:$ZZ,10,FALSE)+SUM(_xlfn.XLOOKUP(S49:AG49,增益!$A:$A,增益!$J:$J,0))</f>
        <v>0</v>
      </c>
      <c r="AX49">
        <f t="shared" si="3"/>
        <v>0</v>
      </c>
      <c r="AY49">
        <f t="shared" si="4"/>
        <v>0</v>
      </c>
      <c r="AZ49" s="32" cm="1">
        <f t="array" ref="AZ49">IF($F$12-$I$4+VLOOKUP($R49,武学奇术!$A:$ZZ,11,FALSE)+SUM(_xlfn.XLOOKUP(S49:AG49,增益!$A:$A,增益!$K:$K,0))&gt;0,($F$12-$I$4+VLOOKUP($R49,武学奇术!$A:$ZZ,11,FALSE)+SUM(_xlfn.XLOOKUP(S49:AG49,增益!$A:$A,增益!$K:$K,0)))/200,($F$12-$I$4+VLOOKUP($R49,武学奇术!$A:$ZZ,11,FALSE)+SUM(_xlfn.XLOOKUP(S49:AG49,增益!$A:$A,增益!$K:$K,0)))/100)</f>
        <v>-0.3</v>
      </c>
      <c r="BA49" s="32" cm="1">
        <f t="array" ref="BA49">$G$12+VLOOKUP($R49,武学奇术!$A:$ZZ,12,FALSE)+SUM(_xlfn.XLOOKUP(S49:AG49,增益!$A:$A,增益!$L:$L,0))</f>
        <v>0</v>
      </c>
      <c r="BB49">
        <f t="shared" si="5"/>
        <v>0</v>
      </c>
      <c r="BC49">
        <f t="shared" si="6"/>
        <v>0</v>
      </c>
      <c r="BD49" s="32" cm="1">
        <f t="array" ref="BD49">IF($F$13-$I$4+VLOOKUP($R49,武学奇术!$A:$ZZ,13,FALSE)+SUM(_xlfn.XLOOKUP(S49:AG49,增益!$A:$A,增益!$M:$M,0))&gt;0,($F$13-$I$4+VLOOKUP($R49,武学奇术!$A:$ZZ,13,FALSE)+SUM(_xlfn.XLOOKUP(S49:AG49,增益!$A:$A,增益!$K:$K,0)))/200,($F$13-$I$4+VLOOKUP($R49,武学奇术!$A:$ZZ,13,FALSE)+SUM(_xlfn.XLOOKUP(S49:AG49,增益!$A:$A,增益!$M:$M,0)))/100)</f>
        <v>-0.3</v>
      </c>
      <c r="BE49" s="32" cm="1">
        <f t="array" ref="BE49">$G$13+VLOOKUP($R49,武学奇术!$A:$ZZ,14,FALSE)+SUM(_xlfn.XLOOKUP(S49:AG49,增益!$A:$A,增益!$N:$N,0))</f>
        <v>0</v>
      </c>
      <c r="BF49">
        <f t="shared" si="7"/>
        <v>571.2</v>
      </c>
      <c r="BG49">
        <f t="shared" si="8"/>
        <v>1627.8</v>
      </c>
      <c r="BH49" s="32" cm="1">
        <f t="array" ref="BH49">IF($F$14-$I$4+VLOOKUP($R49,武学奇术!$A:$ZZ,15,FALSE)+SUM(_xlfn.XLOOKUP(S49:AG49,增益!$A:$A,增益!$O:$O,0))&gt;0,($F$14-$I$4+VLOOKUP($R49,武学奇术!$A:$ZZ,15,FALSE)+SUM(_xlfn.XLOOKUP(S49:AG49,增益!$A:$A,增益!$O:$O,0)))/200,($F$14-$I$4+VLOOKUP($R49,武学奇术!$A:$ZZ,15,FALSE)+SUM(_xlfn.XLOOKUP(S49:AG49,增益!$A:$A,增益!$O:$O,0)))/100)</f>
        <v>0</v>
      </c>
      <c r="BI49" s="32" cm="1">
        <f t="array" ref="BI49">$G$14+VLOOKUP($R49,武学奇术!$A:$ZZ,16,FALSE)+SUM(_xlfn.XLOOKUP(S49:AG49,增益!$A:$A,增益!$P:$P,0))</f>
        <v>0.27</v>
      </c>
      <c r="BJ49" s="26">
        <f>MIN(IF(VLOOKUP($R49,武学奇术!$A:$ZZ,23,FALSE)=1,100%,$B$8),100%)</f>
        <v>0.981</v>
      </c>
      <c r="BK49" s="26" cm="1">
        <f t="array" ref="BK49">IF(VLOOKUP($R49,武学奇术!$A:$ZZ,23,FALSE)=1,100%,MIN(80%,$B$9+VLOOKUP($R49,武学奇术!$A:$ZZ,17,FALSE)+SUM(_xlfn.XLOOKUP(S49:AG49,增益!$A:$A,增益!$Q:$Q,0)))+$B$11+SUM(_xlfn.XLOOKUP(S49:AG49,增益!$A:$A,增益!$U:$U,0)))*IF(VLOOKUP($R49,武学奇术!$A:$ZZ,24,FALSE)=1,0,1)</f>
        <v>0.846</v>
      </c>
      <c r="BL49" s="26" cm="1">
        <f t="array" ref="BL49">1+$B$13+VLOOKUP($R49,武学奇术!$A:$ZZ,18,FALSE)+SUM(_xlfn.XLOOKUP(S49:AG49,增益!$A:$A,增益!$R:$R,0))</f>
        <v>2.06</v>
      </c>
      <c r="BM49" s="26" cm="1">
        <f t="array" ref="BM49">IF(VLOOKUP($R49,武学奇术!$A:$ZZ,24,FALSE)=1,100%,MIN(40%,$B$10+VLOOKUP($R49,武学奇术!$A:$ZZ,19,FALSE)+SUM(_xlfn.XLOOKUP(S49:AG49,增益!$A:$A,增益!$S:$S,0)))+$B$12+SUM(_xlfn.XLOOKUP(S49:AG49,增益!$A:$A,增益!$V:$V,0)))*IF(VLOOKUP($R49,武学奇术!$A:$ZZ,23,FALSE)=1,0,1)</f>
        <v>0.0929</v>
      </c>
      <c r="BN49" s="26" cm="1">
        <f t="array" ref="BN49">1+$B$14+VLOOKUP($R49,武学奇术!$A:$ZZ,20,FALSE)+SUM(_xlfn.XLOOKUP(S49:AG49,增益!$A:$A,增益!$T:$T,0))</f>
        <v>1.35</v>
      </c>
      <c r="BO49" s="26">
        <f t="shared" si="9"/>
        <v>0.829926</v>
      </c>
      <c r="BP49" s="26">
        <f t="shared" si="10"/>
        <v>0.0599391</v>
      </c>
      <c r="BQ49" s="26">
        <f>IF(VLOOKUP($R49,武学奇术!$A:$ZZ,22,FALSE)=1,0,(1-$BJ49))*(1-$BM49)</f>
        <v>0.0172349</v>
      </c>
      <c r="BR49" s="26" cm="1">
        <f t="array" ref="BR49">SUM(_xlfn.XLOOKUP(S49:AG49,增益!$A:$A,增益!$W:$W,0))+$I$5</f>
        <v>0.11</v>
      </c>
    </row>
    <row r="50" spans="1:70">
      <c r="A50" s="4"/>
      <c r="B50" s="4"/>
      <c r="C50" s="4"/>
      <c r="K50">
        <f>$L50*VLOOKUP($R50,武学奇术!$A:$ZZ,31,FALSE)</f>
        <v>41924.1652039268</v>
      </c>
      <c r="L50" s="38">
        <f t="shared" si="11"/>
        <v>39927.7763846922</v>
      </c>
      <c r="M50" s="38">
        <f>((($AO50+$AP50)/2*$AI50+$AJ50)*(1+$AQ50)*(1+$AR50)+(($AT50+$AU50)/2*IF($G$1="鸣金",$AK50,$AI50)+IF($G$1="鸣金",$AL50*1.5,0))*(1+$AV50)*(1+$AW50)+(($AX50+$AY50)/2*IF($G$1="裂石",$AK50,$AI50)+IF($G$1="裂石",$AL50*1.5,0))*(1+$AZ50)*(1+$BA50)+(($BB50+$BC50)/2*IF($G$1="牵丝",$AK50,$AI50)+IF($G$1="牵丝",$AL50*1.5,0))*(1+$BD50)*(1+$BE50)+(($BF50+$BG50)/2*IF($G$1="破竹",$AK50,$AI50)+IF($G$1="破竹",$AL50*1.5,0))*(1+$BH50)*(1+$BI50))*(1+$AM50)*$BL50*$Q50*(1+IF(VLOOKUP($R50,武学奇术!$A:$ZZ,30,FALSE)="回旋伞",$B$21,0))*(1+$BR50)</f>
        <v>42683.8320791645</v>
      </c>
      <c r="N50" s="38">
        <f>(($AP50*$AI50+$AJ50)*(1+$AQ50)*(1+$AR50)+($AU50*IF($G$1="鸣金",$AK50,$AI50)+IF($G$1="鸣金",$AL50*1.5,0))*(1+$AV50)*(1+$AW50)+($AY50*IF($G$1="裂石",$AK50,$AI50)+IF($G$1="裂石",$AL50*1.5,0))*(1+$AZ50)*(1+$BA50)+($BC50*IF($G$1="牵丝",$AK50,$AI50)+IF($G$1="牵丝",$AL50*1.5,0))*(1+$BD50)*(1+$BE50)+($BG50*IF($G$1="破竹",$AK50,$AI50)+IF($G$1="破竹",$AL50*1.5,0))*(1+$BH50)*(1+$BI50))*(1+$AM50)*$BN50*$Q50*(1+IF(VLOOKUP($R50,武学奇术!$A:$ZZ,30,FALSE)="回旋伞",$B$21,0))*(1+$BR50)</f>
        <v>31786.6551424357</v>
      </c>
      <c r="O50" s="38">
        <f>((($AO50+$AP50)/2*$AI50+$AJ50)*(1+$AQ50)*(1+$AR50)+(($AT50+$AU50)/2*IF($G$1="鸣金",$AK50,$AI50)+IF($G$1="鸣金",$AL50*1.5,0))*(1+$AV50)*(1+$AW50)+(($AX50+$AY50)/2*IF($G$1="裂石",$AK50,$AI50)+IF($G$1="裂石",$AL50*1.5,0))*(1+$AZ50)*(1+$BA50)+(($BB50+$BC50)/2*IF($G$1="牵丝",$AK50,$AI50)+IF($G$1="牵丝",$AL50*1.5,0))*(1+$BD50)*(1+$BE50)+(($BF50+$BG50)/2*IF($G$1="破竹",$AK50,$AI50)+IF($G$1="破竹",$AL50*1.5,0))*(1+$BH50)*(1+$BI50))*(1+$AM50)*$Q50*(1+IF(VLOOKUP($R50,武学奇术!$A:$ZZ,30,FALSE)="回旋伞",$B$21,0))*(1+$BR50)</f>
        <v>20720.3068345459</v>
      </c>
      <c r="P50" s="38">
        <f>((($AO50*$AI50+$AJ50)*(1+$AQ50)*(1+$AR50)+($AT50*IF($G$1="鸣金",$AK50,$AI50)+IF($G$1="鸣金",$AL50*1.5,0))*(1+$AV50)*(1+$AW50)+($AX50*IF($G$1="裂石",$AK50,$AI50)+IF($G$1="裂石",$AL50*1.5,0))*(1+$AZ50)*(1+$BA50)+($BB50*IF($G$1="牵丝",$AK50,$AI50)+IF($G$1="牵丝",$AL50*1.5,0))*(1+$BD50)*(1+$BE50)+($BF50*IF($G$1="破竹",$AK50,$AI50)+IF($G$1="破竹",$AL50*1.5,0))*(1+$BH50)*(1+$BI50))*(1+$AM50))*$Q50*(1+IF(VLOOKUP($R50,武学奇术!$A:$ZZ,30,FALSE)="回旋伞",$B$21,0))*(1+$BR50)</f>
        <v>17894.9431932134</v>
      </c>
      <c r="Q50" s="39">
        <v>2</v>
      </c>
      <c r="R50" s="40" t="s">
        <v>112</v>
      </c>
      <c r="S50" s="40" t="s">
        <v>109</v>
      </c>
      <c r="T50" s="40" t="s">
        <v>95</v>
      </c>
      <c r="U50" s="40" t="s">
        <v>73</v>
      </c>
      <c r="V50" s="40" t="s">
        <v>72</v>
      </c>
      <c r="W50" s="40" t="s">
        <v>172</v>
      </c>
      <c r="X50" s="40" t="s">
        <v>99</v>
      </c>
      <c r="Y50" s="40" t="s">
        <v>72</v>
      </c>
      <c r="Z50" s="40" t="s">
        <v>72</v>
      </c>
      <c r="AA50" s="40" t="s">
        <v>72</v>
      </c>
      <c r="AB50" s="40" t="s">
        <v>126</v>
      </c>
      <c r="AC50" s="40" t="s">
        <v>72</v>
      </c>
      <c r="AD50" s="40" t="s">
        <v>72</v>
      </c>
      <c r="AE50" s="40" t="s">
        <v>72</v>
      </c>
      <c r="AF50" s="40" t="s">
        <v>72</v>
      </c>
      <c r="AG50" s="40" t="s">
        <v>78</v>
      </c>
      <c r="AH50" t="str">
        <f>VLOOKUP($R50,武学奇术!$A:$ZZ,25,FALSE)</f>
        <v>伞</v>
      </c>
      <c r="AI50" s="26">
        <f>VLOOKUP($R50,武学奇术!$A:$ZZ,26,FALSE)</f>
        <v>0.54</v>
      </c>
      <c r="AJ50" s="27">
        <f>VLOOKUP($R50,武学奇术!$A:$ZZ,27,FALSE)*(1+IF(OR($AH50=$F$4,$AH50=$F$5),$B$22,0))</f>
        <v>0</v>
      </c>
      <c r="AK50" s="26">
        <f>VLOOKUP($R50,武学奇术!$A:$ZZ,28,FALSE)</f>
        <v>0.81</v>
      </c>
      <c r="AL50" s="27">
        <f>VLOOKUP($R50,武学奇术!$A:$ZZ,29,FALSE)*(1+IF(OR($AH50=$F$4,$AH50=$F$5),$B$22,0))</f>
        <v>0</v>
      </c>
      <c r="AM50" s="26" cm="1">
        <f t="array" ref="AM50">$G$3+IFERROR(VLOOKUP($AH50,$F$4:$G$7,2,FALSE),0)+VLOOKUP($R50,武学奇术!$A:$ZZ,2,FALSE)+SUM(_xlfn.XLOOKUP($S50:$AG50,增益!$A:$A,增益!$B:$B,0))</f>
        <v>0.7741</v>
      </c>
      <c r="AN50" s="26" cm="1">
        <f t="array" ref="AN50">VLOOKUP($R50,武学奇术!$A:$ZZ,5,FALSE)+SUM(_xlfn.XLOOKUP($S50:$AG50,增益!$A:$A,增益!$E:$E,0))</f>
        <v>0</v>
      </c>
      <c r="AO50" cm="1">
        <f t="array" ref="AO50">$D$10*(1+$AN50)+VLOOKUP($R50,武学奇术!$A:$ZZ,3,FALSE)+SUM(_xlfn.XLOOKUP($S50:$AG50,增益!$A:$A,增益!$C:$C,0))-$I$2</f>
        <v>3562.6</v>
      </c>
      <c r="AP50" cm="1">
        <f t="array" ref="AP50">$E$10*(1+$AN50)+VLOOKUP($R50,武学奇术!$A:$ZZ,4,FALSE)+SUM(_xlfn.XLOOKUP($S50:$AG50,增益!$A:$A,增益!$D:$D,0))-$I$2</f>
        <v>3562.6</v>
      </c>
      <c r="AQ50" s="32" cm="1">
        <f t="array" ref="AQ50">IF($F$10-$I$3+VLOOKUP($R50,武学奇术!$A:$ZZ,6,FALSE)+SUM(_xlfn.XLOOKUP(S50:AG50,增益!$A:$A,增益!$F:$F,0))&gt;0,($F$10-$I$3+VLOOKUP($R50,武学奇术!$A:$ZZ,6,FALSE)+SUM(_xlfn.XLOOKUP(S50:AG50,增益!$A:$A,增益!$F:$F,0)))/200,($F$10-$I$3+VLOOKUP($R50,武学奇术!$A:$ZZ,6,FALSE)+SUM(_xlfn.XLOOKUP(S50:AG50,增益!$A:$A,增益!$F:$F,0)))/100)</f>
        <v>0.2925</v>
      </c>
      <c r="AR50" s="32" cm="1">
        <f t="array" ref="AR50">$G$10+VLOOKUP($R50,武学奇术!$A:$ZZ,7,FALSE)+SUM(_xlfn.XLOOKUP(S50:AG50,增益!$A:$A,增益!$G:$G,0))</f>
        <v>0.148</v>
      </c>
      <c r="AS50" s="26" cm="1">
        <f t="array" ref="AS50">VLOOKUP($R50,武学奇术!$A:$ZZ,8,FALSE)+SUM(_xlfn.XLOOKUP(S50:AG50,增益!$A:$A,增益!$H:$H,0))</f>
        <v>0</v>
      </c>
      <c r="AT50">
        <f t="shared" si="1"/>
        <v>0</v>
      </c>
      <c r="AU50">
        <f t="shared" si="2"/>
        <v>0</v>
      </c>
      <c r="AV50" s="32" cm="1">
        <f t="array" ref="AV50">IF($F$11-$I$4+VLOOKUP($R50,武学奇术!$A:$ZZ,9,FALSE)+SUM(_xlfn.XLOOKUP(S50:AG50,增益!$A:$A,增益!$I:$I,0))&gt;0,($F$11-$I$4+VLOOKUP($R50,武学奇术!$A:$ZZ,9,FALSE)+SUM(_xlfn.XLOOKUP(S50:AG50,增益!$A:$A,增益!$I:$I,0)))/200,($F$11-$I$4+VLOOKUP($R50,武学奇术!$A:$ZZ,9,FALSE)+SUM(_xlfn.XLOOKUP(S50:AG50,增益!$A:$A,增益!$I:$I,0)))/100)</f>
        <v>-0.3</v>
      </c>
      <c r="AW50" s="32" cm="1">
        <f t="array" ref="AW50">$G$11+VLOOKUP($R50,武学奇术!$A:$ZZ,10,FALSE)+SUM(_xlfn.XLOOKUP(S50:AG50,增益!$A:$A,增益!$J:$J,0))</f>
        <v>0</v>
      </c>
      <c r="AX50">
        <f t="shared" si="3"/>
        <v>0</v>
      </c>
      <c r="AY50">
        <f t="shared" si="4"/>
        <v>0</v>
      </c>
      <c r="AZ50" s="32" cm="1">
        <f t="array" ref="AZ50">IF($F$12-$I$4+VLOOKUP($R50,武学奇术!$A:$ZZ,11,FALSE)+SUM(_xlfn.XLOOKUP(S50:AG50,增益!$A:$A,增益!$K:$K,0))&gt;0,($F$12-$I$4+VLOOKUP($R50,武学奇术!$A:$ZZ,11,FALSE)+SUM(_xlfn.XLOOKUP(S50:AG50,增益!$A:$A,增益!$K:$K,0)))/200,($F$12-$I$4+VLOOKUP($R50,武学奇术!$A:$ZZ,11,FALSE)+SUM(_xlfn.XLOOKUP(S50:AG50,增益!$A:$A,增益!$K:$K,0)))/100)</f>
        <v>-0.3</v>
      </c>
      <c r="BA50" s="32" cm="1">
        <f t="array" ref="BA50">$G$12+VLOOKUP($R50,武学奇术!$A:$ZZ,12,FALSE)+SUM(_xlfn.XLOOKUP(S50:AG50,增益!$A:$A,增益!$L:$L,0))</f>
        <v>0</v>
      </c>
      <c r="BB50">
        <f t="shared" si="5"/>
        <v>0</v>
      </c>
      <c r="BC50">
        <f t="shared" si="6"/>
        <v>0</v>
      </c>
      <c r="BD50" s="32" cm="1">
        <f t="array" ref="BD50">IF($F$13-$I$4+VLOOKUP($R50,武学奇术!$A:$ZZ,13,FALSE)+SUM(_xlfn.XLOOKUP(S50:AG50,增益!$A:$A,增益!$M:$M,0))&gt;0,($F$13-$I$4+VLOOKUP($R50,武学奇术!$A:$ZZ,13,FALSE)+SUM(_xlfn.XLOOKUP(S50:AG50,增益!$A:$A,增益!$K:$K,0)))/200,($F$13-$I$4+VLOOKUP($R50,武学奇术!$A:$ZZ,13,FALSE)+SUM(_xlfn.XLOOKUP(S50:AG50,增益!$A:$A,增益!$M:$M,0)))/100)</f>
        <v>-0.3</v>
      </c>
      <c r="BE50" s="32" cm="1">
        <f t="array" ref="BE50">$G$13+VLOOKUP($R50,武学奇术!$A:$ZZ,14,FALSE)+SUM(_xlfn.XLOOKUP(S50:AG50,增益!$A:$A,增益!$N:$N,0))</f>
        <v>0</v>
      </c>
      <c r="BF50">
        <f t="shared" si="7"/>
        <v>571.2</v>
      </c>
      <c r="BG50">
        <f t="shared" si="8"/>
        <v>1627.8</v>
      </c>
      <c r="BH50" s="32" cm="1">
        <f t="array" ref="BH50">IF($F$14-$I$4+VLOOKUP($R50,武学奇术!$A:$ZZ,15,FALSE)+SUM(_xlfn.XLOOKUP(S50:AG50,增益!$A:$A,增益!$O:$O,0))&gt;0,($F$14-$I$4+VLOOKUP($R50,武学奇术!$A:$ZZ,15,FALSE)+SUM(_xlfn.XLOOKUP(S50:AG50,增益!$A:$A,增益!$O:$O,0)))/200,($F$14-$I$4+VLOOKUP($R50,武学奇术!$A:$ZZ,15,FALSE)+SUM(_xlfn.XLOOKUP(S50:AG50,增益!$A:$A,增益!$O:$O,0)))/100)</f>
        <v>0</v>
      </c>
      <c r="BI50" s="32" cm="1">
        <f t="array" ref="BI50">$G$14+VLOOKUP($R50,武学奇术!$A:$ZZ,16,FALSE)+SUM(_xlfn.XLOOKUP(S50:AG50,增益!$A:$A,增益!$P:$P,0))</f>
        <v>0.27</v>
      </c>
      <c r="BJ50" s="26">
        <f>MIN(IF(VLOOKUP($R50,武学奇术!$A:$ZZ,23,FALSE)=1,100%,$B$8),100%)</f>
        <v>0.981</v>
      </c>
      <c r="BK50" s="26" cm="1">
        <f t="array" ref="BK50">IF(VLOOKUP($R50,武学奇术!$A:$ZZ,23,FALSE)=1,100%,MIN(80%,$B$9+VLOOKUP($R50,武学奇术!$A:$ZZ,17,FALSE)+SUM(_xlfn.XLOOKUP(S50:AG50,增益!$A:$A,增益!$Q:$Q,0)))+$B$11+SUM(_xlfn.XLOOKUP(S50:AG50,增益!$A:$A,增益!$U:$U,0)))*IF(VLOOKUP($R50,武学奇术!$A:$ZZ,24,FALSE)=1,0,1)</f>
        <v>0.846</v>
      </c>
      <c r="BL50" s="26" cm="1">
        <f t="array" ref="BL50">1+$B$13+VLOOKUP($R50,武学奇术!$A:$ZZ,18,FALSE)+SUM(_xlfn.XLOOKUP(S50:AG50,增益!$A:$A,增益!$R:$R,0))</f>
        <v>2.06</v>
      </c>
      <c r="BM50" s="26" cm="1">
        <f t="array" ref="BM50">IF(VLOOKUP($R50,武学奇术!$A:$ZZ,24,FALSE)=1,100%,MIN(40%,$B$10+VLOOKUP($R50,武学奇术!$A:$ZZ,19,FALSE)+SUM(_xlfn.XLOOKUP(S50:AG50,增益!$A:$A,增益!$S:$S,0)))+$B$12+SUM(_xlfn.XLOOKUP(S50:AG50,增益!$A:$A,增益!$V:$V,0)))*IF(VLOOKUP($R50,武学奇术!$A:$ZZ,23,FALSE)=1,0,1)</f>
        <v>0.0929</v>
      </c>
      <c r="BN50" s="26" cm="1">
        <f t="array" ref="BN50">1+$B$14+VLOOKUP($R50,武学奇术!$A:$ZZ,20,FALSE)+SUM(_xlfn.XLOOKUP(S50:AG50,增益!$A:$A,增益!$T:$T,0))</f>
        <v>1.35</v>
      </c>
      <c r="BO50" s="26">
        <f t="shared" si="9"/>
        <v>0.829926</v>
      </c>
      <c r="BP50" s="26">
        <f t="shared" si="10"/>
        <v>0.0599391</v>
      </c>
      <c r="BQ50" s="26">
        <f>IF(VLOOKUP($R50,武学奇术!$A:$ZZ,22,FALSE)=1,0,(1-$BJ50))*(1-$BM50)</f>
        <v>0.0172349</v>
      </c>
      <c r="BR50" s="26" cm="1">
        <f t="array" ref="BR50">SUM(_xlfn.XLOOKUP(S50:AG50,增益!$A:$A,增益!$W:$W,0))+$I$5</f>
        <v>0.11</v>
      </c>
    </row>
    <row r="51" spans="1:70">
      <c r="A51" s="4"/>
      <c r="B51" s="4"/>
      <c r="C51" s="4"/>
      <c r="K51">
        <f>$L51*VLOOKUP($R51,武学奇术!$A:$ZZ,31,FALSE)</f>
        <v>85672.3300605883</v>
      </c>
      <c r="L51" s="38">
        <f t="shared" si="11"/>
        <v>81592.6952957984</v>
      </c>
      <c r="M51" s="38">
        <f>((($AO51+$AP51)/2*$AI51+$AJ51)*(1+$AQ51)*(1+$AR51)+(($AT51+$AU51)/2*IF($G$1="鸣金",$AK51,$AI51)+IF($G$1="鸣金",$AL51*1.5,0))*(1+$AV51)*(1+$AW51)+(($AX51+$AY51)/2*IF($G$1="裂石",$AK51,$AI51)+IF($G$1="裂石",$AL51*1.5,0))*(1+$AZ51)*(1+$BA51)+(($BB51+$BC51)/2*IF($G$1="牵丝",$AK51,$AI51)+IF($G$1="牵丝",$AL51*1.5,0))*(1+$BD51)*(1+$BE51)+(($BF51+$BG51)/2*IF($G$1="破竹",$AK51,$AI51)+IF($G$1="破竹",$AL51*1.5,0))*(1+$BH51)*(1+$BI51))*(1+$AM51)*$BL51*$Q51*(1+IF(VLOOKUP($R51,武学奇术!$A:$ZZ,30,FALSE)="回旋伞",$B$21,0))*(1+$BR51)</f>
        <v>81592.6952957984</v>
      </c>
      <c r="N51" s="38">
        <f>(($AP51*$AI51+$AJ51)*(1+$AQ51)*(1+$AR51)+($AU51*IF($G$1="鸣金",$AK51,$AI51)+IF($G$1="鸣金",$AL51*1.5,0))*(1+$AV51)*(1+$AW51)+($AY51*IF($G$1="裂石",$AK51,$AI51)+IF($G$1="裂石",$AL51*1.5,0))*(1+$AZ51)*(1+$BA51)+($BC51*IF($G$1="牵丝",$AK51,$AI51)+IF($G$1="牵丝",$AL51*1.5,0))*(1+$BD51)*(1+$BE51)+($BG51*IF($G$1="破竹",$AK51,$AI51)+IF($G$1="破竹",$AL51*1.5,0))*(1+$BH51)*(1+$BI51))*(1+$AM51)*$BN51*$Q51*(1+IF(VLOOKUP($R51,武学奇术!$A:$ZZ,30,FALSE)="回旋伞",$B$21,0))*(1+$BR51)</f>
        <v>59857.6756031387</v>
      </c>
      <c r="O51" s="38">
        <f>((($AO51+$AP51)/2*$AI51+$AJ51)*(1+$AQ51)*(1+$AR51)+(($AT51+$AU51)/2*IF($G$1="鸣金",$AK51,$AI51)+IF($G$1="鸣金",$AL51*1.5,0))*(1+$AV51)*(1+$AW51)+(($AX51+$AY51)/2*IF($G$1="裂石",$AK51,$AI51)+IF($G$1="裂石",$AL51*1.5,0))*(1+$AZ51)*(1+$BA51)+(($BB51+$BC51)/2*IF($G$1="牵丝",$AK51,$AI51)+IF($G$1="牵丝",$AL51*1.5,0))*(1+$BD51)*(1+$BE51)+(($BF51+$BG51)/2*IF($G$1="破竹",$AK51,$AI51)+IF($G$1="破竹",$AL51*1.5,0))*(1+$BH51)*(1+$BI51))*(1+$AM51)*$Q51*(1+IF(VLOOKUP($R51,武学奇术!$A:$ZZ,30,FALSE)="回旋伞",$B$21,0))*(1+$BR51)</f>
        <v>39608.1045125235</v>
      </c>
      <c r="P51" s="38">
        <f>((($AO51*$AI51+$AJ51)*(1+$AQ51)*(1+$AR51)+($AT51*IF($G$1="鸣金",$AK51,$AI51)+IF($G$1="鸣金",$AL51*1.5,0))*(1+$AV51)*(1+$AW51)+($AX51*IF($G$1="裂石",$AK51,$AI51)+IF($G$1="裂石",$AL51*1.5,0))*(1+$AZ51)*(1+$BA51)+($BB51*IF($G$1="牵丝",$AK51,$AI51)+IF($G$1="牵丝",$AL51*1.5,0))*(1+$BD51)*(1+$BE51)+($BF51*IF($G$1="破竹",$AK51,$AI51)+IF($G$1="破竹",$AL51*1.5,0))*(1+$BH51)*(1+$BI51))*(1+$AM51))*$Q51*(1+IF(VLOOKUP($R51,武学奇术!$A:$ZZ,30,FALSE)="回旋伞",$B$21,0))*(1+$BR51)</f>
        <v>34877.1900597591</v>
      </c>
      <c r="Q51" s="39">
        <v>1</v>
      </c>
      <c r="R51" s="40" t="s">
        <v>125</v>
      </c>
      <c r="S51" s="40" t="s">
        <v>109</v>
      </c>
      <c r="T51" s="40" t="s">
        <v>95</v>
      </c>
      <c r="U51" s="40" t="s">
        <v>73</v>
      </c>
      <c r="V51" s="40" t="s">
        <v>72</v>
      </c>
      <c r="W51" s="40" t="s">
        <v>172</v>
      </c>
      <c r="X51" s="40" t="s">
        <v>99</v>
      </c>
      <c r="Y51" s="40" t="s">
        <v>72</v>
      </c>
      <c r="Z51" s="40" t="s">
        <v>72</v>
      </c>
      <c r="AA51" s="40" t="s">
        <v>72</v>
      </c>
      <c r="AB51" s="40" t="s">
        <v>126</v>
      </c>
      <c r="AC51" s="40" t="s">
        <v>72</v>
      </c>
      <c r="AD51" s="40" t="s">
        <v>72</v>
      </c>
      <c r="AE51" s="40" t="s">
        <v>72</v>
      </c>
      <c r="AF51" s="40" t="s">
        <v>72</v>
      </c>
      <c r="AG51" s="40" t="s">
        <v>78</v>
      </c>
      <c r="AH51" t="str">
        <f>VLOOKUP($R51,武学奇术!$A:$ZZ,25,FALSE)</f>
        <v>伞</v>
      </c>
      <c r="AI51" s="26">
        <f>VLOOKUP($R51,武学奇术!$A:$ZZ,26,FALSE)</f>
        <v>1.8084</v>
      </c>
      <c r="AJ51" s="27">
        <f>VLOOKUP($R51,武学奇术!$A:$ZZ,27,FALSE)*(1+IF(OR($AH51=$F$4,$AH51=$F$5),$B$22,0))</f>
        <v>750</v>
      </c>
      <c r="AK51" s="26">
        <f>VLOOKUP($R51,武学奇术!$A:$ZZ,28,FALSE)</f>
        <v>2.7126</v>
      </c>
      <c r="AL51" s="27">
        <f>VLOOKUP($R51,武学奇术!$A:$ZZ,29,FALSE)*(1+IF(OR($AH51=$F$4,$AH51=$F$5),$B$22,0))</f>
        <v>408</v>
      </c>
      <c r="AM51" s="26" cm="1">
        <f t="array" ref="AM51">$G$3+IFERROR(VLOOKUP($AH51,$F$4:$G$7,2,FALSE),0)+VLOOKUP($R51,武学奇术!$A:$ZZ,2,FALSE)+SUM(_xlfn.XLOOKUP($S51:$AG51,增益!$A:$A,增益!$B:$B,0))</f>
        <v>0.7741</v>
      </c>
      <c r="AN51" s="26" cm="1">
        <f t="array" ref="AN51">VLOOKUP($R51,武学奇术!$A:$ZZ,5,FALSE)+SUM(_xlfn.XLOOKUP($S51:$AG51,增益!$A:$A,增益!$E:$E,0))</f>
        <v>0</v>
      </c>
      <c r="AO51" cm="1">
        <f t="array" ref="AO51">$D$10*(1+$AN51)+VLOOKUP($R51,武学奇术!$A:$ZZ,3,FALSE)+SUM(_xlfn.XLOOKUP($S51:$AG51,增益!$A:$A,增益!$C:$C,0))-$I$2</f>
        <v>3562.6</v>
      </c>
      <c r="AP51" cm="1">
        <f t="array" ref="AP51">$E$10*(1+$AN51)+VLOOKUP($R51,武学奇术!$A:$ZZ,4,FALSE)+SUM(_xlfn.XLOOKUP($S51:$AG51,增益!$A:$A,增益!$D:$D,0))-$I$2</f>
        <v>3562.6</v>
      </c>
      <c r="AQ51" s="32" cm="1">
        <f t="array" ref="AQ51">IF($F$10-$I$3+VLOOKUP($R51,武学奇术!$A:$ZZ,6,FALSE)+SUM(_xlfn.XLOOKUP(S51:AG51,增益!$A:$A,增益!$F:$F,0))&gt;0,($F$10-$I$3+VLOOKUP($R51,武学奇术!$A:$ZZ,6,FALSE)+SUM(_xlfn.XLOOKUP(S51:AG51,增益!$A:$A,增益!$F:$F,0)))/200,($F$10-$I$3+VLOOKUP($R51,武学奇术!$A:$ZZ,6,FALSE)+SUM(_xlfn.XLOOKUP(S51:AG51,增益!$A:$A,增益!$F:$F,0)))/100)</f>
        <v>0.2925</v>
      </c>
      <c r="AR51" s="32" cm="1">
        <f t="array" ref="AR51">$G$10+VLOOKUP($R51,武学奇术!$A:$ZZ,7,FALSE)+SUM(_xlfn.XLOOKUP(S51:AG51,增益!$A:$A,增益!$G:$G,0))</f>
        <v>0.148</v>
      </c>
      <c r="AS51" s="26" cm="1">
        <f t="array" ref="AS51">VLOOKUP($R51,武学奇术!$A:$ZZ,8,FALSE)+SUM(_xlfn.XLOOKUP(S51:AG51,增益!$A:$A,增益!$H:$H,0))</f>
        <v>0</v>
      </c>
      <c r="AT51">
        <f t="shared" si="1"/>
        <v>0</v>
      </c>
      <c r="AU51">
        <f t="shared" si="2"/>
        <v>0</v>
      </c>
      <c r="AV51" s="32" cm="1">
        <f t="array" ref="AV51">IF($F$11-$I$4+VLOOKUP($R51,武学奇术!$A:$ZZ,9,FALSE)+SUM(_xlfn.XLOOKUP(S51:AG51,增益!$A:$A,增益!$I:$I,0))&gt;0,($F$11-$I$4+VLOOKUP($R51,武学奇术!$A:$ZZ,9,FALSE)+SUM(_xlfn.XLOOKUP(S51:AG51,增益!$A:$A,增益!$I:$I,0)))/200,($F$11-$I$4+VLOOKUP($R51,武学奇术!$A:$ZZ,9,FALSE)+SUM(_xlfn.XLOOKUP(S51:AG51,增益!$A:$A,增益!$I:$I,0)))/100)</f>
        <v>-0.3</v>
      </c>
      <c r="AW51" s="32" cm="1">
        <f t="array" ref="AW51">$G$11+VLOOKUP($R51,武学奇术!$A:$ZZ,10,FALSE)+SUM(_xlfn.XLOOKUP(S51:AG51,增益!$A:$A,增益!$J:$J,0))</f>
        <v>0</v>
      </c>
      <c r="AX51">
        <f t="shared" si="3"/>
        <v>0</v>
      </c>
      <c r="AY51">
        <f t="shared" si="4"/>
        <v>0</v>
      </c>
      <c r="AZ51" s="32" cm="1">
        <f t="array" ref="AZ51">IF($F$12-$I$4+VLOOKUP($R51,武学奇术!$A:$ZZ,11,FALSE)+SUM(_xlfn.XLOOKUP(S51:AG51,增益!$A:$A,增益!$K:$K,0))&gt;0,($F$12-$I$4+VLOOKUP($R51,武学奇术!$A:$ZZ,11,FALSE)+SUM(_xlfn.XLOOKUP(S51:AG51,增益!$A:$A,增益!$K:$K,0)))/200,($F$12-$I$4+VLOOKUP($R51,武学奇术!$A:$ZZ,11,FALSE)+SUM(_xlfn.XLOOKUP(S51:AG51,增益!$A:$A,增益!$K:$K,0)))/100)</f>
        <v>-0.3</v>
      </c>
      <c r="BA51" s="32" cm="1">
        <f t="array" ref="BA51">$G$12+VLOOKUP($R51,武学奇术!$A:$ZZ,12,FALSE)+SUM(_xlfn.XLOOKUP(S51:AG51,增益!$A:$A,增益!$L:$L,0))</f>
        <v>0</v>
      </c>
      <c r="BB51">
        <f t="shared" si="5"/>
        <v>0</v>
      </c>
      <c r="BC51">
        <f t="shared" si="6"/>
        <v>0</v>
      </c>
      <c r="BD51" s="32" cm="1">
        <f t="array" ref="BD51">IF($F$13-$I$4+VLOOKUP($R51,武学奇术!$A:$ZZ,13,FALSE)+SUM(_xlfn.XLOOKUP(S51:AG51,增益!$A:$A,增益!$M:$M,0))&gt;0,($F$13-$I$4+VLOOKUP($R51,武学奇术!$A:$ZZ,13,FALSE)+SUM(_xlfn.XLOOKUP(S51:AG51,增益!$A:$A,增益!$K:$K,0)))/200,($F$13-$I$4+VLOOKUP($R51,武学奇术!$A:$ZZ,13,FALSE)+SUM(_xlfn.XLOOKUP(S51:AG51,增益!$A:$A,增益!$M:$M,0)))/100)</f>
        <v>-0.3</v>
      </c>
      <c r="BE51" s="32" cm="1">
        <f t="array" ref="BE51">$G$13+VLOOKUP($R51,武学奇术!$A:$ZZ,14,FALSE)+SUM(_xlfn.XLOOKUP(S51:AG51,增益!$A:$A,增益!$N:$N,0))</f>
        <v>0</v>
      </c>
      <c r="BF51">
        <f t="shared" si="7"/>
        <v>571.2</v>
      </c>
      <c r="BG51">
        <f t="shared" si="8"/>
        <v>1627.8</v>
      </c>
      <c r="BH51" s="32" cm="1">
        <f t="array" ref="BH51">IF($F$14-$I$4+VLOOKUP($R51,武学奇术!$A:$ZZ,15,FALSE)+SUM(_xlfn.XLOOKUP(S51:AG51,增益!$A:$A,增益!$O:$O,0))&gt;0,($F$14-$I$4+VLOOKUP($R51,武学奇术!$A:$ZZ,15,FALSE)+SUM(_xlfn.XLOOKUP(S51:AG51,增益!$A:$A,增益!$O:$O,0)))/200,($F$14-$I$4+VLOOKUP($R51,武学奇术!$A:$ZZ,15,FALSE)+SUM(_xlfn.XLOOKUP(S51:AG51,增益!$A:$A,增益!$O:$O,0)))/100)</f>
        <v>0</v>
      </c>
      <c r="BI51" s="32" cm="1">
        <f t="array" ref="BI51">$G$14+VLOOKUP($R51,武学奇术!$A:$ZZ,16,FALSE)+SUM(_xlfn.XLOOKUP(S51:AG51,增益!$A:$A,增益!$P:$P,0))</f>
        <v>0.27</v>
      </c>
      <c r="BJ51" s="26">
        <f>MIN(IF(VLOOKUP($R51,武学奇术!$A:$ZZ,23,FALSE)=1,100%,$B$8),100%)</f>
        <v>1</v>
      </c>
      <c r="BK51" s="26" cm="1">
        <f t="array" ref="BK51">IF(VLOOKUP($R51,武学奇术!$A:$ZZ,23,FALSE)=1,100%,MIN(80%,$B$9+VLOOKUP($R51,武学奇术!$A:$ZZ,17,FALSE)+SUM(_xlfn.XLOOKUP(S51:AG51,增益!$A:$A,增益!$Q:$Q,0)))+$B$11+SUM(_xlfn.XLOOKUP(S51:AG51,增益!$A:$A,增益!$U:$U,0)))*IF(VLOOKUP($R51,武学奇术!$A:$ZZ,24,FALSE)=1,0,1)</f>
        <v>1</v>
      </c>
      <c r="BL51" s="26" cm="1">
        <f t="array" ref="BL51">1+$B$13+VLOOKUP($R51,武学奇术!$A:$ZZ,18,FALSE)+SUM(_xlfn.XLOOKUP(S51:AG51,增益!$A:$A,增益!$R:$R,0))</f>
        <v>2.06</v>
      </c>
      <c r="BM51" s="26" cm="1">
        <f t="array" ref="BM51">IF(VLOOKUP($R51,武学奇术!$A:$ZZ,24,FALSE)=1,100%,MIN(40%,$B$10+VLOOKUP($R51,武学奇术!$A:$ZZ,19,FALSE)+SUM(_xlfn.XLOOKUP(S51:AG51,增益!$A:$A,增益!$S:$S,0)))+$B$12+SUM(_xlfn.XLOOKUP(S51:AG51,增益!$A:$A,增益!$V:$V,0)))*IF(VLOOKUP($R51,武学奇术!$A:$ZZ,23,FALSE)=1,0,1)</f>
        <v>0</v>
      </c>
      <c r="BN51" s="26" cm="1">
        <f t="array" ref="BN51">1+$B$14+VLOOKUP($R51,武学奇术!$A:$ZZ,20,FALSE)+SUM(_xlfn.XLOOKUP(S51:AG51,增益!$A:$A,增益!$T:$T,0))</f>
        <v>1.35</v>
      </c>
      <c r="BO51" s="26">
        <f t="shared" si="9"/>
        <v>1</v>
      </c>
      <c r="BP51" s="26">
        <f t="shared" si="10"/>
        <v>0</v>
      </c>
      <c r="BQ51" s="26">
        <f>IF(VLOOKUP($R51,武学奇术!$A:$ZZ,22,FALSE)=1,0,(1-$BJ51))*(1-$BM51)</f>
        <v>0</v>
      </c>
      <c r="BR51" s="26" cm="1">
        <f t="array" ref="BR51">SUM(_xlfn.XLOOKUP(S51:AG51,增益!$A:$A,增益!$W:$W,0))+$I$5</f>
        <v>0.11</v>
      </c>
    </row>
    <row r="52" spans="1:70">
      <c r="A52" s="4"/>
      <c r="B52" s="4"/>
      <c r="C52" s="4"/>
      <c r="K52">
        <f>$L52*VLOOKUP($R52,武学奇术!$A:$ZZ,31,FALSE)</f>
        <v>49870.5036654374</v>
      </c>
      <c r="L52" s="38">
        <f t="shared" si="11"/>
        <v>47495.7177766071</v>
      </c>
      <c r="M52" s="38">
        <f>((($AO52+$AP52)/2*$AI52+$AJ52)*(1+$AQ52)*(1+$AR52)+(($AT52+$AU52)/2*IF($G$1="鸣金",$AK52,$AI52)+IF($G$1="鸣金",$AL52*1.5,0))*(1+$AV52)*(1+$AW52)+(($AX52+$AY52)/2*IF($G$1="裂石",$AK52,$AI52)+IF($G$1="裂石",$AL52*1.5,0))*(1+$AZ52)*(1+$BA52)+(($BB52+$BC52)/2*IF($G$1="牵丝",$AK52,$AI52)+IF($G$1="牵丝",$AL52*1.5,0))*(1+$BD52)*(1+$BE52)+(($BF52+$BG52)/2*IF($G$1="破竹",$AK52,$AI52)+IF($G$1="破竹",$AL52*1.5,0))*(1+$BH52)*(1+$BI52))*(1+$AM52)*$BL52*$Q52*(1+IF(VLOOKUP($R52,武学奇术!$A:$ZZ,30,FALSE)="回旋伞",$B$21,0))*(1+$BR52)</f>
        <v>47495.7177766071</v>
      </c>
      <c r="N52" s="38">
        <f>(($AP52*$AI52+$AJ52)*(1+$AQ52)*(1+$AR52)+($AU52*IF($G$1="鸣金",$AK52,$AI52)+IF($G$1="鸣金",$AL52*1.5,0))*(1+$AV52)*(1+$AW52)+($AY52*IF($G$1="裂石",$AK52,$AI52)+IF($G$1="裂石",$AL52*1.5,0))*(1+$AZ52)*(1+$BA52)+($BC52*IF($G$1="牵丝",$AK52,$AI52)+IF($G$1="牵丝",$AL52*1.5,0))*(1+$BD52)*(1+$BE52)+($BG52*IF($G$1="破竹",$AK52,$AI52)+IF($G$1="破竹",$AL52*1.5,0))*(1+$BH52)*(1+$BI52))*(1+$AM52)*$BN52*$Q52*(1+IF(VLOOKUP($R52,武学奇术!$A:$ZZ,30,FALSE)="回旋伞",$B$21,0))*(1+$BR52)</f>
        <v>35370.0670293007</v>
      </c>
      <c r="O52" s="38">
        <f>((($AO52+$AP52)/2*$AI52+$AJ52)*(1+$AQ52)*(1+$AR52)+(($AT52+$AU52)/2*IF($G$1="鸣金",$AK52,$AI52)+IF($G$1="鸣金",$AL52*1.5,0))*(1+$AV52)*(1+$AW52)+(($AX52+$AY52)/2*IF($G$1="裂石",$AK52,$AI52)+IF($G$1="裂石",$AL52*1.5,0))*(1+$AZ52)*(1+$BA52)+(($BB52+$BC52)/2*IF($G$1="牵丝",$AK52,$AI52)+IF($G$1="牵丝",$AL52*1.5,0))*(1+$BD52)*(1+$BE52)+(($BF52+$BG52)/2*IF($G$1="破竹",$AK52,$AI52)+IF($G$1="破竹",$AL52*1.5,0))*(1+$BH52)*(1+$BI52))*(1+$AM52)*$Q52*(1+IF(VLOOKUP($R52,武学奇术!$A:$ZZ,30,FALSE)="回旋伞",$B$21,0))*(1+$BR52)</f>
        <v>23056.1736779646</v>
      </c>
      <c r="P52" s="38">
        <f>((($AO52*$AI52+$AJ52)*(1+$AQ52)*(1+$AR52)+($AT52*IF($G$1="鸣金",$AK52,$AI52)+IF($G$1="鸣金",$AL52*1.5,0))*(1+$AV52)*(1+$AW52)+($AX52*IF($G$1="裂石",$AK52,$AI52)+IF($G$1="裂石",$AL52*1.5,0))*(1+$AZ52)*(1+$BA52)+($BB52*IF($G$1="牵丝",$AK52,$AI52)+IF($G$1="牵丝",$AL52*1.5,0))*(1+$BD52)*(1+$BE52)+($BF52*IF($G$1="破竹",$AK52,$AI52)+IF($G$1="破竹",$AL52*1.5,0))*(1+$BH52)*(1+$BI52))*(1+$AM52))*$Q52*(1+IF(VLOOKUP($R52,武学奇术!$A:$ZZ,30,FALSE)="回旋伞",$B$21,0))*(1+$BR52)</f>
        <v>19912.2977045954</v>
      </c>
      <c r="Q52" s="39">
        <v>2</v>
      </c>
      <c r="R52" s="40" t="s">
        <v>132</v>
      </c>
      <c r="S52" s="40" t="s">
        <v>109</v>
      </c>
      <c r="T52" s="40" t="s">
        <v>95</v>
      </c>
      <c r="U52" s="40" t="s">
        <v>73</v>
      </c>
      <c r="V52" s="40" t="s">
        <v>72</v>
      </c>
      <c r="W52" s="40" t="s">
        <v>172</v>
      </c>
      <c r="X52" s="40" t="s">
        <v>99</v>
      </c>
      <c r="Y52" s="40" t="s">
        <v>72</v>
      </c>
      <c r="Z52" s="40" t="s">
        <v>72</v>
      </c>
      <c r="AA52" s="40" t="s">
        <v>72</v>
      </c>
      <c r="AB52" s="40" t="s">
        <v>126</v>
      </c>
      <c r="AC52" s="40" t="s">
        <v>72</v>
      </c>
      <c r="AD52" s="40" t="s">
        <v>72</v>
      </c>
      <c r="AE52" s="40" t="s">
        <v>72</v>
      </c>
      <c r="AF52" s="40" t="s">
        <v>72</v>
      </c>
      <c r="AG52" s="40" t="s">
        <v>78</v>
      </c>
      <c r="AH52" t="str">
        <f>VLOOKUP($R52,武学奇术!$A:$ZZ,25,FALSE)</f>
        <v>伞</v>
      </c>
      <c r="AI52" s="26">
        <f>VLOOKUP($R52,武学奇术!$A:$ZZ,26,FALSE)</f>
        <v>0.54</v>
      </c>
      <c r="AJ52" s="27">
        <f>VLOOKUP($R52,武学奇术!$A:$ZZ,27,FALSE)*(1+IF(OR($AH52=$F$4,$AH52=$F$5),$B$22,0))</f>
        <v>0</v>
      </c>
      <c r="AK52" s="26">
        <f>VLOOKUP($R52,武学奇术!$A:$ZZ,28,FALSE)</f>
        <v>0.81</v>
      </c>
      <c r="AL52" s="27">
        <f>VLOOKUP($R52,武学奇术!$A:$ZZ,29,FALSE)*(1+IF(OR($AH52=$F$4,$AH52=$F$5),$B$22,0))</f>
        <v>0</v>
      </c>
      <c r="AM52" s="26" cm="1">
        <f t="array" ref="AM52">$G$3+IFERROR(VLOOKUP($AH52,$F$4:$G$7,2,FALSE),0)+VLOOKUP($R52,武学奇术!$A:$ZZ,2,FALSE)+SUM(_xlfn.XLOOKUP($S52:$AG52,增益!$A:$A,增益!$B:$B,0))</f>
        <v>0.9741</v>
      </c>
      <c r="AN52" s="26" cm="1">
        <f t="array" ref="AN52">VLOOKUP($R52,武学奇术!$A:$ZZ,5,FALSE)+SUM(_xlfn.XLOOKUP($S52:$AG52,增益!$A:$A,增益!$E:$E,0))</f>
        <v>0</v>
      </c>
      <c r="AO52" cm="1">
        <f t="array" ref="AO52">$D$10*(1+$AN52)+VLOOKUP($R52,武学奇术!$A:$ZZ,3,FALSE)+SUM(_xlfn.XLOOKUP($S52:$AG52,增益!$A:$A,增益!$C:$C,0))-$I$2</f>
        <v>3562.6</v>
      </c>
      <c r="AP52" cm="1">
        <f t="array" ref="AP52">$E$10*(1+$AN52)+VLOOKUP($R52,武学奇术!$A:$ZZ,4,FALSE)+SUM(_xlfn.XLOOKUP($S52:$AG52,增益!$A:$A,增益!$D:$D,0))-$I$2</f>
        <v>3562.6</v>
      </c>
      <c r="AQ52" s="32" cm="1">
        <f t="array" ref="AQ52">IF($F$10-$I$3+VLOOKUP($R52,武学奇术!$A:$ZZ,6,FALSE)+SUM(_xlfn.XLOOKUP(S52:AG52,增益!$A:$A,增益!$F:$F,0))&gt;0,($F$10-$I$3+VLOOKUP($R52,武学奇术!$A:$ZZ,6,FALSE)+SUM(_xlfn.XLOOKUP(S52:AG52,增益!$A:$A,增益!$F:$F,0)))/200,($F$10-$I$3+VLOOKUP($R52,武学奇术!$A:$ZZ,6,FALSE)+SUM(_xlfn.XLOOKUP(S52:AG52,增益!$A:$A,增益!$F:$F,0)))/100)</f>
        <v>0.2925</v>
      </c>
      <c r="AR52" s="32" cm="1">
        <f t="array" ref="AR52">$G$10+VLOOKUP($R52,武学奇术!$A:$ZZ,7,FALSE)+SUM(_xlfn.XLOOKUP(S52:AG52,增益!$A:$A,增益!$G:$G,0))</f>
        <v>0.148</v>
      </c>
      <c r="AS52" s="26" cm="1">
        <f t="array" ref="AS52">VLOOKUP($R52,武学奇术!$A:$ZZ,8,FALSE)+SUM(_xlfn.XLOOKUP(S52:AG52,增益!$A:$A,增益!$H:$H,0))</f>
        <v>0</v>
      </c>
      <c r="AT52">
        <f t="shared" si="1"/>
        <v>0</v>
      </c>
      <c r="AU52">
        <f t="shared" si="2"/>
        <v>0</v>
      </c>
      <c r="AV52" s="32" cm="1">
        <f t="array" ref="AV52">IF($F$11-$I$4+VLOOKUP($R52,武学奇术!$A:$ZZ,9,FALSE)+SUM(_xlfn.XLOOKUP(S52:AG52,增益!$A:$A,增益!$I:$I,0))&gt;0,($F$11-$I$4+VLOOKUP($R52,武学奇术!$A:$ZZ,9,FALSE)+SUM(_xlfn.XLOOKUP(S52:AG52,增益!$A:$A,增益!$I:$I,0)))/200,($F$11-$I$4+VLOOKUP($R52,武学奇术!$A:$ZZ,9,FALSE)+SUM(_xlfn.XLOOKUP(S52:AG52,增益!$A:$A,增益!$I:$I,0)))/100)</f>
        <v>-0.3</v>
      </c>
      <c r="AW52" s="32" cm="1">
        <f t="array" ref="AW52">$G$11+VLOOKUP($R52,武学奇术!$A:$ZZ,10,FALSE)+SUM(_xlfn.XLOOKUP(S52:AG52,增益!$A:$A,增益!$J:$J,0))</f>
        <v>0</v>
      </c>
      <c r="AX52">
        <f t="shared" si="3"/>
        <v>0</v>
      </c>
      <c r="AY52">
        <f t="shared" si="4"/>
        <v>0</v>
      </c>
      <c r="AZ52" s="32" cm="1">
        <f t="array" ref="AZ52">IF($F$12-$I$4+VLOOKUP($R52,武学奇术!$A:$ZZ,11,FALSE)+SUM(_xlfn.XLOOKUP(S52:AG52,增益!$A:$A,增益!$K:$K,0))&gt;0,($F$12-$I$4+VLOOKUP($R52,武学奇术!$A:$ZZ,11,FALSE)+SUM(_xlfn.XLOOKUP(S52:AG52,增益!$A:$A,增益!$K:$K,0)))/200,($F$12-$I$4+VLOOKUP($R52,武学奇术!$A:$ZZ,11,FALSE)+SUM(_xlfn.XLOOKUP(S52:AG52,增益!$A:$A,增益!$K:$K,0)))/100)</f>
        <v>-0.3</v>
      </c>
      <c r="BA52" s="32" cm="1">
        <f t="array" ref="BA52">$G$12+VLOOKUP($R52,武学奇术!$A:$ZZ,12,FALSE)+SUM(_xlfn.XLOOKUP(S52:AG52,增益!$A:$A,增益!$L:$L,0))</f>
        <v>0</v>
      </c>
      <c r="BB52">
        <f t="shared" si="5"/>
        <v>0</v>
      </c>
      <c r="BC52">
        <f t="shared" si="6"/>
        <v>0</v>
      </c>
      <c r="BD52" s="32" cm="1">
        <f t="array" ref="BD52">IF($F$13-$I$4+VLOOKUP($R52,武学奇术!$A:$ZZ,13,FALSE)+SUM(_xlfn.XLOOKUP(S52:AG52,增益!$A:$A,增益!$M:$M,0))&gt;0,($F$13-$I$4+VLOOKUP($R52,武学奇术!$A:$ZZ,13,FALSE)+SUM(_xlfn.XLOOKUP(S52:AG52,增益!$A:$A,增益!$K:$K,0)))/200,($F$13-$I$4+VLOOKUP($R52,武学奇术!$A:$ZZ,13,FALSE)+SUM(_xlfn.XLOOKUP(S52:AG52,增益!$A:$A,增益!$M:$M,0)))/100)</f>
        <v>-0.3</v>
      </c>
      <c r="BE52" s="32" cm="1">
        <f t="array" ref="BE52">$G$13+VLOOKUP($R52,武学奇术!$A:$ZZ,14,FALSE)+SUM(_xlfn.XLOOKUP(S52:AG52,增益!$A:$A,增益!$N:$N,0))</f>
        <v>0</v>
      </c>
      <c r="BF52">
        <f t="shared" si="7"/>
        <v>571.2</v>
      </c>
      <c r="BG52">
        <f t="shared" si="8"/>
        <v>1627.8</v>
      </c>
      <c r="BH52" s="32" cm="1">
        <f t="array" ref="BH52">IF($F$14-$I$4+VLOOKUP($R52,武学奇术!$A:$ZZ,15,FALSE)+SUM(_xlfn.XLOOKUP(S52:AG52,增益!$A:$A,增益!$O:$O,0))&gt;0,($F$14-$I$4+VLOOKUP($R52,武学奇术!$A:$ZZ,15,FALSE)+SUM(_xlfn.XLOOKUP(S52:AG52,增益!$A:$A,增益!$O:$O,0)))/200,($F$14-$I$4+VLOOKUP($R52,武学奇术!$A:$ZZ,15,FALSE)+SUM(_xlfn.XLOOKUP(S52:AG52,增益!$A:$A,增益!$O:$O,0)))/100)</f>
        <v>0</v>
      </c>
      <c r="BI52" s="32" cm="1">
        <f t="array" ref="BI52">$G$14+VLOOKUP($R52,武学奇术!$A:$ZZ,16,FALSE)+SUM(_xlfn.XLOOKUP(S52:AG52,增益!$A:$A,增益!$P:$P,0))</f>
        <v>0.27</v>
      </c>
      <c r="BJ52" s="26">
        <f>MIN(IF(VLOOKUP($R52,武学奇术!$A:$ZZ,23,FALSE)=1,100%,$B$8),100%)</f>
        <v>1</v>
      </c>
      <c r="BK52" s="26" cm="1">
        <f t="array" ref="BK52">IF(VLOOKUP($R52,武学奇术!$A:$ZZ,23,FALSE)=1,100%,MIN(80%,$B$9+VLOOKUP($R52,武学奇术!$A:$ZZ,17,FALSE)+SUM(_xlfn.XLOOKUP(S52:AG52,增益!$A:$A,增益!$Q:$Q,0)))+$B$11+SUM(_xlfn.XLOOKUP(S52:AG52,增益!$A:$A,增益!$U:$U,0)))*IF(VLOOKUP($R52,武学奇术!$A:$ZZ,24,FALSE)=1,0,1)</f>
        <v>1</v>
      </c>
      <c r="BL52" s="26" cm="1">
        <f t="array" ref="BL52">1+$B$13+VLOOKUP($R52,武学奇术!$A:$ZZ,18,FALSE)+SUM(_xlfn.XLOOKUP(S52:AG52,增益!$A:$A,增益!$R:$R,0))</f>
        <v>2.06</v>
      </c>
      <c r="BM52" s="26" cm="1">
        <f t="array" ref="BM52">IF(VLOOKUP($R52,武学奇术!$A:$ZZ,24,FALSE)=1,100%,MIN(40%,$B$10+VLOOKUP($R52,武学奇术!$A:$ZZ,19,FALSE)+SUM(_xlfn.XLOOKUP(S52:AG52,增益!$A:$A,增益!$S:$S,0)))+$B$12+SUM(_xlfn.XLOOKUP(S52:AG52,增益!$A:$A,增益!$V:$V,0)))*IF(VLOOKUP($R52,武学奇术!$A:$ZZ,23,FALSE)=1,0,1)</f>
        <v>0</v>
      </c>
      <c r="BN52" s="26" cm="1">
        <f t="array" ref="BN52">1+$B$14+VLOOKUP($R52,武学奇术!$A:$ZZ,20,FALSE)+SUM(_xlfn.XLOOKUP(S52:AG52,增益!$A:$A,增益!$T:$T,0))</f>
        <v>1.35</v>
      </c>
      <c r="BO52" s="26">
        <f t="shared" si="9"/>
        <v>1</v>
      </c>
      <c r="BP52" s="26">
        <f t="shared" si="10"/>
        <v>0</v>
      </c>
      <c r="BQ52" s="26">
        <f>IF(VLOOKUP($R52,武学奇术!$A:$ZZ,22,FALSE)=1,0,(1-$BJ52))*(1-$BM52)</f>
        <v>0</v>
      </c>
      <c r="BR52" s="26" cm="1">
        <f t="array" ref="BR52">SUM(_xlfn.XLOOKUP(S52:AG52,增益!$A:$A,增益!$W:$W,0))+$I$5</f>
        <v>0.11</v>
      </c>
    </row>
    <row r="53" spans="1:70">
      <c r="A53" s="4"/>
      <c r="B53" s="87"/>
      <c r="C53" s="4"/>
      <c r="K53">
        <f>$L53*VLOOKUP($R53,武学奇术!$A:$ZZ,31,FALSE)</f>
        <v>71038.5262299463</v>
      </c>
      <c r="L53" s="38">
        <f t="shared" si="11"/>
        <v>67655.7392666155</v>
      </c>
      <c r="M53" s="38">
        <f>((($AO53+$AP53)/2*$AI53+$AJ53)*(1+$AQ53)*(1+$AR53)+(($AT53+$AU53)/2*IF($G$1="鸣金",$AK53,$AI53)+IF($G$1="鸣金",$AL53*1.5,0))*(1+$AV53)*(1+$AW53)+(($AX53+$AY53)/2*IF($G$1="裂石",$AK53,$AI53)+IF($G$1="裂石",$AL53*1.5,0))*(1+$AZ53)*(1+$BA53)+(($BB53+$BC53)/2*IF($G$1="牵丝",$AK53,$AI53)+IF($G$1="牵丝",$AL53*1.5,0))*(1+$BD53)*(1+$BE53)+(($BF53+$BG53)/2*IF($G$1="破竹",$AK53,$AI53)+IF($G$1="破竹",$AL53*1.5,0))*(1+$BH53)*(1+$BI53))*(1+$AM53)*$BL53*$Q53*(1+IF(VLOOKUP($R53,武学奇术!$A:$ZZ,30,FALSE)="回旋伞",$B$21,0))*(1+$BR53)</f>
        <v>72394.488284266</v>
      </c>
      <c r="N53" s="38">
        <f>(($AP53*$AI53+$AJ53)*(1+$AQ53)*(1+$AR53)+($AU53*IF($G$1="鸣金",$AK53,$AI53)+IF($G$1="鸣金",$AL53*1.5,0))*(1+$AV53)*(1+$AW53)+($AY53*IF($G$1="裂石",$AK53,$AI53)+IF($G$1="裂石",$AL53*1.5,0))*(1+$AZ53)*(1+$BA53)+($BC53*IF($G$1="牵丝",$AK53,$AI53)+IF($G$1="牵丝",$AL53*1.5,0))*(1+$BD53)*(1+$BE53)+($BG53*IF($G$1="破竹",$AK53,$AI53)+IF($G$1="破竹",$AL53*1.5,0))*(1+$BH53)*(1+$BI53))*(1+$AM53)*$BN53*$Q53*(1+IF(VLOOKUP($R53,武学奇术!$A:$ZZ,30,FALSE)="回旋伞",$B$21,0))*(1+$BR53)</f>
        <v>53109.7272796914</v>
      </c>
      <c r="O53" s="38">
        <f>((($AO53+$AP53)/2*$AI53+$AJ53)*(1+$AQ53)*(1+$AR53)+(($AT53+$AU53)/2*IF($G$1="鸣金",$AK53,$AI53)+IF($G$1="鸣金",$AL53*1.5,0))*(1+$AV53)*(1+$AW53)+(($AX53+$AY53)/2*IF($G$1="裂石",$AK53,$AI53)+IF($G$1="裂石",$AL53*1.5,0))*(1+$AZ53)*(1+$BA53)+(($BB53+$BC53)/2*IF($G$1="牵丝",$AK53,$AI53)+IF($G$1="牵丝",$AL53*1.5,0))*(1+$BD53)*(1+$BE53)+(($BF53+$BG53)/2*IF($G$1="破竹",$AK53,$AI53)+IF($G$1="破竹",$AL53*1.5,0))*(1+$BH53)*(1+$BI53))*(1+$AM53)*$Q53*(1+IF(VLOOKUP($R53,武学奇术!$A:$ZZ,30,FALSE)="回旋伞",$B$21,0))*(1+$BR53)</f>
        <v>35142.955477799</v>
      </c>
      <c r="P53" s="38">
        <f>((($AO53*$AI53+$AJ53)*(1+$AQ53)*(1+$AR53)+($AT53*IF($G$1="鸣金",$AK53,$AI53)+IF($G$1="鸣金",$AL53*1.5,0))*(1+$AV53)*(1+$AW53)+($AX53*IF($G$1="裂石",$AK53,$AI53)+IF($G$1="裂石",$AL53*1.5,0))*(1+$AZ53)*(1+$BA53)+($BB53*IF($G$1="牵丝",$AK53,$AI53)+IF($G$1="牵丝",$AL53*1.5,0))*(1+$BD53)*(1+$BE53)+($BF53*IF($G$1="破竹",$AK53,$AI53)+IF($G$1="破竹",$AL53*1.5,0))*(1+$BH53)*(1+$BI53))*(1+$AM53))*$Q53*(1+IF(VLOOKUP($R53,武学奇术!$A:$ZZ,30,FALSE)="回旋伞",$B$21,0))*(1+$BR53)</f>
        <v>30945.3722299007</v>
      </c>
      <c r="Q53" s="39">
        <v>1</v>
      </c>
      <c r="R53" s="40" t="s">
        <v>108</v>
      </c>
      <c r="S53" s="40" t="s">
        <v>109</v>
      </c>
      <c r="T53" s="40" t="s">
        <v>95</v>
      </c>
      <c r="U53" s="40" t="s">
        <v>73</v>
      </c>
      <c r="V53" s="40" t="s">
        <v>72</v>
      </c>
      <c r="W53" s="40" t="s">
        <v>172</v>
      </c>
      <c r="X53" s="40" t="s">
        <v>99</v>
      </c>
      <c r="Y53" s="40" t="s">
        <v>72</v>
      </c>
      <c r="Z53" s="40" t="s">
        <v>72</v>
      </c>
      <c r="AA53" s="40" t="s">
        <v>72</v>
      </c>
      <c r="AB53" s="40" t="s">
        <v>126</v>
      </c>
      <c r="AC53" s="40" t="s">
        <v>72</v>
      </c>
      <c r="AD53" s="40" t="s">
        <v>72</v>
      </c>
      <c r="AE53" s="40" t="s">
        <v>72</v>
      </c>
      <c r="AF53" s="40" t="s">
        <v>72</v>
      </c>
      <c r="AG53" s="40" t="s">
        <v>78</v>
      </c>
      <c r="AH53" t="str">
        <f>VLOOKUP($R53,武学奇术!$A:$ZZ,25,FALSE)</f>
        <v>伞</v>
      </c>
      <c r="AI53" s="26">
        <f>VLOOKUP($R53,武学奇术!$A:$ZZ,26,FALSE)</f>
        <v>1.8084</v>
      </c>
      <c r="AJ53" s="27">
        <f>VLOOKUP($R53,武学奇术!$A:$ZZ,27,FALSE)*(1+IF(OR($AH53=$F$4,$AH53=$F$5),$B$22,0))</f>
        <v>750</v>
      </c>
      <c r="AK53" s="26">
        <f>VLOOKUP($R53,武学奇术!$A:$ZZ,28,FALSE)</f>
        <v>2.7126</v>
      </c>
      <c r="AL53" s="27">
        <f>VLOOKUP($R53,武学奇术!$A:$ZZ,29,FALSE)*(1+IF(OR($AH53=$F$4,$AH53=$F$5),$B$22,0))</f>
        <v>408</v>
      </c>
      <c r="AM53" s="26" cm="1">
        <f t="array" ref="AM53">$G$3+IFERROR(VLOOKUP($AH53,$F$4:$G$7,2,FALSE),0)+VLOOKUP($R53,武学奇术!$A:$ZZ,2,FALSE)+SUM(_xlfn.XLOOKUP($S53:$AG53,增益!$A:$A,增益!$B:$B,0))</f>
        <v>0.5741</v>
      </c>
      <c r="AN53" s="26" cm="1">
        <f t="array" ref="AN53">VLOOKUP($R53,武学奇术!$A:$ZZ,5,FALSE)+SUM(_xlfn.XLOOKUP($S53:$AG53,增益!$A:$A,增益!$E:$E,0))</f>
        <v>0</v>
      </c>
      <c r="AO53" cm="1">
        <f t="array" ref="AO53">$D$10*(1+$AN53)+VLOOKUP($R53,武学奇术!$A:$ZZ,3,FALSE)+SUM(_xlfn.XLOOKUP($S53:$AG53,增益!$A:$A,增益!$C:$C,0))-$I$2</f>
        <v>3562.6</v>
      </c>
      <c r="AP53" cm="1">
        <f t="array" ref="AP53">$E$10*(1+$AN53)+VLOOKUP($R53,武学奇术!$A:$ZZ,4,FALSE)+SUM(_xlfn.XLOOKUP($S53:$AG53,增益!$A:$A,增益!$D:$D,0))-$I$2</f>
        <v>3562.6</v>
      </c>
      <c r="AQ53" s="32" cm="1">
        <f t="array" ref="AQ53">IF($F$10-$I$3+VLOOKUP($R53,武学奇术!$A:$ZZ,6,FALSE)+SUM(_xlfn.XLOOKUP(S53:AG53,增益!$A:$A,增益!$F:$F,0))&gt;0,($F$10-$I$3+VLOOKUP($R53,武学奇术!$A:$ZZ,6,FALSE)+SUM(_xlfn.XLOOKUP(S53:AG53,增益!$A:$A,增益!$F:$F,0)))/200,($F$10-$I$3+VLOOKUP($R53,武学奇术!$A:$ZZ,6,FALSE)+SUM(_xlfn.XLOOKUP(S53:AG53,增益!$A:$A,增益!$F:$F,0)))/100)</f>
        <v>0.2925</v>
      </c>
      <c r="AR53" s="32" cm="1">
        <f t="array" ref="AR53">$G$10+VLOOKUP($R53,武学奇术!$A:$ZZ,7,FALSE)+SUM(_xlfn.XLOOKUP(S53:AG53,增益!$A:$A,增益!$G:$G,0))</f>
        <v>0.148</v>
      </c>
      <c r="AS53" s="26" cm="1">
        <f t="array" ref="AS53">VLOOKUP($R53,武学奇术!$A:$ZZ,8,FALSE)+SUM(_xlfn.XLOOKUP(S53:AG53,增益!$A:$A,增益!$H:$H,0))</f>
        <v>0</v>
      </c>
      <c r="AT53">
        <f t="shared" si="1"/>
        <v>0</v>
      </c>
      <c r="AU53">
        <f t="shared" si="2"/>
        <v>0</v>
      </c>
      <c r="AV53" s="32" cm="1">
        <f t="array" ref="AV53">IF($F$11-$I$4+VLOOKUP($R53,武学奇术!$A:$ZZ,9,FALSE)+SUM(_xlfn.XLOOKUP(S53:AG53,增益!$A:$A,增益!$I:$I,0))&gt;0,($F$11-$I$4+VLOOKUP($R53,武学奇术!$A:$ZZ,9,FALSE)+SUM(_xlfn.XLOOKUP(S53:AG53,增益!$A:$A,增益!$I:$I,0)))/200,($F$11-$I$4+VLOOKUP($R53,武学奇术!$A:$ZZ,9,FALSE)+SUM(_xlfn.XLOOKUP(S53:AG53,增益!$A:$A,增益!$I:$I,0)))/100)</f>
        <v>-0.3</v>
      </c>
      <c r="AW53" s="32" cm="1">
        <f t="array" ref="AW53">$G$11+VLOOKUP($R53,武学奇术!$A:$ZZ,10,FALSE)+SUM(_xlfn.XLOOKUP(S53:AG53,增益!$A:$A,增益!$J:$J,0))</f>
        <v>0</v>
      </c>
      <c r="AX53">
        <f t="shared" si="3"/>
        <v>0</v>
      </c>
      <c r="AY53">
        <f t="shared" si="4"/>
        <v>0</v>
      </c>
      <c r="AZ53" s="32" cm="1">
        <f t="array" ref="AZ53">IF($F$12-$I$4+VLOOKUP($R53,武学奇术!$A:$ZZ,11,FALSE)+SUM(_xlfn.XLOOKUP(S53:AG53,增益!$A:$A,增益!$K:$K,0))&gt;0,($F$12-$I$4+VLOOKUP($R53,武学奇术!$A:$ZZ,11,FALSE)+SUM(_xlfn.XLOOKUP(S53:AG53,增益!$A:$A,增益!$K:$K,0)))/200,($F$12-$I$4+VLOOKUP($R53,武学奇术!$A:$ZZ,11,FALSE)+SUM(_xlfn.XLOOKUP(S53:AG53,增益!$A:$A,增益!$K:$K,0)))/100)</f>
        <v>-0.3</v>
      </c>
      <c r="BA53" s="32" cm="1">
        <f t="array" ref="BA53">$G$12+VLOOKUP($R53,武学奇术!$A:$ZZ,12,FALSE)+SUM(_xlfn.XLOOKUP(S53:AG53,增益!$A:$A,增益!$L:$L,0))</f>
        <v>0</v>
      </c>
      <c r="BB53">
        <f t="shared" si="5"/>
        <v>0</v>
      </c>
      <c r="BC53">
        <f t="shared" si="6"/>
        <v>0</v>
      </c>
      <c r="BD53" s="32" cm="1">
        <f t="array" ref="BD53">IF($F$13-$I$4+VLOOKUP($R53,武学奇术!$A:$ZZ,13,FALSE)+SUM(_xlfn.XLOOKUP(S53:AG53,增益!$A:$A,增益!$M:$M,0))&gt;0,($F$13-$I$4+VLOOKUP($R53,武学奇术!$A:$ZZ,13,FALSE)+SUM(_xlfn.XLOOKUP(S53:AG53,增益!$A:$A,增益!$K:$K,0)))/200,($F$13-$I$4+VLOOKUP($R53,武学奇术!$A:$ZZ,13,FALSE)+SUM(_xlfn.XLOOKUP(S53:AG53,增益!$A:$A,增益!$M:$M,0)))/100)</f>
        <v>-0.3</v>
      </c>
      <c r="BE53" s="32" cm="1">
        <f t="array" ref="BE53">$G$13+VLOOKUP($R53,武学奇术!$A:$ZZ,14,FALSE)+SUM(_xlfn.XLOOKUP(S53:AG53,增益!$A:$A,增益!$N:$N,0))</f>
        <v>0</v>
      </c>
      <c r="BF53">
        <f t="shared" si="7"/>
        <v>571.2</v>
      </c>
      <c r="BG53">
        <f t="shared" si="8"/>
        <v>1627.8</v>
      </c>
      <c r="BH53" s="32" cm="1">
        <f t="array" ref="BH53">IF($F$14-$I$4+VLOOKUP($R53,武学奇术!$A:$ZZ,15,FALSE)+SUM(_xlfn.XLOOKUP(S53:AG53,增益!$A:$A,增益!$O:$O,0))&gt;0,($F$14-$I$4+VLOOKUP($R53,武学奇术!$A:$ZZ,15,FALSE)+SUM(_xlfn.XLOOKUP(S53:AG53,增益!$A:$A,增益!$O:$O,0)))/200,($F$14-$I$4+VLOOKUP($R53,武学奇术!$A:$ZZ,15,FALSE)+SUM(_xlfn.XLOOKUP(S53:AG53,增益!$A:$A,增益!$O:$O,0)))/100)</f>
        <v>0</v>
      </c>
      <c r="BI53" s="32" cm="1">
        <f t="array" ref="BI53">$G$14+VLOOKUP($R53,武学奇术!$A:$ZZ,16,FALSE)+SUM(_xlfn.XLOOKUP(S53:AG53,增益!$A:$A,增益!$P:$P,0))</f>
        <v>0.27</v>
      </c>
      <c r="BJ53" s="26">
        <f>MIN(IF(VLOOKUP($R53,武学奇术!$A:$ZZ,23,FALSE)=1,100%,$B$8),100%)</f>
        <v>0.981</v>
      </c>
      <c r="BK53" s="26" cm="1">
        <f t="array" ref="BK53">IF(VLOOKUP($R53,武学奇术!$A:$ZZ,23,FALSE)=1,100%,MIN(80%,$B$9+VLOOKUP($R53,武学奇术!$A:$ZZ,17,FALSE)+SUM(_xlfn.XLOOKUP(S53:AG53,增益!$A:$A,增益!$Q:$Q,0)))+$B$11+SUM(_xlfn.XLOOKUP(S53:AG53,增益!$A:$A,增益!$U:$U,0)))*IF(VLOOKUP($R53,武学奇术!$A:$ZZ,24,FALSE)=1,0,1)</f>
        <v>0.846</v>
      </c>
      <c r="BL53" s="26" cm="1">
        <f t="array" ref="BL53">1+$B$13+VLOOKUP($R53,武学奇术!$A:$ZZ,18,FALSE)+SUM(_xlfn.XLOOKUP(S53:AG53,增益!$A:$A,增益!$R:$R,0))</f>
        <v>2.06</v>
      </c>
      <c r="BM53" s="26" cm="1">
        <f t="array" ref="BM53">IF(VLOOKUP($R53,武学奇术!$A:$ZZ,24,FALSE)=1,100%,MIN(40%,$B$10+VLOOKUP($R53,武学奇术!$A:$ZZ,19,FALSE)+SUM(_xlfn.XLOOKUP(S53:AG53,增益!$A:$A,增益!$S:$S,0)))+$B$12+SUM(_xlfn.XLOOKUP(S53:AG53,增益!$A:$A,增益!$V:$V,0)))*IF(VLOOKUP($R53,武学奇术!$A:$ZZ,23,FALSE)=1,0,1)</f>
        <v>0.0929</v>
      </c>
      <c r="BN53" s="26" cm="1">
        <f t="array" ref="BN53">1+$B$14+VLOOKUP($R53,武学奇术!$A:$ZZ,20,FALSE)+SUM(_xlfn.XLOOKUP(S53:AG53,增益!$A:$A,增益!$T:$T,0))</f>
        <v>1.35</v>
      </c>
      <c r="BO53" s="26">
        <f t="shared" si="9"/>
        <v>0.829926</v>
      </c>
      <c r="BP53" s="26">
        <f t="shared" si="10"/>
        <v>0.0599391</v>
      </c>
      <c r="BQ53" s="26">
        <f>IF(VLOOKUP($R53,武学奇术!$A:$ZZ,22,FALSE)=1,0,(1-$BJ53))*(1-$BM53)</f>
        <v>0.0172349</v>
      </c>
      <c r="BR53" s="26" cm="1">
        <f t="array" ref="BR53">SUM(_xlfn.XLOOKUP(S53:AG53,增益!$A:$A,增益!$W:$W,0))+$I$5</f>
        <v>0.11</v>
      </c>
    </row>
    <row r="54" spans="1:70">
      <c r="A54" s="4"/>
      <c r="B54" s="4"/>
      <c r="K54">
        <f>$L54*VLOOKUP($R54,武学奇术!$A:$ZZ,31,FALSE)</f>
        <v>41924.1652039268</v>
      </c>
      <c r="L54" s="38">
        <f t="shared" si="11"/>
        <v>39927.7763846922</v>
      </c>
      <c r="M54" s="38">
        <f>((($AO54+$AP54)/2*$AI54+$AJ54)*(1+$AQ54)*(1+$AR54)+(($AT54+$AU54)/2*IF($G$1="鸣金",$AK54,$AI54)+IF($G$1="鸣金",$AL54*1.5,0))*(1+$AV54)*(1+$AW54)+(($AX54+$AY54)/2*IF($G$1="裂石",$AK54,$AI54)+IF($G$1="裂石",$AL54*1.5,0))*(1+$AZ54)*(1+$BA54)+(($BB54+$BC54)/2*IF($G$1="牵丝",$AK54,$AI54)+IF($G$1="牵丝",$AL54*1.5,0))*(1+$BD54)*(1+$BE54)+(($BF54+$BG54)/2*IF($G$1="破竹",$AK54,$AI54)+IF($G$1="破竹",$AL54*1.5,0))*(1+$BH54)*(1+$BI54))*(1+$AM54)*$BL54*$Q54*(1+IF(VLOOKUP($R54,武学奇术!$A:$ZZ,30,FALSE)="回旋伞",$B$21,0))*(1+$BR54)</f>
        <v>42683.8320791645</v>
      </c>
      <c r="N54" s="38">
        <f>(($AP54*$AI54+$AJ54)*(1+$AQ54)*(1+$AR54)+($AU54*IF($G$1="鸣金",$AK54,$AI54)+IF($G$1="鸣金",$AL54*1.5,0))*(1+$AV54)*(1+$AW54)+($AY54*IF($G$1="裂石",$AK54,$AI54)+IF($G$1="裂石",$AL54*1.5,0))*(1+$AZ54)*(1+$BA54)+($BC54*IF($G$1="牵丝",$AK54,$AI54)+IF($G$1="牵丝",$AL54*1.5,0))*(1+$BD54)*(1+$BE54)+($BG54*IF($G$1="破竹",$AK54,$AI54)+IF($G$1="破竹",$AL54*1.5,0))*(1+$BH54)*(1+$BI54))*(1+$AM54)*$BN54*$Q54*(1+IF(VLOOKUP($R54,武学奇术!$A:$ZZ,30,FALSE)="回旋伞",$B$21,0))*(1+$BR54)</f>
        <v>31786.6551424357</v>
      </c>
      <c r="O54" s="38">
        <f>((($AO54+$AP54)/2*$AI54+$AJ54)*(1+$AQ54)*(1+$AR54)+(($AT54+$AU54)/2*IF($G$1="鸣金",$AK54,$AI54)+IF($G$1="鸣金",$AL54*1.5,0))*(1+$AV54)*(1+$AW54)+(($AX54+$AY54)/2*IF($G$1="裂石",$AK54,$AI54)+IF($G$1="裂石",$AL54*1.5,0))*(1+$AZ54)*(1+$BA54)+(($BB54+$BC54)/2*IF($G$1="牵丝",$AK54,$AI54)+IF($G$1="牵丝",$AL54*1.5,0))*(1+$BD54)*(1+$BE54)+(($BF54+$BG54)/2*IF($G$1="破竹",$AK54,$AI54)+IF($G$1="破竹",$AL54*1.5,0))*(1+$BH54)*(1+$BI54))*(1+$AM54)*$Q54*(1+IF(VLOOKUP($R54,武学奇术!$A:$ZZ,30,FALSE)="回旋伞",$B$21,0))*(1+$BR54)</f>
        <v>20720.3068345459</v>
      </c>
      <c r="P54" s="38">
        <f>((($AO54*$AI54+$AJ54)*(1+$AQ54)*(1+$AR54)+($AT54*IF($G$1="鸣金",$AK54,$AI54)+IF($G$1="鸣金",$AL54*1.5,0))*(1+$AV54)*(1+$AW54)+($AX54*IF($G$1="裂石",$AK54,$AI54)+IF($G$1="裂石",$AL54*1.5,0))*(1+$AZ54)*(1+$BA54)+($BB54*IF($G$1="牵丝",$AK54,$AI54)+IF($G$1="牵丝",$AL54*1.5,0))*(1+$BD54)*(1+$BE54)+($BF54*IF($G$1="破竹",$AK54,$AI54)+IF($G$1="破竹",$AL54*1.5,0))*(1+$BH54)*(1+$BI54))*(1+$AM54))*$Q54*(1+IF(VLOOKUP($R54,武学奇术!$A:$ZZ,30,FALSE)="回旋伞",$B$21,0))*(1+$BR54)</f>
        <v>17894.9431932134</v>
      </c>
      <c r="Q54" s="39">
        <v>2</v>
      </c>
      <c r="R54" s="40" t="s">
        <v>112</v>
      </c>
      <c r="S54" s="40" t="s">
        <v>109</v>
      </c>
      <c r="T54" s="40" t="s">
        <v>95</v>
      </c>
      <c r="U54" s="40" t="s">
        <v>73</v>
      </c>
      <c r="V54" s="40" t="s">
        <v>72</v>
      </c>
      <c r="W54" s="40" t="s">
        <v>172</v>
      </c>
      <c r="X54" s="40" t="s">
        <v>99</v>
      </c>
      <c r="Y54" s="40" t="s">
        <v>72</v>
      </c>
      <c r="Z54" s="40" t="s">
        <v>72</v>
      </c>
      <c r="AA54" s="40" t="s">
        <v>72</v>
      </c>
      <c r="AB54" s="40" t="s">
        <v>126</v>
      </c>
      <c r="AC54" s="40" t="s">
        <v>72</v>
      </c>
      <c r="AD54" s="40" t="s">
        <v>72</v>
      </c>
      <c r="AE54" s="40" t="s">
        <v>72</v>
      </c>
      <c r="AF54" s="40" t="s">
        <v>72</v>
      </c>
      <c r="AG54" s="40" t="s">
        <v>78</v>
      </c>
      <c r="AH54" t="str">
        <f>VLOOKUP($R54,武学奇术!$A:$ZZ,25,FALSE)</f>
        <v>伞</v>
      </c>
      <c r="AI54" s="26">
        <f>VLOOKUP($R54,武学奇术!$A:$ZZ,26,FALSE)</f>
        <v>0.54</v>
      </c>
      <c r="AJ54" s="27">
        <f>VLOOKUP($R54,武学奇术!$A:$ZZ,27,FALSE)*(1+IF(OR($AH54=$F$4,$AH54=$F$5),$B$22,0))</f>
        <v>0</v>
      </c>
      <c r="AK54" s="26">
        <f>VLOOKUP($R54,武学奇术!$A:$ZZ,28,FALSE)</f>
        <v>0.81</v>
      </c>
      <c r="AL54" s="27">
        <f>VLOOKUP($R54,武学奇术!$A:$ZZ,29,FALSE)*(1+IF(OR($AH54=$F$4,$AH54=$F$5),$B$22,0))</f>
        <v>0</v>
      </c>
      <c r="AM54" s="26" cm="1">
        <f t="array" ref="AM54">$G$3+IFERROR(VLOOKUP($AH54,$F$4:$G$7,2,FALSE),0)+VLOOKUP($R54,武学奇术!$A:$ZZ,2,FALSE)+SUM(_xlfn.XLOOKUP($S54:$AG54,增益!$A:$A,增益!$B:$B,0))</f>
        <v>0.7741</v>
      </c>
      <c r="AN54" s="26" cm="1">
        <f t="array" ref="AN54">VLOOKUP($R54,武学奇术!$A:$ZZ,5,FALSE)+SUM(_xlfn.XLOOKUP($S54:$AG54,增益!$A:$A,增益!$E:$E,0))</f>
        <v>0</v>
      </c>
      <c r="AO54" cm="1">
        <f t="array" ref="AO54">$D$10*(1+$AN54)+VLOOKUP($R54,武学奇术!$A:$ZZ,3,FALSE)+SUM(_xlfn.XLOOKUP($S54:$AG54,增益!$A:$A,增益!$C:$C,0))-$I$2</f>
        <v>3562.6</v>
      </c>
      <c r="AP54" cm="1">
        <f t="array" ref="AP54">$E$10*(1+$AN54)+VLOOKUP($R54,武学奇术!$A:$ZZ,4,FALSE)+SUM(_xlfn.XLOOKUP($S54:$AG54,增益!$A:$A,增益!$D:$D,0))-$I$2</f>
        <v>3562.6</v>
      </c>
      <c r="AQ54" s="32" cm="1">
        <f t="array" ref="AQ54">IF($F$10-$I$3+VLOOKUP($R54,武学奇术!$A:$ZZ,6,FALSE)+SUM(_xlfn.XLOOKUP(S54:AG54,增益!$A:$A,增益!$F:$F,0))&gt;0,($F$10-$I$3+VLOOKUP($R54,武学奇术!$A:$ZZ,6,FALSE)+SUM(_xlfn.XLOOKUP(S54:AG54,增益!$A:$A,增益!$F:$F,0)))/200,($F$10-$I$3+VLOOKUP($R54,武学奇术!$A:$ZZ,6,FALSE)+SUM(_xlfn.XLOOKUP(S54:AG54,增益!$A:$A,增益!$F:$F,0)))/100)</f>
        <v>0.2925</v>
      </c>
      <c r="AR54" s="32" cm="1">
        <f t="array" ref="AR54">$G$10+VLOOKUP($R54,武学奇术!$A:$ZZ,7,FALSE)+SUM(_xlfn.XLOOKUP(S54:AG54,增益!$A:$A,增益!$G:$G,0))</f>
        <v>0.148</v>
      </c>
      <c r="AS54" s="26" cm="1">
        <f t="array" ref="AS54">VLOOKUP($R54,武学奇术!$A:$ZZ,8,FALSE)+SUM(_xlfn.XLOOKUP(S54:AG54,增益!$A:$A,增益!$H:$H,0))</f>
        <v>0</v>
      </c>
      <c r="AT54">
        <f t="shared" si="1"/>
        <v>0</v>
      </c>
      <c r="AU54">
        <f t="shared" si="2"/>
        <v>0</v>
      </c>
      <c r="AV54" s="32" cm="1">
        <f t="array" ref="AV54">IF($F$11-$I$4+VLOOKUP($R54,武学奇术!$A:$ZZ,9,FALSE)+SUM(_xlfn.XLOOKUP(S54:AG54,增益!$A:$A,增益!$I:$I,0))&gt;0,($F$11-$I$4+VLOOKUP($R54,武学奇术!$A:$ZZ,9,FALSE)+SUM(_xlfn.XLOOKUP(S54:AG54,增益!$A:$A,增益!$I:$I,0)))/200,($F$11-$I$4+VLOOKUP($R54,武学奇术!$A:$ZZ,9,FALSE)+SUM(_xlfn.XLOOKUP(S54:AG54,增益!$A:$A,增益!$I:$I,0)))/100)</f>
        <v>-0.3</v>
      </c>
      <c r="AW54" s="32" cm="1">
        <f t="array" ref="AW54">$G$11+VLOOKUP($R54,武学奇术!$A:$ZZ,10,FALSE)+SUM(_xlfn.XLOOKUP(S54:AG54,增益!$A:$A,增益!$J:$J,0))</f>
        <v>0</v>
      </c>
      <c r="AX54">
        <f t="shared" si="3"/>
        <v>0</v>
      </c>
      <c r="AY54">
        <f t="shared" si="4"/>
        <v>0</v>
      </c>
      <c r="AZ54" s="32" cm="1">
        <f t="array" ref="AZ54">IF($F$12-$I$4+VLOOKUP($R54,武学奇术!$A:$ZZ,11,FALSE)+SUM(_xlfn.XLOOKUP(S54:AG54,增益!$A:$A,增益!$K:$K,0))&gt;0,($F$12-$I$4+VLOOKUP($R54,武学奇术!$A:$ZZ,11,FALSE)+SUM(_xlfn.XLOOKUP(S54:AG54,增益!$A:$A,增益!$K:$K,0)))/200,($F$12-$I$4+VLOOKUP($R54,武学奇术!$A:$ZZ,11,FALSE)+SUM(_xlfn.XLOOKUP(S54:AG54,增益!$A:$A,增益!$K:$K,0)))/100)</f>
        <v>-0.3</v>
      </c>
      <c r="BA54" s="32" cm="1">
        <f t="array" ref="BA54">$G$12+VLOOKUP($R54,武学奇术!$A:$ZZ,12,FALSE)+SUM(_xlfn.XLOOKUP(S54:AG54,增益!$A:$A,增益!$L:$L,0))</f>
        <v>0</v>
      </c>
      <c r="BB54">
        <f t="shared" si="5"/>
        <v>0</v>
      </c>
      <c r="BC54">
        <f t="shared" si="6"/>
        <v>0</v>
      </c>
      <c r="BD54" s="32" cm="1">
        <f t="array" ref="BD54">IF($F$13-$I$4+VLOOKUP($R54,武学奇术!$A:$ZZ,13,FALSE)+SUM(_xlfn.XLOOKUP(S54:AG54,增益!$A:$A,增益!$M:$M,0))&gt;0,($F$13-$I$4+VLOOKUP($R54,武学奇术!$A:$ZZ,13,FALSE)+SUM(_xlfn.XLOOKUP(S54:AG54,增益!$A:$A,增益!$K:$K,0)))/200,($F$13-$I$4+VLOOKUP($R54,武学奇术!$A:$ZZ,13,FALSE)+SUM(_xlfn.XLOOKUP(S54:AG54,增益!$A:$A,增益!$M:$M,0)))/100)</f>
        <v>-0.3</v>
      </c>
      <c r="BE54" s="32" cm="1">
        <f t="array" ref="BE54">$G$13+VLOOKUP($R54,武学奇术!$A:$ZZ,14,FALSE)+SUM(_xlfn.XLOOKUP(S54:AG54,增益!$A:$A,增益!$N:$N,0))</f>
        <v>0</v>
      </c>
      <c r="BF54">
        <f t="shared" si="7"/>
        <v>571.2</v>
      </c>
      <c r="BG54">
        <f t="shared" si="8"/>
        <v>1627.8</v>
      </c>
      <c r="BH54" s="32" cm="1">
        <f t="array" ref="BH54">IF($F$14-$I$4+VLOOKUP($R54,武学奇术!$A:$ZZ,15,FALSE)+SUM(_xlfn.XLOOKUP(S54:AG54,增益!$A:$A,增益!$O:$O,0))&gt;0,($F$14-$I$4+VLOOKUP($R54,武学奇术!$A:$ZZ,15,FALSE)+SUM(_xlfn.XLOOKUP(S54:AG54,增益!$A:$A,增益!$O:$O,0)))/200,($F$14-$I$4+VLOOKUP($R54,武学奇术!$A:$ZZ,15,FALSE)+SUM(_xlfn.XLOOKUP(S54:AG54,增益!$A:$A,增益!$O:$O,0)))/100)</f>
        <v>0</v>
      </c>
      <c r="BI54" s="32" cm="1">
        <f t="array" ref="BI54">$G$14+VLOOKUP($R54,武学奇术!$A:$ZZ,16,FALSE)+SUM(_xlfn.XLOOKUP(S54:AG54,增益!$A:$A,增益!$P:$P,0))</f>
        <v>0.27</v>
      </c>
      <c r="BJ54" s="26">
        <f>MIN(IF(VLOOKUP($R54,武学奇术!$A:$ZZ,23,FALSE)=1,100%,$B$8),100%)</f>
        <v>0.981</v>
      </c>
      <c r="BK54" s="26" cm="1">
        <f t="array" ref="BK54">IF(VLOOKUP($R54,武学奇术!$A:$ZZ,23,FALSE)=1,100%,MIN(80%,$B$9+VLOOKUP($R54,武学奇术!$A:$ZZ,17,FALSE)+SUM(_xlfn.XLOOKUP(S54:AG54,增益!$A:$A,增益!$Q:$Q,0)))+$B$11+SUM(_xlfn.XLOOKUP(S54:AG54,增益!$A:$A,增益!$U:$U,0)))*IF(VLOOKUP($R54,武学奇术!$A:$ZZ,24,FALSE)=1,0,1)</f>
        <v>0.846</v>
      </c>
      <c r="BL54" s="26" cm="1">
        <f t="array" ref="BL54">1+$B$13+VLOOKUP($R54,武学奇术!$A:$ZZ,18,FALSE)+SUM(_xlfn.XLOOKUP(S54:AG54,增益!$A:$A,增益!$R:$R,0))</f>
        <v>2.06</v>
      </c>
      <c r="BM54" s="26" cm="1">
        <f t="array" ref="BM54">IF(VLOOKUP($R54,武学奇术!$A:$ZZ,24,FALSE)=1,100%,MIN(40%,$B$10+VLOOKUP($R54,武学奇术!$A:$ZZ,19,FALSE)+SUM(_xlfn.XLOOKUP(S54:AG54,增益!$A:$A,增益!$S:$S,0)))+$B$12+SUM(_xlfn.XLOOKUP(S54:AG54,增益!$A:$A,增益!$V:$V,0)))*IF(VLOOKUP($R54,武学奇术!$A:$ZZ,23,FALSE)=1,0,1)</f>
        <v>0.0929</v>
      </c>
      <c r="BN54" s="26" cm="1">
        <f t="array" ref="BN54">1+$B$14+VLOOKUP($R54,武学奇术!$A:$ZZ,20,FALSE)+SUM(_xlfn.XLOOKUP(S54:AG54,增益!$A:$A,增益!$T:$T,0))</f>
        <v>1.35</v>
      </c>
      <c r="BO54" s="26">
        <f t="shared" si="9"/>
        <v>0.829926</v>
      </c>
      <c r="BP54" s="26">
        <f t="shared" si="10"/>
        <v>0.0599391</v>
      </c>
      <c r="BQ54" s="26">
        <f>IF(VLOOKUP($R54,武学奇术!$A:$ZZ,22,FALSE)=1,0,(1-$BJ54))*(1-$BM54)</f>
        <v>0.0172349</v>
      </c>
      <c r="BR54" s="26" cm="1">
        <f t="array" ref="BR54">SUM(_xlfn.XLOOKUP(S54:AG54,增益!$A:$A,增益!$W:$W,0))+$I$5</f>
        <v>0.11</v>
      </c>
    </row>
    <row r="55" spans="1:70">
      <c r="A55" s="4"/>
      <c r="B55" s="87"/>
      <c r="K55">
        <f>$L55*VLOOKUP($R55,武学奇术!$A:$ZZ,31,FALSE)</f>
        <v>213115.578689839</v>
      </c>
      <c r="L55" s="38">
        <f t="shared" si="11"/>
        <v>202967.217799847</v>
      </c>
      <c r="M55" s="38">
        <f>((($AO55+$AP55)/2*$AI55+$AJ55)*(1+$AQ55)*(1+$AR55)+(($AT55+$AU55)/2*IF($G$1="鸣金",$AK55,$AI55)+IF($G$1="鸣金",$AL55*1.5,0))*(1+$AV55)*(1+$AW55)+(($AX55+$AY55)/2*IF($G$1="裂石",$AK55,$AI55)+IF($G$1="裂石",$AL55*1.5,0))*(1+$AZ55)*(1+$BA55)+(($BB55+$BC55)/2*IF($G$1="牵丝",$AK55,$AI55)+IF($G$1="牵丝",$AL55*1.5,0))*(1+$BD55)*(1+$BE55)+(($BF55+$BG55)/2*IF($G$1="破竹",$AK55,$AI55)+IF($G$1="破竹",$AL55*1.5,0))*(1+$BH55)*(1+$BI55))*(1+$AM55)*$BL55*$Q55*(1+IF(VLOOKUP($R55,武学奇术!$A:$ZZ,30,FALSE)="回旋伞",$B$21,0))*(1+$BR55)</f>
        <v>217183.464852798</v>
      </c>
      <c r="N55" s="38">
        <f>(($AP55*$AI55+$AJ55)*(1+$AQ55)*(1+$AR55)+($AU55*IF($G$1="鸣金",$AK55,$AI55)+IF($G$1="鸣金",$AL55*1.5,0))*(1+$AV55)*(1+$AW55)+($AY55*IF($G$1="裂石",$AK55,$AI55)+IF($G$1="裂石",$AL55*1.5,0))*(1+$AZ55)*(1+$BA55)+($BC55*IF($G$1="牵丝",$AK55,$AI55)+IF($G$1="牵丝",$AL55*1.5,0))*(1+$BD55)*(1+$BE55)+($BG55*IF($G$1="破竹",$AK55,$AI55)+IF($G$1="破竹",$AL55*1.5,0))*(1+$BH55)*(1+$BI55))*(1+$AM55)*$BN55*$Q55*(1+IF(VLOOKUP($R55,武学奇术!$A:$ZZ,30,FALSE)="回旋伞",$B$21,0))*(1+$BR55)</f>
        <v>159329.181839074</v>
      </c>
      <c r="O55" s="38">
        <f>((($AO55+$AP55)/2*$AI55+$AJ55)*(1+$AQ55)*(1+$AR55)+(($AT55+$AU55)/2*IF($G$1="鸣金",$AK55,$AI55)+IF($G$1="鸣金",$AL55*1.5,0))*(1+$AV55)*(1+$AW55)+(($AX55+$AY55)/2*IF($G$1="裂石",$AK55,$AI55)+IF($G$1="裂石",$AL55*1.5,0))*(1+$AZ55)*(1+$BA55)+(($BB55+$BC55)/2*IF($G$1="牵丝",$AK55,$AI55)+IF($G$1="牵丝",$AL55*1.5,0))*(1+$BD55)*(1+$BE55)+(($BF55+$BG55)/2*IF($G$1="破竹",$AK55,$AI55)+IF($G$1="破竹",$AL55*1.5,0))*(1+$BH55)*(1+$BI55))*(1+$AM55)*$Q55*(1+IF(VLOOKUP($R55,武学奇术!$A:$ZZ,30,FALSE)="回旋伞",$B$21,0))*(1+$BR55)</f>
        <v>105428.866433397</v>
      </c>
      <c r="P55" s="38">
        <f>((($AO55*$AI55+$AJ55)*(1+$AQ55)*(1+$AR55)+($AT55*IF($G$1="鸣金",$AK55,$AI55)+IF($G$1="鸣金",$AL55*1.5,0))*(1+$AV55)*(1+$AW55)+($AX55*IF($G$1="裂石",$AK55,$AI55)+IF($G$1="裂石",$AL55*1.5,0))*(1+$AZ55)*(1+$BA55)+($BB55*IF($G$1="牵丝",$AK55,$AI55)+IF($G$1="牵丝",$AL55*1.5,0))*(1+$BD55)*(1+$BE55)+($BF55*IF($G$1="破竹",$AK55,$AI55)+IF($G$1="破竹",$AL55*1.5,0))*(1+$BH55)*(1+$BI55))*(1+$AM55))*$Q55*(1+IF(VLOOKUP($R55,武学奇术!$A:$ZZ,30,FALSE)="回旋伞",$B$21,0))*(1+$BR55)</f>
        <v>92836.116689702</v>
      </c>
      <c r="Q55" s="39">
        <v>3</v>
      </c>
      <c r="R55" s="40" t="s">
        <v>108</v>
      </c>
      <c r="S55" s="40" t="s">
        <v>109</v>
      </c>
      <c r="T55" s="40" t="s">
        <v>95</v>
      </c>
      <c r="U55" s="40" t="s">
        <v>73</v>
      </c>
      <c r="V55" s="40" t="s">
        <v>72</v>
      </c>
      <c r="W55" s="40" t="s">
        <v>172</v>
      </c>
      <c r="X55" s="40" t="s">
        <v>99</v>
      </c>
      <c r="Y55" s="40" t="s">
        <v>72</v>
      </c>
      <c r="Z55" s="40" t="s">
        <v>72</v>
      </c>
      <c r="AA55" s="40" t="s">
        <v>72</v>
      </c>
      <c r="AB55" s="40" t="s">
        <v>126</v>
      </c>
      <c r="AC55" s="40" t="s">
        <v>72</v>
      </c>
      <c r="AD55" s="40" t="s">
        <v>72</v>
      </c>
      <c r="AE55" s="40" t="s">
        <v>72</v>
      </c>
      <c r="AF55" s="40" t="s">
        <v>72</v>
      </c>
      <c r="AG55" s="40" t="s">
        <v>78</v>
      </c>
      <c r="AH55" t="str">
        <f>VLOOKUP($R55,武学奇术!$A:$ZZ,25,FALSE)</f>
        <v>伞</v>
      </c>
      <c r="AI55" s="26">
        <f>VLOOKUP($R55,武学奇术!$A:$ZZ,26,FALSE)</f>
        <v>1.8084</v>
      </c>
      <c r="AJ55" s="27">
        <f>VLOOKUP($R55,武学奇术!$A:$ZZ,27,FALSE)*(1+IF(OR($AH55=$F$4,$AH55=$F$5),$B$22,0))</f>
        <v>750</v>
      </c>
      <c r="AK55" s="26">
        <f>VLOOKUP($R55,武学奇术!$A:$ZZ,28,FALSE)</f>
        <v>2.7126</v>
      </c>
      <c r="AL55" s="27">
        <f>VLOOKUP($R55,武学奇术!$A:$ZZ,29,FALSE)*(1+IF(OR($AH55=$F$4,$AH55=$F$5),$B$22,0))</f>
        <v>408</v>
      </c>
      <c r="AM55" s="26" cm="1">
        <f t="array" ref="AM55">$G$3+IFERROR(VLOOKUP($AH55,$F$4:$G$7,2,FALSE),0)+VLOOKUP($R55,武学奇术!$A:$ZZ,2,FALSE)+SUM(_xlfn.XLOOKUP($S55:$AG55,增益!$A:$A,增益!$B:$B,0))</f>
        <v>0.5741</v>
      </c>
      <c r="AN55" s="26" cm="1">
        <f t="array" ref="AN55">VLOOKUP($R55,武学奇术!$A:$ZZ,5,FALSE)+SUM(_xlfn.XLOOKUP($S55:$AG55,增益!$A:$A,增益!$E:$E,0))</f>
        <v>0</v>
      </c>
      <c r="AO55" cm="1">
        <f t="array" ref="AO55">$D$10*(1+$AN55)+VLOOKUP($R55,武学奇术!$A:$ZZ,3,FALSE)+SUM(_xlfn.XLOOKUP($S55:$AG55,增益!$A:$A,增益!$C:$C,0))-$I$2</f>
        <v>3562.6</v>
      </c>
      <c r="AP55" cm="1">
        <f t="array" ref="AP55">$E$10*(1+$AN55)+VLOOKUP($R55,武学奇术!$A:$ZZ,4,FALSE)+SUM(_xlfn.XLOOKUP($S55:$AG55,增益!$A:$A,增益!$D:$D,0))-$I$2</f>
        <v>3562.6</v>
      </c>
      <c r="AQ55" s="32" cm="1">
        <f t="array" ref="AQ55">IF($F$10-$I$3+VLOOKUP($R55,武学奇术!$A:$ZZ,6,FALSE)+SUM(_xlfn.XLOOKUP(S55:AG55,增益!$A:$A,增益!$F:$F,0))&gt;0,($F$10-$I$3+VLOOKUP($R55,武学奇术!$A:$ZZ,6,FALSE)+SUM(_xlfn.XLOOKUP(S55:AG55,增益!$A:$A,增益!$F:$F,0)))/200,($F$10-$I$3+VLOOKUP($R55,武学奇术!$A:$ZZ,6,FALSE)+SUM(_xlfn.XLOOKUP(S55:AG55,增益!$A:$A,增益!$F:$F,0)))/100)</f>
        <v>0.2925</v>
      </c>
      <c r="AR55" s="32" cm="1">
        <f t="array" ref="AR55">$G$10+VLOOKUP($R55,武学奇术!$A:$ZZ,7,FALSE)+SUM(_xlfn.XLOOKUP(S55:AG55,增益!$A:$A,增益!$G:$G,0))</f>
        <v>0.148</v>
      </c>
      <c r="AS55" s="26" cm="1">
        <f t="array" ref="AS55">VLOOKUP($R55,武学奇术!$A:$ZZ,8,FALSE)+SUM(_xlfn.XLOOKUP(S55:AG55,增益!$A:$A,增益!$H:$H,0))</f>
        <v>0</v>
      </c>
      <c r="AT55">
        <f t="shared" si="1"/>
        <v>0</v>
      </c>
      <c r="AU55">
        <f t="shared" si="2"/>
        <v>0</v>
      </c>
      <c r="AV55" s="32" cm="1">
        <f t="array" ref="AV55">IF($F$11-$I$4+VLOOKUP($R55,武学奇术!$A:$ZZ,9,FALSE)+SUM(_xlfn.XLOOKUP(S55:AG55,增益!$A:$A,增益!$I:$I,0))&gt;0,($F$11-$I$4+VLOOKUP($R55,武学奇术!$A:$ZZ,9,FALSE)+SUM(_xlfn.XLOOKUP(S55:AG55,增益!$A:$A,增益!$I:$I,0)))/200,($F$11-$I$4+VLOOKUP($R55,武学奇术!$A:$ZZ,9,FALSE)+SUM(_xlfn.XLOOKUP(S55:AG55,增益!$A:$A,增益!$I:$I,0)))/100)</f>
        <v>-0.3</v>
      </c>
      <c r="AW55" s="32" cm="1">
        <f t="array" ref="AW55">$G$11+VLOOKUP($R55,武学奇术!$A:$ZZ,10,FALSE)+SUM(_xlfn.XLOOKUP(S55:AG55,增益!$A:$A,增益!$J:$J,0))</f>
        <v>0</v>
      </c>
      <c r="AX55">
        <f t="shared" si="3"/>
        <v>0</v>
      </c>
      <c r="AY55">
        <f t="shared" si="4"/>
        <v>0</v>
      </c>
      <c r="AZ55" s="32" cm="1">
        <f t="array" ref="AZ55">IF($F$12-$I$4+VLOOKUP($R55,武学奇术!$A:$ZZ,11,FALSE)+SUM(_xlfn.XLOOKUP(S55:AG55,增益!$A:$A,增益!$K:$K,0))&gt;0,($F$12-$I$4+VLOOKUP($R55,武学奇术!$A:$ZZ,11,FALSE)+SUM(_xlfn.XLOOKUP(S55:AG55,增益!$A:$A,增益!$K:$K,0)))/200,($F$12-$I$4+VLOOKUP($R55,武学奇术!$A:$ZZ,11,FALSE)+SUM(_xlfn.XLOOKUP(S55:AG55,增益!$A:$A,增益!$K:$K,0)))/100)</f>
        <v>-0.3</v>
      </c>
      <c r="BA55" s="32" cm="1">
        <f t="array" ref="BA55">$G$12+VLOOKUP($R55,武学奇术!$A:$ZZ,12,FALSE)+SUM(_xlfn.XLOOKUP(S55:AG55,增益!$A:$A,增益!$L:$L,0))</f>
        <v>0</v>
      </c>
      <c r="BB55">
        <f t="shared" si="5"/>
        <v>0</v>
      </c>
      <c r="BC55">
        <f t="shared" si="6"/>
        <v>0</v>
      </c>
      <c r="BD55" s="32" cm="1">
        <f t="array" ref="BD55">IF($F$13-$I$4+VLOOKUP($R55,武学奇术!$A:$ZZ,13,FALSE)+SUM(_xlfn.XLOOKUP(S55:AG55,增益!$A:$A,增益!$M:$M,0))&gt;0,($F$13-$I$4+VLOOKUP($R55,武学奇术!$A:$ZZ,13,FALSE)+SUM(_xlfn.XLOOKUP(S55:AG55,增益!$A:$A,增益!$K:$K,0)))/200,($F$13-$I$4+VLOOKUP($R55,武学奇术!$A:$ZZ,13,FALSE)+SUM(_xlfn.XLOOKUP(S55:AG55,增益!$A:$A,增益!$M:$M,0)))/100)</f>
        <v>-0.3</v>
      </c>
      <c r="BE55" s="32" cm="1">
        <f t="array" ref="BE55">$G$13+VLOOKUP($R55,武学奇术!$A:$ZZ,14,FALSE)+SUM(_xlfn.XLOOKUP(S55:AG55,增益!$A:$A,增益!$N:$N,0))</f>
        <v>0</v>
      </c>
      <c r="BF55">
        <f t="shared" si="7"/>
        <v>571.2</v>
      </c>
      <c r="BG55">
        <f t="shared" si="8"/>
        <v>1627.8</v>
      </c>
      <c r="BH55" s="32" cm="1">
        <f t="array" ref="BH55">IF($F$14-$I$4+VLOOKUP($R55,武学奇术!$A:$ZZ,15,FALSE)+SUM(_xlfn.XLOOKUP(S55:AG55,增益!$A:$A,增益!$O:$O,0))&gt;0,($F$14-$I$4+VLOOKUP($R55,武学奇术!$A:$ZZ,15,FALSE)+SUM(_xlfn.XLOOKUP(S55:AG55,增益!$A:$A,增益!$O:$O,0)))/200,($F$14-$I$4+VLOOKUP($R55,武学奇术!$A:$ZZ,15,FALSE)+SUM(_xlfn.XLOOKUP(S55:AG55,增益!$A:$A,增益!$O:$O,0)))/100)</f>
        <v>0</v>
      </c>
      <c r="BI55" s="32" cm="1">
        <f t="array" ref="BI55">$G$14+VLOOKUP($R55,武学奇术!$A:$ZZ,16,FALSE)+SUM(_xlfn.XLOOKUP(S55:AG55,增益!$A:$A,增益!$P:$P,0))</f>
        <v>0.27</v>
      </c>
      <c r="BJ55" s="26">
        <f>MIN(IF(VLOOKUP($R55,武学奇术!$A:$ZZ,23,FALSE)=1,100%,$B$8),100%)</f>
        <v>0.981</v>
      </c>
      <c r="BK55" s="26" cm="1">
        <f t="array" ref="BK55">IF(VLOOKUP($R55,武学奇术!$A:$ZZ,23,FALSE)=1,100%,MIN(80%,$B$9+VLOOKUP($R55,武学奇术!$A:$ZZ,17,FALSE)+SUM(_xlfn.XLOOKUP(S55:AG55,增益!$A:$A,增益!$Q:$Q,0)))+$B$11+SUM(_xlfn.XLOOKUP(S55:AG55,增益!$A:$A,增益!$U:$U,0)))*IF(VLOOKUP($R55,武学奇术!$A:$ZZ,24,FALSE)=1,0,1)</f>
        <v>0.846</v>
      </c>
      <c r="BL55" s="26" cm="1">
        <f t="array" ref="BL55">1+$B$13+VLOOKUP($R55,武学奇术!$A:$ZZ,18,FALSE)+SUM(_xlfn.XLOOKUP(S55:AG55,增益!$A:$A,增益!$R:$R,0))</f>
        <v>2.06</v>
      </c>
      <c r="BM55" s="26" cm="1">
        <f t="array" ref="BM55">IF(VLOOKUP($R55,武学奇术!$A:$ZZ,24,FALSE)=1,100%,MIN(40%,$B$10+VLOOKUP($R55,武学奇术!$A:$ZZ,19,FALSE)+SUM(_xlfn.XLOOKUP(S55:AG55,增益!$A:$A,增益!$S:$S,0)))+$B$12+SUM(_xlfn.XLOOKUP(S55:AG55,增益!$A:$A,增益!$V:$V,0)))*IF(VLOOKUP($R55,武学奇术!$A:$ZZ,23,FALSE)=1,0,1)</f>
        <v>0.0929</v>
      </c>
      <c r="BN55" s="26" cm="1">
        <f t="array" ref="BN55">1+$B$14+VLOOKUP($R55,武学奇术!$A:$ZZ,20,FALSE)+SUM(_xlfn.XLOOKUP(S55:AG55,增益!$A:$A,增益!$T:$T,0))</f>
        <v>1.35</v>
      </c>
      <c r="BO55" s="26">
        <f t="shared" si="9"/>
        <v>0.829926</v>
      </c>
      <c r="BP55" s="26">
        <f t="shared" si="10"/>
        <v>0.0599391</v>
      </c>
      <c r="BQ55" s="26">
        <f>IF(VLOOKUP($R55,武学奇术!$A:$ZZ,22,FALSE)=1,0,(1-$BJ55))*(1-$BM55)</f>
        <v>0.0172349</v>
      </c>
      <c r="BR55" s="26" cm="1">
        <f t="array" ref="BR55">SUM(_xlfn.XLOOKUP(S55:AG55,增益!$A:$A,增益!$W:$W,0))+$I$5</f>
        <v>0.11</v>
      </c>
    </row>
    <row r="56" spans="1:70">
      <c r="A56" s="4"/>
      <c r="B56" s="4"/>
      <c r="K56">
        <f>$L56*VLOOKUP($R56,武学奇术!$A:$ZZ,31,FALSE)</f>
        <v>125772.49561178</v>
      </c>
      <c r="L56" s="38">
        <f t="shared" si="11"/>
        <v>119783.329154077</v>
      </c>
      <c r="M56" s="38">
        <f>((($AO56+$AP56)/2*$AI56+$AJ56)*(1+$AQ56)*(1+$AR56)+(($AT56+$AU56)/2*IF($G$1="鸣金",$AK56,$AI56)+IF($G$1="鸣金",$AL56*1.5,0))*(1+$AV56)*(1+$AW56)+(($AX56+$AY56)/2*IF($G$1="裂石",$AK56,$AI56)+IF($G$1="裂石",$AL56*1.5,0))*(1+$AZ56)*(1+$BA56)+(($BB56+$BC56)/2*IF($G$1="牵丝",$AK56,$AI56)+IF($G$1="牵丝",$AL56*1.5,0))*(1+$BD56)*(1+$BE56)+(($BF56+$BG56)/2*IF($G$1="破竹",$AK56,$AI56)+IF($G$1="破竹",$AL56*1.5,0))*(1+$BH56)*(1+$BI56))*(1+$AM56)*$BL56*$Q56*(1+IF(VLOOKUP($R56,武学奇术!$A:$ZZ,30,FALSE)="回旋伞",$B$21,0))*(1+$BR56)</f>
        <v>128051.496237493</v>
      </c>
      <c r="N56" s="38">
        <f>(($AP56*$AI56+$AJ56)*(1+$AQ56)*(1+$AR56)+($AU56*IF($G$1="鸣金",$AK56,$AI56)+IF($G$1="鸣金",$AL56*1.5,0))*(1+$AV56)*(1+$AW56)+($AY56*IF($G$1="裂石",$AK56,$AI56)+IF($G$1="裂石",$AL56*1.5,0))*(1+$AZ56)*(1+$BA56)+($BC56*IF($G$1="牵丝",$AK56,$AI56)+IF($G$1="牵丝",$AL56*1.5,0))*(1+$BD56)*(1+$BE56)+($BG56*IF($G$1="破竹",$AK56,$AI56)+IF($G$1="破竹",$AL56*1.5,0))*(1+$BH56)*(1+$BI56))*(1+$AM56)*$BN56*$Q56*(1+IF(VLOOKUP($R56,武学奇术!$A:$ZZ,30,FALSE)="回旋伞",$B$21,0))*(1+$BR56)</f>
        <v>95359.9654273072</v>
      </c>
      <c r="O56" s="38">
        <f>((($AO56+$AP56)/2*$AI56+$AJ56)*(1+$AQ56)*(1+$AR56)+(($AT56+$AU56)/2*IF($G$1="鸣金",$AK56,$AI56)+IF($G$1="鸣金",$AL56*1.5,0))*(1+$AV56)*(1+$AW56)+(($AX56+$AY56)/2*IF($G$1="裂石",$AK56,$AI56)+IF($G$1="裂石",$AL56*1.5,0))*(1+$AZ56)*(1+$BA56)+(($BB56+$BC56)/2*IF($G$1="牵丝",$AK56,$AI56)+IF($G$1="牵丝",$AL56*1.5,0))*(1+$BD56)*(1+$BE56)+(($BF56+$BG56)/2*IF($G$1="破竹",$AK56,$AI56)+IF($G$1="破竹",$AL56*1.5,0))*(1+$BH56)*(1+$BI56))*(1+$AM56)*$Q56*(1+IF(VLOOKUP($R56,武学奇术!$A:$ZZ,30,FALSE)="回旋伞",$B$21,0))*(1+$BR56)</f>
        <v>62160.9205036376</v>
      </c>
      <c r="P56" s="38">
        <f>((($AO56*$AI56+$AJ56)*(1+$AQ56)*(1+$AR56)+($AT56*IF($G$1="鸣金",$AK56,$AI56)+IF($G$1="鸣金",$AL56*1.5,0))*(1+$AV56)*(1+$AW56)+($AX56*IF($G$1="裂石",$AK56,$AI56)+IF($G$1="裂石",$AL56*1.5,0))*(1+$AZ56)*(1+$BA56)+($BB56*IF($G$1="牵丝",$AK56,$AI56)+IF($G$1="牵丝",$AL56*1.5,0))*(1+$BD56)*(1+$BE56)+($BF56*IF($G$1="破竹",$AK56,$AI56)+IF($G$1="破竹",$AL56*1.5,0))*(1+$BH56)*(1+$BI56))*(1+$AM56))*$Q56*(1+IF(VLOOKUP($R56,武学奇术!$A:$ZZ,30,FALSE)="回旋伞",$B$21,0))*(1+$BR56)</f>
        <v>53684.8295796403</v>
      </c>
      <c r="Q56" s="39">
        <v>6</v>
      </c>
      <c r="R56" s="40" t="s">
        <v>112</v>
      </c>
      <c r="S56" s="40" t="s">
        <v>109</v>
      </c>
      <c r="T56" s="40" t="s">
        <v>95</v>
      </c>
      <c r="U56" s="40" t="s">
        <v>73</v>
      </c>
      <c r="V56" s="40" t="s">
        <v>72</v>
      </c>
      <c r="W56" s="40" t="s">
        <v>172</v>
      </c>
      <c r="X56" s="40" t="s">
        <v>99</v>
      </c>
      <c r="Y56" s="40" t="s">
        <v>72</v>
      </c>
      <c r="Z56" s="40" t="s">
        <v>72</v>
      </c>
      <c r="AA56" s="40" t="s">
        <v>72</v>
      </c>
      <c r="AB56" s="40" t="s">
        <v>126</v>
      </c>
      <c r="AC56" s="40" t="s">
        <v>72</v>
      </c>
      <c r="AD56" s="40" t="s">
        <v>72</v>
      </c>
      <c r="AE56" s="40" t="s">
        <v>72</v>
      </c>
      <c r="AF56" s="40" t="s">
        <v>72</v>
      </c>
      <c r="AG56" s="40" t="s">
        <v>78</v>
      </c>
      <c r="AH56" t="str">
        <f>VLOOKUP($R56,武学奇术!$A:$ZZ,25,FALSE)</f>
        <v>伞</v>
      </c>
      <c r="AI56" s="26">
        <f>VLOOKUP($R56,武学奇术!$A:$ZZ,26,FALSE)</f>
        <v>0.54</v>
      </c>
      <c r="AJ56" s="27">
        <f>VLOOKUP($R56,武学奇术!$A:$ZZ,27,FALSE)*(1+IF(OR($AH56=$F$4,$AH56=$F$5),$B$22,0))</f>
        <v>0</v>
      </c>
      <c r="AK56" s="26">
        <f>VLOOKUP($R56,武学奇术!$A:$ZZ,28,FALSE)</f>
        <v>0.81</v>
      </c>
      <c r="AL56" s="27">
        <f>VLOOKUP($R56,武学奇术!$A:$ZZ,29,FALSE)*(1+IF(OR($AH56=$F$4,$AH56=$F$5),$B$22,0))</f>
        <v>0</v>
      </c>
      <c r="AM56" s="26" cm="1">
        <f t="array" ref="AM56">$G$3+IFERROR(VLOOKUP($AH56,$F$4:$G$7,2,FALSE),0)+VLOOKUP($R56,武学奇术!$A:$ZZ,2,FALSE)+SUM(_xlfn.XLOOKUP($S56:$AG56,增益!$A:$A,增益!$B:$B,0))</f>
        <v>0.7741</v>
      </c>
      <c r="AN56" s="26" cm="1">
        <f t="array" ref="AN56">VLOOKUP($R56,武学奇术!$A:$ZZ,5,FALSE)+SUM(_xlfn.XLOOKUP($S56:$AG56,增益!$A:$A,增益!$E:$E,0))</f>
        <v>0</v>
      </c>
      <c r="AO56" cm="1">
        <f t="array" ref="AO56">$D$10*(1+$AN56)+VLOOKUP($R56,武学奇术!$A:$ZZ,3,FALSE)+SUM(_xlfn.XLOOKUP($S56:$AG56,增益!$A:$A,增益!$C:$C,0))-$I$2</f>
        <v>3562.6</v>
      </c>
      <c r="AP56" cm="1">
        <f t="array" ref="AP56">$E$10*(1+$AN56)+VLOOKUP($R56,武学奇术!$A:$ZZ,4,FALSE)+SUM(_xlfn.XLOOKUP($S56:$AG56,增益!$A:$A,增益!$D:$D,0))-$I$2</f>
        <v>3562.6</v>
      </c>
      <c r="AQ56" s="32" cm="1">
        <f t="array" ref="AQ56">IF($F$10-$I$3+VLOOKUP($R56,武学奇术!$A:$ZZ,6,FALSE)+SUM(_xlfn.XLOOKUP(S56:AG56,增益!$A:$A,增益!$F:$F,0))&gt;0,($F$10-$I$3+VLOOKUP($R56,武学奇术!$A:$ZZ,6,FALSE)+SUM(_xlfn.XLOOKUP(S56:AG56,增益!$A:$A,增益!$F:$F,0)))/200,($F$10-$I$3+VLOOKUP($R56,武学奇术!$A:$ZZ,6,FALSE)+SUM(_xlfn.XLOOKUP(S56:AG56,增益!$A:$A,增益!$F:$F,0)))/100)</f>
        <v>0.2925</v>
      </c>
      <c r="AR56" s="32" cm="1">
        <f t="array" ref="AR56">$G$10+VLOOKUP($R56,武学奇术!$A:$ZZ,7,FALSE)+SUM(_xlfn.XLOOKUP(S56:AG56,增益!$A:$A,增益!$G:$G,0))</f>
        <v>0.148</v>
      </c>
      <c r="AS56" s="26" cm="1">
        <f t="array" ref="AS56">VLOOKUP($R56,武学奇术!$A:$ZZ,8,FALSE)+SUM(_xlfn.XLOOKUP(S56:AG56,增益!$A:$A,增益!$H:$H,0))</f>
        <v>0</v>
      </c>
      <c r="AT56">
        <f t="shared" si="1"/>
        <v>0</v>
      </c>
      <c r="AU56">
        <f t="shared" si="2"/>
        <v>0</v>
      </c>
      <c r="AV56" s="32" cm="1">
        <f t="array" ref="AV56">IF($F$11-$I$4+VLOOKUP($R56,武学奇术!$A:$ZZ,9,FALSE)+SUM(_xlfn.XLOOKUP(S56:AG56,增益!$A:$A,增益!$I:$I,0))&gt;0,($F$11-$I$4+VLOOKUP($R56,武学奇术!$A:$ZZ,9,FALSE)+SUM(_xlfn.XLOOKUP(S56:AG56,增益!$A:$A,增益!$I:$I,0)))/200,($F$11-$I$4+VLOOKUP($R56,武学奇术!$A:$ZZ,9,FALSE)+SUM(_xlfn.XLOOKUP(S56:AG56,增益!$A:$A,增益!$I:$I,0)))/100)</f>
        <v>-0.3</v>
      </c>
      <c r="AW56" s="32" cm="1">
        <f t="array" ref="AW56">$G$11+VLOOKUP($R56,武学奇术!$A:$ZZ,10,FALSE)+SUM(_xlfn.XLOOKUP(S56:AG56,增益!$A:$A,增益!$J:$J,0))</f>
        <v>0</v>
      </c>
      <c r="AX56">
        <f t="shared" si="3"/>
        <v>0</v>
      </c>
      <c r="AY56">
        <f t="shared" si="4"/>
        <v>0</v>
      </c>
      <c r="AZ56" s="32" cm="1">
        <f t="array" ref="AZ56">IF($F$12-$I$4+VLOOKUP($R56,武学奇术!$A:$ZZ,11,FALSE)+SUM(_xlfn.XLOOKUP(S56:AG56,增益!$A:$A,增益!$K:$K,0))&gt;0,($F$12-$I$4+VLOOKUP($R56,武学奇术!$A:$ZZ,11,FALSE)+SUM(_xlfn.XLOOKUP(S56:AG56,增益!$A:$A,增益!$K:$K,0)))/200,($F$12-$I$4+VLOOKUP($R56,武学奇术!$A:$ZZ,11,FALSE)+SUM(_xlfn.XLOOKUP(S56:AG56,增益!$A:$A,增益!$K:$K,0)))/100)</f>
        <v>-0.3</v>
      </c>
      <c r="BA56" s="32" cm="1">
        <f t="array" ref="BA56">$G$12+VLOOKUP($R56,武学奇术!$A:$ZZ,12,FALSE)+SUM(_xlfn.XLOOKUP(S56:AG56,增益!$A:$A,增益!$L:$L,0))</f>
        <v>0</v>
      </c>
      <c r="BB56">
        <f t="shared" si="5"/>
        <v>0</v>
      </c>
      <c r="BC56">
        <f t="shared" si="6"/>
        <v>0</v>
      </c>
      <c r="BD56" s="32" cm="1">
        <f t="array" ref="BD56">IF($F$13-$I$4+VLOOKUP($R56,武学奇术!$A:$ZZ,13,FALSE)+SUM(_xlfn.XLOOKUP(S56:AG56,增益!$A:$A,增益!$M:$M,0))&gt;0,($F$13-$I$4+VLOOKUP($R56,武学奇术!$A:$ZZ,13,FALSE)+SUM(_xlfn.XLOOKUP(S56:AG56,增益!$A:$A,增益!$K:$K,0)))/200,($F$13-$I$4+VLOOKUP($R56,武学奇术!$A:$ZZ,13,FALSE)+SUM(_xlfn.XLOOKUP(S56:AG56,增益!$A:$A,增益!$M:$M,0)))/100)</f>
        <v>-0.3</v>
      </c>
      <c r="BE56" s="32" cm="1">
        <f t="array" ref="BE56">$G$13+VLOOKUP($R56,武学奇术!$A:$ZZ,14,FALSE)+SUM(_xlfn.XLOOKUP(S56:AG56,增益!$A:$A,增益!$N:$N,0))</f>
        <v>0</v>
      </c>
      <c r="BF56">
        <f t="shared" si="7"/>
        <v>571.2</v>
      </c>
      <c r="BG56">
        <f t="shared" si="8"/>
        <v>1627.8</v>
      </c>
      <c r="BH56" s="32" cm="1">
        <f t="array" ref="BH56">IF($F$14-$I$4+VLOOKUP($R56,武学奇术!$A:$ZZ,15,FALSE)+SUM(_xlfn.XLOOKUP(S56:AG56,增益!$A:$A,增益!$O:$O,0))&gt;0,($F$14-$I$4+VLOOKUP($R56,武学奇术!$A:$ZZ,15,FALSE)+SUM(_xlfn.XLOOKUP(S56:AG56,增益!$A:$A,增益!$O:$O,0)))/200,($F$14-$I$4+VLOOKUP($R56,武学奇术!$A:$ZZ,15,FALSE)+SUM(_xlfn.XLOOKUP(S56:AG56,增益!$A:$A,增益!$O:$O,0)))/100)</f>
        <v>0</v>
      </c>
      <c r="BI56" s="32" cm="1">
        <f t="array" ref="BI56">$G$14+VLOOKUP($R56,武学奇术!$A:$ZZ,16,FALSE)+SUM(_xlfn.XLOOKUP(S56:AG56,增益!$A:$A,增益!$P:$P,0))</f>
        <v>0.27</v>
      </c>
      <c r="BJ56" s="26">
        <f>MIN(IF(VLOOKUP($R56,武学奇术!$A:$ZZ,23,FALSE)=1,100%,$B$8),100%)</f>
        <v>0.981</v>
      </c>
      <c r="BK56" s="26" cm="1">
        <f t="array" ref="BK56">IF(VLOOKUP($R56,武学奇术!$A:$ZZ,23,FALSE)=1,100%,MIN(80%,$B$9+VLOOKUP($R56,武学奇术!$A:$ZZ,17,FALSE)+SUM(_xlfn.XLOOKUP(S56:AG56,增益!$A:$A,增益!$Q:$Q,0)))+$B$11+SUM(_xlfn.XLOOKUP(S56:AG56,增益!$A:$A,增益!$U:$U,0)))*IF(VLOOKUP($R56,武学奇术!$A:$ZZ,24,FALSE)=1,0,1)</f>
        <v>0.846</v>
      </c>
      <c r="BL56" s="26" cm="1">
        <f t="array" ref="BL56">1+$B$13+VLOOKUP($R56,武学奇术!$A:$ZZ,18,FALSE)+SUM(_xlfn.XLOOKUP(S56:AG56,增益!$A:$A,增益!$R:$R,0))</f>
        <v>2.06</v>
      </c>
      <c r="BM56" s="26" cm="1">
        <f t="array" ref="BM56">IF(VLOOKUP($R56,武学奇术!$A:$ZZ,24,FALSE)=1,100%,MIN(40%,$B$10+VLOOKUP($R56,武学奇术!$A:$ZZ,19,FALSE)+SUM(_xlfn.XLOOKUP(S56:AG56,增益!$A:$A,增益!$S:$S,0)))+$B$12+SUM(_xlfn.XLOOKUP(S56:AG56,增益!$A:$A,增益!$V:$V,0)))*IF(VLOOKUP($R56,武学奇术!$A:$ZZ,23,FALSE)=1,0,1)</f>
        <v>0.0929</v>
      </c>
      <c r="BN56" s="26" cm="1">
        <f t="array" ref="BN56">1+$B$14+VLOOKUP($R56,武学奇术!$A:$ZZ,20,FALSE)+SUM(_xlfn.XLOOKUP(S56:AG56,增益!$A:$A,增益!$T:$T,0))</f>
        <v>1.35</v>
      </c>
      <c r="BO56" s="26">
        <f t="shared" si="9"/>
        <v>0.829926</v>
      </c>
      <c r="BP56" s="26">
        <f t="shared" si="10"/>
        <v>0.0599391</v>
      </c>
      <c r="BQ56" s="26">
        <f>IF(VLOOKUP($R56,武学奇术!$A:$ZZ,22,FALSE)=1,0,(1-$BJ56))*(1-$BM56)</f>
        <v>0.0172349</v>
      </c>
      <c r="BR56" s="26" cm="1">
        <f t="array" ref="BR56">SUM(_xlfn.XLOOKUP(S56:AG56,增益!$A:$A,增益!$W:$W,0))+$I$5</f>
        <v>0.11</v>
      </c>
    </row>
    <row r="57" spans="1:70">
      <c r="A57" s="4"/>
      <c r="B57" s="4"/>
      <c r="D57" s="4"/>
      <c r="E57" s="4"/>
      <c r="K57">
        <f>$L57*VLOOKUP($R57,武学奇术!$A:$ZZ,31,FALSE)</f>
        <v>171344.660121177</v>
      </c>
      <c r="L57" s="38">
        <f t="shared" si="11"/>
        <v>163185.390591597</v>
      </c>
      <c r="M57" s="38">
        <f>((($AO57+$AP57)/2*$AI57+$AJ57)*(1+$AQ57)*(1+$AR57)+(($AT57+$AU57)/2*IF($G$1="鸣金",$AK57,$AI57)+IF($G$1="鸣金",$AL57*1.5,0))*(1+$AV57)*(1+$AW57)+(($AX57+$AY57)/2*IF($G$1="裂石",$AK57,$AI57)+IF($G$1="裂石",$AL57*1.5,0))*(1+$AZ57)*(1+$BA57)+(($BB57+$BC57)/2*IF($G$1="牵丝",$AK57,$AI57)+IF($G$1="牵丝",$AL57*1.5,0))*(1+$BD57)*(1+$BE57)+(($BF57+$BG57)/2*IF($G$1="破竹",$AK57,$AI57)+IF($G$1="破竹",$AL57*1.5,0))*(1+$BH57)*(1+$BI57))*(1+$AM57)*$BL57*$Q57*(1+IF(VLOOKUP($R57,武学奇术!$A:$ZZ,30,FALSE)="回旋伞",$B$21,0))*(1+$BR57)</f>
        <v>163185.390591597</v>
      </c>
      <c r="N57" s="38">
        <f>(($AP57*$AI57+$AJ57)*(1+$AQ57)*(1+$AR57)+($AU57*IF($G$1="鸣金",$AK57,$AI57)+IF($G$1="鸣金",$AL57*1.5,0))*(1+$AV57)*(1+$AW57)+($AY57*IF($G$1="裂石",$AK57,$AI57)+IF($G$1="裂石",$AL57*1.5,0))*(1+$AZ57)*(1+$BA57)+($BC57*IF($G$1="牵丝",$AK57,$AI57)+IF($G$1="牵丝",$AL57*1.5,0))*(1+$BD57)*(1+$BE57)+($BG57*IF($G$1="破竹",$AK57,$AI57)+IF($G$1="破竹",$AL57*1.5,0))*(1+$BH57)*(1+$BI57))*(1+$AM57)*$BN57*$Q57*(1+IF(VLOOKUP($R57,武学奇术!$A:$ZZ,30,FALSE)="回旋伞",$B$21,0))*(1+$BR57)</f>
        <v>119715.351206277</v>
      </c>
      <c r="O57" s="38">
        <f>((($AO57+$AP57)/2*$AI57+$AJ57)*(1+$AQ57)*(1+$AR57)+(($AT57+$AU57)/2*IF($G$1="鸣金",$AK57,$AI57)+IF($G$1="鸣金",$AL57*1.5,0))*(1+$AV57)*(1+$AW57)+(($AX57+$AY57)/2*IF($G$1="裂石",$AK57,$AI57)+IF($G$1="裂石",$AL57*1.5,0))*(1+$AZ57)*(1+$BA57)+(($BB57+$BC57)/2*IF($G$1="牵丝",$AK57,$AI57)+IF($G$1="牵丝",$AL57*1.5,0))*(1+$BD57)*(1+$BE57)+(($BF57+$BG57)/2*IF($G$1="破竹",$AK57,$AI57)+IF($G$1="破竹",$AL57*1.5,0))*(1+$BH57)*(1+$BI57))*(1+$AM57)*$Q57*(1+IF(VLOOKUP($R57,武学奇术!$A:$ZZ,30,FALSE)="回旋伞",$B$21,0))*(1+$BR57)</f>
        <v>79216.209025047</v>
      </c>
      <c r="P57" s="38">
        <f>((($AO57*$AI57+$AJ57)*(1+$AQ57)*(1+$AR57)+($AT57*IF($G$1="鸣金",$AK57,$AI57)+IF($G$1="鸣金",$AL57*1.5,0))*(1+$AV57)*(1+$AW57)+($AX57*IF($G$1="裂石",$AK57,$AI57)+IF($G$1="裂石",$AL57*1.5,0))*(1+$AZ57)*(1+$BA57)+($BB57*IF($G$1="牵丝",$AK57,$AI57)+IF($G$1="牵丝",$AL57*1.5,0))*(1+$BD57)*(1+$BE57)+($BF57*IF($G$1="破竹",$AK57,$AI57)+IF($G$1="破竹",$AL57*1.5,0))*(1+$BH57)*(1+$BI57))*(1+$AM57))*$Q57*(1+IF(VLOOKUP($R57,武学奇术!$A:$ZZ,30,FALSE)="回旋伞",$B$21,0))*(1+$BR57)</f>
        <v>69754.3801195181</v>
      </c>
      <c r="Q57" s="39">
        <v>2</v>
      </c>
      <c r="R57" s="40" t="s">
        <v>125</v>
      </c>
      <c r="S57" s="40" t="s">
        <v>109</v>
      </c>
      <c r="T57" s="40" t="s">
        <v>95</v>
      </c>
      <c r="U57" s="40" t="s">
        <v>73</v>
      </c>
      <c r="V57" s="40" t="s">
        <v>72</v>
      </c>
      <c r="W57" s="40" t="s">
        <v>172</v>
      </c>
      <c r="X57" s="40" t="s">
        <v>99</v>
      </c>
      <c r="Y57" s="40" t="s">
        <v>72</v>
      </c>
      <c r="Z57" s="40" t="s">
        <v>72</v>
      </c>
      <c r="AA57" s="40" t="s">
        <v>72</v>
      </c>
      <c r="AB57" s="40" t="s">
        <v>126</v>
      </c>
      <c r="AC57" s="40" t="s">
        <v>72</v>
      </c>
      <c r="AD57" s="40" t="s">
        <v>72</v>
      </c>
      <c r="AE57" s="40" t="s">
        <v>72</v>
      </c>
      <c r="AF57" s="40" t="s">
        <v>72</v>
      </c>
      <c r="AG57" s="40" t="s">
        <v>78</v>
      </c>
      <c r="AH57" t="str">
        <f>VLOOKUP($R57,武学奇术!$A:$ZZ,25,FALSE)</f>
        <v>伞</v>
      </c>
      <c r="AI57" s="26">
        <f>VLOOKUP($R57,武学奇术!$A:$ZZ,26,FALSE)</f>
        <v>1.8084</v>
      </c>
      <c r="AJ57" s="27">
        <f>VLOOKUP($R57,武学奇术!$A:$ZZ,27,FALSE)*(1+IF(OR($AH57=$F$4,$AH57=$F$5),$B$22,0))</f>
        <v>750</v>
      </c>
      <c r="AK57" s="26">
        <f>VLOOKUP($R57,武学奇术!$A:$ZZ,28,FALSE)</f>
        <v>2.7126</v>
      </c>
      <c r="AL57" s="27">
        <f>VLOOKUP($R57,武学奇术!$A:$ZZ,29,FALSE)*(1+IF(OR($AH57=$F$4,$AH57=$F$5),$B$22,0))</f>
        <v>408</v>
      </c>
      <c r="AM57" s="26" cm="1">
        <f t="array" ref="AM57">$G$3+IFERROR(VLOOKUP($AH57,$F$4:$G$7,2,FALSE),0)+VLOOKUP($R57,武学奇术!$A:$ZZ,2,FALSE)+SUM(_xlfn.XLOOKUP($S57:$AG57,增益!$A:$A,增益!$B:$B,0))</f>
        <v>0.7741</v>
      </c>
      <c r="AN57" s="26" cm="1">
        <f t="array" ref="AN57">VLOOKUP($R57,武学奇术!$A:$ZZ,5,FALSE)+SUM(_xlfn.XLOOKUP($S57:$AG57,增益!$A:$A,增益!$E:$E,0))</f>
        <v>0</v>
      </c>
      <c r="AO57" cm="1">
        <f t="array" ref="AO57">$D$10*(1+$AN57)+VLOOKUP($R57,武学奇术!$A:$ZZ,3,FALSE)+SUM(_xlfn.XLOOKUP($S57:$AG57,增益!$A:$A,增益!$C:$C,0))-$I$2</f>
        <v>3562.6</v>
      </c>
      <c r="AP57" cm="1">
        <f t="array" ref="AP57">$E$10*(1+$AN57)+VLOOKUP($R57,武学奇术!$A:$ZZ,4,FALSE)+SUM(_xlfn.XLOOKUP($S57:$AG57,增益!$A:$A,增益!$D:$D,0))-$I$2</f>
        <v>3562.6</v>
      </c>
      <c r="AQ57" s="32" cm="1">
        <f t="array" ref="AQ57">IF($F$10-$I$3+VLOOKUP($R57,武学奇术!$A:$ZZ,6,FALSE)+SUM(_xlfn.XLOOKUP(S57:AG57,增益!$A:$A,增益!$F:$F,0))&gt;0,($F$10-$I$3+VLOOKUP($R57,武学奇术!$A:$ZZ,6,FALSE)+SUM(_xlfn.XLOOKUP(S57:AG57,增益!$A:$A,增益!$F:$F,0)))/200,($F$10-$I$3+VLOOKUP($R57,武学奇术!$A:$ZZ,6,FALSE)+SUM(_xlfn.XLOOKUP(S57:AG57,增益!$A:$A,增益!$F:$F,0)))/100)</f>
        <v>0.2925</v>
      </c>
      <c r="AR57" s="32" cm="1">
        <f t="array" ref="AR57">$G$10+VLOOKUP($R57,武学奇术!$A:$ZZ,7,FALSE)+SUM(_xlfn.XLOOKUP(S57:AG57,增益!$A:$A,增益!$G:$G,0))</f>
        <v>0.148</v>
      </c>
      <c r="AS57" s="26" cm="1">
        <f t="array" ref="AS57">VLOOKUP($R57,武学奇术!$A:$ZZ,8,FALSE)+SUM(_xlfn.XLOOKUP(S57:AG57,增益!$A:$A,增益!$H:$H,0))</f>
        <v>0</v>
      </c>
      <c r="AT57">
        <f t="shared" si="1"/>
        <v>0</v>
      </c>
      <c r="AU57">
        <f t="shared" si="2"/>
        <v>0</v>
      </c>
      <c r="AV57" s="32" cm="1">
        <f t="array" ref="AV57">IF($F$11-$I$4+VLOOKUP($R57,武学奇术!$A:$ZZ,9,FALSE)+SUM(_xlfn.XLOOKUP(S57:AG57,增益!$A:$A,增益!$I:$I,0))&gt;0,($F$11-$I$4+VLOOKUP($R57,武学奇术!$A:$ZZ,9,FALSE)+SUM(_xlfn.XLOOKUP(S57:AG57,增益!$A:$A,增益!$I:$I,0)))/200,($F$11-$I$4+VLOOKUP($R57,武学奇术!$A:$ZZ,9,FALSE)+SUM(_xlfn.XLOOKUP(S57:AG57,增益!$A:$A,增益!$I:$I,0)))/100)</f>
        <v>-0.3</v>
      </c>
      <c r="AW57" s="32" cm="1">
        <f t="array" ref="AW57">$G$11+VLOOKUP($R57,武学奇术!$A:$ZZ,10,FALSE)+SUM(_xlfn.XLOOKUP(S57:AG57,增益!$A:$A,增益!$J:$J,0))</f>
        <v>0</v>
      </c>
      <c r="AX57">
        <f t="shared" si="3"/>
        <v>0</v>
      </c>
      <c r="AY57">
        <f t="shared" si="4"/>
        <v>0</v>
      </c>
      <c r="AZ57" s="32" cm="1">
        <f t="array" ref="AZ57">IF($F$12-$I$4+VLOOKUP($R57,武学奇术!$A:$ZZ,11,FALSE)+SUM(_xlfn.XLOOKUP(S57:AG57,增益!$A:$A,增益!$K:$K,0))&gt;0,($F$12-$I$4+VLOOKUP($R57,武学奇术!$A:$ZZ,11,FALSE)+SUM(_xlfn.XLOOKUP(S57:AG57,增益!$A:$A,增益!$K:$K,0)))/200,($F$12-$I$4+VLOOKUP($R57,武学奇术!$A:$ZZ,11,FALSE)+SUM(_xlfn.XLOOKUP(S57:AG57,增益!$A:$A,增益!$K:$K,0)))/100)</f>
        <v>-0.3</v>
      </c>
      <c r="BA57" s="32" cm="1">
        <f t="array" ref="BA57">$G$12+VLOOKUP($R57,武学奇术!$A:$ZZ,12,FALSE)+SUM(_xlfn.XLOOKUP(S57:AG57,增益!$A:$A,增益!$L:$L,0))</f>
        <v>0</v>
      </c>
      <c r="BB57">
        <f t="shared" si="5"/>
        <v>0</v>
      </c>
      <c r="BC57">
        <f t="shared" si="6"/>
        <v>0</v>
      </c>
      <c r="BD57" s="32" cm="1">
        <f t="array" ref="BD57">IF($F$13-$I$4+VLOOKUP($R57,武学奇术!$A:$ZZ,13,FALSE)+SUM(_xlfn.XLOOKUP(S57:AG57,增益!$A:$A,增益!$M:$M,0))&gt;0,($F$13-$I$4+VLOOKUP($R57,武学奇术!$A:$ZZ,13,FALSE)+SUM(_xlfn.XLOOKUP(S57:AG57,增益!$A:$A,增益!$K:$K,0)))/200,($F$13-$I$4+VLOOKUP($R57,武学奇术!$A:$ZZ,13,FALSE)+SUM(_xlfn.XLOOKUP(S57:AG57,增益!$A:$A,增益!$M:$M,0)))/100)</f>
        <v>-0.3</v>
      </c>
      <c r="BE57" s="32" cm="1">
        <f t="array" ref="BE57">$G$13+VLOOKUP($R57,武学奇术!$A:$ZZ,14,FALSE)+SUM(_xlfn.XLOOKUP(S57:AG57,增益!$A:$A,增益!$N:$N,0))</f>
        <v>0</v>
      </c>
      <c r="BF57">
        <f t="shared" si="7"/>
        <v>571.2</v>
      </c>
      <c r="BG57">
        <f t="shared" si="8"/>
        <v>1627.8</v>
      </c>
      <c r="BH57" s="32" cm="1">
        <f t="array" ref="BH57">IF($F$14-$I$4+VLOOKUP($R57,武学奇术!$A:$ZZ,15,FALSE)+SUM(_xlfn.XLOOKUP(S57:AG57,增益!$A:$A,增益!$O:$O,0))&gt;0,($F$14-$I$4+VLOOKUP($R57,武学奇术!$A:$ZZ,15,FALSE)+SUM(_xlfn.XLOOKUP(S57:AG57,增益!$A:$A,增益!$O:$O,0)))/200,($F$14-$I$4+VLOOKUP($R57,武学奇术!$A:$ZZ,15,FALSE)+SUM(_xlfn.XLOOKUP(S57:AG57,增益!$A:$A,增益!$O:$O,0)))/100)</f>
        <v>0</v>
      </c>
      <c r="BI57" s="32" cm="1">
        <f t="array" ref="BI57">$G$14+VLOOKUP($R57,武学奇术!$A:$ZZ,16,FALSE)+SUM(_xlfn.XLOOKUP(S57:AG57,增益!$A:$A,增益!$P:$P,0))</f>
        <v>0.27</v>
      </c>
      <c r="BJ57" s="26">
        <f>MIN(IF(VLOOKUP($R57,武学奇术!$A:$ZZ,23,FALSE)=1,100%,$B$8),100%)</f>
        <v>1</v>
      </c>
      <c r="BK57" s="26" cm="1">
        <f t="array" ref="BK57">IF(VLOOKUP($R57,武学奇术!$A:$ZZ,23,FALSE)=1,100%,MIN(80%,$B$9+VLOOKUP($R57,武学奇术!$A:$ZZ,17,FALSE)+SUM(_xlfn.XLOOKUP(S57:AG57,增益!$A:$A,增益!$Q:$Q,0)))+$B$11+SUM(_xlfn.XLOOKUP(S57:AG57,增益!$A:$A,增益!$U:$U,0)))*IF(VLOOKUP($R57,武学奇术!$A:$ZZ,24,FALSE)=1,0,1)</f>
        <v>1</v>
      </c>
      <c r="BL57" s="26" cm="1">
        <f t="array" ref="BL57">1+$B$13+VLOOKUP($R57,武学奇术!$A:$ZZ,18,FALSE)+SUM(_xlfn.XLOOKUP(S57:AG57,增益!$A:$A,增益!$R:$R,0))</f>
        <v>2.06</v>
      </c>
      <c r="BM57" s="26" cm="1">
        <f t="array" ref="BM57">IF(VLOOKUP($R57,武学奇术!$A:$ZZ,24,FALSE)=1,100%,MIN(40%,$B$10+VLOOKUP($R57,武学奇术!$A:$ZZ,19,FALSE)+SUM(_xlfn.XLOOKUP(S57:AG57,增益!$A:$A,增益!$S:$S,0)))+$B$12+SUM(_xlfn.XLOOKUP(S57:AG57,增益!$A:$A,增益!$V:$V,0)))*IF(VLOOKUP($R57,武学奇术!$A:$ZZ,23,FALSE)=1,0,1)</f>
        <v>0</v>
      </c>
      <c r="BN57" s="26" cm="1">
        <f t="array" ref="BN57">1+$B$14+VLOOKUP($R57,武学奇术!$A:$ZZ,20,FALSE)+SUM(_xlfn.XLOOKUP(S57:AG57,增益!$A:$A,增益!$T:$T,0))</f>
        <v>1.35</v>
      </c>
      <c r="BO57" s="26">
        <f t="shared" si="9"/>
        <v>1</v>
      </c>
      <c r="BP57" s="26">
        <f t="shared" si="10"/>
        <v>0</v>
      </c>
      <c r="BQ57" s="26">
        <f>IF(VLOOKUP($R57,武学奇术!$A:$ZZ,22,FALSE)=1,0,(1-$BJ57))*(1-$BM57)</f>
        <v>0</v>
      </c>
      <c r="BR57" s="26" cm="1">
        <f t="array" ref="BR57">SUM(_xlfn.XLOOKUP(S57:AG57,增益!$A:$A,增益!$W:$W,0))+$I$5</f>
        <v>0.11</v>
      </c>
    </row>
    <row r="58" spans="1:70">
      <c r="A58" s="4"/>
      <c r="B58" s="4"/>
      <c r="K58">
        <f>$L58*VLOOKUP($R58,武学奇术!$A:$ZZ,31,FALSE)</f>
        <v>74805.7554981562</v>
      </c>
      <c r="L58" s="38">
        <f t="shared" si="11"/>
        <v>71243.5766649106</v>
      </c>
      <c r="M58" s="38">
        <f>((($AO58+$AP58)/2*$AI58+$AJ58)*(1+$AQ58)*(1+$AR58)+(($AT58+$AU58)/2*IF($G$1="鸣金",$AK58,$AI58)+IF($G$1="鸣金",$AL58*1.5,0))*(1+$AV58)*(1+$AW58)+(($AX58+$AY58)/2*IF($G$1="裂石",$AK58,$AI58)+IF($G$1="裂石",$AL58*1.5,0))*(1+$AZ58)*(1+$BA58)+(($BB58+$BC58)/2*IF($G$1="牵丝",$AK58,$AI58)+IF($G$1="牵丝",$AL58*1.5,0))*(1+$BD58)*(1+$BE58)+(($BF58+$BG58)/2*IF($G$1="破竹",$AK58,$AI58)+IF($G$1="破竹",$AL58*1.5,0))*(1+$BH58)*(1+$BI58))*(1+$AM58)*$BL58*$Q58*(1+IF(VLOOKUP($R58,武学奇术!$A:$ZZ,30,FALSE)="回旋伞",$B$21,0))*(1+$BR58)</f>
        <v>71243.5766649106</v>
      </c>
      <c r="N58" s="38">
        <f>(($AP58*$AI58+$AJ58)*(1+$AQ58)*(1+$AR58)+($AU58*IF($G$1="鸣金",$AK58,$AI58)+IF($G$1="鸣金",$AL58*1.5,0))*(1+$AV58)*(1+$AW58)+($AY58*IF($G$1="裂石",$AK58,$AI58)+IF($G$1="裂石",$AL58*1.5,0))*(1+$AZ58)*(1+$BA58)+($BC58*IF($G$1="牵丝",$AK58,$AI58)+IF($G$1="牵丝",$AL58*1.5,0))*(1+$BD58)*(1+$BE58)+($BG58*IF($G$1="破竹",$AK58,$AI58)+IF($G$1="破竹",$AL58*1.5,0))*(1+$BH58)*(1+$BI58))*(1+$AM58)*$BN58*$Q58*(1+IF(VLOOKUP($R58,武学奇术!$A:$ZZ,30,FALSE)="回旋伞",$B$21,0))*(1+$BR58)</f>
        <v>53055.100543951</v>
      </c>
      <c r="O58" s="38">
        <f>((($AO58+$AP58)/2*$AI58+$AJ58)*(1+$AQ58)*(1+$AR58)+(($AT58+$AU58)/2*IF($G$1="鸣金",$AK58,$AI58)+IF($G$1="鸣金",$AL58*1.5,0))*(1+$AV58)*(1+$AW58)+(($AX58+$AY58)/2*IF($G$1="裂石",$AK58,$AI58)+IF($G$1="裂石",$AL58*1.5,0))*(1+$AZ58)*(1+$BA58)+(($BB58+$BC58)/2*IF($G$1="牵丝",$AK58,$AI58)+IF($G$1="牵丝",$AL58*1.5,0))*(1+$BD58)*(1+$BE58)+(($BF58+$BG58)/2*IF($G$1="破竹",$AK58,$AI58)+IF($G$1="破竹",$AL58*1.5,0))*(1+$BH58)*(1+$BI58))*(1+$AM58)*$Q58*(1+IF(VLOOKUP($R58,武学奇术!$A:$ZZ,30,FALSE)="回旋伞",$B$21,0))*(1+$BR58)</f>
        <v>34584.2605169469</v>
      </c>
      <c r="P58" s="38">
        <f>((($AO58*$AI58+$AJ58)*(1+$AQ58)*(1+$AR58)+($AT58*IF($G$1="鸣金",$AK58,$AI58)+IF($G$1="鸣金",$AL58*1.5,0))*(1+$AV58)*(1+$AW58)+($AX58*IF($G$1="裂石",$AK58,$AI58)+IF($G$1="裂石",$AL58*1.5,0))*(1+$AZ58)*(1+$BA58)+($BB58*IF($G$1="牵丝",$AK58,$AI58)+IF($G$1="牵丝",$AL58*1.5,0))*(1+$BD58)*(1+$BE58)+($BF58*IF($G$1="破竹",$AK58,$AI58)+IF($G$1="破竹",$AL58*1.5,0))*(1+$BH58)*(1+$BI58))*(1+$AM58))*$Q58*(1+IF(VLOOKUP($R58,武学奇术!$A:$ZZ,30,FALSE)="回旋伞",$B$21,0))*(1+$BR58)</f>
        <v>29868.4465568931</v>
      </c>
      <c r="Q58" s="39">
        <v>3</v>
      </c>
      <c r="R58" s="40" t="s">
        <v>132</v>
      </c>
      <c r="S58" s="40" t="s">
        <v>109</v>
      </c>
      <c r="T58" s="40" t="s">
        <v>95</v>
      </c>
      <c r="U58" s="40" t="s">
        <v>73</v>
      </c>
      <c r="V58" s="40" t="s">
        <v>72</v>
      </c>
      <c r="W58" s="40" t="s">
        <v>172</v>
      </c>
      <c r="X58" s="40" t="s">
        <v>99</v>
      </c>
      <c r="Y58" s="40" t="s">
        <v>72</v>
      </c>
      <c r="Z58" s="40" t="s">
        <v>72</v>
      </c>
      <c r="AA58" s="40" t="s">
        <v>72</v>
      </c>
      <c r="AB58" s="40" t="s">
        <v>126</v>
      </c>
      <c r="AC58" s="40" t="s">
        <v>72</v>
      </c>
      <c r="AD58" s="40" t="s">
        <v>72</v>
      </c>
      <c r="AE58" s="40" t="s">
        <v>72</v>
      </c>
      <c r="AF58" s="40" t="s">
        <v>72</v>
      </c>
      <c r="AG58" s="40" t="s">
        <v>78</v>
      </c>
      <c r="AH58" t="str">
        <f>VLOOKUP($R58,武学奇术!$A:$ZZ,25,FALSE)</f>
        <v>伞</v>
      </c>
      <c r="AI58" s="26">
        <f>VLOOKUP($R58,武学奇术!$A:$ZZ,26,FALSE)</f>
        <v>0.54</v>
      </c>
      <c r="AJ58" s="27">
        <f>VLOOKUP($R58,武学奇术!$A:$ZZ,27,FALSE)*(1+IF(OR($AH58=$F$4,$AH58=$F$5),$B$22,0))</f>
        <v>0</v>
      </c>
      <c r="AK58" s="26">
        <f>VLOOKUP($R58,武学奇术!$A:$ZZ,28,FALSE)</f>
        <v>0.81</v>
      </c>
      <c r="AL58" s="27">
        <f>VLOOKUP($R58,武学奇术!$A:$ZZ,29,FALSE)*(1+IF(OR($AH58=$F$4,$AH58=$F$5),$B$22,0))</f>
        <v>0</v>
      </c>
      <c r="AM58" s="26" cm="1">
        <f t="array" ref="AM58">$G$3+IFERROR(VLOOKUP($AH58,$F$4:$G$7,2,FALSE),0)+VLOOKUP($R58,武学奇术!$A:$ZZ,2,FALSE)+SUM(_xlfn.XLOOKUP($S58:$AG58,增益!$A:$A,增益!$B:$B,0))</f>
        <v>0.9741</v>
      </c>
      <c r="AN58" s="26" cm="1">
        <f t="array" ref="AN58">VLOOKUP($R58,武学奇术!$A:$ZZ,5,FALSE)+SUM(_xlfn.XLOOKUP($S58:$AG58,增益!$A:$A,增益!$E:$E,0))</f>
        <v>0</v>
      </c>
      <c r="AO58" cm="1">
        <f t="array" ref="AO58">$D$10*(1+$AN58)+VLOOKUP($R58,武学奇术!$A:$ZZ,3,FALSE)+SUM(_xlfn.XLOOKUP($S58:$AG58,增益!$A:$A,增益!$C:$C,0))-$I$2</f>
        <v>3562.6</v>
      </c>
      <c r="AP58" cm="1">
        <f t="array" ref="AP58">$E$10*(1+$AN58)+VLOOKUP($R58,武学奇术!$A:$ZZ,4,FALSE)+SUM(_xlfn.XLOOKUP($S58:$AG58,增益!$A:$A,增益!$D:$D,0))-$I$2</f>
        <v>3562.6</v>
      </c>
      <c r="AQ58" s="32" cm="1">
        <f t="array" ref="AQ58">IF($F$10-$I$3+VLOOKUP($R58,武学奇术!$A:$ZZ,6,FALSE)+SUM(_xlfn.XLOOKUP(S58:AG58,增益!$A:$A,增益!$F:$F,0))&gt;0,($F$10-$I$3+VLOOKUP($R58,武学奇术!$A:$ZZ,6,FALSE)+SUM(_xlfn.XLOOKUP(S58:AG58,增益!$A:$A,增益!$F:$F,0)))/200,($F$10-$I$3+VLOOKUP($R58,武学奇术!$A:$ZZ,6,FALSE)+SUM(_xlfn.XLOOKUP(S58:AG58,增益!$A:$A,增益!$F:$F,0)))/100)</f>
        <v>0.2925</v>
      </c>
      <c r="AR58" s="32" cm="1">
        <f t="array" ref="AR58">$G$10+VLOOKUP($R58,武学奇术!$A:$ZZ,7,FALSE)+SUM(_xlfn.XLOOKUP(S58:AG58,增益!$A:$A,增益!$G:$G,0))</f>
        <v>0.148</v>
      </c>
      <c r="AS58" s="26" cm="1">
        <f t="array" ref="AS58">VLOOKUP($R58,武学奇术!$A:$ZZ,8,FALSE)+SUM(_xlfn.XLOOKUP(S58:AG58,增益!$A:$A,增益!$H:$H,0))</f>
        <v>0</v>
      </c>
      <c r="AT58">
        <f t="shared" si="1"/>
        <v>0</v>
      </c>
      <c r="AU58">
        <f t="shared" si="2"/>
        <v>0</v>
      </c>
      <c r="AV58" s="32" cm="1">
        <f t="array" ref="AV58">IF($F$11-$I$4+VLOOKUP($R58,武学奇术!$A:$ZZ,9,FALSE)+SUM(_xlfn.XLOOKUP(S58:AG58,增益!$A:$A,增益!$I:$I,0))&gt;0,($F$11-$I$4+VLOOKUP($R58,武学奇术!$A:$ZZ,9,FALSE)+SUM(_xlfn.XLOOKUP(S58:AG58,增益!$A:$A,增益!$I:$I,0)))/200,($F$11-$I$4+VLOOKUP($R58,武学奇术!$A:$ZZ,9,FALSE)+SUM(_xlfn.XLOOKUP(S58:AG58,增益!$A:$A,增益!$I:$I,0)))/100)</f>
        <v>-0.3</v>
      </c>
      <c r="AW58" s="32" cm="1">
        <f t="array" ref="AW58">$G$11+VLOOKUP($R58,武学奇术!$A:$ZZ,10,FALSE)+SUM(_xlfn.XLOOKUP(S58:AG58,增益!$A:$A,增益!$J:$J,0))</f>
        <v>0</v>
      </c>
      <c r="AX58">
        <f t="shared" si="3"/>
        <v>0</v>
      </c>
      <c r="AY58">
        <f t="shared" si="4"/>
        <v>0</v>
      </c>
      <c r="AZ58" s="32" cm="1">
        <f t="array" ref="AZ58">IF($F$12-$I$4+VLOOKUP($R58,武学奇术!$A:$ZZ,11,FALSE)+SUM(_xlfn.XLOOKUP(S58:AG58,增益!$A:$A,增益!$K:$K,0))&gt;0,($F$12-$I$4+VLOOKUP($R58,武学奇术!$A:$ZZ,11,FALSE)+SUM(_xlfn.XLOOKUP(S58:AG58,增益!$A:$A,增益!$K:$K,0)))/200,($F$12-$I$4+VLOOKUP($R58,武学奇术!$A:$ZZ,11,FALSE)+SUM(_xlfn.XLOOKUP(S58:AG58,增益!$A:$A,增益!$K:$K,0)))/100)</f>
        <v>-0.3</v>
      </c>
      <c r="BA58" s="32" cm="1">
        <f t="array" ref="BA58">$G$12+VLOOKUP($R58,武学奇术!$A:$ZZ,12,FALSE)+SUM(_xlfn.XLOOKUP(S58:AG58,增益!$A:$A,增益!$L:$L,0))</f>
        <v>0</v>
      </c>
      <c r="BB58">
        <f t="shared" si="5"/>
        <v>0</v>
      </c>
      <c r="BC58">
        <f t="shared" si="6"/>
        <v>0</v>
      </c>
      <c r="BD58" s="32" cm="1">
        <f t="array" ref="BD58">IF($F$13-$I$4+VLOOKUP($R58,武学奇术!$A:$ZZ,13,FALSE)+SUM(_xlfn.XLOOKUP(S58:AG58,增益!$A:$A,增益!$M:$M,0))&gt;0,($F$13-$I$4+VLOOKUP($R58,武学奇术!$A:$ZZ,13,FALSE)+SUM(_xlfn.XLOOKUP(S58:AG58,增益!$A:$A,增益!$K:$K,0)))/200,($F$13-$I$4+VLOOKUP($R58,武学奇术!$A:$ZZ,13,FALSE)+SUM(_xlfn.XLOOKUP(S58:AG58,增益!$A:$A,增益!$M:$M,0)))/100)</f>
        <v>-0.3</v>
      </c>
      <c r="BE58" s="32" cm="1">
        <f t="array" ref="BE58">$G$13+VLOOKUP($R58,武学奇术!$A:$ZZ,14,FALSE)+SUM(_xlfn.XLOOKUP(S58:AG58,增益!$A:$A,增益!$N:$N,0))</f>
        <v>0</v>
      </c>
      <c r="BF58">
        <f t="shared" si="7"/>
        <v>571.2</v>
      </c>
      <c r="BG58">
        <f t="shared" si="8"/>
        <v>1627.8</v>
      </c>
      <c r="BH58" s="32" cm="1">
        <f t="array" ref="BH58">IF($F$14-$I$4+VLOOKUP($R58,武学奇术!$A:$ZZ,15,FALSE)+SUM(_xlfn.XLOOKUP(S58:AG58,增益!$A:$A,增益!$O:$O,0))&gt;0,($F$14-$I$4+VLOOKUP($R58,武学奇术!$A:$ZZ,15,FALSE)+SUM(_xlfn.XLOOKUP(S58:AG58,增益!$A:$A,增益!$O:$O,0)))/200,($F$14-$I$4+VLOOKUP($R58,武学奇术!$A:$ZZ,15,FALSE)+SUM(_xlfn.XLOOKUP(S58:AG58,增益!$A:$A,增益!$O:$O,0)))/100)</f>
        <v>0</v>
      </c>
      <c r="BI58" s="32" cm="1">
        <f t="array" ref="BI58">$G$14+VLOOKUP($R58,武学奇术!$A:$ZZ,16,FALSE)+SUM(_xlfn.XLOOKUP(S58:AG58,增益!$A:$A,增益!$P:$P,0))</f>
        <v>0.27</v>
      </c>
      <c r="BJ58" s="26">
        <f>MIN(IF(VLOOKUP($R58,武学奇术!$A:$ZZ,23,FALSE)=1,100%,$B$8),100%)</f>
        <v>1</v>
      </c>
      <c r="BK58" s="26" cm="1">
        <f t="array" ref="BK58">IF(VLOOKUP($R58,武学奇术!$A:$ZZ,23,FALSE)=1,100%,MIN(80%,$B$9+VLOOKUP($R58,武学奇术!$A:$ZZ,17,FALSE)+SUM(_xlfn.XLOOKUP(S58:AG58,增益!$A:$A,增益!$Q:$Q,0)))+$B$11+SUM(_xlfn.XLOOKUP(S58:AG58,增益!$A:$A,增益!$U:$U,0)))*IF(VLOOKUP($R58,武学奇术!$A:$ZZ,24,FALSE)=1,0,1)</f>
        <v>1</v>
      </c>
      <c r="BL58" s="26" cm="1">
        <f t="array" ref="BL58">1+$B$13+VLOOKUP($R58,武学奇术!$A:$ZZ,18,FALSE)+SUM(_xlfn.XLOOKUP(S58:AG58,增益!$A:$A,增益!$R:$R,0))</f>
        <v>2.06</v>
      </c>
      <c r="BM58" s="26" cm="1">
        <f t="array" ref="BM58">IF(VLOOKUP($R58,武学奇术!$A:$ZZ,24,FALSE)=1,100%,MIN(40%,$B$10+VLOOKUP($R58,武学奇术!$A:$ZZ,19,FALSE)+SUM(_xlfn.XLOOKUP(S58:AG58,增益!$A:$A,增益!$S:$S,0)))+$B$12+SUM(_xlfn.XLOOKUP(S58:AG58,增益!$A:$A,增益!$V:$V,0)))*IF(VLOOKUP($R58,武学奇术!$A:$ZZ,23,FALSE)=1,0,1)</f>
        <v>0</v>
      </c>
      <c r="BN58" s="26" cm="1">
        <f t="array" ref="BN58">1+$B$14+VLOOKUP($R58,武学奇术!$A:$ZZ,20,FALSE)+SUM(_xlfn.XLOOKUP(S58:AG58,增益!$A:$A,增益!$T:$T,0))</f>
        <v>1.35</v>
      </c>
      <c r="BO58" s="26">
        <f t="shared" si="9"/>
        <v>1</v>
      </c>
      <c r="BP58" s="26">
        <f t="shared" si="10"/>
        <v>0</v>
      </c>
      <c r="BQ58" s="26">
        <f>IF(VLOOKUP($R58,武学奇术!$A:$ZZ,22,FALSE)=1,0,(1-$BJ58))*(1-$BM58)</f>
        <v>0</v>
      </c>
      <c r="BR58" s="26" cm="1">
        <f t="array" ref="BR58">SUM(_xlfn.XLOOKUP(S58:AG58,增益!$A:$A,增益!$W:$W,0))+$I$5</f>
        <v>0.11</v>
      </c>
    </row>
    <row r="59" spans="1:70">
      <c r="K59">
        <f>$L59*VLOOKUP($R59,武学奇术!$A:$ZZ,31,FALSE)</f>
        <v>43984.8663228827</v>
      </c>
      <c r="L59" s="38">
        <f t="shared" si="11"/>
        <v>41890.3488789359</v>
      </c>
      <c r="M59" s="38">
        <f>((($AO59+$AP59)/2*$AI59+$AJ59)*(1+$AQ59)*(1+$AR59)+(($AT59+$AU59)/2*IF($G$1="鸣金",$AK59,$AI59)+IF($G$1="鸣金",$AL59*1.5,0))*(1+$AV59)*(1+$AW59)+(($AX59+$AY59)/2*IF($G$1="裂石",$AK59,$AI59)+IF($G$1="裂石",$AL59*1.5,0))*(1+$AZ59)*(1+$BA59)+(($BB59+$BC59)/2*IF($G$1="牵丝",$AK59,$AI59)+IF($G$1="牵丝",$AL59*1.5,0))*(1+$BD59)*(1+$BE59)+(($BF59+$BG59)/2*IF($G$1="破竹",$AK59,$AI59)+IF($G$1="破竹",$AL59*1.5,0))*(1+$BH59)*(1+$BI59))*(1+$AM59)*$BL59*$Q59*(1+IF(VLOOKUP($R59,武学奇术!$A:$ZZ,30,FALSE)="回旋伞",$B$21,0))*(1+$BR59)</f>
        <v>44431.312498418</v>
      </c>
      <c r="N59" s="38">
        <f>(($AP59*$AI59+$AJ59)*(1+$AQ59)*(1+$AR59)+($AU59*IF($G$1="鸣金",$AK59,$AI59)+IF($G$1="鸣金",$AL59*1.5,0))*(1+$AV59)*(1+$AW59)+($AY59*IF($G$1="裂石",$AK59,$AI59)+IF($G$1="裂石",$AL59*1.5,0))*(1+$AZ59)*(1+$BA59)+($BC59*IF($G$1="牵丝",$AK59,$AI59)+IF($G$1="牵丝",$AL59*1.5,0))*(1+$BD59)*(1+$BE59)+($BG59*IF($G$1="破竹",$AK59,$AI59)+IF($G$1="破竹",$AL59*1.5,0))*(1+$BH59)*(1+$BI59))*(1+$AM59)*$BN59*$Q59*(1+IF(VLOOKUP($R59,武学奇术!$A:$ZZ,30,FALSE)="回旋伞",$B$21,0))*(1+$BR59)</f>
        <v>35184.6198323255</v>
      </c>
      <c r="O59" s="38">
        <f>((($AO59+$AP59)/2*$AI59+$AJ59)*(1+$AQ59)*(1+$AR59)+(($AT59+$AU59)/2*IF($G$1="鸣金",$AK59,$AI59)+IF($G$1="鸣金",$AL59*1.5,0))*(1+$AV59)*(1+$AW59)+(($AX59+$AY59)/2*IF($G$1="裂石",$AK59,$AI59)+IF($G$1="裂石",$AL59*1.5,0))*(1+$AZ59)*(1+$BA59)+(($BB59+$BC59)/2*IF($G$1="牵丝",$AK59,$AI59)+IF($G$1="牵丝",$AL59*1.5,0))*(1+$BD59)*(1+$BE59)+(($BF59+$BG59)/2*IF($G$1="破竹",$AK59,$AI59)+IF($G$1="破竹",$AL59*1.5,0))*(1+$BH59)*(1+$BI59))*(1+$AM59)*$Q59*(1+IF(VLOOKUP($R59,武学奇术!$A:$ZZ,30,FALSE)="回旋伞",$B$21,0))*(1+$BR59)</f>
        <v>23262.4672766586</v>
      </c>
      <c r="P59" s="38">
        <f>((($AO59*$AI59+$AJ59)*(1+$AQ59)*(1+$AR59)+($AT59*IF($G$1="鸣金",$AK59,$AI59)+IF($G$1="鸣金",$AL59*1.5,0))*(1+$AV59)*(1+$AW59)+($AX59*IF($G$1="裂石",$AK59,$AI59)+IF($G$1="裂石",$AL59*1.5,0))*(1+$AZ59)*(1+$BA59)+($BB59*IF($G$1="牵丝",$AK59,$AI59)+IF($G$1="牵丝",$AL59*1.5,0))*(1+$BD59)*(1+$BE59)+($BF59*IF($G$1="破竹",$AK59,$AI59)+IF($G$1="破竹",$AL59*1.5,0))*(1+$BH59)*(1+$BI59))*(1+$AM59))*$Q59*(1+IF(VLOOKUP($R59,武学奇术!$A:$ZZ,30,FALSE)="回旋伞",$B$21,0))*(1+$BR59)</f>
        <v>20462.2531960392</v>
      </c>
      <c r="Q59" s="39">
        <v>1</v>
      </c>
      <c r="R59" s="40" t="s">
        <v>159</v>
      </c>
      <c r="S59" s="40" t="s">
        <v>72</v>
      </c>
      <c r="T59" s="40" t="s">
        <v>95</v>
      </c>
      <c r="U59" s="40" t="s">
        <v>73</v>
      </c>
      <c r="V59" s="40" t="s">
        <v>72</v>
      </c>
      <c r="W59" s="40" t="s">
        <v>172</v>
      </c>
      <c r="X59" s="40" t="s">
        <v>99</v>
      </c>
      <c r="Y59" s="40" t="s">
        <v>72</v>
      </c>
      <c r="Z59" s="40" t="s">
        <v>72</v>
      </c>
      <c r="AA59" s="40" t="s">
        <v>72</v>
      </c>
      <c r="AB59" s="40" t="s">
        <v>72</v>
      </c>
      <c r="AC59" s="40" t="s">
        <v>72</v>
      </c>
      <c r="AD59" s="40" t="s">
        <v>72</v>
      </c>
      <c r="AE59" s="40" t="s">
        <v>72</v>
      </c>
      <c r="AF59" s="40" t="s">
        <v>72</v>
      </c>
      <c r="AG59" s="40" t="s">
        <v>78</v>
      </c>
      <c r="AH59" t="str">
        <f>VLOOKUP($R59,武学奇术!$A:$ZZ,25,FALSE)</f>
        <v>伞</v>
      </c>
      <c r="AI59" s="26">
        <f>VLOOKUP($R59,武学奇术!$A:$ZZ,26,FALSE)</f>
        <v>2.01456</v>
      </c>
      <c r="AJ59" s="27">
        <f>VLOOKUP($R59,武学奇术!$A:$ZZ,27,FALSE)*(1+IF(OR($AH59=$F$4,$AH59=$F$5),$B$22,0))</f>
        <v>837</v>
      </c>
      <c r="AK59" s="26">
        <f>VLOOKUP($R59,武学奇术!$A:$ZZ,28,FALSE)</f>
        <v>3.02184</v>
      </c>
      <c r="AL59" s="27">
        <f>VLOOKUP($R59,武学奇术!$A:$ZZ,29,FALSE)*(1+IF(OR($AH59=$F$4,$AH59=$F$5),$B$22,0))</f>
        <v>453.6</v>
      </c>
      <c r="AM59" s="26" cm="1">
        <f t="array" ref="AM59">$G$3+IFERROR(VLOOKUP($AH59,$F$4:$G$7,2,FALSE),0)+VLOOKUP($R59,武学奇术!$A:$ZZ,2,FALSE)+SUM(_xlfn.XLOOKUP($S59:$AG59,增益!$A:$A,增益!$B:$B,0))</f>
        <v>0.3741</v>
      </c>
      <c r="AN59" s="26" cm="1">
        <f t="array" ref="AN59">VLOOKUP($R59,武学奇术!$A:$ZZ,5,FALSE)+SUM(_xlfn.XLOOKUP($S59:$AG59,增益!$A:$A,增益!$E:$E,0))</f>
        <v>0</v>
      </c>
      <c r="AO59" cm="1">
        <f t="array" ref="AO59">$D$10*(1+$AN59)+VLOOKUP($R59,武学奇术!$A:$ZZ,3,FALSE)+SUM(_xlfn.XLOOKUP($S59:$AG59,增益!$A:$A,增益!$C:$C,0))-$I$2</f>
        <v>3562.6</v>
      </c>
      <c r="AP59" cm="1">
        <f t="array" ref="AP59">$E$10*(1+$AN59)+VLOOKUP($R59,武学奇术!$A:$ZZ,4,FALSE)+SUM(_xlfn.XLOOKUP($S59:$AG59,增益!$A:$A,增益!$D:$D,0))-$I$2</f>
        <v>3562.6</v>
      </c>
      <c r="AQ59" s="32" cm="1">
        <f t="array" ref="AQ59">IF($F$10-$I$3+VLOOKUP($R59,武学奇术!$A:$ZZ,6,FALSE)+SUM(_xlfn.XLOOKUP(S59:AG59,增益!$A:$A,增益!$F:$F,0))&gt;0,($F$10-$I$3+VLOOKUP($R59,武学奇术!$A:$ZZ,6,FALSE)+SUM(_xlfn.XLOOKUP(S59:AG59,增益!$A:$A,增益!$F:$F,0)))/200,($F$10-$I$3+VLOOKUP($R59,武学奇术!$A:$ZZ,6,FALSE)+SUM(_xlfn.XLOOKUP(S59:AG59,增益!$A:$A,增益!$F:$F,0)))/100)</f>
        <v>0.2925</v>
      </c>
      <c r="AR59" s="32" cm="1">
        <f t="array" ref="AR59">$G$10+VLOOKUP($R59,武学奇术!$A:$ZZ,7,FALSE)+SUM(_xlfn.XLOOKUP(S59:AG59,增益!$A:$A,增益!$G:$G,0))</f>
        <v>0.028</v>
      </c>
      <c r="AS59" s="26" cm="1">
        <f t="array" ref="AS59">VLOOKUP($R59,武学奇术!$A:$ZZ,8,FALSE)+SUM(_xlfn.XLOOKUP(S59:AG59,增益!$A:$A,增益!$H:$H,0))</f>
        <v>0</v>
      </c>
      <c r="AT59">
        <f t="shared" si="1"/>
        <v>0</v>
      </c>
      <c r="AU59">
        <f t="shared" si="2"/>
        <v>0</v>
      </c>
      <c r="AV59" s="32" cm="1">
        <f t="array" ref="AV59">IF($F$11-$I$4+VLOOKUP($R59,武学奇术!$A:$ZZ,9,FALSE)+SUM(_xlfn.XLOOKUP(S59:AG59,增益!$A:$A,增益!$I:$I,0))&gt;0,($F$11-$I$4+VLOOKUP($R59,武学奇术!$A:$ZZ,9,FALSE)+SUM(_xlfn.XLOOKUP(S59:AG59,增益!$A:$A,增益!$I:$I,0)))/200,($F$11-$I$4+VLOOKUP($R59,武学奇术!$A:$ZZ,9,FALSE)+SUM(_xlfn.XLOOKUP(S59:AG59,增益!$A:$A,增益!$I:$I,0)))/100)</f>
        <v>-0.3</v>
      </c>
      <c r="AW59" s="32" cm="1">
        <f t="array" ref="AW59">$G$11+VLOOKUP($R59,武学奇术!$A:$ZZ,10,FALSE)+SUM(_xlfn.XLOOKUP(S59:AG59,增益!$A:$A,增益!$J:$J,0))</f>
        <v>0</v>
      </c>
      <c r="AX59">
        <f t="shared" si="3"/>
        <v>0</v>
      </c>
      <c r="AY59">
        <f t="shared" si="4"/>
        <v>0</v>
      </c>
      <c r="AZ59" s="32" cm="1">
        <f t="array" ref="AZ59">IF($F$12-$I$4+VLOOKUP($R59,武学奇术!$A:$ZZ,11,FALSE)+SUM(_xlfn.XLOOKUP(S59:AG59,增益!$A:$A,增益!$K:$K,0))&gt;0,($F$12-$I$4+VLOOKUP($R59,武学奇术!$A:$ZZ,11,FALSE)+SUM(_xlfn.XLOOKUP(S59:AG59,增益!$A:$A,增益!$K:$K,0)))/200,($F$12-$I$4+VLOOKUP($R59,武学奇术!$A:$ZZ,11,FALSE)+SUM(_xlfn.XLOOKUP(S59:AG59,增益!$A:$A,增益!$K:$K,0)))/100)</f>
        <v>-0.3</v>
      </c>
      <c r="BA59" s="32" cm="1">
        <f t="array" ref="BA59">$G$12+VLOOKUP($R59,武学奇术!$A:$ZZ,12,FALSE)+SUM(_xlfn.XLOOKUP(S59:AG59,增益!$A:$A,增益!$L:$L,0))</f>
        <v>0</v>
      </c>
      <c r="BB59">
        <f t="shared" si="5"/>
        <v>0</v>
      </c>
      <c r="BC59">
        <f t="shared" si="6"/>
        <v>0</v>
      </c>
      <c r="BD59" s="32" cm="1">
        <f t="array" ref="BD59">IF($F$13-$I$4+VLOOKUP($R59,武学奇术!$A:$ZZ,13,FALSE)+SUM(_xlfn.XLOOKUP(S59:AG59,增益!$A:$A,增益!$M:$M,0))&gt;0,($F$13-$I$4+VLOOKUP($R59,武学奇术!$A:$ZZ,13,FALSE)+SUM(_xlfn.XLOOKUP(S59:AG59,增益!$A:$A,增益!$K:$K,0)))/200,($F$13-$I$4+VLOOKUP($R59,武学奇术!$A:$ZZ,13,FALSE)+SUM(_xlfn.XLOOKUP(S59:AG59,增益!$A:$A,增益!$M:$M,0)))/100)</f>
        <v>-0.3</v>
      </c>
      <c r="BE59" s="32" cm="1">
        <f t="array" ref="BE59">$G$13+VLOOKUP($R59,武学奇术!$A:$ZZ,14,FALSE)+SUM(_xlfn.XLOOKUP(S59:AG59,增益!$A:$A,增益!$N:$N,0))</f>
        <v>0</v>
      </c>
      <c r="BF59">
        <f t="shared" si="7"/>
        <v>571.2</v>
      </c>
      <c r="BG59">
        <f t="shared" si="8"/>
        <v>1627.8</v>
      </c>
      <c r="BH59" s="32" cm="1">
        <f t="array" ref="BH59">IF($F$14-$I$4+VLOOKUP($R59,武学奇术!$A:$ZZ,15,FALSE)+SUM(_xlfn.XLOOKUP(S59:AG59,增益!$A:$A,增益!$O:$O,0))&gt;0,($F$14-$I$4+VLOOKUP($R59,武学奇术!$A:$ZZ,15,FALSE)+SUM(_xlfn.XLOOKUP(S59:AG59,增益!$A:$A,增益!$O:$O,0)))/200,($F$14-$I$4+VLOOKUP($R59,武学奇术!$A:$ZZ,15,FALSE)+SUM(_xlfn.XLOOKUP(S59:AG59,增益!$A:$A,增益!$O:$O,0)))/100)</f>
        <v>0</v>
      </c>
      <c r="BI59" s="32" cm="1">
        <f t="array" ref="BI59">$G$14+VLOOKUP($R59,武学奇术!$A:$ZZ,16,FALSE)+SUM(_xlfn.XLOOKUP(S59:AG59,增益!$A:$A,增益!$P:$P,0))</f>
        <v>0.15</v>
      </c>
      <c r="BJ59" s="26">
        <f>MIN(IF(VLOOKUP($R59,武学奇术!$A:$ZZ,23,FALSE)=1,100%,$B$8),100%)</f>
        <v>0.981</v>
      </c>
      <c r="BK59" s="26" cm="1">
        <f t="array" ref="BK59">IF(VLOOKUP($R59,武学奇术!$A:$ZZ,23,FALSE)=1,100%,MIN(80%,$B$9+VLOOKUP($R59,武学奇术!$A:$ZZ,17,FALSE)+SUM(_xlfn.XLOOKUP(S59:AG59,增益!$A:$A,增益!$Q:$Q,0)))+$B$11+SUM(_xlfn.XLOOKUP(S59:AG59,增益!$A:$A,增益!$U:$U,0)))*IF(VLOOKUP($R59,武学奇术!$A:$ZZ,24,FALSE)=1,0,1)</f>
        <v>0.846</v>
      </c>
      <c r="BL59" s="26" cm="1">
        <f t="array" ref="BL59">1+$B$13+VLOOKUP($R59,武学奇术!$A:$ZZ,18,FALSE)+SUM(_xlfn.XLOOKUP(S59:AG59,增益!$A:$A,增益!$R:$R,0))</f>
        <v>1.91</v>
      </c>
      <c r="BM59" s="26" cm="1">
        <f t="array" ref="BM59">IF(VLOOKUP($R59,武学奇术!$A:$ZZ,24,FALSE)=1,100%,MIN(40%,$B$10+VLOOKUP($R59,武学奇术!$A:$ZZ,19,FALSE)+SUM(_xlfn.XLOOKUP(S59:AG59,增益!$A:$A,增益!$S:$S,0)))+$B$12+SUM(_xlfn.XLOOKUP(S59:AG59,增益!$A:$A,增益!$V:$V,0)))*IF(VLOOKUP($R59,武学奇术!$A:$ZZ,23,FALSE)=1,0,1)</f>
        <v>0.0929</v>
      </c>
      <c r="BN59" s="26" cm="1">
        <f t="array" ref="BN59">1+$B$14+VLOOKUP($R59,武学奇术!$A:$ZZ,20,FALSE)+SUM(_xlfn.XLOOKUP(S59:AG59,增益!$A:$A,增益!$T:$T,0))</f>
        <v>1.35</v>
      </c>
      <c r="BO59" s="26">
        <f t="shared" si="9"/>
        <v>0.829926</v>
      </c>
      <c r="BP59" s="26">
        <f t="shared" si="10"/>
        <v>0.0599391</v>
      </c>
      <c r="BQ59" s="26">
        <f>IF(VLOOKUP($R59,武学奇术!$A:$ZZ,22,FALSE)=1,0,(1-$BJ59))*(1-$BM59)</f>
        <v>0.0172349</v>
      </c>
      <c r="BR59" s="26" cm="1">
        <f t="array" ref="BR59">SUM(_xlfn.XLOOKUP(S59:AG59,增益!$A:$A,增益!$W:$W,0))+$I$5</f>
        <v>0.11</v>
      </c>
    </row>
    <row r="60" spans="1:70">
      <c r="K60">
        <f>$L60*VLOOKUP($R60,武学奇术!$A:$ZZ,31,FALSE)</f>
        <v>11840.5067309357</v>
      </c>
      <c r="L60" s="38">
        <f t="shared" si="11"/>
        <v>11276.6730770816</v>
      </c>
      <c r="M60" s="38">
        <f>((($AO60+$AP60)/2*$AI60+$AJ60)*(1+$AQ60)*(1+$AR60)+(($AT60+$AU60)/2*IF($G$1="鸣金",$AK60,$AI60)+IF($G$1="鸣金",$AL60*1.5,0))*(1+$AV60)*(1+$AW60)+(($AX60+$AY60)/2*IF($G$1="裂石",$AK60,$AI60)+IF($G$1="裂石",$AL60*1.5,0))*(1+$AZ60)*(1+$BA60)+(($BB60+$BC60)/2*IF($G$1="牵丝",$AK60,$AI60)+IF($G$1="牵丝",$AL60*1.5,0))*(1+$BD60)*(1+$BE60)+(($BF60+$BG60)/2*IF($G$1="破竹",$AK60,$AI60)+IF($G$1="破竹",$AL60*1.5,0))*(1+$BH60)*(1+$BI60))*(1+$AM60)*$BL60*$Q60*(1+IF(VLOOKUP($R60,武学奇术!$A:$ZZ,30,FALSE)="回旋伞",$B$21,0))*(1+$BR60)</f>
        <v>11948.432110074</v>
      </c>
      <c r="N60" s="38">
        <f>(($AP60*$AI60+$AJ60)*(1+$AQ60)*(1+$AR60)+($AU60*IF($G$1="鸣金",$AK60,$AI60)+IF($G$1="鸣金",$AL60*1.5,0))*(1+$AV60)*(1+$AW60)+($AY60*IF($G$1="裂石",$AK60,$AI60)+IF($G$1="裂石",$AL60*1.5,0))*(1+$AZ60)*(1+$BA60)+($BC60*IF($G$1="牵丝",$AK60,$AI60)+IF($G$1="牵丝",$AL60*1.5,0))*(1+$BD60)*(1+$BE60)+($BG60*IF($G$1="破竹",$AK60,$AI60)+IF($G$1="破竹",$AL60*1.5,0))*(1+$BH60)*(1+$BI60))*(1+$AM60)*$BN60*$Q60*(1+IF(VLOOKUP($R60,武学奇术!$A:$ZZ,30,FALSE)="回旋伞",$B$21,0))*(1+$BR60)</f>
        <v>9606.01388530106</v>
      </c>
      <c r="O60" s="38">
        <f>((($AO60+$AP60)/2*$AI60+$AJ60)*(1+$AQ60)*(1+$AR60)+(($AT60+$AU60)/2*IF($G$1="鸣金",$AK60,$AI60)+IF($G$1="鸣金",$AL60*1.5,0))*(1+$AV60)*(1+$AW60)+(($AX60+$AY60)/2*IF($G$1="裂石",$AK60,$AI60)+IF($G$1="裂石",$AL60*1.5,0))*(1+$AZ60)*(1+$BA60)+(($BB60+$BC60)/2*IF($G$1="牵丝",$AK60,$AI60)+IF($G$1="牵丝",$AL60*1.5,0))*(1+$BD60)*(1+$BE60)+(($BF60+$BG60)/2*IF($G$1="破竹",$AK60,$AI60)+IF($G$1="破竹",$AL60*1.5,0))*(1+$BH60)*(1+$BI60))*(1+$AM60)*$Q60*(1+IF(VLOOKUP($R60,武学奇术!$A:$ZZ,30,FALSE)="回旋伞",$B$21,0))*(1+$BR60)</f>
        <v>6255.7236178398</v>
      </c>
      <c r="P60" s="38">
        <f>((($AO60*$AI60+$AJ60)*(1+$AQ60)*(1+$AR60)+($AT60*IF($G$1="鸣金",$AK60,$AI60)+IF($G$1="鸣金",$AL60*1.5,0))*(1+$AV60)*(1+$AW60)+($AX60*IF($G$1="裂石",$AK60,$AI60)+IF($G$1="裂石",$AL60*1.5,0))*(1+$AZ60)*(1+$BA60)+($BB60*IF($G$1="牵丝",$AK60,$AI60)+IF($G$1="牵丝",$AL60*1.5,0))*(1+$BD60)*(1+$BE60)+($BF60*IF($G$1="破竹",$AK60,$AI60)+IF($G$1="破竹",$AL60*1.5,0))*(1+$BH60)*(1+$BI60))*(1+$AM60))*$Q60*(1+IF(VLOOKUP($R60,武学奇术!$A:$ZZ,30,FALSE)="回旋伞",$B$21,0))*(1+$BR60)</f>
        <v>5395.88139471585</v>
      </c>
      <c r="Q60" s="39">
        <v>1</v>
      </c>
      <c r="R60" s="40" t="s">
        <v>162</v>
      </c>
      <c r="S60" s="40" t="s">
        <v>72</v>
      </c>
      <c r="T60" s="40" t="s">
        <v>95</v>
      </c>
      <c r="U60" s="40" t="s">
        <v>73</v>
      </c>
      <c r="V60" s="40" t="s">
        <v>72</v>
      </c>
      <c r="W60" s="40" t="s">
        <v>172</v>
      </c>
      <c r="X60" s="40" t="s">
        <v>99</v>
      </c>
      <c r="Y60" s="40" t="s">
        <v>72</v>
      </c>
      <c r="Z60" s="40" t="s">
        <v>72</v>
      </c>
      <c r="AA60" s="40" t="s">
        <v>72</v>
      </c>
      <c r="AB60" s="40" t="s">
        <v>72</v>
      </c>
      <c r="AC60" s="40" t="s">
        <v>72</v>
      </c>
      <c r="AD60" s="40" t="s">
        <v>72</v>
      </c>
      <c r="AE60" s="40" t="s">
        <v>72</v>
      </c>
      <c r="AF60" s="40" t="s">
        <v>72</v>
      </c>
      <c r="AG60" s="40" t="s">
        <v>78</v>
      </c>
      <c r="AH60" t="str">
        <f>VLOOKUP($R60,武学奇术!$A:$ZZ,25,FALSE)</f>
        <v>伞</v>
      </c>
      <c r="AI60" s="26">
        <f>VLOOKUP($R60,武学奇术!$A:$ZZ,26,FALSE)</f>
        <v>0.54</v>
      </c>
      <c r="AJ60" s="27">
        <f>VLOOKUP($R60,武学奇术!$A:$ZZ,27,FALSE)*(1+IF(OR($AH60=$F$4,$AH60=$F$5),$B$22,0))</f>
        <v>0</v>
      </c>
      <c r="AK60" s="26">
        <f>VLOOKUP($R60,武学奇术!$A:$ZZ,28,FALSE)</f>
        <v>0.81</v>
      </c>
      <c r="AL60" s="27">
        <f>VLOOKUP($R60,武学奇术!$A:$ZZ,29,FALSE)*(1+IF(OR($AH60=$F$4,$AH60=$F$5),$B$22,0))</f>
        <v>0</v>
      </c>
      <c r="AM60" s="26" cm="1">
        <f t="array" ref="AM60">$G$3+IFERROR(VLOOKUP($AH60,$F$4:$G$7,2,FALSE),0)+VLOOKUP($R60,武学奇术!$A:$ZZ,2,FALSE)+SUM(_xlfn.XLOOKUP($S60:$AG60,增益!$A:$A,增益!$B:$B,0))</f>
        <v>0.5741</v>
      </c>
      <c r="AN60" s="26" cm="1">
        <f t="array" ref="AN60">VLOOKUP($R60,武学奇术!$A:$ZZ,5,FALSE)+SUM(_xlfn.XLOOKUP($S60:$AG60,增益!$A:$A,增益!$E:$E,0))</f>
        <v>0</v>
      </c>
      <c r="AO60" cm="1">
        <f t="array" ref="AO60">$D$10*(1+$AN60)+VLOOKUP($R60,武学奇术!$A:$ZZ,3,FALSE)+SUM(_xlfn.XLOOKUP($S60:$AG60,增益!$A:$A,增益!$C:$C,0))-$I$2</f>
        <v>3562.6</v>
      </c>
      <c r="AP60" cm="1">
        <f t="array" ref="AP60">$E$10*(1+$AN60)+VLOOKUP($R60,武学奇术!$A:$ZZ,4,FALSE)+SUM(_xlfn.XLOOKUP($S60:$AG60,增益!$A:$A,增益!$D:$D,0))-$I$2</f>
        <v>3562.6</v>
      </c>
      <c r="AQ60" s="32" cm="1">
        <f t="array" ref="AQ60">IF($F$10-$I$3+VLOOKUP($R60,武学奇术!$A:$ZZ,6,FALSE)+SUM(_xlfn.XLOOKUP(S60:AG60,增益!$A:$A,增益!$F:$F,0))&gt;0,($F$10-$I$3+VLOOKUP($R60,武学奇术!$A:$ZZ,6,FALSE)+SUM(_xlfn.XLOOKUP(S60:AG60,增益!$A:$A,增益!$F:$F,0)))/200,($F$10-$I$3+VLOOKUP($R60,武学奇术!$A:$ZZ,6,FALSE)+SUM(_xlfn.XLOOKUP(S60:AG60,增益!$A:$A,增益!$F:$F,0)))/100)</f>
        <v>0.2925</v>
      </c>
      <c r="AR60" s="32" cm="1">
        <f t="array" ref="AR60">$G$10+VLOOKUP($R60,武学奇术!$A:$ZZ,7,FALSE)+SUM(_xlfn.XLOOKUP(S60:AG60,增益!$A:$A,增益!$G:$G,0))</f>
        <v>0.028</v>
      </c>
      <c r="AS60" s="26" cm="1">
        <f t="array" ref="AS60">VLOOKUP($R60,武学奇术!$A:$ZZ,8,FALSE)+SUM(_xlfn.XLOOKUP(S60:AG60,增益!$A:$A,增益!$H:$H,0))</f>
        <v>0</v>
      </c>
      <c r="AT60">
        <f t="shared" si="1"/>
        <v>0</v>
      </c>
      <c r="AU60">
        <f t="shared" si="2"/>
        <v>0</v>
      </c>
      <c r="AV60" s="32" cm="1">
        <f t="array" ref="AV60">IF($F$11-$I$4+VLOOKUP($R60,武学奇术!$A:$ZZ,9,FALSE)+SUM(_xlfn.XLOOKUP(S60:AG60,增益!$A:$A,增益!$I:$I,0))&gt;0,($F$11-$I$4+VLOOKUP($R60,武学奇术!$A:$ZZ,9,FALSE)+SUM(_xlfn.XLOOKUP(S60:AG60,增益!$A:$A,增益!$I:$I,0)))/200,($F$11-$I$4+VLOOKUP($R60,武学奇术!$A:$ZZ,9,FALSE)+SUM(_xlfn.XLOOKUP(S60:AG60,增益!$A:$A,增益!$I:$I,0)))/100)</f>
        <v>-0.3</v>
      </c>
      <c r="AW60" s="32" cm="1">
        <f t="array" ref="AW60">$G$11+VLOOKUP($R60,武学奇术!$A:$ZZ,10,FALSE)+SUM(_xlfn.XLOOKUP(S60:AG60,增益!$A:$A,增益!$J:$J,0))</f>
        <v>0</v>
      </c>
      <c r="AX60">
        <f t="shared" si="3"/>
        <v>0</v>
      </c>
      <c r="AY60">
        <f t="shared" si="4"/>
        <v>0</v>
      </c>
      <c r="AZ60" s="32" cm="1">
        <f t="array" ref="AZ60">IF($F$12-$I$4+VLOOKUP($R60,武学奇术!$A:$ZZ,11,FALSE)+SUM(_xlfn.XLOOKUP(S60:AG60,增益!$A:$A,增益!$K:$K,0))&gt;0,($F$12-$I$4+VLOOKUP($R60,武学奇术!$A:$ZZ,11,FALSE)+SUM(_xlfn.XLOOKUP(S60:AG60,增益!$A:$A,增益!$K:$K,0)))/200,($F$12-$I$4+VLOOKUP($R60,武学奇术!$A:$ZZ,11,FALSE)+SUM(_xlfn.XLOOKUP(S60:AG60,增益!$A:$A,增益!$K:$K,0)))/100)</f>
        <v>-0.3</v>
      </c>
      <c r="BA60" s="32" cm="1">
        <f t="array" ref="BA60">$G$12+VLOOKUP($R60,武学奇术!$A:$ZZ,12,FALSE)+SUM(_xlfn.XLOOKUP(S60:AG60,增益!$A:$A,增益!$L:$L,0))</f>
        <v>0</v>
      </c>
      <c r="BB60">
        <f t="shared" si="5"/>
        <v>0</v>
      </c>
      <c r="BC60">
        <f t="shared" si="6"/>
        <v>0</v>
      </c>
      <c r="BD60" s="32" cm="1">
        <f t="array" ref="BD60">IF($F$13-$I$4+VLOOKUP($R60,武学奇术!$A:$ZZ,13,FALSE)+SUM(_xlfn.XLOOKUP(S60:AG60,增益!$A:$A,增益!$M:$M,0))&gt;0,($F$13-$I$4+VLOOKUP($R60,武学奇术!$A:$ZZ,13,FALSE)+SUM(_xlfn.XLOOKUP(S60:AG60,增益!$A:$A,增益!$K:$K,0)))/200,($F$13-$I$4+VLOOKUP($R60,武学奇术!$A:$ZZ,13,FALSE)+SUM(_xlfn.XLOOKUP(S60:AG60,增益!$A:$A,增益!$M:$M,0)))/100)</f>
        <v>-0.3</v>
      </c>
      <c r="BE60" s="32" cm="1">
        <f t="array" ref="BE60">$G$13+VLOOKUP($R60,武学奇术!$A:$ZZ,14,FALSE)+SUM(_xlfn.XLOOKUP(S60:AG60,增益!$A:$A,增益!$N:$N,0))</f>
        <v>0</v>
      </c>
      <c r="BF60">
        <f t="shared" si="7"/>
        <v>571.2</v>
      </c>
      <c r="BG60">
        <f t="shared" si="8"/>
        <v>1627.8</v>
      </c>
      <c r="BH60" s="32" cm="1">
        <f t="array" ref="BH60">IF($F$14-$I$4+VLOOKUP($R60,武学奇术!$A:$ZZ,15,FALSE)+SUM(_xlfn.XLOOKUP(S60:AG60,增益!$A:$A,增益!$O:$O,0))&gt;0,($F$14-$I$4+VLOOKUP($R60,武学奇术!$A:$ZZ,15,FALSE)+SUM(_xlfn.XLOOKUP(S60:AG60,增益!$A:$A,增益!$O:$O,0)))/200,($F$14-$I$4+VLOOKUP($R60,武学奇术!$A:$ZZ,15,FALSE)+SUM(_xlfn.XLOOKUP(S60:AG60,增益!$A:$A,增益!$O:$O,0)))/100)</f>
        <v>0</v>
      </c>
      <c r="BI60" s="32" cm="1">
        <f t="array" ref="BI60">$G$14+VLOOKUP($R60,武学奇术!$A:$ZZ,16,FALSE)+SUM(_xlfn.XLOOKUP(S60:AG60,增益!$A:$A,增益!$P:$P,0))</f>
        <v>0.15</v>
      </c>
      <c r="BJ60" s="26">
        <f>MIN(IF(VLOOKUP($R60,武学奇术!$A:$ZZ,23,FALSE)=1,100%,$B$8),100%)</f>
        <v>0.981</v>
      </c>
      <c r="BK60" s="26" cm="1">
        <f t="array" ref="BK60">IF(VLOOKUP($R60,武学奇术!$A:$ZZ,23,FALSE)=1,100%,MIN(80%,$B$9+VLOOKUP($R60,武学奇术!$A:$ZZ,17,FALSE)+SUM(_xlfn.XLOOKUP(S60:AG60,增益!$A:$A,增益!$Q:$Q,0)))+$B$11+SUM(_xlfn.XLOOKUP(S60:AG60,增益!$A:$A,增益!$U:$U,0)))*IF(VLOOKUP($R60,武学奇术!$A:$ZZ,24,FALSE)=1,0,1)</f>
        <v>0.846</v>
      </c>
      <c r="BL60" s="26" cm="1">
        <f t="array" ref="BL60">1+$B$13+VLOOKUP($R60,武学奇术!$A:$ZZ,18,FALSE)+SUM(_xlfn.XLOOKUP(S60:AG60,增益!$A:$A,增益!$R:$R,0))</f>
        <v>1.91</v>
      </c>
      <c r="BM60" s="26" cm="1">
        <f t="array" ref="BM60">IF(VLOOKUP($R60,武学奇术!$A:$ZZ,24,FALSE)=1,100%,MIN(40%,$B$10+VLOOKUP($R60,武学奇术!$A:$ZZ,19,FALSE)+SUM(_xlfn.XLOOKUP(S60:AG60,增益!$A:$A,增益!$S:$S,0)))+$B$12+SUM(_xlfn.XLOOKUP(S60:AG60,增益!$A:$A,增益!$V:$V,0)))*IF(VLOOKUP($R60,武学奇术!$A:$ZZ,23,FALSE)=1,0,1)</f>
        <v>0.0929</v>
      </c>
      <c r="BN60" s="26" cm="1">
        <f t="array" ref="BN60">1+$B$14+VLOOKUP($R60,武学奇术!$A:$ZZ,20,FALSE)+SUM(_xlfn.XLOOKUP(S60:AG60,增益!$A:$A,增益!$T:$T,0))</f>
        <v>1.35</v>
      </c>
      <c r="BO60" s="26">
        <f t="shared" si="9"/>
        <v>0.829926</v>
      </c>
      <c r="BP60" s="26">
        <f t="shared" si="10"/>
        <v>0.0599391</v>
      </c>
      <c r="BQ60" s="26">
        <f>IF(VLOOKUP($R60,武学奇术!$A:$ZZ,22,FALSE)=1,0,(1-$BJ60))*(1-$BM60)</f>
        <v>0.0172349</v>
      </c>
      <c r="BR60" s="26" cm="1">
        <f t="array" ref="BR60">SUM(_xlfn.XLOOKUP(S60:AG60,增益!$A:$A,增益!$W:$W,0))+$I$5</f>
        <v>0.11</v>
      </c>
    </row>
    <row r="61" spans="1:70">
      <c r="K61">
        <f>$L61*VLOOKUP($R61,武学奇术!$A:$ZZ,31,FALSE)</f>
        <v>81633.4794689689</v>
      </c>
      <c r="L61" s="38">
        <f t="shared" si="11"/>
        <v>77746.1709228275</v>
      </c>
      <c r="M61" s="38">
        <f>((($AO61+$AP61)/2*$AI61+$AJ61)*(1+$AQ61)*(1+$AR61)+(($AT61+$AU61)/2*IF($G$1="鸣金",$AK61,$AI61)+IF($G$1="鸣金",$AL61*1.5,0))*(1+$AV61)*(1+$AW61)+(($AX61+$AY61)/2*IF($G$1="裂石",$AK61,$AI61)+IF($G$1="裂石",$AL61*1.5,0))*(1+$AZ61)*(1+$BA61)+(($BB61+$BC61)/2*IF($G$1="牵丝",$AK61,$AI61)+IF($G$1="牵丝",$AL61*1.5,0))*(1+$BD61)*(1+$BE61)+(($BF61+$BG61)/2*IF($G$1="破竹",$AK61,$AI61)+IF($G$1="破竹",$AL61*1.5,0))*(1+$BH61)*(1+$BI61))*(1+$AM61)*$BL61*$Q61*(1+IF(VLOOKUP($R61,武学奇术!$A:$ZZ,30,FALSE)="回旋伞",$B$21,0))*(1+$BR61)</f>
        <v>82410.4404369076</v>
      </c>
      <c r="N61" s="38">
        <f>(($AP61*$AI61+$AJ61)*(1+$AQ61)*(1+$AR61)+($AU61*IF($G$1="鸣金",$AK61,$AI61)+IF($G$1="鸣金",$AL61*1.5,0))*(1+$AV61)*(1+$AW61)+($AY61*IF($G$1="裂石",$AK61,$AI61)+IF($G$1="裂石",$AL61*1.5,0))*(1+$AZ61)*(1+$BA61)+($BC61*IF($G$1="牵丝",$AK61,$AI61)+IF($G$1="牵丝",$AL61*1.5,0))*(1+$BD61)*(1+$BE61)+($BG61*IF($G$1="破竹",$AK61,$AI61)+IF($G$1="破竹",$AL61*1.5,0))*(1+$BH61)*(1+$BI61))*(1+$AM61)*$BN61*$Q61*(1+IF(VLOOKUP($R61,武学奇术!$A:$ZZ,30,FALSE)="回旋伞",$B$21,0))*(1+$BR61)</f>
        <v>65867.1506072531</v>
      </c>
      <c r="O61" s="38">
        <f>((($AO61+$AP61)/2*$AI61+$AJ61)*(1+$AQ61)*(1+$AR61)+(($AT61+$AU61)/2*IF($G$1="鸣金",$AK61,$AI61)+IF($G$1="鸣金",$AL61*1.5,0))*(1+$AV61)*(1+$AW61)+(($AX61+$AY61)/2*IF($G$1="裂石",$AK61,$AI61)+IF($G$1="裂石",$AL61*1.5,0))*(1+$AZ61)*(1+$BA61)+(($BB61+$BC61)/2*IF($G$1="牵丝",$AK61,$AI61)+IF($G$1="牵丝",$AL61*1.5,0))*(1+$BD61)*(1+$BE61)+(($BF61+$BG61)/2*IF($G$1="破竹",$AK61,$AI61)+IF($G$1="破竹",$AL61*1.5,0))*(1+$BH61)*(1+$BI61))*(1+$AM61)*$Q61*(1+IF(VLOOKUP($R61,武学奇术!$A:$ZZ,30,FALSE)="回旋伞",$B$21,0))*(1+$BR61)</f>
        <v>43146.8274538783</v>
      </c>
      <c r="P61" s="38">
        <f>((($AO61*$AI61+$AJ61)*(1+$AQ61)*(1+$AR61)+($AT61*IF($G$1="鸣金",$AK61,$AI61)+IF($G$1="鸣金",$AL61*1.5,0))*(1+$AV61)*(1+$AW61)+($AX61*IF($G$1="裂石",$AK61,$AI61)+IF($G$1="裂石",$AL61*1.5,0))*(1+$AZ61)*(1+$BA61)+($BB61*IF($G$1="牵丝",$AK61,$AI61)+IF($G$1="牵丝",$AL61*1.5,0))*(1+$BD61)*(1+$BE61)+($BF61*IF($G$1="破竹",$AK61,$AI61)+IF($G$1="破竹",$AL61*1.5,0))*(1+$BH61)*(1+$BI61))*(1+$AM61))*$Q61*(1+IF(VLOOKUP($R61,武学奇术!$A:$ZZ,30,FALSE)="回旋伞",$B$21,0))*(1+$BR61)</f>
        <v>37503.172976458</v>
      </c>
      <c r="Q61" s="39">
        <v>1</v>
      </c>
      <c r="R61" s="40" t="s">
        <v>175</v>
      </c>
      <c r="S61" s="40" t="s">
        <v>72</v>
      </c>
      <c r="T61" s="40" t="s">
        <v>95</v>
      </c>
      <c r="U61" s="40" t="s">
        <v>73</v>
      </c>
      <c r="V61" s="40" t="s">
        <v>81</v>
      </c>
      <c r="W61" s="40" t="s">
        <v>172</v>
      </c>
      <c r="X61" s="40" t="s">
        <v>99</v>
      </c>
      <c r="Y61" s="40" t="s">
        <v>72</v>
      </c>
      <c r="Z61" s="40" t="s">
        <v>72</v>
      </c>
      <c r="AA61" s="40" t="s">
        <v>72</v>
      </c>
      <c r="AB61" s="40" t="s">
        <v>72</v>
      </c>
      <c r="AC61" s="40" t="s">
        <v>72</v>
      </c>
      <c r="AD61" s="40" t="s">
        <v>72</v>
      </c>
      <c r="AE61" s="40" t="s">
        <v>72</v>
      </c>
      <c r="AF61" s="40" t="s">
        <v>72</v>
      </c>
      <c r="AG61" s="40" t="s">
        <v>78</v>
      </c>
      <c r="AH61" t="str">
        <f>VLOOKUP($R61,武学奇术!$A:$ZZ,25,FALSE)</f>
        <v>群体奇术</v>
      </c>
      <c r="AI61" s="26">
        <f>VLOOKUP($R61,武学奇术!$A:$ZZ,26,FALSE)</f>
        <v>3.9746</v>
      </c>
      <c r="AJ61" s="27">
        <f>VLOOKUP($R61,武学奇术!$A:$ZZ,27,FALSE)*(1+IF(OR($AH61=$F$4,$AH61=$F$5),$B$22,0))</f>
        <v>1008</v>
      </c>
      <c r="AK61" s="26">
        <f>VLOOKUP($R61,武学奇术!$A:$ZZ,28,FALSE)</f>
        <v>5.9619</v>
      </c>
      <c r="AL61" s="27">
        <f>VLOOKUP($R61,武学奇术!$A:$ZZ,29,FALSE)*(1+IF(OR($AH61=$F$4,$AH61=$F$5),$B$22,0))</f>
        <v>0</v>
      </c>
      <c r="AM61" s="26" cm="1">
        <f t="array" ref="AM61">$G$3+IFERROR(VLOOKUP($AH61,$F$4:$G$7,2,FALSE),0)+VLOOKUP($R61,武学奇术!$A:$ZZ,2,FALSE)+SUM(_xlfn.XLOOKUP($S61:$AG61,增益!$A:$A,增益!$B:$B,0))</f>
        <v>0.4037</v>
      </c>
      <c r="AN61" s="26" cm="1">
        <f t="array" ref="AN61">VLOOKUP($R61,武学奇术!$A:$ZZ,5,FALSE)+SUM(_xlfn.XLOOKUP($S61:$AG61,增益!$A:$A,增益!$E:$E,0))</f>
        <v>0</v>
      </c>
      <c r="AO61" cm="1">
        <f t="array" ref="AO61">$D$10*(1+$AN61)+VLOOKUP($R61,武学奇术!$A:$ZZ,3,FALSE)+SUM(_xlfn.XLOOKUP($S61:$AG61,增益!$A:$A,增益!$C:$C,0))-$I$2</f>
        <v>3562.6</v>
      </c>
      <c r="AP61" cm="1">
        <f t="array" ref="AP61">$E$10*(1+$AN61)+VLOOKUP($R61,武学奇术!$A:$ZZ,4,FALSE)+SUM(_xlfn.XLOOKUP($S61:$AG61,增益!$A:$A,增益!$D:$D,0))-$I$2</f>
        <v>3562.6</v>
      </c>
      <c r="AQ61" s="32" cm="1">
        <f t="array" ref="AQ61">IF($F$10-$I$3+VLOOKUP($R61,武学奇术!$A:$ZZ,6,FALSE)+SUM(_xlfn.XLOOKUP(S61:AG61,增益!$A:$A,增益!$F:$F,0))&gt;0,($F$10-$I$3+VLOOKUP($R61,武学奇术!$A:$ZZ,6,FALSE)+SUM(_xlfn.XLOOKUP(S61:AG61,增益!$A:$A,增益!$F:$F,0)))/200,($F$10-$I$3+VLOOKUP($R61,武学奇术!$A:$ZZ,6,FALSE)+SUM(_xlfn.XLOOKUP(S61:AG61,增益!$A:$A,增益!$F:$F,0)))/100)</f>
        <v>0.2925</v>
      </c>
      <c r="AR61" s="32" cm="1">
        <f t="array" ref="AR61">$G$10+VLOOKUP($R61,武学奇术!$A:$ZZ,7,FALSE)+SUM(_xlfn.XLOOKUP(S61:AG61,增益!$A:$A,增益!$G:$G,0))</f>
        <v>0.028</v>
      </c>
      <c r="AS61" s="26" cm="1">
        <f t="array" ref="AS61">VLOOKUP($R61,武学奇术!$A:$ZZ,8,FALSE)+SUM(_xlfn.XLOOKUP(S61:AG61,增益!$A:$A,增益!$H:$H,0))</f>
        <v>0</v>
      </c>
      <c r="AT61">
        <f t="shared" si="1"/>
        <v>0</v>
      </c>
      <c r="AU61">
        <f t="shared" si="2"/>
        <v>0</v>
      </c>
      <c r="AV61" s="32" cm="1">
        <f t="array" ref="AV61">IF($F$11-$I$4+VLOOKUP($R61,武学奇术!$A:$ZZ,9,FALSE)+SUM(_xlfn.XLOOKUP(S61:AG61,增益!$A:$A,增益!$I:$I,0))&gt;0,($F$11-$I$4+VLOOKUP($R61,武学奇术!$A:$ZZ,9,FALSE)+SUM(_xlfn.XLOOKUP(S61:AG61,增益!$A:$A,增益!$I:$I,0)))/200,($F$11-$I$4+VLOOKUP($R61,武学奇术!$A:$ZZ,9,FALSE)+SUM(_xlfn.XLOOKUP(S61:AG61,增益!$A:$A,增益!$I:$I,0)))/100)</f>
        <v>-0.3</v>
      </c>
      <c r="AW61" s="32" cm="1">
        <f t="array" ref="AW61">$G$11+VLOOKUP($R61,武学奇术!$A:$ZZ,10,FALSE)+SUM(_xlfn.XLOOKUP(S61:AG61,增益!$A:$A,增益!$J:$J,0))</f>
        <v>0</v>
      </c>
      <c r="AX61">
        <f t="shared" si="3"/>
        <v>0</v>
      </c>
      <c r="AY61">
        <f t="shared" si="4"/>
        <v>0</v>
      </c>
      <c r="AZ61" s="32" cm="1">
        <f t="array" ref="AZ61">IF($F$12-$I$4+VLOOKUP($R61,武学奇术!$A:$ZZ,11,FALSE)+SUM(_xlfn.XLOOKUP(S61:AG61,增益!$A:$A,增益!$K:$K,0))&gt;0,($F$12-$I$4+VLOOKUP($R61,武学奇术!$A:$ZZ,11,FALSE)+SUM(_xlfn.XLOOKUP(S61:AG61,增益!$A:$A,增益!$K:$K,0)))/200,($F$12-$I$4+VLOOKUP($R61,武学奇术!$A:$ZZ,11,FALSE)+SUM(_xlfn.XLOOKUP(S61:AG61,增益!$A:$A,增益!$K:$K,0)))/100)</f>
        <v>-0.3</v>
      </c>
      <c r="BA61" s="32" cm="1">
        <f t="array" ref="BA61">$G$12+VLOOKUP($R61,武学奇术!$A:$ZZ,12,FALSE)+SUM(_xlfn.XLOOKUP(S61:AG61,增益!$A:$A,增益!$L:$L,0))</f>
        <v>0</v>
      </c>
      <c r="BB61">
        <f t="shared" si="5"/>
        <v>0</v>
      </c>
      <c r="BC61">
        <f t="shared" si="6"/>
        <v>0</v>
      </c>
      <c r="BD61" s="32" cm="1">
        <f t="array" ref="BD61">IF($F$13-$I$4+VLOOKUP($R61,武学奇术!$A:$ZZ,13,FALSE)+SUM(_xlfn.XLOOKUP(S61:AG61,增益!$A:$A,增益!$M:$M,0))&gt;0,($F$13-$I$4+VLOOKUP($R61,武学奇术!$A:$ZZ,13,FALSE)+SUM(_xlfn.XLOOKUP(S61:AG61,增益!$A:$A,增益!$K:$K,0)))/200,($F$13-$I$4+VLOOKUP($R61,武学奇术!$A:$ZZ,13,FALSE)+SUM(_xlfn.XLOOKUP(S61:AG61,增益!$A:$A,增益!$M:$M,0)))/100)</f>
        <v>-0.3</v>
      </c>
      <c r="BE61" s="32" cm="1">
        <f t="array" ref="BE61">$G$13+VLOOKUP($R61,武学奇术!$A:$ZZ,14,FALSE)+SUM(_xlfn.XLOOKUP(S61:AG61,增益!$A:$A,增益!$N:$N,0))</f>
        <v>0</v>
      </c>
      <c r="BF61">
        <f t="shared" si="7"/>
        <v>571.2</v>
      </c>
      <c r="BG61">
        <f t="shared" si="8"/>
        <v>1627.8</v>
      </c>
      <c r="BH61" s="32" cm="1">
        <f t="array" ref="BH61">IF($F$14-$I$4+VLOOKUP($R61,武学奇术!$A:$ZZ,15,FALSE)+SUM(_xlfn.XLOOKUP(S61:AG61,增益!$A:$A,增益!$O:$O,0))&gt;0,($F$14-$I$4+VLOOKUP($R61,武学奇术!$A:$ZZ,15,FALSE)+SUM(_xlfn.XLOOKUP(S61:AG61,增益!$A:$A,增益!$O:$O,0)))/200,($F$14-$I$4+VLOOKUP($R61,武学奇术!$A:$ZZ,15,FALSE)+SUM(_xlfn.XLOOKUP(S61:AG61,增益!$A:$A,增益!$O:$O,0)))/100)</f>
        <v>0</v>
      </c>
      <c r="BI61" s="32" cm="1">
        <f t="array" ref="BI61">$G$14+VLOOKUP($R61,武学奇术!$A:$ZZ,16,FALSE)+SUM(_xlfn.XLOOKUP(S61:AG61,增益!$A:$A,增益!$P:$P,0))</f>
        <v>0.15</v>
      </c>
      <c r="BJ61" s="26">
        <f>MIN(IF(VLOOKUP($R61,武学奇术!$A:$ZZ,23,FALSE)=1,100%,$B$8),100%)</f>
        <v>0.981</v>
      </c>
      <c r="BK61" s="26" cm="1">
        <f t="array" ref="BK61">IF(VLOOKUP($R61,武学奇术!$A:$ZZ,23,FALSE)=1,100%,MIN(80%,$B$9+VLOOKUP($R61,武学奇术!$A:$ZZ,17,FALSE)+SUM(_xlfn.XLOOKUP(S61:AG61,增益!$A:$A,增益!$Q:$Q,0)))+$B$11+SUM(_xlfn.XLOOKUP(S61:AG61,增益!$A:$A,增益!$U:$U,0)))*IF(VLOOKUP($R61,武学奇术!$A:$ZZ,24,FALSE)=1,0,1)</f>
        <v>0.846</v>
      </c>
      <c r="BL61" s="26" cm="1">
        <f t="array" ref="BL61">1+$B$13+VLOOKUP($R61,武学奇术!$A:$ZZ,18,FALSE)+SUM(_xlfn.XLOOKUP(S61:AG61,增益!$A:$A,增益!$R:$R,0))</f>
        <v>1.91</v>
      </c>
      <c r="BM61" s="26" cm="1">
        <f t="array" ref="BM61">IF(VLOOKUP($R61,武学奇术!$A:$ZZ,24,FALSE)=1,100%,MIN(40%,$B$10+VLOOKUP($R61,武学奇术!$A:$ZZ,19,FALSE)+SUM(_xlfn.XLOOKUP(S61:AG61,增益!$A:$A,增益!$S:$S,0)))+$B$12+SUM(_xlfn.XLOOKUP(S61:AG61,增益!$A:$A,增益!$V:$V,0)))*IF(VLOOKUP($R61,武学奇术!$A:$ZZ,23,FALSE)=1,0,1)</f>
        <v>0.0929</v>
      </c>
      <c r="BN61" s="26" cm="1">
        <f t="array" ref="BN61">1+$B$14+VLOOKUP($R61,武学奇术!$A:$ZZ,20,FALSE)+SUM(_xlfn.XLOOKUP(S61:AG61,增益!$A:$A,增益!$T:$T,0))</f>
        <v>1.35</v>
      </c>
      <c r="BO61" s="26">
        <f t="shared" si="9"/>
        <v>0.829926</v>
      </c>
      <c r="BP61" s="26">
        <f t="shared" si="10"/>
        <v>0.0599391</v>
      </c>
      <c r="BQ61" s="26">
        <f>IF(VLOOKUP($R61,武学奇术!$A:$ZZ,22,FALSE)=1,0,(1-$BJ61))*(1-$BM61)</f>
        <v>0.0172349</v>
      </c>
      <c r="BR61" s="26" cm="1">
        <f t="array" ref="BR61">SUM(_xlfn.XLOOKUP(S61:AG61,增益!$A:$A,增益!$W:$W,0))+$I$5</f>
        <v>0.11</v>
      </c>
    </row>
    <row r="62" spans="1:70">
      <c r="K62">
        <f>$L62*VLOOKUP($R62,武学奇术!$A:$ZZ,31,FALSE)</f>
        <v>26249.6024770765</v>
      </c>
      <c r="L62" s="38">
        <f t="shared" si="11"/>
        <v>24999.6214067395</v>
      </c>
      <c r="M62" s="38">
        <f>((($AO62+$AP62)/2*$AI62+$AJ62)*(1+$AQ62)*(1+$AR62)+(($AT62+$AU62)/2*IF($G$1="鸣金",$AK62,$AI62)+IF($G$1="鸣金",$AL62*1.5,0))*(1+$AV62)*(1+$AW62)+(($AX62+$AY62)/2*IF($G$1="裂石",$AK62,$AI62)+IF($G$1="裂石",$AL62*1.5,0))*(1+$AZ62)*(1+$BA62)+(($BB62+$BC62)/2*IF($G$1="牵丝",$AK62,$AI62)+IF($G$1="牵丝",$AL62*1.5,0))*(1+$BD62)*(1+$BE62)+(($BF62+$BG62)/2*IF($G$1="破竹",$AK62,$AI62)+IF($G$1="破竹",$AL62*1.5,0))*(1+$BH62)*(1+$BI62))*(1+$AM62)*$BL62*$Q62*(1+IF(VLOOKUP($R62,武学奇术!$A:$ZZ,30,FALSE)="回旋伞",$B$21,0))*(1+$BR62)</f>
        <v>26499.4381820634</v>
      </c>
      <c r="N62" s="38">
        <f>(($AP62*$AI62+$AJ62)*(1+$AQ62)*(1+$AR62)+($AU62*IF($G$1="鸣金",$AK62,$AI62)+IF($G$1="鸣金",$AL62*1.5,0))*(1+$AV62)*(1+$AW62)+($AY62*IF($G$1="裂石",$AK62,$AI62)+IF($G$1="裂石",$AL62*1.5,0))*(1+$AZ62)*(1+$BA62)+($BC62*IF($G$1="牵丝",$AK62,$AI62)+IF($G$1="牵丝",$AL62*1.5,0))*(1+$BD62)*(1+$BE62)+($BG62*IF($G$1="破竹",$AK62,$AI62)+IF($G$1="破竹",$AL62*1.5,0))*(1+$BH62)*(1+$BI62))*(1+$AM62)*$BN62*$Q62*(1+IF(VLOOKUP($R62,武学奇术!$A:$ZZ,30,FALSE)="回旋伞",$B$21,0))*(1+$BR62)</f>
        <v>21179.8648946436</v>
      </c>
      <c r="O62" s="38">
        <f>((($AO62+$AP62)/2*$AI62+$AJ62)*(1+$AQ62)*(1+$AR62)+(($AT62+$AU62)/2*IF($G$1="鸣金",$AK62,$AI62)+IF($G$1="鸣金",$AL62*1.5,0))*(1+$AV62)*(1+$AW62)+(($AX62+$AY62)/2*IF($G$1="裂石",$AK62,$AI62)+IF($G$1="裂石",$AL62*1.5,0))*(1+$AZ62)*(1+$BA62)+(($BB62+$BC62)/2*IF($G$1="牵丝",$AK62,$AI62)+IF($G$1="牵丝",$AL62*1.5,0))*(1+$BD62)*(1+$BE62)+(($BF62+$BG62)/2*IF($G$1="破竹",$AK62,$AI62)+IF($G$1="破竹",$AL62*1.5,0))*(1+$BH62)*(1+$BI62))*(1+$AM62)*$Q62*(1+IF(VLOOKUP($R62,武学奇术!$A:$ZZ,30,FALSE)="回旋伞",$B$21,0))*(1+$BR62)</f>
        <v>13874.0514042217</v>
      </c>
      <c r="P62" s="38">
        <f>((($AO62*$AI62+$AJ62)*(1+$AQ62)*(1+$AR62)+($AT62*IF($G$1="鸣金",$AK62,$AI62)+IF($G$1="鸣金",$AL62*1.5,0))*(1+$AV62)*(1+$AW62)+($AX62*IF($G$1="裂石",$AK62,$AI62)+IF($G$1="裂石",$AL62*1.5,0))*(1+$AZ62)*(1+$BA62)+($BB62*IF($G$1="牵丝",$AK62,$AI62)+IF($G$1="牵丝",$AL62*1.5,0))*(1+$BD62)*(1+$BE62)+($BF62*IF($G$1="破竹",$AK62,$AI62)+IF($G$1="破竹",$AL62*1.5,0))*(1+$BH62)*(1+$BI62))*(1+$AM62))*$Q62*(1+IF(VLOOKUP($R62,武学奇术!$A:$ZZ,30,FALSE)="回旋伞",$B$21,0))*(1+$BR62)</f>
        <v>12059.3139975963</v>
      </c>
      <c r="Q62" s="39">
        <v>1</v>
      </c>
      <c r="R62" s="40" t="s">
        <v>71</v>
      </c>
      <c r="S62" s="40" t="s">
        <v>72</v>
      </c>
      <c r="T62" s="40" t="s">
        <v>95</v>
      </c>
      <c r="U62" s="40" t="s">
        <v>73</v>
      </c>
      <c r="V62" s="40" t="s">
        <v>72</v>
      </c>
      <c r="W62" s="40" t="s">
        <v>172</v>
      </c>
      <c r="X62" s="40" t="s">
        <v>99</v>
      </c>
      <c r="Y62" s="40" t="s">
        <v>72</v>
      </c>
      <c r="Z62" s="40" t="s">
        <v>72</v>
      </c>
      <c r="AA62" s="40" t="s">
        <v>72</v>
      </c>
      <c r="AB62" s="40" t="s">
        <v>72</v>
      </c>
      <c r="AC62" s="40" t="s">
        <v>72</v>
      </c>
      <c r="AD62" s="40" t="s">
        <v>72</v>
      </c>
      <c r="AE62" s="40" t="s">
        <v>72</v>
      </c>
      <c r="AF62" s="40" t="s">
        <v>72</v>
      </c>
      <c r="AG62" s="40" t="s">
        <v>78</v>
      </c>
      <c r="AH62" t="str">
        <f>VLOOKUP($R62,武学奇术!$A:$ZZ,25,FALSE)</f>
        <v>群体奇术</v>
      </c>
      <c r="AI62" s="26">
        <f>VLOOKUP($R62,武学奇术!$A:$ZZ,26,FALSE)</f>
        <v>1.4904</v>
      </c>
      <c r="AJ62" s="27">
        <f>VLOOKUP($R62,武学奇术!$A:$ZZ,27,FALSE)*(1+IF(OR($AH62=$F$4,$AH62=$F$5),$B$22,0))</f>
        <v>378</v>
      </c>
      <c r="AK62" s="26">
        <f>VLOOKUP($R62,武学奇术!$A:$ZZ,28,FALSE)</f>
        <v>2.2356</v>
      </c>
      <c r="AL62" s="27">
        <f>VLOOKUP($R62,武学奇术!$A:$ZZ,29,FALSE)*(1+IF(OR($AH62=$F$4,$AH62=$F$5),$B$22,0))</f>
        <v>0</v>
      </c>
      <c r="AM62" s="26" cm="1">
        <f t="array" ref="AM62">$G$3+IFERROR(VLOOKUP($AH62,$F$4:$G$7,2,FALSE),0)+VLOOKUP($R62,武学奇术!$A:$ZZ,2,FALSE)+SUM(_xlfn.XLOOKUP($S62:$AG62,增益!$A:$A,增益!$B:$B,0))</f>
        <v>0.2037</v>
      </c>
      <c r="AN62" s="26" cm="1">
        <f t="array" ref="AN62">VLOOKUP($R62,武学奇术!$A:$ZZ,5,FALSE)+SUM(_xlfn.XLOOKUP($S62:$AG62,增益!$A:$A,增益!$E:$E,0))</f>
        <v>0</v>
      </c>
      <c r="AO62" cm="1">
        <f t="array" ref="AO62">$D$10*(1+$AN62)+VLOOKUP($R62,武学奇术!$A:$ZZ,3,FALSE)+SUM(_xlfn.XLOOKUP($S62:$AG62,增益!$A:$A,增益!$C:$C,0))-$I$2</f>
        <v>3562.6</v>
      </c>
      <c r="AP62" cm="1">
        <f t="array" ref="AP62">$E$10*(1+$AN62)+VLOOKUP($R62,武学奇术!$A:$ZZ,4,FALSE)+SUM(_xlfn.XLOOKUP($S62:$AG62,增益!$A:$A,增益!$D:$D,0))-$I$2</f>
        <v>3562.6</v>
      </c>
      <c r="AQ62" s="32" cm="1">
        <f t="array" ref="AQ62">IF($F$10-$I$3+VLOOKUP($R62,武学奇术!$A:$ZZ,6,FALSE)+SUM(_xlfn.XLOOKUP(S62:AG62,增益!$A:$A,增益!$F:$F,0))&gt;0,($F$10-$I$3+VLOOKUP($R62,武学奇术!$A:$ZZ,6,FALSE)+SUM(_xlfn.XLOOKUP(S62:AG62,增益!$A:$A,增益!$F:$F,0)))/200,($F$10-$I$3+VLOOKUP($R62,武学奇术!$A:$ZZ,6,FALSE)+SUM(_xlfn.XLOOKUP(S62:AG62,增益!$A:$A,增益!$F:$F,0)))/100)</f>
        <v>0.2925</v>
      </c>
      <c r="AR62" s="32" cm="1">
        <f t="array" ref="AR62">$G$10+VLOOKUP($R62,武学奇术!$A:$ZZ,7,FALSE)+SUM(_xlfn.XLOOKUP(S62:AG62,增益!$A:$A,增益!$G:$G,0))</f>
        <v>0.028</v>
      </c>
      <c r="AS62" s="26" cm="1">
        <f t="array" ref="AS62">VLOOKUP($R62,武学奇术!$A:$ZZ,8,FALSE)+SUM(_xlfn.XLOOKUP(S62:AG62,增益!$A:$A,增益!$H:$H,0))</f>
        <v>0</v>
      </c>
      <c r="AT62">
        <f t="shared" si="1"/>
        <v>0</v>
      </c>
      <c r="AU62">
        <f t="shared" si="2"/>
        <v>0</v>
      </c>
      <c r="AV62" s="32" cm="1">
        <f t="array" ref="AV62">IF($F$11-$I$4+VLOOKUP($R62,武学奇术!$A:$ZZ,9,FALSE)+SUM(_xlfn.XLOOKUP(S62:AG62,增益!$A:$A,增益!$I:$I,0))&gt;0,($F$11-$I$4+VLOOKUP($R62,武学奇术!$A:$ZZ,9,FALSE)+SUM(_xlfn.XLOOKUP(S62:AG62,增益!$A:$A,增益!$I:$I,0)))/200,($F$11-$I$4+VLOOKUP($R62,武学奇术!$A:$ZZ,9,FALSE)+SUM(_xlfn.XLOOKUP(S62:AG62,增益!$A:$A,增益!$I:$I,0)))/100)</f>
        <v>-0.3</v>
      </c>
      <c r="AW62" s="32" cm="1">
        <f t="array" ref="AW62">$G$11+VLOOKUP($R62,武学奇术!$A:$ZZ,10,FALSE)+SUM(_xlfn.XLOOKUP(S62:AG62,增益!$A:$A,增益!$J:$J,0))</f>
        <v>0</v>
      </c>
      <c r="AX62">
        <f t="shared" si="3"/>
        <v>0</v>
      </c>
      <c r="AY62">
        <f t="shared" si="4"/>
        <v>0</v>
      </c>
      <c r="AZ62" s="32" cm="1">
        <f t="array" ref="AZ62">IF($F$12-$I$4+VLOOKUP($R62,武学奇术!$A:$ZZ,11,FALSE)+SUM(_xlfn.XLOOKUP(S62:AG62,增益!$A:$A,增益!$K:$K,0))&gt;0,($F$12-$I$4+VLOOKUP($R62,武学奇术!$A:$ZZ,11,FALSE)+SUM(_xlfn.XLOOKUP(S62:AG62,增益!$A:$A,增益!$K:$K,0)))/200,($F$12-$I$4+VLOOKUP($R62,武学奇术!$A:$ZZ,11,FALSE)+SUM(_xlfn.XLOOKUP(S62:AG62,增益!$A:$A,增益!$K:$K,0)))/100)</f>
        <v>-0.3</v>
      </c>
      <c r="BA62" s="32" cm="1">
        <f t="array" ref="BA62">$G$12+VLOOKUP($R62,武学奇术!$A:$ZZ,12,FALSE)+SUM(_xlfn.XLOOKUP(S62:AG62,增益!$A:$A,增益!$L:$L,0))</f>
        <v>0</v>
      </c>
      <c r="BB62">
        <f t="shared" si="5"/>
        <v>0</v>
      </c>
      <c r="BC62">
        <f t="shared" si="6"/>
        <v>0</v>
      </c>
      <c r="BD62" s="32" cm="1">
        <f t="array" ref="BD62">IF($F$13-$I$4+VLOOKUP($R62,武学奇术!$A:$ZZ,13,FALSE)+SUM(_xlfn.XLOOKUP(S62:AG62,增益!$A:$A,增益!$M:$M,0))&gt;0,($F$13-$I$4+VLOOKUP($R62,武学奇术!$A:$ZZ,13,FALSE)+SUM(_xlfn.XLOOKUP(S62:AG62,增益!$A:$A,增益!$K:$K,0)))/200,($F$13-$I$4+VLOOKUP($R62,武学奇术!$A:$ZZ,13,FALSE)+SUM(_xlfn.XLOOKUP(S62:AG62,增益!$A:$A,增益!$M:$M,0)))/100)</f>
        <v>-0.3</v>
      </c>
      <c r="BE62" s="32" cm="1">
        <f t="array" ref="BE62">$G$13+VLOOKUP($R62,武学奇术!$A:$ZZ,14,FALSE)+SUM(_xlfn.XLOOKUP(S62:AG62,增益!$A:$A,增益!$N:$N,0))</f>
        <v>0</v>
      </c>
      <c r="BF62">
        <f t="shared" si="7"/>
        <v>571.2</v>
      </c>
      <c r="BG62">
        <f t="shared" si="8"/>
        <v>1627.8</v>
      </c>
      <c r="BH62" s="32" cm="1">
        <f t="array" ref="BH62">IF($F$14-$I$4+VLOOKUP($R62,武学奇术!$A:$ZZ,15,FALSE)+SUM(_xlfn.XLOOKUP(S62:AG62,增益!$A:$A,增益!$O:$O,0))&gt;0,($F$14-$I$4+VLOOKUP($R62,武学奇术!$A:$ZZ,15,FALSE)+SUM(_xlfn.XLOOKUP(S62:AG62,增益!$A:$A,增益!$O:$O,0)))/200,($F$14-$I$4+VLOOKUP($R62,武学奇术!$A:$ZZ,15,FALSE)+SUM(_xlfn.XLOOKUP(S62:AG62,增益!$A:$A,增益!$O:$O,0)))/100)</f>
        <v>0</v>
      </c>
      <c r="BI62" s="32" cm="1">
        <f t="array" ref="BI62">$G$14+VLOOKUP($R62,武学奇术!$A:$ZZ,16,FALSE)+SUM(_xlfn.XLOOKUP(S62:AG62,增益!$A:$A,增益!$P:$P,0))</f>
        <v>0.15</v>
      </c>
      <c r="BJ62" s="26">
        <f>MIN(IF(VLOOKUP($R62,武学奇术!$A:$ZZ,23,FALSE)=1,100%,$B$8),100%)</f>
        <v>0.981</v>
      </c>
      <c r="BK62" s="26" cm="1">
        <f t="array" ref="BK62">IF(VLOOKUP($R62,武学奇术!$A:$ZZ,23,FALSE)=1,100%,MIN(80%,$B$9+VLOOKUP($R62,武学奇术!$A:$ZZ,17,FALSE)+SUM(_xlfn.XLOOKUP(S62:AG62,增益!$A:$A,增益!$Q:$Q,0)))+$B$11+SUM(_xlfn.XLOOKUP(S62:AG62,增益!$A:$A,增益!$U:$U,0)))*IF(VLOOKUP($R62,武学奇术!$A:$ZZ,24,FALSE)=1,0,1)</f>
        <v>0.846</v>
      </c>
      <c r="BL62" s="26" cm="1">
        <f t="array" ref="BL62">1+$B$13+VLOOKUP($R62,武学奇术!$A:$ZZ,18,FALSE)+SUM(_xlfn.XLOOKUP(S62:AG62,增益!$A:$A,增益!$R:$R,0))</f>
        <v>1.91</v>
      </c>
      <c r="BM62" s="26" cm="1">
        <f t="array" ref="BM62">IF(VLOOKUP($R62,武学奇术!$A:$ZZ,24,FALSE)=1,100%,MIN(40%,$B$10+VLOOKUP($R62,武学奇术!$A:$ZZ,19,FALSE)+SUM(_xlfn.XLOOKUP(S62:AG62,增益!$A:$A,增益!$S:$S,0)))+$B$12+SUM(_xlfn.XLOOKUP(S62:AG62,增益!$A:$A,增益!$V:$V,0)))*IF(VLOOKUP($R62,武学奇术!$A:$ZZ,23,FALSE)=1,0,1)</f>
        <v>0.0929</v>
      </c>
      <c r="BN62" s="26" cm="1">
        <f t="array" ref="BN62">1+$B$14+VLOOKUP($R62,武学奇术!$A:$ZZ,20,FALSE)+SUM(_xlfn.XLOOKUP(S62:AG62,增益!$A:$A,增益!$T:$T,0))</f>
        <v>1.35</v>
      </c>
      <c r="BO62" s="26">
        <f t="shared" si="9"/>
        <v>0.829926</v>
      </c>
      <c r="BP62" s="26">
        <f t="shared" si="10"/>
        <v>0.0599391</v>
      </c>
      <c r="BQ62" s="26">
        <f>IF(VLOOKUP($R62,武学奇术!$A:$ZZ,22,FALSE)=1,0,(1-$BJ62))*(1-$BM62)</f>
        <v>0.0172349</v>
      </c>
      <c r="BR62" s="26" cm="1">
        <f t="array" ref="BR62">SUM(_xlfn.XLOOKUP(S62:AG62,增益!$A:$A,增益!$W:$W,0))+$I$5</f>
        <v>0.11</v>
      </c>
    </row>
    <row r="63" spans="1:70">
      <c r="K63">
        <f>$L63*VLOOKUP($R63,武学奇术!$A:$ZZ,31,FALSE)</f>
        <v>55761.1654162214</v>
      </c>
      <c r="L63" s="38">
        <f t="shared" si="11"/>
        <v>53105.8718249727</v>
      </c>
      <c r="M63" s="38">
        <f>((($AO63+$AP63)/2*$AI63+$AJ63)*(1+$AQ63)*(1+$AR63)+(($AT63+$AU63)/2*IF($G$1="鸣金",$AK63,$AI63)+IF($G$1="鸣金",$AL63*1.5,0))*(1+$AV63)*(1+$AW63)+(($AX63+$AY63)/2*IF($G$1="裂石",$AK63,$AI63)+IF($G$1="裂石",$AL63*1.5,0))*(1+$AZ63)*(1+$BA63)+(($BB63+$BC63)/2*IF($G$1="牵丝",$AK63,$AI63)+IF($G$1="牵丝",$AL63*1.5,0))*(1+$BD63)*(1+$BE63)+(($BF63+$BG63)/2*IF($G$1="破竹",$AK63,$AI63)+IF($G$1="破竹",$AL63*1.5,0))*(1+$BH63)*(1+$BI63))*(1+$AM63)*$BL63*$Q63*(1+IF(VLOOKUP($R63,武学奇术!$A:$ZZ,30,FALSE)="回旋伞",$B$21,0))*(1+$BR63)</f>
        <v>53105.8718249727</v>
      </c>
      <c r="N63" s="38">
        <f>(($AP63*$AI63+$AJ63)*(1+$AQ63)*(1+$AR63)+($AU63*IF($G$1="鸣金",$AK63,$AI63)+IF($G$1="鸣金",$AL63*1.5,0))*(1+$AV63)*(1+$AW63)+($AY63*IF($G$1="裂石",$AK63,$AI63)+IF($G$1="裂石",$AL63*1.5,0))*(1+$AZ63)*(1+$BA63)+($BC63*IF($G$1="牵丝",$AK63,$AI63)+IF($G$1="牵丝",$AL63*1.5,0))*(1+$BD63)*(1+$BE63)+($BG63*IF($G$1="破竹",$AK63,$AI63)+IF($G$1="破竹",$AL63*1.5,0))*(1+$BH63)*(1+$BI63))*(1+$AM63)*$BN63*$Q63*(1+IF(VLOOKUP($R63,武学奇术!$A:$ZZ,30,FALSE)="回旋伞",$B$21,0))*(1+$BR63)</f>
        <v>42052.3868116326</v>
      </c>
      <c r="O63" s="38">
        <f>((($AO63+$AP63)/2*$AI63+$AJ63)*(1+$AQ63)*(1+$AR63)+(($AT63+$AU63)/2*IF($G$1="鸣金",$AK63,$AI63)+IF($G$1="鸣金",$AL63*1.5,0))*(1+$AV63)*(1+$AW63)+(($AX63+$AY63)/2*IF($G$1="裂石",$AK63,$AI63)+IF($G$1="裂石",$AL63*1.5,0))*(1+$AZ63)*(1+$BA63)+(($BB63+$BC63)/2*IF($G$1="牵丝",$AK63,$AI63)+IF($G$1="牵丝",$AL63*1.5,0))*(1+$BD63)*(1+$BE63)+(($BF63+$BG63)/2*IF($G$1="破竹",$AK63,$AI63)+IF($G$1="破竹",$AL63*1.5,0))*(1+$BH63)*(1+$BI63))*(1+$AM63)*$Q63*(1+IF(VLOOKUP($R63,武学奇术!$A:$ZZ,30,FALSE)="回旋伞",$B$21,0))*(1+$BR63)</f>
        <v>27804.1213743313</v>
      </c>
      <c r="P63" s="38">
        <f>((($AO63*$AI63+$AJ63)*(1+$AQ63)*(1+$AR63)+($AT63*IF($G$1="鸣金",$AK63,$AI63)+IF($G$1="鸣金",$AL63*1.5,0))*(1+$AV63)*(1+$AW63)+($AX63*IF($G$1="裂石",$AK63,$AI63)+IF($G$1="裂石",$AL63*1.5,0))*(1+$AZ63)*(1+$BA63)+($BB63*IF($G$1="牵丝",$AK63,$AI63)+IF($G$1="牵丝",$AL63*1.5,0))*(1+$BD63)*(1+$BE63)+($BF63*IF($G$1="破竹",$AK63,$AI63)+IF($G$1="破竹",$AL63*1.5,0))*(1+$BH63)*(1+$BI63))*(1+$AM63))*$Q63*(1+IF(VLOOKUP($R63,武学奇术!$A:$ZZ,30,FALSE)="回旋伞",$B$21,0))*(1+$BR63)</f>
        <v>24458.3265918976</v>
      </c>
      <c r="Q63" s="39">
        <v>1</v>
      </c>
      <c r="R63" s="40" t="s">
        <v>166</v>
      </c>
      <c r="S63" s="40" t="s">
        <v>72</v>
      </c>
      <c r="T63" s="40" t="s">
        <v>95</v>
      </c>
      <c r="U63" s="40" t="s">
        <v>73</v>
      </c>
      <c r="V63" s="40" t="s">
        <v>72</v>
      </c>
      <c r="W63" s="40" t="s">
        <v>172</v>
      </c>
      <c r="X63" s="40" t="s">
        <v>99</v>
      </c>
      <c r="Y63" s="40" t="s">
        <v>72</v>
      </c>
      <c r="Z63" s="40" t="s">
        <v>72</v>
      </c>
      <c r="AA63" s="40" t="s">
        <v>72</v>
      </c>
      <c r="AB63" s="40" t="s">
        <v>72</v>
      </c>
      <c r="AC63" s="40" t="s">
        <v>72</v>
      </c>
      <c r="AD63" s="40" t="s">
        <v>72</v>
      </c>
      <c r="AE63" s="40" t="s">
        <v>72</v>
      </c>
      <c r="AF63" s="40" t="s">
        <v>72</v>
      </c>
      <c r="AG63" s="40" t="s">
        <v>78</v>
      </c>
      <c r="AH63" t="str">
        <f>VLOOKUP($R63,武学奇术!$A:$ZZ,25,FALSE)</f>
        <v>绳镖</v>
      </c>
      <c r="AI63" s="26">
        <f>VLOOKUP($R63,武学奇术!$A:$ZZ,26,FALSE)</f>
        <v>2.2987</v>
      </c>
      <c r="AJ63" s="27">
        <f>VLOOKUP($R63,武学奇术!$A:$ZZ,27,FALSE)*(1+IF(OR($AH63=$F$4,$AH63=$F$5),$B$22,0))</f>
        <v>955.5</v>
      </c>
      <c r="AK63" s="26">
        <f>VLOOKUP($R63,武学奇术!$A:$ZZ,28,FALSE)</f>
        <v>3.448</v>
      </c>
      <c r="AL63" s="27">
        <f>VLOOKUP($R63,武学奇术!$A:$ZZ,29,FALSE)*(1+IF(OR($AH63=$F$4,$AH63=$F$5),$B$22,0))</f>
        <v>520.5</v>
      </c>
      <c r="AM63" s="26" cm="1">
        <f t="array" ref="AM63">$G$3+IFERROR(VLOOKUP($AH63,$F$4:$G$7,2,FALSE),0)+VLOOKUP($R63,武学奇术!$A:$ZZ,2,FALSE)+SUM(_xlfn.XLOOKUP($S63:$AG63,增益!$A:$A,增益!$B:$B,0))</f>
        <v>0.4389</v>
      </c>
      <c r="AN63" s="26" cm="1">
        <f t="array" ref="AN63">VLOOKUP($R63,武学奇术!$A:$ZZ,5,FALSE)+SUM(_xlfn.XLOOKUP($S63:$AG63,增益!$A:$A,增益!$E:$E,0))</f>
        <v>0</v>
      </c>
      <c r="AO63" cm="1">
        <f t="array" ref="AO63">$D$10*(1+$AN63)+VLOOKUP($R63,武学奇术!$A:$ZZ,3,FALSE)+SUM(_xlfn.XLOOKUP($S63:$AG63,增益!$A:$A,增益!$C:$C,0))-$I$2</f>
        <v>3562.6</v>
      </c>
      <c r="AP63" cm="1">
        <f t="array" ref="AP63">$E$10*(1+$AN63)+VLOOKUP($R63,武学奇术!$A:$ZZ,4,FALSE)+SUM(_xlfn.XLOOKUP($S63:$AG63,增益!$A:$A,增益!$D:$D,0))-$I$2</f>
        <v>3562.6</v>
      </c>
      <c r="AQ63" s="32" cm="1">
        <f t="array" ref="AQ63">IF($F$10-$I$3+VLOOKUP($R63,武学奇术!$A:$ZZ,6,FALSE)+SUM(_xlfn.XLOOKUP(S63:AG63,增益!$A:$A,增益!$F:$F,0))&gt;0,($F$10-$I$3+VLOOKUP($R63,武学奇术!$A:$ZZ,6,FALSE)+SUM(_xlfn.XLOOKUP(S63:AG63,增益!$A:$A,增益!$F:$F,0)))/200,($F$10-$I$3+VLOOKUP($R63,武学奇术!$A:$ZZ,6,FALSE)+SUM(_xlfn.XLOOKUP(S63:AG63,增益!$A:$A,增益!$F:$F,0)))/100)</f>
        <v>0.2925</v>
      </c>
      <c r="AR63" s="32" cm="1">
        <f t="array" ref="AR63">$G$10+VLOOKUP($R63,武学奇术!$A:$ZZ,7,FALSE)+SUM(_xlfn.XLOOKUP(S63:AG63,增益!$A:$A,增益!$G:$G,0))</f>
        <v>0.028</v>
      </c>
      <c r="AS63" s="26" cm="1">
        <f t="array" ref="AS63">VLOOKUP($R63,武学奇术!$A:$ZZ,8,FALSE)+SUM(_xlfn.XLOOKUP(S63:AG63,增益!$A:$A,增益!$H:$H,0))</f>
        <v>0</v>
      </c>
      <c r="AT63">
        <f t="shared" si="1"/>
        <v>0</v>
      </c>
      <c r="AU63">
        <f t="shared" si="2"/>
        <v>0</v>
      </c>
      <c r="AV63" s="32" cm="1">
        <f t="array" ref="AV63">IF($F$11-$I$4+VLOOKUP($R63,武学奇术!$A:$ZZ,9,FALSE)+SUM(_xlfn.XLOOKUP(S63:AG63,增益!$A:$A,增益!$I:$I,0))&gt;0,($F$11-$I$4+VLOOKUP($R63,武学奇术!$A:$ZZ,9,FALSE)+SUM(_xlfn.XLOOKUP(S63:AG63,增益!$A:$A,增益!$I:$I,0)))/200,($F$11-$I$4+VLOOKUP($R63,武学奇术!$A:$ZZ,9,FALSE)+SUM(_xlfn.XLOOKUP(S63:AG63,增益!$A:$A,增益!$I:$I,0)))/100)</f>
        <v>-0.3</v>
      </c>
      <c r="AW63" s="32" cm="1">
        <f t="array" ref="AW63">$G$11+VLOOKUP($R63,武学奇术!$A:$ZZ,10,FALSE)+SUM(_xlfn.XLOOKUP(S63:AG63,增益!$A:$A,增益!$J:$J,0))</f>
        <v>0</v>
      </c>
      <c r="AX63">
        <f t="shared" si="3"/>
        <v>0</v>
      </c>
      <c r="AY63">
        <f t="shared" si="4"/>
        <v>0</v>
      </c>
      <c r="AZ63" s="32" cm="1">
        <f t="array" ref="AZ63">IF($F$12-$I$4+VLOOKUP($R63,武学奇术!$A:$ZZ,11,FALSE)+SUM(_xlfn.XLOOKUP(S63:AG63,增益!$A:$A,增益!$K:$K,0))&gt;0,($F$12-$I$4+VLOOKUP($R63,武学奇术!$A:$ZZ,11,FALSE)+SUM(_xlfn.XLOOKUP(S63:AG63,增益!$A:$A,增益!$K:$K,0)))/200,($F$12-$I$4+VLOOKUP($R63,武学奇术!$A:$ZZ,11,FALSE)+SUM(_xlfn.XLOOKUP(S63:AG63,增益!$A:$A,增益!$K:$K,0)))/100)</f>
        <v>-0.3</v>
      </c>
      <c r="BA63" s="32" cm="1">
        <f t="array" ref="BA63">$G$12+VLOOKUP($R63,武学奇术!$A:$ZZ,12,FALSE)+SUM(_xlfn.XLOOKUP(S63:AG63,增益!$A:$A,增益!$L:$L,0))</f>
        <v>0</v>
      </c>
      <c r="BB63">
        <f t="shared" si="5"/>
        <v>0</v>
      </c>
      <c r="BC63">
        <f t="shared" si="6"/>
        <v>0</v>
      </c>
      <c r="BD63" s="32" cm="1">
        <f t="array" ref="BD63">IF($F$13-$I$4+VLOOKUP($R63,武学奇术!$A:$ZZ,13,FALSE)+SUM(_xlfn.XLOOKUP(S63:AG63,增益!$A:$A,增益!$M:$M,0))&gt;0,($F$13-$I$4+VLOOKUP($R63,武学奇术!$A:$ZZ,13,FALSE)+SUM(_xlfn.XLOOKUP(S63:AG63,增益!$A:$A,增益!$K:$K,0)))/200,($F$13-$I$4+VLOOKUP($R63,武学奇术!$A:$ZZ,13,FALSE)+SUM(_xlfn.XLOOKUP(S63:AG63,增益!$A:$A,增益!$M:$M,0)))/100)</f>
        <v>-0.3</v>
      </c>
      <c r="BE63" s="32" cm="1">
        <f t="array" ref="BE63">$G$13+VLOOKUP($R63,武学奇术!$A:$ZZ,14,FALSE)+SUM(_xlfn.XLOOKUP(S63:AG63,增益!$A:$A,增益!$N:$N,0))</f>
        <v>0</v>
      </c>
      <c r="BF63">
        <f t="shared" si="7"/>
        <v>571.2</v>
      </c>
      <c r="BG63">
        <f t="shared" si="8"/>
        <v>1627.8</v>
      </c>
      <c r="BH63" s="32" cm="1">
        <f t="array" ref="BH63">IF($F$14-$I$4+VLOOKUP($R63,武学奇术!$A:$ZZ,15,FALSE)+SUM(_xlfn.XLOOKUP(S63:AG63,增益!$A:$A,增益!$O:$O,0))&gt;0,($F$14-$I$4+VLOOKUP($R63,武学奇术!$A:$ZZ,15,FALSE)+SUM(_xlfn.XLOOKUP(S63:AG63,增益!$A:$A,增益!$O:$O,0)))/200,($F$14-$I$4+VLOOKUP($R63,武学奇术!$A:$ZZ,15,FALSE)+SUM(_xlfn.XLOOKUP(S63:AG63,增益!$A:$A,增益!$O:$O,0)))/100)</f>
        <v>0</v>
      </c>
      <c r="BI63" s="32" cm="1">
        <f t="array" ref="BI63">$G$14+VLOOKUP($R63,武学奇术!$A:$ZZ,16,FALSE)+SUM(_xlfn.XLOOKUP(S63:AG63,增益!$A:$A,增益!$P:$P,0))</f>
        <v>0.15</v>
      </c>
      <c r="BJ63" s="26">
        <f>MIN(IF(VLOOKUP($R63,武学奇术!$A:$ZZ,23,FALSE)=1,100%,$B$8),100%)</f>
        <v>1</v>
      </c>
      <c r="BK63" s="26" cm="1">
        <f t="array" ref="BK63">IF(VLOOKUP($R63,武学奇术!$A:$ZZ,23,FALSE)=1,100%,MIN(80%,$B$9+VLOOKUP($R63,武学奇术!$A:$ZZ,17,FALSE)+SUM(_xlfn.XLOOKUP(S63:AG63,增益!$A:$A,增益!$Q:$Q,0)))+$B$11+SUM(_xlfn.XLOOKUP(S63:AG63,增益!$A:$A,增益!$U:$U,0)))*IF(VLOOKUP($R63,武学奇术!$A:$ZZ,24,FALSE)=1,0,1)</f>
        <v>1</v>
      </c>
      <c r="BL63" s="26" cm="1">
        <f t="array" ref="BL63">1+$B$13+VLOOKUP($R63,武学奇术!$A:$ZZ,18,FALSE)+SUM(_xlfn.XLOOKUP(S63:AG63,增益!$A:$A,增益!$R:$R,0))</f>
        <v>1.91</v>
      </c>
      <c r="BM63" s="26" cm="1">
        <f t="array" ref="BM63">IF(VLOOKUP($R63,武学奇术!$A:$ZZ,24,FALSE)=1,100%,MIN(40%,$B$10+VLOOKUP($R63,武学奇术!$A:$ZZ,19,FALSE)+SUM(_xlfn.XLOOKUP(S63:AG63,增益!$A:$A,增益!$S:$S,0)))+$B$12+SUM(_xlfn.XLOOKUP(S63:AG63,增益!$A:$A,增益!$V:$V,0)))*IF(VLOOKUP($R63,武学奇术!$A:$ZZ,23,FALSE)=1,0,1)</f>
        <v>0</v>
      </c>
      <c r="BN63" s="26" cm="1">
        <f t="array" ref="BN63">1+$B$14+VLOOKUP($R63,武学奇术!$A:$ZZ,20,FALSE)+SUM(_xlfn.XLOOKUP(S63:AG63,增益!$A:$A,增益!$T:$T,0))</f>
        <v>1.35</v>
      </c>
      <c r="BO63" s="26">
        <f t="shared" si="9"/>
        <v>1</v>
      </c>
      <c r="BP63" s="26">
        <f t="shared" si="10"/>
        <v>0</v>
      </c>
      <c r="BQ63" s="26">
        <f>IF(VLOOKUP($R63,武学奇术!$A:$ZZ,22,FALSE)=1,0,(1-$BJ63))*(1-$BM63)</f>
        <v>0</v>
      </c>
      <c r="BR63" s="26" cm="1">
        <f t="array" ref="BR63">SUM(_xlfn.XLOOKUP(S63:AG63,增益!$A:$A,增益!$W:$W,0))+$I$5</f>
        <v>0.11</v>
      </c>
    </row>
    <row r="64" spans="1:70">
      <c r="K64">
        <f>$L64*VLOOKUP($R64,武学奇术!$A:$ZZ,31,FALSE)</f>
        <v>106165.999465837</v>
      </c>
      <c r="L64" s="88">
        <f>(SUM(L39:L63)+L156+L157)*12%</f>
        <v>202220.951363499</v>
      </c>
      <c r="M64" s="38">
        <f>((($AO64+$AP64)/2*$AI64+$AJ64)*(1+$AQ64)*(1+$AR64)+(($AT64+$AU64)/2*IF($G$1="鸣金",$AK64,$AI64)+IF($G$1="鸣金",$AL64*1.5,0))*(1+$AV64)*(1+$AW64)+(($AX64+$AY64)/2*IF($G$1="裂石",$AK64,$AI64)+IF($G$1="裂石",$AL64*1.5,0))*(1+$AZ64)*(1+$BA64)+(($BB64+$BC64)/2*IF($G$1="牵丝",$AK64,$AI64)+IF($G$1="牵丝",$AL64*1.5,0))*(1+$BD64)*(1+$BE64)+(($BF64+$BG64)/2*IF($G$1="破竹",$AK64,$AI64)+IF($G$1="破竹",$AL64*1.5,0))*(1+$BH64)*(1+$BI64))*(1+$AM64)*$BL64*$Q64*(1+IF(VLOOKUP($R64,武学奇术!$A:$ZZ,30,FALSE)="回旋伞",$B$21,0))*(1+$BR64)</f>
        <v>0</v>
      </c>
      <c r="N64" s="38">
        <f>(($AP64*$AI64+$AJ64)*(1+$AQ64)*(1+$AR64)+($AU64*IF($G$1="鸣金",$AK64,$AI64)+IF($G$1="鸣金",$AL64*1.5,0))*(1+$AV64)*(1+$AW64)+($AY64*IF($G$1="裂石",$AK64,$AI64)+IF($G$1="裂石",$AL64*1.5,0))*(1+$AZ64)*(1+$BA64)+($BC64*IF($G$1="牵丝",$AK64,$AI64)+IF($G$1="牵丝",$AL64*1.5,0))*(1+$BD64)*(1+$BE64)+($BG64*IF($G$1="破竹",$AK64,$AI64)+IF($G$1="破竹",$AL64*1.5,0))*(1+$BH64)*(1+$BI64))*(1+$AM64)*$BN64*$Q64*(1+IF(VLOOKUP($R64,武学奇术!$A:$ZZ,30,FALSE)="回旋伞",$B$21,0))*(1+$BR64)</f>
        <v>0</v>
      </c>
      <c r="O64" s="38">
        <f>((($AO64+$AP64)/2*$AI64+$AJ64)*(1+$AQ64)*(1+$AR64)+(($AT64+$AU64)/2*IF($G$1="鸣金",$AK64,$AI64)+IF($G$1="鸣金",$AL64*1.5,0))*(1+$AV64)*(1+$AW64)+(($AX64+$AY64)/2*IF($G$1="裂石",$AK64,$AI64)+IF($G$1="裂石",$AL64*1.5,0))*(1+$AZ64)*(1+$BA64)+(($BB64+$BC64)/2*IF($G$1="牵丝",$AK64,$AI64)+IF($G$1="牵丝",$AL64*1.5,0))*(1+$BD64)*(1+$BE64)+(($BF64+$BG64)/2*IF($G$1="破竹",$AK64,$AI64)+IF($G$1="破竹",$AL64*1.5,0))*(1+$BH64)*(1+$BI64))*(1+$AM64)*$Q64*(1+IF(VLOOKUP($R64,武学奇术!$A:$ZZ,30,FALSE)="回旋伞",$B$21,0))*(1+$BR64)</f>
        <v>0</v>
      </c>
      <c r="P64" s="38">
        <f>((($AO64*$AI64+$AJ64)*(1+$AQ64)*(1+$AR64)+($AT64*IF($G$1="鸣金",$AK64,$AI64)+IF($G$1="鸣金",$AL64*1.5,0))*(1+$AV64)*(1+$AW64)+($AX64*IF($G$1="裂石",$AK64,$AI64)+IF($G$1="裂石",$AL64*1.5,0))*(1+$AZ64)*(1+$BA64)+($BB64*IF($G$1="牵丝",$AK64,$AI64)+IF($G$1="牵丝",$AL64*1.5,0))*(1+$BD64)*(1+$BE64)+($BF64*IF($G$1="破竹",$AK64,$AI64)+IF($G$1="破竹",$AL64*1.5,0))*(1+$BH64)*(1+$BI64))*(1+$AM64))*$Q64*(1+IF(VLOOKUP($R64,武学奇术!$A:$ZZ,30,FALSE)="回旋伞",$B$21,0))*(1+$BR64)</f>
        <v>0</v>
      </c>
      <c r="Q64" s="39">
        <v>1</v>
      </c>
      <c r="R64" s="40" t="s">
        <v>167</v>
      </c>
      <c r="S64" s="40" t="s">
        <v>72</v>
      </c>
      <c r="T64" s="40" t="s">
        <v>72</v>
      </c>
      <c r="U64" s="40" t="s">
        <v>72</v>
      </c>
      <c r="V64" s="40" t="s">
        <v>72</v>
      </c>
      <c r="W64" s="40" t="s">
        <v>72</v>
      </c>
      <c r="X64" s="40" t="s">
        <v>72</v>
      </c>
      <c r="Y64" s="40" t="s">
        <v>72</v>
      </c>
      <c r="Z64" s="40" t="s">
        <v>72</v>
      </c>
      <c r="AA64" s="40" t="s">
        <v>72</v>
      </c>
      <c r="AB64" s="40" t="s">
        <v>72</v>
      </c>
      <c r="AC64" s="40" t="s">
        <v>72</v>
      </c>
      <c r="AD64" s="40" t="s">
        <v>72</v>
      </c>
      <c r="AE64" s="40" t="s">
        <v>72</v>
      </c>
      <c r="AF64" s="40" t="s">
        <v>72</v>
      </c>
      <c r="AG64" s="40" t="s">
        <v>78</v>
      </c>
      <c r="AH64" t="str">
        <f>VLOOKUP($R64,武学奇术!$A:$ZZ,25,FALSE)</f>
        <v>心法</v>
      </c>
      <c r="AI64" s="26">
        <f>VLOOKUP($R64,武学奇术!$A:$ZZ,26,FALSE)</f>
        <v>0</v>
      </c>
      <c r="AJ64" s="27">
        <f>VLOOKUP($R64,武学奇术!$A:$ZZ,27,FALSE)*(1+IF(OR($AH64=$F$4,$AH64=$F$5),$B$22,0))</f>
        <v>0</v>
      </c>
      <c r="AK64" s="26">
        <f>VLOOKUP($R64,武学奇术!$A:$ZZ,28,FALSE)</f>
        <v>0</v>
      </c>
      <c r="AL64" s="27">
        <f>VLOOKUP($R64,武学奇术!$A:$ZZ,29,FALSE)*(1+IF(OR($AH64=$F$4,$AH64=$F$5),$B$22,0))</f>
        <v>0</v>
      </c>
      <c r="AM64" s="26" cm="1">
        <f t="array" ref="AM64">$G$3+IFERROR(VLOOKUP($AH64,$F$4:$G$7,2,FALSE),0)+VLOOKUP($R64,武学奇术!$A:$ZZ,2,FALSE)+SUM(_xlfn.XLOOKUP($S64:$AG64,增益!$A:$A,增益!$B:$B,0))</f>
        <v>0.1037</v>
      </c>
      <c r="AN64" s="26" cm="1">
        <f t="array" ref="AN64">VLOOKUP($R64,武学奇术!$A:$ZZ,5,FALSE)+SUM(_xlfn.XLOOKUP($S64:$AG64,增益!$A:$A,增益!$E:$E,0))</f>
        <v>0</v>
      </c>
      <c r="AO64" cm="1">
        <f t="array" ref="AO64">$D$10*(1+$AN64)+VLOOKUP($R64,武学奇术!$A:$ZZ,3,FALSE)+SUM(_xlfn.XLOOKUP($S64:$AG64,增益!$A:$A,增益!$C:$C,0))-$I$2</f>
        <v>3562.6</v>
      </c>
      <c r="AP64" cm="1">
        <f t="array" ref="AP64">$E$10*(1+$AN64)+VLOOKUP($R64,武学奇术!$A:$ZZ,4,FALSE)+SUM(_xlfn.XLOOKUP($S64:$AG64,增益!$A:$A,增益!$D:$D,0))-$I$2</f>
        <v>3562.6</v>
      </c>
      <c r="AQ64" s="32" cm="1">
        <f t="array" ref="AQ64">IF($F$10-$I$3+VLOOKUP($R64,武学奇术!$A:$ZZ,6,FALSE)+SUM(_xlfn.XLOOKUP(S64:AG64,增益!$A:$A,增益!$F:$F,0))&gt;0,($F$10-$I$3+VLOOKUP($R64,武学奇术!$A:$ZZ,6,FALSE)+SUM(_xlfn.XLOOKUP(S64:AG64,增益!$A:$A,增益!$F:$F,0)))/200,($F$10-$I$3+VLOOKUP($R64,武学奇术!$A:$ZZ,6,FALSE)+SUM(_xlfn.XLOOKUP(S64:AG64,增益!$A:$A,增益!$F:$F,0)))/100)</f>
        <v>0.1925</v>
      </c>
      <c r="AR64" s="32" cm="1">
        <f t="array" ref="AR64">$G$10+VLOOKUP($R64,武学奇术!$A:$ZZ,7,FALSE)+SUM(_xlfn.XLOOKUP(S64:AG64,增益!$A:$A,增益!$G:$G,0))</f>
        <v>0.028</v>
      </c>
      <c r="AS64" s="26" cm="1">
        <f t="array" ref="AS64">VLOOKUP($R64,武学奇术!$A:$ZZ,8,FALSE)+SUM(_xlfn.XLOOKUP(S64:AG64,增益!$A:$A,增益!$H:$H,0))</f>
        <v>0</v>
      </c>
      <c r="AT64">
        <f t="shared" si="1"/>
        <v>0</v>
      </c>
      <c r="AU64">
        <f t="shared" si="2"/>
        <v>0</v>
      </c>
      <c r="AV64" s="32" cm="1">
        <f t="array" ref="AV64">IF($F$11-$I$4+VLOOKUP($R64,武学奇术!$A:$ZZ,9,FALSE)+SUM(_xlfn.XLOOKUP(S64:AG64,增益!$A:$A,增益!$I:$I,0))&gt;0,($F$11-$I$4+VLOOKUP($R64,武学奇术!$A:$ZZ,9,FALSE)+SUM(_xlfn.XLOOKUP(S64:AG64,增益!$A:$A,增益!$I:$I,0)))/200,($F$11-$I$4+VLOOKUP($R64,武学奇术!$A:$ZZ,9,FALSE)+SUM(_xlfn.XLOOKUP(S64:AG64,增益!$A:$A,增益!$I:$I,0)))/100)</f>
        <v>-0.3</v>
      </c>
      <c r="AW64" s="32" cm="1">
        <f t="array" ref="AW64">$G$11+VLOOKUP($R64,武学奇术!$A:$ZZ,10,FALSE)+SUM(_xlfn.XLOOKUP(S64:AG64,增益!$A:$A,增益!$J:$J,0))</f>
        <v>0</v>
      </c>
      <c r="AX64">
        <f t="shared" si="3"/>
        <v>0</v>
      </c>
      <c r="AY64">
        <f t="shared" si="4"/>
        <v>0</v>
      </c>
      <c r="AZ64" s="32" cm="1">
        <f t="array" ref="AZ64">IF($F$12-$I$4+VLOOKUP($R64,武学奇术!$A:$ZZ,11,FALSE)+SUM(_xlfn.XLOOKUP(S64:AG64,增益!$A:$A,增益!$K:$K,0))&gt;0,($F$12-$I$4+VLOOKUP($R64,武学奇术!$A:$ZZ,11,FALSE)+SUM(_xlfn.XLOOKUP(S64:AG64,增益!$A:$A,增益!$K:$K,0)))/200,($F$12-$I$4+VLOOKUP($R64,武学奇术!$A:$ZZ,11,FALSE)+SUM(_xlfn.XLOOKUP(S64:AG64,增益!$A:$A,增益!$K:$K,0)))/100)</f>
        <v>-0.3</v>
      </c>
      <c r="BA64" s="32" cm="1">
        <f t="array" ref="BA64">$G$12+VLOOKUP($R64,武学奇术!$A:$ZZ,12,FALSE)+SUM(_xlfn.XLOOKUP(S64:AG64,增益!$A:$A,增益!$L:$L,0))</f>
        <v>0</v>
      </c>
      <c r="BB64">
        <f t="shared" si="5"/>
        <v>0</v>
      </c>
      <c r="BC64">
        <f t="shared" si="6"/>
        <v>0</v>
      </c>
      <c r="BD64" s="32" cm="1">
        <f t="array" ref="BD64">IF($F$13-$I$4+VLOOKUP($R64,武学奇术!$A:$ZZ,13,FALSE)+SUM(_xlfn.XLOOKUP(S64:AG64,增益!$A:$A,增益!$M:$M,0))&gt;0,($F$13-$I$4+VLOOKUP($R64,武学奇术!$A:$ZZ,13,FALSE)+SUM(_xlfn.XLOOKUP(S64:AG64,增益!$A:$A,增益!$K:$K,0)))/200,($F$13-$I$4+VLOOKUP($R64,武学奇术!$A:$ZZ,13,FALSE)+SUM(_xlfn.XLOOKUP(S64:AG64,增益!$A:$A,增益!$M:$M,0)))/100)</f>
        <v>-0.3</v>
      </c>
      <c r="BE64" s="32" cm="1">
        <f t="array" ref="BE64">$G$13+VLOOKUP($R64,武学奇术!$A:$ZZ,14,FALSE)+SUM(_xlfn.XLOOKUP(S64:AG64,增益!$A:$A,增益!$N:$N,0))</f>
        <v>0</v>
      </c>
      <c r="BF64">
        <f t="shared" si="7"/>
        <v>571.2</v>
      </c>
      <c r="BG64">
        <f t="shared" si="8"/>
        <v>1627.8</v>
      </c>
      <c r="BH64" s="32" cm="1">
        <f t="array" ref="BH64">IF($F$14-$I$4+VLOOKUP($R64,武学奇术!$A:$ZZ,15,FALSE)+SUM(_xlfn.XLOOKUP(S64:AG64,增益!$A:$A,增益!$O:$O,0))&gt;0,($F$14-$I$4+VLOOKUP($R64,武学奇术!$A:$ZZ,15,FALSE)+SUM(_xlfn.XLOOKUP(S64:AG64,增益!$A:$A,增益!$O:$O,0)))/200,($F$14-$I$4+VLOOKUP($R64,武学奇术!$A:$ZZ,15,FALSE)+SUM(_xlfn.XLOOKUP(S64:AG64,增益!$A:$A,增益!$O:$O,0)))/100)</f>
        <v>0</v>
      </c>
      <c r="BI64" s="32" cm="1">
        <f t="array" ref="BI64">$G$14+VLOOKUP($R64,武学奇术!$A:$ZZ,16,FALSE)+SUM(_xlfn.XLOOKUP(S64:AG64,增益!$A:$A,增益!$P:$P,0))</f>
        <v>0.15</v>
      </c>
      <c r="BJ64" s="26">
        <f>MIN(IF(VLOOKUP($R64,武学奇术!$A:$ZZ,23,FALSE)=1,100%,$B$8),100%)</f>
        <v>0.981</v>
      </c>
      <c r="BK64" s="26" cm="1">
        <f t="array" ref="BK64">IF(VLOOKUP($R64,武学奇术!$A:$ZZ,23,FALSE)=1,100%,MIN(80%,$B$9+VLOOKUP($R64,武学奇术!$A:$ZZ,17,FALSE)+SUM(_xlfn.XLOOKUP(S64:AG64,增益!$A:$A,增益!$Q:$Q,0)))+$B$11+SUM(_xlfn.XLOOKUP(S64:AG64,增益!$A:$A,增益!$U:$U,0)))*IF(VLOOKUP($R64,武学奇术!$A:$ZZ,24,FALSE)=1,0,1)</f>
        <v>0.846</v>
      </c>
      <c r="BL64" s="26" cm="1">
        <f t="array" ref="BL64">1+$B$13+VLOOKUP($R64,武学奇术!$A:$ZZ,18,FALSE)+SUM(_xlfn.XLOOKUP(S64:AG64,增益!$A:$A,增益!$R:$R,0))</f>
        <v>1.54</v>
      </c>
      <c r="BM64" s="26" cm="1">
        <f t="array" ref="BM64">IF(VLOOKUP($R64,武学奇术!$A:$ZZ,24,FALSE)=1,100%,MIN(40%,$B$10+VLOOKUP($R64,武学奇术!$A:$ZZ,19,FALSE)+SUM(_xlfn.XLOOKUP(S64:AG64,增益!$A:$A,增益!$S:$S,0)))+$B$12+SUM(_xlfn.XLOOKUP(S64:AG64,增益!$A:$A,增益!$V:$V,0)))*IF(VLOOKUP($R64,武学奇术!$A:$ZZ,23,FALSE)=1,0,1)</f>
        <v>0.0929</v>
      </c>
      <c r="BN64" s="26" cm="1">
        <f t="array" ref="BN64">1+$B$14+VLOOKUP($R64,武学奇术!$A:$ZZ,20,FALSE)+SUM(_xlfn.XLOOKUP(S64:AG64,增益!$A:$A,增益!$T:$T,0))</f>
        <v>1.35</v>
      </c>
      <c r="BO64" s="26">
        <f t="shared" si="9"/>
        <v>0.829926</v>
      </c>
      <c r="BP64" s="26">
        <f t="shared" si="10"/>
        <v>0.0599391</v>
      </c>
      <c r="BQ64" s="26">
        <f>IF(VLOOKUP($R64,武学奇术!$A:$ZZ,22,FALSE)=1,0,(1-$BJ64))*(1-$BM64)</f>
        <v>0.0172349</v>
      </c>
      <c r="BR64" s="26" cm="1">
        <f t="array" ref="BR64">SUM(_xlfn.XLOOKUP(S64:AG64,增益!$A:$A,增益!$W:$W,0))+$I$5</f>
        <v>0.11</v>
      </c>
    </row>
    <row r="65" spans="1:70">
      <c r="K65">
        <f>$L65*VLOOKUP($R65,武学奇术!$A:$ZZ,31,FALSE)</f>
        <v>54926.2118008171</v>
      </c>
      <c r="L65" s="38">
        <f t="shared" ref="L65:L83" si="12">($M65*$BO65+$N65*$BM65+$O65*$BP65+$P65*$BQ65)</f>
        <v>52310.6779055401</v>
      </c>
      <c r="M65" s="38">
        <f>((($AO65+$AP65)/2*$AI65+$AJ65)*(1+$AQ65)*(1+$AR65)+(($AT65+$AU65)/2*IF($G$1="鸣金",$AK65,$AI65)+IF($G$1="鸣金",$AL65*1.5,0))*(1+$AV65)*(1+$AW65)+(($AX65+$AY65)/2*IF($G$1="裂石",$AK65,$AI65)+IF($G$1="裂石",$AL65*1.5,0))*(1+$AZ65)*(1+$BA65)+(($BB65+$BC65)/2*IF($G$1="牵丝",$AK65,$AI65)+IF($G$1="牵丝",$AL65*1.5,0))*(1+$BD65)*(1+$BE65)+(($BF65+$BG65)/2*IF($G$1="破竹",$AK65,$AI65)+IF($G$1="破竹",$AL65*1.5,0))*(1+$BH65)*(1+$BI65))*(1+$AM65)*$BL65*$Q65*(1+IF(VLOOKUP($R65,武学奇术!$A:$ZZ,30,FALSE)="回旋伞",$B$21,0))*(1+$BR65)</f>
        <v>55483.7125788145</v>
      </c>
      <c r="N65" s="38">
        <f>(($AP65*$AI65+$AJ65)*(1+$AQ65)*(1+$AR65)+($AU65*IF($G$1="鸣金",$AK65,$AI65)+IF($G$1="鸣金",$AL65*1.5,0))*(1+$AV65)*(1+$AW65)+($AY65*IF($G$1="裂石",$AK65,$AI65)+IF($G$1="裂石",$AL65*1.5,0))*(1+$AZ65)*(1+$BA65)+($BC65*IF($G$1="牵丝",$AK65,$AI65)+IF($G$1="牵丝",$AL65*1.5,0))*(1+$BD65)*(1+$BE65)+($BG65*IF($G$1="破竹",$AK65,$AI65)+IF($G$1="破竹",$AL65*1.5,0))*(1+$BH65)*(1+$BI65))*(1+$AM65)*$BN65*$Q65*(1+IF(VLOOKUP($R65,武学奇术!$A:$ZZ,30,FALSE)="回旋伞",$B$21,0))*(1+$BR65)</f>
        <v>43936.8819915259</v>
      </c>
      <c r="O65" s="38">
        <f>((($AO65+$AP65)/2*$AI65+$AJ65)*(1+$AQ65)*(1+$AR65)+(($AT65+$AU65)/2*IF($G$1="鸣金",$AK65,$AI65)+IF($G$1="鸣金",$AL65*1.5,0))*(1+$AV65)*(1+$AW65)+(($AX65+$AY65)/2*IF($G$1="裂石",$AK65,$AI65)+IF($G$1="裂石",$AL65*1.5,0))*(1+$AZ65)*(1+$BA65)+(($BB65+$BC65)/2*IF($G$1="牵丝",$AK65,$AI65)+IF($G$1="牵丝",$AL65*1.5,0))*(1+$BD65)*(1+$BE65)+(($BF65+$BG65)/2*IF($G$1="破竹",$AK65,$AI65)+IF($G$1="破竹",$AL65*1.5,0))*(1+$BH65)*(1+$BI65))*(1+$AM65)*$Q65*(1+IF(VLOOKUP($R65,武学奇术!$A:$ZZ,30,FALSE)="回旋伞",$B$21,0))*(1+$BR65)</f>
        <v>29049.0641773898</v>
      </c>
      <c r="P65" s="38">
        <f>((($AO65*$AI65+$AJ65)*(1+$AQ65)*(1+$AR65)+($AT65*IF($G$1="鸣金",$AK65,$AI65)+IF($G$1="鸣金",$AL65*1.5,0))*(1+$AV65)*(1+$AW65)+($AX65*IF($G$1="裂石",$AK65,$AI65)+IF($G$1="裂石",$AL65*1.5,0))*(1+$AZ65)*(1+$BA65)+($BB65*IF($G$1="牵丝",$AK65,$AI65)+IF($G$1="牵丝",$AL65*1.5,0))*(1+$BD65)*(1+$BE65)+($BF65*IF($G$1="破竹",$AK65,$AI65)+IF($G$1="破竹",$AL65*1.5,0))*(1+$BH65)*(1+$BI65))*(1+$AM65))*$Q65*(1+IF(VLOOKUP($R65,武学奇术!$A:$ZZ,30,FALSE)="回旋伞",$B$21,0))*(1+$BR65)</f>
        <v>25552.2898425381</v>
      </c>
      <c r="Q65" s="39">
        <v>1</v>
      </c>
      <c r="R65" s="40" t="s">
        <v>159</v>
      </c>
      <c r="S65" s="40" t="s">
        <v>72</v>
      </c>
      <c r="T65" s="40" t="s">
        <v>95</v>
      </c>
      <c r="U65" s="40" t="s">
        <v>73</v>
      </c>
      <c r="V65" s="40" t="s">
        <v>81</v>
      </c>
      <c r="W65" s="40" t="s">
        <v>172</v>
      </c>
      <c r="X65" s="40" t="s">
        <v>99</v>
      </c>
      <c r="Y65" s="40" t="s">
        <v>72</v>
      </c>
      <c r="Z65" s="40" t="s">
        <v>176</v>
      </c>
      <c r="AA65" s="40" t="s">
        <v>72</v>
      </c>
      <c r="AB65" s="40" t="s">
        <v>72</v>
      </c>
      <c r="AC65" s="40" t="s">
        <v>72</v>
      </c>
      <c r="AD65" s="40" t="s">
        <v>72</v>
      </c>
      <c r="AE65" s="40" t="s">
        <v>72</v>
      </c>
      <c r="AF65" s="40" t="s">
        <v>72</v>
      </c>
      <c r="AG65" s="40" t="s">
        <v>78</v>
      </c>
      <c r="AH65" t="str">
        <f>VLOOKUP($R65,武学奇术!$A:$ZZ,25,FALSE)</f>
        <v>伞</v>
      </c>
      <c r="AI65" s="26">
        <f>VLOOKUP($R65,武学奇术!$A:$ZZ,26,FALSE)</f>
        <v>2.01456</v>
      </c>
      <c r="AJ65" s="27">
        <f>VLOOKUP($R65,武学奇术!$A:$ZZ,27,FALSE)*(1+IF(OR($AH65=$F$4,$AH65=$F$5),$B$22,0))</f>
        <v>837</v>
      </c>
      <c r="AK65" s="26">
        <f>VLOOKUP($R65,武学奇术!$A:$ZZ,28,FALSE)</f>
        <v>3.02184</v>
      </c>
      <c r="AL65" s="27">
        <f>VLOOKUP($R65,武学奇术!$A:$ZZ,29,FALSE)*(1+IF(OR($AH65=$F$4,$AH65=$F$5),$B$22,0))</f>
        <v>453.6</v>
      </c>
      <c r="AM65" s="26" cm="1">
        <f t="array" ref="AM65">$G$3+IFERROR(VLOOKUP($AH65,$F$4:$G$7,2,FALSE),0)+VLOOKUP($R65,武学奇术!$A:$ZZ,2,FALSE)+SUM(_xlfn.XLOOKUP($S65:$AG65,增益!$A:$A,增益!$B:$B,0))</f>
        <v>0.5741</v>
      </c>
      <c r="AN65" s="26" cm="1">
        <f t="array" ref="AN65">VLOOKUP($R65,武学奇术!$A:$ZZ,5,FALSE)+SUM(_xlfn.XLOOKUP($S65:$AG65,增益!$A:$A,增益!$E:$E,0))</f>
        <v>0</v>
      </c>
      <c r="AO65" cm="1">
        <f t="array" ref="AO65">$D$10*(1+$AN65)+VLOOKUP($R65,武学奇术!$A:$ZZ,3,FALSE)+SUM(_xlfn.XLOOKUP($S65:$AG65,增益!$A:$A,增益!$C:$C,0))-$I$2</f>
        <v>3562.6</v>
      </c>
      <c r="AP65" cm="1">
        <f t="array" ref="AP65">$E$10*(1+$AN65)+VLOOKUP($R65,武学奇术!$A:$ZZ,4,FALSE)+SUM(_xlfn.XLOOKUP($S65:$AG65,增益!$A:$A,增益!$D:$D,0))-$I$2</f>
        <v>3562.6</v>
      </c>
      <c r="AQ65" s="32" cm="1">
        <f t="array" ref="AQ65">IF($F$10-$I$3+VLOOKUP($R65,武学奇术!$A:$ZZ,6,FALSE)+SUM(_xlfn.XLOOKUP(S65:AG65,增益!$A:$A,增益!$F:$F,0))&gt;0,($F$10-$I$3+VLOOKUP($R65,武学奇术!$A:$ZZ,6,FALSE)+SUM(_xlfn.XLOOKUP(S65:AG65,增益!$A:$A,增益!$F:$F,0)))/200,($F$10-$I$3+VLOOKUP($R65,武学奇术!$A:$ZZ,6,FALSE)+SUM(_xlfn.XLOOKUP(S65:AG65,增益!$A:$A,增益!$F:$F,0)))/100)</f>
        <v>0.2925</v>
      </c>
      <c r="AR65" s="32" cm="1">
        <f t="array" ref="AR65">$G$10+VLOOKUP($R65,武学奇术!$A:$ZZ,7,FALSE)+SUM(_xlfn.XLOOKUP(S65:AG65,增益!$A:$A,增益!$G:$G,0))</f>
        <v>0.028</v>
      </c>
      <c r="AS65" s="26" cm="1">
        <f t="array" ref="AS65">VLOOKUP($R65,武学奇术!$A:$ZZ,8,FALSE)+SUM(_xlfn.XLOOKUP(S65:AG65,增益!$A:$A,增益!$H:$H,0))</f>
        <v>0</v>
      </c>
      <c r="AT65">
        <f t="shared" si="1"/>
        <v>0</v>
      </c>
      <c r="AU65">
        <f t="shared" si="2"/>
        <v>0</v>
      </c>
      <c r="AV65" s="32" cm="1">
        <f t="array" ref="AV65">IF($F$11-$I$4+VLOOKUP($R65,武学奇术!$A:$ZZ,9,FALSE)+SUM(_xlfn.XLOOKUP(S65:AG65,增益!$A:$A,增益!$I:$I,0))&gt;0,($F$11-$I$4+VLOOKUP($R65,武学奇术!$A:$ZZ,9,FALSE)+SUM(_xlfn.XLOOKUP(S65:AG65,增益!$A:$A,增益!$I:$I,0)))/200,($F$11-$I$4+VLOOKUP($R65,武学奇术!$A:$ZZ,9,FALSE)+SUM(_xlfn.XLOOKUP(S65:AG65,增益!$A:$A,增益!$I:$I,0)))/100)</f>
        <v>-0.3</v>
      </c>
      <c r="AW65" s="32" cm="1">
        <f t="array" ref="AW65">$G$11+VLOOKUP($R65,武学奇术!$A:$ZZ,10,FALSE)+SUM(_xlfn.XLOOKUP(S65:AG65,增益!$A:$A,增益!$J:$J,0))</f>
        <v>0</v>
      </c>
      <c r="AX65">
        <f t="shared" si="3"/>
        <v>0</v>
      </c>
      <c r="AY65">
        <f t="shared" si="4"/>
        <v>0</v>
      </c>
      <c r="AZ65" s="32" cm="1">
        <f t="array" ref="AZ65">IF($F$12-$I$4+VLOOKUP($R65,武学奇术!$A:$ZZ,11,FALSE)+SUM(_xlfn.XLOOKUP(S65:AG65,增益!$A:$A,增益!$K:$K,0))&gt;0,($F$12-$I$4+VLOOKUP($R65,武学奇术!$A:$ZZ,11,FALSE)+SUM(_xlfn.XLOOKUP(S65:AG65,增益!$A:$A,增益!$K:$K,0)))/200,($F$12-$I$4+VLOOKUP($R65,武学奇术!$A:$ZZ,11,FALSE)+SUM(_xlfn.XLOOKUP(S65:AG65,增益!$A:$A,增益!$K:$K,0)))/100)</f>
        <v>-0.3</v>
      </c>
      <c r="BA65" s="32" cm="1">
        <f t="array" ref="BA65">$G$12+VLOOKUP($R65,武学奇术!$A:$ZZ,12,FALSE)+SUM(_xlfn.XLOOKUP(S65:AG65,增益!$A:$A,增益!$L:$L,0))</f>
        <v>0</v>
      </c>
      <c r="BB65">
        <f t="shared" si="5"/>
        <v>0</v>
      </c>
      <c r="BC65">
        <f t="shared" si="6"/>
        <v>0</v>
      </c>
      <c r="BD65" s="32" cm="1">
        <f t="array" ref="BD65">IF($F$13-$I$4+VLOOKUP($R65,武学奇术!$A:$ZZ,13,FALSE)+SUM(_xlfn.XLOOKUP(S65:AG65,增益!$A:$A,增益!$M:$M,0))&gt;0,($F$13-$I$4+VLOOKUP($R65,武学奇术!$A:$ZZ,13,FALSE)+SUM(_xlfn.XLOOKUP(S65:AG65,增益!$A:$A,增益!$K:$K,0)))/200,($F$13-$I$4+VLOOKUP($R65,武学奇术!$A:$ZZ,13,FALSE)+SUM(_xlfn.XLOOKUP(S65:AG65,增益!$A:$A,增益!$M:$M,0)))/100)</f>
        <v>-0.3</v>
      </c>
      <c r="BE65" s="32" cm="1">
        <f t="array" ref="BE65">$G$13+VLOOKUP($R65,武学奇术!$A:$ZZ,14,FALSE)+SUM(_xlfn.XLOOKUP(S65:AG65,增益!$A:$A,增益!$N:$N,0))</f>
        <v>0</v>
      </c>
      <c r="BF65">
        <f t="shared" si="7"/>
        <v>571.2</v>
      </c>
      <c r="BG65">
        <f t="shared" si="8"/>
        <v>1627.8</v>
      </c>
      <c r="BH65" s="32" cm="1">
        <f t="array" ref="BH65">IF($F$14-$I$4+VLOOKUP($R65,武学奇术!$A:$ZZ,15,FALSE)+SUM(_xlfn.XLOOKUP(S65:AG65,增益!$A:$A,增益!$O:$O,0))&gt;0,($F$14-$I$4+VLOOKUP($R65,武学奇术!$A:$ZZ,15,FALSE)+SUM(_xlfn.XLOOKUP(S65:AG65,增益!$A:$A,增益!$O:$O,0)))/200,($F$14-$I$4+VLOOKUP($R65,武学奇术!$A:$ZZ,15,FALSE)+SUM(_xlfn.XLOOKUP(S65:AG65,增益!$A:$A,增益!$O:$O,0)))/100)</f>
        <v>0</v>
      </c>
      <c r="BI65" s="32" cm="1">
        <f t="array" ref="BI65">$G$14+VLOOKUP($R65,武学奇术!$A:$ZZ,16,FALSE)+SUM(_xlfn.XLOOKUP(S65:AG65,增益!$A:$A,增益!$P:$P,0))</f>
        <v>0.15</v>
      </c>
      <c r="BJ65" s="26">
        <f>MIN(IF(VLOOKUP($R65,武学奇术!$A:$ZZ,23,FALSE)=1,100%,$B$8),100%)</f>
        <v>0.981</v>
      </c>
      <c r="BK65" s="26" cm="1">
        <f t="array" ref="BK65">IF(VLOOKUP($R65,武学奇术!$A:$ZZ,23,FALSE)=1,100%,MIN(80%,$B$9+VLOOKUP($R65,武学奇术!$A:$ZZ,17,FALSE)+SUM(_xlfn.XLOOKUP(S65:AG65,增益!$A:$A,增益!$Q:$Q,0)))+$B$11+SUM(_xlfn.XLOOKUP(S65:AG65,增益!$A:$A,增益!$U:$U,0)))*IF(VLOOKUP($R65,武学奇术!$A:$ZZ,24,FALSE)=1,0,1)</f>
        <v>0.846</v>
      </c>
      <c r="BL65" s="26" cm="1">
        <f t="array" ref="BL65">1+$B$13+VLOOKUP($R65,武学奇术!$A:$ZZ,18,FALSE)+SUM(_xlfn.XLOOKUP(S65:AG65,增益!$A:$A,增益!$R:$R,0))</f>
        <v>1.91</v>
      </c>
      <c r="BM65" s="26" cm="1">
        <f t="array" ref="BM65">IF(VLOOKUP($R65,武学奇术!$A:$ZZ,24,FALSE)=1,100%,MIN(40%,$B$10+VLOOKUP($R65,武学奇术!$A:$ZZ,19,FALSE)+SUM(_xlfn.XLOOKUP(S65:AG65,增益!$A:$A,增益!$S:$S,0)))+$B$12+SUM(_xlfn.XLOOKUP(S65:AG65,增益!$A:$A,增益!$V:$V,0)))*IF(VLOOKUP($R65,武学奇术!$A:$ZZ,23,FALSE)=1,0,1)</f>
        <v>0.0929</v>
      </c>
      <c r="BN65" s="26" cm="1">
        <f t="array" ref="BN65">1+$B$14+VLOOKUP($R65,武学奇术!$A:$ZZ,20,FALSE)+SUM(_xlfn.XLOOKUP(S65:AG65,增益!$A:$A,增益!$T:$T,0))</f>
        <v>1.35</v>
      </c>
      <c r="BO65" s="26">
        <f t="shared" si="9"/>
        <v>0.829926</v>
      </c>
      <c r="BP65" s="26">
        <f t="shared" si="10"/>
        <v>0.0599391</v>
      </c>
      <c r="BQ65" s="26">
        <f>IF(VLOOKUP($R65,武学奇术!$A:$ZZ,22,FALSE)=1,0,(1-$BJ65))*(1-$BM65)</f>
        <v>0.0172349</v>
      </c>
      <c r="BR65" s="26" cm="1">
        <f t="array" ref="BR65">SUM(_xlfn.XLOOKUP(S65:AG65,增益!$A:$A,增益!$W:$W,0))+$I$5</f>
        <v>0.21</v>
      </c>
    </row>
    <row r="66" spans="1:70">
      <c r="K66">
        <f>$L66*VLOOKUP($R66,武学奇术!$A:$ZZ,31,FALSE)</f>
        <v>133475.376048348</v>
      </c>
      <c r="L66" s="38">
        <f t="shared" si="12"/>
        <v>127119.405760331</v>
      </c>
      <c r="M66" s="38">
        <f>((($AO66+$AP66)/2*$AI66+$AJ66)*(1+$AQ66)*(1+$AR66)+(($AT66+$AU66)/2*IF($G$1="鸣金",$AK66,$AI66)+IF($G$1="鸣金",$AL66*1.5,0))*(1+$AV66)*(1+$AW66)+(($AX66+$AY66)/2*IF($G$1="裂石",$AK66,$AI66)+IF($G$1="裂石",$AL66*1.5,0))*(1+$AZ66)*(1+$BA66)+(($BB66+$BC66)/2*IF($G$1="牵丝",$AK66,$AI66)+IF($G$1="牵丝",$AL66*1.5,0))*(1+$BD66)*(1+$BE66)+(($BF66+$BG66)/2*IF($G$1="破竹",$AK66,$AI66)+IF($G$1="破竹",$AL66*1.5,0))*(1+$BH66)*(1+$BI66))*(1+$AM66)*$BL66*$Q66*(1+IF(VLOOKUP($R66,武学奇术!$A:$ZZ,30,FALSE)="回旋伞",$B$21,0))*(1+$BR66)</f>
        <v>134745.753940834</v>
      </c>
      <c r="N66" s="38">
        <f>(($AP66*$AI66+$AJ66)*(1+$AQ66)*(1+$AR66)+($AU66*IF($G$1="鸣金",$AK66,$AI66)+IF($G$1="鸣金",$AL66*1.5,0))*(1+$AV66)*(1+$AW66)+($AY66*IF($G$1="裂石",$AK66,$AI66)+IF($G$1="裂石",$AL66*1.5,0))*(1+$AZ66)*(1+$BA66)+($BC66*IF($G$1="牵丝",$AK66,$AI66)+IF($G$1="牵丝",$AL66*1.5,0))*(1+$BD66)*(1+$BE66)+($BG66*IF($G$1="破竹",$AK66,$AI66)+IF($G$1="破竹",$AL66*1.5,0))*(1+$BH66)*(1+$BI66))*(1+$AM66)*$BN66*$Q66*(1+IF(VLOOKUP($R66,武学奇术!$A:$ZZ,30,FALSE)="回旋伞",$B$21,0))*(1+$BR66)</f>
        <v>107696.504506479</v>
      </c>
      <c r="O66" s="38">
        <f>((($AO66+$AP66)/2*$AI66+$AJ66)*(1+$AQ66)*(1+$AR66)+(($AT66+$AU66)/2*IF($G$1="鸣金",$AK66,$AI66)+IF($G$1="鸣金",$AL66*1.5,0))*(1+$AV66)*(1+$AW66)+(($AX66+$AY66)/2*IF($G$1="裂石",$AK66,$AI66)+IF($G$1="裂石",$AL66*1.5,0))*(1+$AZ66)*(1+$BA66)+(($BB66+$BC66)/2*IF($G$1="牵丝",$AK66,$AI66)+IF($G$1="牵丝",$AL66*1.5,0))*(1+$BD66)*(1+$BE66)+(($BF66+$BG66)/2*IF($G$1="破竹",$AK66,$AI66)+IF($G$1="破竹",$AL66*1.5,0))*(1+$BH66)*(1+$BI66))*(1+$AM66)*$Q66*(1+IF(VLOOKUP($R66,武学奇术!$A:$ZZ,30,FALSE)="回旋伞",$B$21,0))*(1+$BR66)</f>
        <v>70547.5151522691</v>
      </c>
      <c r="P66" s="38">
        <f>((($AO66*$AI66+$AJ66)*(1+$AQ66)*(1+$AR66)+($AT66*IF($G$1="鸣金",$AK66,$AI66)+IF($G$1="鸣金",$AL66*1.5,0))*(1+$AV66)*(1+$AW66)+($AX66*IF($G$1="裂石",$AK66,$AI66)+IF($G$1="裂石",$AL66*1.5,0))*(1+$AZ66)*(1+$BA66)+($BB66*IF($G$1="牵丝",$AK66,$AI66)+IF($G$1="牵丝",$AL66*1.5,0))*(1+$BD66)*(1+$BE66)+($BF66*IF($G$1="破竹",$AK66,$AI66)+IF($G$1="破竹",$AL66*1.5,0))*(1+$BH66)*(1+$BI66))*(1+$AM66))*$Q66*(1+IF(VLOOKUP($R66,武学奇术!$A:$ZZ,30,FALSE)="回旋伞",$B$21,0))*(1+$BR66)</f>
        <v>61319.8417812205</v>
      </c>
      <c r="Q66" s="39">
        <v>4</v>
      </c>
      <c r="R66" s="40" t="s">
        <v>71</v>
      </c>
      <c r="S66" s="40" t="s">
        <v>72</v>
      </c>
      <c r="T66" s="40" t="s">
        <v>95</v>
      </c>
      <c r="U66" s="40" t="s">
        <v>73</v>
      </c>
      <c r="V66" s="40" t="s">
        <v>81</v>
      </c>
      <c r="W66" s="40" t="s">
        <v>172</v>
      </c>
      <c r="X66" s="40" t="s">
        <v>99</v>
      </c>
      <c r="Y66" s="40" t="s">
        <v>72</v>
      </c>
      <c r="Z66" s="40" t="s">
        <v>176</v>
      </c>
      <c r="AA66" s="40" t="s">
        <v>72</v>
      </c>
      <c r="AB66" s="40" t="s">
        <v>72</v>
      </c>
      <c r="AC66" s="40" t="s">
        <v>72</v>
      </c>
      <c r="AD66" s="40" t="s">
        <v>72</v>
      </c>
      <c r="AE66" s="40" t="s">
        <v>72</v>
      </c>
      <c r="AF66" s="40" t="s">
        <v>72</v>
      </c>
      <c r="AG66" s="40" t="s">
        <v>78</v>
      </c>
      <c r="AH66" t="str">
        <f>VLOOKUP($R66,武学奇术!$A:$ZZ,25,FALSE)</f>
        <v>群体奇术</v>
      </c>
      <c r="AI66" s="26">
        <f>VLOOKUP($R66,武学奇术!$A:$ZZ,26,FALSE)</f>
        <v>1.4904</v>
      </c>
      <c r="AJ66" s="27">
        <f>VLOOKUP($R66,武学奇术!$A:$ZZ,27,FALSE)*(1+IF(OR($AH66=$F$4,$AH66=$F$5),$B$22,0))</f>
        <v>378</v>
      </c>
      <c r="AK66" s="26">
        <f>VLOOKUP($R66,武学奇术!$A:$ZZ,28,FALSE)</f>
        <v>2.2356</v>
      </c>
      <c r="AL66" s="27">
        <f>VLOOKUP($R66,武学奇术!$A:$ZZ,29,FALSE)*(1+IF(OR($AH66=$F$4,$AH66=$F$5),$B$22,0))</f>
        <v>0</v>
      </c>
      <c r="AM66" s="26" cm="1">
        <f t="array" ref="AM66">$G$3+IFERROR(VLOOKUP($AH66,$F$4:$G$7,2,FALSE),0)+VLOOKUP($R66,武学奇术!$A:$ZZ,2,FALSE)+SUM(_xlfn.XLOOKUP($S66:$AG66,增益!$A:$A,增益!$B:$B,0))</f>
        <v>0.4037</v>
      </c>
      <c r="AN66" s="26" cm="1">
        <f t="array" ref="AN66">VLOOKUP($R66,武学奇术!$A:$ZZ,5,FALSE)+SUM(_xlfn.XLOOKUP($S66:$AG66,增益!$A:$A,增益!$E:$E,0))</f>
        <v>0</v>
      </c>
      <c r="AO66" cm="1">
        <f t="array" ref="AO66">$D$10*(1+$AN66)+VLOOKUP($R66,武学奇术!$A:$ZZ,3,FALSE)+SUM(_xlfn.XLOOKUP($S66:$AG66,增益!$A:$A,增益!$C:$C,0))-$I$2</f>
        <v>3562.6</v>
      </c>
      <c r="AP66" cm="1">
        <f t="array" ref="AP66">$E$10*(1+$AN66)+VLOOKUP($R66,武学奇术!$A:$ZZ,4,FALSE)+SUM(_xlfn.XLOOKUP($S66:$AG66,增益!$A:$A,增益!$D:$D,0))-$I$2</f>
        <v>3562.6</v>
      </c>
      <c r="AQ66" s="32" cm="1">
        <f t="array" ref="AQ66">IF($F$10-$I$3+VLOOKUP($R66,武学奇术!$A:$ZZ,6,FALSE)+SUM(_xlfn.XLOOKUP(S66:AG66,增益!$A:$A,增益!$F:$F,0))&gt;0,($F$10-$I$3+VLOOKUP($R66,武学奇术!$A:$ZZ,6,FALSE)+SUM(_xlfn.XLOOKUP(S66:AG66,增益!$A:$A,增益!$F:$F,0)))/200,($F$10-$I$3+VLOOKUP($R66,武学奇术!$A:$ZZ,6,FALSE)+SUM(_xlfn.XLOOKUP(S66:AG66,增益!$A:$A,增益!$F:$F,0)))/100)</f>
        <v>0.2925</v>
      </c>
      <c r="AR66" s="32" cm="1">
        <f t="array" ref="AR66">$G$10+VLOOKUP($R66,武学奇术!$A:$ZZ,7,FALSE)+SUM(_xlfn.XLOOKUP(S66:AG66,增益!$A:$A,增益!$G:$G,0))</f>
        <v>0.028</v>
      </c>
      <c r="AS66" s="26" cm="1">
        <f t="array" ref="AS66">VLOOKUP($R66,武学奇术!$A:$ZZ,8,FALSE)+SUM(_xlfn.XLOOKUP(S66:AG66,增益!$A:$A,增益!$H:$H,0))</f>
        <v>0</v>
      </c>
      <c r="AT66">
        <f t="shared" ref="AT66:AT129" si="13">$D$11*(1+$AS66)</f>
        <v>0</v>
      </c>
      <c r="AU66">
        <f t="shared" ref="AU66:AU129" si="14">$E$11*(1+$AS66)</f>
        <v>0</v>
      </c>
      <c r="AV66" s="32" cm="1">
        <f t="array" ref="AV66">IF($F$11-$I$4+VLOOKUP($R66,武学奇术!$A:$ZZ,9,FALSE)+SUM(_xlfn.XLOOKUP(S66:AG66,增益!$A:$A,增益!$I:$I,0))&gt;0,($F$11-$I$4+VLOOKUP($R66,武学奇术!$A:$ZZ,9,FALSE)+SUM(_xlfn.XLOOKUP(S66:AG66,增益!$A:$A,增益!$I:$I,0)))/200,($F$11-$I$4+VLOOKUP($R66,武学奇术!$A:$ZZ,9,FALSE)+SUM(_xlfn.XLOOKUP(S66:AG66,增益!$A:$A,增益!$I:$I,0)))/100)</f>
        <v>-0.3</v>
      </c>
      <c r="AW66" s="32" cm="1">
        <f t="array" ref="AW66">$G$11+VLOOKUP($R66,武学奇术!$A:$ZZ,10,FALSE)+SUM(_xlfn.XLOOKUP(S66:AG66,增益!$A:$A,增益!$J:$J,0))</f>
        <v>0</v>
      </c>
      <c r="AX66">
        <f t="shared" ref="AX66:AX129" si="15">$D$12*(1+$AS66)</f>
        <v>0</v>
      </c>
      <c r="AY66">
        <f t="shared" ref="AY66:AY129" si="16">$E$12*(1+$AS66)</f>
        <v>0</v>
      </c>
      <c r="AZ66" s="32" cm="1">
        <f t="array" ref="AZ66">IF($F$12-$I$4+VLOOKUP($R66,武学奇术!$A:$ZZ,11,FALSE)+SUM(_xlfn.XLOOKUP(S66:AG66,增益!$A:$A,增益!$K:$K,0))&gt;0,($F$12-$I$4+VLOOKUP($R66,武学奇术!$A:$ZZ,11,FALSE)+SUM(_xlfn.XLOOKUP(S66:AG66,增益!$A:$A,增益!$K:$K,0)))/200,($F$12-$I$4+VLOOKUP($R66,武学奇术!$A:$ZZ,11,FALSE)+SUM(_xlfn.XLOOKUP(S66:AG66,增益!$A:$A,增益!$K:$K,0)))/100)</f>
        <v>-0.3</v>
      </c>
      <c r="BA66" s="32" cm="1">
        <f t="array" ref="BA66">$G$12+VLOOKUP($R66,武学奇术!$A:$ZZ,12,FALSE)+SUM(_xlfn.XLOOKUP(S66:AG66,增益!$A:$A,增益!$L:$L,0))</f>
        <v>0</v>
      </c>
      <c r="BB66">
        <f t="shared" ref="BB66:BB129" si="17">$D$13*(1+$AS66)</f>
        <v>0</v>
      </c>
      <c r="BC66">
        <f t="shared" ref="BC66:BC129" si="18">$E$13*(1+$AS66)</f>
        <v>0</v>
      </c>
      <c r="BD66" s="32" cm="1">
        <f t="array" ref="BD66">IF($F$13-$I$4+VLOOKUP($R66,武学奇术!$A:$ZZ,13,FALSE)+SUM(_xlfn.XLOOKUP(S66:AG66,增益!$A:$A,增益!$M:$M,0))&gt;0,($F$13-$I$4+VLOOKUP($R66,武学奇术!$A:$ZZ,13,FALSE)+SUM(_xlfn.XLOOKUP(S66:AG66,增益!$A:$A,增益!$K:$K,0)))/200,($F$13-$I$4+VLOOKUP($R66,武学奇术!$A:$ZZ,13,FALSE)+SUM(_xlfn.XLOOKUP(S66:AG66,增益!$A:$A,增益!$M:$M,0)))/100)</f>
        <v>-0.3</v>
      </c>
      <c r="BE66" s="32" cm="1">
        <f t="array" ref="BE66">$G$13+VLOOKUP($R66,武学奇术!$A:$ZZ,14,FALSE)+SUM(_xlfn.XLOOKUP(S66:AG66,增益!$A:$A,增益!$N:$N,0))</f>
        <v>0</v>
      </c>
      <c r="BF66">
        <f t="shared" ref="BF66:BF129" si="19">$D$14*(1+$AS66)</f>
        <v>571.2</v>
      </c>
      <c r="BG66">
        <f t="shared" ref="BG66:BG129" si="20">$E$14*(1+$AS66)</f>
        <v>1627.8</v>
      </c>
      <c r="BH66" s="32" cm="1">
        <f t="array" ref="BH66">IF($F$14-$I$4+VLOOKUP($R66,武学奇术!$A:$ZZ,15,FALSE)+SUM(_xlfn.XLOOKUP(S66:AG66,增益!$A:$A,增益!$O:$O,0))&gt;0,($F$14-$I$4+VLOOKUP($R66,武学奇术!$A:$ZZ,15,FALSE)+SUM(_xlfn.XLOOKUP(S66:AG66,增益!$A:$A,增益!$O:$O,0)))/200,($F$14-$I$4+VLOOKUP($R66,武学奇术!$A:$ZZ,15,FALSE)+SUM(_xlfn.XLOOKUP(S66:AG66,增益!$A:$A,增益!$O:$O,0)))/100)</f>
        <v>0</v>
      </c>
      <c r="BI66" s="32" cm="1">
        <f t="array" ref="BI66">$G$14+VLOOKUP($R66,武学奇术!$A:$ZZ,16,FALSE)+SUM(_xlfn.XLOOKUP(S66:AG66,增益!$A:$A,增益!$P:$P,0))</f>
        <v>0.15</v>
      </c>
      <c r="BJ66" s="26">
        <f>MIN(IF(VLOOKUP($R66,武学奇术!$A:$ZZ,23,FALSE)=1,100%,$B$8),100%)</f>
        <v>0.981</v>
      </c>
      <c r="BK66" s="26" cm="1">
        <f t="array" ref="BK66">IF(VLOOKUP($R66,武学奇术!$A:$ZZ,23,FALSE)=1,100%,MIN(80%,$B$9+VLOOKUP($R66,武学奇术!$A:$ZZ,17,FALSE)+SUM(_xlfn.XLOOKUP(S66:AG66,增益!$A:$A,增益!$Q:$Q,0)))+$B$11+SUM(_xlfn.XLOOKUP(S66:AG66,增益!$A:$A,增益!$U:$U,0)))*IF(VLOOKUP($R66,武学奇术!$A:$ZZ,24,FALSE)=1,0,1)</f>
        <v>0.846</v>
      </c>
      <c r="BL66" s="26" cm="1">
        <f t="array" ref="BL66">1+$B$13+VLOOKUP($R66,武学奇术!$A:$ZZ,18,FALSE)+SUM(_xlfn.XLOOKUP(S66:AG66,增益!$A:$A,增益!$R:$R,0))</f>
        <v>1.91</v>
      </c>
      <c r="BM66" s="26" cm="1">
        <f t="array" ref="BM66">IF(VLOOKUP($R66,武学奇术!$A:$ZZ,24,FALSE)=1,100%,MIN(40%,$B$10+VLOOKUP($R66,武学奇术!$A:$ZZ,19,FALSE)+SUM(_xlfn.XLOOKUP(S66:AG66,增益!$A:$A,增益!$S:$S,0)))+$B$12+SUM(_xlfn.XLOOKUP(S66:AG66,增益!$A:$A,增益!$V:$V,0)))*IF(VLOOKUP($R66,武学奇术!$A:$ZZ,23,FALSE)=1,0,1)</f>
        <v>0.0929</v>
      </c>
      <c r="BN66" s="26" cm="1">
        <f t="array" ref="BN66">1+$B$14+VLOOKUP($R66,武学奇术!$A:$ZZ,20,FALSE)+SUM(_xlfn.XLOOKUP(S66:AG66,增益!$A:$A,增益!$T:$T,0))</f>
        <v>1.35</v>
      </c>
      <c r="BO66" s="26">
        <f t="shared" ref="BO66:BO129" si="21">MIN((1-BM66)*BJ66,BJ66*BK66)</f>
        <v>0.829926</v>
      </c>
      <c r="BP66" s="26">
        <f t="shared" ref="BP66:BP129" si="22">1-BM66-BO66-BQ66</f>
        <v>0.0599391</v>
      </c>
      <c r="BQ66" s="26">
        <f>IF(VLOOKUP($R66,武学奇术!$A:$ZZ,22,FALSE)=1,0,(1-$BJ66))*(1-$BM66)</f>
        <v>0.0172349</v>
      </c>
      <c r="BR66" s="26" cm="1">
        <f t="array" ref="BR66">SUM(_xlfn.XLOOKUP(S66:AG66,增益!$A:$A,增益!$W:$W,0))+$I$5</f>
        <v>0.21</v>
      </c>
    </row>
    <row r="67" spans="1:70">
      <c r="K67">
        <f>$L67*VLOOKUP($R67,武学奇术!$A:$ZZ,31,FALSE)</f>
        <v>54926.2118008171</v>
      </c>
      <c r="L67" s="38">
        <f t="shared" si="12"/>
        <v>52310.6779055401</v>
      </c>
      <c r="M67" s="38">
        <f>((($AO67+$AP67)/2*$AI67+$AJ67)*(1+$AQ67)*(1+$AR67)+(($AT67+$AU67)/2*IF($G$1="鸣金",$AK67,$AI67)+IF($G$1="鸣金",$AL67*1.5,0))*(1+$AV67)*(1+$AW67)+(($AX67+$AY67)/2*IF($G$1="裂石",$AK67,$AI67)+IF($G$1="裂石",$AL67*1.5,0))*(1+$AZ67)*(1+$BA67)+(($BB67+$BC67)/2*IF($G$1="牵丝",$AK67,$AI67)+IF($G$1="牵丝",$AL67*1.5,0))*(1+$BD67)*(1+$BE67)+(($BF67+$BG67)/2*IF($G$1="破竹",$AK67,$AI67)+IF($G$1="破竹",$AL67*1.5,0))*(1+$BH67)*(1+$BI67))*(1+$AM67)*$BL67*$Q67*(1+IF(VLOOKUP($R67,武学奇术!$A:$ZZ,30,FALSE)="回旋伞",$B$21,0))*(1+$BR67)</f>
        <v>55483.7125788145</v>
      </c>
      <c r="N67" s="38">
        <f>(($AP67*$AI67+$AJ67)*(1+$AQ67)*(1+$AR67)+($AU67*IF($G$1="鸣金",$AK67,$AI67)+IF($G$1="鸣金",$AL67*1.5,0))*(1+$AV67)*(1+$AW67)+($AY67*IF($G$1="裂石",$AK67,$AI67)+IF($G$1="裂石",$AL67*1.5,0))*(1+$AZ67)*(1+$BA67)+($BC67*IF($G$1="牵丝",$AK67,$AI67)+IF($G$1="牵丝",$AL67*1.5,0))*(1+$BD67)*(1+$BE67)+($BG67*IF($G$1="破竹",$AK67,$AI67)+IF($G$1="破竹",$AL67*1.5,0))*(1+$BH67)*(1+$BI67))*(1+$AM67)*$BN67*$Q67*(1+IF(VLOOKUP($R67,武学奇术!$A:$ZZ,30,FALSE)="回旋伞",$B$21,0))*(1+$BR67)</f>
        <v>43936.8819915259</v>
      </c>
      <c r="O67" s="38">
        <f>((($AO67+$AP67)/2*$AI67+$AJ67)*(1+$AQ67)*(1+$AR67)+(($AT67+$AU67)/2*IF($G$1="鸣金",$AK67,$AI67)+IF($G$1="鸣金",$AL67*1.5,0))*(1+$AV67)*(1+$AW67)+(($AX67+$AY67)/2*IF($G$1="裂石",$AK67,$AI67)+IF($G$1="裂石",$AL67*1.5,0))*(1+$AZ67)*(1+$BA67)+(($BB67+$BC67)/2*IF($G$1="牵丝",$AK67,$AI67)+IF($G$1="牵丝",$AL67*1.5,0))*(1+$BD67)*(1+$BE67)+(($BF67+$BG67)/2*IF($G$1="破竹",$AK67,$AI67)+IF($G$1="破竹",$AL67*1.5,0))*(1+$BH67)*(1+$BI67))*(1+$AM67)*$Q67*(1+IF(VLOOKUP($R67,武学奇术!$A:$ZZ,30,FALSE)="回旋伞",$B$21,0))*(1+$BR67)</f>
        <v>29049.0641773898</v>
      </c>
      <c r="P67" s="38">
        <f>((($AO67*$AI67+$AJ67)*(1+$AQ67)*(1+$AR67)+($AT67*IF($G$1="鸣金",$AK67,$AI67)+IF($G$1="鸣金",$AL67*1.5,0))*(1+$AV67)*(1+$AW67)+($AX67*IF($G$1="裂石",$AK67,$AI67)+IF($G$1="裂石",$AL67*1.5,0))*(1+$AZ67)*(1+$BA67)+($BB67*IF($G$1="牵丝",$AK67,$AI67)+IF($G$1="牵丝",$AL67*1.5,0))*(1+$BD67)*(1+$BE67)+($BF67*IF($G$1="破竹",$AK67,$AI67)+IF($G$1="破竹",$AL67*1.5,0))*(1+$BH67)*(1+$BI67))*(1+$AM67))*$Q67*(1+IF(VLOOKUP($R67,武学奇术!$A:$ZZ,30,FALSE)="回旋伞",$B$21,0))*(1+$BR67)</f>
        <v>25552.2898425381</v>
      </c>
      <c r="Q67" s="39">
        <v>1</v>
      </c>
      <c r="R67" s="40" t="s">
        <v>159</v>
      </c>
      <c r="S67" s="40" t="s">
        <v>72</v>
      </c>
      <c r="T67" s="40" t="s">
        <v>95</v>
      </c>
      <c r="U67" s="40" t="s">
        <v>73</v>
      </c>
      <c r="V67" s="40" t="s">
        <v>81</v>
      </c>
      <c r="W67" s="40" t="s">
        <v>172</v>
      </c>
      <c r="X67" s="40" t="s">
        <v>99</v>
      </c>
      <c r="Y67" s="40" t="s">
        <v>72</v>
      </c>
      <c r="Z67" s="40" t="s">
        <v>176</v>
      </c>
      <c r="AA67" s="40" t="s">
        <v>72</v>
      </c>
      <c r="AB67" s="40" t="s">
        <v>72</v>
      </c>
      <c r="AC67" s="40" t="s">
        <v>72</v>
      </c>
      <c r="AD67" s="40" t="s">
        <v>178</v>
      </c>
      <c r="AE67" s="40" t="s">
        <v>72</v>
      </c>
      <c r="AF67" s="40" t="s">
        <v>72</v>
      </c>
      <c r="AG67" s="40" t="s">
        <v>78</v>
      </c>
      <c r="AH67" t="str">
        <f>VLOOKUP($R67,武学奇术!$A:$ZZ,25,FALSE)</f>
        <v>伞</v>
      </c>
      <c r="AI67" s="26">
        <f>VLOOKUP($R67,武学奇术!$A:$ZZ,26,FALSE)</f>
        <v>2.01456</v>
      </c>
      <c r="AJ67" s="27">
        <f>VLOOKUP($R67,武学奇术!$A:$ZZ,27,FALSE)*(1+IF(OR($AH67=$F$4,$AH67=$F$5),$B$22,0))</f>
        <v>837</v>
      </c>
      <c r="AK67" s="26">
        <f>VLOOKUP($R67,武学奇术!$A:$ZZ,28,FALSE)</f>
        <v>3.02184</v>
      </c>
      <c r="AL67" s="27">
        <f>VLOOKUP($R67,武学奇术!$A:$ZZ,29,FALSE)*(1+IF(OR($AH67=$F$4,$AH67=$F$5),$B$22,0))</f>
        <v>453.6</v>
      </c>
      <c r="AM67" s="26" cm="1">
        <f t="array" ref="AM67">$G$3+IFERROR(VLOOKUP($AH67,$F$4:$G$7,2,FALSE),0)+VLOOKUP($R67,武学奇术!$A:$ZZ,2,FALSE)+SUM(_xlfn.XLOOKUP($S67:$AG67,增益!$A:$A,增益!$B:$B,0))</f>
        <v>0.5741</v>
      </c>
      <c r="AN67" s="26" cm="1">
        <f t="array" ref="AN67">VLOOKUP($R67,武学奇术!$A:$ZZ,5,FALSE)+SUM(_xlfn.XLOOKUP($S67:$AG67,增益!$A:$A,增益!$E:$E,0))</f>
        <v>0</v>
      </c>
      <c r="AO67" cm="1">
        <f t="array" ref="AO67">$D$10*(1+$AN67)+VLOOKUP($R67,武学奇术!$A:$ZZ,3,FALSE)+SUM(_xlfn.XLOOKUP($S67:$AG67,增益!$A:$A,增益!$C:$C,0))-$I$2</f>
        <v>3562.6</v>
      </c>
      <c r="AP67" cm="1">
        <f t="array" ref="AP67">$E$10*(1+$AN67)+VLOOKUP($R67,武学奇术!$A:$ZZ,4,FALSE)+SUM(_xlfn.XLOOKUP($S67:$AG67,增益!$A:$A,增益!$D:$D,0))-$I$2</f>
        <v>3562.6</v>
      </c>
      <c r="AQ67" s="32" cm="1">
        <f t="array" ref="AQ67">IF($F$10-$I$3+VLOOKUP($R67,武学奇术!$A:$ZZ,6,FALSE)+SUM(_xlfn.XLOOKUP(S67:AG67,增益!$A:$A,增益!$F:$F,0))&gt;0,($F$10-$I$3+VLOOKUP($R67,武学奇术!$A:$ZZ,6,FALSE)+SUM(_xlfn.XLOOKUP(S67:AG67,增益!$A:$A,增益!$F:$F,0)))/200,($F$10-$I$3+VLOOKUP($R67,武学奇术!$A:$ZZ,6,FALSE)+SUM(_xlfn.XLOOKUP(S67:AG67,增益!$A:$A,增益!$F:$F,0)))/100)</f>
        <v>0.2925</v>
      </c>
      <c r="AR67" s="32" cm="1">
        <f t="array" ref="AR67">$G$10+VLOOKUP($R67,武学奇术!$A:$ZZ,7,FALSE)+SUM(_xlfn.XLOOKUP(S67:AG67,增益!$A:$A,增益!$G:$G,0))</f>
        <v>0.028</v>
      </c>
      <c r="AS67" s="26" cm="1">
        <f t="array" ref="AS67">VLOOKUP($R67,武学奇术!$A:$ZZ,8,FALSE)+SUM(_xlfn.XLOOKUP(S67:AG67,增益!$A:$A,增益!$H:$H,0))</f>
        <v>0</v>
      </c>
      <c r="AT67">
        <f t="shared" si="13"/>
        <v>0</v>
      </c>
      <c r="AU67">
        <f t="shared" si="14"/>
        <v>0</v>
      </c>
      <c r="AV67" s="32" cm="1">
        <f t="array" ref="AV67">IF($F$11-$I$4+VLOOKUP($R67,武学奇术!$A:$ZZ,9,FALSE)+SUM(_xlfn.XLOOKUP(S67:AG67,增益!$A:$A,增益!$I:$I,0))&gt;0,($F$11-$I$4+VLOOKUP($R67,武学奇术!$A:$ZZ,9,FALSE)+SUM(_xlfn.XLOOKUP(S67:AG67,增益!$A:$A,增益!$I:$I,0)))/200,($F$11-$I$4+VLOOKUP($R67,武学奇术!$A:$ZZ,9,FALSE)+SUM(_xlfn.XLOOKUP(S67:AG67,增益!$A:$A,增益!$I:$I,0)))/100)</f>
        <v>-0.3</v>
      </c>
      <c r="AW67" s="32" cm="1">
        <f t="array" ref="AW67">$G$11+VLOOKUP($R67,武学奇术!$A:$ZZ,10,FALSE)+SUM(_xlfn.XLOOKUP(S67:AG67,增益!$A:$A,增益!$J:$J,0))</f>
        <v>0</v>
      </c>
      <c r="AX67">
        <f t="shared" si="15"/>
        <v>0</v>
      </c>
      <c r="AY67">
        <f t="shared" si="16"/>
        <v>0</v>
      </c>
      <c r="AZ67" s="32" cm="1">
        <f t="array" ref="AZ67">IF($F$12-$I$4+VLOOKUP($R67,武学奇术!$A:$ZZ,11,FALSE)+SUM(_xlfn.XLOOKUP(S67:AG67,增益!$A:$A,增益!$K:$K,0))&gt;0,($F$12-$I$4+VLOOKUP($R67,武学奇术!$A:$ZZ,11,FALSE)+SUM(_xlfn.XLOOKUP(S67:AG67,增益!$A:$A,增益!$K:$K,0)))/200,($F$12-$I$4+VLOOKUP($R67,武学奇术!$A:$ZZ,11,FALSE)+SUM(_xlfn.XLOOKUP(S67:AG67,增益!$A:$A,增益!$K:$K,0)))/100)</f>
        <v>-0.3</v>
      </c>
      <c r="BA67" s="32" cm="1">
        <f t="array" ref="BA67">$G$12+VLOOKUP($R67,武学奇术!$A:$ZZ,12,FALSE)+SUM(_xlfn.XLOOKUP(S67:AG67,增益!$A:$A,增益!$L:$L,0))</f>
        <v>0</v>
      </c>
      <c r="BB67">
        <f t="shared" si="17"/>
        <v>0</v>
      </c>
      <c r="BC67">
        <f t="shared" si="18"/>
        <v>0</v>
      </c>
      <c r="BD67" s="32" cm="1">
        <f t="array" ref="BD67">IF($F$13-$I$4+VLOOKUP($R67,武学奇术!$A:$ZZ,13,FALSE)+SUM(_xlfn.XLOOKUP(S67:AG67,增益!$A:$A,增益!$M:$M,0))&gt;0,($F$13-$I$4+VLOOKUP($R67,武学奇术!$A:$ZZ,13,FALSE)+SUM(_xlfn.XLOOKUP(S67:AG67,增益!$A:$A,增益!$K:$K,0)))/200,($F$13-$I$4+VLOOKUP($R67,武学奇术!$A:$ZZ,13,FALSE)+SUM(_xlfn.XLOOKUP(S67:AG67,增益!$A:$A,增益!$M:$M,0)))/100)</f>
        <v>-0.3</v>
      </c>
      <c r="BE67" s="32" cm="1">
        <f t="array" ref="BE67">$G$13+VLOOKUP($R67,武学奇术!$A:$ZZ,14,FALSE)+SUM(_xlfn.XLOOKUP(S67:AG67,增益!$A:$A,增益!$N:$N,0))</f>
        <v>0</v>
      </c>
      <c r="BF67">
        <f t="shared" si="19"/>
        <v>571.2</v>
      </c>
      <c r="BG67">
        <f t="shared" si="20"/>
        <v>1627.8</v>
      </c>
      <c r="BH67" s="32" cm="1">
        <f t="array" ref="BH67">IF($F$14-$I$4+VLOOKUP($R67,武学奇术!$A:$ZZ,15,FALSE)+SUM(_xlfn.XLOOKUP(S67:AG67,增益!$A:$A,增益!$O:$O,0))&gt;0,($F$14-$I$4+VLOOKUP($R67,武学奇术!$A:$ZZ,15,FALSE)+SUM(_xlfn.XLOOKUP(S67:AG67,增益!$A:$A,增益!$O:$O,0)))/200,($F$14-$I$4+VLOOKUP($R67,武学奇术!$A:$ZZ,15,FALSE)+SUM(_xlfn.XLOOKUP(S67:AG67,增益!$A:$A,增益!$O:$O,0)))/100)</f>
        <v>0</v>
      </c>
      <c r="BI67" s="32" cm="1">
        <f t="array" ref="BI67">$G$14+VLOOKUP($R67,武学奇术!$A:$ZZ,16,FALSE)+SUM(_xlfn.XLOOKUP(S67:AG67,增益!$A:$A,增益!$P:$P,0))</f>
        <v>0.15</v>
      </c>
      <c r="BJ67" s="26">
        <f>MIN(IF(VLOOKUP($R67,武学奇术!$A:$ZZ,23,FALSE)=1,100%,$B$8),100%)</f>
        <v>0.981</v>
      </c>
      <c r="BK67" s="26" cm="1">
        <f t="array" ref="BK67">IF(VLOOKUP($R67,武学奇术!$A:$ZZ,23,FALSE)=1,100%,MIN(80%,$B$9+VLOOKUP($R67,武学奇术!$A:$ZZ,17,FALSE)+SUM(_xlfn.XLOOKUP(S67:AG67,增益!$A:$A,增益!$Q:$Q,0)))+$B$11+SUM(_xlfn.XLOOKUP(S67:AG67,增益!$A:$A,增益!$U:$U,0)))*IF(VLOOKUP($R67,武学奇术!$A:$ZZ,24,FALSE)=1,0,1)</f>
        <v>0.846</v>
      </c>
      <c r="BL67" s="26" cm="1">
        <f t="array" ref="BL67">1+$B$13+VLOOKUP($R67,武学奇术!$A:$ZZ,18,FALSE)+SUM(_xlfn.XLOOKUP(S67:AG67,增益!$A:$A,增益!$R:$R,0))</f>
        <v>1.91</v>
      </c>
      <c r="BM67" s="26" cm="1">
        <f t="array" ref="BM67">IF(VLOOKUP($R67,武学奇术!$A:$ZZ,24,FALSE)=1,100%,MIN(40%,$B$10+VLOOKUP($R67,武学奇术!$A:$ZZ,19,FALSE)+SUM(_xlfn.XLOOKUP(S67:AG67,增益!$A:$A,增益!$S:$S,0)))+$B$12+SUM(_xlfn.XLOOKUP(S67:AG67,增益!$A:$A,增益!$V:$V,0)))*IF(VLOOKUP($R67,武学奇术!$A:$ZZ,23,FALSE)=1,0,1)</f>
        <v>0.0929</v>
      </c>
      <c r="BN67" s="26" cm="1">
        <f t="array" ref="BN67">1+$B$14+VLOOKUP($R67,武学奇术!$A:$ZZ,20,FALSE)+SUM(_xlfn.XLOOKUP(S67:AG67,增益!$A:$A,增益!$T:$T,0))</f>
        <v>1.35</v>
      </c>
      <c r="BO67" s="26">
        <f t="shared" si="21"/>
        <v>0.829926</v>
      </c>
      <c r="BP67" s="26">
        <f t="shared" si="22"/>
        <v>0.0599391</v>
      </c>
      <c r="BQ67" s="26">
        <f>IF(VLOOKUP($R67,武学奇术!$A:$ZZ,22,FALSE)=1,0,(1-$BJ67))*(1-$BM67)</f>
        <v>0.0172349</v>
      </c>
      <c r="BR67" s="26" cm="1">
        <f t="array" ref="BR67">SUM(_xlfn.XLOOKUP(S67:AG67,增益!$A:$A,增益!$W:$W,0))+$I$5</f>
        <v>0.21</v>
      </c>
    </row>
    <row r="68" spans="1:70">
      <c r="K68">
        <f>$L68*VLOOKUP($R68,武学奇术!$A:$ZZ,31,FALSE)</f>
        <v>14547.1681055195</v>
      </c>
      <c r="L68" s="38">
        <f t="shared" si="12"/>
        <v>13854.4458147805</v>
      </c>
      <c r="M68" s="38">
        <f>((($AO68+$AP68)/2*$AI68+$AJ68)*(1+$AQ68)*(1+$AR68)+(($AT68+$AU68)/2*IF($G$1="鸣金",$AK68,$AI68)+IF($G$1="鸣金",$AL68*1.5,0))*(1+$AV68)*(1+$AW68)+(($AX68+$AY68)/2*IF($G$1="裂石",$AK68,$AI68)+IF($G$1="裂石",$AL68*1.5,0))*(1+$AZ68)*(1+$BA68)+(($BB68+$BC68)/2*IF($G$1="牵丝",$AK68,$AI68)+IF($G$1="牵丝",$AL68*1.5,0))*(1+$BD68)*(1+$BE68)+(($BF68+$BG68)/2*IF($G$1="破竹",$AK68,$AI68)+IF($G$1="破竹",$AL68*1.5,0))*(1+$BH68)*(1+$BI68))*(1+$AM68)*$BL68*$Q68*(1+IF(VLOOKUP($R68,武学奇术!$A:$ZZ,30,FALSE)="回旋伞",$B$21,0))*(1+$BR68)</f>
        <v>14679.7645111341</v>
      </c>
      <c r="N68" s="38">
        <f>(($AP68*$AI68+$AJ68)*(1+$AQ68)*(1+$AR68)+($AU68*IF($G$1="鸣金",$AK68,$AI68)+IF($G$1="鸣金",$AL68*1.5,0))*(1+$AV68)*(1+$AW68)+($AY68*IF($G$1="裂石",$AK68,$AI68)+IF($G$1="裂石",$AL68*1.5,0))*(1+$AZ68)*(1+$BA68)+($BC68*IF($G$1="牵丝",$AK68,$AI68)+IF($G$1="牵丝",$AL68*1.5,0))*(1+$BD68)*(1+$BE68)+($BG68*IF($G$1="破竹",$AK68,$AI68)+IF($G$1="破竹",$AL68*1.5,0))*(1+$BH68)*(1+$BI68))*(1+$AM68)*$BN68*$Q68*(1+IF(VLOOKUP($R68,武学奇术!$A:$ZZ,30,FALSE)="回旋伞",$B$21,0))*(1+$BR68)</f>
        <v>11801.885002804</v>
      </c>
      <c r="O68" s="38">
        <f>((($AO68+$AP68)/2*$AI68+$AJ68)*(1+$AQ68)*(1+$AR68)+(($AT68+$AU68)/2*IF($G$1="鸣金",$AK68,$AI68)+IF($G$1="鸣金",$AL68*1.5,0))*(1+$AV68)*(1+$AW68)+(($AX68+$AY68)/2*IF($G$1="裂石",$AK68,$AI68)+IF($G$1="裂石",$AL68*1.5,0))*(1+$AZ68)*(1+$BA68)+(($BB68+$BC68)/2*IF($G$1="牵丝",$AK68,$AI68)+IF($G$1="牵丝",$AL68*1.5,0))*(1+$BD68)*(1+$BE68)+(($BF68+$BG68)/2*IF($G$1="破竹",$AK68,$AI68)+IF($G$1="破竹",$AL68*1.5,0))*(1+$BH68)*(1+$BI68))*(1+$AM68)*$Q68*(1+IF(VLOOKUP($R68,武学奇术!$A:$ZZ,30,FALSE)="回旋伞",$B$21,0))*(1+$BR68)</f>
        <v>7685.74058174561</v>
      </c>
      <c r="P68" s="38">
        <f>((($AO68*$AI68+$AJ68)*(1+$AQ68)*(1+$AR68)+($AT68*IF($G$1="鸣金",$AK68,$AI68)+IF($G$1="鸣金",$AL68*1.5,0))*(1+$AV68)*(1+$AW68)+($AX68*IF($G$1="裂石",$AK68,$AI68)+IF($G$1="裂石",$AL68*1.5,0))*(1+$AZ68)*(1+$BA68)+($BB68*IF($G$1="牵丝",$AK68,$AI68)+IF($G$1="牵丝",$AL68*1.5,0))*(1+$BD68)*(1+$BE68)+($BF68*IF($G$1="破竹",$AK68,$AI68)+IF($G$1="破竹",$AL68*1.5,0))*(1+$BH68)*(1+$BI68))*(1+$AM68))*$Q68*(1+IF(VLOOKUP($R68,武学奇术!$A:$ZZ,30,FALSE)="回旋伞",$B$21,0))*(1+$BR68)</f>
        <v>6629.34412437716</v>
      </c>
      <c r="Q68" s="39">
        <v>1</v>
      </c>
      <c r="R68" s="40" t="s">
        <v>162</v>
      </c>
      <c r="S68" s="40" t="s">
        <v>72</v>
      </c>
      <c r="T68" s="40" t="s">
        <v>95</v>
      </c>
      <c r="U68" s="40" t="s">
        <v>73</v>
      </c>
      <c r="V68" s="40" t="s">
        <v>81</v>
      </c>
      <c r="W68" s="40" t="s">
        <v>172</v>
      </c>
      <c r="X68" s="40" t="s">
        <v>99</v>
      </c>
      <c r="Y68" s="40" t="s">
        <v>72</v>
      </c>
      <c r="Z68" s="40" t="s">
        <v>176</v>
      </c>
      <c r="AA68" s="40" t="s">
        <v>72</v>
      </c>
      <c r="AB68" s="40" t="s">
        <v>72</v>
      </c>
      <c r="AC68" s="40" t="s">
        <v>72</v>
      </c>
      <c r="AD68" s="40" t="s">
        <v>178</v>
      </c>
      <c r="AE68" s="40" t="s">
        <v>72</v>
      </c>
      <c r="AF68" s="40" t="s">
        <v>72</v>
      </c>
      <c r="AG68" s="40" t="s">
        <v>78</v>
      </c>
      <c r="AH68" t="str">
        <f>VLOOKUP($R68,武学奇术!$A:$ZZ,25,FALSE)</f>
        <v>伞</v>
      </c>
      <c r="AI68" s="26">
        <f>VLOOKUP($R68,武学奇术!$A:$ZZ,26,FALSE)</f>
        <v>0.54</v>
      </c>
      <c r="AJ68" s="27">
        <f>VLOOKUP($R68,武学奇术!$A:$ZZ,27,FALSE)*(1+IF(OR($AH68=$F$4,$AH68=$F$5),$B$22,0))</f>
        <v>0</v>
      </c>
      <c r="AK68" s="26">
        <f>VLOOKUP($R68,武学奇术!$A:$ZZ,28,FALSE)</f>
        <v>0.81</v>
      </c>
      <c r="AL68" s="27">
        <f>VLOOKUP($R68,武学奇术!$A:$ZZ,29,FALSE)*(1+IF(OR($AH68=$F$4,$AH68=$F$5),$B$22,0))</f>
        <v>0</v>
      </c>
      <c r="AM68" s="26" cm="1">
        <f t="array" ref="AM68">$G$3+IFERROR(VLOOKUP($AH68,$F$4:$G$7,2,FALSE),0)+VLOOKUP($R68,武学奇术!$A:$ZZ,2,FALSE)+SUM(_xlfn.XLOOKUP($S68:$AG68,增益!$A:$A,增益!$B:$B,0))</f>
        <v>0.7741</v>
      </c>
      <c r="AN68" s="26" cm="1">
        <f t="array" ref="AN68">VLOOKUP($R68,武学奇术!$A:$ZZ,5,FALSE)+SUM(_xlfn.XLOOKUP($S68:$AG68,增益!$A:$A,增益!$E:$E,0))</f>
        <v>0</v>
      </c>
      <c r="AO68" cm="1">
        <f t="array" ref="AO68">$D$10*(1+$AN68)+VLOOKUP($R68,武学奇术!$A:$ZZ,3,FALSE)+SUM(_xlfn.XLOOKUP($S68:$AG68,增益!$A:$A,增益!$C:$C,0))-$I$2</f>
        <v>3562.6</v>
      </c>
      <c r="AP68" cm="1">
        <f t="array" ref="AP68">$E$10*(1+$AN68)+VLOOKUP($R68,武学奇术!$A:$ZZ,4,FALSE)+SUM(_xlfn.XLOOKUP($S68:$AG68,增益!$A:$A,增益!$D:$D,0))-$I$2</f>
        <v>3562.6</v>
      </c>
      <c r="AQ68" s="32" cm="1">
        <f t="array" ref="AQ68">IF($F$10-$I$3+VLOOKUP($R68,武学奇术!$A:$ZZ,6,FALSE)+SUM(_xlfn.XLOOKUP(S68:AG68,增益!$A:$A,增益!$F:$F,0))&gt;0,($F$10-$I$3+VLOOKUP($R68,武学奇术!$A:$ZZ,6,FALSE)+SUM(_xlfn.XLOOKUP(S68:AG68,增益!$A:$A,增益!$F:$F,0)))/200,($F$10-$I$3+VLOOKUP($R68,武学奇术!$A:$ZZ,6,FALSE)+SUM(_xlfn.XLOOKUP(S68:AG68,增益!$A:$A,增益!$F:$F,0)))/100)</f>
        <v>0.2925</v>
      </c>
      <c r="AR68" s="32" cm="1">
        <f t="array" ref="AR68">$G$10+VLOOKUP($R68,武学奇术!$A:$ZZ,7,FALSE)+SUM(_xlfn.XLOOKUP(S68:AG68,增益!$A:$A,增益!$G:$G,0))</f>
        <v>0.028</v>
      </c>
      <c r="AS68" s="26" cm="1">
        <f t="array" ref="AS68">VLOOKUP($R68,武学奇术!$A:$ZZ,8,FALSE)+SUM(_xlfn.XLOOKUP(S68:AG68,增益!$A:$A,增益!$H:$H,0))</f>
        <v>0</v>
      </c>
      <c r="AT68">
        <f t="shared" si="13"/>
        <v>0</v>
      </c>
      <c r="AU68">
        <f t="shared" si="14"/>
        <v>0</v>
      </c>
      <c r="AV68" s="32" cm="1">
        <f t="array" ref="AV68">IF($F$11-$I$4+VLOOKUP($R68,武学奇术!$A:$ZZ,9,FALSE)+SUM(_xlfn.XLOOKUP(S68:AG68,增益!$A:$A,增益!$I:$I,0))&gt;0,($F$11-$I$4+VLOOKUP($R68,武学奇术!$A:$ZZ,9,FALSE)+SUM(_xlfn.XLOOKUP(S68:AG68,增益!$A:$A,增益!$I:$I,0)))/200,($F$11-$I$4+VLOOKUP($R68,武学奇术!$A:$ZZ,9,FALSE)+SUM(_xlfn.XLOOKUP(S68:AG68,增益!$A:$A,增益!$I:$I,0)))/100)</f>
        <v>-0.3</v>
      </c>
      <c r="AW68" s="32" cm="1">
        <f t="array" ref="AW68">$G$11+VLOOKUP($R68,武学奇术!$A:$ZZ,10,FALSE)+SUM(_xlfn.XLOOKUP(S68:AG68,增益!$A:$A,增益!$J:$J,0))</f>
        <v>0</v>
      </c>
      <c r="AX68">
        <f t="shared" si="15"/>
        <v>0</v>
      </c>
      <c r="AY68">
        <f t="shared" si="16"/>
        <v>0</v>
      </c>
      <c r="AZ68" s="32" cm="1">
        <f t="array" ref="AZ68">IF($F$12-$I$4+VLOOKUP($R68,武学奇术!$A:$ZZ,11,FALSE)+SUM(_xlfn.XLOOKUP(S68:AG68,增益!$A:$A,增益!$K:$K,0))&gt;0,($F$12-$I$4+VLOOKUP($R68,武学奇术!$A:$ZZ,11,FALSE)+SUM(_xlfn.XLOOKUP(S68:AG68,增益!$A:$A,增益!$K:$K,0)))/200,($F$12-$I$4+VLOOKUP($R68,武学奇术!$A:$ZZ,11,FALSE)+SUM(_xlfn.XLOOKUP(S68:AG68,增益!$A:$A,增益!$K:$K,0)))/100)</f>
        <v>-0.3</v>
      </c>
      <c r="BA68" s="32" cm="1">
        <f t="array" ref="BA68">$G$12+VLOOKUP($R68,武学奇术!$A:$ZZ,12,FALSE)+SUM(_xlfn.XLOOKUP(S68:AG68,增益!$A:$A,增益!$L:$L,0))</f>
        <v>0</v>
      </c>
      <c r="BB68">
        <f t="shared" si="17"/>
        <v>0</v>
      </c>
      <c r="BC68">
        <f t="shared" si="18"/>
        <v>0</v>
      </c>
      <c r="BD68" s="32" cm="1">
        <f t="array" ref="BD68">IF($F$13-$I$4+VLOOKUP($R68,武学奇术!$A:$ZZ,13,FALSE)+SUM(_xlfn.XLOOKUP(S68:AG68,增益!$A:$A,增益!$M:$M,0))&gt;0,($F$13-$I$4+VLOOKUP($R68,武学奇术!$A:$ZZ,13,FALSE)+SUM(_xlfn.XLOOKUP(S68:AG68,增益!$A:$A,增益!$K:$K,0)))/200,($F$13-$I$4+VLOOKUP($R68,武学奇术!$A:$ZZ,13,FALSE)+SUM(_xlfn.XLOOKUP(S68:AG68,增益!$A:$A,增益!$M:$M,0)))/100)</f>
        <v>-0.3</v>
      </c>
      <c r="BE68" s="32" cm="1">
        <f t="array" ref="BE68">$G$13+VLOOKUP($R68,武学奇术!$A:$ZZ,14,FALSE)+SUM(_xlfn.XLOOKUP(S68:AG68,增益!$A:$A,增益!$N:$N,0))</f>
        <v>0</v>
      </c>
      <c r="BF68">
        <f t="shared" si="19"/>
        <v>571.2</v>
      </c>
      <c r="BG68">
        <f t="shared" si="20"/>
        <v>1627.8</v>
      </c>
      <c r="BH68" s="32" cm="1">
        <f t="array" ref="BH68">IF($F$14-$I$4+VLOOKUP($R68,武学奇术!$A:$ZZ,15,FALSE)+SUM(_xlfn.XLOOKUP(S68:AG68,增益!$A:$A,增益!$O:$O,0))&gt;0,($F$14-$I$4+VLOOKUP($R68,武学奇术!$A:$ZZ,15,FALSE)+SUM(_xlfn.XLOOKUP(S68:AG68,增益!$A:$A,增益!$O:$O,0)))/200,($F$14-$I$4+VLOOKUP($R68,武学奇术!$A:$ZZ,15,FALSE)+SUM(_xlfn.XLOOKUP(S68:AG68,增益!$A:$A,增益!$O:$O,0)))/100)</f>
        <v>0</v>
      </c>
      <c r="BI68" s="32" cm="1">
        <f t="array" ref="BI68">$G$14+VLOOKUP($R68,武学奇术!$A:$ZZ,16,FALSE)+SUM(_xlfn.XLOOKUP(S68:AG68,增益!$A:$A,增益!$P:$P,0))</f>
        <v>0.15</v>
      </c>
      <c r="BJ68" s="26">
        <f>MIN(IF(VLOOKUP($R68,武学奇术!$A:$ZZ,23,FALSE)=1,100%,$B$8),100%)</f>
        <v>0.981</v>
      </c>
      <c r="BK68" s="26" cm="1">
        <f t="array" ref="BK68">IF(VLOOKUP($R68,武学奇术!$A:$ZZ,23,FALSE)=1,100%,MIN(80%,$B$9+VLOOKUP($R68,武学奇术!$A:$ZZ,17,FALSE)+SUM(_xlfn.XLOOKUP(S68:AG68,增益!$A:$A,增益!$Q:$Q,0)))+$B$11+SUM(_xlfn.XLOOKUP(S68:AG68,增益!$A:$A,增益!$U:$U,0)))*IF(VLOOKUP($R68,武学奇术!$A:$ZZ,24,FALSE)=1,0,1)</f>
        <v>0.846</v>
      </c>
      <c r="BL68" s="26" cm="1">
        <f t="array" ref="BL68">1+$B$13+VLOOKUP($R68,武学奇术!$A:$ZZ,18,FALSE)+SUM(_xlfn.XLOOKUP(S68:AG68,增益!$A:$A,增益!$R:$R,0))</f>
        <v>1.91</v>
      </c>
      <c r="BM68" s="26" cm="1">
        <f t="array" ref="BM68">IF(VLOOKUP($R68,武学奇术!$A:$ZZ,24,FALSE)=1,100%,MIN(40%,$B$10+VLOOKUP($R68,武学奇术!$A:$ZZ,19,FALSE)+SUM(_xlfn.XLOOKUP(S68:AG68,增益!$A:$A,增益!$S:$S,0)))+$B$12+SUM(_xlfn.XLOOKUP(S68:AG68,增益!$A:$A,增益!$V:$V,0)))*IF(VLOOKUP($R68,武学奇术!$A:$ZZ,23,FALSE)=1,0,1)</f>
        <v>0.0929</v>
      </c>
      <c r="BN68" s="26" cm="1">
        <f t="array" ref="BN68">1+$B$14+VLOOKUP($R68,武学奇术!$A:$ZZ,20,FALSE)+SUM(_xlfn.XLOOKUP(S68:AG68,增益!$A:$A,增益!$T:$T,0))</f>
        <v>1.35</v>
      </c>
      <c r="BO68" s="26">
        <f t="shared" si="21"/>
        <v>0.829926</v>
      </c>
      <c r="BP68" s="26">
        <f t="shared" si="22"/>
        <v>0.0599391</v>
      </c>
      <c r="BQ68" s="26">
        <f>IF(VLOOKUP($R68,武学奇术!$A:$ZZ,22,FALSE)=1,0,(1-$BJ68))*(1-$BM68)</f>
        <v>0.0172349</v>
      </c>
      <c r="BR68" s="26" cm="1">
        <f t="array" ref="BR68">SUM(_xlfn.XLOOKUP(S68:AG68,增益!$A:$A,增益!$W:$W,0))+$I$5</f>
        <v>0.21</v>
      </c>
    </row>
    <row r="69" spans="1:70">
      <c r="K69">
        <f>$L69*VLOOKUP($R69,武学奇术!$A:$ZZ,31,FALSE)</f>
        <v>81633.7306126129</v>
      </c>
      <c r="L69" s="38">
        <f t="shared" si="12"/>
        <v>77746.4101072504</v>
      </c>
      <c r="M69" s="38">
        <f>((($AO69+$AP69)/2*$AI69+$AJ69)*(1+$AQ69)*(1+$AR69)+(($AT69+$AU69)/2*IF($G$1="鸣金",$AK69,$AI69)+IF($G$1="鸣金",$AL69*1.5,0))*(1+$AV69)*(1+$AW69)+(($AX69+$AY69)/2*IF($G$1="裂石",$AK69,$AI69)+IF($G$1="裂石",$AL69*1.5,0))*(1+$AZ69)*(1+$BA69)+(($BB69+$BC69)/2*IF($G$1="牵丝",$AK69,$AI69)+IF($G$1="牵丝",$AL69*1.5,0))*(1+$BD69)*(1+$BE69)+(($BF69+$BG69)/2*IF($G$1="破竹",$AK69,$AI69)+IF($G$1="破竹",$AL69*1.5,0))*(1+$BH69)*(1+$BI69))*(1+$AM69)*$BL69*$Q69*(1+IF(VLOOKUP($R69,武学奇术!$A:$ZZ,30,FALSE)="回旋伞",$B$21,0))*(1+$BR69)</f>
        <v>82466.928233237</v>
      </c>
      <c r="N69" s="38">
        <f>(($AP69*$AI69+$AJ69)*(1+$AQ69)*(1+$AR69)+($AU69*IF($G$1="鸣金",$AK69,$AI69)+IF($G$1="鸣金",$AL69*1.5,0))*(1+$AV69)*(1+$AW69)+($AY69*IF($G$1="裂石",$AK69,$AI69)+IF($G$1="裂石",$AL69*1.5,0))*(1+$AZ69)*(1+$BA69)+($BC69*IF($G$1="牵丝",$AK69,$AI69)+IF($G$1="牵丝",$AL69*1.5,0))*(1+$BD69)*(1+$BE69)+($BG69*IF($G$1="破竹",$AK69,$AI69)+IF($G$1="破竹",$AL69*1.5,0))*(1+$BH69)*(1+$BI69))*(1+$AM69)*$BN69*$Q69*(1+IF(VLOOKUP($R69,武学奇术!$A:$ZZ,30,FALSE)="回旋伞",$B$21,0))*(1+$BR69)</f>
        <v>65250.2589908088</v>
      </c>
      <c r="O69" s="38">
        <f>((($AO69+$AP69)/2*$AI69+$AJ69)*(1+$AQ69)*(1+$AR69)+(($AT69+$AU69)/2*IF($G$1="鸣金",$AK69,$AI69)+IF($G$1="鸣金",$AL69*1.5,0))*(1+$AV69)*(1+$AW69)+(($AX69+$AY69)/2*IF($G$1="裂石",$AK69,$AI69)+IF($G$1="裂石",$AL69*1.5,0))*(1+$AZ69)*(1+$BA69)+(($BB69+$BC69)/2*IF($G$1="牵丝",$AK69,$AI69)+IF($G$1="牵丝",$AL69*1.5,0))*(1+$BD69)*(1+$BE69)+(($BF69+$BG69)/2*IF($G$1="破竹",$AK69,$AI69)+IF($G$1="破竹",$AL69*1.5,0))*(1+$BH69)*(1+$BI69))*(1+$AM69)*$Q69*(1+IF(VLOOKUP($R69,武学奇术!$A:$ZZ,30,FALSE)="回旋伞",$B$21,0))*(1+$BR69)</f>
        <v>43176.4022163544</v>
      </c>
      <c r="P69" s="38">
        <f>((($AO69*$AI69+$AJ69)*(1+$AQ69)*(1+$AR69)+($AT69*IF($G$1="鸣金",$AK69,$AI69)+IF($G$1="鸣金",$AL69*1.5,0))*(1+$AV69)*(1+$AW69)+($AX69*IF($G$1="裂石",$AK69,$AI69)+IF($G$1="裂石",$AL69*1.5,0))*(1+$AZ69)*(1+$BA69)+($BB69*IF($G$1="牵丝",$AK69,$AI69)+IF($G$1="牵丝",$AL69*1.5,0))*(1+$BD69)*(1+$BE69)+($BF69*IF($G$1="破竹",$AK69,$AI69)+IF($G$1="破竹",$AL69*1.5,0))*(1+$BH69)*(1+$BI69))*(1+$AM69))*$Q69*(1+IF(VLOOKUP($R69,武学奇术!$A:$ZZ,30,FALSE)="回旋伞",$B$21,0))*(1+$BR69)</f>
        <v>38019.279254332</v>
      </c>
      <c r="Q69" s="39">
        <v>1</v>
      </c>
      <c r="R69" s="40" t="s">
        <v>108</v>
      </c>
      <c r="S69" s="40" t="s">
        <v>109</v>
      </c>
      <c r="T69" s="40" t="s">
        <v>95</v>
      </c>
      <c r="U69" s="40" t="s">
        <v>73</v>
      </c>
      <c r="V69" s="40" t="s">
        <v>81</v>
      </c>
      <c r="W69" s="40" t="s">
        <v>172</v>
      </c>
      <c r="X69" s="40" t="s">
        <v>99</v>
      </c>
      <c r="Y69" s="40" t="s">
        <v>72</v>
      </c>
      <c r="Z69" s="40" t="s">
        <v>176</v>
      </c>
      <c r="AA69" s="40" t="s">
        <v>72</v>
      </c>
      <c r="AB69" s="40" t="s">
        <v>72</v>
      </c>
      <c r="AC69" s="40" t="s">
        <v>72</v>
      </c>
      <c r="AD69" s="40" t="s">
        <v>178</v>
      </c>
      <c r="AE69" s="40" t="s">
        <v>72</v>
      </c>
      <c r="AF69" s="40" t="s">
        <v>72</v>
      </c>
      <c r="AG69" s="40" t="s">
        <v>78</v>
      </c>
      <c r="AH69" t="str">
        <f>VLOOKUP($R69,武学奇术!$A:$ZZ,25,FALSE)</f>
        <v>伞</v>
      </c>
      <c r="AI69" s="26">
        <f>VLOOKUP($R69,武学奇术!$A:$ZZ,26,FALSE)</f>
        <v>1.8084</v>
      </c>
      <c r="AJ69" s="27">
        <f>VLOOKUP($R69,武学奇术!$A:$ZZ,27,FALSE)*(1+IF(OR($AH69=$F$4,$AH69=$F$5),$B$22,0))</f>
        <v>750</v>
      </c>
      <c r="AK69" s="26">
        <f>VLOOKUP($R69,武学奇术!$A:$ZZ,28,FALSE)</f>
        <v>2.7126</v>
      </c>
      <c r="AL69" s="27">
        <f>VLOOKUP($R69,武学奇术!$A:$ZZ,29,FALSE)*(1+IF(OR($AH69=$F$4,$AH69=$F$5),$B$22,0))</f>
        <v>408</v>
      </c>
      <c r="AM69" s="26" cm="1">
        <f t="array" ref="AM69">$G$3+IFERROR(VLOOKUP($AH69,$F$4:$G$7,2,FALSE),0)+VLOOKUP($R69,武学奇术!$A:$ZZ,2,FALSE)+SUM(_xlfn.XLOOKUP($S69:$AG69,增益!$A:$A,增益!$B:$B,0))</f>
        <v>0.7741</v>
      </c>
      <c r="AN69" s="26" cm="1">
        <f t="array" ref="AN69">VLOOKUP($R69,武学奇术!$A:$ZZ,5,FALSE)+SUM(_xlfn.XLOOKUP($S69:$AG69,增益!$A:$A,增益!$E:$E,0))</f>
        <v>0</v>
      </c>
      <c r="AO69" cm="1">
        <f t="array" ref="AO69">$D$10*(1+$AN69)+VLOOKUP($R69,武学奇术!$A:$ZZ,3,FALSE)+SUM(_xlfn.XLOOKUP($S69:$AG69,增益!$A:$A,增益!$C:$C,0))-$I$2</f>
        <v>3562.6</v>
      </c>
      <c r="AP69" cm="1">
        <f t="array" ref="AP69">$E$10*(1+$AN69)+VLOOKUP($R69,武学奇术!$A:$ZZ,4,FALSE)+SUM(_xlfn.XLOOKUP($S69:$AG69,增益!$A:$A,增益!$D:$D,0))-$I$2</f>
        <v>3562.6</v>
      </c>
      <c r="AQ69" s="32" cm="1">
        <f t="array" ref="AQ69">IF($F$10-$I$3+VLOOKUP($R69,武学奇术!$A:$ZZ,6,FALSE)+SUM(_xlfn.XLOOKUP(S69:AG69,增益!$A:$A,增益!$F:$F,0))&gt;0,($F$10-$I$3+VLOOKUP($R69,武学奇术!$A:$ZZ,6,FALSE)+SUM(_xlfn.XLOOKUP(S69:AG69,增益!$A:$A,增益!$F:$F,0)))/200,($F$10-$I$3+VLOOKUP($R69,武学奇术!$A:$ZZ,6,FALSE)+SUM(_xlfn.XLOOKUP(S69:AG69,增益!$A:$A,增益!$F:$F,0)))/100)</f>
        <v>0.2925</v>
      </c>
      <c r="AR69" s="32" cm="1">
        <f t="array" ref="AR69">$G$10+VLOOKUP($R69,武学奇术!$A:$ZZ,7,FALSE)+SUM(_xlfn.XLOOKUP(S69:AG69,增益!$A:$A,增益!$G:$G,0))</f>
        <v>0.148</v>
      </c>
      <c r="AS69" s="26" cm="1">
        <f t="array" ref="AS69">VLOOKUP($R69,武学奇术!$A:$ZZ,8,FALSE)+SUM(_xlfn.XLOOKUP(S69:AG69,增益!$A:$A,增益!$H:$H,0))</f>
        <v>0</v>
      </c>
      <c r="AT69">
        <f t="shared" si="13"/>
        <v>0</v>
      </c>
      <c r="AU69">
        <f t="shared" si="14"/>
        <v>0</v>
      </c>
      <c r="AV69" s="32" cm="1">
        <f t="array" ref="AV69">IF($F$11-$I$4+VLOOKUP($R69,武学奇术!$A:$ZZ,9,FALSE)+SUM(_xlfn.XLOOKUP(S69:AG69,增益!$A:$A,增益!$I:$I,0))&gt;0,($F$11-$I$4+VLOOKUP($R69,武学奇术!$A:$ZZ,9,FALSE)+SUM(_xlfn.XLOOKUP(S69:AG69,增益!$A:$A,增益!$I:$I,0)))/200,($F$11-$I$4+VLOOKUP($R69,武学奇术!$A:$ZZ,9,FALSE)+SUM(_xlfn.XLOOKUP(S69:AG69,增益!$A:$A,增益!$I:$I,0)))/100)</f>
        <v>-0.3</v>
      </c>
      <c r="AW69" s="32" cm="1">
        <f t="array" ref="AW69">$G$11+VLOOKUP($R69,武学奇术!$A:$ZZ,10,FALSE)+SUM(_xlfn.XLOOKUP(S69:AG69,增益!$A:$A,增益!$J:$J,0))</f>
        <v>0</v>
      </c>
      <c r="AX69">
        <f t="shared" si="15"/>
        <v>0</v>
      </c>
      <c r="AY69">
        <f t="shared" si="16"/>
        <v>0</v>
      </c>
      <c r="AZ69" s="32" cm="1">
        <f t="array" ref="AZ69">IF($F$12-$I$4+VLOOKUP($R69,武学奇术!$A:$ZZ,11,FALSE)+SUM(_xlfn.XLOOKUP(S69:AG69,增益!$A:$A,增益!$K:$K,0))&gt;0,($F$12-$I$4+VLOOKUP($R69,武学奇术!$A:$ZZ,11,FALSE)+SUM(_xlfn.XLOOKUP(S69:AG69,增益!$A:$A,增益!$K:$K,0)))/200,($F$12-$I$4+VLOOKUP($R69,武学奇术!$A:$ZZ,11,FALSE)+SUM(_xlfn.XLOOKUP(S69:AG69,增益!$A:$A,增益!$K:$K,0)))/100)</f>
        <v>-0.3</v>
      </c>
      <c r="BA69" s="32" cm="1">
        <f t="array" ref="BA69">$G$12+VLOOKUP($R69,武学奇术!$A:$ZZ,12,FALSE)+SUM(_xlfn.XLOOKUP(S69:AG69,增益!$A:$A,增益!$L:$L,0))</f>
        <v>0</v>
      </c>
      <c r="BB69">
        <f t="shared" si="17"/>
        <v>0</v>
      </c>
      <c r="BC69">
        <f t="shared" si="18"/>
        <v>0</v>
      </c>
      <c r="BD69" s="32" cm="1">
        <f t="array" ref="BD69">IF($F$13-$I$4+VLOOKUP($R69,武学奇术!$A:$ZZ,13,FALSE)+SUM(_xlfn.XLOOKUP(S69:AG69,增益!$A:$A,增益!$M:$M,0))&gt;0,($F$13-$I$4+VLOOKUP($R69,武学奇术!$A:$ZZ,13,FALSE)+SUM(_xlfn.XLOOKUP(S69:AG69,增益!$A:$A,增益!$K:$K,0)))/200,($F$13-$I$4+VLOOKUP($R69,武学奇术!$A:$ZZ,13,FALSE)+SUM(_xlfn.XLOOKUP(S69:AG69,增益!$A:$A,增益!$M:$M,0)))/100)</f>
        <v>-0.3</v>
      </c>
      <c r="BE69" s="32" cm="1">
        <f t="array" ref="BE69">$G$13+VLOOKUP($R69,武学奇术!$A:$ZZ,14,FALSE)+SUM(_xlfn.XLOOKUP(S69:AG69,增益!$A:$A,增益!$N:$N,0))</f>
        <v>0</v>
      </c>
      <c r="BF69">
        <f t="shared" si="19"/>
        <v>571.2</v>
      </c>
      <c r="BG69">
        <f t="shared" si="20"/>
        <v>1627.8</v>
      </c>
      <c r="BH69" s="32" cm="1">
        <f t="array" ref="BH69">IF($F$14-$I$4+VLOOKUP($R69,武学奇术!$A:$ZZ,15,FALSE)+SUM(_xlfn.XLOOKUP(S69:AG69,增益!$A:$A,增益!$O:$O,0))&gt;0,($F$14-$I$4+VLOOKUP($R69,武学奇术!$A:$ZZ,15,FALSE)+SUM(_xlfn.XLOOKUP(S69:AG69,增益!$A:$A,增益!$O:$O,0)))/200,($F$14-$I$4+VLOOKUP($R69,武学奇术!$A:$ZZ,15,FALSE)+SUM(_xlfn.XLOOKUP(S69:AG69,增益!$A:$A,增益!$O:$O,0)))/100)</f>
        <v>0</v>
      </c>
      <c r="BI69" s="32" cm="1">
        <f t="array" ref="BI69">$G$14+VLOOKUP($R69,武学奇术!$A:$ZZ,16,FALSE)+SUM(_xlfn.XLOOKUP(S69:AG69,增益!$A:$A,增益!$P:$P,0))</f>
        <v>0.27</v>
      </c>
      <c r="BJ69" s="26">
        <f>MIN(IF(VLOOKUP($R69,武学奇术!$A:$ZZ,23,FALSE)=1,100%,$B$8),100%)</f>
        <v>0.981</v>
      </c>
      <c r="BK69" s="26" cm="1">
        <f t="array" ref="BK69">IF(VLOOKUP($R69,武学奇术!$A:$ZZ,23,FALSE)=1,100%,MIN(80%,$B$9+VLOOKUP($R69,武学奇术!$A:$ZZ,17,FALSE)+SUM(_xlfn.XLOOKUP(S69:AG69,增益!$A:$A,增益!$Q:$Q,0)))+$B$11+SUM(_xlfn.XLOOKUP(S69:AG69,增益!$A:$A,增益!$U:$U,0)))*IF(VLOOKUP($R69,武学奇术!$A:$ZZ,24,FALSE)=1,0,1)</f>
        <v>0.846</v>
      </c>
      <c r="BL69" s="26" cm="1">
        <f t="array" ref="BL69">1+$B$13+VLOOKUP($R69,武学奇术!$A:$ZZ,18,FALSE)+SUM(_xlfn.XLOOKUP(S69:AG69,增益!$A:$A,增益!$R:$R,0))</f>
        <v>1.91</v>
      </c>
      <c r="BM69" s="26" cm="1">
        <f t="array" ref="BM69">IF(VLOOKUP($R69,武学奇术!$A:$ZZ,24,FALSE)=1,100%,MIN(40%,$B$10+VLOOKUP($R69,武学奇术!$A:$ZZ,19,FALSE)+SUM(_xlfn.XLOOKUP(S69:AG69,增益!$A:$A,增益!$S:$S,0)))+$B$12+SUM(_xlfn.XLOOKUP(S69:AG69,增益!$A:$A,增益!$V:$V,0)))*IF(VLOOKUP($R69,武学奇术!$A:$ZZ,23,FALSE)=1,0,1)</f>
        <v>0.0929</v>
      </c>
      <c r="BN69" s="26" cm="1">
        <f t="array" ref="BN69">1+$B$14+VLOOKUP($R69,武学奇术!$A:$ZZ,20,FALSE)+SUM(_xlfn.XLOOKUP(S69:AG69,增益!$A:$A,增益!$T:$T,0))</f>
        <v>1.35</v>
      </c>
      <c r="BO69" s="26">
        <f t="shared" si="21"/>
        <v>0.829926</v>
      </c>
      <c r="BP69" s="26">
        <f t="shared" si="22"/>
        <v>0.0599391</v>
      </c>
      <c r="BQ69" s="26">
        <f>IF(VLOOKUP($R69,武学奇术!$A:$ZZ,22,FALSE)=1,0,(1-$BJ69))*(1-$BM69)</f>
        <v>0.0172349</v>
      </c>
      <c r="BR69" s="26" cm="1">
        <f t="array" ref="BR69">SUM(_xlfn.XLOOKUP(S69:AG69,增益!$A:$A,增益!$W:$W,0))+$I$5</f>
        <v>0.21</v>
      </c>
    </row>
    <row r="70" spans="1:70">
      <c r="K70">
        <f>$L70*VLOOKUP($R70,武学奇术!$A:$ZZ,31,FALSE)</f>
        <v>47567.892403605</v>
      </c>
      <c r="L70" s="38">
        <f t="shared" si="12"/>
        <v>45302.7546701</v>
      </c>
      <c r="M70" s="38">
        <f>((($AO70+$AP70)/2*$AI70+$AJ70)*(1+$AQ70)*(1+$AR70)+(($AT70+$AU70)/2*IF($G$1="鸣金",$AK70,$AI70)+IF($G$1="鸣金",$AL70*1.5,0))*(1+$AV70)*(1+$AW70)+(($AX70+$AY70)/2*IF($G$1="裂石",$AK70,$AI70)+IF($G$1="裂石",$AL70*1.5,0))*(1+$AZ70)*(1+$BA70)+(($BB70+$BC70)/2*IF($G$1="牵丝",$AK70,$AI70)+IF($G$1="牵丝",$AL70*1.5,0))*(1+$BD70)*(1+$BE70)+(($BF70+$BG70)/2*IF($G$1="破竹",$AK70,$AI70)+IF($G$1="破竹",$AL70*1.5,0))*(1+$BH70)*(1+$BI70))*(1+$AM70)*$BL70*$Q70*(1+IF(VLOOKUP($R70,武学奇术!$A:$ZZ,30,FALSE)="回旋伞",$B$21,0))*(1+$BR70)</f>
        <v>48004.6153037333</v>
      </c>
      <c r="N70" s="38">
        <f>(($AP70*$AI70+$AJ70)*(1+$AQ70)*(1+$AR70)+($AU70*IF($G$1="鸣金",$AK70,$AI70)+IF($G$1="鸣金",$AL70*1.5,0))*(1+$AV70)*(1+$AW70)+($AY70*IF($G$1="裂石",$AK70,$AI70)+IF($G$1="裂石",$AL70*1.5,0))*(1+$AZ70)*(1+$BA70)+($BC70*IF($G$1="牵丝",$AK70,$AI70)+IF($G$1="牵丝",$AL70*1.5,0))*(1+$BD70)*(1+$BE70)+($BG70*IF($G$1="破竹",$AK70,$AI70)+IF($G$1="破竹",$AL70*1.5,0))*(1+$BH70)*(1+$BI70))*(1+$AM70)*$BN70*$Q70*(1+IF(VLOOKUP($R70,武学奇术!$A:$ZZ,30,FALSE)="回旋伞",$B$21,0))*(1+$BR70)</f>
        <v>38556.5595544629</v>
      </c>
      <c r="O70" s="38">
        <f>((($AO70+$AP70)/2*$AI70+$AJ70)*(1+$AQ70)*(1+$AR70)+(($AT70+$AU70)/2*IF($G$1="鸣金",$AK70,$AI70)+IF($G$1="鸣金",$AL70*1.5,0))*(1+$AV70)*(1+$AW70)+(($AX70+$AY70)/2*IF($G$1="裂石",$AK70,$AI70)+IF($G$1="裂石",$AL70*1.5,0))*(1+$AZ70)*(1+$BA70)+(($BB70+$BC70)/2*IF($G$1="牵丝",$AK70,$AI70)+IF($G$1="牵丝",$AL70*1.5,0))*(1+$BD70)*(1+$BE70)+(($BF70+$BG70)/2*IF($G$1="破竹",$AK70,$AI70)+IF($G$1="破竹",$AL70*1.5,0))*(1+$BH70)*(1+$BI70))*(1+$AM70)*$Q70*(1+IF(VLOOKUP($R70,武学奇术!$A:$ZZ,30,FALSE)="回旋伞",$B$21,0))*(1+$BR70)</f>
        <v>25133.3064417452</v>
      </c>
      <c r="P70" s="38">
        <f>((($AO70*$AI70+$AJ70)*(1+$AQ70)*(1+$AR70)+($AT70*IF($G$1="鸣金",$AK70,$AI70)+IF($G$1="鸣金",$AL70*1.5,0))*(1+$AV70)*(1+$AW70)+($AX70*IF($G$1="裂石",$AK70,$AI70)+IF($G$1="裂石",$AL70*1.5,0))*(1+$AZ70)*(1+$BA70)+($BB70*IF($G$1="牵丝",$AK70,$AI70)+IF($G$1="牵丝",$AL70*1.5,0))*(1+$BD70)*(1+$BE70)+($BF70*IF($G$1="破竹",$AK70,$AI70)+IF($G$1="破竹",$AL70*1.5,0))*(1+$BH70)*(1+$BI70))*(1+$AM70))*$Q70*(1+IF(VLOOKUP($R70,武学奇术!$A:$ZZ,30,FALSE)="回旋伞",$B$21,0))*(1+$BR70)</f>
        <v>21706.1983987031</v>
      </c>
      <c r="Q70" s="39">
        <v>2</v>
      </c>
      <c r="R70" s="40" t="s">
        <v>112</v>
      </c>
      <c r="S70" s="40" t="s">
        <v>109</v>
      </c>
      <c r="T70" s="40" t="s">
        <v>95</v>
      </c>
      <c r="U70" s="40" t="s">
        <v>73</v>
      </c>
      <c r="V70" s="40" t="s">
        <v>81</v>
      </c>
      <c r="W70" s="40" t="s">
        <v>172</v>
      </c>
      <c r="X70" s="40" t="s">
        <v>99</v>
      </c>
      <c r="Y70" s="40" t="s">
        <v>72</v>
      </c>
      <c r="Z70" s="40" t="s">
        <v>176</v>
      </c>
      <c r="AA70" s="40" t="s">
        <v>72</v>
      </c>
      <c r="AB70" s="40" t="s">
        <v>72</v>
      </c>
      <c r="AC70" s="40" t="s">
        <v>72</v>
      </c>
      <c r="AD70" s="40" t="s">
        <v>178</v>
      </c>
      <c r="AE70" s="40" t="s">
        <v>72</v>
      </c>
      <c r="AF70" s="40" t="s">
        <v>72</v>
      </c>
      <c r="AG70" s="40" t="s">
        <v>78</v>
      </c>
      <c r="AH70" t="str">
        <f>VLOOKUP($R70,武学奇术!$A:$ZZ,25,FALSE)</f>
        <v>伞</v>
      </c>
      <c r="AI70" s="26">
        <f>VLOOKUP($R70,武学奇术!$A:$ZZ,26,FALSE)</f>
        <v>0.54</v>
      </c>
      <c r="AJ70" s="27">
        <f>VLOOKUP($R70,武学奇术!$A:$ZZ,27,FALSE)*(1+IF(OR($AH70=$F$4,$AH70=$F$5),$B$22,0))</f>
        <v>0</v>
      </c>
      <c r="AK70" s="26">
        <f>VLOOKUP($R70,武学奇术!$A:$ZZ,28,FALSE)</f>
        <v>0.81</v>
      </c>
      <c r="AL70" s="27">
        <f>VLOOKUP($R70,武学奇术!$A:$ZZ,29,FALSE)*(1+IF(OR($AH70=$F$4,$AH70=$F$5),$B$22,0))</f>
        <v>0</v>
      </c>
      <c r="AM70" s="26" cm="1">
        <f t="array" ref="AM70">$G$3+IFERROR(VLOOKUP($AH70,$F$4:$G$7,2,FALSE),0)+VLOOKUP($R70,武学奇术!$A:$ZZ,2,FALSE)+SUM(_xlfn.XLOOKUP($S70:$AG70,增益!$A:$A,增益!$B:$B,0))</f>
        <v>0.9741</v>
      </c>
      <c r="AN70" s="26" cm="1">
        <f t="array" ref="AN70">VLOOKUP($R70,武学奇术!$A:$ZZ,5,FALSE)+SUM(_xlfn.XLOOKUP($S70:$AG70,增益!$A:$A,增益!$E:$E,0))</f>
        <v>0</v>
      </c>
      <c r="AO70" cm="1">
        <f t="array" ref="AO70">$D$10*(1+$AN70)+VLOOKUP($R70,武学奇术!$A:$ZZ,3,FALSE)+SUM(_xlfn.XLOOKUP($S70:$AG70,增益!$A:$A,增益!$C:$C,0))-$I$2</f>
        <v>3562.6</v>
      </c>
      <c r="AP70" cm="1">
        <f t="array" ref="AP70">$E$10*(1+$AN70)+VLOOKUP($R70,武学奇术!$A:$ZZ,4,FALSE)+SUM(_xlfn.XLOOKUP($S70:$AG70,增益!$A:$A,增益!$D:$D,0))-$I$2</f>
        <v>3562.6</v>
      </c>
      <c r="AQ70" s="32" cm="1">
        <f t="array" ref="AQ70">IF($F$10-$I$3+VLOOKUP($R70,武学奇术!$A:$ZZ,6,FALSE)+SUM(_xlfn.XLOOKUP(S70:AG70,增益!$A:$A,增益!$F:$F,0))&gt;0,($F$10-$I$3+VLOOKUP($R70,武学奇术!$A:$ZZ,6,FALSE)+SUM(_xlfn.XLOOKUP(S70:AG70,增益!$A:$A,增益!$F:$F,0)))/200,($F$10-$I$3+VLOOKUP($R70,武学奇术!$A:$ZZ,6,FALSE)+SUM(_xlfn.XLOOKUP(S70:AG70,增益!$A:$A,增益!$F:$F,0)))/100)</f>
        <v>0.2925</v>
      </c>
      <c r="AR70" s="32" cm="1">
        <f t="array" ref="AR70">$G$10+VLOOKUP($R70,武学奇术!$A:$ZZ,7,FALSE)+SUM(_xlfn.XLOOKUP(S70:AG70,增益!$A:$A,增益!$G:$G,0))</f>
        <v>0.148</v>
      </c>
      <c r="AS70" s="26" cm="1">
        <f t="array" ref="AS70">VLOOKUP($R70,武学奇术!$A:$ZZ,8,FALSE)+SUM(_xlfn.XLOOKUP(S70:AG70,增益!$A:$A,增益!$H:$H,0))</f>
        <v>0</v>
      </c>
      <c r="AT70">
        <f t="shared" si="13"/>
        <v>0</v>
      </c>
      <c r="AU70">
        <f t="shared" si="14"/>
        <v>0</v>
      </c>
      <c r="AV70" s="32" cm="1">
        <f t="array" ref="AV70">IF($F$11-$I$4+VLOOKUP($R70,武学奇术!$A:$ZZ,9,FALSE)+SUM(_xlfn.XLOOKUP(S70:AG70,增益!$A:$A,增益!$I:$I,0))&gt;0,($F$11-$I$4+VLOOKUP($R70,武学奇术!$A:$ZZ,9,FALSE)+SUM(_xlfn.XLOOKUP(S70:AG70,增益!$A:$A,增益!$I:$I,0)))/200,($F$11-$I$4+VLOOKUP($R70,武学奇术!$A:$ZZ,9,FALSE)+SUM(_xlfn.XLOOKUP(S70:AG70,增益!$A:$A,增益!$I:$I,0)))/100)</f>
        <v>-0.3</v>
      </c>
      <c r="AW70" s="32" cm="1">
        <f t="array" ref="AW70">$G$11+VLOOKUP($R70,武学奇术!$A:$ZZ,10,FALSE)+SUM(_xlfn.XLOOKUP(S70:AG70,增益!$A:$A,增益!$J:$J,0))</f>
        <v>0</v>
      </c>
      <c r="AX70">
        <f t="shared" si="15"/>
        <v>0</v>
      </c>
      <c r="AY70">
        <f t="shared" si="16"/>
        <v>0</v>
      </c>
      <c r="AZ70" s="32" cm="1">
        <f t="array" ref="AZ70">IF($F$12-$I$4+VLOOKUP($R70,武学奇术!$A:$ZZ,11,FALSE)+SUM(_xlfn.XLOOKUP(S70:AG70,增益!$A:$A,增益!$K:$K,0))&gt;0,($F$12-$I$4+VLOOKUP($R70,武学奇术!$A:$ZZ,11,FALSE)+SUM(_xlfn.XLOOKUP(S70:AG70,增益!$A:$A,增益!$K:$K,0)))/200,($F$12-$I$4+VLOOKUP($R70,武学奇术!$A:$ZZ,11,FALSE)+SUM(_xlfn.XLOOKUP(S70:AG70,增益!$A:$A,增益!$K:$K,0)))/100)</f>
        <v>-0.3</v>
      </c>
      <c r="BA70" s="32" cm="1">
        <f t="array" ref="BA70">$G$12+VLOOKUP($R70,武学奇术!$A:$ZZ,12,FALSE)+SUM(_xlfn.XLOOKUP(S70:AG70,增益!$A:$A,增益!$L:$L,0))</f>
        <v>0</v>
      </c>
      <c r="BB70">
        <f t="shared" si="17"/>
        <v>0</v>
      </c>
      <c r="BC70">
        <f t="shared" si="18"/>
        <v>0</v>
      </c>
      <c r="BD70" s="32" cm="1">
        <f t="array" ref="BD70">IF($F$13-$I$4+VLOOKUP($R70,武学奇术!$A:$ZZ,13,FALSE)+SUM(_xlfn.XLOOKUP(S70:AG70,增益!$A:$A,增益!$M:$M,0))&gt;0,($F$13-$I$4+VLOOKUP($R70,武学奇术!$A:$ZZ,13,FALSE)+SUM(_xlfn.XLOOKUP(S70:AG70,增益!$A:$A,增益!$K:$K,0)))/200,($F$13-$I$4+VLOOKUP($R70,武学奇术!$A:$ZZ,13,FALSE)+SUM(_xlfn.XLOOKUP(S70:AG70,增益!$A:$A,增益!$M:$M,0)))/100)</f>
        <v>-0.3</v>
      </c>
      <c r="BE70" s="32" cm="1">
        <f t="array" ref="BE70">$G$13+VLOOKUP($R70,武学奇术!$A:$ZZ,14,FALSE)+SUM(_xlfn.XLOOKUP(S70:AG70,增益!$A:$A,增益!$N:$N,0))</f>
        <v>0</v>
      </c>
      <c r="BF70">
        <f t="shared" si="19"/>
        <v>571.2</v>
      </c>
      <c r="BG70">
        <f t="shared" si="20"/>
        <v>1627.8</v>
      </c>
      <c r="BH70" s="32" cm="1">
        <f t="array" ref="BH70">IF($F$14-$I$4+VLOOKUP($R70,武学奇术!$A:$ZZ,15,FALSE)+SUM(_xlfn.XLOOKUP(S70:AG70,增益!$A:$A,增益!$O:$O,0))&gt;0,($F$14-$I$4+VLOOKUP($R70,武学奇术!$A:$ZZ,15,FALSE)+SUM(_xlfn.XLOOKUP(S70:AG70,增益!$A:$A,增益!$O:$O,0)))/200,($F$14-$I$4+VLOOKUP($R70,武学奇术!$A:$ZZ,15,FALSE)+SUM(_xlfn.XLOOKUP(S70:AG70,增益!$A:$A,增益!$O:$O,0)))/100)</f>
        <v>0</v>
      </c>
      <c r="BI70" s="32" cm="1">
        <f t="array" ref="BI70">$G$14+VLOOKUP($R70,武学奇术!$A:$ZZ,16,FALSE)+SUM(_xlfn.XLOOKUP(S70:AG70,增益!$A:$A,增益!$P:$P,0))</f>
        <v>0.27</v>
      </c>
      <c r="BJ70" s="26">
        <f>MIN(IF(VLOOKUP($R70,武学奇术!$A:$ZZ,23,FALSE)=1,100%,$B$8),100%)</f>
        <v>0.981</v>
      </c>
      <c r="BK70" s="26" cm="1">
        <f t="array" ref="BK70">IF(VLOOKUP($R70,武学奇术!$A:$ZZ,23,FALSE)=1,100%,MIN(80%,$B$9+VLOOKUP($R70,武学奇术!$A:$ZZ,17,FALSE)+SUM(_xlfn.XLOOKUP(S70:AG70,增益!$A:$A,增益!$Q:$Q,0)))+$B$11+SUM(_xlfn.XLOOKUP(S70:AG70,增益!$A:$A,增益!$U:$U,0)))*IF(VLOOKUP($R70,武学奇术!$A:$ZZ,24,FALSE)=1,0,1)</f>
        <v>0.846</v>
      </c>
      <c r="BL70" s="26" cm="1">
        <f t="array" ref="BL70">1+$B$13+VLOOKUP($R70,武学奇术!$A:$ZZ,18,FALSE)+SUM(_xlfn.XLOOKUP(S70:AG70,增益!$A:$A,增益!$R:$R,0))</f>
        <v>1.91</v>
      </c>
      <c r="BM70" s="26" cm="1">
        <f t="array" ref="BM70">IF(VLOOKUP($R70,武学奇术!$A:$ZZ,24,FALSE)=1,100%,MIN(40%,$B$10+VLOOKUP($R70,武学奇术!$A:$ZZ,19,FALSE)+SUM(_xlfn.XLOOKUP(S70:AG70,增益!$A:$A,增益!$S:$S,0)))+$B$12+SUM(_xlfn.XLOOKUP(S70:AG70,增益!$A:$A,增益!$V:$V,0)))*IF(VLOOKUP($R70,武学奇术!$A:$ZZ,23,FALSE)=1,0,1)</f>
        <v>0.0929</v>
      </c>
      <c r="BN70" s="26" cm="1">
        <f t="array" ref="BN70">1+$B$14+VLOOKUP($R70,武学奇术!$A:$ZZ,20,FALSE)+SUM(_xlfn.XLOOKUP(S70:AG70,增益!$A:$A,增益!$T:$T,0))</f>
        <v>1.35</v>
      </c>
      <c r="BO70" s="26">
        <f t="shared" si="21"/>
        <v>0.829926</v>
      </c>
      <c r="BP70" s="26">
        <f t="shared" si="22"/>
        <v>0.0599391</v>
      </c>
      <c r="BQ70" s="26">
        <f>IF(VLOOKUP($R70,武学奇术!$A:$ZZ,22,FALSE)=1,0,(1-$BJ70))*(1-$BM70)</f>
        <v>0.0172349</v>
      </c>
      <c r="BR70" s="26" cm="1">
        <f t="array" ref="BR70">SUM(_xlfn.XLOOKUP(S70:AG70,增益!$A:$A,增益!$W:$W,0))+$I$5</f>
        <v>0.21</v>
      </c>
    </row>
    <row r="71" spans="1:70">
      <c r="K71">
        <f>$L71*VLOOKUP($R71,武学奇术!$A:$ZZ,31,FALSE)</f>
        <v>83891.2233961189</v>
      </c>
      <c r="L71" s="38">
        <f t="shared" si="12"/>
        <v>79896.403234399</v>
      </c>
      <c r="M71" s="38">
        <f>((($AO71+$AP71)/2*$AI71+$AJ71)*(1+$AQ71)*(1+$AR71)+(($AT71+$AU71)/2*IF($G$1="鸣金",$AK71,$AI71)+IF($G$1="鸣金",$AL71*1.5,0))*(1+$AV71)*(1+$AW71)+(($AX71+$AY71)/2*IF($G$1="裂石",$AK71,$AI71)+IF($G$1="裂石",$AL71*1.5,0))*(1+$AZ71)*(1+$BA71)+(($BB71+$BC71)/2*IF($G$1="牵丝",$AK71,$AI71)+IF($G$1="牵丝",$AL71*1.5,0))*(1+$BD71)*(1+$BE71)+(($BF71+$BG71)/2*IF($G$1="破竹",$AK71,$AI71)+IF($G$1="破竹",$AL71*1.5,0))*(1+$BH71)*(1+$BI71))*(1+$AM71)*$BL71*$Q71*(1+IF(VLOOKUP($R71,武学奇术!$A:$ZZ,30,FALSE)="回旋伞",$B$21,0))*(1+$BR71)</f>
        <v>85057.5123662182</v>
      </c>
      <c r="N71" s="38">
        <f>(($AP71*$AI71+$AJ71)*(1+$AQ71)*(1+$AR71)+($AU71*IF($G$1="鸣金",$AK71,$AI71)+IF($G$1="鸣金",$AL71*1.5,0))*(1+$AV71)*(1+$AW71)+($AY71*IF($G$1="裂石",$AK71,$AI71)+IF($G$1="裂石",$AL71*1.5,0))*(1+$AZ71)*(1+$BA71)+($BC71*IF($G$1="牵丝",$AK71,$AI71)+IF($G$1="牵丝",$AL71*1.5,0))*(1+$BD71)*(1+$BE71)+($BG71*IF($G$1="破竹",$AK71,$AI71)+IF($G$1="破竹",$AL71*1.5,0))*(1+$BH71)*(1+$BI71))*(1+$AM71)*$BN71*$Q71*(1+IF(VLOOKUP($R71,武学奇术!$A:$ZZ,30,FALSE)="回旋伞",$B$21,0))*(1+$BR71)</f>
        <v>65250.2589908088</v>
      </c>
      <c r="O71" s="38">
        <f>((($AO71+$AP71)/2*$AI71+$AJ71)*(1+$AQ71)*(1+$AR71)+(($AT71+$AU71)/2*IF($G$1="鸣金",$AK71,$AI71)+IF($G$1="鸣金",$AL71*1.5,0))*(1+$AV71)*(1+$AW71)+(($AX71+$AY71)/2*IF($G$1="裂石",$AK71,$AI71)+IF($G$1="裂石",$AL71*1.5,0))*(1+$AZ71)*(1+$BA71)+(($BB71+$BC71)/2*IF($G$1="牵丝",$AK71,$AI71)+IF($G$1="牵丝",$AL71*1.5,0))*(1+$BD71)*(1+$BE71)+(($BF71+$BG71)/2*IF($G$1="破竹",$AK71,$AI71)+IF($G$1="破竹",$AL71*1.5,0))*(1+$BH71)*(1+$BI71))*(1+$AM71)*$Q71*(1+IF(VLOOKUP($R71,武学奇术!$A:$ZZ,30,FALSE)="回旋伞",$B$21,0))*(1+$BR71)</f>
        <v>43176.4022163544</v>
      </c>
      <c r="P71" s="38">
        <f>((($AO71*$AI71+$AJ71)*(1+$AQ71)*(1+$AR71)+($AT71*IF($G$1="鸣金",$AK71,$AI71)+IF($G$1="鸣金",$AL71*1.5,0))*(1+$AV71)*(1+$AW71)+($AX71*IF($G$1="裂石",$AK71,$AI71)+IF($G$1="裂石",$AL71*1.5,0))*(1+$AZ71)*(1+$BA71)+($BB71*IF($G$1="牵丝",$AK71,$AI71)+IF($G$1="牵丝",$AL71*1.5,0))*(1+$BD71)*(1+$BE71)+($BF71*IF($G$1="破竹",$AK71,$AI71)+IF($G$1="破竹",$AL71*1.5,0))*(1+$BH71)*(1+$BI71))*(1+$AM71))*$Q71*(1+IF(VLOOKUP($R71,武学奇术!$A:$ZZ,30,FALSE)="回旋伞",$B$21,0))*(1+$BR71)</f>
        <v>38019.279254332</v>
      </c>
      <c r="Q71" s="39">
        <v>1</v>
      </c>
      <c r="R71" s="40" t="s">
        <v>108</v>
      </c>
      <c r="S71" s="40" t="s">
        <v>109</v>
      </c>
      <c r="T71" s="40" t="s">
        <v>95</v>
      </c>
      <c r="U71" s="40" t="s">
        <v>73</v>
      </c>
      <c r="V71" s="40" t="s">
        <v>81</v>
      </c>
      <c r="W71" s="40" t="s">
        <v>172</v>
      </c>
      <c r="X71" s="40" t="s">
        <v>99</v>
      </c>
      <c r="Y71" s="40" t="s">
        <v>72</v>
      </c>
      <c r="Z71" s="40" t="s">
        <v>176</v>
      </c>
      <c r="AA71" s="40" t="s">
        <v>72</v>
      </c>
      <c r="AB71" s="40" t="s">
        <v>115</v>
      </c>
      <c r="AC71" s="40" t="s">
        <v>72</v>
      </c>
      <c r="AD71" s="40" t="s">
        <v>178</v>
      </c>
      <c r="AE71" s="40" t="s">
        <v>72</v>
      </c>
      <c r="AF71" s="40" t="s">
        <v>72</v>
      </c>
      <c r="AG71" s="40" t="s">
        <v>78</v>
      </c>
      <c r="AH71" t="str">
        <f>VLOOKUP($R71,武学奇术!$A:$ZZ,25,FALSE)</f>
        <v>伞</v>
      </c>
      <c r="AI71" s="26">
        <f>VLOOKUP($R71,武学奇术!$A:$ZZ,26,FALSE)</f>
        <v>1.8084</v>
      </c>
      <c r="AJ71" s="27">
        <f>VLOOKUP($R71,武学奇术!$A:$ZZ,27,FALSE)*(1+IF(OR($AH71=$F$4,$AH71=$F$5),$B$22,0))</f>
        <v>750</v>
      </c>
      <c r="AK71" s="26">
        <f>VLOOKUP($R71,武学奇术!$A:$ZZ,28,FALSE)</f>
        <v>2.7126</v>
      </c>
      <c r="AL71" s="27">
        <f>VLOOKUP($R71,武学奇术!$A:$ZZ,29,FALSE)*(1+IF(OR($AH71=$F$4,$AH71=$F$5),$B$22,0))</f>
        <v>408</v>
      </c>
      <c r="AM71" s="26" cm="1">
        <f t="array" ref="AM71">$G$3+IFERROR(VLOOKUP($AH71,$F$4:$G$7,2,FALSE),0)+VLOOKUP($R71,武学奇术!$A:$ZZ,2,FALSE)+SUM(_xlfn.XLOOKUP($S71:$AG71,增益!$A:$A,增益!$B:$B,0))</f>
        <v>0.7741</v>
      </c>
      <c r="AN71" s="26" cm="1">
        <f t="array" ref="AN71">VLOOKUP($R71,武学奇术!$A:$ZZ,5,FALSE)+SUM(_xlfn.XLOOKUP($S71:$AG71,增益!$A:$A,增益!$E:$E,0))</f>
        <v>0</v>
      </c>
      <c r="AO71" cm="1">
        <f t="array" ref="AO71">$D$10*(1+$AN71)+VLOOKUP($R71,武学奇术!$A:$ZZ,3,FALSE)+SUM(_xlfn.XLOOKUP($S71:$AG71,增益!$A:$A,增益!$C:$C,0))-$I$2</f>
        <v>3562.6</v>
      </c>
      <c r="AP71" cm="1">
        <f t="array" ref="AP71">$E$10*(1+$AN71)+VLOOKUP($R71,武学奇术!$A:$ZZ,4,FALSE)+SUM(_xlfn.XLOOKUP($S71:$AG71,增益!$A:$A,增益!$D:$D,0))-$I$2</f>
        <v>3562.6</v>
      </c>
      <c r="AQ71" s="32" cm="1">
        <f t="array" ref="AQ71">IF($F$10-$I$3+VLOOKUP($R71,武学奇术!$A:$ZZ,6,FALSE)+SUM(_xlfn.XLOOKUP(S71:AG71,增益!$A:$A,增益!$F:$F,0))&gt;0,($F$10-$I$3+VLOOKUP($R71,武学奇术!$A:$ZZ,6,FALSE)+SUM(_xlfn.XLOOKUP(S71:AG71,增益!$A:$A,增益!$F:$F,0)))/200,($F$10-$I$3+VLOOKUP($R71,武学奇术!$A:$ZZ,6,FALSE)+SUM(_xlfn.XLOOKUP(S71:AG71,增益!$A:$A,增益!$F:$F,0)))/100)</f>
        <v>0.2925</v>
      </c>
      <c r="AR71" s="32" cm="1">
        <f t="array" ref="AR71">$G$10+VLOOKUP($R71,武学奇术!$A:$ZZ,7,FALSE)+SUM(_xlfn.XLOOKUP(S71:AG71,增益!$A:$A,增益!$G:$G,0))</f>
        <v>0.148</v>
      </c>
      <c r="AS71" s="26" cm="1">
        <f t="array" ref="AS71">VLOOKUP($R71,武学奇术!$A:$ZZ,8,FALSE)+SUM(_xlfn.XLOOKUP(S71:AG71,增益!$A:$A,增益!$H:$H,0))</f>
        <v>0</v>
      </c>
      <c r="AT71">
        <f t="shared" si="13"/>
        <v>0</v>
      </c>
      <c r="AU71">
        <f t="shared" si="14"/>
        <v>0</v>
      </c>
      <c r="AV71" s="32" cm="1">
        <f t="array" ref="AV71">IF($F$11-$I$4+VLOOKUP($R71,武学奇术!$A:$ZZ,9,FALSE)+SUM(_xlfn.XLOOKUP(S71:AG71,增益!$A:$A,增益!$I:$I,0))&gt;0,($F$11-$I$4+VLOOKUP($R71,武学奇术!$A:$ZZ,9,FALSE)+SUM(_xlfn.XLOOKUP(S71:AG71,增益!$A:$A,增益!$I:$I,0)))/200,($F$11-$I$4+VLOOKUP($R71,武学奇术!$A:$ZZ,9,FALSE)+SUM(_xlfn.XLOOKUP(S71:AG71,增益!$A:$A,增益!$I:$I,0)))/100)</f>
        <v>-0.3</v>
      </c>
      <c r="AW71" s="32" cm="1">
        <f t="array" ref="AW71">$G$11+VLOOKUP($R71,武学奇术!$A:$ZZ,10,FALSE)+SUM(_xlfn.XLOOKUP(S71:AG71,增益!$A:$A,增益!$J:$J,0))</f>
        <v>0</v>
      </c>
      <c r="AX71">
        <f t="shared" si="15"/>
        <v>0</v>
      </c>
      <c r="AY71">
        <f t="shared" si="16"/>
        <v>0</v>
      </c>
      <c r="AZ71" s="32" cm="1">
        <f t="array" ref="AZ71">IF($F$12-$I$4+VLOOKUP($R71,武学奇术!$A:$ZZ,11,FALSE)+SUM(_xlfn.XLOOKUP(S71:AG71,增益!$A:$A,增益!$K:$K,0))&gt;0,($F$12-$I$4+VLOOKUP($R71,武学奇术!$A:$ZZ,11,FALSE)+SUM(_xlfn.XLOOKUP(S71:AG71,增益!$A:$A,增益!$K:$K,0)))/200,($F$12-$I$4+VLOOKUP($R71,武学奇术!$A:$ZZ,11,FALSE)+SUM(_xlfn.XLOOKUP(S71:AG71,增益!$A:$A,增益!$K:$K,0)))/100)</f>
        <v>-0.3</v>
      </c>
      <c r="BA71" s="32" cm="1">
        <f t="array" ref="BA71">$G$12+VLOOKUP($R71,武学奇术!$A:$ZZ,12,FALSE)+SUM(_xlfn.XLOOKUP(S71:AG71,增益!$A:$A,增益!$L:$L,0))</f>
        <v>0</v>
      </c>
      <c r="BB71">
        <f t="shared" si="17"/>
        <v>0</v>
      </c>
      <c r="BC71">
        <f t="shared" si="18"/>
        <v>0</v>
      </c>
      <c r="BD71" s="32" cm="1">
        <f t="array" ref="BD71">IF($F$13-$I$4+VLOOKUP($R71,武学奇术!$A:$ZZ,13,FALSE)+SUM(_xlfn.XLOOKUP(S71:AG71,增益!$A:$A,增益!$M:$M,0))&gt;0,($F$13-$I$4+VLOOKUP($R71,武学奇术!$A:$ZZ,13,FALSE)+SUM(_xlfn.XLOOKUP(S71:AG71,增益!$A:$A,增益!$K:$K,0)))/200,($F$13-$I$4+VLOOKUP($R71,武学奇术!$A:$ZZ,13,FALSE)+SUM(_xlfn.XLOOKUP(S71:AG71,增益!$A:$A,增益!$M:$M,0)))/100)</f>
        <v>-0.3</v>
      </c>
      <c r="BE71" s="32" cm="1">
        <f t="array" ref="BE71">$G$13+VLOOKUP($R71,武学奇术!$A:$ZZ,14,FALSE)+SUM(_xlfn.XLOOKUP(S71:AG71,增益!$A:$A,增益!$N:$N,0))</f>
        <v>0</v>
      </c>
      <c r="BF71">
        <f t="shared" si="19"/>
        <v>571.2</v>
      </c>
      <c r="BG71">
        <f t="shared" si="20"/>
        <v>1627.8</v>
      </c>
      <c r="BH71" s="32" cm="1">
        <f t="array" ref="BH71">IF($F$14-$I$4+VLOOKUP($R71,武学奇术!$A:$ZZ,15,FALSE)+SUM(_xlfn.XLOOKUP(S71:AG71,增益!$A:$A,增益!$O:$O,0))&gt;0,($F$14-$I$4+VLOOKUP($R71,武学奇术!$A:$ZZ,15,FALSE)+SUM(_xlfn.XLOOKUP(S71:AG71,增益!$A:$A,增益!$O:$O,0)))/200,($F$14-$I$4+VLOOKUP($R71,武学奇术!$A:$ZZ,15,FALSE)+SUM(_xlfn.XLOOKUP(S71:AG71,增益!$A:$A,增益!$O:$O,0)))/100)</f>
        <v>0</v>
      </c>
      <c r="BI71" s="32" cm="1">
        <f t="array" ref="BI71">$G$14+VLOOKUP($R71,武学奇术!$A:$ZZ,16,FALSE)+SUM(_xlfn.XLOOKUP(S71:AG71,增益!$A:$A,增益!$P:$P,0))</f>
        <v>0.27</v>
      </c>
      <c r="BJ71" s="26">
        <f>MIN(IF(VLOOKUP($R71,武学奇术!$A:$ZZ,23,FALSE)=1,100%,$B$8),100%)</f>
        <v>0.981</v>
      </c>
      <c r="BK71" s="26" cm="1">
        <f t="array" ref="BK71">IF(VLOOKUP($R71,武学奇术!$A:$ZZ,23,FALSE)=1,100%,MIN(80%,$B$9+VLOOKUP($R71,武学奇术!$A:$ZZ,17,FALSE)+SUM(_xlfn.XLOOKUP(S71:AG71,增益!$A:$A,增益!$Q:$Q,0)))+$B$11+SUM(_xlfn.XLOOKUP(S71:AG71,增益!$A:$A,增益!$U:$U,0)))*IF(VLOOKUP($R71,武学奇术!$A:$ZZ,24,FALSE)=1,0,1)</f>
        <v>0.846</v>
      </c>
      <c r="BL71" s="26" cm="1">
        <f t="array" ref="BL71">1+$B$13+VLOOKUP($R71,武学奇术!$A:$ZZ,18,FALSE)+SUM(_xlfn.XLOOKUP(S71:AG71,增益!$A:$A,增益!$R:$R,0))</f>
        <v>1.97</v>
      </c>
      <c r="BM71" s="26" cm="1">
        <f t="array" ref="BM71">IF(VLOOKUP($R71,武学奇术!$A:$ZZ,24,FALSE)=1,100%,MIN(40%,$B$10+VLOOKUP($R71,武学奇术!$A:$ZZ,19,FALSE)+SUM(_xlfn.XLOOKUP(S71:AG71,增益!$A:$A,增益!$S:$S,0)))+$B$12+SUM(_xlfn.XLOOKUP(S71:AG71,增益!$A:$A,增益!$V:$V,0)))*IF(VLOOKUP($R71,武学奇术!$A:$ZZ,23,FALSE)=1,0,1)</f>
        <v>0.0929</v>
      </c>
      <c r="BN71" s="26" cm="1">
        <f t="array" ref="BN71">1+$B$14+VLOOKUP($R71,武学奇术!$A:$ZZ,20,FALSE)+SUM(_xlfn.XLOOKUP(S71:AG71,增益!$A:$A,增益!$T:$T,0))</f>
        <v>1.35</v>
      </c>
      <c r="BO71" s="26">
        <f t="shared" si="21"/>
        <v>0.829926</v>
      </c>
      <c r="BP71" s="26">
        <f t="shared" si="22"/>
        <v>0.0599391</v>
      </c>
      <c r="BQ71" s="26">
        <f>IF(VLOOKUP($R71,武学奇术!$A:$ZZ,22,FALSE)=1,0,(1-$BJ71))*(1-$BM71)</f>
        <v>0.0172349</v>
      </c>
      <c r="BR71" s="26" cm="1">
        <f t="array" ref="BR71">SUM(_xlfn.XLOOKUP(S71:AG71,增益!$A:$A,增益!$W:$W,0))+$I$5</f>
        <v>0.21</v>
      </c>
    </row>
    <row r="72" spans="1:70">
      <c r="K72">
        <f>$L72*VLOOKUP($R72,武学奇术!$A:$ZZ,31,FALSE)</f>
        <v>48881.9958259692</v>
      </c>
      <c r="L72" s="38">
        <f t="shared" si="12"/>
        <v>46554.2817390183</v>
      </c>
      <c r="M72" s="38">
        <f>((($AO72+$AP72)/2*$AI72+$AJ72)*(1+$AQ72)*(1+$AR72)+(($AT72+$AU72)/2*IF($G$1="鸣金",$AK72,$AI72)+IF($G$1="鸣金",$AL72*1.5,0))*(1+$AV72)*(1+$AW72)+(($AX72+$AY72)/2*IF($G$1="裂石",$AK72,$AI72)+IF($G$1="裂石",$AL72*1.5,0))*(1+$AZ72)*(1+$BA72)+(($BB72+$BC72)/2*IF($G$1="牵丝",$AK72,$AI72)+IF($G$1="牵丝",$AL72*1.5,0))*(1+$BD72)*(1+$BE72)+(($BF72+$BG72)/2*IF($G$1="破竹",$AK72,$AI72)+IF($G$1="破竹",$AL72*1.5,0))*(1+$BH72)*(1+$BI72))*(1+$AM72)*$BL72*$Q72*(1+IF(VLOOKUP($R72,武学奇术!$A:$ZZ,30,FALSE)="回旋伞",$B$21,0))*(1+$BR72)</f>
        <v>49512.613690238</v>
      </c>
      <c r="N72" s="38">
        <f>(($AP72*$AI72+$AJ72)*(1+$AQ72)*(1+$AR72)+($AU72*IF($G$1="鸣金",$AK72,$AI72)+IF($G$1="鸣金",$AL72*1.5,0))*(1+$AV72)*(1+$AW72)+($AY72*IF($G$1="裂石",$AK72,$AI72)+IF($G$1="裂石",$AL72*1.5,0))*(1+$AZ72)*(1+$BA72)+($BC72*IF($G$1="牵丝",$AK72,$AI72)+IF($G$1="牵丝",$AL72*1.5,0))*(1+$BD72)*(1+$BE72)+($BG72*IF($G$1="破竹",$AK72,$AI72)+IF($G$1="破竹",$AL72*1.5,0))*(1+$BH72)*(1+$BI72))*(1+$AM72)*$BN72*$Q72*(1+IF(VLOOKUP($R72,武学奇术!$A:$ZZ,30,FALSE)="回旋伞",$B$21,0))*(1+$BR72)</f>
        <v>38556.5595544629</v>
      </c>
      <c r="O72" s="38">
        <f>((($AO72+$AP72)/2*$AI72+$AJ72)*(1+$AQ72)*(1+$AR72)+(($AT72+$AU72)/2*IF($G$1="鸣金",$AK72,$AI72)+IF($G$1="鸣金",$AL72*1.5,0))*(1+$AV72)*(1+$AW72)+(($AX72+$AY72)/2*IF($G$1="裂石",$AK72,$AI72)+IF($G$1="裂石",$AL72*1.5,0))*(1+$AZ72)*(1+$BA72)+(($BB72+$BC72)/2*IF($G$1="牵丝",$AK72,$AI72)+IF($G$1="牵丝",$AL72*1.5,0))*(1+$BD72)*(1+$BE72)+(($BF72+$BG72)/2*IF($G$1="破竹",$AK72,$AI72)+IF($G$1="破竹",$AL72*1.5,0))*(1+$BH72)*(1+$BI72))*(1+$AM72)*$Q72*(1+IF(VLOOKUP($R72,武学奇术!$A:$ZZ,30,FALSE)="回旋伞",$B$21,0))*(1+$BR72)</f>
        <v>25133.3064417452</v>
      </c>
      <c r="P72" s="38">
        <f>((($AO72*$AI72+$AJ72)*(1+$AQ72)*(1+$AR72)+($AT72*IF($G$1="鸣金",$AK72,$AI72)+IF($G$1="鸣金",$AL72*1.5,0))*(1+$AV72)*(1+$AW72)+($AX72*IF($G$1="裂石",$AK72,$AI72)+IF($G$1="裂石",$AL72*1.5,0))*(1+$AZ72)*(1+$BA72)+($BB72*IF($G$1="牵丝",$AK72,$AI72)+IF($G$1="牵丝",$AL72*1.5,0))*(1+$BD72)*(1+$BE72)+($BF72*IF($G$1="破竹",$AK72,$AI72)+IF($G$1="破竹",$AL72*1.5,0))*(1+$BH72)*(1+$BI72))*(1+$AM72))*$Q72*(1+IF(VLOOKUP($R72,武学奇术!$A:$ZZ,30,FALSE)="回旋伞",$B$21,0))*(1+$BR72)</f>
        <v>21706.1983987031</v>
      </c>
      <c r="Q72" s="39">
        <v>2</v>
      </c>
      <c r="R72" s="40" t="s">
        <v>112</v>
      </c>
      <c r="S72" s="40" t="s">
        <v>109</v>
      </c>
      <c r="T72" s="40" t="s">
        <v>95</v>
      </c>
      <c r="U72" s="40" t="s">
        <v>73</v>
      </c>
      <c r="V72" s="40" t="s">
        <v>81</v>
      </c>
      <c r="W72" s="40" t="s">
        <v>172</v>
      </c>
      <c r="X72" s="40" t="s">
        <v>99</v>
      </c>
      <c r="Y72" s="40" t="s">
        <v>72</v>
      </c>
      <c r="Z72" s="40" t="s">
        <v>176</v>
      </c>
      <c r="AA72" s="40" t="s">
        <v>72</v>
      </c>
      <c r="AB72" s="40" t="s">
        <v>115</v>
      </c>
      <c r="AC72" s="40" t="s">
        <v>72</v>
      </c>
      <c r="AD72" s="40" t="s">
        <v>178</v>
      </c>
      <c r="AE72" s="40" t="s">
        <v>72</v>
      </c>
      <c r="AF72" s="40" t="s">
        <v>72</v>
      </c>
      <c r="AG72" s="40" t="s">
        <v>78</v>
      </c>
      <c r="AH72" t="str">
        <f>VLOOKUP($R72,武学奇术!$A:$ZZ,25,FALSE)</f>
        <v>伞</v>
      </c>
      <c r="AI72" s="26">
        <f>VLOOKUP($R72,武学奇术!$A:$ZZ,26,FALSE)</f>
        <v>0.54</v>
      </c>
      <c r="AJ72" s="27">
        <f>VLOOKUP($R72,武学奇术!$A:$ZZ,27,FALSE)*(1+IF(OR($AH72=$F$4,$AH72=$F$5),$B$22,0))</f>
        <v>0</v>
      </c>
      <c r="AK72" s="26">
        <f>VLOOKUP($R72,武学奇术!$A:$ZZ,28,FALSE)</f>
        <v>0.81</v>
      </c>
      <c r="AL72" s="27">
        <f>VLOOKUP($R72,武学奇术!$A:$ZZ,29,FALSE)*(1+IF(OR($AH72=$F$4,$AH72=$F$5),$B$22,0))</f>
        <v>0</v>
      </c>
      <c r="AM72" s="26" cm="1">
        <f t="array" ref="AM72">$G$3+IFERROR(VLOOKUP($AH72,$F$4:$G$7,2,FALSE),0)+VLOOKUP($R72,武学奇术!$A:$ZZ,2,FALSE)+SUM(_xlfn.XLOOKUP($S72:$AG72,增益!$A:$A,增益!$B:$B,0))</f>
        <v>0.9741</v>
      </c>
      <c r="AN72" s="26" cm="1">
        <f t="array" ref="AN72">VLOOKUP($R72,武学奇术!$A:$ZZ,5,FALSE)+SUM(_xlfn.XLOOKUP($S72:$AG72,增益!$A:$A,增益!$E:$E,0))</f>
        <v>0</v>
      </c>
      <c r="AO72" cm="1">
        <f t="array" ref="AO72">$D$10*(1+$AN72)+VLOOKUP($R72,武学奇术!$A:$ZZ,3,FALSE)+SUM(_xlfn.XLOOKUP($S72:$AG72,增益!$A:$A,增益!$C:$C,0))-$I$2</f>
        <v>3562.6</v>
      </c>
      <c r="AP72" cm="1">
        <f t="array" ref="AP72">$E$10*(1+$AN72)+VLOOKUP($R72,武学奇术!$A:$ZZ,4,FALSE)+SUM(_xlfn.XLOOKUP($S72:$AG72,增益!$A:$A,增益!$D:$D,0))-$I$2</f>
        <v>3562.6</v>
      </c>
      <c r="AQ72" s="32" cm="1">
        <f t="array" ref="AQ72">IF($F$10-$I$3+VLOOKUP($R72,武学奇术!$A:$ZZ,6,FALSE)+SUM(_xlfn.XLOOKUP(S72:AG72,增益!$A:$A,增益!$F:$F,0))&gt;0,($F$10-$I$3+VLOOKUP($R72,武学奇术!$A:$ZZ,6,FALSE)+SUM(_xlfn.XLOOKUP(S72:AG72,增益!$A:$A,增益!$F:$F,0)))/200,($F$10-$I$3+VLOOKUP($R72,武学奇术!$A:$ZZ,6,FALSE)+SUM(_xlfn.XLOOKUP(S72:AG72,增益!$A:$A,增益!$F:$F,0)))/100)</f>
        <v>0.2925</v>
      </c>
      <c r="AR72" s="32" cm="1">
        <f t="array" ref="AR72">$G$10+VLOOKUP($R72,武学奇术!$A:$ZZ,7,FALSE)+SUM(_xlfn.XLOOKUP(S72:AG72,增益!$A:$A,增益!$G:$G,0))</f>
        <v>0.148</v>
      </c>
      <c r="AS72" s="26" cm="1">
        <f t="array" ref="AS72">VLOOKUP($R72,武学奇术!$A:$ZZ,8,FALSE)+SUM(_xlfn.XLOOKUP(S72:AG72,增益!$A:$A,增益!$H:$H,0))</f>
        <v>0</v>
      </c>
      <c r="AT72">
        <f t="shared" si="13"/>
        <v>0</v>
      </c>
      <c r="AU72">
        <f t="shared" si="14"/>
        <v>0</v>
      </c>
      <c r="AV72" s="32" cm="1">
        <f t="array" ref="AV72">IF($F$11-$I$4+VLOOKUP($R72,武学奇术!$A:$ZZ,9,FALSE)+SUM(_xlfn.XLOOKUP(S72:AG72,增益!$A:$A,增益!$I:$I,0))&gt;0,($F$11-$I$4+VLOOKUP($R72,武学奇术!$A:$ZZ,9,FALSE)+SUM(_xlfn.XLOOKUP(S72:AG72,增益!$A:$A,增益!$I:$I,0)))/200,($F$11-$I$4+VLOOKUP($R72,武学奇术!$A:$ZZ,9,FALSE)+SUM(_xlfn.XLOOKUP(S72:AG72,增益!$A:$A,增益!$I:$I,0)))/100)</f>
        <v>-0.3</v>
      </c>
      <c r="AW72" s="32" cm="1">
        <f t="array" ref="AW72">$G$11+VLOOKUP($R72,武学奇术!$A:$ZZ,10,FALSE)+SUM(_xlfn.XLOOKUP(S72:AG72,增益!$A:$A,增益!$J:$J,0))</f>
        <v>0</v>
      </c>
      <c r="AX72">
        <f t="shared" si="15"/>
        <v>0</v>
      </c>
      <c r="AY72">
        <f t="shared" si="16"/>
        <v>0</v>
      </c>
      <c r="AZ72" s="32" cm="1">
        <f t="array" ref="AZ72">IF($F$12-$I$4+VLOOKUP($R72,武学奇术!$A:$ZZ,11,FALSE)+SUM(_xlfn.XLOOKUP(S72:AG72,增益!$A:$A,增益!$K:$K,0))&gt;0,($F$12-$I$4+VLOOKUP($R72,武学奇术!$A:$ZZ,11,FALSE)+SUM(_xlfn.XLOOKUP(S72:AG72,增益!$A:$A,增益!$K:$K,0)))/200,($F$12-$I$4+VLOOKUP($R72,武学奇术!$A:$ZZ,11,FALSE)+SUM(_xlfn.XLOOKUP(S72:AG72,增益!$A:$A,增益!$K:$K,0)))/100)</f>
        <v>-0.3</v>
      </c>
      <c r="BA72" s="32" cm="1">
        <f t="array" ref="BA72">$G$12+VLOOKUP($R72,武学奇术!$A:$ZZ,12,FALSE)+SUM(_xlfn.XLOOKUP(S72:AG72,增益!$A:$A,增益!$L:$L,0))</f>
        <v>0</v>
      </c>
      <c r="BB72">
        <f t="shared" si="17"/>
        <v>0</v>
      </c>
      <c r="BC72">
        <f t="shared" si="18"/>
        <v>0</v>
      </c>
      <c r="BD72" s="32" cm="1">
        <f t="array" ref="BD72">IF($F$13-$I$4+VLOOKUP($R72,武学奇术!$A:$ZZ,13,FALSE)+SUM(_xlfn.XLOOKUP(S72:AG72,增益!$A:$A,增益!$M:$M,0))&gt;0,($F$13-$I$4+VLOOKUP($R72,武学奇术!$A:$ZZ,13,FALSE)+SUM(_xlfn.XLOOKUP(S72:AG72,增益!$A:$A,增益!$K:$K,0)))/200,($F$13-$I$4+VLOOKUP($R72,武学奇术!$A:$ZZ,13,FALSE)+SUM(_xlfn.XLOOKUP(S72:AG72,增益!$A:$A,增益!$M:$M,0)))/100)</f>
        <v>-0.3</v>
      </c>
      <c r="BE72" s="32" cm="1">
        <f t="array" ref="BE72">$G$13+VLOOKUP($R72,武学奇术!$A:$ZZ,14,FALSE)+SUM(_xlfn.XLOOKUP(S72:AG72,增益!$A:$A,增益!$N:$N,0))</f>
        <v>0</v>
      </c>
      <c r="BF72">
        <f t="shared" si="19"/>
        <v>571.2</v>
      </c>
      <c r="BG72">
        <f t="shared" si="20"/>
        <v>1627.8</v>
      </c>
      <c r="BH72" s="32" cm="1">
        <f t="array" ref="BH72">IF($F$14-$I$4+VLOOKUP($R72,武学奇术!$A:$ZZ,15,FALSE)+SUM(_xlfn.XLOOKUP(S72:AG72,增益!$A:$A,增益!$O:$O,0))&gt;0,($F$14-$I$4+VLOOKUP($R72,武学奇术!$A:$ZZ,15,FALSE)+SUM(_xlfn.XLOOKUP(S72:AG72,增益!$A:$A,增益!$O:$O,0)))/200,($F$14-$I$4+VLOOKUP($R72,武学奇术!$A:$ZZ,15,FALSE)+SUM(_xlfn.XLOOKUP(S72:AG72,增益!$A:$A,增益!$O:$O,0)))/100)</f>
        <v>0</v>
      </c>
      <c r="BI72" s="32" cm="1">
        <f t="array" ref="BI72">$G$14+VLOOKUP($R72,武学奇术!$A:$ZZ,16,FALSE)+SUM(_xlfn.XLOOKUP(S72:AG72,增益!$A:$A,增益!$P:$P,0))</f>
        <v>0.27</v>
      </c>
      <c r="BJ72" s="26">
        <f>MIN(IF(VLOOKUP($R72,武学奇术!$A:$ZZ,23,FALSE)=1,100%,$B$8),100%)</f>
        <v>0.981</v>
      </c>
      <c r="BK72" s="26" cm="1">
        <f t="array" ref="BK72">IF(VLOOKUP($R72,武学奇术!$A:$ZZ,23,FALSE)=1,100%,MIN(80%,$B$9+VLOOKUP($R72,武学奇术!$A:$ZZ,17,FALSE)+SUM(_xlfn.XLOOKUP(S72:AG72,增益!$A:$A,增益!$Q:$Q,0)))+$B$11+SUM(_xlfn.XLOOKUP(S72:AG72,增益!$A:$A,增益!$U:$U,0)))*IF(VLOOKUP($R72,武学奇术!$A:$ZZ,24,FALSE)=1,0,1)</f>
        <v>0.846</v>
      </c>
      <c r="BL72" s="26" cm="1">
        <f t="array" ref="BL72">1+$B$13+VLOOKUP($R72,武学奇术!$A:$ZZ,18,FALSE)+SUM(_xlfn.XLOOKUP(S72:AG72,增益!$A:$A,增益!$R:$R,0))</f>
        <v>1.97</v>
      </c>
      <c r="BM72" s="26" cm="1">
        <f t="array" ref="BM72">IF(VLOOKUP($R72,武学奇术!$A:$ZZ,24,FALSE)=1,100%,MIN(40%,$B$10+VLOOKUP($R72,武学奇术!$A:$ZZ,19,FALSE)+SUM(_xlfn.XLOOKUP(S72:AG72,增益!$A:$A,增益!$S:$S,0)))+$B$12+SUM(_xlfn.XLOOKUP(S72:AG72,增益!$A:$A,增益!$V:$V,0)))*IF(VLOOKUP($R72,武学奇术!$A:$ZZ,23,FALSE)=1,0,1)</f>
        <v>0.0929</v>
      </c>
      <c r="BN72" s="26" cm="1">
        <f t="array" ref="BN72">1+$B$14+VLOOKUP($R72,武学奇术!$A:$ZZ,20,FALSE)+SUM(_xlfn.XLOOKUP(S72:AG72,增益!$A:$A,增益!$T:$T,0))</f>
        <v>1.35</v>
      </c>
      <c r="BO72" s="26">
        <f t="shared" si="21"/>
        <v>0.829926</v>
      </c>
      <c r="BP72" s="26">
        <f t="shared" si="22"/>
        <v>0.0599391</v>
      </c>
      <c r="BQ72" s="26">
        <f>IF(VLOOKUP($R72,武学奇术!$A:$ZZ,22,FALSE)=1,0,(1-$BJ72))*(1-$BM72)</f>
        <v>0.0172349</v>
      </c>
      <c r="BR72" s="26" cm="1">
        <f t="array" ref="BR72">SUM(_xlfn.XLOOKUP(S72:AG72,增益!$A:$A,增益!$W:$W,0))+$I$5</f>
        <v>0.21</v>
      </c>
    </row>
    <row r="73" spans="1:70">
      <c r="K73">
        <f>$L73*VLOOKUP($R73,武学奇术!$A:$ZZ,31,FALSE)</f>
        <v>86148.7161796249</v>
      </c>
      <c r="L73" s="38">
        <f t="shared" si="12"/>
        <v>82046.3963615476</v>
      </c>
      <c r="M73" s="38">
        <f>((($AO73+$AP73)/2*$AI73+$AJ73)*(1+$AQ73)*(1+$AR73)+(($AT73+$AU73)/2*IF($G$1="鸣金",$AK73,$AI73)+IF($G$1="鸣金",$AL73*1.5,0))*(1+$AV73)*(1+$AW73)+(($AX73+$AY73)/2*IF($G$1="裂石",$AK73,$AI73)+IF($G$1="裂石",$AL73*1.5,0))*(1+$AZ73)*(1+$BA73)+(($BB73+$BC73)/2*IF($G$1="牵丝",$AK73,$AI73)+IF($G$1="牵丝",$AL73*1.5,0))*(1+$BD73)*(1+$BE73)+(($BF73+$BG73)/2*IF($G$1="破竹",$AK73,$AI73)+IF($G$1="破竹",$AL73*1.5,0))*(1+$BH73)*(1+$BI73))*(1+$AM73)*$BL73*$Q73*(1+IF(VLOOKUP($R73,武学奇术!$A:$ZZ,30,FALSE)="回旋伞",$B$21,0))*(1+$BR73)</f>
        <v>87648.0964991995</v>
      </c>
      <c r="N73" s="38">
        <f>(($AP73*$AI73+$AJ73)*(1+$AQ73)*(1+$AR73)+($AU73*IF($G$1="鸣金",$AK73,$AI73)+IF($G$1="鸣金",$AL73*1.5,0))*(1+$AV73)*(1+$AW73)+($AY73*IF($G$1="裂石",$AK73,$AI73)+IF($G$1="裂石",$AL73*1.5,0))*(1+$AZ73)*(1+$BA73)+($BC73*IF($G$1="牵丝",$AK73,$AI73)+IF($G$1="牵丝",$AL73*1.5,0))*(1+$BD73)*(1+$BE73)+($BG73*IF($G$1="破竹",$AK73,$AI73)+IF($G$1="破竹",$AL73*1.5,0))*(1+$BH73)*(1+$BI73))*(1+$AM73)*$BN73*$Q73*(1+IF(VLOOKUP($R73,武学奇术!$A:$ZZ,30,FALSE)="回旋伞",$B$21,0))*(1+$BR73)</f>
        <v>65250.2589908088</v>
      </c>
      <c r="O73" s="38">
        <f>((($AO73+$AP73)/2*$AI73+$AJ73)*(1+$AQ73)*(1+$AR73)+(($AT73+$AU73)/2*IF($G$1="鸣金",$AK73,$AI73)+IF($G$1="鸣金",$AL73*1.5,0))*(1+$AV73)*(1+$AW73)+(($AX73+$AY73)/2*IF($G$1="裂石",$AK73,$AI73)+IF($G$1="裂石",$AL73*1.5,0))*(1+$AZ73)*(1+$BA73)+(($BB73+$BC73)/2*IF($G$1="牵丝",$AK73,$AI73)+IF($G$1="牵丝",$AL73*1.5,0))*(1+$BD73)*(1+$BE73)+(($BF73+$BG73)/2*IF($G$1="破竹",$AK73,$AI73)+IF($G$1="破竹",$AL73*1.5,0))*(1+$BH73)*(1+$BI73))*(1+$AM73)*$Q73*(1+IF(VLOOKUP($R73,武学奇术!$A:$ZZ,30,FALSE)="回旋伞",$B$21,0))*(1+$BR73)</f>
        <v>43176.4022163544</v>
      </c>
      <c r="P73" s="38">
        <f>((($AO73*$AI73+$AJ73)*(1+$AQ73)*(1+$AR73)+($AT73*IF($G$1="鸣金",$AK73,$AI73)+IF($G$1="鸣金",$AL73*1.5,0))*(1+$AV73)*(1+$AW73)+($AX73*IF($G$1="裂石",$AK73,$AI73)+IF($G$1="裂石",$AL73*1.5,0))*(1+$AZ73)*(1+$BA73)+($BB73*IF($G$1="牵丝",$AK73,$AI73)+IF($G$1="牵丝",$AL73*1.5,0))*(1+$BD73)*(1+$BE73)+($BF73*IF($G$1="破竹",$AK73,$AI73)+IF($G$1="破竹",$AL73*1.5,0))*(1+$BH73)*(1+$BI73))*(1+$AM73))*$Q73*(1+IF(VLOOKUP($R73,武学奇术!$A:$ZZ,30,FALSE)="回旋伞",$B$21,0))*(1+$BR73)</f>
        <v>38019.279254332</v>
      </c>
      <c r="Q73" s="39">
        <v>1</v>
      </c>
      <c r="R73" s="40" t="s">
        <v>108</v>
      </c>
      <c r="S73" s="40" t="s">
        <v>109</v>
      </c>
      <c r="T73" s="40" t="s">
        <v>95</v>
      </c>
      <c r="U73" s="40" t="s">
        <v>73</v>
      </c>
      <c r="V73" s="40" t="s">
        <v>81</v>
      </c>
      <c r="W73" s="40" t="s">
        <v>172</v>
      </c>
      <c r="X73" s="40" t="s">
        <v>99</v>
      </c>
      <c r="Y73" s="40" t="s">
        <v>72</v>
      </c>
      <c r="Z73" s="40" t="s">
        <v>176</v>
      </c>
      <c r="AA73" s="40" t="s">
        <v>72</v>
      </c>
      <c r="AB73" s="40" t="s">
        <v>120</v>
      </c>
      <c r="AC73" s="40" t="s">
        <v>72</v>
      </c>
      <c r="AD73" s="40" t="s">
        <v>178</v>
      </c>
      <c r="AE73" s="40" t="s">
        <v>72</v>
      </c>
      <c r="AF73" s="40" t="s">
        <v>72</v>
      </c>
      <c r="AG73" s="40" t="s">
        <v>78</v>
      </c>
      <c r="AH73" t="str">
        <f>VLOOKUP($R73,武学奇术!$A:$ZZ,25,FALSE)</f>
        <v>伞</v>
      </c>
      <c r="AI73" s="26">
        <f>VLOOKUP($R73,武学奇术!$A:$ZZ,26,FALSE)</f>
        <v>1.8084</v>
      </c>
      <c r="AJ73" s="27">
        <f>VLOOKUP($R73,武学奇术!$A:$ZZ,27,FALSE)*(1+IF(OR($AH73=$F$4,$AH73=$F$5),$B$22,0))</f>
        <v>750</v>
      </c>
      <c r="AK73" s="26">
        <f>VLOOKUP($R73,武学奇术!$A:$ZZ,28,FALSE)</f>
        <v>2.7126</v>
      </c>
      <c r="AL73" s="27">
        <f>VLOOKUP($R73,武学奇术!$A:$ZZ,29,FALSE)*(1+IF(OR($AH73=$F$4,$AH73=$F$5),$B$22,0))</f>
        <v>408</v>
      </c>
      <c r="AM73" s="26" cm="1">
        <f t="array" ref="AM73">$G$3+IFERROR(VLOOKUP($AH73,$F$4:$G$7,2,FALSE),0)+VLOOKUP($R73,武学奇术!$A:$ZZ,2,FALSE)+SUM(_xlfn.XLOOKUP($S73:$AG73,增益!$A:$A,增益!$B:$B,0))</f>
        <v>0.7741</v>
      </c>
      <c r="AN73" s="26" cm="1">
        <f t="array" ref="AN73">VLOOKUP($R73,武学奇术!$A:$ZZ,5,FALSE)+SUM(_xlfn.XLOOKUP($S73:$AG73,增益!$A:$A,增益!$E:$E,0))</f>
        <v>0</v>
      </c>
      <c r="AO73" cm="1">
        <f t="array" ref="AO73">$D$10*(1+$AN73)+VLOOKUP($R73,武学奇术!$A:$ZZ,3,FALSE)+SUM(_xlfn.XLOOKUP($S73:$AG73,增益!$A:$A,增益!$C:$C,0))-$I$2</f>
        <v>3562.6</v>
      </c>
      <c r="AP73" cm="1">
        <f t="array" ref="AP73">$E$10*(1+$AN73)+VLOOKUP($R73,武学奇术!$A:$ZZ,4,FALSE)+SUM(_xlfn.XLOOKUP($S73:$AG73,增益!$A:$A,增益!$D:$D,0))-$I$2</f>
        <v>3562.6</v>
      </c>
      <c r="AQ73" s="32" cm="1">
        <f t="array" ref="AQ73">IF($F$10-$I$3+VLOOKUP($R73,武学奇术!$A:$ZZ,6,FALSE)+SUM(_xlfn.XLOOKUP(S73:AG73,增益!$A:$A,增益!$F:$F,0))&gt;0,($F$10-$I$3+VLOOKUP($R73,武学奇术!$A:$ZZ,6,FALSE)+SUM(_xlfn.XLOOKUP(S73:AG73,增益!$A:$A,增益!$F:$F,0)))/200,($F$10-$I$3+VLOOKUP($R73,武学奇术!$A:$ZZ,6,FALSE)+SUM(_xlfn.XLOOKUP(S73:AG73,增益!$A:$A,增益!$F:$F,0)))/100)</f>
        <v>0.2925</v>
      </c>
      <c r="AR73" s="32" cm="1">
        <f t="array" ref="AR73">$G$10+VLOOKUP($R73,武学奇术!$A:$ZZ,7,FALSE)+SUM(_xlfn.XLOOKUP(S73:AG73,增益!$A:$A,增益!$G:$G,0))</f>
        <v>0.148</v>
      </c>
      <c r="AS73" s="26" cm="1">
        <f t="array" ref="AS73">VLOOKUP($R73,武学奇术!$A:$ZZ,8,FALSE)+SUM(_xlfn.XLOOKUP(S73:AG73,增益!$A:$A,增益!$H:$H,0))</f>
        <v>0</v>
      </c>
      <c r="AT73">
        <f t="shared" si="13"/>
        <v>0</v>
      </c>
      <c r="AU73">
        <f t="shared" si="14"/>
        <v>0</v>
      </c>
      <c r="AV73" s="32" cm="1">
        <f t="array" ref="AV73">IF($F$11-$I$4+VLOOKUP($R73,武学奇术!$A:$ZZ,9,FALSE)+SUM(_xlfn.XLOOKUP(S73:AG73,增益!$A:$A,增益!$I:$I,0))&gt;0,($F$11-$I$4+VLOOKUP($R73,武学奇术!$A:$ZZ,9,FALSE)+SUM(_xlfn.XLOOKUP(S73:AG73,增益!$A:$A,增益!$I:$I,0)))/200,($F$11-$I$4+VLOOKUP($R73,武学奇术!$A:$ZZ,9,FALSE)+SUM(_xlfn.XLOOKUP(S73:AG73,增益!$A:$A,增益!$I:$I,0)))/100)</f>
        <v>-0.3</v>
      </c>
      <c r="AW73" s="32" cm="1">
        <f t="array" ref="AW73">$G$11+VLOOKUP($R73,武学奇术!$A:$ZZ,10,FALSE)+SUM(_xlfn.XLOOKUP(S73:AG73,增益!$A:$A,增益!$J:$J,0))</f>
        <v>0</v>
      </c>
      <c r="AX73">
        <f t="shared" si="15"/>
        <v>0</v>
      </c>
      <c r="AY73">
        <f t="shared" si="16"/>
        <v>0</v>
      </c>
      <c r="AZ73" s="32" cm="1">
        <f t="array" ref="AZ73">IF($F$12-$I$4+VLOOKUP($R73,武学奇术!$A:$ZZ,11,FALSE)+SUM(_xlfn.XLOOKUP(S73:AG73,增益!$A:$A,增益!$K:$K,0))&gt;0,($F$12-$I$4+VLOOKUP($R73,武学奇术!$A:$ZZ,11,FALSE)+SUM(_xlfn.XLOOKUP(S73:AG73,增益!$A:$A,增益!$K:$K,0)))/200,($F$12-$I$4+VLOOKUP($R73,武学奇术!$A:$ZZ,11,FALSE)+SUM(_xlfn.XLOOKUP(S73:AG73,增益!$A:$A,增益!$K:$K,0)))/100)</f>
        <v>-0.3</v>
      </c>
      <c r="BA73" s="32" cm="1">
        <f t="array" ref="BA73">$G$12+VLOOKUP($R73,武学奇术!$A:$ZZ,12,FALSE)+SUM(_xlfn.XLOOKUP(S73:AG73,增益!$A:$A,增益!$L:$L,0))</f>
        <v>0</v>
      </c>
      <c r="BB73">
        <f t="shared" si="17"/>
        <v>0</v>
      </c>
      <c r="BC73">
        <f t="shared" si="18"/>
        <v>0</v>
      </c>
      <c r="BD73" s="32" cm="1">
        <f t="array" ref="BD73">IF($F$13-$I$4+VLOOKUP($R73,武学奇术!$A:$ZZ,13,FALSE)+SUM(_xlfn.XLOOKUP(S73:AG73,增益!$A:$A,增益!$M:$M,0))&gt;0,($F$13-$I$4+VLOOKUP($R73,武学奇术!$A:$ZZ,13,FALSE)+SUM(_xlfn.XLOOKUP(S73:AG73,增益!$A:$A,增益!$K:$K,0)))/200,($F$13-$I$4+VLOOKUP($R73,武学奇术!$A:$ZZ,13,FALSE)+SUM(_xlfn.XLOOKUP(S73:AG73,增益!$A:$A,增益!$M:$M,0)))/100)</f>
        <v>-0.3</v>
      </c>
      <c r="BE73" s="32" cm="1">
        <f t="array" ref="BE73">$G$13+VLOOKUP($R73,武学奇术!$A:$ZZ,14,FALSE)+SUM(_xlfn.XLOOKUP(S73:AG73,增益!$A:$A,增益!$N:$N,0))</f>
        <v>0</v>
      </c>
      <c r="BF73">
        <f t="shared" si="19"/>
        <v>571.2</v>
      </c>
      <c r="BG73">
        <f t="shared" si="20"/>
        <v>1627.8</v>
      </c>
      <c r="BH73" s="32" cm="1">
        <f t="array" ref="BH73">IF($F$14-$I$4+VLOOKUP($R73,武学奇术!$A:$ZZ,15,FALSE)+SUM(_xlfn.XLOOKUP(S73:AG73,增益!$A:$A,增益!$O:$O,0))&gt;0,($F$14-$I$4+VLOOKUP($R73,武学奇术!$A:$ZZ,15,FALSE)+SUM(_xlfn.XLOOKUP(S73:AG73,增益!$A:$A,增益!$O:$O,0)))/200,($F$14-$I$4+VLOOKUP($R73,武学奇术!$A:$ZZ,15,FALSE)+SUM(_xlfn.XLOOKUP(S73:AG73,增益!$A:$A,增益!$O:$O,0)))/100)</f>
        <v>0</v>
      </c>
      <c r="BI73" s="32" cm="1">
        <f t="array" ref="BI73">$G$14+VLOOKUP($R73,武学奇术!$A:$ZZ,16,FALSE)+SUM(_xlfn.XLOOKUP(S73:AG73,增益!$A:$A,增益!$P:$P,0))</f>
        <v>0.27</v>
      </c>
      <c r="BJ73" s="26">
        <f>MIN(IF(VLOOKUP($R73,武学奇术!$A:$ZZ,23,FALSE)=1,100%,$B$8),100%)</f>
        <v>0.981</v>
      </c>
      <c r="BK73" s="26" cm="1">
        <f t="array" ref="BK73">IF(VLOOKUP($R73,武学奇术!$A:$ZZ,23,FALSE)=1,100%,MIN(80%,$B$9+VLOOKUP($R73,武学奇术!$A:$ZZ,17,FALSE)+SUM(_xlfn.XLOOKUP(S73:AG73,增益!$A:$A,增益!$Q:$Q,0)))+$B$11+SUM(_xlfn.XLOOKUP(S73:AG73,增益!$A:$A,增益!$U:$U,0)))*IF(VLOOKUP($R73,武学奇术!$A:$ZZ,24,FALSE)=1,0,1)</f>
        <v>0.846</v>
      </c>
      <c r="BL73" s="26" cm="1">
        <f t="array" ref="BL73">1+$B$13+VLOOKUP($R73,武学奇术!$A:$ZZ,18,FALSE)+SUM(_xlfn.XLOOKUP(S73:AG73,增益!$A:$A,增益!$R:$R,0))</f>
        <v>2.03</v>
      </c>
      <c r="BM73" s="26" cm="1">
        <f t="array" ref="BM73">IF(VLOOKUP($R73,武学奇术!$A:$ZZ,24,FALSE)=1,100%,MIN(40%,$B$10+VLOOKUP($R73,武学奇术!$A:$ZZ,19,FALSE)+SUM(_xlfn.XLOOKUP(S73:AG73,增益!$A:$A,增益!$S:$S,0)))+$B$12+SUM(_xlfn.XLOOKUP(S73:AG73,增益!$A:$A,增益!$V:$V,0)))*IF(VLOOKUP($R73,武学奇术!$A:$ZZ,23,FALSE)=1,0,1)</f>
        <v>0.0929</v>
      </c>
      <c r="BN73" s="26" cm="1">
        <f t="array" ref="BN73">1+$B$14+VLOOKUP($R73,武学奇术!$A:$ZZ,20,FALSE)+SUM(_xlfn.XLOOKUP(S73:AG73,增益!$A:$A,增益!$T:$T,0))</f>
        <v>1.35</v>
      </c>
      <c r="BO73" s="26">
        <f t="shared" si="21"/>
        <v>0.829926</v>
      </c>
      <c r="BP73" s="26">
        <f t="shared" si="22"/>
        <v>0.0599391</v>
      </c>
      <c r="BQ73" s="26">
        <f>IF(VLOOKUP($R73,武学奇术!$A:$ZZ,22,FALSE)=1,0,(1-$BJ73))*(1-$BM73)</f>
        <v>0.0172349</v>
      </c>
      <c r="BR73" s="26" cm="1">
        <f t="array" ref="BR73">SUM(_xlfn.XLOOKUP(S73:AG73,增益!$A:$A,增益!$W:$W,0))+$I$5</f>
        <v>0.21</v>
      </c>
    </row>
    <row r="74" spans="1:70">
      <c r="K74">
        <f>$L74*VLOOKUP($R74,武学奇术!$A:$ZZ,31,FALSE)</f>
        <v>50196.0992483335</v>
      </c>
      <c r="L74" s="38">
        <f t="shared" si="12"/>
        <v>47805.8088079366</v>
      </c>
      <c r="M74" s="38">
        <f>((($AO74+$AP74)/2*$AI74+$AJ74)*(1+$AQ74)*(1+$AR74)+(($AT74+$AU74)/2*IF($G$1="鸣金",$AK74,$AI74)+IF($G$1="鸣金",$AL74*1.5,0))*(1+$AV74)*(1+$AW74)+(($AX74+$AY74)/2*IF($G$1="裂石",$AK74,$AI74)+IF($G$1="裂石",$AL74*1.5,0))*(1+$AZ74)*(1+$BA74)+(($BB74+$BC74)/2*IF($G$1="牵丝",$AK74,$AI74)+IF($G$1="牵丝",$AL74*1.5,0))*(1+$BD74)*(1+$BE74)+(($BF74+$BG74)/2*IF($G$1="破竹",$AK74,$AI74)+IF($G$1="破竹",$AL74*1.5,0))*(1+$BH74)*(1+$BI74))*(1+$AM74)*$BL74*$Q74*(1+IF(VLOOKUP($R74,武学奇术!$A:$ZZ,30,FALSE)="回旋伞",$B$21,0))*(1+$BR74)</f>
        <v>51020.6120767428</v>
      </c>
      <c r="N74" s="38">
        <f>(($AP74*$AI74+$AJ74)*(1+$AQ74)*(1+$AR74)+($AU74*IF($G$1="鸣金",$AK74,$AI74)+IF($G$1="鸣金",$AL74*1.5,0))*(1+$AV74)*(1+$AW74)+($AY74*IF($G$1="裂石",$AK74,$AI74)+IF($G$1="裂石",$AL74*1.5,0))*(1+$AZ74)*(1+$BA74)+($BC74*IF($G$1="牵丝",$AK74,$AI74)+IF($G$1="牵丝",$AL74*1.5,0))*(1+$BD74)*(1+$BE74)+($BG74*IF($G$1="破竹",$AK74,$AI74)+IF($G$1="破竹",$AL74*1.5,0))*(1+$BH74)*(1+$BI74))*(1+$AM74)*$BN74*$Q74*(1+IF(VLOOKUP($R74,武学奇术!$A:$ZZ,30,FALSE)="回旋伞",$B$21,0))*(1+$BR74)</f>
        <v>38556.5595544629</v>
      </c>
      <c r="O74" s="38">
        <f>((($AO74+$AP74)/2*$AI74+$AJ74)*(1+$AQ74)*(1+$AR74)+(($AT74+$AU74)/2*IF($G$1="鸣金",$AK74,$AI74)+IF($G$1="鸣金",$AL74*1.5,0))*(1+$AV74)*(1+$AW74)+(($AX74+$AY74)/2*IF($G$1="裂石",$AK74,$AI74)+IF($G$1="裂石",$AL74*1.5,0))*(1+$AZ74)*(1+$BA74)+(($BB74+$BC74)/2*IF($G$1="牵丝",$AK74,$AI74)+IF($G$1="牵丝",$AL74*1.5,0))*(1+$BD74)*(1+$BE74)+(($BF74+$BG74)/2*IF($G$1="破竹",$AK74,$AI74)+IF($G$1="破竹",$AL74*1.5,0))*(1+$BH74)*(1+$BI74))*(1+$AM74)*$Q74*(1+IF(VLOOKUP($R74,武学奇术!$A:$ZZ,30,FALSE)="回旋伞",$B$21,0))*(1+$BR74)</f>
        <v>25133.3064417452</v>
      </c>
      <c r="P74" s="38">
        <f>((($AO74*$AI74+$AJ74)*(1+$AQ74)*(1+$AR74)+($AT74*IF($G$1="鸣金",$AK74,$AI74)+IF($G$1="鸣金",$AL74*1.5,0))*(1+$AV74)*(1+$AW74)+($AX74*IF($G$1="裂石",$AK74,$AI74)+IF($G$1="裂石",$AL74*1.5,0))*(1+$AZ74)*(1+$BA74)+($BB74*IF($G$1="牵丝",$AK74,$AI74)+IF($G$1="牵丝",$AL74*1.5,0))*(1+$BD74)*(1+$BE74)+($BF74*IF($G$1="破竹",$AK74,$AI74)+IF($G$1="破竹",$AL74*1.5,0))*(1+$BH74)*(1+$BI74))*(1+$AM74))*$Q74*(1+IF(VLOOKUP($R74,武学奇术!$A:$ZZ,30,FALSE)="回旋伞",$B$21,0))*(1+$BR74)</f>
        <v>21706.1983987031</v>
      </c>
      <c r="Q74" s="39">
        <v>2</v>
      </c>
      <c r="R74" s="40" t="s">
        <v>112</v>
      </c>
      <c r="S74" s="40" t="s">
        <v>109</v>
      </c>
      <c r="T74" s="40" t="s">
        <v>95</v>
      </c>
      <c r="U74" s="40" t="s">
        <v>73</v>
      </c>
      <c r="V74" s="40" t="s">
        <v>81</v>
      </c>
      <c r="W74" s="40" t="s">
        <v>172</v>
      </c>
      <c r="X74" s="40" t="s">
        <v>99</v>
      </c>
      <c r="Y74" s="40" t="s">
        <v>72</v>
      </c>
      <c r="Z74" s="40" t="s">
        <v>176</v>
      </c>
      <c r="AA74" s="40" t="s">
        <v>72</v>
      </c>
      <c r="AB74" s="40" t="s">
        <v>120</v>
      </c>
      <c r="AC74" s="40" t="s">
        <v>72</v>
      </c>
      <c r="AD74" s="40" t="s">
        <v>178</v>
      </c>
      <c r="AE74" s="40" t="s">
        <v>72</v>
      </c>
      <c r="AF74" s="40" t="s">
        <v>72</v>
      </c>
      <c r="AG74" s="40" t="s">
        <v>78</v>
      </c>
      <c r="AH74" t="str">
        <f>VLOOKUP($R74,武学奇术!$A:$ZZ,25,FALSE)</f>
        <v>伞</v>
      </c>
      <c r="AI74" s="26">
        <f>VLOOKUP($R74,武学奇术!$A:$ZZ,26,FALSE)</f>
        <v>0.54</v>
      </c>
      <c r="AJ74" s="27">
        <f>VLOOKUP($R74,武学奇术!$A:$ZZ,27,FALSE)*(1+IF(OR($AH74=$F$4,$AH74=$F$5),$B$22,0))</f>
        <v>0</v>
      </c>
      <c r="AK74" s="26">
        <f>VLOOKUP($R74,武学奇术!$A:$ZZ,28,FALSE)</f>
        <v>0.81</v>
      </c>
      <c r="AL74" s="27">
        <f>VLOOKUP($R74,武学奇术!$A:$ZZ,29,FALSE)*(1+IF(OR($AH74=$F$4,$AH74=$F$5),$B$22,0))</f>
        <v>0</v>
      </c>
      <c r="AM74" s="26" cm="1">
        <f t="array" ref="AM74">$G$3+IFERROR(VLOOKUP($AH74,$F$4:$G$7,2,FALSE),0)+VLOOKUP($R74,武学奇术!$A:$ZZ,2,FALSE)+SUM(_xlfn.XLOOKUP($S74:$AG74,增益!$A:$A,增益!$B:$B,0))</f>
        <v>0.9741</v>
      </c>
      <c r="AN74" s="26" cm="1">
        <f t="array" ref="AN74">VLOOKUP($R74,武学奇术!$A:$ZZ,5,FALSE)+SUM(_xlfn.XLOOKUP($S74:$AG74,增益!$A:$A,增益!$E:$E,0))</f>
        <v>0</v>
      </c>
      <c r="AO74" cm="1">
        <f t="array" ref="AO74">$D$10*(1+$AN74)+VLOOKUP($R74,武学奇术!$A:$ZZ,3,FALSE)+SUM(_xlfn.XLOOKUP($S74:$AG74,增益!$A:$A,增益!$C:$C,0))-$I$2</f>
        <v>3562.6</v>
      </c>
      <c r="AP74" cm="1">
        <f t="array" ref="AP74">$E$10*(1+$AN74)+VLOOKUP($R74,武学奇术!$A:$ZZ,4,FALSE)+SUM(_xlfn.XLOOKUP($S74:$AG74,增益!$A:$A,增益!$D:$D,0))-$I$2</f>
        <v>3562.6</v>
      </c>
      <c r="AQ74" s="32" cm="1">
        <f t="array" ref="AQ74">IF($F$10-$I$3+VLOOKUP($R74,武学奇术!$A:$ZZ,6,FALSE)+SUM(_xlfn.XLOOKUP(S74:AG74,增益!$A:$A,增益!$F:$F,0))&gt;0,($F$10-$I$3+VLOOKUP($R74,武学奇术!$A:$ZZ,6,FALSE)+SUM(_xlfn.XLOOKUP(S74:AG74,增益!$A:$A,增益!$F:$F,0)))/200,($F$10-$I$3+VLOOKUP($R74,武学奇术!$A:$ZZ,6,FALSE)+SUM(_xlfn.XLOOKUP(S74:AG74,增益!$A:$A,增益!$F:$F,0)))/100)</f>
        <v>0.2925</v>
      </c>
      <c r="AR74" s="32" cm="1">
        <f t="array" ref="AR74">$G$10+VLOOKUP($R74,武学奇术!$A:$ZZ,7,FALSE)+SUM(_xlfn.XLOOKUP(S74:AG74,增益!$A:$A,增益!$G:$G,0))</f>
        <v>0.148</v>
      </c>
      <c r="AS74" s="26" cm="1">
        <f t="array" ref="AS74">VLOOKUP($R74,武学奇术!$A:$ZZ,8,FALSE)+SUM(_xlfn.XLOOKUP(S74:AG74,增益!$A:$A,增益!$H:$H,0))</f>
        <v>0</v>
      </c>
      <c r="AT74">
        <f t="shared" si="13"/>
        <v>0</v>
      </c>
      <c r="AU74">
        <f t="shared" si="14"/>
        <v>0</v>
      </c>
      <c r="AV74" s="32" cm="1">
        <f t="array" ref="AV74">IF($F$11-$I$4+VLOOKUP($R74,武学奇术!$A:$ZZ,9,FALSE)+SUM(_xlfn.XLOOKUP(S74:AG74,增益!$A:$A,增益!$I:$I,0))&gt;0,($F$11-$I$4+VLOOKUP($R74,武学奇术!$A:$ZZ,9,FALSE)+SUM(_xlfn.XLOOKUP(S74:AG74,增益!$A:$A,增益!$I:$I,0)))/200,($F$11-$I$4+VLOOKUP($R74,武学奇术!$A:$ZZ,9,FALSE)+SUM(_xlfn.XLOOKUP(S74:AG74,增益!$A:$A,增益!$I:$I,0)))/100)</f>
        <v>-0.3</v>
      </c>
      <c r="AW74" s="32" cm="1">
        <f t="array" ref="AW74">$G$11+VLOOKUP($R74,武学奇术!$A:$ZZ,10,FALSE)+SUM(_xlfn.XLOOKUP(S74:AG74,增益!$A:$A,增益!$J:$J,0))</f>
        <v>0</v>
      </c>
      <c r="AX74">
        <f t="shared" si="15"/>
        <v>0</v>
      </c>
      <c r="AY74">
        <f t="shared" si="16"/>
        <v>0</v>
      </c>
      <c r="AZ74" s="32" cm="1">
        <f t="array" ref="AZ74">IF($F$12-$I$4+VLOOKUP($R74,武学奇术!$A:$ZZ,11,FALSE)+SUM(_xlfn.XLOOKUP(S74:AG74,增益!$A:$A,增益!$K:$K,0))&gt;0,($F$12-$I$4+VLOOKUP($R74,武学奇术!$A:$ZZ,11,FALSE)+SUM(_xlfn.XLOOKUP(S74:AG74,增益!$A:$A,增益!$K:$K,0)))/200,($F$12-$I$4+VLOOKUP($R74,武学奇术!$A:$ZZ,11,FALSE)+SUM(_xlfn.XLOOKUP(S74:AG74,增益!$A:$A,增益!$K:$K,0)))/100)</f>
        <v>-0.3</v>
      </c>
      <c r="BA74" s="32" cm="1">
        <f t="array" ref="BA74">$G$12+VLOOKUP($R74,武学奇术!$A:$ZZ,12,FALSE)+SUM(_xlfn.XLOOKUP(S74:AG74,增益!$A:$A,增益!$L:$L,0))</f>
        <v>0</v>
      </c>
      <c r="BB74">
        <f t="shared" si="17"/>
        <v>0</v>
      </c>
      <c r="BC74">
        <f t="shared" si="18"/>
        <v>0</v>
      </c>
      <c r="BD74" s="32" cm="1">
        <f t="array" ref="BD74">IF($F$13-$I$4+VLOOKUP($R74,武学奇术!$A:$ZZ,13,FALSE)+SUM(_xlfn.XLOOKUP(S74:AG74,增益!$A:$A,增益!$M:$M,0))&gt;0,($F$13-$I$4+VLOOKUP($R74,武学奇术!$A:$ZZ,13,FALSE)+SUM(_xlfn.XLOOKUP(S74:AG74,增益!$A:$A,增益!$K:$K,0)))/200,($F$13-$I$4+VLOOKUP($R74,武学奇术!$A:$ZZ,13,FALSE)+SUM(_xlfn.XLOOKUP(S74:AG74,增益!$A:$A,增益!$M:$M,0)))/100)</f>
        <v>-0.3</v>
      </c>
      <c r="BE74" s="32" cm="1">
        <f t="array" ref="BE74">$G$13+VLOOKUP($R74,武学奇术!$A:$ZZ,14,FALSE)+SUM(_xlfn.XLOOKUP(S74:AG74,增益!$A:$A,增益!$N:$N,0))</f>
        <v>0</v>
      </c>
      <c r="BF74">
        <f t="shared" si="19"/>
        <v>571.2</v>
      </c>
      <c r="BG74">
        <f t="shared" si="20"/>
        <v>1627.8</v>
      </c>
      <c r="BH74" s="32" cm="1">
        <f t="array" ref="BH74">IF($F$14-$I$4+VLOOKUP($R74,武学奇术!$A:$ZZ,15,FALSE)+SUM(_xlfn.XLOOKUP(S74:AG74,增益!$A:$A,增益!$O:$O,0))&gt;0,($F$14-$I$4+VLOOKUP($R74,武学奇术!$A:$ZZ,15,FALSE)+SUM(_xlfn.XLOOKUP(S74:AG74,增益!$A:$A,增益!$O:$O,0)))/200,($F$14-$I$4+VLOOKUP($R74,武学奇术!$A:$ZZ,15,FALSE)+SUM(_xlfn.XLOOKUP(S74:AG74,增益!$A:$A,增益!$O:$O,0)))/100)</f>
        <v>0</v>
      </c>
      <c r="BI74" s="32" cm="1">
        <f t="array" ref="BI74">$G$14+VLOOKUP($R74,武学奇术!$A:$ZZ,16,FALSE)+SUM(_xlfn.XLOOKUP(S74:AG74,增益!$A:$A,增益!$P:$P,0))</f>
        <v>0.27</v>
      </c>
      <c r="BJ74" s="26">
        <f>MIN(IF(VLOOKUP($R74,武学奇术!$A:$ZZ,23,FALSE)=1,100%,$B$8),100%)</f>
        <v>0.981</v>
      </c>
      <c r="BK74" s="26" cm="1">
        <f t="array" ref="BK74">IF(VLOOKUP($R74,武学奇术!$A:$ZZ,23,FALSE)=1,100%,MIN(80%,$B$9+VLOOKUP($R74,武学奇术!$A:$ZZ,17,FALSE)+SUM(_xlfn.XLOOKUP(S74:AG74,增益!$A:$A,增益!$Q:$Q,0)))+$B$11+SUM(_xlfn.XLOOKUP(S74:AG74,增益!$A:$A,增益!$U:$U,0)))*IF(VLOOKUP($R74,武学奇术!$A:$ZZ,24,FALSE)=1,0,1)</f>
        <v>0.846</v>
      </c>
      <c r="BL74" s="26" cm="1">
        <f t="array" ref="BL74">1+$B$13+VLOOKUP($R74,武学奇术!$A:$ZZ,18,FALSE)+SUM(_xlfn.XLOOKUP(S74:AG74,增益!$A:$A,增益!$R:$R,0))</f>
        <v>2.03</v>
      </c>
      <c r="BM74" s="26" cm="1">
        <f t="array" ref="BM74">IF(VLOOKUP($R74,武学奇术!$A:$ZZ,24,FALSE)=1,100%,MIN(40%,$B$10+VLOOKUP($R74,武学奇术!$A:$ZZ,19,FALSE)+SUM(_xlfn.XLOOKUP(S74:AG74,增益!$A:$A,增益!$S:$S,0)))+$B$12+SUM(_xlfn.XLOOKUP(S74:AG74,增益!$A:$A,增益!$V:$V,0)))*IF(VLOOKUP($R74,武学奇术!$A:$ZZ,23,FALSE)=1,0,1)</f>
        <v>0.0929</v>
      </c>
      <c r="BN74" s="26" cm="1">
        <f t="array" ref="BN74">1+$B$14+VLOOKUP($R74,武学奇术!$A:$ZZ,20,FALSE)+SUM(_xlfn.XLOOKUP(S74:AG74,增益!$A:$A,增益!$T:$T,0))</f>
        <v>1.35</v>
      </c>
      <c r="BO74" s="26">
        <f t="shared" si="21"/>
        <v>0.829926</v>
      </c>
      <c r="BP74" s="26">
        <f t="shared" si="22"/>
        <v>0.0599391</v>
      </c>
      <c r="BQ74" s="26">
        <f>IF(VLOOKUP($R74,武学奇术!$A:$ZZ,22,FALSE)=1,0,(1-$BJ74))*(1-$BM74)</f>
        <v>0.0172349</v>
      </c>
      <c r="BR74" s="26" cm="1">
        <f t="array" ref="BR74">SUM(_xlfn.XLOOKUP(S74:AG74,增益!$A:$A,增益!$W:$W,0))+$I$5</f>
        <v>0.21</v>
      </c>
    </row>
    <row r="75" spans="1:70">
      <c r="K75">
        <f>$L75*VLOOKUP($R75,武学奇术!$A:$ZZ,31,FALSE)</f>
        <v>207837.552038674</v>
      </c>
      <c r="L75" s="38">
        <f t="shared" si="12"/>
        <v>197940.525751118</v>
      </c>
      <c r="M75" s="38">
        <f>((($AO75+$AP75)/2*$AI75+$AJ75)*(1+$AQ75)*(1+$AR75)+(($AT75+$AU75)/2*IF($G$1="鸣金",$AK75,$AI75)+IF($G$1="鸣金",$AL75*1.5,0))*(1+$AV75)*(1+$AW75)+(($AX75+$AY75)/2*IF($G$1="裂石",$AK75,$AI75)+IF($G$1="裂石",$AL75*1.5,0))*(1+$AZ75)*(1+$BA75)+(($BB75+$BC75)/2*IF($G$1="牵丝",$AK75,$AI75)+IF($G$1="牵丝",$AL75*1.5,0))*(1+$BD75)*(1+$BE75)+(($BF75+$BG75)/2*IF($G$1="破竹",$AK75,$AI75)+IF($G$1="破竹",$AL75*1.5,0))*(1+$BH75)*(1+$BI75))*(1+$AM75)*$BL75*$Q75*(1+IF(VLOOKUP($R75,武学奇术!$A:$ZZ,30,FALSE)="回旋伞",$B$21,0))*(1+$BR75)</f>
        <v>197940.525751118</v>
      </c>
      <c r="N75" s="38">
        <f>(($AP75*$AI75+$AJ75)*(1+$AQ75)*(1+$AR75)+($AU75*IF($G$1="鸣金",$AK75,$AI75)+IF($G$1="鸣金",$AL75*1.5,0))*(1+$AV75)*(1+$AW75)+($AY75*IF($G$1="裂石",$AK75,$AI75)+IF($G$1="裂石",$AL75*1.5,0))*(1+$AZ75)*(1+$BA75)+($BC75*IF($G$1="牵丝",$AK75,$AI75)+IF($G$1="牵丝",$AL75*1.5,0))*(1+$BD75)*(1+$BE75)+($BG75*IF($G$1="破竹",$AK75,$AI75)+IF($G$1="破竹",$AL75*1.5,0))*(1+$BH75)*(1+$BI75))*(1+$AM75)*$BN75*$Q75*(1+IF(VLOOKUP($R75,武学奇术!$A:$ZZ,30,FALSE)="回旋伞",$B$21,0))*(1+$BR75)</f>
        <v>145212.261173277</v>
      </c>
      <c r="O75" s="38">
        <f>((($AO75+$AP75)/2*$AI75+$AJ75)*(1+$AQ75)*(1+$AR75)+(($AT75+$AU75)/2*IF($G$1="鸣金",$AK75,$AI75)+IF($G$1="鸣金",$AL75*1.5,0))*(1+$AV75)*(1+$AW75)+(($AX75+$AY75)/2*IF($G$1="裂石",$AK75,$AI75)+IF($G$1="裂石",$AL75*1.5,0))*(1+$AZ75)*(1+$BA75)+(($BB75+$BC75)/2*IF($G$1="牵丝",$AK75,$AI75)+IF($G$1="牵丝",$AL75*1.5,0))*(1+$BD75)*(1+$BE75)+(($BF75+$BG75)/2*IF($G$1="破竹",$AK75,$AI75)+IF($G$1="破竹",$AL75*1.5,0))*(1+$BH75)*(1+$BI75))*(1+$AM75)*$Q75*(1+IF(VLOOKUP($R75,武学奇术!$A:$ZZ,30,FALSE)="回旋伞",$B$21,0))*(1+$BR75)</f>
        <v>96087.6338597658</v>
      </c>
      <c r="P75" s="38">
        <f>((($AO75*$AI75+$AJ75)*(1+$AQ75)*(1+$AR75)+($AT75*IF($G$1="鸣金",$AK75,$AI75)+IF($G$1="鸣金",$AL75*1.5,0))*(1+$AV75)*(1+$AW75)+($AX75*IF($G$1="裂石",$AK75,$AI75)+IF($G$1="裂石",$AL75*1.5,0))*(1+$AZ75)*(1+$BA75)+($BB75*IF($G$1="牵丝",$AK75,$AI75)+IF($G$1="牵丝",$AL75*1.5,0))*(1+$BD75)*(1+$BE75)+($BF75*IF($G$1="破竹",$AK75,$AI75)+IF($G$1="破竹",$AL75*1.5,0))*(1+$BH75)*(1+$BI75))*(1+$AM75))*$Q75*(1+IF(VLOOKUP($R75,武学奇术!$A:$ZZ,30,FALSE)="回旋伞",$B$21,0))*(1+$BR75)</f>
        <v>84610.6298134003</v>
      </c>
      <c r="Q75" s="39">
        <v>2</v>
      </c>
      <c r="R75" s="40" t="s">
        <v>125</v>
      </c>
      <c r="S75" s="40" t="s">
        <v>109</v>
      </c>
      <c r="T75" s="40" t="s">
        <v>95</v>
      </c>
      <c r="U75" s="40" t="s">
        <v>73</v>
      </c>
      <c r="V75" s="40" t="s">
        <v>81</v>
      </c>
      <c r="W75" s="40" t="s">
        <v>172</v>
      </c>
      <c r="X75" s="40" t="s">
        <v>99</v>
      </c>
      <c r="Y75" s="40" t="s">
        <v>72</v>
      </c>
      <c r="Z75" s="40" t="s">
        <v>176</v>
      </c>
      <c r="AA75" s="40" t="s">
        <v>72</v>
      </c>
      <c r="AB75" s="40" t="s">
        <v>126</v>
      </c>
      <c r="AC75" s="40" t="s">
        <v>72</v>
      </c>
      <c r="AD75" s="40" t="s">
        <v>178</v>
      </c>
      <c r="AE75" s="40" t="s">
        <v>72</v>
      </c>
      <c r="AF75" s="40" t="s">
        <v>72</v>
      </c>
      <c r="AG75" s="40" t="s">
        <v>78</v>
      </c>
      <c r="AH75" t="str">
        <f>VLOOKUP($R75,武学奇术!$A:$ZZ,25,FALSE)</f>
        <v>伞</v>
      </c>
      <c r="AI75" s="26">
        <f>VLOOKUP($R75,武学奇术!$A:$ZZ,26,FALSE)</f>
        <v>1.8084</v>
      </c>
      <c r="AJ75" s="27">
        <f>VLOOKUP($R75,武学奇术!$A:$ZZ,27,FALSE)*(1+IF(OR($AH75=$F$4,$AH75=$F$5),$B$22,0))</f>
        <v>750</v>
      </c>
      <c r="AK75" s="26">
        <f>VLOOKUP($R75,武学奇术!$A:$ZZ,28,FALSE)</f>
        <v>2.7126</v>
      </c>
      <c r="AL75" s="27">
        <f>VLOOKUP($R75,武学奇术!$A:$ZZ,29,FALSE)*(1+IF(OR($AH75=$F$4,$AH75=$F$5),$B$22,0))</f>
        <v>408</v>
      </c>
      <c r="AM75" s="26" cm="1">
        <f t="array" ref="AM75">$G$3+IFERROR(VLOOKUP($AH75,$F$4:$G$7,2,FALSE),0)+VLOOKUP($R75,武学奇术!$A:$ZZ,2,FALSE)+SUM(_xlfn.XLOOKUP($S75:$AG75,增益!$A:$A,增益!$B:$B,0))</f>
        <v>0.9741</v>
      </c>
      <c r="AN75" s="26" cm="1">
        <f t="array" ref="AN75">VLOOKUP($R75,武学奇术!$A:$ZZ,5,FALSE)+SUM(_xlfn.XLOOKUP($S75:$AG75,增益!$A:$A,增益!$E:$E,0))</f>
        <v>0</v>
      </c>
      <c r="AO75" cm="1">
        <f t="array" ref="AO75">$D$10*(1+$AN75)+VLOOKUP($R75,武学奇术!$A:$ZZ,3,FALSE)+SUM(_xlfn.XLOOKUP($S75:$AG75,增益!$A:$A,增益!$C:$C,0))-$I$2</f>
        <v>3562.6</v>
      </c>
      <c r="AP75" cm="1">
        <f t="array" ref="AP75">$E$10*(1+$AN75)+VLOOKUP($R75,武学奇术!$A:$ZZ,4,FALSE)+SUM(_xlfn.XLOOKUP($S75:$AG75,增益!$A:$A,增益!$D:$D,0))-$I$2</f>
        <v>3562.6</v>
      </c>
      <c r="AQ75" s="32" cm="1">
        <f t="array" ref="AQ75">IF($F$10-$I$3+VLOOKUP($R75,武学奇术!$A:$ZZ,6,FALSE)+SUM(_xlfn.XLOOKUP(S75:AG75,增益!$A:$A,增益!$F:$F,0))&gt;0,($F$10-$I$3+VLOOKUP($R75,武学奇术!$A:$ZZ,6,FALSE)+SUM(_xlfn.XLOOKUP(S75:AG75,增益!$A:$A,增益!$F:$F,0)))/200,($F$10-$I$3+VLOOKUP($R75,武学奇术!$A:$ZZ,6,FALSE)+SUM(_xlfn.XLOOKUP(S75:AG75,增益!$A:$A,增益!$F:$F,0)))/100)</f>
        <v>0.2925</v>
      </c>
      <c r="AR75" s="32" cm="1">
        <f t="array" ref="AR75">$G$10+VLOOKUP($R75,武学奇术!$A:$ZZ,7,FALSE)+SUM(_xlfn.XLOOKUP(S75:AG75,增益!$A:$A,增益!$G:$G,0))</f>
        <v>0.148</v>
      </c>
      <c r="AS75" s="26" cm="1">
        <f t="array" ref="AS75">VLOOKUP($R75,武学奇术!$A:$ZZ,8,FALSE)+SUM(_xlfn.XLOOKUP(S75:AG75,增益!$A:$A,增益!$H:$H,0))</f>
        <v>0</v>
      </c>
      <c r="AT75">
        <f t="shared" si="13"/>
        <v>0</v>
      </c>
      <c r="AU75">
        <f t="shared" si="14"/>
        <v>0</v>
      </c>
      <c r="AV75" s="32" cm="1">
        <f t="array" ref="AV75">IF($F$11-$I$4+VLOOKUP($R75,武学奇术!$A:$ZZ,9,FALSE)+SUM(_xlfn.XLOOKUP(S75:AG75,增益!$A:$A,增益!$I:$I,0))&gt;0,($F$11-$I$4+VLOOKUP($R75,武学奇术!$A:$ZZ,9,FALSE)+SUM(_xlfn.XLOOKUP(S75:AG75,增益!$A:$A,增益!$I:$I,0)))/200,($F$11-$I$4+VLOOKUP($R75,武学奇术!$A:$ZZ,9,FALSE)+SUM(_xlfn.XLOOKUP(S75:AG75,增益!$A:$A,增益!$I:$I,0)))/100)</f>
        <v>-0.3</v>
      </c>
      <c r="AW75" s="32" cm="1">
        <f t="array" ref="AW75">$G$11+VLOOKUP($R75,武学奇术!$A:$ZZ,10,FALSE)+SUM(_xlfn.XLOOKUP(S75:AG75,增益!$A:$A,增益!$J:$J,0))</f>
        <v>0</v>
      </c>
      <c r="AX75">
        <f t="shared" si="15"/>
        <v>0</v>
      </c>
      <c r="AY75">
        <f t="shared" si="16"/>
        <v>0</v>
      </c>
      <c r="AZ75" s="32" cm="1">
        <f t="array" ref="AZ75">IF($F$12-$I$4+VLOOKUP($R75,武学奇术!$A:$ZZ,11,FALSE)+SUM(_xlfn.XLOOKUP(S75:AG75,增益!$A:$A,增益!$K:$K,0))&gt;0,($F$12-$I$4+VLOOKUP($R75,武学奇术!$A:$ZZ,11,FALSE)+SUM(_xlfn.XLOOKUP(S75:AG75,增益!$A:$A,增益!$K:$K,0)))/200,($F$12-$I$4+VLOOKUP($R75,武学奇术!$A:$ZZ,11,FALSE)+SUM(_xlfn.XLOOKUP(S75:AG75,增益!$A:$A,增益!$K:$K,0)))/100)</f>
        <v>-0.3</v>
      </c>
      <c r="BA75" s="32" cm="1">
        <f t="array" ref="BA75">$G$12+VLOOKUP($R75,武学奇术!$A:$ZZ,12,FALSE)+SUM(_xlfn.XLOOKUP(S75:AG75,增益!$A:$A,增益!$L:$L,0))</f>
        <v>0</v>
      </c>
      <c r="BB75">
        <f t="shared" si="17"/>
        <v>0</v>
      </c>
      <c r="BC75">
        <f t="shared" si="18"/>
        <v>0</v>
      </c>
      <c r="BD75" s="32" cm="1">
        <f t="array" ref="BD75">IF($F$13-$I$4+VLOOKUP($R75,武学奇术!$A:$ZZ,13,FALSE)+SUM(_xlfn.XLOOKUP(S75:AG75,增益!$A:$A,增益!$M:$M,0))&gt;0,($F$13-$I$4+VLOOKUP($R75,武学奇术!$A:$ZZ,13,FALSE)+SUM(_xlfn.XLOOKUP(S75:AG75,增益!$A:$A,增益!$K:$K,0)))/200,($F$13-$I$4+VLOOKUP($R75,武学奇术!$A:$ZZ,13,FALSE)+SUM(_xlfn.XLOOKUP(S75:AG75,增益!$A:$A,增益!$M:$M,0)))/100)</f>
        <v>-0.3</v>
      </c>
      <c r="BE75" s="32" cm="1">
        <f t="array" ref="BE75">$G$13+VLOOKUP($R75,武学奇术!$A:$ZZ,14,FALSE)+SUM(_xlfn.XLOOKUP(S75:AG75,增益!$A:$A,增益!$N:$N,0))</f>
        <v>0</v>
      </c>
      <c r="BF75">
        <f t="shared" si="19"/>
        <v>571.2</v>
      </c>
      <c r="BG75">
        <f t="shared" si="20"/>
        <v>1627.8</v>
      </c>
      <c r="BH75" s="32" cm="1">
        <f t="array" ref="BH75">IF($F$14-$I$4+VLOOKUP($R75,武学奇术!$A:$ZZ,15,FALSE)+SUM(_xlfn.XLOOKUP(S75:AG75,增益!$A:$A,增益!$O:$O,0))&gt;0,($F$14-$I$4+VLOOKUP($R75,武学奇术!$A:$ZZ,15,FALSE)+SUM(_xlfn.XLOOKUP(S75:AG75,增益!$A:$A,增益!$O:$O,0)))/200,($F$14-$I$4+VLOOKUP($R75,武学奇术!$A:$ZZ,15,FALSE)+SUM(_xlfn.XLOOKUP(S75:AG75,增益!$A:$A,增益!$O:$O,0)))/100)</f>
        <v>0</v>
      </c>
      <c r="BI75" s="32" cm="1">
        <f t="array" ref="BI75">$G$14+VLOOKUP($R75,武学奇术!$A:$ZZ,16,FALSE)+SUM(_xlfn.XLOOKUP(S75:AG75,增益!$A:$A,增益!$P:$P,0))</f>
        <v>0.27</v>
      </c>
      <c r="BJ75" s="26">
        <f>MIN(IF(VLOOKUP($R75,武学奇术!$A:$ZZ,23,FALSE)=1,100%,$B$8),100%)</f>
        <v>1</v>
      </c>
      <c r="BK75" s="26" cm="1">
        <f t="array" ref="BK75">IF(VLOOKUP($R75,武学奇术!$A:$ZZ,23,FALSE)=1,100%,MIN(80%,$B$9+VLOOKUP($R75,武学奇术!$A:$ZZ,17,FALSE)+SUM(_xlfn.XLOOKUP(S75:AG75,增益!$A:$A,增益!$Q:$Q,0)))+$B$11+SUM(_xlfn.XLOOKUP(S75:AG75,增益!$A:$A,增益!$U:$U,0)))*IF(VLOOKUP($R75,武学奇术!$A:$ZZ,24,FALSE)=1,0,1)</f>
        <v>1</v>
      </c>
      <c r="BL75" s="26" cm="1">
        <f t="array" ref="BL75">1+$B$13+VLOOKUP($R75,武学奇术!$A:$ZZ,18,FALSE)+SUM(_xlfn.XLOOKUP(S75:AG75,增益!$A:$A,增益!$R:$R,0))</f>
        <v>2.06</v>
      </c>
      <c r="BM75" s="26" cm="1">
        <f t="array" ref="BM75">IF(VLOOKUP($R75,武学奇术!$A:$ZZ,24,FALSE)=1,100%,MIN(40%,$B$10+VLOOKUP($R75,武学奇术!$A:$ZZ,19,FALSE)+SUM(_xlfn.XLOOKUP(S75:AG75,增益!$A:$A,增益!$S:$S,0)))+$B$12+SUM(_xlfn.XLOOKUP(S75:AG75,增益!$A:$A,增益!$V:$V,0)))*IF(VLOOKUP($R75,武学奇术!$A:$ZZ,23,FALSE)=1,0,1)</f>
        <v>0</v>
      </c>
      <c r="BN75" s="26" cm="1">
        <f t="array" ref="BN75">1+$B$14+VLOOKUP($R75,武学奇术!$A:$ZZ,20,FALSE)+SUM(_xlfn.XLOOKUP(S75:AG75,增益!$A:$A,增益!$T:$T,0))</f>
        <v>1.35</v>
      </c>
      <c r="BO75" s="26">
        <f t="shared" si="21"/>
        <v>1</v>
      </c>
      <c r="BP75" s="26">
        <f t="shared" si="22"/>
        <v>0</v>
      </c>
      <c r="BQ75" s="26">
        <f>IF(VLOOKUP($R75,武学奇术!$A:$ZZ,22,FALSE)=1,0,(1-$BJ75))*(1-$BM75)</f>
        <v>0</v>
      </c>
      <c r="BR75" s="26" cm="1">
        <f t="array" ref="BR75">SUM(_xlfn.XLOOKUP(S75:AG75,增益!$A:$A,增益!$W:$W,0))+$I$5</f>
        <v>0.21</v>
      </c>
    </row>
    <row r="76" spans="1:70">
      <c r="K76">
        <f>$L76*VLOOKUP($R76,武学奇术!$A:$ZZ,31,FALSE)</f>
        <v>119742.000385189</v>
      </c>
      <c r="L76" s="38">
        <f t="shared" si="12"/>
        <v>114040.000366847</v>
      </c>
      <c r="M76" s="38">
        <f>((($AO76+$AP76)/2*$AI76+$AJ76)*(1+$AQ76)*(1+$AR76)+(($AT76+$AU76)/2*IF($G$1="鸣金",$AK76,$AI76)+IF($G$1="鸣金",$AL76*1.5,0))*(1+$AV76)*(1+$AW76)+(($AX76+$AY76)/2*IF($G$1="裂石",$AK76,$AI76)+IF($G$1="裂石",$AL76*1.5,0))*(1+$AZ76)*(1+$BA76)+(($BB76+$BC76)/2*IF($G$1="牵丝",$AK76,$AI76)+IF($G$1="牵丝",$AL76*1.5,0))*(1+$BD76)*(1+$BE76)+(($BF76+$BG76)/2*IF($G$1="破竹",$AK76,$AI76)+IF($G$1="破竹",$AL76*1.5,0))*(1+$BH76)*(1+$BI76))*(1+$AM76)*$BL76*$Q76*(1+IF(VLOOKUP($R76,武学奇术!$A:$ZZ,30,FALSE)="回旋伞",$B$21,0))*(1+$BR76)</f>
        <v>114040.000366847</v>
      </c>
      <c r="N76" s="38">
        <f>(($AP76*$AI76+$AJ76)*(1+$AQ76)*(1+$AR76)+($AU76*IF($G$1="鸣金",$AK76,$AI76)+IF($G$1="鸣金",$AL76*1.5,0))*(1+$AV76)*(1+$AW76)+($AY76*IF($G$1="裂石",$AK76,$AI76)+IF($G$1="裂石",$AL76*1.5,0))*(1+$AZ76)*(1+$BA76)+($BC76*IF($G$1="牵丝",$AK76,$AI76)+IF($G$1="牵丝",$AL76*1.5,0))*(1+$BD76)*(1+$BE76)+($BG76*IF($G$1="破竹",$AK76,$AI76)+IF($G$1="破竹",$AL76*1.5,0))*(1+$BH76)*(1+$BI76))*(1+$AM76)*$BN76*$Q76*(1+IF(VLOOKUP($R76,武学奇术!$A:$ZZ,30,FALSE)="回旋伞",$B$21,0))*(1+$BR76)</f>
        <v>84925.6026820909</v>
      </c>
      <c r="O76" s="38">
        <f>((($AO76+$AP76)/2*$AI76+$AJ76)*(1+$AQ76)*(1+$AR76)+(($AT76+$AU76)/2*IF($G$1="鸣金",$AK76,$AI76)+IF($G$1="鸣金",$AL76*1.5,0))*(1+$AV76)*(1+$AW76)+(($AX76+$AY76)/2*IF($G$1="裂石",$AK76,$AI76)+IF($G$1="裂石",$AL76*1.5,0))*(1+$AZ76)*(1+$BA76)+(($BB76+$BC76)/2*IF($G$1="牵丝",$AK76,$AI76)+IF($G$1="牵丝",$AL76*1.5,0))*(1+$BD76)*(1+$BE76)+(($BF76+$BG76)/2*IF($G$1="破竹",$AK76,$AI76)+IF($G$1="破竹",$AL76*1.5,0))*(1+$BH76)*(1+$BI76))*(1+$AM76)*$Q76*(1+IF(VLOOKUP($R76,武学奇术!$A:$ZZ,30,FALSE)="回旋伞",$B$21,0))*(1+$BR76)</f>
        <v>55359.223479052</v>
      </c>
      <c r="P76" s="38">
        <f>((($AO76*$AI76+$AJ76)*(1+$AQ76)*(1+$AR76)+($AT76*IF($G$1="鸣金",$AK76,$AI76)+IF($G$1="鸣金",$AL76*1.5,0))*(1+$AV76)*(1+$AW76)+($AX76*IF($G$1="裂石",$AK76,$AI76)+IF($G$1="裂石",$AL76*1.5,0))*(1+$AZ76)*(1+$BA76)+($BB76*IF($G$1="牵丝",$AK76,$AI76)+IF($G$1="牵丝",$AL76*1.5,0))*(1+$BD76)*(1+$BE76)+($BF76*IF($G$1="破竹",$AK76,$AI76)+IF($G$1="破竹",$AL76*1.5,0))*(1+$BH76)*(1+$BI76))*(1+$AM76))*$Q76*(1+IF(VLOOKUP($R76,武学奇术!$A:$ZZ,30,FALSE)="回旋伞",$B$21,0))*(1+$BR76)</f>
        <v>47810.5931195181</v>
      </c>
      <c r="Q76" s="39">
        <v>4</v>
      </c>
      <c r="R76" s="40" t="s">
        <v>132</v>
      </c>
      <c r="S76" s="40" t="s">
        <v>109</v>
      </c>
      <c r="T76" s="40" t="s">
        <v>95</v>
      </c>
      <c r="U76" s="40" t="s">
        <v>73</v>
      </c>
      <c r="V76" s="40" t="s">
        <v>81</v>
      </c>
      <c r="W76" s="40" t="s">
        <v>172</v>
      </c>
      <c r="X76" s="40" t="s">
        <v>99</v>
      </c>
      <c r="Y76" s="40" t="s">
        <v>72</v>
      </c>
      <c r="Z76" s="40" t="s">
        <v>176</v>
      </c>
      <c r="AA76" s="40" t="s">
        <v>72</v>
      </c>
      <c r="AB76" s="40" t="s">
        <v>126</v>
      </c>
      <c r="AC76" s="40" t="s">
        <v>72</v>
      </c>
      <c r="AD76" s="40" t="s">
        <v>178</v>
      </c>
      <c r="AE76" s="40" t="s">
        <v>72</v>
      </c>
      <c r="AF76" s="40" t="s">
        <v>72</v>
      </c>
      <c r="AG76" s="40" t="s">
        <v>78</v>
      </c>
      <c r="AH76" t="str">
        <f>VLOOKUP($R76,武学奇术!$A:$ZZ,25,FALSE)</f>
        <v>伞</v>
      </c>
      <c r="AI76" s="26">
        <f>VLOOKUP($R76,武学奇术!$A:$ZZ,26,FALSE)</f>
        <v>0.54</v>
      </c>
      <c r="AJ76" s="27">
        <f>VLOOKUP($R76,武学奇术!$A:$ZZ,27,FALSE)*(1+IF(OR($AH76=$F$4,$AH76=$F$5),$B$22,0))</f>
        <v>0</v>
      </c>
      <c r="AK76" s="26">
        <f>VLOOKUP($R76,武学奇术!$A:$ZZ,28,FALSE)</f>
        <v>0.81</v>
      </c>
      <c r="AL76" s="27">
        <f>VLOOKUP($R76,武学奇术!$A:$ZZ,29,FALSE)*(1+IF(OR($AH76=$F$4,$AH76=$F$5),$B$22,0))</f>
        <v>0</v>
      </c>
      <c r="AM76" s="26" cm="1">
        <f t="array" ref="AM76">$G$3+IFERROR(VLOOKUP($AH76,$F$4:$G$7,2,FALSE),0)+VLOOKUP($R76,武学奇术!$A:$ZZ,2,FALSE)+SUM(_xlfn.XLOOKUP($S76:$AG76,增益!$A:$A,增益!$B:$B,0))</f>
        <v>1.1741</v>
      </c>
      <c r="AN76" s="26" cm="1">
        <f t="array" ref="AN76">VLOOKUP($R76,武学奇术!$A:$ZZ,5,FALSE)+SUM(_xlfn.XLOOKUP($S76:$AG76,增益!$A:$A,增益!$E:$E,0))</f>
        <v>0</v>
      </c>
      <c r="AO76" cm="1">
        <f t="array" ref="AO76">$D$10*(1+$AN76)+VLOOKUP($R76,武学奇术!$A:$ZZ,3,FALSE)+SUM(_xlfn.XLOOKUP($S76:$AG76,增益!$A:$A,增益!$C:$C,0))-$I$2</f>
        <v>3562.6</v>
      </c>
      <c r="AP76" cm="1">
        <f t="array" ref="AP76">$E$10*(1+$AN76)+VLOOKUP($R76,武学奇术!$A:$ZZ,4,FALSE)+SUM(_xlfn.XLOOKUP($S76:$AG76,增益!$A:$A,增益!$D:$D,0))-$I$2</f>
        <v>3562.6</v>
      </c>
      <c r="AQ76" s="32" cm="1">
        <f t="array" ref="AQ76">IF($F$10-$I$3+VLOOKUP($R76,武学奇术!$A:$ZZ,6,FALSE)+SUM(_xlfn.XLOOKUP(S76:AG76,增益!$A:$A,增益!$F:$F,0))&gt;0,($F$10-$I$3+VLOOKUP($R76,武学奇术!$A:$ZZ,6,FALSE)+SUM(_xlfn.XLOOKUP(S76:AG76,增益!$A:$A,增益!$F:$F,0)))/200,($F$10-$I$3+VLOOKUP($R76,武学奇术!$A:$ZZ,6,FALSE)+SUM(_xlfn.XLOOKUP(S76:AG76,增益!$A:$A,增益!$F:$F,0)))/100)</f>
        <v>0.2925</v>
      </c>
      <c r="AR76" s="32" cm="1">
        <f t="array" ref="AR76">$G$10+VLOOKUP($R76,武学奇术!$A:$ZZ,7,FALSE)+SUM(_xlfn.XLOOKUP(S76:AG76,增益!$A:$A,增益!$G:$G,0))</f>
        <v>0.148</v>
      </c>
      <c r="AS76" s="26" cm="1">
        <f t="array" ref="AS76">VLOOKUP($R76,武学奇术!$A:$ZZ,8,FALSE)+SUM(_xlfn.XLOOKUP(S76:AG76,增益!$A:$A,增益!$H:$H,0))</f>
        <v>0</v>
      </c>
      <c r="AT76">
        <f t="shared" si="13"/>
        <v>0</v>
      </c>
      <c r="AU76">
        <f t="shared" si="14"/>
        <v>0</v>
      </c>
      <c r="AV76" s="32" cm="1">
        <f t="array" ref="AV76">IF($F$11-$I$4+VLOOKUP($R76,武学奇术!$A:$ZZ,9,FALSE)+SUM(_xlfn.XLOOKUP(S76:AG76,增益!$A:$A,增益!$I:$I,0))&gt;0,($F$11-$I$4+VLOOKUP($R76,武学奇术!$A:$ZZ,9,FALSE)+SUM(_xlfn.XLOOKUP(S76:AG76,增益!$A:$A,增益!$I:$I,0)))/200,($F$11-$I$4+VLOOKUP($R76,武学奇术!$A:$ZZ,9,FALSE)+SUM(_xlfn.XLOOKUP(S76:AG76,增益!$A:$A,增益!$I:$I,0)))/100)</f>
        <v>-0.3</v>
      </c>
      <c r="AW76" s="32" cm="1">
        <f t="array" ref="AW76">$G$11+VLOOKUP($R76,武学奇术!$A:$ZZ,10,FALSE)+SUM(_xlfn.XLOOKUP(S76:AG76,增益!$A:$A,增益!$J:$J,0))</f>
        <v>0</v>
      </c>
      <c r="AX76">
        <f t="shared" si="15"/>
        <v>0</v>
      </c>
      <c r="AY76">
        <f t="shared" si="16"/>
        <v>0</v>
      </c>
      <c r="AZ76" s="32" cm="1">
        <f t="array" ref="AZ76">IF($F$12-$I$4+VLOOKUP($R76,武学奇术!$A:$ZZ,11,FALSE)+SUM(_xlfn.XLOOKUP(S76:AG76,增益!$A:$A,增益!$K:$K,0))&gt;0,($F$12-$I$4+VLOOKUP($R76,武学奇术!$A:$ZZ,11,FALSE)+SUM(_xlfn.XLOOKUP(S76:AG76,增益!$A:$A,增益!$K:$K,0)))/200,($F$12-$I$4+VLOOKUP($R76,武学奇术!$A:$ZZ,11,FALSE)+SUM(_xlfn.XLOOKUP(S76:AG76,增益!$A:$A,增益!$K:$K,0)))/100)</f>
        <v>-0.3</v>
      </c>
      <c r="BA76" s="32" cm="1">
        <f t="array" ref="BA76">$G$12+VLOOKUP($R76,武学奇术!$A:$ZZ,12,FALSE)+SUM(_xlfn.XLOOKUP(S76:AG76,增益!$A:$A,增益!$L:$L,0))</f>
        <v>0</v>
      </c>
      <c r="BB76">
        <f t="shared" si="17"/>
        <v>0</v>
      </c>
      <c r="BC76">
        <f t="shared" si="18"/>
        <v>0</v>
      </c>
      <c r="BD76" s="32" cm="1">
        <f t="array" ref="BD76">IF($F$13-$I$4+VLOOKUP($R76,武学奇术!$A:$ZZ,13,FALSE)+SUM(_xlfn.XLOOKUP(S76:AG76,增益!$A:$A,增益!$M:$M,0))&gt;0,($F$13-$I$4+VLOOKUP($R76,武学奇术!$A:$ZZ,13,FALSE)+SUM(_xlfn.XLOOKUP(S76:AG76,增益!$A:$A,增益!$K:$K,0)))/200,($F$13-$I$4+VLOOKUP($R76,武学奇术!$A:$ZZ,13,FALSE)+SUM(_xlfn.XLOOKUP(S76:AG76,增益!$A:$A,增益!$M:$M,0)))/100)</f>
        <v>-0.3</v>
      </c>
      <c r="BE76" s="32" cm="1">
        <f t="array" ref="BE76">$G$13+VLOOKUP($R76,武学奇术!$A:$ZZ,14,FALSE)+SUM(_xlfn.XLOOKUP(S76:AG76,增益!$A:$A,增益!$N:$N,0))</f>
        <v>0</v>
      </c>
      <c r="BF76">
        <f t="shared" si="19"/>
        <v>571.2</v>
      </c>
      <c r="BG76">
        <f t="shared" si="20"/>
        <v>1627.8</v>
      </c>
      <c r="BH76" s="32" cm="1">
        <f t="array" ref="BH76">IF($F$14-$I$4+VLOOKUP($R76,武学奇术!$A:$ZZ,15,FALSE)+SUM(_xlfn.XLOOKUP(S76:AG76,增益!$A:$A,增益!$O:$O,0))&gt;0,($F$14-$I$4+VLOOKUP($R76,武学奇术!$A:$ZZ,15,FALSE)+SUM(_xlfn.XLOOKUP(S76:AG76,增益!$A:$A,增益!$O:$O,0)))/200,($F$14-$I$4+VLOOKUP($R76,武学奇术!$A:$ZZ,15,FALSE)+SUM(_xlfn.XLOOKUP(S76:AG76,增益!$A:$A,增益!$O:$O,0)))/100)</f>
        <v>0</v>
      </c>
      <c r="BI76" s="32" cm="1">
        <f t="array" ref="BI76">$G$14+VLOOKUP($R76,武学奇术!$A:$ZZ,16,FALSE)+SUM(_xlfn.XLOOKUP(S76:AG76,增益!$A:$A,增益!$P:$P,0))</f>
        <v>0.27</v>
      </c>
      <c r="BJ76" s="26">
        <f>MIN(IF(VLOOKUP($R76,武学奇术!$A:$ZZ,23,FALSE)=1,100%,$B$8),100%)</f>
        <v>1</v>
      </c>
      <c r="BK76" s="26" cm="1">
        <f t="array" ref="BK76">IF(VLOOKUP($R76,武学奇术!$A:$ZZ,23,FALSE)=1,100%,MIN(80%,$B$9+VLOOKUP($R76,武学奇术!$A:$ZZ,17,FALSE)+SUM(_xlfn.XLOOKUP(S76:AG76,增益!$A:$A,增益!$Q:$Q,0)))+$B$11+SUM(_xlfn.XLOOKUP(S76:AG76,增益!$A:$A,增益!$U:$U,0)))*IF(VLOOKUP($R76,武学奇术!$A:$ZZ,24,FALSE)=1,0,1)</f>
        <v>1</v>
      </c>
      <c r="BL76" s="26" cm="1">
        <f t="array" ref="BL76">1+$B$13+VLOOKUP($R76,武学奇术!$A:$ZZ,18,FALSE)+SUM(_xlfn.XLOOKUP(S76:AG76,增益!$A:$A,增益!$R:$R,0))</f>
        <v>2.06</v>
      </c>
      <c r="BM76" s="26" cm="1">
        <f t="array" ref="BM76">IF(VLOOKUP($R76,武学奇术!$A:$ZZ,24,FALSE)=1,100%,MIN(40%,$B$10+VLOOKUP($R76,武学奇术!$A:$ZZ,19,FALSE)+SUM(_xlfn.XLOOKUP(S76:AG76,增益!$A:$A,增益!$S:$S,0)))+$B$12+SUM(_xlfn.XLOOKUP(S76:AG76,增益!$A:$A,增益!$V:$V,0)))*IF(VLOOKUP($R76,武学奇术!$A:$ZZ,23,FALSE)=1,0,1)</f>
        <v>0</v>
      </c>
      <c r="BN76" s="26" cm="1">
        <f t="array" ref="BN76">1+$B$14+VLOOKUP($R76,武学奇术!$A:$ZZ,20,FALSE)+SUM(_xlfn.XLOOKUP(S76:AG76,增益!$A:$A,增益!$T:$T,0))</f>
        <v>1.35</v>
      </c>
      <c r="BO76" s="26">
        <f t="shared" si="21"/>
        <v>1</v>
      </c>
      <c r="BP76" s="26">
        <f t="shared" si="22"/>
        <v>0</v>
      </c>
      <c r="BQ76" s="26">
        <f>IF(VLOOKUP($R76,武学奇术!$A:$ZZ,22,FALSE)=1,0,(1-$BJ76))*(1-$BM76)</f>
        <v>0</v>
      </c>
      <c r="BR76" s="26" cm="1">
        <f t="array" ref="BR76">SUM(_xlfn.XLOOKUP(S76:AG76,增益!$A:$A,增益!$W:$W,0))+$I$5</f>
        <v>0.21</v>
      </c>
    </row>
    <row r="77" spans="1:70">
      <c r="K77">
        <f>$L77*VLOOKUP($R77,武学奇术!$A:$ZZ,31,FALSE)</f>
        <v>261832.387714134</v>
      </c>
      <c r="L77" s="38">
        <f t="shared" si="12"/>
        <v>249364.178775366</v>
      </c>
      <c r="M77" s="38">
        <f>((($AO77+$AP77)/2*$AI77+$AJ77)*(1+$AQ77)*(1+$AR77)+(($AT77+$AU77)/2*IF($G$1="鸣金",$AK77,$AI77)+IF($G$1="鸣金",$AL77*1.5,0))*(1+$AV77)*(1+$AW77)+(($AX77+$AY77)/2*IF($G$1="裂石",$AK77,$AI77)+IF($G$1="裂石",$AL77*1.5,0))*(1+$AZ77)*(1+$BA77)+(($BB77+$BC77)/2*IF($G$1="牵丝",$AK77,$AI77)+IF($G$1="牵丝",$AL77*1.5,0))*(1+$BD77)*(1+$BE77)+(($BF77+$BG77)/2*IF($G$1="破竹",$AK77,$AI77)+IF($G$1="破竹",$AL77*1.5,0))*(1+$BH77)*(1+$BI77))*(1+$AM77)*$BL77*$Q77*(1+IF(VLOOKUP($R77,武学奇术!$A:$ZZ,30,FALSE)="回旋伞",$B$21,0))*(1+$BR77)</f>
        <v>266830.16569707</v>
      </c>
      <c r="N77" s="38">
        <f>(($AP77*$AI77+$AJ77)*(1+$AQ77)*(1+$AR77)+($AU77*IF($G$1="鸣金",$AK77,$AI77)+IF($G$1="鸣金",$AL77*1.5,0))*(1+$AV77)*(1+$AW77)+($AY77*IF($G$1="裂石",$AK77,$AI77)+IF($G$1="裂石",$AL77*1.5,0))*(1+$AZ77)*(1+$BA77)+($BC77*IF($G$1="牵丝",$AK77,$AI77)+IF($G$1="牵丝",$AL77*1.5,0))*(1+$BD77)*(1+$BE77)+($BG77*IF($G$1="破竹",$AK77,$AI77)+IF($G$1="破竹",$AL77*1.5,0))*(1+$BH77)*(1+$BI77))*(1+$AM77)*$BN77*$Q77*(1+IF(VLOOKUP($R77,武学奇术!$A:$ZZ,30,FALSE)="回旋伞",$B$21,0))*(1+$BR77)</f>
        <v>195750.776972426</v>
      </c>
      <c r="O77" s="38">
        <f>((($AO77+$AP77)/2*$AI77+$AJ77)*(1+$AQ77)*(1+$AR77)+(($AT77+$AU77)/2*IF($G$1="鸣金",$AK77,$AI77)+IF($G$1="鸣金",$AL77*1.5,0))*(1+$AV77)*(1+$AW77)+(($AX77+$AY77)/2*IF($G$1="裂石",$AK77,$AI77)+IF($G$1="裂石",$AL77*1.5,0))*(1+$AZ77)*(1+$BA77)+(($BB77+$BC77)/2*IF($G$1="牵丝",$AK77,$AI77)+IF($G$1="牵丝",$AL77*1.5,0))*(1+$BD77)*(1+$BE77)+(($BF77+$BG77)/2*IF($G$1="破竹",$AK77,$AI77)+IF($G$1="破竹",$AL77*1.5,0))*(1+$BH77)*(1+$BI77))*(1+$AM77)*$Q77*(1+IF(VLOOKUP($R77,武学奇术!$A:$ZZ,30,FALSE)="回旋伞",$B$21,0))*(1+$BR77)</f>
        <v>129529.206649063</v>
      </c>
      <c r="P77" s="38">
        <f>((($AO77*$AI77+$AJ77)*(1+$AQ77)*(1+$AR77)+($AT77*IF($G$1="鸣金",$AK77,$AI77)+IF($G$1="鸣金",$AL77*1.5,0))*(1+$AV77)*(1+$AW77)+($AX77*IF($G$1="裂石",$AK77,$AI77)+IF($G$1="裂石",$AL77*1.5,0))*(1+$AZ77)*(1+$BA77)+($BB77*IF($G$1="牵丝",$AK77,$AI77)+IF($G$1="牵丝",$AL77*1.5,0))*(1+$BD77)*(1+$BE77)+($BF77*IF($G$1="破竹",$AK77,$AI77)+IF($G$1="破竹",$AL77*1.5,0))*(1+$BH77)*(1+$BI77))*(1+$AM77))*$Q77*(1+IF(VLOOKUP($R77,武学奇术!$A:$ZZ,30,FALSE)="回旋伞",$B$21,0))*(1+$BR77)</f>
        <v>114057.837762996</v>
      </c>
      <c r="Q77" s="39">
        <v>3</v>
      </c>
      <c r="R77" s="40" t="s">
        <v>108</v>
      </c>
      <c r="S77" s="40" t="s">
        <v>109</v>
      </c>
      <c r="T77" s="40" t="s">
        <v>95</v>
      </c>
      <c r="U77" s="40" t="s">
        <v>73</v>
      </c>
      <c r="V77" s="40" t="s">
        <v>81</v>
      </c>
      <c r="W77" s="40" t="s">
        <v>172</v>
      </c>
      <c r="X77" s="40" t="s">
        <v>99</v>
      </c>
      <c r="Y77" s="40" t="s">
        <v>72</v>
      </c>
      <c r="Z77" s="40" t="s">
        <v>176</v>
      </c>
      <c r="AA77" s="40" t="s">
        <v>72</v>
      </c>
      <c r="AB77" s="40" t="s">
        <v>126</v>
      </c>
      <c r="AC77" s="40" t="s">
        <v>72</v>
      </c>
      <c r="AD77" s="40" t="s">
        <v>178</v>
      </c>
      <c r="AE77" s="40" t="s">
        <v>72</v>
      </c>
      <c r="AF77" s="40" t="s">
        <v>72</v>
      </c>
      <c r="AG77" s="40" t="s">
        <v>78</v>
      </c>
      <c r="AH77" t="str">
        <f>VLOOKUP($R77,武学奇术!$A:$ZZ,25,FALSE)</f>
        <v>伞</v>
      </c>
      <c r="AI77" s="26">
        <f>VLOOKUP($R77,武学奇术!$A:$ZZ,26,FALSE)</f>
        <v>1.8084</v>
      </c>
      <c r="AJ77" s="27">
        <f>VLOOKUP($R77,武学奇术!$A:$ZZ,27,FALSE)*(1+IF(OR($AH77=$F$4,$AH77=$F$5),$B$22,0))</f>
        <v>750</v>
      </c>
      <c r="AK77" s="26">
        <f>VLOOKUP($R77,武学奇术!$A:$ZZ,28,FALSE)</f>
        <v>2.7126</v>
      </c>
      <c r="AL77" s="27">
        <f>VLOOKUP($R77,武学奇术!$A:$ZZ,29,FALSE)*(1+IF(OR($AH77=$F$4,$AH77=$F$5),$B$22,0))</f>
        <v>408</v>
      </c>
      <c r="AM77" s="26" cm="1">
        <f t="array" ref="AM77">$G$3+IFERROR(VLOOKUP($AH77,$F$4:$G$7,2,FALSE),0)+VLOOKUP($R77,武学奇术!$A:$ZZ,2,FALSE)+SUM(_xlfn.XLOOKUP($S77:$AG77,增益!$A:$A,增益!$B:$B,0))</f>
        <v>0.7741</v>
      </c>
      <c r="AN77" s="26" cm="1">
        <f t="array" ref="AN77">VLOOKUP($R77,武学奇术!$A:$ZZ,5,FALSE)+SUM(_xlfn.XLOOKUP($S77:$AG77,增益!$A:$A,增益!$E:$E,0))</f>
        <v>0</v>
      </c>
      <c r="AO77" cm="1">
        <f t="array" ref="AO77">$D$10*(1+$AN77)+VLOOKUP($R77,武学奇术!$A:$ZZ,3,FALSE)+SUM(_xlfn.XLOOKUP($S77:$AG77,增益!$A:$A,增益!$C:$C,0))-$I$2</f>
        <v>3562.6</v>
      </c>
      <c r="AP77" cm="1">
        <f t="array" ref="AP77">$E$10*(1+$AN77)+VLOOKUP($R77,武学奇术!$A:$ZZ,4,FALSE)+SUM(_xlfn.XLOOKUP($S77:$AG77,增益!$A:$A,增益!$D:$D,0))-$I$2</f>
        <v>3562.6</v>
      </c>
      <c r="AQ77" s="32" cm="1">
        <f t="array" ref="AQ77">IF($F$10-$I$3+VLOOKUP($R77,武学奇术!$A:$ZZ,6,FALSE)+SUM(_xlfn.XLOOKUP(S77:AG77,增益!$A:$A,增益!$F:$F,0))&gt;0,($F$10-$I$3+VLOOKUP($R77,武学奇术!$A:$ZZ,6,FALSE)+SUM(_xlfn.XLOOKUP(S77:AG77,增益!$A:$A,增益!$F:$F,0)))/200,($F$10-$I$3+VLOOKUP($R77,武学奇术!$A:$ZZ,6,FALSE)+SUM(_xlfn.XLOOKUP(S77:AG77,增益!$A:$A,增益!$F:$F,0)))/100)</f>
        <v>0.2925</v>
      </c>
      <c r="AR77" s="32" cm="1">
        <f t="array" ref="AR77">$G$10+VLOOKUP($R77,武学奇术!$A:$ZZ,7,FALSE)+SUM(_xlfn.XLOOKUP(S77:AG77,增益!$A:$A,增益!$G:$G,0))</f>
        <v>0.148</v>
      </c>
      <c r="AS77" s="26" cm="1">
        <f t="array" ref="AS77">VLOOKUP($R77,武学奇术!$A:$ZZ,8,FALSE)+SUM(_xlfn.XLOOKUP(S77:AG77,增益!$A:$A,增益!$H:$H,0))</f>
        <v>0</v>
      </c>
      <c r="AT77">
        <f t="shared" si="13"/>
        <v>0</v>
      </c>
      <c r="AU77">
        <f t="shared" si="14"/>
        <v>0</v>
      </c>
      <c r="AV77" s="32" cm="1">
        <f t="array" ref="AV77">IF($F$11-$I$4+VLOOKUP($R77,武学奇术!$A:$ZZ,9,FALSE)+SUM(_xlfn.XLOOKUP(S77:AG77,增益!$A:$A,增益!$I:$I,0))&gt;0,($F$11-$I$4+VLOOKUP($R77,武学奇术!$A:$ZZ,9,FALSE)+SUM(_xlfn.XLOOKUP(S77:AG77,增益!$A:$A,增益!$I:$I,0)))/200,($F$11-$I$4+VLOOKUP($R77,武学奇术!$A:$ZZ,9,FALSE)+SUM(_xlfn.XLOOKUP(S77:AG77,增益!$A:$A,增益!$I:$I,0)))/100)</f>
        <v>-0.3</v>
      </c>
      <c r="AW77" s="32" cm="1">
        <f t="array" ref="AW77">$G$11+VLOOKUP($R77,武学奇术!$A:$ZZ,10,FALSE)+SUM(_xlfn.XLOOKUP(S77:AG77,增益!$A:$A,增益!$J:$J,0))</f>
        <v>0</v>
      </c>
      <c r="AX77">
        <f t="shared" si="15"/>
        <v>0</v>
      </c>
      <c r="AY77">
        <f t="shared" si="16"/>
        <v>0</v>
      </c>
      <c r="AZ77" s="32" cm="1">
        <f t="array" ref="AZ77">IF($F$12-$I$4+VLOOKUP($R77,武学奇术!$A:$ZZ,11,FALSE)+SUM(_xlfn.XLOOKUP(S77:AG77,增益!$A:$A,增益!$K:$K,0))&gt;0,($F$12-$I$4+VLOOKUP($R77,武学奇术!$A:$ZZ,11,FALSE)+SUM(_xlfn.XLOOKUP(S77:AG77,增益!$A:$A,增益!$K:$K,0)))/200,($F$12-$I$4+VLOOKUP($R77,武学奇术!$A:$ZZ,11,FALSE)+SUM(_xlfn.XLOOKUP(S77:AG77,增益!$A:$A,增益!$K:$K,0)))/100)</f>
        <v>-0.3</v>
      </c>
      <c r="BA77" s="32" cm="1">
        <f t="array" ref="BA77">$G$12+VLOOKUP($R77,武学奇术!$A:$ZZ,12,FALSE)+SUM(_xlfn.XLOOKUP(S77:AG77,增益!$A:$A,增益!$L:$L,0))</f>
        <v>0</v>
      </c>
      <c r="BB77">
        <f t="shared" si="17"/>
        <v>0</v>
      </c>
      <c r="BC77">
        <f t="shared" si="18"/>
        <v>0</v>
      </c>
      <c r="BD77" s="32" cm="1">
        <f t="array" ref="BD77">IF($F$13-$I$4+VLOOKUP($R77,武学奇术!$A:$ZZ,13,FALSE)+SUM(_xlfn.XLOOKUP(S77:AG77,增益!$A:$A,增益!$M:$M,0))&gt;0,($F$13-$I$4+VLOOKUP($R77,武学奇术!$A:$ZZ,13,FALSE)+SUM(_xlfn.XLOOKUP(S77:AG77,增益!$A:$A,增益!$K:$K,0)))/200,($F$13-$I$4+VLOOKUP($R77,武学奇术!$A:$ZZ,13,FALSE)+SUM(_xlfn.XLOOKUP(S77:AG77,增益!$A:$A,增益!$M:$M,0)))/100)</f>
        <v>-0.3</v>
      </c>
      <c r="BE77" s="32" cm="1">
        <f t="array" ref="BE77">$G$13+VLOOKUP($R77,武学奇术!$A:$ZZ,14,FALSE)+SUM(_xlfn.XLOOKUP(S77:AG77,增益!$A:$A,增益!$N:$N,0))</f>
        <v>0</v>
      </c>
      <c r="BF77">
        <f t="shared" si="19"/>
        <v>571.2</v>
      </c>
      <c r="BG77">
        <f t="shared" si="20"/>
        <v>1627.8</v>
      </c>
      <c r="BH77" s="32" cm="1">
        <f t="array" ref="BH77">IF($F$14-$I$4+VLOOKUP($R77,武学奇术!$A:$ZZ,15,FALSE)+SUM(_xlfn.XLOOKUP(S77:AG77,增益!$A:$A,增益!$O:$O,0))&gt;0,($F$14-$I$4+VLOOKUP($R77,武学奇术!$A:$ZZ,15,FALSE)+SUM(_xlfn.XLOOKUP(S77:AG77,增益!$A:$A,增益!$O:$O,0)))/200,($F$14-$I$4+VLOOKUP($R77,武学奇术!$A:$ZZ,15,FALSE)+SUM(_xlfn.XLOOKUP(S77:AG77,增益!$A:$A,增益!$O:$O,0)))/100)</f>
        <v>0</v>
      </c>
      <c r="BI77" s="32" cm="1">
        <f t="array" ref="BI77">$G$14+VLOOKUP($R77,武学奇术!$A:$ZZ,16,FALSE)+SUM(_xlfn.XLOOKUP(S77:AG77,增益!$A:$A,增益!$P:$P,0))</f>
        <v>0.27</v>
      </c>
      <c r="BJ77" s="26">
        <f>MIN(IF(VLOOKUP($R77,武学奇术!$A:$ZZ,23,FALSE)=1,100%,$B$8),100%)</f>
        <v>0.981</v>
      </c>
      <c r="BK77" s="26" cm="1">
        <f t="array" ref="BK77">IF(VLOOKUP($R77,武学奇术!$A:$ZZ,23,FALSE)=1,100%,MIN(80%,$B$9+VLOOKUP($R77,武学奇术!$A:$ZZ,17,FALSE)+SUM(_xlfn.XLOOKUP(S77:AG77,增益!$A:$A,增益!$Q:$Q,0)))+$B$11+SUM(_xlfn.XLOOKUP(S77:AG77,增益!$A:$A,增益!$U:$U,0)))*IF(VLOOKUP($R77,武学奇术!$A:$ZZ,24,FALSE)=1,0,1)</f>
        <v>0.846</v>
      </c>
      <c r="BL77" s="26" cm="1">
        <f t="array" ref="BL77">1+$B$13+VLOOKUP($R77,武学奇术!$A:$ZZ,18,FALSE)+SUM(_xlfn.XLOOKUP(S77:AG77,增益!$A:$A,增益!$R:$R,0))</f>
        <v>2.06</v>
      </c>
      <c r="BM77" s="26" cm="1">
        <f t="array" ref="BM77">IF(VLOOKUP($R77,武学奇术!$A:$ZZ,24,FALSE)=1,100%,MIN(40%,$B$10+VLOOKUP($R77,武学奇术!$A:$ZZ,19,FALSE)+SUM(_xlfn.XLOOKUP(S77:AG77,增益!$A:$A,增益!$S:$S,0)))+$B$12+SUM(_xlfn.XLOOKUP(S77:AG77,增益!$A:$A,增益!$V:$V,0)))*IF(VLOOKUP($R77,武学奇术!$A:$ZZ,23,FALSE)=1,0,1)</f>
        <v>0.0929</v>
      </c>
      <c r="BN77" s="26" cm="1">
        <f t="array" ref="BN77">1+$B$14+VLOOKUP($R77,武学奇术!$A:$ZZ,20,FALSE)+SUM(_xlfn.XLOOKUP(S77:AG77,增益!$A:$A,增益!$T:$T,0))</f>
        <v>1.35</v>
      </c>
      <c r="BO77" s="26">
        <f t="shared" si="21"/>
        <v>0.829926</v>
      </c>
      <c r="BP77" s="26">
        <f t="shared" si="22"/>
        <v>0.0599391</v>
      </c>
      <c r="BQ77" s="26">
        <f>IF(VLOOKUP($R77,武学奇术!$A:$ZZ,22,FALSE)=1,0,(1-$BJ77))*(1-$BM77)</f>
        <v>0.0172349</v>
      </c>
      <c r="BR77" s="26" cm="1">
        <f t="array" ref="BR77">SUM(_xlfn.XLOOKUP(S77:AG77,增益!$A:$A,增益!$W:$W,0))+$I$5</f>
        <v>0.21</v>
      </c>
    </row>
    <row r="78" spans="1:70">
      <c r="A78" s="4"/>
      <c r="B78" s="4"/>
      <c r="K78">
        <f>$L78*VLOOKUP($R78,武学奇术!$A:$ZZ,31,FALSE)</f>
        <v>152559.452878547</v>
      </c>
      <c r="L78" s="38">
        <f t="shared" si="12"/>
        <v>145294.717027187</v>
      </c>
      <c r="M78" s="38">
        <f>((($AO78+$AP78)/2*$AI78+$AJ78)*(1+$AQ78)*(1+$AR78)+(($AT78+$AU78)/2*IF($G$1="鸣金",$AK78,$AI78)+IF($G$1="鸣金",$AL78*1.5,0))*(1+$AV78)*(1+$AW78)+(($AX78+$AY78)/2*IF($G$1="裂石",$AK78,$AI78)+IF($G$1="裂石",$AL78*1.5,0))*(1+$AZ78)*(1+$BA78)+(($BB78+$BC78)/2*IF($G$1="牵丝",$AK78,$AI78)+IF($G$1="牵丝",$AL78*1.5,0))*(1+$BD78)*(1+$BE78)+(($BF78+$BG78)/2*IF($G$1="破竹",$AK78,$AI78)+IF($G$1="破竹",$AL78*1.5,0))*(1+$BH78)*(1+$BI78))*(1+$AM78)*$BL78*$Q78*(1+IF(VLOOKUP($R78,武学奇术!$A:$ZZ,30,FALSE)="回旋伞",$B$21,0))*(1+$BR78)</f>
        <v>155323.833809985</v>
      </c>
      <c r="N78" s="38">
        <f>(($AP78*$AI78+$AJ78)*(1+$AQ78)*(1+$AR78)+($AU78*IF($G$1="鸣金",$AK78,$AI78)+IF($G$1="鸣金",$AL78*1.5,0))*(1+$AV78)*(1+$AW78)+($AY78*IF($G$1="裂石",$AK78,$AI78)+IF($G$1="裂石",$AL78*1.5,0))*(1+$AZ78)*(1+$BA78)+($BC78*IF($G$1="牵丝",$AK78,$AI78)+IF($G$1="牵丝",$AL78*1.5,0))*(1+$BD78)*(1+$BE78)+($BG78*IF($G$1="破竹",$AK78,$AI78)+IF($G$1="破竹",$AL78*1.5,0))*(1+$BH78)*(1+$BI78))*(1+$AM78)*$BN78*$Q78*(1+IF(VLOOKUP($R78,武学奇术!$A:$ZZ,30,FALSE)="回旋伞",$B$21,0))*(1+$BR78)</f>
        <v>115669.678663389</v>
      </c>
      <c r="O78" s="38">
        <f>((($AO78+$AP78)/2*$AI78+$AJ78)*(1+$AQ78)*(1+$AR78)+(($AT78+$AU78)/2*IF($G$1="鸣金",$AK78,$AI78)+IF($G$1="鸣金",$AL78*1.5,0))*(1+$AV78)*(1+$AW78)+(($AX78+$AY78)/2*IF($G$1="裂石",$AK78,$AI78)+IF($G$1="裂石",$AL78*1.5,0))*(1+$AZ78)*(1+$BA78)+(($BB78+$BC78)/2*IF($G$1="牵丝",$AK78,$AI78)+IF($G$1="牵丝",$AL78*1.5,0))*(1+$BD78)*(1+$BE78)+(($BF78+$BG78)/2*IF($G$1="破竹",$AK78,$AI78)+IF($G$1="破竹",$AL78*1.5,0))*(1+$BH78)*(1+$BI78))*(1+$AM78)*$Q78*(1+IF(VLOOKUP($R78,武学奇术!$A:$ZZ,30,FALSE)="回旋伞",$B$21,0))*(1+$BR78)</f>
        <v>75399.9193252356</v>
      </c>
      <c r="P78" s="38">
        <f>((($AO78*$AI78+$AJ78)*(1+$AQ78)*(1+$AR78)+($AT78*IF($G$1="鸣金",$AK78,$AI78)+IF($G$1="鸣金",$AL78*1.5,0))*(1+$AV78)*(1+$AW78)+($AX78*IF($G$1="裂石",$AK78,$AI78)+IF($G$1="裂石",$AL78*1.5,0))*(1+$AZ78)*(1+$BA78)+($BB78*IF($G$1="牵丝",$AK78,$AI78)+IF($G$1="牵丝",$AL78*1.5,0))*(1+$BD78)*(1+$BE78)+($BF78*IF($G$1="破竹",$AK78,$AI78)+IF($G$1="破竹",$AL78*1.5,0))*(1+$BH78)*(1+$BI78))*(1+$AM78))*$Q78*(1+IF(VLOOKUP($R78,武学奇术!$A:$ZZ,30,FALSE)="回旋伞",$B$21,0))*(1+$BR78)</f>
        <v>65118.5951961092</v>
      </c>
      <c r="Q78" s="39">
        <v>6</v>
      </c>
      <c r="R78" s="40" t="s">
        <v>112</v>
      </c>
      <c r="S78" s="40" t="s">
        <v>109</v>
      </c>
      <c r="T78" s="40" t="s">
        <v>95</v>
      </c>
      <c r="U78" s="40" t="s">
        <v>73</v>
      </c>
      <c r="V78" s="40" t="s">
        <v>81</v>
      </c>
      <c r="W78" s="40" t="s">
        <v>172</v>
      </c>
      <c r="X78" s="40" t="s">
        <v>99</v>
      </c>
      <c r="Y78" s="40" t="s">
        <v>72</v>
      </c>
      <c r="Z78" s="40" t="s">
        <v>176</v>
      </c>
      <c r="AA78" s="40" t="s">
        <v>72</v>
      </c>
      <c r="AB78" s="40" t="s">
        <v>126</v>
      </c>
      <c r="AC78" s="40" t="s">
        <v>72</v>
      </c>
      <c r="AD78" s="40" t="s">
        <v>178</v>
      </c>
      <c r="AE78" s="40" t="s">
        <v>72</v>
      </c>
      <c r="AF78" s="40" t="s">
        <v>72</v>
      </c>
      <c r="AG78" s="40" t="s">
        <v>78</v>
      </c>
      <c r="AH78" t="str">
        <f>VLOOKUP($R78,武学奇术!$A:$ZZ,25,FALSE)</f>
        <v>伞</v>
      </c>
      <c r="AI78" s="26">
        <f>VLOOKUP($R78,武学奇术!$A:$ZZ,26,FALSE)</f>
        <v>0.54</v>
      </c>
      <c r="AJ78" s="27">
        <f>VLOOKUP($R78,武学奇术!$A:$ZZ,27,FALSE)*(1+IF(OR($AH78=$F$4,$AH78=$F$5),$B$22,0))</f>
        <v>0</v>
      </c>
      <c r="AK78" s="26">
        <f>VLOOKUP($R78,武学奇术!$A:$ZZ,28,FALSE)</f>
        <v>0.81</v>
      </c>
      <c r="AL78" s="27">
        <f>VLOOKUP($R78,武学奇术!$A:$ZZ,29,FALSE)*(1+IF(OR($AH78=$F$4,$AH78=$F$5),$B$22,0))</f>
        <v>0</v>
      </c>
      <c r="AM78" s="26" cm="1">
        <f t="array" ref="AM78">$G$3+IFERROR(VLOOKUP($AH78,$F$4:$G$7,2,FALSE),0)+VLOOKUP($R78,武学奇术!$A:$ZZ,2,FALSE)+SUM(_xlfn.XLOOKUP($S78:$AG78,增益!$A:$A,增益!$B:$B,0))</f>
        <v>0.9741</v>
      </c>
      <c r="AN78" s="26" cm="1">
        <f t="array" ref="AN78">VLOOKUP($R78,武学奇术!$A:$ZZ,5,FALSE)+SUM(_xlfn.XLOOKUP($S78:$AG78,增益!$A:$A,增益!$E:$E,0))</f>
        <v>0</v>
      </c>
      <c r="AO78" cm="1">
        <f t="array" ref="AO78">$D$10*(1+$AN78)+VLOOKUP($R78,武学奇术!$A:$ZZ,3,FALSE)+SUM(_xlfn.XLOOKUP($S78:$AG78,增益!$A:$A,增益!$C:$C,0))-$I$2</f>
        <v>3562.6</v>
      </c>
      <c r="AP78" cm="1">
        <f t="array" ref="AP78">$E$10*(1+$AN78)+VLOOKUP($R78,武学奇术!$A:$ZZ,4,FALSE)+SUM(_xlfn.XLOOKUP($S78:$AG78,增益!$A:$A,增益!$D:$D,0))-$I$2</f>
        <v>3562.6</v>
      </c>
      <c r="AQ78" s="32" cm="1">
        <f t="array" ref="AQ78">IF($F$10-$I$3+VLOOKUP($R78,武学奇术!$A:$ZZ,6,FALSE)+SUM(_xlfn.XLOOKUP(S78:AG78,增益!$A:$A,增益!$F:$F,0))&gt;0,($F$10-$I$3+VLOOKUP($R78,武学奇术!$A:$ZZ,6,FALSE)+SUM(_xlfn.XLOOKUP(S78:AG78,增益!$A:$A,增益!$F:$F,0)))/200,($F$10-$I$3+VLOOKUP($R78,武学奇术!$A:$ZZ,6,FALSE)+SUM(_xlfn.XLOOKUP(S78:AG78,增益!$A:$A,增益!$F:$F,0)))/100)</f>
        <v>0.2925</v>
      </c>
      <c r="AR78" s="32" cm="1">
        <f t="array" ref="AR78">$G$10+VLOOKUP($R78,武学奇术!$A:$ZZ,7,FALSE)+SUM(_xlfn.XLOOKUP(S78:AG78,增益!$A:$A,增益!$G:$G,0))</f>
        <v>0.148</v>
      </c>
      <c r="AS78" s="26" cm="1">
        <f t="array" ref="AS78">VLOOKUP($R78,武学奇术!$A:$ZZ,8,FALSE)+SUM(_xlfn.XLOOKUP(S78:AG78,增益!$A:$A,增益!$H:$H,0))</f>
        <v>0</v>
      </c>
      <c r="AT78">
        <f t="shared" si="13"/>
        <v>0</v>
      </c>
      <c r="AU78">
        <f t="shared" si="14"/>
        <v>0</v>
      </c>
      <c r="AV78" s="32" cm="1">
        <f t="array" ref="AV78">IF($F$11-$I$4+VLOOKUP($R78,武学奇术!$A:$ZZ,9,FALSE)+SUM(_xlfn.XLOOKUP(S78:AG78,增益!$A:$A,增益!$I:$I,0))&gt;0,($F$11-$I$4+VLOOKUP($R78,武学奇术!$A:$ZZ,9,FALSE)+SUM(_xlfn.XLOOKUP(S78:AG78,增益!$A:$A,增益!$I:$I,0)))/200,($F$11-$I$4+VLOOKUP($R78,武学奇术!$A:$ZZ,9,FALSE)+SUM(_xlfn.XLOOKUP(S78:AG78,增益!$A:$A,增益!$I:$I,0)))/100)</f>
        <v>-0.3</v>
      </c>
      <c r="AW78" s="32" cm="1">
        <f t="array" ref="AW78">$G$11+VLOOKUP($R78,武学奇术!$A:$ZZ,10,FALSE)+SUM(_xlfn.XLOOKUP(S78:AG78,增益!$A:$A,增益!$J:$J,0))</f>
        <v>0</v>
      </c>
      <c r="AX78">
        <f t="shared" si="15"/>
        <v>0</v>
      </c>
      <c r="AY78">
        <f t="shared" si="16"/>
        <v>0</v>
      </c>
      <c r="AZ78" s="32" cm="1">
        <f t="array" ref="AZ78">IF($F$12-$I$4+VLOOKUP($R78,武学奇术!$A:$ZZ,11,FALSE)+SUM(_xlfn.XLOOKUP(S78:AG78,增益!$A:$A,增益!$K:$K,0))&gt;0,($F$12-$I$4+VLOOKUP($R78,武学奇术!$A:$ZZ,11,FALSE)+SUM(_xlfn.XLOOKUP(S78:AG78,增益!$A:$A,增益!$K:$K,0)))/200,($F$12-$I$4+VLOOKUP($R78,武学奇术!$A:$ZZ,11,FALSE)+SUM(_xlfn.XLOOKUP(S78:AG78,增益!$A:$A,增益!$K:$K,0)))/100)</f>
        <v>-0.3</v>
      </c>
      <c r="BA78" s="32" cm="1">
        <f t="array" ref="BA78">$G$12+VLOOKUP($R78,武学奇术!$A:$ZZ,12,FALSE)+SUM(_xlfn.XLOOKUP(S78:AG78,增益!$A:$A,增益!$L:$L,0))</f>
        <v>0</v>
      </c>
      <c r="BB78">
        <f t="shared" si="17"/>
        <v>0</v>
      </c>
      <c r="BC78">
        <f t="shared" si="18"/>
        <v>0</v>
      </c>
      <c r="BD78" s="32" cm="1">
        <f t="array" ref="BD78">IF($F$13-$I$4+VLOOKUP($R78,武学奇术!$A:$ZZ,13,FALSE)+SUM(_xlfn.XLOOKUP(S78:AG78,增益!$A:$A,增益!$M:$M,0))&gt;0,($F$13-$I$4+VLOOKUP($R78,武学奇术!$A:$ZZ,13,FALSE)+SUM(_xlfn.XLOOKUP(S78:AG78,增益!$A:$A,增益!$K:$K,0)))/200,($F$13-$I$4+VLOOKUP($R78,武学奇术!$A:$ZZ,13,FALSE)+SUM(_xlfn.XLOOKUP(S78:AG78,增益!$A:$A,增益!$M:$M,0)))/100)</f>
        <v>-0.3</v>
      </c>
      <c r="BE78" s="32" cm="1">
        <f t="array" ref="BE78">$G$13+VLOOKUP($R78,武学奇术!$A:$ZZ,14,FALSE)+SUM(_xlfn.XLOOKUP(S78:AG78,增益!$A:$A,增益!$N:$N,0))</f>
        <v>0</v>
      </c>
      <c r="BF78">
        <f t="shared" si="19"/>
        <v>571.2</v>
      </c>
      <c r="BG78">
        <f t="shared" si="20"/>
        <v>1627.8</v>
      </c>
      <c r="BH78" s="32" cm="1">
        <f t="array" ref="BH78">IF($F$14-$I$4+VLOOKUP($R78,武学奇术!$A:$ZZ,15,FALSE)+SUM(_xlfn.XLOOKUP(S78:AG78,增益!$A:$A,增益!$O:$O,0))&gt;0,($F$14-$I$4+VLOOKUP($R78,武学奇术!$A:$ZZ,15,FALSE)+SUM(_xlfn.XLOOKUP(S78:AG78,增益!$A:$A,增益!$O:$O,0)))/200,($F$14-$I$4+VLOOKUP($R78,武学奇术!$A:$ZZ,15,FALSE)+SUM(_xlfn.XLOOKUP(S78:AG78,增益!$A:$A,增益!$O:$O,0)))/100)</f>
        <v>0</v>
      </c>
      <c r="BI78" s="32" cm="1">
        <f t="array" ref="BI78">$G$14+VLOOKUP($R78,武学奇术!$A:$ZZ,16,FALSE)+SUM(_xlfn.XLOOKUP(S78:AG78,增益!$A:$A,增益!$P:$P,0))</f>
        <v>0.27</v>
      </c>
      <c r="BJ78" s="26">
        <f>MIN(IF(VLOOKUP($R78,武学奇术!$A:$ZZ,23,FALSE)=1,100%,$B$8),100%)</f>
        <v>0.981</v>
      </c>
      <c r="BK78" s="26" cm="1">
        <f t="array" ref="BK78">IF(VLOOKUP($R78,武学奇术!$A:$ZZ,23,FALSE)=1,100%,MIN(80%,$B$9+VLOOKUP($R78,武学奇术!$A:$ZZ,17,FALSE)+SUM(_xlfn.XLOOKUP(S78:AG78,增益!$A:$A,增益!$Q:$Q,0)))+$B$11+SUM(_xlfn.XLOOKUP(S78:AG78,增益!$A:$A,增益!$U:$U,0)))*IF(VLOOKUP($R78,武学奇术!$A:$ZZ,24,FALSE)=1,0,1)</f>
        <v>0.846</v>
      </c>
      <c r="BL78" s="26" cm="1">
        <f t="array" ref="BL78">1+$B$13+VLOOKUP($R78,武学奇术!$A:$ZZ,18,FALSE)+SUM(_xlfn.XLOOKUP(S78:AG78,增益!$A:$A,增益!$R:$R,0))</f>
        <v>2.06</v>
      </c>
      <c r="BM78" s="26" cm="1">
        <f t="array" ref="BM78">IF(VLOOKUP($R78,武学奇术!$A:$ZZ,24,FALSE)=1,100%,MIN(40%,$B$10+VLOOKUP($R78,武学奇术!$A:$ZZ,19,FALSE)+SUM(_xlfn.XLOOKUP(S78:AG78,增益!$A:$A,增益!$S:$S,0)))+$B$12+SUM(_xlfn.XLOOKUP(S78:AG78,增益!$A:$A,增益!$V:$V,0)))*IF(VLOOKUP($R78,武学奇术!$A:$ZZ,23,FALSE)=1,0,1)</f>
        <v>0.0929</v>
      </c>
      <c r="BN78" s="26" cm="1">
        <f t="array" ref="BN78">1+$B$14+VLOOKUP($R78,武学奇术!$A:$ZZ,20,FALSE)+SUM(_xlfn.XLOOKUP(S78:AG78,增益!$A:$A,增益!$T:$T,0))</f>
        <v>1.35</v>
      </c>
      <c r="BO78" s="26">
        <f t="shared" si="21"/>
        <v>0.829926</v>
      </c>
      <c r="BP78" s="26">
        <f t="shared" si="22"/>
        <v>0.0599391</v>
      </c>
      <c r="BQ78" s="26">
        <f>IF(VLOOKUP($R78,武学奇术!$A:$ZZ,22,FALSE)=1,0,(1-$BJ78))*(1-$BM78)</f>
        <v>0.0172349</v>
      </c>
      <c r="BR78" s="26" cm="1">
        <f t="array" ref="BR78">SUM(_xlfn.XLOOKUP(S78:AG78,增益!$A:$A,增益!$W:$W,0))+$I$5</f>
        <v>0.21</v>
      </c>
    </row>
    <row r="79" spans="1:70">
      <c r="A79" s="4"/>
      <c r="B79" s="4"/>
      <c r="K79">
        <f>$L79*VLOOKUP($R79,武学奇术!$A:$ZZ,31,FALSE)</f>
        <v>103918.776019337</v>
      </c>
      <c r="L79" s="38">
        <f t="shared" si="12"/>
        <v>98970.2628755588</v>
      </c>
      <c r="M79" s="38">
        <f>((($AO79+$AP79)/2*$AI79+$AJ79)*(1+$AQ79)*(1+$AR79)+(($AT79+$AU79)/2*IF($G$1="鸣金",$AK79,$AI79)+IF($G$1="鸣金",$AL79*1.5,0))*(1+$AV79)*(1+$AW79)+(($AX79+$AY79)/2*IF($G$1="裂石",$AK79,$AI79)+IF($G$1="裂石",$AL79*1.5,0))*(1+$AZ79)*(1+$BA79)+(($BB79+$BC79)/2*IF($G$1="牵丝",$AK79,$AI79)+IF($G$1="牵丝",$AL79*1.5,0))*(1+$BD79)*(1+$BE79)+(($BF79+$BG79)/2*IF($G$1="破竹",$AK79,$AI79)+IF($G$1="破竹",$AL79*1.5,0))*(1+$BH79)*(1+$BI79))*(1+$AM79)*$BL79*$Q79*(1+IF(VLOOKUP($R79,武学奇术!$A:$ZZ,30,FALSE)="回旋伞",$B$21,0))*(1+$BR79)</f>
        <v>98970.2628755588</v>
      </c>
      <c r="N79" s="38">
        <f>(($AP79*$AI79+$AJ79)*(1+$AQ79)*(1+$AR79)+($AU79*IF($G$1="鸣金",$AK79,$AI79)+IF($G$1="鸣金",$AL79*1.5,0))*(1+$AV79)*(1+$AW79)+($AY79*IF($G$1="裂石",$AK79,$AI79)+IF($G$1="裂石",$AL79*1.5,0))*(1+$AZ79)*(1+$BA79)+($BC79*IF($G$1="牵丝",$AK79,$AI79)+IF($G$1="牵丝",$AL79*1.5,0))*(1+$BD79)*(1+$BE79)+($BG79*IF($G$1="破竹",$AK79,$AI79)+IF($G$1="破竹",$AL79*1.5,0))*(1+$BH79)*(1+$BI79))*(1+$AM79)*$BN79*$Q79*(1+IF(VLOOKUP($R79,武学奇术!$A:$ZZ,30,FALSE)="回旋伞",$B$21,0))*(1+$BR79)</f>
        <v>72606.1305866387</v>
      </c>
      <c r="O79" s="38">
        <f>((($AO79+$AP79)/2*$AI79+$AJ79)*(1+$AQ79)*(1+$AR79)+(($AT79+$AU79)/2*IF($G$1="鸣金",$AK79,$AI79)+IF($G$1="鸣金",$AL79*1.5,0))*(1+$AV79)*(1+$AW79)+(($AX79+$AY79)/2*IF($G$1="裂石",$AK79,$AI79)+IF($G$1="裂石",$AL79*1.5,0))*(1+$AZ79)*(1+$BA79)+(($BB79+$BC79)/2*IF($G$1="牵丝",$AK79,$AI79)+IF($G$1="牵丝",$AL79*1.5,0))*(1+$BD79)*(1+$BE79)+(($BF79+$BG79)/2*IF($G$1="破竹",$AK79,$AI79)+IF($G$1="破竹",$AL79*1.5,0))*(1+$BH79)*(1+$BI79))*(1+$AM79)*$Q79*(1+IF(VLOOKUP($R79,武学奇术!$A:$ZZ,30,FALSE)="回旋伞",$B$21,0))*(1+$BR79)</f>
        <v>48043.8169298829</v>
      </c>
      <c r="P79" s="38">
        <f>((($AO79*$AI79+$AJ79)*(1+$AQ79)*(1+$AR79)+($AT79*IF($G$1="鸣金",$AK79,$AI79)+IF($G$1="鸣金",$AL79*1.5,0))*(1+$AV79)*(1+$AW79)+($AX79*IF($G$1="裂石",$AK79,$AI79)+IF($G$1="裂石",$AL79*1.5,0))*(1+$AZ79)*(1+$BA79)+($BB79*IF($G$1="牵丝",$AK79,$AI79)+IF($G$1="牵丝",$AL79*1.5,0))*(1+$BD79)*(1+$BE79)+($BF79*IF($G$1="破竹",$AK79,$AI79)+IF($G$1="破竹",$AL79*1.5,0))*(1+$BH79)*(1+$BI79))*(1+$AM79))*$Q79*(1+IF(VLOOKUP($R79,武学奇术!$A:$ZZ,30,FALSE)="回旋伞",$B$21,0))*(1+$BR79)</f>
        <v>42305.3149067001</v>
      </c>
      <c r="Q79" s="39">
        <v>1</v>
      </c>
      <c r="R79" s="40" t="s">
        <v>125</v>
      </c>
      <c r="S79" s="40" t="s">
        <v>109</v>
      </c>
      <c r="T79" s="40" t="s">
        <v>95</v>
      </c>
      <c r="U79" s="40" t="s">
        <v>73</v>
      </c>
      <c r="V79" s="40" t="s">
        <v>81</v>
      </c>
      <c r="W79" s="40" t="s">
        <v>172</v>
      </c>
      <c r="X79" s="40" t="s">
        <v>99</v>
      </c>
      <c r="Y79" s="40" t="s">
        <v>72</v>
      </c>
      <c r="Z79" s="40" t="s">
        <v>176</v>
      </c>
      <c r="AA79" s="40" t="s">
        <v>72</v>
      </c>
      <c r="AB79" s="40" t="s">
        <v>126</v>
      </c>
      <c r="AC79" s="40" t="s">
        <v>72</v>
      </c>
      <c r="AD79" s="40" t="s">
        <v>178</v>
      </c>
      <c r="AE79" s="40" t="s">
        <v>72</v>
      </c>
      <c r="AF79" s="40" t="s">
        <v>72</v>
      </c>
      <c r="AG79" s="40" t="s">
        <v>78</v>
      </c>
      <c r="AH79" t="str">
        <f>VLOOKUP($R79,武学奇术!$A:$ZZ,25,FALSE)</f>
        <v>伞</v>
      </c>
      <c r="AI79" s="26">
        <f>VLOOKUP($R79,武学奇术!$A:$ZZ,26,FALSE)</f>
        <v>1.8084</v>
      </c>
      <c r="AJ79" s="27">
        <f>VLOOKUP($R79,武学奇术!$A:$ZZ,27,FALSE)*(1+IF(OR($AH79=$F$4,$AH79=$F$5),$B$22,0))</f>
        <v>750</v>
      </c>
      <c r="AK79" s="26">
        <f>VLOOKUP($R79,武学奇术!$A:$ZZ,28,FALSE)</f>
        <v>2.7126</v>
      </c>
      <c r="AL79" s="27">
        <f>VLOOKUP($R79,武学奇术!$A:$ZZ,29,FALSE)*(1+IF(OR($AH79=$F$4,$AH79=$F$5),$B$22,0))</f>
        <v>408</v>
      </c>
      <c r="AM79" s="26" cm="1">
        <f t="array" ref="AM79">$G$3+IFERROR(VLOOKUP($AH79,$F$4:$G$7,2,FALSE),0)+VLOOKUP($R79,武学奇术!$A:$ZZ,2,FALSE)+SUM(_xlfn.XLOOKUP($S79:$AG79,增益!$A:$A,增益!$B:$B,0))</f>
        <v>0.9741</v>
      </c>
      <c r="AN79" s="26" cm="1">
        <f t="array" ref="AN79">VLOOKUP($R79,武学奇术!$A:$ZZ,5,FALSE)+SUM(_xlfn.XLOOKUP($S79:$AG79,增益!$A:$A,增益!$E:$E,0))</f>
        <v>0</v>
      </c>
      <c r="AO79" cm="1">
        <f t="array" ref="AO79">$D$10*(1+$AN79)+VLOOKUP($R79,武学奇术!$A:$ZZ,3,FALSE)+SUM(_xlfn.XLOOKUP($S79:$AG79,增益!$A:$A,增益!$C:$C,0))-$I$2</f>
        <v>3562.6</v>
      </c>
      <c r="AP79" cm="1">
        <f t="array" ref="AP79">$E$10*(1+$AN79)+VLOOKUP($R79,武学奇术!$A:$ZZ,4,FALSE)+SUM(_xlfn.XLOOKUP($S79:$AG79,增益!$A:$A,增益!$D:$D,0))-$I$2</f>
        <v>3562.6</v>
      </c>
      <c r="AQ79" s="32" cm="1">
        <f t="array" ref="AQ79">IF($F$10-$I$3+VLOOKUP($R79,武学奇术!$A:$ZZ,6,FALSE)+SUM(_xlfn.XLOOKUP(S79:AG79,增益!$A:$A,增益!$F:$F,0))&gt;0,($F$10-$I$3+VLOOKUP($R79,武学奇术!$A:$ZZ,6,FALSE)+SUM(_xlfn.XLOOKUP(S79:AG79,增益!$A:$A,增益!$F:$F,0)))/200,($F$10-$I$3+VLOOKUP($R79,武学奇术!$A:$ZZ,6,FALSE)+SUM(_xlfn.XLOOKUP(S79:AG79,增益!$A:$A,增益!$F:$F,0)))/100)</f>
        <v>0.2925</v>
      </c>
      <c r="AR79" s="32" cm="1">
        <f t="array" ref="AR79">$G$10+VLOOKUP($R79,武学奇术!$A:$ZZ,7,FALSE)+SUM(_xlfn.XLOOKUP(S79:AG79,增益!$A:$A,增益!$G:$G,0))</f>
        <v>0.148</v>
      </c>
      <c r="AS79" s="26" cm="1">
        <f t="array" ref="AS79">VLOOKUP($R79,武学奇术!$A:$ZZ,8,FALSE)+SUM(_xlfn.XLOOKUP(S79:AG79,增益!$A:$A,增益!$H:$H,0))</f>
        <v>0</v>
      </c>
      <c r="AT79">
        <f t="shared" si="13"/>
        <v>0</v>
      </c>
      <c r="AU79">
        <f t="shared" si="14"/>
        <v>0</v>
      </c>
      <c r="AV79" s="32" cm="1">
        <f t="array" ref="AV79">IF($F$11-$I$4+VLOOKUP($R79,武学奇术!$A:$ZZ,9,FALSE)+SUM(_xlfn.XLOOKUP(S79:AG79,增益!$A:$A,增益!$I:$I,0))&gt;0,($F$11-$I$4+VLOOKUP($R79,武学奇术!$A:$ZZ,9,FALSE)+SUM(_xlfn.XLOOKUP(S79:AG79,增益!$A:$A,增益!$I:$I,0)))/200,($F$11-$I$4+VLOOKUP($R79,武学奇术!$A:$ZZ,9,FALSE)+SUM(_xlfn.XLOOKUP(S79:AG79,增益!$A:$A,增益!$I:$I,0)))/100)</f>
        <v>-0.3</v>
      </c>
      <c r="AW79" s="32" cm="1">
        <f t="array" ref="AW79">$G$11+VLOOKUP($R79,武学奇术!$A:$ZZ,10,FALSE)+SUM(_xlfn.XLOOKUP(S79:AG79,增益!$A:$A,增益!$J:$J,0))</f>
        <v>0</v>
      </c>
      <c r="AX79">
        <f t="shared" si="15"/>
        <v>0</v>
      </c>
      <c r="AY79">
        <f t="shared" si="16"/>
        <v>0</v>
      </c>
      <c r="AZ79" s="32" cm="1">
        <f t="array" ref="AZ79">IF($F$12-$I$4+VLOOKUP($R79,武学奇术!$A:$ZZ,11,FALSE)+SUM(_xlfn.XLOOKUP(S79:AG79,增益!$A:$A,增益!$K:$K,0))&gt;0,($F$12-$I$4+VLOOKUP($R79,武学奇术!$A:$ZZ,11,FALSE)+SUM(_xlfn.XLOOKUP(S79:AG79,增益!$A:$A,增益!$K:$K,0)))/200,($F$12-$I$4+VLOOKUP($R79,武学奇术!$A:$ZZ,11,FALSE)+SUM(_xlfn.XLOOKUP(S79:AG79,增益!$A:$A,增益!$K:$K,0)))/100)</f>
        <v>-0.3</v>
      </c>
      <c r="BA79" s="32" cm="1">
        <f t="array" ref="BA79">$G$12+VLOOKUP($R79,武学奇术!$A:$ZZ,12,FALSE)+SUM(_xlfn.XLOOKUP(S79:AG79,增益!$A:$A,增益!$L:$L,0))</f>
        <v>0</v>
      </c>
      <c r="BB79">
        <f t="shared" si="17"/>
        <v>0</v>
      </c>
      <c r="BC79">
        <f t="shared" si="18"/>
        <v>0</v>
      </c>
      <c r="BD79" s="32" cm="1">
        <f t="array" ref="BD79">IF($F$13-$I$4+VLOOKUP($R79,武学奇术!$A:$ZZ,13,FALSE)+SUM(_xlfn.XLOOKUP(S79:AG79,增益!$A:$A,增益!$M:$M,0))&gt;0,($F$13-$I$4+VLOOKUP($R79,武学奇术!$A:$ZZ,13,FALSE)+SUM(_xlfn.XLOOKUP(S79:AG79,增益!$A:$A,增益!$K:$K,0)))/200,($F$13-$I$4+VLOOKUP($R79,武学奇术!$A:$ZZ,13,FALSE)+SUM(_xlfn.XLOOKUP(S79:AG79,增益!$A:$A,增益!$M:$M,0)))/100)</f>
        <v>-0.3</v>
      </c>
      <c r="BE79" s="32" cm="1">
        <f t="array" ref="BE79">$G$13+VLOOKUP($R79,武学奇术!$A:$ZZ,14,FALSE)+SUM(_xlfn.XLOOKUP(S79:AG79,增益!$A:$A,增益!$N:$N,0))</f>
        <v>0</v>
      </c>
      <c r="BF79">
        <f t="shared" si="19"/>
        <v>571.2</v>
      </c>
      <c r="BG79">
        <f t="shared" si="20"/>
        <v>1627.8</v>
      </c>
      <c r="BH79" s="32" cm="1">
        <f t="array" ref="BH79">IF($F$14-$I$4+VLOOKUP($R79,武学奇术!$A:$ZZ,15,FALSE)+SUM(_xlfn.XLOOKUP(S79:AG79,增益!$A:$A,增益!$O:$O,0))&gt;0,($F$14-$I$4+VLOOKUP($R79,武学奇术!$A:$ZZ,15,FALSE)+SUM(_xlfn.XLOOKUP(S79:AG79,增益!$A:$A,增益!$O:$O,0)))/200,($F$14-$I$4+VLOOKUP($R79,武学奇术!$A:$ZZ,15,FALSE)+SUM(_xlfn.XLOOKUP(S79:AG79,增益!$A:$A,增益!$O:$O,0)))/100)</f>
        <v>0</v>
      </c>
      <c r="BI79" s="32" cm="1">
        <f t="array" ref="BI79">$G$14+VLOOKUP($R79,武学奇术!$A:$ZZ,16,FALSE)+SUM(_xlfn.XLOOKUP(S79:AG79,增益!$A:$A,增益!$P:$P,0))</f>
        <v>0.27</v>
      </c>
      <c r="BJ79" s="26">
        <f>MIN(IF(VLOOKUP($R79,武学奇术!$A:$ZZ,23,FALSE)=1,100%,$B$8),100%)</f>
        <v>1</v>
      </c>
      <c r="BK79" s="26" cm="1">
        <f t="array" ref="BK79">IF(VLOOKUP($R79,武学奇术!$A:$ZZ,23,FALSE)=1,100%,MIN(80%,$B$9+VLOOKUP($R79,武学奇术!$A:$ZZ,17,FALSE)+SUM(_xlfn.XLOOKUP(S79:AG79,增益!$A:$A,增益!$Q:$Q,0)))+$B$11+SUM(_xlfn.XLOOKUP(S79:AG79,增益!$A:$A,增益!$U:$U,0)))*IF(VLOOKUP($R79,武学奇术!$A:$ZZ,24,FALSE)=1,0,1)</f>
        <v>1</v>
      </c>
      <c r="BL79" s="26" cm="1">
        <f t="array" ref="BL79">1+$B$13+VLOOKUP($R79,武学奇术!$A:$ZZ,18,FALSE)+SUM(_xlfn.XLOOKUP(S79:AG79,增益!$A:$A,增益!$R:$R,0))</f>
        <v>2.06</v>
      </c>
      <c r="BM79" s="26" cm="1">
        <f t="array" ref="BM79">IF(VLOOKUP($R79,武学奇术!$A:$ZZ,24,FALSE)=1,100%,MIN(40%,$B$10+VLOOKUP($R79,武学奇术!$A:$ZZ,19,FALSE)+SUM(_xlfn.XLOOKUP(S79:AG79,增益!$A:$A,增益!$S:$S,0)))+$B$12+SUM(_xlfn.XLOOKUP(S79:AG79,增益!$A:$A,增益!$V:$V,0)))*IF(VLOOKUP($R79,武学奇术!$A:$ZZ,23,FALSE)=1,0,1)</f>
        <v>0</v>
      </c>
      <c r="BN79" s="26" cm="1">
        <f t="array" ref="BN79">1+$B$14+VLOOKUP($R79,武学奇术!$A:$ZZ,20,FALSE)+SUM(_xlfn.XLOOKUP(S79:AG79,增益!$A:$A,增益!$T:$T,0))</f>
        <v>1.35</v>
      </c>
      <c r="BO79" s="26">
        <f t="shared" si="21"/>
        <v>1</v>
      </c>
      <c r="BP79" s="26">
        <f t="shared" si="22"/>
        <v>0</v>
      </c>
      <c r="BQ79" s="26">
        <f>IF(VLOOKUP($R79,武学奇术!$A:$ZZ,22,FALSE)=1,0,(1-$BJ79))*(1-$BM79)</f>
        <v>0</v>
      </c>
      <c r="BR79" s="26" cm="1">
        <f t="array" ref="BR79">SUM(_xlfn.XLOOKUP(S79:AG79,增益!$A:$A,增益!$W:$W,0))+$I$5</f>
        <v>0.21</v>
      </c>
    </row>
    <row r="80" spans="1:70">
      <c r="A80" s="4"/>
      <c r="B80" s="4"/>
      <c r="C80" s="39"/>
      <c r="K80">
        <f>$L80*VLOOKUP($R80,武学奇术!$A:$ZZ,31,FALSE)</f>
        <v>59871.0001925947</v>
      </c>
      <c r="L80" s="38">
        <f t="shared" si="12"/>
        <v>57020.0001834235</v>
      </c>
      <c r="M80" s="38">
        <f>((($AO80+$AP80)/2*$AI80+$AJ80)*(1+$AQ80)*(1+$AR80)+(($AT80+$AU80)/2*IF($G$1="鸣金",$AK80,$AI80)+IF($G$1="鸣金",$AL80*1.5,0))*(1+$AV80)*(1+$AW80)+(($AX80+$AY80)/2*IF($G$1="裂石",$AK80,$AI80)+IF($G$1="裂石",$AL80*1.5,0))*(1+$AZ80)*(1+$BA80)+(($BB80+$BC80)/2*IF($G$1="牵丝",$AK80,$AI80)+IF($G$1="牵丝",$AL80*1.5,0))*(1+$BD80)*(1+$BE80)+(($BF80+$BG80)/2*IF($G$1="破竹",$AK80,$AI80)+IF($G$1="破竹",$AL80*1.5,0))*(1+$BH80)*(1+$BI80))*(1+$AM80)*$BL80*$Q80*(1+IF(VLOOKUP($R80,武学奇术!$A:$ZZ,30,FALSE)="回旋伞",$B$21,0))*(1+$BR80)</f>
        <v>57020.0001834235</v>
      </c>
      <c r="N80" s="38">
        <f>(($AP80*$AI80+$AJ80)*(1+$AQ80)*(1+$AR80)+($AU80*IF($G$1="鸣金",$AK80,$AI80)+IF($G$1="鸣金",$AL80*1.5,0))*(1+$AV80)*(1+$AW80)+($AY80*IF($G$1="裂石",$AK80,$AI80)+IF($G$1="裂石",$AL80*1.5,0))*(1+$AZ80)*(1+$BA80)+($BC80*IF($G$1="牵丝",$AK80,$AI80)+IF($G$1="牵丝",$AL80*1.5,0))*(1+$BD80)*(1+$BE80)+($BG80*IF($G$1="破竹",$AK80,$AI80)+IF($G$1="破竹",$AL80*1.5,0))*(1+$BH80)*(1+$BI80))*(1+$AM80)*$BN80*$Q80*(1+IF(VLOOKUP($R80,武学奇术!$A:$ZZ,30,FALSE)="回旋伞",$B$21,0))*(1+$BR80)</f>
        <v>42462.8013410454</v>
      </c>
      <c r="O80" s="38">
        <f>((($AO80+$AP80)/2*$AI80+$AJ80)*(1+$AQ80)*(1+$AR80)+(($AT80+$AU80)/2*IF($G$1="鸣金",$AK80,$AI80)+IF($G$1="鸣金",$AL80*1.5,0))*(1+$AV80)*(1+$AW80)+(($AX80+$AY80)/2*IF($G$1="裂石",$AK80,$AI80)+IF($G$1="裂石",$AL80*1.5,0))*(1+$AZ80)*(1+$BA80)+(($BB80+$BC80)/2*IF($G$1="牵丝",$AK80,$AI80)+IF($G$1="牵丝",$AL80*1.5,0))*(1+$BD80)*(1+$BE80)+(($BF80+$BG80)/2*IF($G$1="破竹",$AK80,$AI80)+IF($G$1="破竹",$AL80*1.5,0))*(1+$BH80)*(1+$BI80))*(1+$AM80)*$Q80*(1+IF(VLOOKUP($R80,武学奇术!$A:$ZZ,30,FALSE)="回旋伞",$B$21,0))*(1+$BR80)</f>
        <v>27679.611739526</v>
      </c>
      <c r="P80" s="38">
        <f>((($AO80*$AI80+$AJ80)*(1+$AQ80)*(1+$AR80)+($AT80*IF($G$1="鸣金",$AK80,$AI80)+IF($G$1="鸣金",$AL80*1.5,0))*(1+$AV80)*(1+$AW80)+($AX80*IF($G$1="裂石",$AK80,$AI80)+IF($G$1="裂石",$AL80*1.5,0))*(1+$AZ80)*(1+$BA80)+($BB80*IF($G$1="牵丝",$AK80,$AI80)+IF($G$1="牵丝",$AL80*1.5,0))*(1+$BD80)*(1+$BE80)+($BF80*IF($G$1="破竹",$AK80,$AI80)+IF($G$1="破竹",$AL80*1.5,0))*(1+$BH80)*(1+$BI80))*(1+$AM80))*$Q80*(1+IF(VLOOKUP($R80,武学奇术!$A:$ZZ,30,FALSE)="回旋伞",$B$21,0))*(1+$BR80)</f>
        <v>23905.296559759</v>
      </c>
      <c r="Q80" s="39">
        <v>2</v>
      </c>
      <c r="R80" s="40" t="s">
        <v>132</v>
      </c>
      <c r="S80" s="40" t="s">
        <v>109</v>
      </c>
      <c r="T80" s="40" t="s">
        <v>95</v>
      </c>
      <c r="U80" s="40" t="s">
        <v>73</v>
      </c>
      <c r="V80" s="40" t="s">
        <v>81</v>
      </c>
      <c r="W80" s="40" t="s">
        <v>172</v>
      </c>
      <c r="X80" s="40" t="s">
        <v>99</v>
      </c>
      <c r="Y80" s="40" t="s">
        <v>72</v>
      </c>
      <c r="Z80" s="40" t="s">
        <v>176</v>
      </c>
      <c r="AA80" s="40" t="s">
        <v>72</v>
      </c>
      <c r="AB80" s="40" t="s">
        <v>126</v>
      </c>
      <c r="AC80" s="40" t="s">
        <v>72</v>
      </c>
      <c r="AD80" s="40" t="s">
        <v>178</v>
      </c>
      <c r="AE80" s="40" t="s">
        <v>72</v>
      </c>
      <c r="AF80" s="40" t="s">
        <v>72</v>
      </c>
      <c r="AG80" s="40" t="s">
        <v>78</v>
      </c>
      <c r="AH80" t="str">
        <f>VLOOKUP($R80,武学奇术!$A:$ZZ,25,FALSE)</f>
        <v>伞</v>
      </c>
      <c r="AI80" s="26">
        <f>VLOOKUP($R80,武学奇术!$A:$ZZ,26,FALSE)</f>
        <v>0.54</v>
      </c>
      <c r="AJ80" s="27">
        <f>VLOOKUP($R80,武学奇术!$A:$ZZ,27,FALSE)*(1+IF(OR($AH80=$F$4,$AH80=$F$5),$B$22,0))</f>
        <v>0</v>
      </c>
      <c r="AK80" s="26">
        <f>VLOOKUP($R80,武学奇术!$A:$ZZ,28,FALSE)</f>
        <v>0.81</v>
      </c>
      <c r="AL80" s="27">
        <f>VLOOKUP($R80,武学奇术!$A:$ZZ,29,FALSE)*(1+IF(OR($AH80=$F$4,$AH80=$F$5),$B$22,0))</f>
        <v>0</v>
      </c>
      <c r="AM80" s="26" cm="1">
        <f t="array" ref="AM80">$G$3+IFERROR(VLOOKUP($AH80,$F$4:$G$7,2,FALSE),0)+VLOOKUP($R80,武学奇术!$A:$ZZ,2,FALSE)+SUM(_xlfn.XLOOKUP($S80:$AG80,增益!$A:$A,增益!$B:$B,0))</f>
        <v>1.1741</v>
      </c>
      <c r="AN80" s="26" cm="1">
        <f t="array" ref="AN80">VLOOKUP($R80,武学奇术!$A:$ZZ,5,FALSE)+SUM(_xlfn.XLOOKUP($S80:$AG80,增益!$A:$A,增益!$E:$E,0))</f>
        <v>0</v>
      </c>
      <c r="AO80" cm="1">
        <f t="array" ref="AO80">$D$10*(1+$AN80)+VLOOKUP($R80,武学奇术!$A:$ZZ,3,FALSE)+SUM(_xlfn.XLOOKUP($S80:$AG80,增益!$A:$A,增益!$C:$C,0))-$I$2</f>
        <v>3562.6</v>
      </c>
      <c r="AP80" cm="1">
        <f t="array" ref="AP80">$E$10*(1+$AN80)+VLOOKUP($R80,武学奇术!$A:$ZZ,4,FALSE)+SUM(_xlfn.XLOOKUP($S80:$AG80,增益!$A:$A,增益!$D:$D,0))-$I$2</f>
        <v>3562.6</v>
      </c>
      <c r="AQ80" s="32" cm="1">
        <f t="array" ref="AQ80">IF($F$10-$I$3+VLOOKUP($R80,武学奇术!$A:$ZZ,6,FALSE)+SUM(_xlfn.XLOOKUP(S80:AG80,增益!$A:$A,增益!$F:$F,0))&gt;0,($F$10-$I$3+VLOOKUP($R80,武学奇术!$A:$ZZ,6,FALSE)+SUM(_xlfn.XLOOKUP(S80:AG80,增益!$A:$A,增益!$F:$F,0)))/200,($F$10-$I$3+VLOOKUP($R80,武学奇术!$A:$ZZ,6,FALSE)+SUM(_xlfn.XLOOKUP(S80:AG80,增益!$A:$A,增益!$F:$F,0)))/100)</f>
        <v>0.2925</v>
      </c>
      <c r="AR80" s="32" cm="1">
        <f t="array" ref="AR80">$G$10+VLOOKUP($R80,武学奇术!$A:$ZZ,7,FALSE)+SUM(_xlfn.XLOOKUP(S80:AG80,增益!$A:$A,增益!$G:$G,0))</f>
        <v>0.148</v>
      </c>
      <c r="AS80" s="26" cm="1">
        <f t="array" ref="AS80">VLOOKUP($R80,武学奇术!$A:$ZZ,8,FALSE)+SUM(_xlfn.XLOOKUP(S80:AG80,增益!$A:$A,增益!$H:$H,0))</f>
        <v>0</v>
      </c>
      <c r="AT80">
        <f t="shared" si="13"/>
        <v>0</v>
      </c>
      <c r="AU80">
        <f t="shared" si="14"/>
        <v>0</v>
      </c>
      <c r="AV80" s="32" cm="1">
        <f t="array" ref="AV80">IF($F$11-$I$4+VLOOKUP($R80,武学奇术!$A:$ZZ,9,FALSE)+SUM(_xlfn.XLOOKUP(S80:AG80,增益!$A:$A,增益!$I:$I,0))&gt;0,($F$11-$I$4+VLOOKUP($R80,武学奇术!$A:$ZZ,9,FALSE)+SUM(_xlfn.XLOOKUP(S80:AG80,增益!$A:$A,增益!$I:$I,0)))/200,($F$11-$I$4+VLOOKUP($R80,武学奇术!$A:$ZZ,9,FALSE)+SUM(_xlfn.XLOOKUP(S80:AG80,增益!$A:$A,增益!$I:$I,0)))/100)</f>
        <v>-0.3</v>
      </c>
      <c r="AW80" s="32" cm="1">
        <f t="array" ref="AW80">$G$11+VLOOKUP($R80,武学奇术!$A:$ZZ,10,FALSE)+SUM(_xlfn.XLOOKUP(S80:AG80,增益!$A:$A,增益!$J:$J,0))</f>
        <v>0</v>
      </c>
      <c r="AX80">
        <f t="shared" si="15"/>
        <v>0</v>
      </c>
      <c r="AY80">
        <f t="shared" si="16"/>
        <v>0</v>
      </c>
      <c r="AZ80" s="32" cm="1">
        <f t="array" ref="AZ80">IF($F$12-$I$4+VLOOKUP($R80,武学奇术!$A:$ZZ,11,FALSE)+SUM(_xlfn.XLOOKUP(S80:AG80,增益!$A:$A,增益!$K:$K,0))&gt;0,($F$12-$I$4+VLOOKUP($R80,武学奇术!$A:$ZZ,11,FALSE)+SUM(_xlfn.XLOOKUP(S80:AG80,增益!$A:$A,增益!$K:$K,0)))/200,($F$12-$I$4+VLOOKUP($R80,武学奇术!$A:$ZZ,11,FALSE)+SUM(_xlfn.XLOOKUP(S80:AG80,增益!$A:$A,增益!$K:$K,0)))/100)</f>
        <v>-0.3</v>
      </c>
      <c r="BA80" s="32" cm="1">
        <f t="array" ref="BA80">$G$12+VLOOKUP($R80,武学奇术!$A:$ZZ,12,FALSE)+SUM(_xlfn.XLOOKUP(S80:AG80,增益!$A:$A,增益!$L:$L,0))</f>
        <v>0</v>
      </c>
      <c r="BB80">
        <f t="shared" si="17"/>
        <v>0</v>
      </c>
      <c r="BC80">
        <f t="shared" si="18"/>
        <v>0</v>
      </c>
      <c r="BD80" s="32" cm="1">
        <f t="array" ref="BD80">IF($F$13-$I$4+VLOOKUP($R80,武学奇术!$A:$ZZ,13,FALSE)+SUM(_xlfn.XLOOKUP(S80:AG80,增益!$A:$A,增益!$M:$M,0))&gt;0,($F$13-$I$4+VLOOKUP($R80,武学奇术!$A:$ZZ,13,FALSE)+SUM(_xlfn.XLOOKUP(S80:AG80,增益!$A:$A,增益!$K:$K,0)))/200,($F$13-$I$4+VLOOKUP($R80,武学奇术!$A:$ZZ,13,FALSE)+SUM(_xlfn.XLOOKUP(S80:AG80,增益!$A:$A,增益!$M:$M,0)))/100)</f>
        <v>-0.3</v>
      </c>
      <c r="BE80" s="32" cm="1">
        <f t="array" ref="BE80">$G$13+VLOOKUP($R80,武学奇术!$A:$ZZ,14,FALSE)+SUM(_xlfn.XLOOKUP(S80:AG80,增益!$A:$A,增益!$N:$N,0))</f>
        <v>0</v>
      </c>
      <c r="BF80">
        <f t="shared" si="19"/>
        <v>571.2</v>
      </c>
      <c r="BG80">
        <f t="shared" si="20"/>
        <v>1627.8</v>
      </c>
      <c r="BH80" s="32" cm="1">
        <f t="array" ref="BH80">IF($F$14-$I$4+VLOOKUP($R80,武学奇术!$A:$ZZ,15,FALSE)+SUM(_xlfn.XLOOKUP(S80:AG80,增益!$A:$A,增益!$O:$O,0))&gt;0,($F$14-$I$4+VLOOKUP($R80,武学奇术!$A:$ZZ,15,FALSE)+SUM(_xlfn.XLOOKUP(S80:AG80,增益!$A:$A,增益!$O:$O,0)))/200,($F$14-$I$4+VLOOKUP($R80,武学奇术!$A:$ZZ,15,FALSE)+SUM(_xlfn.XLOOKUP(S80:AG80,增益!$A:$A,增益!$O:$O,0)))/100)</f>
        <v>0</v>
      </c>
      <c r="BI80" s="32" cm="1">
        <f t="array" ref="BI80">$G$14+VLOOKUP($R80,武学奇术!$A:$ZZ,16,FALSE)+SUM(_xlfn.XLOOKUP(S80:AG80,增益!$A:$A,增益!$P:$P,0))</f>
        <v>0.27</v>
      </c>
      <c r="BJ80" s="26">
        <f>MIN(IF(VLOOKUP($R80,武学奇术!$A:$ZZ,23,FALSE)=1,100%,$B$8),100%)</f>
        <v>1</v>
      </c>
      <c r="BK80" s="26" cm="1">
        <f t="array" ref="BK80">IF(VLOOKUP($R80,武学奇术!$A:$ZZ,23,FALSE)=1,100%,MIN(80%,$B$9+VLOOKUP($R80,武学奇术!$A:$ZZ,17,FALSE)+SUM(_xlfn.XLOOKUP(S80:AG80,增益!$A:$A,增益!$Q:$Q,0)))+$B$11+SUM(_xlfn.XLOOKUP(S80:AG80,增益!$A:$A,增益!$U:$U,0)))*IF(VLOOKUP($R80,武学奇术!$A:$ZZ,24,FALSE)=1,0,1)</f>
        <v>1</v>
      </c>
      <c r="BL80" s="26" cm="1">
        <f t="array" ref="BL80">1+$B$13+VLOOKUP($R80,武学奇术!$A:$ZZ,18,FALSE)+SUM(_xlfn.XLOOKUP(S80:AG80,增益!$A:$A,增益!$R:$R,0))</f>
        <v>2.06</v>
      </c>
      <c r="BM80" s="26" cm="1">
        <f t="array" ref="BM80">IF(VLOOKUP($R80,武学奇术!$A:$ZZ,24,FALSE)=1,100%,MIN(40%,$B$10+VLOOKUP($R80,武学奇术!$A:$ZZ,19,FALSE)+SUM(_xlfn.XLOOKUP(S80:AG80,增益!$A:$A,增益!$S:$S,0)))+$B$12+SUM(_xlfn.XLOOKUP(S80:AG80,增益!$A:$A,增益!$V:$V,0)))*IF(VLOOKUP($R80,武学奇术!$A:$ZZ,23,FALSE)=1,0,1)</f>
        <v>0</v>
      </c>
      <c r="BN80" s="26" cm="1">
        <f t="array" ref="BN80">1+$B$14+VLOOKUP($R80,武学奇术!$A:$ZZ,20,FALSE)+SUM(_xlfn.XLOOKUP(S80:AG80,增益!$A:$A,增益!$T:$T,0))</f>
        <v>1.35</v>
      </c>
      <c r="BO80" s="26">
        <f t="shared" si="21"/>
        <v>1</v>
      </c>
      <c r="BP80" s="26">
        <f t="shared" si="22"/>
        <v>0</v>
      </c>
      <c r="BQ80" s="26">
        <f>IF(VLOOKUP($R80,武学奇术!$A:$ZZ,22,FALSE)=1,0,(1-$BJ80))*(1-$BM80)</f>
        <v>0</v>
      </c>
      <c r="BR80" s="26" cm="1">
        <f t="array" ref="BR80">SUM(_xlfn.XLOOKUP(S80:AG80,增益!$A:$A,增益!$W:$W,0))+$I$5</f>
        <v>0.21</v>
      </c>
    </row>
    <row r="81" spans="1:70">
      <c r="K81">
        <f>$L81*VLOOKUP($R81,武学奇术!$A:$ZZ,31,FALSE)</f>
        <v>87277.462571378</v>
      </c>
      <c r="L81" s="38">
        <f t="shared" si="12"/>
        <v>83121.3929251219</v>
      </c>
      <c r="M81" s="38">
        <f>((($AO81+$AP81)/2*$AI81+$AJ81)*(1+$AQ81)*(1+$AR81)+(($AT81+$AU81)/2*IF($G$1="鸣金",$AK81,$AI81)+IF($G$1="鸣金",$AL81*1.5,0))*(1+$AV81)*(1+$AW81)+(($AX81+$AY81)/2*IF($G$1="裂石",$AK81,$AI81)+IF($G$1="裂石",$AL81*1.5,0))*(1+$AZ81)*(1+$BA81)+(($BB81+$BC81)/2*IF($G$1="牵丝",$AK81,$AI81)+IF($G$1="牵丝",$AL81*1.5,0))*(1+$BD81)*(1+$BE81)+(($BF81+$BG81)/2*IF($G$1="破竹",$AK81,$AI81)+IF($G$1="破竹",$AL81*1.5,0))*(1+$BH81)*(1+$BI81))*(1+$AM81)*$BL81*$Q81*(1+IF(VLOOKUP($R81,武学奇术!$A:$ZZ,30,FALSE)="回旋伞",$B$21,0))*(1+$BR81)</f>
        <v>88943.3885656901</v>
      </c>
      <c r="N81" s="38">
        <f>(($AP81*$AI81+$AJ81)*(1+$AQ81)*(1+$AR81)+($AU81*IF($G$1="鸣金",$AK81,$AI81)+IF($G$1="鸣金",$AL81*1.5,0))*(1+$AV81)*(1+$AW81)+($AY81*IF($G$1="裂石",$AK81,$AI81)+IF($G$1="裂石",$AL81*1.5,0))*(1+$AZ81)*(1+$BA81)+($BC81*IF($G$1="牵丝",$AK81,$AI81)+IF($G$1="牵丝",$AL81*1.5,0))*(1+$BD81)*(1+$BE81)+($BG81*IF($G$1="破竹",$AK81,$AI81)+IF($G$1="破竹",$AL81*1.5,0))*(1+$BH81)*(1+$BI81))*(1+$AM81)*$BN81*$Q81*(1+IF(VLOOKUP($R81,武学奇术!$A:$ZZ,30,FALSE)="回旋伞",$B$21,0))*(1+$BR81)</f>
        <v>65250.2589908088</v>
      </c>
      <c r="O81" s="38">
        <f>((($AO81+$AP81)/2*$AI81+$AJ81)*(1+$AQ81)*(1+$AR81)+(($AT81+$AU81)/2*IF($G$1="鸣金",$AK81,$AI81)+IF($G$1="鸣金",$AL81*1.5,0))*(1+$AV81)*(1+$AW81)+(($AX81+$AY81)/2*IF($G$1="裂石",$AK81,$AI81)+IF($G$1="裂石",$AL81*1.5,0))*(1+$AZ81)*(1+$BA81)+(($BB81+$BC81)/2*IF($G$1="牵丝",$AK81,$AI81)+IF($G$1="牵丝",$AL81*1.5,0))*(1+$BD81)*(1+$BE81)+(($BF81+$BG81)/2*IF($G$1="破竹",$AK81,$AI81)+IF($G$1="破竹",$AL81*1.5,0))*(1+$BH81)*(1+$BI81))*(1+$AM81)*$Q81*(1+IF(VLOOKUP($R81,武学奇术!$A:$ZZ,30,FALSE)="回旋伞",$B$21,0))*(1+$BR81)</f>
        <v>43176.4022163544</v>
      </c>
      <c r="P81" s="38">
        <f>((($AO81*$AI81+$AJ81)*(1+$AQ81)*(1+$AR81)+($AT81*IF($G$1="鸣金",$AK81,$AI81)+IF($G$1="鸣金",$AL81*1.5,0))*(1+$AV81)*(1+$AW81)+($AX81*IF($G$1="裂石",$AK81,$AI81)+IF($G$1="裂石",$AL81*1.5,0))*(1+$AZ81)*(1+$BA81)+($BB81*IF($G$1="牵丝",$AK81,$AI81)+IF($G$1="牵丝",$AL81*1.5,0))*(1+$BD81)*(1+$BE81)+($BF81*IF($G$1="破竹",$AK81,$AI81)+IF($G$1="破竹",$AL81*1.5,0))*(1+$BH81)*(1+$BI81))*(1+$AM81))*$Q81*(1+IF(VLOOKUP($R81,武学奇术!$A:$ZZ,30,FALSE)="回旋伞",$B$21,0))*(1+$BR81)</f>
        <v>38019.279254332</v>
      </c>
      <c r="Q81" s="39">
        <v>1</v>
      </c>
      <c r="R81" s="40" t="s">
        <v>108</v>
      </c>
      <c r="S81" s="40" t="s">
        <v>109</v>
      </c>
      <c r="T81" s="40" t="s">
        <v>95</v>
      </c>
      <c r="U81" s="40" t="s">
        <v>73</v>
      </c>
      <c r="V81" s="40" t="s">
        <v>81</v>
      </c>
      <c r="W81" s="40" t="s">
        <v>172</v>
      </c>
      <c r="X81" s="40" t="s">
        <v>99</v>
      </c>
      <c r="Y81" s="40" t="s">
        <v>72</v>
      </c>
      <c r="Z81" s="40" t="s">
        <v>176</v>
      </c>
      <c r="AA81" s="40" t="s">
        <v>72</v>
      </c>
      <c r="AB81" s="40" t="s">
        <v>126</v>
      </c>
      <c r="AC81" s="40" t="s">
        <v>72</v>
      </c>
      <c r="AD81" s="40" t="s">
        <v>178</v>
      </c>
      <c r="AE81" s="40" t="s">
        <v>72</v>
      </c>
      <c r="AF81" s="40" t="s">
        <v>72</v>
      </c>
      <c r="AG81" s="40" t="s">
        <v>78</v>
      </c>
      <c r="AH81" t="str">
        <f>VLOOKUP($R81,武学奇术!$A:$ZZ,25,FALSE)</f>
        <v>伞</v>
      </c>
      <c r="AI81" s="26">
        <f>VLOOKUP($R81,武学奇术!$A:$ZZ,26,FALSE)</f>
        <v>1.8084</v>
      </c>
      <c r="AJ81" s="27">
        <f>VLOOKUP($R81,武学奇术!$A:$ZZ,27,FALSE)*(1+IF(OR($AH81=$F$4,$AH81=$F$5),$B$22,0))</f>
        <v>750</v>
      </c>
      <c r="AK81" s="26">
        <f>VLOOKUP($R81,武学奇术!$A:$ZZ,28,FALSE)</f>
        <v>2.7126</v>
      </c>
      <c r="AL81" s="27">
        <f>VLOOKUP($R81,武学奇术!$A:$ZZ,29,FALSE)*(1+IF(OR($AH81=$F$4,$AH81=$F$5),$B$22,0))</f>
        <v>408</v>
      </c>
      <c r="AM81" s="26" cm="1">
        <f t="array" ref="AM81">$G$3+IFERROR(VLOOKUP($AH81,$F$4:$G$7,2,FALSE),0)+VLOOKUP($R81,武学奇术!$A:$ZZ,2,FALSE)+SUM(_xlfn.XLOOKUP($S81:$AG81,增益!$A:$A,增益!$B:$B,0))</f>
        <v>0.7741</v>
      </c>
      <c r="AN81" s="26" cm="1">
        <f t="array" ref="AN81">VLOOKUP($R81,武学奇术!$A:$ZZ,5,FALSE)+SUM(_xlfn.XLOOKUP($S81:$AG81,增益!$A:$A,增益!$E:$E,0))</f>
        <v>0</v>
      </c>
      <c r="AO81" cm="1">
        <f t="array" ref="AO81">$D$10*(1+$AN81)+VLOOKUP($R81,武学奇术!$A:$ZZ,3,FALSE)+SUM(_xlfn.XLOOKUP($S81:$AG81,增益!$A:$A,增益!$C:$C,0))-$I$2</f>
        <v>3562.6</v>
      </c>
      <c r="AP81" cm="1">
        <f t="array" ref="AP81">$E$10*(1+$AN81)+VLOOKUP($R81,武学奇术!$A:$ZZ,4,FALSE)+SUM(_xlfn.XLOOKUP($S81:$AG81,增益!$A:$A,增益!$D:$D,0))-$I$2</f>
        <v>3562.6</v>
      </c>
      <c r="AQ81" s="32" cm="1">
        <f t="array" ref="AQ81">IF($F$10-$I$3+VLOOKUP($R81,武学奇术!$A:$ZZ,6,FALSE)+SUM(_xlfn.XLOOKUP(S81:AG81,增益!$A:$A,增益!$F:$F,0))&gt;0,($F$10-$I$3+VLOOKUP($R81,武学奇术!$A:$ZZ,6,FALSE)+SUM(_xlfn.XLOOKUP(S81:AG81,增益!$A:$A,增益!$F:$F,0)))/200,($F$10-$I$3+VLOOKUP($R81,武学奇术!$A:$ZZ,6,FALSE)+SUM(_xlfn.XLOOKUP(S81:AG81,增益!$A:$A,增益!$F:$F,0)))/100)</f>
        <v>0.2925</v>
      </c>
      <c r="AR81" s="32" cm="1">
        <f t="array" ref="AR81">$G$10+VLOOKUP($R81,武学奇术!$A:$ZZ,7,FALSE)+SUM(_xlfn.XLOOKUP(S81:AG81,增益!$A:$A,增益!$G:$G,0))</f>
        <v>0.148</v>
      </c>
      <c r="AS81" s="26" cm="1">
        <f t="array" ref="AS81">VLOOKUP($R81,武学奇术!$A:$ZZ,8,FALSE)+SUM(_xlfn.XLOOKUP(S81:AG81,增益!$A:$A,增益!$H:$H,0))</f>
        <v>0</v>
      </c>
      <c r="AT81">
        <f t="shared" si="13"/>
        <v>0</v>
      </c>
      <c r="AU81">
        <f t="shared" si="14"/>
        <v>0</v>
      </c>
      <c r="AV81" s="32" cm="1">
        <f t="array" ref="AV81">IF($F$11-$I$4+VLOOKUP($R81,武学奇术!$A:$ZZ,9,FALSE)+SUM(_xlfn.XLOOKUP(S81:AG81,增益!$A:$A,增益!$I:$I,0))&gt;0,($F$11-$I$4+VLOOKUP($R81,武学奇术!$A:$ZZ,9,FALSE)+SUM(_xlfn.XLOOKUP(S81:AG81,增益!$A:$A,增益!$I:$I,0)))/200,($F$11-$I$4+VLOOKUP($R81,武学奇术!$A:$ZZ,9,FALSE)+SUM(_xlfn.XLOOKUP(S81:AG81,增益!$A:$A,增益!$I:$I,0)))/100)</f>
        <v>-0.3</v>
      </c>
      <c r="AW81" s="32" cm="1">
        <f t="array" ref="AW81">$G$11+VLOOKUP($R81,武学奇术!$A:$ZZ,10,FALSE)+SUM(_xlfn.XLOOKUP(S81:AG81,增益!$A:$A,增益!$J:$J,0))</f>
        <v>0</v>
      </c>
      <c r="AX81">
        <f t="shared" si="15"/>
        <v>0</v>
      </c>
      <c r="AY81">
        <f t="shared" si="16"/>
        <v>0</v>
      </c>
      <c r="AZ81" s="32" cm="1">
        <f t="array" ref="AZ81">IF($F$12-$I$4+VLOOKUP($R81,武学奇术!$A:$ZZ,11,FALSE)+SUM(_xlfn.XLOOKUP(S81:AG81,增益!$A:$A,增益!$K:$K,0))&gt;0,($F$12-$I$4+VLOOKUP($R81,武学奇术!$A:$ZZ,11,FALSE)+SUM(_xlfn.XLOOKUP(S81:AG81,增益!$A:$A,增益!$K:$K,0)))/200,($F$12-$I$4+VLOOKUP($R81,武学奇术!$A:$ZZ,11,FALSE)+SUM(_xlfn.XLOOKUP(S81:AG81,增益!$A:$A,增益!$K:$K,0)))/100)</f>
        <v>-0.3</v>
      </c>
      <c r="BA81" s="32" cm="1">
        <f t="array" ref="BA81">$G$12+VLOOKUP($R81,武学奇术!$A:$ZZ,12,FALSE)+SUM(_xlfn.XLOOKUP(S81:AG81,增益!$A:$A,增益!$L:$L,0))</f>
        <v>0</v>
      </c>
      <c r="BB81">
        <f t="shared" si="17"/>
        <v>0</v>
      </c>
      <c r="BC81">
        <f t="shared" si="18"/>
        <v>0</v>
      </c>
      <c r="BD81" s="32" cm="1">
        <f t="array" ref="BD81">IF($F$13-$I$4+VLOOKUP($R81,武学奇术!$A:$ZZ,13,FALSE)+SUM(_xlfn.XLOOKUP(S81:AG81,增益!$A:$A,增益!$M:$M,0))&gt;0,($F$13-$I$4+VLOOKUP($R81,武学奇术!$A:$ZZ,13,FALSE)+SUM(_xlfn.XLOOKUP(S81:AG81,增益!$A:$A,增益!$K:$K,0)))/200,($F$13-$I$4+VLOOKUP($R81,武学奇术!$A:$ZZ,13,FALSE)+SUM(_xlfn.XLOOKUP(S81:AG81,增益!$A:$A,增益!$M:$M,0)))/100)</f>
        <v>-0.3</v>
      </c>
      <c r="BE81" s="32" cm="1">
        <f t="array" ref="BE81">$G$13+VLOOKUP($R81,武学奇术!$A:$ZZ,14,FALSE)+SUM(_xlfn.XLOOKUP(S81:AG81,增益!$A:$A,增益!$N:$N,0))</f>
        <v>0</v>
      </c>
      <c r="BF81">
        <f t="shared" si="19"/>
        <v>571.2</v>
      </c>
      <c r="BG81">
        <f t="shared" si="20"/>
        <v>1627.8</v>
      </c>
      <c r="BH81" s="32" cm="1">
        <f t="array" ref="BH81">IF($F$14-$I$4+VLOOKUP($R81,武学奇术!$A:$ZZ,15,FALSE)+SUM(_xlfn.XLOOKUP(S81:AG81,增益!$A:$A,增益!$O:$O,0))&gt;0,($F$14-$I$4+VLOOKUP($R81,武学奇术!$A:$ZZ,15,FALSE)+SUM(_xlfn.XLOOKUP(S81:AG81,增益!$A:$A,增益!$O:$O,0)))/200,($F$14-$I$4+VLOOKUP($R81,武学奇术!$A:$ZZ,15,FALSE)+SUM(_xlfn.XLOOKUP(S81:AG81,增益!$A:$A,增益!$O:$O,0)))/100)</f>
        <v>0</v>
      </c>
      <c r="BI81" s="32" cm="1">
        <f t="array" ref="BI81">$G$14+VLOOKUP($R81,武学奇术!$A:$ZZ,16,FALSE)+SUM(_xlfn.XLOOKUP(S81:AG81,增益!$A:$A,增益!$P:$P,0))</f>
        <v>0.27</v>
      </c>
      <c r="BJ81" s="26">
        <f>MIN(IF(VLOOKUP($R81,武学奇术!$A:$ZZ,23,FALSE)=1,100%,$B$8),100%)</f>
        <v>0.981</v>
      </c>
      <c r="BK81" s="26" cm="1">
        <f t="array" ref="BK81">IF(VLOOKUP($R81,武学奇术!$A:$ZZ,23,FALSE)=1,100%,MIN(80%,$B$9+VLOOKUP($R81,武学奇术!$A:$ZZ,17,FALSE)+SUM(_xlfn.XLOOKUP(S81:AG81,增益!$A:$A,增益!$Q:$Q,0)))+$B$11+SUM(_xlfn.XLOOKUP(S81:AG81,增益!$A:$A,增益!$U:$U,0)))*IF(VLOOKUP($R81,武学奇术!$A:$ZZ,24,FALSE)=1,0,1)</f>
        <v>0.846</v>
      </c>
      <c r="BL81" s="26" cm="1">
        <f t="array" ref="BL81">1+$B$13+VLOOKUP($R81,武学奇术!$A:$ZZ,18,FALSE)+SUM(_xlfn.XLOOKUP(S81:AG81,增益!$A:$A,增益!$R:$R,0))</f>
        <v>2.06</v>
      </c>
      <c r="BM81" s="26" cm="1">
        <f t="array" ref="BM81">IF(VLOOKUP($R81,武学奇术!$A:$ZZ,24,FALSE)=1,100%,MIN(40%,$B$10+VLOOKUP($R81,武学奇术!$A:$ZZ,19,FALSE)+SUM(_xlfn.XLOOKUP(S81:AG81,增益!$A:$A,增益!$S:$S,0)))+$B$12+SUM(_xlfn.XLOOKUP(S81:AG81,增益!$A:$A,增益!$V:$V,0)))*IF(VLOOKUP($R81,武学奇术!$A:$ZZ,23,FALSE)=1,0,1)</f>
        <v>0.0929</v>
      </c>
      <c r="BN81" s="26" cm="1">
        <f t="array" ref="BN81">1+$B$14+VLOOKUP($R81,武学奇术!$A:$ZZ,20,FALSE)+SUM(_xlfn.XLOOKUP(S81:AG81,增益!$A:$A,增益!$T:$T,0))</f>
        <v>1.35</v>
      </c>
      <c r="BO81" s="26">
        <f t="shared" si="21"/>
        <v>0.829926</v>
      </c>
      <c r="BP81" s="26">
        <f t="shared" si="22"/>
        <v>0.0599391</v>
      </c>
      <c r="BQ81" s="26">
        <f>IF(VLOOKUP($R81,武学奇术!$A:$ZZ,22,FALSE)=1,0,(1-$BJ81))*(1-$BM81)</f>
        <v>0.0172349</v>
      </c>
      <c r="BR81" s="26" cm="1">
        <f t="array" ref="BR81">SUM(_xlfn.XLOOKUP(S81:AG81,增益!$A:$A,增益!$W:$W,0))+$I$5</f>
        <v>0.21</v>
      </c>
    </row>
    <row r="82" spans="1:70">
      <c r="A82" s="4"/>
      <c r="B82" s="4"/>
      <c r="K82">
        <f>$L82*VLOOKUP($R82,武学奇术!$A:$ZZ,31,FALSE)</f>
        <v>50853.1509595156</v>
      </c>
      <c r="L82" s="38">
        <f t="shared" si="12"/>
        <v>48431.5723423958</v>
      </c>
      <c r="M82" s="38">
        <f>((($AO82+$AP82)/2*$AI82+$AJ82)*(1+$AQ82)*(1+$AR82)+(($AT82+$AU82)/2*IF($G$1="鸣金",$AK82,$AI82)+IF($G$1="鸣金",$AL82*1.5,0))*(1+$AV82)*(1+$AW82)+(($AX82+$AY82)/2*IF($G$1="裂石",$AK82,$AI82)+IF($G$1="裂石",$AL82*1.5,0))*(1+$AZ82)*(1+$BA82)+(($BB82+$BC82)/2*IF($G$1="牵丝",$AK82,$AI82)+IF($G$1="牵丝",$AL82*1.5,0))*(1+$BD82)*(1+$BE82)+(($BF82+$BG82)/2*IF($G$1="破竹",$AK82,$AI82)+IF($G$1="破竹",$AL82*1.5,0))*(1+$BH82)*(1+$BI82))*(1+$AM82)*$BL82*$Q82*(1+IF(VLOOKUP($R82,武学奇术!$A:$ZZ,30,FALSE)="回旋伞",$B$21,0))*(1+$BR82)</f>
        <v>51774.6112699951</v>
      </c>
      <c r="N82" s="38">
        <f>(($AP82*$AI82+$AJ82)*(1+$AQ82)*(1+$AR82)+($AU82*IF($G$1="鸣金",$AK82,$AI82)+IF($G$1="鸣金",$AL82*1.5,0))*(1+$AV82)*(1+$AW82)+($AY82*IF($G$1="裂石",$AK82,$AI82)+IF($G$1="裂石",$AL82*1.5,0))*(1+$AZ82)*(1+$BA82)+($BC82*IF($G$1="牵丝",$AK82,$AI82)+IF($G$1="牵丝",$AL82*1.5,0))*(1+$BD82)*(1+$BE82)+($BG82*IF($G$1="破竹",$AK82,$AI82)+IF($G$1="破竹",$AL82*1.5,0))*(1+$BH82)*(1+$BI82))*(1+$AM82)*$BN82*$Q82*(1+IF(VLOOKUP($R82,武学奇术!$A:$ZZ,30,FALSE)="回旋伞",$B$21,0))*(1+$BR82)</f>
        <v>38556.5595544629</v>
      </c>
      <c r="O82" s="38">
        <f>((($AO82+$AP82)/2*$AI82+$AJ82)*(1+$AQ82)*(1+$AR82)+(($AT82+$AU82)/2*IF($G$1="鸣金",$AK82,$AI82)+IF($G$1="鸣金",$AL82*1.5,0))*(1+$AV82)*(1+$AW82)+(($AX82+$AY82)/2*IF($G$1="裂石",$AK82,$AI82)+IF($G$1="裂石",$AL82*1.5,0))*(1+$AZ82)*(1+$BA82)+(($BB82+$BC82)/2*IF($G$1="牵丝",$AK82,$AI82)+IF($G$1="牵丝",$AL82*1.5,0))*(1+$BD82)*(1+$BE82)+(($BF82+$BG82)/2*IF($G$1="破竹",$AK82,$AI82)+IF($G$1="破竹",$AL82*1.5,0))*(1+$BH82)*(1+$BI82))*(1+$AM82)*$Q82*(1+IF(VLOOKUP($R82,武学奇术!$A:$ZZ,30,FALSE)="回旋伞",$B$21,0))*(1+$BR82)</f>
        <v>25133.3064417452</v>
      </c>
      <c r="P82" s="38">
        <f>((($AO82*$AI82+$AJ82)*(1+$AQ82)*(1+$AR82)+($AT82*IF($G$1="鸣金",$AK82,$AI82)+IF($G$1="鸣金",$AL82*1.5,0))*(1+$AV82)*(1+$AW82)+($AX82*IF($G$1="裂石",$AK82,$AI82)+IF($G$1="裂石",$AL82*1.5,0))*(1+$AZ82)*(1+$BA82)+($BB82*IF($G$1="牵丝",$AK82,$AI82)+IF($G$1="牵丝",$AL82*1.5,0))*(1+$BD82)*(1+$BE82)+($BF82*IF($G$1="破竹",$AK82,$AI82)+IF($G$1="破竹",$AL82*1.5,0))*(1+$BH82)*(1+$BI82))*(1+$AM82))*$Q82*(1+IF(VLOOKUP($R82,武学奇术!$A:$ZZ,30,FALSE)="回旋伞",$B$21,0))*(1+$BR82)</f>
        <v>21706.1983987031</v>
      </c>
      <c r="Q82" s="39">
        <v>2</v>
      </c>
      <c r="R82" s="40" t="s">
        <v>112</v>
      </c>
      <c r="S82" s="40" t="s">
        <v>109</v>
      </c>
      <c r="T82" s="40" t="s">
        <v>95</v>
      </c>
      <c r="U82" s="40" t="s">
        <v>73</v>
      </c>
      <c r="V82" s="40" t="s">
        <v>81</v>
      </c>
      <c r="W82" s="40" t="s">
        <v>172</v>
      </c>
      <c r="X82" s="40" t="s">
        <v>99</v>
      </c>
      <c r="Y82" s="40" t="s">
        <v>72</v>
      </c>
      <c r="Z82" s="40" t="s">
        <v>176</v>
      </c>
      <c r="AA82" s="40" t="s">
        <v>72</v>
      </c>
      <c r="AB82" s="40" t="s">
        <v>126</v>
      </c>
      <c r="AC82" s="40" t="s">
        <v>72</v>
      </c>
      <c r="AD82" s="40" t="s">
        <v>178</v>
      </c>
      <c r="AE82" s="40" t="s">
        <v>72</v>
      </c>
      <c r="AF82" s="40" t="s">
        <v>72</v>
      </c>
      <c r="AG82" s="40" t="s">
        <v>78</v>
      </c>
      <c r="AH82" t="str">
        <f>VLOOKUP($R82,武学奇术!$A:$ZZ,25,FALSE)</f>
        <v>伞</v>
      </c>
      <c r="AI82" s="26">
        <f>VLOOKUP($R82,武学奇术!$A:$ZZ,26,FALSE)</f>
        <v>0.54</v>
      </c>
      <c r="AJ82" s="27">
        <f>VLOOKUP($R82,武学奇术!$A:$ZZ,27,FALSE)*(1+IF(OR($AH82=$F$4,$AH82=$F$5),$B$22,0))</f>
        <v>0</v>
      </c>
      <c r="AK82" s="26">
        <f>VLOOKUP($R82,武学奇术!$A:$ZZ,28,FALSE)</f>
        <v>0.81</v>
      </c>
      <c r="AL82" s="27">
        <f>VLOOKUP($R82,武学奇术!$A:$ZZ,29,FALSE)*(1+IF(OR($AH82=$F$4,$AH82=$F$5),$B$22,0))</f>
        <v>0</v>
      </c>
      <c r="AM82" s="26" cm="1">
        <f t="array" ref="AM82">$G$3+IFERROR(VLOOKUP($AH82,$F$4:$G$7,2,FALSE),0)+VLOOKUP($R82,武学奇术!$A:$ZZ,2,FALSE)+SUM(_xlfn.XLOOKUP($S82:$AG82,增益!$A:$A,增益!$B:$B,0))</f>
        <v>0.9741</v>
      </c>
      <c r="AN82" s="26" cm="1">
        <f t="array" ref="AN82">VLOOKUP($R82,武学奇术!$A:$ZZ,5,FALSE)+SUM(_xlfn.XLOOKUP($S82:$AG82,增益!$A:$A,增益!$E:$E,0))</f>
        <v>0</v>
      </c>
      <c r="AO82" cm="1">
        <f t="array" ref="AO82">$D$10*(1+$AN82)+VLOOKUP($R82,武学奇术!$A:$ZZ,3,FALSE)+SUM(_xlfn.XLOOKUP($S82:$AG82,增益!$A:$A,增益!$C:$C,0))-$I$2</f>
        <v>3562.6</v>
      </c>
      <c r="AP82" cm="1">
        <f t="array" ref="AP82">$E$10*(1+$AN82)+VLOOKUP($R82,武学奇术!$A:$ZZ,4,FALSE)+SUM(_xlfn.XLOOKUP($S82:$AG82,增益!$A:$A,增益!$D:$D,0))-$I$2</f>
        <v>3562.6</v>
      </c>
      <c r="AQ82" s="32" cm="1">
        <f t="array" ref="AQ82">IF($F$10-$I$3+VLOOKUP($R82,武学奇术!$A:$ZZ,6,FALSE)+SUM(_xlfn.XLOOKUP(S82:AG82,增益!$A:$A,增益!$F:$F,0))&gt;0,($F$10-$I$3+VLOOKUP($R82,武学奇术!$A:$ZZ,6,FALSE)+SUM(_xlfn.XLOOKUP(S82:AG82,增益!$A:$A,增益!$F:$F,0)))/200,($F$10-$I$3+VLOOKUP($R82,武学奇术!$A:$ZZ,6,FALSE)+SUM(_xlfn.XLOOKUP(S82:AG82,增益!$A:$A,增益!$F:$F,0)))/100)</f>
        <v>0.2925</v>
      </c>
      <c r="AR82" s="32" cm="1">
        <f t="array" ref="AR82">$G$10+VLOOKUP($R82,武学奇术!$A:$ZZ,7,FALSE)+SUM(_xlfn.XLOOKUP(S82:AG82,增益!$A:$A,增益!$G:$G,0))</f>
        <v>0.148</v>
      </c>
      <c r="AS82" s="26" cm="1">
        <f t="array" ref="AS82">VLOOKUP($R82,武学奇术!$A:$ZZ,8,FALSE)+SUM(_xlfn.XLOOKUP(S82:AG82,增益!$A:$A,增益!$H:$H,0))</f>
        <v>0</v>
      </c>
      <c r="AT82">
        <f t="shared" si="13"/>
        <v>0</v>
      </c>
      <c r="AU82">
        <f t="shared" si="14"/>
        <v>0</v>
      </c>
      <c r="AV82" s="32" cm="1">
        <f t="array" ref="AV82">IF($F$11-$I$4+VLOOKUP($R82,武学奇术!$A:$ZZ,9,FALSE)+SUM(_xlfn.XLOOKUP(S82:AG82,增益!$A:$A,增益!$I:$I,0))&gt;0,($F$11-$I$4+VLOOKUP($R82,武学奇术!$A:$ZZ,9,FALSE)+SUM(_xlfn.XLOOKUP(S82:AG82,增益!$A:$A,增益!$I:$I,0)))/200,($F$11-$I$4+VLOOKUP($R82,武学奇术!$A:$ZZ,9,FALSE)+SUM(_xlfn.XLOOKUP(S82:AG82,增益!$A:$A,增益!$I:$I,0)))/100)</f>
        <v>-0.3</v>
      </c>
      <c r="AW82" s="32" cm="1">
        <f t="array" ref="AW82">$G$11+VLOOKUP($R82,武学奇术!$A:$ZZ,10,FALSE)+SUM(_xlfn.XLOOKUP(S82:AG82,增益!$A:$A,增益!$J:$J,0))</f>
        <v>0</v>
      </c>
      <c r="AX82">
        <f t="shared" si="15"/>
        <v>0</v>
      </c>
      <c r="AY82">
        <f t="shared" si="16"/>
        <v>0</v>
      </c>
      <c r="AZ82" s="32" cm="1">
        <f t="array" ref="AZ82">IF($F$12-$I$4+VLOOKUP($R82,武学奇术!$A:$ZZ,11,FALSE)+SUM(_xlfn.XLOOKUP(S82:AG82,增益!$A:$A,增益!$K:$K,0))&gt;0,($F$12-$I$4+VLOOKUP($R82,武学奇术!$A:$ZZ,11,FALSE)+SUM(_xlfn.XLOOKUP(S82:AG82,增益!$A:$A,增益!$K:$K,0)))/200,($F$12-$I$4+VLOOKUP($R82,武学奇术!$A:$ZZ,11,FALSE)+SUM(_xlfn.XLOOKUP(S82:AG82,增益!$A:$A,增益!$K:$K,0)))/100)</f>
        <v>-0.3</v>
      </c>
      <c r="BA82" s="32" cm="1">
        <f t="array" ref="BA82">$G$12+VLOOKUP($R82,武学奇术!$A:$ZZ,12,FALSE)+SUM(_xlfn.XLOOKUP(S82:AG82,增益!$A:$A,增益!$L:$L,0))</f>
        <v>0</v>
      </c>
      <c r="BB82">
        <f t="shared" si="17"/>
        <v>0</v>
      </c>
      <c r="BC82">
        <f t="shared" si="18"/>
        <v>0</v>
      </c>
      <c r="BD82" s="32" cm="1">
        <f t="array" ref="BD82">IF($F$13-$I$4+VLOOKUP($R82,武学奇术!$A:$ZZ,13,FALSE)+SUM(_xlfn.XLOOKUP(S82:AG82,增益!$A:$A,增益!$M:$M,0))&gt;0,($F$13-$I$4+VLOOKUP($R82,武学奇术!$A:$ZZ,13,FALSE)+SUM(_xlfn.XLOOKUP(S82:AG82,增益!$A:$A,增益!$K:$K,0)))/200,($F$13-$I$4+VLOOKUP($R82,武学奇术!$A:$ZZ,13,FALSE)+SUM(_xlfn.XLOOKUP(S82:AG82,增益!$A:$A,增益!$M:$M,0)))/100)</f>
        <v>-0.3</v>
      </c>
      <c r="BE82" s="32" cm="1">
        <f t="array" ref="BE82">$G$13+VLOOKUP($R82,武学奇术!$A:$ZZ,14,FALSE)+SUM(_xlfn.XLOOKUP(S82:AG82,增益!$A:$A,增益!$N:$N,0))</f>
        <v>0</v>
      </c>
      <c r="BF82">
        <f t="shared" si="19"/>
        <v>571.2</v>
      </c>
      <c r="BG82">
        <f t="shared" si="20"/>
        <v>1627.8</v>
      </c>
      <c r="BH82" s="32" cm="1">
        <f t="array" ref="BH82">IF($F$14-$I$4+VLOOKUP($R82,武学奇术!$A:$ZZ,15,FALSE)+SUM(_xlfn.XLOOKUP(S82:AG82,增益!$A:$A,增益!$O:$O,0))&gt;0,($F$14-$I$4+VLOOKUP($R82,武学奇术!$A:$ZZ,15,FALSE)+SUM(_xlfn.XLOOKUP(S82:AG82,增益!$A:$A,增益!$O:$O,0)))/200,($F$14-$I$4+VLOOKUP($R82,武学奇术!$A:$ZZ,15,FALSE)+SUM(_xlfn.XLOOKUP(S82:AG82,增益!$A:$A,增益!$O:$O,0)))/100)</f>
        <v>0</v>
      </c>
      <c r="BI82" s="32" cm="1">
        <f t="array" ref="BI82">$G$14+VLOOKUP($R82,武学奇术!$A:$ZZ,16,FALSE)+SUM(_xlfn.XLOOKUP(S82:AG82,增益!$A:$A,增益!$P:$P,0))</f>
        <v>0.27</v>
      </c>
      <c r="BJ82" s="26">
        <f>MIN(IF(VLOOKUP($R82,武学奇术!$A:$ZZ,23,FALSE)=1,100%,$B$8),100%)</f>
        <v>0.981</v>
      </c>
      <c r="BK82" s="26" cm="1">
        <f t="array" ref="BK82">IF(VLOOKUP($R82,武学奇术!$A:$ZZ,23,FALSE)=1,100%,MIN(80%,$B$9+VLOOKUP($R82,武学奇术!$A:$ZZ,17,FALSE)+SUM(_xlfn.XLOOKUP(S82:AG82,增益!$A:$A,增益!$Q:$Q,0)))+$B$11+SUM(_xlfn.XLOOKUP(S82:AG82,增益!$A:$A,增益!$U:$U,0)))*IF(VLOOKUP($R82,武学奇术!$A:$ZZ,24,FALSE)=1,0,1)</f>
        <v>0.846</v>
      </c>
      <c r="BL82" s="26" cm="1">
        <f t="array" ref="BL82">1+$B$13+VLOOKUP($R82,武学奇术!$A:$ZZ,18,FALSE)+SUM(_xlfn.XLOOKUP(S82:AG82,增益!$A:$A,增益!$R:$R,0))</f>
        <v>2.06</v>
      </c>
      <c r="BM82" s="26" cm="1">
        <f t="array" ref="BM82">IF(VLOOKUP($R82,武学奇术!$A:$ZZ,24,FALSE)=1,100%,MIN(40%,$B$10+VLOOKUP($R82,武学奇术!$A:$ZZ,19,FALSE)+SUM(_xlfn.XLOOKUP(S82:AG82,增益!$A:$A,增益!$S:$S,0)))+$B$12+SUM(_xlfn.XLOOKUP(S82:AG82,增益!$A:$A,增益!$V:$V,0)))*IF(VLOOKUP($R82,武学奇术!$A:$ZZ,23,FALSE)=1,0,1)</f>
        <v>0.0929</v>
      </c>
      <c r="BN82" s="26" cm="1">
        <f t="array" ref="BN82">1+$B$14+VLOOKUP($R82,武学奇术!$A:$ZZ,20,FALSE)+SUM(_xlfn.XLOOKUP(S82:AG82,增益!$A:$A,增益!$T:$T,0))</f>
        <v>1.35</v>
      </c>
      <c r="BO82" s="26">
        <f t="shared" si="21"/>
        <v>0.829926</v>
      </c>
      <c r="BP82" s="26">
        <f t="shared" si="22"/>
        <v>0.0599391</v>
      </c>
      <c r="BQ82" s="26">
        <f>IF(VLOOKUP($R82,武学奇术!$A:$ZZ,22,FALSE)=1,0,(1-$BJ82))*(1-$BM82)</f>
        <v>0.0172349</v>
      </c>
      <c r="BR82" s="26" cm="1">
        <f t="array" ref="BR82">SUM(_xlfn.XLOOKUP(S82:AG82,增益!$A:$A,增益!$W:$W,0))+$I$5</f>
        <v>0.21</v>
      </c>
    </row>
    <row r="83" spans="1:70">
      <c r="A83" s="4"/>
      <c r="B83" s="4"/>
      <c r="K83">
        <f>$L83*VLOOKUP($R83,武学奇术!$A:$ZZ,31,FALSE)</f>
        <v>55761.1654162214</v>
      </c>
      <c r="L83" s="38">
        <f t="shared" si="12"/>
        <v>53105.8718249727</v>
      </c>
      <c r="M83" s="38">
        <f>((($AO83+$AP83)/2*$AI83+$AJ83)*(1+$AQ83)*(1+$AR83)+(($AT83+$AU83)/2*IF($G$1="鸣金",$AK83,$AI83)+IF($G$1="鸣金",$AL83*1.5,0))*(1+$AV83)*(1+$AW83)+(($AX83+$AY83)/2*IF($G$1="裂石",$AK83,$AI83)+IF($G$1="裂石",$AL83*1.5,0))*(1+$AZ83)*(1+$BA83)+(($BB83+$BC83)/2*IF($G$1="牵丝",$AK83,$AI83)+IF($G$1="牵丝",$AL83*1.5,0))*(1+$BD83)*(1+$BE83)+(($BF83+$BG83)/2*IF($G$1="破竹",$AK83,$AI83)+IF($G$1="破竹",$AL83*1.5,0))*(1+$BH83)*(1+$BI83))*(1+$AM83)*$BL83*$Q83*(1+IF(VLOOKUP($R83,武学奇术!$A:$ZZ,30,FALSE)="回旋伞",$B$21,0))*(1+$BR83)</f>
        <v>53105.8718249727</v>
      </c>
      <c r="N83" s="38">
        <f>(($AP83*$AI83+$AJ83)*(1+$AQ83)*(1+$AR83)+($AU83*IF($G$1="鸣金",$AK83,$AI83)+IF($G$1="鸣金",$AL83*1.5,0))*(1+$AV83)*(1+$AW83)+($AY83*IF($G$1="裂石",$AK83,$AI83)+IF($G$1="裂石",$AL83*1.5,0))*(1+$AZ83)*(1+$BA83)+($BC83*IF($G$1="牵丝",$AK83,$AI83)+IF($G$1="牵丝",$AL83*1.5,0))*(1+$BD83)*(1+$BE83)+($BG83*IF($G$1="破竹",$AK83,$AI83)+IF($G$1="破竹",$AL83*1.5,0))*(1+$BH83)*(1+$BI83))*(1+$AM83)*$BN83*$Q83*(1+IF(VLOOKUP($R83,武学奇术!$A:$ZZ,30,FALSE)="回旋伞",$B$21,0))*(1+$BR83)</f>
        <v>42052.3868116326</v>
      </c>
      <c r="O83" s="38">
        <f>((($AO83+$AP83)/2*$AI83+$AJ83)*(1+$AQ83)*(1+$AR83)+(($AT83+$AU83)/2*IF($G$1="鸣金",$AK83,$AI83)+IF($G$1="鸣金",$AL83*1.5,0))*(1+$AV83)*(1+$AW83)+(($AX83+$AY83)/2*IF($G$1="裂石",$AK83,$AI83)+IF($G$1="裂石",$AL83*1.5,0))*(1+$AZ83)*(1+$BA83)+(($BB83+$BC83)/2*IF($G$1="牵丝",$AK83,$AI83)+IF($G$1="牵丝",$AL83*1.5,0))*(1+$BD83)*(1+$BE83)+(($BF83+$BG83)/2*IF($G$1="破竹",$AK83,$AI83)+IF($G$1="破竹",$AL83*1.5,0))*(1+$BH83)*(1+$BI83))*(1+$AM83)*$Q83*(1+IF(VLOOKUP($R83,武学奇术!$A:$ZZ,30,FALSE)="回旋伞",$B$21,0))*(1+$BR83)</f>
        <v>27804.1213743313</v>
      </c>
      <c r="P83" s="38">
        <f>((($AO83*$AI83+$AJ83)*(1+$AQ83)*(1+$AR83)+($AT83*IF($G$1="鸣金",$AK83,$AI83)+IF($G$1="鸣金",$AL83*1.5,0))*(1+$AV83)*(1+$AW83)+($AX83*IF($G$1="裂石",$AK83,$AI83)+IF($G$1="裂石",$AL83*1.5,0))*(1+$AZ83)*(1+$BA83)+($BB83*IF($G$1="牵丝",$AK83,$AI83)+IF($G$1="牵丝",$AL83*1.5,0))*(1+$BD83)*(1+$BE83)+($BF83*IF($G$1="破竹",$AK83,$AI83)+IF($G$1="破竹",$AL83*1.5,0))*(1+$BH83)*(1+$BI83))*(1+$AM83))*$Q83*(1+IF(VLOOKUP($R83,武学奇术!$A:$ZZ,30,FALSE)="回旋伞",$B$21,0))*(1+$BR83)</f>
        <v>24458.3265918976</v>
      </c>
      <c r="Q83" s="39">
        <v>1</v>
      </c>
      <c r="R83" s="40" t="s">
        <v>166</v>
      </c>
      <c r="S83" s="40" t="s">
        <v>72</v>
      </c>
      <c r="T83" s="40" t="s">
        <v>95</v>
      </c>
      <c r="U83" s="40" t="s">
        <v>73</v>
      </c>
      <c r="V83" s="40" t="s">
        <v>72</v>
      </c>
      <c r="W83" s="40" t="s">
        <v>172</v>
      </c>
      <c r="X83" s="40" t="s">
        <v>99</v>
      </c>
      <c r="Y83" s="40" t="s">
        <v>72</v>
      </c>
      <c r="Z83" s="40" t="s">
        <v>72</v>
      </c>
      <c r="AA83" s="40" t="s">
        <v>72</v>
      </c>
      <c r="AB83" s="40" t="s">
        <v>72</v>
      </c>
      <c r="AC83" s="40" t="s">
        <v>72</v>
      </c>
      <c r="AD83" s="40" t="s">
        <v>72</v>
      </c>
      <c r="AE83" s="40" t="s">
        <v>72</v>
      </c>
      <c r="AF83" s="40" t="s">
        <v>72</v>
      </c>
      <c r="AG83" s="40" t="s">
        <v>78</v>
      </c>
      <c r="AH83" t="str">
        <f>VLOOKUP($R83,武学奇术!$A:$ZZ,25,FALSE)</f>
        <v>绳镖</v>
      </c>
      <c r="AI83" s="26">
        <f>VLOOKUP($R83,武学奇术!$A:$ZZ,26,FALSE)</f>
        <v>2.2987</v>
      </c>
      <c r="AJ83" s="27">
        <f>VLOOKUP($R83,武学奇术!$A:$ZZ,27,FALSE)*(1+IF(OR($AH83=$F$4,$AH83=$F$5),$B$22,0))</f>
        <v>955.5</v>
      </c>
      <c r="AK83" s="26">
        <f>VLOOKUP($R83,武学奇术!$A:$ZZ,28,FALSE)</f>
        <v>3.448</v>
      </c>
      <c r="AL83" s="27">
        <f>VLOOKUP($R83,武学奇术!$A:$ZZ,29,FALSE)*(1+IF(OR($AH83=$F$4,$AH83=$F$5),$B$22,0))</f>
        <v>520.5</v>
      </c>
      <c r="AM83" s="26" cm="1">
        <f t="array" ref="AM83">$G$3+IFERROR(VLOOKUP($AH83,$F$4:$G$7,2,FALSE),0)+VLOOKUP($R83,武学奇术!$A:$ZZ,2,FALSE)+SUM(_xlfn.XLOOKUP($S83:$AG83,增益!$A:$A,增益!$B:$B,0))</f>
        <v>0.4389</v>
      </c>
      <c r="AN83" s="26" cm="1">
        <f t="array" ref="AN83">VLOOKUP($R83,武学奇术!$A:$ZZ,5,FALSE)+SUM(_xlfn.XLOOKUP($S83:$AG83,增益!$A:$A,增益!$E:$E,0))</f>
        <v>0</v>
      </c>
      <c r="AO83" cm="1">
        <f t="array" ref="AO83">$D$10*(1+$AN83)+VLOOKUP($R83,武学奇术!$A:$ZZ,3,FALSE)+SUM(_xlfn.XLOOKUP($S83:$AG83,增益!$A:$A,增益!$C:$C,0))-$I$2</f>
        <v>3562.6</v>
      </c>
      <c r="AP83" cm="1">
        <f t="array" ref="AP83">$E$10*(1+$AN83)+VLOOKUP($R83,武学奇术!$A:$ZZ,4,FALSE)+SUM(_xlfn.XLOOKUP($S83:$AG83,增益!$A:$A,增益!$D:$D,0))-$I$2</f>
        <v>3562.6</v>
      </c>
      <c r="AQ83" s="32" cm="1">
        <f t="array" ref="AQ83">IF($F$10-$I$3+VLOOKUP($R83,武学奇术!$A:$ZZ,6,FALSE)+SUM(_xlfn.XLOOKUP(S83:AG83,增益!$A:$A,增益!$F:$F,0))&gt;0,($F$10-$I$3+VLOOKUP($R83,武学奇术!$A:$ZZ,6,FALSE)+SUM(_xlfn.XLOOKUP(S83:AG83,增益!$A:$A,增益!$F:$F,0)))/200,($F$10-$I$3+VLOOKUP($R83,武学奇术!$A:$ZZ,6,FALSE)+SUM(_xlfn.XLOOKUP(S83:AG83,增益!$A:$A,增益!$F:$F,0)))/100)</f>
        <v>0.2925</v>
      </c>
      <c r="AR83" s="32" cm="1">
        <f t="array" ref="AR83">$G$10+VLOOKUP($R83,武学奇术!$A:$ZZ,7,FALSE)+SUM(_xlfn.XLOOKUP(S83:AG83,增益!$A:$A,增益!$G:$G,0))</f>
        <v>0.028</v>
      </c>
      <c r="AS83" s="26" cm="1">
        <f t="array" ref="AS83">VLOOKUP($R83,武学奇术!$A:$ZZ,8,FALSE)+SUM(_xlfn.XLOOKUP(S83:AG83,增益!$A:$A,增益!$H:$H,0))</f>
        <v>0</v>
      </c>
      <c r="AT83">
        <f t="shared" si="13"/>
        <v>0</v>
      </c>
      <c r="AU83">
        <f t="shared" si="14"/>
        <v>0</v>
      </c>
      <c r="AV83" s="32" cm="1">
        <f t="array" ref="AV83">IF($F$11-$I$4+VLOOKUP($R83,武学奇术!$A:$ZZ,9,FALSE)+SUM(_xlfn.XLOOKUP(S83:AG83,增益!$A:$A,增益!$I:$I,0))&gt;0,($F$11-$I$4+VLOOKUP($R83,武学奇术!$A:$ZZ,9,FALSE)+SUM(_xlfn.XLOOKUP(S83:AG83,增益!$A:$A,增益!$I:$I,0)))/200,($F$11-$I$4+VLOOKUP($R83,武学奇术!$A:$ZZ,9,FALSE)+SUM(_xlfn.XLOOKUP(S83:AG83,增益!$A:$A,增益!$I:$I,0)))/100)</f>
        <v>-0.3</v>
      </c>
      <c r="AW83" s="32" cm="1">
        <f t="array" ref="AW83">$G$11+VLOOKUP($R83,武学奇术!$A:$ZZ,10,FALSE)+SUM(_xlfn.XLOOKUP(S83:AG83,增益!$A:$A,增益!$J:$J,0))</f>
        <v>0</v>
      </c>
      <c r="AX83">
        <f t="shared" si="15"/>
        <v>0</v>
      </c>
      <c r="AY83">
        <f t="shared" si="16"/>
        <v>0</v>
      </c>
      <c r="AZ83" s="32" cm="1">
        <f t="array" ref="AZ83">IF($F$12-$I$4+VLOOKUP($R83,武学奇术!$A:$ZZ,11,FALSE)+SUM(_xlfn.XLOOKUP(S83:AG83,增益!$A:$A,增益!$K:$K,0))&gt;0,($F$12-$I$4+VLOOKUP($R83,武学奇术!$A:$ZZ,11,FALSE)+SUM(_xlfn.XLOOKUP(S83:AG83,增益!$A:$A,增益!$K:$K,0)))/200,($F$12-$I$4+VLOOKUP($R83,武学奇术!$A:$ZZ,11,FALSE)+SUM(_xlfn.XLOOKUP(S83:AG83,增益!$A:$A,增益!$K:$K,0)))/100)</f>
        <v>-0.3</v>
      </c>
      <c r="BA83" s="32" cm="1">
        <f t="array" ref="BA83">$G$12+VLOOKUP($R83,武学奇术!$A:$ZZ,12,FALSE)+SUM(_xlfn.XLOOKUP(S83:AG83,增益!$A:$A,增益!$L:$L,0))</f>
        <v>0</v>
      </c>
      <c r="BB83">
        <f t="shared" si="17"/>
        <v>0</v>
      </c>
      <c r="BC83">
        <f t="shared" si="18"/>
        <v>0</v>
      </c>
      <c r="BD83" s="32" cm="1">
        <f t="array" ref="BD83">IF($F$13-$I$4+VLOOKUP($R83,武学奇术!$A:$ZZ,13,FALSE)+SUM(_xlfn.XLOOKUP(S83:AG83,增益!$A:$A,增益!$M:$M,0))&gt;0,($F$13-$I$4+VLOOKUP($R83,武学奇术!$A:$ZZ,13,FALSE)+SUM(_xlfn.XLOOKUP(S83:AG83,增益!$A:$A,增益!$K:$K,0)))/200,($F$13-$I$4+VLOOKUP($R83,武学奇术!$A:$ZZ,13,FALSE)+SUM(_xlfn.XLOOKUP(S83:AG83,增益!$A:$A,增益!$M:$M,0)))/100)</f>
        <v>-0.3</v>
      </c>
      <c r="BE83" s="32" cm="1">
        <f t="array" ref="BE83">$G$13+VLOOKUP($R83,武学奇术!$A:$ZZ,14,FALSE)+SUM(_xlfn.XLOOKUP(S83:AG83,增益!$A:$A,增益!$N:$N,0))</f>
        <v>0</v>
      </c>
      <c r="BF83">
        <f t="shared" si="19"/>
        <v>571.2</v>
      </c>
      <c r="BG83">
        <f t="shared" si="20"/>
        <v>1627.8</v>
      </c>
      <c r="BH83" s="32" cm="1">
        <f t="array" ref="BH83">IF($F$14-$I$4+VLOOKUP($R83,武学奇术!$A:$ZZ,15,FALSE)+SUM(_xlfn.XLOOKUP(S83:AG83,增益!$A:$A,增益!$O:$O,0))&gt;0,($F$14-$I$4+VLOOKUP($R83,武学奇术!$A:$ZZ,15,FALSE)+SUM(_xlfn.XLOOKUP(S83:AG83,增益!$A:$A,增益!$O:$O,0)))/200,($F$14-$I$4+VLOOKUP($R83,武学奇术!$A:$ZZ,15,FALSE)+SUM(_xlfn.XLOOKUP(S83:AG83,增益!$A:$A,增益!$O:$O,0)))/100)</f>
        <v>0</v>
      </c>
      <c r="BI83" s="32" cm="1">
        <f t="array" ref="BI83">$G$14+VLOOKUP($R83,武学奇术!$A:$ZZ,16,FALSE)+SUM(_xlfn.XLOOKUP(S83:AG83,增益!$A:$A,增益!$P:$P,0))</f>
        <v>0.15</v>
      </c>
      <c r="BJ83" s="26">
        <f>MIN(IF(VLOOKUP($R83,武学奇术!$A:$ZZ,23,FALSE)=1,100%,$B$8),100%)</f>
        <v>1</v>
      </c>
      <c r="BK83" s="26" cm="1">
        <f t="array" ref="BK83">IF(VLOOKUP($R83,武学奇术!$A:$ZZ,23,FALSE)=1,100%,MIN(80%,$B$9+VLOOKUP($R83,武学奇术!$A:$ZZ,17,FALSE)+SUM(_xlfn.XLOOKUP(S83:AG83,增益!$A:$A,增益!$Q:$Q,0)))+$B$11+SUM(_xlfn.XLOOKUP(S83:AG83,增益!$A:$A,增益!$U:$U,0)))*IF(VLOOKUP($R83,武学奇术!$A:$ZZ,24,FALSE)=1,0,1)</f>
        <v>1</v>
      </c>
      <c r="BL83" s="26" cm="1">
        <f t="array" ref="BL83">1+$B$13+VLOOKUP($R83,武学奇术!$A:$ZZ,18,FALSE)+SUM(_xlfn.XLOOKUP(S83:AG83,增益!$A:$A,增益!$R:$R,0))</f>
        <v>1.91</v>
      </c>
      <c r="BM83" s="26" cm="1">
        <f t="array" ref="BM83">IF(VLOOKUP($R83,武学奇术!$A:$ZZ,24,FALSE)=1,100%,MIN(40%,$B$10+VLOOKUP($R83,武学奇术!$A:$ZZ,19,FALSE)+SUM(_xlfn.XLOOKUP(S83:AG83,增益!$A:$A,增益!$S:$S,0)))+$B$12+SUM(_xlfn.XLOOKUP(S83:AG83,增益!$A:$A,增益!$V:$V,0)))*IF(VLOOKUP($R83,武学奇术!$A:$ZZ,23,FALSE)=1,0,1)</f>
        <v>0</v>
      </c>
      <c r="BN83" s="26" cm="1">
        <f t="array" ref="BN83">1+$B$14+VLOOKUP($R83,武学奇术!$A:$ZZ,20,FALSE)+SUM(_xlfn.XLOOKUP(S83:AG83,增益!$A:$A,增益!$T:$T,0))</f>
        <v>1.35</v>
      </c>
      <c r="BO83" s="26">
        <f t="shared" si="21"/>
        <v>1</v>
      </c>
      <c r="BP83" s="26">
        <f t="shared" si="22"/>
        <v>0</v>
      </c>
      <c r="BQ83" s="26">
        <f>IF(VLOOKUP($R83,武学奇术!$A:$ZZ,22,FALSE)=1,0,(1-$BJ83))*(1-$BM83)</f>
        <v>0</v>
      </c>
      <c r="BR83" s="26" cm="1">
        <f t="array" ref="BR83">SUM(_xlfn.XLOOKUP(S83:AG83,增益!$A:$A,增益!$W:$W,0))+$I$5</f>
        <v>0.11</v>
      </c>
    </row>
    <row r="84" spans="1:70">
      <c r="A84" s="4"/>
      <c r="B84" s="4"/>
      <c r="K84">
        <f>$L84*VLOOKUP($R84,武学奇术!$A:$ZZ,31,FALSE)</f>
        <v>107564.308285288</v>
      </c>
      <c r="L84" s="88">
        <f>(SUM(L65:L83)+L158+L159)*12%</f>
        <v>204884.396733882</v>
      </c>
      <c r="M84" s="38">
        <f>((($AO84+$AP84)/2*$AI84+$AJ84)*(1+$AQ84)*(1+$AR84)+(($AT84+$AU84)/2*IF($G$1="鸣金",$AK84,$AI84)+IF($G$1="鸣金",$AL84*1.5,0))*(1+$AV84)*(1+$AW84)+(($AX84+$AY84)/2*IF($G$1="裂石",$AK84,$AI84)+IF($G$1="裂石",$AL84*1.5,0))*(1+$AZ84)*(1+$BA84)+(($BB84+$BC84)/2*IF($G$1="牵丝",$AK84,$AI84)+IF($G$1="牵丝",$AL84*1.5,0))*(1+$BD84)*(1+$BE84)+(($BF84+$BG84)/2*IF($G$1="破竹",$AK84,$AI84)+IF($G$1="破竹",$AL84*1.5,0))*(1+$BH84)*(1+$BI84))*(1+$AM84)*$BL84*$Q84*(1+IF(VLOOKUP($R84,武学奇术!$A:$ZZ,30,FALSE)="回旋伞",$B$21,0))*(1+$BR84)</f>
        <v>0</v>
      </c>
      <c r="N84" s="38">
        <f>(($AP84*$AI84+$AJ84)*(1+$AQ84)*(1+$AR84)+($AU84*IF($G$1="鸣金",$AK84,$AI84)+IF($G$1="鸣金",$AL84*1.5,0))*(1+$AV84)*(1+$AW84)+($AY84*IF($G$1="裂石",$AK84,$AI84)+IF($G$1="裂石",$AL84*1.5,0))*(1+$AZ84)*(1+$BA84)+($BC84*IF($G$1="牵丝",$AK84,$AI84)+IF($G$1="牵丝",$AL84*1.5,0))*(1+$BD84)*(1+$BE84)+($BG84*IF($G$1="破竹",$AK84,$AI84)+IF($G$1="破竹",$AL84*1.5,0))*(1+$BH84)*(1+$BI84))*(1+$AM84)*$BN84*$Q84*(1+IF(VLOOKUP($R84,武学奇术!$A:$ZZ,30,FALSE)="回旋伞",$B$21,0))*(1+$BR84)</f>
        <v>0</v>
      </c>
      <c r="O84" s="38">
        <f>((($AO84+$AP84)/2*$AI84+$AJ84)*(1+$AQ84)*(1+$AR84)+(($AT84+$AU84)/2*IF($G$1="鸣金",$AK84,$AI84)+IF($G$1="鸣金",$AL84*1.5,0))*(1+$AV84)*(1+$AW84)+(($AX84+$AY84)/2*IF($G$1="裂石",$AK84,$AI84)+IF($G$1="裂石",$AL84*1.5,0))*(1+$AZ84)*(1+$BA84)+(($BB84+$BC84)/2*IF($G$1="牵丝",$AK84,$AI84)+IF($G$1="牵丝",$AL84*1.5,0))*(1+$BD84)*(1+$BE84)+(($BF84+$BG84)/2*IF($G$1="破竹",$AK84,$AI84)+IF($G$1="破竹",$AL84*1.5,0))*(1+$BH84)*(1+$BI84))*(1+$AM84)*$Q84*(1+IF(VLOOKUP($R84,武学奇术!$A:$ZZ,30,FALSE)="回旋伞",$B$21,0))*(1+$BR84)</f>
        <v>0</v>
      </c>
      <c r="P84" s="38">
        <f>((($AO84*$AI84+$AJ84)*(1+$AQ84)*(1+$AR84)+($AT84*IF($G$1="鸣金",$AK84,$AI84)+IF($G$1="鸣金",$AL84*1.5,0))*(1+$AV84)*(1+$AW84)+($AX84*IF($G$1="裂石",$AK84,$AI84)+IF($G$1="裂石",$AL84*1.5,0))*(1+$AZ84)*(1+$BA84)+($BB84*IF($G$1="牵丝",$AK84,$AI84)+IF($G$1="牵丝",$AL84*1.5,0))*(1+$BD84)*(1+$BE84)+($BF84*IF($G$1="破竹",$AK84,$AI84)+IF($G$1="破竹",$AL84*1.5,0))*(1+$BH84)*(1+$BI84))*(1+$AM84))*$Q84*(1+IF(VLOOKUP($R84,武学奇术!$A:$ZZ,30,FALSE)="回旋伞",$B$21,0))*(1+$BR84)</f>
        <v>0</v>
      </c>
      <c r="Q84" s="39">
        <v>1</v>
      </c>
      <c r="R84" s="40" t="s">
        <v>167</v>
      </c>
      <c r="S84" s="40" t="s">
        <v>72</v>
      </c>
      <c r="T84" s="40" t="s">
        <v>72</v>
      </c>
      <c r="U84" s="40" t="s">
        <v>72</v>
      </c>
      <c r="V84" s="40" t="s">
        <v>72</v>
      </c>
      <c r="W84" s="40" t="s">
        <v>72</v>
      </c>
      <c r="X84" s="40" t="s">
        <v>72</v>
      </c>
      <c r="Y84" s="40" t="s">
        <v>72</v>
      </c>
      <c r="Z84" s="40" t="s">
        <v>72</v>
      </c>
      <c r="AA84" s="40" t="s">
        <v>72</v>
      </c>
      <c r="AB84" s="40" t="s">
        <v>72</v>
      </c>
      <c r="AC84" s="40" t="s">
        <v>72</v>
      </c>
      <c r="AD84" s="40" t="s">
        <v>72</v>
      </c>
      <c r="AE84" s="40" t="s">
        <v>72</v>
      </c>
      <c r="AF84" s="40" t="s">
        <v>72</v>
      </c>
      <c r="AG84" s="40" t="s">
        <v>78</v>
      </c>
      <c r="AH84" t="str">
        <f>VLOOKUP($R84,武学奇术!$A:$ZZ,25,FALSE)</f>
        <v>心法</v>
      </c>
      <c r="AI84" s="26">
        <f>VLOOKUP($R84,武学奇术!$A:$ZZ,26,FALSE)</f>
        <v>0</v>
      </c>
      <c r="AJ84" s="27">
        <f>VLOOKUP($R84,武学奇术!$A:$ZZ,27,FALSE)*(1+IF(OR($AH84=$F$4,$AH84=$F$5),$B$22,0))</f>
        <v>0</v>
      </c>
      <c r="AK84" s="26">
        <f>VLOOKUP($R84,武学奇术!$A:$ZZ,28,FALSE)</f>
        <v>0</v>
      </c>
      <c r="AL84" s="27">
        <f>VLOOKUP($R84,武学奇术!$A:$ZZ,29,FALSE)*(1+IF(OR($AH84=$F$4,$AH84=$F$5),$B$22,0))</f>
        <v>0</v>
      </c>
      <c r="AM84" s="26" cm="1">
        <f t="array" ref="AM84">$G$3+IFERROR(VLOOKUP($AH84,$F$4:$G$7,2,FALSE),0)+VLOOKUP($R84,武学奇术!$A:$ZZ,2,FALSE)+SUM(_xlfn.XLOOKUP($S84:$AG84,增益!$A:$A,增益!$B:$B,0))</f>
        <v>0.1037</v>
      </c>
      <c r="AN84" s="26" cm="1">
        <f t="array" ref="AN84">VLOOKUP($R84,武学奇术!$A:$ZZ,5,FALSE)+SUM(_xlfn.XLOOKUP($S84:$AG84,增益!$A:$A,增益!$E:$E,0))</f>
        <v>0</v>
      </c>
      <c r="AO84" cm="1">
        <f t="array" ref="AO84">$D$10*(1+$AN84)+VLOOKUP($R84,武学奇术!$A:$ZZ,3,FALSE)+SUM(_xlfn.XLOOKUP($S84:$AG84,增益!$A:$A,增益!$C:$C,0))-$I$2</f>
        <v>3562.6</v>
      </c>
      <c r="AP84" cm="1">
        <f t="array" ref="AP84">$E$10*(1+$AN84)+VLOOKUP($R84,武学奇术!$A:$ZZ,4,FALSE)+SUM(_xlfn.XLOOKUP($S84:$AG84,增益!$A:$A,增益!$D:$D,0))-$I$2</f>
        <v>3562.6</v>
      </c>
      <c r="AQ84" s="32" cm="1">
        <f t="array" ref="AQ84">IF($F$10-$I$3+VLOOKUP($R84,武学奇术!$A:$ZZ,6,FALSE)+SUM(_xlfn.XLOOKUP(S84:AG84,增益!$A:$A,增益!$F:$F,0))&gt;0,($F$10-$I$3+VLOOKUP($R84,武学奇术!$A:$ZZ,6,FALSE)+SUM(_xlfn.XLOOKUP(S84:AG84,增益!$A:$A,增益!$F:$F,0)))/200,($F$10-$I$3+VLOOKUP($R84,武学奇术!$A:$ZZ,6,FALSE)+SUM(_xlfn.XLOOKUP(S84:AG84,增益!$A:$A,增益!$F:$F,0)))/100)</f>
        <v>0.1925</v>
      </c>
      <c r="AR84" s="32" cm="1">
        <f t="array" ref="AR84">$G$10+VLOOKUP($R84,武学奇术!$A:$ZZ,7,FALSE)+SUM(_xlfn.XLOOKUP(S84:AG84,增益!$A:$A,增益!$G:$G,0))</f>
        <v>0.028</v>
      </c>
      <c r="AS84" s="26" cm="1">
        <f t="array" ref="AS84">VLOOKUP($R84,武学奇术!$A:$ZZ,8,FALSE)+SUM(_xlfn.XLOOKUP(S84:AG84,增益!$A:$A,增益!$H:$H,0))</f>
        <v>0</v>
      </c>
      <c r="AT84">
        <f t="shared" si="13"/>
        <v>0</v>
      </c>
      <c r="AU84">
        <f t="shared" si="14"/>
        <v>0</v>
      </c>
      <c r="AV84" s="32" cm="1">
        <f t="array" ref="AV84">IF($F$11-$I$4+VLOOKUP($R84,武学奇术!$A:$ZZ,9,FALSE)+SUM(_xlfn.XLOOKUP(S84:AG84,增益!$A:$A,增益!$I:$I,0))&gt;0,($F$11-$I$4+VLOOKUP($R84,武学奇术!$A:$ZZ,9,FALSE)+SUM(_xlfn.XLOOKUP(S84:AG84,增益!$A:$A,增益!$I:$I,0)))/200,($F$11-$I$4+VLOOKUP($R84,武学奇术!$A:$ZZ,9,FALSE)+SUM(_xlfn.XLOOKUP(S84:AG84,增益!$A:$A,增益!$I:$I,0)))/100)</f>
        <v>-0.3</v>
      </c>
      <c r="AW84" s="32" cm="1">
        <f t="array" ref="AW84">$G$11+VLOOKUP($R84,武学奇术!$A:$ZZ,10,FALSE)+SUM(_xlfn.XLOOKUP(S84:AG84,增益!$A:$A,增益!$J:$J,0))</f>
        <v>0</v>
      </c>
      <c r="AX84">
        <f t="shared" si="15"/>
        <v>0</v>
      </c>
      <c r="AY84">
        <f t="shared" si="16"/>
        <v>0</v>
      </c>
      <c r="AZ84" s="32" cm="1">
        <f t="array" ref="AZ84">IF($F$12-$I$4+VLOOKUP($R84,武学奇术!$A:$ZZ,11,FALSE)+SUM(_xlfn.XLOOKUP(S84:AG84,增益!$A:$A,增益!$K:$K,0))&gt;0,($F$12-$I$4+VLOOKUP($R84,武学奇术!$A:$ZZ,11,FALSE)+SUM(_xlfn.XLOOKUP(S84:AG84,增益!$A:$A,增益!$K:$K,0)))/200,($F$12-$I$4+VLOOKUP($R84,武学奇术!$A:$ZZ,11,FALSE)+SUM(_xlfn.XLOOKUP(S84:AG84,增益!$A:$A,增益!$K:$K,0)))/100)</f>
        <v>-0.3</v>
      </c>
      <c r="BA84" s="32" cm="1">
        <f t="array" ref="BA84">$G$12+VLOOKUP($R84,武学奇术!$A:$ZZ,12,FALSE)+SUM(_xlfn.XLOOKUP(S84:AG84,增益!$A:$A,增益!$L:$L,0))</f>
        <v>0</v>
      </c>
      <c r="BB84">
        <f t="shared" si="17"/>
        <v>0</v>
      </c>
      <c r="BC84">
        <f t="shared" si="18"/>
        <v>0</v>
      </c>
      <c r="BD84" s="32" cm="1">
        <f t="array" ref="BD84">IF($F$13-$I$4+VLOOKUP($R84,武学奇术!$A:$ZZ,13,FALSE)+SUM(_xlfn.XLOOKUP(S84:AG84,增益!$A:$A,增益!$M:$M,0))&gt;0,($F$13-$I$4+VLOOKUP($R84,武学奇术!$A:$ZZ,13,FALSE)+SUM(_xlfn.XLOOKUP(S84:AG84,增益!$A:$A,增益!$K:$K,0)))/200,($F$13-$I$4+VLOOKUP($R84,武学奇术!$A:$ZZ,13,FALSE)+SUM(_xlfn.XLOOKUP(S84:AG84,增益!$A:$A,增益!$M:$M,0)))/100)</f>
        <v>-0.3</v>
      </c>
      <c r="BE84" s="32" cm="1">
        <f t="array" ref="BE84">$G$13+VLOOKUP($R84,武学奇术!$A:$ZZ,14,FALSE)+SUM(_xlfn.XLOOKUP(S84:AG84,增益!$A:$A,增益!$N:$N,0))</f>
        <v>0</v>
      </c>
      <c r="BF84">
        <f t="shared" si="19"/>
        <v>571.2</v>
      </c>
      <c r="BG84">
        <f t="shared" si="20"/>
        <v>1627.8</v>
      </c>
      <c r="BH84" s="32" cm="1">
        <f t="array" ref="BH84">IF($F$14-$I$4+VLOOKUP($R84,武学奇术!$A:$ZZ,15,FALSE)+SUM(_xlfn.XLOOKUP(S84:AG84,增益!$A:$A,增益!$O:$O,0))&gt;0,($F$14-$I$4+VLOOKUP($R84,武学奇术!$A:$ZZ,15,FALSE)+SUM(_xlfn.XLOOKUP(S84:AG84,增益!$A:$A,增益!$O:$O,0)))/200,($F$14-$I$4+VLOOKUP($R84,武学奇术!$A:$ZZ,15,FALSE)+SUM(_xlfn.XLOOKUP(S84:AG84,增益!$A:$A,增益!$O:$O,0)))/100)</f>
        <v>0</v>
      </c>
      <c r="BI84" s="32" cm="1">
        <f t="array" ref="BI84">$G$14+VLOOKUP($R84,武学奇术!$A:$ZZ,16,FALSE)+SUM(_xlfn.XLOOKUP(S84:AG84,增益!$A:$A,增益!$P:$P,0))</f>
        <v>0.15</v>
      </c>
      <c r="BJ84" s="26">
        <f>MIN(IF(VLOOKUP($R84,武学奇术!$A:$ZZ,23,FALSE)=1,100%,$B$8),100%)</f>
        <v>0.981</v>
      </c>
      <c r="BK84" s="26" cm="1">
        <f t="array" ref="BK84">IF(VLOOKUP($R84,武学奇术!$A:$ZZ,23,FALSE)=1,100%,MIN(80%,$B$9+VLOOKUP($R84,武学奇术!$A:$ZZ,17,FALSE)+SUM(_xlfn.XLOOKUP(S84:AG84,增益!$A:$A,增益!$Q:$Q,0)))+$B$11+SUM(_xlfn.XLOOKUP(S84:AG84,增益!$A:$A,增益!$U:$U,0)))*IF(VLOOKUP($R84,武学奇术!$A:$ZZ,24,FALSE)=1,0,1)</f>
        <v>0.846</v>
      </c>
      <c r="BL84" s="26" cm="1">
        <f t="array" ref="BL84">1+$B$13+VLOOKUP($R84,武学奇术!$A:$ZZ,18,FALSE)+SUM(_xlfn.XLOOKUP(S84:AG84,增益!$A:$A,增益!$R:$R,0))</f>
        <v>1.54</v>
      </c>
      <c r="BM84" s="26" cm="1">
        <f t="array" ref="BM84">IF(VLOOKUP($R84,武学奇术!$A:$ZZ,24,FALSE)=1,100%,MIN(40%,$B$10+VLOOKUP($R84,武学奇术!$A:$ZZ,19,FALSE)+SUM(_xlfn.XLOOKUP(S84:AG84,增益!$A:$A,增益!$S:$S,0)))+$B$12+SUM(_xlfn.XLOOKUP(S84:AG84,增益!$A:$A,增益!$V:$V,0)))*IF(VLOOKUP($R84,武学奇术!$A:$ZZ,23,FALSE)=1,0,1)</f>
        <v>0.0929</v>
      </c>
      <c r="BN84" s="26" cm="1">
        <f t="array" ref="BN84">1+$B$14+VLOOKUP($R84,武学奇术!$A:$ZZ,20,FALSE)+SUM(_xlfn.XLOOKUP(S84:AG84,增益!$A:$A,增益!$T:$T,0))</f>
        <v>1.35</v>
      </c>
      <c r="BO84" s="26">
        <f t="shared" si="21"/>
        <v>0.829926</v>
      </c>
      <c r="BP84" s="26">
        <f t="shared" si="22"/>
        <v>0.0599391</v>
      </c>
      <c r="BQ84" s="26">
        <f>IF(VLOOKUP($R84,武学奇术!$A:$ZZ,22,FALSE)=1,0,(1-$BJ84))*(1-$BM84)</f>
        <v>0.0172349</v>
      </c>
      <c r="BR84" s="26" cm="1">
        <f t="array" ref="BR84">SUM(_xlfn.XLOOKUP(S84:AG84,增益!$A:$A,增益!$W:$W,0))+$I$5</f>
        <v>0.11</v>
      </c>
    </row>
    <row r="85" spans="1:70">
      <c r="A85" s="4"/>
      <c r="B85" s="4"/>
      <c r="K85">
        <f>$L85*VLOOKUP($R85,武学奇术!$A:$ZZ,31,FALSE)</f>
        <v>74887.1413057854</v>
      </c>
      <c r="L85" s="38">
        <f t="shared" ref="L85:L100" si="23">($M85*$BO85+$N85*$BM85+$O85*$BP85+$P85*$BQ85)</f>
        <v>71321.0869578908</v>
      </c>
      <c r="M85" s="38">
        <f>((($AO85+$AP85)/2*$AI85+$AJ85)*(1+$AQ85)*(1+$AR85)+(($AT85+$AU85)/2*IF($G$1="鸣金",$AK85,$AI85)+IF($G$1="鸣金",$AL85*1.5,0))*(1+$AV85)*(1+$AW85)+(($AX85+$AY85)/2*IF($G$1="裂石",$AK85,$AI85)+IF($G$1="裂石",$AL85*1.5,0))*(1+$AZ85)*(1+$BA85)+(($BB85+$BC85)/2*IF($G$1="牵丝",$AK85,$AI85)+IF($G$1="牵丝",$AL85*1.5,0))*(1+$BD85)*(1+$BE85)+(($BF85+$BG85)/2*IF($G$1="破竹",$AK85,$AI85)+IF($G$1="破竹",$AL85*1.5,0))*(1+$BH85)*(1+$BI85))*(1+$AM85)*$BL85*$Q85*(1+IF(VLOOKUP($R85,武学奇术!$A:$ZZ,30,FALSE)="回旋伞",$B$21,0))*(1+$BR85)</f>
        <v>75651.4796189199</v>
      </c>
      <c r="N85" s="38">
        <f>(($AP85*$AI85+$AJ85)*(1+$AQ85)*(1+$AR85)+($AU85*IF($G$1="鸣金",$AK85,$AI85)+IF($G$1="鸣金",$AL85*1.5,0))*(1+$AV85)*(1+$AW85)+($AY85*IF($G$1="裂石",$AK85,$AI85)+IF($G$1="裂石",$AL85*1.5,0))*(1+$AZ85)*(1+$BA85)+($BC85*IF($G$1="牵丝",$AK85,$AI85)+IF($G$1="牵丝",$AL85*1.5,0))*(1+$BD85)*(1+$BE85)+($BG85*IF($G$1="破竹",$AK85,$AI85)+IF($G$1="破竹",$AL85*1.5,0))*(1+$BH85)*(1+$BI85))*(1+$AM85)*$BN85*$Q85*(1+IF(VLOOKUP($R85,武学奇术!$A:$ZZ,30,FALSE)="回旋伞",$B$21,0))*(1+$BR85)</f>
        <v>59857.6756031387</v>
      </c>
      <c r="O85" s="38">
        <f>((($AO85+$AP85)/2*$AI85+$AJ85)*(1+$AQ85)*(1+$AR85)+(($AT85+$AU85)/2*IF($G$1="鸣金",$AK85,$AI85)+IF($G$1="鸣金",$AL85*1.5,0))*(1+$AV85)*(1+$AW85)+(($AX85+$AY85)/2*IF($G$1="裂石",$AK85,$AI85)+IF($G$1="裂石",$AL85*1.5,0))*(1+$AZ85)*(1+$BA85)+(($BB85+$BC85)/2*IF($G$1="牵丝",$AK85,$AI85)+IF($G$1="牵丝",$AL85*1.5,0))*(1+$BD85)*(1+$BE85)+(($BF85+$BG85)/2*IF($G$1="破竹",$AK85,$AI85)+IF($G$1="破竹",$AL85*1.5,0))*(1+$BH85)*(1+$BI85))*(1+$AM85)*$Q85*(1+IF(VLOOKUP($R85,武学奇术!$A:$ZZ,30,FALSE)="回旋伞",$B$21,0))*(1+$BR85)</f>
        <v>39608.1045125235</v>
      </c>
      <c r="P85" s="38">
        <f>((($AO85*$AI85+$AJ85)*(1+$AQ85)*(1+$AR85)+($AT85*IF($G$1="鸣金",$AK85,$AI85)+IF($G$1="鸣金",$AL85*1.5,0))*(1+$AV85)*(1+$AW85)+($AX85*IF($G$1="裂石",$AK85,$AI85)+IF($G$1="裂石",$AL85*1.5,0))*(1+$AZ85)*(1+$BA85)+($BB85*IF($G$1="牵丝",$AK85,$AI85)+IF($G$1="牵丝",$AL85*1.5,0))*(1+$BD85)*(1+$BE85)+($BF85*IF($G$1="破竹",$AK85,$AI85)+IF($G$1="破竹",$AL85*1.5,0))*(1+$BH85)*(1+$BI85))*(1+$AM85))*$Q85*(1+IF(VLOOKUP($R85,武学奇术!$A:$ZZ,30,FALSE)="回旋伞",$B$21,0))*(1+$BR85)</f>
        <v>34877.1900597591</v>
      </c>
      <c r="Q85" s="39">
        <v>1</v>
      </c>
      <c r="R85" s="40" t="s">
        <v>108</v>
      </c>
      <c r="S85" s="40" t="s">
        <v>109</v>
      </c>
      <c r="T85" s="40" t="s">
        <v>95</v>
      </c>
      <c r="U85" s="40" t="s">
        <v>73</v>
      </c>
      <c r="V85" s="40" t="s">
        <v>81</v>
      </c>
      <c r="W85" s="40" t="s">
        <v>172</v>
      </c>
      <c r="X85" s="40" t="s">
        <v>99</v>
      </c>
      <c r="Y85" s="40" t="s">
        <v>72</v>
      </c>
      <c r="Z85" s="40" t="s">
        <v>72</v>
      </c>
      <c r="AA85" s="40" t="s">
        <v>72</v>
      </c>
      <c r="AB85" s="40" t="s">
        <v>72</v>
      </c>
      <c r="AC85" s="40" t="s">
        <v>72</v>
      </c>
      <c r="AD85" s="40" t="s">
        <v>72</v>
      </c>
      <c r="AE85" s="40" t="s">
        <v>72</v>
      </c>
      <c r="AF85" s="40" t="s">
        <v>72</v>
      </c>
      <c r="AG85" s="40" t="s">
        <v>78</v>
      </c>
      <c r="AH85" t="str">
        <f>VLOOKUP($R85,武学奇术!$A:$ZZ,25,FALSE)</f>
        <v>伞</v>
      </c>
      <c r="AI85" s="26">
        <f>VLOOKUP($R85,武学奇术!$A:$ZZ,26,FALSE)</f>
        <v>1.8084</v>
      </c>
      <c r="AJ85" s="27">
        <f>VLOOKUP($R85,武学奇术!$A:$ZZ,27,FALSE)*(1+IF(OR($AH85=$F$4,$AH85=$F$5),$B$22,0))</f>
        <v>750</v>
      </c>
      <c r="AK85" s="26">
        <f>VLOOKUP($R85,武学奇术!$A:$ZZ,28,FALSE)</f>
        <v>2.7126</v>
      </c>
      <c r="AL85" s="27">
        <f>VLOOKUP($R85,武学奇术!$A:$ZZ,29,FALSE)*(1+IF(OR($AH85=$F$4,$AH85=$F$5),$B$22,0))</f>
        <v>408</v>
      </c>
      <c r="AM85" s="26" cm="1">
        <f t="array" ref="AM85">$G$3+IFERROR(VLOOKUP($AH85,$F$4:$G$7,2,FALSE),0)+VLOOKUP($R85,武学奇术!$A:$ZZ,2,FALSE)+SUM(_xlfn.XLOOKUP($S85:$AG85,增益!$A:$A,增益!$B:$B,0))</f>
        <v>0.7741</v>
      </c>
      <c r="AN85" s="26" cm="1">
        <f t="array" ref="AN85">VLOOKUP($R85,武学奇术!$A:$ZZ,5,FALSE)+SUM(_xlfn.XLOOKUP($S85:$AG85,增益!$A:$A,增益!$E:$E,0))</f>
        <v>0</v>
      </c>
      <c r="AO85" cm="1">
        <f t="array" ref="AO85">$D$10*(1+$AN85)+VLOOKUP($R85,武学奇术!$A:$ZZ,3,FALSE)+SUM(_xlfn.XLOOKUP($S85:$AG85,增益!$A:$A,增益!$C:$C,0))-$I$2</f>
        <v>3562.6</v>
      </c>
      <c r="AP85" cm="1">
        <f t="array" ref="AP85">$E$10*(1+$AN85)+VLOOKUP($R85,武学奇术!$A:$ZZ,4,FALSE)+SUM(_xlfn.XLOOKUP($S85:$AG85,增益!$A:$A,增益!$D:$D,0))-$I$2</f>
        <v>3562.6</v>
      </c>
      <c r="AQ85" s="32" cm="1">
        <f t="array" ref="AQ85">IF($F$10-$I$3+VLOOKUP($R85,武学奇术!$A:$ZZ,6,FALSE)+SUM(_xlfn.XLOOKUP(S85:AG85,增益!$A:$A,增益!$F:$F,0))&gt;0,($F$10-$I$3+VLOOKUP($R85,武学奇术!$A:$ZZ,6,FALSE)+SUM(_xlfn.XLOOKUP(S85:AG85,增益!$A:$A,增益!$F:$F,0)))/200,($F$10-$I$3+VLOOKUP($R85,武学奇术!$A:$ZZ,6,FALSE)+SUM(_xlfn.XLOOKUP(S85:AG85,增益!$A:$A,增益!$F:$F,0)))/100)</f>
        <v>0.2925</v>
      </c>
      <c r="AR85" s="32" cm="1">
        <f t="array" ref="AR85">$G$10+VLOOKUP($R85,武学奇术!$A:$ZZ,7,FALSE)+SUM(_xlfn.XLOOKUP(S85:AG85,增益!$A:$A,增益!$G:$G,0))</f>
        <v>0.148</v>
      </c>
      <c r="AS85" s="26" cm="1">
        <f t="array" ref="AS85">VLOOKUP($R85,武学奇术!$A:$ZZ,8,FALSE)+SUM(_xlfn.XLOOKUP(S85:AG85,增益!$A:$A,增益!$H:$H,0))</f>
        <v>0</v>
      </c>
      <c r="AT85">
        <f t="shared" si="13"/>
        <v>0</v>
      </c>
      <c r="AU85">
        <f t="shared" si="14"/>
        <v>0</v>
      </c>
      <c r="AV85" s="32" cm="1">
        <f t="array" ref="AV85">IF($F$11-$I$4+VLOOKUP($R85,武学奇术!$A:$ZZ,9,FALSE)+SUM(_xlfn.XLOOKUP(S85:AG85,增益!$A:$A,增益!$I:$I,0))&gt;0,($F$11-$I$4+VLOOKUP($R85,武学奇术!$A:$ZZ,9,FALSE)+SUM(_xlfn.XLOOKUP(S85:AG85,增益!$A:$A,增益!$I:$I,0)))/200,($F$11-$I$4+VLOOKUP($R85,武学奇术!$A:$ZZ,9,FALSE)+SUM(_xlfn.XLOOKUP(S85:AG85,增益!$A:$A,增益!$I:$I,0)))/100)</f>
        <v>-0.3</v>
      </c>
      <c r="AW85" s="32" cm="1">
        <f t="array" ref="AW85">$G$11+VLOOKUP($R85,武学奇术!$A:$ZZ,10,FALSE)+SUM(_xlfn.XLOOKUP(S85:AG85,增益!$A:$A,增益!$J:$J,0))</f>
        <v>0</v>
      </c>
      <c r="AX85">
        <f t="shared" si="15"/>
        <v>0</v>
      </c>
      <c r="AY85">
        <f t="shared" si="16"/>
        <v>0</v>
      </c>
      <c r="AZ85" s="32" cm="1">
        <f t="array" ref="AZ85">IF($F$12-$I$4+VLOOKUP($R85,武学奇术!$A:$ZZ,11,FALSE)+SUM(_xlfn.XLOOKUP(S85:AG85,增益!$A:$A,增益!$K:$K,0))&gt;0,($F$12-$I$4+VLOOKUP($R85,武学奇术!$A:$ZZ,11,FALSE)+SUM(_xlfn.XLOOKUP(S85:AG85,增益!$A:$A,增益!$K:$K,0)))/200,($F$12-$I$4+VLOOKUP($R85,武学奇术!$A:$ZZ,11,FALSE)+SUM(_xlfn.XLOOKUP(S85:AG85,增益!$A:$A,增益!$K:$K,0)))/100)</f>
        <v>-0.3</v>
      </c>
      <c r="BA85" s="32" cm="1">
        <f t="array" ref="BA85">$G$12+VLOOKUP($R85,武学奇术!$A:$ZZ,12,FALSE)+SUM(_xlfn.XLOOKUP(S85:AG85,增益!$A:$A,增益!$L:$L,0))</f>
        <v>0</v>
      </c>
      <c r="BB85">
        <f t="shared" si="17"/>
        <v>0</v>
      </c>
      <c r="BC85">
        <f t="shared" si="18"/>
        <v>0</v>
      </c>
      <c r="BD85" s="32" cm="1">
        <f t="array" ref="BD85">IF($F$13-$I$4+VLOOKUP($R85,武学奇术!$A:$ZZ,13,FALSE)+SUM(_xlfn.XLOOKUP(S85:AG85,增益!$A:$A,增益!$M:$M,0))&gt;0,($F$13-$I$4+VLOOKUP($R85,武学奇术!$A:$ZZ,13,FALSE)+SUM(_xlfn.XLOOKUP(S85:AG85,增益!$A:$A,增益!$K:$K,0)))/200,($F$13-$I$4+VLOOKUP($R85,武学奇术!$A:$ZZ,13,FALSE)+SUM(_xlfn.XLOOKUP(S85:AG85,增益!$A:$A,增益!$M:$M,0)))/100)</f>
        <v>-0.3</v>
      </c>
      <c r="BE85" s="32" cm="1">
        <f t="array" ref="BE85">$G$13+VLOOKUP($R85,武学奇术!$A:$ZZ,14,FALSE)+SUM(_xlfn.XLOOKUP(S85:AG85,增益!$A:$A,增益!$N:$N,0))</f>
        <v>0</v>
      </c>
      <c r="BF85">
        <f t="shared" si="19"/>
        <v>571.2</v>
      </c>
      <c r="BG85">
        <f t="shared" si="20"/>
        <v>1627.8</v>
      </c>
      <c r="BH85" s="32" cm="1">
        <f t="array" ref="BH85">IF($F$14-$I$4+VLOOKUP($R85,武学奇术!$A:$ZZ,15,FALSE)+SUM(_xlfn.XLOOKUP(S85:AG85,增益!$A:$A,增益!$O:$O,0))&gt;0,($F$14-$I$4+VLOOKUP($R85,武学奇术!$A:$ZZ,15,FALSE)+SUM(_xlfn.XLOOKUP(S85:AG85,增益!$A:$A,增益!$O:$O,0)))/200,($F$14-$I$4+VLOOKUP($R85,武学奇术!$A:$ZZ,15,FALSE)+SUM(_xlfn.XLOOKUP(S85:AG85,增益!$A:$A,增益!$O:$O,0)))/100)</f>
        <v>0</v>
      </c>
      <c r="BI85" s="32" cm="1">
        <f t="array" ref="BI85">$G$14+VLOOKUP($R85,武学奇术!$A:$ZZ,16,FALSE)+SUM(_xlfn.XLOOKUP(S85:AG85,增益!$A:$A,增益!$P:$P,0))</f>
        <v>0.27</v>
      </c>
      <c r="BJ85" s="26">
        <f>MIN(IF(VLOOKUP($R85,武学奇术!$A:$ZZ,23,FALSE)=1,100%,$B$8),100%)</f>
        <v>0.981</v>
      </c>
      <c r="BK85" s="26" cm="1">
        <f t="array" ref="BK85">IF(VLOOKUP($R85,武学奇术!$A:$ZZ,23,FALSE)=1,100%,MIN(80%,$B$9+VLOOKUP($R85,武学奇术!$A:$ZZ,17,FALSE)+SUM(_xlfn.XLOOKUP(S85:AG85,增益!$A:$A,增益!$Q:$Q,0)))+$B$11+SUM(_xlfn.XLOOKUP(S85:AG85,增益!$A:$A,增益!$U:$U,0)))*IF(VLOOKUP($R85,武学奇术!$A:$ZZ,24,FALSE)=1,0,1)</f>
        <v>0.846</v>
      </c>
      <c r="BL85" s="26" cm="1">
        <f t="array" ref="BL85">1+$B$13+VLOOKUP($R85,武学奇术!$A:$ZZ,18,FALSE)+SUM(_xlfn.XLOOKUP(S85:AG85,增益!$A:$A,增益!$R:$R,0))</f>
        <v>1.91</v>
      </c>
      <c r="BM85" s="26" cm="1">
        <f t="array" ref="BM85">IF(VLOOKUP($R85,武学奇术!$A:$ZZ,24,FALSE)=1,100%,MIN(40%,$B$10+VLOOKUP($R85,武学奇术!$A:$ZZ,19,FALSE)+SUM(_xlfn.XLOOKUP(S85:AG85,增益!$A:$A,增益!$S:$S,0)))+$B$12+SUM(_xlfn.XLOOKUP(S85:AG85,增益!$A:$A,增益!$V:$V,0)))*IF(VLOOKUP($R85,武学奇术!$A:$ZZ,23,FALSE)=1,0,1)</f>
        <v>0.0929</v>
      </c>
      <c r="BN85" s="26" cm="1">
        <f t="array" ref="BN85">1+$B$14+VLOOKUP($R85,武学奇术!$A:$ZZ,20,FALSE)+SUM(_xlfn.XLOOKUP(S85:AG85,增益!$A:$A,增益!$T:$T,0))</f>
        <v>1.35</v>
      </c>
      <c r="BO85" s="26">
        <f t="shared" si="21"/>
        <v>0.829926</v>
      </c>
      <c r="BP85" s="26">
        <f t="shared" si="22"/>
        <v>0.0599391</v>
      </c>
      <c r="BQ85" s="26">
        <f>IF(VLOOKUP($R85,武学奇术!$A:$ZZ,22,FALSE)=1,0,(1-$BJ85))*(1-$BM85)</f>
        <v>0.0172349</v>
      </c>
      <c r="BR85" s="26" cm="1">
        <f t="array" ref="BR85">SUM(_xlfn.XLOOKUP(S85:AG85,增益!$A:$A,增益!$W:$W,0))+$I$5</f>
        <v>0.11</v>
      </c>
    </row>
    <row r="86" spans="1:70">
      <c r="A86" s="4"/>
      <c r="B86" s="4"/>
      <c r="K86">
        <f>$L86*VLOOKUP($R86,武学奇术!$A:$ZZ,31,FALSE)</f>
        <v>43636.6616264476</v>
      </c>
      <c r="L86" s="38">
        <f t="shared" si="23"/>
        <v>41558.7253585215</v>
      </c>
      <c r="M86" s="38">
        <f>((($AO86+$AP86)/2*$AI86+$AJ86)*(1+$AQ86)*(1+$AR86)+(($AT86+$AU86)/2*IF($G$1="鸣金",$AK86,$AI86)+IF($G$1="鸣金",$AL86*1.5,0))*(1+$AV86)*(1+$AW86)+(($AX86+$AY86)/2*IF($G$1="裂石",$AK86,$AI86)+IF($G$1="裂石",$AL86*1.5,0))*(1+$AZ86)*(1+$BA86)+(($BB86+$BC86)/2*IF($G$1="牵丝",$AK86,$AI86)+IF($G$1="牵丝",$AL86*1.5,0))*(1+$BD86)*(1+$BE86)+(($BF86+$BG86)/2*IF($G$1="破竹",$AK86,$AI86)+IF($G$1="破竹",$AL86*1.5,0))*(1+$BH86)*(1+$BI86))*(1+$AM86)*$BL86*$Q86*(1+IF(VLOOKUP($R86,武学奇术!$A:$ZZ,30,FALSE)="回旋伞",$B$21,0))*(1+$BR86)</f>
        <v>44037.2917249124</v>
      </c>
      <c r="N86" s="38">
        <f>(($AP86*$AI86+$AJ86)*(1+$AQ86)*(1+$AR86)+($AU86*IF($G$1="鸣金",$AK86,$AI86)+IF($G$1="鸣金",$AL86*1.5,0))*(1+$AV86)*(1+$AW86)+($AY86*IF($G$1="裂石",$AK86,$AI86)+IF($G$1="裂石",$AL86*1.5,0))*(1+$AZ86)*(1+$BA86)+($BC86*IF($G$1="牵丝",$AK86,$AI86)+IF($G$1="牵丝",$AL86*1.5,0))*(1+$BD86)*(1+$BE86)+($BG86*IF($G$1="破竹",$AK86,$AI86)+IF($G$1="破竹",$AL86*1.5,0))*(1+$BH86)*(1+$BI86))*(1+$AM86)*$BN86*$Q86*(1+IF(VLOOKUP($R86,武学奇术!$A:$ZZ,30,FALSE)="回旋伞",$B$21,0))*(1+$BR86)</f>
        <v>35370.0670293007</v>
      </c>
      <c r="O86" s="38">
        <f>((($AO86+$AP86)/2*$AI86+$AJ86)*(1+$AQ86)*(1+$AR86)+(($AT86+$AU86)/2*IF($G$1="鸣金",$AK86,$AI86)+IF($G$1="鸣金",$AL86*1.5,0))*(1+$AV86)*(1+$AW86)+(($AX86+$AY86)/2*IF($G$1="裂石",$AK86,$AI86)+IF($G$1="裂石",$AL86*1.5,0))*(1+$AZ86)*(1+$BA86)+(($BB86+$BC86)/2*IF($G$1="牵丝",$AK86,$AI86)+IF($G$1="牵丝",$AL86*1.5,0))*(1+$BD86)*(1+$BE86)+(($BF86+$BG86)/2*IF($G$1="破竹",$AK86,$AI86)+IF($G$1="破竹",$AL86*1.5,0))*(1+$BH86)*(1+$BI86))*(1+$AM86)*$Q86*(1+IF(VLOOKUP($R86,武学奇术!$A:$ZZ,30,FALSE)="回旋伞",$B$21,0))*(1+$BR86)</f>
        <v>23056.1736779646</v>
      </c>
      <c r="P86" s="38">
        <f>((($AO86*$AI86+$AJ86)*(1+$AQ86)*(1+$AR86)+($AT86*IF($G$1="鸣金",$AK86,$AI86)+IF($G$1="鸣金",$AL86*1.5,0))*(1+$AV86)*(1+$AW86)+($AX86*IF($G$1="裂石",$AK86,$AI86)+IF($G$1="裂石",$AL86*1.5,0))*(1+$AZ86)*(1+$BA86)+($BB86*IF($G$1="牵丝",$AK86,$AI86)+IF($G$1="牵丝",$AL86*1.5,0))*(1+$BD86)*(1+$BE86)+($BF86*IF($G$1="破竹",$AK86,$AI86)+IF($G$1="破竹",$AL86*1.5,0))*(1+$BH86)*(1+$BI86))*(1+$AM86))*$Q86*(1+IF(VLOOKUP($R86,武学奇术!$A:$ZZ,30,FALSE)="回旋伞",$B$21,0))*(1+$BR86)</f>
        <v>19912.2977045954</v>
      </c>
      <c r="Q86" s="39">
        <v>2</v>
      </c>
      <c r="R86" s="40" t="s">
        <v>112</v>
      </c>
      <c r="S86" s="40" t="s">
        <v>109</v>
      </c>
      <c r="T86" s="40" t="s">
        <v>95</v>
      </c>
      <c r="U86" s="40" t="s">
        <v>73</v>
      </c>
      <c r="V86" s="40" t="s">
        <v>81</v>
      </c>
      <c r="W86" s="40" t="s">
        <v>172</v>
      </c>
      <c r="X86" s="40" t="s">
        <v>99</v>
      </c>
      <c r="Y86" s="40" t="s">
        <v>72</v>
      </c>
      <c r="Z86" s="40" t="s">
        <v>72</v>
      </c>
      <c r="AA86" s="40" t="s">
        <v>72</v>
      </c>
      <c r="AB86" s="40" t="s">
        <v>72</v>
      </c>
      <c r="AC86" s="40" t="s">
        <v>72</v>
      </c>
      <c r="AD86" s="40" t="s">
        <v>72</v>
      </c>
      <c r="AE86" s="40" t="s">
        <v>72</v>
      </c>
      <c r="AF86" s="40" t="s">
        <v>72</v>
      </c>
      <c r="AG86" s="40" t="s">
        <v>78</v>
      </c>
      <c r="AH86" t="str">
        <f>VLOOKUP($R86,武学奇术!$A:$ZZ,25,FALSE)</f>
        <v>伞</v>
      </c>
      <c r="AI86" s="26">
        <f>VLOOKUP($R86,武学奇术!$A:$ZZ,26,FALSE)</f>
        <v>0.54</v>
      </c>
      <c r="AJ86" s="27">
        <f>VLOOKUP($R86,武学奇术!$A:$ZZ,27,FALSE)*(1+IF(OR($AH86=$F$4,$AH86=$F$5),$B$22,0))</f>
        <v>0</v>
      </c>
      <c r="AK86" s="26">
        <f>VLOOKUP($R86,武学奇术!$A:$ZZ,28,FALSE)</f>
        <v>0.81</v>
      </c>
      <c r="AL86" s="27">
        <f>VLOOKUP($R86,武学奇术!$A:$ZZ,29,FALSE)*(1+IF(OR($AH86=$F$4,$AH86=$F$5),$B$22,0))</f>
        <v>0</v>
      </c>
      <c r="AM86" s="26" cm="1">
        <f t="array" ref="AM86">$G$3+IFERROR(VLOOKUP($AH86,$F$4:$G$7,2,FALSE),0)+VLOOKUP($R86,武学奇术!$A:$ZZ,2,FALSE)+SUM(_xlfn.XLOOKUP($S86:$AG86,增益!$A:$A,增益!$B:$B,0))</f>
        <v>0.9741</v>
      </c>
      <c r="AN86" s="26" cm="1">
        <f t="array" ref="AN86">VLOOKUP($R86,武学奇术!$A:$ZZ,5,FALSE)+SUM(_xlfn.XLOOKUP($S86:$AG86,增益!$A:$A,增益!$E:$E,0))</f>
        <v>0</v>
      </c>
      <c r="AO86" cm="1">
        <f t="array" ref="AO86">$D$10*(1+$AN86)+VLOOKUP($R86,武学奇术!$A:$ZZ,3,FALSE)+SUM(_xlfn.XLOOKUP($S86:$AG86,增益!$A:$A,增益!$C:$C,0))-$I$2</f>
        <v>3562.6</v>
      </c>
      <c r="AP86" cm="1">
        <f t="array" ref="AP86">$E$10*(1+$AN86)+VLOOKUP($R86,武学奇术!$A:$ZZ,4,FALSE)+SUM(_xlfn.XLOOKUP($S86:$AG86,增益!$A:$A,增益!$D:$D,0))-$I$2</f>
        <v>3562.6</v>
      </c>
      <c r="AQ86" s="32" cm="1">
        <f t="array" ref="AQ86">IF($F$10-$I$3+VLOOKUP($R86,武学奇术!$A:$ZZ,6,FALSE)+SUM(_xlfn.XLOOKUP(S86:AG86,增益!$A:$A,增益!$F:$F,0))&gt;0,($F$10-$I$3+VLOOKUP($R86,武学奇术!$A:$ZZ,6,FALSE)+SUM(_xlfn.XLOOKUP(S86:AG86,增益!$A:$A,增益!$F:$F,0)))/200,($F$10-$I$3+VLOOKUP($R86,武学奇术!$A:$ZZ,6,FALSE)+SUM(_xlfn.XLOOKUP(S86:AG86,增益!$A:$A,增益!$F:$F,0)))/100)</f>
        <v>0.2925</v>
      </c>
      <c r="AR86" s="32" cm="1">
        <f t="array" ref="AR86">$G$10+VLOOKUP($R86,武学奇术!$A:$ZZ,7,FALSE)+SUM(_xlfn.XLOOKUP(S86:AG86,增益!$A:$A,增益!$G:$G,0))</f>
        <v>0.148</v>
      </c>
      <c r="AS86" s="26" cm="1">
        <f t="array" ref="AS86">VLOOKUP($R86,武学奇术!$A:$ZZ,8,FALSE)+SUM(_xlfn.XLOOKUP(S86:AG86,增益!$A:$A,增益!$H:$H,0))</f>
        <v>0</v>
      </c>
      <c r="AT86">
        <f t="shared" si="13"/>
        <v>0</v>
      </c>
      <c r="AU86">
        <f t="shared" si="14"/>
        <v>0</v>
      </c>
      <c r="AV86" s="32" cm="1">
        <f t="array" ref="AV86">IF($F$11-$I$4+VLOOKUP($R86,武学奇术!$A:$ZZ,9,FALSE)+SUM(_xlfn.XLOOKUP(S86:AG86,增益!$A:$A,增益!$I:$I,0))&gt;0,($F$11-$I$4+VLOOKUP($R86,武学奇术!$A:$ZZ,9,FALSE)+SUM(_xlfn.XLOOKUP(S86:AG86,增益!$A:$A,增益!$I:$I,0)))/200,($F$11-$I$4+VLOOKUP($R86,武学奇术!$A:$ZZ,9,FALSE)+SUM(_xlfn.XLOOKUP(S86:AG86,增益!$A:$A,增益!$I:$I,0)))/100)</f>
        <v>-0.3</v>
      </c>
      <c r="AW86" s="32" cm="1">
        <f t="array" ref="AW86">$G$11+VLOOKUP($R86,武学奇术!$A:$ZZ,10,FALSE)+SUM(_xlfn.XLOOKUP(S86:AG86,增益!$A:$A,增益!$J:$J,0))</f>
        <v>0</v>
      </c>
      <c r="AX86">
        <f t="shared" si="15"/>
        <v>0</v>
      </c>
      <c r="AY86">
        <f t="shared" si="16"/>
        <v>0</v>
      </c>
      <c r="AZ86" s="32" cm="1">
        <f t="array" ref="AZ86">IF($F$12-$I$4+VLOOKUP($R86,武学奇术!$A:$ZZ,11,FALSE)+SUM(_xlfn.XLOOKUP(S86:AG86,增益!$A:$A,增益!$K:$K,0))&gt;0,($F$12-$I$4+VLOOKUP($R86,武学奇术!$A:$ZZ,11,FALSE)+SUM(_xlfn.XLOOKUP(S86:AG86,增益!$A:$A,增益!$K:$K,0)))/200,($F$12-$I$4+VLOOKUP($R86,武学奇术!$A:$ZZ,11,FALSE)+SUM(_xlfn.XLOOKUP(S86:AG86,增益!$A:$A,增益!$K:$K,0)))/100)</f>
        <v>-0.3</v>
      </c>
      <c r="BA86" s="32" cm="1">
        <f t="array" ref="BA86">$G$12+VLOOKUP($R86,武学奇术!$A:$ZZ,12,FALSE)+SUM(_xlfn.XLOOKUP(S86:AG86,增益!$A:$A,增益!$L:$L,0))</f>
        <v>0</v>
      </c>
      <c r="BB86">
        <f t="shared" si="17"/>
        <v>0</v>
      </c>
      <c r="BC86">
        <f t="shared" si="18"/>
        <v>0</v>
      </c>
      <c r="BD86" s="32" cm="1">
        <f t="array" ref="BD86">IF($F$13-$I$4+VLOOKUP($R86,武学奇术!$A:$ZZ,13,FALSE)+SUM(_xlfn.XLOOKUP(S86:AG86,增益!$A:$A,增益!$M:$M,0))&gt;0,($F$13-$I$4+VLOOKUP($R86,武学奇术!$A:$ZZ,13,FALSE)+SUM(_xlfn.XLOOKUP(S86:AG86,增益!$A:$A,增益!$K:$K,0)))/200,($F$13-$I$4+VLOOKUP($R86,武学奇术!$A:$ZZ,13,FALSE)+SUM(_xlfn.XLOOKUP(S86:AG86,增益!$A:$A,增益!$M:$M,0)))/100)</f>
        <v>-0.3</v>
      </c>
      <c r="BE86" s="32" cm="1">
        <f t="array" ref="BE86">$G$13+VLOOKUP($R86,武学奇术!$A:$ZZ,14,FALSE)+SUM(_xlfn.XLOOKUP(S86:AG86,增益!$A:$A,增益!$N:$N,0))</f>
        <v>0</v>
      </c>
      <c r="BF86">
        <f t="shared" si="19"/>
        <v>571.2</v>
      </c>
      <c r="BG86">
        <f t="shared" si="20"/>
        <v>1627.8</v>
      </c>
      <c r="BH86" s="32" cm="1">
        <f t="array" ref="BH86">IF($F$14-$I$4+VLOOKUP($R86,武学奇术!$A:$ZZ,15,FALSE)+SUM(_xlfn.XLOOKUP(S86:AG86,增益!$A:$A,增益!$O:$O,0))&gt;0,($F$14-$I$4+VLOOKUP($R86,武学奇术!$A:$ZZ,15,FALSE)+SUM(_xlfn.XLOOKUP(S86:AG86,增益!$A:$A,增益!$O:$O,0)))/200,($F$14-$I$4+VLOOKUP($R86,武学奇术!$A:$ZZ,15,FALSE)+SUM(_xlfn.XLOOKUP(S86:AG86,增益!$A:$A,增益!$O:$O,0)))/100)</f>
        <v>0</v>
      </c>
      <c r="BI86" s="32" cm="1">
        <f t="array" ref="BI86">$G$14+VLOOKUP($R86,武学奇术!$A:$ZZ,16,FALSE)+SUM(_xlfn.XLOOKUP(S86:AG86,增益!$A:$A,增益!$P:$P,0))</f>
        <v>0.27</v>
      </c>
      <c r="BJ86" s="26">
        <f>MIN(IF(VLOOKUP($R86,武学奇术!$A:$ZZ,23,FALSE)=1,100%,$B$8),100%)</f>
        <v>0.981</v>
      </c>
      <c r="BK86" s="26" cm="1">
        <f t="array" ref="BK86">IF(VLOOKUP($R86,武学奇术!$A:$ZZ,23,FALSE)=1,100%,MIN(80%,$B$9+VLOOKUP($R86,武学奇术!$A:$ZZ,17,FALSE)+SUM(_xlfn.XLOOKUP(S86:AG86,增益!$A:$A,增益!$Q:$Q,0)))+$B$11+SUM(_xlfn.XLOOKUP(S86:AG86,增益!$A:$A,增益!$U:$U,0)))*IF(VLOOKUP($R86,武学奇术!$A:$ZZ,24,FALSE)=1,0,1)</f>
        <v>0.846</v>
      </c>
      <c r="BL86" s="26" cm="1">
        <f t="array" ref="BL86">1+$B$13+VLOOKUP($R86,武学奇术!$A:$ZZ,18,FALSE)+SUM(_xlfn.XLOOKUP(S86:AG86,增益!$A:$A,增益!$R:$R,0))</f>
        <v>1.91</v>
      </c>
      <c r="BM86" s="26" cm="1">
        <f t="array" ref="BM86">IF(VLOOKUP($R86,武学奇术!$A:$ZZ,24,FALSE)=1,100%,MIN(40%,$B$10+VLOOKUP($R86,武学奇术!$A:$ZZ,19,FALSE)+SUM(_xlfn.XLOOKUP(S86:AG86,增益!$A:$A,增益!$S:$S,0)))+$B$12+SUM(_xlfn.XLOOKUP(S86:AG86,增益!$A:$A,增益!$V:$V,0)))*IF(VLOOKUP($R86,武学奇术!$A:$ZZ,23,FALSE)=1,0,1)</f>
        <v>0.0929</v>
      </c>
      <c r="BN86" s="26" cm="1">
        <f t="array" ref="BN86">1+$B$14+VLOOKUP($R86,武学奇术!$A:$ZZ,20,FALSE)+SUM(_xlfn.XLOOKUP(S86:AG86,增益!$A:$A,增益!$T:$T,0))</f>
        <v>1.35</v>
      </c>
      <c r="BO86" s="26">
        <f t="shared" si="21"/>
        <v>0.829926</v>
      </c>
      <c r="BP86" s="26">
        <f t="shared" si="22"/>
        <v>0.0599391</v>
      </c>
      <c r="BQ86" s="26">
        <f>IF(VLOOKUP($R86,武学奇术!$A:$ZZ,22,FALSE)=1,0,(1-$BJ86))*(1-$BM86)</f>
        <v>0.0172349</v>
      </c>
      <c r="BR86" s="26" cm="1">
        <f t="array" ref="BR86">SUM(_xlfn.XLOOKUP(S86:AG86,增益!$A:$A,增益!$W:$W,0))+$I$5</f>
        <v>0.11</v>
      </c>
    </row>
    <row r="87" spans="1:70">
      <c r="K87">
        <f>$L87*VLOOKUP($R87,武学奇术!$A:$ZZ,31,FALSE)</f>
        <v>76958.064437762</v>
      </c>
      <c r="L87" s="38">
        <f t="shared" si="23"/>
        <v>73293.3947026304</v>
      </c>
      <c r="M87" s="38">
        <f>((($AO87+$AP87)/2*$AI87+$AJ87)*(1+$AQ87)*(1+$AR87)+(($AT87+$AU87)/2*IF($G$1="鸣金",$AK87,$AI87)+IF($G$1="鸣金",$AL87*1.5,0))*(1+$AV87)*(1+$AW87)+(($AX87+$AY87)/2*IF($G$1="裂石",$AK87,$AI87)+IF($G$1="裂石",$AL87*1.5,0))*(1+$AZ87)*(1+$BA87)+(($BB87+$BC87)/2*IF($G$1="牵丝",$AK87,$AI87)+IF($G$1="牵丝",$AL87*1.5,0))*(1+$BD87)*(1+$BE87)+(($BF87+$BG87)/2*IF($G$1="破竹",$AK87,$AI87)+IF($G$1="破竹",$AL87*1.5,0))*(1+$BH87)*(1+$BI87))*(1+$AM87)*$BL87*$Q87*(1+IF(VLOOKUP($R87,武学奇术!$A:$ZZ,30,FALSE)="回旋伞",$B$21,0))*(1+$BR87)</f>
        <v>78027.9658896713</v>
      </c>
      <c r="N87" s="38">
        <f>(($AP87*$AI87+$AJ87)*(1+$AQ87)*(1+$AR87)+($AU87*IF($G$1="鸣金",$AK87,$AI87)+IF($G$1="鸣金",$AL87*1.5,0))*(1+$AV87)*(1+$AW87)+($AY87*IF($G$1="裂石",$AK87,$AI87)+IF($G$1="裂石",$AL87*1.5,0))*(1+$AZ87)*(1+$BA87)+($BC87*IF($G$1="牵丝",$AK87,$AI87)+IF($G$1="牵丝",$AL87*1.5,0))*(1+$BD87)*(1+$BE87)+($BG87*IF($G$1="破竹",$AK87,$AI87)+IF($G$1="破竹",$AL87*1.5,0))*(1+$BH87)*(1+$BI87))*(1+$AM87)*$BN87*$Q87*(1+IF(VLOOKUP($R87,武学奇术!$A:$ZZ,30,FALSE)="回旋伞",$B$21,0))*(1+$BR87)</f>
        <v>59857.6756031387</v>
      </c>
      <c r="O87" s="38">
        <f>((($AO87+$AP87)/2*$AI87+$AJ87)*(1+$AQ87)*(1+$AR87)+(($AT87+$AU87)/2*IF($G$1="鸣金",$AK87,$AI87)+IF($G$1="鸣金",$AL87*1.5,0))*(1+$AV87)*(1+$AW87)+(($AX87+$AY87)/2*IF($G$1="裂石",$AK87,$AI87)+IF($G$1="裂石",$AL87*1.5,0))*(1+$AZ87)*(1+$BA87)+(($BB87+$BC87)/2*IF($G$1="牵丝",$AK87,$AI87)+IF($G$1="牵丝",$AL87*1.5,0))*(1+$BD87)*(1+$BE87)+(($BF87+$BG87)/2*IF($G$1="破竹",$AK87,$AI87)+IF($G$1="破竹",$AL87*1.5,0))*(1+$BH87)*(1+$BI87))*(1+$AM87)*$Q87*(1+IF(VLOOKUP($R87,武学奇术!$A:$ZZ,30,FALSE)="回旋伞",$B$21,0))*(1+$BR87)</f>
        <v>39608.1045125235</v>
      </c>
      <c r="P87" s="38">
        <f>((($AO87*$AI87+$AJ87)*(1+$AQ87)*(1+$AR87)+($AT87*IF($G$1="鸣金",$AK87,$AI87)+IF($G$1="鸣金",$AL87*1.5,0))*(1+$AV87)*(1+$AW87)+($AX87*IF($G$1="裂石",$AK87,$AI87)+IF($G$1="裂石",$AL87*1.5,0))*(1+$AZ87)*(1+$BA87)+($BB87*IF($G$1="牵丝",$AK87,$AI87)+IF($G$1="牵丝",$AL87*1.5,0))*(1+$BD87)*(1+$BE87)+($BF87*IF($G$1="破竹",$AK87,$AI87)+IF($G$1="破竹",$AL87*1.5,0))*(1+$BH87)*(1+$BI87))*(1+$AM87))*$Q87*(1+IF(VLOOKUP($R87,武学奇术!$A:$ZZ,30,FALSE)="回旋伞",$B$21,0))*(1+$BR87)</f>
        <v>34877.1900597591</v>
      </c>
      <c r="Q87" s="39">
        <v>1</v>
      </c>
      <c r="R87" s="40" t="s">
        <v>108</v>
      </c>
      <c r="S87" s="40" t="s">
        <v>109</v>
      </c>
      <c r="T87" s="40" t="s">
        <v>95</v>
      </c>
      <c r="U87" s="40" t="s">
        <v>73</v>
      </c>
      <c r="V87" s="40" t="s">
        <v>81</v>
      </c>
      <c r="W87" s="40" t="s">
        <v>172</v>
      </c>
      <c r="X87" s="40" t="s">
        <v>99</v>
      </c>
      <c r="Y87" s="40" t="s">
        <v>72</v>
      </c>
      <c r="Z87" s="40" t="s">
        <v>72</v>
      </c>
      <c r="AA87" s="40" t="s">
        <v>72</v>
      </c>
      <c r="AB87" s="40" t="s">
        <v>115</v>
      </c>
      <c r="AC87" s="40" t="s">
        <v>72</v>
      </c>
      <c r="AD87" s="40" t="s">
        <v>72</v>
      </c>
      <c r="AE87" s="40" t="s">
        <v>72</v>
      </c>
      <c r="AF87" s="40" t="s">
        <v>72</v>
      </c>
      <c r="AG87" s="40" t="s">
        <v>78</v>
      </c>
      <c r="AH87" t="str">
        <f>VLOOKUP($R87,武学奇术!$A:$ZZ,25,FALSE)</f>
        <v>伞</v>
      </c>
      <c r="AI87" s="26">
        <f>VLOOKUP($R87,武学奇术!$A:$ZZ,26,FALSE)</f>
        <v>1.8084</v>
      </c>
      <c r="AJ87" s="27">
        <f>VLOOKUP($R87,武学奇术!$A:$ZZ,27,FALSE)*(1+IF(OR($AH87=$F$4,$AH87=$F$5),$B$22,0))</f>
        <v>750</v>
      </c>
      <c r="AK87" s="26">
        <f>VLOOKUP($R87,武学奇术!$A:$ZZ,28,FALSE)</f>
        <v>2.7126</v>
      </c>
      <c r="AL87" s="27">
        <f>VLOOKUP($R87,武学奇术!$A:$ZZ,29,FALSE)*(1+IF(OR($AH87=$F$4,$AH87=$F$5),$B$22,0))</f>
        <v>408</v>
      </c>
      <c r="AM87" s="26" cm="1">
        <f t="array" ref="AM87">$G$3+IFERROR(VLOOKUP($AH87,$F$4:$G$7,2,FALSE),0)+VLOOKUP($R87,武学奇术!$A:$ZZ,2,FALSE)+SUM(_xlfn.XLOOKUP($S87:$AG87,增益!$A:$A,增益!$B:$B,0))</f>
        <v>0.7741</v>
      </c>
      <c r="AN87" s="26" cm="1">
        <f t="array" ref="AN87">VLOOKUP($R87,武学奇术!$A:$ZZ,5,FALSE)+SUM(_xlfn.XLOOKUP($S87:$AG87,增益!$A:$A,增益!$E:$E,0))</f>
        <v>0</v>
      </c>
      <c r="AO87" cm="1">
        <f t="array" ref="AO87">$D$10*(1+$AN87)+VLOOKUP($R87,武学奇术!$A:$ZZ,3,FALSE)+SUM(_xlfn.XLOOKUP($S87:$AG87,增益!$A:$A,增益!$C:$C,0))-$I$2</f>
        <v>3562.6</v>
      </c>
      <c r="AP87" cm="1">
        <f t="array" ref="AP87">$E$10*(1+$AN87)+VLOOKUP($R87,武学奇术!$A:$ZZ,4,FALSE)+SUM(_xlfn.XLOOKUP($S87:$AG87,增益!$A:$A,增益!$D:$D,0))-$I$2</f>
        <v>3562.6</v>
      </c>
      <c r="AQ87" s="32" cm="1">
        <f t="array" ref="AQ87">IF($F$10-$I$3+VLOOKUP($R87,武学奇术!$A:$ZZ,6,FALSE)+SUM(_xlfn.XLOOKUP(S87:AG87,增益!$A:$A,增益!$F:$F,0))&gt;0,($F$10-$I$3+VLOOKUP($R87,武学奇术!$A:$ZZ,6,FALSE)+SUM(_xlfn.XLOOKUP(S87:AG87,增益!$A:$A,增益!$F:$F,0)))/200,($F$10-$I$3+VLOOKUP($R87,武学奇术!$A:$ZZ,6,FALSE)+SUM(_xlfn.XLOOKUP(S87:AG87,增益!$A:$A,增益!$F:$F,0)))/100)</f>
        <v>0.2925</v>
      </c>
      <c r="AR87" s="32" cm="1">
        <f t="array" ref="AR87">$G$10+VLOOKUP($R87,武学奇术!$A:$ZZ,7,FALSE)+SUM(_xlfn.XLOOKUP(S87:AG87,增益!$A:$A,增益!$G:$G,0))</f>
        <v>0.148</v>
      </c>
      <c r="AS87" s="26" cm="1">
        <f t="array" ref="AS87">VLOOKUP($R87,武学奇术!$A:$ZZ,8,FALSE)+SUM(_xlfn.XLOOKUP(S87:AG87,增益!$A:$A,增益!$H:$H,0))</f>
        <v>0</v>
      </c>
      <c r="AT87">
        <f t="shared" si="13"/>
        <v>0</v>
      </c>
      <c r="AU87">
        <f t="shared" si="14"/>
        <v>0</v>
      </c>
      <c r="AV87" s="32" cm="1">
        <f t="array" ref="AV87">IF($F$11-$I$4+VLOOKUP($R87,武学奇术!$A:$ZZ,9,FALSE)+SUM(_xlfn.XLOOKUP(S87:AG87,增益!$A:$A,增益!$I:$I,0))&gt;0,($F$11-$I$4+VLOOKUP($R87,武学奇术!$A:$ZZ,9,FALSE)+SUM(_xlfn.XLOOKUP(S87:AG87,增益!$A:$A,增益!$I:$I,0)))/200,($F$11-$I$4+VLOOKUP($R87,武学奇术!$A:$ZZ,9,FALSE)+SUM(_xlfn.XLOOKUP(S87:AG87,增益!$A:$A,增益!$I:$I,0)))/100)</f>
        <v>-0.3</v>
      </c>
      <c r="AW87" s="32" cm="1">
        <f t="array" ref="AW87">$G$11+VLOOKUP($R87,武学奇术!$A:$ZZ,10,FALSE)+SUM(_xlfn.XLOOKUP(S87:AG87,增益!$A:$A,增益!$J:$J,0))</f>
        <v>0</v>
      </c>
      <c r="AX87">
        <f t="shared" si="15"/>
        <v>0</v>
      </c>
      <c r="AY87">
        <f t="shared" si="16"/>
        <v>0</v>
      </c>
      <c r="AZ87" s="32" cm="1">
        <f t="array" ref="AZ87">IF($F$12-$I$4+VLOOKUP($R87,武学奇术!$A:$ZZ,11,FALSE)+SUM(_xlfn.XLOOKUP(S87:AG87,增益!$A:$A,增益!$K:$K,0))&gt;0,($F$12-$I$4+VLOOKUP($R87,武学奇术!$A:$ZZ,11,FALSE)+SUM(_xlfn.XLOOKUP(S87:AG87,增益!$A:$A,增益!$K:$K,0)))/200,($F$12-$I$4+VLOOKUP($R87,武学奇术!$A:$ZZ,11,FALSE)+SUM(_xlfn.XLOOKUP(S87:AG87,增益!$A:$A,增益!$K:$K,0)))/100)</f>
        <v>-0.3</v>
      </c>
      <c r="BA87" s="32" cm="1">
        <f t="array" ref="BA87">$G$12+VLOOKUP($R87,武学奇术!$A:$ZZ,12,FALSE)+SUM(_xlfn.XLOOKUP(S87:AG87,增益!$A:$A,增益!$L:$L,0))</f>
        <v>0</v>
      </c>
      <c r="BB87">
        <f t="shared" si="17"/>
        <v>0</v>
      </c>
      <c r="BC87">
        <f t="shared" si="18"/>
        <v>0</v>
      </c>
      <c r="BD87" s="32" cm="1">
        <f t="array" ref="BD87">IF($F$13-$I$4+VLOOKUP($R87,武学奇术!$A:$ZZ,13,FALSE)+SUM(_xlfn.XLOOKUP(S87:AG87,增益!$A:$A,增益!$M:$M,0))&gt;0,($F$13-$I$4+VLOOKUP($R87,武学奇术!$A:$ZZ,13,FALSE)+SUM(_xlfn.XLOOKUP(S87:AG87,增益!$A:$A,增益!$K:$K,0)))/200,($F$13-$I$4+VLOOKUP($R87,武学奇术!$A:$ZZ,13,FALSE)+SUM(_xlfn.XLOOKUP(S87:AG87,增益!$A:$A,增益!$M:$M,0)))/100)</f>
        <v>-0.3</v>
      </c>
      <c r="BE87" s="32" cm="1">
        <f t="array" ref="BE87">$G$13+VLOOKUP($R87,武学奇术!$A:$ZZ,14,FALSE)+SUM(_xlfn.XLOOKUP(S87:AG87,增益!$A:$A,增益!$N:$N,0))</f>
        <v>0</v>
      </c>
      <c r="BF87">
        <f t="shared" si="19"/>
        <v>571.2</v>
      </c>
      <c r="BG87">
        <f t="shared" si="20"/>
        <v>1627.8</v>
      </c>
      <c r="BH87" s="32" cm="1">
        <f t="array" ref="BH87">IF($F$14-$I$4+VLOOKUP($R87,武学奇术!$A:$ZZ,15,FALSE)+SUM(_xlfn.XLOOKUP(S87:AG87,增益!$A:$A,增益!$O:$O,0))&gt;0,($F$14-$I$4+VLOOKUP($R87,武学奇术!$A:$ZZ,15,FALSE)+SUM(_xlfn.XLOOKUP(S87:AG87,增益!$A:$A,增益!$O:$O,0)))/200,($F$14-$I$4+VLOOKUP($R87,武学奇术!$A:$ZZ,15,FALSE)+SUM(_xlfn.XLOOKUP(S87:AG87,增益!$A:$A,增益!$O:$O,0)))/100)</f>
        <v>0</v>
      </c>
      <c r="BI87" s="32" cm="1">
        <f t="array" ref="BI87">$G$14+VLOOKUP($R87,武学奇术!$A:$ZZ,16,FALSE)+SUM(_xlfn.XLOOKUP(S87:AG87,增益!$A:$A,增益!$P:$P,0))</f>
        <v>0.27</v>
      </c>
      <c r="BJ87" s="26">
        <f>MIN(IF(VLOOKUP($R87,武学奇术!$A:$ZZ,23,FALSE)=1,100%,$B$8),100%)</f>
        <v>0.981</v>
      </c>
      <c r="BK87" s="26" cm="1">
        <f t="array" ref="BK87">IF(VLOOKUP($R87,武学奇术!$A:$ZZ,23,FALSE)=1,100%,MIN(80%,$B$9+VLOOKUP($R87,武学奇术!$A:$ZZ,17,FALSE)+SUM(_xlfn.XLOOKUP(S87:AG87,增益!$A:$A,增益!$Q:$Q,0)))+$B$11+SUM(_xlfn.XLOOKUP(S87:AG87,增益!$A:$A,增益!$U:$U,0)))*IF(VLOOKUP($R87,武学奇术!$A:$ZZ,24,FALSE)=1,0,1)</f>
        <v>0.846</v>
      </c>
      <c r="BL87" s="26" cm="1">
        <f t="array" ref="BL87">1+$B$13+VLOOKUP($R87,武学奇术!$A:$ZZ,18,FALSE)+SUM(_xlfn.XLOOKUP(S87:AG87,增益!$A:$A,增益!$R:$R,0))</f>
        <v>1.97</v>
      </c>
      <c r="BM87" s="26" cm="1">
        <f t="array" ref="BM87">IF(VLOOKUP($R87,武学奇术!$A:$ZZ,24,FALSE)=1,100%,MIN(40%,$B$10+VLOOKUP($R87,武学奇术!$A:$ZZ,19,FALSE)+SUM(_xlfn.XLOOKUP(S87:AG87,增益!$A:$A,增益!$S:$S,0)))+$B$12+SUM(_xlfn.XLOOKUP(S87:AG87,增益!$A:$A,增益!$V:$V,0)))*IF(VLOOKUP($R87,武学奇术!$A:$ZZ,23,FALSE)=1,0,1)</f>
        <v>0.0929</v>
      </c>
      <c r="BN87" s="26" cm="1">
        <f t="array" ref="BN87">1+$B$14+VLOOKUP($R87,武学奇术!$A:$ZZ,20,FALSE)+SUM(_xlfn.XLOOKUP(S87:AG87,增益!$A:$A,增益!$T:$T,0))</f>
        <v>1.35</v>
      </c>
      <c r="BO87" s="26">
        <f t="shared" si="21"/>
        <v>0.829926</v>
      </c>
      <c r="BP87" s="26">
        <f t="shared" si="22"/>
        <v>0.0599391</v>
      </c>
      <c r="BQ87" s="26">
        <f>IF(VLOOKUP($R87,武学奇术!$A:$ZZ,22,FALSE)=1,0,(1-$BJ87))*(1-$BM87)</f>
        <v>0.0172349</v>
      </c>
      <c r="BR87" s="26" cm="1">
        <f t="array" ref="BR87">SUM(_xlfn.XLOOKUP(S87:AG87,增益!$A:$A,增益!$W:$W,0))+$I$5</f>
        <v>0.11</v>
      </c>
    </row>
    <row r="88" spans="1:70">
      <c r="K88">
        <f>$L88*VLOOKUP($R88,武学奇术!$A:$ZZ,31,FALSE)</f>
        <v>44842.1614601867</v>
      </c>
      <c r="L88" s="38">
        <f t="shared" si="23"/>
        <v>42706.820438273</v>
      </c>
      <c r="M88" s="38">
        <f>((($AO88+$AP88)/2*$AI88+$AJ88)*(1+$AQ88)*(1+$AR88)+(($AT88+$AU88)/2*IF($G$1="鸣金",$AK88,$AI88)+IF($G$1="鸣金",$AL88*1.5,0))*(1+$AV88)*(1+$AW88)+(($AX88+$AY88)/2*IF($G$1="裂石",$AK88,$AI88)+IF($G$1="裂石",$AL88*1.5,0))*(1+$AZ88)*(1+$BA88)+(($BB88+$BC88)/2*IF($G$1="牵丝",$AK88,$AI88)+IF($G$1="牵丝",$AL88*1.5,0))*(1+$BD88)*(1+$BE88)+(($BF88+$BG88)/2*IF($G$1="破竹",$AK88,$AI88)+IF($G$1="破竹",$AL88*1.5,0))*(1+$BH88)*(1+$BI88))*(1+$AM88)*$BL88*$Q88*(1+IF(VLOOKUP($R88,武学奇术!$A:$ZZ,30,FALSE)="回旋伞",$B$21,0))*(1+$BR88)</f>
        <v>45420.6621455903</v>
      </c>
      <c r="N88" s="38">
        <f>(($AP88*$AI88+$AJ88)*(1+$AQ88)*(1+$AR88)+($AU88*IF($G$1="鸣金",$AK88,$AI88)+IF($G$1="鸣金",$AL88*1.5,0))*(1+$AV88)*(1+$AW88)+($AY88*IF($G$1="裂石",$AK88,$AI88)+IF($G$1="裂石",$AL88*1.5,0))*(1+$AZ88)*(1+$BA88)+($BC88*IF($G$1="牵丝",$AK88,$AI88)+IF($G$1="牵丝",$AL88*1.5,0))*(1+$BD88)*(1+$BE88)+($BG88*IF($G$1="破竹",$AK88,$AI88)+IF($G$1="破竹",$AL88*1.5,0))*(1+$BH88)*(1+$BI88))*(1+$AM88)*$BN88*$Q88*(1+IF(VLOOKUP($R88,武学奇术!$A:$ZZ,30,FALSE)="回旋伞",$B$21,0))*(1+$BR88)</f>
        <v>35370.0670293007</v>
      </c>
      <c r="O88" s="38">
        <f>((($AO88+$AP88)/2*$AI88+$AJ88)*(1+$AQ88)*(1+$AR88)+(($AT88+$AU88)/2*IF($G$1="鸣金",$AK88,$AI88)+IF($G$1="鸣金",$AL88*1.5,0))*(1+$AV88)*(1+$AW88)+(($AX88+$AY88)/2*IF($G$1="裂石",$AK88,$AI88)+IF($G$1="裂石",$AL88*1.5,0))*(1+$AZ88)*(1+$BA88)+(($BB88+$BC88)/2*IF($G$1="牵丝",$AK88,$AI88)+IF($G$1="牵丝",$AL88*1.5,0))*(1+$BD88)*(1+$BE88)+(($BF88+$BG88)/2*IF($G$1="破竹",$AK88,$AI88)+IF($G$1="破竹",$AL88*1.5,0))*(1+$BH88)*(1+$BI88))*(1+$AM88)*$Q88*(1+IF(VLOOKUP($R88,武学奇术!$A:$ZZ,30,FALSE)="回旋伞",$B$21,0))*(1+$BR88)</f>
        <v>23056.1736779646</v>
      </c>
      <c r="P88" s="38">
        <f>((($AO88*$AI88+$AJ88)*(1+$AQ88)*(1+$AR88)+($AT88*IF($G$1="鸣金",$AK88,$AI88)+IF($G$1="鸣金",$AL88*1.5,0))*(1+$AV88)*(1+$AW88)+($AX88*IF($G$1="裂石",$AK88,$AI88)+IF($G$1="裂石",$AL88*1.5,0))*(1+$AZ88)*(1+$BA88)+($BB88*IF($G$1="牵丝",$AK88,$AI88)+IF($G$1="牵丝",$AL88*1.5,0))*(1+$BD88)*(1+$BE88)+($BF88*IF($G$1="破竹",$AK88,$AI88)+IF($G$1="破竹",$AL88*1.5,0))*(1+$BH88)*(1+$BI88))*(1+$AM88))*$Q88*(1+IF(VLOOKUP($R88,武学奇术!$A:$ZZ,30,FALSE)="回旋伞",$B$21,0))*(1+$BR88)</f>
        <v>19912.2977045954</v>
      </c>
      <c r="Q88" s="39">
        <v>2</v>
      </c>
      <c r="R88" s="40" t="s">
        <v>112</v>
      </c>
      <c r="S88" s="40" t="s">
        <v>109</v>
      </c>
      <c r="T88" s="40" t="s">
        <v>95</v>
      </c>
      <c r="U88" s="40" t="s">
        <v>73</v>
      </c>
      <c r="V88" s="40" t="s">
        <v>81</v>
      </c>
      <c r="W88" s="40" t="s">
        <v>172</v>
      </c>
      <c r="X88" s="40" t="s">
        <v>99</v>
      </c>
      <c r="Y88" s="40" t="s">
        <v>72</v>
      </c>
      <c r="Z88" s="40" t="s">
        <v>72</v>
      </c>
      <c r="AA88" s="40" t="s">
        <v>72</v>
      </c>
      <c r="AB88" s="40" t="s">
        <v>115</v>
      </c>
      <c r="AC88" s="40" t="s">
        <v>72</v>
      </c>
      <c r="AD88" s="40" t="s">
        <v>72</v>
      </c>
      <c r="AE88" s="40" t="s">
        <v>72</v>
      </c>
      <c r="AF88" s="40" t="s">
        <v>72</v>
      </c>
      <c r="AG88" s="40" t="s">
        <v>78</v>
      </c>
      <c r="AH88" t="str">
        <f>VLOOKUP($R88,武学奇术!$A:$ZZ,25,FALSE)</f>
        <v>伞</v>
      </c>
      <c r="AI88" s="26">
        <f>VLOOKUP($R88,武学奇术!$A:$ZZ,26,FALSE)</f>
        <v>0.54</v>
      </c>
      <c r="AJ88" s="27">
        <f>VLOOKUP($R88,武学奇术!$A:$ZZ,27,FALSE)*(1+IF(OR($AH88=$F$4,$AH88=$F$5),$B$22,0))</f>
        <v>0</v>
      </c>
      <c r="AK88" s="26">
        <f>VLOOKUP($R88,武学奇术!$A:$ZZ,28,FALSE)</f>
        <v>0.81</v>
      </c>
      <c r="AL88" s="27">
        <f>VLOOKUP($R88,武学奇术!$A:$ZZ,29,FALSE)*(1+IF(OR($AH88=$F$4,$AH88=$F$5),$B$22,0))</f>
        <v>0</v>
      </c>
      <c r="AM88" s="26" cm="1">
        <f t="array" ref="AM88">$G$3+IFERROR(VLOOKUP($AH88,$F$4:$G$7,2,FALSE),0)+VLOOKUP($R88,武学奇术!$A:$ZZ,2,FALSE)+SUM(_xlfn.XLOOKUP($S88:$AG88,增益!$A:$A,增益!$B:$B,0))</f>
        <v>0.9741</v>
      </c>
      <c r="AN88" s="26" cm="1">
        <f t="array" ref="AN88">VLOOKUP($R88,武学奇术!$A:$ZZ,5,FALSE)+SUM(_xlfn.XLOOKUP($S88:$AG88,增益!$A:$A,增益!$E:$E,0))</f>
        <v>0</v>
      </c>
      <c r="AO88" cm="1">
        <f t="array" ref="AO88">$D$10*(1+$AN88)+VLOOKUP($R88,武学奇术!$A:$ZZ,3,FALSE)+SUM(_xlfn.XLOOKUP($S88:$AG88,增益!$A:$A,增益!$C:$C,0))-$I$2</f>
        <v>3562.6</v>
      </c>
      <c r="AP88" cm="1">
        <f t="array" ref="AP88">$E$10*(1+$AN88)+VLOOKUP($R88,武学奇术!$A:$ZZ,4,FALSE)+SUM(_xlfn.XLOOKUP($S88:$AG88,增益!$A:$A,增益!$D:$D,0))-$I$2</f>
        <v>3562.6</v>
      </c>
      <c r="AQ88" s="32" cm="1">
        <f t="array" ref="AQ88">IF($F$10-$I$3+VLOOKUP($R88,武学奇术!$A:$ZZ,6,FALSE)+SUM(_xlfn.XLOOKUP(S88:AG88,增益!$A:$A,增益!$F:$F,0))&gt;0,($F$10-$I$3+VLOOKUP($R88,武学奇术!$A:$ZZ,6,FALSE)+SUM(_xlfn.XLOOKUP(S88:AG88,增益!$A:$A,增益!$F:$F,0)))/200,($F$10-$I$3+VLOOKUP($R88,武学奇术!$A:$ZZ,6,FALSE)+SUM(_xlfn.XLOOKUP(S88:AG88,增益!$A:$A,增益!$F:$F,0)))/100)</f>
        <v>0.2925</v>
      </c>
      <c r="AR88" s="32" cm="1">
        <f t="array" ref="AR88">$G$10+VLOOKUP($R88,武学奇术!$A:$ZZ,7,FALSE)+SUM(_xlfn.XLOOKUP(S88:AG88,增益!$A:$A,增益!$G:$G,0))</f>
        <v>0.148</v>
      </c>
      <c r="AS88" s="26" cm="1">
        <f t="array" ref="AS88">VLOOKUP($R88,武学奇术!$A:$ZZ,8,FALSE)+SUM(_xlfn.XLOOKUP(S88:AG88,增益!$A:$A,增益!$H:$H,0))</f>
        <v>0</v>
      </c>
      <c r="AT88">
        <f t="shared" si="13"/>
        <v>0</v>
      </c>
      <c r="AU88">
        <f t="shared" si="14"/>
        <v>0</v>
      </c>
      <c r="AV88" s="32" cm="1">
        <f t="array" ref="AV88">IF($F$11-$I$4+VLOOKUP($R88,武学奇术!$A:$ZZ,9,FALSE)+SUM(_xlfn.XLOOKUP(S88:AG88,增益!$A:$A,增益!$I:$I,0))&gt;0,($F$11-$I$4+VLOOKUP($R88,武学奇术!$A:$ZZ,9,FALSE)+SUM(_xlfn.XLOOKUP(S88:AG88,增益!$A:$A,增益!$I:$I,0)))/200,($F$11-$I$4+VLOOKUP($R88,武学奇术!$A:$ZZ,9,FALSE)+SUM(_xlfn.XLOOKUP(S88:AG88,增益!$A:$A,增益!$I:$I,0)))/100)</f>
        <v>-0.3</v>
      </c>
      <c r="AW88" s="32" cm="1">
        <f t="array" ref="AW88">$G$11+VLOOKUP($R88,武学奇术!$A:$ZZ,10,FALSE)+SUM(_xlfn.XLOOKUP(S88:AG88,增益!$A:$A,增益!$J:$J,0))</f>
        <v>0</v>
      </c>
      <c r="AX88">
        <f t="shared" si="15"/>
        <v>0</v>
      </c>
      <c r="AY88">
        <f t="shared" si="16"/>
        <v>0</v>
      </c>
      <c r="AZ88" s="32" cm="1">
        <f t="array" ref="AZ88">IF($F$12-$I$4+VLOOKUP($R88,武学奇术!$A:$ZZ,11,FALSE)+SUM(_xlfn.XLOOKUP(S88:AG88,增益!$A:$A,增益!$K:$K,0))&gt;0,($F$12-$I$4+VLOOKUP($R88,武学奇术!$A:$ZZ,11,FALSE)+SUM(_xlfn.XLOOKUP(S88:AG88,增益!$A:$A,增益!$K:$K,0)))/200,($F$12-$I$4+VLOOKUP($R88,武学奇术!$A:$ZZ,11,FALSE)+SUM(_xlfn.XLOOKUP(S88:AG88,增益!$A:$A,增益!$K:$K,0)))/100)</f>
        <v>-0.3</v>
      </c>
      <c r="BA88" s="32" cm="1">
        <f t="array" ref="BA88">$G$12+VLOOKUP($R88,武学奇术!$A:$ZZ,12,FALSE)+SUM(_xlfn.XLOOKUP(S88:AG88,增益!$A:$A,增益!$L:$L,0))</f>
        <v>0</v>
      </c>
      <c r="BB88">
        <f t="shared" si="17"/>
        <v>0</v>
      </c>
      <c r="BC88">
        <f t="shared" si="18"/>
        <v>0</v>
      </c>
      <c r="BD88" s="32" cm="1">
        <f t="array" ref="BD88">IF($F$13-$I$4+VLOOKUP($R88,武学奇术!$A:$ZZ,13,FALSE)+SUM(_xlfn.XLOOKUP(S88:AG88,增益!$A:$A,增益!$M:$M,0))&gt;0,($F$13-$I$4+VLOOKUP($R88,武学奇术!$A:$ZZ,13,FALSE)+SUM(_xlfn.XLOOKUP(S88:AG88,增益!$A:$A,增益!$K:$K,0)))/200,($F$13-$I$4+VLOOKUP($R88,武学奇术!$A:$ZZ,13,FALSE)+SUM(_xlfn.XLOOKUP(S88:AG88,增益!$A:$A,增益!$M:$M,0)))/100)</f>
        <v>-0.3</v>
      </c>
      <c r="BE88" s="32" cm="1">
        <f t="array" ref="BE88">$G$13+VLOOKUP($R88,武学奇术!$A:$ZZ,14,FALSE)+SUM(_xlfn.XLOOKUP(S88:AG88,增益!$A:$A,增益!$N:$N,0))</f>
        <v>0</v>
      </c>
      <c r="BF88">
        <f t="shared" si="19"/>
        <v>571.2</v>
      </c>
      <c r="BG88">
        <f t="shared" si="20"/>
        <v>1627.8</v>
      </c>
      <c r="BH88" s="32" cm="1">
        <f t="array" ref="BH88">IF($F$14-$I$4+VLOOKUP($R88,武学奇术!$A:$ZZ,15,FALSE)+SUM(_xlfn.XLOOKUP(S88:AG88,增益!$A:$A,增益!$O:$O,0))&gt;0,($F$14-$I$4+VLOOKUP($R88,武学奇术!$A:$ZZ,15,FALSE)+SUM(_xlfn.XLOOKUP(S88:AG88,增益!$A:$A,增益!$O:$O,0)))/200,($F$14-$I$4+VLOOKUP($R88,武学奇术!$A:$ZZ,15,FALSE)+SUM(_xlfn.XLOOKUP(S88:AG88,增益!$A:$A,增益!$O:$O,0)))/100)</f>
        <v>0</v>
      </c>
      <c r="BI88" s="32" cm="1">
        <f t="array" ref="BI88">$G$14+VLOOKUP($R88,武学奇术!$A:$ZZ,16,FALSE)+SUM(_xlfn.XLOOKUP(S88:AG88,增益!$A:$A,增益!$P:$P,0))</f>
        <v>0.27</v>
      </c>
      <c r="BJ88" s="26">
        <f>MIN(IF(VLOOKUP($R88,武学奇术!$A:$ZZ,23,FALSE)=1,100%,$B$8),100%)</f>
        <v>0.981</v>
      </c>
      <c r="BK88" s="26" cm="1">
        <f t="array" ref="BK88">IF(VLOOKUP($R88,武学奇术!$A:$ZZ,23,FALSE)=1,100%,MIN(80%,$B$9+VLOOKUP($R88,武学奇术!$A:$ZZ,17,FALSE)+SUM(_xlfn.XLOOKUP(S88:AG88,增益!$A:$A,增益!$Q:$Q,0)))+$B$11+SUM(_xlfn.XLOOKUP(S88:AG88,增益!$A:$A,增益!$U:$U,0)))*IF(VLOOKUP($R88,武学奇术!$A:$ZZ,24,FALSE)=1,0,1)</f>
        <v>0.846</v>
      </c>
      <c r="BL88" s="26" cm="1">
        <f t="array" ref="BL88">1+$B$13+VLOOKUP($R88,武学奇术!$A:$ZZ,18,FALSE)+SUM(_xlfn.XLOOKUP(S88:AG88,增益!$A:$A,增益!$R:$R,0))</f>
        <v>1.97</v>
      </c>
      <c r="BM88" s="26" cm="1">
        <f t="array" ref="BM88">IF(VLOOKUP($R88,武学奇术!$A:$ZZ,24,FALSE)=1,100%,MIN(40%,$B$10+VLOOKUP($R88,武学奇术!$A:$ZZ,19,FALSE)+SUM(_xlfn.XLOOKUP(S88:AG88,增益!$A:$A,增益!$S:$S,0)))+$B$12+SUM(_xlfn.XLOOKUP(S88:AG88,增益!$A:$A,增益!$V:$V,0)))*IF(VLOOKUP($R88,武学奇术!$A:$ZZ,23,FALSE)=1,0,1)</f>
        <v>0.0929</v>
      </c>
      <c r="BN88" s="26" cm="1">
        <f t="array" ref="BN88">1+$B$14+VLOOKUP($R88,武学奇术!$A:$ZZ,20,FALSE)+SUM(_xlfn.XLOOKUP(S88:AG88,增益!$A:$A,增益!$T:$T,0))</f>
        <v>1.35</v>
      </c>
      <c r="BO88" s="26">
        <f t="shared" si="21"/>
        <v>0.829926</v>
      </c>
      <c r="BP88" s="26">
        <f t="shared" si="22"/>
        <v>0.0599391</v>
      </c>
      <c r="BQ88" s="26">
        <f>IF(VLOOKUP($R88,武学奇术!$A:$ZZ,22,FALSE)=1,0,(1-$BJ88))*(1-$BM88)</f>
        <v>0.0172349</v>
      </c>
      <c r="BR88" s="26" cm="1">
        <f t="array" ref="BR88">SUM(_xlfn.XLOOKUP(S88:AG88,增益!$A:$A,增益!$W:$W,0))+$I$5</f>
        <v>0.11</v>
      </c>
    </row>
    <row r="89" spans="1:70">
      <c r="K89">
        <f>$L89*VLOOKUP($R89,武学奇术!$A:$ZZ,31,FALSE)</f>
        <v>79028.9875697386</v>
      </c>
      <c r="L89" s="38">
        <f t="shared" si="23"/>
        <v>75265.7024473701</v>
      </c>
      <c r="M89" s="38">
        <f>((($AO89+$AP89)/2*$AI89+$AJ89)*(1+$AQ89)*(1+$AR89)+(($AT89+$AU89)/2*IF($G$1="鸣金",$AK89,$AI89)+IF($G$1="鸣金",$AL89*1.5,0))*(1+$AV89)*(1+$AW89)+(($AX89+$AY89)/2*IF($G$1="裂石",$AK89,$AI89)+IF($G$1="裂石",$AL89*1.5,0))*(1+$AZ89)*(1+$BA89)+(($BB89+$BC89)/2*IF($G$1="牵丝",$AK89,$AI89)+IF($G$1="牵丝",$AL89*1.5,0))*(1+$BD89)*(1+$BE89)+(($BF89+$BG89)/2*IF($G$1="破竹",$AK89,$AI89)+IF($G$1="破竹",$AL89*1.5,0))*(1+$BH89)*(1+$BI89))*(1+$AM89)*$BL89*$Q89*(1+IF(VLOOKUP($R89,武学奇术!$A:$ZZ,30,FALSE)="回旋伞",$B$21,0))*(1+$BR89)</f>
        <v>80404.4521604227</v>
      </c>
      <c r="N89" s="38">
        <f>(($AP89*$AI89+$AJ89)*(1+$AQ89)*(1+$AR89)+($AU89*IF($G$1="鸣金",$AK89,$AI89)+IF($G$1="鸣金",$AL89*1.5,0))*(1+$AV89)*(1+$AW89)+($AY89*IF($G$1="裂石",$AK89,$AI89)+IF($G$1="裂石",$AL89*1.5,0))*(1+$AZ89)*(1+$BA89)+($BC89*IF($G$1="牵丝",$AK89,$AI89)+IF($G$1="牵丝",$AL89*1.5,0))*(1+$BD89)*(1+$BE89)+($BG89*IF($G$1="破竹",$AK89,$AI89)+IF($G$1="破竹",$AL89*1.5,0))*(1+$BH89)*(1+$BI89))*(1+$AM89)*$BN89*$Q89*(1+IF(VLOOKUP($R89,武学奇术!$A:$ZZ,30,FALSE)="回旋伞",$B$21,0))*(1+$BR89)</f>
        <v>59857.6756031387</v>
      </c>
      <c r="O89" s="38">
        <f>((($AO89+$AP89)/2*$AI89+$AJ89)*(1+$AQ89)*(1+$AR89)+(($AT89+$AU89)/2*IF($G$1="鸣金",$AK89,$AI89)+IF($G$1="鸣金",$AL89*1.5,0))*(1+$AV89)*(1+$AW89)+(($AX89+$AY89)/2*IF($G$1="裂石",$AK89,$AI89)+IF($G$1="裂石",$AL89*1.5,0))*(1+$AZ89)*(1+$BA89)+(($BB89+$BC89)/2*IF($G$1="牵丝",$AK89,$AI89)+IF($G$1="牵丝",$AL89*1.5,0))*(1+$BD89)*(1+$BE89)+(($BF89+$BG89)/2*IF($G$1="破竹",$AK89,$AI89)+IF($G$1="破竹",$AL89*1.5,0))*(1+$BH89)*(1+$BI89))*(1+$AM89)*$Q89*(1+IF(VLOOKUP($R89,武学奇术!$A:$ZZ,30,FALSE)="回旋伞",$B$21,0))*(1+$BR89)</f>
        <v>39608.1045125235</v>
      </c>
      <c r="P89" s="38">
        <f>((($AO89*$AI89+$AJ89)*(1+$AQ89)*(1+$AR89)+($AT89*IF($G$1="鸣金",$AK89,$AI89)+IF($G$1="鸣金",$AL89*1.5,0))*(1+$AV89)*(1+$AW89)+($AX89*IF($G$1="裂石",$AK89,$AI89)+IF($G$1="裂石",$AL89*1.5,0))*(1+$AZ89)*(1+$BA89)+($BB89*IF($G$1="牵丝",$AK89,$AI89)+IF($G$1="牵丝",$AL89*1.5,0))*(1+$BD89)*(1+$BE89)+($BF89*IF($G$1="破竹",$AK89,$AI89)+IF($G$1="破竹",$AL89*1.5,0))*(1+$BH89)*(1+$BI89))*(1+$AM89))*$Q89*(1+IF(VLOOKUP($R89,武学奇术!$A:$ZZ,30,FALSE)="回旋伞",$B$21,0))*(1+$BR89)</f>
        <v>34877.1900597591</v>
      </c>
      <c r="Q89" s="39">
        <v>1</v>
      </c>
      <c r="R89" s="40" t="s">
        <v>108</v>
      </c>
      <c r="S89" s="40" t="s">
        <v>109</v>
      </c>
      <c r="T89" s="40" t="s">
        <v>95</v>
      </c>
      <c r="U89" s="40" t="s">
        <v>73</v>
      </c>
      <c r="V89" s="40" t="s">
        <v>81</v>
      </c>
      <c r="W89" s="40" t="s">
        <v>172</v>
      </c>
      <c r="X89" s="40" t="s">
        <v>99</v>
      </c>
      <c r="Y89" s="40" t="s">
        <v>72</v>
      </c>
      <c r="Z89" s="40" t="s">
        <v>72</v>
      </c>
      <c r="AA89" s="40" t="s">
        <v>72</v>
      </c>
      <c r="AB89" s="40" t="s">
        <v>120</v>
      </c>
      <c r="AC89" s="40" t="s">
        <v>72</v>
      </c>
      <c r="AD89" s="40" t="s">
        <v>72</v>
      </c>
      <c r="AE89" s="40" t="s">
        <v>72</v>
      </c>
      <c r="AF89" s="40" t="s">
        <v>72</v>
      </c>
      <c r="AG89" s="40" t="s">
        <v>78</v>
      </c>
      <c r="AH89" t="str">
        <f>VLOOKUP($R89,武学奇术!$A:$ZZ,25,FALSE)</f>
        <v>伞</v>
      </c>
      <c r="AI89" s="26">
        <f>VLOOKUP($R89,武学奇术!$A:$ZZ,26,FALSE)</f>
        <v>1.8084</v>
      </c>
      <c r="AJ89" s="27">
        <f>VLOOKUP($R89,武学奇术!$A:$ZZ,27,FALSE)*(1+IF(OR($AH89=$F$4,$AH89=$F$5),$B$22,0))</f>
        <v>750</v>
      </c>
      <c r="AK89" s="26">
        <f>VLOOKUP($R89,武学奇术!$A:$ZZ,28,FALSE)</f>
        <v>2.7126</v>
      </c>
      <c r="AL89" s="27">
        <f>VLOOKUP($R89,武学奇术!$A:$ZZ,29,FALSE)*(1+IF(OR($AH89=$F$4,$AH89=$F$5),$B$22,0))</f>
        <v>408</v>
      </c>
      <c r="AM89" s="26" cm="1">
        <f t="array" ref="AM89">$G$3+IFERROR(VLOOKUP($AH89,$F$4:$G$7,2,FALSE),0)+VLOOKUP($R89,武学奇术!$A:$ZZ,2,FALSE)+SUM(_xlfn.XLOOKUP($S89:$AG89,增益!$A:$A,增益!$B:$B,0))</f>
        <v>0.7741</v>
      </c>
      <c r="AN89" s="26" cm="1">
        <f t="array" ref="AN89">VLOOKUP($R89,武学奇术!$A:$ZZ,5,FALSE)+SUM(_xlfn.XLOOKUP($S89:$AG89,增益!$A:$A,增益!$E:$E,0))</f>
        <v>0</v>
      </c>
      <c r="AO89" cm="1">
        <f t="array" ref="AO89">$D$10*(1+$AN89)+VLOOKUP($R89,武学奇术!$A:$ZZ,3,FALSE)+SUM(_xlfn.XLOOKUP($S89:$AG89,增益!$A:$A,增益!$C:$C,0))-$I$2</f>
        <v>3562.6</v>
      </c>
      <c r="AP89" cm="1">
        <f t="array" ref="AP89">$E$10*(1+$AN89)+VLOOKUP($R89,武学奇术!$A:$ZZ,4,FALSE)+SUM(_xlfn.XLOOKUP($S89:$AG89,增益!$A:$A,增益!$D:$D,0))-$I$2</f>
        <v>3562.6</v>
      </c>
      <c r="AQ89" s="32" cm="1">
        <f t="array" ref="AQ89">IF($F$10-$I$3+VLOOKUP($R89,武学奇术!$A:$ZZ,6,FALSE)+SUM(_xlfn.XLOOKUP(S89:AG89,增益!$A:$A,增益!$F:$F,0))&gt;0,($F$10-$I$3+VLOOKUP($R89,武学奇术!$A:$ZZ,6,FALSE)+SUM(_xlfn.XLOOKUP(S89:AG89,增益!$A:$A,增益!$F:$F,0)))/200,($F$10-$I$3+VLOOKUP($R89,武学奇术!$A:$ZZ,6,FALSE)+SUM(_xlfn.XLOOKUP(S89:AG89,增益!$A:$A,增益!$F:$F,0)))/100)</f>
        <v>0.2925</v>
      </c>
      <c r="AR89" s="32" cm="1">
        <f t="array" ref="AR89">$G$10+VLOOKUP($R89,武学奇术!$A:$ZZ,7,FALSE)+SUM(_xlfn.XLOOKUP(S89:AG89,增益!$A:$A,增益!$G:$G,0))</f>
        <v>0.148</v>
      </c>
      <c r="AS89" s="26" cm="1">
        <f t="array" ref="AS89">VLOOKUP($R89,武学奇术!$A:$ZZ,8,FALSE)+SUM(_xlfn.XLOOKUP(S89:AG89,增益!$A:$A,增益!$H:$H,0))</f>
        <v>0</v>
      </c>
      <c r="AT89">
        <f t="shared" si="13"/>
        <v>0</v>
      </c>
      <c r="AU89">
        <f t="shared" si="14"/>
        <v>0</v>
      </c>
      <c r="AV89" s="32" cm="1">
        <f t="array" ref="AV89">IF($F$11-$I$4+VLOOKUP($R89,武学奇术!$A:$ZZ,9,FALSE)+SUM(_xlfn.XLOOKUP(S89:AG89,增益!$A:$A,增益!$I:$I,0))&gt;0,($F$11-$I$4+VLOOKUP($R89,武学奇术!$A:$ZZ,9,FALSE)+SUM(_xlfn.XLOOKUP(S89:AG89,增益!$A:$A,增益!$I:$I,0)))/200,($F$11-$I$4+VLOOKUP($R89,武学奇术!$A:$ZZ,9,FALSE)+SUM(_xlfn.XLOOKUP(S89:AG89,增益!$A:$A,增益!$I:$I,0)))/100)</f>
        <v>-0.3</v>
      </c>
      <c r="AW89" s="32" cm="1">
        <f t="array" ref="AW89">$G$11+VLOOKUP($R89,武学奇术!$A:$ZZ,10,FALSE)+SUM(_xlfn.XLOOKUP(S89:AG89,增益!$A:$A,增益!$J:$J,0))</f>
        <v>0</v>
      </c>
      <c r="AX89">
        <f t="shared" si="15"/>
        <v>0</v>
      </c>
      <c r="AY89">
        <f t="shared" si="16"/>
        <v>0</v>
      </c>
      <c r="AZ89" s="32" cm="1">
        <f t="array" ref="AZ89">IF($F$12-$I$4+VLOOKUP($R89,武学奇术!$A:$ZZ,11,FALSE)+SUM(_xlfn.XLOOKUP(S89:AG89,增益!$A:$A,增益!$K:$K,0))&gt;0,($F$12-$I$4+VLOOKUP($R89,武学奇术!$A:$ZZ,11,FALSE)+SUM(_xlfn.XLOOKUP(S89:AG89,增益!$A:$A,增益!$K:$K,0)))/200,($F$12-$I$4+VLOOKUP($R89,武学奇术!$A:$ZZ,11,FALSE)+SUM(_xlfn.XLOOKUP(S89:AG89,增益!$A:$A,增益!$K:$K,0)))/100)</f>
        <v>-0.3</v>
      </c>
      <c r="BA89" s="32" cm="1">
        <f t="array" ref="BA89">$G$12+VLOOKUP($R89,武学奇术!$A:$ZZ,12,FALSE)+SUM(_xlfn.XLOOKUP(S89:AG89,增益!$A:$A,增益!$L:$L,0))</f>
        <v>0</v>
      </c>
      <c r="BB89">
        <f t="shared" si="17"/>
        <v>0</v>
      </c>
      <c r="BC89">
        <f t="shared" si="18"/>
        <v>0</v>
      </c>
      <c r="BD89" s="32" cm="1">
        <f t="array" ref="BD89">IF($F$13-$I$4+VLOOKUP($R89,武学奇术!$A:$ZZ,13,FALSE)+SUM(_xlfn.XLOOKUP(S89:AG89,增益!$A:$A,增益!$M:$M,0))&gt;0,($F$13-$I$4+VLOOKUP($R89,武学奇术!$A:$ZZ,13,FALSE)+SUM(_xlfn.XLOOKUP(S89:AG89,增益!$A:$A,增益!$K:$K,0)))/200,($F$13-$I$4+VLOOKUP($R89,武学奇术!$A:$ZZ,13,FALSE)+SUM(_xlfn.XLOOKUP(S89:AG89,增益!$A:$A,增益!$M:$M,0)))/100)</f>
        <v>-0.3</v>
      </c>
      <c r="BE89" s="32" cm="1">
        <f t="array" ref="BE89">$G$13+VLOOKUP($R89,武学奇术!$A:$ZZ,14,FALSE)+SUM(_xlfn.XLOOKUP(S89:AG89,增益!$A:$A,增益!$N:$N,0))</f>
        <v>0</v>
      </c>
      <c r="BF89">
        <f t="shared" si="19"/>
        <v>571.2</v>
      </c>
      <c r="BG89">
        <f t="shared" si="20"/>
        <v>1627.8</v>
      </c>
      <c r="BH89" s="32" cm="1">
        <f t="array" ref="BH89">IF($F$14-$I$4+VLOOKUP($R89,武学奇术!$A:$ZZ,15,FALSE)+SUM(_xlfn.XLOOKUP(S89:AG89,增益!$A:$A,增益!$O:$O,0))&gt;0,($F$14-$I$4+VLOOKUP($R89,武学奇术!$A:$ZZ,15,FALSE)+SUM(_xlfn.XLOOKUP(S89:AG89,增益!$A:$A,增益!$O:$O,0)))/200,($F$14-$I$4+VLOOKUP($R89,武学奇术!$A:$ZZ,15,FALSE)+SUM(_xlfn.XLOOKUP(S89:AG89,增益!$A:$A,增益!$O:$O,0)))/100)</f>
        <v>0</v>
      </c>
      <c r="BI89" s="32" cm="1">
        <f t="array" ref="BI89">$G$14+VLOOKUP($R89,武学奇术!$A:$ZZ,16,FALSE)+SUM(_xlfn.XLOOKUP(S89:AG89,增益!$A:$A,增益!$P:$P,0))</f>
        <v>0.27</v>
      </c>
      <c r="BJ89" s="26">
        <f>MIN(IF(VLOOKUP($R89,武学奇术!$A:$ZZ,23,FALSE)=1,100%,$B$8),100%)</f>
        <v>0.981</v>
      </c>
      <c r="BK89" s="26" cm="1">
        <f t="array" ref="BK89">IF(VLOOKUP($R89,武学奇术!$A:$ZZ,23,FALSE)=1,100%,MIN(80%,$B$9+VLOOKUP($R89,武学奇术!$A:$ZZ,17,FALSE)+SUM(_xlfn.XLOOKUP(S89:AG89,增益!$A:$A,增益!$Q:$Q,0)))+$B$11+SUM(_xlfn.XLOOKUP(S89:AG89,增益!$A:$A,增益!$U:$U,0)))*IF(VLOOKUP($R89,武学奇术!$A:$ZZ,24,FALSE)=1,0,1)</f>
        <v>0.846</v>
      </c>
      <c r="BL89" s="26" cm="1">
        <f t="array" ref="BL89">1+$B$13+VLOOKUP($R89,武学奇术!$A:$ZZ,18,FALSE)+SUM(_xlfn.XLOOKUP(S89:AG89,增益!$A:$A,增益!$R:$R,0))</f>
        <v>2.03</v>
      </c>
      <c r="BM89" s="26" cm="1">
        <f t="array" ref="BM89">IF(VLOOKUP($R89,武学奇术!$A:$ZZ,24,FALSE)=1,100%,MIN(40%,$B$10+VLOOKUP($R89,武学奇术!$A:$ZZ,19,FALSE)+SUM(_xlfn.XLOOKUP(S89:AG89,增益!$A:$A,增益!$S:$S,0)))+$B$12+SUM(_xlfn.XLOOKUP(S89:AG89,增益!$A:$A,增益!$V:$V,0)))*IF(VLOOKUP($R89,武学奇术!$A:$ZZ,23,FALSE)=1,0,1)</f>
        <v>0.0929</v>
      </c>
      <c r="BN89" s="26" cm="1">
        <f t="array" ref="BN89">1+$B$14+VLOOKUP($R89,武学奇术!$A:$ZZ,20,FALSE)+SUM(_xlfn.XLOOKUP(S89:AG89,增益!$A:$A,增益!$T:$T,0))</f>
        <v>1.35</v>
      </c>
      <c r="BO89" s="26">
        <f t="shared" si="21"/>
        <v>0.829926</v>
      </c>
      <c r="BP89" s="26">
        <f t="shared" si="22"/>
        <v>0.0599391</v>
      </c>
      <c r="BQ89" s="26">
        <f>IF(VLOOKUP($R89,武学奇术!$A:$ZZ,22,FALSE)=1,0,(1-$BJ89))*(1-$BM89)</f>
        <v>0.0172349</v>
      </c>
      <c r="BR89" s="26" cm="1">
        <f t="array" ref="BR89">SUM(_xlfn.XLOOKUP(S89:AG89,增益!$A:$A,增益!$W:$W,0))+$I$5</f>
        <v>0.11</v>
      </c>
    </row>
    <row r="90" spans="1:70">
      <c r="K90">
        <f>$L90*VLOOKUP($R90,武学奇术!$A:$ZZ,31,FALSE)</f>
        <v>46047.6612939258</v>
      </c>
      <c r="L90" s="38">
        <f t="shared" si="23"/>
        <v>43854.9155180245</v>
      </c>
      <c r="M90" s="38">
        <f>((($AO90+$AP90)/2*$AI90+$AJ90)*(1+$AQ90)*(1+$AR90)+(($AT90+$AU90)/2*IF($G$1="鸣金",$AK90,$AI90)+IF($G$1="鸣金",$AL90*1.5,0))*(1+$AV90)*(1+$AW90)+(($AX90+$AY90)/2*IF($G$1="裂石",$AK90,$AI90)+IF($G$1="裂石",$AL90*1.5,0))*(1+$AZ90)*(1+$BA90)+(($BB90+$BC90)/2*IF($G$1="牵丝",$AK90,$AI90)+IF($G$1="牵丝",$AL90*1.5,0))*(1+$BD90)*(1+$BE90)+(($BF90+$BG90)/2*IF($G$1="破竹",$AK90,$AI90)+IF($G$1="破竹",$AL90*1.5,0))*(1+$BH90)*(1+$BI90))*(1+$AM90)*$BL90*$Q90*(1+IF(VLOOKUP($R90,武学奇术!$A:$ZZ,30,FALSE)="回旋伞",$B$21,0))*(1+$BR90)</f>
        <v>46804.0325662682</v>
      </c>
      <c r="N90" s="38">
        <f>(($AP90*$AI90+$AJ90)*(1+$AQ90)*(1+$AR90)+($AU90*IF($G$1="鸣金",$AK90,$AI90)+IF($G$1="鸣金",$AL90*1.5,0))*(1+$AV90)*(1+$AW90)+($AY90*IF($G$1="裂石",$AK90,$AI90)+IF($G$1="裂石",$AL90*1.5,0))*(1+$AZ90)*(1+$BA90)+($BC90*IF($G$1="牵丝",$AK90,$AI90)+IF($G$1="牵丝",$AL90*1.5,0))*(1+$BD90)*(1+$BE90)+($BG90*IF($G$1="破竹",$AK90,$AI90)+IF($G$1="破竹",$AL90*1.5,0))*(1+$BH90)*(1+$BI90))*(1+$AM90)*$BN90*$Q90*(1+IF(VLOOKUP($R90,武学奇术!$A:$ZZ,30,FALSE)="回旋伞",$B$21,0))*(1+$BR90)</f>
        <v>35370.0670293007</v>
      </c>
      <c r="O90" s="38">
        <f>((($AO90+$AP90)/2*$AI90+$AJ90)*(1+$AQ90)*(1+$AR90)+(($AT90+$AU90)/2*IF($G$1="鸣金",$AK90,$AI90)+IF($G$1="鸣金",$AL90*1.5,0))*(1+$AV90)*(1+$AW90)+(($AX90+$AY90)/2*IF($G$1="裂石",$AK90,$AI90)+IF($G$1="裂石",$AL90*1.5,0))*(1+$AZ90)*(1+$BA90)+(($BB90+$BC90)/2*IF($G$1="牵丝",$AK90,$AI90)+IF($G$1="牵丝",$AL90*1.5,0))*(1+$BD90)*(1+$BE90)+(($BF90+$BG90)/2*IF($G$1="破竹",$AK90,$AI90)+IF($G$1="破竹",$AL90*1.5,0))*(1+$BH90)*(1+$BI90))*(1+$AM90)*$Q90*(1+IF(VLOOKUP($R90,武学奇术!$A:$ZZ,30,FALSE)="回旋伞",$B$21,0))*(1+$BR90)</f>
        <v>23056.1736779646</v>
      </c>
      <c r="P90" s="38">
        <f>((($AO90*$AI90+$AJ90)*(1+$AQ90)*(1+$AR90)+($AT90*IF($G$1="鸣金",$AK90,$AI90)+IF($G$1="鸣金",$AL90*1.5,0))*(1+$AV90)*(1+$AW90)+($AX90*IF($G$1="裂石",$AK90,$AI90)+IF($G$1="裂石",$AL90*1.5,0))*(1+$AZ90)*(1+$BA90)+($BB90*IF($G$1="牵丝",$AK90,$AI90)+IF($G$1="牵丝",$AL90*1.5,0))*(1+$BD90)*(1+$BE90)+($BF90*IF($G$1="破竹",$AK90,$AI90)+IF($G$1="破竹",$AL90*1.5,0))*(1+$BH90)*(1+$BI90))*(1+$AM90))*$Q90*(1+IF(VLOOKUP($R90,武学奇术!$A:$ZZ,30,FALSE)="回旋伞",$B$21,0))*(1+$BR90)</f>
        <v>19912.2977045954</v>
      </c>
      <c r="Q90" s="39">
        <v>2</v>
      </c>
      <c r="R90" s="40" t="s">
        <v>112</v>
      </c>
      <c r="S90" s="40" t="s">
        <v>109</v>
      </c>
      <c r="T90" s="40" t="s">
        <v>95</v>
      </c>
      <c r="U90" s="40" t="s">
        <v>73</v>
      </c>
      <c r="V90" s="40" t="s">
        <v>81</v>
      </c>
      <c r="W90" s="40" t="s">
        <v>172</v>
      </c>
      <c r="X90" s="40" t="s">
        <v>99</v>
      </c>
      <c r="Y90" s="40" t="s">
        <v>72</v>
      </c>
      <c r="Z90" s="40" t="s">
        <v>72</v>
      </c>
      <c r="AA90" s="40" t="s">
        <v>72</v>
      </c>
      <c r="AB90" s="40" t="s">
        <v>120</v>
      </c>
      <c r="AC90" s="40" t="s">
        <v>72</v>
      </c>
      <c r="AD90" s="40" t="s">
        <v>72</v>
      </c>
      <c r="AE90" s="40" t="s">
        <v>72</v>
      </c>
      <c r="AF90" s="40" t="s">
        <v>72</v>
      </c>
      <c r="AG90" s="40" t="s">
        <v>78</v>
      </c>
      <c r="AH90" t="str">
        <f>VLOOKUP($R90,武学奇术!$A:$ZZ,25,FALSE)</f>
        <v>伞</v>
      </c>
      <c r="AI90" s="26">
        <f>VLOOKUP($R90,武学奇术!$A:$ZZ,26,FALSE)</f>
        <v>0.54</v>
      </c>
      <c r="AJ90" s="27">
        <f>VLOOKUP($R90,武学奇术!$A:$ZZ,27,FALSE)*(1+IF(OR($AH90=$F$4,$AH90=$F$5),$B$22,0))</f>
        <v>0</v>
      </c>
      <c r="AK90" s="26">
        <f>VLOOKUP($R90,武学奇术!$A:$ZZ,28,FALSE)</f>
        <v>0.81</v>
      </c>
      <c r="AL90" s="27">
        <f>VLOOKUP($R90,武学奇术!$A:$ZZ,29,FALSE)*(1+IF(OR($AH90=$F$4,$AH90=$F$5),$B$22,0))</f>
        <v>0</v>
      </c>
      <c r="AM90" s="26" cm="1">
        <f t="array" ref="AM90">$G$3+IFERROR(VLOOKUP($AH90,$F$4:$G$7,2,FALSE),0)+VLOOKUP($R90,武学奇术!$A:$ZZ,2,FALSE)+SUM(_xlfn.XLOOKUP($S90:$AG90,增益!$A:$A,增益!$B:$B,0))</f>
        <v>0.9741</v>
      </c>
      <c r="AN90" s="26" cm="1">
        <f t="array" ref="AN90">VLOOKUP($R90,武学奇术!$A:$ZZ,5,FALSE)+SUM(_xlfn.XLOOKUP($S90:$AG90,增益!$A:$A,增益!$E:$E,0))</f>
        <v>0</v>
      </c>
      <c r="AO90" cm="1">
        <f t="array" ref="AO90">$D$10*(1+$AN90)+VLOOKUP($R90,武学奇术!$A:$ZZ,3,FALSE)+SUM(_xlfn.XLOOKUP($S90:$AG90,增益!$A:$A,增益!$C:$C,0))-$I$2</f>
        <v>3562.6</v>
      </c>
      <c r="AP90" cm="1">
        <f t="array" ref="AP90">$E$10*(1+$AN90)+VLOOKUP($R90,武学奇术!$A:$ZZ,4,FALSE)+SUM(_xlfn.XLOOKUP($S90:$AG90,增益!$A:$A,增益!$D:$D,0))-$I$2</f>
        <v>3562.6</v>
      </c>
      <c r="AQ90" s="32" cm="1">
        <f t="array" ref="AQ90">IF($F$10-$I$3+VLOOKUP($R90,武学奇术!$A:$ZZ,6,FALSE)+SUM(_xlfn.XLOOKUP(S90:AG90,增益!$A:$A,增益!$F:$F,0))&gt;0,($F$10-$I$3+VLOOKUP($R90,武学奇术!$A:$ZZ,6,FALSE)+SUM(_xlfn.XLOOKUP(S90:AG90,增益!$A:$A,增益!$F:$F,0)))/200,($F$10-$I$3+VLOOKUP($R90,武学奇术!$A:$ZZ,6,FALSE)+SUM(_xlfn.XLOOKUP(S90:AG90,增益!$A:$A,增益!$F:$F,0)))/100)</f>
        <v>0.2925</v>
      </c>
      <c r="AR90" s="32" cm="1">
        <f t="array" ref="AR90">$G$10+VLOOKUP($R90,武学奇术!$A:$ZZ,7,FALSE)+SUM(_xlfn.XLOOKUP(S90:AG90,增益!$A:$A,增益!$G:$G,0))</f>
        <v>0.148</v>
      </c>
      <c r="AS90" s="26" cm="1">
        <f t="array" ref="AS90">VLOOKUP($R90,武学奇术!$A:$ZZ,8,FALSE)+SUM(_xlfn.XLOOKUP(S90:AG90,增益!$A:$A,增益!$H:$H,0))</f>
        <v>0</v>
      </c>
      <c r="AT90">
        <f t="shared" si="13"/>
        <v>0</v>
      </c>
      <c r="AU90">
        <f t="shared" si="14"/>
        <v>0</v>
      </c>
      <c r="AV90" s="32" cm="1">
        <f t="array" ref="AV90">IF($F$11-$I$4+VLOOKUP($R90,武学奇术!$A:$ZZ,9,FALSE)+SUM(_xlfn.XLOOKUP(S90:AG90,增益!$A:$A,增益!$I:$I,0))&gt;0,($F$11-$I$4+VLOOKUP($R90,武学奇术!$A:$ZZ,9,FALSE)+SUM(_xlfn.XLOOKUP(S90:AG90,增益!$A:$A,增益!$I:$I,0)))/200,($F$11-$I$4+VLOOKUP($R90,武学奇术!$A:$ZZ,9,FALSE)+SUM(_xlfn.XLOOKUP(S90:AG90,增益!$A:$A,增益!$I:$I,0)))/100)</f>
        <v>-0.3</v>
      </c>
      <c r="AW90" s="32" cm="1">
        <f t="array" ref="AW90">$G$11+VLOOKUP($R90,武学奇术!$A:$ZZ,10,FALSE)+SUM(_xlfn.XLOOKUP(S90:AG90,增益!$A:$A,增益!$J:$J,0))</f>
        <v>0</v>
      </c>
      <c r="AX90">
        <f t="shared" si="15"/>
        <v>0</v>
      </c>
      <c r="AY90">
        <f t="shared" si="16"/>
        <v>0</v>
      </c>
      <c r="AZ90" s="32" cm="1">
        <f t="array" ref="AZ90">IF($F$12-$I$4+VLOOKUP($R90,武学奇术!$A:$ZZ,11,FALSE)+SUM(_xlfn.XLOOKUP(S90:AG90,增益!$A:$A,增益!$K:$K,0))&gt;0,($F$12-$I$4+VLOOKUP($R90,武学奇术!$A:$ZZ,11,FALSE)+SUM(_xlfn.XLOOKUP(S90:AG90,增益!$A:$A,增益!$K:$K,0)))/200,($F$12-$I$4+VLOOKUP($R90,武学奇术!$A:$ZZ,11,FALSE)+SUM(_xlfn.XLOOKUP(S90:AG90,增益!$A:$A,增益!$K:$K,0)))/100)</f>
        <v>-0.3</v>
      </c>
      <c r="BA90" s="32" cm="1">
        <f t="array" ref="BA90">$G$12+VLOOKUP($R90,武学奇术!$A:$ZZ,12,FALSE)+SUM(_xlfn.XLOOKUP(S90:AG90,增益!$A:$A,增益!$L:$L,0))</f>
        <v>0</v>
      </c>
      <c r="BB90">
        <f t="shared" si="17"/>
        <v>0</v>
      </c>
      <c r="BC90">
        <f t="shared" si="18"/>
        <v>0</v>
      </c>
      <c r="BD90" s="32" cm="1">
        <f t="array" ref="BD90">IF($F$13-$I$4+VLOOKUP($R90,武学奇术!$A:$ZZ,13,FALSE)+SUM(_xlfn.XLOOKUP(S90:AG90,增益!$A:$A,增益!$M:$M,0))&gt;0,($F$13-$I$4+VLOOKUP($R90,武学奇术!$A:$ZZ,13,FALSE)+SUM(_xlfn.XLOOKUP(S90:AG90,增益!$A:$A,增益!$K:$K,0)))/200,($F$13-$I$4+VLOOKUP($R90,武学奇术!$A:$ZZ,13,FALSE)+SUM(_xlfn.XLOOKUP(S90:AG90,增益!$A:$A,增益!$M:$M,0)))/100)</f>
        <v>-0.3</v>
      </c>
      <c r="BE90" s="32" cm="1">
        <f t="array" ref="BE90">$G$13+VLOOKUP($R90,武学奇术!$A:$ZZ,14,FALSE)+SUM(_xlfn.XLOOKUP(S90:AG90,增益!$A:$A,增益!$N:$N,0))</f>
        <v>0</v>
      </c>
      <c r="BF90">
        <f t="shared" si="19"/>
        <v>571.2</v>
      </c>
      <c r="BG90">
        <f t="shared" si="20"/>
        <v>1627.8</v>
      </c>
      <c r="BH90" s="32" cm="1">
        <f t="array" ref="BH90">IF($F$14-$I$4+VLOOKUP($R90,武学奇术!$A:$ZZ,15,FALSE)+SUM(_xlfn.XLOOKUP(S90:AG90,增益!$A:$A,增益!$O:$O,0))&gt;0,($F$14-$I$4+VLOOKUP($R90,武学奇术!$A:$ZZ,15,FALSE)+SUM(_xlfn.XLOOKUP(S90:AG90,增益!$A:$A,增益!$O:$O,0)))/200,($F$14-$I$4+VLOOKUP($R90,武学奇术!$A:$ZZ,15,FALSE)+SUM(_xlfn.XLOOKUP(S90:AG90,增益!$A:$A,增益!$O:$O,0)))/100)</f>
        <v>0</v>
      </c>
      <c r="BI90" s="32" cm="1">
        <f t="array" ref="BI90">$G$14+VLOOKUP($R90,武学奇术!$A:$ZZ,16,FALSE)+SUM(_xlfn.XLOOKUP(S90:AG90,增益!$A:$A,增益!$P:$P,0))</f>
        <v>0.27</v>
      </c>
      <c r="BJ90" s="26">
        <f>MIN(IF(VLOOKUP($R90,武学奇术!$A:$ZZ,23,FALSE)=1,100%,$B$8),100%)</f>
        <v>0.981</v>
      </c>
      <c r="BK90" s="26" cm="1">
        <f t="array" ref="BK90">IF(VLOOKUP($R90,武学奇术!$A:$ZZ,23,FALSE)=1,100%,MIN(80%,$B$9+VLOOKUP($R90,武学奇术!$A:$ZZ,17,FALSE)+SUM(_xlfn.XLOOKUP(S90:AG90,增益!$A:$A,增益!$Q:$Q,0)))+$B$11+SUM(_xlfn.XLOOKUP(S90:AG90,增益!$A:$A,增益!$U:$U,0)))*IF(VLOOKUP($R90,武学奇术!$A:$ZZ,24,FALSE)=1,0,1)</f>
        <v>0.846</v>
      </c>
      <c r="BL90" s="26" cm="1">
        <f t="array" ref="BL90">1+$B$13+VLOOKUP($R90,武学奇术!$A:$ZZ,18,FALSE)+SUM(_xlfn.XLOOKUP(S90:AG90,增益!$A:$A,增益!$R:$R,0))</f>
        <v>2.03</v>
      </c>
      <c r="BM90" s="26" cm="1">
        <f t="array" ref="BM90">IF(VLOOKUP($R90,武学奇术!$A:$ZZ,24,FALSE)=1,100%,MIN(40%,$B$10+VLOOKUP($R90,武学奇术!$A:$ZZ,19,FALSE)+SUM(_xlfn.XLOOKUP(S90:AG90,增益!$A:$A,增益!$S:$S,0)))+$B$12+SUM(_xlfn.XLOOKUP(S90:AG90,增益!$A:$A,增益!$V:$V,0)))*IF(VLOOKUP($R90,武学奇术!$A:$ZZ,23,FALSE)=1,0,1)</f>
        <v>0.0929</v>
      </c>
      <c r="BN90" s="26" cm="1">
        <f t="array" ref="BN90">1+$B$14+VLOOKUP($R90,武学奇术!$A:$ZZ,20,FALSE)+SUM(_xlfn.XLOOKUP(S90:AG90,增益!$A:$A,增益!$T:$T,0))</f>
        <v>1.35</v>
      </c>
      <c r="BO90" s="26">
        <f t="shared" si="21"/>
        <v>0.829926</v>
      </c>
      <c r="BP90" s="26">
        <f t="shared" si="22"/>
        <v>0.0599391</v>
      </c>
      <c r="BQ90" s="26">
        <f>IF(VLOOKUP($R90,武学奇术!$A:$ZZ,22,FALSE)=1,0,(1-$BJ90))*(1-$BM90)</f>
        <v>0.0172349</v>
      </c>
      <c r="BR90" s="26" cm="1">
        <f t="array" ref="BR90">SUM(_xlfn.XLOOKUP(S90:AG90,增益!$A:$A,增益!$W:$W,0))+$I$5</f>
        <v>0.11</v>
      </c>
    </row>
    <row r="91" spans="1:70">
      <c r="K91">
        <f>$L91*VLOOKUP($R91,武学奇术!$A:$ZZ,31,FALSE)</f>
        <v>190660.894845395</v>
      </c>
      <c r="L91" s="38">
        <f t="shared" si="23"/>
        <v>181581.804614662</v>
      </c>
      <c r="M91" s="38">
        <f>((($AO91+$AP91)/2*$AI91+$AJ91)*(1+$AQ91)*(1+$AR91)+(($AT91+$AU91)/2*IF($G$1="鸣金",$AK91,$AI91)+IF($G$1="鸣金",$AL91*1.5,0))*(1+$AV91)*(1+$AW91)+(($AX91+$AY91)/2*IF($G$1="裂石",$AK91,$AI91)+IF($G$1="裂石",$AL91*1.5,0))*(1+$AZ91)*(1+$BA91)+(($BB91+$BC91)/2*IF($G$1="牵丝",$AK91,$AI91)+IF($G$1="牵丝",$AL91*1.5,0))*(1+$BD91)*(1+$BE91)+(($BF91+$BG91)/2*IF($G$1="破竹",$AK91,$AI91)+IF($G$1="破竹",$AL91*1.5,0))*(1+$BH91)*(1+$BI91))*(1+$AM91)*$BL91*$Q91*(1+IF(VLOOKUP($R91,武学奇术!$A:$ZZ,30,FALSE)="回旋伞",$B$21,0))*(1+$BR91)</f>
        <v>181581.804614662</v>
      </c>
      <c r="N91" s="38">
        <f>(($AP91*$AI91+$AJ91)*(1+$AQ91)*(1+$AR91)+($AU91*IF($G$1="鸣金",$AK91,$AI91)+IF($G$1="鸣金",$AL91*1.5,0))*(1+$AV91)*(1+$AW91)+($AY91*IF($G$1="裂石",$AK91,$AI91)+IF($G$1="裂石",$AL91*1.5,0))*(1+$AZ91)*(1+$BA91)+($BC91*IF($G$1="牵丝",$AK91,$AI91)+IF($G$1="牵丝",$AL91*1.5,0))*(1+$BD91)*(1+$BE91)+($BG91*IF($G$1="破竹",$AK91,$AI91)+IF($G$1="破竹",$AL91*1.5,0))*(1+$BH91)*(1+$BI91))*(1+$AM91)*$BN91*$Q91*(1+IF(VLOOKUP($R91,武学奇术!$A:$ZZ,30,FALSE)="回旋伞",$B$21,0))*(1+$BR91)</f>
        <v>133211.247853172</v>
      </c>
      <c r="O91" s="38">
        <f>((($AO91+$AP91)/2*$AI91+$AJ91)*(1+$AQ91)*(1+$AR91)+(($AT91+$AU91)/2*IF($G$1="鸣金",$AK91,$AI91)+IF($G$1="鸣金",$AL91*1.5,0))*(1+$AV91)*(1+$AW91)+(($AX91+$AY91)/2*IF($G$1="裂石",$AK91,$AI91)+IF($G$1="裂石",$AL91*1.5,0))*(1+$AZ91)*(1+$BA91)+(($BB91+$BC91)/2*IF($G$1="牵丝",$AK91,$AI91)+IF($G$1="牵丝",$AL91*1.5,0))*(1+$BD91)*(1+$BE91)+(($BF91+$BG91)/2*IF($G$1="破竹",$AK91,$AI91)+IF($G$1="破竹",$AL91*1.5,0))*(1+$BH91)*(1+$BI91))*(1+$AM91)*$Q91*(1+IF(VLOOKUP($R91,武学奇术!$A:$ZZ,30,FALSE)="回旋伞",$B$21,0))*(1+$BR91)</f>
        <v>88146.5070944959</v>
      </c>
      <c r="P91" s="38">
        <f>((($AO91*$AI91+$AJ91)*(1+$AQ91)*(1+$AR91)+($AT91*IF($G$1="鸣金",$AK91,$AI91)+IF($G$1="鸣金",$AL91*1.5,0))*(1+$AV91)*(1+$AW91)+($AX91*IF($G$1="裂石",$AK91,$AI91)+IF($G$1="裂石",$AL91*1.5,0))*(1+$AZ91)*(1+$BA91)+($BB91*IF($G$1="牵丝",$AK91,$AI91)+IF($G$1="牵丝",$AL91*1.5,0))*(1+$BD91)*(1+$BE91)+($BF91*IF($G$1="破竹",$AK91,$AI91)+IF($G$1="破竹",$AL91*1.5,0))*(1+$BH91)*(1+$BI91))*(1+$AM91))*$Q91*(1+IF(VLOOKUP($R91,武学奇术!$A:$ZZ,30,FALSE)="回旋伞",$B$21,0))*(1+$BR91)</f>
        <v>77618.015779235</v>
      </c>
      <c r="Q91" s="39">
        <v>2</v>
      </c>
      <c r="R91" s="40" t="s">
        <v>125</v>
      </c>
      <c r="S91" s="40" t="s">
        <v>109</v>
      </c>
      <c r="T91" s="40" t="s">
        <v>95</v>
      </c>
      <c r="U91" s="40" t="s">
        <v>73</v>
      </c>
      <c r="V91" s="40" t="s">
        <v>81</v>
      </c>
      <c r="W91" s="40" t="s">
        <v>172</v>
      </c>
      <c r="X91" s="40" t="s">
        <v>99</v>
      </c>
      <c r="Y91" s="40" t="s">
        <v>72</v>
      </c>
      <c r="Z91" s="40" t="s">
        <v>72</v>
      </c>
      <c r="AA91" s="40" t="s">
        <v>72</v>
      </c>
      <c r="AB91" s="40" t="s">
        <v>126</v>
      </c>
      <c r="AC91" s="40" t="s">
        <v>72</v>
      </c>
      <c r="AD91" s="40" t="s">
        <v>72</v>
      </c>
      <c r="AE91" s="40" t="s">
        <v>72</v>
      </c>
      <c r="AF91" s="40" t="s">
        <v>72</v>
      </c>
      <c r="AG91" s="40" t="s">
        <v>78</v>
      </c>
      <c r="AH91" t="str">
        <f>VLOOKUP($R91,武学奇术!$A:$ZZ,25,FALSE)</f>
        <v>伞</v>
      </c>
      <c r="AI91" s="26">
        <f>VLOOKUP($R91,武学奇术!$A:$ZZ,26,FALSE)</f>
        <v>1.8084</v>
      </c>
      <c r="AJ91" s="27">
        <f>VLOOKUP($R91,武学奇术!$A:$ZZ,27,FALSE)*(1+IF(OR($AH91=$F$4,$AH91=$F$5),$B$22,0))</f>
        <v>750</v>
      </c>
      <c r="AK91" s="26">
        <f>VLOOKUP($R91,武学奇术!$A:$ZZ,28,FALSE)</f>
        <v>2.7126</v>
      </c>
      <c r="AL91" s="27">
        <f>VLOOKUP($R91,武学奇术!$A:$ZZ,29,FALSE)*(1+IF(OR($AH91=$F$4,$AH91=$F$5),$B$22,0))</f>
        <v>408</v>
      </c>
      <c r="AM91" s="26" cm="1">
        <f t="array" ref="AM91">$G$3+IFERROR(VLOOKUP($AH91,$F$4:$G$7,2,FALSE),0)+VLOOKUP($R91,武学奇术!$A:$ZZ,2,FALSE)+SUM(_xlfn.XLOOKUP($S91:$AG91,增益!$A:$A,增益!$B:$B,0))</f>
        <v>0.9741</v>
      </c>
      <c r="AN91" s="26" cm="1">
        <f t="array" ref="AN91">VLOOKUP($R91,武学奇术!$A:$ZZ,5,FALSE)+SUM(_xlfn.XLOOKUP($S91:$AG91,增益!$A:$A,增益!$E:$E,0))</f>
        <v>0</v>
      </c>
      <c r="AO91" cm="1">
        <f t="array" ref="AO91">$D$10*(1+$AN91)+VLOOKUP($R91,武学奇术!$A:$ZZ,3,FALSE)+SUM(_xlfn.XLOOKUP($S91:$AG91,增益!$A:$A,增益!$C:$C,0))-$I$2</f>
        <v>3562.6</v>
      </c>
      <c r="AP91" cm="1">
        <f t="array" ref="AP91">$E$10*(1+$AN91)+VLOOKUP($R91,武学奇术!$A:$ZZ,4,FALSE)+SUM(_xlfn.XLOOKUP($S91:$AG91,增益!$A:$A,增益!$D:$D,0))-$I$2</f>
        <v>3562.6</v>
      </c>
      <c r="AQ91" s="32" cm="1">
        <f t="array" ref="AQ91">IF($F$10-$I$3+VLOOKUP($R91,武学奇术!$A:$ZZ,6,FALSE)+SUM(_xlfn.XLOOKUP(S91:AG91,增益!$A:$A,增益!$F:$F,0))&gt;0,($F$10-$I$3+VLOOKUP($R91,武学奇术!$A:$ZZ,6,FALSE)+SUM(_xlfn.XLOOKUP(S91:AG91,增益!$A:$A,增益!$F:$F,0)))/200,($F$10-$I$3+VLOOKUP($R91,武学奇术!$A:$ZZ,6,FALSE)+SUM(_xlfn.XLOOKUP(S91:AG91,增益!$A:$A,增益!$F:$F,0)))/100)</f>
        <v>0.2925</v>
      </c>
      <c r="AR91" s="32" cm="1">
        <f t="array" ref="AR91">$G$10+VLOOKUP($R91,武学奇术!$A:$ZZ,7,FALSE)+SUM(_xlfn.XLOOKUP(S91:AG91,增益!$A:$A,增益!$G:$G,0))</f>
        <v>0.148</v>
      </c>
      <c r="AS91" s="26" cm="1">
        <f t="array" ref="AS91">VLOOKUP($R91,武学奇术!$A:$ZZ,8,FALSE)+SUM(_xlfn.XLOOKUP(S91:AG91,增益!$A:$A,增益!$H:$H,0))</f>
        <v>0</v>
      </c>
      <c r="AT91">
        <f t="shared" si="13"/>
        <v>0</v>
      </c>
      <c r="AU91">
        <f t="shared" si="14"/>
        <v>0</v>
      </c>
      <c r="AV91" s="32" cm="1">
        <f t="array" ref="AV91">IF($F$11-$I$4+VLOOKUP($R91,武学奇术!$A:$ZZ,9,FALSE)+SUM(_xlfn.XLOOKUP(S91:AG91,增益!$A:$A,增益!$I:$I,0))&gt;0,($F$11-$I$4+VLOOKUP($R91,武学奇术!$A:$ZZ,9,FALSE)+SUM(_xlfn.XLOOKUP(S91:AG91,增益!$A:$A,增益!$I:$I,0)))/200,($F$11-$I$4+VLOOKUP($R91,武学奇术!$A:$ZZ,9,FALSE)+SUM(_xlfn.XLOOKUP(S91:AG91,增益!$A:$A,增益!$I:$I,0)))/100)</f>
        <v>-0.3</v>
      </c>
      <c r="AW91" s="32" cm="1">
        <f t="array" ref="AW91">$G$11+VLOOKUP($R91,武学奇术!$A:$ZZ,10,FALSE)+SUM(_xlfn.XLOOKUP(S91:AG91,增益!$A:$A,增益!$J:$J,0))</f>
        <v>0</v>
      </c>
      <c r="AX91">
        <f t="shared" si="15"/>
        <v>0</v>
      </c>
      <c r="AY91">
        <f t="shared" si="16"/>
        <v>0</v>
      </c>
      <c r="AZ91" s="32" cm="1">
        <f t="array" ref="AZ91">IF($F$12-$I$4+VLOOKUP($R91,武学奇术!$A:$ZZ,11,FALSE)+SUM(_xlfn.XLOOKUP(S91:AG91,增益!$A:$A,增益!$K:$K,0))&gt;0,($F$12-$I$4+VLOOKUP($R91,武学奇术!$A:$ZZ,11,FALSE)+SUM(_xlfn.XLOOKUP(S91:AG91,增益!$A:$A,增益!$K:$K,0)))/200,($F$12-$I$4+VLOOKUP($R91,武学奇术!$A:$ZZ,11,FALSE)+SUM(_xlfn.XLOOKUP(S91:AG91,增益!$A:$A,增益!$K:$K,0)))/100)</f>
        <v>-0.3</v>
      </c>
      <c r="BA91" s="32" cm="1">
        <f t="array" ref="BA91">$G$12+VLOOKUP($R91,武学奇术!$A:$ZZ,12,FALSE)+SUM(_xlfn.XLOOKUP(S91:AG91,增益!$A:$A,增益!$L:$L,0))</f>
        <v>0</v>
      </c>
      <c r="BB91">
        <f t="shared" si="17"/>
        <v>0</v>
      </c>
      <c r="BC91">
        <f t="shared" si="18"/>
        <v>0</v>
      </c>
      <c r="BD91" s="32" cm="1">
        <f t="array" ref="BD91">IF($F$13-$I$4+VLOOKUP($R91,武学奇术!$A:$ZZ,13,FALSE)+SUM(_xlfn.XLOOKUP(S91:AG91,增益!$A:$A,增益!$M:$M,0))&gt;0,($F$13-$I$4+VLOOKUP($R91,武学奇术!$A:$ZZ,13,FALSE)+SUM(_xlfn.XLOOKUP(S91:AG91,增益!$A:$A,增益!$K:$K,0)))/200,($F$13-$I$4+VLOOKUP($R91,武学奇术!$A:$ZZ,13,FALSE)+SUM(_xlfn.XLOOKUP(S91:AG91,增益!$A:$A,增益!$M:$M,0)))/100)</f>
        <v>-0.3</v>
      </c>
      <c r="BE91" s="32" cm="1">
        <f t="array" ref="BE91">$G$13+VLOOKUP($R91,武学奇术!$A:$ZZ,14,FALSE)+SUM(_xlfn.XLOOKUP(S91:AG91,增益!$A:$A,增益!$N:$N,0))</f>
        <v>0</v>
      </c>
      <c r="BF91">
        <f t="shared" si="19"/>
        <v>571.2</v>
      </c>
      <c r="BG91">
        <f t="shared" si="20"/>
        <v>1627.8</v>
      </c>
      <c r="BH91" s="32" cm="1">
        <f t="array" ref="BH91">IF($F$14-$I$4+VLOOKUP($R91,武学奇术!$A:$ZZ,15,FALSE)+SUM(_xlfn.XLOOKUP(S91:AG91,增益!$A:$A,增益!$O:$O,0))&gt;0,($F$14-$I$4+VLOOKUP($R91,武学奇术!$A:$ZZ,15,FALSE)+SUM(_xlfn.XLOOKUP(S91:AG91,增益!$A:$A,增益!$O:$O,0)))/200,($F$14-$I$4+VLOOKUP($R91,武学奇术!$A:$ZZ,15,FALSE)+SUM(_xlfn.XLOOKUP(S91:AG91,增益!$A:$A,增益!$O:$O,0)))/100)</f>
        <v>0</v>
      </c>
      <c r="BI91" s="32" cm="1">
        <f t="array" ref="BI91">$G$14+VLOOKUP($R91,武学奇术!$A:$ZZ,16,FALSE)+SUM(_xlfn.XLOOKUP(S91:AG91,增益!$A:$A,增益!$P:$P,0))</f>
        <v>0.27</v>
      </c>
      <c r="BJ91" s="26">
        <f>MIN(IF(VLOOKUP($R91,武学奇术!$A:$ZZ,23,FALSE)=1,100%,$B$8),100%)</f>
        <v>1</v>
      </c>
      <c r="BK91" s="26" cm="1">
        <f t="array" ref="BK91">IF(VLOOKUP($R91,武学奇术!$A:$ZZ,23,FALSE)=1,100%,MIN(80%,$B$9+VLOOKUP($R91,武学奇术!$A:$ZZ,17,FALSE)+SUM(_xlfn.XLOOKUP(S91:AG91,增益!$A:$A,增益!$Q:$Q,0)))+$B$11+SUM(_xlfn.XLOOKUP(S91:AG91,增益!$A:$A,增益!$U:$U,0)))*IF(VLOOKUP($R91,武学奇术!$A:$ZZ,24,FALSE)=1,0,1)</f>
        <v>1</v>
      </c>
      <c r="BL91" s="26" cm="1">
        <f t="array" ref="BL91">1+$B$13+VLOOKUP($R91,武学奇术!$A:$ZZ,18,FALSE)+SUM(_xlfn.XLOOKUP(S91:AG91,增益!$A:$A,增益!$R:$R,0))</f>
        <v>2.06</v>
      </c>
      <c r="BM91" s="26" cm="1">
        <f t="array" ref="BM91">IF(VLOOKUP($R91,武学奇术!$A:$ZZ,24,FALSE)=1,100%,MIN(40%,$B$10+VLOOKUP($R91,武学奇术!$A:$ZZ,19,FALSE)+SUM(_xlfn.XLOOKUP(S91:AG91,增益!$A:$A,增益!$S:$S,0)))+$B$12+SUM(_xlfn.XLOOKUP(S91:AG91,增益!$A:$A,增益!$V:$V,0)))*IF(VLOOKUP($R91,武学奇术!$A:$ZZ,23,FALSE)=1,0,1)</f>
        <v>0</v>
      </c>
      <c r="BN91" s="26" cm="1">
        <f t="array" ref="BN91">1+$B$14+VLOOKUP($R91,武学奇术!$A:$ZZ,20,FALSE)+SUM(_xlfn.XLOOKUP(S91:AG91,增益!$A:$A,增益!$T:$T,0))</f>
        <v>1.35</v>
      </c>
      <c r="BO91" s="26">
        <f t="shared" si="21"/>
        <v>1</v>
      </c>
      <c r="BP91" s="26">
        <f t="shared" si="22"/>
        <v>0</v>
      </c>
      <c r="BQ91" s="26">
        <f>IF(VLOOKUP($R91,武学奇术!$A:$ZZ,22,FALSE)=1,0,(1-$BJ91))*(1-$BM91)</f>
        <v>0</v>
      </c>
      <c r="BR91" s="26" cm="1">
        <f t="array" ref="BR91">SUM(_xlfn.XLOOKUP(S91:AG91,增益!$A:$A,增益!$W:$W,0))+$I$5</f>
        <v>0.11</v>
      </c>
    </row>
    <row r="92" spans="1:70">
      <c r="K92">
        <f>$L92*VLOOKUP($R92,武学奇术!$A:$ZZ,31,FALSE)</f>
        <v>109845.967295504</v>
      </c>
      <c r="L92" s="38">
        <f t="shared" si="23"/>
        <v>104615.206948099</v>
      </c>
      <c r="M92" s="38">
        <f>((($AO92+$AP92)/2*$AI92+$AJ92)*(1+$AQ92)*(1+$AR92)+(($AT92+$AU92)/2*IF($G$1="鸣金",$AK92,$AI92)+IF($G$1="鸣金",$AL92*1.5,0))*(1+$AV92)*(1+$AW92)+(($AX92+$AY92)/2*IF($G$1="裂石",$AK92,$AI92)+IF($G$1="裂石",$AL92*1.5,0))*(1+$AZ92)*(1+$BA92)+(($BB92+$BC92)/2*IF($G$1="牵丝",$AK92,$AI92)+IF($G$1="牵丝",$AL92*1.5,0))*(1+$BD92)*(1+$BE92)+(($BF92+$BG92)/2*IF($G$1="破竹",$AK92,$AI92)+IF($G$1="破竹",$AL92*1.5,0))*(1+$BH92)*(1+$BI92))*(1+$AM92)*$BL92*$Q92*(1+IF(VLOOKUP($R92,武学奇术!$A:$ZZ,30,FALSE)="回旋伞",$B$21,0))*(1+$BR92)</f>
        <v>104615.206948099</v>
      </c>
      <c r="N92" s="38">
        <f>(($AP92*$AI92+$AJ92)*(1+$AQ92)*(1+$AR92)+($AU92*IF($G$1="鸣金",$AK92,$AI92)+IF($G$1="鸣金",$AL92*1.5,0))*(1+$AV92)*(1+$AW92)+($AY92*IF($G$1="裂石",$AK92,$AI92)+IF($G$1="裂石",$AL92*1.5,0))*(1+$AZ92)*(1+$BA92)+($BC92*IF($G$1="牵丝",$AK92,$AI92)+IF($G$1="牵丝",$AL92*1.5,0))*(1+$BD92)*(1+$BE92)+($BG92*IF($G$1="破竹",$AK92,$AI92)+IF($G$1="破竹",$AL92*1.5,0))*(1+$BH92)*(1+$BI92))*(1+$AM92)*$BN92*$Q92*(1+IF(VLOOKUP($R92,武学奇术!$A:$ZZ,30,FALSE)="回旋伞",$B$21,0))*(1+$BR92)</f>
        <v>77906.9578323313</v>
      </c>
      <c r="O92" s="38">
        <f>((($AO92+$AP92)/2*$AI92+$AJ92)*(1+$AQ92)*(1+$AR92)+(($AT92+$AU92)/2*IF($G$1="鸣金",$AK92,$AI92)+IF($G$1="鸣金",$AL92*1.5,0))*(1+$AV92)*(1+$AW92)+(($AX92+$AY92)/2*IF($G$1="裂石",$AK92,$AI92)+IF($G$1="裂石",$AL92*1.5,0))*(1+$AZ92)*(1+$BA92)+(($BB92+$BC92)/2*IF($G$1="牵丝",$AK92,$AI92)+IF($G$1="牵丝",$AL92*1.5,0))*(1+$BD92)*(1+$BE92)+(($BF92+$BG92)/2*IF($G$1="破竹",$AK92,$AI92)+IF($G$1="破竹",$AL92*1.5,0))*(1+$BH92)*(1+$BI92))*(1+$AM92)*$Q92*(1+IF(VLOOKUP($R92,武学奇术!$A:$ZZ,30,FALSE)="回旋伞",$B$21,0))*(1+$BR92)</f>
        <v>50784.0810427667</v>
      </c>
      <c r="P92" s="38">
        <f>((($AO92*$AI92+$AJ92)*(1+$AQ92)*(1+$AR92)+($AT92*IF($G$1="鸣金",$AK92,$AI92)+IF($G$1="鸣金",$AL92*1.5,0))*(1+$AV92)*(1+$AW92)+($AX92*IF($G$1="裂石",$AK92,$AI92)+IF($G$1="裂石",$AL92*1.5,0))*(1+$AZ92)*(1+$BA92)+($BB92*IF($G$1="牵丝",$AK92,$AI92)+IF($G$1="牵丝",$AL92*1.5,0))*(1+$BD92)*(1+$BE92)+($BF92*IF($G$1="破竹",$AK92,$AI92)+IF($G$1="破竹",$AL92*1.5,0))*(1+$BH92)*(1+$BI92))*(1+$AM92))*$Q92*(1+IF(VLOOKUP($R92,武学奇术!$A:$ZZ,30,FALSE)="回旋伞",$B$21,0))*(1+$BR92)</f>
        <v>43859.3044319546</v>
      </c>
      <c r="Q92" s="39">
        <v>4</v>
      </c>
      <c r="R92" s="40" t="s">
        <v>132</v>
      </c>
      <c r="S92" s="40" t="s">
        <v>109</v>
      </c>
      <c r="T92" s="40" t="s">
        <v>95</v>
      </c>
      <c r="U92" s="40" t="s">
        <v>73</v>
      </c>
      <c r="V92" s="40" t="s">
        <v>81</v>
      </c>
      <c r="W92" s="40" t="s">
        <v>172</v>
      </c>
      <c r="X92" s="40" t="s">
        <v>99</v>
      </c>
      <c r="Y92" s="40" t="s">
        <v>72</v>
      </c>
      <c r="Z92" s="40" t="s">
        <v>72</v>
      </c>
      <c r="AA92" s="40" t="s">
        <v>72</v>
      </c>
      <c r="AB92" s="40" t="s">
        <v>126</v>
      </c>
      <c r="AC92" s="40" t="s">
        <v>72</v>
      </c>
      <c r="AD92" s="40" t="s">
        <v>72</v>
      </c>
      <c r="AE92" s="40" t="s">
        <v>72</v>
      </c>
      <c r="AF92" s="40" t="s">
        <v>72</v>
      </c>
      <c r="AG92" s="40" t="s">
        <v>78</v>
      </c>
      <c r="AH92" t="str">
        <f>VLOOKUP($R92,武学奇术!$A:$ZZ,25,FALSE)</f>
        <v>伞</v>
      </c>
      <c r="AI92" s="26">
        <f>VLOOKUP($R92,武学奇术!$A:$ZZ,26,FALSE)</f>
        <v>0.54</v>
      </c>
      <c r="AJ92" s="27">
        <f>VLOOKUP($R92,武学奇术!$A:$ZZ,27,FALSE)*(1+IF(OR($AH92=$F$4,$AH92=$F$5),$B$22,0))</f>
        <v>0</v>
      </c>
      <c r="AK92" s="26">
        <f>VLOOKUP($R92,武学奇术!$A:$ZZ,28,FALSE)</f>
        <v>0.81</v>
      </c>
      <c r="AL92" s="27">
        <f>VLOOKUP($R92,武学奇术!$A:$ZZ,29,FALSE)*(1+IF(OR($AH92=$F$4,$AH92=$F$5),$B$22,0))</f>
        <v>0</v>
      </c>
      <c r="AM92" s="26" cm="1">
        <f t="array" ref="AM92">$G$3+IFERROR(VLOOKUP($AH92,$F$4:$G$7,2,FALSE),0)+VLOOKUP($R92,武学奇术!$A:$ZZ,2,FALSE)+SUM(_xlfn.XLOOKUP($S92:$AG92,增益!$A:$A,增益!$B:$B,0))</f>
        <v>1.1741</v>
      </c>
      <c r="AN92" s="26" cm="1">
        <f t="array" ref="AN92">VLOOKUP($R92,武学奇术!$A:$ZZ,5,FALSE)+SUM(_xlfn.XLOOKUP($S92:$AG92,增益!$A:$A,增益!$E:$E,0))</f>
        <v>0</v>
      </c>
      <c r="AO92" cm="1">
        <f t="array" ref="AO92">$D$10*(1+$AN92)+VLOOKUP($R92,武学奇术!$A:$ZZ,3,FALSE)+SUM(_xlfn.XLOOKUP($S92:$AG92,增益!$A:$A,增益!$C:$C,0))-$I$2</f>
        <v>3562.6</v>
      </c>
      <c r="AP92" cm="1">
        <f t="array" ref="AP92">$E$10*(1+$AN92)+VLOOKUP($R92,武学奇术!$A:$ZZ,4,FALSE)+SUM(_xlfn.XLOOKUP($S92:$AG92,增益!$A:$A,增益!$D:$D,0))-$I$2</f>
        <v>3562.6</v>
      </c>
      <c r="AQ92" s="32" cm="1">
        <f t="array" ref="AQ92">IF($F$10-$I$3+VLOOKUP($R92,武学奇术!$A:$ZZ,6,FALSE)+SUM(_xlfn.XLOOKUP(S92:AG92,增益!$A:$A,增益!$F:$F,0))&gt;0,($F$10-$I$3+VLOOKUP($R92,武学奇术!$A:$ZZ,6,FALSE)+SUM(_xlfn.XLOOKUP(S92:AG92,增益!$A:$A,增益!$F:$F,0)))/200,($F$10-$I$3+VLOOKUP($R92,武学奇术!$A:$ZZ,6,FALSE)+SUM(_xlfn.XLOOKUP(S92:AG92,增益!$A:$A,增益!$F:$F,0)))/100)</f>
        <v>0.2925</v>
      </c>
      <c r="AR92" s="32" cm="1">
        <f t="array" ref="AR92">$G$10+VLOOKUP($R92,武学奇术!$A:$ZZ,7,FALSE)+SUM(_xlfn.XLOOKUP(S92:AG92,增益!$A:$A,增益!$G:$G,0))</f>
        <v>0.148</v>
      </c>
      <c r="AS92" s="26" cm="1">
        <f t="array" ref="AS92">VLOOKUP($R92,武学奇术!$A:$ZZ,8,FALSE)+SUM(_xlfn.XLOOKUP(S92:AG92,增益!$A:$A,增益!$H:$H,0))</f>
        <v>0</v>
      </c>
      <c r="AT92">
        <f t="shared" si="13"/>
        <v>0</v>
      </c>
      <c r="AU92">
        <f t="shared" si="14"/>
        <v>0</v>
      </c>
      <c r="AV92" s="32" cm="1">
        <f t="array" ref="AV92">IF($F$11-$I$4+VLOOKUP($R92,武学奇术!$A:$ZZ,9,FALSE)+SUM(_xlfn.XLOOKUP(S92:AG92,增益!$A:$A,增益!$I:$I,0))&gt;0,($F$11-$I$4+VLOOKUP($R92,武学奇术!$A:$ZZ,9,FALSE)+SUM(_xlfn.XLOOKUP(S92:AG92,增益!$A:$A,增益!$I:$I,0)))/200,($F$11-$I$4+VLOOKUP($R92,武学奇术!$A:$ZZ,9,FALSE)+SUM(_xlfn.XLOOKUP(S92:AG92,增益!$A:$A,增益!$I:$I,0)))/100)</f>
        <v>-0.3</v>
      </c>
      <c r="AW92" s="32" cm="1">
        <f t="array" ref="AW92">$G$11+VLOOKUP($R92,武学奇术!$A:$ZZ,10,FALSE)+SUM(_xlfn.XLOOKUP(S92:AG92,增益!$A:$A,增益!$J:$J,0))</f>
        <v>0</v>
      </c>
      <c r="AX92">
        <f t="shared" si="15"/>
        <v>0</v>
      </c>
      <c r="AY92">
        <f t="shared" si="16"/>
        <v>0</v>
      </c>
      <c r="AZ92" s="32" cm="1">
        <f t="array" ref="AZ92">IF($F$12-$I$4+VLOOKUP($R92,武学奇术!$A:$ZZ,11,FALSE)+SUM(_xlfn.XLOOKUP(S92:AG92,增益!$A:$A,增益!$K:$K,0))&gt;0,($F$12-$I$4+VLOOKUP($R92,武学奇术!$A:$ZZ,11,FALSE)+SUM(_xlfn.XLOOKUP(S92:AG92,增益!$A:$A,增益!$K:$K,0)))/200,($F$12-$I$4+VLOOKUP($R92,武学奇术!$A:$ZZ,11,FALSE)+SUM(_xlfn.XLOOKUP(S92:AG92,增益!$A:$A,增益!$K:$K,0)))/100)</f>
        <v>-0.3</v>
      </c>
      <c r="BA92" s="32" cm="1">
        <f t="array" ref="BA92">$G$12+VLOOKUP($R92,武学奇术!$A:$ZZ,12,FALSE)+SUM(_xlfn.XLOOKUP(S92:AG92,增益!$A:$A,增益!$L:$L,0))</f>
        <v>0</v>
      </c>
      <c r="BB92">
        <f t="shared" si="17"/>
        <v>0</v>
      </c>
      <c r="BC92">
        <f t="shared" si="18"/>
        <v>0</v>
      </c>
      <c r="BD92" s="32" cm="1">
        <f t="array" ref="BD92">IF($F$13-$I$4+VLOOKUP($R92,武学奇术!$A:$ZZ,13,FALSE)+SUM(_xlfn.XLOOKUP(S92:AG92,增益!$A:$A,增益!$M:$M,0))&gt;0,($F$13-$I$4+VLOOKUP($R92,武学奇术!$A:$ZZ,13,FALSE)+SUM(_xlfn.XLOOKUP(S92:AG92,增益!$A:$A,增益!$K:$K,0)))/200,($F$13-$I$4+VLOOKUP($R92,武学奇术!$A:$ZZ,13,FALSE)+SUM(_xlfn.XLOOKUP(S92:AG92,增益!$A:$A,增益!$M:$M,0)))/100)</f>
        <v>-0.3</v>
      </c>
      <c r="BE92" s="32" cm="1">
        <f t="array" ref="BE92">$G$13+VLOOKUP($R92,武学奇术!$A:$ZZ,14,FALSE)+SUM(_xlfn.XLOOKUP(S92:AG92,增益!$A:$A,增益!$N:$N,0))</f>
        <v>0</v>
      </c>
      <c r="BF92">
        <f t="shared" si="19"/>
        <v>571.2</v>
      </c>
      <c r="BG92">
        <f t="shared" si="20"/>
        <v>1627.8</v>
      </c>
      <c r="BH92" s="32" cm="1">
        <f t="array" ref="BH92">IF($F$14-$I$4+VLOOKUP($R92,武学奇术!$A:$ZZ,15,FALSE)+SUM(_xlfn.XLOOKUP(S92:AG92,增益!$A:$A,增益!$O:$O,0))&gt;0,($F$14-$I$4+VLOOKUP($R92,武学奇术!$A:$ZZ,15,FALSE)+SUM(_xlfn.XLOOKUP(S92:AG92,增益!$A:$A,增益!$O:$O,0)))/200,($F$14-$I$4+VLOOKUP($R92,武学奇术!$A:$ZZ,15,FALSE)+SUM(_xlfn.XLOOKUP(S92:AG92,增益!$A:$A,增益!$O:$O,0)))/100)</f>
        <v>0</v>
      </c>
      <c r="BI92" s="32" cm="1">
        <f t="array" ref="BI92">$G$14+VLOOKUP($R92,武学奇术!$A:$ZZ,16,FALSE)+SUM(_xlfn.XLOOKUP(S92:AG92,增益!$A:$A,增益!$P:$P,0))</f>
        <v>0.27</v>
      </c>
      <c r="BJ92" s="26">
        <f>MIN(IF(VLOOKUP($R92,武学奇术!$A:$ZZ,23,FALSE)=1,100%,$B$8),100%)</f>
        <v>1</v>
      </c>
      <c r="BK92" s="26" cm="1">
        <f t="array" ref="BK92">IF(VLOOKUP($R92,武学奇术!$A:$ZZ,23,FALSE)=1,100%,MIN(80%,$B$9+VLOOKUP($R92,武学奇术!$A:$ZZ,17,FALSE)+SUM(_xlfn.XLOOKUP(S92:AG92,增益!$A:$A,增益!$Q:$Q,0)))+$B$11+SUM(_xlfn.XLOOKUP(S92:AG92,增益!$A:$A,增益!$U:$U,0)))*IF(VLOOKUP($R92,武学奇术!$A:$ZZ,24,FALSE)=1,0,1)</f>
        <v>1</v>
      </c>
      <c r="BL92" s="26" cm="1">
        <f t="array" ref="BL92">1+$B$13+VLOOKUP($R92,武学奇术!$A:$ZZ,18,FALSE)+SUM(_xlfn.XLOOKUP(S92:AG92,增益!$A:$A,增益!$R:$R,0))</f>
        <v>2.06</v>
      </c>
      <c r="BM92" s="26" cm="1">
        <f t="array" ref="BM92">IF(VLOOKUP($R92,武学奇术!$A:$ZZ,24,FALSE)=1,100%,MIN(40%,$B$10+VLOOKUP($R92,武学奇术!$A:$ZZ,19,FALSE)+SUM(_xlfn.XLOOKUP(S92:AG92,增益!$A:$A,增益!$S:$S,0)))+$B$12+SUM(_xlfn.XLOOKUP(S92:AG92,增益!$A:$A,增益!$V:$V,0)))*IF(VLOOKUP($R92,武学奇术!$A:$ZZ,23,FALSE)=1,0,1)</f>
        <v>0</v>
      </c>
      <c r="BN92" s="26" cm="1">
        <f t="array" ref="BN92">1+$B$14+VLOOKUP($R92,武学奇术!$A:$ZZ,20,FALSE)+SUM(_xlfn.XLOOKUP(S92:AG92,增益!$A:$A,增益!$T:$T,0))</f>
        <v>1.35</v>
      </c>
      <c r="BO92" s="26">
        <f t="shared" si="21"/>
        <v>1</v>
      </c>
      <c r="BP92" s="26">
        <f t="shared" si="22"/>
        <v>0</v>
      </c>
      <c r="BQ92" s="26">
        <f>IF(VLOOKUP($R92,武学奇术!$A:$ZZ,22,FALSE)=1,0,(1-$BJ92))*(1-$BM92)</f>
        <v>0</v>
      </c>
      <c r="BR92" s="26" cm="1">
        <f t="array" ref="BR92">SUM(_xlfn.XLOOKUP(S92:AG92,增益!$A:$A,增益!$W:$W,0))+$I$5</f>
        <v>0.11</v>
      </c>
    </row>
    <row r="93" spans="1:70">
      <c r="K93">
        <f>$L93*VLOOKUP($R93,武学奇术!$A:$ZZ,31,FALSE)</f>
        <v>320257.796542908</v>
      </c>
      <c r="L93" s="38">
        <f t="shared" si="23"/>
        <v>305007.42527896</v>
      </c>
      <c r="M93" s="38">
        <f>((($AO93+$AP93)/2*$AI93+$AJ93)*(1+$AQ93)*(1+$AR93)+(($AT93+$AU93)/2*IF($G$1="鸣金",$AK93,$AI93)+IF($G$1="鸣金",$AL93*1.5,0))*(1+$AV93)*(1+$AW93)+(($AX93+$AY93)/2*IF($G$1="裂石",$AK93,$AI93)+IF($G$1="裂石",$AL93*1.5,0))*(1+$AZ93)*(1+$BA93)+(($BB93+$BC93)/2*IF($G$1="牵丝",$AK93,$AI93)+IF($G$1="牵丝",$AL93*1.5,0))*(1+$BD93)*(1+$BE93)+(($BF93+$BG93)/2*IF($G$1="破竹",$AK93,$AI93)+IF($G$1="破竹",$AL93*1.5,0))*(1+$BH93)*(1+$BI93))*(1+$AM93)*$BL93*$Q93*(1+IF(VLOOKUP($R93,武学奇术!$A:$ZZ,30,FALSE)="回旋伞",$B$21,0))*(1+$BR93)</f>
        <v>326370.781183194</v>
      </c>
      <c r="N93" s="38">
        <f>(($AP93*$AI93+$AJ93)*(1+$AQ93)*(1+$AR93)+($AU93*IF($G$1="鸣金",$AK93,$AI93)+IF($G$1="鸣金",$AL93*1.5,0))*(1+$AV93)*(1+$AW93)+($AY93*IF($G$1="裂石",$AK93,$AI93)+IF($G$1="裂石",$AL93*1.5,0))*(1+$AZ93)*(1+$BA93)+($BC93*IF($G$1="牵丝",$AK93,$AI93)+IF($G$1="牵丝",$AL93*1.5,0))*(1+$BD93)*(1+$BE93)+($BG93*IF($G$1="破竹",$AK93,$AI93)+IF($G$1="破竹",$AL93*1.5,0))*(1+$BH93)*(1+$BI93))*(1+$AM93)*$BN93*$Q93*(1+IF(VLOOKUP($R93,武学奇术!$A:$ZZ,30,FALSE)="回旋伞",$B$21,0))*(1+$BR93)</f>
        <v>239430.702412555</v>
      </c>
      <c r="O93" s="38">
        <f>((($AO93+$AP93)/2*$AI93+$AJ93)*(1+$AQ93)*(1+$AR93)+(($AT93+$AU93)/2*IF($G$1="鸣金",$AK93,$AI93)+IF($G$1="鸣金",$AL93*1.5,0))*(1+$AV93)*(1+$AW93)+(($AX93+$AY93)/2*IF($G$1="裂石",$AK93,$AI93)+IF($G$1="裂石",$AL93*1.5,0))*(1+$AZ93)*(1+$BA93)+(($BB93+$BC93)/2*IF($G$1="牵丝",$AK93,$AI93)+IF($G$1="牵丝",$AL93*1.5,0))*(1+$BD93)*(1+$BE93)+(($BF93+$BG93)/2*IF($G$1="破竹",$AK93,$AI93)+IF($G$1="破竹",$AL93*1.5,0))*(1+$BH93)*(1+$BI93))*(1+$AM93)*$Q93*(1+IF(VLOOKUP($R93,武学奇术!$A:$ZZ,30,FALSE)="回旋伞",$B$21,0))*(1+$BR93)</f>
        <v>158432.418050094</v>
      </c>
      <c r="P93" s="38">
        <f>((($AO93*$AI93+$AJ93)*(1+$AQ93)*(1+$AR93)+($AT93*IF($G$1="鸣金",$AK93,$AI93)+IF($G$1="鸣金",$AL93*1.5,0))*(1+$AV93)*(1+$AW93)+($AX93*IF($G$1="裂石",$AK93,$AI93)+IF($G$1="裂石",$AL93*1.5,0))*(1+$AZ93)*(1+$BA93)+($BB93*IF($G$1="牵丝",$AK93,$AI93)+IF($G$1="牵丝",$AL93*1.5,0))*(1+$BD93)*(1+$BE93)+($BF93*IF($G$1="破竹",$AK93,$AI93)+IF($G$1="破竹",$AL93*1.5,0))*(1+$BH93)*(1+$BI93))*(1+$AM93))*$Q93*(1+IF(VLOOKUP($R93,武学奇术!$A:$ZZ,30,FALSE)="回旋伞",$B$21,0))*(1+$BR93)</f>
        <v>139508.760239036</v>
      </c>
      <c r="Q93" s="39">
        <v>4</v>
      </c>
      <c r="R93" s="40" t="s">
        <v>108</v>
      </c>
      <c r="S93" s="40" t="s">
        <v>109</v>
      </c>
      <c r="T93" s="40" t="s">
        <v>95</v>
      </c>
      <c r="U93" s="40" t="s">
        <v>73</v>
      </c>
      <c r="V93" s="40" t="s">
        <v>81</v>
      </c>
      <c r="W93" s="40" t="s">
        <v>172</v>
      </c>
      <c r="X93" s="40" t="s">
        <v>99</v>
      </c>
      <c r="Y93" s="40" t="s">
        <v>72</v>
      </c>
      <c r="Z93" s="40" t="s">
        <v>72</v>
      </c>
      <c r="AA93" s="40" t="s">
        <v>72</v>
      </c>
      <c r="AB93" s="40" t="s">
        <v>126</v>
      </c>
      <c r="AC93" s="40" t="s">
        <v>72</v>
      </c>
      <c r="AD93" s="40" t="s">
        <v>72</v>
      </c>
      <c r="AE93" s="40" t="s">
        <v>72</v>
      </c>
      <c r="AF93" s="40" t="s">
        <v>72</v>
      </c>
      <c r="AG93" s="40" t="s">
        <v>78</v>
      </c>
      <c r="AH93" t="str">
        <f>VLOOKUP($R93,武学奇术!$A:$ZZ,25,FALSE)</f>
        <v>伞</v>
      </c>
      <c r="AI93" s="26">
        <f>VLOOKUP($R93,武学奇术!$A:$ZZ,26,FALSE)</f>
        <v>1.8084</v>
      </c>
      <c r="AJ93" s="27">
        <f>VLOOKUP($R93,武学奇术!$A:$ZZ,27,FALSE)*(1+IF(OR($AH93=$F$4,$AH93=$F$5),$B$22,0))</f>
        <v>750</v>
      </c>
      <c r="AK93" s="26">
        <f>VLOOKUP($R93,武学奇术!$A:$ZZ,28,FALSE)</f>
        <v>2.7126</v>
      </c>
      <c r="AL93" s="27">
        <f>VLOOKUP($R93,武学奇术!$A:$ZZ,29,FALSE)*(1+IF(OR($AH93=$F$4,$AH93=$F$5),$B$22,0))</f>
        <v>408</v>
      </c>
      <c r="AM93" s="26" cm="1">
        <f t="array" ref="AM93">$G$3+IFERROR(VLOOKUP($AH93,$F$4:$G$7,2,FALSE),0)+VLOOKUP($R93,武学奇术!$A:$ZZ,2,FALSE)+SUM(_xlfn.XLOOKUP($S93:$AG93,增益!$A:$A,增益!$B:$B,0))</f>
        <v>0.7741</v>
      </c>
      <c r="AN93" s="26" cm="1">
        <f t="array" ref="AN93">VLOOKUP($R93,武学奇术!$A:$ZZ,5,FALSE)+SUM(_xlfn.XLOOKUP($S93:$AG93,增益!$A:$A,增益!$E:$E,0))</f>
        <v>0</v>
      </c>
      <c r="AO93" cm="1">
        <f t="array" ref="AO93">$D$10*(1+$AN93)+VLOOKUP($R93,武学奇术!$A:$ZZ,3,FALSE)+SUM(_xlfn.XLOOKUP($S93:$AG93,增益!$A:$A,增益!$C:$C,0))-$I$2</f>
        <v>3562.6</v>
      </c>
      <c r="AP93" cm="1">
        <f t="array" ref="AP93">$E$10*(1+$AN93)+VLOOKUP($R93,武学奇术!$A:$ZZ,4,FALSE)+SUM(_xlfn.XLOOKUP($S93:$AG93,增益!$A:$A,增益!$D:$D,0))-$I$2</f>
        <v>3562.6</v>
      </c>
      <c r="AQ93" s="32" cm="1">
        <f t="array" ref="AQ93">IF($F$10-$I$3+VLOOKUP($R93,武学奇术!$A:$ZZ,6,FALSE)+SUM(_xlfn.XLOOKUP(S93:AG93,增益!$A:$A,增益!$F:$F,0))&gt;0,($F$10-$I$3+VLOOKUP($R93,武学奇术!$A:$ZZ,6,FALSE)+SUM(_xlfn.XLOOKUP(S93:AG93,增益!$A:$A,增益!$F:$F,0)))/200,($F$10-$I$3+VLOOKUP($R93,武学奇术!$A:$ZZ,6,FALSE)+SUM(_xlfn.XLOOKUP(S93:AG93,增益!$A:$A,增益!$F:$F,0)))/100)</f>
        <v>0.2925</v>
      </c>
      <c r="AR93" s="32" cm="1">
        <f t="array" ref="AR93">$G$10+VLOOKUP($R93,武学奇术!$A:$ZZ,7,FALSE)+SUM(_xlfn.XLOOKUP(S93:AG93,增益!$A:$A,增益!$G:$G,0))</f>
        <v>0.148</v>
      </c>
      <c r="AS93" s="26" cm="1">
        <f t="array" ref="AS93">VLOOKUP($R93,武学奇术!$A:$ZZ,8,FALSE)+SUM(_xlfn.XLOOKUP(S93:AG93,增益!$A:$A,增益!$H:$H,0))</f>
        <v>0</v>
      </c>
      <c r="AT93">
        <f t="shared" si="13"/>
        <v>0</v>
      </c>
      <c r="AU93">
        <f t="shared" si="14"/>
        <v>0</v>
      </c>
      <c r="AV93" s="32" cm="1">
        <f t="array" ref="AV93">IF($F$11-$I$4+VLOOKUP($R93,武学奇术!$A:$ZZ,9,FALSE)+SUM(_xlfn.XLOOKUP(S93:AG93,增益!$A:$A,增益!$I:$I,0))&gt;0,($F$11-$I$4+VLOOKUP($R93,武学奇术!$A:$ZZ,9,FALSE)+SUM(_xlfn.XLOOKUP(S93:AG93,增益!$A:$A,增益!$I:$I,0)))/200,($F$11-$I$4+VLOOKUP($R93,武学奇术!$A:$ZZ,9,FALSE)+SUM(_xlfn.XLOOKUP(S93:AG93,增益!$A:$A,增益!$I:$I,0)))/100)</f>
        <v>-0.3</v>
      </c>
      <c r="AW93" s="32" cm="1">
        <f t="array" ref="AW93">$G$11+VLOOKUP($R93,武学奇术!$A:$ZZ,10,FALSE)+SUM(_xlfn.XLOOKUP(S93:AG93,增益!$A:$A,增益!$J:$J,0))</f>
        <v>0</v>
      </c>
      <c r="AX93">
        <f t="shared" si="15"/>
        <v>0</v>
      </c>
      <c r="AY93">
        <f t="shared" si="16"/>
        <v>0</v>
      </c>
      <c r="AZ93" s="32" cm="1">
        <f t="array" ref="AZ93">IF($F$12-$I$4+VLOOKUP($R93,武学奇术!$A:$ZZ,11,FALSE)+SUM(_xlfn.XLOOKUP(S93:AG93,增益!$A:$A,增益!$K:$K,0))&gt;0,($F$12-$I$4+VLOOKUP($R93,武学奇术!$A:$ZZ,11,FALSE)+SUM(_xlfn.XLOOKUP(S93:AG93,增益!$A:$A,增益!$K:$K,0)))/200,($F$12-$I$4+VLOOKUP($R93,武学奇术!$A:$ZZ,11,FALSE)+SUM(_xlfn.XLOOKUP(S93:AG93,增益!$A:$A,增益!$K:$K,0)))/100)</f>
        <v>-0.3</v>
      </c>
      <c r="BA93" s="32" cm="1">
        <f t="array" ref="BA93">$G$12+VLOOKUP($R93,武学奇术!$A:$ZZ,12,FALSE)+SUM(_xlfn.XLOOKUP(S93:AG93,增益!$A:$A,增益!$L:$L,0))</f>
        <v>0</v>
      </c>
      <c r="BB93">
        <f t="shared" si="17"/>
        <v>0</v>
      </c>
      <c r="BC93">
        <f t="shared" si="18"/>
        <v>0</v>
      </c>
      <c r="BD93" s="32" cm="1">
        <f t="array" ref="BD93">IF($F$13-$I$4+VLOOKUP($R93,武学奇术!$A:$ZZ,13,FALSE)+SUM(_xlfn.XLOOKUP(S93:AG93,增益!$A:$A,增益!$M:$M,0))&gt;0,($F$13-$I$4+VLOOKUP($R93,武学奇术!$A:$ZZ,13,FALSE)+SUM(_xlfn.XLOOKUP(S93:AG93,增益!$A:$A,增益!$K:$K,0)))/200,($F$13-$I$4+VLOOKUP($R93,武学奇术!$A:$ZZ,13,FALSE)+SUM(_xlfn.XLOOKUP(S93:AG93,增益!$A:$A,增益!$M:$M,0)))/100)</f>
        <v>-0.3</v>
      </c>
      <c r="BE93" s="32" cm="1">
        <f t="array" ref="BE93">$G$13+VLOOKUP($R93,武学奇术!$A:$ZZ,14,FALSE)+SUM(_xlfn.XLOOKUP(S93:AG93,增益!$A:$A,增益!$N:$N,0))</f>
        <v>0</v>
      </c>
      <c r="BF93">
        <f t="shared" si="19"/>
        <v>571.2</v>
      </c>
      <c r="BG93">
        <f t="shared" si="20"/>
        <v>1627.8</v>
      </c>
      <c r="BH93" s="32" cm="1">
        <f t="array" ref="BH93">IF($F$14-$I$4+VLOOKUP($R93,武学奇术!$A:$ZZ,15,FALSE)+SUM(_xlfn.XLOOKUP(S93:AG93,增益!$A:$A,增益!$O:$O,0))&gt;0,($F$14-$I$4+VLOOKUP($R93,武学奇术!$A:$ZZ,15,FALSE)+SUM(_xlfn.XLOOKUP(S93:AG93,增益!$A:$A,增益!$O:$O,0)))/200,($F$14-$I$4+VLOOKUP($R93,武学奇术!$A:$ZZ,15,FALSE)+SUM(_xlfn.XLOOKUP(S93:AG93,增益!$A:$A,增益!$O:$O,0)))/100)</f>
        <v>0</v>
      </c>
      <c r="BI93" s="32" cm="1">
        <f t="array" ref="BI93">$G$14+VLOOKUP($R93,武学奇术!$A:$ZZ,16,FALSE)+SUM(_xlfn.XLOOKUP(S93:AG93,增益!$A:$A,增益!$P:$P,0))</f>
        <v>0.27</v>
      </c>
      <c r="BJ93" s="26">
        <f>MIN(IF(VLOOKUP($R93,武学奇术!$A:$ZZ,23,FALSE)=1,100%,$B$8),100%)</f>
        <v>0.981</v>
      </c>
      <c r="BK93" s="26" cm="1">
        <f t="array" ref="BK93">IF(VLOOKUP($R93,武学奇术!$A:$ZZ,23,FALSE)=1,100%,MIN(80%,$B$9+VLOOKUP($R93,武学奇术!$A:$ZZ,17,FALSE)+SUM(_xlfn.XLOOKUP(S93:AG93,增益!$A:$A,增益!$Q:$Q,0)))+$B$11+SUM(_xlfn.XLOOKUP(S93:AG93,增益!$A:$A,增益!$U:$U,0)))*IF(VLOOKUP($R93,武学奇术!$A:$ZZ,24,FALSE)=1,0,1)</f>
        <v>0.846</v>
      </c>
      <c r="BL93" s="26" cm="1">
        <f t="array" ref="BL93">1+$B$13+VLOOKUP($R93,武学奇术!$A:$ZZ,18,FALSE)+SUM(_xlfn.XLOOKUP(S93:AG93,增益!$A:$A,增益!$R:$R,0))</f>
        <v>2.06</v>
      </c>
      <c r="BM93" s="26" cm="1">
        <f t="array" ref="BM93">IF(VLOOKUP($R93,武学奇术!$A:$ZZ,24,FALSE)=1,100%,MIN(40%,$B$10+VLOOKUP($R93,武学奇术!$A:$ZZ,19,FALSE)+SUM(_xlfn.XLOOKUP(S93:AG93,增益!$A:$A,增益!$S:$S,0)))+$B$12+SUM(_xlfn.XLOOKUP(S93:AG93,增益!$A:$A,增益!$V:$V,0)))*IF(VLOOKUP($R93,武学奇术!$A:$ZZ,23,FALSE)=1,0,1)</f>
        <v>0.0929</v>
      </c>
      <c r="BN93" s="26" cm="1">
        <f t="array" ref="BN93">1+$B$14+VLOOKUP($R93,武学奇术!$A:$ZZ,20,FALSE)+SUM(_xlfn.XLOOKUP(S93:AG93,增益!$A:$A,增益!$T:$T,0))</f>
        <v>1.35</v>
      </c>
      <c r="BO93" s="26">
        <f t="shared" si="21"/>
        <v>0.829926</v>
      </c>
      <c r="BP93" s="26">
        <f t="shared" si="22"/>
        <v>0.0599391</v>
      </c>
      <c r="BQ93" s="26">
        <f>IF(VLOOKUP($R93,武学奇术!$A:$ZZ,22,FALSE)=1,0,(1-$BJ93))*(1-$BM93)</f>
        <v>0.0172349</v>
      </c>
      <c r="BR93" s="26" cm="1">
        <f t="array" ref="BR93">SUM(_xlfn.XLOOKUP(S93:AG93,增益!$A:$A,增益!$W:$W,0))+$I$5</f>
        <v>0.11</v>
      </c>
    </row>
    <row r="94" spans="1:70">
      <c r="K94">
        <f>$L94*VLOOKUP($R94,武学奇术!$A:$ZZ,31,FALSE)</f>
        <v>186601.644843181</v>
      </c>
      <c r="L94" s="38">
        <f t="shared" si="23"/>
        <v>177715.852231601</v>
      </c>
      <c r="M94" s="38">
        <f>((($AO94+$AP94)/2*$AI94+$AJ94)*(1+$AQ94)*(1+$AR94)+(($AT94+$AU94)/2*IF($G$1="鸣金",$AK94,$AI94)+IF($G$1="鸣金",$AL94*1.5,0))*(1+$AV94)*(1+$AW94)+(($AX94+$AY94)/2*IF($G$1="裂石",$AK94,$AI94)+IF($G$1="裂石",$AL94*1.5,0))*(1+$AZ94)*(1+$BA94)+(($BB94+$BC94)/2*IF($G$1="牵丝",$AK94,$AI94)+IF($G$1="牵丝",$AL94*1.5,0))*(1+$BD94)*(1+$BE94)+(($BF94+$BG94)/2*IF($G$1="破竹",$AK94,$AI94)+IF($G$1="破竹",$AL94*1.5,0))*(1+$BH94)*(1+$BI94))*(1+$AM94)*$BL94*$Q94*(1+IF(VLOOKUP($R94,武学奇术!$A:$ZZ,30,FALSE)="回旋伞",$B$21,0))*(1+$BR94)</f>
        <v>189982.871106428</v>
      </c>
      <c r="N94" s="38">
        <f>(($AP94*$AI94+$AJ94)*(1+$AQ94)*(1+$AR94)+($AU94*IF($G$1="鸣金",$AK94,$AI94)+IF($G$1="鸣金",$AL94*1.5,0))*(1+$AV94)*(1+$AW94)+($AY94*IF($G$1="裂石",$AK94,$AI94)+IF($G$1="裂石",$AL94*1.5,0))*(1+$AZ94)*(1+$BA94)+($BC94*IF($G$1="牵丝",$AK94,$AI94)+IF($G$1="牵丝",$AL94*1.5,0))*(1+$BD94)*(1+$BE94)+($BG94*IF($G$1="破竹",$AK94,$AI94)+IF($G$1="破竹",$AL94*1.5,0))*(1+$BH94)*(1+$BI94))*(1+$AM94)*$BN94*$Q94*(1+IF(VLOOKUP($R94,武学奇术!$A:$ZZ,30,FALSE)="回旋伞",$B$21,0))*(1+$BR94)</f>
        <v>141480.268117203</v>
      </c>
      <c r="O94" s="38">
        <f>((($AO94+$AP94)/2*$AI94+$AJ94)*(1+$AQ94)*(1+$AR94)+(($AT94+$AU94)/2*IF($G$1="鸣金",$AK94,$AI94)+IF($G$1="鸣金",$AL94*1.5,0))*(1+$AV94)*(1+$AW94)+(($AX94+$AY94)/2*IF($G$1="裂石",$AK94,$AI94)+IF($G$1="裂石",$AL94*1.5,0))*(1+$AZ94)*(1+$BA94)+(($BB94+$BC94)/2*IF($G$1="牵丝",$AK94,$AI94)+IF($G$1="牵丝",$AL94*1.5,0))*(1+$BD94)*(1+$BE94)+(($BF94+$BG94)/2*IF($G$1="破竹",$AK94,$AI94)+IF($G$1="破竹",$AL94*1.5,0))*(1+$BH94)*(1+$BI94))*(1+$AM94)*$Q94*(1+IF(VLOOKUP($R94,武学奇术!$A:$ZZ,30,FALSE)="回旋伞",$B$21,0))*(1+$BR94)</f>
        <v>92224.6947118584</v>
      </c>
      <c r="P94" s="38">
        <f>((($AO94*$AI94+$AJ94)*(1+$AQ94)*(1+$AR94)+($AT94*IF($G$1="鸣金",$AK94,$AI94)+IF($G$1="鸣金",$AL94*1.5,0))*(1+$AV94)*(1+$AW94)+($AX94*IF($G$1="裂石",$AK94,$AI94)+IF($G$1="裂石",$AL94*1.5,0))*(1+$AZ94)*(1+$BA94)+($BB94*IF($G$1="牵丝",$AK94,$AI94)+IF($G$1="牵丝",$AL94*1.5,0))*(1+$BD94)*(1+$BE94)+($BF94*IF($G$1="破竹",$AK94,$AI94)+IF($G$1="破竹",$AL94*1.5,0))*(1+$BH94)*(1+$BI94))*(1+$AM94))*$Q94*(1+IF(VLOOKUP($R94,武学奇术!$A:$ZZ,30,FALSE)="回旋伞",$B$21,0))*(1+$BR94)</f>
        <v>79649.1908183815</v>
      </c>
      <c r="Q94" s="39">
        <v>8</v>
      </c>
      <c r="R94" s="40" t="s">
        <v>112</v>
      </c>
      <c r="S94" s="40" t="s">
        <v>109</v>
      </c>
      <c r="T94" s="40" t="s">
        <v>95</v>
      </c>
      <c r="U94" s="40" t="s">
        <v>73</v>
      </c>
      <c r="V94" s="40" t="s">
        <v>81</v>
      </c>
      <c r="W94" s="40" t="s">
        <v>172</v>
      </c>
      <c r="X94" s="40" t="s">
        <v>99</v>
      </c>
      <c r="Y94" s="40" t="s">
        <v>72</v>
      </c>
      <c r="Z94" s="40" t="s">
        <v>72</v>
      </c>
      <c r="AA94" s="40" t="s">
        <v>72</v>
      </c>
      <c r="AB94" s="40" t="s">
        <v>126</v>
      </c>
      <c r="AC94" s="40" t="s">
        <v>72</v>
      </c>
      <c r="AD94" s="40" t="s">
        <v>72</v>
      </c>
      <c r="AE94" s="40" t="s">
        <v>72</v>
      </c>
      <c r="AF94" s="40" t="s">
        <v>72</v>
      </c>
      <c r="AG94" s="40" t="s">
        <v>78</v>
      </c>
      <c r="AH94" t="str">
        <f>VLOOKUP($R94,武学奇术!$A:$ZZ,25,FALSE)</f>
        <v>伞</v>
      </c>
      <c r="AI94" s="26">
        <f>VLOOKUP($R94,武学奇术!$A:$ZZ,26,FALSE)</f>
        <v>0.54</v>
      </c>
      <c r="AJ94" s="27">
        <f>VLOOKUP($R94,武学奇术!$A:$ZZ,27,FALSE)*(1+IF(OR($AH94=$F$4,$AH94=$F$5),$B$22,0))</f>
        <v>0</v>
      </c>
      <c r="AK94" s="26">
        <f>VLOOKUP($R94,武学奇术!$A:$ZZ,28,FALSE)</f>
        <v>0.81</v>
      </c>
      <c r="AL94" s="27">
        <f>VLOOKUP($R94,武学奇术!$A:$ZZ,29,FALSE)*(1+IF(OR($AH94=$F$4,$AH94=$F$5),$B$22,0))</f>
        <v>0</v>
      </c>
      <c r="AM94" s="26" cm="1">
        <f t="array" ref="AM94">$G$3+IFERROR(VLOOKUP($AH94,$F$4:$G$7,2,FALSE),0)+VLOOKUP($R94,武学奇术!$A:$ZZ,2,FALSE)+SUM(_xlfn.XLOOKUP($S94:$AG94,增益!$A:$A,增益!$B:$B,0))</f>
        <v>0.9741</v>
      </c>
      <c r="AN94" s="26" cm="1">
        <f t="array" ref="AN94">VLOOKUP($R94,武学奇术!$A:$ZZ,5,FALSE)+SUM(_xlfn.XLOOKUP($S94:$AG94,增益!$A:$A,增益!$E:$E,0))</f>
        <v>0</v>
      </c>
      <c r="AO94" cm="1">
        <f t="array" ref="AO94">$D$10*(1+$AN94)+VLOOKUP($R94,武学奇术!$A:$ZZ,3,FALSE)+SUM(_xlfn.XLOOKUP($S94:$AG94,增益!$A:$A,增益!$C:$C,0))-$I$2</f>
        <v>3562.6</v>
      </c>
      <c r="AP94" cm="1">
        <f t="array" ref="AP94">$E$10*(1+$AN94)+VLOOKUP($R94,武学奇术!$A:$ZZ,4,FALSE)+SUM(_xlfn.XLOOKUP($S94:$AG94,增益!$A:$A,增益!$D:$D,0))-$I$2</f>
        <v>3562.6</v>
      </c>
      <c r="AQ94" s="32" cm="1">
        <f t="array" ref="AQ94">IF($F$10-$I$3+VLOOKUP($R94,武学奇术!$A:$ZZ,6,FALSE)+SUM(_xlfn.XLOOKUP(S94:AG94,增益!$A:$A,增益!$F:$F,0))&gt;0,($F$10-$I$3+VLOOKUP($R94,武学奇术!$A:$ZZ,6,FALSE)+SUM(_xlfn.XLOOKUP(S94:AG94,增益!$A:$A,增益!$F:$F,0)))/200,($F$10-$I$3+VLOOKUP($R94,武学奇术!$A:$ZZ,6,FALSE)+SUM(_xlfn.XLOOKUP(S94:AG94,增益!$A:$A,增益!$F:$F,0)))/100)</f>
        <v>0.2925</v>
      </c>
      <c r="AR94" s="32" cm="1">
        <f t="array" ref="AR94">$G$10+VLOOKUP($R94,武学奇术!$A:$ZZ,7,FALSE)+SUM(_xlfn.XLOOKUP(S94:AG94,增益!$A:$A,增益!$G:$G,0))</f>
        <v>0.148</v>
      </c>
      <c r="AS94" s="26" cm="1">
        <f t="array" ref="AS94">VLOOKUP($R94,武学奇术!$A:$ZZ,8,FALSE)+SUM(_xlfn.XLOOKUP(S94:AG94,增益!$A:$A,增益!$H:$H,0))</f>
        <v>0</v>
      </c>
      <c r="AT94">
        <f t="shared" si="13"/>
        <v>0</v>
      </c>
      <c r="AU94">
        <f t="shared" si="14"/>
        <v>0</v>
      </c>
      <c r="AV94" s="32" cm="1">
        <f t="array" ref="AV94">IF($F$11-$I$4+VLOOKUP($R94,武学奇术!$A:$ZZ,9,FALSE)+SUM(_xlfn.XLOOKUP(S94:AG94,增益!$A:$A,增益!$I:$I,0))&gt;0,($F$11-$I$4+VLOOKUP($R94,武学奇术!$A:$ZZ,9,FALSE)+SUM(_xlfn.XLOOKUP(S94:AG94,增益!$A:$A,增益!$I:$I,0)))/200,($F$11-$I$4+VLOOKUP($R94,武学奇术!$A:$ZZ,9,FALSE)+SUM(_xlfn.XLOOKUP(S94:AG94,增益!$A:$A,增益!$I:$I,0)))/100)</f>
        <v>-0.3</v>
      </c>
      <c r="AW94" s="32" cm="1">
        <f t="array" ref="AW94">$G$11+VLOOKUP($R94,武学奇术!$A:$ZZ,10,FALSE)+SUM(_xlfn.XLOOKUP(S94:AG94,增益!$A:$A,增益!$J:$J,0))</f>
        <v>0</v>
      </c>
      <c r="AX94">
        <f t="shared" si="15"/>
        <v>0</v>
      </c>
      <c r="AY94">
        <f t="shared" si="16"/>
        <v>0</v>
      </c>
      <c r="AZ94" s="32" cm="1">
        <f t="array" ref="AZ94">IF($F$12-$I$4+VLOOKUP($R94,武学奇术!$A:$ZZ,11,FALSE)+SUM(_xlfn.XLOOKUP(S94:AG94,增益!$A:$A,增益!$K:$K,0))&gt;0,($F$12-$I$4+VLOOKUP($R94,武学奇术!$A:$ZZ,11,FALSE)+SUM(_xlfn.XLOOKUP(S94:AG94,增益!$A:$A,增益!$K:$K,0)))/200,($F$12-$I$4+VLOOKUP($R94,武学奇术!$A:$ZZ,11,FALSE)+SUM(_xlfn.XLOOKUP(S94:AG94,增益!$A:$A,增益!$K:$K,0)))/100)</f>
        <v>-0.3</v>
      </c>
      <c r="BA94" s="32" cm="1">
        <f t="array" ref="BA94">$G$12+VLOOKUP($R94,武学奇术!$A:$ZZ,12,FALSE)+SUM(_xlfn.XLOOKUP(S94:AG94,增益!$A:$A,增益!$L:$L,0))</f>
        <v>0</v>
      </c>
      <c r="BB94">
        <f t="shared" si="17"/>
        <v>0</v>
      </c>
      <c r="BC94">
        <f t="shared" si="18"/>
        <v>0</v>
      </c>
      <c r="BD94" s="32" cm="1">
        <f t="array" ref="BD94">IF($F$13-$I$4+VLOOKUP($R94,武学奇术!$A:$ZZ,13,FALSE)+SUM(_xlfn.XLOOKUP(S94:AG94,增益!$A:$A,增益!$M:$M,0))&gt;0,($F$13-$I$4+VLOOKUP($R94,武学奇术!$A:$ZZ,13,FALSE)+SUM(_xlfn.XLOOKUP(S94:AG94,增益!$A:$A,增益!$K:$K,0)))/200,($F$13-$I$4+VLOOKUP($R94,武学奇术!$A:$ZZ,13,FALSE)+SUM(_xlfn.XLOOKUP(S94:AG94,增益!$A:$A,增益!$M:$M,0)))/100)</f>
        <v>-0.3</v>
      </c>
      <c r="BE94" s="32" cm="1">
        <f t="array" ref="BE94">$G$13+VLOOKUP($R94,武学奇术!$A:$ZZ,14,FALSE)+SUM(_xlfn.XLOOKUP(S94:AG94,增益!$A:$A,增益!$N:$N,0))</f>
        <v>0</v>
      </c>
      <c r="BF94">
        <f t="shared" si="19"/>
        <v>571.2</v>
      </c>
      <c r="BG94">
        <f t="shared" si="20"/>
        <v>1627.8</v>
      </c>
      <c r="BH94" s="32" cm="1">
        <f t="array" ref="BH94">IF($F$14-$I$4+VLOOKUP($R94,武学奇术!$A:$ZZ,15,FALSE)+SUM(_xlfn.XLOOKUP(S94:AG94,增益!$A:$A,增益!$O:$O,0))&gt;0,($F$14-$I$4+VLOOKUP($R94,武学奇术!$A:$ZZ,15,FALSE)+SUM(_xlfn.XLOOKUP(S94:AG94,增益!$A:$A,增益!$O:$O,0)))/200,($F$14-$I$4+VLOOKUP($R94,武学奇术!$A:$ZZ,15,FALSE)+SUM(_xlfn.XLOOKUP(S94:AG94,增益!$A:$A,增益!$O:$O,0)))/100)</f>
        <v>0</v>
      </c>
      <c r="BI94" s="32" cm="1">
        <f t="array" ref="BI94">$G$14+VLOOKUP($R94,武学奇术!$A:$ZZ,16,FALSE)+SUM(_xlfn.XLOOKUP(S94:AG94,增益!$A:$A,增益!$P:$P,0))</f>
        <v>0.27</v>
      </c>
      <c r="BJ94" s="26">
        <f>MIN(IF(VLOOKUP($R94,武学奇术!$A:$ZZ,23,FALSE)=1,100%,$B$8),100%)</f>
        <v>0.981</v>
      </c>
      <c r="BK94" s="26" cm="1">
        <f t="array" ref="BK94">IF(VLOOKUP($R94,武学奇术!$A:$ZZ,23,FALSE)=1,100%,MIN(80%,$B$9+VLOOKUP($R94,武学奇术!$A:$ZZ,17,FALSE)+SUM(_xlfn.XLOOKUP(S94:AG94,增益!$A:$A,增益!$Q:$Q,0)))+$B$11+SUM(_xlfn.XLOOKUP(S94:AG94,增益!$A:$A,增益!$U:$U,0)))*IF(VLOOKUP($R94,武学奇术!$A:$ZZ,24,FALSE)=1,0,1)</f>
        <v>0.846</v>
      </c>
      <c r="BL94" s="26" cm="1">
        <f t="array" ref="BL94">1+$B$13+VLOOKUP($R94,武学奇术!$A:$ZZ,18,FALSE)+SUM(_xlfn.XLOOKUP(S94:AG94,增益!$A:$A,增益!$R:$R,0))</f>
        <v>2.06</v>
      </c>
      <c r="BM94" s="26" cm="1">
        <f t="array" ref="BM94">IF(VLOOKUP($R94,武学奇术!$A:$ZZ,24,FALSE)=1,100%,MIN(40%,$B$10+VLOOKUP($R94,武学奇术!$A:$ZZ,19,FALSE)+SUM(_xlfn.XLOOKUP(S94:AG94,增益!$A:$A,增益!$S:$S,0)))+$B$12+SUM(_xlfn.XLOOKUP(S94:AG94,增益!$A:$A,增益!$V:$V,0)))*IF(VLOOKUP($R94,武学奇术!$A:$ZZ,23,FALSE)=1,0,1)</f>
        <v>0.0929</v>
      </c>
      <c r="BN94" s="26" cm="1">
        <f t="array" ref="BN94">1+$B$14+VLOOKUP($R94,武学奇术!$A:$ZZ,20,FALSE)+SUM(_xlfn.XLOOKUP(S94:AG94,增益!$A:$A,增益!$T:$T,0))</f>
        <v>1.35</v>
      </c>
      <c r="BO94" s="26">
        <f t="shared" si="21"/>
        <v>0.829926</v>
      </c>
      <c r="BP94" s="26">
        <f t="shared" si="22"/>
        <v>0.0599391</v>
      </c>
      <c r="BQ94" s="26">
        <f>IF(VLOOKUP($R94,武学奇术!$A:$ZZ,22,FALSE)=1,0,(1-$BJ94))*(1-$BM94)</f>
        <v>0.0172349</v>
      </c>
      <c r="BR94" s="26" cm="1">
        <f t="array" ref="BR94">SUM(_xlfn.XLOOKUP(S94:AG94,增益!$A:$A,增益!$W:$W,0))+$I$5</f>
        <v>0.11</v>
      </c>
    </row>
    <row r="95" spans="1:70">
      <c r="K95">
        <f>$L95*VLOOKUP($R95,武学奇术!$A:$ZZ,31,FALSE)</f>
        <v>190660.894845395</v>
      </c>
      <c r="L95" s="38">
        <f t="shared" si="23"/>
        <v>181581.804614662</v>
      </c>
      <c r="M95" s="38">
        <f>((($AO95+$AP95)/2*$AI95+$AJ95)*(1+$AQ95)*(1+$AR95)+(($AT95+$AU95)/2*IF($G$1="鸣金",$AK95,$AI95)+IF($G$1="鸣金",$AL95*1.5,0))*(1+$AV95)*(1+$AW95)+(($AX95+$AY95)/2*IF($G$1="裂石",$AK95,$AI95)+IF($G$1="裂石",$AL95*1.5,0))*(1+$AZ95)*(1+$BA95)+(($BB95+$BC95)/2*IF($G$1="牵丝",$AK95,$AI95)+IF($G$1="牵丝",$AL95*1.5,0))*(1+$BD95)*(1+$BE95)+(($BF95+$BG95)/2*IF($G$1="破竹",$AK95,$AI95)+IF($G$1="破竹",$AL95*1.5,0))*(1+$BH95)*(1+$BI95))*(1+$AM95)*$BL95*$Q95*(1+IF(VLOOKUP($R95,武学奇术!$A:$ZZ,30,FALSE)="回旋伞",$B$21,0))*(1+$BR95)</f>
        <v>181581.804614662</v>
      </c>
      <c r="N95" s="38">
        <f>(($AP95*$AI95+$AJ95)*(1+$AQ95)*(1+$AR95)+($AU95*IF($G$1="鸣金",$AK95,$AI95)+IF($G$1="鸣金",$AL95*1.5,0))*(1+$AV95)*(1+$AW95)+($AY95*IF($G$1="裂石",$AK95,$AI95)+IF($G$1="裂石",$AL95*1.5,0))*(1+$AZ95)*(1+$BA95)+($BC95*IF($G$1="牵丝",$AK95,$AI95)+IF($G$1="牵丝",$AL95*1.5,0))*(1+$BD95)*(1+$BE95)+($BG95*IF($G$1="破竹",$AK95,$AI95)+IF($G$1="破竹",$AL95*1.5,0))*(1+$BH95)*(1+$BI95))*(1+$AM95)*$BN95*$Q95*(1+IF(VLOOKUP($R95,武学奇术!$A:$ZZ,30,FALSE)="回旋伞",$B$21,0))*(1+$BR95)</f>
        <v>133211.247853172</v>
      </c>
      <c r="O95" s="38">
        <f>((($AO95+$AP95)/2*$AI95+$AJ95)*(1+$AQ95)*(1+$AR95)+(($AT95+$AU95)/2*IF($G$1="鸣金",$AK95,$AI95)+IF($G$1="鸣金",$AL95*1.5,0))*(1+$AV95)*(1+$AW95)+(($AX95+$AY95)/2*IF($G$1="裂石",$AK95,$AI95)+IF($G$1="裂石",$AL95*1.5,0))*(1+$AZ95)*(1+$BA95)+(($BB95+$BC95)/2*IF($G$1="牵丝",$AK95,$AI95)+IF($G$1="牵丝",$AL95*1.5,0))*(1+$BD95)*(1+$BE95)+(($BF95+$BG95)/2*IF($G$1="破竹",$AK95,$AI95)+IF($G$1="破竹",$AL95*1.5,0))*(1+$BH95)*(1+$BI95))*(1+$AM95)*$Q95*(1+IF(VLOOKUP($R95,武学奇术!$A:$ZZ,30,FALSE)="回旋伞",$B$21,0))*(1+$BR95)</f>
        <v>88146.5070944959</v>
      </c>
      <c r="P95" s="38">
        <f>((($AO95*$AI95+$AJ95)*(1+$AQ95)*(1+$AR95)+($AT95*IF($G$1="鸣金",$AK95,$AI95)+IF($G$1="鸣金",$AL95*1.5,0))*(1+$AV95)*(1+$AW95)+($AX95*IF($G$1="裂石",$AK95,$AI95)+IF($G$1="裂石",$AL95*1.5,0))*(1+$AZ95)*(1+$BA95)+($BB95*IF($G$1="牵丝",$AK95,$AI95)+IF($G$1="牵丝",$AL95*1.5,0))*(1+$BD95)*(1+$BE95)+($BF95*IF($G$1="破竹",$AK95,$AI95)+IF($G$1="破竹",$AL95*1.5,0))*(1+$BH95)*(1+$BI95))*(1+$AM95))*$Q95*(1+IF(VLOOKUP($R95,武学奇术!$A:$ZZ,30,FALSE)="回旋伞",$B$21,0))*(1+$BR95)</f>
        <v>77618.015779235</v>
      </c>
      <c r="Q95" s="39">
        <v>2</v>
      </c>
      <c r="R95" s="40" t="s">
        <v>125</v>
      </c>
      <c r="S95" s="40" t="s">
        <v>109</v>
      </c>
      <c r="T95" s="40" t="s">
        <v>95</v>
      </c>
      <c r="U95" s="40" t="s">
        <v>73</v>
      </c>
      <c r="V95" s="40" t="s">
        <v>81</v>
      </c>
      <c r="W95" s="40" t="s">
        <v>172</v>
      </c>
      <c r="X95" s="40" t="s">
        <v>99</v>
      </c>
      <c r="Y95" s="40" t="s">
        <v>72</v>
      </c>
      <c r="Z95" s="40" t="s">
        <v>72</v>
      </c>
      <c r="AA95" s="40" t="s">
        <v>72</v>
      </c>
      <c r="AB95" s="40" t="s">
        <v>126</v>
      </c>
      <c r="AC95" s="40" t="s">
        <v>72</v>
      </c>
      <c r="AD95" s="40" t="s">
        <v>72</v>
      </c>
      <c r="AE95" s="40" t="s">
        <v>72</v>
      </c>
      <c r="AF95" s="40" t="s">
        <v>72</v>
      </c>
      <c r="AG95" s="40" t="s">
        <v>78</v>
      </c>
      <c r="AH95" t="str">
        <f>VLOOKUP($R95,武学奇术!$A:$ZZ,25,FALSE)</f>
        <v>伞</v>
      </c>
      <c r="AI95" s="26">
        <f>VLOOKUP($R95,武学奇术!$A:$ZZ,26,FALSE)</f>
        <v>1.8084</v>
      </c>
      <c r="AJ95" s="27">
        <f>VLOOKUP($R95,武学奇术!$A:$ZZ,27,FALSE)*(1+IF(OR($AH95=$F$4,$AH95=$F$5),$B$22,0))</f>
        <v>750</v>
      </c>
      <c r="AK95" s="26">
        <f>VLOOKUP($R95,武学奇术!$A:$ZZ,28,FALSE)</f>
        <v>2.7126</v>
      </c>
      <c r="AL95" s="27">
        <f>VLOOKUP($R95,武学奇术!$A:$ZZ,29,FALSE)*(1+IF(OR($AH95=$F$4,$AH95=$F$5),$B$22,0))</f>
        <v>408</v>
      </c>
      <c r="AM95" s="26" cm="1">
        <f t="array" ref="AM95">$G$3+IFERROR(VLOOKUP($AH95,$F$4:$G$7,2,FALSE),0)+VLOOKUP($R95,武学奇术!$A:$ZZ,2,FALSE)+SUM(_xlfn.XLOOKUP($S95:$AG95,增益!$A:$A,增益!$B:$B,0))</f>
        <v>0.9741</v>
      </c>
      <c r="AN95" s="26" cm="1">
        <f t="array" ref="AN95">VLOOKUP($R95,武学奇术!$A:$ZZ,5,FALSE)+SUM(_xlfn.XLOOKUP($S95:$AG95,增益!$A:$A,增益!$E:$E,0))</f>
        <v>0</v>
      </c>
      <c r="AO95" cm="1">
        <f t="array" ref="AO95">$D$10*(1+$AN95)+VLOOKUP($R95,武学奇术!$A:$ZZ,3,FALSE)+SUM(_xlfn.XLOOKUP($S95:$AG95,增益!$A:$A,增益!$C:$C,0))-$I$2</f>
        <v>3562.6</v>
      </c>
      <c r="AP95" cm="1">
        <f t="array" ref="AP95">$E$10*(1+$AN95)+VLOOKUP($R95,武学奇术!$A:$ZZ,4,FALSE)+SUM(_xlfn.XLOOKUP($S95:$AG95,增益!$A:$A,增益!$D:$D,0))-$I$2</f>
        <v>3562.6</v>
      </c>
      <c r="AQ95" s="32" cm="1">
        <f t="array" ref="AQ95">IF($F$10-$I$3+VLOOKUP($R95,武学奇术!$A:$ZZ,6,FALSE)+SUM(_xlfn.XLOOKUP(S95:AG95,增益!$A:$A,增益!$F:$F,0))&gt;0,($F$10-$I$3+VLOOKUP($R95,武学奇术!$A:$ZZ,6,FALSE)+SUM(_xlfn.XLOOKUP(S95:AG95,增益!$A:$A,增益!$F:$F,0)))/200,($F$10-$I$3+VLOOKUP($R95,武学奇术!$A:$ZZ,6,FALSE)+SUM(_xlfn.XLOOKUP(S95:AG95,增益!$A:$A,增益!$F:$F,0)))/100)</f>
        <v>0.2925</v>
      </c>
      <c r="AR95" s="32" cm="1">
        <f t="array" ref="AR95">$G$10+VLOOKUP($R95,武学奇术!$A:$ZZ,7,FALSE)+SUM(_xlfn.XLOOKUP(S95:AG95,增益!$A:$A,增益!$G:$G,0))</f>
        <v>0.148</v>
      </c>
      <c r="AS95" s="26" cm="1">
        <f t="array" ref="AS95">VLOOKUP($R95,武学奇术!$A:$ZZ,8,FALSE)+SUM(_xlfn.XLOOKUP(S95:AG95,增益!$A:$A,增益!$H:$H,0))</f>
        <v>0</v>
      </c>
      <c r="AT95">
        <f t="shared" si="13"/>
        <v>0</v>
      </c>
      <c r="AU95">
        <f t="shared" si="14"/>
        <v>0</v>
      </c>
      <c r="AV95" s="32" cm="1">
        <f t="array" ref="AV95">IF($F$11-$I$4+VLOOKUP($R95,武学奇术!$A:$ZZ,9,FALSE)+SUM(_xlfn.XLOOKUP(S95:AG95,增益!$A:$A,增益!$I:$I,0))&gt;0,($F$11-$I$4+VLOOKUP($R95,武学奇术!$A:$ZZ,9,FALSE)+SUM(_xlfn.XLOOKUP(S95:AG95,增益!$A:$A,增益!$I:$I,0)))/200,($F$11-$I$4+VLOOKUP($R95,武学奇术!$A:$ZZ,9,FALSE)+SUM(_xlfn.XLOOKUP(S95:AG95,增益!$A:$A,增益!$I:$I,0)))/100)</f>
        <v>-0.3</v>
      </c>
      <c r="AW95" s="32" cm="1">
        <f t="array" ref="AW95">$G$11+VLOOKUP($R95,武学奇术!$A:$ZZ,10,FALSE)+SUM(_xlfn.XLOOKUP(S95:AG95,增益!$A:$A,增益!$J:$J,0))</f>
        <v>0</v>
      </c>
      <c r="AX95">
        <f t="shared" si="15"/>
        <v>0</v>
      </c>
      <c r="AY95">
        <f t="shared" si="16"/>
        <v>0</v>
      </c>
      <c r="AZ95" s="32" cm="1">
        <f t="array" ref="AZ95">IF($F$12-$I$4+VLOOKUP($R95,武学奇术!$A:$ZZ,11,FALSE)+SUM(_xlfn.XLOOKUP(S95:AG95,增益!$A:$A,增益!$K:$K,0))&gt;0,($F$12-$I$4+VLOOKUP($R95,武学奇术!$A:$ZZ,11,FALSE)+SUM(_xlfn.XLOOKUP(S95:AG95,增益!$A:$A,增益!$K:$K,0)))/200,($F$12-$I$4+VLOOKUP($R95,武学奇术!$A:$ZZ,11,FALSE)+SUM(_xlfn.XLOOKUP(S95:AG95,增益!$A:$A,增益!$K:$K,0)))/100)</f>
        <v>-0.3</v>
      </c>
      <c r="BA95" s="32" cm="1">
        <f t="array" ref="BA95">$G$12+VLOOKUP($R95,武学奇术!$A:$ZZ,12,FALSE)+SUM(_xlfn.XLOOKUP(S95:AG95,增益!$A:$A,增益!$L:$L,0))</f>
        <v>0</v>
      </c>
      <c r="BB95">
        <f t="shared" si="17"/>
        <v>0</v>
      </c>
      <c r="BC95">
        <f t="shared" si="18"/>
        <v>0</v>
      </c>
      <c r="BD95" s="32" cm="1">
        <f t="array" ref="BD95">IF($F$13-$I$4+VLOOKUP($R95,武学奇术!$A:$ZZ,13,FALSE)+SUM(_xlfn.XLOOKUP(S95:AG95,增益!$A:$A,增益!$M:$M,0))&gt;0,($F$13-$I$4+VLOOKUP($R95,武学奇术!$A:$ZZ,13,FALSE)+SUM(_xlfn.XLOOKUP(S95:AG95,增益!$A:$A,增益!$K:$K,0)))/200,($F$13-$I$4+VLOOKUP($R95,武学奇术!$A:$ZZ,13,FALSE)+SUM(_xlfn.XLOOKUP(S95:AG95,增益!$A:$A,增益!$M:$M,0)))/100)</f>
        <v>-0.3</v>
      </c>
      <c r="BE95" s="32" cm="1">
        <f t="array" ref="BE95">$G$13+VLOOKUP($R95,武学奇术!$A:$ZZ,14,FALSE)+SUM(_xlfn.XLOOKUP(S95:AG95,增益!$A:$A,增益!$N:$N,0))</f>
        <v>0</v>
      </c>
      <c r="BF95">
        <f t="shared" si="19"/>
        <v>571.2</v>
      </c>
      <c r="BG95">
        <f t="shared" si="20"/>
        <v>1627.8</v>
      </c>
      <c r="BH95" s="32" cm="1">
        <f t="array" ref="BH95">IF($F$14-$I$4+VLOOKUP($R95,武学奇术!$A:$ZZ,15,FALSE)+SUM(_xlfn.XLOOKUP(S95:AG95,增益!$A:$A,增益!$O:$O,0))&gt;0,($F$14-$I$4+VLOOKUP($R95,武学奇术!$A:$ZZ,15,FALSE)+SUM(_xlfn.XLOOKUP(S95:AG95,增益!$A:$A,增益!$O:$O,0)))/200,($F$14-$I$4+VLOOKUP($R95,武学奇术!$A:$ZZ,15,FALSE)+SUM(_xlfn.XLOOKUP(S95:AG95,增益!$A:$A,增益!$O:$O,0)))/100)</f>
        <v>0</v>
      </c>
      <c r="BI95" s="32" cm="1">
        <f t="array" ref="BI95">$G$14+VLOOKUP($R95,武学奇术!$A:$ZZ,16,FALSE)+SUM(_xlfn.XLOOKUP(S95:AG95,增益!$A:$A,增益!$P:$P,0))</f>
        <v>0.27</v>
      </c>
      <c r="BJ95" s="26">
        <f>MIN(IF(VLOOKUP($R95,武学奇术!$A:$ZZ,23,FALSE)=1,100%,$B$8),100%)</f>
        <v>1</v>
      </c>
      <c r="BK95" s="26" cm="1">
        <f t="array" ref="BK95">IF(VLOOKUP($R95,武学奇术!$A:$ZZ,23,FALSE)=1,100%,MIN(80%,$B$9+VLOOKUP($R95,武学奇术!$A:$ZZ,17,FALSE)+SUM(_xlfn.XLOOKUP(S95:AG95,增益!$A:$A,增益!$Q:$Q,0)))+$B$11+SUM(_xlfn.XLOOKUP(S95:AG95,增益!$A:$A,增益!$U:$U,0)))*IF(VLOOKUP($R95,武学奇术!$A:$ZZ,24,FALSE)=1,0,1)</f>
        <v>1</v>
      </c>
      <c r="BL95" s="26" cm="1">
        <f t="array" ref="BL95">1+$B$13+VLOOKUP($R95,武学奇术!$A:$ZZ,18,FALSE)+SUM(_xlfn.XLOOKUP(S95:AG95,增益!$A:$A,增益!$R:$R,0))</f>
        <v>2.06</v>
      </c>
      <c r="BM95" s="26" cm="1">
        <f t="array" ref="BM95">IF(VLOOKUP($R95,武学奇术!$A:$ZZ,24,FALSE)=1,100%,MIN(40%,$B$10+VLOOKUP($R95,武学奇术!$A:$ZZ,19,FALSE)+SUM(_xlfn.XLOOKUP(S95:AG95,增益!$A:$A,增益!$S:$S,0)))+$B$12+SUM(_xlfn.XLOOKUP(S95:AG95,增益!$A:$A,增益!$V:$V,0)))*IF(VLOOKUP($R95,武学奇术!$A:$ZZ,23,FALSE)=1,0,1)</f>
        <v>0</v>
      </c>
      <c r="BN95" s="26" cm="1">
        <f t="array" ref="BN95">1+$B$14+VLOOKUP($R95,武学奇术!$A:$ZZ,20,FALSE)+SUM(_xlfn.XLOOKUP(S95:AG95,增益!$A:$A,增益!$T:$T,0))</f>
        <v>1.35</v>
      </c>
      <c r="BO95" s="26">
        <f t="shared" si="21"/>
        <v>1</v>
      </c>
      <c r="BP95" s="26">
        <f t="shared" si="22"/>
        <v>0</v>
      </c>
      <c r="BQ95" s="26">
        <f>IF(VLOOKUP($R95,武学奇术!$A:$ZZ,22,FALSE)=1,0,(1-$BJ95))*(1-$BM95)</f>
        <v>0</v>
      </c>
      <c r="BR95" s="26" cm="1">
        <f t="array" ref="BR95">SUM(_xlfn.XLOOKUP(S95:AG95,增益!$A:$A,增益!$W:$W,0))+$I$5</f>
        <v>0.11</v>
      </c>
    </row>
    <row r="96" spans="1:70">
      <c r="K96">
        <f>$L96*VLOOKUP($R96,武学奇术!$A:$ZZ,31,FALSE)</f>
        <v>82384.4754716282</v>
      </c>
      <c r="L96" s="38">
        <f t="shared" si="23"/>
        <v>78461.4052110745</v>
      </c>
      <c r="M96" s="38">
        <f>((($AO96+$AP96)/2*$AI96+$AJ96)*(1+$AQ96)*(1+$AR96)+(($AT96+$AU96)/2*IF($G$1="鸣金",$AK96,$AI96)+IF($G$1="鸣金",$AL96*1.5,0))*(1+$AV96)*(1+$AW96)+(($AX96+$AY96)/2*IF($G$1="裂石",$AK96,$AI96)+IF($G$1="裂石",$AL96*1.5,0))*(1+$AZ96)*(1+$BA96)+(($BB96+$BC96)/2*IF($G$1="牵丝",$AK96,$AI96)+IF($G$1="牵丝",$AL96*1.5,0))*(1+$BD96)*(1+$BE96)+(($BF96+$BG96)/2*IF($G$1="破竹",$AK96,$AI96)+IF($G$1="破竹",$AL96*1.5,0))*(1+$BH96)*(1+$BI96))*(1+$AM96)*$BL96*$Q96*(1+IF(VLOOKUP($R96,武学奇术!$A:$ZZ,30,FALSE)="回旋伞",$B$21,0))*(1+$BR96)</f>
        <v>78461.4052110745</v>
      </c>
      <c r="N96" s="38">
        <f>(($AP96*$AI96+$AJ96)*(1+$AQ96)*(1+$AR96)+($AU96*IF($G$1="鸣金",$AK96,$AI96)+IF($G$1="鸣金",$AL96*1.5,0))*(1+$AV96)*(1+$AW96)+($AY96*IF($G$1="裂石",$AK96,$AI96)+IF($G$1="裂石",$AL96*1.5,0))*(1+$AZ96)*(1+$BA96)+($BC96*IF($G$1="牵丝",$AK96,$AI96)+IF($G$1="牵丝",$AL96*1.5,0))*(1+$BD96)*(1+$BE96)+($BG96*IF($G$1="破竹",$AK96,$AI96)+IF($G$1="破竹",$AL96*1.5,0))*(1+$BH96)*(1+$BI96))*(1+$AM96)*$BN96*$Q96*(1+IF(VLOOKUP($R96,武学奇术!$A:$ZZ,30,FALSE)="回旋伞",$B$21,0))*(1+$BR96)</f>
        <v>58430.2183742485</v>
      </c>
      <c r="O96" s="38">
        <f>((($AO96+$AP96)/2*$AI96+$AJ96)*(1+$AQ96)*(1+$AR96)+(($AT96+$AU96)/2*IF($G$1="鸣金",$AK96,$AI96)+IF($G$1="鸣金",$AL96*1.5,0))*(1+$AV96)*(1+$AW96)+(($AX96+$AY96)/2*IF($G$1="裂石",$AK96,$AI96)+IF($G$1="裂石",$AL96*1.5,0))*(1+$AZ96)*(1+$BA96)+(($BB96+$BC96)/2*IF($G$1="牵丝",$AK96,$AI96)+IF($G$1="牵丝",$AL96*1.5,0))*(1+$BD96)*(1+$BE96)+(($BF96+$BG96)/2*IF($G$1="破竹",$AK96,$AI96)+IF($G$1="破竹",$AL96*1.5,0))*(1+$BH96)*(1+$BI96))*(1+$AM96)*$Q96*(1+IF(VLOOKUP($R96,武学奇术!$A:$ZZ,30,FALSE)="回旋伞",$B$21,0))*(1+$BR96)</f>
        <v>38088.060782075</v>
      </c>
      <c r="P96" s="38">
        <f>((($AO96*$AI96+$AJ96)*(1+$AQ96)*(1+$AR96)+($AT96*IF($G$1="鸣金",$AK96,$AI96)+IF($G$1="鸣金",$AL96*1.5,0))*(1+$AV96)*(1+$AW96)+($AX96*IF($G$1="裂石",$AK96,$AI96)+IF($G$1="裂石",$AL96*1.5,0))*(1+$AZ96)*(1+$BA96)+($BB96*IF($G$1="牵丝",$AK96,$AI96)+IF($G$1="牵丝",$AL96*1.5,0))*(1+$BD96)*(1+$BE96)+($BF96*IF($G$1="破竹",$AK96,$AI96)+IF($G$1="破竹",$AL96*1.5,0))*(1+$BH96)*(1+$BI96))*(1+$AM96))*$Q96*(1+IF(VLOOKUP($R96,武学奇术!$A:$ZZ,30,FALSE)="回旋伞",$B$21,0))*(1+$BR96)</f>
        <v>32894.478323966</v>
      </c>
      <c r="Q96" s="39">
        <v>3</v>
      </c>
      <c r="R96" s="40" t="s">
        <v>132</v>
      </c>
      <c r="S96" s="40" t="s">
        <v>109</v>
      </c>
      <c r="T96" s="40" t="s">
        <v>95</v>
      </c>
      <c r="U96" s="40" t="s">
        <v>73</v>
      </c>
      <c r="V96" s="40" t="s">
        <v>81</v>
      </c>
      <c r="W96" s="40" t="s">
        <v>172</v>
      </c>
      <c r="X96" s="40" t="s">
        <v>99</v>
      </c>
      <c r="Y96" s="40" t="s">
        <v>72</v>
      </c>
      <c r="Z96" s="40" t="s">
        <v>72</v>
      </c>
      <c r="AA96" s="40" t="s">
        <v>72</v>
      </c>
      <c r="AB96" s="40" t="s">
        <v>126</v>
      </c>
      <c r="AC96" s="40" t="s">
        <v>72</v>
      </c>
      <c r="AD96" s="40" t="s">
        <v>72</v>
      </c>
      <c r="AE96" s="40" t="s">
        <v>72</v>
      </c>
      <c r="AF96" s="40" t="s">
        <v>72</v>
      </c>
      <c r="AG96" s="40" t="s">
        <v>78</v>
      </c>
      <c r="AH96" t="str">
        <f>VLOOKUP($R96,武学奇术!$A:$ZZ,25,FALSE)</f>
        <v>伞</v>
      </c>
      <c r="AI96" s="26">
        <f>VLOOKUP($R96,武学奇术!$A:$ZZ,26,FALSE)</f>
        <v>0.54</v>
      </c>
      <c r="AJ96" s="27">
        <f>VLOOKUP($R96,武学奇术!$A:$ZZ,27,FALSE)*(1+IF(OR($AH96=$F$4,$AH96=$F$5),$B$22,0))</f>
        <v>0</v>
      </c>
      <c r="AK96" s="26">
        <f>VLOOKUP($R96,武学奇术!$A:$ZZ,28,FALSE)</f>
        <v>0.81</v>
      </c>
      <c r="AL96" s="27">
        <f>VLOOKUP($R96,武学奇术!$A:$ZZ,29,FALSE)*(1+IF(OR($AH96=$F$4,$AH96=$F$5),$B$22,0))</f>
        <v>0</v>
      </c>
      <c r="AM96" s="26" cm="1">
        <f t="array" ref="AM96">$G$3+IFERROR(VLOOKUP($AH96,$F$4:$G$7,2,FALSE),0)+VLOOKUP($R96,武学奇术!$A:$ZZ,2,FALSE)+SUM(_xlfn.XLOOKUP($S96:$AG96,增益!$A:$A,增益!$B:$B,0))</f>
        <v>1.1741</v>
      </c>
      <c r="AN96" s="26" cm="1">
        <f t="array" ref="AN96">VLOOKUP($R96,武学奇术!$A:$ZZ,5,FALSE)+SUM(_xlfn.XLOOKUP($S96:$AG96,增益!$A:$A,增益!$E:$E,0))</f>
        <v>0</v>
      </c>
      <c r="AO96" cm="1">
        <f t="array" ref="AO96">$D$10*(1+$AN96)+VLOOKUP($R96,武学奇术!$A:$ZZ,3,FALSE)+SUM(_xlfn.XLOOKUP($S96:$AG96,增益!$A:$A,增益!$C:$C,0))-$I$2</f>
        <v>3562.6</v>
      </c>
      <c r="AP96" cm="1">
        <f t="array" ref="AP96">$E$10*(1+$AN96)+VLOOKUP($R96,武学奇术!$A:$ZZ,4,FALSE)+SUM(_xlfn.XLOOKUP($S96:$AG96,增益!$A:$A,增益!$D:$D,0))-$I$2</f>
        <v>3562.6</v>
      </c>
      <c r="AQ96" s="32" cm="1">
        <f t="array" ref="AQ96">IF($F$10-$I$3+VLOOKUP($R96,武学奇术!$A:$ZZ,6,FALSE)+SUM(_xlfn.XLOOKUP(S96:AG96,增益!$A:$A,增益!$F:$F,0))&gt;0,($F$10-$I$3+VLOOKUP($R96,武学奇术!$A:$ZZ,6,FALSE)+SUM(_xlfn.XLOOKUP(S96:AG96,增益!$A:$A,增益!$F:$F,0)))/200,($F$10-$I$3+VLOOKUP($R96,武学奇术!$A:$ZZ,6,FALSE)+SUM(_xlfn.XLOOKUP(S96:AG96,增益!$A:$A,增益!$F:$F,0)))/100)</f>
        <v>0.2925</v>
      </c>
      <c r="AR96" s="32" cm="1">
        <f t="array" ref="AR96">$G$10+VLOOKUP($R96,武学奇术!$A:$ZZ,7,FALSE)+SUM(_xlfn.XLOOKUP(S96:AG96,增益!$A:$A,增益!$G:$G,0))</f>
        <v>0.148</v>
      </c>
      <c r="AS96" s="26" cm="1">
        <f t="array" ref="AS96">VLOOKUP($R96,武学奇术!$A:$ZZ,8,FALSE)+SUM(_xlfn.XLOOKUP(S96:AG96,增益!$A:$A,增益!$H:$H,0))</f>
        <v>0</v>
      </c>
      <c r="AT96">
        <f t="shared" si="13"/>
        <v>0</v>
      </c>
      <c r="AU96">
        <f t="shared" si="14"/>
        <v>0</v>
      </c>
      <c r="AV96" s="32" cm="1">
        <f t="array" ref="AV96">IF($F$11-$I$4+VLOOKUP($R96,武学奇术!$A:$ZZ,9,FALSE)+SUM(_xlfn.XLOOKUP(S96:AG96,增益!$A:$A,增益!$I:$I,0))&gt;0,($F$11-$I$4+VLOOKUP($R96,武学奇术!$A:$ZZ,9,FALSE)+SUM(_xlfn.XLOOKUP(S96:AG96,增益!$A:$A,增益!$I:$I,0)))/200,($F$11-$I$4+VLOOKUP($R96,武学奇术!$A:$ZZ,9,FALSE)+SUM(_xlfn.XLOOKUP(S96:AG96,增益!$A:$A,增益!$I:$I,0)))/100)</f>
        <v>-0.3</v>
      </c>
      <c r="AW96" s="32" cm="1">
        <f t="array" ref="AW96">$G$11+VLOOKUP($R96,武学奇术!$A:$ZZ,10,FALSE)+SUM(_xlfn.XLOOKUP(S96:AG96,增益!$A:$A,增益!$J:$J,0))</f>
        <v>0</v>
      </c>
      <c r="AX96">
        <f t="shared" si="15"/>
        <v>0</v>
      </c>
      <c r="AY96">
        <f t="shared" si="16"/>
        <v>0</v>
      </c>
      <c r="AZ96" s="32" cm="1">
        <f t="array" ref="AZ96">IF($F$12-$I$4+VLOOKUP($R96,武学奇术!$A:$ZZ,11,FALSE)+SUM(_xlfn.XLOOKUP(S96:AG96,增益!$A:$A,增益!$K:$K,0))&gt;0,($F$12-$I$4+VLOOKUP($R96,武学奇术!$A:$ZZ,11,FALSE)+SUM(_xlfn.XLOOKUP(S96:AG96,增益!$A:$A,增益!$K:$K,0)))/200,($F$12-$I$4+VLOOKUP($R96,武学奇术!$A:$ZZ,11,FALSE)+SUM(_xlfn.XLOOKUP(S96:AG96,增益!$A:$A,增益!$K:$K,0)))/100)</f>
        <v>-0.3</v>
      </c>
      <c r="BA96" s="32" cm="1">
        <f t="array" ref="BA96">$G$12+VLOOKUP($R96,武学奇术!$A:$ZZ,12,FALSE)+SUM(_xlfn.XLOOKUP(S96:AG96,增益!$A:$A,增益!$L:$L,0))</f>
        <v>0</v>
      </c>
      <c r="BB96">
        <f t="shared" si="17"/>
        <v>0</v>
      </c>
      <c r="BC96">
        <f t="shared" si="18"/>
        <v>0</v>
      </c>
      <c r="BD96" s="32" cm="1">
        <f t="array" ref="BD96">IF($F$13-$I$4+VLOOKUP($R96,武学奇术!$A:$ZZ,13,FALSE)+SUM(_xlfn.XLOOKUP(S96:AG96,增益!$A:$A,增益!$M:$M,0))&gt;0,($F$13-$I$4+VLOOKUP($R96,武学奇术!$A:$ZZ,13,FALSE)+SUM(_xlfn.XLOOKUP(S96:AG96,增益!$A:$A,增益!$K:$K,0)))/200,($F$13-$I$4+VLOOKUP($R96,武学奇术!$A:$ZZ,13,FALSE)+SUM(_xlfn.XLOOKUP(S96:AG96,增益!$A:$A,增益!$M:$M,0)))/100)</f>
        <v>-0.3</v>
      </c>
      <c r="BE96" s="32" cm="1">
        <f t="array" ref="BE96">$G$13+VLOOKUP($R96,武学奇术!$A:$ZZ,14,FALSE)+SUM(_xlfn.XLOOKUP(S96:AG96,增益!$A:$A,增益!$N:$N,0))</f>
        <v>0</v>
      </c>
      <c r="BF96">
        <f t="shared" si="19"/>
        <v>571.2</v>
      </c>
      <c r="BG96">
        <f t="shared" si="20"/>
        <v>1627.8</v>
      </c>
      <c r="BH96" s="32" cm="1">
        <f t="array" ref="BH96">IF($F$14-$I$4+VLOOKUP($R96,武学奇术!$A:$ZZ,15,FALSE)+SUM(_xlfn.XLOOKUP(S96:AG96,增益!$A:$A,增益!$O:$O,0))&gt;0,($F$14-$I$4+VLOOKUP($R96,武学奇术!$A:$ZZ,15,FALSE)+SUM(_xlfn.XLOOKUP(S96:AG96,增益!$A:$A,增益!$O:$O,0)))/200,($F$14-$I$4+VLOOKUP($R96,武学奇术!$A:$ZZ,15,FALSE)+SUM(_xlfn.XLOOKUP(S96:AG96,增益!$A:$A,增益!$O:$O,0)))/100)</f>
        <v>0</v>
      </c>
      <c r="BI96" s="32" cm="1">
        <f t="array" ref="BI96">$G$14+VLOOKUP($R96,武学奇术!$A:$ZZ,16,FALSE)+SUM(_xlfn.XLOOKUP(S96:AG96,增益!$A:$A,增益!$P:$P,0))</f>
        <v>0.27</v>
      </c>
      <c r="BJ96" s="26">
        <f>MIN(IF(VLOOKUP($R96,武学奇术!$A:$ZZ,23,FALSE)=1,100%,$B$8),100%)</f>
        <v>1</v>
      </c>
      <c r="BK96" s="26" cm="1">
        <f t="array" ref="BK96">IF(VLOOKUP($R96,武学奇术!$A:$ZZ,23,FALSE)=1,100%,MIN(80%,$B$9+VLOOKUP($R96,武学奇术!$A:$ZZ,17,FALSE)+SUM(_xlfn.XLOOKUP(S96:AG96,增益!$A:$A,增益!$Q:$Q,0)))+$B$11+SUM(_xlfn.XLOOKUP(S96:AG96,增益!$A:$A,增益!$U:$U,0)))*IF(VLOOKUP($R96,武学奇术!$A:$ZZ,24,FALSE)=1,0,1)</f>
        <v>1</v>
      </c>
      <c r="BL96" s="26" cm="1">
        <f t="array" ref="BL96">1+$B$13+VLOOKUP($R96,武学奇术!$A:$ZZ,18,FALSE)+SUM(_xlfn.XLOOKUP(S96:AG96,增益!$A:$A,增益!$R:$R,0))</f>
        <v>2.06</v>
      </c>
      <c r="BM96" s="26" cm="1">
        <f t="array" ref="BM96">IF(VLOOKUP($R96,武学奇术!$A:$ZZ,24,FALSE)=1,100%,MIN(40%,$B$10+VLOOKUP($R96,武学奇术!$A:$ZZ,19,FALSE)+SUM(_xlfn.XLOOKUP(S96:AG96,增益!$A:$A,增益!$S:$S,0)))+$B$12+SUM(_xlfn.XLOOKUP(S96:AG96,增益!$A:$A,增益!$V:$V,0)))*IF(VLOOKUP($R96,武学奇术!$A:$ZZ,23,FALSE)=1,0,1)</f>
        <v>0</v>
      </c>
      <c r="BN96" s="26" cm="1">
        <f t="array" ref="BN96">1+$B$14+VLOOKUP($R96,武学奇术!$A:$ZZ,20,FALSE)+SUM(_xlfn.XLOOKUP(S96:AG96,增益!$A:$A,增益!$T:$T,0))</f>
        <v>1.35</v>
      </c>
      <c r="BO96" s="26">
        <f t="shared" si="21"/>
        <v>1</v>
      </c>
      <c r="BP96" s="26">
        <f t="shared" si="22"/>
        <v>0</v>
      </c>
      <c r="BQ96" s="26">
        <f>IF(VLOOKUP($R96,武学奇术!$A:$ZZ,22,FALSE)=1,0,(1-$BJ96))*(1-$BM96)</f>
        <v>0</v>
      </c>
      <c r="BR96" s="26" cm="1">
        <f t="array" ref="BR96">SUM(_xlfn.XLOOKUP(S96:AG96,增益!$A:$A,增益!$W:$W,0))+$I$5</f>
        <v>0.11</v>
      </c>
    </row>
    <row r="97" spans="11:70">
      <c r="K97">
        <f>$L97*VLOOKUP($R97,武学奇术!$A:$ZZ,31,FALSE)</f>
        <v>160128.898271454</v>
      </c>
      <c r="L97" s="38">
        <f t="shared" si="23"/>
        <v>152503.71263948</v>
      </c>
      <c r="M97" s="38">
        <f>((($AO97+$AP97)/2*$AI97+$AJ97)*(1+$AQ97)*(1+$AR97)+(($AT97+$AU97)/2*IF($G$1="鸣金",$AK97,$AI97)+IF($G$1="鸣金",$AL97*1.5,0))*(1+$AV97)*(1+$AW97)+(($AX97+$AY97)/2*IF($G$1="裂石",$AK97,$AI97)+IF($G$1="裂石",$AL97*1.5,0))*(1+$AZ97)*(1+$BA97)+(($BB97+$BC97)/2*IF($G$1="牵丝",$AK97,$AI97)+IF($G$1="牵丝",$AL97*1.5,0))*(1+$BD97)*(1+$BE97)+(($BF97+$BG97)/2*IF($G$1="破竹",$AK97,$AI97)+IF($G$1="破竹",$AL97*1.5,0))*(1+$BH97)*(1+$BI97))*(1+$AM97)*$BL97*$Q97*(1+IF(VLOOKUP($R97,武学奇术!$A:$ZZ,30,FALSE)="回旋伞",$B$21,0))*(1+$BR97)</f>
        <v>163185.390591597</v>
      </c>
      <c r="N97" s="38">
        <f>(($AP97*$AI97+$AJ97)*(1+$AQ97)*(1+$AR97)+($AU97*IF($G$1="鸣金",$AK97,$AI97)+IF($G$1="鸣金",$AL97*1.5,0))*(1+$AV97)*(1+$AW97)+($AY97*IF($G$1="裂石",$AK97,$AI97)+IF($G$1="裂石",$AL97*1.5,0))*(1+$AZ97)*(1+$BA97)+($BC97*IF($G$1="牵丝",$AK97,$AI97)+IF($G$1="牵丝",$AL97*1.5,0))*(1+$BD97)*(1+$BE97)+($BG97*IF($G$1="破竹",$AK97,$AI97)+IF($G$1="破竹",$AL97*1.5,0))*(1+$BH97)*(1+$BI97))*(1+$AM97)*$BN97*$Q97*(1+IF(VLOOKUP($R97,武学奇术!$A:$ZZ,30,FALSE)="回旋伞",$B$21,0))*(1+$BR97)</f>
        <v>119715.351206277</v>
      </c>
      <c r="O97" s="38">
        <f>((($AO97+$AP97)/2*$AI97+$AJ97)*(1+$AQ97)*(1+$AR97)+(($AT97+$AU97)/2*IF($G$1="鸣金",$AK97,$AI97)+IF($G$1="鸣金",$AL97*1.5,0))*(1+$AV97)*(1+$AW97)+(($AX97+$AY97)/2*IF($G$1="裂石",$AK97,$AI97)+IF($G$1="裂石",$AL97*1.5,0))*(1+$AZ97)*(1+$BA97)+(($BB97+$BC97)/2*IF($G$1="牵丝",$AK97,$AI97)+IF($G$1="牵丝",$AL97*1.5,0))*(1+$BD97)*(1+$BE97)+(($BF97+$BG97)/2*IF($G$1="破竹",$AK97,$AI97)+IF($G$1="破竹",$AL97*1.5,0))*(1+$BH97)*(1+$BI97))*(1+$AM97)*$Q97*(1+IF(VLOOKUP($R97,武学奇术!$A:$ZZ,30,FALSE)="回旋伞",$B$21,0))*(1+$BR97)</f>
        <v>79216.209025047</v>
      </c>
      <c r="P97" s="38">
        <f>((($AO97*$AI97+$AJ97)*(1+$AQ97)*(1+$AR97)+($AT97*IF($G$1="鸣金",$AK97,$AI97)+IF($G$1="鸣金",$AL97*1.5,0))*(1+$AV97)*(1+$AW97)+($AX97*IF($G$1="裂石",$AK97,$AI97)+IF($G$1="裂石",$AL97*1.5,0))*(1+$AZ97)*(1+$BA97)+($BB97*IF($G$1="牵丝",$AK97,$AI97)+IF($G$1="牵丝",$AL97*1.5,0))*(1+$BD97)*(1+$BE97)+($BF97*IF($G$1="破竹",$AK97,$AI97)+IF($G$1="破竹",$AL97*1.5,0))*(1+$BH97)*(1+$BI97))*(1+$AM97))*$Q97*(1+IF(VLOOKUP($R97,武学奇术!$A:$ZZ,30,FALSE)="回旋伞",$B$21,0))*(1+$BR97)</f>
        <v>69754.3801195181</v>
      </c>
      <c r="Q97" s="39">
        <v>2</v>
      </c>
      <c r="R97" s="40" t="s">
        <v>108</v>
      </c>
      <c r="S97" s="40" t="s">
        <v>109</v>
      </c>
      <c r="T97" s="40" t="s">
        <v>95</v>
      </c>
      <c r="U97" s="40" t="s">
        <v>73</v>
      </c>
      <c r="V97" s="40" t="s">
        <v>81</v>
      </c>
      <c r="W97" s="40" t="s">
        <v>172</v>
      </c>
      <c r="X97" s="40" t="s">
        <v>99</v>
      </c>
      <c r="Y97" s="40" t="s">
        <v>72</v>
      </c>
      <c r="Z97" s="40" t="s">
        <v>72</v>
      </c>
      <c r="AA97" s="40" t="s">
        <v>72</v>
      </c>
      <c r="AB97" s="40" t="s">
        <v>126</v>
      </c>
      <c r="AC97" s="40" t="s">
        <v>72</v>
      </c>
      <c r="AD97" s="40" t="s">
        <v>72</v>
      </c>
      <c r="AE97" s="40" t="s">
        <v>72</v>
      </c>
      <c r="AF97" s="40" t="s">
        <v>72</v>
      </c>
      <c r="AG97" s="40" t="s">
        <v>78</v>
      </c>
      <c r="AH97" t="str">
        <f>VLOOKUP($R97,武学奇术!$A:$ZZ,25,FALSE)</f>
        <v>伞</v>
      </c>
      <c r="AI97" s="26">
        <f>VLOOKUP($R97,武学奇术!$A:$ZZ,26,FALSE)</f>
        <v>1.8084</v>
      </c>
      <c r="AJ97" s="27">
        <f>VLOOKUP($R97,武学奇术!$A:$ZZ,27,FALSE)*(1+IF(OR($AH97=$F$4,$AH97=$F$5),$B$22,0))</f>
        <v>750</v>
      </c>
      <c r="AK97" s="26">
        <f>VLOOKUP($R97,武学奇术!$A:$ZZ,28,FALSE)</f>
        <v>2.7126</v>
      </c>
      <c r="AL97" s="27">
        <f>VLOOKUP($R97,武学奇术!$A:$ZZ,29,FALSE)*(1+IF(OR($AH97=$F$4,$AH97=$F$5),$B$22,0))</f>
        <v>408</v>
      </c>
      <c r="AM97" s="26" cm="1">
        <f t="array" ref="AM97">$G$3+IFERROR(VLOOKUP($AH97,$F$4:$G$7,2,FALSE),0)+VLOOKUP($R97,武学奇术!$A:$ZZ,2,FALSE)+SUM(_xlfn.XLOOKUP($S97:$AG97,增益!$A:$A,增益!$B:$B,0))</f>
        <v>0.7741</v>
      </c>
      <c r="AN97" s="26" cm="1">
        <f t="array" ref="AN97">VLOOKUP($R97,武学奇术!$A:$ZZ,5,FALSE)+SUM(_xlfn.XLOOKUP($S97:$AG97,增益!$A:$A,增益!$E:$E,0))</f>
        <v>0</v>
      </c>
      <c r="AO97" cm="1">
        <f t="array" ref="AO97">$D$10*(1+$AN97)+VLOOKUP($R97,武学奇术!$A:$ZZ,3,FALSE)+SUM(_xlfn.XLOOKUP($S97:$AG97,增益!$A:$A,增益!$C:$C,0))-$I$2</f>
        <v>3562.6</v>
      </c>
      <c r="AP97" cm="1">
        <f t="array" ref="AP97">$E$10*(1+$AN97)+VLOOKUP($R97,武学奇术!$A:$ZZ,4,FALSE)+SUM(_xlfn.XLOOKUP($S97:$AG97,增益!$A:$A,增益!$D:$D,0))-$I$2</f>
        <v>3562.6</v>
      </c>
      <c r="AQ97" s="32" cm="1">
        <f t="array" ref="AQ97">IF($F$10-$I$3+VLOOKUP($R97,武学奇术!$A:$ZZ,6,FALSE)+SUM(_xlfn.XLOOKUP(S97:AG97,增益!$A:$A,增益!$F:$F,0))&gt;0,($F$10-$I$3+VLOOKUP($R97,武学奇术!$A:$ZZ,6,FALSE)+SUM(_xlfn.XLOOKUP(S97:AG97,增益!$A:$A,增益!$F:$F,0)))/200,($F$10-$I$3+VLOOKUP($R97,武学奇术!$A:$ZZ,6,FALSE)+SUM(_xlfn.XLOOKUP(S97:AG97,增益!$A:$A,增益!$F:$F,0)))/100)</f>
        <v>0.2925</v>
      </c>
      <c r="AR97" s="32" cm="1">
        <f t="array" ref="AR97">$G$10+VLOOKUP($R97,武学奇术!$A:$ZZ,7,FALSE)+SUM(_xlfn.XLOOKUP(S97:AG97,增益!$A:$A,增益!$G:$G,0))</f>
        <v>0.148</v>
      </c>
      <c r="AS97" s="26" cm="1">
        <f t="array" ref="AS97">VLOOKUP($R97,武学奇术!$A:$ZZ,8,FALSE)+SUM(_xlfn.XLOOKUP(S97:AG97,增益!$A:$A,增益!$H:$H,0))</f>
        <v>0</v>
      </c>
      <c r="AT97">
        <f t="shared" si="13"/>
        <v>0</v>
      </c>
      <c r="AU97">
        <f t="shared" si="14"/>
        <v>0</v>
      </c>
      <c r="AV97" s="32" cm="1">
        <f t="array" ref="AV97">IF($F$11-$I$4+VLOOKUP($R97,武学奇术!$A:$ZZ,9,FALSE)+SUM(_xlfn.XLOOKUP(S97:AG97,增益!$A:$A,增益!$I:$I,0))&gt;0,($F$11-$I$4+VLOOKUP($R97,武学奇术!$A:$ZZ,9,FALSE)+SUM(_xlfn.XLOOKUP(S97:AG97,增益!$A:$A,增益!$I:$I,0)))/200,($F$11-$I$4+VLOOKUP($R97,武学奇术!$A:$ZZ,9,FALSE)+SUM(_xlfn.XLOOKUP(S97:AG97,增益!$A:$A,增益!$I:$I,0)))/100)</f>
        <v>-0.3</v>
      </c>
      <c r="AW97" s="32" cm="1">
        <f t="array" ref="AW97">$G$11+VLOOKUP($R97,武学奇术!$A:$ZZ,10,FALSE)+SUM(_xlfn.XLOOKUP(S97:AG97,增益!$A:$A,增益!$J:$J,0))</f>
        <v>0</v>
      </c>
      <c r="AX97">
        <f t="shared" si="15"/>
        <v>0</v>
      </c>
      <c r="AY97">
        <f t="shared" si="16"/>
        <v>0</v>
      </c>
      <c r="AZ97" s="32" cm="1">
        <f t="array" ref="AZ97">IF($F$12-$I$4+VLOOKUP($R97,武学奇术!$A:$ZZ,11,FALSE)+SUM(_xlfn.XLOOKUP(S97:AG97,增益!$A:$A,增益!$K:$K,0))&gt;0,($F$12-$I$4+VLOOKUP($R97,武学奇术!$A:$ZZ,11,FALSE)+SUM(_xlfn.XLOOKUP(S97:AG97,增益!$A:$A,增益!$K:$K,0)))/200,($F$12-$I$4+VLOOKUP($R97,武学奇术!$A:$ZZ,11,FALSE)+SUM(_xlfn.XLOOKUP(S97:AG97,增益!$A:$A,增益!$K:$K,0)))/100)</f>
        <v>-0.3</v>
      </c>
      <c r="BA97" s="32" cm="1">
        <f t="array" ref="BA97">$G$12+VLOOKUP($R97,武学奇术!$A:$ZZ,12,FALSE)+SUM(_xlfn.XLOOKUP(S97:AG97,增益!$A:$A,增益!$L:$L,0))</f>
        <v>0</v>
      </c>
      <c r="BB97">
        <f t="shared" si="17"/>
        <v>0</v>
      </c>
      <c r="BC97">
        <f t="shared" si="18"/>
        <v>0</v>
      </c>
      <c r="BD97" s="32" cm="1">
        <f t="array" ref="BD97">IF($F$13-$I$4+VLOOKUP($R97,武学奇术!$A:$ZZ,13,FALSE)+SUM(_xlfn.XLOOKUP(S97:AG97,增益!$A:$A,增益!$M:$M,0))&gt;0,($F$13-$I$4+VLOOKUP($R97,武学奇术!$A:$ZZ,13,FALSE)+SUM(_xlfn.XLOOKUP(S97:AG97,增益!$A:$A,增益!$K:$K,0)))/200,($F$13-$I$4+VLOOKUP($R97,武学奇术!$A:$ZZ,13,FALSE)+SUM(_xlfn.XLOOKUP(S97:AG97,增益!$A:$A,增益!$M:$M,0)))/100)</f>
        <v>-0.3</v>
      </c>
      <c r="BE97" s="32" cm="1">
        <f t="array" ref="BE97">$G$13+VLOOKUP($R97,武学奇术!$A:$ZZ,14,FALSE)+SUM(_xlfn.XLOOKUP(S97:AG97,增益!$A:$A,增益!$N:$N,0))</f>
        <v>0</v>
      </c>
      <c r="BF97">
        <f t="shared" si="19"/>
        <v>571.2</v>
      </c>
      <c r="BG97">
        <f t="shared" si="20"/>
        <v>1627.8</v>
      </c>
      <c r="BH97" s="32" cm="1">
        <f t="array" ref="BH97">IF($F$14-$I$4+VLOOKUP($R97,武学奇术!$A:$ZZ,15,FALSE)+SUM(_xlfn.XLOOKUP(S97:AG97,增益!$A:$A,增益!$O:$O,0))&gt;0,($F$14-$I$4+VLOOKUP($R97,武学奇术!$A:$ZZ,15,FALSE)+SUM(_xlfn.XLOOKUP(S97:AG97,增益!$A:$A,增益!$O:$O,0)))/200,($F$14-$I$4+VLOOKUP($R97,武学奇术!$A:$ZZ,15,FALSE)+SUM(_xlfn.XLOOKUP(S97:AG97,增益!$A:$A,增益!$O:$O,0)))/100)</f>
        <v>0</v>
      </c>
      <c r="BI97" s="32" cm="1">
        <f t="array" ref="BI97">$G$14+VLOOKUP($R97,武学奇术!$A:$ZZ,16,FALSE)+SUM(_xlfn.XLOOKUP(S97:AG97,增益!$A:$A,增益!$P:$P,0))</f>
        <v>0.27</v>
      </c>
      <c r="BJ97" s="26">
        <f>MIN(IF(VLOOKUP($R97,武学奇术!$A:$ZZ,23,FALSE)=1,100%,$B$8),100%)</f>
        <v>0.981</v>
      </c>
      <c r="BK97" s="26" cm="1">
        <f t="array" ref="BK97">IF(VLOOKUP($R97,武学奇术!$A:$ZZ,23,FALSE)=1,100%,MIN(80%,$B$9+VLOOKUP($R97,武学奇术!$A:$ZZ,17,FALSE)+SUM(_xlfn.XLOOKUP(S97:AG97,增益!$A:$A,增益!$Q:$Q,0)))+$B$11+SUM(_xlfn.XLOOKUP(S97:AG97,增益!$A:$A,增益!$U:$U,0)))*IF(VLOOKUP($R97,武学奇术!$A:$ZZ,24,FALSE)=1,0,1)</f>
        <v>0.846</v>
      </c>
      <c r="BL97" s="26" cm="1">
        <f t="array" ref="BL97">1+$B$13+VLOOKUP($R97,武学奇术!$A:$ZZ,18,FALSE)+SUM(_xlfn.XLOOKUP(S97:AG97,增益!$A:$A,增益!$R:$R,0))</f>
        <v>2.06</v>
      </c>
      <c r="BM97" s="26" cm="1">
        <f t="array" ref="BM97">IF(VLOOKUP($R97,武学奇术!$A:$ZZ,24,FALSE)=1,100%,MIN(40%,$B$10+VLOOKUP($R97,武学奇术!$A:$ZZ,19,FALSE)+SUM(_xlfn.XLOOKUP(S97:AG97,增益!$A:$A,增益!$S:$S,0)))+$B$12+SUM(_xlfn.XLOOKUP(S97:AG97,增益!$A:$A,增益!$V:$V,0)))*IF(VLOOKUP($R97,武学奇术!$A:$ZZ,23,FALSE)=1,0,1)</f>
        <v>0.0929</v>
      </c>
      <c r="BN97" s="26" cm="1">
        <f t="array" ref="BN97">1+$B$14+VLOOKUP($R97,武学奇术!$A:$ZZ,20,FALSE)+SUM(_xlfn.XLOOKUP(S97:AG97,增益!$A:$A,增益!$T:$T,0))</f>
        <v>1.35</v>
      </c>
      <c r="BO97" s="26">
        <f t="shared" si="21"/>
        <v>0.829926</v>
      </c>
      <c r="BP97" s="26">
        <f t="shared" si="22"/>
        <v>0.0599391</v>
      </c>
      <c r="BQ97" s="26">
        <f>IF(VLOOKUP($R97,武学奇术!$A:$ZZ,22,FALSE)=1,0,(1-$BJ97))*(1-$BM97)</f>
        <v>0.0172349</v>
      </c>
      <c r="BR97" s="26" cm="1">
        <f t="array" ref="BR97">SUM(_xlfn.XLOOKUP(S97:AG97,增益!$A:$A,增益!$W:$W,0))+$I$5</f>
        <v>0.11</v>
      </c>
    </row>
    <row r="98" spans="11:70">
      <c r="K98">
        <f>$L98*VLOOKUP($R98,武学奇术!$A:$ZZ,31,FALSE)</f>
        <v>93300.8224215906</v>
      </c>
      <c r="L98" s="38">
        <f t="shared" si="23"/>
        <v>88857.9261158005</v>
      </c>
      <c r="M98" s="38">
        <f>((($AO98+$AP98)/2*$AI98+$AJ98)*(1+$AQ98)*(1+$AR98)+(($AT98+$AU98)/2*IF($G$1="鸣金",$AK98,$AI98)+IF($G$1="鸣金",$AL98*1.5,0))*(1+$AV98)*(1+$AW98)+(($AX98+$AY98)/2*IF($G$1="裂石",$AK98,$AI98)+IF($G$1="裂石",$AL98*1.5,0))*(1+$AZ98)*(1+$BA98)+(($BB98+$BC98)/2*IF($G$1="牵丝",$AK98,$AI98)+IF($G$1="牵丝",$AL98*1.5,0))*(1+$BD98)*(1+$BE98)+(($BF98+$BG98)/2*IF($G$1="破竹",$AK98,$AI98)+IF($G$1="破竹",$AL98*1.5,0))*(1+$BH98)*(1+$BI98))*(1+$AM98)*$BL98*$Q98*(1+IF(VLOOKUP($R98,武学奇术!$A:$ZZ,30,FALSE)="回旋伞",$B$21,0))*(1+$BR98)</f>
        <v>94991.4355532142</v>
      </c>
      <c r="N98" s="38">
        <f>(($AP98*$AI98+$AJ98)*(1+$AQ98)*(1+$AR98)+($AU98*IF($G$1="鸣金",$AK98,$AI98)+IF($G$1="鸣金",$AL98*1.5,0))*(1+$AV98)*(1+$AW98)+($AY98*IF($G$1="裂石",$AK98,$AI98)+IF($G$1="裂石",$AL98*1.5,0))*(1+$AZ98)*(1+$BA98)+($BC98*IF($G$1="牵丝",$AK98,$AI98)+IF($G$1="牵丝",$AL98*1.5,0))*(1+$BD98)*(1+$BE98)+($BG98*IF($G$1="破竹",$AK98,$AI98)+IF($G$1="破竹",$AL98*1.5,0))*(1+$BH98)*(1+$BI98))*(1+$AM98)*$BN98*$Q98*(1+IF(VLOOKUP($R98,武学奇术!$A:$ZZ,30,FALSE)="回旋伞",$B$21,0))*(1+$BR98)</f>
        <v>70740.1340586014</v>
      </c>
      <c r="O98" s="38">
        <f>((($AO98+$AP98)/2*$AI98+$AJ98)*(1+$AQ98)*(1+$AR98)+(($AT98+$AU98)/2*IF($G$1="鸣金",$AK98,$AI98)+IF($G$1="鸣金",$AL98*1.5,0))*(1+$AV98)*(1+$AW98)+(($AX98+$AY98)/2*IF($G$1="裂石",$AK98,$AI98)+IF($G$1="裂石",$AL98*1.5,0))*(1+$AZ98)*(1+$BA98)+(($BB98+$BC98)/2*IF($G$1="牵丝",$AK98,$AI98)+IF($G$1="牵丝",$AL98*1.5,0))*(1+$BD98)*(1+$BE98)+(($BF98+$BG98)/2*IF($G$1="破竹",$AK98,$AI98)+IF($G$1="破竹",$AL98*1.5,0))*(1+$BH98)*(1+$BI98))*(1+$AM98)*$Q98*(1+IF(VLOOKUP($R98,武学奇术!$A:$ZZ,30,FALSE)="回旋伞",$B$21,0))*(1+$BR98)</f>
        <v>46112.3473559292</v>
      </c>
      <c r="P98" s="38">
        <f>((($AO98*$AI98+$AJ98)*(1+$AQ98)*(1+$AR98)+($AT98*IF($G$1="鸣金",$AK98,$AI98)+IF($G$1="鸣金",$AL98*1.5,0))*(1+$AV98)*(1+$AW98)+($AX98*IF($G$1="裂石",$AK98,$AI98)+IF($G$1="裂石",$AL98*1.5,0))*(1+$AZ98)*(1+$BA98)+($BB98*IF($G$1="牵丝",$AK98,$AI98)+IF($G$1="牵丝",$AL98*1.5,0))*(1+$BD98)*(1+$BE98)+($BF98*IF($G$1="破竹",$AK98,$AI98)+IF($G$1="破竹",$AL98*1.5,0))*(1+$BH98)*(1+$BI98))*(1+$AM98))*$Q98*(1+IF(VLOOKUP($R98,武学奇术!$A:$ZZ,30,FALSE)="回旋伞",$B$21,0))*(1+$BR98)</f>
        <v>39824.5954091907</v>
      </c>
      <c r="Q98" s="39">
        <v>4</v>
      </c>
      <c r="R98" s="40" t="s">
        <v>112</v>
      </c>
      <c r="S98" s="40" t="s">
        <v>109</v>
      </c>
      <c r="T98" s="40" t="s">
        <v>95</v>
      </c>
      <c r="U98" s="40" t="s">
        <v>73</v>
      </c>
      <c r="V98" s="40" t="s">
        <v>81</v>
      </c>
      <c r="W98" s="40" t="s">
        <v>172</v>
      </c>
      <c r="X98" s="40" t="s">
        <v>99</v>
      </c>
      <c r="Y98" s="40" t="s">
        <v>72</v>
      </c>
      <c r="Z98" s="40" t="s">
        <v>72</v>
      </c>
      <c r="AA98" s="40" t="s">
        <v>72</v>
      </c>
      <c r="AB98" s="40" t="s">
        <v>126</v>
      </c>
      <c r="AC98" s="40" t="s">
        <v>72</v>
      </c>
      <c r="AD98" s="40" t="s">
        <v>72</v>
      </c>
      <c r="AE98" s="40" t="s">
        <v>72</v>
      </c>
      <c r="AF98" s="40" t="s">
        <v>72</v>
      </c>
      <c r="AG98" s="40" t="s">
        <v>78</v>
      </c>
      <c r="AH98" t="str">
        <f>VLOOKUP($R98,武学奇术!$A:$ZZ,25,FALSE)</f>
        <v>伞</v>
      </c>
      <c r="AI98" s="26">
        <f>VLOOKUP($R98,武学奇术!$A:$ZZ,26,FALSE)</f>
        <v>0.54</v>
      </c>
      <c r="AJ98" s="27">
        <f>VLOOKUP($R98,武学奇术!$A:$ZZ,27,FALSE)*(1+IF(OR($AH98=$F$4,$AH98=$F$5),$B$22,0))</f>
        <v>0</v>
      </c>
      <c r="AK98" s="26">
        <f>VLOOKUP($R98,武学奇术!$A:$ZZ,28,FALSE)</f>
        <v>0.81</v>
      </c>
      <c r="AL98" s="27">
        <f>VLOOKUP($R98,武学奇术!$A:$ZZ,29,FALSE)*(1+IF(OR($AH98=$F$4,$AH98=$F$5),$B$22,0))</f>
        <v>0</v>
      </c>
      <c r="AM98" s="26" cm="1">
        <f t="array" ref="AM98">$G$3+IFERROR(VLOOKUP($AH98,$F$4:$G$7,2,FALSE),0)+VLOOKUP($R98,武学奇术!$A:$ZZ,2,FALSE)+SUM(_xlfn.XLOOKUP($S98:$AG98,增益!$A:$A,增益!$B:$B,0))</f>
        <v>0.9741</v>
      </c>
      <c r="AN98" s="26" cm="1">
        <f t="array" ref="AN98">VLOOKUP($R98,武学奇术!$A:$ZZ,5,FALSE)+SUM(_xlfn.XLOOKUP($S98:$AG98,增益!$A:$A,增益!$E:$E,0))</f>
        <v>0</v>
      </c>
      <c r="AO98" cm="1">
        <f t="array" ref="AO98">$D$10*(1+$AN98)+VLOOKUP($R98,武学奇术!$A:$ZZ,3,FALSE)+SUM(_xlfn.XLOOKUP($S98:$AG98,增益!$A:$A,增益!$C:$C,0))-$I$2</f>
        <v>3562.6</v>
      </c>
      <c r="AP98" cm="1">
        <f t="array" ref="AP98">$E$10*(1+$AN98)+VLOOKUP($R98,武学奇术!$A:$ZZ,4,FALSE)+SUM(_xlfn.XLOOKUP($S98:$AG98,增益!$A:$A,增益!$D:$D,0))-$I$2</f>
        <v>3562.6</v>
      </c>
      <c r="AQ98" s="32" cm="1">
        <f t="array" ref="AQ98">IF($F$10-$I$3+VLOOKUP($R98,武学奇术!$A:$ZZ,6,FALSE)+SUM(_xlfn.XLOOKUP(S98:AG98,增益!$A:$A,增益!$F:$F,0))&gt;0,($F$10-$I$3+VLOOKUP($R98,武学奇术!$A:$ZZ,6,FALSE)+SUM(_xlfn.XLOOKUP(S98:AG98,增益!$A:$A,增益!$F:$F,0)))/200,($F$10-$I$3+VLOOKUP($R98,武学奇术!$A:$ZZ,6,FALSE)+SUM(_xlfn.XLOOKUP(S98:AG98,增益!$A:$A,增益!$F:$F,0)))/100)</f>
        <v>0.2925</v>
      </c>
      <c r="AR98" s="32" cm="1">
        <f t="array" ref="AR98">$G$10+VLOOKUP($R98,武学奇术!$A:$ZZ,7,FALSE)+SUM(_xlfn.XLOOKUP(S98:AG98,增益!$A:$A,增益!$G:$G,0))</f>
        <v>0.148</v>
      </c>
      <c r="AS98" s="26" cm="1">
        <f t="array" ref="AS98">VLOOKUP($R98,武学奇术!$A:$ZZ,8,FALSE)+SUM(_xlfn.XLOOKUP(S98:AG98,增益!$A:$A,增益!$H:$H,0))</f>
        <v>0</v>
      </c>
      <c r="AT98">
        <f t="shared" si="13"/>
        <v>0</v>
      </c>
      <c r="AU98">
        <f t="shared" si="14"/>
        <v>0</v>
      </c>
      <c r="AV98" s="32" cm="1">
        <f t="array" ref="AV98">IF($F$11-$I$4+VLOOKUP($R98,武学奇术!$A:$ZZ,9,FALSE)+SUM(_xlfn.XLOOKUP(S98:AG98,增益!$A:$A,增益!$I:$I,0))&gt;0,($F$11-$I$4+VLOOKUP($R98,武学奇术!$A:$ZZ,9,FALSE)+SUM(_xlfn.XLOOKUP(S98:AG98,增益!$A:$A,增益!$I:$I,0)))/200,($F$11-$I$4+VLOOKUP($R98,武学奇术!$A:$ZZ,9,FALSE)+SUM(_xlfn.XLOOKUP(S98:AG98,增益!$A:$A,增益!$I:$I,0)))/100)</f>
        <v>-0.3</v>
      </c>
      <c r="AW98" s="32" cm="1">
        <f t="array" ref="AW98">$G$11+VLOOKUP($R98,武学奇术!$A:$ZZ,10,FALSE)+SUM(_xlfn.XLOOKUP(S98:AG98,增益!$A:$A,增益!$J:$J,0))</f>
        <v>0</v>
      </c>
      <c r="AX98">
        <f t="shared" si="15"/>
        <v>0</v>
      </c>
      <c r="AY98">
        <f t="shared" si="16"/>
        <v>0</v>
      </c>
      <c r="AZ98" s="32" cm="1">
        <f t="array" ref="AZ98">IF($F$12-$I$4+VLOOKUP($R98,武学奇术!$A:$ZZ,11,FALSE)+SUM(_xlfn.XLOOKUP(S98:AG98,增益!$A:$A,增益!$K:$K,0))&gt;0,($F$12-$I$4+VLOOKUP($R98,武学奇术!$A:$ZZ,11,FALSE)+SUM(_xlfn.XLOOKUP(S98:AG98,增益!$A:$A,增益!$K:$K,0)))/200,($F$12-$I$4+VLOOKUP($R98,武学奇术!$A:$ZZ,11,FALSE)+SUM(_xlfn.XLOOKUP(S98:AG98,增益!$A:$A,增益!$K:$K,0)))/100)</f>
        <v>-0.3</v>
      </c>
      <c r="BA98" s="32" cm="1">
        <f t="array" ref="BA98">$G$12+VLOOKUP($R98,武学奇术!$A:$ZZ,12,FALSE)+SUM(_xlfn.XLOOKUP(S98:AG98,增益!$A:$A,增益!$L:$L,0))</f>
        <v>0</v>
      </c>
      <c r="BB98">
        <f t="shared" si="17"/>
        <v>0</v>
      </c>
      <c r="BC98">
        <f t="shared" si="18"/>
        <v>0</v>
      </c>
      <c r="BD98" s="32" cm="1">
        <f t="array" ref="BD98">IF($F$13-$I$4+VLOOKUP($R98,武学奇术!$A:$ZZ,13,FALSE)+SUM(_xlfn.XLOOKUP(S98:AG98,增益!$A:$A,增益!$M:$M,0))&gt;0,($F$13-$I$4+VLOOKUP($R98,武学奇术!$A:$ZZ,13,FALSE)+SUM(_xlfn.XLOOKUP(S98:AG98,增益!$A:$A,增益!$K:$K,0)))/200,($F$13-$I$4+VLOOKUP($R98,武学奇术!$A:$ZZ,13,FALSE)+SUM(_xlfn.XLOOKUP(S98:AG98,增益!$A:$A,增益!$M:$M,0)))/100)</f>
        <v>-0.3</v>
      </c>
      <c r="BE98" s="32" cm="1">
        <f t="array" ref="BE98">$G$13+VLOOKUP($R98,武学奇术!$A:$ZZ,14,FALSE)+SUM(_xlfn.XLOOKUP(S98:AG98,增益!$A:$A,增益!$N:$N,0))</f>
        <v>0</v>
      </c>
      <c r="BF98">
        <f t="shared" si="19"/>
        <v>571.2</v>
      </c>
      <c r="BG98">
        <f t="shared" si="20"/>
        <v>1627.8</v>
      </c>
      <c r="BH98" s="32" cm="1">
        <f t="array" ref="BH98">IF($F$14-$I$4+VLOOKUP($R98,武学奇术!$A:$ZZ,15,FALSE)+SUM(_xlfn.XLOOKUP(S98:AG98,增益!$A:$A,增益!$O:$O,0))&gt;0,($F$14-$I$4+VLOOKUP($R98,武学奇术!$A:$ZZ,15,FALSE)+SUM(_xlfn.XLOOKUP(S98:AG98,增益!$A:$A,增益!$O:$O,0)))/200,($F$14-$I$4+VLOOKUP($R98,武学奇术!$A:$ZZ,15,FALSE)+SUM(_xlfn.XLOOKUP(S98:AG98,增益!$A:$A,增益!$O:$O,0)))/100)</f>
        <v>0</v>
      </c>
      <c r="BI98" s="32" cm="1">
        <f t="array" ref="BI98">$G$14+VLOOKUP($R98,武学奇术!$A:$ZZ,16,FALSE)+SUM(_xlfn.XLOOKUP(S98:AG98,增益!$A:$A,增益!$P:$P,0))</f>
        <v>0.27</v>
      </c>
      <c r="BJ98" s="26">
        <f>MIN(IF(VLOOKUP($R98,武学奇术!$A:$ZZ,23,FALSE)=1,100%,$B$8),100%)</f>
        <v>0.981</v>
      </c>
      <c r="BK98" s="26" cm="1">
        <f t="array" ref="BK98">IF(VLOOKUP($R98,武学奇术!$A:$ZZ,23,FALSE)=1,100%,MIN(80%,$B$9+VLOOKUP($R98,武学奇术!$A:$ZZ,17,FALSE)+SUM(_xlfn.XLOOKUP(S98:AG98,增益!$A:$A,增益!$Q:$Q,0)))+$B$11+SUM(_xlfn.XLOOKUP(S98:AG98,增益!$A:$A,增益!$U:$U,0)))*IF(VLOOKUP($R98,武学奇术!$A:$ZZ,24,FALSE)=1,0,1)</f>
        <v>0.846</v>
      </c>
      <c r="BL98" s="26" cm="1">
        <f t="array" ref="BL98">1+$B$13+VLOOKUP($R98,武学奇术!$A:$ZZ,18,FALSE)+SUM(_xlfn.XLOOKUP(S98:AG98,增益!$A:$A,增益!$R:$R,0))</f>
        <v>2.06</v>
      </c>
      <c r="BM98" s="26" cm="1">
        <f t="array" ref="BM98">IF(VLOOKUP($R98,武学奇术!$A:$ZZ,24,FALSE)=1,100%,MIN(40%,$B$10+VLOOKUP($R98,武学奇术!$A:$ZZ,19,FALSE)+SUM(_xlfn.XLOOKUP(S98:AG98,增益!$A:$A,增益!$S:$S,0)))+$B$12+SUM(_xlfn.XLOOKUP(S98:AG98,增益!$A:$A,增益!$V:$V,0)))*IF(VLOOKUP($R98,武学奇术!$A:$ZZ,23,FALSE)=1,0,1)</f>
        <v>0.0929</v>
      </c>
      <c r="BN98" s="26" cm="1">
        <f t="array" ref="BN98">1+$B$14+VLOOKUP($R98,武学奇术!$A:$ZZ,20,FALSE)+SUM(_xlfn.XLOOKUP(S98:AG98,增益!$A:$A,增益!$T:$T,0))</f>
        <v>1.35</v>
      </c>
      <c r="BO98" s="26">
        <f t="shared" si="21"/>
        <v>0.829926</v>
      </c>
      <c r="BP98" s="26">
        <f t="shared" si="22"/>
        <v>0.0599391</v>
      </c>
      <c r="BQ98" s="26">
        <f>IF(VLOOKUP($R98,武学奇术!$A:$ZZ,22,FALSE)=1,0,(1-$BJ98))*(1-$BM98)</f>
        <v>0.0172349</v>
      </c>
      <c r="BR98" s="26" cm="1">
        <f t="array" ref="BR98">SUM(_xlfn.XLOOKUP(S98:AG98,增益!$A:$A,增益!$W:$W,0))+$I$5</f>
        <v>0.11</v>
      </c>
    </row>
    <row r="99" spans="11:70">
      <c r="K99">
        <f>$L99*VLOOKUP($R99,武学奇术!$A:$ZZ,31,FALSE)</f>
        <v>123750.583332029</v>
      </c>
      <c r="L99" s="38">
        <f t="shared" si="23"/>
        <v>117857.698411456</v>
      </c>
      <c r="M99" s="38">
        <f>((($AO99+$AP99)/2*$AI99+$AJ99)*(1+$AQ99)*(1+$AR99)+(($AT99+$AU99)/2*IF($G$1="鸣金",$AK99,$AI99)+IF($G$1="鸣金",$AL99*1.5,0))*(1+$AV99)*(1+$AW99)+(($AX99+$AY99)/2*IF($G$1="裂石",$AK99,$AI99)+IF($G$1="裂石",$AL99*1.5,0))*(1+$AZ99)*(1+$BA99)+(($BB99+$BC99)/2*IF($G$1="牵丝",$AK99,$AI99)+IF($G$1="牵丝",$AL99*1.5,0))*(1+$BD99)*(1+$BE99)+(($BF99+$BG99)/2*IF($G$1="破竹",$AK99,$AI99)+IF($G$1="破竹",$AL99*1.5,0))*(1+$BH99)*(1+$BI99))*(1+$AM99)*$BL99*$Q99*(1+IF(VLOOKUP($R99,武学奇术!$A:$ZZ,30,FALSE)="回旋伞",$B$21,0))*(1+$BR99)</f>
        <v>124916.851256081</v>
      </c>
      <c r="N99" s="38">
        <f>(($AP99*$AI99+$AJ99)*(1+$AQ99)*(1+$AR99)+($AU99*IF($G$1="鸣金",$AK99,$AI99)+IF($G$1="鸣金",$AL99*1.5,0))*(1+$AV99)*(1+$AW99)+($AY99*IF($G$1="裂石",$AK99,$AI99)+IF($G$1="裂石",$AL99*1.5,0))*(1+$AZ99)*(1+$BA99)+($BC99*IF($G$1="牵丝",$AK99,$AI99)+IF($G$1="牵丝",$AL99*1.5,0))*(1+$BD99)*(1+$BE99)+($BG99*IF($G$1="破竹",$AK99,$AI99)+IF($G$1="破竹",$AL99*1.5,0))*(1+$BH99)*(1+$BI99))*(1+$AM99)*$BN99*$Q99*(1+IF(VLOOKUP($R99,武学奇术!$A:$ZZ,30,FALSE)="回旋伞",$B$21,0))*(1+$BR99)</f>
        <v>99976.6886382989</v>
      </c>
      <c r="O99" s="38">
        <f>((($AO99+$AP99)/2*$AI99+$AJ99)*(1+$AQ99)*(1+$AR99)+(($AT99+$AU99)/2*IF($G$1="鸣金",$AK99,$AI99)+IF($G$1="鸣金",$AL99*1.5,0))*(1+$AV99)*(1+$AW99)+(($AX99+$AY99)/2*IF($G$1="裂石",$AK99,$AI99)+IF($G$1="裂石",$AL99*1.5,0))*(1+$AZ99)*(1+$BA99)+(($BB99+$BC99)/2*IF($G$1="牵丝",$AK99,$AI99)+IF($G$1="牵丝",$AL99*1.5,0))*(1+$BD99)*(1+$BE99)+(($BF99+$BG99)/2*IF($G$1="破竹",$AK99,$AI99)+IF($G$1="破竹",$AL99*1.5,0))*(1+$BH99)*(1+$BI99))*(1+$AM99)*$Q99*(1+IF(VLOOKUP($R99,武学奇术!$A:$ZZ,30,FALSE)="回旋伞",$B$21,0))*(1+$BR99)</f>
        <v>65401.492804231</v>
      </c>
      <c r="P99" s="38">
        <f>((($AO99*$AI99+$AJ99)*(1+$AQ99)*(1+$AR99)+($AT99*IF($G$1="鸣金",$AK99,$AI99)+IF($G$1="鸣金",$AL99*1.5,0))*(1+$AV99)*(1+$AW99)+($AX99*IF($G$1="裂石",$AK99,$AI99)+IF($G$1="裂石",$AL99*1.5,0))*(1+$AZ99)*(1+$BA99)+($BB99*IF($G$1="牵丝",$AK99,$AI99)+IF($G$1="牵丝",$AL99*1.5,0))*(1+$BD99)*(1+$BE99)+($BF99*IF($G$1="破竹",$AK99,$AI99)+IF($G$1="破竹",$AL99*1.5,0))*(1+$BH99)*(1+$BI99))*(1+$AM99))*$Q99*(1+IF(VLOOKUP($R99,武学奇术!$A:$ZZ,30,FALSE)="回旋伞",$B$21,0))*(1+$BR99)</f>
        <v>56746.1792097221</v>
      </c>
      <c r="Q99" s="39">
        <v>1</v>
      </c>
      <c r="R99" s="40" t="s">
        <v>182</v>
      </c>
      <c r="S99" s="40" t="s">
        <v>72</v>
      </c>
      <c r="T99" s="40" t="s">
        <v>95</v>
      </c>
      <c r="U99" s="40" t="s">
        <v>73</v>
      </c>
      <c r="V99" s="40" t="s">
        <v>72</v>
      </c>
      <c r="W99" s="40" t="s">
        <v>172</v>
      </c>
      <c r="X99" s="40" t="s">
        <v>99</v>
      </c>
      <c r="Y99" s="40" t="s">
        <v>72</v>
      </c>
      <c r="Z99" s="40" t="s">
        <v>72</v>
      </c>
      <c r="AA99" s="40" t="s">
        <v>72</v>
      </c>
      <c r="AB99" s="40" t="s">
        <v>72</v>
      </c>
      <c r="AC99" s="40" t="s">
        <v>72</v>
      </c>
      <c r="AD99" s="40" t="s">
        <v>72</v>
      </c>
      <c r="AE99" s="40" t="s">
        <v>72</v>
      </c>
      <c r="AF99" s="40" t="s">
        <v>72</v>
      </c>
      <c r="AG99" s="40" t="s">
        <v>78</v>
      </c>
      <c r="AH99" t="str">
        <f>VLOOKUP($R99,武学奇术!$A:$ZZ,25,FALSE)</f>
        <v>单体奇术</v>
      </c>
      <c r="AI99" s="26">
        <f>VLOOKUP($R99,武学奇术!$A:$ZZ,26,FALSE)</f>
        <v>7.1084</v>
      </c>
      <c r="AJ99" s="27">
        <f>VLOOKUP($R99,武学奇术!$A:$ZZ,27,FALSE)*(1+IF(OR($AH99=$F$4,$AH99=$F$5),$B$22,0))</f>
        <v>1369</v>
      </c>
      <c r="AK99" s="26">
        <f>VLOOKUP($R99,武学奇术!$A:$ZZ,28,FALSE)</f>
        <v>10.6626</v>
      </c>
      <c r="AL99" s="27">
        <f>VLOOKUP($R99,武学奇术!$A:$ZZ,29,FALSE)*(1+IF(OR($AH99=$F$4,$AH99=$F$5),$B$22,0))</f>
        <v>0</v>
      </c>
      <c r="AM99" s="26" cm="1">
        <f t="array" ref="AM99">$G$3+IFERROR(VLOOKUP($AH99,$F$4:$G$7,2,FALSE),0)+VLOOKUP($R99,武学奇术!$A:$ZZ,2,FALSE)+SUM(_xlfn.XLOOKUP($S99:$AG99,增益!$A:$A,增益!$B:$B,0))</f>
        <v>0.2037</v>
      </c>
      <c r="AN99" s="26" cm="1">
        <f t="array" ref="AN99">VLOOKUP($R99,武学奇术!$A:$ZZ,5,FALSE)+SUM(_xlfn.XLOOKUP($S99:$AG99,增益!$A:$A,增益!$E:$E,0))</f>
        <v>0</v>
      </c>
      <c r="AO99" cm="1">
        <f t="array" ref="AO99">$D$10*(1+$AN99)+VLOOKUP($R99,武学奇术!$A:$ZZ,3,FALSE)+SUM(_xlfn.XLOOKUP($S99:$AG99,增益!$A:$A,增益!$C:$C,0))-$I$2</f>
        <v>3562.6</v>
      </c>
      <c r="AP99" cm="1">
        <f t="array" ref="AP99">$E$10*(1+$AN99)+VLOOKUP($R99,武学奇术!$A:$ZZ,4,FALSE)+SUM(_xlfn.XLOOKUP($S99:$AG99,增益!$A:$A,增益!$D:$D,0))-$I$2</f>
        <v>3562.6</v>
      </c>
      <c r="AQ99" s="32" cm="1">
        <f t="array" ref="AQ99">IF($F$10-$I$3+VLOOKUP($R99,武学奇术!$A:$ZZ,6,FALSE)+SUM(_xlfn.XLOOKUP(S99:AG99,增益!$A:$A,增益!$F:$F,0))&gt;0,($F$10-$I$3+VLOOKUP($R99,武学奇术!$A:$ZZ,6,FALSE)+SUM(_xlfn.XLOOKUP(S99:AG99,增益!$A:$A,增益!$F:$F,0)))/200,($F$10-$I$3+VLOOKUP($R99,武学奇术!$A:$ZZ,6,FALSE)+SUM(_xlfn.XLOOKUP(S99:AG99,增益!$A:$A,增益!$F:$F,0)))/100)</f>
        <v>0.2925</v>
      </c>
      <c r="AR99" s="32" cm="1">
        <f t="array" ref="AR99">$G$10+VLOOKUP($R99,武学奇术!$A:$ZZ,7,FALSE)+SUM(_xlfn.XLOOKUP(S99:AG99,增益!$A:$A,增益!$G:$G,0))</f>
        <v>0.028</v>
      </c>
      <c r="AS99" s="26" cm="1">
        <f t="array" ref="AS99">VLOOKUP($R99,武学奇术!$A:$ZZ,8,FALSE)+SUM(_xlfn.XLOOKUP(S99:AG99,增益!$A:$A,增益!$H:$H,0))</f>
        <v>0</v>
      </c>
      <c r="AT99">
        <f t="shared" si="13"/>
        <v>0</v>
      </c>
      <c r="AU99">
        <f t="shared" si="14"/>
        <v>0</v>
      </c>
      <c r="AV99" s="32" cm="1">
        <f t="array" ref="AV99">IF($F$11-$I$4+VLOOKUP($R99,武学奇术!$A:$ZZ,9,FALSE)+SUM(_xlfn.XLOOKUP(S99:AG99,增益!$A:$A,增益!$I:$I,0))&gt;0,($F$11-$I$4+VLOOKUP($R99,武学奇术!$A:$ZZ,9,FALSE)+SUM(_xlfn.XLOOKUP(S99:AG99,增益!$A:$A,增益!$I:$I,0)))/200,($F$11-$I$4+VLOOKUP($R99,武学奇术!$A:$ZZ,9,FALSE)+SUM(_xlfn.XLOOKUP(S99:AG99,增益!$A:$A,增益!$I:$I,0)))/100)</f>
        <v>-0.3</v>
      </c>
      <c r="AW99" s="32" cm="1">
        <f t="array" ref="AW99">$G$11+VLOOKUP($R99,武学奇术!$A:$ZZ,10,FALSE)+SUM(_xlfn.XLOOKUP(S99:AG99,增益!$A:$A,增益!$J:$J,0))</f>
        <v>0</v>
      </c>
      <c r="AX99">
        <f t="shared" si="15"/>
        <v>0</v>
      </c>
      <c r="AY99">
        <f t="shared" si="16"/>
        <v>0</v>
      </c>
      <c r="AZ99" s="32" cm="1">
        <f t="array" ref="AZ99">IF($F$12-$I$4+VLOOKUP($R99,武学奇术!$A:$ZZ,11,FALSE)+SUM(_xlfn.XLOOKUP(S99:AG99,增益!$A:$A,增益!$K:$K,0))&gt;0,($F$12-$I$4+VLOOKUP($R99,武学奇术!$A:$ZZ,11,FALSE)+SUM(_xlfn.XLOOKUP(S99:AG99,增益!$A:$A,增益!$K:$K,0)))/200,($F$12-$I$4+VLOOKUP($R99,武学奇术!$A:$ZZ,11,FALSE)+SUM(_xlfn.XLOOKUP(S99:AG99,增益!$A:$A,增益!$K:$K,0)))/100)</f>
        <v>-0.3</v>
      </c>
      <c r="BA99" s="32" cm="1">
        <f t="array" ref="BA99">$G$12+VLOOKUP($R99,武学奇术!$A:$ZZ,12,FALSE)+SUM(_xlfn.XLOOKUP(S99:AG99,增益!$A:$A,增益!$L:$L,0))</f>
        <v>0</v>
      </c>
      <c r="BB99">
        <f t="shared" si="17"/>
        <v>0</v>
      </c>
      <c r="BC99">
        <f t="shared" si="18"/>
        <v>0</v>
      </c>
      <c r="BD99" s="32" cm="1">
        <f t="array" ref="BD99">IF($F$13-$I$4+VLOOKUP($R99,武学奇术!$A:$ZZ,13,FALSE)+SUM(_xlfn.XLOOKUP(S99:AG99,增益!$A:$A,增益!$M:$M,0))&gt;0,($F$13-$I$4+VLOOKUP($R99,武学奇术!$A:$ZZ,13,FALSE)+SUM(_xlfn.XLOOKUP(S99:AG99,增益!$A:$A,增益!$K:$K,0)))/200,($F$13-$I$4+VLOOKUP($R99,武学奇术!$A:$ZZ,13,FALSE)+SUM(_xlfn.XLOOKUP(S99:AG99,增益!$A:$A,增益!$M:$M,0)))/100)</f>
        <v>-0.3</v>
      </c>
      <c r="BE99" s="32" cm="1">
        <f t="array" ref="BE99">$G$13+VLOOKUP($R99,武学奇术!$A:$ZZ,14,FALSE)+SUM(_xlfn.XLOOKUP(S99:AG99,增益!$A:$A,增益!$N:$N,0))</f>
        <v>0</v>
      </c>
      <c r="BF99">
        <f t="shared" si="19"/>
        <v>571.2</v>
      </c>
      <c r="BG99">
        <f t="shared" si="20"/>
        <v>1627.8</v>
      </c>
      <c r="BH99" s="32" cm="1">
        <f t="array" ref="BH99">IF($F$14-$I$4+VLOOKUP($R99,武学奇术!$A:$ZZ,15,FALSE)+SUM(_xlfn.XLOOKUP(S99:AG99,增益!$A:$A,增益!$O:$O,0))&gt;0,($F$14-$I$4+VLOOKUP($R99,武学奇术!$A:$ZZ,15,FALSE)+SUM(_xlfn.XLOOKUP(S99:AG99,增益!$A:$A,增益!$O:$O,0)))/200,($F$14-$I$4+VLOOKUP($R99,武学奇术!$A:$ZZ,15,FALSE)+SUM(_xlfn.XLOOKUP(S99:AG99,增益!$A:$A,增益!$O:$O,0)))/100)</f>
        <v>0</v>
      </c>
      <c r="BI99" s="32" cm="1">
        <f t="array" ref="BI99">$G$14+VLOOKUP($R99,武学奇术!$A:$ZZ,16,FALSE)+SUM(_xlfn.XLOOKUP(S99:AG99,增益!$A:$A,增益!$P:$P,0))</f>
        <v>0.15</v>
      </c>
      <c r="BJ99" s="26">
        <f>MIN(IF(VLOOKUP($R99,武学奇术!$A:$ZZ,23,FALSE)=1,100%,$B$8),100%)</f>
        <v>0.981</v>
      </c>
      <c r="BK99" s="26" cm="1">
        <f t="array" ref="BK99">IF(VLOOKUP($R99,武学奇术!$A:$ZZ,23,FALSE)=1,100%,MIN(80%,$B$9+VLOOKUP($R99,武学奇术!$A:$ZZ,17,FALSE)+SUM(_xlfn.XLOOKUP(S99:AG99,增益!$A:$A,增益!$Q:$Q,0)))+$B$11+SUM(_xlfn.XLOOKUP(S99:AG99,增益!$A:$A,增益!$U:$U,0)))*IF(VLOOKUP($R99,武学奇术!$A:$ZZ,24,FALSE)=1,0,1)</f>
        <v>0.846</v>
      </c>
      <c r="BL99" s="26" cm="1">
        <f t="array" ref="BL99">1+$B$13+VLOOKUP($R99,武学奇术!$A:$ZZ,18,FALSE)+SUM(_xlfn.XLOOKUP(S99:AG99,增益!$A:$A,增益!$R:$R,0))</f>
        <v>1.91</v>
      </c>
      <c r="BM99" s="26" cm="1">
        <f t="array" ref="BM99">IF(VLOOKUP($R99,武学奇术!$A:$ZZ,24,FALSE)=1,100%,MIN(40%,$B$10+VLOOKUP($R99,武学奇术!$A:$ZZ,19,FALSE)+SUM(_xlfn.XLOOKUP(S99:AG99,增益!$A:$A,增益!$S:$S,0)))+$B$12+SUM(_xlfn.XLOOKUP(S99:AG99,增益!$A:$A,增益!$V:$V,0)))*IF(VLOOKUP($R99,武学奇术!$A:$ZZ,23,FALSE)=1,0,1)</f>
        <v>0.0929</v>
      </c>
      <c r="BN99" s="26" cm="1">
        <f t="array" ref="BN99">1+$B$14+VLOOKUP($R99,武学奇术!$A:$ZZ,20,FALSE)+SUM(_xlfn.XLOOKUP(S99:AG99,增益!$A:$A,增益!$T:$T,0))</f>
        <v>1.35</v>
      </c>
      <c r="BO99" s="26">
        <f t="shared" si="21"/>
        <v>0.829926</v>
      </c>
      <c r="BP99" s="26">
        <f t="shared" si="22"/>
        <v>0.0599391</v>
      </c>
      <c r="BQ99" s="26">
        <f>IF(VLOOKUP($R99,武学奇术!$A:$ZZ,22,FALSE)=1,0,(1-$BJ99))*(1-$BM99)</f>
        <v>0.0172349</v>
      </c>
      <c r="BR99" s="26" cm="1">
        <f t="array" ref="BR99">SUM(_xlfn.XLOOKUP(S99:AG99,增益!$A:$A,增益!$W:$W,0))+$I$5</f>
        <v>0.11</v>
      </c>
    </row>
    <row r="100" spans="11:70">
      <c r="K100">
        <f>$L100*VLOOKUP($R100,武学奇术!$A:$ZZ,31,FALSE)</f>
        <v>55761.1654162214</v>
      </c>
      <c r="L100" s="38">
        <f t="shared" si="23"/>
        <v>53105.8718249727</v>
      </c>
      <c r="M100" s="38">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BL100*$Q100*(1+IF(VLOOKUP($R100,武学奇术!$A:$ZZ,30,FALSE)="回旋伞",$B$21,0))*(1+$BR100)</f>
        <v>53105.8718249727</v>
      </c>
      <c r="N100" s="38">
        <f>(($AP100*$AI100+$AJ100)*(1+$AQ100)*(1+$AR100)+($AU100*IF($G$1="鸣金",$AK100,$AI100)+IF($G$1="鸣金",$AL100*1.5,0))*(1+$AV100)*(1+$AW100)+($AY100*IF($G$1="裂石",$AK100,$AI100)+IF($G$1="裂石",$AL100*1.5,0))*(1+$AZ100)*(1+$BA100)+($BC100*IF($G$1="牵丝",$AK100,$AI100)+IF($G$1="牵丝",$AL100*1.5,0))*(1+$BD100)*(1+$BE100)+($BG100*IF($G$1="破竹",$AK100,$AI100)+IF($G$1="破竹",$AL100*1.5,0))*(1+$BH100)*(1+$BI100))*(1+$AM100)*$BN100*$Q100*(1+IF(VLOOKUP($R100,武学奇术!$A:$ZZ,30,FALSE)="回旋伞",$B$21,0))*(1+$BR100)</f>
        <v>42052.3868116326</v>
      </c>
      <c r="O100" s="38">
        <f>((($AO100+$AP100)/2*$AI100+$AJ100)*(1+$AQ100)*(1+$AR100)+(($AT100+$AU100)/2*IF($G$1="鸣金",$AK100,$AI100)+IF($G$1="鸣金",$AL100*1.5,0))*(1+$AV100)*(1+$AW100)+(($AX100+$AY100)/2*IF($G$1="裂石",$AK100,$AI100)+IF($G$1="裂石",$AL100*1.5,0))*(1+$AZ100)*(1+$BA100)+(($BB100+$BC100)/2*IF($G$1="牵丝",$AK100,$AI100)+IF($G$1="牵丝",$AL100*1.5,0))*(1+$BD100)*(1+$BE100)+(($BF100+$BG100)/2*IF($G$1="破竹",$AK100,$AI100)+IF($G$1="破竹",$AL100*1.5,0))*(1+$BH100)*(1+$BI100))*(1+$AM100)*$Q100*(1+IF(VLOOKUP($R100,武学奇术!$A:$ZZ,30,FALSE)="回旋伞",$B$21,0))*(1+$BR100)</f>
        <v>27804.1213743313</v>
      </c>
      <c r="P100" s="38">
        <f>((($AO100*$AI100+$AJ100)*(1+$AQ100)*(1+$AR100)+($AT100*IF($G$1="鸣金",$AK100,$AI100)+IF($G$1="鸣金",$AL100*1.5,0))*(1+$AV100)*(1+$AW100)+($AX100*IF($G$1="裂石",$AK100,$AI100)+IF($G$1="裂石",$AL100*1.5,0))*(1+$AZ100)*(1+$BA100)+($BB100*IF($G$1="牵丝",$AK100,$AI100)+IF($G$1="牵丝",$AL100*1.5,0))*(1+$BD100)*(1+$BE100)+($BF100*IF($G$1="破竹",$AK100,$AI100)+IF($G$1="破竹",$AL100*1.5,0))*(1+$BH100)*(1+$BI100))*(1+$AM100))*$Q100*(1+IF(VLOOKUP($R100,武学奇术!$A:$ZZ,30,FALSE)="回旋伞",$B$21,0))*(1+$BR100)</f>
        <v>24458.3265918976</v>
      </c>
      <c r="Q100" s="39">
        <v>1</v>
      </c>
      <c r="R100" s="40" t="s">
        <v>166</v>
      </c>
      <c r="S100" s="40" t="s">
        <v>72</v>
      </c>
      <c r="T100" s="40" t="s">
        <v>95</v>
      </c>
      <c r="U100" s="40" t="s">
        <v>73</v>
      </c>
      <c r="V100" s="40" t="s">
        <v>72</v>
      </c>
      <c r="W100" s="40" t="s">
        <v>172</v>
      </c>
      <c r="X100" s="40" t="s">
        <v>99</v>
      </c>
      <c r="Y100" s="40" t="s">
        <v>72</v>
      </c>
      <c r="Z100" s="40" t="s">
        <v>72</v>
      </c>
      <c r="AA100" s="40" t="s">
        <v>72</v>
      </c>
      <c r="AB100" s="40" t="s">
        <v>72</v>
      </c>
      <c r="AC100" s="40" t="s">
        <v>72</v>
      </c>
      <c r="AD100" s="40" t="s">
        <v>72</v>
      </c>
      <c r="AE100" s="40" t="s">
        <v>72</v>
      </c>
      <c r="AF100" s="40" t="s">
        <v>72</v>
      </c>
      <c r="AG100" s="40" t="s">
        <v>78</v>
      </c>
      <c r="AH100" t="str">
        <f>VLOOKUP($R100,武学奇术!$A:$ZZ,25,FALSE)</f>
        <v>绳镖</v>
      </c>
      <c r="AI100" s="26">
        <f>VLOOKUP($R100,武学奇术!$A:$ZZ,26,FALSE)</f>
        <v>2.2987</v>
      </c>
      <c r="AJ100" s="27">
        <f>VLOOKUP($R100,武学奇术!$A:$ZZ,27,FALSE)*(1+IF(OR($AH100=$F$4,$AH100=$F$5),$B$22,0))</f>
        <v>955.5</v>
      </c>
      <c r="AK100" s="26">
        <f>VLOOKUP($R100,武学奇术!$A:$ZZ,28,FALSE)</f>
        <v>3.448</v>
      </c>
      <c r="AL100" s="27">
        <f>VLOOKUP($R100,武学奇术!$A:$ZZ,29,FALSE)*(1+IF(OR($AH100=$F$4,$AH100=$F$5),$B$22,0))</f>
        <v>520.5</v>
      </c>
      <c r="AM100" s="26" cm="1">
        <f t="array" ref="AM100">$G$3+IFERROR(VLOOKUP($AH100,$F$4:$G$7,2,FALSE),0)+VLOOKUP($R100,武学奇术!$A:$ZZ,2,FALSE)+SUM(_xlfn.XLOOKUP($S100:$AG100,增益!$A:$A,增益!$B:$B,0))</f>
        <v>0.4389</v>
      </c>
      <c r="AN100" s="26" cm="1">
        <f t="array" ref="AN100">VLOOKUP($R100,武学奇术!$A:$ZZ,5,FALSE)+SUM(_xlfn.XLOOKUP($S100:$AG100,增益!$A:$A,增益!$E:$E,0))</f>
        <v>0</v>
      </c>
      <c r="AO100" cm="1">
        <f t="array" ref="AO100">$D$10*(1+$AN100)+VLOOKUP($R100,武学奇术!$A:$ZZ,3,FALSE)+SUM(_xlfn.XLOOKUP($S100:$AG100,增益!$A:$A,增益!$C:$C,0))-$I$2</f>
        <v>3562.6</v>
      </c>
      <c r="AP100" cm="1">
        <f t="array" ref="AP100">$E$10*(1+$AN100)+VLOOKUP($R100,武学奇术!$A:$ZZ,4,FALSE)+SUM(_xlfn.XLOOKUP($S100:$AG100,增益!$A:$A,增益!$D:$D,0))-$I$2</f>
        <v>3562.6</v>
      </c>
      <c r="AQ100" s="32" cm="1">
        <f t="array" ref="AQ100">IF($F$10-$I$3+VLOOKUP($R100,武学奇术!$A:$ZZ,6,FALSE)+SUM(_xlfn.XLOOKUP(S100:AG100,增益!$A:$A,增益!$F:$F,0))&gt;0,($F$10-$I$3+VLOOKUP($R100,武学奇术!$A:$ZZ,6,FALSE)+SUM(_xlfn.XLOOKUP(S100:AG100,增益!$A:$A,增益!$F:$F,0)))/200,($F$10-$I$3+VLOOKUP($R100,武学奇术!$A:$ZZ,6,FALSE)+SUM(_xlfn.XLOOKUP(S100:AG100,增益!$A:$A,增益!$F:$F,0)))/100)</f>
        <v>0.2925</v>
      </c>
      <c r="AR100" s="32" cm="1">
        <f t="array" ref="AR100">$G$10+VLOOKUP($R100,武学奇术!$A:$ZZ,7,FALSE)+SUM(_xlfn.XLOOKUP(S100:AG100,增益!$A:$A,增益!$G:$G,0))</f>
        <v>0.028</v>
      </c>
      <c r="AS100" s="26" cm="1">
        <f t="array" ref="AS100">VLOOKUP($R100,武学奇术!$A:$ZZ,8,FALSE)+SUM(_xlfn.XLOOKUP(S100:AG100,增益!$A:$A,增益!$H:$H,0))</f>
        <v>0</v>
      </c>
      <c r="AT100">
        <f t="shared" si="13"/>
        <v>0</v>
      </c>
      <c r="AU100">
        <f t="shared" si="14"/>
        <v>0</v>
      </c>
      <c r="AV100" s="32" cm="1">
        <f t="array" ref="AV100">IF($F$11-$I$4+VLOOKUP($R100,武学奇术!$A:$ZZ,9,FALSE)+SUM(_xlfn.XLOOKUP(S100:AG100,增益!$A:$A,增益!$I:$I,0))&gt;0,($F$11-$I$4+VLOOKUP($R100,武学奇术!$A:$ZZ,9,FALSE)+SUM(_xlfn.XLOOKUP(S100:AG100,增益!$A:$A,增益!$I:$I,0)))/200,($F$11-$I$4+VLOOKUP($R100,武学奇术!$A:$ZZ,9,FALSE)+SUM(_xlfn.XLOOKUP(S100:AG100,增益!$A:$A,增益!$I:$I,0)))/100)</f>
        <v>-0.3</v>
      </c>
      <c r="AW100" s="32" cm="1">
        <f t="array" ref="AW100">$G$11+VLOOKUP($R100,武学奇术!$A:$ZZ,10,FALSE)+SUM(_xlfn.XLOOKUP(S100:AG100,增益!$A:$A,增益!$J:$J,0))</f>
        <v>0</v>
      </c>
      <c r="AX100">
        <f t="shared" si="15"/>
        <v>0</v>
      </c>
      <c r="AY100">
        <f t="shared" si="16"/>
        <v>0</v>
      </c>
      <c r="AZ100" s="32" cm="1">
        <f t="array" ref="AZ100">IF($F$12-$I$4+VLOOKUP($R100,武学奇术!$A:$ZZ,11,FALSE)+SUM(_xlfn.XLOOKUP(S100:AG100,增益!$A:$A,增益!$K:$K,0))&gt;0,($F$12-$I$4+VLOOKUP($R100,武学奇术!$A:$ZZ,11,FALSE)+SUM(_xlfn.XLOOKUP(S100:AG100,增益!$A:$A,增益!$K:$K,0)))/200,($F$12-$I$4+VLOOKUP($R100,武学奇术!$A:$ZZ,11,FALSE)+SUM(_xlfn.XLOOKUP(S100:AG100,增益!$A:$A,增益!$K:$K,0)))/100)</f>
        <v>-0.3</v>
      </c>
      <c r="BA100" s="32" cm="1">
        <f t="array" ref="BA100">$G$12+VLOOKUP($R100,武学奇术!$A:$ZZ,12,FALSE)+SUM(_xlfn.XLOOKUP(S100:AG100,增益!$A:$A,增益!$L:$L,0))</f>
        <v>0</v>
      </c>
      <c r="BB100">
        <f t="shared" si="17"/>
        <v>0</v>
      </c>
      <c r="BC100">
        <f t="shared" si="18"/>
        <v>0</v>
      </c>
      <c r="BD100" s="32" cm="1">
        <f t="array" ref="BD100">IF($F$13-$I$4+VLOOKUP($R100,武学奇术!$A:$ZZ,13,FALSE)+SUM(_xlfn.XLOOKUP(S100:AG100,增益!$A:$A,增益!$M:$M,0))&gt;0,($F$13-$I$4+VLOOKUP($R100,武学奇术!$A:$ZZ,13,FALSE)+SUM(_xlfn.XLOOKUP(S100:AG100,增益!$A:$A,增益!$K:$K,0)))/200,($F$13-$I$4+VLOOKUP($R100,武学奇术!$A:$ZZ,13,FALSE)+SUM(_xlfn.XLOOKUP(S100:AG100,增益!$A:$A,增益!$M:$M,0)))/100)</f>
        <v>-0.3</v>
      </c>
      <c r="BE100" s="32" cm="1">
        <f t="array" ref="BE100">$G$13+VLOOKUP($R100,武学奇术!$A:$ZZ,14,FALSE)+SUM(_xlfn.XLOOKUP(S100:AG100,增益!$A:$A,增益!$N:$N,0))</f>
        <v>0</v>
      </c>
      <c r="BF100">
        <f t="shared" si="19"/>
        <v>571.2</v>
      </c>
      <c r="BG100">
        <f t="shared" si="20"/>
        <v>1627.8</v>
      </c>
      <c r="BH100" s="32" cm="1">
        <f t="array" ref="BH100">IF($F$14-$I$4+VLOOKUP($R100,武学奇术!$A:$ZZ,15,FALSE)+SUM(_xlfn.XLOOKUP(S100:AG100,增益!$A:$A,增益!$O:$O,0))&gt;0,($F$14-$I$4+VLOOKUP($R100,武学奇术!$A:$ZZ,15,FALSE)+SUM(_xlfn.XLOOKUP(S100:AG100,增益!$A:$A,增益!$O:$O,0)))/200,($F$14-$I$4+VLOOKUP($R100,武学奇术!$A:$ZZ,15,FALSE)+SUM(_xlfn.XLOOKUP(S100:AG100,增益!$A:$A,增益!$O:$O,0)))/100)</f>
        <v>0</v>
      </c>
      <c r="BI100" s="32" cm="1">
        <f t="array" ref="BI100">$G$14+VLOOKUP($R100,武学奇术!$A:$ZZ,16,FALSE)+SUM(_xlfn.XLOOKUP(S100:AG100,增益!$A:$A,增益!$P:$P,0))</f>
        <v>0.15</v>
      </c>
      <c r="BJ100" s="26">
        <f>MIN(IF(VLOOKUP($R100,武学奇术!$A:$ZZ,23,FALSE)=1,100%,$B$8),100%)</f>
        <v>1</v>
      </c>
      <c r="BK100" s="26" cm="1">
        <f t="array" ref="BK100">IF(VLOOKUP($R100,武学奇术!$A:$ZZ,23,FALSE)=1,100%,MIN(80%,$B$9+VLOOKUP($R100,武学奇术!$A:$ZZ,17,FALSE)+SUM(_xlfn.XLOOKUP(S100:AG100,增益!$A:$A,增益!$Q:$Q,0)))+$B$11+SUM(_xlfn.XLOOKUP(S100:AG100,增益!$A:$A,增益!$U:$U,0)))*IF(VLOOKUP($R100,武学奇术!$A:$ZZ,24,FALSE)=1,0,1)</f>
        <v>1</v>
      </c>
      <c r="BL100" s="26" cm="1">
        <f t="array" ref="BL100">1+$B$13+VLOOKUP($R100,武学奇术!$A:$ZZ,18,FALSE)+SUM(_xlfn.XLOOKUP(S100:AG100,增益!$A:$A,增益!$R:$R,0))</f>
        <v>1.91</v>
      </c>
      <c r="BM100" s="26" cm="1">
        <f t="array" ref="BM100">IF(VLOOKUP($R100,武学奇术!$A:$ZZ,24,FALSE)=1,100%,MIN(40%,$B$10+VLOOKUP($R100,武学奇术!$A:$ZZ,19,FALSE)+SUM(_xlfn.XLOOKUP(S100:AG100,增益!$A:$A,增益!$S:$S,0)))+$B$12+SUM(_xlfn.XLOOKUP(S100:AG100,增益!$A:$A,增益!$V:$V,0)))*IF(VLOOKUP($R100,武学奇术!$A:$ZZ,23,FALSE)=1,0,1)</f>
        <v>0</v>
      </c>
      <c r="BN100" s="26" cm="1">
        <f t="array" ref="BN100">1+$B$14+VLOOKUP($R100,武学奇术!$A:$ZZ,20,FALSE)+SUM(_xlfn.XLOOKUP(S100:AG100,增益!$A:$A,增益!$T:$T,0))</f>
        <v>1.35</v>
      </c>
      <c r="BO100" s="26">
        <f t="shared" si="21"/>
        <v>1</v>
      </c>
      <c r="BP100" s="26">
        <f t="shared" si="22"/>
        <v>0</v>
      </c>
      <c r="BQ100" s="26">
        <f>IF(VLOOKUP($R100,武学奇术!$A:$ZZ,22,FALSE)=1,0,(1-$BJ100))*(1-$BM100)</f>
        <v>0</v>
      </c>
      <c r="BR100" s="26" cm="1">
        <f t="array" ref="BR100">SUM(_xlfn.XLOOKUP(S100:AG100,增益!$A:$A,增益!$W:$W,0))+$I$5</f>
        <v>0.11</v>
      </c>
    </row>
    <row r="101" spans="11:70">
      <c r="K101">
        <f>$L101*VLOOKUP($R101,武学奇术!$A:$ZZ,31,FALSE)</f>
        <v>113784.252446286</v>
      </c>
      <c r="L101" s="88">
        <f>(SUM(L85:L100)+L160)*12%</f>
        <v>216731.909421497</v>
      </c>
      <c r="M101" s="38">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BL101*$Q101*(1+IF(VLOOKUP($R101,武学奇术!$A:$ZZ,30,FALSE)="回旋伞",$B$21,0))*(1+$BR101)</f>
        <v>0</v>
      </c>
      <c r="N101" s="38">
        <f>(($AP101*$AI101+$AJ101)*(1+$AQ101)*(1+$AR101)+($AU101*IF($G$1="鸣金",$AK101,$AI101)+IF($G$1="鸣金",$AL101*1.5,0))*(1+$AV101)*(1+$AW101)+($AY101*IF($G$1="裂石",$AK101,$AI101)+IF($G$1="裂石",$AL101*1.5,0))*(1+$AZ101)*(1+$BA101)+($BC101*IF($G$1="牵丝",$AK101,$AI101)+IF($G$1="牵丝",$AL101*1.5,0))*(1+$BD101)*(1+$BE101)+($BG101*IF($G$1="破竹",$AK101,$AI101)+IF($G$1="破竹",$AL101*1.5,0))*(1+$BH101)*(1+$BI101))*(1+$AM101)*$BN101*$Q101*(1+IF(VLOOKUP($R101,武学奇术!$A:$ZZ,30,FALSE)="回旋伞",$B$21,0))*(1+$BR101)</f>
        <v>0</v>
      </c>
      <c r="O101" s="38">
        <f>((($AO101+$AP101)/2*$AI101+$AJ101)*(1+$AQ101)*(1+$AR101)+(($AT101+$AU101)/2*IF($G$1="鸣金",$AK101,$AI101)+IF($G$1="鸣金",$AL101*1.5,0))*(1+$AV101)*(1+$AW101)+(($AX101+$AY101)/2*IF($G$1="裂石",$AK101,$AI101)+IF($G$1="裂石",$AL101*1.5,0))*(1+$AZ101)*(1+$BA101)+(($BB101+$BC101)/2*IF($G$1="牵丝",$AK101,$AI101)+IF($G$1="牵丝",$AL101*1.5,0))*(1+$BD101)*(1+$BE101)+(($BF101+$BG101)/2*IF($G$1="破竹",$AK101,$AI101)+IF($G$1="破竹",$AL101*1.5,0))*(1+$BH101)*(1+$BI101))*(1+$AM101)*$Q101*(1+IF(VLOOKUP($R101,武学奇术!$A:$ZZ,30,FALSE)="回旋伞",$B$21,0))*(1+$BR101)</f>
        <v>0</v>
      </c>
      <c r="P101" s="38">
        <f>((($AO101*$AI101+$AJ101)*(1+$AQ101)*(1+$AR101)+($AT101*IF($G$1="鸣金",$AK101,$AI101)+IF($G$1="鸣金",$AL101*1.5,0))*(1+$AV101)*(1+$AW101)+($AX101*IF($G$1="裂石",$AK101,$AI101)+IF($G$1="裂石",$AL101*1.5,0))*(1+$AZ101)*(1+$BA101)+($BB101*IF($G$1="牵丝",$AK101,$AI101)+IF($G$1="牵丝",$AL101*1.5,0))*(1+$BD101)*(1+$BE101)+($BF101*IF($G$1="破竹",$AK101,$AI101)+IF($G$1="破竹",$AL101*1.5,0))*(1+$BH101)*(1+$BI101))*(1+$AM101))*$Q101*(1+IF(VLOOKUP($R101,武学奇术!$A:$ZZ,30,FALSE)="回旋伞",$B$21,0))*(1+$BR101)</f>
        <v>0</v>
      </c>
      <c r="Q101" s="39">
        <v>1</v>
      </c>
      <c r="R101" s="40" t="s">
        <v>167</v>
      </c>
      <c r="S101" s="40" t="s">
        <v>72</v>
      </c>
      <c r="T101" s="40" t="s">
        <v>72</v>
      </c>
      <c r="U101" s="40" t="s">
        <v>72</v>
      </c>
      <c r="V101" s="40" t="s">
        <v>72</v>
      </c>
      <c r="W101" s="40" t="s">
        <v>72</v>
      </c>
      <c r="X101" s="40" t="s">
        <v>72</v>
      </c>
      <c r="Y101" s="40" t="s">
        <v>72</v>
      </c>
      <c r="Z101" s="40" t="s">
        <v>72</v>
      </c>
      <c r="AA101" s="40" t="s">
        <v>72</v>
      </c>
      <c r="AB101" s="40" t="s">
        <v>72</v>
      </c>
      <c r="AC101" s="40" t="s">
        <v>72</v>
      </c>
      <c r="AD101" s="40" t="s">
        <v>72</v>
      </c>
      <c r="AE101" s="40" t="s">
        <v>72</v>
      </c>
      <c r="AF101" s="40" t="s">
        <v>72</v>
      </c>
      <c r="AG101" s="40" t="s">
        <v>78</v>
      </c>
      <c r="AH101" t="str">
        <f>VLOOKUP($R101,武学奇术!$A:$ZZ,25,FALSE)</f>
        <v>心法</v>
      </c>
      <c r="AI101" s="26">
        <f>VLOOKUP($R101,武学奇术!$A:$ZZ,26,FALSE)</f>
        <v>0</v>
      </c>
      <c r="AJ101" s="27">
        <f>VLOOKUP($R101,武学奇术!$A:$ZZ,27,FALSE)*(1+IF(OR($AH101=$F$4,$AH101=$F$5),$B$22,0))</f>
        <v>0</v>
      </c>
      <c r="AK101" s="26">
        <f>VLOOKUP($R101,武学奇术!$A:$ZZ,28,FALSE)</f>
        <v>0</v>
      </c>
      <c r="AL101" s="27">
        <f>VLOOKUP($R101,武学奇术!$A:$ZZ,29,FALSE)*(1+IF(OR($AH101=$F$4,$AH101=$F$5),$B$22,0))</f>
        <v>0</v>
      </c>
      <c r="AM101" s="26" cm="1">
        <f t="array" ref="AM101">$G$3+IFERROR(VLOOKUP($AH101,$F$4:$G$7,2,FALSE),0)+VLOOKUP($R101,武学奇术!$A:$ZZ,2,FALSE)+SUM(_xlfn.XLOOKUP($S101:$AG101,增益!$A:$A,增益!$B:$B,0))</f>
        <v>0.1037</v>
      </c>
      <c r="AN101" s="26" cm="1">
        <f t="array" ref="AN101">VLOOKUP($R101,武学奇术!$A:$ZZ,5,FALSE)+SUM(_xlfn.XLOOKUP($S101:$AG101,增益!$A:$A,增益!$E:$E,0))</f>
        <v>0</v>
      </c>
      <c r="AO101" cm="1">
        <f t="array" ref="AO101">$D$10*(1+$AN101)+VLOOKUP($R101,武学奇术!$A:$ZZ,3,FALSE)+SUM(_xlfn.XLOOKUP($S101:$AG101,增益!$A:$A,增益!$C:$C,0))-$I$2</f>
        <v>3562.6</v>
      </c>
      <c r="AP101" cm="1">
        <f t="array" ref="AP101">$E$10*(1+$AN101)+VLOOKUP($R101,武学奇术!$A:$ZZ,4,FALSE)+SUM(_xlfn.XLOOKUP($S101:$AG101,增益!$A:$A,增益!$D:$D,0))-$I$2</f>
        <v>3562.6</v>
      </c>
      <c r="AQ101" s="32" cm="1">
        <f t="array" ref="AQ101">IF($F$10-$I$3+VLOOKUP($R101,武学奇术!$A:$ZZ,6,FALSE)+SUM(_xlfn.XLOOKUP(S101:AG101,增益!$A:$A,增益!$F:$F,0))&gt;0,($F$10-$I$3+VLOOKUP($R101,武学奇术!$A:$ZZ,6,FALSE)+SUM(_xlfn.XLOOKUP(S101:AG101,增益!$A:$A,增益!$F:$F,0)))/200,($F$10-$I$3+VLOOKUP($R101,武学奇术!$A:$ZZ,6,FALSE)+SUM(_xlfn.XLOOKUP(S101:AG101,增益!$A:$A,增益!$F:$F,0)))/100)</f>
        <v>0.1925</v>
      </c>
      <c r="AR101" s="32" cm="1">
        <f t="array" ref="AR101">$G$10+VLOOKUP($R101,武学奇术!$A:$ZZ,7,FALSE)+SUM(_xlfn.XLOOKUP(S101:AG101,增益!$A:$A,增益!$G:$G,0))</f>
        <v>0.028</v>
      </c>
      <c r="AS101" s="26" cm="1">
        <f t="array" ref="AS101">VLOOKUP($R101,武学奇术!$A:$ZZ,8,FALSE)+SUM(_xlfn.XLOOKUP(S101:AG101,增益!$A:$A,增益!$H:$H,0))</f>
        <v>0</v>
      </c>
      <c r="AT101">
        <f t="shared" si="13"/>
        <v>0</v>
      </c>
      <c r="AU101">
        <f t="shared" si="14"/>
        <v>0</v>
      </c>
      <c r="AV101" s="32" cm="1">
        <f t="array" ref="AV101">IF($F$11-$I$4+VLOOKUP($R101,武学奇术!$A:$ZZ,9,FALSE)+SUM(_xlfn.XLOOKUP(S101:AG101,增益!$A:$A,增益!$I:$I,0))&gt;0,($F$11-$I$4+VLOOKUP($R101,武学奇术!$A:$ZZ,9,FALSE)+SUM(_xlfn.XLOOKUP(S101:AG101,增益!$A:$A,增益!$I:$I,0)))/200,($F$11-$I$4+VLOOKUP($R101,武学奇术!$A:$ZZ,9,FALSE)+SUM(_xlfn.XLOOKUP(S101:AG101,增益!$A:$A,增益!$I:$I,0)))/100)</f>
        <v>-0.3</v>
      </c>
      <c r="AW101" s="32" cm="1">
        <f t="array" ref="AW101">$G$11+VLOOKUP($R101,武学奇术!$A:$ZZ,10,FALSE)+SUM(_xlfn.XLOOKUP(S101:AG101,增益!$A:$A,增益!$J:$J,0))</f>
        <v>0</v>
      </c>
      <c r="AX101">
        <f t="shared" si="15"/>
        <v>0</v>
      </c>
      <c r="AY101">
        <f t="shared" si="16"/>
        <v>0</v>
      </c>
      <c r="AZ101" s="32" cm="1">
        <f t="array" ref="AZ101">IF($F$12-$I$4+VLOOKUP($R101,武学奇术!$A:$ZZ,11,FALSE)+SUM(_xlfn.XLOOKUP(S101:AG101,增益!$A:$A,增益!$K:$K,0))&gt;0,($F$12-$I$4+VLOOKUP($R101,武学奇术!$A:$ZZ,11,FALSE)+SUM(_xlfn.XLOOKUP(S101:AG101,增益!$A:$A,增益!$K:$K,0)))/200,($F$12-$I$4+VLOOKUP($R101,武学奇术!$A:$ZZ,11,FALSE)+SUM(_xlfn.XLOOKUP(S101:AG101,增益!$A:$A,增益!$K:$K,0)))/100)</f>
        <v>-0.3</v>
      </c>
      <c r="BA101" s="32" cm="1">
        <f t="array" ref="BA101">$G$12+VLOOKUP($R101,武学奇术!$A:$ZZ,12,FALSE)+SUM(_xlfn.XLOOKUP(S101:AG101,增益!$A:$A,增益!$L:$L,0))</f>
        <v>0</v>
      </c>
      <c r="BB101">
        <f t="shared" si="17"/>
        <v>0</v>
      </c>
      <c r="BC101">
        <f t="shared" si="18"/>
        <v>0</v>
      </c>
      <c r="BD101" s="32" cm="1">
        <f t="array" ref="BD101">IF($F$13-$I$4+VLOOKUP($R101,武学奇术!$A:$ZZ,13,FALSE)+SUM(_xlfn.XLOOKUP(S101:AG101,增益!$A:$A,增益!$M:$M,0))&gt;0,($F$13-$I$4+VLOOKUP($R101,武学奇术!$A:$ZZ,13,FALSE)+SUM(_xlfn.XLOOKUP(S101:AG101,增益!$A:$A,增益!$K:$K,0)))/200,($F$13-$I$4+VLOOKUP($R101,武学奇术!$A:$ZZ,13,FALSE)+SUM(_xlfn.XLOOKUP(S101:AG101,增益!$A:$A,增益!$M:$M,0)))/100)</f>
        <v>-0.3</v>
      </c>
      <c r="BE101" s="32" cm="1">
        <f t="array" ref="BE101">$G$13+VLOOKUP($R101,武学奇术!$A:$ZZ,14,FALSE)+SUM(_xlfn.XLOOKUP(S101:AG101,增益!$A:$A,增益!$N:$N,0))</f>
        <v>0</v>
      </c>
      <c r="BF101">
        <f t="shared" si="19"/>
        <v>571.2</v>
      </c>
      <c r="BG101">
        <f t="shared" si="20"/>
        <v>1627.8</v>
      </c>
      <c r="BH101" s="32" cm="1">
        <f t="array" ref="BH101">IF($F$14-$I$4+VLOOKUP($R101,武学奇术!$A:$ZZ,15,FALSE)+SUM(_xlfn.XLOOKUP(S101:AG101,增益!$A:$A,增益!$O:$O,0))&gt;0,($F$14-$I$4+VLOOKUP($R101,武学奇术!$A:$ZZ,15,FALSE)+SUM(_xlfn.XLOOKUP(S101:AG101,增益!$A:$A,增益!$O:$O,0)))/200,($F$14-$I$4+VLOOKUP($R101,武学奇术!$A:$ZZ,15,FALSE)+SUM(_xlfn.XLOOKUP(S101:AG101,增益!$A:$A,增益!$O:$O,0)))/100)</f>
        <v>0</v>
      </c>
      <c r="BI101" s="32" cm="1">
        <f t="array" ref="BI101">$G$14+VLOOKUP($R101,武学奇术!$A:$ZZ,16,FALSE)+SUM(_xlfn.XLOOKUP(S101:AG101,增益!$A:$A,增益!$P:$P,0))</f>
        <v>0.15</v>
      </c>
      <c r="BJ101" s="26">
        <f>MIN(IF(VLOOKUP($R101,武学奇术!$A:$ZZ,23,FALSE)=1,100%,$B$8),100%)</f>
        <v>0.981</v>
      </c>
      <c r="BK101" s="26" cm="1">
        <f t="array" ref="BK101">IF(VLOOKUP($R101,武学奇术!$A:$ZZ,23,FALSE)=1,100%,MIN(80%,$B$9+VLOOKUP($R101,武学奇术!$A:$ZZ,17,FALSE)+SUM(_xlfn.XLOOKUP(S101:AG101,增益!$A:$A,增益!$Q:$Q,0)))+$B$11+SUM(_xlfn.XLOOKUP(S101:AG101,增益!$A:$A,增益!$U:$U,0)))*IF(VLOOKUP($R101,武学奇术!$A:$ZZ,24,FALSE)=1,0,1)</f>
        <v>0.846</v>
      </c>
      <c r="BL101" s="26" cm="1">
        <f t="array" ref="BL101">1+$B$13+VLOOKUP($R101,武学奇术!$A:$ZZ,18,FALSE)+SUM(_xlfn.XLOOKUP(S101:AG101,增益!$A:$A,增益!$R:$R,0))</f>
        <v>1.54</v>
      </c>
      <c r="BM101" s="26" cm="1">
        <f t="array" ref="BM101">IF(VLOOKUP($R101,武学奇术!$A:$ZZ,24,FALSE)=1,100%,MIN(40%,$B$10+VLOOKUP($R101,武学奇术!$A:$ZZ,19,FALSE)+SUM(_xlfn.XLOOKUP(S101:AG101,增益!$A:$A,增益!$S:$S,0)))+$B$12+SUM(_xlfn.XLOOKUP(S101:AG101,增益!$A:$A,增益!$V:$V,0)))*IF(VLOOKUP($R101,武学奇术!$A:$ZZ,23,FALSE)=1,0,1)</f>
        <v>0.0929</v>
      </c>
      <c r="BN101" s="26" cm="1">
        <f t="array" ref="BN101">1+$B$14+VLOOKUP($R101,武学奇术!$A:$ZZ,20,FALSE)+SUM(_xlfn.XLOOKUP(S101:AG101,增益!$A:$A,增益!$T:$T,0))</f>
        <v>1.35</v>
      </c>
      <c r="BO101" s="26">
        <f t="shared" si="21"/>
        <v>0.829926</v>
      </c>
      <c r="BP101" s="26">
        <f t="shared" si="22"/>
        <v>0.0599391</v>
      </c>
      <c r="BQ101" s="26">
        <f>IF(VLOOKUP($R101,武学奇术!$A:$ZZ,22,FALSE)=1,0,(1-$BJ101))*(1-$BM101)</f>
        <v>0.0172349</v>
      </c>
      <c r="BR101" s="26" cm="1">
        <f t="array" ref="BR101">SUM(_xlfn.XLOOKUP(S101:AG101,增益!$A:$A,增益!$W:$W,0))+$I$5</f>
        <v>0.11</v>
      </c>
    </row>
    <row r="102" spans="11:70">
      <c r="K102">
        <f>$L102*VLOOKUP($R102,武学奇术!$A:$ZZ,31,FALSE)</f>
        <v>0</v>
      </c>
      <c r="L102" s="38">
        <f t="shared" ref="L102:L127" si="24">($M102*$BO102+$N102*$BM102+$O102*$BP102+$P102*$BQ102)</f>
        <v>0</v>
      </c>
      <c r="M102" s="38">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BL102*$Q102*(1+IF(VLOOKUP($R102,武学奇术!$A:$ZZ,30,FALSE)="回旋伞",$B$21,0))*(1+$BR102)</f>
        <v>0</v>
      </c>
      <c r="N102" s="38">
        <f>(($AP102*$AI102+$AJ102)*(1+$AQ102)*(1+$AR102)+($AU102*IF($G$1="鸣金",$AK102,$AI102)+IF($G$1="鸣金",$AL102*1.5,0))*(1+$AV102)*(1+$AW102)+($AY102*IF($G$1="裂石",$AK102,$AI102)+IF($G$1="裂石",$AL102*1.5,0))*(1+$AZ102)*(1+$BA102)+($BC102*IF($G$1="牵丝",$AK102,$AI102)+IF($G$1="牵丝",$AL102*1.5,0))*(1+$BD102)*(1+$BE102)+($BG102*IF($G$1="破竹",$AK102,$AI102)+IF($G$1="破竹",$AL102*1.5,0))*(1+$BH102)*(1+$BI102))*(1+$AM102)*$BN102*$Q102*(1+IF(VLOOKUP($R102,武学奇术!$A:$ZZ,30,FALSE)="回旋伞",$B$21,0))*(1+$BR102)</f>
        <v>0</v>
      </c>
      <c r="O102" s="38">
        <f>((($AO102+$AP102)/2*$AI102+$AJ102)*(1+$AQ102)*(1+$AR102)+(($AT102+$AU102)/2*IF($G$1="鸣金",$AK102,$AI102)+IF($G$1="鸣金",$AL102*1.5,0))*(1+$AV102)*(1+$AW102)+(($AX102+$AY102)/2*IF($G$1="裂石",$AK102,$AI102)+IF($G$1="裂石",$AL102*1.5,0))*(1+$AZ102)*(1+$BA102)+(($BB102+$BC102)/2*IF($G$1="牵丝",$AK102,$AI102)+IF($G$1="牵丝",$AL102*1.5,0))*(1+$BD102)*(1+$BE102)+(($BF102+$BG102)/2*IF($G$1="破竹",$AK102,$AI102)+IF($G$1="破竹",$AL102*1.5,0))*(1+$BH102)*(1+$BI102))*(1+$AM102)*$Q102*(1+IF(VLOOKUP($R102,武学奇术!$A:$ZZ,30,FALSE)="回旋伞",$B$21,0))*(1+$BR102)</f>
        <v>0</v>
      </c>
      <c r="P102" s="38">
        <f>((($AO102*$AI102+$AJ102)*(1+$AQ102)*(1+$AR102)+($AT102*IF($G$1="鸣金",$AK102,$AI102)+IF($G$1="鸣金",$AL102*1.5,0))*(1+$AV102)*(1+$AW102)+($AX102*IF($G$1="裂石",$AK102,$AI102)+IF($G$1="裂石",$AL102*1.5,0))*(1+$AZ102)*(1+$BA102)+($BB102*IF($G$1="牵丝",$AK102,$AI102)+IF($G$1="牵丝",$AL102*1.5,0))*(1+$BD102)*(1+$BE102)+($BF102*IF($G$1="破竹",$AK102,$AI102)+IF($G$1="破竹",$AL102*1.5,0))*(1+$BH102)*(1+$BI102))*(1+$AM102))*$Q102*(1+IF(VLOOKUP($R102,武学奇术!$A:$ZZ,30,FALSE)="回旋伞",$B$21,0))*(1+$BR102)</f>
        <v>0</v>
      </c>
      <c r="Q102" s="39">
        <v>1</v>
      </c>
      <c r="R102" s="40" t="s">
        <v>72</v>
      </c>
      <c r="S102" s="40" t="s">
        <v>72</v>
      </c>
      <c r="T102" s="40" t="s">
        <v>72</v>
      </c>
      <c r="U102" s="40" t="s">
        <v>72</v>
      </c>
      <c r="V102" s="40" t="s">
        <v>72</v>
      </c>
      <c r="W102" s="40" t="s">
        <v>72</v>
      </c>
      <c r="X102" s="40" t="s">
        <v>72</v>
      </c>
      <c r="Y102" s="40" t="s">
        <v>72</v>
      </c>
      <c r="Z102" s="40" t="s">
        <v>72</v>
      </c>
      <c r="AA102" s="40" t="s">
        <v>72</v>
      </c>
      <c r="AB102" s="40" t="s">
        <v>72</v>
      </c>
      <c r="AC102" s="40" t="s">
        <v>72</v>
      </c>
      <c r="AD102" s="40" t="s">
        <v>72</v>
      </c>
      <c r="AE102" s="40" t="s">
        <v>72</v>
      </c>
      <c r="AF102" s="40" t="s">
        <v>72</v>
      </c>
      <c r="AG102" s="40" t="s">
        <v>78</v>
      </c>
      <c r="AH102" t="str">
        <f>VLOOKUP($R102,武学奇术!$A:$ZZ,25,FALSE)</f>
        <v>心法</v>
      </c>
      <c r="AI102" s="26">
        <f>VLOOKUP($R102,武学奇术!$A:$ZZ,26,FALSE)</f>
        <v>0</v>
      </c>
      <c r="AJ102" s="27">
        <f>VLOOKUP($R102,武学奇术!$A:$ZZ,27,FALSE)*(1+IF(OR($AH102=$F$4,$AH102=$F$5),$B$22,0))</f>
        <v>0</v>
      </c>
      <c r="AK102" s="26">
        <f>VLOOKUP($R102,武学奇术!$A:$ZZ,28,FALSE)</f>
        <v>0</v>
      </c>
      <c r="AL102" s="27">
        <f>VLOOKUP($R102,武学奇术!$A:$ZZ,29,FALSE)*(1+IF(OR($AH102=$F$4,$AH102=$F$5),$B$22,0))</f>
        <v>0</v>
      </c>
      <c r="AM102" s="26" cm="1">
        <f t="array" ref="AM102">$G$3+IFERROR(VLOOKUP($AH102,$F$4:$G$7,2,FALSE),0)+VLOOKUP($R102,武学奇术!$A:$ZZ,2,FALSE)+SUM(_xlfn.XLOOKUP($S102:$AG102,增益!$A:$A,增益!$B:$B,0))</f>
        <v>0.1037</v>
      </c>
      <c r="AN102" s="26" cm="1">
        <f t="array" ref="AN102">VLOOKUP($R102,武学奇术!$A:$ZZ,5,FALSE)+SUM(_xlfn.XLOOKUP($S102:$AG102,增益!$A:$A,增益!$E:$E,0))</f>
        <v>0</v>
      </c>
      <c r="AO102" cm="1">
        <f t="array" ref="AO102">$D$10*(1+$AN102)+VLOOKUP($R102,武学奇术!$A:$ZZ,3,FALSE)+SUM(_xlfn.XLOOKUP($S102:$AG102,增益!$A:$A,增益!$C:$C,0))-$I$2</f>
        <v>3562.6</v>
      </c>
      <c r="AP102" cm="1">
        <f t="array" ref="AP102">$E$10*(1+$AN102)+VLOOKUP($R102,武学奇术!$A:$ZZ,4,FALSE)+SUM(_xlfn.XLOOKUP($S102:$AG102,增益!$A:$A,增益!$D:$D,0))-$I$2</f>
        <v>3562.6</v>
      </c>
      <c r="AQ102" s="32" cm="1">
        <f t="array" ref="AQ102">IF($F$10-$I$3+VLOOKUP($R102,武学奇术!$A:$ZZ,6,FALSE)+SUM(_xlfn.XLOOKUP(S102:AG102,增益!$A:$A,增益!$F:$F,0))&gt;0,($F$10-$I$3+VLOOKUP($R102,武学奇术!$A:$ZZ,6,FALSE)+SUM(_xlfn.XLOOKUP(S102:AG102,增益!$A:$A,增益!$F:$F,0)))/200,($F$10-$I$3+VLOOKUP($R102,武学奇术!$A:$ZZ,6,FALSE)+SUM(_xlfn.XLOOKUP(S102:AG102,增益!$A:$A,增益!$F:$F,0)))/100)</f>
        <v>0.1925</v>
      </c>
      <c r="AR102" s="32" cm="1">
        <f t="array" ref="AR102">$G$10+VLOOKUP($R102,武学奇术!$A:$ZZ,7,FALSE)+SUM(_xlfn.XLOOKUP(S102:AG102,增益!$A:$A,增益!$G:$G,0))</f>
        <v>0.028</v>
      </c>
      <c r="AS102" s="26" cm="1">
        <f t="array" ref="AS102">VLOOKUP($R102,武学奇术!$A:$ZZ,8,FALSE)+SUM(_xlfn.XLOOKUP(S102:AG102,增益!$A:$A,增益!$H:$H,0))</f>
        <v>0</v>
      </c>
      <c r="AT102">
        <f t="shared" si="13"/>
        <v>0</v>
      </c>
      <c r="AU102">
        <f t="shared" si="14"/>
        <v>0</v>
      </c>
      <c r="AV102" s="32" cm="1">
        <f t="array" ref="AV102">IF($F$11-$I$4+VLOOKUP($R102,武学奇术!$A:$ZZ,9,FALSE)+SUM(_xlfn.XLOOKUP(S102:AG102,增益!$A:$A,增益!$I:$I,0))&gt;0,($F$11-$I$4+VLOOKUP($R102,武学奇术!$A:$ZZ,9,FALSE)+SUM(_xlfn.XLOOKUP(S102:AG102,增益!$A:$A,增益!$I:$I,0)))/200,($F$11-$I$4+VLOOKUP($R102,武学奇术!$A:$ZZ,9,FALSE)+SUM(_xlfn.XLOOKUP(S102:AG102,增益!$A:$A,增益!$I:$I,0)))/100)</f>
        <v>-0.3</v>
      </c>
      <c r="AW102" s="32" cm="1">
        <f t="array" ref="AW102">$G$11+VLOOKUP($R102,武学奇术!$A:$ZZ,10,FALSE)+SUM(_xlfn.XLOOKUP(S102:AG102,增益!$A:$A,增益!$J:$J,0))</f>
        <v>0</v>
      </c>
      <c r="AX102">
        <f t="shared" si="15"/>
        <v>0</v>
      </c>
      <c r="AY102">
        <f t="shared" si="16"/>
        <v>0</v>
      </c>
      <c r="AZ102" s="32" cm="1">
        <f t="array" ref="AZ102">IF($F$12-$I$4+VLOOKUP($R102,武学奇术!$A:$ZZ,11,FALSE)+SUM(_xlfn.XLOOKUP(S102:AG102,增益!$A:$A,增益!$K:$K,0))&gt;0,($F$12-$I$4+VLOOKUP($R102,武学奇术!$A:$ZZ,11,FALSE)+SUM(_xlfn.XLOOKUP(S102:AG102,增益!$A:$A,增益!$K:$K,0)))/200,($F$12-$I$4+VLOOKUP($R102,武学奇术!$A:$ZZ,11,FALSE)+SUM(_xlfn.XLOOKUP(S102:AG102,增益!$A:$A,增益!$K:$K,0)))/100)</f>
        <v>-0.3</v>
      </c>
      <c r="BA102" s="32" cm="1">
        <f t="array" ref="BA102">$G$12+VLOOKUP($R102,武学奇术!$A:$ZZ,12,FALSE)+SUM(_xlfn.XLOOKUP(S102:AG102,增益!$A:$A,增益!$L:$L,0))</f>
        <v>0</v>
      </c>
      <c r="BB102">
        <f t="shared" si="17"/>
        <v>0</v>
      </c>
      <c r="BC102">
        <f t="shared" si="18"/>
        <v>0</v>
      </c>
      <c r="BD102" s="32" cm="1">
        <f t="array" ref="BD102">IF($F$13-$I$4+VLOOKUP($R102,武学奇术!$A:$ZZ,13,FALSE)+SUM(_xlfn.XLOOKUP(S102:AG102,增益!$A:$A,增益!$M:$M,0))&gt;0,($F$13-$I$4+VLOOKUP($R102,武学奇术!$A:$ZZ,13,FALSE)+SUM(_xlfn.XLOOKUP(S102:AG102,增益!$A:$A,增益!$K:$K,0)))/200,($F$13-$I$4+VLOOKUP($R102,武学奇术!$A:$ZZ,13,FALSE)+SUM(_xlfn.XLOOKUP(S102:AG102,增益!$A:$A,增益!$M:$M,0)))/100)</f>
        <v>-0.3</v>
      </c>
      <c r="BE102" s="32" cm="1">
        <f t="array" ref="BE102">$G$13+VLOOKUP($R102,武学奇术!$A:$ZZ,14,FALSE)+SUM(_xlfn.XLOOKUP(S102:AG102,增益!$A:$A,增益!$N:$N,0))</f>
        <v>0</v>
      </c>
      <c r="BF102">
        <f t="shared" si="19"/>
        <v>571.2</v>
      </c>
      <c r="BG102">
        <f t="shared" si="20"/>
        <v>1627.8</v>
      </c>
      <c r="BH102" s="32" cm="1">
        <f t="array" ref="BH102">IF($F$14-$I$4+VLOOKUP($R102,武学奇术!$A:$ZZ,15,FALSE)+SUM(_xlfn.XLOOKUP(S102:AG102,增益!$A:$A,增益!$O:$O,0))&gt;0,($F$14-$I$4+VLOOKUP($R102,武学奇术!$A:$ZZ,15,FALSE)+SUM(_xlfn.XLOOKUP(S102:AG102,增益!$A:$A,增益!$O:$O,0)))/200,($F$14-$I$4+VLOOKUP($R102,武学奇术!$A:$ZZ,15,FALSE)+SUM(_xlfn.XLOOKUP(S102:AG102,增益!$A:$A,增益!$O:$O,0)))/100)</f>
        <v>0</v>
      </c>
      <c r="BI102" s="32" cm="1">
        <f t="array" ref="BI102">$G$14+VLOOKUP($R102,武学奇术!$A:$ZZ,16,FALSE)+SUM(_xlfn.XLOOKUP(S102:AG102,增益!$A:$A,增益!$P:$P,0))</f>
        <v>0.15</v>
      </c>
      <c r="BJ102" s="26">
        <f>MIN(IF(VLOOKUP($R102,武学奇术!$A:$ZZ,23,FALSE)=1,100%,$B$8),100%)</f>
        <v>0.981</v>
      </c>
      <c r="BK102" s="26" cm="1">
        <f t="array" ref="BK102">IF(VLOOKUP($R102,武学奇术!$A:$ZZ,23,FALSE)=1,100%,MIN(80%,$B$9+VLOOKUP($R102,武学奇术!$A:$ZZ,17,FALSE)+SUM(_xlfn.XLOOKUP(S102:AG102,增益!$A:$A,增益!$Q:$Q,0)))+$B$11+SUM(_xlfn.XLOOKUP(S102:AG102,增益!$A:$A,增益!$U:$U,0)))*IF(VLOOKUP($R102,武学奇术!$A:$ZZ,24,FALSE)=1,0,1)</f>
        <v>0.846</v>
      </c>
      <c r="BL102" s="26" cm="1">
        <f t="array" ref="BL102">1+$B$13+VLOOKUP($R102,武学奇术!$A:$ZZ,18,FALSE)+SUM(_xlfn.XLOOKUP(S102:AG102,增益!$A:$A,增益!$R:$R,0))</f>
        <v>1.54</v>
      </c>
      <c r="BM102" s="26" cm="1">
        <f t="array" ref="BM102">IF(VLOOKUP($R102,武学奇术!$A:$ZZ,24,FALSE)=1,100%,MIN(40%,$B$10+VLOOKUP($R102,武学奇术!$A:$ZZ,19,FALSE)+SUM(_xlfn.XLOOKUP(S102:AG102,增益!$A:$A,增益!$S:$S,0)))+$B$12+SUM(_xlfn.XLOOKUP(S102:AG102,增益!$A:$A,增益!$V:$V,0)))*IF(VLOOKUP($R102,武学奇术!$A:$ZZ,23,FALSE)=1,0,1)</f>
        <v>0.0929</v>
      </c>
      <c r="BN102" s="26" cm="1">
        <f t="array" ref="BN102">1+$B$14+VLOOKUP($R102,武学奇术!$A:$ZZ,20,FALSE)+SUM(_xlfn.XLOOKUP(S102:AG102,增益!$A:$A,增益!$T:$T,0))</f>
        <v>1.35</v>
      </c>
      <c r="BO102" s="26">
        <f t="shared" si="21"/>
        <v>0.829926</v>
      </c>
      <c r="BP102" s="26">
        <f t="shared" si="22"/>
        <v>0.0599391</v>
      </c>
      <c r="BQ102" s="26">
        <f>IF(VLOOKUP($R102,武学奇术!$A:$ZZ,22,FALSE)=1,0,(1-$BJ102))*(1-$BM102)</f>
        <v>0.0172349</v>
      </c>
      <c r="BR102" s="26" cm="1">
        <f t="array" ref="BR102">SUM(_xlfn.XLOOKUP(S102:AG102,增益!$A:$A,增益!$W:$W,0))+$I$5</f>
        <v>0.11</v>
      </c>
    </row>
    <row r="103" spans="11:70">
      <c r="K103">
        <f>$L103*VLOOKUP($R103,武学奇术!$A:$ZZ,31,FALSE)</f>
        <v>18174.2300962483</v>
      </c>
      <c r="L103" s="38">
        <f t="shared" si="24"/>
        <v>17308.7905678555</v>
      </c>
      <c r="M103" s="38">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BL103*$Q103*(1+IF(VLOOKUP($R103,武学奇术!$A:$ZZ,30,FALSE)="回旋伞",$B$21,0))*(1+$BR103)</f>
        <v>17995.3763053003</v>
      </c>
      <c r="N103" s="38">
        <f>(($AP103*$AI103+$AJ103)*(1+$AQ103)*(1+$AR103)+($AU103*IF($G$1="鸣金",$AK103,$AI103)+IF($G$1="鸣金",$AL103*1.5,0))*(1+$AV103)*(1+$AW103)+($AY103*IF($G$1="裂石",$AK103,$AI103)+IF($G$1="裂石",$AL103*1.5,0))*(1+$AZ103)*(1+$BA103)+($BC103*IF($G$1="牵丝",$AK103,$AI103)+IF($G$1="牵丝",$AL103*1.5,0))*(1+$BD103)*(1+$BE103)+($BG103*IF($G$1="破竹",$AK103,$AI103)+IF($G$1="破竹",$AL103*1.5,0))*(1+$BH103)*(1+$BI103))*(1+$AM103)*$BN103*$Q103*(1+IF(VLOOKUP($R103,武学奇术!$A:$ZZ,30,FALSE)="回旋伞",$B$21,0))*(1+$BR103)</f>
        <v>16697.540528478</v>
      </c>
      <c r="O103" s="38">
        <f>((($AO103+$AP103)/2*$AI103+$AJ103)*(1+$AQ103)*(1+$AR103)+(($AT103+$AU103)/2*IF($G$1="鸣金",$AK103,$AI103)+IF($G$1="鸣金",$AL103*1.5,0))*(1+$AV103)*(1+$AW103)+(($AX103+$AY103)/2*IF($G$1="裂石",$AK103,$AI103)+IF($G$1="裂石",$AL103*1.5,0))*(1+$AZ103)*(1+$BA103)+(($BB103+$BC103)/2*IF($G$1="牵丝",$AK103,$AI103)+IF($G$1="牵丝",$AL103*1.5,0))*(1+$BD103)*(1+$BE103)+(($BF103+$BG103)/2*IF($G$1="破竹",$AK103,$AI103)+IF($G$1="破竹",$AL103*1.5,0))*(1+$BH103)*(1+$BI103))*(1+$AM103)*$Q103*(1+IF(VLOOKUP($R103,武学奇术!$A:$ZZ,30,FALSE)="回旋伞",$B$21,0))*(1+$BR103)</f>
        <v>10972.7904300612</v>
      </c>
      <c r="P103" s="38">
        <f>((($AO103*$AI103+$AJ103)*(1+$AQ103)*(1+$AR103)+($AT103*IF($G$1="鸣金",$AK103,$AI103)+IF($G$1="鸣金",$AL103*1.5,0))*(1+$AV103)*(1+$AW103)+($AX103*IF($G$1="裂石",$AK103,$AI103)+IF($G$1="裂石",$AL103*1.5,0))*(1+$AZ103)*(1+$BA103)+($BB103*IF($G$1="牵丝",$AK103,$AI103)+IF($G$1="牵丝",$AL103*1.5,0))*(1+$BD103)*(1+$BE103)+($BF103*IF($G$1="破竹",$AK103,$AI103)+IF($G$1="破竹",$AL103*1.5,0))*(1+$BH103)*(1+$BI103))*(1+$AM103))*$Q103*(1+IF(VLOOKUP($R103,武学奇术!$A:$ZZ,30,FALSE)="回旋伞",$B$21,0))*(1+$BR103)</f>
        <v>9577.03232050898</v>
      </c>
      <c r="Q103" s="39">
        <v>1</v>
      </c>
      <c r="R103" s="40" t="s">
        <v>102</v>
      </c>
      <c r="S103" s="40" t="s">
        <v>72</v>
      </c>
      <c r="T103" s="40" t="s">
        <v>72</v>
      </c>
      <c r="U103" s="40" t="s">
        <v>72</v>
      </c>
      <c r="V103" s="40" t="s">
        <v>72</v>
      </c>
      <c r="W103" s="40" t="s">
        <v>172</v>
      </c>
      <c r="X103" s="40" t="s">
        <v>72</v>
      </c>
      <c r="Y103" s="40" t="s">
        <v>72</v>
      </c>
      <c r="Z103" s="40" t="s">
        <v>72</v>
      </c>
      <c r="AA103" s="40" t="s">
        <v>72</v>
      </c>
      <c r="AB103" s="40" t="s">
        <v>72</v>
      </c>
      <c r="AC103" s="40" t="s">
        <v>72</v>
      </c>
      <c r="AD103" s="40" t="s">
        <v>72</v>
      </c>
      <c r="AE103" s="40" t="s">
        <v>72</v>
      </c>
      <c r="AF103" s="40" t="s">
        <v>72</v>
      </c>
      <c r="AG103" s="40" t="s">
        <v>78</v>
      </c>
      <c r="AH103" t="str">
        <f>VLOOKUP($R103,武学奇术!$A:$ZZ,25,FALSE)</f>
        <v>绳镖</v>
      </c>
      <c r="AI103" s="26">
        <f>VLOOKUP($R103,武学奇术!$A:$ZZ,26,FALSE)</f>
        <v>1.1137</v>
      </c>
      <c r="AJ103" s="27">
        <f>VLOOKUP($R103,武学奇术!$A:$ZZ,27,FALSE)*(1+IF(OR($AH103=$F$4,$AH103=$F$5),$B$22,0))</f>
        <v>463.5</v>
      </c>
      <c r="AK103" s="26">
        <f>VLOOKUP($R103,武学奇术!$A:$ZZ,28,FALSE)</f>
        <v>1.6706</v>
      </c>
      <c r="AL103" s="27">
        <f>VLOOKUP($R103,武学奇术!$A:$ZZ,29,FALSE)*(1+IF(OR($AH103=$F$4,$AH103=$F$5),$B$22,0))</f>
        <v>252</v>
      </c>
      <c r="AM103" s="26" cm="1">
        <f t="array" ref="AM103">$G$3+IFERROR(VLOOKUP($AH103,$F$4:$G$7,2,FALSE),0)+VLOOKUP($R103,武学奇术!$A:$ZZ,2,FALSE)+SUM(_xlfn.XLOOKUP($S103:$AG103,增益!$A:$A,增益!$B:$B,0))</f>
        <v>0.2389</v>
      </c>
      <c r="AN103" s="26" cm="1">
        <f t="array" ref="AN103">VLOOKUP($R103,武学奇术!$A:$ZZ,5,FALSE)+SUM(_xlfn.XLOOKUP($S103:$AG103,增益!$A:$A,增益!$E:$E,0))</f>
        <v>0</v>
      </c>
      <c r="AO103" cm="1">
        <f t="array" ref="AO103">$D$10*(1+$AN103)+VLOOKUP($R103,武学奇术!$A:$ZZ,3,FALSE)+SUM(_xlfn.XLOOKUP($S103:$AG103,增益!$A:$A,增益!$C:$C,0))-$I$2</f>
        <v>3562.6</v>
      </c>
      <c r="AP103" cm="1">
        <f t="array" ref="AP103">$E$10*(1+$AN103)+VLOOKUP($R103,武学奇术!$A:$ZZ,4,FALSE)+SUM(_xlfn.XLOOKUP($S103:$AG103,增益!$A:$A,增益!$D:$D,0))-$I$2</f>
        <v>3562.6</v>
      </c>
      <c r="AQ103" s="32" cm="1">
        <f t="array" ref="AQ103">IF($F$10-$I$3+VLOOKUP($R103,武学奇术!$A:$ZZ,6,FALSE)+SUM(_xlfn.XLOOKUP(S103:AG103,增益!$A:$A,增益!$F:$F,0))&gt;0,($F$10-$I$3+VLOOKUP($R103,武学奇术!$A:$ZZ,6,FALSE)+SUM(_xlfn.XLOOKUP(S103:AG103,增益!$A:$A,增益!$F:$F,0)))/200,($F$10-$I$3+VLOOKUP($R103,武学奇术!$A:$ZZ,6,FALSE)+SUM(_xlfn.XLOOKUP(S103:AG103,增益!$A:$A,增益!$F:$F,0)))/100)</f>
        <v>0.1925</v>
      </c>
      <c r="AR103" s="32" cm="1">
        <f t="array" ref="AR103">$G$10+VLOOKUP($R103,武学奇术!$A:$ZZ,7,FALSE)+SUM(_xlfn.XLOOKUP(S103:AG103,增益!$A:$A,增益!$G:$G,0))</f>
        <v>0.028</v>
      </c>
      <c r="AS103" s="26" cm="1">
        <f t="array" ref="AS103">VLOOKUP($R103,武学奇术!$A:$ZZ,8,FALSE)+SUM(_xlfn.XLOOKUP(S103:AG103,增益!$A:$A,增益!$H:$H,0))</f>
        <v>0</v>
      </c>
      <c r="AT103">
        <f t="shared" si="13"/>
        <v>0</v>
      </c>
      <c r="AU103">
        <f t="shared" si="14"/>
        <v>0</v>
      </c>
      <c r="AV103" s="32" cm="1">
        <f t="array" ref="AV103">IF($F$11-$I$4+VLOOKUP($R103,武学奇术!$A:$ZZ,9,FALSE)+SUM(_xlfn.XLOOKUP(S103:AG103,增益!$A:$A,增益!$I:$I,0))&gt;0,($F$11-$I$4+VLOOKUP($R103,武学奇术!$A:$ZZ,9,FALSE)+SUM(_xlfn.XLOOKUP(S103:AG103,增益!$A:$A,增益!$I:$I,0)))/200,($F$11-$I$4+VLOOKUP($R103,武学奇术!$A:$ZZ,9,FALSE)+SUM(_xlfn.XLOOKUP(S103:AG103,增益!$A:$A,增益!$I:$I,0)))/100)</f>
        <v>-0.3</v>
      </c>
      <c r="AW103" s="32" cm="1">
        <f t="array" ref="AW103">$G$11+VLOOKUP($R103,武学奇术!$A:$ZZ,10,FALSE)+SUM(_xlfn.XLOOKUP(S103:AG103,增益!$A:$A,增益!$J:$J,0))</f>
        <v>0</v>
      </c>
      <c r="AX103">
        <f t="shared" si="15"/>
        <v>0</v>
      </c>
      <c r="AY103">
        <f t="shared" si="16"/>
        <v>0</v>
      </c>
      <c r="AZ103" s="32" cm="1">
        <f t="array" ref="AZ103">IF($F$12-$I$4+VLOOKUP($R103,武学奇术!$A:$ZZ,11,FALSE)+SUM(_xlfn.XLOOKUP(S103:AG103,增益!$A:$A,增益!$K:$K,0))&gt;0,($F$12-$I$4+VLOOKUP($R103,武学奇术!$A:$ZZ,11,FALSE)+SUM(_xlfn.XLOOKUP(S103:AG103,增益!$A:$A,增益!$K:$K,0)))/200,($F$12-$I$4+VLOOKUP($R103,武学奇术!$A:$ZZ,11,FALSE)+SUM(_xlfn.XLOOKUP(S103:AG103,增益!$A:$A,增益!$K:$K,0)))/100)</f>
        <v>-0.3</v>
      </c>
      <c r="BA103" s="32" cm="1">
        <f t="array" ref="BA103">$G$12+VLOOKUP($R103,武学奇术!$A:$ZZ,12,FALSE)+SUM(_xlfn.XLOOKUP(S103:AG103,增益!$A:$A,增益!$L:$L,0))</f>
        <v>0</v>
      </c>
      <c r="BB103">
        <f t="shared" si="17"/>
        <v>0</v>
      </c>
      <c r="BC103">
        <f t="shared" si="18"/>
        <v>0</v>
      </c>
      <c r="BD103" s="32" cm="1">
        <f t="array" ref="BD103">IF($F$13-$I$4+VLOOKUP($R103,武学奇术!$A:$ZZ,13,FALSE)+SUM(_xlfn.XLOOKUP(S103:AG103,增益!$A:$A,增益!$M:$M,0))&gt;0,($F$13-$I$4+VLOOKUP($R103,武学奇术!$A:$ZZ,13,FALSE)+SUM(_xlfn.XLOOKUP(S103:AG103,增益!$A:$A,增益!$K:$K,0)))/200,($F$13-$I$4+VLOOKUP($R103,武学奇术!$A:$ZZ,13,FALSE)+SUM(_xlfn.XLOOKUP(S103:AG103,增益!$A:$A,增益!$M:$M,0)))/100)</f>
        <v>-0.3</v>
      </c>
      <c r="BE103" s="32" cm="1">
        <f t="array" ref="BE103">$G$13+VLOOKUP($R103,武学奇术!$A:$ZZ,14,FALSE)+SUM(_xlfn.XLOOKUP(S103:AG103,增益!$A:$A,增益!$N:$N,0))</f>
        <v>0</v>
      </c>
      <c r="BF103">
        <f t="shared" si="19"/>
        <v>571.2</v>
      </c>
      <c r="BG103">
        <f t="shared" si="20"/>
        <v>1627.8</v>
      </c>
      <c r="BH103" s="32" cm="1">
        <f t="array" ref="BH103">IF($F$14-$I$4+VLOOKUP($R103,武学奇术!$A:$ZZ,15,FALSE)+SUM(_xlfn.XLOOKUP(S103:AG103,增益!$A:$A,增益!$O:$O,0))&gt;0,($F$14-$I$4+VLOOKUP($R103,武学奇术!$A:$ZZ,15,FALSE)+SUM(_xlfn.XLOOKUP(S103:AG103,增益!$A:$A,增益!$O:$O,0)))/200,($F$14-$I$4+VLOOKUP($R103,武学奇术!$A:$ZZ,15,FALSE)+SUM(_xlfn.XLOOKUP(S103:AG103,增益!$A:$A,增益!$O:$O,0)))/100)</f>
        <v>0</v>
      </c>
      <c r="BI103" s="32" cm="1">
        <f t="array" ref="BI103">$G$14+VLOOKUP($R103,武学奇术!$A:$ZZ,16,FALSE)+SUM(_xlfn.XLOOKUP(S103:AG103,增益!$A:$A,增益!$P:$P,0))</f>
        <v>0.15</v>
      </c>
      <c r="BJ103" s="26">
        <f>MIN(IF(VLOOKUP($R103,武学奇术!$A:$ZZ,23,FALSE)=1,100%,$B$8),100%)</f>
        <v>0.981</v>
      </c>
      <c r="BK103" s="26" cm="1">
        <f t="array" ref="BK103">IF(VLOOKUP($R103,武学奇术!$A:$ZZ,23,FALSE)=1,100%,MIN(80%,$B$9+VLOOKUP($R103,武学奇术!$A:$ZZ,17,FALSE)+SUM(_xlfn.XLOOKUP(S103:AG103,增益!$A:$A,增益!$Q:$Q,0)))+$B$11+SUM(_xlfn.XLOOKUP(S103:AG103,增益!$A:$A,增益!$U:$U,0)))*IF(VLOOKUP($R103,武学奇术!$A:$ZZ,24,FALSE)=1,0,1)</f>
        <v>0.846</v>
      </c>
      <c r="BL103" s="26" cm="1">
        <f t="array" ref="BL103">1+$B$13+VLOOKUP($R103,武学奇术!$A:$ZZ,18,FALSE)+SUM(_xlfn.XLOOKUP(S103:AG103,增益!$A:$A,增益!$R:$R,0))</f>
        <v>1.64</v>
      </c>
      <c r="BM103" s="26" cm="1">
        <f t="array" ref="BM103">IF(VLOOKUP($R103,武学奇术!$A:$ZZ,24,FALSE)=1,100%,MIN(40%,$B$10+VLOOKUP($R103,武学奇术!$A:$ZZ,19,FALSE)+SUM(_xlfn.XLOOKUP(S103:AG103,增益!$A:$A,增益!$S:$S,0)))+$B$12+SUM(_xlfn.XLOOKUP(S103:AG103,增益!$A:$A,增益!$V:$V,0)))*IF(VLOOKUP($R103,武学奇术!$A:$ZZ,23,FALSE)=1,0,1)</f>
        <v>0.0929</v>
      </c>
      <c r="BN103" s="26" cm="1">
        <f t="array" ref="BN103">1+$B$14+VLOOKUP($R103,武学奇术!$A:$ZZ,20,FALSE)+SUM(_xlfn.XLOOKUP(S103:AG103,增益!$A:$A,增益!$T:$T,0))</f>
        <v>1.35</v>
      </c>
      <c r="BO103" s="26">
        <f t="shared" si="21"/>
        <v>0.829926</v>
      </c>
      <c r="BP103" s="26">
        <f t="shared" si="22"/>
        <v>0.0599391</v>
      </c>
      <c r="BQ103" s="26">
        <f>IF(VLOOKUP($R103,武学奇术!$A:$ZZ,22,FALSE)=1,0,(1-$BJ103))*(1-$BM103)</f>
        <v>0.0172349</v>
      </c>
      <c r="BR103" s="26" cm="1">
        <f t="array" ref="BR103">SUM(_xlfn.XLOOKUP(S103:AG103,增益!$A:$A,增益!$W:$W,0))+$I$5</f>
        <v>0.11</v>
      </c>
    </row>
    <row r="104" spans="11:70">
      <c r="K104">
        <f>$L104*VLOOKUP($R104,武学奇术!$A:$ZZ,31,FALSE)</f>
        <v>13315.352011149</v>
      </c>
      <c r="L104" s="38">
        <f t="shared" si="24"/>
        <v>12681.2876296657</v>
      </c>
      <c r="M104" s="38">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BL104*$Q104*(1+IF(VLOOKUP($R104,武学奇术!$A:$ZZ,30,FALSE)="回旋伞",$B$21,0))*(1+$BR104)</f>
        <v>13184.3723823511</v>
      </c>
      <c r="N104" s="38">
        <f>(($AP104*$AI104+$AJ104)*(1+$AQ104)*(1+$AR104)+($AU104*IF($G$1="鸣金",$AK104,$AI104)+IF($G$1="鸣金",$AL104*1.5,0))*(1+$AV104)*(1+$AW104)+($AY104*IF($G$1="裂石",$AK104,$AI104)+IF($G$1="裂石",$AL104*1.5,0))*(1+$AZ104)*(1+$BA104)+($BC104*IF($G$1="牵丝",$AK104,$AI104)+IF($G$1="牵丝",$AL104*1.5,0))*(1+$BD104)*(1+$BE104)+($BG104*IF($G$1="破竹",$AK104,$AI104)+IF($G$1="破竹",$AL104*1.5,0))*(1+$BH104)*(1+$BI104))*(1+$AM104)*$BN104*$Q104*(1+IF(VLOOKUP($R104,武学奇术!$A:$ZZ,30,FALSE)="回旋伞",$B$21,0))*(1+$BR104)</f>
        <v>12232.8170124909</v>
      </c>
      <c r="O104" s="38">
        <f>((($AO104+$AP104)/2*$AI104+$AJ104)*(1+$AQ104)*(1+$AR104)+(($AT104+$AU104)/2*IF($G$1="鸣金",$AK104,$AI104)+IF($G$1="鸣金",$AL104*1.5,0))*(1+$AV104)*(1+$AW104)+(($AX104+$AY104)/2*IF($G$1="裂石",$AK104,$AI104)+IF($G$1="裂石",$AL104*1.5,0))*(1+$AZ104)*(1+$BA104)+(($BB104+$BC104)/2*IF($G$1="牵丝",$AK104,$AI104)+IF($G$1="牵丝",$AL104*1.5,0))*(1+$BD104)*(1+$BE104)+(($BF104+$BG104)/2*IF($G$1="破竹",$AK104,$AI104)+IF($G$1="破竹",$AL104*1.5,0))*(1+$BH104)*(1+$BI104))*(1+$AM104)*$Q104*(1+IF(VLOOKUP($R104,武学奇术!$A:$ZZ,30,FALSE)="回旋伞",$B$21,0))*(1+$BR104)</f>
        <v>8039.2514526531</v>
      </c>
      <c r="P104" s="38">
        <f>((($AO104*$AI104+$AJ104)*(1+$AQ104)*(1+$AR104)+($AT104*IF($G$1="鸣金",$AK104,$AI104)+IF($G$1="鸣金",$AL104*1.5,0))*(1+$AV104)*(1+$AW104)+($AX104*IF($G$1="裂石",$AK104,$AI104)+IF($G$1="裂石",$AL104*1.5,0))*(1+$AZ104)*(1+$BA104)+($BB104*IF($G$1="牵丝",$AK104,$AI104)+IF($G$1="牵丝",$AL104*1.5,0))*(1+$BD104)*(1+$BE104)+($BF104*IF($G$1="破竹",$AK104,$AI104)+IF($G$1="破竹",$AL104*1.5,0))*(1+$BH104)*(1+$BI104))*(1+$AM104))*$Q104*(1+IF(VLOOKUP($R104,武学奇术!$A:$ZZ,30,FALSE)="回旋伞",$B$21,0))*(1+$BR104)</f>
        <v>7017.15697012773</v>
      </c>
      <c r="Q104" s="39">
        <v>1</v>
      </c>
      <c r="R104" s="40" t="s">
        <v>106</v>
      </c>
      <c r="S104" s="40" t="s">
        <v>72</v>
      </c>
      <c r="T104" s="40" t="s">
        <v>72</v>
      </c>
      <c r="U104" s="40" t="s">
        <v>72</v>
      </c>
      <c r="V104" s="40" t="s">
        <v>72</v>
      </c>
      <c r="W104" s="40" t="s">
        <v>172</v>
      </c>
      <c r="X104" s="40" t="s">
        <v>72</v>
      </c>
      <c r="Y104" s="40" t="s">
        <v>72</v>
      </c>
      <c r="Z104" s="40" t="s">
        <v>72</v>
      </c>
      <c r="AA104" s="40" t="s">
        <v>72</v>
      </c>
      <c r="AB104" s="40" t="s">
        <v>72</v>
      </c>
      <c r="AC104" s="40" t="s">
        <v>72</v>
      </c>
      <c r="AD104" s="40" t="s">
        <v>72</v>
      </c>
      <c r="AE104" s="40" t="s">
        <v>72</v>
      </c>
      <c r="AF104" s="40" t="s">
        <v>72</v>
      </c>
      <c r="AG104" s="40" t="s">
        <v>78</v>
      </c>
      <c r="AH104" t="str">
        <f>VLOOKUP($R104,武学奇术!$A:$ZZ,25,FALSE)</f>
        <v>绳镖</v>
      </c>
      <c r="AI104" s="26">
        <f>VLOOKUP($R104,武学奇术!$A:$ZZ,26,FALSE)</f>
        <v>0.7839</v>
      </c>
      <c r="AJ104" s="27">
        <f>VLOOKUP($R104,武学奇术!$A:$ZZ,27,FALSE)*(1+IF(OR($AH104=$F$4,$AH104=$F$5),$B$22,0))</f>
        <v>327</v>
      </c>
      <c r="AK104" s="26">
        <f>VLOOKUP($R104,武学奇术!$A:$ZZ,28,FALSE)</f>
        <v>1.1759</v>
      </c>
      <c r="AL104" s="27">
        <f>VLOOKUP($R104,武学奇术!$A:$ZZ,29,FALSE)*(1+IF(OR($AH104=$F$4,$AH104=$F$5),$B$22,0))</f>
        <v>178.5</v>
      </c>
      <c r="AM104" s="26" cm="1">
        <f t="array" ref="AM104">$G$3+IFERROR(VLOOKUP($AH104,$F$4:$G$7,2,FALSE),0)+VLOOKUP($R104,武学奇术!$A:$ZZ,2,FALSE)+SUM(_xlfn.XLOOKUP($S104:$AG104,增益!$A:$A,增益!$B:$B,0))</f>
        <v>0.2889</v>
      </c>
      <c r="AN104" s="26" cm="1">
        <f t="array" ref="AN104">VLOOKUP($R104,武学奇术!$A:$ZZ,5,FALSE)+SUM(_xlfn.XLOOKUP($S104:$AG104,增益!$A:$A,增益!$E:$E,0))</f>
        <v>0</v>
      </c>
      <c r="AO104" cm="1">
        <f t="array" ref="AO104">$D$10*(1+$AN104)+VLOOKUP($R104,武学奇术!$A:$ZZ,3,FALSE)+SUM(_xlfn.XLOOKUP($S104:$AG104,增益!$A:$A,增益!$C:$C,0))-$I$2</f>
        <v>3562.6</v>
      </c>
      <c r="AP104" cm="1">
        <f t="array" ref="AP104">$E$10*(1+$AN104)+VLOOKUP($R104,武学奇术!$A:$ZZ,4,FALSE)+SUM(_xlfn.XLOOKUP($S104:$AG104,增益!$A:$A,增益!$D:$D,0))-$I$2</f>
        <v>3562.6</v>
      </c>
      <c r="AQ104" s="32" cm="1">
        <f t="array" ref="AQ104">IF($F$10-$I$3+VLOOKUP($R104,武学奇术!$A:$ZZ,6,FALSE)+SUM(_xlfn.XLOOKUP(S104:AG104,增益!$A:$A,增益!$F:$F,0))&gt;0,($F$10-$I$3+VLOOKUP($R104,武学奇术!$A:$ZZ,6,FALSE)+SUM(_xlfn.XLOOKUP(S104:AG104,增益!$A:$A,增益!$F:$F,0)))/200,($F$10-$I$3+VLOOKUP($R104,武学奇术!$A:$ZZ,6,FALSE)+SUM(_xlfn.XLOOKUP(S104:AG104,增益!$A:$A,增益!$F:$F,0)))/100)</f>
        <v>0.1925</v>
      </c>
      <c r="AR104" s="32" cm="1">
        <f t="array" ref="AR104">$G$10+VLOOKUP($R104,武学奇术!$A:$ZZ,7,FALSE)+SUM(_xlfn.XLOOKUP(S104:AG104,增益!$A:$A,增益!$G:$G,0))</f>
        <v>0.028</v>
      </c>
      <c r="AS104" s="26" cm="1">
        <f t="array" ref="AS104">VLOOKUP($R104,武学奇术!$A:$ZZ,8,FALSE)+SUM(_xlfn.XLOOKUP(S104:AG104,增益!$A:$A,增益!$H:$H,0))</f>
        <v>0</v>
      </c>
      <c r="AT104">
        <f t="shared" si="13"/>
        <v>0</v>
      </c>
      <c r="AU104">
        <f t="shared" si="14"/>
        <v>0</v>
      </c>
      <c r="AV104" s="32" cm="1">
        <f t="array" ref="AV104">IF($F$11-$I$4+VLOOKUP($R104,武学奇术!$A:$ZZ,9,FALSE)+SUM(_xlfn.XLOOKUP(S104:AG104,增益!$A:$A,增益!$I:$I,0))&gt;0,($F$11-$I$4+VLOOKUP($R104,武学奇术!$A:$ZZ,9,FALSE)+SUM(_xlfn.XLOOKUP(S104:AG104,增益!$A:$A,增益!$I:$I,0)))/200,($F$11-$I$4+VLOOKUP($R104,武学奇术!$A:$ZZ,9,FALSE)+SUM(_xlfn.XLOOKUP(S104:AG104,增益!$A:$A,增益!$I:$I,0)))/100)</f>
        <v>-0.3</v>
      </c>
      <c r="AW104" s="32" cm="1">
        <f t="array" ref="AW104">$G$11+VLOOKUP($R104,武学奇术!$A:$ZZ,10,FALSE)+SUM(_xlfn.XLOOKUP(S104:AG104,增益!$A:$A,增益!$J:$J,0))</f>
        <v>0</v>
      </c>
      <c r="AX104">
        <f t="shared" si="15"/>
        <v>0</v>
      </c>
      <c r="AY104">
        <f t="shared" si="16"/>
        <v>0</v>
      </c>
      <c r="AZ104" s="32" cm="1">
        <f t="array" ref="AZ104">IF($F$12-$I$4+VLOOKUP($R104,武学奇术!$A:$ZZ,11,FALSE)+SUM(_xlfn.XLOOKUP(S104:AG104,增益!$A:$A,增益!$K:$K,0))&gt;0,($F$12-$I$4+VLOOKUP($R104,武学奇术!$A:$ZZ,11,FALSE)+SUM(_xlfn.XLOOKUP(S104:AG104,增益!$A:$A,增益!$K:$K,0)))/200,($F$12-$I$4+VLOOKUP($R104,武学奇术!$A:$ZZ,11,FALSE)+SUM(_xlfn.XLOOKUP(S104:AG104,增益!$A:$A,增益!$K:$K,0)))/100)</f>
        <v>-0.3</v>
      </c>
      <c r="BA104" s="32" cm="1">
        <f t="array" ref="BA104">$G$12+VLOOKUP($R104,武学奇术!$A:$ZZ,12,FALSE)+SUM(_xlfn.XLOOKUP(S104:AG104,增益!$A:$A,增益!$L:$L,0))</f>
        <v>0</v>
      </c>
      <c r="BB104">
        <f t="shared" si="17"/>
        <v>0</v>
      </c>
      <c r="BC104">
        <f t="shared" si="18"/>
        <v>0</v>
      </c>
      <c r="BD104" s="32" cm="1">
        <f t="array" ref="BD104">IF($F$13-$I$4+VLOOKUP($R104,武学奇术!$A:$ZZ,13,FALSE)+SUM(_xlfn.XLOOKUP(S104:AG104,增益!$A:$A,增益!$M:$M,0))&gt;0,($F$13-$I$4+VLOOKUP($R104,武学奇术!$A:$ZZ,13,FALSE)+SUM(_xlfn.XLOOKUP(S104:AG104,增益!$A:$A,增益!$K:$K,0)))/200,($F$13-$I$4+VLOOKUP($R104,武学奇术!$A:$ZZ,13,FALSE)+SUM(_xlfn.XLOOKUP(S104:AG104,增益!$A:$A,增益!$M:$M,0)))/100)</f>
        <v>-0.3</v>
      </c>
      <c r="BE104" s="32" cm="1">
        <f t="array" ref="BE104">$G$13+VLOOKUP($R104,武学奇术!$A:$ZZ,14,FALSE)+SUM(_xlfn.XLOOKUP(S104:AG104,增益!$A:$A,增益!$N:$N,0))</f>
        <v>0</v>
      </c>
      <c r="BF104">
        <f t="shared" si="19"/>
        <v>571.2</v>
      </c>
      <c r="BG104">
        <f t="shared" si="20"/>
        <v>1627.8</v>
      </c>
      <c r="BH104" s="32" cm="1">
        <f t="array" ref="BH104">IF($F$14-$I$4+VLOOKUP($R104,武学奇术!$A:$ZZ,15,FALSE)+SUM(_xlfn.XLOOKUP(S104:AG104,增益!$A:$A,增益!$O:$O,0))&gt;0,($F$14-$I$4+VLOOKUP($R104,武学奇术!$A:$ZZ,15,FALSE)+SUM(_xlfn.XLOOKUP(S104:AG104,增益!$A:$A,增益!$O:$O,0)))/200,($F$14-$I$4+VLOOKUP($R104,武学奇术!$A:$ZZ,15,FALSE)+SUM(_xlfn.XLOOKUP(S104:AG104,增益!$A:$A,增益!$O:$O,0)))/100)</f>
        <v>0</v>
      </c>
      <c r="BI104" s="32" cm="1">
        <f t="array" ref="BI104">$G$14+VLOOKUP($R104,武学奇术!$A:$ZZ,16,FALSE)+SUM(_xlfn.XLOOKUP(S104:AG104,增益!$A:$A,增益!$P:$P,0))</f>
        <v>0.15</v>
      </c>
      <c r="BJ104" s="26">
        <f>MIN(IF(VLOOKUP($R104,武学奇术!$A:$ZZ,23,FALSE)=1,100%,$B$8),100%)</f>
        <v>0.981</v>
      </c>
      <c r="BK104" s="26" cm="1">
        <f t="array" ref="BK104">IF(VLOOKUP($R104,武学奇术!$A:$ZZ,23,FALSE)=1,100%,MIN(80%,$B$9+VLOOKUP($R104,武学奇术!$A:$ZZ,17,FALSE)+SUM(_xlfn.XLOOKUP(S104:AG104,增益!$A:$A,增益!$Q:$Q,0)))+$B$11+SUM(_xlfn.XLOOKUP(S104:AG104,增益!$A:$A,增益!$U:$U,0)))*IF(VLOOKUP($R104,武学奇术!$A:$ZZ,24,FALSE)=1,0,1)</f>
        <v>0.846</v>
      </c>
      <c r="BL104" s="26" cm="1">
        <f t="array" ref="BL104">1+$B$13+VLOOKUP($R104,武学奇术!$A:$ZZ,18,FALSE)+SUM(_xlfn.XLOOKUP(S104:AG104,增益!$A:$A,增益!$R:$R,0))</f>
        <v>1.64</v>
      </c>
      <c r="BM104" s="26" cm="1">
        <f t="array" ref="BM104">IF(VLOOKUP($R104,武学奇术!$A:$ZZ,24,FALSE)=1,100%,MIN(40%,$B$10+VLOOKUP($R104,武学奇术!$A:$ZZ,19,FALSE)+SUM(_xlfn.XLOOKUP(S104:AG104,增益!$A:$A,增益!$S:$S,0)))+$B$12+SUM(_xlfn.XLOOKUP(S104:AG104,增益!$A:$A,增益!$V:$V,0)))*IF(VLOOKUP($R104,武学奇术!$A:$ZZ,23,FALSE)=1,0,1)</f>
        <v>0.0929</v>
      </c>
      <c r="BN104" s="26" cm="1">
        <f t="array" ref="BN104">1+$B$14+VLOOKUP($R104,武学奇术!$A:$ZZ,20,FALSE)+SUM(_xlfn.XLOOKUP(S104:AG104,增益!$A:$A,增益!$T:$T,0))</f>
        <v>1.35</v>
      </c>
      <c r="BO104" s="26">
        <f t="shared" si="21"/>
        <v>0.829926</v>
      </c>
      <c r="BP104" s="26">
        <f t="shared" si="22"/>
        <v>0.0599391</v>
      </c>
      <c r="BQ104" s="26">
        <f>IF(VLOOKUP($R104,武学奇术!$A:$ZZ,22,FALSE)=1,0,(1-$BJ104))*(1-$BM104)</f>
        <v>0.0172349</v>
      </c>
      <c r="BR104" s="26" cm="1">
        <f t="array" ref="BR104">SUM(_xlfn.XLOOKUP(S104:AG104,增益!$A:$A,增益!$W:$W,0))+$I$5</f>
        <v>0.11</v>
      </c>
    </row>
    <row r="105" spans="11:70">
      <c r="K105">
        <f>$L105*VLOOKUP($R105,武学奇术!$A:$ZZ,31,FALSE)</f>
        <v>62373.1895986582</v>
      </c>
      <c r="L105" s="38">
        <f t="shared" si="24"/>
        <v>59403.0377130078</v>
      </c>
      <c r="M105" s="38">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BL105*$Q105*(1+IF(VLOOKUP($R105,武学奇术!$A:$ZZ,30,FALSE)="回旋伞",$B$21,0))*(1+$BR105)</f>
        <v>62989.3205856136</v>
      </c>
      <c r="N105" s="38">
        <f>(($AP105*$AI105+$AJ105)*(1+$AQ105)*(1+$AR105)+($AU105*IF($G$1="鸣金",$AK105,$AI105)+IF($G$1="鸣金",$AL105*1.5,0))*(1+$AV105)*(1+$AW105)+($AY105*IF($G$1="裂石",$AK105,$AI105)+IF($G$1="裂石",$AL105*1.5,0))*(1+$AZ105)*(1+$BA105)+($BC105*IF($G$1="牵丝",$AK105,$AI105)+IF($G$1="牵丝",$AL105*1.5,0))*(1+$BD105)*(1+$BE105)+($BG105*IF($G$1="破竹",$AK105,$AI105)+IF($G$1="破竹",$AL105*1.5,0))*(1+$BH105)*(1+$BI105))*(1+$AM105)*$BN105*$Q105*(1+IF(VLOOKUP($R105,武学奇术!$A:$ZZ,30,FALSE)="回旋伞",$B$21,0))*(1+$BR105)</f>
        <v>50079.9853500116</v>
      </c>
      <c r="O105" s="38">
        <f>((($AO105+$AP105)/2*$AI105+$AJ105)*(1+$AQ105)*(1+$AR105)+(($AT105+$AU105)/2*IF($G$1="鸣金",$AK105,$AI105)+IF($G$1="鸣金",$AL105*1.5,0))*(1+$AV105)*(1+$AW105)+(($AX105+$AY105)/2*IF($G$1="裂石",$AK105,$AI105)+IF($G$1="裂石",$AL105*1.5,0))*(1+$AZ105)*(1+$BA105)+(($BB105+$BC105)/2*IF($G$1="牵丝",$AK105,$AI105)+IF($G$1="牵丝",$AL105*1.5,0))*(1+$BD105)*(1+$BE105)+(($BF105+$BG105)/2*IF($G$1="破竹",$AK105,$AI105)+IF($G$1="破竹",$AL105*1.5,0))*(1+$BH105)*(1+$BI105))*(1+$AM105)*$Q105*(1+IF(VLOOKUP($R105,武学奇术!$A:$ZZ,30,FALSE)="回旋伞",$B$21,0))*(1+$BR105)</f>
        <v>32978.7018772846</v>
      </c>
      <c r="P105" s="38">
        <f>((($AO105*$AI105+$AJ105)*(1+$AQ105)*(1+$AR105)+($AT105*IF($G$1="鸣金",$AK105,$AI105)+IF($G$1="鸣金",$AL105*1.5,0))*(1+$AV105)*(1+$AW105)+($AX105*IF($G$1="裂石",$AK105,$AI105)+IF($G$1="裂石",$AL105*1.5,0))*(1+$AZ105)*(1+$BA105)+($BB105*IF($G$1="牵丝",$AK105,$AI105)+IF($G$1="牵丝",$AL105*1.5,0))*(1+$BD105)*(1+$BE105)+($BF105*IF($G$1="破竹",$AK105,$AI105)+IF($G$1="破竹",$AL105*1.5,0))*(1+$BH105)*(1+$BI105))*(1+$AM105))*$Q105*(1+IF(VLOOKUP($R105,武学奇术!$A:$ZZ,30,FALSE)="回旋伞",$B$21,0))*(1+$BR105)</f>
        <v>28861.1183101161</v>
      </c>
      <c r="Q105" s="39">
        <v>1</v>
      </c>
      <c r="R105" s="40" t="s">
        <v>108</v>
      </c>
      <c r="S105" s="40" t="s">
        <v>109</v>
      </c>
      <c r="T105" s="40" t="s">
        <v>72</v>
      </c>
      <c r="U105" s="40" t="s">
        <v>73</v>
      </c>
      <c r="V105" s="40" t="s">
        <v>72</v>
      </c>
      <c r="W105" s="40" t="s">
        <v>172</v>
      </c>
      <c r="X105" s="40" t="s">
        <v>83</v>
      </c>
      <c r="Y105" s="40" t="s">
        <v>72</v>
      </c>
      <c r="Z105" s="40" t="s">
        <v>72</v>
      </c>
      <c r="AA105" s="40" t="s">
        <v>72</v>
      </c>
      <c r="AB105" s="40" t="s">
        <v>72</v>
      </c>
      <c r="AC105" s="40" t="s">
        <v>72</v>
      </c>
      <c r="AD105" s="40" t="s">
        <v>72</v>
      </c>
      <c r="AE105" s="40" t="s">
        <v>72</v>
      </c>
      <c r="AF105" s="40" t="s">
        <v>72</v>
      </c>
      <c r="AG105" s="40" t="s">
        <v>78</v>
      </c>
      <c r="AH105" t="str">
        <f>VLOOKUP($R105,武学奇术!$A:$ZZ,25,FALSE)</f>
        <v>伞</v>
      </c>
      <c r="AI105" s="26">
        <f>VLOOKUP($R105,武学奇术!$A:$ZZ,26,FALSE)</f>
        <v>1.8084</v>
      </c>
      <c r="AJ105" s="27">
        <f>VLOOKUP($R105,武学奇术!$A:$ZZ,27,FALSE)*(1+IF(OR($AH105=$F$4,$AH105=$F$5),$B$22,0))</f>
        <v>750</v>
      </c>
      <c r="AK105" s="26">
        <f>VLOOKUP($R105,武学奇术!$A:$ZZ,28,FALSE)</f>
        <v>2.7126</v>
      </c>
      <c r="AL105" s="27">
        <f>VLOOKUP($R105,武学奇术!$A:$ZZ,29,FALSE)*(1+IF(OR($AH105=$F$4,$AH105=$F$5),$B$22,0))</f>
        <v>408</v>
      </c>
      <c r="AM105" s="26" cm="1">
        <f t="array" ref="AM105">$G$3+IFERROR(VLOOKUP($AH105,$F$4:$G$7,2,FALSE),0)+VLOOKUP($R105,武学奇术!$A:$ZZ,2,FALSE)+SUM(_xlfn.XLOOKUP($S105:$AG105,增益!$A:$A,增益!$B:$B,0))</f>
        <v>0.5441</v>
      </c>
      <c r="AN105" s="26" cm="1">
        <f t="array" ref="AN105">VLOOKUP($R105,武学奇术!$A:$ZZ,5,FALSE)+SUM(_xlfn.XLOOKUP($S105:$AG105,增益!$A:$A,增益!$E:$E,0))</f>
        <v>0</v>
      </c>
      <c r="AO105" cm="1">
        <f t="array" ref="AO105">$D$10*(1+$AN105)+VLOOKUP($R105,武学奇术!$A:$ZZ,3,FALSE)+SUM(_xlfn.XLOOKUP($S105:$AG105,增益!$A:$A,增益!$C:$C,0))-$I$2</f>
        <v>3562.6</v>
      </c>
      <c r="AP105" cm="1">
        <f t="array" ref="AP105">$E$10*(1+$AN105)+VLOOKUP($R105,武学奇术!$A:$ZZ,4,FALSE)+SUM(_xlfn.XLOOKUP($S105:$AG105,增益!$A:$A,增益!$D:$D,0))-$I$2</f>
        <v>3562.6</v>
      </c>
      <c r="AQ105" s="32" cm="1">
        <f t="array" ref="AQ105">IF($F$10-$I$3+VLOOKUP($R105,武学奇术!$A:$ZZ,6,FALSE)+SUM(_xlfn.XLOOKUP(S105:AG105,增益!$A:$A,增益!$F:$F,0))&gt;0,($F$10-$I$3+VLOOKUP($R105,武学奇术!$A:$ZZ,6,FALSE)+SUM(_xlfn.XLOOKUP(S105:AG105,增益!$A:$A,增益!$F:$F,0)))/200,($F$10-$I$3+VLOOKUP($R105,武学奇术!$A:$ZZ,6,FALSE)+SUM(_xlfn.XLOOKUP(S105:AG105,增益!$A:$A,增益!$F:$F,0)))/100)</f>
        <v>0.2125</v>
      </c>
      <c r="AR105" s="32" cm="1">
        <f t="array" ref="AR105">$G$10+VLOOKUP($R105,武学奇术!$A:$ZZ,7,FALSE)+SUM(_xlfn.XLOOKUP(S105:AG105,增益!$A:$A,增益!$G:$G,0))</f>
        <v>0.148</v>
      </c>
      <c r="AS105" s="26" cm="1">
        <f t="array" ref="AS105">VLOOKUP($R105,武学奇术!$A:$ZZ,8,FALSE)+SUM(_xlfn.XLOOKUP(S105:AG105,增益!$A:$A,增益!$H:$H,0))</f>
        <v>0</v>
      </c>
      <c r="AT105">
        <f t="shared" si="13"/>
        <v>0</v>
      </c>
      <c r="AU105">
        <f t="shared" si="14"/>
        <v>0</v>
      </c>
      <c r="AV105" s="32" cm="1">
        <f t="array" ref="AV105">IF($F$11-$I$4+VLOOKUP($R105,武学奇术!$A:$ZZ,9,FALSE)+SUM(_xlfn.XLOOKUP(S105:AG105,增益!$A:$A,增益!$I:$I,0))&gt;0,($F$11-$I$4+VLOOKUP($R105,武学奇术!$A:$ZZ,9,FALSE)+SUM(_xlfn.XLOOKUP(S105:AG105,增益!$A:$A,增益!$I:$I,0)))/200,($F$11-$I$4+VLOOKUP($R105,武学奇术!$A:$ZZ,9,FALSE)+SUM(_xlfn.XLOOKUP(S105:AG105,增益!$A:$A,增益!$I:$I,0)))/100)</f>
        <v>-0.3</v>
      </c>
      <c r="AW105" s="32" cm="1">
        <f t="array" ref="AW105">$G$11+VLOOKUP($R105,武学奇术!$A:$ZZ,10,FALSE)+SUM(_xlfn.XLOOKUP(S105:AG105,增益!$A:$A,增益!$J:$J,0))</f>
        <v>0</v>
      </c>
      <c r="AX105">
        <f t="shared" si="15"/>
        <v>0</v>
      </c>
      <c r="AY105">
        <f t="shared" si="16"/>
        <v>0</v>
      </c>
      <c r="AZ105" s="32" cm="1">
        <f t="array" ref="AZ105">IF($F$12-$I$4+VLOOKUP($R105,武学奇术!$A:$ZZ,11,FALSE)+SUM(_xlfn.XLOOKUP(S105:AG105,增益!$A:$A,增益!$K:$K,0))&gt;0,($F$12-$I$4+VLOOKUP($R105,武学奇术!$A:$ZZ,11,FALSE)+SUM(_xlfn.XLOOKUP(S105:AG105,增益!$A:$A,增益!$K:$K,0)))/200,($F$12-$I$4+VLOOKUP($R105,武学奇术!$A:$ZZ,11,FALSE)+SUM(_xlfn.XLOOKUP(S105:AG105,增益!$A:$A,增益!$K:$K,0)))/100)</f>
        <v>-0.3</v>
      </c>
      <c r="BA105" s="32" cm="1">
        <f t="array" ref="BA105">$G$12+VLOOKUP($R105,武学奇术!$A:$ZZ,12,FALSE)+SUM(_xlfn.XLOOKUP(S105:AG105,增益!$A:$A,增益!$L:$L,0))</f>
        <v>0</v>
      </c>
      <c r="BB105">
        <f t="shared" si="17"/>
        <v>0</v>
      </c>
      <c r="BC105">
        <f t="shared" si="18"/>
        <v>0</v>
      </c>
      <c r="BD105" s="32" cm="1">
        <f t="array" ref="BD105">IF($F$13-$I$4+VLOOKUP($R105,武学奇术!$A:$ZZ,13,FALSE)+SUM(_xlfn.XLOOKUP(S105:AG105,增益!$A:$A,增益!$M:$M,0))&gt;0,($F$13-$I$4+VLOOKUP($R105,武学奇术!$A:$ZZ,13,FALSE)+SUM(_xlfn.XLOOKUP(S105:AG105,增益!$A:$A,增益!$K:$K,0)))/200,($F$13-$I$4+VLOOKUP($R105,武学奇术!$A:$ZZ,13,FALSE)+SUM(_xlfn.XLOOKUP(S105:AG105,增益!$A:$A,增益!$M:$M,0)))/100)</f>
        <v>-0.3</v>
      </c>
      <c r="BE105" s="32" cm="1">
        <f t="array" ref="BE105">$G$13+VLOOKUP($R105,武学奇术!$A:$ZZ,14,FALSE)+SUM(_xlfn.XLOOKUP(S105:AG105,增益!$A:$A,增益!$N:$N,0))</f>
        <v>0</v>
      </c>
      <c r="BF105">
        <f t="shared" si="19"/>
        <v>571.2</v>
      </c>
      <c r="BG105">
        <f t="shared" si="20"/>
        <v>1627.8</v>
      </c>
      <c r="BH105" s="32" cm="1">
        <f t="array" ref="BH105">IF($F$14-$I$4+VLOOKUP($R105,武学奇术!$A:$ZZ,15,FALSE)+SUM(_xlfn.XLOOKUP(S105:AG105,增益!$A:$A,增益!$O:$O,0))&gt;0,($F$14-$I$4+VLOOKUP($R105,武学奇术!$A:$ZZ,15,FALSE)+SUM(_xlfn.XLOOKUP(S105:AG105,增益!$A:$A,增益!$O:$O,0)))/200,($F$14-$I$4+VLOOKUP($R105,武学奇术!$A:$ZZ,15,FALSE)+SUM(_xlfn.XLOOKUP(S105:AG105,增益!$A:$A,增益!$O:$O,0)))/100)</f>
        <v>0</v>
      </c>
      <c r="BI105" s="32" cm="1">
        <f t="array" ref="BI105">$G$14+VLOOKUP($R105,武学奇术!$A:$ZZ,16,FALSE)+SUM(_xlfn.XLOOKUP(S105:AG105,增益!$A:$A,增益!$P:$P,0))</f>
        <v>0.27</v>
      </c>
      <c r="BJ105" s="26">
        <f>MIN(IF(VLOOKUP($R105,武学奇术!$A:$ZZ,23,FALSE)=1,100%,$B$8),100%)</f>
        <v>0.981</v>
      </c>
      <c r="BK105" s="26" cm="1">
        <f t="array" ref="BK105">IF(VLOOKUP($R105,武学奇术!$A:$ZZ,23,FALSE)=1,100%,MIN(80%,$B$9+VLOOKUP($R105,武学奇术!$A:$ZZ,17,FALSE)+SUM(_xlfn.XLOOKUP(S105:AG105,增益!$A:$A,增益!$Q:$Q,0)))+$B$11+SUM(_xlfn.XLOOKUP(S105:AG105,增益!$A:$A,增益!$U:$U,0)))*IF(VLOOKUP($R105,武学奇术!$A:$ZZ,24,FALSE)=1,0,1)</f>
        <v>0.846</v>
      </c>
      <c r="BL105" s="26" cm="1">
        <f t="array" ref="BL105">1+$B$13+VLOOKUP($R105,武学奇术!$A:$ZZ,18,FALSE)+SUM(_xlfn.XLOOKUP(S105:AG105,增益!$A:$A,增益!$R:$R,0))</f>
        <v>1.91</v>
      </c>
      <c r="BM105" s="26" cm="1">
        <f t="array" ref="BM105">IF(VLOOKUP($R105,武学奇术!$A:$ZZ,24,FALSE)=1,100%,MIN(40%,$B$10+VLOOKUP($R105,武学奇术!$A:$ZZ,19,FALSE)+SUM(_xlfn.XLOOKUP(S105:AG105,增益!$A:$A,增益!$S:$S,0)))+$B$12+SUM(_xlfn.XLOOKUP(S105:AG105,增益!$A:$A,增益!$V:$V,0)))*IF(VLOOKUP($R105,武学奇术!$A:$ZZ,23,FALSE)=1,0,1)</f>
        <v>0.0929</v>
      </c>
      <c r="BN105" s="26" cm="1">
        <f t="array" ref="BN105">1+$B$14+VLOOKUP($R105,武学奇术!$A:$ZZ,20,FALSE)+SUM(_xlfn.XLOOKUP(S105:AG105,增益!$A:$A,增益!$T:$T,0))</f>
        <v>1.35</v>
      </c>
      <c r="BO105" s="26">
        <f t="shared" si="21"/>
        <v>0.829926</v>
      </c>
      <c r="BP105" s="26">
        <f t="shared" si="22"/>
        <v>0.0599391</v>
      </c>
      <c r="BQ105" s="26">
        <f>IF(VLOOKUP($R105,武学奇术!$A:$ZZ,22,FALSE)=1,0,(1-$BJ105))*(1-$BM105)</f>
        <v>0.0172349</v>
      </c>
      <c r="BR105" s="26" cm="1">
        <f t="array" ref="BR105">SUM(_xlfn.XLOOKUP(S105:AG105,增益!$A:$A,增益!$W:$W,0))+$I$5</f>
        <v>0.11</v>
      </c>
    </row>
    <row r="106" spans="11:70">
      <c r="K106">
        <f>$L106*VLOOKUP($R106,武学奇术!$A:$ZZ,31,FALSE)</f>
        <v>36857.5414588984</v>
      </c>
      <c r="L106" s="38">
        <f t="shared" si="24"/>
        <v>35102.4204370461</v>
      </c>
      <c r="M106" s="38">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BL106*$Q106*(1+IF(VLOOKUP($R106,武学奇术!$A:$ZZ,30,FALSE)="回旋伞",$B$21,0))*(1+$BR106)</f>
        <v>37181.8173525362</v>
      </c>
      <c r="N106" s="38">
        <f>(($AP106*$AI106+$AJ106)*(1+$AQ106)*(1+$AR106)+($AU106*IF($G$1="鸣金",$AK106,$AI106)+IF($G$1="鸣金",$AL106*1.5,0))*(1+$AV106)*(1+$AW106)+($AY106*IF($G$1="裂石",$AK106,$AI106)+IF($G$1="裂石",$AL106*1.5,0))*(1+$AZ106)*(1+$BA106)+($BC106*IF($G$1="牵丝",$AK106,$AI106)+IF($G$1="牵丝",$AL106*1.5,0))*(1+$BD106)*(1+$BE106)+($BG106*IF($G$1="破竹",$AK106,$AI106)+IF($G$1="破竹",$AL106*1.5,0))*(1+$BH106)*(1+$BI106))*(1+$AM106)*$BN106*$Q106*(1+IF(VLOOKUP($R106,武学奇术!$A:$ZZ,30,FALSE)="回旋伞",$B$21,0))*(1+$BR106)</f>
        <v>30030.0842763749</v>
      </c>
      <c r="O106" s="38">
        <f>((($AO106+$AP106)/2*$AI106+$AJ106)*(1+$AQ106)*(1+$AR106)+(($AT106+$AU106)/2*IF($G$1="鸣金",$AK106,$AI106)+IF($G$1="鸣金",$AL106*1.5,0))*(1+$AV106)*(1+$AW106)+(($AX106+$AY106)/2*IF($G$1="裂石",$AK106,$AI106)+IF($G$1="裂石",$AL106*1.5,0))*(1+$AZ106)*(1+$BA106)+(($BB106+$BC106)/2*IF($G$1="牵丝",$AK106,$AI106)+IF($G$1="牵丝",$AL106*1.5,0))*(1+$BD106)*(1+$BE106)+(($BF106+$BG106)/2*IF($G$1="破竹",$AK106,$AI106)+IF($G$1="破竹",$AL106*1.5,0))*(1+$BH106)*(1+$BI106))*(1+$AM106)*$Q106*(1+IF(VLOOKUP($R106,武学奇术!$A:$ZZ,30,FALSE)="回旋伞",$B$21,0))*(1+$BR106)</f>
        <v>19466.9200798619</v>
      </c>
      <c r="P106" s="38">
        <f>((($AO106*$AI106+$AJ106)*(1+$AQ106)*(1+$AR106)+($AT106*IF($G$1="鸣金",$AK106,$AI106)+IF($G$1="鸣金",$AL106*1.5,0))*(1+$AV106)*(1+$AW106)+($AX106*IF($G$1="裂石",$AK106,$AI106)+IF($G$1="裂石",$AL106*1.5,0))*(1+$AZ106)*(1+$BA106)+($BB106*IF($G$1="牵丝",$AK106,$AI106)+IF($G$1="牵丝",$AL106*1.5,0))*(1+$BD106)*(1+$BE106)+($BF106*IF($G$1="破竹",$AK106,$AI106)+IF($G$1="破竹",$AL106*1.5,0))*(1+$BH106)*(1+$BI106))*(1+$AM106))*$Q106*(1+IF(VLOOKUP($R106,武学奇术!$A:$ZZ,30,FALSE)="回旋伞",$B$21,0))*(1+$BR106)</f>
        <v>16689.333288335</v>
      </c>
      <c r="Q106" s="39">
        <v>2</v>
      </c>
      <c r="R106" s="40" t="s">
        <v>112</v>
      </c>
      <c r="S106" s="40" t="s">
        <v>109</v>
      </c>
      <c r="T106" s="40" t="s">
        <v>72</v>
      </c>
      <c r="U106" s="40" t="s">
        <v>73</v>
      </c>
      <c r="V106" s="40" t="s">
        <v>72</v>
      </c>
      <c r="W106" s="40" t="s">
        <v>172</v>
      </c>
      <c r="X106" s="40" t="s">
        <v>83</v>
      </c>
      <c r="Y106" s="40" t="s">
        <v>72</v>
      </c>
      <c r="Z106" s="40" t="s">
        <v>72</v>
      </c>
      <c r="AA106" s="40" t="s">
        <v>72</v>
      </c>
      <c r="AB106" s="40" t="s">
        <v>72</v>
      </c>
      <c r="AC106" s="40" t="s">
        <v>72</v>
      </c>
      <c r="AD106" s="40" t="s">
        <v>72</v>
      </c>
      <c r="AE106" s="40" t="s">
        <v>72</v>
      </c>
      <c r="AF106" s="40" t="s">
        <v>72</v>
      </c>
      <c r="AG106" s="40" t="s">
        <v>78</v>
      </c>
      <c r="AH106" t="str">
        <f>VLOOKUP($R106,武学奇术!$A:$ZZ,25,FALSE)</f>
        <v>伞</v>
      </c>
      <c r="AI106" s="26">
        <f>VLOOKUP($R106,武学奇术!$A:$ZZ,26,FALSE)</f>
        <v>0.54</v>
      </c>
      <c r="AJ106" s="27">
        <f>VLOOKUP($R106,武学奇术!$A:$ZZ,27,FALSE)*(1+IF(OR($AH106=$F$4,$AH106=$F$5),$B$22,0))</f>
        <v>0</v>
      </c>
      <c r="AK106" s="26">
        <f>VLOOKUP($R106,武学奇术!$A:$ZZ,28,FALSE)</f>
        <v>0.81</v>
      </c>
      <c r="AL106" s="27">
        <f>VLOOKUP($R106,武学奇术!$A:$ZZ,29,FALSE)*(1+IF(OR($AH106=$F$4,$AH106=$F$5),$B$22,0))</f>
        <v>0</v>
      </c>
      <c r="AM106" s="26" cm="1">
        <f t="array" ref="AM106">$G$3+IFERROR(VLOOKUP($AH106,$F$4:$G$7,2,FALSE),0)+VLOOKUP($R106,武学奇术!$A:$ZZ,2,FALSE)+SUM(_xlfn.XLOOKUP($S106:$AG106,增益!$A:$A,增益!$B:$B,0))</f>
        <v>0.7441</v>
      </c>
      <c r="AN106" s="26" cm="1">
        <f t="array" ref="AN106">VLOOKUP($R106,武学奇术!$A:$ZZ,5,FALSE)+SUM(_xlfn.XLOOKUP($S106:$AG106,增益!$A:$A,增益!$E:$E,0))</f>
        <v>0</v>
      </c>
      <c r="AO106" cm="1">
        <f t="array" ref="AO106">$D$10*(1+$AN106)+VLOOKUP($R106,武学奇术!$A:$ZZ,3,FALSE)+SUM(_xlfn.XLOOKUP($S106:$AG106,增益!$A:$A,增益!$C:$C,0))-$I$2</f>
        <v>3562.6</v>
      </c>
      <c r="AP106" cm="1">
        <f t="array" ref="AP106">$E$10*(1+$AN106)+VLOOKUP($R106,武学奇术!$A:$ZZ,4,FALSE)+SUM(_xlfn.XLOOKUP($S106:$AG106,增益!$A:$A,增益!$D:$D,0))-$I$2</f>
        <v>3562.6</v>
      </c>
      <c r="AQ106" s="32" cm="1">
        <f t="array" ref="AQ106">IF($F$10-$I$3+VLOOKUP($R106,武学奇术!$A:$ZZ,6,FALSE)+SUM(_xlfn.XLOOKUP(S106:AG106,增益!$A:$A,增益!$F:$F,0))&gt;0,($F$10-$I$3+VLOOKUP($R106,武学奇术!$A:$ZZ,6,FALSE)+SUM(_xlfn.XLOOKUP(S106:AG106,增益!$A:$A,增益!$F:$F,0)))/200,($F$10-$I$3+VLOOKUP($R106,武学奇术!$A:$ZZ,6,FALSE)+SUM(_xlfn.XLOOKUP(S106:AG106,增益!$A:$A,增益!$F:$F,0)))/100)</f>
        <v>0.2125</v>
      </c>
      <c r="AR106" s="32" cm="1">
        <f t="array" ref="AR106">$G$10+VLOOKUP($R106,武学奇术!$A:$ZZ,7,FALSE)+SUM(_xlfn.XLOOKUP(S106:AG106,增益!$A:$A,增益!$G:$G,0))</f>
        <v>0.148</v>
      </c>
      <c r="AS106" s="26" cm="1">
        <f t="array" ref="AS106">VLOOKUP($R106,武学奇术!$A:$ZZ,8,FALSE)+SUM(_xlfn.XLOOKUP(S106:AG106,增益!$A:$A,增益!$H:$H,0))</f>
        <v>0</v>
      </c>
      <c r="AT106">
        <f t="shared" si="13"/>
        <v>0</v>
      </c>
      <c r="AU106">
        <f t="shared" si="14"/>
        <v>0</v>
      </c>
      <c r="AV106" s="32" cm="1">
        <f t="array" ref="AV106">IF($F$11-$I$4+VLOOKUP($R106,武学奇术!$A:$ZZ,9,FALSE)+SUM(_xlfn.XLOOKUP(S106:AG106,增益!$A:$A,增益!$I:$I,0))&gt;0,($F$11-$I$4+VLOOKUP($R106,武学奇术!$A:$ZZ,9,FALSE)+SUM(_xlfn.XLOOKUP(S106:AG106,增益!$A:$A,增益!$I:$I,0)))/200,($F$11-$I$4+VLOOKUP($R106,武学奇术!$A:$ZZ,9,FALSE)+SUM(_xlfn.XLOOKUP(S106:AG106,增益!$A:$A,增益!$I:$I,0)))/100)</f>
        <v>-0.3</v>
      </c>
      <c r="AW106" s="32" cm="1">
        <f t="array" ref="AW106">$G$11+VLOOKUP($R106,武学奇术!$A:$ZZ,10,FALSE)+SUM(_xlfn.XLOOKUP(S106:AG106,增益!$A:$A,增益!$J:$J,0))</f>
        <v>0</v>
      </c>
      <c r="AX106">
        <f t="shared" si="15"/>
        <v>0</v>
      </c>
      <c r="AY106">
        <f t="shared" si="16"/>
        <v>0</v>
      </c>
      <c r="AZ106" s="32" cm="1">
        <f t="array" ref="AZ106">IF($F$12-$I$4+VLOOKUP($R106,武学奇术!$A:$ZZ,11,FALSE)+SUM(_xlfn.XLOOKUP(S106:AG106,增益!$A:$A,增益!$K:$K,0))&gt;0,($F$12-$I$4+VLOOKUP($R106,武学奇术!$A:$ZZ,11,FALSE)+SUM(_xlfn.XLOOKUP(S106:AG106,增益!$A:$A,增益!$K:$K,0)))/200,($F$12-$I$4+VLOOKUP($R106,武学奇术!$A:$ZZ,11,FALSE)+SUM(_xlfn.XLOOKUP(S106:AG106,增益!$A:$A,增益!$K:$K,0)))/100)</f>
        <v>-0.3</v>
      </c>
      <c r="BA106" s="32" cm="1">
        <f t="array" ref="BA106">$G$12+VLOOKUP($R106,武学奇术!$A:$ZZ,12,FALSE)+SUM(_xlfn.XLOOKUP(S106:AG106,增益!$A:$A,增益!$L:$L,0))</f>
        <v>0</v>
      </c>
      <c r="BB106">
        <f t="shared" si="17"/>
        <v>0</v>
      </c>
      <c r="BC106">
        <f t="shared" si="18"/>
        <v>0</v>
      </c>
      <c r="BD106" s="32" cm="1">
        <f t="array" ref="BD106">IF($F$13-$I$4+VLOOKUP($R106,武学奇术!$A:$ZZ,13,FALSE)+SUM(_xlfn.XLOOKUP(S106:AG106,增益!$A:$A,增益!$M:$M,0))&gt;0,($F$13-$I$4+VLOOKUP($R106,武学奇术!$A:$ZZ,13,FALSE)+SUM(_xlfn.XLOOKUP(S106:AG106,增益!$A:$A,增益!$K:$K,0)))/200,($F$13-$I$4+VLOOKUP($R106,武学奇术!$A:$ZZ,13,FALSE)+SUM(_xlfn.XLOOKUP(S106:AG106,增益!$A:$A,增益!$M:$M,0)))/100)</f>
        <v>-0.3</v>
      </c>
      <c r="BE106" s="32" cm="1">
        <f t="array" ref="BE106">$G$13+VLOOKUP($R106,武学奇术!$A:$ZZ,14,FALSE)+SUM(_xlfn.XLOOKUP(S106:AG106,增益!$A:$A,增益!$N:$N,0))</f>
        <v>0</v>
      </c>
      <c r="BF106">
        <f t="shared" si="19"/>
        <v>571.2</v>
      </c>
      <c r="BG106">
        <f t="shared" si="20"/>
        <v>1627.8</v>
      </c>
      <c r="BH106" s="32" cm="1">
        <f t="array" ref="BH106">IF($F$14-$I$4+VLOOKUP($R106,武学奇术!$A:$ZZ,15,FALSE)+SUM(_xlfn.XLOOKUP(S106:AG106,增益!$A:$A,增益!$O:$O,0))&gt;0,($F$14-$I$4+VLOOKUP($R106,武学奇术!$A:$ZZ,15,FALSE)+SUM(_xlfn.XLOOKUP(S106:AG106,增益!$A:$A,增益!$O:$O,0)))/200,($F$14-$I$4+VLOOKUP($R106,武学奇术!$A:$ZZ,15,FALSE)+SUM(_xlfn.XLOOKUP(S106:AG106,增益!$A:$A,增益!$O:$O,0)))/100)</f>
        <v>0</v>
      </c>
      <c r="BI106" s="32" cm="1">
        <f t="array" ref="BI106">$G$14+VLOOKUP($R106,武学奇术!$A:$ZZ,16,FALSE)+SUM(_xlfn.XLOOKUP(S106:AG106,增益!$A:$A,增益!$P:$P,0))</f>
        <v>0.27</v>
      </c>
      <c r="BJ106" s="26">
        <f>MIN(IF(VLOOKUP($R106,武学奇术!$A:$ZZ,23,FALSE)=1,100%,$B$8),100%)</f>
        <v>0.981</v>
      </c>
      <c r="BK106" s="26" cm="1">
        <f t="array" ref="BK106">IF(VLOOKUP($R106,武学奇术!$A:$ZZ,23,FALSE)=1,100%,MIN(80%,$B$9+VLOOKUP($R106,武学奇术!$A:$ZZ,17,FALSE)+SUM(_xlfn.XLOOKUP(S106:AG106,增益!$A:$A,增益!$Q:$Q,0)))+$B$11+SUM(_xlfn.XLOOKUP(S106:AG106,增益!$A:$A,增益!$U:$U,0)))*IF(VLOOKUP($R106,武学奇术!$A:$ZZ,24,FALSE)=1,0,1)</f>
        <v>0.846</v>
      </c>
      <c r="BL106" s="26" cm="1">
        <f t="array" ref="BL106">1+$B$13+VLOOKUP($R106,武学奇术!$A:$ZZ,18,FALSE)+SUM(_xlfn.XLOOKUP(S106:AG106,增益!$A:$A,增益!$R:$R,0))</f>
        <v>1.91</v>
      </c>
      <c r="BM106" s="26" cm="1">
        <f t="array" ref="BM106">IF(VLOOKUP($R106,武学奇术!$A:$ZZ,24,FALSE)=1,100%,MIN(40%,$B$10+VLOOKUP($R106,武学奇术!$A:$ZZ,19,FALSE)+SUM(_xlfn.XLOOKUP(S106:AG106,增益!$A:$A,增益!$S:$S,0)))+$B$12+SUM(_xlfn.XLOOKUP(S106:AG106,增益!$A:$A,增益!$V:$V,0)))*IF(VLOOKUP($R106,武学奇术!$A:$ZZ,23,FALSE)=1,0,1)</f>
        <v>0.0929</v>
      </c>
      <c r="BN106" s="26" cm="1">
        <f t="array" ref="BN106">1+$B$14+VLOOKUP($R106,武学奇术!$A:$ZZ,20,FALSE)+SUM(_xlfn.XLOOKUP(S106:AG106,增益!$A:$A,增益!$T:$T,0))</f>
        <v>1.35</v>
      </c>
      <c r="BO106" s="26">
        <f t="shared" si="21"/>
        <v>0.829926</v>
      </c>
      <c r="BP106" s="26">
        <f t="shared" si="22"/>
        <v>0.0599391</v>
      </c>
      <c r="BQ106" s="26">
        <f>IF(VLOOKUP($R106,武学奇术!$A:$ZZ,22,FALSE)=1,0,(1-$BJ106))*(1-$BM106)</f>
        <v>0.0172349</v>
      </c>
      <c r="BR106" s="26" cm="1">
        <f t="array" ref="BR106">SUM(_xlfn.XLOOKUP(S106:AG106,增益!$A:$A,增益!$W:$W,0))+$I$5</f>
        <v>0.11</v>
      </c>
    </row>
    <row r="107" spans="11:70">
      <c r="K107">
        <f>$L107*VLOOKUP($R107,武学奇术!$A:$ZZ,31,FALSE)</f>
        <v>64818.362816542</v>
      </c>
      <c r="L107" s="38">
        <f t="shared" si="24"/>
        <v>61731.7741109924</v>
      </c>
      <c r="M107" s="38">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BL107*$Q107*(1+IF(VLOOKUP($R107,武学奇术!$A:$ZZ,30,FALSE)="回旋伞",$B$21,0))*(1+$BR107)</f>
        <v>65704.0747115637</v>
      </c>
      <c r="N107" s="38">
        <f>(($AP107*$AI107+$AJ107)*(1+$AQ107)*(1+$AR107)+($AU107*IF($G$1="鸣金",$AK107,$AI107)+IF($G$1="鸣金",$AL107*1.5,0))*(1+$AV107)*(1+$AW107)+($AY107*IF($G$1="裂石",$AK107,$AI107)+IF($G$1="裂石",$AL107*1.5,0))*(1+$AZ107)*(1+$BA107)+($BC107*IF($G$1="牵丝",$AK107,$AI107)+IF($G$1="牵丝",$AL107*1.5,0))*(1+$BD107)*(1+$BE107)+($BG107*IF($G$1="破竹",$AK107,$AI107)+IF($G$1="破竹",$AL107*1.5,0))*(1+$BH107)*(1+$BI107))*(1+$AM107)*$BN107*$Q107*(1+IF(VLOOKUP($R107,武学奇术!$A:$ZZ,30,FALSE)="回旋伞",$B$21,0))*(1+$BR107)</f>
        <v>50584.3727703023</v>
      </c>
      <c r="O107" s="38">
        <f>((($AO107+$AP107)/2*$AI107+$AJ107)*(1+$AQ107)*(1+$AR107)+(($AT107+$AU107)/2*IF($G$1="鸣金",$AK107,$AI107)+IF($G$1="鸣金",$AL107*1.5,0))*(1+$AV107)*(1+$AW107)+(($AX107+$AY107)/2*IF($G$1="裂石",$AK107,$AI107)+IF($G$1="裂石",$AL107*1.5,0))*(1+$AZ107)*(1+$BA107)+(($BB107+$BC107)/2*IF($G$1="牵丝",$AK107,$AI107)+IF($G$1="牵丝",$AL107*1.5,0))*(1+$BD107)*(1+$BE107)+(($BF107+$BG107)/2*IF($G$1="破竹",$AK107,$AI107)+IF($G$1="破竹",$AL107*1.5,0))*(1+$BH107)*(1+$BI107))*(1+$AM107)*$Q107*(1+IF(VLOOKUP($R107,武学奇术!$A:$ZZ,30,FALSE)="回旋伞",$B$21,0))*(1+$BR107)</f>
        <v>33352.322188611</v>
      </c>
      <c r="P107" s="38">
        <f>((($AO107*$AI107+$AJ107)*(1+$AQ107)*(1+$AR107)+($AT107*IF($G$1="鸣金",$AK107,$AI107)+IF($G$1="鸣金",$AL107*1.5,0))*(1+$AV107)*(1+$AW107)+($AX107*IF($G$1="裂石",$AK107,$AI107)+IF($G$1="裂石",$AL107*1.5,0))*(1+$AZ107)*(1+$BA107)+($BB107*IF($G$1="牵丝",$AK107,$AI107)+IF($G$1="牵丝",$AL107*1.5,0))*(1+$BD107)*(1+$BE107)+($BF107*IF($G$1="破竹",$AK107,$AI107)+IF($G$1="破竹",$AL107*1.5,0))*(1+$BH107)*(1+$BI107))*(1+$AM107))*$Q107*(1+IF(VLOOKUP($R107,武学奇术!$A:$ZZ,30,FALSE)="回旋伞",$B$21,0))*(1+$BR107)</f>
        <v>29234.7386214426</v>
      </c>
      <c r="Q107" s="39">
        <v>1</v>
      </c>
      <c r="R107" s="40" t="s">
        <v>108</v>
      </c>
      <c r="S107" s="40" t="s">
        <v>109</v>
      </c>
      <c r="T107" s="40" t="s">
        <v>114</v>
      </c>
      <c r="U107" s="40" t="s">
        <v>73</v>
      </c>
      <c r="V107" s="40" t="s">
        <v>72</v>
      </c>
      <c r="W107" s="40" t="s">
        <v>172</v>
      </c>
      <c r="X107" s="40" t="s">
        <v>83</v>
      </c>
      <c r="Y107" s="40" t="s">
        <v>72</v>
      </c>
      <c r="Z107" s="40" t="s">
        <v>72</v>
      </c>
      <c r="AA107" s="40" t="s">
        <v>72</v>
      </c>
      <c r="AB107" s="40" t="s">
        <v>115</v>
      </c>
      <c r="AC107" s="40" t="s">
        <v>72</v>
      </c>
      <c r="AD107" s="40" t="s">
        <v>72</v>
      </c>
      <c r="AE107" s="40" t="s">
        <v>72</v>
      </c>
      <c r="AF107" s="40" t="s">
        <v>72</v>
      </c>
      <c r="AG107" s="40" t="s">
        <v>78</v>
      </c>
      <c r="AH107" t="str">
        <f>VLOOKUP($R107,武学奇术!$A:$ZZ,25,FALSE)</f>
        <v>伞</v>
      </c>
      <c r="AI107" s="26">
        <f>VLOOKUP($R107,武学奇术!$A:$ZZ,26,FALSE)</f>
        <v>1.8084</v>
      </c>
      <c r="AJ107" s="27">
        <f>VLOOKUP($R107,武学奇术!$A:$ZZ,27,FALSE)*(1+IF(OR($AH107=$F$4,$AH107=$F$5),$B$22,0))</f>
        <v>750</v>
      </c>
      <c r="AK107" s="26">
        <f>VLOOKUP($R107,武学奇术!$A:$ZZ,28,FALSE)</f>
        <v>2.7126</v>
      </c>
      <c r="AL107" s="27">
        <f>VLOOKUP($R107,武学奇术!$A:$ZZ,29,FALSE)*(1+IF(OR($AH107=$F$4,$AH107=$F$5),$B$22,0))</f>
        <v>408</v>
      </c>
      <c r="AM107" s="26" cm="1">
        <f t="array" ref="AM107">$G$3+IFERROR(VLOOKUP($AH107,$F$4:$G$7,2,FALSE),0)+VLOOKUP($R107,武学奇术!$A:$ZZ,2,FALSE)+SUM(_xlfn.XLOOKUP($S107:$AG107,增益!$A:$A,增益!$B:$B,0))</f>
        <v>0.5441</v>
      </c>
      <c r="AN107" s="26" cm="1">
        <f t="array" ref="AN107">VLOOKUP($R107,武学奇术!$A:$ZZ,5,FALSE)+SUM(_xlfn.XLOOKUP($S107:$AG107,增益!$A:$A,增益!$E:$E,0))</f>
        <v>0</v>
      </c>
      <c r="AO107" cm="1">
        <f t="array" ref="AO107">$D$10*(1+$AN107)+VLOOKUP($R107,武学奇术!$A:$ZZ,3,FALSE)+SUM(_xlfn.XLOOKUP($S107:$AG107,增益!$A:$A,增益!$C:$C,0))-$I$2</f>
        <v>3562.6</v>
      </c>
      <c r="AP107" cm="1">
        <f t="array" ref="AP107">$E$10*(1+$AN107)+VLOOKUP($R107,武学奇术!$A:$ZZ,4,FALSE)+SUM(_xlfn.XLOOKUP($S107:$AG107,增益!$A:$A,增益!$D:$D,0))-$I$2</f>
        <v>3562.6</v>
      </c>
      <c r="AQ107" s="32" cm="1">
        <f t="array" ref="AQ107">IF($F$10-$I$3+VLOOKUP($R107,武学奇术!$A:$ZZ,6,FALSE)+SUM(_xlfn.XLOOKUP(S107:AG107,增益!$A:$A,增益!$F:$F,0))&gt;0,($F$10-$I$3+VLOOKUP($R107,武学奇术!$A:$ZZ,6,FALSE)+SUM(_xlfn.XLOOKUP(S107:AG107,增益!$A:$A,增益!$F:$F,0)))/200,($F$10-$I$3+VLOOKUP($R107,武学奇术!$A:$ZZ,6,FALSE)+SUM(_xlfn.XLOOKUP(S107:AG107,增益!$A:$A,增益!$F:$F,0)))/100)</f>
        <v>0.2325</v>
      </c>
      <c r="AR107" s="32" cm="1">
        <f t="array" ref="AR107">$G$10+VLOOKUP($R107,武学奇术!$A:$ZZ,7,FALSE)+SUM(_xlfn.XLOOKUP(S107:AG107,增益!$A:$A,增益!$G:$G,0))</f>
        <v>0.148</v>
      </c>
      <c r="AS107" s="26" cm="1">
        <f t="array" ref="AS107">VLOOKUP($R107,武学奇术!$A:$ZZ,8,FALSE)+SUM(_xlfn.XLOOKUP(S107:AG107,增益!$A:$A,增益!$H:$H,0))</f>
        <v>0</v>
      </c>
      <c r="AT107">
        <f t="shared" si="13"/>
        <v>0</v>
      </c>
      <c r="AU107">
        <f t="shared" si="14"/>
        <v>0</v>
      </c>
      <c r="AV107" s="32" cm="1">
        <f t="array" ref="AV107">IF($F$11-$I$4+VLOOKUP($R107,武学奇术!$A:$ZZ,9,FALSE)+SUM(_xlfn.XLOOKUP(S107:AG107,增益!$A:$A,增益!$I:$I,0))&gt;0,($F$11-$I$4+VLOOKUP($R107,武学奇术!$A:$ZZ,9,FALSE)+SUM(_xlfn.XLOOKUP(S107:AG107,增益!$A:$A,增益!$I:$I,0)))/200,($F$11-$I$4+VLOOKUP($R107,武学奇术!$A:$ZZ,9,FALSE)+SUM(_xlfn.XLOOKUP(S107:AG107,增益!$A:$A,增益!$I:$I,0)))/100)</f>
        <v>-0.3</v>
      </c>
      <c r="AW107" s="32" cm="1">
        <f t="array" ref="AW107">$G$11+VLOOKUP($R107,武学奇术!$A:$ZZ,10,FALSE)+SUM(_xlfn.XLOOKUP(S107:AG107,增益!$A:$A,增益!$J:$J,0))</f>
        <v>0</v>
      </c>
      <c r="AX107">
        <f t="shared" si="15"/>
        <v>0</v>
      </c>
      <c r="AY107">
        <f t="shared" si="16"/>
        <v>0</v>
      </c>
      <c r="AZ107" s="32" cm="1">
        <f t="array" ref="AZ107">IF($F$12-$I$4+VLOOKUP($R107,武学奇术!$A:$ZZ,11,FALSE)+SUM(_xlfn.XLOOKUP(S107:AG107,增益!$A:$A,增益!$K:$K,0))&gt;0,($F$12-$I$4+VLOOKUP($R107,武学奇术!$A:$ZZ,11,FALSE)+SUM(_xlfn.XLOOKUP(S107:AG107,增益!$A:$A,增益!$K:$K,0)))/200,($F$12-$I$4+VLOOKUP($R107,武学奇术!$A:$ZZ,11,FALSE)+SUM(_xlfn.XLOOKUP(S107:AG107,增益!$A:$A,增益!$K:$K,0)))/100)</f>
        <v>-0.3</v>
      </c>
      <c r="BA107" s="32" cm="1">
        <f t="array" ref="BA107">$G$12+VLOOKUP($R107,武学奇术!$A:$ZZ,12,FALSE)+SUM(_xlfn.XLOOKUP(S107:AG107,增益!$A:$A,增益!$L:$L,0))</f>
        <v>0</v>
      </c>
      <c r="BB107">
        <f t="shared" si="17"/>
        <v>0</v>
      </c>
      <c r="BC107">
        <f t="shared" si="18"/>
        <v>0</v>
      </c>
      <c r="BD107" s="32" cm="1">
        <f t="array" ref="BD107">IF($F$13-$I$4+VLOOKUP($R107,武学奇术!$A:$ZZ,13,FALSE)+SUM(_xlfn.XLOOKUP(S107:AG107,增益!$A:$A,增益!$M:$M,0))&gt;0,($F$13-$I$4+VLOOKUP($R107,武学奇术!$A:$ZZ,13,FALSE)+SUM(_xlfn.XLOOKUP(S107:AG107,增益!$A:$A,增益!$K:$K,0)))/200,($F$13-$I$4+VLOOKUP($R107,武学奇术!$A:$ZZ,13,FALSE)+SUM(_xlfn.XLOOKUP(S107:AG107,增益!$A:$A,增益!$M:$M,0)))/100)</f>
        <v>-0.3</v>
      </c>
      <c r="BE107" s="32" cm="1">
        <f t="array" ref="BE107">$G$13+VLOOKUP($R107,武学奇术!$A:$ZZ,14,FALSE)+SUM(_xlfn.XLOOKUP(S107:AG107,增益!$A:$A,增益!$N:$N,0))</f>
        <v>0</v>
      </c>
      <c r="BF107">
        <f t="shared" si="19"/>
        <v>571.2</v>
      </c>
      <c r="BG107">
        <f t="shared" si="20"/>
        <v>1627.8</v>
      </c>
      <c r="BH107" s="32" cm="1">
        <f t="array" ref="BH107">IF($F$14-$I$4+VLOOKUP($R107,武学奇术!$A:$ZZ,15,FALSE)+SUM(_xlfn.XLOOKUP(S107:AG107,增益!$A:$A,增益!$O:$O,0))&gt;0,($F$14-$I$4+VLOOKUP($R107,武学奇术!$A:$ZZ,15,FALSE)+SUM(_xlfn.XLOOKUP(S107:AG107,增益!$A:$A,增益!$O:$O,0)))/200,($F$14-$I$4+VLOOKUP($R107,武学奇术!$A:$ZZ,15,FALSE)+SUM(_xlfn.XLOOKUP(S107:AG107,增益!$A:$A,增益!$O:$O,0)))/100)</f>
        <v>0</v>
      </c>
      <c r="BI107" s="32" cm="1">
        <f t="array" ref="BI107">$G$14+VLOOKUP($R107,武学奇术!$A:$ZZ,16,FALSE)+SUM(_xlfn.XLOOKUP(S107:AG107,增益!$A:$A,增益!$P:$P,0))</f>
        <v>0.27</v>
      </c>
      <c r="BJ107" s="26">
        <f>MIN(IF(VLOOKUP($R107,武学奇术!$A:$ZZ,23,FALSE)=1,100%,$B$8),100%)</f>
        <v>0.981</v>
      </c>
      <c r="BK107" s="26" cm="1">
        <f t="array" ref="BK107">IF(VLOOKUP($R107,武学奇术!$A:$ZZ,23,FALSE)=1,100%,MIN(80%,$B$9+VLOOKUP($R107,武学奇术!$A:$ZZ,17,FALSE)+SUM(_xlfn.XLOOKUP(S107:AG107,增益!$A:$A,增益!$Q:$Q,0)))+$B$11+SUM(_xlfn.XLOOKUP(S107:AG107,增益!$A:$A,增益!$U:$U,0)))*IF(VLOOKUP($R107,武学奇术!$A:$ZZ,24,FALSE)=1,0,1)</f>
        <v>0.846</v>
      </c>
      <c r="BL107" s="26" cm="1">
        <f t="array" ref="BL107">1+$B$13+VLOOKUP($R107,武学奇术!$A:$ZZ,18,FALSE)+SUM(_xlfn.XLOOKUP(S107:AG107,增益!$A:$A,增益!$R:$R,0))</f>
        <v>1.97</v>
      </c>
      <c r="BM107" s="26" cm="1">
        <f t="array" ref="BM107">IF(VLOOKUP($R107,武学奇术!$A:$ZZ,24,FALSE)=1,100%,MIN(40%,$B$10+VLOOKUP($R107,武学奇术!$A:$ZZ,19,FALSE)+SUM(_xlfn.XLOOKUP(S107:AG107,增益!$A:$A,增益!$S:$S,0)))+$B$12+SUM(_xlfn.XLOOKUP(S107:AG107,增益!$A:$A,增益!$V:$V,0)))*IF(VLOOKUP($R107,武学奇术!$A:$ZZ,23,FALSE)=1,0,1)</f>
        <v>0.0929</v>
      </c>
      <c r="BN107" s="26" cm="1">
        <f t="array" ref="BN107">1+$B$14+VLOOKUP($R107,武学奇术!$A:$ZZ,20,FALSE)+SUM(_xlfn.XLOOKUP(S107:AG107,增益!$A:$A,增益!$T:$T,0))</f>
        <v>1.35</v>
      </c>
      <c r="BO107" s="26">
        <f t="shared" si="21"/>
        <v>0.829926</v>
      </c>
      <c r="BP107" s="26">
        <f t="shared" si="22"/>
        <v>0.0599391</v>
      </c>
      <c r="BQ107" s="26">
        <f>IF(VLOOKUP($R107,武学奇术!$A:$ZZ,22,FALSE)=1,0,(1-$BJ107))*(1-$BM107)</f>
        <v>0.0172349</v>
      </c>
      <c r="BR107" s="26" cm="1">
        <f t="array" ref="BR107">SUM(_xlfn.XLOOKUP(S107:AG107,增益!$A:$A,增益!$W:$W,0))+$I$5</f>
        <v>0.11</v>
      </c>
    </row>
    <row r="108" spans="11:70">
      <c r="K108">
        <f>$L108*VLOOKUP($R108,武学奇术!$A:$ZZ,31,FALSE)</f>
        <v>38310.9458514714</v>
      </c>
      <c r="L108" s="38">
        <f t="shared" si="24"/>
        <v>36486.6150966394</v>
      </c>
      <c r="M108" s="38">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BL108*$Q108*(1+IF(VLOOKUP($R108,武学奇术!$A:$ZZ,30,FALSE)="回旋伞",$B$21,0))*(1+$BR108)</f>
        <v>38794.5633709522</v>
      </c>
      <c r="N108" s="38">
        <f>(($AP108*$AI108+$AJ108)*(1+$AQ108)*(1+$AR108)+($AU108*IF($G$1="鸣金",$AK108,$AI108)+IF($G$1="鸣金",$AL108*1.5,0))*(1+$AV108)*(1+$AW108)+($AY108*IF($G$1="裂石",$AK108,$AI108)+IF($G$1="裂石",$AL108*1.5,0))*(1+$AZ108)*(1+$BA108)+($BC108*IF($G$1="牵丝",$AK108,$AI108)+IF($G$1="牵丝",$AL108*1.5,0))*(1+$BD108)*(1+$BE108)+($BG108*IF($G$1="破竹",$AK108,$AI108)+IF($G$1="破竹",$AL108*1.5,0))*(1+$BH108)*(1+$BI108))*(1+$AM108)*$BN108*$Q108*(1+IF(VLOOKUP($R108,武学奇术!$A:$ZZ,30,FALSE)="回旋伞",$B$21,0))*(1+$BR108)</f>
        <v>30334.8490471326</v>
      </c>
      <c r="O108" s="38">
        <f>((($AO108+$AP108)/2*$AI108+$AJ108)*(1+$AQ108)*(1+$AR108)+(($AT108+$AU108)/2*IF($G$1="鸣金",$AK108,$AI108)+IF($G$1="鸣金",$AL108*1.5,0))*(1+$AV108)*(1+$AW108)+(($AX108+$AY108)/2*IF($G$1="裂石",$AK108,$AI108)+IF($G$1="裂石",$AL108*1.5,0))*(1+$AZ108)*(1+$BA108)+(($BB108+$BC108)/2*IF($G$1="牵丝",$AK108,$AI108)+IF($G$1="牵丝",$AL108*1.5,0))*(1+$BD108)*(1+$BE108)+(($BF108+$BG108)/2*IF($G$1="破竹",$AK108,$AI108)+IF($G$1="破竹",$AL108*1.5,0))*(1+$BH108)*(1+$BI108))*(1+$AM108)*$Q108*(1+IF(VLOOKUP($R108,武学奇术!$A:$ZZ,30,FALSE)="回旋伞",$B$21,0))*(1+$BR108)</f>
        <v>19692.6717619047</v>
      </c>
      <c r="P108" s="38">
        <f>((($AO108*$AI108+$AJ108)*(1+$AQ108)*(1+$AR108)+($AT108*IF($G$1="鸣金",$AK108,$AI108)+IF($G$1="鸣金",$AL108*1.5,0))*(1+$AV108)*(1+$AW108)+($AX108*IF($G$1="裂石",$AK108,$AI108)+IF($G$1="裂石",$AL108*1.5,0))*(1+$AZ108)*(1+$BA108)+($BB108*IF($G$1="牵丝",$AK108,$AI108)+IF($G$1="牵丝",$AL108*1.5,0))*(1+$BD108)*(1+$BE108)+($BF108*IF($G$1="破竹",$AK108,$AI108)+IF($G$1="破竹",$AL108*1.5,0))*(1+$BH108)*(1+$BI108))*(1+$AM108))*$Q108*(1+IF(VLOOKUP($R108,武学奇术!$A:$ZZ,30,FALSE)="回旋伞",$B$21,0))*(1+$BR108)</f>
        <v>16915.0849703777</v>
      </c>
      <c r="Q108" s="39">
        <v>2</v>
      </c>
      <c r="R108" s="40" t="s">
        <v>112</v>
      </c>
      <c r="S108" s="40" t="s">
        <v>109</v>
      </c>
      <c r="T108" s="40" t="s">
        <v>114</v>
      </c>
      <c r="U108" s="40" t="s">
        <v>73</v>
      </c>
      <c r="V108" s="40" t="s">
        <v>72</v>
      </c>
      <c r="W108" s="40" t="s">
        <v>172</v>
      </c>
      <c r="X108" s="40" t="s">
        <v>83</v>
      </c>
      <c r="Y108" s="40" t="s">
        <v>72</v>
      </c>
      <c r="Z108" s="40" t="s">
        <v>72</v>
      </c>
      <c r="AA108" s="40" t="s">
        <v>72</v>
      </c>
      <c r="AB108" s="40" t="s">
        <v>115</v>
      </c>
      <c r="AC108" s="40" t="s">
        <v>72</v>
      </c>
      <c r="AD108" s="40" t="s">
        <v>72</v>
      </c>
      <c r="AE108" s="40" t="s">
        <v>72</v>
      </c>
      <c r="AF108" s="40" t="s">
        <v>72</v>
      </c>
      <c r="AG108" s="40" t="s">
        <v>78</v>
      </c>
      <c r="AH108" t="str">
        <f>VLOOKUP($R108,武学奇术!$A:$ZZ,25,FALSE)</f>
        <v>伞</v>
      </c>
      <c r="AI108" s="26">
        <f>VLOOKUP($R108,武学奇术!$A:$ZZ,26,FALSE)</f>
        <v>0.54</v>
      </c>
      <c r="AJ108" s="27">
        <f>VLOOKUP($R108,武学奇术!$A:$ZZ,27,FALSE)*(1+IF(OR($AH108=$F$4,$AH108=$F$5),$B$22,0))</f>
        <v>0</v>
      </c>
      <c r="AK108" s="26">
        <f>VLOOKUP($R108,武学奇术!$A:$ZZ,28,FALSE)</f>
        <v>0.81</v>
      </c>
      <c r="AL108" s="27">
        <f>VLOOKUP($R108,武学奇术!$A:$ZZ,29,FALSE)*(1+IF(OR($AH108=$F$4,$AH108=$F$5),$B$22,0))</f>
        <v>0</v>
      </c>
      <c r="AM108" s="26" cm="1">
        <f t="array" ref="AM108">$G$3+IFERROR(VLOOKUP($AH108,$F$4:$G$7,2,FALSE),0)+VLOOKUP($R108,武学奇术!$A:$ZZ,2,FALSE)+SUM(_xlfn.XLOOKUP($S108:$AG108,增益!$A:$A,增益!$B:$B,0))</f>
        <v>0.7441</v>
      </c>
      <c r="AN108" s="26" cm="1">
        <f t="array" ref="AN108">VLOOKUP($R108,武学奇术!$A:$ZZ,5,FALSE)+SUM(_xlfn.XLOOKUP($S108:$AG108,增益!$A:$A,增益!$E:$E,0))</f>
        <v>0</v>
      </c>
      <c r="AO108" cm="1">
        <f t="array" ref="AO108">$D$10*(1+$AN108)+VLOOKUP($R108,武学奇术!$A:$ZZ,3,FALSE)+SUM(_xlfn.XLOOKUP($S108:$AG108,增益!$A:$A,增益!$C:$C,0))-$I$2</f>
        <v>3562.6</v>
      </c>
      <c r="AP108" cm="1">
        <f t="array" ref="AP108">$E$10*(1+$AN108)+VLOOKUP($R108,武学奇术!$A:$ZZ,4,FALSE)+SUM(_xlfn.XLOOKUP($S108:$AG108,增益!$A:$A,增益!$D:$D,0))-$I$2</f>
        <v>3562.6</v>
      </c>
      <c r="AQ108" s="32" cm="1">
        <f t="array" ref="AQ108">IF($F$10-$I$3+VLOOKUP($R108,武学奇术!$A:$ZZ,6,FALSE)+SUM(_xlfn.XLOOKUP(S108:AG108,增益!$A:$A,增益!$F:$F,0))&gt;0,($F$10-$I$3+VLOOKUP($R108,武学奇术!$A:$ZZ,6,FALSE)+SUM(_xlfn.XLOOKUP(S108:AG108,增益!$A:$A,增益!$F:$F,0)))/200,($F$10-$I$3+VLOOKUP($R108,武学奇术!$A:$ZZ,6,FALSE)+SUM(_xlfn.XLOOKUP(S108:AG108,增益!$A:$A,增益!$F:$F,0)))/100)</f>
        <v>0.2325</v>
      </c>
      <c r="AR108" s="32" cm="1">
        <f t="array" ref="AR108">$G$10+VLOOKUP($R108,武学奇术!$A:$ZZ,7,FALSE)+SUM(_xlfn.XLOOKUP(S108:AG108,增益!$A:$A,增益!$G:$G,0))</f>
        <v>0.148</v>
      </c>
      <c r="AS108" s="26" cm="1">
        <f t="array" ref="AS108">VLOOKUP($R108,武学奇术!$A:$ZZ,8,FALSE)+SUM(_xlfn.XLOOKUP(S108:AG108,增益!$A:$A,增益!$H:$H,0))</f>
        <v>0</v>
      </c>
      <c r="AT108">
        <f t="shared" si="13"/>
        <v>0</v>
      </c>
      <c r="AU108">
        <f t="shared" si="14"/>
        <v>0</v>
      </c>
      <c r="AV108" s="32" cm="1">
        <f t="array" ref="AV108">IF($F$11-$I$4+VLOOKUP($R108,武学奇术!$A:$ZZ,9,FALSE)+SUM(_xlfn.XLOOKUP(S108:AG108,增益!$A:$A,增益!$I:$I,0))&gt;0,($F$11-$I$4+VLOOKUP($R108,武学奇术!$A:$ZZ,9,FALSE)+SUM(_xlfn.XLOOKUP(S108:AG108,增益!$A:$A,增益!$I:$I,0)))/200,($F$11-$I$4+VLOOKUP($R108,武学奇术!$A:$ZZ,9,FALSE)+SUM(_xlfn.XLOOKUP(S108:AG108,增益!$A:$A,增益!$I:$I,0)))/100)</f>
        <v>-0.3</v>
      </c>
      <c r="AW108" s="32" cm="1">
        <f t="array" ref="AW108">$G$11+VLOOKUP($R108,武学奇术!$A:$ZZ,10,FALSE)+SUM(_xlfn.XLOOKUP(S108:AG108,增益!$A:$A,增益!$J:$J,0))</f>
        <v>0</v>
      </c>
      <c r="AX108">
        <f t="shared" si="15"/>
        <v>0</v>
      </c>
      <c r="AY108">
        <f t="shared" si="16"/>
        <v>0</v>
      </c>
      <c r="AZ108" s="32" cm="1">
        <f t="array" ref="AZ108">IF($F$12-$I$4+VLOOKUP($R108,武学奇术!$A:$ZZ,11,FALSE)+SUM(_xlfn.XLOOKUP(S108:AG108,增益!$A:$A,增益!$K:$K,0))&gt;0,($F$12-$I$4+VLOOKUP($R108,武学奇术!$A:$ZZ,11,FALSE)+SUM(_xlfn.XLOOKUP(S108:AG108,增益!$A:$A,增益!$K:$K,0)))/200,($F$12-$I$4+VLOOKUP($R108,武学奇术!$A:$ZZ,11,FALSE)+SUM(_xlfn.XLOOKUP(S108:AG108,增益!$A:$A,增益!$K:$K,0)))/100)</f>
        <v>-0.3</v>
      </c>
      <c r="BA108" s="32" cm="1">
        <f t="array" ref="BA108">$G$12+VLOOKUP($R108,武学奇术!$A:$ZZ,12,FALSE)+SUM(_xlfn.XLOOKUP(S108:AG108,增益!$A:$A,增益!$L:$L,0))</f>
        <v>0</v>
      </c>
      <c r="BB108">
        <f t="shared" si="17"/>
        <v>0</v>
      </c>
      <c r="BC108">
        <f t="shared" si="18"/>
        <v>0</v>
      </c>
      <c r="BD108" s="32" cm="1">
        <f t="array" ref="BD108">IF($F$13-$I$4+VLOOKUP($R108,武学奇术!$A:$ZZ,13,FALSE)+SUM(_xlfn.XLOOKUP(S108:AG108,增益!$A:$A,增益!$M:$M,0))&gt;0,($F$13-$I$4+VLOOKUP($R108,武学奇术!$A:$ZZ,13,FALSE)+SUM(_xlfn.XLOOKUP(S108:AG108,增益!$A:$A,增益!$K:$K,0)))/200,($F$13-$I$4+VLOOKUP($R108,武学奇术!$A:$ZZ,13,FALSE)+SUM(_xlfn.XLOOKUP(S108:AG108,增益!$A:$A,增益!$M:$M,0)))/100)</f>
        <v>-0.3</v>
      </c>
      <c r="BE108" s="32" cm="1">
        <f t="array" ref="BE108">$G$13+VLOOKUP($R108,武学奇术!$A:$ZZ,14,FALSE)+SUM(_xlfn.XLOOKUP(S108:AG108,增益!$A:$A,增益!$N:$N,0))</f>
        <v>0</v>
      </c>
      <c r="BF108">
        <f t="shared" si="19"/>
        <v>571.2</v>
      </c>
      <c r="BG108">
        <f t="shared" si="20"/>
        <v>1627.8</v>
      </c>
      <c r="BH108" s="32" cm="1">
        <f t="array" ref="BH108">IF($F$14-$I$4+VLOOKUP($R108,武学奇术!$A:$ZZ,15,FALSE)+SUM(_xlfn.XLOOKUP(S108:AG108,增益!$A:$A,增益!$O:$O,0))&gt;0,($F$14-$I$4+VLOOKUP($R108,武学奇术!$A:$ZZ,15,FALSE)+SUM(_xlfn.XLOOKUP(S108:AG108,增益!$A:$A,增益!$O:$O,0)))/200,($F$14-$I$4+VLOOKUP($R108,武学奇术!$A:$ZZ,15,FALSE)+SUM(_xlfn.XLOOKUP(S108:AG108,增益!$A:$A,增益!$O:$O,0)))/100)</f>
        <v>0</v>
      </c>
      <c r="BI108" s="32" cm="1">
        <f t="array" ref="BI108">$G$14+VLOOKUP($R108,武学奇术!$A:$ZZ,16,FALSE)+SUM(_xlfn.XLOOKUP(S108:AG108,增益!$A:$A,增益!$P:$P,0))</f>
        <v>0.27</v>
      </c>
      <c r="BJ108" s="26">
        <f>MIN(IF(VLOOKUP($R108,武学奇术!$A:$ZZ,23,FALSE)=1,100%,$B$8),100%)</f>
        <v>0.981</v>
      </c>
      <c r="BK108" s="26" cm="1">
        <f t="array" ref="BK108">IF(VLOOKUP($R108,武学奇术!$A:$ZZ,23,FALSE)=1,100%,MIN(80%,$B$9+VLOOKUP($R108,武学奇术!$A:$ZZ,17,FALSE)+SUM(_xlfn.XLOOKUP(S108:AG108,增益!$A:$A,增益!$Q:$Q,0)))+$B$11+SUM(_xlfn.XLOOKUP(S108:AG108,增益!$A:$A,增益!$U:$U,0)))*IF(VLOOKUP($R108,武学奇术!$A:$ZZ,24,FALSE)=1,0,1)</f>
        <v>0.846</v>
      </c>
      <c r="BL108" s="26" cm="1">
        <f t="array" ref="BL108">1+$B$13+VLOOKUP($R108,武学奇术!$A:$ZZ,18,FALSE)+SUM(_xlfn.XLOOKUP(S108:AG108,增益!$A:$A,增益!$R:$R,0))</f>
        <v>1.97</v>
      </c>
      <c r="BM108" s="26" cm="1">
        <f t="array" ref="BM108">IF(VLOOKUP($R108,武学奇术!$A:$ZZ,24,FALSE)=1,100%,MIN(40%,$B$10+VLOOKUP($R108,武学奇术!$A:$ZZ,19,FALSE)+SUM(_xlfn.XLOOKUP(S108:AG108,增益!$A:$A,增益!$S:$S,0)))+$B$12+SUM(_xlfn.XLOOKUP(S108:AG108,增益!$A:$A,增益!$V:$V,0)))*IF(VLOOKUP($R108,武学奇术!$A:$ZZ,23,FALSE)=1,0,1)</f>
        <v>0.0929</v>
      </c>
      <c r="BN108" s="26" cm="1">
        <f t="array" ref="BN108">1+$B$14+VLOOKUP($R108,武学奇术!$A:$ZZ,20,FALSE)+SUM(_xlfn.XLOOKUP(S108:AG108,增益!$A:$A,增益!$T:$T,0))</f>
        <v>1.35</v>
      </c>
      <c r="BO108" s="26">
        <f t="shared" si="21"/>
        <v>0.829926</v>
      </c>
      <c r="BP108" s="26">
        <f t="shared" si="22"/>
        <v>0.0599391</v>
      </c>
      <c r="BQ108" s="26">
        <f>IF(VLOOKUP($R108,武学奇术!$A:$ZZ,22,FALSE)=1,0,(1-$BJ108))*(1-$BM108)</f>
        <v>0.0172349</v>
      </c>
      <c r="BR108" s="26" cm="1">
        <f t="array" ref="BR108">SUM(_xlfn.XLOOKUP(S108:AG108,增益!$A:$A,增益!$W:$W,0))+$I$5</f>
        <v>0.11</v>
      </c>
    </row>
    <row r="109" spans="11:70">
      <c r="K109">
        <f>$L109*VLOOKUP($R109,武学奇术!$A:$ZZ,31,FALSE)</f>
        <v>68111.075523573</v>
      </c>
      <c r="L109" s="38">
        <f t="shared" si="24"/>
        <v>64867.6909748314</v>
      </c>
      <c r="M109" s="38">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BL109*$Q109*(1+IF(VLOOKUP($R109,武学奇术!$A:$ZZ,30,FALSE)="回旋伞",$B$21,0))*(1+$BR109)</f>
        <v>69288.7326411503</v>
      </c>
      <c r="N109" s="38">
        <f>(($AP109*$AI109+$AJ109)*(1+$AQ109)*(1+$AR109)+($AU109*IF($G$1="鸣金",$AK109,$AI109)+IF($G$1="鸣金",$AL109*1.5,0))*(1+$AV109)*(1+$AW109)+($AY109*IF($G$1="裂石",$AK109,$AI109)+IF($G$1="裂石",$AL109*1.5,0))*(1+$AZ109)*(1+$BA109)+($BC109*IF($G$1="牵丝",$AK109,$AI109)+IF($G$1="牵丝",$AL109*1.5,0))*(1+$BD109)*(1+$BE109)+($BG109*IF($G$1="破竹",$AK109,$AI109)+IF($G$1="破竹",$AL109*1.5,0))*(1+$BH109)*(1+$BI109))*(1+$AM109)*$BN109*$Q109*(1+IF(VLOOKUP($R109,武学奇术!$A:$ZZ,30,FALSE)="回旋伞",$B$21,0))*(1+$BR109)</f>
        <v>51673.4514974014</v>
      </c>
      <c r="O109" s="38">
        <f>((($AO109+$AP109)/2*$AI109+$AJ109)*(1+$AQ109)*(1+$AR109)+(($AT109+$AU109)/2*IF($G$1="鸣金",$AK109,$AI109)+IF($G$1="鸣金",$AL109*1.5,0))*(1+$AV109)*(1+$AW109)+(($AX109+$AY109)/2*IF($G$1="裂石",$AK109,$AI109)+IF($G$1="裂石",$AL109*1.5,0))*(1+$AZ109)*(1+$BA109)+(($BB109+$BC109)/2*IF($G$1="牵丝",$AK109,$AI109)+IF($G$1="牵丝",$AL109*1.5,0))*(1+$BD109)*(1+$BE109)+(($BF109+$BG109)/2*IF($G$1="破竹",$AK109,$AI109)+IF($G$1="破竹",$AL109*1.5,0))*(1+$BH109)*(1+$BI109))*(1+$AM109)*$Q109*(1+IF(VLOOKUP($R109,武学奇术!$A:$ZZ,30,FALSE)="回旋伞",$B$21,0))*(1+$BR109)</f>
        <v>34132.3806114041</v>
      </c>
      <c r="P109" s="38">
        <f>((($AO109*$AI109+$AJ109)*(1+$AQ109)*(1+$AR109)+($AT109*IF($G$1="鸣金",$AK109,$AI109)+IF($G$1="鸣金",$AL109*1.5,0))*(1+$AV109)*(1+$AW109)+($AX109*IF($G$1="裂石",$AK109,$AI109)+IF($G$1="裂石",$AL109*1.5,0))*(1+$AZ109)*(1+$BA109)+($BB109*IF($G$1="牵丝",$AK109,$AI109)+IF($G$1="牵丝",$AL109*1.5,0))*(1+$BD109)*(1+$BE109)+($BF109*IF($G$1="破竹",$AK109,$AI109)+IF($G$1="破竹",$AL109*1.5,0))*(1+$BH109)*(1+$BI109))*(1+$AM109))*$Q109*(1+IF(VLOOKUP($R109,武学奇术!$A:$ZZ,30,FALSE)="回旋伞",$B$21,0))*(1+$BR109)</f>
        <v>29988.1304839923</v>
      </c>
      <c r="Q109" s="39">
        <v>1</v>
      </c>
      <c r="R109" s="40" t="s">
        <v>108</v>
      </c>
      <c r="S109" s="40" t="s">
        <v>109</v>
      </c>
      <c r="T109" s="40" t="s">
        <v>119</v>
      </c>
      <c r="U109" s="40" t="s">
        <v>73</v>
      </c>
      <c r="V109" s="40" t="s">
        <v>72</v>
      </c>
      <c r="W109" s="40" t="s">
        <v>172</v>
      </c>
      <c r="X109" s="40" t="s">
        <v>90</v>
      </c>
      <c r="Y109" s="40" t="s">
        <v>72</v>
      </c>
      <c r="Z109" s="40" t="s">
        <v>72</v>
      </c>
      <c r="AA109" s="40" t="s">
        <v>72</v>
      </c>
      <c r="AB109" s="40" t="s">
        <v>120</v>
      </c>
      <c r="AC109" s="40" t="s">
        <v>72</v>
      </c>
      <c r="AD109" s="40" t="s">
        <v>72</v>
      </c>
      <c r="AE109" s="40" t="s">
        <v>72</v>
      </c>
      <c r="AF109" s="40" t="s">
        <v>72</v>
      </c>
      <c r="AG109" s="40" t="s">
        <v>78</v>
      </c>
      <c r="AH109" t="str">
        <f>VLOOKUP($R109,武学奇术!$A:$ZZ,25,FALSE)</f>
        <v>伞</v>
      </c>
      <c r="AI109" s="26">
        <f>VLOOKUP($R109,武学奇术!$A:$ZZ,26,FALSE)</f>
        <v>1.8084</v>
      </c>
      <c r="AJ109" s="27">
        <f>VLOOKUP($R109,武学奇术!$A:$ZZ,27,FALSE)*(1+IF(OR($AH109=$F$4,$AH109=$F$5),$B$22,0))</f>
        <v>750</v>
      </c>
      <c r="AK109" s="26">
        <f>VLOOKUP($R109,武学奇术!$A:$ZZ,28,FALSE)</f>
        <v>2.7126</v>
      </c>
      <c r="AL109" s="27">
        <f>VLOOKUP($R109,武学奇术!$A:$ZZ,29,FALSE)*(1+IF(OR($AH109=$F$4,$AH109=$F$5),$B$22,0))</f>
        <v>408</v>
      </c>
      <c r="AM109" s="26" cm="1">
        <f t="array" ref="AM109">$G$3+IFERROR(VLOOKUP($AH109,$F$4:$G$7,2,FALSE),0)+VLOOKUP($R109,武学奇术!$A:$ZZ,2,FALSE)+SUM(_xlfn.XLOOKUP($S109:$AG109,增益!$A:$A,增益!$B:$B,0))</f>
        <v>0.5541</v>
      </c>
      <c r="AN109" s="26" cm="1">
        <f t="array" ref="AN109">VLOOKUP($R109,武学奇术!$A:$ZZ,5,FALSE)+SUM(_xlfn.XLOOKUP($S109:$AG109,增益!$A:$A,增益!$E:$E,0))</f>
        <v>0</v>
      </c>
      <c r="AO109" cm="1">
        <f t="array" ref="AO109">$D$10*(1+$AN109)+VLOOKUP($R109,武学奇术!$A:$ZZ,3,FALSE)+SUM(_xlfn.XLOOKUP($S109:$AG109,增益!$A:$A,增益!$C:$C,0))-$I$2</f>
        <v>3562.6</v>
      </c>
      <c r="AP109" cm="1">
        <f t="array" ref="AP109">$E$10*(1+$AN109)+VLOOKUP($R109,武学奇术!$A:$ZZ,4,FALSE)+SUM(_xlfn.XLOOKUP($S109:$AG109,增益!$A:$A,增益!$D:$D,0))-$I$2</f>
        <v>3562.6</v>
      </c>
      <c r="AQ109" s="32" cm="1">
        <f t="array" ref="AQ109">IF($F$10-$I$3+VLOOKUP($R109,武学奇术!$A:$ZZ,6,FALSE)+SUM(_xlfn.XLOOKUP(S109:AG109,增益!$A:$A,增益!$F:$F,0))&gt;0,($F$10-$I$3+VLOOKUP($R109,武学奇术!$A:$ZZ,6,FALSE)+SUM(_xlfn.XLOOKUP(S109:AG109,增益!$A:$A,增益!$F:$F,0)))/200,($F$10-$I$3+VLOOKUP($R109,武学奇术!$A:$ZZ,6,FALSE)+SUM(_xlfn.XLOOKUP(S109:AG109,增益!$A:$A,增益!$F:$F,0)))/100)</f>
        <v>0.2625</v>
      </c>
      <c r="AR109" s="32" cm="1">
        <f t="array" ref="AR109">$G$10+VLOOKUP($R109,武学奇术!$A:$ZZ,7,FALSE)+SUM(_xlfn.XLOOKUP(S109:AG109,增益!$A:$A,增益!$G:$G,0))</f>
        <v>0.148</v>
      </c>
      <c r="AS109" s="26" cm="1">
        <f t="array" ref="AS109">VLOOKUP($R109,武学奇术!$A:$ZZ,8,FALSE)+SUM(_xlfn.XLOOKUP(S109:AG109,增益!$A:$A,增益!$H:$H,0))</f>
        <v>0</v>
      </c>
      <c r="AT109">
        <f t="shared" si="13"/>
        <v>0</v>
      </c>
      <c r="AU109">
        <f t="shared" si="14"/>
        <v>0</v>
      </c>
      <c r="AV109" s="32" cm="1">
        <f t="array" ref="AV109">IF($F$11-$I$4+VLOOKUP($R109,武学奇术!$A:$ZZ,9,FALSE)+SUM(_xlfn.XLOOKUP(S109:AG109,增益!$A:$A,增益!$I:$I,0))&gt;0,($F$11-$I$4+VLOOKUP($R109,武学奇术!$A:$ZZ,9,FALSE)+SUM(_xlfn.XLOOKUP(S109:AG109,增益!$A:$A,增益!$I:$I,0)))/200,($F$11-$I$4+VLOOKUP($R109,武学奇术!$A:$ZZ,9,FALSE)+SUM(_xlfn.XLOOKUP(S109:AG109,增益!$A:$A,增益!$I:$I,0)))/100)</f>
        <v>-0.3</v>
      </c>
      <c r="AW109" s="32" cm="1">
        <f t="array" ref="AW109">$G$11+VLOOKUP($R109,武学奇术!$A:$ZZ,10,FALSE)+SUM(_xlfn.XLOOKUP(S109:AG109,增益!$A:$A,增益!$J:$J,0))</f>
        <v>0</v>
      </c>
      <c r="AX109">
        <f t="shared" si="15"/>
        <v>0</v>
      </c>
      <c r="AY109">
        <f t="shared" si="16"/>
        <v>0</v>
      </c>
      <c r="AZ109" s="32" cm="1">
        <f t="array" ref="AZ109">IF($F$12-$I$4+VLOOKUP($R109,武学奇术!$A:$ZZ,11,FALSE)+SUM(_xlfn.XLOOKUP(S109:AG109,增益!$A:$A,增益!$K:$K,0))&gt;0,($F$12-$I$4+VLOOKUP($R109,武学奇术!$A:$ZZ,11,FALSE)+SUM(_xlfn.XLOOKUP(S109:AG109,增益!$A:$A,增益!$K:$K,0)))/200,($F$12-$I$4+VLOOKUP($R109,武学奇术!$A:$ZZ,11,FALSE)+SUM(_xlfn.XLOOKUP(S109:AG109,增益!$A:$A,增益!$K:$K,0)))/100)</f>
        <v>-0.3</v>
      </c>
      <c r="BA109" s="32" cm="1">
        <f t="array" ref="BA109">$G$12+VLOOKUP($R109,武学奇术!$A:$ZZ,12,FALSE)+SUM(_xlfn.XLOOKUP(S109:AG109,增益!$A:$A,增益!$L:$L,0))</f>
        <v>0</v>
      </c>
      <c r="BB109">
        <f t="shared" si="17"/>
        <v>0</v>
      </c>
      <c r="BC109">
        <f t="shared" si="18"/>
        <v>0</v>
      </c>
      <c r="BD109" s="32" cm="1">
        <f t="array" ref="BD109">IF($F$13-$I$4+VLOOKUP($R109,武学奇术!$A:$ZZ,13,FALSE)+SUM(_xlfn.XLOOKUP(S109:AG109,增益!$A:$A,增益!$M:$M,0))&gt;0,($F$13-$I$4+VLOOKUP($R109,武学奇术!$A:$ZZ,13,FALSE)+SUM(_xlfn.XLOOKUP(S109:AG109,增益!$A:$A,增益!$K:$K,0)))/200,($F$13-$I$4+VLOOKUP($R109,武学奇术!$A:$ZZ,13,FALSE)+SUM(_xlfn.XLOOKUP(S109:AG109,增益!$A:$A,增益!$M:$M,0)))/100)</f>
        <v>-0.3</v>
      </c>
      <c r="BE109" s="32" cm="1">
        <f t="array" ref="BE109">$G$13+VLOOKUP($R109,武学奇术!$A:$ZZ,14,FALSE)+SUM(_xlfn.XLOOKUP(S109:AG109,增益!$A:$A,增益!$N:$N,0))</f>
        <v>0</v>
      </c>
      <c r="BF109">
        <f t="shared" si="19"/>
        <v>571.2</v>
      </c>
      <c r="BG109">
        <f t="shared" si="20"/>
        <v>1627.8</v>
      </c>
      <c r="BH109" s="32" cm="1">
        <f t="array" ref="BH109">IF($F$14-$I$4+VLOOKUP($R109,武学奇术!$A:$ZZ,15,FALSE)+SUM(_xlfn.XLOOKUP(S109:AG109,增益!$A:$A,增益!$O:$O,0))&gt;0,($F$14-$I$4+VLOOKUP($R109,武学奇术!$A:$ZZ,15,FALSE)+SUM(_xlfn.XLOOKUP(S109:AG109,增益!$A:$A,增益!$O:$O,0)))/200,($F$14-$I$4+VLOOKUP($R109,武学奇术!$A:$ZZ,15,FALSE)+SUM(_xlfn.XLOOKUP(S109:AG109,增益!$A:$A,增益!$O:$O,0)))/100)</f>
        <v>0</v>
      </c>
      <c r="BI109" s="32" cm="1">
        <f t="array" ref="BI109">$G$14+VLOOKUP($R109,武学奇术!$A:$ZZ,16,FALSE)+SUM(_xlfn.XLOOKUP(S109:AG109,增益!$A:$A,增益!$P:$P,0))</f>
        <v>0.27</v>
      </c>
      <c r="BJ109" s="26">
        <f>MIN(IF(VLOOKUP($R109,武学奇术!$A:$ZZ,23,FALSE)=1,100%,$B$8),100%)</f>
        <v>0.981</v>
      </c>
      <c r="BK109" s="26" cm="1">
        <f t="array" ref="BK109">IF(VLOOKUP($R109,武学奇术!$A:$ZZ,23,FALSE)=1,100%,MIN(80%,$B$9+VLOOKUP($R109,武学奇术!$A:$ZZ,17,FALSE)+SUM(_xlfn.XLOOKUP(S109:AG109,增益!$A:$A,增益!$Q:$Q,0)))+$B$11+SUM(_xlfn.XLOOKUP(S109:AG109,增益!$A:$A,增益!$U:$U,0)))*IF(VLOOKUP($R109,武学奇术!$A:$ZZ,24,FALSE)=1,0,1)</f>
        <v>0.846</v>
      </c>
      <c r="BL109" s="26" cm="1">
        <f t="array" ref="BL109">1+$B$13+VLOOKUP($R109,武学奇术!$A:$ZZ,18,FALSE)+SUM(_xlfn.XLOOKUP(S109:AG109,增益!$A:$A,增益!$R:$R,0))</f>
        <v>2.03</v>
      </c>
      <c r="BM109" s="26" cm="1">
        <f t="array" ref="BM109">IF(VLOOKUP($R109,武学奇术!$A:$ZZ,24,FALSE)=1,100%,MIN(40%,$B$10+VLOOKUP($R109,武学奇术!$A:$ZZ,19,FALSE)+SUM(_xlfn.XLOOKUP(S109:AG109,增益!$A:$A,增益!$S:$S,0)))+$B$12+SUM(_xlfn.XLOOKUP(S109:AG109,增益!$A:$A,增益!$V:$V,0)))*IF(VLOOKUP($R109,武学奇术!$A:$ZZ,23,FALSE)=1,0,1)</f>
        <v>0.0929</v>
      </c>
      <c r="BN109" s="26" cm="1">
        <f t="array" ref="BN109">1+$B$14+VLOOKUP($R109,武学奇术!$A:$ZZ,20,FALSE)+SUM(_xlfn.XLOOKUP(S109:AG109,增益!$A:$A,增益!$T:$T,0))</f>
        <v>1.35</v>
      </c>
      <c r="BO109" s="26">
        <f t="shared" si="21"/>
        <v>0.829926</v>
      </c>
      <c r="BP109" s="26">
        <f t="shared" si="22"/>
        <v>0.0599391</v>
      </c>
      <c r="BQ109" s="26">
        <f>IF(VLOOKUP($R109,武学奇术!$A:$ZZ,22,FALSE)=1,0,(1-$BJ109))*(1-$BM109)</f>
        <v>0.0172349</v>
      </c>
      <c r="BR109" s="26" cm="1">
        <f t="array" ref="BR109">SUM(_xlfn.XLOOKUP(S109:AG109,增益!$A:$A,增益!$W:$W,0))+$I$5</f>
        <v>0.11</v>
      </c>
    </row>
    <row r="110" spans="11:70">
      <c r="K110">
        <f>$L110*VLOOKUP($R110,武学奇术!$A:$ZZ,31,FALSE)</f>
        <v>40241.0553593408</v>
      </c>
      <c r="L110" s="38">
        <f t="shared" si="24"/>
        <v>38324.8146279436</v>
      </c>
      <c r="M110" s="38">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BL110*$Q110*(1+IF(VLOOKUP($R110,武学奇术!$A:$ZZ,30,FALSE)="回旋伞",$B$21,0))*(1+$BR110)</f>
        <v>40896.6866657879</v>
      </c>
      <c r="N110" s="38">
        <f>(($AP110*$AI110+$AJ110)*(1+$AQ110)*(1+$AR110)+($AU110*IF($G$1="鸣金",$AK110,$AI110)+IF($G$1="鸣金",$AL110*1.5,0))*(1+$AV110)*(1+$AW110)+($AY110*IF($G$1="裂石",$AK110,$AI110)+IF($G$1="裂石",$AL110*1.5,0))*(1+$AZ110)*(1+$BA110)+($BC110*IF($G$1="牵丝",$AK110,$AI110)+IF($G$1="牵丝",$AL110*1.5,0))*(1+$BD110)*(1+$BE110)+($BG110*IF($G$1="破竹",$AK110,$AI110)+IF($G$1="破竹",$AL110*1.5,0))*(1+$BH110)*(1+$BI110))*(1+$AM110)*$BN110*$Q110*(1+IF(VLOOKUP($R110,武学奇术!$A:$ZZ,30,FALSE)="回旋伞",$B$21,0))*(1+$BR110)</f>
        <v>30968.5456912761</v>
      </c>
      <c r="O110" s="38">
        <f>((($AO110+$AP110)/2*$AI110+$AJ110)*(1+$AQ110)*(1+$AR110)+(($AT110+$AU110)/2*IF($G$1="鸣金",$AK110,$AI110)+IF($G$1="鸣金",$AL110*1.5,0))*(1+$AV110)*(1+$AW110)+(($AX110+$AY110)/2*IF($G$1="裂石",$AK110,$AI110)+IF($G$1="裂石",$AL110*1.5,0))*(1+$AZ110)*(1+$BA110)+(($BB110+$BC110)/2*IF($G$1="牵丝",$AK110,$AI110)+IF($G$1="牵丝",$AL110*1.5,0))*(1+$BD110)*(1+$BE110)+(($BF110+$BG110)/2*IF($G$1="破竹",$AK110,$AI110)+IF($G$1="破竹",$AL110*1.5,0))*(1+$BH110)*(1+$BI110))*(1+$AM110)*$Q110*(1+IF(VLOOKUP($R110,武学奇术!$A:$ZZ,30,FALSE)="回旋伞",$B$21,0))*(1+$BR110)</f>
        <v>20146.1510668906</v>
      </c>
      <c r="P110" s="38">
        <f>((($AO110*$AI110+$AJ110)*(1+$AQ110)*(1+$AR110)+($AT110*IF($G$1="鸣金",$AK110,$AI110)+IF($G$1="鸣金",$AL110*1.5,0))*(1+$AV110)*(1+$AW110)+($AX110*IF($G$1="裂石",$AK110,$AI110)+IF($G$1="裂石",$AL110*1.5,0))*(1+$AZ110)*(1+$BA110)+($BB110*IF($G$1="牵丝",$AK110,$AI110)+IF($G$1="牵丝",$AL110*1.5,0))*(1+$BD110)*(1+$BE110)+($BF110*IF($G$1="破竹",$AK110,$AI110)+IF($G$1="破竹",$AL110*1.5,0))*(1+$BH110)*(1+$BI110))*(1+$AM110))*$Q110*(1+IF(VLOOKUP($R110,武学奇术!$A:$ZZ,30,FALSE)="回旋伞",$B$21,0))*(1+$BR110)</f>
        <v>17352.6386587618</v>
      </c>
      <c r="Q110" s="39">
        <v>2</v>
      </c>
      <c r="R110" s="40" t="s">
        <v>112</v>
      </c>
      <c r="S110" s="40" t="s">
        <v>109</v>
      </c>
      <c r="T110" s="40" t="s">
        <v>119</v>
      </c>
      <c r="U110" s="40" t="s">
        <v>73</v>
      </c>
      <c r="V110" s="40" t="s">
        <v>72</v>
      </c>
      <c r="W110" s="40" t="s">
        <v>172</v>
      </c>
      <c r="X110" s="40" t="s">
        <v>90</v>
      </c>
      <c r="Y110" s="40" t="s">
        <v>72</v>
      </c>
      <c r="Z110" s="40" t="s">
        <v>72</v>
      </c>
      <c r="AA110" s="40" t="s">
        <v>72</v>
      </c>
      <c r="AB110" s="40" t="s">
        <v>120</v>
      </c>
      <c r="AC110" s="40" t="s">
        <v>72</v>
      </c>
      <c r="AD110" s="40" t="s">
        <v>72</v>
      </c>
      <c r="AE110" s="40" t="s">
        <v>72</v>
      </c>
      <c r="AF110" s="40" t="s">
        <v>72</v>
      </c>
      <c r="AG110" s="40" t="s">
        <v>78</v>
      </c>
      <c r="AH110" t="str">
        <f>VLOOKUP($R110,武学奇术!$A:$ZZ,25,FALSE)</f>
        <v>伞</v>
      </c>
      <c r="AI110" s="26">
        <f>VLOOKUP($R110,武学奇术!$A:$ZZ,26,FALSE)</f>
        <v>0.54</v>
      </c>
      <c r="AJ110" s="27">
        <f>VLOOKUP($R110,武学奇术!$A:$ZZ,27,FALSE)*(1+IF(OR($AH110=$F$4,$AH110=$F$5),$B$22,0))</f>
        <v>0</v>
      </c>
      <c r="AK110" s="26">
        <f>VLOOKUP($R110,武学奇术!$A:$ZZ,28,FALSE)</f>
        <v>0.81</v>
      </c>
      <c r="AL110" s="27">
        <f>VLOOKUP($R110,武学奇术!$A:$ZZ,29,FALSE)*(1+IF(OR($AH110=$F$4,$AH110=$F$5),$B$22,0))</f>
        <v>0</v>
      </c>
      <c r="AM110" s="26" cm="1">
        <f t="array" ref="AM110">$G$3+IFERROR(VLOOKUP($AH110,$F$4:$G$7,2,FALSE),0)+VLOOKUP($R110,武学奇术!$A:$ZZ,2,FALSE)+SUM(_xlfn.XLOOKUP($S110:$AG110,增益!$A:$A,增益!$B:$B,0))</f>
        <v>0.7541</v>
      </c>
      <c r="AN110" s="26" cm="1">
        <f t="array" ref="AN110">VLOOKUP($R110,武学奇术!$A:$ZZ,5,FALSE)+SUM(_xlfn.XLOOKUP($S110:$AG110,增益!$A:$A,增益!$E:$E,0))</f>
        <v>0</v>
      </c>
      <c r="AO110" cm="1">
        <f t="array" ref="AO110">$D$10*(1+$AN110)+VLOOKUP($R110,武学奇术!$A:$ZZ,3,FALSE)+SUM(_xlfn.XLOOKUP($S110:$AG110,增益!$A:$A,增益!$C:$C,0))-$I$2</f>
        <v>3562.6</v>
      </c>
      <c r="AP110" cm="1">
        <f t="array" ref="AP110">$E$10*(1+$AN110)+VLOOKUP($R110,武学奇术!$A:$ZZ,4,FALSE)+SUM(_xlfn.XLOOKUP($S110:$AG110,增益!$A:$A,增益!$D:$D,0))-$I$2</f>
        <v>3562.6</v>
      </c>
      <c r="AQ110" s="32" cm="1">
        <f t="array" ref="AQ110">IF($F$10-$I$3+VLOOKUP($R110,武学奇术!$A:$ZZ,6,FALSE)+SUM(_xlfn.XLOOKUP(S110:AG110,增益!$A:$A,增益!$F:$F,0))&gt;0,($F$10-$I$3+VLOOKUP($R110,武学奇术!$A:$ZZ,6,FALSE)+SUM(_xlfn.XLOOKUP(S110:AG110,增益!$A:$A,增益!$F:$F,0)))/200,($F$10-$I$3+VLOOKUP($R110,武学奇术!$A:$ZZ,6,FALSE)+SUM(_xlfn.XLOOKUP(S110:AG110,增益!$A:$A,增益!$F:$F,0)))/100)</f>
        <v>0.2625</v>
      </c>
      <c r="AR110" s="32" cm="1">
        <f t="array" ref="AR110">$G$10+VLOOKUP($R110,武学奇术!$A:$ZZ,7,FALSE)+SUM(_xlfn.XLOOKUP(S110:AG110,增益!$A:$A,增益!$G:$G,0))</f>
        <v>0.148</v>
      </c>
      <c r="AS110" s="26" cm="1">
        <f t="array" ref="AS110">VLOOKUP($R110,武学奇术!$A:$ZZ,8,FALSE)+SUM(_xlfn.XLOOKUP(S110:AG110,增益!$A:$A,增益!$H:$H,0))</f>
        <v>0</v>
      </c>
      <c r="AT110">
        <f t="shared" si="13"/>
        <v>0</v>
      </c>
      <c r="AU110">
        <f t="shared" si="14"/>
        <v>0</v>
      </c>
      <c r="AV110" s="32" cm="1">
        <f t="array" ref="AV110">IF($F$11-$I$4+VLOOKUP($R110,武学奇术!$A:$ZZ,9,FALSE)+SUM(_xlfn.XLOOKUP(S110:AG110,增益!$A:$A,增益!$I:$I,0))&gt;0,($F$11-$I$4+VLOOKUP($R110,武学奇术!$A:$ZZ,9,FALSE)+SUM(_xlfn.XLOOKUP(S110:AG110,增益!$A:$A,增益!$I:$I,0)))/200,($F$11-$I$4+VLOOKUP($R110,武学奇术!$A:$ZZ,9,FALSE)+SUM(_xlfn.XLOOKUP(S110:AG110,增益!$A:$A,增益!$I:$I,0)))/100)</f>
        <v>-0.3</v>
      </c>
      <c r="AW110" s="32" cm="1">
        <f t="array" ref="AW110">$G$11+VLOOKUP($R110,武学奇术!$A:$ZZ,10,FALSE)+SUM(_xlfn.XLOOKUP(S110:AG110,增益!$A:$A,增益!$J:$J,0))</f>
        <v>0</v>
      </c>
      <c r="AX110">
        <f t="shared" si="15"/>
        <v>0</v>
      </c>
      <c r="AY110">
        <f t="shared" si="16"/>
        <v>0</v>
      </c>
      <c r="AZ110" s="32" cm="1">
        <f t="array" ref="AZ110">IF($F$12-$I$4+VLOOKUP($R110,武学奇术!$A:$ZZ,11,FALSE)+SUM(_xlfn.XLOOKUP(S110:AG110,增益!$A:$A,增益!$K:$K,0))&gt;0,($F$12-$I$4+VLOOKUP($R110,武学奇术!$A:$ZZ,11,FALSE)+SUM(_xlfn.XLOOKUP(S110:AG110,增益!$A:$A,增益!$K:$K,0)))/200,($F$12-$I$4+VLOOKUP($R110,武学奇术!$A:$ZZ,11,FALSE)+SUM(_xlfn.XLOOKUP(S110:AG110,增益!$A:$A,增益!$K:$K,0)))/100)</f>
        <v>-0.3</v>
      </c>
      <c r="BA110" s="32" cm="1">
        <f t="array" ref="BA110">$G$12+VLOOKUP($R110,武学奇术!$A:$ZZ,12,FALSE)+SUM(_xlfn.XLOOKUP(S110:AG110,增益!$A:$A,增益!$L:$L,0))</f>
        <v>0</v>
      </c>
      <c r="BB110">
        <f t="shared" si="17"/>
        <v>0</v>
      </c>
      <c r="BC110">
        <f t="shared" si="18"/>
        <v>0</v>
      </c>
      <c r="BD110" s="32" cm="1">
        <f t="array" ref="BD110">IF($F$13-$I$4+VLOOKUP($R110,武学奇术!$A:$ZZ,13,FALSE)+SUM(_xlfn.XLOOKUP(S110:AG110,增益!$A:$A,增益!$M:$M,0))&gt;0,($F$13-$I$4+VLOOKUP($R110,武学奇术!$A:$ZZ,13,FALSE)+SUM(_xlfn.XLOOKUP(S110:AG110,增益!$A:$A,增益!$K:$K,0)))/200,($F$13-$I$4+VLOOKUP($R110,武学奇术!$A:$ZZ,13,FALSE)+SUM(_xlfn.XLOOKUP(S110:AG110,增益!$A:$A,增益!$M:$M,0)))/100)</f>
        <v>-0.3</v>
      </c>
      <c r="BE110" s="32" cm="1">
        <f t="array" ref="BE110">$G$13+VLOOKUP($R110,武学奇术!$A:$ZZ,14,FALSE)+SUM(_xlfn.XLOOKUP(S110:AG110,增益!$A:$A,增益!$N:$N,0))</f>
        <v>0</v>
      </c>
      <c r="BF110">
        <f t="shared" si="19"/>
        <v>571.2</v>
      </c>
      <c r="BG110">
        <f t="shared" si="20"/>
        <v>1627.8</v>
      </c>
      <c r="BH110" s="32" cm="1">
        <f t="array" ref="BH110">IF($F$14-$I$4+VLOOKUP($R110,武学奇术!$A:$ZZ,15,FALSE)+SUM(_xlfn.XLOOKUP(S110:AG110,增益!$A:$A,增益!$O:$O,0))&gt;0,($F$14-$I$4+VLOOKUP($R110,武学奇术!$A:$ZZ,15,FALSE)+SUM(_xlfn.XLOOKUP(S110:AG110,增益!$A:$A,增益!$O:$O,0)))/200,($F$14-$I$4+VLOOKUP($R110,武学奇术!$A:$ZZ,15,FALSE)+SUM(_xlfn.XLOOKUP(S110:AG110,增益!$A:$A,增益!$O:$O,0)))/100)</f>
        <v>0</v>
      </c>
      <c r="BI110" s="32" cm="1">
        <f t="array" ref="BI110">$G$14+VLOOKUP($R110,武学奇术!$A:$ZZ,16,FALSE)+SUM(_xlfn.XLOOKUP(S110:AG110,增益!$A:$A,增益!$P:$P,0))</f>
        <v>0.27</v>
      </c>
      <c r="BJ110" s="26">
        <f>MIN(IF(VLOOKUP($R110,武学奇术!$A:$ZZ,23,FALSE)=1,100%,$B$8),100%)</f>
        <v>0.981</v>
      </c>
      <c r="BK110" s="26" cm="1">
        <f t="array" ref="BK110">IF(VLOOKUP($R110,武学奇术!$A:$ZZ,23,FALSE)=1,100%,MIN(80%,$B$9+VLOOKUP($R110,武学奇术!$A:$ZZ,17,FALSE)+SUM(_xlfn.XLOOKUP(S110:AG110,增益!$A:$A,增益!$Q:$Q,0)))+$B$11+SUM(_xlfn.XLOOKUP(S110:AG110,增益!$A:$A,增益!$U:$U,0)))*IF(VLOOKUP($R110,武学奇术!$A:$ZZ,24,FALSE)=1,0,1)</f>
        <v>0.846</v>
      </c>
      <c r="BL110" s="26" cm="1">
        <f t="array" ref="BL110">1+$B$13+VLOOKUP($R110,武学奇术!$A:$ZZ,18,FALSE)+SUM(_xlfn.XLOOKUP(S110:AG110,增益!$A:$A,增益!$R:$R,0))</f>
        <v>2.03</v>
      </c>
      <c r="BM110" s="26" cm="1">
        <f t="array" ref="BM110">IF(VLOOKUP($R110,武学奇术!$A:$ZZ,24,FALSE)=1,100%,MIN(40%,$B$10+VLOOKUP($R110,武学奇术!$A:$ZZ,19,FALSE)+SUM(_xlfn.XLOOKUP(S110:AG110,增益!$A:$A,增益!$S:$S,0)))+$B$12+SUM(_xlfn.XLOOKUP(S110:AG110,增益!$A:$A,增益!$V:$V,0)))*IF(VLOOKUP($R110,武学奇术!$A:$ZZ,23,FALSE)=1,0,1)</f>
        <v>0.0929</v>
      </c>
      <c r="BN110" s="26" cm="1">
        <f t="array" ref="BN110">1+$B$14+VLOOKUP($R110,武学奇术!$A:$ZZ,20,FALSE)+SUM(_xlfn.XLOOKUP(S110:AG110,增益!$A:$A,增益!$T:$T,0))</f>
        <v>1.35</v>
      </c>
      <c r="BO110" s="26">
        <f t="shared" si="21"/>
        <v>0.829926</v>
      </c>
      <c r="BP110" s="26">
        <f t="shared" si="22"/>
        <v>0.0599391</v>
      </c>
      <c r="BQ110" s="26">
        <f>IF(VLOOKUP($R110,武学奇术!$A:$ZZ,22,FALSE)=1,0,(1-$BJ110))*(1-$BM110)</f>
        <v>0.0172349</v>
      </c>
      <c r="BR110" s="26" cm="1">
        <f t="array" ref="BR110">SUM(_xlfn.XLOOKUP(S110:AG110,增益!$A:$A,增益!$W:$W,0))+$I$5</f>
        <v>0.11</v>
      </c>
    </row>
    <row r="111" spans="11:70">
      <c r="K111">
        <f>$L111*VLOOKUP($R111,武学奇术!$A:$ZZ,31,FALSE)</f>
        <v>83788.4691951401</v>
      </c>
      <c r="L111" s="38">
        <f t="shared" si="24"/>
        <v>79798.5420906096</v>
      </c>
      <c r="M111" s="38">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BL111*$Q111*(1+IF(VLOOKUP($R111,武学奇术!$A:$ZZ,30,FALSE)="回旋伞",$B$21,0))*(1+$BR111)</f>
        <v>79798.5420906096</v>
      </c>
      <c r="N111" s="38">
        <f>(($AP111*$AI111+$AJ111)*(1+$AQ111)*(1+$AR111)+($AU111*IF($G$1="鸣金",$AK111,$AI111)+IF($G$1="鸣金",$AL111*1.5,0))*(1+$AV111)*(1+$AW111)+($AY111*IF($G$1="裂石",$AK111,$AI111)+IF($G$1="裂石",$AL111*1.5,0))*(1+$AZ111)*(1+$BA111)+($BC111*IF($G$1="牵丝",$AK111,$AI111)+IF($G$1="牵丝",$AL111*1.5,0))*(1+$BD111)*(1+$BE111)+($BG111*IF($G$1="破竹",$AK111,$AI111)+IF($G$1="破竹",$AL111*1.5,0))*(1+$BH111)*(1+$BI111))*(1+$AM111)*$BN111*$Q111*(1+IF(VLOOKUP($R111,武学奇术!$A:$ZZ,30,FALSE)="回旋伞",$B$21,0))*(1+$BR111)</f>
        <v>58609.8958773726</v>
      </c>
      <c r="O111" s="38">
        <f>((($AO111+$AP111)/2*$AI111+$AJ111)*(1+$AQ111)*(1+$AR111)+(($AT111+$AU111)/2*IF($G$1="鸣金",$AK111,$AI111)+IF($G$1="鸣金",$AL111*1.5,0))*(1+$AV111)*(1+$AW111)+(($AX111+$AY111)/2*IF($G$1="裂石",$AK111,$AI111)+IF($G$1="裂石",$AL111*1.5,0))*(1+$AZ111)*(1+$BA111)+(($BB111+$BC111)/2*IF($G$1="牵丝",$AK111,$AI111)+IF($G$1="牵丝",$AL111*1.5,0))*(1+$BD111)*(1+$BE111)+(($BF111+$BG111)/2*IF($G$1="破竹",$AK111,$AI111)+IF($G$1="破竹",$AL111*1.5,0))*(1+$BH111)*(1+$BI111))*(1+$AM111)*$Q111*(1+IF(VLOOKUP($R111,武学奇术!$A:$ZZ,30,FALSE)="回旋伞",$B$21,0))*(1+$BR111)</f>
        <v>38737.1563546649</v>
      </c>
      <c r="P111" s="38">
        <f>((($AO111*$AI111+$AJ111)*(1+$AQ111)*(1+$AR111)+($AT111*IF($G$1="鸣金",$AK111,$AI111)+IF($G$1="鸣金",$AL111*1.5,0))*(1+$AV111)*(1+$AW111)+($AX111*IF($G$1="裂石",$AK111,$AI111)+IF($G$1="裂石",$AL111*1.5,0))*(1+$AZ111)*(1+$BA111)+($BB111*IF($G$1="牵丝",$AK111,$AI111)+IF($G$1="牵丝",$AL111*1.5,0))*(1+$BD111)*(1+$BE111)+($BF111*IF($G$1="破竹",$AK111,$AI111)+IF($G$1="破竹",$AL111*1.5,0))*(1+$BH111)*(1+$BI111))*(1+$AM111))*$Q111*(1+IF(VLOOKUP($R111,武学奇术!$A:$ZZ,30,FALSE)="回旋伞",$B$21,0))*(1+$BR111)</f>
        <v>34059.575022387</v>
      </c>
      <c r="Q111" s="39">
        <v>1</v>
      </c>
      <c r="R111" s="40" t="s">
        <v>125</v>
      </c>
      <c r="S111" s="40" t="s">
        <v>109</v>
      </c>
      <c r="T111" s="40" t="s">
        <v>95</v>
      </c>
      <c r="U111" s="40" t="s">
        <v>73</v>
      </c>
      <c r="V111" s="40" t="s">
        <v>72</v>
      </c>
      <c r="W111" s="40" t="s">
        <v>172</v>
      </c>
      <c r="X111" s="40" t="s">
        <v>90</v>
      </c>
      <c r="Y111" s="40" t="s">
        <v>72</v>
      </c>
      <c r="Z111" s="40" t="s">
        <v>72</v>
      </c>
      <c r="AA111" s="40" t="s">
        <v>72</v>
      </c>
      <c r="AB111" s="40" t="s">
        <v>126</v>
      </c>
      <c r="AC111" s="40" t="s">
        <v>72</v>
      </c>
      <c r="AD111" s="40" t="s">
        <v>72</v>
      </c>
      <c r="AE111" s="40" t="s">
        <v>72</v>
      </c>
      <c r="AF111" s="40" t="s">
        <v>72</v>
      </c>
      <c r="AG111" s="40" t="s">
        <v>78</v>
      </c>
      <c r="AH111" t="str">
        <f>VLOOKUP($R111,武学奇术!$A:$ZZ,25,FALSE)</f>
        <v>伞</v>
      </c>
      <c r="AI111" s="26">
        <f>VLOOKUP($R111,武学奇术!$A:$ZZ,26,FALSE)</f>
        <v>1.8084</v>
      </c>
      <c r="AJ111" s="27">
        <f>VLOOKUP($R111,武学奇术!$A:$ZZ,27,FALSE)*(1+IF(OR($AH111=$F$4,$AH111=$F$5),$B$22,0))</f>
        <v>750</v>
      </c>
      <c r="AK111" s="26">
        <f>VLOOKUP($R111,武学奇术!$A:$ZZ,28,FALSE)</f>
        <v>2.7126</v>
      </c>
      <c r="AL111" s="27">
        <f>VLOOKUP($R111,武学奇术!$A:$ZZ,29,FALSE)*(1+IF(OR($AH111=$F$4,$AH111=$F$5),$B$22,0))</f>
        <v>408</v>
      </c>
      <c r="AM111" s="26" cm="1">
        <f t="array" ref="AM111">$G$3+IFERROR(VLOOKUP($AH111,$F$4:$G$7,2,FALSE),0)+VLOOKUP($R111,武学奇术!$A:$ZZ,2,FALSE)+SUM(_xlfn.XLOOKUP($S111:$AG111,增益!$A:$A,增益!$B:$B,0))</f>
        <v>0.7541</v>
      </c>
      <c r="AN111" s="26" cm="1">
        <f t="array" ref="AN111">VLOOKUP($R111,武学奇术!$A:$ZZ,5,FALSE)+SUM(_xlfn.XLOOKUP($S111:$AG111,增益!$A:$A,增益!$E:$E,0))</f>
        <v>0</v>
      </c>
      <c r="AO111" cm="1">
        <f t="array" ref="AO111">$D$10*(1+$AN111)+VLOOKUP($R111,武学奇术!$A:$ZZ,3,FALSE)+SUM(_xlfn.XLOOKUP($S111:$AG111,增益!$A:$A,增益!$C:$C,0))-$I$2</f>
        <v>3562.6</v>
      </c>
      <c r="AP111" cm="1">
        <f t="array" ref="AP111">$E$10*(1+$AN111)+VLOOKUP($R111,武学奇术!$A:$ZZ,4,FALSE)+SUM(_xlfn.XLOOKUP($S111:$AG111,增益!$A:$A,增益!$D:$D,0))-$I$2</f>
        <v>3562.6</v>
      </c>
      <c r="AQ111" s="32" cm="1">
        <f t="array" ref="AQ111">IF($F$10-$I$3+VLOOKUP($R111,武学奇术!$A:$ZZ,6,FALSE)+SUM(_xlfn.XLOOKUP(S111:AG111,增益!$A:$A,增益!$F:$F,0))&gt;0,($F$10-$I$3+VLOOKUP($R111,武学奇术!$A:$ZZ,6,FALSE)+SUM(_xlfn.XLOOKUP(S111:AG111,增益!$A:$A,增益!$F:$F,0)))/200,($F$10-$I$3+VLOOKUP($R111,武学奇术!$A:$ZZ,6,FALSE)+SUM(_xlfn.XLOOKUP(S111:AG111,增益!$A:$A,增益!$F:$F,0)))/100)</f>
        <v>0.2725</v>
      </c>
      <c r="AR111" s="32" cm="1">
        <f t="array" ref="AR111">$G$10+VLOOKUP($R111,武学奇术!$A:$ZZ,7,FALSE)+SUM(_xlfn.XLOOKUP(S111:AG111,增益!$A:$A,增益!$G:$G,0))</f>
        <v>0.148</v>
      </c>
      <c r="AS111" s="26" cm="1">
        <f t="array" ref="AS111">VLOOKUP($R111,武学奇术!$A:$ZZ,8,FALSE)+SUM(_xlfn.XLOOKUP(S111:AG111,增益!$A:$A,增益!$H:$H,0))</f>
        <v>0</v>
      </c>
      <c r="AT111">
        <f t="shared" si="13"/>
        <v>0</v>
      </c>
      <c r="AU111">
        <f t="shared" si="14"/>
        <v>0</v>
      </c>
      <c r="AV111" s="32" cm="1">
        <f t="array" ref="AV111">IF($F$11-$I$4+VLOOKUP($R111,武学奇术!$A:$ZZ,9,FALSE)+SUM(_xlfn.XLOOKUP(S111:AG111,增益!$A:$A,增益!$I:$I,0))&gt;0,($F$11-$I$4+VLOOKUP($R111,武学奇术!$A:$ZZ,9,FALSE)+SUM(_xlfn.XLOOKUP(S111:AG111,增益!$A:$A,增益!$I:$I,0)))/200,($F$11-$I$4+VLOOKUP($R111,武学奇术!$A:$ZZ,9,FALSE)+SUM(_xlfn.XLOOKUP(S111:AG111,增益!$A:$A,增益!$I:$I,0)))/100)</f>
        <v>-0.3</v>
      </c>
      <c r="AW111" s="32" cm="1">
        <f t="array" ref="AW111">$G$11+VLOOKUP($R111,武学奇术!$A:$ZZ,10,FALSE)+SUM(_xlfn.XLOOKUP(S111:AG111,增益!$A:$A,增益!$J:$J,0))</f>
        <v>0</v>
      </c>
      <c r="AX111">
        <f t="shared" si="15"/>
        <v>0</v>
      </c>
      <c r="AY111">
        <f t="shared" si="16"/>
        <v>0</v>
      </c>
      <c r="AZ111" s="32" cm="1">
        <f t="array" ref="AZ111">IF($F$12-$I$4+VLOOKUP($R111,武学奇术!$A:$ZZ,11,FALSE)+SUM(_xlfn.XLOOKUP(S111:AG111,增益!$A:$A,增益!$K:$K,0))&gt;0,($F$12-$I$4+VLOOKUP($R111,武学奇术!$A:$ZZ,11,FALSE)+SUM(_xlfn.XLOOKUP(S111:AG111,增益!$A:$A,增益!$K:$K,0)))/200,($F$12-$I$4+VLOOKUP($R111,武学奇术!$A:$ZZ,11,FALSE)+SUM(_xlfn.XLOOKUP(S111:AG111,增益!$A:$A,增益!$K:$K,0)))/100)</f>
        <v>-0.3</v>
      </c>
      <c r="BA111" s="32" cm="1">
        <f t="array" ref="BA111">$G$12+VLOOKUP($R111,武学奇术!$A:$ZZ,12,FALSE)+SUM(_xlfn.XLOOKUP(S111:AG111,增益!$A:$A,增益!$L:$L,0))</f>
        <v>0</v>
      </c>
      <c r="BB111">
        <f t="shared" si="17"/>
        <v>0</v>
      </c>
      <c r="BC111">
        <f t="shared" si="18"/>
        <v>0</v>
      </c>
      <c r="BD111" s="32" cm="1">
        <f t="array" ref="BD111">IF($F$13-$I$4+VLOOKUP($R111,武学奇术!$A:$ZZ,13,FALSE)+SUM(_xlfn.XLOOKUP(S111:AG111,增益!$A:$A,增益!$M:$M,0))&gt;0,($F$13-$I$4+VLOOKUP($R111,武学奇术!$A:$ZZ,13,FALSE)+SUM(_xlfn.XLOOKUP(S111:AG111,增益!$A:$A,增益!$K:$K,0)))/200,($F$13-$I$4+VLOOKUP($R111,武学奇术!$A:$ZZ,13,FALSE)+SUM(_xlfn.XLOOKUP(S111:AG111,增益!$A:$A,增益!$M:$M,0)))/100)</f>
        <v>-0.3</v>
      </c>
      <c r="BE111" s="32" cm="1">
        <f t="array" ref="BE111">$G$13+VLOOKUP($R111,武学奇术!$A:$ZZ,14,FALSE)+SUM(_xlfn.XLOOKUP(S111:AG111,增益!$A:$A,增益!$N:$N,0))</f>
        <v>0</v>
      </c>
      <c r="BF111">
        <f t="shared" si="19"/>
        <v>571.2</v>
      </c>
      <c r="BG111">
        <f t="shared" si="20"/>
        <v>1627.8</v>
      </c>
      <c r="BH111" s="32" cm="1">
        <f t="array" ref="BH111">IF($F$14-$I$4+VLOOKUP($R111,武学奇术!$A:$ZZ,15,FALSE)+SUM(_xlfn.XLOOKUP(S111:AG111,增益!$A:$A,增益!$O:$O,0))&gt;0,($F$14-$I$4+VLOOKUP($R111,武学奇术!$A:$ZZ,15,FALSE)+SUM(_xlfn.XLOOKUP(S111:AG111,增益!$A:$A,增益!$O:$O,0)))/200,($F$14-$I$4+VLOOKUP($R111,武学奇术!$A:$ZZ,15,FALSE)+SUM(_xlfn.XLOOKUP(S111:AG111,增益!$A:$A,增益!$O:$O,0)))/100)</f>
        <v>0</v>
      </c>
      <c r="BI111" s="32" cm="1">
        <f t="array" ref="BI111">$G$14+VLOOKUP($R111,武学奇术!$A:$ZZ,16,FALSE)+SUM(_xlfn.XLOOKUP(S111:AG111,增益!$A:$A,增益!$P:$P,0))</f>
        <v>0.27</v>
      </c>
      <c r="BJ111" s="26">
        <f>MIN(IF(VLOOKUP($R111,武学奇术!$A:$ZZ,23,FALSE)=1,100%,$B$8),100%)</f>
        <v>1</v>
      </c>
      <c r="BK111" s="26" cm="1">
        <f t="array" ref="BK111">IF(VLOOKUP($R111,武学奇术!$A:$ZZ,23,FALSE)=1,100%,MIN(80%,$B$9+VLOOKUP($R111,武学奇术!$A:$ZZ,17,FALSE)+SUM(_xlfn.XLOOKUP(S111:AG111,增益!$A:$A,增益!$Q:$Q,0)))+$B$11+SUM(_xlfn.XLOOKUP(S111:AG111,增益!$A:$A,增益!$U:$U,0)))*IF(VLOOKUP($R111,武学奇术!$A:$ZZ,24,FALSE)=1,0,1)</f>
        <v>1</v>
      </c>
      <c r="BL111" s="26" cm="1">
        <f t="array" ref="BL111">1+$B$13+VLOOKUP($R111,武学奇术!$A:$ZZ,18,FALSE)+SUM(_xlfn.XLOOKUP(S111:AG111,增益!$A:$A,增益!$R:$R,0))</f>
        <v>2.06</v>
      </c>
      <c r="BM111" s="26" cm="1">
        <f t="array" ref="BM111">IF(VLOOKUP($R111,武学奇术!$A:$ZZ,24,FALSE)=1,100%,MIN(40%,$B$10+VLOOKUP($R111,武学奇术!$A:$ZZ,19,FALSE)+SUM(_xlfn.XLOOKUP(S111:AG111,增益!$A:$A,增益!$S:$S,0)))+$B$12+SUM(_xlfn.XLOOKUP(S111:AG111,增益!$A:$A,增益!$V:$V,0)))*IF(VLOOKUP($R111,武学奇术!$A:$ZZ,23,FALSE)=1,0,1)</f>
        <v>0</v>
      </c>
      <c r="BN111" s="26" cm="1">
        <f t="array" ref="BN111">1+$B$14+VLOOKUP($R111,武学奇术!$A:$ZZ,20,FALSE)+SUM(_xlfn.XLOOKUP(S111:AG111,增益!$A:$A,增益!$T:$T,0))</f>
        <v>1.35</v>
      </c>
      <c r="BO111" s="26">
        <f t="shared" si="21"/>
        <v>1</v>
      </c>
      <c r="BP111" s="26">
        <f t="shared" si="22"/>
        <v>0</v>
      </c>
      <c r="BQ111" s="26">
        <f>IF(VLOOKUP($R111,武学奇术!$A:$ZZ,22,FALSE)=1,0,(1-$BJ111))*(1-$BM111)</f>
        <v>0</v>
      </c>
      <c r="BR111" s="26" cm="1">
        <f t="array" ref="BR111">SUM(_xlfn.XLOOKUP(S111:AG111,增益!$A:$A,增益!$W:$W,0))+$I$5</f>
        <v>0.11</v>
      </c>
    </row>
    <row r="112" spans="11:70">
      <c r="K112">
        <f>$L112*VLOOKUP($R112,武学奇术!$A:$ZZ,31,FALSE)</f>
        <v>48818.1604514809</v>
      </c>
      <c r="L112" s="38">
        <f t="shared" si="24"/>
        <v>46493.4861442675</v>
      </c>
      <c r="M112" s="38">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BL112*$Q112*(1+IF(VLOOKUP($R112,武学奇术!$A:$ZZ,30,FALSE)="回旋伞",$B$21,0))*(1+$BR112)</f>
        <v>46493.4861442675</v>
      </c>
      <c r="N112" s="38">
        <f>(($AP112*$AI112+$AJ112)*(1+$AQ112)*(1+$AR112)+($AU112*IF($G$1="鸣金",$AK112,$AI112)+IF($G$1="鸣金",$AL112*1.5,0))*(1+$AV112)*(1+$AW112)+($AY112*IF($G$1="裂石",$AK112,$AI112)+IF($G$1="裂石",$AL112*1.5,0))*(1+$AZ112)*(1+$BA112)+($BC112*IF($G$1="牵丝",$AK112,$AI112)+IF($G$1="牵丝",$AL112*1.5,0))*(1+$BD112)*(1+$BE112)+($BG112*IF($G$1="破竹",$AK112,$AI112)+IF($G$1="破竹",$AL112*1.5,0))*(1+$BH112)*(1+$BI112))*(1+$AM112)*$BN112*$Q112*(1+IF(VLOOKUP($R112,武学奇术!$A:$ZZ,30,FALSE)="回旋伞",$B$21,0))*(1+$BR112)</f>
        <v>34670.2655811464</v>
      </c>
      <c r="O112" s="38">
        <f>((($AO112+$AP112)/2*$AI112+$AJ112)*(1+$AQ112)*(1+$AR112)+(($AT112+$AU112)/2*IF($G$1="鸣金",$AK112,$AI112)+IF($G$1="鸣金",$AL112*1.5,0))*(1+$AV112)*(1+$AW112)+(($AX112+$AY112)/2*IF($G$1="裂石",$AK112,$AI112)+IF($G$1="裂石",$AL112*1.5,0))*(1+$AZ112)*(1+$BA112)+(($BB112+$BC112)/2*IF($G$1="牵丝",$AK112,$AI112)+IF($G$1="牵丝",$AL112*1.5,0))*(1+$BD112)*(1+$BE112)+(($BF112+$BG112)/2*IF($G$1="破竹",$AK112,$AI112)+IF($G$1="破竹",$AL112*1.5,0))*(1+$BH112)*(1+$BI112))*(1+$AM112)*$Q112*(1+IF(VLOOKUP($R112,武学奇术!$A:$ZZ,30,FALSE)="回旋伞",$B$21,0))*(1+$BR112)</f>
        <v>22569.653468091</v>
      </c>
      <c r="P112" s="38">
        <f>((($AO112*$AI112+$AJ112)*(1+$AQ112)*(1+$AR112)+($AT112*IF($G$1="鸣金",$AK112,$AI112)+IF($G$1="鸣金",$AL112*1.5,0))*(1+$AV112)*(1+$AW112)+($AX112*IF($G$1="裂石",$AK112,$AI112)+IF($G$1="裂石",$AL112*1.5,0))*(1+$AZ112)*(1+$BA112)+($BB112*IF($G$1="牵丝",$AK112,$AI112)+IF($G$1="牵丝",$AL112*1.5,0))*(1+$BD112)*(1+$BE112)+($BF112*IF($G$1="破竹",$AK112,$AI112)+IF($G$1="破竹",$AL112*1.5,0))*(1+$BH112)*(1+$BI112))*(1+$AM112))*$Q112*(1+IF(VLOOKUP($R112,武学奇术!$A:$ZZ,30,FALSE)="回旋伞",$B$21,0))*(1+$BR112)</f>
        <v>19457.6287279255</v>
      </c>
      <c r="Q112" s="39">
        <v>2</v>
      </c>
      <c r="R112" s="40" t="s">
        <v>132</v>
      </c>
      <c r="S112" s="40" t="s">
        <v>109</v>
      </c>
      <c r="T112" s="40" t="s">
        <v>95</v>
      </c>
      <c r="U112" s="40" t="s">
        <v>73</v>
      </c>
      <c r="V112" s="40" t="s">
        <v>72</v>
      </c>
      <c r="W112" s="40" t="s">
        <v>172</v>
      </c>
      <c r="X112" s="40" t="s">
        <v>90</v>
      </c>
      <c r="Y112" s="40" t="s">
        <v>72</v>
      </c>
      <c r="Z112" s="40" t="s">
        <v>72</v>
      </c>
      <c r="AA112" s="40" t="s">
        <v>72</v>
      </c>
      <c r="AB112" s="40" t="s">
        <v>126</v>
      </c>
      <c r="AC112" s="40" t="s">
        <v>72</v>
      </c>
      <c r="AD112" s="40" t="s">
        <v>72</v>
      </c>
      <c r="AE112" s="40" t="s">
        <v>72</v>
      </c>
      <c r="AF112" s="40" t="s">
        <v>72</v>
      </c>
      <c r="AG112" s="40" t="s">
        <v>78</v>
      </c>
      <c r="AH112" t="str">
        <f>VLOOKUP($R112,武学奇术!$A:$ZZ,25,FALSE)</f>
        <v>伞</v>
      </c>
      <c r="AI112" s="26">
        <f>VLOOKUP($R112,武学奇术!$A:$ZZ,26,FALSE)</f>
        <v>0.54</v>
      </c>
      <c r="AJ112" s="27">
        <f>VLOOKUP($R112,武学奇术!$A:$ZZ,27,FALSE)*(1+IF(OR($AH112=$F$4,$AH112=$F$5),$B$22,0))</f>
        <v>0</v>
      </c>
      <c r="AK112" s="26">
        <f>VLOOKUP($R112,武学奇术!$A:$ZZ,28,FALSE)</f>
        <v>0.81</v>
      </c>
      <c r="AL112" s="27">
        <f>VLOOKUP($R112,武学奇术!$A:$ZZ,29,FALSE)*(1+IF(OR($AH112=$F$4,$AH112=$F$5),$B$22,0))</f>
        <v>0</v>
      </c>
      <c r="AM112" s="26" cm="1">
        <f t="array" ref="AM112">$G$3+IFERROR(VLOOKUP($AH112,$F$4:$G$7,2,FALSE),0)+VLOOKUP($R112,武学奇术!$A:$ZZ,2,FALSE)+SUM(_xlfn.XLOOKUP($S112:$AG112,增益!$A:$A,增益!$B:$B,0))</f>
        <v>0.9541</v>
      </c>
      <c r="AN112" s="26" cm="1">
        <f t="array" ref="AN112">VLOOKUP($R112,武学奇术!$A:$ZZ,5,FALSE)+SUM(_xlfn.XLOOKUP($S112:$AG112,增益!$A:$A,增益!$E:$E,0))</f>
        <v>0</v>
      </c>
      <c r="AO112" cm="1">
        <f t="array" ref="AO112">$D$10*(1+$AN112)+VLOOKUP($R112,武学奇术!$A:$ZZ,3,FALSE)+SUM(_xlfn.XLOOKUP($S112:$AG112,增益!$A:$A,增益!$C:$C,0))-$I$2</f>
        <v>3562.6</v>
      </c>
      <c r="AP112" cm="1">
        <f t="array" ref="AP112">$E$10*(1+$AN112)+VLOOKUP($R112,武学奇术!$A:$ZZ,4,FALSE)+SUM(_xlfn.XLOOKUP($S112:$AG112,增益!$A:$A,增益!$D:$D,0))-$I$2</f>
        <v>3562.6</v>
      </c>
      <c r="AQ112" s="32" cm="1">
        <f t="array" ref="AQ112">IF($F$10-$I$3+VLOOKUP($R112,武学奇术!$A:$ZZ,6,FALSE)+SUM(_xlfn.XLOOKUP(S112:AG112,增益!$A:$A,增益!$F:$F,0))&gt;0,($F$10-$I$3+VLOOKUP($R112,武学奇术!$A:$ZZ,6,FALSE)+SUM(_xlfn.XLOOKUP(S112:AG112,增益!$A:$A,增益!$F:$F,0)))/200,($F$10-$I$3+VLOOKUP($R112,武学奇术!$A:$ZZ,6,FALSE)+SUM(_xlfn.XLOOKUP(S112:AG112,增益!$A:$A,增益!$F:$F,0)))/100)</f>
        <v>0.2725</v>
      </c>
      <c r="AR112" s="32" cm="1">
        <f t="array" ref="AR112">$G$10+VLOOKUP($R112,武学奇术!$A:$ZZ,7,FALSE)+SUM(_xlfn.XLOOKUP(S112:AG112,增益!$A:$A,增益!$G:$G,0))</f>
        <v>0.148</v>
      </c>
      <c r="AS112" s="26" cm="1">
        <f t="array" ref="AS112">VLOOKUP($R112,武学奇术!$A:$ZZ,8,FALSE)+SUM(_xlfn.XLOOKUP(S112:AG112,增益!$A:$A,增益!$H:$H,0))</f>
        <v>0</v>
      </c>
      <c r="AT112">
        <f t="shared" si="13"/>
        <v>0</v>
      </c>
      <c r="AU112">
        <f t="shared" si="14"/>
        <v>0</v>
      </c>
      <c r="AV112" s="32" cm="1">
        <f t="array" ref="AV112">IF($F$11-$I$4+VLOOKUP($R112,武学奇术!$A:$ZZ,9,FALSE)+SUM(_xlfn.XLOOKUP(S112:AG112,增益!$A:$A,增益!$I:$I,0))&gt;0,($F$11-$I$4+VLOOKUP($R112,武学奇术!$A:$ZZ,9,FALSE)+SUM(_xlfn.XLOOKUP(S112:AG112,增益!$A:$A,增益!$I:$I,0)))/200,($F$11-$I$4+VLOOKUP($R112,武学奇术!$A:$ZZ,9,FALSE)+SUM(_xlfn.XLOOKUP(S112:AG112,增益!$A:$A,增益!$I:$I,0)))/100)</f>
        <v>-0.3</v>
      </c>
      <c r="AW112" s="32" cm="1">
        <f t="array" ref="AW112">$G$11+VLOOKUP($R112,武学奇术!$A:$ZZ,10,FALSE)+SUM(_xlfn.XLOOKUP(S112:AG112,增益!$A:$A,增益!$J:$J,0))</f>
        <v>0</v>
      </c>
      <c r="AX112">
        <f t="shared" si="15"/>
        <v>0</v>
      </c>
      <c r="AY112">
        <f t="shared" si="16"/>
        <v>0</v>
      </c>
      <c r="AZ112" s="32" cm="1">
        <f t="array" ref="AZ112">IF($F$12-$I$4+VLOOKUP($R112,武学奇术!$A:$ZZ,11,FALSE)+SUM(_xlfn.XLOOKUP(S112:AG112,增益!$A:$A,增益!$K:$K,0))&gt;0,($F$12-$I$4+VLOOKUP($R112,武学奇术!$A:$ZZ,11,FALSE)+SUM(_xlfn.XLOOKUP(S112:AG112,增益!$A:$A,增益!$K:$K,0)))/200,($F$12-$I$4+VLOOKUP($R112,武学奇术!$A:$ZZ,11,FALSE)+SUM(_xlfn.XLOOKUP(S112:AG112,增益!$A:$A,增益!$K:$K,0)))/100)</f>
        <v>-0.3</v>
      </c>
      <c r="BA112" s="32" cm="1">
        <f t="array" ref="BA112">$G$12+VLOOKUP($R112,武学奇术!$A:$ZZ,12,FALSE)+SUM(_xlfn.XLOOKUP(S112:AG112,增益!$A:$A,增益!$L:$L,0))</f>
        <v>0</v>
      </c>
      <c r="BB112">
        <f t="shared" si="17"/>
        <v>0</v>
      </c>
      <c r="BC112">
        <f t="shared" si="18"/>
        <v>0</v>
      </c>
      <c r="BD112" s="32" cm="1">
        <f t="array" ref="BD112">IF($F$13-$I$4+VLOOKUP($R112,武学奇术!$A:$ZZ,13,FALSE)+SUM(_xlfn.XLOOKUP(S112:AG112,增益!$A:$A,增益!$M:$M,0))&gt;0,($F$13-$I$4+VLOOKUP($R112,武学奇术!$A:$ZZ,13,FALSE)+SUM(_xlfn.XLOOKUP(S112:AG112,增益!$A:$A,增益!$K:$K,0)))/200,($F$13-$I$4+VLOOKUP($R112,武学奇术!$A:$ZZ,13,FALSE)+SUM(_xlfn.XLOOKUP(S112:AG112,增益!$A:$A,增益!$M:$M,0)))/100)</f>
        <v>-0.3</v>
      </c>
      <c r="BE112" s="32" cm="1">
        <f t="array" ref="BE112">$G$13+VLOOKUP($R112,武学奇术!$A:$ZZ,14,FALSE)+SUM(_xlfn.XLOOKUP(S112:AG112,增益!$A:$A,增益!$N:$N,0))</f>
        <v>0</v>
      </c>
      <c r="BF112">
        <f t="shared" si="19"/>
        <v>571.2</v>
      </c>
      <c r="BG112">
        <f t="shared" si="20"/>
        <v>1627.8</v>
      </c>
      <c r="BH112" s="32" cm="1">
        <f t="array" ref="BH112">IF($F$14-$I$4+VLOOKUP($R112,武学奇术!$A:$ZZ,15,FALSE)+SUM(_xlfn.XLOOKUP(S112:AG112,增益!$A:$A,增益!$O:$O,0))&gt;0,($F$14-$I$4+VLOOKUP($R112,武学奇术!$A:$ZZ,15,FALSE)+SUM(_xlfn.XLOOKUP(S112:AG112,增益!$A:$A,增益!$O:$O,0)))/200,($F$14-$I$4+VLOOKUP($R112,武学奇术!$A:$ZZ,15,FALSE)+SUM(_xlfn.XLOOKUP(S112:AG112,增益!$A:$A,增益!$O:$O,0)))/100)</f>
        <v>0</v>
      </c>
      <c r="BI112" s="32" cm="1">
        <f t="array" ref="BI112">$G$14+VLOOKUP($R112,武学奇术!$A:$ZZ,16,FALSE)+SUM(_xlfn.XLOOKUP(S112:AG112,增益!$A:$A,增益!$P:$P,0))</f>
        <v>0.27</v>
      </c>
      <c r="BJ112" s="26">
        <f>MIN(IF(VLOOKUP($R112,武学奇术!$A:$ZZ,23,FALSE)=1,100%,$B$8),100%)</f>
        <v>1</v>
      </c>
      <c r="BK112" s="26" cm="1">
        <f t="array" ref="BK112">IF(VLOOKUP($R112,武学奇术!$A:$ZZ,23,FALSE)=1,100%,MIN(80%,$B$9+VLOOKUP($R112,武学奇术!$A:$ZZ,17,FALSE)+SUM(_xlfn.XLOOKUP(S112:AG112,增益!$A:$A,增益!$Q:$Q,0)))+$B$11+SUM(_xlfn.XLOOKUP(S112:AG112,增益!$A:$A,增益!$U:$U,0)))*IF(VLOOKUP($R112,武学奇术!$A:$ZZ,24,FALSE)=1,0,1)</f>
        <v>1</v>
      </c>
      <c r="BL112" s="26" cm="1">
        <f t="array" ref="BL112">1+$B$13+VLOOKUP($R112,武学奇术!$A:$ZZ,18,FALSE)+SUM(_xlfn.XLOOKUP(S112:AG112,增益!$A:$A,增益!$R:$R,0))</f>
        <v>2.06</v>
      </c>
      <c r="BM112" s="26" cm="1">
        <f t="array" ref="BM112">IF(VLOOKUP($R112,武学奇术!$A:$ZZ,24,FALSE)=1,100%,MIN(40%,$B$10+VLOOKUP($R112,武学奇术!$A:$ZZ,19,FALSE)+SUM(_xlfn.XLOOKUP(S112:AG112,增益!$A:$A,增益!$S:$S,0)))+$B$12+SUM(_xlfn.XLOOKUP(S112:AG112,增益!$A:$A,增益!$V:$V,0)))*IF(VLOOKUP($R112,武学奇术!$A:$ZZ,23,FALSE)=1,0,1)</f>
        <v>0</v>
      </c>
      <c r="BN112" s="26" cm="1">
        <f t="array" ref="BN112">1+$B$14+VLOOKUP($R112,武学奇术!$A:$ZZ,20,FALSE)+SUM(_xlfn.XLOOKUP(S112:AG112,增益!$A:$A,增益!$T:$T,0))</f>
        <v>1.35</v>
      </c>
      <c r="BO112" s="26">
        <f t="shared" si="21"/>
        <v>1</v>
      </c>
      <c r="BP112" s="26">
        <f t="shared" si="22"/>
        <v>0</v>
      </c>
      <c r="BQ112" s="26">
        <f>IF(VLOOKUP($R112,武学奇术!$A:$ZZ,22,FALSE)=1,0,(1-$BJ112))*(1-$BM112)</f>
        <v>0</v>
      </c>
      <c r="BR112" s="26" cm="1">
        <f t="array" ref="BR112">SUM(_xlfn.XLOOKUP(S112:AG112,增益!$A:$A,增益!$W:$W,0))+$I$5</f>
        <v>0.11</v>
      </c>
    </row>
    <row r="113" spans="11:70">
      <c r="K113">
        <f>$L113*VLOOKUP($R113,武学奇术!$A:$ZZ,31,FALSE)</f>
        <v>140414.57059275</v>
      </c>
      <c r="L113" s="38">
        <f t="shared" si="24"/>
        <v>133728.162469285</v>
      </c>
      <c r="M113" s="38">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BL113*$Q113*(1+IF(VLOOKUP($R113,武学奇术!$A:$ZZ,30,FALSE)="回旋伞",$B$21,0))*(1+$BR113)</f>
        <v>143089.529010551</v>
      </c>
      <c r="N113" s="38">
        <f>(($AP113*$AI113+$AJ113)*(1+$AQ113)*(1+$AR113)+($AU113*IF($G$1="鸣金",$AK113,$AI113)+IF($G$1="鸣金",$AL113*1.5,0))*(1+$AV113)*(1+$AW113)+($AY113*IF($G$1="裂石",$AK113,$AI113)+IF($G$1="裂石",$AL113*1.5,0))*(1+$AZ113)*(1+$BA113)+($BC113*IF($G$1="牵丝",$AK113,$AI113)+IF($G$1="牵丝",$AL113*1.5,0))*(1+$BD113)*(1+$BE113)+($BG113*IF($G$1="破竹",$AK113,$AI113)+IF($G$1="破竹",$AL113*1.5,0))*(1+$BH113)*(1+$BI113))*(1+$AM113)*$BN113*$Q113*(1+IF(VLOOKUP($R113,武学奇术!$A:$ZZ,30,FALSE)="回旋伞",$B$21,0))*(1+$BR113)</f>
        <v>105033.739214068</v>
      </c>
      <c r="O113" s="38">
        <f>((($AO113+$AP113)/2*$AI113+$AJ113)*(1+$AQ113)*(1+$AR113)+(($AT113+$AU113)/2*IF($G$1="鸣金",$AK113,$AI113)+IF($G$1="鸣金",$AL113*1.5,0))*(1+$AV113)*(1+$AW113)+(($AX113+$AY113)/2*IF($G$1="裂石",$AK113,$AI113)+IF($G$1="裂石",$AL113*1.5,0))*(1+$AZ113)*(1+$BA113)+(($BB113+$BC113)/2*IF($G$1="牵丝",$AK113,$AI113)+IF($G$1="牵丝",$AL113*1.5,0))*(1+$BD113)*(1+$BE113)+(($BF113+$BG113)/2*IF($G$1="破竹",$AK113,$AI113)+IF($G$1="破竹",$AL113*1.5,0))*(1+$BH113)*(1+$BI113))*(1+$AM113)*$Q113*(1+IF(VLOOKUP($R113,武学奇术!$A:$ZZ,30,FALSE)="回旋伞",$B$21,0))*(1+$BR113)</f>
        <v>69460.9364128887</v>
      </c>
      <c r="P113" s="38">
        <f>((($AO113*$AI113+$AJ113)*(1+$AQ113)*(1+$AR113)+($AT113*IF($G$1="鸣金",$AK113,$AI113)+IF($G$1="鸣金",$AL113*1.5,0))*(1+$AV113)*(1+$AW113)+($AX113*IF($G$1="裂石",$AK113,$AI113)+IF($G$1="裂石",$AL113*1.5,0))*(1+$AZ113)*(1+$BA113)+($BB113*IF($G$1="牵丝",$AK113,$AI113)+IF($G$1="牵丝",$AL113*1.5,0))*(1+$BD113)*(1+$BE113)+($BF113*IF($G$1="破竹",$AK113,$AI113)+IF($G$1="破竹",$AL113*1.5,0))*(1+$BH113)*(1+$BI113))*(1+$AM113))*$Q113*(1+IF(VLOOKUP($R113,武学奇术!$A:$ZZ,30,FALSE)="回旋伞",$B$21,0))*(1+$BR113)</f>
        <v>61119.1030375786</v>
      </c>
      <c r="Q113" s="39">
        <v>2</v>
      </c>
      <c r="R113" s="40" t="s">
        <v>108</v>
      </c>
      <c r="S113" s="40" t="s">
        <v>109</v>
      </c>
      <c r="T113" s="40" t="s">
        <v>95</v>
      </c>
      <c r="U113" s="40" t="s">
        <v>73</v>
      </c>
      <c r="V113" s="40" t="s">
        <v>72</v>
      </c>
      <c r="W113" s="40" t="s">
        <v>172</v>
      </c>
      <c r="X113" s="40" t="s">
        <v>97</v>
      </c>
      <c r="Y113" s="40" t="s">
        <v>72</v>
      </c>
      <c r="Z113" s="40" t="s">
        <v>72</v>
      </c>
      <c r="AA113" s="40" t="s">
        <v>72</v>
      </c>
      <c r="AB113" s="40" t="s">
        <v>126</v>
      </c>
      <c r="AC113" s="40" t="s">
        <v>72</v>
      </c>
      <c r="AD113" s="40" t="s">
        <v>72</v>
      </c>
      <c r="AE113" s="40" t="s">
        <v>72</v>
      </c>
      <c r="AF113" s="40" t="s">
        <v>72</v>
      </c>
      <c r="AG113" s="40" t="s">
        <v>78</v>
      </c>
      <c r="AH113" t="str">
        <f>VLOOKUP($R113,武学奇术!$A:$ZZ,25,FALSE)</f>
        <v>伞</v>
      </c>
      <c r="AI113" s="26">
        <f>VLOOKUP($R113,武学奇术!$A:$ZZ,26,FALSE)</f>
        <v>1.8084</v>
      </c>
      <c r="AJ113" s="27">
        <f>VLOOKUP($R113,武学奇术!$A:$ZZ,27,FALSE)*(1+IF(OR($AH113=$F$4,$AH113=$F$5),$B$22,0))</f>
        <v>750</v>
      </c>
      <c r="AK113" s="26">
        <f>VLOOKUP($R113,武学奇术!$A:$ZZ,28,FALSE)</f>
        <v>2.7126</v>
      </c>
      <c r="AL113" s="27">
        <f>VLOOKUP($R113,武学奇术!$A:$ZZ,29,FALSE)*(1+IF(OR($AH113=$F$4,$AH113=$F$5),$B$22,0))</f>
        <v>408</v>
      </c>
      <c r="AM113" s="26" cm="1">
        <f t="array" ref="AM113">$G$3+IFERROR(VLOOKUP($AH113,$F$4:$G$7,2,FALSE),0)+VLOOKUP($R113,武学奇术!$A:$ZZ,2,FALSE)+SUM(_xlfn.XLOOKUP($S113:$AG113,增益!$A:$A,增益!$B:$B,0))</f>
        <v>0.5641</v>
      </c>
      <c r="AN113" s="26" cm="1">
        <f t="array" ref="AN113">VLOOKUP($R113,武学奇术!$A:$ZZ,5,FALSE)+SUM(_xlfn.XLOOKUP($S113:$AG113,增益!$A:$A,增益!$E:$E,0))</f>
        <v>0</v>
      </c>
      <c r="AO113" cm="1">
        <f t="array" ref="AO113">$D$10*(1+$AN113)+VLOOKUP($R113,武学奇术!$A:$ZZ,3,FALSE)+SUM(_xlfn.XLOOKUP($S113:$AG113,增益!$A:$A,增益!$C:$C,0))-$I$2</f>
        <v>3562.6</v>
      </c>
      <c r="AP113" cm="1">
        <f t="array" ref="AP113">$E$10*(1+$AN113)+VLOOKUP($R113,武学奇术!$A:$ZZ,4,FALSE)+SUM(_xlfn.XLOOKUP($S113:$AG113,增益!$A:$A,增益!$D:$D,0))-$I$2</f>
        <v>3562.6</v>
      </c>
      <c r="AQ113" s="32" cm="1">
        <f t="array" ref="AQ113">IF($F$10-$I$3+VLOOKUP($R113,武学奇术!$A:$ZZ,6,FALSE)+SUM(_xlfn.XLOOKUP(S113:AG113,增益!$A:$A,增益!$F:$F,0))&gt;0,($F$10-$I$3+VLOOKUP($R113,武学奇术!$A:$ZZ,6,FALSE)+SUM(_xlfn.XLOOKUP(S113:AG113,增益!$A:$A,增益!$F:$F,0)))/200,($F$10-$I$3+VLOOKUP($R113,武学奇术!$A:$ZZ,6,FALSE)+SUM(_xlfn.XLOOKUP(S113:AG113,增益!$A:$A,增益!$F:$F,0)))/100)</f>
        <v>0.2825</v>
      </c>
      <c r="AR113" s="32" cm="1">
        <f t="array" ref="AR113">$G$10+VLOOKUP($R113,武学奇术!$A:$ZZ,7,FALSE)+SUM(_xlfn.XLOOKUP(S113:AG113,增益!$A:$A,增益!$G:$G,0))</f>
        <v>0.148</v>
      </c>
      <c r="AS113" s="26" cm="1">
        <f t="array" ref="AS113">VLOOKUP($R113,武学奇术!$A:$ZZ,8,FALSE)+SUM(_xlfn.XLOOKUP(S113:AG113,增益!$A:$A,增益!$H:$H,0))</f>
        <v>0</v>
      </c>
      <c r="AT113">
        <f t="shared" si="13"/>
        <v>0</v>
      </c>
      <c r="AU113">
        <f t="shared" si="14"/>
        <v>0</v>
      </c>
      <c r="AV113" s="32" cm="1">
        <f t="array" ref="AV113">IF($F$11-$I$4+VLOOKUP($R113,武学奇术!$A:$ZZ,9,FALSE)+SUM(_xlfn.XLOOKUP(S113:AG113,增益!$A:$A,增益!$I:$I,0))&gt;0,($F$11-$I$4+VLOOKUP($R113,武学奇术!$A:$ZZ,9,FALSE)+SUM(_xlfn.XLOOKUP(S113:AG113,增益!$A:$A,增益!$I:$I,0)))/200,($F$11-$I$4+VLOOKUP($R113,武学奇术!$A:$ZZ,9,FALSE)+SUM(_xlfn.XLOOKUP(S113:AG113,增益!$A:$A,增益!$I:$I,0)))/100)</f>
        <v>-0.3</v>
      </c>
      <c r="AW113" s="32" cm="1">
        <f t="array" ref="AW113">$G$11+VLOOKUP($R113,武学奇术!$A:$ZZ,10,FALSE)+SUM(_xlfn.XLOOKUP(S113:AG113,增益!$A:$A,增益!$J:$J,0))</f>
        <v>0</v>
      </c>
      <c r="AX113">
        <f t="shared" si="15"/>
        <v>0</v>
      </c>
      <c r="AY113">
        <f t="shared" si="16"/>
        <v>0</v>
      </c>
      <c r="AZ113" s="32" cm="1">
        <f t="array" ref="AZ113">IF($F$12-$I$4+VLOOKUP($R113,武学奇术!$A:$ZZ,11,FALSE)+SUM(_xlfn.XLOOKUP(S113:AG113,增益!$A:$A,增益!$K:$K,0))&gt;0,($F$12-$I$4+VLOOKUP($R113,武学奇术!$A:$ZZ,11,FALSE)+SUM(_xlfn.XLOOKUP(S113:AG113,增益!$A:$A,增益!$K:$K,0)))/200,($F$12-$I$4+VLOOKUP($R113,武学奇术!$A:$ZZ,11,FALSE)+SUM(_xlfn.XLOOKUP(S113:AG113,增益!$A:$A,增益!$K:$K,0)))/100)</f>
        <v>-0.3</v>
      </c>
      <c r="BA113" s="32" cm="1">
        <f t="array" ref="BA113">$G$12+VLOOKUP($R113,武学奇术!$A:$ZZ,12,FALSE)+SUM(_xlfn.XLOOKUP(S113:AG113,增益!$A:$A,增益!$L:$L,0))</f>
        <v>0</v>
      </c>
      <c r="BB113">
        <f t="shared" si="17"/>
        <v>0</v>
      </c>
      <c r="BC113">
        <f t="shared" si="18"/>
        <v>0</v>
      </c>
      <c r="BD113" s="32" cm="1">
        <f t="array" ref="BD113">IF($F$13-$I$4+VLOOKUP($R113,武学奇术!$A:$ZZ,13,FALSE)+SUM(_xlfn.XLOOKUP(S113:AG113,增益!$A:$A,增益!$M:$M,0))&gt;0,($F$13-$I$4+VLOOKUP($R113,武学奇术!$A:$ZZ,13,FALSE)+SUM(_xlfn.XLOOKUP(S113:AG113,增益!$A:$A,增益!$K:$K,0)))/200,($F$13-$I$4+VLOOKUP($R113,武学奇术!$A:$ZZ,13,FALSE)+SUM(_xlfn.XLOOKUP(S113:AG113,增益!$A:$A,增益!$M:$M,0)))/100)</f>
        <v>-0.3</v>
      </c>
      <c r="BE113" s="32" cm="1">
        <f t="array" ref="BE113">$G$13+VLOOKUP($R113,武学奇术!$A:$ZZ,14,FALSE)+SUM(_xlfn.XLOOKUP(S113:AG113,增益!$A:$A,增益!$N:$N,0))</f>
        <v>0</v>
      </c>
      <c r="BF113">
        <f t="shared" si="19"/>
        <v>571.2</v>
      </c>
      <c r="BG113">
        <f t="shared" si="20"/>
        <v>1627.8</v>
      </c>
      <c r="BH113" s="32" cm="1">
        <f t="array" ref="BH113">IF($F$14-$I$4+VLOOKUP($R113,武学奇术!$A:$ZZ,15,FALSE)+SUM(_xlfn.XLOOKUP(S113:AG113,增益!$A:$A,增益!$O:$O,0))&gt;0,($F$14-$I$4+VLOOKUP($R113,武学奇术!$A:$ZZ,15,FALSE)+SUM(_xlfn.XLOOKUP(S113:AG113,增益!$A:$A,增益!$O:$O,0)))/200,($F$14-$I$4+VLOOKUP($R113,武学奇术!$A:$ZZ,15,FALSE)+SUM(_xlfn.XLOOKUP(S113:AG113,增益!$A:$A,增益!$O:$O,0)))/100)</f>
        <v>0</v>
      </c>
      <c r="BI113" s="32" cm="1">
        <f t="array" ref="BI113">$G$14+VLOOKUP($R113,武学奇术!$A:$ZZ,16,FALSE)+SUM(_xlfn.XLOOKUP(S113:AG113,增益!$A:$A,增益!$P:$P,0))</f>
        <v>0.27</v>
      </c>
      <c r="BJ113" s="26">
        <f>MIN(IF(VLOOKUP($R113,武学奇术!$A:$ZZ,23,FALSE)=1,100%,$B$8),100%)</f>
        <v>0.981</v>
      </c>
      <c r="BK113" s="26" cm="1">
        <f t="array" ref="BK113">IF(VLOOKUP($R113,武学奇术!$A:$ZZ,23,FALSE)=1,100%,MIN(80%,$B$9+VLOOKUP($R113,武学奇术!$A:$ZZ,17,FALSE)+SUM(_xlfn.XLOOKUP(S113:AG113,增益!$A:$A,增益!$Q:$Q,0)))+$B$11+SUM(_xlfn.XLOOKUP(S113:AG113,增益!$A:$A,增益!$U:$U,0)))*IF(VLOOKUP($R113,武学奇术!$A:$ZZ,24,FALSE)=1,0,1)</f>
        <v>0.846</v>
      </c>
      <c r="BL113" s="26" cm="1">
        <f t="array" ref="BL113">1+$B$13+VLOOKUP($R113,武学奇术!$A:$ZZ,18,FALSE)+SUM(_xlfn.XLOOKUP(S113:AG113,增益!$A:$A,增益!$R:$R,0))</f>
        <v>2.06</v>
      </c>
      <c r="BM113" s="26" cm="1">
        <f t="array" ref="BM113">IF(VLOOKUP($R113,武学奇术!$A:$ZZ,24,FALSE)=1,100%,MIN(40%,$B$10+VLOOKUP($R113,武学奇术!$A:$ZZ,19,FALSE)+SUM(_xlfn.XLOOKUP(S113:AG113,增益!$A:$A,增益!$S:$S,0)))+$B$12+SUM(_xlfn.XLOOKUP(S113:AG113,增益!$A:$A,增益!$V:$V,0)))*IF(VLOOKUP($R113,武学奇术!$A:$ZZ,23,FALSE)=1,0,1)</f>
        <v>0.0929</v>
      </c>
      <c r="BN113" s="26" cm="1">
        <f t="array" ref="BN113">1+$B$14+VLOOKUP($R113,武学奇术!$A:$ZZ,20,FALSE)+SUM(_xlfn.XLOOKUP(S113:AG113,增益!$A:$A,增益!$T:$T,0))</f>
        <v>1.35</v>
      </c>
      <c r="BO113" s="26">
        <f t="shared" si="21"/>
        <v>0.829926</v>
      </c>
      <c r="BP113" s="26">
        <f t="shared" si="22"/>
        <v>0.0599391</v>
      </c>
      <c r="BQ113" s="26">
        <f>IF(VLOOKUP($R113,武学奇术!$A:$ZZ,22,FALSE)=1,0,(1-$BJ113))*(1-$BM113)</f>
        <v>0.0172349</v>
      </c>
      <c r="BR113" s="26" cm="1">
        <f t="array" ref="BR113">SUM(_xlfn.XLOOKUP(S113:AG113,增益!$A:$A,增益!$W:$W,0))+$I$5</f>
        <v>0.11</v>
      </c>
    </row>
    <row r="114" spans="11:70">
      <c r="K114">
        <f>$L114*VLOOKUP($R114,武学奇术!$A:$ZZ,31,FALSE)</f>
        <v>82917.2328448001</v>
      </c>
      <c r="L114" s="38">
        <f t="shared" si="24"/>
        <v>78968.7931855239</v>
      </c>
      <c r="M114" s="38">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BL114*$Q114*(1+IF(VLOOKUP($R114,武学奇术!$A:$ZZ,30,FALSE)="回旋伞",$B$21,0))*(1+$BR114)</f>
        <v>84416.0943047587</v>
      </c>
      <c r="N114" s="38">
        <f>(($AP114*$AI114+$AJ114)*(1+$AQ114)*(1+$AR114)+($AU114*IF($G$1="鸣金",$AK114,$AI114)+IF($G$1="鸣金",$AL114*1.5,0))*(1+$AV114)*(1+$AW114)+($AY114*IF($G$1="裂石",$AK114,$AI114)+IF($G$1="裂石",$AL114*1.5,0))*(1+$AZ114)*(1+$BA114)+($BC114*IF($G$1="牵丝",$AK114,$AI114)+IF($G$1="牵丝",$AL114*1.5,0))*(1+$BD114)*(1+$BE114)+($BG114*IF($G$1="破竹",$AK114,$AI114)+IF($G$1="破竹",$AL114*1.5,0))*(1+$BH114)*(1+$BI114))*(1+$AM114)*$BN114*$Q114*(1+IF(VLOOKUP($R114,武学奇术!$A:$ZZ,30,FALSE)="回旋伞",$B$21,0))*(1+$BR114)</f>
        <v>62906.7095169786</v>
      </c>
      <c r="O114" s="38">
        <f>((($AO114+$AP114)/2*$AI114+$AJ114)*(1+$AQ114)*(1+$AR114)+(($AT114+$AU114)/2*IF($G$1="鸣金",$AK114,$AI114)+IF($G$1="鸣金",$AL114*1.5,0))*(1+$AV114)*(1+$AW114)+(($AX114+$AY114)/2*IF($G$1="裂石",$AK114,$AI114)+IF($G$1="裂石",$AL114*1.5,0))*(1+$AZ114)*(1+$BA114)+(($BB114+$BC114)/2*IF($G$1="牵丝",$AK114,$AI114)+IF($G$1="牵丝",$AL114*1.5,0))*(1+$BD114)*(1+$BE114)+(($BF114+$BG114)/2*IF($G$1="破竹",$AK114,$AI114)+IF($G$1="破竹",$AL114*1.5,0))*(1+$BH114)*(1+$BI114))*(1+$AM114)*$Q114*(1+IF(VLOOKUP($R114,武学奇术!$A:$ZZ,30,FALSE)="回旋伞",$B$21,0))*(1+$BR114)</f>
        <v>40978.6865557081</v>
      </c>
      <c r="P114" s="38">
        <f>((($AO114*$AI114+$AJ114)*(1+$AQ114)*(1+$AR114)+($AT114*IF($G$1="鸣金",$AK114,$AI114)+IF($G$1="鸣金",$AL114*1.5,0))*(1+$AV114)*(1+$AW114)+($AX114*IF($G$1="裂石",$AK114,$AI114)+IF($G$1="裂石",$AL114*1.5,0))*(1+$AZ114)*(1+$BA114)+($BB114*IF($G$1="牵丝",$AK114,$AI114)+IF($G$1="牵丝",$AL114*1.5,0))*(1+$BD114)*(1+$BE114)+($BF114*IF($G$1="破竹",$AK114,$AI114)+IF($G$1="破竹",$AL114*1.5,0))*(1+$BH114)*(1+$BI114))*(1+$AM114))*$Q114*(1+IF(VLOOKUP($R114,武学奇术!$A:$ZZ,30,FALSE)="回旋伞",$B$21,0))*(1+$BR114)</f>
        <v>35359.8105062469</v>
      </c>
      <c r="Q114" s="39">
        <v>4</v>
      </c>
      <c r="R114" s="40" t="s">
        <v>112</v>
      </c>
      <c r="S114" s="40" t="s">
        <v>109</v>
      </c>
      <c r="T114" s="40" t="s">
        <v>95</v>
      </c>
      <c r="U114" s="40" t="s">
        <v>73</v>
      </c>
      <c r="V114" s="40" t="s">
        <v>72</v>
      </c>
      <c r="W114" s="40" t="s">
        <v>172</v>
      </c>
      <c r="X114" s="40" t="s">
        <v>97</v>
      </c>
      <c r="Y114" s="40" t="s">
        <v>72</v>
      </c>
      <c r="Z114" s="40" t="s">
        <v>72</v>
      </c>
      <c r="AA114" s="40" t="s">
        <v>72</v>
      </c>
      <c r="AB114" s="40" t="s">
        <v>126</v>
      </c>
      <c r="AC114" s="40" t="s">
        <v>72</v>
      </c>
      <c r="AD114" s="40" t="s">
        <v>72</v>
      </c>
      <c r="AE114" s="40" t="s">
        <v>72</v>
      </c>
      <c r="AF114" s="40" t="s">
        <v>72</v>
      </c>
      <c r="AG114" s="40" t="s">
        <v>78</v>
      </c>
      <c r="AH114" t="str">
        <f>VLOOKUP($R114,武学奇术!$A:$ZZ,25,FALSE)</f>
        <v>伞</v>
      </c>
      <c r="AI114" s="26">
        <f>VLOOKUP($R114,武学奇术!$A:$ZZ,26,FALSE)</f>
        <v>0.54</v>
      </c>
      <c r="AJ114" s="27">
        <f>VLOOKUP($R114,武学奇术!$A:$ZZ,27,FALSE)*(1+IF(OR($AH114=$F$4,$AH114=$F$5),$B$22,0))</f>
        <v>0</v>
      </c>
      <c r="AK114" s="26">
        <f>VLOOKUP($R114,武学奇术!$A:$ZZ,28,FALSE)</f>
        <v>0.81</v>
      </c>
      <c r="AL114" s="27">
        <f>VLOOKUP($R114,武学奇术!$A:$ZZ,29,FALSE)*(1+IF(OR($AH114=$F$4,$AH114=$F$5),$B$22,0))</f>
        <v>0</v>
      </c>
      <c r="AM114" s="26" cm="1">
        <f t="array" ref="AM114">$G$3+IFERROR(VLOOKUP($AH114,$F$4:$G$7,2,FALSE),0)+VLOOKUP($R114,武学奇术!$A:$ZZ,2,FALSE)+SUM(_xlfn.XLOOKUP($S114:$AG114,增益!$A:$A,增益!$B:$B,0))</f>
        <v>0.7641</v>
      </c>
      <c r="AN114" s="26" cm="1">
        <f t="array" ref="AN114">VLOOKUP($R114,武学奇术!$A:$ZZ,5,FALSE)+SUM(_xlfn.XLOOKUP($S114:$AG114,增益!$A:$A,增益!$E:$E,0))</f>
        <v>0</v>
      </c>
      <c r="AO114" cm="1">
        <f t="array" ref="AO114">$D$10*(1+$AN114)+VLOOKUP($R114,武学奇术!$A:$ZZ,3,FALSE)+SUM(_xlfn.XLOOKUP($S114:$AG114,增益!$A:$A,增益!$C:$C,0))-$I$2</f>
        <v>3562.6</v>
      </c>
      <c r="AP114" cm="1">
        <f t="array" ref="AP114">$E$10*(1+$AN114)+VLOOKUP($R114,武学奇术!$A:$ZZ,4,FALSE)+SUM(_xlfn.XLOOKUP($S114:$AG114,增益!$A:$A,增益!$D:$D,0))-$I$2</f>
        <v>3562.6</v>
      </c>
      <c r="AQ114" s="32" cm="1">
        <f t="array" ref="AQ114">IF($F$10-$I$3+VLOOKUP($R114,武学奇术!$A:$ZZ,6,FALSE)+SUM(_xlfn.XLOOKUP(S114:AG114,增益!$A:$A,增益!$F:$F,0))&gt;0,($F$10-$I$3+VLOOKUP($R114,武学奇术!$A:$ZZ,6,FALSE)+SUM(_xlfn.XLOOKUP(S114:AG114,增益!$A:$A,增益!$F:$F,0)))/200,($F$10-$I$3+VLOOKUP($R114,武学奇术!$A:$ZZ,6,FALSE)+SUM(_xlfn.XLOOKUP(S114:AG114,增益!$A:$A,增益!$F:$F,0)))/100)</f>
        <v>0.2825</v>
      </c>
      <c r="AR114" s="32" cm="1">
        <f t="array" ref="AR114">$G$10+VLOOKUP($R114,武学奇术!$A:$ZZ,7,FALSE)+SUM(_xlfn.XLOOKUP(S114:AG114,增益!$A:$A,增益!$G:$G,0))</f>
        <v>0.148</v>
      </c>
      <c r="AS114" s="26" cm="1">
        <f t="array" ref="AS114">VLOOKUP($R114,武学奇术!$A:$ZZ,8,FALSE)+SUM(_xlfn.XLOOKUP(S114:AG114,增益!$A:$A,增益!$H:$H,0))</f>
        <v>0</v>
      </c>
      <c r="AT114">
        <f t="shared" si="13"/>
        <v>0</v>
      </c>
      <c r="AU114">
        <f t="shared" si="14"/>
        <v>0</v>
      </c>
      <c r="AV114" s="32" cm="1">
        <f t="array" ref="AV114">IF($F$11-$I$4+VLOOKUP($R114,武学奇术!$A:$ZZ,9,FALSE)+SUM(_xlfn.XLOOKUP(S114:AG114,增益!$A:$A,增益!$I:$I,0))&gt;0,($F$11-$I$4+VLOOKUP($R114,武学奇术!$A:$ZZ,9,FALSE)+SUM(_xlfn.XLOOKUP(S114:AG114,增益!$A:$A,增益!$I:$I,0)))/200,($F$11-$I$4+VLOOKUP($R114,武学奇术!$A:$ZZ,9,FALSE)+SUM(_xlfn.XLOOKUP(S114:AG114,增益!$A:$A,增益!$I:$I,0)))/100)</f>
        <v>-0.3</v>
      </c>
      <c r="AW114" s="32" cm="1">
        <f t="array" ref="AW114">$G$11+VLOOKUP($R114,武学奇术!$A:$ZZ,10,FALSE)+SUM(_xlfn.XLOOKUP(S114:AG114,增益!$A:$A,增益!$J:$J,0))</f>
        <v>0</v>
      </c>
      <c r="AX114">
        <f t="shared" si="15"/>
        <v>0</v>
      </c>
      <c r="AY114">
        <f t="shared" si="16"/>
        <v>0</v>
      </c>
      <c r="AZ114" s="32" cm="1">
        <f t="array" ref="AZ114">IF($F$12-$I$4+VLOOKUP($R114,武学奇术!$A:$ZZ,11,FALSE)+SUM(_xlfn.XLOOKUP(S114:AG114,增益!$A:$A,增益!$K:$K,0))&gt;0,($F$12-$I$4+VLOOKUP($R114,武学奇术!$A:$ZZ,11,FALSE)+SUM(_xlfn.XLOOKUP(S114:AG114,增益!$A:$A,增益!$K:$K,0)))/200,($F$12-$I$4+VLOOKUP($R114,武学奇术!$A:$ZZ,11,FALSE)+SUM(_xlfn.XLOOKUP(S114:AG114,增益!$A:$A,增益!$K:$K,0)))/100)</f>
        <v>-0.3</v>
      </c>
      <c r="BA114" s="32" cm="1">
        <f t="array" ref="BA114">$G$12+VLOOKUP($R114,武学奇术!$A:$ZZ,12,FALSE)+SUM(_xlfn.XLOOKUP(S114:AG114,增益!$A:$A,增益!$L:$L,0))</f>
        <v>0</v>
      </c>
      <c r="BB114">
        <f t="shared" si="17"/>
        <v>0</v>
      </c>
      <c r="BC114">
        <f t="shared" si="18"/>
        <v>0</v>
      </c>
      <c r="BD114" s="32" cm="1">
        <f t="array" ref="BD114">IF($F$13-$I$4+VLOOKUP($R114,武学奇术!$A:$ZZ,13,FALSE)+SUM(_xlfn.XLOOKUP(S114:AG114,增益!$A:$A,增益!$M:$M,0))&gt;0,($F$13-$I$4+VLOOKUP($R114,武学奇术!$A:$ZZ,13,FALSE)+SUM(_xlfn.XLOOKUP(S114:AG114,增益!$A:$A,增益!$K:$K,0)))/200,($F$13-$I$4+VLOOKUP($R114,武学奇术!$A:$ZZ,13,FALSE)+SUM(_xlfn.XLOOKUP(S114:AG114,增益!$A:$A,增益!$M:$M,0)))/100)</f>
        <v>-0.3</v>
      </c>
      <c r="BE114" s="32" cm="1">
        <f t="array" ref="BE114">$G$13+VLOOKUP($R114,武学奇术!$A:$ZZ,14,FALSE)+SUM(_xlfn.XLOOKUP(S114:AG114,增益!$A:$A,增益!$N:$N,0))</f>
        <v>0</v>
      </c>
      <c r="BF114">
        <f t="shared" si="19"/>
        <v>571.2</v>
      </c>
      <c r="BG114">
        <f t="shared" si="20"/>
        <v>1627.8</v>
      </c>
      <c r="BH114" s="32" cm="1">
        <f t="array" ref="BH114">IF($F$14-$I$4+VLOOKUP($R114,武学奇术!$A:$ZZ,15,FALSE)+SUM(_xlfn.XLOOKUP(S114:AG114,增益!$A:$A,增益!$O:$O,0))&gt;0,($F$14-$I$4+VLOOKUP($R114,武学奇术!$A:$ZZ,15,FALSE)+SUM(_xlfn.XLOOKUP(S114:AG114,增益!$A:$A,增益!$O:$O,0)))/200,($F$14-$I$4+VLOOKUP($R114,武学奇术!$A:$ZZ,15,FALSE)+SUM(_xlfn.XLOOKUP(S114:AG114,增益!$A:$A,增益!$O:$O,0)))/100)</f>
        <v>0</v>
      </c>
      <c r="BI114" s="32" cm="1">
        <f t="array" ref="BI114">$G$14+VLOOKUP($R114,武学奇术!$A:$ZZ,16,FALSE)+SUM(_xlfn.XLOOKUP(S114:AG114,增益!$A:$A,增益!$P:$P,0))</f>
        <v>0.27</v>
      </c>
      <c r="BJ114" s="26">
        <f>MIN(IF(VLOOKUP($R114,武学奇术!$A:$ZZ,23,FALSE)=1,100%,$B$8),100%)</f>
        <v>0.981</v>
      </c>
      <c r="BK114" s="26" cm="1">
        <f t="array" ref="BK114">IF(VLOOKUP($R114,武学奇术!$A:$ZZ,23,FALSE)=1,100%,MIN(80%,$B$9+VLOOKUP($R114,武学奇术!$A:$ZZ,17,FALSE)+SUM(_xlfn.XLOOKUP(S114:AG114,增益!$A:$A,增益!$Q:$Q,0)))+$B$11+SUM(_xlfn.XLOOKUP(S114:AG114,增益!$A:$A,增益!$U:$U,0)))*IF(VLOOKUP($R114,武学奇术!$A:$ZZ,24,FALSE)=1,0,1)</f>
        <v>0.846</v>
      </c>
      <c r="BL114" s="26" cm="1">
        <f t="array" ref="BL114">1+$B$13+VLOOKUP($R114,武学奇术!$A:$ZZ,18,FALSE)+SUM(_xlfn.XLOOKUP(S114:AG114,增益!$A:$A,增益!$R:$R,0))</f>
        <v>2.06</v>
      </c>
      <c r="BM114" s="26" cm="1">
        <f t="array" ref="BM114">IF(VLOOKUP($R114,武学奇术!$A:$ZZ,24,FALSE)=1,100%,MIN(40%,$B$10+VLOOKUP($R114,武学奇术!$A:$ZZ,19,FALSE)+SUM(_xlfn.XLOOKUP(S114:AG114,增益!$A:$A,增益!$S:$S,0)))+$B$12+SUM(_xlfn.XLOOKUP(S114:AG114,增益!$A:$A,增益!$V:$V,0)))*IF(VLOOKUP($R114,武学奇术!$A:$ZZ,23,FALSE)=1,0,1)</f>
        <v>0.0929</v>
      </c>
      <c r="BN114" s="26" cm="1">
        <f t="array" ref="BN114">1+$B$14+VLOOKUP($R114,武学奇术!$A:$ZZ,20,FALSE)+SUM(_xlfn.XLOOKUP(S114:AG114,增益!$A:$A,增益!$T:$T,0))</f>
        <v>1.35</v>
      </c>
      <c r="BO114" s="26">
        <f t="shared" si="21"/>
        <v>0.829926</v>
      </c>
      <c r="BP114" s="26">
        <f t="shared" si="22"/>
        <v>0.0599391</v>
      </c>
      <c r="BQ114" s="26">
        <f>IF(VLOOKUP($R114,武学奇术!$A:$ZZ,22,FALSE)=1,0,(1-$BJ114))*(1-$BM114)</f>
        <v>0.0172349</v>
      </c>
      <c r="BR114" s="26" cm="1">
        <f t="array" ref="BR114">SUM(_xlfn.XLOOKUP(S114:AG114,增益!$A:$A,增益!$W:$W,0))+$I$5</f>
        <v>0.11</v>
      </c>
    </row>
    <row r="115" spans="11:70">
      <c r="K115">
        <f>$L115*VLOOKUP($R115,武学奇术!$A:$ZZ,31,FALSE)</f>
        <v>85672.3300605883</v>
      </c>
      <c r="L115" s="38">
        <f t="shared" si="24"/>
        <v>81592.6952957984</v>
      </c>
      <c r="M115" s="38">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BL115*$Q115*(1+IF(VLOOKUP($R115,武学奇术!$A:$ZZ,30,FALSE)="回旋伞",$B$21,0))*(1+$BR115)</f>
        <v>81592.6952957984</v>
      </c>
      <c r="N115" s="38">
        <f>(($AP115*$AI115+$AJ115)*(1+$AQ115)*(1+$AR115)+($AU115*IF($G$1="鸣金",$AK115,$AI115)+IF($G$1="鸣金",$AL115*1.5,0))*(1+$AV115)*(1+$AW115)+($AY115*IF($G$1="裂石",$AK115,$AI115)+IF($G$1="裂石",$AL115*1.5,0))*(1+$AZ115)*(1+$BA115)+($BC115*IF($G$1="牵丝",$AK115,$AI115)+IF($G$1="牵丝",$AL115*1.5,0))*(1+$BD115)*(1+$BE115)+($BG115*IF($G$1="破竹",$AK115,$AI115)+IF($G$1="破竹",$AL115*1.5,0))*(1+$BH115)*(1+$BI115))*(1+$AM115)*$BN115*$Q115*(1+IF(VLOOKUP($R115,武学奇术!$A:$ZZ,30,FALSE)="回旋伞",$B$21,0))*(1+$BR115)</f>
        <v>59857.6756031387</v>
      </c>
      <c r="O115" s="38">
        <f>((($AO115+$AP115)/2*$AI115+$AJ115)*(1+$AQ115)*(1+$AR115)+(($AT115+$AU115)/2*IF($G$1="鸣金",$AK115,$AI115)+IF($G$1="鸣金",$AL115*1.5,0))*(1+$AV115)*(1+$AW115)+(($AX115+$AY115)/2*IF($G$1="裂石",$AK115,$AI115)+IF($G$1="裂石",$AL115*1.5,0))*(1+$AZ115)*(1+$BA115)+(($BB115+$BC115)/2*IF($G$1="牵丝",$AK115,$AI115)+IF($G$1="牵丝",$AL115*1.5,0))*(1+$BD115)*(1+$BE115)+(($BF115+$BG115)/2*IF($G$1="破竹",$AK115,$AI115)+IF($G$1="破竹",$AL115*1.5,0))*(1+$BH115)*(1+$BI115))*(1+$AM115)*$Q115*(1+IF(VLOOKUP($R115,武学奇术!$A:$ZZ,30,FALSE)="回旋伞",$B$21,0))*(1+$BR115)</f>
        <v>39608.1045125235</v>
      </c>
      <c r="P115" s="38">
        <f>((($AO115*$AI115+$AJ115)*(1+$AQ115)*(1+$AR115)+($AT115*IF($G$1="鸣金",$AK115,$AI115)+IF($G$1="鸣金",$AL115*1.5,0))*(1+$AV115)*(1+$AW115)+($AX115*IF($G$1="裂石",$AK115,$AI115)+IF($G$1="裂石",$AL115*1.5,0))*(1+$AZ115)*(1+$BA115)+($BB115*IF($G$1="牵丝",$AK115,$AI115)+IF($G$1="牵丝",$AL115*1.5,0))*(1+$BD115)*(1+$BE115)+($BF115*IF($G$1="破竹",$AK115,$AI115)+IF($G$1="破竹",$AL115*1.5,0))*(1+$BH115)*(1+$BI115))*(1+$AM115))*$Q115*(1+IF(VLOOKUP($R115,武学奇术!$A:$ZZ,30,FALSE)="回旋伞",$B$21,0))*(1+$BR115)</f>
        <v>34877.1900597591</v>
      </c>
      <c r="Q115" s="39">
        <v>1</v>
      </c>
      <c r="R115" s="40" t="s">
        <v>125</v>
      </c>
      <c r="S115" s="40" t="s">
        <v>109</v>
      </c>
      <c r="T115" s="40" t="s">
        <v>95</v>
      </c>
      <c r="U115" s="40" t="s">
        <v>73</v>
      </c>
      <c r="V115" s="40" t="s">
        <v>72</v>
      </c>
      <c r="W115" s="40" t="s">
        <v>172</v>
      </c>
      <c r="X115" s="40" t="s">
        <v>99</v>
      </c>
      <c r="Y115" s="40" t="s">
        <v>72</v>
      </c>
      <c r="Z115" s="40" t="s">
        <v>72</v>
      </c>
      <c r="AA115" s="40" t="s">
        <v>72</v>
      </c>
      <c r="AB115" s="40" t="s">
        <v>126</v>
      </c>
      <c r="AC115" s="40" t="s">
        <v>72</v>
      </c>
      <c r="AD115" s="40" t="s">
        <v>72</v>
      </c>
      <c r="AE115" s="40" t="s">
        <v>72</v>
      </c>
      <c r="AF115" s="40" t="s">
        <v>72</v>
      </c>
      <c r="AG115" s="40" t="s">
        <v>78</v>
      </c>
      <c r="AH115" t="str">
        <f>VLOOKUP($R115,武学奇术!$A:$ZZ,25,FALSE)</f>
        <v>伞</v>
      </c>
      <c r="AI115" s="26">
        <f>VLOOKUP($R115,武学奇术!$A:$ZZ,26,FALSE)</f>
        <v>1.8084</v>
      </c>
      <c r="AJ115" s="27">
        <f>VLOOKUP($R115,武学奇术!$A:$ZZ,27,FALSE)*(1+IF(OR($AH115=$F$4,$AH115=$F$5),$B$22,0))</f>
        <v>750</v>
      </c>
      <c r="AK115" s="26">
        <f>VLOOKUP($R115,武学奇术!$A:$ZZ,28,FALSE)</f>
        <v>2.7126</v>
      </c>
      <c r="AL115" s="27">
        <f>VLOOKUP($R115,武学奇术!$A:$ZZ,29,FALSE)*(1+IF(OR($AH115=$F$4,$AH115=$F$5),$B$22,0))</f>
        <v>408</v>
      </c>
      <c r="AM115" s="26" cm="1">
        <f t="array" ref="AM115">$G$3+IFERROR(VLOOKUP($AH115,$F$4:$G$7,2,FALSE),0)+VLOOKUP($R115,武学奇术!$A:$ZZ,2,FALSE)+SUM(_xlfn.XLOOKUP($S115:$AG115,增益!$A:$A,增益!$B:$B,0))</f>
        <v>0.7741</v>
      </c>
      <c r="AN115" s="26" cm="1">
        <f t="array" ref="AN115">VLOOKUP($R115,武学奇术!$A:$ZZ,5,FALSE)+SUM(_xlfn.XLOOKUP($S115:$AG115,增益!$A:$A,增益!$E:$E,0))</f>
        <v>0</v>
      </c>
      <c r="AO115" cm="1">
        <f t="array" ref="AO115">$D$10*(1+$AN115)+VLOOKUP($R115,武学奇术!$A:$ZZ,3,FALSE)+SUM(_xlfn.XLOOKUP($S115:$AG115,增益!$A:$A,增益!$C:$C,0))-$I$2</f>
        <v>3562.6</v>
      </c>
      <c r="AP115" cm="1">
        <f t="array" ref="AP115">$E$10*(1+$AN115)+VLOOKUP($R115,武学奇术!$A:$ZZ,4,FALSE)+SUM(_xlfn.XLOOKUP($S115:$AG115,增益!$A:$A,增益!$D:$D,0))-$I$2</f>
        <v>3562.6</v>
      </c>
      <c r="AQ115" s="32" cm="1">
        <f t="array" ref="AQ115">IF($F$10-$I$3+VLOOKUP($R115,武学奇术!$A:$ZZ,6,FALSE)+SUM(_xlfn.XLOOKUP(S115:AG115,增益!$A:$A,增益!$F:$F,0))&gt;0,($F$10-$I$3+VLOOKUP($R115,武学奇术!$A:$ZZ,6,FALSE)+SUM(_xlfn.XLOOKUP(S115:AG115,增益!$A:$A,增益!$F:$F,0)))/200,($F$10-$I$3+VLOOKUP($R115,武学奇术!$A:$ZZ,6,FALSE)+SUM(_xlfn.XLOOKUP(S115:AG115,增益!$A:$A,增益!$F:$F,0)))/100)</f>
        <v>0.2925</v>
      </c>
      <c r="AR115" s="32" cm="1">
        <f t="array" ref="AR115">$G$10+VLOOKUP($R115,武学奇术!$A:$ZZ,7,FALSE)+SUM(_xlfn.XLOOKUP(S115:AG115,增益!$A:$A,增益!$G:$G,0))</f>
        <v>0.148</v>
      </c>
      <c r="AS115" s="26" cm="1">
        <f t="array" ref="AS115">VLOOKUP($R115,武学奇术!$A:$ZZ,8,FALSE)+SUM(_xlfn.XLOOKUP(S115:AG115,增益!$A:$A,增益!$H:$H,0))</f>
        <v>0</v>
      </c>
      <c r="AT115">
        <f t="shared" si="13"/>
        <v>0</v>
      </c>
      <c r="AU115">
        <f t="shared" si="14"/>
        <v>0</v>
      </c>
      <c r="AV115" s="32" cm="1">
        <f t="array" ref="AV115">IF($F$11-$I$4+VLOOKUP($R115,武学奇术!$A:$ZZ,9,FALSE)+SUM(_xlfn.XLOOKUP(S115:AG115,增益!$A:$A,增益!$I:$I,0))&gt;0,($F$11-$I$4+VLOOKUP($R115,武学奇术!$A:$ZZ,9,FALSE)+SUM(_xlfn.XLOOKUP(S115:AG115,增益!$A:$A,增益!$I:$I,0)))/200,($F$11-$I$4+VLOOKUP($R115,武学奇术!$A:$ZZ,9,FALSE)+SUM(_xlfn.XLOOKUP(S115:AG115,增益!$A:$A,增益!$I:$I,0)))/100)</f>
        <v>-0.3</v>
      </c>
      <c r="AW115" s="32" cm="1">
        <f t="array" ref="AW115">$G$11+VLOOKUP($R115,武学奇术!$A:$ZZ,10,FALSE)+SUM(_xlfn.XLOOKUP(S115:AG115,增益!$A:$A,增益!$J:$J,0))</f>
        <v>0</v>
      </c>
      <c r="AX115">
        <f t="shared" si="15"/>
        <v>0</v>
      </c>
      <c r="AY115">
        <f t="shared" si="16"/>
        <v>0</v>
      </c>
      <c r="AZ115" s="32" cm="1">
        <f t="array" ref="AZ115">IF($F$12-$I$4+VLOOKUP($R115,武学奇术!$A:$ZZ,11,FALSE)+SUM(_xlfn.XLOOKUP(S115:AG115,增益!$A:$A,增益!$K:$K,0))&gt;0,($F$12-$I$4+VLOOKUP($R115,武学奇术!$A:$ZZ,11,FALSE)+SUM(_xlfn.XLOOKUP(S115:AG115,增益!$A:$A,增益!$K:$K,0)))/200,($F$12-$I$4+VLOOKUP($R115,武学奇术!$A:$ZZ,11,FALSE)+SUM(_xlfn.XLOOKUP(S115:AG115,增益!$A:$A,增益!$K:$K,0)))/100)</f>
        <v>-0.3</v>
      </c>
      <c r="BA115" s="32" cm="1">
        <f t="array" ref="BA115">$G$12+VLOOKUP($R115,武学奇术!$A:$ZZ,12,FALSE)+SUM(_xlfn.XLOOKUP(S115:AG115,增益!$A:$A,增益!$L:$L,0))</f>
        <v>0</v>
      </c>
      <c r="BB115">
        <f t="shared" si="17"/>
        <v>0</v>
      </c>
      <c r="BC115">
        <f t="shared" si="18"/>
        <v>0</v>
      </c>
      <c r="BD115" s="32" cm="1">
        <f t="array" ref="BD115">IF($F$13-$I$4+VLOOKUP($R115,武学奇术!$A:$ZZ,13,FALSE)+SUM(_xlfn.XLOOKUP(S115:AG115,增益!$A:$A,增益!$M:$M,0))&gt;0,($F$13-$I$4+VLOOKUP($R115,武学奇术!$A:$ZZ,13,FALSE)+SUM(_xlfn.XLOOKUP(S115:AG115,增益!$A:$A,增益!$K:$K,0)))/200,($F$13-$I$4+VLOOKUP($R115,武学奇术!$A:$ZZ,13,FALSE)+SUM(_xlfn.XLOOKUP(S115:AG115,增益!$A:$A,增益!$M:$M,0)))/100)</f>
        <v>-0.3</v>
      </c>
      <c r="BE115" s="32" cm="1">
        <f t="array" ref="BE115">$G$13+VLOOKUP($R115,武学奇术!$A:$ZZ,14,FALSE)+SUM(_xlfn.XLOOKUP(S115:AG115,增益!$A:$A,增益!$N:$N,0))</f>
        <v>0</v>
      </c>
      <c r="BF115">
        <f t="shared" si="19"/>
        <v>571.2</v>
      </c>
      <c r="BG115">
        <f t="shared" si="20"/>
        <v>1627.8</v>
      </c>
      <c r="BH115" s="32" cm="1">
        <f t="array" ref="BH115">IF($F$14-$I$4+VLOOKUP($R115,武学奇术!$A:$ZZ,15,FALSE)+SUM(_xlfn.XLOOKUP(S115:AG115,增益!$A:$A,增益!$O:$O,0))&gt;0,($F$14-$I$4+VLOOKUP($R115,武学奇术!$A:$ZZ,15,FALSE)+SUM(_xlfn.XLOOKUP(S115:AG115,增益!$A:$A,增益!$O:$O,0)))/200,($F$14-$I$4+VLOOKUP($R115,武学奇术!$A:$ZZ,15,FALSE)+SUM(_xlfn.XLOOKUP(S115:AG115,增益!$A:$A,增益!$O:$O,0)))/100)</f>
        <v>0</v>
      </c>
      <c r="BI115" s="32" cm="1">
        <f t="array" ref="BI115">$G$14+VLOOKUP($R115,武学奇术!$A:$ZZ,16,FALSE)+SUM(_xlfn.XLOOKUP(S115:AG115,增益!$A:$A,增益!$P:$P,0))</f>
        <v>0.27</v>
      </c>
      <c r="BJ115" s="26">
        <f>MIN(IF(VLOOKUP($R115,武学奇术!$A:$ZZ,23,FALSE)=1,100%,$B$8),100%)</f>
        <v>1</v>
      </c>
      <c r="BK115" s="26" cm="1">
        <f t="array" ref="BK115">IF(VLOOKUP($R115,武学奇术!$A:$ZZ,23,FALSE)=1,100%,MIN(80%,$B$9+VLOOKUP($R115,武学奇术!$A:$ZZ,17,FALSE)+SUM(_xlfn.XLOOKUP(S115:AG115,增益!$A:$A,增益!$Q:$Q,0)))+$B$11+SUM(_xlfn.XLOOKUP(S115:AG115,增益!$A:$A,增益!$U:$U,0)))*IF(VLOOKUP($R115,武学奇术!$A:$ZZ,24,FALSE)=1,0,1)</f>
        <v>1</v>
      </c>
      <c r="BL115" s="26" cm="1">
        <f t="array" ref="BL115">1+$B$13+VLOOKUP($R115,武学奇术!$A:$ZZ,18,FALSE)+SUM(_xlfn.XLOOKUP(S115:AG115,增益!$A:$A,增益!$R:$R,0))</f>
        <v>2.06</v>
      </c>
      <c r="BM115" s="26" cm="1">
        <f t="array" ref="BM115">IF(VLOOKUP($R115,武学奇术!$A:$ZZ,24,FALSE)=1,100%,MIN(40%,$B$10+VLOOKUP($R115,武学奇术!$A:$ZZ,19,FALSE)+SUM(_xlfn.XLOOKUP(S115:AG115,增益!$A:$A,增益!$S:$S,0)))+$B$12+SUM(_xlfn.XLOOKUP(S115:AG115,增益!$A:$A,增益!$V:$V,0)))*IF(VLOOKUP($R115,武学奇术!$A:$ZZ,23,FALSE)=1,0,1)</f>
        <v>0</v>
      </c>
      <c r="BN115" s="26" cm="1">
        <f t="array" ref="BN115">1+$B$14+VLOOKUP($R115,武学奇术!$A:$ZZ,20,FALSE)+SUM(_xlfn.XLOOKUP(S115:AG115,增益!$A:$A,增益!$T:$T,0))</f>
        <v>1.35</v>
      </c>
      <c r="BO115" s="26">
        <f t="shared" si="21"/>
        <v>1</v>
      </c>
      <c r="BP115" s="26">
        <f t="shared" si="22"/>
        <v>0</v>
      </c>
      <c r="BQ115" s="26">
        <f>IF(VLOOKUP($R115,武学奇术!$A:$ZZ,22,FALSE)=1,0,(1-$BJ115))*(1-$BM115)</f>
        <v>0</v>
      </c>
      <c r="BR115" s="26" cm="1">
        <f t="array" ref="BR115">SUM(_xlfn.XLOOKUP(S115:AG115,增益!$A:$A,增益!$W:$W,0))+$I$5</f>
        <v>0.11</v>
      </c>
    </row>
    <row r="116" spans="11:70">
      <c r="K116">
        <f>$L116*VLOOKUP($R116,武学奇术!$A:$ZZ,31,FALSE)</f>
        <v>49870.5036654374</v>
      </c>
      <c r="L116" s="38">
        <f t="shared" si="24"/>
        <v>47495.7177766071</v>
      </c>
      <c r="M116" s="38">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BL116*$Q116*(1+IF(VLOOKUP($R116,武学奇术!$A:$ZZ,30,FALSE)="回旋伞",$B$21,0))*(1+$BR116)</f>
        <v>47495.7177766071</v>
      </c>
      <c r="N116" s="38">
        <f>(($AP116*$AI116+$AJ116)*(1+$AQ116)*(1+$AR116)+($AU116*IF($G$1="鸣金",$AK116,$AI116)+IF($G$1="鸣金",$AL116*1.5,0))*(1+$AV116)*(1+$AW116)+($AY116*IF($G$1="裂石",$AK116,$AI116)+IF($G$1="裂石",$AL116*1.5,0))*(1+$AZ116)*(1+$BA116)+($BC116*IF($G$1="牵丝",$AK116,$AI116)+IF($G$1="牵丝",$AL116*1.5,0))*(1+$BD116)*(1+$BE116)+($BG116*IF($G$1="破竹",$AK116,$AI116)+IF($G$1="破竹",$AL116*1.5,0))*(1+$BH116)*(1+$BI116))*(1+$AM116)*$BN116*$Q116*(1+IF(VLOOKUP($R116,武学奇术!$A:$ZZ,30,FALSE)="回旋伞",$B$21,0))*(1+$BR116)</f>
        <v>35370.0670293007</v>
      </c>
      <c r="O116" s="38">
        <f>((($AO116+$AP116)/2*$AI116+$AJ116)*(1+$AQ116)*(1+$AR116)+(($AT116+$AU116)/2*IF($G$1="鸣金",$AK116,$AI116)+IF($G$1="鸣金",$AL116*1.5,0))*(1+$AV116)*(1+$AW116)+(($AX116+$AY116)/2*IF($G$1="裂石",$AK116,$AI116)+IF($G$1="裂石",$AL116*1.5,0))*(1+$AZ116)*(1+$BA116)+(($BB116+$BC116)/2*IF($G$1="牵丝",$AK116,$AI116)+IF($G$1="牵丝",$AL116*1.5,0))*(1+$BD116)*(1+$BE116)+(($BF116+$BG116)/2*IF($G$1="破竹",$AK116,$AI116)+IF($G$1="破竹",$AL116*1.5,0))*(1+$BH116)*(1+$BI116))*(1+$AM116)*$Q116*(1+IF(VLOOKUP($R116,武学奇术!$A:$ZZ,30,FALSE)="回旋伞",$B$21,0))*(1+$BR116)</f>
        <v>23056.1736779646</v>
      </c>
      <c r="P116" s="38">
        <f>((($AO116*$AI116+$AJ116)*(1+$AQ116)*(1+$AR116)+($AT116*IF($G$1="鸣金",$AK116,$AI116)+IF($G$1="鸣金",$AL116*1.5,0))*(1+$AV116)*(1+$AW116)+($AX116*IF($G$1="裂石",$AK116,$AI116)+IF($G$1="裂石",$AL116*1.5,0))*(1+$AZ116)*(1+$BA116)+($BB116*IF($G$1="牵丝",$AK116,$AI116)+IF($G$1="牵丝",$AL116*1.5,0))*(1+$BD116)*(1+$BE116)+($BF116*IF($G$1="破竹",$AK116,$AI116)+IF($G$1="破竹",$AL116*1.5,0))*(1+$BH116)*(1+$BI116))*(1+$AM116))*$Q116*(1+IF(VLOOKUP($R116,武学奇术!$A:$ZZ,30,FALSE)="回旋伞",$B$21,0))*(1+$BR116)</f>
        <v>19912.2977045954</v>
      </c>
      <c r="Q116" s="39">
        <v>2</v>
      </c>
      <c r="R116" s="40" t="s">
        <v>132</v>
      </c>
      <c r="S116" s="40" t="s">
        <v>109</v>
      </c>
      <c r="T116" s="40" t="s">
        <v>95</v>
      </c>
      <c r="U116" s="40" t="s">
        <v>73</v>
      </c>
      <c r="V116" s="40" t="s">
        <v>72</v>
      </c>
      <c r="W116" s="40" t="s">
        <v>172</v>
      </c>
      <c r="X116" s="40" t="s">
        <v>99</v>
      </c>
      <c r="Y116" s="40" t="s">
        <v>72</v>
      </c>
      <c r="Z116" s="40" t="s">
        <v>72</v>
      </c>
      <c r="AA116" s="40" t="s">
        <v>72</v>
      </c>
      <c r="AB116" s="40" t="s">
        <v>126</v>
      </c>
      <c r="AC116" s="40" t="s">
        <v>72</v>
      </c>
      <c r="AD116" s="40" t="s">
        <v>72</v>
      </c>
      <c r="AE116" s="40" t="s">
        <v>72</v>
      </c>
      <c r="AF116" s="40" t="s">
        <v>72</v>
      </c>
      <c r="AG116" s="40" t="s">
        <v>78</v>
      </c>
      <c r="AH116" t="str">
        <f>VLOOKUP($R116,武学奇术!$A:$ZZ,25,FALSE)</f>
        <v>伞</v>
      </c>
      <c r="AI116" s="26">
        <f>VLOOKUP($R116,武学奇术!$A:$ZZ,26,FALSE)</f>
        <v>0.54</v>
      </c>
      <c r="AJ116" s="27">
        <f>VLOOKUP($R116,武学奇术!$A:$ZZ,27,FALSE)*(1+IF(OR($AH116=$F$4,$AH116=$F$5),$B$22,0))</f>
        <v>0</v>
      </c>
      <c r="AK116" s="26">
        <f>VLOOKUP($R116,武学奇术!$A:$ZZ,28,FALSE)</f>
        <v>0.81</v>
      </c>
      <c r="AL116" s="27">
        <f>VLOOKUP($R116,武学奇术!$A:$ZZ,29,FALSE)*(1+IF(OR($AH116=$F$4,$AH116=$F$5),$B$22,0))</f>
        <v>0</v>
      </c>
      <c r="AM116" s="26" cm="1">
        <f t="array" ref="AM116">$G$3+IFERROR(VLOOKUP($AH116,$F$4:$G$7,2,FALSE),0)+VLOOKUP($R116,武学奇术!$A:$ZZ,2,FALSE)+SUM(_xlfn.XLOOKUP($S116:$AG116,增益!$A:$A,增益!$B:$B,0))</f>
        <v>0.9741</v>
      </c>
      <c r="AN116" s="26" cm="1">
        <f t="array" ref="AN116">VLOOKUP($R116,武学奇术!$A:$ZZ,5,FALSE)+SUM(_xlfn.XLOOKUP($S116:$AG116,增益!$A:$A,增益!$E:$E,0))</f>
        <v>0</v>
      </c>
      <c r="AO116" cm="1">
        <f t="array" ref="AO116">$D$10*(1+$AN116)+VLOOKUP($R116,武学奇术!$A:$ZZ,3,FALSE)+SUM(_xlfn.XLOOKUP($S116:$AG116,增益!$A:$A,增益!$C:$C,0))-$I$2</f>
        <v>3562.6</v>
      </c>
      <c r="AP116" cm="1">
        <f t="array" ref="AP116">$E$10*(1+$AN116)+VLOOKUP($R116,武学奇术!$A:$ZZ,4,FALSE)+SUM(_xlfn.XLOOKUP($S116:$AG116,增益!$A:$A,增益!$D:$D,0))-$I$2</f>
        <v>3562.6</v>
      </c>
      <c r="AQ116" s="32" cm="1">
        <f t="array" ref="AQ116">IF($F$10-$I$3+VLOOKUP($R116,武学奇术!$A:$ZZ,6,FALSE)+SUM(_xlfn.XLOOKUP(S116:AG116,增益!$A:$A,增益!$F:$F,0))&gt;0,($F$10-$I$3+VLOOKUP($R116,武学奇术!$A:$ZZ,6,FALSE)+SUM(_xlfn.XLOOKUP(S116:AG116,增益!$A:$A,增益!$F:$F,0)))/200,($F$10-$I$3+VLOOKUP($R116,武学奇术!$A:$ZZ,6,FALSE)+SUM(_xlfn.XLOOKUP(S116:AG116,增益!$A:$A,增益!$F:$F,0)))/100)</f>
        <v>0.2925</v>
      </c>
      <c r="AR116" s="32" cm="1">
        <f t="array" ref="AR116">$G$10+VLOOKUP($R116,武学奇术!$A:$ZZ,7,FALSE)+SUM(_xlfn.XLOOKUP(S116:AG116,增益!$A:$A,增益!$G:$G,0))</f>
        <v>0.148</v>
      </c>
      <c r="AS116" s="26" cm="1">
        <f t="array" ref="AS116">VLOOKUP($R116,武学奇术!$A:$ZZ,8,FALSE)+SUM(_xlfn.XLOOKUP(S116:AG116,增益!$A:$A,增益!$H:$H,0))</f>
        <v>0</v>
      </c>
      <c r="AT116">
        <f t="shared" si="13"/>
        <v>0</v>
      </c>
      <c r="AU116">
        <f t="shared" si="14"/>
        <v>0</v>
      </c>
      <c r="AV116" s="32" cm="1">
        <f t="array" ref="AV116">IF($F$11-$I$4+VLOOKUP($R116,武学奇术!$A:$ZZ,9,FALSE)+SUM(_xlfn.XLOOKUP(S116:AG116,增益!$A:$A,增益!$I:$I,0))&gt;0,($F$11-$I$4+VLOOKUP($R116,武学奇术!$A:$ZZ,9,FALSE)+SUM(_xlfn.XLOOKUP(S116:AG116,增益!$A:$A,增益!$I:$I,0)))/200,($F$11-$I$4+VLOOKUP($R116,武学奇术!$A:$ZZ,9,FALSE)+SUM(_xlfn.XLOOKUP(S116:AG116,增益!$A:$A,增益!$I:$I,0)))/100)</f>
        <v>-0.3</v>
      </c>
      <c r="AW116" s="32" cm="1">
        <f t="array" ref="AW116">$G$11+VLOOKUP($R116,武学奇术!$A:$ZZ,10,FALSE)+SUM(_xlfn.XLOOKUP(S116:AG116,增益!$A:$A,增益!$J:$J,0))</f>
        <v>0</v>
      </c>
      <c r="AX116">
        <f t="shared" si="15"/>
        <v>0</v>
      </c>
      <c r="AY116">
        <f t="shared" si="16"/>
        <v>0</v>
      </c>
      <c r="AZ116" s="32" cm="1">
        <f t="array" ref="AZ116">IF($F$12-$I$4+VLOOKUP($R116,武学奇术!$A:$ZZ,11,FALSE)+SUM(_xlfn.XLOOKUP(S116:AG116,增益!$A:$A,增益!$K:$K,0))&gt;0,($F$12-$I$4+VLOOKUP($R116,武学奇术!$A:$ZZ,11,FALSE)+SUM(_xlfn.XLOOKUP(S116:AG116,增益!$A:$A,增益!$K:$K,0)))/200,($F$12-$I$4+VLOOKUP($R116,武学奇术!$A:$ZZ,11,FALSE)+SUM(_xlfn.XLOOKUP(S116:AG116,增益!$A:$A,增益!$K:$K,0)))/100)</f>
        <v>-0.3</v>
      </c>
      <c r="BA116" s="32" cm="1">
        <f t="array" ref="BA116">$G$12+VLOOKUP($R116,武学奇术!$A:$ZZ,12,FALSE)+SUM(_xlfn.XLOOKUP(S116:AG116,增益!$A:$A,增益!$L:$L,0))</f>
        <v>0</v>
      </c>
      <c r="BB116">
        <f t="shared" si="17"/>
        <v>0</v>
      </c>
      <c r="BC116">
        <f t="shared" si="18"/>
        <v>0</v>
      </c>
      <c r="BD116" s="32" cm="1">
        <f t="array" ref="BD116">IF($F$13-$I$4+VLOOKUP($R116,武学奇术!$A:$ZZ,13,FALSE)+SUM(_xlfn.XLOOKUP(S116:AG116,增益!$A:$A,增益!$M:$M,0))&gt;0,($F$13-$I$4+VLOOKUP($R116,武学奇术!$A:$ZZ,13,FALSE)+SUM(_xlfn.XLOOKUP(S116:AG116,增益!$A:$A,增益!$K:$K,0)))/200,($F$13-$I$4+VLOOKUP($R116,武学奇术!$A:$ZZ,13,FALSE)+SUM(_xlfn.XLOOKUP(S116:AG116,增益!$A:$A,增益!$M:$M,0)))/100)</f>
        <v>-0.3</v>
      </c>
      <c r="BE116" s="32" cm="1">
        <f t="array" ref="BE116">$G$13+VLOOKUP($R116,武学奇术!$A:$ZZ,14,FALSE)+SUM(_xlfn.XLOOKUP(S116:AG116,增益!$A:$A,增益!$N:$N,0))</f>
        <v>0</v>
      </c>
      <c r="BF116">
        <f t="shared" si="19"/>
        <v>571.2</v>
      </c>
      <c r="BG116">
        <f t="shared" si="20"/>
        <v>1627.8</v>
      </c>
      <c r="BH116" s="32" cm="1">
        <f t="array" ref="BH116">IF($F$14-$I$4+VLOOKUP($R116,武学奇术!$A:$ZZ,15,FALSE)+SUM(_xlfn.XLOOKUP(S116:AG116,增益!$A:$A,增益!$O:$O,0))&gt;0,($F$14-$I$4+VLOOKUP($R116,武学奇术!$A:$ZZ,15,FALSE)+SUM(_xlfn.XLOOKUP(S116:AG116,增益!$A:$A,增益!$O:$O,0)))/200,($F$14-$I$4+VLOOKUP($R116,武学奇术!$A:$ZZ,15,FALSE)+SUM(_xlfn.XLOOKUP(S116:AG116,增益!$A:$A,增益!$O:$O,0)))/100)</f>
        <v>0</v>
      </c>
      <c r="BI116" s="32" cm="1">
        <f t="array" ref="BI116">$G$14+VLOOKUP($R116,武学奇术!$A:$ZZ,16,FALSE)+SUM(_xlfn.XLOOKUP(S116:AG116,增益!$A:$A,增益!$P:$P,0))</f>
        <v>0.27</v>
      </c>
      <c r="BJ116" s="26">
        <f>MIN(IF(VLOOKUP($R116,武学奇术!$A:$ZZ,23,FALSE)=1,100%,$B$8),100%)</f>
        <v>1</v>
      </c>
      <c r="BK116" s="26" cm="1">
        <f t="array" ref="BK116">IF(VLOOKUP($R116,武学奇术!$A:$ZZ,23,FALSE)=1,100%,MIN(80%,$B$9+VLOOKUP($R116,武学奇术!$A:$ZZ,17,FALSE)+SUM(_xlfn.XLOOKUP(S116:AG116,增益!$A:$A,增益!$Q:$Q,0)))+$B$11+SUM(_xlfn.XLOOKUP(S116:AG116,增益!$A:$A,增益!$U:$U,0)))*IF(VLOOKUP($R116,武学奇术!$A:$ZZ,24,FALSE)=1,0,1)</f>
        <v>1</v>
      </c>
      <c r="BL116" s="26" cm="1">
        <f t="array" ref="BL116">1+$B$13+VLOOKUP($R116,武学奇术!$A:$ZZ,18,FALSE)+SUM(_xlfn.XLOOKUP(S116:AG116,增益!$A:$A,增益!$R:$R,0))</f>
        <v>2.06</v>
      </c>
      <c r="BM116" s="26" cm="1">
        <f t="array" ref="BM116">IF(VLOOKUP($R116,武学奇术!$A:$ZZ,24,FALSE)=1,100%,MIN(40%,$B$10+VLOOKUP($R116,武学奇术!$A:$ZZ,19,FALSE)+SUM(_xlfn.XLOOKUP(S116:AG116,增益!$A:$A,增益!$S:$S,0)))+$B$12+SUM(_xlfn.XLOOKUP(S116:AG116,增益!$A:$A,增益!$V:$V,0)))*IF(VLOOKUP($R116,武学奇术!$A:$ZZ,23,FALSE)=1,0,1)</f>
        <v>0</v>
      </c>
      <c r="BN116" s="26" cm="1">
        <f t="array" ref="BN116">1+$B$14+VLOOKUP($R116,武学奇术!$A:$ZZ,20,FALSE)+SUM(_xlfn.XLOOKUP(S116:AG116,增益!$A:$A,增益!$T:$T,0))</f>
        <v>1.35</v>
      </c>
      <c r="BO116" s="26">
        <f t="shared" si="21"/>
        <v>1</v>
      </c>
      <c r="BP116" s="26">
        <f t="shared" si="22"/>
        <v>0</v>
      </c>
      <c r="BQ116" s="26">
        <f>IF(VLOOKUP($R116,武学奇术!$A:$ZZ,22,FALSE)=1,0,(1-$BJ116))*(1-$BM116)</f>
        <v>0</v>
      </c>
      <c r="BR116" s="26" cm="1">
        <f t="array" ref="BR116">SUM(_xlfn.XLOOKUP(S116:AG116,增益!$A:$A,增益!$W:$W,0))+$I$5</f>
        <v>0.11</v>
      </c>
    </row>
    <row r="117" spans="11:70">
      <c r="K117">
        <f>$L117*VLOOKUP($R117,武学奇术!$A:$ZZ,31,FALSE)</f>
        <v>142077.052459893</v>
      </c>
      <c r="L117" s="38">
        <f t="shared" si="24"/>
        <v>135311.478533231</v>
      </c>
      <c r="M117" s="38">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BL117*$Q117*(1+IF(VLOOKUP($R117,武学奇术!$A:$ZZ,30,FALSE)="回旋伞",$B$21,0))*(1+$BR117)</f>
        <v>144788.976568532</v>
      </c>
      <c r="N117" s="38">
        <f>(($AP117*$AI117+$AJ117)*(1+$AQ117)*(1+$AR117)+($AU117*IF($G$1="鸣金",$AK117,$AI117)+IF($G$1="鸣金",$AL117*1.5,0))*(1+$AV117)*(1+$AW117)+($AY117*IF($G$1="裂石",$AK117,$AI117)+IF($G$1="裂石",$AL117*1.5,0))*(1+$AZ117)*(1+$BA117)+($BC117*IF($G$1="牵丝",$AK117,$AI117)+IF($G$1="牵丝",$AL117*1.5,0))*(1+$BD117)*(1+$BE117)+($BG117*IF($G$1="破竹",$AK117,$AI117)+IF($G$1="破竹",$AL117*1.5,0))*(1+$BH117)*(1+$BI117))*(1+$AM117)*$BN117*$Q117*(1+IF(VLOOKUP($R117,武学奇术!$A:$ZZ,30,FALSE)="回旋伞",$B$21,0))*(1+$BR117)</f>
        <v>106219.454559383</v>
      </c>
      <c r="O117" s="38">
        <f>((($AO117+$AP117)/2*$AI117+$AJ117)*(1+$AQ117)*(1+$AR117)+(($AT117+$AU117)/2*IF($G$1="鸣金",$AK117,$AI117)+IF($G$1="鸣金",$AL117*1.5,0))*(1+$AV117)*(1+$AW117)+(($AX117+$AY117)/2*IF($G$1="裂石",$AK117,$AI117)+IF($G$1="裂石",$AL117*1.5,0))*(1+$AZ117)*(1+$BA117)+(($BB117+$BC117)/2*IF($G$1="牵丝",$AK117,$AI117)+IF($G$1="牵丝",$AL117*1.5,0))*(1+$BD117)*(1+$BE117)+(($BF117+$BG117)/2*IF($G$1="破竹",$AK117,$AI117)+IF($G$1="破竹",$AL117*1.5,0))*(1+$BH117)*(1+$BI117))*(1+$AM117)*$Q117*(1+IF(VLOOKUP($R117,武学奇术!$A:$ZZ,30,FALSE)="回旋伞",$B$21,0))*(1+$BR117)</f>
        <v>70285.910955598</v>
      </c>
      <c r="P117" s="38">
        <f>((($AO117*$AI117+$AJ117)*(1+$AQ117)*(1+$AR117)+($AT117*IF($G$1="鸣金",$AK117,$AI117)+IF($G$1="鸣金",$AL117*1.5,0))*(1+$AV117)*(1+$AW117)+($AX117*IF($G$1="裂石",$AK117,$AI117)+IF($G$1="裂石",$AL117*1.5,0))*(1+$AZ117)*(1+$BA117)+($BB117*IF($G$1="牵丝",$AK117,$AI117)+IF($G$1="牵丝",$AL117*1.5,0))*(1+$BD117)*(1+$BE117)+($BF117*IF($G$1="破竹",$AK117,$AI117)+IF($G$1="破竹",$AL117*1.5,0))*(1+$BH117)*(1+$BI117))*(1+$AM117))*$Q117*(1+IF(VLOOKUP($R117,武学奇术!$A:$ZZ,30,FALSE)="回旋伞",$B$21,0))*(1+$BR117)</f>
        <v>61890.7444598013</v>
      </c>
      <c r="Q117" s="39">
        <v>2</v>
      </c>
      <c r="R117" s="40" t="s">
        <v>108</v>
      </c>
      <c r="S117" s="40" t="s">
        <v>109</v>
      </c>
      <c r="T117" s="40" t="s">
        <v>95</v>
      </c>
      <c r="U117" s="40" t="s">
        <v>73</v>
      </c>
      <c r="V117" s="40" t="s">
        <v>72</v>
      </c>
      <c r="W117" s="40" t="s">
        <v>172</v>
      </c>
      <c r="X117" s="40" t="s">
        <v>99</v>
      </c>
      <c r="Y117" s="40" t="s">
        <v>72</v>
      </c>
      <c r="Z117" s="40" t="s">
        <v>72</v>
      </c>
      <c r="AA117" s="40" t="s">
        <v>72</v>
      </c>
      <c r="AB117" s="40" t="s">
        <v>126</v>
      </c>
      <c r="AC117" s="40" t="s">
        <v>72</v>
      </c>
      <c r="AD117" s="40" t="s">
        <v>72</v>
      </c>
      <c r="AE117" s="40" t="s">
        <v>72</v>
      </c>
      <c r="AF117" s="40" t="s">
        <v>72</v>
      </c>
      <c r="AG117" s="40" t="s">
        <v>78</v>
      </c>
      <c r="AH117" t="str">
        <f>VLOOKUP($R117,武学奇术!$A:$ZZ,25,FALSE)</f>
        <v>伞</v>
      </c>
      <c r="AI117" s="26">
        <f>VLOOKUP($R117,武学奇术!$A:$ZZ,26,FALSE)</f>
        <v>1.8084</v>
      </c>
      <c r="AJ117" s="27">
        <f>VLOOKUP($R117,武学奇术!$A:$ZZ,27,FALSE)*(1+IF(OR($AH117=$F$4,$AH117=$F$5),$B$22,0))</f>
        <v>750</v>
      </c>
      <c r="AK117" s="26">
        <f>VLOOKUP($R117,武学奇术!$A:$ZZ,28,FALSE)</f>
        <v>2.7126</v>
      </c>
      <c r="AL117" s="27">
        <f>VLOOKUP($R117,武学奇术!$A:$ZZ,29,FALSE)*(1+IF(OR($AH117=$F$4,$AH117=$F$5),$B$22,0))</f>
        <v>408</v>
      </c>
      <c r="AM117" s="26" cm="1">
        <f t="array" ref="AM117">$G$3+IFERROR(VLOOKUP($AH117,$F$4:$G$7,2,FALSE),0)+VLOOKUP($R117,武学奇术!$A:$ZZ,2,FALSE)+SUM(_xlfn.XLOOKUP($S117:$AG117,增益!$A:$A,增益!$B:$B,0))</f>
        <v>0.5741</v>
      </c>
      <c r="AN117" s="26" cm="1">
        <f t="array" ref="AN117">VLOOKUP($R117,武学奇术!$A:$ZZ,5,FALSE)+SUM(_xlfn.XLOOKUP($S117:$AG117,增益!$A:$A,增益!$E:$E,0))</f>
        <v>0</v>
      </c>
      <c r="AO117" cm="1">
        <f t="array" ref="AO117">$D$10*(1+$AN117)+VLOOKUP($R117,武学奇术!$A:$ZZ,3,FALSE)+SUM(_xlfn.XLOOKUP($S117:$AG117,增益!$A:$A,增益!$C:$C,0))-$I$2</f>
        <v>3562.6</v>
      </c>
      <c r="AP117" cm="1">
        <f t="array" ref="AP117">$E$10*(1+$AN117)+VLOOKUP($R117,武学奇术!$A:$ZZ,4,FALSE)+SUM(_xlfn.XLOOKUP($S117:$AG117,增益!$A:$A,增益!$D:$D,0))-$I$2</f>
        <v>3562.6</v>
      </c>
      <c r="AQ117" s="32" cm="1">
        <f t="array" ref="AQ117">IF($F$10-$I$3+VLOOKUP($R117,武学奇术!$A:$ZZ,6,FALSE)+SUM(_xlfn.XLOOKUP(S117:AG117,增益!$A:$A,增益!$F:$F,0))&gt;0,($F$10-$I$3+VLOOKUP($R117,武学奇术!$A:$ZZ,6,FALSE)+SUM(_xlfn.XLOOKUP(S117:AG117,增益!$A:$A,增益!$F:$F,0)))/200,($F$10-$I$3+VLOOKUP($R117,武学奇术!$A:$ZZ,6,FALSE)+SUM(_xlfn.XLOOKUP(S117:AG117,增益!$A:$A,增益!$F:$F,0)))/100)</f>
        <v>0.2925</v>
      </c>
      <c r="AR117" s="32" cm="1">
        <f t="array" ref="AR117">$G$10+VLOOKUP($R117,武学奇术!$A:$ZZ,7,FALSE)+SUM(_xlfn.XLOOKUP(S117:AG117,增益!$A:$A,增益!$G:$G,0))</f>
        <v>0.148</v>
      </c>
      <c r="AS117" s="26" cm="1">
        <f t="array" ref="AS117">VLOOKUP($R117,武学奇术!$A:$ZZ,8,FALSE)+SUM(_xlfn.XLOOKUP(S117:AG117,增益!$A:$A,增益!$H:$H,0))</f>
        <v>0</v>
      </c>
      <c r="AT117">
        <f t="shared" si="13"/>
        <v>0</v>
      </c>
      <c r="AU117">
        <f t="shared" si="14"/>
        <v>0</v>
      </c>
      <c r="AV117" s="32" cm="1">
        <f t="array" ref="AV117">IF($F$11-$I$4+VLOOKUP($R117,武学奇术!$A:$ZZ,9,FALSE)+SUM(_xlfn.XLOOKUP(S117:AG117,增益!$A:$A,增益!$I:$I,0))&gt;0,($F$11-$I$4+VLOOKUP($R117,武学奇术!$A:$ZZ,9,FALSE)+SUM(_xlfn.XLOOKUP(S117:AG117,增益!$A:$A,增益!$I:$I,0)))/200,($F$11-$I$4+VLOOKUP($R117,武学奇术!$A:$ZZ,9,FALSE)+SUM(_xlfn.XLOOKUP(S117:AG117,增益!$A:$A,增益!$I:$I,0)))/100)</f>
        <v>-0.3</v>
      </c>
      <c r="AW117" s="32" cm="1">
        <f t="array" ref="AW117">$G$11+VLOOKUP($R117,武学奇术!$A:$ZZ,10,FALSE)+SUM(_xlfn.XLOOKUP(S117:AG117,增益!$A:$A,增益!$J:$J,0))</f>
        <v>0</v>
      </c>
      <c r="AX117">
        <f t="shared" si="15"/>
        <v>0</v>
      </c>
      <c r="AY117">
        <f t="shared" si="16"/>
        <v>0</v>
      </c>
      <c r="AZ117" s="32" cm="1">
        <f t="array" ref="AZ117">IF($F$12-$I$4+VLOOKUP($R117,武学奇术!$A:$ZZ,11,FALSE)+SUM(_xlfn.XLOOKUP(S117:AG117,增益!$A:$A,增益!$K:$K,0))&gt;0,($F$12-$I$4+VLOOKUP($R117,武学奇术!$A:$ZZ,11,FALSE)+SUM(_xlfn.XLOOKUP(S117:AG117,增益!$A:$A,增益!$K:$K,0)))/200,($F$12-$I$4+VLOOKUP($R117,武学奇术!$A:$ZZ,11,FALSE)+SUM(_xlfn.XLOOKUP(S117:AG117,增益!$A:$A,增益!$K:$K,0)))/100)</f>
        <v>-0.3</v>
      </c>
      <c r="BA117" s="32" cm="1">
        <f t="array" ref="BA117">$G$12+VLOOKUP($R117,武学奇术!$A:$ZZ,12,FALSE)+SUM(_xlfn.XLOOKUP(S117:AG117,增益!$A:$A,增益!$L:$L,0))</f>
        <v>0</v>
      </c>
      <c r="BB117">
        <f t="shared" si="17"/>
        <v>0</v>
      </c>
      <c r="BC117">
        <f t="shared" si="18"/>
        <v>0</v>
      </c>
      <c r="BD117" s="32" cm="1">
        <f t="array" ref="BD117">IF($F$13-$I$4+VLOOKUP($R117,武学奇术!$A:$ZZ,13,FALSE)+SUM(_xlfn.XLOOKUP(S117:AG117,增益!$A:$A,增益!$M:$M,0))&gt;0,($F$13-$I$4+VLOOKUP($R117,武学奇术!$A:$ZZ,13,FALSE)+SUM(_xlfn.XLOOKUP(S117:AG117,增益!$A:$A,增益!$K:$K,0)))/200,($F$13-$I$4+VLOOKUP($R117,武学奇术!$A:$ZZ,13,FALSE)+SUM(_xlfn.XLOOKUP(S117:AG117,增益!$A:$A,增益!$M:$M,0)))/100)</f>
        <v>-0.3</v>
      </c>
      <c r="BE117" s="32" cm="1">
        <f t="array" ref="BE117">$G$13+VLOOKUP($R117,武学奇术!$A:$ZZ,14,FALSE)+SUM(_xlfn.XLOOKUP(S117:AG117,增益!$A:$A,增益!$N:$N,0))</f>
        <v>0</v>
      </c>
      <c r="BF117">
        <f t="shared" si="19"/>
        <v>571.2</v>
      </c>
      <c r="BG117">
        <f t="shared" si="20"/>
        <v>1627.8</v>
      </c>
      <c r="BH117" s="32" cm="1">
        <f t="array" ref="BH117">IF($F$14-$I$4+VLOOKUP($R117,武学奇术!$A:$ZZ,15,FALSE)+SUM(_xlfn.XLOOKUP(S117:AG117,增益!$A:$A,增益!$O:$O,0))&gt;0,($F$14-$I$4+VLOOKUP($R117,武学奇术!$A:$ZZ,15,FALSE)+SUM(_xlfn.XLOOKUP(S117:AG117,增益!$A:$A,增益!$O:$O,0)))/200,($F$14-$I$4+VLOOKUP($R117,武学奇术!$A:$ZZ,15,FALSE)+SUM(_xlfn.XLOOKUP(S117:AG117,增益!$A:$A,增益!$O:$O,0)))/100)</f>
        <v>0</v>
      </c>
      <c r="BI117" s="32" cm="1">
        <f t="array" ref="BI117">$G$14+VLOOKUP($R117,武学奇术!$A:$ZZ,16,FALSE)+SUM(_xlfn.XLOOKUP(S117:AG117,增益!$A:$A,增益!$P:$P,0))</f>
        <v>0.27</v>
      </c>
      <c r="BJ117" s="26">
        <f>MIN(IF(VLOOKUP($R117,武学奇术!$A:$ZZ,23,FALSE)=1,100%,$B$8),100%)</f>
        <v>0.981</v>
      </c>
      <c r="BK117" s="26" cm="1">
        <f t="array" ref="BK117">IF(VLOOKUP($R117,武学奇术!$A:$ZZ,23,FALSE)=1,100%,MIN(80%,$B$9+VLOOKUP($R117,武学奇术!$A:$ZZ,17,FALSE)+SUM(_xlfn.XLOOKUP(S117:AG117,增益!$A:$A,增益!$Q:$Q,0)))+$B$11+SUM(_xlfn.XLOOKUP(S117:AG117,增益!$A:$A,增益!$U:$U,0)))*IF(VLOOKUP($R117,武学奇术!$A:$ZZ,24,FALSE)=1,0,1)</f>
        <v>0.846</v>
      </c>
      <c r="BL117" s="26" cm="1">
        <f t="array" ref="BL117">1+$B$13+VLOOKUP($R117,武学奇术!$A:$ZZ,18,FALSE)+SUM(_xlfn.XLOOKUP(S117:AG117,增益!$A:$A,增益!$R:$R,0))</f>
        <v>2.06</v>
      </c>
      <c r="BM117" s="26" cm="1">
        <f t="array" ref="BM117">IF(VLOOKUP($R117,武学奇术!$A:$ZZ,24,FALSE)=1,100%,MIN(40%,$B$10+VLOOKUP($R117,武学奇术!$A:$ZZ,19,FALSE)+SUM(_xlfn.XLOOKUP(S117:AG117,增益!$A:$A,增益!$S:$S,0)))+$B$12+SUM(_xlfn.XLOOKUP(S117:AG117,增益!$A:$A,增益!$V:$V,0)))*IF(VLOOKUP($R117,武学奇术!$A:$ZZ,23,FALSE)=1,0,1)</f>
        <v>0.0929</v>
      </c>
      <c r="BN117" s="26" cm="1">
        <f t="array" ref="BN117">1+$B$14+VLOOKUP($R117,武学奇术!$A:$ZZ,20,FALSE)+SUM(_xlfn.XLOOKUP(S117:AG117,增益!$A:$A,增益!$T:$T,0))</f>
        <v>1.35</v>
      </c>
      <c r="BO117" s="26">
        <f t="shared" si="21"/>
        <v>0.829926</v>
      </c>
      <c r="BP117" s="26">
        <f t="shared" si="22"/>
        <v>0.0599391</v>
      </c>
      <c r="BQ117" s="26">
        <f>IF(VLOOKUP($R117,武学奇术!$A:$ZZ,22,FALSE)=1,0,(1-$BJ117))*(1-$BM117)</f>
        <v>0.0172349</v>
      </c>
      <c r="BR117" s="26" cm="1">
        <f t="array" ref="BR117">SUM(_xlfn.XLOOKUP(S117:AG117,增益!$A:$A,增益!$W:$W,0))+$I$5</f>
        <v>0.11</v>
      </c>
    </row>
    <row r="118" spans="11:70">
      <c r="K118">
        <f>$L118*VLOOKUP($R118,武学奇术!$A:$ZZ,31,FALSE)</f>
        <v>83848.3304078536</v>
      </c>
      <c r="L118" s="38">
        <f t="shared" si="24"/>
        <v>79855.5527693844</v>
      </c>
      <c r="M118" s="38">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BL118*$Q118*(1+IF(VLOOKUP($R118,武学奇术!$A:$ZZ,30,FALSE)="回旋伞",$B$21,0))*(1+$BR118)</f>
        <v>85367.664158329</v>
      </c>
      <c r="N118" s="38">
        <f>(($AP118*$AI118+$AJ118)*(1+$AQ118)*(1+$AR118)+($AU118*IF($G$1="鸣金",$AK118,$AI118)+IF($G$1="鸣金",$AL118*1.5,0))*(1+$AV118)*(1+$AW118)+($AY118*IF($G$1="裂石",$AK118,$AI118)+IF($G$1="裂石",$AL118*1.5,0))*(1+$AZ118)*(1+$BA118)+($BC118*IF($G$1="牵丝",$AK118,$AI118)+IF($G$1="牵丝",$AL118*1.5,0))*(1+$BD118)*(1+$BE118)+($BG118*IF($G$1="破竹",$AK118,$AI118)+IF($G$1="破竹",$AL118*1.5,0))*(1+$BH118)*(1+$BI118))*(1+$AM118)*$BN118*$Q118*(1+IF(VLOOKUP($R118,武学奇术!$A:$ZZ,30,FALSE)="回旋伞",$B$21,0))*(1+$BR118)</f>
        <v>63573.3102848714</v>
      </c>
      <c r="O118" s="38">
        <f>((($AO118+$AP118)/2*$AI118+$AJ118)*(1+$AQ118)*(1+$AR118)+(($AT118+$AU118)/2*IF($G$1="鸣金",$AK118,$AI118)+IF($G$1="鸣金",$AL118*1.5,0))*(1+$AV118)*(1+$AW118)+(($AX118+$AY118)/2*IF($G$1="裂石",$AK118,$AI118)+IF($G$1="裂石",$AL118*1.5,0))*(1+$AZ118)*(1+$BA118)+(($BB118+$BC118)/2*IF($G$1="牵丝",$AK118,$AI118)+IF($G$1="牵丝",$AL118*1.5,0))*(1+$BD118)*(1+$BE118)+(($BF118+$BG118)/2*IF($G$1="破竹",$AK118,$AI118)+IF($G$1="破竹",$AL118*1.5,0))*(1+$BH118)*(1+$BI118))*(1+$AM118)*$Q118*(1+IF(VLOOKUP($R118,武学奇术!$A:$ZZ,30,FALSE)="回旋伞",$B$21,0))*(1+$BR118)</f>
        <v>41440.6136690917</v>
      </c>
      <c r="P118" s="38">
        <f>((($AO118*$AI118+$AJ118)*(1+$AQ118)*(1+$AR118)+($AT118*IF($G$1="鸣金",$AK118,$AI118)+IF($G$1="鸣金",$AL118*1.5,0))*(1+$AV118)*(1+$AW118)+($AX118*IF($G$1="裂石",$AK118,$AI118)+IF($G$1="裂石",$AL118*1.5,0))*(1+$AZ118)*(1+$BA118)+($BB118*IF($G$1="牵丝",$AK118,$AI118)+IF($G$1="牵丝",$AL118*1.5,0))*(1+$BD118)*(1+$BE118)+($BF118*IF($G$1="破竹",$AK118,$AI118)+IF($G$1="破竹",$AL118*1.5,0))*(1+$BH118)*(1+$BI118))*(1+$AM118))*$Q118*(1+IF(VLOOKUP($R118,武学奇术!$A:$ZZ,30,FALSE)="回旋伞",$B$21,0))*(1+$BR118)</f>
        <v>35789.8863864269</v>
      </c>
      <c r="Q118" s="39">
        <v>4</v>
      </c>
      <c r="R118" s="40" t="s">
        <v>112</v>
      </c>
      <c r="S118" s="40" t="s">
        <v>109</v>
      </c>
      <c r="T118" s="40" t="s">
        <v>95</v>
      </c>
      <c r="U118" s="40" t="s">
        <v>73</v>
      </c>
      <c r="V118" s="40" t="s">
        <v>72</v>
      </c>
      <c r="W118" s="40" t="s">
        <v>172</v>
      </c>
      <c r="X118" s="40" t="s">
        <v>99</v>
      </c>
      <c r="Y118" s="40" t="s">
        <v>72</v>
      </c>
      <c r="Z118" s="40" t="s">
        <v>72</v>
      </c>
      <c r="AA118" s="40" t="s">
        <v>72</v>
      </c>
      <c r="AB118" s="40" t="s">
        <v>126</v>
      </c>
      <c r="AC118" s="40" t="s">
        <v>72</v>
      </c>
      <c r="AD118" s="40" t="s">
        <v>72</v>
      </c>
      <c r="AE118" s="40" t="s">
        <v>72</v>
      </c>
      <c r="AF118" s="40" t="s">
        <v>72</v>
      </c>
      <c r="AG118" s="40" t="s">
        <v>78</v>
      </c>
      <c r="AH118" t="str">
        <f>VLOOKUP($R118,武学奇术!$A:$ZZ,25,FALSE)</f>
        <v>伞</v>
      </c>
      <c r="AI118" s="26">
        <f>VLOOKUP($R118,武学奇术!$A:$ZZ,26,FALSE)</f>
        <v>0.54</v>
      </c>
      <c r="AJ118" s="27">
        <f>VLOOKUP($R118,武学奇术!$A:$ZZ,27,FALSE)*(1+IF(OR($AH118=$F$4,$AH118=$F$5),$B$22,0))</f>
        <v>0</v>
      </c>
      <c r="AK118" s="26">
        <f>VLOOKUP($R118,武学奇术!$A:$ZZ,28,FALSE)</f>
        <v>0.81</v>
      </c>
      <c r="AL118" s="27">
        <f>VLOOKUP($R118,武学奇术!$A:$ZZ,29,FALSE)*(1+IF(OR($AH118=$F$4,$AH118=$F$5),$B$22,0))</f>
        <v>0</v>
      </c>
      <c r="AM118" s="26" cm="1">
        <f t="array" ref="AM118">$G$3+IFERROR(VLOOKUP($AH118,$F$4:$G$7,2,FALSE),0)+VLOOKUP($R118,武学奇术!$A:$ZZ,2,FALSE)+SUM(_xlfn.XLOOKUP($S118:$AG118,增益!$A:$A,增益!$B:$B,0))</f>
        <v>0.7741</v>
      </c>
      <c r="AN118" s="26" cm="1">
        <f t="array" ref="AN118">VLOOKUP($R118,武学奇术!$A:$ZZ,5,FALSE)+SUM(_xlfn.XLOOKUP($S118:$AG118,增益!$A:$A,增益!$E:$E,0))</f>
        <v>0</v>
      </c>
      <c r="AO118" cm="1">
        <f t="array" ref="AO118">$D$10*(1+$AN118)+VLOOKUP($R118,武学奇术!$A:$ZZ,3,FALSE)+SUM(_xlfn.XLOOKUP($S118:$AG118,增益!$A:$A,增益!$C:$C,0))-$I$2</f>
        <v>3562.6</v>
      </c>
      <c r="AP118" cm="1">
        <f t="array" ref="AP118">$E$10*(1+$AN118)+VLOOKUP($R118,武学奇术!$A:$ZZ,4,FALSE)+SUM(_xlfn.XLOOKUP($S118:$AG118,增益!$A:$A,增益!$D:$D,0))-$I$2</f>
        <v>3562.6</v>
      </c>
      <c r="AQ118" s="32" cm="1">
        <f t="array" ref="AQ118">IF($F$10-$I$3+VLOOKUP($R118,武学奇术!$A:$ZZ,6,FALSE)+SUM(_xlfn.XLOOKUP(S118:AG118,增益!$A:$A,增益!$F:$F,0))&gt;0,($F$10-$I$3+VLOOKUP($R118,武学奇术!$A:$ZZ,6,FALSE)+SUM(_xlfn.XLOOKUP(S118:AG118,增益!$A:$A,增益!$F:$F,0)))/200,($F$10-$I$3+VLOOKUP($R118,武学奇术!$A:$ZZ,6,FALSE)+SUM(_xlfn.XLOOKUP(S118:AG118,增益!$A:$A,增益!$F:$F,0)))/100)</f>
        <v>0.2925</v>
      </c>
      <c r="AR118" s="32" cm="1">
        <f t="array" ref="AR118">$G$10+VLOOKUP($R118,武学奇术!$A:$ZZ,7,FALSE)+SUM(_xlfn.XLOOKUP(S118:AG118,增益!$A:$A,增益!$G:$G,0))</f>
        <v>0.148</v>
      </c>
      <c r="AS118" s="26" cm="1">
        <f t="array" ref="AS118">VLOOKUP($R118,武学奇术!$A:$ZZ,8,FALSE)+SUM(_xlfn.XLOOKUP(S118:AG118,增益!$A:$A,增益!$H:$H,0))</f>
        <v>0</v>
      </c>
      <c r="AT118">
        <f t="shared" si="13"/>
        <v>0</v>
      </c>
      <c r="AU118">
        <f t="shared" si="14"/>
        <v>0</v>
      </c>
      <c r="AV118" s="32" cm="1">
        <f t="array" ref="AV118">IF($F$11-$I$4+VLOOKUP($R118,武学奇术!$A:$ZZ,9,FALSE)+SUM(_xlfn.XLOOKUP(S118:AG118,增益!$A:$A,增益!$I:$I,0))&gt;0,($F$11-$I$4+VLOOKUP($R118,武学奇术!$A:$ZZ,9,FALSE)+SUM(_xlfn.XLOOKUP(S118:AG118,增益!$A:$A,增益!$I:$I,0)))/200,($F$11-$I$4+VLOOKUP($R118,武学奇术!$A:$ZZ,9,FALSE)+SUM(_xlfn.XLOOKUP(S118:AG118,增益!$A:$A,增益!$I:$I,0)))/100)</f>
        <v>-0.3</v>
      </c>
      <c r="AW118" s="32" cm="1">
        <f t="array" ref="AW118">$G$11+VLOOKUP($R118,武学奇术!$A:$ZZ,10,FALSE)+SUM(_xlfn.XLOOKUP(S118:AG118,增益!$A:$A,增益!$J:$J,0))</f>
        <v>0</v>
      </c>
      <c r="AX118">
        <f t="shared" si="15"/>
        <v>0</v>
      </c>
      <c r="AY118">
        <f t="shared" si="16"/>
        <v>0</v>
      </c>
      <c r="AZ118" s="32" cm="1">
        <f t="array" ref="AZ118">IF($F$12-$I$4+VLOOKUP($R118,武学奇术!$A:$ZZ,11,FALSE)+SUM(_xlfn.XLOOKUP(S118:AG118,增益!$A:$A,增益!$K:$K,0))&gt;0,($F$12-$I$4+VLOOKUP($R118,武学奇术!$A:$ZZ,11,FALSE)+SUM(_xlfn.XLOOKUP(S118:AG118,增益!$A:$A,增益!$K:$K,0)))/200,($F$12-$I$4+VLOOKUP($R118,武学奇术!$A:$ZZ,11,FALSE)+SUM(_xlfn.XLOOKUP(S118:AG118,增益!$A:$A,增益!$K:$K,0)))/100)</f>
        <v>-0.3</v>
      </c>
      <c r="BA118" s="32" cm="1">
        <f t="array" ref="BA118">$G$12+VLOOKUP($R118,武学奇术!$A:$ZZ,12,FALSE)+SUM(_xlfn.XLOOKUP(S118:AG118,增益!$A:$A,增益!$L:$L,0))</f>
        <v>0</v>
      </c>
      <c r="BB118">
        <f t="shared" si="17"/>
        <v>0</v>
      </c>
      <c r="BC118">
        <f t="shared" si="18"/>
        <v>0</v>
      </c>
      <c r="BD118" s="32" cm="1">
        <f t="array" ref="BD118">IF($F$13-$I$4+VLOOKUP($R118,武学奇术!$A:$ZZ,13,FALSE)+SUM(_xlfn.XLOOKUP(S118:AG118,增益!$A:$A,增益!$M:$M,0))&gt;0,($F$13-$I$4+VLOOKUP($R118,武学奇术!$A:$ZZ,13,FALSE)+SUM(_xlfn.XLOOKUP(S118:AG118,增益!$A:$A,增益!$K:$K,0)))/200,($F$13-$I$4+VLOOKUP($R118,武学奇术!$A:$ZZ,13,FALSE)+SUM(_xlfn.XLOOKUP(S118:AG118,增益!$A:$A,增益!$M:$M,0)))/100)</f>
        <v>-0.3</v>
      </c>
      <c r="BE118" s="32" cm="1">
        <f t="array" ref="BE118">$G$13+VLOOKUP($R118,武学奇术!$A:$ZZ,14,FALSE)+SUM(_xlfn.XLOOKUP(S118:AG118,增益!$A:$A,增益!$N:$N,0))</f>
        <v>0</v>
      </c>
      <c r="BF118">
        <f t="shared" si="19"/>
        <v>571.2</v>
      </c>
      <c r="BG118">
        <f t="shared" si="20"/>
        <v>1627.8</v>
      </c>
      <c r="BH118" s="32" cm="1">
        <f t="array" ref="BH118">IF($F$14-$I$4+VLOOKUP($R118,武学奇术!$A:$ZZ,15,FALSE)+SUM(_xlfn.XLOOKUP(S118:AG118,增益!$A:$A,增益!$O:$O,0))&gt;0,($F$14-$I$4+VLOOKUP($R118,武学奇术!$A:$ZZ,15,FALSE)+SUM(_xlfn.XLOOKUP(S118:AG118,增益!$A:$A,增益!$O:$O,0)))/200,($F$14-$I$4+VLOOKUP($R118,武学奇术!$A:$ZZ,15,FALSE)+SUM(_xlfn.XLOOKUP(S118:AG118,增益!$A:$A,增益!$O:$O,0)))/100)</f>
        <v>0</v>
      </c>
      <c r="BI118" s="32" cm="1">
        <f t="array" ref="BI118">$G$14+VLOOKUP($R118,武学奇术!$A:$ZZ,16,FALSE)+SUM(_xlfn.XLOOKUP(S118:AG118,增益!$A:$A,增益!$P:$P,0))</f>
        <v>0.27</v>
      </c>
      <c r="BJ118" s="26">
        <f>MIN(IF(VLOOKUP($R118,武学奇术!$A:$ZZ,23,FALSE)=1,100%,$B$8),100%)</f>
        <v>0.981</v>
      </c>
      <c r="BK118" s="26" cm="1">
        <f t="array" ref="BK118">IF(VLOOKUP($R118,武学奇术!$A:$ZZ,23,FALSE)=1,100%,MIN(80%,$B$9+VLOOKUP($R118,武学奇术!$A:$ZZ,17,FALSE)+SUM(_xlfn.XLOOKUP(S118:AG118,增益!$A:$A,增益!$Q:$Q,0)))+$B$11+SUM(_xlfn.XLOOKUP(S118:AG118,增益!$A:$A,增益!$U:$U,0)))*IF(VLOOKUP($R118,武学奇术!$A:$ZZ,24,FALSE)=1,0,1)</f>
        <v>0.846</v>
      </c>
      <c r="BL118" s="26" cm="1">
        <f t="array" ref="BL118">1+$B$13+VLOOKUP($R118,武学奇术!$A:$ZZ,18,FALSE)+SUM(_xlfn.XLOOKUP(S118:AG118,增益!$A:$A,增益!$R:$R,0))</f>
        <v>2.06</v>
      </c>
      <c r="BM118" s="26" cm="1">
        <f t="array" ref="BM118">IF(VLOOKUP($R118,武学奇术!$A:$ZZ,24,FALSE)=1,100%,MIN(40%,$B$10+VLOOKUP($R118,武学奇术!$A:$ZZ,19,FALSE)+SUM(_xlfn.XLOOKUP(S118:AG118,增益!$A:$A,增益!$S:$S,0)))+$B$12+SUM(_xlfn.XLOOKUP(S118:AG118,增益!$A:$A,增益!$V:$V,0)))*IF(VLOOKUP($R118,武学奇术!$A:$ZZ,23,FALSE)=1,0,1)</f>
        <v>0.0929</v>
      </c>
      <c r="BN118" s="26" cm="1">
        <f t="array" ref="BN118">1+$B$14+VLOOKUP($R118,武学奇术!$A:$ZZ,20,FALSE)+SUM(_xlfn.XLOOKUP(S118:AG118,增益!$A:$A,增益!$T:$T,0))</f>
        <v>1.35</v>
      </c>
      <c r="BO118" s="26">
        <f t="shared" si="21"/>
        <v>0.829926</v>
      </c>
      <c r="BP118" s="26">
        <f t="shared" si="22"/>
        <v>0.0599391</v>
      </c>
      <c r="BQ118" s="26">
        <f>IF(VLOOKUP($R118,武学奇术!$A:$ZZ,22,FALSE)=1,0,(1-$BJ118))*(1-$BM118)</f>
        <v>0.0172349</v>
      </c>
      <c r="BR118" s="26" cm="1">
        <f t="array" ref="BR118">SUM(_xlfn.XLOOKUP(S118:AG118,增益!$A:$A,增益!$W:$W,0))+$I$5</f>
        <v>0.11</v>
      </c>
    </row>
    <row r="119" spans="11:70">
      <c r="K119">
        <f>$L119*VLOOKUP($R119,武学奇术!$A:$ZZ,31,FALSE)</f>
        <v>171344.660121177</v>
      </c>
      <c r="L119" s="38">
        <f t="shared" si="24"/>
        <v>163185.390591597</v>
      </c>
      <c r="M119" s="38">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BL119*$Q119*(1+IF(VLOOKUP($R119,武学奇术!$A:$ZZ,30,FALSE)="回旋伞",$B$21,0))*(1+$BR119)</f>
        <v>163185.390591597</v>
      </c>
      <c r="N119" s="38">
        <f>(($AP119*$AI119+$AJ119)*(1+$AQ119)*(1+$AR119)+($AU119*IF($G$1="鸣金",$AK119,$AI119)+IF($G$1="鸣金",$AL119*1.5,0))*(1+$AV119)*(1+$AW119)+($AY119*IF($G$1="裂石",$AK119,$AI119)+IF($G$1="裂石",$AL119*1.5,0))*(1+$AZ119)*(1+$BA119)+($BC119*IF($G$1="牵丝",$AK119,$AI119)+IF($G$1="牵丝",$AL119*1.5,0))*(1+$BD119)*(1+$BE119)+($BG119*IF($G$1="破竹",$AK119,$AI119)+IF($G$1="破竹",$AL119*1.5,0))*(1+$BH119)*(1+$BI119))*(1+$AM119)*$BN119*$Q119*(1+IF(VLOOKUP($R119,武学奇术!$A:$ZZ,30,FALSE)="回旋伞",$B$21,0))*(1+$BR119)</f>
        <v>119715.351206277</v>
      </c>
      <c r="O119" s="38">
        <f>((($AO119+$AP119)/2*$AI119+$AJ119)*(1+$AQ119)*(1+$AR119)+(($AT119+$AU119)/2*IF($G$1="鸣金",$AK119,$AI119)+IF($G$1="鸣金",$AL119*1.5,0))*(1+$AV119)*(1+$AW119)+(($AX119+$AY119)/2*IF($G$1="裂石",$AK119,$AI119)+IF($G$1="裂石",$AL119*1.5,0))*(1+$AZ119)*(1+$BA119)+(($BB119+$BC119)/2*IF($G$1="牵丝",$AK119,$AI119)+IF($G$1="牵丝",$AL119*1.5,0))*(1+$BD119)*(1+$BE119)+(($BF119+$BG119)/2*IF($G$1="破竹",$AK119,$AI119)+IF($G$1="破竹",$AL119*1.5,0))*(1+$BH119)*(1+$BI119))*(1+$AM119)*$Q119*(1+IF(VLOOKUP($R119,武学奇术!$A:$ZZ,30,FALSE)="回旋伞",$B$21,0))*(1+$BR119)</f>
        <v>79216.209025047</v>
      </c>
      <c r="P119" s="38">
        <f>((($AO119*$AI119+$AJ119)*(1+$AQ119)*(1+$AR119)+($AT119*IF($G$1="鸣金",$AK119,$AI119)+IF($G$1="鸣金",$AL119*1.5,0))*(1+$AV119)*(1+$AW119)+($AX119*IF($G$1="裂石",$AK119,$AI119)+IF($G$1="裂石",$AL119*1.5,0))*(1+$AZ119)*(1+$BA119)+($BB119*IF($G$1="牵丝",$AK119,$AI119)+IF($G$1="牵丝",$AL119*1.5,0))*(1+$BD119)*(1+$BE119)+($BF119*IF($G$1="破竹",$AK119,$AI119)+IF($G$1="破竹",$AL119*1.5,0))*(1+$BH119)*(1+$BI119))*(1+$AM119))*$Q119*(1+IF(VLOOKUP($R119,武学奇术!$A:$ZZ,30,FALSE)="回旋伞",$B$21,0))*(1+$BR119)</f>
        <v>69754.3801195181</v>
      </c>
      <c r="Q119" s="39">
        <v>2</v>
      </c>
      <c r="R119" s="40" t="s">
        <v>125</v>
      </c>
      <c r="S119" s="40" t="s">
        <v>109</v>
      </c>
      <c r="T119" s="40" t="s">
        <v>95</v>
      </c>
      <c r="U119" s="40" t="s">
        <v>73</v>
      </c>
      <c r="V119" s="40" t="s">
        <v>72</v>
      </c>
      <c r="W119" s="40" t="s">
        <v>172</v>
      </c>
      <c r="X119" s="40" t="s">
        <v>99</v>
      </c>
      <c r="Y119" s="40" t="s">
        <v>72</v>
      </c>
      <c r="Z119" s="40" t="s">
        <v>72</v>
      </c>
      <c r="AA119" s="40" t="s">
        <v>72</v>
      </c>
      <c r="AB119" s="40" t="s">
        <v>126</v>
      </c>
      <c r="AC119" s="40" t="s">
        <v>72</v>
      </c>
      <c r="AD119" s="40" t="s">
        <v>72</v>
      </c>
      <c r="AE119" s="40" t="s">
        <v>72</v>
      </c>
      <c r="AF119" s="40" t="s">
        <v>72</v>
      </c>
      <c r="AG119" s="40" t="s">
        <v>78</v>
      </c>
      <c r="AH119" t="str">
        <f>VLOOKUP($R119,武学奇术!$A:$ZZ,25,FALSE)</f>
        <v>伞</v>
      </c>
      <c r="AI119" s="26">
        <f>VLOOKUP($R119,武学奇术!$A:$ZZ,26,FALSE)</f>
        <v>1.8084</v>
      </c>
      <c r="AJ119" s="27">
        <f>VLOOKUP($R119,武学奇术!$A:$ZZ,27,FALSE)*(1+IF(OR($AH119=$F$4,$AH119=$F$5),$B$22,0))</f>
        <v>750</v>
      </c>
      <c r="AK119" s="26">
        <f>VLOOKUP($R119,武学奇术!$A:$ZZ,28,FALSE)</f>
        <v>2.7126</v>
      </c>
      <c r="AL119" s="27">
        <f>VLOOKUP($R119,武学奇术!$A:$ZZ,29,FALSE)*(1+IF(OR($AH119=$F$4,$AH119=$F$5),$B$22,0))</f>
        <v>408</v>
      </c>
      <c r="AM119" s="26" cm="1">
        <f t="array" ref="AM119">$G$3+IFERROR(VLOOKUP($AH119,$F$4:$G$7,2,FALSE),0)+VLOOKUP($R119,武学奇术!$A:$ZZ,2,FALSE)+SUM(_xlfn.XLOOKUP($S119:$AG119,增益!$A:$A,增益!$B:$B,0))</f>
        <v>0.7741</v>
      </c>
      <c r="AN119" s="26" cm="1">
        <f t="array" ref="AN119">VLOOKUP($R119,武学奇术!$A:$ZZ,5,FALSE)+SUM(_xlfn.XLOOKUP($S119:$AG119,增益!$A:$A,增益!$E:$E,0))</f>
        <v>0</v>
      </c>
      <c r="AO119" cm="1">
        <f t="array" ref="AO119">$D$10*(1+$AN119)+VLOOKUP($R119,武学奇术!$A:$ZZ,3,FALSE)+SUM(_xlfn.XLOOKUP($S119:$AG119,增益!$A:$A,增益!$C:$C,0))-$I$2</f>
        <v>3562.6</v>
      </c>
      <c r="AP119" cm="1">
        <f t="array" ref="AP119">$E$10*(1+$AN119)+VLOOKUP($R119,武学奇术!$A:$ZZ,4,FALSE)+SUM(_xlfn.XLOOKUP($S119:$AG119,增益!$A:$A,增益!$D:$D,0))-$I$2</f>
        <v>3562.6</v>
      </c>
      <c r="AQ119" s="32" cm="1">
        <f t="array" ref="AQ119">IF($F$10-$I$3+VLOOKUP($R119,武学奇术!$A:$ZZ,6,FALSE)+SUM(_xlfn.XLOOKUP(S119:AG119,增益!$A:$A,增益!$F:$F,0))&gt;0,($F$10-$I$3+VLOOKUP($R119,武学奇术!$A:$ZZ,6,FALSE)+SUM(_xlfn.XLOOKUP(S119:AG119,增益!$A:$A,增益!$F:$F,0)))/200,($F$10-$I$3+VLOOKUP($R119,武学奇术!$A:$ZZ,6,FALSE)+SUM(_xlfn.XLOOKUP(S119:AG119,增益!$A:$A,增益!$F:$F,0)))/100)</f>
        <v>0.2925</v>
      </c>
      <c r="AR119" s="32" cm="1">
        <f t="array" ref="AR119">$G$10+VLOOKUP($R119,武学奇术!$A:$ZZ,7,FALSE)+SUM(_xlfn.XLOOKUP(S119:AG119,增益!$A:$A,增益!$G:$G,0))</f>
        <v>0.148</v>
      </c>
      <c r="AS119" s="26" cm="1">
        <f t="array" ref="AS119">VLOOKUP($R119,武学奇术!$A:$ZZ,8,FALSE)+SUM(_xlfn.XLOOKUP(S119:AG119,增益!$A:$A,增益!$H:$H,0))</f>
        <v>0</v>
      </c>
      <c r="AT119">
        <f t="shared" si="13"/>
        <v>0</v>
      </c>
      <c r="AU119">
        <f t="shared" si="14"/>
        <v>0</v>
      </c>
      <c r="AV119" s="32" cm="1">
        <f t="array" ref="AV119">IF($F$11-$I$4+VLOOKUP($R119,武学奇术!$A:$ZZ,9,FALSE)+SUM(_xlfn.XLOOKUP(S119:AG119,增益!$A:$A,增益!$I:$I,0))&gt;0,($F$11-$I$4+VLOOKUP($R119,武学奇术!$A:$ZZ,9,FALSE)+SUM(_xlfn.XLOOKUP(S119:AG119,增益!$A:$A,增益!$I:$I,0)))/200,($F$11-$I$4+VLOOKUP($R119,武学奇术!$A:$ZZ,9,FALSE)+SUM(_xlfn.XLOOKUP(S119:AG119,增益!$A:$A,增益!$I:$I,0)))/100)</f>
        <v>-0.3</v>
      </c>
      <c r="AW119" s="32" cm="1">
        <f t="array" ref="AW119">$G$11+VLOOKUP($R119,武学奇术!$A:$ZZ,10,FALSE)+SUM(_xlfn.XLOOKUP(S119:AG119,增益!$A:$A,增益!$J:$J,0))</f>
        <v>0</v>
      </c>
      <c r="AX119">
        <f t="shared" si="15"/>
        <v>0</v>
      </c>
      <c r="AY119">
        <f t="shared" si="16"/>
        <v>0</v>
      </c>
      <c r="AZ119" s="32" cm="1">
        <f t="array" ref="AZ119">IF($F$12-$I$4+VLOOKUP($R119,武学奇术!$A:$ZZ,11,FALSE)+SUM(_xlfn.XLOOKUP(S119:AG119,增益!$A:$A,增益!$K:$K,0))&gt;0,($F$12-$I$4+VLOOKUP($R119,武学奇术!$A:$ZZ,11,FALSE)+SUM(_xlfn.XLOOKUP(S119:AG119,增益!$A:$A,增益!$K:$K,0)))/200,($F$12-$I$4+VLOOKUP($R119,武学奇术!$A:$ZZ,11,FALSE)+SUM(_xlfn.XLOOKUP(S119:AG119,增益!$A:$A,增益!$K:$K,0)))/100)</f>
        <v>-0.3</v>
      </c>
      <c r="BA119" s="32" cm="1">
        <f t="array" ref="BA119">$G$12+VLOOKUP($R119,武学奇术!$A:$ZZ,12,FALSE)+SUM(_xlfn.XLOOKUP(S119:AG119,增益!$A:$A,增益!$L:$L,0))</f>
        <v>0</v>
      </c>
      <c r="BB119">
        <f t="shared" si="17"/>
        <v>0</v>
      </c>
      <c r="BC119">
        <f t="shared" si="18"/>
        <v>0</v>
      </c>
      <c r="BD119" s="32" cm="1">
        <f t="array" ref="BD119">IF($F$13-$I$4+VLOOKUP($R119,武学奇术!$A:$ZZ,13,FALSE)+SUM(_xlfn.XLOOKUP(S119:AG119,增益!$A:$A,增益!$M:$M,0))&gt;0,($F$13-$I$4+VLOOKUP($R119,武学奇术!$A:$ZZ,13,FALSE)+SUM(_xlfn.XLOOKUP(S119:AG119,增益!$A:$A,增益!$K:$K,0)))/200,($F$13-$I$4+VLOOKUP($R119,武学奇术!$A:$ZZ,13,FALSE)+SUM(_xlfn.XLOOKUP(S119:AG119,增益!$A:$A,增益!$M:$M,0)))/100)</f>
        <v>-0.3</v>
      </c>
      <c r="BE119" s="32" cm="1">
        <f t="array" ref="BE119">$G$13+VLOOKUP($R119,武学奇术!$A:$ZZ,14,FALSE)+SUM(_xlfn.XLOOKUP(S119:AG119,增益!$A:$A,增益!$N:$N,0))</f>
        <v>0</v>
      </c>
      <c r="BF119">
        <f t="shared" si="19"/>
        <v>571.2</v>
      </c>
      <c r="BG119">
        <f t="shared" si="20"/>
        <v>1627.8</v>
      </c>
      <c r="BH119" s="32" cm="1">
        <f t="array" ref="BH119">IF($F$14-$I$4+VLOOKUP($R119,武学奇术!$A:$ZZ,15,FALSE)+SUM(_xlfn.XLOOKUP(S119:AG119,增益!$A:$A,增益!$O:$O,0))&gt;0,($F$14-$I$4+VLOOKUP($R119,武学奇术!$A:$ZZ,15,FALSE)+SUM(_xlfn.XLOOKUP(S119:AG119,增益!$A:$A,增益!$O:$O,0)))/200,($F$14-$I$4+VLOOKUP($R119,武学奇术!$A:$ZZ,15,FALSE)+SUM(_xlfn.XLOOKUP(S119:AG119,增益!$A:$A,增益!$O:$O,0)))/100)</f>
        <v>0</v>
      </c>
      <c r="BI119" s="32" cm="1">
        <f t="array" ref="BI119">$G$14+VLOOKUP($R119,武学奇术!$A:$ZZ,16,FALSE)+SUM(_xlfn.XLOOKUP(S119:AG119,增益!$A:$A,增益!$P:$P,0))</f>
        <v>0.27</v>
      </c>
      <c r="BJ119" s="26">
        <f>MIN(IF(VLOOKUP($R119,武学奇术!$A:$ZZ,23,FALSE)=1,100%,$B$8),100%)</f>
        <v>1</v>
      </c>
      <c r="BK119" s="26" cm="1">
        <f t="array" ref="BK119">IF(VLOOKUP($R119,武学奇术!$A:$ZZ,23,FALSE)=1,100%,MIN(80%,$B$9+VLOOKUP($R119,武学奇术!$A:$ZZ,17,FALSE)+SUM(_xlfn.XLOOKUP(S119:AG119,增益!$A:$A,增益!$Q:$Q,0)))+$B$11+SUM(_xlfn.XLOOKUP(S119:AG119,增益!$A:$A,增益!$U:$U,0)))*IF(VLOOKUP($R119,武学奇术!$A:$ZZ,24,FALSE)=1,0,1)</f>
        <v>1</v>
      </c>
      <c r="BL119" s="26" cm="1">
        <f t="array" ref="BL119">1+$B$13+VLOOKUP($R119,武学奇术!$A:$ZZ,18,FALSE)+SUM(_xlfn.XLOOKUP(S119:AG119,增益!$A:$A,增益!$R:$R,0))</f>
        <v>2.06</v>
      </c>
      <c r="BM119" s="26" cm="1">
        <f t="array" ref="BM119">IF(VLOOKUP($R119,武学奇术!$A:$ZZ,24,FALSE)=1,100%,MIN(40%,$B$10+VLOOKUP($R119,武学奇术!$A:$ZZ,19,FALSE)+SUM(_xlfn.XLOOKUP(S119:AG119,增益!$A:$A,增益!$S:$S,0)))+$B$12+SUM(_xlfn.XLOOKUP(S119:AG119,增益!$A:$A,增益!$V:$V,0)))*IF(VLOOKUP($R119,武学奇术!$A:$ZZ,23,FALSE)=1,0,1)</f>
        <v>0</v>
      </c>
      <c r="BN119" s="26" cm="1">
        <f t="array" ref="BN119">1+$B$14+VLOOKUP($R119,武学奇术!$A:$ZZ,20,FALSE)+SUM(_xlfn.XLOOKUP(S119:AG119,增益!$A:$A,增益!$T:$T,0))</f>
        <v>1.35</v>
      </c>
      <c r="BO119" s="26">
        <f t="shared" si="21"/>
        <v>1</v>
      </c>
      <c r="BP119" s="26">
        <f t="shared" si="22"/>
        <v>0</v>
      </c>
      <c r="BQ119" s="26">
        <f>IF(VLOOKUP($R119,武学奇术!$A:$ZZ,22,FALSE)=1,0,(1-$BJ119))*(1-$BM119)</f>
        <v>0</v>
      </c>
      <c r="BR119" s="26" cm="1">
        <f t="array" ref="BR119">SUM(_xlfn.XLOOKUP(S119:AG119,增益!$A:$A,增益!$W:$W,0))+$I$5</f>
        <v>0.11</v>
      </c>
    </row>
    <row r="120" spans="11:70">
      <c r="K120">
        <f>$L120*VLOOKUP($R120,武学奇术!$A:$ZZ,31,FALSE)</f>
        <v>74805.7554981562</v>
      </c>
      <c r="L120" s="38">
        <f t="shared" si="24"/>
        <v>71243.5766649106</v>
      </c>
      <c r="M120" s="38">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BL120*$Q120*(1+IF(VLOOKUP($R120,武学奇术!$A:$ZZ,30,FALSE)="回旋伞",$B$21,0))*(1+$BR120)</f>
        <v>71243.5766649106</v>
      </c>
      <c r="N120" s="38">
        <f>(($AP120*$AI120+$AJ120)*(1+$AQ120)*(1+$AR120)+($AU120*IF($G$1="鸣金",$AK120,$AI120)+IF($G$1="鸣金",$AL120*1.5,0))*(1+$AV120)*(1+$AW120)+($AY120*IF($G$1="裂石",$AK120,$AI120)+IF($G$1="裂石",$AL120*1.5,0))*(1+$AZ120)*(1+$BA120)+($BC120*IF($G$1="牵丝",$AK120,$AI120)+IF($G$1="牵丝",$AL120*1.5,0))*(1+$BD120)*(1+$BE120)+($BG120*IF($G$1="破竹",$AK120,$AI120)+IF($G$1="破竹",$AL120*1.5,0))*(1+$BH120)*(1+$BI120))*(1+$AM120)*$BN120*$Q120*(1+IF(VLOOKUP($R120,武学奇术!$A:$ZZ,30,FALSE)="回旋伞",$B$21,0))*(1+$BR120)</f>
        <v>53055.100543951</v>
      </c>
      <c r="O120" s="38">
        <f>((($AO120+$AP120)/2*$AI120+$AJ120)*(1+$AQ120)*(1+$AR120)+(($AT120+$AU120)/2*IF($G$1="鸣金",$AK120,$AI120)+IF($G$1="鸣金",$AL120*1.5,0))*(1+$AV120)*(1+$AW120)+(($AX120+$AY120)/2*IF($G$1="裂石",$AK120,$AI120)+IF($G$1="裂石",$AL120*1.5,0))*(1+$AZ120)*(1+$BA120)+(($BB120+$BC120)/2*IF($G$1="牵丝",$AK120,$AI120)+IF($G$1="牵丝",$AL120*1.5,0))*(1+$BD120)*(1+$BE120)+(($BF120+$BG120)/2*IF($G$1="破竹",$AK120,$AI120)+IF($G$1="破竹",$AL120*1.5,0))*(1+$BH120)*(1+$BI120))*(1+$AM120)*$Q120*(1+IF(VLOOKUP($R120,武学奇术!$A:$ZZ,30,FALSE)="回旋伞",$B$21,0))*(1+$BR120)</f>
        <v>34584.2605169469</v>
      </c>
      <c r="P120" s="38">
        <f>((($AO120*$AI120+$AJ120)*(1+$AQ120)*(1+$AR120)+($AT120*IF($G$1="鸣金",$AK120,$AI120)+IF($G$1="鸣金",$AL120*1.5,0))*(1+$AV120)*(1+$AW120)+($AX120*IF($G$1="裂石",$AK120,$AI120)+IF($G$1="裂石",$AL120*1.5,0))*(1+$AZ120)*(1+$BA120)+($BB120*IF($G$1="牵丝",$AK120,$AI120)+IF($G$1="牵丝",$AL120*1.5,0))*(1+$BD120)*(1+$BE120)+($BF120*IF($G$1="破竹",$AK120,$AI120)+IF($G$1="破竹",$AL120*1.5,0))*(1+$BH120)*(1+$BI120))*(1+$AM120))*$Q120*(1+IF(VLOOKUP($R120,武学奇术!$A:$ZZ,30,FALSE)="回旋伞",$B$21,0))*(1+$BR120)</f>
        <v>29868.4465568931</v>
      </c>
      <c r="Q120" s="39">
        <v>3</v>
      </c>
      <c r="R120" s="40" t="s">
        <v>132</v>
      </c>
      <c r="S120" s="40" t="s">
        <v>109</v>
      </c>
      <c r="T120" s="40" t="s">
        <v>95</v>
      </c>
      <c r="U120" s="40" t="s">
        <v>73</v>
      </c>
      <c r="V120" s="40" t="s">
        <v>72</v>
      </c>
      <c r="W120" s="40" t="s">
        <v>172</v>
      </c>
      <c r="X120" s="40" t="s">
        <v>99</v>
      </c>
      <c r="Y120" s="40" t="s">
        <v>72</v>
      </c>
      <c r="Z120" s="40" t="s">
        <v>72</v>
      </c>
      <c r="AA120" s="40" t="s">
        <v>72</v>
      </c>
      <c r="AB120" s="40" t="s">
        <v>126</v>
      </c>
      <c r="AC120" s="40" t="s">
        <v>72</v>
      </c>
      <c r="AD120" s="40" t="s">
        <v>72</v>
      </c>
      <c r="AE120" s="40" t="s">
        <v>72</v>
      </c>
      <c r="AF120" s="40" t="s">
        <v>72</v>
      </c>
      <c r="AG120" s="40" t="s">
        <v>78</v>
      </c>
      <c r="AH120" t="str">
        <f>VLOOKUP($R120,武学奇术!$A:$ZZ,25,FALSE)</f>
        <v>伞</v>
      </c>
      <c r="AI120" s="26">
        <f>VLOOKUP($R120,武学奇术!$A:$ZZ,26,FALSE)</f>
        <v>0.54</v>
      </c>
      <c r="AJ120" s="27">
        <f>VLOOKUP($R120,武学奇术!$A:$ZZ,27,FALSE)*(1+IF(OR($AH120=$F$4,$AH120=$F$5),$B$22,0))</f>
        <v>0</v>
      </c>
      <c r="AK120" s="26">
        <f>VLOOKUP($R120,武学奇术!$A:$ZZ,28,FALSE)</f>
        <v>0.81</v>
      </c>
      <c r="AL120" s="27">
        <f>VLOOKUP($R120,武学奇术!$A:$ZZ,29,FALSE)*(1+IF(OR($AH120=$F$4,$AH120=$F$5),$B$22,0))</f>
        <v>0</v>
      </c>
      <c r="AM120" s="26" cm="1">
        <f t="array" ref="AM120">$G$3+IFERROR(VLOOKUP($AH120,$F$4:$G$7,2,FALSE),0)+VLOOKUP($R120,武学奇术!$A:$ZZ,2,FALSE)+SUM(_xlfn.XLOOKUP($S120:$AG120,增益!$A:$A,增益!$B:$B,0))</f>
        <v>0.9741</v>
      </c>
      <c r="AN120" s="26" cm="1">
        <f t="array" ref="AN120">VLOOKUP($R120,武学奇术!$A:$ZZ,5,FALSE)+SUM(_xlfn.XLOOKUP($S120:$AG120,增益!$A:$A,增益!$E:$E,0))</f>
        <v>0</v>
      </c>
      <c r="AO120" cm="1">
        <f t="array" ref="AO120">$D$10*(1+$AN120)+VLOOKUP($R120,武学奇术!$A:$ZZ,3,FALSE)+SUM(_xlfn.XLOOKUP($S120:$AG120,增益!$A:$A,增益!$C:$C,0))-$I$2</f>
        <v>3562.6</v>
      </c>
      <c r="AP120" cm="1">
        <f t="array" ref="AP120">$E$10*(1+$AN120)+VLOOKUP($R120,武学奇术!$A:$ZZ,4,FALSE)+SUM(_xlfn.XLOOKUP($S120:$AG120,增益!$A:$A,增益!$D:$D,0))-$I$2</f>
        <v>3562.6</v>
      </c>
      <c r="AQ120" s="32" cm="1">
        <f t="array" ref="AQ120">IF($F$10-$I$3+VLOOKUP($R120,武学奇术!$A:$ZZ,6,FALSE)+SUM(_xlfn.XLOOKUP(S120:AG120,增益!$A:$A,增益!$F:$F,0))&gt;0,($F$10-$I$3+VLOOKUP($R120,武学奇术!$A:$ZZ,6,FALSE)+SUM(_xlfn.XLOOKUP(S120:AG120,增益!$A:$A,增益!$F:$F,0)))/200,($F$10-$I$3+VLOOKUP($R120,武学奇术!$A:$ZZ,6,FALSE)+SUM(_xlfn.XLOOKUP(S120:AG120,增益!$A:$A,增益!$F:$F,0)))/100)</f>
        <v>0.2925</v>
      </c>
      <c r="AR120" s="32" cm="1">
        <f t="array" ref="AR120">$G$10+VLOOKUP($R120,武学奇术!$A:$ZZ,7,FALSE)+SUM(_xlfn.XLOOKUP(S120:AG120,增益!$A:$A,增益!$G:$G,0))</f>
        <v>0.148</v>
      </c>
      <c r="AS120" s="26" cm="1">
        <f t="array" ref="AS120">VLOOKUP($R120,武学奇术!$A:$ZZ,8,FALSE)+SUM(_xlfn.XLOOKUP(S120:AG120,增益!$A:$A,增益!$H:$H,0))</f>
        <v>0</v>
      </c>
      <c r="AT120">
        <f t="shared" si="13"/>
        <v>0</v>
      </c>
      <c r="AU120">
        <f t="shared" si="14"/>
        <v>0</v>
      </c>
      <c r="AV120" s="32" cm="1">
        <f t="array" ref="AV120">IF($F$11-$I$4+VLOOKUP($R120,武学奇术!$A:$ZZ,9,FALSE)+SUM(_xlfn.XLOOKUP(S120:AG120,增益!$A:$A,增益!$I:$I,0))&gt;0,($F$11-$I$4+VLOOKUP($R120,武学奇术!$A:$ZZ,9,FALSE)+SUM(_xlfn.XLOOKUP(S120:AG120,增益!$A:$A,增益!$I:$I,0)))/200,($F$11-$I$4+VLOOKUP($R120,武学奇术!$A:$ZZ,9,FALSE)+SUM(_xlfn.XLOOKUP(S120:AG120,增益!$A:$A,增益!$I:$I,0)))/100)</f>
        <v>-0.3</v>
      </c>
      <c r="AW120" s="32" cm="1">
        <f t="array" ref="AW120">$G$11+VLOOKUP($R120,武学奇术!$A:$ZZ,10,FALSE)+SUM(_xlfn.XLOOKUP(S120:AG120,增益!$A:$A,增益!$J:$J,0))</f>
        <v>0</v>
      </c>
      <c r="AX120">
        <f t="shared" si="15"/>
        <v>0</v>
      </c>
      <c r="AY120">
        <f t="shared" si="16"/>
        <v>0</v>
      </c>
      <c r="AZ120" s="32" cm="1">
        <f t="array" ref="AZ120">IF($F$12-$I$4+VLOOKUP($R120,武学奇术!$A:$ZZ,11,FALSE)+SUM(_xlfn.XLOOKUP(S120:AG120,增益!$A:$A,增益!$K:$K,0))&gt;0,($F$12-$I$4+VLOOKUP($R120,武学奇术!$A:$ZZ,11,FALSE)+SUM(_xlfn.XLOOKUP(S120:AG120,增益!$A:$A,增益!$K:$K,0)))/200,($F$12-$I$4+VLOOKUP($R120,武学奇术!$A:$ZZ,11,FALSE)+SUM(_xlfn.XLOOKUP(S120:AG120,增益!$A:$A,增益!$K:$K,0)))/100)</f>
        <v>-0.3</v>
      </c>
      <c r="BA120" s="32" cm="1">
        <f t="array" ref="BA120">$G$12+VLOOKUP($R120,武学奇术!$A:$ZZ,12,FALSE)+SUM(_xlfn.XLOOKUP(S120:AG120,增益!$A:$A,增益!$L:$L,0))</f>
        <v>0</v>
      </c>
      <c r="BB120">
        <f t="shared" si="17"/>
        <v>0</v>
      </c>
      <c r="BC120">
        <f t="shared" si="18"/>
        <v>0</v>
      </c>
      <c r="BD120" s="32" cm="1">
        <f t="array" ref="BD120">IF($F$13-$I$4+VLOOKUP($R120,武学奇术!$A:$ZZ,13,FALSE)+SUM(_xlfn.XLOOKUP(S120:AG120,增益!$A:$A,增益!$M:$M,0))&gt;0,($F$13-$I$4+VLOOKUP($R120,武学奇术!$A:$ZZ,13,FALSE)+SUM(_xlfn.XLOOKUP(S120:AG120,增益!$A:$A,增益!$K:$K,0)))/200,($F$13-$I$4+VLOOKUP($R120,武学奇术!$A:$ZZ,13,FALSE)+SUM(_xlfn.XLOOKUP(S120:AG120,增益!$A:$A,增益!$M:$M,0)))/100)</f>
        <v>-0.3</v>
      </c>
      <c r="BE120" s="32" cm="1">
        <f t="array" ref="BE120">$G$13+VLOOKUP($R120,武学奇术!$A:$ZZ,14,FALSE)+SUM(_xlfn.XLOOKUP(S120:AG120,增益!$A:$A,增益!$N:$N,0))</f>
        <v>0</v>
      </c>
      <c r="BF120">
        <f t="shared" si="19"/>
        <v>571.2</v>
      </c>
      <c r="BG120">
        <f t="shared" si="20"/>
        <v>1627.8</v>
      </c>
      <c r="BH120" s="32" cm="1">
        <f t="array" ref="BH120">IF($F$14-$I$4+VLOOKUP($R120,武学奇术!$A:$ZZ,15,FALSE)+SUM(_xlfn.XLOOKUP(S120:AG120,增益!$A:$A,增益!$O:$O,0))&gt;0,($F$14-$I$4+VLOOKUP($R120,武学奇术!$A:$ZZ,15,FALSE)+SUM(_xlfn.XLOOKUP(S120:AG120,增益!$A:$A,增益!$O:$O,0)))/200,($F$14-$I$4+VLOOKUP($R120,武学奇术!$A:$ZZ,15,FALSE)+SUM(_xlfn.XLOOKUP(S120:AG120,增益!$A:$A,增益!$O:$O,0)))/100)</f>
        <v>0</v>
      </c>
      <c r="BI120" s="32" cm="1">
        <f t="array" ref="BI120">$G$14+VLOOKUP($R120,武学奇术!$A:$ZZ,16,FALSE)+SUM(_xlfn.XLOOKUP(S120:AG120,增益!$A:$A,增益!$P:$P,0))</f>
        <v>0.27</v>
      </c>
      <c r="BJ120" s="26">
        <f>MIN(IF(VLOOKUP($R120,武学奇术!$A:$ZZ,23,FALSE)=1,100%,$B$8),100%)</f>
        <v>1</v>
      </c>
      <c r="BK120" s="26" cm="1">
        <f t="array" ref="BK120">IF(VLOOKUP($R120,武学奇术!$A:$ZZ,23,FALSE)=1,100%,MIN(80%,$B$9+VLOOKUP($R120,武学奇术!$A:$ZZ,17,FALSE)+SUM(_xlfn.XLOOKUP(S120:AG120,增益!$A:$A,增益!$Q:$Q,0)))+$B$11+SUM(_xlfn.XLOOKUP(S120:AG120,增益!$A:$A,增益!$U:$U,0)))*IF(VLOOKUP($R120,武学奇术!$A:$ZZ,24,FALSE)=1,0,1)</f>
        <v>1</v>
      </c>
      <c r="BL120" s="26" cm="1">
        <f t="array" ref="BL120">1+$B$13+VLOOKUP($R120,武学奇术!$A:$ZZ,18,FALSE)+SUM(_xlfn.XLOOKUP(S120:AG120,增益!$A:$A,增益!$R:$R,0))</f>
        <v>2.06</v>
      </c>
      <c r="BM120" s="26" cm="1">
        <f t="array" ref="BM120">IF(VLOOKUP($R120,武学奇术!$A:$ZZ,24,FALSE)=1,100%,MIN(40%,$B$10+VLOOKUP($R120,武学奇术!$A:$ZZ,19,FALSE)+SUM(_xlfn.XLOOKUP(S120:AG120,增益!$A:$A,增益!$S:$S,0)))+$B$12+SUM(_xlfn.XLOOKUP(S120:AG120,增益!$A:$A,增益!$V:$V,0)))*IF(VLOOKUP($R120,武学奇术!$A:$ZZ,23,FALSE)=1,0,1)</f>
        <v>0</v>
      </c>
      <c r="BN120" s="26" cm="1">
        <f t="array" ref="BN120">1+$B$14+VLOOKUP($R120,武学奇术!$A:$ZZ,20,FALSE)+SUM(_xlfn.XLOOKUP(S120:AG120,增益!$A:$A,增益!$T:$T,0))</f>
        <v>1.35</v>
      </c>
      <c r="BO120" s="26">
        <f t="shared" si="21"/>
        <v>1</v>
      </c>
      <c r="BP120" s="26">
        <f t="shared" si="22"/>
        <v>0</v>
      </c>
      <c r="BQ120" s="26">
        <f>IF(VLOOKUP($R120,武学奇术!$A:$ZZ,22,FALSE)=1,0,(1-$BJ120))*(1-$BM120)</f>
        <v>0</v>
      </c>
      <c r="BR120" s="26" cm="1">
        <f t="array" ref="BR120">SUM(_xlfn.XLOOKUP(S120:AG120,增益!$A:$A,增益!$W:$W,0))+$I$5</f>
        <v>0.11</v>
      </c>
    </row>
    <row r="121" spans="11:70">
      <c r="K121">
        <f>$L121*VLOOKUP($R121,武学奇术!$A:$ZZ,31,FALSE)</f>
        <v>142077.052459893</v>
      </c>
      <c r="L121" s="38">
        <f t="shared" si="24"/>
        <v>135311.478533231</v>
      </c>
      <c r="M121" s="38">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BL121*$Q121*(1+IF(VLOOKUP($R121,武学奇术!$A:$ZZ,30,FALSE)="回旋伞",$B$21,0))*(1+$BR121)</f>
        <v>144788.976568532</v>
      </c>
      <c r="N121" s="38">
        <f>(($AP121*$AI121+$AJ121)*(1+$AQ121)*(1+$AR121)+($AU121*IF($G$1="鸣金",$AK121,$AI121)+IF($G$1="鸣金",$AL121*1.5,0))*(1+$AV121)*(1+$AW121)+($AY121*IF($G$1="裂石",$AK121,$AI121)+IF($G$1="裂石",$AL121*1.5,0))*(1+$AZ121)*(1+$BA121)+($BC121*IF($G$1="牵丝",$AK121,$AI121)+IF($G$1="牵丝",$AL121*1.5,0))*(1+$BD121)*(1+$BE121)+($BG121*IF($G$1="破竹",$AK121,$AI121)+IF($G$1="破竹",$AL121*1.5,0))*(1+$BH121)*(1+$BI121))*(1+$AM121)*$BN121*$Q121*(1+IF(VLOOKUP($R121,武学奇术!$A:$ZZ,30,FALSE)="回旋伞",$B$21,0))*(1+$BR121)</f>
        <v>106219.454559383</v>
      </c>
      <c r="O121" s="38">
        <f>((($AO121+$AP121)/2*$AI121+$AJ121)*(1+$AQ121)*(1+$AR121)+(($AT121+$AU121)/2*IF($G$1="鸣金",$AK121,$AI121)+IF($G$1="鸣金",$AL121*1.5,0))*(1+$AV121)*(1+$AW121)+(($AX121+$AY121)/2*IF($G$1="裂石",$AK121,$AI121)+IF($G$1="裂石",$AL121*1.5,0))*(1+$AZ121)*(1+$BA121)+(($BB121+$BC121)/2*IF($G$1="牵丝",$AK121,$AI121)+IF($G$1="牵丝",$AL121*1.5,0))*(1+$BD121)*(1+$BE121)+(($BF121+$BG121)/2*IF($G$1="破竹",$AK121,$AI121)+IF($G$1="破竹",$AL121*1.5,0))*(1+$BH121)*(1+$BI121))*(1+$AM121)*$Q121*(1+IF(VLOOKUP($R121,武学奇术!$A:$ZZ,30,FALSE)="回旋伞",$B$21,0))*(1+$BR121)</f>
        <v>70285.910955598</v>
      </c>
      <c r="P121" s="38">
        <f>((($AO121*$AI121+$AJ121)*(1+$AQ121)*(1+$AR121)+($AT121*IF($G$1="鸣金",$AK121,$AI121)+IF($G$1="鸣金",$AL121*1.5,0))*(1+$AV121)*(1+$AW121)+($AX121*IF($G$1="裂石",$AK121,$AI121)+IF($G$1="裂石",$AL121*1.5,0))*(1+$AZ121)*(1+$BA121)+($BB121*IF($G$1="牵丝",$AK121,$AI121)+IF($G$1="牵丝",$AL121*1.5,0))*(1+$BD121)*(1+$BE121)+($BF121*IF($G$1="破竹",$AK121,$AI121)+IF($G$1="破竹",$AL121*1.5,0))*(1+$BH121)*(1+$BI121))*(1+$AM121))*$Q121*(1+IF(VLOOKUP($R121,武学奇术!$A:$ZZ,30,FALSE)="回旋伞",$B$21,0))*(1+$BR121)</f>
        <v>61890.7444598013</v>
      </c>
      <c r="Q121" s="39">
        <v>2</v>
      </c>
      <c r="R121" s="40" t="s">
        <v>108</v>
      </c>
      <c r="S121" s="40" t="s">
        <v>109</v>
      </c>
      <c r="T121" s="40" t="s">
        <v>95</v>
      </c>
      <c r="U121" s="40" t="s">
        <v>73</v>
      </c>
      <c r="V121" s="40" t="s">
        <v>72</v>
      </c>
      <c r="W121" s="40" t="s">
        <v>172</v>
      </c>
      <c r="X121" s="40" t="s">
        <v>99</v>
      </c>
      <c r="Y121" s="40" t="s">
        <v>72</v>
      </c>
      <c r="Z121" s="40" t="s">
        <v>72</v>
      </c>
      <c r="AA121" s="40" t="s">
        <v>72</v>
      </c>
      <c r="AB121" s="40" t="s">
        <v>126</v>
      </c>
      <c r="AC121" s="40" t="s">
        <v>72</v>
      </c>
      <c r="AD121" s="40" t="s">
        <v>72</v>
      </c>
      <c r="AE121" s="40" t="s">
        <v>72</v>
      </c>
      <c r="AF121" s="40" t="s">
        <v>72</v>
      </c>
      <c r="AG121" s="40" t="s">
        <v>78</v>
      </c>
      <c r="AH121" t="str">
        <f>VLOOKUP($R121,武学奇术!$A:$ZZ,25,FALSE)</f>
        <v>伞</v>
      </c>
      <c r="AI121" s="26">
        <f>VLOOKUP($R121,武学奇术!$A:$ZZ,26,FALSE)</f>
        <v>1.8084</v>
      </c>
      <c r="AJ121" s="27">
        <f>VLOOKUP($R121,武学奇术!$A:$ZZ,27,FALSE)*(1+IF(OR($AH121=$F$4,$AH121=$F$5),$B$22,0))</f>
        <v>750</v>
      </c>
      <c r="AK121" s="26">
        <f>VLOOKUP($R121,武学奇术!$A:$ZZ,28,FALSE)</f>
        <v>2.7126</v>
      </c>
      <c r="AL121" s="27">
        <f>VLOOKUP($R121,武学奇术!$A:$ZZ,29,FALSE)*(1+IF(OR($AH121=$F$4,$AH121=$F$5),$B$22,0))</f>
        <v>408</v>
      </c>
      <c r="AM121" s="26" cm="1">
        <f t="array" ref="AM121">$G$3+IFERROR(VLOOKUP($AH121,$F$4:$G$7,2,FALSE),0)+VLOOKUP($R121,武学奇术!$A:$ZZ,2,FALSE)+SUM(_xlfn.XLOOKUP($S121:$AG121,增益!$A:$A,增益!$B:$B,0))</f>
        <v>0.5741</v>
      </c>
      <c r="AN121" s="26" cm="1">
        <f t="array" ref="AN121">VLOOKUP($R121,武学奇术!$A:$ZZ,5,FALSE)+SUM(_xlfn.XLOOKUP($S121:$AG121,增益!$A:$A,增益!$E:$E,0))</f>
        <v>0</v>
      </c>
      <c r="AO121" cm="1">
        <f t="array" ref="AO121">$D$10*(1+$AN121)+VLOOKUP($R121,武学奇术!$A:$ZZ,3,FALSE)+SUM(_xlfn.XLOOKUP($S121:$AG121,增益!$A:$A,增益!$C:$C,0))-$I$2</f>
        <v>3562.6</v>
      </c>
      <c r="AP121" cm="1">
        <f t="array" ref="AP121">$E$10*(1+$AN121)+VLOOKUP($R121,武学奇术!$A:$ZZ,4,FALSE)+SUM(_xlfn.XLOOKUP($S121:$AG121,增益!$A:$A,增益!$D:$D,0))-$I$2</f>
        <v>3562.6</v>
      </c>
      <c r="AQ121" s="32" cm="1">
        <f t="array" ref="AQ121">IF($F$10-$I$3+VLOOKUP($R121,武学奇术!$A:$ZZ,6,FALSE)+SUM(_xlfn.XLOOKUP(S121:AG121,增益!$A:$A,增益!$F:$F,0))&gt;0,($F$10-$I$3+VLOOKUP($R121,武学奇术!$A:$ZZ,6,FALSE)+SUM(_xlfn.XLOOKUP(S121:AG121,增益!$A:$A,增益!$F:$F,0)))/200,($F$10-$I$3+VLOOKUP($R121,武学奇术!$A:$ZZ,6,FALSE)+SUM(_xlfn.XLOOKUP(S121:AG121,增益!$A:$A,增益!$F:$F,0)))/100)</f>
        <v>0.2925</v>
      </c>
      <c r="AR121" s="32" cm="1">
        <f t="array" ref="AR121">$G$10+VLOOKUP($R121,武学奇术!$A:$ZZ,7,FALSE)+SUM(_xlfn.XLOOKUP(S121:AG121,增益!$A:$A,增益!$G:$G,0))</f>
        <v>0.148</v>
      </c>
      <c r="AS121" s="26" cm="1">
        <f t="array" ref="AS121">VLOOKUP($R121,武学奇术!$A:$ZZ,8,FALSE)+SUM(_xlfn.XLOOKUP(S121:AG121,增益!$A:$A,增益!$H:$H,0))</f>
        <v>0</v>
      </c>
      <c r="AT121">
        <f t="shared" si="13"/>
        <v>0</v>
      </c>
      <c r="AU121">
        <f t="shared" si="14"/>
        <v>0</v>
      </c>
      <c r="AV121" s="32" cm="1">
        <f t="array" ref="AV121">IF($F$11-$I$4+VLOOKUP($R121,武学奇术!$A:$ZZ,9,FALSE)+SUM(_xlfn.XLOOKUP(S121:AG121,增益!$A:$A,增益!$I:$I,0))&gt;0,($F$11-$I$4+VLOOKUP($R121,武学奇术!$A:$ZZ,9,FALSE)+SUM(_xlfn.XLOOKUP(S121:AG121,增益!$A:$A,增益!$I:$I,0)))/200,($F$11-$I$4+VLOOKUP($R121,武学奇术!$A:$ZZ,9,FALSE)+SUM(_xlfn.XLOOKUP(S121:AG121,增益!$A:$A,增益!$I:$I,0)))/100)</f>
        <v>-0.3</v>
      </c>
      <c r="AW121" s="32" cm="1">
        <f t="array" ref="AW121">$G$11+VLOOKUP($R121,武学奇术!$A:$ZZ,10,FALSE)+SUM(_xlfn.XLOOKUP(S121:AG121,增益!$A:$A,增益!$J:$J,0))</f>
        <v>0</v>
      </c>
      <c r="AX121">
        <f t="shared" si="15"/>
        <v>0</v>
      </c>
      <c r="AY121">
        <f t="shared" si="16"/>
        <v>0</v>
      </c>
      <c r="AZ121" s="32" cm="1">
        <f t="array" ref="AZ121">IF($F$12-$I$4+VLOOKUP($R121,武学奇术!$A:$ZZ,11,FALSE)+SUM(_xlfn.XLOOKUP(S121:AG121,增益!$A:$A,增益!$K:$K,0))&gt;0,($F$12-$I$4+VLOOKUP($R121,武学奇术!$A:$ZZ,11,FALSE)+SUM(_xlfn.XLOOKUP(S121:AG121,增益!$A:$A,增益!$K:$K,0)))/200,($F$12-$I$4+VLOOKUP($R121,武学奇术!$A:$ZZ,11,FALSE)+SUM(_xlfn.XLOOKUP(S121:AG121,增益!$A:$A,增益!$K:$K,0)))/100)</f>
        <v>-0.3</v>
      </c>
      <c r="BA121" s="32" cm="1">
        <f t="array" ref="BA121">$G$12+VLOOKUP($R121,武学奇术!$A:$ZZ,12,FALSE)+SUM(_xlfn.XLOOKUP(S121:AG121,增益!$A:$A,增益!$L:$L,0))</f>
        <v>0</v>
      </c>
      <c r="BB121">
        <f t="shared" si="17"/>
        <v>0</v>
      </c>
      <c r="BC121">
        <f t="shared" si="18"/>
        <v>0</v>
      </c>
      <c r="BD121" s="32" cm="1">
        <f t="array" ref="BD121">IF($F$13-$I$4+VLOOKUP($R121,武学奇术!$A:$ZZ,13,FALSE)+SUM(_xlfn.XLOOKUP(S121:AG121,增益!$A:$A,增益!$M:$M,0))&gt;0,($F$13-$I$4+VLOOKUP($R121,武学奇术!$A:$ZZ,13,FALSE)+SUM(_xlfn.XLOOKUP(S121:AG121,增益!$A:$A,增益!$K:$K,0)))/200,($F$13-$I$4+VLOOKUP($R121,武学奇术!$A:$ZZ,13,FALSE)+SUM(_xlfn.XLOOKUP(S121:AG121,增益!$A:$A,增益!$M:$M,0)))/100)</f>
        <v>-0.3</v>
      </c>
      <c r="BE121" s="32" cm="1">
        <f t="array" ref="BE121">$G$13+VLOOKUP($R121,武学奇术!$A:$ZZ,14,FALSE)+SUM(_xlfn.XLOOKUP(S121:AG121,增益!$A:$A,增益!$N:$N,0))</f>
        <v>0</v>
      </c>
      <c r="BF121">
        <f t="shared" si="19"/>
        <v>571.2</v>
      </c>
      <c r="BG121">
        <f t="shared" si="20"/>
        <v>1627.8</v>
      </c>
      <c r="BH121" s="32" cm="1">
        <f t="array" ref="BH121">IF($F$14-$I$4+VLOOKUP($R121,武学奇术!$A:$ZZ,15,FALSE)+SUM(_xlfn.XLOOKUP(S121:AG121,增益!$A:$A,增益!$O:$O,0))&gt;0,($F$14-$I$4+VLOOKUP($R121,武学奇术!$A:$ZZ,15,FALSE)+SUM(_xlfn.XLOOKUP(S121:AG121,增益!$A:$A,增益!$O:$O,0)))/200,($F$14-$I$4+VLOOKUP($R121,武学奇术!$A:$ZZ,15,FALSE)+SUM(_xlfn.XLOOKUP(S121:AG121,增益!$A:$A,增益!$O:$O,0)))/100)</f>
        <v>0</v>
      </c>
      <c r="BI121" s="32" cm="1">
        <f t="array" ref="BI121">$G$14+VLOOKUP($R121,武学奇术!$A:$ZZ,16,FALSE)+SUM(_xlfn.XLOOKUP(S121:AG121,增益!$A:$A,增益!$P:$P,0))</f>
        <v>0.27</v>
      </c>
      <c r="BJ121" s="26">
        <f>MIN(IF(VLOOKUP($R121,武学奇术!$A:$ZZ,23,FALSE)=1,100%,$B$8),100%)</f>
        <v>0.981</v>
      </c>
      <c r="BK121" s="26" cm="1">
        <f t="array" ref="BK121">IF(VLOOKUP($R121,武学奇术!$A:$ZZ,23,FALSE)=1,100%,MIN(80%,$B$9+VLOOKUP($R121,武学奇术!$A:$ZZ,17,FALSE)+SUM(_xlfn.XLOOKUP(S121:AG121,增益!$A:$A,增益!$Q:$Q,0)))+$B$11+SUM(_xlfn.XLOOKUP(S121:AG121,增益!$A:$A,增益!$U:$U,0)))*IF(VLOOKUP($R121,武学奇术!$A:$ZZ,24,FALSE)=1,0,1)</f>
        <v>0.846</v>
      </c>
      <c r="BL121" s="26" cm="1">
        <f t="array" ref="BL121">1+$B$13+VLOOKUP($R121,武学奇术!$A:$ZZ,18,FALSE)+SUM(_xlfn.XLOOKUP(S121:AG121,增益!$A:$A,增益!$R:$R,0))</f>
        <v>2.06</v>
      </c>
      <c r="BM121" s="26" cm="1">
        <f t="array" ref="BM121">IF(VLOOKUP($R121,武学奇术!$A:$ZZ,24,FALSE)=1,100%,MIN(40%,$B$10+VLOOKUP($R121,武学奇术!$A:$ZZ,19,FALSE)+SUM(_xlfn.XLOOKUP(S121:AG121,增益!$A:$A,增益!$S:$S,0)))+$B$12+SUM(_xlfn.XLOOKUP(S121:AG121,增益!$A:$A,增益!$V:$V,0)))*IF(VLOOKUP($R121,武学奇术!$A:$ZZ,23,FALSE)=1,0,1)</f>
        <v>0.0929</v>
      </c>
      <c r="BN121" s="26" cm="1">
        <f t="array" ref="BN121">1+$B$14+VLOOKUP($R121,武学奇术!$A:$ZZ,20,FALSE)+SUM(_xlfn.XLOOKUP(S121:AG121,增益!$A:$A,增益!$T:$T,0))</f>
        <v>1.35</v>
      </c>
      <c r="BO121" s="26">
        <f t="shared" si="21"/>
        <v>0.829926</v>
      </c>
      <c r="BP121" s="26">
        <f t="shared" si="22"/>
        <v>0.0599391</v>
      </c>
      <c r="BQ121" s="26">
        <f>IF(VLOOKUP($R121,武学奇术!$A:$ZZ,22,FALSE)=1,0,(1-$BJ121))*(1-$BM121)</f>
        <v>0.0172349</v>
      </c>
      <c r="BR121" s="26" cm="1">
        <f t="array" ref="BR121">SUM(_xlfn.XLOOKUP(S121:AG121,增益!$A:$A,增益!$W:$W,0))+$I$5</f>
        <v>0.11</v>
      </c>
    </row>
    <row r="122" spans="11:70">
      <c r="K122">
        <f>$L122*VLOOKUP($R122,武学奇术!$A:$ZZ,31,FALSE)</f>
        <v>83848.3304078536</v>
      </c>
      <c r="L122" s="38">
        <f t="shared" si="24"/>
        <v>79855.5527693844</v>
      </c>
      <c r="M122" s="38">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BL122*$Q122*(1+IF(VLOOKUP($R122,武学奇术!$A:$ZZ,30,FALSE)="回旋伞",$B$21,0))*(1+$BR122)</f>
        <v>85367.664158329</v>
      </c>
      <c r="N122" s="38">
        <f>(($AP122*$AI122+$AJ122)*(1+$AQ122)*(1+$AR122)+($AU122*IF($G$1="鸣金",$AK122,$AI122)+IF($G$1="鸣金",$AL122*1.5,0))*(1+$AV122)*(1+$AW122)+($AY122*IF($G$1="裂石",$AK122,$AI122)+IF($G$1="裂石",$AL122*1.5,0))*(1+$AZ122)*(1+$BA122)+($BC122*IF($G$1="牵丝",$AK122,$AI122)+IF($G$1="牵丝",$AL122*1.5,0))*(1+$BD122)*(1+$BE122)+($BG122*IF($G$1="破竹",$AK122,$AI122)+IF($G$1="破竹",$AL122*1.5,0))*(1+$BH122)*(1+$BI122))*(1+$AM122)*$BN122*$Q122*(1+IF(VLOOKUP($R122,武学奇术!$A:$ZZ,30,FALSE)="回旋伞",$B$21,0))*(1+$BR122)</f>
        <v>63573.3102848714</v>
      </c>
      <c r="O122" s="38">
        <f>((($AO122+$AP122)/2*$AI122+$AJ122)*(1+$AQ122)*(1+$AR122)+(($AT122+$AU122)/2*IF($G$1="鸣金",$AK122,$AI122)+IF($G$1="鸣金",$AL122*1.5,0))*(1+$AV122)*(1+$AW122)+(($AX122+$AY122)/2*IF($G$1="裂石",$AK122,$AI122)+IF($G$1="裂石",$AL122*1.5,0))*(1+$AZ122)*(1+$BA122)+(($BB122+$BC122)/2*IF($G$1="牵丝",$AK122,$AI122)+IF($G$1="牵丝",$AL122*1.5,0))*(1+$BD122)*(1+$BE122)+(($BF122+$BG122)/2*IF($G$1="破竹",$AK122,$AI122)+IF($G$1="破竹",$AL122*1.5,0))*(1+$BH122)*(1+$BI122))*(1+$AM122)*$Q122*(1+IF(VLOOKUP($R122,武学奇术!$A:$ZZ,30,FALSE)="回旋伞",$B$21,0))*(1+$BR122)</f>
        <v>41440.6136690917</v>
      </c>
      <c r="P122" s="38">
        <f>((($AO122*$AI122+$AJ122)*(1+$AQ122)*(1+$AR122)+($AT122*IF($G$1="鸣金",$AK122,$AI122)+IF($G$1="鸣金",$AL122*1.5,0))*(1+$AV122)*(1+$AW122)+($AX122*IF($G$1="裂石",$AK122,$AI122)+IF($G$1="裂石",$AL122*1.5,0))*(1+$AZ122)*(1+$BA122)+($BB122*IF($G$1="牵丝",$AK122,$AI122)+IF($G$1="牵丝",$AL122*1.5,0))*(1+$BD122)*(1+$BE122)+($BF122*IF($G$1="破竹",$AK122,$AI122)+IF($G$1="破竹",$AL122*1.5,0))*(1+$BH122)*(1+$BI122))*(1+$AM122))*$Q122*(1+IF(VLOOKUP($R122,武学奇术!$A:$ZZ,30,FALSE)="回旋伞",$B$21,0))*(1+$BR122)</f>
        <v>35789.8863864269</v>
      </c>
      <c r="Q122" s="39">
        <v>4</v>
      </c>
      <c r="R122" s="40" t="s">
        <v>112</v>
      </c>
      <c r="S122" s="40" t="s">
        <v>109</v>
      </c>
      <c r="T122" s="40" t="s">
        <v>95</v>
      </c>
      <c r="U122" s="40" t="s">
        <v>73</v>
      </c>
      <c r="V122" s="40" t="s">
        <v>72</v>
      </c>
      <c r="W122" s="40" t="s">
        <v>172</v>
      </c>
      <c r="X122" s="40" t="s">
        <v>99</v>
      </c>
      <c r="Y122" s="40" t="s">
        <v>72</v>
      </c>
      <c r="Z122" s="40" t="s">
        <v>72</v>
      </c>
      <c r="AA122" s="40" t="s">
        <v>72</v>
      </c>
      <c r="AB122" s="40" t="s">
        <v>126</v>
      </c>
      <c r="AC122" s="40" t="s">
        <v>72</v>
      </c>
      <c r="AD122" s="40" t="s">
        <v>72</v>
      </c>
      <c r="AE122" s="40" t="s">
        <v>72</v>
      </c>
      <c r="AF122" s="40" t="s">
        <v>72</v>
      </c>
      <c r="AG122" s="40" t="s">
        <v>78</v>
      </c>
      <c r="AH122" t="str">
        <f>VLOOKUP($R122,武学奇术!$A:$ZZ,25,FALSE)</f>
        <v>伞</v>
      </c>
      <c r="AI122" s="26">
        <f>VLOOKUP($R122,武学奇术!$A:$ZZ,26,FALSE)</f>
        <v>0.54</v>
      </c>
      <c r="AJ122" s="27">
        <f>VLOOKUP($R122,武学奇术!$A:$ZZ,27,FALSE)*(1+IF(OR($AH122=$F$4,$AH122=$F$5),$B$22,0))</f>
        <v>0</v>
      </c>
      <c r="AK122" s="26">
        <f>VLOOKUP($R122,武学奇术!$A:$ZZ,28,FALSE)</f>
        <v>0.81</v>
      </c>
      <c r="AL122" s="27">
        <f>VLOOKUP($R122,武学奇术!$A:$ZZ,29,FALSE)*(1+IF(OR($AH122=$F$4,$AH122=$F$5),$B$22,0))</f>
        <v>0</v>
      </c>
      <c r="AM122" s="26" cm="1">
        <f t="array" ref="AM122">$G$3+IFERROR(VLOOKUP($AH122,$F$4:$G$7,2,FALSE),0)+VLOOKUP($R122,武学奇术!$A:$ZZ,2,FALSE)+SUM(_xlfn.XLOOKUP($S122:$AG122,增益!$A:$A,增益!$B:$B,0))</f>
        <v>0.7741</v>
      </c>
      <c r="AN122" s="26" cm="1">
        <f t="array" ref="AN122">VLOOKUP($R122,武学奇术!$A:$ZZ,5,FALSE)+SUM(_xlfn.XLOOKUP($S122:$AG122,增益!$A:$A,增益!$E:$E,0))</f>
        <v>0</v>
      </c>
      <c r="AO122" cm="1">
        <f t="array" ref="AO122">$D$10*(1+$AN122)+VLOOKUP($R122,武学奇术!$A:$ZZ,3,FALSE)+SUM(_xlfn.XLOOKUP($S122:$AG122,增益!$A:$A,增益!$C:$C,0))-$I$2</f>
        <v>3562.6</v>
      </c>
      <c r="AP122" cm="1">
        <f t="array" ref="AP122">$E$10*(1+$AN122)+VLOOKUP($R122,武学奇术!$A:$ZZ,4,FALSE)+SUM(_xlfn.XLOOKUP($S122:$AG122,增益!$A:$A,增益!$D:$D,0))-$I$2</f>
        <v>3562.6</v>
      </c>
      <c r="AQ122" s="32" cm="1">
        <f t="array" ref="AQ122">IF($F$10-$I$3+VLOOKUP($R122,武学奇术!$A:$ZZ,6,FALSE)+SUM(_xlfn.XLOOKUP(S122:AG122,增益!$A:$A,增益!$F:$F,0))&gt;0,($F$10-$I$3+VLOOKUP($R122,武学奇术!$A:$ZZ,6,FALSE)+SUM(_xlfn.XLOOKUP(S122:AG122,增益!$A:$A,增益!$F:$F,0)))/200,($F$10-$I$3+VLOOKUP($R122,武学奇术!$A:$ZZ,6,FALSE)+SUM(_xlfn.XLOOKUP(S122:AG122,增益!$A:$A,增益!$F:$F,0)))/100)</f>
        <v>0.2925</v>
      </c>
      <c r="AR122" s="32" cm="1">
        <f t="array" ref="AR122">$G$10+VLOOKUP($R122,武学奇术!$A:$ZZ,7,FALSE)+SUM(_xlfn.XLOOKUP(S122:AG122,增益!$A:$A,增益!$G:$G,0))</f>
        <v>0.148</v>
      </c>
      <c r="AS122" s="26" cm="1">
        <f t="array" ref="AS122">VLOOKUP($R122,武学奇术!$A:$ZZ,8,FALSE)+SUM(_xlfn.XLOOKUP(S122:AG122,增益!$A:$A,增益!$H:$H,0))</f>
        <v>0</v>
      </c>
      <c r="AT122">
        <f t="shared" si="13"/>
        <v>0</v>
      </c>
      <c r="AU122">
        <f t="shared" si="14"/>
        <v>0</v>
      </c>
      <c r="AV122" s="32" cm="1">
        <f t="array" ref="AV122">IF($F$11-$I$4+VLOOKUP($R122,武学奇术!$A:$ZZ,9,FALSE)+SUM(_xlfn.XLOOKUP(S122:AG122,增益!$A:$A,增益!$I:$I,0))&gt;0,($F$11-$I$4+VLOOKUP($R122,武学奇术!$A:$ZZ,9,FALSE)+SUM(_xlfn.XLOOKUP(S122:AG122,增益!$A:$A,增益!$I:$I,0)))/200,($F$11-$I$4+VLOOKUP($R122,武学奇术!$A:$ZZ,9,FALSE)+SUM(_xlfn.XLOOKUP(S122:AG122,增益!$A:$A,增益!$I:$I,0)))/100)</f>
        <v>-0.3</v>
      </c>
      <c r="AW122" s="32" cm="1">
        <f t="array" ref="AW122">$G$11+VLOOKUP($R122,武学奇术!$A:$ZZ,10,FALSE)+SUM(_xlfn.XLOOKUP(S122:AG122,增益!$A:$A,增益!$J:$J,0))</f>
        <v>0</v>
      </c>
      <c r="AX122">
        <f t="shared" si="15"/>
        <v>0</v>
      </c>
      <c r="AY122">
        <f t="shared" si="16"/>
        <v>0</v>
      </c>
      <c r="AZ122" s="32" cm="1">
        <f t="array" ref="AZ122">IF($F$12-$I$4+VLOOKUP($R122,武学奇术!$A:$ZZ,11,FALSE)+SUM(_xlfn.XLOOKUP(S122:AG122,增益!$A:$A,增益!$K:$K,0))&gt;0,($F$12-$I$4+VLOOKUP($R122,武学奇术!$A:$ZZ,11,FALSE)+SUM(_xlfn.XLOOKUP(S122:AG122,增益!$A:$A,增益!$K:$K,0)))/200,($F$12-$I$4+VLOOKUP($R122,武学奇术!$A:$ZZ,11,FALSE)+SUM(_xlfn.XLOOKUP(S122:AG122,增益!$A:$A,增益!$K:$K,0)))/100)</f>
        <v>-0.3</v>
      </c>
      <c r="BA122" s="32" cm="1">
        <f t="array" ref="BA122">$G$12+VLOOKUP($R122,武学奇术!$A:$ZZ,12,FALSE)+SUM(_xlfn.XLOOKUP(S122:AG122,增益!$A:$A,增益!$L:$L,0))</f>
        <v>0</v>
      </c>
      <c r="BB122">
        <f t="shared" si="17"/>
        <v>0</v>
      </c>
      <c r="BC122">
        <f t="shared" si="18"/>
        <v>0</v>
      </c>
      <c r="BD122" s="32" cm="1">
        <f t="array" ref="BD122">IF($F$13-$I$4+VLOOKUP($R122,武学奇术!$A:$ZZ,13,FALSE)+SUM(_xlfn.XLOOKUP(S122:AG122,增益!$A:$A,增益!$M:$M,0))&gt;0,($F$13-$I$4+VLOOKUP($R122,武学奇术!$A:$ZZ,13,FALSE)+SUM(_xlfn.XLOOKUP(S122:AG122,增益!$A:$A,增益!$K:$K,0)))/200,($F$13-$I$4+VLOOKUP($R122,武学奇术!$A:$ZZ,13,FALSE)+SUM(_xlfn.XLOOKUP(S122:AG122,增益!$A:$A,增益!$M:$M,0)))/100)</f>
        <v>-0.3</v>
      </c>
      <c r="BE122" s="32" cm="1">
        <f t="array" ref="BE122">$G$13+VLOOKUP($R122,武学奇术!$A:$ZZ,14,FALSE)+SUM(_xlfn.XLOOKUP(S122:AG122,增益!$A:$A,增益!$N:$N,0))</f>
        <v>0</v>
      </c>
      <c r="BF122">
        <f t="shared" si="19"/>
        <v>571.2</v>
      </c>
      <c r="BG122">
        <f t="shared" si="20"/>
        <v>1627.8</v>
      </c>
      <c r="BH122" s="32" cm="1">
        <f t="array" ref="BH122">IF($F$14-$I$4+VLOOKUP($R122,武学奇术!$A:$ZZ,15,FALSE)+SUM(_xlfn.XLOOKUP(S122:AG122,增益!$A:$A,增益!$O:$O,0))&gt;0,($F$14-$I$4+VLOOKUP($R122,武学奇术!$A:$ZZ,15,FALSE)+SUM(_xlfn.XLOOKUP(S122:AG122,增益!$A:$A,增益!$O:$O,0)))/200,($F$14-$I$4+VLOOKUP($R122,武学奇术!$A:$ZZ,15,FALSE)+SUM(_xlfn.XLOOKUP(S122:AG122,增益!$A:$A,增益!$O:$O,0)))/100)</f>
        <v>0</v>
      </c>
      <c r="BI122" s="32" cm="1">
        <f t="array" ref="BI122">$G$14+VLOOKUP($R122,武学奇术!$A:$ZZ,16,FALSE)+SUM(_xlfn.XLOOKUP(S122:AG122,增益!$A:$A,增益!$P:$P,0))</f>
        <v>0.27</v>
      </c>
      <c r="BJ122" s="26">
        <f>MIN(IF(VLOOKUP($R122,武学奇术!$A:$ZZ,23,FALSE)=1,100%,$B$8),100%)</f>
        <v>0.981</v>
      </c>
      <c r="BK122" s="26" cm="1">
        <f t="array" ref="BK122">IF(VLOOKUP($R122,武学奇术!$A:$ZZ,23,FALSE)=1,100%,MIN(80%,$B$9+VLOOKUP($R122,武学奇术!$A:$ZZ,17,FALSE)+SUM(_xlfn.XLOOKUP(S122:AG122,增益!$A:$A,增益!$Q:$Q,0)))+$B$11+SUM(_xlfn.XLOOKUP(S122:AG122,增益!$A:$A,增益!$U:$U,0)))*IF(VLOOKUP($R122,武学奇术!$A:$ZZ,24,FALSE)=1,0,1)</f>
        <v>0.846</v>
      </c>
      <c r="BL122" s="26" cm="1">
        <f t="array" ref="BL122">1+$B$13+VLOOKUP($R122,武学奇术!$A:$ZZ,18,FALSE)+SUM(_xlfn.XLOOKUP(S122:AG122,增益!$A:$A,增益!$R:$R,0))</f>
        <v>2.06</v>
      </c>
      <c r="BM122" s="26" cm="1">
        <f t="array" ref="BM122">IF(VLOOKUP($R122,武学奇术!$A:$ZZ,24,FALSE)=1,100%,MIN(40%,$B$10+VLOOKUP($R122,武学奇术!$A:$ZZ,19,FALSE)+SUM(_xlfn.XLOOKUP(S122:AG122,增益!$A:$A,增益!$S:$S,0)))+$B$12+SUM(_xlfn.XLOOKUP(S122:AG122,增益!$A:$A,增益!$V:$V,0)))*IF(VLOOKUP($R122,武学奇术!$A:$ZZ,23,FALSE)=1,0,1)</f>
        <v>0.0929</v>
      </c>
      <c r="BN122" s="26" cm="1">
        <f t="array" ref="BN122">1+$B$14+VLOOKUP($R122,武学奇术!$A:$ZZ,20,FALSE)+SUM(_xlfn.XLOOKUP(S122:AG122,增益!$A:$A,增益!$T:$T,0))</f>
        <v>1.35</v>
      </c>
      <c r="BO122" s="26">
        <f t="shared" si="21"/>
        <v>0.829926</v>
      </c>
      <c r="BP122" s="26">
        <f t="shared" si="22"/>
        <v>0.0599391</v>
      </c>
      <c r="BQ122" s="26">
        <f>IF(VLOOKUP($R122,武学奇术!$A:$ZZ,22,FALSE)=1,0,(1-$BJ122))*(1-$BM122)</f>
        <v>0.0172349</v>
      </c>
      <c r="BR122" s="26" cm="1">
        <f t="array" ref="BR122">SUM(_xlfn.XLOOKUP(S122:AG122,增益!$A:$A,增益!$W:$W,0))+$I$5</f>
        <v>0.11</v>
      </c>
    </row>
    <row r="123" spans="11:70">
      <c r="K123">
        <f>$L123*VLOOKUP($R123,武学奇术!$A:$ZZ,31,FALSE)</f>
        <v>179607.28502014</v>
      </c>
      <c r="L123" s="38">
        <f t="shared" si="24"/>
        <v>171054.557162038</v>
      </c>
      <c r="M123" s="38">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BL123*$Q123*(1+IF(VLOOKUP($R123,武学奇术!$A:$ZZ,30,FALSE)="回旋伞",$B$21,0))*(1+$BR123)</f>
        <v>181300.124547846</v>
      </c>
      <c r="N123" s="38">
        <f>(($AP123*$AI123+$AJ123)*(1+$AQ123)*(1+$AR123)+($AU123*IF($G$1="鸣金",$AK123,$AI123)+IF($G$1="鸣金",$AL123*1.5,0))*(1+$AV123)*(1+$AW123)+($AY123*IF($G$1="裂石",$AK123,$AI123)+IF($G$1="裂石",$AL123*1.5,0))*(1+$AZ123)*(1+$BA123)+($BC123*IF($G$1="牵丝",$AK123,$AI123)+IF($G$1="牵丝",$AL123*1.5,0))*(1+$BD123)*(1+$BE123)+($BG123*IF($G$1="破竹",$AK123,$AI123)+IF($G$1="破竹",$AL123*1.5,0))*(1+$BH123)*(1+$BI123))*(1+$AM123)*$BN123*$Q123*(1+IF(VLOOKUP($R123,武学奇术!$A:$ZZ,30,FALSE)="回旋伞",$B$21,0))*(1+$BR123)</f>
        <v>145100.938896838</v>
      </c>
      <c r="O123" s="38">
        <f>((($AO123+$AP123)/2*$AI123+$AJ123)*(1+$AQ123)*(1+$AR123)+(($AT123+$AU123)/2*IF($G$1="鸣金",$AK123,$AI123)+IF($G$1="鸣金",$AL123*1.5,0))*(1+$AV123)*(1+$AW123)+(($AX123+$AY123)/2*IF($G$1="裂石",$AK123,$AI123)+IF($G$1="裂石",$AL123*1.5,0))*(1+$AZ123)*(1+$BA123)+(($BB123+$BC123)/2*IF($G$1="牵丝",$AK123,$AI123)+IF($G$1="牵丝",$AL123*1.5,0))*(1+$BD123)*(1+$BE123)+(($BF123+$BG123)/2*IF($G$1="破竹",$AK123,$AI123)+IF($G$1="破竹",$AL123*1.5,0))*(1+$BH123)*(1+$BI123))*(1+$AM123)*$Q123*(1+IF(VLOOKUP($R123,武学奇术!$A:$ZZ,30,FALSE)="回旋伞",$B$21,0))*(1+$BR123)</f>
        <v>94921.5311768825</v>
      </c>
      <c r="P123" s="38">
        <f>((($AO123*$AI123+$AJ123)*(1+$AQ123)*(1+$AR123)+($AT123*IF($G$1="鸣金",$AK123,$AI123)+IF($G$1="鸣金",$AL123*1.5,0))*(1+$AV123)*(1+$AW123)+($AX123*IF($G$1="裂石",$AK123,$AI123)+IF($G$1="裂石",$AL123*1.5,0))*(1+$AZ123)*(1+$BA123)+($BB123*IF($G$1="牵丝",$AK123,$AI123)+IF($G$1="牵丝",$AL123*1.5,0))*(1+$BD123)*(1+$BE123)+($BF123*IF($G$1="破竹",$AK123,$AI123)+IF($G$1="破竹",$AL123*1.5,0))*(1+$BH123)*(1+$BI123))*(1+$AM123))*$Q123*(1+IF(VLOOKUP($R123,武学奇术!$A:$ZZ,30,FALSE)="回旋伞",$B$21,0))*(1+$BR123)</f>
        <v>82360.8853931445</v>
      </c>
      <c r="Q123" s="39">
        <v>1</v>
      </c>
      <c r="R123" s="40" t="s">
        <v>185</v>
      </c>
      <c r="S123" s="40" t="s">
        <v>72</v>
      </c>
      <c r="T123" s="40" t="s">
        <v>95</v>
      </c>
      <c r="U123" s="40" t="s">
        <v>73</v>
      </c>
      <c r="V123" s="40" t="s">
        <v>72</v>
      </c>
      <c r="W123" s="40" t="s">
        <v>172</v>
      </c>
      <c r="X123" s="40" t="s">
        <v>99</v>
      </c>
      <c r="Y123" s="40" t="s">
        <v>72</v>
      </c>
      <c r="Z123" s="40" t="s">
        <v>72</v>
      </c>
      <c r="AA123" s="40" t="s">
        <v>72</v>
      </c>
      <c r="AB123" s="40" t="s">
        <v>72</v>
      </c>
      <c r="AC123" s="40" t="s">
        <v>72</v>
      </c>
      <c r="AD123" s="40" t="s">
        <v>72</v>
      </c>
      <c r="AE123" s="40" t="s">
        <v>72</v>
      </c>
      <c r="AF123" s="40" t="s">
        <v>72</v>
      </c>
      <c r="AG123" s="40" t="s">
        <v>78</v>
      </c>
      <c r="AH123" t="str">
        <f>VLOOKUP($R123,武学奇术!$A:$ZZ,25,FALSE)</f>
        <v>群体奇术</v>
      </c>
      <c r="AI123" s="26">
        <f>VLOOKUP($R123,武学奇术!$A:$ZZ,26,FALSE)</f>
        <v>10.315755</v>
      </c>
      <c r="AJ123" s="27">
        <f>VLOOKUP($R123,武学奇术!$A:$ZZ,27,FALSE)*(1+IF(OR($AH123=$F$4,$AH123=$F$5),$B$22,0))</f>
        <v>1992.6</v>
      </c>
      <c r="AK123" s="26">
        <f>VLOOKUP($R123,武学奇术!$A:$ZZ,28,FALSE)</f>
        <v>15.4736325</v>
      </c>
      <c r="AL123" s="27">
        <f>VLOOKUP($R123,武学奇术!$A:$ZZ,29,FALSE)*(1+IF(OR($AH123=$F$4,$AH123=$F$5),$B$22,0))</f>
        <v>0</v>
      </c>
      <c r="AM123" s="26" cm="1">
        <f t="array" ref="AM123">$G$3+IFERROR(VLOOKUP($AH123,$F$4:$G$7,2,FALSE),0)+VLOOKUP($R123,武学奇术!$A:$ZZ,2,FALSE)+SUM(_xlfn.XLOOKUP($S123:$AG123,增益!$A:$A,增益!$B:$B,0))</f>
        <v>0.2037</v>
      </c>
      <c r="AN123" s="26" cm="1">
        <f t="array" ref="AN123">VLOOKUP($R123,武学奇术!$A:$ZZ,5,FALSE)+SUM(_xlfn.XLOOKUP($S123:$AG123,增益!$A:$A,增益!$E:$E,0))</f>
        <v>0</v>
      </c>
      <c r="AO123" cm="1">
        <f t="array" ref="AO123">$D$10*(1+$AN123)+VLOOKUP($R123,武学奇术!$A:$ZZ,3,FALSE)+SUM(_xlfn.XLOOKUP($S123:$AG123,增益!$A:$A,增益!$C:$C,0))-$I$2</f>
        <v>3562.6</v>
      </c>
      <c r="AP123" cm="1">
        <f t="array" ref="AP123">$E$10*(1+$AN123)+VLOOKUP($R123,武学奇术!$A:$ZZ,4,FALSE)+SUM(_xlfn.XLOOKUP($S123:$AG123,增益!$A:$A,增益!$D:$D,0))-$I$2</f>
        <v>3562.6</v>
      </c>
      <c r="AQ123" s="32" cm="1">
        <f t="array" ref="AQ123">IF($F$10-$I$3+VLOOKUP($R123,武学奇术!$A:$ZZ,6,FALSE)+SUM(_xlfn.XLOOKUP(S123:AG123,增益!$A:$A,增益!$F:$F,0))&gt;0,($F$10-$I$3+VLOOKUP($R123,武学奇术!$A:$ZZ,6,FALSE)+SUM(_xlfn.XLOOKUP(S123:AG123,增益!$A:$A,增益!$F:$F,0)))/200,($F$10-$I$3+VLOOKUP($R123,武学奇术!$A:$ZZ,6,FALSE)+SUM(_xlfn.XLOOKUP(S123:AG123,增益!$A:$A,增益!$F:$F,0)))/100)</f>
        <v>0.2925</v>
      </c>
      <c r="AR123" s="32" cm="1">
        <f t="array" ref="AR123">$G$10+VLOOKUP($R123,武学奇术!$A:$ZZ,7,FALSE)+SUM(_xlfn.XLOOKUP(S123:AG123,增益!$A:$A,增益!$G:$G,0))</f>
        <v>0.028</v>
      </c>
      <c r="AS123" s="26" cm="1">
        <f t="array" ref="AS123">VLOOKUP($R123,武学奇术!$A:$ZZ,8,FALSE)+SUM(_xlfn.XLOOKUP(S123:AG123,增益!$A:$A,增益!$H:$H,0))</f>
        <v>0</v>
      </c>
      <c r="AT123">
        <f t="shared" si="13"/>
        <v>0</v>
      </c>
      <c r="AU123">
        <f t="shared" si="14"/>
        <v>0</v>
      </c>
      <c r="AV123" s="32" cm="1">
        <f t="array" ref="AV123">IF($F$11-$I$4+VLOOKUP($R123,武学奇术!$A:$ZZ,9,FALSE)+SUM(_xlfn.XLOOKUP(S123:AG123,增益!$A:$A,增益!$I:$I,0))&gt;0,($F$11-$I$4+VLOOKUP($R123,武学奇术!$A:$ZZ,9,FALSE)+SUM(_xlfn.XLOOKUP(S123:AG123,增益!$A:$A,增益!$I:$I,0)))/200,($F$11-$I$4+VLOOKUP($R123,武学奇术!$A:$ZZ,9,FALSE)+SUM(_xlfn.XLOOKUP(S123:AG123,增益!$A:$A,增益!$I:$I,0)))/100)</f>
        <v>-0.3</v>
      </c>
      <c r="AW123" s="32" cm="1">
        <f t="array" ref="AW123">$G$11+VLOOKUP($R123,武学奇术!$A:$ZZ,10,FALSE)+SUM(_xlfn.XLOOKUP(S123:AG123,增益!$A:$A,增益!$J:$J,0))</f>
        <v>0</v>
      </c>
      <c r="AX123">
        <f t="shared" si="15"/>
        <v>0</v>
      </c>
      <c r="AY123">
        <f t="shared" si="16"/>
        <v>0</v>
      </c>
      <c r="AZ123" s="32" cm="1">
        <f t="array" ref="AZ123">IF($F$12-$I$4+VLOOKUP($R123,武学奇术!$A:$ZZ,11,FALSE)+SUM(_xlfn.XLOOKUP(S123:AG123,增益!$A:$A,增益!$K:$K,0))&gt;0,($F$12-$I$4+VLOOKUP($R123,武学奇术!$A:$ZZ,11,FALSE)+SUM(_xlfn.XLOOKUP(S123:AG123,增益!$A:$A,增益!$K:$K,0)))/200,($F$12-$I$4+VLOOKUP($R123,武学奇术!$A:$ZZ,11,FALSE)+SUM(_xlfn.XLOOKUP(S123:AG123,增益!$A:$A,增益!$K:$K,0)))/100)</f>
        <v>-0.3</v>
      </c>
      <c r="BA123" s="32" cm="1">
        <f t="array" ref="BA123">$G$12+VLOOKUP($R123,武学奇术!$A:$ZZ,12,FALSE)+SUM(_xlfn.XLOOKUP(S123:AG123,增益!$A:$A,增益!$L:$L,0))</f>
        <v>0</v>
      </c>
      <c r="BB123">
        <f t="shared" si="17"/>
        <v>0</v>
      </c>
      <c r="BC123">
        <f t="shared" si="18"/>
        <v>0</v>
      </c>
      <c r="BD123" s="32" cm="1">
        <f t="array" ref="BD123">IF($F$13-$I$4+VLOOKUP($R123,武学奇术!$A:$ZZ,13,FALSE)+SUM(_xlfn.XLOOKUP(S123:AG123,增益!$A:$A,增益!$M:$M,0))&gt;0,($F$13-$I$4+VLOOKUP($R123,武学奇术!$A:$ZZ,13,FALSE)+SUM(_xlfn.XLOOKUP(S123:AG123,增益!$A:$A,增益!$K:$K,0)))/200,($F$13-$I$4+VLOOKUP($R123,武学奇术!$A:$ZZ,13,FALSE)+SUM(_xlfn.XLOOKUP(S123:AG123,增益!$A:$A,增益!$M:$M,0)))/100)</f>
        <v>-0.3</v>
      </c>
      <c r="BE123" s="32" cm="1">
        <f t="array" ref="BE123">$G$13+VLOOKUP($R123,武学奇术!$A:$ZZ,14,FALSE)+SUM(_xlfn.XLOOKUP(S123:AG123,增益!$A:$A,增益!$N:$N,0))</f>
        <v>0</v>
      </c>
      <c r="BF123">
        <f t="shared" si="19"/>
        <v>571.2</v>
      </c>
      <c r="BG123">
        <f t="shared" si="20"/>
        <v>1627.8</v>
      </c>
      <c r="BH123" s="32" cm="1">
        <f t="array" ref="BH123">IF($F$14-$I$4+VLOOKUP($R123,武学奇术!$A:$ZZ,15,FALSE)+SUM(_xlfn.XLOOKUP(S123:AG123,增益!$A:$A,增益!$O:$O,0))&gt;0,($F$14-$I$4+VLOOKUP($R123,武学奇术!$A:$ZZ,15,FALSE)+SUM(_xlfn.XLOOKUP(S123:AG123,增益!$A:$A,增益!$O:$O,0)))/200,($F$14-$I$4+VLOOKUP($R123,武学奇术!$A:$ZZ,15,FALSE)+SUM(_xlfn.XLOOKUP(S123:AG123,增益!$A:$A,增益!$O:$O,0)))/100)</f>
        <v>0</v>
      </c>
      <c r="BI123" s="32" cm="1">
        <f t="array" ref="BI123">$G$14+VLOOKUP($R123,武学奇术!$A:$ZZ,16,FALSE)+SUM(_xlfn.XLOOKUP(S123:AG123,增益!$A:$A,增益!$P:$P,0))</f>
        <v>0.15</v>
      </c>
      <c r="BJ123" s="26">
        <f>MIN(IF(VLOOKUP($R123,武学奇术!$A:$ZZ,23,FALSE)=1,100%,$B$8),100%)</f>
        <v>0.981</v>
      </c>
      <c r="BK123" s="26" cm="1">
        <f t="array" ref="BK123">IF(VLOOKUP($R123,武学奇术!$A:$ZZ,23,FALSE)=1,100%,MIN(80%,$B$9+VLOOKUP($R123,武学奇术!$A:$ZZ,17,FALSE)+SUM(_xlfn.XLOOKUP(S123:AG123,增益!$A:$A,增益!$Q:$Q,0)))+$B$11+SUM(_xlfn.XLOOKUP(S123:AG123,增益!$A:$A,增益!$U:$U,0)))*IF(VLOOKUP($R123,武学奇术!$A:$ZZ,24,FALSE)=1,0,1)</f>
        <v>0.846</v>
      </c>
      <c r="BL123" s="26" cm="1">
        <f t="array" ref="BL123">1+$B$13+VLOOKUP($R123,武学奇术!$A:$ZZ,18,FALSE)+SUM(_xlfn.XLOOKUP(S123:AG123,增益!$A:$A,增益!$R:$R,0))</f>
        <v>1.91</v>
      </c>
      <c r="BM123" s="26" cm="1">
        <f t="array" ref="BM123">IF(VLOOKUP($R123,武学奇术!$A:$ZZ,24,FALSE)=1,100%,MIN(40%,$B$10+VLOOKUP($R123,武学奇术!$A:$ZZ,19,FALSE)+SUM(_xlfn.XLOOKUP(S123:AG123,增益!$A:$A,增益!$S:$S,0)))+$B$12+SUM(_xlfn.XLOOKUP(S123:AG123,增益!$A:$A,增益!$V:$V,0)))*IF(VLOOKUP($R123,武学奇术!$A:$ZZ,23,FALSE)=1,0,1)</f>
        <v>0.0929</v>
      </c>
      <c r="BN123" s="26" cm="1">
        <f t="array" ref="BN123">1+$B$14+VLOOKUP($R123,武学奇术!$A:$ZZ,20,FALSE)+SUM(_xlfn.XLOOKUP(S123:AG123,增益!$A:$A,增益!$T:$T,0))</f>
        <v>1.35</v>
      </c>
      <c r="BO123" s="26">
        <f t="shared" si="21"/>
        <v>0.829926</v>
      </c>
      <c r="BP123" s="26">
        <f t="shared" si="22"/>
        <v>0.0599391</v>
      </c>
      <c r="BQ123" s="26">
        <f>IF(VLOOKUP($R123,武学奇术!$A:$ZZ,22,FALSE)=1,0,(1-$BJ123))*(1-$BM123)</f>
        <v>0.0172349</v>
      </c>
      <c r="BR123" s="26" cm="1">
        <f t="array" ref="BR123">SUM(_xlfn.XLOOKUP(S123:AG123,增益!$A:$A,增益!$W:$W,0))+$I$5</f>
        <v>0.11</v>
      </c>
    </row>
    <row r="124" spans="11:70">
      <c r="K124">
        <f>$L124*VLOOKUP($R124,武学奇术!$A:$ZZ,31,FALSE)</f>
        <v>123750.583332029</v>
      </c>
      <c r="L124" s="38">
        <f t="shared" si="24"/>
        <v>117857.698411456</v>
      </c>
      <c r="M124" s="38">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BL124*$Q124*(1+IF(VLOOKUP($R124,武学奇术!$A:$ZZ,30,FALSE)="回旋伞",$B$21,0))*(1+$BR124)</f>
        <v>124916.851256081</v>
      </c>
      <c r="N124" s="38">
        <f>(($AP124*$AI124+$AJ124)*(1+$AQ124)*(1+$AR124)+($AU124*IF($G$1="鸣金",$AK124,$AI124)+IF($G$1="鸣金",$AL124*1.5,0))*(1+$AV124)*(1+$AW124)+($AY124*IF($G$1="裂石",$AK124,$AI124)+IF($G$1="裂石",$AL124*1.5,0))*(1+$AZ124)*(1+$BA124)+($BC124*IF($G$1="牵丝",$AK124,$AI124)+IF($G$1="牵丝",$AL124*1.5,0))*(1+$BD124)*(1+$BE124)+($BG124*IF($G$1="破竹",$AK124,$AI124)+IF($G$1="破竹",$AL124*1.5,0))*(1+$BH124)*(1+$BI124))*(1+$AM124)*$BN124*$Q124*(1+IF(VLOOKUP($R124,武学奇术!$A:$ZZ,30,FALSE)="回旋伞",$B$21,0))*(1+$BR124)</f>
        <v>99976.6886382989</v>
      </c>
      <c r="O124" s="38">
        <f>((($AO124+$AP124)/2*$AI124+$AJ124)*(1+$AQ124)*(1+$AR124)+(($AT124+$AU124)/2*IF($G$1="鸣金",$AK124,$AI124)+IF($G$1="鸣金",$AL124*1.5,0))*(1+$AV124)*(1+$AW124)+(($AX124+$AY124)/2*IF($G$1="裂石",$AK124,$AI124)+IF($G$1="裂石",$AL124*1.5,0))*(1+$AZ124)*(1+$BA124)+(($BB124+$BC124)/2*IF($G$1="牵丝",$AK124,$AI124)+IF($G$1="牵丝",$AL124*1.5,0))*(1+$BD124)*(1+$BE124)+(($BF124+$BG124)/2*IF($G$1="破竹",$AK124,$AI124)+IF($G$1="破竹",$AL124*1.5,0))*(1+$BH124)*(1+$BI124))*(1+$AM124)*$Q124*(1+IF(VLOOKUP($R124,武学奇术!$A:$ZZ,30,FALSE)="回旋伞",$B$21,0))*(1+$BR124)</f>
        <v>65401.492804231</v>
      </c>
      <c r="P124" s="38">
        <f>((($AO124*$AI124+$AJ124)*(1+$AQ124)*(1+$AR124)+($AT124*IF($G$1="鸣金",$AK124,$AI124)+IF($G$1="鸣金",$AL124*1.5,0))*(1+$AV124)*(1+$AW124)+($AX124*IF($G$1="裂石",$AK124,$AI124)+IF($G$1="裂石",$AL124*1.5,0))*(1+$AZ124)*(1+$BA124)+($BB124*IF($G$1="牵丝",$AK124,$AI124)+IF($G$1="牵丝",$AL124*1.5,0))*(1+$BD124)*(1+$BE124)+($BF124*IF($G$1="破竹",$AK124,$AI124)+IF($G$1="破竹",$AL124*1.5,0))*(1+$BH124)*(1+$BI124))*(1+$AM124))*$Q124*(1+IF(VLOOKUP($R124,武学奇术!$A:$ZZ,30,FALSE)="回旋伞",$B$21,0))*(1+$BR124)</f>
        <v>56746.1792097221</v>
      </c>
      <c r="Q124" s="39">
        <v>1</v>
      </c>
      <c r="R124" s="40" t="s">
        <v>182</v>
      </c>
      <c r="S124" s="40" t="s">
        <v>72</v>
      </c>
      <c r="T124" s="40" t="s">
        <v>95</v>
      </c>
      <c r="U124" s="40" t="s">
        <v>73</v>
      </c>
      <c r="V124" s="40" t="s">
        <v>72</v>
      </c>
      <c r="W124" s="40" t="s">
        <v>172</v>
      </c>
      <c r="X124" s="40" t="s">
        <v>99</v>
      </c>
      <c r="Y124" s="40" t="s">
        <v>72</v>
      </c>
      <c r="Z124" s="40" t="s">
        <v>72</v>
      </c>
      <c r="AA124" s="40" t="s">
        <v>72</v>
      </c>
      <c r="AB124" s="40" t="s">
        <v>72</v>
      </c>
      <c r="AC124" s="40" t="s">
        <v>72</v>
      </c>
      <c r="AD124" s="40" t="s">
        <v>72</v>
      </c>
      <c r="AE124" s="40" t="s">
        <v>72</v>
      </c>
      <c r="AF124" s="40" t="s">
        <v>72</v>
      </c>
      <c r="AG124" s="40" t="s">
        <v>78</v>
      </c>
      <c r="AH124" t="str">
        <f>VLOOKUP($R124,武学奇术!$A:$ZZ,25,FALSE)</f>
        <v>单体奇术</v>
      </c>
      <c r="AI124" s="26">
        <f>VLOOKUP($R124,武学奇术!$A:$ZZ,26,FALSE)</f>
        <v>7.1084</v>
      </c>
      <c r="AJ124" s="27">
        <f>VLOOKUP($R124,武学奇术!$A:$ZZ,27,FALSE)*(1+IF(OR($AH124=$F$4,$AH124=$F$5),$B$22,0))</f>
        <v>1369</v>
      </c>
      <c r="AK124" s="26">
        <f>VLOOKUP($R124,武学奇术!$A:$ZZ,28,FALSE)</f>
        <v>10.6626</v>
      </c>
      <c r="AL124" s="27">
        <f>VLOOKUP($R124,武学奇术!$A:$ZZ,29,FALSE)*(1+IF(OR($AH124=$F$4,$AH124=$F$5),$B$22,0))</f>
        <v>0</v>
      </c>
      <c r="AM124" s="26" cm="1">
        <f t="array" ref="AM124">$G$3+IFERROR(VLOOKUP($AH124,$F$4:$G$7,2,FALSE),0)+VLOOKUP($R124,武学奇术!$A:$ZZ,2,FALSE)+SUM(_xlfn.XLOOKUP($S124:$AG124,增益!$A:$A,增益!$B:$B,0))</f>
        <v>0.2037</v>
      </c>
      <c r="AN124" s="26" cm="1">
        <f t="array" ref="AN124">VLOOKUP($R124,武学奇术!$A:$ZZ,5,FALSE)+SUM(_xlfn.XLOOKUP($S124:$AG124,增益!$A:$A,增益!$E:$E,0))</f>
        <v>0</v>
      </c>
      <c r="AO124" cm="1">
        <f t="array" ref="AO124">$D$10*(1+$AN124)+VLOOKUP($R124,武学奇术!$A:$ZZ,3,FALSE)+SUM(_xlfn.XLOOKUP($S124:$AG124,增益!$A:$A,增益!$C:$C,0))-$I$2</f>
        <v>3562.6</v>
      </c>
      <c r="AP124" cm="1">
        <f t="array" ref="AP124">$E$10*(1+$AN124)+VLOOKUP($R124,武学奇术!$A:$ZZ,4,FALSE)+SUM(_xlfn.XLOOKUP($S124:$AG124,增益!$A:$A,增益!$D:$D,0))-$I$2</f>
        <v>3562.6</v>
      </c>
      <c r="AQ124" s="32" cm="1">
        <f t="array" ref="AQ124">IF($F$10-$I$3+VLOOKUP($R124,武学奇术!$A:$ZZ,6,FALSE)+SUM(_xlfn.XLOOKUP(S124:AG124,增益!$A:$A,增益!$F:$F,0))&gt;0,($F$10-$I$3+VLOOKUP($R124,武学奇术!$A:$ZZ,6,FALSE)+SUM(_xlfn.XLOOKUP(S124:AG124,增益!$A:$A,增益!$F:$F,0)))/200,($F$10-$I$3+VLOOKUP($R124,武学奇术!$A:$ZZ,6,FALSE)+SUM(_xlfn.XLOOKUP(S124:AG124,增益!$A:$A,增益!$F:$F,0)))/100)</f>
        <v>0.2925</v>
      </c>
      <c r="AR124" s="32" cm="1">
        <f t="array" ref="AR124">$G$10+VLOOKUP($R124,武学奇术!$A:$ZZ,7,FALSE)+SUM(_xlfn.XLOOKUP(S124:AG124,增益!$A:$A,增益!$G:$G,0))</f>
        <v>0.028</v>
      </c>
      <c r="AS124" s="26" cm="1">
        <f t="array" ref="AS124">VLOOKUP($R124,武学奇术!$A:$ZZ,8,FALSE)+SUM(_xlfn.XLOOKUP(S124:AG124,增益!$A:$A,增益!$H:$H,0))</f>
        <v>0</v>
      </c>
      <c r="AT124">
        <f t="shared" si="13"/>
        <v>0</v>
      </c>
      <c r="AU124">
        <f t="shared" si="14"/>
        <v>0</v>
      </c>
      <c r="AV124" s="32" cm="1">
        <f t="array" ref="AV124">IF($F$11-$I$4+VLOOKUP($R124,武学奇术!$A:$ZZ,9,FALSE)+SUM(_xlfn.XLOOKUP(S124:AG124,增益!$A:$A,增益!$I:$I,0))&gt;0,($F$11-$I$4+VLOOKUP($R124,武学奇术!$A:$ZZ,9,FALSE)+SUM(_xlfn.XLOOKUP(S124:AG124,增益!$A:$A,增益!$I:$I,0)))/200,($F$11-$I$4+VLOOKUP($R124,武学奇术!$A:$ZZ,9,FALSE)+SUM(_xlfn.XLOOKUP(S124:AG124,增益!$A:$A,增益!$I:$I,0)))/100)</f>
        <v>-0.3</v>
      </c>
      <c r="AW124" s="32" cm="1">
        <f t="array" ref="AW124">$G$11+VLOOKUP($R124,武学奇术!$A:$ZZ,10,FALSE)+SUM(_xlfn.XLOOKUP(S124:AG124,增益!$A:$A,增益!$J:$J,0))</f>
        <v>0</v>
      </c>
      <c r="AX124">
        <f t="shared" si="15"/>
        <v>0</v>
      </c>
      <c r="AY124">
        <f t="shared" si="16"/>
        <v>0</v>
      </c>
      <c r="AZ124" s="32" cm="1">
        <f t="array" ref="AZ124">IF($F$12-$I$4+VLOOKUP($R124,武学奇术!$A:$ZZ,11,FALSE)+SUM(_xlfn.XLOOKUP(S124:AG124,增益!$A:$A,增益!$K:$K,0))&gt;0,($F$12-$I$4+VLOOKUP($R124,武学奇术!$A:$ZZ,11,FALSE)+SUM(_xlfn.XLOOKUP(S124:AG124,增益!$A:$A,增益!$K:$K,0)))/200,($F$12-$I$4+VLOOKUP($R124,武学奇术!$A:$ZZ,11,FALSE)+SUM(_xlfn.XLOOKUP(S124:AG124,增益!$A:$A,增益!$K:$K,0)))/100)</f>
        <v>-0.3</v>
      </c>
      <c r="BA124" s="32" cm="1">
        <f t="array" ref="BA124">$G$12+VLOOKUP($R124,武学奇术!$A:$ZZ,12,FALSE)+SUM(_xlfn.XLOOKUP(S124:AG124,增益!$A:$A,增益!$L:$L,0))</f>
        <v>0</v>
      </c>
      <c r="BB124">
        <f t="shared" si="17"/>
        <v>0</v>
      </c>
      <c r="BC124">
        <f t="shared" si="18"/>
        <v>0</v>
      </c>
      <c r="BD124" s="32" cm="1">
        <f t="array" ref="BD124">IF($F$13-$I$4+VLOOKUP($R124,武学奇术!$A:$ZZ,13,FALSE)+SUM(_xlfn.XLOOKUP(S124:AG124,增益!$A:$A,增益!$M:$M,0))&gt;0,($F$13-$I$4+VLOOKUP($R124,武学奇术!$A:$ZZ,13,FALSE)+SUM(_xlfn.XLOOKUP(S124:AG124,增益!$A:$A,增益!$K:$K,0)))/200,($F$13-$I$4+VLOOKUP($R124,武学奇术!$A:$ZZ,13,FALSE)+SUM(_xlfn.XLOOKUP(S124:AG124,增益!$A:$A,增益!$M:$M,0)))/100)</f>
        <v>-0.3</v>
      </c>
      <c r="BE124" s="32" cm="1">
        <f t="array" ref="BE124">$G$13+VLOOKUP($R124,武学奇术!$A:$ZZ,14,FALSE)+SUM(_xlfn.XLOOKUP(S124:AG124,增益!$A:$A,增益!$N:$N,0))</f>
        <v>0</v>
      </c>
      <c r="BF124">
        <f t="shared" si="19"/>
        <v>571.2</v>
      </c>
      <c r="BG124">
        <f t="shared" si="20"/>
        <v>1627.8</v>
      </c>
      <c r="BH124" s="32" cm="1">
        <f t="array" ref="BH124">IF($F$14-$I$4+VLOOKUP($R124,武学奇术!$A:$ZZ,15,FALSE)+SUM(_xlfn.XLOOKUP(S124:AG124,增益!$A:$A,增益!$O:$O,0))&gt;0,($F$14-$I$4+VLOOKUP($R124,武学奇术!$A:$ZZ,15,FALSE)+SUM(_xlfn.XLOOKUP(S124:AG124,增益!$A:$A,增益!$O:$O,0)))/200,($F$14-$I$4+VLOOKUP($R124,武学奇术!$A:$ZZ,15,FALSE)+SUM(_xlfn.XLOOKUP(S124:AG124,增益!$A:$A,增益!$O:$O,0)))/100)</f>
        <v>0</v>
      </c>
      <c r="BI124" s="32" cm="1">
        <f t="array" ref="BI124">$G$14+VLOOKUP($R124,武学奇术!$A:$ZZ,16,FALSE)+SUM(_xlfn.XLOOKUP(S124:AG124,增益!$A:$A,增益!$P:$P,0))</f>
        <v>0.15</v>
      </c>
      <c r="BJ124" s="26">
        <f>MIN(IF(VLOOKUP($R124,武学奇术!$A:$ZZ,23,FALSE)=1,100%,$B$8),100%)</f>
        <v>0.981</v>
      </c>
      <c r="BK124" s="26" cm="1">
        <f t="array" ref="BK124">IF(VLOOKUP($R124,武学奇术!$A:$ZZ,23,FALSE)=1,100%,MIN(80%,$B$9+VLOOKUP($R124,武学奇术!$A:$ZZ,17,FALSE)+SUM(_xlfn.XLOOKUP(S124:AG124,增益!$A:$A,增益!$Q:$Q,0)))+$B$11+SUM(_xlfn.XLOOKUP(S124:AG124,增益!$A:$A,增益!$U:$U,0)))*IF(VLOOKUP($R124,武学奇术!$A:$ZZ,24,FALSE)=1,0,1)</f>
        <v>0.846</v>
      </c>
      <c r="BL124" s="26" cm="1">
        <f t="array" ref="BL124">1+$B$13+VLOOKUP($R124,武学奇术!$A:$ZZ,18,FALSE)+SUM(_xlfn.XLOOKUP(S124:AG124,增益!$A:$A,增益!$R:$R,0))</f>
        <v>1.91</v>
      </c>
      <c r="BM124" s="26" cm="1">
        <f t="array" ref="BM124">IF(VLOOKUP($R124,武学奇术!$A:$ZZ,24,FALSE)=1,100%,MIN(40%,$B$10+VLOOKUP($R124,武学奇术!$A:$ZZ,19,FALSE)+SUM(_xlfn.XLOOKUP(S124:AG124,增益!$A:$A,增益!$S:$S,0)))+$B$12+SUM(_xlfn.XLOOKUP(S124:AG124,增益!$A:$A,增益!$V:$V,0)))*IF(VLOOKUP($R124,武学奇术!$A:$ZZ,23,FALSE)=1,0,1)</f>
        <v>0.0929</v>
      </c>
      <c r="BN124" s="26" cm="1">
        <f t="array" ref="BN124">1+$B$14+VLOOKUP($R124,武学奇术!$A:$ZZ,20,FALSE)+SUM(_xlfn.XLOOKUP(S124:AG124,增益!$A:$A,增益!$T:$T,0))</f>
        <v>1.35</v>
      </c>
      <c r="BO124" s="26">
        <f t="shared" si="21"/>
        <v>0.829926</v>
      </c>
      <c r="BP124" s="26">
        <f t="shared" si="22"/>
        <v>0.0599391</v>
      </c>
      <c r="BQ124" s="26">
        <f>IF(VLOOKUP($R124,武学奇术!$A:$ZZ,22,FALSE)=1,0,(1-$BJ124))*(1-$BM124)</f>
        <v>0.0172349</v>
      </c>
      <c r="BR124" s="26" cm="1">
        <f t="array" ref="BR124">SUM(_xlfn.XLOOKUP(S124:AG124,增益!$A:$A,增益!$W:$W,0))+$I$5</f>
        <v>0.11</v>
      </c>
    </row>
    <row r="125" spans="11:70">
      <c r="K125">
        <f>$L125*VLOOKUP($R125,武学奇术!$A:$ZZ,31,FALSE)</f>
        <v>43984.8663228827</v>
      </c>
      <c r="L125" s="38">
        <f t="shared" si="24"/>
        <v>41890.3488789359</v>
      </c>
      <c r="M125" s="38">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BL125*$Q125*(1+IF(VLOOKUP($R125,武学奇术!$A:$ZZ,30,FALSE)="回旋伞",$B$21,0))*(1+$BR125)</f>
        <v>44431.312498418</v>
      </c>
      <c r="N125" s="38">
        <f>(($AP125*$AI125+$AJ125)*(1+$AQ125)*(1+$AR125)+($AU125*IF($G$1="鸣金",$AK125,$AI125)+IF($G$1="鸣金",$AL125*1.5,0))*(1+$AV125)*(1+$AW125)+($AY125*IF($G$1="裂石",$AK125,$AI125)+IF($G$1="裂石",$AL125*1.5,0))*(1+$AZ125)*(1+$BA125)+($BC125*IF($G$1="牵丝",$AK125,$AI125)+IF($G$1="牵丝",$AL125*1.5,0))*(1+$BD125)*(1+$BE125)+($BG125*IF($G$1="破竹",$AK125,$AI125)+IF($G$1="破竹",$AL125*1.5,0))*(1+$BH125)*(1+$BI125))*(1+$AM125)*$BN125*$Q125*(1+IF(VLOOKUP($R125,武学奇术!$A:$ZZ,30,FALSE)="回旋伞",$B$21,0))*(1+$BR125)</f>
        <v>35184.6198323255</v>
      </c>
      <c r="O125" s="38">
        <f>((($AO125+$AP125)/2*$AI125+$AJ125)*(1+$AQ125)*(1+$AR125)+(($AT125+$AU125)/2*IF($G$1="鸣金",$AK125,$AI125)+IF($G$1="鸣金",$AL125*1.5,0))*(1+$AV125)*(1+$AW125)+(($AX125+$AY125)/2*IF($G$1="裂石",$AK125,$AI125)+IF($G$1="裂石",$AL125*1.5,0))*(1+$AZ125)*(1+$BA125)+(($BB125+$BC125)/2*IF($G$1="牵丝",$AK125,$AI125)+IF($G$1="牵丝",$AL125*1.5,0))*(1+$BD125)*(1+$BE125)+(($BF125+$BG125)/2*IF($G$1="破竹",$AK125,$AI125)+IF($G$1="破竹",$AL125*1.5,0))*(1+$BH125)*(1+$BI125))*(1+$AM125)*$Q125*(1+IF(VLOOKUP($R125,武学奇术!$A:$ZZ,30,FALSE)="回旋伞",$B$21,0))*(1+$BR125)</f>
        <v>23262.4672766586</v>
      </c>
      <c r="P125" s="38">
        <f>((($AO125*$AI125+$AJ125)*(1+$AQ125)*(1+$AR125)+($AT125*IF($G$1="鸣金",$AK125,$AI125)+IF($G$1="鸣金",$AL125*1.5,0))*(1+$AV125)*(1+$AW125)+($AX125*IF($G$1="裂石",$AK125,$AI125)+IF($G$1="裂石",$AL125*1.5,0))*(1+$AZ125)*(1+$BA125)+($BB125*IF($G$1="牵丝",$AK125,$AI125)+IF($G$1="牵丝",$AL125*1.5,0))*(1+$BD125)*(1+$BE125)+($BF125*IF($G$1="破竹",$AK125,$AI125)+IF($G$1="破竹",$AL125*1.5,0))*(1+$BH125)*(1+$BI125))*(1+$AM125))*$Q125*(1+IF(VLOOKUP($R125,武学奇术!$A:$ZZ,30,FALSE)="回旋伞",$B$21,0))*(1+$BR125)</f>
        <v>20462.2531960392</v>
      </c>
      <c r="Q125" s="39">
        <v>1</v>
      </c>
      <c r="R125" s="40" t="s">
        <v>159</v>
      </c>
      <c r="S125" s="40" t="s">
        <v>72</v>
      </c>
      <c r="T125" s="40" t="s">
        <v>95</v>
      </c>
      <c r="U125" s="40" t="s">
        <v>73</v>
      </c>
      <c r="V125" s="40" t="s">
        <v>72</v>
      </c>
      <c r="W125" s="40" t="s">
        <v>172</v>
      </c>
      <c r="X125" s="40" t="s">
        <v>99</v>
      </c>
      <c r="Y125" s="40" t="s">
        <v>72</v>
      </c>
      <c r="Z125" s="40" t="s">
        <v>72</v>
      </c>
      <c r="AA125" s="40" t="s">
        <v>72</v>
      </c>
      <c r="AB125" s="40" t="s">
        <v>72</v>
      </c>
      <c r="AC125" s="40" t="s">
        <v>72</v>
      </c>
      <c r="AD125" s="40" t="s">
        <v>72</v>
      </c>
      <c r="AE125" s="40" t="s">
        <v>72</v>
      </c>
      <c r="AF125" s="40" t="s">
        <v>72</v>
      </c>
      <c r="AG125" s="40" t="s">
        <v>78</v>
      </c>
      <c r="AH125" t="str">
        <f>VLOOKUP($R125,武学奇术!$A:$ZZ,25,FALSE)</f>
        <v>伞</v>
      </c>
      <c r="AI125" s="26">
        <f>VLOOKUP($R125,武学奇术!$A:$ZZ,26,FALSE)</f>
        <v>2.01456</v>
      </c>
      <c r="AJ125" s="27">
        <f>VLOOKUP($R125,武学奇术!$A:$ZZ,27,FALSE)*(1+IF(OR($AH125=$F$4,$AH125=$F$5),$B$22,0))</f>
        <v>837</v>
      </c>
      <c r="AK125" s="26">
        <f>VLOOKUP($R125,武学奇术!$A:$ZZ,28,FALSE)</f>
        <v>3.02184</v>
      </c>
      <c r="AL125" s="27">
        <f>VLOOKUP($R125,武学奇术!$A:$ZZ,29,FALSE)*(1+IF(OR($AH125=$F$4,$AH125=$F$5),$B$22,0))</f>
        <v>453.6</v>
      </c>
      <c r="AM125" s="26" cm="1">
        <f t="array" ref="AM125">$G$3+IFERROR(VLOOKUP($AH125,$F$4:$G$7,2,FALSE),0)+VLOOKUP($R125,武学奇术!$A:$ZZ,2,FALSE)+SUM(_xlfn.XLOOKUP($S125:$AG125,增益!$A:$A,增益!$B:$B,0))</f>
        <v>0.3741</v>
      </c>
      <c r="AN125" s="26" cm="1">
        <f t="array" ref="AN125">VLOOKUP($R125,武学奇术!$A:$ZZ,5,FALSE)+SUM(_xlfn.XLOOKUP($S125:$AG125,增益!$A:$A,增益!$E:$E,0))</f>
        <v>0</v>
      </c>
      <c r="AO125" cm="1">
        <f t="array" ref="AO125">$D$10*(1+$AN125)+VLOOKUP($R125,武学奇术!$A:$ZZ,3,FALSE)+SUM(_xlfn.XLOOKUP($S125:$AG125,增益!$A:$A,增益!$C:$C,0))-$I$2</f>
        <v>3562.6</v>
      </c>
      <c r="AP125" cm="1">
        <f t="array" ref="AP125">$E$10*(1+$AN125)+VLOOKUP($R125,武学奇术!$A:$ZZ,4,FALSE)+SUM(_xlfn.XLOOKUP($S125:$AG125,增益!$A:$A,增益!$D:$D,0))-$I$2</f>
        <v>3562.6</v>
      </c>
      <c r="AQ125" s="32" cm="1">
        <f t="array" ref="AQ125">IF($F$10-$I$3+VLOOKUP($R125,武学奇术!$A:$ZZ,6,FALSE)+SUM(_xlfn.XLOOKUP(S125:AG125,增益!$A:$A,增益!$F:$F,0))&gt;0,($F$10-$I$3+VLOOKUP($R125,武学奇术!$A:$ZZ,6,FALSE)+SUM(_xlfn.XLOOKUP(S125:AG125,增益!$A:$A,增益!$F:$F,0)))/200,($F$10-$I$3+VLOOKUP($R125,武学奇术!$A:$ZZ,6,FALSE)+SUM(_xlfn.XLOOKUP(S125:AG125,增益!$A:$A,增益!$F:$F,0)))/100)</f>
        <v>0.2925</v>
      </c>
      <c r="AR125" s="32" cm="1">
        <f t="array" ref="AR125">$G$10+VLOOKUP($R125,武学奇术!$A:$ZZ,7,FALSE)+SUM(_xlfn.XLOOKUP(S125:AG125,增益!$A:$A,增益!$G:$G,0))</f>
        <v>0.028</v>
      </c>
      <c r="AS125" s="26" cm="1">
        <f t="array" ref="AS125">VLOOKUP($R125,武学奇术!$A:$ZZ,8,FALSE)+SUM(_xlfn.XLOOKUP(S125:AG125,增益!$A:$A,增益!$H:$H,0))</f>
        <v>0</v>
      </c>
      <c r="AT125">
        <f t="shared" si="13"/>
        <v>0</v>
      </c>
      <c r="AU125">
        <f t="shared" si="14"/>
        <v>0</v>
      </c>
      <c r="AV125" s="32" cm="1">
        <f t="array" ref="AV125">IF($F$11-$I$4+VLOOKUP($R125,武学奇术!$A:$ZZ,9,FALSE)+SUM(_xlfn.XLOOKUP(S125:AG125,增益!$A:$A,增益!$I:$I,0))&gt;0,($F$11-$I$4+VLOOKUP($R125,武学奇术!$A:$ZZ,9,FALSE)+SUM(_xlfn.XLOOKUP(S125:AG125,增益!$A:$A,增益!$I:$I,0)))/200,($F$11-$I$4+VLOOKUP($R125,武学奇术!$A:$ZZ,9,FALSE)+SUM(_xlfn.XLOOKUP(S125:AG125,增益!$A:$A,增益!$I:$I,0)))/100)</f>
        <v>-0.3</v>
      </c>
      <c r="AW125" s="32" cm="1">
        <f t="array" ref="AW125">$G$11+VLOOKUP($R125,武学奇术!$A:$ZZ,10,FALSE)+SUM(_xlfn.XLOOKUP(S125:AG125,增益!$A:$A,增益!$J:$J,0))</f>
        <v>0</v>
      </c>
      <c r="AX125">
        <f t="shared" si="15"/>
        <v>0</v>
      </c>
      <c r="AY125">
        <f t="shared" si="16"/>
        <v>0</v>
      </c>
      <c r="AZ125" s="32" cm="1">
        <f t="array" ref="AZ125">IF($F$12-$I$4+VLOOKUP($R125,武学奇术!$A:$ZZ,11,FALSE)+SUM(_xlfn.XLOOKUP(S125:AG125,增益!$A:$A,增益!$K:$K,0))&gt;0,($F$12-$I$4+VLOOKUP($R125,武学奇术!$A:$ZZ,11,FALSE)+SUM(_xlfn.XLOOKUP(S125:AG125,增益!$A:$A,增益!$K:$K,0)))/200,($F$12-$I$4+VLOOKUP($R125,武学奇术!$A:$ZZ,11,FALSE)+SUM(_xlfn.XLOOKUP(S125:AG125,增益!$A:$A,增益!$K:$K,0)))/100)</f>
        <v>-0.3</v>
      </c>
      <c r="BA125" s="32" cm="1">
        <f t="array" ref="BA125">$G$12+VLOOKUP($R125,武学奇术!$A:$ZZ,12,FALSE)+SUM(_xlfn.XLOOKUP(S125:AG125,增益!$A:$A,增益!$L:$L,0))</f>
        <v>0</v>
      </c>
      <c r="BB125">
        <f t="shared" si="17"/>
        <v>0</v>
      </c>
      <c r="BC125">
        <f t="shared" si="18"/>
        <v>0</v>
      </c>
      <c r="BD125" s="32" cm="1">
        <f t="array" ref="BD125">IF($F$13-$I$4+VLOOKUP($R125,武学奇术!$A:$ZZ,13,FALSE)+SUM(_xlfn.XLOOKUP(S125:AG125,增益!$A:$A,增益!$M:$M,0))&gt;0,($F$13-$I$4+VLOOKUP($R125,武学奇术!$A:$ZZ,13,FALSE)+SUM(_xlfn.XLOOKUP(S125:AG125,增益!$A:$A,增益!$K:$K,0)))/200,($F$13-$I$4+VLOOKUP($R125,武学奇术!$A:$ZZ,13,FALSE)+SUM(_xlfn.XLOOKUP(S125:AG125,增益!$A:$A,增益!$M:$M,0)))/100)</f>
        <v>-0.3</v>
      </c>
      <c r="BE125" s="32" cm="1">
        <f t="array" ref="BE125">$G$13+VLOOKUP($R125,武学奇术!$A:$ZZ,14,FALSE)+SUM(_xlfn.XLOOKUP(S125:AG125,增益!$A:$A,增益!$N:$N,0))</f>
        <v>0</v>
      </c>
      <c r="BF125">
        <f t="shared" si="19"/>
        <v>571.2</v>
      </c>
      <c r="BG125">
        <f t="shared" si="20"/>
        <v>1627.8</v>
      </c>
      <c r="BH125" s="32" cm="1">
        <f t="array" ref="BH125">IF($F$14-$I$4+VLOOKUP($R125,武学奇术!$A:$ZZ,15,FALSE)+SUM(_xlfn.XLOOKUP(S125:AG125,增益!$A:$A,增益!$O:$O,0))&gt;0,($F$14-$I$4+VLOOKUP($R125,武学奇术!$A:$ZZ,15,FALSE)+SUM(_xlfn.XLOOKUP(S125:AG125,增益!$A:$A,增益!$O:$O,0)))/200,($F$14-$I$4+VLOOKUP($R125,武学奇术!$A:$ZZ,15,FALSE)+SUM(_xlfn.XLOOKUP(S125:AG125,增益!$A:$A,增益!$O:$O,0)))/100)</f>
        <v>0</v>
      </c>
      <c r="BI125" s="32" cm="1">
        <f t="array" ref="BI125">$G$14+VLOOKUP($R125,武学奇术!$A:$ZZ,16,FALSE)+SUM(_xlfn.XLOOKUP(S125:AG125,增益!$A:$A,增益!$P:$P,0))</f>
        <v>0.15</v>
      </c>
      <c r="BJ125" s="26">
        <f>MIN(IF(VLOOKUP($R125,武学奇术!$A:$ZZ,23,FALSE)=1,100%,$B$8),100%)</f>
        <v>0.981</v>
      </c>
      <c r="BK125" s="26" cm="1">
        <f t="array" ref="BK125">IF(VLOOKUP($R125,武学奇术!$A:$ZZ,23,FALSE)=1,100%,MIN(80%,$B$9+VLOOKUP($R125,武学奇术!$A:$ZZ,17,FALSE)+SUM(_xlfn.XLOOKUP(S125:AG125,增益!$A:$A,增益!$Q:$Q,0)))+$B$11+SUM(_xlfn.XLOOKUP(S125:AG125,增益!$A:$A,增益!$U:$U,0)))*IF(VLOOKUP($R125,武学奇术!$A:$ZZ,24,FALSE)=1,0,1)</f>
        <v>0.846</v>
      </c>
      <c r="BL125" s="26" cm="1">
        <f t="array" ref="BL125">1+$B$13+VLOOKUP($R125,武学奇术!$A:$ZZ,18,FALSE)+SUM(_xlfn.XLOOKUP(S125:AG125,增益!$A:$A,增益!$R:$R,0))</f>
        <v>1.91</v>
      </c>
      <c r="BM125" s="26" cm="1">
        <f t="array" ref="BM125">IF(VLOOKUP($R125,武学奇术!$A:$ZZ,24,FALSE)=1,100%,MIN(40%,$B$10+VLOOKUP($R125,武学奇术!$A:$ZZ,19,FALSE)+SUM(_xlfn.XLOOKUP(S125:AG125,增益!$A:$A,增益!$S:$S,0)))+$B$12+SUM(_xlfn.XLOOKUP(S125:AG125,增益!$A:$A,增益!$V:$V,0)))*IF(VLOOKUP($R125,武学奇术!$A:$ZZ,23,FALSE)=1,0,1)</f>
        <v>0.0929</v>
      </c>
      <c r="BN125" s="26" cm="1">
        <f t="array" ref="BN125">1+$B$14+VLOOKUP($R125,武学奇术!$A:$ZZ,20,FALSE)+SUM(_xlfn.XLOOKUP(S125:AG125,增益!$A:$A,增益!$T:$T,0))</f>
        <v>1.35</v>
      </c>
      <c r="BO125" s="26">
        <f t="shared" si="21"/>
        <v>0.829926</v>
      </c>
      <c r="BP125" s="26">
        <f t="shared" si="22"/>
        <v>0.0599391</v>
      </c>
      <c r="BQ125" s="26">
        <f>IF(VLOOKUP($R125,武学奇术!$A:$ZZ,22,FALSE)=1,0,(1-$BJ125))*(1-$BM125)</f>
        <v>0.0172349</v>
      </c>
      <c r="BR125" s="26" cm="1">
        <f t="array" ref="BR125">SUM(_xlfn.XLOOKUP(S125:AG125,增益!$A:$A,增益!$W:$W,0))+$I$5</f>
        <v>0.11</v>
      </c>
    </row>
    <row r="126" spans="11:70">
      <c r="K126">
        <f>$L126*VLOOKUP($R126,武学奇术!$A:$ZZ,31,FALSE)</f>
        <v>11840.5067309357</v>
      </c>
      <c r="L126" s="38">
        <f t="shared" si="24"/>
        <v>11276.6730770816</v>
      </c>
      <c r="M126" s="38">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BL126*$Q126*(1+IF(VLOOKUP($R126,武学奇术!$A:$ZZ,30,FALSE)="回旋伞",$B$21,0))*(1+$BR126)</f>
        <v>11948.432110074</v>
      </c>
      <c r="N126" s="38">
        <f>(($AP126*$AI126+$AJ126)*(1+$AQ126)*(1+$AR126)+($AU126*IF($G$1="鸣金",$AK126,$AI126)+IF($G$1="鸣金",$AL126*1.5,0))*(1+$AV126)*(1+$AW126)+($AY126*IF($G$1="裂石",$AK126,$AI126)+IF($G$1="裂石",$AL126*1.5,0))*(1+$AZ126)*(1+$BA126)+($BC126*IF($G$1="牵丝",$AK126,$AI126)+IF($G$1="牵丝",$AL126*1.5,0))*(1+$BD126)*(1+$BE126)+($BG126*IF($G$1="破竹",$AK126,$AI126)+IF($G$1="破竹",$AL126*1.5,0))*(1+$BH126)*(1+$BI126))*(1+$AM126)*$BN126*$Q126*(1+IF(VLOOKUP($R126,武学奇术!$A:$ZZ,30,FALSE)="回旋伞",$B$21,0))*(1+$BR126)</f>
        <v>9606.01388530106</v>
      </c>
      <c r="O126" s="38">
        <f>((($AO126+$AP126)/2*$AI126+$AJ126)*(1+$AQ126)*(1+$AR126)+(($AT126+$AU126)/2*IF($G$1="鸣金",$AK126,$AI126)+IF($G$1="鸣金",$AL126*1.5,0))*(1+$AV126)*(1+$AW126)+(($AX126+$AY126)/2*IF($G$1="裂石",$AK126,$AI126)+IF($G$1="裂石",$AL126*1.5,0))*(1+$AZ126)*(1+$BA126)+(($BB126+$BC126)/2*IF($G$1="牵丝",$AK126,$AI126)+IF($G$1="牵丝",$AL126*1.5,0))*(1+$BD126)*(1+$BE126)+(($BF126+$BG126)/2*IF($G$1="破竹",$AK126,$AI126)+IF($G$1="破竹",$AL126*1.5,0))*(1+$BH126)*(1+$BI126))*(1+$AM126)*$Q126*(1+IF(VLOOKUP($R126,武学奇术!$A:$ZZ,30,FALSE)="回旋伞",$B$21,0))*(1+$BR126)</f>
        <v>6255.7236178398</v>
      </c>
      <c r="P126" s="38">
        <f>((($AO126*$AI126+$AJ126)*(1+$AQ126)*(1+$AR126)+($AT126*IF($G$1="鸣金",$AK126,$AI126)+IF($G$1="鸣金",$AL126*1.5,0))*(1+$AV126)*(1+$AW126)+($AX126*IF($G$1="裂石",$AK126,$AI126)+IF($G$1="裂石",$AL126*1.5,0))*(1+$AZ126)*(1+$BA126)+($BB126*IF($G$1="牵丝",$AK126,$AI126)+IF($G$1="牵丝",$AL126*1.5,0))*(1+$BD126)*(1+$BE126)+($BF126*IF($G$1="破竹",$AK126,$AI126)+IF($G$1="破竹",$AL126*1.5,0))*(1+$BH126)*(1+$BI126))*(1+$AM126))*$Q126*(1+IF(VLOOKUP($R126,武学奇术!$A:$ZZ,30,FALSE)="回旋伞",$B$21,0))*(1+$BR126)</f>
        <v>5395.88139471585</v>
      </c>
      <c r="Q126" s="39">
        <v>1</v>
      </c>
      <c r="R126" s="40" t="s">
        <v>162</v>
      </c>
      <c r="S126" s="40" t="s">
        <v>72</v>
      </c>
      <c r="T126" s="40" t="s">
        <v>95</v>
      </c>
      <c r="U126" s="40" t="s">
        <v>73</v>
      </c>
      <c r="V126" s="40" t="s">
        <v>72</v>
      </c>
      <c r="W126" s="40" t="s">
        <v>172</v>
      </c>
      <c r="X126" s="40" t="s">
        <v>99</v>
      </c>
      <c r="Y126" s="40" t="s">
        <v>72</v>
      </c>
      <c r="Z126" s="40" t="s">
        <v>72</v>
      </c>
      <c r="AA126" s="40" t="s">
        <v>72</v>
      </c>
      <c r="AB126" s="40" t="s">
        <v>72</v>
      </c>
      <c r="AC126" s="40" t="s">
        <v>72</v>
      </c>
      <c r="AD126" s="40" t="s">
        <v>72</v>
      </c>
      <c r="AE126" s="40" t="s">
        <v>72</v>
      </c>
      <c r="AF126" s="40" t="s">
        <v>72</v>
      </c>
      <c r="AG126" s="40" t="s">
        <v>78</v>
      </c>
      <c r="AH126" t="str">
        <f>VLOOKUP($R126,武学奇术!$A:$ZZ,25,FALSE)</f>
        <v>伞</v>
      </c>
      <c r="AI126" s="26">
        <f>VLOOKUP($R126,武学奇术!$A:$ZZ,26,FALSE)</f>
        <v>0.54</v>
      </c>
      <c r="AJ126" s="27">
        <f>VLOOKUP($R126,武学奇术!$A:$ZZ,27,FALSE)*(1+IF(OR($AH126=$F$4,$AH126=$F$5),$B$22,0))</f>
        <v>0</v>
      </c>
      <c r="AK126" s="26">
        <f>VLOOKUP($R126,武学奇术!$A:$ZZ,28,FALSE)</f>
        <v>0.81</v>
      </c>
      <c r="AL126" s="27">
        <f>VLOOKUP($R126,武学奇术!$A:$ZZ,29,FALSE)*(1+IF(OR($AH126=$F$4,$AH126=$F$5),$B$22,0))</f>
        <v>0</v>
      </c>
      <c r="AM126" s="26" cm="1">
        <f t="array" ref="AM126">$G$3+IFERROR(VLOOKUP($AH126,$F$4:$G$7,2,FALSE),0)+VLOOKUP($R126,武学奇术!$A:$ZZ,2,FALSE)+SUM(_xlfn.XLOOKUP($S126:$AG126,增益!$A:$A,增益!$B:$B,0))</f>
        <v>0.5741</v>
      </c>
      <c r="AN126" s="26" cm="1">
        <f t="array" ref="AN126">VLOOKUP($R126,武学奇术!$A:$ZZ,5,FALSE)+SUM(_xlfn.XLOOKUP($S126:$AG126,增益!$A:$A,增益!$E:$E,0))</f>
        <v>0</v>
      </c>
      <c r="AO126" cm="1">
        <f t="array" ref="AO126">$D$10*(1+$AN126)+VLOOKUP($R126,武学奇术!$A:$ZZ,3,FALSE)+SUM(_xlfn.XLOOKUP($S126:$AG126,增益!$A:$A,增益!$C:$C,0))-$I$2</f>
        <v>3562.6</v>
      </c>
      <c r="AP126" cm="1">
        <f t="array" ref="AP126">$E$10*(1+$AN126)+VLOOKUP($R126,武学奇术!$A:$ZZ,4,FALSE)+SUM(_xlfn.XLOOKUP($S126:$AG126,增益!$A:$A,增益!$D:$D,0))-$I$2</f>
        <v>3562.6</v>
      </c>
      <c r="AQ126" s="32" cm="1">
        <f t="array" ref="AQ126">IF($F$10-$I$3+VLOOKUP($R126,武学奇术!$A:$ZZ,6,FALSE)+SUM(_xlfn.XLOOKUP(S126:AG126,增益!$A:$A,增益!$F:$F,0))&gt;0,($F$10-$I$3+VLOOKUP($R126,武学奇术!$A:$ZZ,6,FALSE)+SUM(_xlfn.XLOOKUP(S126:AG126,增益!$A:$A,增益!$F:$F,0)))/200,($F$10-$I$3+VLOOKUP($R126,武学奇术!$A:$ZZ,6,FALSE)+SUM(_xlfn.XLOOKUP(S126:AG126,增益!$A:$A,增益!$F:$F,0)))/100)</f>
        <v>0.2925</v>
      </c>
      <c r="AR126" s="32" cm="1">
        <f t="array" ref="AR126">$G$10+VLOOKUP($R126,武学奇术!$A:$ZZ,7,FALSE)+SUM(_xlfn.XLOOKUP(S126:AG126,增益!$A:$A,增益!$G:$G,0))</f>
        <v>0.028</v>
      </c>
      <c r="AS126" s="26" cm="1">
        <f t="array" ref="AS126">VLOOKUP($R126,武学奇术!$A:$ZZ,8,FALSE)+SUM(_xlfn.XLOOKUP(S126:AG126,增益!$A:$A,增益!$H:$H,0))</f>
        <v>0</v>
      </c>
      <c r="AT126">
        <f t="shared" si="13"/>
        <v>0</v>
      </c>
      <c r="AU126">
        <f t="shared" si="14"/>
        <v>0</v>
      </c>
      <c r="AV126" s="32" cm="1">
        <f t="array" ref="AV126">IF($F$11-$I$4+VLOOKUP($R126,武学奇术!$A:$ZZ,9,FALSE)+SUM(_xlfn.XLOOKUP(S126:AG126,增益!$A:$A,增益!$I:$I,0))&gt;0,($F$11-$I$4+VLOOKUP($R126,武学奇术!$A:$ZZ,9,FALSE)+SUM(_xlfn.XLOOKUP(S126:AG126,增益!$A:$A,增益!$I:$I,0)))/200,($F$11-$I$4+VLOOKUP($R126,武学奇术!$A:$ZZ,9,FALSE)+SUM(_xlfn.XLOOKUP(S126:AG126,增益!$A:$A,增益!$I:$I,0)))/100)</f>
        <v>-0.3</v>
      </c>
      <c r="AW126" s="32" cm="1">
        <f t="array" ref="AW126">$G$11+VLOOKUP($R126,武学奇术!$A:$ZZ,10,FALSE)+SUM(_xlfn.XLOOKUP(S126:AG126,增益!$A:$A,增益!$J:$J,0))</f>
        <v>0</v>
      </c>
      <c r="AX126">
        <f t="shared" si="15"/>
        <v>0</v>
      </c>
      <c r="AY126">
        <f t="shared" si="16"/>
        <v>0</v>
      </c>
      <c r="AZ126" s="32" cm="1">
        <f t="array" ref="AZ126">IF($F$12-$I$4+VLOOKUP($R126,武学奇术!$A:$ZZ,11,FALSE)+SUM(_xlfn.XLOOKUP(S126:AG126,增益!$A:$A,增益!$K:$K,0))&gt;0,($F$12-$I$4+VLOOKUP($R126,武学奇术!$A:$ZZ,11,FALSE)+SUM(_xlfn.XLOOKUP(S126:AG126,增益!$A:$A,增益!$K:$K,0)))/200,($F$12-$I$4+VLOOKUP($R126,武学奇术!$A:$ZZ,11,FALSE)+SUM(_xlfn.XLOOKUP(S126:AG126,增益!$A:$A,增益!$K:$K,0)))/100)</f>
        <v>-0.3</v>
      </c>
      <c r="BA126" s="32" cm="1">
        <f t="array" ref="BA126">$G$12+VLOOKUP($R126,武学奇术!$A:$ZZ,12,FALSE)+SUM(_xlfn.XLOOKUP(S126:AG126,增益!$A:$A,增益!$L:$L,0))</f>
        <v>0</v>
      </c>
      <c r="BB126">
        <f t="shared" si="17"/>
        <v>0</v>
      </c>
      <c r="BC126">
        <f t="shared" si="18"/>
        <v>0</v>
      </c>
      <c r="BD126" s="32" cm="1">
        <f t="array" ref="BD126">IF($F$13-$I$4+VLOOKUP($R126,武学奇术!$A:$ZZ,13,FALSE)+SUM(_xlfn.XLOOKUP(S126:AG126,增益!$A:$A,增益!$M:$M,0))&gt;0,($F$13-$I$4+VLOOKUP($R126,武学奇术!$A:$ZZ,13,FALSE)+SUM(_xlfn.XLOOKUP(S126:AG126,增益!$A:$A,增益!$K:$K,0)))/200,($F$13-$I$4+VLOOKUP($R126,武学奇术!$A:$ZZ,13,FALSE)+SUM(_xlfn.XLOOKUP(S126:AG126,增益!$A:$A,增益!$M:$M,0)))/100)</f>
        <v>-0.3</v>
      </c>
      <c r="BE126" s="32" cm="1">
        <f t="array" ref="BE126">$G$13+VLOOKUP($R126,武学奇术!$A:$ZZ,14,FALSE)+SUM(_xlfn.XLOOKUP(S126:AG126,增益!$A:$A,增益!$N:$N,0))</f>
        <v>0</v>
      </c>
      <c r="BF126">
        <f t="shared" si="19"/>
        <v>571.2</v>
      </c>
      <c r="BG126">
        <f t="shared" si="20"/>
        <v>1627.8</v>
      </c>
      <c r="BH126" s="32" cm="1">
        <f t="array" ref="BH126">IF($F$14-$I$4+VLOOKUP($R126,武学奇术!$A:$ZZ,15,FALSE)+SUM(_xlfn.XLOOKUP(S126:AG126,增益!$A:$A,增益!$O:$O,0))&gt;0,($F$14-$I$4+VLOOKUP($R126,武学奇术!$A:$ZZ,15,FALSE)+SUM(_xlfn.XLOOKUP(S126:AG126,增益!$A:$A,增益!$O:$O,0)))/200,($F$14-$I$4+VLOOKUP($R126,武学奇术!$A:$ZZ,15,FALSE)+SUM(_xlfn.XLOOKUP(S126:AG126,增益!$A:$A,增益!$O:$O,0)))/100)</f>
        <v>0</v>
      </c>
      <c r="BI126" s="32" cm="1">
        <f t="array" ref="BI126">$G$14+VLOOKUP($R126,武学奇术!$A:$ZZ,16,FALSE)+SUM(_xlfn.XLOOKUP(S126:AG126,增益!$A:$A,增益!$P:$P,0))</f>
        <v>0.15</v>
      </c>
      <c r="BJ126" s="26">
        <f>MIN(IF(VLOOKUP($R126,武学奇术!$A:$ZZ,23,FALSE)=1,100%,$B$8),100%)</f>
        <v>0.981</v>
      </c>
      <c r="BK126" s="26" cm="1">
        <f t="array" ref="BK126">IF(VLOOKUP($R126,武学奇术!$A:$ZZ,23,FALSE)=1,100%,MIN(80%,$B$9+VLOOKUP($R126,武学奇术!$A:$ZZ,17,FALSE)+SUM(_xlfn.XLOOKUP(S126:AG126,增益!$A:$A,增益!$Q:$Q,0)))+$B$11+SUM(_xlfn.XLOOKUP(S126:AG126,增益!$A:$A,增益!$U:$U,0)))*IF(VLOOKUP($R126,武学奇术!$A:$ZZ,24,FALSE)=1,0,1)</f>
        <v>0.846</v>
      </c>
      <c r="BL126" s="26" cm="1">
        <f t="array" ref="BL126">1+$B$13+VLOOKUP($R126,武学奇术!$A:$ZZ,18,FALSE)+SUM(_xlfn.XLOOKUP(S126:AG126,增益!$A:$A,增益!$R:$R,0))</f>
        <v>1.91</v>
      </c>
      <c r="BM126" s="26" cm="1">
        <f t="array" ref="BM126">IF(VLOOKUP($R126,武学奇术!$A:$ZZ,24,FALSE)=1,100%,MIN(40%,$B$10+VLOOKUP($R126,武学奇术!$A:$ZZ,19,FALSE)+SUM(_xlfn.XLOOKUP(S126:AG126,增益!$A:$A,增益!$S:$S,0)))+$B$12+SUM(_xlfn.XLOOKUP(S126:AG126,增益!$A:$A,增益!$V:$V,0)))*IF(VLOOKUP($R126,武学奇术!$A:$ZZ,23,FALSE)=1,0,1)</f>
        <v>0.0929</v>
      </c>
      <c r="BN126" s="26" cm="1">
        <f t="array" ref="BN126">1+$B$14+VLOOKUP($R126,武学奇术!$A:$ZZ,20,FALSE)+SUM(_xlfn.XLOOKUP(S126:AG126,增益!$A:$A,增益!$T:$T,0))</f>
        <v>1.35</v>
      </c>
      <c r="BO126" s="26">
        <f t="shared" si="21"/>
        <v>0.829926</v>
      </c>
      <c r="BP126" s="26">
        <f t="shared" si="22"/>
        <v>0.0599391</v>
      </c>
      <c r="BQ126" s="26">
        <f>IF(VLOOKUP($R126,武学奇术!$A:$ZZ,22,FALSE)=1,0,(1-$BJ126))*(1-$BM126)</f>
        <v>0.0172349</v>
      </c>
      <c r="BR126" s="26" cm="1">
        <f t="array" ref="BR126">SUM(_xlfn.XLOOKUP(S126:AG126,增益!$A:$A,增益!$W:$W,0))+$I$5</f>
        <v>0.11</v>
      </c>
    </row>
    <row r="127" spans="11:70">
      <c r="K127">
        <f>$L127*VLOOKUP($R127,武学奇术!$A:$ZZ,31,FALSE)</f>
        <v>55761.1654162214</v>
      </c>
      <c r="L127" s="38">
        <f t="shared" si="24"/>
        <v>53105.8718249727</v>
      </c>
      <c r="M127" s="38">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BL127*$Q127*(1+IF(VLOOKUP($R127,武学奇术!$A:$ZZ,30,FALSE)="回旋伞",$B$21,0))*(1+$BR127)</f>
        <v>53105.8718249727</v>
      </c>
      <c r="N127" s="38">
        <f>(($AP127*$AI127+$AJ127)*(1+$AQ127)*(1+$AR127)+($AU127*IF($G$1="鸣金",$AK127,$AI127)+IF($G$1="鸣金",$AL127*1.5,0))*(1+$AV127)*(1+$AW127)+($AY127*IF($G$1="裂石",$AK127,$AI127)+IF($G$1="裂石",$AL127*1.5,0))*(1+$AZ127)*(1+$BA127)+($BC127*IF($G$1="牵丝",$AK127,$AI127)+IF($G$1="牵丝",$AL127*1.5,0))*(1+$BD127)*(1+$BE127)+($BG127*IF($G$1="破竹",$AK127,$AI127)+IF($G$1="破竹",$AL127*1.5,0))*(1+$BH127)*(1+$BI127))*(1+$AM127)*$BN127*$Q127*(1+IF(VLOOKUP($R127,武学奇术!$A:$ZZ,30,FALSE)="回旋伞",$B$21,0))*(1+$BR127)</f>
        <v>42052.3868116326</v>
      </c>
      <c r="O127" s="38">
        <f>((($AO127+$AP127)/2*$AI127+$AJ127)*(1+$AQ127)*(1+$AR127)+(($AT127+$AU127)/2*IF($G$1="鸣金",$AK127,$AI127)+IF($G$1="鸣金",$AL127*1.5,0))*(1+$AV127)*(1+$AW127)+(($AX127+$AY127)/2*IF($G$1="裂石",$AK127,$AI127)+IF($G$1="裂石",$AL127*1.5,0))*(1+$AZ127)*(1+$BA127)+(($BB127+$BC127)/2*IF($G$1="牵丝",$AK127,$AI127)+IF($G$1="牵丝",$AL127*1.5,0))*(1+$BD127)*(1+$BE127)+(($BF127+$BG127)/2*IF($G$1="破竹",$AK127,$AI127)+IF($G$1="破竹",$AL127*1.5,0))*(1+$BH127)*(1+$BI127))*(1+$AM127)*$Q127*(1+IF(VLOOKUP($R127,武学奇术!$A:$ZZ,30,FALSE)="回旋伞",$B$21,0))*(1+$BR127)</f>
        <v>27804.1213743313</v>
      </c>
      <c r="P127" s="38">
        <f>((($AO127*$AI127+$AJ127)*(1+$AQ127)*(1+$AR127)+($AT127*IF($G$1="鸣金",$AK127,$AI127)+IF($G$1="鸣金",$AL127*1.5,0))*(1+$AV127)*(1+$AW127)+($AX127*IF($G$1="裂石",$AK127,$AI127)+IF($G$1="裂石",$AL127*1.5,0))*(1+$AZ127)*(1+$BA127)+($BB127*IF($G$1="牵丝",$AK127,$AI127)+IF($G$1="牵丝",$AL127*1.5,0))*(1+$BD127)*(1+$BE127)+($BF127*IF($G$1="破竹",$AK127,$AI127)+IF($G$1="破竹",$AL127*1.5,0))*(1+$BH127)*(1+$BI127))*(1+$AM127))*$Q127*(1+IF(VLOOKUP($R127,武学奇术!$A:$ZZ,30,FALSE)="回旋伞",$B$21,0))*(1+$BR127)</f>
        <v>24458.3265918976</v>
      </c>
      <c r="Q127" s="39">
        <v>1</v>
      </c>
      <c r="R127" s="40" t="s">
        <v>166</v>
      </c>
      <c r="S127" s="40" t="s">
        <v>72</v>
      </c>
      <c r="T127" s="40" t="s">
        <v>95</v>
      </c>
      <c r="U127" s="40" t="s">
        <v>73</v>
      </c>
      <c r="V127" s="40" t="s">
        <v>72</v>
      </c>
      <c r="W127" s="40" t="s">
        <v>172</v>
      </c>
      <c r="X127" s="40" t="s">
        <v>99</v>
      </c>
      <c r="Y127" s="40" t="s">
        <v>72</v>
      </c>
      <c r="Z127" s="40" t="s">
        <v>72</v>
      </c>
      <c r="AA127" s="40" t="s">
        <v>72</v>
      </c>
      <c r="AB127" s="40" t="s">
        <v>72</v>
      </c>
      <c r="AC127" s="40" t="s">
        <v>72</v>
      </c>
      <c r="AD127" s="40" t="s">
        <v>72</v>
      </c>
      <c r="AE127" s="40" t="s">
        <v>72</v>
      </c>
      <c r="AF127" s="40" t="s">
        <v>72</v>
      </c>
      <c r="AG127" s="40" t="s">
        <v>78</v>
      </c>
      <c r="AH127" t="str">
        <f>VLOOKUP($R127,武学奇术!$A:$ZZ,25,FALSE)</f>
        <v>绳镖</v>
      </c>
      <c r="AI127" s="26">
        <f>VLOOKUP($R127,武学奇术!$A:$ZZ,26,FALSE)</f>
        <v>2.2987</v>
      </c>
      <c r="AJ127" s="27">
        <f>VLOOKUP($R127,武学奇术!$A:$ZZ,27,FALSE)*(1+IF(OR($AH127=$F$4,$AH127=$F$5),$B$22,0))</f>
        <v>955.5</v>
      </c>
      <c r="AK127" s="26">
        <f>VLOOKUP($R127,武学奇术!$A:$ZZ,28,FALSE)</f>
        <v>3.448</v>
      </c>
      <c r="AL127" s="27">
        <f>VLOOKUP($R127,武学奇术!$A:$ZZ,29,FALSE)*(1+IF(OR($AH127=$F$4,$AH127=$F$5),$B$22,0))</f>
        <v>520.5</v>
      </c>
      <c r="AM127" s="26" cm="1">
        <f t="array" ref="AM127">$G$3+IFERROR(VLOOKUP($AH127,$F$4:$G$7,2,FALSE),0)+VLOOKUP($R127,武学奇术!$A:$ZZ,2,FALSE)+SUM(_xlfn.XLOOKUP($S127:$AG127,增益!$A:$A,增益!$B:$B,0))</f>
        <v>0.4389</v>
      </c>
      <c r="AN127" s="26" cm="1">
        <f t="array" ref="AN127">VLOOKUP($R127,武学奇术!$A:$ZZ,5,FALSE)+SUM(_xlfn.XLOOKUP($S127:$AG127,增益!$A:$A,增益!$E:$E,0))</f>
        <v>0</v>
      </c>
      <c r="AO127" cm="1">
        <f t="array" ref="AO127">$D$10*(1+$AN127)+VLOOKUP($R127,武学奇术!$A:$ZZ,3,FALSE)+SUM(_xlfn.XLOOKUP($S127:$AG127,增益!$A:$A,增益!$C:$C,0))-$I$2</f>
        <v>3562.6</v>
      </c>
      <c r="AP127" cm="1">
        <f t="array" ref="AP127">$E$10*(1+$AN127)+VLOOKUP($R127,武学奇术!$A:$ZZ,4,FALSE)+SUM(_xlfn.XLOOKUP($S127:$AG127,增益!$A:$A,增益!$D:$D,0))-$I$2</f>
        <v>3562.6</v>
      </c>
      <c r="AQ127" s="32" cm="1">
        <f t="array" ref="AQ127">IF($F$10-$I$3+VLOOKUP($R127,武学奇术!$A:$ZZ,6,FALSE)+SUM(_xlfn.XLOOKUP(S127:AG127,增益!$A:$A,增益!$F:$F,0))&gt;0,($F$10-$I$3+VLOOKUP($R127,武学奇术!$A:$ZZ,6,FALSE)+SUM(_xlfn.XLOOKUP(S127:AG127,增益!$A:$A,增益!$F:$F,0)))/200,($F$10-$I$3+VLOOKUP($R127,武学奇术!$A:$ZZ,6,FALSE)+SUM(_xlfn.XLOOKUP(S127:AG127,增益!$A:$A,增益!$F:$F,0)))/100)</f>
        <v>0.2925</v>
      </c>
      <c r="AR127" s="32" cm="1">
        <f t="array" ref="AR127">$G$10+VLOOKUP($R127,武学奇术!$A:$ZZ,7,FALSE)+SUM(_xlfn.XLOOKUP(S127:AG127,增益!$A:$A,增益!$G:$G,0))</f>
        <v>0.028</v>
      </c>
      <c r="AS127" s="26" cm="1">
        <f t="array" ref="AS127">VLOOKUP($R127,武学奇术!$A:$ZZ,8,FALSE)+SUM(_xlfn.XLOOKUP(S127:AG127,增益!$A:$A,增益!$H:$H,0))</f>
        <v>0</v>
      </c>
      <c r="AT127">
        <f t="shared" si="13"/>
        <v>0</v>
      </c>
      <c r="AU127">
        <f t="shared" si="14"/>
        <v>0</v>
      </c>
      <c r="AV127" s="32" cm="1">
        <f t="array" ref="AV127">IF($F$11-$I$4+VLOOKUP($R127,武学奇术!$A:$ZZ,9,FALSE)+SUM(_xlfn.XLOOKUP(S127:AG127,增益!$A:$A,增益!$I:$I,0))&gt;0,($F$11-$I$4+VLOOKUP($R127,武学奇术!$A:$ZZ,9,FALSE)+SUM(_xlfn.XLOOKUP(S127:AG127,增益!$A:$A,增益!$I:$I,0)))/200,($F$11-$I$4+VLOOKUP($R127,武学奇术!$A:$ZZ,9,FALSE)+SUM(_xlfn.XLOOKUP(S127:AG127,增益!$A:$A,增益!$I:$I,0)))/100)</f>
        <v>-0.3</v>
      </c>
      <c r="AW127" s="32" cm="1">
        <f t="array" ref="AW127">$G$11+VLOOKUP($R127,武学奇术!$A:$ZZ,10,FALSE)+SUM(_xlfn.XLOOKUP(S127:AG127,增益!$A:$A,增益!$J:$J,0))</f>
        <v>0</v>
      </c>
      <c r="AX127">
        <f t="shared" si="15"/>
        <v>0</v>
      </c>
      <c r="AY127">
        <f t="shared" si="16"/>
        <v>0</v>
      </c>
      <c r="AZ127" s="32" cm="1">
        <f t="array" ref="AZ127">IF($F$12-$I$4+VLOOKUP($R127,武学奇术!$A:$ZZ,11,FALSE)+SUM(_xlfn.XLOOKUP(S127:AG127,增益!$A:$A,增益!$K:$K,0))&gt;0,($F$12-$I$4+VLOOKUP($R127,武学奇术!$A:$ZZ,11,FALSE)+SUM(_xlfn.XLOOKUP(S127:AG127,增益!$A:$A,增益!$K:$K,0)))/200,($F$12-$I$4+VLOOKUP($R127,武学奇术!$A:$ZZ,11,FALSE)+SUM(_xlfn.XLOOKUP(S127:AG127,增益!$A:$A,增益!$K:$K,0)))/100)</f>
        <v>-0.3</v>
      </c>
      <c r="BA127" s="32" cm="1">
        <f t="array" ref="BA127">$G$12+VLOOKUP($R127,武学奇术!$A:$ZZ,12,FALSE)+SUM(_xlfn.XLOOKUP(S127:AG127,增益!$A:$A,增益!$L:$L,0))</f>
        <v>0</v>
      </c>
      <c r="BB127">
        <f t="shared" si="17"/>
        <v>0</v>
      </c>
      <c r="BC127">
        <f t="shared" si="18"/>
        <v>0</v>
      </c>
      <c r="BD127" s="32" cm="1">
        <f t="array" ref="BD127">IF($F$13-$I$4+VLOOKUP($R127,武学奇术!$A:$ZZ,13,FALSE)+SUM(_xlfn.XLOOKUP(S127:AG127,增益!$A:$A,增益!$M:$M,0))&gt;0,($F$13-$I$4+VLOOKUP($R127,武学奇术!$A:$ZZ,13,FALSE)+SUM(_xlfn.XLOOKUP(S127:AG127,增益!$A:$A,增益!$K:$K,0)))/200,($F$13-$I$4+VLOOKUP($R127,武学奇术!$A:$ZZ,13,FALSE)+SUM(_xlfn.XLOOKUP(S127:AG127,增益!$A:$A,增益!$M:$M,0)))/100)</f>
        <v>-0.3</v>
      </c>
      <c r="BE127" s="32" cm="1">
        <f t="array" ref="BE127">$G$13+VLOOKUP($R127,武学奇术!$A:$ZZ,14,FALSE)+SUM(_xlfn.XLOOKUP(S127:AG127,增益!$A:$A,增益!$N:$N,0))</f>
        <v>0</v>
      </c>
      <c r="BF127">
        <f t="shared" si="19"/>
        <v>571.2</v>
      </c>
      <c r="BG127">
        <f t="shared" si="20"/>
        <v>1627.8</v>
      </c>
      <c r="BH127" s="32" cm="1">
        <f t="array" ref="BH127">IF($F$14-$I$4+VLOOKUP($R127,武学奇术!$A:$ZZ,15,FALSE)+SUM(_xlfn.XLOOKUP(S127:AG127,增益!$A:$A,增益!$O:$O,0))&gt;0,($F$14-$I$4+VLOOKUP($R127,武学奇术!$A:$ZZ,15,FALSE)+SUM(_xlfn.XLOOKUP(S127:AG127,增益!$A:$A,增益!$O:$O,0)))/200,($F$14-$I$4+VLOOKUP($R127,武学奇术!$A:$ZZ,15,FALSE)+SUM(_xlfn.XLOOKUP(S127:AG127,增益!$A:$A,增益!$O:$O,0)))/100)</f>
        <v>0</v>
      </c>
      <c r="BI127" s="32" cm="1">
        <f t="array" ref="BI127">$G$14+VLOOKUP($R127,武学奇术!$A:$ZZ,16,FALSE)+SUM(_xlfn.XLOOKUP(S127:AG127,增益!$A:$A,增益!$P:$P,0))</f>
        <v>0.15</v>
      </c>
      <c r="BJ127" s="26">
        <f>MIN(IF(VLOOKUP($R127,武学奇术!$A:$ZZ,23,FALSE)=1,100%,$B$8),100%)</f>
        <v>1</v>
      </c>
      <c r="BK127" s="26" cm="1">
        <f t="array" ref="BK127">IF(VLOOKUP($R127,武学奇术!$A:$ZZ,23,FALSE)=1,100%,MIN(80%,$B$9+VLOOKUP($R127,武学奇术!$A:$ZZ,17,FALSE)+SUM(_xlfn.XLOOKUP(S127:AG127,增益!$A:$A,增益!$Q:$Q,0)))+$B$11+SUM(_xlfn.XLOOKUP(S127:AG127,增益!$A:$A,增益!$U:$U,0)))*IF(VLOOKUP($R127,武学奇术!$A:$ZZ,24,FALSE)=1,0,1)</f>
        <v>1</v>
      </c>
      <c r="BL127" s="26" cm="1">
        <f t="array" ref="BL127">1+$B$13+VLOOKUP($R127,武学奇术!$A:$ZZ,18,FALSE)+SUM(_xlfn.XLOOKUP(S127:AG127,增益!$A:$A,增益!$R:$R,0))</f>
        <v>1.91</v>
      </c>
      <c r="BM127" s="26" cm="1">
        <f t="array" ref="BM127">IF(VLOOKUP($R127,武学奇术!$A:$ZZ,24,FALSE)=1,100%,MIN(40%,$B$10+VLOOKUP($R127,武学奇术!$A:$ZZ,19,FALSE)+SUM(_xlfn.XLOOKUP(S127:AG127,增益!$A:$A,增益!$S:$S,0)))+$B$12+SUM(_xlfn.XLOOKUP(S127:AG127,增益!$A:$A,增益!$V:$V,0)))*IF(VLOOKUP($R127,武学奇术!$A:$ZZ,23,FALSE)=1,0,1)</f>
        <v>0</v>
      </c>
      <c r="BN127" s="26" cm="1">
        <f t="array" ref="BN127">1+$B$14+VLOOKUP($R127,武学奇术!$A:$ZZ,20,FALSE)+SUM(_xlfn.XLOOKUP(S127:AG127,增益!$A:$A,增益!$T:$T,0))</f>
        <v>1.35</v>
      </c>
      <c r="BO127" s="26">
        <f t="shared" si="21"/>
        <v>1</v>
      </c>
      <c r="BP127" s="26">
        <f t="shared" si="22"/>
        <v>0</v>
      </c>
      <c r="BQ127" s="26">
        <f>IF(VLOOKUP($R127,武学奇术!$A:$ZZ,22,FALSE)=1,0,(1-$BJ127))*(1-$BM127)</f>
        <v>0</v>
      </c>
      <c r="BR127" s="26" cm="1">
        <f t="array" ref="BR127">SUM(_xlfn.XLOOKUP(S127:AG127,增益!$A:$A,增益!$W:$W,0))+$I$5</f>
        <v>0.11</v>
      </c>
    </row>
    <row r="128" spans="11:70">
      <c r="K128">
        <f>$L128*VLOOKUP($R128,武学奇术!$A:$ZZ,31,FALSE)</f>
        <v>118613.982346404</v>
      </c>
      <c r="L128" s="88">
        <f>(SUM(L103:L127)+L161+L162)*12%</f>
        <v>225931.394945532</v>
      </c>
      <c r="M128" s="38">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BL128*$Q128*(1+IF(VLOOKUP($R128,武学奇术!$A:$ZZ,30,FALSE)="回旋伞",$B$21,0))*(1+$BR128)</f>
        <v>0</v>
      </c>
      <c r="N128" s="38">
        <f>(($AP128*$AI128+$AJ128)*(1+$AQ128)*(1+$AR128)+($AU128*IF($G$1="鸣金",$AK128,$AI128)+IF($G$1="鸣金",$AL128*1.5,0))*(1+$AV128)*(1+$AW128)+($AY128*IF($G$1="裂石",$AK128,$AI128)+IF($G$1="裂石",$AL128*1.5,0))*(1+$AZ128)*(1+$BA128)+($BC128*IF($G$1="牵丝",$AK128,$AI128)+IF($G$1="牵丝",$AL128*1.5,0))*(1+$BD128)*(1+$BE128)+($BG128*IF($G$1="破竹",$AK128,$AI128)+IF($G$1="破竹",$AL128*1.5,0))*(1+$BH128)*(1+$BI128))*(1+$AM128)*$BN128*$Q128*(1+IF(VLOOKUP($R128,武学奇术!$A:$ZZ,30,FALSE)="回旋伞",$B$21,0))*(1+$BR128)</f>
        <v>0</v>
      </c>
      <c r="O128" s="38">
        <f>((($AO128+$AP128)/2*$AI128+$AJ128)*(1+$AQ128)*(1+$AR128)+(($AT128+$AU128)/2*IF($G$1="鸣金",$AK128,$AI128)+IF($G$1="鸣金",$AL128*1.5,0))*(1+$AV128)*(1+$AW128)+(($AX128+$AY128)/2*IF($G$1="裂石",$AK128,$AI128)+IF($G$1="裂石",$AL128*1.5,0))*(1+$AZ128)*(1+$BA128)+(($BB128+$BC128)/2*IF($G$1="牵丝",$AK128,$AI128)+IF($G$1="牵丝",$AL128*1.5,0))*(1+$BD128)*(1+$BE128)+(($BF128+$BG128)/2*IF($G$1="破竹",$AK128,$AI128)+IF($G$1="破竹",$AL128*1.5,0))*(1+$BH128)*(1+$BI128))*(1+$AM128)*$Q128*(1+IF(VLOOKUP($R128,武学奇术!$A:$ZZ,30,FALSE)="回旋伞",$B$21,0))*(1+$BR128)</f>
        <v>0</v>
      </c>
      <c r="P128" s="38">
        <f>((($AO128*$AI128+$AJ128)*(1+$AQ128)*(1+$AR128)+($AT128*IF($G$1="鸣金",$AK128,$AI128)+IF($G$1="鸣金",$AL128*1.5,0))*(1+$AV128)*(1+$AW128)+($AX128*IF($G$1="裂石",$AK128,$AI128)+IF($G$1="裂石",$AL128*1.5,0))*(1+$AZ128)*(1+$BA128)+($BB128*IF($G$1="牵丝",$AK128,$AI128)+IF($G$1="牵丝",$AL128*1.5,0))*(1+$BD128)*(1+$BE128)+($BF128*IF($G$1="破竹",$AK128,$AI128)+IF($G$1="破竹",$AL128*1.5,0))*(1+$BH128)*(1+$BI128))*(1+$AM128))*$Q128*(1+IF(VLOOKUP($R128,武学奇术!$A:$ZZ,30,FALSE)="回旋伞",$B$21,0))*(1+$BR128)</f>
        <v>0</v>
      </c>
      <c r="Q128" s="39">
        <v>1</v>
      </c>
      <c r="R128" s="40" t="s">
        <v>167</v>
      </c>
      <c r="S128" s="40" t="s">
        <v>72</v>
      </c>
      <c r="T128" s="40" t="s">
        <v>72</v>
      </c>
      <c r="U128" s="40" t="s">
        <v>72</v>
      </c>
      <c r="V128" s="40" t="s">
        <v>72</v>
      </c>
      <c r="W128" s="40" t="s">
        <v>72</v>
      </c>
      <c r="X128" s="40" t="s">
        <v>72</v>
      </c>
      <c r="Y128" s="40" t="s">
        <v>72</v>
      </c>
      <c r="Z128" s="40" t="s">
        <v>72</v>
      </c>
      <c r="AA128" s="40" t="s">
        <v>72</v>
      </c>
      <c r="AB128" s="40" t="s">
        <v>72</v>
      </c>
      <c r="AC128" s="40" t="s">
        <v>72</v>
      </c>
      <c r="AD128" s="40" t="s">
        <v>72</v>
      </c>
      <c r="AE128" s="40" t="s">
        <v>72</v>
      </c>
      <c r="AF128" s="40" t="s">
        <v>72</v>
      </c>
      <c r="AG128" s="40" t="s">
        <v>78</v>
      </c>
      <c r="AH128" t="str">
        <f>VLOOKUP($R128,武学奇术!$A:$ZZ,25,FALSE)</f>
        <v>心法</v>
      </c>
      <c r="AI128" s="26">
        <f>VLOOKUP($R128,武学奇术!$A:$ZZ,26,FALSE)</f>
        <v>0</v>
      </c>
      <c r="AJ128" s="27">
        <f>VLOOKUP($R128,武学奇术!$A:$ZZ,27,FALSE)*(1+IF(OR($AH128=$F$4,$AH128=$F$5),$B$22,0))</f>
        <v>0</v>
      </c>
      <c r="AK128" s="26">
        <f>VLOOKUP($R128,武学奇术!$A:$ZZ,28,FALSE)</f>
        <v>0</v>
      </c>
      <c r="AL128" s="27">
        <f>VLOOKUP($R128,武学奇术!$A:$ZZ,29,FALSE)*(1+IF(OR($AH128=$F$4,$AH128=$F$5),$B$22,0))</f>
        <v>0</v>
      </c>
      <c r="AM128" s="26" cm="1">
        <f t="array" ref="AM128">$G$3+IFERROR(VLOOKUP($AH128,$F$4:$G$7,2,FALSE),0)+VLOOKUP($R128,武学奇术!$A:$ZZ,2,FALSE)+SUM(_xlfn.XLOOKUP($S128:$AG128,增益!$A:$A,增益!$B:$B,0))</f>
        <v>0.1037</v>
      </c>
      <c r="AN128" s="26" cm="1">
        <f t="array" ref="AN128">VLOOKUP($R128,武学奇术!$A:$ZZ,5,FALSE)+SUM(_xlfn.XLOOKUP($S128:$AG128,增益!$A:$A,增益!$E:$E,0))</f>
        <v>0</v>
      </c>
      <c r="AO128" cm="1">
        <f t="array" ref="AO128">$D$10*(1+$AN128)+VLOOKUP($R128,武学奇术!$A:$ZZ,3,FALSE)+SUM(_xlfn.XLOOKUP($S128:$AG128,增益!$A:$A,增益!$C:$C,0))-$I$2</f>
        <v>3562.6</v>
      </c>
      <c r="AP128" cm="1">
        <f t="array" ref="AP128">$E$10*(1+$AN128)+VLOOKUP($R128,武学奇术!$A:$ZZ,4,FALSE)+SUM(_xlfn.XLOOKUP($S128:$AG128,增益!$A:$A,增益!$D:$D,0))-$I$2</f>
        <v>3562.6</v>
      </c>
      <c r="AQ128" s="32" cm="1">
        <f t="array" ref="AQ128">IF($F$10-$I$3+VLOOKUP($R128,武学奇术!$A:$ZZ,6,FALSE)+SUM(_xlfn.XLOOKUP(S128:AG128,增益!$A:$A,增益!$F:$F,0))&gt;0,($F$10-$I$3+VLOOKUP($R128,武学奇术!$A:$ZZ,6,FALSE)+SUM(_xlfn.XLOOKUP(S128:AG128,增益!$A:$A,增益!$F:$F,0)))/200,($F$10-$I$3+VLOOKUP($R128,武学奇术!$A:$ZZ,6,FALSE)+SUM(_xlfn.XLOOKUP(S128:AG128,增益!$A:$A,增益!$F:$F,0)))/100)</f>
        <v>0.1925</v>
      </c>
      <c r="AR128" s="32" cm="1">
        <f t="array" ref="AR128">$G$10+VLOOKUP($R128,武学奇术!$A:$ZZ,7,FALSE)+SUM(_xlfn.XLOOKUP(S128:AG128,增益!$A:$A,增益!$G:$G,0))</f>
        <v>0.028</v>
      </c>
      <c r="AS128" s="26" cm="1">
        <f t="array" ref="AS128">VLOOKUP($R128,武学奇术!$A:$ZZ,8,FALSE)+SUM(_xlfn.XLOOKUP(S128:AG128,增益!$A:$A,增益!$H:$H,0))</f>
        <v>0</v>
      </c>
      <c r="AT128">
        <f t="shared" si="13"/>
        <v>0</v>
      </c>
      <c r="AU128">
        <f t="shared" si="14"/>
        <v>0</v>
      </c>
      <c r="AV128" s="32" cm="1">
        <f t="array" ref="AV128">IF($F$11-$I$4+VLOOKUP($R128,武学奇术!$A:$ZZ,9,FALSE)+SUM(_xlfn.XLOOKUP(S128:AG128,增益!$A:$A,增益!$I:$I,0))&gt;0,($F$11-$I$4+VLOOKUP($R128,武学奇术!$A:$ZZ,9,FALSE)+SUM(_xlfn.XLOOKUP(S128:AG128,增益!$A:$A,增益!$I:$I,0)))/200,($F$11-$I$4+VLOOKUP($R128,武学奇术!$A:$ZZ,9,FALSE)+SUM(_xlfn.XLOOKUP(S128:AG128,增益!$A:$A,增益!$I:$I,0)))/100)</f>
        <v>-0.3</v>
      </c>
      <c r="AW128" s="32" cm="1">
        <f t="array" ref="AW128">$G$11+VLOOKUP($R128,武学奇术!$A:$ZZ,10,FALSE)+SUM(_xlfn.XLOOKUP(S128:AG128,增益!$A:$A,增益!$J:$J,0))</f>
        <v>0</v>
      </c>
      <c r="AX128">
        <f t="shared" si="15"/>
        <v>0</v>
      </c>
      <c r="AY128">
        <f t="shared" si="16"/>
        <v>0</v>
      </c>
      <c r="AZ128" s="32" cm="1">
        <f t="array" ref="AZ128">IF($F$12-$I$4+VLOOKUP($R128,武学奇术!$A:$ZZ,11,FALSE)+SUM(_xlfn.XLOOKUP(S128:AG128,增益!$A:$A,增益!$K:$K,0))&gt;0,($F$12-$I$4+VLOOKUP($R128,武学奇术!$A:$ZZ,11,FALSE)+SUM(_xlfn.XLOOKUP(S128:AG128,增益!$A:$A,增益!$K:$K,0)))/200,($F$12-$I$4+VLOOKUP($R128,武学奇术!$A:$ZZ,11,FALSE)+SUM(_xlfn.XLOOKUP(S128:AG128,增益!$A:$A,增益!$K:$K,0)))/100)</f>
        <v>-0.3</v>
      </c>
      <c r="BA128" s="32" cm="1">
        <f t="array" ref="BA128">$G$12+VLOOKUP($R128,武学奇术!$A:$ZZ,12,FALSE)+SUM(_xlfn.XLOOKUP(S128:AG128,增益!$A:$A,增益!$L:$L,0))</f>
        <v>0</v>
      </c>
      <c r="BB128">
        <f t="shared" si="17"/>
        <v>0</v>
      </c>
      <c r="BC128">
        <f t="shared" si="18"/>
        <v>0</v>
      </c>
      <c r="BD128" s="32" cm="1">
        <f t="array" ref="BD128">IF($F$13-$I$4+VLOOKUP($R128,武学奇术!$A:$ZZ,13,FALSE)+SUM(_xlfn.XLOOKUP(S128:AG128,增益!$A:$A,增益!$M:$M,0))&gt;0,($F$13-$I$4+VLOOKUP($R128,武学奇术!$A:$ZZ,13,FALSE)+SUM(_xlfn.XLOOKUP(S128:AG128,增益!$A:$A,增益!$K:$K,0)))/200,($F$13-$I$4+VLOOKUP($R128,武学奇术!$A:$ZZ,13,FALSE)+SUM(_xlfn.XLOOKUP(S128:AG128,增益!$A:$A,增益!$M:$M,0)))/100)</f>
        <v>-0.3</v>
      </c>
      <c r="BE128" s="32" cm="1">
        <f t="array" ref="BE128">$G$13+VLOOKUP($R128,武学奇术!$A:$ZZ,14,FALSE)+SUM(_xlfn.XLOOKUP(S128:AG128,增益!$A:$A,增益!$N:$N,0))</f>
        <v>0</v>
      </c>
      <c r="BF128">
        <f t="shared" si="19"/>
        <v>571.2</v>
      </c>
      <c r="BG128">
        <f t="shared" si="20"/>
        <v>1627.8</v>
      </c>
      <c r="BH128" s="32" cm="1">
        <f t="array" ref="BH128">IF($F$14-$I$4+VLOOKUP($R128,武学奇术!$A:$ZZ,15,FALSE)+SUM(_xlfn.XLOOKUP(S128:AG128,增益!$A:$A,增益!$O:$O,0))&gt;0,($F$14-$I$4+VLOOKUP($R128,武学奇术!$A:$ZZ,15,FALSE)+SUM(_xlfn.XLOOKUP(S128:AG128,增益!$A:$A,增益!$O:$O,0)))/200,($F$14-$I$4+VLOOKUP($R128,武学奇术!$A:$ZZ,15,FALSE)+SUM(_xlfn.XLOOKUP(S128:AG128,增益!$A:$A,增益!$O:$O,0)))/100)</f>
        <v>0</v>
      </c>
      <c r="BI128" s="32" cm="1">
        <f t="array" ref="BI128">$G$14+VLOOKUP($R128,武学奇术!$A:$ZZ,16,FALSE)+SUM(_xlfn.XLOOKUP(S128:AG128,增益!$A:$A,增益!$P:$P,0))</f>
        <v>0.15</v>
      </c>
      <c r="BJ128" s="26">
        <f>MIN(IF(VLOOKUP($R128,武学奇术!$A:$ZZ,23,FALSE)=1,100%,$B$8),100%)</f>
        <v>0.981</v>
      </c>
      <c r="BK128" s="26" cm="1">
        <f t="array" ref="BK128">IF(VLOOKUP($R128,武学奇术!$A:$ZZ,23,FALSE)=1,100%,MIN(80%,$B$9+VLOOKUP($R128,武学奇术!$A:$ZZ,17,FALSE)+SUM(_xlfn.XLOOKUP(S128:AG128,增益!$A:$A,增益!$Q:$Q,0)))+$B$11+SUM(_xlfn.XLOOKUP(S128:AG128,增益!$A:$A,增益!$U:$U,0)))*IF(VLOOKUP($R128,武学奇术!$A:$ZZ,24,FALSE)=1,0,1)</f>
        <v>0.846</v>
      </c>
      <c r="BL128" s="26" cm="1">
        <f t="array" ref="BL128">1+$B$13+VLOOKUP($R128,武学奇术!$A:$ZZ,18,FALSE)+SUM(_xlfn.XLOOKUP(S128:AG128,增益!$A:$A,增益!$R:$R,0))</f>
        <v>1.54</v>
      </c>
      <c r="BM128" s="26" cm="1">
        <f t="array" ref="BM128">IF(VLOOKUP($R128,武学奇术!$A:$ZZ,24,FALSE)=1,100%,MIN(40%,$B$10+VLOOKUP($R128,武学奇术!$A:$ZZ,19,FALSE)+SUM(_xlfn.XLOOKUP(S128:AG128,增益!$A:$A,增益!$S:$S,0)))+$B$12+SUM(_xlfn.XLOOKUP(S128:AG128,增益!$A:$A,增益!$V:$V,0)))*IF(VLOOKUP($R128,武学奇术!$A:$ZZ,23,FALSE)=1,0,1)</f>
        <v>0.0929</v>
      </c>
      <c r="BN128" s="26" cm="1">
        <f t="array" ref="BN128">1+$B$14+VLOOKUP($R128,武学奇术!$A:$ZZ,20,FALSE)+SUM(_xlfn.XLOOKUP(S128:AG128,增益!$A:$A,增益!$T:$T,0))</f>
        <v>1.35</v>
      </c>
      <c r="BO128" s="26">
        <f t="shared" si="21"/>
        <v>0.829926</v>
      </c>
      <c r="BP128" s="26">
        <f t="shared" si="22"/>
        <v>0.0599391</v>
      </c>
      <c r="BQ128" s="26">
        <f>IF(VLOOKUP($R128,武学奇术!$A:$ZZ,22,FALSE)=1,0,(1-$BJ128))*(1-$BM128)</f>
        <v>0.0172349</v>
      </c>
      <c r="BR128" s="26" cm="1">
        <f t="array" ref="BR128">SUM(_xlfn.XLOOKUP(S128:AG128,增益!$A:$A,增益!$W:$W,0))+$I$5</f>
        <v>0.11</v>
      </c>
    </row>
    <row r="129" spans="11:70">
      <c r="K129">
        <f>$L129*VLOOKUP($R129,武学奇术!$A:$ZZ,31,FALSE)</f>
        <v>30611.0883086087</v>
      </c>
      <c r="L129" s="38">
        <f t="shared" ref="L129:L150" si="25">($M129*$BO129+$N129*$BM129+$O129*$BP129+$P129*$BQ129)</f>
        <v>29153.4174367702</v>
      </c>
      <c r="M129" s="38">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BL129*$Q129*(1+IF(VLOOKUP($R129,武学奇术!$A:$ZZ,30,FALSE)="回旋伞",$B$21,0))*(1+$BR129)</f>
        <v>30902.4353046128</v>
      </c>
      <c r="N129" s="38">
        <f>(($AP129*$AI129+$AJ129)*(1+$AQ129)*(1+$AR129)+($AU129*IF($G$1="鸣金",$AK129,$AI129)+IF($G$1="鸣金",$AL129*1.5,0))*(1+$AV129)*(1+$AW129)+($AY129*IF($G$1="裂石",$AK129,$AI129)+IF($G$1="裂石",$AL129*1.5,0))*(1+$AZ129)*(1+$BA129)+($BC129*IF($G$1="牵丝",$AK129,$AI129)+IF($G$1="牵丝",$AL129*1.5,0))*(1+$BD129)*(1+$BE129)+($BG129*IF($G$1="破竹",$AK129,$AI129)+IF($G$1="破竹",$AL129*1.5,0))*(1+$BH129)*(1+$BI129))*(1+$AM129)*$BN129*$Q129*(1+IF(VLOOKUP($R129,武学奇术!$A:$ZZ,30,FALSE)="回旋伞",$B$21,0))*(1+$BR129)</f>
        <v>24698.99173599</v>
      </c>
      <c r="O129" s="38">
        <f>((($AO129+$AP129)/2*$AI129+$AJ129)*(1+$AQ129)*(1+$AR129)+(($AT129+$AU129)/2*IF($G$1="鸣金",$AK129,$AI129)+IF($G$1="鸣金",$AL129*1.5,0))*(1+$AV129)*(1+$AW129)+(($AX129+$AY129)/2*IF($G$1="裂石",$AK129,$AI129)+IF($G$1="裂石",$AL129*1.5,0))*(1+$AZ129)*(1+$BA129)+(($BB129+$BC129)/2*IF($G$1="牵丝",$AK129,$AI129)+IF($G$1="牵丝",$AL129*1.5,0))*(1+$BD129)*(1+$BE129)+(($BF129+$BG129)/2*IF($G$1="破竹",$AK129,$AI129)+IF($G$1="破竹",$AL129*1.5,0))*(1+$BH129)*(1+$BI129))*(1+$AM129)*$Q129*(1+IF(VLOOKUP($R129,武学奇术!$A:$ZZ,30,FALSE)="回旋伞",$B$21,0))*(1+$BR129)</f>
        <v>16179.2854997973</v>
      </c>
      <c r="P129" s="38">
        <f>((($AO129*$AI129+$AJ129)*(1+$AQ129)*(1+$AR129)+($AT129*IF($G$1="鸣金",$AK129,$AI129)+IF($G$1="鸣金",$AL129*1.5,0))*(1+$AV129)*(1+$AW129)+($AX129*IF($G$1="裂石",$AK129,$AI129)+IF($G$1="裂石",$AL129*1.5,0))*(1+$AZ129)*(1+$BA129)+($BB129*IF($G$1="牵丝",$AK129,$AI129)+IF($G$1="牵丝",$AL129*1.5,0))*(1+$BD129)*(1+$BE129)+($BF129*IF($G$1="破竹",$AK129,$AI129)+IF($G$1="破竹",$AL129*1.5,0))*(1+$BH129)*(1+$BI129))*(1+$AM129))*$Q129*(1+IF(VLOOKUP($R129,武学奇术!$A:$ZZ,30,FALSE)="回旋伞",$B$21,0))*(1+$BR129)</f>
        <v>14063.0215655278</v>
      </c>
      <c r="Q129" s="39">
        <v>1</v>
      </c>
      <c r="R129" s="40" t="s">
        <v>71</v>
      </c>
      <c r="S129" s="40" t="s">
        <v>72</v>
      </c>
      <c r="T129" s="40" t="s">
        <v>95</v>
      </c>
      <c r="U129" s="40" t="s">
        <v>73</v>
      </c>
      <c r="V129" s="40" t="s">
        <v>81</v>
      </c>
      <c r="W129" s="40" t="s">
        <v>172</v>
      </c>
      <c r="X129" s="40" t="s">
        <v>99</v>
      </c>
      <c r="Y129" s="40" t="s">
        <v>72</v>
      </c>
      <c r="Z129" s="40" t="s">
        <v>72</v>
      </c>
      <c r="AA129" s="40" t="s">
        <v>72</v>
      </c>
      <c r="AB129" s="40" t="s">
        <v>72</v>
      </c>
      <c r="AC129" s="40" t="s">
        <v>72</v>
      </c>
      <c r="AD129" s="40" t="s">
        <v>72</v>
      </c>
      <c r="AE129" s="40" t="s">
        <v>72</v>
      </c>
      <c r="AF129" s="40" t="s">
        <v>72</v>
      </c>
      <c r="AG129" s="40" t="s">
        <v>78</v>
      </c>
      <c r="AH129" t="str">
        <f>VLOOKUP($R129,武学奇术!$A:$ZZ,25,FALSE)</f>
        <v>群体奇术</v>
      </c>
      <c r="AI129" s="26">
        <f>VLOOKUP($R129,武学奇术!$A:$ZZ,26,FALSE)</f>
        <v>1.4904</v>
      </c>
      <c r="AJ129" s="27">
        <f>VLOOKUP($R129,武学奇术!$A:$ZZ,27,FALSE)*(1+IF(OR($AH129=$F$4,$AH129=$F$5),$B$22,0))</f>
        <v>378</v>
      </c>
      <c r="AK129" s="26">
        <f>VLOOKUP($R129,武学奇术!$A:$ZZ,28,FALSE)</f>
        <v>2.2356</v>
      </c>
      <c r="AL129" s="27">
        <f>VLOOKUP($R129,武学奇术!$A:$ZZ,29,FALSE)*(1+IF(OR($AH129=$F$4,$AH129=$F$5),$B$22,0))</f>
        <v>0</v>
      </c>
      <c r="AM129" s="26" cm="1">
        <f t="array" ref="AM129">$G$3+IFERROR(VLOOKUP($AH129,$F$4:$G$7,2,FALSE),0)+VLOOKUP($R129,武学奇术!$A:$ZZ,2,FALSE)+SUM(_xlfn.XLOOKUP($S129:$AG129,增益!$A:$A,增益!$B:$B,0))</f>
        <v>0.4037</v>
      </c>
      <c r="AN129" s="26" cm="1">
        <f t="array" ref="AN129">VLOOKUP($R129,武学奇术!$A:$ZZ,5,FALSE)+SUM(_xlfn.XLOOKUP($S129:$AG129,增益!$A:$A,增益!$E:$E,0))</f>
        <v>0</v>
      </c>
      <c r="AO129" cm="1">
        <f t="array" ref="AO129">$D$10*(1+$AN129)+VLOOKUP($R129,武学奇术!$A:$ZZ,3,FALSE)+SUM(_xlfn.XLOOKUP($S129:$AG129,增益!$A:$A,增益!$C:$C,0))-$I$2</f>
        <v>3562.6</v>
      </c>
      <c r="AP129" cm="1">
        <f t="array" ref="AP129">$E$10*(1+$AN129)+VLOOKUP($R129,武学奇术!$A:$ZZ,4,FALSE)+SUM(_xlfn.XLOOKUP($S129:$AG129,增益!$A:$A,增益!$D:$D,0))-$I$2</f>
        <v>3562.6</v>
      </c>
      <c r="AQ129" s="32" cm="1">
        <f t="array" ref="AQ129">IF($F$10-$I$3+VLOOKUP($R129,武学奇术!$A:$ZZ,6,FALSE)+SUM(_xlfn.XLOOKUP(S129:AG129,增益!$A:$A,增益!$F:$F,0))&gt;0,($F$10-$I$3+VLOOKUP($R129,武学奇术!$A:$ZZ,6,FALSE)+SUM(_xlfn.XLOOKUP(S129:AG129,增益!$A:$A,增益!$F:$F,0)))/200,($F$10-$I$3+VLOOKUP($R129,武学奇术!$A:$ZZ,6,FALSE)+SUM(_xlfn.XLOOKUP(S129:AG129,增益!$A:$A,增益!$F:$F,0)))/100)</f>
        <v>0.2925</v>
      </c>
      <c r="AR129" s="32" cm="1">
        <f t="array" ref="AR129">$G$10+VLOOKUP($R129,武学奇术!$A:$ZZ,7,FALSE)+SUM(_xlfn.XLOOKUP(S129:AG129,增益!$A:$A,增益!$G:$G,0))</f>
        <v>0.028</v>
      </c>
      <c r="AS129" s="26" cm="1">
        <f t="array" ref="AS129">VLOOKUP($R129,武学奇术!$A:$ZZ,8,FALSE)+SUM(_xlfn.XLOOKUP(S129:AG129,增益!$A:$A,增益!$H:$H,0))</f>
        <v>0</v>
      </c>
      <c r="AT129">
        <f t="shared" si="13"/>
        <v>0</v>
      </c>
      <c r="AU129">
        <f t="shared" si="14"/>
        <v>0</v>
      </c>
      <c r="AV129" s="32" cm="1">
        <f t="array" ref="AV129">IF($F$11-$I$4+VLOOKUP($R129,武学奇术!$A:$ZZ,9,FALSE)+SUM(_xlfn.XLOOKUP(S129:AG129,增益!$A:$A,增益!$I:$I,0))&gt;0,($F$11-$I$4+VLOOKUP($R129,武学奇术!$A:$ZZ,9,FALSE)+SUM(_xlfn.XLOOKUP(S129:AG129,增益!$A:$A,增益!$I:$I,0)))/200,($F$11-$I$4+VLOOKUP($R129,武学奇术!$A:$ZZ,9,FALSE)+SUM(_xlfn.XLOOKUP(S129:AG129,增益!$A:$A,增益!$I:$I,0)))/100)</f>
        <v>-0.3</v>
      </c>
      <c r="AW129" s="32" cm="1">
        <f t="array" ref="AW129">$G$11+VLOOKUP($R129,武学奇术!$A:$ZZ,10,FALSE)+SUM(_xlfn.XLOOKUP(S129:AG129,增益!$A:$A,增益!$J:$J,0))</f>
        <v>0</v>
      </c>
      <c r="AX129">
        <f t="shared" si="15"/>
        <v>0</v>
      </c>
      <c r="AY129">
        <f t="shared" si="16"/>
        <v>0</v>
      </c>
      <c r="AZ129" s="32" cm="1">
        <f t="array" ref="AZ129">IF($F$12-$I$4+VLOOKUP($R129,武学奇术!$A:$ZZ,11,FALSE)+SUM(_xlfn.XLOOKUP(S129:AG129,增益!$A:$A,增益!$K:$K,0))&gt;0,($F$12-$I$4+VLOOKUP($R129,武学奇术!$A:$ZZ,11,FALSE)+SUM(_xlfn.XLOOKUP(S129:AG129,增益!$A:$A,增益!$K:$K,0)))/200,($F$12-$I$4+VLOOKUP($R129,武学奇术!$A:$ZZ,11,FALSE)+SUM(_xlfn.XLOOKUP(S129:AG129,增益!$A:$A,增益!$K:$K,0)))/100)</f>
        <v>-0.3</v>
      </c>
      <c r="BA129" s="32" cm="1">
        <f t="array" ref="BA129">$G$12+VLOOKUP($R129,武学奇术!$A:$ZZ,12,FALSE)+SUM(_xlfn.XLOOKUP(S129:AG129,增益!$A:$A,增益!$L:$L,0))</f>
        <v>0</v>
      </c>
      <c r="BB129">
        <f t="shared" si="17"/>
        <v>0</v>
      </c>
      <c r="BC129">
        <f t="shared" si="18"/>
        <v>0</v>
      </c>
      <c r="BD129" s="32" cm="1">
        <f t="array" ref="BD129">IF($F$13-$I$4+VLOOKUP($R129,武学奇术!$A:$ZZ,13,FALSE)+SUM(_xlfn.XLOOKUP(S129:AG129,增益!$A:$A,增益!$M:$M,0))&gt;0,($F$13-$I$4+VLOOKUP($R129,武学奇术!$A:$ZZ,13,FALSE)+SUM(_xlfn.XLOOKUP(S129:AG129,增益!$A:$A,增益!$K:$K,0)))/200,($F$13-$I$4+VLOOKUP($R129,武学奇术!$A:$ZZ,13,FALSE)+SUM(_xlfn.XLOOKUP(S129:AG129,增益!$A:$A,增益!$M:$M,0)))/100)</f>
        <v>-0.3</v>
      </c>
      <c r="BE129" s="32" cm="1">
        <f t="array" ref="BE129">$G$13+VLOOKUP($R129,武学奇术!$A:$ZZ,14,FALSE)+SUM(_xlfn.XLOOKUP(S129:AG129,增益!$A:$A,增益!$N:$N,0))</f>
        <v>0</v>
      </c>
      <c r="BF129">
        <f t="shared" si="19"/>
        <v>571.2</v>
      </c>
      <c r="BG129">
        <f t="shared" si="20"/>
        <v>1627.8</v>
      </c>
      <c r="BH129" s="32" cm="1">
        <f t="array" ref="BH129">IF($F$14-$I$4+VLOOKUP($R129,武学奇术!$A:$ZZ,15,FALSE)+SUM(_xlfn.XLOOKUP(S129:AG129,增益!$A:$A,增益!$O:$O,0))&gt;0,($F$14-$I$4+VLOOKUP($R129,武学奇术!$A:$ZZ,15,FALSE)+SUM(_xlfn.XLOOKUP(S129:AG129,增益!$A:$A,增益!$O:$O,0)))/200,($F$14-$I$4+VLOOKUP($R129,武学奇术!$A:$ZZ,15,FALSE)+SUM(_xlfn.XLOOKUP(S129:AG129,增益!$A:$A,增益!$O:$O,0)))/100)</f>
        <v>0</v>
      </c>
      <c r="BI129" s="32" cm="1">
        <f t="array" ref="BI129">$G$14+VLOOKUP($R129,武学奇术!$A:$ZZ,16,FALSE)+SUM(_xlfn.XLOOKUP(S129:AG129,增益!$A:$A,增益!$P:$P,0))</f>
        <v>0.15</v>
      </c>
      <c r="BJ129" s="26">
        <f>MIN(IF(VLOOKUP($R129,武学奇术!$A:$ZZ,23,FALSE)=1,100%,$B$8),100%)</f>
        <v>0.981</v>
      </c>
      <c r="BK129" s="26" cm="1">
        <f t="array" ref="BK129">IF(VLOOKUP($R129,武学奇术!$A:$ZZ,23,FALSE)=1,100%,MIN(80%,$B$9+VLOOKUP($R129,武学奇术!$A:$ZZ,17,FALSE)+SUM(_xlfn.XLOOKUP(S129:AG129,增益!$A:$A,增益!$Q:$Q,0)))+$B$11+SUM(_xlfn.XLOOKUP(S129:AG129,增益!$A:$A,增益!$U:$U,0)))*IF(VLOOKUP($R129,武学奇术!$A:$ZZ,24,FALSE)=1,0,1)</f>
        <v>0.846</v>
      </c>
      <c r="BL129" s="26" cm="1">
        <f t="array" ref="BL129">1+$B$13+VLOOKUP($R129,武学奇术!$A:$ZZ,18,FALSE)+SUM(_xlfn.XLOOKUP(S129:AG129,增益!$A:$A,增益!$R:$R,0))</f>
        <v>1.91</v>
      </c>
      <c r="BM129" s="26" cm="1">
        <f t="array" ref="BM129">IF(VLOOKUP($R129,武学奇术!$A:$ZZ,24,FALSE)=1,100%,MIN(40%,$B$10+VLOOKUP($R129,武学奇术!$A:$ZZ,19,FALSE)+SUM(_xlfn.XLOOKUP(S129:AG129,增益!$A:$A,增益!$S:$S,0)))+$B$12+SUM(_xlfn.XLOOKUP(S129:AG129,增益!$A:$A,增益!$V:$V,0)))*IF(VLOOKUP($R129,武学奇术!$A:$ZZ,23,FALSE)=1,0,1)</f>
        <v>0.0929</v>
      </c>
      <c r="BN129" s="26" cm="1">
        <f t="array" ref="BN129">1+$B$14+VLOOKUP($R129,武学奇术!$A:$ZZ,20,FALSE)+SUM(_xlfn.XLOOKUP(S129:AG129,增益!$A:$A,增益!$T:$T,0))</f>
        <v>1.35</v>
      </c>
      <c r="BO129" s="26">
        <f t="shared" si="21"/>
        <v>0.829926</v>
      </c>
      <c r="BP129" s="26">
        <f t="shared" si="22"/>
        <v>0.0599391</v>
      </c>
      <c r="BQ129" s="26">
        <f>IF(VLOOKUP($R129,武学奇术!$A:$ZZ,22,FALSE)=1,0,(1-$BJ129))*(1-$BM129)</f>
        <v>0.0172349</v>
      </c>
      <c r="BR129" s="26" cm="1">
        <f t="array" ref="BR129">SUM(_xlfn.XLOOKUP(S129:AG129,增益!$A:$A,增益!$W:$W,0))+$I$5</f>
        <v>0.11</v>
      </c>
    </row>
    <row r="130" spans="11:70">
      <c r="K130">
        <f>$L130*VLOOKUP($R130,武学奇术!$A:$ZZ,31,FALSE)</f>
        <v>30611.0883086087</v>
      </c>
      <c r="L130" s="38">
        <f t="shared" si="25"/>
        <v>29153.4174367702</v>
      </c>
      <c r="M130" s="38">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BL130*$Q130*(1+IF(VLOOKUP($R130,武学奇术!$A:$ZZ,30,FALSE)="回旋伞",$B$21,0))*(1+$BR130)</f>
        <v>30902.4353046128</v>
      </c>
      <c r="N130" s="38">
        <f>(($AP130*$AI130+$AJ130)*(1+$AQ130)*(1+$AR130)+($AU130*IF($G$1="鸣金",$AK130,$AI130)+IF($G$1="鸣金",$AL130*1.5,0))*(1+$AV130)*(1+$AW130)+($AY130*IF($G$1="裂石",$AK130,$AI130)+IF($G$1="裂石",$AL130*1.5,0))*(1+$AZ130)*(1+$BA130)+($BC130*IF($G$1="牵丝",$AK130,$AI130)+IF($G$1="牵丝",$AL130*1.5,0))*(1+$BD130)*(1+$BE130)+($BG130*IF($G$1="破竹",$AK130,$AI130)+IF($G$1="破竹",$AL130*1.5,0))*(1+$BH130)*(1+$BI130))*(1+$AM130)*$BN130*$Q130*(1+IF(VLOOKUP($R130,武学奇术!$A:$ZZ,30,FALSE)="回旋伞",$B$21,0))*(1+$BR130)</f>
        <v>24698.99173599</v>
      </c>
      <c r="O130" s="38">
        <f>((($AO130+$AP130)/2*$AI130+$AJ130)*(1+$AQ130)*(1+$AR130)+(($AT130+$AU130)/2*IF($G$1="鸣金",$AK130,$AI130)+IF($G$1="鸣金",$AL130*1.5,0))*(1+$AV130)*(1+$AW130)+(($AX130+$AY130)/2*IF($G$1="裂石",$AK130,$AI130)+IF($G$1="裂石",$AL130*1.5,0))*(1+$AZ130)*(1+$BA130)+(($BB130+$BC130)/2*IF($G$1="牵丝",$AK130,$AI130)+IF($G$1="牵丝",$AL130*1.5,0))*(1+$BD130)*(1+$BE130)+(($BF130+$BG130)/2*IF($G$1="破竹",$AK130,$AI130)+IF($G$1="破竹",$AL130*1.5,0))*(1+$BH130)*(1+$BI130))*(1+$AM130)*$Q130*(1+IF(VLOOKUP($R130,武学奇术!$A:$ZZ,30,FALSE)="回旋伞",$B$21,0))*(1+$BR130)</f>
        <v>16179.2854997973</v>
      </c>
      <c r="P130" s="38">
        <f>((($AO130*$AI130+$AJ130)*(1+$AQ130)*(1+$AR130)+($AT130*IF($G$1="鸣金",$AK130,$AI130)+IF($G$1="鸣金",$AL130*1.5,0))*(1+$AV130)*(1+$AW130)+($AX130*IF($G$1="裂石",$AK130,$AI130)+IF($G$1="裂石",$AL130*1.5,0))*(1+$AZ130)*(1+$BA130)+($BB130*IF($G$1="牵丝",$AK130,$AI130)+IF($G$1="牵丝",$AL130*1.5,0))*(1+$BD130)*(1+$BE130)+($BF130*IF($G$1="破竹",$AK130,$AI130)+IF($G$1="破竹",$AL130*1.5,0))*(1+$BH130)*(1+$BI130))*(1+$AM130))*$Q130*(1+IF(VLOOKUP($R130,武学奇术!$A:$ZZ,30,FALSE)="回旋伞",$B$21,0))*(1+$BR130)</f>
        <v>14063.0215655278</v>
      </c>
      <c r="Q130" s="39">
        <v>1</v>
      </c>
      <c r="R130" s="40" t="s">
        <v>71</v>
      </c>
      <c r="S130" s="40" t="s">
        <v>72</v>
      </c>
      <c r="T130" s="40" t="s">
        <v>95</v>
      </c>
      <c r="U130" s="40" t="s">
        <v>73</v>
      </c>
      <c r="V130" s="40" t="s">
        <v>81</v>
      </c>
      <c r="W130" s="40" t="s">
        <v>172</v>
      </c>
      <c r="X130" s="40" t="s">
        <v>99</v>
      </c>
      <c r="Y130" s="40" t="s">
        <v>72</v>
      </c>
      <c r="Z130" s="40" t="s">
        <v>72</v>
      </c>
      <c r="AA130" s="40" t="s">
        <v>72</v>
      </c>
      <c r="AB130" s="40" t="s">
        <v>72</v>
      </c>
      <c r="AC130" s="40" t="s">
        <v>72</v>
      </c>
      <c r="AD130" s="40" t="s">
        <v>72</v>
      </c>
      <c r="AE130" s="40" t="s">
        <v>72</v>
      </c>
      <c r="AF130" s="40" t="s">
        <v>72</v>
      </c>
      <c r="AG130" s="40" t="s">
        <v>78</v>
      </c>
      <c r="AH130" t="str">
        <f>VLOOKUP($R130,武学奇术!$A:$ZZ,25,FALSE)</f>
        <v>群体奇术</v>
      </c>
      <c r="AI130" s="26">
        <f>VLOOKUP($R130,武学奇术!$A:$ZZ,26,FALSE)</f>
        <v>1.4904</v>
      </c>
      <c r="AJ130" s="27">
        <f>VLOOKUP($R130,武学奇术!$A:$ZZ,27,FALSE)*(1+IF(OR($AH130=$F$4,$AH130=$F$5),$B$22,0))</f>
        <v>378</v>
      </c>
      <c r="AK130" s="26">
        <f>VLOOKUP($R130,武学奇术!$A:$ZZ,28,FALSE)</f>
        <v>2.2356</v>
      </c>
      <c r="AL130" s="27">
        <f>VLOOKUP($R130,武学奇术!$A:$ZZ,29,FALSE)*(1+IF(OR($AH130=$F$4,$AH130=$F$5),$B$22,0))</f>
        <v>0</v>
      </c>
      <c r="AM130" s="26" cm="1">
        <f t="array" ref="AM130">$G$3+IFERROR(VLOOKUP($AH130,$F$4:$G$7,2,FALSE),0)+VLOOKUP($R130,武学奇术!$A:$ZZ,2,FALSE)+SUM(_xlfn.XLOOKUP($S130:$AG130,增益!$A:$A,增益!$B:$B,0))</f>
        <v>0.4037</v>
      </c>
      <c r="AN130" s="26" cm="1">
        <f t="array" ref="AN130">VLOOKUP($R130,武学奇术!$A:$ZZ,5,FALSE)+SUM(_xlfn.XLOOKUP($S130:$AG130,增益!$A:$A,增益!$E:$E,0))</f>
        <v>0</v>
      </c>
      <c r="AO130" cm="1">
        <f t="array" ref="AO130">$D$10*(1+$AN130)+VLOOKUP($R130,武学奇术!$A:$ZZ,3,FALSE)+SUM(_xlfn.XLOOKUP($S130:$AG130,增益!$A:$A,增益!$C:$C,0))-$I$2</f>
        <v>3562.6</v>
      </c>
      <c r="AP130" cm="1">
        <f t="array" ref="AP130">$E$10*(1+$AN130)+VLOOKUP($R130,武学奇术!$A:$ZZ,4,FALSE)+SUM(_xlfn.XLOOKUP($S130:$AG130,增益!$A:$A,增益!$D:$D,0))-$I$2</f>
        <v>3562.6</v>
      </c>
      <c r="AQ130" s="32" cm="1">
        <f t="array" ref="AQ130">IF($F$10-$I$3+VLOOKUP($R130,武学奇术!$A:$ZZ,6,FALSE)+SUM(_xlfn.XLOOKUP(S130:AG130,增益!$A:$A,增益!$F:$F,0))&gt;0,($F$10-$I$3+VLOOKUP($R130,武学奇术!$A:$ZZ,6,FALSE)+SUM(_xlfn.XLOOKUP(S130:AG130,增益!$A:$A,增益!$F:$F,0)))/200,($F$10-$I$3+VLOOKUP($R130,武学奇术!$A:$ZZ,6,FALSE)+SUM(_xlfn.XLOOKUP(S130:AG130,增益!$A:$A,增益!$F:$F,0)))/100)</f>
        <v>0.2925</v>
      </c>
      <c r="AR130" s="32" cm="1">
        <f t="array" ref="AR130">$G$10+VLOOKUP($R130,武学奇术!$A:$ZZ,7,FALSE)+SUM(_xlfn.XLOOKUP(S130:AG130,增益!$A:$A,增益!$G:$G,0))</f>
        <v>0.028</v>
      </c>
      <c r="AS130" s="26" cm="1">
        <f t="array" ref="AS130">VLOOKUP($R130,武学奇术!$A:$ZZ,8,FALSE)+SUM(_xlfn.XLOOKUP(S130:AG130,增益!$A:$A,增益!$H:$H,0))</f>
        <v>0</v>
      </c>
      <c r="AT130">
        <f t="shared" ref="AT130:AT164" si="26">$D$11*(1+$AS130)</f>
        <v>0</v>
      </c>
      <c r="AU130">
        <f t="shared" ref="AU130:AU164" si="27">$E$11*(1+$AS130)</f>
        <v>0</v>
      </c>
      <c r="AV130" s="32" cm="1">
        <f t="array" ref="AV130">IF($F$11-$I$4+VLOOKUP($R130,武学奇术!$A:$ZZ,9,FALSE)+SUM(_xlfn.XLOOKUP(S130:AG130,增益!$A:$A,增益!$I:$I,0))&gt;0,($F$11-$I$4+VLOOKUP($R130,武学奇术!$A:$ZZ,9,FALSE)+SUM(_xlfn.XLOOKUP(S130:AG130,增益!$A:$A,增益!$I:$I,0)))/200,($F$11-$I$4+VLOOKUP($R130,武学奇术!$A:$ZZ,9,FALSE)+SUM(_xlfn.XLOOKUP(S130:AG130,增益!$A:$A,增益!$I:$I,0)))/100)</f>
        <v>-0.3</v>
      </c>
      <c r="AW130" s="32" cm="1">
        <f t="array" ref="AW130">$G$11+VLOOKUP($R130,武学奇术!$A:$ZZ,10,FALSE)+SUM(_xlfn.XLOOKUP(S130:AG130,增益!$A:$A,增益!$J:$J,0))</f>
        <v>0</v>
      </c>
      <c r="AX130">
        <f t="shared" ref="AX130:AX164" si="28">$D$12*(1+$AS130)</f>
        <v>0</v>
      </c>
      <c r="AY130">
        <f t="shared" ref="AY130:AY164" si="29">$E$12*(1+$AS130)</f>
        <v>0</v>
      </c>
      <c r="AZ130" s="32" cm="1">
        <f t="array" ref="AZ130">IF($F$12-$I$4+VLOOKUP($R130,武学奇术!$A:$ZZ,11,FALSE)+SUM(_xlfn.XLOOKUP(S130:AG130,增益!$A:$A,增益!$K:$K,0))&gt;0,($F$12-$I$4+VLOOKUP($R130,武学奇术!$A:$ZZ,11,FALSE)+SUM(_xlfn.XLOOKUP(S130:AG130,增益!$A:$A,增益!$K:$K,0)))/200,($F$12-$I$4+VLOOKUP($R130,武学奇术!$A:$ZZ,11,FALSE)+SUM(_xlfn.XLOOKUP(S130:AG130,增益!$A:$A,增益!$K:$K,0)))/100)</f>
        <v>-0.3</v>
      </c>
      <c r="BA130" s="32" cm="1">
        <f t="array" ref="BA130">$G$12+VLOOKUP($R130,武学奇术!$A:$ZZ,12,FALSE)+SUM(_xlfn.XLOOKUP(S130:AG130,增益!$A:$A,增益!$L:$L,0))</f>
        <v>0</v>
      </c>
      <c r="BB130">
        <f t="shared" ref="BB130:BB164" si="30">$D$13*(1+$AS130)</f>
        <v>0</v>
      </c>
      <c r="BC130">
        <f t="shared" ref="BC130:BC164" si="31">$E$13*(1+$AS130)</f>
        <v>0</v>
      </c>
      <c r="BD130" s="32" cm="1">
        <f t="array" ref="BD130">IF($F$13-$I$4+VLOOKUP($R130,武学奇术!$A:$ZZ,13,FALSE)+SUM(_xlfn.XLOOKUP(S130:AG130,增益!$A:$A,增益!$M:$M,0))&gt;0,($F$13-$I$4+VLOOKUP($R130,武学奇术!$A:$ZZ,13,FALSE)+SUM(_xlfn.XLOOKUP(S130:AG130,增益!$A:$A,增益!$K:$K,0)))/200,($F$13-$I$4+VLOOKUP($R130,武学奇术!$A:$ZZ,13,FALSE)+SUM(_xlfn.XLOOKUP(S130:AG130,增益!$A:$A,增益!$M:$M,0)))/100)</f>
        <v>-0.3</v>
      </c>
      <c r="BE130" s="32" cm="1">
        <f t="array" ref="BE130">$G$13+VLOOKUP($R130,武学奇术!$A:$ZZ,14,FALSE)+SUM(_xlfn.XLOOKUP(S130:AG130,增益!$A:$A,增益!$N:$N,0))</f>
        <v>0</v>
      </c>
      <c r="BF130">
        <f t="shared" ref="BF130:BF164" si="32">$D$14*(1+$AS130)</f>
        <v>571.2</v>
      </c>
      <c r="BG130">
        <f t="shared" ref="BG130:BG164" si="33">$E$14*(1+$AS130)</f>
        <v>1627.8</v>
      </c>
      <c r="BH130" s="32" cm="1">
        <f t="array" ref="BH130">IF($F$14-$I$4+VLOOKUP($R130,武学奇术!$A:$ZZ,15,FALSE)+SUM(_xlfn.XLOOKUP(S130:AG130,增益!$A:$A,增益!$O:$O,0))&gt;0,($F$14-$I$4+VLOOKUP($R130,武学奇术!$A:$ZZ,15,FALSE)+SUM(_xlfn.XLOOKUP(S130:AG130,增益!$A:$A,增益!$O:$O,0)))/200,($F$14-$I$4+VLOOKUP($R130,武学奇术!$A:$ZZ,15,FALSE)+SUM(_xlfn.XLOOKUP(S130:AG130,增益!$A:$A,增益!$O:$O,0)))/100)</f>
        <v>0</v>
      </c>
      <c r="BI130" s="32" cm="1">
        <f t="array" ref="BI130">$G$14+VLOOKUP($R130,武学奇术!$A:$ZZ,16,FALSE)+SUM(_xlfn.XLOOKUP(S130:AG130,增益!$A:$A,增益!$P:$P,0))</f>
        <v>0.15</v>
      </c>
      <c r="BJ130" s="26">
        <f>MIN(IF(VLOOKUP($R130,武学奇术!$A:$ZZ,23,FALSE)=1,100%,$B$8),100%)</f>
        <v>0.981</v>
      </c>
      <c r="BK130" s="26" cm="1">
        <f t="array" ref="BK130">IF(VLOOKUP($R130,武学奇术!$A:$ZZ,23,FALSE)=1,100%,MIN(80%,$B$9+VLOOKUP($R130,武学奇术!$A:$ZZ,17,FALSE)+SUM(_xlfn.XLOOKUP(S130:AG130,增益!$A:$A,增益!$Q:$Q,0)))+$B$11+SUM(_xlfn.XLOOKUP(S130:AG130,增益!$A:$A,增益!$U:$U,0)))*IF(VLOOKUP($R130,武学奇术!$A:$ZZ,24,FALSE)=1,0,1)</f>
        <v>0.846</v>
      </c>
      <c r="BL130" s="26" cm="1">
        <f t="array" ref="BL130">1+$B$13+VLOOKUP($R130,武学奇术!$A:$ZZ,18,FALSE)+SUM(_xlfn.XLOOKUP(S130:AG130,增益!$A:$A,增益!$R:$R,0))</f>
        <v>1.91</v>
      </c>
      <c r="BM130" s="26" cm="1">
        <f t="array" ref="BM130">IF(VLOOKUP($R130,武学奇术!$A:$ZZ,24,FALSE)=1,100%,MIN(40%,$B$10+VLOOKUP($R130,武学奇术!$A:$ZZ,19,FALSE)+SUM(_xlfn.XLOOKUP(S130:AG130,增益!$A:$A,增益!$S:$S,0)))+$B$12+SUM(_xlfn.XLOOKUP(S130:AG130,增益!$A:$A,增益!$V:$V,0)))*IF(VLOOKUP($R130,武学奇术!$A:$ZZ,23,FALSE)=1,0,1)</f>
        <v>0.0929</v>
      </c>
      <c r="BN130" s="26" cm="1">
        <f t="array" ref="BN130">1+$B$14+VLOOKUP($R130,武学奇术!$A:$ZZ,20,FALSE)+SUM(_xlfn.XLOOKUP(S130:AG130,增益!$A:$A,增益!$T:$T,0))</f>
        <v>1.35</v>
      </c>
      <c r="BO130" s="26">
        <f t="shared" ref="BO130:BO164" si="34">MIN((1-BM130)*BJ130,BJ130*BK130)</f>
        <v>0.829926</v>
      </c>
      <c r="BP130" s="26">
        <f t="shared" ref="BP130:BP164" si="35">1-BM130-BO130-BQ130</f>
        <v>0.0599391</v>
      </c>
      <c r="BQ130" s="26">
        <f>IF(VLOOKUP($R130,武学奇术!$A:$ZZ,22,FALSE)=1,0,(1-$BJ130))*(1-$BM130)</f>
        <v>0.0172349</v>
      </c>
      <c r="BR130" s="26" cm="1">
        <f t="array" ref="BR130">SUM(_xlfn.XLOOKUP(S130:AG130,增益!$A:$A,增益!$W:$W,0))+$I$5</f>
        <v>0.11</v>
      </c>
    </row>
    <row r="131" spans="11:70">
      <c r="K131">
        <f>$L131*VLOOKUP($R131,武学奇术!$A:$ZZ,31,FALSE)</f>
        <v>66737.6880241738</v>
      </c>
      <c r="L131" s="38">
        <f t="shared" si="25"/>
        <v>63559.7028801655</v>
      </c>
      <c r="M131" s="38">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BL131*$Q131*(1+IF(VLOOKUP($R131,武学奇术!$A:$ZZ,30,FALSE)="回旋伞",$B$21,0))*(1+$BR131)</f>
        <v>67372.876970417</v>
      </c>
      <c r="N131" s="38">
        <f>(($AP131*$AI131+$AJ131)*(1+$AQ131)*(1+$AR131)+($AU131*IF($G$1="鸣金",$AK131,$AI131)+IF($G$1="鸣金",$AL131*1.5,0))*(1+$AV131)*(1+$AW131)+($AY131*IF($G$1="裂石",$AK131,$AI131)+IF($G$1="裂石",$AL131*1.5,0))*(1+$AZ131)*(1+$BA131)+($BC131*IF($G$1="牵丝",$AK131,$AI131)+IF($G$1="牵丝",$AL131*1.5,0))*(1+$BD131)*(1+$BE131)+($BG131*IF($G$1="破竹",$AK131,$AI131)+IF($G$1="破竹",$AL131*1.5,0))*(1+$BH131)*(1+$BI131))*(1+$AM131)*$BN131*$Q131*(1+IF(VLOOKUP($R131,武学奇术!$A:$ZZ,30,FALSE)="回旋伞",$B$21,0))*(1+$BR131)</f>
        <v>53848.2522532395</v>
      </c>
      <c r="O131" s="38">
        <f>((($AO131+$AP131)/2*$AI131+$AJ131)*(1+$AQ131)*(1+$AR131)+(($AT131+$AU131)/2*IF($G$1="鸣金",$AK131,$AI131)+IF($G$1="鸣金",$AL131*1.5,0))*(1+$AV131)*(1+$AW131)+(($AX131+$AY131)/2*IF($G$1="裂石",$AK131,$AI131)+IF($G$1="裂石",$AL131*1.5,0))*(1+$AZ131)*(1+$BA131)+(($BB131+$BC131)/2*IF($G$1="牵丝",$AK131,$AI131)+IF($G$1="牵丝",$AL131*1.5,0))*(1+$BD131)*(1+$BE131)+(($BF131+$BG131)/2*IF($G$1="破竹",$AK131,$AI131)+IF($G$1="破竹",$AL131*1.5,0))*(1+$BH131)*(1+$BI131))*(1+$AM131)*$Q131*(1+IF(VLOOKUP($R131,武学奇术!$A:$ZZ,30,FALSE)="回旋伞",$B$21,0))*(1+$BR131)</f>
        <v>35273.7575761346</v>
      </c>
      <c r="P131" s="38">
        <f>((($AO131*$AI131+$AJ131)*(1+$AQ131)*(1+$AR131)+($AT131*IF($G$1="鸣金",$AK131,$AI131)+IF($G$1="鸣金",$AL131*1.5,0))*(1+$AV131)*(1+$AW131)+($AX131*IF($G$1="裂石",$AK131,$AI131)+IF($G$1="裂石",$AL131*1.5,0))*(1+$AZ131)*(1+$BA131)+($BB131*IF($G$1="牵丝",$AK131,$AI131)+IF($G$1="牵丝",$AL131*1.5,0))*(1+$BD131)*(1+$BE131)+($BF131*IF($G$1="破竹",$AK131,$AI131)+IF($G$1="破竹",$AL131*1.5,0))*(1+$BH131)*(1+$BI131))*(1+$AM131))*$Q131*(1+IF(VLOOKUP($R131,武学奇术!$A:$ZZ,30,FALSE)="回旋伞",$B$21,0))*(1+$BR131)</f>
        <v>30659.9208906103</v>
      </c>
      <c r="Q131" s="39">
        <v>2</v>
      </c>
      <c r="R131" s="40" t="s">
        <v>71</v>
      </c>
      <c r="S131" s="40" t="s">
        <v>72</v>
      </c>
      <c r="T131" s="40" t="s">
        <v>95</v>
      </c>
      <c r="U131" s="40" t="s">
        <v>73</v>
      </c>
      <c r="V131" s="40" t="s">
        <v>81</v>
      </c>
      <c r="W131" s="40" t="s">
        <v>172</v>
      </c>
      <c r="X131" s="40" t="s">
        <v>99</v>
      </c>
      <c r="Y131" s="40" t="s">
        <v>72</v>
      </c>
      <c r="Z131" s="40" t="s">
        <v>176</v>
      </c>
      <c r="AA131" s="40" t="s">
        <v>72</v>
      </c>
      <c r="AB131" s="40" t="s">
        <v>72</v>
      </c>
      <c r="AC131" s="40" t="s">
        <v>72</v>
      </c>
      <c r="AD131" s="40" t="s">
        <v>72</v>
      </c>
      <c r="AE131" s="40" t="s">
        <v>72</v>
      </c>
      <c r="AF131" s="40" t="s">
        <v>72</v>
      </c>
      <c r="AG131" s="40" t="s">
        <v>78</v>
      </c>
      <c r="AH131" t="str">
        <f>VLOOKUP($R131,武学奇术!$A:$ZZ,25,FALSE)</f>
        <v>群体奇术</v>
      </c>
      <c r="AI131" s="26">
        <f>VLOOKUP($R131,武学奇术!$A:$ZZ,26,FALSE)</f>
        <v>1.4904</v>
      </c>
      <c r="AJ131" s="27">
        <f>VLOOKUP($R131,武学奇术!$A:$ZZ,27,FALSE)*(1+IF(OR($AH131=$F$4,$AH131=$F$5),$B$22,0))</f>
        <v>378</v>
      </c>
      <c r="AK131" s="26">
        <f>VLOOKUP($R131,武学奇术!$A:$ZZ,28,FALSE)</f>
        <v>2.2356</v>
      </c>
      <c r="AL131" s="27">
        <f>VLOOKUP($R131,武学奇术!$A:$ZZ,29,FALSE)*(1+IF(OR($AH131=$F$4,$AH131=$F$5),$B$22,0))</f>
        <v>0</v>
      </c>
      <c r="AM131" s="26" cm="1">
        <f t="array" ref="AM131">$G$3+IFERROR(VLOOKUP($AH131,$F$4:$G$7,2,FALSE),0)+VLOOKUP($R131,武学奇术!$A:$ZZ,2,FALSE)+SUM(_xlfn.XLOOKUP($S131:$AG131,增益!$A:$A,增益!$B:$B,0))</f>
        <v>0.4037</v>
      </c>
      <c r="AN131" s="26" cm="1">
        <f t="array" ref="AN131">VLOOKUP($R131,武学奇术!$A:$ZZ,5,FALSE)+SUM(_xlfn.XLOOKUP($S131:$AG131,增益!$A:$A,增益!$E:$E,0))</f>
        <v>0</v>
      </c>
      <c r="AO131" cm="1">
        <f t="array" ref="AO131">$D$10*(1+$AN131)+VLOOKUP($R131,武学奇术!$A:$ZZ,3,FALSE)+SUM(_xlfn.XLOOKUP($S131:$AG131,增益!$A:$A,增益!$C:$C,0))-$I$2</f>
        <v>3562.6</v>
      </c>
      <c r="AP131" cm="1">
        <f t="array" ref="AP131">$E$10*(1+$AN131)+VLOOKUP($R131,武学奇术!$A:$ZZ,4,FALSE)+SUM(_xlfn.XLOOKUP($S131:$AG131,增益!$A:$A,增益!$D:$D,0))-$I$2</f>
        <v>3562.6</v>
      </c>
      <c r="AQ131" s="32" cm="1">
        <f t="array" ref="AQ131">IF($F$10-$I$3+VLOOKUP($R131,武学奇术!$A:$ZZ,6,FALSE)+SUM(_xlfn.XLOOKUP(S131:AG131,增益!$A:$A,增益!$F:$F,0))&gt;0,($F$10-$I$3+VLOOKUP($R131,武学奇术!$A:$ZZ,6,FALSE)+SUM(_xlfn.XLOOKUP(S131:AG131,增益!$A:$A,增益!$F:$F,0)))/200,($F$10-$I$3+VLOOKUP($R131,武学奇术!$A:$ZZ,6,FALSE)+SUM(_xlfn.XLOOKUP(S131:AG131,增益!$A:$A,增益!$F:$F,0)))/100)</f>
        <v>0.2925</v>
      </c>
      <c r="AR131" s="32" cm="1">
        <f t="array" ref="AR131">$G$10+VLOOKUP($R131,武学奇术!$A:$ZZ,7,FALSE)+SUM(_xlfn.XLOOKUP(S131:AG131,增益!$A:$A,增益!$G:$G,0))</f>
        <v>0.028</v>
      </c>
      <c r="AS131" s="26" cm="1">
        <f t="array" ref="AS131">VLOOKUP($R131,武学奇术!$A:$ZZ,8,FALSE)+SUM(_xlfn.XLOOKUP(S131:AG131,增益!$A:$A,增益!$H:$H,0))</f>
        <v>0</v>
      </c>
      <c r="AT131">
        <f t="shared" si="26"/>
        <v>0</v>
      </c>
      <c r="AU131">
        <f t="shared" si="27"/>
        <v>0</v>
      </c>
      <c r="AV131" s="32" cm="1">
        <f t="array" ref="AV131">IF($F$11-$I$4+VLOOKUP($R131,武学奇术!$A:$ZZ,9,FALSE)+SUM(_xlfn.XLOOKUP(S131:AG131,增益!$A:$A,增益!$I:$I,0))&gt;0,($F$11-$I$4+VLOOKUP($R131,武学奇术!$A:$ZZ,9,FALSE)+SUM(_xlfn.XLOOKUP(S131:AG131,增益!$A:$A,增益!$I:$I,0)))/200,($F$11-$I$4+VLOOKUP($R131,武学奇术!$A:$ZZ,9,FALSE)+SUM(_xlfn.XLOOKUP(S131:AG131,增益!$A:$A,增益!$I:$I,0)))/100)</f>
        <v>-0.3</v>
      </c>
      <c r="AW131" s="32" cm="1">
        <f t="array" ref="AW131">$G$11+VLOOKUP($R131,武学奇术!$A:$ZZ,10,FALSE)+SUM(_xlfn.XLOOKUP(S131:AG131,增益!$A:$A,增益!$J:$J,0))</f>
        <v>0</v>
      </c>
      <c r="AX131">
        <f t="shared" si="28"/>
        <v>0</v>
      </c>
      <c r="AY131">
        <f t="shared" si="29"/>
        <v>0</v>
      </c>
      <c r="AZ131" s="32" cm="1">
        <f t="array" ref="AZ131">IF($F$12-$I$4+VLOOKUP($R131,武学奇术!$A:$ZZ,11,FALSE)+SUM(_xlfn.XLOOKUP(S131:AG131,增益!$A:$A,增益!$K:$K,0))&gt;0,($F$12-$I$4+VLOOKUP($R131,武学奇术!$A:$ZZ,11,FALSE)+SUM(_xlfn.XLOOKUP(S131:AG131,增益!$A:$A,增益!$K:$K,0)))/200,($F$12-$I$4+VLOOKUP($R131,武学奇术!$A:$ZZ,11,FALSE)+SUM(_xlfn.XLOOKUP(S131:AG131,增益!$A:$A,增益!$K:$K,0)))/100)</f>
        <v>-0.3</v>
      </c>
      <c r="BA131" s="32" cm="1">
        <f t="array" ref="BA131">$G$12+VLOOKUP($R131,武学奇术!$A:$ZZ,12,FALSE)+SUM(_xlfn.XLOOKUP(S131:AG131,增益!$A:$A,增益!$L:$L,0))</f>
        <v>0</v>
      </c>
      <c r="BB131">
        <f t="shared" si="30"/>
        <v>0</v>
      </c>
      <c r="BC131">
        <f t="shared" si="31"/>
        <v>0</v>
      </c>
      <c r="BD131" s="32" cm="1">
        <f t="array" ref="BD131">IF($F$13-$I$4+VLOOKUP($R131,武学奇术!$A:$ZZ,13,FALSE)+SUM(_xlfn.XLOOKUP(S131:AG131,增益!$A:$A,增益!$M:$M,0))&gt;0,($F$13-$I$4+VLOOKUP($R131,武学奇术!$A:$ZZ,13,FALSE)+SUM(_xlfn.XLOOKUP(S131:AG131,增益!$A:$A,增益!$K:$K,0)))/200,($F$13-$I$4+VLOOKUP($R131,武学奇术!$A:$ZZ,13,FALSE)+SUM(_xlfn.XLOOKUP(S131:AG131,增益!$A:$A,增益!$M:$M,0)))/100)</f>
        <v>-0.3</v>
      </c>
      <c r="BE131" s="32" cm="1">
        <f t="array" ref="BE131">$G$13+VLOOKUP($R131,武学奇术!$A:$ZZ,14,FALSE)+SUM(_xlfn.XLOOKUP(S131:AG131,增益!$A:$A,增益!$N:$N,0))</f>
        <v>0</v>
      </c>
      <c r="BF131">
        <f t="shared" si="32"/>
        <v>571.2</v>
      </c>
      <c r="BG131">
        <f t="shared" si="33"/>
        <v>1627.8</v>
      </c>
      <c r="BH131" s="32" cm="1">
        <f t="array" ref="BH131">IF($F$14-$I$4+VLOOKUP($R131,武学奇术!$A:$ZZ,15,FALSE)+SUM(_xlfn.XLOOKUP(S131:AG131,增益!$A:$A,增益!$O:$O,0))&gt;0,($F$14-$I$4+VLOOKUP($R131,武学奇术!$A:$ZZ,15,FALSE)+SUM(_xlfn.XLOOKUP(S131:AG131,增益!$A:$A,增益!$O:$O,0)))/200,($F$14-$I$4+VLOOKUP($R131,武学奇术!$A:$ZZ,15,FALSE)+SUM(_xlfn.XLOOKUP(S131:AG131,增益!$A:$A,增益!$O:$O,0)))/100)</f>
        <v>0</v>
      </c>
      <c r="BI131" s="32" cm="1">
        <f t="array" ref="BI131">$G$14+VLOOKUP($R131,武学奇术!$A:$ZZ,16,FALSE)+SUM(_xlfn.XLOOKUP(S131:AG131,增益!$A:$A,增益!$P:$P,0))</f>
        <v>0.15</v>
      </c>
      <c r="BJ131" s="26">
        <f>MIN(IF(VLOOKUP($R131,武学奇术!$A:$ZZ,23,FALSE)=1,100%,$B$8),100%)</f>
        <v>0.981</v>
      </c>
      <c r="BK131" s="26" cm="1">
        <f t="array" ref="BK131">IF(VLOOKUP($R131,武学奇术!$A:$ZZ,23,FALSE)=1,100%,MIN(80%,$B$9+VLOOKUP($R131,武学奇术!$A:$ZZ,17,FALSE)+SUM(_xlfn.XLOOKUP(S131:AG131,增益!$A:$A,增益!$Q:$Q,0)))+$B$11+SUM(_xlfn.XLOOKUP(S131:AG131,增益!$A:$A,增益!$U:$U,0)))*IF(VLOOKUP($R131,武学奇术!$A:$ZZ,24,FALSE)=1,0,1)</f>
        <v>0.846</v>
      </c>
      <c r="BL131" s="26" cm="1">
        <f t="array" ref="BL131">1+$B$13+VLOOKUP($R131,武学奇术!$A:$ZZ,18,FALSE)+SUM(_xlfn.XLOOKUP(S131:AG131,增益!$A:$A,增益!$R:$R,0))</f>
        <v>1.91</v>
      </c>
      <c r="BM131" s="26" cm="1">
        <f t="array" ref="BM131">IF(VLOOKUP($R131,武学奇术!$A:$ZZ,24,FALSE)=1,100%,MIN(40%,$B$10+VLOOKUP($R131,武学奇术!$A:$ZZ,19,FALSE)+SUM(_xlfn.XLOOKUP(S131:AG131,增益!$A:$A,增益!$S:$S,0)))+$B$12+SUM(_xlfn.XLOOKUP(S131:AG131,增益!$A:$A,增益!$V:$V,0)))*IF(VLOOKUP($R131,武学奇术!$A:$ZZ,23,FALSE)=1,0,1)</f>
        <v>0.0929</v>
      </c>
      <c r="BN131" s="26" cm="1">
        <f t="array" ref="BN131">1+$B$14+VLOOKUP($R131,武学奇术!$A:$ZZ,20,FALSE)+SUM(_xlfn.XLOOKUP(S131:AG131,增益!$A:$A,增益!$T:$T,0))</f>
        <v>1.35</v>
      </c>
      <c r="BO131" s="26">
        <f t="shared" si="34"/>
        <v>0.829926</v>
      </c>
      <c r="BP131" s="26">
        <f t="shared" si="35"/>
        <v>0.0599391</v>
      </c>
      <c r="BQ131" s="26">
        <f>IF(VLOOKUP($R131,武学奇术!$A:$ZZ,22,FALSE)=1,0,(1-$BJ131))*(1-$BM131)</f>
        <v>0.0172349</v>
      </c>
      <c r="BR131" s="26" cm="1">
        <f t="array" ref="BR131">SUM(_xlfn.XLOOKUP(S131:AG131,增益!$A:$A,增益!$W:$W,0))+$I$5</f>
        <v>0.21</v>
      </c>
    </row>
    <row r="132" spans="11:70">
      <c r="K132">
        <f>$L132*VLOOKUP($R132,武学奇术!$A:$ZZ,31,FALSE)</f>
        <v>66444.8729662571</v>
      </c>
      <c r="L132" s="38">
        <f t="shared" si="25"/>
        <v>63280.8313964353</v>
      </c>
      <c r="M132" s="38">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BL132*$Q132*(1+IF(VLOOKUP($R132,武学奇术!$A:$ZZ,30,FALSE)="回旋伞",$B$21,0))*(1+$BR132)</f>
        <v>67123.0449625961</v>
      </c>
      <c r="N132" s="38">
        <f>(($AP132*$AI132+$AJ132)*(1+$AQ132)*(1+$AR132)+($AU132*IF($G$1="鸣金",$AK132,$AI132)+IF($G$1="鸣金",$AL132*1.5,0))*(1+$AV132)*(1+$AW132)+($AY132*IF($G$1="裂石",$AK132,$AI132)+IF($G$1="裂石",$AL132*1.5,0))*(1+$AZ132)*(1+$BA132)+($BC132*IF($G$1="牵丝",$AK132,$AI132)+IF($G$1="牵丝",$AL132*1.5,0))*(1+$BD132)*(1+$BE132)+($BG132*IF($G$1="破竹",$AK132,$AI132)+IF($G$1="破竹",$AL132*1.5,0))*(1+$BH132)*(1+$BI132))*(1+$AM132)*$BN132*$Q132*(1+IF(VLOOKUP($R132,武学奇术!$A:$ZZ,30,FALSE)="回旋伞",$B$21,0))*(1+$BR132)</f>
        <v>53109.7272796914</v>
      </c>
      <c r="O132" s="38">
        <f>((($AO132+$AP132)/2*$AI132+$AJ132)*(1+$AQ132)*(1+$AR132)+(($AT132+$AU132)/2*IF($G$1="鸣金",$AK132,$AI132)+IF($G$1="鸣金",$AL132*1.5,0))*(1+$AV132)*(1+$AW132)+(($AX132+$AY132)/2*IF($G$1="裂石",$AK132,$AI132)+IF($G$1="裂石",$AL132*1.5,0))*(1+$AZ132)*(1+$BA132)+(($BB132+$BC132)/2*IF($G$1="牵丝",$AK132,$AI132)+IF($G$1="牵丝",$AL132*1.5,0))*(1+$BD132)*(1+$BE132)+(($BF132+$BG132)/2*IF($G$1="破竹",$AK132,$AI132)+IF($G$1="破竹",$AL132*1.5,0))*(1+$BH132)*(1+$BI132))*(1+$AM132)*$Q132*(1+IF(VLOOKUP($R132,武学奇术!$A:$ZZ,30,FALSE)="回旋伞",$B$21,0))*(1+$BR132)</f>
        <v>35142.955477799</v>
      </c>
      <c r="P132" s="38">
        <f>((($AO132*$AI132+$AJ132)*(1+$AQ132)*(1+$AR132)+($AT132*IF($G$1="鸣金",$AK132,$AI132)+IF($G$1="鸣金",$AL132*1.5,0))*(1+$AV132)*(1+$AW132)+($AX132*IF($G$1="裂石",$AK132,$AI132)+IF($G$1="裂石",$AL132*1.5,0))*(1+$AZ132)*(1+$BA132)+($BB132*IF($G$1="牵丝",$AK132,$AI132)+IF($G$1="牵丝",$AL132*1.5,0))*(1+$BD132)*(1+$BE132)+($BF132*IF($G$1="破竹",$AK132,$AI132)+IF($G$1="破竹",$AL132*1.5,0))*(1+$BH132)*(1+$BI132))*(1+$AM132))*$Q132*(1+IF(VLOOKUP($R132,武学奇术!$A:$ZZ,30,FALSE)="回旋伞",$B$21,0))*(1+$BR132)</f>
        <v>30945.3722299007</v>
      </c>
      <c r="Q132" s="39">
        <v>1</v>
      </c>
      <c r="R132" s="40" t="s">
        <v>108</v>
      </c>
      <c r="S132" s="40" t="s">
        <v>109</v>
      </c>
      <c r="T132" s="40" t="s">
        <v>95</v>
      </c>
      <c r="U132" s="40" t="s">
        <v>73</v>
      </c>
      <c r="V132" s="40" t="s">
        <v>72</v>
      </c>
      <c r="W132" s="40" t="s">
        <v>172</v>
      </c>
      <c r="X132" s="40" t="s">
        <v>99</v>
      </c>
      <c r="Y132" s="40" t="s">
        <v>72</v>
      </c>
      <c r="Z132" s="40" t="s">
        <v>72</v>
      </c>
      <c r="AA132" s="40" t="s">
        <v>72</v>
      </c>
      <c r="AB132" s="40" t="s">
        <v>72</v>
      </c>
      <c r="AC132" s="40" t="s">
        <v>72</v>
      </c>
      <c r="AD132" s="40" t="s">
        <v>72</v>
      </c>
      <c r="AE132" s="40" t="s">
        <v>72</v>
      </c>
      <c r="AF132" s="40" t="s">
        <v>72</v>
      </c>
      <c r="AG132" s="40" t="s">
        <v>78</v>
      </c>
      <c r="AH132" t="str">
        <f>VLOOKUP($R132,武学奇术!$A:$ZZ,25,FALSE)</f>
        <v>伞</v>
      </c>
      <c r="AI132" s="26">
        <f>VLOOKUP($R132,武学奇术!$A:$ZZ,26,FALSE)</f>
        <v>1.8084</v>
      </c>
      <c r="AJ132" s="27">
        <f>VLOOKUP($R132,武学奇术!$A:$ZZ,27,FALSE)*(1+IF(OR($AH132=$F$4,$AH132=$F$5),$B$22,0))</f>
        <v>750</v>
      </c>
      <c r="AK132" s="26">
        <f>VLOOKUP($R132,武学奇术!$A:$ZZ,28,FALSE)</f>
        <v>2.7126</v>
      </c>
      <c r="AL132" s="27">
        <f>VLOOKUP($R132,武学奇术!$A:$ZZ,29,FALSE)*(1+IF(OR($AH132=$F$4,$AH132=$F$5),$B$22,0))</f>
        <v>408</v>
      </c>
      <c r="AM132" s="26" cm="1">
        <f t="array" ref="AM132">$G$3+IFERROR(VLOOKUP($AH132,$F$4:$G$7,2,FALSE),0)+VLOOKUP($R132,武学奇术!$A:$ZZ,2,FALSE)+SUM(_xlfn.XLOOKUP($S132:$AG132,增益!$A:$A,增益!$B:$B,0))</f>
        <v>0.5741</v>
      </c>
      <c r="AN132" s="26" cm="1">
        <f t="array" ref="AN132">VLOOKUP($R132,武学奇术!$A:$ZZ,5,FALSE)+SUM(_xlfn.XLOOKUP($S132:$AG132,增益!$A:$A,增益!$E:$E,0))</f>
        <v>0</v>
      </c>
      <c r="AO132" cm="1">
        <f t="array" ref="AO132">$D$10*(1+$AN132)+VLOOKUP($R132,武学奇术!$A:$ZZ,3,FALSE)+SUM(_xlfn.XLOOKUP($S132:$AG132,增益!$A:$A,增益!$C:$C,0))-$I$2</f>
        <v>3562.6</v>
      </c>
      <c r="AP132" cm="1">
        <f t="array" ref="AP132">$E$10*(1+$AN132)+VLOOKUP($R132,武学奇术!$A:$ZZ,4,FALSE)+SUM(_xlfn.XLOOKUP($S132:$AG132,增益!$A:$A,增益!$D:$D,0))-$I$2</f>
        <v>3562.6</v>
      </c>
      <c r="AQ132" s="32" cm="1">
        <f t="array" ref="AQ132">IF($F$10-$I$3+VLOOKUP($R132,武学奇术!$A:$ZZ,6,FALSE)+SUM(_xlfn.XLOOKUP(S132:AG132,增益!$A:$A,增益!$F:$F,0))&gt;0,($F$10-$I$3+VLOOKUP($R132,武学奇术!$A:$ZZ,6,FALSE)+SUM(_xlfn.XLOOKUP(S132:AG132,增益!$A:$A,增益!$F:$F,0)))/200,($F$10-$I$3+VLOOKUP($R132,武学奇术!$A:$ZZ,6,FALSE)+SUM(_xlfn.XLOOKUP(S132:AG132,增益!$A:$A,增益!$F:$F,0)))/100)</f>
        <v>0.2925</v>
      </c>
      <c r="AR132" s="32" cm="1">
        <f t="array" ref="AR132">$G$10+VLOOKUP($R132,武学奇术!$A:$ZZ,7,FALSE)+SUM(_xlfn.XLOOKUP(S132:AG132,增益!$A:$A,增益!$G:$G,0))</f>
        <v>0.148</v>
      </c>
      <c r="AS132" s="26" cm="1">
        <f t="array" ref="AS132">VLOOKUP($R132,武学奇术!$A:$ZZ,8,FALSE)+SUM(_xlfn.XLOOKUP(S132:AG132,增益!$A:$A,增益!$H:$H,0))</f>
        <v>0</v>
      </c>
      <c r="AT132">
        <f t="shared" si="26"/>
        <v>0</v>
      </c>
      <c r="AU132">
        <f t="shared" si="27"/>
        <v>0</v>
      </c>
      <c r="AV132" s="32" cm="1">
        <f t="array" ref="AV132">IF($F$11-$I$4+VLOOKUP($R132,武学奇术!$A:$ZZ,9,FALSE)+SUM(_xlfn.XLOOKUP(S132:AG132,增益!$A:$A,增益!$I:$I,0))&gt;0,($F$11-$I$4+VLOOKUP($R132,武学奇术!$A:$ZZ,9,FALSE)+SUM(_xlfn.XLOOKUP(S132:AG132,增益!$A:$A,增益!$I:$I,0)))/200,($F$11-$I$4+VLOOKUP($R132,武学奇术!$A:$ZZ,9,FALSE)+SUM(_xlfn.XLOOKUP(S132:AG132,增益!$A:$A,增益!$I:$I,0)))/100)</f>
        <v>-0.3</v>
      </c>
      <c r="AW132" s="32" cm="1">
        <f t="array" ref="AW132">$G$11+VLOOKUP($R132,武学奇术!$A:$ZZ,10,FALSE)+SUM(_xlfn.XLOOKUP(S132:AG132,增益!$A:$A,增益!$J:$J,0))</f>
        <v>0</v>
      </c>
      <c r="AX132">
        <f t="shared" si="28"/>
        <v>0</v>
      </c>
      <c r="AY132">
        <f t="shared" si="29"/>
        <v>0</v>
      </c>
      <c r="AZ132" s="32" cm="1">
        <f t="array" ref="AZ132">IF($F$12-$I$4+VLOOKUP($R132,武学奇术!$A:$ZZ,11,FALSE)+SUM(_xlfn.XLOOKUP(S132:AG132,增益!$A:$A,增益!$K:$K,0))&gt;0,($F$12-$I$4+VLOOKUP($R132,武学奇术!$A:$ZZ,11,FALSE)+SUM(_xlfn.XLOOKUP(S132:AG132,增益!$A:$A,增益!$K:$K,0)))/200,($F$12-$I$4+VLOOKUP($R132,武学奇术!$A:$ZZ,11,FALSE)+SUM(_xlfn.XLOOKUP(S132:AG132,增益!$A:$A,增益!$K:$K,0)))/100)</f>
        <v>-0.3</v>
      </c>
      <c r="BA132" s="32" cm="1">
        <f t="array" ref="BA132">$G$12+VLOOKUP($R132,武学奇术!$A:$ZZ,12,FALSE)+SUM(_xlfn.XLOOKUP(S132:AG132,增益!$A:$A,增益!$L:$L,0))</f>
        <v>0</v>
      </c>
      <c r="BB132">
        <f t="shared" si="30"/>
        <v>0</v>
      </c>
      <c r="BC132">
        <f t="shared" si="31"/>
        <v>0</v>
      </c>
      <c r="BD132" s="32" cm="1">
        <f t="array" ref="BD132">IF($F$13-$I$4+VLOOKUP($R132,武学奇术!$A:$ZZ,13,FALSE)+SUM(_xlfn.XLOOKUP(S132:AG132,增益!$A:$A,增益!$M:$M,0))&gt;0,($F$13-$I$4+VLOOKUP($R132,武学奇术!$A:$ZZ,13,FALSE)+SUM(_xlfn.XLOOKUP(S132:AG132,增益!$A:$A,增益!$K:$K,0)))/200,($F$13-$I$4+VLOOKUP($R132,武学奇术!$A:$ZZ,13,FALSE)+SUM(_xlfn.XLOOKUP(S132:AG132,增益!$A:$A,增益!$M:$M,0)))/100)</f>
        <v>-0.3</v>
      </c>
      <c r="BE132" s="32" cm="1">
        <f t="array" ref="BE132">$G$13+VLOOKUP($R132,武学奇术!$A:$ZZ,14,FALSE)+SUM(_xlfn.XLOOKUP(S132:AG132,增益!$A:$A,增益!$N:$N,0))</f>
        <v>0</v>
      </c>
      <c r="BF132">
        <f t="shared" si="32"/>
        <v>571.2</v>
      </c>
      <c r="BG132">
        <f t="shared" si="33"/>
        <v>1627.8</v>
      </c>
      <c r="BH132" s="32" cm="1">
        <f t="array" ref="BH132">IF($F$14-$I$4+VLOOKUP($R132,武学奇术!$A:$ZZ,15,FALSE)+SUM(_xlfn.XLOOKUP(S132:AG132,增益!$A:$A,增益!$O:$O,0))&gt;0,($F$14-$I$4+VLOOKUP($R132,武学奇术!$A:$ZZ,15,FALSE)+SUM(_xlfn.XLOOKUP(S132:AG132,增益!$A:$A,增益!$O:$O,0)))/200,($F$14-$I$4+VLOOKUP($R132,武学奇术!$A:$ZZ,15,FALSE)+SUM(_xlfn.XLOOKUP(S132:AG132,增益!$A:$A,增益!$O:$O,0)))/100)</f>
        <v>0</v>
      </c>
      <c r="BI132" s="32" cm="1">
        <f t="array" ref="BI132">$G$14+VLOOKUP($R132,武学奇术!$A:$ZZ,16,FALSE)+SUM(_xlfn.XLOOKUP(S132:AG132,增益!$A:$A,增益!$P:$P,0))</f>
        <v>0.27</v>
      </c>
      <c r="BJ132" s="26">
        <f>MIN(IF(VLOOKUP($R132,武学奇术!$A:$ZZ,23,FALSE)=1,100%,$B$8),100%)</f>
        <v>0.981</v>
      </c>
      <c r="BK132" s="26" cm="1">
        <f t="array" ref="BK132">IF(VLOOKUP($R132,武学奇术!$A:$ZZ,23,FALSE)=1,100%,MIN(80%,$B$9+VLOOKUP($R132,武学奇术!$A:$ZZ,17,FALSE)+SUM(_xlfn.XLOOKUP(S132:AG132,增益!$A:$A,增益!$Q:$Q,0)))+$B$11+SUM(_xlfn.XLOOKUP(S132:AG132,增益!$A:$A,增益!$U:$U,0)))*IF(VLOOKUP($R132,武学奇术!$A:$ZZ,24,FALSE)=1,0,1)</f>
        <v>0.846</v>
      </c>
      <c r="BL132" s="26" cm="1">
        <f t="array" ref="BL132">1+$B$13+VLOOKUP($R132,武学奇术!$A:$ZZ,18,FALSE)+SUM(_xlfn.XLOOKUP(S132:AG132,增益!$A:$A,增益!$R:$R,0))</f>
        <v>1.91</v>
      </c>
      <c r="BM132" s="26" cm="1">
        <f t="array" ref="BM132">IF(VLOOKUP($R132,武学奇术!$A:$ZZ,24,FALSE)=1,100%,MIN(40%,$B$10+VLOOKUP($R132,武学奇术!$A:$ZZ,19,FALSE)+SUM(_xlfn.XLOOKUP(S132:AG132,增益!$A:$A,增益!$S:$S,0)))+$B$12+SUM(_xlfn.XLOOKUP(S132:AG132,增益!$A:$A,增益!$V:$V,0)))*IF(VLOOKUP($R132,武学奇术!$A:$ZZ,23,FALSE)=1,0,1)</f>
        <v>0.0929</v>
      </c>
      <c r="BN132" s="26" cm="1">
        <f t="array" ref="BN132">1+$B$14+VLOOKUP($R132,武学奇术!$A:$ZZ,20,FALSE)+SUM(_xlfn.XLOOKUP(S132:AG132,增益!$A:$A,增益!$T:$T,0))</f>
        <v>1.35</v>
      </c>
      <c r="BO132" s="26">
        <f t="shared" si="34"/>
        <v>0.829926</v>
      </c>
      <c r="BP132" s="26">
        <f t="shared" si="35"/>
        <v>0.0599391</v>
      </c>
      <c r="BQ132" s="26">
        <f>IF(VLOOKUP($R132,武学奇术!$A:$ZZ,22,FALSE)=1,0,(1-$BJ132))*(1-$BM132)</f>
        <v>0.0172349</v>
      </c>
      <c r="BR132" s="26" cm="1">
        <f t="array" ref="BR132">SUM(_xlfn.XLOOKUP(S132:AG132,增益!$A:$A,增益!$W:$W,0))+$I$5</f>
        <v>0.11</v>
      </c>
    </row>
    <row r="133" spans="11:70">
      <c r="K133">
        <f>$L133*VLOOKUP($R133,武学奇术!$A:$ZZ,31,FALSE)</f>
        <v>39215.744588157</v>
      </c>
      <c r="L133" s="38">
        <f t="shared" si="25"/>
        <v>37348.3281791971</v>
      </c>
      <c r="M133" s="38">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BL133*$Q133*(1+IF(VLOOKUP($R133,武学奇术!$A:$ZZ,30,FALSE)="回旋伞",$B$21,0))*(1+$BR133)</f>
        <v>39575.7860539826</v>
      </c>
      <c r="N133" s="38">
        <f>(($AP133*$AI133+$AJ133)*(1+$AQ133)*(1+$AR133)+($AU133*IF($G$1="鸣金",$AK133,$AI133)+IF($G$1="鸣金",$AL133*1.5,0))*(1+$AV133)*(1+$AW133)+($AY133*IF($G$1="裂石",$AK133,$AI133)+IF($G$1="裂石",$AL133*1.5,0))*(1+$AZ133)*(1+$BA133)+($BC133*IF($G$1="牵丝",$AK133,$AI133)+IF($G$1="牵丝",$AL133*1.5,0))*(1+$BD133)*(1+$BE133)+($BG133*IF($G$1="破竹",$AK133,$AI133)+IF($G$1="破竹",$AL133*1.5,0))*(1+$BH133)*(1+$BI133))*(1+$AM133)*$BN133*$Q133*(1+IF(VLOOKUP($R133,武学奇术!$A:$ZZ,30,FALSE)="回旋伞",$B$21,0))*(1+$BR133)</f>
        <v>31786.6551424357</v>
      </c>
      <c r="O133" s="38">
        <f>((($AO133+$AP133)/2*$AI133+$AJ133)*(1+$AQ133)*(1+$AR133)+(($AT133+$AU133)/2*IF($G$1="鸣金",$AK133,$AI133)+IF($G$1="鸣金",$AL133*1.5,0))*(1+$AV133)*(1+$AW133)+(($AX133+$AY133)/2*IF($G$1="裂石",$AK133,$AI133)+IF($G$1="裂石",$AL133*1.5,0))*(1+$AZ133)*(1+$BA133)+(($BB133+$BC133)/2*IF($G$1="牵丝",$AK133,$AI133)+IF($G$1="牵丝",$AL133*1.5,0))*(1+$BD133)*(1+$BE133)+(($BF133+$BG133)/2*IF($G$1="破竹",$AK133,$AI133)+IF($G$1="破竹",$AL133*1.5,0))*(1+$BH133)*(1+$BI133))*(1+$AM133)*$Q133*(1+IF(VLOOKUP($R133,武学奇术!$A:$ZZ,30,FALSE)="回旋伞",$B$21,0))*(1+$BR133)</f>
        <v>20720.3068345459</v>
      </c>
      <c r="P133" s="38">
        <f>((($AO133*$AI133+$AJ133)*(1+$AQ133)*(1+$AR133)+($AT133*IF($G$1="鸣金",$AK133,$AI133)+IF($G$1="鸣金",$AL133*1.5,0))*(1+$AV133)*(1+$AW133)+($AX133*IF($G$1="裂石",$AK133,$AI133)+IF($G$1="裂石",$AL133*1.5,0))*(1+$AZ133)*(1+$BA133)+($BB133*IF($G$1="牵丝",$AK133,$AI133)+IF($G$1="牵丝",$AL133*1.5,0))*(1+$BD133)*(1+$BE133)+($BF133*IF($G$1="破竹",$AK133,$AI133)+IF($G$1="破竹",$AL133*1.5,0))*(1+$BH133)*(1+$BI133))*(1+$AM133))*$Q133*(1+IF(VLOOKUP($R133,武学奇术!$A:$ZZ,30,FALSE)="回旋伞",$B$21,0))*(1+$BR133)</f>
        <v>17894.9431932134</v>
      </c>
      <c r="Q133" s="39">
        <v>2</v>
      </c>
      <c r="R133" s="40" t="s">
        <v>112</v>
      </c>
      <c r="S133" s="40" t="s">
        <v>109</v>
      </c>
      <c r="T133" s="40" t="s">
        <v>95</v>
      </c>
      <c r="U133" s="40" t="s">
        <v>73</v>
      </c>
      <c r="V133" s="40" t="s">
        <v>72</v>
      </c>
      <c r="W133" s="40" t="s">
        <v>172</v>
      </c>
      <c r="X133" s="40" t="s">
        <v>99</v>
      </c>
      <c r="Y133" s="40" t="s">
        <v>72</v>
      </c>
      <c r="Z133" s="40" t="s">
        <v>72</v>
      </c>
      <c r="AA133" s="40" t="s">
        <v>72</v>
      </c>
      <c r="AB133" s="40" t="s">
        <v>72</v>
      </c>
      <c r="AC133" s="40" t="s">
        <v>72</v>
      </c>
      <c r="AD133" s="40" t="s">
        <v>72</v>
      </c>
      <c r="AE133" s="40" t="s">
        <v>72</v>
      </c>
      <c r="AF133" s="40" t="s">
        <v>72</v>
      </c>
      <c r="AG133" s="40" t="s">
        <v>78</v>
      </c>
      <c r="AH133" t="str">
        <f>VLOOKUP($R133,武学奇术!$A:$ZZ,25,FALSE)</f>
        <v>伞</v>
      </c>
      <c r="AI133" s="26">
        <f>VLOOKUP($R133,武学奇术!$A:$ZZ,26,FALSE)</f>
        <v>0.54</v>
      </c>
      <c r="AJ133" s="27">
        <f>VLOOKUP($R133,武学奇术!$A:$ZZ,27,FALSE)*(1+IF(OR($AH133=$F$4,$AH133=$F$5),$B$22,0))</f>
        <v>0</v>
      </c>
      <c r="AK133" s="26">
        <f>VLOOKUP($R133,武学奇术!$A:$ZZ,28,FALSE)</f>
        <v>0.81</v>
      </c>
      <c r="AL133" s="27">
        <f>VLOOKUP($R133,武学奇术!$A:$ZZ,29,FALSE)*(1+IF(OR($AH133=$F$4,$AH133=$F$5),$B$22,0))</f>
        <v>0</v>
      </c>
      <c r="AM133" s="26" cm="1">
        <f t="array" ref="AM133">$G$3+IFERROR(VLOOKUP($AH133,$F$4:$G$7,2,FALSE),0)+VLOOKUP($R133,武学奇术!$A:$ZZ,2,FALSE)+SUM(_xlfn.XLOOKUP($S133:$AG133,增益!$A:$A,增益!$B:$B,0))</f>
        <v>0.7741</v>
      </c>
      <c r="AN133" s="26" cm="1">
        <f t="array" ref="AN133">VLOOKUP($R133,武学奇术!$A:$ZZ,5,FALSE)+SUM(_xlfn.XLOOKUP($S133:$AG133,增益!$A:$A,增益!$E:$E,0))</f>
        <v>0</v>
      </c>
      <c r="AO133" cm="1">
        <f t="array" ref="AO133">$D$10*(1+$AN133)+VLOOKUP($R133,武学奇术!$A:$ZZ,3,FALSE)+SUM(_xlfn.XLOOKUP($S133:$AG133,增益!$A:$A,增益!$C:$C,0))-$I$2</f>
        <v>3562.6</v>
      </c>
      <c r="AP133" cm="1">
        <f t="array" ref="AP133">$E$10*(1+$AN133)+VLOOKUP($R133,武学奇术!$A:$ZZ,4,FALSE)+SUM(_xlfn.XLOOKUP($S133:$AG133,增益!$A:$A,增益!$D:$D,0))-$I$2</f>
        <v>3562.6</v>
      </c>
      <c r="AQ133" s="32" cm="1">
        <f t="array" ref="AQ133">IF($F$10-$I$3+VLOOKUP($R133,武学奇术!$A:$ZZ,6,FALSE)+SUM(_xlfn.XLOOKUP(S133:AG133,增益!$A:$A,增益!$F:$F,0))&gt;0,($F$10-$I$3+VLOOKUP($R133,武学奇术!$A:$ZZ,6,FALSE)+SUM(_xlfn.XLOOKUP(S133:AG133,增益!$A:$A,增益!$F:$F,0)))/200,($F$10-$I$3+VLOOKUP($R133,武学奇术!$A:$ZZ,6,FALSE)+SUM(_xlfn.XLOOKUP(S133:AG133,增益!$A:$A,增益!$F:$F,0)))/100)</f>
        <v>0.2925</v>
      </c>
      <c r="AR133" s="32" cm="1">
        <f t="array" ref="AR133">$G$10+VLOOKUP($R133,武学奇术!$A:$ZZ,7,FALSE)+SUM(_xlfn.XLOOKUP(S133:AG133,增益!$A:$A,增益!$G:$G,0))</f>
        <v>0.148</v>
      </c>
      <c r="AS133" s="26" cm="1">
        <f t="array" ref="AS133">VLOOKUP($R133,武学奇术!$A:$ZZ,8,FALSE)+SUM(_xlfn.XLOOKUP(S133:AG133,增益!$A:$A,增益!$H:$H,0))</f>
        <v>0</v>
      </c>
      <c r="AT133">
        <f t="shared" si="26"/>
        <v>0</v>
      </c>
      <c r="AU133">
        <f t="shared" si="27"/>
        <v>0</v>
      </c>
      <c r="AV133" s="32" cm="1">
        <f t="array" ref="AV133">IF($F$11-$I$4+VLOOKUP($R133,武学奇术!$A:$ZZ,9,FALSE)+SUM(_xlfn.XLOOKUP(S133:AG133,增益!$A:$A,增益!$I:$I,0))&gt;0,($F$11-$I$4+VLOOKUP($R133,武学奇术!$A:$ZZ,9,FALSE)+SUM(_xlfn.XLOOKUP(S133:AG133,增益!$A:$A,增益!$I:$I,0)))/200,($F$11-$I$4+VLOOKUP($R133,武学奇术!$A:$ZZ,9,FALSE)+SUM(_xlfn.XLOOKUP(S133:AG133,增益!$A:$A,增益!$I:$I,0)))/100)</f>
        <v>-0.3</v>
      </c>
      <c r="AW133" s="32" cm="1">
        <f t="array" ref="AW133">$G$11+VLOOKUP($R133,武学奇术!$A:$ZZ,10,FALSE)+SUM(_xlfn.XLOOKUP(S133:AG133,增益!$A:$A,增益!$J:$J,0))</f>
        <v>0</v>
      </c>
      <c r="AX133">
        <f t="shared" si="28"/>
        <v>0</v>
      </c>
      <c r="AY133">
        <f t="shared" si="29"/>
        <v>0</v>
      </c>
      <c r="AZ133" s="32" cm="1">
        <f t="array" ref="AZ133">IF($F$12-$I$4+VLOOKUP($R133,武学奇术!$A:$ZZ,11,FALSE)+SUM(_xlfn.XLOOKUP(S133:AG133,增益!$A:$A,增益!$K:$K,0))&gt;0,($F$12-$I$4+VLOOKUP($R133,武学奇术!$A:$ZZ,11,FALSE)+SUM(_xlfn.XLOOKUP(S133:AG133,增益!$A:$A,增益!$K:$K,0)))/200,($F$12-$I$4+VLOOKUP($R133,武学奇术!$A:$ZZ,11,FALSE)+SUM(_xlfn.XLOOKUP(S133:AG133,增益!$A:$A,增益!$K:$K,0)))/100)</f>
        <v>-0.3</v>
      </c>
      <c r="BA133" s="32" cm="1">
        <f t="array" ref="BA133">$G$12+VLOOKUP($R133,武学奇术!$A:$ZZ,12,FALSE)+SUM(_xlfn.XLOOKUP(S133:AG133,增益!$A:$A,增益!$L:$L,0))</f>
        <v>0</v>
      </c>
      <c r="BB133">
        <f t="shared" si="30"/>
        <v>0</v>
      </c>
      <c r="BC133">
        <f t="shared" si="31"/>
        <v>0</v>
      </c>
      <c r="BD133" s="32" cm="1">
        <f t="array" ref="BD133">IF($F$13-$I$4+VLOOKUP($R133,武学奇术!$A:$ZZ,13,FALSE)+SUM(_xlfn.XLOOKUP(S133:AG133,增益!$A:$A,增益!$M:$M,0))&gt;0,($F$13-$I$4+VLOOKUP($R133,武学奇术!$A:$ZZ,13,FALSE)+SUM(_xlfn.XLOOKUP(S133:AG133,增益!$A:$A,增益!$K:$K,0)))/200,($F$13-$I$4+VLOOKUP($R133,武学奇术!$A:$ZZ,13,FALSE)+SUM(_xlfn.XLOOKUP(S133:AG133,增益!$A:$A,增益!$M:$M,0)))/100)</f>
        <v>-0.3</v>
      </c>
      <c r="BE133" s="32" cm="1">
        <f t="array" ref="BE133">$G$13+VLOOKUP($R133,武学奇术!$A:$ZZ,14,FALSE)+SUM(_xlfn.XLOOKUP(S133:AG133,增益!$A:$A,增益!$N:$N,0))</f>
        <v>0</v>
      </c>
      <c r="BF133">
        <f t="shared" si="32"/>
        <v>571.2</v>
      </c>
      <c r="BG133">
        <f t="shared" si="33"/>
        <v>1627.8</v>
      </c>
      <c r="BH133" s="32" cm="1">
        <f t="array" ref="BH133">IF($F$14-$I$4+VLOOKUP($R133,武学奇术!$A:$ZZ,15,FALSE)+SUM(_xlfn.XLOOKUP(S133:AG133,增益!$A:$A,增益!$O:$O,0))&gt;0,($F$14-$I$4+VLOOKUP($R133,武学奇术!$A:$ZZ,15,FALSE)+SUM(_xlfn.XLOOKUP(S133:AG133,增益!$A:$A,增益!$O:$O,0)))/200,($F$14-$I$4+VLOOKUP($R133,武学奇术!$A:$ZZ,15,FALSE)+SUM(_xlfn.XLOOKUP(S133:AG133,增益!$A:$A,增益!$O:$O,0)))/100)</f>
        <v>0</v>
      </c>
      <c r="BI133" s="32" cm="1">
        <f t="array" ref="BI133">$G$14+VLOOKUP($R133,武学奇术!$A:$ZZ,16,FALSE)+SUM(_xlfn.XLOOKUP(S133:AG133,增益!$A:$A,增益!$P:$P,0))</f>
        <v>0.27</v>
      </c>
      <c r="BJ133" s="26">
        <f>MIN(IF(VLOOKUP($R133,武学奇术!$A:$ZZ,23,FALSE)=1,100%,$B$8),100%)</f>
        <v>0.981</v>
      </c>
      <c r="BK133" s="26" cm="1">
        <f t="array" ref="BK133">IF(VLOOKUP($R133,武学奇术!$A:$ZZ,23,FALSE)=1,100%,MIN(80%,$B$9+VLOOKUP($R133,武学奇术!$A:$ZZ,17,FALSE)+SUM(_xlfn.XLOOKUP(S133:AG133,增益!$A:$A,增益!$Q:$Q,0)))+$B$11+SUM(_xlfn.XLOOKUP(S133:AG133,增益!$A:$A,增益!$U:$U,0)))*IF(VLOOKUP($R133,武学奇术!$A:$ZZ,24,FALSE)=1,0,1)</f>
        <v>0.846</v>
      </c>
      <c r="BL133" s="26" cm="1">
        <f t="array" ref="BL133">1+$B$13+VLOOKUP($R133,武学奇术!$A:$ZZ,18,FALSE)+SUM(_xlfn.XLOOKUP(S133:AG133,增益!$A:$A,增益!$R:$R,0))</f>
        <v>1.91</v>
      </c>
      <c r="BM133" s="26" cm="1">
        <f t="array" ref="BM133">IF(VLOOKUP($R133,武学奇术!$A:$ZZ,24,FALSE)=1,100%,MIN(40%,$B$10+VLOOKUP($R133,武学奇术!$A:$ZZ,19,FALSE)+SUM(_xlfn.XLOOKUP(S133:AG133,增益!$A:$A,增益!$S:$S,0)))+$B$12+SUM(_xlfn.XLOOKUP(S133:AG133,增益!$A:$A,增益!$V:$V,0)))*IF(VLOOKUP($R133,武学奇术!$A:$ZZ,23,FALSE)=1,0,1)</f>
        <v>0.0929</v>
      </c>
      <c r="BN133" s="26" cm="1">
        <f t="array" ref="BN133">1+$B$14+VLOOKUP($R133,武学奇术!$A:$ZZ,20,FALSE)+SUM(_xlfn.XLOOKUP(S133:AG133,增益!$A:$A,增益!$T:$T,0))</f>
        <v>1.35</v>
      </c>
      <c r="BO133" s="26">
        <f t="shared" si="34"/>
        <v>0.829926</v>
      </c>
      <c r="BP133" s="26">
        <f t="shared" si="35"/>
        <v>0.0599391</v>
      </c>
      <c r="BQ133" s="26">
        <f>IF(VLOOKUP($R133,武学奇术!$A:$ZZ,22,FALSE)=1,0,(1-$BJ133))*(1-$BM133)</f>
        <v>0.0172349</v>
      </c>
      <c r="BR133" s="26" cm="1">
        <f t="array" ref="BR133">SUM(_xlfn.XLOOKUP(S133:AG133,增益!$A:$A,增益!$W:$W,0))+$I$5</f>
        <v>0.11</v>
      </c>
    </row>
    <row r="134" spans="11:70">
      <c r="K134">
        <f>$L134*VLOOKUP($R134,武学奇术!$A:$ZZ,31,FALSE)</f>
        <v>76958.064437762</v>
      </c>
      <c r="L134" s="38">
        <f t="shared" si="25"/>
        <v>73293.3947026304</v>
      </c>
      <c r="M134" s="38">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BL134*$Q134*(1+IF(VLOOKUP($R134,武学奇术!$A:$ZZ,30,FALSE)="回旋伞",$B$21,0))*(1+$BR134)</f>
        <v>78027.9658896713</v>
      </c>
      <c r="N134" s="38">
        <f>(($AP134*$AI134+$AJ134)*(1+$AQ134)*(1+$AR134)+($AU134*IF($G$1="鸣金",$AK134,$AI134)+IF($G$1="鸣金",$AL134*1.5,0))*(1+$AV134)*(1+$AW134)+($AY134*IF($G$1="裂石",$AK134,$AI134)+IF($G$1="裂石",$AL134*1.5,0))*(1+$AZ134)*(1+$BA134)+($BC134*IF($G$1="牵丝",$AK134,$AI134)+IF($G$1="牵丝",$AL134*1.5,0))*(1+$BD134)*(1+$BE134)+($BG134*IF($G$1="破竹",$AK134,$AI134)+IF($G$1="破竹",$AL134*1.5,0))*(1+$BH134)*(1+$BI134))*(1+$AM134)*$BN134*$Q134*(1+IF(VLOOKUP($R134,武学奇术!$A:$ZZ,30,FALSE)="回旋伞",$B$21,0))*(1+$BR134)</f>
        <v>59857.6756031387</v>
      </c>
      <c r="O134" s="38">
        <f>((($AO134+$AP134)/2*$AI134+$AJ134)*(1+$AQ134)*(1+$AR134)+(($AT134+$AU134)/2*IF($G$1="鸣金",$AK134,$AI134)+IF($G$1="鸣金",$AL134*1.5,0))*(1+$AV134)*(1+$AW134)+(($AX134+$AY134)/2*IF($G$1="裂石",$AK134,$AI134)+IF($G$1="裂石",$AL134*1.5,0))*(1+$AZ134)*(1+$BA134)+(($BB134+$BC134)/2*IF($G$1="牵丝",$AK134,$AI134)+IF($G$1="牵丝",$AL134*1.5,0))*(1+$BD134)*(1+$BE134)+(($BF134+$BG134)/2*IF($G$1="破竹",$AK134,$AI134)+IF($G$1="破竹",$AL134*1.5,0))*(1+$BH134)*(1+$BI134))*(1+$AM134)*$Q134*(1+IF(VLOOKUP($R134,武学奇术!$A:$ZZ,30,FALSE)="回旋伞",$B$21,0))*(1+$BR134)</f>
        <v>39608.1045125235</v>
      </c>
      <c r="P134" s="38">
        <f>((($AO134*$AI134+$AJ134)*(1+$AQ134)*(1+$AR134)+($AT134*IF($G$1="鸣金",$AK134,$AI134)+IF($G$1="鸣金",$AL134*1.5,0))*(1+$AV134)*(1+$AW134)+($AX134*IF($G$1="裂石",$AK134,$AI134)+IF($G$1="裂石",$AL134*1.5,0))*(1+$AZ134)*(1+$BA134)+($BB134*IF($G$1="牵丝",$AK134,$AI134)+IF($G$1="牵丝",$AL134*1.5,0))*(1+$BD134)*(1+$BE134)+($BF134*IF($G$1="破竹",$AK134,$AI134)+IF($G$1="破竹",$AL134*1.5,0))*(1+$BH134)*(1+$BI134))*(1+$AM134))*$Q134*(1+IF(VLOOKUP($R134,武学奇术!$A:$ZZ,30,FALSE)="回旋伞",$B$21,0))*(1+$BR134)</f>
        <v>34877.1900597591</v>
      </c>
      <c r="Q134" s="39">
        <v>1</v>
      </c>
      <c r="R134" s="40" t="s">
        <v>108</v>
      </c>
      <c r="S134" s="40" t="s">
        <v>109</v>
      </c>
      <c r="T134" s="40" t="s">
        <v>95</v>
      </c>
      <c r="U134" s="40" t="s">
        <v>73</v>
      </c>
      <c r="V134" s="40" t="s">
        <v>81</v>
      </c>
      <c r="W134" s="40" t="s">
        <v>172</v>
      </c>
      <c r="X134" s="40" t="s">
        <v>99</v>
      </c>
      <c r="Y134" s="40" t="s">
        <v>72</v>
      </c>
      <c r="Z134" s="40" t="s">
        <v>72</v>
      </c>
      <c r="AA134" s="40" t="s">
        <v>72</v>
      </c>
      <c r="AB134" s="40" t="s">
        <v>115</v>
      </c>
      <c r="AC134" s="40" t="s">
        <v>72</v>
      </c>
      <c r="AD134" s="40" t="s">
        <v>72</v>
      </c>
      <c r="AE134" s="40" t="s">
        <v>72</v>
      </c>
      <c r="AF134" s="40" t="s">
        <v>72</v>
      </c>
      <c r="AG134" s="40" t="s">
        <v>78</v>
      </c>
      <c r="AH134" t="str">
        <f>VLOOKUP($R134,武学奇术!$A:$ZZ,25,FALSE)</f>
        <v>伞</v>
      </c>
      <c r="AI134" s="26">
        <f>VLOOKUP($R134,武学奇术!$A:$ZZ,26,FALSE)</f>
        <v>1.8084</v>
      </c>
      <c r="AJ134" s="27">
        <f>VLOOKUP($R134,武学奇术!$A:$ZZ,27,FALSE)*(1+IF(OR($AH134=$F$4,$AH134=$F$5),$B$22,0))</f>
        <v>750</v>
      </c>
      <c r="AK134" s="26">
        <f>VLOOKUP($R134,武学奇术!$A:$ZZ,28,FALSE)</f>
        <v>2.7126</v>
      </c>
      <c r="AL134" s="27">
        <f>VLOOKUP($R134,武学奇术!$A:$ZZ,29,FALSE)*(1+IF(OR($AH134=$F$4,$AH134=$F$5),$B$22,0))</f>
        <v>408</v>
      </c>
      <c r="AM134" s="26" cm="1">
        <f t="array" ref="AM134">$G$3+IFERROR(VLOOKUP($AH134,$F$4:$G$7,2,FALSE),0)+VLOOKUP($R134,武学奇术!$A:$ZZ,2,FALSE)+SUM(_xlfn.XLOOKUP($S134:$AG134,增益!$A:$A,增益!$B:$B,0))</f>
        <v>0.7741</v>
      </c>
      <c r="AN134" s="26" cm="1">
        <f t="array" ref="AN134">VLOOKUP($R134,武学奇术!$A:$ZZ,5,FALSE)+SUM(_xlfn.XLOOKUP($S134:$AG134,增益!$A:$A,增益!$E:$E,0))</f>
        <v>0</v>
      </c>
      <c r="AO134" cm="1">
        <f t="array" ref="AO134">$D$10*(1+$AN134)+VLOOKUP($R134,武学奇术!$A:$ZZ,3,FALSE)+SUM(_xlfn.XLOOKUP($S134:$AG134,增益!$A:$A,增益!$C:$C,0))-$I$2</f>
        <v>3562.6</v>
      </c>
      <c r="AP134" cm="1">
        <f t="array" ref="AP134">$E$10*(1+$AN134)+VLOOKUP($R134,武学奇术!$A:$ZZ,4,FALSE)+SUM(_xlfn.XLOOKUP($S134:$AG134,增益!$A:$A,增益!$D:$D,0))-$I$2</f>
        <v>3562.6</v>
      </c>
      <c r="AQ134" s="32" cm="1">
        <f t="array" ref="AQ134">IF($F$10-$I$3+VLOOKUP($R134,武学奇术!$A:$ZZ,6,FALSE)+SUM(_xlfn.XLOOKUP(S134:AG134,增益!$A:$A,增益!$F:$F,0))&gt;0,($F$10-$I$3+VLOOKUP($R134,武学奇术!$A:$ZZ,6,FALSE)+SUM(_xlfn.XLOOKUP(S134:AG134,增益!$A:$A,增益!$F:$F,0)))/200,($F$10-$I$3+VLOOKUP($R134,武学奇术!$A:$ZZ,6,FALSE)+SUM(_xlfn.XLOOKUP(S134:AG134,增益!$A:$A,增益!$F:$F,0)))/100)</f>
        <v>0.2925</v>
      </c>
      <c r="AR134" s="32" cm="1">
        <f t="array" ref="AR134">$G$10+VLOOKUP($R134,武学奇术!$A:$ZZ,7,FALSE)+SUM(_xlfn.XLOOKUP(S134:AG134,增益!$A:$A,增益!$G:$G,0))</f>
        <v>0.148</v>
      </c>
      <c r="AS134" s="26" cm="1">
        <f t="array" ref="AS134">VLOOKUP($R134,武学奇术!$A:$ZZ,8,FALSE)+SUM(_xlfn.XLOOKUP(S134:AG134,增益!$A:$A,增益!$H:$H,0))</f>
        <v>0</v>
      </c>
      <c r="AT134">
        <f t="shared" si="26"/>
        <v>0</v>
      </c>
      <c r="AU134">
        <f t="shared" si="27"/>
        <v>0</v>
      </c>
      <c r="AV134" s="32" cm="1">
        <f t="array" ref="AV134">IF($F$11-$I$4+VLOOKUP($R134,武学奇术!$A:$ZZ,9,FALSE)+SUM(_xlfn.XLOOKUP(S134:AG134,增益!$A:$A,增益!$I:$I,0))&gt;0,($F$11-$I$4+VLOOKUP($R134,武学奇术!$A:$ZZ,9,FALSE)+SUM(_xlfn.XLOOKUP(S134:AG134,增益!$A:$A,增益!$I:$I,0)))/200,($F$11-$I$4+VLOOKUP($R134,武学奇术!$A:$ZZ,9,FALSE)+SUM(_xlfn.XLOOKUP(S134:AG134,增益!$A:$A,增益!$I:$I,0)))/100)</f>
        <v>-0.3</v>
      </c>
      <c r="AW134" s="32" cm="1">
        <f t="array" ref="AW134">$G$11+VLOOKUP($R134,武学奇术!$A:$ZZ,10,FALSE)+SUM(_xlfn.XLOOKUP(S134:AG134,增益!$A:$A,增益!$J:$J,0))</f>
        <v>0</v>
      </c>
      <c r="AX134">
        <f t="shared" si="28"/>
        <v>0</v>
      </c>
      <c r="AY134">
        <f t="shared" si="29"/>
        <v>0</v>
      </c>
      <c r="AZ134" s="32" cm="1">
        <f t="array" ref="AZ134">IF($F$12-$I$4+VLOOKUP($R134,武学奇术!$A:$ZZ,11,FALSE)+SUM(_xlfn.XLOOKUP(S134:AG134,增益!$A:$A,增益!$K:$K,0))&gt;0,($F$12-$I$4+VLOOKUP($R134,武学奇术!$A:$ZZ,11,FALSE)+SUM(_xlfn.XLOOKUP(S134:AG134,增益!$A:$A,增益!$K:$K,0)))/200,($F$12-$I$4+VLOOKUP($R134,武学奇术!$A:$ZZ,11,FALSE)+SUM(_xlfn.XLOOKUP(S134:AG134,增益!$A:$A,增益!$K:$K,0)))/100)</f>
        <v>-0.3</v>
      </c>
      <c r="BA134" s="32" cm="1">
        <f t="array" ref="BA134">$G$12+VLOOKUP($R134,武学奇术!$A:$ZZ,12,FALSE)+SUM(_xlfn.XLOOKUP(S134:AG134,增益!$A:$A,增益!$L:$L,0))</f>
        <v>0</v>
      </c>
      <c r="BB134">
        <f t="shared" si="30"/>
        <v>0</v>
      </c>
      <c r="BC134">
        <f t="shared" si="31"/>
        <v>0</v>
      </c>
      <c r="BD134" s="32" cm="1">
        <f t="array" ref="BD134">IF($F$13-$I$4+VLOOKUP($R134,武学奇术!$A:$ZZ,13,FALSE)+SUM(_xlfn.XLOOKUP(S134:AG134,增益!$A:$A,增益!$M:$M,0))&gt;0,($F$13-$I$4+VLOOKUP($R134,武学奇术!$A:$ZZ,13,FALSE)+SUM(_xlfn.XLOOKUP(S134:AG134,增益!$A:$A,增益!$K:$K,0)))/200,($F$13-$I$4+VLOOKUP($R134,武学奇术!$A:$ZZ,13,FALSE)+SUM(_xlfn.XLOOKUP(S134:AG134,增益!$A:$A,增益!$M:$M,0)))/100)</f>
        <v>-0.3</v>
      </c>
      <c r="BE134" s="32" cm="1">
        <f t="array" ref="BE134">$G$13+VLOOKUP($R134,武学奇术!$A:$ZZ,14,FALSE)+SUM(_xlfn.XLOOKUP(S134:AG134,增益!$A:$A,增益!$N:$N,0))</f>
        <v>0</v>
      </c>
      <c r="BF134">
        <f t="shared" si="32"/>
        <v>571.2</v>
      </c>
      <c r="BG134">
        <f t="shared" si="33"/>
        <v>1627.8</v>
      </c>
      <c r="BH134" s="32" cm="1">
        <f t="array" ref="BH134">IF($F$14-$I$4+VLOOKUP($R134,武学奇术!$A:$ZZ,15,FALSE)+SUM(_xlfn.XLOOKUP(S134:AG134,增益!$A:$A,增益!$O:$O,0))&gt;0,($F$14-$I$4+VLOOKUP($R134,武学奇术!$A:$ZZ,15,FALSE)+SUM(_xlfn.XLOOKUP(S134:AG134,增益!$A:$A,增益!$O:$O,0)))/200,($F$14-$I$4+VLOOKUP($R134,武学奇术!$A:$ZZ,15,FALSE)+SUM(_xlfn.XLOOKUP(S134:AG134,增益!$A:$A,增益!$O:$O,0)))/100)</f>
        <v>0</v>
      </c>
      <c r="BI134" s="32" cm="1">
        <f t="array" ref="BI134">$G$14+VLOOKUP($R134,武学奇术!$A:$ZZ,16,FALSE)+SUM(_xlfn.XLOOKUP(S134:AG134,增益!$A:$A,增益!$P:$P,0))</f>
        <v>0.27</v>
      </c>
      <c r="BJ134" s="26">
        <f>MIN(IF(VLOOKUP($R134,武学奇术!$A:$ZZ,23,FALSE)=1,100%,$B$8),100%)</f>
        <v>0.981</v>
      </c>
      <c r="BK134" s="26" cm="1">
        <f t="array" ref="BK134">IF(VLOOKUP($R134,武学奇术!$A:$ZZ,23,FALSE)=1,100%,MIN(80%,$B$9+VLOOKUP($R134,武学奇术!$A:$ZZ,17,FALSE)+SUM(_xlfn.XLOOKUP(S134:AG134,增益!$A:$A,增益!$Q:$Q,0)))+$B$11+SUM(_xlfn.XLOOKUP(S134:AG134,增益!$A:$A,增益!$U:$U,0)))*IF(VLOOKUP($R134,武学奇术!$A:$ZZ,24,FALSE)=1,0,1)</f>
        <v>0.846</v>
      </c>
      <c r="BL134" s="26" cm="1">
        <f t="array" ref="BL134">1+$B$13+VLOOKUP($R134,武学奇术!$A:$ZZ,18,FALSE)+SUM(_xlfn.XLOOKUP(S134:AG134,增益!$A:$A,增益!$R:$R,0))</f>
        <v>1.97</v>
      </c>
      <c r="BM134" s="26" cm="1">
        <f t="array" ref="BM134">IF(VLOOKUP($R134,武学奇术!$A:$ZZ,24,FALSE)=1,100%,MIN(40%,$B$10+VLOOKUP($R134,武学奇术!$A:$ZZ,19,FALSE)+SUM(_xlfn.XLOOKUP(S134:AG134,增益!$A:$A,增益!$S:$S,0)))+$B$12+SUM(_xlfn.XLOOKUP(S134:AG134,增益!$A:$A,增益!$V:$V,0)))*IF(VLOOKUP($R134,武学奇术!$A:$ZZ,23,FALSE)=1,0,1)</f>
        <v>0.0929</v>
      </c>
      <c r="BN134" s="26" cm="1">
        <f t="array" ref="BN134">1+$B$14+VLOOKUP($R134,武学奇术!$A:$ZZ,20,FALSE)+SUM(_xlfn.XLOOKUP(S134:AG134,增益!$A:$A,增益!$T:$T,0))</f>
        <v>1.35</v>
      </c>
      <c r="BO134" s="26">
        <f t="shared" si="34"/>
        <v>0.829926</v>
      </c>
      <c r="BP134" s="26">
        <f t="shared" si="35"/>
        <v>0.0599391</v>
      </c>
      <c r="BQ134" s="26">
        <f>IF(VLOOKUP($R134,武学奇术!$A:$ZZ,22,FALSE)=1,0,(1-$BJ134))*(1-$BM134)</f>
        <v>0.0172349</v>
      </c>
      <c r="BR134" s="26" cm="1">
        <f t="array" ref="BR134">SUM(_xlfn.XLOOKUP(S134:AG134,增益!$A:$A,增益!$W:$W,0))+$I$5</f>
        <v>0.11</v>
      </c>
    </row>
    <row r="135" spans="11:70">
      <c r="K135">
        <f>$L135*VLOOKUP($R135,武学奇术!$A:$ZZ,31,FALSE)</f>
        <v>44842.1614601867</v>
      </c>
      <c r="L135" s="38">
        <f t="shared" si="25"/>
        <v>42706.820438273</v>
      </c>
      <c r="M135" s="38">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BL135*$Q135*(1+IF(VLOOKUP($R135,武学奇术!$A:$ZZ,30,FALSE)="回旋伞",$B$21,0))*(1+$BR135)</f>
        <v>45420.6621455903</v>
      </c>
      <c r="N135" s="38">
        <f>(($AP135*$AI135+$AJ135)*(1+$AQ135)*(1+$AR135)+($AU135*IF($G$1="鸣金",$AK135,$AI135)+IF($G$1="鸣金",$AL135*1.5,0))*(1+$AV135)*(1+$AW135)+($AY135*IF($G$1="裂石",$AK135,$AI135)+IF($G$1="裂石",$AL135*1.5,0))*(1+$AZ135)*(1+$BA135)+($BC135*IF($G$1="牵丝",$AK135,$AI135)+IF($G$1="牵丝",$AL135*1.5,0))*(1+$BD135)*(1+$BE135)+($BG135*IF($G$1="破竹",$AK135,$AI135)+IF($G$1="破竹",$AL135*1.5,0))*(1+$BH135)*(1+$BI135))*(1+$AM135)*$BN135*$Q135*(1+IF(VLOOKUP($R135,武学奇术!$A:$ZZ,30,FALSE)="回旋伞",$B$21,0))*(1+$BR135)</f>
        <v>35370.0670293007</v>
      </c>
      <c r="O135" s="38">
        <f>((($AO135+$AP135)/2*$AI135+$AJ135)*(1+$AQ135)*(1+$AR135)+(($AT135+$AU135)/2*IF($G$1="鸣金",$AK135,$AI135)+IF($G$1="鸣金",$AL135*1.5,0))*(1+$AV135)*(1+$AW135)+(($AX135+$AY135)/2*IF($G$1="裂石",$AK135,$AI135)+IF($G$1="裂石",$AL135*1.5,0))*(1+$AZ135)*(1+$BA135)+(($BB135+$BC135)/2*IF($G$1="牵丝",$AK135,$AI135)+IF($G$1="牵丝",$AL135*1.5,0))*(1+$BD135)*(1+$BE135)+(($BF135+$BG135)/2*IF($G$1="破竹",$AK135,$AI135)+IF($G$1="破竹",$AL135*1.5,0))*(1+$BH135)*(1+$BI135))*(1+$AM135)*$Q135*(1+IF(VLOOKUP($R135,武学奇术!$A:$ZZ,30,FALSE)="回旋伞",$B$21,0))*(1+$BR135)</f>
        <v>23056.1736779646</v>
      </c>
      <c r="P135" s="38">
        <f>((($AO135*$AI135+$AJ135)*(1+$AQ135)*(1+$AR135)+($AT135*IF($G$1="鸣金",$AK135,$AI135)+IF($G$1="鸣金",$AL135*1.5,0))*(1+$AV135)*(1+$AW135)+($AX135*IF($G$1="裂石",$AK135,$AI135)+IF($G$1="裂石",$AL135*1.5,0))*(1+$AZ135)*(1+$BA135)+($BB135*IF($G$1="牵丝",$AK135,$AI135)+IF($G$1="牵丝",$AL135*1.5,0))*(1+$BD135)*(1+$BE135)+($BF135*IF($G$1="破竹",$AK135,$AI135)+IF($G$1="破竹",$AL135*1.5,0))*(1+$BH135)*(1+$BI135))*(1+$AM135))*$Q135*(1+IF(VLOOKUP($R135,武学奇术!$A:$ZZ,30,FALSE)="回旋伞",$B$21,0))*(1+$BR135)</f>
        <v>19912.2977045954</v>
      </c>
      <c r="Q135" s="39">
        <v>2</v>
      </c>
      <c r="R135" s="40" t="s">
        <v>112</v>
      </c>
      <c r="S135" s="40" t="s">
        <v>109</v>
      </c>
      <c r="T135" s="40" t="s">
        <v>95</v>
      </c>
      <c r="U135" s="40" t="s">
        <v>73</v>
      </c>
      <c r="V135" s="40" t="s">
        <v>81</v>
      </c>
      <c r="W135" s="40" t="s">
        <v>172</v>
      </c>
      <c r="X135" s="40" t="s">
        <v>99</v>
      </c>
      <c r="Y135" s="40" t="s">
        <v>72</v>
      </c>
      <c r="Z135" s="40" t="s">
        <v>72</v>
      </c>
      <c r="AA135" s="40" t="s">
        <v>72</v>
      </c>
      <c r="AB135" s="40" t="s">
        <v>115</v>
      </c>
      <c r="AC135" s="40" t="s">
        <v>72</v>
      </c>
      <c r="AD135" s="40" t="s">
        <v>72</v>
      </c>
      <c r="AE135" s="40" t="s">
        <v>72</v>
      </c>
      <c r="AF135" s="40" t="s">
        <v>72</v>
      </c>
      <c r="AG135" s="40" t="s">
        <v>78</v>
      </c>
      <c r="AH135" t="str">
        <f>VLOOKUP($R135,武学奇术!$A:$ZZ,25,FALSE)</f>
        <v>伞</v>
      </c>
      <c r="AI135" s="26">
        <f>VLOOKUP($R135,武学奇术!$A:$ZZ,26,FALSE)</f>
        <v>0.54</v>
      </c>
      <c r="AJ135" s="27">
        <f>VLOOKUP($R135,武学奇术!$A:$ZZ,27,FALSE)*(1+IF(OR($AH135=$F$4,$AH135=$F$5),$B$22,0))</f>
        <v>0</v>
      </c>
      <c r="AK135" s="26">
        <f>VLOOKUP($R135,武学奇术!$A:$ZZ,28,FALSE)</f>
        <v>0.81</v>
      </c>
      <c r="AL135" s="27">
        <f>VLOOKUP($R135,武学奇术!$A:$ZZ,29,FALSE)*(1+IF(OR($AH135=$F$4,$AH135=$F$5),$B$22,0))</f>
        <v>0</v>
      </c>
      <c r="AM135" s="26" cm="1">
        <f t="array" ref="AM135">$G$3+IFERROR(VLOOKUP($AH135,$F$4:$G$7,2,FALSE),0)+VLOOKUP($R135,武学奇术!$A:$ZZ,2,FALSE)+SUM(_xlfn.XLOOKUP($S135:$AG135,增益!$A:$A,增益!$B:$B,0))</f>
        <v>0.9741</v>
      </c>
      <c r="AN135" s="26" cm="1">
        <f t="array" ref="AN135">VLOOKUP($R135,武学奇术!$A:$ZZ,5,FALSE)+SUM(_xlfn.XLOOKUP($S135:$AG135,增益!$A:$A,增益!$E:$E,0))</f>
        <v>0</v>
      </c>
      <c r="AO135" cm="1">
        <f t="array" ref="AO135">$D$10*(1+$AN135)+VLOOKUP($R135,武学奇术!$A:$ZZ,3,FALSE)+SUM(_xlfn.XLOOKUP($S135:$AG135,增益!$A:$A,增益!$C:$C,0))-$I$2</f>
        <v>3562.6</v>
      </c>
      <c r="AP135" cm="1">
        <f t="array" ref="AP135">$E$10*(1+$AN135)+VLOOKUP($R135,武学奇术!$A:$ZZ,4,FALSE)+SUM(_xlfn.XLOOKUP($S135:$AG135,增益!$A:$A,增益!$D:$D,0))-$I$2</f>
        <v>3562.6</v>
      </c>
      <c r="AQ135" s="32" cm="1">
        <f t="array" ref="AQ135">IF($F$10-$I$3+VLOOKUP($R135,武学奇术!$A:$ZZ,6,FALSE)+SUM(_xlfn.XLOOKUP(S135:AG135,增益!$A:$A,增益!$F:$F,0))&gt;0,($F$10-$I$3+VLOOKUP($R135,武学奇术!$A:$ZZ,6,FALSE)+SUM(_xlfn.XLOOKUP(S135:AG135,增益!$A:$A,增益!$F:$F,0)))/200,($F$10-$I$3+VLOOKUP($R135,武学奇术!$A:$ZZ,6,FALSE)+SUM(_xlfn.XLOOKUP(S135:AG135,增益!$A:$A,增益!$F:$F,0)))/100)</f>
        <v>0.2925</v>
      </c>
      <c r="AR135" s="32" cm="1">
        <f t="array" ref="AR135">$G$10+VLOOKUP($R135,武学奇术!$A:$ZZ,7,FALSE)+SUM(_xlfn.XLOOKUP(S135:AG135,增益!$A:$A,增益!$G:$G,0))</f>
        <v>0.148</v>
      </c>
      <c r="AS135" s="26" cm="1">
        <f t="array" ref="AS135">VLOOKUP($R135,武学奇术!$A:$ZZ,8,FALSE)+SUM(_xlfn.XLOOKUP(S135:AG135,增益!$A:$A,增益!$H:$H,0))</f>
        <v>0</v>
      </c>
      <c r="AT135">
        <f t="shared" si="26"/>
        <v>0</v>
      </c>
      <c r="AU135">
        <f t="shared" si="27"/>
        <v>0</v>
      </c>
      <c r="AV135" s="32" cm="1">
        <f t="array" ref="AV135">IF($F$11-$I$4+VLOOKUP($R135,武学奇术!$A:$ZZ,9,FALSE)+SUM(_xlfn.XLOOKUP(S135:AG135,增益!$A:$A,增益!$I:$I,0))&gt;0,($F$11-$I$4+VLOOKUP($R135,武学奇术!$A:$ZZ,9,FALSE)+SUM(_xlfn.XLOOKUP(S135:AG135,增益!$A:$A,增益!$I:$I,0)))/200,($F$11-$I$4+VLOOKUP($R135,武学奇术!$A:$ZZ,9,FALSE)+SUM(_xlfn.XLOOKUP(S135:AG135,增益!$A:$A,增益!$I:$I,0)))/100)</f>
        <v>-0.3</v>
      </c>
      <c r="AW135" s="32" cm="1">
        <f t="array" ref="AW135">$G$11+VLOOKUP($R135,武学奇术!$A:$ZZ,10,FALSE)+SUM(_xlfn.XLOOKUP(S135:AG135,增益!$A:$A,增益!$J:$J,0))</f>
        <v>0</v>
      </c>
      <c r="AX135">
        <f t="shared" si="28"/>
        <v>0</v>
      </c>
      <c r="AY135">
        <f t="shared" si="29"/>
        <v>0</v>
      </c>
      <c r="AZ135" s="32" cm="1">
        <f t="array" ref="AZ135">IF($F$12-$I$4+VLOOKUP($R135,武学奇术!$A:$ZZ,11,FALSE)+SUM(_xlfn.XLOOKUP(S135:AG135,增益!$A:$A,增益!$K:$K,0))&gt;0,($F$12-$I$4+VLOOKUP($R135,武学奇术!$A:$ZZ,11,FALSE)+SUM(_xlfn.XLOOKUP(S135:AG135,增益!$A:$A,增益!$K:$K,0)))/200,($F$12-$I$4+VLOOKUP($R135,武学奇术!$A:$ZZ,11,FALSE)+SUM(_xlfn.XLOOKUP(S135:AG135,增益!$A:$A,增益!$K:$K,0)))/100)</f>
        <v>-0.3</v>
      </c>
      <c r="BA135" s="32" cm="1">
        <f t="array" ref="BA135">$G$12+VLOOKUP($R135,武学奇术!$A:$ZZ,12,FALSE)+SUM(_xlfn.XLOOKUP(S135:AG135,增益!$A:$A,增益!$L:$L,0))</f>
        <v>0</v>
      </c>
      <c r="BB135">
        <f t="shared" si="30"/>
        <v>0</v>
      </c>
      <c r="BC135">
        <f t="shared" si="31"/>
        <v>0</v>
      </c>
      <c r="BD135" s="32" cm="1">
        <f t="array" ref="BD135">IF($F$13-$I$4+VLOOKUP($R135,武学奇术!$A:$ZZ,13,FALSE)+SUM(_xlfn.XLOOKUP(S135:AG135,增益!$A:$A,增益!$M:$M,0))&gt;0,($F$13-$I$4+VLOOKUP($R135,武学奇术!$A:$ZZ,13,FALSE)+SUM(_xlfn.XLOOKUP(S135:AG135,增益!$A:$A,增益!$K:$K,0)))/200,($F$13-$I$4+VLOOKUP($R135,武学奇术!$A:$ZZ,13,FALSE)+SUM(_xlfn.XLOOKUP(S135:AG135,增益!$A:$A,增益!$M:$M,0)))/100)</f>
        <v>-0.3</v>
      </c>
      <c r="BE135" s="32" cm="1">
        <f t="array" ref="BE135">$G$13+VLOOKUP($R135,武学奇术!$A:$ZZ,14,FALSE)+SUM(_xlfn.XLOOKUP(S135:AG135,增益!$A:$A,增益!$N:$N,0))</f>
        <v>0</v>
      </c>
      <c r="BF135">
        <f t="shared" si="32"/>
        <v>571.2</v>
      </c>
      <c r="BG135">
        <f t="shared" si="33"/>
        <v>1627.8</v>
      </c>
      <c r="BH135" s="32" cm="1">
        <f t="array" ref="BH135">IF($F$14-$I$4+VLOOKUP($R135,武学奇术!$A:$ZZ,15,FALSE)+SUM(_xlfn.XLOOKUP(S135:AG135,增益!$A:$A,增益!$O:$O,0))&gt;0,($F$14-$I$4+VLOOKUP($R135,武学奇术!$A:$ZZ,15,FALSE)+SUM(_xlfn.XLOOKUP(S135:AG135,增益!$A:$A,增益!$O:$O,0)))/200,($F$14-$I$4+VLOOKUP($R135,武学奇术!$A:$ZZ,15,FALSE)+SUM(_xlfn.XLOOKUP(S135:AG135,增益!$A:$A,增益!$O:$O,0)))/100)</f>
        <v>0</v>
      </c>
      <c r="BI135" s="32" cm="1">
        <f t="array" ref="BI135">$G$14+VLOOKUP($R135,武学奇术!$A:$ZZ,16,FALSE)+SUM(_xlfn.XLOOKUP(S135:AG135,增益!$A:$A,增益!$P:$P,0))</f>
        <v>0.27</v>
      </c>
      <c r="BJ135" s="26">
        <f>MIN(IF(VLOOKUP($R135,武学奇术!$A:$ZZ,23,FALSE)=1,100%,$B$8),100%)</f>
        <v>0.981</v>
      </c>
      <c r="BK135" s="26" cm="1">
        <f t="array" ref="BK135">IF(VLOOKUP($R135,武学奇术!$A:$ZZ,23,FALSE)=1,100%,MIN(80%,$B$9+VLOOKUP($R135,武学奇术!$A:$ZZ,17,FALSE)+SUM(_xlfn.XLOOKUP(S135:AG135,增益!$A:$A,增益!$Q:$Q,0)))+$B$11+SUM(_xlfn.XLOOKUP(S135:AG135,增益!$A:$A,增益!$U:$U,0)))*IF(VLOOKUP($R135,武学奇术!$A:$ZZ,24,FALSE)=1,0,1)</f>
        <v>0.846</v>
      </c>
      <c r="BL135" s="26" cm="1">
        <f t="array" ref="BL135">1+$B$13+VLOOKUP($R135,武学奇术!$A:$ZZ,18,FALSE)+SUM(_xlfn.XLOOKUP(S135:AG135,增益!$A:$A,增益!$R:$R,0))</f>
        <v>1.97</v>
      </c>
      <c r="BM135" s="26" cm="1">
        <f t="array" ref="BM135">IF(VLOOKUP($R135,武学奇术!$A:$ZZ,24,FALSE)=1,100%,MIN(40%,$B$10+VLOOKUP($R135,武学奇术!$A:$ZZ,19,FALSE)+SUM(_xlfn.XLOOKUP(S135:AG135,增益!$A:$A,增益!$S:$S,0)))+$B$12+SUM(_xlfn.XLOOKUP(S135:AG135,增益!$A:$A,增益!$V:$V,0)))*IF(VLOOKUP($R135,武学奇术!$A:$ZZ,23,FALSE)=1,0,1)</f>
        <v>0.0929</v>
      </c>
      <c r="BN135" s="26" cm="1">
        <f t="array" ref="BN135">1+$B$14+VLOOKUP($R135,武学奇术!$A:$ZZ,20,FALSE)+SUM(_xlfn.XLOOKUP(S135:AG135,增益!$A:$A,增益!$T:$T,0))</f>
        <v>1.35</v>
      </c>
      <c r="BO135" s="26">
        <f t="shared" si="34"/>
        <v>0.829926</v>
      </c>
      <c r="BP135" s="26">
        <f t="shared" si="35"/>
        <v>0.0599391</v>
      </c>
      <c r="BQ135" s="26">
        <f>IF(VLOOKUP($R135,武学奇术!$A:$ZZ,22,FALSE)=1,0,(1-$BJ135))*(1-$BM135)</f>
        <v>0.0172349</v>
      </c>
      <c r="BR135" s="26" cm="1">
        <f t="array" ref="BR135">SUM(_xlfn.XLOOKUP(S135:AG135,增益!$A:$A,增益!$W:$W,0))+$I$5</f>
        <v>0.11</v>
      </c>
    </row>
    <row r="136" spans="11:70">
      <c r="K136">
        <f>$L136*VLOOKUP($R136,武学奇术!$A:$ZZ,31,FALSE)</f>
        <v>79028.9875697386</v>
      </c>
      <c r="L136" s="38">
        <f t="shared" si="25"/>
        <v>75265.7024473701</v>
      </c>
      <c r="M136" s="38">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BL136*$Q136*(1+IF(VLOOKUP($R136,武学奇术!$A:$ZZ,30,FALSE)="回旋伞",$B$21,0))*(1+$BR136)</f>
        <v>80404.4521604227</v>
      </c>
      <c r="N136" s="38">
        <f>(($AP136*$AI136+$AJ136)*(1+$AQ136)*(1+$AR136)+($AU136*IF($G$1="鸣金",$AK136,$AI136)+IF($G$1="鸣金",$AL136*1.5,0))*(1+$AV136)*(1+$AW136)+($AY136*IF($G$1="裂石",$AK136,$AI136)+IF($G$1="裂石",$AL136*1.5,0))*(1+$AZ136)*(1+$BA136)+($BC136*IF($G$1="牵丝",$AK136,$AI136)+IF($G$1="牵丝",$AL136*1.5,0))*(1+$BD136)*(1+$BE136)+($BG136*IF($G$1="破竹",$AK136,$AI136)+IF($G$1="破竹",$AL136*1.5,0))*(1+$BH136)*(1+$BI136))*(1+$AM136)*$BN136*$Q136*(1+IF(VLOOKUP($R136,武学奇术!$A:$ZZ,30,FALSE)="回旋伞",$B$21,0))*(1+$BR136)</f>
        <v>59857.6756031387</v>
      </c>
      <c r="O136" s="38">
        <f>((($AO136+$AP136)/2*$AI136+$AJ136)*(1+$AQ136)*(1+$AR136)+(($AT136+$AU136)/2*IF($G$1="鸣金",$AK136,$AI136)+IF($G$1="鸣金",$AL136*1.5,0))*(1+$AV136)*(1+$AW136)+(($AX136+$AY136)/2*IF($G$1="裂石",$AK136,$AI136)+IF($G$1="裂石",$AL136*1.5,0))*(1+$AZ136)*(1+$BA136)+(($BB136+$BC136)/2*IF($G$1="牵丝",$AK136,$AI136)+IF($G$1="牵丝",$AL136*1.5,0))*(1+$BD136)*(1+$BE136)+(($BF136+$BG136)/2*IF($G$1="破竹",$AK136,$AI136)+IF($G$1="破竹",$AL136*1.5,0))*(1+$BH136)*(1+$BI136))*(1+$AM136)*$Q136*(1+IF(VLOOKUP($R136,武学奇术!$A:$ZZ,30,FALSE)="回旋伞",$B$21,0))*(1+$BR136)</f>
        <v>39608.1045125235</v>
      </c>
      <c r="P136" s="38">
        <f>((($AO136*$AI136+$AJ136)*(1+$AQ136)*(1+$AR136)+($AT136*IF($G$1="鸣金",$AK136,$AI136)+IF($G$1="鸣金",$AL136*1.5,0))*(1+$AV136)*(1+$AW136)+($AX136*IF($G$1="裂石",$AK136,$AI136)+IF($G$1="裂石",$AL136*1.5,0))*(1+$AZ136)*(1+$BA136)+($BB136*IF($G$1="牵丝",$AK136,$AI136)+IF($G$1="牵丝",$AL136*1.5,0))*(1+$BD136)*(1+$BE136)+($BF136*IF($G$1="破竹",$AK136,$AI136)+IF($G$1="破竹",$AL136*1.5,0))*(1+$BH136)*(1+$BI136))*(1+$AM136))*$Q136*(1+IF(VLOOKUP($R136,武学奇术!$A:$ZZ,30,FALSE)="回旋伞",$B$21,0))*(1+$BR136)</f>
        <v>34877.1900597591</v>
      </c>
      <c r="Q136" s="39">
        <v>1</v>
      </c>
      <c r="R136" s="40" t="s">
        <v>108</v>
      </c>
      <c r="S136" s="40" t="s">
        <v>109</v>
      </c>
      <c r="T136" s="40" t="s">
        <v>95</v>
      </c>
      <c r="U136" s="40" t="s">
        <v>73</v>
      </c>
      <c r="V136" s="40" t="s">
        <v>81</v>
      </c>
      <c r="W136" s="40" t="s">
        <v>172</v>
      </c>
      <c r="X136" s="40" t="s">
        <v>99</v>
      </c>
      <c r="Y136" s="40" t="s">
        <v>72</v>
      </c>
      <c r="Z136" s="40" t="s">
        <v>72</v>
      </c>
      <c r="AA136" s="40" t="s">
        <v>72</v>
      </c>
      <c r="AB136" s="40" t="s">
        <v>120</v>
      </c>
      <c r="AC136" s="40" t="s">
        <v>72</v>
      </c>
      <c r="AD136" s="40" t="s">
        <v>72</v>
      </c>
      <c r="AE136" s="40" t="s">
        <v>72</v>
      </c>
      <c r="AF136" s="40" t="s">
        <v>72</v>
      </c>
      <c r="AG136" s="40" t="s">
        <v>78</v>
      </c>
      <c r="AH136" t="str">
        <f>VLOOKUP($R136,武学奇术!$A:$ZZ,25,FALSE)</f>
        <v>伞</v>
      </c>
      <c r="AI136" s="26">
        <f>VLOOKUP($R136,武学奇术!$A:$ZZ,26,FALSE)</f>
        <v>1.8084</v>
      </c>
      <c r="AJ136" s="27">
        <f>VLOOKUP($R136,武学奇术!$A:$ZZ,27,FALSE)*(1+IF(OR($AH136=$F$4,$AH136=$F$5),$B$22,0))</f>
        <v>750</v>
      </c>
      <c r="AK136" s="26">
        <f>VLOOKUP($R136,武学奇术!$A:$ZZ,28,FALSE)</f>
        <v>2.7126</v>
      </c>
      <c r="AL136" s="27">
        <f>VLOOKUP($R136,武学奇术!$A:$ZZ,29,FALSE)*(1+IF(OR($AH136=$F$4,$AH136=$F$5),$B$22,0))</f>
        <v>408</v>
      </c>
      <c r="AM136" s="26" cm="1">
        <f t="array" ref="AM136">$G$3+IFERROR(VLOOKUP($AH136,$F$4:$G$7,2,FALSE),0)+VLOOKUP($R136,武学奇术!$A:$ZZ,2,FALSE)+SUM(_xlfn.XLOOKUP($S136:$AG136,增益!$A:$A,增益!$B:$B,0))</f>
        <v>0.7741</v>
      </c>
      <c r="AN136" s="26" cm="1">
        <f t="array" ref="AN136">VLOOKUP($R136,武学奇术!$A:$ZZ,5,FALSE)+SUM(_xlfn.XLOOKUP($S136:$AG136,增益!$A:$A,增益!$E:$E,0))</f>
        <v>0</v>
      </c>
      <c r="AO136" cm="1">
        <f t="array" ref="AO136">$D$10*(1+$AN136)+VLOOKUP($R136,武学奇术!$A:$ZZ,3,FALSE)+SUM(_xlfn.XLOOKUP($S136:$AG136,增益!$A:$A,增益!$C:$C,0))-$I$2</f>
        <v>3562.6</v>
      </c>
      <c r="AP136" cm="1">
        <f t="array" ref="AP136">$E$10*(1+$AN136)+VLOOKUP($R136,武学奇术!$A:$ZZ,4,FALSE)+SUM(_xlfn.XLOOKUP($S136:$AG136,增益!$A:$A,增益!$D:$D,0))-$I$2</f>
        <v>3562.6</v>
      </c>
      <c r="AQ136" s="32" cm="1">
        <f t="array" ref="AQ136">IF($F$10-$I$3+VLOOKUP($R136,武学奇术!$A:$ZZ,6,FALSE)+SUM(_xlfn.XLOOKUP(S136:AG136,增益!$A:$A,增益!$F:$F,0))&gt;0,($F$10-$I$3+VLOOKUP($R136,武学奇术!$A:$ZZ,6,FALSE)+SUM(_xlfn.XLOOKUP(S136:AG136,增益!$A:$A,增益!$F:$F,0)))/200,($F$10-$I$3+VLOOKUP($R136,武学奇术!$A:$ZZ,6,FALSE)+SUM(_xlfn.XLOOKUP(S136:AG136,增益!$A:$A,增益!$F:$F,0)))/100)</f>
        <v>0.2925</v>
      </c>
      <c r="AR136" s="32" cm="1">
        <f t="array" ref="AR136">$G$10+VLOOKUP($R136,武学奇术!$A:$ZZ,7,FALSE)+SUM(_xlfn.XLOOKUP(S136:AG136,增益!$A:$A,增益!$G:$G,0))</f>
        <v>0.148</v>
      </c>
      <c r="AS136" s="26" cm="1">
        <f t="array" ref="AS136">VLOOKUP($R136,武学奇术!$A:$ZZ,8,FALSE)+SUM(_xlfn.XLOOKUP(S136:AG136,增益!$A:$A,增益!$H:$H,0))</f>
        <v>0</v>
      </c>
      <c r="AT136">
        <f t="shared" si="26"/>
        <v>0</v>
      </c>
      <c r="AU136">
        <f t="shared" si="27"/>
        <v>0</v>
      </c>
      <c r="AV136" s="32" cm="1">
        <f t="array" ref="AV136">IF($F$11-$I$4+VLOOKUP($R136,武学奇术!$A:$ZZ,9,FALSE)+SUM(_xlfn.XLOOKUP(S136:AG136,增益!$A:$A,增益!$I:$I,0))&gt;0,($F$11-$I$4+VLOOKUP($R136,武学奇术!$A:$ZZ,9,FALSE)+SUM(_xlfn.XLOOKUP(S136:AG136,增益!$A:$A,增益!$I:$I,0)))/200,($F$11-$I$4+VLOOKUP($R136,武学奇术!$A:$ZZ,9,FALSE)+SUM(_xlfn.XLOOKUP(S136:AG136,增益!$A:$A,增益!$I:$I,0)))/100)</f>
        <v>-0.3</v>
      </c>
      <c r="AW136" s="32" cm="1">
        <f t="array" ref="AW136">$G$11+VLOOKUP($R136,武学奇术!$A:$ZZ,10,FALSE)+SUM(_xlfn.XLOOKUP(S136:AG136,增益!$A:$A,增益!$J:$J,0))</f>
        <v>0</v>
      </c>
      <c r="AX136">
        <f t="shared" si="28"/>
        <v>0</v>
      </c>
      <c r="AY136">
        <f t="shared" si="29"/>
        <v>0</v>
      </c>
      <c r="AZ136" s="32" cm="1">
        <f t="array" ref="AZ136">IF($F$12-$I$4+VLOOKUP($R136,武学奇术!$A:$ZZ,11,FALSE)+SUM(_xlfn.XLOOKUP(S136:AG136,增益!$A:$A,增益!$K:$K,0))&gt;0,($F$12-$I$4+VLOOKUP($R136,武学奇术!$A:$ZZ,11,FALSE)+SUM(_xlfn.XLOOKUP(S136:AG136,增益!$A:$A,增益!$K:$K,0)))/200,($F$12-$I$4+VLOOKUP($R136,武学奇术!$A:$ZZ,11,FALSE)+SUM(_xlfn.XLOOKUP(S136:AG136,增益!$A:$A,增益!$K:$K,0)))/100)</f>
        <v>-0.3</v>
      </c>
      <c r="BA136" s="32" cm="1">
        <f t="array" ref="BA136">$G$12+VLOOKUP($R136,武学奇术!$A:$ZZ,12,FALSE)+SUM(_xlfn.XLOOKUP(S136:AG136,增益!$A:$A,增益!$L:$L,0))</f>
        <v>0</v>
      </c>
      <c r="BB136">
        <f t="shared" si="30"/>
        <v>0</v>
      </c>
      <c r="BC136">
        <f t="shared" si="31"/>
        <v>0</v>
      </c>
      <c r="BD136" s="32" cm="1">
        <f t="array" ref="BD136">IF($F$13-$I$4+VLOOKUP($R136,武学奇术!$A:$ZZ,13,FALSE)+SUM(_xlfn.XLOOKUP(S136:AG136,增益!$A:$A,增益!$M:$M,0))&gt;0,($F$13-$I$4+VLOOKUP($R136,武学奇术!$A:$ZZ,13,FALSE)+SUM(_xlfn.XLOOKUP(S136:AG136,增益!$A:$A,增益!$K:$K,0)))/200,($F$13-$I$4+VLOOKUP($R136,武学奇术!$A:$ZZ,13,FALSE)+SUM(_xlfn.XLOOKUP(S136:AG136,增益!$A:$A,增益!$M:$M,0)))/100)</f>
        <v>-0.3</v>
      </c>
      <c r="BE136" s="32" cm="1">
        <f t="array" ref="BE136">$G$13+VLOOKUP($R136,武学奇术!$A:$ZZ,14,FALSE)+SUM(_xlfn.XLOOKUP(S136:AG136,增益!$A:$A,增益!$N:$N,0))</f>
        <v>0</v>
      </c>
      <c r="BF136">
        <f t="shared" si="32"/>
        <v>571.2</v>
      </c>
      <c r="BG136">
        <f t="shared" si="33"/>
        <v>1627.8</v>
      </c>
      <c r="BH136" s="32" cm="1">
        <f t="array" ref="BH136">IF($F$14-$I$4+VLOOKUP($R136,武学奇术!$A:$ZZ,15,FALSE)+SUM(_xlfn.XLOOKUP(S136:AG136,增益!$A:$A,增益!$O:$O,0))&gt;0,($F$14-$I$4+VLOOKUP($R136,武学奇术!$A:$ZZ,15,FALSE)+SUM(_xlfn.XLOOKUP(S136:AG136,增益!$A:$A,增益!$O:$O,0)))/200,($F$14-$I$4+VLOOKUP($R136,武学奇术!$A:$ZZ,15,FALSE)+SUM(_xlfn.XLOOKUP(S136:AG136,增益!$A:$A,增益!$O:$O,0)))/100)</f>
        <v>0</v>
      </c>
      <c r="BI136" s="32" cm="1">
        <f t="array" ref="BI136">$G$14+VLOOKUP($R136,武学奇术!$A:$ZZ,16,FALSE)+SUM(_xlfn.XLOOKUP(S136:AG136,增益!$A:$A,增益!$P:$P,0))</f>
        <v>0.27</v>
      </c>
      <c r="BJ136" s="26">
        <f>MIN(IF(VLOOKUP($R136,武学奇术!$A:$ZZ,23,FALSE)=1,100%,$B$8),100%)</f>
        <v>0.981</v>
      </c>
      <c r="BK136" s="26" cm="1">
        <f t="array" ref="BK136">IF(VLOOKUP($R136,武学奇术!$A:$ZZ,23,FALSE)=1,100%,MIN(80%,$B$9+VLOOKUP($R136,武学奇术!$A:$ZZ,17,FALSE)+SUM(_xlfn.XLOOKUP(S136:AG136,增益!$A:$A,增益!$Q:$Q,0)))+$B$11+SUM(_xlfn.XLOOKUP(S136:AG136,增益!$A:$A,增益!$U:$U,0)))*IF(VLOOKUP($R136,武学奇术!$A:$ZZ,24,FALSE)=1,0,1)</f>
        <v>0.846</v>
      </c>
      <c r="BL136" s="26" cm="1">
        <f t="array" ref="BL136">1+$B$13+VLOOKUP($R136,武学奇术!$A:$ZZ,18,FALSE)+SUM(_xlfn.XLOOKUP(S136:AG136,增益!$A:$A,增益!$R:$R,0))</f>
        <v>2.03</v>
      </c>
      <c r="BM136" s="26" cm="1">
        <f t="array" ref="BM136">IF(VLOOKUP($R136,武学奇术!$A:$ZZ,24,FALSE)=1,100%,MIN(40%,$B$10+VLOOKUP($R136,武学奇术!$A:$ZZ,19,FALSE)+SUM(_xlfn.XLOOKUP(S136:AG136,增益!$A:$A,增益!$S:$S,0)))+$B$12+SUM(_xlfn.XLOOKUP(S136:AG136,增益!$A:$A,增益!$V:$V,0)))*IF(VLOOKUP($R136,武学奇术!$A:$ZZ,23,FALSE)=1,0,1)</f>
        <v>0.0929</v>
      </c>
      <c r="BN136" s="26" cm="1">
        <f t="array" ref="BN136">1+$B$14+VLOOKUP($R136,武学奇术!$A:$ZZ,20,FALSE)+SUM(_xlfn.XLOOKUP(S136:AG136,增益!$A:$A,增益!$T:$T,0))</f>
        <v>1.35</v>
      </c>
      <c r="BO136" s="26">
        <f t="shared" si="34"/>
        <v>0.829926</v>
      </c>
      <c r="BP136" s="26">
        <f t="shared" si="35"/>
        <v>0.0599391</v>
      </c>
      <c r="BQ136" s="26">
        <f>IF(VLOOKUP($R136,武学奇术!$A:$ZZ,22,FALSE)=1,0,(1-$BJ136))*(1-$BM136)</f>
        <v>0.0172349</v>
      </c>
      <c r="BR136" s="26" cm="1">
        <f t="array" ref="BR136">SUM(_xlfn.XLOOKUP(S136:AG136,增益!$A:$A,增益!$W:$W,0))+$I$5</f>
        <v>0.11</v>
      </c>
    </row>
    <row r="137" spans="11:70">
      <c r="K137">
        <f>$L137*VLOOKUP($R137,武学奇术!$A:$ZZ,31,FALSE)</f>
        <v>46047.6612939258</v>
      </c>
      <c r="L137" s="38">
        <f t="shared" si="25"/>
        <v>43854.9155180245</v>
      </c>
      <c r="M137" s="38">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BL137*$Q137*(1+IF(VLOOKUP($R137,武学奇术!$A:$ZZ,30,FALSE)="回旋伞",$B$21,0))*(1+$BR137)</f>
        <v>46804.0325662682</v>
      </c>
      <c r="N137" s="38">
        <f>(($AP137*$AI137+$AJ137)*(1+$AQ137)*(1+$AR137)+($AU137*IF($G$1="鸣金",$AK137,$AI137)+IF($G$1="鸣金",$AL137*1.5,0))*(1+$AV137)*(1+$AW137)+($AY137*IF($G$1="裂石",$AK137,$AI137)+IF($G$1="裂石",$AL137*1.5,0))*(1+$AZ137)*(1+$BA137)+($BC137*IF($G$1="牵丝",$AK137,$AI137)+IF($G$1="牵丝",$AL137*1.5,0))*(1+$BD137)*(1+$BE137)+($BG137*IF($G$1="破竹",$AK137,$AI137)+IF($G$1="破竹",$AL137*1.5,0))*(1+$BH137)*(1+$BI137))*(1+$AM137)*$BN137*$Q137*(1+IF(VLOOKUP($R137,武学奇术!$A:$ZZ,30,FALSE)="回旋伞",$B$21,0))*(1+$BR137)</f>
        <v>35370.0670293007</v>
      </c>
      <c r="O137" s="38">
        <f>((($AO137+$AP137)/2*$AI137+$AJ137)*(1+$AQ137)*(1+$AR137)+(($AT137+$AU137)/2*IF($G$1="鸣金",$AK137,$AI137)+IF($G$1="鸣金",$AL137*1.5,0))*(1+$AV137)*(1+$AW137)+(($AX137+$AY137)/2*IF($G$1="裂石",$AK137,$AI137)+IF($G$1="裂石",$AL137*1.5,0))*(1+$AZ137)*(1+$BA137)+(($BB137+$BC137)/2*IF($G$1="牵丝",$AK137,$AI137)+IF($G$1="牵丝",$AL137*1.5,0))*(1+$BD137)*(1+$BE137)+(($BF137+$BG137)/2*IF($G$1="破竹",$AK137,$AI137)+IF($G$1="破竹",$AL137*1.5,0))*(1+$BH137)*(1+$BI137))*(1+$AM137)*$Q137*(1+IF(VLOOKUP($R137,武学奇术!$A:$ZZ,30,FALSE)="回旋伞",$B$21,0))*(1+$BR137)</f>
        <v>23056.1736779646</v>
      </c>
      <c r="P137" s="38">
        <f>((($AO137*$AI137+$AJ137)*(1+$AQ137)*(1+$AR137)+($AT137*IF($G$1="鸣金",$AK137,$AI137)+IF($G$1="鸣金",$AL137*1.5,0))*(1+$AV137)*(1+$AW137)+($AX137*IF($G$1="裂石",$AK137,$AI137)+IF($G$1="裂石",$AL137*1.5,0))*(1+$AZ137)*(1+$BA137)+($BB137*IF($G$1="牵丝",$AK137,$AI137)+IF($G$1="牵丝",$AL137*1.5,0))*(1+$BD137)*(1+$BE137)+($BF137*IF($G$1="破竹",$AK137,$AI137)+IF($G$1="破竹",$AL137*1.5,0))*(1+$BH137)*(1+$BI137))*(1+$AM137))*$Q137*(1+IF(VLOOKUP($R137,武学奇术!$A:$ZZ,30,FALSE)="回旋伞",$B$21,0))*(1+$BR137)</f>
        <v>19912.2977045954</v>
      </c>
      <c r="Q137" s="39">
        <v>2</v>
      </c>
      <c r="R137" s="40" t="s">
        <v>112</v>
      </c>
      <c r="S137" s="40" t="s">
        <v>109</v>
      </c>
      <c r="T137" s="40" t="s">
        <v>95</v>
      </c>
      <c r="U137" s="40" t="s">
        <v>73</v>
      </c>
      <c r="V137" s="40" t="s">
        <v>81</v>
      </c>
      <c r="W137" s="40" t="s">
        <v>172</v>
      </c>
      <c r="X137" s="40" t="s">
        <v>99</v>
      </c>
      <c r="Y137" s="40" t="s">
        <v>72</v>
      </c>
      <c r="Z137" s="40" t="s">
        <v>72</v>
      </c>
      <c r="AA137" s="40" t="s">
        <v>72</v>
      </c>
      <c r="AB137" s="40" t="s">
        <v>120</v>
      </c>
      <c r="AC137" s="40" t="s">
        <v>72</v>
      </c>
      <c r="AD137" s="40" t="s">
        <v>72</v>
      </c>
      <c r="AE137" s="40" t="s">
        <v>72</v>
      </c>
      <c r="AF137" s="40" t="s">
        <v>72</v>
      </c>
      <c r="AG137" s="40" t="s">
        <v>78</v>
      </c>
      <c r="AH137" t="str">
        <f>VLOOKUP($R137,武学奇术!$A:$ZZ,25,FALSE)</f>
        <v>伞</v>
      </c>
      <c r="AI137" s="26">
        <f>VLOOKUP($R137,武学奇术!$A:$ZZ,26,FALSE)</f>
        <v>0.54</v>
      </c>
      <c r="AJ137" s="27">
        <f>VLOOKUP($R137,武学奇术!$A:$ZZ,27,FALSE)*(1+IF(OR($AH137=$F$4,$AH137=$F$5),$B$22,0))</f>
        <v>0</v>
      </c>
      <c r="AK137" s="26">
        <f>VLOOKUP($R137,武学奇术!$A:$ZZ,28,FALSE)</f>
        <v>0.81</v>
      </c>
      <c r="AL137" s="27">
        <f>VLOOKUP($R137,武学奇术!$A:$ZZ,29,FALSE)*(1+IF(OR($AH137=$F$4,$AH137=$F$5),$B$22,0))</f>
        <v>0</v>
      </c>
      <c r="AM137" s="26" cm="1">
        <f t="array" ref="AM137">$G$3+IFERROR(VLOOKUP($AH137,$F$4:$G$7,2,FALSE),0)+VLOOKUP($R137,武学奇术!$A:$ZZ,2,FALSE)+SUM(_xlfn.XLOOKUP($S137:$AG137,增益!$A:$A,增益!$B:$B,0))</f>
        <v>0.9741</v>
      </c>
      <c r="AN137" s="26" cm="1">
        <f t="array" ref="AN137">VLOOKUP($R137,武学奇术!$A:$ZZ,5,FALSE)+SUM(_xlfn.XLOOKUP($S137:$AG137,增益!$A:$A,增益!$E:$E,0))</f>
        <v>0</v>
      </c>
      <c r="AO137" cm="1">
        <f t="array" ref="AO137">$D$10*(1+$AN137)+VLOOKUP($R137,武学奇术!$A:$ZZ,3,FALSE)+SUM(_xlfn.XLOOKUP($S137:$AG137,增益!$A:$A,增益!$C:$C,0))-$I$2</f>
        <v>3562.6</v>
      </c>
      <c r="AP137" cm="1">
        <f t="array" ref="AP137">$E$10*(1+$AN137)+VLOOKUP($R137,武学奇术!$A:$ZZ,4,FALSE)+SUM(_xlfn.XLOOKUP($S137:$AG137,增益!$A:$A,增益!$D:$D,0))-$I$2</f>
        <v>3562.6</v>
      </c>
      <c r="AQ137" s="32" cm="1">
        <f t="array" ref="AQ137">IF($F$10-$I$3+VLOOKUP($R137,武学奇术!$A:$ZZ,6,FALSE)+SUM(_xlfn.XLOOKUP(S137:AG137,增益!$A:$A,增益!$F:$F,0))&gt;0,($F$10-$I$3+VLOOKUP($R137,武学奇术!$A:$ZZ,6,FALSE)+SUM(_xlfn.XLOOKUP(S137:AG137,增益!$A:$A,增益!$F:$F,0)))/200,($F$10-$I$3+VLOOKUP($R137,武学奇术!$A:$ZZ,6,FALSE)+SUM(_xlfn.XLOOKUP(S137:AG137,增益!$A:$A,增益!$F:$F,0)))/100)</f>
        <v>0.2925</v>
      </c>
      <c r="AR137" s="32" cm="1">
        <f t="array" ref="AR137">$G$10+VLOOKUP($R137,武学奇术!$A:$ZZ,7,FALSE)+SUM(_xlfn.XLOOKUP(S137:AG137,增益!$A:$A,增益!$G:$G,0))</f>
        <v>0.148</v>
      </c>
      <c r="AS137" s="26" cm="1">
        <f t="array" ref="AS137">VLOOKUP($R137,武学奇术!$A:$ZZ,8,FALSE)+SUM(_xlfn.XLOOKUP(S137:AG137,增益!$A:$A,增益!$H:$H,0))</f>
        <v>0</v>
      </c>
      <c r="AT137">
        <f t="shared" si="26"/>
        <v>0</v>
      </c>
      <c r="AU137">
        <f t="shared" si="27"/>
        <v>0</v>
      </c>
      <c r="AV137" s="32" cm="1">
        <f t="array" ref="AV137">IF($F$11-$I$4+VLOOKUP($R137,武学奇术!$A:$ZZ,9,FALSE)+SUM(_xlfn.XLOOKUP(S137:AG137,增益!$A:$A,增益!$I:$I,0))&gt;0,($F$11-$I$4+VLOOKUP($R137,武学奇术!$A:$ZZ,9,FALSE)+SUM(_xlfn.XLOOKUP(S137:AG137,增益!$A:$A,增益!$I:$I,0)))/200,($F$11-$I$4+VLOOKUP($R137,武学奇术!$A:$ZZ,9,FALSE)+SUM(_xlfn.XLOOKUP(S137:AG137,增益!$A:$A,增益!$I:$I,0)))/100)</f>
        <v>-0.3</v>
      </c>
      <c r="AW137" s="32" cm="1">
        <f t="array" ref="AW137">$G$11+VLOOKUP($R137,武学奇术!$A:$ZZ,10,FALSE)+SUM(_xlfn.XLOOKUP(S137:AG137,增益!$A:$A,增益!$J:$J,0))</f>
        <v>0</v>
      </c>
      <c r="AX137">
        <f t="shared" si="28"/>
        <v>0</v>
      </c>
      <c r="AY137">
        <f t="shared" si="29"/>
        <v>0</v>
      </c>
      <c r="AZ137" s="32" cm="1">
        <f t="array" ref="AZ137">IF($F$12-$I$4+VLOOKUP($R137,武学奇术!$A:$ZZ,11,FALSE)+SUM(_xlfn.XLOOKUP(S137:AG137,增益!$A:$A,增益!$K:$K,0))&gt;0,($F$12-$I$4+VLOOKUP($R137,武学奇术!$A:$ZZ,11,FALSE)+SUM(_xlfn.XLOOKUP(S137:AG137,增益!$A:$A,增益!$K:$K,0)))/200,($F$12-$I$4+VLOOKUP($R137,武学奇术!$A:$ZZ,11,FALSE)+SUM(_xlfn.XLOOKUP(S137:AG137,增益!$A:$A,增益!$K:$K,0)))/100)</f>
        <v>-0.3</v>
      </c>
      <c r="BA137" s="32" cm="1">
        <f t="array" ref="BA137">$G$12+VLOOKUP($R137,武学奇术!$A:$ZZ,12,FALSE)+SUM(_xlfn.XLOOKUP(S137:AG137,增益!$A:$A,增益!$L:$L,0))</f>
        <v>0</v>
      </c>
      <c r="BB137">
        <f t="shared" si="30"/>
        <v>0</v>
      </c>
      <c r="BC137">
        <f t="shared" si="31"/>
        <v>0</v>
      </c>
      <c r="BD137" s="32" cm="1">
        <f t="array" ref="BD137">IF($F$13-$I$4+VLOOKUP($R137,武学奇术!$A:$ZZ,13,FALSE)+SUM(_xlfn.XLOOKUP(S137:AG137,增益!$A:$A,增益!$M:$M,0))&gt;0,($F$13-$I$4+VLOOKUP($R137,武学奇术!$A:$ZZ,13,FALSE)+SUM(_xlfn.XLOOKUP(S137:AG137,增益!$A:$A,增益!$K:$K,0)))/200,($F$13-$I$4+VLOOKUP($R137,武学奇术!$A:$ZZ,13,FALSE)+SUM(_xlfn.XLOOKUP(S137:AG137,增益!$A:$A,增益!$M:$M,0)))/100)</f>
        <v>-0.3</v>
      </c>
      <c r="BE137" s="32" cm="1">
        <f t="array" ref="BE137">$G$13+VLOOKUP($R137,武学奇术!$A:$ZZ,14,FALSE)+SUM(_xlfn.XLOOKUP(S137:AG137,增益!$A:$A,增益!$N:$N,0))</f>
        <v>0</v>
      </c>
      <c r="BF137">
        <f t="shared" si="32"/>
        <v>571.2</v>
      </c>
      <c r="BG137">
        <f t="shared" si="33"/>
        <v>1627.8</v>
      </c>
      <c r="BH137" s="32" cm="1">
        <f t="array" ref="BH137">IF($F$14-$I$4+VLOOKUP($R137,武学奇术!$A:$ZZ,15,FALSE)+SUM(_xlfn.XLOOKUP(S137:AG137,增益!$A:$A,增益!$O:$O,0))&gt;0,($F$14-$I$4+VLOOKUP($R137,武学奇术!$A:$ZZ,15,FALSE)+SUM(_xlfn.XLOOKUP(S137:AG137,增益!$A:$A,增益!$O:$O,0)))/200,($F$14-$I$4+VLOOKUP($R137,武学奇术!$A:$ZZ,15,FALSE)+SUM(_xlfn.XLOOKUP(S137:AG137,增益!$A:$A,增益!$O:$O,0)))/100)</f>
        <v>0</v>
      </c>
      <c r="BI137" s="32" cm="1">
        <f t="array" ref="BI137">$G$14+VLOOKUP($R137,武学奇术!$A:$ZZ,16,FALSE)+SUM(_xlfn.XLOOKUP(S137:AG137,增益!$A:$A,增益!$P:$P,0))</f>
        <v>0.27</v>
      </c>
      <c r="BJ137" s="26">
        <f>MIN(IF(VLOOKUP($R137,武学奇术!$A:$ZZ,23,FALSE)=1,100%,$B$8),100%)</f>
        <v>0.981</v>
      </c>
      <c r="BK137" s="26" cm="1">
        <f t="array" ref="BK137">IF(VLOOKUP($R137,武学奇术!$A:$ZZ,23,FALSE)=1,100%,MIN(80%,$B$9+VLOOKUP($R137,武学奇术!$A:$ZZ,17,FALSE)+SUM(_xlfn.XLOOKUP(S137:AG137,增益!$A:$A,增益!$Q:$Q,0)))+$B$11+SUM(_xlfn.XLOOKUP(S137:AG137,增益!$A:$A,增益!$U:$U,0)))*IF(VLOOKUP($R137,武学奇术!$A:$ZZ,24,FALSE)=1,0,1)</f>
        <v>0.846</v>
      </c>
      <c r="BL137" s="26" cm="1">
        <f t="array" ref="BL137">1+$B$13+VLOOKUP($R137,武学奇术!$A:$ZZ,18,FALSE)+SUM(_xlfn.XLOOKUP(S137:AG137,增益!$A:$A,增益!$R:$R,0))</f>
        <v>2.03</v>
      </c>
      <c r="BM137" s="26" cm="1">
        <f t="array" ref="BM137">IF(VLOOKUP($R137,武学奇术!$A:$ZZ,24,FALSE)=1,100%,MIN(40%,$B$10+VLOOKUP($R137,武学奇术!$A:$ZZ,19,FALSE)+SUM(_xlfn.XLOOKUP(S137:AG137,增益!$A:$A,增益!$S:$S,0)))+$B$12+SUM(_xlfn.XLOOKUP(S137:AG137,增益!$A:$A,增益!$V:$V,0)))*IF(VLOOKUP($R137,武学奇术!$A:$ZZ,23,FALSE)=1,0,1)</f>
        <v>0.0929</v>
      </c>
      <c r="BN137" s="26" cm="1">
        <f t="array" ref="BN137">1+$B$14+VLOOKUP($R137,武学奇术!$A:$ZZ,20,FALSE)+SUM(_xlfn.XLOOKUP(S137:AG137,增益!$A:$A,增益!$T:$T,0))</f>
        <v>1.35</v>
      </c>
      <c r="BO137" s="26">
        <f t="shared" si="34"/>
        <v>0.829926</v>
      </c>
      <c r="BP137" s="26">
        <f t="shared" si="35"/>
        <v>0.0599391</v>
      </c>
      <c r="BQ137" s="26">
        <f>IF(VLOOKUP($R137,武学奇术!$A:$ZZ,22,FALSE)=1,0,(1-$BJ137))*(1-$BM137)</f>
        <v>0.0172349</v>
      </c>
      <c r="BR137" s="26" cm="1">
        <f t="array" ref="BR137">SUM(_xlfn.XLOOKUP(S137:AG137,增益!$A:$A,增益!$W:$W,0))+$I$5</f>
        <v>0.11</v>
      </c>
    </row>
    <row r="138" spans="11:70">
      <c r="K138">
        <f>$L138*VLOOKUP($R138,武学奇术!$A:$ZZ,31,FALSE)</f>
        <v>95330.4474226974</v>
      </c>
      <c r="L138" s="38">
        <f t="shared" si="25"/>
        <v>90790.9023073308</v>
      </c>
      <c r="M138" s="38">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BL138*$Q138*(1+IF(VLOOKUP($R138,武学奇术!$A:$ZZ,30,FALSE)="回旋伞",$B$21,0))*(1+$BR138)</f>
        <v>90790.9023073308</v>
      </c>
      <c r="N138" s="38">
        <f>(($AP138*$AI138+$AJ138)*(1+$AQ138)*(1+$AR138)+($AU138*IF($G$1="鸣金",$AK138,$AI138)+IF($G$1="鸣金",$AL138*1.5,0))*(1+$AV138)*(1+$AW138)+($AY138*IF($G$1="裂石",$AK138,$AI138)+IF($G$1="裂石",$AL138*1.5,0))*(1+$AZ138)*(1+$BA138)+($BC138*IF($G$1="牵丝",$AK138,$AI138)+IF($G$1="牵丝",$AL138*1.5,0))*(1+$BD138)*(1+$BE138)+($BG138*IF($G$1="破竹",$AK138,$AI138)+IF($G$1="破竹",$AL138*1.5,0))*(1+$BH138)*(1+$BI138))*(1+$AM138)*$BN138*$Q138*(1+IF(VLOOKUP($R138,武学奇术!$A:$ZZ,30,FALSE)="回旋伞",$B$21,0))*(1+$BR138)</f>
        <v>66605.6239265859</v>
      </c>
      <c r="O138" s="38">
        <f>((($AO138+$AP138)/2*$AI138+$AJ138)*(1+$AQ138)*(1+$AR138)+(($AT138+$AU138)/2*IF($G$1="鸣金",$AK138,$AI138)+IF($G$1="鸣金",$AL138*1.5,0))*(1+$AV138)*(1+$AW138)+(($AX138+$AY138)/2*IF($G$1="裂石",$AK138,$AI138)+IF($G$1="裂石",$AL138*1.5,0))*(1+$AZ138)*(1+$BA138)+(($BB138+$BC138)/2*IF($G$1="牵丝",$AK138,$AI138)+IF($G$1="牵丝",$AL138*1.5,0))*(1+$BD138)*(1+$BE138)+(($BF138+$BG138)/2*IF($G$1="破竹",$AK138,$AI138)+IF($G$1="破竹",$AL138*1.5,0))*(1+$BH138)*(1+$BI138))*(1+$AM138)*$Q138*(1+IF(VLOOKUP($R138,武学奇术!$A:$ZZ,30,FALSE)="回旋伞",$B$21,0))*(1+$BR138)</f>
        <v>44073.253547248</v>
      </c>
      <c r="P138" s="38">
        <f>((($AO138*$AI138+$AJ138)*(1+$AQ138)*(1+$AR138)+($AT138*IF($G$1="鸣金",$AK138,$AI138)+IF($G$1="鸣金",$AL138*1.5,0))*(1+$AV138)*(1+$AW138)+($AX138*IF($G$1="裂石",$AK138,$AI138)+IF($G$1="裂石",$AL138*1.5,0))*(1+$AZ138)*(1+$BA138)+($BB138*IF($G$1="牵丝",$AK138,$AI138)+IF($G$1="牵丝",$AL138*1.5,0))*(1+$BD138)*(1+$BE138)+($BF138*IF($G$1="破竹",$AK138,$AI138)+IF($G$1="破竹",$AL138*1.5,0))*(1+$BH138)*(1+$BI138))*(1+$AM138))*$Q138*(1+IF(VLOOKUP($R138,武学奇术!$A:$ZZ,30,FALSE)="回旋伞",$B$21,0))*(1+$BR138)</f>
        <v>38809.0078896175</v>
      </c>
      <c r="Q138" s="39">
        <v>1</v>
      </c>
      <c r="R138" s="40" t="s">
        <v>125</v>
      </c>
      <c r="S138" s="40" t="s">
        <v>109</v>
      </c>
      <c r="T138" s="40" t="s">
        <v>95</v>
      </c>
      <c r="U138" s="40" t="s">
        <v>73</v>
      </c>
      <c r="V138" s="40" t="s">
        <v>81</v>
      </c>
      <c r="W138" s="40" t="s">
        <v>172</v>
      </c>
      <c r="X138" s="40" t="s">
        <v>99</v>
      </c>
      <c r="Y138" s="40" t="s">
        <v>72</v>
      </c>
      <c r="Z138" s="40" t="s">
        <v>72</v>
      </c>
      <c r="AA138" s="40" t="s">
        <v>72</v>
      </c>
      <c r="AB138" s="40" t="s">
        <v>126</v>
      </c>
      <c r="AC138" s="40" t="s">
        <v>72</v>
      </c>
      <c r="AD138" s="40" t="s">
        <v>72</v>
      </c>
      <c r="AE138" s="40" t="s">
        <v>72</v>
      </c>
      <c r="AF138" s="40" t="s">
        <v>72</v>
      </c>
      <c r="AG138" s="40" t="s">
        <v>78</v>
      </c>
      <c r="AH138" t="str">
        <f>VLOOKUP($R138,武学奇术!$A:$ZZ,25,FALSE)</f>
        <v>伞</v>
      </c>
      <c r="AI138" s="26">
        <f>VLOOKUP($R138,武学奇术!$A:$ZZ,26,FALSE)</f>
        <v>1.8084</v>
      </c>
      <c r="AJ138" s="27">
        <f>VLOOKUP($R138,武学奇术!$A:$ZZ,27,FALSE)*(1+IF(OR($AH138=$F$4,$AH138=$F$5),$B$22,0))</f>
        <v>750</v>
      </c>
      <c r="AK138" s="26">
        <f>VLOOKUP($R138,武学奇术!$A:$ZZ,28,FALSE)</f>
        <v>2.7126</v>
      </c>
      <c r="AL138" s="27">
        <f>VLOOKUP($R138,武学奇术!$A:$ZZ,29,FALSE)*(1+IF(OR($AH138=$F$4,$AH138=$F$5),$B$22,0))</f>
        <v>408</v>
      </c>
      <c r="AM138" s="26" cm="1">
        <f t="array" ref="AM138">$G$3+IFERROR(VLOOKUP($AH138,$F$4:$G$7,2,FALSE),0)+VLOOKUP($R138,武学奇术!$A:$ZZ,2,FALSE)+SUM(_xlfn.XLOOKUP($S138:$AG138,增益!$A:$A,增益!$B:$B,0))</f>
        <v>0.9741</v>
      </c>
      <c r="AN138" s="26" cm="1">
        <f t="array" ref="AN138">VLOOKUP($R138,武学奇术!$A:$ZZ,5,FALSE)+SUM(_xlfn.XLOOKUP($S138:$AG138,增益!$A:$A,增益!$E:$E,0))</f>
        <v>0</v>
      </c>
      <c r="AO138" cm="1">
        <f t="array" ref="AO138">$D$10*(1+$AN138)+VLOOKUP($R138,武学奇术!$A:$ZZ,3,FALSE)+SUM(_xlfn.XLOOKUP($S138:$AG138,增益!$A:$A,增益!$C:$C,0))-$I$2</f>
        <v>3562.6</v>
      </c>
      <c r="AP138" cm="1">
        <f t="array" ref="AP138">$E$10*(1+$AN138)+VLOOKUP($R138,武学奇术!$A:$ZZ,4,FALSE)+SUM(_xlfn.XLOOKUP($S138:$AG138,增益!$A:$A,增益!$D:$D,0))-$I$2</f>
        <v>3562.6</v>
      </c>
      <c r="AQ138" s="32" cm="1">
        <f t="array" ref="AQ138">IF($F$10-$I$3+VLOOKUP($R138,武学奇术!$A:$ZZ,6,FALSE)+SUM(_xlfn.XLOOKUP(S138:AG138,增益!$A:$A,增益!$F:$F,0))&gt;0,($F$10-$I$3+VLOOKUP($R138,武学奇术!$A:$ZZ,6,FALSE)+SUM(_xlfn.XLOOKUP(S138:AG138,增益!$A:$A,增益!$F:$F,0)))/200,($F$10-$I$3+VLOOKUP($R138,武学奇术!$A:$ZZ,6,FALSE)+SUM(_xlfn.XLOOKUP(S138:AG138,增益!$A:$A,增益!$F:$F,0)))/100)</f>
        <v>0.2925</v>
      </c>
      <c r="AR138" s="32" cm="1">
        <f t="array" ref="AR138">$G$10+VLOOKUP($R138,武学奇术!$A:$ZZ,7,FALSE)+SUM(_xlfn.XLOOKUP(S138:AG138,增益!$A:$A,增益!$G:$G,0))</f>
        <v>0.148</v>
      </c>
      <c r="AS138" s="26" cm="1">
        <f t="array" ref="AS138">VLOOKUP($R138,武学奇术!$A:$ZZ,8,FALSE)+SUM(_xlfn.XLOOKUP(S138:AG138,增益!$A:$A,增益!$H:$H,0))</f>
        <v>0</v>
      </c>
      <c r="AT138">
        <f t="shared" si="26"/>
        <v>0</v>
      </c>
      <c r="AU138">
        <f t="shared" si="27"/>
        <v>0</v>
      </c>
      <c r="AV138" s="32" cm="1">
        <f t="array" ref="AV138">IF($F$11-$I$4+VLOOKUP($R138,武学奇术!$A:$ZZ,9,FALSE)+SUM(_xlfn.XLOOKUP(S138:AG138,增益!$A:$A,增益!$I:$I,0))&gt;0,($F$11-$I$4+VLOOKUP($R138,武学奇术!$A:$ZZ,9,FALSE)+SUM(_xlfn.XLOOKUP(S138:AG138,增益!$A:$A,增益!$I:$I,0)))/200,($F$11-$I$4+VLOOKUP($R138,武学奇术!$A:$ZZ,9,FALSE)+SUM(_xlfn.XLOOKUP(S138:AG138,增益!$A:$A,增益!$I:$I,0)))/100)</f>
        <v>-0.3</v>
      </c>
      <c r="AW138" s="32" cm="1">
        <f t="array" ref="AW138">$G$11+VLOOKUP($R138,武学奇术!$A:$ZZ,10,FALSE)+SUM(_xlfn.XLOOKUP(S138:AG138,增益!$A:$A,增益!$J:$J,0))</f>
        <v>0</v>
      </c>
      <c r="AX138">
        <f t="shared" si="28"/>
        <v>0</v>
      </c>
      <c r="AY138">
        <f t="shared" si="29"/>
        <v>0</v>
      </c>
      <c r="AZ138" s="32" cm="1">
        <f t="array" ref="AZ138">IF($F$12-$I$4+VLOOKUP($R138,武学奇术!$A:$ZZ,11,FALSE)+SUM(_xlfn.XLOOKUP(S138:AG138,增益!$A:$A,增益!$K:$K,0))&gt;0,($F$12-$I$4+VLOOKUP($R138,武学奇术!$A:$ZZ,11,FALSE)+SUM(_xlfn.XLOOKUP(S138:AG138,增益!$A:$A,增益!$K:$K,0)))/200,($F$12-$I$4+VLOOKUP($R138,武学奇术!$A:$ZZ,11,FALSE)+SUM(_xlfn.XLOOKUP(S138:AG138,增益!$A:$A,增益!$K:$K,0)))/100)</f>
        <v>-0.3</v>
      </c>
      <c r="BA138" s="32" cm="1">
        <f t="array" ref="BA138">$G$12+VLOOKUP($R138,武学奇术!$A:$ZZ,12,FALSE)+SUM(_xlfn.XLOOKUP(S138:AG138,增益!$A:$A,增益!$L:$L,0))</f>
        <v>0</v>
      </c>
      <c r="BB138">
        <f t="shared" si="30"/>
        <v>0</v>
      </c>
      <c r="BC138">
        <f t="shared" si="31"/>
        <v>0</v>
      </c>
      <c r="BD138" s="32" cm="1">
        <f t="array" ref="BD138">IF($F$13-$I$4+VLOOKUP($R138,武学奇术!$A:$ZZ,13,FALSE)+SUM(_xlfn.XLOOKUP(S138:AG138,增益!$A:$A,增益!$M:$M,0))&gt;0,($F$13-$I$4+VLOOKUP($R138,武学奇术!$A:$ZZ,13,FALSE)+SUM(_xlfn.XLOOKUP(S138:AG138,增益!$A:$A,增益!$K:$K,0)))/200,($F$13-$I$4+VLOOKUP($R138,武学奇术!$A:$ZZ,13,FALSE)+SUM(_xlfn.XLOOKUP(S138:AG138,增益!$A:$A,增益!$M:$M,0)))/100)</f>
        <v>-0.3</v>
      </c>
      <c r="BE138" s="32" cm="1">
        <f t="array" ref="BE138">$G$13+VLOOKUP($R138,武学奇术!$A:$ZZ,14,FALSE)+SUM(_xlfn.XLOOKUP(S138:AG138,增益!$A:$A,增益!$N:$N,0))</f>
        <v>0</v>
      </c>
      <c r="BF138">
        <f t="shared" si="32"/>
        <v>571.2</v>
      </c>
      <c r="BG138">
        <f t="shared" si="33"/>
        <v>1627.8</v>
      </c>
      <c r="BH138" s="32" cm="1">
        <f t="array" ref="BH138">IF($F$14-$I$4+VLOOKUP($R138,武学奇术!$A:$ZZ,15,FALSE)+SUM(_xlfn.XLOOKUP(S138:AG138,增益!$A:$A,增益!$O:$O,0))&gt;0,($F$14-$I$4+VLOOKUP($R138,武学奇术!$A:$ZZ,15,FALSE)+SUM(_xlfn.XLOOKUP(S138:AG138,增益!$A:$A,增益!$O:$O,0)))/200,($F$14-$I$4+VLOOKUP($R138,武学奇术!$A:$ZZ,15,FALSE)+SUM(_xlfn.XLOOKUP(S138:AG138,增益!$A:$A,增益!$O:$O,0)))/100)</f>
        <v>0</v>
      </c>
      <c r="BI138" s="32" cm="1">
        <f t="array" ref="BI138">$G$14+VLOOKUP($R138,武学奇术!$A:$ZZ,16,FALSE)+SUM(_xlfn.XLOOKUP(S138:AG138,增益!$A:$A,增益!$P:$P,0))</f>
        <v>0.27</v>
      </c>
      <c r="BJ138" s="26">
        <f>MIN(IF(VLOOKUP($R138,武学奇术!$A:$ZZ,23,FALSE)=1,100%,$B$8),100%)</f>
        <v>1</v>
      </c>
      <c r="BK138" s="26" cm="1">
        <f t="array" ref="BK138">IF(VLOOKUP($R138,武学奇术!$A:$ZZ,23,FALSE)=1,100%,MIN(80%,$B$9+VLOOKUP($R138,武学奇术!$A:$ZZ,17,FALSE)+SUM(_xlfn.XLOOKUP(S138:AG138,增益!$A:$A,增益!$Q:$Q,0)))+$B$11+SUM(_xlfn.XLOOKUP(S138:AG138,增益!$A:$A,增益!$U:$U,0)))*IF(VLOOKUP($R138,武学奇术!$A:$ZZ,24,FALSE)=1,0,1)</f>
        <v>1</v>
      </c>
      <c r="BL138" s="26" cm="1">
        <f t="array" ref="BL138">1+$B$13+VLOOKUP($R138,武学奇术!$A:$ZZ,18,FALSE)+SUM(_xlfn.XLOOKUP(S138:AG138,增益!$A:$A,增益!$R:$R,0))</f>
        <v>2.06</v>
      </c>
      <c r="BM138" s="26" cm="1">
        <f t="array" ref="BM138">IF(VLOOKUP($R138,武学奇术!$A:$ZZ,24,FALSE)=1,100%,MIN(40%,$B$10+VLOOKUP($R138,武学奇术!$A:$ZZ,19,FALSE)+SUM(_xlfn.XLOOKUP(S138:AG138,增益!$A:$A,增益!$S:$S,0)))+$B$12+SUM(_xlfn.XLOOKUP(S138:AG138,增益!$A:$A,增益!$V:$V,0)))*IF(VLOOKUP($R138,武学奇术!$A:$ZZ,23,FALSE)=1,0,1)</f>
        <v>0</v>
      </c>
      <c r="BN138" s="26" cm="1">
        <f t="array" ref="BN138">1+$B$14+VLOOKUP($R138,武学奇术!$A:$ZZ,20,FALSE)+SUM(_xlfn.XLOOKUP(S138:AG138,增益!$A:$A,增益!$T:$T,0))</f>
        <v>1.35</v>
      </c>
      <c r="BO138" s="26">
        <f t="shared" si="34"/>
        <v>1</v>
      </c>
      <c r="BP138" s="26">
        <f t="shared" si="35"/>
        <v>0</v>
      </c>
      <c r="BQ138" s="26">
        <f>IF(VLOOKUP($R138,武学奇术!$A:$ZZ,22,FALSE)=1,0,(1-$BJ138))*(1-$BM138)</f>
        <v>0</v>
      </c>
      <c r="BR138" s="26" cm="1">
        <f t="array" ref="BR138">SUM(_xlfn.XLOOKUP(S138:AG138,增益!$A:$A,增益!$W:$W,0))+$I$5</f>
        <v>0.11</v>
      </c>
    </row>
    <row r="139" spans="11:70">
      <c r="K139">
        <f>$L139*VLOOKUP($R139,武学奇术!$A:$ZZ,31,FALSE)</f>
        <v>54922.9836477522</v>
      </c>
      <c r="L139" s="38">
        <f t="shared" si="25"/>
        <v>52307.6034740497</v>
      </c>
      <c r="M139" s="38">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BL139*$Q139*(1+IF(VLOOKUP($R139,武学奇术!$A:$ZZ,30,FALSE)="回旋伞",$B$21,0))*(1+$BR139)</f>
        <v>52307.6034740497</v>
      </c>
      <c r="N139" s="38">
        <f>(($AP139*$AI139+$AJ139)*(1+$AQ139)*(1+$AR139)+($AU139*IF($G$1="鸣金",$AK139,$AI139)+IF($G$1="鸣金",$AL139*1.5,0))*(1+$AV139)*(1+$AW139)+($AY139*IF($G$1="裂石",$AK139,$AI139)+IF($G$1="裂石",$AL139*1.5,0))*(1+$AZ139)*(1+$BA139)+($BC139*IF($G$1="牵丝",$AK139,$AI139)+IF($G$1="牵丝",$AL139*1.5,0))*(1+$BD139)*(1+$BE139)+($BG139*IF($G$1="破竹",$AK139,$AI139)+IF($G$1="破竹",$AL139*1.5,0))*(1+$BH139)*(1+$BI139))*(1+$AM139)*$BN139*$Q139*(1+IF(VLOOKUP($R139,武学奇术!$A:$ZZ,30,FALSE)="回旋伞",$B$21,0))*(1+$BR139)</f>
        <v>38953.4789161657</v>
      </c>
      <c r="O139" s="38">
        <f>((($AO139+$AP139)/2*$AI139+$AJ139)*(1+$AQ139)*(1+$AR139)+(($AT139+$AU139)/2*IF($G$1="鸣金",$AK139,$AI139)+IF($G$1="鸣金",$AL139*1.5,0))*(1+$AV139)*(1+$AW139)+(($AX139+$AY139)/2*IF($G$1="裂石",$AK139,$AI139)+IF($G$1="裂石",$AL139*1.5,0))*(1+$AZ139)*(1+$BA139)+(($BB139+$BC139)/2*IF($G$1="牵丝",$AK139,$AI139)+IF($G$1="牵丝",$AL139*1.5,0))*(1+$BD139)*(1+$BE139)+(($BF139+$BG139)/2*IF($G$1="破竹",$AK139,$AI139)+IF($G$1="破竹",$AL139*1.5,0))*(1+$BH139)*(1+$BI139))*(1+$AM139)*$Q139*(1+IF(VLOOKUP($R139,武学奇术!$A:$ZZ,30,FALSE)="回旋伞",$B$21,0))*(1+$BR139)</f>
        <v>25392.0405213833</v>
      </c>
      <c r="P139" s="38">
        <f>((($AO139*$AI139+$AJ139)*(1+$AQ139)*(1+$AR139)+($AT139*IF($G$1="鸣金",$AK139,$AI139)+IF($G$1="鸣金",$AL139*1.5,0))*(1+$AV139)*(1+$AW139)+($AX139*IF($G$1="裂石",$AK139,$AI139)+IF($G$1="裂石",$AL139*1.5,0))*(1+$AZ139)*(1+$BA139)+($BB139*IF($G$1="牵丝",$AK139,$AI139)+IF($G$1="牵丝",$AL139*1.5,0))*(1+$BD139)*(1+$BE139)+($BF139*IF($G$1="破竹",$AK139,$AI139)+IF($G$1="破竹",$AL139*1.5,0))*(1+$BH139)*(1+$BI139))*(1+$AM139))*$Q139*(1+IF(VLOOKUP($R139,武学奇术!$A:$ZZ,30,FALSE)="回旋伞",$B$21,0))*(1+$BR139)</f>
        <v>21929.6522159773</v>
      </c>
      <c r="Q139" s="39">
        <v>2</v>
      </c>
      <c r="R139" s="40" t="s">
        <v>132</v>
      </c>
      <c r="S139" s="40" t="s">
        <v>109</v>
      </c>
      <c r="T139" s="40" t="s">
        <v>95</v>
      </c>
      <c r="U139" s="40" t="s">
        <v>73</v>
      </c>
      <c r="V139" s="40" t="s">
        <v>81</v>
      </c>
      <c r="W139" s="40" t="s">
        <v>172</v>
      </c>
      <c r="X139" s="40" t="s">
        <v>99</v>
      </c>
      <c r="Y139" s="40" t="s">
        <v>72</v>
      </c>
      <c r="Z139" s="40" t="s">
        <v>72</v>
      </c>
      <c r="AA139" s="40" t="s">
        <v>72</v>
      </c>
      <c r="AB139" s="40" t="s">
        <v>126</v>
      </c>
      <c r="AC139" s="40" t="s">
        <v>72</v>
      </c>
      <c r="AD139" s="40" t="s">
        <v>72</v>
      </c>
      <c r="AE139" s="40" t="s">
        <v>72</v>
      </c>
      <c r="AF139" s="40" t="s">
        <v>72</v>
      </c>
      <c r="AG139" s="40" t="s">
        <v>78</v>
      </c>
      <c r="AH139" t="str">
        <f>VLOOKUP($R139,武学奇术!$A:$ZZ,25,FALSE)</f>
        <v>伞</v>
      </c>
      <c r="AI139" s="26">
        <f>VLOOKUP($R139,武学奇术!$A:$ZZ,26,FALSE)</f>
        <v>0.54</v>
      </c>
      <c r="AJ139" s="27">
        <f>VLOOKUP($R139,武学奇术!$A:$ZZ,27,FALSE)*(1+IF(OR($AH139=$F$4,$AH139=$F$5),$B$22,0))</f>
        <v>0</v>
      </c>
      <c r="AK139" s="26">
        <f>VLOOKUP($R139,武学奇术!$A:$ZZ,28,FALSE)</f>
        <v>0.81</v>
      </c>
      <c r="AL139" s="27">
        <f>VLOOKUP($R139,武学奇术!$A:$ZZ,29,FALSE)*(1+IF(OR($AH139=$F$4,$AH139=$F$5),$B$22,0))</f>
        <v>0</v>
      </c>
      <c r="AM139" s="26" cm="1">
        <f t="array" ref="AM139">$G$3+IFERROR(VLOOKUP($AH139,$F$4:$G$7,2,FALSE),0)+VLOOKUP($R139,武学奇术!$A:$ZZ,2,FALSE)+SUM(_xlfn.XLOOKUP($S139:$AG139,增益!$A:$A,增益!$B:$B,0))</f>
        <v>1.1741</v>
      </c>
      <c r="AN139" s="26" cm="1">
        <f t="array" ref="AN139">VLOOKUP($R139,武学奇术!$A:$ZZ,5,FALSE)+SUM(_xlfn.XLOOKUP($S139:$AG139,增益!$A:$A,增益!$E:$E,0))</f>
        <v>0</v>
      </c>
      <c r="AO139" cm="1">
        <f t="array" ref="AO139">$D$10*(1+$AN139)+VLOOKUP($R139,武学奇术!$A:$ZZ,3,FALSE)+SUM(_xlfn.XLOOKUP($S139:$AG139,增益!$A:$A,增益!$C:$C,0))-$I$2</f>
        <v>3562.6</v>
      </c>
      <c r="AP139" cm="1">
        <f t="array" ref="AP139">$E$10*(1+$AN139)+VLOOKUP($R139,武学奇术!$A:$ZZ,4,FALSE)+SUM(_xlfn.XLOOKUP($S139:$AG139,增益!$A:$A,增益!$D:$D,0))-$I$2</f>
        <v>3562.6</v>
      </c>
      <c r="AQ139" s="32" cm="1">
        <f t="array" ref="AQ139">IF($F$10-$I$3+VLOOKUP($R139,武学奇术!$A:$ZZ,6,FALSE)+SUM(_xlfn.XLOOKUP(S139:AG139,增益!$A:$A,增益!$F:$F,0))&gt;0,($F$10-$I$3+VLOOKUP($R139,武学奇术!$A:$ZZ,6,FALSE)+SUM(_xlfn.XLOOKUP(S139:AG139,增益!$A:$A,增益!$F:$F,0)))/200,($F$10-$I$3+VLOOKUP($R139,武学奇术!$A:$ZZ,6,FALSE)+SUM(_xlfn.XLOOKUP(S139:AG139,增益!$A:$A,增益!$F:$F,0)))/100)</f>
        <v>0.2925</v>
      </c>
      <c r="AR139" s="32" cm="1">
        <f t="array" ref="AR139">$G$10+VLOOKUP($R139,武学奇术!$A:$ZZ,7,FALSE)+SUM(_xlfn.XLOOKUP(S139:AG139,增益!$A:$A,增益!$G:$G,0))</f>
        <v>0.148</v>
      </c>
      <c r="AS139" s="26" cm="1">
        <f t="array" ref="AS139">VLOOKUP($R139,武学奇术!$A:$ZZ,8,FALSE)+SUM(_xlfn.XLOOKUP(S139:AG139,增益!$A:$A,增益!$H:$H,0))</f>
        <v>0</v>
      </c>
      <c r="AT139">
        <f t="shared" si="26"/>
        <v>0</v>
      </c>
      <c r="AU139">
        <f t="shared" si="27"/>
        <v>0</v>
      </c>
      <c r="AV139" s="32" cm="1">
        <f t="array" ref="AV139">IF($F$11-$I$4+VLOOKUP($R139,武学奇术!$A:$ZZ,9,FALSE)+SUM(_xlfn.XLOOKUP(S139:AG139,增益!$A:$A,增益!$I:$I,0))&gt;0,($F$11-$I$4+VLOOKUP($R139,武学奇术!$A:$ZZ,9,FALSE)+SUM(_xlfn.XLOOKUP(S139:AG139,增益!$A:$A,增益!$I:$I,0)))/200,($F$11-$I$4+VLOOKUP($R139,武学奇术!$A:$ZZ,9,FALSE)+SUM(_xlfn.XLOOKUP(S139:AG139,增益!$A:$A,增益!$I:$I,0)))/100)</f>
        <v>-0.3</v>
      </c>
      <c r="AW139" s="32" cm="1">
        <f t="array" ref="AW139">$G$11+VLOOKUP($R139,武学奇术!$A:$ZZ,10,FALSE)+SUM(_xlfn.XLOOKUP(S139:AG139,增益!$A:$A,增益!$J:$J,0))</f>
        <v>0</v>
      </c>
      <c r="AX139">
        <f t="shared" si="28"/>
        <v>0</v>
      </c>
      <c r="AY139">
        <f t="shared" si="29"/>
        <v>0</v>
      </c>
      <c r="AZ139" s="32" cm="1">
        <f t="array" ref="AZ139">IF($F$12-$I$4+VLOOKUP($R139,武学奇术!$A:$ZZ,11,FALSE)+SUM(_xlfn.XLOOKUP(S139:AG139,增益!$A:$A,增益!$K:$K,0))&gt;0,($F$12-$I$4+VLOOKUP($R139,武学奇术!$A:$ZZ,11,FALSE)+SUM(_xlfn.XLOOKUP(S139:AG139,增益!$A:$A,增益!$K:$K,0)))/200,($F$12-$I$4+VLOOKUP($R139,武学奇术!$A:$ZZ,11,FALSE)+SUM(_xlfn.XLOOKUP(S139:AG139,增益!$A:$A,增益!$K:$K,0)))/100)</f>
        <v>-0.3</v>
      </c>
      <c r="BA139" s="32" cm="1">
        <f t="array" ref="BA139">$G$12+VLOOKUP($R139,武学奇术!$A:$ZZ,12,FALSE)+SUM(_xlfn.XLOOKUP(S139:AG139,增益!$A:$A,增益!$L:$L,0))</f>
        <v>0</v>
      </c>
      <c r="BB139">
        <f t="shared" si="30"/>
        <v>0</v>
      </c>
      <c r="BC139">
        <f t="shared" si="31"/>
        <v>0</v>
      </c>
      <c r="BD139" s="32" cm="1">
        <f t="array" ref="BD139">IF($F$13-$I$4+VLOOKUP($R139,武学奇术!$A:$ZZ,13,FALSE)+SUM(_xlfn.XLOOKUP(S139:AG139,增益!$A:$A,增益!$M:$M,0))&gt;0,($F$13-$I$4+VLOOKUP($R139,武学奇术!$A:$ZZ,13,FALSE)+SUM(_xlfn.XLOOKUP(S139:AG139,增益!$A:$A,增益!$K:$K,0)))/200,($F$13-$I$4+VLOOKUP($R139,武学奇术!$A:$ZZ,13,FALSE)+SUM(_xlfn.XLOOKUP(S139:AG139,增益!$A:$A,增益!$M:$M,0)))/100)</f>
        <v>-0.3</v>
      </c>
      <c r="BE139" s="32" cm="1">
        <f t="array" ref="BE139">$G$13+VLOOKUP($R139,武学奇术!$A:$ZZ,14,FALSE)+SUM(_xlfn.XLOOKUP(S139:AG139,增益!$A:$A,增益!$N:$N,0))</f>
        <v>0</v>
      </c>
      <c r="BF139">
        <f t="shared" si="32"/>
        <v>571.2</v>
      </c>
      <c r="BG139">
        <f t="shared" si="33"/>
        <v>1627.8</v>
      </c>
      <c r="BH139" s="32" cm="1">
        <f t="array" ref="BH139">IF($F$14-$I$4+VLOOKUP($R139,武学奇术!$A:$ZZ,15,FALSE)+SUM(_xlfn.XLOOKUP(S139:AG139,增益!$A:$A,增益!$O:$O,0))&gt;0,($F$14-$I$4+VLOOKUP($R139,武学奇术!$A:$ZZ,15,FALSE)+SUM(_xlfn.XLOOKUP(S139:AG139,增益!$A:$A,增益!$O:$O,0)))/200,($F$14-$I$4+VLOOKUP($R139,武学奇术!$A:$ZZ,15,FALSE)+SUM(_xlfn.XLOOKUP(S139:AG139,增益!$A:$A,增益!$O:$O,0)))/100)</f>
        <v>0</v>
      </c>
      <c r="BI139" s="32" cm="1">
        <f t="array" ref="BI139">$G$14+VLOOKUP($R139,武学奇术!$A:$ZZ,16,FALSE)+SUM(_xlfn.XLOOKUP(S139:AG139,增益!$A:$A,增益!$P:$P,0))</f>
        <v>0.27</v>
      </c>
      <c r="BJ139" s="26">
        <f>MIN(IF(VLOOKUP($R139,武学奇术!$A:$ZZ,23,FALSE)=1,100%,$B$8),100%)</f>
        <v>1</v>
      </c>
      <c r="BK139" s="26" cm="1">
        <f t="array" ref="BK139">IF(VLOOKUP($R139,武学奇术!$A:$ZZ,23,FALSE)=1,100%,MIN(80%,$B$9+VLOOKUP($R139,武学奇术!$A:$ZZ,17,FALSE)+SUM(_xlfn.XLOOKUP(S139:AG139,增益!$A:$A,增益!$Q:$Q,0)))+$B$11+SUM(_xlfn.XLOOKUP(S139:AG139,增益!$A:$A,增益!$U:$U,0)))*IF(VLOOKUP($R139,武学奇术!$A:$ZZ,24,FALSE)=1,0,1)</f>
        <v>1</v>
      </c>
      <c r="BL139" s="26" cm="1">
        <f t="array" ref="BL139">1+$B$13+VLOOKUP($R139,武学奇术!$A:$ZZ,18,FALSE)+SUM(_xlfn.XLOOKUP(S139:AG139,增益!$A:$A,增益!$R:$R,0))</f>
        <v>2.06</v>
      </c>
      <c r="BM139" s="26" cm="1">
        <f t="array" ref="BM139">IF(VLOOKUP($R139,武学奇术!$A:$ZZ,24,FALSE)=1,100%,MIN(40%,$B$10+VLOOKUP($R139,武学奇术!$A:$ZZ,19,FALSE)+SUM(_xlfn.XLOOKUP(S139:AG139,增益!$A:$A,增益!$S:$S,0)))+$B$12+SUM(_xlfn.XLOOKUP(S139:AG139,增益!$A:$A,增益!$V:$V,0)))*IF(VLOOKUP($R139,武学奇术!$A:$ZZ,23,FALSE)=1,0,1)</f>
        <v>0</v>
      </c>
      <c r="BN139" s="26" cm="1">
        <f t="array" ref="BN139">1+$B$14+VLOOKUP($R139,武学奇术!$A:$ZZ,20,FALSE)+SUM(_xlfn.XLOOKUP(S139:AG139,增益!$A:$A,增益!$T:$T,0))</f>
        <v>1.35</v>
      </c>
      <c r="BO139" s="26">
        <f t="shared" si="34"/>
        <v>1</v>
      </c>
      <c r="BP139" s="26">
        <f t="shared" si="35"/>
        <v>0</v>
      </c>
      <c r="BQ139" s="26">
        <f>IF(VLOOKUP($R139,武学奇术!$A:$ZZ,22,FALSE)=1,0,(1-$BJ139))*(1-$BM139)</f>
        <v>0</v>
      </c>
      <c r="BR139" s="26" cm="1">
        <f t="array" ref="BR139">SUM(_xlfn.XLOOKUP(S139:AG139,增益!$A:$A,增益!$W:$W,0))+$I$5</f>
        <v>0.11</v>
      </c>
    </row>
    <row r="140" spans="11:70">
      <c r="K140">
        <f>$L140*VLOOKUP($R140,武学奇术!$A:$ZZ,31,FALSE)</f>
        <v>160128.898271454</v>
      </c>
      <c r="L140" s="38">
        <f t="shared" si="25"/>
        <v>152503.71263948</v>
      </c>
      <c r="M140" s="38">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BL140*$Q140*(1+IF(VLOOKUP($R140,武学奇术!$A:$ZZ,30,FALSE)="回旋伞",$B$21,0))*(1+$BR140)</f>
        <v>163185.390591597</v>
      </c>
      <c r="N140" s="38">
        <f>(($AP140*$AI140+$AJ140)*(1+$AQ140)*(1+$AR140)+($AU140*IF($G$1="鸣金",$AK140,$AI140)+IF($G$1="鸣金",$AL140*1.5,0))*(1+$AV140)*(1+$AW140)+($AY140*IF($G$1="裂石",$AK140,$AI140)+IF($G$1="裂石",$AL140*1.5,0))*(1+$AZ140)*(1+$BA140)+($BC140*IF($G$1="牵丝",$AK140,$AI140)+IF($G$1="牵丝",$AL140*1.5,0))*(1+$BD140)*(1+$BE140)+($BG140*IF($G$1="破竹",$AK140,$AI140)+IF($G$1="破竹",$AL140*1.5,0))*(1+$BH140)*(1+$BI140))*(1+$AM140)*$BN140*$Q140*(1+IF(VLOOKUP($R140,武学奇术!$A:$ZZ,30,FALSE)="回旋伞",$B$21,0))*(1+$BR140)</f>
        <v>119715.351206277</v>
      </c>
      <c r="O140" s="38">
        <f>((($AO140+$AP140)/2*$AI140+$AJ140)*(1+$AQ140)*(1+$AR140)+(($AT140+$AU140)/2*IF($G$1="鸣金",$AK140,$AI140)+IF($G$1="鸣金",$AL140*1.5,0))*(1+$AV140)*(1+$AW140)+(($AX140+$AY140)/2*IF($G$1="裂石",$AK140,$AI140)+IF($G$1="裂石",$AL140*1.5,0))*(1+$AZ140)*(1+$BA140)+(($BB140+$BC140)/2*IF($G$1="牵丝",$AK140,$AI140)+IF($G$1="牵丝",$AL140*1.5,0))*(1+$BD140)*(1+$BE140)+(($BF140+$BG140)/2*IF($G$1="破竹",$AK140,$AI140)+IF($G$1="破竹",$AL140*1.5,0))*(1+$BH140)*(1+$BI140))*(1+$AM140)*$Q140*(1+IF(VLOOKUP($R140,武学奇术!$A:$ZZ,30,FALSE)="回旋伞",$B$21,0))*(1+$BR140)</f>
        <v>79216.209025047</v>
      </c>
      <c r="P140" s="38">
        <f>((($AO140*$AI140+$AJ140)*(1+$AQ140)*(1+$AR140)+($AT140*IF($G$1="鸣金",$AK140,$AI140)+IF($G$1="鸣金",$AL140*1.5,0))*(1+$AV140)*(1+$AW140)+($AX140*IF($G$1="裂石",$AK140,$AI140)+IF($G$1="裂石",$AL140*1.5,0))*(1+$AZ140)*(1+$BA140)+($BB140*IF($G$1="牵丝",$AK140,$AI140)+IF($G$1="牵丝",$AL140*1.5,0))*(1+$BD140)*(1+$BE140)+($BF140*IF($G$1="破竹",$AK140,$AI140)+IF($G$1="破竹",$AL140*1.5,0))*(1+$BH140)*(1+$BI140))*(1+$AM140))*$Q140*(1+IF(VLOOKUP($R140,武学奇术!$A:$ZZ,30,FALSE)="回旋伞",$B$21,0))*(1+$BR140)</f>
        <v>69754.3801195181</v>
      </c>
      <c r="Q140" s="39">
        <v>2</v>
      </c>
      <c r="R140" s="40" t="s">
        <v>108</v>
      </c>
      <c r="S140" s="40" t="s">
        <v>109</v>
      </c>
      <c r="T140" s="40" t="s">
        <v>95</v>
      </c>
      <c r="U140" s="40" t="s">
        <v>73</v>
      </c>
      <c r="V140" s="40" t="s">
        <v>81</v>
      </c>
      <c r="W140" s="40" t="s">
        <v>172</v>
      </c>
      <c r="X140" s="40" t="s">
        <v>99</v>
      </c>
      <c r="Y140" s="40" t="s">
        <v>72</v>
      </c>
      <c r="Z140" s="40" t="s">
        <v>72</v>
      </c>
      <c r="AA140" s="40" t="s">
        <v>72</v>
      </c>
      <c r="AB140" s="40" t="s">
        <v>126</v>
      </c>
      <c r="AC140" s="40" t="s">
        <v>72</v>
      </c>
      <c r="AD140" s="40" t="s">
        <v>72</v>
      </c>
      <c r="AE140" s="40" t="s">
        <v>72</v>
      </c>
      <c r="AF140" s="40" t="s">
        <v>72</v>
      </c>
      <c r="AG140" s="40" t="s">
        <v>78</v>
      </c>
      <c r="AH140" t="str">
        <f>VLOOKUP($R140,武学奇术!$A:$ZZ,25,FALSE)</f>
        <v>伞</v>
      </c>
      <c r="AI140" s="26">
        <f>VLOOKUP($R140,武学奇术!$A:$ZZ,26,FALSE)</f>
        <v>1.8084</v>
      </c>
      <c r="AJ140" s="27">
        <f>VLOOKUP($R140,武学奇术!$A:$ZZ,27,FALSE)*(1+IF(OR($AH140=$F$4,$AH140=$F$5),$B$22,0))</f>
        <v>750</v>
      </c>
      <c r="AK140" s="26">
        <f>VLOOKUP($R140,武学奇术!$A:$ZZ,28,FALSE)</f>
        <v>2.7126</v>
      </c>
      <c r="AL140" s="27">
        <f>VLOOKUP($R140,武学奇术!$A:$ZZ,29,FALSE)*(1+IF(OR($AH140=$F$4,$AH140=$F$5),$B$22,0))</f>
        <v>408</v>
      </c>
      <c r="AM140" s="26" cm="1">
        <f t="array" ref="AM140">$G$3+IFERROR(VLOOKUP($AH140,$F$4:$G$7,2,FALSE),0)+VLOOKUP($R140,武学奇术!$A:$ZZ,2,FALSE)+SUM(_xlfn.XLOOKUP($S140:$AG140,增益!$A:$A,增益!$B:$B,0))</f>
        <v>0.7741</v>
      </c>
      <c r="AN140" s="26" cm="1">
        <f t="array" ref="AN140">VLOOKUP($R140,武学奇术!$A:$ZZ,5,FALSE)+SUM(_xlfn.XLOOKUP($S140:$AG140,增益!$A:$A,增益!$E:$E,0))</f>
        <v>0</v>
      </c>
      <c r="AO140" cm="1">
        <f t="array" ref="AO140">$D$10*(1+$AN140)+VLOOKUP($R140,武学奇术!$A:$ZZ,3,FALSE)+SUM(_xlfn.XLOOKUP($S140:$AG140,增益!$A:$A,增益!$C:$C,0))-$I$2</f>
        <v>3562.6</v>
      </c>
      <c r="AP140" cm="1">
        <f t="array" ref="AP140">$E$10*(1+$AN140)+VLOOKUP($R140,武学奇术!$A:$ZZ,4,FALSE)+SUM(_xlfn.XLOOKUP($S140:$AG140,增益!$A:$A,增益!$D:$D,0))-$I$2</f>
        <v>3562.6</v>
      </c>
      <c r="AQ140" s="32" cm="1">
        <f t="array" ref="AQ140">IF($F$10-$I$3+VLOOKUP($R140,武学奇术!$A:$ZZ,6,FALSE)+SUM(_xlfn.XLOOKUP(S140:AG140,增益!$A:$A,增益!$F:$F,0))&gt;0,($F$10-$I$3+VLOOKUP($R140,武学奇术!$A:$ZZ,6,FALSE)+SUM(_xlfn.XLOOKUP(S140:AG140,增益!$A:$A,增益!$F:$F,0)))/200,($F$10-$I$3+VLOOKUP($R140,武学奇术!$A:$ZZ,6,FALSE)+SUM(_xlfn.XLOOKUP(S140:AG140,增益!$A:$A,增益!$F:$F,0)))/100)</f>
        <v>0.2925</v>
      </c>
      <c r="AR140" s="32" cm="1">
        <f t="array" ref="AR140">$G$10+VLOOKUP($R140,武学奇术!$A:$ZZ,7,FALSE)+SUM(_xlfn.XLOOKUP(S140:AG140,增益!$A:$A,增益!$G:$G,0))</f>
        <v>0.148</v>
      </c>
      <c r="AS140" s="26" cm="1">
        <f t="array" ref="AS140">VLOOKUP($R140,武学奇术!$A:$ZZ,8,FALSE)+SUM(_xlfn.XLOOKUP(S140:AG140,增益!$A:$A,增益!$H:$H,0))</f>
        <v>0</v>
      </c>
      <c r="AT140">
        <f t="shared" si="26"/>
        <v>0</v>
      </c>
      <c r="AU140">
        <f t="shared" si="27"/>
        <v>0</v>
      </c>
      <c r="AV140" s="32" cm="1">
        <f t="array" ref="AV140">IF($F$11-$I$4+VLOOKUP($R140,武学奇术!$A:$ZZ,9,FALSE)+SUM(_xlfn.XLOOKUP(S140:AG140,增益!$A:$A,增益!$I:$I,0))&gt;0,($F$11-$I$4+VLOOKUP($R140,武学奇术!$A:$ZZ,9,FALSE)+SUM(_xlfn.XLOOKUP(S140:AG140,增益!$A:$A,增益!$I:$I,0)))/200,($F$11-$I$4+VLOOKUP($R140,武学奇术!$A:$ZZ,9,FALSE)+SUM(_xlfn.XLOOKUP(S140:AG140,增益!$A:$A,增益!$I:$I,0)))/100)</f>
        <v>-0.3</v>
      </c>
      <c r="AW140" s="32" cm="1">
        <f t="array" ref="AW140">$G$11+VLOOKUP($R140,武学奇术!$A:$ZZ,10,FALSE)+SUM(_xlfn.XLOOKUP(S140:AG140,增益!$A:$A,增益!$J:$J,0))</f>
        <v>0</v>
      </c>
      <c r="AX140">
        <f t="shared" si="28"/>
        <v>0</v>
      </c>
      <c r="AY140">
        <f t="shared" si="29"/>
        <v>0</v>
      </c>
      <c r="AZ140" s="32" cm="1">
        <f t="array" ref="AZ140">IF($F$12-$I$4+VLOOKUP($R140,武学奇术!$A:$ZZ,11,FALSE)+SUM(_xlfn.XLOOKUP(S140:AG140,增益!$A:$A,增益!$K:$K,0))&gt;0,($F$12-$I$4+VLOOKUP($R140,武学奇术!$A:$ZZ,11,FALSE)+SUM(_xlfn.XLOOKUP(S140:AG140,增益!$A:$A,增益!$K:$K,0)))/200,($F$12-$I$4+VLOOKUP($R140,武学奇术!$A:$ZZ,11,FALSE)+SUM(_xlfn.XLOOKUP(S140:AG140,增益!$A:$A,增益!$K:$K,0)))/100)</f>
        <v>-0.3</v>
      </c>
      <c r="BA140" s="32" cm="1">
        <f t="array" ref="BA140">$G$12+VLOOKUP($R140,武学奇术!$A:$ZZ,12,FALSE)+SUM(_xlfn.XLOOKUP(S140:AG140,增益!$A:$A,增益!$L:$L,0))</f>
        <v>0</v>
      </c>
      <c r="BB140">
        <f t="shared" si="30"/>
        <v>0</v>
      </c>
      <c r="BC140">
        <f t="shared" si="31"/>
        <v>0</v>
      </c>
      <c r="BD140" s="32" cm="1">
        <f t="array" ref="BD140">IF($F$13-$I$4+VLOOKUP($R140,武学奇术!$A:$ZZ,13,FALSE)+SUM(_xlfn.XLOOKUP(S140:AG140,增益!$A:$A,增益!$M:$M,0))&gt;0,($F$13-$I$4+VLOOKUP($R140,武学奇术!$A:$ZZ,13,FALSE)+SUM(_xlfn.XLOOKUP(S140:AG140,增益!$A:$A,增益!$K:$K,0)))/200,($F$13-$I$4+VLOOKUP($R140,武学奇术!$A:$ZZ,13,FALSE)+SUM(_xlfn.XLOOKUP(S140:AG140,增益!$A:$A,增益!$M:$M,0)))/100)</f>
        <v>-0.3</v>
      </c>
      <c r="BE140" s="32" cm="1">
        <f t="array" ref="BE140">$G$13+VLOOKUP($R140,武学奇术!$A:$ZZ,14,FALSE)+SUM(_xlfn.XLOOKUP(S140:AG140,增益!$A:$A,增益!$N:$N,0))</f>
        <v>0</v>
      </c>
      <c r="BF140">
        <f t="shared" si="32"/>
        <v>571.2</v>
      </c>
      <c r="BG140">
        <f t="shared" si="33"/>
        <v>1627.8</v>
      </c>
      <c r="BH140" s="32" cm="1">
        <f t="array" ref="BH140">IF($F$14-$I$4+VLOOKUP($R140,武学奇术!$A:$ZZ,15,FALSE)+SUM(_xlfn.XLOOKUP(S140:AG140,增益!$A:$A,增益!$O:$O,0))&gt;0,($F$14-$I$4+VLOOKUP($R140,武学奇术!$A:$ZZ,15,FALSE)+SUM(_xlfn.XLOOKUP(S140:AG140,增益!$A:$A,增益!$O:$O,0)))/200,($F$14-$I$4+VLOOKUP($R140,武学奇术!$A:$ZZ,15,FALSE)+SUM(_xlfn.XLOOKUP(S140:AG140,增益!$A:$A,增益!$O:$O,0)))/100)</f>
        <v>0</v>
      </c>
      <c r="BI140" s="32" cm="1">
        <f t="array" ref="BI140">$G$14+VLOOKUP($R140,武学奇术!$A:$ZZ,16,FALSE)+SUM(_xlfn.XLOOKUP(S140:AG140,增益!$A:$A,增益!$P:$P,0))</f>
        <v>0.27</v>
      </c>
      <c r="BJ140" s="26">
        <f>MIN(IF(VLOOKUP($R140,武学奇术!$A:$ZZ,23,FALSE)=1,100%,$B$8),100%)</f>
        <v>0.981</v>
      </c>
      <c r="BK140" s="26" cm="1">
        <f t="array" ref="BK140">IF(VLOOKUP($R140,武学奇术!$A:$ZZ,23,FALSE)=1,100%,MIN(80%,$B$9+VLOOKUP($R140,武学奇术!$A:$ZZ,17,FALSE)+SUM(_xlfn.XLOOKUP(S140:AG140,增益!$A:$A,增益!$Q:$Q,0)))+$B$11+SUM(_xlfn.XLOOKUP(S140:AG140,增益!$A:$A,增益!$U:$U,0)))*IF(VLOOKUP($R140,武学奇术!$A:$ZZ,24,FALSE)=1,0,1)</f>
        <v>0.846</v>
      </c>
      <c r="BL140" s="26" cm="1">
        <f t="array" ref="BL140">1+$B$13+VLOOKUP($R140,武学奇术!$A:$ZZ,18,FALSE)+SUM(_xlfn.XLOOKUP(S140:AG140,增益!$A:$A,增益!$R:$R,0))</f>
        <v>2.06</v>
      </c>
      <c r="BM140" s="26" cm="1">
        <f t="array" ref="BM140">IF(VLOOKUP($R140,武学奇术!$A:$ZZ,24,FALSE)=1,100%,MIN(40%,$B$10+VLOOKUP($R140,武学奇术!$A:$ZZ,19,FALSE)+SUM(_xlfn.XLOOKUP(S140:AG140,增益!$A:$A,增益!$S:$S,0)))+$B$12+SUM(_xlfn.XLOOKUP(S140:AG140,增益!$A:$A,增益!$V:$V,0)))*IF(VLOOKUP($R140,武学奇术!$A:$ZZ,23,FALSE)=1,0,1)</f>
        <v>0.0929</v>
      </c>
      <c r="BN140" s="26" cm="1">
        <f t="array" ref="BN140">1+$B$14+VLOOKUP($R140,武学奇术!$A:$ZZ,20,FALSE)+SUM(_xlfn.XLOOKUP(S140:AG140,增益!$A:$A,增益!$T:$T,0))</f>
        <v>1.35</v>
      </c>
      <c r="BO140" s="26">
        <f t="shared" si="34"/>
        <v>0.829926</v>
      </c>
      <c r="BP140" s="26">
        <f t="shared" si="35"/>
        <v>0.0599391</v>
      </c>
      <c r="BQ140" s="26">
        <f>IF(VLOOKUP($R140,武学奇术!$A:$ZZ,22,FALSE)=1,0,(1-$BJ140))*(1-$BM140)</f>
        <v>0.0172349</v>
      </c>
      <c r="BR140" s="26" cm="1">
        <f t="array" ref="BR140">SUM(_xlfn.XLOOKUP(S140:AG140,增益!$A:$A,增益!$W:$W,0))+$I$5</f>
        <v>0.11</v>
      </c>
    </row>
    <row r="141" spans="11:70">
      <c r="K141">
        <f>$L141*VLOOKUP($R141,武学奇术!$A:$ZZ,31,FALSE)</f>
        <v>93300.8224215906</v>
      </c>
      <c r="L141" s="38">
        <f t="shared" si="25"/>
        <v>88857.9261158005</v>
      </c>
      <c r="M141" s="38">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BL141*$Q141*(1+IF(VLOOKUP($R141,武学奇术!$A:$ZZ,30,FALSE)="回旋伞",$B$21,0))*(1+$BR141)</f>
        <v>94991.4355532142</v>
      </c>
      <c r="N141" s="38">
        <f>(($AP141*$AI141+$AJ141)*(1+$AQ141)*(1+$AR141)+($AU141*IF($G$1="鸣金",$AK141,$AI141)+IF($G$1="鸣金",$AL141*1.5,0))*(1+$AV141)*(1+$AW141)+($AY141*IF($G$1="裂石",$AK141,$AI141)+IF($G$1="裂石",$AL141*1.5,0))*(1+$AZ141)*(1+$BA141)+($BC141*IF($G$1="牵丝",$AK141,$AI141)+IF($G$1="牵丝",$AL141*1.5,0))*(1+$BD141)*(1+$BE141)+($BG141*IF($G$1="破竹",$AK141,$AI141)+IF($G$1="破竹",$AL141*1.5,0))*(1+$BH141)*(1+$BI141))*(1+$AM141)*$BN141*$Q141*(1+IF(VLOOKUP($R141,武学奇术!$A:$ZZ,30,FALSE)="回旋伞",$B$21,0))*(1+$BR141)</f>
        <v>70740.1340586014</v>
      </c>
      <c r="O141" s="38">
        <f>((($AO141+$AP141)/2*$AI141+$AJ141)*(1+$AQ141)*(1+$AR141)+(($AT141+$AU141)/2*IF($G$1="鸣金",$AK141,$AI141)+IF($G$1="鸣金",$AL141*1.5,0))*(1+$AV141)*(1+$AW141)+(($AX141+$AY141)/2*IF($G$1="裂石",$AK141,$AI141)+IF($G$1="裂石",$AL141*1.5,0))*(1+$AZ141)*(1+$BA141)+(($BB141+$BC141)/2*IF($G$1="牵丝",$AK141,$AI141)+IF($G$1="牵丝",$AL141*1.5,0))*(1+$BD141)*(1+$BE141)+(($BF141+$BG141)/2*IF($G$1="破竹",$AK141,$AI141)+IF($G$1="破竹",$AL141*1.5,0))*(1+$BH141)*(1+$BI141))*(1+$AM141)*$Q141*(1+IF(VLOOKUP($R141,武学奇术!$A:$ZZ,30,FALSE)="回旋伞",$B$21,0))*(1+$BR141)</f>
        <v>46112.3473559292</v>
      </c>
      <c r="P141" s="38">
        <f>((($AO141*$AI141+$AJ141)*(1+$AQ141)*(1+$AR141)+($AT141*IF($G$1="鸣金",$AK141,$AI141)+IF($G$1="鸣金",$AL141*1.5,0))*(1+$AV141)*(1+$AW141)+($AX141*IF($G$1="裂石",$AK141,$AI141)+IF($G$1="裂石",$AL141*1.5,0))*(1+$AZ141)*(1+$BA141)+($BB141*IF($G$1="牵丝",$AK141,$AI141)+IF($G$1="牵丝",$AL141*1.5,0))*(1+$BD141)*(1+$BE141)+($BF141*IF($G$1="破竹",$AK141,$AI141)+IF($G$1="破竹",$AL141*1.5,0))*(1+$BH141)*(1+$BI141))*(1+$AM141))*$Q141*(1+IF(VLOOKUP($R141,武学奇术!$A:$ZZ,30,FALSE)="回旋伞",$B$21,0))*(1+$BR141)</f>
        <v>39824.5954091907</v>
      </c>
      <c r="Q141" s="39">
        <v>4</v>
      </c>
      <c r="R141" s="40" t="s">
        <v>112</v>
      </c>
      <c r="S141" s="40" t="s">
        <v>109</v>
      </c>
      <c r="T141" s="40" t="s">
        <v>95</v>
      </c>
      <c r="U141" s="40" t="s">
        <v>73</v>
      </c>
      <c r="V141" s="40" t="s">
        <v>81</v>
      </c>
      <c r="W141" s="40" t="s">
        <v>172</v>
      </c>
      <c r="X141" s="40" t="s">
        <v>99</v>
      </c>
      <c r="Y141" s="40" t="s">
        <v>72</v>
      </c>
      <c r="Z141" s="40" t="s">
        <v>72</v>
      </c>
      <c r="AA141" s="40" t="s">
        <v>72</v>
      </c>
      <c r="AB141" s="40" t="s">
        <v>126</v>
      </c>
      <c r="AC141" s="40" t="s">
        <v>72</v>
      </c>
      <c r="AD141" s="40" t="s">
        <v>72</v>
      </c>
      <c r="AE141" s="40" t="s">
        <v>72</v>
      </c>
      <c r="AF141" s="40" t="s">
        <v>72</v>
      </c>
      <c r="AG141" s="40" t="s">
        <v>78</v>
      </c>
      <c r="AH141" t="str">
        <f>VLOOKUP($R141,武学奇术!$A:$ZZ,25,FALSE)</f>
        <v>伞</v>
      </c>
      <c r="AI141" s="26">
        <f>VLOOKUP($R141,武学奇术!$A:$ZZ,26,FALSE)</f>
        <v>0.54</v>
      </c>
      <c r="AJ141" s="27">
        <f>VLOOKUP($R141,武学奇术!$A:$ZZ,27,FALSE)*(1+IF(OR($AH141=$F$4,$AH141=$F$5),$B$22,0))</f>
        <v>0</v>
      </c>
      <c r="AK141" s="26">
        <f>VLOOKUP($R141,武学奇术!$A:$ZZ,28,FALSE)</f>
        <v>0.81</v>
      </c>
      <c r="AL141" s="27">
        <f>VLOOKUP($R141,武学奇术!$A:$ZZ,29,FALSE)*(1+IF(OR($AH141=$F$4,$AH141=$F$5),$B$22,0))</f>
        <v>0</v>
      </c>
      <c r="AM141" s="26" cm="1">
        <f t="array" ref="AM141">$G$3+IFERROR(VLOOKUP($AH141,$F$4:$G$7,2,FALSE),0)+VLOOKUP($R141,武学奇术!$A:$ZZ,2,FALSE)+SUM(_xlfn.XLOOKUP($S141:$AG141,增益!$A:$A,增益!$B:$B,0))</f>
        <v>0.9741</v>
      </c>
      <c r="AN141" s="26" cm="1">
        <f t="array" ref="AN141">VLOOKUP($R141,武学奇术!$A:$ZZ,5,FALSE)+SUM(_xlfn.XLOOKUP($S141:$AG141,增益!$A:$A,增益!$E:$E,0))</f>
        <v>0</v>
      </c>
      <c r="AO141" cm="1">
        <f t="array" ref="AO141">$D$10*(1+$AN141)+VLOOKUP($R141,武学奇术!$A:$ZZ,3,FALSE)+SUM(_xlfn.XLOOKUP($S141:$AG141,增益!$A:$A,增益!$C:$C,0))-$I$2</f>
        <v>3562.6</v>
      </c>
      <c r="AP141" cm="1">
        <f t="array" ref="AP141">$E$10*(1+$AN141)+VLOOKUP($R141,武学奇术!$A:$ZZ,4,FALSE)+SUM(_xlfn.XLOOKUP($S141:$AG141,增益!$A:$A,增益!$D:$D,0))-$I$2</f>
        <v>3562.6</v>
      </c>
      <c r="AQ141" s="32" cm="1">
        <f t="array" ref="AQ141">IF($F$10-$I$3+VLOOKUP($R141,武学奇术!$A:$ZZ,6,FALSE)+SUM(_xlfn.XLOOKUP(S141:AG141,增益!$A:$A,增益!$F:$F,0))&gt;0,($F$10-$I$3+VLOOKUP($R141,武学奇术!$A:$ZZ,6,FALSE)+SUM(_xlfn.XLOOKUP(S141:AG141,增益!$A:$A,增益!$F:$F,0)))/200,($F$10-$I$3+VLOOKUP($R141,武学奇术!$A:$ZZ,6,FALSE)+SUM(_xlfn.XLOOKUP(S141:AG141,增益!$A:$A,增益!$F:$F,0)))/100)</f>
        <v>0.2925</v>
      </c>
      <c r="AR141" s="32" cm="1">
        <f t="array" ref="AR141">$G$10+VLOOKUP($R141,武学奇术!$A:$ZZ,7,FALSE)+SUM(_xlfn.XLOOKUP(S141:AG141,增益!$A:$A,增益!$G:$G,0))</f>
        <v>0.148</v>
      </c>
      <c r="AS141" s="26" cm="1">
        <f t="array" ref="AS141">VLOOKUP($R141,武学奇术!$A:$ZZ,8,FALSE)+SUM(_xlfn.XLOOKUP(S141:AG141,增益!$A:$A,增益!$H:$H,0))</f>
        <v>0</v>
      </c>
      <c r="AT141">
        <f t="shared" si="26"/>
        <v>0</v>
      </c>
      <c r="AU141">
        <f t="shared" si="27"/>
        <v>0</v>
      </c>
      <c r="AV141" s="32" cm="1">
        <f t="array" ref="AV141">IF($F$11-$I$4+VLOOKUP($R141,武学奇术!$A:$ZZ,9,FALSE)+SUM(_xlfn.XLOOKUP(S141:AG141,增益!$A:$A,增益!$I:$I,0))&gt;0,($F$11-$I$4+VLOOKUP($R141,武学奇术!$A:$ZZ,9,FALSE)+SUM(_xlfn.XLOOKUP(S141:AG141,增益!$A:$A,增益!$I:$I,0)))/200,($F$11-$I$4+VLOOKUP($R141,武学奇术!$A:$ZZ,9,FALSE)+SUM(_xlfn.XLOOKUP(S141:AG141,增益!$A:$A,增益!$I:$I,0)))/100)</f>
        <v>-0.3</v>
      </c>
      <c r="AW141" s="32" cm="1">
        <f t="array" ref="AW141">$G$11+VLOOKUP($R141,武学奇术!$A:$ZZ,10,FALSE)+SUM(_xlfn.XLOOKUP(S141:AG141,增益!$A:$A,增益!$J:$J,0))</f>
        <v>0</v>
      </c>
      <c r="AX141">
        <f t="shared" si="28"/>
        <v>0</v>
      </c>
      <c r="AY141">
        <f t="shared" si="29"/>
        <v>0</v>
      </c>
      <c r="AZ141" s="32" cm="1">
        <f t="array" ref="AZ141">IF($F$12-$I$4+VLOOKUP($R141,武学奇术!$A:$ZZ,11,FALSE)+SUM(_xlfn.XLOOKUP(S141:AG141,增益!$A:$A,增益!$K:$K,0))&gt;0,($F$12-$I$4+VLOOKUP($R141,武学奇术!$A:$ZZ,11,FALSE)+SUM(_xlfn.XLOOKUP(S141:AG141,增益!$A:$A,增益!$K:$K,0)))/200,($F$12-$I$4+VLOOKUP($R141,武学奇术!$A:$ZZ,11,FALSE)+SUM(_xlfn.XLOOKUP(S141:AG141,增益!$A:$A,增益!$K:$K,0)))/100)</f>
        <v>-0.3</v>
      </c>
      <c r="BA141" s="32" cm="1">
        <f t="array" ref="BA141">$G$12+VLOOKUP($R141,武学奇术!$A:$ZZ,12,FALSE)+SUM(_xlfn.XLOOKUP(S141:AG141,增益!$A:$A,增益!$L:$L,0))</f>
        <v>0</v>
      </c>
      <c r="BB141">
        <f t="shared" si="30"/>
        <v>0</v>
      </c>
      <c r="BC141">
        <f t="shared" si="31"/>
        <v>0</v>
      </c>
      <c r="BD141" s="32" cm="1">
        <f t="array" ref="BD141">IF($F$13-$I$4+VLOOKUP($R141,武学奇术!$A:$ZZ,13,FALSE)+SUM(_xlfn.XLOOKUP(S141:AG141,增益!$A:$A,增益!$M:$M,0))&gt;0,($F$13-$I$4+VLOOKUP($R141,武学奇术!$A:$ZZ,13,FALSE)+SUM(_xlfn.XLOOKUP(S141:AG141,增益!$A:$A,增益!$K:$K,0)))/200,($F$13-$I$4+VLOOKUP($R141,武学奇术!$A:$ZZ,13,FALSE)+SUM(_xlfn.XLOOKUP(S141:AG141,增益!$A:$A,增益!$M:$M,0)))/100)</f>
        <v>-0.3</v>
      </c>
      <c r="BE141" s="32" cm="1">
        <f t="array" ref="BE141">$G$13+VLOOKUP($R141,武学奇术!$A:$ZZ,14,FALSE)+SUM(_xlfn.XLOOKUP(S141:AG141,增益!$A:$A,增益!$N:$N,0))</f>
        <v>0</v>
      </c>
      <c r="BF141">
        <f t="shared" si="32"/>
        <v>571.2</v>
      </c>
      <c r="BG141">
        <f t="shared" si="33"/>
        <v>1627.8</v>
      </c>
      <c r="BH141" s="32" cm="1">
        <f t="array" ref="BH141">IF($F$14-$I$4+VLOOKUP($R141,武学奇术!$A:$ZZ,15,FALSE)+SUM(_xlfn.XLOOKUP(S141:AG141,增益!$A:$A,增益!$O:$O,0))&gt;0,($F$14-$I$4+VLOOKUP($R141,武学奇术!$A:$ZZ,15,FALSE)+SUM(_xlfn.XLOOKUP(S141:AG141,增益!$A:$A,增益!$O:$O,0)))/200,($F$14-$I$4+VLOOKUP($R141,武学奇术!$A:$ZZ,15,FALSE)+SUM(_xlfn.XLOOKUP(S141:AG141,增益!$A:$A,增益!$O:$O,0)))/100)</f>
        <v>0</v>
      </c>
      <c r="BI141" s="32" cm="1">
        <f t="array" ref="BI141">$G$14+VLOOKUP($R141,武学奇术!$A:$ZZ,16,FALSE)+SUM(_xlfn.XLOOKUP(S141:AG141,增益!$A:$A,增益!$P:$P,0))</f>
        <v>0.27</v>
      </c>
      <c r="BJ141" s="26">
        <f>MIN(IF(VLOOKUP($R141,武学奇术!$A:$ZZ,23,FALSE)=1,100%,$B$8),100%)</f>
        <v>0.981</v>
      </c>
      <c r="BK141" s="26" cm="1">
        <f t="array" ref="BK141">IF(VLOOKUP($R141,武学奇术!$A:$ZZ,23,FALSE)=1,100%,MIN(80%,$B$9+VLOOKUP($R141,武学奇术!$A:$ZZ,17,FALSE)+SUM(_xlfn.XLOOKUP(S141:AG141,增益!$A:$A,增益!$Q:$Q,0)))+$B$11+SUM(_xlfn.XLOOKUP(S141:AG141,增益!$A:$A,增益!$U:$U,0)))*IF(VLOOKUP($R141,武学奇术!$A:$ZZ,24,FALSE)=1,0,1)</f>
        <v>0.846</v>
      </c>
      <c r="BL141" s="26" cm="1">
        <f t="array" ref="BL141">1+$B$13+VLOOKUP($R141,武学奇术!$A:$ZZ,18,FALSE)+SUM(_xlfn.XLOOKUP(S141:AG141,增益!$A:$A,增益!$R:$R,0))</f>
        <v>2.06</v>
      </c>
      <c r="BM141" s="26" cm="1">
        <f t="array" ref="BM141">IF(VLOOKUP($R141,武学奇术!$A:$ZZ,24,FALSE)=1,100%,MIN(40%,$B$10+VLOOKUP($R141,武学奇术!$A:$ZZ,19,FALSE)+SUM(_xlfn.XLOOKUP(S141:AG141,增益!$A:$A,增益!$S:$S,0)))+$B$12+SUM(_xlfn.XLOOKUP(S141:AG141,增益!$A:$A,增益!$V:$V,0)))*IF(VLOOKUP($R141,武学奇术!$A:$ZZ,23,FALSE)=1,0,1)</f>
        <v>0.0929</v>
      </c>
      <c r="BN141" s="26" cm="1">
        <f t="array" ref="BN141">1+$B$14+VLOOKUP($R141,武学奇术!$A:$ZZ,20,FALSE)+SUM(_xlfn.XLOOKUP(S141:AG141,增益!$A:$A,增益!$T:$T,0))</f>
        <v>1.35</v>
      </c>
      <c r="BO141" s="26">
        <f t="shared" si="34"/>
        <v>0.829926</v>
      </c>
      <c r="BP141" s="26">
        <f t="shared" si="35"/>
        <v>0.0599391</v>
      </c>
      <c r="BQ141" s="26">
        <f>IF(VLOOKUP($R141,武学奇术!$A:$ZZ,22,FALSE)=1,0,(1-$BJ141))*(1-$BM141)</f>
        <v>0.0172349</v>
      </c>
      <c r="BR141" s="26" cm="1">
        <f t="array" ref="BR141">SUM(_xlfn.XLOOKUP(S141:AG141,增益!$A:$A,增益!$W:$W,0))+$I$5</f>
        <v>0.11</v>
      </c>
    </row>
    <row r="142" spans="11:70">
      <c r="K142">
        <f>$L142*VLOOKUP($R142,武学奇术!$A:$ZZ,31,FALSE)</f>
        <v>103918.776019337</v>
      </c>
      <c r="L142" s="38">
        <f t="shared" si="25"/>
        <v>98970.2628755588</v>
      </c>
      <c r="M142" s="38">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BL142*$Q142*(1+IF(VLOOKUP($R142,武学奇术!$A:$ZZ,30,FALSE)="回旋伞",$B$21,0))*(1+$BR142)</f>
        <v>98970.2628755588</v>
      </c>
      <c r="N142" s="38">
        <f>(($AP142*$AI142+$AJ142)*(1+$AQ142)*(1+$AR142)+($AU142*IF($G$1="鸣金",$AK142,$AI142)+IF($G$1="鸣金",$AL142*1.5,0))*(1+$AV142)*(1+$AW142)+($AY142*IF($G$1="裂石",$AK142,$AI142)+IF($G$1="裂石",$AL142*1.5,0))*(1+$AZ142)*(1+$BA142)+($BC142*IF($G$1="牵丝",$AK142,$AI142)+IF($G$1="牵丝",$AL142*1.5,0))*(1+$BD142)*(1+$BE142)+($BG142*IF($G$1="破竹",$AK142,$AI142)+IF($G$1="破竹",$AL142*1.5,0))*(1+$BH142)*(1+$BI142))*(1+$AM142)*$BN142*$Q142*(1+IF(VLOOKUP($R142,武学奇术!$A:$ZZ,30,FALSE)="回旋伞",$B$21,0))*(1+$BR142)</f>
        <v>72606.1305866387</v>
      </c>
      <c r="O142" s="38">
        <f>((($AO142+$AP142)/2*$AI142+$AJ142)*(1+$AQ142)*(1+$AR142)+(($AT142+$AU142)/2*IF($G$1="鸣金",$AK142,$AI142)+IF($G$1="鸣金",$AL142*1.5,0))*(1+$AV142)*(1+$AW142)+(($AX142+$AY142)/2*IF($G$1="裂石",$AK142,$AI142)+IF($G$1="裂石",$AL142*1.5,0))*(1+$AZ142)*(1+$BA142)+(($BB142+$BC142)/2*IF($G$1="牵丝",$AK142,$AI142)+IF($G$1="牵丝",$AL142*1.5,0))*(1+$BD142)*(1+$BE142)+(($BF142+$BG142)/2*IF($G$1="破竹",$AK142,$AI142)+IF($G$1="破竹",$AL142*1.5,0))*(1+$BH142)*(1+$BI142))*(1+$AM142)*$Q142*(1+IF(VLOOKUP($R142,武学奇术!$A:$ZZ,30,FALSE)="回旋伞",$B$21,0))*(1+$BR142)</f>
        <v>48043.8169298829</v>
      </c>
      <c r="P142" s="38">
        <f>((($AO142*$AI142+$AJ142)*(1+$AQ142)*(1+$AR142)+($AT142*IF($G$1="鸣金",$AK142,$AI142)+IF($G$1="鸣金",$AL142*1.5,0))*(1+$AV142)*(1+$AW142)+($AX142*IF($G$1="裂石",$AK142,$AI142)+IF($G$1="裂石",$AL142*1.5,0))*(1+$AZ142)*(1+$BA142)+($BB142*IF($G$1="牵丝",$AK142,$AI142)+IF($G$1="牵丝",$AL142*1.5,0))*(1+$BD142)*(1+$BE142)+($BF142*IF($G$1="破竹",$AK142,$AI142)+IF($G$1="破竹",$AL142*1.5,0))*(1+$BH142)*(1+$BI142))*(1+$AM142))*$Q142*(1+IF(VLOOKUP($R142,武学奇术!$A:$ZZ,30,FALSE)="回旋伞",$B$21,0))*(1+$BR142)</f>
        <v>42305.3149067001</v>
      </c>
      <c r="Q142" s="39">
        <v>1</v>
      </c>
      <c r="R142" s="40" t="s">
        <v>125</v>
      </c>
      <c r="S142" s="40" t="s">
        <v>109</v>
      </c>
      <c r="T142" s="40" t="s">
        <v>95</v>
      </c>
      <c r="U142" s="40" t="s">
        <v>73</v>
      </c>
      <c r="V142" s="40" t="s">
        <v>81</v>
      </c>
      <c r="W142" s="40" t="s">
        <v>172</v>
      </c>
      <c r="X142" s="40" t="s">
        <v>99</v>
      </c>
      <c r="Y142" s="40" t="s">
        <v>72</v>
      </c>
      <c r="Z142" s="40" t="s">
        <v>176</v>
      </c>
      <c r="AA142" s="40" t="s">
        <v>72</v>
      </c>
      <c r="AB142" s="40" t="s">
        <v>126</v>
      </c>
      <c r="AC142" s="40" t="s">
        <v>72</v>
      </c>
      <c r="AD142" s="40" t="s">
        <v>72</v>
      </c>
      <c r="AE142" s="40" t="s">
        <v>72</v>
      </c>
      <c r="AF142" s="40" t="s">
        <v>72</v>
      </c>
      <c r="AG142" s="40" t="s">
        <v>78</v>
      </c>
      <c r="AH142" t="str">
        <f>VLOOKUP($R142,武学奇术!$A:$ZZ,25,FALSE)</f>
        <v>伞</v>
      </c>
      <c r="AI142" s="26">
        <f>VLOOKUP($R142,武学奇术!$A:$ZZ,26,FALSE)</f>
        <v>1.8084</v>
      </c>
      <c r="AJ142" s="27">
        <f>VLOOKUP($R142,武学奇术!$A:$ZZ,27,FALSE)*(1+IF(OR($AH142=$F$4,$AH142=$F$5),$B$22,0))</f>
        <v>750</v>
      </c>
      <c r="AK142" s="26">
        <f>VLOOKUP($R142,武学奇术!$A:$ZZ,28,FALSE)</f>
        <v>2.7126</v>
      </c>
      <c r="AL142" s="27">
        <f>VLOOKUP($R142,武学奇术!$A:$ZZ,29,FALSE)*(1+IF(OR($AH142=$F$4,$AH142=$F$5),$B$22,0))</f>
        <v>408</v>
      </c>
      <c r="AM142" s="26" cm="1">
        <f t="array" ref="AM142">$G$3+IFERROR(VLOOKUP($AH142,$F$4:$G$7,2,FALSE),0)+VLOOKUP($R142,武学奇术!$A:$ZZ,2,FALSE)+SUM(_xlfn.XLOOKUP($S142:$AG142,增益!$A:$A,增益!$B:$B,0))</f>
        <v>0.9741</v>
      </c>
      <c r="AN142" s="26" cm="1">
        <f t="array" ref="AN142">VLOOKUP($R142,武学奇术!$A:$ZZ,5,FALSE)+SUM(_xlfn.XLOOKUP($S142:$AG142,增益!$A:$A,增益!$E:$E,0))</f>
        <v>0</v>
      </c>
      <c r="AO142" cm="1">
        <f t="array" ref="AO142">$D$10*(1+$AN142)+VLOOKUP($R142,武学奇术!$A:$ZZ,3,FALSE)+SUM(_xlfn.XLOOKUP($S142:$AG142,增益!$A:$A,增益!$C:$C,0))-$I$2</f>
        <v>3562.6</v>
      </c>
      <c r="AP142" cm="1">
        <f t="array" ref="AP142">$E$10*(1+$AN142)+VLOOKUP($R142,武学奇术!$A:$ZZ,4,FALSE)+SUM(_xlfn.XLOOKUP($S142:$AG142,增益!$A:$A,增益!$D:$D,0))-$I$2</f>
        <v>3562.6</v>
      </c>
      <c r="AQ142" s="32" cm="1">
        <f t="array" ref="AQ142">IF($F$10-$I$3+VLOOKUP($R142,武学奇术!$A:$ZZ,6,FALSE)+SUM(_xlfn.XLOOKUP(S142:AG142,增益!$A:$A,增益!$F:$F,0))&gt;0,($F$10-$I$3+VLOOKUP($R142,武学奇术!$A:$ZZ,6,FALSE)+SUM(_xlfn.XLOOKUP(S142:AG142,增益!$A:$A,增益!$F:$F,0)))/200,($F$10-$I$3+VLOOKUP($R142,武学奇术!$A:$ZZ,6,FALSE)+SUM(_xlfn.XLOOKUP(S142:AG142,增益!$A:$A,增益!$F:$F,0)))/100)</f>
        <v>0.2925</v>
      </c>
      <c r="AR142" s="32" cm="1">
        <f t="array" ref="AR142">$G$10+VLOOKUP($R142,武学奇术!$A:$ZZ,7,FALSE)+SUM(_xlfn.XLOOKUP(S142:AG142,增益!$A:$A,增益!$G:$G,0))</f>
        <v>0.148</v>
      </c>
      <c r="AS142" s="26" cm="1">
        <f t="array" ref="AS142">VLOOKUP($R142,武学奇术!$A:$ZZ,8,FALSE)+SUM(_xlfn.XLOOKUP(S142:AG142,增益!$A:$A,增益!$H:$H,0))</f>
        <v>0</v>
      </c>
      <c r="AT142">
        <f t="shared" si="26"/>
        <v>0</v>
      </c>
      <c r="AU142">
        <f t="shared" si="27"/>
        <v>0</v>
      </c>
      <c r="AV142" s="32" cm="1">
        <f t="array" ref="AV142">IF($F$11-$I$4+VLOOKUP($R142,武学奇术!$A:$ZZ,9,FALSE)+SUM(_xlfn.XLOOKUP(S142:AG142,增益!$A:$A,增益!$I:$I,0))&gt;0,($F$11-$I$4+VLOOKUP($R142,武学奇术!$A:$ZZ,9,FALSE)+SUM(_xlfn.XLOOKUP(S142:AG142,增益!$A:$A,增益!$I:$I,0)))/200,($F$11-$I$4+VLOOKUP($R142,武学奇术!$A:$ZZ,9,FALSE)+SUM(_xlfn.XLOOKUP(S142:AG142,增益!$A:$A,增益!$I:$I,0)))/100)</f>
        <v>-0.3</v>
      </c>
      <c r="AW142" s="32" cm="1">
        <f t="array" ref="AW142">$G$11+VLOOKUP($R142,武学奇术!$A:$ZZ,10,FALSE)+SUM(_xlfn.XLOOKUP(S142:AG142,增益!$A:$A,增益!$J:$J,0))</f>
        <v>0</v>
      </c>
      <c r="AX142">
        <f t="shared" si="28"/>
        <v>0</v>
      </c>
      <c r="AY142">
        <f t="shared" si="29"/>
        <v>0</v>
      </c>
      <c r="AZ142" s="32" cm="1">
        <f t="array" ref="AZ142">IF($F$12-$I$4+VLOOKUP($R142,武学奇术!$A:$ZZ,11,FALSE)+SUM(_xlfn.XLOOKUP(S142:AG142,增益!$A:$A,增益!$K:$K,0))&gt;0,($F$12-$I$4+VLOOKUP($R142,武学奇术!$A:$ZZ,11,FALSE)+SUM(_xlfn.XLOOKUP(S142:AG142,增益!$A:$A,增益!$K:$K,0)))/200,($F$12-$I$4+VLOOKUP($R142,武学奇术!$A:$ZZ,11,FALSE)+SUM(_xlfn.XLOOKUP(S142:AG142,增益!$A:$A,增益!$K:$K,0)))/100)</f>
        <v>-0.3</v>
      </c>
      <c r="BA142" s="32" cm="1">
        <f t="array" ref="BA142">$G$12+VLOOKUP($R142,武学奇术!$A:$ZZ,12,FALSE)+SUM(_xlfn.XLOOKUP(S142:AG142,增益!$A:$A,增益!$L:$L,0))</f>
        <v>0</v>
      </c>
      <c r="BB142">
        <f t="shared" si="30"/>
        <v>0</v>
      </c>
      <c r="BC142">
        <f t="shared" si="31"/>
        <v>0</v>
      </c>
      <c r="BD142" s="32" cm="1">
        <f t="array" ref="BD142">IF($F$13-$I$4+VLOOKUP($R142,武学奇术!$A:$ZZ,13,FALSE)+SUM(_xlfn.XLOOKUP(S142:AG142,增益!$A:$A,增益!$M:$M,0))&gt;0,($F$13-$I$4+VLOOKUP($R142,武学奇术!$A:$ZZ,13,FALSE)+SUM(_xlfn.XLOOKUP(S142:AG142,增益!$A:$A,增益!$K:$K,0)))/200,($F$13-$I$4+VLOOKUP($R142,武学奇术!$A:$ZZ,13,FALSE)+SUM(_xlfn.XLOOKUP(S142:AG142,增益!$A:$A,增益!$M:$M,0)))/100)</f>
        <v>-0.3</v>
      </c>
      <c r="BE142" s="32" cm="1">
        <f t="array" ref="BE142">$G$13+VLOOKUP($R142,武学奇术!$A:$ZZ,14,FALSE)+SUM(_xlfn.XLOOKUP(S142:AG142,增益!$A:$A,增益!$N:$N,0))</f>
        <v>0</v>
      </c>
      <c r="BF142">
        <f t="shared" si="32"/>
        <v>571.2</v>
      </c>
      <c r="BG142">
        <f t="shared" si="33"/>
        <v>1627.8</v>
      </c>
      <c r="BH142" s="32" cm="1">
        <f t="array" ref="BH142">IF($F$14-$I$4+VLOOKUP($R142,武学奇术!$A:$ZZ,15,FALSE)+SUM(_xlfn.XLOOKUP(S142:AG142,增益!$A:$A,增益!$O:$O,0))&gt;0,($F$14-$I$4+VLOOKUP($R142,武学奇术!$A:$ZZ,15,FALSE)+SUM(_xlfn.XLOOKUP(S142:AG142,增益!$A:$A,增益!$O:$O,0)))/200,($F$14-$I$4+VLOOKUP($R142,武学奇术!$A:$ZZ,15,FALSE)+SUM(_xlfn.XLOOKUP(S142:AG142,增益!$A:$A,增益!$O:$O,0)))/100)</f>
        <v>0</v>
      </c>
      <c r="BI142" s="32" cm="1">
        <f t="array" ref="BI142">$G$14+VLOOKUP($R142,武学奇术!$A:$ZZ,16,FALSE)+SUM(_xlfn.XLOOKUP(S142:AG142,增益!$A:$A,增益!$P:$P,0))</f>
        <v>0.27</v>
      </c>
      <c r="BJ142" s="26">
        <f>MIN(IF(VLOOKUP($R142,武学奇术!$A:$ZZ,23,FALSE)=1,100%,$B$8),100%)</f>
        <v>1</v>
      </c>
      <c r="BK142" s="26" cm="1">
        <f t="array" ref="BK142">IF(VLOOKUP($R142,武学奇术!$A:$ZZ,23,FALSE)=1,100%,MIN(80%,$B$9+VLOOKUP($R142,武学奇术!$A:$ZZ,17,FALSE)+SUM(_xlfn.XLOOKUP(S142:AG142,增益!$A:$A,增益!$Q:$Q,0)))+$B$11+SUM(_xlfn.XLOOKUP(S142:AG142,增益!$A:$A,增益!$U:$U,0)))*IF(VLOOKUP($R142,武学奇术!$A:$ZZ,24,FALSE)=1,0,1)</f>
        <v>1</v>
      </c>
      <c r="BL142" s="26" cm="1">
        <f t="array" ref="BL142">1+$B$13+VLOOKUP($R142,武学奇术!$A:$ZZ,18,FALSE)+SUM(_xlfn.XLOOKUP(S142:AG142,增益!$A:$A,增益!$R:$R,0))</f>
        <v>2.06</v>
      </c>
      <c r="BM142" s="26" cm="1">
        <f t="array" ref="BM142">IF(VLOOKUP($R142,武学奇术!$A:$ZZ,24,FALSE)=1,100%,MIN(40%,$B$10+VLOOKUP($R142,武学奇术!$A:$ZZ,19,FALSE)+SUM(_xlfn.XLOOKUP(S142:AG142,增益!$A:$A,增益!$S:$S,0)))+$B$12+SUM(_xlfn.XLOOKUP(S142:AG142,增益!$A:$A,增益!$V:$V,0)))*IF(VLOOKUP($R142,武学奇术!$A:$ZZ,23,FALSE)=1,0,1)</f>
        <v>0</v>
      </c>
      <c r="BN142" s="26" cm="1">
        <f t="array" ref="BN142">1+$B$14+VLOOKUP($R142,武学奇术!$A:$ZZ,20,FALSE)+SUM(_xlfn.XLOOKUP(S142:AG142,增益!$A:$A,增益!$T:$T,0))</f>
        <v>1.35</v>
      </c>
      <c r="BO142" s="26">
        <f t="shared" si="34"/>
        <v>1</v>
      </c>
      <c r="BP142" s="26">
        <f t="shared" si="35"/>
        <v>0</v>
      </c>
      <c r="BQ142" s="26">
        <f>IF(VLOOKUP($R142,武学奇术!$A:$ZZ,22,FALSE)=1,0,(1-$BJ142))*(1-$BM142)</f>
        <v>0</v>
      </c>
      <c r="BR142" s="26" cm="1">
        <f t="array" ref="BR142">SUM(_xlfn.XLOOKUP(S142:AG142,增益!$A:$A,增益!$W:$W,0))+$I$5</f>
        <v>0.21</v>
      </c>
    </row>
    <row r="143" spans="11:70">
      <c r="K143">
        <f>$L143*VLOOKUP($R143,武学奇术!$A:$ZZ,31,FALSE)</f>
        <v>59871.0001925947</v>
      </c>
      <c r="L143" s="38">
        <f t="shared" si="25"/>
        <v>57020.0001834235</v>
      </c>
      <c r="M143" s="38">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BL143*$Q143*(1+IF(VLOOKUP($R143,武学奇术!$A:$ZZ,30,FALSE)="回旋伞",$B$21,0))*(1+$BR143)</f>
        <v>57020.0001834235</v>
      </c>
      <c r="N143" s="38">
        <f>(($AP143*$AI143+$AJ143)*(1+$AQ143)*(1+$AR143)+($AU143*IF($G$1="鸣金",$AK143,$AI143)+IF($G$1="鸣金",$AL143*1.5,0))*(1+$AV143)*(1+$AW143)+($AY143*IF($G$1="裂石",$AK143,$AI143)+IF($G$1="裂石",$AL143*1.5,0))*(1+$AZ143)*(1+$BA143)+($BC143*IF($G$1="牵丝",$AK143,$AI143)+IF($G$1="牵丝",$AL143*1.5,0))*(1+$BD143)*(1+$BE143)+($BG143*IF($G$1="破竹",$AK143,$AI143)+IF($G$1="破竹",$AL143*1.5,0))*(1+$BH143)*(1+$BI143))*(1+$AM143)*$BN143*$Q143*(1+IF(VLOOKUP($R143,武学奇术!$A:$ZZ,30,FALSE)="回旋伞",$B$21,0))*(1+$BR143)</f>
        <v>42462.8013410454</v>
      </c>
      <c r="O143" s="38">
        <f>((($AO143+$AP143)/2*$AI143+$AJ143)*(1+$AQ143)*(1+$AR143)+(($AT143+$AU143)/2*IF($G$1="鸣金",$AK143,$AI143)+IF($G$1="鸣金",$AL143*1.5,0))*(1+$AV143)*(1+$AW143)+(($AX143+$AY143)/2*IF($G$1="裂石",$AK143,$AI143)+IF($G$1="裂石",$AL143*1.5,0))*(1+$AZ143)*(1+$BA143)+(($BB143+$BC143)/2*IF($G$1="牵丝",$AK143,$AI143)+IF($G$1="牵丝",$AL143*1.5,0))*(1+$BD143)*(1+$BE143)+(($BF143+$BG143)/2*IF($G$1="破竹",$AK143,$AI143)+IF($G$1="破竹",$AL143*1.5,0))*(1+$BH143)*(1+$BI143))*(1+$AM143)*$Q143*(1+IF(VLOOKUP($R143,武学奇术!$A:$ZZ,30,FALSE)="回旋伞",$B$21,0))*(1+$BR143)</f>
        <v>27679.611739526</v>
      </c>
      <c r="P143" s="38">
        <f>((($AO143*$AI143+$AJ143)*(1+$AQ143)*(1+$AR143)+($AT143*IF($G$1="鸣金",$AK143,$AI143)+IF($G$1="鸣金",$AL143*1.5,0))*(1+$AV143)*(1+$AW143)+($AX143*IF($G$1="裂石",$AK143,$AI143)+IF($G$1="裂石",$AL143*1.5,0))*(1+$AZ143)*(1+$BA143)+($BB143*IF($G$1="牵丝",$AK143,$AI143)+IF($G$1="牵丝",$AL143*1.5,0))*(1+$BD143)*(1+$BE143)+($BF143*IF($G$1="破竹",$AK143,$AI143)+IF($G$1="破竹",$AL143*1.5,0))*(1+$BH143)*(1+$BI143))*(1+$AM143))*$Q143*(1+IF(VLOOKUP($R143,武学奇术!$A:$ZZ,30,FALSE)="回旋伞",$B$21,0))*(1+$BR143)</f>
        <v>23905.296559759</v>
      </c>
      <c r="Q143" s="39">
        <v>2</v>
      </c>
      <c r="R143" s="40" t="s">
        <v>132</v>
      </c>
      <c r="S143" s="40" t="s">
        <v>109</v>
      </c>
      <c r="T143" s="40" t="s">
        <v>95</v>
      </c>
      <c r="U143" s="40" t="s">
        <v>73</v>
      </c>
      <c r="V143" s="40" t="s">
        <v>81</v>
      </c>
      <c r="W143" s="40" t="s">
        <v>172</v>
      </c>
      <c r="X143" s="40" t="s">
        <v>99</v>
      </c>
      <c r="Y143" s="40" t="s">
        <v>72</v>
      </c>
      <c r="Z143" s="40" t="s">
        <v>176</v>
      </c>
      <c r="AA143" s="40" t="s">
        <v>72</v>
      </c>
      <c r="AB143" s="40" t="s">
        <v>126</v>
      </c>
      <c r="AC143" s="40" t="s">
        <v>72</v>
      </c>
      <c r="AD143" s="40" t="s">
        <v>72</v>
      </c>
      <c r="AE143" s="40" t="s">
        <v>72</v>
      </c>
      <c r="AF143" s="40" t="s">
        <v>72</v>
      </c>
      <c r="AG143" s="40" t="s">
        <v>78</v>
      </c>
      <c r="AH143" t="str">
        <f>VLOOKUP($R143,武学奇术!$A:$ZZ,25,FALSE)</f>
        <v>伞</v>
      </c>
      <c r="AI143" s="26">
        <f>VLOOKUP($R143,武学奇术!$A:$ZZ,26,FALSE)</f>
        <v>0.54</v>
      </c>
      <c r="AJ143" s="27">
        <f>VLOOKUP($R143,武学奇术!$A:$ZZ,27,FALSE)*(1+IF(OR($AH143=$F$4,$AH143=$F$5),$B$22,0))</f>
        <v>0</v>
      </c>
      <c r="AK143" s="26">
        <f>VLOOKUP($R143,武学奇术!$A:$ZZ,28,FALSE)</f>
        <v>0.81</v>
      </c>
      <c r="AL143" s="27">
        <f>VLOOKUP($R143,武学奇术!$A:$ZZ,29,FALSE)*(1+IF(OR($AH143=$F$4,$AH143=$F$5),$B$22,0))</f>
        <v>0</v>
      </c>
      <c r="AM143" s="26" cm="1">
        <f t="array" ref="AM143">$G$3+IFERROR(VLOOKUP($AH143,$F$4:$G$7,2,FALSE),0)+VLOOKUP($R143,武学奇术!$A:$ZZ,2,FALSE)+SUM(_xlfn.XLOOKUP($S143:$AG143,增益!$A:$A,增益!$B:$B,0))</f>
        <v>1.1741</v>
      </c>
      <c r="AN143" s="26" cm="1">
        <f t="array" ref="AN143">VLOOKUP($R143,武学奇术!$A:$ZZ,5,FALSE)+SUM(_xlfn.XLOOKUP($S143:$AG143,增益!$A:$A,增益!$E:$E,0))</f>
        <v>0</v>
      </c>
      <c r="AO143" cm="1">
        <f t="array" ref="AO143">$D$10*(1+$AN143)+VLOOKUP($R143,武学奇术!$A:$ZZ,3,FALSE)+SUM(_xlfn.XLOOKUP($S143:$AG143,增益!$A:$A,增益!$C:$C,0))-$I$2</f>
        <v>3562.6</v>
      </c>
      <c r="AP143" cm="1">
        <f t="array" ref="AP143">$E$10*(1+$AN143)+VLOOKUP($R143,武学奇术!$A:$ZZ,4,FALSE)+SUM(_xlfn.XLOOKUP($S143:$AG143,增益!$A:$A,增益!$D:$D,0))-$I$2</f>
        <v>3562.6</v>
      </c>
      <c r="AQ143" s="32" cm="1">
        <f t="array" ref="AQ143">IF($F$10-$I$3+VLOOKUP($R143,武学奇术!$A:$ZZ,6,FALSE)+SUM(_xlfn.XLOOKUP(S143:AG143,增益!$A:$A,增益!$F:$F,0))&gt;0,($F$10-$I$3+VLOOKUP($R143,武学奇术!$A:$ZZ,6,FALSE)+SUM(_xlfn.XLOOKUP(S143:AG143,增益!$A:$A,增益!$F:$F,0)))/200,($F$10-$I$3+VLOOKUP($R143,武学奇术!$A:$ZZ,6,FALSE)+SUM(_xlfn.XLOOKUP(S143:AG143,增益!$A:$A,增益!$F:$F,0)))/100)</f>
        <v>0.2925</v>
      </c>
      <c r="AR143" s="32" cm="1">
        <f t="array" ref="AR143">$G$10+VLOOKUP($R143,武学奇术!$A:$ZZ,7,FALSE)+SUM(_xlfn.XLOOKUP(S143:AG143,增益!$A:$A,增益!$G:$G,0))</f>
        <v>0.148</v>
      </c>
      <c r="AS143" s="26" cm="1">
        <f t="array" ref="AS143">VLOOKUP($R143,武学奇术!$A:$ZZ,8,FALSE)+SUM(_xlfn.XLOOKUP(S143:AG143,增益!$A:$A,增益!$H:$H,0))</f>
        <v>0</v>
      </c>
      <c r="AT143">
        <f t="shared" si="26"/>
        <v>0</v>
      </c>
      <c r="AU143">
        <f t="shared" si="27"/>
        <v>0</v>
      </c>
      <c r="AV143" s="32" cm="1">
        <f t="array" ref="AV143">IF($F$11-$I$4+VLOOKUP($R143,武学奇术!$A:$ZZ,9,FALSE)+SUM(_xlfn.XLOOKUP(S143:AG143,增益!$A:$A,增益!$I:$I,0))&gt;0,($F$11-$I$4+VLOOKUP($R143,武学奇术!$A:$ZZ,9,FALSE)+SUM(_xlfn.XLOOKUP(S143:AG143,增益!$A:$A,增益!$I:$I,0)))/200,($F$11-$I$4+VLOOKUP($R143,武学奇术!$A:$ZZ,9,FALSE)+SUM(_xlfn.XLOOKUP(S143:AG143,增益!$A:$A,增益!$I:$I,0)))/100)</f>
        <v>-0.3</v>
      </c>
      <c r="AW143" s="32" cm="1">
        <f t="array" ref="AW143">$G$11+VLOOKUP($R143,武学奇术!$A:$ZZ,10,FALSE)+SUM(_xlfn.XLOOKUP(S143:AG143,增益!$A:$A,增益!$J:$J,0))</f>
        <v>0</v>
      </c>
      <c r="AX143">
        <f t="shared" si="28"/>
        <v>0</v>
      </c>
      <c r="AY143">
        <f t="shared" si="29"/>
        <v>0</v>
      </c>
      <c r="AZ143" s="32" cm="1">
        <f t="array" ref="AZ143">IF($F$12-$I$4+VLOOKUP($R143,武学奇术!$A:$ZZ,11,FALSE)+SUM(_xlfn.XLOOKUP(S143:AG143,增益!$A:$A,增益!$K:$K,0))&gt;0,($F$12-$I$4+VLOOKUP($R143,武学奇术!$A:$ZZ,11,FALSE)+SUM(_xlfn.XLOOKUP(S143:AG143,增益!$A:$A,增益!$K:$K,0)))/200,($F$12-$I$4+VLOOKUP($R143,武学奇术!$A:$ZZ,11,FALSE)+SUM(_xlfn.XLOOKUP(S143:AG143,增益!$A:$A,增益!$K:$K,0)))/100)</f>
        <v>-0.3</v>
      </c>
      <c r="BA143" s="32" cm="1">
        <f t="array" ref="BA143">$G$12+VLOOKUP($R143,武学奇术!$A:$ZZ,12,FALSE)+SUM(_xlfn.XLOOKUP(S143:AG143,增益!$A:$A,增益!$L:$L,0))</f>
        <v>0</v>
      </c>
      <c r="BB143">
        <f t="shared" si="30"/>
        <v>0</v>
      </c>
      <c r="BC143">
        <f t="shared" si="31"/>
        <v>0</v>
      </c>
      <c r="BD143" s="32" cm="1">
        <f t="array" ref="BD143">IF($F$13-$I$4+VLOOKUP($R143,武学奇术!$A:$ZZ,13,FALSE)+SUM(_xlfn.XLOOKUP(S143:AG143,增益!$A:$A,增益!$M:$M,0))&gt;0,($F$13-$I$4+VLOOKUP($R143,武学奇术!$A:$ZZ,13,FALSE)+SUM(_xlfn.XLOOKUP(S143:AG143,增益!$A:$A,增益!$K:$K,0)))/200,($F$13-$I$4+VLOOKUP($R143,武学奇术!$A:$ZZ,13,FALSE)+SUM(_xlfn.XLOOKUP(S143:AG143,增益!$A:$A,增益!$M:$M,0)))/100)</f>
        <v>-0.3</v>
      </c>
      <c r="BE143" s="32" cm="1">
        <f t="array" ref="BE143">$G$13+VLOOKUP($R143,武学奇术!$A:$ZZ,14,FALSE)+SUM(_xlfn.XLOOKUP(S143:AG143,增益!$A:$A,增益!$N:$N,0))</f>
        <v>0</v>
      </c>
      <c r="BF143">
        <f t="shared" si="32"/>
        <v>571.2</v>
      </c>
      <c r="BG143">
        <f t="shared" si="33"/>
        <v>1627.8</v>
      </c>
      <c r="BH143" s="32" cm="1">
        <f t="array" ref="BH143">IF($F$14-$I$4+VLOOKUP($R143,武学奇术!$A:$ZZ,15,FALSE)+SUM(_xlfn.XLOOKUP(S143:AG143,增益!$A:$A,增益!$O:$O,0))&gt;0,($F$14-$I$4+VLOOKUP($R143,武学奇术!$A:$ZZ,15,FALSE)+SUM(_xlfn.XLOOKUP(S143:AG143,增益!$A:$A,增益!$O:$O,0)))/200,($F$14-$I$4+VLOOKUP($R143,武学奇术!$A:$ZZ,15,FALSE)+SUM(_xlfn.XLOOKUP(S143:AG143,增益!$A:$A,增益!$O:$O,0)))/100)</f>
        <v>0</v>
      </c>
      <c r="BI143" s="32" cm="1">
        <f t="array" ref="BI143">$G$14+VLOOKUP($R143,武学奇术!$A:$ZZ,16,FALSE)+SUM(_xlfn.XLOOKUP(S143:AG143,增益!$A:$A,增益!$P:$P,0))</f>
        <v>0.27</v>
      </c>
      <c r="BJ143" s="26">
        <f>MIN(IF(VLOOKUP($R143,武学奇术!$A:$ZZ,23,FALSE)=1,100%,$B$8),100%)</f>
        <v>1</v>
      </c>
      <c r="BK143" s="26" cm="1">
        <f t="array" ref="BK143">IF(VLOOKUP($R143,武学奇术!$A:$ZZ,23,FALSE)=1,100%,MIN(80%,$B$9+VLOOKUP($R143,武学奇术!$A:$ZZ,17,FALSE)+SUM(_xlfn.XLOOKUP(S143:AG143,增益!$A:$A,增益!$Q:$Q,0)))+$B$11+SUM(_xlfn.XLOOKUP(S143:AG143,增益!$A:$A,增益!$U:$U,0)))*IF(VLOOKUP($R143,武学奇术!$A:$ZZ,24,FALSE)=1,0,1)</f>
        <v>1</v>
      </c>
      <c r="BL143" s="26" cm="1">
        <f t="array" ref="BL143">1+$B$13+VLOOKUP($R143,武学奇术!$A:$ZZ,18,FALSE)+SUM(_xlfn.XLOOKUP(S143:AG143,增益!$A:$A,增益!$R:$R,0))</f>
        <v>2.06</v>
      </c>
      <c r="BM143" s="26" cm="1">
        <f t="array" ref="BM143">IF(VLOOKUP($R143,武学奇术!$A:$ZZ,24,FALSE)=1,100%,MIN(40%,$B$10+VLOOKUP($R143,武学奇术!$A:$ZZ,19,FALSE)+SUM(_xlfn.XLOOKUP(S143:AG143,增益!$A:$A,增益!$S:$S,0)))+$B$12+SUM(_xlfn.XLOOKUP(S143:AG143,增益!$A:$A,增益!$V:$V,0)))*IF(VLOOKUP($R143,武学奇术!$A:$ZZ,23,FALSE)=1,0,1)</f>
        <v>0</v>
      </c>
      <c r="BN143" s="26" cm="1">
        <f t="array" ref="BN143">1+$B$14+VLOOKUP($R143,武学奇术!$A:$ZZ,20,FALSE)+SUM(_xlfn.XLOOKUP(S143:AG143,增益!$A:$A,增益!$T:$T,0))</f>
        <v>1.35</v>
      </c>
      <c r="BO143" s="26">
        <f t="shared" si="34"/>
        <v>1</v>
      </c>
      <c r="BP143" s="26">
        <f t="shared" si="35"/>
        <v>0</v>
      </c>
      <c r="BQ143" s="26">
        <f>IF(VLOOKUP($R143,武学奇术!$A:$ZZ,22,FALSE)=1,0,(1-$BJ143))*(1-$BM143)</f>
        <v>0</v>
      </c>
      <c r="BR143" s="26" cm="1">
        <f t="array" ref="BR143">SUM(_xlfn.XLOOKUP(S143:AG143,增益!$A:$A,增益!$W:$W,0))+$I$5</f>
        <v>0.21</v>
      </c>
    </row>
    <row r="144" spans="11:70">
      <c r="K144">
        <f>$L144*VLOOKUP($R144,武学奇术!$A:$ZZ,31,FALSE)</f>
        <v>87277.462571378</v>
      </c>
      <c r="L144" s="38">
        <f t="shared" si="25"/>
        <v>83121.3929251219</v>
      </c>
      <c r="M144" s="38">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BL144*$Q144*(1+IF(VLOOKUP($R144,武学奇术!$A:$ZZ,30,FALSE)="回旋伞",$B$21,0))*(1+$BR144)</f>
        <v>88943.3885656901</v>
      </c>
      <c r="N144" s="38">
        <f>(($AP144*$AI144+$AJ144)*(1+$AQ144)*(1+$AR144)+($AU144*IF($G$1="鸣金",$AK144,$AI144)+IF($G$1="鸣金",$AL144*1.5,0))*(1+$AV144)*(1+$AW144)+($AY144*IF($G$1="裂石",$AK144,$AI144)+IF($G$1="裂石",$AL144*1.5,0))*(1+$AZ144)*(1+$BA144)+($BC144*IF($G$1="牵丝",$AK144,$AI144)+IF($G$1="牵丝",$AL144*1.5,0))*(1+$BD144)*(1+$BE144)+($BG144*IF($G$1="破竹",$AK144,$AI144)+IF($G$1="破竹",$AL144*1.5,0))*(1+$BH144)*(1+$BI144))*(1+$AM144)*$BN144*$Q144*(1+IF(VLOOKUP($R144,武学奇术!$A:$ZZ,30,FALSE)="回旋伞",$B$21,0))*(1+$BR144)</f>
        <v>65250.2589908088</v>
      </c>
      <c r="O144" s="38">
        <f>((($AO144+$AP144)/2*$AI144+$AJ144)*(1+$AQ144)*(1+$AR144)+(($AT144+$AU144)/2*IF($G$1="鸣金",$AK144,$AI144)+IF($G$1="鸣金",$AL144*1.5,0))*(1+$AV144)*(1+$AW144)+(($AX144+$AY144)/2*IF($G$1="裂石",$AK144,$AI144)+IF($G$1="裂石",$AL144*1.5,0))*(1+$AZ144)*(1+$BA144)+(($BB144+$BC144)/2*IF($G$1="牵丝",$AK144,$AI144)+IF($G$1="牵丝",$AL144*1.5,0))*(1+$BD144)*(1+$BE144)+(($BF144+$BG144)/2*IF($G$1="破竹",$AK144,$AI144)+IF($G$1="破竹",$AL144*1.5,0))*(1+$BH144)*(1+$BI144))*(1+$AM144)*$Q144*(1+IF(VLOOKUP($R144,武学奇术!$A:$ZZ,30,FALSE)="回旋伞",$B$21,0))*(1+$BR144)</f>
        <v>43176.4022163544</v>
      </c>
      <c r="P144" s="38">
        <f>((($AO144*$AI144+$AJ144)*(1+$AQ144)*(1+$AR144)+($AT144*IF($G$1="鸣金",$AK144,$AI144)+IF($G$1="鸣金",$AL144*1.5,0))*(1+$AV144)*(1+$AW144)+($AX144*IF($G$1="裂石",$AK144,$AI144)+IF($G$1="裂石",$AL144*1.5,0))*(1+$AZ144)*(1+$BA144)+($BB144*IF($G$1="牵丝",$AK144,$AI144)+IF($G$1="牵丝",$AL144*1.5,0))*(1+$BD144)*(1+$BE144)+($BF144*IF($G$1="破竹",$AK144,$AI144)+IF($G$1="破竹",$AL144*1.5,0))*(1+$BH144)*(1+$BI144))*(1+$AM144))*$Q144*(1+IF(VLOOKUP($R144,武学奇术!$A:$ZZ,30,FALSE)="回旋伞",$B$21,0))*(1+$BR144)</f>
        <v>38019.279254332</v>
      </c>
      <c r="Q144" s="39">
        <v>1</v>
      </c>
      <c r="R144" s="40" t="s">
        <v>108</v>
      </c>
      <c r="S144" s="40" t="s">
        <v>109</v>
      </c>
      <c r="T144" s="40" t="s">
        <v>95</v>
      </c>
      <c r="U144" s="40" t="s">
        <v>73</v>
      </c>
      <c r="V144" s="40" t="s">
        <v>81</v>
      </c>
      <c r="W144" s="40" t="s">
        <v>172</v>
      </c>
      <c r="X144" s="40" t="s">
        <v>99</v>
      </c>
      <c r="Y144" s="40" t="s">
        <v>72</v>
      </c>
      <c r="Z144" s="40" t="s">
        <v>176</v>
      </c>
      <c r="AA144" s="40" t="s">
        <v>72</v>
      </c>
      <c r="AB144" s="40" t="s">
        <v>126</v>
      </c>
      <c r="AC144" s="40" t="s">
        <v>72</v>
      </c>
      <c r="AD144" s="40" t="s">
        <v>178</v>
      </c>
      <c r="AE144" s="40" t="s">
        <v>72</v>
      </c>
      <c r="AF144" s="40" t="s">
        <v>72</v>
      </c>
      <c r="AG144" s="40" t="s">
        <v>78</v>
      </c>
      <c r="AH144" t="str">
        <f>VLOOKUP($R144,武学奇术!$A:$ZZ,25,FALSE)</f>
        <v>伞</v>
      </c>
      <c r="AI144" s="26">
        <f>VLOOKUP($R144,武学奇术!$A:$ZZ,26,FALSE)</f>
        <v>1.8084</v>
      </c>
      <c r="AJ144" s="27">
        <f>VLOOKUP($R144,武学奇术!$A:$ZZ,27,FALSE)*(1+IF(OR($AH144=$F$4,$AH144=$F$5),$B$22,0))</f>
        <v>750</v>
      </c>
      <c r="AK144" s="26">
        <f>VLOOKUP($R144,武学奇术!$A:$ZZ,28,FALSE)</f>
        <v>2.7126</v>
      </c>
      <c r="AL144" s="27">
        <f>VLOOKUP($R144,武学奇术!$A:$ZZ,29,FALSE)*(1+IF(OR($AH144=$F$4,$AH144=$F$5),$B$22,0))</f>
        <v>408</v>
      </c>
      <c r="AM144" s="26" cm="1">
        <f t="array" ref="AM144">$G$3+IFERROR(VLOOKUP($AH144,$F$4:$G$7,2,FALSE),0)+VLOOKUP($R144,武学奇术!$A:$ZZ,2,FALSE)+SUM(_xlfn.XLOOKUP($S144:$AG144,增益!$A:$A,增益!$B:$B,0))</f>
        <v>0.7741</v>
      </c>
      <c r="AN144" s="26" cm="1">
        <f t="array" ref="AN144">VLOOKUP($R144,武学奇术!$A:$ZZ,5,FALSE)+SUM(_xlfn.XLOOKUP($S144:$AG144,增益!$A:$A,增益!$E:$E,0))</f>
        <v>0</v>
      </c>
      <c r="AO144" cm="1">
        <f t="array" ref="AO144">$D$10*(1+$AN144)+VLOOKUP($R144,武学奇术!$A:$ZZ,3,FALSE)+SUM(_xlfn.XLOOKUP($S144:$AG144,增益!$A:$A,增益!$C:$C,0))-$I$2</f>
        <v>3562.6</v>
      </c>
      <c r="AP144" cm="1">
        <f t="array" ref="AP144">$E$10*(1+$AN144)+VLOOKUP($R144,武学奇术!$A:$ZZ,4,FALSE)+SUM(_xlfn.XLOOKUP($S144:$AG144,增益!$A:$A,增益!$D:$D,0))-$I$2</f>
        <v>3562.6</v>
      </c>
      <c r="AQ144" s="32" cm="1">
        <f t="array" ref="AQ144">IF($F$10-$I$3+VLOOKUP($R144,武学奇术!$A:$ZZ,6,FALSE)+SUM(_xlfn.XLOOKUP(S144:AG144,增益!$A:$A,增益!$F:$F,0))&gt;0,($F$10-$I$3+VLOOKUP($R144,武学奇术!$A:$ZZ,6,FALSE)+SUM(_xlfn.XLOOKUP(S144:AG144,增益!$A:$A,增益!$F:$F,0)))/200,($F$10-$I$3+VLOOKUP($R144,武学奇术!$A:$ZZ,6,FALSE)+SUM(_xlfn.XLOOKUP(S144:AG144,增益!$A:$A,增益!$F:$F,0)))/100)</f>
        <v>0.2925</v>
      </c>
      <c r="AR144" s="32" cm="1">
        <f t="array" ref="AR144">$G$10+VLOOKUP($R144,武学奇术!$A:$ZZ,7,FALSE)+SUM(_xlfn.XLOOKUP(S144:AG144,增益!$A:$A,增益!$G:$G,0))</f>
        <v>0.148</v>
      </c>
      <c r="AS144" s="26" cm="1">
        <f t="array" ref="AS144">VLOOKUP($R144,武学奇术!$A:$ZZ,8,FALSE)+SUM(_xlfn.XLOOKUP(S144:AG144,增益!$A:$A,增益!$H:$H,0))</f>
        <v>0</v>
      </c>
      <c r="AT144">
        <f t="shared" si="26"/>
        <v>0</v>
      </c>
      <c r="AU144">
        <f t="shared" si="27"/>
        <v>0</v>
      </c>
      <c r="AV144" s="32" cm="1">
        <f t="array" ref="AV144">IF($F$11-$I$4+VLOOKUP($R144,武学奇术!$A:$ZZ,9,FALSE)+SUM(_xlfn.XLOOKUP(S144:AG144,增益!$A:$A,增益!$I:$I,0))&gt;0,($F$11-$I$4+VLOOKUP($R144,武学奇术!$A:$ZZ,9,FALSE)+SUM(_xlfn.XLOOKUP(S144:AG144,增益!$A:$A,增益!$I:$I,0)))/200,($F$11-$I$4+VLOOKUP($R144,武学奇术!$A:$ZZ,9,FALSE)+SUM(_xlfn.XLOOKUP(S144:AG144,增益!$A:$A,增益!$I:$I,0)))/100)</f>
        <v>-0.3</v>
      </c>
      <c r="AW144" s="32" cm="1">
        <f t="array" ref="AW144">$G$11+VLOOKUP($R144,武学奇术!$A:$ZZ,10,FALSE)+SUM(_xlfn.XLOOKUP(S144:AG144,增益!$A:$A,增益!$J:$J,0))</f>
        <v>0</v>
      </c>
      <c r="AX144">
        <f t="shared" si="28"/>
        <v>0</v>
      </c>
      <c r="AY144">
        <f t="shared" si="29"/>
        <v>0</v>
      </c>
      <c r="AZ144" s="32" cm="1">
        <f t="array" ref="AZ144">IF($F$12-$I$4+VLOOKUP($R144,武学奇术!$A:$ZZ,11,FALSE)+SUM(_xlfn.XLOOKUP(S144:AG144,增益!$A:$A,增益!$K:$K,0))&gt;0,($F$12-$I$4+VLOOKUP($R144,武学奇术!$A:$ZZ,11,FALSE)+SUM(_xlfn.XLOOKUP(S144:AG144,增益!$A:$A,增益!$K:$K,0)))/200,($F$12-$I$4+VLOOKUP($R144,武学奇术!$A:$ZZ,11,FALSE)+SUM(_xlfn.XLOOKUP(S144:AG144,增益!$A:$A,增益!$K:$K,0)))/100)</f>
        <v>-0.3</v>
      </c>
      <c r="BA144" s="32" cm="1">
        <f t="array" ref="BA144">$G$12+VLOOKUP($R144,武学奇术!$A:$ZZ,12,FALSE)+SUM(_xlfn.XLOOKUP(S144:AG144,增益!$A:$A,增益!$L:$L,0))</f>
        <v>0</v>
      </c>
      <c r="BB144">
        <f t="shared" si="30"/>
        <v>0</v>
      </c>
      <c r="BC144">
        <f t="shared" si="31"/>
        <v>0</v>
      </c>
      <c r="BD144" s="32" cm="1">
        <f t="array" ref="BD144">IF($F$13-$I$4+VLOOKUP($R144,武学奇术!$A:$ZZ,13,FALSE)+SUM(_xlfn.XLOOKUP(S144:AG144,增益!$A:$A,增益!$M:$M,0))&gt;0,($F$13-$I$4+VLOOKUP($R144,武学奇术!$A:$ZZ,13,FALSE)+SUM(_xlfn.XLOOKUP(S144:AG144,增益!$A:$A,增益!$K:$K,0)))/200,($F$13-$I$4+VLOOKUP($R144,武学奇术!$A:$ZZ,13,FALSE)+SUM(_xlfn.XLOOKUP(S144:AG144,增益!$A:$A,增益!$M:$M,0)))/100)</f>
        <v>-0.3</v>
      </c>
      <c r="BE144" s="32" cm="1">
        <f t="array" ref="BE144">$G$13+VLOOKUP($R144,武学奇术!$A:$ZZ,14,FALSE)+SUM(_xlfn.XLOOKUP(S144:AG144,增益!$A:$A,增益!$N:$N,0))</f>
        <v>0</v>
      </c>
      <c r="BF144">
        <f t="shared" si="32"/>
        <v>571.2</v>
      </c>
      <c r="BG144">
        <f t="shared" si="33"/>
        <v>1627.8</v>
      </c>
      <c r="BH144" s="32" cm="1">
        <f t="array" ref="BH144">IF($F$14-$I$4+VLOOKUP($R144,武学奇术!$A:$ZZ,15,FALSE)+SUM(_xlfn.XLOOKUP(S144:AG144,增益!$A:$A,增益!$O:$O,0))&gt;0,($F$14-$I$4+VLOOKUP($R144,武学奇术!$A:$ZZ,15,FALSE)+SUM(_xlfn.XLOOKUP(S144:AG144,增益!$A:$A,增益!$O:$O,0)))/200,($F$14-$I$4+VLOOKUP($R144,武学奇术!$A:$ZZ,15,FALSE)+SUM(_xlfn.XLOOKUP(S144:AG144,增益!$A:$A,增益!$O:$O,0)))/100)</f>
        <v>0</v>
      </c>
      <c r="BI144" s="32" cm="1">
        <f t="array" ref="BI144">$G$14+VLOOKUP($R144,武学奇术!$A:$ZZ,16,FALSE)+SUM(_xlfn.XLOOKUP(S144:AG144,增益!$A:$A,增益!$P:$P,0))</f>
        <v>0.27</v>
      </c>
      <c r="BJ144" s="26">
        <f>MIN(IF(VLOOKUP($R144,武学奇术!$A:$ZZ,23,FALSE)=1,100%,$B$8),100%)</f>
        <v>0.981</v>
      </c>
      <c r="BK144" s="26" cm="1">
        <f t="array" ref="BK144">IF(VLOOKUP($R144,武学奇术!$A:$ZZ,23,FALSE)=1,100%,MIN(80%,$B$9+VLOOKUP($R144,武学奇术!$A:$ZZ,17,FALSE)+SUM(_xlfn.XLOOKUP(S144:AG144,增益!$A:$A,增益!$Q:$Q,0)))+$B$11+SUM(_xlfn.XLOOKUP(S144:AG144,增益!$A:$A,增益!$U:$U,0)))*IF(VLOOKUP($R144,武学奇术!$A:$ZZ,24,FALSE)=1,0,1)</f>
        <v>0.846</v>
      </c>
      <c r="BL144" s="26" cm="1">
        <f t="array" ref="BL144">1+$B$13+VLOOKUP($R144,武学奇术!$A:$ZZ,18,FALSE)+SUM(_xlfn.XLOOKUP(S144:AG144,增益!$A:$A,增益!$R:$R,0))</f>
        <v>2.06</v>
      </c>
      <c r="BM144" s="26" cm="1">
        <f t="array" ref="BM144">IF(VLOOKUP($R144,武学奇术!$A:$ZZ,24,FALSE)=1,100%,MIN(40%,$B$10+VLOOKUP($R144,武学奇术!$A:$ZZ,19,FALSE)+SUM(_xlfn.XLOOKUP(S144:AG144,增益!$A:$A,增益!$S:$S,0)))+$B$12+SUM(_xlfn.XLOOKUP(S144:AG144,增益!$A:$A,增益!$V:$V,0)))*IF(VLOOKUP($R144,武学奇术!$A:$ZZ,23,FALSE)=1,0,1)</f>
        <v>0.0929</v>
      </c>
      <c r="BN144" s="26" cm="1">
        <f t="array" ref="BN144">1+$B$14+VLOOKUP($R144,武学奇术!$A:$ZZ,20,FALSE)+SUM(_xlfn.XLOOKUP(S144:AG144,增益!$A:$A,增益!$T:$T,0))</f>
        <v>1.35</v>
      </c>
      <c r="BO144" s="26">
        <f t="shared" si="34"/>
        <v>0.829926</v>
      </c>
      <c r="BP144" s="26">
        <f t="shared" si="35"/>
        <v>0.0599391</v>
      </c>
      <c r="BQ144" s="26">
        <f>IF(VLOOKUP($R144,武学奇术!$A:$ZZ,22,FALSE)=1,0,(1-$BJ144))*(1-$BM144)</f>
        <v>0.0172349</v>
      </c>
      <c r="BR144" s="26" cm="1">
        <f t="array" ref="BR144">SUM(_xlfn.XLOOKUP(S144:AG144,增益!$A:$A,增益!$W:$W,0))+$I$5</f>
        <v>0.21</v>
      </c>
    </row>
    <row r="145" spans="11:70">
      <c r="K145">
        <f>$L145*VLOOKUP($R145,武学奇术!$A:$ZZ,31,FALSE)</f>
        <v>50853.1509595156</v>
      </c>
      <c r="L145" s="38">
        <f t="shared" si="25"/>
        <v>48431.5723423958</v>
      </c>
      <c r="M145" s="38">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BL145*$Q145*(1+IF(VLOOKUP($R145,武学奇术!$A:$ZZ,30,FALSE)="回旋伞",$B$21,0))*(1+$BR145)</f>
        <v>51774.6112699951</v>
      </c>
      <c r="N145" s="38">
        <f>(($AP145*$AI145+$AJ145)*(1+$AQ145)*(1+$AR145)+($AU145*IF($G$1="鸣金",$AK145,$AI145)+IF($G$1="鸣金",$AL145*1.5,0))*(1+$AV145)*(1+$AW145)+($AY145*IF($G$1="裂石",$AK145,$AI145)+IF($G$1="裂石",$AL145*1.5,0))*(1+$AZ145)*(1+$BA145)+($BC145*IF($G$1="牵丝",$AK145,$AI145)+IF($G$1="牵丝",$AL145*1.5,0))*(1+$BD145)*(1+$BE145)+($BG145*IF($G$1="破竹",$AK145,$AI145)+IF($G$1="破竹",$AL145*1.5,0))*(1+$BH145)*(1+$BI145))*(1+$AM145)*$BN145*$Q145*(1+IF(VLOOKUP($R145,武学奇术!$A:$ZZ,30,FALSE)="回旋伞",$B$21,0))*(1+$BR145)</f>
        <v>38556.5595544629</v>
      </c>
      <c r="O145" s="38">
        <f>((($AO145+$AP145)/2*$AI145+$AJ145)*(1+$AQ145)*(1+$AR145)+(($AT145+$AU145)/2*IF($G$1="鸣金",$AK145,$AI145)+IF($G$1="鸣金",$AL145*1.5,0))*(1+$AV145)*(1+$AW145)+(($AX145+$AY145)/2*IF($G$1="裂石",$AK145,$AI145)+IF($G$1="裂石",$AL145*1.5,0))*(1+$AZ145)*(1+$BA145)+(($BB145+$BC145)/2*IF($G$1="牵丝",$AK145,$AI145)+IF($G$1="牵丝",$AL145*1.5,0))*(1+$BD145)*(1+$BE145)+(($BF145+$BG145)/2*IF($G$1="破竹",$AK145,$AI145)+IF($G$1="破竹",$AL145*1.5,0))*(1+$BH145)*(1+$BI145))*(1+$AM145)*$Q145*(1+IF(VLOOKUP($R145,武学奇术!$A:$ZZ,30,FALSE)="回旋伞",$B$21,0))*(1+$BR145)</f>
        <v>25133.3064417452</v>
      </c>
      <c r="P145" s="38">
        <f>((($AO145*$AI145+$AJ145)*(1+$AQ145)*(1+$AR145)+($AT145*IF($G$1="鸣金",$AK145,$AI145)+IF($G$1="鸣金",$AL145*1.5,0))*(1+$AV145)*(1+$AW145)+($AX145*IF($G$1="裂石",$AK145,$AI145)+IF($G$1="裂石",$AL145*1.5,0))*(1+$AZ145)*(1+$BA145)+($BB145*IF($G$1="牵丝",$AK145,$AI145)+IF($G$1="牵丝",$AL145*1.5,0))*(1+$BD145)*(1+$BE145)+($BF145*IF($G$1="破竹",$AK145,$AI145)+IF($G$1="破竹",$AL145*1.5,0))*(1+$BH145)*(1+$BI145))*(1+$AM145))*$Q145*(1+IF(VLOOKUP($R145,武学奇术!$A:$ZZ,30,FALSE)="回旋伞",$B$21,0))*(1+$BR145)</f>
        <v>21706.1983987031</v>
      </c>
      <c r="Q145" s="39">
        <v>2</v>
      </c>
      <c r="R145" s="40" t="s">
        <v>112</v>
      </c>
      <c r="S145" s="40" t="s">
        <v>109</v>
      </c>
      <c r="T145" s="40" t="s">
        <v>95</v>
      </c>
      <c r="U145" s="40" t="s">
        <v>73</v>
      </c>
      <c r="V145" s="40" t="s">
        <v>81</v>
      </c>
      <c r="W145" s="40" t="s">
        <v>172</v>
      </c>
      <c r="X145" s="40" t="s">
        <v>99</v>
      </c>
      <c r="Y145" s="40" t="s">
        <v>72</v>
      </c>
      <c r="Z145" s="40" t="s">
        <v>176</v>
      </c>
      <c r="AA145" s="40" t="s">
        <v>72</v>
      </c>
      <c r="AB145" s="40" t="s">
        <v>126</v>
      </c>
      <c r="AC145" s="40" t="s">
        <v>72</v>
      </c>
      <c r="AD145" s="40" t="s">
        <v>178</v>
      </c>
      <c r="AE145" s="40" t="s">
        <v>72</v>
      </c>
      <c r="AF145" s="40" t="s">
        <v>72</v>
      </c>
      <c r="AG145" s="40" t="s">
        <v>78</v>
      </c>
      <c r="AH145" t="str">
        <f>VLOOKUP($R145,武学奇术!$A:$ZZ,25,FALSE)</f>
        <v>伞</v>
      </c>
      <c r="AI145" s="26">
        <f>VLOOKUP($R145,武学奇术!$A:$ZZ,26,FALSE)</f>
        <v>0.54</v>
      </c>
      <c r="AJ145" s="27">
        <f>VLOOKUP($R145,武学奇术!$A:$ZZ,27,FALSE)*(1+IF(OR($AH145=$F$4,$AH145=$F$5),$B$22,0))</f>
        <v>0</v>
      </c>
      <c r="AK145" s="26">
        <f>VLOOKUP($R145,武学奇术!$A:$ZZ,28,FALSE)</f>
        <v>0.81</v>
      </c>
      <c r="AL145" s="27">
        <f>VLOOKUP($R145,武学奇术!$A:$ZZ,29,FALSE)*(1+IF(OR($AH145=$F$4,$AH145=$F$5),$B$22,0))</f>
        <v>0</v>
      </c>
      <c r="AM145" s="26" cm="1">
        <f t="array" ref="AM145">$G$3+IFERROR(VLOOKUP($AH145,$F$4:$G$7,2,FALSE),0)+VLOOKUP($R145,武学奇术!$A:$ZZ,2,FALSE)+SUM(_xlfn.XLOOKUP($S145:$AG145,增益!$A:$A,增益!$B:$B,0))</f>
        <v>0.9741</v>
      </c>
      <c r="AN145" s="26" cm="1">
        <f t="array" ref="AN145">VLOOKUP($R145,武学奇术!$A:$ZZ,5,FALSE)+SUM(_xlfn.XLOOKUP($S145:$AG145,增益!$A:$A,增益!$E:$E,0))</f>
        <v>0</v>
      </c>
      <c r="AO145" cm="1">
        <f t="array" ref="AO145">$D$10*(1+$AN145)+VLOOKUP($R145,武学奇术!$A:$ZZ,3,FALSE)+SUM(_xlfn.XLOOKUP($S145:$AG145,增益!$A:$A,增益!$C:$C,0))-$I$2</f>
        <v>3562.6</v>
      </c>
      <c r="AP145" cm="1">
        <f t="array" ref="AP145">$E$10*(1+$AN145)+VLOOKUP($R145,武学奇术!$A:$ZZ,4,FALSE)+SUM(_xlfn.XLOOKUP($S145:$AG145,增益!$A:$A,增益!$D:$D,0))-$I$2</f>
        <v>3562.6</v>
      </c>
      <c r="AQ145" s="32" cm="1">
        <f t="array" ref="AQ145">IF($F$10-$I$3+VLOOKUP($R145,武学奇术!$A:$ZZ,6,FALSE)+SUM(_xlfn.XLOOKUP(S145:AG145,增益!$A:$A,增益!$F:$F,0))&gt;0,($F$10-$I$3+VLOOKUP($R145,武学奇术!$A:$ZZ,6,FALSE)+SUM(_xlfn.XLOOKUP(S145:AG145,增益!$A:$A,增益!$F:$F,0)))/200,($F$10-$I$3+VLOOKUP($R145,武学奇术!$A:$ZZ,6,FALSE)+SUM(_xlfn.XLOOKUP(S145:AG145,增益!$A:$A,增益!$F:$F,0)))/100)</f>
        <v>0.2925</v>
      </c>
      <c r="AR145" s="32" cm="1">
        <f t="array" ref="AR145">$G$10+VLOOKUP($R145,武学奇术!$A:$ZZ,7,FALSE)+SUM(_xlfn.XLOOKUP(S145:AG145,增益!$A:$A,增益!$G:$G,0))</f>
        <v>0.148</v>
      </c>
      <c r="AS145" s="26" cm="1">
        <f t="array" ref="AS145">VLOOKUP($R145,武学奇术!$A:$ZZ,8,FALSE)+SUM(_xlfn.XLOOKUP(S145:AG145,增益!$A:$A,增益!$H:$H,0))</f>
        <v>0</v>
      </c>
      <c r="AT145">
        <f t="shared" si="26"/>
        <v>0</v>
      </c>
      <c r="AU145">
        <f t="shared" si="27"/>
        <v>0</v>
      </c>
      <c r="AV145" s="32" cm="1">
        <f t="array" ref="AV145">IF($F$11-$I$4+VLOOKUP($R145,武学奇术!$A:$ZZ,9,FALSE)+SUM(_xlfn.XLOOKUP(S145:AG145,增益!$A:$A,增益!$I:$I,0))&gt;0,($F$11-$I$4+VLOOKUP($R145,武学奇术!$A:$ZZ,9,FALSE)+SUM(_xlfn.XLOOKUP(S145:AG145,增益!$A:$A,增益!$I:$I,0)))/200,($F$11-$I$4+VLOOKUP($R145,武学奇术!$A:$ZZ,9,FALSE)+SUM(_xlfn.XLOOKUP(S145:AG145,增益!$A:$A,增益!$I:$I,0)))/100)</f>
        <v>-0.3</v>
      </c>
      <c r="AW145" s="32" cm="1">
        <f t="array" ref="AW145">$G$11+VLOOKUP($R145,武学奇术!$A:$ZZ,10,FALSE)+SUM(_xlfn.XLOOKUP(S145:AG145,增益!$A:$A,增益!$J:$J,0))</f>
        <v>0</v>
      </c>
      <c r="AX145">
        <f t="shared" si="28"/>
        <v>0</v>
      </c>
      <c r="AY145">
        <f t="shared" si="29"/>
        <v>0</v>
      </c>
      <c r="AZ145" s="32" cm="1">
        <f t="array" ref="AZ145">IF($F$12-$I$4+VLOOKUP($R145,武学奇术!$A:$ZZ,11,FALSE)+SUM(_xlfn.XLOOKUP(S145:AG145,增益!$A:$A,增益!$K:$K,0))&gt;0,($F$12-$I$4+VLOOKUP($R145,武学奇术!$A:$ZZ,11,FALSE)+SUM(_xlfn.XLOOKUP(S145:AG145,增益!$A:$A,增益!$K:$K,0)))/200,($F$12-$I$4+VLOOKUP($R145,武学奇术!$A:$ZZ,11,FALSE)+SUM(_xlfn.XLOOKUP(S145:AG145,增益!$A:$A,增益!$K:$K,0)))/100)</f>
        <v>-0.3</v>
      </c>
      <c r="BA145" s="32" cm="1">
        <f t="array" ref="BA145">$G$12+VLOOKUP($R145,武学奇术!$A:$ZZ,12,FALSE)+SUM(_xlfn.XLOOKUP(S145:AG145,增益!$A:$A,增益!$L:$L,0))</f>
        <v>0</v>
      </c>
      <c r="BB145">
        <f t="shared" si="30"/>
        <v>0</v>
      </c>
      <c r="BC145">
        <f t="shared" si="31"/>
        <v>0</v>
      </c>
      <c r="BD145" s="32" cm="1">
        <f t="array" ref="BD145">IF($F$13-$I$4+VLOOKUP($R145,武学奇术!$A:$ZZ,13,FALSE)+SUM(_xlfn.XLOOKUP(S145:AG145,增益!$A:$A,增益!$M:$M,0))&gt;0,($F$13-$I$4+VLOOKUP($R145,武学奇术!$A:$ZZ,13,FALSE)+SUM(_xlfn.XLOOKUP(S145:AG145,增益!$A:$A,增益!$K:$K,0)))/200,($F$13-$I$4+VLOOKUP($R145,武学奇术!$A:$ZZ,13,FALSE)+SUM(_xlfn.XLOOKUP(S145:AG145,增益!$A:$A,增益!$M:$M,0)))/100)</f>
        <v>-0.3</v>
      </c>
      <c r="BE145" s="32" cm="1">
        <f t="array" ref="BE145">$G$13+VLOOKUP($R145,武学奇术!$A:$ZZ,14,FALSE)+SUM(_xlfn.XLOOKUP(S145:AG145,增益!$A:$A,增益!$N:$N,0))</f>
        <v>0</v>
      </c>
      <c r="BF145">
        <f t="shared" si="32"/>
        <v>571.2</v>
      </c>
      <c r="BG145">
        <f t="shared" si="33"/>
        <v>1627.8</v>
      </c>
      <c r="BH145" s="32" cm="1">
        <f t="array" ref="BH145">IF($F$14-$I$4+VLOOKUP($R145,武学奇术!$A:$ZZ,15,FALSE)+SUM(_xlfn.XLOOKUP(S145:AG145,增益!$A:$A,增益!$O:$O,0))&gt;0,($F$14-$I$4+VLOOKUP($R145,武学奇术!$A:$ZZ,15,FALSE)+SUM(_xlfn.XLOOKUP(S145:AG145,增益!$A:$A,增益!$O:$O,0)))/200,($F$14-$I$4+VLOOKUP($R145,武学奇术!$A:$ZZ,15,FALSE)+SUM(_xlfn.XLOOKUP(S145:AG145,增益!$A:$A,增益!$O:$O,0)))/100)</f>
        <v>0</v>
      </c>
      <c r="BI145" s="32" cm="1">
        <f t="array" ref="BI145">$G$14+VLOOKUP($R145,武学奇术!$A:$ZZ,16,FALSE)+SUM(_xlfn.XLOOKUP(S145:AG145,增益!$A:$A,增益!$P:$P,0))</f>
        <v>0.27</v>
      </c>
      <c r="BJ145" s="26">
        <f>MIN(IF(VLOOKUP($R145,武学奇术!$A:$ZZ,23,FALSE)=1,100%,$B$8),100%)</f>
        <v>0.981</v>
      </c>
      <c r="BK145" s="26" cm="1">
        <f t="array" ref="BK145">IF(VLOOKUP($R145,武学奇术!$A:$ZZ,23,FALSE)=1,100%,MIN(80%,$B$9+VLOOKUP($R145,武学奇术!$A:$ZZ,17,FALSE)+SUM(_xlfn.XLOOKUP(S145:AG145,增益!$A:$A,增益!$Q:$Q,0)))+$B$11+SUM(_xlfn.XLOOKUP(S145:AG145,增益!$A:$A,增益!$U:$U,0)))*IF(VLOOKUP($R145,武学奇术!$A:$ZZ,24,FALSE)=1,0,1)</f>
        <v>0.846</v>
      </c>
      <c r="BL145" s="26" cm="1">
        <f t="array" ref="BL145">1+$B$13+VLOOKUP($R145,武学奇术!$A:$ZZ,18,FALSE)+SUM(_xlfn.XLOOKUP(S145:AG145,增益!$A:$A,增益!$R:$R,0))</f>
        <v>2.06</v>
      </c>
      <c r="BM145" s="26" cm="1">
        <f t="array" ref="BM145">IF(VLOOKUP($R145,武学奇术!$A:$ZZ,24,FALSE)=1,100%,MIN(40%,$B$10+VLOOKUP($R145,武学奇术!$A:$ZZ,19,FALSE)+SUM(_xlfn.XLOOKUP(S145:AG145,增益!$A:$A,增益!$S:$S,0)))+$B$12+SUM(_xlfn.XLOOKUP(S145:AG145,增益!$A:$A,增益!$V:$V,0)))*IF(VLOOKUP($R145,武学奇术!$A:$ZZ,23,FALSE)=1,0,1)</f>
        <v>0.0929</v>
      </c>
      <c r="BN145" s="26" cm="1">
        <f t="array" ref="BN145">1+$B$14+VLOOKUP($R145,武学奇术!$A:$ZZ,20,FALSE)+SUM(_xlfn.XLOOKUP(S145:AG145,增益!$A:$A,增益!$T:$T,0))</f>
        <v>1.35</v>
      </c>
      <c r="BO145" s="26">
        <f t="shared" si="34"/>
        <v>0.829926</v>
      </c>
      <c r="BP145" s="26">
        <f t="shared" si="35"/>
        <v>0.0599391</v>
      </c>
      <c r="BQ145" s="26">
        <f>IF(VLOOKUP($R145,武学奇术!$A:$ZZ,22,FALSE)=1,0,(1-$BJ145))*(1-$BM145)</f>
        <v>0.0172349</v>
      </c>
      <c r="BR145" s="26" cm="1">
        <f t="array" ref="BR145">SUM(_xlfn.XLOOKUP(S145:AG145,增益!$A:$A,增益!$W:$W,0))+$I$5</f>
        <v>0.21</v>
      </c>
    </row>
    <row r="146" spans="11:70">
      <c r="K146">
        <f>$L146*VLOOKUP($R146,武学奇术!$A:$ZZ,31,FALSE)</f>
        <v>103918.776019337</v>
      </c>
      <c r="L146" s="38">
        <f t="shared" si="25"/>
        <v>98970.2628755588</v>
      </c>
      <c r="M146" s="38">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BL146*$Q146*(1+IF(VLOOKUP($R146,武学奇术!$A:$ZZ,30,FALSE)="回旋伞",$B$21,0))*(1+$BR146)</f>
        <v>98970.2628755588</v>
      </c>
      <c r="N146" s="38">
        <f>(($AP146*$AI146+$AJ146)*(1+$AQ146)*(1+$AR146)+($AU146*IF($G$1="鸣金",$AK146,$AI146)+IF($G$1="鸣金",$AL146*1.5,0))*(1+$AV146)*(1+$AW146)+($AY146*IF($G$1="裂石",$AK146,$AI146)+IF($G$1="裂石",$AL146*1.5,0))*(1+$AZ146)*(1+$BA146)+($BC146*IF($G$1="牵丝",$AK146,$AI146)+IF($G$1="牵丝",$AL146*1.5,0))*(1+$BD146)*(1+$BE146)+($BG146*IF($G$1="破竹",$AK146,$AI146)+IF($G$1="破竹",$AL146*1.5,0))*(1+$BH146)*(1+$BI146))*(1+$AM146)*$BN146*$Q146*(1+IF(VLOOKUP($R146,武学奇术!$A:$ZZ,30,FALSE)="回旋伞",$B$21,0))*(1+$BR146)</f>
        <v>72606.1305866387</v>
      </c>
      <c r="O146" s="38">
        <f>((($AO146+$AP146)/2*$AI146+$AJ146)*(1+$AQ146)*(1+$AR146)+(($AT146+$AU146)/2*IF($G$1="鸣金",$AK146,$AI146)+IF($G$1="鸣金",$AL146*1.5,0))*(1+$AV146)*(1+$AW146)+(($AX146+$AY146)/2*IF($G$1="裂石",$AK146,$AI146)+IF($G$1="裂石",$AL146*1.5,0))*(1+$AZ146)*(1+$BA146)+(($BB146+$BC146)/2*IF($G$1="牵丝",$AK146,$AI146)+IF($G$1="牵丝",$AL146*1.5,0))*(1+$BD146)*(1+$BE146)+(($BF146+$BG146)/2*IF($G$1="破竹",$AK146,$AI146)+IF($G$1="破竹",$AL146*1.5,0))*(1+$BH146)*(1+$BI146))*(1+$AM146)*$Q146*(1+IF(VLOOKUP($R146,武学奇术!$A:$ZZ,30,FALSE)="回旋伞",$B$21,0))*(1+$BR146)</f>
        <v>48043.8169298829</v>
      </c>
      <c r="P146" s="38">
        <f>((($AO146*$AI146+$AJ146)*(1+$AQ146)*(1+$AR146)+($AT146*IF($G$1="鸣金",$AK146,$AI146)+IF($G$1="鸣金",$AL146*1.5,0))*(1+$AV146)*(1+$AW146)+($AX146*IF($G$1="裂石",$AK146,$AI146)+IF($G$1="裂石",$AL146*1.5,0))*(1+$AZ146)*(1+$BA146)+($BB146*IF($G$1="牵丝",$AK146,$AI146)+IF($G$1="牵丝",$AL146*1.5,0))*(1+$BD146)*(1+$BE146)+($BF146*IF($G$1="破竹",$AK146,$AI146)+IF($G$1="破竹",$AL146*1.5,0))*(1+$BH146)*(1+$BI146))*(1+$AM146))*$Q146*(1+IF(VLOOKUP($R146,武学奇术!$A:$ZZ,30,FALSE)="回旋伞",$B$21,0))*(1+$BR146)</f>
        <v>42305.3149067001</v>
      </c>
      <c r="Q146" s="39">
        <v>1</v>
      </c>
      <c r="R146" s="40" t="s">
        <v>125</v>
      </c>
      <c r="S146" s="40" t="s">
        <v>109</v>
      </c>
      <c r="T146" s="40" t="s">
        <v>95</v>
      </c>
      <c r="U146" s="40" t="s">
        <v>73</v>
      </c>
      <c r="V146" s="40" t="s">
        <v>81</v>
      </c>
      <c r="W146" s="40" t="s">
        <v>172</v>
      </c>
      <c r="X146" s="40" t="s">
        <v>99</v>
      </c>
      <c r="Y146" s="40" t="s">
        <v>72</v>
      </c>
      <c r="Z146" s="40" t="s">
        <v>176</v>
      </c>
      <c r="AA146" s="40" t="s">
        <v>72</v>
      </c>
      <c r="AB146" s="40" t="s">
        <v>126</v>
      </c>
      <c r="AC146" s="40" t="s">
        <v>72</v>
      </c>
      <c r="AD146" s="40" t="s">
        <v>178</v>
      </c>
      <c r="AE146" s="40" t="s">
        <v>72</v>
      </c>
      <c r="AF146" s="40" t="s">
        <v>72</v>
      </c>
      <c r="AG146" s="40" t="s">
        <v>78</v>
      </c>
      <c r="AH146" t="str">
        <f>VLOOKUP($R146,武学奇术!$A:$ZZ,25,FALSE)</f>
        <v>伞</v>
      </c>
      <c r="AI146" s="26">
        <f>VLOOKUP($R146,武学奇术!$A:$ZZ,26,FALSE)</f>
        <v>1.8084</v>
      </c>
      <c r="AJ146" s="27">
        <f>VLOOKUP($R146,武学奇术!$A:$ZZ,27,FALSE)*(1+IF(OR($AH146=$F$4,$AH146=$F$5),$B$22,0))</f>
        <v>750</v>
      </c>
      <c r="AK146" s="26">
        <f>VLOOKUP($R146,武学奇术!$A:$ZZ,28,FALSE)</f>
        <v>2.7126</v>
      </c>
      <c r="AL146" s="27">
        <f>VLOOKUP($R146,武学奇术!$A:$ZZ,29,FALSE)*(1+IF(OR($AH146=$F$4,$AH146=$F$5),$B$22,0))</f>
        <v>408</v>
      </c>
      <c r="AM146" s="26" cm="1">
        <f t="array" ref="AM146">$G$3+IFERROR(VLOOKUP($AH146,$F$4:$G$7,2,FALSE),0)+VLOOKUP($R146,武学奇术!$A:$ZZ,2,FALSE)+SUM(_xlfn.XLOOKUP($S146:$AG146,增益!$A:$A,增益!$B:$B,0))</f>
        <v>0.9741</v>
      </c>
      <c r="AN146" s="26" cm="1">
        <f t="array" ref="AN146">VLOOKUP($R146,武学奇术!$A:$ZZ,5,FALSE)+SUM(_xlfn.XLOOKUP($S146:$AG146,增益!$A:$A,增益!$E:$E,0))</f>
        <v>0</v>
      </c>
      <c r="AO146" cm="1">
        <f t="array" ref="AO146">$D$10*(1+$AN146)+VLOOKUP($R146,武学奇术!$A:$ZZ,3,FALSE)+SUM(_xlfn.XLOOKUP($S146:$AG146,增益!$A:$A,增益!$C:$C,0))-$I$2</f>
        <v>3562.6</v>
      </c>
      <c r="AP146" cm="1">
        <f t="array" ref="AP146">$E$10*(1+$AN146)+VLOOKUP($R146,武学奇术!$A:$ZZ,4,FALSE)+SUM(_xlfn.XLOOKUP($S146:$AG146,增益!$A:$A,增益!$D:$D,0))-$I$2</f>
        <v>3562.6</v>
      </c>
      <c r="AQ146" s="32" cm="1">
        <f t="array" ref="AQ146">IF($F$10-$I$3+VLOOKUP($R146,武学奇术!$A:$ZZ,6,FALSE)+SUM(_xlfn.XLOOKUP(S146:AG146,增益!$A:$A,增益!$F:$F,0))&gt;0,($F$10-$I$3+VLOOKUP($R146,武学奇术!$A:$ZZ,6,FALSE)+SUM(_xlfn.XLOOKUP(S146:AG146,增益!$A:$A,增益!$F:$F,0)))/200,($F$10-$I$3+VLOOKUP($R146,武学奇术!$A:$ZZ,6,FALSE)+SUM(_xlfn.XLOOKUP(S146:AG146,增益!$A:$A,增益!$F:$F,0)))/100)</f>
        <v>0.2925</v>
      </c>
      <c r="AR146" s="32" cm="1">
        <f t="array" ref="AR146">$G$10+VLOOKUP($R146,武学奇术!$A:$ZZ,7,FALSE)+SUM(_xlfn.XLOOKUP(S146:AG146,增益!$A:$A,增益!$G:$G,0))</f>
        <v>0.148</v>
      </c>
      <c r="AS146" s="26" cm="1">
        <f t="array" ref="AS146">VLOOKUP($R146,武学奇术!$A:$ZZ,8,FALSE)+SUM(_xlfn.XLOOKUP(S146:AG146,增益!$A:$A,增益!$H:$H,0))</f>
        <v>0</v>
      </c>
      <c r="AT146">
        <f t="shared" si="26"/>
        <v>0</v>
      </c>
      <c r="AU146">
        <f t="shared" si="27"/>
        <v>0</v>
      </c>
      <c r="AV146" s="32" cm="1">
        <f t="array" ref="AV146">IF($F$11-$I$4+VLOOKUP($R146,武学奇术!$A:$ZZ,9,FALSE)+SUM(_xlfn.XLOOKUP(S146:AG146,增益!$A:$A,增益!$I:$I,0))&gt;0,($F$11-$I$4+VLOOKUP($R146,武学奇术!$A:$ZZ,9,FALSE)+SUM(_xlfn.XLOOKUP(S146:AG146,增益!$A:$A,增益!$I:$I,0)))/200,($F$11-$I$4+VLOOKUP($R146,武学奇术!$A:$ZZ,9,FALSE)+SUM(_xlfn.XLOOKUP(S146:AG146,增益!$A:$A,增益!$I:$I,0)))/100)</f>
        <v>-0.3</v>
      </c>
      <c r="AW146" s="32" cm="1">
        <f t="array" ref="AW146">$G$11+VLOOKUP($R146,武学奇术!$A:$ZZ,10,FALSE)+SUM(_xlfn.XLOOKUP(S146:AG146,增益!$A:$A,增益!$J:$J,0))</f>
        <v>0</v>
      </c>
      <c r="AX146">
        <f t="shared" si="28"/>
        <v>0</v>
      </c>
      <c r="AY146">
        <f t="shared" si="29"/>
        <v>0</v>
      </c>
      <c r="AZ146" s="32" cm="1">
        <f t="array" ref="AZ146">IF($F$12-$I$4+VLOOKUP($R146,武学奇术!$A:$ZZ,11,FALSE)+SUM(_xlfn.XLOOKUP(S146:AG146,增益!$A:$A,增益!$K:$K,0))&gt;0,($F$12-$I$4+VLOOKUP($R146,武学奇术!$A:$ZZ,11,FALSE)+SUM(_xlfn.XLOOKUP(S146:AG146,增益!$A:$A,增益!$K:$K,0)))/200,($F$12-$I$4+VLOOKUP($R146,武学奇术!$A:$ZZ,11,FALSE)+SUM(_xlfn.XLOOKUP(S146:AG146,增益!$A:$A,增益!$K:$K,0)))/100)</f>
        <v>-0.3</v>
      </c>
      <c r="BA146" s="32" cm="1">
        <f t="array" ref="BA146">$G$12+VLOOKUP($R146,武学奇术!$A:$ZZ,12,FALSE)+SUM(_xlfn.XLOOKUP(S146:AG146,增益!$A:$A,增益!$L:$L,0))</f>
        <v>0</v>
      </c>
      <c r="BB146">
        <f t="shared" si="30"/>
        <v>0</v>
      </c>
      <c r="BC146">
        <f t="shared" si="31"/>
        <v>0</v>
      </c>
      <c r="BD146" s="32" cm="1">
        <f t="array" ref="BD146">IF($F$13-$I$4+VLOOKUP($R146,武学奇术!$A:$ZZ,13,FALSE)+SUM(_xlfn.XLOOKUP(S146:AG146,增益!$A:$A,增益!$M:$M,0))&gt;0,($F$13-$I$4+VLOOKUP($R146,武学奇术!$A:$ZZ,13,FALSE)+SUM(_xlfn.XLOOKUP(S146:AG146,增益!$A:$A,增益!$K:$K,0)))/200,($F$13-$I$4+VLOOKUP($R146,武学奇术!$A:$ZZ,13,FALSE)+SUM(_xlfn.XLOOKUP(S146:AG146,增益!$A:$A,增益!$M:$M,0)))/100)</f>
        <v>-0.3</v>
      </c>
      <c r="BE146" s="32" cm="1">
        <f t="array" ref="BE146">$G$13+VLOOKUP($R146,武学奇术!$A:$ZZ,14,FALSE)+SUM(_xlfn.XLOOKUP(S146:AG146,增益!$A:$A,增益!$N:$N,0))</f>
        <v>0</v>
      </c>
      <c r="BF146">
        <f t="shared" si="32"/>
        <v>571.2</v>
      </c>
      <c r="BG146">
        <f t="shared" si="33"/>
        <v>1627.8</v>
      </c>
      <c r="BH146" s="32" cm="1">
        <f t="array" ref="BH146">IF($F$14-$I$4+VLOOKUP($R146,武学奇术!$A:$ZZ,15,FALSE)+SUM(_xlfn.XLOOKUP(S146:AG146,增益!$A:$A,增益!$O:$O,0))&gt;0,($F$14-$I$4+VLOOKUP($R146,武学奇术!$A:$ZZ,15,FALSE)+SUM(_xlfn.XLOOKUP(S146:AG146,增益!$A:$A,增益!$O:$O,0)))/200,($F$14-$I$4+VLOOKUP($R146,武学奇术!$A:$ZZ,15,FALSE)+SUM(_xlfn.XLOOKUP(S146:AG146,增益!$A:$A,增益!$O:$O,0)))/100)</f>
        <v>0</v>
      </c>
      <c r="BI146" s="32" cm="1">
        <f t="array" ref="BI146">$G$14+VLOOKUP($R146,武学奇术!$A:$ZZ,16,FALSE)+SUM(_xlfn.XLOOKUP(S146:AG146,增益!$A:$A,增益!$P:$P,0))</f>
        <v>0.27</v>
      </c>
      <c r="BJ146" s="26">
        <f>MIN(IF(VLOOKUP($R146,武学奇术!$A:$ZZ,23,FALSE)=1,100%,$B$8),100%)</f>
        <v>1</v>
      </c>
      <c r="BK146" s="26" cm="1">
        <f t="array" ref="BK146">IF(VLOOKUP($R146,武学奇术!$A:$ZZ,23,FALSE)=1,100%,MIN(80%,$B$9+VLOOKUP($R146,武学奇术!$A:$ZZ,17,FALSE)+SUM(_xlfn.XLOOKUP(S146:AG146,增益!$A:$A,增益!$Q:$Q,0)))+$B$11+SUM(_xlfn.XLOOKUP(S146:AG146,增益!$A:$A,增益!$U:$U,0)))*IF(VLOOKUP($R146,武学奇术!$A:$ZZ,24,FALSE)=1,0,1)</f>
        <v>1</v>
      </c>
      <c r="BL146" s="26" cm="1">
        <f t="array" ref="BL146">1+$B$13+VLOOKUP($R146,武学奇术!$A:$ZZ,18,FALSE)+SUM(_xlfn.XLOOKUP(S146:AG146,增益!$A:$A,增益!$R:$R,0))</f>
        <v>2.06</v>
      </c>
      <c r="BM146" s="26" cm="1">
        <f t="array" ref="BM146">IF(VLOOKUP($R146,武学奇术!$A:$ZZ,24,FALSE)=1,100%,MIN(40%,$B$10+VLOOKUP($R146,武学奇术!$A:$ZZ,19,FALSE)+SUM(_xlfn.XLOOKUP(S146:AG146,增益!$A:$A,增益!$S:$S,0)))+$B$12+SUM(_xlfn.XLOOKUP(S146:AG146,增益!$A:$A,增益!$V:$V,0)))*IF(VLOOKUP($R146,武学奇术!$A:$ZZ,23,FALSE)=1,0,1)</f>
        <v>0</v>
      </c>
      <c r="BN146" s="26" cm="1">
        <f t="array" ref="BN146">1+$B$14+VLOOKUP($R146,武学奇术!$A:$ZZ,20,FALSE)+SUM(_xlfn.XLOOKUP(S146:AG146,增益!$A:$A,增益!$T:$T,0))</f>
        <v>1.35</v>
      </c>
      <c r="BO146" s="26">
        <f t="shared" si="34"/>
        <v>1</v>
      </c>
      <c r="BP146" s="26">
        <f t="shared" si="35"/>
        <v>0</v>
      </c>
      <c r="BQ146" s="26">
        <f>IF(VLOOKUP($R146,武学奇术!$A:$ZZ,22,FALSE)=1,0,(1-$BJ146))*(1-$BM146)</f>
        <v>0</v>
      </c>
      <c r="BR146" s="26" cm="1">
        <f t="array" ref="BR146">SUM(_xlfn.XLOOKUP(S146:AG146,增益!$A:$A,增益!$W:$W,0))+$I$5</f>
        <v>0.21</v>
      </c>
    </row>
    <row r="147" spans="11:70">
      <c r="K147">
        <f>$L147*VLOOKUP($R147,武学奇术!$A:$ZZ,31,FALSE)</f>
        <v>59871.0001925947</v>
      </c>
      <c r="L147" s="38">
        <f t="shared" si="25"/>
        <v>57020.0001834235</v>
      </c>
      <c r="M147" s="38">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BL147*$Q147*(1+IF(VLOOKUP($R147,武学奇术!$A:$ZZ,30,FALSE)="回旋伞",$B$21,0))*(1+$BR147)</f>
        <v>57020.0001834235</v>
      </c>
      <c r="N147" s="38">
        <f>(($AP147*$AI147+$AJ147)*(1+$AQ147)*(1+$AR147)+($AU147*IF($G$1="鸣金",$AK147,$AI147)+IF($G$1="鸣金",$AL147*1.5,0))*(1+$AV147)*(1+$AW147)+($AY147*IF($G$1="裂石",$AK147,$AI147)+IF($G$1="裂石",$AL147*1.5,0))*(1+$AZ147)*(1+$BA147)+($BC147*IF($G$1="牵丝",$AK147,$AI147)+IF($G$1="牵丝",$AL147*1.5,0))*(1+$BD147)*(1+$BE147)+($BG147*IF($G$1="破竹",$AK147,$AI147)+IF($G$1="破竹",$AL147*1.5,0))*(1+$BH147)*(1+$BI147))*(1+$AM147)*$BN147*$Q147*(1+IF(VLOOKUP($R147,武学奇术!$A:$ZZ,30,FALSE)="回旋伞",$B$21,0))*(1+$BR147)</f>
        <v>42462.8013410454</v>
      </c>
      <c r="O147" s="38">
        <f>((($AO147+$AP147)/2*$AI147+$AJ147)*(1+$AQ147)*(1+$AR147)+(($AT147+$AU147)/2*IF($G$1="鸣金",$AK147,$AI147)+IF($G$1="鸣金",$AL147*1.5,0))*(1+$AV147)*(1+$AW147)+(($AX147+$AY147)/2*IF($G$1="裂石",$AK147,$AI147)+IF($G$1="裂石",$AL147*1.5,0))*(1+$AZ147)*(1+$BA147)+(($BB147+$BC147)/2*IF($G$1="牵丝",$AK147,$AI147)+IF($G$1="牵丝",$AL147*1.5,0))*(1+$BD147)*(1+$BE147)+(($BF147+$BG147)/2*IF($G$1="破竹",$AK147,$AI147)+IF($G$1="破竹",$AL147*1.5,0))*(1+$BH147)*(1+$BI147))*(1+$AM147)*$Q147*(1+IF(VLOOKUP($R147,武学奇术!$A:$ZZ,30,FALSE)="回旋伞",$B$21,0))*(1+$BR147)</f>
        <v>27679.611739526</v>
      </c>
      <c r="P147" s="38">
        <f>((($AO147*$AI147+$AJ147)*(1+$AQ147)*(1+$AR147)+($AT147*IF($G$1="鸣金",$AK147,$AI147)+IF($G$1="鸣金",$AL147*1.5,0))*(1+$AV147)*(1+$AW147)+($AX147*IF($G$1="裂石",$AK147,$AI147)+IF($G$1="裂石",$AL147*1.5,0))*(1+$AZ147)*(1+$BA147)+($BB147*IF($G$1="牵丝",$AK147,$AI147)+IF($G$1="牵丝",$AL147*1.5,0))*(1+$BD147)*(1+$BE147)+($BF147*IF($G$1="破竹",$AK147,$AI147)+IF($G$1="破竹",$AL147*1.5,0))*(1+$BH147)*(1+$BI147))*(1+$AM147))*$Q147*(1+IF(VLOOKUP($R147,武学奇术!$A:$ZZ,30,FALSE)="回旋伞",$B$21,0))*(1+$BR147)</f>
        <v>23905.296559759</v>
      </c>
      <c r="Q147" s="39">
        <v>2</v>
      </c>
      <c r="R147" s="40" t="s">
        <v>132</v>
      </c>
      <c r="S147" s="40" t="s">
        <v>109</v>
      </c>
      <c r="T147" s="40" t="s">
        <v>95</v>
      </c>
      <c r="U147" s="40" t="s">
        <v>73</v>
      </c>
      <c r="V147" s="40" t="s">
        <v>81</v>
      </c>
      <c r="W147" s="40" t="s">
        <v>172</v>
      </c>
      <c r="X147" s="40" t="s">
        <v>99</v>
      </c>
      <c r="Y147" s="40" t="s">
        <v>72</v>
      </c>
      <c r="Z147" s="40" t="s">
        <v>176</v>
      </c>
      <c r="AA147" s="40" t="s">
        <v>72</v>
      </c>
      <c r="AB147" s="40" t="s">
        <v>126</v>
      </c>
      <c r="AC147" s="40" t="s">
        <v>72</v>
      </c>
      <c r="AD147" s="40" t="s">
        <v>178</v>
      </c>
      <c r="AE147" s="40" t="s">
        <v>72</v>
      </c>
      <c r="AF147" s="40" t="s">
        <v>72</v>
      </c>
      <c r="AG147" s="40" t="s">
        <v>78</v>
      </c>
      <c r="AH147" t="str">
        <f>VLOOKUP($R147,武学奇术!$A:$ZZ,25,FALSE)</f>
        <v>伞</v>
      </c>
      <c r="AI147" s="26">
        <f>VLOOKUP($R147,武学奇术!$A:$ZZ,26,FALSE)</f>
        <v>0.54</v>
      </c>
      <c r="AJ147" s="27">
        <f>VLOOKUP($R147,武学奇术!$A:$ZZ,27,FALSE)*(1+IF(OR($AH147=$F$4,$AH147=$F$5),$B$22,0))</f>
        <v>0</v>
      </c>
      <c r="AK147" s="26">
        <f>VLOOKUP($R147,武学奇术!$A:$ZZ,28,FALSE)</f>
        <v>0.81</v>
      </c>
      <c r="AL147" s="27">
        <f>VLOOKUP($R147,武学奇术!$A:$ZZ,29,FALSE)*(1+IF(OR($AH147=$F$4,$AH147=$F$5),$B$22,0))</f>
        <v>0</v>
      </c>
      <c r="AM147" s="26" cm="1">
        <f t="array" ref="AM147">$G$3+IFERROR(VLOOKUP($AH147,$F$4:$G$7,2,FALSE),0)+VLOOKUP($R147,武学奇术!$A:$ZZ,2,FALSE)+SUM(_xlfn.XLOOKUP($S147:$AG147,增益!$A:$A,增益!$B:$B,0))</f>
        <v>1.1741</v>
      </c>
      <c r="AN147" s="26" cm="1">
        <f t="array" ref="AN147">VLOOKUP($R147,武学奇术!$A:$ZZ,5,FALSE)+SUM(_xlfn.XLOOKUP($S147:$AG147,增益!$A:$A,增益!$E:$E,0))</f>
        <v>0</v>
      </c>
      <c r="AO147" cm="1">
        <f t="array" ref="AO147">$D$10*(1+$AN147)+VLOOKUP($R147,武学奇术!$A:$ZZ,3,FALSE)+SUM(_xlfn.XLOOKUP($S147:$AG147,增益!$A:$A,增益!$C:$C,0))-$I$2</f>
        <v>3562.6</v>
      </c>
      <c r="AP147" cm="1">
        <f t="array" ref="AP147">$E$10*(1+$AN147)+VLOOKUP($R147,武学奇术!$A:$ZZ,4,FALSE)+SUM(_xlfn.XLOOKUP($S147:$AG147,增益!$A:$A,增益!$D:$D,0))-$I$2</f>
        <v>3562.6</v>
      </c>
      <c r="AQ147" s="32" cm="1">
        <f t="array" ref="AQ147">IF($F$10-$I$3+VLOOKUP($R147,武学奇术!$A:$ZZ,6,FALSE)+SUM(_xlfn.XLOOKUP(S147:AG147,增益!$A:$A,增益!$F:$F,0))&gt;0,($F$10-$I$3+VLOOKUP($R147,武学奇术!$A:$ZZ,6,FALSE)+SUM(_xlfn.XLOOKUP(S147:AG147,增益!$A:$A,增益!$F:$F,0)))/200,($F$10-$I$3+VLOOKUP($R147,武学奇术!$A:$ZZ,6,FALSE)+SUM(_xlfn.XLOOKUP(S147:AG147,增益!$A:$A,增益!$F:$F,0)))/100)</f>
        <v>0.2925</v>
      </c>
      <c r="AR147" s="32" cm="1">
        <f t="array" ref="AR147">$G$10+VLOOKUP($R147,武学奇术!$A:$ZZ,7,FALSE)+SUM(_xlfn.XLOOKUP(S147:AG147,增益!$A:$A,增益!$G:$G,0))</f>
        <v>0.148</v>
      </c>
      <c r="AS147" s="26" cm="1">
        <f t="array" ref="AS147">VLOOKUP($R147,武学奇术!$A:$ZZ,8,FALSE)+SUM(_xlfn.XLOOKUP(S147:AG147,增益!$A:$A,增益!$H:$H,0))</f>
        <v>0</v>
      </c>
      <c r="AT147">
        <f t="shared" si="26"/>
        <v>0</v>
      </c>
      <c r="AU147">
        <f t="shared" si="27"/>
        <v>0</v>
      </c>
      <c r="AV147" s="32" cm="1">
        <f t="array" ref="AV147">IF($F$11-$I$4+VLOOKUP($R147,武学奇术!$A:$ZZ,9,FALSE)+SUM(_xlfn.XLOOKUP(S147:AG147,增益!$A:$A,增益!$I:$I,0))&gt;0,($F$11-$I$4+VLOOKUP($R147,武学奇术!$A:$ZZ,9,FALSE)+SUM(_xlfn.XLOOKUP(S147:AG147,增益!$A:$A,增益!$I:$I,0)))/200,($F$11-$I$4+VLOOKUP($R147,武学奇术!$A:$ZZ,9,FALSE)+SUM(_xlfn.XLOOKUP(S147:AG147,增益!$A:$A,增益!$I:$I,0)))/100)</f>
        <v>-0.3</v>
      </c>
      <c r="AW147" s="32" cm="1">
        <f t="array" ref="AW147">$G$11+VLOOKUP($R147,武学奇术!$A:$ZZ,10,FALSE)+SUM(_xlfn.XLOOKUP(S147:AG147,增益!$A:$A,增益!$J:$J,0))</f>
        <v>0</v>
      </c>
      <c r="AX147">
        <f t="shared" si="28"/>
        <v>0</v>
      </c>
      <c r="AY147">
        <f t="shared" si="29"/>
        <v>0</v>
      </c>
      <c r="AZ147" s="32" cm="1">
        <f t="array" ref="AZ147">IF($F$12-$I$4+VLOOKUP($R147,武学奇术!$A:$ZZ,11,FALSE)+SUM(_xlfn.XLOOKUP(S147:AG147,增益!$A:$A,增益!$K:$K,0))&gt;0,($F$12-$I$4+VLOOKUP($R147,武学奇术!$A:$ZZ,11,FALSE)+SUM(_xlfn.XLOOKUP(S147:AG147,增益!$A:$A,增益!$K:$K,0)))/200,($F$12-$I$4+VLOOKUP($R147,武学奇术!$A:$ZZ,11,FALSE)+SUM(_xlfn.XLOOKUP(S147:AG147,增益!$A:$A,增益!$K:$K,0)))/100)</f>
        <v>-0.3</v>
      </c>
      <c r="BA147" s="32" cm="1">
        <f t="array" ref="BA147">$G$12+VLOOKUP($R147,武学奇术!$A:$ZZ,12,FALSE)+SUM(_xlfn.XLOOKUP(S147:AG147,增益!$A:$A,增益!$L:$L,0))</f>
        <v>0</v>
      </c>
      <c r="BB147">
        <f t="shared" si="30"/>
        <v>0</v>
      </c>
      <c r="BC147">
        <f t="shared" si="31"/>
        <v>0</v>
      </c>
      <c r="BD147" s="32" cm="1">
        <f t="array" ref="BD147">IF($F$13-$I$4+VLOOKUP($R147,武学奇术!$A:$ZZ,13,FALSE)+SUM(_xlfn.XLOOKUP(S147:AG147,增益!$A:$A,增益!$M:$M,0))&gt;0,($F$13-$I$4+VLOOKUP($R147,武学奇术!$A:$ZZ,13,FALSE)+SUM(_xlfn.XLOOKUP(S147:AG147,增益!$A:$A,增益!$K:$K,0)))/200,($F$13-$I$4+VLOOKUP($R147,武学奇术!$A:$ZZ,13,FALSE)+SUM(_xlfn.XLOOKUP(S147:AG147,增益!$A:$A,增益!$M:$M,0)))/100)</f>
        <v>-0.3</v>
      </c>
      <c r="BE147" s="32" cm="1">
        <f t="array" ref="BE147">$G$13+VLOOKUP($R147,武学奇术!$A:$ZZ,14,FALSE)+SUM(_xlfn.XLOOKUP(S147:AG147,增益!$A:$A,增益!$N:$N,0))</f>
        <v>0</v>
      </c>
      <c r="BF147">
        <f t="shared" si="32"/>
        <v>571.2</v>
      </c>
      <c r="BG147">
        <f t="shared" si="33"/>
        <v>1627.8</v>
      </c>
      <c r="BH147" s="32" cm="1">
        <f t="array" ref="BH147">IF($F$14-$I$4+VLOOKUP($R147,武学奇术!$A:$ZZ,15,FALSE)+SUM(_xlfn.XLOOKUP(S147:AG147,增益!$A:$A,增益!$O:$O,0))&gt;0,($F$14-$I$4+VLOOKUP($R147,武学奇术!$A:$ZZ,15,FALSE)+SUM(_xlfn.XLOOKUP(S147:AG147,增益!$A:$A,增益!$O:$O,0)))/200,($F$14-$I$4+VLOOKUP($R147,武学奇术!$A:$ZZ,15,FALSE)+SUM(_xlfn.XLOOKUP(S147:AG147,增益!$A:$A,增益!$O:$O,0)))/100)</f>
        <v>0</v>
      </c>
      <c r="BI147" s="32" cm="1">
        <f t="array" ref="BI147">$G$14+VLOOKUP($R147,武学奇术!$A:$ZZ,16,FALSE)+SUM(_xlfn.XLOOKUP(S147:AG147,增益!$A:$A,增益!$P:$P,0))</f>
        <v>0.27</v>
      </c>
      <c r="BJ147" s="26">
        <f>MIN(IF(VLOOKUP($R147,武学奇术!$A:$ZZ,23,FALSE)=1,100%,$B$8),100%)</f>
        <v>1</v>
      </c>
      <c r="BK147" s="26" cm="1">
        <f t="array" ref="BK147">IF(VLOOKUP($R147,武学奇术!$A:$ZZ,23,FALSE)=1,100%,MIN(80%,$B$9+VLOOKUP($R147,武学奇术!$A:$ZZ,17,FALSE)+SUM(_xlfn.XLOOKUP(S147:AG147,增益!$A:$A,增益!$Q:$Q,0)))+$B$11+SUM(_xlfn.XLOOKUP(S147:AG147,增益!$A:$A,增益!$U:$U,0)))*IF(VLOOKUP($R147,武学奇术!$A:$ZZ,24,FALSE)=1,0,1)</f>
        <v>1</v>
      </c>
      <c r="BL147" s="26" cm="1">
        <f t="array" ref="BL147">1+$B$13+VLOOKUP($R147,武学奇术!$A:$ZZ,18,FALSE)+SUM(_xlfn.XLOOKUP(S147:AG147,增益!$A:$A,增益!$R:$R,0))</f>
        <v>2.06</v>
      </c>
      <c r="BM147" s="26" cm="1">
        <f t="array" ref="BM147">IF(VLOOKUP($R147,武学奇术!$A:$ZZ,24,FALSE)=1,100%,MIN(40%,$B$10+VLOOKUP($R147,武学奇术!$A:$ZZ,19,FALSE)+SUM(_xlfn.XLOOKUP(S147:AG147,增益!$A:$A,增益!$S:$S,0)))+$B$12+SUM(_xlfn.XLOOKUP(S147:AG147,增益!$A:$A,增益!$V:$V,0)))*IF(VLOOKUP($R147,武学奇术!$A:$ZZ,23,FALSE)=1,0,1)</f>
        <v>0</v>
      </c>
      <c r="BN147" s="26" cm="1">
        <f t="array" ref="BN147">1+$B$14+VLOOKUP($R147,武学奇术!$A:$ZZ,20,FALSE)+SUM(_xlfn.XLOOKUP(S147:AG147,增益!$A:$A,增益!$T:$T,0))</f>
        <v>1.35</v>
      </c>
      <c r="BO147" s="26">
        <f t="shared" si="34"/>
        <v>1</v>
      </c>
      <c r="BP147" s="26">
        <f t="shared" si="35"/>
        <v>0</v>
      </c>
      <c r="BQ147" s="26">
        <f>IF(VLOOKUP($R147,武学奇术!$A:$ZZ,22,FALSE)=1,0,(1-$BJ147))*(1-$BM147)</f>
        <v>0</v>
      </c>
      <c r="BR147" s="26" cm="1">
        <f t="array" ref="BR147">SUM(_xlfn.XLOOKUP(S147:AG147,增益!$A:$A,增益!$W:$W,0))+$I$5</f>
        <v>0.21</v>
      </c>
    </row>
    <row r="148" spans="11:70">
      <c r="K148">
        <f>$L148*VLOOKUP($R148,武学奇术!$A:$ZZ,31,FALSE)</f>
        <v>87277.462571378</v>
      </c>
      <c r="L148" s="38">
        <f t="shared" si="25"/>
        <v>83121.3929251219</v>
      </c>
      <c r="M148" s="38">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BL148*$Q148*(1+IF(VLOOKUP($R148,武学奇术!$A:$ZZ,30,FALSE)="回旋伞",$B$21,0))*(1+$BR148)</f>
        <v>88943.3885656901</v>
      </c>
      <c r="N148" s="38">
        <f>(($AP148*$AI148+$AJ148)*(1+$AQ148)*(1+$AR148)+($AU148*IF($G$1="鸣金",$AK148,$AI148)+IF($G$1="鸣金",$AL148*1.5,0))*(1+$AV148)*(1+$AW148)+($AY148*IF($G$1="裂石",$AK148,$AI148)+IF($G$1="裂石",$AL148*1.5,0))*(1+$AZ148)*(1+$BA148)+($BC148*IF($G$1="牵丝",$AK148,$AI148)+IF($G$1="牵丝",$AL148*1.5,0))*(1+$BD148)*(1+$BE148)+($BG148*IF($G$1="破竹",$AK148,$AI148)+IF($G$1="破竹",$AL148*1.5,0))*(1+$BH148)*(1+$BI148))*(1+$AM148)*$BN148*$Q148*(1+IF(VLOOKUP($R148,武学奇术!$A:$ZZ,30,FALSE)="回旋伞",$B$21,0))*(1+$BR148)</f>
        <v>65250.2589908088</v>
      </c>
      <c r="O148" s="38">
        <f>((($AO148+$AP148)/2*$AI148+$AJ148)*(1+$AQ148)*(1+$AR148)+(($AT148+$AU148)/2*IF($G$1="鸣金",$AK148,$AI148)+IF($G$1="鸣金",$AL148*1.5,0))*(1+$AV148)*(1+$AW148)+(($AX148+$AY148)/2*IF($G$1="裂石",$AK148,$AI148)+IF($G$1="裂石",$AL148*1.5,0))*(1+$AZ148)*(1+$BA148)+(($BB148+$BC148)/2*IF($G$1="牵丝",$AK148,$AI148)+IF($G$1="牵丝",$AL148*1.5,0))*(1+$BD148)*(1+$BE148)+(($BF148+$BG148)/2*IF($G$1="破竹",$AK148,$AI148)+IF($G$1="破竹",$AL148*1.5,0))*(1+$BH148)*(1+$BI148))*(1+$AM148)*$Q148*(1+IF(VLOOKUP($R148,武学奇术!$A:$ZZ,30,FALSE)="回旋伞",$B$21,0))*(1+$BR148)</f>
        <v>43176.4022163544</v>
      </c>
      <c r="P148" s="38">
        <f>((($AO148*$AI148+$AJ148)*(1+$AQ148)*(1+$AR148)+($AT148*IF($G$1="鸣金",$AK148,$AI148)+IF($G$1="鸣金",$AL148*1.5,0))*(1+$AV148)*(1+$AW148)+($AX148*IF($G$1="裂石",$AK148,$AI148)+IF($G$1="裂石",$AL148*1.5,0))*(1+$AZ148)*(1+$BA148)+($BB148*IF($G$1="牵丝",$AK148,$AI148)+IF($G$1="牵丝",$AL148*1.5,0))*(1+$BD148)*(1+$BE148)+($BF148*IF($G$1="破竹",$AK148,$AI148)+IF($G$1="破竹",$AL148*1.5,0))*(1+$BH148)*(1+$BI148))*(1+$AM148))*$Q148*(1+IF(VLOOKUP($R148,武学奇术!$A:$ZZ,30,FALSE)="回旋伞",$B$21,0))*(1+$BR148)</f>
        <v>38019.279254332</v>
      </c>
      <c r="Q148" s="39">
        <v>1</v>
      </c>
      <c r="R148" s="40" t="s">
        <v>108</v>
      </c>
      <c r="S148" s="40" t="s">
        <v>109</v>
      </c>
      <c r="T148" s="40" t="s">
        <v>95</v>
      </c>
      <c r="U148" s="40" t="s">
        <v>73</v>
      </c>
      <c r="V148" s="40" t="s">
        <v>81</v>
      </c>
      <c r="W148" s="40" t="s">
        <v>172</v>
      </c>
      <c r="X148" s="40" t="s">
        <v>99</v>
      </c>
      <c r="Y148" s="40" t="s">
        <v>72</v>
      </c>
      <c r="Z148" s="40" t="s">
        <v>176</v>
      </c>
      <c r="AA148" s="40" t="s">
        <v>72</v>
      </c>
      <c r="AB148" s="40" t="s">
        <v>126</v>
      </c>
      <c r="AC148" s="40" t="s">
        <v>72</v>
      </c>
      <c r="AD148" s="40" t="s">
        <v>178</v>
      </c>
      <c r="AE148" s="40" t="s">
        <v>72</v>
      </c>
      <c r="AF148" s="40" t="s">
        <v>72</v>
      </c>
      <c r="AG148" s="40" t="s">
        <v>78</v>
      </c>
      <c r="AH148" t="str">
        <f>VLOOKUP($R148,武学奇术!$A:$ZZ,25,FALSE)</f>
        <v>伞</v>
      </c>
      <c r="AI148" s="26">
        <f>VLOOKUP($R148,武学奇术!$A:$ZZ,26,FALSE)</f>
        <v>1.8084</v>
      </c>
      <c r="AJ148" s="27">
        <f>VLOOKUP($R148,武学奇术!$A:$ZZ,27,FALSE)*(1+IF(OR($AH148=$F$4,$AH148=$F$5),$B$22,0))</f>
        <v>750</v>
      </c>
      <c r="AK148" s="26">
        <f>VLOOKUP($R148,武学奇术!$A:$ZZ,28,FALSE)</f>
        <v>2.7126</v>
      </c>
      <c r="AL148" s="27">
        <f>VLOOKUP($R148,武学奇术!$A:$ZZ,29,FALSE)*(1+IF(OR($AH148=$F$4,$AH148=$F$5),$B$22,0))</f>
        <v>408</v>
      </c>
      <c r="AM148" s="26" cm="1">
        <f t="array" ref="AM148">$G$3+IFERROR(VLOOKUP($AH148,$F$4:$G$7,2,FALSE),0)+VLOOKUP($R148,武学奇术!$A:$ZZ,2,FALSE)+SUM(_xlfn.XLOOKUP($S148:$AG148,增益!$A:$A,增益!$B:$B,0))</f>
        <v>0.7741</v>
      </c>
      <c r="AN148" s="26" cm="1">
        <f t="array" ref="AN148">VLOOKUP($R148,武学奇术!$A:$ZZ,5,FALSE)+SUM(_xlfn.XLOOKUP($S148:$AG148,增益!$A:$A,增益!$E:$E,0))</f>
        <v>0</v>
      </c>
      <c r="AO148" cm="1">
        <f t="array" ref="AO148">$D$10*(1+$AN148)+VLOOKUP($R148,武学奇术!$A:$ZZ,3,FALSE)+SUM(_xlfn.XLOOKUP($S148:$AG148,增益!$A:$A,增益!$C:$C,0))-$I$2</f>
        <v>3562.6</v>
      </c>
      <c r="AP148" cm="1">
        <f t="array" ref="AP148">$E$10*(1+$AN148)+VLOOKUP($R148,武学奇术!$A:$ZZ,4,FALSE)+SUM(_xlfn.XLOOKUP($S148:$AG148,增益!$A:$A,增益!$D:$D,0))-$I$2</f>
        <v>3562.6</v>
      </c>
      <c r="AQ148" s="32" cm="1">
        <f t="array" ref="AQ148">IF($F$10-$I$3+VLOOKUP($R148,武学奇术!$A:$ZZ,6,FALSE)+SUM(_xlfn.XLOOKUP(S148:AG148,增益!$A:$A,增益!$F:$F,0))&gt;0,($F$10-$I$3+VLOOKUP($R148,武学奇术!$A:$ZZ,6,FALSE)+SUM(_xlfn.XLOOKUP(S148:AG148,增益!$A:$A,增益!$F:$F,0)))/200,($F$10-$I$3+VLOOKUP($R148,武学奇术!$A:$ZZ,6,FALSE)+SUM(_xlfn.XLOOKUP(S148:AG148,增益!$A:$A,增益!$F:$F,0)))/100)</f>
        <v>0.2925</v>
      </c>
      <c r="AR148" s="32" cm="1">
        <f t="array" ref="AR148">$G$10+VLOOKUP($R148,武学奇术!$A:$ZZ,7,FALSE)+SUM(_xlfn.XLOOKUP(S148:AG148,增益!$A:$A,增益!$G:$G,0))</f>
        <v>0.148</v>
      </c>
      <c r="AS148" s="26" cm="1">
        <f t="array" ref="AS148">VLOOKUP($R148,武学奇术!$A:$ZZ,8,FALSE)+SUM(_xlfn.XLOOKUP(S148:AG148,增益!$A:$A,增益!$H:$H,0))</f>
        <v>0</v>
      </c>
      <c r="AT148">
        <f t="shared" si="26"/>
        <v>0</v>
      </c>
      <c r="AU148">
        <f t="shared" si="27"/>
        <v>0</v>
      </c>
      <c r="AV148" s="32" cm="1">
        <f t="array" ref="AV148">IF($F$11-$I$4+VLOOKUP($R148,武学奇术!$A:$ZZ,9,FALSE)+SUM(_xlfn.XLOOKUP(S148:AG148,增益!$A:$A,增益!$I:$I,0))&gt;0,($F$11-$I$4+VLOOKUP($R148,武学奇术!$A:$ZZ,9,FALSE)+SUM(_xlfn.XLOOKUP(S148:AG148,增益!$A:$A,增益!$I:$I,0)))/200,($F$11-$I$4+VLOOKUP($R148,武学奇术!$A:$ZZ,9,FALSE)+SUM(_xlfn.XLOOKUP(S148:AG148,增益!$A:$A,增益!$I:$I,0)))/100)</f>
        <v>-0.3</v>
      </c>
      <c r="AW148" s="32" cm="1">
        <f t="array" ref="AW148">$G$11+VLOOKUP($R148,武学奇术!$A:$ZZ,10,FALSE)+SUM(_xlfn.XLOOKUP(S148:AG148,增益!$A:$A,增益!$J:$J,0))</f>
        <v>0</v>
      </c>
      <c r="AX148">
        <f t="shared" si="28"/>
        <v>0</v>
      </c>
      <c r="AY148">
        <f t="shared" si="29"/>
        <v>0</v>
      </c>
      <c r="AZ148" s="32" cm="1">
        <f t="array" ref="AZ148">IF($F$12-$I$4+VLOOKUP($R148,武学奇术!$A:$ZZ,11,FALSE)+SUM(_xlfn.XLOOKUP(S148:AG148,增益!$A:$A,增益!$K:$K,0))&gt;0,($F$12-$I$4+VLOOKUP($R148,武学奇术!$A:$ZZ,11,FALSE)+SUM(_xlfn.XLOOKUP(S148:AG148,增益!$A:$A,增益!$K:$K,0)))/200,($F$12-$I$4+VLOOKUP($R148,武学奇术!$A:$ZZ,11,FALSE)+SUM(_xlfn.XLOOKUP(S148:AG148,增益!$A:$A,增益!$K:$K,0)))/100)</f>
        <v>-0.3</v>
      </c>
      <c r="BA148" s="32" cm="1">
        <f t="array" ref="BA148">$G$12+VLOOKUP($R148,武学奇术!$A:$ZZ,12,FALSE)+SUM(_xlfn.XLOOKUP(S148:AG148,增益!$A:$A,增益!$L:$L,0))</f>
        <v>0</v>
      </c>
      <c r="BB148">
        <f t="shared" si="30"/>
        <v>0</v>
      </c>
      <c r="BC148">
        <f t="shared" si="31"/>
        <v>0</v>
      </c>
      <c r="BD148" s="32" cm="1">
        <f t="array" ref="BD148">IF($F$13-$I$4+VLOOKUP($R148,武学奇术!$A:$ZZ,13,FALSE)+SUM(_xlfn.XLOOKUP(S148:AG148,增益!$A:$A,增益!$M:$M,0))&gt;0,($F$13-$I$4+VLOOKUP($R148,武学奇术!$A:$ZZ,13,FALSE)+SUM(_xlfn.XLOOKUP(S148:AG148,增益!$A:$A,增益!$K:$K,0)))/200,($F$13-$I$4+VLOOKUP($R148,武学奇术!$A:$ZZ,13,FALSE)+SUM(_xlfn.XLOOKUP(S148:AG148,增益!$A:$A,增益!$M:$M,0)))/100)</f>
        <v>-0.3</v>
      </c>
      <c r="BE148" s="32" cm="1">
        <f t="array" ref="BE148">$G$13+VLOOKUP($R148,武学奇术!$A:$ZZ,14,FALSE)+SUM(_xlfn.XLOOKUP(S148:AG148,增益!$A:$A,增益!$N:$N,0))</f>
        <v>0</v>
      </c>
      <c r="BF148">
        <f t="shared" si="32"/>
        <v>571.2</v>
      </c>
      <c r="BG148">
        <f t="shared" si="33"/>
        <v>1627.8</v>
      </c>
      <c r="BH148" s="32" cm="1">
        <f t="array" ref="BH148">IF($F$14-$I$4+VLOOKUP($R148,武学奇术!$A:$ZZ,15,FALSE)+SUM(_xlfn.XLOOKUP(S148:AG148,增益!$A:$A,增益!$O:$O,0))&gt;0,($F$14-$I$4+VLOOKUP($R148,武学奇术!$A:$ZZ,15,FALSE)+SUM(_xlfn.XLOOKUP(S148:AG148,增益!$A:$A,增益!$O:$O,0)))/200,($F$14-$I$4+VLOOKUP($R148,武学奇术!$A:$ZZ,15,FALSE)+SUM(_xlfn.XLOOKUP(S148:AG148,增益!$A:$A,增益!$O:$O,0)))/100)</f>
        <v>0</v>
      </c>
      <c r="BI148" s="32" cm="1">
        <f t="array" ref="BI148">$G$14+VLOOKUP($R148,武学奇术!$A:$ZZ,16,FALSE)+SUM(_xlfn.XLOOKUP(S148:AG148,增益!$A:$A,增益!$P:$P,0))</f>
        <v>0.27</v>
      </c>
      <c r="BJ148" s="26">
        <f>MIN(IF(VLOOKUP($R148,武学奇术!$A:$ZZ,23,FALSE)=1,100%,$B$8),100%)</f>
        <v>0.981</v>
      </c>
      <c r="BK148" s="26" cm="1">
        <f t="array" ref="BK148">IF(VLOOKUP($R148,武学奇术!$A:$ZZ,23,FALSE)=1,100%,MIN(80%,$B$9+VLOOKUP($R148,武学奇术!$A:$ZZ,17,FALSE)+SUM(_xlfn.XLOOKUP(S148:AG148,增益!$A:$A,增益!$Q:$Q,0)))+$B$11+SUM(_xlfn.XLOOKUP(S148:AG148,增益!$A:$A,增益!$U:$U,0)))*IF(VLOOKUP($R148,武学奇术!$A:$ZZ,24,FALSE)=1,0,1)</f>
        <v>0.846</v>
      </c>
      <c r="BL148" s="26" cm="1">
        <f t="array" ref="BL148">1+$B$13+VLOOKUP($R148,武学奇术!$A:$ZZ,18,FALSE)+SUM(_xlfn.XLOOKUP(S148:AG148,增益!$A:$A,增益!$R:$R,0))</f>
        <v>2.06</v>
      </c>
      <c r="BM148" s="26" cm="1">
        <f t="array" ref="BM148">IF(VLOOKUP($R148,武学奇术!$A:$ZZ,24,FALSE)=1,100%,MIN(40%,$B$10+VLOOKUP($R148,武学奇术!$A:$ZZ,19,FALSE)+SUM(_xlfn.XLOOKUP(S148:AG148,增益!$A:$A,增益!$S:$S,0)))+$B$12+SUM(_xlfn.XLOOKUP(S148:AG148,增益!$A:$A,增益!$V:$V,0)))*IF(VLOOKUP($R148,武学奇术!$A:$ZZ,23,FALSE)=1,0,1)</f>
        <v>0.0929</v>
      </c>
      <c r="BN148" s="26" cm="1">
        <f t="array" ref="BN148">1+$B$14+VLOOKUP($R148,武学奇术!$A:$ZZ,20,FALSE)+SUM(_xlfn.XLOOKUP(S148:AG148,增益!$A:$A,增益!$T:$T,0))</f>
        <v>1.35</v>
      </c>
      <c r="BO148" s="26">
        <f t="shared" si="34"/>
        <v>0.829926</v>
      </c>
      <c r="BP148" s="26">
        <f t="shared" si="35"/>
        <v>0.0599391</v>
      </c>
      <c r="BQ148" s="26">
        <f>IF(VLOOKUP($R148,武学奇术!$A:$ZZ,22,FALSE)=1,0,(1-$BJ148))*(1-$BM148)</f>
        <v>0.0172349</v>
      </c>
      <c r="BR148" s="26" cm="1">
        <f t="array" ref="BR148">SUM(_xlfn.XLOOKUP(S148:AG148,增益!$A:$A,增益!$W:$W,0))+$I$5</f>
        <v>0.21</v>
      </c>
    </row>
    <row r="149" spans="11:70">
      <c r="K149">
        <f>$L149*VLOOKUP($R149,武学奇术!$A:$ZZ,31,FALSE)</f>
        <v>50853.1509595156</v>
      </c>
      <c r="L149" s="38">
        <f t="shared" si="25"/>
        <v>48431.5723423958</v>
      </c>
      <c r="M149" s="38">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BL149*$Q149*(1+IF(VLOOKUP($R149,武学奇术!$A:$ZZ,30,FALSE)="回旋伞",$B$21,0))*(1+$BR149)</f>
        <v>51774.6112699951</v>
      </c>
      <c r="N149" s="38">
        <f>(($AP149*$AI149+$AJ149)*(1+$AQ149)*(1+$AR149)+($AU149*IF($G$1="鸣金",$AK149,$AI149)+IF($G$1="鸣金",$AL149*1.5,0))*(1+$AV149)*(1+$AW149)+($AY149*IF($G$1="裂石",$AK149,$AI149)+IF($G$1="裂石",$AL149*1.5,0))*(1+$AZ149)*(1+$BA149)+($BC149*IF($G$1="牵丝",$AK149,$AI149)+IF($G$1="牵丝",$AL149*1.5,0))*(1+$BD149)*(1+$BE149)+($BG149*IF($G$1="破竹",$AK149,$AI149)+IF($G$1="破竹",$AL149*1.5,0))*(1+$BH149)*(1+$BI149))*(1+$AM149)*$BN149*$Q149*(1+IF(VLOOKUP($R149,武学奇术!$A:$ZZ,30,FALSE)="回旋伞",$B$21,0))*(1+$BR149)</f>
        <v>38556.5595544629</v>
      </c>
      <c r="O149" s="38">
        <f>((($AO149+$AP149)/2*$AI149+$AJ149)*(1+$AQ149)*(1+$AR149)+(($AT149+$AU149)/2*IF($G$1="鸣金",$AK149,$AI149)+IF($G$1="鸣金",$AL149*1.5,0))*(1+$AV149)*(1+$AW149)+(($AX149+$AY149)/2*IF($G$1="裂石",$AK149,$AI149)+IF($G$1="裂石",$AL149*1.5,0))*(1+$AZ149)*(1+$BA149)+(($BB149+$BC149)/2*IF($G$1="牵丝",$AK149,$AI149)+IF($G$1="牵丝",$AL149*1.5,0))*(1+$BD149)*(1+$BE149)+(($BF149+$BG149)/2*IF($G$1="破竹",$AK149,$AI149)+IF($G$1="破竹",$AL149*1.5,0))*(1+$BH149)*(1+$BI149))*(1+$AM149)*$Q149*(1+IF(VLOOKUP($R149,武学奇术!$A:$ZZ,30,FALSE)="回旋伞",$B$21,0))*(1+$BR149)</f>
        <v>25133.3064417452</v>
      </c>
      <c r="P149" s="38">
        <f>((($AO149*$AI149+$AJ149)*(1+$AQ149)*(1+$AR149)+($AT149*IF($G$1="鸣金",$AK149,$AI149)+IF($G$1="鸣金",$AL149*1.5,0))*(1+$AV149)*(1+$AW149)+($AX149*IF($G$1="裂石",$AK149,$AI149)+IF($G$1="裂石",$AL149*1.5,0))*(1+$AZ149)*(1+$BA149)+($BB149*IF($G$1="牵丝",$AK149,$AI149)+IF($G$1="牵丝",$AL149*1.5,0))*(1+$BD149)*(1+$BE149)+($BF149*IF($G$1="破竹",$AK149,$AI149)+IF($G$1="破竹",$AL149*1.5,0))*(1+$BH149)*(1+$BI149))*(1+$AM149))*$Q149*(1+IF(VLOOKUP($R149,武学奇术!$A:$ZZ,30,FALSE)="回旋伞",$B$21,0))*(1+$BR149)</f>
        <v>21706.1983987031</v>
      </c>
      <c r="Q149" s="39">
        <v>2</v>
      </c>
      <c r="R149" s="40" t="s">
        <v>112</v>
      </c>
      <c r="S149" s="40" t="s">
        <v>109</v>
      </c>
      <c r="T149" s="40" t="s">
        <v>95</v>
      </c>
      <c r="U149" s="40" t="s">
        <v>73</v>
      </c>
      <c r="V149" s="40" t="s">
        <v>81</v>
      </c>
      <c r="W149" s="40" t="s">
        <v>172</v>
      </c>
      <c r="X149" s="40" t="s">
        <v>99</v>
      </c>
      <c r="Y149" s="40" t="s">
        <v>72</v>
      </c>
      <c r="Z149" s="40" t="s">
        <v>176</v>
      </c>
      <c r="AA149" s="40" t="s">
        <v>72</v>
      </c>
      <c r="AB149" s="40" t="s">
        <v>126</v>
      </c>
      <c r="AC149" s="40" t="s">
        <v>72</v>
      </c>
      <c r="AD149" s="40" t="s">
        <v>178</v>
      </c>
      <c r="AE149" s="40" t="s">
        <v>72</v>
      </c>
      <c r="AF149" s="40" t="s">
        <v>72</v>
      </c>
      <c r="AG149" s="40" t="s">
        <v>78</v>
      </c>
      <c r="AH149" t="str">
        <f>VLOOKUP($R149,武学奇术!$A:$ZZ,25,FALSE)</f>
        <v>伞</v>
      </c>
      <c r="AI149" s="26">
        <f>VLOOKUP($R149,武学奇术!$A:$ZZ,26,FALSE)</f>
        <v>0.54</v>
      </c>
      <c r="AJ149" s="27">
        <f>VLOOKUP($R149,武学奇术!$A:$ZZ,27,FALSE)*(1+IF(OR($AH149=$F$4,$AH149=$F$5),$B$22,0))</f>
        <v>0</v>
      </c>
      <c r="AK149" s="26">
        <f>VLOOKUP($R149,武学奇术!$A:$ZZ,28,FALSE)</f>
        <v>0.81</v>
      </c>
      <c r="AL149" s="27">
        <f>VLOOKUP($R149,武学奇术!$A:$ZZ,29,FALSE)*(1+IF(OR($AH149=$F$4,$AH149=$F$5),$B$22,0))</f>
        <v>0</v>
      </c>
      <c r="AM149" s="26" cm="1">
        <f t="array" ref="AM149">$G$3+IFERROR(VLOOKUP($AH149,$F$4:$G$7,2,FALSE),0)+VLOOKUP($R149,武学奇术!$A:$ZZ,2,FALSE)+SUM(_xlfn.XLOOKUP($S149:$AG149,增益!$A:$A,增益!$B:$B,0))</f>
        <v>0.9741</v>
      </c>
      <c r="AN149" s="26" cm="1">
        <f t="array" ref="AN149">VLOOKUP($R149,武学奇术!$A:$ZZ,5,FALSE)+SUM(_xlfn.XLOOKUP($S149:$AG149,增益!$A:$A,增益!$E:$E,0))</f>
        <v>0</v>
      </c>
      <c r="AO149" cm="1">
        <f t="array" ref="AO149">$D$10*(1+$AN149)+VLOOKUP($R149,武学奇术!$A:$ZZ,3,FALSE)+SUM(_xlfn.XLOOKUP($S149:$AG149,增益!$A:$A,增益!$C:$C,0))-$I$2</f>
        <v>3562.6</v>
      </c>
      <c r="AP149" cm="1">
        <f t="array" ref="AP149">$E$10*(1+$AN149)+VLOOKUP($R149,武学奇术!$A:$ZZ,4,FALSE)+SUM(_xlfn.XLOOKUP($S149:$AG149,增益!$A:$A,增益!$D:$D,0))-$I$2</f>
        <v>3562.6</v>
      </c>
      <c r="AQ149" s="32" cm="1">
        <f t="array" ref="AQ149">IF($F$10-$I$3+VLOOKUP($R149,武学奇术!$A:$ZZ,6,FALSE)+SUM(_xlfn.XLOOKUP(S149:AG149,增益!$A:$A,增益!$F:$F,0))&gt;0,($F$10-$I$3+VLOOKUP($R149,武学奇术!$A:$ZZ,6,FALSE)+SUM(_xlfn.XLOOKUP(S149:AG149,增益!$A:$A,增益!$F:$F,0)))/200,($F$10-$I$3+VLOOKUP($R149,武学奇术!$A:$ZZ,6,FALSE)+SUM(_xlfn.XLOOKUP(S149:AG149,增益!$A:$A,增益!$F:$F,0)))/100)</f>
        <v>0.2925</v>
      </c>
      <c r="AR149" s="32" cm="1">
        <f t="array" ref="AR149">$G$10+VLOOKUP($R149,武学奇术!$A:$ZZ,7,FALSE)+SUM(_xlfn.XLOOKUP(S149:AG149,增益!$A:$A,增益!$G:$G,0))</f>
        <v>0.148</v>
      </c>
      <c r="AS149" s="26" cm="1">
        <f t="array" ref="AS149">VLOOKUP($R149,武学奇术!$A:$ZZ,8,FALSE)+SUM(_xlfn.XLOOKUP(S149:AG149,增益!$A:$A,增益!$H:$H,0))</f>
        <v>0</v>
      </c>
      <c r="AT149">
        <f t="shared" si="26"/>
        <v>0</v>
      </c>
      <c r="AU149">
        <f t="shared" si="27"/>
        <v>0</v>
      </c>
      <c r="AV149" s="32" cm="1">
        <f t="array" ref="AV149">IF($F$11-$I$4+VLOOKUP($R149,武学奇术!$A:$ZZ,9,FALSE)+SUM(_xlfn.XLOOKUP(S149:AG149,增益!$A:$A,增益!$I:$I,0))&gt;0,($F$11-$I$4+VLOOKUP($R149,武学奇术!$A:$ZZ,9,FALSE)+SUM(_xlfn.XLOOKUP(S149:AG149,增益!$A:$A,增益!$I:$I,0)))/200,($F$11-$I$4+VLOOKUP($R149,武学奇术!$A:$ZZ,9,FALSE)+SUM(_xlfn.XLOOKUP(S149:AG149,增益!$A:$A,增益!$I:$I,0)))/100)</f>
        <v>-0.3</v>
      </c>
      <c r="AW149" s="32" cm="1">
        <f t="array" ref="AW149">$G$11+VLOOKUP($R149,武学奇术!$A:$ZZ,10,FALSE)+SUM(_xlfn.XLOOKUP(S149:AG149,增益!$A:$A,增益!$J:$J,0))</f>
        <v>0</v>
      </c>
      <c r="AX149">
        <f t="shared" si="28"/>
        <v>0</v>
      </c>
      <c r="AY149">
        <f t="shared" si="29"/>
        <v>0</v>
      </c>
      <c r="AZ149" s="32" cm="1">
        <f t="array" ref="AZ149">IF($F$12-$I$4+VLOOKUP($R149,武学奇术!$A:$ZZ,11,FALSE)+SUM(_xlfn.XLOOKUP(S149:AG149,增益!$A:$A,增益!$K:$K,0))&gt;0,($F$12-$I$4+VLOOKUP($R149,武学奇术!$A:$ZZ,11,FALSE)+SUM(_xlfn.XLOOKUP(S149:AG149,增益!$A:$A,增益!$K:$K,0)))/200,($F$12-$I$4+VLOOKUP($R149,武学奇术!$A:$ZZ,11,FALSE)+SUM(_xlfn.XLOOKUP(S149:AG149,增益!$A:$A,增益!$K:$K,0)))/100)</f>
        <v>-0.3</v>
      </c>
      <c r="BA149" s="32" cm="1">
        <f t="array" ref="BA149">$G$12+VLOOKUP($R149,武学奇术!$A:$ZZ,12,FALSE)+SUM(_xlfn.XLOOKUP(S149:AG149,增益!$A:$A,增益!$L:$L,0))</f>
        <v>0</v>
      </c>
      <c r="BB149">
        <f t="shared" si="30"/>
        <v>0</v>
      </c>
      <c r="BC149">
        <f t="shared" si="31"/>
        <v>0</v>
      </c>
      <c r="BD149" s="32" cm="1">
        <f t="array" ref="BD149">IF($F$13-$I$4+VLOOKUP($R149,武学奇术!$A:$ZZ,13,FALSE)+SUM(_xlfn.XLOOKUP(S149:AG149,增益!$A:$A,增益!$M:$M,0))&gt;0,($F$13-$I$4+VLOOKUP($R149,武学奇术!$A:$ZZ,13,FALSE)+SUM(_xlfn.XLOOKUP(S149:AG149,增益!$A:$A,增益!$K:$K,0)))/200,($F$13-$I$4+VLOOKUP($R149,武学奇术!$A:$ZZ,13,FALSE)+SUM(_xlfn.XLOOKUP(S149:AG149,增益!$A:$A,增益!$M:$M,0)))/100)</f>
        <v>-0.3</v>
      </c>
      <c r="BE149" s="32" cm="1">
        <f t="array" ref="BE149">$G$13+VLOOKUP($R149,武学奇术!$A:$ZZ,14,FALSE)+SUM(_xlfn.XLOOKUP(S149:AG149,增益!$A:$A,增益!$N:$N,0))</f>
        <v>0</v>
      </c>
      <c r="BF149">
        <f t="shared" si="32"/>
        <v>571.2</v>
      </c>
      <c r="BG149">
        <f t="shared" si="33"/>
        <v>1627.8</v>
      </c>
      <c r="BH149" s="32" cm="1">
        <f t="array" ref="BH149">IF($F$14-$I$4+VLOOKUP($R149,武学奇术!$A:$ZZ,15,FALSE)+SUM(_xlfn.XLOOKUP(S149:AG149,增益!$A:$A,增益!$O:$O,0))&gt;0,($F$14-$I$4+VLOOKUP($R149,武学奇术!$A:$ZZ,15,FALSE)+SUM(_xlfn.XLOOKUP(S149:AG149,增益!$A:$A,增益!$O:$O,0)))/200,($F$14-$I$4+VLOOKUP($R149,武学奇术!$A:$ZZ,15,FALSE)+SUM(_xlfn.XLOOKUP(S149:AG149,增益!$A:$A,增益!$O:$O,0)))/100)</f>
        <v>0</v>
      </c>
      <c r="BI149" s="32" cm="1">
        <f t="array" ref="BI149">$G$14+VLOOKUP($R149,武学奇术!$A:$ZZ,16,FALSE)+SUM(_xlfn.XLOOKUP(S149:AG149,增益!$A:$A,增益!$P:$P,0))</f>
        <v>0.27</v>
      </c>
      <c r="BJ149" s="26">
        <f>MIN(IF(VLOOKUP($R149,武学奇术!$A:$ZZ,23,FALSE)=1,100%,$B$8),100%)</f>
        <v>0.981</v>
      </c>
      <c r="BK149" s="26" cm="1">
        <f t="array" ref="BK149">IF(VLOOKUP($R149,武学奇术!$A:$ZZ,23,FALSE)=1,100%,MIN(80%,$B$9+VLOOKUP($R149,武学奇术!$A:$ZZ,17,FALSE)+SUM(_xlfn.XLOOKUP(S149:AG149,增益!$A:$A,增益!$Q:$Q,0)))+$B$11+SUM(_xlfn.XLOOKUP(S149:AG149,增益!$A:$A,增益!$U:$U,0)))*IF(VLOOKUP($R149,武学奇术!$A:$ZZ,24,FALSE)=1,0,1)</f>
        <v>0.846</v>
      </c>
      <c r="BL149" s="26" cm="1">
        <f t="array" ref="BL149">1+$B$13+VLOOKUP($R149,武学奇术!$A:$ZZ,18,FALSE)+SUM(_xlfn.XLOOKUP(S149:AG149,增益!$A:$A,增益!$R:$R,0))</f>
        <v>2.06</v>
      </c>
      <c r="BM149" s="26" cm="1">
        <f t="array" ref="BM149">IF(VLOOKUP($R149,武学奇术!$A:$ZZ,24,FALSE)=1,100%,MIN(40%,$B$10+VLOOKUP($R149,武学奇术!$A:$ZZ,19,FALSE)+SUM(_xlfn.XLOOKUP(S149:AG149,增益!$A:$A,增益!$S:$S,0)))+$B$12+SUM(_xlfn.XLOOKUP(S149:AG149,增益!$A:$A,增益!$V:$V,0)))*IF(VLOOKUP($R149,武学奇术!$A:$ZZ,23,FALSE)=1,0,1)</f>
        <v>0.0929</v>
      </c>
      <c r="BN149" s="26" cm="1">
        <f t="array" ref="BN149">1+$B$14+VLOOKUP($R149,武学奇术!$A:$ZZ,20,FALSE)+SUM(_xlfn.XLOOKUP(S149:AG149,增益!$A:$A,增益!$T:$T,0))</f>
        <v>1.35</v>
      </c>
      <c r="BO149" s="26">
        <f t="shared" si="34"/>
        <v>0.829926</v>
      </c>
      <c r="BP149" s="26">
        <f t="shared" si="35"/>
        <v>0.0599391</v>
      </c>
      <c r="BQ149" s="26">
        <f>IF(VLOOKUP($R149,武学奇术!$A:$ZZ,22,FALSE)=1,0,(1-$BJ149))*(1-$BM149)</f>
        <v>0.0172349</v>
      </c>
      <c r="BR149" s="26" cm="1">
        <f t="array" ref="BR149">SUM(_xlfn.XLOOKUP(S149:AG149,增益!$A:$A,增益!$W:$W,0))+$I$5</f>
        <v>0.21</v>
      </c>
    </row>
    <row r="150" spans="11:70">
      <c r="K150">
        <f>$L150*VLOOKUP($R150,武学奇术!$A:$ZZ,31,FALSE)</f>
        <v>69233.4663433345</v>
      </c>
      <c r="L150" s="38">
        <f t="shared" si="25"/>
        <v>65936.6346126995</v>
      </c>
      <c r="M150" s="38">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BL150*$Q150*(1+IF(VLOOKUP($R150,武学奇术!$A:$ZZ,30,FALSE)="回旋伞",$B$21,0))*(1+$BR150)</f>
        <v>65936.6346126995</v>
      </c>
      <c r="N150" s="38">
        <f>(($AP150*$AI150+$AJ150)*(1+$AQ150)*(1+$AR150)+($AU150*IF($G$1="鸣金",$AK150,$AI150)+IF($G$1="鸣金",$AL150*1.5,0))*(1+$AV150)*(1+$AW150)+($AY150*IF($G$1="裂石",$AK150,$AI150)+IF($G$1="裂石",$AL150*1.5,0))*(1+$AZ150)*(1+$BA150)+($BC150*IF($G$1="牵丝",$AK150,$AI150)+IF($G$1="牵丝",$AL150*1.5,0))*(1+$BD150)*(1+$BE150)+($BG150*IF($G$1="破竹",$AK150,$AI150)+IF($G$1="破竹",$AL150*1.5,0))*(1+$BH150)*(1+$BI150))*(1+$AM150)*$BN150*$Q150*(1+IF(VLOOKUP($R150,武学奇术!$A:$ZZ,30,FALSE)="回旋伞",$B$21,0))*(1+$BR150)</f>
        <v>52212.5476619449</v>
      </c>
      <c r="O150" s="38">
        <f>((($AO150+$AP150)/2*$AI150+$AJ150)*(1+$AQ150)*(1+$AR150)+(($AT150+$AU150)/2*IF($G$1="鸣金",$AK150,$AI150)+IF($G$1="鸣金",$AL150*1.5,0))*(1+$AV150)*(1+$AW150)+(($AX150+$AY150)/2*IF($G$1="裂石",$AK150,$AI150)+IF($G$1="裂石",$AL150*1.5,0))*(1+$AZ150)*(1+$BA150)+(($BB150+$BC150)/2*IF($G$1="牵丝",$AK150,$AI150)+IF($G$1="牵丝",$AL150*1.5,0))*(1+$BD150)*(1+$BE150)+(($BF150+$BG150)/2*IF($G$1="破竹",$AK150,$AI150)+IF($G$1="破竹",$AL150*1.5,0))*(1+$BH150)*(1+$BI150))*(1+$AM150)*$Q150*(1+IF(VLOOKUP($R150,武学奇术!$A:$ZZ,30,FALSE)="回旋伞",$B$21,0))*(1+$BR150)</f>
        <v>34521.7982265443</v>
      </c>
      <c r="P150" s="38">
        <f>((($AO150*$AI150+$AJ150)*(1+$AQ150)*(1+$AR150)+($AT150*IF($G$1="鸣金",$AK150,$AI150)+IF($G$1="鸣金",$AL150*1.5,0))*(1+$AV150)*(1+$AW150)+($AX150*IF($G$1="裂石",$AK150,$AI150)+IF($G$1="裂石",$AL150*1.5,0))*(1+$AZ150)*(1+$BA150)+($BB150*IF($G$1="牵丝",$AK150,$AI150)+IF($G$1="牵丝",$AL150*1.5,0))*(1+$BD150)*(1+$BE150)+($BF150*IF($G$1="破竹",$AK150,$AI150)+IF($G$1="破竹",$AL150*1.5,0))*(1+$BH150)*(1+$BI150))*(1+$AM150))*$Q150*(1+IF(VLOOKUP($R150,武学奇术!$A:$ZZ,30,FALSE)="回旋伞",$B$21,0))*(1+$BR150)</f>
        <v>30367.6352220182</v>
      </c>
      <c r="Q150" s="39">
        <v>1</v>
      </c>
      <c r="R150" s="40" t="s">
        <v>166</v>
      </c>
      <c r="S150" s="40" t="s">
        <v>72</v>
      </c>
      <c r="T150" s="40" t="s">
        <v>95</v>
      </c>
      <c r="U150" s="40" t="s">
        <v>73</v>
      </c>
      <c r="V150" s="40" t="s">
        <v>81</v>
      </c>
      <c r="W150" s="40" t="s">
        <v>172</v>
      </c>
      <c r="X150" s="40" t="s">
        <v>99</v>
      </c>
      <c r="Y150" s="40" t="s">
        <v>72</v>
      </c>
      <c r="Z150" s="40" t="s">
        <v>176</v>
      </c>
      <c r="AA150" s="40" t="s">
        <v>72</v>
      </c>
      <c r="AB150" s="40" t="s">
        <v>72</v>
      </c>
      <c r="AC150" s="40" t="s">
        <v>72</v>
      </c>
      <c r="AD150" s="40" t="s">
        <v>178</v>
      </c>
      <c r="AE150" s="40" t="s">
        <v>72</v>
      </c>
      <c r="AF150" s="40" t="s">
        <v>72</v>
      </c>
      <c r="AG150" s="40" t="s">
        <v>78</v>
      </c>
      <c r="AH150" t="str">
        <f>VLOOKUP($R150,武学奇术!$A:$ZZ,25,FALSE)</f>
        <v>绳镖</v>
      </c>
      <c r="AI150" s="26">
        <f>VLOOKUP($R150,武学奇术!$A:$ZZ,26,FALSE)</f>
        <v>2.2987</v>
      </c>
      <c r="AJ150" s="27">
        <f>VLOOKUP($R150,武学奇术!$A:$ZZ,27,FALSE)*(1+IF(OR($AH150=$F$4,$AH150=$F$5),$B$22,0))</f>
        <v>955.5</v>
      </c>
      <c r="AK150" s="26">
        <f>VLOOKUP($R150,武学奇术!$A:$ZZ,28,FALSE)</f>
        <v>3.448</v>
      </c>
      <c r="AL150" s="27">
        <f>VLOOKUP($R150,武学奇术!$A:$ZZ,29,FALSE)*(1+IF(OR($AH150=$F$4,$AH150=$F$5),$B$22,0))</f>
        <v>520.5</v>
      </c>
      <c r="AM150" s="26" cm="1">
        <f t="array" ref="AM150">$G$3+IFERROR(VLOOKUP($AH150,$F$4:$G$7,2,FALSE),0)+VLOOKUP($R150,武学奇术!$A:$ZZ,2,FALSE)+SUM(_xlfn.XLOOKUP($S150:$AG150,增益!$A:$A,增益!$B:$B,0))</f>
        <v>0.6389</v>
      </c>
      <c r="AN150" s="26" cm="1">
        <f t="array" ref="AN150">VLOOKUP($R150,武学奇术!$A:$ZZ,5,FALSE)+SUM(_xlfn.XLOOKUP($S150:$AG150,增益!$A:$A,增益!$E:$E,0))</f>
        <v>0</v>
      </c>
      <c r="AO150" cm="1">
        <f t="array" ref="AO150">$D$10*(1+$AN150)+VLOOKUP($R150,武学奇术!$A:$ZZ,3,FALSE)+SUM(_xlfn.XLOOKUP($S150:$AG150,增益!$A:$A,增益!$C:$C,0))-$I$2</f>
        <v>3562.6</v>
      </c>
      <c r="AP150" cm="1">
        <f t="array" ref="AP150">$E$10*(1+$AN150)+VLOOKUP($R150,武学奇术!$A:$ZZ,4,FALSE)+SUM(_xlfn.XLOOKUP($S150:$AG150,增益!$A:$A,增益!$D:$D,0))-$I$2</f>
        <v>3562.6</v>
      </c>
      <c r="AQ150" s="32" cm="1">
        <f t="array" ref="AQ150">IF($F$10-$I$3+VLOOKUP($R150,武学奇术!$A:$ZZ,6,FALSE)+SUM(_xlfn.XLOOKUP(S150:AG150,增益!$A:$A,增益!$F:$F,0))&gt;0,($F$10-$I$3+VLOOKUP($R150,武学奇术!$A:$ZZ,6,FALSE)+SUM(_xlfn.XLOOKUP(S150:AG150,增益!$A:$A,增益!$F:$F,0)))/200,($F$10-$I$3+VLOOKUP($R150,武学奇术!$A:$ZZ,6,FALSE)+SUM(_xlfn.XLOOKUP(S150:AG150,增益!$A:$A,增益!$F:$F,0)))/100)</f>
        <v>0.2925</v>
      </c>
      <c r="AR150" s="32" cm="1">
        <f t="array" ref="AR150">$G$10+VLOOKUP($R150,武学奇术!$A:$ZZ,7,FALSE)+SUM(_xlfn.XLOOKUP(S150:AG150,增益!$A:$A,增益!$G:$G,0))</f>
        <v>0.028</v>
      </c>
      <c r="AS150" s="26" cm="1">
        <f t="array" ref="AS150">VLOOKUP($R150,武学奇术!$A:$ZZ,8,FALSE)+SUM(_xlfn.XLOOKUP(S150:AG150,增益!$A:$A,增益!$H:$H,0))</f>
        <v>0</v>
      </c>
      <c r="AT150">
        <f t="shared" si="26"/>
        <v>0</v>
      </c>
      <c r="AU150">
        <f t="shared" si="27"/>
        <v>0</v>
      </c>
      <c r="AV150" s="32" cm="1">
        <f t="array" ref="AV150">IF($F$11-$I$4+VLOOKUP($R150,武学奇术!$A:$ZZ,9,FALSE)+SUM(_xlfn.XLOOKUP(S150:AG150,增益!$A:$A,增益!$I:$I,0))&gt;0,($F$11-$I$4+VLOOKUP($R150,武学奇术!$A:$ZZ,9,FALSE)+SUM(_xlfn.XLOOKUP(S150:AG150,增益!$A:$A,增益!$I:$I,0)))/200,($F$11-$I$4+VLOOKUP($R150,武学奇术!$A:$ZZ,9,FALSE)+SUM(_xlfn.XLOOKUP(S150:AG150,增益!$A:$A,增益!$I:$I,0)))/100)</f>
        <v>-0.3</v>
      </c>
      <c r="AW150" s="32" cm="1">
        <f t="array" ref="AW150">$G$11+VLOOKUP($R150,武学奇术!$A:$ZZ,10,FALSE)+SUM(_xlfn.XLOOKUP(S150:AG150,增益!$A:$A,增益!$J:$J,0))</f>
        <v>0</v>
      </c>
      <c r="AX150">
        <f t="shared" si="28"/>
        <v>0</v>
      </c>
      <c r="AY150">
        <f t="shared" si="29"/>
        <v>0</v>
      </c>
      <c r="AZ150" s="32" cm="1">
        <f t="array" ref="AZ150">IF($F$12-$I$4+VLOOKUP($R150,武学奇术!$A:$ZZ,11,FALSE)+SUM(_xlfn.XLOOKUP(S150:AG150,增益!$A:$A,增益!$K:$K,0))&gt;0,($F$12-$I$4+VLOOKUP($R150,武学奇术!$A:$ZZ,11,FALSE)+SUM(_xlfn.XLOOKUP(S150:AG150,增益!$A:$A,增益!$K:$K,0)))/200,($F$12-$I$4+VLOOKUP($R150,武学奇术!$A:$ZZ,11,FALSE)+SUM(_xlfn.XLOOKUP(S150:AG150,增益!$A:$A,增益!$K:$K,0)))/100)</f>
        <v>-0.3</v>
      </c>
      <c r="BA150" s="32" cm="1">
        <f t="array" ref="BA150">$G$12+VLOOKUP($R150,武学奇术!$A:$ZZ,12,FALSE)+SUM(_xlfn.XLOOKUP(S150:AG150,增益!$A:$A,增益!$L:$L,0))</f>
        <v>0</v>
      </c>
      <c r="BB150">
        <f t="shared" si="30"/>
        <v>0</v>
      </c>
      <c r="BC150">
        <f t="shared" si="31"/>
        <v>0</v>
      </c>
      <c r="BD150" s="32" cm="1">
        <f t="array" ref="BD150">IF($F$13-$I$4+VLOOKUP($R150,武学奇术!$A:$ZZ,13,FALSE)+SUM(_xlfn.XLOOKUP(S150:AG150,增益!$A:$A,增益!$M:$M,0))&gt;0,($F$13-$I$4+VLOOKUP($R150,武学奇术!$A:$ZZ,13,FALSE)+SUM(_xlfn.XLOOKUP(S150:AG150,增益!$A:$A,增益!$K:$K,0)))/200,($F$13-$I$4+VLOOKUP($R150,武学奇术!$A:$ZZ,13,FALSE)+SUM(_xlfn.XLOOKUP(S150:AG150,增益!$A:$A,增益!$M:$M,0)))/100)</f>
        <v>-0.3</v>
      </c>
      <c r="BE150" s="32" cm="1">
        <f t="array" ref="BE150">$G$13+VLOOKUP($R150,武学奇术!$A:$ZZ,14,FALSE)+SUM(_xlfn.XLOOKUP(S150:AG150,增益!$A:$A,增益!$N:$N,0))</f>
        <v>0</v>
      </c>
      <c r="BF150">
        <f t="shared" si="32"/>
        <v>571.2</v>
      </c>
      <c r="BG150">
        <f t="shared" si="33"/>
        <v>1627.8</v>
      </c>
      <c r="BH150" s="32" cm="1">
        <f t="array" ref="BH150">IF($F$14-$I$4+VLOOKUP($R150,武学奇术!$A:$ZZ,15,FALSE)+SUM(_xlfn.XLOOKUP(S150:AG150,增益!$A:$A,增益!$O:$O,0))&gt;0,($F$14-$I$4+VLOOKUP($R150,武学奇术!$A:$ZZ,15,FALSE)+SUM(_xlfn.XLOOKUP(S150:AG150,增益!$A:$A,增益!$O:$O,0)))/200,($F$14-$I$4+VLOOKUP($R150,武学奇术!$A:$ZZ,15,FALSE)+SUM(_xlfn.XLOOKUP(S150:AG150,增益!$A:$A,增益!$O:$O,0)))/100)</f>
        <v>0</v>
      </c>
      <c r="BI150" s="32" cm="1">
        <f t="array" ref="BI150">$G$14+VLOOKUP($R150,武学奇术!$A:$ZZ,16,FALSE)+SUM(_xlfn.XLOOKUP(S150:AG150,增益!$A:$A,增益!$P:$P,0))</f>
        <v>0.15</v>
      </c>
      <c r="BJ150" s="26">
        <f>MIN(IF(VLOOKUP($R150,武学奇术!$A:$ZZ,23,FALSE)=1,100%,$B$8),100%)</f>
        <v>1</v>
      </c>
      <c r="BK150" s="26" cm="1">
        <f t="array" ref="BK150">IF(VLOOKUP($R150,武学奇术!$A:$ZZ,23,FALSE)=1,100%,MIN(80%,$B$9+VLOOKUP($R150,武学奇术!$A:$ZZ,17,FALSE)+SUM(_xlfn.XLOOKUP(S150:AG150,增益!$A:$A,增益!$Q:$Q,0)))+$B$11+SUM(_xlfn.XLOOKUP(S150:AG150,增益!$A:$A,增益!$U:$U,0)))*IF(VLOOKUP($R150,武学奇术!$A:$ZZ,24,FALSE)=1,0,1)</f>
        <v>1</v>
      </c>
      <c r="BL150" s="26" cm="1">
        <f t="array" ref="BL150">1+$B$13+VLOOKUP($R150,武学奇术!$A:$ZZ,18,FALSE)+SUM(_xlfn.XLOOKUP(S150:AG150,增益!$A:$A,增益!$R:$R,0))</f>
        <v>1.91</v>
      </c>
      <c r="BM150" s="26" cm="1">
        <f t="array" ref="BM150">IF(VLOOKUP($R150,武学奇术!$A:$ZZ,24,FALSE)=1,100%,MIN(40%,$B$10+VLOOKUP($R150,武学奇术!$A:$ZZ,19,FALSE)+SUM(_xlfn.XLOOKUP(S150:AG150,增益!$A:$A,增益!$S:$S,0)))+$B$12+SUM(_xlfn.XLOOKUP(S150:AG150,增益!$A:$A,增益!$V:$V,0)))*IF(VLOOKUP($R150,武学奇术!$A:$ZZ,23,FALSE)=1,0,1)</f>
        <v>0</v>
      </c>
      <c r="BN150" s="26" cm="1">
        <f t="array" ref="BN150">1+$B$14+VLOOKUP($R150,武学奇术!$A:$ZZ,20,FALSE)+SUM(_xlfn.XLOOKUP(S150:AG150,增益!$A:$A,增益!$T:$T,0))</f>
        <v>1.35</v>
      </c>
      <c r="BO150" s="26">
        <f t="shared" si="34"/>
        <v>1</v>
      </c>
      <c r="BP150" s="26">
        <f t="shared" si="35"/>
        <v>0</v>
      </c>
      <c r="BQ150" s="26">
        <f>IF(VLOOKUP($R150,武学奇术!$A:$ZZ,22,FALSE)=1,0,(1-$BJ150))*(1-$BM150)</f>
        <v>0</v>
      </c>
      <c r="BR150" s="26" cm="1">
        <f t="array" ref="BR150">SUM(_xlfn.XLOOKUP(S150:AG150,增益!$A:$A,增益!$W:$W,0))+$I$5</f>
        <v>0.21</v>
      </c>
    </row>
    <row r="151" spans="11:70">
      <c r="K151">
        <f>$L151*VLOOKUP($R151,武学奇术!$A:$ZZ,31,FALSE)</f>
        <v>94589.7159549034</v>
      </c>
      <c r="L151" s="88">
        <f>(SUM(L129:L150)+L163)*12%</f>
        <v>180170.887533149</v>
      </c>
      <c r="M151" s="38">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BL151*$Q151*(1+IF(VLOOKUP($R151,武学奇术!$A:$ZZ,30,FALSE)="回旋伞",$B$21,0))*(1+$BR151)</f>
        <v>0</v>
      </c>
      <c r="N151" s="38">
        <f>(($AP151*$AI151+$AJ151)*(1+$AQ151)*(1+$AR151)+($AU151*IF($G$1="鸣金",$AK151,$AI151)+IF($G$1="鸣金",$AL151*1.5,0))*(1+$AV151)*(1+$AW151)+($AY151*IF($G$1="裂石",$AK151,$AI151)+IF($G$1="裂石",$AL151*1.5,0))*(1+$AZ151)*(1+$BA151)+($BC151*IF($G$1="牵丝",$AK151,$AI151)+IF($G$1="牵丝",$AL151*1.5,0))*(1+$BD151)*(1+$BE151)+($BG151*IF($G$1="破竹",$AK151,$AI151)+IF($G$1="破竹",$AL151*1.5,0))*(1+$BH151)*(1+$BI151))*(1+$AM151)*$BN151*$Q151*(1+IF(VLOOKUP($R151,武学奇术!$A:$ZZ,30,FALSE)="回旋伞",$B$21,0))*(1+$BR151)</f>
        <v>0</v>
      </c>
      <c r="O151" s="38">
        <f>((($AO151+$AP151)/2*$AI151+$AJ151)*(1+$AQ151)*(1+$AR151)+(($AT151+$AU151)/2*IF($G$1="鸣金",$AK151,$AI151)+IF($G$1="鸣金",$AL151*1.5,0))*(1+$AV151)*(1+$AW151)+(($AX151+$AY151)/2*IF($G$1="裂石",$AK151,$AI151)+IF($G$1="裂石",$AL151*1.5,0))*(1+$AZ151)*(1+$BA151)+(($BB151+$BC151)/2*IF($G$1="牵丝",$AK151,$AI151)+IF($G$1="牵丝",$AL151*1.5,0))*(1+$BD151)*(1+$BE151)+(($BF151+$BG151)/2*IF($G$1="破竹",$AK151,$AI151)+IF($G$1="破竹",$AL151*1.5,0))*(1+$BH151)*(1+$BI151))*(1+$AM151)*$Q151*(1+IF(VLOOKUP($R151,武学奇术!$A:$ZZ,30,FALSE)="回旋伞",$B$21,0))*(1+$BR151)</f>
        <v>0</v>
      </c>
      <c r="P151" s="38">
        <f>((($AO151*$AI151+$AJ151)*(1+$AQ151)*(1+$AR151)+($AT151*IF($G$1="鸣金",$AK151,$AI151)+IF($G$1="鸣金",$AL151*1.5,0))*(1+$AV151)*(1+$AW151)+($AX151*IF($G$1="裂石",$AK151,$AI151)+IF($G$1="裂石",$AL151*1.5,0))*(1+$AZ151)*(1+$BA151)+($BB151*IF($G$1="牵丝",$AK151,$AI151)+IF($G$1="牵丝",$AL151*1.5,0))*(1+$BD151)*(1+$BE151)+($BF151*IF($G$1="破竹",$AK151,$AI151)+IF($G$1="破竹",$AL151*1.5,0))*(1+$BH151)*(1+$BI151))*(1+$AM151))*$Q151*(1+IF(VLOOKUP($R151,武学奇术!$A:$ZZ,30,FALSE)="回旋伞",$B$21,0))*(1+$BR151)</f>
        <v>0</v>
      </c>
      <c r="Q151" s="39">
        <v>1</v>
      </c>
      <c r="R151" s="40" t="s">
        <v>167</v>
      </c>
      <c r="S151" s="40" t="s">
        <v>72</v>
      </c>
      <c r="T151" s="40" t="s">
        <v>72</v>
      </c>
      <c r="U151" s="40" t="s">
        <v>72</v>
      </c>
      <c r="V151" s="40" t="s">
        <v>72</v>
      </c>
      <c r="W151" s="40" t="s">
        <v>72</v>
      </c>
      <c r="X151" s="40" t="s">
        <v>72</v>
      </c>
      <c r="Y151" s="40" t="s">
        <v>72</v>
      </c>
      <c r="Z151" s="40" t="s">
        <v>72</v>
      </c>
      <c r="AA151" s="40" t="s">
        <v>72</v>
      </c>
      <c r="AB151" s="40" t="s">
        <v>72</v>
      </c>
      <c r="AC151" s="40" t="s">
        <v>72</v>
      </c>
      <c r="AD151" s="40" t="s">
        <v>72</v>
      </c>
      <c r="AE151" s="40" t="s">
        <v>72</v>
      </c>
      <c r="AF151" s="40" t="s">
        <v>72</v>
      </c>
      <c r="AG151" s="40" t="s">
        <v>78</v>
      </c>
      <c r="AH151" t="str">
        <f>VLOOKUP($R151,武学奇术!$A:$ZZ,25,FALSE)</f>
        <v>心法</v>
      </c>
      <c r="AI151" s="26">
        <f>VLOOKUP($R151,武学奇术!$A:$ZZ,26,FALSE)</f>
        <v>0</v>
      </c>
      <c r="AJ151" s="27">
        <f>VLOOKUP($R151,武学奇术!$A:$ZZ,27,FALSE)*(1+IF(OR($AH151=$F$4,$AH151=$F$5),$B$22,0))</f>
        <v>0</v>
      </c>
      <c r="AK151" s="26">
        <f>VLOOKUP($R151,武学奇术!$A:$ZZ,28,FALSE)</f>
        <v>0</v>
      </c>
      <c r="AL151" s="27">
        <f>VLOOKUP($R151,武学奇术!$A:$ZZ,29,FALSE)*(1+IF(OR($AH151=$F$4,$AH151=$F$5),$B$22,0))</f>
        <v>0</v>
      </c>
      <c r="AM151" s="26" cm="1">
        <f t="array" ref="AM151">$G$3+IFERROR(VLOOKUP($AH151,$F$4:$G$7,2,FALSE),0)+VLOOKUP($R151,武学奇术!$A:$ZZ,2,FALSE)+SUM(_xlfn.XLOOKUP($S151:$AG151,增益!$A:$A,增益!$B:$B,0))</f>
        <v>0.1037</v>
      </c>
      <c r="AN151" s="26" cm="1">
        <f t="array" ref="AN151">VLOOKUP($R151,武学奇术!$A:$ZZ,5,FALSE)+SUM(_xlfn.XLOOKUP($S151:$AG151,增益!$A:$A,增益!$E:$E,0))</f>
        <v>0</v>
      </c>
      <c r="AO151" cm="1">
        <f t="array" ref="AO151">$D$10*(1+$AN151)+VLOOKUP($R151,武学奇术!$A:$ZZ,3,FALSE)+SUM(_xlfn.XLOOKUP($S151:$AG151,增益!$A:$A,增益!$C:$C,0))-$I$2</f>
        <v>3562.6</v>
      </c>
      <c r="AP151" cm="1">
        <f t="array" ref="AP151">$E$10*(1+$AN151)+VLOOKUP($R151,武学奇术!$A:$ZZ,4,FALSE)+SUM(_xlfn.XLOOKUP($S151:$AG151,增益!$A:$A,增益!$D:$D,0))-$I$2</f>
        <v>3562.6</v>
      </c>
      <c r="AQ151" s="32" cm="1">
        <f t="array" ref="AQ151">IF($F$10-$I$3+VLOOKUP($R151,武学奇术!$A:$ZZ,6,FALSE)+SUM(_xlfn.XLOOKUP(S151:AG151,增益!$A:$A,增益!$F:$F,0))&gt;0,($F$10-$I$3+VLOOKUP($R151,武学奇术!$A:$ZZ,6,FALSE)+SUM(_xlfn.XLOOKUP(S151:AG151,增益!$A:$A,增益!$F:$F,0)))/200,($F$10-$I$3+VLOOKUP($R151,武学奇术!$A:$ZZ,6,FALSE)+SUM(_xlfn.XLOOKUP(S151:AG151,增益!$A:$A,增益!$F:$F,0)))/100)</f>
        <v>0.1925</v>
      </c>
      <c r="AR151" s="32" cm="1">
        <f t="array" ref="AR151">$G$10+VLOOKUP($R151,武学奇术!$A:$ZZ,7,FALSE)+SUM(_xlfn.XLOOKUP(S151:AG151,增益!$A:$A,增益!$G:$G,0))</f>
        <v>0.028</v>
      </c>
      <c r="AS151" s="26" cm="1">
        <f t="array" ref="AS151">VLOOKUP($R151,武学奇术!$A:$ZZ,8,FALSE)+SUM(_xlfn.XLOOKUP(S151:AG151,增益!$A:$A,增益!$H:$H,0))</f>
        <v>0</v>
      </c>
      <c r="AT151">
        <f t="shared" si="26"/>
        <v>0</v>
      </c>
      <c r="AU151">
        <f t="shared" si="27"/>
        <v>0</v>
      </c>
      <c r="AV151" s="32" cm="1">
        <f t="array" ref="AV151">IF($F$11-$I$4+VLOOKUP($R151,武学奇术!$A:$ZZ,9,FALSE)+SUM(_xlfn.XLOOKUP(S151:AG151,增益!$A:$A,增益!$I:$I,0))&gt;0,($F$11-$I$4+VLOOKUP($R151,武学奇术!$A:$ZZ,9,FALSE)+SUM(_xlfn.XLOOKUP(S151:AG151,增益!$A:$A,增益!$I:$I,0)))/200,($F$11-$I$4+VLOOKUP($R151,武学奇术!$A:$ZZ,9,FALSE)+SUM(_xlfn.XLOOKUP(S151:AG151,增益!$A:$A,增益!$I:$I,0)))/100)</f>
        <v>-0.3</v>
      </c>
      <c r="AW151" s="32" cm="1">
        <f t="array" ref="AW151">$G$11+VLOOKUP($R151,武学奇术!$A:$ZZ,10,FALSE)+SUM(_xlfn.XLOOKUP(S151:AG151,增益!$A:$A,增益!$J:$J,0))</f>
        <v>0</v>
      </c>
      <c r="AX151">
        <f t="shared" si="28"/>
        <v>0</v>
      </c>
      <c r="AY151">
        <f t="shared" si="29"/>
        <v>0</v>
      </c>
      <c r="AZ151" s="32" cm="1">
        <f t="array" ref="AZ151">IF($F$12-$I$4+VLOOKUP($R151,武学奇术!$A:$ZZ,11,FALSE)+SUM(_xlfn.XLOOKUP(S151:AG151,增益!$A:$A,增益!$K:$K,0))&gt;0,($F$12-$I$4+VLOOKUP($R151,武学奇术!$A:$ZZ,11,FALSE)+SUM(_xlfn.XLOOKUP(S151:AG151,增益!$A:$A,增益!$K:$K,0)))/200,($F$12-$I$4+VLOOKUP($R151,武学奇术!$A:$ZZ,11,FALSE)+SUM(_xlfn.XLOOKUP(S151:AG151,增益!$A:$A,增益!$K:$K,0)))/100)</f>
        <v>-0.3</v>
      </c>
      <c r="BA151" s="32" cm="1">
        <f t="array" ref="BA151">$G$12+VLOOKUP($R151,武学奇术!$A:$ZZ,12,FALSE)+SUM(_xlfn.XLOOKUP(S151:AG151,增益!$A:$A,增益!$L:$L,0))</f>
        <v>0</v>
      </c>
      <c r="BB151">
        <f t="shared" si="30"/>
        <v>0</v>
      </c>
      <c r="BC151">
        <f t="shared" si="31"/>
        <v>0</v>
      </c>
      <c r="BD151" s="32" cm="1">
        <f t="array" ref="BD151">IF($F$13-$I$4+VLOOKUP($R151,武学奇术!$A:$ZZ,13,FALSE)+SUM(_xlfn.XLOOKUP(S151:AG151,增益!$A:$A,增益!$M:$M,0))&gt;0,($F$13-$I$4+VLOOKUP($R151,武学奇术!$A:$ZZ,13,FALSE)+SUM(_xlfn.XLOOKUP(S151:AG151,增益!$A:$A,增益!$K:$K,0)))/200,($F$13-$I$4+VLOOKUP($R151,武学奇术!$A:$ZZ,13,FALSE)+SUM(_xlfn.XLOOKUP(S151:AG151,增益!$A:$A,增益!$M:$M,0)))/100)</f>
        <v>-0.3</v>
      </c>
      <c r="BE151" s="32" cm="1">
        <f t="array" ref="BE151">$G$13+VLOOKUP($R151,武学奇术!$A:$ZZ,14,FALSE)+SUM(_xlfn.XLOOKUP(S151:AG151,增益!$A:$A,增益!$N:$N,0))</f>
        <v>0</v>
      </c>
      <c r="BF151">
        <f t="shared" si="32"/>
        <v>571.2</v>
      </c>
      <c r="BG151">
        <f t="shared" si="33"/>
        <v>1627.8</v>
      </c>
      <c r="BH151" s="32" cm="1">
        <f t="array" ref="BH151">IF($F$14-$I$4+VLOOKUP($R151,武学奇术!$A:$ZZ,15,FALSE)+SUM(_xlfn.XLOOKUP(S151:AG151,增益!$A:$A,增益!$O:$O,0))&gt;0,($F$14-$I$4+VLOOKUP($R151,武学奇术!$A:$ZZ,15,FALSE)+SUM(_xlfn.XLOOKUP(S151:AG151,增益!$A:$A,增益!$O:$O,0)))/200,($F$14-$I$4+VLOOKUP($R151,武学奇术!$A:$ZZ,15,FALSE)+SUM(_xlfn.XLOOKUP(S151:AG151,增益!$A:$A,增益!$O:$O,0)))/100)</f>
        <v>0</v>
      </c>
      <c r="BI151" s="32" cm="1">
        <f t="array" ref="BI151">$G$14+VLOOKUP($R151,武学奇术!$A:$ZZ,16,FALSE)+SUM(_xlfn.XLOOKUP(S151:AG151,增益!$A:$A,增益!$P:$P,0))</f>
        <v>0.15</v>
      </c>
      <c r="BJ151" s="26">
        <f>MIN(IF(VLOOKUP($R151,武学奇术!$A:$ZZ,23,FALSE)=1,100%,$B$8),100%)</f>
        <v>0.981</v>
      </c>
      <c r="BK151" s="26" cm="1">
        <f t="array" ref="BK151">IF(VLOOKUP($R151,武学奇术!$A:$ZZ,23,FALSE)=1,100%,MIN(80%,$B$9+VLOOKUP($R151,武学奇术!$A:$ZZ,17,FALSE)+SUM(_xlfn.XLOOKUP(S151:AG151,增益!$A:$A,增益!$Q:$Q,0)))+$B$11+SUM(_xlfn.XLOOKUP(S151:AG151,增益!$A:$A,增益!$U:$U,0)))*IF(VLOOKUP($R151,武学奇术!$A:$ZZ,24,FALSE)=1,0,1)</f>
        <v>0.846</v>
      </c>
      <c r="BL151" s="26" cm="1">
        <f t="array" ref="BL151">1+$B$13+VLOOKUP($R151,武学奇术!$A:$ZZ,18,FALSE)+SUM(_xlfn.XLOOKUP(S151:AG151,增益!$A:$A,增益!$R:$R,0))</f>
        <v>1.54</v>
      </c>
      <c r="BM151" s="26" cm="1">
        <f t="array" ref="BM151">IF(VLOOKUP($R151,武学奇术!$A:$ZZ,24,FALSE)=1,100%,MIN(40%,$B$10+VLOOKUP($R151,武学奇术!$A:$ZZ,19,FALSE)+SUM(_xlfn.XLOOKUP(S151:AG151,增益!$A:$A,增益!$S:$S,0)))+$B$12+SUM(_xlfn.XLOOKUP(S151:AG151,增益!$A:$A,增益!$V:$V,0)))*IF(VLOOKUP($R151,武学奇术!$A:$ZZ,23,FALSE)=1,0,1)</f>
        <v>0.0929</v>
      </c>
      <c r="BN151" s="26" cm="1">
        <f t="array" ref="BN151">1+$B$14+VLOOKUP($R151,武学奇术!$A:$ZZ,20,FALSE)+SUM(_xlfn.XLOOKUP(S151:AG151,增益!$A:$A,增益!$T:$T,0))</f>
        <v>1.35</v>
      </c>
      <c r="BO151" s="26">
        <f t="shared" si="34"/>
        <v>0.829926</v>
      </c>
      <c r="BP151" s="26">
        <f t="shared" si="35"/>
        <v>0.0599391</v>
      </c>
      <c r="BQ151" s="26">
        <f>IF(VLOOKUP($R151,武学奇术!$A:$ZZ,22,FALSE)=1,0,(1-$BJ151))*(1-$BM151)</f>
        <v>0.0172349</v>
      </c>
      <c r="BR151" s="26" cm="1">
        <f t="array" ref="BR151">SUM(_xlfn.XLOOKUP(S151:AG151,增益!$A:$A,增益!$W:$W,0))+$I$5</f>
        <v>0.11</v>
      </c>
    </row>
    <row r="152" spans="11:70">
      <c r="K152">
        <f>$L152*VLOOKUP($R152,武学奇术!$A:$ZZ,31,FALSE)</f>
        <v>0</v>
      </c>
      <c r="L152" s="38">
        <f t="shared" ref="L152:L164" si="36">($M152*$BO152+$N152*$BM152+$O152*$BP152+$P152*$BQ152)</f>
        <v>0</v>
      </c>
      <c r="M152" s="38">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BL152*$Q152*(1+IF(VLOOKUP($R152,武学奇术!$A:$ZZ,30,FALSE)="回旋伞",$B$21,0))*(1+$BR152)</f>
        <v>0</v>
      </c>
      <c r="N152" s="38">
        <f>(($AP152*$AI152+$AJ152)*(1+$AQ152)*(1+$AR152)+($AU152*IF($G$1="鸣金",$AK152,$AI152)+IF($G$1="鸣金",$AL152*1.5,0))*(1+$AV152)*(1+$AW152)+($AY152*IF($G$1="裂石",$AK152,$AI152)+IF($G$1="裂石",$AL152*1.5,0))*(1+$AZ152)*(1+$BA152)+($BC152*IF($G$1="牵丝",$AK152,$AI152)+IF($G$1="牵丝",$AL152*1.5,0))*(1+$BD152)*(1+$BE152)+($BG152*IF($G$1="破竹",$AK152,$AI152)+IF($G$1="破竹",$AL152*1.5,0))*(1+$BH152)*(1+$BI152))*(1+$AM152)*$BN152*$Q152*(1+IF(VLOOKUP($R152,武学奇术!$A:$ZZ,30,FALSE)="回旋伞",$B$21,0))*(1+$BR152)</f>
        <v>0</v>
      </c>
      <c r="O152" s="38">
        <f>((($AO152+$AP152)/2*$AI152+$AJ152)*(1+$AQ152)*(1+$AR152)+(($AT152+$AU152)/2*IF($G$1="鸣金",$AK152,$AI152)+IF($G$1="鸣金",$AL152*1.5,0))*(1+$AV152)*(1+$AW152)+(($AX152+$AY152)/2*IF($G$1="裂石",$AK152,$AI152)+IF($G$1="裂石",$AL152*1.5,0))*(1+$AZ152)*(1+$BA152)+(($BB152+$BC152)/2*IF($G$1="牵丝",$AK152,$AI152)+IF($G$1="牵丝",$AL152*1.5,0))*(1+$BD152)*(1+$BE152)+(($BF152+$BG152)/2*IF($G$1="破竹",$AK152,$AI152)+IF($G$1="破竹",$AL152*1.5,0))*(1+$BH152)*(1+$BI152))*(1+$AM152)*$Q152*(1+IF(VLOOKUP($R152,武学奇术!$A:$ZZ,30,FALSE)="回旋伞",$B$21,0))*(1+$BR152)</f>
        <v>0</v>
      </c>
      <c r="P152" s="38">
        <f>((($AO152*$AI152+$AJ152)*(1+$AQ152)*(1+$AR152)+($AT152*IF($G$1="鸣金",$AK152,$AI152)+IF($G$1="鸣金",$AL152*1.5,0))*(1+$AV152)*(1+$AW152)+($AX152*IF($G$1="裂石",$AK152,$AI152)+IF($G$1="裂石",$AL152*1.5,0))*(1+$AZ152)*(1+$BA152)+($BB152*IF($G$1="牵丝",$AK152,$AI152)+IF($G$1="牵丝",$AL152*1.5,0))*(1+$BD152)*(1+$BE152)+($BF152*IF($G$1="破竹",$AK152,$AI152)+IF($G$1="破竹",$AL152*1.5,0))*(1+$BH152)*(1+$BI152))*(1+$AM152))*$Q152*(1+IF(VLOOKUP($R152,武学奇术!$A:$ZZ,30,FALSE)="回旋伞",$B$21,0))*(1+$BR152)</f>
        <v>0</v>
      </c>
      <c r="Q152" s="39">
        <v>1</v>
      </c>
      <c r="R152" s="40" t="s">
        <v>72</v>
      </c>
      <c r="S152" s="40" t="s">
        <v>72</v>
      </c>
      <c r="T152" s="40" t="s">
        <v>72</v>
      </c>
      <c r="U152" s="40" t="s">
        <v>72</v>
      </c>
      <c r="V152" s="40" t="s">
        <v>72</v>
      </c>
      <c r="W152" s="40" t="s">
        <v>72</v>
      </c>
      <c r="X152" s="40" t="s">
        <v>72</v>
      </c>
      <c r="Y152" s="40" t="s">
        <v>72</v>
      </c>
      <c r="Z152" s="40" t="s">
        <v>72</v>
      </c>
      <c r="AA152" s="40" t="s">
        <v>72</v>
      </c>
      <c r="AB152" s="40" t="s">
        <v>72</v>
      </c>
      <c r="AC152" s="40" t="s">
        <v>72</v>
      </c>
      <c r="AD152" s="40" t="s">
        <v>72</v>
      </c>
      <c r="AE152" s="40" t="s">
        <v>72</v>
      </c>
      <c r="AF152" s="40" t="s">
        <v>72</v>
      </c>
      <c r="AG152" s="40" t="s">
        <v>78</v>
      </c>
      <c r="AH152" t="str">
        <f>VLOOKUP($R152,武学奇术!$A:$ZZ,25,FALSE)</f>
        <v>心法</v>
      </c>
      <c r="AI152" s="26">
        <f>VLOOKUP($R152,武学奇术!$A:$ZZ,26,FALSE)</f>
        <v>0</v>
      </c>
      <c r="AJ152" s="27">
        <f>VLOOKUP($R152,武学奇术!$A:$ZZ,27,FALSE)*(1+IF(OR($AH152=$F$4,$AH152=$F$5),$B$22,0))</f>
        <v>0</v>
      </c>
      <c r="AK152" s="26">
        <f>VLOOKUP($R152,武学奇术!$A:$ZZ,28,FALSE)</f>
        <v>0</v>
      </c>
      <c r="AL152" s="27">
        <f>VLOOKUP($R152,武学奇术!$A:$ZZ,29,FALSE)*(1+IF(OR($AH152=$F$4,$AH152=$F$5),$B$22,0))</f>
        <v>0</v>
      </c>
      <c r="AM152" s="26" cm="1">
        <f t="array" ref="AM152">$G$3+IFERROR(VLOOKUP($AH152,$F$4:$G$7,2,FALSE),0)+VLOOKUP($R152,武学奇术!$A:$ZZ,2,FALSE)+SUM(_xlfn.XLOOKUP($S152:$AG152,增益!$A:$A,增益!$B:$B,0))</f>
        <v>0.1037</v>
      </c>
      <c r="AN152" s="26" cm="1">
        <f t="array" ref="AN152">VLOOKUP($R152,武学奇术!$A:$ZZ,5,FALSE)+SUM(_xlfn.XLOOKUP($S152:$AG152,增益!$A:$A,增益!$E:$E,0))</f>
        <v>0</v>
      </c>
      <c r="AO152" cm="1">
        <f t="array" ref="AO152">$D$10*(1+$AN152)+VLOOKUP($R152,武学奇术!$A:$ZZ,3,FALSE)+SUM(_xlfn.XLOOKUP($S152:$AG152,增益!$A:$A,增益!$C:$C,0))-$I$2</f>
        <v>3562.6</v>
      </c>
      <c r="AP152" cm="1">
        <f t="array" ref="AP152">$E$10*(1+$AN152)+VLOOKUP($R152,武学奇术!$A:$ZZ,4,FALSE)+SUM(_xlfn.XLOOKUP($S152:$AG152,增益!$A:$A,增益!$D:$D,0))-$I$2</f>
        <v>3562.6</v>
      </c>
      <c r="AQ152" s="32" cm="1">
        <f t="array" ref="AQ152">IF($F$10-$I$3+VLOOKUP($R152,武学奇术!$A:$ZZ,6,FALSE)+SUM(_xlfn.XLOOKUP(S152:AG152,增益!$A:$A,增益!$F:$F,0))&gt;0,($F$10-$I$3+VLOOKUP($R152,武学奇术!$A:$ZZ,6,FALSE)+SUM(_xlfn.XLOOKUP(S152:AG152,增益!$A:$A,增益!$F:$F,0)))/200,($F$10-$I$3+VLOOKUP($R152,武学奇术!$A:$ZZ,6,FALSE)+SUM(_xlfn.XLOOKUP(S152:AG152,增益!$A:$A,增益!$F:$F,0)))/100)</f>
        <v>0.1925</v>
      </c>
      <c r="AR152" s="32" cm="1">
        <f t="array" ref="AR152">$G$10+VLOOKUP($R152,武学奇术!$A:$ZZ,7,FALSE)+SUM(_xlfn.XLOOKUP(S152:AG152,增益!$A:$A,增益!$G:$G,0))</f>
        <v>0.028</v>
      </c>
      <c r="AS152" s="26" cm="1">
        <f t="array" ref="AS152">VLOOKUP($R152,武学奇术!$A:$ZZ,8,FALSE)+SUM(_xlfn.XLOOKUP(S152:AG152,增益!$A:$A,增益!$H:$H,0))</f>
        <v>0</v>
      </c>
      <c r="AT152">
        <f t="shared" si="26"/>
        <v>0</v>
      </c>
      <c r="AU152">
        <f t="shared" si="27"/>
        <v>0</v>
      </c>
      <c r="AV152" s="32" cm="1">
        <f t="array" ref="AV152">IF($F$11-$I$4+VLOOKUP($R152,武学奇术!$A:$ZZ,9,FALSE)+SUM(_xlfn.XLOOKUP(S152:AG152,增益!$A:$A,增益!$I:$I,0))&gt;0,($F$11-$I$4+VLOOKUP($R152,武学奇术!$A:$ZZ,9,FALSE)+SUM(_xlfn.XLOOKUP(S152:AG152,增益!$A:$A,增益!$I:$I,0)))/200,($F$11-$I$4+VLOOKUP($R152,武学奇术!$A:$ZZ,9,FALSE)+SUM(_xlfn.XLOOKUP(S152:AG152,增益!$A:$A,增益!$I:$I,0)))/100)</f>
        <v>-0.3</v>
      </c>
      <c r="AW152" s="32" cm="1">
        <f t="array" ref="AW152">$G$11+VLOOKUP($R152,武学奇术!$A:$ZZ,10,FALSE)+SUM(_xlfn.XLOOKUP(S152:AG152,增益!$A:$A,增益!$J:$J,0))</f>
        <v>0</v>
      </c>
      <c r="AX152">
        <f t="shared" si="28"/>
        <v>0</v>
      </c>
      <c r="AY152">
        <f t="shared" si="29"/>
        <v>0</v>
      </c>
      <c r="AZ152" s="32" cm="1">
        <f t="array" ref="AZ152">IF($F$12-$I$4+VLOOKUP($R152,武学奇术!$A:$ZZ,11,FALSE)+SUM(_xlfn.XLOOKUP(S152:AG152,增益!$A:$A,增益!$K:$K,0))&gt;0,($F$12-$I$4+VLOOKUP($R152,武学奇术!$A:$ZZ,11,FALSE)+SUM(_xlfn.XLOOKUP(S152:AG152,增益!$A:$A,增益!$K:$K,0)))/200,($F$12-$I$4+VLOOKUP($R152,武学奇术!$A:$ZZ,11,FALSE)+SUM(_xlfn.XLOOKUP(S152:AG152,增益!$A:$A,增益!$K:$K,0)))/100)</f>
        <v>-0.3</v>
      </c>
      <c r="BA152" s="32" cm="1">
        <f t="array" ref="BA152">$G$12+VLOOKUP($R152,武学奇术!$A:$ZZ,12,FALSE)+SUM(_xlfn.XLOOKUP(S152:AG152,增益!$A:$A,增益!$L:$L,0))</f>
        <v>0</v>
      </c>
      <c r="BB152">
        <f t="shared" si="30"/>
        <v>0</v>
      </c>
      <c r="BC152">
        <f t="shared" si="31"/>
        <v>0</v>
      </c>
      <c r="BD152" s="32" cm="1">
        <f t="array" ref="BD152">IF($F$13-$I$4+VLOOKUP($R152,武学奇术!$A:$ZZ,13,FALSE)+SUM(_xlfn.XLOOKUP(S152:AG152,增益!$A:$A,增益!$M:$M,0))&gt;0,($F$13-$I$4+VLOOKUP($R152,武学奇术!$A:$ZZ,13,FALSE)+SUM(_xlfn.XLOOKUP(S152:AG152,增益!$A:$A,增益!$K:$K,0)))/200,($F$13-$I$4+VLOOKUP($R152,武学奇术!$A:$ZZ,13,FALSE)+SUM(_xlfn.XLOOKUP(S152:AG152,增益!$A:$A,增益!$M:$M,0)))/100)</f>
        <v>-0.3</v>
      </c>
      <c r="BE152" s="32" cm="1">
        <f t="array" ref="BE152">$G$13+VLOOKUP($R152,武学奇术!$A:$ZZ,14,FALSE)+SUM(_xlfn.XLOOKUP(S152:AG152,增益!$A:$A,增益!$N:$N,0))</f>
        <v>0</v>
      </c>
      <c r="BF152">
        <f t="shared" si="32"/>
        <v>571.2</v>
      </c>
      <c r="BG152">
        <f t="shared" si="33"/>
        <v>1627.8</v>
      </c>
      <c r="BH152" s="32" cm="1">
        <f t="array" ref="BH152">IF($F$14-$I$4+VLOOKUP($R152,武学奇术!$A:$ZZ,15,FALSE)+SUM(_xlfn.XLOOKUP(S152:AG152,增益!$A:$A,增益!$O:$O,0))&gt;0,($F$14-$I$4+VLOOKUP($R152,武学奇术!$A:$ZZ,15,FALSE)+SUM(_xlfn.XLOOKUP(S152:AG152,增益!$A:$A,增益!$O:$O,0)))/200,($F$14-$I$4+VLOOKUP($R152,武学奇术!$A:$ZZ,15,FALSE)+SUM(_xlfn.XLOOKUP(S152:AG152,增益!$A:$A,增益!$O:$O,0)))/100)</f>
        <v>0</v>
      </c>
      <c r="BI152" s="32" cm="1">
        <f t="array" ref="BI152">$G$14+VLOOKUP($R152,武学奇术!$A:$ZZ,16,FALSE)+SUM(_xlfn.XLOOKUP(S152:AG152,增益!$A:$A,增益!$P:$P,0))</f>
        <v>0.15</v>
      </c>
      <c r="BJ152" s="26">
        <f>MIN(IF(VLOOKUP($R152,武学奇术!$A:$ZZ,23,FALSE)=1,100%,$B$8),100%)</f>
        <v>0.981</v>
      </c>
      <c r="BK152" s="26" cm="1">
        <f t="array" ref="BK152">IF(VLOOKUP($R152,武学奇术!$A:$ZZ,23,FALSE)=1,100%,MIN(80%,$B$9+VLOOKUP($R152,武学奇术!$A:$ZZ,17,FALSE)+SUM(_xlfn.XLOOKUP(S152:AG152,增益!$A:$A,增益!$Q:$Q,0)))+$B$11+SUM(_xlfn.XLOOKUP(S152:AG152,增益!$A:$A,增益!$U:$U,0)))*IF(VLOOKUP($R152,武学奇术!$A:$ZZ,24,FALSE)=1,0,1)</f>
        <v>0.846</v>
      </c>
      <c r="BL152" s="26" cm="1">
        <f t="array" ref="BL152">1+$B$13+VLOOKUP($R152,武学奇术!$A:$ZZ,18,FALSE)+SUM(_xlfn.XLOOKUP(S152:AG152,增益!$A:$A,增益!$R:$R,0))</f>
        <v>1.54</v>
      </c>
      <c r="BM152" s="26" cm="1">
        <f t="array" ref="BM152">IF(VLOOKUP($R152,武学奇术!$A:$ZZ,24,FALSE)=1,100%,MIN(40%,$B$10+VLOOKUP($R152,武学奇术!$A:$ZZ,19,FALSE)+SUM(_xlfn.XLOOKUP(S152:AG152,增益!$A:$A,增益!$S:$S,0)))+$B$12+SUM(_xlfn.XLOOKUP(S152:AG152,增益!$A:$A,增益!$V:$V,0)))*IF(VLOOKUP($R152,武学奇术!$A:$ZZ,23,FALSE)=1,0,1)</f>
        <v>0.0929</v>
      </c>
      <c r="BN152" s="26" cm="1">
        <f t="array" ref="BN152">1+$B$14+VLOOKUP($R152,武学奇术!$A:$ZZ,20,FALSE)+SUM(_xlfn.XLOOKUP(S152:AG152,增益!$A:$A,增益!$T:$T,0))</f>
        <v>1.35</v>
      </c>
      <c r="BO152" s="26">
        <f t="shared" si="34"/>
        <v>0.829926</v>
      </c>
      <c r="BP152" s="26">
        <f t="shared" si="35"/>
        <v>0.0599391</v>
      </c>
      <c r="BQ152" s="26">
        <f>IF(VLOOKUP($R152,武学奇术!$A:$ZZ,22,FALSE)=1,0,(1-$BJ152))*(1-$BM152)</f>
        <v>0.0172349</v>
      </c>
      <c r="BR152" s="26" cm="1">
        <f t="array" ref="BR152">SUM(_xlfn.XLOOKUP(S152:AG152,增益!$A:$A,增益!$W:$W,0))+$I$5</f>
        <v>0.11</v>
      </c>
    </row>
    <row r="153" spans="11:70">
      <c r="K153">
        <f>$L153*VLOOKUP($R153,武学奇术!$A:$ZZ,31,FALSE)</f>
        <v>0</v>
      </c>
      <c r="L153" s="38">
        <f t="shared" si="36"/>
        <v>0</v>
      </c>
      <c r="M153" s="38">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BL153*$Q153*(1+IF(VLOOKUP($R153,武学奇术!$A:$ZZ,30,FALSE)="回旋伞",$B$21,0))*(1+$BR153)</f>
        <v>0</v>
      </c>
      <c r="N153" s="38">
        <f>(($AP153*$AI153+$AJ153)*(1+$AQ153)*(1+$AR153)+($AU153*IF($G$1="鸣金",$AK153,$AI153)+IF($G$1="鸣金",$AL153*1.5,0))*(1+$AV153)*(1+$AW153)+($AY153*IF($G$1="裂石",$AK153,$AI153)+IF($G$1="裂石",$AL153*1.5,0))*(1+$AZ153)*(1+$BA153)+($BC153*IF($G$1="牵丝",$AK153,$AI153)+IF($G$1="牵丝",$AL153*1.5,0))*(1+$BD153)*(1+$BE153)+($BG153*IF($G$1="破竹",$AK153,$AI153)+IF($G$1="破竹",$AL153*1.5,0))*(1+$BH153)*(1+$BI153))*(1+$AM153)*$BN153*$Q153*(1+IF(VLOOKUP($R153,武学奇术!$A:$ZZ,30,FALSE)="回旋伞",$B$21,0))*(1+$BR153)</f>
        <v>0</v>
      </c>
      <c r="O153" s="38">
        <f>((($AO153+$AP153)/2*$AI153+$AJ153)*(1+$AQ153)*(1+$AR153)+(($AT153+$AU153)/2*IF($G$1="鸣金",$AK153,$AI153)+IF($G$1="鸣金",$AL153*1.5,0))*(1+$AV153)*(1+$AW153)+(($AX153+$AY153)/2*IF($G$1="裂石",$AK153,$AI153)+IF($G$1="裂石",$AL153*1.5,0))*(1+$AZ153)*(1+$BA153)+(($BB153+$BC153)/2*IF($G$1="牵丝",$AK153,$AI153)+IF($G$1="牵丝",$AL153*1.5,0))*(1+$BD153)*(1+$BE153)+(($BF153+$BG153)/2*IF($G$1="破竹",$AK153,$AI153)+IF($G$1="破竹",$AL153*1.5,0))*(1+$BH153)*(1+$BI153))*(1+$AM153)*$Q153*(1+IF(VLOOKUP($R153,武学奇术!$A:$ZZ,30,FALSE)="回旋伞",$B$21,0))*(1+$BR153)</f>
        <v>0</v>
      </c>
      <c r="P153" s="38">
        <f>((($AO153*$AI153+$AJ153)*(1+$AQ153)*(1+$AR153)+($AT153*IF($G$1="鸣金",$AK153,$AI153)+IF($G$1="鸣金",$AL153*1.5,0))*(1+$AV153)*(1+$AW153)+($AX153*IF($G$1="裂石",$AK153,$AI153)+IF($G$1="裂石",$AL153*1.5,0))*(1+$AZ153)*(1+$BA153)+($BB153*IF($G$1="牵丝",$AK153,$AI153)+IF($G$1="牵丝",$AL153*1.5,0))*(1+$BD153)*(1+$BE153)+($BF153*IF($G$1="破竹",$AK153,$AI153)+IF($G$1="破竹",$AL153*1.5,0))*(1+$BH153)*(1+$BI153))*(1+$AM153))*$Q153*(1+IF(VLOOKUP($R153,武学奇术!$A:$ZZ,30,FALSE)="回旋伞",$B$21,0))*(1+$BR153)</f>
        <v>0</v>
      </c>
      <c r="Q153" s="39">
        <v>1</v>
      </c>
      <c r="R153" s="40" t="s">
        <v>72</v>
      </c>
      <c r="S153" s="40" t="s">
        <v>72</v>
      </c>
      <c r="T153" s="40" t="s">
        <v>72</v>
      </c>
      <c r="U153" s="40" t="s">
        <v>72</v>
      </c>
      <c r="V153" s="40" t="s">
        <v>72</v>
      </c>
      <c r="W153" s="40" t="s">
        <v>72</v>
      </c>
      <c r="X153" s="40" t="s">
        <v>72</v>
      </c>
      <c r="Y153" s="40" t="s">
        <v>72</v>
      </c>
      <c r="Z153" s="40" t="s">
        <v>72</v>
      </c>
      <c r="AA153" s="40" t="s">
        <v>72</v>
      </c>
      <c r="AB153" s="40" t="s">
        <v>72</v>
      </c>
      <c r="AC153" s="40" t="s">
        <v>72</v>
      </c>
      <c r="AD153" s="40" t="s">
        <v>72</v>
      </c>
      <c r="AE153" s="40" t="s">
        <v>72</v>
      </c>
      <c r="AF153" s="40" t="s">
        <v>72</v>
      </c>
      <c r="AG153" s="40" t="s">
        <v>78</v>
      </c>
      <c r="AH153" t="str">
        <f>VLOOKUP($R153,武学奇术!$A:$ZZ,25,FALSE)</f>
        <v>心法</v>
      </c>
      <c r="AI153" s="26">
        <f>VLOOKUP($R153,武学奇术!$A:$ZZ,26,FALSE)</f>
        <v>0</v>
      </c>
      <c r="AJ153" s="27">
        <f>VLOOKUP($R153,武学奇术!$A:$ZZ,27,FALSE)*(1+IF(OR($AH153=$F$4,$AH153=$F$5),$B$22,0))</f>
        <v>0</v>
      </c>
      <c r="AK153" s="26">
        <f>VLOOKUP($R153,武学奇术!$A:$ZZ,28,FALSE)</f>
        <v>0</v>
      </c>
      <c r="AL153" s="27">
        <f>VLOOKUP($R153,武学奇术!$A:$ZZ,29,FALSE)*(1+IF(OR($AH153=$F$4,$AH153=$F$5),$B$22,0))</f>
        <v>0</v>
      </c>
      <c r="AM153" s="26" cm="1">
        <f t="array" ref="AM153">$G$3+IFERROR(VLOOKUP($AH153,$F$4:$G$7,2,FALSE),0)+VLOOKUP($R153,武学奇术!$A:$ZZ,2,FALSE)+SUM(_xlfn.XLOOKUP($S153:$AG153,增益!$A:$A,增益!$B:$B,0))</f>
        <v>0.1037</v>
      </c>
      <c r="AN153" s="26" cm="1">
        <f t="array" ref="AN153">VLOOKUP($R153,武学奇术!$A:$ZZ,5,FALSE)+SUM(_xlfn.XLOOKUP($S153:$AG153,增益!$A:$A,增益!$E:$E,0))</f>
        <v>0</v>
      </c>
      <c r="AO153" cm="1">
        <f t="array" ref="AO153">$D$10*(1+$AN153)+VLOOKUP($R153,武学奇术!$A:$ZZ,3,FALSE)+SUM(_xlfn.XLOOKUP($S153:$AG153,增益!$A:$A,增益!$C:$C,0))-$I$2</f>
        <v>3562.6</v>
      </c>
      <c r="AP153" cm="1">
        <f t="array" ref="AP153">$E$10*(1+$AN153)+VLOOKUP($R153,武学奇术!$A:$ZZ,4,FALSE)+SUM(_xlfn.XLOOKUP($S153:$AG153,增益!$A:$A,增益!$D:$D,0))-$I$2</f>
        <v>3562.6</v>
      </c>
      <c r="AQ153" s="32" cm="1">
        <f t="array" ref="AQ153">IF($F$10-$I$3+VLOOKUP($R153,武学奇术!$A:$ZZ,6,FALSE)+SUM(_xlfn.XLOOKUP(S153:AG153,增益!$A:$A,增益!$F:$F,0))&gt;0,($F$10-$I$3+VLOOKUP($R153,武学奇术!$A:$ZZ,6,FALSE)+SUM(_xlfn.XLOOKUP(S153:AG153,增益!$A:$A,增益!$F:$F,0)))/200,($F$10-$I$3+VLOOKUP($R153,武学奇术!$A:$ZZ,6,FALSE)+SUM(_xlfn.XLOOKUP(S153:AG153,增益!$A:$A,增益!$F:$F,0)))/100)</f>
        <v>0.1925</v>
      </c>
      <c r="AR153" s="32" cm="1">
        <f t="array" ref="AR153">$G$10+VLOOKUP($R153,武学奇术!$A:$ZZ,7,FALSE)+SUM(_xlfn.XLOOKUP(S153:AG153,增益!$A:$A,增益!$G:$G,0))</f>
        <v>0.028</v>
      </c>
      <c r="AS153" s="26" cm="1">
        <f t="array" ref="AS153">VLOOKUP($R153,武学奇术!$A:$ZZ,8,FALSE)+SUM(_xlfn.XLOOKUP(S153:AG153,增益!$A:$A,增益!$H:$H,0))</f>
        <v>0</v>
      </c>
      <c r="AT153">
        <f t="shared" si="26"/>
        <v>0</v>
      </c>
      <c r="AU153">
        <f t="shared" si="27"/>
        <v>0</v>
      </c>
      <c r="AV153" s="32" cm="1">
        <f t="array" ref="AV153">IF($F$11-$I$4+VLOOKUP($R153,武学奇术!$A:$ZZ,9,FALSE)+SUM(_xlfn.XLOOKUP(S153:AG153,增益!$A:$A,增益!$I:$I,0))&gt;0,($F$11-$I$4+VLOOKUP($R153,武学奇术!$A:$ZZ,9,FALSE)+SUM(_xlfn.XLOOKUP(S153:AG153,增益!$A:$A,增益!$I:$I,0)))/200,($F$11-$I$4+VLOOKUP($R153,武学奇术!$A:$ZZ,9,FALSE)+SUM(_xlfn.XLOOKUP(S153:AG153,增益!$A:$A,增益!$I:$I,0)))/100)</f>
        <v>-0.3</v>
      </c>
      <c r="AW153" s="32" cm="1">
        <f t="array" ref="AW153">$G$11+VLOOKUP($R153,武学奇术!$A:$ZZ,10,FALSE)+SUM(_xlfn.XLOOKUP(S153:AG153,增益!$A:$A,增益!$J:$J,0))</f>
        <v>0</v>
      </c>
      <c r="AX153">
        <f t="shared" si="28"/>
        <v>0</v>
      </c>
      <c r="AY153">
        <f t="shared" si="29"/>
        <v>0</v>
      </c>
      <c r="AZ153" s="32" cm="1">
        <f t="array" ref="AZ153">IF($F$12-$I$4+VLOOKUP($R153,武学奇术!$A:$ZZ,11,FALSE)+SUM(_xlfn.XLOOKUP(S153:AG153,增益!$A:$A,增益!$K:$K,0))&gt;0,($F$12-$I$4+VLOOKUP($R153,武学奇术!$A:$ZZ,11,FALSE)+SUM(_xlfn.XLOOKUP(S153:AG153,增益!$A:$A,增益!$K:$K,0)))/200,($F$12-$I$4+VLOOKUP($R153,武学奇术!$A:$ZZ,11,FALSE)+SUM(_xlfn.XLOOKUP(S153:AG153,增益!$A:$A,增益!$K:$K,0)))/100)</f>
        <v>-0.3</v>
      </c>
      <c r="BA153" s="32" cm="1">
        <f t="array" ref="BA153">$G$12+VLOOKUP($R153,武学奇术!$A:$ZZ,12,FALSE)+SUM(_xlfn.XLOOKUP(S153:AG153,增益!$A:$A,增益!$L:$L,0))</f>
        <v>0</v>
      </c>
      <c r="BB153">
        <f t="shared" si="30"/>
        <v>0</v>
      </c>
      <c r="BC153">
        <f t="shared" si="31"/>
        <v>0</v>
      </c>
      <c r="BD153" s="32" cm="1">
        <f t="array" ref="BD153">IF($F$13-$I$4+VLOOKUP($R153,武学奇术!$A:$ZZ,13,FALSE)+SUM(_xlfn.XLOOKUP(S153:AG153,增益!$A:$A,增益!$M:$M,0))&gt;0,($F$13-$I$4+VLOOKUP($R153,武学奇术!$A:$ZZ,13,FALSE)+SUM(_xlfn.XLOOKUP(S153:AG153,增益!$A:$A,增益!$K:$K,0)))/200,($F$13-$I$4+VLOOKUP($R153,武学奇术!$A:$ZZ,13,FALSE)+SUM(_xlfn.XLOOKUP(S153:AG153,增益!$A:$A,增益!$M:$M,0)))/100)</f>
        <v>-0.3</v>
      </c>
      <c r="BE153" s="32" cm="1">
        <f t="array" ref="BE153">$G$13+VLOOKUP($R153,武学奇术!$A:$ZZ,14,FALSE)+SUM(_xlfn.XLOOKUP(S153:AG153,增益!$A:$A,增益!$N:$N,0))</f>
        <v>0</v>
      </c>
      <c r="BF153">
        <f t="shared" si="32"/>
        <v>571.2</v>
      </c>
      <c r="BG153">
        <f t="shared" si="33"/>
        <v>1627.8</v>
      </c>
      <c r="BH153" s="32" cm="1">
        <f t="array" ref="BH153">IF($F$14-$I$4+VLOOKUP($R153,武学奇术!$A:$ZZ,15,FALSE)+SUM(_xlfn.XLOOKUP(S153:AG153,增益!$A:$A,增益!$O:$O,0))&gt;0,($F$14-$I$4+VLOOKUP($R153,武学奇术!$A:$ZZ,15,FALSE)+SUM(_xlfn.XLOOKUP(S153:AG153,增益!$A:$A,增益!$O:$O,0)))/200,($F$14-$I$4+VLOOKUP($R153,武学奇术!$A:$ZZ,15,FALSE)+SUM(_xlfn.XLOOKUP(S153:AG153,增益!$A:$A,增益!$O:$O,0)))/100)</f>
        <v>0</v>
      </c>
      <c r="BI153" s="32" cm="1">
        <f t="array" ref="BI153">$G$14+VLOOKUP($R153,武学奇术!$A:$ZZ,16,FALSE)+SUM(_xlfn.XLOOKUP(S153:AG153,增益!$A:$A,增益!$P:$P,0))</f>
        <v>0.15</v>
      </c>
      <c r="BJ153" s="26">
        <f>MIN(IF(VLOOKUP($R153,武学奇术!$A:$ZZ,23,FALSE)=1,100%,$B$8),100%)</f>
        <v>0.981</v>
      </c>
      <c r="BK153" s="26" cm="1">
        <f t="array" ref="BK153">IF(VLOOKUP($R153,武学奇术!$A:$ZZ,23,FALSE)=1,100%,MIN(80%,$B$9+VLOOKUP($R153,武学奇术!$A:$ZZ,17,FALSE)+SUM(_xlfn.XLOOKUP(S153:AG153,增益!$A:$A,增益!$Q:$Q,0)))+$B$11+SUM(_xlfn.XLOOKUP(S153:AG153,增益!$A:$A,增益!$U:$U,0)))*IF(VLOOKUP($R153,武学奇术!$A:$ZZ,24,FALSE)=1,0,1)</f>
        <v>0.846</v>
      </c>
      <c r="BL153" s="26" cm="1">
        <f t="array" ref="BL153">1+$B$13+VLOOKUP($R153,武学奇术!$A:$ZZ,18,FALSE)+SUM(_xlfn.XLOOKUP(S153:AG153,增益!$A:$A,增益!$R:$R,0))</f>
        <v>1.54</v>
      </c>
      <c r="BM153" s="26" cm="1">
        <f t="array" ref="BM153">IF(VLOOKUP($R153,武学奇术!$A:$ZZ,24,FALSE)=1,100%,MIN(40%,$B$10+VLOOKUP($R153,武学奇术!$A:$ZZ,19,FALSE)+SUM(_xlfn.XLOOKUP(S153:AG153,增益!$A:$A,增益!$S:$S,0)))+$B$12+SUM(_xlfn.XLOOKUP(S153:AG153,增益!$A:$A,增益!$V:$V,0)))*IF(VLOOKUP($R153,武学奇术!$A:$ZZ,23,FALSE)=1,0,1)</f>
        <v>0.0929</v>
      </c>
      <c r="BN153" s="26" cm="1">
        <f t="array" ref="BN153">1+$B$14+VLOOKUP($R153,武学奇术!$A:$ZZ,20,FALSE)+SUM(_xlfn.XLOOKUP(S153:AG153,增益!$A:$A,增益!$T:$T,0))</f>
        <v>1.35</v>
      </c>
      <c r="BO153" s="26">
        <f t="shared" si="34"/>
        <v>0.829926</v>
      </c>
      <c r="BP153" s="26">
        <f t="shared" si="35"/>
        <v>0.0599391</v>
      </c>
      <c r="BQ153" s="26">
        <f>IF(VLOOKUP($R153,武学奇术!$A:$ZZ,22,FALSE)=1,0,(1-$BJ153))*(1-$BM153)</f>
        <v>0.0172349</v>
      </c>
      <c r="BR153" s="26" cm="1">
        <f t="array" ref="BR153">SUM(_xlfn.XLOOKUP(S153:AG153,增益!$A:$A,增益!$W:$W,0))+$I$5</f>
        <v>0.11</v>
      </c>
    </row>
    <row r="154" spans="11:70">
      <c r="K154">
        <f>$L154*VLOOKUP($R154,武学奇术!$A:$ZZ,31,FALSE)</f>
        <v>17080.3119685575</v>
      </c>
      <c r="L154" s="38">
        <f t="shared" si="36"/>
        <v>16266.9637795785</v>
      </c>
      <c r="M154" s="38">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BL154*$Q154*(1+IF(VLOOKUP($R154,武学奇术!$A:$ZZ,30,FALSE)="回旋伞",$B$21,0))*(1+$BR154)</f>
        <v>17195.8132997086</v>
      </c>
      <c r="N154" s="38">
        <f>(($AP154*$AI154+$AJ154)*(1+$AQ154)*(1+$AR154)+($AU154*IF($G$1="鸣金",$AK154,$AI154)+IF($G$1="鸣金",$AL154*1.5,0))*(1+$AV154)*(1+$AW154)+($AY154*IF($G$1="裂石",$AK154,$AI154)+IF($G$1="裂石",$AL154*1.5,0))*(1+$AZ154)*(1+$BA154)+($BC154*IF($G$1="牵丝",$AK154,$AI154)+IF($G$1="牵丝",$AL154*1.5,0))*(1+$BD154)*(1+$BE154)+($BG154*IF($G$1="破竹",$AK154,$AI154)+IF($G$1="破竹",$AL154*1.5,0))*(1+$BH154)*(1+$BI154))*(1+$AM154)*$BN154*$Q154*(1+IF(VLOOKUP($R154,武学奇术!$A:$ZZ,30,FALSE)="回旋伞",$B$21,0))*(1+$BR154)</f>
        <v>13894.4306119658</v>
      </c>
      <c r="O154" s="38">
        <f>((($AO154+$AP154)/2*$AI154+$AJ154)*(1+$AQ154)*(1+$AR154)+(($AT154+$AU154)/2*IF($G$1="鸣金",$AK154,$AI154)+IF($G$1="鸣金",$AL154*1.5,0))*(1+$AV154)*(1+$AW154)+(($AX154+$AY154)/2*IF($G$1="裂石",$AK154,$AI154)+IF($G$1="裂石",$AL154*1.5,0))*(1+$AZ154)*(1+$BA154)+(($BB154+$BC154)/2*IF($G$1="牵丝",$AK154,$AI154)+IF($G$1="牵丝",$AL154*1.5,0))*(1+$BD154)*(1+$BE154)+(($BF154+$BG154)/2*IF($G$1="破竹",$AK154,$AI154)+IF($G$1="破竹",$AL154*1.5,0))*(1+$BH154)*(1+$BI154))*(1+$AM154)*$Q154*(1+IF(VLOOKUP($R154,武学奇术!$A:$ZZ,30,FALSE)="回旋伞",$B$21,0))*(1+$BR154)</f>
        <v>9345.55070636336</v>
      </c>
      <c r="P154" s="38">
        <f>((($AO154*$AI154+$AJ154)*(1+$AQ154)*(1+$AR154)+($AT154*IF($G$1="鸣金",$AK154,$AI154)+IF($G$1="鸣金",$AL154*1.5,0))*(1+$AV154)*(1+$AW154)+($AX154*IF($G$1="裂石",$AK154,$AI154)+IF($G$1="裂石",$AL154*1.5,0))*(1+$AZ154)*(1+$BA154)+($BB154*IF($G$1="牵丝",$AK154,$AI154)+IF($G$1="牵丝",$AL154*1.5,0))*(1+$BD154)*(1+$BE154)+($BF154*IF($G$1="破竹",$AK154,$AI154)+IF($G$1="破竹",$AL154*1.5,0))*(1+$BH154)*(1+$BI154))*(1+$AM154))*$Q154*(1+IF(VLOOKUP($R154,武学奇术!$A:$ZZ,30,FALSE)="回旋伞",$B$21,0))*(1+$BR154)</f>
        <v>8398.93058904836</v>
      </c>
      <c r="Q154" s="39">
        <f t="shared" ref="Q154:Q163" si="37">IF($E$24="易水歌",1,0)</f>
        <v>1</v>
      </c>
      <c r="R154" s="40" t="s">
        <v>186</v>
      </c>
      <c r="S154" s="40" t="s">
        <v>72</v>
      </c>
      <c r="T154" s="40" t="s">
        <v>95</v>
      </c>
      <c r="U154" s="40" t="s">
        <v>73</v>
      </c>
      <c r="V154" s="40" t="s">
        <v>81</v>
      </c>
      <c r="W154" s="40" t="s">
        <v>89</v>
      </c>
      <c r="X154" s="40" t="s">
        <v>99</v>
      </c>
      <c r="Y154" s="40" t="s">
        <v>72</v>
      </c>
      <c r="Z154" s="40" t="s">
        <v>72</v>
      </c>
      <c r="AA154" s="40" t="s">
        <v>72</v>
      </c>
      <c r="AB154" s="40" t="s">
        <v>72</v>
      </c>
      <c r="AC154" s="40" t="s">
        <v>72</v>
      </c>
      <c r="AD154" s="40" t="s">
        <v>72</v>
      </c>
      <c r="AE154" s="40" t="s">
        <v>72</v>
      </c>
      <c r="AF154" s="40" t="s">
        <v>72</v>
      </c>
      <c r="AG154" s="40" t="s">
        <v>78</v>
      </c>
      <c r="AH154" t="str">
        <f>VLOOKUP($R154,武学奇术!$A:$ZZ,25,FALSE)</f>
        <v>心法</v>
      </c>
      <c r="AI154" s="26">
        <f>VLOOKUP($R154,武学奇术!$A:$ZZ,26,FALSE)</f>
        <v>1</v>
      </c>
      <c r="AJ154" s="27">
        <f>VLOOKUP($R154,武学奇术!$A:$ZZ,27,FALSE)*(1+IF(OR($AH154=$F$4,$AH154=$F$5),$B$22,0))</f>
        <v>0</v>
      </c>
      <c r="AK154" s="26">
        <f>VLOOKUP($R154,武学奇术!$A:$ZZ,28,FALSE)</f>
        <v>1</v>
      </c>
      <c r="AL154" s="27">
        <f>VLOOKUP($R154,武学奇术!$A:$ZZ,29,FALSE)*(1+IF(OR($AH154=$F$4,$AH154=$F$5),$B$22,0))</f>
        <v>0</v>
      </c>
      <c r="AM154" s="26" cm="1">
        <f t="array" ref="AM154">$G$3+IFERROR(VLOOKUP($AH154,$F$4:$G$7,2,FALSE),0)+VLOOKUP($R154,武学奇术!$A:$ZZ,2,FALSE)+SUM(_xlfn.XLOOKUP($S154:$AG154,增益!$A:$A,增益!$B:$B,0))</f>
        <v>0.4037</v>
      </c>
      <c r="AN154" s="26" cm="1">
        <f t="array" ref="AN154">VLOOKUP($R154,武学奇术!$A:$ZZ,5,FALSE)+SUM(_xlfn.XLOOKUP($S154:$AG154,增益!$A:$A,增益!$E:$E,0))</f>
        <v>0</v>
      </c>
      <c r="AO154" cm="1">
        <f t="array" ref="AO154">$D$10*(1+$AN154)+VLOOKUP($R154,武学奇术!$A:$ZZ,3,FALSE)+SUM(_xlfn.XLOOKUP($S154:$AG154,增益!$A:$A,增益!$C:$C,0))-$I$2</f>
        <v>3562.6</v>
      </c>
      <c r="AP154" cm="1">
        <f t="array" ref="AP154">$E$10*(1+$AN154)+VLOOKUP($R154,武学奇术!$A:$ZZ,4,FALSE)+SUM(_xlfn.XLOOKUP($S154:$AG154,增益!$A:$A,增益!$D:$D,0))-$I$2</f>
        <v>3562.6</v>
      </c>
      <c r="AQ154" s="32" cm="1">
        <f t="array" ref="AQ154">IF($F$10-$I$3+VLOOKUP($R154,武学奇术!$A:$ZZ,6,FALSE)+SUM(_xlfn.XLOOKUP(S154:AG154,增益!$A:$A,增益!$F:$F,0))&gt;0,($F$10-$I$3+VLOOKUP($R154,武学奇术!$A:$ZZ,6,FALSE)+SUM(_xlfn.XLOOKUP(S154:AG154,增益!$A:$A,增益!$F:$F,0)))/200,($F$10-$I$3+VLOOKUP($R154,武学奇术!$A:$ZZ,6,FALSE)+SUM(_xlfn.XLOOKUP(S154:AG154,增益!$A:$A,增益!$F:$F,0)))/100)</f>
        <v>0.2925</v>
      </c>
      <c r="AR154" s="32" cm="1">
        <f t="array" ref="AR154">$G$10+VLOOKUP($R154,武学奇术!$A:$ZZ,7,FALSE)+SUM(_xlfn.XLOOKUP(S154:AG154,增益!$A:$A,增益!$G:$G,0))</f>
        <v>0.028</v>
      </c>
      <c r="AS154" s="26" cm="1">
        <f t="array" ref="AS154">VLOOKUP($R154,武学奇术!$A:$ZZ,8,FALSE)+SUM(_xlfn.XLOOKUP(S154:AG154,增益!$A:$A,增益!$H:$H,0))</f>
        <v>0</v>
      </c>
      <c r="AT154">
        <f t="shared" si="26"/>
        <v>0</v>
      </c>
      <c r="AU154">
        <f t="shared" si="27"/>
        <v>0</v>
      </c>
      <c r="AV154" s="32" cm="1">
        <f t="array" ref="AV154">IF($F$11-$I$4+VLOOKUP($R154,武学奇术!$A:$ZZ,9,FALSE)+SUM(_xlfn.XLOOKUP(S154:AG154,增益!$A:$A,增益!$I:$I,0))&gt;0,($F$11-$I$4+VLOOKUP($R154,武学奇术!$A:$ZZ,9,FALSE)+SUM(_xlfn.XLOOKUP(S154:AG154,增益!$A:$A,增益!$I:$I,0)))/200,($F$11-$I$4+VLOOKUP($R154,武学奇术!$A:$ZZ,9,FALSE)+SUM(_xlfn.XLOOKUP(S154:AG154,增益!$A:$A,增益!$I:$I,0)))/100)</f>
        <v>-0.3</v>
      </c>
      <c r="AW154" s="32" cm="1">
        <f t="array" ref="AW154">$G$11+VLOOKUP($R154,武学奇术!$A:$ZZ,10,FALSE)+SUM(_xlfn.XLOOKUP(S154:AG154,增益!$A:$A,增益!$J:$J,0))</f>
        <v>0</v>
      </c>
      <c r="AX154">
        <f t="shared" si="28"/>
        <v>0</v>
      </c>
      <c r="AY154">
        <f t="shared" si="29"/>
        <v>0</v>
      </c>
      <c r="AZ154" s="32" cm="1">
        <f t="array" ref="AZ154">IF($F$12-$I$4+VLOOKUP($R154,武学奇术!$A:$ZZ,11,FALSE)+SUM(_xlfn.XLOOKUP(S154:AG154,增益!$A:$A,增益!$K:$K,0))&gt;0,($F$12-$I$4+VLOOKUP($R154,武学奇术!$A:$ZZ,11,FALSE)+SUM(_xlfn.XLOOKUP(S154:AG154,增益!$A:$A,增益!$K:$K,0)))/200,($F$12-$I$4+VLOOKUP($R154,武学奇术!$A:$ZZ,11,FALSE)+SUM(_xlfn.XLOOKUP(S154:AG154,增益!$A:$A,增益!$K:$K,0)))/100)</f>
        <v>-0.3</v>
      </c>
      <c r="BA154" s="32" cm="1">
        <f t="array" ref="BA154">$G$12+VLOOKUP($R154,武学奇术!$A:$ZZ,12,FALSE)+SUM(_xlfn.XLOOKUP(S154:AG154,增益!$A:$A,增益!$L:$L,0))</f>
        <v>0</v>
      </c>
      <c r="BB154">
        <f t="shared" si="30"/>
        <v>0</v>
      </c>
      <c r="BC154">
        <f t="shared" si="31"/>
        <v>0</v>
      </c>
      <c r="BD154" s="32" cm="1">
        <f t="array" ref="BD154">IF($F$13-$I$4+VLOOKUP($R154,武学奇术!$A:$ZZ,13,FALSE)+SUM(_xlfn.XLOOKUP(S154:AG154,增益!$A:$A,增益!$M:$M,0))&gt;0,($F$13-$I$4+VLOOKUP($R154,武学奇术!$A:$ZZ,13,FALSE)+SUM(_xlfn.XLOOKUP(S154:AG154,增益!$A:$A,增益!$K:$K,0)))/200,($F$13-$I$4+VLOOKUP($R154,武学奇术!$A:$ZZ,13,FALSE)+SUM(_xlfn.XLOOKUP(S154:AG154,增益!$A:$A,增益!$M:$M,0)))/100)</f>
        <v>-0.3</v>
      </c>
      <c r="BE154" s="32" cm="1">
        <f t="array" ref="BE154">$G$13+VLOOKUP($R154,武学奇术!$A:$ZZ,14,FALSE)+SUM(_xlfn.XLOOKUP(S154:AG154,增益!$A:$A,增益!$N:$N,0))</f>
        <v>0</v>
      </c>
      <c r="BF154">
        <f t="shared" si="32"/>
        <v>571.2</v>
      </c>
      <c r="BG154">
        <f t="shared" si="33"/>
        <v>1627.8</v>
      </c>
      <c r="BH154" s="32" cm="1">
        <f t="array" ref="BH154">IF($F$14-$I$4+VLOOKUP($R154,武学奇术!$A:$ZZ,15,FALSE)+SUM(_xlfn.XLOOKUP(S154:AG154,增益!$A:$A,增益!$O:$O,0))&gt;0,($F$14-$I$4+VLOOKUP($R154,武学奇术!$A:$ZZ,15,FALSE)+SUM(_xlfn.XLOOKUP(S154:AG154,增益!$A:$A,增益!$O:$O,0)))/200,($F$14-$I$4+VLOOKUP($R154,武学奇术!$A:$ZZ,15,FALSE)+SUM(_xlfn.XLOOKUP(S154:AG154,增益!$A:$A,增益!$O:$O,0)))/100)</f>
        <v>0</v>
      </c>
      <c r="BI154" s="32" cm="1">
        <f t="array" ref="BI154">$G$14+VLOOKUP($R154,武学奇术!$A:$ZZ,16,FALSE)+SUM(_xlfn.XLOOKUP(S154:AG154,增益!$A:$A,增益!$P:$P,0))</f>
        <v>0.15</v>
      </c>
      <c r="BJ154" s="26">
        <f>MIN(IF(VLOOKUP($R154,武学奇术!$A:$ZZ,23,FALSE)=1,100%,$B$8),100%)</f>
        <v>0.981</v>
      </c>
      <c r="BK154" s="26" cm="1">
        <f t="array" ref="BK154">IF(VLOOKUP($R154,武学奇术!$A:$ZZ,23,FALSE)=1,100%,MIN(80%,$B$9+VLOOKUP($R154,武学奇术!$A:$ZZ,17,FALSE)+SUM(_xlfn.XLOOKUP(S154:AG154,增益!$A:$A,增益!$Q:$Q,0)))+$B$11+SUM(_xlfn.XLOOKUP(S154:AG154,增益!$A:$A,增益!$U:$U,0)))*IF(VLOOKUP($R154,武学奇术!$A:$ZZ,24,FALSE)=1,0,1)</f>
        <v>0.846</v>
      </c>
      <c r="BL154" s="26" cm="1">
        <f t="array" ref="BL154">1+$B$13+VLOOKUP($R154,武学奇术!$A:$ZZ,18,FALSE)+SUM(_xlfn.XLOOKUP(S154:AG154,增益!$A:$A,增益!$R:$R,0))</f>
        <v>1.84</v>
      </c>
      <c r="BM154" s="26" cm="1">
        <f t="array" ref="BM154">IF(VLOOKUP($R154,武学奇术!$A:$ZZ,24,FALSE)=1,100%,MIN(40%,$B$10+VLOOKUP($R154,武学奇术!$A:$ZZ,19,FALSE)+SUM(_xlfn.XLOOKUP(S154:AG154,增益!$A:$A,增益!$S:$S,0)))+$B$12+SUM(_xlfn.XLOOKUP(S154:AG154,增益!$A:$A,增益!$V:$V,0)))*IF(VLOOKUP($R154,武学奇术!$A:$ZZ,23,FALSE)=1,0,1)</f>
        <v>0.0929</v>
      </c>
      <c r="BN154" s="26" cm="1">
        <f t="array" ref="BN154">1+$B$14+VLOOKUP($R154,武学奇术!$A:$ZZ,20,FALSE)+SUM(_xlfn.XLOOKUP(S154:AG154,增益!$A:$A,增益!$T:$T,0))</f>
        <v>1.35</v>
      </c>
      <c r="BO154" s="26">
        <f t="shared" si="34"/>
        <v>0.829926</v>
      </c>
      <c r="BP154" s="26">
        <f t="shared" si="35"/>
        <v>0.0599391</v>
      </c>
      <c r="BQ154" s="26">
        <f>IF(VLOOKUP($R154,武学奇术!$A:$ZZ,22,FALSE)=1,0,(1-$BJ154))*(1-$BM154)</f>
        <v>0.0172349</v>
      </c>
      <c r="BR154" s="26" cm="1">
        <f t="array" ref="BR154">SUM(_xlfn.XLOOKUP(S154:AG154,增益!$A:$A,增益!$W:$W,0))+$I$5</f>
        <v>0.11</v>
      </c>
    </row>
    <row r="155" spans="11:70">
      <c r="K155">
        <f>$L155*VLOOKUP($R155,武学奇术!$A:$ZZ,31,FALSE)</f>
        <v>14926.0419169954</v>
      </c>
      <c r="L155" s="38">
        <f t="shared" si="36"/>
        <v>14215.2780161861</v>
      </c>
      <c r="M155" s="38">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BL155*$Q155*(1+IF(VLOOKUP($R155,武学奇术!$A:$ZZ,30,FALSE)="回旋伞",$B$21,0))*(1+$BR155)</f>
        <v>15066.3033727073</v>
      </c>
      <c r="N155" s="38">
        <f>(($AP155*$AI155+$AJ155)*(1+$AQ155)*(1+$AR155)+($AU155*IF($G$1="鸣金",$AK155,$AI155)+IF($G$1="鸣金",$AL155*1.5,0))*(1+$AV155)*(1+$AW155)+($AY155*IF($G$1="裂石",$AK155,$AI155)+IF($G$1="裂石",$AL155*1.5,0))*(1+$AZ155)*(1+$BA155)+($BC155*IF($G$1="牵丝",$AK155,$AI155)+IF($G$1="牵丝",$AL155*1.5,0))*(1+$BD155)*(1+$BE155)+($BG155*IF($G$1="破竹",$AK155,$AI155)+IF($G$1="破竹",$AL155*1.5,0))*(1+$BH155)*(1+$BI155))*(1+$AM155)*$BN155*$Q155*(1+IF(VLOOKUP($R155,武学奇术!$A:$ZZ,30,FALSE)="回旋伞",$B$21,0))*(1+$BR155)</f>
        <v>11914.743982064</v>
      </c>
      <c r="O155" s="38">
        <f>((($AO155+$AP155)/2*$AI155+$AJ155)*(1+$AQ155)*(1+$AR155)+(($AT155+$AU155)/2*IF($G$1="鸣金",$AK155,$AI155)+IF($G$1="鸣金",$AL155*1.5,0))*(1+$AV155)*(1+$AW155)+(($AX155+$AY155)/2*IF($G$1="裂石",$AK155,$AI155)+IF($G$1="裂石",$AL155*1.5,0))*(1+$AZ155)*(1+$BA155)+(($BB155+$BC155)/2*IF($G$1="牵丝",$AK155,$AI155)+IF($G$1="牵丝",$AL155*1.5,0))*(1+$BD155)*(1+$BE155)+(($BF155+$BG155)/2*IF($G$1="破竹",$AK155,$AI155)+IF($G$1="破竹",$AL155*1.5,0))*(1+$BH155)*(1+$BI155))*(1+$AM155)*$Q155*(1+IF(VLOOKUP($R155,武学奇术!$A:$ZZ,30,FALSE)="回旋伞",$B$21,0))*(1+$BR155)</f>
        <v>8013.99115569536</v>
      </c>
      <c r="P155" s="38">
        <f>((($AO155*$AI155+$AJ155)*(1+$AQ155)*(1+$AR155)+($AT155*IF($G$1="鸣金",$AK155,$AI155)+IF($G$1="鸣金",$AL155*1.5,0))*(1+$AV155)*(1+$AW155)+($AX155*IF($G$1="裂石",$AK155,$AI155)+IF($G$1="裂石",$AL155*1.5,0))*(1+$AZ155)*(1+$BA155)+($BB155*IF($G$1="牵丝",$AK155,$AI155)+IF($G$1="牵丝",$AL155*1.5,0))*(1+$BD155)*(1+$BE155)+($BF155*IF($G$1="破竹",$AK155,$AI155)+IF($G$1="破竹",$AL155*1.5,0))*(1+$BH155)*(1+$BI155))*(1+$AM155))*$Q155*(1+IF(VLOOKUP($R155,武学奇术!$A:$ZZ,30,FALSE)="回旋伞",$B$21,0))*(1+$BR155)</f>
        <v>7202.24602838036</v>
      </c>
      <c r="Q155" s="39">
        <f t="shared" si="37"/>
        <v>1</v>
      </c>
      <c r="R155" s="40" t="s">
        <v>186</v>
      </c>
      <c r="S155" s="40" t="s">
        <v>72</v>
      </c>
      <c r="T155" s="40" t="s">
        <v>95</v>
      </c>
      <c r="U155" s="40" t="s">
        <v>73</v>
      </c>
      <c r="V155" s="40" t="s">
        <v>72</v>
      </c>
      <c r="W155" s="40" t="s">
        <v>165</v>
      </c>
      <c r="X155" s="40" t="s">
        <v>99</v>
      </c>
      <c r="Y155" s="40" t="s">
        <v>72</v>
      </c>
      <c r="Z155" s="40" t="s">
        <v>72</v>
      </c>
      <c r="AA155" s="40" t="s">
        <v>72</v>
      </c>
      <c r="AB155" s="40" t="s">
        <v>72</v>
      </c>
      <c r="AC155" s="40" t="s">
        <v>72</v>
      </c>
      <c r="AD155" s="40" t="s">
        <v>72</v>
      </c>
      <c r="AE155" s="40" t="s">
        <v>72</v>
      </c>
      <c r="AF155" s="40" t="s">
        <v>72</v>
      </c>
      <c r="AG155" s="40" t="s">
        <v>78</v>
      </c>
      <c r="AH155" t="str">
        <f>VLOOKUP($R155,武学奇术!$A:$ZZ,25,FALSE)</f>
        <v>心法</v>
      </c>
      <c r="AI155" s="26">
        <f>VLOOKUP($R155,武学奇术!$A:$ZZ,26,FALSE)</f>
        <v>1</v>
      </c>
      <c r="AJ155" s="27">
        <f>VLOOKUP($R155,武学奇术!$A:$ZZ,27,FALSE)*(1+IF(OR($AH155=$F$4,$AH155=$F$5),$B$22,0))</f>
        <v>0</v>
      </c>
      <c r="AK155" s="26">
        <f>VLOOKUP($R155,武学奇术!$A:$ZZ,28,FALSE)</f>
        <v>1</v>
      </c>
      <c r="AL155" s="27">
        <f>VLOOKUP($R155,武学奇术!$A:$ZZ,29,FALSE)*(1+IF(OR($AH155=$F$4,$AH155=$F$5),$B$22,0))</f>
        <v>0</v>
      </c>
      <c r="AM155" s="26" cm="1">
        <f t="array" ref="AM155">$G$3+IFERROR(VLOOKUP($AH155,$F$4:$G$7,2,FALSE),0)+VLOOKUP($R155,武学奇术!$A:$ZZ,2,FALSE)+SUM(_xlfn.XLOOKUP($S155:$AG155,增益!$A:$A,增益!$B:$B,0))</f>
        <v>0.2037</v>
      </c>
      <c r="AN155" s="26" cm="1">
        <f t="array" ref="AN155">VLOOKUP($R155,武学奇术!$A:$ZZ,5,FALSE)+SUM(_xlfn.XLOOKUP($S155:$AG155,增益!$A:$A,增益!$E:$E,0))</f>
        <v>0</v>
      </c>
      <c r="AO155" cm="1">
        <f t="array" ref="AO155">$D$10*(1+$AN155)+VLOOKUP($R155,武学奇术!$A:$ZZ,3,FALSE)+SUM(_xlfn.XLOOKUP($S155:$AG155,增益!$A:$A,增益!$C:$C,0))-$I$2</f>
        <v>3562.6</v>
      </c>
      <c r="AP155" cm="1">
        <f t="array" ref="AP155">$E$10*(1+$AN155)+VLOOKUP($R155,武学奇术!$A:$ZZ,4,FALSE)+SUM(_xlfn.XLOOKUP($S155:$AG155,增益!$A:$A,增益!$D:$D,0))-$I$2</f>
        <v>3562.6</v>
      </c>
      <c r="AQ155" s="32" cm="1">
        <f t="array" ref="AQ155">IF($F$10-$I$3+VLOOKUP($R155,武学奇术!$A:$ZZ,6,FALSE)+SUM(_xlfn.XLOOKUP(S155:AG155,增益!$A:$A,增益!$F:$F,0))&gt;0,($F$10-$I$3+VLOOKUP($R155,武学奇术!$A:$ZZ,6,FALSE)+SUM(_xlfn.XLOOKUP(S155:AG155,增益!$A:$A,增益!$F:$F,0)))/200,($F$10-$I$3+VLOOKUP($R155,武学奇术!$A:$ZZ,6,FALSE)+SUM(_xlfn.XLOOKUP(S155:AG155,增益!$A:$A,增益!$F:$F,0)))/100)</f>
        <v>0.2925</v>
      </c>
      <c r="AR155" s="32" cm="1">
        <f t="array" ref="AR155">$G$10+VLOOKUP($R155,武学奇术!$A:$ZZ,7,FALSE)+SUM(_xlfn.XLOOKUP(S155:AG155,增益!$A:$A,增益!$G:$G,0))</f>
        <v>0.028</v>
      </c>
      <c r="AS155" s="26" cm="1">
        <f t="array" ref="AS155">VLOOKUP($R155,武学奇术!$A:$ZZ,8,FALSE)+SUM(_xlfn.XLOOKUP(S155:AG155,增益!$A:$A,增益!$H:$H,0))</f>
        <v>0</v>
      </c>
      <c r="AT155">
        <f t="shared" si="26"/>
        <v>0</v>
      </c>
      <c r="AU155">
        <f t="shared" si="27"/>
        <v>0</v>
      </c>
      <c r="AV155" s="32" cm="1">
        <f t="array" ref="AV155">IF($F$11-$I$4+VLOOKUP($R155,武学奇术!$A:$ZZ,9,FALSE)+SUM(_xlfn.XLOOKUP(S155:AG155,增益!$A:$A,增益!$I:$I,0))&gt;0,($F$11-$I$4+VLOOKUP($R155,武学奇术!$A:$ZZ,9,FALSE)+SUM(_xlfn.XLOOKUP(S155:AG155,增益!$A:$A,增益!$I:$I,0)))/200,($F$11-$I$4+VLOOKUP($R155,武学奇术!$A:$ZZ,9,FALSE)+SUM(_xlfn.XLOOKUP(S155:AG155,增益!$A:$A,增益!$I:$I,0)))/100)</f>
        <v>-0.3</v>
      </c>
      <c r="AW155" s="32" cm="1">
        <f t="array" ref="AW155">$G$11+VLOOKUP($R155,武学奇术!$A:$ZZ,10,FALSE)+SUM(_xlfn.XLOOKUP(S155:AG155,增益!$A:$A,增益!$J:$J,0))</f>
        <v>0</v>
      </c>
      <c r="AX155">
        <f t="shared" si="28"/>
        <v>0</v>
      </c>
      <c r="AY155">
        <f t="shared" si="29"/>
        <v>0</v>
      </c>
      <c r="AZ155" s="32" cm="1">
        <f t="array" ref="AZ155">IF($F$12-$I$4+VLOOKUP($R155,武学奇术!$A:$ZZ,11,FALSE)+SUM(_xlfn.XLOOKUP(S155:AG155,增益!$A:$A,增益!$K:$K,0))&gt;0,($F$12-$I$4+VLOOKUP($R155,武学奇术!$A:$ZZ,11,FALSE)+SUM(_xlfn.XLOOKUP(S155:AG155,增益!$A:$A,增益!$K:$K,0)))/200,($F$12-$I$4+VLOOKUP($R155,武学奇术!$A:$ZZ,11,FALSE)+SUM(_xlfn.XLOOKUP(S155:AG155,增益!$A:$A,增益!$K:$K,0)))/100)</f>
        <v>-0.3</v>
      </c>
      <c r="BA155" s="32" cm="1">
        <f t="array" ref="BA155">$G$12+VLOOKUP($R155,武学奇术!$A:$ZZ,12,FALSE)+SUM(_xlfn.XLOOKUP(S155:AG155,增益!$A:$A,增益!$L:$L,0))</f>
        <v>0</v>
      </c>
      <c r="BB155">
        <f t="shared" si="30"/>
        <v>0</v>
      </c>
      <c r="BC155">
        <f t="shared" si="31"/>
        <v>0</v>
      </c>
      <c r="BD155" s="32" cm="1">
        <f t="array" ref="BD155">IF($F$13-$I$4+VLOOKUP($R155,武学奇术!$A:$ZZ,13,FALSE)+SUM(_xlfn.XLOOKUP(S155:AG155,增益!$A:$A,增益!$M:$M,0))&gt;0,($F$13-$I$4+VLOOKUP($R155,武学奇术!$A:$ZZ,13,FALSE)+SUM(_xlfn.XLOOKUP(S155:AG155,增益!$A:$A,增益!$K:$K,0)))/200,($F$13-$I$4+VLOOKUP($R155,武学奇术!$A:$ZZ,13,FALSE)+SUM(_xlfn.XLOOKUP(S155:AG155,增益!$A:$A,增益!$M:$M,0)))/100)</f>
        <v>-0.3</v>
      </c>
      <c r="BE155" s="32" cm="1">
        <f t="array" ref="BE155">$G$13+VLOOKUP($R155,武学奇术!$A:$ZZ,14,FALSE)+SUM(_xlfn.XLOOKUP(S155:AG155,增益!$A:$A,增益!$N:$N,0))</f>
        <v>0</v>
      </c>
      <c r="BF155">
        <f t="shared" si="32"/>
        <v>571.2</v>
      </c>
      <c r="BG155">
        <f t="shared" si="33"/>
        <v>1627.8</v>
      </c>
      <c r="BH155" s="32" cm="1">
        <f t="array" ref="BH155">IF($F$14-$I$4+VLOOKUP($R155,武学奇术!$A:$ZZ,15,FALSE)+SUM(_xlfn.XLOOKUP(S155:AG155,增益!$A:$A,增益!$O:$O,0))&gt;0,($F$14-$I$4+VLOOKUP($R155,武学奇术!$A:$ZZ,15,FALSE)+SUM(_xlfn.XLOOKUP(S155:AG155,增益!$A:$A,增益!$O:$O,0)))/200,($F$14-$I$4+VLOOKUP($R155,武学奇术!$A:$ZZ,15,FALSE)+SUM(_xlfn.XLOOKUP(S155:AG155,增益!$A:$A,增益!$O:$O,0)))/100)</f>
        <v>0</v>
      </c>
      <c r="BI155" s="32" cm="1">
        <f t="array" ref="BI155">$G$14+VLOOKUP($R155,武学奇术!$A:$ZZ,16,FALSE)+SUM(_xlfn.XLOOKUP(S155:AG155,增益!$A:$A,增益!$P:$P,0))</f>
        <v>0.15</v>
      </c>
      <c r="BJ155" s="26">
        <f>MIN(IF(VLOOKUP($R155,武学奇术!$A:$ZZ,23,FALSE)=1,100%,$B$8),100%)</f>
        <v>0.981</v>
      </c>
      <c r="BK155" s="26" cm="1">
        <f t="array" ref="BK155">IF(VLOOKUP($R155,武学奇术!$A:$ZZ,23,FALSE)=1,100%,MIN(80%,$B$9+VLOOKUP($R155,武学奇术!$A:$ZZ,17,FALSE)+SUM(_xlfn.XLOOKUP(S155:AG155,增益!$A:$A,增益!$Q:$Q,0)))+$B$11+SUM(_xlfn.XLOOKUP(S155:AG155,增益!$A:$A,增益!$U:$U,0)))*IF(VLOOKUP($R155,武学奇术!$A:$ZZ,24,FALSE)=1,0,1)</f>
        <v>0.846</v>
      </c>
      <c r="BL155" s="26" cm="1">
        <f t="array" ref="BL155">1+$B$13+VLOOKUP($R155,武学奇术!$A:$ZZ,18,FALSE)+SUM(_xlfn.XLOOKUP(S155:AG155,增益!$A:$A,增益!$R:$R,0))</f>
        <v>1.88</v>
      </c>
      <c r="BM155" s="26" cm="1">
        <f t="array" ref="BM155">IF(VLOOKUP($R155,武学奇术!$A:$ZZ,24,FALSE)=1,100%,MIN(40%,$B$10+VLOOKUP($R155,武学奇术!$A:$ZZ,19,FALSE)+SUM(_xlfn.XLOOKUP(S155:AG155,增益!$A:$A,增益!$S:$S,0)))+$B$12+SUM(_xlfn.XLOOKUP(S155:AG155,增益!$A:$A,增益!$V:$V,0)))*IF(VLOOKUP($R155,武学奇术!$A:$ZZ,23,FALSE)=1,0,1)</f>
        <v>0.0929</v>
      </c>
      <c r="BN155" s="26" cm="1">
        <f t="array" ref="BN155">1+$B$14+VLOOKUP($R155,武学奇术!$A:$ZZ,20,FALSE)+SUM(_xlfn.XLOOKUP(S155:AG155,增益!$A:$A,增益!$T:$T,0))</f>
        <v>1.35</v>
      </c>
      <c r="BO155" s="26">
        <f t="shared" si="34"/>
        <v>0.829926</v>
      </c>
      <c r="BP155" s="26">
        <f t="shared" si="35"/>
        <v>0.0599391</v>
      </c>
      <c r="BQ155" s="26">
        <f>IF(VLOOKUP($R155,武学奇术!$A:$ZZ,22,FALSE)=1,0,(1-$BJ155))*(1-$BM155)</f>
        <v>0.0172349</v>
      </c>
      <c r="BR155" s="26" cm="1">
        <f t="array" ref="BR155">SUM(_xlfn.XLOOKUP(S155:AG155,增益!$A:$A,增益!$W:$W,0))+$I$5</f>
        <v>0.11</v>
      </c>
    </row>
    <row r="156" spans="11:70">
      <c r="K156">
        <f>$L156*VLOOKUP($R156,武学奇术!$A:$ZZ,31,FALSE)</f>
        <v>15135.5490351477</v>
      </c>
      <c r="L156" s="38">
        <f t="shared" si="36"/>
        <v>14414.8086049025</v>
      </c>
      <c r="M156" s="38">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BL156*$Q156*(1+IF(VLOOKUP($R156,武学奇术!$A:$ZZ,30,FALSE)="回旋伞",$B$21,0))*(1+$BR156)</f>
        <v>15306.7231073781</v>
      </c>
      <c r="N156" s="38">
        <f>(($AP156*$AI156+$AJ156)*(1+$AQ156)*(1+$AR156)+($AU156*IF($G$1="鸣金",$AK156,$AI156)+IF($G$1="鸣金",$AL156*1.5,0))*(1+$AV156)*(1+$AW156)+($AY156*IF($G$1="裂石",$AK156,$AI156)+IF($G$1="裂石",$AL156*1.5,0))*(1+$AZ156)*(1+$BA156)+($BC156*IF($G$1="牵丝",$AK156,$AI156)+IF($G$1="牵丝",$AL156*1.5,0))*(1+$BD156)*(1+$BE156)+($BG156*IF($G$1="破竹",$AK156,$AI156)+IF($G$1="破竹",$AL156*1.5,0))*(1+$BH156)*(1+$BI156))*(1+$AM156)*$BN156*$Q156*(1+IF(VLOOKUP($R156,武学奇术!$A:$ZZ,30,FALSE)="回旋伞",$B$21,0))*(1+$BR156)</f>
        <v>11914.743982064</v>
      </c>
      <c r="O156" s="38">
        <f>((($AO156+$AP156)/2*$AI156+$AJ156)*(1+$AQ156)*(1+$AR156)+(($AT156+$AU156)/2*IF($G$1="鸣金",$AK156,$AI156)+IF($G$1="鸣金",$AL156*1.5,0))*(1+$AV156)*(1+$AW156)+(($AX156+$AY156)/2*IF($G$1="裂石",$AK156,$AI156)+IF($G$1="裂石",$AL156*1.5,0))*(1+$AZ156)*(1+$BA156)+(($BB156+$BC156)/2*IF($G$1="牵丝",$AK156,$AI156)+IF($G$1="牵丝",$AL156*1.5,0))*(1+$BD156)*(1+$BE156)+(($BF156+$BG156)/2*IF($G$1="破竹",$AK156,$AI156)+IF($G$1="破竹",$AL156*1.5,0))*(1+$BH156)*(1+$BI156))*(1+$AM156)*$Q156*(1+IF(VLOOKUP($R156,武学奇术!$A:$ZZ,30,FALSE)="回旋伞",$B$21,0))*(1+$BR156)</f>
        <v>8013.99115569536</v>
      </c>
      <c r="P156" s="38">
        <f>((($AO156*$AI156+$AJ156)*(1+$AQ156)*(1+$AR156)+($AT156*IF($G$1="鸣金",$AK156,$AI156)+IF($G$1="鸣金",$AL156*1.5,0))*(1+$AV156)*(1+$AW156)+($AX156*IF($G$1="裂石",$AK156,$AI156)+IF($G$1="裂石",$AL156*1.5,0))*(1+$AZ156)*(1+$BA156)+($BB156*IF($G$1="牵丝",$AK156,$AI156)+IF($G$1="牵丝",$AL156*1.5,0))*(1+$BD156)*(1+$BE156)+($BF156*IF($G$1="破竹",$AK156,$AI156)+IF($G$1="破竹",$AL156*1.5,0))*(1+$BH156)*(1+$BI156))*(1+$AM156))*$Q156*(1+IF(VLOOKUP($R156,武学奇术!$A:$ZZ,30,FALSE)="回旋伞",$B$21,0))*(1+$BR156)</f>
        <v>7202.24602838036</v>
      </c>
      <c r="Q156" s="39">
        <f t="shared" si="37"/>
        <v>1</v>
      </c>
      <c r="R156" s="40" t="s">
        <v>186</v>
      </c>
      <c r="S156" s="40" t="s">
        <v>72</v>
      </c>
      <c r="T156" s="40" t="s">
        <v>95</v>
      </c>
      <c r="U156" s="40" t="s">
        <v>73</v>
      </c>
      <c r="V156" s="40" t="s">
        <v>72</v>
      </c>
      <c r="W156" s="40" t="s">
        <v>172</v>
      </c>
      <c r="X156" s="40" t="s">
        <v>99</v>
      </c>
      <c r="Y156" s="40" t="s">
        <v>72</v>
      </c>
      <c r="Z156" s="40" t="s">
        <v>72</v>
      </c>
      <c r="AA156" s="40" t="s">
        <v>72</v>
      </c>
      <c r="AB156" s="40" t="s">
        <v>72</v>
      </c>
      <c r="AC156" s="40" t="s">
        <v>72</v>
      </c>
      <c r="AD156" s="40" t="s">
        <v>72</v>
      </c>
      <c r="AE156" s="40" t="s">
        <v>72</v>
      </c>
      <c r="AF156" s="40" t="s">
        <v>72</v>
      </c>
      <c r="AG156" s="40" t="s">
        <v>78</v>
      </c>
      <c r="AH156" t="str">
        <f>VLOOKUP($R156,武学奇术!$A:$ZZ,25,FALSE)</f>
        <v>心法</v>
      </c>
      <c r="AI156" s="26">
        <f>VLOOKUP($R156,武学奇术!$A:$ZZ,26,FALSE)</f>
        <v>1</v>
      </c>
      <c r="AJ156" s="27">
        <f>VLOOKUP($R156,武学奇术!$A:$ZZ,27,FALSE)*(1+IF(OR($AH156=$F$4,$AH156=$F$5),$B$22,0))</f>
        <v>0</v>
      </c>
      <c r="AK156" s="26">
        <f>VLOOKUP($R156,武学奇术!$A:$ZZ,28,FALSE)</f>
        <v>1</v>
      </c>
      <c r="AL156" s="27">
        <f>VLOOKUP($R156,武学奇术!$A:$ZZ,29,FALSE)*(1+IF(OR($AH156=$F$4,$AH156=$F$5),$B$22,0))</f>
        <v>0</v>
      </c>
      <c r="AM156" s="26" cm="1">
        <f t="array" ref="AM156">$G$3+IFERROR(VLOOKUP($AH156,$F$4:$G$7,2,FALSE),0)+VLOOKUP($R156,武学奇术!$A:$ZZ,2,FALSE)+SUM(_xlfn.XLOOKUP($S156:$AG156,增益!$A:$A,增益!$B:$B,0))</f>
        <v>0.2037</v>
      </c>
      <c r="AN156" s="26" cm="1">
        <f t="array" ref="AN156">VLOOKUP($R156,武学奇术!$A:$ZZ,5,FALSE)+SUM(_xlfn.XLOOKUP($S156:$AG156,增益!$A:$A,增益!$E:$E,0))</f>
        <v>0</v>
      </c>
      <c r="AO156" cm="1">
        <f t="array" ref="AO156">$D$10*(1+$AN156)+VLOOKUP($R156,武学奇术!$A:$ZZ,3,FALSE)+SUM(_xlfn.XLOOKUP($S156:$AG156,增益!$A:$A,增益!$C:$C,0))-$I$2</f>
        <v>3562.6</v>
      </c>
      <c r="AP156" cm="1">
        <f t="array" ref="AP156">$E$10*(1+$AN156)+VLOOKUP($R156,武学奇术!$A:$ZZ,4,FALSE)+SUM(_xlfn.XLOOKUP($S156:$AG156,增益!$A:$A,增益!$D:$D,0))-$I$2</f>
        <v>3562.6</v>
      </c>
      <c r="AQ156" s="32" cm="1">
        <f t="array" ref="AQ156">IF($F$10-$I$3+VLOOKUP($R156,武学奇术!$A:$ZZ,6,FALSE)+SUM(_xlfn.XLOOKUP(S156:AG156,增益!$A:$A,增益!$F:$F,0))&gt;0,($F$10-$I$3+VLOOKUP($R156,武学奇术!$A:$ZZ,6,FALSE)+SUM(_xlfn.XLOOKUP(S156:AG156,增益!$A:$A,增益!$F:$F,0)))/200,($F$10-$I$3+VLOOKUP($R156,武学奇术!$A:$ZZ,6,FALSE)+SUM(_xlfn.XLOOKUP(S156:AG156,增益!$A:$A,增益!$F:$F,0)))/100)</f>
        <v>0.2925</v>
      </c>
      <c r="AR156" s="32" cm="1">
        <f t="array" ref="AR156">$G$10+VLOOKUP($R156,武学奇术!$A:$ZZ,7,FALSE)+SUM(_xlfn.XLOOKUP(S156:AG156,增益!$A:$A,增益!$G:$G,0))</f>
        <v>0.028</v>
      </c>
      <c r="AS156" s="26" cm="1">
        <f t="array" ref="AS156">VLOOKUP($R156,武学奇术!$A:$ZZ,8,FALSE)+SUM(_xlfn.XLOOKUP(S156:AG156,增益!$A:$A,增益!$H:$H,0))</f>
        <v>0</v>
      </c>
      <c r="AT156">
        <f t="shared" si="26"/>
        <v>0</v>
      </c>
      <c r="AU156">
        <f t="shared" si="27"/>
        <v>0</v>
      </c>
      <c r="AV156" s="32" cm="1">
        <f t="array" ref="AV156">IF($F$11-$I$4+VLOOKUP($R156,武学奇术!$A:$ZZ,9,FALSE)+SUM(_xlfn.XLOOKUP(S156:AG156,增益!$A:$A,增益!$I:$I,0))&gt;0,($F$11-$I$4+VLOOKUP($R156,武学奇术!$A:$ZZ,9,FALSE)+SUM(_xlfn.XLOOKUP(S156:AG156,增益!$A:$A,增益!$I:$I,0)))/200,($F$11-$I$4+VLOOKUP($R156,武学奇术!$A:$ZZ,9,FALSE)+SUM(_xlfn.XLOOKUP(S156:AG156,增益!$A:$A,增益!$I:$I,0)))/100)</f>
        <v>-0.3</v>
      </c>
      <c r="AW156" s="32" cm="1">
        <f t="array" ref="AW156">$G$11+VLOOKUP($R156,武学奇术!$A:$ZZ,10,FALSE)+SUM(_xlfn.XLOOKUP(S156:AG156,增益!$A:$A,增益!$J:$J,0))</f>
        <v>0</v>
      </c>
      <c r="AX156">
        <f t="shared" si="28"/>
        <v>0</v>
      </c>
      <c r="AY156">
        <f t="shared" si="29"/>
        <v>0</v>
      </c>
      <c r="AZ156" s="32" cm="1">
        <f t="array" ref="AZ156">IF($F$12-$I$4+VLOOKUP($R156,武学奇术!$A:$ZZ,11,FALSE)+SUM(_xlfn.XLOOKUP(S156:AG156,增益!$A:$A,增益!$K:$K,0))&gt;0,($F$12-$I$4+VLOOKUP($R156,武学奇术!$A:$ZZ,11,FALSE)+SUM(_xlfn.XLOOKUP(S156:AG156,增益!$A:$A,增益!$K:$K,0)))/200,($F$12-$I$4+VLOOKUP($R156,武学奇术!$A:$ZZ,11,FALSE)+SUM(_xlfn.XLOOKUP(S156:AG156,增益!$A:$A,增益!$K:$K,0)))/100)</f>
        <v>-0.3</v>
      </c>
      <c r="BA156" s="32" cm="1">
        <f t="array" ref="BA156">$G$12+VLOOKUP($R156,武学奇术!$A:$ZZ,12,FALSE)+SUM(_xlfn.XLOOKUP(S156:AG156,增益!$A:$A,增益!$L:$L,0))</f>
        <v>0</v>
      </c>
      <c r="BB156">
        <f t="shared" si="30"/>
        <v>0</v>
      </c>
      <c r="BC156">
        <f t="shared" si="31"/>
        <v>0</v>
      </c>
      <c r="BD156" s="32" cm="1">
        <f t="array" ref="BD156">IF($F$13-$I$4+VLOOKUP($R156,武学奇术!$A:$ZZ,13,FALSE)+SUM(_xlfn.XLOOKUP(S156:AG156,增益!$A:$A,增益!$M:$M,0))&gt;0,($F$13-$I$4+VLOOKUP($R156,武学奇术!$A:$ZZ,13,FALSE)+SUM(_xlfn.XLOOKUP(S156:AG156,增益!$A:$A,增益!$K:$K,0)))/200,($F$13-$I$4+VLOOKUP($R156,武学奇术!$A:$ZZ,13,FALSE)+SUM(_xlfn.XLOOKUP(S156:AG156,增益!$A:$A,增益!$M:$M,0)))/100)</f>
        <v>-0.3</v>
      </c>
      <c r="BE156" s="32" cm="1">
        <f t="array" ref="BE156">$G$13+VLOOKUP($R156,武学奇术!$A:$ZZ,14,FALSE)+SUM(_xlfn.XLOOKUP(S156:AG156,增益!$A:$A,增益!$N:$N,0))</f>
        <v>0</v>
      </c>
      <c r="BF156">
        <f t="shared" si="32"/>
        <v>571.2</v>
      </c>
      <c r="BG156">
        <f t="shared" si="33"/>
        <v>1627.8</v>
      </c>
      <c r="BH156" s="32" cm="1">
        <f t="array" ref="BH156">IF($F$14-$I$4+VLOOKUP($R156,武学奇术!$A:$ZZ,15,FALSE)+SUM(_xlfn.XLOOKUP(S156:AG156,增益!$A:$A,增益!$O:$O,0))&gt;0,($F$14-$I$4+VLOOKUP($R156,武学奇术!$A:$ZZ,15,FALSE)+SUM(_xlfn.XLOOKUP(S156:AG156,增益!$A:$A,增益!$O:$O,0)))/200,($F$14-$I$4+VLOOKUP($R156,武学奇术!$A:$ZZ,15,FALSE)+SUM(_xlfn.XLOOKUP(S156:AG156,增益!$A:$A,增益!$O:$O,0)))/100)</f>
        <v>0</v>
      </c>
      <c r="BI156" s="32" cm="1">
        <f t="array" ref="BI156">$G$14+VLOOKUP($R156,武学奇术!$A:$ZZ,16,FALSE)+SUM(_xlfn.XLOOKUP(S156:AG156,增益!$A:$A,增益!$P:$P,0))</f>
        <v>0.15</v>
      </c>
      <c r="BJ156" s="26">
        <f>MIN(IF(VLOOKUP($R156,武学奇术!$A:$ZZ,23,FALSE)=1,100%,$B$8),100%)</f>
        <v>0.981</v>
      </c>
      <c r="BK156" s="26" cm="1">
        <f t="array" ref="BK156">IF(VLOOKUP($R156,武学奇术!$A:$ZZ,23,FALSE)=1,100%,MIN(80%,$B$9+VLOOKUP($R156,武学奇术!$A:$ZZ,17,FALSE)+SUM(_xlfn.XLOOKUP(S156:AG156,增益!$A:$A,增益!$Q:$Q,0)))+$B$11+SUM(_xlfn.XLOOKUP(S156:AG156,增益!$A:$A,增益!$U:$U,0)))*IF(VLOOKUP($R156,武学奇术!$A:$ZZ,24,FALSE)=1,0,1)</f>
        <v>0.846</v>
      </c>
      <c r="BL156" s="26" cm="1">
        <f t="array" ref="BL156">1+$B$13+VLOOKUP($R156,武学奇术!$A:$ZZ,18,FALSE)+SUM(_xlfn.XLOOKUP(S156:AG156,增益!$A:$A,增益!$R:$R,0))</f>
        <v>1.91</v>
      </c>
      <c r="BM156" s="26" cm="1">
        <f t="array" ref="BM156">IF(VLOOKUP($R156,武学奇术!$A:$ZZ,24,FALSE)=1,100%,MIN(40%,$B$10+VLOOKUP($R156,武学奇术!$A:$ZZ,19,FALSE)+SUM(_xlfn.XLOOKUP(S156:AG156,增益!$A:$A,增益!$S:$S,0)))+$B$12+SUM(_xlfn.XLOOKUP(S156:AG156,增益!$A:$A,增益!$V:$V,0)))*IF(VLOOKUP($R156,武学奇术!$A:$ZZ,23,FALSE)=1,0,1)</f>
        <v>0.0929</v>
      </c>
      <c r="BN156" s="26" cm="1">
        <f t="array" ref="BN156">1+$B$14+VLOOKUP($R156,武学奇术!$A:$ZZ,20,FALSE)+SUM(_xlfn.XLOOKUP(S156:AG156,增益!$A:$A,增益!$T:$T,0))</f>
        <v>1.35</v>
      </c>
      <c r="BO156" s="26">
        <f t="shared" si="34"/>
        <v>0.829926</v>
      </c>
      <c r="BP156" s="26">
        <f t="shared" si="35"/>
        <v>0.0599391</v>
      </c>
      <c r="BQ156" s="26">
        <f>IF(VLOOKUP($R156,武学奇术!$A:$ZZ,22,FALSE)=1,0,(1-$BJ156))*(1-$BM156)</f>
        <v>0.0172349</v>
      </c>
      <c r="BR156" s="26" cm="1">
        <f t="array" ref="BR156">SUM(_xlfn.XLOOKUP(S156:AG156,增益!$A:$A,增益!$W:$W,0))+$I$5</f>
        <v>0.11</v>
      </c>
    </row>
    <row r="157" spans="11:70">
      <c r="K157">
        <f>$L157*VLOOKUP($R157,武学奇术!$A:$ZZ,31,FALSE)</f>
        <v>17650.3864589489</v>
      </c>
      <c r="L157" s="38">
        <f t="shared" si="36"/>
        <v>16809.8918656656</v>
      </c>
      <c r="M157" s="38">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BL157*$Q157*(1+IF(VLOOKUP($R157,武学奇术!$A:$ZZ,30,FALSE)="回旋伞",$B$21,0))*(1+$BR157)</f>
        <v>17850.001849154</v>
      </c>
      <c r="N157" s="38">
        <f>(($AP157*$AI157+$AJ157)*(1+$AQ157)*(1+$AR157)+($AU157*IF($G$1="鸣金",$AK157,$AI157)+IF($G$1="鸣金",$AL157*1.5,0))*(1+$AV157)*(1+$AW157)+($AY157*IF($G$1="裂石",$AK157,$AI157)+IF($G$1="裂石",$AL157*1.5,0))*(1+$AZ157)*(1+$BA157)+($BC157*IF($G$1="牵丝",$AK157,$AI157)+IF($G$1="牵丝",$AL157*1.5,0))*(1+$BD157)*(1+$BE157)+($BG157*IF($G$1="破竹",$AK157,$AI157)+IF($G$1="破竹",$AL157*1.5,0))*(1+$BH157)*(1+$BI157))*(1+$AM157)*$BN157*$Q157*(1+IF(VLOOKUP($R157,武学奇术!$A:$ZZ,30,FALSE)="回旋伞",$B$21,0))*(1+$BR157)</f>
        <v>13894.4306119658</v>
      </c>
      <c r="O157" s="38">
        <f>((($AO157+$AP157)/2*$AI157+$AJ157)*(1+$AQ157)*(1+$AR157)+(($AT157+$AU157)/2*IF($G$1="鸣金",$AK157,$AI157)+IF($G$1="鸣金",$AL157*1.5,0))*(1+$AV157)*(1+$AW157)+(($AX157+$AY157)/2*IF($G$1="裂石",$AK157,$AI157)+IF($G$1="裂石",$AL157*1.5,0))*(1+$AZ157)*(1+$BA157)+(($BB157+$BC157)/2*IF($G$1="牵丝",$AK157,$AI157)+IF($G$1="牵丝",$AL157*1.5,0))*(1+$BD157)*(1+$BE157)+(($BF157+$BG157)/2*IF($G$1="破竹",$AK157,$AI157)+IF($G$1="破竹",$AL157*1.5,0))*(1+$BH157)*(1+$BI157))*(1+$AM157)*$Q157*(1+IF(VLOOKUP($R157,武学奇术!$A:$ZZ,30,FALSE)="回旋伞",$B$21,0))*(1+$BR157)</f>
        <v>9345.55070636336</v>
      </c>
      <c r="P157" s="38">
        <f>((($AO157*$AI157+$AJ157)*(1+$AQ157)*(1+$AR157)+($AT157*IF($G$1="鸣金",$AK157,$AI157)+IF($G$1="鸣金",$AL157*1.5,0))*(1+$AV157)*(1+$AW157)+($AX157*IF($G$1="裂石",$AK157,$AI157)+IF($G$1="裂石",$AL157*1.5,0))*(1+$AZ157)*(1+$BA157)+($BB157*IF($G$1="牵丝",$AK157,$AI157)+IF($G$1="牵丝",$AL157*1.5,0))*(1+$BD157)*(1+$BE157)+($BF157*IF($G$1="破竹",$AK157,$AI157)+IF($G$1="破竹",$AL157*1.5,0))*(1+$BH157)*(1+$BI157))*(1+$AM157))*$Q157*(1+IF(VLOOKUP($R157,武学奇术!$A:$ZZ,30,FALSE)="回旋伞",$B$21,0))*(1+$BR157)</f>
        <v>8398.93058904836</v>
      </c>
      <c r="Q157" s="39">
        <f t="shared" si="37"/>
        <v>1</v>
      </c>
      <c r="R157" s="40" t="s">
        <v>186</v>
      </c>
      <c r="S157" s="40" t="s">
        <v>72</v>
      </c>
      <c r="T157" s="40" t="s">
        <v>95</v>
      </c>
      <c r="U157" s="40" t="s">
        <v>73</v>
      </c>
      <c r="V157" s="40" t="s">
        <v>81</v>
      </c>
      <c r="W157" s="40" t="s">
        <v>172</v>
      </c>
      <c r="X157" s="40" t="s">
        <v>99</v>
      </c>
      <c r="Y157" s="40" t="s">
        <v>72</v>
      </c>
      <c r="Z157" s="40" t="s">
        <v>72</v>
      </c>
      <c r="AA157" s="40" t="s">
        <v>72</v>
      </c>
      <c r="AB157" s="40" t="s">
        <v>72</v>
      </c>
      <c r="AC157" s="40" t="s">
        <v>72</v>
      </c>
      <c r="AD157" s="40" t="s">
        <v>72</v>
      </c>
      <c r="AE157" s="40" t="s">
        <v>72</v>
      </c>
      <c r="AF157" s="40" t="s">
        <v>72</v>
      </c>
      <c r="AG157" s="40" t="s">
        <v>78</v>
      </c>
      <c r="AH157" t="str">
        <f>VLOOKUP($R157,武学奇术!$A:$ZZ,25,FALSE)</f>
        <v>心法</v>
      </c>
      <c r="AI157" s="26">
        <f>VLOOKUP($R157,武学奇术!$A:$ZZ,26,FALSE)</f>
        <v>1</v>
      </c>
      <c r="AJ157" s="27">
        <f>VLOOKUP($R157,武学奇术!$A:$ZZ,27,FALSE)*(1+IF(OR($AH157=$F$4,$AH157=$F$5),$B$22,0))</f>
        <v>0</v>
      </c>
      <c r="AK157" s="26">
        <f>VLOOKUP($R157,武学奇术!$A:$ZZ,28,FALSE)</f>
        <v>1</v>
      </c>
      <c r="AL157" s="27">
        <f>VLOOKUP($R157,武学奇术!$A:$ZZ,29,FALSE)*(1+IF(OR($AH157=$F$4,$AH157=$F$5),$B$22,0))</f>
        <v>0</v>
      </c>
      <c r="AM157" s="26" cm="1">
        <f t="array" ref="AM157">$G$3+IFERROR(VLOOKUP($AH157,$F$4:$G$7,2,FALSE),0)+VLOOKUP($R157,武学奇术!$A:$ZZ,2,FALSE)+SUM(_xlfn.XLOOKUP($S157:$AG157,增益!$A:$A,增益!$B:$B,0))</f>
        <v>0.4037</v>
      </c>
      <c r="AN157" s="26" cm="1">
        <f t="array" ref="AN157">VLOOKUP($R157,武学奇术!$A:$ZZ,5,FALSE)+SUM(_xlfn.XLOOKUP($S157:$AG157,增益!$A:$A,增益!$E:$E,0))</f>
        <v>0</v>
      </c>
      <c r="AO157" cm="1">
        <f t="array" ref="AO157">$D$10*(1+$AN157)+VLOOKUP($R157,武学奇术!$A:$ZZ,3,FALSE)+SUM(_xlfn.XLOOKUP($S157:$AG157,增益!$A:$A,增益!$C:$C,0))-$I$2</f>
        <v>3562.6</v>
      </c>
      <c r="AP157" cm="1">
        <f t="array" ref="AP157">$E$10*(1+$AN157)+VLOOKUP($R157,武学奇术!$A:$ZZ,4,FALSE)+SUM(_xlfn.XLOOKUP($S157:$AG157,增益!$A:$A,增益!$D:$D,0))-$I$2</f>
        <v>3562.6</v>
      </c>
      <c r="AQ157" s="32" cm="1">
        <f t="array" ref="AQ157">IF($F$10-$I$3+VLOOKUP($R157,武学奇术!$A:$ZZ,6,FALSE)+SUM(_xlfn.XLOOKUP(S157:AG157,增益!$A:$A,增益!$F:$F,0))&gt;0,($F$10-$I$3+VLOOKUP($R157,武学奇术!$A:$ZZ,6,FALSE)+SUM(_xlfn.XLOOKUP(S157:AG157,增益!$A:$A,增益!$F:$F,0)))/200,($F$10-$I$3+VLOOKUP($R157,武学奇术!$A:$ZZ,6,FALSE)+SUM(_xlfn.XLOOKUP(S157:AG157,增益!$A:$A,增益!$F:$F,0)))/100)</f>
        <v>0.2925</v>
      </c>
      <c r="AR157" s="32" cm="1">
        <f t="array" ref="AR157">$G$10+VLOOKUP($R157,武学奇术!$A:$ZZ,7,FALSE)+SUM(_xlfn.XLOOKUP(S157:AG157,增益!$A:$A,增益!$G:$G,0))</f>
        <v>0.028</v>
      </c>
      <c r="AS157" s="26" cm="1">
        <f t="array" ref="AS157">VLOOKUP($R157,武学奇术!$A:$ZZ,8,FALSE)+SUM(_xlfn.XLOOKUP(S157:AG157,增益!$A:$A,增益!$H:$H,0))</f>
        <v>0</v>
      </c>
      <c r="AT157">
        <f t="shared" si="26"/>
        <v>0</v>
      </c>
      <c r="AU157">
        <f t="shared" si="27"/>
        <v>0</v>
      </c>
      <c r="AV157" s="32" cm="1">
        <f t="array" ref="AV157">IF($F$11-$I$4+VLOOKUP($R157,武学奇术!$A:$ZZ,9,FALSE)+SUM(_xlfn.XLOOKUP(S157:AG157,增益!$A:$A,增益!$I:$I,0))&gt;0,($F$11-$I$4+VLOOKUP($R157,武学奇术!$A:$ZZ,9,FALSE)+SUM(_xlfn.XLOOKUP(S157:AG157,增益!$A:$A,增益!$I:$I,0)))/200,($F$11-$I$4+VLOOKUP($R157,武学奇术!$A:$ZZ,9,FALSE)+SUM(_xlfn.XLOOKUP(S157:AG157,增益!$A:$A,增益!$I:$I,0)))/100)</f>
        <v>-0.3</v>
      </c>
      <c r="AW157" s="32" cm="1">
        <f t="array" ref="AW157">$G$11+VLOOKUP($R157,武学奇术!$A:$ZZ,10,FALSE)+SUM(_xlfn.XLOOKUP(S157:AG157,增益!$A:$A,增益!$J:$J,0))</f>
        <v>0</v>
      </c>
      <c r="AX157">
        <f t="shared" si="28"/>
        <v>0</v>
      </c>
      <c r="AY157">
        <f t="shared" si="29"/>
        <v>0</v>
      </c>
      <c r="AZ157" s="32" cm="1">
        <f t="array" ref="AZ157">IF($F$12-$I$4+VLOOKUP($R157,武学奇术!$A:$ZZ,11,FALSE)+SUM(_xlfn.XLOOKUP(S157:AG157,增益!$A:$A,增益!$K:$K,0))&gt;0,($F$12-$I$4+VLOOKUP($R157,武学奇术!$A:$ZZ,11,FALSE)+SUM(_xlfn.XLOOKUP(S157:AG157,增益!$A:$A,增益!$K:$K,0)))/200,($F$12-$I$4+VLOOKUP($R157,武学奇术!$A:$ZZ,11,FALSE)+SUM(_xlfn.XLOOKUP(S157:AG157,增益!$A:$A,增益!$K:$K,0)))/100)</f>
        <v>-0.3</v>
      </c>
      <c r="BA157" s="32" cm="1">
        <f t="array" ref="BA157">$G$12+VLOOKUP($R157,武学奇术!$A:$ZZ,12,FALSE)+SUM(_xlfn.XLOOKUP(S157:AG157,增益!$A:$A,增益!$L:$L,0))</f>
        <v>0</v>
      </c>
      <c r="BB157">
        <f t="shared" si="30"/>
        <v>0</v>
      </c>
      <c r="BC157">
        <f t="shared" si="31"/>
        <v>0</v>
      </c>
      <c r="BD157" s="32" cm="1">
        <f t="array" ref="BD157">IF($F$13-$I$4+VLOOKUP($R157,武学奇术!$A:$ZZ,13,FALSE)+SUM(_xlfn.XLOOKUP(S157:AG157,增益!$A:$A,增益!$M:$M,0))&gt;0,($F$13-$I$4+VLOOKUP($R157,武学奇术!$A:$ZZ,13,FALSE)+SUM(_xlfn.XLOOKUP(S157:AG157,增益!$A:$A,增益!$K:$K,0)))/200,($F$13-$I$4+VLOOKUP($R157,武学奇术!$A:$ZZ,13,FALSE)+SUM(_xlfn.XLOOKUP(S157:AG157,增益!$A:$A,增益!$M:$M,0)))/100)</f>
        <v>-0.3</v>
      </c>
      <c r="BE157" s="32" cm="1">
        <f t="array" ref="BE157">$G$13+VLOOKUP($R157,武学奇术!$A:$ZZ,14,FALSE)+SUM(_xlfn.XLOOKUP(S157:AG157,增益!$A:$A,增益!$N:$N,0))</f>
        <v>0</v>
      </c>
      <c r="BF157">
        <f t="shared" si="32"/>
        <v>571.2</v>
      </c>
      <c r="BG157">
        <f t="shared" si="33"/>
        <v>1627.8</v>
      </c>
      <c r="BH157" s="32" cm="1">
        <f t="array" ref="BH157">IF($F$14-$I$4+VLOOKUP($R157,武学奇术!$A:$ZZ,15,FALSE)+SUM(_xlfn.XLOOKUP(S157:AG157,增益!$A:$A,增益!$O:$O,0))&gt;0,($F$14-$I$4+VLOOKUP($R157,武学奇术!$A:$ZZ,15,FALSE)+SUM(_xlfn.XLOOKUP(S157:AG157,增益!$A:$A,增益!$O:$O,0)))/200,($F$14-$I$4+VLOOKUP($R157,武学奇术!$A:$ZZ,15,FALSE)+SUM(_xlfn.XLOOKUP(S157:AG157,增益!$A:$A,增益!$O:$O,0)))/100)</f>
        <v>0</v>
      </c>
      <c r="BI157" s="32" cm="1">
        <f t="array" ref="BI157">$G$14+VLOOKUP($R157,武学奇术!$A:$ZZ,16,FALSE)+SUM(_xlfn.XLOOKUP(S157:AG157,增益!$A:$A,增益!$P:$P,0))</f>
        <v>0.15</v>
      </c>
      <c r="BJ157" s="26">
        <f>MIN(IF(VLOOKUP($R157,武学奇术!$A:$ZZ,23,FALSE)=1,100%,$B$8),100%)</f>
        <v>0.981</v>
      </c>
      <c r="BK157" s="26" cm="1">
        <f t="array" ref="BK157">IF(VLOOKUP($R157,武学奇术!$A:$ZZ,23,FALSE)=1,100%,MIN(80%,$B$9+VLOOKUP($R157,武学奇术!$A:$ZZ,17,FALSE)+SUM(_xlfn.XLOOKUP(S157:AG157,增益!$A:$A,增益!$Q:$Q,0)))+$B$11+SUM(_xlfn.XLOOKUP(S157:AG157,增益!$A:$A,增益!$U:$U,0)))*IF(VLOOKUP($R157,武学奇术!$A:$ZZ,24,FALSE)=1,0,1)</f>
        <v>0.846</v>
      </c>
      <c r="BL157" s="26" cm="1">
        <f t="array" ref="BL157">1+$B$13+VLOOKUP($R157,武学奇术!$A:$ZZ,18,FALSE)+SUM(_xlfn.XLOOKUP(S157:AG157,增益!$A:$A,增益!$R:$R,0))</f>
        <v>1.91</v>
      </c>
      <c r="BM157" s="26" cm="1">
        <f t="array" ref="BM157">IF(VLOOKUP($R157,武学奇术!$A:$ZZ,24,FALSE)=1,100%,MIN(40%,$B$10+VLOOKUP($R157,武学奇术!$A:$ZZ,19,FALSE)+SUM(_xlfn.XLOOKUP(S157:AG157,增益!$A:$A,增益!$S:$S,0)))+$B$12+SUM(_xlfn.XLOOKUP(S157:AG157,增益!$A:$A,增益!$V:$V,0)))*IF(VLOOKUP($R157,武学奇术!$A:$ZZ,23,FALSE)=1,0,1)</f>
        <v>0.0929</v>
      </c>
      <c r="BN157" s="26" cm="1">
        <f t="array" ref="BN157">1+$B$14+VLOOKUP($R157,武学奇术!$A:$ZZ,20,FALSE)+SUM(_xlfn.XLOOKUP(S157:AG157,增益!$A:$A,增益!$T:$T,0))</f>
        <v>1.35</v>
      </c>
      <c r="BO157" s="26">
        <f t="shared" si="34"/>
        <v>0.829926</v>
      </c>
      <c r="BP157" s="26">
        <f t="shared" si="35"/>
        <v>0.0599391</v>
      </c>
      <c r="BQ157" s="26">
        <f>IF(VLOOKUP($R157,武学奇术!$A:$ZZ,22,FALSE)=1,0,(1-$BJ157))*(1-$BM157)</f>
        <v>0.0172349</v>
      </c>
      <c r="BR157" s="26" cm="1">
        <f t="array" ref="BR157">SUM(_xlfn.XLOOKUP(S157:AG157,增益!$A:$A,增益!$W:$W,0))+$I$5</f>
        <v>0.11</v>
      </c>
    </row>
    <row r="158" spans="11:70">
      <c r="K158">
        <f>$L158*VLOOKUP($R158,武学奇术!$A:$ZZ,31,FALSE)</f>
        <v>19240.5113651605</v>
      </c>
      <c r="L158" s="38">
        <f t="shared" si="36"/>
        <v>18324.2965382481</v>
      </c>
      <c r="M158" s="38">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BL158*$Q158*(1+IF(VLOOKUP($R158,武学奇术!$A:$ZZ,30,FALSE)="回旋伞",$B$21,0))*(1+$BR158)</f>
        <v>19458.1101238526</v>
      </c>
      <c r="N158" s="38">
        <f>(($AP158*$AI158+$AJ158)*(1+$AQ158)*(1+$AR158)+($AU158*IF($G$1="鸣金",$AK158,$AI158)+IF($G$1="鸣金",$AL158*1.5,0))*(1+$AV158)*(1+$AW158)+($AY158*IF($G$1="裂石",$AK158,$AI158)+IF($G$1="裂石",$AL158*1.5,0))*(1+$AZ158)*(1+$BA158)+($BC158*IF($G$1="牵丝",$AK158,$AI158)+IF($G$1="牵丝",$AL158*1.5,0))*(1+$BD158)*(1+$BE158)+($BG158*IF($G$1="破竹",$AK158,$AI158)+IF($G$1="破竹",$AL158*1.5,0))*(1+$BH158)*(1+$BI158))*(1+$AM158)*$BN158*$Q158*(1+IF(VLOOKUP($R158,武学奇术!$A:$ZZ,30,FALSE)="回旋伞",$B$21,0))*(1+$BR158)</f>
        <v>15146.1811175483</v>
      </c>
      <c r="O158" s="38">
        <f>((($AO158+$AP158)/2*$AI158+$AJ158)*(1+$AQ158)*(1+$AR158)+(($AT158+$AU158)/2*IF($G$1="鸣金",$AK158,$AI158)+IF($G$1="鸣金",$AL158*1.5,0))*(1+$AV158)*(1+$AW158)+(($AX158+$AY158)/2*IF($G$1="裂石",$AK158,$AI158)+IF($G$1="裂石",$AL158*1.5,0))*(1+$AZ158)*(1+$BA158)+(($BB158+$BC158)/2*IF($G$1="牵丝",$AK158,$AI158)+IF($G$1="牵丝",$AL158*1.5,0))*(1+$BD158)*(1+$BE158)+(($BF158+$BG158)/2*IF($G$1="破竹",$AK158,$AI158)+IF($G$1="破竹",$AL158*1.5,0))*(1+$BH158)*(1+$BI158))*(1+$AM158)*$Q158*(1+IF(VLOOKUP($R158,武学奇术!$A:$ZZ,30,FALSE)="回旋伞",$B$21,0))*(1+$BR158)</f>
        <v>10187.4922114411</v>
      </c>
      <c r="P158" s="38">
        <f>((($AO158*$AI158+$AJ158)*(1+$AQ158)*(1+$AR158)+($AT158*IF($G$1="鸣金",$AK158,$AI158)+IF($G$1="鸣金",$AL158*1.5,0))*(1+$AV158)*(1+$AW158)+($AX158*IF($G$1="裂石",$AK158,$AI158)+IF($G$1="裂石",$AL158*1.5,0))*(1+$AZ158)*(1+$BA158)+($BB158*IF($G$1="牵丝",$AK158,$AI158)+IF($G$1="牵丝",$AL158*1.5,0))*(1+$BD158)*(1+$BE158)+($BF158*IF($G$1="破竹",$AK158,$AI158)+IF($G$1="破竹",$AL158*1.5,0))*(1+$BH158)*(1+$BI158))*(1+$AM158))*$Q158*(1+IF(VLOOKUP($R158,武学奇术!$A:$ZZ,30,FALSE)="回旋伞",$B$21,0))*(1+$BR158)</f>
        <v>9155.59100247614</v>
      </c>
      <c r="Q158" s="39">
        <f t="shared" si="37"/>
        <v>1</v>
      </c>
      <c r="R158" s="40" t="s">
        <v>186</v>
      </c>
      <c r="S158" s="40" t="s">
        <v>72</v>
      </c>
      <c r="T158" s="40" t="s">
        <v>95</v>
      </c>
      <c r="U158" s="40" t="s">
        <v>73</v>
      </c>
      <c r="V158" s="40" t="s">
        <v>81</v>
      </c>
      <c r="W158" s="40" t="s">
        <v>172</v>
      </c>
      <c r="X158" s="40" t="s">
        <v>99</v>
      </c>
      <c r="Y158" s="40" t="s">
        <v>72</v>
      </c>
      <c r="Z158" s="40" t="s">
        <v>176</v>
      </c>
      <c r="AA158" s="40" t="s">
        <v>72</v>
      </c>
      <c r="AB158" s="40" t="s">
        <v>72</v>
      </c>
      <c r="AC158" s="40" t="s">
        <v>72</v>
      </c>
      <c r="AD158" s="40" t="s">
        <v>178</v>
      </c>
      <c r="AE158" s="40" t="s">
        <v>72</v>
      </c>
      <c r="AF158" s="40" t="s">
        <v>72</v>
      </c>
      <c r="AG158" s="40" t="s">
        <v>78</v>
      </c>
      <c r="AH158" t="str">
        <f>VLOOKUP($R158,武学奇术!$A:$ZZ,25,FALSE)</f>
        <v>心法</v>
      </c>
      <c r="AI158" s="26">
        <f>VLOOKUP($R158,武学奇术!$A:$ZZ,26,FALSE)</f>
        <v>1</v>
      </c>
      <c r="AJ158" s="27">
        <f>VLOOKUP($R158,武学奇术!$A:$ZZ,27,FALSE)*(1+IF(OR($AH158=$F$4,$AH158=$F$5),$B$22,0))</f>
        <v>0</v>
      </c>
      <c r="AK158" s="26">
        <f>VLOOKUP($R158,武学奇术!$A:$ZZ,28,FALSE)</f>
        <v>1</v>
      </c>
      <c r="AL158" s="27">
        <f>VLOOKUP($R158,武学奇术!$A:$ZZ,29,FALSE)*(1+IF(OR($AH158=$F$4,$AH158=$F$5),$B$22,0))</f>
        <v>0</v>
      </c>
      <c r="AM158" s="26" cm="1">
        <f t="array" ref="AM158">$G$3+IFERROR(VLOOKUP($AH158,$F$4:$G$7,2,FALSE),0)+VLOOKUP($R158,武学奇术!$A:$ZZ,2,FALSE)+SUM(_xlfn.XLOOKUP($S158:$AG158,增益!$A:$A,增益!$B:$B,0))</f>
        <v>0.4037</v>
      </c>
      <c r="AN158" s="26" cm="1">
        <f t="array" ref="AN158">VLOOKUP($R158,武学奇术!$A:$ZZ,5,FALSE)+SUM(_xlfn.XLOOKUP($S158:$AG158,增益!$A:$A,增益!$E:$E,0))</f>
        <v>0</v>
      </c>
      <c r="AO158" cm="1">
        <f t="array" ref="AO158">$D$10*(1+$AN158)+VLOOKUP($R158,武学奇术!$A:$ZZ,3,FALSE)+SUM(_xlfn.XLOOKUP($S158:$AG158,增益!$A:$A,增益!$C:$C,0))-$I$2</f>
        <v>3562.6</v>
      </c>
      <c r="AP158" cm="1">
        <f t="array" ref="AP158">$E$10*(1+$AN158)+VLOOKUP($R158,武学奇术!$A:$ZZ,4,FALSE)+SUM(_xlfn.XLOOKUP($S158:$AG158,增益!$A:$A,增益!$D:$D,0))-$I$2</f>
        <v>3562.6</v>
      </c>
      <c r="AQ158" s="32" cm="1">
        <f t="array" ref="AQ158">IF($F$10-$I$3+VLOOKUP($R158,武学奇术!$A:$ZZ,6,FALSE)+SUM(_xlfn.XLOOKUP(S158:AG158,增益!$A:$A,增益!$F:$F,0))&gt;0,($F$10-$I$3+VLOOKUP($R158,武学奇术!$A:$ZZ,6,FALSE)+SUM(_xlfn.XLOOKUP(S158:AG158,增益!$A:$A,增益!$F:$F,0)))/200,($F$10-$I$3+VLOOKUP($R158,武学奇术!$A:$ZZ,6,FALSE)+SUM(_xlfn.XLOOKUP(S158:AG158,增益!$A:$A,增益!$F:$F,0)))/100)</f>
        <v>0.2925</v>
      </c>
      <c r="AR158" s="32" cm="1">
        <f t="array" ref="AR158">$G$10+VLOOKUP($R158,武学奇术!$A:$ZZ,7,FALSE)+SUM(_xlfn.XLOOKUP(S158:AG158,增益!$A:$A,增益!$G:$G,0))</f>
        <v>0.028</v>
      </c>
      <c r="AS158" s="26" cm="1">
        <f t="array" ref="AS158">VLOOKUP($R158,武学奇术!$A:$ZZ,8,FALSE)+SUM(_xlfn.XLOOKUP(S158:AG158,增益!$A:$A,增益!$H:$H,0))</f>
        <v>0</v>
      </c>
      <c r="AT158">
        <f t="shared" si="26"/>
        <v>0</v>
      </c>
      <c r="AU158">
        <f t="shared" si="27"/>
        <v>0</v>
      </c>
      <c r="AV158" s="32" cm="1">
        <f t="array" ref="AV158">IF($F$11-$I$4+VLOOKUP($R158,武学奇术!$A:$ZZ,9,FALSE)+SUM(_xlfn.XLOOKUP(S158:AG158,增益!$A:$A,增益!$I:$I,0))&gt;0,($F$11-$I$4+VLOOKUP($R158,武学奇术!$A:$ZZ,9,FALSE)+SUM(_xlfn.XLOOKUP(S158:AG158,增益!$A:$A,增益!$I:$I,0)))/200,($F$11-$I$4+VLOOKUP($R158,武学奇术!$A:$ZZ,9,FALSE)+SUM(_xlfn.XLOOKUP(S158:AG158,增益!$A:$A,增益!$I:$I,0)))/100)</f>
        <v>-0.3</v>
      </c>
      <c r="AW158" s="32" cm="1">
        <f t="array" ref="AW158">$G$11+VLOOKUP($R158,武学奇术!$A:$ZZ,10,FALSE)+SUM(_xlfn.XLOOKUP(S158:AG158,增益!$A:$A,增益!$J:$J,0))</f>
        <v>0</v>
      </c>
      <c r="AX158">
        <f t="shared" si="28"/>
        <v>0</v>
      </c>
      <c r="AY158">
        <f t="shared" si="29"/>
        <v>0</v>
      </c>
      <c r="AZ158" s="32" cm="1">
        <f t="array" ref="AZ158">IF($F$12-$I$4+VLOOKUP($R158,武学奇术!$A:$ZZ,11,FALSE)+SUM(_xlfn.XLOOKUP(S158:AG158,增益!$A:$A,增益!$K:$K,0))&gt;0,($F$12-$I$4+VLOOKUP($R158,武学奇术!$A:$ZZ,11,FALSE)+SUM(_xlfn.XLOOKUP(S158:AG158,增益!$A:$A,增益!$K:$K,0)))/200,($F$12-$I$4+VLOOKUP($R158,武学奇术!$A:$ZZ,11,FALSE)+SUM(_xlfn.XLOOKUP(S158:AG158,增益!$A:$A,增益!$K:$K,0)))/100)</f>
        <v>-0.3</v>
      </c>
      <c r="BA158" s="32" cm="1">
        <f t="array" ref="BA158">$G$12+VLOOKUP($R158,武学奇术!$A:$ZZ,12,FALSE)+SUM(_xlfn.XLOOKUP(S158:AG158,增益!$A:$A,增益!$L:$L,0))</f>
        <v>0</v>
      </c>
      <c r="BB158">
        <f t="shared" si="30"/>
        <v>0</v>
      </c>
      <c r="BC158">
        <f t="shared" si="31"/>
        <v>0</v>
      </c>
      <c r="BD158" s="32" cm="1">
        <f t="array" ref="BD158">IF($F$13-$I$4+VLOOKUP($R158,武学奇术!$A:$ZZ,13,FALSE)+SUM(_xlfn.XLOOKUP(S158:AG158,增益!$A:$A,增益!$M:$M,0))&gt;0,($F$13-$I$4+VLOOKUP($R158,武学奇术!$A:$ZZ,13,FALSE)+SUM(_xlfn.XLOOKUP(S158:AG158,增益!$A:$A,增益!$K:$K,0)))/200,($F$13-$I$4+VLOOKUP($R158,武学奇术!$A:$ZZ,13,FALSE)+SUM(_xlfn.XLOOKUP(S158:AG158,增益!$A:$A,增益!$M:$M,0)))/100)</f>
        <v>-0.3</v>
      </c>
      <c r="BE158" s="32" cm="1">
        <f t="array" ref="BE158">$G$13+VLOOKUP($R158,武学奇术!$A:$ZZ,14,FALSE)+SUM(_xlfn.XLOOKUP(S158:AG158,增益!$A:$A,增益!$N:$N,0))</f>
        <v>0</v>
      </c>
      <c r="BF158">
        <f t="shared" si="32"/>
        <v>571.2</v>
      </c>
      <c r="BG158">
        <f t="shared" si="33"/>
        <v>1627.8</v>
      </c>
      <c r="BH158" s="32" cm="1">
        <f t="array" ref="BH158">IF($F$14-$I$4+VLOOKUP($R158,武学奇术!$A:$ZZ,15,FALSE)+SUM(_xlfn.XLOOKUP(S158:AG158,增益!$A:$A,增益!$O:$O,0))&gt;0,($F$14-$I$4+VLOOKUP($R158,武学奇术!$A:$ZZ,15,FALSE)+SUM(_xlfn.XLOOKUP(S158:AG158,增益!$A:$A,增益!$O:$O,0)))/200,($F$14-$I$4+VLOOKUP($R158,武学奇术!$A:$ZZ,15,FALSE)+SUM(_xlfn.XLOOKUP(S158:AG158,增益!$A:$A,增益!$O:$O,0)))/100)</f>
        <v>0</v>
      </c>
      <c r="BI158" s="32" cm="1">
        <f t="array" ref="BI158">$G$14+VLOOKUP($R158,武学奇术!$A:$ZZ,16,FALSE)+SUM(_xlfn.XLOOKUP(S158:AG158,增益!$A:$A,增益!$P:$P,0))</f>
        <v>0.15</v>
      </c>
      <c r="BJ158" s="26">
        <f>MIN(IF(VLOOKUP($R158,武学奇术!$A:$ZZ,23,FALSE)=1,100%,$B$8),100%)</f>
        <v>0.981</v>
      </c>
      <c r="BK158" s="26" cm="1">
        <f t="array" ref="BK158">IF(VLOOKUP($R158,武学奇术!$A:$ZZ,23,FALSE)=1,100%,MIN(80%,$B$9+VLOOKUP($R158,武学奇术!$A:$ZZ,17,FALSE)+SUM(_xlfn.XLOOKUP(S158:AG158,增益!$A:$A,增益!$Q:$Q,0)))+$B$11+SUM(_xlfn.XLOOKUP(S158:AG158,增益!$A:$A,增益!$U:$U,0)))*IF(VLOOKUP($R158,武学奇术!$A:$ZZ,24,FALSE)=1,0,1)</f>
        <v>0.846</v>
      </c>
      <c r="BL158" s="26" cm="1">
        <f t="array" ref="BL158">1+$B$13+VLOOKUP($R158,武学奇术!$A:$ZZ,18,FALSE)+SUM(_xlfn.XLOOKUP(S158:AG158,增益!$A:$A,增益!$R:$R,0))</f>
        <v>1.91</v>
      </c>
      <c r="BM158" s="26" cm="1">
        <f t="array" ref="BM158">IF(VLOOKUP($R158,武学奇术!$A:$ZZ,24,FALSE)=1,100%,MIN(40%,$B$10+VLOOKUP($R158,武学奇术!$A:$ZZ,19,FALSE)+SUM(_xlfn.XLOOKUP(S158:AG158,增益!$A:$A,增益!$S:$S,0)))+$B$12+SUM(_xlfn.XLOOKUP(S158:AG158,增益!$A:$A,增益!$V:$V,0)))*IF(VLOOKUP($R158,武学奇术!$A:$ZZ,23,FALSE)=1,0,1)</f>
        <v>0.0929</v>
      </c>
      <c r="BN158" s="26" cm="1">
        <f t="array" ref="BN158">1+$B$14+VLOOKUP($R158,武学奇术!$A:$ZZ,20,FALSE)+SUM(_xlfn.XLOOKUP(S158:AG158,增益!$A:$A,增益!$T:$T,0))</f>
        <v>1.35</v>
      </c>
      <c r="BO158" s="26">
        <f t="shared" si="34"/>
        <v>0.829926</v>
      </c>
      <c r="BP158" s="26">
        <f t="shared" si="35"/>
        <v>0.0599391</v>
      </c>
      <c r="BQ158" s="26">
        <f>IF(VLOOKUP($R158,武学奇术!$A:$ZZ,22,FALSE)=1,0,(1-$BJ158))*(1-$BM158)</f>
        <v>0.0172349</v>
      </c>
      <c r="BR158" s="26" cm="1">
        <f t="array" ref="BR158">SUM(_xlfn.XLOOKUP(S158:AG158,增益!$A:$A,增益!$W:$W,0))+$I$5</f>
        <v>0.21</v>
      </c>
    </row>
    <row r="159" spans="11:70">
      <c r="K159">
        <f>$L159*VLOOKUP($R159,武学奇术!$A:$ZZ,31,FALSE)</f>
        <v>17650.3864589489</v>
      </c>
      <c r="L159" s="38">
        <f t="shared" si="36"/>
        <v>16809.8918656656</v>
      </c>
      <c r="M159" s="38">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BL159*$Q159*(1+IF(VLOOKUP($R159,武学奇术!$A:$ZZ,30,FALSE)="回旋伞",$B$21,0))*(1+$BR159)</f>
        <v>17850.001849154</v>
      </c>
      <c r="N159" s="38">
        <f>(($AP159*$AI159+$AJ159)*(1+$AQ159)*(1+$AR159)+($AU159*IF($G$1="鸣金",$AK159,$AI159)+IF($G$1="鸣金",$AL159*1.5,0))*(1+$AV159)*(1+$AW159)+($AY159*IF($G$1="裂石",$AK159,$AI159)+IF($G$1="裂石",$AL159*1.5,0))*(1+$AZ159)*(1+$BA159)+($BC159*IF($G$1="牵丝",$AK159,$AI159)+IF($G$1="牵丝",$AL159*1.5,0))*(1+$BD159)*(1+$BE159)+($BG159*IF($G$1="破竹",$AK159,$AI159)+IF($G$1="破竹",$AL159*1.5,0))*(1+$BH159)*(1+$BI159))*(1+$AM159)*$BN159*$Q159*(1+IF(VLOOKUP($R159,武学奇术!$A:$ZZ,30,FALSE)="回旋伞",$B$21,0))*(1+$BR159)</f>
        <v>13894.4306119658</v>
      </c>
      <c r="O159" s="38">
        <f>((($AO159+$AP159)/2*$AI159+$AJ159)*(1+$AQ159)*(1+$AR159)+(($AT159+$AU159)/2*IF($G$1="鸣金",$AK159,$AI159)+IF($G$1="鸣金",$AL159*1.5,0))*(1+$AV159)*(1+$AW159)+(($AX159+$AY159)/2*IF($G$1="裂石",$AK159,$AI159)+IF($G$1="裂石",$AL159*1.5,0))*(1+$AZ159)*(1+$BA159)+(($BB159+$BC159)/2*IF($G$1="牵丝",$AK159,$AI159)+IF($G$1="牵丝",$AL159*1.5,0))*(1+$BD159)*(1+$BE159)+(($BF159+$BG159)/2*IF($G$1="破竹",$AK159,$AI159)+IF($G$1="破竹",$AL159*1.5,0))*(1+$BH159)*(1+$BI159))*(1+$AM159)*$Q159*(1+IF(VLOOKUP($R159,武学奇术!$A:$ZZ,30,FALSE)="回旋伞",$B$21,0))*(1+$BR159)</f>
        <v>9345.55070636336</v>
      </c>
      <c r="P159" s="38">
        <f>((($AO159*$AI159+$AJ159)*(1+$AQ159)*(1+$AR159)+($AT159*IF($G$1="鸣金",$AK159,$AI159)+IF($G$1="鸣金",$AL159*1.5,0))*(1+$AV159)*(1+$AW159)+($AX159*IF($G$1="裂石",$AK159,$AI159)+IF($G$1="裂石",$AL159*1.5,0))*(1+$AZ159)*(1+$BA159)+($BB159*IF($G$1="牵丝",$AK159,$AI159)+IF($G$1="牵丝",$AL159*1.5,0))*(1+$BD159)*(1+$BE159)+($BF159*IF($G$1="破竹",$AK159,$AI159)+IF($G$1="破竹",$AL159*1.5,0))*(1+$BH159)*(1+$BI159))*(1+$AM159))*$Q159*(1+IF(VLOOKUP($R159,武学奇术!$A:$ZZ,30,FALSE)="回旋伞",$B$21,0))*(1+$BR159)</f>
        <v>8398.93058904836</v>
      </c>
      <c r="Q159" s="39">
        <f t="shared" si="37"/>
        <v>1</v>
      </c>
      <c r="R159" s="40" t="s">
        <v>186</v>
      </c>
      <c r="S159" s="40" t="s">
        <v>72</v>
      </c>
      <c r="T159" s="40" t="s">
        <v>95</v>
      </c>
      <c r="U159" s="40" t="s">
        <v>73</v>
      </c>
      <c r="V159" s="40" t="s">
        <v>81</v>
      </c>
      <c r="W159" s="40" t="s">
        <v>172</v>
      </c>
      <c r="X159" s="40" t="s">
        <v>99</v>
      </c>
      <c r="Y159" s="40" t="s">
        <v>72</v>
      </c>
      <c r="Z159" s="40" t="s">
        <v>72</v>
      </c>
      <c r="AA159" s="40" t="s">
        <v>72</v>
      </c>
      <c r="AB159" s="40" t="s">
        <v>72</v>
      </c>
      <c r="AC159" s="40" t="s">
        <v>72</v>
      </c>
      <c r="AD159" s="40" t="s">
        <v>72</v>
      </c>
      <c r="AE159" s="40" t="s">
        <v>72</v>
      </c>
      <c r="AF159" s="40" t="s">
        <v>72</v>
      </c>
      <c r="AG159" s="40" t="s">
        <v>78</v>
      </c>
      <c r="AH159" t="str">
        <f>VLOOKUP($R159,武学奇术!$A:$ZZ,25,FALSE)</f>
        <v>心法</v>
      </c>
      <c r="AI159" s="26">
        <f>VLOOKUP($R159,武学奇术!$A:$ZZ,26,FALSE)</f>
        <v>1</v>
      </c>
      <c r="AJ159" s="27">
        <f>VLOOKUP($R159,武学奇术!$A:$ZZ,27,FALSE)*(1+IF(OR($AH159=$F$4,$AH159=$F$5),$B$22,0))</f>
        <v>0</v>
      </c>
      <c r="AK159" s="26">
        <f>VLOOKUP($R159,武学奇术!$A:$ZZ,28,FALSE)</f>
        <v>1</v>
      </c>
      <c r="AL159" s="27">
        <f>VLOOKUP($R159,武学奇术!$A:$ZZ,29,FALSE)*(1+IF(OR($AH159=$F$4,$AH159=$F$5),$B$22,0))</f>
        <v>0</v>
      </c>
      <c r="AM159" s="26" cm="1">
        <f t="array" ref="AM159">$G$3+IFERROR(VLOOKUP($AH159,$F$4:$G$7,2,FALSE),0)+VLOOKUP($R159,武学奇术!$A:$ZZ,2,FALSE)+SUM(_xlfn.XLOOKUP($S159:$AG159,增益!$A:$A,增益!$B:$B,0))</f>
        <v>0.4037</v>
      </c>
      <c r="AN159" s="26" cm="1">
        <f t="array" ref="AN159">VLOOKUP($R159,武学奇术!$A:$ZZ,5,FALSE)+SUM(_xlfn.XLOOKUP($S159:$AG159,增益!$A:$A,增益!$E:$E,0))</f>
        <v>0</v>
      </c>
      <c r="AO159" cm="1">
        <f t="array" ref="AO159">$D$10*(1+$AN159)+VLOOKUP($R159,武学奇术!$A:$ZZ,3,FALSE)+SUM(_xlfn.XLOOKUP($S159:$AG159,增益!$A:$A,增益!$C:$C,0))-$I$2</f>
        <v>3562.6</v>
      </c>
      <c r="AP159" cm="1">
        <f t="array" ref="AP159">$E$10*(1+$AN159)+VLOOKUP($R159,武学奇术!$A:$ZZ,4,FALSE)+SUM(_xlfn.XLOOKUP($S159:$AG159,增益!$A:$A,增益!$D:$D,0))-$I$2</f>
        <v>3562.6</v>
      </c>
      <c r="AQ159" s="32" cm="1">
        <f t="array" ref="AQ159">IF($F$10-$I$3+VLOOKUP($R159,武学奇术!$A:$ZZ,6,FALSE)+SUM(_xlfn.XLOOKUP(S159:AG159,增益!$A:$A,增益!$F:$F,0))&gt;0,($F$10-$I$3+VLOOKUP($R159,武学奇术!$A:$ZZ,6,FALSE)+SUM(_xlfn.XLOOKUP(S159:AG159,增益!$A:$A,增益!$F:$F,0)))/200,($F$10-$I$3+VLOOKUP($R159,武学奇术!$A:$ZZ,6,FALSE)+SUM(_xlfn.XLOOKUP(S159:AG159,增益!$A:$A,增益!$F:$F,0)))/100)</f>
        <v>0.2925</v>
      </c>
      <c r="AR159" s="32" cm="1">
        <f t="array" ref="AR159">$G$10+VLOOKUP($R159,武学奇术!$A:$ZZ,7,FALSE)+SUM(_xlfn.XLOOKUP(S159:AG159,增益!$A:$A,增益!$G:$G,0))</f>
        <v>0.028</v>
      </c>
      <c r="AS159" s="26" cm="1">
        <f t="array" ref="AS159">VLOOKUP($R159,武学奇术!$A:$ZZ,8,FALSE)+SUM(_xlfn.XLOOKUP(S159:AG159,增益!$A:$A,增益!$H:$H,0))</f>
        <v>0</v>
      </c>
      <c r="AT159">
        <f t="shared" si="26"/>
        <v>0</v>
      </c>
      <c r="AU159">
        <f t="shared" si="27"/>
        <v>0</v>
      </c>
      <c r="AV159" s="32" cm="1">
        <f t="array" ref="AV159">IF($F$11-$I$4+VLOOKUP($R159,武学奇术!$A:$ZZ,9,FALSE)+SUM(_xlfn.XLOOKUP(S159:AG159,增益!$A:$A,增益!$I:$I,0))&gt;0,($F$11-$I$4+VLOOKUP($R159,武学奇术!$A:$ZZ,9,FALSE)+SUM(_xlfn.XLOOKUP(S159:AG159,增益!$A:$A,增益!$I:$I,0)))/200,($F$11-$I$4+VLOOKUP($R159,武学奇术!$A:$ZZ,9,FALSE)+SUM(_xlfn.XLOOKUP(S159:AG159,增益!$A:$A,增益!$I:$I,0)))/100)</f>
        <v>-0.3</v>
      </c>
      <c r="AW159" s="32" cm="1">
        <f t="array" ref="AW159">$G$11+VLOOKUP($R159,武学奇术!$A:$ZZ,10,FALSE)+SUM(_xlfn.XLOOKUP(S159:AG159,增益!$A:$A,增益!$J:$J,0))</f>
        <v>0</v>
      </c>
      <c r="AX159">
        <f t="shared" si="28"/>
        <v>0</v>
      </c>
      <c r="AY159">
        <f t="shared" si="29"/>
        <v>0</v>
      </c>
      <c r="AZ159" s="32" cm="1">
        <f t="array" ref="AZ159">IF($F$12-$I$4+VLOOKUP($R159,武学奇术!$A:$ZZ,11,FALSE)+SUM(_xlfn.XLOOKUP(S159:AG159,增益!$A:$A,增益!$K:$K,0))&gt;0,($F$12-$I$4+VLOOKUP($R159,武学奇术!$A:$ZZ,11,FALSE)+SUM(_xlfn.XLOOKUP(S159:AG159,增益!$A:$A,增益!$K:$K,0)))/200,($F$12-$I$4+VLOOKUP($R159,武学奇术!$A:$ZZ,11,FALSE)+SUM(_xlfn.XLOOKUP(S159:AG159,增益!$A:$A,增益!$K:$K,0)))/100)</f>
        <v>-0.3</v>
      </c>
      <c r="BA159" s="32" cm="1">
        <f t="array" ref="BA159">$G$12+VLOOKUP($R159,武学奇术!$A:$ZZ,12,FALSE)+SUM(_xlfn.XLOOKUP(S159:AG159,增益!$A:$A,增益!$L:$L,0))</f>
        <v>0</v>
      </c>
      <c r="BB159">
        <f t="shared" si="30"/>
        <v>0</v>
      </c>
      <c r="BC159">
        <f t="shared" si="31"/>
        <v>0</v>
      </c>
      <c r="BD159" s="32" cm="1">
        <f t="array" ref="BD159">IF($F$13-$I$4+VLOOKUP($R159,武学奇术!$A:$ZZ,13,FALSE)+SUM(_xlfn.XLOOKUP(S159:AG159,增益!$A:$A,增益!$M:$M,0))&gt;0,($F$13-$I$4+VLOOKUP($R159,武学奇术!$A:$ZZ,13,FALSE)+SUM(_xlfn.XLOOKUP(S159:AG159,增益!$A:$A,增益!$K:$K,0)))/200,($F$13-$I$4+VLOOKUP($R159,武学奇术!$A:$ZZ,13,FALSE)+SUM(_xlfn.XLOOKUP(S159:AG159,增益!$A:$A,增益!$M:$M,0)))/100)</f>
        <v>-0.3</v>
      </c>
      <c r="BE159" s="32" cm="1">
        <f t="array" ref="BE159">$G$13+VLOOKUP($R159,武学奇术!$A:$ZZ,14,FALSE)+SUM(_xlfn.XLOOKUP(S159:AG159,增益!$A:$A,增益!$N:$N,0))</f>
        <v>0</v>
      </c>
      <c r="BF159">
        <f t="shared" si="32"/>
        <v>571.2</v>
      </c>
      <c r="BG159">
        <f t="shared" si="33"/>
        <v>1627.8</v>
      </c>
      <c r="BH159" s="32" cm="1">
        <f t="array" ref="BH159">IF($F$14-$I$4+VLOOKUP($R159,武学奇术!$A:$ZZ,15,FALSE)+SUM(_xlfn.XLOOKUP(S159:AG159,增益!$A:$A,增益!$O:$O,0))&gt;0,($F$14-$I$4+VLOOKUP($R159,武学奇术!$A:$ZZ,15,FALSE)+SUM(_xlfn.XLOOKUP(S159:AG159,增益!$A:$A,增益!$O:$O,0)))/200,($F$14-$I$4+VLOOKUP($R159,武学奇术!$A:$ZZ,15,FALSE)+SUM(_xlfn.XLOOKUP(S159:AG159,增益!$A:$A,增益!$O:$O,0)))/100)</f>
        <v>0</v>
      </c>
      <c r="BI159" s="32" cm="1">
        <f t="array" ref="BI159">$G$14+VLOOKUP($R159,武学奇术!$A:$ZZ,16,FALSE)+SUM(_xlfn.XLOOKUP(S159:AG159,增益!$A:$A,增益!$P:$P,0))</f>
        <v>0.15</v>
      </c>
      <c r="BJ159" s="26">
        <f>MIN(IF(VLOOKUP($R159,武学奇术!$A:$ZZ,23,FALSE)=1,100%,$B$8),100%)</f>
        <v>0.981</v>
      </c>
      <c r="BK159" s="26" cm="1">
        <f t="array" ref="BK159">IF(VLOOKUP($R159,武学奇术!$A:$ZZ,23,FALSE)=1,100%,MIN(80%,$B$9+VLOOKUP($R159,武学奇术!$A:$ZZ,17,FALSE)+SUM(_xlfn.XLOOKUP(S159:AG159,增益!$A:$A,增益!$Q:$Q,0)))+$B$11+SUM(_xlfn.XLOOKUP(S159:AG159,增益!$A:$A,增益!$U:$U,0)))*IF(VLOOKUP($R159,武学奇术!$A:$ZZ,24,FALSE)=1,0,1)</f>
        <v>0.846</v>
      </c>
      <c r="BL159" s="26" cm="1">
        <f t="array" ref="BL159">1+$B$13+VLOOKUP($R159,武学奇术!$A:$ZZ,18,FALSE)+SUM(_xlfn.XLOOKUP(S159:AG159,增益!$A:$A,增益!$R:$R,0))</f>
        <v>1.91</v>
      </c>
      <c r="BM159" s="26" cm="1">
        <f t="array" ref="BM159">IF(VLOOKUP($R159,武学奇术!$A:$ZZ,24,FALSE)=1,100%,MIN(40%,$B$10+VLOOKUP($R159,武学奇术!$A:$ZZ,19,FALSE)+SUM(_xlfn.XLOOKUP(S159:AG159,增益!$A:$A,增益!$S:$S,0)))+$B$12+SUM(_xlfn.XLOOKUP(S159:AG159,增益!$A:$A,增益!$V:$V,0)))*IF(VLOOKUP($R159,武学奇术!$A:$ZZ,23,FALSE)=1,0,1)</f>
        <v>0.0929</v>
      </c>
      <c r="BN159" s="26" cm="1">
        <f t="array" ref="BN159">1+$B$14+VLOOKUP($R159,武学奇术!$A:$ZZ,20,FALSE)+SUM(_xlfn.XLOOKUP(S159:AG159,增益!$A:$A,增益!$T:$T,0))</f>
        <v>1.35</v>
      </c>
      <c r="BO159" s="26">
        <f t="shared" si="34"/>
        <v>0.829926</v>
      </c>
      <c r="BP159" s="26">
        <f t="shared" si="35"/>
        <v>0.0599391</v>
      </c>
      <c r="BQ159" s="26">
        <f>IF(VLOOKUP($R159,武学奇术!$A:$ZZ,22,FALSE)=1,0,(1-$BJ159))*(1-$BM159)</f>
        <v>0.0172349</v>
      </c>
      <c r="BR159" s="26" cm="1">
        <f t="array" ref="BR159">SUM(_xlfn.XLOOKUP(S159:AG159,增益!$A:$A,增益!$W:$W,0))+$I$5</f>
        <v>0.11</v>
      </c>
    </row>
    <row r="160" spans="11:70">
      <c r="K160">
        <f>$L160*VLOOKUP($R160,武学奇术!$A:$ZZ,31,FALSE)</f>
        <v>17650.3864589489</v>
      </c>
      <c r="L160" s="38">
        <f t="shared" si="36"/>
        <v>16809.8918656656</v>
      </c>
      <c r="M160" s="38">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BL160*$Q160*(1+IF(VLOOKUP($R160,武学奇术!$A:$ZZ,30,FALSE)="回旋伞",$B$21,0))*(1+$BR160)</f>
        <v>17850.001849154</v>
      </c>
      <c r="N160" s="38">
        <f>(($AP160*$AI160+$AJ160)*(1+$AQ160)*(1+$AR160)+($AU160*IF($G$1="鸣金",$AK160,$AI160)+IF($G$1="鸣金",$AL160*1.5,0))*(1+$AV160)*(1+$AW160)+($AY160*IF($G$1="裂石",$AK160,$AI160)+IF($G$1="裂石",$AL160*1.5,0))*(1+$AZ160)*(1+$BA160)+($BC160*IF($G$1="牵丝",$AK160,$AI160)+IF($G$1="牵丝",$AL160*1.5,0))*(1+$BD160)*(1+$BE160)+($BG160*IF($G$1="破竹",$AK160,$AI160)+IF($G$1="破竹",$AL160*1.5,0))*(1+$BH160)*(1+$BI160))*(1+$AM160)*$BN160*$Q160*(1+IF(VLOOKUP($R160,武学奇术!$A:$ZZ,30,FALSE)="回旋伞",$B$21,0))*(1+$BR160)</f>
        <v>13894.4306119658</v>
      </c>
      <c r="O160" s="38">
        <f>((($AO160+$AP160)/2*$AI160+$AJ160)*(1+$AQ160)*(1+$AR160)+(($AT160+$AU160)/2*IF($G$1="鸣金",$AK160,$AI160)+IF($G$1="鸣金",$AL160*1.5,0))*(1+$AV160)*(1+$AW160)+(($AX160+$AY160)/2*IF($G$1="裂石",$AK160,$AI160)+IF($G$1="裂石",$AL160*1.5,0))*(1+$AZ160)*(1+$BA160)+(($BB160+$BC160)/2*IF($G$1="牵丝",$AK160,$AI160)+IF($G$1="牵丝",$AL160*1.5,0))*(1+$BD160)*(1+$BE160)+(($BF160+$BG160)/2*IF($G$1="破竹",$AK160,$AI160)+IF($G$1="破竹",$AL160*1.5,0))*(1+$BH160)*(1+$BI160))*(1+$AM160)*$Q160*(1+IF(VLOOKUP($R160,武学奇术!$A:$ZZ,30,FALSE)="回旋伞",$B$21,0))*(1+$BR160)</f>
        <v>9345.55070636336</v>
      </c>
      <c r="P160" s="38">
        <f>((($AO160*$AI160+$AJ160)*(1+$AQ160)*(1+$AR160)+($AT160*IF($G$1="鸣金",$AK160,$AI160)+IF($G$1="鸣金",$AL160*1.5,0))*(1+$AV160)*(1+$AW160)+($AX160*IF($G$1="裂石",$AK160,$AI160)+IF($G$1="裂石",$AL160*1.5,0))*(1+$AZ160)*(1+$BA160)+($BB160*IF($G$1="牵丝",$AK160,$AI160)+IF($G$1="牵丝",$AL160*1.5,0))*(1+$BD160)*(1+$BE160)+($BF160*IF($G$1="破竹",$AK160,$AI160)+IF($G$1="破竹",$AL160*1.5,0))*(1+$BH160)*(1+$BI160))*(1+$AM160))*$Q160*(1+IF(VLOOKUP($R160,武学奇术!$A:$ZZ,30,FALSE)="回旋伞",$B$21,0))*(1+$BR160)</f>
        <v>8398.93058904836</v>
      </c>
      <c r="Q160" s="39">
        <f t="shared" si="37"/>
        <v>1</v>
      </c>
      <c r="R160" s="40" t="s">
        <v>186</v>
      </c>
      <c r="S160" s="40" t="s">
        <v>72</v>
      </c>
      <c r="T160" s="40" t="s">
        <v>95</v>
      </c>
      <c r="U160" s="40" t="s">
        <v>73</v>
      </c>
      <c r="V160" s="40" t="s">
        <v>81</v>
      </c>
      <c r="W160" s="40" t="s">
        <v>172</v>
      </c>
      <c r="X160" s="40" t="s">
        <v>99</v>
      </c>
      <c r="Y160" s="40" t="s">
        <v>72</v>
      </c>
      <c r="Z160" s="40" t="s">
        <v>72</v>
      </c>
      <c r="AA160" s="40" t="s">
        <v>72</v>
      </c>
      <c r="AB160" s="40" t="s">
        <v>72</v>
      </c>
      <c r="AC160" s="40" t="s">
        <v>72</v>
      </c>
      <c r="AD160" s="40" t="s">
        <v>72</v>
      </c>
      <c r="AE160" s="40" t="s">
        <v>72</v>
      </c>
      <c r="AF160" s="40" t="s">
        <v>72</v>
      </c>
      <c r="AG160" s="40" t="s">
        <v>78</v>
      </c>
      <c r="AH160" t="str">
        <f>VLOOKUP($R160,武学奇术!$A:$ZZ,25,FALSE)</f>
        <v>心法</v>
      </c>
      <c r="AI160" s="26">
        <f>VLOOKUP($R160,武学奇术!$A:$ZZ,26,FALSE)</f>
        <v>1</v>
      </c>
      <c r="AJ160" s="27">
        <f>VLOOKUP($R160,武学奇术!$A:$ZZ,27,FALSE)*(1+IF(OR($AH160=$F$4,$AH160=$F$5),$B$22,0))</f>
        <v>0</v>
      </c>
      <c r="AK160" s="26">
        <f>VLOOKUP($R160,武学奇术!$A:$ZZ,28,FALSE)</f>
        <v>1</v>
      </c>
      <c r="AL160" s="27">
        <f>VLOOKUP($R160,武学奇术!$A:$ZZ,29,FALSE)*(1+IF(OR($AH160=$F$4,$AH160=$F$5),$B$22,0))</f>
        <v>0</v>
      </c>
      <c r="AM160" s="26" cm="1">
        <f t="array" ref="AM160">$G$3+IFERROR(VLOOKUP($AH160,$F$4:$G$7,2,FALSE),0)+VLOOKUP($R160,武学奇术!$A:$ZZ,2,FALSE)+SUM(_xlfn.XLOOKUP($S160:$AG160,增益!$A:$A,增益!$B:$B,0))</f>
        <v>0.4037</v>
      </c>
      <c r="AN160" s="26" cm="1">
        <f t="array" ref="AN160">VLOOKUP($R160,武学奇术!$A:$ZZ,5,FALSE)+SUM(_xlfn.XLOOKUP($S160:$AG160,增益!$A:$A,增益!$E:$E,0))</f>
        <v>0</v>
      </c>
      <c r="AO160" cm="1">
        <f t="array" ref="AO160">$D$10*(1+$AN160)+VLOOKUP($R160,武学奇术!$A:$ZZ,3,FALSE)+SUM(_xlfn.XLOOKUP($S160:$AG160,增益!$A:$A,增益!$C:$C,0))-$I$2</f>
        <v>3562.6</v>
      </c>
      <c r="AP160" cm="1">
        <f t="array" ref="AP160">$E$10*(1+$AN160)+VLOOKUP($R160,武学奇术!$A:$ZZ,4,FALSE)+SUM(_xlfn.XLOOKUP($S160:$AG160,增益!$A:$A,增益!$D:$D,0))-$I$2</f>
        <v>3562.6</v>
      </c>
      <c r="AQ160" s="32" cm="1">
        <f t="array" ref="AQ160">IF($F$10-$I$3+VLOOKUP($R160,武学奇术!$A:$ZZ,6,FALSE)+SUM(_xlfn.XLOOKUP(S160:AG160,增益!$A:$A,增益!$F:$F,0))&gt;0,($F$10-$I$3+VLOOKUP($R160,武学奇术!$A:$ZZ,6,FALSE)+SUM(_xlfn.XLOOKUP(S160:AG160,增益!$A:$A,增益!$F:$F,0)))/200,($F$10-$I$3+VLOOKUP($R160,武学奇术!$A:$ZZ,6,FALSE)+SUM(_xlfn.XLOOKUP(S160:AG160,增益!$A:$A,增益!$F:$F,0)))/100)</f>
        <v>0.2925</v>
      </c>
      <c r="AR160" s="32" cm="1">
        <f t="array" ref="AR160">$G$10+VLOOKUP($R160,武学奇术!$A:$ZZ,7,FALSE)+SUM(_xlfn.XLOOKUP(S160:AG160,增益!$A:$A,增益!$G:$G,0))</f>
        <v>0.028</v>
      </c>
      <c r="AS160" s="26" cm="1">
        <f t="array" ref="AS160">VLOOKUP($R160,武学奇术!$A:$ZZ,8,FALSE)+SUM(_xlfn.XLOOKUP(S160:AG160,增益!$A:$A,增益!$H:$H,0))</f>
        <v>0</v>
      </c>
      <c r="AT160">
        <f t="shared" si="26"/>
        <v>0</v>
      </c>
      <c r="AU160">
        <f t="shared" si="27"/>
        <v>0</v>
      </c>
      <c r="AV160" s="32" cm="1">
        <f t="array" ref="AV160">IF($F$11-$I$4+VLOOKUP($R160,武学奇术!$A:$ZZ,9,FALSE)+SUM(_xlfn.XLOOKUP(S160:AG160,增益!$A:$A,增益!$I:$I,0))&gt;0,($F$11-$I$4+VLOOKUP($R160,武学奇术!$A:$ZZ,9,FALSE)+SUM(_xlfn.XLOOKUP(S160:AG160,增益!$A:$A,增益!$I:$I,0)))/200,($F$11-$I$4+VLOOKUP($R160,武学奇术!$A:$ZZ,9,FALSE)+SUM(_xlfn.XLOOKUP(S160:AG160,增益!$A:$A,增益!$I:$I,0)))/100)</f>
        <v>-0.3</v>
      </c>
      <c r="AW160" s="32" cm="1">
        <f t="array" ref="AW160">$G$11+VLOOKUP($R160,武学奇术!$A:$ZZ,10,FALSE)+SUM(_xlfn.XLOOKUP(S160:AG160,增益!$A:$A,增益!$J:$J,0))</f>
        <v>0</v>
      </c>
      <c r="AX160">
        <f t="shared" si="28"/>
        <v>0</v>
      </c>
      <c r="AY160">
        <f t="shared" si="29"/>
        <v>0</v>
      </c>
      <c r="AZ160" s="32" cm="1">
        <f t="array" ref="AZ160">IF($F$12-$I$4+VLOOKUP($R160,武学奇术!$A:$ZZ,11,FALSE)+SUM(_xlfn.XLOOKUP(S160:AG160,增益!$A:$A,增益!$K:$K,0))&gt;0,($F$12-$I$4+VLOOKUP($R160,武学奇术!$A:$ZZ,11,FALSE)+SUM(_xlfn.XLOOKUP(S160:AG160,增益!$A:$A,增益!$K:$K,0)))/200,($F$12-$I$4+VLOOKUP($R160,武学奇术!$A:$ZZ,11,FALSE)+SUM(_xlfn.XLOOKUP(S160:AG160,增益!$A:$A,增益!$K:$K,0)))/100)</f>
        <v>-0.3</v>
      </c>
      <c r="BA160" s="32" cm="1">
        <f t="array" ref="BA160">$G$12+VLOOKUP($R160,武学奇术!$A:$ZZ,12,FALSE)+SUM(_xlfn.XLOOKUP(S160:AG160,增益!$A:$A,增益!$L:$L,0))</f>
        <v>0</v>
      </c>
      <c r="BB160">
        <f t="shared" si="30"/>
        <v>0</v>
      </c>
      <c r="BC160">
        <f t="shared" si="31"/>
        <v>0</v>
      </c>
      <c r="BD160" s="32" cm="1">
        <f t="array" ref="BD160">IF($F$13-$I$4+VLOOKUP($R160,武学奇术!$A:$ZZ,13,FALSE)+SUM(_xlfn.XLOOKUP(S160:AG160,增益!$A:$A,增益!$M:$M,0))&gt;0,($F$13-$I$4+VLOOKUP($R160,武学奇术!$A:$ZZ,13,FALSE)+SUM(_xlfn.XLOOKUP(S160:AG160,增益!$A:$A,增益!$K:$K,0)))/200,($F$13-$I$4+VLOOKUP($R160,武学奇术!$A:$ZZ,13,FALSE)+SUM(_xlfn.XLOOKUP(S160:AG160,增益!$A:$A,增益!$M:$M,0)))/100)</f>
        <v>-0.3</v>
      </c>
      <c r="BE160" s="32" cm="1">
        <f t="array" ref="BE160">$G$13+VLOOKUP($R160,武学奇术!$A:$ZZ,14,FALSE)+SUM(_xlfn.XLOOKUP(S160:AG160,增益!$A:$A,增益!$N:$N,0))</f>
        <v>0</v>
      </c>
      <c r="BF160">
        <f t="shared" si="32"/>
        <v>571.2</v>
      </c>
      <c r="BG160">
        <f t="shared" si="33"/>
        <v>1627.8</v>
      </c>
      <c r="BH160" s="32" cm="1">
        <f t="array" ref="BH160">IF($F$14-$I$4+VLOOKUP($R160,武学奇术!$A:$ZZ,15,FALSE)+SUM(_xlfn.XLOOKUP(S160:AG160,增益!$A:$A,增益!$O:$O,0))&gt;0,($F$14-$I$4+VLOOKUP($R160,武学奇术!$A:$ZZ,15,FALSE)+SUM(_xlfn.XLOOKUP(S160:AG160,增益!$A:$A,增益!$O:$O,0)))/200,($F$14-$I$4+VLOOKUP($R160,武学奇术!$A:$ZZ,15,FALSE)+SUM(_xlfn.XLOOKUP(S160:AG160,增益!$A:$A,增益!$O:$O,0)))/100)</f>
        <v>0</v>
      </c>
      <c r="BI160" s="32" cm="1">
        <f t="array" ref="BI160">$G$14+VLOOKUP($R160,武学奇术!$A:$ZZ,16,FALSE)+SUM(_xlfn.XLOOKUP(S160:AG160,增益!$A:$A,增益!$P:$P,0))</f>
        <v>0.15</v>
      </c>
      <c r="BJ160" s="26">
        <f>MIN(IF(VLOOKUP($R160,武学奇术!$A:$ZZ,23,FALSE)=1,100%,$B$8),100%)</f>
        <v>0.981</v>
      </c>
      <c r="BK160" s="26" cm="1">
        <f t="array" ref="BK160">IF(VLOOKUP($R160,武学奇术!$A:$ZZ,23,FALSE)=1,100%,MIN(80%,$B$9+VLOOKUP($R160,武学奇术!$A:$ZZ,17,FALSE)+SUM(_xlfn.XLOOKUP(S160:AG160,增益!$A:$A,增益!$Q:$Q,0)))+$B$11+SUM(_xlfn.XLOOKUP(S160:AG160,增益!$A:$A,增益!$U:$U,0)))*IF(VLOOKUP($R160,武学奇术!$A:$ZZ,24,FALSE)=1,0,1)</f>
        <v>0.846</v>
      </c>
      <c r="BL160" s="26" cm="1">
        <f t="array" ref="BL160">1+$B$13+VLOOKUP($R160,武学奇术!$A:$ZZ,18,FALSE)+SUM(_xlfn.XLOOKUP(S160:AG160,增益!$A:$A,增益!$R:$R,0))</f>
        <v>1.91</v>
      </c>
      <c r="BM160" s="26" cm="1">
        <f t="array" ref="BM160">IF(VLOOKUP($R160,武学奇术!$A:$ZZ,24,FALSE)=1,100%,MIN(40%,$B$10+VLOOKUP($R160,武学奇术!$A:$ZZ,19,FALSE)+SUM(_xlfn.XLOOKUP(S160:AG160,增益!$A:$A,增益!$S:$S,0)))+$B$12+SUM(_xlfn.XLOOKUP(S160:AG160,增益!$A:$A,增益!$V:$V,0)))*IF(VLOOKUP($R160,武学奇术!$A:$ZZ,23,FALSE)=1,0,1)</f>
        <v>0.0929</v>
      </c>
      <c r="BN160" s="26" cm="1">
        <f t="array" ref="BN160">1+$B$14+VLOOKUP($R160,武学奇术!$A:$ZZ,20,FALSE)+SUM(_xlfn.XLOOKUP(S160:AG160,增益!$A:$A,增益!$T:$T,0))</f>
        <v>1.35</v>
      </c>
      <c r="BO160" s="26">
        <f t="shared" si="34"/>
        <v>0.829926</v>
      </c>
      <c r="BP160" s="26">
        <f t="shared" si="35"/>
        <v>0.0599391</v>
      </c>
      <c r="BQ160" s="26">
        <f>IF(VLOOKUP($R160,武学奇术!$A:$ZZ,22,FALSE)=1,0,(1-$BJ160))*(1-$BM160)</f>
        <v>0.0172349</v>
      </c>
      <c r="BR160" s="26" cm="1">
        <f t="array" ref="BR160">SUM(_xlfn.XLOOKUP(S160:AG160,增益!$A:$A,增益!$W:$W,0))+$I$5</f>
        <v>0.11</v>
      </c>
    </row>
    <row r="161" spans="11:70">
      <c r="K161">
        <f>$L161*VLOOKUP($R161,武学奇术!$A:$ZZ,31,FALSE)</f>
        <v>15135.5490351477</v>
      </c>
      <c r="L161" s="38">
        <f t="shared" si="36"/>
        <v>14414.8086049025</v>
      </c>
      <c r="M161" s="38">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BL161*$Q161*(1+IF(VLOOKUP($R161,武学奇术!$A:$ZZ,30,FALSE)="回旋伞",$B$21,0))*(1+$BR161)</f>
        <v>15306.7231073781</v>
      </c>
      <c r="N161" s="38">
        <f>(($AP161*$AI161+$AJ161)*(1+$AQ161)*(1+$AR161)+($AU161*IF($G$1="鸣金",$AK161,$AI161)+IF($G$1="鸣金",$AL161*1.5,0))*(1+$AV161)*(1+$AW161)+($AY161*IF($G$1="裂石",$AK161,$AI161)+IF($G$1="裂石",$AL161*1.5,0))*(1+$AZ161)*(1+$BA161)+($BC161*IF($G$1="牵丝",$AK161,$AI161)+IF($G$1="牵丝",$AL161*1.5,0))*(1+$BD161)*(1+$BE161)+($BG161*IF($G$1="破竹",$AK161,$AI161)+IF($G$1="破竹",$AL161*1.5,0))*(1+$BH161)*(1+$BI161))*(1+$AM161)*$BN161*$Q161*(1+IF(VLOOKUP($R161,武学奇术!$A:$ZZ,30,FALSE)="回旋伞",$B$21,0))*(1+$BR161)</f>
        <v>11914.743982064</v>
      </c>
      <c r="O161" s="38">
        <f>((($AO161+$AP161)/2*$AI161+$AJ161)*(1+$AQ161)*(1+$AR161)+(($AT161+$AU161)/2*IF($G$1="鸣金",$AK161,$AI161)+IF($G$1="鸣金",$AL161*1.5,0))*(1+$AV161)*(1+$AW161)+(($AX161+$AY161)/2*IF($G$1="裂石",$AK161,$AI161)+IF($G$1="裂石",$AL161*1.5,0))*(1+$AZ161)*(1+$BA161)+(($BB161+$BC161)/2*IF($G$1="牵丝",$AK161,$AI161)+IF($G$1="牵丝",$AL161*1.5,0))*(1+$BD161)*(1+$BE161)+(($BF161+$BG161)/2*IF($G$1="破竹",$AK161,$AI161)+IF($G$1="破竹",$AL161*1.5,0))*(1+$BH161)*(1+$BI161))*(1+$AM161)*$Q161*(1+IF(VLOOKUP($R161,武学奇术!$A:$ZZ,30,FALSE)="回旋伞",$B$21,0))*(1+$BR161)</f>
        <v>8013.99115569536</v>
      </c>
      <c r="P161" s="38">
        <f>((($AO161*$AI161+$AJ161)*(1+$AQ161)*(1+$AR161)+($AT161*IF($G$1="鸣金",$AK161,$AI161)+IF($G$1="鸣金",$AL161*1.5,0))*(1+$AV161)*(1+$AW161)+($AX161*IF($G$1="裂石",$AK161,$AI161)+IF($G$1="裂石",$AL161*1.5,0))*(1+$AZ161)*(1+$BA161)+($BB161*IF($G$1="牵丝",$AK161,$AI161)+IF($G$1="牵丝",$AL161*1.5,0))*(1+$BD161)*(1+$BE161)+($BF161*IF($G$1="破竹",$AK161,$AI161)+IF($G$1="破竹",$AL161*1.5,0))*(1+$BH161)*(1+$BI161))*(1+$AM161))*$Q161*(1+IF(VLOOKUP($R161,武学奇术!$A:$ZZ,30,FALSE)="回旋伞",$B$21,0))*(1+$BR161)</f>
        <v>7202.24602838036</v>
      </c>
      <c r="Q161" s="39">
        <f t="shared" si="37"/>
        <v>1</v>
      </c>
      <c r="R161" s="40" t="s">
        <v>186</v>
      </c>
      <c r="S161" s="40" t="s">
        <v>72</v>
      </c>
      <c r="T161" s="40" t="s">
        <v>95</v>
      </c>
      <c r="U161" s="40" t="s">
        <v>73</v>
      </c>
      <c r="V161" s="40" t="s">
        <v>72</v>
      </c>
      <c r="W161" s="40" t="s">
        <v>172</v>
      </c>
      <c r="X161" s="40" t="s">
        <v>99</v>
      </c>
      <c r="Y161" s="40" t="s">
        <v>72</v>
      </c>
      <c r="Z161" s="40" t="s">
        <v>72</v>
      </c>
      <c r="AA161" s="40" t="s">
        <v>72</v>
      </c>
      <c r="AB161" s="40" t="s">
        <v>72</v>
      </c>
      <c r="AC161" s="40" t="s">
        <v>72</v>
      </c>
      <c r="AD161" s="40" t="s">
        <v>72</v>
      </c>
      <c r="AE161" s="40" t="s">
        <v>72</v>
      </c>
      <c r="AF161" s="40" t="s">
        <v>72</v>
      </c>
      <c r="AG161" s="40" t="s">
        <v>78</v>
      </c>
      <c r="AH161" t="str">
        <f>VLOOKUP($R161,武学奇术!$A:$ZZ,25,FALSE)</f>
        <v>心法</v>
      </c>
      <c r="AI161" s="26">
        <f>VLOOKUP($R161,武学奇术!$A:$ZZ,26,FALSE)</f>
        <v>1</v>
      </c>
      <c r="AJ161" s="27">
        <f>VLOOKUP($R161,武学奇术!$A:$ZZ,27,FALSE)*(1+IF(OR($AH161=$F$4,$AH161=$F$5),$B$22,0))</f>
        <v>0</v>
      </c>
      <c r="AK161" s="26">
        <f>VLOOKUP($R161,武学奇术!$A:$ZZ,28,FALSE)</f>
        <v>1</v>
      </c>
      <c r="AL161" s="27">
        <f>VLOOKUP($R161,武学奇术!$A:$ZZ,29,FALSE)*(1+IF(OR($AH161=$F$4,$AH161=$F$5),$B$22,0))</f>
        <v>0</v>
      </c>
      <c r="AM161" s="26" cm="1">
        <f t="array" ref="AM161">$G$3+IFERROR(VLOOKUP($AH161,$F$4:$G$7,2,FALSE),0)+VLOOKUP($R161,武学奇术!$A:$ZZ,2,FALSE)+SUM(_xlfn.XLOOKUP($S161:$AG161,增益!$A:$A,增益!$B:$B,0))</f>
        <v>0.2037</v>
      </c>
      <c r="AN161" s="26" cm="1">
        <f t="array" ref="AN161">VLOOKUP($R161,武学奇术!$A:$ZZ,5,FALSE)+SUM(_xlfn.XLOOKUP($S161:$AG161,增益!$A:$A,增益!$E:$E,0))</f>
        <v>0</v>
      </c>
      <c r="AO161" cm="1">
        <f t="array" ref="AO161">$D$10*(1+$AN161)+VLOOKUP($R161,武学奇术!$A:$ZZ,3,FALSE)+SUM(_xlfn.XLOOKUP($S161:$AG161,增益!$A:$A,增益!$C:$C,0))-$I$2</f>
        <v>3562.6</v>
      </c>
      <c r="AP161" cm="1">
        <f t="array" ref="AP161">$E$10*(1+$AN161)+VLOOKUP($R161,武学奇术!$A:$ZZ,4,FALSE)+SUM(_xlfn.XLOOKUP($S161:$AG161,增益!$A:$A,增益!$D:$D,0))-$I$2</f>
        <v>3562.6</v>
      </c>
      <c r="AQ161" s="32" cm="1">
        <f t="array" ref="AQ161">IF($F$10-$I$3+VLOOKUP($R161,武学奇术!$A:$ZZ,6,FALSE)+SUM(_xlfn.XLOOKUP(S161:AG161,增益!$A:$A,增益!$F:$F,0))&gt;0,($F$10-$I$3+VLOOKUP($R161,武学奇术!$A:$ZZ,6,FALSE)+SUM(_xlfn.XLOOKUP(S161:AG161,增益!$A:$A,增益!$F:$F,0)))/200,($F$10-$I$3+VLOOKUP($R161,武学奇术!$A:$ZZ,6,FALSE)+SUM(_xlfn.XLOOKUP(S161:AG161,增益!$A:$A,增益!$F:$F,0)))/100)</f>
        <v>0.2925</v>
      </c>
      <c r="AR161" s="32" cm="1">
        <f t="array" ref="AR161">$G$10+VLOOKUP($R161,武学奇术!$A:$ZZ,7,FALSE)+SUM(_xlfn.XLOOKUP(S161:AG161,增益!$A:$A,增益!$G:$G,0))</f>
        <v>0.028</v>
      </c>
      <c r="AS161" s="26" cm="1">
        <f t="array" ref="AS161">VLOOKUP($R161,武学奇术!$A:$ZZ,8,FALSE)+SUM(_xlfn.XLOOKUP(S161:AG161,增益!$A:$A,增益!$H:$H,0))</f>
        <v>0</v>
      </c>
      <c r="AT161">
        <f t="shared" si="26"/>
        <v>0</v>
      </c>
      <c r="AU161">
        <f t="shared" si="27"/>
        <v>0</v>
      </c>
      <c r="AV161" s="32" cm="1">
        <f t="array" ref="AV161">IF($F$11-$I$4+VLOOKUP($R161,武学奇术!$A:$ZZ,9,FALSE)+SUM(_xlfn.XLOOKUP(S161:AG161,增益!$A:$A,增益!$I:$I,0))&gt;0,($F$11-$I$4+VLOOKUP($R161,武学奇术!$A:$ZZ,9,FALSE)+SUM(_xlfn.XLOOKUP(S161:AG161,增益!$A:$A,增益!$I:$I,0)))/200,($F$11-$I$4+VLOOKUP($R161,武学奇术!$A:$ZZ,9,FALSE)+SUM(_xlfn.XLOOKUP(S161:AG161,增益!$A:$A,增益!$I:$I,0)))/100)</f>
        <v>-0.3</v>
      </c>
      <c r="AW161" s="32" cm="1">
        <f t="array" ref="AW161">$G$11+VLOOKUP($R161,武学奇术!$A:$ZZ,10,FALSE)+SUM(_xlfn.XLOOKUP(S161:AG161,增益!$A:$A,增益!$J:$J,0))</f>
        <v>0</v>
      </c>
      <c r="AX161">
        <f t="shared" si="28"/>
        <v>0</v>
      </c>
      <c r="AY161">
        <f t="shared" si="29"/>
        <v>0</v>
      </c>
      <c r="AZ161" s="32" cm="1">
        <f t="array" ref="AZ161">IF($F$12-$I$4+VLOOKUP($R161,武学奇术!$A:$ZZ,11,FALSE)+SUM(_xlfn.XLOOKUP(S161:AG161,增益!$A:$A,增益!$K:$K,0))&gt;0,($F$12-$I$4+VLOOKUP($R161,武学奇术!$A:$ZZ,11,FALSE)+SUM(_xlfn.XLOOKUP(S161:AG161,增益!$A:$A,增益!$K:$K,0)))/200,($F$12-$I$4+VLOOKUP($R161,武学奇术!$A:$ZZ,11,FALSE)+SUM(_xlfn.XLOOKUP(S161:AG161,增益!$A:$A,增益!$K:$K,0)))/100)</f>
        <v>-0.3</v>
      </c>
      <c r="BA161" s="32" cm="1">
        <f t="array" ref="BA161">$G$12+VLOOKUP($R161,武学奇术!$A:$ZZ,12,FALSE)+SUM(_xlfn.XLOOKUP(S161:AG161,增益!$A:$A,增益!$L:$L,0))</f>
        <v>0</v>
      </c>
      <c r="BB161">
        <f t="shared" si="30"/>
        <v>0</v>
      </c>
      <c r="BC161">
        <f t="shared" si="31"/>
        <v>0</v>
      </c>
      <c r="BD161" s="32" cm="1">
        <f t="array" ref="BD161">IF($F$13-$I$4+VLOOKUP($R161,武学奇术!$A:$ZZ,13,FALSE)+SUM(_xlfn.XLOOKUP(S161:AG161,增益!$A:$A,增益!$M:$M,0))&gt;0,($F$13-$I$4+VLOOKUP($R161,武学奇术!$A:$ZZ,13,FALSE)+SUM(_xlfn.XLOOKUP(S161:AG161,增益!$A:$A,增益!$K:$K,0)))/200,($F$13-$I$4+VLOOKUP($R161,武学奇术!$A:$ZZ,13,FALSE)+SUM(_xlfn.XLOOKUP(S161:AG161,增益!$A:$A,增益!$M:$M,0)))/100)</f>
        <v>-0.3</v>
      </c>
      <c r="BE161" s="32" cm="1">
        <f t="array" ref="BE161">$G$13+VLOOKUP($R161,武学奇术!$A:$ZZ,14,FALSE)+SUM(_xlfn.XLOOKUP(S161:AG161,增益!$A:$A,增益!$N:$N,0))</f>
        <v>0</v>
      </c>
      <c r="BF161">
        <f t="shared" si="32"/>
        <v>571.2</v>
      </c>
      <c r="BG161">
        <f t="shared" si="33"/>
        <v>1627.8</v>
      </c>
      <c r="BH161" s="32" cm="1">
        <f t="array" ref="BH161">IF($F$14-$I$4+VLOOKUP($R161,武学奇术!$A:$ZZ,15,FALSE)+SUM(_xlfn.XLOOKUP(S161:AG161,增益!$A:$A,增益!$O:$O,0))&gt;0,($F$14-$I$4+VLOOKUP($R161,武学奇术!$A:$ZZ,15,FALSE)+SUM(_xlfn.XLOOKUP(S161:AG161,增益!$A:$A,增益!$O:$O,0)))/200,($F$14-$I$4+VLOOKUP($R161,武学奇术!$A:$ZZ,15,FALSE)+SUM(_xlfn.XLOOKUP(S161:AG161,增益!$A:$A,增益!$O:$O,0)))/100)</f>
        <v>0</v>
      </c>
      <c r="BI161" s="32" cm="1">
        <f t="array" ref="BI161">$G$14+VLOOKUP($R161,武学奇术!$A:$ZZ,16,FALSE)+SUM(_xlfn.XLOOKUP(S161:AG161,增益!$A:$A,增益!$P:$P,0))</f>
        <v>0.15</v>
      </c>
      <c r="BJ161" s="26">
        <f>MIN(IF(VLOOKUP($R161,武学奇术!$A:$ZZ,23,FALSE)=1,100%,$B$8),100%)</f>
        <v>0.981</v>
      </c>
      <c r="BK161" s="26" cm="1">
        <f t="array" ref="BK161">IF(VLOOKUP($R161,武学奇术!$A:$ZZ,23,FALSE)=1,100%,MIN(80%,$B$9+VLOOKUP($R161,武学奇术!$A:$ZZ,17,FALSE)+SUM(_xlfn.XLOOKUP(S161:AG161,增益!$A:$A,增益!$Q:$Q,0)))+$B$11+SUM(_xlfn.XLOOKUP(S161:AG161,增益!$A:$A,增益!$U:$U,0)))*IF(VLOOKUP($R161,武学奇术!$A:$ZZ,24,FALSE)=1,0,1)</f>
        <v>0.846</v>
      </c>
      <c r="BL161" s="26" cm="1">
        <f t="array" ref="BL161">1+$B$13+VLOOKUP($R161,武学奇术!$A:$ZZ,18,FALSE)+SUM(_xlfn.XLOOKUP(S161:AG161,增益!$A:$A,增益!$R:$R,0))</f>
        <v>1.91</v>
      </c>
      <c r="BM161" s="26" cm="1">
        <f t="array" ref="BM161">IF(VLOOKUP($R161,武学奇术!$A:$ZZ,24,FALSE)=1,100%,MIN(40%,$B$10+VLOOKUP($R161,武学奇术!$A:$ZZ,19,FALSE)+SUM(_xlfn.XLOOKUP(S161:AG161,增益!$A:$A,增益!$S:$S,0)))+$B$12+SUM(_xlfn.XLOOKUP(S161:AG161,增益!$A:$A,增益!$V:$V,0)))*IF(VLOOKUP($R161,武学奇术!$A:$ZZ,23,FALSE)=1,0,1)</f>
        <v>0.0929</v>
      </c>
      <c r="BN161" s="26" cm="1">
        <f t="array" ref="BN161">1+$B$14+VLOOKUP($R161,武学奇术!$A:$ZZ,20,FALSE)+SUM(_xlfn.XLOOKUP(S161:AG161,增益!$A:$A,增益!$T:$T,0))</f>
        <v>1.35</v>
      </c>
      <c r="BO161" s="26">
        <f t="shared" si="34"/>
        <v>0.829926</v>
      </c>
      <c r="BP161" s="26">
        <f t="shared" si="35"/>
        <v>0.0599391</v>
      </c>
      <c r="BQ161" s="26">
        <f>IF(VLOOKUP($R161,武学奇术!$A:$ZZ,22,FALSE)=1,0,(1-$BJ161))*(1-$BM161)</f>
        <v>0.0172349</v>
      </c>
      <c r="BR161" s="26" cm="1">
        <f t="array" ref="BR161">SUM(_xlfn.XLOOKUP(S161:AG161,增益!$A:$A,增益!$W:$W,0))+$I$5</f>
        <v>0.11</v>
      </c>
    </row>
    <row r="162" spans="11:70">
      <c r="K162">
        <f>$L162*VLOOKUP($R162,武学奇术!$A:$ZZ,31,FALSE)</f>
        <v>15135.5490351477</v>
      </c>
      <c r="L162" s="38">
        <f t="shared" si="36"/>
        <v>14414.8086049025</v>
      </c>
      <c r="M162" s="38">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BL162*$Q162*(1+IF(VLOOKUP($R162,武学奇术!$A:$ZZ,30,FALSE)="回旋伞",$B$21,0))*(1+$BR162)</f>
        <v>15306.7231073781</v>
      </c>
      <c r="N162" s="38">
        <f>(($AP162*$AI162+$AJ162)*(1+$AQ162)*(1+$AR162)+($AU162*IF($G$1="鸣金",$AK162,$AI162)+IF($G$1="鸣金",$AL162*1.5,0))*(1+$AV162)*(1+$AW162)+($AY162*IF($G$1="裂石",$AK162,$AI162)+IF($G$1="裂石",$AL162*1.5,0))*(1+$AZ162)*(1+$BA162)+($BC162*IF($G$1="牵丝",$AK162,$AI162)+IF($G$1="牵丝",$AL162*1.5,0))*(1+$BD162)*(1+$BE162)+($BG162*IF($G$1="破竹",$AK162,$AI162)+IF($G$1="破竹",$AL162*1.5,0))*(1+$BH162)*(1+$BI162))*(1+$AM162)*$BN162*$Q162*(1+IF(VLOOKUP($R162,武学奇术!$A:$ZZ,30,FALSE)="回旋伞",$B$21,0))*(1+$BR162)</f>
        <v>11914.743982064</v>
      </c>
      <c r="O162" s="38">
        <f>((($AO162+$AP162)/2*$AI162+$AJ162)*(1+$AQ162)*(1+$AR162)+(($AT162+$AU162)/2*IF($G$1="鸣金",$AK162,$AI162)+IF($G$1="鸣金",$AL162*1.5,0))*(1+$AV162)*(1+$AW162)+(($AX162+$AY162)/2*IF($G$1="裂石",$AK162,$AI162)+IF($G$1="裂石",$AL162*1.5,0))*(1+$AZ162)*(1+$BA162)+(($BB162+$BC162)/2*IF($G$1="牵丝",$AK162,$AI162)+IF($G$1="牵丝",$AL162*1.5,0))*(1+$BD162)*(1+$BE162)+(($BF162+$BG162)/2*IF($G$1="破竹",$AK162,$AI162)+IF($G$1="破竹",$AL162*1.5,0))*(1+$BH162)*(1+$BI162))*(1+$AM162)*$Q162*(1+IF(VLOOKUP($R162,武学奇术!$A:$ZZ,30,FALSE)="回旋伞",$B$21,0))*(1+$BR162)</f>
        <v>8013.99115569536</v>
      </c>
      <c r="P162" s="38">
        <f>((($AO162*$AI162+$AJ162)*(1+$AQ162)*(1+$AR162)+($AT162*IF($G$1="鸣金",$AK162,$AI162)+IF($G$1="鸣金",$AL162*1.5,0))*(1+$AV162)*(1+$AW162)+($AX162*IF($G$1="裂石",$AK162,$AI162)+IF($G$1="裂石",$AL162*1.5,0))*(1+$AZ162)*(1+$BA162)+($BB162*IF($G$1="牵丝",$AK162,$AI162)+IF($G$1="牵丝",$AL162*1.5,0))*(1+$BD162)*(1+$BE162)+($BF162*IF($G$1="破竹",$AK162,$AI162)+IF($G$1="破竹",$AL162*1.5,0))*(1+$BH162)*(1+$BI162))*(1+$AM162))*$Q162*(1+IF(VLOOKUP($R162,武学奇术!$A:$ZZ,30,FALSE)="回旋伞",$B$21,0))*(1+$BR162)</f>
        <v>7202.24602838036</v>
      </c>
      <c r="Q162" s="39">
        <f t="shared" si="37"/>
        <v>1</v>
      </c>
      <c r="R162" s="40" t="s">
        <v>186</v>
      </c>
      <c r="S162" s="40" t="s">
        <v>72</v>
      </c>
      <c r="T162" s="40" t="s">
        <v>95</v>
      </c>
      <c r="U162" s="40" t="s">
        <v>73</v>
      </c>
      <c r="V162" s="40" t="s">
        <v>72</v>
      </c>
      <c r="W162" s="40" t="s">
        <v>172</v>
      </c>
      <c r="X162" s="40" t="s">
        <v>99</v>
      </c>
      <c r="Y162" s="40" t="s">
        <v>72</v>
      </c>
      <c r="Z162" s="40" t="s">
        <v>72</v>
      </c>
      <c r="AA162" s="40" t="s">
        <v>72</v>
      </c>
      <c r="AB162" s="40" t="s">
        <v>72</v>
      </c>
      <c r="AC162" s="40" t="s">
        <v>72</v>
      </c>
      <c r="AD162" s="40" t="s">
        <v>72</v>
      </c>
      <c r="AE162" s="40" t="s">
        <v>72</v>
      </c>
      <c r="AF162" s="40" t="s">
        <v>72</v>
      </c>
      <c r="AG162" s="40" t="s">
        <v>78</v>
      </c>
      <c r="AH162" t="str">
        <f>VLOOKUP($R162,武学奇术!$A:$ZZ,25,FALSE)</f>
        <v>心法</v>
      </c>
      <c r="AI162" s="26">
        <f>VLOOKUP($R162,武学奇术!$A:$ZZ,26,FALSE)</f>
        <v>1</v>
      </c>
      <c r="AJ162" s="27">
        <f>VLOOKUP($R162,武学奇术!$A:$ZZ,27,FALSE)*(1+IF(OR($AH162=$F$4,$AH162=$F$5),$B$22,0))</f>
        <v>0</v>
      </c>
      <c r="AK162" s="26">
        <f>VLOOKUP($R162,武学奇术!$A:$ZZ,28,FALSE)</f>
        <v>1</v>
      </c>
      <c r="AL162" s="27">
        <f>VLOOKUP($R162,武学奇术!$A:$ZZ,29,FALSE)*(1+IF(OR($AH162=$F$4,$AH162=$F$5),$B$22,0))</f>
        <v>0</v>
      </c>
      <c r="AM162" s="26" cm="1">
        <f t="array" ref="AM162">$G$3+IFERROR(VLOOKUP($AH162,$F$4:$G$7,2,FALSE),0)+VLOOKUP($R162,武学奇术!$A:$ZZ,2,FALSE)+SUM(_xlfn.XLOOKUP($S162:$AG162,增益!$A:$A,增益!$B:$B,0))</f>
        <v>0.2037</v>
      </c>
      <c r="AN162" s="26" cm="1">
        <f t="array" ref="AN162">VLOOKUP($R162,武学奇术!$A:$ZZ,5,FALSE)+SUM(_xlfn.XLOOKUP($S162:$AG162,增益!$A:$A,增益!$E:$E,0))</f>
        <v>0</v>
      </c>
      <c r="AO162" cm="1">
        <f t="array" ref="AO162">$D$10*(1+$AN162)+VLOOKUP($R162,武学奇术!$A:$ZZ,3,FALSE)+SUM(_xlfn.XLOOKUP($S162:$AG162,增益!$A:$A,增益!$C:$C,0))-$I$2</f>
        <v>3562.6</v>
      </c>
      <c r="AP162" cm="1">
        <f t="array" ref="AP162">$E$10*(1+$AN162)+VLOOKUP($R162,武学奇术!$A:$ZZ,4,FALSE)+SUM(_xlfn.XLOOKUP($S162:$AG162,增益!$A:$A,增益!$D:$D,0))-$I$2</f>
        <v>3562.6</v>
      </c>
      <c r="AQ162" s="32" cm="1">
        <f t="array" ref="AQ162">IF($F$10-$I$3+VLOOKUP($R162,武学奇术!$A:$ZZ,6,FALSE)+SUM(_xlfn.XLOOKUP(S162:AG162,增益!$A:$A,增益!$F:$F,0))&gt;0,($F$10-$I$3+VLOOKUP($R162,武学奇术!$A:$ZZ,6,FALSE)+SUM(_xlfn.XLOOKUP(S162:AG162,增益!$A:$A,增益!$F:$F,0)))/200,($F$10-$I$3+VLOOKUP($R162,武学奇术!$A:$ZZ,6,FALSE)+SUM(_xlfn.XLOOKUP(S162:AG162,增益!$A:$A,增益!$F:$F,0)))/100)</f>
        <v>0.2925</v>
      </c>
      <c r="AR162" s="32" cm="1">
        <f t="array" ref="AR162">$G$10+VLOOKUP($R162,武学奇术!$A:$ZZ,7,FALSE)+SUM(_xlfn.XLOOKUP(S162:AG162,增益!$A:$A,增益!$G:$G,0))</f>
        <v>0.028</v>
      </c>
      <c r="AS162" s="26" cm="1">
        <f t="array" ref="AS162">VLOOKUP($R162,武学奇术!$A:$ZZ,8,FALSE)+SUM(_xlfn.XLOOKUP(S162:AG162,增益!$A:$A,增益!$H:$H,0))</f>
        <v>0</v>
      </c>
      <c r="AT162">
        <f t="shared" si="26"/>
        <v>0</v>
      </c>
      <c r="AU162">
        <f t="shared" si="27"/>
        <v>0</v>
      </c>
      <c r="AV162" s="32" cm="1">
        <f t="array" ref="AV162">IF($F$11-$I$4+VLOOKUP($R162,武学奇术!$A:$ZZ,9,FALSE)+SUM(_xlfn.XLOOKUP(S162:AG162,增益!$A:$A,增益!$I:$I,0))&gt;0,($F$11-$I$4+VLOOKUP($R162,武学奇术!$A:$ZZ,9,FALSE)+SUM(_xlfn.XLOOKUP(S162:AG162,增益!$A:$A,增益!$I:$I,0)))/200,($F$11-$I$4+VLOOKUP($R162,武学奇术!$A:$ZZ,9,FALSE)+SUM(_xlfn.XLOOKUP(S162:AG162,增益!$A:$A,增益!$I:$I,0)))/100)</f>
        <v>-0.3</v>
      </c>
      <c r="AW162" s="32" cm="1">
        <f t="array" ref="AW162">$G$11+VLOOKUP($R162,武学奇术!$A:$ZZ,10,FALSE)+SUM(_xlfn.XLOOKUP(S162:AG162,增益!$A:$A,增益!$J:$J,0))</f>
        <v>0</v>
      </c>
      <c r="AX162">
        <f t="shared" si="28"/>
        <v>0</v>
      </c>
      <c r="AY162">
        <f t="shared" si="29"/>
        <v>0</v>
      </c>
      <c r="AZ162" s="32" cm="1">
        <f t="array" ref="AZ162">IF($F$12-$I$4+VLOOKUP($R162,武学奇术!$A:$ZZ,11,FALSE)+SUM(_xlfn.XLOOKUP(S162:AG162,增益!$A:$A,增益!$K:$K,0))&gt;0,($F$12-$I$4+VLOOKUP($R162,武学奇术!$A:$ZZ,11,FALSE)+SUM(_xlfn.XLOOKUP(S162:AG162,增益!$A:$A,增益!$K:$K,0)))/200,($F$12-$I$4+VLOOKUP($R162,武学奇术!$A:$ZZ,11,FALSE)+SUM(_xlfn.XLOOKUP(S162:AG162,增益!$A:$A,增益!$K:$K,0)))/100)</f>
        <v>-0.3</v>
      </c>
      <c r="BA162" s="32" cm="1">
        <f t="array" ref="BA162">$G$12+VLOOKUP($R162,武学奇术!$A:$ZZ,12,FALSE)+SUM(_xlfn.XLOOKUP(S162:AG162,增益!$A:$A,增益!$L:$L,0))</f>
        <v>0</v>
      </c>
      <c r="BB162">
        <f t="shared" si="30"/>
        <v>0</v>
      </c>
      <c r="BC162">
        <f t="shared" si="31"/>
        <v>0</v>
      </c>
      <c r="BD162" s="32" cm="1">
        <f t="array" ref="BD162">IF($F$13-$I$4+VLOOKUP($R162,武学奇术!$A:$ZZ,13,FALSE)+SUM(_xlfn.XLOOKUP(S162:AG162,增益!$A:$A,增益!$M:$M,0))&gt;0,($F$13-$I$4+VLOOKUP($R162,武学奇术!$A:$ZZ,13,FALSE)+SUM(_xlfn.XLOOKUP(S162:AG162,增益!$A:$A,增益!$K:$K,0)))/200,($F$13-$I$4+VLOOKUP($R162,武学奇术!$A:$ZZ,13,FALSE)+SUM(_xlfn.XLOOKUP(S162:AG162,增益!$A:$A,增益!$M:$M,0)))/100)</f>
        <v>-0.3</v>
      </c>
      <c r="BE162" s="32" cm="1">
        <f t="array" ref="BE162">$G$13+VLOOKUP($R162,武学奇术!$A:$ZZ,14,FALSE)+SUM(_xlfn.XLOOKUP(S162:AG162,增益!$A:$A,增益!$N:$N,0))</f>
        <v>0</v>
      </c>
      <c r="BF162">
        <f t="shared" si="32"/>
        <v>571.2</v>
      </c>
      <c r="BG162">
        <f t="shared" si="33"/>
        <v>1627.8</v>
      </c>
      <c r="BH162" s="32" cm="1">
        <f t="array" ref="BH162">IF($F$14-$I$4+VLOOKUP($R162,武学奇术!$A:$ZZ,15,FALSE)+SUM(_xlfn.XLOOKUP(S162:AG162,增益!$A:$A,增益!$O:$O,0))&gt;0,($F$14-$I$4+VLOOKUP($R162,武学奇术!$A:$ZZ,15,FALSE)+SUM(_xlfn.XLOOKUP(S162:AG162,增益!$A:$A,增益!$O:$O,0)))/200,($F$14-$I$4+VLOOKUP($R162,武学奇术!$A:$ZZ,15,FALSE)+SUM(_xlfn.XLOOKUP(S162:AG162,增益!$A:$A,增益!$O:$O,0)))/100)</f>
        <v>0</v>
      </c>
      <c r="BI162" s="32" cm="1">
        <f t="array" ref="BI162">$G$14+VLOOKUP($R162,武学奇术!$A:$ZZ,16,FALSE)+SUM(_xlfn.XLOOKUP(S162:AG162,增益!$A:$A,增益!$P:$P,0))</f>
        <v>0.15</v>
      </c>
      <c r="BJ162" s="26">
        <f>MIN(IF(VLOOKUP($R162,武学奇术!$A:$ZZ,23,FALSE)=1,100%,$B$8),100%)</f>
        <v>0.981</v>
      </c>
      <c r="BK162" s="26" cm="1">
        <f t="array" ref="BK162">IF(VLOOKUP($R162,武学奇术!$A:$ZZ,23,FALSE)=1,100%,MIN(80%,$B$9+VLOOKUP($R162,武学奇术!$A:$ZZ,17,FALSE)+SUM(_xlfn.XLOOKUP(S162:AG162,增益!$A:$A,增益!$Q:$Q,0)))+$B$11+SUM(_xlfn.XLOOKUP(S162:AG162,增益!$A:$A,增益!$U:$U,0)))*IF(VLOOKUP($R162,武学奇术!$A:$ZZ,24,FALSE)=1,0,1)</f>
        <v>0.846</v>
      </c>
      <c r="BL162" s="26" cm="1">
        <f t="array" ref="BL162">1+$B$13+VLOOKUP($R162,武学奇术!$A:$ZZ,18,FALSE)+SUM(_xlfn.XLOOKUP(S162:AG162,增益!$A:$A,增益!$R:$R,0))</f>
        <v>1.91</v>
      </c>
      <c r="BM162" s="26" cm="1">
        <f t="array" ref="BM162">IF(VLOOKUP($R162,武学奇术!$A:$ZZ,24,FALSE)=1,100%,MIN(40%,$B$10+VLOOKUP($R162,武学奇术!$A:$ZZ,19,FALSE)+SUM(_xlfn.XLOOKUP(S162:AG162,增益!$A:$A,增益!$S:$S,0)))+$B$12+SUM(_xlfn.XLOOKUP(S162:AG162,增益!$A:$A,增益!$V:$V,0)))*IF(VLOOKUP($R162,武学奇术!$A:$ZZ,23,FALSE)=1,0,1)</f>
        <v>0.0929</v>
      </c>
      <c r="BN162" s="26" cm="1">
        <f t="array" ref="BN162">1+$B$14+VLOOKUP($R162,武学奇术!$A:$ZZ,20,FALSE)+SUM(_xlfn.XLOOKUP(S162:AG162,增益!$A:$A,增益!$T:$T,0))</f>
        <v>1.35</v>
      </c>
      <c r="BO162" s="26">
        <f t="shared" si="34"/>
        <v>0.829926</v>
      </c>
      <c r="BP162" s="26">
        <f t="shared" si="35"/>
        <v>0.0599391</v>
      </c>
      <c r="BQ162" s="26">
        <f>IF(VLOOKUP($R162,武学奇术!$A:$ZZ,22,FALSE)=1,0,(1-$BJ162))*(1-$BM162)</f>
        <v>0.0172349</v>
      </c>
      <c r="BR162" s="26" cm="1">
        <f t="array" ref="BR162">SUM(_xlfn.XLOOKUP(S162:AG162,增益!$A:$A,增益!$W:$W,0))+$I$5</f>
        <v>0.11</v>
      </c>
    </row>
    <row r="163" spans="11:70">
      <c r="K163">
        <f>$L163*VLOOKUP($R163,武学奇术!$A:$ZZ,31,FALSE)</f>
        <v>19240.5113651605</v>
      </c>
      <c r="L163" s="38">
        <f t="shared" si="36"/>
        <v>18324.2965382481</v>
      </c>
      <c r="M163" s="38">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BL163*$Q163*(1+IF(VLOOKUP($R163,武学奇术!$A:$ZZ,30,FALSE)="回旋伞",$B$21,0))*(1+$BR163)</f>
        <v>19458.1101238526</v>
      </c>
      <c r="N163" s="38">
        <f>(($AP163*$AI163+$AJ163)*(1+$AQ163)*(1+$AR163)+($AU163*IF($G$1="鸣金",$AK163,$AI163)+IF($G$1="鸣金",$AL163*1.5,0))*(1+$AV163)*(1+$AW163)+($AY163*IF($G$1="裂石",$AK163,$AI163)+IF($G$1="裂石",$AL163*1.5,0))*(1+$AZ163)*(1+$BA163)+($BC163*IF($G$1="牵丝",$AK163,$AI163)+IF($G$1="牵丝",$AL163*1.5,0))*(1+$BD163)*(1+$BE163)+($BG163*IF($G$1="破竹",$AK163,$AI163)+IF($G$1="破竹",$AL163*1.5,0))*(1+$BH163)*(1+$BI163))*(1+$AM163)*$BN163*$Q163*(1+IF(VLOOKUP($R163,武学奇术!$A:$ZZ,30,FALSE)="回旋伞",$B$21,0))*(1+$BR163)</f>
        <v>15146.1811175483</v>
      </c>
      <c r="O163" s="38">
        <f>((($AO163+$AP163)/2*$AI163+$AJ163)*(1+$AQ163)*(1+$AR163)+(($AT163+$AU163)/2*IF($G$1="鸣金",$AK163,$AI163)+IF($G$1="鸣金",$AL163*1.5,0))*(1+$AV163)*(1+$AW163)+(($AX163+$AY163)/2*IF($G$1="裂石",$AK163,$AI163)+IF($G$1="裂石",$AL163*1.5,0))*(1+$AZ163)*(1+$BA163)+(($BB163+$BC163)/2*IF($G$1="牵丝",$AK163,$AI163)+IF($G$1="牵丝",$AL163*1.5,0))*(1+$BD163)*(1+$BE163)+(($BF163+$BG163)/2*IF($G$1="破竹",$AK163,$AI163)+IF($G$1="破竹",$AL163*1.5,0))*(1+$BH163)*(1+$BI163))*(1+$AM163)*$Q163*(1+IF(VLOOKUP($R163,武学奇术!$A:$ZZ,30,FALSE)="回旋伞",$B$21,0))*(1+$BR163)</f>
        <v>10187.4922114411</v>
      </c>
      <c r="P163" s="38">
        <f>((($AO163*$AI163+$AJ163)*(1+$AQ163)*(1+$AR163)+($AT163*IF($G$1="鸣金",$AK163,$AI163)+IF($G$1="鸣金",$AL163*1.5,0))*(1+$AV163)*(1+$AW163)+($AX163*IF($G$1="裂石",$AK163,$AI163)+IF($G$1="裂石",$AL163*1.5,0))*(1+$AZ163)*(1+$BA163)+($BB163*IF($G$1="牵丝",$AK163,$AI163)+IF($G$1="牵丝",$AL163*1.5,0))*(1+$BD163)*(1+$BE163)+($BF163*IF($G$1="破竹",$AK163,$AI163)+IF($G$1="破竹",$AL163*1.5,0))*(1+$BH163)*(1+$BI163))*(1+$AM163))*$Q163*(1+IF(VLOOKUP($R163,武学奇术!$A:$ZZ,30,FALSE)="回旋伞",$B$21,0))*(1+$BR163)</f>
        <v>9155.59100247614</v>
      </c>
      <c r="Q163" s="39">
        <f t="shared" si="37"/>
        <v>1</v>
      </c>
      <c r="R163" s="40" t="s">
        <v>186</v>
      </c>
      <c r="S163" s="40" t="s">
        <v>72</v>
      </c>
      <c r="T163" s="40" t="s">
        <v>95</v>
      </c>
      <c r="U163" s="40" t="s">
        <v>73</v>
      </c>
      <c r="V163" s="40" t="s">
        <v>81</v>
      </c>
      <c r="W163" s="40" t="s">
        <v>172</v>
      </c>
      <c r="X163" s="40" t="s">
        <v>99</v>
      </c>
      <c r="Y163" s="40" t="s">
        <v>72</v>
      </c>
      <c r="Z163" s="40" t="s">
        <v>176</v>
      </c>
      <c r="AA163" s="40" t="s">
        <v>72</v>
      </c>
      <c r="AB163" s="40" t="s">
        <v>72</v>
      </c>
      <c r="AC163" s="40" t="s">
        <v>72</v>
      </c>
      <c r="AD163" s="40" t="s">
        <v>178</v>
      </c>
      <c r="AE163" s="40" t="s">
        <v>72</v>
      </c>
      <c r="AF163" s="40" t="s">
        <v>72</v>
      </c>
      <c r="AG163" s="40" t="s">
        <v>78</v>
      </c>
      <c r="AH163" t="str">
        <f>VLOOKUP($R163,武学奇术!$A:$ZZ,25,FALSE)</f>
        <v>心法</v>
      </c>
      <c r="AI163" s="26">
        <f>VLOOKUP($R163,武学奇术!$A:$ZZ,26,FALSE)</f>
        <v>1</v>
      </c>
      <c r="AJ163" s="27">
        <f>VLOOKUP($R163,武学奇术!$A:$ZZ,27,FALSE)*(1+IF(OR($AH163=$F$4,$AH163=$F$5),$B$22,0))</f>
        <v>0</v>
      </c>
      <c r="AK163" s="26">
        <f>VLOOKUP($R163,武学奇术!$A:$ZZ,28,FALSE)</f>
        <v>1</v>
      </c>
      <c r="AL163" s="27">
        <f>VLOOKUP($R163,武学奇术!$A:$ZZ,29,FALSE)*(1+IF(OR($AH163=$F$4,$AH163=$F$5),$B$22,0))</f>
        <v>0</v>
      </c>
      <c r="AM163" s="26" cm="1">
        <f t="array" ref="AM163">$G$3+IFERROR(VLOOKUP($AH163,$F$4:$G$7,2,FALSE),0)+VLOOKUP($R163,武学奇术!$A:$ZZ,2,FALSE)+SUM(_xlfn.XLOOKUP($S163:$AG163,增益!$A:$A,增益!$B:$B,0))</f>
        <v>0.4037</v>
      </c>
      <c r="AN163" s="26" cm="1">
        <f t="array" ref="AN163">VLOOKUP($R163,武学奇术!$A:$ZZ,5,FALSE)+SUM(_xlfn.XLOOKUP($S163:$AG163,增益!$A:$A,增益!$E:$E,0))</f>
        <v>0</v>
      </c>
      <c r="AO163" cm="1">
        <f t="array" ref="AO163">$D$10*(1+$AN163)+VLOOKUP($R163,武学奇术!$A:$ZZ,3,FALSE)+SUM(_xlfn.XLOOKUP($S163:$AG163,增益!$A:$A,增益!$C:$C,0))-$I$2</f>
        <v>3562.6</v>
      </c>
      <c r="AP163" cm="1">
        <f t="array" ref="AP163">$E$10*(1+$AN163)+VLOOKUP($R163,武学奇术!$A:$ZZ,4,FALSE)+SUM(_xlfn.XLOOKUP($S163:$AG163,增益!$A:$A,增益!$D:$D,0))-$I$2</f>
        <v>3562.6</v>
      </c>
      <c r="AQ163" s="32" cm="1">
        <f t="array" ref="AQ163">IF($F$10-$I$3+VLOOKUP($R163,武学奇术!$A:$ZZ,6,FALSE)+SUM(_xlfn.XLOOKUP(S163:AG163,增益!$A:$A,增益!$F:$F,0))&gt;0,($F$10-$I$3+VLOOKUP($R163,武学奇术!$A:$ZZ,6,FALSE)+SUM(_xlfn.XLOOKUP(S163:AG163,增益!$A:$A,增益!$F:$F,0)))/200,($F$10-$I$3+VLOOKUP($R163,武学奇术!$A:$ZZ,6,FALSE)+SUM(_xlfn.XLOOKUP(S163:AG163,增益!$A:$A,增益!$F:$F,0)))/100)</f>
        <v>0.2925</v>
      </c>
      <c r="AR163" s="32" cm="1">
        <f t="array" ref="AR163">$G$10+VLOOKUP($R163,武学奇术!$A:$ZZ,7,FALSE)+SUM(_xlfn.XLOOKUP(S163:AG163,增益!$A:$A,增益!$G:$G,0))</f>
        <v>0.028</v>
      </c>
      <c r="AS163" s="26" cm="1">
        <f t="array" ref="AS163">VLOOKUP($R163,武学奇术!$A:$ZZ,8,FALSE)+SUM(_xlfn.XLOOKUP(S163:AG163,增益!$A:$A,增益!$H:$H,0))</f>
        <v>0</v>
      </c>
      <c r="AT163">
        <f t="shared" si="26"/>
        <v>0</v>
      </c>
      <c r="AU163">
        <f t="shared" si="27"/>
        <v>0</v>
      </c>
      <c r="AV163" s="32" cm="1">
        <f t="array" ref="AV163">IF($F$11-$I$4+VLOOKUP($R163,武学奇术!$A:$ZZ,9,FALSE)+SUM(_xlfn.XLOOKUP(S163:AG163,增益!$A:$A,增益!$I:$I,0))&gt;0,($F$11-$I$4+VLOOKUP($R163,武学奇术!$A:$ZZ,9,FALSE)+SUM(_xlfn.XLOOKUP(S163:AG163,增益!$A:$A,增益!$I:$I,0)))/200,($F$11-$I$4+VLOOKUP($R163,武学奇术!$A:$ZZ,9,FALSE)+SUM(_xlfn.XLOOKUP(S163:AG163,增益!$A:$A,增益!$I:$I,0)))/100)</f>
        <v>-0.3</v>
      </c>
      <c r="AW163" s="32" cm="1">
        <f t="array" ref="AW163">$G$11+VLOOKUP($R163,武学奇术!$A:$ZZ,10,FALSE)+SUM(_xlfn.XLOOKUP(S163:AG163,增益!$A:$A,增益!$J:$J,0))</f>
        <v>0</v>
      </c>
      <c r="AX163">
        <f t="shared" si="28"/>
        <v>0</v>
      </c>
      <c r="AY163">
        <f t="shared" si="29"/>
        <v>0</v>
      </c>
      <c r="AZ163" s="32" cm="1">
        <f t="array" ref="AZ163">IF($F$12-$I$4+VLOOKUP($R163,武学奇术!$A:$ZZ,11,FALSE)+SUM(_xlfn.XLOOKUP(S163:AG163,增益!$A:$A,增益!$K:$K,0))&gt;0,($F$12-$I$4+VLOOKUP($R163,武学奇术!$A:$ZZ,11,FALSE)+SUM(_xlfn.XLOOKUP(S163:AG163,增益!$A:$A,增益!$K:$K,0)))/200,($F$12-$I$4+VLOOKUP($R163,武学奇术!$A:$ZZ,11,FALSE)+SUM(_xlfn.XLOOKUP(S163:AG163,增益!$A:$A,增益!$K:$K,0)))/100)</f>
        <v>-0.3</v>
      </c>
      <c r="BA163" s="32" cm="1">
        <f t="array" ref="BA163">$G$12+VLOOKUP($R163,武学奇术!$A:$ZZ,12,FALSE)+SUM(_xlfn.XLOOKUP(S163:AG163,增益!$A:$A,增益!$L:$L,0))</f>
        <v>0</v>
      </c>
      <c r="BB163">
        <f t="shared" si="30"/>
        <v>0</v>
      </c>
      <c r="BC163">
        <f t="shared" si="31"/>
        <v>0</v>
      </c>
      <c r="BD163" s="32" cm="1">
        <f t="array" ref="BD163">IF($F$13-$I$4+VLOOKUP($R163,武学奇术!$A:$ZZ,13,FALSE)+SUM(_xlfn.XLOOKUP(S163:AG163,增益!$A:$A,增益!$M:$M,0))&gt;0,($F$13-$I$4+VLOOKUP($R163,武学奇术!$A:$ZZ,13,FALSE)+SUM(_xlfn.XLOOKUP(S163:AG163,增益!$A:$A,增益!$K:$K,0)))/200,($F$13-$I$4+VLOOKUP($R163,武学奇术!$A:$ZZ,13,FALSE)+SUM(_xlfn.XLOOKUP(S163:AG163,增益!$A:$A,增益!$M:$M,0)))/100)</f>
        <v>-0.3</v>
      </c>
      <c r="BE163" s="32" cm="1">
        <f t="array" ref="BE163">$G$13+VLOOKUP($R163,武学奇术!$A:$ZZ,14,FALSE)+SUM(_xlfn.XLOOKUP(S163:AG163,增益!$A:$A,增益!$N:$N,0))</f>
        <v>0</v>
      </c>
      <c r="BF163">
        <f t="shared" si="32"/>
        <v>571.2</v>
      </c>
      <c r="BG163">
        <f t="shared" si="33"/>
        <v>1627.8</v>
      </c>
      <c r="BH163" s="32" cm="1">
        <f t="array" ref="BH163">IF($F$14-$I$4+VLOOKUP($R163,武学奇术!$A:$ZZ,15,FALSE)+SUM(_xlfn.XLOOKUP(S163:AG163,增益!$A:$A,增益!$O:$O,0))&gt;0,($F$14-$I$4+VLOOKUP($R163,武学奇术!$A:$ZZ,15,FALSE)+SUM(_xlfn.XLOOKUP(S163:AG163,增益!$A:$A,增益!$O:$O,0)))/200,($F$14-$I$4+VLOOKUP($R163,武学奇术!$A:$ZZ,15,FALSE)+SUM(_xlfn.XLOOKUP(S163:AG163,增益!$A:$A,增益!$O:$O,0)))/100)</f>
        <v>0</v>
      </c>
      <c r="BI163" s="32" cm="1">
        <f t="array" ref="BI163">$G$14+VLOOKUP($R163,武学奇术!$A:$ZZ,16,FALSE)+SUM(_xlfn.XLOOKUP(S163:AG163,增益!$A:$A,增益!$P:$P,0))</f>
        <v>0.15</v>
      </c>
      <c r="BJ163" s="26">
        <f>MIN(IF(VLOOKUP($R163,武学奇术!$A:$ZZ,23,FALSE)=1,100%,$B$8),100%)</f>
        <v>0.981</v>
      </c>
      <c r="BK163" s="26" cm="1">
        <f t="array" ref="BK163">IF(VLOOKUP($R163,武学奇术!$A:$ZZ,23,FALSE)=1,100%,MIN(80%,$B$9+VLOOKUP($R163,武学奇术!$A:$ZZ,17,FALSE)+SUM(_xlfn.XLOOKUP(S163:AG163,增益!$A:$A,增益!$Q:$Q,0)))+$B$11+SUM(_xlfn.XLOOKUP(S163:AG163,增益!$A:$A,增益!$U:$U,0)))*IF(VLOOKUP($R163,武学奇术!$A:$ZZ,24,FALSE)=1,0,1)</f>
        <v>0.846</v>
      </c>
      <c r="BL163" s="26" cm="1">
        <f t="array" ref="BL163">1+$B$13+VLOOKUP($R163,武学奇术!$A:$ZZ,18,FALSE)+SUM(_xlfn.XLOOKUP(S163:AG163,增益!$A:$A,增益!$R:$R,0))</f>
        <v>1.91</v>
      </c>
      <c r="BM163" s="26" cm="1">
        <f t="array" ref="BM163">IF(VLOOKUP($R163,武学奇术!$A:$ZZ,24,FALSE)=1,100%,MIN(40%,$B$10+VLOOKUP($R163,武学奇术!$A:$ZZ,19,FALSE)+SUM(_xlfn.XLOOKUP(S163:AG163,增益!$A:$A,增益!$S:$S,0)))+$B$12+SUM(_xlfn.XLOOKUP(S163:AG163,增益!$A:$A,增益!$V:$V,0)))*IF(VLOOKUP($R163,武学奇术!$A:$ZZ,23,FALSE)=1,0,1)</f>
        <v>0.0929</v>
      </c>
      <c r="BN163" s="26" cm="1">
        <f t="array" ref="BN163">1+$B$14+VLOOKUP($R163,武学奇术!$A:$ZZ,20,FALSE)+SUM(_xlfn.XLOOKUP(S163:AG163,增益!$A:$A,增益!$T:$T,0))</f>
        <v>1.35</v>
      </c>
      <c r="BO163" s="26">
        <f t="shared" si="34"/>
        <v>0.829926</v>
      </c>
      <c r="BP163" s="26">
        <f t="shared" si="35"/>
        <v>0.0599391</v>
      </c>
      <c r="BQ163" s="26">
        <f>IF(VLOOKUP($R163,武学奇术!$A:$ZZ,22,FALSE)=1,0,(1-$BJ163))*(1-$BM163)</f>
        <v>0.0172349</v>
      </c>
      <c r="BR163" s="26" cm="1">
        <f t="array" ref="BR163">SUM(_xlfn.XLOOKUP(S163:AG163,增益!$A:$A,增益!$W:$W,0))+$I$5</f>
        <v>0.21</v>
      </c>
    </row>
    <row r="164" spans="11:70">
      <c r="K164">
        <f>$L164*VLOOKUP($R164,武学奇术!$A:$ZZ,31,FALSE)</f>
        <v>0</v>
      </c>
      <c r="L164" s="38">
        <f t="shared" si="36"/>
        <v>0</v>
      </c>
      <c r="M164" s="38">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BL164*$Q164*(1+IF(VLOOKUP($R164,武学奇术!$A:$ZZ,30,FALSE)="回旋伞",$B$21,0))*(1+$BR164)</f>
        <v>0</v>
      </c>
      <c r="N164" s="38">
        <f>(($AP164*$AI164+$AJ164)*(1+$AQ164)*(1+$AR164)+($AU164*IF($G$1="鸣金",$AK164,$AI164)+IF($G$1="鸣金",$AL164*1.5,0))*(1+$AV164)*(1+$AW164)+($AY164*IF($G$1="裂石",$AK164,$AI164)+IF($G$1="裂石",$AL164*1.5,0))*(1+$AZ164)*(1+$BA164)+($BC164*IF($G$1="牵丝",$AK164,$AI164)+IF($G$1="牵丝",$AL164*1.5,0))*(1+$BD164)*(1+$BE164)+($BG164*IF($G$1="破竹",$AK164,$AI164)+IF($G$1="破竹",$AL164*1.5,0))*(1+$BH164)*(1+$BI164))*(1+$AM164)*$BN164*$Q164*(1+IF(VLOOKUP($R164,武学奇术!$A:$ZZ,30,FALSE)="回旋伞",$B$21,0))*(1+$BR164)</f>
        <v>0</v>
      </c>
      <c r="O164" s="38">
        <f>((($AO164+$AP164)/2*$AI164+$AJ164)*(1+$AQ164)*(1+$AR164)+(($AT164+$AU164)/2*IF($G$1="鸣金",$AK164,$AI164)+IF($G$1="鸣金",$AL164*1.5,0))*(1+$AV164)*(1+$AW164)+(($AX164+$AY164)/2*IF($G$1="裂石",$AK164,$AI164)+IF($G$1="裂石",$AL164*1.5,0))*(1+$AZ164)*(1+$BA164)+(($BB164+$BC164)/2*IF($G$1="牵丝",$AK164,$AI164)+IF($G$1="牵丝",$AL164*1.5,0))*(1+$BD164)*(1+$BE164)+(($BF164+$BG164)/2*IF($G$1="破竹",$AK164,$AI164)+IF($G$1="破竹",$AL164*1.5,0))*(1+$BH164)*(1+$BI164))*(1+$AM164)*$Q164*(1+IF(VLOOKUP($R164,武学奇术!$A:$ZZ,30,FALSE)="回旋伞",$B$21,0))*(1+$BR164)</f>
        <v>0</v>
      </c>
      <c r="P164" s="38">
        <f>((($AO164*$AI164+$AJ164)*(1+$AQ164)*(1+$AR164)+($AT164*IF($G$1="鸣金",$AK164,$AI164)+IF($G$1="鸣金",$AL164*1.5,0))*(1+$AV164)*(1+$AW164)+($AX164*IF($G$1="裂石",$AK164,$AI164)+IF($G$1="裂石",$AL164*1.5,0))*(1+$AZ164)*(1+$BA164)+($BB164*IF($G$1="牵丝",$AK164,$AI164)+IF($G$1="牵丝",$AL164*1.5,0))*(1+$BD164)*(1+$BE164)+($BF164*IF($G$1="破竹",$AK164,$AI164)+IF($G$1="破竹",$AL164*1.5,0))*(1+$BH164)*(1+$BI164))*(1+$AM164))*$Q164*(1+IF(VLOOKUP($R164,武学奇术!$A:$ZZ,30,FALSE)="回旋伞",$B$21,0))*(1+$BR164)</f>
        <v>0</v>
      </c>
      <c r="Q164" s="39">
        <v>0</v>
      </c>
      <c r="R164" s="40" t="s">
        <v>72</v>
      </c>
      <c r="S164" s="40" t="s">
        <v>72</v>
      </c>
      <c r="T164" s="40" t="s">
        <v>72</v>
      </c>
      <c r="U164" s="40" t="s">
        <v>72</v>
      </c>
      <c r="V164" s="40" t="s">
        <v>72</v>
      </c>
      <c r="W164" s="40" t="s">
        <v>72</v>
      </c>
      <c r="X164" s="40" t="s">
        <v>72</v>
      </c>
      <c r="Y164" s="40" t="s">
        <v>72</v>
      </c>
      <c r="Z164" s="40" t="s">
        <v>72</v>
      </c>
      <c r="AA164" s="40" t="s">
        <v>72</v>
      </c>
      <c r="AB164" s="40" t="s">
        <v>72</v>
      </c>
      <c r="AC164" s="40" t="s">
        <v>72</v>
      </c>
      <c r="AD164" s="40" t="s">
        <v>72</v>
      </c>
      <c r="AE164" s="40" t="s">
        <v>72</v>
      </c>
      <c r="AF164" s="40" t="s">
        <v>72</v>
      </c>
      <c r="AG164" s="40" t="s">
        <v>78</v>
      </c>
      <c r="AH164" t="str">
        <f>VLOOKUP($R164,武学奇术!$A:$ZZ,25,FALSE)</f>
        <v>心法</v>
      </c>
      <c r="AI164" s="26">
        <f>VLOOKUP($R164,武学奇术!$A:$ZZ,26,FALSE)</f>
        <v>0</v>
      </c>
      <c r="AJ164" s="27">
        <f>VLOOKUP($R164,武学奇术!$A:$ZZ,27,FALSE)*(1+IF(OR($AH164=$F$4,$AH164=$F$5),$B$22,0))</f>
        <v>0</v>
      </c>
      <c r="AK164" s="26">
        <f>VLOOKUP($R164,武学奇术!$A:$ZZ,28,FALSE)</f>
        <v>0</v>
      </c>
      <c r="AL164" s="27">
        <f>VLOOKUP($R164,武学奇术!$A:$ZZ,29,FALSE)*(1+IF(OR($AH164=$F$4,$AH164=$F$5),$B$22,0))</f>
        <v>0</v>
      </c>
      <c r="AM164" s="26" cm="1">
        <f t="array" ref="AM164">$G$3+IFERROR(VLOOKUP($AH164,$F$4:$G$7,2,FALSE),0)+VLOOKUP($R164,武学奇术!$A:$ZZ,2,FALSE)+SUM(_xlfn.XLOOKUP($S164:$AG164,增益!$A:$A,增益!$B:$B,0))</f>
        <v>0.1037</v>
      </c>
      <c r="AN164" s="26" cm="1">
        <f t="array" ref="AN164">VLOOKUP($R164,武学奇术!$A:$ZZ,5,FALSE)+SUM(_xlfn.XLOOKUP($S164:$AG164,增益!$A:$A,增益!$E:$E,0))</f>
        <v>0</v>
      </c>
      <c r="AO164" cm="1">
        <f t="array" ref="AO164">$D$10*(1+$AN164)+VLOOKUP($R164,武学奇术!$A:$ZZ,3,FALSE)+SUM(_xlfn.XLOOKUP($S164:$AG164,增益!$A:$A,增益!$C:$C,0))-$I$2</f>
        <v>3562.6</v>
      </c>
      <c r="AP164" cm="1">
        <f t="array" ref="AP164">$E$10*(1+$AN164)+VLOOKUP($R164,武学奇术!$A:$ZZ,4,FALSE)+SUM(_xlfn.XLOOKUP($S164:$AG164,增益!$A:$A,增益!$D:$D,0))-$I$2</f>
        <v>3562.6</v>
      </c>
      <c r="AQ164" s="32" cm="1">
        <f t="array" ref="AQ164">IF($F$10-$I$3+VLOOKUP($R164,武学奇术!$A:$ZZ,6,FALSE)+SUM(_xlfn.XLOOKUP(S164:AG164,增益!$A:$A,增益!$F:$F,0))&gt;0,($F$10-$I$3+VLOOKUP($R164,武学奇术!$A:$ZZ,6,FALSE)+SUM(_xlfn.XLOOKUP(S164:AG164,增益!$A:$A,增益!$F:$F,0)))/200,($F$10-$I$3+VLOOKUP($R164,武学奇术!$A:$ZZ,6,FALSE)+SUM(_xlfn.XLOOKUP(S164:AG164,增益!$A:$A,增益!$F:$F,0)))/100)</f>
        <v>0.1925</v>
      </c>
      <c r="AR164" s="32" cm="1">
        <f t="array" ref="AR164">$G$10+VLOOKUP($R164,武学奇术!$A:$ZZ,7,FALSE)+SUM(_xlfn.XLOOKUP(S164:AG164,增益!$A:$A,增益!$G:$G,0))</f>
        <v>0.028</v>
      </c>
      <c r="AS164" s="26" cm="1">
        <f t="array" ref="AS164">VLOOKUP($R164,武学奇术!$A:$ZZ,8,FALSE)+SUM(_xlfn.XLOOKUP(S164:AG164,增益!$A:$A,增益!$H:$H,0))</f>
        <v>0</v>
      </c>
      <c r="AT164">
        <f t="shared" si="26"/>
        <v>0</v>
      </c>
      <c r="AU164">
        <f t="shared" si="27"/>
        <v>0</v>
      </c>
      <c r="AV164" s="32" cm="1">
        <f t="array" ref="AV164">IF($F$11-$I$4+VLOOKUP($R164,武学奇术!$A:$ZZ,9,FALSE)+SUM(_xlfn.XLOOKUP(S164:AG164,增益!$A:$A,增益!$I:$I,0))&gt;0,($F$11-$I$4+VLOOKUP($R164,武学奇术!$A:$ZZ,9,FALSE)+SUM(_xlfn.XLOOKUP(S164:AG164,增益!$A:$A,增益!$I:$I,0)))/200,($F$11-$I$4+VLOOKUP($R164,武学奇术!$A:$ZZ,9,FALSE)+SUM(_xlfn.XLOOKUP(S164:AG164,增益!$A:$A,增益!$I:$I,0)))/100)</f>
        <v>-0.3</v>
      </c>
      <c r="AW164" s="32" cm="1">
        <f t="array" ref="AW164">$G$11+VLOOKUP($R164,武学奇术!$A:$ZZ,10,FALSE)+SUM(_xlfn.XLOOKUP(S164:AG164,增益!$A:$A,增益!$J:$J,0))</f>
        <v>0</v>
      </c>
      <c r="AX164">
        <f t="shared" si="28"/>
        <v>0</v>
      </c>
      <c r="AY164">
        <f t="shared" si="29"/>
        <v>0</v>
      </c>
      <c r="AZ164" s="32" cm="1">
        <f t="array" ref="AZ164">IF($F$12-$I$4+VLOOKUP($R164,武学奇术!$A:$ZZ,11,FALSE)+SUM(_xlfn.XLOOKUP(S164:AG164,增益!$A:$A,增益!$K:$K,0))&gt;0,($F$12-$I$4+VLOOKUP($R164,武学奇术!$A:$ZZ,11,FALSE)+SUM(_xlfn.XLOOKUP(S164:AG164,增益!$A:$A,增益!$K:$K,0)))/200,($F$12-$I$4+VLOOKUP($R164,武学奇术!$A:$ZZ,11,FALSE)+SUM(_xlfn.XLOOKUP(S164:AG164,增益!$A:$A,增益!$K:$K,0)))/100)</f>
        <v>-0.3</v>
      </c>
      <c r="BA164" s="32" cm="1">
        <f t="array" ref="BA164">$G$12+VLOOKUP($R164,武学奇术!$A:$ZZ,12,FALSE)+SUM(_xlfn.XLOOKUP(S164:AG164,增益!$A:$A,增益!$L:$L,0))</f>
        <v>0</v>
      </c>
      <c r="BB164">
        <f t="shared" si="30"/>
        <v>0</v>
      </c>
      <c r="BC164">
        <f t="shared" si="31"/>
        <v>0</v>
      </c>
      <c r="BD164" s="32" cm="1">
        <f t="array" ref="BD164">IF($F$13-$I$4+VLOOKUP($R164,武学奇术!$A:$ZZ,13,FALSE)+SUM(_xlfn.XLOOKUP(S164:AG164,增益!$A:$A,增益!$M:$M,0))&gt;0,($F$13-$I$4+VLOOKUP($R164,武学奇术!$A:$ZZ,13,FALSE)+SUM(_xlfn.XLOOKUP(S164:AG164,增益!$A:$A,增益!$K:$K,0)))/200,($F$13-$I$4+VLOOKUP($R164,武学奇术!$A:$ZZ,13,FALSE)+SUM(_xlfn.XLOOKUP(S164:AG164,增益!$A:$A,增益!$M:$M,0)))/100)</f>
        <v>-0.3</v>
      </c>
      <c r="BE164" s="32" cm="1">
        <f t="array" ref="BE164">$G$13+VLOOKUP($R164,武学奇术!$A:$ZZ,14,FALSE)+SUM(_xlfn.XLOOKUP(S164:AG164,增益!$A:$A,增益!$N:$N,0))</f>
        <v>0</v>
      </c>
      <c r="BF164">
        <f t="shared" si="32"/>
        <v>571.2</v>
      </c>
      <c r="BG164">
        <f t="shared" si="33"/>
        <v>1627.8</v>
      </c>
      <c r="BH164" s="32" cm="1">
        <f t="array" ref="BH164">IF($F$14-$I$4+VLOOKUP($R164,武学奇术!$A:$ZZ,15,FALSE)+SUM(_xlfn.XLOOKUP(S164:AG164,增益!$A:$A,增益!$O:$O,0))&gt;0,($F$14-$I$4+VLOOKUP($R164,武学奇术!$A:$ZZ,15,FALSE)+SUM(_xlfn.XLOOKUP(S164:AG164,增益!$A:$A,增益!$O:$O,0)))/200,($F$14-$I$4+VLOOKUP($R164,武学奇术!$A:$ZZ,15,FALSE)+SUM(_xlfn.XLOOKUP(S164:AG164,增益!$A:$A,增益!$O:$O,0)))/100)</f>
        <v>0</v>
      </c>
      <c r="BI164" s="32" cm="1">
        <f t="array" ref="BI164">$G$14+VLOOKUP($R164,武学奇术!$A:$ZZ,16,FALSE)+SUM(_xlfn.XLOOKUP(S164:AG164,增益!$A:$A,增益!$P:$P,0))</f>
        <v>0.15</v>
      </c>
      <c r="BJ164" s="26">
        <f>MIN(IF(VLOOKUP($R164,武学奇术!$A:$ZZ,23,FALSE)=1,100%,$B$8),100%)</f>
        <v>0.981</v>
      </c>
      <c r="BK164" s="26" cm="1">
        <f t="array" ref="BK164">IF(VLOOKUP($R164,武学奇术!$A:$ZZ,23,FALSE)=1,100%,MIN(80%,$B$9+VLOOKUP($R164,武学奇术!$A:$ZZ,17,FALSE)+SUM(_xlfn.XLOOKUP(S164:AG164,增益!$A:$A,增益!$Q:$Q,0)))+$B$11+SUM(_xlfn.XLOOKUP(S164:AG164,增益!$A:$A,增益!$U:$U,0)))*IF(VLOOKUP($R164,武学奇术!$A:$ZZ,24,FALSE)=1,0,1)</f>
        <v>0.846</v>
      </c>
      <c r="BL164" s="26" cm="1">
        <f t="array" ref="BL164">1+$B$13+VLOOKUP($R164,武学奇术!$A:$ZZ,18,FALSE)+SUM(_xlfn.XLOOKUP(S164:AG164,增益!$A:$A,增益!$R:$R,0))</f>
        <v>1.54</v>
      </c>
      <c r="BM164" s="26" cm="1">
        <f t="array" ref="BM164">IF(VLOOKUP($R164,武学奇术!$A:$ZZ,24,FALSE)=1,100%,MIN(40%,$B$10+VLOOKUP($R164,武学奇术!$A:$ZZ,19,FALSE)+SUM(_xlfn.XLOOKUP(S164:AG164,增益!$A:$A,增益!$S:$S,0)))+$B$12+SUM(_xlfn.XLOOKUP(S164:AG164,增益!$A:$A,增益!$V:$V,0)))*IF(VLOOKUP($R164,武学奇术!$A:$ZZ,23,FALSE)=1,0,1)</f>
        <v>0.0929</v>
      </c>
      <c r="BN164" s="26" cm="1">
        <f t="array" ref="BN164">1+$B$14+VLOOKUP($R164,武学奇术!$A:$ZZ,20,FALSE)+SUM(_xlfn.XLOOKUP(S164:AG164,增益!$A:$A,增益!$T:$T,0))</f>
        <v>1.35</v>
      </c>
      <c r="BO164" s="26">
        <f t="shared" si="34"/>
        <v>0.829926</v>
      </c>
      <c r="BP164" s="26">
        <f t="shared" si="35"/>
        <v>0.0599391</v>
      </c>
      <c r="BQ164" s="26">
        <f>IF(VLOOKUP($R164,武学奇术!$A:$ZZ,22,FALSE)=1,0,(1-$BJ164))*(1-$BM164)</f>
        <v>0.0172349</v>
      </c>
      <c r="BR164" s="26" cm="1">
        <f t="array" ref="BR164">SUM(_xlfn.XLOOKUP(S164:AG164,增益!$A:$A,增益!$W:$W,0))+$I$5</f>
        <v>0.11</v>
      </c>
    </row>
  </sheetData>
  <mergeCells count="18">
    <mergeCell ref="H1:I1"/>
    <mergeCell ref="C8:G8"/>
    <mergeCell ref="C15:D15"/>
    <mergeCell ref="E21:F21"/>
    <mergeCell ref="E22:F22"/>
    <mergeCell ref="E23:F23"/>
    <mergeCell ref="E24:F24"/>
    <mergeCell ref="A23:A24"/>
    <mergeCell ref="H8:H9"/>
    <mergeCell ref="H10:H11"/>
    <mergeCell ref="H12:H13"/>
    <mergeCell ref="H14:H15"/>
    <mergeCell ref="H16:H17"/>
    <mergeCell ref="I8:J9"/>
    <mergeCell ref="I10:J11"/>
    <mergeCell ref="I12:J13"/>
    <mergeCell ref="I14:J15"/>
    <mergeCell ref="I16:J17"/>
  </mergeCells>
  <dataValidations count="7">
    <dataValidation type="list" allowBlank="1" showInputMessage="1" showErrorMessage="1" sqref="G1">
      <formula1>"鸣金,裂石,牵丝,破竹"</formula1>
    </dataValidation>
    <dataValidation type="list" allowBlank="1" showInputMessage="1" showErrorMessage="1" sqref="G2">
      <formula1>"连星"</formula1>
    </dataValidation>
    <dataValidation type="list" allowBlank="1" showInputMessage="1" showErrorMessage="1" sqref="S2:X2 Z2:AB2 AD2:AE2 AG2 S3:X3 Z3:AB3 AD3:AE3 S6:X6 Z6:AB6 AD6:AE6 S7:X7 Z7:AB7 AD7:AE7 S8:X8 Z8 AB8 AD8:AE8 S9:X9 Z9 AB9 AD9:AE9 S10:X10 Z10 AB10 AD10:AE10 AG10 S11:X11 Z11 AB11 AD11:AE11 AG11 S12:X12 Z12 AB12 AD12:AE12 AG12 S13:X13 Z13 AB13 AD13:AE13 AG13 S14:X14 Z14 AB14 AD14:AE14 AG14 S15:X15 Z15 AB15 AD15:AE15 AG15 S16:X16 Z16 AB16 AD16:AE16 AG16 S17:X17 Z17 AB17 AD17:AE17 AG17 S18:X18 Z18 AB18 AD18:AE18 AG18 S19:X19 Z19 AB19 S20:W20 X20 Z20 AB20 S21:V21 W21 X21 Z21 AB21 S22:V22 W22 X22 Z22 AB22 S23:V23 W23 X23 Z23 AB23 S24:V24 W24 X24 Z24 AB24 AD24:AE24 AG24 S25:V25 W25 X25 Z25 AB25 AD25:AE25 AG25 S26:V26 W26 X26 Z26 AB26 S27:V27 W27 X27 Z27 AB27 S28:V28 W28 Z28 AB28 S29:V29 W29 Z29 AB29 S30:V30 Z30 AB30 V31 Z31 AB31 V32 W32 Z32 AB32 V33 W33 Z33 AB33 V34 Z34 AB34 V35 V36 W36 S37 T37:V37 W37 X37 Z37 AB37 S38:U38 W38:X38 Z38 AB38 S39 U39 W39 Z39 AB39 S40 U40 W40 Z40 AB40 S41 U41 W41 Z41 AB41 S42 U42 Z42 AB42 S43 U43 Z43 AB43 S44 U44 W44 Z44 AB44 S45 U45 W45 Z45 S46 U46 W46 Z46 S47 U47 W47 S48 U48 W48 S49 U49 S50 U50 S51 U51 S52 U52 S53 U53 S54 U54 S55 U55 S56 U56 S57 U57 S58 U58 V59 V60 S61 T61:U61 V61 W61 X61 Z61 AB61 S62 T62:U62 V62 W62 X62 Z62 AB62 S63 T63:V63 W63 X63 Z63 AB63 S64:U64 V64 W64:X64 Z64 AB64 S65:U65 V65 W65 X65 Z65 AB65 S66 T66:U66 V66 X66 AB66 AE67 S69 U69 AB69 S70 U70 AB70 S71 U71 AB71 S72 U72 AB72 AE72 AG72 S73 U73 AB73 AE73 S74 U74 AB74 AE74 S75 U75 AE75 S76 U76 AE76 S77 U77 AE77 S78 U78 AE78 S79 U79 AE79 S80 U80 AE80 S81 U81 AE81 S82 U82 AE82 S83 T83:V83 W83 X83 Z83 AB83 AD83:AE83 S84:U84 V84 W84:X84 AB84 AD84:AE84 S85 U85 AB85 AD85:AE85 S86 U86 AB86 AD86:AE86 S87 U87 AB87 AD87:AE87 S88 U88 AB88 AD88:AE88 S89 U89 AB89 AD89:AE89 S90 U90 AB90 AD90:AE90 S91 U91 AD91:AE91 S92 U92 AD92:AE92 S93 U93 AD93:AE93 S94 U94 AD94:AE94 S95 U95 AD95:AE95 S96 U96 AD96:AE96 S97 U97 AD97:AE97 S98 U98 AD98:AE98 S99 T99:V99 W99 X99 Z99 AB99 AD99:AE99 S100 T100:V100 W100 X100 Z100 AB100 AD100:AE100 S101:U101 V101 W101:X101 Z101 AB101 AD101:AE101 W102 AD102:AE102 AD103:AE103 AD104:AE104 S105:U105 X105 Z105 AB105 AD105:AE105 S106:U106 X106 Z106 AB106 AD106:AE106 S107:U107 X107 Z107 AB107 AD107:AE107 S108:U108 X108 Z108 AB108 AD108:AE108 S109:U109 X109 Z109 AB109 AD109:AE109 S110:U110 X110 Z110 AB110 AD110:AE110 S111:U111 X111 Z111 AB111 S112:U112 X112 Z112 AB112 S113:U113 X113 Z113 AB113 S114:U114 X114 Z114 AB114 S115:U115 Z115 AB115 S116:U116 Z116 AB116 S117:U117 Z117 AB117 S118:U118 Z118 AB118 S119:U119 Z119 AB119 S120:U120 Z120 AB120 S121:U121 V121 Z121 AB121 S122:U122 Z122 AB122 S125:U125 Z125 S126 T126 U126 AE126 S127 T127 U127:V127 W127 X127 AB127 S128 T128:U128 V128 W128:X128 Z128 AB128 AD128 U129 V129 Z129 AD129 U130 Z130 U131 Z131 S132 U132 Z132 AB132 S133 U133 Z133 AB133 S134 U134 Z134 AB134 S135 U135 Z135 AB135 S136 U136 Z136 AB136 S137 U137 Z137 AB137 AE137 S138 U138 Z138 AE138 S139 U139 Z139 S140 U140 Z140 AD140 S141 U141 Z141 AD141 S142 U142 S143 U143 S144 U144 S145 U145 S146 U146 S147 U147 S148 U148 S149 U149 AE149 AG149 S150 U150 W150 X150 AB150 AE150 AG150 S151:U151 V151 W151:X151 Z151 AB151 AD151 AE151 AG151 S152:U152 V152 W152:X152 Z152 AB152 AD152 AE152 AG152 S153 T153 U153 V153 W153 X153 Z153 AB153 AD153 AE153 AG153 S157:U157 V157 W157:X157 Z157 AB157 AD157:AE157 S158:U158 V158 W158:X158 Z158 AB158 AD158 AE158 S159:U159 V159 W159:X159 Z159 AB159 AD159:AE159 S160:U160 V160 W160:X160 Z160 AB160 AD160:AE160 S161:U161 V161 W161:X161 Z161 AB161 AD161:AE161 S162:X162 Z162 AB162 AD162:AE162 S163:X163 Z163 AB163 AD163 AE163 S164:X164 Z164 AB164 AD164:AE164 S102:S104 S123:S124 S129:S131 T39:T46 T47:T52 T53:T54 T55:T58 T69:T74 T75:T76 T77:T78 T79:T80 T81:T82 T85:T90 T91:T92 T93:T94 T95:T96 T97:T98 T102:T104 T129:T150 U102:U104 V38:V52 V53:V54 V55:V58 V67:V82 V85:V92 V93:V94 V95:V98 V102:V103 V104:V116 V117:V118 V119:V120 V122:V124 V125:V126 V130:V131 V132:V133 V134:V150 W30:W31 W34:W35 W42:W43 W49:W52 W53:W54 W55:W56 W57:W60 W66:W82 W85:W92 W93:W94 W95:W98 W103:W116 W117:W118 W119:W120 W121:W122 W123:W124 W125:W126 W129:W131 W132:W139 W140:W141 W142:W143 W144:W145 W146:W147 W148:W149 X28:X29 X30:X36 X39:X46 X47:X52 X53:X54 X55:X58 X59:X60 X67:X68 X69:X74 X75:X76 X77:X78 X79:X80 X81:X82 X85:X90 X91:X92 X93:X94 X95:X96 X97:X98 X102:X104 X115:X118 X119:X122 X123:X124 X125:X126 X129:X131 X132:X149 Y2:Y164 Z35:Z36 Z47:Z52 Z53:Z54 Z55:Z58 Z59:Z60 Z66:Z82 Z84:Z92 Z93:Z98 Z102:Z104 Z123:Z124 Z126:Z127 Z142:Z147 Z148:Z150 Z154:Z156 AA8:AA164 AB35:AB36 AB45:AB52 AB53:AB54 AB55:AB58 AB59:AB60 AB67:AB68 AB75:AB76 AB77:AB78 AB79:AB80 AB81:AB82 AB91:AB92 AB93:AB94 AB95:AB96 AB97:AB98 AB102:AB104 AB123:AB124 AB125:AB126 AB129:AB131 AB138:AB141 AB142:AB145 AB146:AB149 AB154:AB156 AC2:AC164 AD67:AD82 AD126:AD127 AD130:AD131 AD132:AD133 AD134:AD139 AD142:AD143 AD144:AD150 AE68:AE71 AE127:AE128 AE129:AE130 AE131:AE132 AE133:AE136 AE139:AE148 AF2:AF3 AF4:AF164 AG3:AG9 AG19:AG20 AG21:AG23 AG26:AG40 AG41:AG71 AG73:AG138 AG139:AG148 AG154:AG164 AD26:AE40 AD21:AE23 AD19:AE20 T123:U124 AD111:AE125 AD4:AE5 S31:U32 S59:U60 S67:U68 S33:U36 S154:X156 Z4:AB5 S4:X5 AD41:AE66 AD154:AE156">
      <formula1>增益!$A:$A</formula1>
    </dataValidation>
    <dataValidation type="list" allowBlank="1" showInputMessage="1" showErrorMessage="1" sqref="R10 R11 R12 R13 R14 R15 R16 R17 R18 R19 R20 R21 R22 R23 R24 R25 R26 R27 R28 R29 R30 R39 R40 R41 R42 R43 R44 R45 R46 R47 R48 R49 R50 R51 R52 R53 R54 R55 R56 R57 R58 R65 R66 R69 R70 R71 R72 R73 R74 R75 R76 R77 R78 R79 R80 R81 R82 R85 R86 R87 R88 R89 R90 R91 R92 R93 R94 R95 R96 R97 R98 R99 R102 R105 R106 R107 R108 R109 R110 R111 R112 R113 R114 R115 R116 R117 R118 R119 R120 R121 R122 R132 R133 R134 R135 R136 R137 R138 R139 R140 R141 R142 R143 R144 R145 R146 R147 R148 R149 R150 R151 R152 R153 R164 R2:R9 R31:R32 R33:R36 R37:R38 R59:R60 R61:R62 R63:R64 R67:R68 R83:R84 R100:R101 R103:R104 R123:R124 R125:R126 R127:R128 R129:R131 R154:R163">
      <formula1>武学奇术!$A:$A</formula1>
    </dataValidation>
    <dataValidation type="list" allowBlank="1" showInputMessage="1" showErrorMessage="1" sqref="D21 D16:D20 F15:F17">
      <formula1>"√,×"</formula1>
    </dataValidation>
    <dataValidation type="list" allowBlank="1" showInputMessage="1" showErrorMessage="1" sqref="E22:F22">
      <formula1>"大唐歌,断石之构"</formula1>
    </dataValidation>
    <dataValidation type="list" allowBlank="1" showInputMessage="1" showErrorMessage="1" sqref="E24:F24">
      <formula1>"易水歌,征人归"</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2"/>
  <sheetViews>
    <sheetView workbookViewId="0">
      <selection activeCell="AC36" sqref="AC36:AC37"/>
    </sheetView>
  </sheetViews>
  <sheetFormatPr defaultColWidth="9" defaultRowHeight="13.5"/>
  <cols>
    <col min="1" max="1" width="21.5" customWidth="1"/>
    <col min="2" max="2" width="9.00833333333333" customWidth="1"/>
    <col min="17" max="17" width="9" style="26"/>
    <col min="26" max="26" width="9.375" style="26"/>
    <col min="27" max="27" width="9" style="27"/>
    <col min="28" max="28" width="9.375" style="26"/>
    <col min="29" max="29" width="9" style="27"/>
  </cols>
  <sheetData>
    <row r="1" spans="1:31">
      <c r="B1" t="s">
        <v>35</v>
      </c>
      <c r="C1" t="s">
        <v>188</v>
      </c>
      <c r="D1" t="s">
        <v>189</v>
      </c>
      <c r="E1" t="s">
        <v>190</v>
      </c>
      <c r="F1" t="s">
        <v>191</v>
      </c>
      <c r="G1" t="s">
        <v>192</v>
      </c>
      <c r="H1" t="s">
        <v>193</v>
      </c>
      <c r="I1" t="s">
        <v>44</v>
      </c>
      <c r="J1" t="s">
        <v>45</v>
      </c>
      <c r="K1" t="s">
        <v>48</v>
      </c>
      <c r="L1" t="s">
        <v>49</v>
      </c>
      <c r="M1" t="s">
        <v>52</v>
      </c>
      <c r="N1" t="s">
        <v>53</v>
      </c>
      <c r="O1" t="s">
        <v>56</v>
      </c>
      <c r="P1" t="s">
        <v>57</v>
      </c>
      <c r="Q1" s="26" t="s">
        <v>107</v>
      </c>
      <c r="R1" t="s">
        <v>194</v>
      </c>
      <c r="S1" t="s">
        <v>110</v>
      </c>
      <c r="T1" t="s">
        <v>195</v>
      </c>
      <c r="U1" t="s">
        <v>155</v>
      </c>
      <c r="V1" t="s">
        <v>196</v>
      </c>
      <c r="W1" t="s">
        <v>197</v>
      </c>
      <c r="X1" t="s">
        <v>198</v>
      </c>
      <c r="Y1" t="s">
        <v>30</v>
      </c>
      <c r="Z1" s="26" t="s">
        <v>31</v>
      </c>
      <c r="AA1" s="27" t="s">
        <v>32</v>
      </c>
      <c r="AB1" s="26" t="s">
        <v>33</v>
      </c>
      <c r="AC1" s="27" t="s">
        <v>34</v>
      </c>
      <c r="AD1" t="s">
        <v>199</v>
      </c>
    </row>
    <row r="2" spans="1:31">
      <c r="A2" t="s">
        <v>112</v>
      </c>
      <c r="B2" s="28">
        <v>0.2</v>
      </c>
      <c r="G2" s="28">
        <v>0.12</v>
      </c>
      <c r="P2" s="28">
        <v>0.12</v>
      </c>
      <c r="Y2" t="s">
        <v>87</v>
      </c>
      <c r="Z2" s="26">
        <v>0.54</v>
      </c>
      <c r="AB2" s="26">
        <v>0.81</v>
      </c>
      <c r="AD2" t="s">
        <v>200</v>
      </c>
      <c r="AE2">
        <v>1.05</v>
      </c>
    </row>
    <row r="3" spans="1:31">
      <c r="A3" t="s">
        <v>108</v>
      </c>
      <c r="B3" s="28"/>
      <c r="G3" s="28">
        <v>0.12</v>
      </c>
      <c r="P3" s="28">
        <v>0.12</v>
      </c>
      <c r="R3" s="28"/>
      <c r="Y3" t="s">
        <v>87</v>
      </c>
      <c r="Z3" s="26">
        <f>108.5%+72.34%</f>
        <v>1.8084</v>
      </c>
      <c r="AA3" s="27">
        <f>300+200</f>
        <v>500</v>
      </c>
      <c r="AB3" s="26">
        <f>162.76%+108.5%</f>
        <v>2.7126</v>
      </c>
      <c r="AC3" s="27">
        <f>163+109</f>
        <v>272</v>
      </c>
      <c r="AD3" t="s">
        <v>200</v>
      </c>
      <c r="AE3">
        <v>1.05</v>
      </c>
    </row>
    <row r="4" customFormat="1" spans="1:31">
      <c r="A4" t="s">
        <v>132</v>
      </c>
      <c r="B4" s="28">
        <v>0.4</v>
      </c>
      <c r="G4" s="28">
        <v>0.12</v>
      </c>
      <c r="P4" s="28">
        <v>0.12</v>
      </c>
      <c r="Q4" s="26"/>
      <c r="R4"/>
      <c r="W4">
        <v>1</v>
      </c>
      <c r="Y4" t="s">
        <v>87</v>
      </c>
      <c r="Z4" s="26">
        <v>0.54</v>
      </c>
      <c r="AA4" s="27"/>
      <c r="AB4" s="26">
        <v>0.81</v>
      </c>
      <c r="AC4" s="27"/>
      <c r="AD4" t="s">
        <v>200</v>
      </c>
      <c r="AE4">
        <v>1.05</v>
      </c>
    </row>
    <row r="5" customFormat="1" spans="1:31">
      <c r="A5" t="s">
        <v>125</v>
      </c>
      <c r="B5" s="28">
        <v>0.2</v>
      </c>
      <c r="G5" s="28">
        <v>0.12</v>
      </c>
      <c r="P5" s="28">
        <v>0.12</v>
      </c>
      <c r="Q5" s="26"/>
      <c r="R5" s="28"/>
      <c r="W5">
        <v>1</v>
      </c>
      <c r="Y5" t="s">
        <v>87</v>
      </c>
      <c r="Z5" s="26">
        <f>108.5%+72.34%</f>
        <v>1.8084</v>
      </c>
      <c r="AA5" s="27">
        <f>300+200</f>
        <v>500</v>
      </c>
      <c r="AB5" s="26">
        <f>162.76%+108.5%</f>
        <v>2.7126</v>
      </c>
      <c r="AC5" s="27">
        <f>163+109</f>
        <v>272</v>
      </c>
      <c r="AD5" t="s">
        <v>200</v>
      </c>
      <c r="AE5">
        <v>1.05</v>
      </c>
    </row>
    <row r="6" customFormat="1" spans="1:31">
      <c r="A6" t="s">
        <v>162</v>
      </c>
      <c r="B6" s="28">
        <v>0.2</v>
      </c>
      <c r="G6" s="28"/>
      <c r="P6" s="28"/>
      <c r="Q6" s="26"/>
      <c r="R6"/>
      <c r="Y6" t="s">
        <v>87</v>
      </c>
      <c r="Z6" s="26">
        <v>0.54</v>
      </c>
      <c r="AA6" s="27"/>
      <c r="AB6" s="26">
        <v>0.81</v>
      </c>
      <c r="AC6" s="27"/>
      <c r="AE6">
        <v>1.05</v>
      </c>
    </row>
    <row r="7" customFormat="1" spans="1:31">
      <c r="A7" t="s">
        <v>159</v>
      </c>
      <c r="B7" s="28"/>
      <c r="Q7" s="26"/>
      <c r="R7" s="28"/>
      <c r="Y7" t="s">
        <v>87</v>
      </c>
      <c r="Z7" s="26">
        <f>(100.73%+67.15%)*1.2</f>
        <v>2.01456</v>
      </c>
      <c r="AA7" s="27">
        <f>(279+186)*1.2</f>
        <v>558</v>
      </c>
      <c r="AB7" s="26">
        <f>(151.09%+100.73%)*1.2</f>
        <v>3.02184</v>
      </c>
      <c r="AC7" s="27">
        <f>(151+101)*1.2</f>
        <v>302.4</v>
      </c>
      <c r="AE7">
        <v>1.05</v>
      </c>
    </row>
    <row r="8" customFormat="1" spans="1:31">
      <c r="A8" t="s">
        <v>201</v>
      </c>
      <c r="B8" s="28"/>
      <c r="Q8" s="26"/>
      <c r="R8" s="28"/>
      <c r="Y8" t="s">
        <v>93</v>
      </c>
      <c r="Z8" s="26">
        <f>94.28%+110%+110%</f>
        <v>3.1428</v>
      </c>
      <c r="AA8" s="27">
        <f>261+304*2</f>
        <v>869</v>
      </c>
      <c r="AB8" s="26">
        <f>141.43%+165%*2</f>
        <v>4.7143</v>
      </c>
      <c r="AC8" s="27">
        <f>142+165*2</f>
        <v>472</v>
      </c>
      <c r="AE8">
        <v>1.05</v>
      </c>
    </row>
    <row r="9" customFormat="1" spans="1:31">
      <c r="A9" t="s">
        <v>102</v>
      </c>
      <c r="B9" s="28">
        <v>0.05</v>
      </c>
      <c r="Q9" s="26"/>
      <c r="R9" s="28"/>
      <c r="Y9" t="s">
        <v>93</v>
      </c>
      <c r="Z9" s="26">
        <v>1.1137</v>
      </c>
      <c r="AA9" s="27">
        <v>309</v>
      </c>
      <c r="AB9" s="26">
        <v>1.6706</v>
      </c>
      <c r="AC9" s="27">
        <v>168</v>
      </c>
      <c r="AE9">
        <v>1.05</v>
      </c>
    </row>
    <row r="10" customFormat="1" spans="1:31">
      <c r="A10" t="s">
        <v>106</v>
      </c>
      <c r="B10" s="28">
        <v>0.1</v>
      </c>
      <c r="Q10" s="26"/>
      <c r="R10" s="28"/>
      <c r="Y10" t="s">
        <v>93</v>
      </c>
      <c r="Z10" s="26">
        <v>0.7839</v>
      </c>
      <c r="AA10" s="27">
        <v>218</v>
      </c>
      <c r="AB10" s="26">
        <v>1.1759</v>
      </c>
      <c r="AC10" s="27">
        <v>119</v>
      </c>
      <c r="AE10">
        <v>1.05</v>
      </c>
    </row>
    <row r="11" customFormat="1" spans="1:31">
      <c r="A11" t="s">
        <v>202</v>
      </c>
      <c r="B11" s="28">
        <v>0.15</v>
      </c>
      <c r="Q11" s="26"/>
      <c r="R11" s="28"/>
      <c r="Y11" t="s">
        <v>93</v>
      </c>
      <c r="Z11" s="26">
        <v>1.7242</v>
      </c>
      <c r="AA11" s="27">
        <v>478</v>
      </c>
      <c r="AB11" s="26">
        <v>2.5862</v>
      </c>
      <c r="AC11" s="27">
        <v>260</v>
      </c>
      <c r="AE11">
        <v>1.05</v>
      </c>
    </row>
    <row r="12" customFormat="1" spans="1:31">
      <c r="A12" t="s">
        <v>166</v>
      </c>
      <c r="B12" s="28">
        <v>0.15</v>
      </c>
      <c r="Q12" s="26"/>
      <c r="R12" s="28"/>
      <c r="W12">
        <v>1</v>
      </c>
      <c r="Y12" t="s">
        <v>93</v>
      </c>
      <c r="Z12" s="26">
        <v>2.2987</v>
      </c>
      <c r="AA12" s="27">
        <v>637</v>
      </c>
      <c r="AB12" s="26">
        <v>3.448</v>
      </c>
      <c r="AC12" s="27">
        <v>347</v>
      </c>
      <c r="AE12">
        <v>1.05</v>
      </c>
    </row>
    <row r="13" customFormat="1" spans="1:31">
      <c r="A13" t="s">
        <v>167</v>
      </c>
      <c r="B13" s="28"/>
      <c r="Q13" s="26"/>
      <c r="R13" s="28"/>
      <c r="Y13" t="s">
        <v>203</v>
      </c>
      <c r="Z13" s="26">
        <v>0</v>
      </c>
      <c r="AA13" s="27">
        <v>0</v>
      </c>
      <c r="AB13" s="26">
        <v>0</v>
      </c>
      <c r="AC13" s="27">
        <v>0</v>
      </c>
      <c r="AE13">
        <f>0.5*1.05</f>
        <v>0.525</v>
      </c>
    </row>
    <row r="14" customFormat="1" spans="1:31">
      <c r="A14" t="s">
        <v>175</v>
      </c>
      <c r="B14"/>
      <c r="Q14" s="26"/>
      <c r="R14" s="28"/>
      <c r="Y14" t="s">
        <v>101</v>
      </c>
      <c r="Z14" s="26">
        <f>198.73%*2</f>
        <v>3.9746</v>
      </c>
      <c r="AA14" s="27">
        <f>504*2</f>
        <v>1008</v>
      </c>
      <c r="AB14" s="26">
        <f t="shared" ref="AB14:AB29" si="0">Z14*1.5</f>
        <v>5.9619</v>
      </c>
      <c r="AC14" s="27"/>
      <c r="AE14">
        <v>1.05</v>
      </c>
    </row>
    <row r="15" customFormat="1" spans="1:31">
      <c r="A15" t="s">
        <v>71</v>
      </c>
      <c r="B15"/>
      <c r="Q15" s="26"/>
      <c r="R15" s="28"/>
      <c r="Y15" t="s">
        <v>101</v>
      </c>
      <c r="Z15" s="26">
        <f>74.52%*2</f>
        <v>1.4904</v>
      </c>
      <c r="AA15" s="27">
        <f>189*2</f>
        <v>378</v>
      </c>
      <c r="AB15" s="26">
        <f t="shared" si="0"/>
        <v>2.2356</v>
      </c>
      <c r="AC15" s="27"/>
      <c r="AE15">
        <v>1.05</v>
      </c>
    </row>
    <row r="16" customFormat="1" spans="1:31">
      <c r="A16" t="s">
        <v>185</v>
      </c>
      <c r="B16" s="28"/>
      <c r="E16" s="28"/>
      <c r="G16" s="28"/>
      <c r="N16" s="28"/>
      <c r="R16" s="28"/>
      <c r="Y16" t="s">
        <v>101</v>
      </c>
      <c r="Z16" s="26">
        <f>254.71%*2.7*1.5</f>
        <v>10.315755</v>
      </c>
      <c r="AA16" s="27">
        <f>492*2.7*1.5</f>
        <v>1992.6</v>
      </c>
      <c r="AB16" s="26">
        <f t="shared" si="0"/>
        <v>15.4736325</v>
      </c>
      <c r="AC16" s="27"/>
      <c r="AE16">
        <v>1.05</v>
      </c>
    </row>
    <row r="17" customFormat="1" spans="1:31">
      <c r="A17" t="s">
        <v>182</v>
      </c>
      <c r="B17" s="28"/>
      <c r="Q17" s="26"/>
      <c r="R17" s="28"/>
      <c r="Y17" t="s">
        <v>98</v>
      </c>
      <c r="Z17" s="26">
        <f>319.88%+390.96%</f>
        <v>7.1084</v>
      </c>
      <c r="AA17" s="27">
        <f>616+753</f>
        <v>1369</v>
      </c>
      <c r="AB17" s="26">
        <f t="shared" si="0"/>
        <v>10.6626</v>
      </c>
      <c r="AC17" s="27"/>
      <c r="AE17">
        <v>1.05</v>
      </c>
    </row>
    <row r="18" customFormat="1" spans="1:31">
      <c r="A18" t="s">
        <v>204</v>
      </c>
      <c r="B18" s="28">
        <v>0.47</v>
      </c>
      <c r="Q18" s="26"/>
      <c r="R18" s="28"/>
      <c r="V18">
        <v>1</v>
      </c>
      <c r="Y18" t="s">
        <v>98</v>
      </c>
      <c r="Z18" s="26">
        <f>1636.48%*2.2*0.7</f>
        <v>25.201792</v>
      </c>
      <c r="AA18" s="27">
        <f>3162*2.2*0.7</f>
        <v>4869.48</v>
      </c>
      <c r="AB18" s="26">
        <f t="shared" si="0"/>
        <v>37.802688</v>
      </c>
      <c r="AC18" s="27"/>
      <c r="AE18">
        <v>1.05</v>
      </c>
    </row>
    <row r="19" customFormat="1" spans="1:31">
      <c r="A19" t="s">
        <v>205</v>
      </c>
      <c r="B19"/>
      <c r="Q19" s="26"/>
      <c r="R19" s="28"/>
      <c r="Y19" t="s">
        <v>101</v>
      </c>
      <c r="Z19" s="26">
        <f>(416.02%+772.61%)*2</f>
        <v>23.7726</v>
      </c>
      <c r="AA19" s="27">
        <f>(803+1493)*2</f>
        <v>4592</v>
      </c>
      <c r="AB19" s="26">
        <f t="shared" si="0"/>
        <v>35.6589</v>
      </c>
      <c r="AC19" s="27"/>
      <c r="AE19">
        <v>1.05</v>
      </c>
    </row>
    <row r="20" customFormat="1" spans="1:31">
      <c r="A20" t="s">
        <v>206</v>
      </c>
      <c r="B20" s="28"/>
      <c r="Q20" s="26"/>
      <c r="R20" s="28"/>
      <c r="Y20" t="s">
        <v>98</v>
      </c>
      <c r="Z20" s="26">
        <f>257.01%/2</f>
        <v>1.28505</v>
      </c>
      <c r="AA20" s="27">
        <f>502/2</f>
        <v>251</v>
      </c>
      <c r="AB20" s="26">
        <f t="shared" si="0"/>
        <v>1.927575</v>
      </c>
      <c r="AC20" s="27"/>
      <c r="AE20">
        <v>1.05</v>
      </c>
    </row>
    <row r="21" customFormat="1" spans="1:31">
      <c r="A21" t="s">
        <v>207</v>
      </c>
      <c r="B21"/>
      <c r="Q21" s="26"/>
      <c r="R21" s="28"/>
      <c r="Y21" t="s">
        <v>98</v>
      </c>
      <c r="Z21" s="26">
        <f>257.01%+141.62%</f>
        <v>3.9863</v>
      </c>
      <c r="AA21" s="27">
        <f>502+276</f>
        <v>778</v>
      </c>
      <c r="AB21" s="26">
        <f t="shared" si="0"/>
        <v>5.97945</v>
      </c>
      <c r="AC21" s="27"/>
      <c r="AE21">
        <v>1.05</v>
      </c>
    </row>
    <row r="22" customFormat="1" spans="1:31">
      <c r="A22" t="s">
        <v>208</v>
      </c>
      <c r="B22" s="28"/>
      <c r="Q22" s="26"/>
      <c r="R22" s="28"/>
      <c r="T22" s="28"/>
      <c r="Y22" t="s">
        <v>98</v>
      </c>
      <c r="Z22" s="26">
        <v>0.236</v>
      </c>
      <c r="AA22" s="27">
        <v>46</v>
      </c>
      <c r="AB22" s="26">
        <f t="shared" si="0"/>
        <v>0.354</v>
      </c>
      <c r="AC22" s="27"/>
      <c r="AE22">
        <f>0.6*1.05</f>
        <v>0.63</v>
      </c>
    </row>
    <row r="23" customFormat="1" spans="1:31">
      <c r="A23" t="s">
        <v>209</v>
      </c>
      <c r="B23" s="28"/>
      <c r="Q23" s="26"/>
      <c r="R23" s="28"/>
      <c r="Y23" t="s">
        <v>98</v>
      </c>
      <c r="Z23" s="26">
        <f>272.42%/2</f>
        <v>1.3621</v>
      </c>
      <c r="AA23" s="27">
        <f>528/2</f>
        <v>264</v>
      </c>
      <c r="AB23" s="26">
        <f t="shared" si="0"/>
        <v>2.04315</v>
      </c>
      <c r="AC23" s="27"/>
      <c r="AE23">
        <v>1.05</v>
      </c>
    </row>
    <row r="24" customFormat="1" spans="1:31">
      <c r="A24" t="s">
        <v>210</v>
      </c>
      <c r="B24"/>
      <c r="Q24" s="26"/>
      <c r="R24" s="28"/>
      <c r="Y24" t="s">
        <v>98</v>
      </c>
      <c r="Z24" s="26">
        <f>272.42%+150.11%</f>
        <v>4.2253</v>
      </c>
      <c r="AA24" s="27">
        <f>528+291</f>
        <v>819</v>
      </c>
      <c r="AB24" s="26">
        <f t="shared" si="0"/>
        <v>6.33795</v>
      </c>
      <c r="AC24" s="27"/>
      <c r="AE24">
        <v>1.05</v>
      </c>
    </row>
    <row r="25" customFormat="1" spans="1:31">
      <c r="A25" t="s">
        <v>211</v>
      </c>
      <c r="B25" s="28"/>
      <c r="Q25" s="26"/>
      <c r="R25" s="28"/>
      <c r="T25" s="28"/>
      <c r="Y25" t="s">
        <v>98</v>
      </c>
      <c r="Z25" s="26">
        <v>0.2958</v>
      </c>
      <c r="AA25" s="27">
        <v>57</v>
      </c>
      <c r="AB25" s="26">
        <f t="shared" si="0"/>
        <v>0.4437</v>
      </c>
      <c r="AC25" s="27"/>
      <c r="AE25">
        <f>0.6*1.05</f>
        <v>0.63</v>
      </c>
    </row>
    <row r="26" customFormat="1" spans="1:31">
      <c r="A26" t="s">
        <v>212</v>
      </c>
      <c r="B26"/>
      <c r="Q26" s="26"/>
      <c r="R26" s="28"/>
      <c r="Y26" t="s">
        <v>98</v>
      </c>
      <c r="Z26" s="26">
        <v>1.0239</v>
      </c>
      <c r="AA26" s="27">
        <v>196</v>
      </c>
      <c r="AB26" s="26">
        <f t="shared" si="0"/>
        <v>1.53585</v>
      </c>
      <c r="AC26" s="27"/>
      <c r="AE26">
        <v>1.05</v>
      </c>
    </row>
    <row r="27" customFormat="1" spans="1:31">
      <c r="A27" t="s">
        <v>213</v>
      </c>
      <c r="B27" s="28">
        <v>0.8</v>
      </c>
      <c r="Q27" s="26"/>
      <c r="R27" s="28"/>
      <c r="Y27" t="s">
        <v>98</v>
      </c>
      <c r="Z27" s="26">
        <v>1.7065</v>
      </c>
      <c r="AA27" s="27">
        <v>327</v>
      </c>
      <c r="AB27" s="26">
        <f t="shared" si="0"/>
        <v>2.55975</v>
      </c>
      <c r="AC27" s="27"/>
      <c r="AE27">
        <v>1.05</v>
      </c>
    </row>
    <row r="28" customFormat="1" spans="1:31">
      <c r="A28" t="s">
        <v>214</v>
      </c>
      <c r="B28"/>
      <c r="Q28" s="26"/>
      <c r="R28" s="28"/>
      <c r="Y28" t="s">
        <v>98</v>
      </c>
      <c r="Z28" s="26">
        <v>0.7021</v>
      </c>
      <c r="AA28" s="27">
        <v>134</v>
      </c>
      <c r="AB28" s="26">
        <f t="shared" si="0"/>
        <v>1.05315</v>
      </c>
      <c r="AC28" s="27"/>
      <c r="AE28">
        <v>1.05</v>
      </c>
    </row>
    <row r="29" customFormat="1" spans="1:31">
      <c r="A29" t="s">
        <v>215</v>
      </c>
      <c r="B29"/>
      <c r="Q29" s="26"/>
      <c r="R29" s="28"/>
      <c r="Y29" t="s">
        <v>98</v>
      </c>
      <c r="Z29" s="26">
        <v>1.609</v>
      </c>
      <c r="AA29" s="27">
        <v>308</v>
      </c>
      <c r="AB29" s="26">
        <f t="shared" si="0"/>
        <v>2.4135</v>
      </c>
      <c r="AC29" s="27"/>
      <c r="AE29">
        <v>1.05</v>
      </c>
    </row>
    <row r="30" customFormat="1" spans="1:31">
      <c r="A30" t="s">
        <v>186</v>
      </c>
      <c r="Q30" s="26"/>
      <c r="R30" s="28"/>
      <c r="Y30" t="s">
        <v>203</v>
      </c>
      <c r="Z30" s="26">
        <v>1</v>
      </c>
      <c r="AA30" s="27"/>
      <c r="AB30" s="26">
        <v>1</v>
      </c>
      <c r="AC30" s="27"/>
      <c r="AE30">
        <v>1.05</v>
      </c>
    </row>
    <row r="31" customFormat="1" spans="1:31">
      <c r="A31" t="s">
        <v>216</v>
      </c>
      <c r="B31" s="28"/>
      <c r="E31" s="28"/>
      <c r="G31" s="28"/>
      <c r="N31" s="28"/>
      <c r="R31" s="28"/>
      <c r="Y31" t="s">
        <v>101</v>
      </c>
      <c r="Z31" s="26">
        <f>254.71%*2.7</f>
        <v>6.87717</v>
      </c>
      <c r="AA31" s="27">
        <f>492*2.7</f>
        <v>1328.4</v>
      </c>
      <c r="AB31" s="26">
        <f>Z31*1.5</f>
        <v>10.315755</v>
      </c>
      <c r="AC31" s="27"/>
      <c r="AE31">
        <v>1.05</v>
      </c>
    </row>
    <row r="32" spans="1:31">
      <c r="A32" t="s">
        <v>72</v>
      </c>
      <c r="Y32" t="s">
        <v>203</v>
      </c>
      <c r="Z32" s="26">
        <v>0</v>
      </c>
      <c r="AA32" s="27"/>
      <c r="AB32" s="26">
        <v>0</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0"/>
  <sheetViews>
    <sheetView workbookViewId="0">
      <selection activeCell="K37" sqref="K37:K38"/>
    </sheetView>
  </sheetViews>
  <sheetFormatPr defaultColWidth="9" defaultRowHeight="13.5"/>
  <cols>
    <col min="1" max="1" width="15.875" customWidth="1"/>
    <col min="2" max="2" width="9.00833333333333" customWidth="1"/>
    <col min="23" max="23" width="9" style="26"/>
    <col min="24" max="24" width="9.375" style="26"/>
    <col min="25" max="25" width="9" style="27"/>
  </cols>
  <sheetData>
    <row r="1" spans="1:27">
      <c r="B1" t="s">
        <v>35</v>
      </c>
      <c r="C1" t="s">
        <v>188</v>
      </c>
      <c r="D1" t="s">
        <v>189</v>
      </c>
      <c r="E1" t="s">
        <v>190</v>
      </c>
      <c r="F1" t="s">
        <v>191</v>
      </c>
      <c r="G1" t="s">
        <v>192</v>
      </c>
      <c r="H1" t="s">
        <v>193</v>
      </c>
      <c r="I1" t="s">
        <v>44</v>
      </c>
      <c r="J1" t="s">
        <v>45</v>
      </c>
      <c r="K1" t="s">
        <v>48</v>
      </c>
      <c r="L1" t="s">
        <v>49</v>
      </c>
      <c r="M1" t="s">
        <v>52</v>
      </c>
      <c r="N1" t="s">
        <v>53</v>
      </c>
      <c r="O1" t="s">
        <v>56</v>
      </c>
      <c r="P1" t="s">
        <v>57</v>
      </c>
      <c r="Q1" t="s">
        <v>107</v>
      </c>
      <c r="R1" t="s">
        <v>194</v>
      </c>
      <c r="S1" t="s">
        <v>110</v>
      </c>
      <c r="T1" t="s">
        <v>195</v>
      </c>
      <c r="U1" s="26" t="s">
        <v>113</v>
      </c>
      <c r="V1" s="27" t="s">
        <v>116</v>
      </c>
      <c r="W1" s="26" t="s">
        <v>66</v>
      </c>
    </row>
    <row r="2" customFormat="1" spans="1:27">
      <c r="A2" t="s">
        <v>84</v>
      </c>
      <c r="B2" s="28"/>
      <c r="I2">
        <f>IF(期望!$D$19="√",16,0)</f>
        <v>16</v>
      </c>
      <c r="K2">
        <f>IF(期望!$D$19="√",16,0)</f>
        <v>16</v>
      </c>
      <c r="M2">
        <f>IF(期望!$D$19="√",16,0)</f>
        <v>16</v>
      </c>
      <c r="O2">
        <f>IF(期望!$D$19="√",16,0)</f>
        <v>16</v>
      </c>
      <c r="W2" s="29"/>
      <c r="X2" s="29"/>
      <c r="Y2" s="27"/>
    </row>
    <row r="3" customFormat="1" spans="1:27">
      <c r="A3" t="s">
        <v>217</v>
      </c>
      <c r="B3" s="28">
        <f>IF(期望!$D$20="√",25%,0)</f>
        <v>0.25</v>
      </c>
      <c r="W3" s="29"/>
      <c r="X3" s="29"/>
      <c r="Y3" s="30"/>
      <c r="Z3" s="29"/>
      <c r="AA3" s="27"/>
    </row>
    <row r="4" customFormat="1" spans="1:27">
      <c r="A4" t="s">
        <v>91</v>
      </c>
      <c r="B4" s="28"/>
      <c r="E4" s="28">
        <f>IF(期望!$D$21="√",12%,0)</f>
        <v>0</v>
      </c>
      <c r="H4" s="28">
        <f>IF(期望!$D$21="√",12%,0)</f>
        <v>0</v>
      </c>
      <c r="I4" s="28"/>
      <c r="W4" s="29"/>
      <c r="X4" s="29"/>
      <c r="Y4" s="30"/>
      <c r="Z4" s="29"/>
      <c r="AA4" s="27"/>
    </row>
    <row r="5" customFormat="1" spans="1:27">
      <c r="A5" t="s">
        <v>85</v>
      </c>
      <c r="B5" s="28"/>
      <c r="H5" s="28">
        <f>IF(期望!$D$21="√",6%,0)</f>
        <v>0</v>
      </c>
      <c r="W5" s="29"/>
      <c r="X5" s="29"/>
      <c r="Y5" s="30"/>
      <c r="Z5" s="29"/>
      <c r="AA5" s="27"/>
    </row>
    <row r="6" customFormat="1" spans="1:27">
      <c r="A6" t="s">
        <v>77</v>
      </c>
      <c r="B6" s="28"/>
      <c r="G6" s="28">
        <f>IF(期望!$D$21="√",2%,0)</f>
        <v>0</v>
      </c>
      <c r="J6" s="28">
        <f>IF(期望!$D$21="√",2%,0)</f>
        <v>0</v>
      </c>
      <c r="L6" s="28">
        <f>IF(期望!$D$21="√",2%,0)</f>
        <v>0</v>
      </c>
      <c r="N6" s="28">
        <f>IF(期望!$D$21="√",2%,0)</f>
        <v>0</v>
      </c>
      <c r="P6" s="28">
        <f>IF(期望!$D$21="√",2%,0)</f>
        <v>0</v>
      </c>
      <c r="W6" s="29"/>
      <c r="X6" s="29"/>
      <c r="Y6" s="30"/>
      <c r="Z6" s="29"/>
      <c r="AA6" s="27"/>
    </row>
    <row r="7" spans="1:27">
      <c r="A7" t="s">
        <v>74</v>
      </c>
      <c r="B7" s="28">
        <v>0.02</v>
      </c>
      <c r="R7" s="28"/>
      <c r="W7" s="29"/>
    </row>
    <row r="8" customFormat="1" spans="1:27">
      <c r="A8" t="s">
        <v>81</v>
      </c>
      <c r="B8" s="28">
        <v>0.2</v>
      </c>
      <c r="R8" s="28"/>
      <c r="W8" s="29"/>
      <c r="X8" s="26"/>
      <c r="Y8" s="27"/>
    </row>
    <row r="9" spans="1:27">
      <c r="A9" t="s">
        <v>78</v>
      </c>
      <c r="B9" s="28"/>
      <c r="R9" s="28"/>
      <c r="W9" s="29">
        <v>0.05</v>
      </c>
    </row>
    <row r="10" spans="1:27">
      <c r="A10" t="s">
        <v>176</v>
      </c>
      <c r="B10" s="28"/>
      <c r="W10" s="26">
        <v>0.1</v>
      </c>
    </row>
    <row r="11" spans="1:27">
      <c r="A11" t="s">
        <v>177</v>
      </c>
      <c r="B11" s="28"/>
      <c r="J11" s="28">
        <f>IF(期望!$D$18="√",10%,0)</f>
        <v>0.1</v>
      </c>
      <c r="W11" s="26">
        <f>IF(期望!$D$18="√",10%,0)</f>
        <v>0.1</v>
      </c>
      <c r="X11" s="29"/>
    </row>
    <row r="12" spans="1:27">
      <c r="A12" t="s">
        <v>218</v>
      </c>
      <c r="B12" s="28">
        <v>0.25</v>
      </c>
      <c r="X12" s="29"/>
    </row>
    <row r="13" spans="1:27">
      <c r="A13" t="s">
        <v>219</v>
      </c>
      <c r="C13">
        <v>31</v>
      </c>
      <c r="D13">
        <v>31</v>
      </c>
      <c r="R13" s="28"/>
      <c r="X13" s="29"/>
    </row>
    <row r="14" customFormat="1" spans="1:27">
      <c r="A14" t="s">
        <v>114</v>
      </c>
      <c r="B14" s="28"/>
      <c r="F14">
        <v>4</v>
      </c>
      <c r="R14" s="28"/>
      <c r="S14" s="28"/>
      <c r="T14" s="28"/>
      <c r="W14" s="26"/>
      <c r="X14" s="29"/>
      <c r="Y14" s="27"/>
    </row>
    <row r="15" customFormat="1" spans="1:27">
      <c r="A15" t="s">
        <v>119</v>
      </c>
      <c r="B15" s="28"/>
      <c r="F15">
        <v>8</v>
      </c>
      <c r="R15" s="28"/>
      <c r="S15" s="28"/>
      <c r="T15" s="28"/>
      <c r="W15" s="26"/>
      <c r="X15" s="29"/>
      <c r="Y15" s="27"/>
    </row>
    <row r="16" customFormat="1" spans="1:27">
      <c r="A16" t="s">
        <v>95</v>
      </c>
      <c r="B16" s="28"/>
      <c r="F16">
        <v>10</v>
      </c>
      <c r="R16" s="28"/>
      <c r="S16" s="28"/>
      <c r="T16" s="28"/>
      <c r="W16" s="26"/>
      <c r="X16" s="29"/>
      <c r="Y16" s="27"/>
    </row>
    <row r="17" customFormat="1" spans="1:25">
      <c r="A17" t="s">
        <v>115</v>
      </c>
      <c r="B17" s="28"/>
      <c r="R17" s="28">
        <f>IF(期望!$E$22="大唐歌",6%,0)</f>
        <v>0.06</v>
      </c>
      <c r="S17" s="28"/>
      <c r="T17" s="28"/>
      <c r="W17" s="26"/>
      <c r="X17" s="29"/>
      <c r="Y17" s="27"/>
    </row>
    <row r="18" customFormat="1" spans="1:25">
      <c r="A18" t="s">
        <v>120</v>
      </c>
      <c r="B18" s="28"/>
      <c r="R18" s="28">
        <f>IF(期望!$E$22="大唐歌",12%,0)</f>
        <v>0.12</v>
      </c>
      <c r="S18" s="28"/>
      <c r="T18" s="28"/>
      <c r="W18" s="26"/>
      <c r="X18" s="29"/>
      <c r="Y18" s="27"/>
    </row>
    <row r="19" customFormat="1" spans="1:25">
      <c r="A19" t="s">
        <v>126</v>
      </c>
      <c r="B19" s="28"/>
      <c r="R19" s="28">
        <f>IF(期望!$E$22="大唐歌",15%,0)</f>
        <v>0.15</v>
      </c>
      <c r="S19" s="28"/>
      <c r="T19" s="28"/>
      <c r="W19" s="26"/>
      <c r="X19" s="29"/>
      <c r="Y19" s="27"/>
    </row>
    <row r="20" customFormat="1" spans="1:25">
      <c r="A20" t="s">
        <v>73</v>
      </c>
      <c r="B20" s="28">
        <v>0.05</v>
      </c>
      <c r="R20" s="28">
        <v>0.27</v>
      </c>
      <c r="S20" s="28"/>
      <c r="T20" s="28"/>
      <c r="W20" s="26"/>
      <c r="X20" s="29"/>
      <c r="Y20" s="27"/>
    </row>
    <row r="21" customFormat="1" spans="1:25">
      <c r="A21" t="s">
        <v>109</v>
      </c>
      <c r="B21" s="28">
        <f>IF(期望!$G$2="连星",20%,0)</f>
        <v>0.2</v>
      </c>
      <c r="R21" s="28"/>
      <c r="S21" s="28"/>
      <c r="T21" s="28"/>
      <c r="W21" s="26"/>
      <c r="X21" s="29"/>
      <c r="Y21" s="27"/>
    </row>
    <row r="22" customFormat="1" spans="1:25">
      <c r="A22" t="s">
        <v>220</v>
      </c>
      <c r="B22" s="28">
        <f>IF(期望!$G$2="连星",15%,0)</f>
        <v>0.15</v>
      </c>
      <c r="R22" s="28"/>
      <c r="S22" s="28"/>
      <c r="T22" s="28"/>
      <c r="W22" s="26"/>
      <c r="X22" s="29"/>
      <c r="Y22" s="27"/>
    </row>
    <row r="23" customFormat="1" spans="1:25">
      <c r="A23" t="s">
        <v>178</v>
      </c>
      <c r="F23">
        <f>IF(期望!$E$22="断石之构",25,0)</f>
        <v>0</v>
      </c>
      <c r="R23" s="28">
        <f>IF(期望!$E$22="断石之构",25%,0)</f>
        <v>0</v>
      </c>
      <c r="S23" s="28"/>
      <c r="T23" s="28"/>
      <c r="W23" s="26"/>
      <c r="X23" s="29"/>
      <c r="Y23" s="27"/>
    </row>
    <row r="24" spans="1:25">
      <c r="A24" t="s">
        <v>75</v>
      </c>
      <c r="R24" s="28">
        <f>IF(期望!$F$16="√",1%,0)</f>
        <v>0.01</v>
      </c>
      <c r="S24" s="28"/>
      <c r="T24" s="28"/>
      <c r="X24" s="29"/>
    </row>
    <row r="25" spans="1:25">
      <c r="A25" t="s">
        <v>82</v>
      </c>
      <c r="R25" s="28">
        <f>IF(期望!$F$16="√",2%,0)</f>
        <v>0.02</v>
      </c>
      <c r="S25" s="28"/>
      <c r="T25" s="28"/>
      <c r="X25" s="29"/>
    </row>
    <row r="26" spans="1:25">
      <c r="A26" t="s">
        <v>89</v>
      </c>
      <c r="R26" s="28">
        <f>IF(期望!$F$16="√",3%,0)</f>
        <v>0.03</v>
      </c>
      <c r="S26" s="28"/>
      <c r="T26" s="28"/>
      <c r="X26" s="29"/>
    </row>
    <row r="27" spans="1:25">
      <c r="A27" t="s">
        <v>96</v>
      </c>
      <c r="R27" s="28">
        <f>IF(期望!$F$16="√",4%,0)</f>
        <v>0.04</v>
      </c>
      <c r="S27" s="28"/>
      <c r="T27" s="28"/>
      <c r="X27" s="29"/>
    </row>
    <row r="28" spans="1:25">
      <c r="A28" t="s">
        <v>152</v>
      </c>
      <c r="R28" s="28">
        <f>IF(期望!$F$16="√",5%,0)</f>
        <v>0.05</v>
      </c>
      <c r="S28" s="28"/>
      <c r="T28" s="28"/>
      <c r="X28" s="29"/>
    </row>
    <row r="29" spans="1:25">
      <c r="A29" t="s">
        <v>160</v>
      </c>
      <c r="R29" s="28">
        <f>IF(期望!$F$16="√",6%,0)</f>
        <v>0.06</v>
      </c>
      <c r="S29" s="28"/>
      <c r="T29" s="28"/>
      <c r="X29" s="29"/>
    </row>
    <row r="30" spans="1:25">
      <c r="A30" t="s">
        <v>165</v>
      </c>
      <c r="R30" s="28">
        <f>IF(期望!$F$16="√",7%,0)</f>
        <v>0.07</v>
      </c>
      <c r="S30" s="28"/>
      <c r="T30" s="28"/>
      <c r="X30" s="29"/>
    </row>
    <row r="31" spans="1:25">
      <c r="A31" t="s">
        <v>168</v>
      </c>
      <c r="R31" s="28">
        <f>IF(期望!$F$16="√",8%,0)</f>
        <v>0.08</v>
      </c>
      <c r="S31" s="28"/>
      <c r="T31" s="28"/>
      <c r="X31" s="29"/>
    </row>
    <row r="32" spans="1:25">
      <c r="A32" t="s">
        <v>169</v>
      </c>
      <c r="R32" s="28">
        <f>IF(期望!$F$16="√",9%,0)</f>
        <v>0.09</v>
      </c>
      <c r="S32" s="28"/>
      <c r="T32" s="28"/>
      <c r="X32" s="29"/>
    </row>
    <row r="33" spans="1:24">
      <c r="A33" t="s">
        <v>172</v>
      </c>
      <c r="R33" s="28">
        <f>IF(期望!$F$16="√",10%,0)</f>
        <v>0.1</v>
      </c>
      <c r="S33" s="28"/>
      <c r="T33" s="28"/>
      <c r="X33" s="29"/>
    </row>
    <row r="34" spans="1:24">
      <c r="A34" t="s">
        <v>76</v>
      </c>
      <c r="B34" s="28">
        <f>1%*IF(期望!$E$24="易水歌",1,0)</f>
        <v>0.01</v>
      </c>
      <c r="F34">
        <f>2*IF(期望!$E$24="易水歌",1,0)</f>
        <v>2</v>
      </c>
      <c r="X34" s="29"/>
    </row>
    <row r="35" spans="1:24">
      <c r="A35" t="s">
        <v>83</v>
      </c>
      <c r="B35" s="28">
        <f>2%*IF(期望!$E$24="易水歌",1,0)</f>
        <v>0.02</v>
      </c>
      <c r="F35">
        <f>4*IF(期望!$E$24="易水歌",1,0)</f>
        <v>4</v>
      </c>
      <c r="X35" s="29"/>
    </row>
    <row r="36" spans="1:24">
      <c r="A36" t="s">
        <v>90</v>
      </c>
      <c r="B36" s="28">
        <f>3%*IF(期望!$E$24="易水歌",1,0)</f>
        <v>0.03</v>
      </c>
      <c r="F36">
        <f>6*IF(期望!$E$24="易水歌",1,0)</f>
        <v>6</v>
      </c>
      <c r="X36" s="29"/>
    </row>
    <row r="37" spans="1:24">
      <c r="A37" t="s">
        <v>97</v>
      </c>
      <c r="B37" s="28">
        <f>4%*IF(期望!$E$24="易水歌",1,0)</f>
        <v>0.04</v>
      </c>
      <c r="F37">
        <f>8*IF(期望!$E$24="易水歌",1,0)</f>
        <v>8</v>
      </c>
      <c r="X37" s="29"/>
    </row>
    <row r="38" spans="1:24">
      <c r="A38" t="s">
        <v>99</v>
      </c>
      <c r="B38" s="28">
        <f>5%*IF(期望!$E$24="易水歌",1,0)</f>
        <v>0.05</v>
      </c>
      <c r="F38">
        <f>10*IF(期望!$E$24="易水歌",1,0)</f>
        <v>10</v>
      </c>
      <c r="X38" s="29"/>
    </row>
    <row r="39" spans="1:24">
      <c r="A39" t="s">
        <v>72</v>
      </c>
      <c r="X39" s="29"/>
    </row>
    <row r="40" spans="1:24">
      <c r="X40" s="29"/>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4"/>
  <sheetViews>
    <sheetView tabSelected="1" workbookViewId="0">
      <selection activeCell="C33" sqref="C33"/>
    </sheetView>
  </sheetViews>
  <sheetFormatPr defaultColWidth="9" defaultRowHeight="13.5" outlineLevelCol="3"/>
  <cols>
    <col min="1" max="1" width="9" style="1"/>
    <col min="3" max="3" width="65" customWidth="1"/>
    <col min="4" max="4" width="13.75" customWidth="1"/>
  </cols>
  <sheetData>
    <row r="1" ht="14.25" spans="1:4">
      <c r="A1" s="2" t="s">
        <v>221</v>
      </c>
      <c r="B1" s="3" t="s">
        <v>222</v>
      </c>
      <c r="C1" s="4" t="s">
        <v>223</v>
      </c>
      <c r="D1" s="5" t="s">
        <v>224</v>
      </c>
    </row>
    <row r="2" spans="1:4">
      <c r="A2" s="6">
        <v>0.1</v>
      </c>
      <c r="B2" s="7">
        <v>1</v>
      </c>
      <c r="C2" s="8" t="s">
        <v>225</v>
      </c>
      <c r="D2" s="4" t="s">
        <v>226</v>
      </c>
    </row>
    <row r="3" spans="1:4">
      <c r="A3" s="9"/>
      <c r="B3" s="10">
        <v>2</v>
      </c>
      <c r="C3" s="11" t="s">
        <v>227</v>
      </c>
    </row>
    <row r="4" ht="14.25" spans="1:4">
      <c r="A4" s="12"/>
      <c r="B4" s="13">
        <v>3</v>
      </c>
      <c r="C4" s="14" t="s">
        <v>228</v>
      </c>
    </row>
    <row r="5" ht="14.25" spans="1:4">
      <c r="A5" s="15">
        <v>0.2</v>
      </c>
      <c r="B5" s="16">
        <v>1</v>
      </c>
      <c r="C5" s="17" t="s">
        <v>229</v>
      </c>
    </row>
    <row r="6" ht="14.25" spans="1:4">
      <c r="A6" s="15">
        <v>0.3</v>
      </c>
      <c r="B6" s="16">
        <v>1</v>
      </c>
      <c r="C6" s="17" t="s">
        <v>230</v>
      </c>
    </row>
    <row r="7" ht="14.25" spans="1:4">
      <c r="A7" s="15">
        <v>0.4</v>
      </c>
      <c r="B7" s="16">
        <v>1</v>
      </c>
      <c r="C7" s="17" t="s">
        <v>231</v>
      </c>
    </row>
    <row r="8" ht="14.25" spans="1:4">
      <c r="A8" s="18">
        <v>0.5</v>
      </c>
      <c r="B8" s="19">
        <v>1</v>
      </c>
      <c r="C8" s="8" t="s">
        <v>232</v>
      </c>
    </row>
    <row r="9" spans="1:4">
      <c r="A9" s="18">
        <v>0.6</v>
      </c>
      <c r="B9" s="19">
        <v>1</v>
      </c>
      <c r="C9" s="8" t="s">
        <v>233</v>
      </c>
    </row>
    <row r="10" spans="1:4">
      <c r="A10" s="20"/>
      <c r="B10" s="21">
        <v>2</v>
      </c>
      <c r="C10" s="11" t="s">
        <v>234</v>
      </c>
    </row>
    <row r="11" ht="14.25" spans="1:4">
      <c r="A11" s="22"/>
      <c r="B11" s="23">
        <v>3</v>
      </c>
      <c r="C11" s="14" t="s">
        <v>235</v>
      </c>
    </row>
    <row r="12" ht="14.25" spans="1:4">
      <c r="A12" s="24">
        <v>0.7</v>
      </c>
      <c r="B12" s="16">
        <v>1</v>
      </c>
      <c r="C12" s="17" t="s">
        <v>236</v>
      </c>
    </row>
    <row r="13" ht="14.25" spans="1:4">
      <c r="A13" s="24">
        <v>0.8</v>
      </c>
      <c r="B13" s="16">
        <v>1</v>
      </c>
      <c r="C13" s="17" t="s">
        <v>237</v>
      </c>
    </row>
    <row r="14" ht="14.25" spans="1:4">
      <c r="A14" s="24">
        <v>1</v>
      </c>
      <c r="B14" s="16">
        <v>1</v>
      </c>
      <c r="C14" s="17" t="s">
        <v>238</v>
      </c>
    </row>
    <row r="15" spans="1:4">
      <c r="A15" s="18">
        <v>1.1</v>
      </c>
      <c r="B15" s="19">
        <v>1</v>
      </c>
      <c r="C15" s="25" t="s">
        <v>239</v>
      </c>
    </row>
    <row r="16" spans="1:4">
      <c r="A16" s="20"/>
      <c r="B16" s="21">
        <v>2</v>
      </c>
      <c r="C16" s="11" t="s">
        <v>240</v>
      </c>
    </row>
    <row r="17" spans="1:3">
      <c r="A17" s="20"/>
      <c r="B17" s="21"/>
      <c r="C17" s="11" t="s">
        <v>241</v>
      </c>
    </row>
    <row r="18" spans="1:3">
      <c r="A18" s="20"/>
      <c r="B18" s="21"/>
      <c r="C18" s="11" t="s">
        <v>242</v>
      </c>
    </row>
    <row r="19" spans="1:3">
      <c r="A19" s="20"/>
      <c r="B19" s="21"/>
      <c r="C19" s="11" t="s">
        <v>243</v>
      </c>
    </row>
    <row r="20" spans="1:3">
      <c r="A20" s="20"/>
      <c r="B20" s="21">
        <v>3</v>
      </c>
      <c r="C20" s="11" t="s">
        <v>244</v>
      </c>
    </row>
    <row r="21" ht="14.25" spans="1:3">
      <c r="A21" s="22"/>
      <c r="B21" s="23">
        <v>4</v>
      </c>
      <c r="C21" s="14" t="s">
        <v>245</v>
      </c>
    </row>
    <row r="22" ht="14.25" spans="1:3">
      <c r="A22" s="24">
        <v>1.2</v>
      </c>
      <c r="B22" s="16">
        <v>1</v>
      </c>
      <c r="C22" s="17" t="s">
        <v>246</v>
      </c>
    </row>
    <row r="23" spans="1:3">
      <c r="A23" s="18">
        <v>2</v>
      </c>
      <c r="B23" s="19">
        <v>1</v>
      </c>
      <c r="C23" s="8" t="s">
        <v>247</v>
      </c>
    </row>
    <row r="24" ht="14.25" spans="1:3">
      <c r="A24" s="22"/>
      <c r="B24" s="23">
        <v>2</v>
      </c>
      <c r="C24" s="14" t="s">
        <v>248</v>
      </c>
    </row>
  </sheetData>
  <mergeCells count="4">
    <mergeCell ref="A2:A4"/>
    <mergeCell ref="A9:A11"/>
    <mergeCell ref="A15:A21"/>
    <mergeCell ref="A23:A24"/>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2026-08-10T02:32:08Z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A9271B5BCF9E4E1496E8D008C2A94A9E_12</vt:lpwstr>
  </property>
  <property fmtid="{D5CDD505-2E9C-101B-9397-08002B2CF9AE}" pid="4" name="CalculationRule">
    <vt:i4>0</vt:i4>
  </property>
</Properties>
</file>