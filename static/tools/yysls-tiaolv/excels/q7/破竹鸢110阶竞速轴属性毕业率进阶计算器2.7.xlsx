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<sst xmlns="http://schemas.openxmlformats.org/spreadsheetml/2006/main" count="6294" uniqueCount="290">
  <si>
    <t>最小攻击</t>
  </si>
  <si>
    <t>最大攻击</t>
  </si>
  <si>
    <t>穿透</t>
  </si>
  <si>
    <t>伤害加成</t>
  </si>
  <si>
    <t>武学属性</t>
  </si>
  <si>
    <t>破竹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</si>
  <si>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</si>
  <si>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</si>
  <si>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</si>
  <si>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</si>
  <si>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</si>
  <si>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</si>
  <si>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</si>
  <si>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</si>
  <si>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</si>
  <si>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</si>
  <si>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</si>
  <si>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</si>
  <si>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</si>
  <si>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</si>
  <si>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</si>
  <si>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</si>
  <si>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</si>
  <si>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</si>
  <si>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</si>
  <si>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</si>
  <si>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</si>
  <si>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</si>
  <si>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</si>
  <si>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</si>
  <si>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</si>
  <si>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</si>
  <si>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</si>
  <si>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</si>
  <si>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</si>
  <si>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</si>
  <si>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</si>
  <si>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</si>
  <si>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</si>
  <si>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</si>
  <si>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</si>
  <si>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</si>
  <si>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</si>
  <si>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</si>
  <si>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</si>
  <si>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</si>
  <si>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</si>
  <si>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</si>
  <si>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</si>
  <si>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</si>
  <si>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</si>
  <si>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</si>
  <si>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</si>
  <si>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</si>
  <si>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</si>
  <si>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</si>
  <si>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</si>
  <si>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</si>
  <si>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</si>
  <si>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</si>
  <si>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</si>
  <si>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</si>
  <si>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</si>
  <si>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</si>
  <si>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</si>
  <si>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</si>
  <si>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</si>
  <si>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</si>
  <si>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</si>
  <si>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</si>
  <si>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</si>
  <si>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</si>
  <si>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结算增伤</t>
  </si>
  <si>
    <t>外功</t>
  </si>
  <si>
    <t>套装</t>
  </si>
  <si>
    <t>撼天</t>
  </si>
  <si>
    <t>防御</t>
  </si>
  <si>
    <t>萧呤千浪流星</t>
  </si>
  <si>
    <t>易水歌1层</t>
  </si>
  <si>
    <t>N/a</t>
  </si>
  <si>
    <t>近战笛</t>
  </si>
  <si>
    <t>沧海帖1层</t>
  </si>
  <si>
    <t>离猎(拐)</t>
  </si>
  <si>
    <t>裁云(拐)</t>
  </si>
  <si>
    <t>无惧</t>
  </si>
  <si>
    <t>天志增伤</t>
  </si>
  <si>
    <t>鸣金</t>
  </si>
  <si>
    <t>外抗</t>
  </si>
  <si>
    <t>易水歌2层</t>
  </si>
  <si>
    <t>沧海帖2层</t>
  </si>
  <si>
    <t>惧刃(拐)</t>
  </si>
  <si>
    <t>扶风(拐)</t>
  </si>
  <si>
    <t>裂石</t>
  </si>
  <si>
    <t>拳甲</t>
  </si>
  <si>
    <t>属抗</t>
  </si>
  <si>
    <t>易水歌3层</t>
  </si>
  <si>
    <t>沧海帖3层</t>
  </si>
  <si>
    <t>烁鼓(拐)</t>
  </si>
  <si>
    <t>牵丝</t>
  </si>
  <si>
    <t>绳镖</t>
  </si>
  <si>
    <t>副本天赋</t>
  </si>
  <si>
    <t>易水歌4层</t>
  </si>
  <si>
    <t>沧海帖4层</t>
  </si>
  <si>
    <t>单体奇术</t>
  </si>
  <si>
    <t>易水歌5层</t>
  </si>
  <si>
    <t>无相</t>
  </si>
  <si>
    <t>群体奇术</t>
  </si>
  <si>
    <t>绳标～</t>
  </si>
  <si>
    <t>精准率</t>
  </si>
  <si>
    <t>实际属性</t>
  </si>
  <si>
    <t>战斗时间</t>
  </si>
  <si>
    <t>鹰隼追击(绳特殊技)</t>
  </si>
  <si>
    <t>三穷</t>
  </si>
  <si>
    <t>会心率</t>
  </si>
  <si>
    <t>绳标Q卸</t>
  </si>
  <si>
    <t>会意率</t>
  </si>
  <si>
    <t>总伤</t>
  </si>
  <si>
    <t>鹰隼追击(绳标)</t>
  </si>
  <si>
    <t>直接会心率</t>
  </si>
  <si>
    <t>拳甲Q2</t>
  </si>
  <si>
    <t>直接会意率</t>
  </si>
  <si>
    <t>ADPS</t>
  </si>
  <si>
    <t>拳甲轻击56</t>
  </si>
  <si>
    <t>会心伤害加成</t>
  </si>
  <si>
    <t>鹰隼追击(拳甲)</t>
  </si>
  <si>
    <t>会意伤害加成</t>
  </si>
  <si>
    <t>RDPS</t>
  </si>
  <si>
    <t>拳甲～</t>
  </si>
  <si>
    <t>全武增</t>
  </si>
  <si>
    <t>团队增益</t>
  </si>
  <si>
    <t>首领增</t>
  </si>
  <si>
    <t>威</t>
  </si>
  <si>
    <t>√</t>
  </si>
  <si>
    <t>沧海帖</t>
  </si>
  <si>
    <t>毕业率</t>
  </si>
  <si>
    <t>拳甲增</t>
  </si>
  <si>
    <t>尘</t>
  </si>
  <si>
    <t>所恨年年</t>
  </si>
  <si>
    <t>拳甲R蓄4直伤</t>
  </si>
  <si>
    <t>断石5层</t>
  </si>
  <si>
    <t>阴阳</t>
  </si>
  <si>
    <t>绳镖增</t>
  </si>
  <si>
    <t>虹</t>
  </si>
  <si>
    <t>高伤取值</t>
  </si>
  <si>
    <t>机制时间</t>
  </si>
  <si>
    <t>天志</t>
  </si>
  <si>
    <t>步乱(拐)</t>
  </si>
  <si>
    <t>单体奇术增</t>
  </si>
  <si>
    <t>钧</t>
  </si>
  <si>
    <t>群体奇术增</t>
  </si>
  <si>
    <t>影</t>
  </si>
  <si>
    <t>真气比例</t>
  </si>
  <si>
    <t>沧海帖5层</t>
  </si>
  <si>
    <t>蓄力技定音</t>
  </si>
  <si>
    <t>翊</t>
  </si>
  <si>
    <t>×</t>
  </si>
  <si>
    <t>第三心法</t>
  </si>
  <si>
    <t>固伤加成</t>
  </si>
  <si>
    <t>樽</t>
  </si>
  <si>
    <t>断石之构</t>
  </si>
  <si>
    <t>拳甲Q1</t>
  </si>
  <si>
    <t>沧海帖6层</t>
  </si>
  <si>
    <t>食物加成</t>
  </si>
  <si>
    <t>第四心法</t>
  </si>
  <si>
    <t>易水歌</t>
  </si>
  <si>
    <t>沧海帖7层</t>
  </si>
  <si>
    <t>Q1</t>
  </si>
  <si>
    <t>笛</t>
  </si>
  <si>
    <t>绳标Q</t>
  </si>
  <si>
    <t>切武器</t>
  </si>
  <si>
    <t>沧海帖8层</t>
  </si>
  <si>
    <t>沧海帖9层</t>
  </si>
  <si>
    <t>绳～</t>
  </si>
  <si>
    <t>沧海帖10层</t>
  </si>
  <si>
    <t>绳Q卸</t>
  </si>
  <si>
    <t>惧</t>
  </si>
  <si>
    <t>Q2</t>
  </si>
  <si>
    <t>普攻56</t>
  </si>
  <si>
    <t>鼓</t>
  </si>
  <si>
    <t>拳～</t>
  </si>
  <si>
    <t>闪避</t>
  </si>
  <si>
    <t>断</t>
  </si>
  <si>
    <t>拳R蓄</t>
  </si>
  <si>
    <t>拳R蓄攻击</t>
  </si>
  <si>
    <t>动画</t>
  </si>
  <si>
    <t>卸3</t>
  </si>
  <si>
    <t>骑龙回马</t>
  </si>
  <si>
    <t>衍九矢9hit</t>
  </si>
  <si>
    <t>气竭</t>
  </si>
  <si>
    <t>真气失衡</t>
  </si>
  <si>
    <t>绳Q</t>
  </si>
  <si>
    <t>移动切武</t>
  </si>
  <si>
    <t>药叉卸</t>
  </si>
  <si>
    <t>普攻56卸</t>
  </si>
  <si>
    <t>cd等待</t>
  </si>
  <si>
    <t>骑龙</t>
  </si>
  <si>
    <t>拉矢</t>
  </si>
  <si>
    <t>气</t>
  </si>
  <si>
    <t>机制</t>
  </si>
  <si>
    <t>衍九矢9hit一段</t>
  </si>
  <si>
    <t>叶龙骧首(32层+70%HP)</t>
  </si>
  <si>
    <t>拉矢1段</t>
  </si>
  <si>
    <t>易水歌6重</t>
  </si>
  <si>
    <t>叶龙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</si>
  <si>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</si>
  <si>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</si>
  <si>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</si>
  <si>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</si>
  <si>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</si>
  <si>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</si>
  <si>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</si>
  <si>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</si>
  <si>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</si>
  <si>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</si>
  <si>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</si>
  <si>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</si>
  <si>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</si>
  <si>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会意转化</t>
  </si>
  <si>
    <t>拳甲R1</t>
  </si>
  <si>
    <t>拳甲轻击34</t>
  </si>
  <si>
    <t>完美闪避派生</t>
  </si>
  <si>
    <t>拳甲R蓄2直伤</t>
  </si>
  <si>
    <t>蓄力技</t>
  </si>
  <si>
    <t>萧呤千浪AOE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</si>
  <si>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</si>
  <si>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</si>
  <si>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</si>
  <si>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</si>
  <si>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</si>
  <si>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</si>
  <si>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</si>
  <si>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</si>
  <si>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</si>
  <si>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</si>
  <si>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</si>
  <si>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</si>
  <si>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</si>
  <si>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</si>
  <si>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惊神(拐)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</si>
  <si>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</si>
  <si>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</si>
  <si>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</si>
  <si>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</si>
  <si>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</si>
  <si>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</si>
  <si>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</si>
  <si>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</si>
  <si>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</si>
  <si>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当前版本包含了结算伤害受到环境增伤2次加成的bug以匹配实际战斗</t>
  </si>
  <si>
    <t>修正了公式bug</t>
  </si>
  <si>
    <t>修正了强制精准公式</t>
  </si>
  <si>
    <t>修正了三围溢出造成的错误</t>
  </si>
  <si>
    <t>修复了一些小bug</t>
  </si>
  <si>
    <t>更新6月12日先琢版本,上调5.5%,气竭与环境增伤区改动+2%(所有武学)</t>
  </si>
  <si>
    <t>热烈庆祝会意滚蛋特调整为小外表,满值领先4.7%</t>
  </si>
  <si>
    <t>不确定环境增伤区改动之后结算bug是否会同时生效</t>
  </si>
  <si>
    <t>增加了一个隐藏表来计算实际rdps,以减少需要去掉团队增益的操作步骤</t>
  </si>
  <si>
    <t>修正bug</t>
  </si>
  <si>
    <t>修正文字错误</t>
  </si>
  <si>
    <t>将所恨年年从尘增益区划入公共增益区以观测实际RD</t>
  </si>
  <si>
    <t>增加了走机制时间和大约损失的伤害</t>
  </si>
  <si>
    <t>修正尘加成</t>
  </si>
  <si>
    <t>更新蕤宾叠奏上半数值,轴变更为拏云蛇慢气轴,心法默认变更为断石之构</t>
  </si>
  <si>
    <t>三穷约-7%,大小外满值差距4.15%</t>
  </si>
  <si>
    <t>将普通火统一修正成了暗灼火,实战自行分配.</t>
  </si>
  <si>
    <t>增加了鸣金影提供的rd,约0.8%</t>
  </si>
  <si>
    <t>修正了惧刃覆盖</t>
  </si>
  <si>
    <t>修正了轴</t>
  </si>
  <si>
    <t>修正了轴,降低了难度</t>
  </si>
  <si>
    <t>更新8/2先琢测试内容,鹰追击伤害*1.1,真气比例从59%增加到了93%</t>
  </si>
  <si>
    <t>修正了拳Q2的加成</t>
  </si>
  <si>
    <t>更新蕤宾叠奏下半数值,+2%</t>
  </si>
  <si>
    <t>Q2真气伤害异常已修复,真气比例从93%降低到90%</t>
  </si>
  <si>
    <t>大小外满值差距3%,承音差距2%</t>
  </si>
  <si>
    <t>更新虎孟极快气轴</t>
  </si>
  <si>
    <t>去除了机制时间的所有对小怪输出,并在计算dps时移除了机制时间</t>
  </si>
  <si>
    <t>仅考虑对boss本体的提升,小怪时间被轰拳秒杀所带来的时间减少未计算</t>
  </si>
  <si>
    <t>一气遭遇锁血就把叶龙放在二气收尾打</t>
  </si>
  <si>
    <t>P3拳溢出150万,如果队友太爆,二气叶龙不打刷新的3豆拳</t>
  </si>
  <si>
    <t>带三穷-5%</t>
  </si>
  <si>
    <t>极限战斗时约2分30</t>
  </si>
  <si>
    <t>陈子奚全程桩会让dps降低约5%,且三穷和断石差距会变成7%</t>
  </si>
  <si>
    <t>进行了暴力缩轴</t>
  </si>
  <si>
    <t>添加了翊的rd,默认关闭</t>
  </si>
  <si>
    <t>添加了rd计算</t>
  </si>
  <si>
    <t>修正了diy数值</t>
  </si>
  <si>
    <t>扩充了增益区</t>
  </si>
  <si>
    <t>增加了樽的rd</t>
  </si>
  <si>
    <t>按照上线内容修改了樽的rd</t>
  </si>
  <si>
    <t>更新杭州西版本蹊跷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</si>
</sst>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Fon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0" xfId="0" applyFill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7" xfId="0" applyNumberFormat="1" applyBorder="1" applyAlignment="1">
      <alignment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Fill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42"/>
  <sheetViews>
    <sheetView workbookViewId="0">
      <selection activeCell="I18" sqref="I18:J19"/>
    </sheetView>
  </sheetViews>
  <sheetFormatPr defaultColWidth="9" defaultRowHeight="13.5"/>
  <cols>
    <col min="1" max="1" width="12.875" customWidth="1"/>
    <col min="11" max="11" width="12.625"/>
    <col min="12" max="16" width="12.625" style="25" customWidth="1"/>
    <col min="17" max="17" width="9.375"/>
    <col min="18" max="18" width="24.625" style="41" customWidth="1"/>
    <col min="19" max="38" width="9" style="41"/>
    <col min="40" max="40" width="9.375" style="24"/>
    <col min="41" max="41" width="9" style="25"/>
    <col min="42" max="42" width="9.375" style="24"/>
    <col min="43" max="43" width="9" style="25"/>
    <col min="44" max="45" width="9" style="24"/>
    <col min="46" max="47" width="9.375"/>
    <col min="48" max="50" width="9" style="30"/>
    <col min="53" max="54" width="9" style="30"/>
    <col min="64" max="64" width="9.375"/>
    <col min="67" max="71" width="9" style="24"/>
    <col min="72" max="73" width="9.00833333333333" style="24" customWidth="1"/>
    <col min="74" max="75" width="9" style="24"/>
    <col min="76" max="76" width="9.00833333333333" customWidth="1"/>
  </cols>
  <sheetData>
    <row r="1" spans="1:76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70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s="38" t="s">
        <v>29</v>
      </c>
      <c r="AH1" s="38" t="s">
        <v>30</v>
      </c>
      <c r="AI1" s="38" t="s">
        <v>31</v>
      </c>
      <c r="AJ1" s="38" t="s">
        <v>32</v>
      </c>
      <c r="AK1" s="38" t="s">
        <v>33</v>
      </c>
      <c r="AL1" s="38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s="30" t="s">
        <v>46</v>
      </c>
      <c r="AY1" t="s">
        <v>47</v>
      </c>
      <c r="AZ1" t="s">
        <v>48</v>
      </c>
      <c r="BA1" s="30" t="s">
        <v>49</v>
      </c>
      <c r="BB1" s="30" t="s">
        <v>50</v>
      </c>
      <c r="BC1" t="s">
        <v>51</v>
      </c>
      <c r="BD1" t="s">
        <v>52</v>
      </c>
      <c r="BE1" s="30" t="s">
        <v>53</v>
      </c>
      <c r="BF1" s="30" t="s">
        <v>54</v>
      </c>
      <c r="BG1" t="s">
        <v>55</v>
      </c>
      <c r="BH1" t="s">
        <v>56</v>
      </c>
      <c r="BI1" s="30" t="s">
        <v>57</v>
      </c>
      <c r="BJ1" s="30" t="s">
        <v>58</v>
      </c>
      <c r="BK1" t="s">
        <v>59</v>
      </c>
      <c r="BL1" t="s">
        <v>60</v>
      </c>
      <c r="BM1" s="30" t="s">
        <v>61</v>
      </c>
      <c r="BN1" s="30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39" t="s">
        <v>72</v>
      </c>
    </row>
    <row r="2" spans="1:76">
      <c r="A2" s="40" t="s">
        <v>73</v>
      </c>
      <c r="B2" s="41">
        <v>4006.7</v>
      </c>
      <c r="C2" s="41">
        <v>3083.9</v>
      </c>
      <c r="D2" s="41">
        <f>58.4+IF($E$24="征人归",5.1,0)</f>
        <v>58.4</v>
      </c>
      <c r="E2" s="42">
        <f>IF($E$22="三穷致知",2.5%,0)</f>
        <v>0</v>
      </c>
      <c r="F2" s="43" t="s">
        <v>74</v>
      </c>
      <c r="G2" s="44" t="s">
        <v>75</v>
      </c>
      <c r="H2" s="45" t="s">
        <v>76</v>
      </c>
      <c r="I2" s="11">
        <f>620*(1-IF(F17="√",0.06,0)-IF(D20="√",0.04,0))</f>
        <v>558</v>
      </c>
      <c r="K2">
        <f>$L2*VLOOKUP($R2,武学奇术!$A:$ZZ,31,FALSE)</f>
        <v>24679.6908377521</v>
      </c>
      <c r="L2" s="36">
        <f>($M2*$BT2+$N2*$BR2+$O2*$BU2+$P2*$BV2)</f>
        <v>24679.6908377521</v>
      </c>
      <c r="M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$21,0))*(1+$BW2)</f>
        <v>24744.7472752312</v>
      </c>
      <c r="N2" s="36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</f>
        <v>24375.2633376793</v>
      </c>
      <c r="O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$21,0))*(1+$BW2)</f>
        <v>15964.3530807943</v>
      </c>
      <c r="P2" s="36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</f>
        <v>13872.9555410855</v>
      </c>
      <c r="Q2" s="70">
        <v>1</v>
      </c>
      <c r="R2" s="38" t="s">
        <v>77</v>
      </c>
      <c r="S2" s="38" t="s">
        <v>78</v>
      </c>
      <c r="T2" s="38" t="s">
        <v>79</v>
      </c>
      <c r="U2" s="38" t="s">
        <v>79</v>
      </c>
      <c r="V2" s="38" t="s">
        <v>80</v>
      </c>
      <c r="W2" s="38" t="s">
        <v>79</v>
      </c>
      <c r="X2" s="38" t="s">
        <v>79</v>
      </c>
      <c r="Y2" s="38" t="s">
        <v>81</v>
      </c>
      <c r="Z2" s="38" t="s">
        <v>79</v>
      </c>
      <c r="AA2" s="38" t="s">
        <v>79</v>
      </c>
      <c r="AB2" s="38" t="s">
        <v>79</v>
      </c>
      <c r="AC2" s="38" t="s">
        <v>79</v>
      </c>
      <c r="AD2" s="38" t="s">
        <v>82</v>
      </c>
      <c r="AE2" s="38" t="s">
        <v>83</v>
      </c>
      <c r="AF2" s="38" t="s">
        <v>84</v>
      </c>
      <c r="AG2" s="38" t="s">
        <v>85</v>
      </c>
      <c r="AH2" s="38" t="s">
        <v>79</v>
      </c>
      <c r="AI2" s="38" t="s">
        <v>79</v>
      </c>
      <c r="AJ2" s="38" t="s">
        <v>79</v>
      </c>
      <c r="AK2" s="38" t="s">
        <v>79</v>
      </c>
      <c r="AL2" s="38" t="s">
        <v>79</v>
      </c>
      <c r="AM2" t="str">
        <f>VLOOKUP($R2,武学奇术!$A:$ZZ,25,FALSE)</f>
        <v>群体奇术</v>
      </c>
      <c r="AN2" s="24">
        <f>VLOOKUP($R2,武学奇术!$A:$ZZ,26,FALSE)</f>
        <v>1.4904</v>
      </c>
      <c r="AO2" s="25">
        <f>VLOOKUP($R2,武学奇术!$A:$ZZ,27,FALSE)*(1+IF(OR($AM2=$F$4,$AM2=$F$5),$B$22,0))</f>
        <v>378</v>
      </c>
      <c r="AP2" s="24">
        <f>VLOOKUP($R2,武学奇术!$A:$ZZ,28,FALSE)</f>
        <v>2.2356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0.2137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3901.102</v>
      </c>
      <c r="AU2" cm="1">
        <f t="array" ref="AU2">$E$10*(1+$AS2)+VLOOKUP($R2,武学奇术!$A:$ZZ,4,FALSE)+SUM(_xlfn.XLOOKUP($S2:$AL2,增益!$A:$A,增益!$D:$D,0))-$I$2</f>
        <v>3901.102</v>
      </c>
      <c r="AV2" s="30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0.277</v>
      </c>
      <c r="AW2" s="30" cm="1">
        <f t="array" ref="AW2">$G$10+VLOOKUP($R2,武学奇术!$A:$ZZ,7,FALSE)+SUM(_xlfn.XLOOKUP($S2:$AL2,增益!$A:$A,增益!$G:$G,0))</f>
        <v>0.09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0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0" cm="1">
        <f t="array" ref="BB2">$G$11+VLOOKUP($R2,武学奇术!$A:$ZZ,10,FALSE)+SUM(_xlfn.XLOOKUP($S2:$AL2,增益!$A:$A,增益!$J:$J,0))</f>
        <v>0</v>
      </c>
      <c r="BC2">
        <f>$D$12*(1+$AX2)</f>
        <v>0</v>
      </c>
      <c r="BD2">
        <f>$E$12*(1+$AX2)</f>
        <v>0</v>
      </c>
      <c r="BE2" s="30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0" cm="1">
        <f t="array" ref="BF2">$G$12+VLOOKUP($R2,武学奇术!$A:$ZZ,12,FALSE)+SUM(_xlfn.XLOOKUP($S2:$AL2,增益!$A:$A,增益!$L:$L,0))</f>
        <v>0</v>
      </c>
      <c r="BG2">
        <f>$D$13*(1+$AX2)</f>
        <v>0</v>
      </c>
      <c r="BH2">
        <f>$E$13*(1+$AX2)</f>
        <v>0</v>
      </c>
      <c r="BI2" s="30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0" cm="1">
        <f t="array" ref="BJ2">$G$13+VLOOKUP($R2,武学奇术!$A:$ZZ,14,FALSE)+SUM(_xlfn.XLOOKUP($S2:$AL2,增益!$A:$A,增益!$N:$N,0))</f>
        <v>0</v>
      </c>
      <c r="BK2">
        <f>$D$14*(1+$AX2)</f>
        <v>605.472</v>
      </c>
      <c r="BL2">
        <f>$E$14*(1+$AX2)</f>
        <v>1725.468</v>
      </c>
      <c r="BM2" s="30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0" cm="1">
        <f t="array" ref="BN2">$G$14+VLOOKUP($R2,武学奇术!$A:$ZZ,16,FALSE)+SUM(_xlfn.XLOOKUP($S2:$AL2,增益!$A:$A,增益!$P:$P,0))</f>
        <v>0.24</v>
      </c>
      <c r="BO2" s="24">
        <f>MIN(IF(VLOOKUP($R2,武学奇术!$A:$ZZ,23,FALSE)=1,100%,$B$8),100%)</f>
        <v>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0.9036</v>
      </c>
      <c r="BQ2" s="24" cm="1">
        <f t="array" ref="BQ2">1+$B$13+VLOOKUP($R2,武学奇术!$A:$ZZ,18,FALSE)+SUM(_xlfn.XLOOKUP($S2:$AL2,增益!$A:$A,增益!$R:$R,0))</f>
        <v>1.55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0.9036</v>
      </c>
      <c r="BU2" s="24">
        <f>1-BR2-BT2-BV2</f>
        <v>0.00350000000000006</v>
      </c>
      <c r="BV2" s="24">
        <f>IF(VLOOKUP($R2,武学奇术!$A:$ZZ,22,FALSE)=1,0,(1-$BO2))*(1-$BR2)</f>
        <v>0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6" t="s">
        <v>86</v>
      </c>
      <c r="B3" s="47"/>
      <c r="C3" s="47"/>
      <c r="D3" s="47"/>
      <c r="E3" s="48"/>
      <c r="F3" s="45" t="s">
        <v>40</v>
      </c>
      <c r="G3" s="49">
        <f>B16+1.5%+IF($D$16="√",8%,0)+IF($E$24="征人归",8%,0)</f>
        <v>0.1837</v>
      </c>
      <c r="H3" s="45" t="s">
        <v>87</v>
      </c>
      <c r="I3" s="11">
        <f>25-IF(D17="√",10,0)-IF(F17="√",10,0)</f>
        <v>5</v>
      </c>
      <c r="K3">
        <f>$L3*VLOOKUP($R3,武学奇术!$A:$ZZ,31,FALSE)</f>
        <v>25730.8289358326</v>
      </c>
      <c r="L3" s="36">
        <f t="shared" ref="L3:L34" si="0">($M3*$BT3+$N3*$BR3+$O3*$BU3+$P3*$BV3)</f>
        <v>25730.8289358326</v>
      </c>
      <c r="M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$21,0))*(1+$BW3)</f>
        <v>25800.2870982134</v>
      </c>
      <c r="N3" s="36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</f>
        <v>25401.5527919456</v>
      </c>
      <c r="O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$21,0))*(1+$BW3)</f>
        <v>16538.6455757778</v>
      </c>
      <c r="P3" s="36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</f>
        <v>14261.3261204849</v>
      </c>
      <c r="Q3" s="70">
        <v>1</v>
      </c>
      <c r="R3" s="38" t="s">
        <v>77</v>
      </c>
      <c r="S3" s="38" t="s">
        <v>88</v>
      </c>
      <c r="T3" s="38" t="s">
        <v>79</v>
      </c>
      <c r="U3" s="38" t="s">
        <v>79</v>
      </c>
      <c r="V3" s="38" t="s">
        <v>80</v>
      </c>
      <c r="W3" s="38" t="s">
        <v>79</v>
      </c>
      <c r="X3" s="38" t="s">
        <v>79</v>
      </c>
      <c r="Y3" s="38" t="s">
        <v>89</v>
      </c>
      <c r="Z3" s="38" t="s">
        <v>90</v>
      </c>
      <c r="AA3" s="38" t="s">
        <v>79</v>
      </c>
      <c r="AB3" s="38" t="s">
        <v>91</v>
      </c>
      <c r="AC3" s="38" t="s">
        <v>79</v>
      </c>
      <c r="AD3" s="38" t="s">
        <v>82</v>
      </c>
      <c r="AE3" s="38" t="s">
        <v>83</v>
      </c>
      <c r="AF3" s="38" t="s">
        <v>84</v>
      </c>
      <c r="AG3" s="38" t="s">
        <v>85</v>
      </c>
      <c r="AH3" s="38" t="s">
        <v>79</v>
      </c>
      <c r="AI3" s="38" t="s">
        <v>79</v>
      </c>
      <c r="AJ3" s="38" t="s">
        <v>79</v>
      </c>
      <c r="AK3" s="38" t="s">
        <v>79</v>
      </c>
      <c r="AL3" s="38" t="s">
        <v>79</v>
      </c>
      <c r="AM3" t="str">
        <f>VLOOKUP($R3,武学奇术!$A:$ZZ,25,FALSE)</f>
        <v>群体奇术</v>
      </c>
      <c r="AN3" s="24">
        <f>VLOOKUP($R3,武学奇术!$A:$ZZ,26,FALSE)</f>
        <v>1.4904</v>
      </c>
      <c r="AO3" s="25">
        <f>VLOOKUP($R3,武学奇术!$A:$ZZ,27,FALSE)*(1+IF(OR($AM3=$F$4,$AM3=$F$5),$B$22,0))</f>
        <v>378</v>
      </c>
      <c r="AP3" s="24">
        <f>VLOOKUP($R3,武学奇术!$A:$ZZ,28,FALSE)</f>
        <v>2.2356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0.2237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3901.102</v>
      </c>
      <c r="AU3" cm="1">
        <f t="array" ref="AU3">$E$10*(1+$AS3)+VLOOKUP($R3,武学奇术!$A:$ZZ,4,FALSE)+SUM(_xlfn.XLOOKUP($S3:$AL3,增益!$A:$A,增益!$D:$D,0))-$I$2</f>
        <v>3901.102</v>
      </c>
      <c r="AV3" s="30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0.287</v>
      </c>
      <c r="AW3" s="30" cm="1">
        <f t="array" ref="AW3">$G$10+VLOOKUP($R3,武学奇术!$A:$ZZ,7,FALSE)+SUM(_xlfn.XLOOKUP($S3:$AL3,增益!$A:$A,增益!$G:$G,0))</f>
        <v>0.09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0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0" cm="1">
        <f t="array" ref="BB3">$G$11+VLOOKUP($R3,武学奇术!$A:$ZZ,10,FALSE)+SUM(_xlfn.XLOOKUP($S3:$AL3,增益!$A:$A,增益!$J:$J,0))</f>
        <v>0</v>
      </c>
      <c r="BC3">
        <f t="shared" ref="BC3:BC34" si="3">$D$12*(1+$AX3)</f>
        <v>0</v>
      </c>
      <c r="BD3">
        <f t="shared" ref="BD3:BD34" si="4">$E$12*(1+$AX3)</f>
        <v>0</v>
      </c>
      <c r="BE3" s="30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0" cm="1">
        <f t="array" ref="BF3">$G$12+VLOOKUP($R3,武学奇术!$A:$ZZ,12,FALSE)+SUM(_xlfn.XLOOKUP($S3:$AL3,增益!$A:$A,增益!$L:$L,0))</f>
        <v>0</v>
      </c>
      <c r="BG3">
        <f t="shared" ref="BG3:BG34" si="5">$D$13*(1+$AX3)</f>
        <v>0</v>
      </c>
      <c r="BH3">
        <f t="shared" ref="BH3:BH34" si="6">$E$13*(1+$AX3)</f>
        <v>0</v>
      </c>
      <c r="BI3" s="30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-0.14</v>
      </c>
      <c r="BJ3" s="30" cm="1">
        <f t="array" ref="BJ3">$G$13+VLOOKUP($R3,武学奇术!$A:$ZZ,14,FALSE)+SUM(_xlfn.XLOOKUP($S3:$AL3,增益!$A:$A,增益!$N:$N,0))</f>
        <v>0</v>
      </c>
      <c r="BK3">
        <f t="shared" ref="BK3:BK34" si="7">$D$14*(1+$AX3)</f>
        <v>605.472</v>
      </c>
      <c r="BL3">
        <f t="shared" ref="BL3:BL34" si="8">$E$14*(1+$AX3)</f>
        <v>1725.468</v>
      </c>
      <c r="BM3" s="30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0.08</v>
      </c>
      <c r="BN3" s="30" cm="1">
        <f t="array" ref="BN3">$G$14+VLOOKUP($R3,武学奇术!$A:$ZZ,16,FALSE)+SUM(_xlfn.XLOOKUP($S3:$AL3,增益!$A:$A,增益!$P:$P,0))</f>
        <v>0.24</v>
      </c>
      <c r="BO3" s="24">
        <f>MIN(IF(VLOOKUP($R3,武学奇术!$A:$ZZ,23,FALSE)=1,100%,$B$8),100%)</f>
        <v>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0.9036</v>
      </c>
      <c r="BQ3" s="24" cm="1">
        <f t="array" ref="BQ3">1+$B$13+VLOOKUP($R3,武学奇术!$A:$ZZ,18,FALSE)+SUM(_xlfn.XLOOKUP($S3:$AL3,增益!$A:$A,增益!$R:$R,0))</f>
        <v>1.56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0.9036</v>
      </c>
      <c r="BU3" s="24">
        <f t="shared" ref="BU3:BU34" si="10">1-BR3-BT3-BV3</f>
        <v>0.00350000000000006</v>
      </c>
      <c r="BV3" s="24">
        <f>IF(VLOOKUP($R3,武学奇术!$A:$ZZ,22,FALSE)=1,0,(1-$BO3))*(1-$BR3)</f>
        <v>0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50" t="s">
        <v>92</v>
      </c>
      <c r="B4" s="51"/>
      <c r="C4" s="51"/>
      <c r="D4" s="51"/>
      <c r="E4" s="52"/>
      <c r="F4" s="45" t="s">
        <v>93</v>
      </c>
      <c r="G4" s="49">
        <f>B15+B17</f>
        <v>0.1704</v>
      </c>
      <c r="H4" s="53" t="s">
        <v>94</v>
      </c>
      <c r="I4" s="15">
        <f>30</f>
        <v>30</v>
      </c>
      <c r="K4">
        <f>$L4*VLOOKUP($R4,武学奇术!$A:$ZZ,31,FALSE)</f>
        <v>26234.8028357389</v>
      </c>
      <c r="L4" s="36">
        <f t="shared" si="0"/>
        <v>26234.8028357389</v>
      </c>
      <c r="M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$21,0))*(1+$BW4)</f>
        <v>26322.975587835</v>
      </c>
      <c r="N4" s="36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</f>
        <v>25733.9106766358</v>
      </c>
      <c r="O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$21,0))*(1+$BW4)</f>
        <v>16766.2264890669</v>
      </c>
      <c r="P4" s="36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</f>
        <v>14470.2969213665</v>
      </c>
      <c r="Q4" s="70">
        <v>1</v>
      </c>
      <c r="R4" s="38" t="s">
        <v>77</v>
      </c>
      <c r="S4" s="38" t="s">
        <v>95</v>
      </c>
      <c r="T4" s="38" t="s">
        <v>79</v>
      </c>
      <c r="U4" s="38" t="s">
        <v>79</v>
      </c>
      <c r="V4" s="38" t="s">
        <v>80</v>
      </c>
      <c r="W4" s="38" t="s">
        <v>79</v>
      </c>
      <c r="X4" s="38" t="s">
        <v>79</v>
      </c>
      <c r="Y4" s="38" t="s">
        <v>96</v>
      </c>
      <c r="Z4" s="38" t="s">
        <v>90</v>
      </c>
      <c r="AA4" s="38" t="s">
        <v>79</v>
      </c>
      <c r="AB4" s="38" t="s">
        <v>97</v>
      </c>
      <c r="AC4" s="38" t="s">
        <v>79</v>
      </c>
      <c r="AD4" s="38" t="s">
        <v>82</v>
      </c>
      <c r="AE4" s="38" t="s">
        <v>83</v>
      </c>
      <c r="AF4" s="38" t="s">
        <v>84</v>
      </c>
      <c r="AG4" s="38" t="s">
        <v>85</v>
      </c>
      <c r="AH4" s="38" t="s">
        <v>79</v>
      </c>
      <c r="AI4" s="38" t="s">
        <v>79</v>
      </c>
      <c r="AJ4" s="38" t="s">
        <v>79</v>
      </c>
      <c r="AK4" s="38" t="s">
        <v>79</v>
      </c>
      <c r="AL4" s="38" t="s">
        <v>79</v>
      </c>
      <c r="AM4" t="str">
        <f>VLOOKUP($R4,武学奇术!$A:$ZZ,25,FALSE)</f>
        <v>群体奇术</v>
      </c>
      <c r="AN4" s="24">
        <f>VLOOKUP($R4,武学奇术!$A:$ZZ,26,FALSE)</f>
        <v>1.4904</v>
      </c>
      <c r="AO4" s="25">
        <f>VLOOKUP($R4,武学奇术!$A:$ZZ,27,FALSE)*(1+IF(OR($AM4=$F$4,$AM4=$F$5),$B$22,0))</f>
        <v>378</v>
      </c>
      <c r="AP4" s="24">
        <f>VLOOKUP($R4,武学奇术!$A:$ZZ,28,FALSE)</f>
        <v>2.2356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0.2337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3901.102</v>
      </c>
      <c r="AU4" cm="1">
        <f t="array" ref="AU4">$E$10*(1+$AS4)+VLOOKUP($R4,武学奇术!$A:$ZZ,4,FALSE)+SUM(_xlfn.XLOOKUP($S4:$AL4,增益!$A:$A,增益!$D:$D,0))-$I$2</f>
        <v>3901.102</v>
      </c>
      <c r="AV4" s="30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0.297</v>
      </c>
      <c r="AW4" s="30" cm="1">
        <f t="array" ref="AW4">$G$10+VLOOKUP($R4,武学奇术!$A:$ZZ,7,FALSE)+SUM(_xlfn.XLOOKUP($S4:$AL4,增益!$A:$A,增益!$G:$G,0))</f>
        <v>0.09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0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0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0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0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0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-0.14</v>
      </c>
      <c r="BJ4" s="30" cm="1">
        <f t="array" ref="BJ4">$G$13+VLOOKUP($R4,武学奇术!$A:$ZZ,14,FALSE)+SUM(_xlfn.XLOOKUP($S4:$AL4,增益!$A:$A,增益!$N:$N,0))</f>
        <v>0</v>
      </c>
      <c r="BK4">
        <f t="shared" si="7"/>
        <v>605.472</v>
      </c>
      <c r="BL4">
        <f t="shared" si="8"/>
        <v>1725.468</v>
      </c>
      <c r="BM4" s="30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0.08</v>
      </c>
      <c r="BN4" s="30" cm="1">
        <f t="array" ref="BN4">$G$14+VLOOKUP($R4,武学奇术!$A:$ZZ,16,FALSE)+SUM(_xlfn.XLOOKUP($S4:$AL4,增益!$A:$A,增益!$P:$P,0))</f>
        <v>0.24</v>
      </c>
      <c r="BO4" s="24">
        <f>MIN(IF(VLOOKUP($R4,武学奇术!$A:$ZZ,23,FALSE)=1,100%,$B$8),100%)</f>
        <v>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0.9036</v>
      </c>
      <c r="BQ4" s="24" cm="1">
        <f t="array" ref="BQ4">1+$B$13+VLOOKUP($R4,武学奇术!$A:$ZZ,18,FALSE)+SUM(_xlfn.XLOOKUP($S4:$AL4,增益!$A:$A,增益!$R:$R,0))</f>
        <v>1.57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0.9036</v>
      </c>
      <c r="BU4" s="24">
        <f t="shared" si="10"/>
        <v>0.00350000000000006</v>
      </c>
      <c r="BV4" s="24">
        <f>IF(VLOOKUP($R4,武学奇术!$A:$ZZ,22,FALSE)=1,0,(1-$BO4))*(1-$BR4)</f>
        <v>0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4" t="s">
        <v>98</v>
      </c>
      <c r="B5" s="55"/>
      <c r="C5" s="55"/>
      <c r="D5" s="55"/>
      <c r="E5" s="56"/>
      <c r="F5" s="45" t="s">
        <v>99</v>
      </c>
      <c r="G5" s="49">
        <f>B15+B18</f>
        <v>0.0852</v>
      </c>
      <c r="H5" t="s">
        <v>100</v>
      </c>
      <c r="I5" s="26">
        <v>0.06</v>
      </c>
      <c r="K5">
        <f>$L5*VLOOKUP($R5,武学奇术!$A:$ZZ,31,FALSE)</f>
        <v>26745.2219749434</v>
      </c>
      <c r="L5" s="36">
        <f t="shared" si="0"/>
        <v>26745.2219749434</v>
      </c>
      <c r="M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$21,0))*(1+$BW5)</f>
        <v>26852.5831505664</v>
      </c>
      <c r="N5" s="36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</f>
        <v>26068.2913866674</v>
      </c>
      <c r="O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$21,0))*(1+$BW5)</f>
        <v>16995.3057914977</v>
      </c>
      <c r="P5" s="36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</f>
        <v>14680.76611139</v>
      </c>
      <c r="Q5" s="70">
        <v>1</v>
      </c>
      <c r="R5" s="38" t="s">
        <v>77</v>
      </c>
      <c r="S5" s="38" t="s">
        <v>101</v>
      </c>
      <c r="T5" s="38" t="s">
        <v>79</v>
      </c>
      <c r="U5" s="38" t="s">
        <v>79</v>
      </c>
      <c r="V5" s="38" t="s">
        <v>80</v>
      </c>
      <c r="W5" s="38" t="s">
        <v>79</v>
      </c>
      <c r="X5" s="38" t="s">
        <v>79</v>
      </c>
      <c r="Y5" s="38" t="s">
        <v>102</v>
      </c>
      <c r="Z5" s="38" t="s">
        <v>90</v>
      </c>
      <c r="AA5" s="38" t="s">
        <v>79</v>
      </c>
      <c r="AB5" s="38" t="s">
        <v>97</v>
      </c>
      <c r="AC5" s="38" t="s">
        <v>79</v>
      </c>
      <c r="AD5" s="38" t="s">
        <v>82</v>
      </c>
      <c r="AE5" s="38" t="s">
        <v>83</v>
      </c>
      <c r="AF5" s="38" t="s">
        <v>84</v>
      </c>
      <c r="AG5" s="38" t="s">
        <v>85</v>
      </c>
      <c r="AH5" s="38" t="s">
        <v>79</v>
      </c>
      <c r="AI5" s="38" t="s">
        <v>79</v>
      </c>
      <c r="AJ5" s="38" t="s">
        <v>79</v>
      </c>
      <c r="AK5" s="38" t="s">
        <v>79</v>
      </c>
      <c r="AL5" s="38" t="s">
        <v>79</v>
      </c>
      <c r="AM5" t="str">
        <f>VLOOKUP($R5,武学奇术!$A:$ZZ,25,FALSE)</f>
        <v>群体奇术</v>
      </c>
      <c r="AN5" s="24">
        <f>VLOOKUP($R5,武学奇术!$A:$ZZ,26,FALSE)</f>
        <v>1.4904</v>
      </c>
      <c r="AO5" s="25">
        <f>VLOOKUP($R5,武学奇术!$A:$ZZ,27,FALSE)*(1+IF(OR($AM5=$F$4,$AM5=$F$5),$B$22,0))</f>
        <v>378</v>
      </c>
      <c r="AP5" s="24">
        <f>VLOOKUP($R5,武学奇术!$A:$ZZ,28,FALSE)</f>
        <v>2.2356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0.2437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3901.102</v>
      </c>
      <c r="AU5" cm="1">
        <f t="array" ref="AU5">$E$10*(1+$AS5)+VLOOKUP($R5,武学奇术!$A:$ZZ,4,FALSE)+SUM(_xlfn.XLOOKUP($S5:$AL5,增益!$A:$A,增益!$D:$D,0))-$I$2</f>
        <v>3901.102</v>
      </c>
      <c r="AV5" s="30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0.307</v>
      </c>
      <c r="AW5" s="30" cm="1">
        <f t="array" ref="AW5">$G$10+VLOOKUP($R5,武学奇术!$A:$ZZ,7,FALSE)+SUM(_xlfn.XLOOKUP($S5:$AL5,增益!$A:$A,增益!$G:$G,0))</f>
        <v>0.09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0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0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0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0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0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-0.14</v>
      </c>
      <c r="BJ5" s="30" cm="1">
        <f t="array" ref="BJ5">$G$13+VLOOKUP($R5,武学奇术!$A:$ZZ,14,FALSE)+SUM(_xlfn.XLOOKUP($S5:$AL5,增益!$A:$A,增益!$N:$N,0))</f>
        <v>0</v>
      </c>
      <c r="BK5">
        <f t="shared" si="7"/>
        <v>605.472</v>
      </c>
      <c r="BL5">
        <f t="shared" si="8"/>
        <v>1725.468</v>
      </c>
      <c r="BM5" s="30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0.08</v>
      </c>
      <c r="BN5" s="30" cm="1">
        <f t="array" ref="BN5">$G$14+VLOOKUP($R5,武学奇术!$A:$ZZ,16,FALSE)+SUM(_xlfn.XLOOKUP($S5:$AL5,增益!$A:$A,增益!$P:$P,0))</f>
        <v>0.24</v>
      </c>
      <c r="BO5" s="24">
        <f>MIN(IF(VLOOKUP($R5,武学奇术!$A:$ZZ,23,FALSE)=1,100%,$B$8),100%)</f>
        <v>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0.9036</v>
      </c>
      <c r="BQ5" s="24" cm="1">
        <f t="array" ref="BQ5">1+$B$13+VLOOKUP($R5,武学奇术!$A:$ZZ,18,FALSE)+SUM(_xlfn.XLOOKUP($S5:$AL5,增益!$A:$A,增益!$R:$R,0))</f>
        <v>1.58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0.9036</v>
      </c>
      <c r="BU5" s="24">
        <f t="shared" si="10"/>
        <v>0.00350000000000006</v>
      </c>
      <c r="BV5" s="24">
        <f>IF(VLOOKUP($R5,武学奇术!$A:$ZZ,22,FALSE)=1,0,(1-$BO5))*(1-$BR5)</f>
        <v>0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7" t="s">
        <v>5</v>
      </c>
      <c r="B6" s="58">
        <v>492</v>
      </c>
      <c r="C6" s="58">
        <v>1397.8</v>
      </c>
      <c r="D6" s="58">
        <v>30</v>
      </c>
      <c r="E6" s="59">
        <v>0.15</v>
      </c>
      <c r="F6" s="45" t="s">
        <v>103</v>
      </c>
      <c r="G6" s="49">
        <f>B19</f>
        <v>0</v>
      </c>
      <c r="K6">
        <f>$L6*VLOOKUP($R6,武学奇术!$A:$ZZ,31,FALSE)</f>
        <v>27106.473888626</v>
      </c>
      <c r="L6" s="36">
        <f t="shared" si="0"/>
        <v>27106.473888626</v>
      </c>
      <c r="M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$21,0))*(1+$BW6)</f>
        <v>27216.8959032511</v>
      </c>
      <c r="N6" s="36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</f>
        <v>26404.6949220404</v>
      </c>
      <c r="O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$21,0))*(1+$BW6)</f>
        <v>17225.8834830703</v>
      </c>
      <c r="P6" s="36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</f>
        <v>14892.7336905552</v>
      </c>
      <c r="Q6" s="70">
        <v>1</v>
      </c>
      <c r="R6" s="38" t="s">
        <v>77</v>
      </c>
      <c r="S6" s="38" t="s">
        <v>104</v>
      </c>
      <c r="T6" s="38" t="s">
        <v>79</v>
      </c>
      <c r="U6" s="38" t="s">
        <v>79</v>
      </c>
      <c r="V6" s="38" t="s">
        <v>80</v>
      </c>
      <c r="W6" s="38" t="s">
        <v>79</v>
      </c>
      <c r="X6" s="38" t="s">
        <v>79</v>
      </c>
      <c r="Y6" s="38" t="s">
        <v>102</v>
      </c>
      <c r="Z6" s="38" t="s">
        <v>90</v>
      </c>
      <c r="AA6" s="38" t="s">
        <v>79</v>
      </c>
      <c r="AB6" s="38" t="s">
        <v>91</v>
      </c>
      <c r="AC6" s="38" t="s">
        <v>79</v>
      </c>
      <c r="AD6" s="38" t="s">
        <v>82</v>
      </c>
      <c r="AE6" s="38" t="s">
        <v>83</v>
      </c>
      <c r="AF6" s="38" t="s">
        <v>84</v>
      </c>
      <c r="AG6" s="38" t="s">
        <v>85</v>
      </c>
      <c r="AH6" s="38" t="s">
        <v>79</v>
      </c>
      <c r="AI6" s="38" t="s">
        <v>79</v>
      </c>
      <c r="AJ6" s="38" t="s">
        <v>79</v>
      </c>
      <c r="AK6" s="38" t="s">
        <v>79</v>
      </c>
      <c r="AL6" s="38" t="s">
        <v>79</v>
      </c>
      <c r="AM6" t="str">
        <f>VLOOKUP($R6,武学奇术!$A:$ZZ,25,FALSE)</f>
        <v>群体奇术</v>
      </c>
      <c r="AN6" s="24">
        <f>VLOOKUP($R6,武学奇术!$A:$ZZ,26,FALSE)</f>
        <v>1.4904</v>
      </c>
      <c r="AO6" s="25">
        <f>VLOOKUP($R6,武学奇术!$A:$ZZ,27,FALSE)*(1+IF(OR($AM6=$F$4,$AM6=$F$5),$B$22,0))</f>
        <v>378</v>
      </c>
      <c r="AP6" s="24">
        <f>VLOOKUP($R6,武学奇术!$A:$ZZ,28,FALSE)</f>
        <v>2.2356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0.2537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3901.102</v>
      </c>
      <c r="AU6" cm="1">
        <f t="array" ref="AU6">$E$10*(1+$AS6)+VLOOKUP($R6,武学奇术!$A:$ZZ,4,FALSE)+SUM(_xlfn.XLOOKUP($S6:$AL6,增益!$A:$A,增益!$D:$D,0))-$I$2</f>
        <v>3901.102</v>
      </c>
      <c r="AV6" s="30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0.317</v>
      </c>
      <c r="AW6" s="30" cm="1">
        <f t="array" ref="AW6">$G$10+VLOOKUP($R6,武学奇术!$A:$ZZ,7,FALSE)+SUM(_xlfn.XLOOKUP($S6:$AL6,增益!$A:$A,增益!$G:$G,0))</f>
        <v>0.09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0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0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0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0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0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-0.14</v>
      </c>
      <c r="BJ6" s="30" cm="1">
        <f t="array" ref="BJ6">$G$13+VLOOKUP($R6,武学奇术!$A:$ZZ,14,FALSE)+SUM(_xlfn.XLOOKUP($S6:$AL6,增益!$A:$A,增益!$N:$N,0))</f>
        <v>0</v>
      </c>
      <c r="BK6">
        <f t="shared" si="7"/>
        <v>605.472</v>
      </c>
      <c r="BL6">
        <f t="shared" si="8"/>
        <v>1725.468</v>
      </c>
      <c r="BM6" s="30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0.08</v>
      </c>
      <c r="BN6" s="30" cm="1">
        <f t="array" ref="BN6">$G$14+VLOOKUP($R6,武学奇术!$A:$ZZ,16,FALSE)+SUM(_xlfn.XLOOKUP($S6:$AL6,增益!$A:$A,增益!$P:$P,0))</f>
        <v>0.24</v>
      </c>
      <c r="BO6" s="24">
        <f>MIN(IF(VLOOKUP($R6,武学奇术!$A:$ZZ,23,FALSE)=1,100%,$B$8),100%)</f>
        <v>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0.9036</v>
      </c>
      <c r="BQ6" s="24" cm="1">
        <f t="array" ref="BQ6">1+$B$13+VLOOKUP($R6,武学奇术!$A:$ZZ,18,FALSE)+SUM(_xlfn.XLOOKUP($S6:$AL6,增益!$A:$A,增益!$R:$R,0))</f>
        <v>1.58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0.9036</v>
      </c>
      <c r="BU6" s="24">
        <f t="shared" si="10"/>
        <v>0.00350000000000006</v>
      </c>
      <c r="BV6" s="24">
        <f>IF(VLOOKUP($R6,武学奇术!$A:$ZZ,22,FALSE)=1,0,(1-$BO6))*(1-$BR6)</f>
        <v>0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88" t="s">
        <v>105</v>
      </c>
      <c r="B7" s="92">
        <v>79.2</v>
      </c>
      <c r="C7" s="60">
        <f>92.4+68.8*2</f>
        <v>230</v>
      </c>
      <c r="D7" s="61"/>
      <c r="E7" s="62"/>
      <c r="F7" s="53" t="s">
        <v>106</v>
      </c>
      <c r="G7" s="63">
        <f>B20</f>
        <v>0</v>
      </c>
      <c r="K7">
        <f>$L7*VLOOKUP($R7,武学奇术!$A:$ZZ,31,FALSE)</f>
        <v>23128.6590591293</v>
      </c>
      <c r="L7" s="36">
        <f t="shared" si="0"/>
        <v>23128.6590591293</v>
      </c>
      <c r="M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$21,0))*(1+$BW7)</f>
        <v>23192.90137098</v>
      </c>
      <c r="N7" s="36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</f>
        <v>22807.7743900136</v>
      </c>
      <c r="O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$21,0))*(1+$BW7)</f>
        <v>15060.3255655714</v>
      </c>
      <c r="P7" s="36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</f>
        <v>13226.0034348365</v>
      </c>
      <c r="Q7" s="70">
        <v>1</v>
      </c>
      <c r="R7" s="38" t="s">
        <v>107</v>
      </c>
      <c r="S7" s="38" t="s">
        <v>79</v>
      </c>
      <c r="T7" s="38" t="s">
        <v>79</v>
      </c>
      <c r="U7" s="38" t="s">
        <v>79</v>
      </c>
      <c r="V7" s="38" t="s">
        <v>79</v>
      </c>
      <c r="W7" s="38" t="s">
        <v>79</v>
      </c>
      <c r="X7" s="38" t="s">
        <v>79</v>
      </c>
      <c r="Y7" s="38" t="s">
        <v>79</v>
      </c>
      <c r="Z7" s="38" t="s">
        <v>79</v>
      </c>
      <c r="AA7" s="38" t="s">
        <v>79</v>
      </c>
      <c r="AB7" s="38" t="s">
        <v>79</v>
      </c>
      <c r="AC7" s="38" t="s">
        <v>79</v>
      </c>
      <c r="AD7" s="38" t="s">
        <v>82</v>
      </c>
      <c r="AE7" s="38" t="s">
        <v>83</v>
      </c>
      <c r="AF7" s="38" t="s">
        <v>84</v>
      </c>
      <c r="AG7" s="38" t="s">
        <v>85</v>
      </c>
      <c r="AH7" s="38" t="s">
        <v>79</v>
      </c>
      <c r="AI7" s="38" t="s">
        <v>79</v>
      </c>
      <c r="AJ7" s="38" t="s">
        <v>79</v>
      </c>
      <c r="AK7" s="38" t="s">
        <v>79</v>
      </c>
      <c r="AL7" s="38" t="s">
        <v>79</v>
      </c>
      <c r="AM7" t="str">
        <f>VLOOKUP($R7,武学奇术!$A:$ZZ,25,FALSE)</f>
        <v>绳镖</v>
      </c>
      <c r="AN7" s="24">
        <f>VLOOKUP($R7,武学奇术!$A:$ZZ,26,FALSE)</f>
        <v>1.2503</v>
      </c>
      <c r="AO7" s="25">
        <f>VLOOKUP($R7,武学奇术!$A:$ZZ,27,FALSE)*(1+IF(OR($AM7=$F$4,$AM7=$F$5),$B$22,0))</f>
        <v>520.5</v>
      </c>
      <c r="AP7" s="24">
        <f>VLOOKUP($R7,武学奇术!$A:$ZZ,28,FALSE)</f>
        <v>1.8755</v>
      </c>
      <c r="AQ7" s="25">
        <f>VLOOKUP($R7,武学奇术!$A:$ZZ,29,FALSE)*(1+IF(OR($AM7=$F$4,$AM7=$F$5),$B$22,0))</f>
        <v>283.5</v>
      </c>
      <c r="AR7" s="24" cm="1">
        <f t="array" ref="AR7">$G$3+IFERROR(VLOOKUP($AM7,$F$4:$G$7,2,FALSE),0)+VLOOKUP($R7,武学奇术!$A:$ZZ,2,FALSE)+SUM(_xlfn.XLOOKUP($S7:$AL7,增益!$A:$A,增益!$B:$B,0))</f>
        <v>0.2689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3901.102</v>
      </c>
      <c r="AU7" cm="1">
        <f t="array" ref="AU7">$E$10*(1+$AS7)+VLOOKUP($R7,武学奇术!$A:$ZZ,4,FALSE)+SUM(_xlfn.XLOOKUP($S7:$AL7,增益!$A:$A,增益!$D:$D,0))-$I$2</f>
        <v>3901.102</v>
      </c>
      <c r="AV7" s="30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0.267</v>
      </c>
      <c r="AW7" s="30" cm="1">
        <f t="array" ref="AW7">$G$10+VLOOKUP($R7,武学奇术!$A:$ZZ,7,FALSE)+SUM(_xlfn.XLOOKUP($S7:$AL7,增益!$A:$A,增益!$G:$G,0))</f>
        <v>0.09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0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0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0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0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0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0" cm="1">
        <f t="array" ref="BJ7">$G$13+VLOOKUP($R7,武学奇术!$A:$ZZ,14,FALSE)+SUM(_xlfn.XLOOKUP($S7:$AL7,增益!$A:$A,增益!$N:$N,0))</f>
        <v>0</v>
      </c>
      <c r="BK7">
        <f t="shared" si="7"/>
        <v>605.472</v>
      </c>
      <c r="BL7">
        <f t="shared" si="8"/>
        <v>1725.468</v>
      </c>
      <c r="BM7" s="30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0" cm="1">
        <f t="array" ref="BN7">$G$14+VLOOKUP($R7,武学奇术!$A:$ZZ,16,FALSE)+SUM(_xlfn.XLOOKUP($S7:$AL7,增益!$A:$A,增益!$P:$P,0))</f>
        <v>0.24</v>
      </c>
      <c r="BO7" s="24">
        <f>MIN(IF(VLOOKUP($R7,武学奇术!$A:$ZZ,23,FALSE)=1,100%,$B$8),100%)</f>
        <v>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0.9036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0.9036</v>
      </c>
      <c r="BU7" s="24">
        <f t="shared" si="10"/>
        <v>0.00350000000000006</v>
      </c>
      <c r="BV7" s="24">
        <f>IF(VLOOKUP($R7,武学奇术!$A:$ZZ,22,FALSE)=1,0,(1-$BO7))*(1-$BR7)</f>
        <v>0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4" t="s">
        <v>108</v>
      </c>
      <c r="B8" s="65">
        <v>1.0063</v>
      </c>
      <c r="C8" s="34" t="s">
        <v>109</v>
      </c>
      <c r="D8" s="66"/>
      <c r="E8" s="66"/>
      <c r="F8" s="66"/>
      <c r="G8" s="35"/>
      <c r="H8" s="67" t="s">
        <v>110</v>
      </c>
      <c r="I8" s="19">
        <v>100.8</v>
      </c>
      <c r="J8" s="68"/>
      <c r="K8">
        <f>$L8*VLOOKUP($R8,武学奇术!$A:$ZZ,31,FALSE)</f>
        <v>70955.9325765396</v>
      </c>
      <c r="L8" s="36">
        <f t="shared" si="0"/>
        <v>54581.4865973382</v>
      </c>
      <c r="M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$21,0))*(1+$BW8)</f>
        <v>55546.9136594649</v>
      </c>
      <c r="N8" s="36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</f>
        <v>46116.3257166167</v>
      </c>
      <c r="O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$21,0))*(1+$BW8)</f>
        <v>30025.3587348459</v>
      </c>
      <c r="P8" s="36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</f>
        <v>25890.4761981239</v>
      </c>
      <c r="Q8" s="70">
        <v>1</v>
      </c>
      <c r="R8" s="38" t="s">
        <v>111</v>
      </c>
      <c r="S8" s="38" t="s">
        <v>78</v>
      </c>
      <c r="T8" s="38" t="s">
        <v>79</v>
      </c>
      <c r="U8" s="38" t="s">
        <v>79</v>
      </c>
      <c r="V8" s="38" t="s">
        <v>79</v>
      </c>
      <c r="W8" s="38" t="s">
        <v>79</v>
      </c>
      <c r="X8" s="38" t="s">
        <v>79</v>
      </c>
      <c r="Y8" s="38" t="s">
        <v>81</v>
      </c>
      <c r="Z8" s="38" t="s">
        <v>79</v>
      </c>
      <c r="AA8" s="38" t="s">
        <v>112</v>
      </c>
      <c r="AB8" s="38" t="s">
        <v>91</v>
      </c>
      <c r="AC8" s="38" t="s">
        <v>79</v>
      </c>
      <c r="AD8" s="38" t="s">
        <v>82</v>
      </c>
      <c r="AE8" s="38" t="s">
        <v>83</v>
      </c>
      <c r="AF8" s="38" t="s">
        <v>84</v>
      </c>
      <c r="AG8" s="38" t="s">
        <v>85</v>
      </c>
      <c r="AH8" s="38" t="s">
        <v>79</v>
      </c>
      <c r="AI8" s="38" t="s">
        <v>79</v>
      </c>
      <c r="AJ8" s="38" t="s">
        <v>79</v>
      </c>
      <c r="AK8" s="38" t="s">
        <v>79</v>
      </c>
      <c r="AL8" s="38" t="s">
        <v>79</v>
      </c>
      <c r="AM8" t="str">
        <f>VLOOKUP($R8,武学奇术!$A:$ZZ,25,FALSE)</f>
        <v>绳镖</v>
      </c>
      <c r="AN8" s="24">
        <f>VLOOKUP($R8,武学奇术!$A:$ZZ,26,FALSE)</f>
        <v>2.19912</v>
      </c>
      <c r="AO8" s="25">
        <f>VLOOKUP($R8,武学奇术!$A:$ZZ,27,FALSE)*(1+IF(OR($AM8=$F$4,$AM8=$F$5),$B$22,0))</f>
        <v>0</v>
      </c>
      <c r="AP8" s="24">
        <f>VLOOKUP($R8,武学奇术!$A:$ZZ,28,FALSE)</f>
        <v>3.29868</v>
      </c>
      <c r="AQ8" s="25">
        <f>VLOOKUP($R8,武学奇术!$A:$ZZ,29,FALSE)*(1+IF(OR($AM8=$F$4,$AM8=$F$5),$B$22,0))</f>
        <v>0</v>
      </c>
      <c r="AR8" s="24" cm="1">
        <f t="array" ref="AR8">$G$3+IFERROR(VLOOKUP($AM8,$F$4:$G$7,2,FALSE),0)+VLOOKUP($R8,武学奇术!$A:$ZZ,2,FALSE)+SUM(_xlfn.XLOOKUP($S8:$AL8,增益!$A:$A,增益!$B:$B,0))</f>
        <v>0.5789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3901.102</v>
      </c>
      <c r="AU8" cm="1">
        <f t="array" ref="AU8">$E$10*(1+$AS8)+VLOOKUP($R8,武学奇术!$A:$ZZ,4,FALSE)+SUM(_xlfn.XLOOKUP($S8:$AL8,增益!$A:$A,增益!$D:$D,0))-$I$2</f>
        <v>3901.102</v>
      </c>
      <c r="AV8" s="30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0.307</v>
      </c>
      <c r="AW8" s="30" cm="1">
        <f t="array" ref="AW8">$G$10+VLOOKUP($R8,武学奇术!$A:$ZZ,7,FALSE)+SUM(_xlfn.XLOOKUP($S8:$AL8,增益!$A:$A,增益!$G:$G,0))</f>
        <v>0.09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0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0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0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0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0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0" cm="1">
        <f t="array" ref="BJ8">$G$13+VLOOKUP($R8,武学奇术!$A:$ZZ,14,FALSE)+SUM(_xlfn.XLOOKUP($S8:$AL8,增益!$A:$A,增益!$N:$N,0))</f>
        <v>0</v>
      </c>
      <c r="BK8">
        <f t="shared" si="7"/>
        <v>605.472</v>
      </c>
      <c r="BL8">
        <f t="shared" si="8"/>
        <v>1725.468</v>
      </c>
      <c r="BM8" s="30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0" cm="1">
        <f t="array" ref="BN8">$G$14+VLOOKUP($R8,武学奇术!$A:$ZZ,16,FALSE)+SUM(_xlfn.XLOOKUP($S8:$AL8,增益!$A:$A,增益!$P:$P,0))</f>
        <v>0.24</v>
      </c>
      <c r="BO8" s="24">
        <f>MIN(IF(VLOOKUP($R8,武学奇术!$A:$ZZ,23,FALSE)=1,100%,$B$8),100%)</f>
        <v>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0.9036</v>
      </c>
      <c r="BQ8" s="24" cm="1">
        <f t="array" ref="BQ8">1+$B$13+VLOOKUP($R8,武学奇术!$A:$ZZ,18,FALSE)+SUM(_xlfn.XLOOKUP($S8:$AL8,增益!$A:$A,增益!$R:$R,0))</f>
        <v>1.85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0.9036</v>
      </c>
      <c r="BU8" s="24">
        <f t="shared" si="10"/>
        <v>0.00350000000000006</v>
      </c>
      <c r="BV8" s="24">
        <f>IF(VLOOKUP($R8,武学奇术!$A:$ZZ,22,FALSE)=1,0,(1-$BO8))*(1-$BR8)</f>
        <v>0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113</v>
      </c>
      <c r="B9" s="69">
        <v>0.7706</v>
      </c>
      <c r="C9" s="45"/>
      <c r="D9" t="s">
        <v>0</v>
      </c>
      <c r="E9" t="s">
        <v>1</v>
      </c>
      <c r="F9" s="70" t="s">
        <v>2</v>
      </c>
      <c r="G9" s="44" t="s">
        <v>3</v>
      </c>
      <c r="H9" s="71"/>
      <c r="I9" s="22"/>
      <c r="J9" s="72"/>
      <c r="K9">
        <f>$L9*VLOOKUP($R9,武学奇术!$A:$ZZ,31,FALSE)</f>
        <v>9606.00216963906</v>
      </c>
      <c r="L9" s="36">
        <f t="shared" si="0"/>
        <v>9606.00216963906</v>
      </c>
      <c r="M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$21,0))*(1+$BW9)</f>
        <v>9633.80331794812</v>
      </c>
      <c r="N9" s="36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</f>
        <v>9463.33414546305</v>
      </c>
      <c r="O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$21,0))*(1+$BW9)</f>
        <v>6215.35697932137</v>
      </c>
      <c r="P9" s="36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</f>
        <v>5420.83681385529</v>
      </c>
      <c r="Q9" s="70">
        <v>1</v>
      </c>
      <c r="R9" s="38" t="s">
        <v>114</v>
      </c>
      <c r="S9" s="38" t="s">
        <v>78</v>
      </c>
      <c r="T9" s="38" t="s">
        <v>79</v>
      </c>
      <c r="U9" s="38" t="s">
        <v>79</v>
      </c>
      <c r="V9" s="38" t="s">
        <v>79</v>
      </c>
      <c r="W9" s="38" t="s">
        <v>79</v>
      </c>
      <c r="X9" s="38" t="s">
        <v>79</v>
      </c>
      <c r="Y9" s="38" t="s">
        <v>81</v>
      </c>
      <c r="Z9" s="38" t="s">
        <v>90</v>
      </c>
      <c r="AA9" s="38" t="s">
        <v>79</v>
      </c>
      <c r="AB9" s="38" t="s">
        <v>91</v>
      </c>
      <c r="AC9" s="38" t="s">
        <v>79</v>
      </c>
      <c r="AD9" s="38" t="s">
        <v>82</v>
      </c>
      <c r="AE9" s="38" t="s">
        <v>83</v>
      </c>
      <c r="AF9" s="38" t="s">
        <v>84</v>
      </c>
      <c r="AG9" s="38" t="s">
        <v>85</v>
      </c>
      <c r="AH9" s="38" t="s">
        <v>79</v>
      </c>
      <c r="AI9" s="38" t="s">
        <v>79</v>
      </c>
      <c r="AJ9" s="38" t="s">
        <v>79</v>
      </c>
      <c r="AK9" s="38" t="s">
        <v>79</v>
      </c>
      <c r="AL9" s="38" t="s">
        <v>79</v>
      </c>
      <c r="AM9" t="str">
        <f>VLOOKUP($R9,武学奇术!$A:$ZZ,25,FALSE)</f>
        <v>绳镖</v>
      </c>
      <c r="AN9" s="24">
        <f>VLOOKUP($R9,武学奇术!$A:$ZZ,26,FALSE)</f>
        <v>0.4975</v>
      </c>
      <c r="AO9" s="25">
        <f>VLOOKUP($R9,武学奇术!$A:$ZZ,27,FALSE)*(1+IF(OR($AM9=$F$4,$AM9=$F$5),$B$22,0))</f>
        <v>205.5</v>
      </c>
      <c r="AP9" s="24">
        <f>VLOOKUP($R9,武学奇术!$A:$ZZ,28,FALSE)</f>
        <v>0.7463</v>
      </c>
      <c r="AQ9" s="25">
        <f>VLOOKUP($R9,武学奇术!$A:$ZZ,29,FALSE)*(1+IF(OR($AM9=$F$4,$AM9=$F$5),$B$22,0))</f>
        <v>112.5</v>
      </c>
      <c r="AR9" s="24" cm="1">
        <f t="array" ref="AR9">$G$3+IFERROR(VLOOKUP($AM9,$F$4:$G$7,2,FALSE),0)+VLOOKUP($R9,武学奇术!$A:$ZZ,2,FALSE)+SUM(_xlfn.XLOOKUP($S9:$AL9,增益!$A:$A,增益!$B:$B,0))</f>
        <v>0.2789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3901.102</v>
      </c>
      <c r="AU9" cm="1">
        <f t="array" ref="AU9">$E$10*(1+$AS9)+VLOOKUP($R9,武学奇术!$A:$ZZ,4,FALSE)+SUM(_xlfn.XLOOKUP($S9:$AL9,增益!$A:$A,增益!$D:$D,0))-$I$2</f>
        <v>3901.102</v>
      </c>
      <c r="AV9" s="30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0.277</v>
      </c>
      <c r="AW9" s="30" cm="1">
        <f t="array" ref="AW9">$G$10+VLOOKUP($R9,武学奇术!$A:$ZZ,7,FALSE)+SUM(_xlfn.XLOOKUP($S9:$AL9,增益!$A:$A,增益!$G:$G,0))</f>
        <v>0.09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0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0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0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0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0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-0.14</v>
      </c>
      <c r="BJ9" s="30" cm="1">
        <f t="array" ref="BJ9">$G$13+VLOOKUP($R9,武学奇术!$A:$ZZ,14,FALSE)+SUM(_xlfn.XLOOKUP($S9:$AL9,增益!$A:$A,增益!$N:$N,0))</f>
        <v>0</v>
      </c>
      <c r="BK9">
        <f t="shared" si="7"/>
        <v>605.472</v>
      </c>
      <c r="BL9">
        <f t="shared" si="8"/>
        <v>1725.468</v>
      </c>
      <c r="BM9" s="30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0.08</v>
      </c>
      <c r="BN9" s="30" cm="1">
        <f t="array" ref="BN9">$G$14+VLOOKUP($R9,武学奇术!$A:$ZZ,16,FALSE)+SUM(_xlfn.XLOOKUP($S9:$AL9,增益!$A:$A,增益!$P:$P,0))</f>
        <v>0.24</v>
      </c>
      <c r="BO9" s="24">
        <f>MIN(IF(VLOOKUP($R9,武学奇术!$A:$ZZ,23,FALSE)=1,100%,$B$8),100%)</f>
        <v>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0.9036</v>
      </c>
      <c r="BQ9" s="24" cm="1">
        <f t="array" ref="BQ9">1+$B$13+VLOOKUP($R9,武学奇术!$A:$ZZ,18,FALSE)+SUM(_xlfn.XLOOKUP($S9:$AL9,增益!$A:$A,增益!$R:$R,0))</f>
        <v>1.55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0.9036</v>
      </c>
      <c r="BU9" s="24">
        <f t="shared" si="10"/>
        <v>0.00350000000000006</v>
      </c>
      <c r="BV9" s="24">
        <f>IF(VLOOKUP($R9,武学奇术!$A:$ZZ,22,FALSE)=1,0,(1-$BO9))*(1-$BR9)</f>
        <v>0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115</v>
      </c>
      <c r="B10" s="69">
        <v>0.0929</v>
      </c>
      <c r="C10" s="45" t="s">
        <v>73</v>
      </c>
      <c r="D10" s="25">
        <f>(B2+B23)*IF($G$2="撼天",1.06,1)</f>
        <v>4459.102</v>
      </c>
      <c r="E10" s="25">
        <f>MAX(B2+B23,C2+B24)*IF($G$2="撼天",1.06,1)</f>
        <v>4459.102</v>
      </c>
      <c r="F10">
        <f>D2</f>
        <v>58.4</v>
      </c>
      <c r="G10" s="93">
        <f>E2</f>
        <v>0</v>
      </c>
      <c r="H10" s="67" t="s">
        <v>116</v>
      </c>
      <c r="I10" s="73">
        <f>SUM(L:L)</f>
        <v>14513539.7457189</v>
      </c>
      <c r="J10" s="74"/>
      <c r="K10">
        <f>$L10*VLOOKUP($R10,武学奇术!$A:$ZZ,31,FALSE)</f>
        <v>87087.3937524212</v>
      </c>
      <c r="L10" s="36">
        <f t="shared" si="0"/>
        <v>66990.3028864778</v>
      </c>
      <c r="M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$21,0))*(1+$BW10)</f>
        <v>68140.1243039421</v>
      </c>
      <c r="N10" s="36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</f>
        <v>56942.6568003509</v>
      </c>
      <c r="O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$21,0))*(1+$BW10)</f>
        <v>36832.4996237525</v>
      </c>
      <c r="P10" s="36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</f>
        <v>31485.2534694673</v>
      </c>
      <c r="Q10" s="70">
        <v>1</v>
      </c>
      <c r="R10" s="38" t="s">
        <v>117</v>
      </c>
      <c r="S10" s="38" t="s">
        <v>78</v>
      </c>
      <c r="T10" s="38" t="s">
        <v>79</v>
      </c>
      <c r="U10" s="38" t="s">
        <v>79</v>
      </c>
      <c r="V10" s="38" t="s">
        <v>79</v>
      </c>
      <c r="W10" s="38" t="s">
        <v>79</v>
      </c>
      <c r="X10" s="38" t="s">
        <v>79</v>
      </c>
      <c r="Y10" s="38" t="s">
        <v>81</v>
      </c>
      <c r="Z10" s="38" t="s">
        <v>90</v>
      </c>
      <c r="AA10" s="38" t="s">
        <v>112</v>
      </c>
      <c r="AB10" s="38" t="s">
        <v>91</v>
      </c>
      <c r="AC10" s="38" t="s">
        <v>79</v>
      </c>
      <c r="AD10" s="38" t="s">
        <v>82</v>
      </c>
      <c r="AE10" s="38" t="s">
        <v>83</v>
      </c>
      <c r="AF10" s="38" t="s">
        <v>84</v>
      </c>
      <c r="AG10" s="38" t="s">
        <v>85</v>
      </c>
      <c r="AH10" s="38" t="s">
        <v>79</v>
      </c>
      <c r="AI10" s="38" t="s">
        <v>79</v>
      </c>
      <c r="AJ10" s="38" t="s">
        <v>79</v>
      </c>
      <c r="AK10" s="38" t="s">
        <v>79</v>
      </c>
      <c r="AL10" s="38" t="s">
        <v>79</v>
      </c>
      <c r="AM10" t="str">
        <f>VLOOKUP($R10,武学奇术!$A:$ZZ,25,FALSE)</f>
        <v>绳镖</v>
      </c>
      <c r="AN10" s="24">
        <f>VLOOKUP($R10,武学奇术!$A:$ZZ,26,FALSE)</f>
        <v>2.638944</v>
      </c>
      <c r="AO10" s="25">
        <f>VLOOKUP($R10,武学奇术!$A:$ZZ,27,FALSE)*(1+IF(OR($AM10=$F$4,$AM10=$F$5),$B$22,0))</f>
        <v>0</v>
      </c>
      <c r="AP10" s="24">
        <f>VLOOKUP($R10,武学奇术!$A:$ZZ,28,FALSE)</f>
        <v>3.958416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0.5789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3901.102</v>
      </c>
      <c r="AU10" cm="1">
        <f t="array" ref="AU10">$E$10*(1+$AS10)+VLOOKUP($R10,武学奇术!$A:$ZZ,4,FALSE)+SUM(_xlfn.XLOOKUP($S10:$AL10,增益!$A:$A,增益!$D:$D,0))-$I$2</f>
        <v>3901.102</v>
      </c>
      <c r="AV10" s="30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0.307</v>
      </c>
      <c r="AW10" s="30" cm="1">
        <f t="array" ref="AW10">$G$10+VLOOKUP($R10,武学奇术!$A:$ZZ,7,FALSE)+SUM(_xlfn.XLOOKUP($S10:$AL10,增益!$A:$A,增益!$G:$G,0))</f>
        <v>0.09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0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-0.08</v>
      </c>
      <c r="BB10" s="30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0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-0.08</v>
      </c>
      <c r="BF10" s="30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0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-0.08</v>
      </c>
      <c r="BJ10" s="30" cm="1">
        <f t="array" ref="BJ10">$G$13+VLOOKUP($R10,武学奇术!$A:$ZZ,14,FALSE)+SUM(_xlfn.XLOOKUP($S10:$AL10,增益!$A:$A,增益!$N:$N,0))</f>
        <v>0</v>
      </c>
      <c r="BK10">
        <f t="shared" si="7"/>
        <v>605.472</v>
      </c>
      <c r="BL10">
        <f t="shared" si="8"/>
        <v>1725.468</v>
      </c>
      <c r="BM10" s="30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0.11</v>
      </c>
      <c r="BN10" s="30" cm="1">
        <f t="array" ref="BN10">$G$14+VLOOKUP($R10,武学奇术!$A:$ZZ,16,FALSE)+SUM(_xlfn.XLOOKUP($S10:$AL10,增益!$A:$A,增益!$P:$P,0))</f>
        <v>0.24</v>
      </c>
      <c r="BO10" s="24">
        <f>MIN(IF(VLOOKUP($R10,武学奇术!$A:$ZZ,23,FALSE)=1,100%,$B$8),100%)</f>
        <v>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0.9036</v>
      </c>
      <c r="BQ10" s="24" cm="1">
        <f t="array" ref="BQ10">1+$B$13+VLOOKUP($R10,武学奇术!$A:$ZZ,18,FALSE)+SUM(_xlfn.XLOOKUP($S10:$AL10,增益!$A:$A,增益!$R:$R,0))</f>
        <v>1.85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0.9036</v>
      </c>
      <c r="BU10" s="24">
        <f t="shared" si="10"/>
        <v>0.00350000000000006</v>
      </c>
      <c r="BV10" s="24">
        <f>IF(VLOOKUP($R10,武学奇术!$A:$ZZ,22,FALSE)=1,0,(1-$BO10))*(1-$BR10)</f>
        <v>0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118</v>
      </c>
      <c r="B11" s="69">
        <f>4.6%+IF($E$24="易水歌",4.6%,0)+IF($E$22="断石之构",4.1%,0)</f>
        <v>0.133</v>
      </c>
      <c r="C11" s="45" t="s">
        <v>86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3">
        <f>E3</f>
        <v>0</v>
      </c>
      <c r="H11" s="71"/>
      <c r="I11" s="75"/>
      <c r="J11" s="76"/>
      <c r="K11">
        <f>$L11*VLOOKUP($R11,武学奇术!$A:$ZZ,31,FALSE)</f>
        <v>113769.337417369</v>
      </c>
      <c r="L11" s="36">
        <f t="shared" si="0"/>
        <v>87514.8749364373</v>
      </c>
      <c r="M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$21,0))*(1+$BW11)</f>
        <v>89189.015164897</v>
      </c>
      <c r="N11" s="36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</f>
        <v>72712.0006329402</v>
      </c>
      <c r="O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$21,0))*(1+$BW11)</f>
        <v>48210.2784675119</v>
      </c>
      <c r="P11" s="36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</f>
        <v>42559.8157254384</v>
      </c>
      <c r="Q11" s="70">
        <v>1</v>
      </c>
      <c r="R11" s="38" t="s">
        <v>119</v>
      </c>
      <c r="S11" s="38" t="s">
        <v>88</v>
      </c>
      <c r="T11" s="38" t="s">
        <v>79</v>
      </c>
      <c r="U11" s="38" t="s">
        <v>79</v>
      </c>
      <c r="V11" s="38" t="s">
        <v>80</v>
      </c>
      <c r="W11" s="38" t="s">
        <v>79</v>
      </c>
      <c r="X11" s="38" t="s">
        <v>79</v>
      </c>
      <c r="Y11" s="38" t="s">
        <v>81</v>
      </c>
      <c r="Z11" s="38" t="s">
        <v>90</v>
      </c>
      <c r="AA11" s="38" t="s">
        <v>112</v>
      </c>
      <c r="AB11" s="38" t="s">
        <v>91</v>
      </c>
      <c r="AC11" s="38" t="s">
        <v>79</v>
      </c>
      <c r="AD11" s="38" t="s">
        <v>82</v>
      </c>
      <c r="AE11" s="38" t="s">
        <v>83</v>
      </c>
      <c r="AF11" s="38" t="s">
        <v>84</v>
      </c>
      <c r="AG11" s="38" t="s">
        <v>85</v>
      </c>
      <c r="AH11" s="38" t="s">
        <v>79</v>
      </c>
      <c r="AI11" s="38" t="s">
        <v>79</v>
      </c>
      <c r="AJ11" s="38" t="s">
        <v>79</v>
      </c>
      <c r="AK11" s="38" t="s">
        <v>79</v>
      </c>
      <c r="AL11" s="38" t="s">
        <v>79</v>
      </c>
      <c r="AM11" t="str">
        <f>VLOOKUP($R11,武学奇术!$A:$ZZ,25,FALSE)</f>
        <v>拳甲</v>
      </c>
      <c r="AN11" s="24">
        <f>VLOOKUP($R11,武学奇术!$A:$ZZ,26,FALSE)</f>
        <v>2.91176</v>
      </c>
      <c r="AO11" s="25">
        <f>VLOOKUP($R11,武学奇术!$A:$ZZ,27,FALSE)*(1+IF(OR($AM11=$F$4,$AM11=$F$5),$B$22,0))</f>
        <v>1208.7</v>
      </c>
      <c r="AP11" s="24">
        <f>VLOOKUP($R11,武学奇术!$A:$ZZ,28,FALSE)</f>
        <v>3.89844</v>
      </c>
      <c r="AQ11" s="25">
        <f>VLOOKUP($R11,武学奇术!$A:$ZZ,29,FALSE)*(1+IF(OR($AM11=$F$4,$AM11=$F$5),$B$22,0))</f>
        <v>650.25</v>
      </c>
      <c r="AR11" s="24" cm="1">
        <f t="array" ref="AR11">$G$3+IFERROR(VLOOKUP($AM11,$F$4:$G$7,2,FALSE),0)+VLOOKUP($R11,武学奇术!$A:$ZZ,2,FALSE)+SUM(_xlfn.XLOOKUP($S11:$AL11,增益!$A:$A,增益!$B:$B,0))</f>
        <v>0.6941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3901.102</v>
      </c>
      <c r="AU11" cm="1">
        <f t="array" ref="AU11">$E$10*(1+$AS11)+VLOOKUP($R11,武学奇术!$A:$ZZ,4,FALSE)+SUM(_xlfn.XLOOKUP($S11:$AL11,增益!$A:$A,增益!$D:$D,0))-$I$2</f>
        <v>3901.102</v>
      </c>
      <c r="AV11" s="30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0.317</v>
      </c>
      <c r="AW11" s="30" cm="1">
        <f t="array" ref="AW11">$G$10+VLOOKUP($R11,武学奇术!$A:$ZZ,7,FALSE)+SUM(_xlfn.XLOOKUP($S11:$AL11,增益!$A:$A,增益!$G:$G,0))</f>
        <v>0.09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0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-0.08</v>
      </c>
      <c r="BB11" s="30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0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-0.08</v>
      </c>
      <c r="BF11" s="30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0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-0.08</v>
      </c>
      <c r="BJ11" s="30" cm="1">
        <f t="array" ref="BJ11">$G$13+VLOOKUP($R11,武学奇术!$A:$ZZ,14,FALSE)+SUM(_xlfn.XLOOKUP($S11:$AL11,增益!$A:$A,增益!$N:$N,0))</f>
        <v>0</v>
      </c>
      <c r="BK11">
        <f t="shared" si="7"/>
        <v>605.472</v>
      </c>
      <c r="BL11">
        <f t="shared" si="8"/>
        <v>1725.468</v>
      </c>
      <c r="BM11" s="30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0.11</v>
      </c>
      <c r="BN11" s="30" cm="1">
        <f t="array" ref="BN11">$G$14+VLOOKUP($R11,武学奇术!$A:$ZZ,16,FALSE)+SUM(_xlfn.XLOOKUP($S11:$AL11,增益!$A:$A,增益!$P:$P,0))</f>
        <v>0.24</v>
      </c>
      <c r="BO11" s="24">
        <f>MIN(IF(VLOOKUP($R11,武学奇术!$A:$ZZ,23,FALSE)=1,100%,$B$8),100%)</f>
        <v>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0.9036</v>
      </c>
      <c r="BQ11" s="24" cm="1">
        <f t="array" ref="BQ11">1+$B$13+VLOOKUP($R11,武学奇术!$A:$ZZ,18,FALSE)+SUM(_xlfn.XLOOKUP($S11:$AL11,增益!$A:$A,增益!$R:$R,0))</f>
        <v>1.85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0.9036</v>
      </c>
      <c r="BU11" s="24">
        <f t="shared" si="10"/>
        <v>0.00350000000000006</v>
      </c>
      <c r="BV11" s="24">
        <f>IF(VLOOKUP($R11,武学奇术!$A:$ZZ,22,FALSE)=1,0,(1-$BO11))*(1-$BR11)</f>
        <v>0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120</v>
      </c>
      <c r="B12" s="69">
        <v>0</v>
      </c>
      <c r="C12" s="45" t="s">
        <v>92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3">
        <f>E4</f>
        <v>0</v>
      </c>
      <c r="H12" s="67" t="s">
        <v>121</v>
      </c>
      <c r="I12" s="36">
        <f>I10/I8</f>
        <v>143983.529223402</v>
      </c>
      <c r="J12" s="77"/>
      <c r="K12">
        <f>$L12*VLOOKUP($R12,武学奇术!$A:$ZZ,31,FALSE)</f>
        <v>27266.9878962024</v>
      </c>
      <c r="L12" s="36">
        <f t="shared" si="0"/>
        <v>27266.9878962024</v>
      </c>
      <c r="M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$21,0))*(1+$BW12)</f>
        <v>27347.6795154847</v>
      </c>
      <c r="N12" s="36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</f>
        <v>26844.6917254907</v>
      </c>
      <c r="O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$21,0))*(1+$BW12)</f>
        <v>17643.6642035385</v>
      </c>
      <c r="P12" s="36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</f>
        <v>15402.3715733802</v>
      </c>
      <c r="Q12" s="70">
        <v>1</v>
      </c>
      <c r="R12" s="38" t="s">
        <v>122</v>
      </c>
      <c r="S12" s="38" t="s">
        <v>88</v>
      </c>
      <c r="T12" s="38" t="s">
        <v>79</v>
      </c>
      <c r="U12" s="38" t="s">
        <v>79</v>
      </c>
      <c r="V12" s="38" t="s">
        <v>80</v>
      </c>
      <c r="W12" s="38" t="s">
        <v>79</v>
      </c>
      <c r="X12" s="38" t="s">
        <v>79</v>
      </c>
      <c r="Y12" s="38" t="s">
        <v>81</v>
      </c>
      <c r="Z12" s="38" t="s">
        <v>90</v>
      </c>
      <c r="AA12" s="38" t="s">
        <v>79</v>
      </c>
      <c r="AB12" s="38" t="s">
        <v>97</v>
      </c>
      <c r="AC12" s="38" t="s">
        <v>79</v>
      </c>
      <c r="AD12" s="38" t="s">
        <v>82</v>
      </c>
      <c r="AE12" s="38" t="s">
        <v>83</v>
      </c>
      <c r="AF12" s="38" t="s">
        <v>84</v>
      </c>
      <c r="AG12" s="38" t="s">
        <v>85</v>
      </c>
      <c r="AH12" s="38" t="s">
        <v>79</v>
      </c>
      <c r="AI12" s="38" t="s">
        <v>79</v>
      </c>
      <c r="AJ12" s="38" t="s">
        <v>79</v>
      </c>
      <c r="AK12" s="38" t="s">
        <v>79</v>
      </c>
      <c r="AL12" s="38" t="s">
        <v>79</v>
      </c>
      <c r="AM12" t="str">
        <f>VLOOKUP($R12,武学奇术!$A:$ZZ,25,FALSE)</f>
        <v>拳甲</v>
      </c>
      <c r="AN12" s="24">
        <f>VLOOKUP($R12,武学奇术!$A:$ZZ,26,FALSE)</f>
        <v>1.2876</v>
      </c>
      <c r="AO12" s="25">
        <f>VLOOKUP($R12,武学奇术!$A:$ZZ,27,FALSE)*(1+IF(OR($AM12=$F$4,$AM12=$F$5),$B$22,0))</f>
        <v>537</v>
      </c>
      <c r="AP12" s="24">
        <f>VLOOKUP($R12,武学奇术!$A:$ZZ,28,FALSE)</f>
        <v>1.9313</v>
      </c>
      <c r="AQ12" s="25">
        <f>VLOOKUP($R12,武学奇术!$A:$ZZ,29,FALSE)*(1+IF(OR($AM12=$F$4,$AM12=$F$5),$B$22,0))</f>
        <v>292.5</v>
      </c>
      <c r="AR12" s="24" cm="1">
        <f t="array" ref="AR12">$G$3+IFERROR(VLOOKUP($AM12,$F$4:$G$7,2,FALSE),0)+VLOOKUP($R12,武学奇术!$A:$ZZ,2,FALSE)+SUM(_xlfn.XLOOKUP($S12:$AL12,增益!$A:$A,增益!$B:$B,0))</f>
        <v>0.3941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3901.102</v>
      </c>
      <c r="AU12" cm="1">
        <f t="array" ref="AU12">$E$10*(1+$AS12)+VLOOKUP($R12,武学奇术!$A:$ZZ,4,FALSE)+SUM(_xlfn.XLOOKUP($S12:$AL12,增益!$A:$A,增益!$D:$D,0))-$I$2</f>
        <v>3901.102</v>
      </c>
      <c r="AV12" s="30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0.287</v>
      </c>
      <c r="AW12" s="30" cm="1">
        <f t="array" ref="AW12">$G$10+VLOOKUP($R12,武学奇术!$A:$ZZ,7,FALSE)+SUM(_xlfn.XLOOKUP($S12:$AL12,增益!$A:$A,增益!$G:$G,0))</f>
        <v>0.09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0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0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0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0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0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-0.14</v>
      </c>
      <c r="BJ12" s="30" cm="1">
        <f t="array" ref="BJ12">$G$13+VLOOKUP($R12,武学奇术!$A:$ZZ,14,FALSE)+SUM(_xlfn.XLOOKUP($S12:$AL12,增益!$A:$A,增益!$N:$N,0))</f>
        <v>0</v>
      </c>
      <c r="BK12">
        <f t="shared" si="7"/>
        <v>605.472</v>
      </c>
      <c r="BL12">
        <f t="shared" si="8"/>
        <v>1725.468</v>
      </c>
      <c r="BM12" s="30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0.08</v>
      </c>
      <c r="BN12" s="30" cm="1">
        <f t="array" ref="BN12">$G$14+VLOOKUP($R12,武学奇术!$A:$ZZ,16,FALSE)+SUM(_xlfn.XLOOKUP($S12:$AL12,增益!$A:$A,增益!$P:$P,0))</f>
        <v>0.24</v>
      </c>
      <c r="BO12" s="24">
        <f>MIN(IF(VLOOKUP($R12,武学奇术!$A:$ZZ,23,FALSE)=1,100%,$B$8),100%)</f>
        <v>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0.9036</v>
      </c>
      <c r="BQ12" s="24" cm="1">
        <f t="array" ref="BQ12">1+$B$13+VLOOKUP($R12,武学奇术!$A:$ZZ,18,FALSE)+SUM(_xlfn.XLOOKUP($S12:$AL12,增益!$A:$A,增益!$R:$R,0))</f>
        <v>1.55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0.9036</v>
      </c>
      <c r="BU12" s="24">
        <f t="shared" si="10"/>
        <v>0.00350000000000006</v>
      </c>
      <c r="BV12" s="24">
        <f>IF(VLOOKUP($R12,武学奇术!$A:$ZZ,22,FALSE)=1,0,(1-$BO12))*(1-$BR12)</f>
        <v>0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123</v>
      </c>
      <c r="B13" s="69">
        <v>0.54</v>
      </c>
      <c r="C13" s="45" t="s">
        <v>98</v>
      </c>
      <c r="D13">
        <f>(B5+IF($G$1=$C13,$B$7,0))*IF($G$2="撼天",1.06,1)</f>
        <v>0</v>
      </c>
      <c r="E13">
        <f>(MAX(B5,C5)+IF($G$1=$C13,$C$7,0))*IF($G$2="撼天",1.06,1)</f>
        <v>0</v>
      </c>
      <c r="F13">
        <f>D5</f>
        <v>0</v>
      </c>
      <c r="G13" s="93">
        <f>E5</f>
        <v>0</v>
      </c>
      <c r="H13" s="71"/>
      <c r="I13" s="78"/>
      <c r="J13" s="76"/>
      <c r="K13">
        <f>$L13*VLOOKUP($R13,武学奇术!$A:$ZZ,31,FALSE)</f>
        <v>94402.115950284</v>
      </c>
      <c r="L13" s="36">
        <f t="shared" si="0"/>
        <v>72617.0122694492</v>
      </c>
      <c r="M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$21,0))*(1+$BW13)</f>
        <v>73899.4569934959</v>
      </c>
      <c r="N13" s="36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</f>
        <v>61382.1831230118</v>
      </c>
      <c r="O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$21,0))*(1+$BW13)</f>
        <v>39730.8908567182</v>
      </c>
      <c r="P13" s="36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</f>
        <v>33993.4979186129</v>
      </c>
      <c r="Q13" s="70">
        <v>1</v>
      </c>
      <c r="R13" s="38" t="s">
        <v>124</v>
      </c>
      <c r="S13" s="38" t="s">
        <v>88</v>
      </c>
      <c r="T13" s="38" t="s">
        <v>79</v>
      </c>
      <c r="U13" s="38" t="s">
        <v>79</v>
      </c>
      <c r="V13" s="38" t="s">
        <v>80</v>
      </c>
      <c r="W13" s="38" t="s">
        <v>79</v>
      </c>
      <c r="X13" s="38" t="s">
        <v>79</v>
      </c>
      <c r="Y13" s="38" t="s">
        <v>89</v>
      </c>
      <c r="Z13" s="38" t="s">
        <v>90</v>
      </c>
      <c r="AA13" s="38" t="s">
        <v>112</v>
      </c>
      <c r="AB13" s="38" t="s">
        <v>97</v>
      </c>
      <c r="AC13" s="38" t="s">
        <v>79</v>
      </c>
      <c r="AD13" s="38" t="s">
        <v>82</v>
      </c>
      <c r="AE13" s="38" t="s">
        <v>83</v>
      </c>
      <c r="AF13" s="38" t="s">
        <v>84</v>
      </c>
      <c r="AG13" s="38" t="s">
        <v>85</v>
      </c>
      <c r="AH13" s="38" t="s">
        <v>79</v>
      </c>
      <c r="AI13" s="38" t="s">
        <v>79</v>
      </c>
      <c r="AJ13" s="38" t="s">
        <v>79</v>
      </c>
      <c r="AK13" s="38" t="s">
        <v>79</v>
      </c>
      <c r="AL13" s="38" t="s">
        <v>79</v>
      </c>
      <c r="AM13" t="str">
        <f>VLOOKUP($R13,武学奇术!$A:$ZZ,25,FALSE)</f>
        <v>拳甲</v>
      </c>
      <c r="AN13" s="24">
        <f>VLOOKUP($R13,武学奇术!$A:$ZZ,26,FALSE)</f>
        <v>2.638944</v>
      </c>
      <c r="AO13" s="25">
        <f>VLOOKUP($R13,武学奇术!$A:$ZZ,27,FALSE)*(1+IF(OR($AM13=$F$4,$AM13=$F$5),$B$22,0))</f>
        <v>0</v>
      </c>
      <c r="AP13" s="24">
        <f>VLOOKUP($R13,武学奇术!$A:$ZZ,28,FALSE)</f>
        <v>3.958416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0.6941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3901.102</v>
      </c>
      <c r="AU13" cm="1">
        <f t="array" ref="AU13">$E$10*(1+$AS13)+VLOOKUP($R13,武学奇术!$A:$ZZ,4,FALSE)+SUM(_xlfn.XLOOKUP($S13:$AL13,增益!$A:$A,增益!$D:$D,0))-$I$2</f>
        <v>3901.102</v>
      </c>
      <c r="AV13" s="30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0.317</v>
      </c>
      <c r="AW13" s="30" cm="1">
        <f t="array" ref="AW13">$G$10+VLOOKUP($R13,武学奇术!$A:$ZZ,7,FALSE)+SUM(_xlfn.XLOOKUP($S13:$AL13,增益!$A:$A,增益!$G:$G,0))</f>
        <v>0.09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0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-0.08</v>
      </c>
      <c r="BB13" s="30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0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-0.08</v>
      </c>
      <c r="BF13" s="30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0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-0.08</v>
      </c>
      <c r="BJ13" s="30" cm="1">
        <f t="array" ref="BJ13">$G$13+VLOOKUP($R13,武学奇术!$A:$ZZ,14,FALSE)+SUM(_xlfn.XLOOKUP($S13:$AL13,增益!$A:$A,增益!$N:$N,0))</f>
        <v>0</v>
      </c>
      <c r="BK13">
        <f t="shared" si="7"/>
        <v>605.472</v>
      </c>
      <c r="BL13">
        <f t="shared" si="8"/>
        <v>1725.468</v>
      </c>
      <c r="BM13" s="30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0.11</v>
      </c>
      <c r="BN13" s="30" cm="1">
        <f t="array" ref="BN13">$G$14+VLOOKUP($R13,武学奇术!$A:$ZZ,16,FALSE)+SUM(_xlfn.XLOOKUP($S13:$AL13,增益!$A:$A,增益!$P:$P,0))</f>
        <v>0.24</v>
      </c>
      <c r="BO13" s="24">
        <f>MIN(IF(VLOOKUP($R13,武学奇术!$A:$ZZ,23,FALSE)=1,100%,$B$8),100%)</f>
        <v>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0.9036</v>
      </c>
      <c r="BQ13" s="24" cm="1">
        <f t="array" ref="BQ13">1+$B$13+VLOOKUP($R13,武学奇术!$A:$ZZ,18,FALSE)+SUM(_xlfn.XLOOKUP($S13:$AL13,增益!$A:$A,增益!$R:$R,0))</f>
        <v>1.86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0.9036</v>
      </c>
      <c r="BU13" s="24">
        <f t="shared" si="10"/>
        <v>0.00350000000000006</v>
      </c>
      <c r="BV13" s="24">
        <f>IF(VLOOKUP($R13,武学奇术!$A:$ZZ,22,FALSE)=1,0,(1-$BO13))*(1-$BR13)</f>
        <v>0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125</v>
      </c>
      <c r="B14" s="69">
        <v>0.35</v>
      </c>
      <c r="C14" s="53" t="s">
        <v>5</v>
      </c>
      <c r="D14" s="14">
        <f>(B6+IF($G$1=$C14,B7,0))*IF($G$2="撼天",1.06,1)</f>
        <v>605.472</v>
      </c>
      <c r="E14" s="14">
        <f>(MAX(B6,C6)+IF($G$1=$C14,$C$7,0))*IF($G$2="撼天",1.06,1)</f>
        <v>1725.468</v>
      </c>
      <c r="F14" s="14">
        <f>D6</f>
        <v>30</v>
      </c>
      <c r="G14" s="94">
        <f>E6</f>
        <v>0.15</v>
      </c>
      <c r="H14" s="34" t="s">
        <v>126</v>
      </c>
      <c r="I14" s="73">
        <f>RD!I14</f>
        <v>124005.42179408</v>
      </c>
      <c r="J14" s="74"/>
      <c r="K14">
        <f>$L14*VLOOKUP($R14,武学奇术!$A:$ZZ,31,FALSE)</f>
        <v>52620.1369325458</v>
      </c>
      <c r="L14" s="36">
        <f t="shared" si="0"/>
        <v>52620.1369325458</v>
      </c>
      <c r="M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$21,0))*(1+$BW14)</f>
        <v>52809.9008442144</v>
      </c>
      <c r="N14" s="36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</f>
        <v>51481.4507838495</v>
      </c>
      <c r="O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$21,0))*(1+$BW14)</f>
        <v>33852.5005411631</v>
      </c>
      <c r="P14" s="36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</f>
        <v>29570.5930942895</v>
      </c>
      <c r="Q14" s="70">
        <v>1</v>
      </c>
      <c r="R14" s="38" t="s">
        <v>127</v>
      </c>
      <c r="S14" s="38" t="s">
        <v>95</v>
      </c>
      <c r="T14" s="38" t="s">
        <v>79</v>
      </c>
      <c r="U14" s="38" t="s">
        <v>79</v>
      </c>
      <c r="V14" s="38" t="s">
        <v>80</v>
      </c>
      <c r="W14" s="38" t="s">
        <v>79</v>
      </c>
      <c r="X14" s="38" t="s">
        <v>79</v>
      </c>
      <c r="Y14" s="38" t="s">
        <v>89</v>
      </c>
      <c r="Z14" s="38" t="s">
        <v>90</v>
      </c>
      <c r="AA14" s="38" t="s">
        <v>79</v>
      </c>
      <c r="AB14" s="38" t="s">
        <v>97</v>
      </c>
      <c r="AC14" s="38" t="s">
        <v>79</v>
      </c>
      <c r="AD14" s="38" t="s">
        <v>82</v>
      </c>
      <c r="AE14" s="38" t="s">
        <v>83</v>
      </c>
      <c r="AF14" s="38" t="s">
        <v>84</v>
      </c>
      <c r="AG14" s="38" t="s">
        <v>85</v>
      </c>
      <c r="AH14" s="38" t="s">
        <v>79</v>
      </c>
      <c r="AI14" s="38" t="s">
        <v>79</v>
      </c>
      <c r="AJ14" s="38" t="s">
        <v>79</v>
      </c>
      <c r="AK14" s="38" t="s">
        <v>79</v>
      </c>
      <c r="AL14" s="38" t="s">
        <v>79</v>
      </c>
      <c r="AM14" t="str">
        <f>VLOOKUP($R14,武学奇术!$A:$ZZ,25,FALSE)</f>
        <v>拳甲</v>
      </c>
      <c r="AN14" s="24">
        <f>VLOOKUP($R14,武学奇术!$A:$ZZ,26,FALSE)</f>
        <v>2.4421</v>
      </c>
      <c r="AO14" s="25">
        <f>VLOOKUP($R14,武学奇术!$A:$ZZ,27,FALSE)*(1+IF(OR($AM14=$F$4,$AM14=$F$5),$B$22,0))</f>
        <v>1012.5</v>
      </c>
      <c r="AP14" s="24">
        <f>VLOOKUP($R14,武学奇术!$A:$ZZ,28,FALSE)</f>
        <v>3.6634</v>
      </c>
      <c r="AQ14" s="25">
        <f>VLOOKUP($R14,武学奇术!$A:$ZZ,29,FALSE)*(1+IF(OR($AM14=$F$4,$AM14=$F$5),$B$22,0))</f>
        <v>549</v>
      </c>
      <c r="AR14" s="24" cm="1">
        <f t="array" ref="AR14">$G$3+IFERROR(VLOOKUP($AM14,$F$4:$G$7,2,FALSE),0)+VLOOKUP($R14,武学奇术!$A:$ZZ,2,FALSE)+SUM(_xlfn.XLOOKUP($S14:$AL14,增益!$A:$A,增益!$B:$B,0))</f>
        <v>0.4041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3901.102</v>
      </c>
      <c r="AU14" cm="1">
        <f t="array" ref="AU14">$E$10*(1+$AS14)+VLOOKUP($R14,武学奇术!$A:$ZZ,4,FALSE)+SUM(_xlfn.XLOOKUP($S14:$AL14,增益!$A:$A,增益!$D:$D,0))-$I$2</f>
        <v>3901.102</v>
      </c>
      <c r="AV14" s="30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0.297</v>
      </c>
      <c r="AW14" s="30" cm="1">
        <f t="array" ref="AW14">$G$10+VLOOKUP($R14,武学奇术!$A:$ZZ,7,FALSE)+SUM(_xlfn.XLOOKUP($S14:$AL14,增益!$A:$A,增益!$G:$G,0))</f>
        <v>0.09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0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0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0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0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0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-0.14</v>
      </c>
      <c r="BJ14" s="30" cm="1">
        <f t="array" ref="BJ14">$G$13+VLOOKUP($R14,武学奇术!$A:$ZZ,14,FALSE)+SUM(_xlfn.XLOOKUP($S14:$AL14,增益!$A:$A,增益!$N:$N,0))</f>
        <v>0</v>
      </c>
      <c r="BK14">
        <f t="shared" si="7"/>
        <v>605.472</v>
      </c>
      <c r="BL14">
        <f t="shared" si="8"/>
        <v>1725.468</v>
      </c>
      <c r="BM14" s="30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0.08</v>
      </c>
      <c r="BN14" s="30" cm="1">
        <f t="array" ref="BN14">$G$14+VLOOKUP($R14,武学奇术!$A:$ZZ,16,FALSE)+SUM(_xlfn.XLOOKUP($S14:$AL14,增益!$A:$A,增益!$P:$P,0))</f>
        <v>0.24</v>
      </c>
      <c r="BO14" s="24">
        <f>MIN(IF(VLOOKUP($R14,武学奇术!$A:$ZZ,23,FALSE)=1,100%,$B$8),100%)</f>
        <v>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0.9036</v>
      </c>
      <c r="BQ14" s="24" cm="1">
        <f t="array" ref="BQ14">1+$B$13+VLOOKUP($R14,武学奇术!$A:$ZZ,18,FALSE)+SUM(_xlfn.XLOOKUP($S14:$AL14,增益!$A:$A,增益!$R:$R,0))</f>
        <v>1.56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0.9036</v>
      </c>
      <c r="BU14" s="24">
        <f t="shared" si="10"/>
        <v>0.00350000000000006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spans="1:76">
      <c r="A15" s="40" t="s">
        <v>128</v>
      </c>
      <c r="B15" s="69">
        <v>0.0852</v>
      </c>
      <c r="C15" s="70" t="s">
        <v>129</v>
      </c>
      <c r="D15" s="70"/>
      <c r="F15" s="80"/>
      <c r="H15" s="81"/>
      <c r="I15" s="75"/>
      <c r="J15" s="76"/>
      <c r="K15">
        <f>$L15*VLOOKUP($R15,武学奇术!$A:$ZZ,31,FALSE)</f>
        <v>27768.4707038296</v>
      </c>
      <c r="L15" s="36">
        <f t="shared" si="0"/>
        <v>27768.4707038296</v>
      </c>
      <c r="M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$21,0))*(1+$BW15)</f>
        <v>27868.8994903041</v>
      </c>
      <c r="N15" s="36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</f>
        <v>27164.7658485382</v>
      </c>
      <c r="O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$21,0))*(1+$BW15)</f>
        <v>17864.6791604513</v>
      </c>
      <c r="P15" s="36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</f>
        <v>15607.3095442077</v>
      </c>
      <c r="Q15" s="70">
        <v>1</v>
      </c>
      <c r="R15" s="38" t="s">
        <v>122</v>
      </c>
      <c r="S15" s="38" t="s">
        <v>95</v>
      </c>
      <c r="T15" s="38" t="s">
        <v>79</v>
      </c>
      <c r="U15" s="38" t="s">
        <v>79</v>
      </c>
      <c r="V15" s="38" t="s">
        <v>80</v>
      </c>
      <c r="W15" s="38" t="s">
        <v>79</v>
      </c>
      <c r="X15" s="38" t="s">
        <v>79</v>
      </c>
      <c r="Y15" s="38" t="s">
        <v>89</v>
      </c>
      <c r="Z15" s="38" t="s">
        <v>90</v>
      </c>
      <c r="AA15" s="38" t="s">
        <v>79</v>
      </c>
      <c r="AB15" s="38" t="s">
        <v>97</v>
      </c>
      <c r="AC15" s="38" t="s">
        <v>79</v>
      </c>
      <c r="AD15" s="38" t="s">
        <v>82</v>
      </c>
      <c r="AE15" s="38" t="s">
        <v>83</v>
      </c>
      <c r="AF15" s="38" t="s">
        <v>84</v>
      </c>
      <c r="AG15" s="38" t="s">
        <v>85</v>
      </c>
      <c r="AH15" s="38" t="s">
        <v>79</v>
      </c>
      <c r="AI15" s="38" t="s">
        <v>79</v>
      </c>
      <c r="AJ15" s="38" t="s">
        <v>79</v>
      </c>
      <c r="AK15" s="38" t="s">
        <v>79</v>
      </c>
      <c r="AL15" s="38" t="s">
        <v>79</v>
      </c>
      <c r="AM15" t="str">
        <f>VLOOKUP($R15,武学奇术!$A:$ZZ,25,FALSE)</f>
        <v>拳甲</v>
      </c>
      <c r="AN15" s="24">
        <f>VLOOKUP($R15,武学奇术!$A:$ZZ,26,FALSE)</f>
        <v>1.2876</v>
      </c>
      <c r="AO15" s="25">
        <f>VLOOKUP($R15,武学奇术!$A:$ZZ,27,FALSE)*(1+IF(OR($AM15=$F$4,$AM15=$F$5),$B$22,0))</f>
        <v>537</v>
      </c>
      <c r="AP15" s="24">
        <f>VLOOKUP($R15,武学奇术!$A:$ZZ,28,FALSE)</f>
        <v>1.9313</v>
      </c>
      <c r="AQ15" s="25">
        <f>VLOOKUP($R15,武学奇术!$A:$ZZ,29,FALSE)*(1+IF(OR($AM15=$F$4,$AM15=$F$5),$B$22,0))</f>
        <v>292.5</v>
      </c>
      <c r="AR15" s="24" cm="1">
        <f t="array" ref="AR15">$G$3+IFERROR(VLOOKUP($AM15,$F$4:$G$7,2,FALSE),0)+VLOOKUP($R15,武学奇术!$A:$ZZ,2,FALSE)+SUM(_xlfn.XLOOKUP($S15:$AL15,增益!$A:$A,增益!$B:$B,0))</f>
        <v>0.4041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3901.102</v>
      </c>
      <c r="AU15" cm="1">
        <f t="array" ref="AU15">$E$10*(1+$AS15)+VLOOKUP($R15,武学奇术!$A:$ZZ,4,FALSE)+SUM(_xlfn.XLOOKUP($S15:$AL15,增益!$A:$A,增益!$D:$D,0))-$I$2</f>
        <v>3901.102</v>
      </c>
      <c r="AV15" s="30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0.297</v>
      </c>
      <c r="AW15" s="30" cm="1">
        <f t="array" ref="AW15">$G$10+VLOOKUP($R15,武学奇术!$A:$ZZ,7,FALSE)+SUM(_xlfn.XLOOKUP($S15:$AL15,增益!$A:$A,增益!$G:$G,0))</f>
        <v>0.09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0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0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0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0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0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-0.14</v>
      </c>
      <c r="BJ15" s="30" cm="1">
        <f t="array" ref="BJ15">$G$13+VLOOKUP($R15,武学奇术!$A:$ZZ,14,FALSE)+SUM(_xlfn.XLOOKUP($S15:$AL15,增益!$A:$A,增益!$N:$N,0))</f>
        <v>0</v>
      </c>
      <c r="BK15">
        <f t="shared" si="7"/>
        <v>605.472</v>
      </c>
      <c r="BL15">
        <f t="shared" si="8"/>
        <v>1725.468</v>
      </c>
      <c r="BM15" s="30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0.08</v>
      </c>
      <c r="BN15" s="30" cm="1">
        <f t="array" ref="BN15">$G$14+VLOOKUP($R15,武学奇术!$A:$ZZ,16,FALSE)+SUM(_xlfn.XLOOKUP($S15:$AL15,增益!$A:$A,增益!$P:$P,0))</f>
        <v>0.24</v>
      </c>
      <c r="BO15" s="24">
        <f>MIN(IF(VLOOKUP($R15,武学奇术!$A:$ZZ,23,FALSE)=1,100%,$B$8),100%)</f>
        <v>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0.9036</v>
      </c>
      <c r="BQ15" s="24" cm="1">
        <f t="array" ref="BQ15">1+$B$13+VLOOKUP($R15,武学奇术!$A:$ZZ,18,FALSE)+SUM(_xlfn.XLOOKUP($S15:$AL15,增益!$A:$A,增益!$R:$R,0))</f>
        <v>1.56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0.9036</v>
      </c>
      <c r="BU15" s="24">
        <f t="shared" si="10"/>
        <v>0.00350000000000006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130</v>
      </c>
      <c r="B16" s="69">
        <v>0.0887</v>
      </c>
      <c r="C16" s="70" t="s">
        <v>131</v>
      </c>
      <c r="D16" s="80" t="s">
        <v>132</v>
      </c>
      <c r="E16" s="70" t="s">
        <v>133</v>
      </c>
      <c r="F16" s="80" t="s">
        <v>132</v>
      </c>
      <c r="H16" s="67" t="s">
        <v>134</v>
      </c>
      <c r="I16" s="82">
        <f>I12/143983.53</f>
        <v>0.99999999460634</v>
      </c>
      <c r="J16" s="83"/>
      <c r="K16">
        <f>$L16*VLOOKUP($R16,武学奇术!$A:$ZZ,31,FALSE)</f>
        <v>96521.1241523272</v>
      </c>
      <c r="L16" s="36">
        <f t="shared" si="0"/>
        <v>74247.0185787132</v>
      </c>
      <c r="M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$21,0))*(1+$BW16)</f>
        <v>75566.1197951313</v>
      </c>
      <c r="N16" s="36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</f>
        <v>62683.2983895599</v>
      </c>
      <c r="O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$21,0))*(1+$BW16)</f>
        <v>40626.9461264147</v>
      </c>
      <c r="P16" s="36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</f>
        <v>34821.8193716739</v>
      </c>
      <c r="Q16" s="70">
        <v>1</v>
      </c>
      <c r="R16" s="38" t="s">
        <v>124</v>
      </c>
      <c r="S16" s="38" t="s">
        <v>101</v>
      </c>
      <c r="T16" s="38" t="s">
        <v>79</v>
      </c>
      <c r="U16" s="38" t="s">
        <v>79</v>
      </c>
      <c r="V16" s="38" t="s">
        <v>80</v>
      </c>
      <c r="W16" s="38" t="s">
        <v>79</v>
      </c>
      <c r="X16" s="38" t="s">
        <v>79</v>
      </c>
      <c r="Y16" s="38" t="s">
        <v>89</v>
      </c>
      <c r="Z16" s="38" t="s">
        <v>90</v>
      </c>
      <c r="AA16" s="38" t="s">
        <v>112</v>
      </c>
      <c r="AB16" s="38" t="s">
        <v>97</v>
      </c>
      <c r="AC16" s="38" t="s">
        <v>79</v>
      </c>
      <c r="AD16" s="38" t="s">
        <v>82</v>
      </c>
      <c r="AE16" s="38" t="s">
        <v>83</v>
      </c>
      <c r="AF16" s="38" t="s">
        <v>84</v>
      </c>
      <c r="AG16" s="38" t="s">
        <v>85</v>
      </c>
      <c r="AH16" s="38" t="s">
        <v>79</v>
      </c>
      <c r="AI16" s="38" t="s">
        <v>79</v>
      </c>
      <c r="AJ16" s="38" t="s">
        <v>79</v>
      </c>
      <c r="AK16" s="38" t="s">
        <v>79</v>
      </c>
      <c r="AL16" s="38" t="s">
        <v>79</v>
      </c>
      <c r="AM16" t="str">
        <f>VLOOKUP($R16,武学奇术!$A:$ZZ,25,FALSE)</f>
        <v>拳甲</v>
      </c>
      <c r="AN16" s="24">
        <f>VLOOKUP($R16,武学奇术!$A:$ZZ,26,FALSE)</f>
        <v>2.638944</v>
      </c>
      <c r="AO16" s="25">
        <f>VLOOKUP($R16,武学奇术!$A:$ZZ,27,FALSE)*(1+IF(OR($AM16=$F$4,$AM16=$F$5),$B$22,0))</f>
        <v>0</v>
      </c>
      <c r="AP16" s="24">
        <f>VLOOKUP($R16,武学奇术!$A:$ZZ,28,FALSE)</f>
        <v>3.958416</v>
      </c>
      <c r="AQ16" s="25">
        <f>VLOOKUP($R16,武学奇术!$A:$ZZ,29,FALSE)*(1+IF(OR($AM16=$F$4,$AM16=$F$5),$B$22,0))</f>
        <v>0</v>
      </c>
      <c r="AR16" s="24" cm="1">
        <f t="array" ref="AR16">$G$3+IFERROR(VLOOKUP($AM16,$F$4:$G$7,2,FALSE),0)+VLOOKUP($R16,武学奇术!$A:$ZZ,2,FALSE)+SUM(_xlfn.XLOOKUP($S16:$AL16,增益!$A:$A,增益!$B:$B,0))</f>
        <v>0.7141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3901.102</v>
      </c>
      <c r="AU16" cm="1">
        <f t="array" ref="AU16">$E$10*(1+$AS16)+VLOOKUP($R16,武学奇术!$A:$ZZ,4,FALSE)+SUM(_xlfn.XLOOKUP($S16:$AL16,增益!$A:$A,增益!$D:$D,0))-$I$2</f>
        <v>3901.102</v>
      </c>
      <c r="AV16" s="30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0.337</v>
      </c>
      <c r="AW16" s="30" cm="1">
        <f t="array" ref="AW16">$G$10+VLOOKUP($R16,武学奇术!$A:$ZZ,7,FALSE)+SUM(_xlfn.XLOOKUP($S16:$AL16,增益!$A:$A,增益!$G:$G,0))</f>
        <v>0.09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0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-0.08</v>
      </c>
      <c r="BB16" s="30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0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-0.08</v>
      </c>
      <c r="BF16" s="30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0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-0.08</v>
      </c>
      <c r="BJ16" s="30" cm="1">
        <f t="array" ref="BJ16">$G$13+VLOOKUP($R16,武学奇术!$A:$ZZ,14,FALSE)+SUM(_xlfn.XLOOKUP($S16:$AL16,增益!$A:$A,增益!$N:$N,0))</f>
        <v>0</v>
      </c>
      <c r="BK16">
        <f t="shared" si="7"/>
        <v>605.472</v>
      </c>
      <c r="BL16">
        <f t="shared" si="8"/>
        <v>1725.468</v>
      </c>
      <c r="BM16" s="30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0.11</v>
      </c>
      <c r="BN16" s="30" cm="1">
        <f t="array" ref="BN16">$G$14+VLOOKUP($R16,武学奇术!$A:$ZZ,16,FALSE)+SUM(_xlfn.XLOOKUP($S16:$AL16,增益!$A:$A,增益!$P:$P,0))</f>
        <v>0.24</v>
      </c>
      <c r="BO16" s="24">
        <f>MIN(IF(VLOOKUP($R16,武学奇术!$A:$ZZ,23,FALSE)=1,100%,$B$8),100%)</f>
        <v>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0.9036</v>
      </c>
      <c r="BQ16" s="24" cm="1">
        <f t="array" ref="BQ16">1+$B$13+VLOOKUP($R16,武学奇术!$A:$ZZ,18,FALSE)+SUM(_xlfn.XLOOKUP($S16:$AL16,增益!$A:$A,增益!$R:$R,0))</f>
        <v>1.86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0.9036</v>
      </c>
      <c r="BU16" s="24">
        <f t="shared" si="10"/>
        <v>0.00350000000000006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spans="1:76">
      <c r="A17" s="40" t="s">
        <v>135</v>
      </c>
      <c r="B17" s="69">
        <v>0.0852</v>
      </c>
      <c r="C17" s="70" t="s">
        <v>136</v>
      </c>
      <c r="D17" s="80" t="s">
        <v>132</v>
      </c>
      <c r="E17" s="70" t="s">
        <v>137</v>
      </c>
      <c r="F17" s="80" t="s">
        <v>132</v>
      </c>
      <c r="H17" s="71"/>
      <c r="I17" s="84"/>
      <c r="J17" s="85"/>
      <c r="K17">
        <f>$L17*VLOOKUP($R17,武学奇术!$A:$ZZ,31,FALSE)</f>
        <v>884841.178061143</v>
      </c>
      <c r="L17" s="36">
        <f t="shared" si="0"/>
        <v>1047149.32314928</v>
      </c>
      <c r="M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$21,0))*(1+$BW17)</f>
        <v>1049238.75549859</v>
      </c>
      <c r="N17" s="36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</f>
        <v>682598.166900492</v>
      </c>
      <c r="O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$21,0))*(1+$BW17)</f>
        <v>452258.084266635</v>
      </c>
      <c r="P17" s="36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</f>
        <v>398887.896755128</v>
      </c>
      <c r="Q17" s="70">
        <v>1</v>
      </c>
      <c r="R17" s="38" t="s">
        <v>138</v>
      </c>
      <c r="S17" s="38" t="s">
        <v>104</v>
      </c>
      <c r="T17" s="38" t="s">
        <v>139</v>
      </c>
      <c r="U17" s="38" t="s">
        <v>140</v>
      </c>
      <c r="V17" s="38" t="s">
        <v>80</v>
      </c>
      <c r="W17" s="38" t="s">
        <v>79</v>
      </c>
      <c r="X17" s="38" t="s">
        <v>79</v>
      </c>
      <c r="Y17" s="38" t="s">
        <v>96</v>
      </c>
      <c r="Z17" s="38" t="s">
        <v>90</v>
      </c>
      <c r="AA17" s="38" t="s">
        <v>112</v>
      </c>
      <c r="AB17" s="38" t="s">
        <v>97</v>
      </c>
      <c r="AC17" s="38" t="s">
        <v>79</v>
      </c>
      <c r="AD17" s="38" t="s">
        <v>82</v>
      </c>
      <c r="AE17" s="38" t="s">
        <v>83</v>
      </c>
      <c r="AF17" s="38" t="s">
        <v>84</v>
      </c>
      <c r="AG17" s="38" t="s">
        <v>85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t="str">
        <f>VLOOKUP($R17,武学奇术!$A:$ZZ,25,FALSE)</f>
        <v>拳甲</v>
      </c>
      <c r="AN17" s="24">
        <f>VLOOKUP($R17,武学奇术!$A:$ZZ,26,FALSE)</f>
        <v>16.8107</v>
      </c>
      <c r="AO17" s="25">
        <f>VLOOKUP($R17,武学奇术!$A:$ZZ,27,FALSE)*(1+IF(OR($AM17=$F$4,$AM17=$F$5),$B$22,0))</f>
        <v>6970.5</v>
      </c>
      <c r="AP17" s="24">
        <f>VLOOKUP($R17,武学奇术!$A:$ZZ,28,FALSE)</f>
        <v>25.2161</v>
      </c>
      <c r="AQ17" s="25">
        <f>VLOOKUP($R17,武学奇术!$A:$ZZ,29,FALSE)*(1+IF(OR($AM17=$F$4,$AM17=$F$5),$B$22,0))</f>
        <v>3799.5</v>
      </c>
      <c r="AR17" s="24" cm="1">
        <f t="array" ref="AR17">$G$3+IFERROR(VLOOKUP($AM17,$F$4:$G$7,2,FALSE),0)+VLOOKUP($R17,武学奇术!$A:$ZZ,2,FALSE)+SUM(_xlfn.XLOOKUP($S17:$AL17,增益!$A:$A,增益!$B:$B,0))</f>
        <v>0.8741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3901.102</v>
      </c>
      <c r="AU17" cm="1">
        <f t="array" ref="AU17">$E$10*(1+$AS17)+VLOOKUP($R17,武学奇术!$A:$ZZ,4,FALSE)+SUM(_xlfn.XLOOKUP($S17:$AL17,增益!$A:$A,增益!$D:$D,0))-$I$2</f>
        <v>3901.102</v>
      </c>
      <c r="AV17" s="30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0.472</v>
      </c>
      <c r="AW17" s="30" cm="1">
        <f t="array" ref="AW17">$G$10+VLOOKUP($R17,武学奇术!$A:$ZZ,7,FALSE)+SUM(_xlfn.XLOOKUP($S17:$AL17,增益!$A:$A,增益!$G:$G,0))</f>
        <v>0.09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0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-0.08</v>
      </c>
      <c r="BB17" s="30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0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-0.08</v>
      </c>
      <c r="BF17" s="30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0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-0.08</v>
      </c>
      <c r="BJ17" s="30" cm="1">
        <f t="array" ref="BJ17">$G$13+VLOOKUP($R17,武学奇术!$A:$ZZ,14,FALSE)+SUM(_xlfn.XLOOKUP($S17:$AL17,增益!$A:$A,增益!$N:$N,0))</f>
        <v>0</v>
      </c>
      <c r="BK17">
        <f t="shared" si="7"/>
        <v>605.472</v>
      </c>
      <c r="BL17">
        <f t="shared" si="8"/>
        <v>1725.468</v>
      </c>
      <c r="BM17" s="30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0.11</v>
      </c>
      <c r="BN17" s="30" cm="1">
        <f t="array" ref="BN17">$G$14+VLOOKUP($R17,武学奇术!$A:$ZZ,16,FALSE)+SUM(_xlfn.XLOOKUP($S17:$AL17,增益!$A:$A,增益!$P:$P,0))</f>
        <v>0.24</v>
      </c>
      <c r="BO17" s="24">
        <f>MIN(IF(VLOOKUP($R17,武学奇术!$A:$ZZ,23,FALSE)=1,100%,$B$8),100%)</f>
        <v>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0.9965</v>
      </c>
      <c r="BQ17" s="24" cm="1">
        <f t="array" ref="BQ17">1+$B$13+VLOOKUP($R17,武学奇术!$A:$ZZ,18,FALSE)+SUM(_xlfn.XLOOKUP($S17:$AL17,增益!$A:$A,增益!$R:$R,0))</f>
        <v>2.32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0.9965</v>
      </c>
      <c r="BU17" s="24">
        <f t="shared" si="10"/>
        <v>0.00350000000000006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141</v>
      </c>
      <c r="B18" s="69">
        <v>0</v>
      </c>
      <c r="C18" s="70" t="s">
        <v>142</v>
      </c>
      <c r="D18" s="80" t="s">
        <v>132</v>
      </c>
      <c r="E18" s="70" t="s">
        <v>143</v>
      </c>
      <c r="F18" s="86">
        <v>0.5</v>
      </c>
      <c r="H18" s="67" t="s">
        <v>144</v>
      </c>
      <c r="I18" s="34">
        <v>50</v>
      </c>
      <c r="J18" s="35"/>
      <c r="K18">
        <f>$L18*VLOOKUP($R18,武学奇术!$A:$ZZ,31,FALSE)</f>
        <v>209429.864629856</v>
      </c>
      <c r="L18" s="87">
        <f>L17*0.4*(1+BX18)</f>
        <v>418859.729259713</v>
      </c>
      <c r="M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$21,0))*(1+$BW18)</f>
        <v>0</v>
      </c>
      <c r="N18" s="36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</f>
        <v>0</v>
      </c>
      <c r="O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$21,0))*(1+$BW18)</f>
        <v>0</v>
      </c>
      <c r="P18" s="36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</f>
        <v>0</v>
      </c>
      <c r="Q18" s="70">
        <v>1</v>
      </c>
      <c r="R18" s="38" t="s">
        <v>145</v>
      </c>
      <c r="S18" s="38" t="s">
        <v>146</v>
      </c>
      <c r="T18" s="38" t="s">
        <v>79</v>
      </c>
      <c r="U18" s="38" t="s">
        <v>79</v>
      </c>
      <c r="V18" s="38" t="s">
        <v>79</v>
      </c>
      <c r="W18" s="38" t="s">
        <v>79</v>
      </c>
      <c r="X18" s="38" t="s">
        <v>79</v>
      </c>
      <c r="Y18" s="38" t="s">
        <v>79</v>
      </c>
      <c r="Z18" s="38" t="s">
        <v>79</v>
      </c>
      <c r="AA18" s="38" t="s">
        <v>79</v>
      </c>
      <c r="AB18" s="38" t="s">
        <v>79</v>
      </c>
      <c r="AC18" s="38" t="s">
        <v>79</v>
      </c>
      <c r="AD18" s="38" t="s">
        <v>82</v>
      </c>
      <c r="AE18" s="38" t="s">
        <v>83</v>
      </c>
      <c r="AF18" s="38" t="s">
        <v>84</v>
      </c>
      <c r="AG18" s="38" t="s">
        <v>85</v>
      </c>
      <c r="AH18" s="38" t="s">
        <v>79</v>
      </c>
      <c r="AI18" s="38" t="s">
        <v>79</v>
      </c>
      <c r="AJ18" s="38" t="s">
        <v>79</v>
      </c>
      <c r="AK18" s="38" t="s">
        <v>79</v>
      </c>
      <c r="AL18" s="38" t="s">
        <v>79</v>
      </c>
      <c r="AM18" t="str">
        <f>VLOOKUP($R18,武学奇术!$A:$ZZ,25,FALSE)</f>
        <v>拳甲</v>
      </c>
      <c r="AN18" s="24">
        <f>VLOOKUP($R18,武学奇术!$A:$ZZ,26,FALSE)</f>
        <v>0</v>
      </c>
      <c r="AO18" s="25">
        <f>VLOOKUP($R18,武学奇术!$A:$ZZ,27,FALSE)*(1+IF(OR($AM18=$F$4,$AM18=$F$5),$B$22,0))</f>
        <v>0</v>
      </c>
      <c r="AP18" s="24">
        <f>VLOOKUP($R18,武学奇术!$A:$ZZ,28,FALSE)</f>
        <v>0</v>
      </c>
      <c r="AQ18" s="25">
        <f>VLOOKUP($R18,武学奇术!$A:$ZZ,29,FALSE)*(1+IF(OR($AM18=$F$4,$AM18=$F$5),$B$22,0))</f>
        <v>0</v>
      </c>
      <c r="AR18" s="24" cm="1">
        <f t="array" ref="AR18">$G$3+IFERROR(VLOOKUP($AM18,$F$4:$G$7,2,FALSE),0)+VLOOKUP($R18,武学奇术!$A:$ZZ,2,FALSE)+SUM(_xlfn.XLOOKUP($S18:$AL18,增益!$A:$A,增益!$B:$B,0))</f>
        <v>0.3541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3901.102</v>
      </c>
      <c r="AU18" cm="1">
        <f t="array" ref="AU18">$E$10*(1+$AS18)+VLOOKUP($R18,武学奇术!$A:$ZZ,4,FALSE)+SUM(_xlfn.XLOOKUP($S18:$AL18,增益!$A:$A,增益!$D:$D,0))-$I$2</f>
        <v>3901.102</v>
      </c>
      <c r="AV18" s="30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0.267</v>
      </c>
      <c r="AW18" s="30" cm="1">
        <f t="array" ref="AW18">$G$10+VLOOKUP($R18,武学奇术!$A:$ZZ,7,FALSE)+SUM(_xlfn.XLOOKUP($S18:$AL18,增益!$A:$A,增益!$G:$G,0))</f>
        <v>0.09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0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0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0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0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0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0" cm="1">
        <f t="array" ref="BJ18">$G$13+VLOOKUP($R18,武学奇术!$A:$ZZ,14,FALSE)+SUM(_xlfn.XLOOKUP($S18:$AL18,增益!$A:$A,增益!$N:$N,0))</f>
        <v>0</v>
      </c>
      <c r="BK18">
        <f t="shared" si="7"/>
        <v>605.472</v>
      </c>
      <c r="BL18">
        <f t="shared" si="8"/>
        <v>1725.468</v>
      </c>
      <c r="BM18" s="30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0" cm="1">
        <f t="array" ref="BN18">$G$14+VLOOKUP($R18,武学奇术!$A:$ZZ,16,FALSE)+SUM(_xlfn.XLOOKUP($S18:$AL18,增益!$A:$A,增益!$P:$P,0))</f>
        <v>0.24</v>
      </c>
      <c r="BO18" s="24">
        <f>MIN(IF(VLOOKUP($R18,武学奇术!$A:$ZZ,23,FALSE)=1,100%,$B$8),100%)</f>
        <v>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0.9036</v>
      </c>
      <c r="BQ18" s="24" cm="1">
        <f t="array" ref="BQ18">1+$B$13+VLOOKUP($R18,武学奇术!$A:$ZZ,18,FALSE)+SUM(_xlfn.XLOOKUP($S18:$AL18,增益!$A:$A,增益!$R:$R,0))</f>
        <v>1.54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0.9036</v>
      </c>
      <c r="BU18" s="24">
        <f t="shared" si="10"/>
        <v>0.00350000000000006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ht="14.25" spans="1:76">
      <c r="A19" s="40" t="s">
        <v>147</v>
      </c>
      <c r="B19" s="69">
        <v>0</v>
      </c>
      <c r="C19" s="70" t="s">
        <v>148</v>
      </c>
      <c r="D19" s="80" t="s">
        <v>132</v>
      </c>
      <c r="H19" s="71"/>
      <c r="I19" s="81"/>
      <c r="J19" s="95"/>
      <c r="K19">
        <f>$L19*VLOOKUP($R19,武学奇术!$A:$ZZ,31,FALSE)</f>
        <v>73438.0300204463</v>
      </c>
      <c r="L19" s="36">
        <f t="shared" si="0"/>
        <v>73438.0300204463</v>
      </c>
      <c r="M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$21,0))*(1+$BW19)</f>
        <v>74776.8013120269</v>
      </c>
      <c r="N19" s="36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</f>
        <v>61643.6664659254</v>
      </c>
      <c r="O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$21,0))*(1+$BW19)</f>
        <v>40861.6400612169</v>
      </c>
      <c r="P19" s="36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</f>
        <v>36061.3049624891</v>
      </c>
      <c r="Q19" s="70">
        <v>1</v>
      </c>
      <c r="R19" s="38" t="s">
        <v>127</v>
      </c>
      <c r="S19" s="38" t="s">
        <v>104</v>
      </c>
      <c r="T19" s="38" t="s">
        <v>139</v>
      </c>
      <c r="U19" s="38" t="s">
        <v>140</v>
      </c>
      <c r="V19" s="38" t="s">
        <v>80</v>
      </c>
      <c r="W19" s="38" t="s">
        <v>79</v>
      </c>
      <c r="X19" s="38" t="s">
        <v>79</v>
      </c>
      <c r="Y19" s="38" t="s">
        <v>102</v>
      </c>
      <c r="Z19" s="38" t="s">
        <v>90</v>
      </c>
      <c r="AA19" s="38" t="s">
        <v>79</v>
      </c>
      <c r="AB19" s="38" t="s">
        <v>91</v>
      </c>
      <c r="AC19" s="38" t="s">
        <v>79</v>
      </c>
      <c r="AD19" s="38" t="s">
        <v>82</v>
      </c>
      <c r="AE19" s="38" t="s">
        <v>83</v>
      </c>
      <c r="AF19" s="38" t="s">
        <v>84</v>
      </c>
      <c r="AG19" s="38" t="s">
        <v>85</v>
      </c>
      <c r="AH19" s="38" t="s">
        <v>79</v>
      </c>
      <c r="AI19" s="38" t="s">
        <v>79</v>
      </c>
      <c r="AJ19" s="38" t="s">
        <v>79</v>
      </c>
      <c r="AK19" s="38" t="s">
        <v>79</v>
      </c>
      <c r="AL19" s="38" t="s">
        <v>79</v>
      </c>
      <c r="AM19" t="str">
        <f>VLOOKUP($R19,武学奇术!$A:$ZZ,25,FALSE)</f>
        <v>拳甲</v>
      </c>
      <c r="AN19" s="24">
        <f>VLOOKUP($R19,武学奇术!$A:$ZZ,26,FALSE)</f>
        <v>2.4421</v>
      </c>
      <c r="AO19" s="25">
        <f>VLOOKUP($R19,武学奇术!$A:$ZZ,27,FALSE)*(1+IF(OR($AM19=$F$4,$AM19=$F$5),$B$22,0))</f>
        <v>1012.5</v>
      </c>
      <c r="AP19" s="24">
        <f>VLOOKUP($R19,武学奇术!$A:$ZZ,28,FALSE)</f>
        <v>3.6634</v>
      </c>
      <c r="AQ19" s="25">
        <f>VLOOKUP($R19,武学奇术!$A:$ZZ,29,FALSE)*(1+IF(OR($AM19=$F$4,$AM19=$F$5),$B$22,0))</f>
        <v>549</v>
      </c>
      <c r="AR19" s="24" cm="1">
        <f t="array" ref="AR19">$G$3+IFERROR(VLOOKUP($AM19,$F$4:$G$7,2,FALSE),0)+VLOOKUP($R19,武学奇术!$A:$ZZ,2,FALSE)+SUM(_xlfn.XLOOKUP($S19:$AL19,增益!$A:$A,增益!$B:$B,0))</f>
        <v>0.5741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3901.102</v>
      </c>
      <c r="AU19" cm="1">
        <f t="array" ref="AU19">$E$10*(1+$AS19)+VLOOKUP($R19,武学奇术!$A:$ZZ,4,FALSE)+SUM(_xlfn.XLOOKUP($S19:$AL19,增益!$A:$A,增益!$D:$D,0))-$I$2</f>
        <v>3901.102</v>
      </c>
      <c r="AV19" s="30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0.442</v>
      </c>
      <c r="AW19" s="30" cm="1">
        <f t="array" ref="AW19">$G$10+VLOOKUP($R19,武学奇术!$A:$ZZ,7,FALSE)+SUM(_xlfn.XLOOKUP($S19:$AL19,增益!$A:$A,增益!$G:$G,0))</f>
        <v>0.09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0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0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0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0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0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-0.14</v>
      </c>
      <c r="BJ19" s="30" cm="1">
        <f t="array" ref="BJ19">$G$13+VLOOKUP($R19,武学奇术!$A:$ZZ,14,FALSE)+SUM(_xlfn.XLOOKUP($S19:$AL19,增益!$A:$A,增益!$N:$N,0))</f>
        <v>0</v>
      </c>
      <c r="BK19">
        <f t="shared" si="7"/>
        <v>605.472</v>
      </c>
      <c r="BL19">
        <f t="shared" si="8"/>
        <v>1725.468</v>
      </c>
      <c r="BM19" s="30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0.08</v>
      </c>
      <c r="BN19" s="30" cm="1">
        <f t="array" ref="BN19">$G$14+VLOOKUP($R19,武学奇术!$A:$ZZ,16,FALSE)+SUM(_xlfn.XLOOKUP($S19:$AL19,增益!$A:$A,增益!$P:$P,0))</f>
        <v>0.24</v>
      </c>
      <c r="BO19" s="24">
        <f>MIN(IF(VLOOKUP($R19,武学奇术!$A:$ZZ,23,FALSE)=1,100%,$B$8),100%)</f>
        <v>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0.9036</v>
      </c>
      <c r="BQ19" s="24" cm="1">
        <f t="array" ref="BQ19">1+$B$13+VLOOKUP($R19,武学奇术!$A:$ZZ,18,FALSE)+SUM(_xlfn.XLOOKUP($S19:$AL19,增益!$A:$A,增益!$R:$R,0))</f>
        <v>1.83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0.9036</v>
      </c>
      <c r="BU19" s="24">
        <f t="shared" si="10"/>
        <v>0.00350000000000006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spans="1:76">
      <c r="A20" s="40" t="s">
        <v>149</v>
      </c>
      <c r="B20" s="69">
        <v>0</v>
      </c>
      <c r="C20" s="70" t="s">
        <v>150</v>
      </c>
      <c r="D20" s="80" t="s">
        <v>132</v>
      </c>
      <c r="H20" s="67" t="s">
        <v>151</v>
      </c>
      <c r="I20" s="82">
        <f>SUM(K:K)/SUM(L:L)</f>
        <v>0.910407621497572</v>
      </c>
      <c r="J20" s="83"/>
      <c r="K20">
        <f>$L20*VLOOKUP($R20,武学奇术!$A:$ZZ,31,FALSE)</f>
        <v>32004.9951722507</v>
      </c>
      <c r="L20" s="36">
        <f t="shared" si="0"/>
        <v>32004.9951722507</v>
      </c>
      <c r="M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$21,0))*(1+$BW20)</f>
        <v>32180.662418211</v>
      </c>
      <c r="N20" s="36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</f>
        <v>30739.6197525781</v>
      </c>
      <c r="O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$21,0))*(1+$BW20)</f>
        <v>20239.4103259189</v>
      </c>
      <c r="P20" s="36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</f>
        <v>17708.7319462243</v>
      </c>
      <c r="Q20" s="70">
        <v>1</v>
      </c>
      <c r="R20" s="38" t="s">
        <v>122</v>
      </c>
      <c r="S20" s="38" t="s">
        <v>104</v>
      </c>
      <c r="T20" s="38" t="s">
        <v>79</v>
      </c>
      <c r="U20" s="38" t="s">
        <v>140</v>
      </c>
      <c r="V20" s="38" t="s">
        <v>80</v>
      </c>
      <c r="W20" s="38" t="s">
        <v>79</v>
      </c>
      <c r="X20" s="38" t="s">
        <v>79</v>
      </c>
      <c r="Y20" s="38" t="s">
        <v>152</v>
      </c>
      <c r="Z20" s="38" t="s">
        <v>90</v>
      </c>
      <c r="AA20" s="38" t="s">
        <v>79</v>
      </c>
      <c r="AB20" s="38" t="s">
        <v>91</v>
      </c>
      <c r="AC20" s="38" t="s">
        <v>79</v>
      </c>
      <c r="AD20" s="38" t="s">
        <v>82</v>
      </c>
      <c r="AE20" s="38" t="s">
        <v>83</v>
      </c>
      <c r="AF20" s="38" t="s">
        <v>84</v>
      </c>
      <c r="AG20" s="38" t="s">
        <v>85</v>
      </c>
      <c r="AH20" s="38" t="s">
        <v>79</v>
      </c>
      <c r="AI20" s="38" t="s">
        <v>79</v>
      </c>
      <c r="AJ20" s="38" t="s">
        <v>79</v>
      </c>
      <c r="AK20" s="38" t="s">
        <v>79</v>
      </c>
      <c r="AL20" s="38" t="s">
        <v>79</v>
      </c>
      <c r="AM20" t="str">
        <f>VLOOKUP($R20,武学奇术!$A:$ZZ,25,FALSE)</f>
        <v>拳甲</v>
      </c>
      <c r="AN20" s="24">
        <f>VLOOKUP($R20,武学奇术!$A:$ZZ,26,FALSE)</f>
        <v>1.2876</v>
      </c>
      <c r="AO20" s="25">
        <f>VLOOKUP($R20,武学奇术!$A:$ZZ,27,FALSE)*(1+IF(OR($AM20=$F$4,$AM20=$F$5),$B$22,0))</f>
        <v>537</v>
      </c>
      <c r="AP20" s="24">
        <f>VLOOKUP($R20,武学奇术!$A:$ZZ,28,FALSE)</f>
        <v>1.9313</v>
      </c>
      <c r="AQ20" s="25">
        <f>VLOOKUP($R20,武学奇术!$A:$ZZ,29,FALSE)*(1+IF(OR($AM20=$F$4,$AM20=$F$5),$B$22,0))</f>
        <v>292.5</v>
      </c>
      <c r="AR20" s="24" cm="1">
        <f t="array" ref="AR20">$G$3+IFERROR(VLOOKUP($AM20,$F$4:$G$7,2,FALSE),0)+VLOOKUP($R20,武学奇术!$A:$ZZ,2,FALSE)+SUM(_xlfn.XLOOKUP($S20:$AL20,增益!$A:$A,增益!$B:$B,0))</f>
        <v>0.5741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3901.102</v>
      </c>
      <c r="AU20" cm="1">
        <f t="array" ref="AU20">$E$10*(1+$AS20)+VLOOKUP($R20,武学奇术!$A:$ZZ,4,FALSE)+SUM(_xlfn.XLOOKUP($S20:$AL20,增益!$A:$A,增益!$D:$D,0))-$I$2</f>
        <v>3901.102</v>
      </c>
      <c r="AV20" s="30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0.317</v>
      </c>
      <c r="AW20" s="30" cm="1">
        <f t="array" ref="AW20">$G$10+VLOOKUP($R20,武学奇术!$A:$ZZ,7,FALSE)+SUM(_xlfn.XLOOKUP($S20:$AL20,增益!$A:$A,增益!$G:$G,0))</f>
        <v>0.09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0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0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0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0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0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-0.14</v>
      </c>
      <c r="BJ20" s="30" cm="1">
        <f t="array" ref="BJ20">$G$13+VLOOKUP($R20,武学奇术!$A:$ZZ,14,FALSE)+SUM(_xlfn.XLOOKUP($S20:$AL20,增益!$A:$A,增益!$N:$N,0))</f>
        <v>0</v>
      </c>
      <c r="BK20">
        <f t="shared" si="7"/>
        <v>605.472</v>
      </c>
      <c r="BL20">
        <f t="shared" si="8"/>
        <v>1725.468</v>
      </c>
      <c r="BM20" s="30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0.08</v>
      </c>
      <c r="BN20" s="30" cm="1">
        <f t="array" ref="BN20">$G$14+VLOOKUP($R20,武学奇术!$A:$ZZ,16,FALSE)+SUM(_xlfn.XLOOKUP($S20:$AL20,增益!$A:$A,增益!$P:$P,0))</f>
        <v>0.24</v>
      </c>
      <c r="BO20" s="24">
        <f>MIN(IF(VLOOKUP($R20,武学奇术!$A:$ZZ,23,FALSE)=1,100%,$B$8),100%)</f>
        <v>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0.9036</v>
      </c>
      <c r="BQ20" s="24" cm="1">
        <f t="array" ref="BQ20">1+$B$13+VLOOKUP($R20,武学奇术!$A:$ZZ,18,FALSE)+SUM(_xlfn.XLOOKUP($S20:$AL20,增益!$A:$A,增益!$R:$R,0))</f>
        <v>1.59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0.9036</v>
      </c>
      <c r="BU20" s="24">
        <f t="shared" si="10"/>
        <v>0.00350000000000006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s="88" t="s">
        <v>153</v>
      </c>
      <c r="B21" s="96">
        <v>0.32</v>
      </c>
      <c r="C21" s="70" t="s">
        <v>154</v>
      </c>
      <c r="D21" s="80" t="s">
        <v>155</v>
      </c>
      <c r="E21" s="70" t="s">
        <v>156</v>
      </c>
      <c r="F21" s="70"/>
      <c r="H21" s="71"/>
      <c r="I21" s="84"/>
      <c r="J21" s="85"/>
      <c r="K21">
        <f>$L21*VLOOKUP($R21,武学奇术!$A:$ZZ,31,FALSE)</f>
        <v>107653.461831166</v>
      </c>
      <c r="L21" s="36">
        <f t="shared" si="0"/>
        <v>82810.3552547431</v>
      </c>
      <c r="M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$21,0))*(1+$BW21)</f>
        <v>84393.4837364306</v>
      </c>
      <c r="N21" s="36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</f>
        <v>68849.5061502991</v>
      </c>
      <c r="O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$21,0))*(1+$BW21)</f>
        <v>44652.6368975824</v>
      </c>
      <c r="P21" s="36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</f>
        <v>38305.639609758</v>
      </c>
      <c r="Q21" s="70">
        <v>1</v>
      </c>
      <c r="R21" s="38" t="s">
        <v>124</v>
      </c>
      <c r="S21" s="38" t="s">
        <v>104</v>
      </c>
      <c r="T21" s="38" t="s">
        <v>79</v>
      </c>
      <c r="U21" s="38" t="s">
        <v>140</v>
      </c>
      <c r="V21" s="38" t="s">
        <v>80</v>
      </c>
      <c r="W21" s="38" t="s">
        <v>79</v>
      </c>
      <c r="X21" s="38" t="s">
        <v>79</v>
      </c>
      <c r="Y21" s="38" t="s">
        <v>152</v>
      </c>
      <c r="Z21" s="38" t="s">
        <v>90</v>
      </c>
      <c r="AA21" s="38" t="s">
        <v>112</v>
      </c>
      <c r="AB21" s="38" t="s">
        <v>91</v>
      </c>
      <c r="AC21" s="38" t="s">
        <v>79</v>
      </c>
      <c r="AD21" s="38" t="s">
        <v>82</v>
      </c>
      <c r="AE21" s="38" t="s">
        <v>83</v>
      </c>
      <c r="AF21" s="38" t="s">
        <v>84</v>
      </c>
      <c r="AG21" s="38" t="s">
        <v>85</v>
      </c>
      <c r="AH21" s="38" t="s">
        <v>79</v>
      </c>
      <c r="AI21" s="38" t="s">
        <v>79</v>
      </c>
      <c r="AJ21" s="38" t="s">
        <v>79</v>
      </c>
      <c r="AK21" s="38" t="s">
        <v>79</v>
      </c>
      <c r="AL21" s="38" t="s">
        <v>79</v>
      </c>
      <c r="AM21" t="str">
        <f>VLOOKUP($R21,武学奇术!$A:$ZZ,25,FALSE)</f>
        <v>拳甲</v>
      </c>
      <c r="AN21" s="24">
        <f>VLOOKUP($R21,武学奇术!$A:$ZZ,26,FALSE)</f>
        <v>2.638944</v>
      </c>
      <c r="AO21" s="25">
        <f>VLOOKUP($R21,武学奇术!$A:$ZZ,27,FALSE)*(1+IF(OR($AM21=$F$4,$AM21=$F$5),$B$22,0))</f>
        <v>0</v>
      </c>
      <c r="AP21" s="24">
        <f>VLOOKUP($R21,武学奇术!$A:$ZZ,28,FALSE)</f>
        <v>3.958416</v>
      </c>
      <c r="AQ21" s="25">
        <f>VLOOKUP($R21,武学奇术!$A:$ZZ,29,FALSE)*(1+IF(OR($AM21=$F$4,$AM21=$F$5),$B$22,0))</f>
        <v>0</v>
      </c>
      <c r="AR21" s="24" cm="1">
        <f t="array" ref="AR21">$G$3+IFERROR(VLOOKUP($AM21,$F$4:$G$7,2,FALSE),0)+VLOOKUP($R21,武学奇术!$A:$ZZ,2,FALSE)+SUM(_xlfn.XLOOKUP($S21:$AL21,增益!$A:$A,增益!$B:$B,0))</f>
        <v>0.8741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3901.102</v>
      </c>
      <c r="AU21" cm="1">
        <f t="array" ref="AU21">$E$10*(1+$AS21)+VLOOKUP($R21,武学奇术!$A:$ZZ,4,FALSE)+SUM(_xlfn.XLOOKUP($S21:$AL21,增益!$A:$A,增益!$D:$D,0))-$I$2</f>
        <v>3901.102</v>
      </c>
      <c r="AV21" s="30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0.347</v>
      </c>
      <c r="AW21" s="30" cm="1">
        <f t="array" ref="AW21">$G$10+VLOOKUP($R21,武学奇术!$A:$ZZ,7,FALSE)+SUM(_xlfn.XLOOKUP($S21:$AL21,增益!$A:$A,增益!$G:$G,0))</f>
        <v>0.09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0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-0.08</v>
      </c>
      <c r="BB21" s="30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0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-0.08</v>
      </c>
      <c r="BF21" s="30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0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-0.08</v>
      </c>
      <c r="BJ21" s="30" cm="1">
        <f t="array" ref="BJ21">$G$13+VLOOKUP($R21,武学奇术!$A:$ZZ,14,FALSE)+SUM(_xlfn.XLOOKUP($S21:$AL21,增益!$A:$A,增益!$N:$N,0))</f>
        <v>0</v>
      </c>
      <c r="BK21">
        <f t="shared" si="7"/>
        <v>605.472</v>
      </c>
      <c r="BL21">
        <f t="shared" si="8"/>
        <v>1725.468</v>
      </c>
      <c r="BM21" s="30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0.11</v>
      </c>
      <c r="BN21" s="30" cm="1">
        <f t="array" ref="BN21">$G$14+VLOOKUP($R21,武学奇术!$A:$ZZ,16,FALSE)+SUM(_xlfn.XLOOKUP($S21:$AL21,增益!$A:$A,增益!$P:$P,0))</f>
        <v>0.24</v>
      </c>
      <c r="BO21" s="24">
        <f>MIN(IF(VLOOKUP($R21,武学奇术!$A:$ZZ,23,FALSE)=1,100%,$B$8),100%)</f>
        <v>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0.9036</v>
      </c>
      <c r="BQ21" s="24" cm="1">
        <f t="array" ref="BQ21">1+$B$13+VLOOKUP($R21,武学奇术!$A:$ZZ,18,FALSE)+SUM(_xlfn.XLOOKUP($S21:$AL21,增益!$A:$A,增益!$R:$R,0))</f>
        <v>1.89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0.9036</v>
      </c>
      <c r="BU21" s="24">
        <f t="shared" si="10"/>
        <v>0.00350000000000006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157</v>
      </c>
      <c r="B22" s="26">
        <v>0.5</v>
      </c>
      <c r="C22" s="70" t="s">
        <v>158</v>
      </c>
      <c r="D22" s="80" t="s">
        <v>155</v>
      </c>
      <c r="E22" s="37" t="s">
        <v>159</v>
      </c>
      <c r="F22" s="37"/>
      <c r="K22">
        <f>$L22*VLOOKUP($R22,武学奇术!$A:$ZZ,31,FALSE)</f>
        <v>24522.236431405</v>
      </c>
      <c r="L22" s="36">
        <f t="shared" si="0"/>
        <v>24522.236431405</v>
      </c>
      <c r="M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$21,0))*(1+$BW22)</f>
        <v>24670.7531572313</v>
      </c>
      <c r="N22" s="36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</f>
        <v>23420.6308503693</v>
      </c>
      <c r="O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$21,0))*(1+$BW22)</f>
        <v>15419.2207232696</v>
      </c>
      <c r="P22" s="36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</f>
        <v>13489.8260018211</v>
      </c>
      <c r="Q22" s="70">
        <v>1</v>
      </c>
      <c r="R22" s="38" t="s">
        <v>160</v>
      </c>
      <c r="S22" s="38" t="s">
        <v>104</v>
      </c>
      <c r="T22" s="38" t="s">
        <v>79</v>
      </c>
      <c r="U22" s="38" t="s">
        <v>79</v>
      </c>
      <c r="V22" s="38" t="s">
        <v>79</v>
      </c>
      <c r="W22" s="38" t="s">
        <v>79</v>
      </c>
      <c r="X22" s="38" t="s">
        <v>79</v>
      </c>
      <c r="Y22" s="38" t="s">
        <v>161</v>
      </c>
      <c r="Z22" s="38" t="s">
        <v>90</v>
      </c>
      <c r="AA22" s="38" t="s">
        <v>79</v>
      </c>
      <c r="AB22" s="38" t="s">
        <v>91</v>
      </c>
      <c r="AC22" s="38" t="s">
        <v>79</v>
      </c>
      <c r="AD22" s="38" t="s">
        <v>82</v>
      </c>
      <c r="AE22" s="38" t="s">
        <v>83</v>
      </c>
      <c r="AF22" s="38" t="s">
        <v>84</v>
      </c>
      <c r="AG22" s="38" t="s">
        <v>85</v>
      </c>
      <c r="AH22" s="38" t="s">
        <v>79</v>
      </c>
      <c r="AI22" s="38" t="s">
        <v>79</v>
      </c>
      <c r="AJ22" s="38" t="s">
        <v>79</v>
      </c>
      <c r="AK22" s="38" t="s">
        <v>79</v>
      </c>
      <c r="AL22" s="38" t="s">
        <v>79</v>
      </c>
      <c r="AM22" t="str">
        <f>VLOOKUP($R22,武学奇术!$A:$ZZ,25,FALSE)</f>
        <v>拳甲</v>
      </c>
      <c r="AN22" s="24">
        <f>VLOOKUP($R22,武学奇术!$A:$ZZ,26,FALSE)</f>
        <v>1.1005</v>
      </c>
      <c r="AO22" s="25">
        <f>VLOOKUP($R22,武学奇术!$A:$ZZ,27,FALSE)*(1+IF(OR($AM22=$F$4,$AM22=$F$5),$B$22,0))</f>
        <v>457.5</v>
      </c>
      <c r="AP22" s="24">
        <f>VLOOKUP($R22,武学奇术!$A:$ZZ,28,FALSE)</f>
        <v>1.6507</v>
      </c>
      <c r="AQ22" s="25">
        <f>VLOOKUP($R22,武学奇术!$A:$ZZ,29,FALSE)*(1+IF(OR($AM22=$F$4,$AM22=$F$5),$B$22,0))</f>
        <v>247.5</v>
      </c>
      <c r="AR22" s="24" cm="1">
        <f t="array" ref="AR22">$G$3+IFERROR(VLOOKUP($AM22,$F$4:$G$7,2,FALSE),0)+VLOOKUP($R22,武学奇术!$A:$ZZ,2,FALSE)+SUM(_xlfn.XLOOKUP($S22:$AL22,增益!$A:$A,增益!$B:$B,0))</f>
        <v>0.4041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3901.102</v>
      </c>
      <c r="AU22" cm="1">
        <f t="array" ref="AU22">$E$10*(1+$AS22)+VLOOKUP($R22,武学奇术!$A:$ZZ,4,FALSE)+SUM(_xlfn.XLOOKUP($S22:$AL22,增益!$A:$A,增益!$D:$D,0))-$I$2</f>
        <v>3901.102</v>
      </c>
      <c r="AV22" s="30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0.317</v>
      </c>
      <c r="AW22" s="30" cm="1">
        <f t="array" ref="AW22">$G$10+VLOOKUP($R22,武学奇术!$A:$ZZ,7,FALSE)+SUM(_xlfn.XLOOKUP($S22:$AL22,增益!$A:$A,增益!$G:$G,0))</f>
        <v>0.09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0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0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0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0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0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-0.14</v>
      </c>
      <c r="BJ22" s="30" cm="1">
        <f t="array" ref="BJ22">$G$13+VLOOKUP($R22,武学奇术!$A:$ZZ,14,FALSE)+SUM(_xlfn.XLOOKUP($S22:$AL22,增益!$A:$A,增益!$N:$N,0))</f>
        <v>0</v>
      </c>
      <c r="BK22">
        <f t="shared" si="7"/>
        <v>605.472</v>
      </c>
      <c r="BL22">
        <f t="shared" si="8"/>
        <v>1725.468</v>
      </c>
      <c r="BM22" s="30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0.08</v>
      </c>
      <c r="BN22" s="30" cm="1">
        <f t="array" ref="BN22">$G$14+VLOOKUP($R22,武学奇术!$A:$ZZ,16,FALSE)+SUM(_xlfn.XLOOKUP($S22:$AL22,增益!$A:$A,增益!$P:$P,0))</f>
        <v>0.24</v>
      </c>
      <c r="BO22" s="24">
        <f>MIN(IF(VLOOKUP($R22,武学奇术!$A:$ZZ,23,FALSE)=1,100%,$B$8),100%)</f>
        <v>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0.9036</v>
      </c>
      <c r="BQ22" s="24" cm="1">
        <f t="array" ref="BQ22">1+$B$13+VLOOKUP($R22,武学奇术!$A:$ZZ,18,FALSE)+SUM(_xlfn.XLOOKUP($S22:$AL22,增益!$A:$A,增益!$R:$R,0))</f>
        <v>1.6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0.9036</v>
      </c>
      <c r="BU22" s="24">
        <f t="shared" si="10"/>
        <v>0.00350000000000006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A23" t="s">
        <v>162</v>
      </c>
      <c r="B23">
        <v>200</v>
      </c>
      <c r="E23" s="70" t="s">
        <v>163</v>
      </c>
      <c r="F23" s="70"/>
      <c r="K23">
        <f>$L23*VLOOKUP($R23,武学奇术!$A:$ZZ,31,FALSE)</f>
        <v>116602.834971627</v>
      </c>
      <c r="L23" s="36">
        <f t="shared" si="0"/>
        <v>89694.4884397129</v>
      </c>
      <c r="M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$21,0))*(1+$BW23)</f>
        <v>91649.6249401048</v>
      </c>
      <c r="N23" s="36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</f>
        <v>72239.6026627085</v>
      </c>
      <c r="O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$21,0))*(1+$BW23)</f>
        <v>48236.6447053183</v>
      </c>
      <c r="P23" s="36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</f>
        <v>42962.4726234452</v>
      </c>
      <c r="Q23" s="70">
        <v>1</v>
      </c>
      <c r="R23" s="38" t="s">
        <v>119</v>
      </c>
      <c r="S23" s="38" t="s">
        <v>104</v>
      </c>
      <c r="T23" s="38" t="s">
        <v>79</v>
      </c>
      <c r="U23" s="38" t="s">
        <v>79</v>
      </c>
      <c r="V23" s="38" t="s">
        <v>79</v>
      </c>
      <c r="W23" s="38" t="s">
        <v>79</v>
      </c>
      <c r="X23" s="38" t="s">
        <v>79</v>
      </c>
      <c r="Y23" s="38" t="s">
        <v>161</v>
      </c>
      <c r="Z23" s="38" t="s">
        <v>79</v>
      </c>
      <c r="AA23" s="38" t="s">
        <v>112</v>
      </c>
      <c r="AB23" s="38" t="s">
        <v>91</v>
      </c>
      <c r="AC23" s="38" t="s">
        <v>79</v>
      </c>
      <c r="AD23" s="38" t="s">
        <v>82</v>
      </c>
      <c r="AE23" s="38" t="s">
        <v>83</v>
      </c>
      <c r="AF23" s="38" t="s">
        <v>84</v>
      </c>
      <c r="AG23" s="38" t="s">
        <v>85</v>
      </c>
      <c r="AH23" s="38" t="s">
        <v>79</v>
      </c>
      <c r="AI23" s="38" t="s">
        <v>79</v>
      </c>
      <c r="AJ23" s="38" t="s">
        <v>79</v>
      </c>
      <c r="AK23" s="38" t="s">
        <v>79</v>
      </c>
      <c r="AL23" s="38" t="s">
        <v>79</v>
      </c>
      <c r="AM23" t="str">
        <f>VLOOKUP($R23,武学奇术!$A:$ZZ,25,FALSE)</f>
        <v>拳甲</v>
      </c>
      <c r="AN23" s="24">
        <f>VLOOKUP($R23,武学奇术!$A:$ZZ,26,FALSE)</f>
        <v>2.91176</v>
      </c>
      <c r="AO23" s="25">
        <f>VLOOKUP($R23,武学奇术!$A:$ZZ,27,FALSE)*(1+IF(OR($AM23=$F$4,$AM23=$F$5),$B$22,0))</f>
        <v>1208.7</v>
      </c>
      <c r="AP23" s="24">
        <f>VLOOKUP($R23,武学奇术!$A:$ZZ,28,FALSE)</f>
        <v>3.89844</v>
      </c>
      <c r="AQ23" s="25">
        <f>VLOOKUP($R23,武学奇术!$A:$ZZ,29,FALSE)*(1+IF(OR($AM23=$F$4,$AM23=$F$5),$B$22,0))</f>
        <v>650.25</v>
      </c>
      <c r="AR23" s="24" cm="1">
        <f t="array" ref="AR23">$G$3+IFERROR(VLOOKUP($AM23,$F$4:$G$7,2,FALSE),0)+VLOOKUP($R23,武学奇术!$A:$ZZ,2,FALSE)+SUM(_xlfn.XLOOKUP($S23:$AL23,增益!$A:$A,增益!$B:$B,0))</f>
        <v>0.7041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3901.102</v>
      </c>
      <c r="AU23" cm="1">
        <f t="array" ref="AU23">$E$10*(1+$AS23)+VLOOKUP($R23,武学奇术!$A:$ZZ,4,FALSE)+SUM(_xlfn.XLOOKUP($S23:$AL23,增益!$A:$A,增益!$D:$D,0))-$I$2</f>
        <v>3901.102</v>
      </c>
      <c r="AV23" s="30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0.347</v>
      </c>
      <c r="AW23" s="30" cm="1">
        <f t="array" ref="AW23">$G$10+VLOOKUP($R23,武学奇术!$A:$ZZ,7,FALSE)+SUM(_xlfn.XLOOKUP($S23:$AL23,增益!$A:$A,增益!$G:$G,0))</f>
        <v>0.09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0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0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0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0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0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0" cm="1">
        <f t="array" ref="BJ23">$G$13+VLOOKUP($R23,武学奇术!$A:$ZZ,14,FALSE)+SUM(_xlfn.XLOOKUP($S23:$AL23,增益!$A:$A,增益!$N:$N,0))</f>
        <v>0</v>
      </c>
      <c r="BK23">
        <f t="shared" si="7"/>
        <v>605.472</v>
      </c>
      <c r="BL23">
        <f t="shared" si="8"/>
        <v>1725.468</v>
      </c>
      <c r="BM23" s="30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0" cm="1">
        <f t="array" ref="BN23">$G$14+VLOOKUP($R23,武学奇术!$A:$ZZ,16,FALSE)+SUM(_xlfn.XLOOKUP($S23:$AL23,增益!$A:$A,增益!$P:$P,0))</f>
        <v>0.24</v>
      </c>
      <c r="BO23" s="24">
        <f>MIN(IF(VLOOKUP($R23,武学奇术!$A:$ZZ,23,FALSE)=1,100%,$B$8),100%)</f>
        <v>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0.9036</v>
      </c>
      <c r="BQ23" s="24" cm="1">
        <f t="array" ref="BQ23">1+$B$13+VLOOKUP($R23,武学奇术!$A:$ZZ,18,FALSE)+SUM(_xlfn.XLOOKUP($S23:$AL23,增益!$A:$A,增益!$R:$R,0))</f>
        <v>1.9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0.9036</v>
      </c>
      <c r="BU23" s="24">
        <f t="shared" si="10"/>
        <v>0.00350000000000006</v>
      </c>
      <c r="BV23" s="24">
        <f>IF(VLOOKUP($R23,武学奇术!$A:$ZZ,22,FALSE)=1,0,(1-$BO23))*(1-$BR23)</f>
        <v>0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</v>
      </c>
    </row>
    <row r="24" spans="1:76">
      <c r="B24">
        <v>400</v>
      </c>
      <c r="E24" s="37" t="s">
        <v>164</v>
      </c>
      <c r="F24" s="37"/>
      <c r="K24">
        <f>$L24*VLOOKUP($R24,武学奇术!$A:$ZZ,31,FALSE)</f>
        <v>28035.8644993351</v>
      </c>
      <c r="L24" s="36">
        <f t="shared" si="0"/>
        <v>28035.8644993351</v>
      </c>
      <c r="M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$21,0))*(1+$BW24)</f>
        <v>28220.4035272282</v>
      </c>
      <c r="N24" s="36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</f>
        <v>26632.6774964033</v>
      </c>
      <c r="O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$21,0))*(1+$BW24)</f>
        <v>17637.7522045176</v>
      </c>
      <c r="P24" s="36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</f>
        <v>15547.5951524402</v>
      </c>
      <c r="Q24" s="70">
        <v>1</v>
      </c>
      <c r="R24" s="38" t="s">
        <v>122</v>
      </c>
      <c r="S24" s="38" t="s">
        <v>104</v>
      </c>
      <c r="T24" s="38" t="s">
        <v>79</v>
      </c>
      <c r="U24" s="38" t="s">
        <v>79</v>
      </c>
      <c r="V24" s="38" t="s">
        <v>79</v>
      </c>
      <c r="W24" s="38" t="s">
        <v>79</v>
      </c>
      <c r="X24" s="38" t="s">
        <v>79</v>
      </c>
      <c r="Y24" s="38" t="s">
        <v>161</v>
      </c>
      <c r="Z24" s="38" t="s">
        <v>79</v>
      </c>
      <c r="AA24" s="38" t="s">
        <v>79</v>
      </c>
      <c r="AB24" s="38" t="s">
        <v>91</v>
      </c>
      <c r="AC24" s="38" t="s">
        <v>79</v>
      </c>
      <c r="AD24" s="38" t="s">
        <v>82</v>
      </c>
      <c r="AE24" s="38" t="s">
        <v>83</v>
      </c>
      <c r="AF24" s="38" t="s">
        <v>84</v>
      </c>
      <c r="AG24" s="38" t="s">
        <v>85</v>
      </c>
      <c r="AH24" s="38" t="s">
        <v>79</v>
      </c>
      <c r="AI24" s="38" t="s">
        <v>79</v>
      </c>
      <c r="AJ24" s="38" t="s">
        <v>79</v>
      </c>
      <c r="AK24" s="38" t="s">
        <v>79</v>
      </c>
      <c r="AL24" s="38" t="s">
        <v>79</v>
      </c>
      <c r="AM24" t="str">
        <f>VLOOKUP($R24,武学奇术!$A:$ZZ,25,FALSE)</f>
        <v>拳甲</v>
      </c>
      <c r="AN24" s="24">
        <f>VLOOKUP($R24,武学奇术!$A:$ZZ,26,FALSE)</f>
        <v>1.2876</v>
      </c>
      <c r="AO24" s="25">
        <f>VLOOKUP($R24,武学奇术!$A:$ZZ,27,FALSE)*(1+IF(OR($AM24=$F$4,$AM24=$F$5),$B$22,0))</f>
        <v>537</v>
      </c>
      <c r="AP24" s="24">
        <f>VLOOKUP($R24,武学奇术!$A:$ZZ,28,FALSE)</f>
        <v>1.9313</v>
      </c>
      <c r="AQ24" s="25">
        <f>VLOOKUP($R24,武学奇术!$A:$ZZ,29,FALSE)*(1+IF(OR($AM24=$F$4,$AM24=$F$5),$B$22,0))</f>
        <v>292.5</v>
      </c>
      <c r="AR24" s="24" cm="1">
        <f t="array" ref="AR24">$G$3+IFERROR(VLOOKUP($AM24,$F$4:$G$7,2,FALSE),0)+VLOOKUP($R24,武学奇术!$A:$ZZ,2,FALSE)+SUM(_xlfn.XLOOKUP($S24:$AL24,增益!$A:$A,增益!$B:$B,0))</f>
        <v>0.4041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3901.102</v>
      </c>
      <c r="AU24" cm="1">
        <f t="array" ref="AU24">$E$10*(1+$AS24)+VLOOKUP($R24,武学奇术!$A:$ZZ,4,FALSE)+SUM(_xlfn.XLOOKUP($S24:$AL24,增益!$A:$A,增益!$D:$D,0))-$I$2</f>
        <v>3901.102</v>
      </c>
      <c r="AV24" s="30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0.317</v>
      </c>
      <c r="AW24" s="30" cm="1">
        <f t="array" ref="AW24">$G$10+VLOOKUP($R24,武学奇术!$A:$ZZ,7,FALSE)+SUM(_xlfn.XLOOKUP($S24:$AL24,增益!$A:$A,增益!$G:$G,0))</f>
        <v>0.09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0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0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0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0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0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0" cm="1">
        <f t="array" ref="BJ24">$G$13+VLOOKUP($R24,武学奇术!$A:$ZZ,14,FALSE)+SUM(_xlfn.XLOOKUP($S24:$AL24,增益!$A:$A,增益!$N:$N,0))</f>
        <v>0</v>
      </c>
      <c r="BK24">
        <f t="shared" si="7"/>
        <v>605.472</v>
      </c>
      <c r="BL24">
        <f t="shared" si="8"/>
        <v>1725.468</v>
      </c>
      <c r="BM24" s="30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0" cm="1">
        <f t="array" ref="BN24">$G$14+VLOOKUP($R24,武学奇术!$A:$ZZ,16,FALSE)+SUM(_xlfn.XLOOKUP($S24:$AL24,增益!$A:$A,增益!$P:$P,0))</f>
        <v>0.24</v>
      </c>
      <c r="BO24" s="24">
        <f>MIN(IF(VLOOKUP($R24,武学奇术!$A:$ZZ,23,FALSE)=1,100%,$B$8),100%)</f>
        <v>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0.9036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0.9036</v>
      </c>
      <c r="BU24" s="24">
        <f t="shared" si="10"/>
        <v>0.00350000000000006</v>
      </c>
      <c r="BV24" s="24">
        <f>IF(VLOOKUP($R24,武学奇术!$A:$ZZ,22,FALSE)=1,0,(1-$BO24))*(1-$BR24)</f>
        <v>0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>
        <f>$L25*VLOOKUP($R25,武学奇术!$A:$ZZ,31,FALSE)</f>
        <v>96686.9422815407</v>
      </c>
      <c r="L25" s="36">
        <f t="shared" si="0"/>
        <v>74374.5709858005</v>
      </c>
      <c r="M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$21,0))*(1+$BW25)</f>
        <v>75896.7477573316</v>
      </c>
      <c r="N25" s="36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</f>
        <v>60873.9709607015</v>
      </c>
      <c r="O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$21,0))*(1+$BW25)</f>
        <v>39736.5171504354</v>
      </c>
      <c r="P25" s="36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</f>
        <v>34381.2039596104</v>
      </c>
      <c r="Q25" s="70">
        <v>1</v>
      </c>
      <c r="R25" s="38" t="s">
        <v>124</v>
      </c>
      <c r="S25" s="38" t="s">
        <v>104</v>
      </c>
      <c r="T25" s="38" t="s">
        <v>79</v>
      </c>
      <c r="U25" s="38" t="s">
        <v>79</v>
      </c>
      <c r="V25" s="38" t="s">
        <v>79</v>
      </c>
      <c r="W25" s="38" t="s">
        <v>79</v>
      </c>
      <c r="X25" s="38" t="s">
        <v>79</v>
      </c>
      <c r="Y25" s="38" t="s">
        <v>165</v>
      </c>
      <c r="Z25" s="38" t="s">
        <v>79</v>
      </c>
      <c r="AA25" s="38" t="s">
        <v>112</v>
      </c>
      <c r="AB25" s="38" t="s">
        <v>91</v>
      </c>
      <c r="AC25" s="38" t="s">
        <v>79</v>
      </c>
      <c r="AD25" s="38" t="s">
        <v>82</v>
      </c>
      <c r="AE25" s="38" t="s">
        <v>83</v>
      </c>
      <c r="AF25" s="38" t="s">
        <v>84</v>
      </c>
      <c r="AG25" s="38" t="s">
        <v>85</v>
      </c>
      <c r="AH25" s="38" t="s">
        <v>79</v>
      </c>
      <c r="AI25" s="38" t="s">
        <v>79</v>
      </c>
      <c r="AJ25" s="38" t="s">
        <v>79</v>
      </c>
      <c r="AK25" s="38" t="s">
        <v>79</v>
      </c>
      <c r="AL25" s="38" t="s">
        <v>79</v>
      </c>
      <c r="AM25" t="str">
        <f>VLOOKUP($R25,武学奇术!$A:$ZZ,25,FALSE)</f>
        <v>拳甲</v>
      </c>
      <c r="AN25" s="24">
        <f>VLOOKUP($R25,武学奇术!$A:$ZZ,26,FALSE)</f>
        <v>2.638944</v>
      </c>
      <c r="AO25" s="25">
        <f>VLOOKUP($R25,武学奇术!$A:$ZZ,27,FALSE)*(1+IF(OR($AM25=$F$4,$AM25=$F$5),$B$22,0))</f>
        <v>0</v>
      </c>
      <c r="AP25" s="24">
        <f>VLOOKUP($R25,武学奇术!$A:$ZZ,28,FALSE)</f>
        <v>3.958416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0.7041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3901.102</v>
      </c>
      <c r="AU25" cm="1">
        <f t="array" ref="AU25">$E$10*(1+$AS25)+VLOOKUP($R25,武学奇术!$A:$ZZ,4,FALSE)+SUM(_xlfn.XLOOKUP($S25:$AL25,增益!$A:$A,增益!$D:$D,0))-$I$2</f>
        <v>3901.102</v>
      </c>
      <c r="AV25" s="30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0.347</v>
      </c>
      <c r="AW25" s="30" cm="1">
        <f t="array" ref="AW25">$G$10+VLOOKUP($R25,武学奇术!$A:$ZZ,7,FALSE)+SUM(_xlfn.XLOOKUP($S25:$AL25,增益!$A:$A,增益!$G:$G,0))</f>
        <v>0.09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0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0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0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0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0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0" cm="1">
        <f t="array" ref="BJ25">$G$13+VLOOKUP($R25,武学奇术!$A:$ZZ,14,FALSE)+SUM(_xlfn.XLOOKUP($S25:$AL25,增益!$A:$A,增益!$N:$N,0))</f>
        <v>0</v>
      </c>
      <c r="BK25">
        <f t="shared" si="7"/>
        <v>605.472</v>
      </c>
      <c r="BL25">
        <f t="shared" si="8"/>
        <v>1725.468</v>
      </c>
      <c r="BM25" s="30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0" cm="1">
        <f t="array" ref="BN25">$G$14+VLOOKUP($R25,武学奇术!$A:$ZZ,16,FALSE)+SUM(_xlfn.XLOOKUP($S25:$AL25,增益!$A:$A,增益!$P:$P,0))</f>
        <v>0.24</v>
      </c>
      <c r="BO25" s="24">
        <f>MIN(IF(VLOOKUP($R25,武学奇术!$A:$ZZ,23,FALSE)=1,100%,$B$8),100%)</f>
        <v>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0.9036</v>
      </c>
      <c r="BQ25" s="24" cm="1">
        <f t="array" ref="BQ25">1+$B$13+VLOOKUP($R25,武学奇术!$A:$ZZ,18,FALSE)+SUM(_xlfn.XLOOKUP($S25:$AL25,增益!$A:$A,增益!$R:$R,0))</f>
        <v>1.91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0.9036</v>
      </c>
      <c r="BU25" s="24">
        <f t="shared" si="10"/>
        <v>0.00350000000000006</v>
      </c>
      <c r="BV25" s="24">
        <f>IF(VLOOKUP($R25,武学奇术!$A:$ZZ,22,FALSE)=1,0,(1-$BO25))*(1-$BR25)</f>
        <v>0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K26">
        <f>$L26*VLOOKUP($R26,武学奇术!$A:$ZZ,31,FALSE)</f>
        <v>25712.2512096677</v>
      </c>
      <c r="L26" s="36">
        <f t="shared" si="0"/>
        <v>25712.2512096677</v>
      </c>
      <c r="M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$21,0))*(1+$BW26)</f>
        <v>25895.979045563</v>
      </c>
      <c r="N26" s="36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</f>
        <v>24287.9325885481</v>
      </c>
      <c r="O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$21,0))*(1+$BW26)</f>
        <v>16084.4590345112</v>
      </c>
      <c r="P26" s="36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</f>
        <v>14177.8568923201</v>
      </c>
      <c r="Q26" s="70">
        <v>1</v>
      </c>
      <c r="R26" s="38" t="s">
        <v>107</v>
      </c>
      <c r="S26" s="38" t="s">
        <v>104</v>
      </c>
      <c r="T26" s="38" t="s">
        <v>79</v>
      </c>
      <c r="U26" s="38" t="s">
        <v>79</v>
      </c>
      <c r="V26" s="38" t="s">
        <v>79</v>
      </c>
      <c r="W26" s="38" t="s">
        <v>79</v>
      </c>
      <c r="X26" s="38" t="s">
        <v>79</v>
      </c>
      <c r="Y26" s="38" t="s">
        <v>165</v>
      </c>
      <c r="Z26" s="38" t="s">
        <v>79</v>
      </c>
      <c r="AA26" s="38" t="s">
        <v>79</v>
      </c>
      <c r="AB26" s="38" t="s">
        <v>91</v>
      </c>
      <c r="AC26" s="38" t="s">
        <v>79</v>
      </c>
      <c r="AD26" s="38" t="s">
        <v>82</v>
      </c>
      <c r="AE26" s="38" t="s">
        <v>83</v>
      </c>
      <c r="AF26" s="38" t="s">
        <v>84</v>
      </c>
      <c r="AG26" s="38" t="s">
        <v>85</v>
      </c>
      <c r="AH26" s="38" t="s">
        <v>79</v>
      </c>
      <c r="AI26" s="38" t="s">
        <v>79</v>
      </c>
      <c r="AJ26" s="38" t="s">
        <v>79</v>
      </c>
      <c r="AK26" s="38" t="s">
        <v>79</v>
      </c>
      <c r="AL26" s="38" t="s">
        <v>79</v>
      </c>
      <c r="AM26" t="str">
        <f>VLOOKUP($R26,武学奇术!$A:$ZZ,25,FALSE)</f>
        <v>绳镖</v>
      </c>
      <c r="AN26" s="24">
        <f>VLOOKUP($R26,武学奇术!$A:$ZZ,26,FALSE)</f>
        <v>1.2503</v>
      </c>
      <c r="AO26" s="25">
        <f>VLOOKUP($R26,武学奇术!$A:$ZZ,27,FALSE)*(1+IF(OR($AM26=$F$4,$AM26=$F$5),$B$22,0))</f>
        <v>520.5</v>
      </c>
      <c r="AP26" s="24">
        <f>VLOOKUP($R26,武学奇术!$A:$ZZ,28,FALSE)</f>
        <v>1.8755</v>
      </c>
      <c r="AQ26" s="25">
        <f>VLOOKUP($R26,武学奇术!$A:$ZZ,29,FALSE)*(1+IF(OR($AM26=$F$4,$AM26=$F$5),$B$22,0))</f>
        <v>283.5</v>
      </c>
      <c r="AR26" s="24" cm="1">
        <f t="array" ref="AR26">$G$3+IFERROR(VLOOKUP($AM26,$F$4:$G$7,2,FALSE),0)+VLOOKUP($R26,武学奇术!$A:$ZZ,2,FALSE)+SUM(_xlfn.XLOOKUP($S26:$AL26,增益!$A:$A,增益!$B:$B,0))</f>
        <v>0.3189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3901.102</v>
      </c>
      <c r="AU26" cm="1">
        <f t="array" ref="AU26">$E$10*(1+$AS26)+VLOOKUP($R26,武学奇术!$A:$ZZ,4,FALSE)+SUM(_xlfn.XLOOKUP($S26:$AL26,增益!$A:$A,增益!$D:$D,0))-$I$2</f>
        <v>3901.102</v>
      </c>
      <c r="AV26" s="30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0.317</v>
      </c>
      <c r="AW26" s="30" cm="1">
        <f t="array" ref="AW26">$G$10+VLOOKUP($R26,武学奇术!$A:$ZZ,7,FALSE)+SUM(_xlfn.XLOOKUP($S26:$AL26,增益!$A:$A,增益!$G:$G,0))</f>
        <v>0.09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0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0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0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0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0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0" cm="1">
        <f t="array" ref="BJ26">$G$13+VLOOKUP($R26,武学奇术!$A:$ZZ,14,FALSE)+SUM(_xlfn.XLOOKUP($S26:$AL26,增益!$A:$A,增益!$N:$N,0))</f>
        <v>0</v>
      </c>
      <c r="BK26">
        <f t="shared" si="7"/>
        <v>605.472</v>
      </c>
      <c r="BL26">
        <f t="shared" si="8"/>
        <v>1725.468</v>
      </c>
      <c r="BM26" s="30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0" cm="1">
        <f t="array" ref="BN26">$G$14+VLOOKUP($R26,武学奇术!$A:$ZZ,16,FALSE)+SUM(_xlfn.XLOOKUP($S26:$AL26,增益!$A:$A,增益!$P:$P,0))</f>
        <v>0.24</v>
      </c>
      <c r="BO26" s="24">
        <f>MIN(IF(VLOOKUP($R26,武学奇术!$A:$ZZ,23,FALSE)=1,100%,$B$8),100%)</f>
        <v>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0.9036</v>
      </c>
      <c r="BQ26" s="24" cm="1">
        <f t="array" ref="BQ26">1+$B$13+VLOOKUP($R26,武学奇术!$A:$ZZ,18,FALSE)+SUM(_xlfn.XLOOKUP($S26:$AL26,增益!$A:$A,增益!$R:$R,0))</f>
        <v>1.61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0.9036</v>
      </c>
      <c r="BU26" s="24">
        <f t="shared" si="10"/>
        <v>0.00350000000000006</v>
      </c>
      <c r="BV26" s="24">
        <f>IF(VLOOKUP($R26,武学奇术!$A:$ZZ,22,FALSE)=1,0,(1-$BO26))*(1-$BR26)</f>
        <v>0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A27" t="s">
        <v>166</v>
      </c>
      <c r="B27">
        <v>0.9</v>
      </c>
      <c r="H27">
        <v>1</v>
      </c>
      <c r="K27">
        <f>$L27*VLOOKUP($R27,武学奇术!$A:$ZZ,31,FALSE)</f>
        <v>76544.0657138598</v>
      </c>
      <c r="L27" s="36">
        <f t="shared" si="0"/>
        <v>58880.0505491229</v>
      </c>
      <c r="M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$21,0))*(1+$BW27)</f>
        <v>60085.1108817676</v>
      </c>
      <c r="N27" s="36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</f>
        <v>48192.0425191596</v>
      </c>
      <c r="O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$21,0))*(1+$BW27)</f>
        <v>31458.1732365275</v>
      </c>
      <c r="P27" s="36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</f>
        <v>27218.5371996035</v>
      </c>
      <c r="Q27" s="70">
        <v>1</v>
      </c>
      <c r="R27" s="38" t="s">
        <v>111</v>
      </c>
      <c r="S27" s="38" t="s">
        <v>104</v>
      </c>
      <c r="T27" s="38" t="s">
        <v>79</v>
      </c>
      <c r="U27" s="38" t="s">
        <v>79</v>
      </c>
      <c r="V27" s="38" t="s">
        <v>79</v>
      </c>
      <c r="W27" s="38" t="s">
        <v>79</v>
      </c>
      <c r="X27" s="38" t="s">
        <v>79</v>
      </c>
      <c r="Y27" s="38" t="s">
        <v>165</v>
      </c>
      <c r="Z27" s="38" t="s">
        <v>79</v>
      </c>
      <c r="AA27" s="38" t="s">
        <v>112</v>
      </c>
      <c r="AB27" s="38" t="s">
        <v>91</v>
      </c>
      <c r="AC27" s="38" t="s">
        <v>79</v>
      </c>
      <c r="AD27" s="38" t="s">
        <v>82</v>
      </c>
      <c r="AE27" s="38" t="s">
        <v>83</v>
      </c>
      <c r="AF27" s="38" t="s">
        <v>84</v>
      </c>
      <c r="AG27" s="38" t="s">
        <v>85</v>
      </c>
      <c r="AH27" s="38" t="s">
        <v>79</v>
      </c>
      <c r="AI27" s="38" t="s">
        <v>79</v>
      </c>
      <c r="AJ27" s="38" t="s">
        <v>79</v>
      </c>
      <c r="AK27" s="38" t="s">
        <v>79</v>
      </c>
      <c r="AL27" s="38" t="s">
        <v>79</v>
      </c>
      <c r="AM27" t="str">
        <f>VLOOKUP($R27,武学奇术!$A:$ZZ,25,FALSE)</f>
        <v>绳镖</v>
      </c>
      <c r="AN27" s="24">
        <f>VLOOKUP($R27,武学奇术!$A:$ZZ,26,FALSE)</f>
        <v>2.19912</v>
      </c>
      <c r="AO27" s="25">
        <f>VLOOKUP($R27,武学奇术!$A:$ZZ,27,FALSE)*(1+IF(OR($AM27=$F$4,$AM27=$F$5),$B$22,0))</f>
        <v>0</v>
      </c>
      <c r="AP27" s="24">
        <f>VLOOKUP($R27,武学奇术!$A:$ZZ,28,FALSE)</f>
        <v>3.29868</v>
      </c>
      <c r="AQ27" s="25">
        <f>VLOOKUP($R27,武学奇术!$A:$ZZ,29,FALSE)*(1+IF(OR($AM27=$F$4,$AM27=$F$5),$B$22,0))</f>
        <v>0</v>
      </c>
      <c r="AR27" s="24" cm="1">
        <f t="array" ref="AR27">$G$3+IFERROR(VLOOKUP($AM27,$F$4:$G$7,2,FALSE),0)+VLOOKUP($R27,武学奇术!$A:$ZZ,2,FALSE)+SUM(_xlfn.XLOOKUP($S27:$AL27,增益!$A:$A,增益!$B:$B,0))</f>
        <v>0.6189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3901.102</v>
      </c>
      <c r="AU27" cm="1">
        <f t="array" ref="AU27">$E$10*(1+$AS27)+VLOOKUP($R27,武学奇术!$A:$ZZ,4,FALSE)+SUM(_xlfn.XLOOKUP($S27:$AL27,增益!$A:$A,增益!$D:$D,0))-$I$2</f>
        <v>3901.102</v>
      </c>
      <c r="AV27" s="30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0.347</v>
      </c>
      <c r="AW27" s="30" cm="1">
        <f t="array" ref="AW27">$G$10+VLOOKUP($R27,武学奇术!$A:$ZZ,7,FALSE)+SUM(_xlfn.XLOOKUP($S27:$AL27,增益!$A:$A,增益!$G:$G,0))</f>
        <v>0.09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0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0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0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0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0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0" cm="1">
        <f t="array" ref="BJ27">$G$13+VLOOKUP($R27,武学奇术!$A:$ZZ,14,FALSE)+SUM(_xlfn.XLOOKUP($S27:$AL27,增益!$A:$A,增益!$N:$N,0))</f>
        <v>0</v>
      </c>
      <c r="BK27">
        <f t="shared" si="7"/>
        <v>605.472</v>
      </c>
      <c r="BL27">
        <f t="shared" si="8"/>
        <v>1725.468</v>
      </c>
      <c r="BM27" s="30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0" cm="1">
        <f t="array" ref="BN27">$G$14+VLOOKUP($R27,武学奇术!$A:$ZZ,16,FALSE)+SUM(_xlfn.XLOOKUP($S27:$AL27,增益!$A:$A,增益!$P:$P,0))</f>
        <v>0.24</v>
      </c>
      <c r="BO27" s="24">
        <f>MIN(IF(VLOOKUP($R27,武学奇术!$A:$ZZ,23,FALSE)=1,100%,$B$8),100%)</f>
        <v>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0.9036</v>
      </c>
      <c r="BQ27" s="24" cm="1">
        <f t="array" ref="BQ27">1+$B$13+VLOOKUP($R27,武学奇术!$A:$ZZ,18,FALSE)+SUM(_xlfn.XLOOKUP($S27:$AL27,增益!$A:$A,增益!$R:$R,0))</f>
        <v>1.91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0.9036</v>
      </c>
      <c r="BU27" s="24">
        <f t="shared" si="10"/>
        <v>0.00350000000000006</v>
      </c>
      <c r="BV27" s="24">
        <f>IF(VLOOKUP($R27,武学奇术!$A:$ZZ,22,FALSE)=1,0,(1-$BO27))*(1-$BR27)</f>
        <v>0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t="s">
        <v>167</v>
      </c>
      <c r="B28">
        <v>1.3</v>
      </c>
      <c r="H28">
        <v>21</v>
      </c>
      <c r="K28">
        <f>$L28*VLOOKUP($R28,武学奇术!$A:$ZZ,31,FALSE)</f>
        <v>34088.7894494441</v>
      </c>
      <c r="L28" s="36">
        <f t="shared" si="0"/>
        <v>34088.7894494441</v>
      </c>
      <c r="M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$21,0))*(1+$BW28)</f>
        <v>34332.2296352531</v>
      </c>
      <c r="N28" s="36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</f>
        <v>32201.8457396518</v>
      </c>
      <c r="O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$21,0))*(1+$BW28)</f>
        <v>21324.3662330765</v>
      </c>
      <c r="P28" s="36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</f>
        <v>18795.5133997442</v>
      </c>
      <c r="Q28" s="70">
        <v>1</v>
      </c>
      <c r="R28" s="38" t="s">
        <v>168</v>
      </c>
      <c r="S28" s="38" t="s">
        <v>104</v>
      </c>
      <c r="T28" s="38" t="s">
        <v>79</v>
      </c>
      <c r="U28" s="38" t="s">
        <v>79</v>
      </c>
      <c r="V28" s="38" t="s">
        <v>79</v>
      </c>
      <c r="W28" s="38" t="s">
        <v>79</v>
      </c>
      <c r="X28" s="38" t="s">
        <v>79</v>
      </c>
      <c r="Y28" s="38" t="s">
        <v>165</v>
      </c>
      <c r="Z28" s="38" t="s">
        <v>79</v>
      </c>
      <c r="AA28" s="38" t="s">
        <v>79</v>
      </c>
      <c r="AB28" s="38" t="s">
        <v>91</v>
      </c>
      <c r="AC28" s="38" t="s">
        <v>79</v>
      </c>
      <c r="AD28" s="38" t="s">
        <v>82</v>
      </c>
      <c r="AE28" s="38" t="s">
        <v>83</v>
      </c>
      <c r="AF28" s="38" t="s">
        <v>84</v>
      </c>
      <c r="AG28" s="38" t="s">
        <v>85</v>
      </c>
      <c r="AH28" s="38" t="s">
        <v>79</v>
      </c>
      <c r="AI28" s="38" t="s">
        <v>79</v>
      </c>
      <c r="AJ28" s="38" t="s">
        <v>79</v>
      </c>
      <c r="AK28" s="38" t="s">
        <v>79</v>
      </c>
      <c r="AL28" s="38" t="s">
        <v>79</v>
      </c>
      <c r="AM28" t="str">
        <f>VLOOKUP($R28,武学奇术!$A:$ZZ,25,FALSE)</f>
        <v>绳镖</v>
      </c>
      <c r="AN28" s="24">
        <f>VLOOKUP($R28,武学奇术!$A:$ZZ,26,FALSE)</f>
        <v>1.6584</v>
      </c>
      <c r="AO28" s="25">
        <f>VLOOKUP($R28,武学奇术!$A:$ZZ,27,FALSE)*(1+IF(OR($AM28=$F$4,$AM28=$F$5),$B$22,0))</f>
        <v>687</v>
      </c>
      <c r="AP28" s="24">
        <f>VLOOKUP($R28,武学奇术!$A:$ZZ,28,FALSE)</f>
        <v>2.4876</v>
      </c>
      <c r="AQ28" s="25">
        <f>VLOOKUP($R28,武学奇术!$A:$ZZ,29,FALSE)*(1+IF(OR($AM28=$F$4,$AM28=$F$5),$B$22,0))</f>
        <v>375</v>
      </c>
      <c r="AR28" s="24" cm="1">
        <f t="array" ref="AR28">$G$3+IFERROR(VLOOKUP($AM28,$F$4:$G$7,2,FALSE),0)+VLOOKUP($R28,武学奇术!$A:$ZZ,2,FALSE)+SUM(_xlfn.XLOOKUP($S28:$AL28,增益!$A:$A,增益!$B:$B,0))</f>
        <v>0.3189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3901.102</v>
      </c>
      <c r="AU28" cm="1">
        <f t="array" ref="AU28">$E$10*(1+$AS28)+VLOOKUP($R28,武学奇术!$A:$ZZ,4,FALSE)+SUM(_xlfn.XLOOKUP($S28:$AL28,增益!$A:$A,增益!$D:$D,0))-$I$2</f>
        <v>3901.102</v>
      </c>
      <c r="AV28" s="30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0.317</v>
      </c>
      <c r="AW28" s="30" cm="1">
        <f t="array" ref="AW28">$G$10+VLOOKUP($R28,武学奇术!$A:$ZZ,7,FALSE)+SUM(_xlfn.XLOOKUP($S28:$AL28,增益!$A:$A,增益!$G:$G,0))</f>
        <v>0.09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0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0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0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0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0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0" cm="1">
        <f t="array" ref="BJ28">$G$13+VLOOKUP($R28,武学奇术!$A:$ZZ,14,FALSE)+SUM(_xlfn.XLOOKUP($S28:$AL28,增益!$A:$A,增益!$N:$N,0))</f>
        <v>0</v>
      </c>
      <c r="BK28">
        <f t="shared" si="7"/>
        <v>605.472</v>
      </c>
      <c r="BL28">
        <f t="shared" si="8"/>
        <v>1725.468</v>
      </c>
      <c r="BM28" s="30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0" cm="1">
        <f t="array" ref="BN28">$G$14+VLOOKUP($R28,武学奇术!$A:$ZZ,16,FALSE)+SUM(_xlfn.XLOOKUP($S28:$AL28,增益!$A:$A,增益!$P:$P,0))</f>
        <v>0.24</v>
      </c>
      <c r="BO28" s="24">
        <f>MIN(IF(VLOOKUP($R28,武学奇术!$A:$ZZ,23,FALSE)=1,100%,$B$8),100%)</f>
        <v>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0.9036</v>
      </c>
      <c r="BQ28" s="24" cm="1">
        <f t="array" ref="BQ28">1+$B$13+VLOOKUP($R28,武学奇术!$A:$ZZ,18,FALSE)+SUM(_xlfn.XLOOKUP($S28:$AL28,增益!$A:$A,增益!$R:$R,0))</f>
        <v>1.61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0.9036</v>
      </c>
      <c r="BU28" s="24">
        <f t="shared" si="10"/>
        <v>0.00350000000000006</v>
      </c>
      <c r="BV28" s="24">
        <f>IF(VLOOKUP($R28,武学奇术!$A:$ZZ,22,FALSE)=1,0,(1-$BO28))*(1-$BR28)</f>
        <v>0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A29" t="s">
        <v>169</v>
      </c>
      <c r="B29">
        <v>0.1</v>
      </c>
      <c r="H29">
        <v>41</v>
      </c>
      <c r="K29">
        <f>$L29*VLOOKUP($R29,武学奇术!$A:$ZZ,31,FALSE)</f>
        <v>91852.8788566318</v>
      </c>
      <c r="L29" s="36">
        <f t="shared" si="0"/>
        <v>70656.0606589475</v>
      </c>
      <c r="M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$21,0))*(1+$BW29)</f>
        <v>72102.1330581211</v>
      </c>
      <c r="N29" s="36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</f>
        <v>57830.4510229915</v>
      </c>
      <c r="O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$21,0))*(1+$BW29)</f>
        <v>37749.807883833</v>
      </c>
      <c r="P29" s="36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</f>
        <v>32662.2446395242</v>
      </c>
      <c r="Q29" s="70">
        <v>1</v>
      </c>
      <c r="R29" s="38" t="s">
        <v>117</v>
      </c>
      <c r="S29" s="38" t="s">
        <v>104</v>
      </c>
      <c r="T29" s="38" t="s">
        <v>79</v>
      </c>
      <c r="U29" s="38" t="s">
        <v>79</v>
      </c>
      <c r="V29" s="38" t="s">
        <v>79</v>
      </c>
      <c r="W29" s="38" t="s">
        <v>79</v>
      </c>
      <c r="X29" s="38" t="s">
        <v>79</v>
      </c>
      <c r="Y29" s="38" t="s">
        <v>165</v>
      </c>
      <c r="Z29" s="38" t="s">
        <v>79</v>
      </c>
      <c r="AA29" s="38" t="s">
        <v>112</v>
      </c>
      <c r="AB29" s="38" t="s">
        <v>91</v>
      </c>
      <c r="AC29" s="38" t="s">
        <v>79</v>
      </c>
      <c r="AD29" s="38" t="s">
        <v>82</v>
      </c>
      <c r="AE29" s="38" t="s">
        <v>83</v>
      </c>
      <c r="AF29" s="38" t="s">
        <v>84</v>
      </c>
      <c r="AG29" s="38" t="s">
        <v>85</v>
      </c>
      <c r="AH29" s="38" t="s">
        <v>79</v>
      </c>
      <c r="AI29" s="38" t="s">
        <v>79</v>
      </c>
      <c r="AJ29" s="38" t="s">
        <v>79</v>
      </c>
      <c r="AK29" s="38" t="s">
        <v>79</v>
      </c>
      <c r="AL29" s="38" t="s">
        <v>79</v>
      </c>
      <c r="AM29" t="str">
        <f>VLOOKUP($R29,武学奇术!$A:$ZZ,25,FALSE)</f>
        <v>绳镖</v>
      </c>
      <c r="AN29" s="24">
        <f>VLOOKUP($R29,武学奇术!$A:$ZZ,26,FALSE)</f>
        <v>2.638944</v>
      </c>
      <c r="AO29" s="25">
        <f>VLOOKUP($R29,武学奇术!$A:$ZZ,27,FALSE)*(1+IF(OR($AM29=$F$4,$AM29=$F$5),$B$22,0))</f>
        <v>0</v>
      </c>
      <c r="AP29" s="24">
        <f>VLOOKUP($R29,武学奇术!$A:$ZZ,28,FALSE)</f>
        <v>3.958416</v>
      </c>
      <c r="AQ29" s="25">
        <f>VLOOKUP($R29,武学奇术!$A:$ZZ,29,FALSE)*(1+IF(OR($AM29=$F$4,$AM29=$F$5),$B$22,0))</f>
        <v>0</v>
      </c>
      <c r="AR29" s="24" cm="1">
        <f t="array" ref="AR29">$G$3+IFERROR(VLOOKUP($AM29,$F$4:$G$7,2,FALSE),0)+VLOOKUP($R29,武学奇术!$A:$ZZ,2,FALSE)+SUM(_xlfn.XLOOKUP($S29:$AL29,增益!$A:$A,增益!$B:$B,0))</f>
        <v>0.6189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3901.102</v>
      </c>
      <c r="AU29" cm="1">
        <f t="array" ref="AU29">$E$10*(1+$AS29)+VLOOKUP($R29,武学奇术!$A:$ZZ,4,FALSE)+SUM(_xlfn.XLOOKUP($S29:$AL29,增益!$A:$A,增益!$D:$D,0))-$I$2</f>
        <v>3901.102</v>
      </c>
      <c r="AV29" s="30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0.347</v>
      </c>
      <c r="AW29" s="30" cm="1">
        <f t="array" ref="AW29">$G$10+VLOOKUP($R29,武学奇术!$A:$ZZ,7,FALSE)+SUM(_xlfn.XLOOKUP($S29:$AL29,增益!$A:$A,增益!$G:$G,0))</f>
        <v>0.09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0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0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0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0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0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0" cm="1">
        <f t="array" ref="BJ29">$G$13+VLOOKUP($R29,武学奇术!$A:$ZZ,14,FALSE)+SUM(_xlfn.XLOOKUP($S29:$AL29,增益!$A:$A,增益!$N:$N,0))</f>
        <v>0</v>
      </c>
      <c r="BK29">
        <f t="shared" si="7"/>
        <v>605.472</v>
      </c>
      <c r="BL29">
        <f t="shared" si="8"/>
        <v>1725.468</v>
      </c>
      <c r="BM29" s="30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0" cm="1">
        <f t="array" ref="BN29">$G$14+VLOOKUP($R29,武学奇术!$A:$ZZ,16,FALSE)+SUM(_xlfn.XLOOKUP($S29:$AL29,增益!$A:$A,增益!$P:$P,0))</f>
        <v>0.24</v>
      </c>
      <c r="BO29" s="24">
        <f>MIN(IF(VLOOKUP($R29,武学奇术!$A:$ZZ,23,FALSE)=1,100%,$B$8),100%)</f>
        <v>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0.9036</v>
      </c>
      <c r="BQ29" s="24" cm="1">
        <f t="array" ref="BQ29">1+$B$13+VLOOKUP($R29,武学奇术!$A:$ZZ,18,FALSE)+SUM(_xlfn.XLOOKUP($S29:$AL29,增益!$A:$A,增益!$R:$R,0))</f>
        <v>1.91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0.9036</v>
      </c>
      <c r="BU29" s="24">
        <f t="shared" si="10"/>
        <v>0.00350000000000006</v>
      </c>
      <c r="BV29" s="24">
        <f>IF(VLOOKUP($R29,武学奇术!$A:$ZZ,22,FALSE)=1,0,(1-$BO29))*(1-$BR29)</f>
        <v>0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E30" s="4"/>
      <c r="F30" s="4"/>
      <c r="H30">
        <v>73</v>
      </c>
      <c r="K30">
        <f>$L30*VLOOKUP($R30,武学奇术!$A:$ZZ,31,FALSE)</f>
        <v>55025.8314414507</v>
      </c>
      <c r="L30" s="36">
        <f t="shared" si="0"/>
        <v>55025.8314414507</v>
      </c>
      <c r="M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$21,0))*(1+$BW30)</f>
        <v>55421.1572527097</v>
      </c>
      <c r="N30" s="36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</f>
        <v>51964.8727638708</v>
      </c>
      <c r="O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$21,0))*(1+$BW30)</f>
        <v>34210.5908967344</v>
      </c>
      <c r="P30" s="36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</f>
        <v>29928.6834498608</v>
      </c>
      <c r="Q30" s="70">
        <v>1</v>
      </c>
      <c r="R30" s="38" t="s">
        <v>127</v>
      </c>
      <c r="S30" s="38" t="s">
        <v>104</v>
      </c>
      <c r="T30" s="38" t="s">
        <v>79</v>
      </c>
      <c r="U30" s="38" t="s">
        <v>79</v>
      </c>
      <c r="V30" s="38" t="s">
        <v>79</v>
      </c>
      <c r="W30" s="38" t="s">
        <v>79</v>
      </c>
      <c r="X30" s="38" t="s">
        <v>79</v>
      </c>
      <c r="Y30" s="38" t="s">
        <v>170</v>
      </c>
      <c r="Z30" s="38" t="s">
        <v>90</v>
      </c>
      <c r="AA30" s="38" t="s">
        <v>79</v>
      </c>
      <c r="AB30" s="38" t="s">
        <v>91</v>
      </c>
      <c r="AC30" s="38" t="s">
        <v>79</v>
      </c>
      <c r="AD30" s="38" t="s">
        <v>82</v>
      </c>
      <c r="AE30" s="38" t="s">
        <v>83</v>
      </c>
      <c r="AF30" s="38" t="s">
        <v>84</v>
      </c>
      <c r="AG30" s="38" t="s">
        <v>85</v>
      </c>
      <c r="AH30" s="38" t="s">
        <v>79</v>
      </c>
      <c r="AI30" s="38" t="s">
        <v>79</v>
      </c>
      <c r="AJ30" s="38" t="s">
        <v>79</v>
      </c>
      <c r="AK30" s="38" t="s">
        <v>79</v>
      </c>
      <c r="AL30" s="38" t="s">
        <v>79</v>
      </c>
      <c r="AM30" t="str">
        <f>VLOOKUP($R30,武学奇术!$A:$ZZ,25,FALSE)</f>
        <v>拳甲</v>
      </c>
      <c r="AN30" s="24">
        <f>VLOOKUP($R30,武学奇术!$A:$ZZ,26,FALSE)</f>
        <v>2.4421</v>
      </c>
      <c r="AO30" s="25">
        <f>VLOOKUP($R30,武学奇术!$A:$ZZ,27,FALSE)*(1+IF(OR($AM30=$F$4,$AM30=$F$5),$B$22,0))</f>
        <v>1012.5</v>
      </c>
      <c r="AP30" s="24">
        <f>VLOOKUP($R30,武学奇术!$A:$ZZ,28,FALSE)</f>
        <v>3.6634</v>
      </c>
      <c r="AQ30" s="25">
        <f>VLOOKUP($R30,武学奇术!$A:$ZZ,29,FALSE)*(1+IF(OR($AM30=$F$4,$AM30=$F$5),$B$22,0))</f>
        <v>549</v>
      </c>
      <c r="AR30" s="24" cm="1">
        <f t="array" ref="AR30">$G$3+IFERROR(VLOOKUP($AM30,$F$4:$G$7,2,FALSE),0)+VLOOKUP($R30,武学奇术!$A:$ZZ,2,FALSE)+SUM(_xlfn.XLOOKUP($S30:$AL30,增益!$A:$A,增益!$B:$B,0))</f>
        <v>0.4041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3901.102</v>
      </c>
      <c r="AU30" cm="1">
        <f t="array" ref="AU30">$E$10*(1+$AS30)+VLOOKUP($R30,武学奇术!$A:$ZZ,4,FALSE)+SUM(_xlfn.XLOOKUP($S30:$AL30,增益!$A:$A,增益!$D:$D,0))-$I$2</f>
        <v>3901.102</v>
      </c>
      <c r="AV30" s="30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0.317</v>
      </c>
      <c r="AW30" s="30" cm="1">
        <f t="array" ref="AW30">$G$10+VLOOKUP($R30,武学奇术!$A:$ZZ,7,FALSE)+SUM(_xlfn.XLOOKUP($S30:$AL30,增益!$A:$A,增益!$G:$G,0))</f>
        <v>0.09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0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-0.14</v>
      </c>
      <c r="BB30" s="30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0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-0.14</v>
      </c>
      <c r="BF30" s="30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0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-0.14</v>
      </c>
      <c r="BJ30" s="30" cm="1">
        <f t="array" ref="BJ30">$G$13+VLOOKUP($R30,武学奇术!$A:$ZZ,14,FALSE)+SUM(_xlfn.XLOOKUP($S30:$AL30,增益!$A:$A,增益!$N:$N,0))</f>
        <v>0</v>
      </c>
      <c r="BK30">
        <f t="shared" si="7"/>
        <v>605.472</v>
      </c>
      <c r="BL30">
        <f t="shared" si="8"/>
        <v>1725.468</v>
      </c>
      <c r="BM30" s="30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0.08</v>
      </c>
      <c r="BN30" s="30" cm="1">
        <f t="array" ref="BN30">$G$14+VLOOKUP($R30,武学奇术!$A:$ZZ,16,FALSE)+SUM(_xlfn.XLOOKUP($S30:$AL30,增益!$A:$A,增益!$P:$P,0))</f>
        <v>0.24</v>
      </c>
      <c r="BO30" s="24">
        <f>MIN(IF(VLOOKUP($R30,武学奇术!$A:$ZZ,23,FALSE)=1,100%,$B$8),100%)</f>
        <v>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0.9036</v>
      </c>
      <c r="BQ30" s="24" cm="1">
        <f t="array" ref="BQ30">1+$B$13+VLOOKUP($R30,武学奇术!$A:$ZZ,18,FALSE)+SUM(_xlfn.XLOOKUP($S30:$AL30,增益!$A:$A,增益!$R:$R,0))</f>
        <v>1.62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0.9036</v>
      </c>
      <c r="BU30" s="24">
        <f t="shared" si="10"/>
        <v>0.00350000000000006</v>
      </c>
      <c r="BV30" s="24">
        <f>IF(VLOOKUP($R30,武学奇术!$A:$ZZ,22,FALSE)=1,0,(1-$BO30))*(1-$BR30)</f>
        <v>0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</v>
      </c>
    </row>
    <row r="31" spans="1:76">
      <c r="E31" s="4"/>
      <c r="F31" s="4"/>
      <c r="H31">
        <v>121</v>
      </c>
      <c r="K31">
        <f>$L31*VLOOKUP($R31,武学奇术!$A:$ZZ,31,FALSE)</f>
        <v>29201.041581359</v>
      </c>
      <c r="L31" s="36">
        <f t="shared" si="0"/>
        <v>29201.041581359</v>
      </c>
      <c r="M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$21,0))*(1+$BW31)</f>
        <v>29427.3517203195</v>
      </c>
      <c r="N31" s="36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</f>
        <v>27419.795498758</v>
      </c>
      <c r="O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$21,0))*(1+$BW31)</f>
        <v>18053.590012466</v>
      </c>
      <c r="P31" s="36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</f>
        <v>15796.2203962223</v>
      </c>
      <c r="Q31" s="70">
        <v>1</v>
      </c>
      <c r="R31" s="38" t="s">
        <v>122</v>
      </c>
      <c r="S31" s="38" t="s">
        <v>104</v>
      </c>
      <c r="T31" s="38" t="s">
        <v>79</v>
      </c>
      <c r="U31" s="38" t="s">
        <v>79</v>
      </c>
      <c r="V31" s="38" t="s">
        <v>79</v>
      </c>
      <c r="W31" s="38" t="s">
        <v>79</v>
      </c>
      <c r="X31" s="38" t="s">
        <v>79</v>
      </c>
      <c r="Y31" s="38" t="s">
        <v>171</v>
      </c>
      <c r="Z31" s="38" t="s">
        <v>90</v>
      </c>
      <c r="AA31" s="38" t="s">
        <v>79</v>
      </c>
      <c r="AB31" s="38" t="s">
        <v>97</v>
      </c>
      <c r="AC31" s="38" t="s">
        <v>79</v>
      </c>
      <c r="AD31" s="38" t="s">
        <v>82</v>
      </c>
      <c r="AE31" s="38" t="s">
        <v>83</v>
      </c>
      <c r="AF31" s="38" t="s">
        <v>84</v>
      </c>
      <c r="AG31" s="38" t="s">
        <v>85</v>
      </c>
      <c r="AH31" s="38" t="s">
        <v>79</v>
      </c>
      <c r="AI31" s="38" t="s">
        <v>79</v>
      </c>
      <c r="AJ31" s="38" t="s">
        <v>79</v>
      </c>
      <c r="AK31" s="38" t="s">
        <v>79</v>
      </c>
      <c r="AL31" s="38" t="s">
        <v>79</v>
      </c>
      <c r="AM31" t="str">
        <f>VLOOKUP($R31,武学奇术!$A:$ZZ,25,FALSE)</f>
        <v>拳甲</v>
      </c>
      <c r="AN31" s="24">
        <f>VLOOKUP($R31,武学奇术!$A:$ZZ,26,FALSE)</f>
        <v>1.2876</v>
      </c>
      <c r="AO31" s="25">
        <f>VLOOKUP($R31,武学奇术!$A:$ZZ,27,FALSE)*(1+IF(OR($AM31=$F$4,$AM31=$F$5),$B$22,0))</f>
        <v>537</v>
      </c>
      <c r="AP31" s="24">
        <f>VLOOKUP($R31,武学奇术!$A:$ZZ,28,FALSE)</f>
        <v>1.9313</v>
      </c>
      <c r="AQ31" s="25">
        <f>VLOOKUP($R31,武学奇术!$A:$ZZ,29,FALSE)*(1+IF(OR($AM31=$F$4,$AM31=$F$5),$B$22,0))</f>
        <v>292.5</v>
      </c>
      <c r="AR31" s="24" cm="1">
        <f t="array" ref="AR31">$G$3+IFERROR(VLOOKUP($AM31,$F$4:$G$7,2,FALSE),0)+VLOOKUP($R31,武学奇术!$A:$ZZ,2,FALSE)+SUM(_xlfn.XLOOKUP($S31:$AL31,增益!$A:$A,增益!$B:$B,0))</f>
        <v>0.4041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3901.102</v>
      </c>
      <c r="AU31" cm="1">
        <f t="array" ref="AU31">$E$10*(1+$AS31)+VLOOKUP($R31,武学奇术!$A:$ZZ,4,FALSE)+SUM(_xlfn.XLOOKUP($S31:$AL31,增益!$A:$A,增益!$D:$D,0))-$I$2</f>
        <v>3901.102</v>
      </c>
      <c r="AV31" s="30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0.317</v>
      </c>
      <c r="AW31" s="30" cm="1">
        <f t="array" ref="AW31">$G$10+VLOOKUP($R31,武学奇术!$A:$ZZ,7,FALSE)+SUM(_xlfn.XLOOKUP($S31:$AL31,增益!$A:$A,增益!$G:$G,0))</f>
        <v>0.09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0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-0.14</v>
      </c>
      <c r="BB31" s="30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0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-0.14</v>
      </c>
      <c r="BF31" s="30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0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-0.14</v>
      </c>
      <c r="BJ31" s="30" cm="1">
        <f t="array" ref="BJ31">$G$13+VLOOKUP($R31,武学奇术!$A:$ZZ,14,FALSE)+SUM(_xlfn.XLOOKUP($S31:$AL31,增益!$A:$A,增益!$N:$N,0))</f>
        <v>0</v>
      </c>
      <c r="BK31">
        <f t="shared" si="7"/>
        <v>605.472</v>
      </c>
      <c r="BL31">
        <f t="shared" si="8"/>
        <v>1725.468</v>
      </c>
      <c r="BM31" s="30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0.08</v>
      </c>
      <c r="BN31" s="30" cm="1">
        <f t="array" ref="BN31">$G$14+VLOOKUP($R31,武学奇术!$A:$ZZ,16,FALSE)+SUM(_xlfn.XLOOKUP($S31:$AL31,增益!$A:$A,增益!$P:$P,0))</f>
        <v>0.24</v>
      </c>
      <c r="BO31" s="24">
        <f>MIN(IF(VLOOKUP($R31,武学奇术!$A:$ZZ,23,FALSE)=1,100%,$B$8),100%)</f>
        <v>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0.9036</v>
      </c>
      <c r="BQ31" s="24" cm="1">
        <f t="array" ref="BQ31">1+$B$13+VLOOKUP($R31,武学奇术!$A:$ZZ,18,FALSE)+SUM(_xlfn.XLOOKUP($S31:$AL31,增益!$A:$A,增益!$R:$R,0))</f>
        <v>1.63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0.9036</v>
      </c>
      <c r="BU31" s="24">
        <f t="shared" si="10"/>
        <v>0.00350000000000006</v>
      </c>
      <c r="BV31" s="24">
        <f>IF(VLOOKUP($R31,武学奇术!$A:$ZZ,22,FALSE)=1,0,(1-$BO31))*(1-$BR31)</f>
        <v>0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H32">
        <v>141</v>
      </c>
      <c r="K32">
        <f>$L32*VLOOKUP($R32,武学奇术!$A:$ZZ,31,FALSE)</f>
        <v>99795.9770412399</v>
      </c>
      <c r="L32" s="36">
        <f t="shared" si="0"/>
        <v>76766.1361855691</v>
      </c>
      <c r="M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$21,0))*(1+$BW32)</f>
        <v>78362.2207869048</v>
      </c>
      <c r="N32" s="36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</f>
        <v>62604.1531565683</v>
      </c>
      <c r="O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$21,0))*(1+$BW32)</f>
        <v>40602.1869362201</v>
      </c>
      <c r="P32" s="36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</f>
        <v>34830.927089797</v>
      </c>
      <c r="Q32" s="70">
        <v>1</v>
      </c>
      <c r="R32" s="38" t="s">
        <v>124</v>
      </c>
      <c r="S32" s="38" t="s">
        <v>104</v>
      </c>
      <c r="T32" s="38" t="s">
        <v>79</v>
      </c>
      <c r="U32" s="38" t="s">
        <v>79</v>
      </c>
      <c r="V32" s="38" t="s">
        <v>79</v>
      </c>
      <c r="W32" s="38" t="s">
        <v>79</v>
      </c>
      <c r="X32" s="38" t="s">
        <v>79</v>
      </c>
      <c r="Y32" s="38" t="s">
        <v>171</v>
      </c>
      <c r="Z32" s="38" t="s">
        <v>90</v>
      </c>
      <c r="AA32" s="38" t="s">
        <v>112</v>
      </c>
      <c r="AB32" s="38" t="s">
        <v>97</v>
      </c>
      <c r="AC32" s="38" t="s">
        <v>79</v>
      </c>
      <c r="AD32" s="38" t="s">
        <v>82</v>
      </c>
      <c r="AE32" s="38" t="s">
        <v>83</v>
      </c>
      <c r="AF32" s="38" t="s">
        <v>84</v>
      </c>
      <c r="AG32" s="38" t="s">
        <v>85</v>
      </c>
      <c r="AH32" s="38" t="s">
        <v>79</v>
      </c>
      <c r="AI32" s="38" t="s">
        <v>79</v>
      </c>
      <c r="AJ32" s="38" t="s">
        <v>79</v>
      </c>
      <c r="AK32" s="38" t="s">
        <v>79</v>
      </c>
      <c r="AL32" s="38" t="s">
        <v>79</v>
      </c>
      <c r="AM32" t="str">
        <f>VLOOKUP($R32,武学奇术!$A:$ZZ,25,FALSE)</f>
        <v>拳甲</v>
      </c>
      <c r="AN32" s="24">
        <f>VLOOKUP($R32,武学奇术!$A:$ZZ,26,FALSE)</f>
        <v>2.638944</v>
      </c>
      <c r="AO32" s="25">
        <f>VLOOKUP($R32,武学奇术!$A:$ZZ,27,FALSE)*(1+IF(OR($AM32=$F$4,$AM32=$F$5),$B$22,0))</f>
        <v>0</v>
      </c>
      <c r="AP32" s="24">
        <f>VLOOKUP($R32,武学奇术!$A:$ZZ,28,FALSE)</f>
        <v>3.958416</v>
      </c>
      <c r="AQ32" s="25">
        <f>VLOOKUP($R32,武学奇术!$A:$ZZ,29,FALSE)*(1+IF(OR($AM32=$F$4,$AM32=$F$5),$B$22,0))</f>
        <v>0</v>
      </c>
      <c r="AR32" s="24" cm="1">
        <f t="array" ref="AR32">$G$3+IFERROR(VLOOKUP($AM32,$F$4:$G$7,2,FALSE),0)+VLOOKUP($R32,武学奇术!$A:$ZZ,2,FALSE)+SUM(_xlfn.XLOOKUP($S32:$AL32,增益!$A:$A,增益!$B:$B,0))</f>
        <v>0.7041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3901.102</v>
      </c>
      <c r="AU32" cm="1">
        <f t="array" ref="AU32">$E$10*(1+$AS32)+VLOOKUP($R32,武学奇术!$A:$ZZ,4,FALSE)+SUM(_xlfn.XLOOKUP($S32:$AL32,增益!$A:$A,增益!$D:$D,0))-$I$2</f>
        <v>3901.102</v>
      </c>
      <c r="AV32" s="30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0.347</v>
      </c>
      <c r="AW32" s="30" cm="1">
        <f t="array" ref="AW32">$G$10+VLOOKUP($R32,武学奇术!$A:$ZZ,7,FALSE)+SUM(_xlfn.XLOOKUP($S32:$AL32,增益!$A:$A,增益!$G:$G,0))</f>
        <v>0.09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0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-0.08</v>
      </c>
      <c r="BB32" s="30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0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-0.08</v>
      </c>
      <c r="BF32" s="30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0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-0.08</v>
      </c>
      <c r="BJ32" s="30" cm="1">
        <f t="array" ref="BJ32">$G$13+VLOOKUP($R32,武学奇术!$A:$ZZ,14,FALSE)+SUM(_xlfn.XLOOKUP($S32:$AL32,增益!$A:$A,增益!$N:$N,0))</f>
        <v>0</v>
      </c>
      <c r="BK32">
        <f t="shared" si="7"/>
        <v>605.472</v>
      </c>
      <c r="BL32">
        <f t="shared" si="8"/>
        <v>1725.468</v>
      </c>
      <c r="BM32" s="30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0.11</v>
      </c>
      <c r="BN32" s="30" cm="1">
        <f t="array" ref="BN32">$G$14+VLOOKUP($R32,武学奇术!$A:$ZZ,16,FALSE)+SUM(_xlfn.XLOOKUP($S32:$AL32,增益!$A:$A,增益!$P:$P,0))</f>
        <v>0.24</v>
      </c>
      <c r="BO32" s="24">
        <f>MIN(IF(VLOOKUP($R32,武学奇术!$A:$ZZ,23,FALSE)=1,100%,$B$8),100%)</f>
        <v>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0.9036</v>
      </c>
      <c r="BQ32" s="24" cm="1">
        <f t="array" ref="BQ32">1+$B$13+VLOOKUP($R32,武学奇术!$A:$ZZ,18,FALSE)+SUM(_xlfn.XLOOKUP($S32:$AL32,增益!$A:$A,增益!$R:$R,0))</f>
        <v>1.93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0.9036</v>
      </c>
      <c r="BU32" s="24">
        <f t="shared" si="10"/>
        <v>0.00350000000000006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A33" s="4" t="s">
        <v>172</v>
      </c>
      <c r="B33" s="4">
        <v>0.9</v>
      </c>
      <c r="K33">
        <f>$L33*VLOOKUP($R33,武学奇术!$A:$ZZ,31,FALSE)</f>
        <v>697699.104492835</v>
      </c>
      <c r="L33" s="36">
        <f t="shared" si="0"/>
        <v>825679.413600988</v>
      </c>
      <c r="M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$21,0))*(1+$BW33)</f>
        <v>827221.756970293</v>
      </c>
      <c r="N33" s="36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</f>
        <v>587359.605970531</v>
      </c>
      <c r="O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$21,0))*(1+$BW33)</f>
        <v>386552.222883314</v>
      </c>
      <c r="P33" s="36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</f>
        <v>338023.256158828</v>
      </c>
      <c r="Q33" s="70">
        <v>1</v>
      </c>
      <c r="R33" s="38" t="s">
        <v>138</v>
      </c>
      <c r="S33" s="38" t="s">
        <v>104</v>
      </c>
      <c r="T33" s="38" t="s">
        <v>79</v>
      </c>
      <c r="U33" s="38" t="s">
        <v>79</v>
      </c>
      <c r="V33" s="38" t="s">
        <v>79</v>
      </c>
      <c r="W33" s="38" t="s">
        <v>79</v>
      </c>
      <c r="X33" s="38" t="s">
        <v>79</v>
      </c>
      <c r="Y33" s="38" t="s">
        <v>173</v>
      </c>
      <c r="Z33" s="38" t="s">
        <v>90</v>
      </c>
      <c r="AA33" s="38" t="s">
        <v>112</v>
      </c>
      <c r="AB33" s="38" t="s">
        <v>97</v>
      </c>
      <c r="AC33" s="38" t="s">
        <v>79</v>
      </c>
      <c r="AD33" s="38" t="s">
        <v>82</v>
      </c>
      <c r="AE33" s="38" t="s">
        <v>83</v>
      </c>
      <c r="AF33" s="38" t="s">
        <v>84</v>
      </c>
      <c r="AG33" s="38" t="s">
        <v>85</v>
      </c>
      <c r="AH33" s="38" t="s">
        <v>79</v>
      </c>
      <c r="AI33" s="38" t="s">
        <v>79</v>
      </c>
      <c r="AJ33" s="38" t="s">
        <v>79</v>
      </c>
      <c r="AK33" s="38" t="s">
        <v>79</v>
      </c>
      <c r="AL33" s="38" t="s">
        <v>79</v>
      </c>
      <c r="AM33" t="str">
        <f>VLOOKUP($R33,武学奇术!$A:$ZZ,25,FALSE)</f>
        <v>拳甲</v>
      </c>
      <c r="AN33" s="24">
        <f>VLOOKUP($R33,武学奇术!$A:$ZZ,26,FALSE)</f>
        <v>16.8107</v>
      </c>
      <c r="AO33" s="25">
        <f>VLOOKUP($R33,武学奇术!$A:$ZZ,27,FALSE)*(1+IF(OR($AM33=$F$4,$AM33=$F$5),$B$22,0))</f>
        <v>6970.5</v>
      </c>
      <c r="AP33" s="24">
        <f>VLOOKUP($R33,武学奇术!$A:$ZZ,28,FALSE)</f>
        <v>25.2161</v>
      </c>
      <c r="AQ33" s="25">
        <f>VLOOKUP($R33,武学奇术!$A:$ZZ,29,FALSE)*(1+IF(OR($AM33=$F$4,$AM33=$F$5),$B$22,0))</f>
        <v>3799.5</v>
      </c>
      <c r="AR33" s="24" cm="1">
        <f t="array" ref="AR33">$G$3+IFERROR(VLOOKUP($AM33,$F$4:$G$7,2,FALSE),0)+VLOOKUP($R33,武学奇术!$A:$ZZ,2,FALSE)+SUM(_xlfn.XLOOKUP($S33:$AL33,增益!$A:$A,增益!$B:$B,0))</f>
        <v>0.7041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3901.102</v>
      </c>
      <c r="AU33" cm="1">
        <f t="array" ref="AU33">$E$10*(1+$AS33)+VLOOKUP($R33,武学奇术!$A:$ZZ,4,FALSE)+SUM(_xlfn.XLOOKUP($S33:$AL33,增益!$A:$A,增益!$D:$D,0))-$I$2</f>
        <v>3901.102</v>
      </c>
      <c r="AV33" s="30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0.347</v>
      </c>
      <c r="AW33" s="30" cm="1">
        <f t="array" ref="AW33">$G$10+VLOOKUP($R33,武学奇术!$A:$ZZ,7,FALSE)+SUM(_xlfn.XLOOKUP($S33:$AL33,增益!$A:$A,增益!$G:$G,0))</f>
        <v>0.09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0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-0.08</v>
      </c>
      <c r="BB33" s="30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0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-0.08</v>
      </c>
      <c r="BF33" s="30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0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-0.08</v>
      </c>
      <c r="BJ33" s="30" cm="1">
        <f t="array" ref="BJ33">$G$13+VLOOKUP($R33,武学奇术!$A:$ZZ,14,FALSE)+SUM(_xlfn.XLOOKUP($S33:$AL33,增益!$A:$A,增益!$N:$N,0))</f>
        <v>0</v>
      </c>
      <c r="BK33">
        <f t="shared" si="7"/>
        <v>605.472</v>
      </c>
      <c r="BL33">
        <f t="shared" si="8"/>
        <v>1725.468</v>
      </c>
      <c r="BM33" s="30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0.11</v>
      </c>
      <c r="BN33" s="30" cm="1">
        <f t="array" ref="BN33">$G$14+VLOOKUP($R33,武学奇术!$A:$ZZ,16,FALSE)+SUM(_xlfn.XLOOKUP($S33:$AL33,增益!$A:$A,增益!$P:$P,0))</f>
        <v>0.24</v>
      </c>
      <c r="BO33" s="24">
        <f>MIN(IF(VLOOKUP($R33,武学奇术!$A:$ZZ,23,FALSE)=1,100%,$B$8),100%)</f>
        <v>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0.9965</v>
      </c>
      <c r="BQ33" s="24" cm="1">
        <f t="array" ref="BQ33">1+$B$13+VLOOKUP($R33,武学奇术!$A:$ZZ,18,FALSE)+SUM(_xlfn.XLOOKUP($S33:$AL33,增益!$A:$A,增益!$R:$R,0))</f>
        <v>2.14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0.9965</v>
      </c>
      <c r="BU33" s="24">
        <f t="shared" si="10"/>
        <v>0.00350000000000006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A34" t="s">
        <v>174</v>
      </c>
      <c r="B34">
        <v>1</v>
      </c>
      <c r="F34" s="70" t="s">
        <v>175</v>
      </c>
      <c r="K34">
        <f>$L34*VLOOKUP($R34,武学奇术!$A:$ZZ,31,FALSE)</f>
        <v>165135.882720198</v>
      </c>
      <c r="L34" s="87">
        <f>L33*0.4*(1+BX34)</f>
        <v>330271.765440395</v>
      </c>
      <c r="M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$21,0))*(1+$BW34)</f>
        <v>0</v>
      </c>
      <c r="N34" s="36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</f>
        <v>0</v>
      </c>
      <c r="O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$21,0))*(1+$BW34)</f>
        <v>0</v>
      </c>
      <c r="P34" s="36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</f>
        <v>0</v>
      </c>
      <c r="Q34" s="70">
        <v>1</v>
      </c>
      <c r="R34" s="38" t="s">
        <v>145</v>
      </c>
      <c r="S34" s="38" t="s">
        <v>146</v>
      </c>
      <c r="T34" s="38" t="s">
        <v>79</v>
      </c>
      <c r="U34" s="38" t="s">
        <v>79</v>
      </c>
      <c r="V34" s="38" t="s">
        <v>79</v>
      </c>
      <c r="W34" s="38" t="s">
        <v>79</v>
      </c>
      <c r="X34" s="38" t="s">
        <v>79</v>
      </c>
      <c r="Y34" s="38" t="s">
        <v>79</v>
      </c>
      <c r="Z34" s="38" t="s">
        <v>79</v>
      </c>
      <c r="AA34" s="38" t="s">
        <v>79</v>
      </c>
      <c r="AB34" s="38" t="s">
        <v>79</v>
      </c>
      <c r="AC34" s="38" t="s">
        <v>79</v>
      </c>
      <c r="AD34" s="38" t="s">
        <v>82</v>
      </c>
      <c r="AE34" s="38" t="s">
        <v>83</v>
      </c>
      <c r="AF34" s="38" t="s">
        <v>84</v>
      </c>
      <c r="AG34" s="38" t="s">
        <v>85</v>
      </c>
      <c r="AH34" s="38" t="s">
        <v>79</v>
      </c>
      <c r="AI34" s="38" t="s">
        <v>79</v>
      </c>
      <c r="AJ34" s="38" t="s">
        <v>79</v>
      </c>
      <c r="AK34" s="38" t="s">
        <v>79</v>
      </c>
      <c r="AL34" s="38" t="s">
        <v>79</v>
      </c>
      <c r="AM34" t="str">
        <f>VLOOKUP($R34,武学奇术!$A:$ZZ,25,FALSE)</f>
        <v>拳甲</v>
      </c>
      <c r="AN34" s="24">
        <f>VLOOKUP($R34,武学奇术!$A:$ZZ,26,FALSE)</f>
        <v>0</v>
      </c>
      <c r="AO34" s="25">
        <f>VLOOKUP($R34,武学奇术!$A:$ZZ,27,FALSE)*(1+IF(OR($AM34=$F$4,$AM34=$F$5),$B$22,0))</f>
        <v>0</v>
      </c>
      <c r="AP34" s="24">
        <f>VLOOKUP($R34,武学奇术!$A:$ZZ,28,FALSE)</f>
        <v>0</v>
      </c>
      <c r="AQ34" s="25">
        <f>VLOOKUP($R34,武学奇术!$A:$ZZ,29,FALSE)*(1+IF(OR($AM34=$F$4,$AM34=$F$5),$B$22,0))</f>
        <v>0</v>
      </c>
      <c r="AR34" s="24" cm="1">
        <f t="array" ref="AR34">$G$3+IFERROR(VLOOKUP($AM34,$F$4:$G$7,2,FALSE),0)+VLOOKUP($R34,武学奇术!$A:$ZZ,2,FALSE)+SUM(_xlfn.XLOOKUP($S34:$AL34,增益!$A:$A,增益!$B:$B,0))</f>
        <v>0.3541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3901.102</v>
      </c>
      <c r="AU34" cm="1">
        <f t="array" ref="AU34">$E$10*(1+$AS34)+VLOOKUP($R34,武学奇术!$A:$ZZ,4,FALSE)+SUM(_xlfn.XLOOKUP($S34:$AL34,增益!$A:$A,增益!$D:$D,0))-$I$2</f>
        <v>3901.102</v>
      </c>
      <c r="AV34" s="30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0.267</v>
      </c>
      <c r="AW34" s="30" cm="1">
        <f t="array" ref="AW34">$G$10+VLOOKUP($R34,武学奇术!$A:$ZZ,7,FALSE)+SUM(_xlfn.XLOOKUP($S34:$AL34,增益!$A:$A,增益!$G:$G,0))</f>
        <v>0.09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0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0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0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0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0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0" cm="1">
        <f t="array" ref="BJ34">$G$13+VLOOKUP($R34,武学奇术!$A:$ZZ,14,FALSE)+SUM(_xlfn.XLOOKUP($S34:$AL34,增益!$A:$A,增益!$N:$N,0))</f>
        <v>0</v>
      </c>
      <c r="BK34">
        <f t="shared" si="7"/>
        <v>605.472</v>
      </c>
      <c r="BL34">
        <f t="shared" si="8"/>
        <v>1725.468</v>
      </c>
      <c r="BM34" s="30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0" cm="1">
        <f t="array" ref="BN34">$G$14+VLOOKUP($R34,武学奇术!$A:$ZZ,16,FALSE)+SUM(_xlfn.XLOOKUP($S34:$AL34,增益!$A:$A,增益!$P:$P,0))</f>
        <v>0.24</v>
      </c>
      <c r="BO34" s="24">
        <f>MIN(IF(VLOOKUP($R34,武学奇术!$A:$ZZ,23,FALSE)=1,100%,$B$8),100%)</f>
        <v>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0.9036</v>
      </c>
      <c r="BQ34" s="24" cm="1">
        <f t="array" ref="BQ34">1+$B$13+VLOOKUP($R34,武学奇术!$A:$ZZ,18,FALSE)+SUM(_xlfn.XLOOKUP($S34:$AL34,增益!$A:$A,增益!$R:$R,0))</f>
        <v>1.54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0.9036</v>
      </c>
      <c r="BU34" s="24">
        <f t="shared" si="10"/>
        <v>0.00350000000000006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A35" t="s">
        <v>169</v>
      </c>
      <c r="B35">
        <v>0.1</v>
      </c>
      <c r="F35" s="70"/>
      <c r="K35">
        <f>$L35*VLOOKUP($R35,武学奇术!$A:$ZZ,31,FALSE)</f>
        <v>55644.0852401365</v>
      </c>
      <c r="L35" s="36">
        <f t="shared" ref="L35:L60" si="11">($M35*$BT35+$N35*$BR35+$O35*$BU35+$P35*$BV35)</f>
        <v>55644.0852401365</v>
      </c>
      <c r="M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$21,0))*(1+$BW35)</f>
        <v>56105.3690706444</v>
      </c>
      <c r="N35" s="36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</f>
        <v>51964.8727638708</v>
      </c>
      <c r="O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$21,0))*(1+$BW35)</f>
        <v>34210.5908967344</v>
      </c>
      <c r="P35" s="36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</f>
        <v>29928.6834498608</v>
      </c>
      <c r="Q35" s="70">
        <v>1</v>
      </c>
      <c r="R35" s="38" t="s">
        <v>127</v>
      </c>
      <c r="S35" s="38" t="s">
        <v>104</v>
      </c>
      <c r="T35" s="38" t="s">
        <v>79</v>
      </c>
      <c r="U35" s="38" t="s">
        <v>79</v>
      </c>
      <c r="V35" s="38" t="s">
        <v>79</v>
      </c>
      <c r="W35" s="38" t="s">
        <v>79</v>
      </c>
      <c r="X35" s="38" t="s">
        <v>79</v>
      </c>
      <c r="Y35" s="38" t="s">
        <v>173</v>
      </c>
      <c r="Z35" s="38" t="s">
        <v>90</v>
      </c>
      <c r="AA35" s="38" t="s">
        <v>79</v>
      </c>
      <c r="AB35" s="38" t="s">
        <v>97</v>
      </c>
      <c r="AC35" s="38" t="s">
        <v>79</v>
      </c>
      <c r="AD35" s="38" t="s">
        <v>82</v>
      </c>
      <c r="AE35" s="38" t="s">
        <v>83</v>
      </c>
      <c r="AF35" s="38" t="s">
        <v>84</v>
      </c>
      <c r="AG35" s="38" t="s">
        <v>85</v>
      </c>
      <c r="AH35" s="38" t="s">
        <v>79</v>
      </c>
      <c r="AI35" s="38" t="s">
        <v>79</v>
      </c>
      <c r="AJ35" s="38" t="s">
        <v>79</v>
      </c>
      <c r="AK35" s="38" t="s">
        <v>79</v>
      </c>
      <c r="AL35" s="38" t="s">
        <v>79</v>
      </c>
      <c r="AM35" t="str">
        <f>VLOOKUP($R35,武学奇术!$A:$ZZ,25,FALSE)</f>
        <v>拳甲</v>
      </c>
      <c r="AN35" s="24">
        <f>VLOOKUP($R35,武学奇术!$A:$ZZ,26,FALSE)</f>
        <v>2.4421</v>
      </c>
      <c r="AO35" s="25">
        <f>VLOOKUP($R35,武学奇术!$A:$ZZ,27,FALSE)*(1+IF(OR($AM35=$F$4,$AM35=$F$5),$B$22,0))</f>
        <v>1012.5</v>
      </c>
      <c r="AP35" s="24">
        <f>VLOOKUP($R35,武学奇术!$A:$ZZ,28,FALSE)</f>
        <v>3.6634</v>
      </c>
      <c r="AQ35" s="25">
        <f>VLOOKUP($R35,武学奇术!$A:$ZZ,29,FALSE)*(1+IF(OR($AM35=$F$4,$AM35=$F$5),$B$22,0))</f>
        <v>549</v>
      </c>
      <c r="AR35" s="24" cm="1">
        <f t="array" ref="AR35">$G$3+IFERROR(VLOOKUP($AM35,$F$4:$G$7,2,FALSE),0)+VLOOKUP($R35,武学奇术!$A:$ZZ,2,FALSE)+SUM(_xlfn.XLOOKUP($S35:$AL35,增益!$A:$A,增益!$B:$B,0))</f>
        <v>0.4041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3901.102</v>
      </c>
      <c r="AU35" cm="1">
        <f t="array" ref="AU35">$E$10*(1+$AS35)+VLOOKUP($R35,武学奇术!$A:$ZZ,4,FALSE)+SUM(_xlfn.XLOOKUP($S35:$AL35,增益!$A:$A,增益!$D:$D,0))-$I$2</f>
        <v>3901.102</v>
      </c>
      <c r="AV35" s="30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0.317</v>
      </c>
      <c r="AW35" s="30" cm="1">
        <f t="array" ref="AW35">$G$10+VLOOKUP($R35,武学奇术!$A:$ZZ,7,FALSE)+SUM(_xlfn.XLOOKUP($S35:$AL35,增益!$A:$A,增益!$G:$G,0))</f>
        <v>0.09</v>
      </c>
      <c r="AX35" s="24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0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-0.14</v>
      </c>
      <c r="BB35" s="30" cm="1">
        <f t="array" ref="BB35">$G$11+VLOOKUP($R35,武学奇术!$A:$ZZ,10,FALSE)+SUM(_xlfn.XLOOKUP($S35:$AL35,增益!$A:$A,增益!$J:$J,0))</f>
        <v>0</v>
      </c>
      <c r="BC35">
        <f t="shared" ref="BC35:BC66" si="14">$D$12*(1+$AX35)</f>
        <v>0</v>
      </c>
      <c r="BD35">
        <f t="shared" ref="BD35:BD66" si="15">$E$12*(1+$AX35)</f>
        <v>0</v>
      </c>
      <c r="BE35" s="30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-0.14</v>
      </c>
      <c r="BF35" s="30" cm="1">
        <f t="array" ref="BF35">$G$12+VLOOKUP($R35,武学奇术!$A:$ZZ,12,FALSE)+SUM(_xlfn.XLOOKUP($S35:$AL35,增益!$A:$A,增益!$L:$L,0))</f>
        <v>0</v>
      </c>
      <c r="BG35">
        <f t="shared" ref="BG35:BG66" si="16">$D$13*(1+$AX35)</f>
        <v>0</v>
      </c>
      <c r="BH35">
        <f t="shared" ref="BH35:BH66" si="17">$E$13*(1+$AX35)</f>
        <v>0</v>
      </c>
      <c r="BI35" s="30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-0.14</v>
      </c>
      <c r="BJ35" s="30" cm="1">
        <f t="array" ref="BJ35">$G$13+VLOOKUP($R35,武学奇术!$A:$ZZ,14,FALSE)+SUM(_xlfn.XLOOKUP($S35:$AL35,增益!$A:$A,增益!$N:$N,0))</f>
        <v>0</v>
      </c>
      <c r="BK35">
        <f t="shared" ref="BK35:BK66" si="18">$D$14*(1+$AX35)</f>
        <v>605.472</v>
      </c>
      <c r="BL35">
        <f t="shared" ref="BL35:BL66" si="19">$E$14*(1+$AX35)</f>
        <v>1725.468</v>
      </c>
      <c r="BM35" s="30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0.08</v>
      </c>
      <c r="BN35" s="30" cm="1">
        <f t="array" ref="BN35">$G$14+VLOOKUP($R35,武学奇术!$A:$ZZ,16,FALSE)+SUM(_xlfn.XLOOKUP($S35:$AL35,增益!$A:$A,增益!$P:$P,0))</f>
        <v>0.24</v>
      </c>
      <c r="BO35" s="24">
        <f>MIN(IF(VLOOKUP($R35,武学奇术!$A:$ZZ,23,FALSE)=1,100%,$B$8),100%)</f>
        <v>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0.9036</v>
      </c>
      <c r="BQ35" s="24" cm="1">
        <f t="array" ref="BQ35">1+$B$13+VLOOKUP($R35,武学奇术!$A:$ZZ,18,FALSE)+SUM(_xlfn.XLOOKUP($S35:$AL35,增益!$A:$A,增益!$R:$R,0))</f>
        <v>1.64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0">MIN((1-BR35)*BO35,BO35*BP35)</f>
        <v>0.9036</v>
      </c>
      <c r="BU35" s="24">
        <f t="shared" ref="BU35:BU66" si="21">1-BR35-BT35-BV35</f>
        <v>0.00350000000000006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A36" t="s">
        <v>176</v>
      </c>
      <c r="B36">
        <v>1.23</v>
      </c>
      <c r="D36" s="70" t="s">
        <v>167</v>
      </c>
      <c r="F36" s="70"/>
      <c r="K36">
        <f>$L36*VLOOKUP($R36,武学奇术!$A:$ZZ,31,FALSE)</f>
        <v>29364.1738207116</v>
      </c>
      <c r="L36" s="36">
        <f t="shared" si="11"/>
        <v>29364.1738207116</v>
      </c>
      <c r="M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$21,0))*(1+$BW36)</f>
        <v>29607.8876204442</v>
      </c>
      <c r="N36" s="36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</f>
        <v>27419.795498758</v>
      </c>
      <c r="O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$21,0))*(1+$BW36)</f>
        <v>18053.590012466</v>
      </c>
      <c r="P36" s="36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</f>
        <v>15796.2203962223</v>
      </c>
      <c r="Q36" s="70">
        <v>1</v>
      </c>
      <c r="R36" s="38" t="s">
        <v>122</v>
      </c>
      <c r="S36" s="38" t="s">
        <v>104</v>
      </c>
      <c r="T36" s="38" t="s">
        <v>79</v>
      </c>
      <c r="U36" s="38" t="s">
        <v>79</v>
      </c>
      <c r="V36" s="38" t="s">
        <v>79</v>
      </c>
      <c r="W36" s="38" t="s">
        <v>79</v>
      </c>
      <c r="X36" s="38" t="s">
        <v>79</v>
      </c>
      <c r="Y36" s="38" t="s">
        <v>173</v>
      </c>
      <c r="Z36" s="38" t="s">
        <v>90</v>
      </c>
      <c r="AA36" s="38" t="s">
        <v>79</v>
      </c>
      <c r="AB36" s="38" t="s">
        <v>91</v>
      </c>
      <c r="AC36" s="38" t="s">
        <v>79</v>
      </c>
      <c r="AD36" s="38" t="s">
        <v>82</v>
      </c>
      <c r="AE36" s="38" t="s">
        <v>83</v>
      </c>
      <c r="AF36" s="38" t="s">
        <v>84</v>
      </c>
      <c r="AG36" s="38" t="s">
        <v>85</v>
      </c>
      <c r="AH36" s="38" t="s">
        <v>79</v>
      </c>
      <c r="AI36" s="38" t="s">
        <v>79</v>
      </c>
      <c r="AJ36" s="38" t="s">
        <v>79</v>
      </c>
      <c r="AK36" s="38" t="s">
        <v>79</v>
      </c>
      <c r="AL36" s="38" t="s">
        <v>79</v>
      </c>
      <c r="AM36" t="str">
        <f>VLOOKUP($R36,武学奇术!$A:$ZZ,25,FALSE)</f>
        <v>拳甲</v>
      </c>
      <c r="AN36" s="24">
        <f>VLOOKUP($R36,武学奇术!$A:$ZZ,26,FALSE)</f>
        <v>1.2876</v>
      </c>
      <c r="AO36" s="25">
        <f>VLOOKUP($R36,武学奇术!$A:$ZZ,27,FALSE)*(1+IF(OR($AM36=$F$4,$AM36=$F$5),$B$22,0))</f>
        <v>537</v>
      </c>
      <c r="AP36" s="24">
        <f>VLOOKUP($R36,武学奇术!$A:$ZZ,28,FALSE)</f>
        <v>1.9313</v>
      </c>
      <c r="AQ36" s="25">
        <f>VLOOKUP($R36,武学奇术!$A:$ZZ,29,FALSE)*(1+IF(OR($AM36=$F$4,$AM36=$F$5),$B$22,0))</f>
        <v>292.5</v>
      </c>
      <c r="AR36" s="24" cm="1">
        <f t="array" ref="AR36">$G$3+IFERROR(VLOOKUP($AM36,$F$4:$G$7,2,FALSE),0)+VLOOKUP($R36,武学奇术!$A:$ZZ,2,FALSE)+SUM(_xlfn.XLOOKUP($S36:$AL36,增益!$A:$A,增益!$B:$B,0))</f>
        <v>0.4041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3901.102</v>
      </c>
      <c r="AU36" cm="1">
        <f t="array" ref="AU36">$E$10*(1+$AS36)+VLOOKUP($R36,武学奇术!$A:$ZZ,4,FALSE)+SUM(_xlfn.XLOOKUP($S36:$AL36,增益!$A:$A,增益!$D:$D,0))-$I$2</f>
        <v>3901.102</v>
      </c>
      <c r="AV36" s="30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0.317</v>
      </c>
      <c r="AW36" s="30" cm="1">
        <f t="array" ref="AW36">$G$10+VLOOKUP($R36,武学奇术!$A:$ZZ,7,FALSE)+SUM(_xlfn.XLOOKUP($S36:$AL36,增益!$A:$A,增益!$G:$G,0))</f>
        <v>0.09</v>
      </c>
      <c r="AX36" s="24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0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0" cm="1">
        <f t="array" ref="BB36">$G$11+VLOOKUP($R36,武学奇术!$A:$ZZ,10,FALSE)+SUM(_xlfn.XLOOKUP($S36:$AL36,增益!$A:$A,增益!$J:$J,0))</f>
        <v>0</v>
      </c>
      <c r="BC36">
        <f t="shared" si="14"/>
        <v>0</v>
      </c>
      <c r="BD36">
        <f t="shared" si="15"/>
        <v>0</v>
      </c>
      <c r="BE36" s="30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0" cm="1">
        <f t="array" ref="BF36">$G$12+VLOOKUP($R36,武学奇术!$A:$ZZ,12,FALSE)+SUM(_xlfn.XLOOKUP($S36:$AL36,增益!$A:$A,增益!$L:$L,0))</f>
        <v>0</v>
      </c>
      <c r="BG36">
        <f t="shared" si="16"/>
        <v>0</v>
      </c>
      <c r="BH36">
        <f t="shared" si="17"/>
        <v>0</v>
      </c>
      <c r="BI36" s="30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-0.14</v>
      </c>
      <c r="BJ36" s="30" cm="1">
        <f t="array" ref="BJ36">$G$13+VLOOKUP($R36,武学奇术!$A:$ZZ,14,FALSE)+SUM(_xlfn.XLOOKUP($S36:$AL36,增益!$A:$A,增益!$N:$N,0))</f>
        <v>0</v>
      </c>
      <c r="BK36">
        <f t="shared" si="18"/>
        <v>605.472</v>
      </c>
      <c r="BL36">
        <f t="shared" si="19"/>
        <v>1725.468</v>
      </c>
      <c r="BM36" s="30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0.08</v>
      </c>
      <c r="BN36" s="30" cm="1">
        <f t="array" ref="BN36">$G$14+VLOOKUP($R36,武学奇术!$A:$ZZ,16,FALSE)+SUM(_xlfn.XLOOKUP($S36:$AL36,增益!$A:$A,增益!$P:$P,0))</f>
        <v>0.24</v>
      </c>
      <c r="BO36" s="24">
        <f>MIN(IF(VLOOKUP($R36,武学奇术!$A:$ZZ,23,FALSE)=1,100%,$B$8),100%)</f>
        <v>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0.9036</v>
      </c>
      <c r="BQ36" s="24" cm="1">
        <f t="array" ref="BQ36">1+$B$13+VLOOKUP($R36,武学奇术!$A:$ZZ,18,FALSE)+SUM(_xlfn.XLOOKUP($S36:$AL36,增益!$A:$A,增益!$R:$R,0))</f>
        <v>1.64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4" cm="1">
        <f t="array" ref="BS36">1+$B$14+VLOOKUP($R36,武学奇术!$A:$ZZ,20,FALSE)+SUM(_xlfn.XLOOKUP($S36:$AL36,增益!$A:$A,增益!$T:$T,0))</f>
        <v>1.35</v>
      </c>
      <c r="BT36" s="24">
        <f t="shared" si="20"/>
        <v>0.9036</v>
      </c>
      <c r="BU36" s="24">
        <f t="shared" si="21"/>
        <v>0.00350000000000006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s="4" t="s">
        <v>177</v>
      </c>
      <c r="B37" s="91">
        <v>1.16</v>
      </c>
      <c r="D37" s="70"/>
      <c r="F37" s="70"/>
      <c r="G37" s="70" t="s">
        <v>178</v>
      </c>
      <c r="K37">
        <f>$L37*VLOOKUP($R37,武学奇术!$A:$ZZ,31,FALSE)</f>
        <v>100272.922810742</v>
      </c>
      <c r="L37" s="36">
        <f t="shared" si="11"/>
        <v>77133.0175467248</v>
      </c>
      <c r="M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$21,0))*(1+$BW37)</f>
        <v>78768.242656267</v>
      </c>
      <c r="N37" s="36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</f>
        <v>62604.1531565683</v>
      </c>
      <c r="O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$21,0))*(1+$BW37)</f>
        <v>40602.1869362201</v>
      </c>
      <c r="P37" s="36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</f>
        <v>34830.927089797</v>
      </c>
      <c r="Q37" s="70">
        <v>1</v>
      </c>
      <c r="R37" s="38" t="s">
        <v>124</v>
      </c>
      <c r="S37" s="38" t="s">
        <v>104</v>
      </c>
      <c r="T37" s="38" t="s">
        <v>79</v>
      </c>
      <c r="U37" s="38" t="s">
        <v>79</v>
      </c>
      <c r="V37" s="38" t="s">
        <v>79</v>
      </c>
      <c r="W37" s="38" t="s">
        <v>79</v>
      </c>
      <c r="X37" s="38" t="s">
        <v>79</v>
      </c>
      <c r="Y37" s="38" t="s">
        <v>173</v>
      </c>
      <c r="Z37" s="38" t="s">
        <v>90</v>
      </c>
      <c r="AA37" s="38" t="s">
        <v>112</v>
      </c>
      <c r="AB37" s="38" t="s">
        <v>91</v>
      </c>
      <c r="AC37" s="38" t="s">
        <v>79</v>
      </c>
      <c r="AD37" s="38" t="s">
        <v>82</v>
      </c>
      <c r="AE37" s="38" t="s">
        <v>83</v>
      </c>
      <c r="AF37" s="38" t="s">
        <v>84</v>
      </c>
      <c r="AG37" s="38" t="s">
        <v>85</v>
      </c>
      <c r="AH37" s="38" t="s">
        <v>79</v>
      </c>
      <c r="AI37" s="38" t="s">
        <v>79</v>
      </c>
      <c r="AJ37" s="38" t="s">
        <v>79</v>
      </c>
      <c r="AK37" s="38" t="s">
        <v>79</v>
      </c>
      <c r="AL37" s="38" t="s">
        <v>79</v>
      </c>
      <c r="AM37" t="str">
        <f>VLOOKUP($R37,武学奇术!$A:$ZZ,25,FALSE)</f>
        <v>拳甲</v>
      </c>
      <c r="AN37" s="24">
        <f>VLOOKUP($R37,武学奇术!$A:$ZZ,26,FALSE)</f>
        <v>2.638944</v>
      </c>
      <c r="AO37" s="25">
        <f>VLOOKUP($R37,武学奇术!$A:$ZZ,27,FALSE)*(1+IF(OR($AM37=$F$4,$AM37=$F$5),$B$22,0))</f>
        <v>0</v>
      </c>
      <c r="AP37" s="24">
        <f>VLOOKUP($R37,武学奇术!$A:$ZZ,28,FALSE)</f>
        <v>3.958416</v>
      </c>
      <c r="AQ37" s="25">
        <f>VLOOKUP($R37,武学奇术!$A:$ZZ,29,FALSE)*(1+IF(OR($AM37=$F$4,$AM37=$F$5),$B$22,0))</f>
        <v>0</v>
      </c>
      <c r="AR37" s="24" cm="1">
        <f t="array" ref="AR37">$G$3+IFERROR(VLOOKUP($AM37,$F$4:$G$7,2,FALSE),0)+VLOOKUP($R37,武学奇术!$A:$ZZ,2,FALSE)+SUM(_xlfn.XLOOKUP($S37:$AL37,增益!$A:$A,增益!$B:$B,0))</f>
        <v>0.7041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3901.102</v>
      </c>
      <c r="AU37" cm="1">
        <f t="array" ref="AU37">$E$10*(1+$AS37)+VLOOKUP($R37,武学奇术!$A:$ZZ,4,FALSE)+SUM(_xlfn.XLOOKUP($S37:$AL37,增益!$A:$A,增益!$D:$D,0))-$I$2</f>
        <v>3901.102</v>
      </c>
      <c r="AV37" s="30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0.347</v>
      </c>
      <c r="AW37" s="30" cm="1">
        <f t="array" ref="AW37">$G$10+VLOOKUP($R37,武学奇术!$A:$ZZ,7,FALSE)+SUM(_xlfn.XLOOKUP($S37:$AL37,增益!$A:$A,增益!$G:$G,0))</f>
        <v>0.09</v>
      </c>
      <c r="AX37" s="24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0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-0.08</v>
      </c>
      <c r="BB37" s="30" cm="1">
        <f t="array" ref="BB37">$G$11+VLOOKUP($R37,武学奇术!$A:$ZZ,10,FALSE)+SUM(_xlfn.XLOOKUP($S37:$AL37,增益!$A:$A,增益!$J:$J,0))</f>
        <v>0</v>
      </c>
      <c r="BC37">
        <f t="shared" si="14"/>
        <v>0</v>
      </c>
      <c r="BD37">
        <f t="shared" si="15"/>
        <v>0</v>
      </c>
      <c r="BE37" s="30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-0.08</v>
      </c>
      <c r="BF37" s="30" cm="1">
        <f t="array" ref="BF37">$G$12+VLOOKUP($R37,武学奇术!$A:$ZZ,12,FALSE)+SUM(_xlfn.XLOOKUP($S37:$AL37,增益!$A:$A,增益!$L:$L,0))</f>
        <v>0</v>
      </c>
      <c r="BG37">
        <f t="shared" si="16"/>
        <v>0</v>
      </c>
      <c r="BH37">
        <f t="shared" si="17"/>
        <v>0</v>
      </c>
      <c r="BI37" s="30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-0.08</v>
      </c>
      <c r="BJ37" s="30" cm="1">
        <f t="array" ref="BJ37">$G$13+VLOOKUP($R37,武学奇术!$A:$ZZ,14,FALSE)+SUM(_xlfn.XLOOKUP($S37:$AL37,增益!$A:$A,增益!$N:$N,0))</f>
        <v>0</v>
      </c>
      <c r="BK37">
        <f t="shared" si="18"/>
        <v>605.472</v>
      </c>
      <c r="BL37">
        <f t="shared" si="19"/>
        <v>1725.468</v>
      </c>
      <c r="BM37" s="30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0.11</v>
      </c>
      <c r="BN37" s="30" cm="1">
        <f t="array" ref="BN37">$G$14+VLOOKUP($R37,武学奇术!$A:$ZZ,16,FALSE)+SUM(_xlfn.XLOOKUP($S37:$AL37,增益!$A:$A,增益!$P:$P,0))</f>
        <v>0.24</v>
      </c>
      <c r="BO37" s="24">
        <f>MIN(IF(VLOOKUP($R37,武学奇术!$A:$ZZ,23,FALSE)=1,100%,$B$8),100%)</f>
        <v>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0.9036</v>
      </c>
      <c r="BQ37" s="24" cm="1">
        <f t="array" ref="BQ37">1+$B$13+VLOOKUP($R37,武学奇术!$A:$ZZ,18,FALSE)+SUM(_xlfn.XLOOKUP($S37:$AL37,增益!$A:$A,增益!$R:$R,0))</f>
        <v>1.94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4" cm="1">
        <f t="array" ref="BS37">1+$B$14+VLOOKUP($R37,武学奇术!$A:$ZZ,20,FALSE)+SUM(_xlfn.XLOOKUP($S37:$AL37,增益!$A:$A,增益!$T:$T,0))</f>
        <v>1.35</v>
      </c>
      <c r="BT37" s="24">
        <f t="shared" si="20"/>
        <v>0.9036</v>
      </c>
      <c r="BU37" s="24">
        <f t="shared" si="21"/>
        <v>0.00350000000000006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0.11</v>
      </c>
      <c r="BX37" s="24" cm="1">
        <f t="array" ref="BX37">SUM(_xlfn.XLOOKUP($S37:$AL37,增益!$A:$A,增益!$X:$X,0))</f>
        <v>0</v>
      </c>
    </row>
    <row r="38" spans="1:76">
      <c r="A38" s="4" t="s">
        <v>179</v>
      </c>
      <c r="B38" s="4">
        <v>1</v>
      </c>
      <c r="D38" s="70"/>
      <c r="F38" s="70"/>
      <c r="G38" s="70"/>
      <c r="K38">
        <f>$L38*VLOOKUP($R38,武学奇术!$A:$ZZ,31,FALSE)</f>
        <v>25079.5487452268</v>
      </c>
      <c r="L38" s="36">
        <f t="shared" si="11"/>
        <v>25079.5487452268</v>
      </c>
      <c r="M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$21,0))*(1+$BW38)</f>
        <v>25287.5219861621</v>
      </c>
      <c r="N38" s="36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</f>
        <v>23420.6308503693</v>
      </c>
      <c r="O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$21,0))*(1+$BW38)</f>
        <v>15419.2207232696</v>
      </c>
      <c r="P38" s="36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</f>
        <v>13489.8260018211</v>
      </c>
      <c r="Q38" s="70">
        <v>1</v>
      </c>
      <c r="R38" s="38" t="s">
        <v>160</v>
      </c>
      <c r="S38" s="38" t="s">
        <v>104</v>
      </c>
      <c r="T38" s="38" t="s">
        <v>79</v>
      </c>
      <c r="U38" s="38" t="s">
        <v>79</v>
      </c>
      <c r="V38" s="38" t="s">
        <v>79</v>
      </c>
      <c r="W38" s="38" t="s">
        <v>79</v>
      </c>
      <c r="X38" s="38" t="s">
        <v>79</v>
      </c>
      <c r="Y38" s="38" t="s">
        <v>173</v>
      </c>
      <c r="Z38" s="38" t="s">
        <v>90</v>
      </c>
      <c r="AA38" s="38" t="s">
        <v>79</v>
      </c>
      <c r="AB38" s="38" t="s">
        <v>91</v>
      </c>
      <c r="AC38" s="38" t="s">
        <v>79</v>
      </c>
      <c r="AD38" s="38" t="s">
        <v>82</v>
      </c>
      <c r="AE38" s="38" t="s">
        <v>83</v>
      </c>
      <c r="AF38" s="38" t="s">
        <v>84</v>
      </c>
      <c r="AG38" s="38" t="s">
        <v>85</v>
      </c>
      <c r="AH38" s="38" t="s">
        <v>79</v>
      </c>
      <c r="AI38" s="38" t="s">
        <v>79</v>
      </c>
      <c r="AJ38" s="38" t="s">
        <v>79</v>
      </c>
      <c r="AK38" s="38" t="s">
        <v>79</v>
      </c>
      <c r="AL38" s="38" t="s">
        <v>79</v>
      </c>
      <c r="AM38" t="str">
        <f>VLOOKUP($R38,武学奇术!$A:$ZZ,25,FALSE)</f>
        <v>拳甲</v>
      </c>
      <c r="AN38" s="24">
        <f>VLOOKUP($R38,武学奇术!$A:$ZZ,26,FALSE)</f>
        <v>1.1005</v>
      </c>
      <c r="AO38" s="25">
        <f>VLOOKUP($R38,武学奇术!$A:$ZZ,27,FALSE)*(1+IF(OR($AM38=$F$4,$AM38=$F$5),$B$22,0))</f>
        <v>457.5</v>
      </c>
      <c r="AP38" s="24">
        <f>VLOOKUP($R38,武学奇术!$A:$ZZ,28,FALSE)</f>
        <v>1.6507</v>
      </c>
      <c r="AQ38" s="25">
        <f>VLOOKUP($R38,武学奇术!$A:$ZZ,29,FALSE)*(1+IF(OR($AM38=$F$4,$AM38=$F$5),$B$22,0))</f>
        <v>247.5</v>
      </c>
      <c r="AR38" s="24" cm="1">
        <f t="array" ref="AR38">$G$3+IFERROR(VLOOKUP($AM38,$F$4:$G$7,2,FALSE),0)+VLOOKUP($R38,武学奇术!$A:$ZZ,2,FALSE)+SUM(_xlfn.XLOOKUP($S38:$AL38,增益!$A:$A,增益!$B:$B,0))</f>
        <v>0.4041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3901.102</v>
      </c>
      <c r="AU38" cm="1">
        <f t="array" ref="AU38">$E$10*(1+$AS38)+VLOOKUP($R38,武学奇术!$A:$ZZ,4,FALSE)+SUM(_xlfn.XLOOKUP($S38:$AL38,增益!$A:$A,增益!$D:$D,0))-$I$2</f>
        <v>3901.102</v>
      </c>
      <c r="AV38" s="30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0.317</v>
      </c>
      <c r="AW38" s="30" cm="1">
        <f t="array" ref="AW38">$G$10+VLOOKUP($R38,武学奇术!$A:$ZZ,7,FALSE)+SUM(_xlfn.XLOOKUP($S38:$AL38,增益!$A:$A,增益!$G:$G,0))</f>
        <v>0.09</v>
      </c>
      <c r="AX38" s="24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0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0" cm="1">
        <f t="array" ref="BB38">$G$11+VLOOKUP($R38,武学奇术!$A:$ZZ,10,FALSE)+SUM(_xlfn.XLOOKUP($S38:$AL38,增益!$A:$A,增益!$J:$J,0))</f>
        <v>0</v>
      </c>
      <c r="BC38">
        <f t="shared" si="14"/>
        <v>0</v>
      </c>
      <c r="BD38">
        <f t="shared" si="15"/>
        <v>0</v>
      </c>
      <c r="BE38" s="30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0" cm="1">
        <f t="array" ref="BF38">$G$12+VLOOKUP($R38,武学奇术!$A:$ZZ,12,FALSE)+SUM(_xlfn.XLOOKUP($S38:$AL38,增益!$A:$A,增益!$L:$L,0))</f>
        <v>0</v>
      </c>
      <c r="BG38">
        <f t="shared" si="16"/>
        <v>0</v>
      </c>
      <c r="BH38">
        <f t="shared" si="17"/>
        <v>0</v>
      </c>
      <c r="BI38" s="30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-0.14</v>
      </c>
      <c r="BJ38" s="30" cm="1">
        <f t="array" ref="BJ38">$G$13+VLOOKUP($R38,武学奇术!$A:$ZZ,14,FALSE)+SUM(_xlfn.XLOOKUP($S38:$AL38,增益!$A:$A,增益!$N:$N,0))</f>
        <v>0</v>
      </c>
      <c r="BK38">
        <f t="shared" si="18"/>
        <v>605.472</v>
      </c>
      <c r="BL38">
        <f t="shared" si="19"/>
        <v>1725.468</v>
      </c>
      <c r="BM38" s="30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0.08</v>
      </c>
      <c r="BN38" s="30" cm="1">
        <f t="array" ref="BN38">$G$14+VLOOKUP($R38,武学奇术!$A:$ZZ,16,FALSE)+SUM(_xlfn.XLOOKUP($S38:$AL38,增益!$A:$A,增益!$P:$P,0))</f>
        <v>0.24</v>
      </c>
      <c r="BO38" s="24">
        <f>MIN(IF(VLOOKUP($R38,武学奇术!$A:$ZZ,23,FALSE)=1,100%,$B$8),100%)</f>
        <v>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0.9036</v>
      </c>
      <c r="BQ38" s="24" cm="1">
        <f t="array" ref="BQ38">1+$B$13+VLOOKUP($R38,武学奇术!$A:$ZZ,18,FALSE)+SUM(_xlfn.XLOOKUP($S38:$AL38,增益!$A:$A,增益!$R:$R,0))</f>
        <v>1.64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4" cm="1">
        <f t="array" ref="BS38">1+$B$14+VLOOKUP($R38,武学奇术!$A:$ZZ,20,FALSE)+SUM(_xlfn.XLOOKUP($S38:$AL38,增益!$A:$A,增益!$T:$T,0))</f>
        <v>1.35</v>
      </c>
      <c r="BT38" s="24">
        <f t="shared" si="20"/>
        <v>0.9036</v>
      </c>
      <c r="BU38" s="24">
        <f t="shared" si="21"/>
        <v>0.00350000000000006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0.11</v>
      </c>
      <c r="BX38" s="24" cm="1">
        <f t="array" ref="BX38">SUM(_xlfn.XLOOKUP($S38:$AL38,增益!$A:$A,增益!$X:$X,0))</f>
        <v>0</v>
      </c>
    </row>
    <row r="39" spans="1:76">
      <c r="A39" s="4" t="s">
        <v>177</v>
      </c>
      <c r="B39" s="91">
        <v>1.16</v>
      </c>
      <c r="D39" s="70"/>
      <c r="E39" s="4"/>
      <c r="F39" s="70"/>
      <c r="G39" s="70"/>
      <c r="K39">
        <f>$L39*VLOOKUP($R39,武学奇术!$A:$ZZ,31,FALSE)</f>
        <v>132161.750878301</v>
      </c>
      <c r="L39" s="36">
        <f t="shared" si="11"/>
        <v>101662.885291001</v>
      </c>
      <c r="M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$21,0))*(1+$BW39)</f>
        <v>104002.057906134</v>
      </c>
      <c r="N39" s="36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</f>
        <v>80721.1322747144</v>
      </c>
      <c r="O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$21,0))*(1+$BW39)</f>
        <v>53609.3081990384</v>
      </c>
      <c r="P39" s="36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</f>
        <v>47425.1850834736</v>
      </c>
      <c r="Q39" s="70">
        <v>1</v>
      </c>
      <c r="R39" s="38" t="s">
        <v>119</v>
      </c>
      <c r="S39" s="38" t="s">
        <v>104</v>
      </c>
      <c r="T39" s="38" t="s">
        <v>79</v>
      </c>
      <c r="U39" s="38" t="s">
        <v>140</v>
      </c>
      <c r="V39" s="38" t="s">
        <v>79</v>
      </c>
      <c r="W39" s="38" t="s">
        <v>79</v>
      </c>
      <c r="X39" s="38" t="s">
        <v>79</v>
      </c>
      <c r="Y39" s="38" t="s">
        <v>173</v>
      </c>
      <c r="Z39" s="38" t="s">
        <v>90</v>
      </c>
      <c r="AA39" s="38" t="s">
        <v>112</v>
      </c>
      <c r="AB39" s="38" t="s">
        <v>91</v>
      </c>
      <c r="AC39" s="38" t="s">
        <v>79</v>
      </c>
      <c r="AD39" s="38" t="s">
        <v>82</v>
      </c>
      <c r="AE39" s="38" t="s">
        <v>83</v>
      </c>
      <c r="AF39" s="38" t="s">
        <v>84</v>
      </c>
      <c r="AG39" s="38" t="s">
        <v>85</v>
      </c>
      <c r="AH39" s="38" t="s">
        <v>79</v>
      </c>
      <c r="AI39" s="38" t="s">
        <v>79</v>
      </c>
      <c r="AJ39" s="38" t="s">
        <v>79</v>
      </c>
      <c r="AK39" s="38" t="s">
        <v>79</v>
      </c>
      <c r="AL39" s="38" t="s">
        <v>79</v>
      </c>
      <c r="AM39" t="str">
        <f>VLOOKUP($R39,武学奇术!$A:$ZZ,25,FALSE)</f>
        <v>拳甲</v>
      </c>
      <c r="AN39" s="24">
        <f>VLOOKUP($R39,武学奇术!$A:$ZZ,26,FALSE)</f>
        <v>2.91176</v>
      </c>
      <c r="AO39" s="25">
        <f>VLOOKUP($R39,武学奇术!$A:$ZZ,27,FALSE)*(1+IF(OR($AM39=$F$4,$AM39=$F$5),$B$22,0))</f>
        <v>1208.7</v>
      </c>
      <c r="AP39" s="24">
        <f>VLOOKUP($R39,武学奇术!$A:$ZZ,28,FALSE)</f>
        <v>3.89844</v>
      </c>
      <c r="AQ39" s="25">
        <f>VLOOKUP($R39,武学奇术!$A:$ZZ,29,FALSE)*(1+IF(OR($AM39=$F$4,$AM39=$F$5),$B$22,0))</f>
        <v>650.25</v>
      </c>
      <c r="AR39" s="24" cm="1">
        <f t="array" ref="AR39">$G$3+IFERROR(VLOOKUP($AM39,$F$4:$G$7,2,FALSE),0)+VLOOKUP($R39,武学奇术!$A:$ZZ,2,FALSE)+SUM(_xlfn.XLOOKUP($S39:$AL39,增益!$A:$A,增益!$B:$B,0))</f>
        <v>0.8541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3901.102</v>
      </c>
      <c r="AU39" cm="1">
        <f t="array" ref="AU39">$E$10*(1+$AS39)+VLOOKUP($R39,武学奇术!$A:$ZZ,4,FALSE)+SUM(_xlfn.XLOOKUP($S39:$AL39,增益!$A:$A,增益!$D:$D,0))-$I$2</f>
        <v>3901.102</v>
      </c>
      <c r="AV39" s="30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0.347</v>
      </c>
      <c r="AW39" s="30" cm="1">
        <f t="array" ref="AW39">$G$10+VLOOKUP($R39,武学奇术!$A:$ZZ,7,FALSE)+SUM(_xlfn.XLOOKUP($S39:$AL39,增益!$A:$A,增益!$G:$G,0))</f>
        <v>0.09</v>
      </c>
      <c r="AX39" s="24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0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-0.08</v>
      </c>
      <c r="BB39" s="30" cm="1">
        <f t="array" ref="BB39">$G$11+VLOOKUP($R39,武学奇术!$A:$ZZ,10,FALSE)+SUM(_xlfn.XLOOKUP($S39:$AL39,增益!$A:$A,增益!$J:$J,0))</f>
        <v>0</v>
      </c>
      <c r="BC39">
        <f t="shared" si="14"/>
        <v>0</v>
      </c>
      <c r="BD39">
        <f t="shared" si="15"/>
        <v>0</v>
      </c>
      <c r="BE39" s="30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-0.08</v>
      </c>
      <c r="BF39" s="30" cm="1">
        <f t="array" ref="BF39">$G$12+VLOOKUP($R39,武学奇术!$A:$ZZ,12,FALSE)+SUM(_xlfn.XLOOKUP($S39:$AL39,增益!$A:$A,增益!$L:$L,0))</f>
        <v>0</v>
      </c>
      <c r="BG39">
        <f t="shared" si="16"/>
        <v>0</v>
      </c>
      <c r="BH39">
        <f t="shared" si="17"/>
        <v>0</v>
      </c>
      <c r="BI39" s="30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-0.08</v>
      </c>
      <c r="BJ39" s="30" cm="1">
        <f t="array" ref="BJ39">$G$13+VLOOKUP($R39,武学奇术!$A:$ZZ,14,FALSE)+SUM(_xlfn.XLOOKUP($S39:$AL39,增益!$A:$A,增益!$N:$N,0))</f>
        <v>0</v>
      </c>
      <c r="BK39">
        <f t="shared" si="18"/>
        <v>605.472</v>
      </c>
      <c r="BL39">
        <f t="shared" si="19"/>
        <v>1725.468</v>
      </c>
      <c r="BM39" s="30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0.11</v>
      </c>
      <c r="BN39" s="30" cm="1">
        <f t="array" ref="BN39">$G$14+VLOOKUP($R39,武学奇术!$A:$ZZ,16,FALSE)+SUM(_xlfn.XLOOKUP($S39:$AL39,增益!$A:$A,增益!$P:$P,0))</f>
        <v>0.24</v>
      </c>
      <c r="BO39" s="24">
        <f>MIN(IF(VLOOKUP($R39,武学奇术!$A:$ZZ,23,FALSE)=1,100%,$B$8),100%)</f>
        <v>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0.9036</v>
      </c>
      <c r="BQ39" s="24" cm="1">
        <f t="array" ref="BQ39">1+$B$13+VLOOKUP($R39,武学奇术!$A:$ZZ,18,FALSE)+SUM(_xlfn.XLOOKUP($S39:$AL39,增益!$A:$A,增益!$R:$R,0))</f>
        <v>1.94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4" cm="1">
        <f t="array" ref="BS39">1+$B$14+VLOOKUP($R39,武学奇术!$A:$ZZ,20,FALSE)+SUM(_xlfn.XLOOKUP($S39:$AL39,增益!$A:$A,增益!$T:$T,0))</f>
        <v>1.35</v>
      </c>
      <c r="BT39" s="24">
        <f t="shared" si="20"/>
        <v>0.9036</v>
      </c>
      <c r="BU39" s="24">
        <f t="shared" si="21"/>
        <v>0.00350000000000006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0.11</v>
      </c>
      <c r="BX39" s="24" cm="1">
        <f t="array" ref="BX39">SUM(_xlfn.XLOOKUP($S39:$AL39,增益!$A:$A,增益!$X:$X,0))</f>
        <v>0</v>
      </c>
    </row>
    <row r="40" spans="1:76">
      <c r="A40" t="s">
        <v>180</v>
      </c>
      <c r="B40">
        <v>0.5</v>
      </c>
      <c r="C40" s="70" t="s">
        <v>140</v>
      </c>
      <c r="D40" s="70"/>
      <c r="E40" s="70" t="s">
        <v>181</v>
      </c>
      <c r="F40" s="70"/>
      <c r="G40" s="70"/>
      <c r="K40">
        <f>$L40*VLOOKUP($R40,武学奇术!$A:$ZZ,31,FALSE)</f>
        <v>32501.1484472387</v>
      </c>
      <c r="L40" s="36">
        <f t="shared" si="11"/>
        <v>32501.1484472387</v>
      </c>
      <c r="M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$21,0))*(1+$BW40)</f>
        <v>32770.898191676</v>
      </c>
      <c r="N40" s="36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</f>
        <v>30349.0521933052</v>
      </c>
      <c r="O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$21,0))*(1+$BW40)</f>
        <v>19982.2549949244</v>
      </c>
      <c r="P40" s="36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</f>
        <v>17483.7305874006</v>
      </c>
      <c r="Q40" s="70">
        <v>1</v>
      </c>
      <c r="R40" s="38" t="s">
        <v>122</v>
      </c>
      <c r="S40" s="38" t="s">
        <v>104</v>
      </c>
      <c r="T40" s="38" t="s">
        <v>79</v>
      </c>
      <c r="U40" s="38" t="s">
        <v>140</v>
      </c>
      <c r="V40" s="38" t="s">
        <v>79</v>
      </c>
      <c r="W40" s="38" t="s">
        <v>79</v>
      </c>
      <c r="X40" s="38" t="s">
        <v>79</v>
      </c>
      <c r="Y40" s="38" t="s">
        <v>173</v>
      </c>
      <c r="Z40" s="38" t="s">
        <v>90</v>
      </c>
      <c r="AA40" s="38" t="s">
        <v>79</v>
      </c>
      <c r="AB40" s="38" t="s">
        <v>91</v>
      </c>
      <c r="AC40" s="38" t="s">
        <v>79</v>
      </c>
      <c r="AD40" s="38" t="s">
        <v>82</v>
      </c>
      <c r="AE40" s="38" t="s">
        <v>83</v>
      </c>
      <c r="AF40" s="38" t="s">
        <v>84</v>
      </c>
      <c r="AG40" s="38" t="s">
        <v>85</v>
      </c>
      <c r="AH40" s="38" t="s">
        <v>79</v>
      </c>
      <c r="AI40" s="38" t="s">
        <v>79</v>
      </c>
      <c r="AJ40" s="38" t="s">
        <v>79</v>
      </c>
      <c r="AK40" s="38" t="s">
        <v>79</v>
      </c>
      <c r="AL40" s="38" t="s">
        <v>79</v>
      </c>
      <c r="AM40" t="str">
        <f>VLOOKUP($R40,武学奇术!$A:$ZZ,25,FALSE)</f>
        <v>拳甲</v>
      </c>
      <c r="AN40" s="24">
        <f>VLOOKUP($R40,武学奇术!$A:$ZZ,26,FALSE)</f>
        <v>1.2876</v>
      </c>
      <c r="AO40" s="25">
        <f>VLOOKUP($R40,武学奇术!$A:$ZZ,27,FALSE)*(1+IF(OR($AM40=$F$4,$AM40=$F$5),$B$22,0))</f>
        <v>537</v>
      </c>
      <c r="AP40" s="24">
        <f>VLOOKUP($R40,武学奇术!$A:$ZZ,28,FALSE)</f>
        <v>1.9313</v>
      </c>
      <c r="AQ40" s="25">
        <f>VLOOKUP($R40,武学奇术!$A:$ZZ,29,FALSE)*(1+IF(OR($AM40=$F$4,$AM40=$F$5),$B$22,0))</f>
        <v>292.5</v>
      </c>
      <c r="AR40" s="24" cm="1">
        <f t="array" ref="AR40">$G$3+IFERROR(VLOOKUP($AM40,$F$4:$G$7,2,FALSE),0)+VLOOKUP($R40,武学奇术!$A:$ZZ,2,FALSE)+SUM(_xlfn.XLOOKUP($S40:$AL40,增益!$A:$A,增益!$B:$B,0))</f>
        <v>0.5541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3901.102</v>
      </c>
      <c r="AU40" cm="1">
        <f t="array" ref="AU40">$E$10*(1+$AS40)+VLOOKUP($R40,武学奇术!$A:$ZZ,4,FALSE)+SUM(_xlfn.XLOOKUP($S40:$AL40,增益!$A:$A,增益!$D:$D,0))-$I$2</f>
        <v>3901.102</v>
      </c>
      <c r="AV40" s="30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0.317</v>
      </c>
      <c r="AW40" s="30" cm="1">
        <f t="array" ref="AW40">$G$10+VLOOKUP($R40,武学奇术!$A:$ZZ,7,FALSE)+SUM(_xlfn.XLOOKUP($S40:$AL40,增益!$A:$A,增益!$G:$G,0))</f>
        <v>0.09</v>
      </c>
      <c r="AX40" s="24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0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0" cm="1">
        <f t="array" ref="BB40">$G$11+VLOOKUP($R40,武学奇术!$A:$ZZ,10,FALSE)+SUM(_xlfn.XLOOKUP($S40:$AL40,增益!$A:$A,增益!$J:$J,0))</f>
        <v>0</v>
      </c>
      <c r="BC40">
        <f t="shared" si="14"/>
        <v>0</v>
      </c>
      <c r="BD40">
        <f t="shared" si="15"/>
        <v>0</v>
      </c>
      <c r="BE40" s="30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0" cm="1">
        <f t="array" ref="BF40">$G$12+VLOOKUP($R40,武学奇术!$A:$ZZ,12,FALSE)+SUM(_xlfn.XLOOKUP($S40:$AL40,增益!$A:$A,增益!$L:$L,0))</f>
        <v>0</v>
      </c>
      <c r="BG40">
        <f t="shared" si="16"/>
        <v>0</v>
      </c>
      <c r="BH40">
        <f t="shared" si="17"/>
        <v>0</v>
      </c>
      <c r="BI40" s="30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-0.14</v>
      </c>
      <c r="BJ40" s="30" cm="1">
        <f t="array" ref="BJ40">$G$13+VLOOKUP($R40,武学奇术!$A:$ZZ,14,FALSE)+SUM(_xlfn.XLOOKUP($S40:$AL40,增益!$A:$A,增益!$N:$N,0))</f>
        <v>0</v>
      </c>
      <c r="BK40">
        <f t="shared" si="18"/>
        <v>605.472</v>
      </c>
      <c r="BL40">
        <f t="shared" si="19"/>
        <v>1725.468</v>
      </c>
      <c r="BM40" s="30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0.08</v>
      </c>
      <c r="BN40" s="30" cm="1">
        <f t="array" ref="BN40">$G$14+VLOOKUP($R40,武学奇术!$A:$ZZ,16,FALSE)+SUM(_xlfn.XLOOKUP($S40:$AL40,增益!$A:$A,增益!$P:$P,0))</f>
        <v>0.24</v>
      </c>
      <c r="BO40" s="24">
        <f>MIN(IF(VLOOKUP($R40,武学奇术!$A:$ZZ,23,FALSE)=1,100%,$B$8),100%)</f>
        <v>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0.9036</v>
      </c>
      <c r="BQ40" s="24" cm="1">
        <f t="array" ref="BQ40">1+$B$13+VLOOKUP($R40,武学奇术!$A:$ZZ,18,FALSE)+SUM(_xlfn.XLOOKUP($S40:$AL40,增益!$A:$A,增益!$R:$R,0))</f>
        <v>1.64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4" cm="1">
        <f t="array" ref="BS40">1+$B$14+VLOOKUP($R40,武学奇术!$A:$ZZ,20,FALSE)+SUM(_xlfn.XLOOKUP($S40:$AL40,增益!$A:$A,增益!$T:$T,0))</f>
        <v>1.35</v>
      </c>
      <c r="BT40" s="24">
        <f t="shared" si="20"/>
        <v>0.9036</v>
      </c>
      <c r="BU40" s="24">
        <f t="shared" si="21"/>
        <v>0.00350000000000006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0.11</v>
      </c>
      <c r="BX40" s="24" cm="1">
        <f t="array" ref="BX40">SUM(_xlfn.XLOOKUP($S40:$AL40,增益!$A:$A,增益!$X:$X,0))</f>
        <v>0</v>
      </c>
    </row>
    <row r="41" spans="1:76">
      <c r="A41" s="4" t="s">
        <v>182</v>
      </c>
      <c r="B41" s="91">
        <v>0.7</v>
      </c>
      <c r="C41" s="70"/>
      <c r="D41" s="70"/>
      <c r="E41" s="70"/>
      <c r="F41" s="70"/>
      <c r="G41" s="70"/>
      <c r="K41">
        <f>$L41*VLOOKUP($R41,武学奇术!$A:$ZZ,31,FALSE)</f>
        <v>109099.246630713</v>
      </c>
      <c r="L41" s="36">
        <f t="shared" si="11"/>
        <v>83922.4974082404</v>
      </c>
      <c r="M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$21,0))*(1+$BW41)</f>
        <v>85701.6599430694</v>
      </c>
      <c r="N41" s="36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</f>
        <v>68114.7587392719</v>
      </c>
      <c r="O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$21,0))*(1+$BW41)</f>
        <v>44176.1133727162</v>
      </c>
      <c r="P41" s="36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</f>
        <v>37896.8499015273</v>
      </c>
      <c r="Q41" s="70">
        <v>1</v>
      </c>
      <c r="R41" s="38" t="s">
        <v>124</v>
      </c>
      <c r="S41" s="38" t="s">
        <v>104</v>
      </c>
      <c r="T41" s="38" t="s">
        <v>79</v>
      </c>
      <c r="U41" s="38" t="s">
        <v>140</v>
      </c>
      <c r="V41" s="38" t="s">
        <v>79</v>
      </c>
      <c r="W41" s="38" t="s">
        <v>79</v>
      </c>
      <c r="X41" s="38" t="s">
        <v>79</v>
      </c>
      <c r="Y41" s="38" t="s">
        <v>173</v>
      </c>
      <c r="Z41" s="38" t="s">
        <v>90</v>
      </c>
      <c r="AA41" s="38" t="s">
        <v>112</v>
      </c>
      <c r="AB41" s="38" t="s">
        <v>91</v>
      </c>
      <c r="AC41" s="38" t="s">
        <v>79</v>
      </c>
      <c r="AD41" s="38" t="s">
        <v>82</v>
      </c>
      <c r="AE41" s="38" t="s">
        <v>83</v>
      </c>
      <c r="AF41" s="38" t="s">
        <v>84</v>
      </c>
      <c r="AG41" s="38" t="s">
        <v>85</v>
      </c>
      <c r="AH41" s="38" t="s">
        <v>79</v>
      </c>
      <c r="AI41" s="38" t="s">
        <v>79</v>
      </c>
      <c r="AJ41" s="38" t="s">
        <v>79</v>
      </c>
      <c r="AK41" s="38" t="s">
        <v>79</v>
      </c>
      <c r="AL41" s="38" t="s">
        <v>79</v>
      </c>
      <c r="AM41" t="str">
        <f>VLOOKUP($R41,武学奇术!$A:$ZZ,25,FALSE)</f>
        <v>拳甲</v>
      </c>
      <c r="AN41" s="24">
        <f>VLOOKUP($R41,武学奇术!$A:$ZZ,26,FALSE)</f>
        <v>2.638944</v>
      </c>
      <c r="AO41" s="25">
        <f>VLOOKUP($R41,武学奇术!$A:$ZZ,27,FALSE)*(1+IF(OR($AM41=$F$4,$AM41=$F$5),$B$22,0))</f>
        <v>0</v>
      </c>
      <c r="AP41" s="24">
        <f>VLOOKUP($R41,武学奇术!$A:$ZZ,28,FALSE)</f>
        <v>3.958416</v>
      </c>
      <c r="AQ41" s="25">
        <f>VLOOKUP($R41,武学奇术!$A:$ZZ,29,FALSE)*(1+IF(OR($AM41=$F$4,$AM41=$F$5),$B$22,0))</f>
        <v>0</v>
      </c>
      <c r="AR41" s="24" cm="1">
        <f t="array" ref="AR41">$G$3+IFERROR(VLOOKUP($AM41,$F$4:$G$7,2,FALSE),0)+VLOOKUP($R41,武学奇术!$A:$ZZ,2,FALSE)+SUM(_xlfn.XLOOKUP($S41:$AL41,增益!$A:$A,增益!$B:$B,0))</f>
        <v>0.8541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3901.102</v>
      </c>
      <c r="AU41" cm="1">
        <f t="array" ref="AU41">$E$10*(1+$AS41)+VLOOKUP($R41,武学奇术!$A:$ZZ,4,FALSE)+SUM(_xlfn.XLOOKUP($S41:$AL41,增益!$A:$A,增益!$D:$D,0))-$I$2</f>
        <v>3901.102</v>
      </c>
      <c r="AV41" s="30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0.347</v>
      </c>
      <c r="AW41" s="30" cm="1">
        <f t="array" ref="AW41">$G$10+VLOOKUP($R41,武学奇术!$A:$ZZ,7,FALSE)+SUM(_xlfn.XLOOKUP($S41:$AL41,增益!$A:$A,增益!$G:$G,0))</f>
        <v>0.09</v>
      </c>
      <c r="AX41" s="24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0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-0.08</v>
      </c>
      <c r="BB41" s="30" cm="1">
        <f t="array" ref="BB41">$G$11+VLOOKUP($R41,武学奇术!$A:$ZZ,10,FALSE)+SUM(_xlfn.XLOOKUP($S41:$AL41,增益!$A:$A,增益!$J:$J,0))</f>
        <v>0</v>
      </c>
      <c r="BC41">
        <f t="shared" si="14"/>
        <v>0</v>
      </c>
      <c r="BD41">
        <f t="shared" si="15"/>
        <v>0</v>
      </c>
      <c r="BE41" s="30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-0.08</v>
      </c>
      <c r="BF41" s="30" cm="1">
        <f t="array" ref="BF41">$G$12+VLOOKUP($R41,武学奇术!$A:$ZZ,12,FALSE)+SUM(_xlfn.XLOOKUP($S41:$AL41,增益!$A:$A,增益!$L:$L,0))</f>
        <v>0</v>
      </c>
      <c r="BG41">
        <f t="shared" si="16"/>
        <v>0</v>
      </c>
      <c r="BH41">
        <f t="shared" si="17"/>
        <v>0</v>
      </c>
      <c r="BI41" s="30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-0.08</v>
      </c>
      <c r="BJ41" s="30" cm="1">
        <f t="array" ref="BJ41">$G$13+VLOOKUP($R41,武学奇术!$A:$ZZ,14,FALSE)+SUM(_xlfn.XLOOKUP($S41:$AL41,增益!$A:$A,增益!$N:$N,0))</f>
        <v>0</v>
      </c>
      <c r="BK41">
        <f t="shared" si="18"/>
        <v>605.472</v>
      </c>
      <c r="BL41">
        <f t="shared" si="19"/>
        <v>1725.468</v>
      </c>
      <c r="BM41" s="30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0.11</v>
      </c>
      <c r="BN41" s="30" cm="1">
        <f t="array" ref="BN41">$G$14+VLOOKUP($R41,武学奇术!$A:$ZZ,16,FALSE)+SUM(_xlfn.XLOOKUP($S41:$AL41,增益!$A:$A,增益!$P:$P,0))</f>
        <v>0.24</v>
      </c>
      <c r="BO41" s="24">
        <f>MIN(IF(VLOOKUP($R41,武学奇术!$A:$ZZ,23,FALSE)=1,100%,$B$8),100%)</f>
        <v>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0.9036</v>
      </c>
      <c r="BQ41" s="24" cm="1">
        <f t="array" ref="BQ41">1+$B$13+VLOOKUP($R41,武学奇术!$A:$ZZ,18,FALSE)+SUM(_xlfn.XLOOKUP($S41:$AL41,增益!$A:$A,增益!$R:$R,0))</f>
        <v>1.94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4" cm="1">
        <f t="array" ref="BS41">1+$B$14+VLOOKUP($R41,武学奇术!$A:$ZZ,20,FALSE)+SUM(_xlfn.XLOOKUP($S41:$AL41,增益!$A:$A,增益!$T:$T,0))</f>
        <v>1.35</v>
      </c>
      <c r="BT41" s="24">
        <f t="shared" si="20"/>
        <v>0.9036</v>
      </c>
      <c r="BU41" s="24">
        <f t="shared" si="21"/>
        <v>0.00350000000000006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0.11</v>
      </c>
      <c r="BX41" s="24" cm="1">
        <f t="array" ref="BX41">SUM(_xlfn.XLOOKUP($S41:$AL41,增益!$A:$A,增益!$X:$X,0))</f>
        <v>0</v>
      </c>
    </row>
    <row r="42" spans="1:76">
      <c r="A42" s="4" t="s">
        <v>183</v>
      </c>
      <c r="B42" s="4">
        <v>0.8</v>
      </c>
      <c r="C42" s="70"/>
      <c r="D42" s="70"/>
      <c r="E42" s="70"/>
      <c r="F42" s="70"/>
      <c r="G42" s="70"/>
      <c r="K42">
        <f>$L42*VLOOKUP($R42,武学奇术!$A:$ZZ,31,FALSE)</f>
        <v>39539.7246238525</v>
      </c>
      <c r="L42" s="36">
        <f t="shared" si="11"/>
        <v>39539.7246238525</v>
      </c>
      <c r="M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$21,0))*(1+$BW42)</f>
        <v>39867.6160566156</v>
      </c>
      <c r="N42" s="36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</f>
        <v>36924.256492407</v>
      </c>
      <c r="O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$21,0))*(1+$BW42)</f>
        <v>24309.5219857412</v>
      </c>
      <c r="P42" s="36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</f>
        <v>21267.7428659958</v>
      </c>
      <c r="Q42" s="70">
        <v>1</v>
      </c>
      <c r="R42" s="38" t="s">
        <v>168</v>
      </c>
      <c r="S42" s="38" t="s">
        <v>104</v>
      </c>
      <c r="T42" s="38" t="s">
        <v>79</v>
      </c>
      <c r="U42" s="38" t="s">
        <v>140</v>
      </c>
      <c r="V42" s="38" t="s">
        <v>79</v>
      </c>
      <c r="W42" s="38" t="s">
        <v>79</v>
      </c>
      <c r="X42" s="38" t="s">
        <v>79</v>
      </c>
      <c r="Y42" s="38" t="s">
        <v>173</v>
      </c>
      <c r="Z42" s="38" t="s">
        <v>90</v>
      </c>
      <c r="AA42" s="38" t="s">
        <v>79</v>
      </c>
      <c r="AB42" s="38" t="s">
        <v>91</v>
      </c>
      <c r="AC42" s="38" t="s">
        <v>79</v>
      </c>
      <c r="AD42" s="38" t="s">
        <v>82</v>
      </c>
      <c r="AE42" s="38" t="s">
        <v>83</v>
      </c>
      <c r="AF42" s="38" t="s">
        <v>84</v>
      </c>
      <c r="AG42" s="38" t="s">
        <v>85</v>
      </c>
      <c r="AH42" s="38" t="s">
        <v>79</v>
      </c>
      <c r="AI42" s="38" t="s">
        <v>79</v>
      </c>
      <c r="AJ42" s="38" t="s">
        <v>79</v>
      </c>
      <c r="AK42" s="38" t="s">
        <v>79</v>
      </c>
      <c r="AL42" s="38" t="s">
        <v>79</v>
      </c>
      <c r="AM42" t="str">
        <f>VLOOKUP($R42,武学奇术!$A:$ZZ,25,FALSE)</f>
        <v>绳镖</v>
      </c>
      <c r="AN42" s="24">
        <f>VLOOKUP($R42,武学奇术!$A:$ZZ,26,FALSE)</f>
        <v>1.6584</v>
      </c>
      <c r="AO42" s="25">
        <f>VLOOKUP($R42,武学奇术!$A:$ZZ,27,FALSE)*(1+IF(OR($AM42=$F$4,$AM42=$F$5),$B$22,0))</f>
        <v>687</v>
      </c>
      <c r="AP42" s="24">
        <f>VLOOKUP($R42,武学奇术!$A:$ZZ,28,FALSE)</f>
        <v>2.4876</v>
      </c>
      <c r="AQ42" s="25">
        <f>VLOOKUP($R42,武学奇术!$A:$ZZ,29,FALSE)*(1+IF(OR($AM42=$F$4,$AM42=$F$5),$B$22,0))</f>
        <v>375</v>
      </c>
      <c r="AR42" s="24" cm="1">
        <f t="array" ref="AR42">$G$3+IFERROR(VLOOKUP($AM42,$F$4:$G$7,2,FALSE),0)+VLOOKUP($R42,武学奇术!$A:$ZZ,2,FALSE)+SUM(_xlfn.XLOOKUP($S42:$AL42,增益!$A:$A,增益!$B:$B,0))</f>
        <v>0.4689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3901.102</v>
      </c>
      <c r="AU42" cm="1">
        <f t="array" ref="AU42">$E$10*(1+$AS42)+VLOOKUP($R42,武学奇术!$A:$ZZ,4,FALSE)+SUM(_xlfn.XLOOKUP($S42:$AL42,增益!$A:$A,增益!$D:$D,0))-$I$2</f>
        <v>3901.102</v>
      </c>
      <c r="AV42" s="30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0.317</v>
      </c>
      <c r="AW42" s="30" cm="1">
        <f t="array" ref="AW42">$G$10+VLOOKUP($R42,武学奇术!$A:$ZZ,7,FALSE)+SUM(_xlfn.XLOOKUP($S42:$AL42,增益!$A:$A,增益!$G:$G,0))</f>
        <v>0.09</v>
      </c>
      <c r="AX42" s="24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0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0" cm="1">
        <f t="array" ref="BB42">$G$11+VLOOKUP($R42,武学奇术!$A:$ZZ,10,FALSE)+SUM(_xlfn.XLOOKUP($S42:$AL42,增益!$A:$A,增益!$J:$J,0))</f>
        <v>0</v>
      </c>
      <c r="BC42">
        <f t="shared" si="14"/>
        <v>0</v>
      </c>
      <c r="BD42">
        <f t="shared" si="15"/>
        <v>0</v>
      </c>
      <c r="BE42" s="30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0" cm="1">
        <f t="array" ref="BF42">$G$12+VLOOKUP($R42,武学奇术!$A:$ZZ,12,FALSE)+SUM(_xlfn.XLOOKUP($S42:$AL42,增益!$A:$A,增益!$L:$L,0))</f>
        <v>0</v>
      </c>
      <c r="BG42">
        <f t="shared" si="16"/>
        <v>0</v>
      </c>
      <c r="BH42">
        <f t="shared" si="17"/>
        <v>0</v>
      </c>
      <c r="BI42" s="30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-0.14</v>
      </c>
      <c r="BJ42" s="30" cm="1">
        <f t="array" ref="BJ42">$G$13+VLOOKUP($R42,武学奇术!$A:$ZZ,14,FALSE)+SUM(_xlfn.XLOOKUP($S42:$AL42,增益!$A:$A,增益!$N:$N,0))</f>
        <v>0</v>
      </c>
      <c r="BK42">
        <f t="shared" si="18"/>
        <v>605.472</v>
      </c>
      <c r="BL42">
        <f t="shared" si="19"/>
        <v>1725.468</v>
      </c>
      <c r="BM42" s="30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0.08</v>
      </c>
      <c r="BN42" s="30" cm="1">
        <f t="array" ref="BN42">$G$14+VLOOKUP($R42,武学奇术!$A:$ZZ,16,FALSE)+SUM(_xlfn.XLOOKUP($S42:$AL42,增益!$A:$A,增益!$P:$P,0))</f>
        <v>0.24</v>
      </c>
      <c r="BO42" s="24">
        <f>MIN(IF(VLOOKUP($R42,武学奇术!$A:$ZZ,23,FALSE)=1,100%,$B$8),100%)</f>
        <v>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0.9036</v>
      </c>
      <c r="BQ42" s="24" cm="1">
        <f t="array" ref="BQ42">1+$B$13+VLOOKUP($R42,武学奇术!$A:$ZZ,18,FALSE)+SUM(_xlfn.XLOOKUP($S42:$AL42,增益!$A:$A,增益!$R:$R,0))</f>
        <v>1.64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4" cm="1">
        <f t="array" ref="BS42">1+$B$14+VLOOKUP($R42,武学奇术!$A:$ZZ,20,FALSE)+SUM(_xlfn.XLOOKUP($S42:$AL42,增益!$A:$A,增益!$T:$T,0))</f>
        <v>1.35</v>
      </c>
      <c r="BT42" s="24">
        <f t="shared" si="20"/>
        <v>0.9036</v>
      </c>
      <c r="BU42" s="24">
        <f t="shared" si="21"/>
        <v>0.00350000000000006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0.11</v>
      </c>
      <c r="BX42" s="24" cm="1">
        <f t="array" ref="BX42">SUM(_xlfn.XLOOKUP($S42:$AL42,增益!$A:$A,增益!$X:$X,0))</f>
        <v>0</v>
      </c>
    </row>
    <row r="43" spans="1:76">
      <c r="A43" s="4" t="s">
        <v>184</v>
      </c>
      <c r="B43" s="4">
        <v>2.15</v>
      </c>
      <c r="C43" s="70"/>
      <c r="D43" s="70"/>
      <c r="E43" s="70"/>
      <c r="F43" s="70"/>
      <c r="G43" s="70"/>
      <c r="K43">
        <f>$L43*VLOOKUP($R43,武学奇术!$A:$ZZ,31,FALSE)</f>
        <v>104085.894700969</v>
      </c>
      <c r="L43" s="36">
        <f t="shared" si="11"/>
        <v>80066.0728468996</v>
      </c>
      <c r="M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$21,0))*(1+$BW43)</f>
        <v>81763.4789241657</v>
      </c>
      <c r="N43" s="36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</f>
        <v>64984.7347682963</v>
      </c>
      <c r="O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$21,0))*(1+$BW43)</f>
        <v>42146.1231567864</v>
      </c>
      <c r="P43" s="36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</f>
        <v>36155.4057444645</v>
      </c>
      <c r="Q43" s="70">
        <v>1</v>
      </c>
      <c r="R43" s="38" t="s">
        <v>117</v>
      </c>
      <c r="S43" s="38" t="s">
        <v>104</v>
      </c>
      <c r="T43" s="38" t="s">
        <v>79</v>
      </c>
      <c r="U43" s="38" t="s">
        <v>140</v>
      </c>
      <c r="V43" s="38" t="s">
        <v>79</v>
      </c>
      <c r="W43" s="38" t="s">
        <v>79</v>
      </c>
      <c r="X43" s="38" t="s">
        <v>79</v>
      </c>
      <c r="Y43" s="38" t="s">
        <v>173</v>
      </c>
      <c r="Z43" s="38" t="s">
        <v>90</v>
      </c>
      <c r="AA43" s="38" t="s">
        <v>112</v>
      </c>
      <c r="AB43" s="38" t="s">
        <v>91</v>
      </c>
      <c r="AC43" s="38" t="s">
        <v>79</v>
      </c>
      <c r="AD43" s="38" t="s">
        <v>82</v>
      </c>
      <c r="AE43" s="38" t="s">
        <v>83</v>
      </c>
      <c r="AF43" s="38" t="s">
        <v>84</v>
      </c>
      <c r="AG43" s="38" t="s">
        <v>85</v>
      </c>
      <c r="AH43" s="38" t="s">
        <v>79</v>
      </c>
      <c r="AI43" s="38" t="s">
        <v>79</v>
      </c>
      <c r="AJ43" s="38" t="s">
        <v>79</v>
      </c>
      <c r="AK43" s="38" t="s">
        <v>79</v>
      </c>
      <c r="AL43" s="38" t="s">
        <v>79</v>
      </c>
      <c r="AM43" t="str">
        <f>VLOOKUP($R43,武学奇术!$A:$ZZ,25,FALSE)</f>
        <v>绳镖</v>
      </c>
      <c r="AN43" s="24">
        <f>VLOOKUP($R43,武学奇术!$A:$ZZ,26,FALSE)</f>
        <v>2.638944</v>
      </c>
      <c r="AO43" s="25">
        <f>VLOOKUP($R43,武学奇术!$A:$ZZ,27,FALSE)*(1+IF(OR($AM43=$F$4,$AM43=$F$5),$B$22,0))</f>
        <v>0</v>
      </c>
      <c r="AP43" s="24">
        <f>VLOOKUP($R43,武学奇术!$A:$ZZ,28,FALSE)</f>
        <v>3.958416</v>
      </c>
      <c r="AQ43" s="25">
        <f>VLOOKUP($R43,武学奇术!$A:$ZZ,29,FALSE)*(1+IF(OR($AM43=$F$4,$AM43=$F$5),$B$22,0))</f>
        <v>0</v>
      </c>
      <c r="AR43" s="24" cm="1">
        <f t="array" ref="AR43">$G$3+IFERROR(VLOOKUP($AM43,$F$4:$G$7,2,FALSE),0)+VLOOKUP($R43,武学奇术!$A:$ZZ,2,FALSE)+SUM(_xlfn.XLOOKUP($S43:$AL43,增益!$A:$A,增益!$B:$B,0))</f>
        <v>0.7689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3901.102</v>
      </c>
      <c r="AU43" cm="1">
        <f t="array" ref="AU43">$E$10*(1+$AS43)+VLOOKUP($R43,武学奇术!$A:$ZZ,4,FALSE)+SUM(_xlfn.XLOOKUP($S43:$AL43,增益!$A:$A,增益!$D:$D,0))-$I$2</f>
        <v>3901.102</v>
      </c>
      <c r="AV43" s="30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0.347</v>
      </c>
      <c r="AW43" s="30" cm="1">
        <f t="array" ref="AW43">$G$10+VLOOKUP($R43,武学奇术!$A:$ZZ,7,FALSE)+SUM(_xlfn.XLOOKUP($S43:$AL43,增益!$A:$A,增益!$G:$G,0))</f>
        <v>0.09</v>
      </c>
      <c r="AX43" s="24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0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-0.08</v>
      </c>
      <c r="BB43" s="30" cm="1">
        <f t="array" ref="BB43">$G$11+VLOOKUP($R43,武学奇术!$A:$ZZ,10,FALSE)+SUM(_xlfn.XLOOKUP($S43:$AL43,增益!$A:$A,增益!$J:$J,0))</f>
        <v>0</v>
      </c>
      <c r="BC43">
        <f t="shared" si="14"/>
        <v>0</v>
      </c>
      <c r="BD43">
        <f t="shared" si="15"/>
        <v>0</v>
      </c>
      <c r="BE43" s="30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-0.08</v>
      </c>
      <c r="BF43" s="30" cm="1">
        <f t="array" ref="BF43">$G$12+VLOOKUP($R43,武学奇术!$A:$ZZ,12,FALSE)+SUM(_xlfn.XLOOKUP($S43:$AL43,增益!$A:$A,增益!$L:$L,0))</f>
        <v>0</v>
      </c>
      <c r="BG43">
        <f t="shared" si="16"/>
        <v>0</v>
      </c>
      <c r="BH43">
        <f t="shared" si="17"/>
        <v>0</v>
      </c>
      <c r="BI43" s="30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-0.08</v>
      </c>
      <c r="BJ43" s="30" cm="1">
        <f t="array" ref="BJ43">$G$13+VLOOKUP($R43,武学奇术!$A:$ZZ,14,FALSE)+SUM(_xlfn.XLOOKUP($S43:$AL43,增益!$A:$A,增益!$N:$N,0))</f>
        <v>0</v>
      </c>
      <c r="BK43">
        <f t="shared" si="18"/>
        <v>605.472</v>
      </c>
      <c r="BL43">
        <f t="shared" si="19"/>
        <v>1725.468</v>
      </c>
      <c r="BM43" s="30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0.11</v>
      </c>
      <c r="BN43" s="30" cm="1">
        <f t="array" ref="BN43">$G$14+VLOOKUP($R43,武学奇术!$A:$ZZ,16,FALSE)+SUM(_xlfn.XLOOKUP($S43:$AL43,增益!$A:$A,增益!$P:$P,0))</f>
        <v>0.24</v>
      </c>
      <c r="BO43" s="24">
        <f>MIN(IF(VLOOKUP($R43,武学奇术!$A:$ZZ,23,FALSE)=1,100%,$B$8),100%)</f>
        <v>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0.9036</v>
      </c>
      <c r="BQ43" s="24" cm="1">
        <f t="array" ref="BQ43">1+$B$13+VLOOKUP($R43,武学奇术!$A:$ZZ,18,FALSE)+SUM(_xlfn.XLOOKUP($S43:$AL43,增益!$A:$A,增益!$R:$R,0))</f>
        <v>1.94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4" cm="1">
        <f t="array" ref="BS43">1+$B$14+VLOOKUP($R43,武学奇术!$A:$ZZ,20,FALSE)+SUM(_xlfn.XLOOKUP($S43:$AL43,增益!$A:$A,增益!$T:$T,0))</f>
        <v>1.35</v>
      </c>
      <c r="BT43" s="24">
        <f t="shared" si="20"/>
        <v>0.9036</v>
      </c>
      <c r="BU43" s="24">
        <f t="shared" si="21"/>
        <v>0.00350000000000006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0.11</v>
      </c>
      <c r="BX43" s="24" cm="1">
        <f t="array" ref="BX43">SUM(_xlfn.XLOOKUP($S43:$AL43,增益!$A:$A,增益!$X:$X,0))</f>
        <v>0</v>
      </c>
    </row>
    <row r="44" spans="1:76">
      <c r="A44" s="4" t="s">
        <v>179</v>
      </c>
      <c r="B44" s="4">
        <v>1</v>
      </c>
      <c r="C44" s="70"/>
      <c r="D44" s="70"/>
      <c r="E44" s="70"/>
      <c r="F44" s="70"/>
      <c r="K44">
        <f>$L44*VLOOKUP($R44,武学奇术!$A:$ZZ,31,FALSE)</f>
        <v>29122.1411254908</v>
      </c>
      <c r="L44" s="36">
        <f t="shared" si="11"/>
        <v>29122.1411254908</v>
      </c>
      <c r="M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$21,0))*(1+$BW44)</f>
        <v>29378.5711398145</v>
      </c>
      <c r="N44" s="36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</f>
        <v>27050.2268400321</v>
      </c>
      <c r="O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$21,0))*(1+$BW44)</f>
        <v>17913.7628901308</v>
      </c>
      <c r="P44" s="36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</f>
        <v>15790.3207135711</v>
      </c>
      <c r="Q44" s="70">
        <v>1</v>
      </c>
      <c r="R44" s="38" t="s">
        <v>107</v>
      </c>
      <c r="S44" s="38" t="s">
        <v>104</v>
      </c>
      <c r="T44" s="38" t="s">
        <v>79</v>
      </c>
      <c r="U44" s="38" t="s">
        <v>140</v>
      </c>
      <c r="V44" s="38" t="s">
        <v>79</v>
      </c>
      <c r="W44" s="38" t="s">
        <v>79</v>
      </c>
      <c r="X44" s="38" t="s">
        <v>79</v>
      </c>
      <c r="Y44" s="38" t="s">
        <v>173</v>
      </c>
      <c r="Z44" s="38" t="s">
        <v>79</v>
      </c>
      <c r="AA44" s="38" t="s">
        <v>79</v>
      </c>
      <c r="AB44" s="38" t="s">
        <v>91</v>
      </c>
      <c r="AC44" s="38" t="s">
        <v>79</v>
      </c>
      <c r="AD44" s="38" t="s">
        <v>82</v>
      </c>
      <c r="AE44" s="38" t="s">
        <v>83</v>
      </c>
      <c r="AF44" s="38" t="s">
        <v>84</v>
      </c>
      <c r="AG44" s="38" t="s">
        <v>85</v>
      </c>
      <c r="AH44" s="38" t="s">
        <v>79</v>
      </c>
      <c r="AI44" s="38" t="s">
        <v>79</v>
      </c>
      <c r="AJ44" s="38" t="s">
        <v>79</v>
      </c>
      <c r="AK44" s="38" t="s">
        <v>79</v>
      </c>
      <c r="AL44" s="38" t="s">
        <v>79</v>
      </c>
      <c r="AM44" t="str">
        <f>VLOOKUP($R44,武学奇术!$A:$ZZ,25,FALSE)</f>
        <v>绳镖</v>
      </c>
      <c r="AN44" s="24">
        <f>VLOOKUP($R44,武学奇术!$A:$ZZ,26,FALSE)</f>
        <v>1.2503</v>
      </c>
      <c r="AO44" s="25">
        <f>VLOOKUP($R44,武学奇术!$A:$ZZ,27,FALSE)*(1+IF(OR($AM44=$F$4,$AM44=$F$5),$B$22,0))</f>
        <v>520.5</v>
      </c>
      <c r="AP44" s="24">
        <f>VLOOKUP($R44,武学奇术!$A:$ZZ,28,FALSE)</f>
        <v>1.8755</v>
      </c>
      <c r="AQ44" s="25">
        <f>VLOOKUP($R44,武学奇术!$A:$ZZ,29,FALSE)*(1+IF(OR($AM44=$F$4,$AM44=$F$5),$B$22,0))</f>
        <v>283.5</v>
      </c>
      <c r="AR44" s="24" cm="1">
        <f t="array" ref="AR44">$G$3+IFERROR(VLOOKUP($AM44,$F$4:$G$7,2,FALSE),0)+VLOOKUP($R44,武学奇术!$A:$ZZ,2,FALSE)+SUM(_xlfn.XLOOKUP($S44:$AL44,增益!$A:$A,增益!$B:$B,0))</f>
        <v>0.4689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3901.102</v>
      </c>
      <c r="AU44" cm="1">
        <f t="array" ref="AU44">$E$10*(1+$AS44)+VLOOKUP($R44,武学奇术!$A:$ZZ,4,FALSE)+SUM(_xlfn.XLOOKUP($S44:$AL44,增益!$A:$A,增益!$D:$D,0))-$I$2</f>
        <v>3901.102</v>
      </c>
      <c r="AV44" s="30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0.317</v>
      </c>
      <c r="AW44" s="30" cm="1">
        <f t="array" ref="AW44">$G$10+VLOOKUP($R44,武学奇术!$A:$ZZ,7,FALSE)+SUM(_xlfn.XLOOKUP($S44:$AL44,增益!$A:$A,增益!$G:$G,0))</f>
        <v>0.09</v>
      </c>
      <c r="AX44" s="24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0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0" cm="1">
        <f t="array" ref="BB44">$G$11+VLOOKUP($R44,武学奇术!$A:$ZZ,10,FALSE)+SUM(_xlfn.XLOOKUP($S44:$AL44,增益!$A:$A,增益!$J:$J,0))</f>
        <v>0</v>
      </c>
      <c r="BC44">
        <f t="shared" si="14"/>
        <v>0</v>
      </c>
      <c r="BD44">
        <f t="shared" si="15"/>
        <v>0</v>
      </c>
      <c r="BE44" s="30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0" cm="1">
        <f t="array" ref="BF44">$G$12+VLOOKUP($R44,武学奇术!$A:$ZZ,12,FALSE)+SUM(_xlfn.XLOOKUP($S44:$AL44,增益!$A:$A,增益!$L:$L,0))</f>
        <v>0</v>
      </c>
      <c r="BG44">
        <f t="shared" si="16"/>
        <v>0</v>
      </c>
      <c r="BH44">
        <f t="shared" si="17"/>
        <v>0</v>
      </c>
      <c r="BI44" s="30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0" cm="1">
        <f t="array" ref="BJ44">$G$13+VLOOKUP($R44,武学奇术!$A:$ZZ,14,FALSE)+SUM(_xlfn.XLOOKUP($S44:$AL44,增益!$A:$A,增益!$N:$N,0))</f>
        <v>0</v>
      </c>
      <c r="BK44">
        <f t="shared" si="18"/>
        <v>605.472</v>
      </c>
      <c r="BL44">
        <f t="shared" si="19"/>
        <v>1725.468</v>
      </c>
      <c r="BM44" s="30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0" cm="1">
        <f t="array" ref="BN44">$G$14+VLOOKUP($R44,武学奇术!$A:$ZZ,16,FALSE)+SUM(_xlfn.XLOOKUP($S44:$AL44,增益!$A:$A,增益!$P:$P,0))</f>
        <v>0.24</v>
      </c>
      <c r="BO44" s="24">
        <f>MIN(IF(VLOOKUP($R44,武学奇术!$A:$ZZ,23,FALSE)=1,100%,$B$8),100%)</f>
        <v>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0.9036</v>
      </c>
      <c r="BQ44" s="24" cm="1">
        <f t="array" ref="BQ44">1+$B$13+VLOOKUP($R44,武学奇术!$A:$ZZ,18,FALSE)+SUM(_xlfn.XLOOKUP($S44:$AL44,增益!$A:$A,增益!$R:$R,0))</f>
        <v>1.64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4" cm="1">
        <f t="array" ref="BS44">1+$B$14+VLOOKUP($R44,武学奇术!$A:$ZZ,20,FALSE)+SUM(_xlfn.XLOOKUP($S44:$AL44,增益!$A:$A,增益!$T:$T,0))</f>
        <v>1.35</v>
      </c>
      <c r="BT44" s="24">
        <f t="shared" si="20"/>
        <v>0.9036</v>
      </c>
      <c r="BU44" s="24">
        <f t="shared" si="21"/>
        <v>0.00350000000000006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0.11</v>
      </c>
      <c r="BX44" s="24" cm="1">
        <f t="array" ref="BX44">SUM(_xlfn.XLOOKUP($S44:$AL44,增益!$A:$A,增益!$X:$X,0))</f>
        <v>0</v>
      </c>
    </row>
    <row r="45" spans="1:76">
      <c r="A45" s="4" t="s">
        <v>177</v>
      </c>
      <c r="B45" s="91">
        <v>1.16</v>
      </c>
      <c r="C45" s="70"/>
      <c r="D45" s="70"/>
      <c r="F45" s="70"/>
      <c r="K45">
        <f>$L45*VLOOKUP($R45,武学奇术!$A:$ZZ,31,FALSE)</f>
        <v>84847.6112910977</v>
      </c>
      <c r="L45" s="36">
        <f t="shared" si="11"/>
        <v>65267.3933008444</v>
      </c>
      <c r="M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$21,0))*(1+$BW45)</f>
        <v>66683.5156698385</v>
      </c>
      <c r="N45" s="36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</f>
        <v>52657.3006437342</v>
      </c>
      <c r="O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$21,0))*(1+$BW45)</f>
        <v>34372.9462215662</v>
      </c>
      <c r="P45" s="36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</f>
        <v>29740.4845588848</v>
      </c>
      <c r="Q45" s="70">
        <v>1</v>
      </c>
      <c r="R45" s="38" t="s">
        <v>111</v>
      </c>
      <c r="S45" s="38" t="s">
        <v>104</v>
      </c>
      <c r="T45" s="38" t="s">
        <v>79</v>
      </c>
      <c r="U45" s="38" t="s">
        <v>140</v>
      </c>
      <c r="V45" s="38" t="s">
        <v>79</v>
      </c>
      <c r="W45" s="38" t="s">
        <v>79</v>
      </c>
      <c r="X45" s="38" t="s">
        <v>79</v>
      </c>
      <c r="Y45" s="38" t="s">
        <v>173</v>
      </c>
      <c r="Z45" s="38" t="s">
        <v>79</v>
      </c>
      <c r="AA45" s="38" t="s">
        <v>112</v>
      </c>
      <c r="AB45" s="38" t="s">
        <v>91</v>
      </c>
      <c r="AC45" s="38" t="s">
        <v>79</v>
      </c>
      <c r="AD45" s="38" t="s">
        <v>82</v>
      </c>
      <c r="AE45" s="38" t="s">
        <v>83</v>
      </c>
      <c r="AF45" s="38" t="s">
        <v>84</v>
      </c>
      <c r="AG45" s="38" t="s">
        <v>85</v>
      </c>
      <c r="AH45" s="38" t="s">
        <v>79</v>
      </c>
      <c r="AI45" s="38" t="s">
        <v>79</v>
      </c>
      <c r="AJ45" s="38" t="s">
        <v>79</v>
      </c>
      <c r="AK45" s="38" t="s">
        <v>79</v>
      </c>
      <c r="AL45" s="38" t="s">
        <v>79</v>
      </c>
      <c r="AM45" t="str">
        <f>VLOOKUP($R45,武学奇术!$A:$ZZ,25,FALSE)</f>
        <v>绳镖</v>
      </c>
      <c r="AN45" s="24">
        <f>VLOOKUP($R45,武学奇术!$A:$ZZ,26,FALSE)</f>
        <v>2.19912</v>
      </c>
      <c r="AO45" s="25">
        <f>VLOOKUP($R45,武学奇术!$A:$ZZ,27,FALSE)*(1+IF(OR($AM45=$F$4,$AM45=$F$5),$B$22,0))</f>
        <v>0</v>
      </c>
      <c r="AP45" s="24">
        <f>VLOOKUP($R45,武学奇术!$A:$ZZ,28,FALSE)</f>
        <v>3.29868</v>
      </c>
      <c r="AQ45" s="25">
        <f>VLOOKUP($R45,武学奇术!$A:$ZZ,29,FALSE)*(1+IF(OR($AM45=$F$4,$AM45=$F$5),$B$22,0))</f>
        <v>0</v>
      </c>
      <c r="AR45" s="24" cm="1">
        <f t="array" ref="AR45">$G$3+IFERROR(VLOOKUP($AM45,$F$4:$G$7,2,FALSE),0)+VLOOKUP($R45,武学奇术!$A:$ZZ,2,FALSE)+SUM(_xlfn.XLOOKUP($S45:$AL45,增益!$A:$A,增益!$B:$B,0))</f>
        <v>0.7689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3901.102</v>
      </c>
      <c r="AU45" cm="1">
        <f t="array" ref="AU45">$E$10*(1+$AS45)+VLOOKUP($R45,武学奇术!$A:$ZZ,4,FALSE)+SUM(_xlfn.XLOOKUP($S45:$AL45,增益!$A:$A,增益!$D:$D,0))-$I$2</f>
        <v>3901.102</v>
      </c>
      <c r="AV45" s="30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0.347</v>
      </c>
      <c r="AW45" s="30" cm="1">
        <f t="array" ref="AW45">$G$10+VLOOKUP($R45,武学奇术!$A:$ZZ,7,FALSE)+SUM(_xlfn.XLOOKUP($S45:$AL45,增益!$A:$A,增益!$G:$G,0))</f>
        <v>0.09</v>
      </c>
      <c r="AX45" s="24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0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0" cm="1">
        <f t="array" ref="BB45">$G$11+VLOOKUP($R45,武学奇术!$A:$ZZ,10,FALSE)+SUM(_xlfn.XLOOKUP($S45:$AL45,增益!$A:$A,增益!$J:$J,0))</f>
        <v>0</v>
      </c>
      <c r="BC45">
        <f t="shared" si="14"/>
        <v>0</v>
      </c>
      <c r="BD45">
        <f t="shared" si="15"/>
        <v>0</v>
      </c>
      <c r="BE45" s="30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0" cm="1">
        <f t="array" ref="BF45">$G$12+VLOOKUP($R45,武学奇术!$A:$ZZ,12,FALSE)+SUM(_xlfn.XLOOKUP($S45:$AL45,增益!$A:$A,增益!$L:$L,0))</f>
        <v>0</v>
      </c>
      <c r="BG45">
        <f t="shared" si="16"/>
        <v>0</v>
      </c>
      <c r="BH45">
        <f t="shared" si="17"/>
        <v>0</v>
      </c>
      <c r="BI45" s="30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0" cm="1">
        <f t="array" ref="BJ45">$G$13+VLOOKUP($R45,武学奇术!$A:$ZZ,14,FALSE)+SUM(_xlfn.XLOOKUP($S45:$AL45,增益!$A:$A,增益!$N:$N,0))</f>
        <v>0</v>
      </c>
      <c r="BK45">
        <f t="shared" si="18"/>
        <v>605.472</v>
      </c>
      <c r="BL45">
        <f t="shared" si="19"/>
        <v>1725.468</v>
      </c>
      <c r="BM45" s="30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0" cm="1">
        <f t="array" ref="BN45">$G$14+VLOOKUP($R45,武学奇术!$A:$ZZ,16,FALSE)+SUM(_xlfn.XLOOKUP($S45:$AL45,增益!$A:$A,增益!$P:$P,0))</f>
        <v>0.24</v>
      </c>
      <c r="BO45" s="24">
        <f>MIN(IF(VLOOKUP($R45,武学奇术!$A:$ZZ,23,FALSE)=1,100%,$B$8),100%)</f>
        <v>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0.9036</v>
      </c>
      <c r="BQ45" s="24" cm="1">
        <f t="array" ref="BQ45">1+$B$13+VLOOKUP($R45,武学奇术!$A:$ZZ,18,FALSE)+SUM(_xlfn.XLOOKUP($S45:$AL45,增益!$A:$A,增益!$R:$R,0))</f>
        <v>1.94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4" cm="1">
        <f t="array" ref="BS45">1+$B$14+VLOOKUP($R45,武学奇术!$A:$ZZ,20,FALSE)+SUM(_xlfn.XLOOKUP($S45:$AL45,增益!$A:$A,增益!$T:$T,0))</f>
        <v>1.35</v>
      </c>
      <c r="BT45" s="24">
        <f t="shared" si="20"/>
        <v>0.9036</v>
      </c>
      <c r="BU45" s="24">
        <f t="shared" si="21"/>
        <v>0.00350000000000006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0.11</v>
      </c>
      <c r="BX45" s="24" cm="1">
        <f t="array" ref="BX45">SUM(_xlfn.XLOOKUP($S45:$AL45,增益!$A:$A,增益!$X:$X,0))</f>
        <v>0</v>
      </c>
    </row>
    <row r="46" spans="1:76">
      <c r="A46" s="4" t="s">
        <v>185</v>
      </c>
      <c r="B46" s="91">
        <v>2.14</v>
      </c>
      <c r="D46" s="70"/>
      <c r="F46" s="70"/>
      <c r="K46">
        <f>$L46*VLOOKUP($R46,武学奇术!$A:$ZZ,31,FALSE)</f>
        <v>60140.5983490452</v>
      </c>
      <c r="L46" s="36">
        <f t="shared" si="11"/>
        <v>60140.5983490452</v>
      </c>
      <c r="M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$21,0))*(1+$BW46)</f>
        <v>60669.7568122647</v>
      </c>
      <c r="N46" s="36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</f>
        <v>55865.7476204999</v>
      </c>
      <c r="O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$21,0))*(1+$BW46)</f>
        <v>36993.7541538199</v>
      </c>
      <c r="P46" s="36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</f>
        <v>32605.4730331955</v>
      </c>
      <c r="Q46" s="70">
        <v>1</v>
      </c>
      <c r="R46" s="38" t="s">
        <v>127</v>
      </c>
      <c r="S46" s="38" t="s">
        <v>104</v>
      </c>
      <c r="T46" s="38" t="s">
        <v>79</v>
      </c>
      <c r="U46" s="38" t="s">
        <v>140</v>
      </c>
      <c r="V46" s="38" t="s">
        <v>79</v>
      </c>
      <c r="W46" s="38" t="s">
        <v>79</v>
      </c>
      <c r="X46" s="38" t="s">
        <v>79</v>
      </c>
      <c r="Y46" s="38" t="s">
        <v>173</v>
      </c>
      <c r="Z46" s="38" t="s">
        <v>79</v>
      </c>
      <c r="AA46" s="38" t="s">
        <v>79</v>
      </c>
      <c r="AB46" s="38" t="s">
        <v>91</v>
      </c>
      <c r="AC46" s="38" t="s">
        <v>79</v>
      </c>
      <c r="AD46" s="38" t="s">
        <v>82</v>
      </c>
      <c r="AE46" s="38" t="s">
        <v>83</v>
      </c>
      <c r="AF46" s="38" t="s">
        <v>84</v>
      </c>
      <c r="AG46" s="38" t="s">
        <v>85</v>
      </c>
      <c r="AH46" s="38" t="s">
        <v>79</v>
      </c>
      <c r="AI46" s="38" t="s">
        <v>79</v>
      </c>
      <c r="AJ46" s="38" t="s">
        <v>79</v>
      </c>
      <c r="AK46" s="38" t="s">
        <v>79</v>
      </c>
      <c r="AL46" s="38" t="s">
        <v>79</v>
      </c>
      <c r="AM46" t="str">
        <f>VLOOKUP($R46,武学奇术!$A:$ZZ,25,FALSE)</f>
        <v>拳甲</v>
      </c>
      <c r="AN46" s="24">
        <f>VLOOKUP($R46,武学奇术!$A:$ZZ,26,FALSE)</f>
        <v>2.4421</v>
      </c>
      <c r="AO46" s="25">
        <f>VLOOKUP($R46,武学奇术!$A:$ZZ,27,FALSE)*(1+IF(OR($AM46=$F$4,$AM46=$F$5),$B$22,0))</f>
        <v>1012.5</v>
      </c>
      <c r="AP46" s="24">
        <f>VLOOKUP($R46,武学奇术!$A:$ZZ,28,FALSE)</f>
        <v>3.6634</v>
      </c>
      <c r="AQ46" s="25">
        <f>VLOOKUP($R46,武学奇术!$A:$ZZ,29,FALSE)*(1+IF(OR($AM46=$F$4,$AM46=$F$5),$B$22,0))</f>
        <v>549</v>
      </c>
      <c r="AR46" s="24" cm="1">
        <f t="array" ref="AR46">$G$3+IFERROR(VLOOKUP($AM46,$F$4:$G$7,2,FALSE),0)+VLOOKUP($R46,武学奇术!$A:$ZZ,2,FALSE)+SUM(_xlfn.XLOOKUP($S46:$AL46,增益!$A:$A,增益!$B:$B,0))</f>
        <v>0.5541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3901.102</v>
      </c>
      <c r="AU46" cm="1">
        <f t="array" ref="AU46">$E$10*(1+$AS46)+VLOOKUP($R46,武学奇术!$A:$ZZ,4,FALSE)+SUM(_xlfn.XLOOKUP($S46:$AL46,增益!$A:$A,增益!$D:$D,0))-$I$2</f>
        <v>3901.102</v>
      </c>
      <c r="AV46" s="30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0.317</v>
      </c>
      <c r="AW46" s="30" cm="1">
        <f t="array" ref="AW46">$G$10+VLOOKUP($R46,武学奇术!$A:$ZZ,7,FALSE)+SUM(_xlfn.XLOOKUP($S46:$AL46,增益!$A:$A,增益!$G:$G,0))</f>
        <v>0.09</v>
      </c>
      <c r="AX46" s="24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0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0" cm="1">
        <f t="array" ref="BB46">$G$11+VLOOKUP($R46,武学奇术!$A:$ZZ,10,FALSE)+SUM(_xlfn.XLOOKUP($S46:$AL46,增益!$A:$A,增益!$J:$J,0))</f>
        <v>0</v>
      </c>
      <c r="BC46">
        <f t="shared" si="14"/>
        <v>0</v>
      </c>
      <c r="BD46">
        <f t="shared" si="15"/>
        <v>0</v>
      </c>
      <c r="BE46" s="30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0" cm="1">
        <f t="array" ref="BF46">$G$12+VLOOKUP($R46,武学奇术!$A:$ZZ,12,FALSE)+SUM(_xlfn.XLOOKUP($S46:$AL46,增益!$A:$A,增益!$L:$L,0))</f>
        <v>0</v>
      </c>
      <c r="BG46">
        <f t="shared" si="16"/>
        <v>0</v>
      </c>
      <c r="BH46">
        <f t="shared" si="17"/>
        <v>0</v>
      </c>
      <c r="BI46" s="30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0" cm="1">
        <f t="array" ref="BJ46">$G$13+VLOOKUP($R46,武学奇术!$A:$ZZ,14,FALSE)+SUM(_xlfn.XLOOKUP($S46:$AL46,增益!$A:$A,增益!$N:$N,0))</f>
        <v>0</v>
      </c>
      <c r="BK46">
        <f t="shared" si="18"/>
        <v>605.472</v>
      </c>
      <c r="BL46">
        <f t="shared" si="19"/>
        <v>1725.468</v>
      </c>
      <c r="BM46" s="30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0" cm="1">
        <f t="array" ref="BN46">$G$14+VLOOKUP($R46,武学奇术!$A:$ZZ,16,FALSE)+SUM(_xlfn.XLOOKUP($S46:$AL46,增益!$A:$A,增益!$P:$P,0))</f>
        <v>0.24</v>
      </c>
      <c r="BO46" s="24">
        <f>MIN(IF(VLOOKUP($R46,武学奇术!$A:$ZZ,23,FALSE)=1,100%,$B$8),100%)</f>
        <v>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0.9036</v>
      </c>
      <c r="BQ46" s="24" cm="1">
        <f t="array" ref="BQ46">1+$B$13+VLOOKUP($R46,武学奇术!$A:$ZZ,18,FALSE)+SUM(_xlfn.XLOOKUP($S46:$AL46,增益!$A:$A,增益!$R:$R,0))</f>
        <v>1.64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4" cm="1">
        <f t="array" ref="BS46">1+$B$14+VLOOKUP($R46,武学奇术!$A:$ZZ,20,FALSE)+SUM(_xlfn.XLOOKUP($S46:$AL46,增益!$A:$A,增益!$T:$T,0))</f>
        <v>1.35</v>
      </c>
      <c r="BT46" s="24">
        <f t="shared" si="20"/>
        <v>0.9036</v>
      </c>
      <c r="BU46" s="24">
        <f t="shared" si="21"/>
        <v>0.00350000000000006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0.11</v>
      </c>
      <c r="BX46" s="24" cm="1">
        <f t="array" ref="BX46">SUM(_xlfn.XLOOKUP($S46:$AL46,增益!$A:$A,增益!$X:$X,0))</f>
        <v>0</v>
      </c>
    </row>
    <row r="47" spans="1:76">
      <c r="A47" t="s">
        <v>166</v>
      </c>
      <c r="B47">
        <v>0.9</v>
      </c>
      <c r="F47" s="70"/>
      <c r="K47">
        <f>$L47*VLOOKUP($R47,武学奇术!$A:$ZZ,31,FALSE)</f>
        <v>31736.5387673777</v>
      </c>
      <c r="L47" s="36">
        <f t="shared" si="11"/>
        <v>31736.5387673777</v>
      </c>
      <c r="M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$21,0))*(1+$BW47)</f>
        <v>32016.0689051399</v>
      </c>
      <c r="N47" s="36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</f>
        <v>29477.8463764407</v>
      </c>
      <c r="O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$21,0))*(1+$BW47)</f>
        <v>19521.9932348414</v>
      </c>
      <c r="P47" s="36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</f>
        <v>17208.5447093563</v>
      </c>
      <c r="Q47" s="70">
        <v>1</v>
      </c>
      <c r="R47" s="38" t="s">
        <v>122</v>
      </c>
      <c r="S47" s="38" t="s">
        <v>104</v>
      </c>
      <c r="T47" s="38" t="s">
        <v>79</v>
      </c>
      <c r="U47" s="38" t="s">
        <v>140</v>
      </c>
      <c r="V47" s="38" t="s">
        <v>79</v>
      </c>
      <c r="W47" s="38" t="s">
        <v>79</v>
      </c>
      <c r="X47" s="38" t="s">
        <v>79</v>
      </c>
      <c r="Y47" s="38" t="s">
        <v>173</v>
      </c>
      <c r="Z47" s="38" t="s">
        <v>79</v>
      </c>
      <c r="AA47" s="38" t="s">
        <v>79</v>
      </c>
      <c r="AB47" s="38" t="s">
        <v>91</v>
      </c>
      <c r="AC47" s="38" t="s">
        <v>79</v>
      </c>
      <c r="AD47" s="38" t="s">
        <v>82</v>
      </c>
      <c r="AE47" s="38" t="s">
        <v>83</v>
      </c>
      <c r="AF47" s="38" t="s">
        <v>84</v>
      </c>
      <c r="AG47" s="38" t="s">
        <v>85</v>
      </c>
      <c r="AH47" s="38" t="s">
        <v>79</v>
      </c>
      <c r="AI47" s="38" t="s">
        <v>79</v>
      </c>
      <c r="AJ47" s="38" t="s">
        <v>79</v>
      </c>
      <c r="AK47" s="38" t="s">
        <v>79</v>
      </c>
      <c r="AL47" s="38" t="s">
        <v>79</v>
      </c>
      <c r="AM47" t="str">
        <f>VLOOKUP($R47,武学奇术!$A:$ZZ,25,FALSE)</f>
        <v>拳甲</v>
      </c>
      <c r="AN47" s="24">
        <f>VLOOKUP($R47,武学奇术!$A:$ZZ,26,FALSE)</f>
        <v>1.2876</v>
      </c>
      <c r="AO47" s="25">
        <f>VLOOKUP($R47,武学奇术!$A:$ZZ,27,FALSE)*(1+IF(OR($AM47=$F$4,$AM47=$F$5),$B$22,0))</f>
        <v>537</v>
      </c>
      <c r="AP47" s="24">
        <f>VLOOKUP($R47,武学奇术!$A:$ZZ,28,FALSE)</f>
        <v>1.9313</v>
      </c>
      <c r="AQ47" s="25">
        <f>VLOOKUP($R47,武学奇术!$A:$ZZ,29,FALSE)*(1+IF(OR($AM47=$F$4,$AM47=$F$5),$B$22,0))</f>
        <v>292.5</v>
      </c>
      <c r="AR47" s="24" cm="1">
        <f t="array" ref="AR47">$G$3+IFERROR(VLOOKUP($AM47,$F$4:$G$7,2,FALSE),0)+VLOOKUP($R47,武学奇术!$A:$ZZ,2,FALSE)+SUM(_xlfn.XLOOKUP($S47:$AL47,增益!$A:$A,增益!$B:$B,0))</f>
        <v>0.5541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3901.102</v>
      </c>
      <c r="AU47" cm="1">
        <f t="array" ref="AU47">$E$10*(1+$AS47)+VLOOKUP($R47,武学奇术!$A:$ZZ,4,FALSE)+SUM(_xlfn.XLOOKUP($S47:$AL47,增益!$A:$A,增益!$D:$D,0))-$I$2</f>
        <v>3901.102</v>
      </c>
      <c r="AV47" s="30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0.317</v>
      </c>
      <c r="AW47" s="30" cm="1">
        <f t="array" ref="AW47">$G$10+VLOOKUP($R47,武学奇术!$A:$ZZ,7,FALSE)+SUM(_xlfn.XLOOKUP($S47:$AL47,增益!$A:$A,增益!$G:$G,0))</f>
        <v>0.09</v>
      </c>
      <c r="AX47" s="24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0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0" cm="1">
        <f t="array" ref="BB47">$G$11+VLOOKUP($R47,武学奇术!$A:$ZZ,10,FALSE)+SUM(_xlfn.XLOOKUP($S47:$AL47,增益!$A:$A,增益!$J:$J,0))</f>
        <v>0</v>
      </c>
      <c r="BC47">
        <f t="shared" si="14"/>
        <v>0</v>
      </c>
      <c r="BD47">
        <f t="shared" si="15"/>
        <v>0</v>
      </c>
      <c r="BE47" s="30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0" cm="1">
        <f t="array" ref="BF47">$G$12+VLOOKUP($R47,武学奇术!$A:$ZZ,12,FALSE)+SUM(_xlfn.XLOOKUP($S47:$AL47,增益!$A:$A,增益!$L:$L,0))</f>
        <v>0</v>
      </c>
      <c r="BG47">
        <f t="shared" si="16"/>
        <v>0</v>
      </c>
      <c r="BH47">
        <f t="shared" si="17"/>
        <v>0</v>
      </c>
      <c r="BI47" s="30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0" cm="1">
        <f t="array" ref="BJ47">$G$13+VLOOKUP($R47,武学奇术!$A:$ZZ,14,FALSE)+SUM(_xlfn.XLOOKUP($S47:$AL47,增益!$A:$A,增益!$N:$N,0))</f>
        <v>0</v>
      </c>
      <c r="BK47">
        <f t="shared" si="18"/>
        <v>605.472</v>
      </c>
      <c r="BL47">
        <f t="shared" si="19"/>
        <v>1725.468</v>
      </c>
      <c r="BM47" s="30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0" cm="1">
        <f t="array" ref="BN47">$G$14+VLOOKUP($R47,武学奇术!$A:$ZZ,16,FALSE)+SUM(_xlfn.XLOOKUP($S47:$AL47,增益!$A:$A,增益!$P:$P,0))</f>
        <v>0.24</v>
      </c>
      <c r="BO47" s="24">
        <f>MIN(IF(VLOOKUP($R47,武学奇术!$A:$ZZ,23,FALSE)=1,100%,$B$8),100%)</f>
        <v>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0.9036</v>
      </c>
      <c r="BQ47" s="24" cm="1">
        <f t="array" ref="BQ47">1+$B$13+VLOOKUP($R47,武学奇术!$A:$ZZ,18,FALSE)+SUM(_xlfn.XLOOKUP($S47:$AL47,增益!$A:$A,增益!$R:$R,0))</f>
        <v>1.64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4" cm="1">
        <f t="array" ref="BS47">1+$B$14+VLOOKUP($R47,武学奇术!$A:$ZZ,20,FALSE)+SUM(_xlfn.XLOOKUP($S47:$AL47,增益!$A:$A,增益!$T:$T,0))</f>
        <v>1.35</v>
      </c>
      <c r="BT47" s="24">
        <f t="shared" si="20"/>
        <v>0.9036</v>
      </c>
      <c r="BU47" s="24">
        <f t="shared" si="21"/>
        <v>0.00350000000000006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0.11</v>
      </c>
      <c r="BX47" s="24" cm="1">
        <f t="array" ref="BX47">SUM(_xlfn.XLOOKUP($S47:$AL47,增益!$A:$A,增益!$X:$X,0))</f>
        <v>0</v>
      </c>
    </row>
    <row r="48" spans="1:76">
      <c r="A48" t="s">
        <v>176</v>
      </c>
      <c r="B48">
        <v>1.23</v>
      </c>
      <c r="K48">
        <f>$L48*VLOOKUP($R48,武学奇术!$A:$ZZ,31,FALSE)</f>
        <v>106721.209403465</v>
      </c>
      <c r="L48" s="36">
        <f t="shared" si="11"/>
        <v>82093.2380026653</v>
      </c>
      <c r="M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$21,0))*(1+$BW48)</f>
        <v>83874.4347810147</v>
      </c>
      <c r="N48" s="36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</f>
        <v>66232.2807101912</v>
      </c>
      <c r="O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$21,0))*(1+$BW48)</f>
        <v>43234.2447324818</v>
      </c>
      <c r="P48" s="36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</f>
        <v>37407.5407907479</v>
      </c>
      <c r="Q48" s="70">
        <v>1</v>
      </c>
      <c r="R48" s="38" t="s">
        <v>124</v>
      </c>
      <c r="S48" s="38" t="s">
        <v>104</v>
      </c>
      <c r="T48" s="38" t="s">
        <v>79</v>
      </c>
      <c r="U48" s="38" t="s">
        <v>140</v>
      </c>
      <c r="V48" s="38" t="s">
        <v>79</v>
      </c>
      <c r="W48" s="38" t="s">
        <v>79</v>
      </c>
      <c r="X48" s="38" t="s">
        <v>79</v>
      </c>
      <c r="Y48" s="38" t="s">
        <v>173</v>
      </c>
      <c r="Z48" s="38" t="s">
        <v>79</v>
      </c>
      <c r="AA48" s="38" t="s">
        <v>112</v>
      </c>
      <c r="AB48" s="38" t="s">
        <v>91</v>
      </c>
      <c r="AC48" s="38" t="s">
        <v>79</v>
      </c>
      <c r="AD48" s="38" t="s">
        <v>82</v>
      </c>
      <c r="AE48" s="38" t="s">
        <v>83</v>
      </c>
      <c r="AF48" s="38" t="s">
        <v>84</v>
      </c>
      <c r="AG48" s="38" t="s">
        <v>85</v>
      </c>
      <c r="AH48" s="38" t="s">
        <v>79</v>
      </c>
      <c r="AI48" s="38" t="s">
        <v>79</v>
      </c>
      <c r="AJ48" s="38" t="s">
        <v>79</v>
      </c>
      <c r="AK48" s="38" t="s">
        <v>79</v>
      </c>
      <c r="AL48" s="38" t="s">
        <v>79</v>
      </c>
      <c r="AM48" t="str">
        <f>VLOOKUP($R48,武学奇术!$A:$ZZ,25,FALSE)</f>
        <v>拳甲</v>
      </c>
      <c r="AN48" s="24">
        <f>VLOOKUP($R48,武学奇术!$A:$ZZ,26,FALSE)</f>
        <v>2.638944</v>
      </c>
      <c r="AO48" s="25">
        <f>VLOOKUP($R48,武学奇术!$A:$ZZ,27,FALSE)*(1+IF(OR($AM48=$F$4,$AM48=$F$5),$B$22,0))</f>
        <v>0</v>
      </c>
      <c r="AP48" s="24">
        <f>VLOOKUP($R48,武学奇术!$A:$ZZ,28,FALSE)</f>
        <v>3.958416</v>
      </c>
      <c r="AQ48" s="25">
        <f>VLOOKUP($R48,武学奇术!$A:$ZZ,29,FALSE)*(1+IF(OR($AM48=$F$4,$AM48=$F$5),$B$22,0))</f>
        <v>0</v>
      </c>
      <c r="AR48" s="24" cm="1">
        <f t="array" ref="AR48">$G$3+IFERROR(VLOOKUP($AM48,$F$4:$G$7,2,FALSE),0)+VLOOKUP($R48,武学奇术!$A:$ZZ,2,FALSE)+SUM(_xlfn.XLOOKUP($S48:$AL48,增益!$A:$A,增益!$B:$B,0))</f>
        <v>0.8541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3901.102</v>
      </c>
      <c r="AU48" cm="1">
        <f t="array" ref="AU48">$E$10*(1+$AS48)+VLOOKUP($R48,武学奇术!$A:$ZZ,4,FALSE)+SUM(_xlfn.XLOOKUP($S48:$AL48,增益!$A:$A,增益!$D:$D,0))-$I$2</f>
        <v>3901.102</v>
      </c>
      <c r="AV48" s="30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0.347</v>
      </c>
      <c r="AW48" s="30" cm="1">
        <f t="array" ref="AW48">$G$10+VLOOKUP($R48,武学奇术!$A:$ZZ,7,FALSE)+SUM(_xlfn.XLOOKUP($S48:$AL48,增益!$A:$A,增益!$G:$G,0))</f>
        <v>0.09</v>
      </c>
      <c r="AX48" s="24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0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0" cm="1">
        <f t="array" ref="BB48">$G$11+VLOOKUP($R48,武学奇术!$A:$ZZ,10,FALSE)+SUM(_xlfn.XLOOKUP($S48:$AL48,增益!$A:$A,增益!$J:$J,0))</f>
        <v>0</v>
      </c>
      <c r="BC48">
        <f t="shared" si="14"/>
        <v>0</v>
      </c>
      <c r="BD48">
        <f t="shared" si="15"/>
        <v>0</v>
      </c>
      <c r="BE48" s="30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0" cm="1">
        <f t="array" ref="BF48">$G$12+VLOOKUP($R48,武学奇术!$A:$ZZ,12,FALSE)+SUM(_xlfn.XLOOKUP($S48:$AL48,增益!$A:$A,增益!$L:$L,0))</f>
        <v>0</v>
      </c>
      <c r="BG48">
        <f t="shared" si="16"/>
        <v>0</v>
      </c>
      <c r="BH48">
        <f t="shared" si="17"/>
        <v>0</v>
      </c>
      <c r="BI48" s="30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0" cm="1">
        <f t="array" ref="BJ48">$G$13+VLOOKUP($R48,武学奇术!$A:$ZZ,14,FALSE)+SUM(_xlfn.XLOOKUP($S48:$AL48,增益!$A:$A,增益!$N:$N,0))</f>
        <v>0</v>
      </c>
      <c r="BK48">
        <f t="shared" si="18"/>
        <v>605.472</v>
      </c>
      <c r="BL48">
        <f t="shared" si="19"/>
        <v>1725.468</v>
      </c>
      <c r="BM48" s="30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0" cm="1">
        <f t="array" ref="BN48">$G$14+VLOOKUP($R48,武学奇术!$A:$ZZ,16,FALSE)+SUM(_xlfn.XLOOKUP($S48:$AL48,增益!$A:$A,增益!$P:$P,0))</f>
        <v>0.24</v>
      </c>
      <c r="BO48" s="24">
        <f>MIN(IF(VLOOKUP($R48,武学奇术!$A:$ZZ,23,FALSE)=1,100%,$B$8),100%)</f>
        <v>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0.9036</v>
      </c>
      <c r="BQ48" s="24" cm="1">
        <f t="array" ref="BQ48">1+$B$13+VLOOKUP($R48,武学奇术!$A:$ZZ,18,FALSE)+SUM(_xlfn.XLOOKUP($S48:$AL48,增益!$A:$A,增益!$R:$R,0))</f>
        <v>1.94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4" cm="1">
        <f t="array" ref="BS48">1+$B$14+VLOOKUP($R48,武学奇术!$A:$ZZ,20,FALSE)+SUM(_xlfn.XLOOKUP($S48:$AL48,增益!$A:$A,增益!$T:$T,0))</f>
        <v>1.35</v>
      </c>
      <c r="BT48" s="24">
        <f t="shared" si="20"/>
        <v>0.9036</v>
      </c>
      <c r="BU48" s="24">
        <f t="shared" si="21"/>
        <v>0.00350000000000006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0.11</v>
      </c>
      <c r="BX48" s="24" cm="1">
        <f t="array" ref="BX48">SUM(_xlfn.XLOOKUP($S48:$AL48,增益!$A:$A,增益!$X:$X,0))</f>
        <v>0</v>
      </c>
    </row>
    <row r="49" spans="1:76">
      <c r="A49" s="4" t="s">
        <v>177</v>
      </c>
      <c r="B49" s="91">
        <v>1.16</v>
      </c>
      <c r="K49">
        <f>$L49*VLOOKUP($R49,武学奇术!$A:$ZZ,31,FALSE)</f>
        <v>127409.128846133</v>
      </c>
      <c r="L49" s="36">
        <f t="shared" si="11"/>
        <v>127409.128846133</v>
      </c>
      <c r="M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$21,0))*(1+$BW49)</f>
        <v>128422.58126689</v>
      </c>
      <c r="N49" s="36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</f>
        <v>119401.634353058</v>
      </c>
      <c r="O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$21,0))*(1+$BW49)</f>
        <v>78306.4519920062</v>
      </c>
      <c r="P49" s="36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</f>
        <v>68167.248907673</v>
      </c>
      <c r="Q49" s="70">
        <v>1</v>
      </c>
      <c r="R49" s="38" t="s">
        <v>186</v>
      </c>
      <c r="S49" s="38" t="s">
        <v>104</v>
      </c>
      <c r="T49" s="38" t="s">
        <v>79</v>
      </c>
      <c r="U49" s="38" t="s">
        <v>79</v>
      </c>
      <c r="V49" s="38" t="s">
        <v>79</v>
      </c>
      <c r="W49" s="38" t="s">
        <v>79</v>
      </c>
      <c r="X49" s="38" t="s">
        <v>79</v>
      </c>
      <c r="Y49" s="38" t="s">
        <v>173</v>
      </c>
      <c r="Z49" s="38" t="s">
        <v>79</v>
      </c>
      <c r="AA49" s="38" t="s">
        <v>112</v>
      </c>
      <c r="AB49" s="38" t="s">
        <v>91</v>
      </c>
      <c r="AC49" s="38" t="s">
        <v>79</v>
      </c>
      <c r="AD49" s="38" t="s">
        <v>82</v>
      </c>
      <c r="AE49" s="38" t="s">
        <v>83</v>
      </c>
      <c r="AF49" s="38" t="s">
        <v>84</v>
      </c>
      <c r="AG49" s="38" t="s">
        <v>85</v>
      </c>
      <c r="AH49" s="38" t="s">
        <v>79</v>
      </c>
      <c r="AI49" s="38" t="s">
        <v>79</v>
      </c>
      <c r="AJ49" s="38" t="s">
        <v>79</v>
      </c>
      <c r="AK49" s="38" t="s">
        <v>79</v>
      </c>
      <c r="AL49" s="38" t="s">
        <v>79</v>
      </c>
      <c r="AM49" t="str">
        <f>VLOOKUP($R49,武学奇术!$A:$ZZ,25,FALSE)</f>
        <v>单体奇术</v>
      </c>
      <c r="AN49" s="24">
        <f>VLOOKUP($R49,武学奇术!$A:$ZZ,26,FALSE)</f>
        <v>7.1084</v>
      </c>
      <c r="AO49" s="25">
        <f>VLOOKUP($R49,武学奇术!$A:$ZZ,27,FALSE)*(1+IF(OR($AM49=$F$4,$AM49=$F$5),$B$22,0))</f>
        <v>1369</v>
      </c>
      <c r="AP49" s="24">
        <f>VLOOKUP($R49,武学奇术!$A:$ZZ,28,FALSE)</f>
        <v>10.6626</v>
      </c>
      <c r="AQ49" s="25">
        <f>VLOOKUP($R49,武学奇术!$A:$ZZ,29,FALSE)*(1+IF(OR($AM49=$F$4,$AM49=$F$5),$B$22,0))</f>
        <v>0</v>
      </c>
      <c r="AR49" s="24" cm="1">
        <f t="array" ref="AR49">$G$3+IFERROR(VLOOKUP($AM49,$F$4:$G$7,2,FALSE),0)+VLOOKUP($R49,武学奇术!$A:$ZZ,2,FALSE)+SUM(_xlfn.XLOOKUP($S49:$AL49,增益!$A:$A,增益!$B:$B,0))</f>
        <v>0.2337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3901.102</v>
      </c>
      <c r="AU49" cm="1">
        <f t="array" ref="AU49">$E$10*(1+$AS49)+VLOOKUP($R49,武学奇术!$A:$ZZ,4,FALSE)+SUM(_xlfn.XLOOKUP($S49:$AL49,增益!$A:$A,增益!$D:$D,0))-$I$2</f>
        <v>3901.102</v>
      </c>
      <c r="AV49" s="30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0.317</v>
      </c>
      <c r="AW49" s="30" cm="1">
        <f t="array" ref="AW49">$G$10+VLOOKUP($R49,武学奇术!$A:$ZZ,7,FALSE)+SUM(_xlfn.XLOOKUP($S49:$AL49,增益!$A:$A,增益!$G:$G,0))</f>
        <v>0.09</v>
      </c>
      <c r="AX49" s="24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0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0" cm="1">
        <f t="array" ref="BB49">$G$11+VLOOKUP($R49,武学奇术!$A:$ZZ,10,FALSE)+SUM(_xlfn.XLOOKUP($S49:$AL49,增益!$A:$A,增益!$J:$J,0))</f>
        <v>0</v>
      </c>
      <c r="BC49">
        <f t="shared" si="14"/>
        <v>0</v>
      </c>
      <c r="BD49">
        <f t="shared" si="15"/>
        <v>0</v>
      </c>
      <c r="BE49" s="30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0" cm="1">
        <f t="array" ref="BF49">$G$12+VLOOKUP($R49,武学奇术!$A:$ZZ,12,FALSE)+SUM(_xlfn.XLOOKUP($S49:$AL49,增益!$A:$A,增益!$L:$L,0))</f>
        <v>0</v>
      </c>
      <c r="BG49">
        <f t="shared" si="16"/>
        <v>0</v>
      </c>
      <c r="BH49">
        <f t="shared" si="17"/>
        <v>0</v>
      </c>
      <c r="BI49" s="30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0" cm="1">
        <f t="array" ref="BJ49">$G$13+VLOOKUP($R49,武学奇术!$A:$ZZ,14,FALSE)+SUM(_xlfn.XLOOKUP($S49:$AL49,增益!$A:$A,增益!$N:$N,0))</f>
        <v>0</v>
      </c>
      <c r="BK49">
        <f t="shared" si="18"/>
        <v>605.472</v>
      </c>
      <c r="BL49">
        <f t="shared" si="19"/>
        <v>1725.468</v>
      </c>
      <c r="BM49" s="30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0" cm="1">
        <f t="array" ref="BN49">$G$14+VLOOKUP($R49,武学奇术!$A:$ZZ,16,FALSE)+SUM(_xlfn.XLOOKUP($S49:$AL49,增益!$A:$A,增益!$P:$P,0))</f>
        <v>0.24</v>
      </c>
      <c r="BO49" s="24">
        <f>MIN(IF(VLOOKUP($R49,武学奇术!$A:$ZZ,23,FALSE)=1,100%,$B$8),100%)</f>
        <v>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0.9036</v>
      </c>
      <c r="BQ49" s="24" cm="1">
        <f t="array" ref="BQ49">1+$B$13+VLOOKUP($R49,武学奇术!$A:$ZZ,18,FALSE)+SUM(_xlfn.XLOOKUP($S49:$AL49,增益!$A:$A,增益!$R:$R,0))</f>
        <v>1.64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4" cm="1">
        <f t="array" ref="BS49">1+$B$14+VLOOKUP($R49,武学奇术!$A:$ZZ,20,FALSE)+SUM(_xlfn.XLOOKUP($S49:$AL49,增益!$A:$A,增益!$T:$T,0))</f>
        <v>1.35</v>
      </c>
      <c r="BT49" s="24">
        <f t="shared" si="20"/>
        <v>0.9036</v>
      </c>
      <c r="BU49" s="24">
        <f t="shared" si="21"/>
        <v>0.00350000000000006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 cm="1">
        <f t="array" ref="BX49">SUM(_xlfn.XLOOKUP($S49:$AL49,增益!$A:$A,增益!$X:$X,0))</f>
        <v>0</v>
      </c>
    </row>
    <row r="50" spans="1:76">
      <c r="A50" t="s">
        <v>169</v>
      </c>
      <c r="B50">
        <v>0.1</v>
      </c>
      <c r="K50">
        <f>$L50*VLOOKUP($R50,武学奇术!$A:$ZZ,31,FALSE)</f>
        <v>271099.818642699</v>
      </c>
      <c r="L50" s="36">
        <f t="shared" si="11"/>
        <v>271099.818642699</v>
      </c>
      <c r="M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$21,0))*(1+$BW50)</f>
        <v>276543.772330775</v>
      </c>
      <c r="N50" s="36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</f>
        <v>222849.815583441</v>
      </c>
      <c r="O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$21,0))*(1+$BW50)</f>
        <v>146319.456259669</v>
      </c>
      <c r="P50" s="36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</f>
        <v>127564.975050123</v>
      </c>
      <c r="Q50" s="70">
        <v>1</v>
      </c>
      <c r="R50" s="38" t="s">
        <v>187</v>
      </c>
      <c r="S50" s="38" t="s">
        <v>104</v>
      </c>
      <c r="T50" s="38" t="s">
        <v>139</v>
      </c>
      <c r="U50" s="38" t="s">
        <v>79</v>
      </c>
      <c r="V50" s="38" t="s">
        <v>79</v>
      </c>
      <c r="W50" s="38" t="s">
        <v>188</v>
      </c>
      <c r="X50" s="38" t="s">
        <v>189</v>
      </c>
      <c r="Y50" s="38" t="s">
        <v>173</v>
      </c>
      <c r="Z50" s="38" t="s">
        <v>90</v>
      </c>
      <c r="AA50" s="38" t="s">
        <v>79</v>
      </c>
      <c r="AB50" s="38" t="s">
        <v>91</v>
      </c>
      <c r="AC50" s="38" t="s">
        <v>79</v>
      </c>
      <c r="AD50" s="38" t="s">
        <v>82</v>
      </c>
      <c r="AE50" s="38" t="s">
        <v>83</v>
      </c>
      <c r="AF50" s="38" t="s">
        <v>84</v>
      </c>
      <c r="AG50" s="38" t="s">
        <v>85</v>
      </c>
      <c r="AH50" s="38" t="s">
        <v>79</v>
      </c>
      <c r="AI50" s="38" t="s">
        <v>79</v>
      </c>
      <c r="AJ50" s="38" t="s">
        <v>79</v>
      </c>
      <c r="AK50" s="38" t="s">
        <v>79</v>
      </c>
      <c r="AL50" s="38" t="s">
        <v>79</v>
      </c>
      <c r="AM50" t="str">
        <f>VLOOKUP($R50,武学奇术!$A:$ZZ,25,FALSE)</f>
        <v>群体奇术</v>
      </c>
      <c r="AN50" s="24">
        <f>VLOOKUP($R50,武学奇术!$A:$ZZ,26,FALSE)</f>
        <v>10.315755</v>
      </c>
      <c r="AO50" s="25">
        <f>VLOOKUP($R50,武学奇术!$A:$ZZ,27,FALSE)*(1+IF(OR($AM50=$F$4,$AM50=$F$5),$B$22,0))</f>
        <v>1992.6</v>
      </c>
      <c r="AP50" s="24">
        <f>VLOOKUP($R50,武学奇术!$A:$ZZ,28,FALSE)</f>
        <v>15.4736325</v>
      </c>
      <c r="AQ50" s="25">
        <f>VLOOKUP($R50,武学奇术!$A:$ZZ,29,FALSE)*(1+IF(OR($AM50=$F$4,$AM50=$F$5),$B$22,0))</f>
        <v>0</v>
      </c>
      <c r="AR50" s="24" cm="1">
        <f t="array" ref="AR50">$G$3+IFERROR(VLOOKUP($AM50,$F$4:$G$7,2,FALSE),0)+VLOOKUP($R50,武学奇术!$A:$ZZ,2,FALSE)+SUM(_xlfn.XLOOKUP($S50:$AL50,增益!$A:$A,增益!$B:$B,0))</f>
        <v>0.2337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3901.102</v>
      </c>
      <c r="AU50" cm="1">
        <f t="array" ref="AU50">$E$10*(1+$AS50)+VLOOKUP($R50,武学奇术!$A:$ZZ,4,FALSE)+SUM(_xlfn.XLOOKUP($S50:$AL50,增益!$A:$A,增益!$D:$D,0))-$I$2</f>
        <v>3901.102</v>
      </c>
      <c r="AV50" s="30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0.442</v>
      </c>
      <c r="AW50" s="30" cm="1">
        <f t="array" ref="AW50">$G$10+VLOOKUP($R50,武学奇术!$A:$ZZ,7,FALSE)+SUM(_xlfn.XLOOKUP($S50:$AL50,增益!$A:$A,增益!$G:$G,0))</f>
        <v>0.09</v>
      </c>
      <c r="AX50" s="24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0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-0.14</v>
      </c>
      <c r="BB50" s="30" cm="1">
        <f t="array" ref="BB50">$G$11+VLOOKUP($R50,武学奇术!$A:$ZZ,10,FALSE)+SUM(_xlfn.XLOOKUP($S50:$AL50,增益!$A:$A,增益!$J:$J,0))</f>
        <v>0.1</v>
      </c>
      <c r="BC50">
        <f t="shared" si="14"/>
        <v>0</v>
      </c>
      <c r="BD50">
        <f t="shared" si="15"/>
        <v>0</v>
      </c>
      <c r="BE50" s="30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-0.14</v>
      </c>
      <c r="BF50" s="30" cm="1">
        <f t="array" ref="BF50">$G$12+VLOOKUP($R50,武学奇术!$A:$ZZ,12,FALSE)+SUM(_xlfn.XLOOKUP($S50:$AL50,增益!$A:$A,增益!$L:$L,0))</f>
        <v>0</v>
      </c>
      <c r="BG50">
        <f t="shared" si="16"/>
        <v>0</v>
      </c>
      <c r="BH50">
        <f t="shared" si="17"/>
        <v>0</v>
      </c>
      <c r="BI50" s="30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-0.14</v>
      </c>
      <c r="BJ50" s="30" cm="1">
        <f t="array" ref="BJ50">$G$13+VLOOKUP($R50,武学奇术!$A:$ZZ,14,FALSE)+SUM(_xlfn.XLOOKUP($S50:$AL50,增益!$A:$A,增益!$N:$N,0))</f>
        <v>0</v>
      </c>
      <c r="BK50">
        <f t="shared" si="18"/>
        <v>605.472</v>
      </c>
      <c r="BL50">
        <f t="shared" si="19"/>
        <v>1725.468</v>
      </c>
      <c r="BM50" s="30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0.08</v>
      </c>
      <c r="BN50" s="30" cm="1">
        <f t="array" ref="BN50">$G$14+VLOOKUP($R50,武学奇术!$A:$ZZ,16,FALSE)+SUM(_xlfn.XLOOKUP($S50:$AL50,增益!$A:$A,增益!$P:$P,0))</f>
        <v>0.24</v>
      </c>
      <c r="BO50" s="24">
        <f>MIN(IF(VLOOKUP($R50,武学奇术!$A:$ZZ,23,FALSE)=1,100%,$B$8),100%)</f>
        <v>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0.9036</v>
      </c>
      <c r="BQ50" s="24" cm="1">
        <f t="array" ref="BQ50">1+$B$13+VLOOKUP($R50,武学奇术!$A:$ZZ,18,FALSE)+SUM(_xlfn.XLOOKUP($S50:$AL50,增益!$A:$A,增益!$R:$R,0))</f>
        <v>1.89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4" cm="1">
        <f t="array" ref="BS50">1+$B$14+VLOOKUP($R50,武学奇术!$A:$ZZ,20,FALSE)+SUM(_xlfn.XLOOKUP($S50:$AL50,增益!$A:$A,增益!$T:$T,0))</f>
        <v>1.35</v>
      </c>
      <c r="BT50" s="24">
        <f t="shared" si="20"/>
        <v>0.9036</v>
      </c>
      <c r="BU50" s="24">
        <f t="shared" si="21"/>
        <v>0.00350000000000006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0.31</v>
      </c>
      <c r="BX50" s="24" cm="1">
        <f t="array" ref="BX50">SUM(_xlfn.XLOOKUP($S50:$AL50,增益!$A:$A,增益!$X:$X,0))</f>
        <v>0</v>
      </c>
    </row>
    <row r="51" spans="1:76">
      <c r="A51" s="4" t="s">
        <v>172</v>
      </c>
      <c r="B51" s="4">
        <v>0.9</v>
      </c>
      <c r="K51">
        <f>$L51*VLOOKUP($R51,武学奇术!$A:$ZZ,31,FALSE)</f>
        <v>978152.672298214</v>
      </c>
      <c r="L51" s="36">
        <f t="shared" si="11"/>
        <v>1157577.12698013</v>
      </c>
      <c r="M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$21,0))*(1+$BW51)</f>
        <v>1159938.25652742</v>
      </c>
      <c r="N51" s="36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</f>
        <v>732513.697838299</v>
      </c>
      <c r="O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$21,0))*(1+$BW51)</f>
        <v>485329.814446618</v>
      </c>
      <c r="P51" s="36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</f>
        <v>428056.889753756</v>
      </c>
      <c r="Q51" s="70">
        <v>1</v>
      </c>
      <c r="R51" s="38" t="s">
        <v>138</v>
      </c>
      <c r="S51" s="38" t="s">
        <v>104</v>
      </c>
      <c r="T51" s="38" t="s">
        <v>139</v>
      </c>
      <c r="U51" s="38" t="s">
        <v>79</v>
      </c>
      <c r="V51" s="38" t="s">
        <v>79</v>
      </c>
      <c r="W51" s="38" t="s">
        <v>188</v>
      </c>
      <c r="X51" s="38" t="s">
        <v>189</v>
      </c>
      <c r="Y51" s="38" t="s">
        <v>173</v>
      </c>
      <c r="Z51" s="38" t="s">
        <v>90</v>
      </c>
      <c r="AA51" s="38" t="s">
        <v>112</v>
      </c>
      <c r="AB51" s="38" t="s">
        <v>97</v>
      </c>
      <c r="AC51" s="38" t="s">
        <v>79</v>
      </c>
      <c r="AD51" s="38" t="s">
        <v>82</v>
      </c>
      <c r="AE51" s="38" t="s">
        <v>83</v>
      </c>
      <c r="AF51" s="38" t="s">
        <v>84</v>
      </c>
      <c r="AG51" s="38" t="s">
        <v>85</v>
      </c>
      <c r="AH51" s="38" t="s">
        <v>79</v>
      </c>
      <c r="AI51" s="38" t="s">
        <v>79</v>
      </c>
      <c r="AJ51" s="38" t="s">
        <v>79</v>
      </c>
      <c r="AK51" s="38" t="s">
        <v>79</v>
      </c>
      <c r="AL51" s="38" t="s">
        <v>79</v>
      </c>
      <c r="AM51" t="str">
        <f>VLOOKUP($R51,武学奇术!$A:$ZZ,25,FALSE)</f>
        <v>拳甲</v>
      </c>
      <c r="AN51" s="24">
        <f>VLOOKUP($R51,武学奇术!$A:$ZZ,26,FALSE)</f>
        <v>16.8107</v>
      </c>
      <c r="AO51" s="25">
        <f>VLOOKUP($R51,武学奇术!$A:$ZZ,27,FALSE)*(1+IF(OR($AM51=$F$4,$AM51=$F$5),$B$22,0))</f>
        <v>6970.5</v>
      </c>
      <c r="AP51" s="24">
        <f>VLOOKUP($R51,武学奇术!$A:$ZZ,28,FALSE)</f>
        <v>25.2161</v>
      </c>
      <c r="AQ51" s="25">
        <f>VLOOKUP($R51,武学奇术!$A:$ZZ,29,FALSE)*(1+IF(OR($AM51=$F$4,$AM51=$F$5),$B$22,0))</f>
        <v>3799.5</v>
      </c>
      <c r="AR51" s="24" cm="1">
        <f t="array" ref="AR51">$G$3+IFERROR(VLOOKUP($AM51,$F$4:$G$7,2,FALSE),0)+VLOOKUP($R51,武学奇术!$A:$ZZ,2,FALSE)+SUM(_xlfn.XLOOKUP($S51:$AL51,增益!$A:$A,增益!$B:$B,0))</f>
        <v>0.7041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3901.102</v>
      </c>
      <c r="AU51" cm="1">
        <f t="array" ref="AU51">$E$10*(1+$AS51)+VLOOKUP($R51,武学奇术!$A:$ZZ,4,FALSE)+SUM(_xlfn.XLOOKUP($S51:$AL51,增益!$A:$A,增益!$D:$D,0))-$I$2</f>
        <v>3901.102</v>
      </c>
      <c r="AV51" s="30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0.472</v>
      </c>
      <c r="AW51" s="30" cm="1">
        <f t="array" ref="AW51">$G$10+VLOOKUP($R51,武学奇术!$A:$ZZ,7,FALSE)+SUM(_xlfn.XLOOKUP($S51:$AL51,增益!$A:$A,增益!$G:$G,0))</f>
        <v>0.09</v>
      </c>
      <c r="AX51" s="24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0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-0.08</v>
      </c>
      <c r="BB51" s="30" cm="1">
        <f t="array" ref="BB51">$G$11+VLOOKUP($R51,武学奇术!$A:$ZZ,10,FALSE)+SUM(_xlfn.XLOOKUP($S51:$AL51,增益!$A:$A,增益!$J:$J,0))</f>
        <v>0.1</v>
      </c>
      <c r="BC51">
        <f t="shared" si="14"/>
        <v>0</v>
      </c>
      <c r="BD51">
        <f t="shared" si="15"/>
        <v>0</v>
      </c>
      <c r="BE51" s="30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-0.08</v>
      </c>
      <c r="BF51" s="30" cm="1">
        <f t="array" ref="BF51">$G$12+VLOOKUP($R51,武学奇术!$A:$ZZ,12,FALSE)+SUM(_xlfn.XLOOKUP($S51:$AL51,增益!$A:$A,增益!$L:$L,0))</f>
        <v>0</v>
      </c>
      <c r="BG51">
        <f t="shared" si="16"/>
        <v>0</v>
      </c>
      <c r="BH51">
        <f t="shared" si="17"/>
        <v>0</v>
      </c>
      <c r="BI51" s="30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-0.08</v>
      </c>
      <c r="BJ51" s="30" cm="1">
        <f t="array" ref="BJ51">$G$13+VLOOKUP($R51,武学奇术!$A:$ZZ,14,FALSE)+SUM(_xlfn.XLOOKUP($S51:$AL51,增益!$A:$A,增益!$N:$N,0))</f>
        <v>0</v>
      </c>
      <c r="BK51">
        <f t="shared" si="18"/>
        <v>605.472</v>
      </c>
      <c r="BL51">
        <f t="shared" si="19"/>
        <v>1725.468</v>
      </c>
      <c r="BM51" s="30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0.11</v>
      </c>
      <c r="BN51" s="30" cm="1">
        <f t="array" ref="BN51">$G$14+VLOOKUP($R51,武学奇术!$A:$ZZ,16,FALSE)+SUM(_xlfn.XLOOKUP($S51:$AL51,增益!$A:$A,增益!$P:$P,0))</f>
        <v>0.24</v>
      </c>
      <c r="BO51" s="24">
        <f>MIN(IF(VLOOKUP($R51,武学奇术!$A:$ZZ,23,FALSE)=1,100%,$B$8),100%)</f>
        <v>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0.9965</v>
      </c>
      <c r="BQ51" s="24" cm="1">
        <f t="array" ref="BQ51">1+$B$13+VLOOKUP($R51,武学奇术!$A:$ZZ,18,FALSE)+SUM(_xlfn.XLOOKUP($S51:$AL51,增益!$A:$A,增益!$R:$R,0))</f>
        <v>2.39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</v>
      </c>
      <c r="BS51" s="24" cm="1">
        <f t="array" ref="BS51">1+$B$14+VLOOKUP($R51,武学奇术!$A:$ZZ,20,FALSE)+SUM(_xlfn.XLOOKUP($S51:$AL51,增益!$A:$A,增益!$T:$T,0))</f>
        <v>1.35</v>
      </c>
      <c r="BT51" s="24">
        <f t="shared" si="20"/>
        <v>0.9965</v>
      </c>
      <c r="BU51" s="24">
        <f t="shared" si="21"/>
        <v>0.00350000000000006</v>
      </c>
      <c r="BV51" s="24">
        <f>IF(VLOOKUP($R51,武学奇术!$A:$ZZ,22,FALSE)=1,0,(1-$BO51))*(1-$BR51)</f>
        <v>0</v>
      </c>
      <c r="BW51" s="24" cm="1">
        <f t="array" ref="BW51">SUM(_xlfn.XLOOKUP($S51:$AL51,增益!$A:$A,增益!$W:$W,0))+$I$5</f>
        <v>0.31</v>
      </c>
      <c r="BX51" s="24" cm="1">
        <f t="array" ref="BX51">SUM(_xlfn.XLOOKUP($S51:$AL51,增益!$A:$A,增益!$X:$X,0))</f>
        <v>0</v>
      </c>
    </row>
    <row r="52" spans="1:76">
      <c r="A52" t="s">
        <v>190</v>
      </c>
      <c r="B52">
        <v>1.7</v>
      </c>
      <c r="G52" s="4"/>
      <c r="H52" s="4"/>
      <c r="K52">
        <f>$L52*VLOOKUP($R52,武学奇术!$A:$ZZ,31,FALSE)</f>
        <v>231515.425396027</v>
      </c>
      <c r="L52" s="87">
        <f>L51*0.4*(1+BX52)</f>
        <v>463030.850792054</v>
      </c>
      <c r="M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$21,0))*(1+$BW52)</f>
        <v>0</v>
      </c>
      <c r="N52" s="36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</f>
        <v>0</v>
      </c>
      <c r="O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$21,0))*(1+$BW52)</f>
        <v>0</v>
      </c>
      <c r="P52" s="36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</f>
        <v>0</v>
      </c>
      <c r="Q52" s="70">
        <v>1</v>
      </c>
      <c r="R52" s="38" t="s">
        <v>145</v>
      </c>
      <c r="S52" s="38" t="s">
        <v>146</v>
      </c>
      <c r="T52" s="38" t="s">
        <v>79</v>
      </c>
      <c r="U52" s="38" t="s">
        <v>79</v>
      </c>
      <c r="V52" s="38" t="s">
        <v>79</v>
      </c>
      <c r="W52" s="38" t="s">
        <v>79</v>
      </c>
      <c r="X52" s="38" t="s">
        <v>79</v>
      </c>
      <c r="Y52" s="38" t="s">
        <v>79</v>
      </c>
      <c r="Z52" s="38" t="s">
        <v>79</v>
      </c>
      <c r="AA52" s="38" t="s">
        <v>79</v>
      </c>
      <c r="AB52" s="38" t="s">
        <v>79</v>
      </c>
      <c r="AC52" s="38" t="s">
        <v>79</v>
      </c>
      <c r="AD52" s="38" t="s">
        <v>82</v>
      </c>
      <c r="AE52" s="38" t="s">
        <v>83</v>
      </c>
      <c r="AF52" s="38" t="s">
        <v>84</v>
      </c>
      <c r="AG52" s="38" t="s">
        <v>85</v>
      </c>
      <c r="AH52" s="38" t="s">
        <v>79</v>
      </c>
      <c r="AI52" s="38" t="s">
        <v>79</v>
      </c>
      <c r="AJ52" s="38" t="s">
        <v>79</v>
      </c>
      <c r="AK52" s="38" t="s">
        <v>79</v>
      </c>
      <c r="AL52" s="38" t="s">
        <v>79</v>
      </c>
      <c r="AM52" t="str">
        <f>VLOOKUP($R52,武学奇术!$A:$ZZ,25,FALSE)</f>
        <v>拳甲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0.3541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3901.102</v>
      </c>
      <c r="AU52" cm="1">
        <f t="array" ref="AU52">$E$10*(1+$AS52)+VLOOKUP($R52,武学奇术!$A:$ZZ,4,FALSE)+SUM(_xlfn.XLOOKUP($S52:$AL52,增益!$A:$A,增益!$D:$D,0))-$I$2</f>
        <v>3901.102</v>
      </c>
      <c r="AV52" s="30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0.267</v>
      </c>
      <c r="AW52" s="30" cm="1">
        <f t="array" ref="AW52">$G$10+VLOOKUP($R52,武学奇术!$A:$ZZ,7,FALSE)+SUM(_xlfn.XLOOKUP($S52:$AL52,增益!$A:$A,增益!$G:$G,0))</f>
        <v>0.09</v>
      </c>
      <c r="AX52" s="24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0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0" cm="1">
        <f t="array" ref="BB52">$G$11+VLOOKUP($R52,武学奇术!$A:$ZZ,10,FALSE)+SUM(_xlfn.XLOOKUP($S52:$AL52,增益!$A:$A,增益!$J:$J,0))</f>
        <v>0</v>
      </c>
      <c r="BC52">
        <f t="shared" si="14"/>
        <v>0</v>
      </c>
      <c r="BD52">
        <f t="shared" si="15"/>
        <v>0</v>
      </c>
      <c r="BE52" s="30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0" cm="1">
        <f t="array" ref="BF52">$G$12+VLOOKUP($R52,武学奇术!$A:$ZZ,12,FALSE)+SUM(_xlfn.XLOOKUP($S52:$AL52,增益!$A:$A,增益!$L:$L,0))</f>
        <v>0</v>
      </c>
      <c r="BG52">
        <f t="shared" si="16"/>
        <v>0</v>
      </c>
      <c r="BH52">
        <f t="shared" si="17"/>
        <v>0</v>
      </c>
      <c r="BI52" s="30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0" cm="1">
        <f t="array" ref="BJ52">$G$13+VLOOKUP($R52,武学奇术!$A:$ZZ,14,FALSE)+SUM(_xlfn.XLOOKUP($S52:$AL52,增益!$A:$A,增益!$N:$N,0))</f>
        <v>0</v>
      </c>
      <c r="BK52">
        <f t="shared" si="18"/>
        <v>605.472</v>
      </c>
      <c r="BL52">
        <f t="shared" si="19"/>
        <v>1725.468</v>
      </c>
      <c r="BM52" s="30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0" cm="1">
        <f t="array" ref="BN52">$G$14+VLOOKUP($R52,武学奇术!$A:$ZZ,16,FALSE)+SUM(_xlfn.XLOOKUP($S52:$AL52,增益!$A:$A,增益!$P:$P,0))</f>
        <v>0.24</v>
      </c>
      <c r="BO52" s="24">
        <f>MIN(IF(VLOOKUP($R52,武学奇术!$A:$ZZ,23,FALSE)=1,100%,$B$8),100%)</f>
        <v>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0.9036</v>
      </c>
      <c r="BQ52" s="24" cm="1">
        <f t="array" ref="BQ52">1+$B$13+VLOOKUP($R52,武学奇术!$A:$ZZ,18,FALSE)+SUM(_xlfn.XLOOKUP($S52:$AL52,增益!$A:$A,增益!$R:$R,0))</f>
        <v>1.54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4" cm="1">
        <f t="array" ref="BS52">1+$B$14+VLOOKUP($R52,武学奇术!$A:$ZZ,20,FALSE)+SUM(_xlfn.XLOOKUP($S52:$AL52,增益!$A:$A,增益!$T:$T,0))</f>
        <v>1.35</v>
      </c>
      <c r="BT52" s="24">
        <f t="shared" si="20"/>
        <v>0.9036</v>
      </c>
      <c r="BU52" s="24">
        <f t="shared" si="21"/>
        <v>0.00350000000000006</v>
      </c>
      <c r="BV52" s="24">
        <f>IF(VLOOKUP($R52,武学奇术!$A:$ZZ,22,FALSE)=1,0,(1-$BO52))*(1-$BR52)</f>
        <v>0</v>
      </c>
      <c r="BW52" s="24" cm="1">
        <f t="array" ref="BW52">SUM(_xlfn.XLOOKUP($S52:$AL52,增益!$A:$A,增益!$W:$W,0))+$I$5</f>
        <v>0.11</v>
      </c>
      <c r="BX52" s="24" cm="1">
        <f t="array" ref="BX52">SUM(_xlfn.XLOOKUP($S52:$AL52,增益!$A:$A,增益!$X:$X,0))</f>
        <v>0</v>
      </c>
    </row>
    <row r="53" spans="1:76">
      <c r="A53" t="s">
        <v>191</v>
      </c>
      <c r="B53">
        <v>0.8</v>
      </c>
      <c r="F53" s="70" t="s">
        <v>175</v>
      </c>
      <c r="K53">
        <f>$L53*VLOOKUP($R53,武学奇术!$A:$ZZ,31,FALSE)</f>
        <v>35895.9605548717</v>
      </c>
      <c r="L53" s="36">
        <f t="shared" si="11"/>
        <v>35895.9605548717</v>
      </c>
      <c r="M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$21,0))*(1+$BW53)</f>
        <v>36643.4007131415</v>
      </c>
      <c r="N53" s="36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</f>
        <v>29247.8527557408</v>
      </c>
      <c r="O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$21,0))*(1+$BW53)</f>
        <v>19388.0427053659</v>
      </c>
      <c r="P53" s="36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</f>
        <v>17111.0092953681</v>
      </c>
      <c r="Q53" s="70">
        <v>1</v>
      </c>
      <c r="R53" s="38" t="s">
        <v>160</v>
      </c>
      <c r="S53" s="38" t="s">
        <v>104</v>
      </c>
      <c r="T53" s="38" t="s">
        <v>139</v>
      </c>
      <c r="U53" s="38" t="s">
        <v>79</v>
      </c>
      <c r="V53" s="38" t="s">
        <v>79</v>
      </c>
      <c r="W53" s="38" t="s">
        <v>188</v>
      </c>
      <c r="X53" s="38" t="s">
        <v>189</v>
      </c>
      <c r="Y53" s="38" t="s">
        <v>173</v>
      </c>
      <c r="Z53" s="38" t="s">
        <v>90</v>
      </c>
      <c r="AA53" s="38" t="s">
        <v>79</v>
      </c>
      <c r="AB53" s="38" t="s">
        <v>97</v>
      </c>
      <c r="AC53" s="38" t="s">
        <v>79</v>
      </c>
      <c r="AD53" s="38" t="s">
        <v>82</v>
      </c>
      <c r="AE53" s="38" t="s">
        <v>83</v>
      </c>
      <c r="AF53" s="38" t="s">
        <v>84</v>
      </c>
      <c r="AG53" s="38" t="s">
        <v>85</v>
      </c>
      <c r="AH53" s="38" t="s">
        <v>79</v>
      </c>
      <c r="AI53" s="38" t="s">
        <v>79</v>
      </c>
      <c r="AJ53" s="38" t="s">
        <v>79</v>
      </c>
      <c r="AK53" s="38" t="s">
        <v>79</v>
      </c>
      <c r="AL53" s="38" t="s">
        <v>79</v>
      </c>
      <c r="AM53" t="str">
        <f>VLOOKUP($R53,武学奇术!$A:$ZZ,25,FALSE)</f>
        <v>拳甲</v>
      </c>
      <c r="AN53" s="24">
        <f>VLOOKUP($R53,武学奇术!$A:$ZZ,26,FALSE)</f>
        <v>1.1005</v>
      </c>
      <c r="AO53" s="25">
        <f>VLOOKUP($R53,武学奇术!$A:$ZZ,27,FALSE)*(1+IF(OR($AM53=$F$4,$AM53=$F$5),$B$22,0))</f>
        <v>457.5</v>
      </c>
      <c r="AP53" s="24">
        <f>VLOOKUP($R53,武学奇术!$A:$ZZ,28,FALSE)</f>
        <v>1.6507</v>
      </c>
      <c r="AQ53" s="25">
        <f>VLOOKUP($R53,武学奇术!$A:$ZZ,29,FALSE)*(1+IF(OR($AM53=$F$4,$AM53=$F$5),$B$22,0))</f>
        <v>247.5</v>
      </c>
      <c r="AR53" s="24" cm="1">
        <f t="array" ref="AR53">$G$3+IFERROR(VLOOKUP($AM53,$F$4:$G$7,2,FALSE),0)+VLOOKUP($R53,武学奇术!$A:$ZZ,2,FALSE)+SUM(_xlfn.XLOOKUP($S53:$AL53,增益!$A:$A,增益!$B:$B,0))</f>
        <v>0.4041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3901.102</v>
      </c>
      <c r="AU53" cm="1">
        <f t="array" ref="AU53">$E$10*(1+$AS53)+VLOOKUP($R53,武学奇术!$A:$ZZ,4,FALSE)+SUM(_xlfn.XLOOKUP($S53:$AL53,增益!$A:$A,增益!$D:$D,0))-$I$2</f>
        <v>3901.102</v>
      </c>
      <c r="AV53" s="30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0.442</v>
      </c>
      <c r="AW53" s="30" cm="1">
        <f t="array" ref="AW53">$G$10+VLOOKUP($R53,武学奇术!$A:$ZZ,7,FALSE)+SUM(_xlfn.XLOOKUP($S53:$AL53,增益!$A:$A,增益!$G:$G,0))</f>
        <v>0.09</v>
      </c>
      <c r="AX53" s="24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0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-0.14</v>
      </c>
      <c r="BB53" s="30" cm="1">
        <f t="array" ref="BB53">$G$11+VLOOKUP($R53,武学奇术!$A:$ZZ,10,FALSE)+SUM(_xlfn.XLOOKUP($S53:$AL53,增益!$A:$A,增益!$J:$J,0))</f>
        <v>0.1</v>
      </c>
      <c r="BC53">
        <f t="shared" si="14"/>
        <v>0</v>
      </c>
      <c r="BD53">
        <f t="shared" si="15"/>
        <v>0</v>
      </c>
      <c r="BE53" s="30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-0.14</v>
      </c>
      <c r="BF53" s="30" cm="1">
        <f t="array" ref="BF53">$G$12+VLOOKUP($R53,武学奇术!$A:$ZZ,12,FALSE)+SUM(_xlfn.XLOOKUP($S53:$AL53,增益!$A:$A,增益!$L:$L,0))</f>
        <v>0</v>
      </c>
      <c r="BG53">
        <f t="shared" si="16"/>
        <v>0</v>
      </c>
      <c r="BH53">
        <f t="shared" si="17"/>
        <v>0</v>
      </c>
      <c r="BI53" s="30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-0.14</v>
      </c>
      <c r="BJ53" s="30" cm="1">
        <f t="array" ref="BJ53">$G$13+VLOOKUP($R53,武学奇术!$A:$ZZ,14,FALSE)+SUM(_xlfn.XLOOKUP($S53:$AL53,增益!$A:$A,增益!$N:$N,0))</f>
        <v>0</v>
      </c>
      <c r="BK53">
        <f t="shared" si="18"/>
        <v>605.472</v>
      </c>
      <c r="BL53">
        <f t="shared" si="19"/>
        <v>1725.468</v>
      </c>
      <c r="BM53" s="30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0.08</v>
      </c>
      <c r="BN53" s="30" cm="1">
        <f t="array" ref="BN53">$G$14+VLOOKUP($R53,武学奇术!$A:$ZZ,16,FALSE)+SUM(_xlfn.XLOOKUP($S53:$AL53,增益!$A:$A,增益!$P:$P,0))</f>
        <v>0.24</v>
      </c>
      <c r="BO53" s="24">
        <f>MIN(IF(VLOOKUP($R53,武学奇术!$A:$ZZ,23,FALSE)=1,100%,$B$8),100%)</f>
        <v>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0.9036</v>
      </c>
      <c r="BQ53" s="24" cm="1">
        <f t="array" ref="BQ53">1+$B$13+VLOOKUP($R53,武学奇术!$A:$ZZ,18,FALSE)+SUM(_xlfn.XLOOKUP($S53:$AL53,增益!$A:$A,增益!$R:$R,0))</f>
        <v>1.89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4" cm="1">
        <f t="array" ref="BS53">1+$B$14+VLOOKUP($R53,武学奇术!$A:$ZZ,20,FALSE)+SUM(_xlfn.XLOOKUP($S53:$AL53,增益!$A:$A,增益!$T:$T,0))</f>
        <v>1.35</v>
      </c>
      <c r="BT53" s="24">
        <f t="shared" si="20"/>
        <v>0.9036</v>
      </c>
      <c r="BU53" s="24">
        <f t="shared" si="21"/>
        <v>0.00350000000000006</v>
      </c>
      <c r="BV53" s="24">
        <f>IF(VLOOKUP($R53,武学奇术!$A:$ZZ,22,FALSE)=1,0,(1-$BO53))*(1-$BR53)</f>
        <v>0</v>
      </c>
      <c r="BW53" s="24" cm="1">
        <f t="array" ref="BW53">SUM(_xlfn.XLOOKUP($S53:$AL53,增益!$A:$A,增益!$W:$W,0))+$I$5</f>
        <v>0.31</v>
      </c>
      <c r="BX53" s="24" cm="1">
        <f t="array" ref="BX53">SUM(_xlfn.XLOOKUP($S53:$AL53,增益!$A:$A,增益!$X:$X,0))</f>
        <v>0</v>
      </c>
    </row>
    <row r="54" spans="1:76">
      <c r="A54" s="4" t="s">
        <v>192</v>
      </c>
      <c r="B54" s="4">
        <v>1</v>
      </c>
      <c r="F54" s="70"/>
      <c r="K54">
        <f>$L54*VLOOKUP($R54,武学奇术!$A:$ZZ,31,FALSE)</f>
        <v>170907.498727854</v>
      </c>
      <c r="L54" s="36">
        <f t="shared" si="11"/>
        <v>131467.306713734</v>
      </c>
      <c r="M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$21,0))*(1+$BW54)</f>
        <v>135720.251325092</v>
      </c>
      <c r="N54" s="36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</f>
        <v>92718.8708840786</v>
      </c>
      <c r="O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$21,0))*(1+$BW54)</f>
        <v>61972.7175000419</v>
      </c>
      <c r="P54" s="36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</f>
        <v>55264.7899007664</v>
      </c>
      <c r="Q54" s="70">
        <v>1</v>
      </c>
      <c r="R54" s="38" t="s">
        <v>119</v>
      </c>
      <c r="S54" s="38" t="s">
        <v>104</v>
      </c>
      <c r="T54" s="38" t="s">
        <v>139</v>
      </c>
      <c r="U54" s="38" t="s">
        <v>79</v>
      </c>
      <c r="V54" s="38" t="s">
        <v>79</v>
      </c>
      <c r="W54" s="38" t="s">
        <v>188</v>
      </c>
      <c r="X54" s="38" t="s">
        <v>189</v>
      </c>
      <c r="Y54" s="38" t="s">
        <v>173</v>
      </c>
      <c r="Z54" s="38" t="s">
        <v>90</v>
      </c>
      <c r="AA54" s="38" t="s">
        <v>79</v>
      </c>
      <c r="AB54" s="38" t="s">
        <v>97</v>
      </c>
      <c r="AC54" s="38" t="s">
        <v>79</v>
      </c>
      <c r="AD54" s="38" t="s">
        <v>82</v>
      </c>
      <c r="AE54" s="38" t="s">
        <v>83</v>
      </c>
      <c r="AF54" s="38" t="s">
        <v>84</v>
      </c>
      <c r="AG54" s="38" t="s">
        <v>85</v>
      </c>
      <c r="AH54" s="38" t="s">
        <v>79</v>
      </c>
      <c r="AI54" s="38" t="s">
        <v>79</v>
      </c>
      <c r="AJ54" s="38" t="s">
        <v>79</v>
      </c>
      <c r="AK54" s="38" t="s">
        <v>79</v>
      </c>
      <c r="AL54" s="38" t="s">
        <v>79</v>
      </c>
      <c r="AM54" t="str">
        <f>VLOOKUP($R54,武学奇术!$A:$ZZ,25,FALSE)</f>
        <v>拳甲</v>
      </c>
      <c r="AN54" s="24">
        <f>VLOOKUP($R54,武学奇术!$A:$ZZ,26,FALSE)</f>
        <v>2.91176</v>
      </c>
      <c r="AO54" s="25">
        <f>VLOOKUP($R54,武学奇术!$A:$ZZ,27,FALSE)*(1+IF(OR($AM54=$F$4,$AM54=$F$5),$B$22,0))</f>
        <v>1208.7</v>
      </c>
      <c r="AP54" s="24">
        <f>VLOOKUP($R54,武学奇术!$A:$ZZ,28,FALSE)</f>
        <v>3.89844</v>
      </c>
      <c r="AQ54" s="25">
        <f>VLOOKUP($R54,武学奇术!$A:$ZZ,29,FALSE)*(1+IF(OR($AM54=$F$4,$AM54=$F$5),$B$22,0))</f>
        <v>650.25</v>
      </c>
      <c r="AR54" s="24" cm="1">
        <f t="array" ref="AR54">$G$3+IFERROR(VLOOKUP($AM54,$F$4:$G$7,2,FALSE),0)+VLOOKUP($R54,武学奇术!$A:$ZZ,2,FALSE)+SUM(_xlfn.XLOOKUP($S54:$AL54,增益!$A:$A,增益!$B:$B,0))</f>
        <v>0.7041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3901.102</v>
      </c>
      <c r="AU54" cm="1">
        <f t="array" ref="AU54">$E$10*(1+$AS54)+VLOOKUP($R54,武学奇术!$A:$ZZ,4,FALSE)+SUM(_xlfn.XLOOKUP($S54:$AL54,增益!$A:$A,增益!$D:$D,0))-$I$2</f>
        <v>3901.102</v>
      </c>
      <c r="AV54" s="30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0.472</v>
      </c>
      <c r="AW54" s="30" cm="1">
        <f t="array" ref="AW54">$G$10+VLOOKUP($R54,武学奇术!$A:$ZZ,7,FALSE)+SUM(_xlfn.XLOOKUP($S54:$AL54,增益!$A:$A,增益!$G:$G,0))</f>
        <v>0.09</v>
      </c>
      <c r="AX54" s="24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0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-0.08</v>
      </c>
      <c r="BB54" s="30" cm="1">
        <f t="array" ref="BB54">$G$11+VLOOKUP($R54,武学奇术!$A:$ZZ,10,FALSE)+SUM(_xlfn.XLOOKUP($S54:$AL54,增益!$A:$A,增益!$J:$J,0))</f>
        <v>0.1</v>
      </c>
      <c r="BC54">
        <f t="shared" si="14"/>
        <v>0</v>
      </c>
      <c r="BD54">
        <f t="shared" si="15"/>
        <v>0</v>
      </c>
      <c r="BE54" s="30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-0.08</v>
      </c>
      <c r="BF54" s="30" cm="1">
        <f t="array" ref="BF54">$G$12+VLOOKUP($R54,武学奇术!$A:$ZZ,12,FALSE)+SUM(_xlfn.XLOOKUP($S54:$AL54,增益!$A:$A,增益!$L:$L,0))</f>
        <v>0</v>
      </c>
      <c r="BG54">
        <f t="shared" si="16"/>
        <v>0</v>
      </c>
      <c r="BH54">
        <f t="shared" si="17"/>
        <v>0</v>
      </c>
      <c r="BI54" s="30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-0.08</v>
      </c>
      <c r="BJ54" s="30" cm="1">
        <f t="array" ref="BJ54">$G$13+VLOOKUP($R54,武学奇术!$A:$ZZ,14,FALSE)+SUM(_xlfn.XLOOKUP($S54:$AL54,增益!$A:$A,增益!$N:$N,0))</f>
        <v>0</v>
      </c>
      <c r="BK54">
        <f t="shared" si="18"/>
        <v>605.472</v>
      </c>
      <c r="BL54">
        <f t="shared" si="19"/>
        <v>1725.468</v>
      </c>
      <c r="BM54" s="30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0.11</v>
      </c>
      <c r="BN54" s="30" cm="1">
        <f t="array" ref="BN54">$G$14+VLOOKUP($R54,武学奇术!$A:$ZZ,16,FALSE)+SUM(_xlfn.XLOOKUP($S54:$AL54,增益!$A:$A,增益!$P:$P,0))</f>
        <v>0.24</v>
      </c>
      <c r="BO54" s="24">
        <f>MIN(IF(VLOOKUP($R54,武学奇术!$A:$ZZ,23,FALSE)=1,100%,$B$8),100%)</f>
        <v>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0.9036</v>
      </c>
      <c r="BQ54" s="24" cm="1">
        <f t="array" ref="BQ54">1+$B$13+VLOOKUP($R54,武学奇术!$A:$ZZ,18,FALSE)+SUM(_xlfn.XLOOKUP($S54:$AL54,增益!$A:$A,增益!$R:$R,0))</f>
        <v>2.19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4" cm="1">
        <f t="array" ref="BS54">1+$B$14+VLOOKUP($R54,武学奇术!$A:$ZZ,20,FALSE)+SUM(_xlfn.XLOOKUP($S54:$AL54,增益!$A:$A,增益!$T:$T,0))</f>
        <v>1.35</v>
      </c>
      <c r="BT54" s="24">
        <f t="shared" si="20"/>
        <v>0.9036</v>
      </c>
      <c r="BU54" s="24">
        <f t="shared" si="21"/>
        <v>0.00350000000000006</v>
      </c>
      <c r="BV54" s="24">
        <f>IF(VLOOKUP($R54,武学奇术!$A:$ZZ,22,FALSE)=1,0,(1-$BO54))*(1-$BR54)</f>
        <v>0</v>
      </c>
      <c r="BW54" s="24" cm="1">
        <f t="array" ref="BW54">SUM(_xlfn.XLOOKUP($S54:$AL54,增益!$A:$A,增益!$W:$W,0))+$I$5</f>
        <v>0.31</v>
      </c>
      <c r="BX54" s="24" cm="1">
        <f t="array" ref="BX54">SUM(_xlfn.XLOOKUP($S54:$AL54,增益!$A:$A,增益!$X:$X,0))</f>
        <v>0</v>
      </c>
    </row>
    <row r="55" spans="1:76">
      <c r="A55" s="4" t="s">
        <v>179</v>
      </c>
      <c r="B55" s="4">
        <v>1</v>
      </c>
      <c r="F55" s="70"/>
      <c r="K55">
        <f>$L55*VLOOKUP($R55,武学奇术!$A:$ZZ,31,FALSE)</f>
        <v>42027.4916953992</v>
      </c>
      <c r="L55" s="36">
        <f t="shared" si="11"/>
        <v>42027.4916953992</v>
      </c>
      <c r="M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$21,0))*(1+$BW55)</f>
        <v>42902.8476373949</v>
      </c>
      <c r="N55" s="36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</f>
        <v>34241.4300581505</v>
      </c>
      <c r="O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$21,0))*(1+$BW55)</f>
        <v>22699.919384865</v>
      </c>
      <c r="P55" s="36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</f>
        <v>20035.8165044333</v>
      </c>
      <c r="Q55" s="70">
        <v>1</v>
      </c>
      <c r="R55" s="38" t="s">
        <v>122</v>
      </c>
      <c r="S55" s="38" t="s">
        <v>104</v>
      </c>
      <c r="T55" s="38" t="s">
        <v>139</v>
      </c>
      <c r="U55" s="38" t="s">
        <v>79</v>
      </c>
      <c r="V55" s="38" t="s">
        <v>79</v>
      </c>
      <c r="W55" s="38" t="s">
        <v>188</v>
      </c>
      <c r="X55" s="38" t="s">
        <v>189</v>
      </c>
      <c r="Y55" s="38" t="s">
        <v>173</v>
      </c>
      <c r="Z55" s="38" t="s">
        <v>90</v>
      </c>
      <c r="AA55" s="38" t="s">
        <v>79</v>
      </c>
      <c r="AB55" s="38" t="s">
        <v>91</v>
      </c>
      <c r="AC55" s="38" t="s">
        <v>79</v>
      </c>
      <c r="AD55" s="38" t="s">
        <v>82</v>
      </c>
      <c r="AE55" s="38" t="s">
        <v>83</v>
      </c>
      <c r="AF55" s="38" t="s">
        <v>84</v>
      </c>
      <c r="AG55" s="38" t="s">
        <v>85</v>
      </c>
      <c r="AH55" s="38" t="s">
        <v>79</v>
      </c>
      <c r="AI55" s="38" t="s">
        <v>79</v>
      </c>
      <c r="AJ55" s="38" t="s">
        <v>79</v>
      </c>
      <c r="AK55" s="38" t="s">
        <v>79</v>
      </c>
      <c r="AL55" s="38" t="s">
        <v>79</v>
      </c>
      <c r="AM55" t="str">
        <f>VLOOKUP($R55,武学奇术!$A:$ZZ,25,FALSE)</f>
        <v>拳甲</v>
      </c>
      <c r="AN55" s="24">
        <f>VLOOKUP($R55,武学奇术!$A:$ZZ,26,FALSE)</f>
        <v>1.2876</v>
      </c>
      <c r="AO55" s="25">
        <f>VLOOKUP($R55,武学奇术!$A:$ZZ,27,FALSE)*(1+IF(OR($AM55=$F$4,$AM55=$F$5),$B$22,0))</f>
        <v>537</v>
      </c>
      <c r="AP55" s="24">
        <f>VLOOKUP($R55,武学奇术!$A:$ZZ,28,FALSE)</f>
        <v>1.9313</v>
      </c>
      <c r="AQ55" s="25">
        <f>VLOOKUP($R55,武学奇术!$A:$ZZ,29,FALSE)*(1+IF(OR($AM55=$F$4,$AM55=$F$5),$B$22,0))</f>
        <v>292.5</v>
      </c>
      <c r="AR55" s="24" cm="1">
        <f t="array" ref="AR55">$G$3+IFERROR(VLOOKUP($AM55,$F$4:$G$7,2,FALSE),0)+VLOOKUP($R55,武学奇术!$A:$ZZ,2,FALSE)+SUM(_xlfn.XLOOKUP($S55:$AL55,增益!$A:$A,增益!$B:$B,0))</f>
        <v>0.4041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3901.102</v>
      </c>
      <c r="AU55" cm="1">
        <f t="array" ref="AU55">$E$10*(1+$AS55)+VLOOKUP($R55,武学奇术!$A:$ZZ,4,FALSE)+SUM(_xlfn.XLOOKUP($S55:$AL55,增益!$A:$A,增益!$D:$D,0))-$I$2</f>
        <v>3901.102</v>
      </c>
      <c r="AV55" s="30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0.442</v>
      </c>
      <c r="AW55" s="30" cm="1">
        <f t="array" ref="AW55">$G$10+VLOOKUP($R55,武学奇术!$A:$ZZ,7,FALSE)+SUM(_xlfn.XLOOKUP($S55:$AL55,增益!$A:$A,增益!$G:$G,0))</f>
        <v>0.09</v>
      </c>
      <c r="AX55" s="24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0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-0.14</v>
      </c>
      <c r="BB55" s="30" cm="1">
        <f t="array" ref="BB55">$G$11+VLOOKUP($R55,武学奇术!$A:$ZZ,10,FALSE)+SUM(_xlfn.XLOOKUP($S55:$AL55,增益!$A:$A,增益!$J:$J,0))</f>
        <v>0.1</v>
      </c>
      <c r="BC55">
        <f t="shared" si="14"/>
        <v>0</v>
      </c>
      <c r="BD55">
        <f t="shared" si="15"/>
        <v>0</v>
      </c>
      <c r="BE55" s="30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-0.14</v>
      </c>
      <c r="BF55" s="30" cm="1">
        <f t="array" ref="BF55">$G$12+VLOOKUP($R55,武学奇术!$A:$ZZ,12,FALSE)+SUM(_xlfn.XLOOKUP($S55:$AL55,增益!$A:$A,增益!$L:$L,0))</f>
        <v>0</v>
      </c>
      <c r="BG55">
        <f t="shared" si="16"/>
        <v>0</v>
      </c>
      <c r="BH55">
        <f t="shared" si="17"/>
        <v>0</v>
      </c>
      <c r="BI55" s="30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-0.14</v>
      </c>
      <c r="BJ55" s="30" cm="1">
        <f t="array" ref="BJ55">$G$13+VLOOKUP($R55,武学奇术!$A:$ZZ,14,FALSE)+SUM(_xlfn.XLOOKUP($S55:$AL55,增益!$A:$A,增益!$N:$N,0))</f>
        <v>0</v>
      </c>
      <c r="BK55">
        <f t="shared" si="18"/>
        <v>605.472</v>
      </c>
      <c r="BL55">
        <f t="shared" si="19"/>
        <v>1725.468</v>
      </c>
      <c r="BM55" s="30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0.08</v>
      </c>
      <c r="BN55" s="30" cm="1">
        <f t="array" ref="BN55">$G$14+VLOOKUP($R55,武学奇术!$A:$ZZ,16,FALSE)+SUM(_xlfn.XLOOKUP($S55:$AL55,增益!$A:$A,增益!$P:$P,0))</f>
        <v>0.24</v>
      </c>
      <c r="BO55" s="24">
        <f>MIN(IF(VLOOKUP($R55,武学奇术!$A:$ZZ,23,FALSE)=1,100%,$B$8),100%)</f>
        <v>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0.9036</v>
      </c>
      <c r="BQ55" s="24" cm="1">
        <f t="array" ref="BQ55">1+$B$13+VLOOKUP($R55,武学奇术!$A:$ZZ,18,FALSE)+SUM(_xlfn.XLOOKUP($S55:$AL55,增益!$A:$A,增益!$R:$R,0))</f>
        <v>1.89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4" cm="1">
        <f t="array" ref="BS55">1+$B$14+VLOOKUP($R55,武学奇术!$A:$ZZ,20,FALSE)+SUM(_xlfn.XLOOKUP($S55:$AL55,增益!$A:$A,增益!$T:$T,0))</f>
        <v>1.35</v>
      </c>
      <c r="BT55" s="24">
        <f t="shared" si="20"/>
        <v>0.9036</v>
      </c>
      <c r="BU55" s="24">
        <f t="shared" si="21"/>
        <v>0.00350000000000006</v>
      </c>
      <c r="BV55" s="24">
        <f>IF(VLOOKUP($R55,武学奇术!$A:$ZZ,22,FALSE)=1,0,(1-$BO55))*(1-$BR55)</f>
        <v>0</v>
      </c>
      <c r="BW55" s="24" cm="1">
        <f t="array" ref="BW55">SUM(_xlfn.XLOOKUP($S55:$AL55,增益!$A:$A,增益!$W:$W,0))+$I$5</f>
        <v>0.31</v>
      </c>
      <c r="BX55" s="24" cm="1">
        <f t="array" ref="BX55">SUM(_xlfn.XLOOKUP($S55:$AL55,增益!$A:$A,增益!$X:$X,0))</f>
        <v>0</v>
      </c>
    </row>
    <row r="56" spans="1:76">
      <c r="A56" s="4" t="s">
        <v>193</v>
      </c>
      <c r="B56" s="91">
        <v>1.35</v>
      </c>
      <c r="F56" s="70"/>
      <c r="G56" s="70" t="s">
        <v>178</v>
      </c>
      <c r="K56">
        <f>$L56*VLOOKUP($R56,武学奇术!$A:$ZZ,31,FALSE)</f>
        <v>140992.275778537</v>
      </c>
      <c r="L56" s="36">
        <f t="shared" si="11"/>
        <v>108455.596752721</v>
      </c>
      <c r="M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$21,0))*(1+$BW56)</f>
        <v>111797.671751798</v>
      </c>
      <c r="N56" s="36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</f>
        <v>78111.3937529986</v>
      </c>
      <c r="O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$21,0))*(1+$BW56)</f>
        <v>51049.1651834696</v>
      </c>
      <c r="P56" s="36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</f>
        <v>44238.0386980514</v>
      </c>
      <c r="Q56" s="70">
        <v>1</v>
      </c>
      <c r="R56" s="38" t="s">
        <v>124</v>
      </c>
      <c r="S56" s="38" t="s">
        <v>104</v>
      </c>
      <c r="T56" s="38" t="s">
        <v>139</v>
      </c>
      <c r="U56" s="38" t="s">
        <v>79</v>
      </c>
      <c r="V56" s="38" t="s">
        <v>79</v>
      </c>
      <c r="W56" s="38" t="s">
        <v>188</v>
      </c>
      <c r="X56" s="38" t="s">
        <v>189</v>
      </c>
      <c r="Y56" s="38" t="s">
        <v>173</v>
      </c>
      <c r="Z56" s="38" t="s">
        <v>90</v>
      </c>
      <c r="AA56" s="38" t="s">
        <v>79</v>
      </c>
      <c r="AB56" s="38" t="s">
        <v>91</v>
      </c>
      <c r="AC56" s="38" t="s">
        <v>79</v>
      </c>
      <c r="AD56" s="38" t="s">
        <v>82</v>
      </c>
      <c r="AE56" s="38" t="s">
        <v>83</v>
      </c>
      <c r="AF56" s="38" t="s">
        <v>84</v>
      </c>
      <c r="AG56" s="38" t="s">
        <v>85</v>
      </c>
      <c r="AH56" s="38" t="s">
        <v>79</v>
      </c>
      <c r="AI56" s="38" t="s">
        <v>79</v>
      </c>
      <c r="AJ56" s="38" t="s">
        <v>79</v>
      </c>
      <c r="AK56" s="38" t="s">
        <v>79</v>
      </c>
      <c r="AL56" s="38" t="s">
        <v>79</v>
      </c>
      <c r="AM56" t="str">
        <f>VLOOKUP($R56,武学奇术!$A:$ZZ,25,FALSE)</f>
        <v>拳甲</v>
      </c>
      <c r="AN56" s="24">
        <f>VLOOKUP($R56,武学奇术!$A:$ZZ,26,FALSE)</f>
        <v>2.638944</v>
      </c>
      <c r="AO56" s="25">
        <f>VLOOKUP($R56,武学奇术!$A:$ZZ,27,FALSE)*(1+IF(OR($AM56=$F$4,$AM56=$F$5),$B$22,0))</f>
        <v>0</v>
      </c>
      <c r="AP56" s="24">
        <f>VLOOKUP($R56,武学奇术!$A:$ZZ,28,FALSE)</f>
        <v>3.958416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0.7041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3901.102</v>
      </c>
      <c r="AU56" cm="1">
        <f t="array" ref="AU56">$E$10*(1+$AS56)+VLOOKUP($R56,武学奇术!$A:$ZZ,4,FALSE)+SUM(_xlfn.XLOOKUP($S56:$AL56,增益!$A:$A,增益!$D:$D,0))-$I$2</f>
        <v>3901.102</v>
      </c>
      <c r="AV56" s="30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0.472</v>
      </c>
      <c r="AW56" s="30" cm="1">
        <f t="array" ref="AW56">$G$10+VLOOKUP($R56,武学奇术!$A:$ZZ,7,FALSE)+SUM(_xlfn.XLOOKUP($S56:$AL56,增益!$A:$A,增益!$G:$G,0))</f>
        <v>0.09</v>
      </c>
      <c r="AX56" s="24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0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-0.08</v>
      </c>
      <c r="BB56" s="30" cm="1">
        <f t="array" ref="BB56">$G$11+VLOOKUP($R56,武学奇术!$A:$ZZ,10,FALSE)+SUM(_xlfn.XLOOKUP($S56:$AL56,增益!$A:$A,增益!$J:$J,0))</f>
        <v>0.1</v>
      </c>
      <c r="BC56">
        <f t="shared" si="14"/>
        <v>0</v>
      </c>
      <c r="BD56">
        <f t="shared" si="15"/>
        <v>0</v>
      </c>
      <c r="BE56" s="30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-0.08</v>
      </c>
      <c r="BF56" s="30" cm="1">
        <f t="array" ref="BF56">$G$12+VLOOKUP($R56,武学奇术!$A:$ZZ,12,FALSE)+SUM(_xlfn.XLOOKUP($S56:$AL56,增益!$A:$A,增益!$L:$L,0))</f>
        <v>0</v>
      </c>
      <c r="BG56">
        <f t="shared" si="16"/>
        <v>0</v>
      </c>
      <c r="BH56">
        <f t="shared" si="17"/>
        <v>0</v>
      </c>
      <c r="BI56" s="30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-0.08</v>
      </c>
      <c r="BJ56" s="30" cm="1">
        <f t="array" ref="BJ56">$G$13+VLOOKUP($R56,武学奇术!$A:$ZZ,14,FALSE)+SUM(_xlfn.XLOOKUP($S56:$AL56,增益!$A:$A,增益!$N:$N,0))</f>
        <v>0</v>
      </c>
      <c r="BK56">
        <f t="shared" si="18"/>
        <v>605.472</v>
      </c>
      <c r="BL56">
        <f t="shared" si="19"/>
        <v>1725.468</v>
      </c>
      <c r="BM56" s="30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0.11</v>
      </c>
      <c r="BN56" s="30" cm="1">
        <f t="array" ref="BN56">$G$14+VLOOKUP($R56,武学奇术!$A:$ZZ,16,FALSE)+SUM(_xlfn.XLOOKUP($S56:$AL56,增益!$A:$A,增益!$P:$P,0))</f>
        <v>0.24</v>
      </c>
      <c r="BO56" s="24">
        <f>MIN(IF(VLOOKUP($R56,武学奇术!$A:$ZZ,23,FALSE)=1,100%,$B$8),100%)</f>
        <v>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0.9036</v>
      </c>
      <c r="BQ56" s="24" cm="1">
        <f t="array" ref="BQ56">1+$B$13+VLOOKUP($R56,武学奇术!$A:$ZZ,18,FALSE)+SUM(_xlfn.XLOOKUP($S56:$AL56,增益!$A:$A,增益!$R:$R,0))</f>
        <v>2.19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4" cm="1">
        <f t="array" ref="BS56">1+$B$14+VLOOKUP($R56,武学奇术!$A:$ZZ,20,FALSE)+SUM(_xlfn.XLOOKUP($S56:$AL56,增益!$A:$A,增益!$T:$T,0))</f>
        <v>1.35</v>
      </c>
      <c r="BT56" s="24">
        <f t="shared" si="20"/>
        <v>0.9036</v>
      </c>
      <c r="BU56" s="24">
        <f t="shared" si="21"/>
        <v>0.00350000000000006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0.31</v>
      </c>
      <c r="BX56" s="24" cm="1">
        <f t="array" ref="BX56">SUM(_xlfn.XLOOKUP($S56:$AL56,增益!$A:$A,增益!$X:$X,0))</f>
        <v>0</v>
      </c>
    </row>
    <row r="57" spans="1:76">
      <c r="A57" s="4" t="s">
        <v>182</v>
      </c>
      <c r="B57" s="91">
        <v>0.7</v>
      </c>
      <c r="D57" s="4"/>
      <c r="E57" s="4"/>
      <c r="F57" s="70"/>
      <c r="G57" s="70"/>
      <c r="K57">
        <f>$L57*VLOOKUP($R57,武学奇术!$A:$ZZ,31,FALSE)</f>
        <v>15240.4126709248</v>
      </c>
      <c r="L57" s="36">
        <f t="shared" si="11"/>
        <v>15240.4126709248</v>
      </c>
      <c r="M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$21,0))*(1+$BW57)</f>
        <v>15557.7236641389</v>
      </c>
      <c r="N57" s="36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</f>
        <v>12418.1159163705</v>
      </c>
      <c r="O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$21,0))*(1+$BW57)</f>
        <v>8231.59982229571</v>
      </c>
      <c r="P57" s="36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</f>
        <v>7264.59526209476</v>
      </c>
      <c r="Q57" s="70">
        <v>1</v>
      </c>
      <c r="R57" s="38" t="s">
        <v>114</v>
      </c>
      <c r="S57" s="38" t="s">
        <v>104</v>
      </c>
      <c r="T57" s="38" t="s">
        <v>139</v>
      </c>
      <c r="U57" s="38" t="s">
        <v>79</v>
      </c>
      <c r="V57" s="38" t="s">
        <v>79</v>
      </c>
      <c r="W57" s="38" t="s">
        <v>188</v>
      </c>
      <c r="X57" s="38" t="s">
        <v>189</v>
      </c>
      <c r="Y57" s="38" t="s">
        <v>173</v>
      </c>
      <c r="Z57" s="38" t="s">
        <v>90</v>
      </c>
      <c r="AA57" s="38" t="s">
        <v>79</v>
      </c>
      <c r="AB57" s="38" t="s">
        <v>91</v>
      </c>
      <c r="AC57" s="38" t="s">
        <v>79</v>
      </c>
      <c r="AD57" s="38" t="s">
        <v>82</v>
      </c>
      <c r="AE57" s="38" t="s">
        <v>83</v>
      </c>
      <c r="AF57" s="38" t="s">
        <v>84</v>
      </c>
      <c r="AG57" s="38" t="s">
        <v>85</v>
      </c>
      <c r="AH57" s="38" t="s">
        <v>79</v>
      </c>
      <c r="AI57" s="38" t="s">
        <v>79</v>
      </c>
      <c r="AJ57" s="38" t="s">
        <v>79</v>
      </c>
      <c r="AK57" s="38" t="s">
        <v>79</v>
      </c>
      <c r="AL57" s="38" t="s">
        <v>79</v>
      </c>
      <c r="AM57" t="str">
        <f>VLOOKUP($R57,武学奇术!$A:$ZZ,25,FALSE)</f>
        <v>绳镖</v>
      </c>
      <c r="AN57" s="24">
        <f>VLOOKUP($R57,武学奇术!$A:$ZZ,26,FALSE)</f>
        <v>0.4975</v>
      </c>
      <c r="AO57" s="25">
        <f>VLOOKUP($R57,武学奇术!$A:$ZZ,27,FALSE)*(1+IF(OR($AM57=$F$4,$AM57=$F$5),$B$22,0))</f>
        <v>205.5</v>
      </c>
      <c r="AP57" s="24">
        <f>VLOOKUP($R57,武学奇术!$A:$ZZ,28,FALSE)</f>
        <v>0.7463</v>
      </c>
      <c r="AQ57" s="25">
        <f>VLOOKUP($R57,武学奇术!$A:$ZZ,29,FALSE)*(1+IF(OR($AM57=$F$4,$AM57=$F$5),$B$22,0))</f>
        <v>112.5</v>
      </c>
      <c r="AR57" s="24" cm="1">
        <f t="array" ref="AR57">$G$3+IFERROR(VLOOKUP($AM57,$F$4:$G$7,2,FALSE),0)+VLOOKUP($R57,武学奇术!$A:$ZZ,2,FALSE)+SUM(_xlfn.XLOOKUP($S57:$AL57,增益!$A:$A,增益!$B:$B,0))</f>
        <v>0.3189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3901.102</v>
      </c>
      <c r="AU57" cm="1">
        <f t="array" ref="AU57">$E$10*(1+$AS57)+VLOOKUP($R57,武学奇术!$A:$ZZ,4,FALSE)+SUM(_xlfn.XLOOKUP($S57:$AL57,增益!$A:$A,增益!$D:$D,0))-$I$2</f>
        <v>3901.102</v>
      </c>
      <c r="AV57" s="30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0.442</v>
      </c>
      <c r="AW57" s="30" cm="1">
        <f t="array" ref="AW57">$G$10+VLOOKUP($R57,武学奇术!$A:$ZZ,7,FALSE)+SUM(_xlfn.XLOOKUP($S57:$AL57,增益!$A:$A,增益!$G:$G,0))</f>
        <v>0.09</v>
      </c>
      <c r="AX57" s="24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0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0" cm="1">
        <f t="array" ref="BB57">$G$11+VLOOKUP($R57,武学奇术!$A:$ZZ,10,FALSE)+SUM(_xlfn.XLOOKUP($S57:$AL57,增益!$A:$A,增益!$J:$J,0))</f>
        <v>0.1</v>
      </c>
      <c r="BC57">
        <f t="shared" si="14"/>
        <v>0</v>
      </c>
      <c r="BD57">
        <f t="shared" si="15"/>
        <v>0</v>
      </c>
      <c r="BE57" s="30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0" cm="1">
        <f t="array" ref="BF57">$G$12+VLOOKUP($R57,武学奇术!$A:$ZZ,12,FALSE)+SUM(_xlfn.XLOOKUP($S57:$AL57,增益!$A:$A,增益!$L:$L,0))</f>
        <v>0</v>
      </c>
      <c r="BG57">
        <f t="shared" si="16"/>
        <v>0</v>
      </c>
      <c r="BH57">
        <f t="shared" si="17"/>
        <v>0</v>
      </c>
      <c r="BI57" s="30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-0.14</v>
      </c>
      <c r="BJ57" s="30" cm="1">
        <f t="array" ref="BJ57">$G$13+VLOOKUP($R57,武学奇术!$A:$ZZ,14,FALSE)+SUM(_xlfn.XLOOKUP($S57:$AL57,增益!$A:$A,增益!$N:$N,0))</f>
        <v>0</v>
      </c>
      <c r="BK57">
        <f t="shared" si="18"/>
        <v>605.472</v>
      </c>
      <c r="BL57">
        <f t="shared" si="19"/>
        <v>1725.468</v>
      </c>
      <c r="BM57" s="30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0.08</v>
      </c>
      <c r="BN57" s="30" cm="1">
        <f t="array" ref="BN57">$G$14+VLOOKUP($R57,武学奇术!$A:$ZZ,16,FALSE)+SUM(_xlfn.XLOOKUP($S57:$AL57,增益!$A:$A,增益!$P:$P,0))</f>
        <v>0.24</v>
      </c>
      <c r="BO57" s="24">
        <f>MIN(IF(VLOOKUP($R57,武学奇术!$A:$ZZ,23,FALSE)=1,100%,$B$8),100%)</f>
        <v>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0.9036</v>
      </c>
      <c r="BQ57" s="24" cm="1">
        <f t="array" ref="BQ57">1+$B$13+VLOOKUP($R57,武学奇术!$A:$ZZ,18,FALSE)+SUM(_xlfn.XLOOKUP($S57:$AL57,增益!$A:$A,增益!$R:$R,0))</f>
        <v>1.89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4" cm="1">
        <f t="array" ref="BS57">1+$B$14+VLOOKUP($R57,武学奇术!$A:$ZZ,20,FALSE)+SUM(_xlfn.XLOOKUP($S57:$AL57,增益!$A:$A,增益!$T:$T,0))</f>
        <v>1.35</v>
      </c>
      <c r="BT57" s="24">
        <f t="shared" si="20"/>
        <v>0.9036</v>
      </c>
      <c r="BU57" s="24">
        <f t="shared" si="21"/>
        <v>0.00350000000000006</v>
      </c>
      <c r="BV57" s="24">
        <f>IF(VLOOKUP($R57,武学奇术!$A:$ZZ,22,FALSE)=1,0,(1-$BO57))*(1-$BR57)</f>
        <v>0</v>
      </c>
      <c r="BW57" s="24" cm="1">
        <f t="array" ref="BW57">SUM(_xlfn.XLOOKUP($S57:$AL57,增益!$A:$A,增益!$W:$W,0))+$I$5</f>
        <v>0.31</v>
      </c>
      <c r="BX57" s="24" cm="1">
        <f t="array" ref="BX57">SUM(_xlfn.XLOOKUP($S57:$AL57,增益!$A:$A,增益!$X:$X,0))</f>
        <v>0</v>
      </c>
    </row>
    <row r="58" spans="1:76">
      <c r="A58" s="4" t="s">
        <v>183</v>
      </c>
      <c r="B58" s="4">
        <v>0.8</v>
      </c>
      <c r="F58" s="70"/>
      <c r="G58" s="70"/>
      <c r="K58">
        <f>$L58*VLOOKUP($R58,武学奇术!$A:$ZZ,31,FALSE)</f>
        <v>133943.075675062</v>
      </c>
      <c r="L58" s="36">
        <f t="shared" si="11"/>
        <v>103033.135134663</v>
      </c>
      <c r="M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$21,0))*(1+$BW58)</f>
        <v>106208.11618977</v>
      </c>
      <c r="N58" s="36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</f>
        <v>74206.0532519978</v>
      </c>
      <c r="O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$21,0))*(1+$BW58)</f>
        <v>48496.8567076574</v>
      </c>
      <c r="P58" s="36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</f>
        <v>42026.2665619831</v>
      </c>
      <c r="Q58" s="70">
        <v>1</v>
      </c>
      <c r="R58" s="38" t="s">
        <v>117</v>
      </c>
      <c r="S58" s="38" t="s">
        <v>104</v>
      </c>
      <c r="T58" s="38" t="s">
        <v>139</v>
      </c>
      <c r="U58" s="38" t="s">
        <v>79</v>
      </c>
      <c r="V58" s="38" t="s">
        <v>79</v>
      </c>
      <c r="W58" s="38" t="s">
        <v>188</v>
      </c>
      <c r="X58" s="38" t="s">
        <v>189</v>
      </c>
      <c r="Y58" s="38" t="s">
        <v>173</v>
      </c>
      <c r="Z58" s="38" t="s">
        <v>90</v>
      </c>
      <c r="AA58" s="38" t="s">
        <v>112</v>
      </c>
      <c r="AB58" s="38" t="s">
        <v>91</v>
      </c>
      <c r="AC58" s="38" t="s">
        <v>79</v>
      </c>
      <c r="AD58" s="38" t="s">
        <v>82</v>
      </c>
      <c r="AE58" s="38" t="s">
        <v>83</v>
      </c>
      <c r="AF58" s="38" t="s">
        <v>84</v>
      </c>
      <c r="AG58" s="38" t="s">
        <v>85</v>
      </c>
      <c r="AH58" s="38" t="s">
        <v>79</v>
      </c>
      <c r="AI58" s="38" t="s">
        <v>79</v>
      </c>
      <c r="AJ58" s="38" t="s">
        <v>79</v>
      </c>
      <c r="AK58" s="38" t="s">
        <v>79</v>
      </c>
      <c r="AL58" s="38" t="s">
        <v>79</v>
      </c>
      <c r="AM58" t="str">
        <f>VLOOKUP($R58,武学奇术!$A:$ZZ,25,FALSE)</f>
        <v>绳镖</v>
      </c>
      <c r="AN58" s="24">
        <f>VLOOKUP($R58,武学奇术!$A:$ZZ,26,FALSE)</f>
        <v>2.638944</v>
      </c>
      <c r="AO58" s="25">
        <f>VLOOKUP($R58,武学奇术!$A:$ZZ,27,FALSE)*(1+IF(OR($AM58=$F$4,$AM58=$F$5),$B$22,0))</f>
        <v>0</v>
      </c>
      <c r="AP58" s="24">
        <f>VLOOKUP($R58,武学奇术!$A:$ZZ,28,FALSE)</f>
        <v>3.958416</v>
      </c>
      <c r="AQ58" s="25">
        <f>VLOOKUP($R58,武学奇术!$A:$ZZ,29,FALSE)*(1+IF(OR($AM58=$F$4,$AM58=$F$5),$B$22,0))</f>
        <v>0</v>
      </c>
      <c r="AR58" s="24" cm="1">
        <f t="array" ref="AR58">$G$3+IFERROR(VLOOKUP($AM58,$F$4:$G$7,2,FALSE),0)+VLOOKUP($R58,武学奇术!$A:$ZZ,2,FALSE)+SUM(_xlfn.XLOOKUP($S58:$AL58,增益!$A:$A,增益!$B:$B,0))</f>
        <v>0.6189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3901.102</v>
      </c>
      <c r="AU58" cm="1">
        <f t="array" ref="AU58">$E$10*(1+$AS58)+VLOOKUP($R58,武学奇术!$A:$ZZ,4,FALSE)+SUM(_xlfn.XLOOKUP($S58:$AL58,增益!$A:$A,增益!$D:$D,0))-$I$2</f>
        <v>3901.102</v>
      </c>
      <c r="AV58" s="30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0.472</v>
      </c>
      <c r="AW58" s="30" cm="1">
        <f t="array" ref="AW58">$G$10+VLOOKUP($R58,武学奇术!$A:$ZZ,7,FALSE)+SUM(_xlfn.XLOOKUP($S58:$AL58,增益!$A:$A,增益!$G:$G,0))</f>
        <v>0.09</v>
      </c>
      <c r="AX58" s="24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0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-0.08</v>
      </c>
      <c r="BB58" s="30" cm="1">
        <f t="array" ref="BB58">$G$11+VLOOKUP($R58,武学奇术!$A:$ZZ,10,FALSE)+SUM(_xlfn.XLOOKUP($S58:$AL58,增益!$A:$A,增益!$J:$J,0))</f>
        <v>0.1</v>
      </c>
      <c r="BC58">
        <f t="shared" si="14"/>
        <v>0</v>
      </c>
      <c r="BD58">
        <f t="shared" si="15"/>
        <v>0</v>
      </c>
      <c r="BE58" s="30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-0.08</v>
      </c>
      <c r="BF58" s="30" cm="1">
        <f t="array" ref="BF58">$G$12+VLOOKUP($R58,武学奇术!$A:$ZZ,12,FALSE)+SUM(_xlfn.XLOOKUP($S58:$AL58,增益!$A:$A,增益!$L:$L,0))</f>
        <v>0</v>
      </c>
      <c r="BG58">
        <f t="shared" si="16"/>
        <v>0</v>
      </c>
      <c r="BH58">
        <f t="shared" si="17"/>
        <v>0</v>
      </c>
      <c r="BI58" s="30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-0.08</v>
      </c>
      <c r="BJ58" s="30" cm="1">
        <f t="array" ref="BJ58">$G$13+VLOOKUP($R58,武学奇术!$A:$ZZ,14,FALSE)+SUM(_xlfn.XLOOKUP($S58:$AL58,增益!$A:$A,增益!$N:$N,0))</f>
        <v>0</v>
      </c>
      <c r="BK58">
        <f t="shared" si="18"/>
        <v>605.472</v>
      </c>
      <c r="BL58">
        <f t="shared" si="19"/>
        <v>1725.468</v>
      </c>
      <c r="BM58" s="30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0.11</v>
      </c>
      <c r="BN58" s="30" cm="1">
        <f t="array" ref="BN58">$G$14+VLOOKUP($R58,武学奇术!$A:$ZZ,16,FALSE)+SUM(_xlfn.XLOOKUP($S58:$AL58,增益!$A:$A,增益!$P:$P,0))</f>
        <v>0.24</v>
      </c>
      <c r="BO58" s="24">
        <f>MIN(IF(VLOOKUP($R58,武学奇术!$A:$ZZ,23,FALSE)=1,100%,$B$8),100%)</f>
        <v>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0.9036</v>
      </c>
      <c r="BQ58" s="24" cm="1">
        <f t="array" ref="BQ58">1+$B$13+VLOOKUP($R58,武学奇术!$A:$ZZ,18,FALSE)+SUM(_xlfn.XLOOKUP($S58:$AL58,增益!$A:$A,增益!$R:$R,0))</f>
        <v>2.19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4" cm="1">
        <f t="array" ref="BS58">1+$B$14+VLOOKUP($R58,武学奇术!$A:$ZZ,20,FALSE)+SUM(_xlfn.XLOOKUP($S58:$AL58,增益!$A:$A,增益!$T:$T,0))</f>
        <v>1.35</v>
      </c>
      <c r="BT58" s="24">
        <f t="shared" si="20"/>
        <v>0.9036</v>
      </c>
      <c r="BU58" s="24">
        <f t="shared" si="21"/>
        <v>0.00350000000000006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0.31</v>
      </c>
      <c r="BX58" s="24" cm="1">
        <f t="array" ref="BX58">SUM(_xlfn.XLOOKUP($S58:$AL58,增益!$A:$A,增益!$X:$X,0))</f>
        <v>0</v>
      </c>
    </row>
    <row r="59" spans="1:76">
      <c r="A59" s="4" t="s">
        <v>184</v>
      </c>
      <c r="B59" s="4">
        <v>2.15</v>
      </c>
      <c r="F59" s="70"/>
      <c r="G59" s="70"/>
      <c r="K59">
        <f>$L59*VLOOKUP($R59,武学奇术!$A:$ZZ,31,FALSE)</f>
        <v>0</v>
      </c>
      <c r="L59" s="36">
        <f t="shared" si="11"/>
        <v>0</v>
      </c>
      <c r="M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$21,0))*(1+$BW59)</f>
        <v>0</v>
      </c>
      <c r="N59" s="36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</f>
        <v>0</v>
      </c>
      <c r="O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$21,0))*(1+$BW59)</f>
        <v>0</v>
      </c>
      <c r="P59" s="36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</f>
        <v>0</v>
      </c>
      <c r="Q59" s="70">
        <v>1</v>
      </c>
      <c r="R59" s="38" t="s">
        <v>79</v>
      </c>
      <c r="S59" s="38" t="s">
        <v>79</v>
      </c>
      <c r="T59" s="38" t="s">
        <v>79</v>
      </c>
      <c r="U59" s="38" t="s">
        <v>79</v>
      </c>
      <c r="V59" s="38" t="s">
        <v>79</v>
      </c>
      <c r="W59" s="38" t="s">
        <v>79</v>
      </c>
      <c r="X59" s="38" t="s">
        <v>79</v>
      </c>
      <c r="Y59" s="38" t="s">
        <v>79</v>
      </c>
      <c r="Z59" s="38" t="s">
        <v>79</v>
      </c>
      <c r="AA59" s="38" t="s">
        <v>79</v>
      </c>
      <c r="AB59" s="38" t="s">
        <v>79</v>
      </c>
      <c r="AC59" s="38" t="s">
        <v>79</v>
      </c>
      <c r="AD59" s="38" t="s">
        <v>82</v>
      </c>
      <c r="AE59" s="38" t="s">
        <v>83</v>
      </c>
      <c r="AF59" s="38" t="s">
        <v>84</v>
      </c>
      <c r="AG59" s="38" t="s">
        <v>85</v>
      </c>
      <c r="AH59" s="38" t="s">
        <v>79</v>
      </c>
      <c r="AI59" s="38" t="s">
        <v>79</v>
      </c>
      <c r="AJ59" s="38" t="s">
        <v>79</v>
      </c>
      <c r="AK59" s="38" t="s">
        <v>79</v>
      </c>
      <c r="AL59" s="38" t="s">
        <v>79</v>
      </c>
      <c r="AM59" t="str">
        <f>VLOOKUP($R59,武学奇术!$A:$ZZ,25,FALSE)</f>
        <v>心法</v>
      </c>
      <c r="AN59" s="24">
        <f>VLOOKUP($R59,武学奇术!$A:$ZZ,26,FALSE)</f>
        <v>0</v>
      </c>
      <c r="AO59" s="25">
        <f>VLOOKUP($R59,武学奇术!$A:$ZZ,27,FALSE)*(1+IF(OR($AM59=$F$4,$AM59=$F$5),$B$22,0))</f>
        <v>0</v>
      </c>
      <c r="AP59" s="24">
        <f>VLOOKUP($R59,武学奇术!$A:$ZZ,28,FALSE)</f>
        <v>0</v>
      </c>
      <c r="AQ59" s="25">
        <f>VLOOKUP($R59,武学奇术!$A:$ZZ,29,FALSE)*(1+IF(OR($AM59=$F$4,$AM59=$F$5),$B$22,0))</f>
        <v>0</v>
      </c>
      <c r="AR59" s="24" cm="1">
        <f t="array" ref="AR59">$G$3+IFERROR(VLOOKUP($AM59,$F$4:$G$7,2,FALSE),0)+VLOOKUP($R59,武学奇术!$A:$ZZ,2,FALSE)+SUM(_xlfn.XLOOKUP($S59:$AL59,增益!$A:$A,增益!$B:$B,0))</f>
        <v>0.1837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3901.102</v>
      </c>
      <c r="AU59" cm="1">
        <f t="array" ref="AU59">$E$10*(1+$AS59)+VLOOKUP($R59,武学奇术!$A:$ZZ,4,FALSE)+SUM(_xlfn.XLOOKUP($S59:$AL59,增益!$A:$A,增益!$D:$D,0))-$I$2</f>
        <v>3901.102</v>
      </c>
      <c r="AV59" s="30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0.267</v>
      </c>
      <c r="AW59" s="30" cm="1">
        <f t="array" ref="AW59">$G$10+VLOOKUP($R59,武学奇术!$A:$ZZ,7,FALSE)+SUM(_xlfn.XLOOKUP($S59:$AL59,增益!$A:$A,增益!$G:$G,0))</f>
        <v>0.09</v>
      </c>
      <c r="AX59" s="24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0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0" cm="1">
        <f t="array" ref="BB59">$G$11+VLOOKUP($R59,武学奇术!$A:$ZZ,10,FALSE)+SUM(_xlfn.XLOOKUP($S59:$AL59,增益!$A:$A,增益!$J:$J,0))</f>
        <v>0</v>
      </c>
      <c r="BC59">
        <f t="shared" si="14"/>
        <v>0</v>
      </c>
      <c r="BD59">
        <f t="shared" si="15"/>
        <v>0</v>
      </c>
      <c r="BE59" s="30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0" cm="1">
        <f t="array" ref="BF59">$G$12+VLOOKUP($R59,武学奇术!$A:$ZZ,12,FALSE)+SUM(_xlfn.XLOOKUP($S59:$AL59,增益!$A:$A,增益!$L:$L,0))</f>
        <v>0</v>
      </c>
      <c r="BG59">
        <f t="shared" si="16"/>
        <v>0</v>
      </c>
      <c r="BH59">
        <f t="shared" si="17"/>
        <v>0</v>
      </c>
      <c r="BI59" s="30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0" cm="1">
        <f t="array" ref="BJ59">$G$13+VLOOKUP($R59,武学奇术!$A:$ZZ,14,FALSE)+SUM(_xlfn.XLOOKUP($S59:$AL59,增益!$A:$A,增益!$N:$N,0))</f>
        <v>0</v>
      </c>
      <c r="BK59">
        <f t="shared" si="18"/>
        <v>605.472</v>
      </c>
      <c r="BL59">
        <f t="shared" si="19"/>
        <v>1725.468</v>
      </c>
      <c r="BM59" s="30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0" cm="1">
        <f t="array" ref="BN59">$G$14+VLOOKUP($R59,武学奇术!$A:$ZZ,16,FALSE)+SUM(_xlfn.XLOOKUP($S59:$AL59,增益!$A:$A,增益!$P:$P,0))</f>
        <v>0.24</v>
      </c>
      <c r="BO59" s="24">
        <f>MIN(IF(VLOOKUP($R59,武学奇术!$A:$ZZ,23,FALSE)=1,100%,$B$8),100%)</f>
        <v>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0.9036</v>
      </c>
      <c r="BQ59" s="24" cm="1">
        <f t="array" ref="BQ59">1+$B$13+VLOOKUP($R59,武学奇术!$A:$ZZ,18,FALSE)+SUM(_xlfn.XLOOKUP($S59:$AL59,增益!$A:$A,增益!$R:$R,0))</f>
        <v>1.54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4" cm="1">
        <f t="array" ref="BS59">1+$B$14+VLOOKUP($R59,武学奇术!$A:$ZZ,20,FALSE)+SUM(_xlfn.XLOOKUP($S59:$AL59,增益!$A:$A,增益!$T:$T,0))</f>
        <v>1.35</v>
      </c>
      <c r="BT59" s="24">
        <f t="shared" si="20"/>
        <v>0.9036</v>
      </c>
      <c r="BU59" s="24">
        <f t="shared" si="21"/>
        <v>0.00350000000000006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s="4" t="s">
        <v>179</v>
      </c>
      <c r="B60" s="4">
        <v>1</v>
      </c>
      <c r="F60" s="70"/>
      <c r="G60" s="70"/>
      <c r="K60">
        <f>$L60*VLOOKUP($R60,武学奇术!$A:$ZZ,31,FALSE)</f>
        <v>24490.0415333615</v>
      </c>
      <c r="L60" s="36">
        <f t="shared" si="11"/>
        <v>24490.0415333615</v>
      </c>
      <c r="M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$21,0))*(1+$BW60)</f>
        <v>24705.5842630281</v>
      </c>
      <c r="N60" s="36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</f>
        <v>22748.6572768642</v>
      </c>
      <c r="O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$21,0))*(1+$BW60)</f>
        <v>15064.3806481879</v>
      </c>
      <c r="P60" s="36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</f>
        <v>13277.9040542541</v>
      </c>
      <c r="Q60" s="70">
        <v>1</v>
      </c>
      <c r="R60" s="38" t="s">
        <v>160</v>
      </c>
      <c r="S60" s="38" t="s">
        <v>104</v>
      </c>
      <c r="T60" s="38" t="s">
        <v>79</v>
      </c>
      <c r="U60" s="38" t="s">
        <v>79</v>
      </c>
      <c r="V60" s="38" t="s">
        <v>79</v>
      </c>
      <c r="W60" s="38" t="s">
        <v>79</v>
      </c>
      <c r="X60" s="38" t="s">
        <v>79</v>
      </c>
      <c r="Y60" s="38" t="s">
        <v>173</v>
      </c>
      <c r="Z60" s="38" t="s">
        <v>79</v>
      </c>
      <c r="AA60" s="38" t="s">
        <v>79</v>
      </c>
      <c r="AB60" s="38" t="s">
        <v>91</v>
      </c>
      <c r="AC60" s="38" t="s">
        <v>79</v>
      </c>
      <c r="AD60" s="38" t="s">
        <v>82</v>
      </c>
      <c r="AE60" s="38" t="s">
        <v>83</v>
      </c>
      <c r="AF60" s="38" t="s">
        <v>84</v>
      </c>
      <c r="AG60" s="38" t="s">
        <v>85</v>
      </c>
      <c r="AH60" s="38" t="s">
        <v>79</v>
      </c>
      <c r="AI60" s="38" t="s">
        <v>79</v>
      </c>
      <c r="AJ60" s="38" t="s">
        <v>79</v>
      </c>
      <c r="AK60" s="38" t="s">
        <v>79</v>
      </c>
      <c r="AL60" s="38" t="s">
        <v>79</v>
      </c>
      <c r="AM60" t="str">
        <f>VLOOKUP($R60,武学奇术!$A:$ZZ,25,FALSE)</f>
        <v>拳甲</v>
      </c>
      <c r="AN60" s="24">
        <f>VLOOKUP($R60,武学奇术!$A:$ZZ,26,FALSE)</f>
        <v>1.1005</v>
      </c>
      <c r="AO60" s="25">
        <f>VLOOKUP($R60,武学奇术!$A:$ZZ,27,FALSE)*(1+IF(OR($AM60=$F$4,$AM60=$F$5),$B$22,0))</f>
        <v>457.5</v>
      </c>
      <c r="AP60" s="24">
        <f>VLOOKUP($R60,武学奇术!$A:$ZZ,28,FALSE)</f>
        <v>1.6507</v>
      </c>
      <c r="AQ60" s="25">
        <f>VLOOKUP($R60,武学奇术!$A:$ZZ,29,FALSE)*(1+IF(OR($AM60=$F$4,$AM60=$F$5),$B$22,0))</f>
        <v>247.5</v>
      </c>
      <c r="AR60" s="24" cm="1">
        <f t="array" ref="AR60">$G$3+IFERROR(VLOOKUP($AM60,$F$4:$G$7,2,FALSE),0)+VLOOKUP($R60,武学奇术!$A:$ZZ,2,FALSE)+SUM(_xlfn.XLOOKUP($S60:$AL60,增益!$A:$A,增益!$B:$B,0))</f>
        <v>0.4041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3901.102</v>
      </c>
      <c r="AU60" cm="1">
        <f t="array" ref="AU60">$E$10*(1+$AS60)+VLOOKUP($R60,武学奇术!$A:$ZZ,4,FALSE)+SUM(_xlfn.XLOOKUP($S60:$AL60,增益!$A:$A,增益!$D:$D,0))-$I$2</f>
        <v>3901.102</v>
      </c>
      <c r="AV60" s="30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0.317</v>
      </c>
      <c r="AW60" s="30" cm="1">
        <f t="array" ref="AW60">$G$10+VLOOKUP($R60,武学奇术!$A:$ZZ,7,FALSE)+SUM(_xlfn.XLOOKUP($S60:$AL60,增益!$A:$A,增益!$G:$G,0))</f>
        <v>0.09</v>
      </c>
      <c r="AX60" s="24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0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0" cm="1">
        <f t="array" ref="BB60">$G$11+VLOOKUP($R60,武学奇术!$A:$ZZ,10,FALSE)+SUM(_xlfn.XLOOKUP($S60:$AL60,增益!$A:$A,增益!$J:$J,0))</f>
        <v>0</v>
      </c>
      <c r="BC60">
        <f t="shared" si="14"/>
        <v>0</v>
      </c>
      <c r="BD60">
        <f t="shared" si="15"/>
        <v>0</v>
      </c>
      <c r="BE60" s="30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0" cm="1">
        <f t="array" ref="BF60">$G$12+VLOOKUP($R60,武学奇术!$A:$ZZ,12,FALSE)+SUM(_xlfn.XLOOKUP($S60:$AL60,增益!$A:$A,增益!$L:$L,0))</f>
        <v>0</v>
      </c>
      <c r="BG60">
        <f t="shared" si="16"/>
        <v>0</v>
      </c>
      <c r="BH60">
        <f t="shared" si="17"/>
        <v>0</v>
      </c>
      <c r="BI60" s="30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0" cm="1">
        <f t="array" ref="BJ60">$G$13+VLOOKUP($R60,武学奇术!$A:$ZZ,14,FALSE)+SUM(_xlfn.XLOOKUP($S60:$AL60,增益!$A:$A,增益!$N:$N,0))</f>
        <v>0</v>
      </c>
      <c r="BK60">
        <f t="shared" si="18"/>
        <v>605.472</v>
      </c>
      <c r="BL60">
        <f t="shared" si="19"/>
        <v>1725.468</v>
      </c>
      <c r="BM60" s="30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0" cm="1">
        <f t="array" ref="BN60">$G$14+VLOOKUP($R60,武学奇术!$A:$ZZ,16,FALSE)+SUM(_xlfn.XLOOKUP($S60:$AL60,增益!$A:$A,增益!$P:$P,0))</f>
        <v>0.24</v>
      </c>
      <c r="BO60" s="24">
        <f>MIN(IF(VLOOKUP($R60,武学奇术!$A:$ZZ,23,FALSE)=1,100%,$B$8),100%)</f>
        <v>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0.9036</v>
      </c>
      <c r="BQ60" s="24" cm="1">
        <f t="array" ref="BQ60">1+$B$13+VLOOKUP($R60,武学奇术!$A:$ZZ,18,FALSE)+SUM(_xlfn.XLOOKUP($S60:$AL60,增益!$A:$A,增益!$R:$R,0))</f>
        <v>1.64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4" cm="1">
        <f t="array" ref="BS60">1+$B$14+VLOOKUP($R60,武学奇术!$A:$ZZ,20,FALSE)+SUM(_xlfn.XLOOKUP($S60:$AL60,增益!$A:$A,增益!$T:$T,0))</f>
        <v>1.35</v>
      </c>
      <c r="BT60" s="24">
        <f t="shared" si="20"/>
        <v>0.9036</v>
      </c>
      <c r="BU60" s="24">
        <f t="shared" si="21"/>
        <v>0.00350000000000006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s="4" t="s">
        <v>177</v>
      </c>
      <c r="B61" s="91">
        <v>1.16</v>
      </c>
      <c r="F61" s="70"/>
      <c r="K61">
        <f>$L61*VLOOKUP($R61,武学奇术!$A:$ZZ,31,FALSE)</f>
        <v>55644.0852401365</v>
      </c>
      <c r="L61" s="36">
        <f t="shared" ref="L61:L73" si="22">($M61*$BT61+$N61*$BR61+$O61*$BU61+$P61*$BV61)</f>
        <v>55644.0852401365</v>
      </c>
      <c r="M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$21,0))*(1+$BW61)</f>
        <v>56105.3690706444</v>
      </c>
      <c r="N61" s="36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</f>
        <v>51964.8727638708</v>
      </c>
      <c r="O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$21,0))*(1+$BW61)</f>
        <v>34210.5908967344</v>
      </c>
      <c r="P61" s="36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</f>
        <v>29928.6834498608</v>
      </c>
      <c r="Q61" s="70">
        <v>1</v>
      </c>
      <c r="R61" s="38" t="s">
        <v>127</v>
      </c>
      <c r="S61" s="38" t="s">
        <v>104</v>
      </c>
      <c r="T61" s="38" t="s">
        <v>79</v>
      </c>
      <c r="U61" s="38" t="s">
        <v>79</v>
      </c>
      <c r="V61" s="38" t="s">
        <v>79</v>
      </c>
      <c r="W61" s="38" t="s">
        <v>79</v>
      </c>
      <c r="X61" s="38" t="s">
        <v>79</v>
      </c>
      <c r="Y61" s="38" t="s">
        <v>173</v>
      </c>
      <c r="Z61" s="38" t="s">
        <v>90</v>
      </c>
      <c r="AA61" s="38" t="s">
        <v>79</v>
      </c>
      <c r="AB61" s="38" t="s">
        <v>91</v>
      </c>
      <c r="AC61" s="38" t="s">
        <v>79</v>
      </c>
      <c r="AD61" s="38" t="s">
        <v>82</v>
      </c>
      <c r="AE61" s="38" t="s">
        <v>83</v>
      </c>
      <c r="AF61" s="38" t="s">
        <v>84</v>
      </c>
      <c r="AG61" s="38" t="s">
        <v>85</v>
      </c>
      <c r="AH61" s="38" t="s">
        <v>79</v>
      </c>
      <c r="AI61" s="38" t="s">
        <v>79</v>
      </c>
      <c r="AJ61" s="38" t="s">
        <v>79</v>
      </c>
      <c r="AK61" s="38" t="s">
        <v>79</v>
      </c>
      <c r="AL61" s="38" t="s">
        <v>79</v>
      </c>
      <c r="AM61" t="str">
        <f>VLOOKUP($R61,武学奇术!$A:$ZZ,25,FALSE)</f>
        <v>拳甲</v>
      </c>
      <c r="AN61" s="24">
        <f>VLOOKUP($R61,武学奇术!$A:$ZZ,26,FALSE)</f>
        <v>2.4421</v>
      </c>
      <c r="AO61" s="25">
        <f>VLOOKUP($R61,武学奇术!$A:$ZZ,27,FALSE)*(1+IF(OR($AM61=$F$4,$AM61=$F$5),$B$22,0))</f>
        <v>1012.5</v>
      </c>
      <c r="AP61" s="24">
        <f>VLOOKUP($R61,武学奇术!$A:$ZZ,28,FALSE)</f>
        <v>3.6634</v>
      </c>
      <c r="AQ61" s="25">
        <f>VLOOKUP($R61,武学奇术!$A:$ZZ,29,FALSE)*(1+IF(OR($AM61=$F$4,$AM61=$F$5),$B$22,0))</f>
        <v>549</v>
      </c>
      <c r="AR61" s="24" cm="1">
        <f t="array" ref="AR61">$G$3+IFERROR(VLOOKUP($AM61,$F$4:$G$7,2,FALSE),0)+VLOOKUP($R61,武学奇术!$A:$ZZ,2,FALSE)+SUM(_xlfn.XLOOKUP($S61:$AL61,增益!$A:$A,增益!$B:$B,0))</f>
        <v>0.4041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3901.102</v>
      </c>
      <c r="AU61" cm="1">
        <f t="array" ref="AU61">$E$10*(1+$AS61)+VLOOKUP($R61,武学奇术!$A:$ZZ,4,FALSE)+SUM(_xlfn.XLOOKUP($S61:$AL61,增益!$A:$A,增益!$D:$D,0))-$I$2</f>
        <v>3901.102</v>
      </c>
      <c r="AV61" s="30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0.317</v>
      </c>
      <c r="AW61" s="30" cm="1">
        <f t="array" ref="AW61">$G$10+VLOOKUP($R61,武学奇术!$A:$ZZ,7,FALSE)+SUM(_xlfn.XLOOKUP($S61:$AL61,增益!$A:$A,增益!$G:$G,0))</f>
        <v>0.09</v>
      </c>
      <c r="AX61" s="24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0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0" cm="1">
        <f t="array" ref="BB61">$G$11+VLOOKUP($R61,武学奇术!$A:$ZZ,10,FALSE)+SUM(_xlfn.XLOOKUP($S61:$AL61,增益!$A:$A,增益!$J:$J,0))</f>
        <v>0</v>
      </c>
      <c r="BC61">
        <f t="shared" si="14"/>
        <v>0</v>
      </c>
      <c r="BD61">
        <f t="shared" si="15"/>
        <v>0</v>
      </c>
      <c r="BE61" s="30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0" cm="1">
        <f t="array" ref="BF61">$G$12+VLOOKUP($R61,武学奇术!$A:$ZZ,12,FALSE)+SUM(_xlfn.XLOOKUP($S61:$AL61,增益!$A:$A,增益!$L:$L,0))</f>
        <v>0</v>
      </c>
      <c r="BG61">
        <f t="shared" si="16"/>
        <v>0</v>
      </c>
      <c r="BH61">
        <f t="shared" si="17"/>
        <v>0</v>
      </c>
      <c r="BI61" s="30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-0.14</v>
      </c>
      <c r="BJ61" s="30" cm="1">
        <f t="array" ref="BJ61">$G$13+VLOOKUP($R61,武学奇术!$A:$ZZ,14,FALSE)+SUM(_xlfn.XLOOKUP($S61:$AL61,增益!$A:$A,增益!$N:$N,0))</f>
        <v>0</v>
      </c>
      <c r="BK61">
        <f t="shared" si="18"/>
        <v>605.472</v>
      </c>
      <c r="BL61">
        <f t="shared" si="19"/>
        <v>1725.468</v>
      </c>
      <c r="BM61" s="30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0.08</v>
      </c>
      <c r="BN61" s="30" cm="1">
        <f t="array" ref="BN61">$G$14+VLOOKUP($R61,武学奇术!$A:$ZZ,16,FALSE)+SUM(_xlfn.XLOOKUP($S61:$AL61,增益!$A:$A,增益!$P:$P,0))</f>
        <v>0.24</v>
      </c>
      <c r="BO61" s="24">
        <f>MIN(IF(VLOOKUP($R61,武学奇术!$A:$ZZ,23,FALSE)=1,100%,$B$8),100%)</f>
        <v>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0.9036</v>
      </c>
      <c r="BQ61" s="24" cm="1">
        <f t="array" ref="BQ61">1+$B$13+VLOOKUP($R61,武学奇术!$A:$ZZ,18,FALSE)+SUM(_xlfn.XLOOKUP($S61:$AL61,增益!$A:$A,增益!$R:$R,0))</f>
        <v>1.64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4" cm="1">
        <f t="array" ref="BS61">1+$B$14+VLOOKUP($R61,武学奇术!$A:$ZZ,20,FALSE)+SUM(_xlfn.XLOOKUP($S61:$AL61,增益!$A:$A,增益!$T:$T,0))</f>
        <v>1.35</v>
      </c>
      <c r="BT61" s="24">
        <f t="shared" si="20"/>
        <v>0.9036</v>
      </c>
      <c r="BU61" s="24">
        <f t="shared" si="21"/>
        <v>0.00350000000000006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t="s">
        <v>166</v>
      </c>
      <c r="B62">
        <v>0.9</v>
      </c>
      <c r="F62" s="70"/>
      <c r="K62">
        <f>$L62*VLOOKUP($R62,武学奇术!$A:$ZZ,31,FALSE)</f>
        <v>29364.1738207116</v>
      </c>
      <c r="L62" s="36">
        <f t="shared" si="22"/>
        <v>29364.1738207116</v>
      </c>
      <c r="M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$21,0))*(1+$BW62)</f>
        <v>29607.8876204442</v>
      </c>
      <c r="N62" s="36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</f>
        <v>27419.795498758</v>
      </c>
      <c r="O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$21,0))*(1+$BW62)</f>
        <v>18053.590012466</v>
      </c>
      <c r="P62" s="36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</f>
        <v>15796.2203962223</v>
      </c>
      <c r="Q62" s="70">
        <v>1</v>
      </c>
      <c r="R62" s="38" t="s">
        <v>122</v>
      </c>
      <c r="S62" s="38" t="s">
        <v>104</v>
      </c>
      <c r="T62" s="38" t="s">
        <v>79</v>
      </c>
      <c r="U62" s="38" t="s">
        <v>79</v>
      </c>
      <c r="V62" s="38" t="s">
        <v>79</v>
      </c>
      <c r="W62" s="38" t="s">
        <v>79</v>
      </c>
      <c r="X62" s="38" t="s">
        <v>79</v>
      </c>
      <c r="Y62" s="38" t="s">
        <v>173</v>
      </c>
      <c r="Z62" s="38" t="s">
        <v>90</v>
      </c>
      <c r="AA62" s="38" t="s">
        <v>79</v>
      </c>
      <c r="AB62" s="38" t="s">
        <v>91</v>
      </c>
      <c r="AC62" s="38" t="s">
        <v>79</v>
      </c>
      <c r="AD62" s="38" t="s">
        <v>82</v>
      </c>
      <c r="AE62" s="38" t="s">
        <v>83</v>
      </c>
      <c r="AF62" s="38" t="s">
        <v>84</v>
      </c>
      <c r="AG62" s="38" t="s">
        <v>85</v>
      </c>
      <c r="AH62" s="38" t="s">
        <v>79</v>
      </c>
      <c r="AI62" s="38" t="s">
        <v>79</v>
      </c>
      <c r="AJ62" s="38" t="s">
        <v>79</v>
      </c>
      <c r="AK62" s="38" t="s">
        <v>79</v>
      </c>
      <c r="AL62" s="38" t="s">
        <v>79</v>
      </c>
      <c r="AM62" t="str">
        <f>VLOOKUP($R62,武学奇术!$A:$ZZ,25,FALSE)</f>
        <v>拳甲</v>
      </c>
      <c r="AN62" s="24">
        <f>VLOOKUP($R62,武学奇术!$A:$ZZ,26,FALSE)</f>
        <v>1.2876</v>
      </c>
      <c r="AO62" s="25">
        <f>VLOOKUP($R62,武学奇术!$A:$ZZ,27,FALSE)*(1+IF(OR($AM62=$F$4,$AM62=$F$5),$B$22,0))</f>
        <v>537</v>
      </c>
      <c r="AP62" s="24">
        <f>VLOOKUP($R62,武学奇术!$A:$ZZ,28,FALSE)</f>
        <v>1.9313</v>
      </c>
      <c r="AQ62" s="25">
        <f>VLOOKUP($R62,武学奇术!$A:$ZZ,29,FALSE)*(1+IF(OR($AM62=$F$4,$AM62=$F$5),$B$22,0))</f>
        <v>292.5</v>
      </c>
      <c r="AR62" s="24" cm="1">
        <f t="array" ref="AR62">$G$3+IFERROR(VLOOKUP($AM62,$F$4:$G$7,2,FALSE),0)+VLOOKUP($R62,武学奇术!$A:$ZZ,2,FALSE)+SUM(_xlfn.XLOOKUP($S62:$AL62,增益!$A:$A,增益!$B:$B,0))</f>
        <v>0.4041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3901.102</v>
      </c>
      <c r="AU62" cm="1">
        <f t="array" ref="AU62">$E$10*(1+$AS62)+VLOOKUP($R62,武学奇术!$A:$ZZ,4,FALSE)+SUM(_xlfn.XLOOKUP($S62:$AL62,增益!$A:$A,增益!$D:$D,0))-$I$2</f>
        <v>3901.102</v>
      </c>
      <c r="AV62" s="30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0.317</v>
      </c>
      <c r="AW62" s="30" cm="1">
        <f t="array" ref="AW62">$G$10+VLOOKUP($R62,武学奇术!$A:$ZZ,7,FALSE)+SUM(_xlfn.XLOOKUP($S62:$AL62,增益!$A:$A,增益!$G:$G,0))</f>
        <v>0.09</v>
      </c>
      <c r="AX62" s="24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0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0" cm="1">
        <f t="array" ref="BB62">$G$11+VLOOKUP($R62,武学奇术!$A:$ZZ,10,FALSE)+SUM(_xlfn.XLOOKUP($S62:$AL62,增益!$A:$A,增益!$J:$J,0))</f>
        <v>0</v>
      </c>
      <c r="BC62">
        <f t="shared" si="14"/>
        <v>0</v>
      </c>
      <c r="BD62">
        <f t="shared" si="15"/>
        <v>0</v>
      </c>
      <c r="BE62" s="30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0" cm="1">
        <f t="array" ref="BF62">$G$12+VLOOKUP($R62,武学奇术!$A:$ZZ,12,FALSE)+SUM(_xlfn.XLOOKUP($S62:$AL62,增益!$A:$A,增益!$L:$L,0))</f>
        <v>0</v>
      </c>
      <c r="BG62">
        <f t="shared" si="16"/>
        <v>0</v>
      </c>
      <c r="BH62">
        <f t="shared" si="17"/>
        <v>0</v>
      </c>
      <c r="BI62" s="30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-0.14</v>
      </c>
      <c r="BJ62" s="30" cm="1">
        <f t="array" ref="BJ62">$G$13+VLOOKUP($R62,武学奇术!$A:$ZZ,14,FALSE)+SUM(_xlfn.XLOOKUP($S62:$AL62,增益!$A:$A,增益!$N:$N,0))</f>
        <v>0</v>
      </c>
      <c r="BK62">
        <f t="shared" si="18"/>
        <v>605.472</v>
      </c>
      <c r="BL62">
        <f t="shared" si="19"/>
        <v>1725.468</v>
      </c>
      <c r="BM62" s="30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0.08</v>
      </c>
      <c r="BN62" s="30" cm="1">
        <f t="array" ref="BN62">$G$14+VLOOKUP($R62,武学奇术!$A:$ZZ,16,FALSE)+SUM(_xlfn.XLOOKUP($S62:$AL62,增益!$A:$A,增益!$P:$P,0))</f>
        <v>0.24</v>
      </c>
      <c r="BO62" s="24">
        <f>MIN(IF(VLOOKUP($R62,武学奇术!$A:$ZZ,23,FALSE)=1,100%,$B$8),100%)</f>
        <v>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0.9036</v>
      </c>
      <c r="BQ62" s="24" cm="1">
        <f t="array" ref="BQ62">1+$B$13+VLOOKUP($R62,武学奇术!$A:$ZZ,18,FALSE)+SUM(_xlfn.XLOOKUP($S62:$AL62,增益!$A:$A,增益!$R:$R,0))</f>
        <v>1.64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4" cm="1">
        <f t="array" ref="BS62">1+$B$14+VLOOKUP($R62,武学奇术!$A:$ZZ,20,FALSE)+SUM(_xlfn.XLOOKUP($S62:$AL62,增益!$A:$A,增益!$T:$T,0))</f>
        <v>1.35</v>
      </c>
      <c r="BT62" s="24">
        <f t="shared" si="20"/>
        <v>0.9036</v>
      </c>
      <c r="BU62" s="24">
        <f t="shared" si="21"/>
        <v>0.00350000000000006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t="s">
        <v>176</v>
      </c>
      <c r="B63">
        <v>1.23</v>
      </c>
      <c r="C63" s="70" t="s">
        <v>140</v>
      </c>
      <c r="E63" s="70" t="s">
        <v>181</v>
      </c>
      <c r="F63" s="70"/>
      <c r="K63">
        <f>$L63*VLOOKUP($R63,武学奇术!$A:$ZZ,31,FALSE)</f>
        <v>100272.922810742</v>
      </c>
      <c r="L63" s="36">
        <f t="shared" si="22"/>
        <v>77133.0175467248</v>
      </c>
      <c r="M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$21,0))*(1+$BW63)</f>
        <v>78768.242656267</v>
      </c>
      <c r="N63" s="36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</f>
        <v>62604.1531565683</v>
      </c>
      <c r="O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$21,0))*(1+$BW63)</f>
        <v>40602.1869362201</v>
      </c>
      <c r="P63" s="36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</f>
        <v>34830.927089797</v>
      </c>
      <c r="Q63" s="70">
        <v>1</v>
      </c>
      <c r="R63" s="38" t="s">
        <v>124</v>
      </c>
      <c r="S63" s="38" t="s">
        <v>104</v>
      </c>
      <c r="T63" s="38" t="s">
        <v>79</v>
      </c>
      <c r="U63" s="38" t="s">
        <v>79</v>
      </c>
      <c r="V63" s="38" t="s">
        <v>79</v>
      </c>
      <c r="W63" s="38" t="s">
        <v>79</v>
      </c>
      <c r="X63" s="38" t="s">
        <v>79</v>
      </c>
      <c r="Y63" s="38" t="s">
        <v>173</v>
      </c>
      <c r="Z63" s="38" t="s">
        <v>90</v>
      </c>
      <c r="AA63" s="38" t="s">
        <v>112</v>
      </c>
      <c r="AB63" s="38" t="s">
        <v>91</v>
      </c>
      <c r="AC63" s="38" t="s">
        <v>79</v>
      </c>
      <c r="AD63" s="38" t="s">
        <v>82</v>
      </c>
      <c r="AE63" s="38" t="s">
        <v>83</v>
      </c>
      <c r="AF63" s="38" t="s">
        <v>84</v>
      </c>
      <c r="AG63" s="38" t="s">
        <v>85</v>
      </c>
      <c r="AH63" s="38" t="s">
        <v>79</v>
      </c>
      <c r="AI63" s="38" t="s">
        <v>79</v>
      </c>
      <c r="AJ63" s="38" t="s">
        <v>79</v>
      </c>
      <c r="AK63" s="38" t="s">
        <v>79</v>
      </c>
      <c r="AL63" s="38" t="s">
        <v>79</v>
      </c>
      <c r="AM63" t="str">
        <f>VLOOKUP($R63,武学奇术!$A:$ZZ,25,FALSE)</f>
        <v>拳甲</v>
      </c>
      <c r="AN63" s="24">
        <f>VLOOKUP($R63,武学奇术!$A:$ZZ,26,FALSE)</f>
        <v>2.638944</v>
      </c>
      <c r="AO63" s="25">
        <f>VLOOKUP($R63,武学奇术!$A:$ZZ,27,FALSE)*(1+IF(OR($AM63=$F$4,$AM63=$F$5),$B$22,0))</f>
        <v>0</v>
      </c>
      <c r="AP63" s="24">
        <f>VLOOKUP($R63,武学奇术!$A:$ZZ,28,FALSE)</f>
        <v>3.958416</v>
      </c>
      <c r="AQ63" s="25">
        <f>VLOOKUP($R63,武学奇术!$A:$ZZ,29,FALSE)*(1+IF(OR($AM63=$F$4,$AM63=$F$5),$B$22,0))</f>
        <v>0</v>
      </c>
      <c r="AR63" s="24" cm="1">
        <f t="array" ref="AR63">$G$3+IFERROR(VLOOKUP($AM63,$F$4:$G$7,2,FALSE),0)+VLOOKUP($R63,武学奇术!$A:$ZZ,2,FALSE)+SUM(_xlfn.XLOOKUP($S63:$AL63,增益!$A:$A,增益!$B:$B,0))</f>
        <v>0.7041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3901.102</v>
      </c>
      <c r="AU63" cm="1">
        <f t="array" ref="AU63">$E$10*(1+$AS63)+VLOOKUP($R63,武学奇术!$A:$ZZ,4,FALSE)+SUM(_xlfn.XLOOKUP($S63:$AL63,增益!$A:$A,增益!$D:$D,0))-$I$2</f>
        <v>3901.102</v>
      </c>
      <c r="AV63" s="30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0.347</v>
      </c>
      <c r="AW63" s="30" cm="1">
        <f t="array" ref="AW63">$G$10+VLOOKUP($R63,武学奇术!$A:$ZZ,7,FALSE)+SUM(_xlfn.XLOOKUP($S63:$AL63,增益!$A:$A,增益!$G:$G,0))</f>
        <v>0.09</v>
      </c>
      <c r="AX63" s="24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0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-0.08</v>
      </c>
      <c r="BB63" s="30" cm="1">
        <f t="array" ref="BB63">$G$11+VLOOKUP($R63,武学奇术!$A:$ZZ,10,FALSE)+SUM(_xlfn.XLOOKUP($S63:$AL63,增益!$A:$A,增益!$J:$J,0))</f>
        <v>0</v>
      </c>
      <c r="BC63">
        <f t="shared" si="14"/>
        <v>0</v>
      </c>
      <c r="BD63">
        <f t="shared" si="15"/>
        <v>0</v>
      </c>
      <c r="BE63" s="30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-0.08</v>
      </c>
      <c r="BF63" s="30" cm="1">
        <f t="array" ref="BF63">$G$12+VLOOKUP($R63,武学奇术!$A:$ZZ,12,FALSE)+SUM(_xlfn.XLOOKUP($S63:$AL63,增益!$A:$A,增益!$L:$L,0))</f>
        <v>0</v>
      </c>
      <c r="BG63">
        <f t="shared" si="16"/>
        <v>0</v>
      </c>
      <c r="BH63">
        <f t="shared" si="17"/>
        <v>0</v>
      </c>
      <c r="BI63" s="30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-0.08</v>
      </c>
      <c r="BJ63" s="30" cm="1">
        <f t="array" ref="BJ63">$G$13+VLOOKUP($R63,武学奇术!$A:$ZZ,14,FALSE)+SUM(_xlfn.XLOOKUP($S63:$AL63,增益!$A:$A,增益!$N:$N,0))</f>
        <v>0</v>
      </c>
      <c r="BK63">
        <f t="shared" si="18"/>
        <v>605.472</v>
      </c>
      <c r="BL63">
        <f t="shared" si="19"/>
        <v>1725.468</v>
      </c>
      <c r="BM63" s="30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0.11</v>
      </c>
      <c r="BN63" s="30" cm="1">
        <f t="array" ref="BN63">$G$14+VLOOKUP($R63,武学奇术!$A:$ZZ,16,FALSE)+SUM(_xlfn.XLOOKUP($S63:$AL63,增益!$A:$A,增益!$P:$P,0))</f>
        <v>0.24</v>
      </c>
      <c r="BO63" s="24">
        <f>MIN(IF(VLOOKUP($R63,武学奇术!$A:$ZZ,23,FALSE)=1,100%,$B$8),100%)</f>
        <v>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0.9036</v>
      </c>
      <c r="BQ63" s="24" cm="1">
        <f t="array" ref="BQ63">1+$B$13+VLOOKUP($R63,武学奇术!$A:$ZZ,18,FALSE)+SUM(_xlfn.XLOOKUP($S63:$AL63,增益!$A:$A,增益!$R:$R,0))</f>
        <v>1.94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4" cm="1">
        <f t="array" ref="BS63">1+$B$14+VLOOKUP($R63,武学奇术!$A:$ZZ,20,FALSE)+SUM(_xlfn.XLOOKUP($S63:$AL63,增益!$A:$A,增益!$T:$T,0))</f>
        <v>1.35</v>
      </c>
      <c r="BT63" s="24">
        <f t="shared" si="20"/>
        <v>0.9036</v>
      </c>
      <c r="BU63" s="24">
        <f t="shared" si="21"/>
        <v>0.00350000000000006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s="4" t="s">
        <v>193</v>
      </c>
      <c r="B64" s="91">
        <v>1.35</v>
      </c>
      <c r="C64" s="70"/>
      <c r="E64" s="70"/>
      <c r="F64" s="70"/>
      <c r="K64">
        <f>$L64*VLOOKUP($R64,武学奇术!$A:$ZZ,31,FALSE)</f>
        <v>121469.629292763</v>
      </c>
      <c r="L64" s="36">
        <f t="shared" si="22"/>
        <v>93438.1763790488</v>
      </c>
      <c r="M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$21,0))*(1+$BW64)</f>
        <v>95588.1057536507</v>
      </c>
      <c r="N64" s="36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</f>
        <v>74190.6485676828</v>
      </c>
      <c r="O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$21,0))*(1+$BW64)</f>
        <v>49272.2194606447</v>
      </c>
      <c r="P64" s="36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</f>
        <v>43588.402945228</v>
      </c>
      <c r="Q64" s="70">
        <v>1</v>
      </c>
      <c r="R64" s="38" t="s">
        <v>119</v>
      </c>
      <c r="S64" s="38" t="s">
        <v>104</v>
      </c>
      <c r="T64" s="38" t="s">
        <v>79</v>
      </c>
      <c r="U64" s="38" t="s">
        <v>79</v>
      </c>
      <c r="V64" s="38" t="s">
        <v>79</v>
      </c>
      <c r="W64" s="38" t="s">
        <v>79</v>
      </c>
      <c r="X64" s="38" t="s">
        <v>79</v>
      </c>
      <c r="Y64" s="38" t="s">
        <v>173</v>
      </c>
      <c r="Z64" s="38" t="s">
        <v>90</v>
      </c>
      <c r="AA64" s="38" t="s">
        <v>112</v>
      </c>
      <c r="AB64" s="38" t="s">
        <v>97</v>
      </c>
      <c r="AC64" s="38" t="s">
        <v>79</v>
      </c>
      <c r="AD64" s="38" t="s">
        <v>82</v>
      </c>
      <c r="AE64" s="38" t="s">
        <v>83</v>
      </c>
      <c r="AF64" s="38" t="s">
        <v>84</v>
      </c>
      <c r="AG64" s="38" t="s">
        <v>85</v>
      </c>
      <c r="AH64" s="38" t="s">
        <v>79</v>
      </c>
      <c r="AI64" s="38" t="s">
        <v>79</v>
      </c>
      <c r="AJ64" s="38" t="s">
        <v>79</v>
      </c>
      <c r="AK64" s="38" t="s">
        <v>79</v>
      </c>
      <c r="AL64" s="38" t="s">
        <v>79</v>
      </c>
      <c r="AM64" t="str">
        <f>VLOOKUP($R64,武学奇术!$A:$ZZ,25,FALSE)</f>
        <v>拳甲</v>
      </c>
      <c r="AN64" s="24">
        <f>VLOOKUP($R64,武学奇术!$A:$ZZ,26,FALSE)</f>
        <v>2.91176</v>
      </c>
      <c r="AO64" s="25">
        <f>VLOOKUP($R64,武学奇术!$A:$ZZ,27,FALSE)*(1+IF(OR($AM64=$F$4,$AM64=$F$5),$B$22,0))</f>
        <v>1208.7</v>
      </c>
      <c r="AP64" s="24">
        <f>VLOOKUP($R64,武学奇术!$A:$ZZ,28,FALSE)</f>
        <v>3.89844</v>
      </c>
      <c r="AQ64" s="25">
        <f>VLOOKUP($R64,武学奇术!$A:$ZZ,29,FALSE)*(1+IF(OR($AM64=$F$4,$AM64=$F$5),$B$22,0))</f>
        <v>650.25</v>
      </c>
      <c r="AR64" s="24" cm="1">
        <f t="array" ref="AR64">$G$3+IFERROR(VLOOKUP($AM64,$F$4:$G$7,2,FALSE),0)+VLOOKUP($R64,武学奇术!$A:$ZZ,2,FALSE)+SUM(_xlfn.XLOOKUP($S64:$AL64,增益!$A:$A,增益!$B:$B,0))</f>
        <v>0.7041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3901.102</v>
      </c>
      <c r="AU64" cm="1">
        <f t="array" ref="AU64">$E$10*(1+$AS64)+VLOOKUP($R64,武学奇术!$A:$ZZ,4,FALSE)+SUM(_xlfn.XLOOKUP($S64:$AL64,增益!$A:$A,增益!$D:$D,0))-$I$2</f>
        <v>3901.102</v>
      </c>
      <c r="AV64" s="30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0.347</v>
      </c>
      <c r="AW64" s="30" cm="1">
        <f t="array" ref="AW64">$G$10+VLOOKUP($R64,武学奇术!$A:$ZZ,7,FALSE)+SUM(_xlfn.XLOOKUP($S64:$AL64,增益!$A:$A,增益!$G:$G,0))</f>
        <v>0.09</v>
      </c>
      <c r="AX64" s="24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0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-0.08</v>
      </c>
      <c r="BB64" s="30" cm="1">
        <f t="array" ref="BB64">$G$11+VLOOKUP($R64,武学奇术!$A:$ZZ,10,FALSE)+SUM(_xlfn.XLOOKUP($S64:$AL64,增益!$A:$A,增益!$J:$J,0))</f>
        <v>0</v>
      </c>
      <c r="BC64">
        <f t="shared" si="14"/>
        <v>0</v>
      </c>
      <c r="BD64">
        <f t="shared" si="15"/>
        <v>0</v>
      </c>
      <c r="BE64" s="30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-0.08</v>
      </c>
      <c r="BF64" s="30" cm="1">
        <f t="array" ref="BF64">$G$12+VLOOKUP($R64,武学奇术!$A:$ZZ,12,FALSE)+SUM(_xlfn.XLOOKUP($S64:$AL64,增益!$A:$A,增益!$L:$L,0))</f>
        <v>0</v>
      </c>
      <c r="BG64">
        <f t="shared" si="16"/>
        <v>0</v>
      </c>
      <c r="BH64">
        <f t="shared" si="17"/>
        <v>0</v>
      </c>
      <c r="BI64" s="30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-0.08</v>
      </c>
      <c r="BJ64" s="30" cm="1">
        <f t="array" ref="BJ64">$G$13+VLOOKUP($R64,武学奇术!$A:$ZZ,14,FALSE)+SUM(_xlfn.XLOOKUP($S64:$AL64,增益!$A:$A,增益!$N:$N,0))</f>
        <v>0</v>
      </c>
      <c r="BK64">
        <f t="shared" si="18"/>
        <v>605.472</v>
      </c>
      <c r="BL64">
        <f t="shared" si="19"/>
        <v>1725.468</v>
      </c>
      <c r="BM64" s="30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0.11</v>
      </c>
      <c r="BN64" s="30" cm="1">
        <f t="array" ref="BN64">$G$14+VLOOKUP($R64,武学奇术!$A:$ZZ,16,FALSE)+SUM(_xlfn.XLOOKUP($S64:$AL64,增益!$A:$A,增益!$P:$P,0))</f>
        <v>0.24</v>
      </c>
      <c r="BO64" s="24">
        <f>MIN(IF(VLOOKUP($R64,武学奇术!$A:$ZZ,23,FALSE)=1,100%,$B$8),100%)</f>
        <v>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0.9036</v>
      </c>
      <c r="BQ64" s="24" cm="1">
        <f t="array" ref="BQ64">1+$B$13+VLOOKUP($R64,武学奇术!$A:$ZZ,18,FALSE)+SUM(_xlfn.XLOOKUP($S64:$AL64,增益!$A:$A,增益!$R:$R,0))</f>
        <v>1.94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4" cm="1">
        <f t="array" ref="BS64">1+$B$14+VLOOKUP($R64,武学奇术!$A:$ZZ,20,FALSE)+SUM(_xlfn.XLOOKUP($S64:$AL64,增益!$A:$A,增益!$T:$T,0))</f>
        <v>1.35</v>
      </c>
      <c r="BT64" s="24">
        <f t="shared" si="20"/>
        <v>0.9036</v>
      </c>
      <c r="BU64" s="24">
        <f t="shared" si="21"/>
        <v>0.00350000000000006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A65" t="s">
        <v>169</v>
      </c>
      <c r="B65">
        <v>0.1</v>
      </c>
      <c r="C65" s="70"/>
      <c r="E65" s="70"/>
      <c r="F65" s="70"/>
      <c r="K65">
        <f>$L65*VLOOKUP($R65,武学奇术!$A:$ZZ,31,FALSE)</f>
        <v>29364.1738207116</v>
      </c>
      <c r="L65" s="36">
        <f t="shared" si="22"/>
        <v>29364.1738207116</v>
      </c>
      <c r="M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$21,0))*(1+$BW65)</f>
        <v>29607.8876204442</v>
      </c>
      <c r="N65" s="36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</f>
        <v>27419.795498758</v>
      </c>
      <c r="O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$21,0))*(1+$BW65)</f>
        <v>18053.590012466</v>
      </c>
      <c r="P65" s="36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</f>
        <v>15796.2203962223</v>
      </c>
      <c r="Q65" s="70">
        <v>1</v>
      </c>
      <c r="R65" s="38" t="s">
        <v>122</v>
      </c>
      <c r="S65" s="38" t="s">
        <v>104</v>
      </c>
      <c r="T65" s="38" t="s">
        <v>79</v>
      </c>
      <c r="U65" s="38" t="s">
        <v>79</v>
      </c>
      <c r="V65" s="38" t="s">
        <v>79</v>
      </c>
      <c r="W65" s="38" t="s">
        <v>79</v>
      </c>
      <c r="X65" s="38" t="s">
        <v>79</v>
      </c>
      <c r="Y65" s="38" t="s">
        <v>173</v>
      </c>
      <c r="Z65" s="38" t="s">
        <v>90</v>
      </c>
      <c r="AA65" s="38" t="s">
        <v>79</v>
      </c>
      <c r="AB65" s="38" t="s">
        <v>97</v>
      </c>
      <c r="AC65" s="38" t="s">
        <v>79</v>
      </c>
      <c r="AD65" s="38" t="s">
        <v>82</v>
      </c>
      <c r="AE65" s="38" t="s">
        <v>83</v>
      </c>
      <c r="AF65" s="38" t="s">
        <v>84</v>
      </c>
      <c r="AG65" s="38" t="s">
        <v>85</v>
      </c>
      <c r="AH65" s="38" t="s">
        <v>79</v>
      </c>
      <c r="AI65" s="38" t="s">
        <v>79</v>
      </c>
      <c r="AJ65" s="38" t="s">
        <v>79</v>
      </c>
      <c r="AK65" s="38" t="s">
        <v>79</v>
      </c>
      <c r="AL65" s="38" t="s">
        <v>79</v>
      </c>
      <c r="AM65" t="str">
        <f>VLOOKUP($R65,武学奇术!$A:$ZZ,25,FALSE)</f>
        <v>拳甲</v>
      </c>
      <c r="AN65" s="24">
        <f>VLOOKUP($R65,武学奇术!$A:$ZZ,26,FALSE)</f>
        <v>1.2876</v>
      </c>
      <c r="AO65" s="25">
        <f>VLOOKUP($R65,武学奇术!$A:$ZZ,27,FALSE)*(1+IF(OR($AM65=$F$4,$AM65=$F$5),$B$22,0))</f>
        <v>537</v>
      </c>
      <c r="AP65" s="24">
        <f>VLOOKUP($R65,武学奇术!$A:$ZZ,28,FALSE)</f>
        <v>1.9313</v>
      </c>
      <c r="AQ65" s="25">
        <f>VLOOKUP($R65,武学奇术!$A:$ZZ,29,FALSE)*(1+IF(OR($AM65=$F$4,$AM65=$F$5),$B$22,0))</f>
        <v>292.5</v>
      </c>
      <c r="AR65" s="24" cm="1">
        <f t="array" ref="AR65">$G$3+IFERROR(VLOOKUP($AM65,$F$4:$G$7,2,FALSE),0)+VLOOKUP($R65,武学奇术!$A:$ZZ,2,FALSE)+SUM(_xlfn.XLOOKUP($S65:$AL65,增益!$A:$A,增益!$B:$B,0))</f>
        <v>0.4041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3901.102</v>
      </c>
      <c r="AU65" cm="1">
        <f t="array" ref="AU65">$E$10*(1+$AS65)+VLOOKUP($R65,武学奇术!$A:$ZZ,4,FALSE)+SUM(_xlfn.XLOOKUP($S65:$AL65,增益!$A:$A,增益!$D:$D,0))-$I$2</f>
        <v>3901.102</v>
      </c>
      <c r="AV65" s="30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0.317</v>
      </c>
      <c r="AW65" s="30" cm="1">
        <f t="array" ref="AW65">$G$10+VLOOKUP($R65,武学奇术!$A:$ZZ,7,FALSE)+SUM(_xlfn.XLOOKUP($S65:$AL65,增益!$A:$A,增益!$G:$G,0))</f>
        <v>0.09</v>
      </c>
      <c r="AX65" s="24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0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0" cm="1">
        <f t="array" ref="BB65">$G$11+VLOOKUP($R65,武学奇术!$A:$ZZ,10,FALSE)+SUM(_xlfn.XLOOKUP($S65:$AL65,增益!$A:$A,增益!$J:$J,0))</f>
        <v>0</v>
      </c>
      <c r="BC65">
        <f t="shared" si="14"/>
        <v>0</v>
      </c>
      <c r="BD65">
        <f t="shared" si="15"/>
        <v>0</v>
      </c>
      <c r="BE65" s="30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0" cm="1">
        <f t="array" ref="BF65">$G$12+VLOOKUP($R65,武学奇术!$A:$ZZ,12,FALSE)+SUM(_xlfn.XLOOKUP($S65:$AL65,增益!$A:$A,增益!$L:$L,0))</f>
        <v>0</v>
      </c>
      <c r="BG65">
        <f t="shared" si="16"/>
        <v>0</v>
      </c>
      <c r="BH65">
        <f t="shared" si="17"/>
        <v>0</v>
      </c>
      <c r="BI65" s="30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-0.14</v>
      </c>
      <c r="BJ65" s="30" cm="1">
        <f t="array" ref="BJ65">$G$13+VLOOKUP($R65,武学奇术!$A:$ZZ,14,FALSE)+SUM(_xlfn.XLOOKUP($S65:$AL65,增益!$A:$A,增益!$N:$N,0))</f>
        <v>0</v>
      </c>
      <c r="BK65">
        <f t="shared" si="18"/>
        <v>605.472</v>
      </c>
      <c r="BL65">
        <f t="shared" si="19"/>
        <v>1725.468</v>
      </c>
      <c r="BM65" s="30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0.08</v>
      </c>
      <c r="BN65" s="30" cm="1">
        <f t="array" ref="BN65">$G$14+VLOOKUP($R65,武学奇术!$A:$ZZ,16,FALSE)+SUM(_xlfn.XLOOKUP($S65:$AL65,增益!$A:$A,增益!$P:$P,0))</f>
        <v>0.24</v>
      </c>
      <c r="BO65" s="24">
        <f>MIN(IF(VLOOKUP($R65,武学奇术!$A:$ZZ,23,FALSE)=1,100%,$B$8),100%)</f>
        <v>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0.9036</v>
      </c>
      <c r="BQ65" s="24" cm="1">
        <f t="array" ref="BQ65">1+$B$13+VLOOKUP($R65,武学奇术!$A:$ZZ,18,FALSE)+SUM(_xlfn.XLOOKUP($S65:$AL65,增益!$A:$A,增益!$R:$R,0))</f>
        <v>1.64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4" cm="1">
        <f t="array" ref="BS65">1+$B$14+VLOOKUP($R65,武学奇术!$A:$ZZ,20,FALSE)+SUM(_xlfn.XLOOKUP($S65:$AL65,增益!$A:$A,增益!$T:$T,0))</f>
        <v>1.35</v>
      </c>
      <c r="BT65" s="24">
        <f t="shared" si="20"/>
        <v>0.9036</v>
      </c>
      <c r="BU65" s="24">
        <f t="shared" si="21"/>
        <v>0.00350000000000006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</v>
      </c>
    </row>
    <row r="66" spans="1:76">
      <c r="A66" t="s">
        <v>190</v>
      </c>
      <c r="B66">
        <v>1.7</v>
      </c>
      <c r="C66" s="70"/>
      <c r="E66" s="70"/>
      <c r="F66" s="70"/>
      <c r="K66">
        <f>$L66*VLOOKUP($R66,武学奇术!$A:$ZZ,31,FALSE)</f>
        <v>100272.922810742</v>
      </c>
      <c r="L66" s="36">
        <f t="shared" si="22"/>
        <v>77133.0175467248</v>
      </c>
      <c r="M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$21,0))*(1+$BW66)</f>
        <v>78768.242656267</v>
      </c>
      <c r="N66" s="36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</f>
        <v>62604.1531565683</v>
      </c>
      <c r="O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$21,0))*(1+$BW66)</f>
        <v>40602.1869362201</v>
      </c>
      <c r="P66" s="36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</f>
        <v>34830.927089797</v>
      </c>
      <c r="Q66" s="70">
        <v>1</v>
      </c>
      <c r="R66" s="38" t="s">
        <v>124</v>
      </c>
      <c r="S66" s="38" t="s">
        <v>104</v>
      </c>
      <c r="T66" s="38" t="s">
        <v>79</v>
      </c>
      <c r="U66" s="38" t="s">
        <v>79</v>
      </c>
      <c r="V66" s="38" t="s">
        <v>79</v>
      </c>
      <c r="W66" s="38" t="s">
        <v>79</v>
      </c>
      <c r="X66" s="38" t="s">
        <v>79</v>
      </c>
      <c r="Y66" s="38" t="s">
        <v>173</v>
      </c>
      <c r="Z66" s="38" t="s">
        <v>90</v>
      </c>
      <c r="AA66" s="38" t="s">
        <v>112</v>
      </c>
      <c r="AB66" s="38" t="s">
        <v>97</v>
      </c>
      <c r="AC66" s="38" t="s">
        <v>79</v>
      </c>
      <c r="AD66" s="38" t="s">
        <v>82</v>
      </c>
      <c r="AE66" s="38" t="s">
        <v>83</v>
      </c>
      <c r="AF66" s="38" t="s">
        <v>84</v>
      </c>
      <c r="AG66" s="38" t="s">
        <v>85</v>
      </c>
      <c r="AH66" s="38" t="s">
        <v>79</v>
      </c>
      <c r="AI66" s="38" t="s">
        <v>79</v>
      </c>
      <c r="AJ66" s="38" t="s">
        <v>79</v>
      </c>
      <c r="AK66" s="38" t="s">
        <v>79</v>
      </c>
      <c r="AL66" s="38" t="s">
        <v>79</v>
      </c>
      <c r="AM66" t="str">
        <f>VLOOKUP($R66,武学奇术!$A:$ZZ,25,FALSE)</f>
        <v>拳甲</v>
      </c>
      <c r="AN66" s="24">
        <f>VLOOKUP($R66,武学奇术!$A:$ZZ,26,FALSE)</f>
        <v>2.638944</v>
      </c>
      <c r="AO66" s="25">
        <f>VLOOKUP($R66,武学奇术!$A:$ZZ,27,FALSE)*(1+IF(OR($AM66=$F$4,$AM66=$F$5),$B$22,0))</f>
        <v>0</v>
      </c>
      <c r="AP66" s="24">
        <f>VLOOKUP($R66,武学奇术!$A:$ZZ,28,FALSE)</f>
        <v>3.958416</v>
      </c>
      <c r="AQ66" s="25">
        <f>VLOOKUP($R66,武学奇术!$A:$ZZ,29,FALSE)*(1+IF(OR($AM66=$F$4,$AM66=$F$5),$B$22,0))</f>
        <v>0</v>
      </c>
      <c r="AR66" s="24" cm="1">
        <f t="array" ref="AR66">$G$3+IFERROR(VLOOKUP($AM66,$F$4:$G$7,2,FALSE),0)+VLOOKUP($R66,武学奇术!$A:$ZZ,2,FALSE)+SUM(_xlfn.XLOOKUP($S66:$AL66,增益!$A:$A,增益!$B:$B,0))</f>
        <v>0.7041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3901.102</v>
      </c>
      <c r="AU66" cm="1">
        <f t="array" ref="AU66">$E$10*(1+$AS66)+VLOOKUP($R66,武学奇术!$A:$ZZ,4,FALSE)+SUM(_xlfn.XLOOKUP($S66:$AL66,增益!$A:$A,增益!$D:$D,0))-$I$2</f>
        <v>3901.102</v>
      </c>
      <c r="AV66" s="30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0.347</v>
      </c>
      <c r="AW66" s="30" cm="1">
        <f t="array" ref="AW66">$G$10+VLOOKUP($R66,武学奇术!$A:$ZZ,7,FALSE)+SUM(_xlfn.XLOOKUP($S66:$AL66,增益!$A:$A,增益!$G:$G,0))</f>
        <v>0.09</v>
      </c>
      <c r="AX66" s="24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0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-0.08</v>
      </c>
      <c r="BB66" s="30" cm="1">
        <f t="array" ref="BB66">$G$11+VLOOKUP($R66,武学奇术!$A:$ZZ,10,FALSE)+SUM(_xlfn.XLOOKUP($S66:$AL66,增益!$A:$A,增益!$J:$J,0))</f>
        <v>0</v>
      </c>
      <c r="BC66">
        <f t="shared" si="14"/>
        <v>0</v>
      </c>
      <c r="BD66">
        <f t="shared" si="15"/>
        <v>0</v>
      </c>
      <c r="BE66" s="30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-0.08</v>
      </c>
      <c r="BF66" s="30" cm="1">
        <f t="array" ref="BF66">$G$12+VLOOKUP($R66,武学奇术!$A:$ZZ,12,FALSE)+SUM(_xlfn.XLOOKUP($S66:$AL66,增益!$A:$A,增益!$L:$L,0))</f>
        <v>0</v>
      </c>
      <c r="BG66">
        <f t="shared" si="16"/>
        <v>0</v>
      </c>
      <c r="BH66">
        <f t="shared" si="17"/>
        <v>0</v>
      </c>
      <c r="BI66" s="30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-0.08</v>
      </c>
      <c r="BJ66" s="30" cm="1">
        <f t="array" ref="BJ66">$G$13+VLOOKUP($R66,武学奇术!$A:$ZZ,14,FALSE)+SUM(_xlfn.XLOOKUP($S66:$AL66,增益!$A:$A,增益!$N:$N,0))</f>
        <v>0</v>
      </c>
      <c r="BK66">
        <f t="shared" si="18"/>
        <v>605.472</v>
      </c>
      <c r="BL66">
        <f t="shared" si="19"/>
        <v>1725.468</v>
      </c>
      <c r="BM66" s="30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0.11</v>
      </c>
      <c r="BN66" s="30" cm="1">
        <f t="array" ref="BN66">$G$14+VLOOKUP($R66,武学奇术!$A:$ZZ,16,FALSE)+SUM(_xlfn.XLOOKUP($S66:$AL66,增益!$A:$A,增益!$P:$P,0))</f>
        <v>0.24</v>
      </c>
      <c r="BO66" s="24">
        <f>MIN(IF(VLOOKUP($R66,武学奇术!$A:$ZZ,23,FALSE)=1,100%,$B$8),100%)</f>
        <v>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0.9036</v>
      </c>
      <c r="BQ66" s="24" cm="1">
        <f t="array" ref="BQ66">1+$B$13+VLOOKUP($R66,武学奇术!$A:$ZZ,18,FALSE)+SUM(_xlfn.XLOOKUP($S66:$AL66,增益!$A:$A,增益!$R:$R,0))</f>
        <v>1.94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4" cm="1">
        <f t="array" ref="BS66">1+$B$14+VLOOKUP($R66,武学奇术!$A:$ZZ,20,FALSE)+SUM(_xlfn.XLOOKUP($S66:$AL66,增益!$A:$A,增益!$T:$T,0))</f>
        <v>1.35</v>
      </c>
      <c r="BT66" s="24">
        <f t="shared" si="20"/>
        <v>0.9036</v>
      </c>
      <c r="BU66" s="24">
        <f t="shared" si="21"/>
        <v>0.00350000000000006</v>
      </c>
      <c r="BV66" s="24">
        <f>IF(VLOOKUP($R66,武学奇术!$A:$ZZ,22,FALSE)=1,0,(1-$BO66))*(1-$BR66)</f>
        <v>0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s="4" t="s">
        <v>194</v>
      </c>
      <c r="B67" s="4">
        <v>0.16</v>
      </c>
      <c r="C67" s="70"/>
      <c r="E67" s="70"/>
      <c r="K67">
        <f>$L67*VLOOKUP($R67,武学奇术!$A:$ZZ,31,FALSE)</f>
        <v>189009.488103743</v>
      </c>
      <c r="L67" s="36">
        <f t="shared" si="22"/>
        <v>189009.488103743</v>
      </c>
      <c r="M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$21,0))*(1+$BW67)</f>
        <v>190404.414526408</v>
      </c>
      <c r="N67" s="36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</f>
        <v>178188.463434025</v>
      </c>
      <c r="O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$21,0))*(1+$BW67)</f>
        <v>116100.252760005</v>
      </c>
      <c r="P67" s="36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</f>
        <v>100209.051124435</v>
      </c>
      <c r="Q67" s="70">
        <v>1</v>
      </c>
      <c r="R67" s="38" t="s">
        <v>187</v>
      </c>
      <c r="S67" s="38" t="s">
        <v>104</v>
      </c>
      <c r="T67" s="38" t="s">
        <v>79</v>
      </c>
      <c r="U67" s="38" t="s">
        <v>79</v>
      </c>
      <c r="V67" s="38" t="s">
        <v>79</v>
      </c>
      <c r="W67" s="38" t="s">
        <v>79</v>
      </c>
      <c r="X67" s="38" t="s">
        <v>79</v>
      </c>
      <c r="Y67" s="38" t="s">
        <v>173</v>
      </c>
      <c r="Z67" s="38" t="s">
        <v>90</v>
      </c>
      <c r="AA67" s="38" t="s">
        <v>79</v>
      </c>
      <c r="AB67" s="38" t="s">
        <v>97</v>
      </c>
      <c r="AC67" s="38" t="s">
        <v>79</v>
      </c>
      <c r="AD67" s="38" t="s">
        <v>82</v>
      </c>
      <c r="AE67" s="38" t="s">
        <v>83</v>
      </c>
      <c r="AF67" s="38" t="s">
        <v>84</v>
      </c>
      <c r="AG67" s="38" t="s">
        <v>85</v>
      </c>
      <c r="AH67" s="38" t="s">
        <v>79</v>
      </c>
      <c r="AI67" s="38" t="s">
        <v>79</v>
      </c>
      <c r="AJ67" s="38" t="s">
        <v>79</v>
      </c>
      <c r="AK67" s="38" t="s">
        <v>79</v>
      </c>
      <c r="AL67" s="38" t="s">
        <v>79</v>
      </c>
      <c r="AM67" t="str">
        <f>VLOOKUP($R67,武学奇术!$A:$ZZ,25,FALSE)</f>
        <v>群体奇术</v>
      </c>
      <c r="AN67" s="24">
        <f>VLOOKUP($R67,武学奇术!$A:$ZZ,26,FALSE)</f>
        <v>10.315755</v>
      </c>
      <c r="AO67" s="25">
        <f>VLOOKUP($R67,武学奇术!$A:$ZZ,27,FALSE)*(1+IF(OR($AM67=$F$4,$AM67=$F$5),$B$22,0))</f>
        <v>1992.6</v>
      </c>
      <c r="AP67" s="24">
        <f>VLOOKUP($R67,武学奇术!$A:$ZZ,28,FALSE)</f>
        <v>15.4736325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0.2337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3901.102</v>
      </c>
      <c r="AU67" cm="1">
        <f t="array" ref="AU67">$E$10*(1+$AS67)+VLOOKUP($R67,武学奇术!$A:$ZZ,4,FALSE)+SUM(_xlfn.XLOOKUP($S67:$AL67,增益!$A:$A,增益!$D:$D,0))-$I$2</f>
        <v>3901.102</v>
      </c>
      <c r="AV67" s="30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0.317</v>
      </c>
      <c r="AW67" s="30" cm="1">
        <f t="array" ref="AW67">$G$10+VLOOKUP($R67,武学奇术!$A:$ZZ,7,FALSE)+SUM(_xlfn.XLOOKUP($S67:$AL67,增益!$A:$A,增益!$G:$G,0))</f>
        <v>0.09</v>
      </c>
      <c r="AX67" s="24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0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0" cm="1">
        <f t="array" ref="BB67">$G$11+VLOOKUP($R67,武学奇术!$A:$ZZ,10,FALSE)+SUM(_xlfn.XLOOKUP($S67:$AL67,增益!$A:$A,增益!$J:$J,0))</f>
        <v>0</v>
      </c>
      <c r="BC67">
        <f t="shared" ref="BC67:BC98" si="25">$D$12*(1+$AX67)</f>
        <v>0</v>
      </c>
      <c r="BD67">
        <f t="shared" ref="BD67:BD98" si="26">$E$12*(1+$AX67)</f>
        <v>0</v>
      </c>
      <c r="BE67" s="30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0" cm="1">
        <f t="array" ref="BF67">$G$12+VLOOKUP($R67,武学奇术!$A:$ZZ,12,FALSE)+SUM(_xlfn.XLOOKUP($S67:$AL67,增益!$A:$A,增益!$L:$L,0))</f>
        <v>0</v>
      </c>
      <c r="BG67">
        <f t="shared" ref="BG67:BG98" si="27">$D$13*(1+$AX67)</f>
        <v>0</v>
      </c>
      <c r="BH67">
        <f t="shared" ref="BH67:BH98" si="28">$E$13*(1+$AX67)</f>
        <v>0</v>
      </c>
      <c r="BI67" s="30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-0.14</v>
      </c>
      <c r="BJ67" s="30" cm="1">
        <f t="array" ref="BJ67">$G$13+VLOOKUP($R67,武学奇术!$A:$ZZ,14,FALSE)+SUM(_xlfn.XLOOKUP($S67:$AL67,增益!$A:$A,增益!$N:$N,0))</f>
        <v>0</v>
      </c>
      <c r="BK67">
        <f t="shared" ref="BK67:BK98" si="29">$D$14*(1+$AX67)</f>
        <v>605.472</v>
      </c>
      <c r="BL67">
        <f t="shared" ref="BL67:BL98" si="30">$E$14*(1+$AX67)</f>
        <v>1725.468</v>
      </c>
      <c r="BM67" s="30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0.08</v>
      </c>
      <c r="BN67" s="30" cm="1">
        <f t="array" ref="BN67">$G$14+VLOOKUP($R67,武学奇术!$A:$ZZ,16,FALSE)+SUM(_xlfn.XLOOKUP($S67:$AL67,增益!$A:$A,增益!$P:$P,0))</f>
        <v>0.24</v>
      </c>
      <c r="BO67" s="24">
        <f>MIN(IF(VLOOKUP($R67,武学奇术!$A:$ZZ,23,FALSE)=1,100%,$B$8),100%)</f>
        <v>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0.9036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1">MIN((1-BR67)*BO67,BO67*BP67)</f>
        <v>0.9036</v>
      </c>
      <c r="BU67" s="24">
        <f t="shared" ref="BU67:BU98" si="32">1-BR67-BT67-BV67</f>
        <v>0.00350000000000006</v>
      </c>
      <c r="BV67" s="24">
        <f>IF(VLOOKUP($R67,武学奇术!$A:$ZZ,22,FALSE)=1,0,(1-$BO67))*(1-$BR67)</f>
        <v>0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</v>
      </c>
    </row>
    <row r="68" spans="1:76">
      <c r="A68" s="4" t="s">
        <v>172</v>
      </c>
      <c r="B68" s="4">
        <v>0.9</v>
      </c>
      <c r="C68" s="70"/>
      <c r="E68" s="70"/>
      <c r="K68">
        <f>$L68*VLOOKUP($R68,武学奇术!$A:$ZZ,31,FALSE)</f>
        <v>828816.386451159</v>
      </c>
      <c r="L68" s="36">
        <f t="shared" si="22"/>
        <v>980847.794616756</v>
      </c>
      <c r="M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$21,0))*(1+$BW68)</f>
        <v>982848.44637056</v>
      </c>
      <c r="N68" s="36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</f>
        <v>620679.545496574</v>
      </c>
      <c r="O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$21,0))*(1+$BW68)</f>
        <v>411233.659569272</v>
      </c>
      <c r="P68" s="36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</f>
        <v>362704.692844786</v>
      </c>
      <c r="Q68" s="70">
        <v>1</v>
      </c>
      <c r="R68" s="38" t="s">
        <v>138</v>
      </c>
      <c r="S68" s="38" t="s">
        <v>104</v>
      </c>
      <c r="T68" s="38" t="s">
        <v>139</v>
      </c>
      <c r="U68" s="38" t="s">
        <v>79</v>
      </c>
      <c r="V68" s="38" t="s">
        <v>79</v>
      </c>
      <c r="W68" s="38" t="s">
        <v>79</v>
      </c>
      <c r="X68" s="38" t="s">
        <v>79</v>
      </c>
      <c r="Y68" s="38" t="s">
        <v>173</v>
      </c>
      <c r="Z68" s="38" t="s">
        <v>90</v>
      </c>
      <c r="AA68" s="38" t="s">
        <v>112</v>
      </c>
      <c r="AB68" s="38" t="s">
        <v>97</v>
      </c>
      <c r="AC68" s="38" t="s">
        <v>79</v>
      </c>
      <c r="AD68" s="38" t="s">
        <v>82</v>
      </c>
      <c r="AE68" s="38" t="s">
        <v>83</v>
      </c>
      <c r="AF68" s="38" t="s">
        <v>84</v>
      </c>
      <c r="AG68" s="38" t="s">
        <v>85</v>
      </c>
      <c r="AH68" s="38" t="s">
        <v>79</v>
      </c>
      <c r="AI68" s="38" t="s">
        <v>79</v>
      </c>
      <c r="AJ68" s="38" t="s">
        <v>79</v>
      </c>
      <c r="AK68" s="38" t="s">
        <v>79</v>
      </c>
      <c r="AL68" s="38" t="s">
        <v>79</v>
      </c>
      <c r="AM68" t="str">
        <f>VLOOKUP($R68,武学奇术!$A:$ZZ,25,FALSE)</f>
        <v>拳甲</v>
      </c>
      <c r="AN68" s="24">
        <f>VLOOKUP($R68,武学奇术!$A:$ZZ,26,FALSE)</f>
        <v>16.8107</v>
      </c>
      <c r="AO68" s="25">
        <f>VLOOKUP($R68,武学奇术!$A:$ZZ,27,FALSE)*(1+IF(OR($AM68=$F$4,$AM68=$F$5),$B$22,0))</f>
        <v>6970.5</v>
      </c>
      <c r="AP68" s="24">
        <f>VLOOKUP($R68,武学奇术!$A:$ZZ,28,FALSE)</f>
        <v>25.2161</v>
      </c>
      <c r="AQ68" s="25">
        <f>VLOOKUP($R68,武学奇术!$A:$ZZ,29,FALSE)*(1+IF(OR($AM68=$F$4,$AM68=$F$5),$B$22,0))</f>
        <v>3799.5</v>
      </c>
      <c r="AR68" s="24" cm="1">
        <f t="array" ref="AR68">$G$3+IFERROR(VLOOKUP($AM68,$F$4:$G$7,2,FALSE),0)+VLOOKUP($R68,武学奇术!$A:$ZZ,2,FALSE)+SUM(_xlfn.XLOOKUP($S68:$AL68,增益!$A:$A,增益!$B:$B,0))</f>
        <v>0.7041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3901.102</v>
      </c>
      <c r="AU68" cm="1">
        <f t="array" ref="AU68">$E$10*(1+$AS68)+VLOOKUP($R68,武学奇术!$A:$ZZ,4,FALSE)+SUM(_xlfn.XLOOKUP($S68:$AL68,增益!$A:$A,增益!$D:$D,0))-$I$2</f>
        <v>3901.102</v>
      </c>
      <c r="AV68" s="30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0.472</v>
      </c>
      <c r="AW68" s="30" cm="1">
        <f t="array" ref="AW68">$G$10+VLOOKUP($R68,武学奇术!$A:$ZZ,7,FALSE)+SUM(_xlfn.XLOOKUP($S68:$AL68,增益!$A:$A,增益!$G:$G,0))</f>
        <v>0.09</v>
      </c>
      <c r="AX68" s="24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0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-0.08</v>
      </c>
      <c r="BB68" s="30" cm="1">
        <f t="array" ref="BB68">$G$11+VLOOKUP($R68,武学奇术!$A:$ZZ,10,FALSE)+SUM(_xlfn.XLOOKUP($S68:$AL68,增益!$A:$A,增益!$J:$J,0))</f>
        <v>0</v>
      </c>
      <c r="BC68">
        <f t="shared" si="25"/>
        <v>0</v>
      </c>
      <c r="BD68">
        <f t="shared" si="26"/>
        <v>0</v>
      </c>
      <c r="BE68" s="30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-0.08</v>
      </c>
      <c r="BF68" s="30" cm="1">
        <f t="array" ref="BF68">$G$12+VLOOKUP($R68,武学奇术!$A:$ZZ,12,FALSE)+SUM(_xlfn.XLOOKUP($S68:$AL68,增益!$A:$A,增益!$L:$L,0))</f>
        <v>0</v>
      </c>
      <c r="BG68">
        <f t="shared" si="27"/>
        <v>0</v>
      </c>
      <c r="BH68">
        <f t="shared" si="28"/>
        <v>0</v>
      </c>
      <c r="BI68" s="30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-0.08</v>
      </c>
      <c r="BJ68" s="30" cm="1">
        <f t="array" ref="BJ68">$G$13+VLOOKUP($R68,武学奇术!$A:$ZZ,14,FALSE)+SUM(_xlfn.XLOOKUP($S68:$AL68,增益!$A:$A,增益!$N:$N,0))</f>
        <v>0</v>
      </c>
      <c r="BK68">
        <f t="shared" si="29"/>
        <v>605.472</v>
      </c>
      <c r="BL68">
        <f t="shared" si="30"/>
        <v>1725.468</v>
      </c>
      <c r="BM68" s="30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0.11</v>
      </c>
      <c r="BN68" s="30" cm="1">
        <f t="array" ref="BN68">$G$14+VLOOKUP($R68,武学奇术!$A:$ZZ,16,FALSE)+SUM(_xlfn.XLOOKUP($S68:$AL68,增益!$A:$A,增益!$P:$P,0))</f>
        <v>0.24</v>
      </c>
      <c r="BO68" s="24">
        <f>MIN(IF(VLOOKUP($R68,武学奇术!$A:$ZZ,23,FALSE)=1,100%,$B$8),100%)</f>
        <v>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0.9965</v>
      </c>
      <c r="BQ68" s="24" cm="1">
        <f t="array" ref="BQ68">1+$B$13+VLOOKUP($R68,武学奇术!$A:$ZZ,18,FALSE)+SUM(_xlfn.XLOOKUP($S68:$AL68,增益!$A:$A,增益!$R:$R,0))</f>
        <v>2.39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</v>
      </c>
      <c r="BS68" s="24" cm="1">
        <f t="array" ref="BS68">1+$B$14+VLOOKUP($R68,武学奇术!$A:$ZZ,20,FALSE)+SUM(_xlfn.XLOOKUP($S68:$AL68,增益!$A:$A,增益!$T:$T,0))</f>
        <v>1.35</v>
      </c>
      <c r="BT68" s="24">
        <f t="shared" si="31"/>
        <v>0.9965</v>
      </c>
      <c r="BU68" s="24">
        <f t="shared" si="32"/>
        <v>0.00350000000000006</v>
      </c>
      <c r="BV68" s="24">
        <f>IF(VLOOKUP($R68,武学奇术!$A:$ZZ,22,FALSE)=1,0,(1-$BO68))*(1-$BR68)</f>
        <v>0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t="s">
        <v>169</v>
      </c>
      <c r="B69">
        <v>0.1</v>
      </c>
      <c r="C69" s="70"/>
      <c r="K69">
        <f>$L69*VLOOKUP($R69,武学奇术!$A:$ZZ,31,FALSE)</f>
        <v>196169.558923351</v>
      </c>
      <c r="L69" s="87">
        <f>L68*0.4*(1+BX69)</f>
        <v>392339.117846702</v>
      </c>
      <c r="M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$21,0))*(1+$BW69)</f>
        <v>0</v>
      </c>
      <c r="N69" s="36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</f>
        <v>0</v>
      </c>
      <c r="O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$21,0))*(1+$BW69)</f>
        <v>0</v>
      </c>
      <c r="P69" s="36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</f>
        <v>0</v>
      </c>
      <c r="Q69" s="70">
        <v>1</v>
      </c>
      <c r="R69" s="38" t="s">
        <v>145</v>
      </c>
      <c r="S69" s="38" t="s">
        <v>146</v>
      </c>
      <c r="T69" s="38" t="s">
        <v>79</v>
      </c>
      <c r="U69" s="38" t="s">
        <v>79</v>
      </c>
      <c r="V69" s="38" t="s">
        <v>79</v>
      </c>
      <c r="W69" s="38" t="s">
        <v>79</v>
      </c>
      <c r="X69" s="38" t="s">
        <v>79</v>
      </c>
      <c r="Y69" s="38" t="s">
        <v>79</v>
      </c>
      <c r="Z69" s="38" t="s">
        <v>79</v>
      </c>
      <c r="AA69" s="38" t="s">
        <v>79</v>
      </c>
      <c r="AB69" s="38" t="s">
        <v>79</v>
      </c>
      <c r="AC69" s="38" t="s">
        <v>79</v>
      </c>
      <c r="AD69" s="38" t="s">
        <v>82</v>
      </c>
      <c r="AE69" s="38" t="s">
        <v>83</v>
      </c>
      <c r="AF69" s="38" t="s">
        <v>84</v>
      </c>
      <c r="AG69" s="38" t="s">
        <v>85</v>
      </c>
      <c r="AH69" s="38" t="s">
        <v>79</v>
      </c>
      <c r="AI69" s="38" t="s">
        <v>79</v>
      </c>
      <c r="AJ69" s="38" t="s">
        <v>79</v>
      </c>
      <c r="AK69" s="38" t="s">
        <v>79</v>
      </c>
      <c r="AL69" s="38" t="s">
        <v>79</v>
      </c>
      <c r="AM69" t="str">
        <f>VLOOKUP($R69,武学奇术!$A:$ZZ,25,FALSE)</f>
        <v>拳甲</v>
      </c>
      <c r="AN69" s="24">
        <f>VLOOKUP($R69,武学奇术!$A:$ZZ,26,FALSE)</f>
        <v>0</v>
      </c>
      <c r="AO69" s="25">
        <f>VLOOKUP($R69,武学奇术!$A:$ZZ,27,FALSE)*(1+IF(OR($AM69=$F$4,$AM69=$F$5),$B$22,0))</f>
        <v>0</v>
      </c>
      <c r="AP69" s="24">
        <f>VLOOKUP($R69,武学奇术!$A:$ZZ,28,FALSE)</f>
        <v>0</v>
      </c>
      <c r="AQ69" s="25">
        <f>VLOOKUP($R69,武学奇术!$A:$ZZ,29,FALSE)*(1+IF(OR($AM69=$F$4,$AM69=$F$5),$B$22,0))</f>
        <v>0</v>
      </c>
      <c r="AR69" s="24" cm="1">
        <f t="array" ref="AR69">$G$3+IFERROR(VLOOKUP($AM69,$F$4:$G$7,2,FALSE),0)+VLOOKUP($R69,武学奇术!$A:$ZZ,2,FALSE)+SUM(_xlfn.XLOOKUP($S69:$AL69,增益!$A:$A,增益!$B:$B,0))</f>
        <v>0.3541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3901.102</v>
      </c>
      <c r="AU69" cm="1">
        <f t="array" ref="AU69">$E$10*(1+$AS69)+VLOOKUP($R69,武学奇术!$A:$ZZ,4,FALSE)+SUM(_xlfn.XLOOKUP($S69:$AL69,增益!$A:$A,增益!$D:$D,0))-$I$2</f>
        <v>3901.102</v>
      </c>
      <c r="AV69" s="30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0.267</v>
      </c>
      <c r="AW69" s="30" cm="1">
        <f t="array" ref="AW69">$G$10+VLOOKUP($R69,武学奇术!$A:$ZZ,7,FALSE)+SUM(_xlfn.XLOOKUP($S69:$AL69,增益!$A:$A,增益!$G:$G,0))</f>
        <v>0.09</v>
      </c>
      <c r="AX69" s="24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0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0" cm="1">
        <f t="array" ref="BB69">$G$11+VLOOKUP($R69,武学奇术!$A:$ZZ,10,FALSE)+SUM(_xlfn.XLOOKUP($S69:$AL69,增益!$A:$A,增益!$J:$J,0))</f>
        <v>0</v>
      </c>
      <c r="BC69">
        <f t="shared" si="25"/>
        <v>0</v>
      </c>
      <c r="BD69">
        <f t="shared" si="26"/>
        <v>0</v>
      </c>
      <c r="BE69" s="30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0" cm="1">
        <f t="array" ref="BF69">$G$12+VLOOKUP($R69,武学奇术!$A:$ZZ,12,FALSE)+SUM(_xlfn.XLOOKUP($S69:$AL69,增益!$A:$A,增益!$L:$L,0))</f>
        <v>0</v>
      </c>
      <c r="BG69">
        <f t="shared" si="27"/>
        <v>0</v>
      </c>
      <c r="BH69">
        <f t="shared" si="28"/>
        <v>0</v>
      </c>
      <c r="BI69" s="30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0" cm="1">
        <f t="array" ref="BJ69">$G$13+VLOOKUP($R69,武学奇术!$A:$ZZ,14,FALSE)+SUM(_xlfn.XLOOKUP($S69:$AL69,增益!$A:$A,增益!$N:$N,0))</f>
        <v>0</v>
      </c>
      <c r="BK69">
        <f t="shared" si="29"/>
        <v>605.472</v>
      </c>
      <c r="BL69">
        <f t="shared" si="30"/>
        <v>1725.468</v>
      </c>
      <c r="BM69" s="30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0" cm="1">
        <f t="array" ref="BN69">$G$14+VLOOKUP($R69,武学奇术!$A:$ZZ,16,FALSE)+SUM(_xlfn.XLOOKUP($S69:$AL69,增益!$A:$A,增益!$P:$P,0))</f>
        <v>0.24</v>
      </c>
      <c r="BO69" s="24">
        <f>MIN(IF(VLOOKUP($R69,武学奇术!$A:$ZZ,23,FALSE)=1,100%,$B$8),100%)</f>
        <v>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0.9036</v>
      </c>
      <c r="BQ69" s="24" cm="1">
        <f t="array" ref="BQ69">1+$B$13+VLOOKUP($R69,武学奇术!$A:$ZZ,18,FALSE)+SUM(_xlfn.XLOOKUP($S69:$AL69,增益!$A:$A,增益!$R:$R,0))</f>
        <v>1.54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4" cm="1">
        <f t="array" ref="BS69">1+$B$14+VLOOKUP($R69,武学奇术!$A:$ZZ,20,FALSE)+SUM(_xlfn.XLOOKUP($S69:$AL69,增益!$A:$A,增益!$T:$T,0))</f>
        <v>1.35</v>
      </c>
      <c r="BT69" s="24">
        <f t="shared" si="31"/>
        <v>0.9036</v>
      </c>
      <c r="BU69" s="24">
        <f t="shared" si="32"/>
        <v>0.00350000000000006</v>
      </c>
      <c r="BV69" s="24">
        <f>IF(VLOOKUP($R69,武学奇术!$A:$ZZ,22,FALSE)=1,0,(1-$BO69))*(1-$BR69)</f>
        <v>0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A70" s="4" t="s">
        <v>179</v>
      </c>
      <c r="B70" s="4">
        <v>1</v>
      </c>
      <c r="C70" s="70"/>
      <c r="K70">
        <f>$L70*VLOOKUP($R70,武学奇术!$A:$ZZ,31,FALSE)</f>
        <v>32475.0172119447</v>
      </c>
      <c r="L70" s="36">
        <f t="shared" si="22"/>
        <v>32475.0172119447</v>
      </c>
      <c r="M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$21,0))*(1+$BW70)</f>
        <v>33151.3410135868</v>
      </c>
      <c r="N70" s="36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</f>
        <v>26459.3552187338</v>
      </c>
      <c r="O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$21,0))*(1+$BW70)</f>
        <v>17540.3920706808</v>
      </c>
      <c r="P70" s="36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</f>
        <v>15481.2617571144</v>
      </c>
      <c r="Q70" s="70">
        <v>1</v>
      </c>
      <c r="R70" s="38" t="s">
        <v>107</v>
      </c>
      <c r="S70" s="38" t="s">
        <v>104</v>
      </c>
      <c r="T70" s="38" t="s">
        <v>139</v>
      </c>
      <c r="U70" s="38" t="s">
        <v>79</v>
      </c>
      <c r="V70" s="38" t="s">
        <v>79</v>
      </c>
      <c r="W70" s="38" t="s">
        <v>79</v>
      </c>
      <c r="X70" s="38" t="s">
        <v>79</v>
      </c>
      <c r="Y70" s="38" t="s">
        <v>173</v>
      </c>
      <c r="Z70" s="38" t="s">
        <v>90</v>
      </c>
      <c r="AA70" s="38" t="s">
        <v>79</v>
      </c>
      <c r="AB70" s="38" t="s">
        <v>91</v>
      </c>
      <c r="AC70" s="38" t="s">
        <v>79</v>
      </c>
      <c r="AD70" s="38" t="s">
        <v>82</v>
      </c>
      <c r="AE70" s="38" t="s">
        <v>83</v>
      </c>
      <c r="AF70" s="38" t="s">
        <v>84</v>
      </c>
      <c r="AG70" s="38" t="s">
        <v>85</v>
      </c>
      <c r="AH70" s="38" t="s">
        <v>79</v>
      </c>
      <c r="AI70" s="38" t="s">
        <v>79</v>
      </c>
      <c r="AJ70" s="38" t="s">
        <v>79</v>
      </c>
      <c r="AK70" s="38" t="s">
        <v>79</v>
      </c>
      <c r="AL70" s="38" t="s">
        <v>79</v>
      </c>
      <c r="AM70" t="str">
        <f>VLOOKUP($R70,武学奇术!$A:$ZZ,25,FALSE)</f>
        <v>绳镖</v>
      </c>
      <c r="AN70" s="24">
        <f>VLOOKUP($R70,武学奇术!$A:$ZZ,26,FALSE)</f>
        <v>1.2503</v>
      </c>
      <c r="AO70" s="25">
        <f>VLOOKUP($R70,武学奇术!$A:$ZZ,27,FALSE)*(1+IF(OR($AM70=$F$4,$AM70=$F$5),$B$22,0))</f>
        <v>520.5</v>
      </c>
      <c r="AP70" s="24">
        <f>VLOOKUP($R70,武学奇术!$A:$ZZ,28,FALSE)</f>
        <v>1.8755</v>
      </c>
      <c r="AQ70" s="25">
        <f>VLOOKUP($R70,武学奇术!$A:$ZZ,29,FALSE)*(1+IF(OR($AM70=$F$4,$AM70=$F$5),$B$22,0))</f>
        <v>283.5</v>
      </c>
      <c r="AR70" s="24" cm="1">
        <f t="array" ref="AR70">$G$3+IFERROR(VLOOKUP($AM70,$F$4:$G$7,2,FALSE),0)+VLOOKUP($R70,武学奇术!$A:$ZZ,2,FALSE)+SUM(_xlfn.XLOOKUP($S70:$AL70,增益!$A:$A,增益!$B:$B,0))</f>
        <v>0.3189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3901.102</v>
      </c>
      <c r="AU70" cm="1">
        <f t="array" ref="AU70">$E$10*(1+$AS70)+VLOOKUP($R70,武学奇术!$A:$ZZ,4,FALSE)+SUM(_xlfn.XLOOKUP($S70:$AL70,增益!$A:$A,增益!$D:$D,0))-$I$2</f>
        <v>3901.102</v>
      </c>
      <c r="AV70" s="30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0.442</v>
      </c>
      <c r="AW70" s="30" cm="1">
        <f t="array" ref="AW70">$G$10+VLOOKUP($R70,武学奇术!$A:$ZZ,7,FALSE)+SUM(_xlfn.XLOOKUP($S70:$AL70,增益!$A:$A,增益!$G:$G,0))</f>
        <v>0.09</v>
      </c>
      <c r="AX70" s="24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0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-0.14</v>
      </c>
      <c r="BB70" s="30" cm="1">
        <f t="array" ref="BB70">$G$11+VLOOKUP($R70,武学奇术!$A:$ZZ,10,FALSE)+SUM(_xlfn.XLOOKUP($S70:$AL70,增益!$A:$A,增益!$J:$J,0))</f>
        <v>0</v>
      </c>
      <c r="BC70">
        <f t="shared" si="25"/>
        <v>0</v>
      </c>
      <c r="BD70">
        <f t="shared" si="26"/>
        <v>0</v>
      </c>
      <c r="BE70" s="30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-0.14</v>
      </c>
      <c r="BF70" s="30" cm="1">
        <f t="array" ref="BF70">$G$12+VLOOKUP($R70,武学奇术!$A:$ZZ,12,FALSE)+SUM(_xlfn.XLOOKUP($S70:$AL70,增益!$A:$A,增益!$L:$L,0))</f>
        <v>0</v>
      </c>
      <c r="BG70">
        <f t="shared" si="27"/>
        <v>0</v>
      </c>
      <c r="BH70">
        <f t="shared" si="28"/>
        <v>0</v>
      </c>
      <c r="BI70" s="30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-0.14</v>
      </c>
      <c r="BJ70" s="30" cm="1">
        <f t="array" ref="BJ70">$G$13+VLOOKUP($R70,武学奇术!$A:$ZZ,14,FALSE)+SUM(_xlfn.XLOOKUP($S70:$AL70,增益!$A:$A,增益!$N:$N,0))</f>
        <v>0</v>
      </c>
      <c r="BK70">
        <f t="shared" si="29"/>
        <v>605.472</v>
      </c>
      <c r="BL70">
        <f t="shared" si="30"/>
        <v>1725.468</v>
      </c>
      <c r="BM70" s="30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0.08</v>
      </c>
      <c r="BN70" s="30" cm="1">
        <f t="array" ref="BN70">$G$14+VLOOKUP($R70,武学奇术!$A:$ZZ,16,FALSE)+SUM(_xlfn.XLOOKUP($S70:$AL70,增益!$A:$A,增益!$P:$P,0))</f>
        <v>0.24</v>
      </c>
      <c r="BO70" s="24">
        <f>MIN(IF(VLOOKUP($R70,武学奇术!$A:$ZZ,23,FALSE)=1,100%,$B$8),100%)</f>
        <v>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0.9036</v>
      </c>
      <c r="BQ70" s="24" cm="1">
        <f t="array" ref="BQ70">1+$B$13+VLOOKUP($R70,武学奇术!$A:$ZZ,18,FALSE)+SUM(_xlfn.XLOOKUP($S70:$AL70,增益!$A:$A,增益!$R:$R,0))</f>
        <v>1.89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4" cm="1">
        <f t="array" ref="BS70">1+$B$14+VLOOKUP($R70,武学奇术!$A:$ZZ,20,FALSE)+SUM(_xlfn.XLOOKUP($S70:$AL70,增益!$A:$A,增益!$T:$T,0))</f>
        <v>1.35</v>
      </c>
      <c r="BT70" s="24">
        <f t="shared" si="31"/>
        <v>0.9036</v>
      </c>
      <c r="BU70" s="24">
        <f t="shared" si="32"/>
        <v>0.00350000000000006</v>
      </c>
      <c r="BV70" s="24">
        <f>IF(VLOOKUP($R70,武学奇术!$A:$ZZ,22,FALSE)=1,0,(1-$BO70))*(1-$BR70)</f>
        <v>0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A71" s="4" t="s">
        <v>177</v>
      </c>
      <c r="B71" s="91">
        <v>1.16</v>
      </c>
      <c r="C71" s="70"/>
      <c r="K71">
        <f>$L71*VLOOKUP($R71,武学奇术!$A:$ZZ,31,FALSE)</f>
        <v>94578.1259537653</v>
      </c>
      <c r="L71" s="36">
        <f t="shared" si="22"/>
        <v>72752.4045798195</v>
      </c>
      <c r="M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$21,0))*(1+$BW71)</f>
        <v>74994.2805156771</v>
      </c>
      <c r="N71" s="36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</f>
        <v>52397.4040138152</v>
      </c>
      <c r="O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$21,0))*(1+$BW71)</f>
        <v>34243.9637057886</v>
      </c>
      <c r="P71" s="36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</f>
        <v>29675.0355494919</v>
      </c>
      <c r="Q71" s="70">
        <v>1</v>
      </c>
      <c r="R71" s="38" t="s">
        <v>111</v>
      </c>
      <c r="S71" s="38" t="s">
        <v>104</v>
      </c>
      <c r="T71" s="38" t="s">
        <v>139</v>
      </c>
      <c r="U71" s="38" t="s">
        <v>79</v>
      </c>
      <c r="V71" s="38" t="s">
        <v>79</v>
      </c>
      <c r="W71" s="38" t="s">
        <v>79</v>
      </c>
      <c r="X71" s="38" t="s">
        <v>79</v>
      </c>
      <c r="Y71" s="38" t="s">
        <v>173</v>
      </c>
      <c r="Z71" s="38" t="s">
        <v>90</v>
      </c>
      <c r="AA71" s="38" t="s">
        <v>112</v>
      </c>
      <c r="AB71" s="38" t="s">
        <v>91</v>
      </c>
      <c r="AC71" s="38" t="s">
        <v>79</v>
      </c>
      <c r="AD71" s="38" t="s">
        <v>82</v>
      </c>
      <c r="AE71" s="38" t="s">
        <v>83</v>
      </c>
      <c r="AF71" s="38" t="s">
        <v>84</v>
      </c>
      <c r="AG71" s="38" t="s">
        <v>85</v>
      </c>
      <c r="AH71" s="38" t="s">
        <v>79</v>
      </c>
      <c r="AI71" s="38" t="s">
        <v>79</v>
      </c>
      <c r="AJ71" s="38" t="s">
        <v>79</v>
      </c>
      <c r="AK71" s="38" t="s">
        <v>79</v>
      </c>
      <c r="AL71" s="38" t="s">
        <v>79</v>
      </c>
      <c r="AM71" t="str">
        <f>VLOOKUP($R71,武学奇术!$A:$ZZ,25,FALSE)</f>
        <v>绳镖</v>
      </c>
      <c r="AN71" s="24">
        <f>VLOOKUP($R71,武学奇术!$A:$ZZ,26,FALSE)</f>
        <v>2.19912</v>
      </c>
      <c r="AO71" s="25">
        <f>VLOOKUP($R71,武学奇术!$A:$ZZ,27,FALSE)*(1+IF(OR($AM71=$F$4,$AM71=$F$5),$B$22,0))</f>
        <v>0</v>
      </c>
      <c r="AP71" s="24">
        <f>VLOOKUP($R71,武学奇术!$A:$ZZ,28,FALSE)</f>
        <v>3.29868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0.6189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3901.102</v>
      </c>
      <c r="AU71" cm="1">
        <f t="array" ref="AU71">$E$10*(1+$AS71)+VLOOKUP($R71,武学奇术!$A:$ZZ,4,FALSE)+SUM(_xlfn.XLOOKUP($S71:$AL71,增益!$A:$A,增益!$D:$D,0))-$I$2</f>
        <v>3901.102</v>
      </c>
      <c r="AV71" s="30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0.472</v>
      </c>
      <c r="AW71" s="30" cm="1">
        <f t="array" ref="AW71">$G$10+VLOOKUP($R71,武学奇术!$A:$ZZ,7,FALSE)+SUM(_xlfn.XLOOKUP($S71:$AL71,增益!$A:$A,增益!$G:$G,0))</f>
        <v>0.09</v>
      </c>
      <c r="AX71" s="24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0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-0.08</v>
      </c>
      <c r="BB71" s="30" cm="1">
        <f t="array" ref="BB71">$G$11+VLOOKUP($R71,武学奇术!$A:$ZZ,10,FALSE)+SUM(_xlfn.XLOOKUP($S71:$AL71,增益!$A:$A,增益!$J:$J,0))</f>
        <v>0</v>
      </c>
      <c r="BC71">
        <f t="shared" si="25"/>
        <v>0</v>
      </c>
      <c r="BD71">
        <f t="shared" si="26"/>
        <v>0</v>
      </c>
      <c r="BE71" s="30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-0.08</v>
      </c>
      <c r="BF71" s="30" cm="1">
        <f t="array" ref="BF71">$G$12+VLOOKUP($R71,武学奇术!$A:$ZZ,12,FALSE)+SUM(_xlfn.XLOOKUP($S71:$AL71,增益!$A:$A,增益!$L:$L,0))</f>
        <v>0</v>
      </c>
      <c r="BG71">
        <f t="shared" si="27"/>
        <v>0</v>
      </c>
      <c r="BH71">
        <f t="shared" si="28"/>
        <v>0</v>
      </c>
      <c r="BI71" s="30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-0.08</v>
      </c>
      <c r="BJ71" s="30" cm="1">
        <f t="array" ref="BJ71">$G$13+VLOOKUP($R71,武学奇术!$A:$ZZ,14,FALSE)+SUM(_xlfn.XLOOKUP($S71:$AL71,增益!$A:$A,增益!$N:$N,0))</f>
        <v>0</v>
      </c>
      <c r="BK71">
        <f t="shared" si="29"/>
        <v>605.472</v>
      </c>
      <c r="BL71">
        <f t="shared" si="30"/>
        <v>1725.468</v>
      </c>
      <c r="BM71" s="30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0.11</v>
      </c>
      <c r="BN71" s="30" cm="1">
        <f t="array" ref="BN71">$G$14+VLOOKUP($R71,武学奇术!$A:$ZZ,16,FALSE)+SUM(_xlfn.XLOOKUP($S71:$AL71,增益!$A:$A,增益!$P:$P,0))</f>
        <v>0.24</v>
      </c>
      <c r="BO71" s="24">
        <f>MIN(IF(VLOOKUP($R71,武学奇术!$A:$ZZ,23,FALSE)=1,100%,$B$8),100%)</f>
        <v>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0.9036</v>
      </c>
      <c r="BQ71" s="24" cm="1">
        <f t="array" ref="BQ71">1+$B$13+VLOOKUP($R71,武学奇术!$A:$ZZ,18,FALSE)+SUM(_xlfn.XLOOKUP($S71:$AL71,增益!$A:$A,增益!$R:$R,0))</f>
        <v>2.19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4" cm="1">
        <f t="array" ref="BS71">1+$B$14+VLOOKUP($R71,武学奇术!$A:$ZZ,20,FALSE)+SUM(_xlfn.XLOOKUP($S71:$AL71,增益!$A:$A,增益!$T:$T,0))</f>
        <v>1.35</v>
      </c>
      <c r="BT71" s="24">
        <f t="shared" si="31"/>
        <v>0.9036</v>
      </c>
      <c r="BU71" s="24">
        <f t="shared" si="32"/>
        <v>0.00350000000000006</v>
      </c>
      <c r="BV71" s="24">
        <f>IF(VLOOKUP($R71,武学奇术!$A:$ZZ,22,FALSE)=1,0,(1-$BO71))*(1-$BR71)</f>
        <v>0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t="s">
        <v>195</v>
      </c>
      <c r="B72">
        <v>2</v>
      </c>
      <c r="D72" s="70"/>
      <c r="F72" s="70"/>
      <c r="K72">
        <f>$L72*VLOOKUP($R72,武学奇术!$A:$ZZ,31,FALSE)</f>
        <v>10648.3923111185</v>
      </c>
      <c r="L72" s="36">
        <f t="shared" si="22"/>
        <v>10648.3923111185</v>
      </c>
      <c r="M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$21,0))*(1+$BW72)</f>
        <v>10736.6717304695</v>
      </c>
      <c r="N72" s="36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</f>
        <v>9944.26379734297</v>
      </c>
      <c r="O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$21,0))*(1+$BW72)</f>
        <v>6546.75105516436</v>
      </c>
      <c r="P72" s="36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</f>
        <v>5727.38077896355</v>
      </c>
      <c r="Q72" s="70">
        <v>1</v>
      </c>
      <c r="R72" s="38" t="s">
        <v>114</v>
      </c>
      <c r="S72" s="38" t="s">
        <v>104</v>
      </c>
      <c r="T72" s="38" t="s">
        <v>79</v>
      </c>
      <c r="U72" s="38" t="s">
        <v>79</v>
      </c>
      <c r="V72" s="38" t="s">
        <v>79</v>
      </c>
      <c r="W72" s="38" t="s">
        <v>79</v>
      </c>
      <c r="X72" s="38" t="s">
        <v>79</v>
      </c>
      <c r="Y72" s="38" t="s">
        <v>173</v>
      </c>
      <c r="Z72" s="38" t="s">
        <v>90</v>
      </c>
      <c r="AA72" s="38" t="s">
        <v>79</v>
      </c>
      <c r="AB72" s="38" t="s">
        <v>91</v>
      </c>
      <c r="AC72" s="38" t="s">
        <v>79</v>
      </c>
      <c r="AD72" s="38" t="s">
        <v>82</v>
      </c>
      <c r="AE72" s="38" t="s">
        <v>83</v>
      </c>
      <c r="AF72" s="38" t="s">
        <v>84</v>
      </c>
      <c r="AG72" s="38" t="s">
        <v>85</v>
      </c>
      <c r="AH72" s="38" t="s">
        <v>79</v>
      </c>
      <c r="AI72" s="38" t="s">
        <v>79</v>
      </c>
      <c r="AJ72" s="38" t="s">
        <v>79</v>
      </c>
      <c r="AK72" s="38" t="s">
        <v>79</v>
      </c>
      <c r="AL72" s="38" t="s">
        <v>79</v>
      </c>
      <c r="AM72" t="str">
        <f>VLOOKUP($R72,武学奇术!$A:$ZZ,25,FALSE)</f>
        <v>绳镖</v>
      </c>
      <c r="AN72" s="24">
        <f>VLOOKUP($R72,武学奇术!$A:$ZZ,26,FALSE)</f>
        <v>0.4975</v>
      </c>
      <c r="AO72" s="25">
        <f>VLOOKUP($R72,武学奇术!$A:$ZZ,27,FALSE)*(1+IF(OR($AM72=$F$4,$AM72=$F$5),$B$22,0))</f>
        <v>205.5</v>
      </c>
      <c r="AP72" s="24">
        <f>VLOOKUP($R72,武学奇术!$A:$ZZ,28,FALSE)</f>
        <v>0.7463</v>
      </c>
      <c r="AQ72" s="25">
        <f>VLOOKUP($R72,武学奇术!$A:$ZZ,29,FALSE)*(1+IF(OR($AM72=$F$4,$AM72=$F$5),$B$22,0))</f>
        <v>112.5</v>
      </c>
      <c r="AR72" s="24" cm="1">
        <f t="array" ref="AR72">$G$3+IFERROR(VLOOKUP($AM72,$F$4:$G$7,2,FALSE),0)+VLOOKUP($R72,武学奇术!$A:$ZZ,2,FALSE)+SUM(_xlfn.XLOOKUP($S72:$AL72,增益!$A:$A,增益!$B:$B,0))</f>
        <v>0.3189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3901.102</v>
      </c>
      <c r="AU72" cm="1">
        <f t="array" ref="AU72">$E$10*(1+$AS72)+VLOOKUP($R72,武学奇术!$A:$ZZ,4,FALSE)+SUM(_xlfn.XLOOKUP($S72:$AL72,增益!$A:$A,增益!$D:$D,0))-$I$2</f>
        <v>3901.102</v>
      </c>
      <c r="AV72" s="30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0.317</v>
      </c>
      <c r="AW72" s="30" cm="1">
        <f t="array" ref="AW72">$G$10+VLOOKUP($R72,武学奇术!$A:$ZZ,7,FALSE)+SUM(_xlfn.XLOOKUP($S72:$AL72,增益!$A:$A,增益!$G:$G,0))</f>
        <v>0.09</v>
      </c>
      <c r="AX72" s="24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0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-0.14</v>
      </c>
      <c r="BB72" s="30" cm="1">
        <f t="array" ref="BB72">$G$11+VLOOKUP($R72,武学奇术!$A:$ZZ,10,FALSE)+SUM(_xlfn.XLOOKUP($S72:$AL72,增益!$A:$A,增益!$J:$J,0))</f>
        <v>0</v>
      </c>
      <c r="BC72">
        <f t="shared" si="25"/>
        <v>0</v>
      </c>
      <c r="BD72">
        <f t="shared" si="26"/>
        <v>0</v>
      </c>
      <c r="BE72" s="30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-0.14</v>
      </c>
      <c r="BF72" s="30" cm="1">
        <f t="array" ref="BF72">$G$12+VLOOKUP($R72,武学奇术!$A:$ZZ,12,FALSE)+SUM(_xlfn.XLOOKUP($S72:$AL72,增益!$A:$A,增益!$L:$L,0))</f>
        <v>0</v>
      </c>
      <c r="BG72">
        <f t="shared" si="27"/>
        <v>0</v>
      </c>
      <c r="BH72">
        <f t="shared" si="28"/>
        <v>0</v>
      </c>
      <c r="BI72" s="30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-0.14</v>
      </c>
      <c r="BJ72" s="30" cm="1">
        <f t="array" ref="BJ72">$G$13+VLOOKUP($R72,武学奇术!$A:$ZZ,14,FALSE)+SUM(_xlfn.XLOOKUP($S72:$AL72,增益!$A:$A,增益!$N:$N,0))</f>
        <v>0</v>
      </c>
      <c r="BK72">
        <f t="shared" si="29"/>
        <v>605.472</v>
      </c>
      <c r="BL72">
        <f t="shared" si="30"/>
        <v>1725.468</v>
      </c>
      <c r="BM72" s="30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0.08</v>
      </c>
      <c r="BN72" s="30" cm="1">
        <f t="array" ref="BN72">$G$14+VLOOKUP($R72,武学奇术!$A:$ZZ,16,FALSE)+SUM(_xlfn.XLOOKUP($S72:$AL72,增益!$A:$A,增益!$P:$P,0))</f>
        <v>0.24</v>
      </c>
      <c r="BO72" s="24">
        <f>MIN(IF(VLOOKUP($R72,武学奇术!$A:$ZZ,23,FALSE)=1,100%,$B$8),100%)</f>
        <v>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0.9036</v>
      </c>
      <c r="BQ72" s="24" cm="1">
        <f t="array" ref="BQ72">1+$B$13+VLOOKUP($R72,武学奇术!$A:$ZZ,18,FALSE)+SUM(_xlfn.XLOOKUP($S72:$AL72,增益!$A:$A,增益!$R:$R,0))</f>
        <v>1.64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4" cm="1">
        <f t="array" ref="BS72">1+$B$14+VLOOKUP($R72,武学奇术!$A:$ZZ,20,FALSE)+SUM(_xlfn.XLOOKUP($S72:$AL72,增益!$A:$A,增益!$T:$T,0))</f>
        <v>1.35</v>
      </c>
      <c r="BT72" s="24">
        <f t="shared" si="31"/>
        <v>0.9036</v>
      </c>
      <c r="BU72" s="24">
        <f t="shared" si="32"/>
        <v>0.00350000000000006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s="4" t="s">
        <v>196</v>
      </c>
      <c r="B73" s="4">
        <v>1.7</v>
      </c>
      <c r="D73" s="70" t="s">
        <v>197</v>
      </c>
      <c r="F73" s="70" t="s">
        <v>175</v>
      </c>
      <c r="K73">
        <f>$L73*VLOOKUP($R73,武学奇术!$A:$ZZ,31,FALSE)</f>
        <v>95259.5708809992</v>
      </c>
      <c r="L73" s="36">
        <f t="shared" si="22"/>
        <v>73276.592985384</v>
      </c>
      <c r="M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$21,0))*(1+$BW73)</f>
        <v>74830.0616373632</v>
      </c>
      <c r="N73" s="36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</f>
        <v>59474.1291855926</v>
      </c>
      <c r="O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$21,0))*(1+$BW73)</f>
        <v>38572.1967202903</v>
      </c>
      <c r="P73" s="36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</f>
        <v>33089.4829327342</v>
      </c>
      <c r="Q73" s="70">
        <v>1</v>
      </c>
      <c r="R73" s="38" t="s">
        <v>117</v>
      </c>
      <c r="S73" s="38" t="s">
        <v>104</v>
      </c>
      <c r="T73" s="38" t="s">
        <v>79</v>
      </c>
      <c r="U73" s="38" t="s">
        <v>79</v>
      </c>
      <c r="V73" s="38" t="s">
        <v>79</v>
      </c>
      <c r="W73" s="38" t="s">
        <v>79</v>
      </c>
      <c r="X73" s="38" t="s">
        <v>79</v>
      </c>
      <c r="Y73" s="38" t="s">
        <v>173</v>
      </c>
      <c r="Z73" s="38" t="s">
        <v>90</v>
      </c>
      <c r="AA73" s="38" t="s">
        <v>112</v>
      </c>
      <c r="AB73" s="38" t="s">
        <v>91</v>
      </c>
      <c r="AC73" s="38" t="s">
        <v>79</v>
      </c>
      <c r="AD73" s="38" t="s">
        <v>82</v>
      </c>
      <c r="AE73" s="38" t="s">
        <v>83</v>
      </c>
      <c r="AF73" s="38" t="s">
        <v>84</v>
      </c>
      <c r="AG73" s="38" t="s">
        <v>85</v>
      </c>
      <c r="AH73" s="38" t="s">
        <v>79</v>
      </c>
      <c r="AI73" s="38" t="s">
        <v>79</v>
      </c>
      <c r="AJ73" s="38" t="s">
        <v>79</v>
      </c>
      <c r="AK73" s="38" t="s">
        <v>79</v>
      </c>
      <c r="AL73" s="38" t="s">
        <v>79</v>
      </c>
      <c r="AM73" t="str">
        <f>VLOOKUP($R73,武学奇术!$A:$ZZ,25,FALSE)</f>
        <v>绳镖</v>
      </c>
      <c r="AN73" s="24">
        <f>VLOOKUP($R73,武学奇术!$A:$ZZ,26,FALSE)</f>
        <v>2.638944</v>
      </c>
      <c r="AO73" s="25">
        <f>VLOOKUP($R73,武学奇术!$A:$ZZ,27,FALSE)*(1+IF(OR($AM73=$F$4,$AM73=$F$5),$B$22,0))</f>
        <v>0</v>
      </c>
      <c r="AP73" s="24">
        <f>VLOOKUP($R73,武学奇术!$A:$ZZ,28,FALSE)</f>
        <v>3.958416</v>
      </c>
      <c r="AQ73" s="25">
        <f>VLOOKUP($R73,武学奇术!$A:$ZZ,29,FALSE)*(1+IF(OR($AM73=$F$4,$AM73=$F$5),$B$22,0))</f>
        <v>0</v>
      </c>
      <c r="AR73" s="24" cm="1">
        <f t="array" ref="AR73">$G$3+IFERROR(VLOOKUP($AM73,$F$4:$G$7,2,FALSE),0)+VLOOKUP($R73,武学奇术!$A:$ZZ,2,FALSE)+SUM(_xlfn.XLOOKUP($S73:$AL73,增益!$A:$A,增益!$B:$B,0))</f>
        <v>0.6189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3901.102</v>
      </c>
      <c r="AU73" cm="1">
        <f t="array" ref="AU73">$E$10*(1+$AS73)+VLOOKUP($R73,武学奇术!$A:$ZZ,4,FALSE)+SUM(_xlfn.XLOOKUP($S73:$AL73,增益!$A:$A,增益!$D:$D,0))-$I$2</f>
        <v>3901.102</v>
      </c>
      <c r="AV73" s="30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0.347</v>
      </c>
      <c r="AW73" s="30" cm="1">
        <f t="array" ref="AW73">$G$10+VLOOKUP($R73,武学奇术!$A:$ZZ,7,FALSE)+SUM(_xlfn.XLOOKUP($S73:$AL73,增益!$A:$A,增益!$G:$G,0))</f>
        <v>0.09</v>
      </c>
      <c r="AX73" s="24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0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-0.08</v>
      </c>
      <c r="BB73" s="30" cm="1">
        <f t="array" ref="BB73">$G$11+VLOOKUP($R73,武学奇术!$A:$ZZ,10,FALSE)+SUM(_xlfn.XLOOKUP($S73:$AL73,增益!$A:$A,增益!$J:$J,0))</f>
        <v>0</v>
      </c>
      <c r="BC73">
        <f t="shared" si="25"/>
        <v>0</v>
      </c>
      <c r="BD73">
        <f t="shared" si="26"/>
        <v>0</v>
      </c>
      <c r="BE73" s="30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-0.08</v>
      </c>
      <c r="BF73" s="30" cm="1">
        <f t="array" ref="BF73">$G$12+VLOOKUP($R73,武学奇术!$A:$ZZ,12,FALSE)+SUM(_xlfn.XLOOKUP($S73:$AL73,增益!$A:$A,增益!$L:$L,0))</f>
        <v>0</v>
      </c>
      <c r="BG73">
        <f t="shared" si="27"/>
        <v>0</v>
      </c>
      <c r="BH73">
        <f t="shared" si="28"/>
        <v>0</v>
      </c>
      <c r="BI73" s="30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-0.08</v>
      </c>
      <c r="BJ73" s="30" cm="1">
        <f t="array" ref="BJ73">$G$13+VLOOKUP($R73,武学奇术!$A:$ZZ,14,FALSE)+SUM(_xlfn.XLOOKUP($S73:$AL73,增益!$A:$A,增益!$N:$N,0))</f>
        <v>0</v>
      </c>
      <c r="BK73">
        <f t="shared" si="29"/>
        <v>605.472</v>
      </c>
      <c r="BL73">
        <f t="shared" si="30"/>
        <v>1725.468</v>
      </c>
      <c r="BM73" s="30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0.11</v>
      </c>
      <c r="BN73" s="30" cm="1">
        <f t="array" ref="BN73">$G$14+VLOOKUP($R73,武学奇术!$A:$ZZ,16,FALSE)+SUM(_xlfn.XLOOKUP($S73:$AL73,增益!$A:$A,增益!$P:$P,0))</f>
        <v>0.24</v>
      </c>
      <c r="BO73" s="24">
        <f>MIN(IF(VLOOKUP($R73,武学奇术!$A:$ZZ,23,FALSE)=1,100%,$B$8),100%)</f>
        <v>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0.9036</v>
      </c>
      <c r="BQ73" s="24" cm="1">
        <f t="array" ref="BQ73">1+$B$13+VLOOKUP($R73,武学奇术!$A:$ZZ,18,FALSE)+SUM(_xlfn.XLOOKUP($S73:$AL73,增益!$A:$A,增益!$R:$R,0))</f>
        <v>1.94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4" cm="1">
        <f t="array" ref="BS73">1+$B$14+VLOOKUP($R73,武学奇术!$A:$ZZ,20,FALSE)+SUM(_xlfn.XLOOKUP($S73:$AL73,增益!$A:$A,增益!$T:$T,0))</f>
        <v>1.35</v>
      </c>
      <c r="BT73" s="24">
        <f t="shared" si="31"/>
        <v>0.9036</v>
      </c>
      <c r="BU73" s="24">
        <f t="shared" si="32"/>
        <v>0.00350000000000006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A74" s="4" t="s">
        <v>182</v>
      </c>
      <c r="B74" s="91">
        <v>0.7</v>
      </c>
      <c r="D74" s="70"/>
      <c r="F74" s="70"/>
      <c r="G74" s="70" t="s">
        <v>178</v>
      </c>
      <c r="K74">
        <f>$L74*VLOOKUP($R74,武学奇术!$A:$ZZ,31,FALSE)</f>
        <v>55644.0852401365</v>
      </c>
      <c r="L74" s="36">
        <f t="shared" ref="L74:L136" si="33">($M74*$BT74+$N74*$BR74+$O74*$BU74+$P74*$BV74)</f>
        <v>55644.0852401365</v>
      </c>
      <c r="M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$21,0))*(1+$BW74)</f>
        <v>56105.3690706444</v>
      </c>
      <c r="N74" s="36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</f>
        <v>51964.8727638708</v>
      </c>
      <c r="O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$21,0))*(1+$BW74)</f>
        <v>34210.5908967344</v>
      </c>
      <c r="P74" s="36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</f>
        <v>29928.6834498608</v>
      </c>
      <c r="Q74" s="70">
        <v>1</v>
      </c>
      <c r="R74" s="38" t="s">
        <v>127</v>
      </c>
      <c r="S74" s="38" t="s">
        <v>104</v>
      </c>
      <c r="T74" s="38" t="s">
        <v>79</v>
      </c>
      <c r="U74" s="38" t="s">
        <v>79</v>
      </c>
      <c r="V74" s="38" t="s">
        <v>79</v>
      </c>
      <c r="W74" s="38" t="s">
        <v>79</v>
      </c>
      <c r="X74" s="38" t="s">
        <v>79</v>
      </c>
      <c r="Y74" s="38" t="s">
        <v>173</v>
      </c>
      <c r="Z74" s="38" t="s">
        <v>90</v>
      </c>
      <c r="AA74" s="38" t="s">
        <v>79</v>
      </c>
      <c r="AB74" s="38" t="s">
        <v>91</v>
      </c>
      <c r="AC74" s="38" t="s">
        <v>79</v>
      </c>
      <c r="AD74" s="38" t="s">
        <v>82</v>
      </c>
      <c r="AE74" s="38" t="s">
        <v>83</v>
      </c>
      <c r="AF74" s="38" t="s">
        <v>84</v>
      </c>
      <c r="AG74" s="38" t="s">
        <v>85</v>
      </c>
      <c r="AH74" s="38" t="s">
        <v>79</v>
      </c>
      <c r="AI74" s="38" t="s">
        <v>79</v>
      </c>
      <c r="AJ74" s="38" t="s">
        <v>79</v>
      </c>
      <c r="AK74" s="38" t="s">
        <v>79</v>
      </c>
      <c r="AL74" s="38" t="s">
        <v>79</v>
      </c>
      <c r="AM74" t="str">
        <f>VLOOKUP($R74,武学奇术!$A:$ZZ,25,FALSE)</f>
        <v>拳甲</v>
      </c>
      <c r="AN74" s="24">
        <f>VLOOKUP($R74,武学奇术!$A:$ZZ,26,FALSE)</f>
        <v>2.4421</v>
      </c>
      <c r="AO74" s="25">
        <f>VLOOKUP($R74,武学奇术!$A:$ZZ,27,FALSE)*(1+IF(OR($AM74=$F$4,$AM74=$F$5),$B$22,0))</f>
        <v>1012.5</v>
      </c>
      <c r="AP74" s="24">
        <f>VLOOKUP($R74,武学奇术!$A:$ZZ,28,FALSE)</f>
        <v>3.6634</v>
      </c>
      <c r="AQ74" s="25">
        <f>VLOOKUP($R74,武学奇术!$A:$ZZ,29,FALSE)*(1+IF(OR($AM74=$F$4,$AM74=$F$5),$B$22,0))</f>
        <v>549</v>
      </c>
      <c r="AR74" s="24" cm="1">
        <f t="array" ref="AR74">$G$3+IFERROR(VLOOKUP($AM74,$F$4:$G$7,2,FALSE),0)+VLOOKUP($R74,武学奇术!$A:$ZZ,2,FALSE)+SUM(_xlfn.XLOOKUP($S74:$AL74,增益!$A:$A,增益!$B:$B,0))</f>
        <v>0.4041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3901.102</v>
      </c>
      <c r="AU74" cm="1">
        <f t="array" ref="AU74">$E$10*(1+$AS74)+VLOOKUP($R74,武学奇术!$A:$ZZ,4,FALSE)+SUM(_xlfn.XLOOKUP($S74:$AL74,增益!$A:$A,增益!$D:$D,0))-$I$2</f>
        <v>3901.102</v>
      </c>
      <c r="AV74" s="30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0.317</v>
      </c>
      <c r="AW74" s="30" cm="1">
        <f t="array" ref="AW74">$G$10+VLOOKUP($R74,武学奇术!$A:$ZZ,7,FALSE)+SUM(_xlfn.XLOOKUP($S74:$AL74,增益!$A:$A,增益!$G:$G,0))</f>
        <v>0.09</v>
      </c>
      <c r="AX74" s="24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0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-0.14</v>
      </c>
      <c r="BB74" s="30" cm="1">
        <f t="array" ref="BB74">$G$11+VLOOKUP($R74,武学奇术!$A:$ZZ,10,FALSE)+SUM(_xlfn.XLOOKUP($S74:$AL74,增益!$A:$A,增益!$J:$J,0))</f>
        <v>0</v>
      </c>
      <c r="BC74">
        <f t="shared" si="25"/>
        <v>0</v>
      </c>
      <c r="BD74">
        <f t="shared" si="26"/>
        <v>0</v>
      </c>
      <c r="BE74" s="30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-0.14</v>
      </c>
      <c r="BF74" s="30" cm="1">
        <f t="array" ref="BF74">$G$12+VLOOKUP($R74,武学奇术!$A:$ZZ,12,FALSE)+SUM(_xlfn.XLOOKUP($S74:$AL74,增益!$A:$A,增益!$L:$L,0))</f>
        <v>0</v>
      </c>
      <c r="BG74">
        <f t="shared" si="27"/>
        <v>0</v>
      </c>
      <c r="BH74">
        <f t="shared" si="28"/>
        <v>0</v>
      </c>
      <c r="BI74" s="30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-0.14</v>
      </c>
      <c r="BJ74" s="30" cm="1">
        <f t="array" ref="BJ74">$G$13+VLOOKUP($R74,武学奇术!$A:$ZZ,14,FALSE)+SUM(_xlfn.XLOOKUP($S74:$AL74,增益!$A:$A,增益!$N:$N,0))</f>
        <v>0</v>
      </c>
      <c r="BK74">
        <f t="shared" si="29"/>
        <v>605.472</v>
      </c>
      <c r="BL74">
        <f t="shared" si="30"/>
        <v>1725.468</v>
      </c>
      <c r="BM74" s="30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0.08</v>
      </c>
      <c r="BN74" s="30" cm="1">
        <f t="array" ref="BN74">$G$14+VLOOKUP($R74,武学奇术!$A:$ZZ,16,FALSE)+SUM(_xlfn.XLOOKUP($S74:$AL74,增益!$A:$A,增益!$P:$P,0))</f>
        <v>0.24</v>
      </c>
      <c r="BO74" s="24">
        <f>MIN(IF(VLOOKUP($R74,武学奇术!$A:$ZZ,23,FALSE)=1,100%,$B$8),100%)</f>
        <v>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0.9036</v>
      </c>
      <c r="BQ74" s="24" cm="1">
        <f t="array" ref="BQ74">1+$B$13+VLOOKUP($R74,武学奇术!$A:$ZZ,18,FALSE)+SUM(_xlfn.XLOOKUP($S74:$AL74,增益!$A:$A,增益!$R:$R,0))</f>
        <v>1.64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4" cm="1">
        <f t="array" ref="BS74">1+$B$14+VLOOKUP($R74,武学奇术!$A:$ZZ,20,FALSE)+SUM(_xlfn.XLOOKUP($S74:$AL74,增益!$A:$A,增益!$T:$T,0))</f>
        <v>1.35</v>
      </c>
      <c r="BT74" s="24">
        <f t="shared" si="31"/>
        <v>0.9036</v>
      </c>
      <c r="BU74" s="24">
        <f t="shared" si="32"/>
        <v>0.00350000000000006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s="4" t="s">
        <v>183</v>
      </c>
      <c r="B75" s="4">
        <v>0.8</v>
      </c>
      <c r="D75" s="70"/>
      <c r="F75" s="70"/>
      <c r="G75" s="70"/>
      <c r="K75">
        <f>$L75*VLOOKUP($R75,武学奇术!$A:$ZZ,31,FALSE)</f>
        <v>29364.1738207116</v>
      </c>
      <c r="L75" s="36">
        <f t="shared" si="33"/>
        <v>29364.1738207116</v>
      </c>
      <c r="M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$21,0))*(1+$BW75)</f>
        <v>29607.8876204442</v>
      </c>
      <c r="N75" s="36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</f>
        <v>27419.795498758</v>
      </c>
      <c r="O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$21,0))*(1+$BW75)</f>
        <v>18053.590012466</v>
      </c>
      <c r="P75" s="36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</f>
        <v>15796.2203962223</v>
      </c>
      <c r="Q75" s="70">
        <v>1</v>
      </c>
      <c r="R75" s="38" t="s">
        <v>122</v>
      </c>
      <c r="S75" s="38" t="s">
        <v>104</v>
      </c>
      <c r="T75" s="38" t="s">
        <v>79</v>
      </c>
      <c r="U75" s="38" t="s">
        <v>79</v>
      </c>
      <c r="V75" s="38" t="s">
        <v>79</v>
      </c>
      <c r="W75" s="38" t="s">
        <v>79</v>
      </c>
      <c r="X75" s="38" t="s">
        <v>79</v>
      </c>
      <c r="Y75" s="38" t="s">
        <v>173</v>
      </c>
      <c r="Z75" s="38" t="s">
        <v>90</v>
      </c>
      <c r="AA75" s="38" t="s">
        <v>79</v>
      </c>
      <c r="AB75" s="38" t="s">
        <v>91</v>
      </c>
      <c r="AC75" s="38" t="s">
        <v>79</v>
      </c>
      <c r="AD75" s="38" t="s">
        <v>82</v>
      </c>
      <c r="AE75" s="38" t="s">
        <v>83</v>
      </c>
      <c r="AF75" s="38" t="s">
        <v>84</v>
      </c>
      <c r="AG75" s="38" t="s">
        <v>85</v>
      </c>
      <c r="AH75" s="38" t="s">
        <v>79</v>
      </c>
      <c r="AI75" s="38" t="s">
        <v>79</v>
      </c>
      <c r="AJ75" s="38" t="s">
        <v>79</v>
      </c>
      <c r="AK75" s="38" t="s">
        <v>79</v>
      </c>
      <c r="AL75" s="38" t="s">
        <v>79</v>
      </c>
      <c r="AM75" t="str">
        <f>VLOOKUP($R75,武学奇术!$A:$ZZ,25,FALSE)</f>
        <v>拳甲</v>
      </c>
      <c r="AN75" s="24">
        <f>VLOOKUP($R75,武学奇术!$A:$ZZ,26,FALSE)</f>
        <v>1.2876</v>
      </c>
      <c r="AO75" s="25">
        <f>VLOOKUP($R75,武学奇术!$A:$ZZ,27,FALSE)*(1+IF(OR($AM75=$F$4,$AM75=$F$5),$B$22,0))</f>
        <v>537</v>
      </c>
      <c r="AP75" s="24">
        <f>VLOOKUP($R75,武学奇术!$A:$ZZ,28,FALSE)</f>
        <v>1.9313</v>
      </c>
      <c r="AQ75" s="25">
        <f>VLOOKUP($R75,武学奇术!$A:$ZZ,29,FALSE)*(1+IF(OR($AM75=$F$4,$AM75=$F$5),$B$22,0))</f>
        <v>292.5</v>
      </c>
      <c r="AR75" s="24" cm="1">
        <f t="array" ref="AR75">$G$3+IFERROR(VLOOKUP($AM75,$F$4:$G$7,2,FALSE),0)+VLOOKUP($R75,武学奇术!$A:$ZZ,2,FALSE)+SUM(_xlfn.XLOOKUP($S75:$AL75,增益!$A:$A,增益!$B:$B,0))</f>
        <v>0.4041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3901.102</v>
      </c>
      <c r="AU75" cm="1">
        <f t="array" ref="AU75">$E$10*(1+$AS75)+VLOOKUP($R75,武学奇术!$A:$ZZ,4,FALSE)+SUM(_xlfn.XLOOKUP($S75:$AL75,增益!$A:$A,增益!$D:$D,0))-$I$2</f>
        <v>3901.102</v>
      </c>
      <c r="AV75" s="30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0.317</v>
      </c>
      <c r="AW75" s="30" cm="1">
        <f t="array" ref="AW75">$G$10+VLOOKUP($R75,武学奇术!$A:$ZZ,7,FALSE)+SUM(_xlfn.XLOOKUP($S75:$AL75,增益!$A:$A,增益!$G:$G,0))</f>
        <v>0.09</v>
      </c>
      <c r="AX75" s="24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0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0" cm="1">
        <f t="array" ref="BB75">$G$11+VLOOKUP($R75,武学奇术!$A:$ZZ,10,FALSE)+SUM(_xlfn.XLOOKUP($S75:$AL75,增益!$A:$A,增益!$J:$J,0))</f>
        <v>0</v>
      </c>
      <c r="BC75">
        <f t="shared" si="25"/>
        <v>0</v>
      </c>
      <c r="BD75">
        <f t="shared" si="26"/>
        <v>0</v>
      </c>
      <c r="BE75" s="30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0" cm="1">
        <f t="array" ref="BF75">$G$12+VLOOKUP($R75,武学奇术!$A:$ZZ,12,FALSE)+SUM(_xlfn.XLOOKUP($S75:$AL75,增益!$A:$A,增益!$L:$L,0))</f>
        <v>0</v>
      </c>
      <c r="BG75">
        <f t="shared" si="27"/>
        <v>0</v>
      </c>
      <c r="BH75">
        <f t="shared" si="28"/>
        <v>0</v>
      </c>
      <c r="BI75" s="30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-0.14</v>
      </c>
      <c r="BJ75" s="30" cm="1">
        <f t="array" ref="BJ75">$G$13+VLOOKUP($R75,武学奇术!$A:$ZZ,14,FALSE)+SUM(_xlfn.XLOOKUP($S75:$AL75,增益!$A:$A,增益!$N:$N,0))</f>
        <v>0</v>
      </c>
      <c r="BK75">
        <f t="shared" si="29"/>
        <v>605.472</v>
      </c>
      <c r="BL75">
        <f t="shared" si="30"/>
        <v>1725.468</v>
      </c>
      <c r="BM75" s="30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0.08</v>
      </c>
      <c r="BN75" s="30" cm="1">
        <f t="array" ref="BN75">$G$14+VLOOKUP($R75,武学奇术!$A:$ZZ,16,FALSE)+SUM(_xlfn.XLOOKUP($S75:$AL75,增益!$A:$A,增益!$P:$P,0))</f>
        <v>0.24</v>
      </c>
      <c r="BO75" s="24">
        <f>MIN(IF(VLOOKUP($R75,武学奇术!$A:$ZZ,23,FALSE)=1,100%,$B$8),100%)</f>
        <v>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0.9036</v>
      </c>
      <c r="BQ75" s="24" cm="1">
        <f t="array" ref="BQ75">1+$B$13+VLOOKUP($R75,武学奇术!$A:$ZZ,18,FALSE)+SUM(_xlfn.XLOOKUP($S75:$AL75,增益!$A:$A,增益!$R:$R,0))</f>
        <v>1.64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4" cm="1">
        <f t="array" ref="BS75">1+$B$14+VLOOKUP($R75,武学奇术!$A:$ZZ,20,FALSE)+SUM(_xlfn.XLOOKUP($S75:$AL75,增益!$A:$A,增益!$T:$T,0))</f>
        <v>1.35</v>
      </c>
      <c r="BT75" s="24">
        <f t="shared" si="31"/>
        <v>0.9036</v>
      </c>
      <c r="BU75" s="24">
        <f t="shared" si="32"/>
        <v>0.00350000000000006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A76" s="4" t="s">
        <v>184</v>
      </c>
      <c r="B76" s="4">
        <v>2.15</v>
      </c>
      <c r="D76" s="70"/>
      <c r="F76" s="70"/>
      <c r="G76" s="70"/>
      <c r="K76">
        <f>$L76*VLOOKUP($R76,武学奇术!$A:$ZZ,31,FALSE)</f>
        <v>100272.922810742</v>
      </c>
      <c r="L76" s="36">
        <f t="shared" si="33"/>
        <v>77133.0175467248</v>
      </c>
      <c r="M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$21,0))*(1+$BW76)</f>
        <v>78768.242656267</v>
      </c>
      <c r="N76" s="36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</f>
        <v>62604.1531565683</v>
      </c>
      <c r="O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$21,0))*(1+$BW76)</f>
        <v>40602.1869362201</v>
      </c>
      <c r="P76" s="36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</f>
        <v>34830.927089797</v>
      </c>
      <c r="Q76" s="70">
        <v>1</v>
      </c>
      <c r="R76" s="38" t="s">
        <v>124</v>
      </c>
      <c r="S76" s="38" t="s">
        <v>104</v>
      </c>
      <c r="T76" s="38" t="s">
        <v>79</v>
      </c>
      <c r="U76" s="38" t="s">
        <v>79</v>
      </c>
      <c r="V76" s="38" t="s">
        <v>79</v>
      </c>
      <c r="W76" s="38" t="s">
        <v>79</v>
      </c>
      <c r="X76" s="38" t="s">
        <v>79</v>
      </c>
      <c r="Y76" s="38" t="s">
        <v>173</v>
      </c>
      <c r="Z76" s="38" t="s">
        <v>90</v>
      </c>
      <c r="AA76" s="38" t="s">
        <v>112</v>
      </c>
      <c r="AB76" s="38" t="s">
        <v>91</v>
      </c>
      <c r="AC76" s="38" t="s">
        <v>79</v>
      </c>
      <c r="AD76" s="38" t="s">
        <v>82</v>
      </c>
      <c r="AE76" s="38" t="s">
        <v>83</v>
      </c>
      <c r="AF76" s="38" t="s">
        <v>84</v>
      </c>
      <c r="AG76" s="38" t="s">
        <v>85</v>
      </c>
      <c r="AH76" s="38" t="s">
        <v>79</v>
      </c>
      <c r="AI76" s="38" t="s">
        <v>79</v>
      </c>
      <c r="AJ76" s="38" t="s">
        <v>79</v>
      </c>
      <c r="AK76" s="38" t="s">
        <v>79</v>
      </c>
      <c r="AL76" s="38" t="s">
        <v>79</v>
      </c>
      <c r="AM76" t="str">
        <f>VLOOKUP($R76,武学奇术!$A:$ZZ,25,FALSE)</f>
        <v>拳甲</v>
      </c>
      <c r="AN76" s="24">
        <f>VLOOKUP($R76,武学奇术!$A:$ZZ,26,FALSE)</f>
        <v>2.638944</v>
      </c>
      <c r="AO76" s="25">
        <f>VLOOKUP($R76,武学奇术!$A:$ZZ,27,FALSE)*(1+IF(OR($AM76=$F$4,$AM76=$F$5),$B$22,0))</f>
        <v>0</v>
      </c>
      <c r="AP76" s="24">
        <f>VLOOKUP($R76,武学奇术!$A:$ZZ,28,FALSE)</f>
        <v>3.958416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0.7041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3901.102</v>
      </c>
      <c r="AU76" cm="1">
        <f t="array" ref="AU76">$E$10*(1+$AS76)+VLOOKUP($R76,武学奇术!$A:$ZZ,4,FALSE)+SUM(_xlfn.XLOOKUP($S76:$AL76,增益!$A:$A,增益!$D:$D,0))-$I$2</f>
        <v>3901.102</v>
      </c>
      <c r="AV76" s="30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0.347</v>
      </c>
      <c r="AW76" s="30" cm="1">
        <f t="array" ref="AW76">$G$10+VLOOKUP($R76,武学奇术!$A:$ZZ,7,FALSE)+SUM(_xlfn.XLOOKUP($S76:$AL76,增益!$A:$A,增益!$G:$G,0))</f>
        <v>0.09</v>
      </c>
      <c r="AX76" s="24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0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-0.08</v>
      </c>
      <c r="BB76" s="30" cm="1">
        <f t="array" ref="BB76">$G$11+VLOOKUP($R76,武学奇术!$A:$ZZ,10,FALSE)+SUM(_xlfn.XLOOKUP($S76:$AL76,增益!$A:$A,增益!$J:$J,0))</f>
        <v>0</v>
      </c>
      <c r="BC76">
        <f t="shared" si="25"/>
        <v>0</v>
      </c>
      <c r="BD76">
        <f t="shared" si="26"/>
        <v>0</v>
      </c>
      <c r="BE76" s="30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-0.08</v>
      </c>
      <c r="BF76" s="30" cm="1">
        <f t="array" ref="BF76">$G$12+VLOOKUP($R76,武学奇术!$A:$ZZ,12,FALSE)+SUM(_xlfn.XLOOKUP($S76:$AL76,增益!$A:$A,增益!$L:$L,0))</f>
        <v>0</v>
      </c>
      <c r="BG76">
        <f t="shared" si="27"/>
        <v>0</v>
      </c>
      <c r="BH76">
        <f t="shared" si="28"/>
        <v>0</v>
      </c>
      <c r="BI76" s="30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-0.08</v>
      </c>
      <c r="BJ76" s="30" cm="1">
        <f t="array" ref="BJ76">$G$13+VLOOKUP($R76,武学奇术!$A:$ZZ,14,FALSE)+SUM(_xlfn.XLOOKUP($S76:$AL76,增益!$A:$A,增益!$N:$N,0))</f>
        <v>0</v>
      </c>
      <c r="BK76">
        <f t="shared" si="29"/>
        <v>605.472</v>
      </c>
      <c r="BL76">
        <f t="shared" si="30"/>
        <v>1725.468</v>
      </c>
      <c r="BM76" s="30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0.11</v>
      </c>
      <c r="BN76" s="30" cm="1">
        <f t="array" ref="BN76">$G$14+VLOOKUP($R76,武学奇术!$A:$ZZ,16,FALSE)+SUM(_xlfn.XLOOKUP($S76:$AL76,增益!$A:$A,增益!$P:$P,0))</f>
        <v>0.24</v>
      </c>
      <c r="BO76" s="24">
        <f>MIN(IF(VLOOKUP($R76,武学奇术!$A:$ZZ,23,FALSE)=1,100%,$B$8),100%)</f>
        <v>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0.9036</v>
      </c>
      <c r="BQ76" s="24" cm="1">
        <f t="array" ref="BQ76">1+$B$13+VLOOKUP($R76,武学奇术!$A:$ZZ,18,FALSE)+SUM(_xlfn.XLOOKUP($S76:$AL76,增益!$A:$A,增益!$R:$R,0))</f>
        <v>1.94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4" cm="1">
        <f t="array" ref="BS76">1+$B$14+VLOOKUP($R76,武学奇术!$A:$ZZ,20,FALSE)+SUM(_xlfn.XLOOKUP($S76:$AL76,增益!$A:$A,增益!$T:$T,0))</f>
        <v>1.35</v>
      </c>
      <c r="BT76" s="24">
        <f t="shared" si="31"/>
        <v>0.9036</v>
      </c>
      <c r="BU76" s="24">
        <f t="shared" si="32"/>
        <v>0.00350000000000006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0.11</v>
      </c>
      <c r="BX76" s="24" cm="1">
        <f t="array" ref="BX76">SUM(_xlfn.XLOOKUP($S76:$AL76,增益!$A:$A,增益!$X:$X,0))</f>
        <v>0</v>
      </c>
    </row>
    <row r="77" spans="1:76">
      <c r="A77" t="s">
        <v>166</v>
      </c>
      <c r="B77">
        <v>0.9</v>
      </c>
      <c r="D77" s="70"/>
      <c r="F77" s="70"/>
      <c r="G77" s="70"/>
      <c r="K77">
        <f>$L77*VLOOKUP($R77,武学奇术!$A:$ZZ,31,FALSE)</f>
        <v>24490.0415333615</v>
      </c>
      <c r="L77" s="36">
        <f t="shared" si="33"/>
        <v>24490.0415333615</v>
      </c>
      <c r="M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$21,0))*(1+$BW77)</f>
        <v>24705.5842630281</v>
      </c>
      <c r="N77" s="36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</f>
        <v>22748.6572768642</v>
      </c>
      <c r="O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$21,0))*(1+$BW77)</f>
        <v>15064.3806481879</v>
      </c>
      <c r="P77" s="36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</f>
        <v>13277.9040542541</v>
      </c>
      <c r="Q77" s="70">
        <v>1</v>
      </c>
      <c r="R77" s="38" t="s">
        <v>160</v>
      </c>
      <c r="S77" s="38" t="s">
        <v>104</v>
      </c>
      <c r="T77" s="38" t="s">
        <v>79</v>
      </c>
      <c r="U77" s="38" t="s">
        <v>79</v>
      </c>
      <c r="V77" s="38" t="s">
        <v>79</v>
      </c>
      <c r="W77" s="38" t="s">
        <v>79</v>
      </c>
      <c r="X77" s="38" t="s">
        <v>79</v>
      </c>
      <c r="Y77" s="38" t="s">
        <v>173</v>
      </c>
      <c r="Z77" s="38" t="s">
        <v>79</v>
      </c>
      <c r="AA77" s="38" t="s">
        <v>79</v>
      </c>
      <c r="AB77" s="38" t="s">
        <v>91</v>
      </c>
      <c r="AC77" s="38" t="s">
        <v>79</v>
      </c>
      <c r="AD77" s="38" t="s">
        <v>82</v>
      </c>
      <c r="AE77" s="38" t="s">
        <v>83</v>
      </c>
      <c r="AF77" s="38" t="s">
        <v>84</v>
      </c>
      <c r="AG77" s="38" t="s">
        <v>85</v>
      </c>
      <c r="AH77" s="38" t="s">
        <v>79</v>
      </c>
      <c r="AI77" s="38" t="s">
        <v>79</v>
      </c>
      <c r="AJ77" s="38" t="s">
        <v>79</v>
      </c>
      <c r="AK77" s="38" t="s">
        <v>79</v>
      </c>
      <c r="AL77" s="38" t="s">
        <v>79</v>
      </c>
      <c r="AM77" t="str">
        <f>VLOOKUP($R77,武学奇术!$A:$ZZ,25,FALSE)</f>
        <v>拳甲</v>
      </c>
      <c r="AN77" s="24">
        <f>VLOOKUP($R77,武学奇术!$A:$ZZ,26,FALSE)</f>
        <v>1.1005</v>
      </c>
      <c r="AO77" s="25">
        <f>VLOOKUP($R77,武学奇术!$A:$ZZ,27,FALSE)*(1+IF(OR($AM77=$F$4,$AM77=$F$5),$B$22,0))</f>
        <v>457.5</v>
      </c>
      <c r="AP77" s="24">
        <f>VLOOKUP($R77,武学奇术!$A:$ZZ,28,FALSE)</f>
        <v>1.6507</v>
      </c>
      <c r="AQ77" s="25">
        <f>VLOOKUP($R77,武学奇术!$A:$ZZ,29,FALSE)*(1+IF(OR($AM77=$F$4,$AM77=$F$5),$B$22,0))</f>
        <v>247.5</v>
      </c>
      <c r="AR77" s="24" cm="1">
        <f t="array" ref="AR77">$G$3+IFERROR(VLOOKUP($AM77,$F$4:$G$7,2,FALSE),0)+VLOOKUP($R77,武学奇术!$A:$ZZ,2,FALSE)+SUM(_xlfn.XLOOKUP($S77:$AL77,增益!$A:$A,增益!$B:$B,0))</f>
        <v>0.4041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3901.102</v>
      </c>
      <c r="AU77" cm="1">
        <f t="array" ref="AU77">$E$10*(1+$AS77)+VLOOKUP($R77,武学奇术!$A:$ZZ,4,FALSE)+SUM(_xlfn.XLOOKUP($S77:$AL77,增益!$A:$A,增益!$D:$D,0))-$I$2</f>
        <v>3901.102</v>
      </c>
      <c r="AV77" s="30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0.317</v>
      </c>
      <c r="AW77" s="30" cm="1">
        <f t="array" ref="AW77">$G$10+VLOOKUP($R77,武学奇术!$A:$ZZ,7,FALSE)+SUM(_xlfn.XLOOKUP($S77:$AL77,增益!$A:$A,增益!$G:$G,0))</f>
        <v>0.09</v>
      </c>
      <c r="AX77" s="24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0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0" cm="1">
        <f t="array" ref="BB77">$G$11+VLOOKUP($R77,武学奇术!$A:$ZZ,10,FALSE)+SUM(_xlfn.XLOOKUP($S77:$AL77,增益!$A:$A,增益!$J:$J,0))</f>
        <v>0</v>
      </c>
      <c r="BC77">
        <f t="shared" si="25"/>
        <v>0</v>
      </c>
      <c r="BD77">
        <f t="shared" si="26"/>
        <v>0</v>
      </c>
      <c r="BE77" s="30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0" cm="1">
        <f t="array" ref="BF77">$G$12+VLOOKUP($R77,武学奇术!$A:$ZZ,12,FALSE)+SUM(_xlfn.XLOOKUP($S77:$AL77,增益!$A:$A,增益!$L:$L,0))</f>
        <v>0</v>
      </c>
      <c r="BG77">
        <f t="shared" si="27"/>
        <v>0</v>
      </c>
      <c r="BH77">
        <f t="shared" si="28"/>
        <v>0</v>
      </c>
      <c r="BI77" s="30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0" cm="1">
        <f t="array" ref="BJ77">$G$13+VLOOKUP($R77,武学奇术!$A:$ZZ,14,FALSE)+SUM(_xlfn.XLOOKUP($S77:$AL77,增益!$A:$A,增益!$N:$N,0))</f>
        <v>0</v>
      </c>
      <c r="BK77">
        <f t="shared" si="29"/>
        <v>605.472</v>
      </c>
      <c r="BL77">
        <f t="shared" si="30"/>
        <v>1725.468</v>
      </c>
      <c r="BM77" s="30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0" cm="1">
        <f t="array" ref="BN77">$G$14+VLOOKUP($R77,武学奇术!$A:$ZZ,16,FALSE)+SUM(_xlfn.XLOOKUP($S77:$AL77,增益!$A:$A,增益!$P:$P,0))</f>
        <v>0.24</v>
      </c>
      <c r="BO77" s="24">
        <f>MIN(IF(VLOOKUP($R77,武学奇术!$A:$ZZ,23,FALSE)=1,100%,$B$8),100%)</f>
        <v>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0.9036</v>
      </c>
      <c r="BQ77" s="24" cm="1">
        <f t="array" ref="BQ77">1+$B$13+VLOOKUP($R77,武学奇术!$A:$ZZ,18,FALSE)+SUM(_xlfn.XLOOKUP($S77:$AL77,增益!$A:$A,增益!$R:$R,0))</f>
        <v>1.64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4" cm="1">
        <f t="array" ref="BS77">1+$B$14+VLOOKUP($R77,武学奇术!$A:$ZZ,20,FALSE)+SUM(_xlfn.XLOOKUP($S77:$AL77,增益!$A:$A,增益!$T:$T,0))</f>
        <v>1.35</v>
      </c>
      <c r="BT77" s="24">
        <f t="shared" si="31"/>
        <v>0.9036</v>
      </c>
      <c r="BU77" s="24">
        <f t="shared" si="32"/>
        <v>0.00350000000000006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0.11</v>
      </c>
      <c r="BX77" s="24" cm="1">
        <f t="array" ref="BX77">SUM(_xlfn.XLOOKUP($S77:$AL77,增益!$A:$A,增益!$X:$X,0))</f>
        <v>0</v>
      </c>
    </row>
    <row r="78" spans="1:76">
      <c r="A78" t="s">
        <v>176</v>
      </c>
      <c r="B78">
        <v>1.23</v>
      </c>
      <c r="D78" s="70"/>
      <c r="F78" s="70"/>
      <c r="G78" s="70"/>
      <c r="K78">
        <f>$L78*VLOOKUP($R78,武学奇术!$A:$ZZ,31,FALSE)</f>
        <v>0</v>
      </c>
      <c r="L78" s="36">
        <f t="shared" si="33"/>
        <v>0</v>
      </c>
      <c r="M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$21,0))*(1+$BW78)</f>
        <v>0</v>
      </c>
      <c r="N78" s="36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</f>
        <v>0</v>
      </c>
      <c r="O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$21,0))*(1+$BW78)</f>
        <v>0</v>
      </c>
      <c r="P78" s="36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</f>
        <v>0</v>
      </c>
      <c r="Q78" s="70">
        <v>1</v>
      </c>
      <c r="R78" s="38" t="s">
        <v>79</v>
      </c>
      <c r="S78" s="38" t="s">
        <v>79</v>
      </c>
      <c r="T78" s="38" t="s">
        <v>79</v>
      </c>
      <c r="U78" s="38" t="s">
        <v>79</v>
      </c>
      <c r="V78" s="38" t="s">
        <v>79</v>
      </c>
      <c r="W78" s="38" t="s">
        <v>79</v>
      </c>
      <c r="X78" s="38" t="s">
        <v>79</v>
      </c>
      <c r="Y78" s="38" t="s">
        <v>79</v>
      </c>
      <c r="Z78" s="38" t="s">
        <v>79</v>
      </c>
      <c r="AA78" s="38" t="s">
        <v>79</v>
      </c>
      <c r="AB78" s="38" t="s">
        <v>79</v>
      </c>
      <c r="AC78" s="38" t="s">
        <v>79</v>
      </c>
      <c r="AD78" s="38" t="s">
        <v>82</v>
      </c>
      <c r="AE78" s="38" t="s">
        <v>83</v>
      </c>
      <c r="AF78" s="38" t="s">
        <v>84</v>
      </c>
      <c r="AG78" s="38" t="s">
        <v>85</v>
      </c>
      <c r="AH78" s="38" t="s">
        <v>79</v>
      </c>
      <c r="AI78" s="38" t="s">
        <v>79</v>
      </c>
      <c r="AJ78" s="38" t="s">
        <v>79</v>
      </c>
      <c r="AK78" s="38" t="s">
        <v>79</v>
      </c>
      <c r="AL78" s="38" t="s">
        <v>79</v>
      </c>
      <c r="AM78" t="str">
        <f>VLOOKUP($R78,武学奇术!$A:$ZZ,25,FALSE)</f>
        <v>心法</v>
      </c>
      <c r="AN78" s="24">
        <f>VLOOKUP($R78,武学奇术!$A:$ZZ,26,FALSE)</f>
        <v>0</v>
      </c>
      <c r="AO78" s="25">
        <f>VLOOKUP($R78,武学奇术!$A:$ZZ,27,FALSE)*(1+IF(OR($AM78=$F$4,$AM78=$F$5),$B$22,0))</f>
        <v>0</v>
      </c>
      <c r="AP78" s="24">
        <f>VLOOKUP($R78,武学奇术!$A:$ZZ,28,FALSE)</f>
        <v>0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0.1837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3901.102</v>
      </c>
      <c r="AU78" cm="1">
        <f t="array" ref="AU78">$E$10*(1+$AS78)+VLOOKUP($R78,武学奇术!$A:$ZZ,4,FALSE)+SUM(_xlfn.XLOOKUP($S78:$AL78,增益!$A:$A,增益!$D:$D,0))-$I$2</f>
        <v>3901.102</v>
      </c>
      <c r="AV78" s="30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0.267</v>
      </c>
      <c r="AW78" s="30" cm="1">
        <f t="array" ref="AW78">$G$10+VLOOKUP($R78,武学奇术!$A:$ZZ,7,FALSE)+SUM(_xlfn.XLOOKUP($S78:$AL78,增益!$A:$A,增益!$G:$G,0))</f>
        <v>0.09</v>
      </c>
      <c r="AX78" s="24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0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0" cm="1">
        <f t="array" ref="BB78">$G$11+VLOOKUP($R78,武学奇术!$A:$ZZ,10,FALSE)+SUM(_xlfn.XLOOKUP($S78:$AL78,增益!$A:$A,增益!$J:$J,0))</f>
        <v>0</v>
      </c>
      <c r="BC78">
        <f t="shared" si="25"/>
        <v>0</v>
      </c>
      <c r="BD78">
        <f t="shared" si="26"/>
        <v>0</v>
      </c>
      <c r="BE78" s="30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0" cm="1">
        <f t="array" ref="BF78">$G$12+VLOOKUP($R78,武学奇术!$A:$ZZ,12,FALSE)+SUM(_xlfn.XLOOKUP($S78:$AL78,增益!$A:$A,增益!$L:$L,0))</f>
        <v>0</v>
      </c>
      <c r="BG78">
        <f t="shared" si="27"/>
        <v>0</v>
      </c>
      <c r="BH78">
        <f t="shared" si="28"/>
        <v>0</v>
      </c>
      <c r="BI78" s="30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0" cm="1">
        <f t="array" ref="BJ78">$G$13+VLOOKUP($R78,武学奇术!$A:$ZZ,14,FALSE)+SUM(_xlfn.XLOOKUP($S78:$AL78,增益!$A:$A,增益!$N:$N,0))</f>
        <v>0</v>
      </c>
      <c r="BK78">
        <f t="shared" si="29"/>
        <v>605.472</v>
      </c>
      <c r="BL78">
        <f t="shared" si="30"/>
        <v>1725.468</v>
      </c>
      <c r="BM78" s="30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0" cm="1">
        <f t="array" ref="BN78">$G$14+VLOOKUP($R78,武学奇术!$A:$ZZ,16,FALSE)+SUM(_xlfn.XLOOKUP($S78:$AL78,增益!$A:$A,增益!$P:$P,0))</f>
        <v>0.24</v>
      </c>
      <c r="BO78" s="24">
        <f>MIN(IF(VLOOKUP($R78,武学奇术!$A:$ZZ,23,FALSE)=1,100%,$B$8),100%)</f>
        <v>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0.9036</v>
      </c>
      <c r="BQ78" s="24" cm="1">
        <f t="array" ref="BQ78">1+$B$13+VLOOKUP($R78,武学奇术!$A:$ZZ,18,FALSE)+SUM(_xlfn.XLOOKUP($S78:$AL78,增益!$A:$A,增益!$R:$R,0))</f>
        <v>1.54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4" cm="1">
        <f t="array" ref="BS78">1+$B$14+VLOOKUP($R78,武学奇术!$A:$ZZ,20,FALSE)+SUM(_xlfn.XLOOKUP($S78:$AL78,增益!$A:$A,增益!$T:$T,0))</f>
        <v>1.35</v>
      </c>
      <c r="BT78" s="24">
        <f t="shared" si="31"/>
        <v>0.9036</v>
      </c>
      <c r="BU78" s="24">
        <f t="shared" si="32"/>
        <v>0.00350000000000006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0.11</v>
      </c>
      <c r="BX78" s="24" cm="1">
        <f t="array" ref="BX78">SUM(_xlfn.XLOOKUP($S78:$AL78,增益!$A:$A,增益!$X:$X,0))</f>
        <v>0</v>
      </c>
    </row>
    <row r="79" spans="1:76">
      <c r="A79" s="4" t="s">
        <v>193</v>
      </c>
      <c r="B79" s="91">
        <v>1.16</v>
      </c>
      <c r="D79" s="70"/>
      <c r="F79" s="70"/>
      <c r="K79">
        <f>$L79*VLOOKUP($R79,武学奇术!$A:$ZZ,31,FALSE)</f>
        <v>118888.866117236</v>
      </c>
      <c r="L79" s="36">
        <f t="shared" si="33"/>
        <v>118888.866117236</v>
      </c>
      <c r="M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$21,0))*(1+$BW79)</f>
        <v>119800.438590124</v>
      </c>
      <c r="N79" s="36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</f>
        <v>111749.387938408</v>
      </c>
      <c r="O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$21,0))*(1+$BW79)</f>
        <v>73049.047920807</v>
      </c>
      <c r="P79" s="36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</f>
        <v>63320.7714427936</v>
      </c>
      <c r="Q79" s="70">
        <v>1</v>
      </c>
      <c r="R79" s="38" t="s">
        <v>186</v>
      </c>
      <c r="S79" s="38" t="s">
        <v>79</v>
      </c>
      <c r="T79" s="38" t="s">
        <v>79</v>
      </c>
      <c r="U79" s="38" t="s">
        <v>79</v>
      </c>
      <c r="V79" s="38" t="s">
        <v>79</v>
      </c>
      <c r="W79" s="38" t="s">
        <v>79</v>
      </c>
      <c r="X79" s="38" t="s">
        <v>79</v>
      </c>
      <c r="Y79" s="38" t="s">
        <v>173</v>
      </c>
      <c r="Z79" s="38" t="s">
        <v>79</v>
      </c>
      <c r="AA79" s="38" t="s">
        <v>79</v>
      </c>
      <c r="AB79" s="38" t="s">
        <v>91</v>
      </c>
      <c r="AC79" s="38" t="s">
        <v>79</v>
      </c>
      <c r="AD79" s="38" t="s">
        <v>82</v>
      </c>
      <c r="AE79" s="38" t="s">
        <v>83</v>
      </c>
      <c r="AF79" s="38" t="s">
        <v>84</v>
      </c>
      <c r="AG79" s="38" t="s">
        <v>85</v>
      </c>
      <c r="AH79" s="38" t="s">
        <v>79</v>
      </c>
      <c r="AI79" s="38" t="s">
        <v>79</v>
      </c>
      <c r="AJ79" s="38" t="s">
        <v>79</v>
      </c>
      <c r="AK79" s="38" t="s">
        <v>79</v>
      </c>
      <c r="AL79" s="38" t="s">
        <v>79</v>
      </c>
      <c r="AM79" t="str">
        <f>VLOOKUP($R79,武学奇术!$A:$ZZ,25,FALSE)</f>
        <v>单体奇术</v>
      </c>
      <c r="AN79" s="24">
        <f>VLOOKUP($R79,武学奇术!$A:$ZZ,26,FALSE)</f>
        <v>7.1084</v>
      </c>
      <c r="AO79" s="25">
        <f>VLOOKUP($R79,武学奇术!$A:$ZZ,27,FALSE)*(1+IF(OR($AM79=$F$4,$AM79=$F$5),$B$22,0))</f>
        <v>1369</v>
      </c>
      <c r="AP79" s="24">
        <f>VLOOKUP($R79,武学奇术!$A:$ZZ,28,FALSE)</f>
        <v>10.6626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0.1837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3901.102</v>
      </c>
      <c r="AU79" cm="1">
        <f t="array" ref="AU79">$E$10*(1+$AS79)+VLOOKUP($R79,武学奇术!$A:$ZZ,4,FALSE)+SUM(_xlfn.XLOOKUP($S79:$AL79,增益!$A:$A,增益!$D:$D,0))-$I$2</f>
        <v>3901.102</v>
      </c>
      <c r="AV79" s="30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0.267</v>
      </c>
      <c r="AW79" s="30" cm="1">
        <f t="array" ref="AW79">$G$10+VLOOKUP($R79,武学奇术!$A:$ZZ,7,FALSE)+SUM(_xlfn.XLOOKUP($S79:$AL79,增益!$A:$A,增益!$G:$G,0))</f>
        <v>0.09</v>
      </c>
      <c r="AX79" s="24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0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0" cm="1">
        <f t="array" ref="BB79">$G$11+VLOOKUP($R79,武学奇术!$A:$ZZ,10,FALSE)+SUM(_xlfn.XLOOKUP($S79:$AL79,增益!$A:$A,增益!$J:$J,0))</f>
        <v>0</v>
      </c>
      <c r="BC79">
        <f t="shared" si="25"/>
        <v>0</v>
      </c>
      <c r="BD79">
        <f t="shared" si="26"/>
        <v>0</v>
      </c>
      <c r="BE79" s="30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0" cm="1">
        <f t="array" ref="BF79">$G$12+VLOOKUP($R79,武学奇术!$A:$ZZ,12,FALSE)+SUM(_xlfn.XLOOKUP($S79:$AL79,增益!$A:$A,增益!$L:$L,0))</f>
        <v>0</v>
      </c>
      <c r="BG79">
        <f t="shared" si="27"/>
        <v>0</v>
      </c>
      <c r="BH79">
        <f t="shared" si="28"/>
        <v>0</v>
      </c>
      <c r="BI79" s="30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0" cm="1">
        <f t="array" ref="BJ79">$G$13+VLOOKUP($R79,武学奇术!$A:$ZZ,14,FALSE)+SUM(_xlfn.XLOOKUP($S79:$AL79,增益!$A:$A,增益!$N:$N,0))</f>
        <v>0</v>
      </c>
      <c r="BK79">
        <f t="shared" si="29"/>
        <v>605.472</v>
      </c>
      <c r="BL79">
        <f t="shared" si="30"/>
        <v>1725.468</v>
      </c>
      <c r="BM79" s="30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0" cm="1">
        <f t="array" ref="BN79">$G$14+VLOOKUP($R79,武学奇术!$A:$ZZ,16,FALSE)+SUM(_xlfn.XLOOKUP($S79:$AL79,增益!$A:$A,增益!$P:$P,0))</f>
        <v>0.24</v>
      </c>
      <c r="BO79" s="24">
        <f>MIN(IF(VLOOKUP($R79,武学奇术!$A:$ZZ,23,FALSE)=1,100%,$B$8),100%)</f>
        <v>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0.9036</v>
      </c>
      <c r="BQ79" s="24" cm="1">
        <f t="array" ref="BQ79">1+$B$13+VLOOKUP($R79,武学奇术!$A:$ZZ,18,FALSE)+SUM(_xlfn.XLOOKUP($S79:$AL79,增益!$A:$A,增益!$R:$R,0))</f>
        <v>1.64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4" cm="1">
        <f t="array" ref="BS79">1+$B$14+VLOOKUP($R79,武学奇术!$A:$ZZ,20,FALSE)+SUM(_xlfn.XLOOKUP($S79:$AL79,增益!$A:$A,增益!$T:$T,0))</f>
        <v>1.35</v>
      </c>
      <c r="BT79" s="24">
        <f t="shared" si="31"/>
        <v>0.9036</v>
      </c>
      <c r="BU79" s="24">
        <f t="shared" si="32"/>
        <v>0.00350000000000006</v>
      </c>
      <c r="BV79" s="24">
        <f>IF(VLOOKUP($R79,武学奇术!$A:$ZZ,22,FALSE)=1,0,(1-$BO79))*(1-$BR79)</f>
        <v>0</v>
      </c>
      <c r="BW79" s="24" cm="1">
        <f t="array" ref="BW79">SUM(_xlfn.XLOOKUP($S79:$AL79,增益!$A:$A,增益!$W:$W,0))+$I$5</f>
        <v>0.11</v>
      </c>
      <c r="BX79" s="24" cm="1">
        <f t="array" ref="BX79">SUM(_xlfn.XLOOKUP($S79:$AL79,增益!$A:$A,增益!$X:$X,0))</f>
        <v>0</v>
      </c>
    </row>
    <row r="80" spans="1:76">
      <c r="A80" t="s">
        <v>169</v>
      </c>
      <c r="B80">
        <v>0.1</v>
      </c>
      <c r="D80" s="70"/>
      <c r="F80" s="70"/>
      <c r="K80">
        <f>$L80*VLOOKUP($R80,武学奇术!$A:$ZZ,31,FALSE)</f>
        <v>25427.8999667193</v>
      </c>
      <c r="L80" s="36">
        <f t="shared" si="33"/>
        <v>25427.8999667193</v>
      </c>
      <c r="M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$21,0))*(1+$BW80)</f>
        <v>25633.5923068319</v>
      </c>
      <c r="N80" s="36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</f>
        <v>23796.341453454</v>
      </c>
      <c r="O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$21,0))*(1+$BW80)</f>
        <v>15630.2392114828</v>
      </c>
      <c r="P80" s="36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</f>
        <v>13633.5588278146</v>
      </c>
      <c r="Q80" s="70">
        <v>1</v>
      </c>
      <c r="R80" s="38" t="s">
        <v>107</v>
      </c>
      <c r="S80" s="38" t="s">
        <v>78</v>
      </c>
      <c r="T80" s="38" t="s">
        <v>79</v>
      </c>
      <c r="U80" s="38" t="s">
        <v>79</v>
      </c>
      <c r="V80" s="38" t="s">
        <v>79</v>
      </c>
      <c r="W80" s="38" t="s">
        <v>79</v>
      </c>
      <c r="X80" s="38" t="s">
        <v>79</v>
      </c>
      <c r="Y80" s="38" t="s">
        <v>173</v>
      </c>
      <c r="Z80" s="38" t="s">
        <v>90</v>
      </c>
      <c r="AA80" s="38" t="s">
        <v>79</v>
      </c>
      <c r="AB80" s="38" t="s">
        <v>91</v>
      </c>
      <c r="AC80" s="38" t="s">
        <v>79</v>
      </c>
      <c r="AD80" s="38" t="s">
        <v>82</v>
      </c>
      <c r="AE80" s="38" t="s">
        <v>83</v>
      </c>
      <c r="AF80" s="38" t="s">
        <v>84</v>
      </c>
      <c r="AG80" s="38" t="s">
        <v>85</v>
      </c>
      <c r="AH80" s="38" t="s">
        <v>79</v>
      </c>
      <c r="AI80" s="38" t="s">
        <v>79</v>
      </c>
      <c r="AJ80" s="38" t="s">
        <v>79</v>
      </c>
      <c r="AK80" s="38" t="s">
        <v>79</v>
      </c>
      <c r="AL80" s="38" t="s">
        <v>79</v>
      </c>
      <c r="AM80" t="str">
        <f>VLOOKUP($R80,武学奇术!$A:$ZZ,25,FALSE)</f>
        <v>绳镖</v>
      </c>
      <c r="AN80" s="24">
        <f>VLOOKUP($R80,武学奇术!$A:$ZZ,26,FALSE)</f>
        <v>1.2503</v>
      </c>
      <c r="AO80" s="25">
        <f>VLOOKUP($R80,武学奇术!$A:$ZZ,27,FALSE)*(1+IF(OR($AM80=$F$4,$AM80=$F$5),$B$22,0))</f>
        <v>520.5</v>
      </c>
      <c r="AP80" s="24">
        <f>VLOOKUP($R80,武学奇术!$A:$ZZ,28,FALSE)</f>
        <v>1.8755</v>
      </c>
      <c r="AQ80" s="25">
        <f>VLOOKUP($R80,武学奇术!$A:$ZZ,29,FALSE)*(1+IF(OR($AM80=$F$4,$AM80=$F$5),$B$22,0))</f>
        <v>283.5</v>
      </c>
      <c r="AR80" s="24" cm="1">
        <f t="array" ref="AR80">$G$3+IFERROR(VLOOKUP($AM80,$F$4:$G$7,2,FALSE),0)+VLOOKUP($R80,武学奇术!$A:$ZZ,2,FALSE)+SUM(_xlfn.XLOOKUP($S80:$AL80,增益!$A:$A,增益!$B:$B,0))</f>
        <v>0.2789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3901.102</v>
      </c>
      <c r="AU80" cm="1">
        <f t="array" ref="AU80">$E$10*(1+$AS80)+VLOOKUP($R80,武学奇术!$A:$ZZ,4,FALSE)+SUM(_xlfn.XLOOKUP($S80:$AL80,增益!$A:$A,增益!$D:$D,0))-$I$2</f>
        <v>3901.102</v>
      </c>
      <c r="AV80" s="30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0.277</v>
      </c>
      <c r="AW80" s="30" cm="1">
        <f t="array" ref="AW80">$G$10+VLOOKUP($R80,武学奇术!$A:$ZZ,7,FALSE)+SUM(_xlfn.XLOOKUP($S80:$AL80,增益!$A:$A,增益!$G:$G,0))</f>
        <v>0.09</v>
      </c>
      <c r="AX80" s="24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0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0" cm="1">
        <f t="array" ref="BB80">$G$11+VLOOKUP($R80,武学奇术!$A:$ZZ,10,FALSE)+SUM(_xlfn.XLOOKUP($S80:$AL80,增益!$A:$A,增益!$J:$J,0))</f>
        <v>0</v>
      </c>
      <c r="BC80">
        <f t="shared" si="25"/>
        <v>0</v>
      </c>
      <c r="BD80">
        <f t="shared" si="26"/>
        <v>0</v>
      </c>
      <c r="BE80" s="30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0" cm="1">
        <f t="array" ref="BF80">$G$12+VLOOKUP($R80,武学奇术!$A:$ZZ,12,FALSE)+SUM(_xlfn.XLOOKUP($S80:$AL80,增益!$A:$A,增益!$L:$L,0))</f>
        <v>0</v>
      </c>
      <c r="BG80">
        <f t="shared" si="27"/>
        <v>0</v>
      </c>
      <c r="BH80">
        <f t="shared" si="28"/>
        <v>0</v>
      </c>
      <c r="BI80" s="30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-0.14</v>
      </c>
      <c r="BJ80" s="30" cm="1">
        <f t="array" ref="BJ80">$G$13+VLOOKUP($R80,武学奇术!$A:$ZZ,14,FALSE)+SUM(_xlfn.XLOOKUP($S80:$AL80,增益!$A:$A,增益!$N:$N,0))</f>
        <v>0</v>
      </c>
      <c r="BK80">
        <f t="shared" si="29"/>
        <v>605.472</v>
      </c>
      <c r="BL80">
        <f t="shared" si="30"/>
        <v>1725.468</v>
      </c>
      <c r="BM80" s="30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0.08</v>
      </c>
      <c r="BN80" s="30" cm="1">
        <f t="array" ref="BN80">$G$14+VLOOKUP($R80,武学奇术!$A:$ZZ,16,FALSE)+SUM(_xlfn.XLOOKUP($S80:$AL80,增益!$A:$A,增益!$P:$P,0))</f>
        <v>0.24</v>
      </c>
      <c r="BO80" s="24">
        <f>MIN(IF(VLOOKUP($R80,武学奇术!$A:$ZZ,23,FALSE)=1,100%,$B$8),100%)</f>
        <v>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0.9036</v>
      </c>
      <c r="BQ80" s="24" cm="1">
        <f t="array" ref="BQ80">1+$B$13+VLOOKUP($R80,武学奇术!$A:$ZZ,18,FALSE)+SUM(_xlfn.XLOOKUP($S80:$AL80,增益!$A:$A,增益!$R:$R,0))</f>
        <v>1.64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4" cm="1">
        <f t="array" ref="BS80">1+$B$14+VLOOKUP($R80,武学奇术!$A:$ZZ,20,FALSE)+SUM(_xlfn.XLOOKUP($S80:$AL80,增益!$A:$A,增益!$T:$T,0))</f>
        <v>1.35</v>
      </c>
      <c r="BT80" s="24">
        <f t="shared" si="31"/>
        <v>0.9036</v>
      </c>
      <c r="BU80" s="24">
        <f t="shared" si="32"/>
        <v>0.00350000000000006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0.11</v>
      </c>
      <c r="BX80" s="24" cm="1">
        <f t="array" ref="BX80">SUM(_xlfn.XLOOKUP($S80:$AL80,增益!$A:$A,增益!$X:$X,0))</f>
        <v>0</v>
      </c>
    </row>
    <row r="81" spans="1:76">
      <c r="A81" t="s">
        <v>174</v>
      </c>
      <c r="B81">
        <v>1</v>
      </c>
      <c r="D81" s="70"/>
      <c r="F81" s="70"/>
      <c r="K81">
        <f>$L81*VLOOKUP($R81,武学奇术!$A:$ZZ,31,FALSE)</f>
        <v>75817.8081763698</v>
      </c>
      <c r="L81" s="36">
        <f t="shared" si="33"/>
        <v>58321.3909048999</v>
      </c>
      <c r="M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$21,0))*(1+$BW81)</f>
        <v>59545.8743917332</v>
      </c>
      <c r="N81" s="36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</f>
        <v>47452.2140002924</v>
      </c>
      <c r="O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$21,0))*(1+$BW81)</f>
        <v>30693.7496864604</v>
      </c>
      <c r="P81" s="36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</f>
        <v>26237.7112245561</v>
      </c>
      <c r="Q81" s="70">
        <v>1</v>
      </c>
      <c r="R81" s="38" t="s">
        <v>111</v>
      </c>
      <c r="S81" s="38" t="s">
        <v>78</v>
      </c>
      <c r="T81" s="38" t="s">
        <v>79</v>
      </c>
      <c r="U81" s="38" t="s">
        <v>79</v>
      </c>
      <c r="V81" s="38" t="s">
        <v>79</v>
      </c>
      <c r="W81" s="38" t="s">
        <v>79</v>
      </c>
      <c r="X81" s="38" t="s">
        <v>79</v>
      </c>
      <c r="Y81" s="38" t="s">
        <v>173</v>
      </c>
      <c r="Z81" s="38" t="s">
        <v>90</v>
      </c>
      <c r="AA81" s="38" t="s">
        <v>112</v>
      </c>
      <c r="AB81" s="38" t="s">
        <v>91</v>
      </c>
      <c r="AC81" s="38" t="s">
        <v>79</v>
      </c>
      <c r="AD81" s="38" t="s">
        <v>82</v>
      </c>
      <c r="AE81" s="38" t="s">
        <v>83</v>
      </c>
      <c r="AF81" s="38" t="s">
        <v>84</v>
      </c>
      <c r="AG81" s="38" t="s">
        <v>85</v>
      </c>
      <c r="AH81" s="38" t="s">
        <v>79</v>
      </c>
      <c r="AI81" s="38" t="s">
        <v>79</v>
      </c>
      <c r="AJ81" s="38" t="s">
        <v>79</v>
      </c>
      <c r="AK81" s="38" t="s">
        <v>79</v>
      </c>
      <c r="AL81" s="38" t="s">
        <v>79</v>
      </c>
      <c r="AM81" t="str">
        <f>VLOOKUP($R81,武学奇术!$A:$ZZ,25,FALSE)</f>
        <v>绳镖</v>
      </c>
      <c r="AN81" s="24">
        <f>VLOOKUP($R81,武学奇术!$A:$ZZ,26,FALSE)</f>
        <v>2.19912</v>
      </c>
      <c r="AO81" s="25">
        <f>VLOOKUP($R81,武学奇术!$A:$ZZ,27,FALSE)*(1+IF(OR($AM81=$F$4,$AM81=$F$5),$B$22,0))</f>
        <v>0</v>
      </c>
      <c r="AP81" s="24">
        <f>VLOOKUP($R81,武学奇术!$A:$ZZ,28,FALSE)</f>
        <v>3.29868</v>
      </c>
      <c r="AQ81" s="25">
        <f>VLOOKUP($R81,武学奇术!$A:$ZZ,29,FALSE)*(1+IF(OR($AM81=$F$4,$AM81=$F$5),$B$22,0))</f>
        <v>0</v>
      </c>
      <c r="AR81" s="24" cm="1">
        <f t="array" ref="AR81">$G$3+IFERROR(VLOOKUP($AM81,$F$4:$G$7,2,FALSE),0)+VLOOKUP($R81,武学奇术!$A:$ZZ,2,FALSE)+SUM(_xlfn.XLOOKUP($S81:$AL81,增益!$A:$A,增益!$B:$B,0))</f>
        <v>0.5789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3901.102</v>
      </c>
      <c r="AU81" cm="1">
        <f t="array" ref="AU81">$E$10*(1+$AS81)+VLOOKUP($R81,武学奇术!$A:$ZZ,4,FALSE)+SUM(_xlfn.XLOOKUP($S81:$AL81,增益!$A:$A,增益!$D:$D,0))-$I$2</f>
        <v>3901.102</v>
      </c>
      <c r="AV81" s="30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0.307</v>
      </c>
      <c r="AW81" s="30" cm="1">
        <f t="array" ref="AW81">$G$10+VLOOKUP($R81,武学奇术!$A:$ZZ,7,FALSE)+SUM(_xlfn.XLOOKUP($S81:$AL81,增益!$A:$A,增益!$G:$G,0))</f>
        <v>0.09</v>
      </c>
      <c r="AX81" s="24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0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-0.08</v>
      </c>
      <c r="BB81" s="30" cm="1">
        <f t="array" ref="BB81">$G$11+VLOOKUP($R81,武学奇术!$A:$ZZ,10,FALSE)+SUM(_xlfn.XLOOKUP($S81:$AL81,增益!$A:$A,增益!$J:$J,0))</f>
        <v>0</v>
      </c>
      <c r="BC81">
        <f t="shared" si="25"/>
        <v>0</v>
      </c>
      <c r="BD81">
        <f t="shared" si="26"/>
        <v>0</v>
      </c>
      <c r="BE81" s="30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-0.08</v>
      </c>
      <c r="BF81" s="30" cm="1">
        <f t="array" ref="BF81">$G$12+VLOOKUP($R81,武学奇术!$A:$ZZ,12,FALSE)+SUM(_xlfn.XLOOKUP($S81:$AL81,增益!$A:$A,增益!$L:$L,0))</f>
        <v>0</v>
      </c>
      <c r="BG81">
        <f t="shared" si="27"/>
        <v>0</v>
      </c>
      <c r="BH81">
        <f t="shared" si="28"/>
        <v>0</v>
      </c>
      <c r="BI81" s="30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-0.08</v>
      </c>
      <c r="BJ81" s="30" cm="1">
        <f t="array" ref="BJ81">$G$13+VLOOKUP($R81,武学奇术!$A:$ZZ,14,FALSE)+SUM(_xlfn.XLOOKUP($S81:$AL81,增益!$A:$A,增益!$N:$N,0))</f>
        <v>0</v>
      </c>
      <c r="BK81">
        <f t="shared" si="29"/>
        <v>605.472</v>
      </c>
      <c r="BL81">
        <f t="shared" si="30"/>
        <v>1725.468</v>
      </c>
      <c r="BM81" s="30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0.11</v>
      </c>
      <c r="BN81" s="30" cm="1">
        <f t="array" ref="BN81">$G$14+VLOOKUP($R81,武学奇术!$A:$ZZ,16,FALSE)+SUM(_xlfn.XLOOKUP($S81:$AL81,增益!$A:$A,增益!$P:$P,0))</f>
        <v>0.24</v>
      </c>
      <c r="BO81" s="24">
        <f>MIN(IF(VLOOKUP($R81,武学奇术!$A:$ZZ,23,FALSE)=1,100%,$B$8),100%)</f>
        <v>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0.9036</v>
      </c>
      <c r="BQ81" s="24" cm="1">
        <f t="array" ref="BQ81">1+$B$13+VLOOKUP($R81,武学奇术!$A:$ZZ,18,FALSE)+SUM(_xlfn.XLOOKUP($S81:$AL81,增益!$A:$A,增益!$R:$R,0))</f>
        <v>1.94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4" cm="1">
        <f t="array" ref="BS81">1+$B$14+VLOOKUP($R81,武学奇术!$A:$ZZ,20,FALSE)+SUM(_xlfn.XLOOKUP($S81:$AL81,增益!$A:$A,增益!$T:$T,0))</f>
        <v>1.35</v>
      </c>
      <c r="BT81" s="24">
        <f t="shared" si="31"/>
        <v>0.9036</v>
      </c>
      <c r="BU81" s="24">
        <f t="shared" si="32"/>
        <v>0.00350000000000006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0.11</v>
      </c>
      <c r="BX81" s="24" cm="1">
        <f t="array" ref="BX81">SUM(_xlfn.XLOOKUP($S81:$AL81,增益!$A:$A,增益!$X:$X,0))</f>
        <v>0</v>
      </c>
    </row>
    <row r="82" spans="1:76">
      <c r="A82" t="s">
        <v>198</v>
      </c>
      <c r="B82">
        <v>10</v>
      </c>
      <c r="K82">
        <f>$L82*VLOOKUP($R82,武学奇术!$A:$ZZ,31,FALSE)</f>
        <v>33711.8129636847</v>
      </c>
      <c r="L82" s="36">
        <f t="shared" si="33"/>
        <v>33711.8129636847</v>
      </c>
      <c r="M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$21,0))*(1+$BW82)</f>
        <v>33984.3664893235</v>
      </c>
      <c r="N82" s="36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</f>
        <v>31550.1807591157</v>
      </c>
      <c r="O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$21,0))*(1+$BW82)</f>
        <v>20722.1746886119</v>
      </c>
      <c r="P82" s="36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</f>
        <v>18073.8451112122</v>
      </c>
      <c r="Q82" s="70">
        <v>1</v>
      </c>
      <c r="R82" s="38" t="s">
        <v>168</v>
      </c>
      <c r="S82" s="38" t="s">
        <v>78</v>
      </c>
      <c r="T82" s="38" t="s">
        <v>79</v>
      </c>
      <c r="U82" s="38" t="s">
        <v>79</v>
      </c>
      <c r="V82" s="38" t="s">
        <v>79</v>
      </c>
      <c r="W82" s="38" t="s">
        <v>79</v>
      </c>
      <c r="X82" s="38" t="s">
        <v>79</v>
      </c>
      <c r="Y82" s="38" t="s">
        <v>173</v>
      </c>
      <c r="Z82" s="38" t="s">
        <v>90</v>
      </c>
      <c r="AA82" s="38" t="s">
        <v>79</v>
      </c>
      <c r="AB82" s="38" t="s">
        <v>91</v>
      </c>
      <c r="AC82" s="38" t="s">
        <v>79</v>
      </c>
      <c r="AD82" s="38" t="s">
        <v>82</v>
      </c>
      <c r="AE82" s="38" t="s">
        <v>83</v>
      </c>
      <c r="AF82" s="38" t="s">
        <v>84</v>
      </c>
      <c r="AG82" s="38" t="s">
        <v>85</v>
      </c>
      <c r="AH82" s="38" t="s">
        <v>79</v>
      </c>
      <c r="AI82" s="38" t="s">
        <v>79</v>
      </c>
      <c r="AJ82" s="38" t="s">
        <v>79</v>
      </c>
      <c r="AK82" s="38" t="s">
        <v>79</v>
      </c>
      <c r="AL82" s="38" t="s">
        <v>79</v>
      </c>
      <c r="AM82" t="str">
        <f>VLOOKUP($R82,武学奇术!$A:$ZZ,25,FALSE)</f>
        <v>绳镖</v>
      </c>
      <c r="AN82" s="24">
        <f>VLOOKUP($R82,武学奇术!$A:$ZZ,26,FALSE)</f>
        <v>1.6584</v>
      </c>
      <c r="AO82" s="25">
        <f>VLOOKUP($R82,武学奇术!$A:$ZZ,27,FALSE)*(1+IF(OR($AM82=$F$4,$AM82=$F$5),$B$22,0))</f>
        <v>687</v>
      </c>
      <c r="AP82" s="24">
        <f>VLOOKUP($R82,武学奇术!$A:$ZZ,28,FALSE)</f>
        <v>2.4876</v>
      </c>
      <c r="AQ82" s="25">
        <f>VLOOKUP($R82,武学奇术!$A:$ZZ,29,FALSE)*(1+IF(OR($AM82=$F$4,$AM82=$F$5),$B$22,0))</f>
        <v>375</v>
      </c>
      <c r="AR82" s="24" cm="1">
        <f t="array" ref="AR82">$G$3+IFERROR(VLOOKUP($AM82,$F$4:$G$7,2,FALSE),0)+VLOOKUP($R82,武学奇术!$A:$ZZ,2,FALSE)+SUM(_xlfn.XLOOKUP($S82:$AL82,增益!$A:$A,增益!$B:$B,0))</f>
        <v>0.2789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3901.102</v>
      </c>
      <c r="AU82" cm="1">
        <f t="array" ref="AU82">$E$10*(1+$AS82)+VLOOKUP($R82,武学奇术!$A:$ZZ,4,FALSE)+SUM(_xlfn.XLOOKUP($S82:$AL82,增益!$A:$A,增益!$D:$D,0))-$I$2</f>
        <v>3901.102</v>
      </c>
      <c r="AV82" s="30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0.277</v>
      </c>
      <c r="AW82" s="30" cm="1">
        <f t="array" ref="AW82">$G$10+VLOOKUP($R82,武学奇术!$A:$ZZ,7,FALSE)+SUM(_xlfn.XLOOKUP($S82:$AL82,增益!$A:$A,增益!$G:$G,0))</f>
        <v>0.09</v>
      </c>
      <c r="AX82" s="24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0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0" cm="1">
        <f t="array" ref="BB82">$G$11+VLOOKUP($R82,武学奇术!$A:$ZZ,10,FALSE)+SUM(_xlfn.XLOOKUP($S82:$AL82,增益!$A:$A,增益!$J:$J,0))</f>
        <v>0</v>
      </c>
      <c r="BC82">
        <f t="shared" si="25"/>
        <v>0</v>
      </c>
      <c r="BD82">
        <f t="shared" si="26"/>
        <v>0</v>
      </c>
      <c r="BE82" s="30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0" cm="1">
        <f t="array" ref="BF82">$G$12+VLOOKUP($R82,武学奇术!$A:$ZZ,12,FALSE)+SUM(_xlfn.XLOOKUP($S82:$AL82,增益!$A:$A,增益!$L:$L,0))</f>
        <v>0</v>
      </c>
      <c r="BG82">
        <f t="shared" si="27"/>
        <v>0</v>
      </c>
      <c r="BH82">
        <f t="shared" si="28"/>
        <v>0</v>
      </c>
      <c r="BI82" s="30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-0.14</v>
      </c>
      <c r="BJ82" s="30" cm="1">
        <f t="array" ref="BJ82">$G$13+VLOOKUP($R82,武学奇术!$A:$ZZ,14,FALSE)+SUM(_xlfn.XLOOKUP($S82:$AL82,增益!$A:$A,增益!$N:$N,0))</f>
        <v>0</v>
      </c>
      <c r="BK82">
        <f t="shared" si="29"/>
        <v>605.472</v>
      </c>
      <c r="BL82">
        <f t="shared" si="30"/>
        <v>1725.468</v>
      </c>
      <c r="BM82" s="30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0.08</v>
      </c>
      <c r="BN82" s="30" cm="1">
        <f t="array" ref="BN82">$G$14+VLOOKUP($R82,武学奇术!$A:$ZZ,16,FALSE)+SUM(_xlfn.XLOOKUP($S82:$AL82,增益!$A:$A,增益!$P:$P,0))</f>
        <v>0.24</v>
      </c>
      <c r="BO82" s="24">
        <f>MIN(IF(VLOOKUP($R82,武学奇术!$A:$ZZ,23,FALSE)=1,100%,$B$8),100%)</f>
        <v>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0.9036</v>
      </c>
      <c r="BQ82" s="24" cm="1">
        <f t="array" ref="BQ82">1+$B$13+VLOOKUP($R82,武学奇术!$A:$ZZ,18,FALSE)+SUM(_xlfn.XLOOKUP($S82:$AL82,增益!$A:$A,增益!$R:$R,0))</f>
        <v>1.64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4" cm="1">
        <f t="array" ref="BS82">1+$B$14+VLOOKUP($R82,武学奇术!$A:$ZZ,20,FALSE)+SUM(_xlfn.XLOOKUP($S82:$AL82,增益!$A:$A,增益!$T:$T,0))</f>
        <v>1.35</v>
      </c>
      <c r="BT82" s="24">
        <f t="shared" si="31"/>
        <v>0.9036</v>
      </c>
      <c r="BU82" s="24">
        <f t="shared" si="32"/>
        <v>0.00350000000000006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0.11</v>
      </c>
      <c r="BX82" s="24" cm="1">
        <f t="array" ref="BX82">SUM(_xlfn.XLOOKUP($S82:$AL82,增益!$A:$A,增益!$X:$X,0))</f>
        <v>0</v>
      </c>
    </row>
    <row r="83" spans="1:76">
      <c r="A83" s="4" t="s">
        <v>182</v>
      </c>
      <c r="B83" s="91">
        <v>0.7</v>
      </c>
      <c r="K83">
        <f>$L83*VLOOKUP($R83,武学奇术!$A:$ZZ,31,FALSE)</f>
        <v>92041.7783598236</v>
      </c>
      <c r="L83" s="36">
        <f t="shared" si="33"/>
        <v>70801.3679690951</v>
      </c>
      <c r="M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$21,0))*(1+$BW83)</f>
        <v>72291.5531642434</v>
      </c>
      <c r="N83" s="36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</f>
        <v>57570.4803518998</v>
      </c>
      <c r="O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$21,0))*(1+$BW83)</f>
        <v>37263.6871980636</v>
      </c>
      <c r="P83" s="36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</f>
        <v>31882.5741354607</v>
      </c>
      <c r="Q83" s="70">
        <v>1</v>
      </c>
      <c r="R83" s="38" t="s">
        <v>117</v>
      </c>
      <c r="S83" s="38" t="s">
        <v>88</v>
      </c>
      <c r="T83" s="38" t="s">
        <v>79</v>
      </c>
      <c r="U83" s="38" t="s">
        <v>79</v>
      </c>
      <c r="V83" s="38" t="s">
        <v>79</v>
      </c>
      <c r="W83" s="38" t="s">
        <v>79</v>
      </c>
      <c r="X83" s="38" t="s">
        <v>79</v>
      </c>
      <c r="Y83" s="38" t="s">
        <v>173</v>
      </c>
      <c r="Z83" s="38" t="s">
        <v>90</v>
      </c>
      <c r="AA83" s="38" t="s">
        <v>112</v>
      </c>
      <c r="AB83" s="38" t="s">
        <v>97</v>
      </c>
      <c r="AC83" s="38" t="s">
        <v>79</v>
      </c>
      <c r="AD83" s="38" t="s">
        <v>82</v>
      </c>
      <c r="AE83" s="38" t="s">
        <v>83</v>
      </c>
      <c r="AF83" s="38" t="s">
        <v>84</v>
      </c>
      <c r="AG83" s="38" t="s">
        <v>85</v>
      </c>
      <c r="AH83" s="38" t="s">
        <v>79</v>
      </c>
      <c r="AI83" s="38" t="s">
        <v>79</v>
      </c>
      <c r="AJ83" s="38" t="s">
        <v>79</v>
      </c>
      <c r="AK83" s="38" t="s">
        <v>79</v>
      </c>
      <c r="AL83" s="38" t="s">
        <v>79</v>
      </c>
      <c r="AM83" t="str">
        <f>VLOOKUP($R83,武学奇术!$A:$ZZ,25,FALSE)</f>
        <v>绳镖</v>
      </c>
      <c r="AN83" s="24">
        <f>VLOOKUP($R83,武学奇术!$A:$ZZ,26,FALSE)</f>
        <v>2.638944</v>
      </c>
      <c r="AO83" s="25">
        <f>VLOOKUP($R83,武学奇术!$A:$ZZ,27,FALSE)*(1+IF(OR($AM83=$F$4,$AM83=$F$5),$B$22,0))</f>
        <v>0</v>
      </c>
      <c r="AP83" s="24">
        <f>VLOOKUP($R83,武学奇术!$A:$ZZ,28,FALSE)</f>
        <v>3.958416</v>
      </c>
      <c r="AQ83" s="25">
        <f>VLOOKUP($R83,武学奇术!$A:$ZZ,29,FALSE)*(1+IF(OR($AM83=$F$4,$AM83=$F$5),$B$22,0))</f>
        <v>0</v>
      </c>
      <c r="AR83" s="24" cm="1">
        <f t="array" ref="AR83">$G$3+IFERROR(VLOOKUP($AM83,$F$4:$G$7,2,FALSE),0)+VLOOKUP($R83,武学奇术!$A:$ZZ,2,FALSE)+SUM(_xlfn.XLOOKUP($S83:$AL83,增益!$A:$A,增益!$B:$B,0))</f>
        <v>0.5889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3901.102</v>
      </c>
      <c r="AU83" cm="1">
        <f t="array" ref="AU83">$E$10*(1+$AS83)+VLOOKUP($R83,武学奇术!$A:$ZZ,4,FALSE)+SUM(_xlfn.XLOOKUP($S83:$AL83,增益!$A:$A,增益!$D:$D,0))-$I$2</f>
        <v>3901.102</v>
      </c>
      <c r="AV83" s="30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0.317</v>
      </c>
      <c r="AW83" s="30" cm="1">
        <f t="array" ref="AW83">$G$10+VLOOKUP($R83,武学奇术!$A:$ZZ,7,FALSE)+SUM(_xlfn.XLOOKUP($S83:$AL83,增益!$A:$A,增益!$G:$G,0))</f>
        <v>0.09</v>
      </c>
      <c r="AX83" s="24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0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-0.08</v>
      </c>
      <c r="BB83" s="30" cm="1">
        <f t="array" ref="BB83">$G$11+VLOOKUP($R83,武学奇术!$A:$ZZ,10,FALSE)+SUM(_xlfn.XLOOKUP($S83:$AL83,增益!$A:$A,增益!$J:$J,0))</f>
        <v>0</v>
      </c>
      <c r="BC83">
        <f t="shared" si="25"/>
        <v>0</v>
      </c>
      <c r="BD83">
        <f t="shared" si="26"/>
        <v>0</v>
      </c>
      <c r="BE83" s="30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-0.08</v>
      </c>
      <c r="BF83" s="30" cm="1">
        <f t="array" ref="BF83">$G$12+VLOOKUP($R83,武学奇术!$A:$ZZ,12,FALSE)+SUM(_xlfn.XLOOKUP($S83:$AL83,增益!$A:$A,增益!$L:$L,0))</f>
        <v>0</v>
      </c>
      <c r="BG83">
        <f t="shared" si="27"/>
        <v>0</v>
      </c>
      <c r="BH83">
        <f t="shared" si="28"/>
        <v>0</v>
      </c>
      <c r="BI83" s="30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-0.08</v>
      </c>
      <c r="BJ83" s="30" cm="1">
        <f t="array" ref="BJ83">$G$13+VLOOKUP($R83,武学奇术!$A:$ZZ,14,FALSE)+SUM(_xlfn.XLOOKUP($S83:$AL83,增益!$A:$A,增益!$N:$N,0))</f>
        <v>0</v>
      </c>
      <c r="BK83">
        <f t="shared" si="29"/>
        <v>605.472</v>
      </c>
      <c r="BL83">
        <f t="shared" si="30"/>
        <v>1725.468</v>
      </c>
      <c r="BM83" s="30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0.11</v>
      </c>
      <c r="BN83" s="30" cm="1">
        <f t="array" ref="BN83">$G$14+VLOOKUP($R83,武学奇术!$A:$ZZ,16,FALSE)+SUM(_xlfn.XLOOKUP($S83:$AL83,增益!$A:$A,增益!$P:$P,0))</f>
        <v>0.24</v>
      </c>
      <c r="BO83" s="24">
        <f>MIN(IF(VLOOKUP($R83,武学奇术!$A:$ZZ,23,FALSE)=1,100%,$B$8),100%)</f>
        <v>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0.9036</v>
      </c>
      <c r="BQ83" s="24" cm="1">
        <f t="array" ref="BQ83">1+$B$13+VLOOKUP($R83,武学奇术!$A:$ZZ,18,FALSE)+SUM(_xlfn.XLOOKUP($S83:$AL83,增益!$A:$A,增益!$R:$R,0))</f>
        <v>1.94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4" cm="1">
        <f t="array" ref="BS83">1+$B$14+VLOOKUP($R83,武学奇术!$A:$ZZ,20,FALSE)+SUM(_xlfn.XLOOKUP($S83:$AL83,增益!$A:$A,增益!$T:$T,0))</f>
        <v>1.35</v>
      </c>
      <c r="BT83" s="24">
        <f t="shared" si="31"/>
        <v>0.9036</v>
      </c>
      <c r="BU83" s="24">
        <f t="shared" si="32"/>
        <v>0.00350000000000006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0.11</v>
      </c>
      <c r="BX83" s="24" cm="1">
        <f t="array" ref="BX83">SUM(_xlfn.XLOOKUP($S83:$AL83,增益!$A:$A,增益!$X:$X,0))</f>
        <v>0</v>
      </c>
    </row>
    <row r="84" spans="1:76">
      <c r="A84" s="4" t="s">
        <v>183</v>
      </c>
      <c r="B84" s="4">
        <v>0.8</v>
      </c>
      <c r="K84">
        <f>$L84*VLOOKUP($R84,武学奇术!$A:$ZZ,31,FALSE)</f>
        <v>802497.034571754</v>
      </c>
      <c r="L84" s="36">
        <f t="shared" si="33"/>
        <v>949700.632629294</v>
      </c>
      <c r="M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$21,0))*(1+$BW84)</f>
        <v>951637.752992603</v>
      </c>
      <c r="N84" s="36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</f>
        <v>601896.724683576</v>
      </c>
      <c r="O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$21,0))*(1+$BW84)</f>
        <v>398174.792047114</v>
      </c>
      <c r="P84" s="36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</f>
        <v>350500.158402691</v>
      </c>
      <c r="Q84" s="70">
        <v>1</v>
      </c>
      <c r="R84" s="38" t="s">
        <v>138</v>
      </c>
      <c r="S84" s="38" t="s">
        <v>88</v>
      </c>
      <c r="T84" s="38" t="s">
        <v>139</v>
      </c>
      <c r="U84" s="38" t="s">
        <v>79</v>
      </c>
      <c r="V84" s="38" t="s">
        <v>79</v>
      </c>
      <c r="W84" s="38" t="s">
        <v>79</v>
      </c>
      <c r="X84" s="38" t="s">
        <v>79</v>
      </c>
      <c r="Y84" s="38" t="s">
        <v>173</v>
      </c>
      <c r="Z84" s="38" t="s">
        <v>90</v>
      </c>
      <c r="AA84" s="38" t="s">
        <v>112</v>
      </c>
      <c r="AB84" s="38" t="s">
        <v>97</v>
      </c>
      <c r="AC84" s="38" t="s">
        <v>79</v>
      </c>
      <c r="AD84" s="38" t="s">
        <v>82</v>
      </c>
      <c r="AE84" s="38" t="s">
        <v>83</v>
      </c>
      <c r="AF84" s="38" t="s">
        <v>84</v>
      </c>
      <c r="AG84" s="38" t="s">
        <v>85</v>
      </c>
      <c r="AH84" s="38" t="s">
        <v>79</v>
      </c>
      <c r="AI84" s="38" t="s">
        <v>79</v>
      </c>
      <c r="AJ84" s="38" t="s">
        <v>79</v>
      </c>
      <c r="AK84" s="38" t="s">
        <v>79</v>
      </c>
      <c r="AL84" s="38" t="s">
        <v>79</v>
      </c>
      <c r="AM84" t="str">
        <f>VLOOKUP($R84,武学奇术!$A:$ZZ,25,FALSE)</f>
        <v>拳甲</v>
      </c>
      <c r="AN84" s="24">
        <f>VLOOKUP($R84,武学奇术!$A:$ZZ,26,FALSE)</f>
        <v>16.8107</v>
      </c>
      <c r="AO84" s="25">
        <f>VLOOKUP($R84,武学奇术!$A:$ZZ,27,FALSE)*(1+IF(OR($AM84=$F$4,$AM84=$F$5),$B$22,0))</f>
        <v>6970.5</v>
      </c>
      <c r="AP84" s="24">
        <f>VLOOKUP($R84,武学奇术!$A:$ZZ,28,FALSE)</f>
        <v>25.2161</v>
      </c>
      <c r="AQ84" s="25">
        <f>VLOOKUP($R84,武学奇术!$A:$ZZ,29,FALSE)*(1+IF(OR($AM84=$F$4,$AM84=$F$5),$B$22,0))</f>
        <v>3799.5</v>
      </c>
      <c r="AR84" s="24" cm="1">
        <f t="array" ref="AR84">$G$3+IFERROR(VLOOKUP($AM84,$F$4:$G$7,2,FALSE),0)+VLOOKUP($R84,武学奇术!$A:$ZZ,2,FALSE)+SUM(_xlfn.XLOOKUP($S84:$AL84,增益!$A:$A,增益!$B:$B,0))</f>
        <v>0.6741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3901.102</v>
      </c>
      <c r="AU84" cm="1">
        <f t="array" ref="AU84">$E$10*(1+$AS84)+VLOOKUP($R84,武学奇术!$A:$ZZ,4,FALSE)+SUM(_xlfn.XLOOKUP($S84:$AL84,增益!$A:$A,增益!$D:$D,0))-$I$2</f>
        <v>3901.102</v>
      </c>
      <c r="AV84" s="30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0.442</v>
      </c>
      <c r="AW84" s="30" cm="1">
        <f t="array" ref="AW84">$G$10+VLOOKUP($R84,武学奇术!$A:$ZZ,7,FALSE)+SUM(_xlfn.XLOOKUP($S84:$AL84,增益!$A:$A,增益!$G:$G,0))</f>
        <v>0.09</v>
      </c>
      <c r="AX84" s="24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0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-0.08</v>
      </c>
      <c r="BB84" s="30" cm="1">
        <f t="array" ref="BB84">$G$11+VLOOKUP($R84,武学奇术!$A:$ZZ,10,FALSE)+SUM(_xlfn.XLOOKUP($S84:$AL84,增益!$A:$A,增益!$J:$J,0))</f>
        <v>0</v>
      </c>
      <c r="BC84">
        <f t="shared" si="25"/>
        <v>0</v>
      </c>
      <c r="BD84">
        <f t="shared" si="26"/>
        <v>0</v>
      </c>
      <c r="BE84" s="30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-0.08</v>
      </c>
      <c r="BF84" s="30" cm="1">
        <f t="array" ref="BF84">$G$12+VLOOKUP($R84,武学奇术!$A:$ZZ,12,FALSE)+SUM(_xlfn.XLOOKUP($S84:$AL84,增益!$A:$A,增益!$L:$L,0))</f>
        <v>0</v>
      </c>
      <c r="BG84">
        <f t="shared" si="27"/>
        <v>0</v>
      </c>
      <c r="BH84">
        <f t="shared" si="28"/>
        <v>0</v>
      </c>
      <c r="BI84" s="30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-0.08</v>
      </c>
      <c r="BJ84" s="30" cm="1">
        <f t="array" ref="BJ84">$G$13+VLOOKUP($R84,武学奇术!$A:$ZZ,14,FALSE)+SUM(_xlfn.XLOOKUP($S84:$AL84,增益!$A:$A,增益!$N:$N,0))</f>
        <v>0</v>
      </c>
      <c r="BK84">
        <f t="shared" si="29"/>
        <v>605.472</v>
      </c>
      <c r="BL84">
        <f t="shared" si="30"/>
        <v>1725.468</v>
      </c>
      <c r="BM84" s="30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0.11</v>
      </c>
      <c r="BN84" s="30" cm="1">
        <f t="array" ref="BN84">$G$14+VLOOKUP($R84,武学奇术!$A:$ZZ,16,FALSE)+SUM(_xlfn.XLOOKUP($S84:$AL84,增益!$A:$A,增益!$P:$P,0))</f>
        <v>0.24</v>
      </c>
      <c r="BO84" s="24">
        <f>MIN(IF(VLOOKUP($R84,武学奇术!$A:$ZZ,23,FALSE)=1,100%,$B$8),100%)</f>
        <v>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0.9965</v>
      </c>
      <c r="BQ84" s="24" cm="1">
        <f t="array" ref="BQ84">1+$B$13+VLOOKUP($R84,武学奇术!$A:$ZZ,18,FALSE)+SUM(_xlfn.XLOOKUP($S84:$AL84,增益!$A:$A,增益!$R:$R,0))</f>
        <v>2.39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</v>
      </c>
      <c r="BS84" s="24" cm="1">
        <f t="array" ref="BS84">1+$B$14+VLOOKUP($R84,武学奇术!$A:$ZZ,20,FALSE)+SUM(_xlfn.XLOOKUP($S84:$AL84,增益!$A:$A,增益!$T:$T,0))</f>
        <v>1.35</v>
      </c>
      <c r="BT84" s="24">
        <f t="shared" si="31"/>
        <v>0.9965</v>
      </c>
      <c r="BU84" s="24">
        <f t="shared" si="32"/>
        <v>0.00350000000000006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0.11</v>
      </c>
      <c r="BX84" s="24" cm="1">
        <f t="array" ref="BX84">SUM(_xlfn.XLOOKUP($S84:$AL84,增益!$A:$A,增益!$X:$X,0))</f>
        <v>0</v>
      </c>
    </row>
    <row r="85" spans="1:76">
      <c r="A85" s="4" t="s">
        <v>184</v>
      </c>
      <c r="B85" s="4">
        <v>2.15</v>
      </c>
      <c r="K85">
        <f>$L85*VLOOKUP($R85,武学奇术!$A:$ZZ,31,FALSE)</f>
        <v>189940.126525859</v>
      </c>
      <c r="L85" s="87">
        <f>L84*0.4*(1+BX85)</f>
        <v>379880.253051718</v>
      </c>
      <c r="M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$21,0))*(1+$BW85)</f>
        <v>0</v>
      </c>
      <c r="N85" s="36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</f>
        <v>0</v>
      </c>
      <c r="O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$21,0))*(1+$BW85)</f>
        <v>0</v>
      </c>
      <c r="P85" s="36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</f>
        <v>0</v>
      </c>
      <c r="Q85" s="70">
        <v>1</v>
      </c>
      <c r="R85" s="38" t="s">
        <v>145</v>
      </c>
      <c r="S85" s="38" t="s">
        <v>88</v>
      </c>
      <c r="T85" s="38" t="s">
        <v>139</v>
      </c>
      <c r="U85" s="38" t="s">
        <v>79</v>
      </c>
      <c r="V85" s="38" t="s">
        <v>79</v>
      </c>
      <c r="W85" s="38" t="s">
        <v>79</v>
      </c>
      <c r="X85" s="38" t="s">
        <v>79</v>
      </c>
      <c r="Y85" s="38" t="s">
        <v>173</v>
      </c>
      <c r="Z85" s="38" t="s">
        <v>90</v>
      </c>
      <c r="AA85" s="38" t="s">
        <v>112</v>
      </c>
      <c r="AB85" s="38" t="s">
        <v>97</v>
      </c>
      <c r="AC85" s="38" t="s">
        <v>79</v>
      </c>
      <c r="AD85" s="38" t="s">
        <v>82</v>
      </c>
      <c r="AE85" s="38" t="s">
        <v>83</v>
      </c>
      <c r="AF85" s="38" t="s">
        <v>84</v>
      </c>
      <c r="AG85" s="38" t="s">
        <v>85</v>
      </c>
      <c r="AH85" s="38" t="s">
        <v>79</v>
      </c>
      <c r="AI85" s="38" t="s">
        <v>79</v>
      </c>
      <c r="AJ85" s="38" t="s">
        <v>79</v>
      </c>
      <c r="AK85" s="38" t="s">
        <v>79</v>
      </c>
      <c r="AL85" s="38" t="s">
        <v>79</v>
      </c>
      <c r="AM85" t="str">
        <f>VLOOKUP($R85,武学奇术!$A:$ZZ,25,FALSE)</f>
        <v>拳甲</v>
      </c>
      <c r="AN85" s="24">
        <f>VLOOKUP($R85,武学奇术!$A:$ZZ,26,FALSE)</f>
        <v>0</v>
      </c>
      <c r="AO85" s="25">
        <f>VLOOKUP($R85,武学奇术!$A:$ZZ,27,FALSE)*(1+IF(OR($AM85=$F$4,$AM85=$F$5),$B$22,0))</f>
        <v>0</v>
      </c>
      <c r="AP85" s="24">
        <f>VLOOKUP($R85,武学奇术!$A:$ZZ,28,FALSE)</f>
        <v>0</v>
      </c>
      <c r="AQ85" s="25">
        <f>VLOOKUP($R85,武学奇术!$A:$ZZ,29,FALSE)*(1+IF(OR($AM85=$F$4,$AM85=$F$5),$B$22,0))</f>
        <v>0</v>
      </c>
      <c r="AR85" s="24" cm="1">
        <f t="array" ref="AR85">$G$3+IFERROR(VLOOKUP($AM85,$F$4:$G$7,2,FALSE),0)+VLOOKUP($R85,武学奇术!$A:$ZZ,2,FALSE)+SUM(_xlfn.XLOOKUP($S85:$AL85,增益!$A:$A,增益!$B:$B,0))</f>
        <v>0.3741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3901.102</v>
      </c>
      <c r="AU85" cm="1">
        <f t="array" ref="AU85">$E$10*(1+$AS85)+VLOOKUP($R85,武学奇术!$A:$ZZ,4,FALSE)+SUM(_xlfn.XLOOKUP($S85:$AL85,增益!$A:$A,增益!$D:$D,0))-$I$2</f>
        <v>3901.102</v>
      </c>
      <c r="AV85" s="30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0.412</v>
      </c>
      <c r="AW85" s="30" cm="1">
        <f t="array" ref="AW85">$G$10+VLOOKUP($R85,武学奇术!$A:$ZZ,7,FALSE)+SUM(_xlfn.XLOOKUP($S85:$AL85,增益!$A:$A,增益!$G:$G,0))</f>
        <v>0.09</v>
      </c>
      <c r="AX85" s="24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0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0" cm="1">
        <f t="array" ref="BB85">$G$11+VLOOKUP($R85,武学奇术!$A:$ZZ,10,FALSE)+SUM(_xlfn.XLOOKUP($S85:$AL85,增益!$A:$A,增益!$J:$J,0))</f>
        <v>0</v>
      </c>
      <c r="BC85">
        <f t="shared" si="25"/>
        <v>0</v>
      </c>
      <c r="BD85">
        <f t="shared" si="26"/>
        <v>0</v>
      </c>
      <c r="BE85" s="30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0" cm="1">
        <f t="array" ref="BF85">$G$12+VLOOKUP($R85,武学奇术!$A:$ZZ,12,FALSE)+SUM(_xlfn.XLOOKUP($S85:$AL85,增益!$A:$A,增益!$L:$L,0))</f>
        <v>0</v>
      </c>
      <c r="BG85">
        <f t="shared" si="27"/>
        <v>0</v>
      </c>
      <c r="BH85">
        <f t="shared" si="28"/>
        <v>0</v>
      </c>
      <c r="BI85" s="30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-0.14</v>
      </c>
      <c r="BJ85" s="30" cm="1">
        <f t="array" ref="BJ85">$G$13+VLOOKUP($R85,武学奇术!$A:$ZZ,14,FALSE)+SUM(_xlfn.XLOOKUP($S85:$AL85,增益!$A:$A,增益!$N:$N,0))</f>
        <v>0</v>
      </c>
      <c r="BK85">
        <f t="shared" si="29"/>
        <v>605.472</v>
      </c>
      <c r="BL85">
        <f t="shared" si="30"/>
        <v>1725.468</v>
      </c>
      <c r="BM85" s="30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0.08</v>
      </c>
      <c r="BN85" s="30" cm="1">
        <f t="array" ref="BN85">$G$14+VLOOKUP($R85,武学奇术!$A:$ZZ,16,FALSE)+SUM(_xlfn.XLOOKUP($S85:$AL85,增益!$A:$A,增益!$P:$P,0))</f>
        <v>0.24</v>
      </c>
      <c r="BO85" s="24">
        <f>MIN(IF(VLOOKUP($R85,武学奇术!$A:$ZZ,23,FALSE)=1,100%,$B$8),100%)</f>
        <v>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0.9036</v>
      </c>
      <c r="BQ85" s="24" cm="1">
        <f t="array" ref="BQ85">1+$B$13+VLOOKUP($R85,武学奇术!$A:$ZZ,18,FALSE)+SUM(_xlfn.XLOOKUP($S85:$AL85,增益!$A:$A,增益!$R:$R,0))</f>
        <v>1.89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4" cm="1">
        <f t="array" ref="BS85">1+$B$14+VLOOKUP($R85,武学奇术!$A:$ZZ,20,FALSE)+SUM(_xlfn.XLOOKUP($S85:$AL85,增益!$A:$A,增益!$T:$T,0))</f>
        <v>1.35</v>
      </c>
      <c r="BT85" s="24">
        <f t="shared" si="31"/>
        <v>0.9036</v>
      </c>
      <c r="BU85" s="24">
        <f t="shared" si="32"/>
        <v>0.00350000000000006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0.11</v>
      </c>
      <c r="BX85" s="24" cm="1">
        <f t="array" ref="BX85">SUM(_xlfn.XLOOKUP($S85:$AL85,增益!$A:$A,增益!$X:$X,0))</f>
        <v>0</v>
      </c>
    </row>
    <row r="86" spans="1:76">
      <c r="A86" s="4" t="s">
        <v>172</v>
      </c>
      <c r="B86" s="4">
        <v>0.9</v>
      </c>
      <c r="K86">
        <f>$L86*VLOOKUP($R86,武学奇术!$A:$ZZ,31,FALSE)</f>
        <v>29690.17773639</v>
      </c>
      <c r="L86" s="36">
        <f t="shared" si="33"/>
        <v>29690.17773639</v>
      </c>
      <c r="M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$21,0))*(1+$BW86)</f>
        <v>30306.0061700759</v>
      </c>
      <c r="N86" s="36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</f>
        <v>24214.7290361807</v>
      </c>
      <c r="O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$21,0))*(1+$BW86)</f>
        <v>16034.923899511</v>
      </c>
      <c r="P86" s="36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</f>
        <v>14133.0114759253</v>
      </c>
      <c r="Q86" s="70">
        <v>1</v>
      </c>
      <c r="R86" s="38" t="s">
        <v>160</v>
      </c>
      <c r="S86" s="38" t="s">
        <v>95</v>
      </c>
      <c r="T86" s="38" t="s">
        <v>139</v>
      </c>
      <c r="U86" s="38" t="s">
        <v>79</v>
      </c>
      <c r="V86" s="38" t="s">
        <v>79</v>
      </c>
      <c r="W86" s="38" t="s">
        <v>79</v>
      </c>
      <c r="X86" s="38" t="s">
        <v>79</v>
      </c>
      <c r="Y86" s="38" t="s">
        <v>173</v>
      </c>
      <c r="Z86" s="38" t="s">
        <v>90</v>
      </c>
      <c r="AA86" s="38" t="s">
        <v>79</v>
      </c>
      <c r="AB86" s="38" t="s">
        <v>97</v>
      </c>
      <c r="AC86" s="38" t="s">
        <v>79</v>
      </c>
      <c r="AD86" s="38" t="s">
        <v>82</v>
      </c>
      <c r="AE86" s="38" t="s">
        <v>83</v>
      </c>
      <c r="AF86" s="38" t="s">
        <v>84</v>
      </c>
      <c r="AG86" s="38" t="s">
        <v>85</v>
      </c>
      <c r="AH86" s="38" t="s">
        <v>79</v>
      </c>
      <c r="AI86" s="38" t="s">
        <v>79</v>
      </c>
      <c r="AJ86" s="38" t="s">
        <v>79</v>
      </c>
      <c r="AK86" s="38" t="s">
        <v>79</v>
      </c>
      <c r="AL86" s="38" t="s">
        <v>79</v>
      </c>
      <c r="AM86" t="str">
        <f>VLOOKUP($R86,武学奇术!$A:$ZZ,25,FALSE)</f>
        <v>拳甲</v>
      </c>
      <c r="AN86" s="24">
        <f>VLOOKUP($R86,武学奇术!$A:$ZZ,26,FALSE)</f>
        <v>1.1005</v>
      </c>
      <c r="AO86" s="25">
        <f>VLOOKUP($R86,武学奇术!$A:$ZZ,27,FALSE)*(1+IF(OR($AM86=$F$4,$AM86=$F$5),$B$22,0))</f>
        <v>457.5</v>
      </c>
      <c r="AP86" s="24">
        <f>VLOOKUP($R86,武学奇术!$A:$ZZ,28,FALSE)</f>
        <v>1.6507</v>
      </c>
      <c r="AQ86" s="25">
        <f>VLOOKUP($R86,武学奇术!$A:$ZZ,29,FALSE)*(1+IF(OR($AM86=$F$4,$AM86=$F$5),$B$22,0))</f>
        <v>247.5</v>
      </c>
      <c r="AR86" s="24" cm="1">
        <f t="array" ref="AR86">$G$3+IFERROR(VLOOKUP($AM86,$F$4:$G$7,2,FALSE),0)+VLOOKUP($R86,武学奇术!$A:$ZZ,2,FALSE)+SUM(_xlfn.XLOOKUP($S86:$AL86,增益!$A:$A,增益!$B:$B,0))</f>
        <v>0.3841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3901.102</v>
      </c>
      <c r="AU86" cm="1">
        <f t="array" ref="AU86">$E$10*(1+$AS86)+VLOOKUP($R86,武学奇术!$A:$ZZ,4,FALSE)+SUM(_xlfn.XLOOKUP($S86:$AL86,增益!$A:$A,增益!$D:$D,0))-$I$2</f>
        <v>3901.102</v>
      </c>
      <c r="AV86" s="30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0.422</v>
      </c>
      <c r="AW86" s="30" cm="1">
        <f t="array" ref="AW86">$G$10+VLOOKUP($R86,武学奇术!$A:$ZZ,7,FALSE)+SUM(_xlfn.XLOOKUP($S86:$AL86,增益!$A:$A,增益!$G:$G,0))</f>
        <v>0.09</v>
      </c>
      <c r="AX86" s="24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0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0" cm="1">
        <f t="array" ref="BB86">$G$11+VLOOKUP($R86,武学奇术!$A:$ZZ,10,FALSE)+SUM(_xlfn.XLOOKUP($S86:$AL86,增益!$A:$A,增益!$J:$J,0))</f>
        <v>0</v>
      </c>
      <c r="BC86">
        <f t="shared" si="25"/>
        <v>0</v>
      </c>
      <c r="BD86">
        <f t="shared" si="26"/>
        <v>0</v>
      </c>
      <c r="BE86" s="30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0" cm="1">
        <f t="array" ref="BF86">$G$12+VLOOKUP($R86,武学奇术!$A:$ZZ,12,FALSE)+SUM(_xlfn.XLOOKUP($S86:$AL86,增益!$A:$A,增益!$L:$L,0))</f>
        <v>0</v>
      </c>
      <c r="BG86">
        <f t="shared" si="27"/>
        <v>0</v>
      </c>
      <c r="BH86">
        <f t="shared" si="28"/>
        <v>0</v>
      </c>
      <c r="BI86" s="30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-0.14</v>
      </c>
      <c r="BJ86" s="30" cm="1">
        <f t="array" ref="BJ86">$G$13+VLOOKUP($R86,武学奇术!$A:$ZZ,14,FALSE)+SUM(_xlfn.XLOOKUP($S86:$AL86,增益!$A:$A,增益!$N:$N,0))</f>
        <v>0</v>
      </c>
      <c r="BK86">
        <f t="shared" si="29"/>
        <v>605.472</v>
      </c>
      <c r="BL86">
        <f t="shared" si="30"/>
        <v>1725.468</v>
      </c>
      <c r="BM86" s="30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0.08</v>
      </c>
      <c r="BN86" s="30" cm="1">
        <f t="array" ref="BN86">$G$14+VLOOKUP($R86,武学奇术!$A:$ZZ,16,FALSE)+SUM(_xlfn.XLOOKUP($S86:$AL86,增益!$A:$A,增益!$P:$P,0))</f>
        <v>0.24</v>
      </c>
      <c r="BO86" s="24">
        <f>MIN(IF(VLOOKUP($R86,武学奇术!$A:$ZZ,23,FALSE)=1,100%,$B$8),100%)</f>
        <v>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0.9036</v>
      </c>
      <c r="BQ86" s="24" cm="1">
        <f t="array" ref="BQ86">1+$B$13+VLOOKUP($R86,武学奇术!$A:$ZZ,18,FALSE)+SUM(_xlfn.XLOOKUP($S86:$AL86,增益!$A:$A,增益!$R:$R,0))</f>
        <v>1.89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4" cm="1">
        <f t="array" ref="BS86">1+$B$14+VLOOKUP($R86,武学奇术!$A:$ZZ,20,FALSE)+SUM(_xlfn.XLOOKUP($S86:$AL86,增益!$A:$A,增益!$T:$T,0))</f>
        <v>1.35</v>
      </c>
      <c r="BT86" s="24">
        <f t="shared" si="31"/>
        <v>0.9036</v>
      </c>
      <c r="BU86" s="24">
        <f t="shared" si="32"/>
        <v>0.00350000000000006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0.11</v>
      </c>
      <c r="BX86" s="24" cm="1">
        <f t="array" ref="BX86">SUM(_xlfn.XLOOKUP($S86:$AL86,增益!$A:$A,增益!$X:$X,0))</f>
        <v>0</v>
      </c>
    </row>
    <row r="87" spans="1:76">
      <c r="A87" t="s">
        <v>190</v>
      </c>
      <c r="B87">
        <v>1.7</v>
      </c>
      <c r="K87">
        <f>$L87*VLOOKUP($R87,武学奇术!$A:$ZZ,31,FALSE)</f>
        <v>54961.4327502689</v>
      </c>
      <c r="L87" s="36">
        <f t="shared" si="33"/>
        <v>54961.4327502689</v>
      </c>
      <c r="M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$21,0))*(1+$BW87)</f>
        <v>55414.2438105048</v>
      </c>
      <c r="N87" s="36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</f>
        <v>51354.7894230742</v>
      </c>
      <c r="O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$21,0))*(1+$BW87)</f>
        <v>33789.1730551858</v>
      </c>
      <c r="P87" s="36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</f>
        <v>29537.761352539</v>
      </c>
      <c r="Q87" s="70">
        <v>1</v>
      </c>
      <c r="R87" s="38" t="s">
        <v>127</v>
      </c>
      <c r="S87" s="38" t="s">
        <v>101</v>
      </c>
      <c r="T87" s="38" t="s">
        <v>79</v>
      </c>
      <c r="U87" s="38" t="s">
        <v>79</v>
      </c>
      <c r="V87" s="38" t="s">
        <v>79</v>
      </c>
      <c r="W87" s="38" t="s">
        <v>79</v>
      </c>
      <c r="X87" s="38" t="s">
        <v>79</v>
      </c>
      <c r="Y87" s="38" t="s">
        <v>173</v>
      </c>
      <c r="Z87" s="38" t="s">
        <v>90</v>
      </c>
      <c r="AA87" s="38" t="s">
        <v>79</v>
      </c>
      <c r="AB87" s="38" t="s">
        <v>91</v>
      </c>
      <c r="AC87" s="38" t="s">
        <v>79</v>
      </c>
      <c r="AD87" s="38" t="s">
        <v>82</v>
      </c>
      <c r="AE87" s="38" t="s">
        <v>83</v>
      </c>
      <c r="AF87" s="38" t="s">
        <v>84</v>
      </c>
      <c r="AG87" s="38" t="s">
        <v>85</v>
      </c>
      <c r="AH87" s="38" t="s">
        <v>79</v>
      </c>
      <c r="AI87" s="38" t="s">
        <v>79</v>
      </c>
      <c r="AJ87" s="38" t="s">
        <v>79</v>
      </c>
      <c r="AK87" s="38" t="s">
        <v>79</v>
      </c>
      <c r="AL87" s="38" t="s">
        <v>79</v>
      </c>
      <c r="AM87" t="str">
        <f>VLOOKUP($R87,武学奇术!$A:$ZZ,25,FALSE)</f>
        <v>拳甲</v>
      </c>
      <c r="AN87" s="24">
        <f>VLOOKUP($R87,武学奇术!$A:$ZZ,26,FALSE)</f>
        <v>2.4421</v>
      </c>
      <c r="AO87" s="25">
        <f>VLOOKUP($R87,武学奇术!$A:$ZZ,27,FALSE)*(1+IF(OR($AM87=$F$4,$AM87=$F$5),$B$22,0))</f>
        <v>1012.5</v>
      </c>
      <c r="AP87" s="24">
        <f>VLOOKUP($R87,武学奇术!$A:$ZZ,28,FALSE)</f>
        <v>3.6634</v>
      </c>
      <c r="AQ87" s="25">
        <f>VLOOKUP($R87,武学奇术!$A:$ZZ,29,FALSE)*(1+IF(OR($AM87=$F$4,$AM87=$F$5),$B$22,0))</f>
        <v>549</v>
      </c>
      <c r="AR87" s="24" cm="1">
        <f t="array" ref="AR87">$G$3+IFERROR(VLOOKUP($AM87,$F$4:$G$7,2,FALSE),0)+VLOOKUP($R87,武学奇术!$A:$ZZ,2,FALSE)+SUM(_xlfn.XLOOKUP($S87:$AL87,增益!$A:$A,增益!$B:$B,0))</f>
        <v>0.3941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3901.102</v>
      </c>
      <c r="AU87" cm="1">
        <f t="array" ref="AU87">$E$10*(1+$AS87)+VLOOKUP($R87,武学奇术!$A:$ZZ,4,FALSE)+SUM(_xlfn.XLOOKUP($S87:$AL87,增益!$A:$A,增益!$D:$D,0))-$I$2</f>
        <v>3901.102</v>
      </c>
      <c r="AV87" s="30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0.307</v>
      </c>
      <c r="AW87" s="30" cm="1">
        <f t="array" ref="AW87">$G$10+VLOOKUP($R87,武学奇术!$A:$ZZ,7,FALSE)+SUM(_xlfn.XLOOKUP($S87:$AL87,增益!$A:$A,增益!$G:$G,0))</f>
        <v>0.09</v>
      </c>
      <c r="AX87" s="24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0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0" cm="1">
        <f t="array" ref="BB87">$G$11+VLOOKUP($R87,武学奇术!$A:$ZZ,10,FALSE)+SUM(_xlfn.XLOOKUP($S87:$AL87,增益!$A:$A,增益!$J:$J,0))</f>
        <v>0</v>
      </c>
      <c r="BC87">
        <f t="shared" si="25"/>
        <v>0</v>
      </c>
      <c r="BD87">
        <f t="shared" si="26"/>
        <v>0</v>
      </c>
      <c r="BE87" s="30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0" cm="1">
        <f t="array" ref="BF87">$G$12+VLOOKUP($R87,武学奇术!$A:$ZZ,12,FALSE)+SUM(_xlfn.XLOOKUP($S87:$AL87,增益!$A:$A,增益!$L:$L,0))</f>
        <v>0</v>
      </c>
      <c r="BG87">
        <f t="shared" si="27"/>
        <v>0</v>
      </c>
      <c r="BH87">
        <f t="shared" si="28"/>
        <v>0</v>
      </c>
      <c r="BI87" s="30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-0.14</v>
      </c>
      <c r="BJ87" s="30" cm="1">
        <f t="array" ref="BJ87">$G$13+VLOOKUP($R87,武学奇术!$A:$ZZ,14,FALSE)+SUM(_xlfn.XLOOKUP($S87:$AL87,增益!$A:$A,增益!$N:$N,0))</f>
        <v>0</v>
      </c>
      <c r="BK87">
        <f t="shared" si="29"/>
        <v>605.472</v>
      </c>
      <c r="BL87">
        <f t="shared" si="30"/>
        <v>1725.468</v>
      </c>
      <c r="BM87" s="30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0.08</v>
      </c>
      <c r="BN87" s="30" cm="1">
        <f t="array" ref="BN87">$G$14+VLOOKUP($R87,武学奇术!$A:$ZZ,16,FALSE)+SUM(_xlfn.XLOOKUP($S87:$AL87,增益!$A:$A,增益!$P:$P,0))</f>
        <v>0.24</v>
      </c>
      <c r="BO87" s="24">
        <f>MIN(IF(VLOOKUP($R87,武学奇术!$A:$ZZ,23,FALSE)=1,100%,$B$8),100%)</f>
        <v>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0.9036</v>
      </c>
      <c r="BQ87" s="24" cm="1">
        <f t="array" ref="BQ87">1+$B$13+VLOOKUP($R87,武学奇术!$A:$ZZ,18,FALSE)+SUM(_xlfn.XLOOKUP($S87:$AL87,增益!$A:$A,增益!$R:$R,0))</f>
        <v>1.64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4" cm="1">
        <f t="array" ref="BS87">1+$B$14+VLOOKUP($R87,武学奇术!$A:$ZZ,20,FALSE)+SUM(_xlfn.XLOOKUP($S87:$AL87,增益!$A:$A,增益!$T:$T,0))</f>
        <v>1.35</v>
      </c>
      <c r="BT87" s="24">
        <f t="shared" si="31"/>
        <v>0.9036</v>
      </c>
      <c r="BU87" s="24">
        <f t="shared" si="32"/>
        <v>0.00350000000000006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0.11</v>
      </c>
      <c r="BX87" s="24" cm="1">
        <f t="array" ref="BX87">SUM(_xlfn.XLOOKUP($S87:$AL87,增益!$A:$A,增益!$X:$X,0))</f>
        <v>0</v>
      </c>
    </row>
    <row r="88" spans="1:76">
      <c r="A88" s="4" t="s">
        <v>198</v>
      </c>
      <c r="B88" s="91">
        <v>3.75</v>
      </c>
      <c r="K88">
        <f>$L88*VLOOKUP($R88,武学奇术!$A:$ZZ,31,FALSE)</f>
        <v>29003.9752005924</v>
      </c>
      <c r="L88" s="36">
        <f t="shared" si="33"/>
        <v>29003.9752005924</v>
      </c>
      <c r="M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$21,0))*(1+$BW88)</f>
        <v>29243.2165972869</v>
      </c>
      <c r="N88" s="36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</f>
        <v>27097.9050545779</v>
      </c>
      <c r="O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$21,0))*(1+$BW88)</f>
        <v>17831.229632492</v>
      </c>
      <c r="P88" s="36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</f>
        <v>15589.9370023337</v>
      </c>
      <c r="Q88" s="70">
        <v>1</v>
      </c>
      <c r="R88" s="38" t="s">
        <v>122</v>
      </c>
      <c r="S88" s="38" t="s">
        <v>101</v>
      </c>
      <c r="T88" s="38" t="s">
        <v>79</v>
      </c>
      <c r="U88" s="38" t="s">
        <v>79</v>
      </c>
      <c r="V88" s="38" t="s">
        <v>79</v>
      </c>
      <c r="W88" s="38" t="s">
        <v>79</v>
      </c>
      <c r="X88" s="38" t="s">
        <v>79</v>
      </c>
      <c r="Y88" s="38" t="s">
        <v>173</v>
      </c>
      <c r="Z88" s="38" t="s">
        <v>90</v>
      </c>
      <c r="AA88" s="38" t="s">
        <v>79</v>
      </c>
      <c r="AB88" s="38" t="s">
        <v>91</v>
      </c>
      <c r="AC88" s="38" t="s">
        <v>79</v>
      </c>
      <c r="AD88" s="38" t="s">
        <v>82</v>
      </c>
      <c r="AE88" s="38" t="s">
        <v>83</v>
      </c>
      <c r="AF88" s="38" t="s">
        <v>84</v>
      </c>
      <c r="AG88" s="38" t="s">
        <v>85</v>
      </c>
      <c r="AH88" s="38" t="s">
        <v>79</v>
      </c>
      <c r="AI88" s="38" t="s">
        <v>79</v>
      </c>
      <c r="AJ88" s="38" t="s">
        <v>79</v>
      </c>
      <c r="AK88" s="38" t="s">
        <v>79</v>
      </c>
      <c r="AL88" s="38" t="s">
        <v>79</v>
      </c>
      <c r="AM88" t="str">
        <f>VLOOKUP($R88,武学奇术!$A:$ZZ,25,FALSE)</f>
        <v>拳甲</v>
      </c>
      <c r="AN88" s="24">
        <f>VLOOKUP($R88,武学奇术!$A:$ZZ,26,FALSE)</f>
        <v>1.2876</v>
      </c>
      <c r="AO88" s="25">
        <f>VLOOKUP($R88,武学奇术!$A:$ZZ,27,FALSE)*(1+IF(OR($AM88=$F$4,$AM88=$F$5),$B$22,0))</f>
        <v>537</v>
      </c>
      <c r="AP88" s="24">
        <f>VLOOKUP($R88,武学奇术!$A:$ZZ,28,FALSE)</f>
        <v>1.9313</v>
      </c>
      <c r="AQ88" s="25">
        <f>VLOOKUP($R88,武学奇术!$A:$ZZ,29,FALSE)*(1+IF(OR($AM88=$F$4,$AM88=$F$5),$B$22,0))</f>
        <v>292.5</v>
      </c>
      <c r="AR88" s="24" cm="1">
        <f t="array" ref="AR88">$G$3+IFERROR(VLOOKUP($AM88,$F$4:$G$7,2,FALSE),0)+VLOOKUP($R88,武学奇术!$A:$ZZ,2,FALSE)+SUM(_xlfn.XLOOKUP($S88:$AL88,增益!$A:$A,增益!$B:$B,0))</f>
        <v>0.3941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3901.102</v>
      </c>
      <c r="AU88" cm="1">
        <f t="array" ref="AU88">$E$10*(1+$AS88)+VLOOKUP($R88,武学奇术!$A:$ZZ,4,FALSE)+SUM(_xlfn.XLOOKUP($S88:$AL88,增益!$A:$A,增益!$D:$D,0))-$I$2</f>
        <v>3901.102</v>
      </c>
      <c r="AV88" s="30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0.307</v>
      </c>
      <c r="AW88" s="30" cm="1">
        <f t="array" ref="AW88">$G$10+VLOOKUP($R88,武学奇术!$A:$ZZ,7,FALSE)+SUM(_xlfn.XLOOKUP($S88:$AL88,增益!$A:$A,增益!$G:$G,0))</f>
        <v>0.09</v>
      </c>
      <c r="AX88" s="24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0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0" cm="1">
        <f t="array" ref="BB88">$G$11+VLOOKUP($R88,武学奇术!$A:$ZZ,10,FALSE)+SUM(_xlfn.XLOOKUP($S88:$AL88,增益!$A:$A,增益!$J:$J,0))</f>
        <v>0</v>
      </c>
      <c r="BC88">
        <f t="shared" si="25"/>
        <v>0</v>
      </c>
      <c r="BD88">
        <f t="shared" si="26"/>
        <v>0</v>
      </c>
      <c r="BE88" s="30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0" cm="1">
        <f t="array" ref="BF88">$G$12+VLOOKUP($R88,武学奇术!$A:$ZZ,12,FALSE)+SUM(_xlfn.XLOOKUP($S88:$AL88,增益!$A:$A,增益!$L:$L,0))</f>
        <v>0</v>
      </c>
      <c r="BG88">
        <f t="shared" si="27"/>
        <v>0</v>
      </c>
      <c r="BH88">
        <f t="shared" si="28"/>
        <v>0</v>
      </c>
      <c r="BI88" s="30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-0.14</v>
      </c>
      <c r="BJ88" s="30" cm="1">
        <f t="array" ref="BJ88">$G$13+VLOOKUP($R88,武学奇术!$A:$ZZ,14,FALSE)+SUM(_xlfn.XLOOKUP($S88:$AL88,增益!$A:$A,增益!$N:$N,0))</f>
        <v>0</v>
      </c>
      <c r="BK88">
        <f t="shared" si="29"/>
        <v>605.472</v>
      </c>
      <c r="BL88">
        <f t="shared" si="30"/>
        <v>1725.468</v>
      </c>
      <c r="BM88" s="30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0.08</v>
      </c>
      <c r="BN88" s="30" cm="1">
        <f t="array" ref="BN88">$G$14+VLOOKUP($R88,武学奇术!$A:$ZZ,16,FALSE)+SUM(_xlfn.XLOOKUP($S88:$AL88,增益!$A:$A,增益!$P:$P,0))</f>
        <v>0.24</v>
      </c>
      <c r="BO88" s="24">
        <f>MIN(IF(VLOOKUP($R88,武学奇术!$A:$ZZ,23,FALSE)=1,100%,$B$8),100%)</f>
        <v>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0.9036</v>
      </c>
      <c r="BQ88" s="24" cm="1">
        <f t="array" ref="BQ88">1+$B$13+VLOOKUP($R88,武学奇术!$A:$ZZ,18,FALSE)+SUM(_xlfn.XLOOKUP($S88:$AL88,增益!$A:$A,增益!$R:$R,0))</f>
        <v>1.64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4" cm="1">
        <f t="array" ref="BS88">1+$B$14+VLOOKUP($R88,武学奇术!$A:$ZZ,20,FALSE)+SUM(_xlfn.XLOOKUP($S88:$AL88,增益!$A:$A,增益!$T:$T,0))</f>
        <v>1.35</v>
      </c>
      <c r="BT88" s="24">
        <f t="shared" si="31"/>
        <v>0.9036</v>
      </c>
      <c r="BU88" s="24">
        <f t="shared" si="32"/>
        <v>0.00350000000000006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0.11</v>
      </c>
      <c r="BX88" s="24" cm="1">
        <f t="array" ref="BX88">SUM(_xlfn.XLOOKUP($S88:$AL88,增益!$A:$A,增益!$X:$X,0))</f>
        <v>0</v>
      </c>
    </row>
    <row r="89" spans="1:76">
      <c r="A89" t="s">
        <v>166</v>
      </c>
      <c r="B89">
        <v>0.9</v>
      </c>
      <c r="K89">
        <f>$L89*VLOOKUP($R89,武学奇术!$A:$ZZ,31,FALSE)</f>
        <v>100272.922810742</v>
      </c>
      <c r="L89" s="36">
        <f t="shared" si="33"/>
        <v>77133.0175467248</v>
      </c>
      <c r="M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$21,0))*(1+$BW89)</f>
        <v>78768.242656267</v>
      </c>
      <c r="N89" s="36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</f>
        <v>62604.1531565683</v>
      </c>
      <c r="O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$21,0))*(1+$BW89)</f>
        <v>40602.1869362201</v>
      </c>
      <c r="P89" s="36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</f>
        <v>34830.927089797</v>
      </c>
      <c r="Q89" s="70">
        <v>1</v>
      </c>
      <c r="R89" s="38" t="s">
        <v>124</v>
      </c>
      <c r="S89" s="38" t="s">
        <v>104</v>
      </c>
      <c r="T89" s="38" t="s">
        <v>79</v>
      </c>
      <c r="U89" s="38" t="s">
        <v>79</v>
      </c>
      <c r="V89" s="38" t="s">
        <v>79</v>
      </c>
      <c r="W89" s="38" t="s">
        <v>79</v>
      </c>
      <c r="X89" s="38" t="s">
        <v>79</v>
      </c>
      <c r="Y89" s="38" t="s">
        <v>173</v>
      </c>
      <c r="Z89" s="38" t="s">
        <v>90</v>
      </c>
      <c r="AA89" s="38" t="s">
        <v>112</v>
      </c>
      <c r="AB89" s="38" t="s">
        <v>91</v>
      </c>
      <c r="AC89" s="38" t="s">
        <v>79</v>
      </c>
      <c r="AD89" s="38" t="s">
        <v>82</v>
      </c>
      <c r="AE89" s="38" t="s">
        <v>83</v>
      </c>
      <c r="AF89" s="38" t="s">
        <v>84</v>
      </c>
      <c r="AG89" s="38" t="s">
        <v>85</v>
      </c>
      <c r="AH89" s="38" t="s">
        <v>79</v>
      </c>
      <c r="AI89" s="38" t="s">
        <v>79</v>
      </c>
      <c r="AJ89" s="38" t="s">
        <v>79</v>
      </c>
      <c r="AK89" s="38" t="s">
        <v>79</v>
      </c>
      <c r="AL89" s="38" t="s">
        <v>79</v>
      </c>
      <c r="AM89" t="str">
        <f>VLOOKUP($R89,武学奇术!$A:$ZZ,25,FALSE)</f>
        <v>拳甲</v>
      </c>
      <c r="AN89" s="24">
        <f>VLOOKUP($R89,武学奇术!$A:$ZZ,26,FALSE)</f>
        <v>2.638944</v>
      </c>
      <c r="AO89" s="25">
        <f>VLOOKUP($R89,武学奇术!$A:$ZZ,27,FALSE)*(1+IF(OR($AM89=$F$4,$AM89=$F$5),$B$22,0))</f>
        <v>0</v>
      </c>
      <c r="AP89" s="24">
        <f>VLOOKUP($R89,武学奇术!$A:$ZZ,28,FALSE)</f>
        <v>3.958416</v>
      </c>
      <c r="AQ89" s="25">
        <f>VLOOKUP($R89,武学奇术!$A:$ZZ,29,FALSE)*(1+IF(OR($AM89=$F$4,$AM89=$F$5),$B$22,0))</f>
        <v>0</v>
      </c>
      <c r="AR89" s="24" cm="1">
        <f t="array" ref="AR89">$G$3+IFERROR(VLOOKUP($AM89,$F$4:$G$7,2,FALSE),0)+VLOOKUP($R89,武学奇术!$A:$ZZ,2,FALSE)+SUM(_xlfn.XLOOKUP($S89:$AL89,增益!$A:$A,增益!$B:$B,0))</f>
        <v>0.7041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3901.102</v>
      </c>
      <c r="AU89" cm="1">
        <f t="array" ref="AU89">$E$10*(1+$AS89)+VLOOKUP($R89,武学奇术!$A:$ZZ,4,FALSE)+SUM(_xlfn.XLOOKUP($S89:$AL89,增益!$A:$A,增益!$D:$D,0))-$I$2</f>
        <v>3901.102</v>
      </c>
      <c r="AV89" s="30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0.347</v>
      </c>
      <c r="AW89" s="30" cm="1">
        <f t="array" ref="AW89">$G$10+VLOOKUP($R89,武学奇术!$A:$ZZ,7,FALSE)+SUM(_xlfn.XLOOKUP($S89:$AL89,增益!$A:$A,增益!$G:$G,0))</f>
        <v>0.09</v>
      </c>
      <c r="AX89" s="24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0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-0.08</v>
      </c>
      <c r="BB89" s="30" cm="1">
        <f t="array" ref="BB89">$G$11+VLOOKUP($R89,武学奇术!$A:$ZZ,10,FALSE)+SUM(_xlfn.XLOOKUP($S89:$AL89,增益!$A:$A,增益!$J:$J,0))</f>
        <v>0</v>
      </c>
      <c r="BC89">
        <f t="shared" si="25"/>
        <v>0</v>
      </c>
      <c r="BD89">
        <f t="shared" si="26"/>
        <v>0</v>
      </c>
      <c r="BE89" s="30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-0.08</v>
      </c>
      <c r="BF89" s="30" cm="1">
        <f t="array" ref="BF89">$G$12+VLOOKUP($R89,武学奇术!$A:$ZZ,12,FALSE)+SUM(_xlfn.XLOOKUP($S89:$AL89,增益!$A:$A,增益!$L:$L,0))</f>
        <v>0</v>
      </c>
      <c r="BG89">
        <f t="shared" si="27"/>
        <v>0</v>
      </c>
      <c r="BH89">
        <f t="shared" si="28"/>
        <v>0</v>
      </c>
      <c r="BI89" s="30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-0.08</v>
      </c>
      <c r="BJ89" s="30" cm="1">
        <f t="array" ref="BJ89">$G$13+VLOOKUP($R89,武学奇术!$A:$ZZ,14,FALSE)+SUM(_xlfn.XLOOKUP($S89:$AL89,增益!$A:$A,增益!$N:$N,0))</f>
        <v>0</v>
      </c>
      <c r="BK89">
        <f t="shared" si="29"/>
        <v>605.472</v>
      </c>
      <c r="BL89">
        <f t="shared" si="30"/>
        <v>1725.468</v>
      </c>
      <c r="BM89" s="30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0.11</v>
      </c>
      <c r="BN89" s="30" cm="1">
        <f t="array" ref="BN89">$G$14+VLOOKUP($R89,武学奇术!$A:$ZZ,16,FALSE)+SUM(_xlfn.XLOOKUP($S89:$AL89,增益!$A:$A,增益!$P:$P,0))</f>
        <v>0.24</v>
      </c>
      <c r="BO89" s="24">
        <f>MIN(IF(VLOOKUP($R89,武学奇术!$A:$ZZ,23,FALSE)=1,100%,$B$8),100%)</f>
        <v>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0.9036</v>
      </c>
      <c r="BQ89" s="24" cm="1">
        <f t="array" ref="BQ89">1+$B$13+VLOOKUP($R89,武学奇术!$A:$ZZ,18,FALSE)+SUM(_xlfn.XLOOKUP($S89:$AL89,增益!$A:$A,增益!$R:$R,0))</f>
        <v>1.94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4" cm="1">
        <f t="array" ref="BS89">1+$B$14+VLOOKUP($R89,武学奇术!$A:$ZZ,20,FALSE)+SUM(_xlfn.XLOOKUP($S89:$AL89,增益!$A:$A,增益!$T:$T,0))</f>
        <v>1.35</v>
      </c>
      <c r="BT89" s="24">
        <f t="shared" si="31"/>
        <v>0.9036</v>
      </c>
      <c r="BU89" s="24">
        <f t="shared" si="32"/>
        <v>0.00350000000000006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0.11</v>
      </c>
      <c r="BX89" s="24" cm="1">
        <f t="array" ref="BX89">SUM(_xlfn.XLOOKUP($S89:$AL89,增益!$A:$A,增益!$X:$X,0))</f>
        <v>0</v>
      </c>
    </row>
    <row r="90" spans="1:76">
      <c r="A90" s="4" t="s">
        <v>179</v>
      </c>
      <c r="B90" s="4">
        <v>1</v>
      </c>
      <c r="F90" s="70" t="s">
        <v>175</v>
      </c>
      <c r="K90">
        <f>$L90*VLOOKUP($R90,武学奇术!$A:$ZZ,31,FALSE)</f>
        <v>121469.629292763</v>
      </c>
      <c r="L90" s="36">
        <f t="shared" si="33"/>
        <v>93438.1763790488</v>
      </c>
      <c r="M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$21,0))*(1+$BW90)</f>
        <v>95588.1057536507</v>
      </c>
      <c r="N90" s="36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</f>
        <v>74190.6485676828</v>
      </c>
      <c r="O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$21,0))*(1+$BW90)</f>
        <v>49272.2194606447</v>
      </c>
      <c r="P90" s="36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</f>
        <v>43588.402945228</v>
      </c>
      <c r="Q90" s="70">
        <v>1</v>
      </c>
      <c r="R90" s="38" t="s">
        <v>119</v>
      </c>
      <c r="S90" s="38" t="s">
        <v>104</v>
      </c>
      <c r="T90" s="38" t="s">
        <v>79</v>
      </c>
      <c r="U90" s="38" t="s">
        <v>79</v>
      </c>
      <c r="V90" s="38" t="s">
        <v>79</v>
      </c>
      <c r="W90" s="38" t="s">
        <v>79</v>
      </c>
      <c r="X90" s="38" t="s">
        <v>79</v>
      </c>
      <c r="Y90" s="38" t="s">
        <v>173</v>
      </c>
      <c r="Z90" s="38" t="s">
        <v>90</v>
      </c>
      <c r="AA90" s="38" t="s">
        <v>112</v>
      </c>
      <c r="AB90" s="38" t="s">
        <v>91</v>
      </c>
      <c r="AC90" s="38" t="s">
        <v>79</v>
      </c>
      <c r="AD90" s="38" t="s">
        <v>82</v>
      </c>
      <c r="AE90" s="38" t="s">
        <v>83</v>
      </c>
      <c r="AF90" s="38" t="s">
        <v>84</v>
      </c>
      <c r="AG90" s="38" t="s">
        <v>85</v>
      </c>
      <c r="AH90" s="38" t="s">
        <v>79</v>
      </c>
      <c r="AI90" s="38" t="s">
        <v>79</v>
      </c>
      <c r="AJ90" s="38" t="s">
        <v>79</v>
      </c>
      <c r="AK90" s="38" t="s">
        <v>79</v>
      </c>
      <c r="AL90" s="38" t="s">
        <v>79</v>
      </c>
      <c r="AM90" t="str">
        <f>VLOOKUP($R90,武学奇术!$A:$ZZ,25,FALSE)</f>
        <v>拳甲</v>
      </c>
      <c r="AN90" s="24">
        <f>VLOOKUP($R90,武学奇术!$A:$ZZ,26,FALSE)</f>
        <v>2.91176</v>
      </c>
      <c r="AO90" s="25">
        <f>VLOOKUP($R90,武学奇术!$A:$ZZ,27,FALSE)*(1+IF(OR($AM90=$F$4,$AM90=$F$5),$B$22,0))</f>
        <v>1208.7</v>
      </c>
      <c r="AP90" s="24">
        <f>VLOOKUP($R90,武学奇术!$A:$ZZ,28,FALSE)</f>
        <v>3.89844</v>
      </c>
      <c r="AQ90" s="25">
        <f>VLOOKUP($R90,武学奇术!$A:$ZZ,29,FALSE)*(1+IF(OR($AM90=$F$4,$AM90=$F$5),$B$22,0))</f>
        <v>650.25</v>
      </c>
      <c r="AR90" s="24" cm="1">
        <f t="array" ref="AR90">$G$3+IFERROR(VLOOKUP($AM90,$F$4:$G$7,2,FALSE),0)+VLOOKUP($R90,武学奇术!$A:$ZZ,2,FALSE)+SUM(_xlfn.XLOOKUP($S90:$AL90,增益!$A:$A,增益!$B:$B,0))</f>
        <v>0.7041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3901.102</v>
      </c>
      <c r="AU90" cm="1">
        <f t="array" ref="AU90">$E$10*(1+$AS90)+VLOOKUP($R90,武学奇术!$A:$ZZ,4,FALSE)+SUM(_xlfn.XLOOKUP($S90:$AL90,增益!$A:$A,增益!$D:$D,0))-$I$2</f>
        <v>3901.102</v>
      </c>
      <c r="AV90" s="30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0.347</v>
      </c>
      <c r="AW90" s="30" cm="1">
        <f t="array" ref="AW90">$G$10+VLOOKUP($R90,武学奇术!$A:$ZZ,7,FALSE)+SUM(_xlfn.XLOOKUP($S90:$AL90,增益!$A:$A,增益!$G:$G,0))</f>
        <v>0.09</v>
      </c>
      <c r="AX90" s="24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0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-0.08</v>
      </c>
      <c r="BB90" s="30" cm="1">
        <f t="array" ref="BB90">$G$11+VLOOKUP($R90,武学奇术!$A:$ZZ,10,FALSE)+SUM(_xlfn.XLOOKUP($S90:$AL90,增益!$A:$A,增益!$J:$J,0))</f>
        <v>0</v>
      </c>
      <c r="BC90">
        <f t="shared" si="25"/>
        <v>0</v>
      </c>
      <c r="BD90">
        <f t="shared" si="26"/>
        <v>0</v>
      </c>
      <c r="BE90" s="30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-0.08</v>
      </c>
      <c r="BF90" s="30" cm="1">
        <f t="array" ref="BF90">$G$12+VLOOKUP($R90,武学奇术!$A:$ZZ,12,FALSE)+SUM(_xlfn.XLOOKUP($S90:$AL90,增益!$A:$A,增益!$L:$L,0))</f>
        <v>0</v>
      </c>
      <c r="BG90">
        <f t="shared" si="27"/>
        <v>0</v>
      </c>
      <c r="BH90">
        <f t="shared" si="28"/>
        <v>0</v>
      </c>
      <c r="BI90" s="30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-0.08</v>
      </c>
      <c r="BJ90" s="30" cm="1">
        <f t="array" ref="BJ90">$G$13+VLOOKUP($R90,武学奇术!$A:$ZZ,14,FALSE)+SUM(_xlfn.XLOOKUP($S90:$AL90,增益!$A:$A,增益!$N:$N,0))</f>
        <v>0</v>
      </c>
      <c r="BK90">
        <f t="shared" si="29"/>
        <v>605.472</v>
      </c>
      <c r="BL90">
        <f t="shared" si="30"/>
        <v>1725.468</v>
      </c>
      <c r="BM90" s="30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0.11</v>
      </c>
      <c r="BN90" s="30" cm="1">
        <f t="array" ref="BN90">$G$14+VLOOKUP($R90,武学奇术!$A:$ZZ,16,FALSE)+SUM(_xlfn.XLOOKUP($S90:$AL90,增益!$A:$A,增益!$P:$P,0))</f>
        <v>0.24</v>
      </c>
      <c r="BO90" s="24">
        <f>MIN(IF(VLOOKUP($R90,武学奇术!$A:$ZZ,23,FALSE)=1,100%,$B$8),100%)</f>
        <v>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0.9036</v>
      </c>
      <c r="BQ90" s="24" cm="1">
        <f t="array" ref="BQ90">1+$B$13+VLOOKUP($R90,武学奇术!$A:$ZZ,18,FALSE)+SUM(_xlfn.XLOOKUP($S90:$AL90,增益!$A:$A,增益!$R:$R,0))</f>
        <v>1.94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4" cm="1">
        <f t="array" ref="BS90">1+$B$14+VLOOKUP($R90,武学奇术!$A:$ZZ,20,FALSE)+SUM(_xlfn.XLOOKUP($S90:$AL90,增益!$A:$A,增益!$T:$T,0))</f>
        <v>1.35</v>
      </c>
      <c r="BT90" s="24">
        <f t="shared" si="31"/>
        <v>0.9036</v>
      </c>
      <c r="BU90" s="24">
        <f t="shared" si="32"/>
        <v>0.00350000000000006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0.11</v>
      </c>
      <c r="BX90" s="24" cm="1">
        <f t="array" ref="BX90">SUM(_xlfn.XLOOKUP($S90:$AL90,增益!$A:$A,增益!$X:$X,0))</f>
        <v>0</v>
      </c>
    </row>
    <row r="91" spans="1:76">
      <c r="A91" s="4" t="s">
        <v>177</v>
      </c>
      <c r="B91" s="91">
        <v>1.16</v>
      </c>
      <c r="F91" s="70"/>
      <c r="K91">
        <f>$L91*VLOOKUP($R91,武学奇术!$A:$ZZ,31,FALSE)</f>
        <v>29364.1738207116</v>
      </c>
      <c r="L91" s="36">
        <f t="shared" si="33"/>
        <v>29364.1738207116</v>
      </c>
      <c r="M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$21,0))*(1+$BW91)</f>
        <v>29607.8876204442</v>
      </c>
      <c r="N91" s="36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</f>
        <v>27419.795498758</v>
      </c>
      <c r="O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$21,0))*(1+$BW91)</f>
        <v>18053.590012466</v>
      </c>
      <c r="P91" s="36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</f>
        <v>15796.2203962223</v>
      </c>
      <c r="Q91" s="70">
        <v>1</v>
      </c>
      <c r="R91" s="38" t="s">
        <v>122</v>
      </c>
      <c r="S91" s="38" t="s">
        <v>104</v>
      </c>
      <c r="T91" s="38" t="s">
        <v>79</v>
      </c>
      <c r="U91" s="38" t="s">
        <v>79</v>
      </c>
      <c r="V91" s="38" t="s">
        <v>79</v>
      </c>
      <c r="W91" s="38" t="s">
        <v>79</v>
      </c>
      <c r="X91" s="38" t="s">
        <v>79</v>
      </c>
      <c r="Y91" s="38" t="s">
        <v>173</v>
      </c>
      <c r="Z91" s="38" t="s">
        <v>90</v>
      </c>
      <c r="AA91" s="38" t="s">
        <v>79</v>
      </c>
      <c r="AB91" s="38" t="s">
        <v>91</v>
      </c>
      <c r="AC91" s="38" t="s">
        <v>79</v>
      </c>
      <c r="AD91" s="38" t="s">
        <v>82</v>
      </c>
      <c r="AE91" s="38" t="s">
        <v>83</v>
      </c>
      <c r="AF91" s="38" t="s">
        <v>84</v>
      </c>
      <c r="AG91" s="38" t="s">
        <v>85</v>
      </c>
      <c r="AH91" s="38" t="s">
        <v>79</v>
      </c>
      <c r="AI91" s="38" t="s">
        <v>79</v>
      </c>
      <c r="AJ91" s="38" t="s">
        <v>79</v>
      </c>
      <c r="AK91" s="38" t="s">
        <v>79</v>
      </c>
      <c r="AL91" s="38" t="s">
        <v>79</v>
      </c>
      <c r="AM91" t="str">
        <f>VLOOKUP($R91,武学奇术!$A:$ZZ,25,FALSE)</f>
        <v>拳甲</v>
      </c>
      <c r="AN91" s="24">
        <f>VLOOKUP($R91,武学奇术!$A:$ZZ,26,FALSE)</f>
        <v>1.2876</v>
      </c>
      <c r="AO91" s="25">
        <f>VLOOKUP($R91,武学奇术!$A:$ZZ,27,FALSE)*(1+IF(OR($AM91=$F$4,$AM91=$F$5),$B$22,0))</f>
        <v>537</v>
      </c>
      <c r="AP91" s="24">
        <f>VLOOKUP($R91,武学奇术!$A:$ZZ,28,FALSE)</f>
        <v>1.9313</v>
      </c>
      <c r="AQ91" s="25">
        <f>VLOOKUP($R91,武学奇术!$A:$ZZ,29,FALSE)*(1+IF(OR($AM91=$F$4,$AM91=$F$5),$B$22,0))</f>
        <v>292.5</v>
      </c>
      <c r="AR91" s="24" cm="1">
        <f t="array" ref="AR91">$G$3+IFERROR(VLOOKUP($AM91,$F$4:$G$7,2,FALSE),0)+VLOOKUP($R91,武学奇术!$A:$ZZ,2,FALSE)+SUM(_xlfn.XLOOKUP($S91:$AL91,增益!$A:$A,增益!$B:$B,0))</f>
        <v>0.4041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3901.102</v>
      </c>
      <c r="AU91" cm="1">
        <f t="array" ref="AU91">$E$10*(1+$AS91)+VLOOKUP($R91,武学奇术!$A:$ZZ,4,FALSE)+SUM(_xlfn.XLOOKUP($S91:$AL91,增益!$A:$A,增益!$D:$D,0))-$I$2</f>
        <v>3901.102</v>
      </c>
      <c r="AV91" s="30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0.317</v>
      </c>
      <c r="AW91" s="30" cm="1">
        <f t="array" ref="AW91">$G$10+VLOOKUP($R91,武学奇术!$A:$ZZ,7,FALSE)+SUM(_xlfn.XLOOKUP($S91:$AL91,增益!$A:$A,增益!$G:$G,0))</f>
        <v>0.09</v>
      </c>
      <c r="AX91" s="24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0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-0.14</v>
      </c>
      <c r="BB91" s="30" cm="1">
        <f t="array" ref="BB91">$G$11+VLOOKUP($R91,武学奇术!$A:$ZZ,10,FALSE)+SUM(_xlfn.XLOOKUP($S91:$AL91,增益!$A:$A,增益!$J:$J,0))</f>
        <v>0</v>
      </c>
      <c r="BC91">
        <f t="shared" si="25"/>
        <v>0</v>
      </c>
      <c r="BD91">
        <f t="shared" si="26"/>
        <v>0</v>
      </c>
      <c r="BE91" s="30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-0.14</v>
      </c>
      <c r="BF91" s="30" cm="1">
        <f t="array" ref="BF91">$G$12+VLOOKUP($R91,武学奇术!$A:$ZZ,12,FALSE)+SUM(_xlfn.XLOOKUP($S91:$AL91,增益!$A:$A,增益!$L:$L,0))</f>
        <v>0</v>
      </c>
      <c r="BG91">
        <f t="shared" si="27"/>
        <v>0</v>
      </c>
      <c r="BH91">
        <f t="shared" si="28"/>
        <v>0</v>
      </c>
      <c r="BI91" s="30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-0.14</v>
      </c>
      <c r="BJ91" s="30" cm="1">
        <f t="array" ref="BJ91">$G$13+VLOOKUP($R91,武学奇术!$A:$ZZ,14,FALSE)+SUM(_xlfn.XLOOKUP($S91:$AL91,增益!$A:$A,增益!$N:$N,0))</f>
        <v>0</v>
      </c>
      <c r="BK91">
        <f t="shared" si="29"/>
        <v>605.472</v>
      </c>
      <c r="BL91">
        <f t="shared" si="30"/>
        <v>1725.468</v>
      </c>
      <c r="BM91" s="30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0.08</v>
      </c>
      <c r="BN91" s="30" cm="1">
        <f t="array" ref="BN91">$G$14+VLOOKUP($R91,武学奇术!$A:$ZZ,16,FALSE)+SUM(_xlfn.XLOOKUP($S91:$AL91,增益!$A:$A,增益!$P:$P,0))</f>
        <v>0.24</v>
      </c>
      <c r="BO91" s="24">
        <f>MIN(IF(VLOOKUP($R91,武学奇术!$A:$ZZ,23,FALSE)=1,100%,$B$8),100%)</f>
        <v>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0.9036</v>
      </c>
      <c r="BQ91" s="24" cm="1">
        <f t="array" ref="BQ91">1+$B$13+VLOOKUP($R91,武学奇术!$A:$ZZ,18,FALSE)+SUM(_xlfn.XLOOKUP($S91:$AL91,增益!$A:$A,增益!$R:$R,0))</f>
        <v>1.64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4" cm="1">
        <f t="array" ref="BS91">1+$B$14+VLOOKUP($R91,武学奇术!$A:$ZZ,20,FALSE)+SUM(_xlfn.XLOOKUP($S91:$AL91,增益!$A:$A,增益!$T:$T,0))</f>
        <v>1.35</v>
      </c>
      <c r="BT91" s="24">
        <f t="shared" si="31"/>
        <v>0.9036</v>
      </c>
      <c r="BU91" s="24">
        <f t="shared" si="32"/>
        <v>0.00350000000000006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0.11</v>
      </c>
      <c r="BX91" s="24" cm="1">
        <f t="array" ref="BX91">SUM(_xlfn.XLOOKUP($S91:$AL91,增益!$A:$A,增益!$X:$X,0))</f>
        <v>0</v>
      </c>
    </row>
    <row r="92" spans="1:76">
      <c r="A92" t="s">
        <v>176</v>
      </c>
      <c r="B92">
        <v>1.23</v>
      </c>
      <c r="F92" s="70"/>
      <c r="G92" s="70" t="s">
        <v>178</v>
      </c>
      <c r="K92">
        <f>$L92*VLOOKUP($R92,武学奇术!$A:$ZZ,31,FALSE)</f>
        <v>100272.922810742</v>
      </c>
      <c r="L92" s="36">
        <f t="shared" si="33"/>
        <v>77133.0175467248</v>
      </c>
      <c r="M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$21,0))*(1+$BW92)</f>
        <v>78768.242656267</v>
      </c>
      <c r="N92" s="36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</f>
        <v>62604.1531565683</v>
      </c>
      <c r="O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$21,0))*(1+$BW92)</f>
        <v>40602.1869362201</v>
      </c>
      <c r="P92" s="36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</f>
        <v>34830.927089797</v>
      </c>
      <c r="Q92" s="70">
        <v>1</v>
      </c>
      <c r="R92" s="38" t="s">
        <v>124</v>
      </c>
      <c r="S92" s="38" t="s">
        <v>104</v>
      </c>
      <c r="T92" s="38" t="s">
        <v>79</v>
      </c>
      <c r="U92" s="38" t="s">
        <v>79</v>
      </c>
      <c r="V92" s="38" t="s">
        <v>79</v>
      </c>
      <c r="W92" s="38" t="s">
        <v>79</v>
      </c>
      <c r="X92" s="38" t="s">
        <v>79</v>
      </c>
      <c r="Y92" s="38" t="s">
        <v>173</v>
      </c>
      <c r="Z92" s="38" t="s">
        <v>90</v>
      </c>
      <c r="AA92" s="38" t="s">
        <v>112</v>
      </c>
      <c r="AB92" s="38" t="s">
        <v>91</v>
      </c>
      <c r="AC92" s="38" t="s">
        <v>79</v>
      </c>
      <c r="AD92" s="38" t="s">
        <v>82</v>
      </c>
      <c r="AE92" s="38" t="s">
        <v>83</v>
      </c>
      <c r="AF92" s="38" t="s">
        <v>84</v>
      </c>
      <c r="AG92" s="38" t="s">
        <v>85</v>
      </c>
      <c r="AH92" s="38" t="s">
        <v>79</v>
      </c>
      <c r="AI92" s="38" t="s">
        <v>79</v>
      </c>
      <c r="AJ92" s="38" t="s">
        <v>79</v>
      </c>
      <c r="AK92" s="38" t="s">
        <v>79</v>
      </c>
      <c r="AL92" s="38" t="s">
        <v>79</v>
      </c>
      <c r="AM92" t="str">
        <f>VLOOKUP($R92,武学奇术!$A:$ZZ,25,FALSE)</f>
        <v>拳甲</v>
      </c>
      <c r="AN92" s="24">
        <f>VLOOKUP($R92,武学奇术!$A:$ZZ,26,FALSE)</f>
        <v>2.638944</v>
      </c>
      <c r="AO92" s="25">
        <f>VLOOKUP($R92,武学奇术!$A:$ZZ,27,FALSE)*(1+IF(OR($AM92=$F$4,$AM92=$F$5),$B$22,0))</f>
        <v>0</v>
      </c>
      <c r="AP92" s="24">
        <f>VLOOKUP($R92,武学奇术!$A:$ZZ,28,FALSE)</f>
        <v>3.958416</v>
      </c>
      <c r="AQ92" s="25">
        <f>VLOOKUP($R92,武学奇术!$A:$ZZ,29,FALSE)*(1+IF(OR($AM92=$F$4,$AM92=$F$5),$B$22,0))</f>
        <v>0</v>
      </c>
      <c r="AR92" s="24" cm="1">
        <f t="array" ref="AR92">$G$3+IFERROR(VLOOKUP($AM92,$F$4:$G$7,2,FALSE),0)+VLOOKUP($R92,武学奇术!$A:$ZZ,2,FALSE)+SUM(_xlfn.XLOOKUP($S92:$AL92,增益!$A:$A,增益!$B:$B,0))</f>
        <v>0.7041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3901.102</v>
      </c>
      <c r="AU92" cm="1">
        <f t="array" ref="AU92">$E$10*(1+$AS92)+VLOOKUP($R92,武学奇术!$A:$ZZ,4,FALSE)+SUM(_xlfn.XLOOKUP($S92:$AL92,增益!$A:$A,增益!$D:$D,0))-$I$2</f>
        <v>3901.102</v>
      </c>
      <c r="AV92" s="30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0.347</v>
      </c>
      <c r="AW92" s="30" cm="1">
        <f t="array" ref="AW92">$G$10+VLOOKUP($R92,武学奇术!$A:$ZZ,7,FALSE)+SUM(_xlfn.XLOOKUP($S92:$AL92,增益!$A:$A,增益!$G:$G,0))</f>
        <v>0.09</v>
      </c>
      <c r="AX92" s="24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0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-0.08</v>
      </c>
      <c r="BB92" s="30" cm="1">
        <f t="array" ref="BB92">$G$11+VLOOKUP($R92,武学奇术!$A:$ZZ,10,FALSE)+SUM(_xlfn.XLOOKUP($S92:$AL92,增益!$A:$A,增益!$J:$J,0))</f>
        <v>0</v>
      </c>
      <c r="BC92">
        <f t="shared" si="25"/>
        <v>0</v>
      </c>
      <c r="BD92">
        <f t="shared" si="26"/>
        <v>0</v>
      </c>
      <c r="BE92" s="30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-0.08</v>
      </c>
      <c r="BF92" s="30" cm="1">
        <f t="array" ref="BF92">$G$12+VLOOKUP($R92,武学奇术!$A:$ZZ,12,FALSE)+SUM(_xlfn.XLOOKUP($S92:$AL92,增益!$A:$A,增益!$L:$L,0))</f>
        <v>0</v>
      </c>
      <c r="BG92">
        <f t="shared" si="27"/>
        <v>0</v>
      </c>
      <c r="BH92">
        <f t="shared" si="28"/>
        <v>0</v>
      </c>
      <c r="BI92" s="30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-0.08</v>
      </c>
      <c r="BJ92" s="30" cm="1">
        <f t="array" ref="BJ92">$G$13+VLOOKUP($R92,武学奇术!$A:$ZZ,14,FALSE)+SUM(_xlfn.XLOOKUP($S92:$AL92,增益!$A:$A,增益!$N:$N,0))</f>
        <v>0</v>
      </c>
      <c r="BK92">
        <f t="shared" si="29"/>
        <v>605.472</v>
      </c>
      <c r="BL92">
        <f t="shared" si="30"/>
        <v>1725.468</v>
      </c>
      <c r="BM92" s="30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0.11</v>
      </c>
      <c r="BN92" s="30" cm="1">
        <f t="array" ref="BN92">$G$14+VLOOKUP($R92,武学奇术!$A:$ZZ,16,FALSE)+SUM(_xlfn.XLOOKUP($S92:$AL92,增益!$A:$A,增益!$P:$P,0))</f>
        <v>0.24</v>
      </c>
      <c r="BO92" s="24">
        <f>MIN(IF(VLOOKUP($R92,武学奇术!$A:$ZZ,23,FALSE)=1,100%,$B$8),100%)</f>
        <v>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0.9036</v>
      </c>
      <c r="BQ92" s="24" cm="1">
        <f t="array" ref="BQ92">1+$B$13+VLOOKUP($R92,武学奇术!$A:$ZZ,18,FALSE)+SUM(_xlfn.XLOOKUP($S92:$AL92,增益!$A:$A,增益!$R:$R,0))</f>
        <v>1.94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4" cm="1">
        <f t="array" ref="BS92">1+$B$14+VLOOKUP($R92,武学奇术!$A:$ZZ,20,FALSE)+SUM(_xlfn.XLOOKUP($S92:$AL92,增益!$A:$A,增益!$T:$T,0))</f>
        <v>1.35</v>
      </c>
      <c r="BT92" s="24">
        <f t="shared" si="31"/>
        <v>0.9036</v>
      </c>
      <c r="BU92" s="24">
        <f t="shared" si="32"/>
        <v>0.00350000000000006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0.11</v>
      </c>
      <c r="BX92" s="24" cm="1">
        <f t="array" ref="BX92">SUM(_xlfn.XLOOKUP($S92:$AL92,增益!$A:$A,增益!$X:$X,0))</f>
        <v>0</v>
      </c>
    </row>
    <row r="93" spans="1:76">
      <c r="A93" s="4" t="s">
        <v>193</v>
      </c>
      <c r="B93" s="91">
        <v>1.16</v>
      </c>
      <c r="F93" s="70"/>
      <c r="G93" s="70"/>
      <c r="K93">
        <f>$L93*VLOOKUP($R93,武学奇术!$A:$ZZ,31,FALSE)</f>
        <v>130230.145306193</v>
      </c>
      <c r="L93" s="36">
        <f t="shared" si="33"/>
        <v>130230.145306193</v>
      </c>
      <c r="M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$21,0))*(1+$BW93)</f>
        <v>131191.130684662</v>
      </c>
      <c r="N93" s="36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</f>
        <v>122775.657136161</v>
      </c>
      <c r="O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$21,0))*(1+$BW93)</f>
        <v>79994.5918808912</v>
      </c>
      <c r="P93" s="36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</f>
        <v>69044.2525498114</v>
      </c>
      <c r="Q93" s="70">
        <v>1</v>
      </c>
      <c r="R93" s="38" t="s">
        <v>186</v>
      </c>
      <c r="S93" s="38" t="s">
        <v>104</v>
      </c>
      <c r="T93" s="38" t="s">
        <v>79</v>
      </c>
      <c r="U93" s="38" t="s">
        <v>79</v>
      </c>
      <c r="V93" s="38" t="s">
        <v>79</v>
      </c>
      <c r="W93" s="38" t="s">
        <v>79</v>
      </c>
      <c r="X93" s="38" t="s">
        <v>79</v>
      </c>
      <c r="Y93" s="38" t="s">
        <v>173</v>
      </c>
      <c r="Z93" s="38" t="s">
        <v>90</v>
      </c>
      <c r="AA93" s="38" t="s">
        <v>79</v>
      </c>
      <c r="AB93" s="38" t="s">
        <v>91</v>
      </c>
      <c r="AC93" s="38" t="s">
        <v>79</v>
      </c>
      <c r="AD93" s="38" t="s">
        <v>82</v>
      </c>
      <c r="AE93" s="38" t="s">
        <v>83</v>
      </c>
      <c r="AF93" s="38" t="s">
        <v>84</v>
      </c>
      <c r="AG93" s="38" t="s">
        <v>85</v>
      </c>
      <c r="AH93" s="38" t="s">
        <v>79</v>
      </c>
      <c r="AI93" s="38" t="s">
        <v>79</v>
      </c>
      <c r="AJ93" s="38" t="s">
        <v>79</v>
      </c>
      <c r="AK93" s="38" t="s">
        <v>79</v>
      </c>
      <c r="AL93" s="38" t="s">
        <v>79</v>
      </c>
      <c r="AM93" t="str">
        <f>VLOOKUP($R93,武学奇术!$A:$ZZ,25,FALSE)</f>
        <v>单体奇术</v>
      </c>
      <c r="AN93" s="24">
        <f>VLOOKUP($R93,武学奇术!$A:$ZZ,26,FALSE)</f>
        <v>7.1084</v>
      </c>
      <c r="AO93" s="25">
        <f>VLOOKUP($R93,武学奇术!$A:$ZZ,27,FALSE)*(1+IF(OR($AM93=$F$4,$AM93=$F$5),$B$22,0))</f>
        <v>1369</v>
      </c>
      <c r="AP93" s="24">
        <f>VLOOKUP($R93,武学奇术!$A:$ZZ,28,FALSE)</f>
        <v>10.6626</v>
      </c>
      <c r="AQ93" s="25">
        <f>VLOOKUP($R93,武学奇术!$A:$ZZ,29,FALSE)*(1+IF(OR($AM93=$F$4,$AM93=$F$5),$B$22,0))</f>
        <v>0</v>
      </c>
      <c r="AR93" s="24" cm="1">
        <f t="array" ref="AR93">$G$3+IFERROR(VLOOKUP($AM93,$F$4:$G$7,2,FALSE),0)+VLOOKUP($R93,武学奇术!$A:$ZZ,2,FALSE)+SUM(_xlfn.XLOOKUP($S93:$AL93,增益!$A:$A,增益!$B:$B,0))</f>
        <v>0.2337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3901.102</v>
      </c>
      <c r="AU93" cm="1">
        <f t="array" ref="AU93">$E$10*(1+$AS93)+VLOOKUP($R93,武学奇术!$A:$ZZ,4,FALSE)+SUM(_xlfn.XLOOKUP($S93:$AL93,增益!$A:$A,增益!$D:$D,0))-$I$2</f>
        <v>3901.102</v>
      </c>
      <c r="AV93" s="30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0.317</v>
      </c>
      <c r="AW93" s="30" cm="1">
        <f t="array" ref="AW93">$G$10+VLOOKUP($R93,武学奇术!$A:$ZZ,7,FALSE)+SUM(_xlfn.XLOOKUP($S93:$AL93,增益!$A:$A,增益!$G:$G,0))</f>
        <v>0.09</v>
      </c>
      <c r="AX93" s="24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0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-0.14</v>
      </c>
      <c r="BB93" s="30" cm="1">
        <f t="array" ref="BB93">$G$11+VLOOKUP($R93,武学奇术!$A:$ZZ,10,FALSE)+SUM(_xlfn.XLOOKUP($S93:$AL93,增益!$A:$A,增益!$J:$J,0))</f>
        <v>0</v>
      </c>
      <c r="BC93">
        <f t="shared" si="25"/>
        <v>0</v>
      </c>
      <c r="BD93">
        <f t="shared" si="26"/>
        <v>0</v>
      </c>
      <c r="BE93" s="30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-0.14</v>
      </c>
      <c r="BF93" s="30" cm="1">
        <f t="array" ref="BF93">$G$12+VLOOKUP($R93,武学奇术!$A:$ZZ,12,FALSE)+SUM(_xlfn.XLOOKUP($S93:$AL93,增益!$A:$A,增益!$L:$L,0))</f>
        <v>0</v>
      </c>
      <c r="BG93">
        <f t="shared" si="27"/>
        <v>0</v>
      </c>
      <c r="BH93">
        <f t="shared" si="28"/>
        <v>0</v>
      </c>
      <c r="BI93" s="30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-0.14</v>
      </c>
      <c r="BJ93" s="30" cm="1">
        <f t="array" ref="BJ93">$G$13+VLOOKUP($R93,武学奇术!$A:$ZZ,14,FALSE)+SUM(_xlfn.XLOOKUP($S93:$AL93,增益!$A:$A,增益!$N:$N,0))</f>
        <v>0</v>
      </c>
      <c r="BK93">
        <f t="shared" si="29"/>
        <v>605.472</v>
      </c>
      <c r="BL93">
        <f t="shared" si="30"/>
        <v>1725.468</v>
      </c>
      <c r="BM93" s="30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0.08</v>
      </c>
      <c r="BN93" s="30" cm="1">
        <f t="array" ref="BN93">$G$14+VLOOKUP($R93,武学奇术!$A:$ZZ,16,FALSE)+SUM(_xlfn.XLOOKUP($S93:$AL93,增益!$A:$A,增益!$P:$P,0))</f>
        <v>0.24</v>
      </c>
      <c r="BO93" s="24">
        <f>MIN(IF(VLOOKUP($R93,武学奇术!$A:$ZZ,23,FALSE)=1,100%,$B$8),100%)</f>
        <v>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0.9036</v>
      </c>
      <c r="BQ93" s="24" cm="1">
        <f t="array" ref="BQ93">1+$B$13+VLOOKUP($R93,武学奇术!$A:$ZZ,18,FALSE)+SUM(_xlfn.XLOOKUP($S93:$AL93,增益!$A:$A,增益!$R:$R,0))</f>
        <v>1.64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4" cm="1">
        <f t="array" ref="BS93">1+$B$14+VLOOKUP($R93,武学奇术!$A:$ZZ,20,FALSE)+SUM(_xlfn.XLOOKUP($S93:$AL93,增益!$A:$A,增益!$T:$T,0))</f>
        <v>1.35</v>
      </c>
      <c r="BT93" s="24">
        <f t="shared" si="31"/>
        <v>0.9036</v>
      </c>
      <c r="BU93" s="24">
        <f t="shared" si="32"/>
        <v>0.00350000000000006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0.11</v>
      </c>
      <c r="BX93" s="24" cm="1">
        <f t="array" ref="BX93">SUM(_xlfn.XLOOKUP($S93:$AL93,增益!$A:$A,增益!$X:$X,0))</f>
        <v>0</v>
      </c>
    </row>
    <row r="94" spans="1:76">
      <c r="A94" s="4" t="s">
        <v>196</v>
      </c>
      <c r="B94" s="91">
        <v>1.7</v>
      </c>
      <c r="F94" s="70"/>
      <c r="G94" s="70"/>
      <c r="K94">
        <f>$L94*VLOOKUP($R94,武学奇术!$A:$ZZ,31,FALSE)</f>
        <v>54335.8948213721</v>
      </c>
      <c r="L94" s="36">
        <f t="shared" si="33"/>
        <v>54335.8948213721</v>
      </c>
      <c r="M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$21,0))*(1+$BW94)</f>
        <v>54813.9794994536</v>
      </c>
      <c r="N94" s="36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</f>
        <v>50473.6479209471</v>
      </c>
      <c r="O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$21,0))*(1+$BW94)</f>
        <v>33423.1582313742</v>
      </c>
      <c r="P94" s="36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</f>
        <v>29458.4291138986</v>
      </c>
      <c r="Q94" s="70">
        <v>1</v>
      </c>
      <c r="R94" s="38" t="s">
        <v>127</v>
      </c>
      <c r="S94" s="38" t="s">
        <v>104</v>
      </c>
      <c r="T94" s="38" t="s">
        <v>79</v>
      </c>
      <c r="U94" s="38" t="s">
        <v>79</v>
      </c>
      <c r="V94" s="38" t="s">
        <v>79</v>
      </c>
      <c r="W94" s="38" t="s">
        <v>79</v>
      </c>
      <c r="X94" s="38" t="s">
        <v>79</v>
      </c>
      <c r="Y94" s="38" t="s">
        <v>173</v>
      </c>
      <c r="Z94" s="38" t="s">
        <v>79</v>
      </c>
      <c r="AA94" s="38" t="s">
        <v>79</v>
      </c>
      <c r="AB94" s="38" t="s">
        <v>91</v>
      </c>
      <c r="AC94" s="38" t="s">
        <v>79</v>
      </c>
      <c r="AD94" s="38" t="s">
        <v>82</v>
      </c>
      <c r="AE94" s="38" t="s">
        <v>83</v>
      </c>
      <c r="AF94" s="38" t="s">
        <v>84</v>
      </c>
      <c r="AG94" s="38" t="s">
        <v>85</v>
      </c>
      <c r="AH94" s="38" t="s">
        <v>79</v>
      </c>
      <c r="AI94" s="38" t="s">
        <v>79</v>
      </c>
      <c r="AJ94" s="38" t="s">
        <v>79</v>
      </c>
      <c r="AK94" s="38" t="s">
        <v>79</v>
      </c>
      <c r="AL94" s="38" t="s">
        <v>79</v>
      </c>
      <c r="AM94" t="str">
        <f>VLOOKUP($R94,武学奇术!$A:$ZZ,25,FALSE)</f>
        <v>拳甲</v>
      </c>
      <c r="AN94" s="24">
        <f>VLOOKUP($R94,武学奇术!$A:$ZZ,26,FALSE)</f>
        <v>2.4421</v>
      </c>
      <c r="AO94" s="25">
        <f>VLOOKUP($R94,武学奇术!$A:$ZZ,27,FALSE)*(1+IF(OR($AM94=$F$4,$AM94=$F$5),$B$22,0))</f>
        <v>1012.5</v>
      </c>
      <c r="AP94" s="24">
        <f>VLOOKUP($R94,武学奇术!$A:$ZZ,28,FALSE)</f>
        <v>3.6634</v>
      </c>
      <c r="AQ94" s="25">
        <f>VLOOKUP($R94,武学奇术!$A:$ZZ,29,FALSE)*(1+IF(OR($AM94=$F$4,$AM94=$F$5),$B$22,0))</f>
        <v>549</v>
      </c>
      <c r="AR94" s="24" cm="1">
        <f t="array" ref="AR94">$G$3+IFERROR(VLOOKUP($AM94,$F$4:$G$7,2,FALSE),0)+VLOOKUP($R94,武学奇术!$A:$ZZ,2,FALSE)+SUM(_xlfn.XLOOKUP($S94:$AL94,增益!$A:$A,增益!$B:$B,0))</f>
        <v>0.4041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3901.102</v>
      </c>
      <c r="AU94" cm="1">
        <f t="array" ref="AU94">$E$10*(1+$AS94)+VLOOKUP($R94,武学奇术!$A:$ZZ,4,FALSE)+SUM(_xlfn.XLOOKUP($S94:$AL94,增益!$A:$A,增益!$D:$D,0))-$I$2</f>
        <v>3901.102</v>
      </c>
      <c r="AV94" s="30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0.317</v>
      </c>
      <c r="AW94" s="30" cm="1">
        <f t="array" ref="AW94">$G$10+VLOOKUP($R94,武学奇术!$A:$ZZ,7,FALSE)+SUM(_xlfn.XLOOKUP($S94:$AL94,增益!$A:$A,增益!$G:$G,0))</f>
        <v>0.09</v>
      </c>
      <c r="AX94" s="24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0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0" cm="1">
        <f t="array" ref="BB94">$G$11+VLOOKUP($R94,武学奇术!$A:$ZZ,10,FALSE)+SUM(_xlfn.XLOOKUP($S94:$AL94,增益!$A:$A,增益!$J:$J,0))</f>
        <v>0</v>
      </c>
      <c r="BC94">
        <f t="shared" si="25"/>
        <v>0</v>
      </c>
      <c r="BD94">
        <f t="shared" si="26"/>
        <v>0</v>
      </c>
      <c r="BE94" s="30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0" cm="1">
        <f t="array" ref="BF94">$G$12+VLOOKUP($R94,武学奇术!$A:$ZZ,12,FALSE)+SUM(_xlfn.XLOOKUP($S94:$AL94,增益!$A:$A,增益!$L:$L,0))</f>
        <v>0</v>
      </c>
      <c r="BG94">
        <f t="shared" si="27"/>
        <v>0</v>
      </c>
      <c r="BH94">
        <f t="shared" si="28"/>
        <v>0</v>
      </c>
      <c r="BI94" s="30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0" cm="1">
        <f t="array" ref="BJ94">$G$13+VLOOKUP($R94,武学奇术!$A:$ZZ,14,FALSE)+SUM(_xlfn.XLOOKUP($S94:$AL94,增益!$A:$A,增益!$N:$N,0))</f>
        <v>0</v>
      </c>
      <c r="BK94">
        <f t="shared" si="29"/>
        <v>605.472</v>
      </c>
      <c r="BL94">
        <f t="shared" si="30"/>
        <v>1725.468</v>
      </c>
      <c r="BM94" s="30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0" cm="1">
        <f t="array" ref="BN94">$G$14+VLOOKUP($R94,武学奇术!$A:$ZZ,16,FALSE)+SUM(_xlfn.XLOOKUP($S94:$AL94,增益!$A:$A,增益!$P:$P,0))</f>
        <v>0.24</v>
      </c>
      <c r="BO94" s="24">
        <f>MIN(IF(VLOOKUP($R94,武学奇术!$A:$ZZ,23,FALSE)=1,100%,$B$8),100%)</f>
        <v>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0.9036</v>
      </c>
      <c r="BQ94" s="24" cm="1">
        <f t="array" ref="BQ94">1+$B$13+VLOOKUP($R94,武学奇术!$A:$ZZ,18,FALSE)+SUM(_xlfn.XLOOKUP($S94:$AL94,增益!$A:$A,增益!$R:$R,0))</f>
        <v>1.64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4" cm="1">
        <f t="array" ref="BS94">1+$B$14+VLOOKUP($R94,武学奇术!$A:$ZZ,20,FALSE)+SUM(_xlfn.XLOOKUP($S94:$AL94,增益!$A:$A,增益!$T:$T,0))</f>
        <v>1.35</v>
      </c>
      <c r="BT94" s="24">
        <f t="shared" si="31"/>
        <v>0.9036</v>
      </c>
      <c r="BU94" s="24">
        <f t="shared" si="32"/>
        <v>0.00350000000000006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0.11</v>
      </c>
      <c r="BX94" s="24" cm="1">
        <f t="array" ref="BX94">SUM(_xlfn.XLOOKUP($S94:$AL94,增益!$A:$A,增益!$X:$X,0))</f>
        <v>0</v>
      </c>
    </row>
    <row r="95" spans="1:76">
      <c r="A95" s="4" t="s">
        <v>180</v>
      </c>
      <c r="B95" s="91">
        <v>0.5</v>
      </c>
      <c r="E95" s="70" t="s">
        <v>181</v>
      </c>
      <c r="F95" s="70"/>
      <c r="G95" s="70"/>
      <c r="K95">
        <f>$L95*VLOOKUP($R95,武学奇术!$A:$ZZ,31,FALSE)</f>
        <v>28673.3634150151</v>
      </c>
      <c r="L95" s="36">
        <f t="shared" si="33"/>
        <v>28673.3634150151</v>
      </c>
      <c r="M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$21,0))*(1+$BW95)</f>
        <v>28925.9136154089</v>
      </c>
      <c r="N95" s="36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</f>
        <v>26632.6774964033</v>
      </c>
      <c r="O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$21,0))*(1+$BW95)</f>
        <v>17637.7522045176</v>
      </c>
      <c r="P95" s="36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</f>
        <v>15547.5951524402</v>
      </c>
      <c r="Q95" s="70">
        <v>1</v>
      </c>
      <c r="R95" s="38" t="s">
        <v>122</v>
      </c>
      <c r="S95" s="38" t="s">
        <v>104</v>
      </c>
      <c r="T95" s="38" t="s">
        <v>79</v>
      </c>
      <c r="U95" s="38" t="s">
        <v>79</v>
      </c>
      <c r="V95" s="38" t="s">
        <v>79</v>
      </c>
      <c r="W95" s="38" t="s">
        <v>79</v>
      </c>
      <c r="X95" s="38" t="s">
        <v>79</v>
      </c>
      <c r="Y95" s="38" t="s">
        <v>173</v>
      </c>
      <c r="Z95" s="38" t="s">
        <v>79</v>
      </c>
      <c r="AA95" s="38" t="s">
        <v>79</v>
      </c>
      <c r="AB95" s="38" t="s">
        <v>91</v>
      </c>
      <c r="AC95" s="38" t="s">
        <v>79</v>
      </c>
      <c r="AD95" s="38" t="s">
        <v>82</v>
      </c>
      <c r="AE95" s="38" t="s">
        <v>83</v>
      </c>
      <c r="AF95" s="38" t="s">
        <v>84</v>
      </c>
      <c r="AG95" s="38" t="s">
        <v>85</v>
      </c>
      <c r="AH95" s="38" t="s">
        <v>79</v>
      </c>
      <c r="AI95" s="38" t="s">
        <v>79</v>
      </c>
      <c r="AJ95" s="38" t="s">
        <v>79</v>
      </c>
      <c r="AK95" s="38" t="s">
        <v>79</v>
      </c>
      <c r="AL95" s="38" t="s">
        <v>79</v>
      </c>
      <c r="AM95" t="str">
        <f>VLOOKUP($R95,武学奇术!$A:$ZZ,25,FALSE)</f>
        <v>拳甲</v>
      </c>
      <c r="AN95" s="24">
        <f>VLOOKUP($R95,武学奇术!$A:$ZZ,26,FALSE)</f>
        <v>1.2876</v>
      </c>
      <c r="AO95" s="25">
        <f>VLOOKUP($R95,武学奇术!$A:$ZZ,27,FALSE)*(1+IF(OR($AM95=$F$4,$AM95=$F$5),$B$22,0))</f>
        <v>537</v>
      </c>
      <c r="AP95" s="24">
        <f>VLOOKUP($R95,武学奇术!$A:$ZZ,28,FALSE)</f>
        <v>1.9313</v>
      </c>
      <c r="AQ95" s="25">
        <f>VLOOKUP($R95,武学奇术!$A:$ZZ,29,FALSE)*(1+IF(OR($AM95=$F$4,$AM95=$F$5),$B$22,0))</f>
        <v>292.5</v>
      </c>
      <c r="AR95" s="24" cm="1">
        <f t="array" ref="AR95">$G$3+IFERROR(VLOOKUP($AM95,$F$4:$G$7,2,FALSE),0)+VLOOKUP($R95,武学奇术!$A:$ZZ,2,FALSE)+SUM(_xlfn.XLOOKUP($S95:$AL95,增益!$A:$A,增益!$B:$B,0))</f>
        <v>0.4041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3901.102</v>
      </c>
      <c r="AU95" cm="1">
        <f t="array" ref="AU95">$E$10*(1+$AS95)+VLOOKUP($R95,武学奇术!$A:$ZZ,4,FALSE)+SUM(_xlfn.XLOOKUP($S95:$AL95,增益!$A:$A,增益!$D:$D,0))-$I$2</f>
        <v>3901.102</v>
      </c>
      <c r="AV95" s="30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0.317</v>
      </c>
      <c r="AW95" s="30" cm="1">
        <f t="array" ref="AW95">$G$10+VLOOKUP($R95,武学奇术!$A:$ZZ,7,FALSE)+SUM(_xlfn.XLOOKUP($S95:$AL95,增益!$A:$A,增益!$G:$G,0))</f>
        <v>0.09</v>
      </c>
      <c r="AX95" s="24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0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0" cm="1">
        <f t="array" ref="BB95">$G$11+VLOOKUP($R95,武学奇术!$A:$ZZ,10,FALSE)+SUM(_xlfn.XLOOKUP($S95:$AL95,增益!$A:$A,增益!$J:$J,0))</f>
        <v>0</v>
      </c>
      <c r="BC95">
        <f t="shared" si="25"/>
        <v>0</v>
      </c>
      <c r="BD95">
        <f t="shared" si="26"/>
        <v>0</v>
      </c>
      <c r="BE95" s="30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0" cm="1">
        <f t="array" ref="BF95">$G$12+VLOOKUP($R95,武学奇术!$A:$ZZ,12,FALSE)+SUM(_xlfn.XLOOKUP($S95:$AL95,增益!$A:$A,增益!$L:$L,0))</f>
        <v>0</v>
      </c>
      <c r="BG95">
        <f t="shared" si="27"/>
        <v>0</v>
      </c>
      <c r="BH95">
        <f t="shared" si="28"/>
        <v>0</v>
      </c>
      <c r="BI95" s="30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0" cm="1">
        <f t="array" ref="BJ95">$G$13+VLOOKUP($R95,武学奇术!$A:$ZZ,14,FALSE)+SUM(_xlfn.XLOOKUP($S95:$AL95,增益!$A:$A,增益!$N:$N,0))</f>
        <v>0</v>
      </c>
      <c r="BK95">
        <f t="shared" si="29"/>
        <v>605.472</v>
      </c>
      <c r="BL95">
        <f t="shared" si="30"/>
        <v>1725.468</v>
      </c>
      <c r="BM95" s="30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0" cm="1">
        <f t="array" ref="BN95">$G$14+VLOOKUP($R95,武学奇术!$A:$ZZ,16,FALSE)+SUM(_xlfn.XLOOKUP($S95:$AL95,增益!$A:$A,增益!$P:$P,0))</f>
        <v>0.24</v>
      </c>
      <c r="BO95" s="24">
        <f>MIN(IF(VLOOKUP($R95,武学奇术!$A:$ZZ,23,FALSE)=1,100%,$B$8),100%)</f>
        <v>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0.9036</v>
      </c>
      <c r="BQ95" s="24" cm="1">
        <f t="array" ref="BQ95">1+$B$13+VLOOKUP($R95,武学奇术!$A:$ZZ,18,FALSE)+SUM(_xlfn.XLOOKUP($S95:$AL95,增益!$A:$A,增益!$R:$R,0))</f>
        <v>1.64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4" cm="1">
        <f t="array" ref="BS95">1+$B$14+VLOOKUP($R95,武学奇术!$A:$ZZ,20,FALSE)+SUM(_xlfn.XLOOKUP($S95:$AL95,增益!$A:$A,增益!$T:$T,0))</f>
        <v>1.35</v>
      </c>
      <c r="BT95" s="24">
        <f t="shared" si="31"/>
        <v>0.9036</v>
      </c>
      <c r="BU95" s="24">
        <f t="shared" si="32"/>
        <v>0.00350000000000006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0.11</v>
      </c>
      <c r="BX95" s="24" cm="1">
        <f t="array" ref="BX95">SUM(_xlfn.XLOOKUP($S95:$AL95,增益!$A:$A,增益!$X:$X,0))</f>
        <v>0</v>
      </c>
    </row>
    <row r="96" spans="1:76">
      <c r="A96" s="4" t="s">
        <v>182</v>
      </c>
      <c r="B96" s="91">
        <v>0.7</v>
      </c>
      <c r="E96" s="70"/>
      <c r="F96" s="70"/>
      <c r="G96" s="70"/>
      <c r="K96">
        <f>$L96*VLOOKUP($R96,武学奇术!$A:$ZZ,31,FALSE)</f>
        <v>98087.2730405289</v>
      </c>
      <c r="L96" s="36">
        <f t="shared" si="33"/>
        <v>75451.7484927145</v>
      </c>
      <c r="M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$21,0))*(1+$BW96)</f>
        <v>77088.8432718446</v>
      </c>
      <c r="N96" s="36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</f>
        <v>60873.9709607015</v>
      </c>
      <c r="O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$21,0))*(1+$BW96)</f>
        <v>39736.5171504354</v>
      </c>
      <c r="P96" s="36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</f>
        <v>34381.2039596104</v>
      </c>
      <c r="Q96" s="70">
        <v>1</v>
      </c>
      <c r="R96" s="38" t="s">
        <v>124</v>
      </c>
      <c r="S96" s="38" t="s">
        <v>104</v>
      </c>
      <c r="T96" s="38" t="s">
        <v>79</v>
      </c>
      <c r="U96" s="38" t="s">
        <v>79</v>
      </c>
      <c r="V96" s="38" t="s">
        <v>79</v>
      </c>
      <c r="W96" s="38" t="s">
        <v>79</v>
      </c>
      <c r="X96" s="38" t="s">
        <v>79</v>
      </c>
      <c r="Y96" s="38" t="s">
        <v>173</v>
      </c>
      <c r="Z96" s="38" t="s">
        <v>79</v>
      </c>
      <c r="AA96" s="38" t="s">
        <v>112</v>
      </c>
      <c r="AB96" s="38" t="s">
        <v>91</v>
      </c>
      <c r="AC96" s="38" t="s">
        <v>79</v>
      </c>
      <c r="AD96" s="38" t="s">
        <v>82</v>
      </c>
      <c r="AE96" s="38" t="s">
        <v>83</v>
      </c>
      <c r="AF96" s="38" t="s">
        <v>84</v>
      </c>
      <c r="AG96" s="38" t="s">
        <v>85</v>
      </c>
      <c r="AH96" s="38" t="s">
        <v>79</v>
      </c>
      <c r="AI96" s="38" t="s">
        <v>79</v>
      </c>
      <c r="AJ96" s="38" t="s">
        <v>79</v>
      </c>
      <c r="AK96" s="38" t="s">
        <v>79</v>
      </c>
      <c r="AL96" s="38" t="s">
        <v>79</v>
      </c>
      <c r="AM96" t="str">
        <f>VLOOKUP($R96,武学奇术!$A:$ZZ,25,FALSE)</f>
        <v>拳甲</v>
      </c>
      <c r="AN96" s="24">
        <f>VLOOKUP($R96,武学奇术!$A:$ZZ,26,FALSE)</f>
        <v>2.638944</v>
      </c>
      <c r="AO96" s="25">
        <f>VLOOKUP($R96,武学奇术!$A:$ZZ,27,FALSE)*(1+IF(OR($AM96=$F$4,$AM96=$F$5),$B$22,0))</f>
        <v>0</v>
      </c>
      <c r="AP96" s="24">
        <f>VLOOKUP($R96,武学奇术!$A:$ZZ,28,FALSE)</f>
        <v>3.958416</v>
      </c>
      <c r="AQ96" s="25">
        <f>VLOOKUP($R96,武学奇术!$A:$ZZ,29,FALSE)*(1+IF(OR($AM96=$F$4,$AM96=$F$5),$B$22,0))</f>
        <v>0</v>
      </c>
      <c r="AR96" s="24" cm="1">
        <f t="array" ref="AR96">$G$3+IFERROR(VLOOKUP($AM96,$F$4:$G$7,2,FALSE),0)+VLOOKUP($R96,武学奇术!$A:$ZZ,2,FALSE)+SUM(_xlfn.XLOOKUP($S96:$AL96,增益!$A:$A,增益!$B:$B,0))</f>
        <v>0.7041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3901.102</v>
      </c>
      <c r="AU96" cm="1">
        <f t="array" ref="AU96">$E$10*(1+$AS96)+VLOOKUP($R96,武学奇术!$A:$ZZ,4,FALSE)+SUM(_xlfn.XLOOKUP($S96:$AL96,增益!$A:$A,增益!$D:$D,0))-$I$2</f>
        <v>3901.102</v>
      </c>
      <c r="AV96" s="30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0.347</v>
      </c>
      <c r="AW96" s="30" cm="1">
        <f t="array" ref="AW96">$G$10+VLOOKUP($R96,武学奇术!$A:$ZZ,7,FALSE)+SUM(_xlfn.XLOOKUP($S96:$AL96,增益!$A:$A,增益!$G:$G,0))</f>
        <v>0.09</v>
      </c>
      <c r="AX96" s="24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0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0" cm="1">
        <f t="array" ref="BB96">$G$11+VLOOKUP($R96,武学奇术!$A:$ZZ,10,FALSE)+SUM(_xlfn.XLOOKUP($S96:$AL96,增益!$A:$A,增益!$J:$J,0))</f>
        <v>0</v>
      </c>
      <c r="BC96">
        <f t="shared" si="25"/>
        <v>0</v>
      </c>
      <c r="BD96">
        <f t="shared" si="26"/>
        <v>0</v>
      </c>
      <c r="BE96" s="30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0" cm="1">
        <f t="array" ref="BF96">$G$12+VLOOKUP($R96,武学奇术!$A:$ZZ,12,FALSE)+SUM(_xlfn.XLOOKUP($S96:$AL96,增益!$A:$A,增益!$L:$L,0))</f>
        <v>0</v>
      </c>
      <c r="BG96">
        <f t="shared" si="27"/>
        <v>0</v>
      </c>
      <c r="BH96">
        <f t="shared" si="28"/>
        <v>0</v>
      </c>
      <c r="BI96" s="30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0" cm="1">
        <f t="array" ref="BJ96">$G$13+VLOOKUP($R96,武学奇术!$A:$ZZ,14,FALSE)+SUM(_xlfn.XLOOKUP($S96:$AL96,增益!$A:$A,增益!$N:$N,0))</f>
        <v>0</v>
      </c>
      <c r="BK96">
        <f t="shared" si="29"/>
        <v>605.472</v>
      </c>
      <c r="BL96">
        <f t="shared" si="30"/>
        <v>1725.468</v>
      </c>
      <c r="BM96" s="30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0" cm="1">
        <f t="array" ref="BN96">$G$14+VLOOKUP($R96,武学奇术!$A:$ZZ,16,FALSE)+SUM(_xlfn.XLOOKUP($S96:$AL96,增益!$A:$A,增益!$P:$P,0))</f>
        <v>0.24</v>
      </c>
      <c r="BO96" s="24">
        <f>MIN(IF(VLOOKUP($R96,武学奇术!$A:$ZZ,23,FALSE)=1,100%,$B$8),100%)</f>
        <v>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0.9036</v>
      </c>
      <c r="BQ96" s="24" cm="1">
        <f t="array" ref="BQ96">1+$B$13+VLOOKUP($R96,武学奇术!$A:$ZZ,18,FALSE)+SUM(_xlfn.XLOOKUP($S96:$AL96,增益!$A:$A,增益!$R:$R,0))</f>
        <v>1.94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4" cm="1">
        <f t="array" ref="BS96">1+$B$14+VLOOKUP($R96,武学奇术!$A:$ZZ,20,FALSE)+SUM(_xlfn.XLOOKUP($S96:$AL96,增益!$A:$A,增益!$T:$T,0))</f>
        <v>1.35</v>
      </c>
      <c r="BT96" s="24">
        <f t="shared" si="31"/>
        <v>0.9036</v>
      </c>
      <c r="BU96" s="24">
        <f t="shared" si="32"/>
        <v>0.00350000000000006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0.11</v>
      </c>
      <c r="BX96" s="24" cm="1">
        <f t="array" ref="BX96">SUM(_xlfn.XLOOKUP($S96:$AL96,增益!$A:$A,增益!$X:$X,0))</f>
        <v>0</v>
      </c>
    </row>
    <row r="97" spans="1:76">
      <c r="A97" s="4" t="s">
        <v>183</v>
      </c>
      <c r="B97" s="4">
        <v>0.8</v>
      </c>
      <c r="E97" s="70"/>
      <c r="F97" s="70"/>
      <c r="G97" s="70"/>
      <c r="K97">
        <f>$L97*VLOOKUP($R97,武学奇术!$A:$ZZ,31,FALSE)</f>
        <v>34666.8503692904</v>
      </c>
      <c r="L97" s="36">
        <f t="shared" si="33"/>
        <v>34666.8503692904</v>
      </c>
      <c r="M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$21,0))*(1+$BW97)</f>
        <v>34971.9606222454</v>
      </c>
      <c r="N97" s="36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</f>
        <v>32201.8457396518</v>
      </c>
      <c r="O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$21,0))*(1+$BW97)</f>
        <v>21324.3662330765</v>
      </c>
      <c r="P97" s="36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</f>
        <v>18795.5133997442</v>
      </c>
      <c r="Q97" s="70">
        <v>1</v>
      </c>
      <c r="R97" s="38" t="s">
        <v>168</v>
      </c>
      <c r="S97" s="38" t="s">
        <v>104</v>
      </c>
      <c r="T97" s="38" t="s">
        <v>79</v>
      </c>
      <c r="U97" s="38" t="s">
        <v>79</v>
      </c>
      <c r="V97" s="38" t="s">
        <v>79</v>
      </c>
      <c r="W97" s="38" t="s">
        <v>79</v>
      </c>
      <c r="X97" s="38" t="s">
        <v>79</v>
      </c>
      <c r="Y97" s="38" t="s">
        <v>173</v>
      </c>
      <c r="Z97" s="38" t="s">
        <v>79</v>
      </c>
      <c r="AA97" s="38" t="s">
        <v>79</v>
      </c>
      <c r="AB97" s="38" t="s">
        <v>91</v>
      </c>
      <c r="AC97" s="38" t="s">
        <v>79</v>
      </c>
      <c r="AD97" s="38" t="s">
        <v>82</v>
      </c>
      <c r="AE97" s="38" t="s">
        <v>83</v>
      </c>
      <c r="AF97" s="38" t="s">
        <v>84</v>
      </c>
      <c r="AG97" s="38" t="s">
        <v>85</v>
      </c>
      <c r="AH97" s="38" t="s">
        <v>79</v>
      </c>
      <c r="AI97" s="38" t="s">
        <v>79</v>
      </c>
      <c r="AJ97" s="38" t="s">
        <v>79</v>
      </c>
      <c r="AK97" s="38" t="s">
        <v>79</v>
      </c>
      <c r="AL97" s="38" t="s">
        <v>79</v>
      </c>
      <c r="AM97" t="str">
        <f>VLOOKUP($R97,武学奇术!$A:$ZZ,25,FALSE)</f>
        <v>绳镖</v>
      </c>
      <c r="AN97" s="24">
        <f>VLOOKUP($R97,武学奇术!$A:$ZZ,26,FALSE)</f>
        <v>1.6584</v>
      </c>
      <c r="AO97" s="25">
        <f>VLOOKUP($R97,武学奇术!$A:$ZZ,27,FALSE)*(1+IF(OR($AM97=$F$4,$AM97=$F$5),$B$22,0))</f>
        <v>687</v>
      </c>
      <c r="AP97" s="24">
        <f>VLOOKUP($R97,武学奇术!$A:$ZZ,28,FALSE)</f>
        <v>2.4876</v>
      </c>
      <c r="AQ97" s="25">
        <f>VLOOKUP($R97,武学奇术!$A:$ZZ,29,FALSE)*(1+IF(OR($AM97=$F$4,$AM97=$F$5),$B$22,0))</f>
        <v>375</v>
      </c>
      <c r="AR97" s="24" cm="1">
        <f t="array" ref="AR97">$G$3+IFERROR(VLOOKUP($AM97,$F$4:$G$7,2,FALSE),0)+VLOOKUP($R97,武学奇术!$A:$ZZ,2,FALSE)+SUM(_xlfn.XLOOKUP($S97:$AL97,增益!$A:$A,增益!$B:$B,0))</f>
        <v>0.3189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3901.102</v>
      </c>
      <c r="AU97" cm="1">
        <f t="array" ref="AU97">$E$10*(1+$AS97)+VLOOKUP($R97,武学奇术!$A:$ZZ,4,FALSE)+SUM(_xlfn.XLOOKUP($S97:$AL97,增益!$A:$A,增益!$D:$D,0))-$I$2</f>
        <v>3901.102</v>
      </c>
      <c r="AV97" s="30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0.317</v>
      </c>
      <c r="AW97" s="30" cm="1">
        <f t="array" ref="AW97">$G$10+VLOOKUP($R97,武学奇术!$A:$ZZ,7,FALSE)+SUM(_xlfn.XLOOKUP($S97:$AL97,增益!$A:$A,增益!$G:$G,0))</f>
        <v>0.09</v>
      </c>
      <c r="AX97" s="24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0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0" cm="1">
        <f t="array" ref="BB97">$G$11+VLOOKUP($R97,武学奇术!$A:$ZZ,10,FALSE)+SUM(_xlfn.XLOOKUP($S97:$AL97,增益!$A:$A,增益!$J:$J,0))</f>
        <v>0</v>
      </c>
      <c r="BC97">
        <f t="shared" si="25"/>
        <v>0</v>
      </c>
      <c r="BD97">
        <f t="shared" si="26"/>
        <v>0</v>
      </c>
      <c r="BE97" s="30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0" cm="1">
        <f t="array" ref="BF97">$G$12+VLOOKUP($R97,武学奇术!$A:$ZZ,12,FALSE)+SUM(_xlfn.XLOOKUP($S97:$AL97,增益!$A:$A,增益!$L:$L,0))</f>
        <v>0</v>
      </c>
      <c r="BG97">
        <f t="shared" si="27"/>
        <v>0</v>
      </c>
      <c r="BH97">
        <f t="shared" si="28"/>
        <v>0</v>
      </c>
      <c r="BI97" s="30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0" cm="1">
        <f t="array" ref="BJ97">$G$13+VLOOKUP($R97,武学奇术!$A:$ZZ,14,FALSE)+SUM(_xlfn.XLOOKUP($S97:$AL97,增益!$A:$A,增益!$N:$N,0))</f>
        <v>0</v>
      </c>
      <c r="BK97">
        <f t="shared" si="29"/>
        <v>605.472</v>
      </c>
      <c r="BL97">
        <f t="shared" si="30"/>
        <v>1725.468</v>
      </c>
      <c r="BM97" s="30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0" cm="1">
        <f t="array" ref="BN97">$G$14+VLOOKUP($R97,武学奇术!$A:$ZZ,16,FALSE)+SUM(_xlfn.XLOOKUP($S97:$AL97,增益!$A:$A,增益!$P:$P,0))</f>
        <v>0.24</v>
      </c>
      <c r="BO97" s="24">
        <f>MIN(IF(VLOOKUP($R97,武学奇术!$A:$ZZ,23,FALSE)=1,100%,$B$8),100%)</f>
        <v>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0.9036</v>
      </c>
      <c r="BQ97" s="24" cm="1">
        <f t="array" ref="BQ97">1+$B$13+VLOOKUP($R97,武学奇术!$A:$ZZ,18,FALSE)+SUM(_xlfn.XLOOKUP($S97:$AL97,增益!$A:$A,增益!$R:$R,0))</f>
        <v>1.64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4" cm="1">
        <f t="array" ref="BS97">1+$B$14+VLOOKUP($R97,武学奇术!$A:$ZZ,20,FALSE)+SUM(_xlfn.XLOOKUP($S97:$AL97,增益!$A:$A,增益!$T:$T,0))</f>
        <v>1.35</v>
      </c>
      <c r="BT97" s="24">
        <f t="shared" si="31"/>
        <v>0.9036</v>
      </c>
      <c r="BU97" s="24">
        <f t="shared" si="32"/>
        <v>0.00350000000000006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</v>
      </c>
    </row>
    <row r="98" spans="1:76">
      <c r="A98" s="4" t="s">
        <v>184</v>
      </c>
      <c r="B98" s="4">
        <v>2.15</v>
      </c>
      <c r="E98" s="70"/>
      <c r="F98" s="70"/>
      <c r="G98" s="70"/>
      <c r="K98">
        <f>$L98*VLOOKUP($R98,武学奇术!$A:$ZZ,31,FALSE)</f>
        <v>93183.1971863812</v>
      </c>
      <c r="L98" s="36">
        <f t="shared" si="33"/>
        <v>71679.3824510625</v>
      </c>
      <c r="M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$21,0))*(1+$BW98)</f>
        <v>73234.6272946361</v>
      </c>
      <c r="N98" s="36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</f>
        <v>57830.4510229915</v>
      </c>
      <c r="O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$21,0))*(1+$BW98)</f>
        <v>37749.807883833</v>
      </c>
      <c r="P98" s="36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</f>
        <v>32662.2446395242</v>
      </c>
      <c r="Q98" s="70">
        <v>1</v>
      </c>
      <c r="R98" s="38" t="s">
        <v>117</v>
      </c>
      <c r="S98" s="38" t="s">
        <v>104</v>
      </c>
      <c r="T98" s="38" t="s">
        <v>79</v>
      </c>
      <c r="U98" s="38" t="s">
        <v>79</v>
      </c>
      <c r="V98" s="38" t="s">
        <v>79</v>
      </c>
      <c r="W98" s="38" t="s">
        <v>79</v>
      </c>
      <c r="X98" s="38" t="s">
        <v>79</v>
      </c>
      <c r="Y98" s="38" t="s">
        <v>173</v>
      </c>
      <c r="Z98" s="38" t="s">
        <v>79</v>
      </c>
      <c r="AA98" s="38" t="s">
        <v>112</v>
      </c>
      <c r="AB98" s="38" t="s">
        <v>91</v>
      </c>
      <c r="AC98" s="38" t="s">
        <v>79</v>
      </c>
      <c r="AD98" s="38" t="s">
        <v>82</v>
      </c>
      <c r="AE98" s="38" t="s">
        <v>83</v>
      </c>
      <c r="AF98" s="38" t="s">
        <v>84</v>
      </c>
      <c r="AG98" s="38" t="s">
        <v>85</v>
      </c>
      <c r="AH98" s="38" t="s">
        <v>79</v>
      </c>
      <c r="AI98" s="38" t="s">
        <v>79</v>
      </c>
      <c r="AJ98" s="38" t="s">
        <v>79</v>
      </c>
      <c r="AK98" s="38" t="s">
        <v>79</v>
      </c>
      <c r="AL98" s="38" t="s">
        <v>79</v>
      </c>
      <c r="AM98" t="str">
        <f>VLOOKUP($R98,武学奇术!$A:$ZZ,25,FALSE)</f>
        <v>绳镖</v>
      </c>
      <c r="AN98" s="24">
        <f>VLOOKUP($R98,武学奇术!$A:$ZZ,26,FALSE)</f>
        <v>2.638944</v>
      </c>
      <c r="AO98" s="25">
        <f>VLOOKUP($R98,武学奇术!$A:$ZZ,27,FALSE)*(1+IF(OR($AM98=$F$4,$AM98=$F$5),$B$22,0))</f>
        <v>0</v>
      </c>
      <c r="AP98" s="24">
        <f>VLOOKUP($R98,武学奇术!$A:$ZZ,28,FALSE)</f>
        <v>3.958416</v>
      </c>
      <c r="AQ98" s="25">
        <f>VLOOKUP($R98,武学奇术!$A:$ZZ,29,FALSE)*(1+IF(OR($AM98=$F$4,$AM98=$F$5),$B$22,0))</f>
        <v>0</v>
      </c>
      <c r="AR98" s="24" cm="1">
        <f t="array" ref="AR98">$G$3+IFERROR(VLOOKUP($AM98,$F$4:$G$7,2,FALSE),0)+VLOOKUP($R98,武学奇术!$A:$ZZ,2,FALSE)+SUM(_xlfn.XLOOKUP($S98:$AL98,增益!$A:$A,增益!$B:$B,0))</f>
        <v>0.6189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3901.102</v>
      </c>
      <c r="AU98" cm="1">
        <f t="array" ref="AU98">$E$10*(1+$AS98)+VLOOKUP($R98,武学奇术!$A:$ZZ,4,FALSE)+SUM(_xlfn.XLOOKUP($S98:$AL98,增益!$A:$A,增益!$D:$D,0))-$I$2</f>
        <v>3901.102</v>
      </c>
      <c r="AV98" s="30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0.347</v>
      </c>
      <c r="AW98" s="30" cm="1">
        <f t="array" ref="AW98">$G$10+VLOOKUP($R98,武学奇术!$A:$ZZ,7,FALSE)+SUM(_xlfn.XLOOKUP($S98:$AL98,增益!$A:$A,增益!$G:$G,0))</f>
        <v>0.09</v>
      </c>
      <c r="AX98" s="24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0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0" cm="1">
        <f t="array" ref="BB98">$G$11+VLOOKUP($R98,武学奇术!$A:$ZZ,10,FALSE)+SUM(_xlfn.XLOOKUP($S98:$AL98,增益!$A:$A,增益!$J:$J,0))</f>
        <v>0</v>
      </c>
      <c r="BC98">
        <f t="shared" si="25"/>
        <v>0</v>
      </c>
      <c r="BD98">
        <f t="shared" si="26"/>
        <v>0</v>
      </c>
      <c r="BE98" s="30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0" cm="1">
        <f t="array" ref="BF98">$G$12+VLOOKUP($R98,武学奇术!$A:$ZZ,12,FALSE)+SUM(_xlfn.XLOOKUP($S98:$AL98,增益!$A:$A,增益!$L:$L,0))</f>
        <v>0</v>
      </c>
      <c r="BG98">
        <f t="shared" si="27"/>
        <v>0</v>
      </c>
      <c r="BH98">
        <f t="shared" si="28"/>
        <v>0</v>
      </c>
      <c r="BI98" s="30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0" cm="1">
        <f t="array" ref="BJ98">$G$13+VLOOKUP($R98,武学奇术!$A:$ZZ,14,FALSE)+SUM(_xlfn.XLOOKUP($S98:$AL98,增益!$A:$A,增益!$N:$N,0))</f>
        <v>0</v>
      </c>
      <c r="BK98">
        <f t="shared" si="29"/>
        <v>605.472</v>
      </c>
      <c r="BL98">
        <f t="shared" si="30"/>
        <v>1725.468</v>
      </c>
      <c r="BM98" s="30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0" cm="1">
        <f t="array" ref="BN98">$G$14+VLOOKUP($R98,武学奇术!$A:$ZZ,16,FALSE)+SUM(_xlfn.XLOOKUP($S98:$AL98,增益!$A:$A,增益!$P:$P,0))</f>
        <v>0.24</v>
      </c>
      <c r="BO98" s="24">
        <f>MIN(IF(VLOOKUP($R98,武学奇术!$A:$ZZ,23,FALSE)=1,100%,$B$8),100%)</f>
        <v>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0.9036</v>
      </c>
      <c r="BQ98" s="24" cm="1">
        <f t="array" ref="BQ98">1+$B$13+VLOOKUP($R98,武学奇术!$A:$ZZ,18,FALSE)+SUM(_xlfn.XLOOKUP($S98:$AL98,增益!$A:$A,增益!$R:$R,0))</f>
        <v>1.94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4" cm="1">
        <f t="array" ref="BS98">1+$B$14+VLOOKUP($R98,武学奇术!$A:$ZZ,20,FALSE)+SUM(_xlfn.XLOOKUP($S98:$AL98,增益!$A:$A,增益!$T:$T,0))</f>
        <v>1.35</v>
      </c>
      <c r="BT98" s="24">
        <f t="shared" si="31"/>
        <v>0.9036</v>
      </c>
      <c r="BU98" s="24">
        <f t="shared" si="32"/>
        <v>0.00350000000000006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 cm="1">
        <f t="array" ref="BX98">SUM(_xlfn.XLOOKUP($S98:$AL98,增益!$A:$A,增益!$X:$X,0))</f>
        <v>0</v>
      </c>
    </row>
    <row r="99" spans="1:76">
      <c r="A99" t="s">
        <v>169</v>
      </c>
      <c r="B99">
        <v>0.1</v>
      </c>
      <c r="E99" s="70"/>
      <c r="F99" s="70"/>
      <c r="K99">
        <f>$L99*VLOOKUP($R99,武学奇术!$A:$ZZ,31,FALSE)</f>
        <v>26148.2687251752</v>
      </c>
      <c r="L99" s="36">
        <f t="shared" si="33"/>
        <v>26148.2687251752</v>
      </c>
      <c r="M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$21,0))*(1+$BW99)</f>
        <v>26378.5128165984</v>
      </c>
      <c r="N99" s="36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</f>
        <v>24287.9325885481</v>
      </c>
      <c r="O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$21,0))*(1+$BW99)</f>
        <v>16084.4590345112</v>
      </c>
      <c r="P99" s="36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</f>
        <v>14177.8568923201</v>
      </c>
      <c r="Q99" s="70">
        <v>1</v>
      </c>
      <c r="R99" s="38" t="s">
        <v>107</v>
      </c>
      <c r="S99" s="38" t="s">
        <v>104</v>
      </c>
      <c r="T99" s="38" t="s">
        <v>79</v>
      </c>
      <c r="U99" s="38" t="s">
        <v>79</v>
      </c>
      <c r="V99" s="38" t="s">
        <v>79</v>
      </c>
      <c r="W99" s="38" t="s">
        <v>79</v>
      </c>
      <c r="X99" s="38" t="s">
        <v>79</v>
      </c>
      <c r="Y99" s="38" t="s">
        <v>173</v>
      </c>
      <c r="Z99" s="38" t="s">
        <v>79</v>
      </c>
      <c r="AA99" s="38" t="s">
        <v>79</v>
      </c>
      <c r="AB99" s="38" t="s">
        <v>91</v>
      </c>
      <c r="AC99" s="38" t="s">
        <v>79</v>
      </c>
      <c r="AD99" s="38" t="s">
        <v>82</v>
      </c>
      <c r="AE99" s="38" t="s">
        <v>83</v>
      </c>
      <c r="AF99" s="38" t="s">
        <v>84</v>
      </c>
      <c r="AG99" s="38" t="s">
        <v>85</v>
      </c>
      <c r="AH99" s="38" t="s">
        <v>79</v>
      </c>
      <c r="AI99" s="38" t="s">
        <v>79</v>
      </c>
      <c r="AJ99" s="38" t="s">
        <v>79</v>
      </c>
      <c r="AK99" s="38" t="s">
        <v>79</v>
      </c>
      <c r="AL99" s="38" t="s">
        <v>79</v>
      </c>
      <c r="AM99" t="str">
        <f>VLOOKUP($R99,武学奇术!$A:$ZZ,25,FALSE)</f>
        <v>绳镖</v>
      </c>
      <c r="AN99" s="24">
        <f>VLOOKUP($R99,武学奇术!$A:$ZZ,26,FALSE)</f>
        <v>1.2503</v>
      </c>
      <c r="AO99" s="25">
        <f>VLOOKUP($R99,武学奇术!$A:$ZZ,27,FALSE)*(1+IF(OR($AM99=$F$4,$AM99=$F$5),$B$22,0))</f>
        <v>520.5</v>
      </c>
      <c r="AP99" s="24">
        <f>VLOOKUP($R99,武学奇术!$A:$ZZ,28,FALSE)</f>
        <v>1.8755</v>
      </c>
      <c r="AQ99" s="25">
        <f>VLOOKUP($R99,武学奇术!$A:$ZZ,29,FALSE)*(1+IF(OR($AM99=$F$4,$AM99=$F$5),$B$22,0))</f>
        <v>283.5</v>
      </c>
      <c r="AR99" s="24" cm="1">
        <f t="array" ref="AR99">$G$3+IFERROR(VLOOKUP($AM99,$F$4:$G$7,2,FALSE),0)+VLOOKUP($R99,武学奇术!$A:$ZZ,2,FALSE)+SUM(_xlfn.XLOOKUP($S99:$AL99,增益!$A:$A,增益!$B:$B,0))</f>
        <v>0.3189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3901.102</v>
      </c>
      <c r="AU99" cm="1">
        <f t="array" ref="AU99">$E$10*(1+$AS99)+VLOOKUP($R99,武学奇术!$A:$ZZ,4,FALSE)+SUM(_xlfn.XLOOKUP($S99:$AL99,增益!$A:$A,增益!$D:$D,0))-$I$2</f>
        <v>3901.102</v>
      </c>
      <c r="AV99" s="30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0.317</v>
      </c>
      <c r="AW99" s="30" cm="1">
        <f t="array" ref="AW99">$G$10+VLOOKUP($R99,武学奇术!$A:$ZZ,7,FALSE)+SUM(_xlfn.XLOOKUP($S99:$AL99,增益!$A:$A,增益!$G:$G,0))</f>
        <v>0.09</v>
      </c>
      <c r="AX99" s="24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0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0" cm="1">
        <f t="array" ref="BB99">$G$11+VLOOKUP($R99,武学奇术!$A:$ZZ,10,FALSE)+SUM(_xlfn.XLOOKUP($S99:$AL99,增益!$A:$A,增益!$J:$J,0))</f>
        <v>0</v>
      </c>
      <c r="BC99">
        <f t="shared" ref="BC99:BC136" si="36">$D$12*(1+$AX99)</f>
        <v>0</v>
      </c>
      <c r="BD99">
        <f t="shared" ref="BD99:BD136" si="37">$E$12*(1+$AX99)</f>
        <v>0</v>
      </c>
      <c r="BE99" s="30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0" cm="1">
        <f t="array" ref="BF99">$G$12+VLOOKUP($R99,武学奇术!$A:$ZZ,12,FALSE)+SUM(_xlfn.XLOOKUP($S99:$AL99,增益!$A:$A,增益!$L:$L,0))</f>
        <v>0</v>
      </c>
      <c r="BG99">
        <f t="shared" ref="BG99:BG136" si="38">$D$13*(1+$AX99)</f>
        <v>0</v>
      </c>
      <c r="BH99">
        <f t="shared" ref="BH99:BH136" si="39">$E$13*(1+$AX99)</f>
        <v>0</v>
      </c>
      <c r="BI99" s="30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0" cm="1">
        <f t="array" ref="BJ99">$G$13+VLOOKUP($R99,武学奇术!$A:$ZZ,14,FALSE)+SUM(_xlfn.XLOOKUP($S99:$AL99,增益!$A:$A,增益!$N:$N,0))</f>
        <v>0</v>
      </c>
      <c r="BK99">
        <f t="shared" ref="BK99:BK136" si="40">$D$14*(1+$AX99)</f>
        <v>605.472</v>
      </c>
      <c r="BL99">
        <f t="shared" ref="BL99:BL136" si="41">$E$14*(1+$AX99)</f>
        <v>1725.468</v>
      </c>
      <c r="BM99" s="30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0" cm="1">
        <f t="array" ref="BN99">$G$14+VLOOKUP($R99,武学奇术!$A:$ZZ,16,FALSE)+SUM(_xlfn.XLOOKUP($S99:$AL99,增益!$A:$A,增益!$P:$P,0))</f>
        <v>0.24</v>
      </c>
      <c r="BO99" s="24">
        <f>MIN(IF(VLOOKUP($R99,武学奇术!$A:$ZZ,23,FALSE)=1,100%,$B$8),100%)</f>
        <v>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0.9036</v>
      </c>
      <c r="BQ99" s="24" cm="1">
        <f t="array" ref="BQ99">1+$B$13+VLOOKUP($R99,武学奇术!$A:$ZZ,18,FALSE)+SUM(_xlfn.XLOOKUP($S99:$AL99,增益!$A:$A,增益!$R:$R,0))</f>
        <v>1.64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2">MIN((1-BR99)*BO99,BO99*BP99)</f>
        <v>0.9036</v>
      </c>
      <c r="BU99" s="24">
        <f t="shared" ref="BU99:BU136" si="43">1-BR99-BT99-BV99</f>
        <v>0.00350000000000006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:76">
      <c r="A100" s="4" t="s">
        <v>172</v>
      </c>
      <c r="B100" s="4">
        <v>0.9</v>
      </c>
      <c r="E100" s="70"/>
      <c r="F100" s="70"/>
      <c r="K100">
        <f>$L100*VLOOKUP($R100,武学奇术!$A:$ZZ,31,FALSE)</f>
        <v>77652.6643219844</v>
      </c>
      <c r="L100" s="36">
        <f t="shared" si="33"/>
        <v>59732.8187092187</v>
      </c>
      <c r="M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$21,0))*(1+$BW100)</f>
        <v>61028.8560788634</v>
      </c>
      <c r="N100" s="36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</f>
        <v>48192.0425191596</v>
      </c>
      <c r="O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$21,0))*(1+$BW100)</f>
        <v>31458.1732365275</v>
      </c>
      <c r="P100" s="36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</f>
        <v>27218.5371996035</v>
      </c>
      <c r="Q100" s="70">
        <v>1</v>
      </c>
      <c r="R100" s="38" t="s">
        <v>111</v>
      </c>
      <c r="S100" s="38" t="s">
        <v>104</v>
      </c>
      <c r="T100" s="38" t="s">
        <v>79</v>
      </c>
      <c r="U100" s="38" t="s">
        <v>79</v>
      </c>
      <c r="V100" s="38" t="s">
        <v>79</v>
      </c>
      <c r="W100" s="38" t="s">
        <v>79</v>
      </c>
      <c r="X100" s="38" t="s">
        <v>79</v>
      </c>
      <c r="Y100" s="38" t="s">
        <v>173</v>
      </c>
      <c r="Z100" s="38" t="s">
        <v>79</v>
      </c>
      <c r="AA100" s="38" t="s">
        <v>112</v>
      </c>
      <c r="AB100" s="38" t="s">
        <v>91</v>
      </c>
      <c r="AC100" s="38" t="s">
        <v>79</v>
      </c>
      <c r="AD100" s="38" t="s">
        <v>82</v>
      </c>
      <c r="AE100" s="38" t="s">
        <v>83</v>
      </c>
      <c r="AF100" s="38" t="s">
        <v>84</v>
      </c>
      <c r="AG100" s="38" t="s">
        <v>85</v>
      </c>
      <c r="AH100" s="38" t="s">
        <v>79</v>
      </c>
      <c r="AI100" s="38" t="s">
        <v>79</v>
      </c>
      <c r="AJ100" s="38" t="s">
        <v>79</v>
      </c>
      <c r="AK100" s="38" t="s">
        <v>79</v>
      </c>
      <c r="AL100" s="38" t="s">
        <v>79</v>
      </c>
      <c r="AM100" t="str">
        <f>VLOOKUP($R100,武学奇术!$A:$ZZ,25,FALSE)</f>
        <v>绳镖</v>
      </c>
      <c r="AN100" s="24">
        <f>VLOOKUP($R100,武学奇术!$A:$ZZ,26,FALSE)</f>
        <v>2.19912</v>
      </c>
      <c r="AO100" s="25">
        <f>VLOOKUP($R100,武学奇术!$A:$ZZ,27,FALSE)*(1+IF(OR($AM100=$F$4,$AM100=$F$5),$B$22,0))</f>
        <v>0</v>
      </c>
      <c r="AP100" s="24">
        <f>VLOOKUP($R100,武学奇术!$A:$ZZ,28,FALSE)</f>
        <v>3.29868</v>
      </c>
      <c r="AQ100" s="25">
        <f>VLOOKUP($R100,武学奇术!$A:$ZZ,29,FALSE)*(1+IF(OR($AM100=$F$4,$AM100=$F$5),$B$22,0))</f>
        <v>0</v>
      </c>
      <c r="AR100" s="24" cm="1">
        <f t="array" ref="AR100">$G$3+IFERROR(VLOOKUP($AM100,$F$4:$G$7,2,FALSE),0)+VLOOKUP($R100,武学奇术!$A:$ZZ,2,FALSE)+SUM(_xlfn.XLOOKUP($S100:$AL100,增益!$A:$A,增益!$B:$B,0))</f>
        <v>0.6189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3901.102</v>
      </c>
      <c r="AU100" cm="1">
        <f t="array" ref="AU100">$E$10*(1+$AS100)+VLOOKUP($R100,武学奇术!$A:$ZZ,4,FALSE)+SUM(_xlfn.XLOOKUP($S100:$AL100,增益!$A:$A,增益!$D:$D,0))-$I$2</f>
        <v>3901.102</v>
      </c>
      <c r="AV100" s="30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0.347</v>
      </c>
      <c r="AW100" s="30" cm="1">
        <f t="array" ref="AW100">$G$10+VLOOKUP($R100,武学奇术!$A:$ZZ,7,FALSE)+SUM(_xlfn.XLOOKUP($S100:$AL100,增益!$A:$A,增益!$G:$G,0))</f>
        <v>0.09</v>
      </c>
      <c r="AX100" s="24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0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-0.24</v>
      </c>
      <c r="BB100" s="30" cm="1">
        <f t="array" ref="BB100">$G$11+VLOOKUP($R100,武学奇术!$A:$ZZ,10,FALSE)+SUM(_xlfn.XLOOKUP($S100:$AL100,增益!$A:$A,增益!$J:$J,0))</f>
        <v>0</v>
      </c>
      <c r="BC100">
        <f t="shared" si="36"/>
        <v>0</v>
      </c>
      <c r="BD100">
        <f t="shared" si="37"/>
        <v>0</v>
      </c>
      <c r="BE100" s="30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-0.24</v>
      </c>
      <c r="BF100" s="30" cm="1">
        <f t="array" ref="BF100">$G$12+VLOOKUP($R100,武学奇术!$A:$ZZ,12,FALSE)+SUM(_xlfn.XLOOKUP($S100:$AL100,增益!$A:$A,增益!$L:$L,0))</f>
        <v>0</v>
      </c>
      <c r="BG100">
        <f t="shared" si="38"/>
        <v>0</v>
      </c>
      <c r="BH100">
        <f t="shared" si="39"/>
        <v>0</v>
      </c>
      <c r="BI100" s="30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-0.24</v>
      </c>
      <c r="BJ100" s="30" cm="1">
        <f t="array" ref="BJ100">$G$13+VLOOKUP($R100,武学奇术!$A:$ZZ,14,FALSE)+SUM(_xlfn.XLOOKUP($S100:$AL100,增益!$A:$A,增益!$N:$N,0))</f>
        <v>0</v>
      </c>
      <c r="BK100">
        <f t="shared" si="40"/>
        <v>605.472</v>
      </c>
      <c r="BL100">
        <f t="shared" si="41"/>
        <v>1725.468</v>
      </c>
      <c r="BM100" s="30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0.03</v>
      </c>
      <c r="BN100" s="30" cm="1">
        <f t="array" ref="BN100">$G$14+VLOOKUP($R100,武学奇术!$A:$ZZ,16,FALSE)+SUM(_xlfn.XLOOKUP($S100:$AL100,增益!$A:$A,增益!$P:$P,0))</f>
        <v>0.24</v>
      </c>
      <c r="BO100" s="24">
        <f>MIN(IF(VLOOKUP($R100,武学奇术!$A:$ZZ,23,FALSE)=1,100%,$B$8),100%)</f>
        <v>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0.9036</v>
      </c>
      <c r="BQ100" s="24" cm="1">
        <f t="array" ref="BQ100">1+$B$13+VLOOKUP($R100,武学奇术!$A:$ZZ,18,FALSE)+SUM(_xlfn.XLOOKUP($S100:$AL100,增益!$A:$A,增益!$R:$R,0))</f>
        <v>1.94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2"/>
        <v>0.9036</v>
      </c>
      <c r="BU100" s="24">
        <f t="shared" si="43"/>
        <v>0.00350000000000006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:76">
      <c r="A101" t="s">
        <v>174</v>
      </c>
      <c r="B101">
        <v>1</v>
      </c>
      <c r="F101" s="70"/>
      <c r="K101">
        <f>$L101*VLOOKUP($R101,武学奇术!$A:$ZZ,31,FALSE)</f>
        <v>123277.074126733</v>
      </c>
      <c r="L101" s="36">
        <f t="shared" si="33"/>
        <v>123277.074126733</v>
      </c>
      <c r="M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$21,0))*(1+$BW101)</f>
        <v>124257.785410725</v>
      </c>
      <c r="N101" s="36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</f>
        <v>115528.040166518</v>
      </c>
      <c r="O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$21,0))*(1+$BW101)</f>
        <v>75766.9423236126</v>
      </c>
      <c r="P101" s="36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</f>
        <v>65957.5585979523</v>
      </c>
      <c r="Q101" s="70">
        <v>1</v>
      </c>
      <c r="R101" s="38" t="s">
        <v>199</v>
      </c>
      <c r="S101" s="38" t="s">
        <v>104</v>
      </c>
      <c r="T101" s="38" t="s">
        <v>79</v>
      </c>
      <c r="U101" s="38" t="s">
        <v>79</v>
      </c>
      <c r="V101" s="38" t="s">
        <v>79</v>
      </c>
      <c r="W101" s="38" t="s">
        <v>79</v>
      </c>
      <c r="X101" s="38" t="s">
        <v>79</v>
      </c>
      <c r="Y101" s="38" t="s">
        <v>173</v>
      </c>
      <c r="Z101" s="38" t="s">
        <v>79</v>
      </c>
      <c r="AA101" s="38" t="s">
        <v>79</v>
      </c>
      <c r="AB101" s="38" t="s">
        <v>91</v>
      </c>
      <c r="AC101" s="38" t="s">
        <v>79</v>
      </c>
      <c r="AD101" s="38" t="s">
        <v>82</v>
      </c>
      <c r="AE101" s="38" t="s">
        <v>83</v>
      </c>
      <c r="AF101" s="38" t="s">
        <v>84</v>
      </c>
      <c r="AG101" s="38" t="s">
        <v>85</v>
      </c>
      <c r="AH101" s="38" t="s">
        <v>79</v>
      </c>
      <c r="AI101" s="38" t="s">
        <v>79</v>
      </c>
      <c r="AJ101" s="38" t="s">
        <v>79</v>
      </c>
      <c r="AK101" s="38" t="s">
        <v>79</v>
      </c>
      <c r="AL101" s="38" t="s">
        <v>79</v>
      </c>
      <c r="AM101" t="str">
        <f>VLOOKUP($R101,武学奇术!$A:$ZZ,25,FALSE)</f>
        <v>群体奇术</v>
      </c>
      <c r="AN101" s="24">
        <f>VLOOKUP($R101,武学奇术!$A:$ZZ,26,FALSE)</f>
        <v>6.87717</v>
      </c>
      <c r="AO101" s="25">
        <f>VLOOKUP($R101,武学奇术!$A:$ZZ,27,FALSE)*(1+IF(OR($AM101=$F$4,$AM101=$F$5),$B$22,0))</f>
        <v>1328.4</v>
      </c>
      <c r="AP101" s="24">
        <f>VLOOKUP($R101,武学奇术!$A:$ZZ,28,FALSE)</f>
        <v>10.315755</v>
      </c>
      <c r="AQ101" s="25">
        <f>VLOOKUP($R101,武学奇术!$A:$ZZ,29,FALSE)*(1+IF(OR($AM101=$F$4,$AM101=$F$5),$B$22,0))</f>
        <v>0</v>
      </c>
      <c r="AR101" s="24" cm="1">
        <f t="array" ref="AR101">$G$3+IFERROR(VLOOKUP($AM101,$F$4:$G$7,2,FALSE),0)+VLOOKUP($R101,武学奇术!$A:$ZZ,2,FALSE)+SUM(_xlfn.XLOOKUP($S101:$AL101,增益!$A:$A,增益!$B:$B,0))</f>
        <v>0.2337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3901.102</v>
      </c>
      <c r="AU101" cm="1">
        <f t="array" ref="AU101">$E$10*(1+$AS101)+VLOOKUP($R101,武学奇术!$A:$ZZ,4,FALSE)+SUM(_xlfn.XLOOKUP($S101:$AL101,增益!$A:$A,增益!$D:$D,0))-$I$2</f>
        <v>3901.102</v>
      </c>
      <c r="AV101" s="30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0.317</v>
      </c>
      <c r="AW101" s="30" cm="1">
        <f t="array" ref="AW101">$G$10+VLOOKUP($R101,武学奇术!$A:$ZZ,7,FALSE)+SUM(_xlfn.XLOOKUP($S101:$AL101,增益!$A:$A,增益!$G:$G,0))</f>
        <v>0.09</v>
      </c>
      <c r="AX101" s="24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0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0" cm="1">
        <f t="array" ref="BB101">$G$11+VLOOKUP($R101,武学奇术!$A:$ZZ,10,FALSE)+SUM(_xlfn.XLOOKUP($S101:$AL101,增益!$A:$A,增益!$J:$J,0))</f>
        <v>0</v>
      </c>
      <c r="BC101">
        <f t="shared" si="36"/>
        <v>0</v>
      </c>
      <c r="BD101">
        <f t="shared" si="37"/>
        <v>0</v>
      </c>
      <c r="BE101" s="30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0" cm="1">
        <f t="array" ref="BF101">$G$12+VLOOKUP($R101,武学奇术!$A:$ZZ,12,FALSE)+SUM(_xlfn.XLOOKUP($S101:$AL101,增益!$A:$A,增益!$L:$L,0))</f>
        <v>0</v>
      </c>
      <c r="BG101">
        <f t="shared" si="38"/>
        <v>0</v>
      </c>
      <c r="BH101">
        <f t="shared" si="39"/>
        <v>0</v>
      </c>
      <c r="BI101" s="30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0" cm="1">
        <f t="array" ref="BJ101">$G$13+VLOOKUP($R101,武学奇术!$A:$ZZ,14,FALSE)+SUM(_xlfn.XLOOKUP($S101:$AL101,增益!$A:$A,增益!$N:$N,0))</f>
        <v>0</v>
      </c>
      <c r="BK101">
        <f t="shared" si="40"/>
        <v>605.472</v>
      </c>
      <c r="BL101">
        <f t="shared" si="41"/>
        <v>1725.468</v>
      </c>
      <c r="BM101" s="30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0" cm="1">
        <f t="array" ref="BN101">$G$14+VLOOKUP($R101,武学奇术!$A:$ZZ,16,FALSE)+SUM(_xlfn.XLOOKUP($S101:$AL101,增益!$A:$A,增益!$P:$P,0))</f>
        <v>0.24</v>
      </c>
      <c r="BO101" s="24">
        <f>MIN(IF(VLOOKUP($R101,武学奇术!$A:$ZZ,23,FALSE)=1,100%,$B$8),100%)</f>
        <v>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0.9036</v>
      </c>
      <c r="BQ101" s="24" cm="1">
        <f t="array" ref="BQ101">1+$B$13+VLOOKUP($R101,武学奇术!$A:$ZZ,18,FALSE)+SUM(_xlfn.XLOOKUP($S101:$AL101,增益!$A:$A,增益!$R:$R,0))</f>
        <v>1.64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2"/>
        <v>0.9036</v>
      </c>
      <c r="BU101" s="24">
        <f t="shared" si="43"/>
        <v>0.00350000000000006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:76">
      <c r="A102" t="s">
        <v>169</v>
      </c>
      <c r="B102">
        <v>0.1</v>
      </c>
      <c r="F102" s="70"/>
      <c r="K102">
        <f>$L102*VLOOKUP($R102,武学奇术!$A:$ZZ,31,FALSE)</f>
        <v>828816.386451159</v>
      </c>
      <c r="L102" s="36">
        <f t="shared" si="33"/>
        <v>980847.794616756</v>
      </c>
      <c r="M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$21,0))*(1+$BW102)</f>
        <v>982848.44637056</v>
      </c>
      <c r="N102" s="36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</f>
        <v>620679.545496574</v>
      </c>
      <c r="O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$21,0))*(1+$BW102)</f>
        <v>411233.659569272</v>
      </c>
      <c r="P102" s="36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</f>
        <v>362704.692844786</v>
      </c>
      <c r="Q102" s="70">
        <v>1</v>
      </c>
      <c r="R102" s="38" t="s">
        <v>138</v>
      </c>
      <c r="S102" s="38" t="s">
        <v>104</v>
      </c>
      <c r="T102" s="38" t="s">
        <v>139</v>
      </c>
      <c r="U102" s="38" t="s">
        <v>79</v>
      </c>
      <c r="V102" s="38" t="s">
        <v>79</v>
      </c>
      <c r="W102" s="38" t="s">
        <v>79</v>
      </c>
      <c r="X102" s="38" t="s">
        <v>79</v>
      </c>
      <c r="Y102" s="38" t="s">
        <v>173</v>
      </c>
      <c r="Z102" s="38" t="s">
        <v>90</v>
      </c>
      <c r="AA102" s="38" t="s">
        <v>112</v>
      </c>
      <c r="AB102" s="38" t="s">
        <v>97</v>
      </c>
      <c r="AC102" s="38" t="s">
        <v>79</v>
      </c>
      <c r="AD102" s="38" t="s">
        <v>82</v>
      </c>
      <c r="AE102" s="38" t="s">
        <v>83</v>
      </c>
      <c r="AF102" s="38" t="s">
        <v>84</v>
      </c>
      <c r="AG102" s="38" t="s">
        <v>85</v>
      </c>
      <c r="AH102" s="38" t="s">
        <v>79</v>
      </c>
      <c r="AI102" s="38" t="s">
        <v>79</v>
      </c>
      <c r="AJ102" s="38" t="s">
        <v>79</v>
      </c>
      <c r="AK102" s="38" t="s">
        <v>79</v>
      </c>
      <c r="AL102" s="38" t="s">
        <v>79</v>
      </c>
      <c r="AM102" t="str">
        <f>VLOOKUP($R102,武学奇术!$A:$ZZ,25,FALSE)</f>
        <v>拳甲</v>
      </c>
      <c r="AN102" s="24">
        <f>VLOOKUP($R102,武学奇术!$A:$ZZ,26,FALSE)</f>
        <v>16.8107</v>
      </c>
      <c r="AO102" s="25">
        <f>VLOOKUP($R102,武学奇术!$A:$ZZ,27,FALSE)*(1+IF(OR($AM102=$F$4,$AM102=$F$5),$B$22,0))</f>
        <v>6970.5</v>
      </c>
      <c r="AP102" s="24">
        <f>VLOOKUP($R102,武学奇术!$A:$ZZ,28,FALSE)</f>
        <v>25.2161</v>
      </c>
      <c r="AQ102" s="25">
        <f>VLOOKUP($R102,武学奇术!$A:$ZZ,29,FALSE)*(1+IF(OR($AM102=$F$4,$AM102=$F$5),$B$22,0))</f>
        <v>3799.5</v>
      </c>
      <c r="AR102" s="24" cm="1">
        <f t="array" ref="AR102">$G$3+IFERROR(VLOOKUP($AM102,$F$4:$G$7,2,FALSE),0)+VLOOKUP($R102,武学奇术!$A:$ZZ,2,FALSE)+SUM(_xlfn.XLOOKUP($S102:$AL102,增益!$A:$A,增益!$B:$B,0))</f>
        <v>0.7041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3901.102</v>
      </c>
      <c r="AU102" cm="1">
        <f t="array" ref="AU102">$E$10*(1+$AS102)+VLOOKUP($R102,武学奇术!$A:$ZZ,4,FALSE)+SUM(_xlfn.XLOOKUP($S102:$AL102,增益!$A:$A,增益!$D:$D,0))-$I$2</f>
        <v>3901.102</v>
      </c>
      <c r="AV102" s="30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0.472</v>
      </c>
      <c r="AW102" s="30" cm="1">
        <f t="array" ref="AW102">$G$10+VLOOKUP($R102,武学奇术!$A:$ZZ,7,FALSE)+SUM(_xlfn.XLOOKUP($S102:$AL102,增益!$A:$A,增益!$G:$G,0))</f>
        <v>0.09</v>
      </c>
      <c r="AX102" s="24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0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-0.08</v>
      </c>
      <c r="BB102" s="30" cm="1">
        <f t="array" ref="BB102">$G$11+VLOOKUP($R102,武学奇术!$A:$ZZ,10,FALSE)+SUM(_xlfn.XLOOKUP($S102:$AL102,增益!$A:$A,增益!$J:$J,0))</f>
        <v>0</v>
      </c>
      <c r="BC102">
        <f t="shared" si="36"/>
        <v>0</v>
      </c>
      <c r="BD102">
        <f t="shared" si="37"/>
        <v>0</v>
      </c>
      <c r="BE102" s="30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-0.08</v>
      </c>
      <c r="BF102" s="30" cm="1">
        <f t="array" ref="BF102">$G$12+VLOOKUP($R102,武学奇术!$A:$ZZ,12,FALSE)+SUM(_xlfn.XLOOKUP($S102:$AL102,增益!$A:$A,增益!$L:$L,0))</f>
        <v>0</v>
      </c>
      <c r="BG102">
        <f t="shared" si="38"/>
        <v>0</v>
      </c>
      <c r="BH102">
        <f t="shared" si="39"/>
        <v>0</v>
      </c>
      <c r="BI102" s="30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-0.08</v>
      </c>
      <c r="BJ102" s="30" cm="1">
        <f t="array" ref="BJ102">$G$13+VLOOKUP($R102,武学奇术!$A:$ZZ,14,FALSE)+SUM(_xlfn.XLOOKUP($S102:$AL102,增益!$A:$A,增益!$N:$N,0))</f>
        <v>0</v>
      </c>
      <c r="BK102">
        <f t="shared" si="40"/>
        <v>605.472</v>
      </c>
      <c r="BL102">
        <f t="shared" si="41"/>
        <v>1725.468</v>
      </c>
      <c r="BM102" s="30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0.11</v>
      </c>
      <c r="BN102" s="30" cm="1">
        <f t="array" ref="BN102">$G$14+VLOOKUP($R102,武学奇术!$A:$ZZ,16,FALSE)+SUM(_xlfn.XLOOKUP($S102:$AL102,增益!$A:$A,增益!$P:$P,0))</f>
        <v>0.24</v>
      </c>
      <c r="BO102" s="24">
        <f>MIN(IF(VLOOKUP($R102,武学奇术!$A:$ZZ,23,FALSE)=1,100%,$B$8),100%)</f>
        <v>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0.9965</v>
      </c>
      <c r="BQ102" s="24" cm="1">
        <f t="array" ref="BQ102">1+$B$13+VLOOKUP($R102,武学奇术!$A:$ZZ,18,FALSE)+SUM(_xlfn.XLOOKUP($S102:$AL102,增益!$A:$A,增益!$R:$R,0))</f>
        <v>2.39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2"/>
        <v>0.9965</v>
      </c>
      <c r="BU102" s="24">
        <f t="shared" si="43"/>
        <v>0.00350000000000006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:76">
      <c r="A103" s="4" t="s">
        <v>179</v>
      </c>
      <c r="B103" s="4">
        <v>1</v>
      </c>
      <c r="F103" s="70"/>
      <c r="K103">
        <f>$L103*VLOOKUP($R103,武学奇术!$A:$ZZ,31,FALSE)</f>
        <v>196169.558923351</v>
      </c>
      <c r="L103" s="87">
        <f>L102*0.4*(1+BX103)</f>
        <v>392339.117846702</v>
      </c>
      <c r="M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$21,0))*(1+$BW103)</f>
        <v>0</v>
      </c>
      <c r="N103" s="36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</f>
        <v>0</v>
      </c>
      <c r="O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$21,0))*(1+$BW103)</f>
        <v>0</v>
      </c>
      <c r="P103" s="36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</f>
        <v>0</v>
      </c>
      <c r="Q103" s="70">
        <v>1</v>
      </c>
      <c r="R103" s="38" t="s">
        <v>145</v>
      </c>
      <c r="S103" s="38" t="s">
        <v>146</v>
      </c>
      <c r="T103" s="38" t="s">
        <v>79</v>
      </c>
      <c r="U103" s="38" t="s">
        <v>79</v>
      </c>
      <c r="V103" s="38" t="s">
        <v>79</v>
      </c>
      <c r="W103" s="38" t="s">
        <v>79</v>
      </c>
      <c r="X103" s="38" t="s">
        <v>79</v>
      </c>
      <c r="Y103" s="38" t="s">
        <v>79</v>
      </c>
      <c r="Z103" s="38" t="s">
        <v>79</v>
      </c>
      <c r="AA103" s="38" t="s">
        <v>79</v>
      </c>
      <c r="AB103" s="38" t="s">
        <v>79</v>
      </c>
      <c r="AC103" s="38" t="s">
        <v>79</v>
      </c>
      <c r="AD103" s="38" t="s">
        <v>82</v>
      </c>
      <c r="AE103" s="38" t="s">
        <v>83</v>
      </c>
      <c r="AF103" s="38" t="s">
        <v>84</v>
      </c>
      <c r="AG103" s="38" t="s">
        <v>85</v>
      </c>
      <c r="AH103" s="38" t="s">
        <v>79</v>
      </c>
      <c r="AI103" s="38" t="s">
        <v>79</v>
      </c>
      <c r="AJ103" s="38" t="s">
        <v>79</v>
      </c>
      <c r="AK103" s="38" t="s">
        <v>79</v>
      </c>
      <c r="AL103" s="38" t="s">
        <v>79</v>
      </c>
      <c r="AM103" t="str">
        <f>VLOOKUP($R103,武学奇术!$A:$ZZ,25,FALSE)</f>
        <v>拳甲</v>
      </c>
      <c r="AN103" s="24">
        <f>VLOOKUP($R103,武学奇术!$A:$ZZ,26,FALSE)</f>
        <v>0</v>
      </c>
      <c r="AO103" s="25">
        <f>VLOOKUP($R103,武学奇术!$A:$ZZ,27,FALSE)*(1+IF(OR($AM103=$F$4,$AM103=$F$5),$B$22,0))</f>
        <v>0</v>
      </c>
      <c r="AP103" s="24">
        <f>VLOOKUP($R103,武学奇术!$A:$ZZ,28,FALSE)</f>
        <v>0</v>
      </c>
      <c r="AQ103" s="25">
        <f>VLOOKUP($R103,武学奇术!$A:$ZZ,29,FALSE)*(1+IF(OR($AM103=$F$4,$AM103=$F$5),$B$22,0))</f>
        <v>0</v>
      </c>
      <c r="AR103" s="24" cm="1">
        <f t="array" ref="AR103">$G$3+IFERROR(VLOOKUP($AM103,$F$4:$G$7,2,FALSE),0)+VLOOKUP($R103,武学奇术!$A:$ZZ,2,FALSE)+SUM(_xlfn.XLOOKUP($S103:$AL103,增益!$A:$A,增益!$B:$B,0))</f>
        <v>0.3541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3901.102</v>
      </c>
      <c r="AU103" cm="1">
        <f t="array" ref="AU103">$E$10*(1+$AS103)+VLOOKUP($R103,武学奇术!$A:$ZZ,4,FALSE)+SUM(_xlfn.XLOOKUP($S103:$AL103,增益!$A:$A,增益!$D:$D,0))-$I$2</f>
        <v>3901.102</v>
      </c>
      <c r="AV103" s="30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0.267</v>
      </c>
      <c r="AW103" s="30" cm="1">
        <f t="array" ref="AW103">$G$10+VLOOKUP($R103,武学奇术!$A:$ZZ,7,FALSE)+SUM(_xlfn.XLOOKUP($S103:$AL103,增益!$A:$A,增益!$G:$G,0))</f>
        <v>0.09</v>
      </c>
      <c r="AX103" s="24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0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0" cm="1">
        <f t="array" ref="BB103">$G$11+VLOOKUP($R103,武学奇术!$A:$ZZ,10,FALSE)+SUM(_xlfn.XLOOKUP($S103:$AL103,增益!$A:$A,增益!$J:$J,0))</f>
        <v>0</v>
      </c>
      <c r="BC103">
        <f t="shared" si="36"/>
        <v>0</v>
      </c>
      <c r="BD103">
        <f t="shared" si="37"/>
        <v>0</v>
      </c>
      <c r="BE103" s="30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0" cm="1">
        <f t="array" ref="BF103">$G$12+VLOOKUP($R103,武学奇术!$A:$ZZ,12,FALSE)+SUM(_xlfn.XLOOKUP($S103:$AL103,增益!$A:$A,增益!$L:$L,0))</f>
        <v>0</v>
      </c>
      <c r="BG103">
        <f t="shared" si="38"/>
        <v>0</v>
      </c>
      <c r="BH103">
        <f t="shared" si="39"/>
        <v>0</v>
      </c>
      <c r="BI103" s="30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0" cm="1">
        <f t="array" ref="BJ103">$G$13+VLOOKUP($R103,武学奇术!$A:$ZZ,14,FALSE)+SUM(_xlfn.XLOOKUP($S103:$AL103,增益!$A:$A,增益!$N:$N,0))</f>
        <v>0</v>
      </c>
      <c r="BK103">
        <f t="shared" si="40"/>
        <v>605.472</v>
      </c>
      <c r="BL103">
        <f t="shared" si="41"/>
        <v>1725.468</v>
      </c>
      <c r="BM103" s="30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0" cm="1">
        <f t="array" ref="BN103">$G$14+VLOOKUP($R103,武学奇术!$A:$ZZ,16,FALSE)+SUM(_xlfn.XLOOKUP($S103:$AL103,增益!$A:$A,增益!$P:$P,0))</f>
        <v>0.24</v>
      </c>
      <c r="BO103" s="24">
        <f>MIN(IF(VLOOKUP($R103,武学奇术!$A:$ZZ,23,FALSE)=1,100%,$B$8),100%)</f>
        <v>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0.9036</v>
      </c>
      <c r="BQ103" s="24" cm="1">
        <f t="array" ref="BQ103">1+$B$13+VLOOKUP($R103,武学奇术!$A:$ZZ,18,FALSE)+SUM(_xlfn.XLOOKUP($S103:$AL103,增益!$A:$A,增益!$R:$R,0))</f>
        <v>1.54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2"/>
        <v>0.9036</v>
      </c>
      <c r="BU103" s="24">
        <f t="shared" si="43"/>
        <v>0.00350000000000006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:76">
      <c r="A104" s="4" t="s">
        <v>177</v>
      </c>
      <c r="B104" s="91">
        <v>1.16</v>
      </c>
      <c r="F104" s="70"/>
      <c r="K104">
        <f>$L104*VLOOKUP($R104,武学奇术!$A:$ZZ,31,FALSE)</f>
        <v>752575.878706042</v>
      </c>
      <c r="L104" s="36">
        <f t="shared" si="33"/>
        <v>752575.878706042</v>
      </c>
      <c r="M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$21,0))*(1+$BW104)</f>
        <v>758130.115648999</v>
      </c>
      <c r="N104" s="36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</f>
        <v>709489.188298615</v>
      </c>
      <c r="O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$21,0))*(1+$BW104)</f>
        <v>462274.460761585</v>
      </c>
      <c r="P104" s="36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</f>
        <v>399001.374635306</v>
      </c>
      <c r="Q104" s="70">
        <v>1</v>
      </c>
      <c r="R104" s="38" t="s">
        <v>200</v>
      </c>
      <c r="S104" s="38" t="s">
        <v>104</v>
      </c>
      <c r="T104" s="38" t="s">
        <v>79</v>
      </c>
      <c r="U104" s="38" t="s">
        <v>79</v>
      </c>
      <c r="V104" s="38" t="s">
        <v>79</v>
      </c>
      <c r="W104" s="38" t="s">
        <v>188</v>
      </c>
      <c r="X104" s="38" t="s">
        <v>189</v>
      </c>
      <c r="Y104" s="38" t="s">
        <v>173</v>
      </c>
      <c r="Z104" s="38" t="s">
        <v>90</v>
      </c>
      <c r="AA104" s="38" t="s">
        <v>79</v>
      </c>
      <c r="AB104" s="38" t="s">
        <v>97</v>
      </c>
      <c r="AC104" s="38" t="s">
        <v>79</v>
      </c>
      <c r="AD104" s="38" t="s">
        <v>82</v>
      </c>
      <c r="AE104" s="38" t="s">
        <v>83</v>
      </c>
      <c r="AF104" s="38" t="s">
        <v>84</v>
      </c>
      <c r="AG104" s="38" t="s">
        <v>85</v>
      </c>
      <c r="AH104" s="38" t="s">
        <v>79</v>
      </c>
      <c r="AI104" s="38" t="s">
        <v>79</v>
      </c>
      <c r="AJ104" s="38" t="s">
        <v>79</v>
      </c>
      <c r="AK104" s="38" t="s">
        <v>79</v>
      </c>
      <c r="AL104" s="38" t="s">
        <v>79</v>
      </c>
      <c r="AM104" t="str">
        <f>VLOOKUP($R104,武学奇术!$A:$ZZ,25,FALSE)</f>
        <v>单体奇术</v>
      </c>
      <c r="AN104" s="24">
        <f>VLOOKUP($R104,武学奇术!$A:$ZZ,26,FALSE)</f>
        <v>25.201792</v>
      </c>
      <c r="AO104" s="25">
        <f>VLOOKUP($R104,武学奇术!$A:$ZZ,27,FALSE)*(1+IF(OR($AM104=$F$4,$AM104=$F$5),$B$22,0))</f>
        <v>4869.48</v>
      </c>
      <c r="AP104" s="24">
        <f>VLOOKUP($R104,武学奇术!$A:$ZZ,28,FALSE)</f>
        <v>37.802688</v>
      </c>
      <c r="AQ104" s="25">
        <f>VLOOKUP($R104,武学奇术!$A:$ZZ,29,FALSE)*(1+IF(OR($AM104=$F$4,$AM104=$F$5),$B$22,0))</f>
        <v>0</v>
      </c>
      <c r="AR104" s="24" cm="1">
        <f t="array" ref="AR104">$G$3+IFERROR(VLOOKUP($AM104,$F$4:$G$7,2,FALSE),0)+VLOOKUP($R104,武学奇术!$A:$ZZ,2,FALSE)+SUM(_xlfn.XLOOKUP($S104:$AL104,增益!$A:$A,增益!$B:$B,0))</f>
        <v>0.7037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3901.102</v>
      </c>
      <c r="AU104" cm="1">
        <f t="array" ref="AU104">$E$10*(1+$AS104)+VLOOKUP($R104,武学奇术!$A:$ZZ,4,FALSE)+SUM(_xlfn.XLOOKUP($S104:$AL104,增益!$A:$A,增益!$D:$D,0))-$I$2</f>
        <v>3901.102</v>
      </c>
      <c r="AV104" s="30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0.317</v>
      </c>
      <c r="AW104" s="30" cm="1">
        <f t="array" ref="AW104">$G$10+VLOOKUP($R104,武学奇术!$A:$ZZ,7,FALSE)+SUM(_xlfn.XLOOKUP($S104:$AL104,增益!$A:$A,增益!$G:$G,0))</f>
        <v>0.09</v>
      </c>
      <c r="AX104" s="24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0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0" cm="1">
        <f t="array" ref="BB104">$G$11+VLOOKUP($R104,武学奇术!$A:$ZZ,10,FALSE)+SUM(_xlfn.XLOOKUP($S104:$AL104,增益!$A:$A,增益!$J:$J,0))</f>
        <v>0.1</v>
      </c>
      <c r="BC104">
        <f t="shared" si="36"/>
        <v>0</v>
      </c>
      <c r="BD104">
        <f t="shared" si="37"/>
        <v>0</v>
      </c>
      <c r="BE104" s="30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0" cm="1">
        <f t="array" ref="BF104">$G$12+VLOOKUP($R104,武学奇术!$A:$ZZ,12,FALSE)+SUM(_xlfn.XLOOKUP($S104:$AL104,增益!$A:$A,增益!$L:$L,0))</f>
        <v>0</v>
      </c>
      <c r="BG104">
        <f t="shared" si="38"/>
        <v>0</v>
      </c>
      <c r="BH104">
        <f t="shared" si="39"/>
        <v>0</v>
      </c>
      <c r="BI104" s="30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-0.14</v>
      </c>
      <c r="BJ104" s="30" cm="1">
        <f t="array" ref="BJ104">$G$13+VLOOKUP($R104,武学奇术!$A:$ZZ,14,FALSE)+SUM(_xlfn.XLOOKUP($S104:$AL104,增益!$A:$A,增益!$N:$N,0))</f>
        <v>0</v>
      </c>
      <c r="BK104">
        <f t="shared" si="40"/>
        <v>605.472</v>
      </c>
      <c r="BL104">
        <f t="shared" si="41"/>
        <v>1725.468</v>
      </c>
      <c r="BM104" s="30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0.08</v>
      </c>
      <c r="BN104" s="30" cm="1">
        <f t="array" ref="BN104">$G$14+VLOOKUP($R104,武学奇术!$A:$ZZ,16,FALSE)+SUM(_xlfn.XLOOKUP($S104:$AL104,增益!$A:$A,增益!$P:$P,0))</f>
        <v>0.24</v>
      </c>
      <c r="BO104" s="24">
        <f>MIN(IF(VLOOKUP($R104,武学奇术!$A:$ZZ,23,FALSE)=1,100%,$B$8),100%)</f>
        <v>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0.9036</v>
      </c>
      <c r="BQ104" s="24" cm="1">
        <f t="array" ref="BQ104">1+$B$13+VLOOKUP($R104,武学奇术!$A:$ZZ,18,FALSE)+SUM(_xlfn.XLOOKUP($S104:$AL104,增益!$A:$A,增益!$R:$R,0))</f>
        <v>1.64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2"/>
        <v>0.9036</v>
      </c>
      <c r="BU104" s="24">
        <f t="shared" si="43"/>
        <v>0.00350000000000006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0.31</v>
      </c>
      <c r="BX104" s="24" cm="1">
        <f t="array" ref="BX104">SUM(_xlfn.XLOOKUP($S104:$AL104,增益!$A:$A,增益!$X:$X,0))</f>
        <v>0</v>
      </c>
    </row>
    <row r="105" spans="1:76">
      <c r="A105" t="s">
        <v>166</v>
      </c>
      <c r="B105">
        <v>0.9</v>
      </c>
      <c r="K105">
        <f>$L105*VLOOKUP($R105,武学奇术!$A:$ZZ,31,FALSE)</f>
        <v>0</v>
      </c>
      <c r="L105" s="36">
        <f t="shared" si="33"/>
        <v>0</v>
      </c>
      <c r="M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$21,0))*(1+$BW105)</f>
        <v>0</v>
      </c>
      <c r="N105" s="36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</f>
        <v>0</v>
      </c>
      <c r="O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$21,0))*(1+$BW105)</f>
        <v>0</v>
      </c>
      <c r="P105" s="36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</f>
        <v>0</v>
      </c>
      <c r="Q105" s="70">
        <v>1</v>
      </c>
      <c r="R105" s="38" t="s">
        <v>79</v>
      </c>
      <c r="S105" s="38" t="s">
        <v>79</v>
      </c>
      <c r="T105" s="38" t="s">
        <v>79</v>
      </c>
      <c r="U105" s="38" t="s">
        <v>79</v>
      </c>
      <c r="V105" s="38" t="s">
        <v>79</v>
      </c>
      <c r="W105" s="38" t="s">
        <v>79</v>
      </c>
      <c r="X105" s="38" t="s">
        <v>79</v>
      </c>
      <c r="Y105" s="38" t="s">
        <v>79</v>
      </c>
      <c r="Z105" s="38" t="s">
        <v>79</v>
      </c>
      <c r="AA105" s="38" t="s">
        <v>79</v>
      </c>
      <c r="AB105" s="38" t="s">
        <v>79</v>
      </c>
      <c r="AC105" s="38" t="s">
        <v>79</v>
      </c>
      <c r="AD105" s="38" t="s">
        <v>82</v>
      </c>
      <c r="AE105" s="38" t="s">
        <v>83</v>
      </c>
      <c r="AF105" s="38" t="s">
        <v>84</v>
      </c>
      <c r="AG105" s="38" t="s">
        <v>85</v>
      </c>
      <c r="AH105" s="38" t="s">
        <v>79</v>
      </c>
      <c r="AI105" s="38" t="s">
        <v>79</v>
      </c>
      <c r="AJ105" s="38" t="s">
        <v>79</v>
      </c>
      <c r="AK105" s="38" t="s">
        <v>79</v>
      </c>
      <c r="AL105" s="38" t="s">
        <v>79</v>
      </c>
      <c r="AM105" t="str">
        <f>VLOOKUP($R105,武学奇术!$A:$ZZ,25,FALSE)</f>
        <v>心法</v>
      </c>
      <c r="AN105" s="24">
        <f>VLOOKUP($R105,武学奇术!$A:$ZZ,26,FALSE)</f>
        <v>0</v>
      </c>
      <c r="AO105" s="25">
        <f>VLOOKUP($R105,武学奇术!$A:$ZZ,27,FALSE)*(1+IF(OR($AM105=$F$4,$AM105=$F$5),$B$22,0))</f>
        <v>0</v>
      </c>
      <c r="AP105" s="24">
        <f>VLOOKUP($R105,武学奇术!$A:$ZZ,28,FALSE)</f>
        <v>0</v>
      </c>
      <c r="AQ105" s="25">
        <f>VLOOKUP($R105,武学奇术!$A:$ZZ,29,FALSE)*(1+IF(OR($AM105=$F$4,$AM105=$F$5),$B$22,0))</f>
        <v>0</v>
      </c>
      <c r="AR105" s="24" cm="1">
        <f t="array" ref="AR105">$G$3+IFERROR(VLOOKUP($AM105,$F$4:$G$7,2,FALSE),0)+VLOOKUP($R105,武学奇术!$A:$ZZ,2,FALSE)+SUM(_xlfn.XLOOKUP($S105:$AL105,增益!$A:$A,增益!$B:$B,0))</f>
        <v>0.1837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3901.102</v>
      </c>
      <c r="AU105" cm="1">
        <f t="array" ref="AU105">$E$10*(1+$AS105)+VLOOKUP($R105,武学奇术!$A:$ZZ,4,FALSE)+SUM(_xlfn.XLOOKUP($S105:$AL105,增益!$A:$A,增益!$D:$D,0))-$I$2</f>
        <v>3901.102</v>
      </c>
      <c r="AV105" s="30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0.267</v>
      </c>
      <c r="AW105" s="30" cm="1">
        <f t="array" ref="AW105">$G$10+VLOOKUP($R105,武学奇术!$A:$ZZ,7,FALSE)+SUM(_xlfn.XLOOKUP($S105:$AL105,增益!$A:$A,增益!$G:$G,0))</f>
        <v>0.09</v>
      </c>
      <c r="AX105" s="24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0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0" cm="1">
        <f t="array" ref="BB105">$G$11+VLOOKUP($R105,武学奇术!$A:$ZZ,10,FALSE)+SUM(_xlfn.XLOOKUP($S105:$AL105,增益!$A:$A,增益!$J:$J,0))</f>
        <v>0</v>
      </c>
      <c r="BC105">
        <f t="shared" si="36"/>
        <v>0</v>
      </c>
      <c r="BD105">
        <f t="shared" si="37"/>
        <v>0</v>
      </c>
      <c r="BE105" s="30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0" cm="1">
        <f t="array" ref="BF105">$G$12+VLOOKUP($R105,武学奇术!$A:$ZZ,12,FALSE)+SUM(_xlfn.XLOOKUP($S105:$AL105,增益!$A:$A,增益!$L:$L,0))</f>
        <v>0</v>
      </c>
      <c r="BG105">
        <f t="shared" si="38"/>
        <v>0</v>
      </c>
      <c r="BH105">
        <f t="shared" si="39"/>
        <v>0</v>
      </c>
      <c r="BI105" s="30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0" cm="1">
        <f t="array" ref="BJ105">$G$13+VLOOKUP($R105,武学奇术!$A:$ZZ,14,FALSE)+SUM(_xlfn.XLOOKUP($S105:$AL105,增益!$A:$A,增益!$N:$N,0))</f>
        <v>0</v>
      </c>
      <c r="BK105">
        <f t="shared" si="40"/>
        <v>605.472</v>
      </c>
      <c r="BL105">
        <f t="shared" si="41"/>
        <v>1725.468</v>
      </c>
      <c r="BM105" s="30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0" cm="1">
        <f t="array" ref="BN105">$G$14+VLOOKUP($R105,武学奇术!$A:$ZZ,16,FALSE)+SUM(_xlfn.XLOOKUP($S105:$AL105,增益!$A:$A,增益!$P:$P,0))</f>
        <v>0.24</v>
      </c>
      <c r="BO105" s="24">
        <f>MIN(IF(VLOOKUP($R105,武学奇术!$A:$ZZ,23,FALSE)=1,100%,$B$8),100%)</f>
        <v>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0.9036</v>
      </c>
      <c r="BQ105" s="24" cm="1">
        <f t="array" ref="BQ105">1+$B$13+VLOOKUP($R105,武学奇术!$A:$ZZ,18,FALSE)+SUM(_xlfn.XLOOKUP($S105:$AL105,增益!$A:$A,增益!$R:$R,0))</f>
        <v>1.54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2"/>
        <v>0.9036</v>
      </c>
      <c r="BU105" s="24">
        <f t="shared" si="43"/>
        <v>0.00350000000000006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:76">
      <c r="A106" t="s">
        <v>198</v>
      </c>
      <c r="B106">
        <v>30</v>
      </c>
      <c r="K106">
        <f>$L106*VLOOKUP($R106,武学奇术!$A:$ZZ,31,FALSE)</f>
        <v>0</v>
      </c>
      <c r="L106" s="36">
        <f t="shared" si="33"/>
        <v>0</v>
      </c>
      <c r="M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$21,0))*(1+$BW106)</f>
        <v>0</v>
      </c>
      <c r="N106" s="36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</f>
        <v>0</v>
      </c>
      <c r="O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$21,0))*(1+$BW106)</f>
        <v>0</v>
      </c>
      <c r="P106" s="36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</f>
        <v>0</v>
      </c>
      <c r="Q106" s="70">
        <v>1</v>
      </c>
      <c r="R106" s="38" t="s">
        <v>79</v>
      </c>
      <c r="S106" s="38" t="s">
        <v>79</v>
      </c>
      <c r="T106" s="38" t="s">
        <v>79</v>
      </c>
      <c r="U106" s="38" t="s">
        <v>79</v>
      </c>
      <c r="V106" s="38" t="s">
        <v>79</v>
      </c>
      <c r="W106" s="38" t="s">
        <v>79</v>
      </c>
      <c r="X106" s="38" t="s">
        <v>79</v>
      </c>
      <c r="Y106" s="38" t="s">
        <v>79</v>
      </c>
      <c r="Z106" s="38" t="s">
        <v>79</v>
      </c>
      <c r="AA106" s="38" t="s">
        <v>79</v>
      </c>
      <c r="AB106" s="38" t="s">
        <v>79</v>
      </c>
      <c r="AC106" s="38" t="s">
        <v>79</v>
      </c>
      <c r="AD106" s="38" t="s">
        <v>82</v>
      </c>
      <c r="AE106" s="38" t="s">
        <v>83</v>
      </c>
      <c r="AF106" s="38" t="s">
        <v>84</v>
      </c>
      <c r="AG106" s="38" t="s">
        <v>85</v>
      </c>
      <c r="AH106" s="38" t="s">
        <v>79</v>
      </c>
      <c r="AI106" s="38" t="s">
        <v>79</v>
      </c>
      <c r="AJ106" s="38" t="s">
        <v>79</v>
      </c>
      <c r="AK106" s="38" t="s">
        <v>79</v>
      </c>
      <c r="AL106" s="38" t="s">
        <v>79</v>
      </c>
      <c r="AM106" t="str">
        <f>VLOOKUP($R106,武学奇术!$A:$ZZ,25,FALSE)</f>
        <v>心法</v>
      </c>
      <c r="AN106" s="24">
        <f>VLOOKUP($R106,武学奇术!$A:$ZZ,26,FALSE)</f>
        <v>0</v>
      </c>
      <c r="AO106" s="25">
        <f>VLOOKUP($R106,武学奇术!$A:$ZZ,27,FALSE)*(1+IF(OR($AM106=$F$4,$AM106=$F$5),$B$22,0))</f>
        <v>0</v>
      </c>
      <c r="AP106" s="24">
        <f>VLOOKUP($R106,武学奇术!$A:$ZZ,28,FALSE)</f>
        <v>0</v>
      </c>
      <c r="AQ106" s="25">
        <f>VLOOKUP($R106,武学奇术!$A:$ZZ,29,FALSE)*(1+IF(OR($AM106=$F$4,$AM106=$F$5),$B$22,0))</f>
        <v>0</v>
      </c>
      <c r="AR106" s="24" cm="1">
        <f t="array" ref="AR106">$G$3+IFERROR(VLOOKUP($AM106,$F$4:$G$7,2,FALSE),0)+VLOOKUP($R106,武学奇术!$A:$ZZ,2,FALSE)+SUM(_xlfn.XLOOKUP($S106:$AL106,增益!$A:$A,增益!$B:$B,0))</f>
        <v>0.1837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3901.102</v>
      </c>
      <c r="AU106" cm="1">
        <f t="array" ref="AU106">$E$10*(1+$AS106)+VLOOKUP($R106,武学奇术!$A:$ZZ,4,FALSE)+SUM(_xlfn.XLOOKUP($S106:$AL106,增益!$A:$A,增益!$D:$D,0))-$I$2</f>
        <v>3901.102</v>
      </c>
      <c r="AV106" s="30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0.267</v>
      </c>
      <c r="AW106" s="30" cm="1">
        <f t="array" ref="AW106">$G$10+VLOOKUP($R106,武学奇术!$A:$ZZ,7,FALSE)+SUM(_xlfn.XLOOKUP($S106:$AL106,增益!$A:$A,增益!$G:$G,0))</f>
        <v>0.09</v>
      </c>
      <c r="AX106" s="24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0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0" cm="1">
        <f t="array" ref="BB106">$G$11+VLOOKUP($R106,武学奇术!$A:$ZZ,10,FALSE)+SUM(_xlfn.XLOOKUP($S106:$AL106,增益!$A:$A,增益!$J:$J,0))</f>
        <v>0</v>
      </c>
      <c r="BC106">
        <f t="shared" si="36"/>
        <v>0</v>
      </c>
      <c r="BD106">
        <f t="shared" si="37"/>
        <v>0</v>
      </c>
      <c r="BE106" s="30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0" cm="1">
        <f t="array" ref="BF106">$G$12+VLOOKUP($R106,武学奇术!$A:$ZZ,12,FALSE)+SUM(_xlfn.XLOOKUP($S106:$AL106,增益!$A:$A,增益!$L:$L,0))</f>
        <v>0</v>
      </c>
      <c r="BG106">
        <f t="shared" si="38"/>
        <v>0</v>
      </c>
      <c r="BH106">
        <f t="shared" si="39"/>
        <v>0</v>
      </c>
      <c r="BI106" s="30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0" cm="1">
        <f t="array" ref="BJ106">$G$13+VLOOKUP($R106,武学奇术!$A:$ZZ,14,FALSE)+SUM(_xlfn.XLOOKUP($S106:$AL106,增益!$A:$A,增益!$N:$N,0))</f>
        <v>0</v>
      </c>
      <c r="BK106">
        <f t="shared" si="40"/>
        <v>605.472</v>
      </c>
      <c r="BL106">
        <f t="shared" si="41"/>
        <v>1725.468</v>
      </c>
      <c r="BM106" s="30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0" cm="1">
        <f t="array" ref="BN106">$G$14+VLOOKUP($R106,武学奇术!$A:$ZZ,16,FALSE)+SUM(_xlfn.XLOOKUP($S106:$AL106,增益!$A:$A,增益!$P:$P,0))</f>
        <v>0.24</v>
      </c>
      <c r="BO106" s="24">
        <f>MIN(IF(VLOOKUP($R106,武学奇术!$A:$ZZ,23,FALSE)=1,100%,$B$8),100%)</f>
        <v>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0.9036</v>
      </c>
      <c r="BQ106" s="24" cm="1">
        <f t="array" ref="BQ106">1+$B$13+VLOOKUP($R106,武学奇术!$A:$ZZ,18,FALSE)+SUM(_xlfn.XLOOKUP($S106:$AL106,增益!$A:$A,增益!$R:$R,0))</f>
        <v>1.54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2"/>
        <v>0.9036</v>
      </c>
      <c r="BU106" s="24">
        <f t="shared" si="43"/>
        <v>0.00350000000000006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:76">
      <c r="A107" s="4" t="s">
        <v>195</v>
      </c>
      <c r="B107" s="4">
        <v>2</v>
      </c>
      <c r="K107">
        <f>$L107*VLOOKUP($R107,武学奇术!$A:$ZZ,31,FALSE)</f>
        <v>0</v>
      </c>
      <c r="L107" s="36">
        <f t="shared" si="33"/>
        <v>0</v>
      </c>
      <c r="M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$21,0))*(1+$BW107)</f>
        <v>0</v>
      </c>
      <c r="N107" s="36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</f>
        <v>0</v>
      </c>
      <c r="O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$21,0))*(1+$BW107)</f>
        <v>0</v>
      </c>
      <c r="P107" s="36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</f>
        <v>0</v>
      </c>
      <c r="Q107" s="70">
        <v>1</v>
      </c>
      <c r="R107" s="38" t="s">
        <v>79</v>
      </c>
      <c r="S107" s="38" t="s">
        <v>79</v>
      </c>
      <c r="T107" s="38" t="s">
        <v>79</v>
      </c>
      <c r="U107" s="38" t="s">
        <v>79</v>
      </c>
      <c r="V107" s="38" t="s">
        <v>79</v>
      </c>
      <c r="W107" s="38" t="s">
        <v>79</v>
      </c>
      <c r="X107" s="38" t="s">
        <v>79</v>
      </c>
      <c r="Y107" s="38" t="s">
        <v>79</v>
      </c>
      <c r="Z107" s="38" t="s">
        <v>79</v>
      </c>
      <c r="AA107" s="38" t="s">
        <v>79</v>
      </c>
      <c r="AB107" s="38" t="s">
        <v>79</v>
      </c>
      <c r="AC107" s="38" t="s">
        <v>79</v>
      </c>
      <c r="AD107" s="38" t="s">
        <v>82</v>
      </c>
      <c r="AE107" s="38" t="s">
        <v>83</v>
      </c>
      <c r="AF107" s="38" t="s">
        <v>84</v>
      </c>
      <c r="AG107" s="38" t="s">
        <v>85</v>
      </c>
      <c r="AH107" s="38" t="s">
        <v>79</v>
      </c>
      <c r="AI107" s="38" t="s">
        <v>79</v>
      </c>
      <c r="AJ107" s="38" t="s">
        <v>79</v>
      </c>
      <c r="AK107" s="38" t="s">
        <v>79</v>
      </c>
      <c r="AL107" s="38" t="s">
        <v>79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0.1837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3901.102</v>
      </c>
      <c r="AU107" cm="1">
        <f t="array" ref="AU107">$E$10*(1+$AS107)+VLOOKUP($R107,武学奇术!$A:$ZZ,4,FALSE)+SUM(_xlfn.XLOOKUP($S107:$AL107,增益!$A:$A,增益!$D:$D,0))-$I$2</f>
        <v>3901.102</v>
      </c>
      <c r="AV107" s="30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0.267</v>
      </c>
      <c r="AW107" s="30" cm="1">
        <f t="array" ref="AW107">$G$10+VLOOKUP($R107,武学奇术!$A:$ZZ,7,FALSE)+SUM(_xlfn.XLOOKUP($S107:$AL107,增益!$A:$A,增益!$G:$G,0))</f>
        <v>0.09</v>
      </c>
      <c r="AX107" s="24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0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0" cm="1">
        <f t="array" ref="BB107">$G$11+VLOOKUP($R107,武学奇术!$A:$ZZ,10,FALSE)+SUM(_xlfn.XLOOKUP($S107:$AL107,增益!$A:$A,增益!$J:$J,0))</f>
        <v>0</v>
      </c>
      <c r="BC107">
        <f t="shared" si="36"/>
        <v>0</v>
      </c>
      <c r="BD107">
        <f t="shared" si="37"/>
        <v>0</v>
      </c>
      <c r="BE107" s="30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0" cm="1">
        <f t="array" ref="BF107">$G$12+VLOOKUP($R107,武学奇术!$A:$ZZ,12,FALSE)+SUM(_xlfn.XLOOKUP($S107:$AL107,增益!$A:$A,增益!$L:$L,0))</f>
        <v>0</v>
      </c>
      <c r="BG107">
        <f t="shared" si="38"/>
        <v>0</v>
      </c>
      <c r="BH107">
        <f t="shared" si="39"/>
        <v>0</v>
      </c>
      <c r="BI107" s="30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0" cm="1">
        <f t="array" ref="BJ107">$G$13+VLOOKUP($R107,武学奇术!$A:$ZZ,14,FALSE)+SUM(_xlfn.XLOOKUP($S107:$AL107,增益!$A:$A,增益!$N:$N,0))</f>
        <v>0</v>
      </c>
      <c r="BK107">
        <f t="shared" si="40"/>
        <v>605.472</v>
      </c>
      <c r="BL107">
        <f t="shared" si="41"/>
        <v>1725.468</v>
      </c>
      <c r="BM107" s="30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0" cm="1">
        <f t="array" ref="BN107">$G$14+VLOOKUP($R107,武学奇术!$A:$ZZ,16,FALSE)+SUM(_xlfn.XLOOKUP($S107:$AL107,增益!$A:$A,增益!$P:$P,0))</f>
        <v>0.24</v>
      </c>
      <c r="BO107" s="24">
        <f>MIN(IF(VLOOKUP($R107,武学奇术!$A:$ZZ,23,FALSE)=1,100%,$B$8),100%)</f>
        <v>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0.9036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2"/>
        <v>0.9036</v>
      </c>
      <c r="BU107" s="24">
        <f t="shared" si="43"/>
        <v>0.00350000000000006</v>
      </c>
      <c r="BV107" s="24">
        <f>IF(VLOOKUP($R107,武学奇术!$A:$ZZ,22,FALSE)=1,0,(1-$BO107))*(1-$BR107)</f>
        <v>0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:76">
      <c r="A108" s="4" t="s">
        <v>172</v>
      </c>
      <c r="B108" s="4">
        <v>0.9</v>
      </c>
      <c r="F108" s="70" t="s">
        <v>175</v>
      </c>
      <c r="K108">
        <f>$L108*VLOOKUP($R108,武学奇术!$A:$ZZ,31,FALSE)</f>
        <v>0</v>
      </c>
      <c r="L108" s="36">
        <f t="shared" si="33"/>
        <v>0</v>
      </c>
      <c r="M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$21,0))*(1+$BW108)</f>
        <v>0</v>
      </c>
      <c r="N108" s="36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</f>
        <v>0</v>
      </c>
      <c r="O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$21,0))*(1+$BW108)</f>
        <v>0</v>
      </c>
      <c r="P108" s="36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</f>
        <v>0</v>
      </c>
      <c r="Q108" s="70">
        <v>1</v>
      </c>
      <c r="R108" s="38" t="s">
        <v>79</v>
      </c>
      <c r="S108" s="38" t="s">
        <v>79</v>
      </c>
      <c r="T108" s="38" t="s">
        <v>79</v>
      </c>
      <c r="U108" s="38" t="s">
        <v>79</v>
      </c>
      <c r="V108" s="38" t="s">
        <v>79</v>
      </c>
      <c r="W108" s="38" t="s">
        <v>79</v>
      </c>
      <c r="X108" s="38" t="s">
        <v>79</v>
      </c>
      <c r="Y108" s="38" t="s">
        <v>79</v>
      </c>
      <c r="Z108" s="38" t="s">
        <v>79</v>
      </c>
      <c r="AA108" s="38" t="s">
        <v>79</v>
      </c>
      <c r="AB108" s="38" t="s">
        <v>79</v>
      </c>
      <c r="AC108" s="38" t="s">
        <v>79</v>
      </c>
      <c r="AD108" s="38" t="s">
        <v>82</v>
      </c>
      <c r="AE108" s="38" t="s">
        <v>83</v>
      </c>
      <c r="AF108" s="38" t="s">
        <v>84</v>
      </c>
      <c r="AG108" s="38" t="s">
        <v>85</v>
      </c>
      <c r="AH108" s="38" t="s">
        <v>79</v>
      </c>
      <c r="AI108" s="38" t="s">
        <v>79</v>
      </c>
      <c r="AJ108" s="38" t="s">
        <v>79</v>
      </c>
      <c r="AK108" s="38" t="s">
        <v>79</v>
      </c>
      <c r="AL108" s="38" t="s">
        <v>79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0.1837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3901.102</v>
      </c>
      <c r="AU108" cm="1">
        <f t="array" ref="AU108">$E$10*(1+$AS108)+VLOOKUP($R108,武学奇术!$A:$ZZ,4,FALSE)+SUM(_xlfn.XLOOKUP($S108:$AL108,增益!$A:$A,增益!$D:$D,0))-$I$2</f>
        <v>3901.102</v>
      </c>
      <c r="AV108" s="30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0.267</v>
      </c>
      <c r="AW108" s="30" cm="1">
        <f t="array" ref="AW108">$G$10+VLOOKUP($R108,武学奇术!$A:$ZZ,7,FALSE)+SUM(_xlfn.XLOOKUP($S108:$AL108,增益!$A:$A,增益!$G:$G,0))</f>
        <v>0.09</v>
      </c>
      <c r="AX108" s="24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0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0" cm="1">
        <f t="array" ref="BB108">$G$11+VLOOKUP($R108,武学奇术!$A:$ZZ,10,FALSE)+SUM(_xlfn.XLOOKUP($S108:$AL108,增益!$A:$A,增益!$J:$J,0))</f>
        <v>0</v>
      </c>
      <c r="BC108">
        <f t="shared" si="36"/>
        <v>0</v>
      </c>
      <c r="BD108">
        <f t="shared" si="37"/>
        <v>0</v>
      </c>
      <c r="BE108" s="30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0" cm="1">
        <f t="array" ref="BF108">$G$12+VLOOKUP($R108,武学奇术!$A:$ZZ,12,FALSE)+SUM(_xlfn.XLOOKUP($S108:$AL108,增益!$A:$A,增益!$L:$L,0))</f>
        <v>0</v>
      </c>
      <c r="BG108">
        <f t="shared" si="38"/>
        <v>0</v>
      </c>
      <c r="BH108">
        <f t="shared" si="39"/>
        <v>0</v>
      </c>
      <c r="BI108" s="30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0" cm="1">
        <f t="array" ref="BJ108">$G$13+VLOOKUP($R108,武学奇术!$A:$ZZ,14,FALSE)+SUM(_xlfn.XLOOKUP($S108:$AL108,增益!$A:$A,增益!$N:$N,0))</f>
        <v>0</v>
      </c>
      <c r="BK108">
        <f t="shared" si="40"/>
        <v>605.472</v>
      </c>
      <c r="BL108">
        <f t="shared" si="41"/>
        <v>1725.468</v>
      </c>
      <c r="BM108" s="30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0" cm="1">
        <f t="array" ref="BN108">$G$14+VLOOKUP($R108,武学奇术!$A:$ZZ,16,FALSE)+SUM(_xlfn.XLOOKUP($S108:$AL108,增益!$A:$A,增益!$P:$P,0))</f>
        <v>0.24</v>
      </c>
      <c r="BO108" s="24">
        <f>MIN(IF(VLOOKUP($R108,武学奇术!$A:$ZZ,23,FALSE)=1,100%,$B$8),100%)</f>
        <v>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0.9036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2"/>
        <v>0.9036</v>
      </c>
      <c r="BU108" s="24">
        <f t="shared" si="43"/>
        <v>0.00350000000000006</v>
      </c>
      <c r="BV108" s="24">
        <f>IF(VLOOKUP($R108,武学奇术!$A:$ZZ,22,FALSE)=1,0,(1-$BO108))*(1-$BR108)</f>
        <v>0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</v>
      </c>
    </row>
    <row r="109" spans="1:76">
      <c r="A109" t="s">
        <v>190</v>
      </c>
      <c r="B109">
        <v>1.7</v>
      </c>
      <c r="F109" s="70"/>
      <c r="G109" s="70" t="s">
        <v>178</v>
      </c>
      <c r="K109">
        <f>$L109*VLOOKUP($R109,武学奇术!$A:$ZZ,31,FALSE)</f>
        <v>0</v>
      </c>
      <c r="L109" s="36">
        <f t="shared" si="33"/>
        <v>0</v>
      </c>
      <c r="M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$21,0))*(1+$BW109)</f>
        <v>0</v>
      </c>
      <c r="N109" s="36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</f>
        <v>0</v>
      </c>
      <c r="O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$21,0))*(1+$BW109)</f>
        <v>0</v>
      </c>
      <c r="P109" s="36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</f>
        <v>0</v>
      </c>
      <c r="Q109" s="70">
        <v>1</v>
      </c>
      <c r="R109" s="38" t="s">
        <v>79</v>
      </c>
      <c r="S109" s="38" t="s">
        <v>79</v>
      </c>
      <c r="T109" s="38" t="s">
        <v>79</v>
      </c>
      <c r="U109" s="38" t="s">
        <v>79</v>
      </c>
      <c r="V109" s="38" t="s">
        <v>79</v>
      </c>
      <c r="W109" s="38" t="s">
        <v>79</v>
      </c>
      <c r="X109" s="38" t="s">
        <v>79</v>
      </c>
      <c r="Y109" s="38" t="s">
        <v>79</v>
      </c>
      <c r="Z109" s="38" t="s">
        <v>79</v>
      </c>
      <c r="AA109" s="38" t="s">
        <v>79</v>
      </c>
      <c r="AB109" s="38" t="s">
        <v>79</v>
      </c>
      <c r="AC109" s="38" t="s">
        <v>79</v>
      </c>
      <c r="AD109" s="38" t="s">
        <v>82</v>
      </c>
      <c r="AE109" s="38" t="s">
        <v>83</v>
      </c>
      <c r="AF109" s="38" t="s">
        <v>84</v>
      </c>
      <c r="AG109" s="38" t="s">
        <v>85</v>
      </c>
      <c r="AH109" s="38" t="s">
        <v>79</v>
      </c>
      <c r="AI109" s="38" t="s">
        <v>79</v>
      </c>
      <c r="AJ109" s="38" t="s">
        <v>79</v>
      </c>
      <c r="AK109" s="38" t="s">
        <v>79</v>
      </c>
      <c r="AL109" s="38" t="s">
        <v>79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0.1837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3901.102</v>
      </c>
      <c r="AU109" cm="1">
        <f t="array" ref="AU109">$E$10*(1+$AS109)+VLOOKUP($R109,武学奇术!$A:$ZZ,4,FALSE)+SUM(_xlfn.XLOOKUP($S109:$AL109,增益!$A:$A,增益!$D:$D,0))-$I$2</f>
        <v>3901.102</v>
      </c>
      <c r="AV109" s="30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0.267</v>
      </c>
      <c r="AW109" s="30" cm="1">
        <f t="array" ref="AW109">$G$10+VLOOKUP($R109,武学奇术!$A:$ZZ,7,FALSE)+SUM(_xlfn.XLOOKUP($S109:$AL109,增益!$A:$A,增益!$G:$G,0))</f>
        <v>0.09</v>
      </c>
      <c r="AX109" s="24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0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0" cm="1">
        <f t="array" ref="BB109">$G$11+VLOOKUP($R109,武学奇术!$A:$ZZ,10,FALSE)+SUM(_xlfn.XLOOKUP($S109:$AL109,增益!$A:$A,增益!$J:$J,0))</f>
        <v>0</v>
      </c>
      <c r="BC109">
        <f t="shared" si="36"/>
        <v>0</v>
      </c>
      <c r="BD109">
        <f t="shared" si="37"/>
        <v>0</v>
      </c>
      <c r="BE109" s="30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0" cm="1">
        <f t="array" ref="BF109">$G$12+VLOOKUP($R109,武学奇术!$A:$ZZ,12,FALSE)+SUM(_xlfn.XLOOKUP($S109:$AL109,增益!$A:$A,增益!$L:$L,0))</f>
        <v>0</v>
      </c>
      <c r="BG109">
        <f t="shared" si="38"/>
        <v>0</v>
      </c>
      <c r="BH109">
        <f t="shared" si="39"/>
        <v>0</v>
      </c>
      <c r="BI109" s="30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0" cm="1">
        <f t="array" ref="BJ109">$G$13+VLOOKUP($R109,武学奇术!$A:$ZZ,14,FALSE)+SUM(_xlfn.XLOOKUP($S109:$AL109,增益!$A:$A,增益!$N:$N,0))</f>
        <v>0</v>
      </c>
      <c r="BK109">
        <f t="shared" si="40"/>
        <v>605.472</v>
      </c>
      <c r="BL109">
        <f t="shared" si="41"/>
        <v>1725.468</v>
      </c>
      <c r="BM109" s="30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0" cm="1">
        <f t="array" ref="BN109">$G$14+VLOOKUP($R109,武学奇术!$A:$ZZ,16,FALSE)+SUM(_xlfn.XLOOKUP($S109:$AL109,增益!$A:$A,增益!$P:$P,0))</f>
        <v>0.24</v>
      </c>
      <c r="BO109" s="24">
        <f>MIN(IF(VLOOKUP($R109,武学奇术!$A:$ZZ,23,FALSE)=1,100%,$B$8),100%)</f>
        <v>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0.9036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2"/>
        <v>0.9036</v>
      </c>
      <c r="BU109" s="24">
        <f t="shared" si="43"/>
        <v>0.00350000000000006</v>
      </c>
      <c r="BV109" s="24">
        <f>IF(VLOOKUP($R109,武学奇术!$A:$ZZ,22,FALSE)=1,0,(1-$BO109))*(1-$BR109)</f>
        <v>0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:76">
      <c r="A110" s="4" t="s">
        <v>180</v>
      </c>
      <c r="B110" s="4">
        <v>1</v>
      </c>
      <c r="F110" s="70"/>
      <c r="G110" s="70"/>
      <c r="K110">
        <f>$L110*VLOOKUP($R110,武学奇术!$A:$ZZ,31,FALSE)</f>
        <v>0</v>
      </c>
      <c r="L110" s="36">
        <f t="shared" si="33"/>
        <v>0</v>
      </c>
      <c r="M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$21,0))*(1+$BW110)</f>
        <v>0</v>
      </c>
      <c r="N110" s="36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</f>
        <v>0</v>
      </c>
      <c r="O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$21,0))*(1+$BW110)</f>
        <v>0</v>
      </c>
      <c r="P110" s="36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</f>
        <v>0</v>
      </c>
      <c r="Q110" s="70">
        <v>1</v>
      </c>
      <c r="R110" s="38" t="s">
        <v>79</v>
      </c>
      <c r="S110" s="38" t="s">
        <v>79</v>
      </c>
      <c r="T110" s="38" t="s">
        <v>79</v>
      </c>
      <c r="U110" s="38" t="s">
        <v>79</v>
      </c>
      <c r="V110" s="38" t="s">
        <v>79</v>
      </c>
      <c r="W110" s="38" t="s">
        <v>79</v>
      </c>
      <c r="X110" s="38" t="s">
        <v>79</v>
      </c>
      <c r="Y110" s="38" t="s">
        <v>79</v>
      </c>
      <c r="Z110" s="38" t="s">
        <v>79</v>
      </c>
      <c r="AA110" s="38" t="s">
        <v>79</v>
      </c>
      <c r="AB110" s="38" t="s">
        <v>79</v>
      </c>
      <c r="AC110" s="38" t="s">
        <v>79</v>
      </c>
      <c r="AD110" s="38" t="s">
        <v>82</v>
      </c>
      <c r="AE110" s="38" t="s">
        <v>83</v>
      </c>
      <c r="AF110" s="38" t="s">
        <v>84</v>
      </c>
      <c r="AG110" s="38" t="s">
        <v>85</v>
      </c>
      <c r="AH110" s="38" t="s">
        <v>79</v>
      </c>
      <c r="AI110" s="38" t="s">
        <v>79</v>
      </c>
      <c r="AJ110" s="38" t="s">
        <v>79</v>
      </c>
      <c r="AK110" s="38" t="s">
        <v>79</v>
      </c>
      <c r="AL110" s="38" t="s">
        <v>79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0.1837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3901.102</v>
      </c>
      <c r="AU110" cm="1">
        <f t="array" ref="AU110">$E$10*(1+$AS110)+VLOOKUP($R110,武学奇术!$A:$ZZ,4,FALSE)+SUM(_xlfn.XLOOKUP($S110:$AL110,增益!$A:$A,增益!$D:$D,0))-$I$2</f>
        <v>3901.102</v>
      </c>
      <c r="AV110" s="30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0.267</v>
      </c>
      <c r="AW110" s="30" cm="1">
        <f t="array" ref="AW110">$G$10+VLOOKUP($R110,武学奇术!$A:$ZZ,7,FALSE)+SUM(_xlfn.XLOOKUP($S110:$AL110,增益!$A:$A,增益!$G:$G,0))</f>
        <v>0.09</v>
      </c>
      <c r="AX110" s="24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0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0" cm="1">
        <f t="array" ref="BB110">$G$11+VLOOKUP($R110,武学奇术!$A:$ZZ,10,FALSE)+SUM(_xlfn.XLOOKUP($S110:$AL110,增益!$A:$A,增益!$J:$J,0))</f>
        <v>0</v>
      </c>
      <c r="BC110">
        <f t="shared" si="36"/>
        <v>0</v>
      </c>
      <c r="BD110">
        <f t="shared" si="37"/>
        <v>0</v>
      </c>
      <c r="BE110" s="30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0" cm="1">
        <f t="array" ref="BF110">$G$12+VLOOKUP($R110,武学奇术!$A:$ZZ,12,FALSE)+SUM(_xlfn.XLOOKUP($S110:$AL110,增益!$A:$A,增益!$L:$L,0))</f>
        <v>0</v>
      </c>
      <c r="BG110">
        <f t="shared" si="38"/>
        <v>0</v>
      </c>
      <c r="BH110">
        <f t="shared" si="39"/>
        <v>0</v>
      </c>
      <c r="BI110" s="30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0" cm="1">
        <f t="array" ref="BJ110">$G$13+VLOOKUP($R110,武学奇术!$A:$ZZ,14,FALSE)+SUM(_xlfn.XLOOKUP($S110:$AL110,增益!$A:$A,增益!$N:$N,0))</f>
        <v>0</v>
      </c>
      <c r="BK110">
        <f t="shared" si="40"/>
        <v>605.472</v>
      </c>
      <c r="BL110">
        <f t="shared" si="41"/>
        <v>1725.468</v>
      </c>
      <c r="BM110" s="30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0" cm="1">
        <f t="array" ref="BN110">$G$14+VLOOKUP($R110,武学奇术!$A:$ZZ,16,FALSE)+SUM(_xlfn.XLOOKUP($S110:$AL110,增益!$A:$A,增益!$P:$P,0))</f>
        <v>0.24</v>
      </c>
      <c r="BO110" s="24">
        <f>MIN(IF(VLOOKUP($R110,武学奇术!$A:$ZZ,23,FALSE)=1,100%,$B$8),100%)</f>
        <v>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0.9036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2"/>
        <v>0.9036</v>
      </c>
      <c r="BU110" s="24">
        <f t="shared" si="43"/>
        <v>0.00350000000000006</v>
      </c>
      <c r="BV110" s="24">
        <f>IF(VLOOKUP($R110,武学奇术!$A:$ZZ,22,FALSE)=1,0,(1-$BO110))*(1-$BR110)</f>
        <v>0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:76">
      <c r="A111" s="4" t="s">
        <v>182</v>
      </c>
      <c r="B111" s="91">
        <v>0.7</v>
      </c>
      <c r="E111" s="70" t="s">
        <v>181</v>
      </c>
      <c r="F111" s="70"/>
      <c r="G111" s="70"/>
      <c r="K111">
        <f>$L111*VLOOKUP($R111,武学奇术!$A:$ZZ,31,FALSE)</f>
        <v>0</v>
      </c>
      <c r="L111" s="36">
        <f t="shared" si="33"/>
        <v>0</v>
      </c>
      <c r="M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$21,0))*(1+$BW111)</f>
        <v>0</v>
      </c>
      <c r="N111" s="36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</f>
        <v>0</v>
      </c>
      <c r="O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$21,0))*(1+$BW111)</f>
        <v>0</v>
      </c>
      <c r="P111" s="36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</f>
        <v>0</v>
      </c>
      <c r="Q111" s="70">
        <v>1</v>
      </c>
      <c r="R111" s="38" t="s">
        <v>79</v>
      </c>
      <c r="S111" s="38" t="s">
        <v>79</v>
      </c>
      <c r="T111" s="38" t="s">
        <v>79</v>
      </c>
      <c r="U111" s="38" t="s">
        <v>79</v>
      </c>
      <c r="V111" s="38" t="s">
        <v>79</v>
      </c>
      <c r="W111" s="38" t="s">
        <v>79</v>
      </c>
      <c r="X111" s="38" t="s">
        <v>79</v>
      </c>
      <c r="Y111" s="38" t="s">
        <v>79</v>
      </c>
      <c r="Z111" s="38" t="s">
        <v>79</v>
      </c>
      <c r="AA111" s="38" t="s">
        <v>79</v>
      </c>
      <c r="AB111" s="38" t="s">
        <v>79</v>
      </c>
      <c r="AC111" s="38" t="s">
        <v>79</v>
      </c>
      <c r="AD111" s="38" t="s">
        <v>82</v>
      </c>
      <c r="AE111" s="38" t="s">
        <v>83</v>
      </c>
      <c r="AF111" s="38" t="s">
        <v>84</v>
      </c>
      <c r="AG111" s="38" t="s">
        <v>85</v>
      </c>
      <c r="AH111" s="38" t="s">
        <v>79</v>
      </c>
      <c r="AI111" s="38" t="s">
        <v>79</v>
      </c>
      <c r="AJ111" s="38" t="s">
        <v>79</v>
      </c>
      <c r="AK111" s="38" t="s">
        <v>79</v>
      </c>
      <c r="AL111" s="38" t="s">
        <v>79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0.1837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3901.102</v>
      </c>
      <c r="AU111" cm="1">
        <f t="array" ref="AU111">$E$10*(1+$AS111)+VLOOKUP($R111,武学奇术!$A:$ZZ,4,FALSE)+SUM(_xlfn.XLOOKUP($S111:$AL111,增益!$A:$A,增益!$D:$D,0))-$I$2</f>
        <v>3901.102</v>
      </c>
      <c r="AV111" s="30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0.267</v>
      </c>
      <c r="AW111" s="30" cm="1">
        <f t="array" ref="AW111">$G$10+VLOOKUP($R111,武学奇术!$A:$ZZ,7,FALSE)+SUM(_xlfn.XLOOKUP($S111:$AL111,增益!$A:$A,增益!$G:$G,0))</f>
        <v>0.09</v>
      </c>
      <c r="AX111" s="24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0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0" cm="1">
        <f t="array" ref="BB111">$G$11+VLOOKUP($R111,武学奇术!$A:$ZZ,10,FALSE)+SUM(_xlfn.XLOOKUP($S111:$AL111,增益!$A:$A,增益!$J:$J,0))</f>
        <v>0</v>
      </c>
      <c r="BC111">
        <f t="shared" si="36"/>
        <v>0</v>
      </c>
      <c r="BD111">
        <f t="shared" si="37"/>
        <v>0</v>
      </c>
      <c r="BE111" s="30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0" cm="1">
        <f t="array" ref="BF111">$G$12+VLOOKUP($R111,武学奇术!$A:$ZZ,12,FALSE)+SUM(_xlfn.XLOOKUP($S111:$AL111,增益!$A:$A,增益!$L:$L,0))</f>
        <v>0</v>
      </c>
      <c r="BG111">
        <f t="shared" si="38"/>
        <v>0</v>
      </c>
      <c r="BH111">
        <f t="shared" si="39"/>
        <v>0</v>
      </c>
      <c r="BI111" s="30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0" cm="1">
        <f t="array" ref="BJ111">$G$13+VLOOKUP($R111,武学奇术!$A:$ZZ,14,FALSE)+SUM(_xlfn.XLOOKUP($S111:$AL111,增益!$A:$A,增益!$N:$N,0))</f>
        <v>0</v>
      </c>
      <c r="BK111">
        <f t="shared" si="40"/>
        <v>605.472</v>
      </c>
      <c r="BL111">
        <f t="shared" si="41"/>
        <v>1725.468</v>
      </c>
      <c r="BM111" s="30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0" cm="1">
        <f t="array" ref="BN111">$G$14+VLOOKUP($R111,武学奇术!$A:$ZZ,16,FALSE)+SUM(_xlfn.XLOOKUP($S111:$AL111,增益!$A:$A,增益!$P:$P,0))</f>
        <v>0.24</v>
      </c>
      <c r="BO111" s="24">
        <f>MIN(IF(VLOOKUP($R111,武学奇术!$A:$ZZ,23,FALSE)=1,100%,$B$8),100%)</f>
        <v>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0.9036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2"/>
        <v>0.9036</v>
      </c>
      <c r="BU111" s="24">
        <f t="shared" si="43"/>
        <v>0.00350000000000006</v>
      </c>
      <c r="BV111" s="24">
        <f>IF(VLOOKUP($R111,武学奇术!$A:$ZZ,22,FALSE)=1,0,(1-$BO111))*(1-$BR111)</f>
        <v>0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:76">
      <c r="A112" s="4" t="s">
        <v>183</v>
      </c>
      <c r="B112" s="4">
        <v>0.8</v>
      </c>
      <c r="E112" s="70"/>
      <c r="F112" s="70"/>
      <c r="G112" s="70"/>
      <c r="K112">
        <f>$L112*VLOOKUP($R112,武学奇术!$A:$ZZ,31,FALSE)</f>
        <v>0</v>
      </c>
      <c r="L112" s="36">
        <f t="shared" si="33"/>
        <v>0</v>
      </c>
      <c r="M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$21,0))*(1+$BW112)</f>
        <v>0</v>
      </c>
      <c r="N112" s="36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</f>
        <v>0</v>
      </c>
      <c r="O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$21,0))*(1+$BW112)</f>
        <v>0</v>
      </c>
      <c r="P112" s="36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</f>
        <v>0</v>
      </c>
      <c r="Q112" s="70">
        <v>1</v>
      </c>
      <c r="R112" s="38" t="s">
        <v>79</v>
      </c>
      <c r="S112" s="38" t="s">
        <v>79</v>
      </c>
      <c r="T112" s="38" t="s">
        <v>79</v>
      </c>
      <c r="U112" s="38" t="s">
        <v>79</v>
      </c>
      <c r="V112" s="38" t="s">
        <v>79</v>
      </c>
      <c r="W112" s="38" t="s">
        <v>79</v>
      </c>
      <c r="X112" s="38" t="s">
        <v>79</v>
      </c>
      <c r="Y112" s="38" t="s">
        <v>79</v>
      </c>
      <c r="Z112" s="38" t="s">
        <v>79</v>
      </c>
      <c r="AA112" s="38" t="s">
        <v>79</v>
      </c>
      <c r="AB112" s="38" t="s">
        <v>79</v>
      </c>
      <c r="AC112" s="38" t="s">
        <v>79</v>
      </c>
      <c r="AD112" s="38" t="s">
        <v>82</v>
      </c>
      <c r="AE112" s="38" t="s">
        <v>83</v>
      </c>
      <c r="AF112" s="38" t="s">
        <v>84</v>
      </c>
      <c r="AG112" s="38" t="s">
        <v>85</v>
      </c>
      <c r="AH112" s="38" t="s">
        <v>79</v>
      </c>
      <c r="AI112" s="38" t="s">
        <v>79</v>
      </c>
      <c r="AJ112" s="38" t="s">
        <v>79</v>
      </c>
      <c r="AK112" s="38" t="s">
        <v>79</v>
      </c>
      <c r="AL112" s="38" t="s">
        <v>79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0.1837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3901.102</v>
      </c>
      <c r="AU112" cm="1">
        <f t="array" ref="AU112">$E$10*(1+$AS112)+VLOOKUP($R112,武学奇术!$A:$ZZ,4,FALSE)+SUM(_xlfn.XLOOKUP($S112:$AL112,增益!$A:$A,增益!$D:$D,0))-$I$2</f>
        <v>3901.102</v>
      </c>
      <c r="AV112" s="30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0.267</v>
      </c>
      <c r="AW112" s="30" cm="1">
        <f t="array" ref="AW112">$G$10+VLOOKUP($R112,武学奇术!$A:$ZZ,7,FALSE)+SUM(_xlfn.XLOOKUP($S112:$AL112,增益!$A:$A,增益!$G:$G,0))</f>
        <v>0.09</v>
      </c>
      <c r="AX112" s="24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0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0" cm="1">
        <f t="array" ref="BB112">$G$11+VLOOKUP($R112,武学奇术!$A:$ZZ,10,FALSE)+SUM(_xlfn.XLOOKUP($S112:$AL112,增益!$A:$A,增益!$J:$J,0))</f>
        <v>0</v>
      </c>
      <c r="BC112">
        <f t="shared" si="36"/>
        <v>0</v>
      </c>
      <c r="BD112">
        <f t="shared" si="37"/>
        <v>0</v>
      </c>
      <c r="BE112" s="30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0" cm="1">
        <f t="array" ref="BF112">$G$12+VLOOKUP($R112,武学奇术!$A:$ZZ,12,FALSE)+SUM(_xlfn.XLOOKUP($S112:$AL112,增益!$A:$A,增益!$L:$L,0))</f>
        <v>0</v>
      </c>
      <c r="BG112">
        <f t="shared" si="38"/>
        <v>0</v>
      </c>
      <c r="BH112">
        <f t="shared" si="39"/>
        <v>0</v>
      </c>
      <c r="BI112" s="30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0" cm="1">
        <f t="array" ref="BJ112">$G$13+VLOOKUP($R112,武学奇术!$A:$ZZ,14,FALSE)+SUM(_xlfn.XLOOKUP($S112:$AL112,增益!$A:$A,增益!$N:$N,0))</f>
        <v>0</v>
      </c>
      <c r="BK112">
        <f t="shared" si="40"/>
        <v>605.472</v>
      </c>
      <c r="BL112">
        <f t="shared" si="41"/>
        <v>1725.468</v>
      </c>
      <c r="BM112" s="30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0" cm="1">
        <f t="array" ref="BN112">$G$14+VLOOKUP($R112,武学奇术!$A:$ZZ,16,FALSE)+SUM(_xlfn.XLOOKUP($S112:$AL112,增益!$A:$A,增益!$P:$P,0))</f>
        <v>0.24</v>
      </c>
      <c r="BO112" s="24">
        <f>MIN(IF(VLOOKUP($R112,武学奇术!$A:$ZZ,23,FALSE)=1,100%,$B$8),100%)</f>
        <v>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0.9036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2"/>
        <v>0.9036</v>
      </c>
      <c r="BU112" s="24">
        <f t="shared" si="43"/>
        <v>0.00350000000000006</v>
      </c>
      <c r="BV112" s="24">
        <f>IF(VLOOKUP($R112,武学奇术!$A:$ZZ,22,FALSE)=1,0,(1-$BO112))*(1-$BR112)</f>
        <v>0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:76">
      <c r="A113" s="4" t="s">
        <v>184</v>
      </c>
      <c r="B113" s="4">
        <v>2.15</v>
      </c>
      <c r="E113" s="70"/>
      <c r="F113" s="70"/>
      <c r="G113" s="70"/>
      <c r="K113">
        <f>$L113*VLOOKUP($R113,武学奇术!$A:$ZZ,31,FALSE)</f>
        <v>0</v>
      </c>
      <c r="L113" s="36">
        <f t="shared" si="33"/>
        <v>0</v>
      </c>
      <c r="M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$21,0))*(1+$BW113)</f>
        <v>0</v>
      </c>
      <c r="N113" s="36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</f>
        <v>0</v>
      </c>
      <c r="O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$21,0))*(1+$BW113)</f>
        <v>0</v>
      </c>
      <c r="P113" s="36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</f>
        <v>0</v>
      </c>
      <c r="Q113" s="70">
        <v>1</v>
      </c>
      <c r="R113" s="38" t="s">
        <v>79</v>
      </c>
      <c r="S113" s="38" t="s">
        <v>79</v>
      </c>
      <c r="T113" s="38" t="s">
        <v>79</v>
      </c>
      <c r="U113" s="38" t="s">
        <v>79</v>
      </c>
      <c r="V113" s="38" t="s">
        <v>79</v>
      </c>
      <c r="W113" s="38" t="s">
        <v>79</v>
      </c>
      <c r="X113" s="38" t="s">
        <v>79</v>
      </c>
      <c r="Y113" s="38" t="s">
        <v>79</v>
      </c>
      <c r="Z113" s="38" t="s">
        <v>79</v>
      </c>
      <c r="AA113" s="38" t="s">
        <v>79</v>
      </c>
      <c r="AB113" s="38" t="s">
        <v>79</v>
      </c>
      <c r="AC113" s="38" t="s">
        <v>79</v>
      </c>
      <c r="AD113" s="38" t="s">
        <v>82</v>
      </c>
      <c r="AE113" s="38" t="s">
        <v>83</v>
      </c>
      <c r="AF113" s="38" t="s">
        <v>84</v>
      </c>
      <c r="AG113" s="38" t="s">
        <v>85</v>
      </c>
      <c r="AH113" s="38" t="s">
        <v>79</v>
      </c>
      <c r="AI113" s="38" t="s">
        <v>79</v>
      </c>
      <c r="AJ113" s="38" t="s">
        <v>79</v>
      </c>
      <c r="AK113" s="38" t="s">
        <v>79</v>
      </c>
      <c r="AL113" s="38" t="s">
        <v>79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0.1837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3901.102</v>
      </c>
      <c r="AU113" cm="1">
        <f t="array" ref="AU113">$E$10*(1+$AS113)+VLOOKUP($R113,武学奇术!$A:$ZZ,4,FALSE)+SUM(_xlfn.XLOOKUP($S113:$AL113,增益!$A:$A,增益!$D:$D,0))-$I$2</f>
        <v>3901.102</v>
      </c>
      <c r="AV113" s="30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0.267</v>
      </c>
      <c r="AW113" s="30" cm="1">
        <f t="array" ref="AW113">$G$10+VLOOKUP($R113,武学奇术!$A:$ZZ,7,FALSE)+SUM(_xlfn.XLOOKUP($S113:$AL113,增益!$A:$A,增益!$G:$G,0))</f>
        <v>0.09</v>
      </c>
      <c r="AX113" s="24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0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0" cm="1">
        <f t="array" ref="BB113">$G$11+VLOOKUP($R113,武学奇术!$A:$ZZ,10,FALSE)+SUM(_xlfn.XLOOKUP($S113:$AL113,增益!$A:$A,增益!$J:$J,0))</f>
        <v>0</v>
      </c>
      <c r="BC113">
        <f t="shared" si="36"/>
        <v>0</v>
      </c>
      <c r="BD113">
        <f t="shared" si="37"/>
        <v>0</v>
      </c>
      <c r="BE113" s="30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0" cm="1">
        <f t="array" ref="BF113">$G$12+VLOOKUP($R113,武学奇术!$A:$ZZ,12,FALSE)+SUM(_xlfn.XLOOKUP($S113:$AL113,增益!$A:$A,增益!$L:$L,0))</f>
        <v>0</v>
      </c>
      <c r="BG113">
        <f t="shared" si="38"/>
        <v>0</v>
      </c>
      <c r="BH113">
        <f t="shared" si="39"/>
        <v>0</v>
      </c>
      <c r="BI113" s="30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0" cm="1">
        <f t="array" ref="BJ113">$G$13+VLOOKUP($R113,武学奇术!$A:$ZZ,14,FALSE)+SUM(_xlfn.XLOOKUP($S113:$AL113,增益!$A:$A,增益!$N:$N,0))</f>
        <v>0</v>
      </c>
      <c r="BK113">
        <f t="shared" si="40"/>
        <v>605.472</v>
      </c>
      <c r="BL113">
        <f t="shared" si="41"/>
        <v>1725.468</v>
      </c>
      <c r="BM113" s="30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0" cm="1">
        <f t="array" ref="BN113">$G$14+VLOOKUP($R113,武学奇术!$A:$ZZ,16,FALSE)+SUM(_xlfn.XLOOKUP($S113:$AL113,增益!$A:$A,增益!$P:$P,0))</f>
        <v>0.24</v>
      </c>
      <c r="BO113" s="24">
        <f>MIN(IF(VLOOKUP($R113,武学奇术!$A:$ZZ,23,FALSE)=1,100%,$B$8),100%)</f>
        <v>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0.9036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2"/>
        <v>0.9036</v>
      </c>
      <c r="BU113" s="24">
        <f t="shared" si="43"/>
        <v>0.00350000000000006</v>
      </c>
      <c r="BV113" s="24">
        <f>IF(VLOOKUP($R113,武学奇术!$A:$ZZ,22,FALSE)=1,0,(1-$BO113))*(1-$BR113)</f>
        <v>0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:76">
      <c r="A114" t="s">
        <v>166</v>
      </c>
      <c r="B114">
        <v>0.9</v>
      </c>
      <c r="E114" s="70"/>
      <c r="F114" s="70"/>
      <c r="G114" s="70"/>
      <c r="K114">
        <f>$L114*VLOOKUP($R114,武学奇术!$A:$ZZ,31,FALSE)</f>
        <v>0</v>
      </c>
      <c r="L114" s="36">
        <f t="shared" si="33"/>
        <v>0</v>
      </c>
      <c r="M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$21,0))*(1+$BW114)</f>
        <v>0</v>
      </c>
      <c r="N114" s="36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</f>
        <v>0</v>
      </c>
      <c r="O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$21,0))*(1+$BW114)</f>
        <v>0</v>
      </c>
      <c r="P114" s="36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</f>
        <v>0</v>
      </c>
      <c r="Q114" s="70">
        <v>1</v>
      </c>
      <c r="R114" s="38" t="s">
        <v>79</v>
      </c>
      <c r="S114" s="38" t="s">
        <v>79</v>
      </c>
      <c r="T114" s="38" t="s">
        <v>79</v>
      </c>
      <c r="U114" s="38" t="s">
        <v>79</v>
      </c>
      <c r="V114" s="38" t="s">
        <v>79</v>
      </c>
      <c r="W114" s="38" t="s">
        <v>79</v>
      </c>
      <c r="X114" s="38" t="s">
        <v>79</v>
      </c>
      <c r="Y114" s="38" t="s">
        <v>79</v>
      </c>
      <c r="Z114" s="38" t="s">
        <v>79</v>
      </c>
      <c r="AA114" s="38" t="s">
        <v>79</v>
      </c>
      <c r="AB114" s="38" t="s">
        <v>79</v>
      </c>
      <c r="AC114" s="38" t="s">
        <v>79</v>
      </c>
      <c r="AD114" s="38" t="s">
        <v>82</v>
      </c>
      <c r="AE114" s="38" t="s">
        <v>83</v>
      </c>
      <c r="AF114" s="38" t="s">
        <v>84</v>
      </c>
      <c r="AG114" s="38" t="s">
        <v>85</v>
      </c>
      <c r="AH114" s="38" t="s">
        <v>79</v>
      </c>
      <c r="AI114" s="38" t="s">
        <v>79</v>
      </c>
      <c r="AJ114" s="38" t="s">
        <v>79</v>
      </c>
      <c r="AK114" s="38" t="s">
        <v>79</v>
      </c>
      <c r="AL114" s="38" t="s">
        <v>79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0.1837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3901.102</v>
      </c>
      <c r="AU114" cm="1">
        <f t="array" ref="AU114">$E$10*(1+$AS114)+VLOOKUP($R114,武学奇术!$A:$ZZ,4,FALSE)+SUM(_xlfn.XLOOKUP($S114:$AL114,增益!$A:$A,增益!$D:$D,0))-$I$2</f>
        <v>3901.102</v>
      </c>
      <c r="AV114" s="30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0.267</v>
      </c>
      <c r="AW114" s="30" cm="1">
        <f t="array" ref="AW114">$G$10+VLOOKUP($R114,武学奇术!$A:$ZZ,7,FALSE)+SUM(_xlfn.XLOOKUP($S114:$AL114,增益!$A:$A,增益!$G:$G,0))</f>
        <v>0.09</v>
      </c>
      <c r="AX114" s="24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0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0" cm="1">
        <f t="array" ref="BB114">$G$11+VLOOKUP($R114,武学奇术!$A:$ZZ,10,FALSE)+SUM(_xlfn.XLOOKUP($S114:$AL114,增益!$A:$A,增益!$J:$J,0))</f>
        <v>0</v>
      </c>
      <c r="BC114">
        <f t="shared" si="36"/>
        <v>0</v>
      </c>
      <c r="BD114">
        <f t="shared" si="37"/>
        <v>0</v>
      </c>
      <c r="BE114" s="30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0" cm="1">
        <f t="array" ref="BF114">$G$12+VLOOKUP($R114,武学奇术!$A:$ZZ,12,FALSE)+SUM(_xlfn.XLOOKUP($S114:$AL114,增益!$A:$A,增益!$L:$L,0))</f>
        <v>0</v>
      </c>
      <c r="BG114">
        <f t="shared" si="38"/>
        <v>0</v>
      </c>
      <c r="BH114">
        <f t="shared" si="39"/>
        <v>0</v>
      </c>
      <c r="BI114" s="30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0" cm="1">
        <f t="array" ref="BJ114">$G$13+VLOOKUP($R114,武学奇术!$A:$ZZ,14,FALSE)+SUM(_xlfn.XLOOKUP($S114:$AL114,增益!$A:$A,增益!$N:$N,0))</f>
        <v>0</v>
      </c>
      <c r="BK114">
        <f t="shared" si="40"/>
        <v>605.472</v>
      </c>
      <c r="BL114">
        <f t="shared" si="41"/>
        <v>1725.468</v>
      </c>
      <c r="BM114" s="30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0" cm="1">
        <f t="array" ref="BN114">$G$14+VLOOKUP($R114,武学奇术!$A:$ZZ,16,FALSE)+SUM(_xlfn.XLOOKUP($S114:$AL114,增益!$A:$A,增益!$P:$P,0))</f>
        <v>0.24</v>
      </c>
      <c r="BO114" s="24">
        <f>MIN(IF(VLOOKUP($R114,武学奇术!$A:$ZZ,23,FALSE)=1,100%,$B$8),100%)</f>
        <v>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0.9036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2"/>
        <v>0.9036</v>
      </c>
      <c r="BU114" s="24">
        <f t="shared" si="43"/>
        <v>0.00350000000000006</v>
      </c>
      <c r="BV114" s="24">
        <f>IF(VLOOKUP($R114,武学奇术!$A:$ZZ,22,FALSE)=1,0,(1-$BO114))*(1-$BR114)</f>
        <v>0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:76">
      <c r="A115" s="4" t="s">
        <v>179</v>
      </c>
      <c r="B115" s="4">
        <v>1</v>
      </c>
      <c r="F115" s="70"/>
      <c r="K115">
        <f>$L115*VLOOKUP($R115,武学奇术!$A:$ZZ,31,FALSE)</f>
        <v>0</v>
      </c>
      <c r="L115" s="36">
        <f t="shared" si="33"/>
        <v>0</v>
      </c>
      <c r="M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$21,0))*(1+$BW115)</f>
        <v>0</v>
      </c>
      <c r="N115" s="36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</f>
        <v>0</v>
      </c>
      <c r="O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$21,0))*(1+$BW115)</f>
        <v>0</v>
      </c>
      <c r="P115" s="36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</f>
        <v>0</v>
      </c>
      <c r="Q115" s="70">
        <v>1</v>
      </c>
      <c r="R115" s="38" t="s">
        <v>79</v>
      </c>
      <c r="S115" s="38" t="s">
        <v>79</v>
      </c>
      <c r="T115" s="38" t="s">
        <v>79</v>
      </c>
      <c r="U115" s="38" t="s">
        <v>79</v>
      </c>
      <c r="V115" s="38" t="s">
        <v>79</v>
      </c>
      <c r="W115" s="38" t="s">
        <v>79</v>
      </c>
      <c r="X115" s="38" t="s">
        <v>79</v>
      </c>
      <c r="Y115" s="38" t="s">
        <v>79</v>
      </c>
      <c r="Z115" s="38" t="s">
        <v>79</v>
      </c>
      <c r="AA115" s="38" t="s">
        <v>79</v>
      </c>
      <c r="AB115" s="38" t="s">
        <v>79</v>
      </c>
      <c r="AC115" s="38" t="s">
        <v>79</v>
      </c>
      <c r="AD115" s="38" t="s">
        <v>82</v>
      </c>
      <c r="AE115" s="38" t="s">
        <v>83</v>
      </c>
      <c r="AF115" s="38" t="s">
        <v>84</v>
      </c>
      <c r="AG115" s="38" t="s">
        <v>79</v>
      </c>
      <c r="AH115" s="38" t="s">
        <v>79</v>
      </c>
      <c r="AI115" s="38" t="s">
        <v>79</v>
      </c>
      <c r="AJ115" s="38" t="s">
        <v>79</v>
      </c>
      <c r="AK115" s="38" t="s">
        <v>79</v>
      </c>
      <c r="AL115" s="38" t="s">
        <v>79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0.1837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3901.102</v>
      </c>
      <c r="AU115" cm="1">
        <f t="array" ref="AU115">$E$10*(1+$AS115)+VLOOKUP($R115,武学奇术!$A:$ZZ,4,FALSE)+SUM(_xlfn.XLOOKUP($S115:$AL115,增益!$A:$A,增益!$D:$D,0))-$I$2</f>
        <v>3901.102</v>
      </c>
      <c r="AV115" s="30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0.267</v>
      </c>
      <c r="AW115" s="30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0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0" cm="1">
        <f t="array" ref="BB115">$G$11+VLOOKUP($R115,武学奇术!$A:$ZZ,10,FALSE)+SUM(_xlfn.XLOOKUP($S115:$AL115,增益!$A:$A,增益!$J:$J,0))</f>
        <v>0</v>
      </c>
      <c r="BC115">
        <f t="shared" si="36"/>
        <v>0</v>
      </c>
      <c r="BD115">
        <f t="shared" si="37"/>
        <v>0</v>
      </c>
      <c r="BE115" s="30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0" cm="1">
        <f t="array" ref="BF115">$G$12+VLOOKUP($R115,武学奇术!$A:$ZZ,12,FALSE)+SUM(_xlfn.XLOOKUP($S115:$AL115,增益!$A:$A,增益!$L:$L,0))</f>
        <v>0</v>
      </c>
      <c r="BG115">
        <f t="shared" si="38"/>
        <v>0</v>
      </c>
      <c r="BH115">
        <f t="shared" si="39"/>
        <v>0</v>
      </c>
      <c r="BI115" s="30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0" cm="1">
        <f t="array" ref="BJ115">$G$13+VLOOKUP($R115,武学奇术!$A:$ZZ,14,FALSE)+SUM(_xlfn.XLOOKUP($S115:$AL115,增益!$A:$A,增益!$N:$N,0))</f>
        <v>0</v>
      </c>
      <c r="BK115">
        <f t="shared" si="40"/>
        <v>605.472</v>
      </c>
      <c r="BL115">
        <f t="shared" si="41"/>
        <v>1725.468</v>
      </c>
      <c r="BM115" s="30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0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0.9036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2"/>
        <v>0.9036</v>
      </c>
      <c r="BU115" s="24">
        <f t="shared" si="43"/>
        <v>0.00350000000000006</v>
      </c>
      <c r="BV115" s="24">
        <f>IF(VLOOKUP($R115,武学奇术!$A:$ZZ,22,FALSE)=1,0,(1-$BO115))*(1-$BR115)</f>
        <v>0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:76">
      <c r="A116" s="4" t="s">
        <v>177</v>
      </c>
      <c r="B116" s="91">
        <v>1.16</v>
      </c>
      <c r="F116" s="70"/>
      <c r="K116">
        <f>$L116*VLOOKUP($R116,武学奇术!$A:$ZZ,31,FALSE)</f>
        <v>0</v>
      </c>
      <c r="L116" s="36">
        <f t="shared" si="33"/>
        <v>0</v>
      </c>
      <c r="M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$21,0))*(1+$BW116)</f>
        <v>0</v>
      </c>
      <c r="N116" s="36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</f>
        <v>0</v>
      </c>
      <c r="O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$21,0))*(1+$BW116)</f>
        <v>0</v>
      </c>
      <c r="P116" s="36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</f>
        <v>0</v>
      </c>
      <c r="Q116" s="70">
        <v>1</v>
      </c>
      <c r="R116" s="38" t="s">
        <v>79</v>
      </c>
      <c r="S116" s="38" t="s">
        <v>79</v>
      </c>
      <c r="T116" s="38" t="s">
        <v>79</v>
      </c>
      <c r="U116" s="38" t="s">
        <v>79</v>
      </c>
      <c r="V116" s="38" t="s">
        <v>79</v>
      </c>
      <c r="W116" s="38" t="s">
        <v>79</v>
      </c>
      <c r="X116" s="38" t="s">
        <v>79</v>
      </c>
      <c r="Y116" s="38" t="s">
        <v>79</v>
      </c>
      <c r="Z116" s="38" t="s">
        <v>79</v>
      </c>
      <c r="AA116" s="38" t="s">
        <v>79</v>
      </c>
      <c r="AB116" s="38" t="s">
        <v>79</v>
      </c>
      <c r="AC116" s="38" t="s">
        <v>79</v>
      </c>
      <c r="AD116" s="38" t="s">
        <v>82</v>
      </c>
      <c r="AE116" s="38" t="s">
        <v>83</v>
      </c>
      <c r="AF116" s="38" t="s">
        <v>84</v>
      </c>
      <c r="AG116" s="38" t="s">
        <v>79</v>
      </c>
      <c r="AH116" s="38" t="s">
        <v>79</v>
      </c>
      <c r="AI116" s="38" t="s">
        <v>79</v>
      </c>
      <c r="AJ116" s="38" t="s">
        <v>79</v>
      </c>
      <c r="AK116" s="38" t="s">
        <v>79</v>
      </c>
      <c r="AL116" s="38" t="s">
        <v>79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0.1837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3901.102</v>
      </c>
      <c r="AU116" cm="1">
        <f t="array" ref="AU116">$E$10*(1+$AS116)+VLOOKUP($R116,武学奇术!$A:$ZZ,4,FALSE)+SUM(_xlfn.XLOOKUP($S116:$AL116,增益!$A:$A,增益!$D:$D,0))-$I$2</f>
        <v>3901.102</v>
      </c>
      <c r="AV116" s="30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0.267</v>
      </c>
      <c r="AW116" s="30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0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0" cm="1">
        <f t="array" ref="BB116">$G$11+VLOOKUP($R116,武学奇术!$A:$ZZ,10,FALSE)+SUM(_xlfn.XLOOKUP($S116:$AL116,增益!$A:$A,增益!$J:$J,0))</f>
        <v>0</v>
      </c>
      <c r="BC116">
        <f t="shared" si="36"/>
        <v>0</v>
      </c>
      <c r="BD116">
        <f t="shared" si="37"/>
        <v>0</v>
      </c>
      <c r="BE116" s="30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0" cm="1">
        <f t="array" ref="BF116">$G$12+VLOOKUP($R116,武学奇术!$A:$ZZ,12,FALSE)+SUM(_xlfn.XLOOKUP($S116:$AL116,增益!$A:$A,增益!$L:$L,0))</f>
        <v>0</v>
      </c>
      <c r="BG116">
        <f t="shared" si="38"/>
        <v>0</v>
      </c>
      <c r="BH116">
        <f t="shared" si="39"/>
        <v>0</v>
      </c>
      <c r="BI116" s="30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0" cm="1">
        <f t="array" ref="BJ116">$G$13+VLOOKUP($R116,武学奇术!$A:$ZZ,14,FALSE)+SUM(_xlfn.XLOOKUP($S116:$AL116,增益!$A:$A,增益!$N:$N,0))</f>
        <v>0</v>
      </c>
      <c r="BK116">
        <f t="shared" si="40"/>
        <v>605.472</v>
      </c>
      <c r="BL116">
        <f t="shared" si="41"/>
        <v>1725.468</v>
      </c>
      <c r="BM116" s="30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0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0.9036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2"/>
        <v>0.9036</v>
      </c>
      <c r="BU116" s="24">
        <f t="shared" si="43"/>
        <v>0.00350000000000006</v>
      </c>
      <c r="BV116" s="24">
        <f>IF(VLOOKUP($R116,武学奇术!$A:$ZZ,22,FALSE)=1,0,(1-$BO116))*(1-$BR116)</f>
        <v>0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:76">
      <c r="A117" t="s">
        <v>176</v>
      </c>
      <c r="B117">
        <v>1.23</v>
      </c>
      <c r="F117" s="70"/>
      <c r="K117">
        <f>$L117*VLOOKUP($R117,武学奇术!$A:$ZZ,31,FALSE)</f>
        <v>0</v>
      </c>
      <c r="L117" s="36">
        <f t="shared" si="33"/>
        <v>0</v>
      </c>
      <c r="M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$21,0))*(1+$BW117)</f>
        <v>0</v>
      </c>
      <c r="N117" s="36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</f>
        <v>0</v>
      </c>
      <c r="O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$21,0))*(1+$BW117)</f>
        <v>0</v>
      </c>
      <c r="P117" s="36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</f>
        <v>0</v>
      </c>
      <c r="Q117" s="70">
        <v>1</v>
      </c>
      <c r="R117" s="38" t="s">
        <v>79</v>
      </c>
      <c r="S117" s="38" t="s">
        <v>79</v>
      </c>
      <c r="T117" s="38" t="s">
        <v>79</v>
      </c>
      <c r="U117" s="38" t="s">
        <v>79</v>
      </c>
      <c r="V117" s="38" t="s">
        <v>79</v>
      </c>
      <c r="W117" s="38" t="s">
        <v>79</v>
      </c>
      <c r="X117" s="38" t="s">
        <v>79</v>
      </c>
      <c r="Y117" s="38" t="s">
        <v>79</v>
      </c>
      <c r="Z117" s="38" t="s">
        <v>79</v>
      </c>
      <c r="AA117" s="38" t="s">
        <v>79</v>
      </c>
      <c r="AB117" s="38" t="s">
        <v>79</v>
      </c>
      <c r="AC117" s="38" t="s">
        <v>79</v>
      </c>
      <c r="AD117" s="38" t="s">
        <v>82</v>
      </c>
      <c r="AE117" s="38" t="s">
        <v>83</v>
      </c>
      <c r="AF117" s="38" t="s">
        <v>84</v>
      </c>
      <c r="AG117" s="38" t="s">
        <v>79</v>
      </c>
      <c r="AH117" s="38" t="s">
        <v>79</v>
      </c>
      <c r="AI117" s="38" t="s">
        <v>79</v>
      </c>
      <c r="AJ117" s="38" t="s">
        <v>79</v>
      </c>
      <c r="AK117" s="38" t="s">
        <v>79</v>
      </c>
      <c r="AL117" s="38" t="s">
        <v>79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0.1837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3901.102</v>
      </c>
      <c r="AU117" cm="1">
        <f t="array" ref="AU117">$E$10*(1+$AS117)+VLOOKUP($R117,武学奇术!$A:$ZZ,4,FALSE)+SUM(_xlfn.XLOOKUP($S117:$AL117,增益!$A:$A,增益!$D:$D,0))-$I$2</f>
        <v>3901.102</v>
      </c>
      <c r="AV117" s="30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0.267</v>
      </c>
      <c r="AW117" s="30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0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0" cm="1">
        <f t="array" ref="BB117">$G$11+VLOOKUP($R117,武学奇术!$A:$ZZ,10,FALSE)+SUM(_xlfn.XLOOKUP($S117:$AL117,增益!$A:$A,增益!$J:$J,0))</f>
        <v>0</v>
      </c>
      <c r="BC117">
        <f t="shared" si="36"/>
        <v>0</v>
      </c>
      <c r="BD117">
        <f t="shared" si="37"/>
        <v>0</v>
      </c>
      <c r="BE117" s="30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0" cm="1">
        <f t="array" ref="BF117">$G$12+VLOOKUP($R117,武学奇术!$A:$ZZ,12,FALSE)+SUM(_xlfn.XLOOKUP($S117:$AL117,增益!$A:$A,增益!$L:$L,0))</f>
        <v>0</v>
      </c>
      <c r="BG117">
        <f t="shared" si="38"/>
        <v>0</v>
      </c>
      <c r="BH117">
        <f t="shared" si="39"/>
        <v>0</v>
      </c>
      <c r="BI117" s="30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0" cm="1">
        <f t="array" ref="BJ117">$G$13+VLOOKUP($R117,武学奇术!$A:$ZZ,14,FALSE)+SUM(_xlfn.XLOOKUP($S117:$AL117,增益!$A:$A,增益!$N:$N,0))</f>
        <v>0</v>
      </c>
      <c r="BK117">
        <f t="shared" si="40"/>
        <v>605.472</v>
      </c>
      <c r="BL117">
        <f t="shared" si="41"/>
        <v>1725.468</v>
      </c>
      <c r="BM117" s="30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0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0.9036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2"/>
        <v>0.9036</v>
      </c>
      <c r="BU117" s="24">
        <f t="shared" si="43"/>
        <v>0.00350000000000006</v>
      </c>
      <c r="BV117" s="24">
        <f>IF(VLOOKUP($R117,武学奇术!$A:$ZZ,22,FALSE)=1,0,(1-$BO117))*(1-$BR117)</f>
        <v>0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:76">
      <c r="A118" s="4" t="s">
        <v>177</v>
      </c>
      <c r="B118" s="91">
        <v>1.16</v>
      </c>
      <c r="F118" s="70"/>
      <c r="K118">
        <f>$L118*VLOOKUP($R118,武学奇术!$A:$ZZ,31,FALSE)</f>
        <v>0</v>
      </c>
      <c r="L118" s="36">
        <f t="shared" si="33"/>
        <v>0</v>
      </c>
      <c r="M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$21,0))*(1+$BW118)</f>
        <v>0</v>
      </c>
      <c r="N118" s="36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</f>
        <v>0</v>
      </c>
      <c r="O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$21,0))*(1+$BW118)</f>
        <v>0</v>
      </c>
      <c r="P118" s="36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</f>
        <v>0</v>
      </c>
      <c r="Q118" s="70">
        <v>1</v>
      </c>
      <c r="R118" s="38" t="s">
        <v>79</v>
      </c>
      <c r="S118" s="38" t="s">
        <v>79</v>
      </c>
      <c r="T118" s="38" t="s">
        <v>79</v>
      </c>
      <c r="U118" s="38" t="s">
        <v>79</v>
      </c>
      <c r="V118" s="38" t="s">
        <v>79</v>
      </c>
      <c r="W118" s="38" t="s">
        <v>79</v>
      </c>
      <c r="X118" s="38" t="s">
        <v>79</v>
      </c>
      <c r="Y118" s="38" t="s">
        <v>79</v>
      </c>
      <c r="Z118" s="38" t="s">
        <v>79</v>
      </c>
      <c r="AA118" s="38" t="s">
        <v>79</v>
      </c>
      <c r="AB118" s="38" t="s">
        <v>79</v>
      </c>
      <c r="AC118" s="38" t="s">
        <v>79</v>
      </c>
      <c r="AD118" s="38" t="s">
        <v>82</v>
      </c>
      <c r="AE118" s="38" t="s">
        <v>83</v>
      </c>
      <c r="AF118" s="38" t="s">
        <v>84</v>
      </c>
      <c r="AG118" s="38" t="s">
        <v>79</v>
      </c>
      <c r="AH118" s="38" t="s">
        <v>79</v>
      </c>
      <c r="AI118" s="38" t="s">
        <v>79</v>
      </c>
      <c r="AJ118" s="38" t="s">
        <v>79</v>
      </c>
      <c r="AK118" s="38" t="s">
        <v>79</v>
      </c>
      <c r="AL118" s="38" t="s">
        <v>79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0.1837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3901.102</v>
      </c>
      <c r="AU118" cm="1">
        <f t="array" ref="AU118">$E$10*(1+$AS118)+VLOOKUP($R118,武学奇术!$A:$ZZ,4,FALSE)+SUM(_xlfn.XLOOKUP($S118:$AL118,增益!$A:$A,增益!$D:$D,0))-$I$2</f>
        <v>3901.102</v>
      </c>
      <c r="AV118" s="30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0.267</v>
      </c>
      <c r="AW118" s="30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0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0" cm="1">
        <f t="array" ref="BB118">$G$11+VLOOKUP($R118,武学奇术!$A:$ZZ,10,FALSE)+SUM(_xlfn.XLOOKUP($S118:$AL118,增益!$A:$A,增益!$J:$J,0))</f>
        <v>0</v>
      </c>
      <c r="BC118">
        <f t="shared" si="36"/>
        <v>0</v>
      </c>
      <c r="BD118">
        <f t="shared" si="37"/>
        <v>0</v>
      </c>
      <c r="BE118" s="30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0" cm="1">
        <f t="array" ref="BF118">$G$12+VLOOKUP($R118,武学奇术!$A:$ZZ,12,FALSE)+SUM(_xlfn.XLOOKUP($S118:$AL118,增益!$A:$A,增益!$L:$L,0))</f>
        <v>0</v>
      </c>
      <c r="BG118">
        <f t="shared" si="38"/>
        <v>0</v>
      </c>
      <c r="BH118">
        <f t="shared" si="39"/>
        <v>0</v>
      </c>
      <c r="BI118" s="30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0" cm="1">
        <f t="array" ref="BJ118">$G$13+VLOOKUP($R118,武学奇术!$A:$ZZ,14,FALSE)+SUM(_xlfn.XLOOKUP($S118:$AL118,增益!$A:$A,增益!$N:$N,0))</f>
        <v>0</v>
      </c>
      <c r="BK118">
        <f t="shared" si="40"/>
        <v>605.472</v>
      </c>
      <c r="BL118">
        <f t="shared" si="41"/>
        <v>1725.468</v>
      </c>
      <c r="BM118" s="30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0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0.9036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2"/>
        <v>0.9036</v>
      </c>
      <c r="BU118" s="24">
        <f t="shared" si="43"/>
        <v>0.00350000000000006</v>
      </c>
      <c r="BV118" s="24">
        <f>IF(VLOOKUP($R118,武学奇术!$A:$ZZ,22,FALSE)=1,0,(1-$BO118))*(1-$BR118)</f>
        <v>0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:76">
      <c r="A119" s="4" t="s">
        <v>195</v>
      </c>
      <c r="B119" s="4">
        <v>2</v>
      </c>
      <c r="F119" s="70"/>
      <c r="K119">
        <f>$L119*VLOOKUP($R119,武学奇术!$A:$ZZ,31,FALSE)</f>
        <v>0</v>
      </c>
      <c r="L119" s="36">
        <f t="shared" si="33"/>
        <v>0</v>
      </c>
      <c r="M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$21,0))*(1+$BW119)</f>
        <v>0</v>
      </c>
      <c r="N119" s="36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</f>
        <v>0</v>
      </c>
      <c r="O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$21,0))*(1+$BW119)</f>
        <v>0</v>
      </c>
      <c r="P119" s="36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</f>
        <v>0</v>
      </c>
      <c r="Q119" s="70">
        <v>1</v>
      </c>
      <c r="R119" s="38" t="s">
        <v>79</v>
      </c>
      <c r="S119" s="38" t="s">
        <v>79</v>
      </c>
      <c r="T119" s="38" t="s">
        <v>79</v>
      </c>
      <c r="U119" s="38" t="s">
        <v>79</v>
      </c>
      <c r="V119" s="38" t="s">
        <v>79</v>
      </c>
      <c r="W119" s="38" t="s">
        <v>79</v>
      </c>
      <c r="X119" s="38" t="s">
        <v>79</v>
      </c>
      <c r="Y119" s="38" t="s">
        <v>79</v>
      </c>
      <c r="Z119" s="38" t="s">
        <v>79</v>
      </c>
      <c r="AA119" s="38" t="s">
        <v>79</v>
      </c>
      <c r="AB119" s="38" t="s">
        <v>79</v>
      </c>
      <c r="AC119" s="38" t="s">
        <v>79</v>
      </c>
      <c r="AD119" s="38" t="s">
        <v>82</v>
      </c>
      <c r="AE119" s="38" t="s">
        <v>83</v>
      </c>
      <c r="AF119" s="38" t="s">
        <v>84</v>
      </c>
      <c r="AG119" s="38" t="s">
        <v>79</v>
      </c>
      <c r="AH119" s="38" t="s">
        <v>79</v>
      </c>
      <c r="AI119" s="38" t="s">
        <v>79</v>
      </c>
      <c r="AJ119" s="38" t="s">
        <v>79</v>
      </c>
      <c r="AK119" s="38" t="s">
        <v>79</v>
      </c>
      <c r="AL119" s="38" t="s">
        <v>79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0.1837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3901.102</v>
      </c>
      <c r="AU119" cm="1">
        <f t="array" ref="AU119">$E$10*(1+$AS119)+VLOOKUP($R119,武学奇术!$A:$ZZ,4,FALSE)+SUM(_xlfn.XLOOKUP($S119:$AL119,增益!$A:$A,增益!$D:$D,0))-$I$2</f>
        <v>3901.102</v>
      </c>
      <c r="AV119" s="30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0.267</v>
      </c>
      <c r="AW119" s="30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0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0" cm="1">
        <f t="array" ref="BB119">$G$11+VLOOKUP($R119,武学奇术!$A:$ZZ,10,FALSE)+SUM(_xlfn.XLOOKUP($S119:$AL119,增益!$A:$A,增益!$J:$J,0))</f>
        <v>0</v>
      </c>
      <c r="BC119">
        <f t="shared" si="36"/>
        <v>0</v>
      </c>
      <c r="BD119">
        <f t="shared" si="37"/>
        <v>0</v>
      </c>
      <c r="BE119" s="30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0" cm="1">
        <f t="array" ref="BF119">$G$12+VLOOKUP($R119,武学奇术!$A:$ZZ,12,FALSE)+SUM(_xlfn.XLOOKUP($S119:$AL119,增益!$A:$A,增益!$L:$L,0))</f>
        <v>0</v>
      </c>
      <c r="BG119">
        <f t="shared" si="38"/>
        <v>0</v>
      </c>
      <c r="BH119">
        <f t="shared" si="39"/>
        <v>0</v>
      </c>
      <c r="BI119" s="30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0" cm="1">
        <f t="array" ref="BJ119">$G$13+VLOOKUP($R119,武学奇术!$A:$ZZ,14,FALSE)+SUM(_xlfn.XLOOKUP($S119:$AL119,增益!$A:$A,增益!$N:$N,0))</f>
        <v>0</v>
      </c>
      <c r="BK119">
        <f t="shared" si="40"/>
        <v>605.472</v>
      </c>
      <c r="BL119">
        <f t="shared" si="41"/>
        <v>1725.468</v>
      </c>
      <c r="BM119" s="30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0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0.9036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2"/>
        <v>0.9036</v>
      </c>
      <c r="BU119" s="24">
        <f t="shared" si="43"/>
        <v>0.00350000000000006</v>
      </c>
      <c r="BV119" s="24">
        <f>IF(VLOOKUP($R119,武学奇术!$A:$ZZ,22,FALSE)=1,0,(1-$BO119))*(1-$BR119)</f>
        <v>0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:76">
      <c r="A120" s="4" t="s">
        <v>179</v>
      </c>
      <c r="B120" s="4">
        <v>1</v>
      </c>
      <c r="K120">
        <f>$L120*VLOOKUP($R120,武学奇术!$A:$ZZ,31,FALSE)</f>
        <v>0</v>
      </c>
      <c r="L120" s="36">
        <f t="shared" si="33"/>
        <v>0</v>
      </c>
      <c r="M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$21,0))*(1+$BW120)</f>
        <v>0</v>
      </c>
      <c r="N120" s="36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</f>
        <v>0</v>
      </c>
      <c r="O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$21,0))*(1+$BW120)</f>
        <v>0</v>
      </c>
      <c r="P120" s="36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</f>
        <v>0</v>
      </c>
      <c r="Q120" s="70">
        <v>1</v>
      </c>
      <c r="R120" s="38" t="s">
        <v>79</v>
      </c>
      <c r="S120" s="38" t="s">
        <v>79</v>
      </c>
      <c r="T120" s="38" t="s">
        <v>79</v>
      </c>
      <c r="U120" s="38" t="s">
        <v>79</v>
      </c>
      <c r="V120" s="38" t="s">
        <v>79</v>
      </c>
      <c r="W120" s="38" t="s">
        <v>79</v>
      </c>
      <c r="X120" s="38" t="s">
        <v>79</v>
      </c>
      <c r="Y120" s="38" t="s">
        <v>79</v>
      </c>
      <c r="Z120" s="38" t="s">
        <v>79</v>
      </c>
      <c r="AA120" s="38" t="s">
        <v>79</v>
      </c>
      <c r="AB120" s="38" t="s">
        <v>79</v>
      </c>
      <c r="AC120" s="38" t="s">
        <v>79</v>
      </c>
      <c r="AD120" s="38" t="s">
        <v>82</v>
      </c>
      <c r="AE120" s="38" t="s">
        <v>83</v>
      </c>
      <c r="AF120" s="38" t="s">
        <v>84</v>
      </c>
      <c r="AG120" s="38" t="s">
        <v>79</v>
      </c>
      <c r="AH120" s="38" t="s">
        <v>79</v>
      </c>
      <c r="AI120" s="38" t="s">
        <v>79</v>
      </c>
      <c r="AJ120" s="38" t="s">
        <v>79</v>
      </c>
      <c r="AK120" s="38" t="s">
        <v>79</v>
      </c>
      <c r="AL120" s="38" t="s">
        <v>79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0.1837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3901.102</v>
      </c>
      <c r="AU120" cm="1">
        <f t="array" ref="AU120">$E$10*(1+$AS120)+VLOOKUP($R120,武学奇术!$A:$ZZ,4,FALSE)+SUM(_xlfn.XLOOKUP($S120:$AL120,增益!$A:$A,增益!$D:$D,0))-$I$2</f>
        <v>3901.102</v>
      </c>
      <c r="AV120" s="30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0.267</v>
      </c>
      <c r="AW120" s="30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0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0" cm="1">
        <f t="array" ref="BB120">$G$11+VLOOKUP($R120,武学奇术!$A:$ZZ,10,FALSE)+SUM(_xlfn.XLOOKUP($S120:$AL120,增益!$A:$A,增益!$J:$J,0))</f>
        <v>0</v>
      </c>
      <c r="BC120">
        <f t="shared" si="36"/>
        <v>0</v>
      </c>
      <c r="BD120">
        <f t="shared" si="37"/>
        <v>0</v>
      </c>
      <c r="BE120" s="30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0" cm="1">
        <f t="array" ref="BF120">$G$12+VLOOKUP($R120,武学奇术!$A:$ZZ,12,FALSE)+SUM(_xlfn.XLOOKUP($S120:$AL120,增益!$A:$A,增益!$L:$L,0))</f>
        <v>0</v>
      </c>
      <c r="BG120">
        <f t="shared" si="38"/>
        <v>0</v>
      </c>
      <c r="BH120">
        <f t="shared" si="39"/>
        <v>0</v>
      </c>
      <c r="BI120" s="30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0" cm="1">
        <f t="array" ref="BJ120">$G$13+VLOOKUP($R120,武学奇术!$A:$ZZ,14,FALSE)+SUM(_xlfn.XLOOKUP($S120:$AL120,增益!$A:$A,增益!$N:$N,0))</f>
        <v>0</v>
      </c>
      <c r="BK120">
        <f t="shared" si="40"/>
        <v>605.472</v>
      </c>
      <c r="BL120">
        <f t="shared" si="41"/>
        <v>1725.468</v>
      </c>
      <c r="BM120" s="30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0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0.9036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2"/>
        <v>0.9036</v>
      </c>
      <c r="BU120" s="24">
        <f t="shared" si="43"/>
        <v>0.00350000000000006</v>
      </c>
      <c r="BV120" s="24">
        <f>IF(VLOOKUP($R120,武学奇术!$A:$ZZ,22,FALSE)=1,0,(1-$BO120))*(1-$BR120)</f>
        <v>0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:76">
      <c r="A121" s="4" t="s">
        <v>177</v>
      </c>
      <c r="B121" s="91">
        <v>1.16</v>
      </c>
      <c r="K121">
        <f>$L121*VLOOKUP($R121,武学奇术!$A:$ZZ,31,FALSE)</f>
        <v>0</v>
      </c>
      <c r="L121" s="36">
        <f t="shared" si="33"/>
        <v>0</v>
      </c>
      <c r="M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$21,0))*(1+$BW121)</f>
        <v>0</v>
      </c>
      <c r="N121" s="36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</f>
        <v>0</v>
      </c>
      <c r="O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$21,0))*(1+$BW121)</f>
        <v>0</v>
      </c>
      <c r="P121" s="36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</f>
        <v>0</v>
      </c>
      <c r="Q121" s="70">
        <v>1</v>
      </c>
      <c r="R121" s="38" t="s">
        <v>79</v>
      </c>
      <c r="S121" s="38" t="s">
        <v>79</v>
      </c>
      <c r="T121" s="38" t="s">
        <v>79</v>
      </c>
      <c r="U121" s="38" t="s">
        <v>79</v>
      </c>
      <c r="V121" s="38" t="s">
        <v>79</v>
      </c>
      <c r="W121" s="38" t="s">
        <v>79</v>
      </c>
      <c r="X121" s="38" t="s">
        <v>79</v>
      </c>
      <c r="Y121" s="38" t="s">
        <v>79</v>
      </c>
      <c r="Z121" s="38" t="s">
        <v>79</v>
      </c>
      <c r="AA121" s="38" t="s">
        <v>79</v>
      </c>
      <c r="AB121" s="38" t="s">
        <v>79</v>
      </c>
      <c r="AC121" s="38" t="s">
        <v>79</v>
      </c>
      <c r="AD121" s="38" t="s">
        <v>82</v>
      </c>
      <c r="AE121" s="38" t="s">
        <v>83</v>
      </c>
      <c r="AF121" s="38" t="s">
        <v>84</v>
      </c>
      <c r="AG121" s="38" t="s">
        <v>79</v>
      </c>
      <c r="AH121" s="38" t="s">
        <v>79</v>
      </c>
      <c r="AI121" s="38" t="s">
        <v>79</v>
      </c>
      <c r="AJ121" s="38" t="s">
        <v>79</v>
      </c>
      <c r="AK121" s="38" t="s">
        <v>79</v>
      </c>
      <c r="AL121" s="38" t="s">
        <v>79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0.1837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3901.102</v>
      </c>
      <c r="AU121" cm="1">
        <f t="array" ref="AU121">$E$10*(1+$AS121)+VLOOKUP($R121,武学奇术!$A:$ZZ,4,FALSE)+SUM(_xlfn.XLOOKUP($S121:$AL121,增益!$A:$A,增益!$D:$D,0))-$I$2</f>
        <v>3901.102</v>
      </c>
      <c r="AV121" s="30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0.267</v>
      </c>
      <c r="AW121" s="30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0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0" cm="1">
        <f t="array" ref="BB121">$G$11+VLOOKUP($R121,武学奇术!$A:$ZZ,10,FALSE)+SUM(_xlfn.XLOOKUP($S121:$AL121,增益!$A:$A,增益!$J:$J,0))</f>
        <v>0</v>
      </c>
      <c r="BC121">
        <f t="shared" si="36"/>
        <v>0</v>
      </c>
      <c r="BD121">
        <f t="shared" si="37"/>
        <v>0</v>
      </c>
      <c r="BE121" s="30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0" cm="1">
        <f t="array" ref="BF121">$G$12+VLOOKUP($R121,武学奇术!$A:$ZZ,12,FALSE)+SUM(_xlfn.XLOOKUP($S121:$AL121,增益!$A:$A,增益!$L:$L,0))</f>
        <v>0</v>
      </c>
      <c r="BG121">
        <f t="shared" si="38"/>
        <v>0</v>
      </c>
      <c r="BH121">
        <f t="shared" si="39"/>
        <v>0</v>
      </c>
      <c r="BI121" s="30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0" cm="1">
        <f t="array" ref="BJ121">$G$13+VLOOKUP($R121,武学奇术!$A:$ZZ,14,FALSE)+SUM(_xlfn.XLOOKUP($S121:$AL121,增益!$A:$A,增益!$N:$N,0))</f>
        <v>0</v>
      </c>
      <c r="BK121">
        <f t="shared" si="40"/>
        <v>605.472</v>
      </c>
      <c r="BL121">
        <f t="shared" si="41"/>
        <v>1725.468</v>
      </c>
      <c r="BM121" s="30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0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0.9036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2"/>
        <v>0.9036</v>
      </c>
      <c r="BU121" s="24">
        <f t="shared" si="43"/>
        <v>0.00350000000000006</v>
      </c>
      <c r="BV121" s="24">
        <f>IF(VLOOKUP($R121,武学奇术!$A:$ZZ,22,FALSE)=1,0,(1-$BO121))*(1-$BR121)</f>
        <v>0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:76">
      <c r="A122" t="s">
        <v>169</v>
      </c>
      <c r="B122">
        <v>0.1</v>
      </c>
      <c r="K122">
        <f>$L122*VLOOKUP($R122,武学奇术!$A:$ZZ,31,FALSE)</f>
        <v>0</v>
      </c>
      <c r="L122" s="36">
        <f t="shared" si="33"/>
        <v>0</v>
      </c>
      <c r="M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$21,0))*(1+$BW122)</f>
        <v>0</v>
      </c>
      <c r="N122" s="36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</f>
        <v>0</v>
      </c>
      <c r="O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$21,0))*(1+$BW122)</f>
        <v>0</v>
      </c>
      <c r="P122" s="36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</f>
        <v>0</v>
      </c>
      <c r="Q122" s="70">
        <v>1</v>
      </c>
      <c r="R122" s="38" t="s">
        <v>79</v>
      </c>
      <c r="S122" s="38" t="s">
        <v>79</v>
      </c>
      <c r="T122" s="38" t="s">
        <v>79</v>
      </c>
      <c r="U122" s="38" t="s">
        <v>79</v>
      </c>
      <c r="V122" s="38" t="s">
        <v>79</v>
      </c>
      <c r="W122" s="38" t="s">
        <v>79</v>
      </c>
      <c r="X122" s="38" t="s">
        <v>79</v>
      </c>
      <c r="Y122" s="38" t="s">
        <v>79</v>
      </c>
      <c r="Z122" s="38" t="s">
        <v>79</v>
      </c>
      <c r="AA122" s="38" t="s">
        <v>79</v>
      </c>
      <c r="AB122" s="38" t="s">
        <v>79</v>
      </c>
      <c r="AC122" s="38" t="s">
        <v>79</v>
      </c>
      <c r="AD122" s="38" t="s">
        <v>82</v>
      </c>
      <c r="AE122" s="38" t="s">
        <v>83</v>
      </c>
      <c r="AF122" s="38" t="s">
        <v>84</v>
      </c>
      <c r="AG122" s="38" t="s">
        <v>79</v>
      </c>
      <c r="AH122" s="38" t="s">
        <v>79</v>
      </c>
      <c r="AI122" s="38" t="s">
        <v>79</v>
      </c>
      <c r="AJ122" s="38" t="s">
        <v>79</v>
      </c>
      <c r="AK122" s="38" t="s">
        <v>79</v>
      </c>
      <c r="AL122" s="38" t="s">
        <v>79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0.1837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3901.102</v>
      </c>
      <c r="AU122" cm="1">
        <f t="array" ref="AU122">$E$10*(1+$AS122)+VLOOKUP($R122,武学奇术!$A:$ZZ,4,FALSE)+SUM(_xlfn.XLOOKUP($S122:$AL122,增益!$A:$A,增益!$D:$D,0))-$I$2</f>
        <v>3901.102</v>
      </c>
      <c r="AV122" s="30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0.267</v>
      </c>
      <c r="AW122" s="30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0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0" cm="1">
        <f t="array" ref="BB122">$G$11+VLOOKUP($R122,武学奇术!$A:$ZZ,10,FALSE)+SUM(_xlfn.XLOOKUP($S122:$AL122,增益!$A:$A,增益!$J:$J,0))</f>
        <v>0</v>
      </c>
      <c r="BC122">
        <f t="shared" si="36"/>
        <v>0</v>
      </c>
      <c r="BD122">
        <f t="shared" si="37"/>
        <v>0</v>
      </c>
      <c r="BE122" s="30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0" cm="1">
        <f t="array" ref="BF122">$G$12+VLOOKUP($R122,武学奇术!$A:$ZZ,12,FALSE)+SUM(_xlfn.XLOOKUP($S122:$AL122,增益!$A:$A,增益!$L:$L,0))</f>
        <v>0</v>
      </c>
      <c r="BG122">
        <f t="shared" si="38"/>
        <v>0</v>
      </c>
      <c r="BH122">
        <f t="shared" si="39"/>
        <v>0</v>
      </c>
      <c r="BI122" s="30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0" cm="1">
        <f t="array" ref="BJ122">$G$13+VLOOKUP($R122,武学奇术!$A:$ZZ,14,FALSE)+SUM(_xlfn.XLOOKUP($S122:$AL122,增益!$A:$A,增益!$N:$N,0))</f>
        <v>0</v>
      </c>
      <c r="BK122">
        <f t="shared" si="40"/>
        <v>605.472</v>
      </c>
      <c r="BL122">
        <f t="shared" si="41"/>
        <v>1725.468</v>
      </c>
      <c r="BM122" s="30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0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0.9036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2"/>
        <v>0.9036</v>
      </c>
      <c r="BU122" s="24">
        <f t="shared" si="43"/>
        <v>0.00350000000000006</v>
      </c>
      <c r="BV122" s="24">
        <f>IF(VLOOKUP($R122,武学奇术!$A:$ZZ,22,FALSE)=1,0,(1-$BO122))*(1-$BR122)</f>
        <v>0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:76">
      <c r="A123" t="s">
        <v>190</v>
      </c>
      <c r="B123">
        <v>1.7</v>
      </c>
      <c r="K123">
        <f>$L123*VLOOKUP($R123,武学奇术!$A:$ZZ,31,FALSE)</f>
        <v>0</v>
      </c>
      <c r="L123" s="36">
        <f t="shared" si="33"/>
        <v>0</v>
      </c>
      <c r="M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$21,0))*(1+$BW123)</f>
        <v>0</v>
      </c>
      <c r="N123" s="36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</f>
        <v>0</v>
      </c>
      <c r="O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$21,0))*(1+$BW123)</f>
        <v>0</v>
      </c>
      <c r="P123" s="36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</f>
        <v>0</v>
      </c>
      <c r="Q123" s="70">
        <v>1</v>
      </c>
      <c r="R123" s="38" t="s">
        <v>79</v>
      </c>
      <c r="S123" s="38" t="s">
        <v>79</v>
      </c>
      <c r="T123" s="38" t="s">
        <v>79</v>
      </c>
      <c r="U123" s="38" t="s">
        <v>79</v>
      </c>
      <c r="V123" s="38" t="s">
        <v>79</v>
      </c>
      <c r="W123" s="38" t="s">
        <v>79</v>
      </c>
      <c r="X123" s="38" t="s">
        <v>79</v>
      </c>
      <c r="Y123" s="38" t="s">
        <v>79</v>
      </c>
      <c r="Z123" s="38" t="s">
        <v>79</v>
      </c>
      <c r="AA123" s="38" t="s">
        <v>79</v>
      </c>
      <c r="AB123" s="38" t="s">
        <v>79</v>
      </c>
      <c r="AC123" s="38" t="s">
        <v>79</v>
      </c>
      <c r="AD123" s="38" t="s">
        <v>82</v>
      </c>
      <c r="AE123" s="38" t="s">
        <v>83</v>
      </c>
      <c r="AF123" s="38" t="s">
        <v>84</v>
      </c>
      <c r="AG123" s="38" t="s">
        <v>79</v>
      </c>
      <c r="AH123" s="38" t="s">
        <v>79</v>
      </c>
      <c r="AI123" s="38" t="s">
        <v>79</v>
      </c>
      <c r="AJ123" s="38" t="s">
        <v>79</v>
      </c>
      <c r="AK123" s="38" t="s">
        <v>79</v>
      </c>
      <c r="AL123" s="38" t="s">
        <v>79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0.1837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3901.102</v>
      </c>
      <c r="AU123" cm="1">
        <f t="array" ref="AU123">$E$10*(1+$AS123)+VLOOKUP($R123,武学奇术!$A:$ZZ,4,FALSE)+SUM(_xlfn.XLOOKUP($S123:$AL123,增益!$A:$A,增益!$D:$D,0))-$I$2</f>
        <v>3901.102</v>
      </c>
      <c r="AV123" s="30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0.267</v>
      </c>
      <c r="AW123" s="30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0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0" cm="1">
        <f t="array" ref="BB123">$G$11+VLOOKUP($R123,武学奇术!$A:$ZZ,10,FALSE)+SUM(_xlfn.XLOOKUP($S123:$AL123,增益!$A:$A,增益!$J:$J,0))</f>
        <v>0</v>
      </c>
      <c r="BC123">
        <f t="shared" si="36"/>
        <v>0</v>
      </c>
      <c r="BD123">
        <f t="shared" si="37"/>
        <v>0</v>
      </c>
      <c r="BE123" s="30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0" cm="1">
        <f t="array" ref="BF123">$G$12+VLOOKUP($R123,武学奇术!$A:$ZZ,12,FALSE)+SUM(_xlfn.XLOOKUP($S123:$AL123,增益!$A:$A,增益!$L:$L,0))</f>
        <v>0</v>
      </c>
      <c r="BG123">
        <f t="shared" si="38"/>
        <v>0</v>
      </c>
      <c r="BH123">
        <f t="shared" si="39"/>
        <v>0</v>
      </c>
      <c r="BI123" s="30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0" cm="1">
        <f t="array" ref="BJ123">$G$13+VLOOKUP($R123,武学奇术!$A:$ZZ,14,FALSE)+SUM(_xlfn.XLOOKUP($S123:$AL123,增益!$A:$A,增益!$N:$N,0))</f>
        <v>0</v>
      </c>
      <c r="BK123">
        <f t="shared" si="40"/>
        <v>605.472</v>
      </c>
      <c r="BL123">
        <f t="shared" si="41"/>
        <v>1725.468</v>
      </c>
      <c r="BM123" s="30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0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0.9036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2"/>
        <v>0.9036</v>
      </c>
      <c r="BU123" s="24">
        <f t="shared" si="43"/>
        <v>0.00350000000000006</v>
      </c>
      <c r="BV123" s="24">
        <f>IF(VLOOKUP($R123,武学奇术!$A:$ZZ,22,FALSE)=1,0,(1-$BO123))*(1-$BR123)</f>
        <v>0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:76">
      <c r="A124" s="4" t="s">
        <v>172</v>
      </c>
      <c r="B124" s="4">
        <v>0.9</v>
      </c>
      <c r="K124">
        <f>$L124*VLOOKUP($R124,武学奇术!$A:$ZZ,31,FALSE)</f>
        <v>0</v>
      </c>
      <c r="L124" s="36">
        <f t="shared" si="33"/>
        <v>0</v>
      </c>
      <c r="M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$21,0))*(1+$BW124)</f>
        <v>0</v>
      </c>
      <c r="N124" s="36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</f>
        <v>0</v>
      </c>
      <c r="O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$21,0))*(1+$BW124)</f>
        <v>0</v>
      </c>
      <c r="P124" s="36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</f>
        <v>0</v>
      </c>
      <c r="Q124" s="70">
        <v>1</v>
      </c>
      <c r="R124" s="38" t="s">
        <v>79</v>
      </c>
      <c r="S124" s="38" t="s">
        <v>79</v>
      </c>
      <c r="T124" s="38" t="s">
        <v>79</v>
      </c>
      <c r="U124" s="38" t="s">
        <v>79</v>
      </c>
      <c r="V124" s="38" t="s">
        <v>79</v>
      </c>
      <c r="W124" s="38" t="s">
        <v>79</v>
      </c>
      <c r="X124" s="38" t="s">
        <v>79</v>
      </c>
      <c r="Y124" s="38" t="s">
        <v>79</v>
      </c>
      <c r="Z124" s="38" t="s">
        <v>79</v>
      </c>
      <c r="AA124" s="38" t="s">
        <v>79</v>
      </c>
      <c r="AB124" s="38" t="s">
        <v>79</v>
      </c>
      <c r="AC124" s="38" t="s">
        <v>79</v>
      </c>
      <c r="AD124" s="38" t="s">
        <v>82</v>
      </c>
      <c r="AE124" s="38" t="s">
        <v>83</v>
      </c>
      <c r="AF124" s="38" t="s">
        <v>84</v>
      </c>
      <c r="AG124" s="38" t="s">
        <v>79</v>
      </c>
      <c r="AH124" s="38" t="s">
        <v>79</v>
      </c>
      <c r="AI124" s="38" t="s">
        <v>79</v>
      </c>
      <c r="AJ124" s="38" t="s">
        <v>79</v>
      </c>
      <c r="AK124" s="38" t="s">
        <v>79</v>
      </c>
      <c r="AL124" s="38" t="s">
        <v>79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0.1837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3901.102</v>
      </c>
      <c r="AU124" cm="1">
        <f t="array" ref="AU124">$E$10*(1+$AS124)+VLOOKUP($R124,武学奇术!$A:$ZZ,4,FALSE)+SUM(_xlfn.XLOOKUP($S124:$AL124,增益!$A:$A,增益!$D:$D,0))-$I$2</f>
        <v>3901.102</v>
      </c>
      <c r="AV124" s="30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0.267</v>
      </c>
      <c r="AW124" s="30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0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0" cm="1">
        <f t="array" ref="BB124">$G$11+VLOOKUP($R124,武学奇术!$A:$ZZ,10,FALSE)+SUM(_xlfn.XLOOKUP($S124:$AL124,增益!$A:$A,增益!$J:$J,0))</f>
        <v>0</v>
      </c>
      <c r="BC124">
        <f t="shared" si="36"/>
        <v>0</v>
      </c>
      <c r="BD124">
        <f t="shared" si="37"/>
        <v>0</v>
      </c>
      <c r="BE124" s="30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0" cm="1">
        <f t="array" ref="BF124">$G$12+VLOOKUP($R124,武学奇术!$A:$ZZ,12,FALSE)+SUM(_xlfn.XLOOKUP($S124:$AL124,增益!$A:$A,增益!$L:$L,0))</f>
        <v>0</v>
      </c>
      <c r="BG124">
        <f t="shared" si="38"/>
        <v>0</v>
      </c>
      <c r="BH124">
        <f t="shared" si="39"/>
        <v>0</v>
      </c>
      <c r="BI124" s="30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0" cm="1">
        <f t="array" ref="BJ124">$G$13+VLOOKUP($R124,武学奇术!$A:$ZZ,14,FALSE)+SUM(_xlfn.XLOOKUP($S124:$AL124,增益!$A:$A,增益!$N:$N,0))</f>
        <v>0</v>
      </c>
      <c r="BK124">
        <f t="shared" si="40"/>
        <v>605.472</v>
      </c>
      <c r="BL124">
        <f t="shared" si="41"/>
        <v>1725.468</v>
      </c>
      <c r="BM124" s="30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0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0.9036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2"/>
        <v>0.9036</v>
      </c>
      <c r="BU124" s="24">
        <f t="shared" si="43"/>
        <v>0.00350000000000006</v>
      </c>
      <c r="BV124" s="24">
        <f>IF(VLOOKUP($R124,武学奇术!$A:$ZZ,22,FALSE)=1,0,(1-$BO124))*(1-$BR124)</f>
        <v>0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:76">
      <c r="A125" t="s">
        <v>169</v>
      </c>
      <c r="B125">
        <v>0.1</v>
      </c>
      <c r="K125">
        <f>$L125*VLOOKUP($R125,武学奇术!$A:$ZZ,31,FALSE)</f>
        <v>0</v>
      </c>
      <c r="L125" s="36">
        <f t="shared" si="33"/>
        <v>0</v>
      </c>
      <c r="M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$21,0))*(1+$BW125)</f>
        <v>0</v>
      </c>
      <c r="N125" s="36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</f>
        <v>0</v>
      </c>
      <c r="O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$21,0))*(1+$BW125)</f>
        <v>0</v>
      </c>
      <c r="P125" s="36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</f>
        <v>0</v>
      </c>
      <c r="Q125" s="70">
        <v>1</v>
      </c>
      <c r="R125" s="38" t="s">
        <v>79</v>
      </c>
      <c r="S125" s="38" t="s">
        <v>79</v>
      </c>
      <c r="T125" s="38" t="s">
        <v>79</v>
      </c>
      <c r="U125" s="38" t="s">
        <v>79</v>
      </c>
      <c r="V125" s="38" t="s">
        <v>79</v>
      </c>
      <c r="W125" s="38" t="s">
        <v>79</v>
      </c>
      <c r="X125" s="38" t="s">
        <v>79</v>
      </c>
      <c r="Y125" s="38" t="s">
        <v>79</v>
      </c>
      <c r="Z125" s="38" t="s">
        <v>79</v>
      </c>
      <c r="AA125" s="38" t="s">
        <v>79</v>
      </c>
      <c r="AB125" s="38" t="s">
        <v>79</v>
      </c>
      <c r="AC125" s="38" t="s">
        <v>79</v>
      </c>
      <c r="AD125" s="38" t="s">
        <v>82</v>
      </c>
      <c r="AE125" s="38" t="s">
        <v>83</v>
      </c>
      <c r="AF125" s="38" t="s">
        <v>84</v>
      </c>
      <c r="AG125" s="38" t="s">
        <v>79</v>
      </c>
      <c r="AH125" s="38" t="s">
        <v>79</v>
      </c>
      <c r="AI125" s="38" t="s">
        <v>79</v>
      </c>
      <c r="AJ125" s="38" t="s">
        <v>79</v>
      </c>
      <c r="AK125" s="38" t="s">
        <v>79</v>
      </c>
      <c r="AL125" s="38" t="s">
        <v>79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0.1837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3901.102</v>
      </c>
      <c r="AU125" cm="1">
        <f t="array" ref="AU125">$E$10*(1+$AS125)+VLOOKUP($R125,武学奇术!$A:$ZZ,4,FALSE)+SUM(_xlfn.XLOOKUP($S125:$AL125,增益!$A:$A,增益!$D:$D,0))-$I$2</f>
        <v>3901.102</v>
      </c>
      <c r="AV125" s="30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0.267</v>
      </c>
      <c r="AW125" s="30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0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0" cm="1">
        <f t="array" ref="BB125">$G$11+VLOOKUP($R125,武学奇术!$A:$ZZ,10,FALSE)+SUM(_xlfn.XLOOKUP($S125:$AL125,增益!$A:$A,增益!$J:$J,0))</f>
        <v>0</v>
      </c>
      <c r="BC125">
        <f t="shared" si="36"/>
        <v>0</v>
      </c>
      <c r="BD125">
        <f t="shared" si="37"/>
        <v>0</v>
      </c>
      <c r="BE125" s="30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0" cm="1">
        <f t="array" ref="BF125">$G$12+VLOOKUP($R125,武学奇术!$A:$ZZ,12,FALSE)+SUM(_xlfn.XLOOKUP($S125:$AL125,增益!$A:$A,增益!$L:$L,0))</f>
        <v>0</v>
      </c>
      <c r="BG125">
        <f t="shared" si="38"/>
        <v>0</v>
      </c>
      <c r="BH125">
        <f t="shared" si="39"/>
        <v>0</v>
      </c>
      <c r="BI125" s="30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0" cm="1">
        <f t="array" ref="BJ125">$G$13+VLOOKUP($R125,武学奇术!$A:$ZZ,14,FALSE)+SUM(_xlfn.XLOOKUP($S125:$AL125,增益!$A:$A,增益!$N:$N,0))</f>
        <v>0</v>
      </c>
      <c r="BK125">
        <f t="shared" si="40"/>
        <v>605.472</v>
      </c>
      <c r="BL125">
        <f t="shared" si="41"/>
        <v>1725.468</v>
      </c>
      <c r="BM125" s="30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0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0.9036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2"/>
        <v>0.9036</v>
      </c>
      <c r="BU125" s="24">
        <f t="shared" si="43"/>
        <v>0.00350000000000006</v>
      </c>
      <c r="BV125" s="24">
        <f>IF(VLOOKUP($R125,武学奇术!$A:$ZZ,22,FALSE)=1,0,(1-$BO125))*(1-$BR125)</f>
        <v>0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:76">
      <c r="A126" t="s">
        <v>201</v>
      </c>
      <c r="B126">
        <v>1.3</v>
      </c>
      <c r="K126">
        <f>$L126*VLOOKUP($R126,武学奇术!$A:$ZZ,31,FALSE)</f>
        <v>0</v>
      </c>
      <c r="L126" s="36">
        <f t="shared" si="33"/>
        <v>0</v>
      </c>
      <c r="M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$21,0))*(1+$BW126)</f>
        <v>0</v>
      </c>
      <c r="N126" s="36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</f>
        <v>0</v>
      </c>
      <c r="O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$21,0))*(1+$BW126)</f>
        <v>0</v>
      </c>
      <c r="P126" s="36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</f>
        <v>0</v>
      </c>
      <c r="Q126" s="70">
        <v>1</v>
      </c>
      <c r="R126" s="38" t="s">
        <v>79</v>
      </c>
      <c r="S126" s="38" t="s">
        <v>79</v>
      </c>
      <c r="T126" s="38" t="s">
        <v>79</v>
      </c>
      <c r="U126" s="38" t="s">
        <v>79</v>
      </c>
      <c r="V126" s="38" t="s">
        <v>79</v>
      </c>
      <c r="W126" s="38" t="s">
        <v>79</v>
      </c>
      <c r="X126" s="38" t="s">
        <v>79</v>
      </c>
      <c r="Y126" s="38" t="s">
        <v>79</v>
      </c>
      <c r="Z126" s="38" t="s">
        <v>79</v>
      </c>
      <c r="AA126" s="38" t="s">
        <v>79</v>
      </c>
      <c r="AB126" s="38" t="s">
        <v>79</v>
      </c>
      <c r="AC126" s="38" t="s">
        <v>79</v>
      </c>
      <c r="AD126" s="38" t="s">
        <v>82</v>
      </c>
      <c r="AE126" s="38" t="s">
        <v>83</v>
      </c>
      <c r="AF126" s="38" t="s">
        <v>84</v>
      </c>
      <c r="AG126" s="38" t="s">
        <v>79</v>
      </c>
      <c r="AH126" s="38" t="s">
        <v>79</v>
      </c>
      <c r="AI126" s="38" t="s">
        <v>79</v>
      </c>
      <c r="AJ126" s="38" t="s">
        <v>79</v>
      </c>
      <c r="AK126" s="38" t="s">
        <v>79</v>
      </c>
      <c r="AL126" s="38" t="s">
        <v>79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0.1837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3901.102</v>
      </c>
      <c r="AU126" cm="1">
        <f t="array" ref="AU126">$E$10*(1+$AS126)+VLOOKUP($R126,武学奇术!$A:$ZZ,4,FALSE)+SUM(_xlfn.XLOOKUP($S126:$AL126,增益!$A:$A,增益!$D:$D,0))-$I$2</f>
        <v>3901.102</v>
      </c>
      <c r="AV126" s="30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0.267</v>
      </c>
      <c r="AW126" s="30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0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0" cm="1">
        <f t="array" ref="BB126">$G$11+VLOOKUP($R126,武学奇术!$A:$ZZ,10,FALSE)+SUM(_xlfn.XLOOKUP($S126:$AL126,增益!$A:$A,增益!$J:$J,0))</f>
        <v>0</v>
      </c>
      <c r="BC126">
        <f t="shared" si="36"/>
        <v>0</v>
      </c>
      <c r="BD126">
        <f t="shared" si="37"/>
        <v>0</v>
      </c>
      <c r="BE126" s="30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0" cm="1">
        <f t="array" ref="BF126">$G$12+VLOOKUP($R126,武学奇术!$A:$ZZ,12,FALSE)+SUM(_xlfn.XLOOKUP($S126:$AL126,增益!$A:$A,增益!$L:$L,0))</f>
        <v>0</v>
      </c>
      <c r="BG126">
        <f t="shared" si="38"/>
        <v>0</v>
      </c>
      <c r="BH126">
        <f t="shared" si="39"/>
        <v>0</v>
      </c>
      <c r="BI126" s="30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0" cm="1">
        <f t="array" ref="BJ126">$G$13+VLOOKUP($R126,武学奇术!$A:$ZZ,14,FALSE)+SUM(_xlfn.XLOOKUP($S126:$AL126,增益!$A:$A,增益!$N:$N,0))</f>
        <v>0</v>
      </c>
      <c r="BK126">
        <f t="shared" si="40"/>
        <v>605.472</v>
      </c>
      <c r="BL126">
        <f t="shared" si="41"/>
        <v>1725.468</v>
      </c>
      <c r="BM126" s="30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0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0.9036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2"/>
        <v>0.9036</v>
      </c>
      <c r="BU126" s="24">
        <f t="shared" si="43"/>
        <v>0.00350000000000006</v>
      </c>
      <c r="BV126" s="24">
        <f>IF(VLOOKUP($R126,武学奇术!$A:$ZZ,22,FALSE)=1,0,(1-$BO126))*(1-$BR126)</f>
        <v>0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:76">
      <c r="A127" t="s">
        <v>180</v>
      </c>
      <c r="B127">
        <v>0.5</v>
      </c>
      <c r="E127" s="70" t="s">
        <v>181</v>
      </c>
      <c r="F127" s="70" t="s">
        <v>175</v>
      </c>
      <c r="K127">
        <f>$L127*VLOOKUP($R127,武学奇术!$A:$ZZ,31,FALSE)</f>
        <v>19115.6694111966</v>
      </c>
      <c r="L127" s="36">
        <f t="shared" si="33"/>
        <v>19115.6694111966</v>
      </c>
      <c r="M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$21,0))*(1+$BW127)</f>
        <v>19482.9129445314</v>
      </c>
      <c r="N127" s="36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</f>
        <v>15860.5181296026</v>
      </c>
      <c r="O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$21,0))*(1+$BW127)</f>
        <v>10704.89722227</v>
      </c>
      <c r="P127" s="36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</f>
        <v>9661.26249668617</v>
      </c>
      <c r="Q127" s="70">
        <f t="shared" ref="Q127:Q136" si="44">IF($E$24="易水歌",1,0)</f>
        <v>1</v>
      </c>
      <c r="R127" s="38" t="s">
        <v>202</v>
      </c>
      <c r="S127" s="38" t="s">
        <v>104</v>
      </c>
      <c r="T127" s="38" t="s">
        <v>139</v>
      </c>
      <c r="U127" s="38" t="s">
        <v>79</v>
      </c>
      <c r="V127" s="38" t="s">
        <v>80</v>
      </c>
      <c r="W127" s="38" t="s">
        <v>79</v>
      </c>
      <c r="X127" s="38" t="s">
        <v>79</v>
      </c>
      <c r="Y127" s="38" t="s">
        <v>96</v>
      </c>
      <c r="Z127" s="38" t="s">
        <v>90</v>
      </c>
      <c r="AA127" s="38" t="s">
        <v>79</v>
      </c>
      <c r="AB127" s="38" t="s">
        <v>97</v>
      </c>
      <c r="AC127" s="38" t="s">
        <v>79</v>
      </c>
      <c r="AD127" s="38" t="s">
        <v>82</v>
      </c>
      <c r="AE127" s="38" t="s">
        <v>83</v>
      </c>
      <c r="AF127" s="38" t="s">
        <v>84</v>
      </c>
      <c r="AG127" s="38" t="s">
        <v>85</v>
      </c>
      <c r="AH127" s="38" t="s">
        <v>79</v>
      </c>
      <c r="AI127" s="38" t="s">
        <v>79</v>
      </c>
      <c r="AJ127" s="38" t="s">
        <v>79</v>
      </c>
      <c r="AK127" s="38" t="s">
        <v>79</v>
      </c>
      <c r="AL127" s="38" t="s">
        <v>79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0.2537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3901.102</v>
      </c>
      <c r="AU127" cm="1">
        <f t="array" ref="AU127">$E$10*(1+$AS127)+VLOOKUP($R127,武学奇术!$A:$ZZ,4,FALSE)+SUM(_xlfn.XLOOKUP($S127:$AL127,增益!$A:$A,增益!$D:$D,0))-$I$2</f>
        <v>3901.102</v>
      </c>
      <c r="AV127" s="30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0.442</v>
      </c>
      <c r="AW127" s="30" cm="1">
        <f t="array" ref="AW127">$G$10+VLOOKUP($R127,武学奇术!$A:$ZZ,7,FALSE)+SUM(_xlfn.XLOOKUP($S127:$AL127,增益!$A:$A,增益!$G:$G,0))</f>
        <v>0.09</v>
      </c>
      <c r="AX127" s="24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0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-0.14</v>
      </c>
      <c r="BB127" s="30" cm="1">
        <f t="array" ref="BB127">$G$11+VLOOKUP($R127,武学奇术!$A:$ZZ,10,FALSE)+SUM(_xlfn.XLOOKUP($S127:$AL127,增益!$A:$A,增益!$J:$J,0))</f>
        <v>0</v>
      </c>
      <c r="BC127">
        <f t="shared" si="36"/>
        <v>0</v>
      </c>
      <c r="BD127">
        <f t="shared" si="37"/>
        <v>0</v>
      </c>
      <c r="BE127" s="30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-0.14</v>
      </c>
      <c r="BF127" s="30" cm="1">
        <f t="array" ref="BF127">$G$12+VLOOKUP($R127,武学奇术!$A:$ZZ,12,FALSE)+SUM(_xlfn.XLOOKUP($S127:$AL127,增益!$A:$A,增益!$L:$L,0))</f>
        <v>0</v>
      </c>
      <c r="BG127">
        <f t="shared" si="38"/>
        <v>0</v>
      </c>
      <c r="BH127">
        <f t="shared" si="39"/>
        <v>0</v>
      </c>
      <c r="BI127" s="30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-0.14</v>
      </c>
      <c r="BJ127" s="30" cm="1">
        <f t="array" ref="BJ127">$G$13+VLOOKUP($R127,武学奇术!$A:$ZZ,14,FALSE)+SUM(_xlfn.XLOOKUP($S127:$AL127,增益!$A:$A,增益!$N:$N,0))</f>
        <v>0</v>
      </c>
      <c r="BK127">
        <f t="shared" si="40"/>
        <v>605.472</v>
      </c>
      <c r="BL127">
        <f t="shared" si="41"/>
        <v>1725.468</v>
      </c>
      <c r="BM127" s="30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0.08</v>
      </c>
      <c r="BN127" s="30" cm="1">
        <f t="array" ref="BN127">$G$14+VLOOKUP($R127,武学奇术!$A:$ZZ,16,FALSE)+SUM(_xlfn.XLOOKUP($S127:$AL127,增益!$A:$A,增益!$P:$P,0))</f>
        <v>0.24</v>
      </c>
      <c r="BO127" s="24">
        <f>MIN(IF(VLOOKUP($R127,武学奇术!$A:$ZZ,23,FALSE)=1,100%,$B$8),100%)</f>
        <v>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0.9036</v>
      </c>
      <c r="BQ127" s="24" cm="1">
        <f t="array" ref="BQ127">1+$B$13+VLOOKUP($R127,武学奇术!$A:$ZZ,18,FALSE)+SUM(_xlfn.XLOOKUP($S127:$AL127,增益!$A:$A,增益!$R:$R,0))</f>
        <v>1.82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2"/>
        <v>0.9036</v>
      </c>
      <c r="BU127" s="24">
        <f t="shared" si="43"/>
        <v>0.00350000000000006</v>
      </c>
      <c r="BV127" s="24">
        <f>IF(VLOOKUP($R127,武学奇术!$A:$ZZ,22,FALSE)=1,0,(1-$BO127))*(1-$BR127)</f>
        <v>0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:76">
      <c r="A128" s="4" t="s">
        <v>182</v>
      </c>
      <c r="B128" s="91">
        <v>0.7</v>
      </c>
      <c r="E128" s="70"/>
      <c r="F128" s="70"/>
      <c r="G128" s="70" t="s">
        <v>178</v>
      </c>
      <c r="K128">
        <f>$L128*VLOOKUP($R128,武学奇术!$A:$ZZ,31,FALSE)</f>
        <v>15398.7862493025</v>
      </c>
      <c r="L128" s="36">
        <f t="shared" si="33"/>
        <v>15398.7862493025</v>
      </c>
      <c r="M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$21,0))*(1+$BW128)</f>
        <v>15533.1618603446</v>
      </c>
      <c r="N128" s="36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$BW128)</f>
        <v>14308.4332521036</v>
      </c>
      <c r="O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$21,0))*(1+$BW128)</f>
        <v>9647.92662133204</v>
      </c>
      <c r="P128" s="36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$BW128)</f>
        <v>8697.0137966614</v>
      </c>
      <c r="Q128" s="70">
        <f t="shared" si="44"/>
        <v>1</v>
      </c>
      <c r="R128" s="38" t="s">
        <v>202</v>
      </c>
      <c r="S128" s="38" t="s">
        <v>104</v>
      </c>
      <c r="T128" s="38" t="s">
        <v>79</v>
      </c>
      <c r="U128" s="38" t="s">
        <v>79</v>
      </c>
      <c r="V128" s="38" t="s">
        <v>79</v>
      </c>
      <c r="W128" s="38" t="s">
        <v>79</v>
      </c>
      <c r="X128" s="38" t="s">
        <v>79</v>
      </c>
      <c r="Y128" s="38" t="s">
        <v>165</v>
      </c>
      <c r="Z128" s="38" t="s">
        <v>79</v>
      </c>
      <c r="AA128" s="38" t="s">
        <v>79</v>
      </c>
      <c r="AB128" s="38" t="s">
        <v>91</v>
      </c>
      <c r="AC128" s="38" t="s">
        <v>79</v>
      </c>
      <c r="AD128" s="38" t="s">
        <v>82</v>
      </c>
      <c r="AE128" s="38" t="s">
        <v>83</v>
      </c>
      <c r="AF128" s="38" t="s">
        <v>84</v>
      </c>
      <c r="AG128" s="38" t="s">
        <v>85</v>
      </c>
      <c r="AH128" s="38" t="s">
        <v>79</v>
      </c>
      <c r="AI128" s="38" t="s">
        <v>79</v>
      </c>
      <c r="AJ128" s="38" t="s">
        <v>79</v>
      </c>
      <c r="AK128" s="38" t="s">
        <v>79</v>
      </c>
      <c r="AL128" s="38" t="s">
        <v>79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0.2337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3901.102</v>
      </c>
      <c r="AU128" cm="1">
        <f t="array" ref="AU128">$E$10*(1+$AS128)+VLOOKUP($R128,武学奇术!$A:$ZZ,4,FALSE)+SUM(_xlfn.XLOOKUP($S128:$AL128,增益!$A:$A,增益!$D:$D,0))-$I$2</f>
        <v>3901.102</v>
      </c>
      <c r="AV128" s="30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0.317</v>
      </c>
      <c r="AW128" s="30" cm="1">
        <f t="array" ref="AW128">$G$10+VLOOKUP($R128,武学奇术!$A:$ZZ,7,FALSE)+SUM(_xlfn.XLOOKUP($S128:$AL128,增益!$A:$A,增益!$G:$G,0))</f>
        <v>0.09</v>
      </c>
      <c r="AX128" s="24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0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0" cm="1">
        <f t="array" ref="BB128">$G$11+VLOOKUP($R128,武学奇术!$A:$ZZ,10,FALSE)+SUM(_xlfn.XLOOKUP($S128:$AL128,增益!$A:$A,增益!$J:$J,0))</f>
        <v>0</v>
      </c>
      <c r="BC128">
        <f t="shared" si="36"/>
        <v>0</v>
      </c>
      <c r="BD128">
        <f t="shared" si="37"/>
        <v>0</v>
      </c>
      <c r="BE128" s="30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0" cm="1">
        <f t="array" ref="BF128">$G$12+VLOOKUP($R128,武学奇术!$A:$ZZ,12,FALSE)+SUM(_xlfn.XLOOKUP($S128:$AL128,增益!$A:$A,增益!$L:$L,0))</f>
        <v>0</v>
      </c>
      <c r="BG128">
        <f t="shared" si="38"/>
        <v>0</v>
      </c>
      <c r="BH128">
        <f t="shared" si="39"/>
        <v>0</v>
      </c>
      <c r="BI128" s="30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0" cm="1">
        <f t="array" ref="BJ128">$G$13+VLOOKUP($R128,武学奇术!$A:$ZZ,14,FALSE)+SUM(_xlfn.XLOOKUP($S128:$AL128,增益!$A:$A,增益!$N:$N,0))</f>
        <v>0</v>
      </c>
      <c r="BK128">
        <f t="shared" si="40"/>
        <v>605.472</v>
      </c>
      <c r="BL128">
        <f t="shared" si="41"/>
        <v>1725.468</v>
      </c>
      <c r="BM128" s="30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0" cm="1">
        <f t="array" ref="BN128">$G$14+VLOOKUP($R128,武学奇术!$A:$ZZ,16,FALSE)+SUM(_xlfn.XLOOKUP($S128:$AL128,增益!$A:$A,增益!$P:$P,0))</f>
        <v>0.24</v>
      </c>
      <c r="BO128" s="24">
        <f>MIN(IF(VLOOKUP($R128,武学奇术!$A:$ZZ,23,FALSE)=1,100%,$B$8),100%)</f>
        <v>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0.9036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2"/>
        <v>0.9036</v>
      </c>
      <c r="BU128" s="24">
        <f t="shared" si="43"/>
        <v>0.00350000000000006</v>
      </c>
      <c r="BV128" s="24">
        <f>IF(VLOOKUP($R128,武学奇术!$A:$ZZ,22,FALSE)=1,0,(1-$BO128))*(1-$BR128)</f>
        <v>0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1:76">
      <c r="A129" s="4" t="s">
        <v>183</v>
      </c>
      <c r="B129" s="4">
        <v>0.8</v>
      </c>
      <c r="E129" s="70"/>
      <c r="F129" s="70"/>
      <c r="G129" s="70"/>
      <c r="K129">
        <f>$L129*VLOOKUP($R129,武学奇术!$A:$ZZ,31,FALSE)</f>
        <v>15924.8934050392</v>
      </c>
      <c r="L129" s="36">
        <f t="shared" si="33"/>
        <v>15924.8934050392</v>
      </c>
      <c r="M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$21,0))*(1+$BW129)</f>
        <v>16082.2501586536</v>
      </c>
      <c r="N129" s="36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$BW129)</f>
        <v>14624.8685289688</v>
      </c>
      <c r="O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$21,0))*(1+$BW129)</f>
        <v>9806.25009674001</v>
      </c>
      <c r="P129" s="36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$BW129)</f>
        <v>8779.26424609572</v>
      </c>
      <c r="Q129" s="70">
        <f t="shared" si="44"/>
        <v>1</v>
      </c>
      <c r="R129" s="38" t="s">
        <v>202</v>
      </c>
      <c r="S129" s="38" t="s">
        <v>104</v>
      </c>
      <c r="T129" s="38" t="s">
        <v>79</v>
      </c>
      <c r="U129" s="38" t="s">
        <v>79</v>
      </c>
      <c r="V129" s="38" t="s">
        <v>79</v>
      </c>
      <c r="W129" s="38" t="s">
        <v>79</v>
      </c>
      <c r="X129" s="38" t="s">
        <v>79</v>
      </c>
      <c r="Y129" s="38" t="s">
        <v>173</v>
      </c>
      <c r="Z129" s="38" t="s">
        <v>90</v>
      </c>
      <c r="AA129" s="38" t="s">
        <v>79</v>
      </c>
      <c r="AB129" s="38" t="s">
        <v>97</v>
      </c>
      <c r="AC129" s="38" t="s">
        <v>79</v>
      </c>
      <c r="AD129" s="38" t="s">
        <v>82</v>
      </c>
      <c r="AE129" s="38" t="s">
        <v>83</v>
      </c>
      <c r="AF129" s="38" t="s">
        <v>84</v>
      </c>
      <c r="AG129" s="38" t="s">
        <v>85</v>
      </c>
      <c r="AH129" s="38" t="s">
        <v>79</v>
      </c>
      <c r="AI129" s="38" t="s">
        <v>79</v>
      </c>
      <c r="AJ129" s="38" t="s">
        <v>79</v>
      </c>
      <c r="AK129" s="38" t="s">
        <v>79</v>
      </c>
      <c r="AL129" s="38" t="s">
        <v>79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0.2337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3901.102</v>
      </c>
      <c r="AU129" cm="1">
        <f t="array" ref="AU129">$E$10*(1+$AS129)+VLOOKUP($R129,武学奇术!$A:$ZZ,4,FALSE)+SUM(_xlfn.XLOOKUP($S129:$AL129,增益!$A:$A,增益!$D:$D,0))-$I$2</f>
        <v>3901.102</v>
      </c>
      <c r="AV129" s="30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0.317</v>
      </c>
      <c r="AW129" s="30" cm="1">
        <f t="array" ref="AW129">$G$10+VLOOKUP($R129,武学奇术!$A:$ZZ,7,FALSE)+SUM(_xlfn.XLOOKUP($S129:$AL129,增益!$A:$A,增益!$G:$G,0))</f>
        <v>0.09</v>
      </c>
      <c r="AX129" s="24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0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-0.14</v>
      </c>
      <c r="BB129" s="30" cm="1">
        <f t="array" ref="BB129">$G$11+VLOOKUP($R129,武学奇术!$A:$ZZ,10,FALSE)+SUM(_xlfn.XLOOKUP($S129:$AL129,增益!$A:$A,增益!$J:$J,0))</f>
        <v>0</v>
      </c>
      <c r="BC129">
        <f t="shared" si="36"/>
        <v>0</v>
      </c>
      <c r="BD129">
        <f t="shared" si="37"/>
        <v>0</v>
      </c>
      <c r="BE129" s="30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-0.14</v>
      </c>
      <c r="BF129" s="30" cm="1">
        <f t="array" ref="BF129">$G$12+VLOOKUP($R129,武学奇术!$A:$ZZ,12,FALSE)+SUM(_xlfn.XLOOKUP($S129:$AL129,增益!$A:$A,增益!$L:$L,0))</f>
        <v>0</v>
      </c>
      <c r="BG129">
        <f t="shared" si="38"/>
        <v>0</v>
      </c>
      <c r="BH129">
        <f t="shared" si="39"/>
        <v>0</v>
      </c>
      <c r="BI129" s="30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-0.14</v>
      </c>
      <c r="BJ129" s="30" cm="1">
        <f t="array" ref="BJ129">$G$13+VLOOKUP($R129,武学奇术!$A:$ZZ,14,FALSE)+SUM(_xlfn.XLOOKUP($S129:$AL129,增益!$A:$A,增益!$N:$N,0))</f>
        <v>0</v>
      </c>
      <c r="BK129">
        <f t="shared" si="40"/>
        <v>605.472</v>
      </c>
      <c r="BL129">
        <f t="shared" si="41"/>
        <v>1725.468</v>
      </c>
      <c r="BM129" s="30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0.08</v>
      </c>
      <c r="BN129" s="30" cm="1">
        <f t="array" ref="BN129">$G$14+VLOOKUP($R129,武学奇术!$A:$ZZ,16,FALSE)+SUM(_xlfn.XLOOKUP($S129:$AL129,增益!$A:$A,增益!$P:$P,0))</f>
        <v>0.24</v>
      </c>
      <c r="BO129" s="24">
        <f>MIN(IF(VLOOKUP($R129,武学奇术!$A:$ZZ,23,FALSE)=1,100%,$B$8),100%)</f>
        <v>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0.9036</v>
      </c>
      <c r="BQ129" s="24" cm="1">
        <f t="array" ref="BQ129">1+$B$13+VLOOKUP($R129,武学奇术!$A:$ZZ,18,FALSE)+SUM(_xlfn.XLOOKUP($S129:$AL129,增益!$A:$A,增益!$R:$R,0))</f>
        <v>1.64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2"/>
        <v>0.9036</v>
      </c>
      <c r="BU129" s="24">
        <f t="shared" si="43"/>
        <v>0.00350000000000006</v>
      </c>
      <c r="BV129" s="24">
        <f>IF(VLOOKUP($R129,武学奇术!$A:$ZZ,22,FALSE)=1,0,(1-$BO129))*(1-$BR129)</f>
        <v>0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1:76">
      <c r="A130" s="4" t="s">
        <v>184</v>
      </c>
      <c r="B130" s="4">
        <v>2.15</v>
      </c>
      <c r="E130" s="70"/>
      <c r="F130" s="70"/>
      <c r="G130" s="70"/>
      <c r="K130">
        <f>$L130*VLOOKUP($R130,武学奇术!$A:$ZZ,31,FALSE)</f>
        <v>15660.3222441535</v>
      </c>
      <c r="L130" s="36">
        <f t="shared" si="33"/>
        <v>15660.3222441535</v>
      </c>
      <c r="M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$21,0))*(1+$BW130)</f>
        <v>15822.5996589846</v>
      </c>
      <c r="N130" s="36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$BW130)</f>
        <v>14308.4332521036</v>
      </c>
      <c r="O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$21,0))*(1+$BW130)</f>
        <v>9647.92662133204</v>
      </c>
      <c r="P130" s="36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$BW130)</f>
        <v>8697.0137966614</v>
      </c>
      <c r="Q130" s="70">
        <f t="shared" si="44"/>
        <v>1</v>
      </c>
      <c r="R130" s="38" t="s">
        <v>202</v>
      </c>
      <c r="S130" s="38" t="s">
        <v>104</v>
      </c>
      <c r="T130" s="38" t="s">
        <v>79</v>
      </c>
      <c r="U130" s="38" t="s">
        <v>79</v>
      </c>
      <c r="V130" s="38" t="s">
        <v>79</v>
      </c>
      <c r="W130" s="38" t="s">
        <v>79</v>
      </c>
      <c r="X130" s="38" t="s">
        <v>79</v>
      </c>
      <c r="Y130" s="38" t="s">
        <v>173</v>
      </c>
      <c r="Z130" s="38" t="s">
        <v>79</v>
      </c>
      <c r="AA130" s="38" t="s">
        <v>79</v>
      </c>
      <c r="AB130" s="38" t="s">
        <v>91</v>
      </c>
      <c r="AC130" s="38" t="s">
        <v>79</v>
      </c>
      <c r="AD130" s="38" t="s">
        <v>82</v>
      </c>
      <c r="AE130" s="38" t="s">
        <v>83</v>
      </c>
      <c r="AF130" s="38" t="s">
        <v>84</v>
      </c>
      <c r="AG130" s="38" t="s">
        <v>85</v>
      </c>
      <c r="AH130" s="38" t="s">
        <v>79</v>
      </c>
      <c r="AI130" s="38" t="s">
        <v>79</v>
      </c>
      <c r="AJ130" s="38" t="s">
        <v>79</v>
      </c>
      <c r="AK130" s="38" t="s">
        <v>79</v>
      </c>
      <c r="AL130" s="38" t="s">
        <v>79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0.2337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3901.102</v>
      </c>
      <c r="AU130" cm="1">
        <f t="array" ref="AU130">$E$10*(1+$AS130)+VLOOKUP($R130,武学奇术!$A:$ZZ,4,FALSE)+SUM(_xlfn.XLOOKUP($S130:$AL130,增益!$A:$A,增益!$D:$D,0))-$I$2</f>
        <v>3901.102</v>
      </c>
      <c r="AV130" s="30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0.317</v>
      </c>
      <c r="AW130" s="30" cm="1">
        <f t="array" ref="AW130">$G$10+VLOOKUP($R130,武学奇术!$A:$ZZ,7,FALSE)+SUM(_xlfn.XLOOKUP($S130:$AL130,增益!$A:$A,增益!$G:$G,0))</f>
        <v>0.09</v>
      </c>
      <c r="AX130" s="24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0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0" cm="1">
        <f t="array" ref="BB130">$G$11+VLOOKUP($R130,武学奇术!$A:$ZZ,10,FALSE)+SUM(_xlfn.XLOOKUP($S130:$AL130,增益!$A:$A,增益!$J:$J,0))</f>
        <v>0</v>
      </c>
      <c r="BC130">
        <f t="shared" si="36"/>
        <v>0</v>
      </c>
      <c r="BD130">
        <f t="shared" si="37"/>
        <v>0</v>
      </c>
      <c r="BE130" s="30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0" cm="1">
        <f t="array" ref="BF130">$G$12+VLOOKUP($R130,武学奇术!$A:$ZZ,12,FALSE)+SUM(_xlfn.XLOOKUP($S130:$AL130,增益!$A:$A,增益!$L:$L,0))</f>
        <v>0</v>
      </c>
      <c r="BG130">
        <f t="shared" si="38"/>
        <v>0</v>
      </c>
      <c r="BH130">
        <f t="shared" si="39"/>
        <v>0</v>
      </c>
      <c r="BI130" s="30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0" cm="1">
        <f t="array" ref="BJ130">$G$13+VLOOKUP($R130,武学奇术!$A:$ZZ,14,FALSE)+SUM(_xlfn.XLOOKUP($S130:$AL130,增益!$A:$A,增益!$N:$N,0))</f>
        <v>0</v>
      </c>
      <c r="BK130">
        <f t="shared" si="40"/>
        <v>605.472</v>
      </c>
      <c r="BL130">
        <f t="shared" si="41"/>
        <v>1725.468</v>
      </c>
      <c r="BM130" s="30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0" cm="1">
        <f t="array" ref="BN130">$G$14+VLOOKUP($R130,武学奇术!$A:$ZZ,16,FALSE)+SUM(_xlfn.XLOOKUP($S130:$AL130,增益!$A:$A,增益!$P:$P,0))</f>
        <v>0.24</v>
      </c>
      <c r="BO130" s="24">
        <f>MIN(IF(VLOOKUP($R130,武学奇术!$A:$ZZ,23,FALSE)=1,100%,$B$8),100%)</f>
        <v>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0.9036</v>
      </c>
      <c r="BQ130" s="24" cm="1">
        <f t="array" ref="BQ130">1+$B$13+VLOOKUP($R130,武学奇术!$A:$ZZ,18,FALSE)+SUM(_xlfn.XLOOKUP($S130:$AL130,增益!$A:$A,增益!$R:$R,0))</f>
        <v>1.64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2"/>
        <v>0.9036</v>
      </c>
      <c r="BU130" s="24">
        <f t="shared" si="43"/>
        <v>0.00350000000000006</v>
      </c>
      <c r="BV130" s="24">
        <f>IF(VLOOKUP($R130,武学奇术!$A:$ZZ,22,FALSE)=1,0,(1-$BO130))*(1-$BR130)</f>
        <v>0</v>
      </c>
      <c r="BW130" s="24" cm="1">
        <f t="array" ref="BW130">SUM(_xlfn.XLOOKUP($S130:$AL130,增益!$A:$A,增益!$W:$W,0))+$I$5</f>
        <v>0.11</v>
      </c>
      <c r="BX130" s="24" cm="1">
        <f t="array" ref="BX130">SUM(_xlfn.XLOOKUP($S130:$AL130,增益!$A:$A,增益!$X:$X,0))</f>
        <v>0</v>
      </c>
    </row>
    <row r="131" spans="1:76">
      <c r="A131" s="4" t="s">
        <v>203</v>
      </c>
      <c r="B131" s="4">
        <v>6</v>
      </c>
      <c r="D131" t="s">
        <v>197</v>
      </c>
      <c r="F131" s="70"/>
      <c r="G131" s="70"/>
      <c r="K131">
        <f>$L131*VLOOKUP($R131,武学奇术!$A:$ZZ,31,FALSE)</f>
        <v>22986.3997950664</v>
      </c>
      <c r="L131" s="36">
        <f t="shared" si="33"/>
        <v>22986.3997950664</v>
      </c>
      <c r="M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$21,0))*(1+$BW131)</f>
        <v>23496.7914315903</v>
      </c>
      <c r="N131" s="36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$BW131)</f>
        <v>18419.6607185814</v>
      </c>
      <c r="O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$21,0))*(1+$BW131)</f>
        <v>12432.1647786192</v>
      </c>
      <c r="P131" s="36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$BW131)</f>
        <v>11220.1364323633</v>
      </c>
      <c r="Q131" s="70">
        <f t="shared" si="44"/>
        <v>1</v>
      </c>
      <c r="R131" s="38" t="s">
        <v>202</v>
      </c>
      <c r="S131" s="38" t="s">
        <v>104</v>
      </c>
      <c r="T131" s="38" t="s">
        <v>139</v>
      </c>
      <c r="U131" s="38" t="s">
        <v>79</v>
      </c>
      <c r="V131" s="38" t="s">
        <v>79</v>
      </c>
      <c r="W131" s="38" t="s">
        <v>188</v>
      </c>
      <c r="X131" s="38" t="s">
        <v>189</v>
      </c>
      <c r="Y131" s="38" t="s">
        <v>173</v>
      </c>
      <c r="Z131" s="38" t="s">
        <v>90</v>
      </c>
      <c r="AA131" s="38" t="s">
        <v>79</v>
      </c>
      <c r="AB131" s="38" t="s">
        <v>97</v>
      </c>
      <c r="AC131" s="38" t="s">
        <v>79</v>
      </c>
      <c r="AD131" s="38" t="s">
        <v>82</v>
      </c>
      <c r="AE131" s="38" t="s">
        <v>83</v>
      </c>
      <c r="AF131" s="38" t="s">
        <v>84</v>
      </c>
      <c r="AG131" s="38" t="s">
        <v>85</v>
      </c>
      <c r="AH131" s="38" t="s">
        <v>79</v>
      </c>
      <c r="AI131" s="38" t="s">
        <v>79</v>
      </c>
      <c r="AJ131" s="38" t="s">
        <v>79</v>
      </c>
      <c r="AK131" s="38" t="s">
        <v>79</v>
      </c>
      <c r="AL131" s="38" t="s">
        <v>79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0.2337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3901.102</v>
      </c>
      <c r="AU131" cm="1">
        <f t="array" ref="AU131">$E$10*(1+$AS131)+VLOOKUP($R131,武学奇术!$A:$ZZ,4,FALSE)+SUM(_xlfn.XLOOKUP($S131:$AL131,增益!$A:$A,增益!$D:$D,0))-$I$2</f>
        <v>3901.102</v>
      </c>
      <c r="AV131" s="30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0.442</v>
      </c>
      <c r="AW131" s="30" cm="1">
        <f t="array" ref="AW131">$G$10+VLOOKUP($R131,武学奇术!$A:$ZZ,7,FALSE)+SUM(_xlfn.XLOOKUP($S131:$AL131,增益!$A:$A,增益!$G:$G,0))</f>
        <v>0.09</v>
      </c>
      <c r="AX131" s="24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0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-0.14</v>
      </c>
      <c r="BB131" s="30" cm="1">
        <f t="array" ref="BB131">$G$11+VLOOKUP($R131,武学奇术!$A:$ZZ,10,FALSE)+SUM(_xlfn.XLOOKUP($S131:$AL131,增益!$A:$A,增益!$J:$J,0))</f>
        <v>0.1</v>
      </c>
      <c r="BC131">
        <f t="shared" si="36"/>
        <v>0</v>
      </c>
      <c r="BD131">
        <f t="shared" si="37"/>
        <v>0</v>
      </c>
      <c r="BE131" s="30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-0.14</v>
      </c>
      <c r="BF131" s="30" cm="1">
        <f t="array" ref="BF131">$G$12+VLOOKUP($R131,武学奇术!$A:$ZZ,12,FALSE)+SUM(_xlfn.XLOOKUP($S131:$AL131,增益!$A:$A,增益!$L:$L,0))</f>
        <v>0</v>
      </c>
      <c r="BG131">
        <f t="shared" si="38"/>
        <v>0</v>
      </c>
      <c r="BH131">
        <f t="shared" si="39"/>
        <v>0</v>
      </c>
      <c r="BI131" s="30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-0.14</v>
      </c>
      <c r="BJ131" s="30" cm="1">
        <f t="array" ref="BJ131">$G$13+VLOOKUP($R131,武学奇术!$A:$ZZ,14,FALSE)+SUM(_xlfn.XLOOKUP($S131:$AL131,增益!$A:$A,增益!$N:$N,0))</f>
        <v>0</v>
      </c>
      <c r="BK131">
        <f t="shared" si="40"/>
        <v>605.472</v>
      </c>
      <c r="BL131">
        <f t="shared" si="41"/>
        <v>1725.468</v>
      </c>
      <c r="BM131" s="30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0.08</v>
      </c>
      <c r="BN131" s="30" cm="1">
        <f t="array" ref="BN131">$G$14+VLOOKUP($R131,武学奇术!$A:$ZZ,16,FALSE)+SUM(_xlfn.XLOOKUP($S131:$AL131,增益!$A:$A,增益!$P:$P,0))</f>
        <v>0.24</v>
      </c>
      <c r="BO131" s="24">
        <f>MIN(IF(VLOOKUP($R131,武学奇术!$A:$ZZ,23,FALSE)=1,100%,$B$8),100%)</f>
        <v>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0.9036</v>
      </c>
      <c r="BQ131" s="24" cm="1">
        <f t="array" ref="BQ131">1+$B$13+VLOOKUP($R131,武学奇术!$A:$ZZ,18,FALSE)+SUM(_xlfn.XLOOKUP($S131:$AL131,增益!$A:$A,增益!$R:$R,0))</f>
        <v>1.89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2"/>
        <v>0.9036</v>
      </c>
      <c r="BU131" s="24">
        <f t="shared" si="43"/>
        <v>0.00350000000000006</v>
      </c>
      <c r="BV131" s="24">
        <f>IF(VLOOKUP($R131,武学奇术!$A:$ZZ,22,FALSE)=1,0,(1-$BO131))*(1-$BR131)</f>
        <v>0</v>
      </c>
      <c r="BW131" s="24" cm="1">
        <f t="array" ref="BW131">SUM(_xlfn.XLOOKUP($S131:$AL131,增益!$A:$A,增益!$W:$W,0))+$I$5</f>
        <v>0.31</v>
      </c>
      <c r="BX131" s="24" cm="1">
        <f t="array" ref="BX131">SUM(_xlfn.XLOOKUP($S131:$AL131,增益!$A:$A,增益!$X:$X,0))</f>
        <v>0</v>
      </c>
    </row>
    <row r="132" spans="1:76">
      <c r="A132" s="4"/>
      <c r="B132" s="91"/>
      <c r="F132" s="70"/>
      <c r="K132">
        <f>$L132*VLOOKUP($R132,武学奇术!$A:$ZZ,31,FALSE)</f>
        <v>15924.8934050392</v>
      </c>
      <c r="L132" s="36">
        <f t="shared" si="33"/>
        <v>15924.8934050392</v>
      </c>
      <c r="M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$21,0))*(1+$BW132)</f>
        <v>16082.2501586536</v>
      </c>
      <c r="N132" s="36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$BW132)</f>
        <v>14624.8685289688</v>
      </c>
      <c r="O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$21,0))*(1+$BW132)</f>
        <v>9806.25009674001</v>
      </c>
      <c r="P132" s="36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$BW132)</f>
        <v>8779.26424609572</v>
      </c>
      <c r="Q132" s="70">
        <f t="shared" si="44"/>
        <v>1</v>
      </c>
      <c r="R132" s="38" t="s">
        <v>202</v>
      </c>
      <c r="S132" s="38" t="s">
        <v>104</v>
      </c>
      <c r="T132" s="38" t="s">
        <v>79</v>
      </c>
      <c r="U132" s="38" t="s">
        <v>79</v>
      </c>
      <c r="V132" s="38" t="s">
        <v>79</v>
      </c>
      <c r="W132" s="38" t="s">
        <v>79</v>
      </c>
      <c r="X132" s="38" t="s">
        <v>79</v>
      </c>
      <c r="Y132" s="38" t="s">
        <v>173</v>
      </c>
      <c r="Z132" s="38" t="s">
        <v>90</v>
      </c>
      <c r="AA132" s="38" t="s">
        <v>79</v>
      </c>
      <c r="AB132" s="38" t="s">
        <v>91</v>
      </c>
      <c r="AC132" s="38" t="s">
        <v>79</v>
      </c>
      <c r="AD132" s="38" t="s">
        <v>82</v>
      </c>
      <c r="AE132" s="38" t="s">
        <v>83</v>
      </c>
      <c r="AF132" s="38" t="s">
        <v>84</v>
      </c>
      <c r="AG132" s="38" t="s">
        <v>85</v>
      </c>
      <c r="AH132" s="38" t="s">
        <v>79</v>
      </c>
      <c r="AI132" s="38" t="s">
        <v>79</v>
      </c>
      <c r="AJ132" s="38" t="s">
        <v>79</v>
      </c>
      <c r="AK132" s="38" t="s">
        <v>79</v>
      </c>
      <c r="AL132" s="38" t="s">
        <v>79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0.2337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3901.102</v>
      </c>
      <c r="AU132" cm="1">
        <f t="array" ref="AU132">$E$10*(1+$AS132)+VLOOKUP($R132,武学奇术!$A:$ZZ,4,FALSE)+SUM(_xlfn.XLOOKUP($S132:$AL132,增益!$A:$A,增益!$D:$D,0))-$I$2</f>
        <v>3901.102</v>
      </c>
      <c r="AV132" s="30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0.317</v>
      </c>
      <c r="AW132" s="30" cm="1">
        <f t="array" ref="AW132">$G$10+VLOOKUP($R132,武学奇术!$A:$ZZ,7,FALSE)+SUM(_xlfn.XLOOKUP($S132:$AL132,增益!$A:$A,增益!$G:$G,0))</f>
        <v>0.09</v>
      </c>
      <c r="AX132" s="24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0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0" cm="1">
        <f t="array" ref="BB132">$G$11+VLOOKUP($R132,武学奇术!$A:$ZZ,10,FALSE)+SUM(_xlfn.XLOOKUP($S132:$AL132,增益!$A:$A,增益!$J:$J,0))</f>
        <v>0</v>
      </c>
      <c r="BC132">
        <f t="shared" si="36"/>
        <v>0</v>
      </c>
      <c r="BD132">
        <f t="shared" si="37"/>
        <v>0</v>
      </c>
      <c r="BE132" s="30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0" cm="1">
        <f t="array" ref="BF132">$G$12+VLOOKUP($R132,武学奇术!$A:$ZZ,12,FALSE)+SUM(_xlfn.XLOOKUP($S132:$AL132,增益!$A:$A,增益!$L:$L,0))</f>
        <v>0</v>
      </c>
      <c r="BG132">
        <f t="shared" si="38"/>
        <v>0</v>
      </c>
      <c r="BH132">
        <f t="shared" si="39"/>
        <v>0</v>
      </c>
      <c r="BI132" s="30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-0.14</v>
      </c>
      <c r="BJ132" s="30" cm="1">
        <f t="array" ref="BJ132">$G$13+VLOOKUP($R132,武学奇术!$A:$ZZ,14,FALSE)+SUM(_xlfn.XLOOKUP($S132:$AL132,增益!$A:$A,增益!$N:$N,0))</f>
        <v>0</v>
      </c>
      <c r="BK132">
        <f t="shared" si="40"/>
        <v>605.472</v>
      </c>
      <c r="BL132">
        <f t="shared" si="41"/>
        <v>1725.468</v>
      </c>
      <c r="BM132" s="30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0.08</v>
      </c>
      <c r="BN132" s="30" cm="1">
        <f t="array" ref="BN132">$G$14+VLOOKUP($R132,武学奇术!$A:$ZZ,16,FALSE)+SUM(_xlfn.XLOOKUP($S132:$AL132,增益!$A:$A,增益!$P:$P,0))</f>
        <v>0.24</v>
      </c>
      <c r="BO132" s="24">
        <f>MIN(IF(VLOOKUP($R132,武学奇术!$A:$ZZ,23,FALSE)=1,100%,$B$8),100%)</f>
        <v>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0.9036</v>
      </c>
      <c r="BQ132" s="24" cm="1">
        <f t="array" ref="BQ132">1+$B$13+VLOOKUP($R132,武学奇术!$A:$ZZ,18,FALSE)+SUM(_xlfn.XLOOKUP($S132:$AL132,增益!$A:$A,增益!$R:$R,0))</f>
        <v>1.64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2"/>
        <v>0.9036</v>
      </c>
      <c r="BU132" s="24">
        <f t="shared" si="43"/>
        <v>0.00350000000000006</v>
      </c>
      <c r="BV132" s="24">
        <f>IF(VLOOKUP($R132,武学奇术!$A:$ZZ,22,FALSE)=1,0,(1-$BO132))*(1-$BR132)</f>
        <v>0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1:76">
      <c r="F133" s="70"/>
      <c r="K133">
        <f>$L133*VLOOKUP($R133,武学奇术!$A:$ZZ,31,FALSE)</f>
        <v>19477.0257805524</v>
      </c>
      <c r="L133" s="36">
        <f t="shared" si="33"/>
        <v>19477.0257805524</v>
      </c>
      <c r="M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$21,0))*(1+$BW133)</f>
        <v>19909.4950298208</v>
      </c>
      <c r="N133" s="36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$BW133)</f>
        <v>15607.4987768132</v>
      </c>
      <c r="O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$21,0))*(1+$BW133)</f>
        <v>10534.1243544025</v>
      </c>
      <c r="P133" s="36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$BW133)</f>
        <v>9507.13850375825</v>
      </c>
      <c r="Q133" s="70">
        <f t="shared" si="44"/>
        <v>1</v>
      </c>
      <c r="R133" s="38" t="s">
        <v>202</v>
      </c>
      <c r="S133" s="38" t="s">
        <v>104</v>
      </c>
      <c r="T133" s="38" t="s">
        <v>139</v>
      </c>
      <c r="U133" s="38" t="s">
        <v>79</v>
      </c>
      <c r="V133" s="38" t="s">
        <v>79</v>
      </c>
      <c r="W133" s="38" t="s">
        <v>79</v>
      </c>
      <c r="X133" s="38" t="s">
        <v>79</v>
      </c>
      <c r="Y133" s="38" t="s">
        <v>173</v>
      </c>
      <c r="Z133" s="38" t="s">
        <v>90</v>
      </c>
      <c r="AA133" s="38" t="s">
        <v>79</v>
      </c>
      <c r="AB133" s="38" t="s">
        <v>97</v>
      </c>
      <c r="AC133" s="38" t="s">
        <v>79</v>
      </c>
      <c r="AD133" s="38" t="s">
        <v>82</v>
      </c>
      <c r="AE133" s="38" t="s">
        <v>83</v>
      </c>
      <c r="AF133" s="38" t="s">
        <v>84</v>
      </c>
      <c r="AG133" s="38" t="s">
        <v>85</v>
      </c>
      <c r="AH133" s="38" t="s">
        <v>79</v>
      </c>
      <c r="AI133" s="38" t="s">
        <v>79</v>
      </c>
      <c r="AJ133" s="38" t="s">
        <v>79</v>
      </c>
      <c r="AK133" s="38" t="s">
        <v>79</v>
      </c>
      <c r="AL133" s="38" t="s">
        <v>79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0.2337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3901.102</v>
      </c>
      <c r="AU133" cm="1">
        <f t="array" ref="AU133">$E$10*(1+$AS133)+VLOOKUP($R133,武学奇术!$A:$ZZ,4,FALSE)+SUM(_xlfn.XLOOKUP($S133:$AL133,增益!$A:$A,增益!$D:$D,0))-$I$2</f>
        <v>3901.102</v>
      </c>
      <c r="AV133" s="30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0.442</v>
      </c>
      <c r="AW133" s="30" cm="1">
        <f t="array" ref="AW133">$G$10+VLOOKUP($R133,武学奇术!$A:$ZZ,7,FALSE)+SUM(_xlfn.XLOOKUP($S133:$AL133,增益!$A:$A,增益!$G:$G,0))</f>
        <v>0.09</v>
      </c>
      <c r="AX133" s="24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0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-0.14</v>
      </c>
      <c r="BB133" s="30" cm="1">
        <f t="array" ref="BB133">$G$11+VLOOKUP($R133,武学奇术!$A:$ZZ,10,FALSE)+SUM(_xlfn.XLOOKUP($S133:$AL133,增益!$A:$A,增益!$J:$J,0))</f>
        <v>0</v>
      </c>
      <c r="BC133">
        <f t="shared" si="36"/>
        <v>0</v>
      </c>
      <c r="BD133">
        <f t="shared" si="37"/>
        <v>0</v>
      </c>
      <c r="BE133" s="30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-0.14</v>
      </c>
      <c r="BF133" s="30" cm="1">
        <f t="array" ref="BF133">$G$12+VLOOKUP($R133,武学奇术!$A:$ZZ,12,FALSE)+SUM(_xlfn.XLOOKUP($S133:$AL133,增益!$A:$A,增益!$L:$L,0))</f>
        <v>0</v>
      </c>
      <c r="BG133">
        <f t="shared" si="38"/>
        <v>0</v>
      </c>
      <c r="BH133">
        <f t="shared" si="39"/>
        <v>0</v>
      </c>
      <c r="BI133" s="30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-0.14</v>
      </c>
      <c r="BJ133" s="30" cm="1">
        <f t="array" ref="BJ133">$G$13+VLOOKUP($R133,武学奇术!$A:$ZZ,14,FALSE)+SUM(_xlfn.XLOOKUP($S133:$AL133,增益!$A:$A,增益!$N:$N,0))</f>
        <v>0</v>
      </c>
      <c r="BK133">
        <f t="shared" si="40"/>
        <v>605.472</v>
      </c>
      <c r="BL133">
        <f t="shared" si="41"/>
        <v>1725.468</v>
      </c>
      <c r="BM133" s="30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0.08</v>
      </c>
      <c r="BN133" s="30" cm="1">
        <f t="array" ref="BN133">$G$14+VLOOKUP($R133,武学奇术!$A:$ZZ,16,FALSE)+SUM(_xlfn.XLOOKUP($S133:$AL133,增益!$A:$A,增益!$P:$P,0))</f>
        <v>0.24</v>
      </c>
      <c r="BO133" s="24">
        <f>MIN(IF(VLOOKUP($R133,武学奇术!$A:$ZZ,23,FALSE)=1,100%,$B$8),100%)</f>
        <v>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0.9036</v>
      </c>
      <c r="BQ133" s="24" cm="1">
        <f t="array" ref="BQ133">1+$B$13+VLOOKUP($R133,武学奇术!$A:$ZZ,18,FALSE)+SUM(_xlfn.XLOOKUP($S133:$AL133,增益!$A:$A,增益!$R:$R,0))</f>
        <v>1.89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2"/>
        <v>0.9036</v>
      </c>
      <c r="BU133" s="24">
        <f t="shared" si="43"/>
        <v>0.00350000000000006</v>
      </c>
      <c r="BV133" s="24">
        <f>IF(VLOOKUP($R133,武学奇术!$A:$ZZ,22,FALSE)=1,0,(1-$BO133))*(1-$BR133)</f>
        <v>0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1:76">
      <c r="F134" s="70"/>
      <c r="K134">
        <f>$L134*VLOOKUP($R134,武学奇术!$A:$ZZ,31,FALSE)</f>
        <v>15924.8934050392</v>
      </c>
      <c r="L134" s="36">
        <f t="shared" si="33"/>
        <v>15924.8934050392</v>
      </c>
      <c r="M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$21,0))*(1+$BW134)</f>
        <v>16082.2501586536</v>
      </c>
      <c r="N134" s="36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$BW134)</f>
        <v>14624.8685289688</v>
      </c>
      <c r="O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$21,0))*(1+$BW134)</f>
        <v>9806.25009674001</v>
      </c>
      <c r="P134" s="36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$BW134)</f>
        <v>8779.26424609572</v>
      </c>
      <c r="Q134" s="70">
        <f t="shared" si="44"/>
        <v>1</v>
      </c>
      <c r="R134" s="38" t="s">
        <v>202</v>
      </c>
      <c r="S134" s="38" t="s">
        <v>104</v>
      </c>
      <c r="T134" s="38" t="s">
        <v>79</v>
      </c>
      <c r="U134" s="38" t="s">
        <v>79</v>
      </c>
      <c r="V134" s="38" t="s">
        <v>79</v>
      </c>
      <c r="W134" s="38" t="s">
        <v>79</v>
      </c>
      <c r="X134" s="38" t="s">
        <v>79</v>
      </c>
      <c r="Y134" s="38" t="s">
        <v>173</v>
      </c>
      <c r="Z134" s="38" t="s">
        <v>90</v>
      </c>
      <c r="AA134" s="38" t="s">
        <v>79</v>
      </c>
      <c r="AB134" s="38" t="s">
        <v>97</v>
      </c>
      <c r="AC134" s="38" t="s">
        <v>79</v>
      </c>
      <c r="AD134" s="38" t="s">
        <v>82</v>
      </c>
      <c r="AE134" s="38" t="s">
        <v>83</v>
      </c>
      <c r="AF134" s="38" t="s">
        <v>84</v>
      </c>
      <c r="AG134" s="38" t="s">
        <v>85</v>
      </c>
      <c r="AH134" s="38" t="s">
        <v>79</v>
      </c>
      <c r="AI134" s="38" t="s">
        <v>79</v>
      </c>
      <c r="AJ134" s="38" t="s">
        <v>79</v>
      </c>
      <c r="AK134" s="38" t="s">
        <v>79</v>
      </c>
      <c r="AL134" s="38" t="s">
        <v>79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0.2337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3901.102</v>
      </c>
      <c r="AU134" cm="1">
        <f t="array" ref="AU134">$E$10*(1+$AS134)+VLOOKUP($R134,武学奇术!$A:$ZZ,4,FALSE)+SUM(_xlfn.XLOOKUP($S134:$AL134,增益!$A:$A,增益!$D:$D,0))-$I$2</f>
        <v>3901.102</v>
      </c>
      <c r="AV134" s="30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0.317</v>
      </c>
      <c r="AW134" s="30" cm="1">
        <f t="array" ref="AW134">$G$10+VLOOKUP($R134,武学奇术!$A:$ZZ,7,FALSE)+SUM(_xlfn.XLOOKUP($S134:$AL134,增益!$A:$A,增益!$G:$G,0))</f>
        <v>0.09</v>
      </c>
      <c r="AX134" s="24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0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0" cm="1">
        <f t="array" ref="BB134">$G$11+VLOOKUP($R134,武学奇术!$A:$ZZ,10,FALSE)+SUM(_xlfn.XLOOKUP($S134:$AL134,增益!$A:$A,增益!$J:$J,0))</f>
        <v>0</v>
      </c>
      <c r="BC134">
        <f t="shared" si="36"/>
        <v>0</v>
      </c>
      <c r="BD134">
        <f t="shared" si="37"/>
        <v>0</v>
      </c>
      <c r="BE134" s="30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0" cm="1">
        <f t="array" ref="BF134">$G$12+VLOOKUP($R134,武学奇术!$A:$ZZ,12,FALSE)+SUM(_xlfn.XLOOKUP($S134:$AL134,增益!$A:$A,增益!$L:$L,0))</f>
        <v>0</v>
      </c>
      <c r="BG134">
        <f t="shared" si="38"/>
        <v>0</v>
      </c>
      <c r="BH134">
        <f t="shared" si="39"/>
        <v>0</v>
      </c>
      <c r="BI134" s="30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-0.14</v>
      </c>
      <c r="BJ134" s="30" cm="1">
        <f t="array" ref="BJ134">$G$13+VLOOKUP($R134,武学奇术!$A:$ZZ,14,FALSE)+SUM(_xlfn.XLOOKUP($S134:$AL134,增益!$A:$A,增益!$N:$N,0))</f>
        <v>0</v>
      </c>
      <c r="BK134">
        <f t="shared" si="40"/>
        <v>605.472</v>
      </c>
      <c r="BL134">
        <f t="shared" si="41"/>
        <v>1725.468</v>
      </c>
      <c r="BM134" s="30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0.08</v>
      </c>
      <c r="BN134" s="30" cm="1">
        <f t="array" ref="BN134">$G$14+VLOOKUP($R134,武学奇术!$A:$ZZ,16,FALSE)+SUM(_xlfn.XLOOKUP($S134:$AL134,增益!$A:$A,增益!$P:$P,0))</f>
        <v>0.24</v>
      </c>
      <c r="BO134" s="24">
        <f>MIN(IF(VLOOKUP($R134,武学奇术!$A:$ZZ,23,FALSE)=1,100%,$B$8),100%)</f>
        <v>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0.9036</v>
      </c>
      <c r="BQ134" s="24" cm="1">
        <f t="array" ref="BQ134">1+$B$13+VLOOKUP($R134,武学奇术!$A:$ZZ,18,FALSE)+SUM(_xlfn.XLOOKUP($S134:$AL134,增益!$A:$A,增益!$R:$R,0))</f>
        <v>1.64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2"/>
        <v>0.9036</v>
      </c>
      <c r="BU134" s="24">
        <f t="shared" si="43"/>
        <v>0.00350000000000006</v>
      </c>
      <c r="BV134" s="24">
        <f>IF(VLOOKUP($R134,武学奇术!$A:$ZZ,22,FALSE)=1,0,(1-$BO134))*(1-$BR134)</f>
        <v>0</v>
      </c>
      <c r="BW134" s="24" cm="1">
        <f t="array" ref="BW134">SUM(_xlfn.XLOOKUP($S134:$AL134,增益!$A:$A,增益!$W:$W,0))+$I$5</f>
        <v>0.11</v>
      </c>
      <c r="BX134" s="24" cm="1">
        <f t="array" ref="BX134">SUM(_xlfn.XLOOKUP($S134:$AL134,增益!$A:$A,增益!$X:$X,0))</f>
        <v>0</v>
      </c>
    </row>
    <row r="135" spans="1:76">
      <c r="A135" s="4"/>
      <c r="B135" s="91"/>
      <c r="F135" s="70"/>
      <c r="K135">
        <f>$L135*VLOOKUP($R135,武学奇术!$A:$ZZ,31,FALSE)</f>
        <v>15660.3222441535</v>
      </c>
      <c r="L135" s="36">
        <f t="shared" si="33"/>
        <v>15660.3222441535</v>
      </c>
      <c r="M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$21,0))*(1+$BW135)</f>
        <v>15822.5996589846</v>
      </c>
      <c r="N135" s="36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$BW135)</f>
        <v>14308.4332521036</v>
      </c>
      <c r="O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$21,0))*(1+$BW135)</f>
        <v>9647.92662133204</v>
      </c>
      <c r="P135" s="36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$BW135)</f>
        <v>8697.0137966614</v>
      </c>
      <c r="Q135" s="70">
        <f t="shared" si="44"/>
        <v>1</v>
      </c>
      <c r="R135" s="38" t="s">
        <v>202</v>
      </c>
      <c r="S135" s="38" t="s">
        <v>104</v>
      </c>
      <c r="T135" s="38" t="s">
        <v>79</v>
      </c>
      <c r="U135" s="38" t="s">
        <v>79</v>
      </c>
      <c r="V135" s="38" t="s">
        <v>79</v>
      </c>
      <c r="W135" s="38" t="s">
        <v>79</v>
      </c>
      <c r="X135" s="38" t="s">
        <v>79</v>
      </c>
      <c r="Y135" s="38" t="s">
        <v>173</v>
      </c>
      <c r="Z135" s="38" t="s">
        <v>79</v>
      </c>
      <c r="AA135" s="38" t="s">
        <v>79</v>
      </c>
      <c r="AB135" s="38" t="s">
        <v>91</v>
      </c>
      <c r="AC135" s="38" t="s">
        <v>79</v>
      </c>
      <c r="AD135" s="38" t="s">
        <v>82</v>
      </c>
      <c r="AE135" s="38" t="s">
        <v>83</v>
      </c>
      <c r="AF135" s="38" t="s">
        <v>84</v>
      </c>
      <c r="AG135" s="38" t="s">
        <v>85</v>
      </c>
      <c r="AH135" s="38" t="s">
        <v>79</v>
      </c>
      <c r="AI135" s="38" t="s">
        <v>79</v>
      </c>
      <c r="AJ135" s="38" t="s">
        <v>79</v>
      </c>
      <c r="AK135" s="38" t="s">
        <v>79</v>
      </c>
      <c r="AL135" s="38" t="s">
        <v>79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0.2337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3901.102</v>
      </c>
      <c r="AU135" cm="1">
        <f t="array" ref="AU135">$E$10*(1+$AS135)+VLOOKUP($R135,武学奇术!$A:$ZZ,4,FALSE)+SUM(_xlfn.XLOOKUP($S135:$AL135,增益!$A:$A,增益!$D:$D,0))-$I$2</f>
        <v>3901.102</v>
      </c>
      <c r="AV135" s="30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0.317</v>
      </c>
      <c r="AW135" s="30" cm="1">
        <f t="array" ref="AW135">$G$10+VLOOKUP($R135,武学奇术!$A:$ZZ,7,FALSE)+SUM(_xlfn.XLOOKUP($S135:$AL135,增益!$A:$A,增益!$G:$G,0))</f>
        <v>0.09</v>
      </c>
      <c r="AX135" s="24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0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0" cm="1">
        <f t="array" ref="BB135">$G$11+VLOOKUP($R135,武学奇术!$A:$ZZ,10,FALSE)+SUM(_xlfn.XLOOKUP($S135:$AL135,增益!$A:$A,增益!$J:$J,0))</f>
        <v>0</v>
      </c>
      <c r="BC135">
        <f t="shared" si="36"/>
        <v>0</v>
      </c>
      <c r="BD135">
        <f t="shared" si="37"/>
        <v>0</v>
      </c>
      <c r="BE135" s="30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0" cm="1">
        <f t="array" ref="BF135">$G$12+VLOOKUP($R135,武学奇术!$A:$ZZ,12,FALSE)+SUM(_xlfn.XLOOKUP($S135:$AL135,增益!$A:$A,增益!$L:$L,0))</f>
        <v>0</v>
      </c>
      <c r="BG135">
        <f t="shared" si="38"/>
        <v>0</v>
      </c>
      <c r="BH135">
        <f t="shared" si="39"/>
        <v>0</v>
      </c>
      <c r="BI135" s="30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0" cm="1">
        <f t="array" ref="BJ135">$G$13+VLOOKUP($R135,武学奇术!$A:$ZZ,14,FALSE)+SUM(_xlfn.XLOOKUP($S135:$AL135,增益!$A:$A,增益!$N:$N,0))</f>
        <v>0</v>
      </c>
      <c r="BK135">
        <f t="shared" si="40"/>
        <v>605.472</v>
      </c>
      <c r="BL135">
        <f t="shared" si="41"/>
        <v>1725.468</v>
      </c>
      <c r="BM135" s="30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0" cm="1">
        <f t="array" ref="BN135">$G$14+VLOOKUP($R135,武学奇术!$A:$ZZ,16,FALSE)+SUM(_xlfn.XLOOKUP($S135:$AL135,增益!$A:$A,增益!$P:$P,0))</f>
        <v>0.24</v>
      </c>
      <c r="BO135" s="24">
        <f>MIN(IF(VLOOKUP($R135,武学奇术!$A:$ZZ,23,FALSE)=1,100%,$B$8),100%)</f>
        <v>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0.9036</v>
      </c>
      <c r="BQ135" s="24" cm="1">
        <f t="array" ref="BQ135">1+$B$13+VLOOKUP($R135,武学奇术!$A:$ZZ,18,FALSE)+SUM(_xlfn.XLOOKUP($S135:$AL135,增益!$A:$A,增益!$R:$R,0))</f>
        <v>1.64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2"/>
        <v>0.9036</v>
      </c>
      <c r="BU135" s="24">
        <f t="shared" si="43"/>
        <v>0.00350000000000006</v>
      </c>
      <c r="BV135" s="24">
        <f>IF(VLOOKUP($R135,武学奇术!$A:$ZZ,22,FALSE)=1,0,(1-$BO135))*(1-$BR135)</f>
        <v>0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1:76">
      <c r="F136" s="70"/>
      <c r="K136">
        <f>$L136*VLOOKUP($R136,武学奇术!$A:$ZZ,31,FALSE)</f>
        <v>22986.3997950664</v>
      </c>
      <c r="L136" s="36">
        <f t="shared" si="33"/>
        <v>22986.3997950664</v>
      </c>
      <c r="M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$21,0))*(1+$BW136)</f>
        <v>23496.7914315903</v>
      </c>
      <c r="N136" s="36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$BW136)</f>
        <v>18419.6607185814</v>
      </c>
      <c r="O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$21,0))*(1+$BW136)</f>
        <v>12432.1647786192</v>
      </c>
      <c r="P136" s="36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$BW136)</f>
        <v>11220.1364323633</v>
      </c>
      <c r="Q136" s="70">
        <f t="shared" si="44"/>
        <v>1</v>
      </c>
      <c r="R136" s="38" t="s">
        <v>202</v>
      </c>
      <c r="S136" s="38" t="s">
        <v>104</v>
      </c>
      <c r="T136" s="38" t="s">
        <v>139</v>
      </c>
      <c r="U136" s="38" t="s">
        <v>79</v>
      </c>
      <c r="V136" s="38" t="s">
        <v>79</v>
      </c>
      <c r="W136" s="38" t="s">
        <v>188</v>
      </c>
      <c r="X136" s="38" t="s">
        <v>189</v>
      </c>
      <c r="Y136" s="38" t="s">
        <v>173</v>
      </c>
      <c r="Z136" s="38" t="s">
        <v>90</v>
      </c>
      <c r="AA136" s="38" t="s">
        <v>79</v>
      </c>
      <c r="AB136" s="38" t="s">
        <v>97</v>
      </c>
      <c r="AC136" s="38" t="s">
        <v>79</v>
      </c>
      <c r="AD136" s="38" t="s">
        <v>82</v>
      </c>
      <c r="AE136" s="38" t="s">
        <v>83</v>
      </c>
      <c r="AF136" s="38" t="s">
        <v>84</v>
      </c>
      <c r="AG136" s="38" t="s">
        <v>85</v>
      </c>
      <c r="AH136" s="38" t="s">
        <v>79</v>
      </c>
      <c r="AI136" s="38" t="s">
        <v>79</v>
      </c>
      <c r="AJ136" s="38" t="s">
        <v>79</v>
      </c>
      <c r="AK136" s="38" t="s">
        <v>79</v>
      </c>
      <c r="AL136" s="38" t="s">
        <v>79</v>
      </c>
      <c r="AM136" t="str">
        <f>VLOOKUP($R136,武学奇术!$A:$ZZ,25,FALSE)</f>
        <v>心法</v>
      </c>
      <c r="AN136" s="24">
        <f>VLOOKUP($R136,武学奇术!$A:$ZZ,26,FALSE)</f>
        <v>1</v>
      </c>
      <c r="AO136" s="25">
        <f>VLOOKUP($R136,武学奇术!$A:$ZZ,27,FALSE)*(1+IF(OR($AM136=$F$4,$AM136=$F$5),$B$22,0))</f>
        <v>0</v>
      </c>
      <c r="AP136" s="24">
        <f>VLOOKUP($R136,武学奇术!$A:$ZZ,28,FALSE)</f>
        <v>1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0.2337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3901.102</v>
      </c>
      <c r="AU136" cm="1">
        <f t="array" ref="AU136">$E$10*(1+$AS136)+VLOOKUP($R136,武学奇术!$A:$ZZ,4,FALSE)+SUM(_xlfn.XLOOKUP($S136:$AL136,增益!$A:$A,增益!$D:$D,0))-$I$2</f>
        <v>3901.102</v>
      </c>
      <c r="AV136" s="30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0.442</v>
      </c>
      <c r="AW136" s="30" cm="1">
        <f t="array" ref="AW136">$G$10+VLOOKUP($R136,武学奇术!$A:$ZZ,7,FALSE)+SUM(_xlfn.XLOOKUP($S136:$AL136,增益!$A:$A,增益!$G:$G,0))</f>
        <v>0.09</v>
      </c>
      <c r="AX136" s="24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0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-0.14</v>
      </c>
      <c r="BB136" s="30" cm="1">
        <f t="array" ref="BB136">$G$11+VLOOKUP($R136,武学奇术!$A:$ZZ,10,FALSE)+SUM(_xlfn.XLOOKUP($S136:$AL136,增益!$A:$A,增益!$J:$J,0))</f>
        <v>0.1</v>
      </c>
      <c r="BC136">
        <f t="shared" si="36"/>
        <v>0</v>
      </c>
      <c r="BD136">
        <f t="shared" si="37"/>
        <v>0</v>
      </c>
      <c r="BE136" s="30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-0.14</v>
      </c>
      <c r="BF136" s="30" cm="1">
        <f t="array" ref="BF136">$G$12+VLOOKUP($R136,武学奇术!$A:$ZZ,12,FALSE)+SUM(_xlfn.XLOOKUP($S136:$AL136,增益!$A:$A,增益!$L:$L,0))</f>
        <v>0</v>
      </c>
      <c r="BG136">
        <f t="shared" si="38"/>
        <v>0</v>
      </c>
      <c r="BH136">
        <f t="shared" si="39"/>
        <v>0</v>
      </c>
      <c r="BI136" s="30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-0.14</v>
      </c>
      <c r="BJ136" s="30" cm="1">
        <f t="array" ref="BJ136">$G$13+VLOOKUP($R136,武学奇术!$A:$ZZ,14,FALSE)+SUM(_xlfn.XLOOKUP($S136:$AL136,增益!$A:$A,增益!$N:$N,0))</f>
        <v>0</v>
      </c>
      <c r="BK136">
        <f t="shared" si="40"/>
        <v>605.472</v>
      </c>
      <c r="BL136">
        <f t="shared" si="41"/>
        <v>1725.468</v>
      </c>
      <c r="BM136" s="30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0.08</v>
      </c>
      <c r="BN136" s="30" cm="1">
        <f t="array" ref="BN136">$G$14+VLOOKUP($R136,武学奇术!$A:$ZZ,16,FALSE)+SUM(_xlfn.XLOOKUP($S136:$AL136,增益!$A:$A,增益!$P:$P,0))</f>
        <v>0.24</v>
      </c>
      <c r="BO136" s="24">
        <f>MIN(IF(VLOOKUP($R136,武学奇术!$A:$ZZ,23,FALSE)=1,100%,$B$8),100%)</f>
        <v>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0.9036</v>
      </c>
      <c r="BQ136" s="24" cm="1">
        <f t="array" ref="BQ136">1+$B$13+VLOOKUP($R136,武学奇术!$A:$ZZ,18,FALSE)+SUM(_xlfn.XLOOKUP($S136:$AL136,增益!$A:$A,增益!$R:$R,0))</f>
        <v>1.89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2"/>
        <v>0.9036</v>
      </c>
      <c r="BU136" s="24">
        <f t="shared" si="43"/>
        <v>0.00350000000000006</v>
      </c>
      <c r="BV136" s="24">
        <f>IF(VLOOKUP($R136,武学奇术!$A:$ZZ,22,FALSE)=1,0,(1-$BO136))*(1-$BR136)</f>
        <v>0</v>
      </c>
      <c r="BW136" s="24" cm="1">
        <f t="array" ref="BW136">SUM(_xlfn.XLOOKUP($S136:$AL136,增益!$A:$A,增益!$W:$W,0))+$I$5</f>
        <v>0.31</v>
      </c>
      <c r="BX136" s="24" cm="1">
        <f t="array" ref="BX136">SUM(_xlfn.XLOOKUP($S136:$AL136,增益!$A:$A,增益!$X:$X,0))</f>
        <v>0</v>
      </c>
    </row>
    <row r="137" spans="1:76">
      <c r="F137" s="70"/>
    </row>
    <row r="138" spans="1:76">
      <c r="A138" s="4"/>
      <c r="B138" s="4"/>
      <c r="F138" s="70"/>
    </row>
    <row r="139" spans="1:76">
      <c r="F139" s="70"/>
    </row>
    <row r="140" spans="1:76">
      <c r="A140" s="4"/>
      <c r="B140" s="91"/>
      <c r="F140" s="70"/>
    </row>
    <row r="141" spans="1:76">
      <c r="A141" s="4"/>
      <c r="B141" s="4"/>
      <c r="F141" s="70"/>
    </row>
    <row r="142" spans="1:76">
      <c r="A142" s="4"/>
      <c r="B142" s="4"/>
      <c r="F142" s="70"/>
    </row>
  </sheetData>
  <mergeCells count="42">
    <mergeCell ref="H1:I1"/>
    <mergeCell ref="C8:G8"/>
    <mergeCell ref="C15:D15"/>
    <mergeCell ref="E21:F21"/>
    <mergeCell ref="E22:F22"/>
    <mergeCell ref="E23:F23"/>
    <mergeCell ref="E24:F24"/>
    <mergeCell ref="C40:C45"/>
    <mergeCell ref="C63:C71"/>
    <mergeCell ref="D36:D46"/>
    <mergeCell ref="D73:D81"/>
    <mergeCell ref="E40:E44"/>
    <mergeCell ref="E63:E68"/>
    <mergeCell ref="E95:E100"/>
    <mergeCell ref="E111:E114"/>
    <mergeCell ref="E127:E130"/>
    <mergeCell ref="F34:F47"/>
    <mergeCell ref="F53:F66"/>
    <mergeCell ref="F73:F81"/>
    <mergeCell ref="F90:F104"/>
    <mergeCell ref="F108:F119"/>
    <mergeCell ref="F127:F142"/>
    <mergeCell ref="G37:G43"/>
    <mergeCell ref="G56:G60"/>
    <mergeCell ref="G74:G78"/>
    <mergeCell ref="G92:G98"/>
    <mergeCell ref="G109:G114"/>
    <mergeCell ref="G128:G131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2:F22">
      <formula1>"断石之构,三穷致知"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topLeftCell="A85" workbookViewId="0">
      <selection activeCell="W148" sqref="W148"/>
    </sheetView>
  </sheetViews>
  <sheetFormatPr defaultColWidth="9" defaultRowHeight="13.5"/>
  <cols>
    <col min="1" max="1" width="12.875" customWidth="1"/>
    <col min="11" max="15" width="12.625" style="25" customWidth="1"/>
    <col min="16" max="16" width="9.375"/>
    <col min="17" max="17" width="9.00833333333333" style="29" customWidth="1"/>
    <col min="18" max="18" width="24.625" style="29" customWidth="1"/>
    <col min="19" max="32" width="9" style="29"/>
    <col min="39" max="39" width="9" style="24"/>
    <col min="40" max="40" width="9" style="25"/>
    <col min="41" max="41" width="9" style="24"/>
    <col min="42" max="42" width="9" style="25"/>
    <col min="43" max="44" width="9" style="24"/>
    <col min="47" max="49" width="9" style="30"/>
    <col min="52" max="53" width="9" style="30"/>
    <col min="66" max="70" width="9" style="24"/>
    <col min="71" max="72" width="9.00833333333333" style="24" customWidth="1"/>
    <col min="73" max="74" width="9" style="24"/>
    <col min="75" max="75" width="12.625"/>
  </cols>
  <sheetData>
    <row r="1" spans="1:76">
      <c r="A1" s="31"/>
      <c r="B1" s="32" t="s">
        <v>0</v>
      </c>
      <c r="C1" s="32" t="s">
        <v>1</v>
      </c>
      <c r="D1" s="32" t="s">
        <v>2</v>
      </c>
      <c r="E1" s="33" t="s">
        <v>3</v>
      </c>
      <c r="F1" s="34" t="s">
        <v>4</v>
      </c>
      <c r="G1" s="35" t="s">
        <v>5</v>
      </c>
      <c r="H1" s="34" t="s">
        <v>6</v>
      </c>
      <c r="I1" s="35"/>
      <c r="K1" s="36" t="s">
        <v>7</v>
      </c>
      <c r="L1" s="36" t="s">
        <v>8</v>
      </c>
      <c r="M1" s="36" t="s">
        <v>9</v>
      </c>
      <c r="N1" s="36" t="s">
        <v>10</v>
      </c>
      <c r="O1" s="36" t="s">
        <v>11</v>
      </c>
      <c r="P1" s="36" t="s">
        <v>12</v>
      </c>
      <c r="Q1" s="37" t="s">
        <v>13</v>
      </c>
      <c r="R1" s="38" t="s">
        <v>14</v>
      </c>
      <c r="S1" s="38" t="s">
        <v>15</v>
      </c>
      <c r="T1" s="38" t="s">
        <v>16</v>
      </c>
      <c r="U1" s="38" t="s">
        <v>17</v>
      </c>
      <c r="V1" s="38" t="s">
        <v>18</v>
      </c>
      <c r="W1" s="38" t="s">
        <v>19</v>
      </c>
      <c r="X1" s="38" t="s">
        <v>20</v>
      </c>
      <c r="Y1" s="38" t="s">
        <v>21</v>
      </c>
      <c r="Z1" s="38" t="s">
        <v>22</v>
      </c>
      <c r="AA1" s="38" t="s">
        <v>23</v>
      </c>
      <c r="AB1" s="38" t="s">
        <v>24</v>
      </c>
      <c r="AC1" s="38" t="s">
        <v>25</v>
      </c>
      <c r="AD1" s="38" t="s">
        <v>26</v>
      </c>
      <c r="AE1" s="38" t="s">
        <v>27</v>
      </c>
      <c r="AF1" s="38" t="s">
        <v>28</v>
      </c>
      <c r="AG1" s="38" t="s">
        <v>29</v>
      </c>
      <c r="AH1" s="38" t="s">
        <v>30</v>
      </c>
      <c r="AI1" s="38" t="s">
        <v>31</v>
      </c>
      <c r="AJ1" s="38" t="s">
        <v>32</v>
      </c>
      <c r="AK1" s="38" t="s">
        <v>33</v>
      </c>
      <c r="AL1" s="38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0" t="s">
        <v>44</v>
      </c>
      <c r="AW1" s="30" t="s">
        <v>45</v>
      </c>
      <c r="AX1" s="30" t="s">
        <v>46</v>
      </c>
      <c r="AY1" t="s">
        <v>47</v>
      </c>
      <c r="AZ1" t="s">
        <v>48</v>
      </c>
      <c r="BA1" s="30" t="s">
        <v>49</v>
      </c>
      <c r="BB1" s="30" t="s">
        <v>50</v>
      </c>
      <c r="BC1" t="s">
        <v>51</v>
      </c>
      <c r="BD1" t="s">
        <v>52</v>
      </c>
      <c r="BE1" s="30" t="s">
        <v>53</v>
      </c>
      <c r="BF1" s="30" t="s">
        <v>54</v>
      </c>
      <c r="BG1" t="s">
        <v>55</v>
      </c>
      <c r="BH1" t="s">
        <v>56</v>
      </c>
      <c r="BI1" s="30" t="s">
        <v>57</v>
      </c>
      <c r="BJ1" s="30" t="s">
        <v>58</v>
      </c>
      <c r="BK1" t="s">
        <v>59</v>
      </c>
      <c r="BL1" t="s">
        <v>60</v>
      </c>
      <c r="BM1" s="30" t="s">
        <v>61</v>
      </c>
      <c r="BN1" s="30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39" t="s">
        <v>72</v>
      </c>
    </row>
    <row r="2" spans="1:76">
      <c r="A2" s="40" t="s">
        <v>73</v>
      </c>
      <c r="B2" s="41"/>
      <c r="C2" s="41"/>
      <c r="D2" s="41"/>
      <c r="E2" s="42"/>
      <c r="F2" s="43" t="s">
        <v>74</v>
      </c>
      <c r="G2" s="44" t="s">
        <v>75</v>
      </c>
      <c r="H2" s="45" t="s">
        <v>76</v>
      </c>
      <c r="I2" s="11">
        <f>620*(1-IF(F17="√",0.06,0)-IF(D20="√",0.04,0))</f>
        <v>620</v>
      </c>
      <c r="K2">
        <f>$L2*VLOOKUP($R2,武学奇术!$A:$ZZ,31,FALSE)</f>
        <v>21525.6810410266</v>
      </c>
      <c r="L2" s="36">
        <f t="shared" ref="L2:L17" si="0">($M2*$BT2+$N2*$BR2+$O2*$BU2+$P2*$BV2)</f>
        <v>21525.6810410266</v>
      </c>
      <c r="M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BQ2*$Q2*(1+IF(VLOOKUP($R2,武学奇术!$A:$ZZ,30,FALSE)="蓄力技",$B$21,0))*(1+$BW2)</f>
        <v>21565.9741811292</v>
      </c>
      <c r="N2" s="36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蓄力技",$B$21,0))*(1+$BW2)</f>
        <v>21420.5533897101</v>
      </c>
      <c r="O2" s="36">
        <f>((($AT2+($AU2-$AT2)*IF(VLOOKUP($R2,武学奇术!$A:$ZZ,31,FALSE)=1,$F$18,0.5))*$AN2+$AO2)*(1+$AV2)*(1+$AW2)+(($AY2+($AZ2-$AY2)*IF(VLOOKUP($R2,武学奇术!$A:$ZZ,31,FALSE)=1,$F$18,0.5))*IF($G$1="鸣金",$AP2,$AN2)+IF($G$1="鸣金",$AQ2*1.5,0))*(1+$BA2)*(1+$BB2)+(($BC2+($BD2-$BC2)*IF(VLOOKUP($R2,武学奇术!$A:$ZZ,31,FALSE)=1,$F$18,0.5))*IF($G$1="裂石",$AP2,$AN2)+IF($G$1="裂石",$AQ2*1.5,0))*(1+$BE2)*(1+$BF2)+(($BG2+($BH2-$BG2)*IF(VLOOKUP($R2,武学奇术!$A:$ZZ,31,FALSE)=1,$F$18,0.5))*IF($G$1="牵丝",$AP2,$AN2)+IF($G$1="牵丝",$AQ2*1.5,0))*(1+$BI2)*(1+$BJ2)+(($BK2+($BL2-$BK2)*IF(VLOOKUP($R2,武学奇术!$A:$ZZ,31,FALSE)=1,$F$18,0.5))*IF($G$1="破竹",$AP2,$AN2)+IF($G$1="破竹",$AQ2*1.5,0))*(1+$BM2)*(1+$BN2))*(1+$AR2)*$Q2*(1+IF(VLOOKUP($R2,武学奇术!$A:$ZZ,30,FALSE)="蓄力技",$B$21,0))*(1+$BW2)</f>
        <v>13913.5317297608</v>
      </c>
      <c r="P2" s="36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蓄力技",$B$21,0))*(1+$BW2)</f>
        <v>11959.9868745511</v>
      </c>
      <c r="Q2" s="37">
        <v>1</v>
      </c>
      <c r="R2" s="38" t="s">
        <v>77</v>
      </c>
      <c r="S2" s="38" t="s">
        <v>78</v>
      </c>
      <c r="T2" s="38" t="s">
        <v>79</v>
      </c>
      <c r="U2" s="38" t="s">
        <v>79</v>
      </c>
      <c r="V2" s="38" t="s">
        <v>80</v>
      </c>
      <c r="W2" s="38" t="s">
        <v>79</v>
      </c>
      <c r="X2" s="38" t="s">
        <v>79</v>
      </c>
      <c r="Y2" s="38" t="s">
        <v>81</v>
      </c>
      <c r="Z2" s="38" t="s">
        <v>79</v>
      </c>
      <c r="AA2" s="38" t="s">
        <v>79</v>
      </c>
      <c r="AB2" s="38" t="s">
        <v>79</v>
      </c>
      <c r="AC2" s="38" t="s">
        <v>79</v>
      </c>
      <c r="AD2" s="38" t="s">
        <v>79</v>
      </c>
      <c r="AE2" s="38" t="s">
        <v>79</v>
      </c>
      <c r="AF2" s="38" t="s">
        <v>84</v>
      </c>
      <c r="AG2" s="38" t="s">
        <v>85</v>
      </c>
      <c r="AH2" s="38" t="s">
        <v>79</v>
      </c>
      <c r="AI2" s="38" t="s">
        <v>79</v>
      </c>
      <c r="AJ2" s="38" t="s">
        <v>79</v>
      </c>
      <c r="AK2" s="38" t="s">
        <v>79</v>
      </c>
      <c r="AL2" s="38" t="s">
        <v>79</v>
      </c>
      <c r="AM2" t="str">
        <f>VLOOKUP($R2,武学奇术!$A:$ZZ,25,FALSE)</f>
        <v>群体奇术</v>
      </c>
      <c r="AN2" s="24">
        <f>VLOOKUP($R2,武学奇术!$A:$ZZ,26,FALSE)</f>
        <v>1.4904</v>
      </c>
      <c r="AO2" s="25">
        <f>VLOOKUP($R2,武学奇术!$A:$ZZ,27,FALSE)*(1+IF(OR($AM2=$F$4,$AM2=$F$5),$B$22,0))</f>
        <v>378</v>
      </c>
      <c r="AP2" s="24">
        <f>VLOOKUP($R2,武学奇术!$A:$ZZ,28,FALSE)</f>
        <v>2.2356</v>
      </c>
      <c r="AQ2" s="25">
        <f>VLOOKUP($R2,武学奇术!$A:$ZZ,29,FALSE)*(1+IF(OR($AM2=$F$4,$AM2=$F$5),$B$22,0))</f>
        <v>0</v>
      </c>
      <c r="AR2" s="24" cm="1">
        <f t="array" ref="AR2">$G$3+IFERROR(VLOOKUP($AM2,$F$4:$G$7,2,FALSE),0)+VLOOKUP($R2,武学奇术!$A:$ZZ,2,FALSE)+SUM(_xlfn.XLOOKUP($S2:$AL2,增益!$A:$A,增益!$B:$B,0))</f>
        <v>0.1337</v>
      </c>
      <c r="AS2" s="24" cm="1">
        <f t="array" ref="AS2">VLOOKUP($R2,武学奇术!$A:$ZZ,5,FALSE)+SUM(_xlfn.XLOOKUP($S2:$AL2,增益!$A:$A,增益!$E:$E,0))</f>
        <v>0</v>
      </c>
      <c r="AT2" cm="1">
        <f t="array" ref="AT2">$D$10*(1+$AS2)+VLOOKUP($R2,武学奇术!$A:$ZZ,3,FALSE)+SUM(_xlfn.XLOOKUP($S2:$AL2,增益!$A:$A,增益!$C:$C,0))-$I$2</f>
        <v>3839.102</v>
      </c>
      <c r="AU2" cm="1">
        <f t="array" ref="AU2">$E$10*(1+$AS2)+VLOOKUP($R2,武学奇术!$A:$ZZ,4,FALSE)+SUM(_xlfn.XLOOKUP($S2:$AL2,增益!$A:$A,增益!$D:$D,0))-$I$2</f>
        <v>3839.102</v>
      </c>
      <c r="AV2" s="30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0.177</v>
      </c>
      <c r="AW2" s="30" cm="1">
        <f t="array" ref="AW2">$G$10+VLOOKUP($R2,武学奇术!$A:$ZZ,7,FALSE)+SUM(_xlfn.XLOOKUP($S2:$AL2,增益!$A:$A,增益!$G:$G,0))</f>
        <v>0.09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0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0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0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0" cm="1">
        <f t="array" ref="BF2">$G$12+VLOOKUP($R2,武学奇术!$A:$ZZ,12,FALSE)+SUM(_xlfn.XLOOKUP($S2:$AL2,增益!$A:$A,增益!$L:$L,0))</f>
        <v>0</v>
      </c>
      <c r="BG2">
        <f t="shared" ref="BG2:BG65" si="5">$D$13*(1+$AX2)</f>
        <v>0</v>
      </c>
      <c r="BH2">
        <f t="shared" ref="BH2:BH65" si="6">$E$13*(1+$AX2)</f>
        <v>0</v>
      </c>
      <c r="BI2" s="30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-0.3</v>
      </c>
      <c r="BJ2" s="30" cm="1">
        <f t="array" ref="BJ2">$G$13+VLOOKUP($R2,武学奇术!$A:$ZZ,14,FALSE)+SUM(_xlfn.XLOOKUP($S2:$AL2,增益!$A:$A,增益!$N:$N,0))</f>
        <v>0</v>
      </c>
      <c r="BK2">
        <f t="shared" ref="BK2:BK65" si="7">$D$14*(1+$AX2)</f>
        <v>605.472</v>
      </c>
      <c r="BL2">
        <f t="shared" ref="BL2:BL65" si="8">$E$14*(1+$AX2)</f>
        <v>1725.468</v>
      </c>
      <c r="BM2" s="30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0</v>
      </c>
      <c r="BN2" s="30" cm="1">
        <f t="array" ref="BN2">$G$14+VLOOKUP($R2,武学奇术!$A:$ZZ,16,FALSE)+SUM(_xlfn.XLOOKUP($S2:$AL2,增益!$A:$A,增益!$P:$P,0))</f>
        <v>0.24</v>
      </c>
      <c r="BO2" s="24">
        <f>MIN(IF(VLOOKUP($R2,武学奇术!$A:$ZZ,23,FALSE)=1,100%,$B$8),100%)</f>
        <v>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+MIN(IF(VLOOKUP($R2,武学奇术!$A:$ZZ,32,FALSE)=1,IF(VLOOKUP($R2,武学奇术!$A:$ZZ,24,FALSE)=1,100%,MIN(40%,$B$10+VLOOKUP($R2,武学奇术!$A:$ZZ,19,FALSE)+SUM(_xlfn.XLOOKUP($S2:$AL2,增益!$A:$A,增益!$S:$S,0)))+$B$12+SUM(_xlfn.XLOOKUP($S2:$AL2,增益!$A:$A,增益!$V:$V,0))),0),12%)</f>
        <v>0.9036</v>
      </c>
      <c r="BQ2" s="24" cm="1">
        <f t="array" ref="BQ2">1+$B$13+VLOOKUP($R2,武学奇术!$A:$ZZ,18,FALSE)+SUM(_xlfn.XLOOKUP($S2:$AL2,增益!$A:$A,增益!$R:$R,0))</f>
        <v>1.55</v>
      </c>
      <c r="BR2" s="24" cm="1">
        <f t="array" ref="BR2">MAX(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-IF(VLOOKUP($R2,武学奇术!$A:$ZZ,32,FALSE)=1,12%,0),0)</f>
        <v>0.0929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0.9036</v>
      </c>
      <c r="BU2" s="24">
        <f t="shared" ref="BU2:BU65" si="10">1-BR2-BT2-BV2</f>
        <v>0.00350000000000006</v>
      </c>
      <c r="BV2" s="24">
        <f>IF(VLOOKUP($R2,武学奇术!$A:$ZZ,22,FALSE)=1,0,(1-$BO2))*(1-$BR2)</f>
        <v>0</v>
      </c>
      <c r="BW2" s="24" cm="1">
        <f t="array" ref="BW2">SUM(_xlfn.XLOOKUP($S2:$AL2,增益!$A:$A,增益!$W:$W,0))+$I$5</f>
        <v>0.11</v>
      </c>
      <c r="BX2" s="24" cm="1">
        <f t="array" ref="BX2">SUM(_xlfn.XLOOKUP($S2:$AL2,增益!$A:$A,增益!$X:$X,0))</f>
        <v>0</v>
      </c>
    </row>
    <row r="3" spans="1:76">
      <c r="A3" s="46" t="s">
        <v>86</v>
      </c>
      <c r="B3" s="47"/>
      <c r="C3" s="47"/>
      <c r="D3" s="47"/>
      <c r="E3" s="48"/>
      <c r="F3" s="45" t="s">
        <v>40</v>
      </c>
      <c r="G3" s="49">
        <f>B16+1.5%+IF($D$16="√",8%,0)+IF($E$24="征人归",8%,0)</f>
        <v>0.1037</v>
      </c>
      <c r="H3" s="45" t="s">
        <v>87</v>
      </c>
      <c r="I3" s="11">
        <f>25-IF(D17="√",10,0)-IF(F17="√",10,0)</f>
        <v>25</v>
      </c>
      <c r="K3">
        <f>$L3*VLOOKUP($R3,武学奇术!$A:$ZZ,31,FALSE)</f>
        <v>21972.2460788616</v>
      </c>
      <c r="L3" s="36">
        <f t="shared" si="0"/>
        <v>21972.2460788616</v>
      </c>
      <c r="M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BQ3*$Q3*(1+IF(VLOOKUP($R3,武学奇术!$A:$ZZ,30,FALSE)="蓄力技",$B$21,0))*(1+$BW3)</f>
        <v>22028.2377127311</v>
      </c>
      <c r="N3" s="36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蓄力技",$B$21,0))*(1+$BW3)</f>
        <v>21723.4462156749</v>
      </c>
      <c r="O3" s="36">
        <f>((($AT3+($AU3-$AT3)*IF(VLOOKUP($R3,武学奇术!$A:$ZZ,31,FALSE)=1,$F$18,0.5))*$AN3+$AO3)*(1+$AV3)*(1+$AW3)+(($AY3+($AZ3-$AY3)*IF(VLOOKUP($R3,武学奇术!$A:$ZZ,31,FALSE)=1,$F$18,0.5))*IF($G$1="鸣金",$AP3,$AN3)+IF($G$1="鸣金",$AQ3*1.5,0))*(1+$BA3)*(1+$BB3)+(($BC3+($BD3-$BC3)*IF(VLOOKUP($R3,武学奇术!$A:$ZZ,31,FALSE)=1,$F$18,0.5))*IF($G$1="裂石",$AP3,$AN3)+IF($G$1="裂石",$AQ3*1.5,0))*(1+$BE3)*(1+$BF3)+(($BG3+($BH3-$BG3)*IF(VLOOKUP($R3,武学奇术!$A:$ZZ,31,FALSE)=1,$F$18,0.5))*IF($G$1="牵丝",$AP3,$AN3)+IF($G$1="牵丝",$AQ3*1.5,0))*(1+$BI3)*(1+$BJ3)+(($BK3+($BL3-$BK3)*IF(VLOOKUP($R3,武学奇术!$A:$ZZ,31,FALSE)=1,$F$18,0.5))*IF($G$1="破竹",$AP3,$AN3)+IF($G$1="破竹",$AQ3*1.5,0))*(1+$BM3)*(1+$BN3))*(1+$AR3)*$Q3*(1+IF(VLOOKUP($R3,武学奇术!$A:$ZZ,30,FALSE)="蓄力技",$B$21,0))*(1+$BW3)</f>
        <v>14120.6652004686</v>
      </c>
      <c r="P3" s="36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蓄力技",$B$21,0))*(1+$BW3)</f>
        <v>12149.8887596966</v>
      </c>
      <c r="Q3" s="37">
        <v>1</v>
      </c>
      <c r="R3" s="38" t="s">
        <v>77</v>
      </c>
      <c r="S3" s="38" t="s">
        <v>88</v>
      </c>
      <c r="T3" s="38" t="s">
        <v>79</v>
      </c>
      <c r="U3" s="38" t="s">
        <v>79</v>
      </c>
      <c r="V3" s="38" t="s">
        <v>80</v>
      </c>
      <c r="W3" s="38" t="s">
        <v>79</v>
      </c>
      <c r="X3" s="38" t="s">
        <v>79</v>
      </c>
      <c r="Y3" s="38" t="s">
        <v>89</v>
      </c>
      <c r="Z3" s="38" t="s">
        <v>79</v>
      </c>
      <c r="AA3" s="38" t="s">
        <v>79</v>
      </c>
      <c r="AB3" s="38" t="s">
        <v>79</v>
      </c>
      <c r="AC3" s="38" t="s">
        <v>79</v>
      </c>
      <c r="AD3" s="38" t="s">
        <v>79</v>
      </c>
      <c r="AE3" s="38" t="s">
        <v>79</v>
      </c>
      <c r="AF3" s="38" t="s">
        <v>84</v>
      </c>
      <c r="AG3" s="38" t="s">
        <v>85</v>
      </c>
      <c r="AH3" s="38" t="s">
        <v>79</v>
      </c>
      <c r="AI3" s="38" t="s">
        <v>79</v>
      </c>
      <c r="AJ3" s="38" t="s">
        <v>79</v>
      </c>
      <c r="AK3" s="38" t="s">
        <v>79</v>
      </c>
      <c r="AL3" s="38" t="s">
        <v>79</v>
      </c>
      <c r="AM3" t="str">
        <f>VLOOKUP($R3,武学奇术!$A:$ZZ,25,FALSE)</f>
        <v>群体奇术</v>
      </c>
      <c r="AN3" s="24">
        <f>VLOOKUP($R3,武学奇术!$A:$ZZ,26,FALSE)</f>
        <v>1.4904</v>
      </c>
      <c r="AO3" s="25">
        <f>VLOOKUP($R3,武学奇术!$A:$ZZ,27,FALSE)*(1+IF(OR($AM3=$F$4,$AM3=$F$5),$B$22,0))</f>
        <v>378</v>
      </c>
      <c r="AP3" s="24">
        <f>VLOOKUP($R3,武学奇术!$A:$ZZ,28,FALSE)</f>
        <v>2.2356</v>
      </c>
      <c r="AQ3" s="25">
        <f>VLOOKUP($R3,武学奇术!$A:$ZZ,29,FALSE)*(1+IF(OR($AM3=$F$4,$AM3=$F$5),$B$22,0))</f>
        <v>0</v>
      </c>
      <c r="AR3" s="24" cm="1">
        <f t="array" ref="AR3">$G$3+IFERROR(VLOOKUP($AM3,$F$4:$G$7,2,FALSE),0)+VLOOKUP($R3,武学奇术!$A:$ZZ,2,FALSE)+SUM(_xlfn.XLOOKUP($S3:$AL3,增益!$A:$A,增益!$B:$B,0))</f>
        <v>0.1437</v>
      </c>
      <c r="AS3" s="24" cm="1">
        <f t="array" ref="AS3">VLOOKUP($R3,武学奇术!$A:$ZZ,5,FALSE)+SUM(_xlfn.XLOOKUP($S3:$AL3,增益!$A:$A,增益!$E:$E,0))</f>
        <v>0</v>
      </c>
      <c r="AT3" cm="1">
        <f t="array" ref="AT3">$D$10*(1+$AS3)+VLOOKUP($R3,武学奇术!$A:$ZZ,3,FALSE)+SUM(_xlfn.XLOOKUP($S3:$AL3,增益!$A:$A,增益!$C:$C,0))-$I$2</f>
        <v>3839.102</v>
      </c>
      <c r="AU3" cm="1">
        <f t="array" ref="AU3">$E$10*(1+$AS3)+VLOOKUP($R3,武学奇术!$A:$ZZ,4,FALSE)+SUM(_xlfn.XLOOKUP($S3:$AL3,增益!$A:$A,增益!$D:$D,0))-$I$2</f>
        <v>3839.102</v>
      </c>
      <c r="AV3" s="30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0.187</v>
      </c>
      <c r="AW3" s="30" cm="1">
        <f t="array" ref="AW3">$G$10+VLOOKUP($R3,武学奇术!$A:$ZZ,7,FALSE)+SUM(_xlfn.XLOOKUP($S3:$AL3,增益!$A:$A,增益!$G:$G,0))</f>
        <v>0.09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0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0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0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0" cm="1">
        <f t="array" ref="BF3">$G$12+VLOOKUP($R3,武学奇术!$A:$ZZ,12,FALSE)+SUM(_xlfn.XLOOKUP($S3:$AL3,增益!$A:$A,增益!$L:$L,0))</f>
        <v>0</v>
      </c>
      <c r="BG3">
        <f t="shared" si="5"/>
        <v>0</v>
      </c>
      <c r="BH3">
        <f t="shared" si="6"/>
        <v>0</v>
      </c>
      <c r="BI3" s="30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-0.3</v>
      </c>
      <c r="BJ3" s="30" cm="1">
        <f t="array" ref="BJ3">$G$13+VLOOKUP($R3,武学奇术!$A:$ZZ,14,FALSE)+SUM(_xlfn.XLOOKUP($S3:$AL3,增益!$A:$A,增益!$N:$N,0))</f>
        <v>0</v>
      </c>
      <c r="BK3">
        <f t="shared" si="7"/>
        <v>605.472</v>
      </c>
      <c r="BL3">
        <f t="shared" si="8"/>
        <v>1725.468</v>
      </c>
      <c r="BM3" s="30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0</v>
      </c>
      <c r="BN3" s="30" cm="1">
        <f t="array" ref="BN3">$G$14+VLOOKUP($R3,武学奇术!$A:$ZZ,16,FALSE)+SUM(_xlfn.XLOOKUP($S3:$AL3,增益!$A:$A,增益!$P:$P,0))</f>
        <v>0.24</v>
      </c>
      <c r="BO3" s="24">
        <f>MIN(IF(VLOOKUP($R3,武学奇术!$A:$ZZ,23,FALSE)=1,100%,$B$8),100%)</f>
        <v>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+MIN(IF(VLOOKUP($R3,武学奇术!$A:$ZZ,32,FALSE)=1,IF(VLOOKUP($R3,武学奇术!$A:$ZZ,24,FALSE)=1,100%,MIN(40%,$B$10+VLOOKUP($R3,武学奇术!$A:$ZZ,19,FALSE)+SUM(_xlfn.XLOOKUP($S3:$AL3,增益!$A:$A,增益!$S:$S,0)))+$B$12+SUM(_xlfn.XLOOKUP($S3:$AL3,增益!$A:$A,增益!$V:$V,0))),0),12%)</f>
        <v>0.9036</v>
      </c>
      <c r="BQ3" s="24" cm="1">
        <f t="array" ref="BQ3">1+$B$13+VLOOKUP($R3,武学奇术!$A:$ZZ,18,FALSE)+SUM(_xlfn.XLOOKUP($S3:$AL3,增益!$A:$A,增益!$R:$R,0))</f>
        <v>1.56</v>
      </c>
      <c r="BR3" s="24" cm="1">
        <f t="array" ref="BR3">MAX(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-IF(VLOOKUP($R3,武学奇术!$A:$ZZ,32,FALSE)=1,12%,0),0)</f>
        <v>0.0929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0.9036</v>
      </c>
      <c r="BU3" s="24">
        <f t="shared" si="10"/>
        <v>0.00350000000000006</v>
      </c>
      <c r="BV3" s="24">
        <f>IF(VLOOKUP($R3,武学奇术!$A:$ZZ,22,FALSE)=1,0,(1-$BO3))*(1-$BR3)</f>
        <v>0</v>
      </c>
      <c r="BW3" s="24" cm="1">
        <f t="array" ref="BW3">SUM(_xlfn.XLOOKUP($S3:$AL3,增益!$A:$A,增益!$W:$W,0))+$I$5</f>
        <v>0.11</v>
      </c>
      <c r="BX3" s="24" cm="1">
        <f t="array" ref="BX3">SUM(_xlfn.XLOOKUP($S3:$AL3,增益!$A:$A,增益!$X:$X,0))</f>
        <v>0</v>
      </c>
    </row>
    <row r="4" ht="14.25" spans="1:76">
      <c r="A4" s="50" t="s">
        <v>92</v>
      </c>
      <c r="B4" s="51"/>
      <c r="C4" s="51"/>
      <c r="D4" s="51"/>
      <c r="E4" s="52"/>
      <c r="F4" s="45" t="s">
        <v>93</v>
      </c>
      <c r="G4" s="49">
        <f>B15+B17</f>
        <v>0.1704</v>
      </c>
      <c r="H4" s="53" t="s">
        <v>94</v>
      </c>
      <c r="I4" s="15">
        <f>30</f>
        <v>30</v>
      </c>
      <c r="K4">
        <f>$L4*VLOOKUP($R4,武学奇术!$A:$ZZ,31,FALSE)</f>
        <v>22424.8386865945</v>
      </c>
      <c r="L4" s="36">
        <f t="shared" si="0"/>
        <v>22424.8386865945</v>
      </c>
      <c r="M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BQ4*$Q4*(1+IF(VLOOKUP($R4,武学奇术!$A:$ZZ,30,FALSE)="蓄力技",$B$21,0))*(1+$BW4)</f>
        <v>22496.9612793215</v>
      </c>
      <c r="N4" s="36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蓄力技",$B$21,0))*(1+$BW4)</f>
        <v>22028.331680828</v>
      </c>
      <c r="O4" s="36">
        <f>((($AT4+($AU4-$AT4)*IF(VLOOKUP($R4,武学奇术!$A:$ZZ,31,FALSE)=1,$F$18,0.5))*$AN4+$AO4)*(1+$AV4)*(1+$AW4)+(($AY4+($AZ4-$AY4)*IF(VLOOKUP($R4,武学奇术!$A:$ZZ,31,FALSE)=1,$F$18,0.5))*IF($G$1="鸣金",$AP4,$AN4)+IF($G$1="鸣金",$AQ4*1.5,0))*(1+$BA4)*(1+$BB4)+(($BC4+($BD4-$BC4)*IF(VLOOKUP($R4,武学奇术!$A:$ZZ,31,FALSE)=1,$F$18,0.5))*IF($G$1="裂石",$AP4,$AN4)+IF($G$1="裂石",$AQ4*1.5,0))*(1+$BE4)*(1+$BF4)+(($BG4+($BH4-$BG4)*IF(VLOOKUP($R4,武学奇术!$A:$ZZ,31,FALSE)=1,$F$18,0.5))*IF($G$1="牵丝",$AP4,$AN4)+IF($G$1="牵丝",$AQ4*1.5,0))*(1+$BI4)*(1+$BJ4)+(($BK4+($BL4-$BK4)*IF(VLOOKUP($R4,武学奇术!$A:$ZZ,31,FALSE)=1,$F$18,0.5))*IF($G$1="破竹",$AP4,$AN4)+IF($G$1="破竹",$AQ4*1.5,0))*(1+$BM4)*(1+$BN4))*(1+$AR4)*$Q4*(1+IF(VLOOKUP($R4,武学奇术!$A:$ZZ,30,FALSE)="蓄力技",$B$21,0))*(1+$BW4)</f>
        <v>14329.2747002048</v>
      </c>
      <c r="P4" s="36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蓄力技",$B$21,0))*(1+$BW4)</f>
        <v>12341.2666738703</v>
      </c>
      <c r="Q4" s="37">
        <v>1</v>
      </c>
      <c r="R4" s="38" t="s">
        <v>77</v>
      </c>
      <c r="S4" s="38" t="s">
        <v>95</v>
      </c>
      <c r="T4" s="38" t="s">
        <v>79</v>
      </c>
      <c r="U4" s="38" t="s">
        <v>79</v>
      </c>
      <c r="V4" s="38" t="s">
        <v>80</v>
      </c>
      <c r="W4" s="38" t="s">
        <v>79</v>
      </c>
      <c r="X4" s="38" t="s">
        <v>79</v>
      </c>
      <c r="Y4" s="38" t="s">
        <v>96</v>
      </c>
      <c r="Z4" s="38" t="s">
        <v>79</v>
      </c>
      <c r="AA4" s="38" t="s">
        <v>79</v>
      </c>
      <c r="AB4" s="38" t="s">
        <v>79</v>
      </c>
      <c r="AC4" s="38" t="s">
        <v>79</v>
      </c>
      <c r="AD4" s="38" t="s">
        <v>79</v>
      </c>
      <c r="AE4" s="38" t="s">
        <v>79</v>
      </c>
      <c r="AF4" s="38" t="s">
        <v>84</v>
      </c>
      <c r="AG4" s="38" t="s">
        <v>85</v>
      </c>
      <c r="AH4" s="38" t="s">
        <v>79</v>
      </c>
      <c r="AI4" s="38" t="s">
        <v>79</v>
      </c>
      <c r="AJ4" s="38" t="s">
        <v>79</v>
      </c>
      <c r="AK4" s="38" t="s">
        <v>79</v>
      </c>
      <c r="AL4" s="38" t="s">
        <v>79</v>
      </c>
      <c r="AM4" t="str">
        <f>VLOOKUP($R4,武学奇术!$A:$ZZ,25,FALSE)</f>
        <v>群体奇术</v>
      </c>
      <c r="AN4" s="24">
        <f>VLOOKUP($R4,武学奇术!$A:$ZZ,26,FALSE)</f>
        <v>1.4904</v>
      </c>
      <c r="AO4" s="25">
        <f>VLOOKUP($R4,武学奇术!$A:$ZZ,27,FALSE)*(1+IF(OR($AM4=$F$4,$AM4=$F$5),$B$22,0))</f>
        <v>378</v>
      </c>
      <c r="AP4" s="24">
        <f>VLOOKUP($R4,武学奇术!$A:$ZZ,28,FALSE)</f>
        <v>2.2356</v>
      </c>
      <c r="AQ4" s="25">
        <f>VLOOKUP($R4,武学奇术!$A:$ZZ,29,FALSE)*(1+IF(OR($AM4=$F$4,$AM4=$F$5),$B$22,0))</f>
        <v>0</v>
      </c>
      <c r="AR4" s="24" cm="1">
        <f t="array" ref="AR4">$G$3+IFERROR(VLOOKUP($AM4,$F$4:$G$7,2,FALSE),0)+VLOOKUP($R4,武学奇术!$A:$ZZ,2,FALSE)+SUM(_xlfn.XLOOKUP($S4:$AL4,增益!$A:$A,增益!$B:$B,0))</f>
        <v>0.1537</v>
      </c>
      <c r="AS4" s="24" cm="1">
        <f t="array" ref="AS4">VLOOKUP($R4,武学奇术!$A:$ZZ,5,FALSE)+SUM(_xlfn.XLOOKUP($S4:$AL4,增益!$A:$A,增益!$E:$E,0))</f>
        <v>0</v>
      </c>
      <c r="AT4" cm="1">
        <f t="array" ref="AT4">$D$10*(1+$AS4)+VLOOKUP($R4,武学奇术!$A:$ZZ,3,FALSE)+SUM(_xlfn.XLOOKUP($S4:$AL4,增益!$A:$A,增益!$C:$C,0))-$I$2</f>
        <v>3839.102</v>
      </c>
      <c r="AU4" cm="1">
        <f t="array" ref="AU4">$E$10*(1+$AS4)+VLOOKUP($R4,武学奇术!$A:$ZZ,4,FALSE)+SUM(_xlfn.XLOOKUP($S4:$AL4,增益!$A:$A,增益!$D:$D,0))-$I$2</f>
        <v>3839.102</v>
      </c>
      <c r="AV4" s="30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0.197</v>
      </c>
      <c r="AW4" s="30" cm="1">
        <f t="array" ref="AW4">$G$10+VLOOKUP($R4,武学奇术!$A:$ZZ,7,FALSE)+SUM(_xlfn.XLOOKUP($S4:$AL4,增益!$A:$A,增益!$G:$G,0))</f>
        <v>0.09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0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0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0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0" cm="1">
        <f t="array" ref="BF4">$G$12+VLOOKUP($R4,武学奇术!$A:$ZZ,12,FALSE)+SUM(_xlfn.XLOOKUP($S4:$AL4,增益!$A:$A,增益!$L:$L,0))</f>
        <v>0</v>
      </c>
      <c r="BG4">
        <f t="shared" si="5"/>
        <v>0</v>
      </c>
      <c r="BH4">
        <f t="shared" si="6"/>
        <v>0</v>
      </c>
      <c r="BI4" s="30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-0.3</v>
      </c>
      <c r="BJ4" s="30" cm="1">
        <f t="array" ref="BJ4">$G$13+VLOOKUP($R4,武学奇术!$A:$ZZ,14,FALSE)+SUM(_xlfn.XLOOKUP($S4:$AL4,增益!$A:$A,增益!$N:$N,0))</f>
        <v>0</v>
      </c>
      <c r="BK4">
        <f t="shared" si="7"/>
        <v>605.472</v>
      </c>
      <c r="BL4">
        <f t="shared" si="8"/>
        <v>1725.468</v>
      </c>
      <c r="BM4" s="30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0</v>
      </c>
      <c r="BN4" s="30" cm="1">
        <f t="array" ref="BN4">$G$14+VLOOKUP($R4,武学奇术!$A:$ZZ,16,FALSE)+SUM(_xlfn.XLOOKUP($S4:$AL4,增益!$A:$A,增益!$P:$P,0))</f>
        <v>0.24</v>
      </c>
      <c r="BO4" s="24">
        <f>MIN(IF(VLOOKUP($R4,武学奇术!$A:$ZZ,23,FALSE)=1,100%,$B$8),100%)</f>
        <v>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+MIN(IF(VLOOKUP($R4,武学奇术!$A:$ZZ,32,FALSE)=1,IF(VLOOKUP($R4,武学奇术!$A:$ZZ,24,FALSE)=1,100%,MIN(40%,$B$10+VLOOKUP($R4,武学奇术!$A:$ZZ,19,FALSE)+SUM(_xlfn.XLOOKUP($S4:$AL4,增益!$A:$A,增益!$S:$S,0)))+$B$12+SUM(_xlfn.XLOOKUP($S4:$AL4,增益!$A:$A,增益!$V:$V,0))),0),12%)</f>
        <v>0.9036</v>
      </c>
      <c r="BQ4" s="24" cm="1">
        <f t="array" ref="BQ4">1+$B$13+VLOOKUP($R4,武学奇术!$A:$ZZ,18,FALSE)+SUM(_xlfn.XLOOKUP($S4:$AL4,增益!$A:$A,增益!$R:$R,0))</f>
        <v>1.57</v>
      </c>
      <c r="BR4" s="24" cm="1">
        <f t="array" ref="BR4">MAX(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-IF(VLOOKUP($R4,武学奇术!$A:$ZZ,32,FALSE)=1,12%,0),0)</f>
        <v>0.0929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0.9036</v>
      </c>
      <c r="BU4" s="24">
        <f t="shared" si="10"/>
        <v>0.00350000000000006</v>
      </c>
      <c r="BV4" s="24">
        <f>IF(VLOOKUP($R4,武学奇术!$A:$ZZ,22,FALSE)=1,0,(1-$BO4))*(1-$BR4)</f>
        <v>0</v>
      </c>
      <c r="BW4" s="24" cm="1">
        <f t="array" ref="BW4">SUM(_xlfn.XLOOKUP($S4:$AL4,增益!$A:$A,增益!$W:$W,0))+$I$5</f>
        <v>0.11</v>
      </c>
      <c r="BX4" s="24" cm="1">
        <f t="array" ref="BX4">SUM(_xlfn.XLOOKUP($S4:$AL4,增益!$A:$A,增益!$X:$X,0))</f>
        <v>0</v>
      </c>
    </row>
    <row r="5" spans="1:76">
      <c r="A5" s="54" t="s">
        <v>98</v>
      </c>
      <c r="B5" s="55"/>
      <c r="C5" s="55"/>
      <c r="D5" s="55"/>
      <c r="E5" s="56"/>
      <c r="F5" s="45" t="s">
        <v>99</v>
      </c>
      <c r="G5" s="49">
        <f>B15+B18</f>
        <v>0.0852</v>
      </c>
      <c r="H5" t="s">
        <v>100</v>
      </c>
      <c r="I5" s="26">
        <v>0.06</v>
      </c>
      <c r="K5">
        <f>$L5*VLOOKUP($R5,武学奇术!$A:$ZZ,31,FALSE)</f>
        <v>22883.4988764202</v>
      </c>
      <c r="L5" s="36">
        <f t="shared" si="0"/>
        <v>22883.4988764202</v>
      </c>
      <c r="M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BQ5*$Q5*(1+IF(VLOOKUP($R5,武学奇术!$A:$ZZ,30,FALSE)="蓄力技",$B$21,0))*(1+$BW5)</f>
        <v>22972.1891617713</v>
      </c>
      <c r="N5" s="36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蓄力技",$B$21,0))*(1+$BW5)</f>
        <v>22335.2097851692</v>
      </c>
      <c r="O5" s="36">
        <f>((($AT5+($AU5-$AT5)*IF(VLOOKUP($R5,武学奇术!$A:$ZZ,31,FALSE)=1,$F$18,0.5))*$AN5+$AO5)*(1+$AV5)*(1+$AW5)+(($AY5+($AZ5-$AY5)*IF(VLOOKUP($R5,武学奇术!$A:$ZZ,31,FALSE)=1,$F$18,0.5))*IF($G$1="鸣金",$AP5,$AN5)+IF($G$1="鸣金",$AQ5*1.5,0))*(1+$BA5)*(1+$BB5)+(($BC5+($BD5-$BC5)*IF(VLOOKUP($R5,武学奇术!$A:$ZZ,31,FALSE)=1,$F$18,0.5))*IF($G$1="裂石",$AP5,$AN5)+IF($G$1="裂石",$AQ5*1.5,0))*(1+$BE5)*(1+$BF5)+(($BG5+($BH5-$BG5)*IF(VLOOKUP($R5,武学奇术!$A:$ZZ,31,FALSE)=1,$F$18,0.5))*IF($G$1="牵丝",$AP5,$AN5)+IF($G$1="牵丝",$AQ5*1.5,0))*(1+$BI5)*(1+$BJ5)+(($BK5+($BL5-$BK5)*IF(VLOOKUP($R5,武学奇术!$A:$ZZ,31,FALSE)=1,$F$18,0.5))*IF($G$1="破竹",$AP5,$AN5)+IF($G$1="破竹",$AQ5*1.5,0))*(1+$BM5)*(1+$BN5))*(1+$AR5)*$Q5*(1+IF(VLOOKUP($R5,武学奇术!$A:$ZZ,30,FALSE)="蓄力技",$B$21,0))*(1+$BW5)</f>
        <v>14539.3602289692</v>
      </c>
      <c r="P5" s="36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蓄力技",$B$21,0))*(1+$BW5)</f>
        <v>12534.1206170723</v>
      </c>
      <c r="Q5" s="37">
        <v>1</v>
      </c>
      <c r="R5" s="38" t="s">
        <v>77</v>
      </c>
      <c r="S5" s="38" t="s">
        <v>101</v>
      </c>
      <c r="T5" s="38" t="s">
        <v>79</v>
      </c>
      <c r="U5" s="38" t="s">
        <v>79</v>
      </c>
      <c r="V5" s="38" t="s">
        <v>80</v>
      </c>
      <c r="W5" s="38" t="s">
        <v>79</v>
      </c>
      <c r="X5" s="38" t="s">
        <v>79</v>
      </c>
      <c r="Y5" s="38" t="s">
        <v>102</v>
      </c>
      <c r="Z5" s="38" t="s">
        <v>79</v>
      </c>
      <c r="AA5" s="38" t="s">
        <v>79</v>
      </c>
      <c r="AB5" s="38" t="s">
        <v>79</v>
      </c>
      <c r="AC5" s="38" t="s">
        <v>79</v>
      </c>
      <c r="AD5" s="38" t="s">
        <v>79</v>
      </c>
      <c r="AE5" s="38" t="s">
        <v>79</v>
      </c>
      <c r="AF5" s="38" t="s">
        <v>84</v>
      </c>
      <c r="AG5" s="38" t="s">
        <v>85</v>
      </c>
      <c r="AH5" s="38" t="s">
        <v>79</v>
      </c>
      <c r="AI5" s="38" t="s">
        <v>79</v>
      </c>
      <c r="AJ5" s="38" t="s">
        <v>79</v>
      </c>
      <c r="AK5" s="38" t="s">
        <v>79</v>
      </c>
      <c r="AL5" s="38" t="s">
        <v>79</v>
      </c>
      <c r="AM5" t="str">
        <f>VLOOKUP($R5,武学奇术!$A:$ZZ,25,FALSE)</f>
        <v>群体奇术</v>
      </c>
      <c r="AN5" s="24">
        <f>VLOOKUP($R5,武学奇术!$A:$ZZ,26,FALSE)</f>
        <v>1.4904</v>
      </c>
      <c r="AO5" s="25">
        <f>VLOOKUP($R5,武学奇术!$A:$ZZ,27,FALSE)*(1+IF(OR($AM5=$F$4,$AM5=$F$5),$B$22,0))</f>
        <v>378</v>
      </c>
      <c r="AP5" s="24">
        <f>VLOOKUP($R5,武学奇术!$A:$ZZ,28,FALSE)</f>
        <v>2.2356</v>
      </c>
      <c r="AQ5" s="25">
        <f>VLOOKUP($R5,武学奇术!$A:$ZZ,29,FALSE)*(1+IF(OR($AM5=$F$4,$AM5=$F$5),$B$22,0))</f>
        <v>0</v>
      </c>
      <c r="AR5" s="24" cm="1">
        <f t="array" ref="AR5">$G$3+IFERROR(VLOOKUP($AM5,$F$4:$G$7,2,FALSE),0)+VLOOKUP($R5,武学奇术!$A:$ZZ,2,FALSE)+SUM(_xlfn.XLOOKUP($S5:$AL5,增益!$A:$A,增益!$B:$B,0))</f>
        <v>0.1637</v>
      </c>
      <c r="AS5" s="24" cm="1">
        <f t="array" ref="AS5">VLOOKUP($R5,武学奇术!$A:$ZZ,5,FALSE)+SUM(_xlfn.XLOOKUP($S5:$AL5,增益!$A:$A,增益!$E:$E,0))</f>
        <v>0</v>
      </c>
      <c r="AT5" cm="1">
        <f t="array" ref="AT5">$D$10*(1+$AS5)+VLOOKUP($R5,武学奇术!$A:$ZZ,3,FALSE)+SUM(_xlfn.XLOOKUP($S5:$AL5,增益!$A:$A,增益!$C:$C,0))-$I$2</f>
        <v>3839.102</v>
      </c>
      <c r="AU5" cm="1">
        <f t="array" ref="AU5">$E$10*(1+$AS5)+VLOOKUP($R5,武学奇术!$A:$ZZ,4,FALSE)+SUM(_xlfn.XLOOKUP($S5:$AL5,增益!$A:$A,增益!$D:$D,0))-$I$2</f>
        <v>3839.102</v>
      </c>
      <c r="AV5" s="30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0.207</v>
      </c>
      <c r="AW5" s="30" cm="1">
        <f t="array" ref="AW5">$G$10+VLOOKUP($R5,武学奇术!$A:$ZZ,7,FALSE)+SUM(_xlfn.XLOOKUP($S5:$AL5,增益!$A:$A,增益!$G:$G,0))</f>
        <v>0.09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0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0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0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0" cm="1">
        <f t="array" ref="BF5">$G$12+VLOOKUP($R5,武学奇术!$A:$ZZ,12,FALSE)+SUM(_xlfn.XLOOKUP($S5:$AL5,增益!$A:$A,增益!$L:$L,0))</f>
        <v>0</v>
      </c>
      <c r="BG5">
        <f t="shared" si="5"/>
        <v>0</v>
      </c>
      <c r="BH5">
        <f t="shared" si="6"/>
        <v>0</v>
      </c>
      <c r="BI5" s="30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-0.3</v>
      </c>
      <c r="BJ5" s="30" cm="1">
        <f t="array" ref="BJ5">$G$13+VLOOKUP($R5,武学奇术!$A:$ZZ,14,FALSE)+SUM(_xlfn.XLOOKUP($S5:$AL5,增益!$A:$A,增益!$N:$N,0))</f>
        <v>0</v>
      </c>
      <c r="BK5">
        <f t="shared" si="7"/>
        <v>605.472</v>
      </c>
      <c r="BL5">
        <f t="shared" si="8"/>
        <v>1725.468</v>
      </c>
      <c r="BM5" s="30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0</v>
      </c>
      <c r="BN5" s="30" cm="1">
        <f t="array" ref="BN5">$G$14+VLOOKUP($R5,武学奇术!$A:$ZZ,16,FALSE)+SUM(_xlfn.XLOOKUP($S5:$AL5,增益!$A:$A,增益!$P:$P,0))</f>
        <v>0.24</v>
      </c>
      <c r="BO5" s="24">
        <f>MIN(IF(VLOOKUP($R5,武学奇术!$A:$ZZ,23,FALSE)=1,100%,$B$8),100%)</f>
        <v>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+MIN(IF(VLOOKUP($R5,武学奇术!$A:$ZZ,32,FALSE)=1,IF(VLOOKUP($R5,武学奇术!$A:$ZZ,24,FALSE)=1,100%,MIN(40%,$B$10+VLOOKUP($R5,武学奇术!$A:$ZZ,19,FALSE)+SUM(_xlfn.XLOOKUP($S5:$AL5,增益!$A:$A,增益!$S:$S,0)))+$B$12+SUM(_xlfn.XLOOKUP($S5:$AL5,增益!$A:$A,增益!$V:$V,0))),0),12%)</f>
        <v>0.9036</v>
      </c>
      <c r="BQ5" s="24" cm="1">
        <f t="array" ref="BQ5">1+$B$13+VLOOKUP($R5,武学奇术!$A:$ZZ,18,FALSE)+SUM(_xlfn.XLOOKUP($S5:$AL5,增益!$A:$A,增益!$R:$R,0))</f>
        <v>1.58</v>
      </c>
      <c r="BR5" s="24" cm="1">
        <f t="array" ref="BR5">MAX(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-IF(VLOOKUP($R5,武学奇术!$A:$ZZ,32,FALSE)=1,12%,0),0)</f>
        <v>0.0929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0.9036</v>
      </c>
      <c r="BU5" s="24">
        <f t="shared" si="10"/>
        <v>0.00350000000000006</v>
      </c>
      <c r="BV5" s="24">
        <f>IF(VLOOKUP($R5,武学奇术!$A:$ZZ,22,FALSE)=1,0,(1-$BO5))*(1-$BR5)</f>
        <v>0</v>
      </c>
      <c r="BW5" s="24" cm="1">
        <f t="array" ref="BW5">SUM(_xlfn.XLOOKUP($S5:$AL5,增益!$A:$A,增益!$W:$W,0))+$I$5</f>
        <v>0.11</v>
      </c>
      <c r="BX5" s="24" cm="1">
        <f t="array" ref="BX5">SUM(_xlfn.XLOOKUP($S5:$AL5,增益!$A:$A,增益!$X:$X,0))</f>
        <v>0</v>
      </c>
    </row>
    <row r="6" spans="1:76">
      <c r="A6" s="57" t="s">
        <v>5</v>
      </c>
      <c r="B6" s="58"/>
      <c r="C6" s="58"/>
      <c r="D6" s="58"/>
      <c r="E6" s="59"/>
      <c r="F6" s="45" t="s">
        <v>103</v>
      </c>
      <c r="G6" s="49">
        <f>B19</f>
        <v>0</v>
      </c>
      <c r="K6">
        <f>$L6*VLOOKUP($R6,武学奇术!$A:$ZZ,31,FALSE)</f>
        <v>23214.9773312683</v>
      </c>
      <c r="L6" s="36">
        <f t="shared" si="0"/>
        <v>23214.9773312683</v>
      </c>
      <c r="M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BQ6*$Q6*(1+IF(VLOOKUP($R6,武学奇术!$A:$ZZ,30,FALSE)="蓄力技",$B$21,0))*(1+$BW6)</f>
        <v>23306.4564230838</v>
      </c>
      <c r="N6" s="36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蓄力技",$B$21,0))*(1+$BW6)</f>
        <v>22644.0805286986</v>
      </c>
      <c r="O6" s="36">
        <f>((($AT6+($AU6-$AT6)*IF(VLOOKUP($R6,武学奇术!$A:$ZZ,31,FALSE)=1,$F$18,0.5))*$AN6+$AO6)*(1+$AV6)*(1+$AW6)+(($AY6+($AZ6-$AY6)*IF(VLOOKUP($R6,武学奇术!$A:$ZZ,31,FALSE)=1,$F$18,0.5))*IF($G$1="鸣金",$AP6,$AN6)+IF($G$1="鸣金",$AQ6*1.5,0))*(1+$BA6)*(1+$BB6)+(($BC6+($BD6-$BC6)*IF(VLOOKUP($R6,武学奇术!$A:$ZZ,31,FALSE)=1,$F$18,0.5))*IF($G$1="裂石",$AP6,$AN6)+IF($G$1="裂石",$AQ6*1.5,0))*(1+$BE6)*(1+$BF6)+(($BG6+($BH6-$BG6)*IF(VLOOKUP($R6,武学奇术!$A:$ZZ,31,FALSE)=1,$F$18,0.5))*IF($G$1="牵丝",$AP6,$AN6)+IF($G$1="牵丝",$AQ6*1.5,0))*(1+$BI6)*(1+$BJ6)+(($BK6+($BL6-$BK6)*IF(VLOOKUP($R6,武学奇术!$A:$ZZ,31,FALSE)=1,$F$18,0.5))*IF($G$1="破竹",$AP6,$AN6)+IF($G$1="破竹",$AQ6*1.5,0))*(1+$BM6)*(1+$BN6))*(1+$AR6)*$Q6*(1+IF(VLOOKUP($R6,武学奇术!$A:$ZZ,30,FALSE)="蓄力技",$B$21,0))*(1+$BW6)</f>
        <v>14750.9217867619</v>
      </c>
      <c r="P6" s="36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蓄力技",$B$21,0))*(1+$BW6)</f>
        <v>12728.4505893026</v>
      </c>
      <c r="Q6" s="37">
        <v>1</v>
      </c>
      <c r="R6" s="38" t="s">
        <v>77</v>
      </c>
      <c r="S6" s="38" t="s">
        <v>104</v>
      </c>
      <c r="T6" s="38" t="s">
        <v>79</v>
      </c>
      <c r="U6" s="38" t="s">
        <v>79</v>
      </c>
      <c r="V6" s="38" t="s">
        <v>80</v>
      </c>
      <c r="W6" s="38" t="s">
        <v>79</v>
      </c>
      <c r="X6" s="38" t="s">
        <v>79</v>
      </c>
      <c r="Y6" s="38" t="s">
        <v>102</v>
      </c>
      <c r="Z6" s="38" t="s">
        <v>79</v>
      </c>
      <c r="AA6" s="38" t="s">
        <v>79</v>
      </c>
      <c r="AB6" s="38" t="s">
        <v>79</v>
      </c>
      <c r="AC6" s="38" t="s">
        <v>79</v>
      </c>
      <c r="AD6" s="38" t="s">
        <v>79</v>
      </c>
      <c r="AE6" s="38" t="s">
        <v>79</v>
      </c>
      <c r="AF6" s="38" t="s">
        <v>84</v>
      </c>
      <c r="AG6" s="38" t="s">
        <v>85</v>
      </c>
      <c r="AH6" s="38" t="s">
        <v>79</v>
      </c>
      <c r="AI6" s="38" t="s">
        <v>79</v>
      </c>
      <c r="AJ6" s="38" t="s">
        <v>79</v>
      </c>
      <c r="AK6" s="38" t="s">
        <v>79</v>
      </c>
      <c r="AL6" s="38" t="s">
        <v>79</v>
      </c>
      <c r="AM6" t="str">
        <f>VLOOKUP($R6,武学奇术!$A:$ZZ,25,FALSE)</f>
        <v>群体奇术</v>
      </c>
      <c r="AN6" s="24">
        <f>VLOOKUP($R6,武学奇术!$A:$ZZ,26,FALSE)</f>
        <v>1.4904</v>
      </c>
      <c r="AO6" s="25">
        <f>VLOOKUP($R6,武学奇术!$A:$ZZ,27,FALSE)*(1+IF(OR($AM6=$F$4,$AM6=$F$5),$B$22,0))</f>
        <v>378</v>
      </c>
      <c r="AP6" s="24">
        <f>VLOOKUP($R6,武学奇术!$A:$ZZ,28,FALSE)</f>
        <v>2.2356</v>
      </c>
      <c r="AQ6" s="25">
        <f>VLOOKUP($R6,武学奇术!$A:$ZZ,29,FALSE)*(1+IF(OR($AM6=$F$4,$AM6=$F$5),$B$22,0))</f>
        <v>0</v>
      </c>
      <c r="AR6" s="24" cm="1">
        <f t="array" ref="AR6">$G$3+IFERROR(VLOOKUP($AM6,$F$4:$G$7,2,FALSE),0)+VLOOKUP($R6,武学奇术!$A:$ZZ,2,FALSE)+SUM(_xlfn.XLOOKUP($S6:$AL6,增益!$A:$A,增益!$B:$B,0))</f>
        <v>0.1737</v>
      </c>
      <c r="AS6" s="24" cm="1">
        <f t="array" ref="AS6">VLOOKUP($R6,武学奇术!$A:$ZZ,5,FALSE)+SUM(_xlfn.XLOOKUP($S6:$AL6,增益!$A:$A,增益!$E:$E,0))</f>
        <v>0</v>
      </c>
      <c r="AT6" cm="1">
        <f t="array" ref="AT6">$D$10*(1+$AS6)+VLOOKUP($R6,武学奇术!$A:$ZZ,3,FALSE)+SUM(_xlfn.XLOOKUP($S6:$AL6,增益!$A:$A,增益!$C:$C,0))-$I$2</f>
        <v>3839.102</v>
      </c>
      <c r="AU6" cm="1">
        <f t="array" ref="AU6">$E$10*(1+$AS6)+VLOOKUP($R6,武学奇术!$A:$ZZ,4,FALSE)+SUM(_xlfn.XLOOKUP($S6:$AL6,增益!$A:$A,增益!$D:$D,0))-$I$2</f>
        <v>3839.102</v>
      </c>
      <c r="AV6" s="30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0.217</v>
      </c>
      <c r="AW6" s="30" cm="1">
        <f t="array" ref="AW6">$G$10+VLOOKUP($R6,武学奇术!$A:$ZZ,7,FALSE)+SUM(_xlfn.XLOOKUP($S6:$AL6,增益!$A:$A,增益!$G:$G,0))</f>
        <v>0.09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0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0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0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0" cm="1">
        <f t="array" ref="BF6">$G$12+VLOOKUP($R6,武学奇术!$A:$ZZ,12,FALSE)+SUM(_xlfn.XLOOKUP($S6:$AL6,增益!$A:$A,增益!$L:$L,0))</f>
        <v>0</v>
      </c>
      <c r="BG6">
        <f t="shared" si="5"/>
        <v>0</v>
      </c>
      <c r="BH6">
        <f t="shared" si="6"/>
        <v>0</v>
      </c>
      <c r="BI6" s="30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-0.3</v>
      </c>
      <c r="BJ6" s="30" cm="1">
        <f t="array" ref="BJ6">$G$13+VLOOKUP($R6,武学奇术!$A:$ZZ,14,FALSE)+SUM(_xlfn.XLOOKUP($S6:$AL6,增益!$A:$A,增益!$N:$N,0))</f>
        <v>0</v>
      </c>
      <c r="BK6">
        <f t="shared" si="7"/>
        <v>605.472</v>
      </c>
      <c r="BL6">
        <f t="shared" si="8"/>
        <v>1725.468</v>
      </c>
      <c r="BM6" s="30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0</v>
      </c>
      <c r="BN6" s="30" cm="1">
        <f t="array" ref="BN6">$G$14+VLOOKUP($R6,武学奇术!$A:$ZZ,16,FALSE)+SUM(_xlfn.XLOOKUP($S6:$AL6,增益!$A:$A,增益!$P:$P,0))</f>
        <v>0.24</v>
      </c>
      <c r="BO6" s="24">
        <f>MIN(IF(VLOOKUP($R6,武学奇术!$A:$ZZ,23,FALSE)=1,100%,$B$8),100%)</f>
        <v>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+MIN(IF(VLOOKUP($R6,武学奇术!$A:$ZZ,32,FALSE)=1,IF(VLOOKUP($R6,武学奇术!$A:$ZZ,24,FALSE)=1,100%,MIN(40%,$B$10+VLOOKUP($R6,武学奇术!$A:$ZZ,19,FALSE)+SUM(_xlfn.XLOOKUP($S6:$AL6,增益!$A:$A,增益!$S:$S,0)))+$B$12+SUM(_xlfn.XLOOKUP($S6:$AL6,增益!$A:$A,增益!$V:$V,0))),0),12%)</f>
        <v>0.9036</v>
      </c>
      <c r="BQ6" s="24" cm="1">
        <f t="array" ref="BQ6">1+$B$13+VLOOKUP($R6,武学奇术!$A:$ZZ,18,FALSE)+SUM(_xlfn.XLOOKUP($S6:$AL6,增益!$A:$A,增益!$R:$R,0))</f>
        <v>1.58</v>
      </c>
      <c r="BR6" s="24" cm="1">
        <f t="array" ref="BR6">MAX(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-IF(VLOOKUP($R6,武学奇术!$A:$ZZ,32,FALSE)=1,12%,0),0)</f>
        <v>0.0929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0.9036</v>
      </c>
      <c r="BU6" s="24">
        <f t="shared" si="10"/>
        <v>0.00350000000000006</v>
      </c>
      <c r="BV6" s="24">
        <f>IF(VLOOKUP($R6,武学奇术!$A:$ZZ,22,FALSE)=1,0,(1-$BO6))*(1-$BR6)</f>
        <v>0</v>
      </c>
      <c r="BW6" s="24" cm="1">
        <f t="array" ref="BW6">SUM(_xlfn.XLOOKUP($S6:$AL6,增益!$A:$A,增益!$W:$W,0))+$I$5</f>
        <v>0.11</v>
      </c>
      <c r="BX6" s="24" cm="1">
        <f t="array" ref="BX6">SUM(_xlfn.XLOOKUP($S6:$AL6,增益!$A:$A,增益!$X:$X,0))</f>
        <v>0</v>
      </c>
    </row>
    <row r="7" ht="14.25" spans="1:76">
      <c r="A7" s="40" t="s">
        <v>105</v>
      </c>
      <c r="B7" s="60"/>
      <c r="C7" s="60"/>
      <c r="D7" s="61"/>
      <c r="E7" s="62"/>
      <c r="F7" s="53" t="s">
        <v>106</v>
      </c>
      <c r="G7" s="63">
        <f>B20</f>
        <v>0</v>
      </c>
      <c r="K7">
        <f>$L7*VLOOKUP($R7,武学奇术!$A:$ZZ,31,FALSE)</f>
        <v>20292.0085681815</v>
      </c>
      <c r="L7" s="36">
        <f t="shared" si="0"/>
        <v>20292.0085681815</v>
      </c>
      <c r="M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BQ7*$Q7*(1+IF(VLOOKUP($R7,武学奇术!$A:$ZZ,30,FALSE)="蓄力技",$B$21,0))*(1+$BW7)</f>
        <v>20334.484536404</v>
      </c>
      <c r="N7" s="36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蓄力技",$B$21,0))*(1+$BW7)</f>
        <v>20145.8945479451</v>
      </c>
      <c r="O7" s="36">
        <f>((($AT7+($AU7-$AT7)*IF(VLOOKUP($R7,武学奇术!$A:$ZZ,31,FALSE)=1,$F$18,0.5))*$AN7+$AO7)*(1+$AV7)*(1+$AW7)+(($AY7+($AZ7-$AY7)*IF(VLOOKUP($R7,武学奇术!$A:$ZZ,31,FALSE)=1,$F$18,0.5))*IF($G$1="鸣金",$AP7,$AN7)+IF($G$1="鸣金",$AQ7*1.5,0))*(1+$BA7)*(1+$BB7)+(($BC7+($BD7-$BC7)*IF(VLOOKUP($R7,武学奇术!$A:$ZZ,31,FALSE)=1,$F$18,0.5))*IF($G$1="裂石",$AP7,$AN7)+IF($G$1="裂石",$AQ7*1.5,0))*(1+$BE7)*(1+$BF7)+(($BG7+($BH7-$BG7)*IF(VLOOKUP($R7,武学奇术!$A:$ZZ,31,FALSE)=1,$F$18,0.5))*IF($G$1="牵丝",$AP7,$AN7)+IF($G$1="牵丝",$AQ7*1.5,0))*(1+$BI7)*(1+$BJ7)+(($BK7+($BL7-$BK7)*IF(VLOOKUP($R7,武学奇术!$A:$ZZ,31,FALSE)=1,$F$18,0.5))*IF($G$1="破竹",$AP7,$AN7)+IF($G$1="破竹",$AQ7*1.5,0))*(1+$BM7)*(1+$BN7))*(1+$AR7)*$Q7*(1+IF(VLOOKUP($R7,武学奇术!$A:$ZZ,30,FALSE)="蓄力技",$B$21,0))*(1+$BW7)</f>
        <v>13204.2107379247</v>
      </c>
      <c r="P7" s="36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蓄力技",$B$21,0))*(1+$BW7)</f>
        <v>11485.5366255196</v>
      </c>
      <c r="Q7" s="37">
        <v>1</v>
      </c>
      <c r="R7" s="38" t="s">
        <v>107</v>
      </c>
      <c r="S7" s="38" t="s">
        <v>79</v>
      </c>
      <c r="T7" s="38" t="s">
        <v>79</v>
      </c>
      <c r="U7" s="38" t="s">
        <v>79</v>
      </c>
      <c r="V7" s="38" t="s">
        <v>79</v>
      </c>
      <c r="W7" s="38" t="s">
        <v>79</v>
      </c>
      <c r="X7" s="38" t="s">
        <v>79</v>
      </c>
      <c r="Y7" s="38" t="s">
        <v>79</v>
      </c>
      <c r="Z7" s="38" t="s">
        <v>79</v>
      </c>
      <c r="AA7" s="38" t="s">
        <v>79</v>
      </c>
      <c r="AB7" s="38" t="s">
        <v>79</v>
      </c>
      <c r="AC7" s="38" t="s">
        <v>79</v>
      </c>
      <c r="AD7" s="38" t="s">
        <v>79</v>
      </c>
      <c r="AE7" s="38" t="s">
        <v>79</v>
      </c>
      <c r="AF7" s="38" t="s">
        <v>84</v>
      </c>
      <c r="AG7" s="38" t="s">
        <v>85</v>
      </c>
      <c r="AH7" s="38" t="s">
        <v>79</v>
      </c>
      <c r="AI7" s="38" t="s">
        <v>79</v>
      </c>
      <c r="AJ7" s="38" t="s">
        <v>79</v>
      </c>
      <c r="AK7" s="38" t="s">
        <v>79</v>
      </c>
      <c r="AL7" s="38" t="s">
        <v>79</v>
      </c>
      <c r="AM7" t="str">
        <f>VLOOKUP($R7,武学奇术!$A:$ZZ,25,FALSE)</f>
        <v>绳镖</v>
      </c>
      <c r="AN7" s="24">
        <f>VLOOKUP($R7,武学奇术!$A:$ZZ,26,FALSE)</f>
        <v>1.2503</v>
      </c>
      <c r="AO7" s="25">
        <f>VLOOKUP($R7,武学奇术!$A:$ZZ,27,FALSE)*(1+IF(OR($AM7=$F$4,$AM7=$F$5),$B$22,0))</f>
        <v>520.5</v>
      </c>
      <c r="AP7" s="24">
        <f>VLOOKUP($R7,武学奇术!$A:$ZZ,28,FALSE)</f>
        <v>1.8755</v>
      </c>
      <c r="AQ7" s="25">
        <f>VLOOKUP($R7,武学奇术!$A:$ZZ,29,FALSE)*(1+IF(OR($AM7=$F$4,$AM7=$F$5),$B$22,0))</f>
        <v>283.5</v>
      </c>
      <c r="AR7" s="24" cm="1">
        <f t="array" ref="AR7">$G$3+IFERROR(VLOOKUP($AM7,$F$4:$G$7,2,FALSE),0)+VLOOKUP($R7,武学奇术!$A:$ZZ,2,FALSE)+SUM(_xlfn.XLOOKUP($S7:$AL7,增益!$A:$A,增益!$B:$B,0))</f>
        <v>0.1889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3839.102</v>
      </c>
      <c r="AU7" cm="1">
        <f t="array" ref="AU7">$E$10*(1+$AS7)+VLOOKUP($R7,武学奇术!$A:$ZZ,4,FALSE)+SUM(_xlfn.XLOOKUP($S7:$AL7,增益!$A:$A,增益!$D:$D,0))-$I$2</f>
        <v>3839.102</v>
      </c>
      <c r="AV7" s="30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0.167</v>
      </c>
      <c r="AW7" s="30" cm="1">
        <f t="array" ref="AW7">$G$10+VLOOKUP($R7,武学奇术!$A:$ZZ,7,FALSE)+SUM(_xlfn.XLOOKUP($S7:$AL7,增益!$A:$A,增益!$G:$G,0))</f>
        <v>0.09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0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0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0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0" cm="1">
        <f t="array" ref="BF7">$G$12+VLOOKUP($R7,武学奇术!$A:$ZZ,12,FALSE)+SUM(_xlfn.XLOOKUP($S7:$AL7,增益!$A:$A,增益!$L:$L,0))</f>
        <v>0</v>
      </c>
      <c r="BG7">
        <f t="shared" si="5"/>
        <v>0</v>
      </c>
      <c r="BH7">
        <f t="shared" si="6"/>
        <v>0</v>
      </c>
      <c r="BI7" s="30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-0.3</v>
      </c>
      <c r="BJ7" s="30" cm="1">
        <f t="array" ref="BJ7">$G$13+VLOOKUP($R7,武学奇术!$A:$ZZ,14,FALSE)+SUM(_xlfn.XLOOKUP($S7:$AL7,增益!$A:$A,增益!$N:$N,0))</f>
        <v>0</v>
      </c>
      <c r="BK7">
        <f t="shared" si="7"/>
        <v>605.472</v>
      </c>
      <c r="BL7">
        <f t="shared" si="8"/>
        <v>1725.468</v>
      </c>
      <c r="BM7" s="30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0</v>
      </c>
      <c r="BN7" s="30" cm="1">
        <f t="array" ref="BN7">$G$14+VLOOKUP($R7,武学奇术!$A:$ZZ,16,FALSE)+SUM(_xlfn.XLOOKUP($S7:$AL7,增益!$A:$A,增益!$P:$P,0))</f>
        <v>0.24</v>
      </c>
      <c r="BO7" s="24">
        <f>MIN(IF(VLOOKUP($R7,武学奇术!$A:$ZZ,23,FALSE)=1,100%,$B$8),100%)</f>
        <v>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+MIN(IF(VLOOKUP($R7,武学奇术!$A:$ZZ,32,FALSE)=1,IF(VLOOKUP($R7,武学奇术!$A:$ZZ,24,FALSE)=1,100%,MIN(40%,$B$10+VLOOKUP($R7,武学奇术!$A:$ZZ,19,FALSE)+SUM(_xlfn.XLOOKUP($S7:$AL7,增益!$A:$A,增益!$S:$S,0)))+$B$12+SUM(_xlfn.XLOOKUP($S7:$AL7,增益!$A:$A,增益!$V:$V,0))),0),12%)</f>
        <v>0.9036</v>
      </c>
      <c r="BQ7" s="24" cm="1">
        <f t="array" ref="BQ7">1+$B$13+VLOOKUP($R7,武学奇术!$A:$ZZ,18,FALSE)+SUM(_xlfn.XLOOKUP($S7:$AL7,增益!$A:$A,增益!$R:$R,0))</f>
        <v>1.54</v>
      </c>
      <c r="BR7" s="24" cm="1">
        <f t="array" ref="BR7">MAX(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-IF(VLOOKUP($R7,武学奇术!$A:$ZZ,32,FALSE)=1,12%,0),0)</f>
        <v>0.0929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0.9036</v>
      </c>
      <c r="BU7" s="24">
        <f t="shared" si="10"/>
        <v>0.00350000000000006</v>
      </c>
      <c r="BV7" s="24">
        <f>IF(VLOOKUP($R7,武学奇术!$A:$ZZ,22,FALSE)=1,0,(1-$BO7))*(1-$BR7)</f>
        <v>0</v>
      </c>
      <c r="BW7" s="24" cm="1">
        <f t="array" ref="BW7">SUM(_xlfn.XLOOKUP($S7:$AL7,增益!$A:$A,增益!$W:$W,0))+$I$5</f>
        <v>0.11</v>
      </c>
      <c r="BX7" s="24" cm="1">
        <f t="array" ref="BX7">SUM(_xlfn.XLOOKUP($S7:$AL7,增益!$A:$A,增益!$X:$X,0))</f>
        <v>0</v>
      </c>
    </row>
    <row r="8" spans="1:76">
      <c r="A8" s="64" t="s">
        <v>108</v>
      </c>
      <c r="B8" s="65">
        <f>期望!B8</f>
        <v>1.0063</v>
      </c>
      <c r="C8" s="66" t="s">
        <v>109</v>
      </c>
      <c r="D8" s="66"/>
      <c r="E8" s="66"/>
      <c r="F8" s="66"/>
      <c r="G8" s="35"/>
      <c r="H8" s="67" t="s">
        <v>110</v>
      </c>
      <c r="I8" s="19">
        <f>期望!I8</f>
        <v>100.8</v>
      </c>
      <c r="J8" s="68"/>
      <c r="K8">
        <f>$L8*VLOOKUP($R8,武学奇术!$A:$ZZ,31,FALSE)</f>
        <v>63020.3569926524</v>
      </c>
      <c r="L8" s="36">
        <f t="shared" si="0"/>
        <v>48477.1976866557</v>
      </c>
      <c r="M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BQ8*$Q8*(1+IF(VLOOKUP($R8,武学奇术!$A:$ZZ,30,FALSE)="蓄力技",$B$21,0))*(1+$BW8)</f>
        <v>49302.0612418097</v>
      </c>
      <c r="N8" s="36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蓄力技",$B$21,0))*(1+$BW8)</f>
        <v>41276.4367991338</v>
      </c>
      <c r="O8" s="36">
        <f>((($AT8+($AU8-$AT8)*IF(VLOOKUP($R8,武学奇术!$A:$ZZ,31,FALSE)=1,$F$18,0.5))*$AN8+$AO8)*(1+$AV8)*(1+$AW8)+(($AY8+($AZ8-$AY8)*IF(VLOOKUP($R8,武学奇术!$A:$ZZ,31,FALSE)=1,$F$18,0.5))*IF($G$1="鸣金",$AP8,$AN8)+IF($G$1="鸣金",$AQ8*1.5,0))*(1+$BA8)*(1+$BB8)+(($BC8+($BD8-$BC8)*IF(VLOOKUP($R8,武学奇术!$A:$ZZ,31,FALSE)=1,$F$18,0.5))*IF($G$1="裂石",$AP8,$AN8)+IF($G$1="裂石",$AQ8*1.5,0))*(1+$BE8)*(1+$BF8)+(($BG8+($BH8-$BG8)*IF(VLOOKUP($R8,武学奇术!$A:$ZZ,31,FALSE)=1,$F$18,0.5))*IF($G$1="牵丝",$AP8,$AN8)+IF($G$1="牵丝",$AQ8*1.5,0))*(1+$BI8)*(1+$BJ8)+(($BK8+($BL8-$BK8)*IF(VLOOKUP($R8,武学奇术!$A:$ZZ,31,FALSE)=1,$F$18,0.5))*IF($G$1="破竹",$AP8,$AN8)+IF($G$1="破竹",$AQ8*1.5,0))*(1+$BM8)*(1+$BN8))*(1+$AR8)*$Q8*(1+IF(VLOOKUP($R8,武学奇术!$A:$ZZ,30,FALSE)="蓄力技",$B$21,0))*(1+$BW8)</f>
        <v>26649.7628334106</v>
      </c>
      <c r="P8" s="36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蓄力技",$B$21,0))*(1+$BW8)</f>
        <v>22724.3872970925</v>
      </c>
      <c r="Q8" s="37">
        <v>1</v>
      </c>
      <c r="R8" s="38" t="s">
        <v>111</v>
      </c>
      <c r="S8" s="38" t="s">
        <v>78</v>
      </c>
      <c r="T8" s="38" t="s">
        <v>79</v>
      </c>
      <c r="U8" s="38" t="s">
        <v>79</v>
      </c>
      <c r="V8" s="38" t="s">
        <v>79</v>
      </c>
      <c r="W8" s="38" t="s">
        <v>79</v>
      </c>
      <c r="X8" s="38" t="s">
        <v>79</v>
      </c>
      <c r="Y8" s="38" t="s">
        <v>81</v>
      </c>
      <c r="Z8" s="38" t="s">
        <v>79</v>
      </c>
      <c r="AA8" s="38" t="s">
        <v>112</v>
      </c>
      <c r="AB8" s="38" t="s">
        <v>79</v>
      </c>
      <c r="AC8" s="38" t="s">
        <v>79</v>
      </c>
      <c r="AD8" s="38" t="s">
        <v>79</v>
      </c>
      <c r="AE8" s="38" t="s">
        <v>79</v>
      </c>
      <c r="AF8" s="38" t="s">
        <v>84</v>
      </c>
      <c r="AG8" s="38" t="s">
        <v>85</v>
      </c>
      <c r="AH8" s="38" t="s">
        <v>79</v>
      </c>
      <c r="AI8" s="38" t="s">
        <v>79</v>
      </c>
      <c r="AJ8" s="38" t="s">
        <v>79</v>
      </c>
      <c r="AK8" s="38" t="s">
        <v>79</v>
      </c>
      <c r="AL8" s="38" t="s">
        <v>79</v>
      </c>
      <c r="AM8" t="str">
        <f>VLOOKUP($R8,武学奇术!$A:$ZZ,25,FALSE)</f>
        <v>绳镖</v>
      </c>
      <c r="AN8" s="24">
        <f>VLOOKUP($R8,武学奇术!$A:$ZZ,26,FALSE)</f>
        <v>2.19912</v>
      </c>
      <c r="AO8" s="25">
        <f>VLOOKUP($R8,武学奇术!$A:$ZZ,27,FALSE)*(1+IF(OR($AM8=$F$4,$AM8=$F$5),$B$22,0))</f>
        <v>0</v>
      </c>
      <c r="AP8" s="24">
        <f>VLOOKUP($R8,武学奇术!$A:$ZZ,28,FALSE)</f>
        <v>3.29868</v>
      </c>
      <c r="AQ8" s="25">
        <f>VLOOKUP($R8,武学奇术!$A:$ZZ,29,FALSE)*(1+IF(OR($AM8=$F$4,$AM8=$F$5),$B$22,0))</f>
        <v>0</v>
      </c>
      <c r="AR8" s="24" cm="1">
        <f t="array" ref="AR8">$G$3+IFERROR(VLOOKUP($AM8,$F$4:$G$7,2,FALSE),0)+VLOOKUP($R8,武学奇术!$A:$ZZ,2,FALSE)+SUM(_xlfn.XLOOKUP($S8:$AL8,增益!$A:$A,增益!$B:$B,0))</f>
        <v>0.4989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3839.102</v>
      </c>
      <c r="AU8" cm="1">
        <f t="array" ref="AU8">$E$10*(1+$AS8)+VLOOKUP($R8,武学奇术!$A:$ZZ,4,FALSE)+SUM(_xlfn.XLOOKUP($S8:$AL8,增益!$A:$A,增益!$D:$D,0))-$I$2</f>
        <v>3839.102</v>
      </c>
      <c r="AV8" s="30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0.207</v>
      </c>
      <c r="AW8" s="30" cm="1">
        <f t="array" ref="AW8">$G$10+VLOOKUP($R8,武学奇术!$A:$ZZ,7,FALSE)+SUM(_xlfn.XLOOKUP($S8:$AL8,增益!$A:$A,增益!$G:$G,0))</f>
        <v>0.09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0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-0.24</v>
      </c>
      <c r="BB8" s="30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0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-0.24</v>
      </c>
      <c r="BF8" s="30" cm="1">
        <f t="array" ref="BF8">$G$12+VLOOKUP($R8,武学奇术!$A:$ZZ,12,FALSE)+SUM(_xlfn.XLOOKUP($S8:$AL8,增益!$A:$A,增益!$L:$L,0))</f>
        <v>0</v>
      </c>
      <c r="BG8">
        <f t="shared" si="5"/>
        <v>0</v>
      </c>
      <c r="BH8">
        <f t="shared" si="6"/>
        <v>0</v>
      </c>
      <c r="BI8" s="30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-0.24</v>
      </c>
      <c r="BJ8" s="30" cm="1">
        <f t="array" ref="BJ8">$G$13+VLOOKUP($R8,武学奇术!$A:$ZZ,14,FALSE)+SUM(_xlfn.XLOOKUP($S8:$AL8,增益!$A:$A,增益!$N:$N,0))</f>
        <v>0</v>
      </c>
      <c r="BK8">
        <f t="shared" si="7"/>
        <v>605.472</v>
      </c>
      <c r="BL8">
        <f t="shared" si="8"/>
        <v>1725.468</v>
      </c>
      <c r="BM8" s="30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0.03</v>
      </c>
      <c r="BN8" s="30" cm="1">
        <f t="array" ref="BN8">$G$14+VLOOKUP($R8,武学奇术!$A:$ZZ,16,FALSE)+SUM(_xlfn.XLOOKUP($S8:$AL8,增益!$A:$A,增益!$P:$P,0))</f>
        <v>0.24</v>
      </c>
      <c r="BO8" s="24">
        <f>MIN(IF(VLOOKUP($R8,武学奇术!$A:$ZZ,23,FALSE)=1,100%,$B$8),100%)</f>
        <v>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+MIN(IF(VLOOKUP($R8,武学奇术!$A:$ZZ,32,FALSE)=1,IF(VLOOKUP($R8,武学奇术!$A:$ZZ,24,FALSE)=1,100%,MIN(40%,$B$10+VLOOKUP($R8,武学奇术!$A:$ZZ,19,FALSE)+SUM(_xlfn.XLOOKUP($S8:$AL8,增益!$A:$A,增益!$S:$S,0)))+$B$12+SUM(_xlfn.XLOOKUP($S8:$AL8,增益!$A:$A,增益!$V:$V,0))),0),12%)</f>
        <v>0.9036</v>
      </c>
      <c r="BQ8" s="24" cm="1">
        <f t="array" ref="BQ8">1+$B$13+VLOOKUP($R8,武学奇术!$A:$ZZ,18,FALSE)+SUM(_xlfn.XLOOKUP($S8:$AL8,增益!$A:$A,增益!$R:$R,0))</f>
        <v>1.85</v>
      </c>
      <c r="BR8" s="24" cm="1">
        <f t="array" ref="BR8">MAX(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-IF(VLOOKUP($R8,武学奇术!$A:$ZZ,32,FALSE)=1,12%,0),0)</f>
        <v>0.0929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0.9036</v>
      </c>
      <c r="BU8" s="24">
        <f t="shared" si="10"/>
        <v>0.00350000000000006</v>
      </c>
      <c r="BV8" s="24">
        <f>IF(VLOOKUP($R8,武学奇术!$A:$ZZ,22,FALSE)=1,0,(1-$BO8))*(1-$BR8)</f>
        <v>0</v>
      </c>
      <c r="BW8" s="24" cm="1">
        <f t="array" ref="BW8">SUM(_xlfn.XLOOKUP($S8:$AL8,增益!$A:$A,增益!$W:$W,0))+$I$5</f>
        <v>0.11</v>
      </c>
      <c r="BX8" s="24" cm="1">
        <f t="array" ref="BX8">SUM(_xlfn.XLOOKUP($S8:$AL8,增益!$A:$A,增益!$X:$X,0))</f>
        <v>0</v>
      </c>
    </row>
    <row r="9" ht="14.25" spans="1:76">
      <c r="A9" s="40" t="s">
        <v>113</v>
      </c>
      <c r="B9" s="69">
        <f>期望!B9</f>
        <v>0.7706</v>
      </c>
      <c r="C9" s="12"/>
      <c r="D9" t="s">
        <v>0</v>
      </c>
      <c r="E9" t="s">
        <v>1</v>
      </c>
      <c r="F9" s="70" t="s">
        <v>2</v>
      </c>
      <c r="G9" s="44" t="s">
        <v>3</v>
      </c>
      <c r="H9" s="71"/>
      <c r="I9" s="22"/>
      <c r="J9" s="72"/>
      <c r="K9">
        <f>$L9*VLOOKUP($R9,武学奇术!$A:$ZZ,31,FALSE)</f>
        <v>8231.77086774856</v>
      </c>
      <c r="L9" s="36">
        <f t="shared" si="0"/>
        <v>8231.77086774856</v>
      </c>
      <c r="M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BQ9*$Q9*(1+IF(VLOOKUP($R9,武学奇术!$A:$ZZ,30,FALSE)="蓄力技",$B$21,0))*(1+$BW9)</f>
        <v>8254.47739954399</v>
      </c>
      <c r="N9" s="36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蓄力技",$B$21,0))*(1+$BW9)</f>
        <v>8120.40847153409</v>
      </c>
      <c r="O9" s="36">
        <f>((($AT9+($AU9-$AT9)*IF(VLOOKUP($R9,武学奇术!$A:$ZZ,31,FALSE)=1,$F$18,0.5))*$AN9+$AO9)*(1+$AV9)*(1+$AW9)+(($AY9+($AZ9-$AY9)*IF(VLOOKUP($R9,武学奇术!$A:$ZZ,31,FALSE)=1,$F$18,0.5))*IF($G$1="鸣金",$AP9,$AN9)+IF($G$1="鸣金",$AQ9*1.5,0))*(1+$BA9)*(1+$BB9)+(($BC9+($BD9-$BC9)*IF(VLOOKUP($R9,武学奇术!$A:$ZZ,31,FALSE)=1,$F$18,0.5))*IF($G$1="裂石",$AP9,$AN9)+IF($G$1="裂石",$AQ9*1.5,0))*(1+$BE9)*(1+$BF9)+(($BG9+($BH9-$BG9)*IF(VLOOKUP($R9,武学奇术!$A:$ZZ,31,FALSE)=1,$F$18,0.5))*IF($G$1="牵丝",$AP9,$AN9)+IF($G$1="牵丝",$AQ9*1.5,0))*(1+$BI9)*(1+$BJ9)+(($BK9+($BL9-$BK9)*IF(VLOOKUP($R9,武学奇术!$A:$ZZ,31,FALSE)=1,$F$18,0.5))*IF($G$1="破竹",$AP9,$AN9)+IF($G$1="破竹",$AQ9*1.5,0))*(1+$BM9)*(1+$BN9))*(1+$AR9)*$Q9*(1+IF(VLOOKUP($R9,武学奇术!$A:$ZZ,30,FALSE)="蓄力技",$B$21,0))*(1+$BW9)</f>
        <v>5325.46929002838</v>
      </c>
      <c r="P9" s="36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蓄力技",$B$21,0))*(1+$BW9)</f>
        <v>4635.82119373521</v>
      </c>
      <c r="Q9" s="37">
        <v>1</v>
      </c>
      <c r="R9" s="38" t="s">
        <v>114</v>
      </c>
      <c r="S9" s="38" t="s">
        <v>78</v>
      </c>
      <c r="T9" s="38" t="s">
        <v>79</v>
      </c>
      <c r="U9" s="38" t="s">
        <v>79</v>
      </c>
      <c r="V9" s="38" t="s">
        <v>79</v>
      </c>
      <c r="W9" s="38" t="s">
        <v>79</v>
      </c>
      <c r="X9" s="38" t="s">
        <v>79</v>
      </c>
      <c r="Y9" s="38" t="s">
        <v>81</v>
      </c>
      <c r="Z9" s="38" t="s">
        <v>79</v>
      </c>
      <c r="AA9" s="38" t="s">
        <v>79</v>
      </c>
      <c r="AB9" s="38" t="s">
        <v>79</v>
      </c>
      <c r="AC9" s="38" t="s">
        <v>79</v>
      </c>
      <c r="AD9" s="38" t="s">
        <v>79</v>
      </c>
      <c r="AE9" s="38" t="s">
        <v>79</v>
      </c>
      <c r="AF9" s="38" t="s">
        <v>84</v>
      </c>
      <c r="AG9" s="38" t="s">
        <v>85</v>
      </c>
      <c r="AH9" s="38" t="s">
        <v>79</v>
      </c>
      <c r="AI9" s="38" t="s">
        <v>79</v>
      </c>
      <c r="AJ9" s="38" t="s">
        <v>79</v>
      </c>
      <c r="AK9" s="38" t="s">
        <v>79</v>
      </c>
      <c r="AL9" s="38" t="s">
        <v>79</v>
      </c>
      <c r="AM9" t="str">
        <f>VLOOKUP($R9,武学奇术!$A:$ZZ,25,FALSE)</f>
        <v>绳镖</v>
      </c>
      <c r="AN9" s="24">
        <f>VLOOKUP($R9,武学奇术!$A:$ZZ,26,FALSE)</f>
        <v>0.4975</v>
      </c>
      <c r="AO9" s="25">
        <f>VLOOKUP($R9,武学奇术!$A:$ZZ,27,FALSE)*(1+IF(OR($AM9=$F$4,$AM9=$F$5),$B$22,0))</f>
        <v>205.5</v>
      </c>
      <c r="AP9" s="24">
        <f>VLOOKUP($R9,武学奇术!$A:$ZZ,28,FALSE)</f>
        <v>0.7463</v>
      </c>
      <c r="AQ9" s="25">
        <f>VLOOKUP($R9,武学奇术!$A:$ZZ,29,FALSE)*(1+IF(OR($AM9=$F$4,$AM9=$F$5),$B$22,0))</f>
        <v>112.5</v>
      </c>
      <c r="AR9" s="24" cm="1">
        <f t="array" ref="AR9">$G$3+IFERROR(VLOOKUP($AM9,$F$4:$G$7,2,FALSE),0)+VLOOKUP($R9,武学奇术!$A:$ZZ,2,FALSE)+SUM(_xlfn.XLOOKUP($S9:$AL9,增益!$A:$A,增益!$B:$B,0))</f>
        <v>0.1989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3839.102</v>
      </c>
      <c r="AU9" cm="1">
        <f t="array" ref="AU9">$E$10*(1+$AS9)+VLOOKUP($R9,武学奇术!$A:$ZZ,4,FALSE)+SUM(_xlfn.XLOOKUP($S9:$AL9,增益!$A:$A,增益!$D:$D,0))-$I$2</f>
        <v>3839.102</v>
      </c>
      <c r="AV9" s="30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0.177</v>
      </c>
      <c r="AW9" s="30" cm="1">
        <f t="array" ref="AW9">$G$10+VLOOKUP($R9,武学奇术!$A:$ZZ,7,FALSE)+SUM(_xlfn.XLOOKUP($S9:$AL9,增益!$A:$A,增益!$G:$G,0))</f>
        <v>0.09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0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0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0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0" cm="1">
        <f t="array" ref="BF9">$G$12+VLOOKUP($R9,武学奇术!$A:$ZZ,12,FALSE)+SUM(_xlfn.XLOOKUP($S9:$AL9,增益!$A:$A,增益!$L:$L,0))</f>
        <v>0</v>
      </c>
      <c r="BG9">
        <f t="shared" si="5"/>
        <v>0</v>
      </c>
      <c r="BH9">
        <f t="shared" si="6"/>
        <v>0</v>
      </c>
      <c r="BI9" s="30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-0.3</v>
      </c>
      <c r="BJ9" s="30" cm="1">
        <f t="array" ref="BJ9">$G$13+VLOOKUP($R9,武学奇术!$A:$ZZ,14,FALSE)+SUM(_xlfn.XLOOKUP($S9:$AL9,增益!$A:$A,增益!$N:$N,0))</f>
        <v>0</v>
      </c>
      <c r="BK9">
        <f t="shared" si="7"/>
        <v>605.472</v>
      </c>
      <c r="BL9">
        <f t="shared" si="8"/>
        <v>1725.468</v>
      </c>
      <c r="BM9" s="30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0</v>
      </c>
      <c r="BN9" s="30" cm="1">
        <f t="array" ref="BN9">$G$14+VLOOKUP($R9,武学奇术!$A:$ZZ,16,FALSE)+SUM(_xlfn.XLOOKUP($S9:$AL9,增益!$A:$A,增益!$P:$P,0))</f>
        <v>0.24</v>
      </c>
      <c r="BO9" s="24">
        <f>MIN(IF(VLOOKUP($R9,武学奇术!$A:$ZZ,23,FALSE)=1,100%,$B$8),100%)</f>
        <v>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+MIN(IF(VLOOKUP($R9,武学奇术!$A:$ZZ,32,FALSE)=1,IF(VLOOKUP($R9,武学奇术!$A:$ZZ,24,FALSE)=1,100%,MIN(40%,$B$10+VLOOKUP($R9,武学奇术!$A:$ZZ,19,FALSE)+SUM(_xlfn.XLOOKUP($S9:$AL9,增益!$A:$A,增益!$S:$S,0)))+$B$12+SUM(_xlfn.XLOOKUP($S9:$AL9,增益!$A:$A,增益!$V:$V,0))),0),12%)</f>
        <v>0.9036</v>
      </c>
      <c r="BQ9" s="24" cm="1">
        <f t="array" ref="BQ9">1+$B$13+VLOOKUP($R9,武学奇术!$A:$ZZ,18,FALSE)+SUM(_xlfn.XLOOKUP($S9:$AL9,增益!$A:$A,增益!$R:$R,0))</f>
        <v>1.55</v>
      </c>
      <c r="BR9" s="24" cm="1">
        <f t="array" ref="BR9">MAX(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-IF(VLOOKUP($R9,武学奇术!$A:$ZZ,32,FALSE)=1,12%,0),0)</f>
        <v>0.0929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0.9036</v>
      </c>
      <c r="BU9" s="24">
        <f t="shared" si="10"/>
        <v>0.00350000000000006</v>
      </c>
      <c r="BV9" s="24">
        <f>IF(VLOOKUP($R9,武学奇术!$A:$ZZ,22,FALSE)=1,0,(1-$BO9))*(1-$BR9)</f>
        <v>0</v>
      </c>
      <c r="BW9" s="24" cm="1">
        <f t="array" ref="BW9">SUM(_xlfn.XLOOKUP($S9:$AL9,增益!$A:$A,增益!$W:$W,0))+$I$5</f>
        <v>0.11</v>
      </c>
      <c r="BX9" s="24" cm="1">
        <f t="array" ref="BX9">SUM(_xlfn.XLOOKUP($S9:$AL9,增益!$A:$A,增益!$X:$X,0))</f>
        <v>0</v>
      </c>
    </row>
    <row r="10" spans="1:76">
      <c r="A10" s="40" t="s">
        <v>115</v>
      </c>
      <c r="B10" s="69">
        <f>期望!B10</f>
        <v>0.0929</v>
      </c>
      <c r="C10" s="12" t="s">
        <v>73</v>
      </c>
      <c r="D10" s="25">
        <f>期望!D10</f>
        <v>4459.102</v>
      </c>
      <c r="E10" s="25">
        <f>期望!E10</f>
        <v>4459.102</v>
      </c>
      <c r="F10" s="25">
        <f>期望!F10</f>
        <v>58.4</v>
      </c>
      <c r="G10" s="49">
        <f>期望!G10</f>
        <v>0</v>
      </c>
      <c r="H10" s="67" t="s">
        <v>116</v>
      </c>
      <c r="I10" s="73">
        <f>SUM(L:L)</f>
        <v>12499746.5168433</v>
      </c>
      <c r="J10" s="74"/>
      <c r="K10">
        <f>$L10*VLOOKUP($R10,武学奇术!$A:$ZZ,31,FALSE)</f>
        <v>75624.4283911828</v>
      </c>
      <c r="L10" s="36">
        <f t="shared" si="0"/>
        <v>58172.6372239868</v>
      </c>
      <c r="M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BQ10*$Q10*(1+IF(VLOOKUP($R10,武学奇术!$A:$ZZ,30,FALSE)="蓄力技",$B$21,0))*(1+$BW10)</f>
        <v>59162.4734901716</v>
      </c>
      <c r="N10" s="36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蓄力技",$B$21,0))*(1+$BW10)</f>
        <v>49531.7241589606</v>
      </c>
      <c r="O10" s="36">
        <f>((($AT10+($AU10-$AT10)*IF(VLOOKUP($R10,武学奇术!$A:$ZZ,31,FALSE)=1,$F$18,0.5))*$AN10+$AO10)*(1+$AV10)*(1+$AW10)+(($AY10+($AZ10-$AY10)*IF(VLOOKUP($R10,武学奇术!$A:$ZZ,31,FALSE)=1,$F$18,0.5))*IF($G$1="鸣金",$AP10,$AN10)+IF($G$1="鸣金",$AQ10*1.5,0))*(1+$BA10)*(1+$BB10)+(($BC10+($BD10-$BC10)*IF(VLOOKUP($R10,武学奇术!$A:$ZZ,31,FALSE)=1,$F$18,0.5))*IF($G$1="裂石",$AP10,$AN10)+IF($G$1="裂石",$AQ10*1.5,0))*(1+$BE10)*(1+$BF10)+(($BG10+($BH10-$BG10)*IF(VLOOKUP($R10,武学奇术!$A:$ZZ,31,FALSE)=1,$F$18,0.5))*IF($G$1="牵丝",$AP10,$AN10)+IF($G$1="牵丝",$AQ10*1.5,0))*(1+$BI10)*(1+$BJ10)+(($BK10+($BL10-$BK10)*IF(VLOOKUP($R10,武学奇术!$A:$ZZ,31,FALSE)=1,$F$18,0.5))*IF($G$1="破竹",$AP10,$AN10)+IF($G$1="破竹",$AQ10*1.5,0))*(1+$BM10)*(1+$BN10))*(1+$AR10)*$Q10*(1+IF(VLOOKUP($R10,武学奇术!$A:$ZZ,30,FALSE)="蓄力技",$B$21,0))*(1+$BW10)</f>
        <v>31979.7154000927</v>
      </c>
      <c r="P10" s="36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蓄力技",$B$21,0))*(1+$BW10)</f>
        <v>27269.264756511</v>
      </c>
      <c r="Q10" s="37">
        <v>1</v>
      </c>
      <c r="R10" s="38" t="s">
        <v>117</v>
      </c>
      <c r="S10" s="38" t="s">
        <v>78</v>
      </c>
      <c r="T10" s="38" t="s">
        <v>79</v>
      </c>
      <c r="U10" s="38" t="s">
        <v>79</v>
      </c>
      <c r="V10" s="38" t="s">
        <v>79</v>
      </c>
      <c r="W10" s="38" t="s">
        <v>79</v>
      </c>
      <c r="X10" s="38" t="s">
        <v>79</v>
      </c>
      <c r="Y10" s="38" t="s">
        <v>81</v>
      </c>
      <c r="Z10" s="38" t="s">
        <v>79</v>
      </c>
      <c r="AA10" s="38" t="s">
        <v>112</v>
      </c>
      <c r="AB10" s="38" t="s">
        <v>79</v>
      </c>
      <c r="AC10" s="38" t="s">
        <v>79</v>
      </c>
      <c r="AD10" s="38" t="s">
        <v>79</v>
      </c>
      <c r="AE10" s="38" t="s">
        <v>79</v>
      </c>
      <c r="AF10" s="38" t="s">
        <v>84</v>
      </c>
      <c r="AG10" s="38" t="s">
        <v>85</v>
      </c>
      <c r="AH10" s="38" t="s">
        <v>79</v>
      </c>
      <c r="AI10" s="38" t="s">
        <v>79</v>
      </c>
      <c r="AJ10" s="38" t="s">
        <v>79</v>
      </c>
      <c r="AK10" s="38" t="s">
        <v>79</v>
      </c>
      <c r="AL10" s="38" t="s">
        <v>79</v>
      </c>
      <c r="AM10" t="str">
        <f>VLOOKUP($R10,武学奇术!$A:$ZZ,25,FALSE)</f>
        <v>绳镖</v>
      </c>
      <c r="AN10" s="24">
        <f>VLOOKUP($R10,武学奇术!$A:$ZZ,26,FALSE)</f>
        <v>2.638944</v>
      </c>
      <c r="AO10" s="25">
        <f>VLOOKUP($R10,武学奇术!$A:$ZZ,27,FALSE)*(1+IF(OR($AM10=$F$4,$AM10=$F$5),$B$22,0))</f>
        <v>0</v>
      </c>
      <c r="AP10" s="24">
        <f>VLOOKUP($R10,武学奇术!$A:$ZZ,28,FALSE)</f>
        <v>3.958416</v>
      </c>
      <c r="AQ10" s="25">
        <f>VLOOKUP($R10,武学奇术!$A:$ZZ,29,FALSE)*(1+IF(OR($AM10=$F$4,$AM10=$F$5),$B$22,0))</f>
        <v>0</v>
      </c>
      <c r="AR10" s="24" cm="1">
        <f t="array" ref="AR10">$G$3+IFERROR(VLOOKUP($AM10,$F$4:$G$7,2,FALSE),0)+VLOOKUP($R10,武学奇术!$A:$ZZ,2,FALSE)+SUM(_xlfn.XLOOKUP($S10:$AL10,增益!$A:$A,增益!$B:$B,0))</f>
        <v>0.4989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3839.102</v>
      </c>
      <c r="AU10" cm="1">
        <f t="array" ref="AU10">$E$10*(1+$AS10)+VLOOKUP($R10,武学奇术!$A:$ZZ,4,FALSE)+SUM(_xlfn.XLOOKUP($S10:$AL10,增益!$A:$A,增益!$D:$D,0))-$I$2</f>
        <v>3839.102</v>
      </c>
      <c r="AV10" s="30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0.207</v>
      </c>
      <c r="AW10" s="30" cm="1">
        <f t="array" ref="AW10">$G$10+VLOOKUP($R10,武学奇术!$A:$ZZ,7,FALSE)+SUM(_xlfn.XLOOKUP($S10:$AL10,增益!$A:$A,增益!$G:$G,0))</f>
        <v>0.09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0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-0.24</v>
      </c>
      <c r="BB10" s="30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0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-0.24</v>
      </c>
      <c r="BF10" s="30" cm="1">
        <f t="array" ref="BF10">$G$12+VLOOKUP($R10,武学奇术!$A:$ZZ,12,FALSE)+SUM(_xlfn.XLOOKUP($S10:$AL10,增益!$A:$A,增益!$L:$L,0))</f>
        <v>0</v>
      </c>
      <c r="BG10">
        <f t="shared" si="5"/>
        <v>0</v>
      </c>
      <c r="BH10">
        <f t="shared" si="6"/>
        <v>0</v>
      </c>
      <c r="BI10" s="30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-0.24</v>
      </c>
      <c r="BJ10" s="30" cm="1">
        <f t="array" ref="BJ10">$G$13+VLOOKUP($R10,武学奇术!$A:$ZZ,14,FALSE)+SUM(_xlfn.XLOOKUP($S10:$AL10,增益!$A:$A,增益!$N:$N,0))</f>
        <v>0</v>
      </c>
      <c r="BK10">
        <f t="shared" si="7"/>
        <v>605.472</v>
      </c>
      <c r="BL10">
        <f t="shared" si="8"/>
        <v>1725.468</v>
      </c>
      <c r="BM10" s="30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0.03</v>
      </c>
      <c r="BN10" s="30" cm="1">
        <f t="array" ref="BN10">$G$14+VLOOKUP($R10,武学奇术!$A:$ZZ,16,FALSE)+SUM(_xlfn.XLOOKUP($S10:$AL10,增益!$A:$A,增益!$P:$P,0))</f>
        <v>0.24</v>
      </c>
      <c r="BO10" s="24">
        <f>MIN(IF(VLOOKUP($R10,武学奇术!$A:$ZZ,23,FALSE)=1,100%,$B$8),100%)</f>
        <v>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+MIN(IF(VLOOKUP($R10,武学奇术!$A:$ZZ,32,FALSE)=1,IF(VLOOKUP($R10,武学奇术!$A:$ZZ,24,FALSE)=1,100%,MIN(40%,$B$10+VLOOKUP($R10,武学奇术!$A:$ZZ,19,FALSE)+SUM(_xlfn.XLOOKUP($S10:$AL10,增益!$A:$A,增益!$S:$S,0)))+$B$12+SUM(_xlfn.XLOOKUP($S10:$AL10,增益!$A:$A,增益!$V:$V,0))),0),12%)</f>
        <v>0.9036</v>
      </c>
      <c r="BQ10" s="24" cm="1">
        <f t="array" ref="BQ10">1+$B$13+VLOOKUP($R10,武学奇术!$A:$ZZ,18,FALSE)+SUM(_xlfn.XLOOKUP($S10:$AL10,增益!$A:$A,增益!$R:$R,0))</f>
        <v>1.85</v>
      </c>
      <c r="BR10" s="24" cm="1">
        <f t="array" ref="BR10">MAX(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-IF(VLOOKUP($R10,武学奇术!$A:$ZZ,32,FALSE)=1,12%,0),0)</f>
        <v>0.0929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0.9036</v>
      </c>
      <c r="BU10" s="24">
        <f t="shared" si="10"/>
        <v>0.00350000000000006</v>
      </c>
      <c r="BV10" s="24">
        <f>IF(VLOOKUP($R10,武学奇术!$A:$ZZ,22,FALSE)=1,0,(1-$BO10))*(1-$BR10)</f>
        <v>0</v>
      </c>
      <c r="BW10" s="24" cm="1">
        <f t="array" ref="BW10">SUM(_xlfn.XLOOKUP($S10:$AL10,增益!$A:$A,增益!$W:$W,0))+$I$5</f>
        <v>0.11</v>
      </c>
      <c r="BX10" s="24" cm="1">
        <f t="array" ref="BX10">SUM(_xlfn.XLOOKUP($S10:$AL10,增益!$A:$A,增益!$X:$X,0))</f>
        <v>0</v>
      </c>
    </row>
    <row r="11" ht="14.25" spans="1:76">
      <c r="A11" s="40" t="s">
        <v>118</v>
      </c>
      <c r="B11" s="69">
        <f>期望!B11</f>
        <v>0.133</v>
      </c>
      <c r="C11" s="12" t="s">
        <v>86</v>
      </c>
      <c r="D11" s="25">
        <f>期望!D11</f>
        <v>0</v>
      </c>
      <c r="E11" s="25">
        <f>期望!E11</f>
        <v>0</v>
      </c>
      <c r="F11" s="25">
        <f>期望!F11</f>
        <v>0</v>
      </c>
      <c r="G11" s="49">
        <f>期望!G11</f>
        <v>0</v>
      </c>
      <c r="H11" s="71"/>
      <c r="I11" s="75"/>
      <c r="J11" s="76"/>
      <c r="K11">
        <f>$L11*VLOOKUP($R11,武学奇术!$A:$ZZ,31,FALSE)</f>
        <v>99288.2251525078</v>
      </c>
      <c r="L11" s="36">
        <f t="shared" si="0"/>
        <v>76375.5578096214</v>
      </c>
      <c r="M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BQ11*$Q11*(1+IF(VLOOKUP($R11,武学奇术!$A:$ZZ,30,FALSE)="蓄力技",$B$21,0))*(1+$BW11)</f>
        <v>77828.3097005544</v>
      </c>
      <c r="N11" s="36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蓄力技",$B$21,0))*(1+$BW11)</f>
        <v>63537.7224555247</v>
      </c>
      <c r="O11" s="36">
        <f>((($AT11+($AU11-$AT11)*IF(VLOOKUP($R11,武学奇术!$A:$ZZ,31,FALSE)=1,$F$18,0.5))*$AN11+$AO11)*(1+$AV11)*(1+$AW11)+(($AY11+($AZ11-$AY11)*IF(VLOOKUP($R11,武学奇术!$A:$ZZ,31,FALSE)=1,$F$18,0.5))*IF($G$1="鸣金",$AP11,$AN11)+IF($G$1="鸣金",$AQ11*1.5,0))*(1+$BA11)*(1+$BB11)+(($BC11+($BD11-$BC11)*IF(VLOOKUP($R11,武学奇术!$A:$ZZ,31,FALSE)=1,$F$18,0.5))*IF($G$1="裂石",$AP11,$AN11)+IF($G$1="裂石",$AQ11*1.5,0))*(1+$BE11)*(1+$BF11)+(($BG11+($BH11-$BG11)*IF(VLOOKUP($R11,武学奇术!$A:$ZZ,31,FALSE)=1,$F$18,0.5))*IF($G$1="牵丝",$AP11,$AN11)+IF($G$1="牵丝",$AQ11*1.5,0))*(1+$BI11)*(1+$BJ11)+(($BK11+($BL11-$BK11)*IF(VLOOKUP($R11,武学奇术!$A:$ZZ,31,FALSE)=1,$F$18,0.5))*IF($G$1="破竹",$AP11,$AN11)+IF($G$1="破竹",$AQ11*1.5,0))*(1+$BM11)*(1+$BN11))*(1+$AR11)*$Q11*(1+IF(VLOOKUP($R11,武学奇术!$A:$ZZ,30,FALSE)="蓄力技",$B$21,0))*(1+$BW11)</f>
        <v>42069.3565948943</v>
      </c>
      <c r="P11" s="36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蓄力技",$B$21,0))*(1+$BW11)</f>
        <v>37073.7335931037</v>
      </c>
      <c r="Q11" s="37">
        <v>1</v>
      </c>
      <c r="R11" s="38" t="s">
        <v>119</v>
      </c>
      <c r="S11" s="38" t="s">
        <v>88</v>
      </c>
      <c r="T11" s="38" t="s">
        <v>79</v>
      </c>
      <c r="U11" s="38" t="s">
        <v>79</v>
      </c>
      <c r="V11" s="38" t="s">
        <v>80</v>
      </c>
      <c r="W11" s="38" t="s">
        <v>79</v>
      </c>
      <c r="X11" s="38" t="s">
        <v>79</v>
      </c>
      <c r="Y11" s="38" t="s">
        <v>81</v>
      </c>
      <c r="Z11" s="38" t="s">
        <v>79</v>
      </c>
      <c r="AA11" s="38" t="s">
        <v>112</v>
      </c>
      <c r="AB11" s="38" t="s">
        <v>79</v>
      </c>
      <c r="AC11" s="38" t="s">
        <v>79</v>
      </c>
      <c r="AD11" s="38" t="s">
        <v>79</v>
      </c>
      <c r="AE11" s="38" t="s">
        <v>79</v>
      </c>
      <c r="AF11" s="38" t="s">
        <v>84</v>
      </c>
      <c r="AG11" s="38" t="s">
        <v>85</v>
      </c>
      <c r="AH11" s="38" t="s">
        <v>79</v>
      </c>
      <c r="AI11" s="38" t="s">
        <v>79</v>
      </c>
      <c r="AJ11" s="38" t="s">
        <v>79</v>
      </c>
      <c r="AK11" s="38" t="s">
        <v>79</v>
      </c>
      <c r="AL11" s="38" t="s">
        <v>79</v>
      </c>
      <c r="AM11" t="str">
        <f>VLOOKUP($R11,武学奇术!$A:$ZZ,25,FALSE)</f>
        <v>拳甲</v>
      </c>
      <c r="AN11" s="24">
        <f>VLOOKUP($R11,武学奇术!$A:$ZZ,26,FALSE)</f>
        <v>2.91176</v>
      </c>
      <c r="AO11" s="25">
        <f>VLOOKUP($R11,武学奇术!$A:$ZZ,27,FALSE)*(1+IF(OR($AM11=$F$4,$AM11=$F$5),$B$22,0))</f>
        <v>1208.7</v>
      </c>
      <c r="AP11" s="24">
        <f>VLOOKUP($R11,武学奇术!$A:$ZZ,28,FALSE)</f>
        <v>3.89844</v>
      </c>
      <c r="AQ11" s="25">
        <f>VLOOKUP($R11,武学奇术!$A:$ZZ,29,FALSE)*(1+IF(OR($AM11=$F$4,$AM11=$F$5),$B$22,0))</f>
        <v>650.25</v>
      </c>
      <c r="AR11" s="24" cm="1">
        <f t="array" ref="AR11">$G$3+IFERROR(VLOOKUP($AM11,$F$4:$G$7,2,FALSE),0)+VLOOKUP($R11,武学奇术!$A:$ZZ,2,FALSE)+SUM(_xlfn.XLOOKUP($S11:$AL11,增益!$A:$A,增益!$B:$B,0))</f>
        <v>0.6141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3839.102</v>
      </c>
      <c r="AU11" cm="1">
        <f t="array" ref="AU11">$E$10*(1+$AS11)+VLOOKUP($R11,武学奇术!$A:$ZZ,4,FALSE)+SUM(_xlfn.XLOOKUP($S11:$AL11,增益!$A:$A,增益!$D:$D,0))-$I$2</f>
        <v>3839.102</v>
      </c>
      <c r="AV11" s="30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0.217</v>
      </c>
      <c r="AW11" s="30" cm="1">
        <f t="array" ref="AW11">$G$10+VLOOKUP($R11,武学奇术!$A:$ZZ,7,FALSE)+SUM(_xlfn.XLOOKUP($S11:$AL11,增益!$A:$A,增益!$G:$G,0))</f>
        <v>0.09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0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-0.24</v>
      </c>
      <c r="BB11" s="30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0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-0.24</v>
      </c>
      <c r="BF11" s="30" cm="1">
        <f t="array" ref="BF11">$G$12+VLOOKUP($R11,武学奇术!$A:$ZZ,12,FALSE)+SUM(_xlfn.XLOOKUP($S11:$AL11,增益!$A:$A,增益!$L:$L,0))</f>
        <v>0</v>
      </c>
      <c r="BG11">
        <f t="shared" si="5"/>
        <v>0</v>
      </c>
      <c r="BH11">
        <f t="shared" si="6"/>
        <v>0</v>
      </c>
      <c r="BI11" s="30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-0.24</v>
      </c>
      <c r="BJ11" s="30" cm="1">
        <f t="array" ref="BJ11">$G$13+VLOOKUP($R11,武学奇术!$A:$ZZ,14,FALSE)+SUM(_xlfn.XLOOKUP($S11:$AL11,增益!$A:$A,增益!$N:$N,0))</f>
        <v>0</v>
      </c>
      <c r="BK11">
        <f t="shared" si="7"/>
        <v>605.472</v>
      </c>
      <c r="BL11">
        <f t="shared" si="8"/>
        <v>1725.468</v>
      </c>
      <c r="BM11" s="30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0.03</v>
      </c>
      <c r="BN11" s="30" cm="1">
        <f t="array" ref="BN11">$G$14+VLOOKUP($R11,武学奇术!$A:$ZZ,16,FALSE)+SUM(_xlfn.XLOOKUP($S11:$AL11,增益!$A:$A,增益!$P:$P,0))</f>
        <v>0.24</v>
      </c>
      <c r="BO11" s="24">
        <f>MIN(IF(VLOOKUP($R11,武学奇术!$A:$ZZ,23,FALSE)=1,100%,$B$8),100%)</f>
        <v>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+MIN(IF(VLOOKUP($R11,武学奇术!$A:$ZZ,32,FALSE)=1,IF(VLOOKUP($R11,武学奇术!$A:$ZZ,24,FALSE)=1,100%,MIN(40%,$B$10+VLOOKUP($R11,武学奇术!$A:$ZZ,19,FALSE)+SUM(_xlfn.XLOOKUP($S11:$AL11,增益!$A:$A,增益!$S:$S,0)))+$B$12+SUM(_xlfn.XLOOKUP($S11:$AL11,增益!$A:$A,增益!$V:$V,0))),0),12%)</f>
        <v>0.9036</v>
      </c>
      <c r="BQ11" s="24" cm="1">
        <f t="array" ref="BQ11">1+$B$13+VLOOKUP($R11,武学奇术!$A:$ZZ,18,FALSE)+SUM(_xlfn.XLOOKUP($S11:$AL11,增益!$A:$A,增益!$R:$R,0))</f>
        <v>1.85</v>
      </c>
      <c r="BR11" s="24" cm="1">
        <f t="array" ref="BR11">MAX(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-IF(VLOOKUP($R11,武学奇术!$A:$ZZ,32,FALSE)=1,12%,0),0)</f>
        <v>0.0929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0.9036</v>
      </c>
      <c r="BU11" s="24">
        <f t="shared" si="10"/>
        <v>0.00350000000000006</v>
      </c>
      <c r="BV11" s="24">
        <f>IF(VLOOKUP($R11,武学奇术!$A:$ZZ,22,FALSE)=1,0,(1-$BO11))*(1-$BR11)</f>
        <v>0</v>
      </c>
      <c r="BW11" s="24" cm="1">
        <f t="array" ref="BW11">SUM(_xlfn.XLOOKUP($S11:$AL11,增益!$A:$A,增益!$W:$W,0))+$I$5</f>
        <v>0.11</v>
      </c>
      <c r="BX11" s="24" cm="1">
        <f t="array" ref="BX11">SUM(_xlfn.XLOOKUP($S11:$AL11,增益!$A:$A,增益!$X:$X,0))</f>
        <v>0</v>
      </c>
    </row>
    <row r="12" spans="1:76">
      <c r="A12" s="40" t="s">
        <v>120</v>
      </c>
      <c r="B12" s="69">
        <f>期望!B12</f>
        <v>0</v>
      </c>
      <c r="C12" s="12" t="s">
        <v>92</v>
      </c>
      <c r="D12" s="25">
        <f>期望!D12</f>
        <v>0</v>
      </c>
      <c r="E12" s="25">
        <f>期望!E12</f>
        <v>0</v>
      </c>
      <c r="F12" s="25">
        <f>期望!F12</f>
        <v>0</v>
      </c>
      <c r="G12" s="49">
        <f>期望!G12</f>
        <v>0</v>
      </c>
      <c r="H12" s="67" t="s">
        <v>121</v>
      </c>
      <c r="I12" s="36">
        <f>I10/I8</f>
        <v>124005.42179408</v>
      </c>
      <c r="J12" s="77"/>
      <c r="K12">
        <f>$L12*VLOOKUP($R12,武学奇术!$A:$ZZ,31,FALSE)</f>
        <v>23504.874603834</v>
      </c>
      <c r="L12" s="36">
        <f t="shared" si="0"/>
        <v>23504.874603834</v>
      </c>
      <c r="M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BQ12*$Q12*(1+IF(VLOOKUP($R12,武学奇术!$A:$ZZ,30,FALSE)="蓄力技",$B$21,0))*(1+$BW12)</f>
        <v>23571.3663834839</v>
      </c>
      <c r="N12" s="36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蓄力技",$B$21,0))*(1+$BW12)</f>
        <v>23170.7456802014</v>
      </c>
      <c r="O12" s="36">
        <f>((($AT12+($AU12-$AT12)*IF(VLOOKUP($R12,武学奇术!$A:$ZZ,31,FALSE)=1,$F$18,0.5))*$AN12+$AO12)*(1+$AV12)*(1+$AW12)+(($AY12+($AZ12-$AY12)*IF(VLOOKUP($R12,武学奇术!$A:$ZZ,31,FALSE)=1,$F$18,0.5))*IF($G$1="鸣金",$AP12,$AN12)+IF($G$1="鸣金",$AQ12*1.5,0))*(1+$BA12)*(1+$BB12)+(($BC12+($BD12-$BC12)*IF(VLOOKUP($R12,武学奇术!$A:$ZZ,31,FALSE)=1,$F$18,0.5))*IF($G$1="裂石",$AP12,$AN12)+IF($G$1="裂石",$AQ12*1.5,0))*(1+$BE12)*(1+$BF12)+(($BG12+($BH12-$BG12)*IF(VLOOKUP($R12,武学奇术!$A:$ZZ,31,FALSE)=1,$F$18,0.5))*IF($G$1="牵丝",$AP12,$AN12)+IF($G$1="牵丝",$AQ12*1.5,0))*(1+$BI12)*(1+$BJ12)+(($BK12+($BL12-$BK12)*IF(VLOOKUP($R12,武学奇术!$A:$ZZ,31,FALSE)=1,$F$18,0.5))*IF($G$1="破竹",$AP12,$AN12)+IF($G$1="破竹",$AQ12*1.5,0))*(1+$BM12)*(1+$BN12))*(1+$AR12)*$Q12*(1+IF(VLOOKUP($R12,武学奇术!$A:$ZZ,30,FALSE)="蓄力技",$B$21,0))*(1+$BW12)</f>
        <v>15207.3331506348</v>
      </c>
      <c r="P12" s="36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蓄力技",$B$21,0))*(1+$BW12)</f>
        <v>13251.1509826019</v>
      </c>
      <c r="Q12" s="37">
        <v>1</v>
      </c>
      <c r="R12" s="38" t="s">
        <v>122</v>
      </c>
      <c r="S12" s="38" t="s">
        <v>88</v>
      </c>
      <c r="T12" s="38" t="s">
        <v>79</v>
      </c>
      <c r="U12" s="38" t="s">
        <v>79</v>
      </c>
      <c r="V12" s="38" t="s">
        <v>80</v>
      </c>
      <c r="W12" s="38" t="s">
        <v>79</v>
      </c>
      <c r="X12" s="38" t="s">
        <v>79</v>
      </c>
      <c r="Y12" s="38" t="s">
        <v>81</v>
      </c>
      <c r="Z12" s="38" t="s">
        <v>79</v>
      </c>
      <c r="AA12" s="38" t="s">
        <v>79</v>
      </c>
      <c r="AB12" s="38" t="s">
        <v>79</v>
      </c>
      <c r="AC12" s="38" t="s">
        <v>79</v>
      </c>
      <c r="AD12" s="38" t="s">
        <v>79</v>
      </c>
      <c r="AE12" s="38" t="s">
        <v>79</v>
      </c>
      <c r="AF12" s="38" t="s">
        <v>84</v>
      </c>
      <c r="AG12" s="38" t="s">
        <v>85</v>
      </c>
      <c r="AH12" s="38" t="s">
        <v>79</v>
      </c>
      <c r="AI12" s="38" t="s">
        <v>79</v>
      </c>
      <c r="AJ12" s="38" t="s">
        <v>79</v>
      </c>
      <c r="AK12" s="38" t="s">
        <v>79</v>
      </c>
      <c r="AL12" s="38" t="s">
        <v>79</v>
      </c>
      <c r="AM12" t="str">
        <f>VLOOKUP($R12,武学奇术!$A:$ZZ,25,FALSE)</f>
        <v>拳甲</v>
      </c>
      <c r="AN12" s="24">
        <f>VLOOKUP($R12,武学奇术!$A:$ZZ,26,FALSE)</f>
        <v>1.2876</v>
      </c>
      <c r="AO12" s="25">
        <f>VLOOKUP($R12,武学奇术!$A:$ZZ,27,FALSE)*(1+IF(OR($AM12=$F$4,$AM12=$F$5),$B$22,0))</f>
        <v>537</v>
      </c>
      <c r="AP12" s="24">
        <f>VLOOKUP($R12,武学奇术!$A:$ZZ,28,FALSE)</f>
        <v>1.9313</v>
      </c>
      <c r="AQ12" s="25">
        <f>VLOOKUP($R12,武学奇术!$A:$ZZ,29,FALSE)*(1+IF(OR($AM12=$F$4,$AM12=$F$5),$B$22,0))</f>
        <v>292.5</v>
      </c>
      <c r="AR12" s="24" cm="1">
        <f t="array" ref="AR12">$G$3+IFERROR(VLOOKUP($AM12,$F$4:$G$7,2,FALSE),0)+VLOOKUP($R12,武学奇术!$A:$ZZ,2,FALSE)+SUM(_xlfn.XLOOKUP($S12:$AL12,增益!$A:$A,增益!$B:$B,0))</f>
        <v>0.3141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3839.102</v>
      </c>
      <c r="AU12" cm="1">
        <f t="array" ref="AU12">$E$10*(1+$AS12)+VLOOKUP($R12,武学奇术!$A:$ZZ,4,FALSE)+SUM(_xlfn.XLOOKUP($S12:$AL12,增益!$A:$A,增益!$D:$D,0))-$I$2</f>
        <v>3839.102</v>
      </c>
      <c r="AV12" s="30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0.187</v>
      </c>
      <c r="AW12" s="30" cm="1">
        <f t="array" ref="AW12">$G$10+VLOOKUP($R12,武学奇术!$A:$ZZ,7,FALSE)+SUM(_xlfn.XLOOKUP($S12:$AL12,增益!$A:$A,增益!$G:$G,0))</f>
        <v>0.09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0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0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0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0" cm="1">
        <f t="array" ref="BF12">$G$12+VLOOKUP($R12,武学奇术!$A:$ZZ,12,FALSE)+SUM(_xlfn.XLOOKUP($S12:$AL12,增益!$A:$A,增益!$L:$L,0))</f>
        <v>0</v>
      </c>
      <c r="BG12">
        <f t="shared" si="5"/>
        <v>0</v>
      </c>
      <c r="BH12">
        <f t="shared" si="6"/>
        <v>0</v>
      </c>
      <c r="BI12" s="30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-0.3</v>
      </c>
      <c r="BJ12" s="30" cm="1">
        <f t="array" ref="BJ12">$G$13+VLOOKUP($R12,武学奇术!$A:$ZZ,14,FALSE)+SUM(_xlfn.XLOOKUP($S12:$AL12,增益!$A:$A,增益!$N:$N,0))</f>
        <v>0</v>
      </c>
      <c r="BK12">
        <f t="shared" si="7"/>
        <v>605.472</v>
      </c>
      <c r="BL12">
        <f t="shared" si="8"/>
        <v>1725.468</v>
      </c>
      <c r="BM12" s="30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0</v>
      </c>
      <c r="BN12" s="30" cm="1">
        <f t="array" ref="BN12">$G$14+VLOOKUP($R12,武学奇术!$A:$ZZ,16,FALSE)+SUM(_xlfn.XLOOKUP($S12:$AL12,增益!$A:$A,增益!$P:$P,0))</f>
        <v>0.24</v>
      </c>
      <c r="BO12" s="24">
        <f>MIN(IF(VLOOKUP($R12,武学奇术!$A:$ZZ,23,FALSE)=1,100%,$B$8),100%)</f>
        <v>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+MIN(IF(VLOOKUP($R12,武学奇术!$A:$ZZ,32,FALSE)=1,IF(VLOOKUP($R12,武学奇术!$A:$ZZ,24,FALSE)=1,100%,MIN(40%,$B$10+VLOOKUP($R12,武学奇术!$A:$ZZ,19,FALSE)+SUM(_xlfn.XLOOKUP($S12:$AL12,增益!$A:$A,增益!$S:$S,0)))+$B$12+SUM(_xlfn.XLOOKUP($S12:$AL12,增益!$A:$A,增益!$V:$V,0))),0),12%)</f>
        <v>0.9036</v>
      </c>
      <c r="BQ12" s="24" cm="1">
        <f t="array" ref="BQ12">1+$B$13+VLOOKUP($R12,武学奇术!$A:$ZZ,18,FALSE)+SUM(_xlfn.XLOOKUP($S12:$AL12,增益!$A:$A,增益!$R:$R,0))</f>
        <v>1.55</v>
      </c>
      <c r="BR12" s="24" cm="1">
        <f t="array" ref="BR12">MAX(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-IF(VLOOKUP($R12,武学奇术!$A:$ZZ,32,FALSE)=1,12%,0),0)</f>
        <v>0.0929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0.9036</v>
      </c>
      <c r="BU12" s="24">
        <f t="shared" si="10"/>
        <v>0.00350000000000006</v>
      </c>
      <c r="BV12" s="24">
        <f>IF(VLOOKUP($R12,武学奇术!$A:$ZZ,22,FALSE)=1,0,(1-$BO12))*(1-$BR12)</f>
        <v>0</v>
      </c>
      <c r="BW12" s="24" cm="1">
        <f t="array" ref="BW12">SUM(_xlfn.XLOOKUP($S12:$AL12,增益!$A:$A,增益!$W:$W,0))+$I$5</f>
        <v>0.11</v>
      </c>
      <c r="BX12" s="24" cm="1">
        <f t="array" ref="BX12">SUM(_xlfn.XLOOKUP($S12:$AL12,增益!$A:$A,增益!$X:$X,0))</f>
        <v>0</v>
      </c>
    </row>
    <row r="13" ht="14.25" spans="1:76">
      <c r="A13" s="40" t="s">
        <v>123</v>
      </c>
      <c r="B13" s="69">
        <f>期望!B13</f>
        <v>0.54</v>
      </c>
      <c r="C13" s="12" t="s">
        <v>98</v>
      </c>
      <c r="D13" s="25">
        <f>期望!D13</f>
        <v>0</v>
      </c>
      <c r="E13" s="25">
        <f>期望!E13</f>
        <v>0</v>
      </c>
      <c r="F13" s="25">
        <f>期望!F13</f>
        <v>0</v>
      </c>
      <c r="G13" s="49">
        <f>期望!G13</f>
        <v>0</v>
      </c>
      <c r="H13" s="71"/>
      <c r="I13" s="78"/>
      <c r="J13" s="76"/>
      <c r="K13">
        <f>$L13*VLOOKUP($R13,武学奇术!$A:$ZZ,31,FALSE)</f>
        <v>82306.6228608989</v>
      </c>
      <c r="L13" s="36">
        <f t="shared" si="0"/>
        <v>63312.786816076</v>
      </c>
      <c r="M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BQ13*$Q13*(1+IF(VLOOKUP($R13,武学奇术!$A:$ZZ,30,FALSE)="蓄力技",$B$21,0))*(1+$BW13)</f>
        <v>64421.8656520361</v>
      </c>
      <c r="N13" s="36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蓄力技",$B$21,0))*(1+$BW13)</f>
        <v>53605.6520145652</v>
      </c>
      <c r="O13" s="36">
        <f>((($AT13+($AU13-$AT13)*IF(VLOOKUP($R13,武学奇术!$A:$ZZ,31,FALSE)=1,$F$18,0.5))*$AN13+$AO13)*(1+$AV13)*(1+$AW13)+(($AY13+($AZ13-$AY13)*IF(VLOOKUP($R13,武学奇术!$A:$ZZ,31,FALSE)=1,$F$18,0.5))*IF($G$1="鸣金",$AP13,$AN13)+IF($G$1="鸣金",$AQ13*1.5,0))*(1+$BA13)*(1+$BB13)+(($BC13+($BD13-$BC13)*IF(VLOOKUP($R13,武学奇术!$A:$ZZ,31,FALSE)=1,$F$18,0.5))*IF($G$1="裂石",$AP13,$AN13)+IF($G$1="裂石",$AQ13*1.5,0))*(1+$BE13)*(1+$BF13)+(($BG13+($BH13-$BG13)*IF(VLOOKUP($R13,武学奇术!$A:$ZZ,31,FALSE)=1,$F$18,0.5))*IF($G$1="牵丝",$AP13,$AN13)+IF($G$1="牵丝",$AQ13*1.5,0))*(1+$BI13)*(1+$BJ13)+(($BK13+($BL13-$BK13)*IF(VLOOKUP($R13,武学奇术!$A:$ZZ,31,FALSE)=1,$F$18,0.5))*IF($G$1="破竹",$AP13,$AN13)+IF($G$1="破竹",$AQ13*1.5,0))*(1+$BM13)*(1+$BN13))*(1+$AR13)*$Q13*(1+IF(VLOOKUP($R13,武学奇术!$A:$ZZ,30,FALSE)="蓄力技",$B$21,0))*(1+$BW13)</f>
        <v>34635.4116408796</v>
      </c>
      <c r="P13" s="36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蓄力技",$B$21,0))*(1+$BW13)</f>
        <v>29562.9329005999</v>
      </c>
      <c r="Q13" s="37">
        <v>1</v>
      </c>
      <c r="R13" s="38" t="s">
        <v>124</v>
      </c>
      <c r="S13" s="38" t="s">
        <v>88</v>
      </c>
      <c r="T13" s="38" t="s">
        <v>79</v>
      </c>
      <c r="U13" s="38" t="s">
        <v>79</v>
      </c>
      <c r="V13" s="38" t="s">
        <v>80</v>
      </c>
      <c r="W13" s="38" t="s">
        <v>79</v>
      </c>
      <c r="X13" s="38" t="s">
        <v>79</v>
      </c>
      <c r="Y13" s="38" t="s">
        <v>89</v>
      </c>
      <c r="Z13" s="38" t="s">
        <v>79</v>
      </c>
      <c r="AA13" s="38" t="s">
        <v>112</v>
      </c>
      <c r="AB13" s="38" t="s">
        <v>79</v>
      </c>
      <c r="AC13" s="38" t="s">
        <v>79</v>
      </c>
      <c r="AD13" s="38" t="s">
        <v>79</v>
      </c>
      <c r="AE13" s="38" t="s">
        <v>79</v>
      </c>
      <c r="AF13" s="38" t="s">
        <v>84</v>
      </c>
      <c r="AG13" s="38" t="s">
        <v>85</v>
      </c>
      <c r="AH13" s="38" t="s">
        <v>79</v>
      </c>
      <c r="AI13" s="38" t="s">
        <v>79</v>
      </c>
      <c r="AJ13" s="38" t="s">
        <v>79</v>
      </c>
      <c r="AK13" s="38" t="s">
        <v>79</v>
      </c>
      <c r="AL13" s="38" t="s">
        <v>79</v>
      </c>
      <c r="AM13" t="str">
        <f>VLOOKUP($R13,武学奇术!$A:$ZZ,25,FALSE)</f>
        <v>拳甲</v>
      </c>
      <c r="AN13" s="24">
        <f>VLOOKUP($R13,武学奇术!$A:$ZZ,26,FALSE)</f>
        <v>2.638944</v>
      </c>
      <c r="AO13" s="25">
        <f>VLOOKUP($R13,武学奇术!$A:$ZZ,27,FALSE)*(1+IF(OR($AM13=$F$4,$AM13=$F$5),$B$22,0))</f>
        <v>0</v>
      </c>
      <c r="AP13" s="24">
        <f>VLOOKUP($R13,武学奇术!$A:$ZZ,28,FALSE)</f>
        <v>3.958416</v>
      </c>
      <c r="AQ13" s="25">
        <f>VLOOKUP($R13,武学奇术!$A:$ZZ,29,FALSE)*(1+IF(OR($AM13=$F$4,$AM13=$F$5),$B$22,0))</f>
        <v>0</v>
      </c>
      <c r="AR13" s="24" cm="1">
        <f t="array" ref="AR13">$G$3+IFERROR(VLOOKUP($AM13,$F$4:$G$7,2,FALSE),0)+VLOOKUP($R13,武学奇术!$A:$ZZ,2,FALSE)+SUM(_xlfn.XLOOKUP($S13:$AL13,增益!$A:$A,增益!$B:$B,0))</f>
        <v>0.6141</v>
      </c>
      <c r="AS13" s="24" cm="1">
        <f t="array" ref="AS13">VLOOKUP($R13,武学奇术!$A:$ZZ,5,FALSE)+SUM(_xlfn.XLOOKUP($S13:$AL13,增益!$A:$A,增益!$E:$E,0))</f>
        <v>0</v>
      </c>
      <c r="AT13" cm="1">
        <f t="array" ref="AT13">$D$10*(1+$AS13)+VLOOKUP($R13,武学奇术!$A:$ZZ,3,FALSE)+SUM(_xlfn.XLOOKUP($S13:$AL13,增益!$A:$A,增益!$C:$C,0))-$I$2</f>
        <v>3839.102</v>
      </c>
      <c r="AU13" cm="1">
        <f t="array" ref="AU13">$E$10*(1+$AS13)+VLOOKUP($R13,武学奇术!$A:$ZZ,4,FALSE)+SUM(_xlfn.XLOOKUP($S13:$AL13,增益!$A:$A,增益!$D:$D,0))-$I$2</f>
        <v>3839.102</v>
      </c>
      <c r="AV13" s="30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0.217</v>
      </c>
      <c r="AW13" s="30" cm="1">
        <f t="array" ref="AW13">$G$10+VLOOKUP($R13,武学奇术!$A:$ZZ,7,FALSE)+SUM(_xlfn.XLOOKUP($S13:$AL13,增益!$A:$A,增益!$G:$G,0))</f>
        <v>0.09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0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-0.24</v>
      </c>
      <c r="BB13" s="30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0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-0.24</v>
      </c>
      <c r="BF13" s="30" cm="1">
        <f t="array" ref="BF13">$G$12+VLOOKUP($R13,武学奇术!$A:$ZZ,12,FALSE)+SUM(_xlfn.XLOOKUP($S13:$AL13,增益!$A:$A,增益!$L:$L,0))</f>
        <v>0</v>
      </c>
      <c r="BG13">
        <f t="shared" si="5"/>
        <v>0</v>
      </c>
      <c r="BH13">
        <f t="shared" si="6"/>
        <v>0</v>
      </c>
      <c r="BI13" s="30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-0.24</v>
      </c>
      <c r="BJ13" s="30" cm="1">
        <f t="array" ref="BJ13">$G$13+VLOOKUP($R13,武学奇术!$A:$ZZ,14,FALSE)+SUM(_xlfn.XLOOKUP($S13:$AL13,增益!$A:$A,增益!$N:$N,0))</f>
        <v>0</v>
      </c>
      <c r="BK13">
        <f t="shared" si="7"/>
        <v>605.472</v>
      </c>
      <c r="BL13">
        <f t="shared" si="8"/>
        <v>1725.468</v>
      </c>
      <c r="BM13" s="30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0.03</v>
      </c>
      <c r="BN13" s="30" cm="1">
        <f t="array" ref="BN13">$G$14+VLOOKUP($R13,武学奇术!$A:$ZZ,16,FALSE)+SUM(_xlfn.XLOOKUP($S13:$AL13,增益!$A:$A,增益!$P:$P,0))</f>
        <v>0.24</v>
      </c>
      <c r="BO13" s="24">
        <f>MIN(IF(VLOOKUP($R13,武学奇术!$A:$ZZ,23,FALSE)=1,100%,$B$8),100%)</f>
        <v>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+MIN(IF(VLOOKUP($R13,武学奇术!$A:$ZZ,32,FALSE)=1,IF(VLOOKUP($R13,武学奇术!$A:$ZZ,24,FALSE)=1,100%,MIN(40%,$B$10+VLOOKUP($R13,武学奇术!$A:$ZZ,19,FALSE)+SUM(_xlfn.XLOOKUP($S13:$AL13,增益!$A:$A,增益!$S:$S,0)))+$B$12+SUM(_xlfn.XLOOKUP($S13:$AL13,增益!$A:$A,增益!$V:$V,0))),0),12%)</f>
        <v>0.9036</v>
      </c>
      <c r="BQ13" s="24" cm="1">
        <f t="array" ref="BQ13">1+$B$13+VLOOKUP($R13,武学奇术!$A:$ZZ,18,FALSE)+SUM(_xlfn.XLOOKUP($S13:$AL13,增益!$A:$A,增益!$R:$R,0))</f>
        <v>1.86</v>
      </c>
      <c r="BR13" s="24" cm="1">
        <f t="array" ref="BR13">MAX(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-IF(VLOOKUP($R13,武学奇术!$A:$ZZ,32,FALSE)=1,12%,0),0)</f>
        <v>0.0929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0.9036</v>
      </c>
      <c r="BU13" s="24">
        <f t="shared" si="10"/>
        <v>0.00350000000000006</v>
      </c>
      <c r="BV13" s="24">
        <f>IF(VLOOKUP($R13,武学奇术!$A:$ZZ,22,FALSE)=1,0,(1-$BO13))*(1-$BR13)</f>
        <v>0</v>
      </c>
      <c r="BW13" s="24" cm="1">
        <f t="array" ref="BW13">SUM(_xlfn.XLOOKUP($S13:$AL13,增益!$A:$A,增益!$W:$W,0))+$I$5</f>
        <v>0.11</v>
      </c>
      <c r="BX13" s="24" cm="1">
        <f t="array" ref="BX13">SUM(_xlfn.XLOOKUP($S13:$AL13,增益!$A:$A,增益!$X:$X,0))</f>
        <v>0</v>
      </c>
    </row>
    <row r="14" ht="14.25" spans="1:76">
      <c r="A14" s="40" t="s">
        <v>125</v>
      </c>
      <c r="B14" s="69">
        <f>期望!B14</f>
        <v>0.35</v>
      </c>
      <c r="C14" s="14" t="s">
        <v>5</v>
      </c>
      <c r="D14" s="79">
        <f>期望!D14</f>
        <v>605.472</v>
      </c>
      <c r="E14" s="79">
        <f>期望!E14</f>
        <v>1725.468</v>
      </c>
      <c r="F14" s="79">
        <f>期望!F14</f>
        <v>30</v>
      </c>
      <c r="G14" s="63">
        <f>期望!G14</f>
        <v>0.15</v>
      </c>
      <c r="H14" s="34" t="s">
        <v>126</v>
      </c>
      <c r="I14" s="73">
        <f>I12</f>
        <v>124005.42179408</v>
      </c>
      <c r="J14" s="74"/>
      <c r="K14">
        <f>$L14*VLOOKUP($R14,武学奇术!$A:$ZZ,31,FALSE)</f>
        <v>45397.6499880663</v>
      </c>
      <c r="L14" s="36">
        <f t="shared" si="0"/>
        <v>45397.6499880663</v>
      </c>
      <c r="M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BQ14*$Q14*(1+IF(VLOOKUP($R14,武学奇术!$A:$ZZ,30,FALSE)="蓄力技",$B$21,0))*(1+$BW14)</f>
        <v>45555.6896092494</v>
      </c>
      <c r="N14" s="36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蓄力技",$B$21,0))*(1+$BW14)</f>
        <v>44470.619797406</v>
      </c>
      <c r="O14" s="36">
        <f>((($AT14+($AU14-$AT14)*IF(VLOOKUP($R14,武学奇术!$A:$ZZ,31,FALSE)=1,$F$18,0.5))*$AN14+$AO14)*(1+$AV14)*(1+$AW14)+(($AY14+($AZ14-$AY14)*IF(VLOOKUP($R14,武学奇术!$A:$ZZ,31,FALSE)=1,$F$18,0.5))*IF($G$1="鸣金",$AP14,$AN14)+IF($G$1="鸣金",$AQ14*1.5,0))*(1+$BA14)*(1+$BB14)+(($BC14+($BD14-$BC14)*IF(VLOOKUP($R14,武学奇术!$A:$ZZ,31,FALSE)=1,$F$18,0.5))*IF($G$1="裂石",$AP14,$AN14)+IF($G$1="裂石",$AQ14*1.5,0))*(1+$BE14)*(1+$BF14)+(($BG14+($BH14-$BG14)*IF(VLOOKUP($R14,武学奇术!$A:$ZZ,31,FALSE)=1,$F$18,0.5))*IF($G$1="牵丝",$AP14,$AN14)+IF($G$1="牵丝",$AQ14*1.5,0))*(1+$BI14)*(1+$BJ14)+(($BK14+($BL14-$BK14)*IF(VLOOKUP($R14,武学奇术!$A:$ZZ,31,FALSE)=1,$F$18,0.5))*IF($G$1="破竹",$AP14,$AN14)+IF($G$1="破竹",$AQ14*1.5,0))*(1+$BM14)*(1+$BN14))*(1+$AR14)*$Q14*(1+IF(VLOOKUP($R14,武学奇术!$A:$ZZ,30,FALSE)="蓄力技",$B$21,0))*(1+$BW14)</f>
        <v>29202.3651341342</v>
      </c>
      <c r="P14" s="36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蓄力技",$B$21,0))*(1+$BW14)</f>
        <v>25463.5304183381</v>
      </c>
      <c r="Q14" s="37">
        <v>1</v>
      </c>
      <c r="R14" s="38" t="s">
        <v>127</v>
      </c>
      <c r="S14" s="38" t="s">
        <v>95</v>
      </c>
      <c r="T14" s="38" t="s">
        <v>79</v>
      </c>
      <c r="U14" s="38" t="s">
        <v>79</v>
      </c>
      <c r="V14" s="38" t="s">
        <v>80</v>
      </c>
      <c r="W14" s="38" t="s">
        <v>79</v>
      </c>
      <c r="X14" s="38" t="s">
        <v>79</v>
      </c>
      <c r="Y14" s="38" t="s">
        <v>89</v>
      </c>
      <c r="Z14" s="38" t="s">
        <v>79</v>
      </c>
      <c r="AA14" s="38" t="s">
        <v>79</v>
      </c>
      <c r="AB14" s="38" t="s">
        <v>79</v>
      </c>
      <c r="AC14" s="38" t="s">
        <v>79</v>
      </c>
      <c r="AD14" s="38" t="s">
        <v>79</v>
      </c>
      <c r="AE14" s="38" t="s">
        <v>79</v>
      </c>
      <c r="AF14" s="38" t="s">
        <v>84</v>
      </c>
      <c r="AG14" s="38" t="s">
        <v>85</v>
      </c>
      <c r="AH14" s="38" t="s">
        <v>79</v>
      </c>
      <c r="AI14" s="38" t="s">
        <v>79</v>
      </c>
      <c r="AJ14" s="38" t="s">
        <v>79</v>
      </c>
      <c r="AK14" s="38" t="s">
        <v>79</v>
      </c>
      <c r="AL14" s="38" t="s">
        <v>79</v>
      </c>
      <c r="AM14" t="str">
        <f>VLOOKUP($R14,武学奇术!$A:$ZZ,25,FALSE)</f>
        <v>拳甲</v>
      </c>
      <c r="AN14" s="24">
        <f>VLOOKUP($R14,武学奇术!$A:$ZZ,26,FALSE)</f>
        <v>2.4421</v>
      </c>
      <c r="AO14" s="25">
        <f>VLOOKUP($R14,武学奇术!$A:$ZZ,27,FALSE)*(1+IF(OR($AM14=$F$4,$AM14=$F$5),$B$22,0))</f>
        <v>1012.5</v>
      </c>
      <c r="AP14" s="24">
        <f>VLOOKUP($R14,武学奇术!$A:$ZZ,28,FALSE)</f>
        <v>3.6634</v>
      </c>
      <c r="AQ14" s="25">
        <f>VLOOKUP($R14,武学奇术!$A:$ZZ,29,FALSE)*(1+IF(OR($AM14=$F$4,$AM14=$F$5),$B$22,0))</f>
        <v>549</v>
      </c>
      <c r="AR14" s="24" cm="1">
        <f t="array" ref="AR14">$G$3+IFERROR(VLOOKUP($AM14,$F$4:$G$7,2,FALSE),0)+VLOOKUP($R14,武学奇术!$A:$ZZ,2,FALSE)+SUM(_xlfn.XLOOKUP($S14:$AL14,增益!$A:$A,增益!$B:$B,0))</f>
        <v>0.3241</v>
      </c>
      <c r="AS14" s="24" cm="1">
        <f t="array" ref="AS14">VLOOKUP($R14,武学奇术!$A:$ZZ,5,FALSE)+SUM(_xlfn.XLOOKUP($S14:$AL14,增益!$A:$A,增益!$E:$E,0))</f>
        <v>0</v>
      </c>
      <c r="AT14" cm="1">
        <f t="array" ref="AT14">$D$10*(1+$AS14)+VLOOKUP($R14,武学奇术!$A:$ZZ,3,FALSE)+SUM(_xlfn.XLOOKUP($S14:$AL14,增益!$A:$A,增益!$C:$C,0))-$I$2</f>
        <v>3839.102</v>
      </c>
      <c r="AU14" cm="1">
        <f t="array" ref="AU14">$E$10*(1+$AS14)+VLOOKUP($R14,武学奇术!$A:$ZZ,4,FALSE)+SUM(_xlfn.XLOOKUP($S14:$AL14,增益!$A:$A,增益!$D:$D,0))-$I$2</f>
        <v>3839.102</v>
      </c>
      <c r="AV14" s="30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0.197</v>
      </c>
      <c r="AW14" s="30" cm="1">
        <f t="array" ref="AW14">$G$10+VLOOKUP($R14,武学奇术!$A:$ZZ,7,FALSE)+SUM(_xlfn.XLOOKUP($S14:$AL14,增益!$A:$A,增益!$G:$G,0))</f>
        <v>0.09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0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0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0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0" cm="1">
        <f t="array" ref="BF14">$G$12+VLOOKUP($R14,武学奇术!$A:$ZZ,12,FALSE)+SUM(_xlfn.XLOOKUP($S14:$AL14,增益!$A:$A,增益!$L:$L,0))</f>
        <v>0</v>
      </c>
      <c r="BG14">
        <f t="shared" si="5"/>
        <v>0</v>
      </c>
      <c r="BH14">
        <f t="shared" si="6"/>
        <v>0</v>
      </c>
      <c r="BI14" s="30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-0.3</v>
      </c>
      <c r="BJ14" s="30" cm="1">
        <f t="array" ref="BJ14">$G$13+VLOOKUP($R14,武学奇术!$A:$ZZ,14,FALSE)+SUM(_xlfn.XLOOKUP($S14:$AL14,增益!$A:$A,增益!$N:$N,0))</f>
        <v>0</v>
      </c>
      <c r="BK14">
        <f t="shared" si="7"/>
        <v>605.472</v>
      </c>
      <c r="BL14">
        <f t="shared" si="8"/>
        <v>1725.468</v>
      </c>
      <c r="BM14" s="30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0</v>
      </c>
      <c r="BN14" s="30" cm="1">
        <f t="array" ref="BN14">$G$14+VLOOKUP($R14,武学奇术!$A:$ZZ,16,FALSE)+SUM(_xlfn.XLOOKUP($S14:$AL14,增益!$A:$A,增益!$P:$P,0))</f>
        <v>0.24</v>
      </c>
      <c r="BO14" s="24">
        <f>MIN(IF(VLOOKUP($R14,武学奇术!$A:$ZZ,23,FALSE)=1,100%,$B$8),100%)</f>
        <v>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+MIN(IF(VLOOKUP($R14,武学奇术!$A:$ZZ,32,FALSE)=1,IF(VLOOKUP($R14,武学奇术!$A:$ZZ,24,FALSE)=1,100%,MIN(40%,$B$10+VLOOKUP($R14,武学奇术!$A:$ZZ,19,FALSE)+SUM(_xlfn.XLOOKUP($S14:$AL14,增益!$A:$A,增益!$S:$S,0)))+$B$12+SUM(_xlfn.XLOOKUP($S14:$AL14,增益!$A:$A,增益!$V:$V,0))),0),12%)</f>
        <v>0.9036</v>
      </c>
      <c r="BQ14" s="24" cm="1">
        <f t="array" ref="BQ14">1+$B$13+VLOOKUP($R14,武学奇术!$A:$ZZ,18,FALSE)+SUM(_xlfn.XLOOKUP($S14:$AL14,增益!$A:$A,增益!$R:$R,0))</f>
        <v>1.56</v>
      </c>
      <c r="BR14" s="24" cm="1">
        <f t="array" ref="BR14">MAX(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-IF(VLOOKUP($R14,武学奇术!$A:$ZZ,32,FALSE)=1,12%,0),0)</f>
        <v>0.0929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0.9036</v>
      </c>
      <c r="BU14" s="24">
        <f t="shared" si="10"/>
        <v>0.00350000000000006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0.11</v>
      </c>
      <c r="BX14" s="24" cm="1">
        <f t="array" ref="BX14">SUM(_xlfn.XLOOKUP($S14:$AL14,增益!$A:$A,增益!$X:$X,0))</f>
        <v>0</v>
      </c>
    </row>
    <row r="15" ht="14.25" spans="1:76">
      <c r="A15" s="40" t="s">
        <v>128</v>
      </c>
      <c r="B15" s="69">
        <f>期望!B15</f>
        <v>0.0852</v>
      </c>
      <c r="C15" s="70" t="s">
        <v>129</v>
      </c>
      <c r="D15" s="70"/>
      <c r="F15" s="80"/>
      <c r="H15" s="81"/>
      <c r="I15" s="75"/>
      <c r="J15" s="76"/>
      <c r="K15">
        <f>$L15*VLOOKUP($R15,武学奇术!$A:$ZZ,31,FALSE)</f>
        <v>23957.2755076974</v>
      </c>
      <c r="L15" s="36">
        <f t="shared" si="0"/>
        <v>23957.2755076974</v>
      </c>
      <c r="M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BQ15*$Q15*(1+IF(VLOOKUP($R15,武学奇术!$A:$ZZ,30,FALSE)="蓄力技",$B$21,0))*(1+$BW15)</f>
        <v>24040.9295688495</v>
      </c>
      <c r="N15" s="36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蓄力技",$B$21,0))*(1+$BW15)</f>
        <v>23465.5927478785</v>
      </c>
      <c r="O15" s="36">
        <f>((($AT15+($AU15-$AT15)*IF(VLOOKUP($R15,武学奇术!$A:$ZZ,31,FALSE)=1,$F$18,0.5))*$AN15+$AO15)*(1+$AV15)*(1+$AW15)+(($AY15+($AZ15-$AY15)*IF(VLOOKUP($R15,武学奇术!$A:$ZZ,31,FALSE)=1,$F$18,0.5))*IF($G$1="鸣金",$AP15,$AN15)+IF($G$1="鸣金",$AQ15*1.5,0))*(1+$BA15)*(1+$BB15)+(($BC15+($BD15-$BC15)*IF(VLOOKUP($R15,武学奇术!$A:$ZZ,31,FALSE)=1,$F$18,0.5))*IF($G$1="裂石",$AP15,$AN15)+IF($G$1="裂石",$AQ15*1.5,0))*(1+$BE15)*(1+$BF15)+(($BG15+($BH15-$BG15)*IF(VLOOKUP($R15,武学奇术!$A:$ZZ,31,FALSE)=1,$F$18,0.5))*IF($G$1="牵丝",$AP15,$AN15)+IF($G$1="牵丝",$AQ15*1.5,0))*(1+$BI15)*(1+$BJ15)+(($BK15+($BL15-$BK15)*IF(VLOOKUP($R15,武学奇术!$A:$ZZ,31,FALSE)=1,$F$18,0.5))*IF($G$1="破竹",$AP15,$AN15)+IF($G$1="破竹",$AQ15*1.5,0))*(1+$BM15)*(1+$BN15))*(1+$AR15)*$Q15*(1+IF(VLOOKUP($R15,武学奇术!$A:$ZZ,30,FALSE)="蓄力技",$B$21,0))*(1+$BW15)</f>
        <v>15410.8522877241</v>
      </c>
      <c r="P15" s="36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蓄力技",$B$21,0))*(1+$BW15)</f>
        <v>13439.784021464</v>
      </c>
      <c r="Q15" s="37">
        <v>1</v>
      </c>
      <c r="R15" s="38" t="s">
        <v>122</v>
      </c>
      <c r="S15" s="38" t="s">
        <v>95</v>
      </c>
      <c r="T15" s="38" t="s">
        <v>79</v>
      </c>
      <c r="U15" s="38" t="s">
        <v>79</v>
      </c>
      <c r="V15" s="38" t="s">
        <v>80</v>
      </c>
      <c r="W15" s="38" t="s">
        <v>79</v>
      </c>
      <c r="X15" s="38" t="s">
        <v>79</v>
      </c>
      <c r="Y15" s="38" t="s">
        <v>89</v>
      </c>
      <c r="Z15" s="38" t="s">
        <v>79</v>
      </c>
      <c r="AA15" s="38" t="s">
        <v>79</v>
      </c>
      <c r="AB15" s="38" t="s">
        <v>79</v>
      </c>
      <c r="AC15" s="38" t="s">
        <v>79</v>
      </c>
      <c r="AD15" s="38" t="s">
        <v>79</v>
      </c>
      <c r="AE15" s="38" t="s">
        <v>79</v>
      </c>
      <c r="AF15" s="38" t="s">
        <v>84</v>
      </c>
      <c r="AG15" s="38" t="s">
        <v>85</v>
      </c>
      <c r="AH15" s="38" t="s">
        <v>79</v>
      </c>
      <c r="AI15" s="38" t="s">
        <v>79</v>
      </c>
      <c r="AJ15" s="38" t="s">
        <v>79</v>
      </c>
      <c r="AK15" s="38" t="s">
        <v>79</v>
      </c>
      <c r="AL15" s="38" t="s">
        <v>79</v>
      </c>
      <c r="AM15" t="str">
        <f>VLOOKUP($R15,武学奇术!$A:$ZZ,25,FALSE)</f>
        <v>拳甲</v>
      </c>
      <c r="AN15" s="24">
        <f>VLOOKUP($R15,武学奇术!$A:$ZZ,26,FALSE)</f>
        <v>1.2876</v>
      </c>
      <c r="AO15" s="25">
        <f>VLOOKUP($R15,武学奇术!$A:$ZZ,27,FALSE)*(1+IF(OR($AM15=$F$4,$AM15=$F$5),$B$22,0))</f>
        <v>537</v>
      </c>
      <c r="AP15" s="24">
        <f>VLOOKUP($R15,武学奇术!$A:$ZZ,28,FALSE)</f>
        <v>1.9313</v>
      </c>
      <c r="AQ15" s="25">
        <f>VLOOKUP($R15,武学奇术!$A:$ZZ,29,FALSE)*(1+IF(OR($AM15=$F$4,$AM15=$F$5),$B$22,0))</f>
        <v>292.5</v>
      </c>
      <c r="AR15" s="24" cm="1">
        <f t="array" ref="AR15">$G$3+IFERROR(VLOOKUP($AM15,$F$4:$G$7,2,FALSE),0)+VLOOKUP($R15,武学奇术!$A:$ZZ,2,FALSE)+SUM(_xlfn.XLOOKUP($S15:$AL15,增益!$A:$A,增益!$B:$B,0))</f>
        <v>0.3241</v>
      </c>
      <c r="AS15" s="24" cm="1">
        <f t="array" ref="AS15">VLOOKUP($R15,武学奇术!$A:$ZZ,5,FALSE)+SUM(_xlfn.XLOOKUP($S15:$AL15,增益!$A:$A,增益!$E:$E,0))</f>
        <v>0</v>
      </c>
      <c r="AT15" cm="1">
        <f t="array" ref="AT15">$D$10*(1+$AS15)+VLOOKUP($R15,武学奇术!$A:$ZZ,3,FALSE)+SUM(_xlfn.XLOOKUP($S15:$AL15,增益!$A:$A,增益!$C:$C,0))-$I$2</f>
        <v>3839.102</v>
      </c>
      <c r="AU15" cm="1">
        <f t="array" ref="AU15">$E$10*(1+$AS15)+VLOOKUP($R15,武学奇术!$A:$ZZ,4,FALSE)+SUM(_xlfn.XLOOKUP($S15:$AL15,增益!$A:$A,增益!$D:$D,0))-$I$2</f>
        <v>3839.102</v>
      </c>
      <c r="AV15" s="30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0.197</v>
      </c>
      <c r="AW15" s="30" cm="1">
        <f t="array" ref="AW15">$G$10+VLOOKUP($R15,武学奇术!$A:$ZZ,7,FALSE)+SUM(_xlfn.XLOOKUP($S15:$AL15,增益!$A:$A,增益!$G:$G,0))</f>
        <v>0.09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0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0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0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0" cm="1">
        <f t="array" ref="BF15">$G$12+VLOOKUP($R15,武学奇术!$A:$ZZ,12,FALSE)+SUM(_xlfn.XLOOKUP($S15:$AL15,增益!$A:$A,增益!$L:$L,0))</f>
        <v>0</v>
      </c>
      <c r="BG15">
        <f t="shared" si="5"/>
        <v>0</v>
      </c>
      <c r="BH15">
        <f t="shared" si="6"/>
        <v>0</v>
      </c>
      <c r="BI15" s="30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-0.3</v>
      </c>
      <c r="BJ15" s="30" cm="1">
        <f t="array" ref="BJ15">$G$13+VLOOKUP($R15,武学奇术!$A:$ZZ,14,FALSE)+SUM(_xlfn.XLOOKUP($S15:$AL15,增益!$A:$A,增益!$N:$N,0))</f>
        <v>0</v>
      </c>
      <c r="BK15">
        <f t="shared" si="7"/>
        <v>605.472</v>
      </c>
      <c r="BL15">
        <f t="shared" si="8"/>
        <v>1725.468</v>
      </c>
      <c r="BM15" s="30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0</v>
      </c>
      <c r="BN15" s="30" cm="1">
        <f t="array" ref="BN15">$G$14+VLOOKUP($R15,武学奇术!$A:$ZZ,16,FALSE)+SUM(_xlfn.XLOOKUP($S15:$AL15,增益!$A:$A,增益!$P:$P,0))</f>
        <v>0.24</v>
      </c>
      <c r="BO15" s="24">
        <f>MIN(IF(VLOOKUP($R15,武学奇术!$A:$ZZ,23,FALSE)=1,100%,$B$8),100%)</f>
        <v>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+MIN(IF(VLOOKUP($R15,武学奇术!$A:$ZZ,32,FALSE)=1,IF(VLOOKUP($R15,武学奇术!$A:$ZZ,24,FALSE)=1,100%,MIN(40%,$B$10+VLOOKUP($R15,武学奇术!$A:$ZZ,19,FALSE)+SUM(_xlfn.XLOOKUP($S15:$AL15,增益!$A:$A,增益!$S:$S,0)))+$B$12+SUM(_xlfn.XLOOKUP($S15:$AL15,增益!$A:$A,增益!$V:$V,0))),0),12%)</f>
        <v>0.9036</v>
      </c>
      <c r="BQ15" s="24" cm="1">
        <f t="array" ref="BQ15">1+$B$13+VLOOKUP($R15,武学奇术!$A:$ZZ,18,FALSE)+SUM(_xlfn.XLOOKUP($S15:$AL15,增益!$A:$A,增益!$R:$R,0))</f>
        <v>1.56</v>
      </c>
      <c r="BR15" s="24" cm="1">
        <f t="array" ref="BR15">MAX(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-IF(VLOOKUP($R15,武学奇术!$A:$ZZ,32,FALSE)=1,12%,0),0)</f>
        <v>0.0929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0.9036</v>
      </c>
      <c r="BU15" s="24">
        <f t="shared" si="10"/>
        <v>0.00350000000000006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0.11</v>
      </c>
      <c r="BX15" s="24" cm="1">
        <f t="array" ref="BX15">SUM(_xlfn.XLOOKUP($S15:$AL15,增益!$A:$A,增益!$X:$X,0))</f>
        <v>0</v>
      </c>
    </row>
    <row r="16" spans="1:76">
      <c r="A16" s="40" t="s">
        <v>130</v>
      </c>
      <c r="B16" s="69">
        <f>期望!B16</f>
        <v>0.0887</v>
      </c>
      <c r="C16" s="70" t="s">
        <v>131</v>
      </c>
      <c r="D16" s="80" t="s">
        <v>155</v>
      </c>
      <c r="E16" s="70" t="s">
        <v>133</v>
      </c>
      <c r="F16" s="80" t="s">
        <v>132</v>
      </c>
      <c r="H16" s="67" t="s">
        <v>134</v>
      </c>
      <c r="I16" s="82"/>
      <c r="J16" s="83"/>
      <c r="K16">
        <f>$L16*VLOOKUP($R16,武学奇术!$A:$ZZ,31,FALSE)</f>
        <v>84268.89262802</v>
      </c>
      <c r="L16" s="36">
        <f t="shared" si="0"/>
        <v>64822.2250984769</v>
      </c>
      <c r="M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BQ16*$Q16*(1+IF(VLOOKUP($R16,武学奇术!$A:$ZZ,30,FALSE)="蓄力技",$B$21,0))*(1+$BW16)</f>
        <v>65965.2324731106</v>
      </c>
      <c r="N16" s="36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蓄力技",$B$21,0))*(1+$BW16)</f>
        <v>54810.6879456699</v>
      </c>
      <c r="O16" s="36">
        <f>((($AT16+($AU16-$AT16)*IF(VLOOKUP($R16,武学奇术!$A:$ZZ,31,FALSE)=1,$F$18,0.5))*$AN16+$AO16)*(1+$AV16)*(1+$AW16)+(($AY16+($AZ16-$AY16)*IF(VLOOKUP($R16,武学奇术!$A:$ZZ,31,FALSE)=1,$F$18,0.5))*IF($G$1="鸣金",$AP16,$AN16)+IF($G$1="鸣金",$AQ16*1.5,0))*(1+$BA16)*(1+$BB16)+(($BC16+($BD16-$BC16)*IF(VLOOKUP($R16,武学奇术!$A:$ZZ,31,FALSE)=1,$F$18,0.5))*IF($G$1="裂石",$AP16,$AN16)+IF($G$1="裂石",$AQ16*1.5,0))*(1+$BE16)*(1+$BF16)+(($BG16+($BH16-$BG16)*IF(VLOOKUP($R16,武学奇术!$A:$ZZ,31,FALSE)=1,$F$18,0.5))*IF($G$1="牵丝",$AP16,$AN16)+IF($G$1="牵丝",$AQ16*1.5,0))*(1+$BI16)*(1+$BJ16)+(($BK16+($BL16-$BK16)*IF(VLOOKUP($R16,武学奇术!$A:$ZZ,31,FALSE)=1,$F$18,0.5))*IF($G$1="破竹",$AP16,$AN16)+IF($G$1="破竹",$AQ16*1.5,0))*(1+$BM16)*(1+$BN16))*(1+$AR16)*$Q16*(1+IF(VLOOKUP($R16,武学奇术!$A:$ZZ,30,FALSE)="蓄力技",$B$21,0))*(1+$BW16)</f>
        <v>35465.1787489842</v>
      </c>
      <c r="P16" s="36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蓄力技",$B$21,0))*(1+$BW16)</f>
        <v>30329.8479085833</v>
      </c>
      <c r="Q16" s="37">
        <v>1</v>
      </c>
      <c r="R16" s="38" t="s">
        <v>124</v>
      </c>
      <c r="S16" s="38" t="s">
        <v>101</v>
      </c>
      <c r="T16" s="38" t="s">
        <v>79</v>
      </c>
      <c r="U16" s="38" t="s">
        <v>79</v>
      </c>
      <c r="V16" s="38" t="s">
        <v>80</v>
      </c>
      <c r="W16" s="38" t="s">
        <v>79</v>
      </c>
      <c r="X16" s="38" t="s">
        <v>79</v>
      </c>
      <c r="Y16" s="38" t="s">
        <v>89</v>
      </c>
      <c r="Z16" s="38" t="s">
        <v>79</v>
      </c>
      <c r="AA16" s="38" t="s">
        <v>112</v>
      </c>
      <c r="AB16" s="38" t="s">
        <v>79</v>
      </c>
      <c r="AC16" s="38" t="s">
        <v>79</v>
      </c>
      <c r="AD16" s="38" t="s">
        <v>79</v>
      </c>
      <c r="AE16" s="38" t="s">
        <v>79</v>
      </c>
      <c r="AF16" s="38" t="s">
        <v>84</v>
      </c>
      <c r="AG16" s="38" t="s">
        <v>85</v>
      </c>
      <c r="AH16" s="38" t="s">
        <v>79</v>
      </c>
      <c r="AI16" s="38" t="s">
        <v>79</v>
      </c>
      <c r="AJ16" s="38" t="s">
        <v>79</v>
      </c>
      <c r="AK16" s="38" t="s">
        <v>79</v>
      </c>
      <c r="AL16" s="38" t="s">
        <v>79</v>
      </c>
      <c r="AM16" t="str">
        <f>VLOOKUP($R16,武学奇术!$A:$ZZ,25,FALSE)</f>
        <v>拳甲</v>
      </c>
      <c r="AN16" s="24">
        <f>VLOOKUP($R16,武学奇术!$A:$ZZ,26,FALSE)</f>
        <v>2.638944</v>
      </c>
      <c r="AO16" s="25">
        <f>VLOOKUP($R16,武学奇术!$A:$ZZ,27,FALSE)*(1+IF(OR($AM16=$F$4,$AM16=$F$5),$B$22,0))</f>
        <v>0</v>
      </c>
      <c r="AP16" s="24">
        <f>VLOOKUP($R16,武学奇术!$A:$ZZ,28,FALSE)</f>
        <v>3.958416</v>
      </c>
      <c r="AQ16" s="25">
        <f>VLOOKUP($R16,武学奇术!$A:$ZZ,29,FALSE)*(1+IF(OR($AM16=$F$4,$AM16=$F$5),$B$22,0))</f>
        <v>0</v>
      </c>
      <c r="AR16" s="24" cm="1">
        <f t="array" ref="AR16">$G$3+IFERROR(VLOOKUP($AM16,$F$4:$G$7,2,FALSE),0)+VLOOKUP($R16,武学奇术!$A:$ZZ,2,FALSE)+SUM(_xlfn.XLOOKUP($S16:$AL16,增益!$A:$A,增益!$B:$B,0))</f>
        <v>0.6341</v>
      </c>
      <c r="AS16" s="24" cm="1">
        <f t="array" ref="AS16">VLOOKUP($R16,武学奇术!$A:$ZZ,5,FALSE)+SUM(_xlfn.XLOOKUP($S16:$AL16,增益!$A:$A,增益!$E:$E,0))</f>
        <v>0</v>
      </c>
      <c r="AT16" cm="1">
        <f t="array" ref="AT16">$D$10*(1+$AS16)+VLOOKUP($R16,武学奇术!$A:$ZZ,3,FALSE)+SUM(_xlfn.XLOOKUP($S16:$AL16,增益!$A:$A,增益!$C:$C,0))-$I$2</f>
        <v>3839.102</v>
      </c>
      <c r="AU16" cm="1">
        <f t="array" ref="AU16">$E$10*(1+$AS16)+VLOOKUP($R16,武学奇术!$A:$ZZ,4,FALSE)+SUM(_xlfn.XLOOKUP($S16:$AL16,增益!$A:$A,增益!$D:$D,0))-$I$2</f>
        <v>3839.102</v>
      </c>
      <c r="AV16" s="30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0.237</v>
      </c>
      <c r="AW16" s="30" cm="1">
        <f t="array" ref="AW16">$G$10+VLOOKUP($R16,武学奇术!$A:$ZZ,7,FALSE)+SUM(_xlfn.XLOOKUP($S16:$AL16,增益!$A:$A,增益!$G:$G,0))</f>
        <v>0.09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0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-0.24</v>
      </c>
      <c r="BB16" s="30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0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-0.24</v>
      </c>
      <c r="BF16" s="30" cm="1">
        <f t="array" ref="BF16">$G$12+VLOOKUP($R16,武学奇术!$A:$ZZ,12,FALSE)+SUM(_xlfn.XLOOKUP($S16:$AL16,增益!$A:$A,增益!$L:$L,0))</f>
        <v>0</v>
      </c>
      <c r="BG16">
        <f t="shared" si="5"/>
        <v>0</v>
      </c>
      <c r="BH16">
        <f t="shared" si="6"/>
        <v>0</v>
      </c>
      <c r="BI16" s="30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-0.24</v>
      </c>
      <c r="BJ16" s="30" cm="1">
        <f t="array" ref="BJ16">$G$13+VLOOKUP($R16,武学奇术!$A:$ZZ,14,FALSE)+SUM(_xlfn.XLOOKUP($S16:$AL16,增益!$A:$A,增益!$N:$N,0))</f>
        <v>0</v>
      </c>
      <c r="BK16">
        <f t="shared" si="7"/>
        <v>605.472</v>
      </c>
      <c r="BL16">
        <f t="shared" si="8"/>
        <v>1725.468</v>
      </c>
      <c r="BM16" s="30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0.03</v>
      </c>
      <c r="BN16" s="30" cm="1">
        <f t="array" ref="BN16">$G$14+VLOOKUP($R16,武学奇术!$A:$ZZ,16,FALSE)+SUM(_xlfn.XLOOKUP($S16:$AL16,增益!$A:$A,增益!$P:$P,0))</f>
        <v>0.24</v>
      </c>
      <c r="BO16" s="24">
        <f>MIN(IF(VLOOKUP($R16,武学奇术!$A:$ZZ,23,FALSE)=1,100%,$B$8),100%)</f>
        <v>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+MIN(IF(VLOOKUP($R16,武学奇术!$A:$ZZ,32,FALSE)=1,IF(VLOOKUP($R16,武学奇术!$A:$ZZ,24,FALSE)=1,100%,MIN(40%,$B$10+VLOOKUP($R16,武学奇术!$A:$ZZ,19,FALSE)+SUM(_xlfn.XLOOKUP($S16:$AL16,增益!$A:$A,增益!$S:$S,0)))+$B$12+SUM(_xlfn.XLOOKUP($S16:$AL16,增益!$A:$A,增益!$V:$V,0))),0),12%)</f>
        <v>0.9036</v>
      </c>
      <c r="BQ16" s="24" cm="1">
        <f t="array" ref="BQ16">1+$B$13+VLOOKUP($R16,武学奇术!$A:$ZZ,18,FALSE)+SUM(_xlfn.XLOOKUP($S16:$AL16,增益!$A:$A,增益!$R:$R,0))</f>
        <v>1.86</v>
      </c>
      <c r="BR16" s="24" cm="1">
        <f t="array" ref="BR16">MAX(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-IF(VLOOKUP($R16,武学奇术!$A:$ZZ,32,FALSE)=1,12%,0),0)</f>
        <v>0.0929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0.9036</v>
      </c>
      <c r="BU16" s="24">
        <f t="shared" si="10"/>
        <v>0.00350000000000006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0.11</v>
      </c>
      <c r="BX16" s="24" cm="1">
        <f t="array" ref="BX16">SUM(_xlfn.XLOOKUP($S16:$AL16,增益!$A:$A,增益!$X:$X,0))</f>
        <v>0</v>
      </c>
    </row>
    <row r="17" ht="14.25" spans="1:76">
      <c r="A17" s="40" t="s">
        <v>135</v>
      </c>
      <c r="B17" s="69">
        <f>期望!B17</f>
        <v>0.0852</v>
      </c>
      <c r="C17" s="70" t="s">
        <v>136</v>
      </c>
      <c r="D17" s="80" t="s">
        <v>155</v>
      </c>
      <c r="E17" s="70" t="s">
        <v>137</v>
      </c>
      <c r="F17" s="80" t="s">
        <v>155</v>
      </c>
      <c r="H17" s="71"/>
      <c r="I17" s="84"/>
      <c r="J17" s="85"/>
      <c r="K17">
        <f>$L17*VLOOKUP($R17,武学奇术!$A:$ZZ,31,FALSE)</f>
        <v>780480.259027643</v>
      </c>
      <c r="L17" s="36">
        <f t="shared" si="0"/>
        <v>923645.27695579</v>
      </c>
      <c r="M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BQ17*$Q17*(1+IF(VLOOKUP($R17,武学奇术!$A:$ZZ,30,FALSE)="蓄力技",$B$21,0))*(1+$BW17)</f>
        <v>925488.275158908</v>
      </c>
      <c r="N17" s="36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蓄力技",$B$21,0))*(1+$BW17)</f>
        <v>602541.47982643</v>
      </c>
      <c r="O17" s="36">
        <f>((($AT17+($AU17-$AT17)*IF(VLOOKUP($R17,武学奇术!$A:$ZZ,31,FALSE)=1,$F$18,0.5))*$AN17+$AO17)*(1+$AV17)*(1+$AW17)+(($AY17+($AZ17-$AY17)*IF(VLOOKUP($R17,武学奇术!$A:$ZZ,31,FALSE)=1,$F$18,0.5))*IF($G$1="鸣金",$AP17,$AN17)+IF($G$1="鸣金",$AQ17*1.5,0))*(1+$BA17)*(1+$BB17)+(($BC17+($BD17-$BC17)*IF(VLOOKUP($R17,武学奇术!$A:$ZZ,31,FALSE)=1,$F$18,0.5))*IF($G$1="裂石",$AP17,$AN17)+IF($G$1="裂石",$AQ17*1.5,0))*(1+$BE17)*(1+$BF17)+(($BG17+($BH17-$BG17)*IF(VLOOKUP($R17,武学奇术!$A:$ZZ,31,FALSE)=1,$F$18,0.5))*IF($G$1="牵丝",$AP17,$AN17)+IF($G$1="牵丝",$AQ17*1.5,0))*(1+$BI17)*(1+$BJ17)+(($BK17+($BL17-$BK17)*IF(VLOOKUP($R17,武学奇术!$A:$ZZ,31,FALSE)=1,$F$18,0.5))*IF($G$1="破竹",$AP17,$AN17)+IF($G$1="破竹",$AQ17*1.5,0))*(1+$BM17)*(1+$BN17))*(1+$AR17)*$Q17*(1+IF(VLOOKUP($R17,武学奇术!$A:$ZZ,30,FALSE)="蓄力技",$B$21,0))*(1+$BW17)</f>
        <v>398917.359982288</v>
      </c>
      <c r="P17" s="36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蓄力技",$B$21,0))*(1+$BW17)</f>
        <v>351507.697870924</v>
      </c>
      <c r="Q17" s="37">
        <v>1</v>
      </c>
      <c r="R17" s="38" t="s">
        <v>138</v>
      </c>
      <c r="S17" s="38" t="s">
        <v>104</v>
      </c>
      <c r="T17" s="38" t="s">
        <v>139</v>
      </c>
      <c r="U17" s="38" t="s">
        <v>140</v>
      </c>
      <c r="V17" s="38" t="s">
        <v>80</v>
      </c>
      <c r="W17" s="38" t="s">
        <v>79</v>
      </c>
      <c r="X17" s="38" t="s">
        <v>79</v>
      </c>
      <c r="Y17" s="38" t="s">
        <v>96</v>
      </c>
      <c r="Z17" s="38" t="s">
        <v>79</v>
      </c>
      <c r="AA17" s="38" t="s">
        <v>112</v>
      </c>
      <c r="AB17" s="38" t="s">
        <v>79</v>
      </c>
      <c r="AC17" s="38" t="s">
        <v>79</v>
      </c>
      <c r="AD17" s="38" t="s">
        <v>79</v>
      </c>
      <c r="AE17" s="38" t="s">
        <v>79</v>
      </c>
      <c r="AF17" s="38" t="s">
        <v>84</v>
      </c>
      <c r="AG17" s="38" t="s">
        <v>85</v>
      </c>
      <c r="AH17" s="38" t="s">
        <v>79</v>
      </c>
      <c r="AI17" s="38" t="s">
        <v>79</v>
      </c>
      <c r="AJ17" s="38" t="s">
        <v>79</v>
      </c>
      <c r="AK17" s="38" t="s">
        <v>79</v>
      </c>
      <c r="AL17" s="38" t="s">
        <v>79</v>
      </c>
      <c r="AM17" t="str">
        <f>VLOOKUP($R17,武学奇术!$A:$ZZ,25,FALSE)</f>
        <v>拳甲</v>
      </c>
      <c r="AN17" s="24">
        <f>VLOOKUP($R17,武学奇术!$A:$ZZ,26,FALSE)</f>
        <v>16.8107</v>
      </c>
      <c r="AO17" s="25">
        <f>VLOOKUP($R17,武学奇术!$A:$ZZ,27,FALSE)*(1+IF(OR($AM17=$F$4,$AM17=$F$5),$B$22,0))</f>
        <v>6970.5</v>
      </c>
      <c r="AP17" s="24">
        <f>VLOOKUP($R17,武学奇术!$A:$ZZ,28,FALSE)</f>
        <v>25.2161</v>
      </c>
      <c r="AQ17" s="25">
        <f>VLOOKUP($R17,武学奇术!$A:$ZZ,29,FALSE)*(1+IF(OR($AM17=$F$4,$AM17=$F$5),$B$22,0))</f>
        <v>3799.5</v>
      </c>
      <c r="AR17" s="24" cm="1">
        <f t="array" ref="AR17">$G$3+IFERROR(VLOOKUP($AM17,$F$4:$G$7,2,FALSE),0)+VLOOKUP($R17,武学奇术!$A:$ZZ,2,FALSE)+SUM(_xlfn.XLOOKUP($S17:$AL17,增益!$A:$A,增益!$B:$B,0))</f>
        <v>0.7941</v>
      </c>
      <c r="AS17" s="24" cm="1">
        <f t="array" ref="AS17">VLOOKUP($R17,武学奇术!$A:$ZZ,5,FALSE)+SUM(_xlfn.XLOOKUP($S17:$AL17,增益!$A:$A,增益!$E:$E,0))</f>
        <v>0</v>
      </c>
      <c r="AT17" cm="1">
        <f t="array" ref="AT17">$D$10*(1+$AS17)+VLOOKUP($R17,武学奇术!$A:$ZZ,3,FALSE)+SUM(_xlfn.XLOOKUP($S17:$AL17,增益!$A:$A,增益!$C:$C,0))-$I$2</f>
        <v>3839.102</v>
      </c>
      <c r="AU17" cm="1">
        <f t="array" ref="AU17">$E$10*(1+$AS17)+VLOOKUP($R17,武学奇术!$A:$ZZ,4,FALSE)+SUM(_xlfn.XLOOKUP($S17:$AL17,增益!$A:$A,增益!$D:$D,0))-$I$2</f>
        <v>3839.102</v>
      </c>
      <c r="AV17" s="30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0.372</v>
      </c>
      <c r="AW17" s="30" cm="1">
        <f t="array" ref="AW17">$G$10+VLOOKUP($R17,武学奇术!$A:$ZZ,7,FALSE)+SUM(_xlfn.XLOOKUP($S17:$AL17,增益!$A:$A,增益!$G:$G,0))</f>
        <v>0.09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0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-0.24</v>
      </c>
      <c r="BB17" s="30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0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-0.24</v>
      </c>
      <c r="BF17" s="30" cm="1">
        <f t="array" ref="BF17">$G$12+VLOOKUP($R17,武学奇术!$A:$ZZ,12,FALSE)+SUM(_xlfn.XLOOKUP($S17:$AL17,增益!$A:$A,增益!$L:$L,0))</f>
        <v>0</v>
      </c>
      <c r="BG17">
        <f t="shared" si="5"/>
        <v>0</v>
      </c>
      <c r="BH17">
        <f t="shared" si="6"/>
        <v>0</v>
      </c>
      <c r="BI17" s="30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-0.24</v>
      </c>
      <c r="BJ17" s="30" cm="1">
        <f t="array" ref="BJ17">$G$13+VLOOKUP($R17,武学奇术!$A:$ZZ,14,FALSE)+SUM(_xlfn.XLOOKUP($S17:$AL17,增益!$A:$A,增益!$N:$N,0))</f>
        <v>0</v>
      </c>
      <c r="BK17">
        <f t="shared" si="7"/>
        <v>605.472</v>
      </c>
      <c r="BL17">
        <f t="shared" si="8"/>
        <v>1725.468</v>
      </c>
      <c r="BM17" s="30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0.03</v>
      </c>
      <c r="BN17" s="30" cm="1">
        <f t="array" ref="BN17">$G$14+VLOOKUP($R17,武学奇术!$A:$ZZ,16,FALSE)+SUM(_xlfn.XLOOKUP($S17:$AL17,增益!$A:$A,增益!$P:$P,0))</f>
        <v>0.24</v>
      </c>
      <c r="BO17" s="24">
        <f>MIN(IF(VLOOKUP($R17,武学奇术!$A:$ZZ,23,FALSE)=1,100%,$B$8),100%)</f>
        <v>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+MIN(IF(VLOOKUP($R17,武学奇术!$A:$ZZ,32,FALSE)=1,IF(VLOOKUP($R17,武学奇术!$A:$ZZ,24,FALSE)=1,100%,MIN(40%,$B$10+VLOOKUP($R17,武学奇术!$A:$ZZ,19,FALSE)+SUM(_xlfn.XLOOKUP($S17:$AL17,增益!$A:$A,增益!$S:$S,0)))+$B$12+SUM(_xlfn.XLOOKUP($S17:$AL17,增益!$A:$A,增益!$V:$V,0))),0),12%)</f>
        <v>0.9965</v>
      </c>
      <c r="BQ17" s="24" cm="1">
        <f t="array" ref="BQ17">1+$B$13+VLOOKUP($R17,武学奇术!$A:$ZZ,18,FALSE)+SUM(_xlfn.XLOOKUP($S17:$AL17,增益!$A:$A,增益!$R:$R,0))</f>
        <v>2.32</v>
      </c>
      <c r="BR17" s="24" cm="1">
        <f t="array" ref="BR17">MAX(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-IF(VLOOKUP($R17,武学奇术!$A:$ZZ,32,FALSE)=1,12%,0),0)</f>
        <v>0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0.9965</v>
      </c>
      <c r="BU17" s="24">
        <f t="shared" si="10"/>
        <v>0.00350000000000006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0.11</v>
      </c>
      <c r="BX17" s="24" cm="1">
        <f t="array" ref="BX17">SUM(_xlfn.XLOOKUP($S17:$AL17,增益!$A:$A,增益!$X:$X,0))</f>
        <v>0</v>
      </c>
    </row>
    <row r="18" spans="1:76">
      <c r="A18" s="40" t="s">
        <v>141</v>
      </c>
      <c r="B18" s="69">
        <f>期望!B18</f>
        <v>0</v>
      </c>
      <c r="C18" s="70" t="s">
        <v>142</v>
      </c>
      <c r="D18" s="80" t="s">
        <v>155</v>
      </c>
      <c r="E18" s="70" t="s">
        <v>143</v>
      </c>
      <c r="F18" s="86">
        <v>0.5</v>
      </c>
      <c r="K18">
        <f>$L18*VLOOKUP($R18,武学奇术!$A:$ZZ,31,FALSE)</f>
        <v>184729.055391158</v>
      </c>
      <c r="L18" s="87">
        <f>L17*0.4*(1+BX18)</f>
        <v>369458.110782316</v>
      </c>
      <c r="M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BQ18*$Q18*(1+IF(VLOOKUP($R18,武学奇术!$A:$ZZ,30,FALSE)="蓄力技",$B$21,0))*(1+$BW18)</f>
        <v>0</v>
      </c>
      <c r="N18" s="36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蓄力技",$B$21,0))*(1+$BW18)</f>
        <v>0</v>
      </c>
      <c r="O18" s="36">
        <f>((($AT18+($AU18-$AT18)*IF(VLOOKUP($R18,武学奇术!$A:$ZZ,31,FALSE)=1,$F$18,0.5))*$AN18+$AO18)*(1+$AV18)*(1+$AW18)+(($AY18+($AZ18-$AY18)*IF(VLOOKUP($R18,武学奇术!$A:$ZZ,31,FALSE)=1,$F$18,0.5))*IF($G$1="鸣金",$AP18,$AN18)+IF($G$1="鸣金",$AQ18*1.5,0))*(1+$BA18)*(1+$BB18)+(($BC18+($BD18-$BC18)*IF(VLOOKUP($R18,武学奇术!$A:$ZZ,31,FALSE)=1,$F$18,0.5))*IF($G$1="裂石",$AP18,$AN18)+IF($G$1="裂石",$AQ18*1.5,0))*(1+$BE18)*(1+$BF18)+(($BG18+($BH18-$BG18)*IF(VLOOKUP($R18,武学奇术!$A:$ZZ,31,FALSE)=1,$F$18,0.5))*IF($G$1="牵丝",$AP18,$AN18)+IF($G$1="牵丝",$AQ18*1.5,0))*(1+$BI18)*(1+$BJ18)+(($BK18+($BL18-$BK18)*IF(VLOOKUP($R18,武学奇术!$A:$ZZ,31,FALSE)=1,$F$18,0.5))*IF($G$1="破竹",$AP18,$AN18)+IF($G$1="破竹",$AQ18*1.5,0))*(1+$BM18)*(1+$BN18))*(1+$AR18)*$Q18*(1+IF(VLOOKUP($R18,武学奇术!$A:$ZZ,30,FALSE)="蓄力技",$B$21,0))*(1+$BW18)</f>
        <v>0</v>
      </c>
      <c r="P18" s="36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蓄力技",$B$21,0))*(1+$BW18)</f>
        <v>0</v>
      </c>
      <c r="Q18" s="37">
        <v>1</v>
      </c>
      <c r="R18" s="38" t="s">
        <v>145</v>
      </c>
      <c r="S18" s="38" t="s">
        <v>146</v>
      </c>
      <c r="T18" s="38" t="s">
        <v>79</v>
      </c>
      <c r="U18" s="38" t="s">
        <v>79</v>
      </c>
      <c r="V18" s="38" t="s">
        <v>79</v>
      </c>
      <c r="W18" s="38" t="s">
        <v>79</v>
      </c>
      <c r="X18" s="38" t="s">
        <v>79</v>
      </c>
      <c r="Y18" s="38" t="s">
        <v>79</v>
      </c>
      <c r="Z18" s="38" t="s">
        <v>79</v>
      </c>
      <c r="AA18" s="38" t="s">
        <v>79</v>
      </c>
      <c r="AB18" s="38" t="s">
        <v>79</v>
      </c>
      <c r="AC18" s="38" t="s">
        <v>79</v>
      </c>
      <c r="AD18" s="38" t="s">
        <v>79</v>
      </c>
      <c r="AE18" s="38" t="s">
        <v>79</v>
      </c>
      <c r="AF18" s="38" t="s">
        <v>84</v>
      </c>
      <c r="AG18" s="38" t="s">
        <v>85</v>
      </c>
      <c r="AH18" s="38" t="s">
        <v>79</v>
      </c>
      <c r="AI18" s="38" t="s">
        <v>79</v>
      </c>
      <c r="AJ18" s="38" t="s">
        <v>79</v>
      </c>
      <c r="AK18" s="38" t="s">
        <v>79</v>
      </c>
      <c r="AL18" s="38" t="s">
        <v>79</v>
      </c>
      <c r="AM18" t="str">
        <f>VLOOKUP($R18,武学奇术!$A:$ZZ,25,FALSE)</f>
        <v>拳甲</v>
      </c>
      <c r="AN18" s="24">
        <f>VLOOKUP($R18,武学奇术!$A:$ZZ,26,FALSE)</f>
        <v>0</v>
      </c>
      <c r="AO18" s="25">
        <f>VLOOKUP($R18,武学奇术!$A:$ZZ,27,FALSE)*(1+IF(OR($AM18=$F$4,$AM18=$F$5),$B$22,0))</f>
        <v>0</v>
      </c>
      <c r="AP18" s="24">
        <f>VLOOKUP($R18,武学奇术!$A:$ZZ,28,FALSE)</f>
        <v>0</v>
      </c>
      <c r="AQ18" s="25">
        <f>VLOOKUP($R18,武学奇术!$A:$ZZ,29,FALSE)*(1+IF(OR($AM18=$F$4,$AM18=$F$5),$B$22,0))</f>
        <v>0</v>
      </c>
      <c r="AR18" s="24" cm="1">
        <f t="array" ref="AR18">$G$3+IFERROR(VLOOKUP($AM18,$F$4:$G$7,2,FALSE),0)+VLOOKUP($R18,武学奇术!$A:$ZZ,2,FALSE)+SUM(_xlfn.XLOOKUP($S18:$AL18,增益!$A:$A,增益!$B:$B,0))</f>
        <v>0.2741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3839.102</v>
      </c>
      <c r="AU18" cm="1">
        <f t="array" ref="AU18">$E$10*(1+$AS18)+VLOOKUP($R18,武学奇术!$A:$ZZ,4,FALSE)+SUM(_xlfn.XLOOKUP($S18:$AL18,增益!$A:$A,增益!$D:$D,0))-$I$2</f>
        <v>3839.102</v>
      </c>
      <c r="AV18" s="30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0.167</v>
      </c>
      <c r="AW18" s="30" cm="1">
        <f t="array" ref="AW18">$G$10+VLOOKUP($R18,武学奇术!$A:$ZZ,7,FALSE)+SUM(_xlfn.XLOOKUP($S18:$AL18,增益!$A:$A,增益!$G:$G,0))</f>
        <v>0.09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0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0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0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0" cm="1">
        <f t="array" ref="BF18">$G$12+VLOOKUP($R18,武学奇术!$A:$ZZ,12,FALSE)+SUM(_xlfn.XLOOKUP($S18:$AL18,增益!$A:$A,增益!$L:$L,0))</f>
        <v>0</v>
      </c>
      <c r="BG18">
        <f t="shared" si="5"/>
        <v>0</v>
      </c>
      <c r="BH18">
        <f t="shared" si="6"/>
        <v>0</v>
      </c>
      <c r="BI18" s="30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-0.3</v>
      </c>
      <c r="BJ18" s="30" cm="1">
        <f t="array" ref="BJ18">$G$13+VLOOKUP($R18,武学奇术!$A:$ZZ,14,FALSE)+SUM(_xlfn.XLOOKUP($S18:$AL18,增益!$A:$A,增益!$N:$N,0))</f>
        <v>0</v>
      </c>
      <c r="BK18">
        <f t="shared" si="7"/>
        <v>605.472</v>
      </c>
      <c r="BL18">
        <f t="shared" si="8"/>
        <v>1725.468</v>
      </c>
      <c r="BM18" s="30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0</v>
      </c>
      <c r="BN18" s="30" cm="1">
        <f t="array" ref="BN18">$G$14+VLOOKUP($R18,武学奇术!$A:$ZZ,16,FALSE)+SUM(_xlfn.XLOOKUP($S18:$AL18,增益!$A:$A,增益!$P:$P,0))</f>
        <v>0.24</v>
      </c>
      <c r="BO18" s="24">
        <f>MIN(IF(VLOOKUP($R18,武学奇术!$A:$ZZ,23,FALSE)=1,100%,$B$8),100%)</f>
        <v>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+MIN(IF(VLOOKUP($R18,武学奇术!$A:$ZZ,32,FALSE)=1,IF(VLOOKUP($R18,武学奇术!$A:$ZZ,24,FALSE)=1,100%,MIN(40%,$B$10+VLOOKUP($R18,武学奇术!$A:$ZZ,19,FALSE)+SUM(_xlfn.XLOOKUP($S18:$AL18,增益!$A:$A,增益!$S:$S,0)))+$B$12+SUM(_xlfn.XLOOKUP($S18:$AL18,增益!$A:$A,增益!$V:$V,0))),0),12%)</f>
        <v>0.9036</v>
      </c>
      <c r="BQ18" s="24" cm="1">
        <f t="array" ref="BQ18">1+$B$13+VLOOKUP($R18,武学奇术!$A:$ZZ,18,FALSE)+SUM(_xlfn.XLOOKUP($S18:$AL18,增益!$A:$A,增益!$R:$R,0))</f>
        <v>1.54</v>
      </c>
      <c r="BR18" s="24" cm="1">
        <f t="array" ref="BR18">MAX(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-IF(VLOOKUP($R18,武学奇术!$A:$ZZ,32,FALSE)=1,12%,0),0)</f>
        <v>0.0929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0.9036</v>
      </c>
      <c r="BU18" s="24">
        <f t="shared" si="10"/>
        <v>0.00350000000000006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0.11</v>
      </c>
      <c r="BX18" s="24" cm="1">
        <f t="array" ref="BX18">SUM(_xlfn.XLOOKUP($S18:$AL18,增益!$A:$A,增益!$X:$X,0))</f>
        <v>0</v>
      </c>
    </row>
    <row r="19" spans="1:76">
      <c r="A19" s="40" t="s">
        <v>147</v>
      </c>
      <c r="B19" s="69">
        <f>期望!B19</f>
        <v>0</v>
      </c>
      <c r="C19" s="70" t="s">
        <v>148</v>
      </c>
      <c r="D19" s="80" t="s">
        <v>155</v>
      </c>
      <c r="K19">
        <f>$L19*VLOOKUP($R19,武学奇术!$A:$ZZ,31,FALSE)</f>
        <v>64119.0230608868</v>
      </c>
      <c r="L19" s="36">
        <f t="shared" ref="L19:L33" si="11">($M19*$BT19+$N19*$BR19+$O19*$BU19+$P19*$BV19)</f>
        <v>64119.0230608868</v>
      </c>
      <c r="M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BQ19*$Q19*(1+IF(VLOOKUP($R19,武学奇术!$A:$ZZ,30,FALSE)="蓄力技",$B$21,0))*(1+$BW19)</f>
        <v>65284.3467247452</v>
      </c>
      <c r="N19" s="36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蓄力技",$B$21,0))*(1+$BW19)</f>
        <v>53856.0450805448</v>
      </c>
      <c r="O19" s="36">
        <f>((($AT19+($AU19-$AT19)*IF(VLOOKUP($R19,武学奇术!$A:$ZZ,31,FALSE)=1,$F$18,0.5))*$AN19+$AO19)*(1+$AV19)*(1+$AW19)+(($AY19+($AZ19-$AY19)*IF(VLOOKUP($R19,武学奇术!$A:$ZZ,31,FALSE)=1,$F$18,0.5))*IF($G$1="鸣金",$AP19,$AN19)+IF($G$1="鸣金",$AQ19*1.5,0))*(1+$BA19)*(1+$BB19)+(($BC19+($BD19-$BC19)*IF(VLOOKUP($R19,武学奇术!$A:$ZZ,31,FALSE)=1,$F$18,0.5))*IF($G$1="裂石",$AP19,$AN19)+IF($G$1="裂石",$AQ19*1.5,0))*(1+$BE19)*(1+$BF19)+(($BG19+($BH19-$BG19)*IF(VLOOKUP($R19,武学奇术!$A:$ZZ,31,FALSE)=1,$F$18,0.5))*IF($G$1="牵丝",$AP19,$AN19)+IF($G$1="牵丝",$AQ19*1.5,0))*(1+$BI19)*(1+$BJ19)+(($BK19+($BL19-$BK19)*IF(VLOOKUP($R19,武学奇术!$A:$ZZ,31,FALSE)=1,$F$18,0.5))*IF($G$1="破竹",$AP19,$AN19)+IF($G$1="破竹",$AQ19*1.5,0))*(1+$BM19)*(1+$BN19))*(1+$AR19)*$Q19*(1+IF(VLOOKUP($R19,武学奇术!$A:$ZZ,30,FALSE)="蓄力技",$B$21,0))*(1+$BW19)</f>
        <v>35674.5064069646</v>
      </c>
      <c r="P19" s="36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蓄力技",$B$21,0))*(1+$BW19)</f>
        <v>31455.6460875997</v>
      </c>
      <c r="Q19" s="37">
        <v>1</v>
      </c>
      <c r="R19" s="38" t="s">
        <v>127</v>
      </c>
      <c r="S19" s="38" t="s">
        <v>104</v>
      </c>
      <c r="T19" s="38" t="s">
        <v>139</v>
      </c>
      <c r="U19" s="38" t="s">
        <v>140</v>
      </c>
      <c r="V19" s="38" t="s">
        <v>80</v>
      </c>
      <c r="W19" s="38" t="s">
        <v>79</v>
      </c>
      <c r="X19" s="38" t="s">
        <v>79</v>
      </c>
      <c r="Y19" s="38" t="s">
        <v>102</v>
      </c>
      <c r="Z19" s="38" t="s">
        <v>79</v>
      </c>
      <c r="AA19" s="38" t="s">
        <v>79</v>
      </c>
      <c r="AB19" s="38" t="s">
        <v>79</v>
      </c>
      <c r="AC19" s="38" t="s">
        <v>79</v>
      </c>
      <c r="AD19" s="38" t="s">
        <v>79</v>
      </c>
      <c r="AE19" s="38" t="s">
        <v>79</v>
      </c>
      <c r="AF19" s="38" t="s">
        <v>84</v>
      </c>
      <c r="AG19" s="38" t="s">
        <v>85</v>
      </c>
      <c r="AH19" s="38" t="s">
        <v>79</v>
      </c>
      <c r="AI19" s="38" t="s">
        <v>79</v>
      </c>
      <c r="AJ19" s="38" t="s">
        <v>79</v>
      </c>
      <c r="AK19" s="38" t="s">
        <v>79</v>
      </c>
      <c r="AL19" s="38" t="s">
        <v>79</v>
      </c>
      <c r="AM19" t="str">
        <f>VLOOKUP($R19,武学奇术!$A:$ZZ,25,FALSE)</f>
        <v>拳甲</v>
      </c>
      <c r="AN19" s="24">
        <f>VLOOKUP($R19,武学奇术!$A:$ZZ,26,FALSE)</f>
        <v>2.4421</v>
      </c>
      <c r="AO19" s="25">
        <f>VLOOKUP($R19,武学奇术!$A:$ZZ,27,FALSE)*(1+IF(OR($AM19=$F$4,$AM19=$F$5),$B$22,0))</f>
        <v>1012.5</v>
      </c>
      <c r="AP19" s="24">
        <f>VLOOKUP($R19,武学奇术!$A:$ZZ,28,FALSE)</f>
        <v>3.6634</v>
      </c>
      <c r="AQ19" s="25">
        <f>VLOOKUP($R19,武学奇术!$A:$ZZ,29,FALSE)*(1+IF(OR($AM19=$F$4,$AM19=$F$5),$B$22,0))</f>
        <v>549</v>
      </c>
      <c r="AR19" s="24" cm="1">
        <f t="array" ref="AR19">$G$3+IFERROR(VLOOKUP($AM19,$F$4:$G$7,2,FALSE),0)+VLOOKUP($R19,武学奇术!$A:$ZZ,2,FALSE)+SUM(_xlfn.XLOOKUP($S19:$AL19,增益!$A:$A,增益!$B:$B,0))</f>
        <v>0.4941</v>
      </c>
      <c r="AS19" s="24" cm="1">
        <f t="array" ref="AS19">VLOOKUP($R19,武学奇术!$A:$ZZ,5,FALSE)+SUM(_xlfn.XLOOKUP($S19:$AL19,增益!$A:$A,增益!$E:$E,0))</f>
        <v>0</v>
      </c>
      <c r="AT19" cm="1">
        <f t="array" ref="AT19">$D$10*(1+$AS19)+VLOOKUP($R19,武学奇术!$A:$ZZ,3,FALSE)+SUM(_xlfn.XLOOKUP($S19:$AL19,增益!$A:$A,增益!$C:$C,0))-$I$2</f>
        <v>3839.102</v>
      </c>
      <c r="AU19" cm="1">
        <f t="array" ref="AU19">$E$10*(1+$AS19)+VLOOKUP($R19,武学奇术!$A:$ZZ,4,FALSE)+SUM(_xlfn.XLOOKUP($S19:$AL19,增益!$A:$A,增益!$D:$D,0))-$I$2</f>
        <v>3839.102</v>
      </c>
      <c r="AV19" s="30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0.342</v>
      </c>
      <c r="AW19" s="30" cm="1">
        <f t="array" ref="AW19">$G$10+VLOOKUP($R19,武学奇术!$A:$ZZ,7,FALSE)+SUM(_xlfn.XLOOKUP($S19:$AL19,增益!$A:$A,增益!$G:$G,0))</f>
        <v>0.09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0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0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0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0" cm="1">
        <f t="array" ref="BF19">$G$12+VLOOKUP($R19,武学奇术!$A:$ZZ,12,FALSE)+SUM(_xlfn.XLOOKUP($S19:$AL19,增益!$A:$A,增益!$L:$L,0))</f>
        <v>0</v>
      </c>
      <c r="BG19">
        <f t="shared" si="5"/>
        <v>0</v>
      </c>
      <c r="BH19">
        <f t="shared" si="6"/>
        <v>0</v>
      </c>
      <c r="BI19" s="30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-0.3</v>
      </c>
      <c r="BJ19" s="30" cm="1">
        <f t="array" ref="BJ19">$G$13+VLOOKUP($R19,武学奇术!$A:$ZZ,14,FALSE)+SUM(_xlfn.XLOOKUP($S19:$AL19,增益!$A:$A,增益!$N:$N,0))</f>
        <v>0</v>
      </c>
      <c r="BK19">
        <f t="shared" si="7"/>
        <v>605.472</v>
      </c>
      <c r="BL19">
        <f t="shared" si="8"/>
        <v>1725.468</v>
      </c>
      <c r="BM19" s="30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0</v>
      </c>
      <c r="BN19" s="30" cm="1">
        <f t="array" ref="BN19">$G$14+VLOOKUP($R19,武学奇术!$A:$ZZ,16,FALSE)+SUM(_xlfn.XLOOKUP($S19:$AL19,增益!$A:$A,增益!$P:$P,0))</f>
        <v>0.24</v>
      </c>
      <c r="BO19" s="24">
        <f>MIN(IF(VLOOKUP($R19,武学奇术!$A:$ZZ,23,FALSE)=1,100%,$B$8),100%)</f>
        <v>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+MIN(IF(VLOOKUP($R19,武学奇术!$A:$ZZ,32,FALSE)=1,IF(VLOOKUP($R19,武学奇术!$A:$ZZ,24,FALSE)=1,100%,MIN(40%,$B$10+VLOOKUP($R19,武学奇术!$A:$ZZ,19,FALSE)+SUM(_xlfn.XLOOKUP($S19:$AL19,增益!$A:$A,增益!$S:$S,0)))+$B$12+SUM(_xlfn.XLOOKUP($S19:$AL19,增益!$A:$A,增益!$V:$V,0))),0),12%)</f>
        <v>0.9036</v>
      </c>
      <c r="BQ19" s="24" cm="1">
        <f t="array" ref="BQ19">1+$B$13+VLOOKUP($R19,武学奇术!$A:$ZZ,18,FALSE)+SUM(_xlfn.XLOOKUP($S19:$AL19,增益!$A:$A,增益!$R:$R,0))</f>
        <v>1.83</v>
      </c>
      <c r="BR19" s="24" cm="1">
        <f t="array" ref="BR19">MAX(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-IF(VLOOKUP($R19,武学奇术!$A:$ZZ,32,FALSE)=1,12%,0),0)</f>
        <v>0.0929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0.9036</v>
      </c>
      <c r="BU19" s="24">
        <f t="shared" si="10"/>
        <v>0.00350000000000006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0.11</v>
      </c>
      <c r="BX19" s="24" cm="1">
        <f t="array" ref="BX19">SUM(_xlfn.XLOOKUP($S19:$AL19,增益!$A:$A,增益!$X:$X,0))</f>
        <v>0</v>
      </c>
    </row>
    <row r="20" spans="1:76">
      <c r="A20" s="40" t="s">
        <v>149</v>
      </c>
      <c r="B20" s="69">
        <f>期望!B20</f>
        <v>0</v>
      </c>
      <c r="C20" s="70" t="s">
        <v>150</v>
      </c>
      <c r="D20" s="80" t="s">
        <v>155</v>
      </c>
      <c r="K20">
        <f>$L20*VLOOKUP($R20,武学奇术!$A:$ZZ,31,FALSE)</f>
        <v>27814.726707948</v>
      </c>
      <c r="L20" s="36">
        <f t="shared" si="11"/>
        <v>27814.726707948</v>
      </c>
      <c r="M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BQ20*$Q20*(1+IF(VLOOKUP($R20,武学奇术!$A:$ZZ,30,FALSE)="蓄力技",$B$21,0))*(1+$BW20)</f>
        <v>27964.2380203067</v>
      </c>
      <c r="N20" s="36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蓄力技",$B$21,0))*(1+$BW20)</f>
        <v>26745.7990744025</v>
      </c>
      <c r="O20" s="36">
        <f>((($AT20+($AU20-$AT20)*IF(VLOOKUP($R20,武学奇术!$A:$ZZ,31,FALSE)=1,$F$18,0.5))*$AN20+$AO20)*(1+$AV20)*(1+$AW20)+(($AY20+($AZ20-$AY20)*IF(VLOOKUP($R20,武学奇术!$A:$ZZ,31,FALSE)=1,$F$18,0.5))*IF($G$1="鸣金",$AP20,$AN20)+IF($G$1="鸣金",$AQ20*1.5,0))*(1+$BA20)*(1+$BB20)+(($BC20+($BD20-$BC20)*IF(VLOOKUP($R20,武学奇术!$A:$ZZ,31,FALSE)=1,$F$18,0.5))*IF($G$1="裂石",$AP20,$AN20)+IF($G$1="裂石",$AQ20*1.5,0))*(1+$BE20)*(1+$BF20)+(($BG20+($BH20-$BG20)*IF(VLOOKUP($R20,武学奇术!$A:$ZZ,31,FALSE)=1,$F$18,0.5))*IF($G$1="牵丝",$AP20,$AN20)+IF($G$1="牵丝",$AQ20*1.5,0))*(1+$BI20)*(1+$BJ20)+(($BK20+($BL20-$BK20)*IF(VLOOKUP($R20,武学奇术!$A:$ZZ,31,FALSE)=1,$F$18,0.5))*IF($G$1="破竹",$AP20,$AN20)+IF($G$1="破竹",$AQ20*1.5,0))*(1+$BM20)*(1+$BN20))*(1+$AR20)*$Q20*(1+IF(VLOOKUP($R20,武学奇术!$A:$ZZ,30,FALSE)="蓄力技",$B$21,0))*(1+$BW20)</f>
        <v>17587.5710819539</v>
      </c>
      <c r="P20" s="36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蓄力技",$B$21,0))*(1+$BW20)</f>
        <v>15363.4391458319</v>
      </c>
      <c r="Q20" s="37">
        <v>1</v>
      </c>
      <c r="R20" s="38" t="s">
        <v>122</v>
      </c>
      <c r="S20" s="38" t="s">
        <v>104</v>
      </c>
      <c r="T20" s="38" t="s">
        <v>79</v>
      </c>
      <c r="U20" s="38" t="s">
        <v>140</v>
      </c>
      <c r="V20" s="38" t="s">
        <v>80</v>
      </c>
      <c r="W20" s="38" t="s">
        <v>79</v>
      </c>
      <c r="X20" s="38" t="s">
        <v>79</v>
      </c>
      <c r="Y20" s="38" t="s">
        <v>152</v>
      </c>
      <c r="Z20" s="38" t="s">
        <v>79</v>
      </c>
      <c r="AA20" s="38" t="s">
        <v>79</v>
      </c>
      <c r="AB20" s="38" t="s">
        <v>79</v>
      </c>
      <c r="AC20" s="38" t="s">
        <v>79</v>
      </c>
      <c r="AD20" s="38" t="s">
        <v>79</v>
      </c>
      <c r="AE20" s="38" t="s">
        <v>79</v>
      </c>
      <c r="AF20" s="38" t="s">
        <v>84</v>
      </c>
      <c r="AG20" s="38" t="s">
        <v>85</v>
      </c>
      <c r="AH20" s="38" t="s">
        <v>79</v>
      </c>
      <c r="AI20" s="38" t="s">
        <v>79</v>
      </c>
      <c r="AJ20" s="38" t="s">
        <v>79</v>
      </c>
      <c r="AK20" s="38" t="s">
        <v>79</v>
      </c>
      <c r="AL20" s="38" t="s">
        <v>79</v>
      </c>
      <c r="AM20" t="str">
        <f>VLOOKUP($R20,武学奇术!$A:$ZZ,25,FALSE)</f>
        <v>拳甲</v>
      </c>
      <c r="AN20" s="24">
        <f>VLOOKUP($R20,武学奇术!$A:$ZZ,26,FALSE)</f>
        <v>1.2876</v>
      </c>
      <c r="AO20" s="25">
        <f>VLOOKUP($R20,武学奇术!$A:$ZZ,27,FALSE)*(1+IF(OR($AM20=$F$4,$AM20=$F$5),$B$22,0))</f>
        <v>537</v>
      </c>
      <c r="AP20" s="24">
        <f>VLOOKUP($R20,武学奇术!$A:$ZZ,28,FALSE)</f>
        <v>1.9313</v>
      </c>
      <c r="AQ20" s="25">
        <f>VLOOKUP($R20,武学奇术!$A:$ZZ,29,FALSE)*(1+IF(OR($AM20=$F$4,$AM20=$F$5),$B$22,0))</f>
        <v>292.5</v>
      </c>
      <c r="AR20" s="24" cm="1">
        <f t="array" ref="AR20">$G$3+IFERROR(VLOOKUP($AM20,$F$4:$G$7,2,FALSE),0)+VLOOKUP($R20,武学奇术!$A:$ZZ,2,FALSE)+SUM(_xlfn.XLOOKUP($S20:$AL20,增益!$A:$A,增益!$B:$B,0))</f>
        <v>0.4941</v>
      </c>
      <c r="AS20" s="24" cm="1">
        <f t="array" ref="AS20">VLOOKUP($R20,武学奇术!$A:$ZZ,5,FALSE)+SUM(_xlfn.XLOOKUP($S20:$AL20,增益!$A:$A,增益!$E:$E,0))</f>
        <v>0</v>
      </c>
      <c r="AT20" cm="1">
        <f t="array" ref="AT20">$D$10*(1+$AS20)+VLOOKUP($R20,武学奇术!$A:$ZZ,3,FALSE)+SUM(_xlfn.XLOOKUP($S20:$AL20,增益!$A:$A,增益!$C:$C,0))-$I$2</f>
        <v>3839.102</v>
      </c>
      <c r="AU20" cm="1">
        <f t="array" ref="AU20">$E$10*(1+$AS20)+VLOOKUP($R20,武学奇术!$A:$ZZ,4,FALSE)+SUM(_xlfn.XLOOKUP($S20:$AL20,增益!$A:$A,增益!$D:$D,0))-$I$2</f>
        <v>3839.102</v>
      </c>
      <c r="AV20" s="30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0.217</v>
      </c>
      <c r="AW20" s="30" cm="1">
        <f t="array" ref="AW20">$G$10+VLOOKUP($R20,武学奇术!$A:$ZZ,7,FALSE)+SUM(_xlfn.XLOOKUP($S20:$AL20,增益!$A:$A,增益!$G:$G,0))</f>
        <v>0.09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0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0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0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0" cm="1">
        <f t="array" ref="BF20">$G$12+VLOOKUP($R20,武学奇术!$A:$ZZ,12,FALSE)+SUM(_xlfn.XLOOKUP($S20:$AL20,增益!$A:$A,增益!$L:$L,0))</f>
        <v>0</v>
      </c>
      <c r="BG20">
        <f t="shared" si="5"/>
        <v>0</v>
      </c>
      <c r="BH20">
        <f t="shared" si="6"/>
        <v>0</v>
      </c>
      <c r="BI20" s="30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-0.3</v>
      </c>
      <c r="BJ20" s="30" cm="1">
        <f t="array" ref="BJ20">$G$13+VLOOKUP($R20,武学奇术!$A:$ZZ,14,FALSE)+SUM(_xlfn.XLOOKUP($S20:$AL20,增益!$A:$A,增益!$N:$N,0))</f>
        <v>0</v>
      </c>
      <c r="BK20">
        <f t="shared" si="7"/>
        <v>605.472</v>
      </c>
      <c r="BL20">
        <f t="shared" si="8"/>
        <v>1725.468</v>
      </c>
      <c r="BM20" s="30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0</v>
      </c>
      <c r="BN20" s="30" cm="1">
        <f t="array" ref="BN20">$G$14+VLOOKUP($R20,武学奇术!$A:$ZZ,16,FALSE)+SUM(_xlfn.XLOOKUP($S20:$AL20,增益!$A:$A,增益!$P:$P,0))</f>
        <v>0.24</v>
      </c>
      <c r="BO20" s="24">
        <f>MIN(IF(VLOOKUP($R20,武学奇术!$A:$ZZ,23,FALSE)=1,100%,$B$8),100%)</f>
        <v>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+MIN(IF(VLOOKUP($R20,武学奇术!$A:$ZZ,32,FALSE)=1,IF(VLOOKUP($R20,武学奇术!$A:$ZZ,24,FALSE)=1,100%,MIN(40%,$B$10+VLOOKUP($R20,武学奇术!$A:$ZZ,19,FALSE)+SUM(_xlfn.XLOOKUP($S20:$AL20,增益!$A:$A,增益!$S:$S,0)))+$B$12+SUM(_xlfn.XLOOKUP($S20:$AL20,增益!$A:$A,增益!$V:$V,0))),0),12%)</f>
        <v>0.9036</v>
      </c>
      <c r="BQ20" s="24" cm="1">
        <f t="array" ref="BQ20">1+$B$13+VLOOKUP($R20,武学奇术!$A:$ZZ,18,FALSE)+SUM(_xlfn.XLOOKUP($S20:$AL20,增益!$A:$A,增益!$R:$R,0))</f>
        <v>1.59</v>
      </c>
      <c r="BR20" s="24" cm="1">
        <f t="array" ref="BR20">MAX(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-IF(VLOOKUP($R20,武学奇术!$A:$ZZ,32,FALSE)=1,12%,0),0)</f>
        <v>0.0929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0.9036</v>
      </c>
      <c r="BU20" s="24">
        <f t="shared" si="10"/>
        <v>0.00350000000000006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0.11</v>
      </c>
      <c r="BX20" s="24" cm="1">
        <f t="array" ref="BX20">SUM(_xlfn.XLOOKUP($S20:$AL20,增益!$A:$A,增益!$X:$X,0))</f>
        <v>0</v>
      </c>
    </row>
    <row r="21" ht="14.25" spans="1:76">
      <c r="A21" s="88" t="s">
        <v>153</v>
      </c>
      <c r="B21" s="89">
        <f>期望!B21</f>
        <v>0.32</v>
      </c>
      <c r="C21" s="70" t="s">
        <v>154</v>
      </c>
      <c r="D21" s="80" t="s">
        <v>155</v>
      </c>
      <c r="E21" s="70" t="s">
        <v>156</v>
      </c>
      <c r="F21" s="70"/>
      <c r="K21">
        <f>$L21*VLOOKUP($R21,武学奇术!$A:$ZZ,31,FALSE)</f>
        <v>94417.2113499757</v>
      </c>
      <c r="L21" s="36">
        <f t="shared" si="11"/>
        <v>72628.6241153659</v>
      </c>
      <c r="M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BQ21*$Q21*(1+IF(VLOOKUP($R21,武学奇术!$A:$ZZ,30,FALSE)="蓄力技",$B$21,0))*(1+$BW21)</f>
        <v>74007.8721441142</v>
      </c>
      <c r="N21" s="36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蓄力技",$B$21,0))*(1+$BW21)</f>
        <v>60474.2651330744</v>
      </c>
      <c r="O21" s="36">
        <f>((($AT21+($AU21-$AT21)*IF(VLOOKUP($R21,武学奇术!$A:$ZZ,31,FALSE)=1,$F$18,0.5))*$AN21+$AO21)*(1+$AV21)*(1+$AW21)+(($AY21+($AZ21-$AY21)*IF(VLOOKUP($R21,武学奇术!$A:$ZZ,31,FALSE)=1,$F$18,0.5))*IF($G$1="鸣金",$AP21,$AN21)+IF($G$1="鸣金",$AQ21*1.5,0))*(1+$BA21)*(1+$BB21)+(($BC21+($BD21-$BC21)*IF(VLOOKUP($R21,武学奇术!$A:$ZZ,31,FALSE)=1,$F$18,0.5))*IF($G$1="裂石",$AP21,$AN21)+IF($G$1="裂石",$AQ21*1.5,0))*(1+$BE21)*(1+$BF21)+(($BG21+($BH21-$BG21)*IF(VLOOKUP($R21,武学奇术!$A:$ZZ,31,FALSE)=1,$F$18,0.5))*IF($G$1="牵丝",$AP21,$AN21)+IF($G$1="牵丝",$AQ21*1.5,0))*(1+$BI21)*(1+$BJ21)+(($BK21+($BL21-$BK21)*IF(VLOOKUP($R21,武学奇术!$A:$ZZ,31,FALSE)=1,$F$18,0.5))*IF($G$1="破竹",$AP21,$AN21)+IF($G$1="破竹",$AQ21*1.5,0))*(1+$BM21)*(1+$BN21))*(1+$AR21)*$Q21*(1+IF(VLOOKUP($R21,武学奇术!$A:$ZZ,30,FALSE)="蓄力技",$B$21,0))*(1+$BW21)</f>
        <v>39157.6043090551</v>
      </c>
      <c r="P21" s="36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蓄力技",$B$21,0))*(1+$BW21)</f>
        <v>33519.4566676848</v>
      </c>
      <c r="Q21" s="37">
        <v>1</v>
      </c>
      <c r="R21" s="38" t="s">
        <v>124</v>
      </c>
      <c r="S21" s="38" t="s">
        <v>104</v>
      </c>
      <c r="T21" s="38" t="s">
        <v>79</v>
      </c>
      <c r="U21" s="38" t="s">
        <v>140</v>
      </c>
      <c r="V21" s="38" t="s">
        <v>80</v>
      </c>
      <c r="W21" s="38" t="s">
        <v>79</v>
      </c>
      <c r="X21" s="38" t="s">
        <v>79</v>
      </c>
      <c r="Y21" s="38" t="s">
        <v>152</v>
      </c>
      <c r="Z21" s="38" t="s">
        <v>79</v>
      </c>
      <c r="AA21" s="38" t="s">
        <v>112</v>
      </c>
      <c r="AB21" s="38" t="s">
        <v>79</v>
      </c>
      <c r="AC21" s="38" t="s">
        <v>79</v>
      </c>
      <c r="AD21" s="38" t="s">
        <v>79</v>
      </c>
      <c r="AE21" s="38" t="s">
        <v>79</v>
      </c>
      <c r="AF21" s="38" t="s">
        <v>84</v>
      </c>
      <c r="AG21" s="38" t="s">
        <v>85</v>
      </c>
      <c r="AH21" s="38" t="s">
        <v>79</v>
      </c>
      <c r="AI21" s="38" t="s">
        <v>79</v>
      </c>
      <c r="AJ21" s="38" t="s">
        <v>79</v>
      </c>
      <c r="AK21" s="38" t="s">
        <v>79</v>
      </c>
      <c r="AL21" s="38" t="s">
        <v>79</v>
      </c>
      <c r="AM21" t="str">
        <f>VLOOKUP($R21,武学奇术!$A:$ZZ,25,FALSE)</f>
        <v>拳甲</v>
      </c>
      <c r="AN21" s="24">
        <f>VLOOKUP($R21,武学奇术!$A:$ZZ,26,FALSE)</f>
        <v>2.638944</v>
      </c>
      <c r="AO21" s="25">
        <f>VLOOKUP($R21,武学奇术!$A:$ZZ,27,FALSE)*(1+IF(OR($AM21=$F$4,$AM21=$F$5),$B$22,0))</f>
        <v>0</v>
      </c>
      <c r="AP21" s="24">
        <f>VLOOKUP($R21,武学奇术!$A:$ZZ,28,FALSE)</f>
        <v>3.958416</v>
      </c>
      <c r="AQ21" s="25">
        <f>VLOOKUP($R21,武学奇术!$A:$ZZ,29,FALSE)*(1+IF(OR($AM21=$F$4,$AM21=$F$5),$B$22,0))</f>
        <v>0</v>
      </c>
      <c r="AR21" s="24" cm="1">
        <f t="array" ref="AR21">$G$3+IFERROR(VLOOKUP($AM21,$F$4:$G$7,2,FALSE),0)+VLOOKUP($R21,武学奇术!$A:$ZZ,2,FALSE)+SUM(_xlfn.XLOOKUP($S21:$AL21,增益!$A:$A,增益!$B:$B,0))</f>
        <v>0.7941</v>
      </c>
      <c r="AS21" s="24" cm="1">
        <f t="array" ref="AS21">VLOOKUP($R21,武学奇术!$A:$ZZ,5,FALSE)+SUM(_xlfn.XLOOKUP($S21:$AL21,增益!$A:$A,增益!$E:$E,0))</f>
        <v>0</v>
      </c>
      <c r="AT21" cm="1">
        <f t="array" ref="AT21">$D$10*(1+$AS21)+VLOOKUP($R21,武学奇术!$A:$ZZ,3,FALSE)+SUM(_xlfn.XLOOKUP($S21:$AL21,增益!$A:$A,增益!$C:$C,0))-$I$2</f>
        <v>3839.102</v>
      </c>
      <c r="AU21" cm="1">
        <f t="array" ref="AU21">$E$10*(1+$AS21)+VLOOKUP($R21,武学奇术!$A:$ZZ,4,FALSE)+SUM(_xlfn.XLOOKUP($S21:$AL21,增益!$A:$A,增益!$D:$D,0))-$I$2</f>
        <v>3839.102</v>
      </c>
      <c r="AV21" s="30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0.247</v>
      </c>
      <c r="AW21" s="30" cm="1">
        <f t="array" ref="AW21">$G$10+VLOOKUP($R21,武学奇术!$A:$ZZ,7,FALSE)+SUM(_xlfn.XLOOKUP($S21:$AL21,增益!$A:$A,增益!$G:$G,0))</f>
        <v>0.09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0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-0.24</v>
      </c>
      <c r="BB21" s="30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0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-0.24</v>
      </c>
      <c r="BF21" s="30" cm="1">
        <f t="array" ref="BF21">$G$12+VLOOKUP($R21,武学奇术!$A:$ZZ,12,FALSE)+SUM(_xlfn.XLOOKUP($S21:$AL21,增益!$A:$A,增益!$L:$L,0))</f>
        <v>0</v>
      </c>
      <c r="BG21">
        <f t="shared" si="5"/>
        <v>0</v>
      </c>
      <c r="BH21">
        <f t="shared" si="6"/>
        <v>0</v>
      </c>
      <c r="BI21" s="30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-0.24</v>
      </c>
      <c r="BJ21" s="30" cm="1">
        <f t="array" ref="BJ21">$G$13+VLOOKUP($R21,武学奇术!$A:$ZZ,14,FALSE)+SUM(_xlfn.XLOOKUP($S21:$AL21,增益!$A:$A,增益!$N:$N,0))</f>
        <v>0</v>
      </c>
      <c r="BK21">
        <f t="shared" si="7"/>
        <v>605.472</v>
      </c>
      <c r="BL21">
        <f t="shared" si="8"/>
        <v>1725.468</v>
      </c>
      <c r="BM21" s="30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0.03</v>
      </c>
      <c r="BN21" s="30" cm="1">
        <f t="array" ref="BN21">$G$14+VLOOKUP($R21,武学奇术!$A:$ZZ,16,FALSE)+SUM(_xlfn.XLOOKUP($S21:$AL21,增益!$A:$A,增益!$P:$P,0))</f>
        <v>0.24</v>
      </c>
      <c r="BO21" s="24">
        <f>MIN(IF(VLOOKUP($R21,武学奇术!$A:$ZZ,23,FALSE)=1,100%,$B$8),100%)</f>
        <v>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+MIN(IF(VLOOKUP($R21,武学奇术!$A:$ZZ,32,FALSE)=1,IF(VLOOKUP($R21,武学奇术!$A:$ZZ,24,FALSE)=1,100%,MIN(40%,$B$10+VLOOKUP($R21,武学奇术!$A:$ZZ,19,FALSE)+SUM(_xlfn.XLOOKUP($S21:$AL21,增益!$A:$A,增益!$S:$S,0)))+$B$12+SUM(_xlfn.XLOOKUP($S21:$AL21,增益!$A:$A,增益!$V:$V,0))),0),12%)</f>
        <v>0.9036</v>
      </c>
      <c r="BQ21" s="24" cm="1">
        <f t="array" ref="BQ21">1+$B$13+VLOOKUP($R21,武学奇术!$A:$ZZ,18,FALSE)+SUM(_xlfn.XLOOKUP($S21:$AL21,增益!$A:$A,增益!$R:$R,0))</f>
        <v>1.89</v>
      </c>
      <c r="BR21" s="24" cm="1">
        <f t="array" ref="BR21">MAX(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-IF(VLOOKUP($R21,武学奇术!$A:$ZZ,32,FALSE)=1,12%,0),0)</f>
        <v>0.0929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0.9036</v>
      </c>
      <c r="BU21" s="24">
        <f t="shared" si="10"/>
        <v>0.00350000000000006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0.11</v>
      </c>
      <c r="BX21" s="24" cm="1">
        <f t="array" ref="BX21">SUM(_xlfn.XLOOKUP($S21:$AL21,增益!$A:$A,增益!$X:$X,0))</f>
        <v>0</v>
      </c>
    </row>
    <row r="22" spans="1:76">
      <c r="A22" t="s">
        <v>157</v>
      </c>
      <c r="B22" s="26">
        <f>期望!B22</f>
        <v>0.5</v>
      </c>
      <c r="C22" s="70" t="s">
        <v>158</v>
      </c>
      <c r="D22" s="80" t="s">
        <v>155</v>
      </c>
      <c r="E22" s="70" t="str">
        <f>期望!E22</f>
        <v>断石之构</v>
      </c>
      <c r="F22" s="70"/>
      <c r="K22">
        <f>$L22*VLOOKUP($R22,武学奇术!$A:$ZZ,31,FALSE)</f>
        <v>21173.3195216699</v>
      </c>
      <c r="L22" s="36">
        <f t="shared" si="11"/>
        <v>21173.3195216699</v>
      </c>
      <c r="M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BQ22*$Q22*(1+IF(VLOOKUP($R22,武学奇术!$A:$ZZ,30,FALSE)="蓄力技",$B$21,0))*(1+$BW22)</f>
        <v>21299.1598515239</v>
      </c>
      <c r="N22" s="36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蓄力技",$B$21,0))*(1+$BW22)</f>
        <v>20245.4980372205</v>
      </c>
      <c r="O22" s="36">
        <f>((($AT22+($AU22-$AT22)*IF(VLOOKUP($R22,武学奇术!$A:$ZZ,31,FALSE)=1,$F$18,0.5))*$AN22+$AO22)*(1+$AV22)*(1+$AW22)+(($AY22+($AZ22-$AY22)*IF(VLOOKUP($R22,武学奇术!$A:$ZZ,31,FALSE)=1,$F$18,0.5))*IF($G$1="鸣金",$AP22,$AN22)+IF($G$1="鸣金",$AQ22*1.5,0))*(1+$BA22)*(1+$BB22)+(($BC22+($BD22-$BC22)*IF(VLOOKUP($R22,武学奇术!$A:$ZZ,31,FALSE)=1,$F$18,0.5))*IF($G$1="裂石",$AP22,$AN22)+IF($G$1="裂石",$AQ22*1.5,0))*(1+$BE22)*(1+$BF22)+(($BG22+($BH22-$BG22)*IF(VLOOKUP($R22,武学奇术!$A:$ZZ,31,FALSE)=1,$F$18,0.5))*IF($G$1="牵丝",$AP22,$AN22)+IF($G$1="牵丝",$AQ22*1.5,0))*(1+$BI22)*(1+$BJ22)+(($BK22+($BL22-$BK22)*IF(VLOOKUP($R22,武学奇术!$A:$ZZ,31,FALSE)=1,$F$18,0.5))*IF($G$1="破竹",$AP22,$AN22)+IF($G$1="破竹",$AQ22*1.5,0))*(1+$BM22)*(1+$BN22))*(1+$AR22)*$Q22*(1+IF(VLOOKUP($R22,武学奇术!$A:$ZZ,30,FALSE)="蓄力技",$B$21,0))*(1+$BW22)</f>
        <v>13311.9749072024</v>
      </c>
      <c r="P22" s="36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蓄力技",$B$21,0))*(1+$BW22)</f>
        <v>11627.2846016489</v>
      </c>
      <c r="Q22" s="37">
        <v>1</v>
      </c>
      <c r="R22" s="38" t="s">
        <v>160</v>
      </c>
      <c r="S22" s="38" t="s">
        <v>104</v>
      </c>
      <c r="T22" s="38" t="s">
        <v>79</v>
      </c>
      <c r="U22" s="38" t="s">
        <v>79</v>
      </c>
      <c r="V22" s="38" t="s">
        <v>79</v>
      </c>
      <c r="W22" s="38" t="s">
        <v>79</v>
      </c>
      <c r="X22" s="38" t="s">
        <v>79</v>
      </c>
      <c r="Y22" s="38" t="s">
        <v>161</v>
      </c>
      <c r="Z22" s="38" t="s">
        <v>79</v>
      </c>
      <c r="AA22" s="38" t="s">
        <v>79</v>
      </c>
      <c r="AB22" s="38" t="s">
        <v>79</v>
      </c>
      <c r="AC22" s="38" t="s">
        <v>79</v>
      </c>
      <c r="AD22" s="38" t="s">
        <v>79</v>
      </c>
      <c r="AE22" s="38" t="s">
        <v>79</v>
      </c>
      <c r="AF22" s="38" t="s">
        <v>84</v>
      </c>
      <c r="AG22" s="38" t="s">
        <v>85</v>
      </c>
      <c r="AH22" s="38" t="s">
        <v>79</v>
      </c>
      <c r="AI22" s="38" t="s">
        <v>79</v>
      </c>
      <c r="AJ22" s="38" t="s">
        <v>79</v>
      </c>
      <c r="AK22" s="38" t="s">
        <v>79</v>
      </c>
      <c r="AL22" s="38" t="s">
        <v>79</v>
      </c>
      <c r="AM22" t="str">
        <f>VLOOKUP($R22,武学奇术!$A:$ZZ,25,FALSE)</f>
        <v>拳甲</v>
      </c>
      <c r="AN22" s="24">
        <f>VLOOKUP($R22,武学奇术!$A:$ZZ,26,FALSE)</f>
        <v>1.1005</v>
      </c>
      <c r="AO22" s="25">
        <f>VLOOKUP($R22,武学奇术!$A:$ZZ,27,FALSE)*(1+IF(OR($AM22=$F$4,$AM22=$F$5),$B$22,0))</f>
        <v>457.5</v>
      </c>
      <c r="AP22" s="24">
        <f>VLOOKUP($R22,武学奇术!$A:$ZZ,28,FALSE)</f>
        <v>1.6507</v>
      </c>
      <c r="AQ22" s="25">
        <f>VLOOKUP($R22,武学奇术!$A:$ZZ,29,FALSE)*(1+IF(OR($AM22=$F$4,$AM22=$F$5),$B$22,0))</f>
        <v>247.5</v>
      </c>
      <c r="AR22" s="24" cm="1">
        <f t="array" ref="AR22">$G$3+IFERROR(VLOOKUP($AM22,$F$4:$G$7,2,FALSE),0)+VLOOKUP($R22,武学奇术!$A:$ZZ,2,FALSE)+SUM(_xlfn.XLOOKUP($S22:$AL22,增益!$A:$A,增益!$B:$B,0))</f>
        <v>0.3241</v>
      </c>
      <c r="AS22" s="24" cm="1">
        <f t="array" ref="AS22">VLOOKUP($R22,武学奇术!$A:$ZZ,5,FALSE)+SUM(_xlfn.XLOOKUP($S22:$AL22,增益!$A:$A,增益!$E:$E,0))</f>
        <v>0</v>
      </c>
      <c r="AT22" cm="1">
        <f t="array" ref="AT22">$D$10*(1+$AS22)+VLOOKUP($R22,武学奇术!$A:$ZZ,3,FALSE)+SUM(_xlfn.XLOOKUP($S22:$AL22,增益!$A:$A,增益!$C:$C,0))-$I$2</f>
        <v>3839.102</v>
      </c>
      <c r="AU22" cm="1">
        <f t="array" ref="AU22">$E$10*(1+$AS22)+VLOOKUP($R22,武学奇术!$A:$ZZ,4,FALSE)+SUM(_xlfn.XLOOKUP($S22:$AL22,增益!$A:$A,增益!$D:$D,0))-$I$2</f>
        <v>3839.102</v>
      </c>
      <c r="AV22" s="30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0.217</v>
      </c>
      <c r="AW22" s="30" cm="1">
        <f t="array" ref="AW22">$G$10+VLOOKUP($R22,武学奇术!$A:$ZZ,7,FALSE)+SUM(_xlfn.XLOOKUP($S22:$AL22,增益!$A:$A,增益!$G:$G,0))</f>
        <v>0.09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0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0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0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0" cm="1">
        <f t="array" ref="BF22">$G$12+VLOOKUP($R22,武学奇术!$A:$ZZ,12,FALSE)+SUM(_xlfn.XLOOKUP($S22:$AL22,增益!$A:$A,增益!$L:$L,0))</f>
        <v>0</v>
      </c>
      <c r="BG22">
        <f t="shared" si="5"/>
        <v>0</v>
      </c>
      <c r="BH22">
        <f t="shared" si="6"/>
        <v>0</v>
      </c>
      <c r="BI22" s="30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-0.3</v>
      </c>
      <c r="BJ22" s="30" cm="1">
        <f t="array" ref="BJ22">$G$13+VLOOKUP($R22,武学奇术!$A:$ZZ,14,FALSE)+SUM(_xlfn.XLOOKUP($S22:$AL22,增益!$A:$A,增益!$N:$N,0))</f>
        <v>0</v>
      </c>
      <c r="BK22">
        <f t="shared" si="7"/>
        <v>605.472</v>
      </c>
      <c r="BL22">
        <f t="shared" si="8"/>
        <v>1725.468</v>
      </c>
      <c r="BM22" s="30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0</v>
      </c>
      <c r="BN22" s="30" cm="1">
        <f t="array" ref="BN22">$G$14+VLOOKUP($R22,武学奇术!$A:$ZZ,16,FALSE)+SUM(_xlfn.XLOOKUP($S22:$AL22,增益!$A:$A,增益!$P:$P,0))</f>
        <v>0.24</v>
      </c>
      <c r="BO22" s="24">
        <f>MIN(IF(VLOOKUP($R22,武学奇术!$A:$ZZ,23,FALSE)=1,100%,$B$8),100%)</f>
        <v>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+MIN(IF(VLOOKUP($R22,武学奇术!$A:$ZZ,32,FALSE)=1,IF(VLOOKUP($R22,武学奇术!$A:$ZZ,24,FALSE)=1,100%,MIN(40%,$B$10+VLOOKUP($R22,武学奇术!$A:$ZZ,19,FALSE)+SUM(_xlfn.XLOOKUP($S22:$AL22,增益!$A:$A,增益!$S:$S,0)))+$B$12+SUM(_xlfn.XLOOKUP($S22:$AL22,增益!$A:$A,增益!$V:$V,0))),0),12%)</f>
        <v>0.9036</v>
      </c>
      <c r="BQ22" s="24" cm="1">
        <f t="array" ref="BQ22">1+$B$13+VLOOKUP($R22,武学奇术!$A:$ZZ,18,FALSE)+SUM(_xlfn.XLOOKUP($S22:$AL22,增益!$A:$A,增益!$R:$R,0))</f>
        <v>1.6</v>
      </c>
      <c r="BR22" s="24" cm="1">
        <f t="array" ref="BR22">MAX(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-IF(VLOOKUP($R22,武学奇术!$A:$ZZ,32,FALSE)=1,12%,0),0)</f>
        <v>0.0929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0.9036</v>
      </c>
      <c r="BU22" s="24">
        <f t="shared" si="10"/>
        <v>0.00350000000000006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0.11</v>
      </c>
      <c r="BX22" s="24" cm="1">
        <f t="array" ref="BX22">SUM(_xlfn.XLOOKUP($S22:$AL22,增益!$A:$A,增益!$X:$X,0))</f>
        <v>0</v>
      </c>
    </row>
    <row r="23" spans="1:76">
      <c r="A23" t="s">
        <v>162</v>
      </c>
      <c r="B23" s="90">
        <f>期望!B23</f>
        <v>200</v>
      </c>
      <c r="E23" s="70" t="s">
        <v>163</v>
      </c>
      <c r="F23" s="70"/>
      <c r="K23">
        <f>$L23*VLOOKUP($R23,武学奇术!$A:$ZZ,31,FALSE)</f>
        <v>104141.732892581</v>
      </c>
      <c r="L23" s="36">
        <f t="shared" si="11"/>
        <v>80109.0253019854</v>
      </c>
      <c r="M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BQ23*$Q23*(1+IF(VLOOKUP($R23,武学奇术!$A:$ZZ,30,FALSE)="蓄力技",$B$21,0))*(1+$BW23)</f>
        <v>81814.4193337639</v>
      </c>
      <c r="N23" s="36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蓄力技",$B$21,0))*(1+$BW23)</f>
        <v>64917.1713621041</v>
      </c>
      <c r="O23" s="36">
        <f>((($AT23+($AU23-$AT23)*IF(VLOOKUP($R23,武学奇术!$A:$ZZ,31,FALSE)=1,$F$18,0.5))*$AN23+$AO23)*(1+$AV23)*(1+$AW23)+(($AY23+($AZ23-$AY23)*IF(VLOOKUP($R23,武学奇术!$A:$ZZ,31,FALSE)=1,$F$18,0.5))*IF($G$1="鸣金",$AP23,$AN23)+IF($G$1="鸣金",$AQ23*1.5,0))*(1+$BA23)*(1+$BB23)+(($BC23+($BD23-$BC23)*IF(VLOOKUP($R23,武学奇术!$A:$ZZ,31,FALSE)=1,$F$18,0.5))*IF($G$1="裂石",$AP23,$AN23)+IF($G$1="裂石",$AQ23*1.5,0))*(1+$BE23)*(1+$BF23)+(($BG23+($BH23-$BG23)*IF(VLOOKUP($R23,武学奇术!$A:$ZZ,31,FALSE)=1,$F$18,0.5))*IF($G$1="牵丝",$AP23,$AN23)+IF($G$1="牵丝",$AQ23*1.5,0))*(1+$BI23)*(1+$BJ23)+(($BK23+($BL23-$BK23)*IF(VLOOKUP($R23,武学奇术!$A:$ZZ,31,FALSE)=1,$F$18,0.5))*IF($G$1="破竹",$AP23,$AN23)+IF($G$1="破竹",$AQ23*1.5,0))*(1+$BM23)*(1+$BN23))*(1+$AR23)*$Q23*(1+IF(VLOOKUP($R23,武学奇术!$A:$ZZ,30,FALSE)="蓄力技",$B$21,0))*(1+$BW23)</f>
        <v>43060.220701981</v>
      </c>
      <c r="P23" s="36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蓄力技",$B$21,0))*(1+$BW23)</f>
        <v>38033.6478024034</v>
      </c>
      <c r="Q23" s="37">
        <v>1</v>
      </c>
      <c r="R23" s="38" t="s">
        <v>119</v>
      </c>
      <c r="S23" s="38" t="s">
        <v>104</v>
      </c>
      <c r="T23" s="38" t="s">
        <v>79</v>
      </c>
      <c r="U23" s="38" t="s">
        <v>79</v>
      </c>
      <c r="V23" s="38" t="s">
        <v>79</v>
      </c>
      <c r="W23" s="38" t="s">
        <v>79</v>
      </c>
      <c r="X23" s="38" t="s">
        <v>79</v>
      </c>
      <c r="Y23" s="38" t="s">
        <v>161</v>
      </c>
      <c r="Z23" s="38" t="s">
        <v>79</v>
      </c>
      <c r="AA23" s="38" t="s">
        <v>112</v>
      </c>
      <c r="AB23" s="38" t="s">
        <v>79</v>
      </c>
      <c r="AC23" s="38" t="s">
        <v>79</v>
      </c>
      <c r="AD23" s="38" t="s">
        <v>79</v>
      </c>
      <c r="AE23" s="38" t="s">
        <v>79</v>
      </c>
      <c r="AF23" s="38" t="s">
        <v>84</v>
      </c>
      <c r="AG23" s="38" t="s">
        <v>85</v>
      </c>
      <c r="AH23" s="38" t="s">
        <v>79</v>
      </c>
      <c r="AI23" s="38" t="s">
        <v>79</v>
      </c>
      <c r="AJ23" s="38" t="s">
        <v>79</v>
      </c>
      <c r="AK23" s="38" t="s">
        <v>79</v>
      </c>
      <c r="AL23" s="38" t="s">
        <v>79</v>
      </c>
      <c r="AM23" t="str">
        <f>VLOOKUP($R23,武学奇术!$A:$ZZ,25,FALSE)</f>
        <v>拳甲</v>
      </c>
      <c r="AN23" s="24">
        <f>VLOOKUP($R23,武学奇术!$A:$ZZ,26,FALSE)</f>
        <v>2.91176</v>
      </c>
      <c r="AO23" s="25">
        <f>VLOOKUP($R23,武学奇术!$A:$ZZ,27,FALSE)*(1+IF(OR($AM23=$F$4,$AM23=$F$5),$B$22,0))</f>
        <v>1208.7</v>
      </c>
      <c r="AP23" s="24">
        <f>VLOOKUP($R23,武学奇术!$A:$ZZ,28,FALSE)</f>
        <v>3.89844</v>
      </c>
      <c r="AQ23" s="25">
        <f>VLOOKUP($R23,武学奇术!$A:$ZZ,29,FALSE)*(1+IF(OR($AM23=$F$4,$AM23=$F$5),$B$22,0))</f>
        <v>650.25</v>
      </c>
      <c r="AR23" s="24" cm="1">
        <f t="array" ref="AR23">$G$3+IFERROR(VLOOKUP($AM23,$F$4:$G$7,2,FALSE),0)+VLOOKUP($R23,武学奇术!$A:$ZZ,2,FALSE)+SUM(_xlfn.XLOOKUP($S23:$AL23,增益!$A:$A,增益!$B:$B,0))</f>
        <v>0.6241</v>
      </c>
      <c r="AS23" s="24" cm="1">
        <f t="array" ref="AS23">VLOOKUP($R23,武学奇术!$A:$ZZ,5,FALSE)+SUM(_xlfn.XLOOKUP($S23:$AL23,增益!$A:$A,增益!$E:$E,0))</f>
        <v>0</v>
      </c>
      <c r="AT23" cm="1">
        <f t="array" ref="AT23">$D$10*(1+$AS23)+VLOOKUP($R23,武学奇术!$A:$ZZ,3,FALSE)+SUM(_xlfn.XLOOKUP($S23:$AL23,增益!$A:$A,增益!$C:$C,0))-$I$2</f>
        <v>3839.102</v>
      </c>
      <c r="AU23" cm="1">
        <f t="array" ref="AU23">$E$10*(1+$AS23)+VLOOKUP($R23,武学奇术!$A:$ZZ,4,FALSE)+SUM(_xlfn.XLOOKUP($S23:$AL23,增益!$A:$A,增益!$D:$D,0))-$I$2</f>
        <v>3839.102</v>
      </c>
      <c r="AV23" s="30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0.247</v>
      </c>
      <c r="AW23" s="30" cm="1">
        <f t="array" ref="AW23">$G$10+VLOOKUP($R23,武学奇术!$A:$ZZ,7,FALSE)+SUM(_xlfn.XLOOKUP($S23:$AL23,增益!$A:$A,增益!$G:$G,0))</f>
        <v>0.09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0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-0.24</v>
      </c>
      <c r="BB23" s="30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0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-0.24</v>
      </c>
      <c r="BF23" s="30" cm="1">
        <f t="array" ref="BF23">$G$12+VLOOKUP($R23,武学奇术!$A:$ZZ,12,FALSE)+SUM(_xlfn.XLOOKUP($S23:$AL23,增益!$A:$A,增益!$L:$L,0))</f>
        <v>0</v>
      </c>
      <c r="BG23">
        <f t="shared" si="5"/>
        <v>0</v>
      </c>
      <c r="BH23">
        <f t="shared" si="6"/>
        <v>0</v>
      </c>
      <c r="BI23" s="30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-0.24</v>
      </c>
      <c r="BJ23" s="30" cm="1">
        <f t="array" ref="BJ23">$G$13+VLOOKUP($R23,武学奇术!$A:$ZZ,14,FALSE)+SUM(_xlfn.XLOOKUP($S23:$AL23,增益!$A:$A,增益!$N:$N,0))</f>
        <v>0</v>
      </c>
      <c r="BK23">
        <f t="shared" si="7"/>
        <v>605.472</v>
      </c>
      <c r="BL23">
        <f t="shared" si="8"/>
        <v>1725.468</v>
      </c>
      <c r="BM23" s="30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0.03</v>
      </c>
      <c r="BN23" s="30" cm="1">
        <f t="array" ref="BN23">$G$14+VLOOKUP($R23,武学奇术!$A:$ZZ,16,FALSE)+SUM(_xlfn.XLOOKUP($S23:$AL23,增益!$A:$A,增益!$P:$P,0))</f>
        <v>0.24</v>
      </c>
      <c r="BO23" s="24">
        <f>MIN(IF(VLOOKUP($R23,武学奇术!$A:$ZZ,23,FALSE)=1,100%,$B$8),100%)</f>
        <v>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+MIN(IF(VLOOKUP($R23,武学奇术!$A:$ZZ,32,FALSE)=1,IF(VLOOKUP($R23,武学奇术!$A:$ZZ,24,FALSE)=1,100%,MIN(40%,$B$10+VLOOKUP($R23,武学奇术!$A:$ZZ,19,FALSE)+SUM(_xlfn.XLOOKUP($S23:$AL23,增益!$A:$A,增益!$S:$S,0)))+$B$12+SUM(_xlfn.XLOOKUP($S23:$AL23,增益!$A:$A,增益!$V:$V,0))),0),12%)</f>
        <v>0.9036</v>
      </c>
      <c r="BQ23" s="24" cm="1">
        <f t="array" ref="BQ23">1+$B$13+VLOOKUP($R23,武学奇术!$A:$ZZ,18,FALSE)+SUM(_xlfn.XLOOKUP($S23:$AL23,增益!$A:$A,增益!$R:$R,0))</f>
        <v>1.9</v>
      </c>
      <c r="BR23" s="24" cm="1">
        <f t="array" ref="BR23">MAX(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-IF(VLOOKUP($R23,武学奇术!$A:$ZZ,32,FALSE)=1,12%,0),0)</f>
        <v>0.0929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0.9036</v>
      </c>
      <c r="BU23" s="24">
        <f t="shared" si="10"/>
        <v>0.00350000000000006</v>
      </c>
      <c r="BV23" s="24">
        <f>IF(VLOOKUP($R23,武学奇术!$A:$ZZ,22,FALSE)=1,0,(1-$BO23))*(1-$BR23)</f>
        <v>0</v>
      </c>
      <c r="BW23" s="24" cm="1">
        <f t="array" ref="BW23">SUM(_xlfn.XLOOKUP($S23:$AL23,增益!$A:$A,增益!$W:$W,0))+$I$5</f>
        <v>0.11</v>
      </c>
      <c r="BX23" s="24" cm="1">
        <f t="array" ref="BX23">SUM(_xlfn.XLOOKUP($S23:$AL23,增益!$A:$A,增益!$X:$X,0))</f>
        <v>0</v>
      </c>
    </row>
    <row r="24" spans="1:76">
      <c r="B24" s="90">
        <f>期望!B24</f>
        <v>400</v>
      </c>
      <c r="E24" s="37" t="str">
        <f>期望!E24</f>
        <v>易水歌</v>
      </c>
      <c r="F24" s="37"/>
      <c r="K24">
        <f>$L24*VLOOKUP($R24,武学奇术!$A:$ZZ,31,FALSE)</f>
        <v>24790.7819537673</v>
      </c>
      <c r="L24" s="36">
        <f t="shared" si="11"/>
        <v>24790.7819537673</v>
      </c>
      <c r="M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BQ24*$Q24*(1+IF(VLOOKUP($R24,武学奇术!$A:$ZZ,30,FALSE)="蓄力技",$B$21,0))*(1+$BW24)</f>
        <v>24938.3070687265</v>
      </c>
      <c r="N24" s="36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蓄力技",$B$21,0))*(1+$BW24)</f>
        <v>23702.6387486891</v>
      </c>
      <c r="O24" s="36">
        <f>((($AT24+($AU24-$AT24)*IF(VLOOKUP($R24,武学奇术!$A:$ZZ,31,FALSE)=1,$F$18,0.5))*$AN24+$AO24)*(1+$AV24)*(1+$AW24)+(($AY24+($AZ24-$AY24)*IF(VLOOKUP($R24,武学奇术!$A:$ZZ,31,FALSE)=1,$F$18,0.5))*IF($G$1="鸣金",$AP24,$AN24)+IF($G$1="鸣金",$AQ24*1.5,0))*(1+$BA24)*(1+$BB24)+(($BC24+($BD24-$BC24)*IF(VLOOKUP($R24,武学奇术!$A:$ZZ,31,FALSE)=1,$F$18,0.5))*IF($G$1="裂石",$AP24,$AN24)+IF($G$1="裂石",$AQ24*1.5,0))*(1+$BE24)*(1+$BF24)+(($BG24+($BH24-$BG24)*IF(VLOOKUP($R24,武学奇术!$A:$ZZ,31,FALSE)=1,$F$18,0.5))*IF($G$1="牵丝",$AP24,$AN24)+IF($G$1="牵丝",$AQ24*1.5,0))*(1+$BI24)*(1+$BJ24)+(($BK24+($BL24-$BK24)*IF(VLOOKUP($R24,武学奇术!$A:$ZZ,31,FALSE)=1,$F$18,0.5))*IF($G$1="破竹",$AP24,$AN24)+IF($G$1="破竹",$AQ24*1.5,0))*(1+$BM24)*(1+$BN24))*(1+$AR24)*$Q24*(1+IF(VLOOKUP($R24,武学奇术!$A:$ZZ,30,FALSE)="蓄力技",$B$21,0))*(1+$BW24)</f>
        <v>15586.4419179541</v>
      </c>
      <c r="P24" s="36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蓄力技",$B$21,0))*(1+$BW24)</f>
        <v>13615.373651694</v>
      </c>
      <c r="Q24" s="37">
        <v>1</v>
      </c>
      <c r="R24" s="38" t="s">
        <v>122</v>
      </c>
      <c r="S24" s="38" t="s">
        <v>104</v>
      </c>
      <c r="T24" s="38" t="s">
        <v>79</v>
      </c>
      <c r="U24" s="38" t="s">
        <v>79</v>
      </c>
      <c r="V24" s="38" t="s">
        <v>79</v>
      </c>
      <c r="W24" s="38" t="s">
        <v>79</v>
      </c>
      <c r="X24" s="38" t="s">
        <v>79</v>
      </c>
      <c r="Y24" s="38" t="s">
        <v>161</v>
      </c>
      <c r="Z24" s="38" t="s">
        <v>79</v>
      </c>
      <c r="AA24" s="38" t="s">
        <v>79</v>
      </c>
      <c r="AB24" s="38" t="s">
        <v>79</v>
      </c>
      <c r="AC24" s="38" t="s">
        <v>79</v>
      </c>
      <c r="AD24" s="38" t="s">
        <v>79</v>
      </c>
      <c r="AE24" s="38" t="s">
        <v>79</v>
      </c>
      <c r="AF24" s="38" t="s">
        <v>84</v>
      </c>
      <c r="AG24" s="38" t="s">
        <v>85</v>
      </c>
      <c r="AH24" s="38" t="s">
        <v>79</v>
      </c>
      <c r="AI24" s="38" t="s">
        <v>79</v>
      </c>
      <c r="AJ24" s="38" t="s">
        <v>79</v>
      </c>
      <c r="AK24" s="38" t="s">
        <v>79</v>
      </c>
      <c r="AL24" s="38" t="s">
        <v>79</v>
      </c>
      <c r="AM24" t="str">
        <f>VLOOKUP($R24,武学奇术!$A:$ZZ,25,FALSE)</f>
        <v>拳甲</v>
      </c>
      <c r="AN24" s="24">
        <f>VLOOKUP($R24,武学奇术!$A:$ZZ,26,FALSE)</f>
        <v>1.2876</v>
      </c>
      <c r="AO24" s="25">
        <f>VLOOKUP($R24,武学奇术!$A:$ZZ,27,FALSE)*(1+IF(OR($AM24=$F$4,$AM24=$F$5),$B$22,0))</f>
        <v>537</v>
      </c>
      <c r="AP24" s="24">
        <f>VLOOKUP($R24,武学奇术!$A:$ZZ,28,FALSE)</f>
        <v>1.9313</v>
      </c>
      <c r="AQ24" s="25">
        <f>VLOOKUP($R24,武学奇术!$A:$ZZ,29,FALSE)*(1+IF(OR($AM24=$F$4,$AM24=$F$5),$B$22,0))</f>
        <v>292.5</v>
      </c>
      <c r="AR24" s="24" cm="1">
        <f t="array" ref="AR24">$G$3+IFERROR(VLOOKUP($AM24,$F$4:$G$7,2,FALSE),0)+VLOOKUP($R24,武学奇术!$A:$ZZ,2,FALSE)+SUM(_xlfn.XLOOKUP($S24:$AL24,增益!$A:$A,增益!$B:$B,0))</f>
        <v>0.3241</v>
      </c>
      <c r="AS24" s="24" cm="1">
        <f t="array" ref="AS24">VLOOKUP($R24,武学奇术!$A:$ZZ,5,FALSE)+SUM(_xlfn.XLOOKUP($S24:$AL24,增益!$A:$A,增益!$E:$E,0))</f>
        <v>0</v>
      </c>
      <c r="AT24" cm="1">
        <f t="array" ref="AT24">$D$10*(1+$AS24)+VLOOKUP($R24,武学奇术!$A:$ZZ,3,FALSE)+SUM(_xlfn.XLOOKUP($S24:$AL24,增益!$A:$A,增益!$C:$C,0))-$I$2</f>
        <v>3839.102</v>
      </c>
      <c r="AU24" cm="1">
        <f t="array" ref="AU24">$E$10*(1+$AS24)+VLOOKUP($R24,武学奇术!$A:$ZZ,4,FALSE)+SUM(_xlfn.XLOOKUP($S24:$AL24,增益!$A:$A,增益!$D:$D,0))-$I$2</f>
        <v>3839.102</v>
      </c>
      <c r="AV24" s="30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0.217</v>
      </c>
      <c r="AW24" s="30" cm="1">
        <f t="array" ref="AW24">$G$10+VLOOKUP($R24,武学奇术!$A:$ZZ,7,FALSE)+SUM(_xlfn.XLOOKUP($S24:$AL24,增益!$A:$A,增益!$G:$G,0))</f>
        <v>0.09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0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0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0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0" cm="1">
        <f t="array" ref="BF24">$G$12+VLOOKUP($R24,武学奇术!$A:$ZZ,12,FALSE)+SUM(_xlfn.XLOOKUP($S24:$AL24,增益!$A:$A,增益!$L:$L,0))</f>
        <v>0</v>
      </c>
      <c r="BG24">
        <f t="shared" si="5"/>
        <v>0</v>
      </c>
      <c r="BH24">
        <f t="shared" si="6"/>
        <v>0</v>
      </c>
      <c r="BI24" s="30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-0.3</v>
      </c>
      <c r="BJ24" s="30" cm="1">
        <f t="array" ref="BJ24">$G$13+VLOOKUP($R24,武学奇术!$A:$ZZ,14,FALSE)+SUM(_xlfn.XLOOKUP($S24:$AL24,增益!$A:$A,增益!$N:$N,0))</f>
        <v>0</v>
      </c>
      <c r="BK24">
        <f t="shared" si="7"/>
        <v>605.472</v>
      </c>
      <c r="BL24">
        <f t="shared" si="8"/>
        <v>1725.468</v>
      </c>
      <c r="BM24" s="30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0</v>
      </c>
      <c r="BN24" s="30" cm="1">
        <f t="array" ref="BN24">$G$14+VLOOKUP($R24,武学奇术!$A:$ZZ,16,FALSE)+SUM(_xlfn.XLOOKUP($S24:$AL24,增益!$A:$A,增益!$P:$P,0))</f>
        <v>0.24</v>
      </c>
      <c r="BO24" s="24">
        <f>MIN(IF(VLOOKUP($R24,武学奇术!$A:$ZZ,23,FALSE)=1,100%,$B$8),100%)</f>
        <v>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+MIN(IF(VLOOKUP($R24,武学奇术!$A:$ZZ,32,FALSE)=1,IF(VLOOKUP($R24,武学奇术!$A:$ZZ,24,FALSE)=1,100%,MIN(40%,$B$10+VLOOKUP($R24,武学奇术!$A:$ZZ,19,FALSE)+SUM(_xlfn.XLOOKUP($S24:$AL24,增益!$A:$A,增益!$S:$S,0)))+$B$12+SUM(_xlfn.XLOOKUP($S24:$AL24,增益!$A:$A,增益!$V:$V,0))),0),12%)</f>
        <v>0.9036</v>
      </c>
      <c r="BQ24" s="24" cm="1">
        <f t="array" ref="BQ24">1+$B$13+VLOOKUP($R24,武学奇术!$A:$ZZ,18,FALSE)+SUM(_xlfn.XLOOKUP($S24:$AL24,增益!$A:$A,增益!$R:$R,0))</f>
        <v>1.6</v>
      </c>
      <c r="BR24" s="24" cm="1">
        <f t="array" ref="BR24">MAX(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-IF(VLOOKUP($R24,武学奇术!$A:$ZZ,32,FALSE)=1,12%,0),0)</f>
        <v>0.0929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0.9036</v>
      </c>
      <c r="BU24" s="24">
        <f t="shared" si="10"/>
        <v>0.00350000000000006</v>
      </c>
      <c r="BV24" s="24">
        <f>IF(VLOOKUP($R24,武学奇术!$A:$ZZ,22,FALSE)=1,0,(1-$BO24))*(1-$BR24)</f>
        <v>0</v>
      </c>
      <c r="BW24" s="24" cm="1">
        <f t="array" ref="BW24">SUM(_xlfn.XLOOKUP($S24:$AL24,增益!$A:$A,增益!$W:$W,0))+$I$5</f>
        <v>0.11</v>
      </c>
      <c r="BX24" s="24" cm="1">
        <f t="array" ref="BX24">SUM(_xlfn.XLOOKUP($S24:$AL24,增益!$A:$A,增益!$X:$X,0))</f>
        <v>0</v>
      </c>
    </row>
    <row r="25" spans="1:76">
      <c r="K25">
        <f>$L25*VLOOKUP($R25,武学奇术!$A:$ZZ,31,FALSE)</f>
        <v>86303.4885297249</v>
      </c>
      <c r="L25" s="36">
        <f t="shared" si="11"/>
        <v>66387.2988690191</v>
      </c>
      <c r="M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BQ25*$Q25*(1+IF(VLOOKUP($R25,武学奇术!$A:$ZZ,30,FALSE)="蓄力技",$B$21,0))*(1+$BW25)</f>
        <v>67704.1984574007</v>
      </c>
      <c r="N25" s="36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蓄力技",$B$21,0))*(1+$BW25)</f>
        <v>54744.0243033421</v>
      </c>
      <c r="O25" s="36">
        <f>((($AT25+($AU25-$AT25)*IF(VLOOKUP($R25,武学奇术!$A:$ZZ,31,FALSE)=1,$F$18,0.5))*$AN25+$AO25)*(1+$AV25)*(1+$AW25)+(($AY25+($AZ25-$AY25)*IF(VLOOKUP($R25,武学奇术!$A:$ZZ,31,FALSE)=1,$F$18,0.5))*IF($G$1="鸣金",$AP25,$AN25)+IF($G$1="鸣金",$AQ25*1.5,0))*(1+$BA25)*(1+$BB25)+(($BC25+($BD25-$BC25)*IF(VLOOKUP($R25,武学奇术!$A:$ZZ,31,FALSE)=1,$F$18,0.5))*IF($G$1="裂石",$AP25,$AN25)+IF($G$1="裂石",$AQ25*1.5,0))*(1+$BE25)*(1+$BF25)+(($BG25+($BH25-$BG25)*IF(VLOOKUP($R25,武学奇术!$A:$ZZ,31,FALSE)=1,$F$18,0.5))*IF($G$1="牵丝",$AP25,$AN25)+IF($G$1="牵丝",$AQ25*1.5,0))*(1+$BI25)*(1+$BJ25)+(($BK25+($BL25-$BK25)*IF(VLOOKUP($R25,武学奇术!$A:$ZZ,31,FALSE)=1,$F$18,0.5))*IF($G$1="破竹",$AP25,$AN25)+IF($G$1="破竹",$AQ25*1.5,0))*(1+$BM25)*(1+$BN25))*(1+$AR25)*$Q25*(1+IF(VLOOKUP($R25,武学奇术!$A:$ZZ,30,FALSE)="蓄力技",$B$21,0))*(1+$BW25)</f>
        <v>35447.2243232465</v>
      </c>
      <c r="P25" s="36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蓄力技",$B$21,0))*(1+$BW25)</f>
        <v>30343.3195329062</v>
      </c>
      <c r="Q25" s="37">
        <v>1</v>
      </c>
      <c r="R25" s="38" t="s">
        <v>124</v>
      </c>
      <c r="S25" s="38" t="s">
        <v>104</v>
      </c>
      <c r="T25" s="38" t="s">
        <v>79</v>
      </c>
      <c r="U25" s="38" t="s">
        <v>79</v>
      </c>
      <c r="V25" s="38" t="s">
        <v>79</v>
      </c>
      <c r="W25" s="38" t="s">
        <v>79</v>
      </c>
      <c r="X25" s="38" t="s">
        <v>79</v>
      </c>
      <c r="Y25" s="38" t="s">
        <v>165</v>
      </c>
      <c r="Z25" s="38" t="s">
        <v>79</v>
      </c>
      <c r="AA25" s="38" t="s">
        <v>112</v>
      </c>
      <c r="AB25" s="38" t="s">
        <v>79</v>
      </c>
      <c r="AC25" s="38" t="s">
        <v>79</v>
      </c>
      <c r="AD25" s="38" t="s">
        <v>79</v>
      </c>
      <c r="AE25" s="38" t="s">
        <v>79</v>
      </c>
      <c r="AF25" s="38" t="s">
        <v>84</v>
      </c>
      <c r="AG25" s="38" t="s">
        <v>85</v>
      </c>
      <c r="AH25" s="38" t="s">
        <v>79</v>
      </c>
      <c r="AI25" s="38" t="s">
        <v>79</v>
      </c>
      <c r="AJ25" s="38" t="s">
        <v>79</v>
      </c>
      <c r="AK25" s="38" t="s">
        <v>79</v>
      </c>
      <c r="AL25" s="38" t="s">
        <v>79</v>
      </c>
      <c r="AM25" t="str">
        <f>VLOOKUP($R25,武学奇术!$A:$ZZ,25,FALSE)</f>
        <v>拳甲</v>
      </c>
      <c r="AN25" s="24">
        <f>VLOOKUP($R25,武学奇术!$A:$ZZ,26,FALSE)</f>
        <v>2.638944</v>
      </c>
      <c r="AO25" s="25">
        <f>VLOOKUP($R25,武学奇术!$A:$ZZ,27,FALSE)*(1+IF(OR($AM25=$F$4,$AM25=$F$5),$B$22,0))</f>
        <v>0</v>
      </c>
      <c r="AP25" s="24">
        <f>VLOOKUP($R25,武学奇术!$A:$ZZ,28,FALSE)</f>
        <v>3.958416</v>
      </c>
      <c r="AQ25" s="25">
        <f>VLOOKUP($R25,武学奇术!$A:$ZZ,29,FALSE)*(1+IF(OR($AM25=$F$4,$AM25=$F$5),$B$22,0))</f>
        <v>0</v>
      </c>
      <c r="AR25" s="24" cm="1">
        <f t="array" ref="AR25">$G$3+IFERROR(VLOOKUP($AM25,$F$4:$G$7,2,FALSE),0)+VLOOKUP($R25,武学奇术!$A:$ZZ,2,FALSE)+SUM(_xlfn.XLOOKUP($S25:$AL25,增益!$A:$A,增益!$B:$B,0))</f>
        <v>0.6241</v>
      </c>
      <c r="AS25" s="24" cm="1">
        <f t="array" ref="AS25">VLOOKUP($R25,武学奇术!$A:$ZZ,5,FALSE)+SUM(_xlfn.XLOOKUP($S25:$AL25,增益!$A:$A,增益!$E:$E,0))</f>
        <v>0</v>
      </c>
      <c r="AT25" cm="1">
        <f t="array" ref="AT25">$D$10*(1+$AS25)+VLOOKUP($R25,武学奇术!$A:$ZZ,3,FALSE)+SUM(_xlfn.XLOOKUP($S25:$AL25,增益!$A:$A,增益!$C:$C,0))-$I$2</f>
        <v>3839.102</v>
      </c>
      <c r="AU25" cm="1">
        <f t="array" ref="AU25">$E$10*(1+$AS25)+VLOOKUP($R25,武学奇术!$A:$ZZ,4,FALSE)+SUM(_xlfn.XLOOKUP($S25:$AL25,增益!$A:$A,增益!$D:$D,0))-$I$2</f>
        <v>3839.102</v>
      </c>
      <c r="AV25" s="30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0.247</v>
      </c>
      <c r="AW25" s="30" cm="1">
        <f t="array" ref="AW25">$G$10+VLOOKUP($R25,武学奇术!$A:$ZZ,7,FALSE)+SUM(_xlfn.XLOOKUP($S25:$AL25,增益!$A:$A,增益!$G:$G,0))</f>
        <v>0.09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0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-0.24</v>
      </c>
      <c r="BB25" s="30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0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-0.24</v>
      </c>
      <c r="BF25" s="30" cm="1">
        <f t="array" ref="BF25">$G$12+VLOOKUP($R25,武学奇术!$A:$ZZ,12,FALSE)+SUM(_xlfn.XLOOKUP($S25:$AL25,增益!$A:$A,增益!$L:$L,0))</f>
        <v>0</v>
      </c>
      <c r="BG25">
        <f t="shared" si="5"/>
        <v>0</v>
      </c>
      <c r="BH25">
        <f t="shared" si="6"/>
        <v>0</v>
      </c>
      <c r="BI25" s="30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-0.24</v>
      </c>
      <c r="BJ25" s="30" cm="1">
        <f t="array" ref="BJ25">$G$13+VLOOKUP($R25,武学奇术!$A:$ZZ,14,FALSE)+SUM(_xlfn.XLOOKUP($S25:$AL25,增益!$A:$A,增益!$N:$N,0))</f>
        <v>0</v>
      </c>
      <c r="BK25">
        <f t="shared" si="7"/>
        <v>605.472</v>
      </c>
      <c r="BL25">
        <f t="shared" si="8"/>
        <v>1725.468</v>
      </c>
      <c r="BM25" s="30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0.03</v>
      </c>
      <c r="BN25" s="30" cm="1">
        <f t="array" ref="BN25">$G$14+VLOOKUP($R25,武学奇术!$A:$ZZ,16,FALSE)+SUM(_xlfn.XLOOKUP($S25:$AL25,增益!$A:$A,增益!$P:$P,0))</f>
        <v>0.24</v>
      </c>
      <c r="BO25" s="24">
        <f>MIN(IF(VLOOKUP($R25,武学奇术!$A:$ZZ,23,FALSE)=1,100%,$B$8),100%)</f>
        <v>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+MIN(IF(VLOOKUP($R25,武学奇术!$A:$ZZ,32,FALSE)=1,IF(VLOOKUP($R25,武学奇术!$A:$ZZ,24,FALSE)=1,100%,MIN(40%,$B$10+VLOOKUP($R25,武学奇术!$A:$ZZ,19,FALSE)+SUM(_xlfn.XLOOKUP($S25:$AL25,增益!$A:$A,增益!$S:$S,0)))+$B$12+SUM(_xlfn.XLOOKUP($S25:$AL25,增益!$A:$A,增益!$V:$V,0))),0),12%)</f>
        <v>0.9036</v>
      </c>
      <c r="BQ25" s="24" cm="1">
        <f t="array" ref="BQ25">1+$B$13+VLOOKUP($R25,武学奇术!$A:$ZZ,18,FALSE)+SUM(_xlfn.XLOOKUP($S25:$AL25,增益!$A:$A,增益!$R:$R,0))</f>
        <v>1.91</v>
      </c>
      <c r="BR25" s="24" cm="1">
        <f t="array" ref="BR25">MAX(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-IF(VLOOKUP($R25,武学奇术!$A:$ZZ,32,FALSE)=1,12%,0),0)</f>
        <v>0.0929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0.9036</v>
      </c>
      <c r="BU25" s="24">
        <f t="shared" si="10"/>
        <v>0.00350000000000006</v>
      </c>
      <c r="BV25" s="24">
        <f>IF(VLOOKUP($R25,武学奇术!$A:$ZZ,22,FALSE)=1,0,(1-$BO25))*(1-$BR25)</f>
        <v>0</v>
      </c>
      <c r="BW25" s="24" cm="1">
        <f t="array" ref="BW25">SUM(_xlfn.XLOOKUP($S25:$AL25,增益!$A:$A,增益!$W:$W,0))+$I$5</f>
        <v>0.11</v>
      </c>
      <c r="BX25" s="24" cm="1">
        <f t="array" ref="BX25">SUM(_xlfn.XLOOKUP($S25:$AL25,增益!$A:$A,增益!$X:$X,0))</f>
        <v>0</v>
      </c>
    </row>
    <row r="26" spans="1:76">
      <c r="F26" s="4"/>
      <c r="G26" s="4"/>
      <c r="K26">
        <f>$L26*VLOOKUP($R26,武学奇术!$A:$ZZ,31,FALSE)</f>
        <v>22647.2392750197</v>
      </c>
      <c r="L26" s="36">
        <f t="shared" si="11"/>
        <v>22647.2392750197</v>
      </c>
      <c r="M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BQ26*$Q26*(1+IF(VLOOKUP($R26,武学奇术!$A:$ZZ,30,FALSE)="蓄力技",$B$21,0))*(1+$BW26)</f>
        <v>22794.8338360703</v>
      </c>
      <c r="N26" s="36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蓄力技",$B$21,0))*(1+$BW26)</f>
        <v>21531.4686129859</v>
      </c>
      <c r="O26" s="36">
        <f>((($AT26+($AU26-$AT26)*IF(VLOOKUP($R26,武学奇术!$A:$ZZ,31,FALSE)=1,$F$18,0.5))*$AN26+$AO26)*(1+$AV26)*(1+$AW26)+(($AY26+($AZ26-$AY26)*IF(VLOOKUP($R26,武学奇术!$A:$ZZ,31,FALSE)=1,$F$18,0.5))*IF($G$1="鸣金",$AP26,$AN26)+IF($G$1="鸣金",$AQ26*1.5,0))*(1+$BA26)*(1+$BB26)+(($BC26+($BD26-$BC26)*IF(VLOOKUP($R26,武学奇术!$A:$ZZ,31,FALSE)=1,$F$18,0.5))*IF($G$1="裂石",$AP26,$AN26)+IF($G$1="裂石",$AQ26*1.5,0))*(1+$BE26)*(1+$BF26)+(($BG26+($BH26-$BG26)*IF(VLOOKUP($R26,武学奇术!$A:$ZZ,31,FALSE)=1,$F$18,0.5))*IF($G$1="牵丝",$AP26,$AN26)+IF($G$1="牵丝",$AQ26*1.5,0))*(1+$BI26)*(1+$BJ26)+(($BK26+($BL26-$BK26)*IF(VLOOKUP($R26,武学奇术!$A:$ZZ,31,FALSE)=1,$F$18,0.5))*IF($G$1="破竹",$AP26,$AN26)+IF($G$1="破竹",$AQ26*1.5,0))*(1+$BM26)*(1+$BN26))*(1+$AR26)*$Q26*(1+IF(VLOOKUP($R26,武学奇术!$A:$ZZ,30,FALSE)="蓄力技",$B$21,0))*(1+$BW26)</f>
        <v>14158.281885758</v>
      </c>
      <c r="P26" s="36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蓄力技",$B$21,0))*(1+$BW26)</f>
        <v>12367.3277618967</v>
      </c>
      <c r="Q26" s="37">
        <v>1</v>
      </c>
      <c r="R26" s="38" t="s">
        <v>107</v>
      </c>
      <c r="S26" s="38" t="s">
        <v>104</v>
      </c>
      <c r="T26" s="38" t="s">
        <v>79</v>
      </c>
      <c r="U26" s="38" t="s">
        <v>79</v>
      </c>
      <c r="V26" s="38" t="s">
        <v>79</v>
      </c>
      <c r="W26" s="38" t="s">
        <v>79</v>
      </c>
      <c r="X26" s="38" t="s">
        <v>79</v>
      </c>
      <c r="Y26" s="38" t="s">
        <v>165</v>
      </c>
      <c r="Z26" s="38" t="s">
        <v>79</v>
      </c>
      <c r="AA26" s="38" t="s">
        <v>79</v>
      </c>
      <c r="AB26" s="38" t="s">
        <v>79</v>
      </c>
      <c r="AC26" s="38" t="s">
        <v>79</v>
      </c>
      <c r="AD26" s="38" t="s">
        <v>79</v>
      </c>
      <c r="AE26" s="38" t="s">
        <v>79</v>
      </c>
      <c r="AF26" s="38" t="s">
        <v>84</v>
      </c>
      <c r="AG26" s="38" t="s">
        <v>85</v>
      </c>
      <c r="AH26" s="38" t="s">
        <v>79</v>
      </c>
      <c r="AI26" s="38" t="s">
        <v>79</v>
      </c>
      <c r="AJ26" s="38" t="s">
        <v>79</v>
      </c>
      <c r="AK26" s="38" t="s">
        <v>79</v>
      </c>
      <c r="AL26" s="38" t="s">
        <v>79</v>
      </c>
      <c r="AM26" t="str">
        <f>VLOOKUP($R26,武学奇术!$A:$ZZ,25,FALSE)</f>
        <v>绳镖</v>
      </c>
      <c r="AN26" s="24">
        <f>VLOOKUP($R26,武学奇术!$A:$ZZ,26,FALSE)</f>
        <v>1.2503</v>
      </c>
      <c r="AO26" s="25">
        <f>VLOOKUP($R26,武学奇术!$A:$ZZ,27,FALSE)*(1+IF(OR($AM26=$F$4,$AM26=$F$5),$B$22,0))</f>
        <v>520.5</v>
      </c>
      <c r="AP26" s="24">
        <f>VLOOKUP($R26,武学奇术!$A:$ZZ,28,FALSE)</f>
        <v>1.8755</v>
      </c>
      <c r="AQ26" s="25">
        <f>VLOOKUP($R26,武学奇术!$A:$ZZ,29,FALSE)*(1+IF(OR($AM26=$F$4,$AM26=$F$5),$B$22,0))</f>
        <v>283.5</v>
      </c>
      <c r="AR26" s="24" cm="1">
        <f t="array" ref="AR26">$G$3+IFERROR(VLOOKUP($AM26,$F$4:$G$7,2,FALSE),0)+VLOOKUP($R26,武学奇术!$A:$ZZ,2,FALSE)+SUM(_xlfn.XLOOKUP($S26:$AL26,增益!$A:$A,增益!$B:$B,0))</f>
        <v>0.2389</v>
      </c>
      <c r="AS26" s="24" cm="1">
        <f t="array" ref="AS26">VLOOKUP($R26,武学奇术!$A:$ZZ,5,FALSE)+SUM(_xlfn.XLOOKUP($S26:$AL26,增益!$A:$A,增益!$E:$E,0))</f>
        <v>0</v>
      </c>
      <c r="AT26" cm="1">
        <f t="array" ref="AT26">$D$10*(1+$AS26)+VLOOKUP($R26,武学奇术!$A:$ZZ,3,FALSE)+SUM(_xlfn.XLOOKUP($S26:$AL26,增益!$A:$A,增益!$C:$C,0))-$I$2</f>
        <v>3839.102</v>
      </c>
      <c r="AU26" cm="1">
        <f t="array" ref="AU26">$E$10*(1+$AS26)+VLOOKUP($R26,武学奇术!$A:$ZZ,4,FALSE)+SUM(_xlfn.XLOOKUP($S26:$AL26,增益!$A:$A,增益!$D:$D,0))-$I$2</f>
        <v>3839.102</v>
      </c>
      <c r="AV26" s="30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0.217</v>
      </c>
      <c r="AW26" s="30" cm="1">
        <f t="array" ref="AW26">$G$10+VLOOKUP($R26,武学奇术!$A:$ZZ,7,FALSE)+SUM(_xlfn.XLOOKUP($S26:$AL26,增益!$A:$A,增益!$G:$G,0))</f>
        <v>0.09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0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0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0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0" cm="1">
        <f t="array" ref="BF26">$G$12+VLOOKUP($R26,武学奇术!$A:$ZZ,12,FALSE)+SUM(_xlfn.XLOOKUP($S26:$AL26,增益!$A:$A,增益!$L:$L,0))</f>
        <v>0</v>
      </c>
      <c r="BG26">
        <f t="shared" si="5"/>
        <v>0</v>
      </c>
      <c r="BH26">
        <f t="shared" si="6"/>
        <v>0</v>
      </c>
      <c r="BI26" s="30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-0.3</v>
      </c>
      <c r="BJ26" s="30" cm="1">
        <f t="array" ref="BJ26">$G$13+VLOOKUP($R26,武学奇术!$A:$ZZ,14,FALSE)+SUM(_xlfn.XLOOKUP($S26:$AL26,增益!$A:$A,增益!$N:$N,0))</f>
        <v>0</v>
      </c>
      <c r="BK26">
        <f t="shared" si="7"/>
        <v>605.472</v>
      </c>
      <c r="BL26">
        <f t="shared" si="8"/>
        <v>1725.468</v>
      </c>
      <c r="BM26" s="30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0</v>
      </c>
      <c r="BN26" s="30" cm="1">
        <f t="array" ref="BN26">$G$14+VLOOKUP($R26,武学奇术!$A:$ZZ,16,FALSE)+SUM(_xlfn.XLOOKUP($S26:$AL26,增益!$A:$A,增益!$P:$P,0))</f>
        <v>0.24</v>
      </c>
      <c r="BO26" s="24">
        <f>MIN(IF(VLOOKUP($R26,武学奇术!$A:$ZZ,23,FALSE)=1,100%,$B$8),100%)</f>
        <v>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+MIN(IF(VLOOKUP($R26,武学奇术!$A:$ZZ,32,FALSE)=1,IF(VLOOKUP($R26,武学奇术!$A:$ZZ,24,FALSE)=1,100%,MIN(40%,$B$10+VLOOKUP($R26,武学奇术!$A:$ZZ,19,FALSE)+SUM(_xlfn.XLOOKUP($S26:$AL26,增益!$A:$A,增益!$S:$S,0)))+$B$12+SUM(_xlfn.XLOOKUP($S26:$AL26,增益!$A:$A,增益!$V:$V,0))),0),12%)</f>
        <v>0.9036</v>
      </c>
      <c r="BQ26" s="24" cm="1">
        <f t="array" ref="BQ26">1+$B$13+VLOOKUP($R26,武学奇术!$A:$ZZ,18,FALSE)+SUM(_xlfn.XLOOKUP($S26:$AL26,增益!$A:$A,增益!$R:$R,0))</f>
        <v>1.61</v>
      </c>
      <c r="BR26" s="24" cm="1">
        <f t="array" ref="BR26">MAX(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-IF(VLOOKUP($R26,武学奇术!$A:$ZZ,32,FALSE)=1,12%,0),0)</f>
        <v>0.0929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0.9036</v>
      </c>
      <c r="BU26" s="24">
        <f t="shared" si="10"/>
        <v>0.00350000000000006</v>
      </c>
      <c r="BV26" s="24">
        <f>IF(VLOOKUP($R26,武学奇术!$A:$ZZ,22,FALSE)=1,0,(1-$BO26))*(1-$BR26)</f>
        <v>0</v>
      </c>
      <c r="BW26" s="24" cm="1">
        <f t="array" ref="BW26">SUM(_xlfn.XLOOKUP($S26:$AL26,增益!$A:$A,增益!$W:$W,0))+$I$5</f>
        <v>0.11</v>
      </c>
      <c r="BX26" s="24" cm="1">
        <f t="array" ref="BX26">SUM(_xlfn.XLOOKUP($S26:$AL26,增益!$A:$A,增益!$X:$X,0))</f>
        <v>0</v>
      </c>
    </row>
    <row r="27" spans="1:76">
      <c r="K27">
        <f>$L27*VLOOKUP($R27,武学奇术!$A:$ZZ,31,FALSE)</f>
        <v>68146.6855994057</v>
      </c>
      <c r="L27" s="36">
        <f t="shared" si="11"/>
        <v>52420.5273841582</v>
      </c>
      <c r="M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BQ27*$Q27*(1+IF(VLOOKUP($R27,武学奇术!$A:$ZZ,30,FALSE)="蓄力技",$B$21,0))*(1+$BW27)</f>
        <v>53460.3734407231</v>
      </c>
      <c r="N27" s="36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蓄力技",$B$21,0))*(1+$BW27)</f>
        <v>43226.8020238969</v>
      </c>
      <c r="O27" s="36">
        <f>((($AT27+($AU27-$AT27)*IF(VLOOKUP($R27,武学奇术!$A:$ZZ,31,FALSE)=1,$F$18,0.5))*$AN27+$AO27)*(1+$AV27)*(1+$AW27)+(($AY27+($AZ27-$AY27)*IF(VLOOKUP($R27,武学奇术!$A:$ZZ,31,FALSE)=1,$F$18,0.5))*IF($G$1="鸣金",$AP27,$AN27)+IF($G$1="鸣金",$AQ27*1.5,0))*(1+$BA27)*(1+$BB27)+(($BC27+($BD27-$BC27)*IF(VLOOKUP($R27,武学奇术!$A:$ZZ,31,FALSE)=1,$F$18,0.5))*IF($G$1="裂石",$AP27,$AN27)+IF($G$1="裂石",$AQ27*1.5,0))*(1+$BE27)*(1+$BF27)+(($BG27+($BH27-$BG27)*IF(VLOOKUP($R27,武学奇术!$A:$ZZ,31,FALSE)=1,$F$18,0.5))*IF($G$1="牵丝",$AP27,$AN27)+IF($G$1="牵丝",$AQ27*1.5,0))*(1+$BI27)*(1+$BJ27)+(($BK27+($BL27-$BK27)*IF(VLOOKUP($R27,武学奇术!$A:$ZZ,31,FALSE)=1,$F$18,0.5))*IF($G$1="破竹",$AP27,$AN27)+IF($G$1="破竹",$AQ27*1.5,0))*(1+$BM27)*(1+$BN27))*(1+$AR27)*$Q27*(1+IF(VLOOKUP($R27,武学奇术!$A:$ZZ,30,FALSE)="蓄力技",$B$21,0))*(1+$BW27)</f>
        <v>27989.7243145147</v>
      </c>
      <c r="P27" s="36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蓄力技",$B$21,0))*(1+$BW27)</f>
        <v>23959.5952779946</v>
      </c>
      <c r="Q27" s="37">
        <v>1</v>
      </c>
      <c r="R27" s="38" t="s">
        <v>111</v>
      </c>
      <c r="S27" s="38" t="s">
        <v>104</v>
      </c>
      <c r="T27" s="38" t="s">
        <v>79</v>
      </c>
      <c r="U27" s="38" t="s">
        <v>79</v>
      </c>
      <c r="V27" s="38" t="s">
        <v>79</v>
      </c>
      <c r="W27" s="38" t="s">
        <v>79</v>
      </c>
      <c r="X27" s="38" t="s">
        <v>79</v>
      </c>
      <c r="Y27" s="38" t="s">
        <v>165</v>
      </c>
      <c r="Z27" s="38" t="s">
        <v>79</v>
      </c>
      <c r="AA27" s="38" t="s">
        <v>112</v>
      </c>
      <c r="AB27" s="38" t="s">
        <v>79</v>
      </c>
      <c r="AC27" s="38" t="s">
        <v>79</v>
      </c>
      <c r="AD27" s="38" t="s">
        <v>79</v>
      </c>
      <c r="AE27" s="38" t="s">
        <v>79</v>
      </c>
      <c r="AF27" s="38" t="s">
        <v>84</v>
      </c>
      <c r="AG27" s="38" t="s">
        <v>85</v>
      </c>
      <c r="AH27" s="38" t="s">
        <v>79</v>
      </c>
      <c r="AI27" s="38" t="s">
        <v>79</v>
      </c>
      <c r="AJ27" s="38" t="s">
        <v>79</v>
      </c>
      <c r="AK27" s="38" t="s">
        <v>79</v>
      </c>
      <c r="AL27" s="38" t="s">
        <v>79</v>
      </c>
      <c r="AM27" t="str">
        <f>VLOOKUP($R27,武学奇术!$A:$ZZ,25,FALSE)</f>
        <v>绳镖</v>
      </c>
      <c r="AN27" s="24">
        <f>VLOOKUP($R27,武学奇术!$A:$ZZ,26,FALSE)</f>
        <v>2.19912</v>
      </c>
      <c r="AO27" s="25">
        <f>VLOOKUP($R27,武学奇术!$A:$ZZ,27,FALSE)*(1+IF(OR($AM27=$F$4,$AM27=$F$5),$B$22,0))</f>
        <v>0</v>
      </c>
      <c r="AP27" s="24">
        <f>VLOOKUP($R27,武学奇术!$A:$ZZ,28,FALSE)</f>
        <v>3.29868</v>
      </c>
      <c r="AQ27" s="25">
        <f>VLOOKUP($R27,武学奇术!$A:$ZZ,29,FALSE)*(1+IF(OR($AM27=$F$4,$AM27=$F$5),$B$22,0))</f>
        <v>0</v>
      </c>
      <c r="AR27" s="24" cm="1">
        <f t="array" ref="AR27">$G$3+IFERROR(VLOOKUP($AM27,$F$4:$G$7,2,FALSE),0)+VLOOKUP($R27,武学奇术!$A:$ZZ,2,FALSE)+SUM(_xlfn.XLOOKUP($S27:$AL27,增益!$A:$A,增益!$B:$B,0))</f>
        <v>0.5389</v>
      </c>
      <c r="AS27" s="24" cm="1">
        <f t="array" ref="AS27">VLOOKUP($R27,武学奇术!$A:$ZZ,5,FALSE)+SUM(_xlfn.XLOOKUP($S27:$AL27,增益!$A:$A,增益!$E:$E,0))</f>
        <v>0</v>
      </c>
      <c r="AT27" cm="1">
        <f t="array" ref="AT27">$D$10*(1+$AS27)+VLOOKUP($R27,武学奇术!$A:$ZZ,3,FALSE)+SUM(_xlfn.XLOOKUP($S27:$AL27,增益!$A:$A,增益!$C:$C,0))-$I$2</f>
        <v>3839.102</v>
      </c>
      <c r="AU27" cm="1">
        <f t="array" ref="AU27">$E$10*(1+$AS27)+VLOOKUP($R27,武学奇术!$A:$ZZ,4,FALSE)+SUM(_xlfn.XLOOKUP($S27:$AL27,增益!$A:$A,增益!$D:$D,0))-$I$2</f>
        <v>3839.102</v>
      </c>
      <c r="AV27" s="30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0.247</v>
      </c>
      <c r="AW27" s="30" cm="1">
        <f t="array" ref="AW27">$G$10+VLOOKUP($R27,武学奇术!$A:$ZZ,7,FALSE)+SUM(_xlfn.XLOOKUP($S27:$AL27,增益!$A:$A,增益!$G:$G,0))</f>
        <v>0.09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0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-0.24</v>
      </c>
      <c r="BB27" s="30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0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-0.24</v>
      </c>
      <c r="BF27" s="30" cm="1">
        <f t="array" ref="BF27">$G$12+VLOOKUP($R27,武学奇术!$A:$ZZ,12,FALSE)+SUM(_xlfn.XLOOKUP($S27:$AL27,增益!$A:$A,增益!$L:$L,0))</f>
        <v>0</v>
      </c>
      <c r="BG27">
        <f t="shared" si="5"/>
        <v>0</v>
      </c>
      <c r="BH27">
        <f t="shared" si="6"/>
        <v>0</v>
      </c>
      <c r="BI27" s="30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-0.24</v>
      </c>
      <c r="BJ27" s="30" cm="1">
        <f t="array" ref="BJ27">$G$13+VLOOKUP($R27,武学奇术!$A:$ZZ,14,FALSE)+SUM(_xlfn.XLOOKUP($S27:$AL27,增益!$A:$A,增益!$N:$N,0))</f>
        <v>0</v>
      </c>
      <c r="BK27">
        <f t="shared" si="7"/>
        <v>605.472</v>
      </c>
      <c r="BL27">
        <f t="shared" si="8"/>
        <v>1725.468</v>
      </c>
      <c r="BM27" s="30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0.03</v>
      </c>
      <c r="BN27" s="30" cm="1">
        <f t="array" ref="BN27">$G$14+VLOOKUP($R27,武学奇术!$A:$ZZ,16,FALSE)+SUM(_xlfn.XLOOKUP($S27:$AL27,增益!$A:$A,增益!$P:$P,0))</f>
        <v>0.24</v>
      </c>
      <c r="BO27" s="24">
        <f>MIN(IF(VLOOKUP($R27,武学奇术!$A:$ZZ,23,FALSE)=1,100%,$B$8),100%)</f>
        <v>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+MIN(IF(VLOOKUP($R27,武学奇术!$A:$ZZ,32,FALSE)=1,IF(VLOOKUP($R27,武学奇术!$A:$ZZ,24,FALSE)=1,100%,MIN(40%,$B$10+VLOOKUP($R27,武学奇术!$A:$ZZ,19,FALSE)+SUM(_xlfn.XLOOKUP($S27:$AL27,增益!$A:$A,增益!$S:$S,0)))+$B$12+SUM(_xlfn.XLOOKUP($S27:$AL27,增益!$A:$A,增益!$V:$V,0))),0),12%)</f>
        <v>0.9036</v>
      </c>
      <c r="BQ27" s="24" cm="1">
        <f t="array" ref="BQ27">1+$B$13+VLOOKUP($R27,武学奇术!$A:$ZZ,18,FALSE)+SUM(_xlfn.XLOOKUP($S27:$AL27,增益!$A:$A,增益!$R:$R,0))</f>
        <v>1.91</v>
      </c>
      <c r="BR27" s="24" cm="1">
        <f t="array" ref="BR27">MAX(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-IF(VLOOKUP($R27,武学奇术!$A:$ZZ,32,FALSE)=1,12%,0),0)</f>
        <v>0.0929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0.9036</v>
      </c>
      <c r="BU27" s="24">
        <f t="shared" si="10"/>
        <v>0.00350000000000006</v>
      </c>
      <c r="BV27" s="24">
        <f>IF(VLOOKUP($R27,武学奇术!$A:$ZZ,22,FALSE)=1,0,(1-$BO27))*(1-$BR27)</f>
        <v>0</v>
      </c>
      <c r="BW27" s="24" cm="1">
        <f t="array" ref="BW27">SUM(_xlfn.XLOOKUP($S27:$AL27,增益!$A:$A,增益!$W:$W,0))+$I$5</f>
        <v>0.11</v>
      </c>
      <c r="BX27" s="24" cm="1">
        <f t="array" ref="BX27">SUM(_xlfn.XLOOKUP($S27:$AL27,增益!$A:$A,增益!$X:$X,0))</f>
        <v>0</v>
      </c>
    </row>
    <row r="28" spans="1:76">
      <c r="A28" s="4"/>
      <c r="B28" s="4"/>
      <c r="K28">
        <f>$L28*VLOOKUP($R28,武学奇术!$A:$ZZ,31,FALSE)</f>
        <v>30025.1272560689</v>
      </c>
      <c r="L28" s="36">
        <f t="shared" si="11"/>
        <v>30025.1272560689</v>
      </c>
      <c r="M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BQ28*$Q28*(1+IF(VLOOKUP($R28,武学奇术!$A:$ZZ,30,FALSE)="蓄力技",$B$21,0))*(1+$BW28)</f>
        <v>30220.6691445562</v>
      </c>
      <c r="N28" s="36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蓄力技",$B$21,0))*(1+$BW28)</f>
        <v>28547.1852552405</v>
      </c>
      <c r="O28" s="36">
        <f>((($AT28+($AU28-$AT28)*IF(VLOOKUP($R28,武学奇术!$A:$ZZ,31,FALSE)=1,$F$18,0.5))*$AN28+$AO28)*(1+$AV28)*(1+$AW28)+(($AY28+($AZ28-$AY28)*IF(VLOOKUP($R28,武学奇术!$A:$ZZ,31,FALSE)=1,$F$18,0.5))*IF($G$1="鸣金",$AP28,$AN28)+IF($G$1="鸣金",$AQ28*1.5,0))*(1+$BA28)*(1+$BB28)+(($BC28+($BD28-$BC28)*IF(VLOOKUP($R28,武学奇术!$A:$ZZ,31,FALSE)=1,$F$18,0.5))*IF($G$1="裂石",$AP28,$AN28)+IF($G$1="裂石",$AQ28*1.5,0))*(1+$BE28)*(1+$BF28)+(($BG28+($BH28-$BG28)*IF(VLOOKUP($R28,武学奇术!$A:$ZZ,31,FALSE)=1,$F$18,0.5))*IF($G$1="牵丝",$AP28,$AN28)+IF($G$1="牵丝",$AQ28*1.5,0))*(1+$BI28)*(1+$BJ28)+(($BK28+($BL28-$BK28)*IF(VLOOKUP($R28,武学奇术!$A:$ZZ,31,FALSE)=1,$F$18,0.5))*IF($G$1="破竹",$AP28,$AN28)+IF($G$1="破竹",$AQ28*1.5,0))*(1+$BM28)*(1+$BN28))*(1+$AR28)*$Q28*(1+IF(VLOOKUP($R28,武学奇术!$A:$ZZ,30,FALSE)="蓄力技",$B$21,0))*(1+$BW28)</f>
        <v>18770.6019531405</v>
      </c>
      <c r="P28" s="36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蓄力技",$B$21,0))*(1+$BW28)</f>
        <v>16395.1407542511</v>
      </c>
      <c r="Q28" s="37">
        <v>1</v>
      </c>
      <c r="R28" s="38" t="s">
        <v>168</v>
      </c>
      <c r="S28" s="38" t="s">
        <v>104</v>
      </c>
      <c r="T28" s="38" t="s">
        <v>79</v>
      </c>
      <c r="U28" s="38" t="s">
        <v>79</v>
      </c>
      <c r="V28" s="38" t="s">
        <v>79</v>
      </c>
      <c r="W28" s="38" t="s">
        <v>79</v>
      </c>
      <c r="X28" s="38" t="s">
        <v>79</v>
      </c>
      <c r="Y28" s="38" t="s">
        <v>165</v>
      </c>
      <c r="Z28" s="38" t="s">
        <v>79</v>
      </c>
      <c r="AA28" s="38" t="s">
        <v>79</v>
      </c>
      <c r="AB28" s="38" t="s">
        <v>79</v>
      </c>
      <c r="AC28" s="38" t="s">
        <v>79</v>
      </c>
      <c r="AD28" s="38" t="s">
        <v>79</v>
      </c>
      <c r="AE28" s="38" t="s">
        <v>79</v>
      </c>
      <c r="AF28" s="38" t="s">
        <v>84</v>
      </c>
      <c r="AG28" s="38" t="s">
        <v>85</v>
      </c>
      <c r="AH28" s="38" t="s">
        <v>79</v>
      </c>
      <c r="AI28" s="38" t="s">
        <v>79</v>
      </c>
      <c r="AJ28" s="38" t="s">
        <v>79</v>
      </c>
      <c r="AK28" s="38" t="s">
        <v>79</v>
      </c>
      <c r="AL28" s="38" t="s">
        <v>79</v>
      </c>
      <c r="AM28" t="str">
        <f>VLOOKUP($R28,武学奇术!$A:$ZZ,25,FALSE)</f>
        <v>绳镖</v>
      </c>
      <c r="AN28" s="24">
        <f>VLOOKUP($R28,武学奇术!$A:$ZZ,26,FALSE)</f>
        <v>1.6584</v>
      </c>
      <c r="AO28" s="25">
        <f>VLOOKUP($R28,武学奇术!$A:$ZZ,27,FALSE)*(1+IF(OR($AM28=$F$4,$AM28=$F$5),$B$22,0))</f>
        <v>687</v>
      </c>
      <c r="AP28" s="24">
        <f>VLOOKUP($R28,武学奇术!$A:$ZZ,28,FALSE)</f>
        <v>2.4876</v>
      </c>
      <c r="AQ28" s="25">
        <f>VLOOKUP($R28,武学奇术!$A:$ZZ,29,FALSE)*(1+IF(OR($AM28=$F$4,$AM28=$F$5),$B$22,0))</f>
        <v>375</v>
      </c>
      <c r="AR28" s="24" cm="1">
        <f t="array" ref="AR28">$G$3+IFERROR(VLOOKUP($AM28,$F$4:$G$7,2,FALSE),0)+VLOOKUP($R28,武学奇术!$A:$ZZ,2,FALSE)+SUM(_xlfn.XLOOKUP($S28:$AL28,增益!$A:$A,增益!$B:$B,0))</f>
        <v>0.2389</v>
      </c>
      <c r="AS28" s="24" cm="1">
        <f t="array" ref="AS28">VLOOKUP($R28,武学奇术!$A:$ZZ,5,FALSE)+SUM(_xlfn.XLOOKUP($S28:$AL28,增益!$A:$A,增益!$E:$E,0))</f>
        <v>0</v>
      </c>
      <c r="AT28" cm="1">
        <f t="array" ref="AT28">$D$10*(1+$AS28)+VLOOKUP($R28,武学奇术!$A:$ZZ,3,FALSE)+SUM(_xlfn.XLOOKUP($S28:$AL28,增益!$A:$A,增益!$C:$C,0))-$I$2</f>
        <v>3839.102</v>
      </c>
      <c r="AU28" cm="1">
        <f t="array" ref="AU28">$E$10*(1+$AS28)+VLOOKUP($R28,武学奇术!$A:$ZZ,4,FALSE)+SUM(_xlfn.XLOOKUP($S28:$AL28,增益!$A:$A,增益!$D:$D,0))-$I$2</f>
        <v>3839.102</v>
      </c>
      <c r="AV28" s="30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0.217</v>
      </c>
      <c r="AW28" s="30" cm="1">
        <f t="array" ref="AW28">$G$10+VLOOKUP($R28,武学奇术!$A:$ZZ,7,FALSE)+SUM(_xlfn.XLOOKUP($S28:$AL28,增益!$A:$A,增益!$G:$G,0))</f>
        <v>0.09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0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0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0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0" cm="1">
        <f t="array" ref="BF28">$G$12+VLOOKUP($R28,武学奇术!$A:$ZZ,12,FALSE)+SUM(_xlfn.XLOOKUP($S28:$AL28,增益!$A:$A,增益!$L:$L,0))</f>
        <v>0</v>
      </c>
      <c r="BG28">
        <f t="shared" si="5"/>
        <v>0</v>
      </c>
      <c r="BH28">
        <f t="shared" si="6"/>
        <v>0</v>
      </c>
      <c r="BI28" s="30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-0.3</v>
      </c>
      <c r="BJ28" s="30" cm="1">
        <f t="array" ref="BJ28">$G$13+VLOOKUP($R28,武学奇术!$A:$ZZ,14,FALSE)+SUM(_xlfn.XLOOKUP($S28:$AL28,增益!$A:$A,增益!$N:$N,0))</f>
        <v>0</v>
      </c>
      <c r="BK28">
        <f t="shared" si="7"/>
        <v>605.472</v>
      </c>
      <c r="BL28">
        <f t="shared" si="8"/>
        <v>1725.468</v>
      </c>
      <c r="BM28" s="30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0</v>
      </c>
      <c r="BN28" s="30" cm="1">
        <f t="array" ref="BN28">$G$14+VLOOKUP($R28,武学奇术!$A:$ZZ,16,FALSE)+SUM(_xlfn.XLOOKUP($S28:$AL28,增益!$A:$A,增益!$P:$P,0))</f>
        <v>0.24</v>
      </c>
      <c r="BO28" s="24">
        <f>MIN(IF(VLOOKUP($R28,武学奇术!$A:$ZZ,23,FALSE)=1,100%,$B$8),100%)</f>
        <v>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+MIN(IF(VLOOKUP($R28,武学奇术!$A:$ZZ,32,FALSE)=1,IF(VLOOKUP($R28,武学奇术!$A:$ZZ,24,FALSE)=1,100%,MIN(40%,$B$10+VLOOKUP($R28,武学奇术!$A:$ZZ,19,FALSE)+SUM(_xlfn.XLOOKUP($S28:$AL28,增益!$A:$A,增益!$S:$S,0)))+$B$12+SUM(_xlfn.XLOOKUP($S28:$AL28,增益!$A:$A,增益!$V:$V,0))),0),12%)</f>
        <v>0.9036</v>
      </c>
      <c r="BQ28" s="24" cm="1">
        <f t="array" ref="BQ28">1+$B$13+VLOOKUP($R28,武学奇术!$A:$ZZ,18,FALSE)+SUM(_xlfn.XLOOKUP($S28:$AL28,增益!$A:$A,增益!$R:$R,0))</f>
        <v>1.61</v>
      </c>
      <c r="BR28" s="24" cm="1">
        <f t="array" ref="BR28">MAX(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-IF(VLOOKUP($R28,武学奇术!$A:$ZZ,32,FALSE)=1,12%,0),0)</f>
        <v>0.0929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0.9036</v>
      </c>
      <c r="BU28" s="24">
        <f t="shared" si="10"/>
        <v>0.00350000000000006</v>
      </c>
      <c r="BV28" s="24">
        <f>IF(VLOOKUP($R28,武学奇术!$A:$ZZ,22,FALSE)=1,0,(1-$BO28))*(1-$BR28)</f>
        <v>0</v>
      </c>
      <c r="BW28" s="24" cm="1">
        <f t="array" ref="BW28">SUM(_xlfn.XLOOKUP($S28:$AL28,增益!$A:$A,增益!$W:$W,0))+$I$5</f>
        <v>0.11</v>
      </c>
      <c r="BX28" s="24" cm="1">
        <f t="array" ref="BX28">SUM(_xlfn.XLOOKUP($S28:$AL28,增益!$A:$A,增益!$X:$X,0))</f>
        <v>0</v>
      </c>
    </row>
    <row r="29" spans="1:76">
      <c r="K29">
        <f>$L29*VLOOKUP($R29,武学奇术!$A:$ZZ,31,FALSE)</f>
        <v>81776.0227192868</v>
      </c>
      <c r="L29" s="36">
        <f t="shared" si="11"/>
        <v>62904.6328609898</v>
      </c>
      <c r="M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BQ29*$Q29*(1+IF(VLOOKUP($R29,武学奇术!$A:$ZZ,30,FALSE)="蓄力技",$B$21,0))*(1+$BW29)</f>
        <v>64152.4481288677</v>
      </c>
      <c r="N29" s="36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蓄力技",$B$21,0))*(1+$BW29)</f>
        <v>51872.1624286763</v>
      </c>
      <c r="O29" s="36">
        <f>((($AT29+($AU29-$AT29)*IF(VLOOKUP($R29,武学奇术!$A:$ZZ,31,FALSE)=1,$F$18,0.5))*$AN29+$AO29)*(1+$AV29)*(1+$AW29)+(($AY29+($AZ29-$AY29)*IF(VLOOKUP($R29,武学奇术!$A:$ZZ,31,FALSE)=1,$F$18,0.5))*IF($G$1="鸣金",$AP29,$AN29)+IF($G$1="鸣金",$AQ29*1.5,0))*(1+$BA29)*(1+$BB29)+(($BC29+($BD29-$BC29)*IF(VLOOKUP($R29,武学奇术!$A:$ZZ,31,FALSE)=1,$F$18,0.5))*IF($G$1="裂石",$AP29,$AN29)+IF($G$1="裂石",$AQ29*1.5,0))*(1+$BE29)*(1+$BF29)+(($BG29+($BH29-$BG29)*IF(VLOOKUP($R29,武学奇术!$A:$ZZ,31,FALSE)=1,$F$18,0.5))*IF($G$1="牵丝",$AP29,$AN29)+IF($G$1="牵丝",$AQ29*1.5,0))*(1+$BI29)*(1+$BJ29)+(($BK29+($BL29-$BK29)*IF(VLOOKUP($R29,武学奇术!$A:$ZZ,31,FALSE)=1,$F$18,0.5))*IF($G$1="破竹",$AP29,$AN29)+IF($G$1="破竹",$AQ29*1.5,0))*(1+$BM29)*(1+$BN29))*(1+$AR29)*$Q29*(1+IF(VLOOKUP($R29,武学奇术!$A:$ZZ,30,FALSE)="蓄力技",$B$21,0))*(1+$BW29)</f>
        <v>33587.6691774176</v>
      </c>
      <c r="P29" s="36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蓄力技",$B$21,0))*(1+$BW29)</f>
        <v>28751.5143335935</v>
      </c>
      <c r="Q29" s="37">
        <v>1</v>
      </c>
      <c r="R29" s="38" t="s">
        <v>117</v>
      </c>
      <c r="S29" s="38" t="s">
        <v>104</v>
      </c>
      <c r="T29" s="38" t="s">
        <v>79</v>
      </c>
      <c r="U29" s="38" t="s">
        <v>79</v>
      </c>
      <c r="V29" s="38" t="s">
        <v>79</v>
      </c>
      <c r="W29" s="38" t="s">
        <v>79</v>
      </c>
      <c r="X29" s="38" t="s">
        <v>79</v>
      </c>
      <c r="Y29" s="38" t="s">
        <v>165</v>
      </c>
      <c r="Z29" s="38" t="s">
        <v>79</v>
      </c>
      <c r="AA29" s="38" t="s">
        <v>112</v>
      </c>
      <c r="AB29" s="38" t="s">
        <v>79</v>
      </c>
      <c r="AC29" s="38" t="s">
        <v>79</v>
      </c>
      <c r="AD29" s="38" t="s">
        <v>79</v>
      </c>
      <c r="AE29" s="38" t="s">
        <v>79</v>
      </c>
      <c r="AF29" s="38" t="s">
        <v>84</v>
      </c>
      <c r="AG29" s="38" t="s">
        <v>85</v>
      </c>
      <c r="AH29" s="38" t="s">
        <v>79</v>
      </c>
      <c r="AI29" s="38" t="s">
        <v>79</v>
      </c>
      <c r="AJ29" s="38" t="s">
        <v>79</v>
      </c>
      <c r="AK29" s="38" t="s">
        <v>79</v>
      </c>
      <c r="AL29" s="38" t="s">
        <v>79</v>
      </c>
      <c r="AM29" t="str">
        <f>VLOOKUP($R29,武学奇术!$A:$ZZ,25,FALSE)</f>
        <v>绳镖</v>
      </c>
      <c r="AN29" s="24">
        <f>VLOOKUP($R29,武学奇术!$A:$ZZ,26,FALSE)</f>
        <v>2.638944</v>
      </c>
      <c r="AO29" s="25">
        <f>VLOOKUP($R29,武学奇术!$A:$ZZ,27,FALSE)*(1+IF(OR($AM29=$F$4,$AM29=$F$5),$B$22,0))</f>
        <v>0</v>
      </c>
      <c r="AP29" s="24">
        <f>VLOOKUP($R29,武学奇术!$A:$ZZ,28,FALSE)</f>
        <v>3.958416</v>
      </c>
      <c r="AQ29" s="25">
        <f>VLOOKUP($R29,武学奇术!$A:$ZZ,29,FALSE)*(1+IF(OR($AM29=$F$4,$AM29=$F$5),$B$22,0))</f>
        <v>0</v>
      </c>
      <c r="AR29" s="24" cm="1">
        <f t="array" ref="AR29">$G$3+IFERROR(VLOOKUP($AM29,$F$4:$G$7,2,FALSE),0)+VLOOKUP($R29,武学奇术!$A:$ZZ,2,FALSE)+SUM(_xlfn.XLOOKUP($S29:$AL29,增益!$A:$A,增益!$B:$B,0))</f>
        <v>0.5389</v>
      </c>
      <c r="AS29" s="24" cm="1">
        <f t="array" ref="AS29">VLOOKUP($R29,武学奇术!$A:$ZZ,5,FALSE)+SUM(_xlfn.XLOOKUP($S29:$AL29,增益!$A:$A,增益!$E:$E,0))</f>
        <v>0</v>
      </c>
      <c r="AT29" cm="1">
        <f t="array" ref="AT29">$D$10*(1+$AS29)+VLOOKUP($R29,武学奇术!$A:$ZZ,3,FALSE)+SUM(_xlfn.XLOOKUP($S29:$AL29,增益!$A:$A,增益!$C:$C,0))-$I$2</f>
        <v>3839.102</v>
      </c>
      <c r="AU29" cm="1">
        <f t="array" ref="AU29">$E$10*(1+$AS29)+VLOOKUP($R29,武学奇术!$A:$ZZ,4,FALSE)+SUM(_xlfn.XLOOKUP($S29:$AL29,增益!$A:$A,增益!$D:$D,0))-$I$2</f>
        <v>3839.102</v>
      </c>
      <c r="AV29" s="30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0.247</v>
      </c>
      <c r="AW29" s="30" cm="1">
        <f t="array" ref="AW29">$G$10+VLOOKUP($R29,武学奇术!$A:$ZZ,7,FALSE)+SUM(_xlfn.XLOOKUP($S29:$AL29,增益!$A:$A,增益!$G:$G,0))</f>
        <v>0.09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0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-0.24</v>
      </c>
      <c r="BB29" s="30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0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-0.24</v>
      </c>
      <c r="BF29" s="30" cm="1">
        <f t="array" ref="BF29">$G$12+VLOOKUP($R29,武学奇术!$A:$ZZ,12,FALSE)+SUM(_xlfn.XLOOKUP($S29:$AL29,增益!$A:$A,增益!$L:$L,0))</f>
        <v>0</v>
      </c>
      <c r="BG29">
        <f t="shared" si="5"/>
        <v>0</v>
      </c>
      <c r="BH29">
        <f t="shared" si="6"/>
        <v>0</v>
      </c>
      <c r="BI29" s="30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-0.24</v>
      </c>
      <c r="BJ29" s="30" cm="1">
        <f t="array" ref="BJ29">$G$13+VLOOKUP($R29,武学奇术!$A:$ZZ,14,FALSE)+SUM(_xlfn.XLOOKUP($S29:$AL29,增益!$A:$A,增益!$N:$N,0))</f>
        <v>0</v>
      </c>
      <c r="BK29">
        <f t="shared" si="7"/>
        <v>605.472</v>
      </c>
      <c r="BL29">
        <f t="shared" si="8"/>
        <v>1725.468</v>
      </c>
      <c r="BM29" s="30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0.03</v>
      </c>
      <c r="BN29" s="30" cm="1">
        <f t="array" ref="BN29">$G$14+VLOOKUP($R29,武学奇术!$A:$ZZ,16,FALSE)+SUM(_xlfn.XLOOKUP($S29:$AL29,增益!$A:$A,增益!$P:$P,0))</f>
        <v>0.24</v>
      </c>
      <c r="BO29" s="24">
        <f>MIN(IF(VLOOKUP($R29,武学奇术!$A:$ZZ,23,FALSE)=1,100%,$B$8),100%)</f>
        <v>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+MIN(IF(VLOOKUP($R29,武学奇术!$A:$ZZ,32,FALSE)=1,IF(VLOOKUP($R29,武学奇术!$A:$ZZ,24,FALSE)=1,100%,MIN(40%,$B$10+VLOOKUP($R29,武学奇术!$A:$ZZ,19,FALSE)+SUM(_xlfn.XLOOKUP($S29:$AL29,增益!$A:$A,增益!$S:$S,0)))+$B$12+SUM(_xlfn.XLOOKUP($S29:$AL29,增益!$A:$A,增益!$V:$V,0))),0),12%)</f>
        <v>0.9036</v>
      </c>
      <c r="BQ29" s="24" cm="1">
        <f t="array" ref="BQ29">1+$B$13+VLOOKUP($R29,武学奇术!$A:$ZZ,18,FALSE)+SUM(_xlfn.XLOOKUP($S29:$AL29,增益!$A:$A,增益!$R:$R,0))</f>
        <v>1.91</v>
      </c>
      <c r="BR29" s="24" cm="1">
        <f t="array" ref="BR29">MAX(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-IF(VLOOKUP($R29,武学奇术!$A:$ZZ,32,FALSE)=1,12%,0),0)</f>
        <v>0.0929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0.9036</v>
      </c>
      <c r="BU29" s="24">
        <f t="shared" si="10"/>
        <v>0.00350000000000006</v>
      </c>
      <c r="BV29" s="24">
        <f>IF(VLOOKUP($R29,武学奇术!$A:$ZZ,22,FALSE)=1,0,(1-$BO29))*(1-$BR29)</f>
        <v>0</v>
      </c>
      <c r="BW29" s="24" cm="1">
        <f t="array" ref="BW29">SUM(_xlfn.XLOOKUP($S29:$AL29,增益!$A:$A,增益!$W:$W,0))+$I$5</f>
        <v>0.11</v>
      </c>
      <c r="BX29" s="24" cm="1">
        <f t="array" ref="BX29">SUM(_xlfn.XLOOKUP($S29:$AL29,增益!$A:$A,增益!$X:$X,0))</f>
        <v>0</v>
      </c>
    </row>
    <row r="30" spans="1:76">
      <c r="K30">
        <f>$L30*VLOOKUP($R30,武学奇术!$A:$ZZ,31,FALSE)</f>
        <v>47511.0098016164</v>
      </c>
      <c r="L30" s="36">
        <f t="shared" si="11"/>
        <v>47511.0098016164</v>
      </c>
      <c r="M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BQ30*$Q30*(1+IF(VLOOKUP($R30,武学奇术!$A:$ZZ,30,FALSE)="蓄力技",$B$21,0))*(1+$BW30)</f>
        <v>47847.026696701</v>
      </c>
      <c r="N30" s="36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蓄力技",$B$21,0))*(1+$BW30)</f>
        <v>44919.9491135756</v>
      </c>
      <c r="O30" s="36">
        <f>((($AT30+($AU30-$AT30)*IF(VLOOKUP($R30,武学奇术!$A:$ZZ,31,FALSE)=1,$F$18,0.5))*$AN30+$AO30)*(1+$AV30)*(1+$AW30)+(($AY30+($AZ30-$AY30)*IF(VLOOKUP($R30,武学奇术!$A:$ZZ,31,FALSE)=1,$F$18,0.5))*IF($G$1="鸣金",$AP30,$AN30)+IF($G$1="鸣金",$AQ30*1.5,0))*(1+$BA30)*(1+$BB30)+(($BC30+($BD30-$BC30)*IF(VLOOKUP($R30,武学奇术!$A:$ZZ,31,FALSE)=1,$F$18,0.5))*IF($G$1="裂石",$AP30,$AN30)+IF($G$1="裂石",$AQ30*1.5,0))*(1+$BE30)*(1+$BF30)+(($BG30+($BH30-$BG30)*IF(VLOOKUP($R30,武学奇术!$A:$ZZ,31,FALSE)=1,$F$18,0.5))*IF($G$1="牵丝",$AP30,$AN30)+IF($G$1="牵丝",$AQ30*1.5,0))*(1+$BI30)*(1+$BJ30)+(($BK30+($BL30-$BK30)*IF(VLOOKUP($R30,武学奇术!$A:$ZZ,31,FALSE)=1,$F$18,0.5))*IF($G$1="破竹",$AP30,$AN30)+IF($G$1="破竹",$AQ30*1.5,0))*(1+$BM30)*(1+$BN30))*(1+$AR30)*$Q30*(1+IF(VLOOKUP($R30,武学奇术!$A:$ZZ,30,FALSE)="蓄力技",$B$21,0))*(1+$BW30)</f>
        <v>29535.2016646302</v>
      </c>
      <c r="P30" s="36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蓄力技",$B$21,0))*(1+$BW30)</f>
        <v>25796.3669488341</v>
      </c>
      <c r="Q30" s="37">
        <v>1</v>
      </c>
      <c r="R30" s="38" t="s">
        <v>127</v>
      </c>
      <c r="S30" s="38" t="s">
        <v>104</v>
      </c>
      <c r="T30" s="38" t="s">
        <v>79</v>
      </c>
      <c r="U30" s="38" t="s">
        <v>79</v>
      </c>
      <c r="V30" s="38" t="s">
        <v>79</v>
      </c>
      <c r="W30" s="38" t="s">
        <v>79</v>
      </c>
      <c r="X30" s="38" t="s">
        <v>79</v>
      </c>
      <c r="Y30" s="38" t="s">
        <v>170</v>
      </c>
      <c r="Z30" s="38" t="s">
        <v>79</v>
      </c>
      <c r="AA30" s="38" t="s">
        <v>79</v>
      </c>
      <c r="AB30" s="38" t="s">
        <v>79</v>
      </c>
      <c r="AC30" s="38" t="s">
        <v>79</v>
      </c>
      <c r="AD30" s="38" t="s">
        <v>79</v>
      </c>
      <c r="AE30" s="38" t="s">
        <v>79</v>
      </c>
      <c r="AF30" s="38" t="s">
        <v>84</v>
      </c>
      <c r="AG30" s="38" t="s">
        <v>85</v>
      </c>
      <c r="AH30" s="38" t="s">
        <v>79</v>
      </c>
      <c r="AI30" s="38" t="s">
        <v>79</v>
      </c>
      <c r="AJ30" s="38" t="s">
        <v>79</v>
      </c>
      <c r="AK30" s="38" t="s">
        <v>79</v>
      </c>
      <c r="AL30" s="38" t="s">
        <v>79</v>
      </c>
      <c r="AM30" t="str">
        <f>VLOOKUP($R30,武学奇术!$A:$ZZ,25,FALSE)</f>
        <v>拳甲</v>
      </c>
      <c r="AN30" s="24">
        <f>VLOOKUP($R30,武学奇术!$A:$ZZ,26,FALSE)</f>
        <v>2.4421</v>
      </c>
      <c r="AO30" s="25">
        <f>VLOOKUP($R30,武学奇术!$A:$ZZ,27,FALSE)*(1+IF(OR($AM30=$F$4,$AM30=$F$5),$B$22,0))</f>
        <v>1012.5</v>
      </c>
      <c r="AP30" s="24">
        <f>VLOOKUP($R30,武学奇术!$A:$ZZ,28,FALSE)</f>
        <v>3.6634</v>
      </c>
      <c r="AQ30" s="25">
        <f>VLOOKUP($R30,武学奇术!$A:$ZZ,29,FALSE)*(1+IF(OR($AM30=$F$4,$AM30=$F$5),$B$22,0))</f>
        <v>549</v>
      </c>
      <c r="AR30" s="24" cm="1">
        <f t="array" ref="AR30">$G$3+IFERROR(VLOOKUP($AM30,$F$4:$G$7,2,FALSE),0)+VLOOKUP($R30,武学奇术!$A:$ZZ,2,FALSE)+SUM(_xlfn.XLOOKUP($S30:$AL30,增益!$A:$A,增益!$B:$B,0))</f>
        <v>0.3241</v>
      </c>
      <c r="AS30" s="24" cm="1">
        <f t="array" ref="AS30">VLOOKUP($R30,武学奇术!$A:$ZZ,5,FALSE)+SUM(_xlfn.XLOOKUP($S30:$AL30,增益!$A:$A,增益!$E:$E,0))</f>
        <v>0</v>
      </c>
      <c r="AT30" cm="1">
        <f t="array" ref="AT30">$D$10*(1+$AS30)+VLOOKUP($R30,武学奇术!$A:$ZZ,3,FALSE)+SUM(_xlfn.XLOOKUP($S30:$AL30,增益!$A:$A,增益!$C:$C,0))-$I$2</f>
        <v>3839.102</v>
      </c>
      <c r="AU30" cm="1">
        <f t="array" ref="AU30">$E$10*(1+$AS30)+VLOOKUP($R30,武学奇术!$A:$ZZ,4,FALSE)+SUM(_xlfn.XLOOKUP($S30:$AL30,增益!$A:$A,增益!$D:$D,0))-$I$2</f>
        <v>3839.102</v>
      </c>
      <c r="AV30" s="30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0.217</v>
      </c>
      <c r="AW30" s="30" cm="1">
        <f t="array" ref="AW30">$G$10+VLOOKUP($R30,武学奇术!$A:$ZZ,7,FALSE)+SUM(_xlfn.XLOOKUP($S30:$AL30,增益!$A:$A,增益!$G:$G,0))</f>
        <v>0.09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0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0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0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0" cm="1">
        <f t="array" ref="BF30">$G$12+VLOOKUP($R30,武学奇术!$A:$ZZ,12,FALSE)+SUM(_xlfn.XLOOKUP($S30:$AL30,增益!$A:$A,增益!$L:$L,0))</f>
        <v>0</v>
      </c>
      <c r="BG30">
        <f t="shared" si="5"/>
        <v>0</v>
      </c>
      <c r="BH30">
        <f t="shared" si="6"/>
        <v>0</v>
      </c>
      <c r="BI30" s="30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-0.3</v>
      </c>
      <c r="BJ30" s="30" cm="1">
        <f t="array" ref="BJ30">$G$13+VLOOKUP($R30,武学奇术!$A:$ZZ,14,FALSE)+SUM(_xlfn.XLOOKUP($S30:$AL30,增益!$A:$A,增益!$N:$N,0))</f>
        <v>0</v>
      </c>
      <c r="BK30">
        <f t="shared" si="7"/>
        <v>605.472</v>
      </c>
      <c r="BL30">
        <f t="shared" si="8"/>
        <v>1725.468</v>
      </c>
      <c r="BM30" s="30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0</v>
      </c>
      <c r="BN30" s="30" cm="1">
        <f t="array" ref="BN30">$G$14+VLOOKUP($R30,武学奇术!$A:$ZZ,16,FALSE)+SUM(_xlfn.XLOOKUP($S30:$AL30,增益!$A:$A,增益!$P:$P,0))</f>
        <v>0.24</v>
      </c>
      <c r="BO30" s="24">
        <f>MIN(IF(VLOOKUP($R30,武学奇术!$A:$ZZ,23,FALSE)=1,100%,$B$8),100%)</f>
        <v>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+MIN(IF(VLOOKUP($R30,武学奇术!$A:$ZZ,32,FALSE)=1,IF(VLOOKUP($R30,武学奇术!$A:$ZZ,24,FALSE)=1,100%,MIN(40%,$B$10+VLOOKUP($R30,武学奇术!$A:$ZZ,19,FALSE)+SUM(_xlfn.XLOOKUP($S30:$AL30,增益!$A:$A,增益!$S:$S,0)))+$B$12+SUM(_xlfn.XLOOKUP($S30:$AL30,增益!$A:$A,增益!$V:$V,0))),0),12%)</f>
        <v>0.9036</v>
      </c>
      <c r="BQ30" s="24" cm="1">
        <f t="array" ref="BQ30">1+$B$13+VLOOKUP($R30,武学奇术!$A:$ZZ,18,FALSE)+SUM(_xlfn.XLOOKUP($S30:$AL30,增益!$A:$A,增益!$R:$R,0))</f>
        <v>1.62</v>
      </c>
      <c r="BR30" s="24" cm="1">
        <f t="array" ref="BR30">MAX(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-IF(VLOOKUP($R30,武学奇术!$A:$ZZ,32,FALSE)=1,12%,0),0)</f>
        <v>0.0929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0.9036</v>
      </c>
      <c r="BU30" s="24">
        <f t="shared" si="10"/>
        <v>0.00350000000000006</v>
      </c>
      <c r="BV30" s="24">
        <f>IF(VLOOKUP($R30,武学奇术!$A:$ZZ,22,FALSE)=1,0,(1-$BO30))*(1-$BR30)</f>
        <v>0</v>
      </c>
      <c r="BW30" s="24" cm="1">
        <f t="array" ref="BW30">SUM(_xlfn.XLOOKUP($S30:$AL30,增益!$A:$A,增益!$W:$W,0))+$I$5</f>
        <v>0.11</v>
      </c>
      <c r="BX30" s="24" cm="1">
        <f t="array" ref="BX30">SUM(_xlfn.XLOOKUP($S30:$AL30,增益!$A:$A,增益!$X:$X,0))</f>
        <v>0</v>
      </c>
    </row>
    <row r="31" spans="1:76">
      <c r="K31">
        <f>$L31*VLOOKUP($R31,武学奇术!$A:$ZZ,31,FALSE)</f>
        <v>25213.2992212792</v>
      </c>
      <c r="L31" s="36">
        <f t="shared" si="11"/>
        <v>25213.2992212792</v>
      </c>
      <c r="M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BQ31*$Q31*(1+IF(VLOOKUP($R31,武学奇术!$A:$ZZ,30,FALSE)="蓄力技",$B$21,0))*(1+$BW31)</f>
        <v>25405.9003262651</v>
      </c>
      <c r="N31" s="36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蓄力技",$B$21,0))*(1+$BW31)</f>
        <v>23702.6387486891</v>
      </c>
      <c r="O31" s="36">
        <f>((($AT31+($AU31-$AT31)*IF(VLOOKUP($R31,武学奇术!$A:$ZZ,31,FALSE)=1,$F$18,0.5))*$AN31+$AO31)*(1+$AV31)*(1+$AW31)+(($AY31+($AZ31-$AY31)*IF(VLOOKUP($R31,武学奇术!$A:$ZZ,31,FALSE)=1,$F$18,0.5))*IF($G$1="鸣金",$AP31,$AN31)+IF($G$1="鸣金",$AQ31*1.5,0))*(1+$BA31)*(1+$BB31)+(($BC31+($BD31-$BC31)*IF(VLOOKUP($R31,武学奇术!$A:$ZZ,31,FALSE)=1,$F$18,0.5))*IF($G$1="裂石",$AP31,$AN31)+IF($G$1="裂石",$AQ31*1.5,0))*(1+$BE31)*(1+$BF31)+(($BG31+($BH31-$BG31)*IF(VLOOKUP($R31,武学奇术!$A:$ZZ,31,FALSE)=1,$F$18,0.5))*IF($G$1="牵丝",$AP31,$AN31)+IF($G$1="牵丝",$AQ31*1.5,0))*(1+$BI31)*(1+$BJ31)+(($BK31+($BL31-$BK31)*IF(VLOOKUP($R31,武学奇术!$A:$ZZ,31,FALSE)=1,$F$18,0.5))*IF($G$1="破竹",$AP31,$AN31)+IF($G$1="破竹",$AQ31*1.5,0))*(1+$BM31)*(1+$BN31))*(1+$AR31)*$Q31*(1+IF(VLOOKUP($R31,武学奇术!$A:$ZZ,30,FALSE)="蓄力技",$B$21,0))*(1+$BW31)</f>
        <v>15586.4419179541</v>
      </c>
      <c r="P31" s="36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蓄力技",$B$21,0))*(1+$BW31)</f>
        <v>13615.373651694</v>
      </c>
      <c r="Q31" s="37">
        <v>1</v>
      </c>
      <c r="R31" s="38" t="s">
        <v>122</v>
      </c>
      <c r="S31" s="38" t="s">
        <v>104</v>
      </c>
      <c r="T31" s="38" t="s">
        <v>79</v>
      </c>
      <c r="U31" s="38" t="s">
        <v>79</v>
      </c>
      <c r="V31" s="38" t="s">
        <v>79</v>
      </c>
      <c r="W31" s="38" t="s">
        <v>79</v>
      </c>
      <c r="X31" s="38" t="s">
        <v>79</v>
      </c>
      <c r="Y31" s="38" t="s">
        <v>171</v>
      </c>
      <c r="Z31" s="38" t="s">
        <v>79</v>
      </c>
      <c r="AA31" s="38" t="s">
        <v>79</v>
      </c>
      <c r="AB31" s="38" t="s">
        <v>79</v>
      </c>
      <c r="AC31" s="38" t="s">
        <v>79</v>
      </c>
      <c r="AD31" s="38" t="s">
        <v>79</v>
      </c>
      <c r="AE31" s="38" t="s">
        <v>79</v>
      </c>
      <c r="AF31" s="38" t="s">
        <v>84</v>
      </c>
      <c r="AG31" s="38" t="s">
        <v>85</v>
      </c>
      <c r="AH31" s="38" t="s">
        <v>79</v>
      </c>
      <c r="AI31" s="38" t="s">
        <v>79</v>
      </c>
      <c r="AJ31" s="38" t="s">
        <v>79</v>
      </c>
      <c r="AK31" s="38" t="s">
        <v>79</v>
      </c>
      <c r="AL31" s="38" t="s">
        <v>79</v>
      </c>
      <c r="AM31" t="str">
        <f>VLOOKUP($R31,武学奇术!$A:$ZZ,25,FALSE)</f>
        <v>拳甲</v>
      </c>
      <c r="AN31" s="24">
        <f>VLOOKUP($R31,武学奇术!$A:$ZZ,26,FALSE)</f>
        <v>1.2876</v>
      </c>
      <c r="AO31" s="25">
        <f>VLOOKUP($R31,武学奇术!$A:$ZZ,27,FALSE)*(1+IF(OR($AM31=$F$4,$AM31=$F$5),$B$22,0))</f>
        <v>537</v>
      </c>
      <c r="AP31" s="24">
        <f>VLOOKUP($R31,武学奇术!$A:$ZZ,28,FALSE)</f>
        <v>1.9313</v>
      </c>
      <c r="AQ31" s="25">
        <f>VLOOKUP($R31,武学奇术!$A:$ZZ,29,FALSE)*(1+IF(OR($AM31=$F$4,$AM31=$F$5),$B$22,0))</f>
        <v>292.5</v>
      </c>
      <c r="AR31" s="24" cm="1">
        <f t="array" ref="AR31">$G$3+IFERROR(VLOOKUP($AM31,$F$4:$G$7,2,FALSE),0)+VLOOKUP($R31,武学奇术!$A:$ZZ,2,FALSE)+SUM(_xlfn.XLOOKUP($S31:$AL31,增益!$A:$A,增益!$B:$B,0))</f>
        <v>0.3241</v>
      </c>
      <c r="AS31" s="24" cm="1">
        <f t="array" ref="AS31">VLOOKUP($R31,武学奇术!$A:$ZZ,5,FALSE)+SUM(_xlfn.XLOOKUP($S31:$AL31,增益!$A:$A,增益!$E:$E,0))</f>
        <v>0</v>
      </c>
      <c r="AT31" cm="1">
        <f t="array" ref="AT31">$D$10*(1+$AS31)+VLOOKUP($R31,武学奇术!$A:$ZZ,3,FALSE)+SUM(_xlfn.XLOOKUP($S31:$AL31,增益!$A:$A,增益!$C:$C,0))-$I$2</f>
        <v>3839.102</v>
      </c>
      <c r="AU31" cm="1">
        <f t="array" ref="AU31">$E$10*(1+$AS31)+VLOOKUP($R31,武学奇术!$A:$ZZ,4,FALSE)+SUM(_xlfn.XLOOKUP($S31:$AL31,增益!$A:$A,增益!$D:$D,0))-$I$2</f>
        <v>3839.102</v>
      </c>
      <c r="AV31" s="30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0.217</v>
      </c>
      <c r="AW31" s="30" cm="1">
        <f t="array" ref="AW31">$G$10+VLOOKUP($R31,武学奇术!$A:$ZZ,7,FALSE)+SUM(_xlfn.XLOOKUP($S31:$AL31,增益!$A:$A,增益!$G:$G,0))</f>
        <v>0.09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0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0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0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0" cm="1">
        <f t="array" ref="BF31">$G$12+VLOOKUP($R31,武学奇术!$A:$ZZ,12,FALSE)+SUM(_xlfn.XLOOKUP($S31:$AL31,增益!$A:$A,增益!$L:$L,0))</f>
        <v>0</v>
      </c>
      <c r="BG31">
        <f t="shared" si="5"/>
        <v>0</v>
      </c>
      <c r="BH31">
        <f t="shared" si="6"/>
        <v>0</v>
      </c>
      <c r="BI31" s="30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-0.3</v>
      </c>
      <c r="BJ31" s="30" cm="1">
        <f t="array" ref="BJ31">$G$13+VLOOKUP($R31,武学奇术!$A:$ZZ,14,FALSE)+SUM(_xlfn.XLOOKUP($S31:$AL31,增益!$A:$A,增益!$N:$N,0))</f>
        <v>0</v>
      </c>
      <c r="BK31">
        <f t="shared" si="7"/>
        <v>605.472</v>
      </c>
      <c r="BL31">
        <f t="shared" si="8"/>
        <v>1725.468</v>
      </c>
      <c r="BM31" s="30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0</v>
      </c>
      <c r="BN31" s="30" cm="1">
        <f t="array" ref="BN31">$G$14+VLOOKUP($R31,武学奇术!$A:$ZZ,16,FALSE)+SUM(_xlfn.XLOOKUP($S31:$AL31,增益!$A:$A,增益!$P:$P,0))</f>
        <v>0.24</v>
      </c>
      <c r="BO31" s="24">
        <f>MIN(IF(VLOOKUP($R31,武学奇术!$A:$ZZ,23,FALSE)=1,100%,$B$8),100%)</f>
        <v>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+MIN(IF(VLOOKUP($R31,武学奇术!$A:$ZZ,32,FALSE)=1,IF(VLOOKUP($R31,武学奇术!$A:$ZZ,24,FALSE)=1,100%,MIN(40%,$B$10+VLOOKUP($R31,武学奇术!$A:$ZZ,19,FALSE)+SUM(_xlfn.XLOOKUP($S31:$AL31,增益!$A:$A,增益!$S:$S,0)))+$B$12+SUM(_xlfn.XLOOKUP($S31:$AL31,增益!$A:$A,增益!$V:$V,0))),0),12%)</f>
        <v>0.9036</v>
      </c>
      <c r="BQ31" s="24" cm="1">
        <f t="array" ref="BQ31">1+$B$13+VLOOKUP($R31,武学奇术!$A:$ZZ,18,FALSE)+SUM(_xlfn.XLOOKUP($S31:$AL31,增益!$A:$A,增益!$R:$R,0))</f>
        <v>1.63</v>
      </c>
      <c r="BR31" s="24" cm="1">
        <f t="array" ref="BR31">MAX(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-IF(VLOOKUP($R31,武学奇术!$A:$ZZ,32,FALSE)=1,12%,0),0)</f>
        <v>0.0929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0.9036</v>
      </c>
      <c r="BU31" s="24">
        <f t="shared" si="10"/>
        <v>0.00350000000000006</v>
      </c>
      <c r="BV31" s="24">
        <f>IF(VLOOKUP($R31,武学奇术!$A:$ZZ,22,FALSE)=1,0,(1-$BO31))*(1-$BR31)</f>
        <v>0</v>
      </c>
      <c r="BW31" s="24" cm="1">
        <f t="array" ref="BW31">SUM(_xlfn.XLOOKUP($S31:$AL31,增益!$A:$A,增益!$W:$W,0))+$I$5</f>
        <v>0.11</v>
      </c>
      <c r="BX31" s="24" cm="1">
        <f t="array" ref="BX31">SUM(_xlfn.XLOOKUP($S31:$AL31,增益!$A:$A,增益!$X:$X,0))</f>
        <v>0</v>
      </c>
    </row>
    <row r="32" spans="1:76">
      <c r="K32">
        <f>$L32*VLOOKUP($R32,武学奇术!$A:$ZZ,31,FALSE)</f>
        <v>87136.2714390855</v>
      </c>
      <c r="L32" s="36">
        <f t="shared" si="11"/>
        <v>67027.9011069889</v>
      </c>
      <c r="M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BQ32*$Q32*(1+IF(VLOOKUP($R32,武学奇术!$A:$ZZ,30,FALSE)="蓄力技",$B$21,0))*(1+$BW32)</f>
        <v>68413.1429438657</v>
      </c>
      <c r="N32" s="36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蓄力技",$B$21,0))*(1+$BW32)</f>
        <v>54744.0243033421</v>
      </c>
      <c r="O32" s="36">
        <f>((($AT32+($AU32-$AT32)*IF(VLOOKUP($R32,武学奇术!$A:$ZZ,31,FALSE)=1,$F$18,0.5))*$AN32+$AO32)*(1+$AV32)*(1+$AW32)+(($AY32+($AZ32-$AY32)*IF(VLOOKUP($R32,武学奇术!$A:$ZZ,31,FALSE)=1,$F$18,0.5))*IF($G$1="鸣金",$AP32,$AN32)+IF($G$1="鸣金",$AQ32*1.5,0))*(1+$BA32)*(1+$BB32)+(($BC32+($BD32-$BC32)*IF(VLOOKUP($R32,武学奇术!$A:$ZZ,31,FALSE)=1,$F$18,0.5))*IF($G$1="裂石",$AP32,$AN32)+IF($G$1="裂石",$AQ32*1.5,0))*(1+$BE32)*(1+$BF32)+(($BG32+($BH32-$BG32)*IF(VLOOKUP($R32,武学奇术!$A:$ZZ,31,FALSE)=1,$F$18,0.5))*IF($G$1="牵丝",$AP32,$AN32)+IF($G$1="牵丝",$AQ32*1.5,0))*(1+$BI32)*(1+$BJ32)+(($BK32+($BL32-$BK32)*IF(VLOOKUP($R32,武学奇术!$A:$ZZ,31,FALSE)=1,$F$18,0.5))*IF($G$1="破竹",$AP32,$AN32)+IF($G$1="破竹",$AQ32*1.5,0))*(1+$BM32)*(1+$BN32))*(1+$AR32)*$Q32*(1+IF(VLOOKUP($R32,武学奇术!$A:$ZZ,30,FALSE)="蓄力技",$B$21,0))*(1+$BW32)</f>
        <v>35447.2243232465</v>
      </c>
      <c r="P32" s="36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蓄力技",$B$21,0))*(1+$BW32)</f>
        <v>30343.3195329062</v>
      </c>
      <c r="Q32" s="37">
        <v>1</v>
      </c>
      <c r="R32" s="38" t="s">
        <v>124</v>
      </c>
      <c r="S32" s="38" t="s">
        <v>104</v>
      </c>
      <c r="T32" s="38" t="s">
        <v>79</v>
      </c>
      <c r="U32" s="38" t="s">
        <v>79</v>
      </c>
      <c r="V32" s="38" t="s">
        <v>79</v>
      </c>
      <c r="W32" s="38" t="s">
        <v>79</v>
      </c>
      <c r="X32" s="38" t="s">
        <v>79</v>
      </c>
      <c r="Y32" s="38" t="s">
        <v>171</v>
      </c>
      <c r="Z32" s="38" t="s">
        <v>79</v>
      </c>
      <c r="AA32" s="38" t="s">
        <v>112</v>
      </c>
      <c r="AB32" s="38" t="s">
        <v>79</v>
      </c>
      <c r="AC32" s="38" t="s">
        <v>79</v>
      </c>
      <c r="AD32" s="38" t="s">
        <v>79</v>
      </c>
      <c r="AE32" s="38" t="s">
        <v>79</v>
      </c>
      <c r="AF32" s="38" t="s">
        <v>84</v>
      </c>
      <c r="AG32" s="38" t="s">
        <v>85</v>
      </c>
      <c r="AH32" s="38" t="s">
        <v>79</v>
      </c>
      <c r="AI32" s="38" t="s">
        <v>79</v>
      </c>
      <c r="AJ32" s="38" t="s">
        <v>79</v>
      </c>
      <c r="AK32" s="38" t="s">
        <v>79</v>
      </c>
      <c r="AL32" s="38" t="s">
        <v>79</v>
      </c>
      <c r="AM32" t="str">
        <f>VLOOKUP($R32,武学奇术!$A:$ZZ,25,FALSE)</f>
        <v>拳甲</v>
      </c>
      <c r="AN32" s="24">
        <f>VLOOKUP($R32,武学奇术!$A:$ZZ,26,FALSE)</f>
        <v>2.638944</v>
      </c>
      <c r="AO32" s="25">
        <f>VLOOKUP($R32,武学奇术!$A:$ZZ,27,FALSE)*(1+IF(OR($AM32=$F$4,$AM32=$F$5),$B$22,0))</f>
        <v>0</v>
      </c>
      <c r="AP32" s="24">
        <f>VLOOKUP($R32,武学奇术!$A:$ZZ,28,FALSE)</f>
        <v>3.958416</v>
      </c>
      <c r="AQ32" s="25">
        <f>VLOOKUP($R32,武学奇术!$A:$ZZ,29,FALSE)*(1+IF(OR($AM32=$F$4,$AM32=$F$5),$B$22,0))</f>
        <v>0</v>
      </c>
      <c r="AR32" s="24" cm="1">
        <f t="array" ref="AR32">$G$3+IFERROR(VLOOKUP($AM32,$F$4:$G$7,2,FALSE),0)+VLOOKUP($R32,武学奇术!$A:$ZZ,2,FALSE)+SUM(_xlfn.XLOOKUP($S32:$AL32,增益!$A:$A,增益!$B:$B,0))</f>
        <v>0.6241</v>
      </c>
      <c r="AS32" s="24" cm="1">
        <f t="array" ref="AS32">VLOOKUP($R32,武学奇术!$A:$ZZ,5,FALSE)+SUM(_xlfn.XLOOKUP($S32:$AL32,增益!$A:$A,增益!$E:$E,0))</f>
        <v>0</v>
      </c>
      <c r="AT32" cm="1">
        <f t="array" ref="AT32">$D$10*(1+$AS32)+VLOOKUP($R32,武学奇术!$A:$ZZ,3,FALSE)+SUM(_xlfn.XLOOKUP($S32:$AL32,增益!$A:$A,增益!$C:$C,0))-$I$2</f>
        <v>3839.102</v>
      </c>
      <c r="AU32" cm="1">
        <f t="array" ref="AU32">$E$10*(1+$AS32)+VLOOKUP($R32,武学奇术!$A:$ZZ,4,FALSE)+SUM(_xlfn.XLOOKUP($S32:$AL32,增益!$A:$A,增益!$D:$D,0))-$I$2</f>
        <v>3839.102</v>
      </c>
      <c r="AV32" s="30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0.247</v>
      </c>
      <c r="AW32" s="30" cm="1">
        <f t="array" ref="AW32">$G$10+VLOOKUP($R32,武学奇术!$A:$ZZ,7,FALSE)+SUM(_xlfn.XLOOKUP($S32:$AL32,增益!$A:$A,增益!$G:$G,0))</f>
        <v>0.09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0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-0.24</v>
      </c>
      <c r="BB32" s="30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0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-0.24</v>
      </c>
      <c r="BF32" s="30" cm="1">
        <f t="array" ref="BF32">$G$12+VLOOKUP($R32,武学奇术!$A:$ZZ,12,FALSE)+SUM(_xlfn.XLOOKUP($S32:$AL32,增益!$A:$A,增益!$L:$L,0))</f>
        <v>0</v>
      </c>
      <c r="BG32">
        <f t="shared" si="5"/>
        <v>0</v>
      </c>
      <c r="BH32">
        <f t="shared" si="6"/>
        <v>0</v>
      </c>
      <c r="BI32" s="30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-0.24</v>
      </c>
      <c r="BJ32" s="30" cm="1">
        <f t="array" ref="BJ32">$G$13+VLOOKUP($R32,武学奇术!$A:$ZZ,14,FALSE)+SUM(_xlfn.XLOOKUP($S32:$AL32,增益!$A:$A,增益!$N:$N,0))</f>
        <v>0</v>
      </c>
      <c r="BK32">
        <f t="shared" si="7"/>
        <v>605.472</v>
      </c>
      <c r="BL32">
        <f t="shared" si="8"/>
        <v>1725.468</v>
      </c>
      <c r="BM32" s="30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0.03</v>
      </c>
      <c r="BN32" s="30" cm="1">
        <f t="array" ref="BN32">$G$14+VLOOKUP($R32,武学奇术!$A:$ZZ,16,FALSE)+SUM(_xlfn.XLOOKUP($S32:$AL32,增益!$A:$A,增益!$P:$P,0))</f>
        <v>0.24</v>
      </c>
      <c r="BO32" s="24">
        <f>MIN(IF(VLOOKUP($R32,武学奇术!$A:$ZZ,23,FALSE)=1,100%,$B$8),100%)</f>
        <v>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+MIN(IF(VLOOKUP($R32,武学奇术!$A:$ZZ,32,FALSE)=1,IF(VLOOKUP($R32,武学奇术!$A:$ZZ,24,FALSE)=1,100%,MIN(40%,$B$10+VLOOKUP($R32,武学奇术!$A:$ZZ,19,FALSE)+SUM(_xlfn.XLOOKUP($S32:$AL32,增益!$A:$A,增益!$S:$S,0)))+$B$12+SUM(_xlfn.XLOOKUP($S32:$AL32,增益!$A:$A,增益!$V:$V,0))),0),12%)</f>
        <v>0.9036</v>
      </c>
      <c r="BQ32" s="24" cm="1">
        <f t="array" ref="BQ32">1+$B$13+VLOOKUP($R32,武学奇术!$A:$ZZ,18,FALSE)+SUM(_xlfn.XLOOKUP($S32:$AL32,增益!$A:$A,增益!$R:$R,0))</f>
        <v>1.93</v>
      </c>
      <c r="BR32" s="24" cm="1">
        <f t="array" ref="BR32">MAX(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-IF(VLOOKUP($R32,武学奇术!$A:$ZZ,32,FALSE)=1,12%,0),0)</f>
        <v>0.0929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0.9036</v>
      </c>
      <c r="BU32" s="24">
        <f t="shared" si="10"/>
        <v>0.00350000000000006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0.11</v>
      </c>
      <c r="BX32" s="24" cm="1">
        <f t="array" ref="BX32">SUM(_xlfn.XLOOKUP($S32:$AL32,增益!$A:$A,增益!$X:$X,0))</f>
        <v>0</v>
      </c>
    </row>
    <row r="33" spans="1:76">
      <c r="K33">
        <f>$L33*VLOOKUP($R33,武学奇术!$A:$ZZ,31,FALSE)</f>
        <v>609945.083063609</v>
      </c>
      <c r="L33" s="36">
        <f t="shared" si="11"/>
        <v>721828.500666993</v>
      </c>
      <c r="M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BQ33*$Q33*(1+IF(VLOOKUP($R33,武学奇术!$A:$ZZ,30,FALSE)="蓄力技",$B$21,0))*(1+$BW33)</f>
        <v>723176.85377286</v>
      </c>
      <c r="N33" s="36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蓄力技",$B$21,0))*(1+$BW33)</f>
        <v>514148.130959592</v>
      </c>
      <c r="O33" s="36">
        <f>((($AT33+($AU33-$AT33)*IF(VLOOKUP($R33,武学奇术!$A:$ZZ,31,FALSE)=1,$F$18,0.5))*$AN33+$AO33)*(1+$AV33)*(1+$AW33)+(($AY33+($AZ33-$AY33)*IF(VLOOKUP($R33,武学奇术!$A:$ZZ,31,FALSE)=1,$F$18,0.5))*IF($G$1="鸣金",$AP33,$AN33)+IF($G$1="鸣金",$AQ33*1.5,0))*(1+$BA33)*(1+$BB33)+(($BC33+($BD33-$BC33)*IF(VLOOKUP($R33,武学奇术!$A:$ZZ,31,FALSE)=1,$F$18,0.5))*IF($G$1="裂石",$AP33,$AN33)+IF($G$1="裂石",$AQ33*1.5,0))*(1+$BE33)*(1+$BF33)+(($BG33+($BH33-$BG33)*IF(VLOOKUP($R33,武学奇术!$A:$ZZ,31,FALSE)=1,$F$18,0.5))*IF($G$1="牵丝",$AP33,$AN33)+IF($G$1="牵丝",$AQ33*1.5,0))*(1+$BI33)*(1+$BJ33)+(($BK33+($BL33-$BK33)*IF(VLOOKUP($R33,武学奇术!$A:$ZZ,31,FALSE)=1,$F$18,0.5))*IF($G$1="破竹",$AP33,$AN33)+IF($G$1="破竹",$AQ33*1.5,0))*(1+$BM33)*(1+$BN33))*(1+$AR33)*$Q33*(1+IF(VLOOKUP($R33,武学奇术!$A:$ZZ,30,FALSE)="蓄力技",$B$21,0))*(1+$BW33)</f>
        <v>337933.109239654</v>
      </c>
      <c r="P33" s="36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蓄力技",$B$21,0))*(1+$BW33)</f>
        <v>295015.751101832</v>
      </c>
      <c r="Q33" s="37">
        <v>1</v>
      </c>
      <c r="R33" s="38" t="s">
        <v>138</v>
      </c>
      <c r="S33" s="38" t="s">
        <v>104</v>
      </c>
      <c r="T33" s="38" t="s">
        <v>79</v>
      </c>
      <c r="U33" s="38" t="s">
        <v>79</v>
      </c>
      <c r="V33" s="38" t="s">
        <v>79</v>
      </c>
      <c r="W33" s="38" t="s">
        <v>79</v>
      </c>
      <c r="X33" s="38" t="s">
        <v>79</v>
      </c>
      <c r="Y33" s="38" t="s">
        <v>173</v>
      </c>
      <c r="Z33" s="38" t="s">
        <v>79</v>
      </c>
      <c r="AA33" s="38" t="s">
        <v>112</v>
      </c>
      <c r="AB33" s="38" t="s">
        <v>79</v>
      </c>
      <c r="AC33" s="38" t="s">
        <v>79</v>
      </c>
      <c r="AD33" s="38" t="s">
        <v>79</v>
      </c>
      <c r="AE33" s="38" t="s">
        <v>79</v>
      </c>
      <c r="AF33" s="38" t="s">
        <v>84</v>
      </c>
      <c r="AG33" s="38" t="s">
        <v>85</v>
      </c>
      <c r="AH33" s="38" t="s">
        <v>79</v>
      </c>
      <c r="AI33" s="38" t="s">
        <v>79</v>
      </c>
      <c r="AJ33" s="38" t="s">
        <v>79</v>
      </c>
      <c r="AK33" s="38" t="s">
        <v>79</v>
      </c>
      <c r="AL33" s="38" t="s">
        <v>79</v>
      </c>
      <c r="AM33" t="str">
        <f>VLOOKUP($R33,武学奇术!$A:$ZZ,25,FALSE)</f>
        <v>拳甲</v>
      </c>
      <c r="AN33" s="24">
        <f>VLOOKUP($R33,武学奇术!$A:$ZZ,26,FALSE)</f>
        <v>16.8107</v>
      </c>
      <c r="AO33" s="25">
        <f>VLOOKUP($R33,武学奇术!$A:$ZZ,27,FALSE)*(1+IF(OR($AM33=$F$4,$AM33=$F$5),$B$22,0))</f>
        <v>6970.5</v>
      </c>
      <c r="AP33" s="24">
        <f>VLOOKUP($R33,武学奇术!$A:$ZZ,28,FALSE)</f>
        <v>25.2161</v>
      </c>
      <c r="AQ33" s="25">
        <f>VLOOKUP($R33,武学奇术!$A:$ZZ,29,FALSE)*(1+IF(OR($AM33=$F$4,$AM33=$F$5),$B$22,0))</f>
        <v>3799.5</v>
      </c>
      <c r="AR33" s="24" cm="1">
        <f t="array" ref="AR33">$G$3+IFERROR(VLOOKUP($AM33,$F$4:$G$7,2,FALSE),0)+VLOOKUP($R33,武学奇术!$A:$ZZ,2,FALSE)+SUM(_xlfn.XLOOKUP($S33:$AL33,增益!$A:$A,增益!$B:$B,0))</f>
        <v>0.6241</v>
      </c>
      <c r="AS33" s="24" cm="1">
        <f t="array" ref="AS33">VLOOKUP($R33,武学奇术!$A:$ZZ,5,FALSE)+SUM(_xlfn.XLOOKUP($S33:$AL33,增益!$A:$A,增益!$E:$E,0))</f>
        <v>0</v>
      </c>
      <c r="AT33" cm="1">
        <f t="array" ref="AT33">$D$10*(1+$AS33)+VLOOKUP($R33,武学奇术!$A:$ZZ,3,FALSE)+SUM(_xlfn.XLOOKUP($S33:$AL33,增益!$A:$A,增益!$C:$C,0))-$I$2</f>
        <v>3839.102</v>
      </c>
      <c r="AU33" cm="1">
        <f t="array" ref="AU33">$E$10*(1+$AS33)+VLOOKUP($R33,武学奇术!$A:$ZZ,4,FALSE)+SUM(_xlfn.XLOOKUP($S33:$AL33,增益!$A:$A,增益!$D:$D,0))-$I$2</f>
        <v>3839.102</v>
      </c>
      <c r="AV33" s="30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0.247</v>
      </c>
      <c r="AW33" s="30" cm="1">
        <f t="array" ref="AW33">$G$10+VLOOKUP($R33,武学奇术!$A:$ZZ,7,FALSE)+SUM(_xlfn.XLOOKUP($S33:$AL33,增益!$A:$A,增益!$G:$G,0))</f>
        <v>0.09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0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-0.24</v>
      </c>
      <c r="BB33" s="30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0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-0.24</v>
      </c>
      <c r="BF33" s="30" cm="1">
        <f t="array" ref="BF33">$G$12+VLOOKUP($R33,武学奇术!$A:$ZZ,12,FALSE)+SUM(_xlfn.XLOOKUP($S33:$AL33,增益!$A:$A,增益!$L:$L,0))</f>
        <v>0</v>
      </c>
      <c r="BG33">
        <f t="shared" si="5"/>
        <v>0</v>
      </c>
      <c r="BH33">
        <f t="shared" si="6"/>
        <v>0</v>
      </c>
      <c r="BI33" s="30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-0.24</v>
      </c>
      <c r="BJ33" s="30" cm="1">
        <f t="array" ref="BJ33">$G$13+VLOOKUP($R33,武学奇术!$A:$ZZ,14,FALSE)+SUM(_xlfn.XLOOKUP($S33:$AL33,增益!$A:$A,增益!$N:$N,0))</f>
        <v>0</v>
      </c>
      <c r="BK33">
        <f t="shared" si="7"/>
        <v>605.472</v>
      </c>
      <c r="BL33">
        <f t="shared" si="8"/>
        <v>1725.468</v>
      </c>
      <c r="BM33" s="30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0.03</v>
      </c>
      <c r="BN33" s="30" cm="1">
        <f t="array" ref="BN33">$G$14+VLOOKUP($R33,武学奇术!$A:$ZZ,16,FALSE)+SUM(_xlfn.XLOOKUP($S33:$AL33,增益!$A:$A,增益!$P:$P,0))</f>
        <v>0.24</v>
      </c>
      <c r="BO33" s="24">
        <f>MIN(IF(VLOOKUP($R33,武学奇术!$A:$ZZ,23,FALSE)=1,100%,$B$8),100%)</f>
        <v>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+MIN(IF(VLOOKUP($R33,武学奇术!$A:$ZZ,32,FALSE)=1,IF(VLOOKUP($R33,武学奇术!$A:$ZZ,24,FALSE)=1,100%,MIN(40%,$B$10+VLOOKUP($R33,武学奇术!$A:$ZZ,19,FALSE)+SUM(_xlfn.XLOOKUP($S33:$AL33,增益!$A:$A,增益!$S:$S,0)))+$B$12+SUM(_xlfn.XLOOKUP($S33:$AL33,增益!$A:$A,增益!$V:$V,0))),0),12%)</f>
        <v>0.9965</v>
      </c>
      <c r="BQ33" s="24" cm="1">
        <f t="array" ref="BQ33">1+$B$13+VLOOKUP($R33,武学奇术!$A:$ZZ,18,FALSE)+SUM(_xlfn.XLOOKUP($S33:$AL33,增益!$A:$A,增益!$R:$R,0))</f>
        <v>2.14</v>
      </c>
      <c r="BR33" s="24" cm="1">
        <f t="array" ref="BR33">MAX(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-IF(VLOOKUP($R33,武学奇术!$A:$ZZ,32,FALSE)=1,12%,0),0)</f>
        <v>0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0.9965</v>
      </c>
      <c r="BU33" s="24">
        <f t="shared" si="10"/>
        <v>0.00350000000000006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0.11</v>
      </c>
      <c r="BX33" s="24" cm="1">
        <f t="array" ref="BX33">SUM(_xlfn.XLOOKUP($S33:$AL33,增益!$A:$A,增益!$X:$X,0))</f>
        <v>0</v>
      </c>
    </row>
    <row r="34" spans="1:76">
      <c r="F34" s="4"/>
      <c r="G34" s="91"/>
      <c r="K34">
        <f>$L34*VLOOKUP($R34,武学奇术!$A:$ZZ,31,FALSE)</f>
        <v>144365.700133399</v>
      </c>
      <c r="L34" s="87">
        <f>L33*0.4*(1+BX34)</f>
        <v>288731.400266797</v>
      </c>
      <c r="M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BQ34*$Q34*(1+IF(VLOOKUP($R34,武学奇术!$A:$ZZ,30,FALSE)="蓄力技",$B$21,0))*(1+$BW34)</f>
        <v>0</v>
      </c>
      <c r="N34" s="36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蓄力技",$B$21,0))*(1+$BW34)</f>
        <v>0</v>
      </c>
      <c r="O34" s="36">
        <f>((($AT34+($AU34-$AT34)*IF(VLOOKUP($R34,武学奇术!$A:$ZZ,31,FALSE)=1,$F$18,0.5))*$AN34+$AO34)*(1+$AV34)*(1+$AW34)+(($AY34+($AZ34-$AY34)*IF(VLOOKUP($R34,武学奇术!$A:$ZZ,31,FALSE)=1,$F$18,0.5))*IF($G$1="鸣金",$AP34,$AN34)+IF($G$1="鸣金",$AQ34*1.5,0))*(1+$BA34)*(1+$BB34)+(($BC34+($BD34-$BC34)*IF(VLOOKUP($R34,武学奇术!$A:$ZZ,31,FALSE)=1,$F$18,0.5))*IF($G$1="裂石",$AP34,$AN34)+IF($G$1="裂石",$AQ34*1.5,0))*(1+$BE34)*(1+$BF34)+(($BG34+($BH34-$BG34)*IF(VLOOKUP($R34,武学奇术!$A:$ZZ,31,FALSE)=1,$F$18,0.5))*IF($G$1="牵丝",$AP34,$AN34)+IF($G$1="牵丝",$AQ34*1.5,0))*(1+$BI34)*(1+$BJ34)+(($BK34+($BL34-$BK34)*IF(VLOOKUP($R34,武学奇术!$A:$ZZ,31,FALSE)=1,$F$18,0.5))*IF($G$1="破竹",$AP34,$AN34)+IF($G$1="破竹",$AQ34*1.5,0))*(1+$BM34)*(1+$BN34))*(1+$AR34)*$Q34*(1+IF(VLOOKUP($R34,武学奇术!$A:$ZZ,30,FALSE)="蓄力技",$B$21,0))*(1+$BW34)</f>
        <v>0</v>
      </c>
      <c r="P34" s="36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蓄力技",$B$21,0))*(1+$BW34)</f>
        <v>0</v>
      </c>
      <c r="Q34" s="37">
        <v>1</v>
      </c>
      <c r="R34" s="38" t="s">
        <v>145</v>
      </c>
      <c r="S34" s="38" t="s">
        <v>146</v>
      </c>
      <c r="T34" s="38" t="s">
        <v>79</v>
      </c>
      <c r="U34" s="38" t="s">
        <v>79</v>
      </c>
      <c r="V34" s="38" t="s">
        <v>79</v>
      </c>
      <c r="W34" s="38" t="s">
        <v>79</v>
      </c>
      <c r="X34" s="38" t="s">
        <v>79</v>
      </c>
      <c r="Y34" s="38" t="s">
        <v>79</v>
      </c>
      <c r="Z34" s="38" t="s">
        <v>79</v>
      </c>
      <c r="AA34" s="38" t="s">
        <v>79</v>
      </c>
      <c r="AB34" s="38" t="s">
        <v>79</v>
      </c>
      <c r="AC34" s="38" t="s">
        <v>79</v>
      </c>
      <c r="AD34" s="38" t="s">
        <v>79</v>
      </c>
      <c r="AE34" s="38" t="s">
        <v>79</v>
      </c>
      <c r="AF34" s="38" t="s">
        <v>84</v>
      </c>
      <c r="AG34" s="38" t="s">
        <v>85</v>
      </c>
      <c r="AH34" s="38" t="s">
        <v>79</v>
      </c>
      <c r="AI34" s="38" t="s">
        <v>79</v>
      </c>
      <c r="AJ34" s="38" t="s">
        <v>79</v>
      </c>
      <c r="AK34" s="38" t="s">
        <v>79</v>
      </c>
      <c r="AL34" s="38" t="s">
        <v>79</v>
      </c>
      <c r="AM34" t="str">
        <f>VLOOKUP($R34,武学奇术!$A:$ZZ,25,FALSE)</f>
        <v>拳甲</v>
      </c>
      <c r="AN34" s="24">
        <f>VLOOKUP($R34,武学奇术!$A:$ZZ,26,FALSE)</f>
        <v>0</v>
      </c>
      <c r="AO34" s="25">
        <f>VLOOKUP($R34,武学奇术!$A:$ZZ,27,FALSE)*(1+IF(OR($AM34=$F$4,$AM34=$F$5),$B$22,0))</f>
        <v>0</v>
      </c>
      <c r="AP34" s="24">
        <f>VLOOKUP($R34,武学奇术!$A:$ZZ,28,FALSE)</f>
        <v>0</v>
      </c>
      <c r="AQ34" s="25">
        <f>VLOOKUP($R34,武学奇术!$A:$ZZ,29,FALSE)*(1+IF(OR($AM34=$F$4,$AM34=$F$5),$B$22,0))</f>
        <v>0</v>
      </c>
      <c r="AR34" s="24" cm="1">
        <f t="array" ref="AR34">$G$3+IFERROR(VLOOKUP($AM34,$F$4:$G$7,2,FALSE),0)+VLOOKUP($R34,武学奇术!$A:$ZZ,2,FALSE)+SUM(_xlfn.XLOOKUP($S34:$AL34,增益!$A:$A,增益!$B:$B,0))</f>
        <v>0.2741</v>
      </c>
      <c r="AS34" s="24" cm="1">
        <f t="array" ref="AS34">VLOOKUP($R34,武学奇术!$A:$ZZ,5,FALSE)+SUM(_xlfn.XLOOKUP($S34:$AL34,增益!$A:$A,增益!$E:$E,0))</f>
        <v>0</v>
      </c>
      <c r="AT34" cm="1">
        <f t="array" ref="AT34">$D$10*(1+$AS34)+VLOOKUP($R34,武学奇术!$A:$ZZ,3,FALSE)+SUM(_xlfn.XLOOKUP($S34:$AL34,增益!$A:$A,增益!$C:$C,0))-$I$2</f>
        <v>3839.102</v>
      </c>
      <c r="AU34" cm="1">
        <f t="array" ref="AU34">$E$10*(1+$AS34)+VLOOKUP($R34,武学奇术!$A:$ZZ,4,FALSE)+SUM(_xlfn.XLOOKUP($S34:$AL34,增益!$A:$A,增益!$D:$D,0))-$I$2</f>
        <v>3839.102</v>
      </c>
      <c r="AV34" s="30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0.167</v>
      </c>
      <c r="AW34" s="30" cm="1">
        <f t="array" ref="AW34">$G$10+VLOOKUP($R34,武学奇术!$A:$ZZ,7,FALSE)+SUM(_xlfn.XLOOKUP($S34:$AL34,增益!$A:$A,增益!$G:$G,0))</f>
        <v>0.09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0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0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0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0" cm="1">
        <f t="array" ref="BF34">$G$12+VLOOKUP($R34,武学奇术!$A:$ZZ,12,FALSE)+SUM(_xlfn.XLOOKUP($S34:$AL34,增益!$A:$A,增益!$L:$L,0))</f>
        <v>0</v>
      </c>
      <c r="BG34">
        <f t="shared" si="5"/>
        <v>0</v>
      </c>
      <c r="BH34">
        <f t="shared" si="6"/>
        <v>0</v>
      </c>
      <c r="BI34" s="30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-0.3</v>
      </c>
      <c r="BJ34" s="30" cm="1">
        <f t="array" ref="BJ34">$G$13+VLOOKUP($R34,武学奇术!$A:$ZZ,14,FALSE)+SUM(_xlfn.XLOOKUP($S34:$AL34,增益!$A:$A,增益!$N:$N,0))</f>
        <v>0</v>
      </c>
      <c r="BK34">
        <f t="shared" si="7"/>
        <v>605.472</v>
      </c>
      <c r="BL34">
        <f t="shared" si="8"/>
        <v>1725.468</v>
      </c>
      <c r="BM34" s="30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0</v>
      </c>
      <c r="BN34" s="30" cm="1">
        <f t="array" ref="BN34">$G$14+VLOOKUP($R34,武学奇术!$A:$ZZ,16,FALSE)+SUM(_xlfn.XLOOKUP($S34:$AL34,增益!$A:$A,增益!$P:$P,0))</f>
        <v>0.24</v>
      </c>
      <c r="BO34" s="24">
        <f>MIN(IF(VLOOKUP($R34,武学奇术!$A:$ZZ,23,FALSE)=1,100%,$B$8),100%)</f>
        <v>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+MIN(IF(VLOOKUP($R34,武学奇术!$A:$ZZ,32,FALSE)=1,IF(VLOOKUP($R34,武学奇术!$A:$ZZ,24,FALSE)=1,100%,MIN(40%,$B$10+VLOOKUP($R34,武学奇术!$A:$ZZ,19,FALSE)+SUM(_xlfn.XLOOKUP($S34:$AL34,增益!$A:$A,增益!$S:$S,0)))+$B$12+SUM(_xlfn.XLOOKUP($S34:$AL34,增益!$A:$A,增益!$V:$V,0))),0),12%)</f>
        <v>0.9036</v>
      </c>
      <c r="BQ34" s="24" cm="1">
        <f t="array" ref="BQ34">1+$B$13+VLOOKUP($R34,武学奇术!$A:$ZZ,18,FALSE)+SUM(_xlfn.XLOOKUP($S34:$AL34,增益!$A:$A,增益!$R:$R,0))</f>
        <v>1.54</v>
      </c>
      <c r="BR34" s="24" cm="1">
        <f t="array" ref="BR34">MAX(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-IF(VLOOKUP($R34,武学奇术!$A:$ZZ,32,FALSE)=1,12%,0),0)</f>
        <v>0.0929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0.9036</v>
      </c>
      <c r="BU34" s="24">
        <f t="shared" si="10"/>
        <v>0.00350000000000006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0.11</v>
      </c>
      <c r="BX34" s="24" cm="1">
        <f t="array" ref="BX34">SUM(_xlfn.XLOOKUP($S34:$AL34,增益!$A:$A,增益!$X:$X,0))</f>
        <v>0</v>
      </c>
    </row>
    <row r="35" spans="1:76">
      <c r="F35" s="4"/>
      <c r="G35" s="4"/>
      <c r="K35">
        <f>$L35*VLOOKUP($R35,武学奇术!$A:$ZZ,31,FALSE)</f>
        <v>48044.7699660996</v>
      </c>
      <c r="L35" s="36">
        <f t="shared" ref="L35:L51" si="12">($M35*$BT35+$N35*$BR35+$O35*$BU35+$P35*$BV35)</f>
        <v>48044.7699660996</v>
      </c>
      <c r="M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BQ35*$Q35*(1+IF(VLOOKUP($R35,武学奇术!$A:$ZZ,30,FALSE)="蓄力技",$B$21,0))*(1+$BW35)</f>
        <v>48437.7307299936</v>
      </c>
      <c r="N35" s="36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蓄力技",$B$21,0))*(1+$BW35)</f>
        <v>44919.9491135756</v>
      </c>
      <c r="O35" s="36">
        <f>((($AT35+($AU35-$AT35)*IF(VLOOKUP($R35,武学奇术!$A:$ZZ,31,FALSE)=1,$F$18,0.5))*$AN35+$AO35)*(1+$AV35)*(1+$AW35)+(($AY35+($AZ35-$AY35)*IF(VLOOKUP($R35,武学奇术!$A:$ZZ,31,FALSE)=1,$F$18,0.5))*IF($G$1="鸣金",$AP35,$AN35)+IF($G$1="鸣金",$AQ35*1.5,0))*(1+$BA35)*(1+$BB35)+(($BC35+($BD35-$BC35)*IF(VLOOKUP($R35,武学奇术!$A:$ZZ,31,FALSE)=1,$F$18,0.5))*IF($G$1="裂石",$AP35,$AN35)+IF($G$1="裂石",$AQ35*1.5,0))*(1+$BE35)*(1+$BF35)+(($BG35+($BH35-$BG35)*IF(VLOOKUP($R35,武学奇术!$A:$ZZ,31,FALSE)=1,$F$18,0.5))*IF($G$1="牵丝",$AP35,$AN35)+IF($G$1="牵丝",$AQ35*1.5,0))*(1+$BI35)*(1+$BJ35)+(($BK35+($BL35-$BK35)*IF(VLOOKUP($R35,武学奇术!$A:$ZZ,31,FALSE)=1,$F$18,0.5))*IF($G$1="破竹",$AP35,$AN35)+IF($G$1="破竹",$AQ35*1.5,0))*(1+$BM35)*(1+$BN35))*(1+$AR35)*$Q35*(1+IF(VLOOKUP($R35,武学奇术!$A:$ZZ,30,FALSE)="蓄力技",$B$21,0))*(1+$BW35)</f>
        <v>29535.2016646302</v>
      </c>
      <c r="P35" s="36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蓄力技",$B$21,0))*(1+$BW35)</f>
        <v>25796.3669488341</v>
      </c>
      <c r="Q35" s="37">
        <v>1</v>
      </c>
      <c r="R35" s="38" t="s">
        <v>127</v>
      </c>
      <c r="S35" s="38" t="s">
        <v>104</v>
      </c>
      <c r="T35" s="38" t="s">
        <v>79</v>
      </c>
      <c r="U35" s="38" t="s">
        <v>79</v>
      </c>
      <c r="V35" s="38" t="s">
        <v>79</v>
      </c>
      <c r="W35" s="38" t="s">
        <v>79</v>
      </c>
      <c r="X35" s="38" t="s">
        <v>79</v>
      </c>
      <c r="Y35" s="38" t="s">
        <v>173</v>
      </c>
      <c r="Z35" s="38" t="s">
        <v>79</v>
      </c>
      <c r="AA35" s="38" t="s">
        <v>79</v>
      </c>
      <c r="AB35" s="38" t="s">
        <v>79</v>
      </c>
      <c r="AC35" s="38" t="s">
        <v>79</v>
      </c>
      <c r="AD35" s="38" t="s">
        <v>79</v>
      </c>
      <c r="AE35" s="38" t="s">
        <v>79</v>
      </c>
      <c r="AF35" s="38" t="s">
        <v>84</v>
      </c>
      <c r="AG35" s="38" t="s">
        <v>85</v>
      </c>
      <c r="AH35" s="38" t="s">
        <v>79</v>
      </c>
      <c r="AI35" s="38" t="s">
        <v>79</v>
      </c>
      <c r="AJ35" s="38" t="s">
        <v>79</v>
      </c>
      <c r="AK35" s="38" t="s">
        <v>79</v>
      </c>
      <c r="AL35" s="38" t="s">
        <v>79</v>
      </c>
      <c r="AM35" t="str">
        <f>VLOOKUP($R35,武学奇术!$A:$ZZ,25,FALSE)</f>
        <v>拳甲</v>
      </c>
      <c r="AN35" s="24">
        <f>VLOOKUP($R35,武学奇术!$A:$ZZ,26,FALSE)</f>
        <v>2.4421</v>
      </c>
      <c r="AO35" s="25">
        <f>VLOOKUP($R35,武学奇术!$A:$ZZ,27,FALSE)*(1+IF(OR($AM35=$F$4,$AM35=$F$5),$B$22,0))</f>
        <v>1012.5</v>
      </c>
      <c r="AP35" s="24">
        <f>VLOOKUP($R35,武学奇术!$A:$ZZ,28,FALSE)</f>
        <v>3.6634</v>
      </c>
      <c r="AQ35" s="25">
        <f>VLOOKUP($R35,武学奇术!$A:$ZZ,29,FALSE)*(1+IF(OR($AM35=$F$4,$AM35=$F$5),$B$22,0))</f>
        <v>549</v>
      </c>
      <c r="AR35" s="24" cm="1">
        <f t="array" ref="AR35">$G$3+IFERROR(VLOOKUP($AM35,$F$4:$G$7,2,FALSE),0)+VLOOKUP($R35,武学奇术!$A:$ZZ,2,FALSE)+SUM(_xlfn.XLOOKUP($S35:$AL35,增益!$A:$A,增益!$B:$B,0))</f>
        <v>0.3241</v>
      </c>
      <c r="AS35" s="24" cm="1">
        <f t="array" ref="AS35">VLOOKUP($R35,武学奇术!$A:$ZZ,5,FALSE)+SUM(_xlfn.XLOOKUP($S35:$AL35,增益!$A:$A,增益!$E:$E,0))</f>
        <v>0</v>
      </c>
      <c r="AT35" cm="1">
        <f t="array" ref="AT35">$D$10*(1+$AS35)+VLOOKUP($R35,武学奇术!$A:$ZZ,3,FALSE)+SUM(_xlfn.XLOOKUP($S35:$AL35,增益!$A:$A,增益!$C:$C,0))-$I$2</f>
        <v>3839.102</v>
      </c>
      <c r="AU35" cm="1">
        <f t="array" ref="AU35">$E$10*(1+$AS35)+VLOOKUP($R35,武学奇术!$A:$ZZ,4,FALSE)+SUM(_xlfn.XLOOKUP($S35:$AL35,增益!$A:$A,增益!$D:$D,0))-$I$2</f>
        <v>3839.102</v>
      </c>
      <c r="AV35" s="30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0.217</v>
      </c>
      <c r="AW35" s="30" cm="1">
        <f t="array" ref="AW35">$G$10+VLOOKUP($R35,武学奇术!$A:$ZZ,7,FALSE)+SUM(_xlfn.XLOOKUP($S35:$AL35,增益!$A:$A,增益!$G:$G,0))</f>
        <v>0.09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0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0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0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0" cm="1">
        <f t="array" ref="BF35">$G$12+VLOOKUP($R35,武学奇术!$A:$ZZ,12,FALSE)+SUM(_xlfn.XLOOKUP($S35:$AL35,增益!$A:$A,增益!$L:$L,0))</f>
        <v>0</v>
      </c>
      <c r="BG35">
        <f t="shared" si="5"/>
        <v>0</v>
      </c>
      <c r="BH35">
        <f t="shared" si="6"/>
        <v>0</v>
      </c>
      <c r="BI35" s="30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-0.3</v>
      </c>
      <c r="BJ35" s="30" cm="1">
        <f t="array" ref="BJ35">$G$13+VLOOKUP($R35,武学奇术!$A:$ZZ,14,FALSE)+SUM(_xlfn.XLOOKUP($S35:$AL35,增益!$A:$A,增益!$N:$N,0))</f>
        <v>0</v>
      </c>
      <c r="BK35">
        <f t="shared" si="7"/>
        <v>605.472</v>
      </c>
      <c r="BL35">
        <f t="shared" si="8"/>
        <v>1725.468</v>
      </c>
      <c r="BM35" s="30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0</v>
      </c>
      <c r="BN35" s="30" cm="1">
        <f t="array" ref="BN35">$G$14+VLOOKUP($R35,武学奇术!$A:$ZZ,16,FALSE)+SUM(_xlfn.XLOOKUP($S35:$AL35,增益!$A:$A,增益!$P:$P,0))</f>
        <v>0.24</v>
      </c>
      <c r="BO35" s="24">
        <f>MIN(IF(VLOOKUP($R35,武学奇术!$A:$ZZ,23,FALSE)=1,100%,$B$8),100%)</f>
        <v>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+MIN(IF(VLOOKUP($R35,武学奇术!$A:$ZZ,32,FALSE)=1,IF(VLOOKUP($R35,武学奇术!$A:$ZZ,24,FALSE)=1,100%,MIN(40%,$B$10+VLOOKUP($R35,武学奇术!$A:$ZZ,19,FALSE)+SUM(_xlfn.XLOOKUP($S35:$AL35,增益!$A:$A,增益!$S:$S,0)))+$B$12+SUM(_xlfn.XLOOKUP($S35:$AL35,增益!$A:$A,增益!$V:$V,0))),0),12%)</f>
        <v>0.9036</v>
      </c>
      <c r="BQ35" s="24" cm="1">
        <f t="array" ref="BQ35">1+$B$13+VLOOKUP($R35,武学奇术!$A:$ZZ,18,FALSE)+SUM(_xlfn.XLOOKUP($S35:$AL35,增益!$A:$A,增益!$R:$R,0))</f>
        <v>1.64</v>
      </c>
      <c r="BR35" s="24" cm="1">
        <f t="array" ref="BR35">MAX(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-IF(VLOOKUP($R35,武学奇术!$A:$ZZ,32,FALSE)=1,12%,0),0)</f>
        <v>0.0929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0.9036</v>
      </c>
      <c r="BU35" s="24">
        <f t="shared" si="10"/>
        <v>0.00350000000000006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0.11</v>
      </c>
      <c r="BX35" s="24" cm="1">
        <f t="array" ref="BX35">SUM(_xlfn.XLOOKUP($S35:$AL35,增益!$A:$A,增益!$X:$X,0))</f>
        <v>0</v>
      </c>
    </row>
    <row r="36" spans="1:76">
      <c r="F36" s="4"/>
      <c r="G36" s="91"/>
      <c r="K36">
        <f>$L36*VLOOKUP($R36,武学奇术!$A:$ZZ,31,FALSE)</f>
        <v>25354.1383104499</v>
      </c>
      <c r="L36" s="36">
        <f t="shared" si="12"/>
        <v>25354.1383104499</v>
      </c>
      <c r="M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BQ36*$Q36*(1+IF(VLOOKUP($R36,武学奇术!$A:$ZZ,30,FALSE)="蓄力技",$B$21,0))*(1+$BW36)</f>
        <v>25561.7647454447</v>
      </c>
      <c r="N36" s="36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蓄力技",$B$21,0))*(1+$BW36)</f>
        <v>23702.6387486891</v>
      </c>
      <c r="O36" s="36">
        <f>((($AT36+($AU36-$AT36)*IF(VLOOKUP($R36,武学奇术!$A:$ZZ,31,FALSE)=1,$F$18,0.5))*$AN36+$AO36)*(1+$AV36)*(1+$AW36)+(($AY36+($AZ36-$AY36)*IF(VLOOKUP($R36,武学奇术!$A:$ZZ,31,FALSE)=1,$F$18,0.5))*IF($G$1="鸣金",$AP36,$AN36)+IF($G$1="鸣金",$AQ36*1.5,0))*(1+$BA36)*(1+$BB36)+(($BC36+($BD36-$BC36)*IF(VLOOKUP($R36,武学奇术!$A:$ZZ,31,FALSE)=1,$F$18,0.5))*IF($G$1="裂石",$AP36,$AN36)+IF($G$1="裂石",$AQ36*1.5,0))*(1+$BE36)*(1+$BF36)+(($BG36+($BH36-$BG36)*IF(VLOOKUP($R36,武学奇术!$A:$ZZ,31,FALSE)=1,$F$18,0.5))*IF($G$1="牵丝",$AP36,$AN36)+IF($G$1="牵丝",$AQ36*1.5,0))*(1+$BI36)*(1+$BJ36)+(($BK36+($BL36-$BK36)*IF(VLOOKUP($R36,武学奇术!$A:$ZZ,31,FALSE)=1,$F$18,0.5))*IF($G$1="破竹",$AP36,$AN36)+IF($G$1="破竹",$AQ36*1.5,0))*(1+$BM36)*(1+$BN36))*(1+$AR36)*$Q36*(1+IF(VLOOKUP($R36,武学奇术!$A:$ZZ,30,FALSE)="蓄力技",$B$21,0))*(1+$BW36)</f>
        <v>15586.4419179541</v>
      </c>
      <c r="P36" s="36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蓄力技",$B$21,0))*(1+$BW36)</f>
        <v>13615.373651694</v>
      </c>
      <c r="Q36" s="37">
        <v>1</v>
      </c>
      <c r="R36" s="38" t="s">
        <v>122</v>
      </c>
      <c r="S36" s="38" t="s">
        <v>104</v>
      </c>
      <c r="T36" s="38" t="s">
        <v>79</v>
      </c>
      <c r="U36" s="38" t="s">
        <v>79</v>
      </c>
      <c r="V36" s="38" t="s">
        <v>79</v>
      </c>
      <c r="W36" s="38" t="s">
        <v>79</v>
      </c>
      <c r="X36" s="38" t="s">
        <v>79</v>
      </c>
      <c r="Y36" s="38" t="s">
        <v>173</v>
      </c>
      <c r="Z36" s="38" t="s">
        <v>79</v>
      </c>
      <c r="AA36" s="38" t="s">
        <v>79</v>
      </c>
      <c r="AB36" s="38" t="s">
        <v>79</v>
      </c>
      <c r="AC36" s="38" t="s">
        <v>79</v>
      </c>
      <c r="AD36" s="38" t="s">
        <v>79</v>
      </c>
      <c r="AE36" s="38" t="s">
        <v>79</v>
      </c>
      <c r="AF36" s="38" t="s">
        <v>84</v>
      </c>
      <c r="AG36" s="38" t="s">
        <v>85</v>
      </c>
      <c r="AH36" s="38" t="s">
        <v>79</v>
      </c>
      <c r="AI36" s="38" t="s">
        <v>79</v>
      </c>
      <c r="AJ36" s="38" t="s">
        <v>79</v>
      </c>
      <c r="AK36" s="38" t="s">
        <v>79</v>
      </c>
      <c r="AL36" s="38" t="s">
        <v>79</v>
      </c>
      <c r="AM36" t="str">
        <f>VLOOKUP($R36,武学奇术!$A:$ZZ,25,FALSE)</f>
        <v>拳甲</v>
      </c>
      <c r="AN36" s="24">
        <f>VLOOKUP($R36,武学奇术!$A:$ZZ,26,FALSE)</f>
        <v>1.2876</v>
      </c>
      <c r="AO36" s="25">
        <f>VLOOKUP($R36,武学奇术!$A:$ZZ,27,FALSE)*(1+IF(OR($AM36=$F$4,$AM36=$F$5),$B$22,0))</f>
        <v>537</v>
      </c>
      <c r="AP36" s="24">
        <f>VLOOKUP($R36,武学奇术!$A:$ZZ,28,FALSE)</f>
        <v>1.9313</v>
      </c>
      <c r="AQ36" s="25">
        <f>VLOOKUP($R36,武学奇术!$A:$ZZ,29,FALSE)*(1+IF(OR($AM36=$F$4,$AM36=$F$5),$B$22,0))</f>
        <v>292.5</v>
      </c>
      <c r="AR36" s="24" cm="1">
        <f t="array" ref="AR36">$G$3+IFERROR(VLOOKUP($AM36,$F$4:$G$7,2,FALSE),0)+VLOOKUP($R36,武学奇术!$A:$ZZ,2,FALSE)+SUM(_xlfn.XLOOKUP($S36:$AL36,增益!$A:$A,增益!$B:$B,0))</f>
        <v>0.3241</v>
      </c>
      <c r="AS36" s="24" cm="1">
        <f t="array" ref="AS36">VLOOKUP($R36,武学奇术!$A:$ZZ,5,FALSE)+SUM(_xlfn.XLOOKUP($S36:$AL36,增益!$A:$A,增益!$E:$E,0))</f>
        <v>0</v>
      </c>
      <c r="AT36" cm="1">
        <f t="array" ref="AT36">$D$10*(1+$AS36)+VLOOKUP($R36,武学奇术!$A:$ZZ,3,FALSE)+SUM(_xlfn.XLOOKUP($S36:$AL36,增益!$A:$A,增益!$C:$C,0))-$I$2</f>
        <v>3839.102</v>
      </c>
      <c r="AU36" cm="1">
        <f t="array" ref="AU36">$E$10*(1+$AS36)+VLOOKUP($R36,武学奇术!$A:$ZZ,4,FALSE)+SUM(_xlfn.XLOOKUP($S36:$AL36,增益!$A:$A,增益!$D:$D,0))-$I$2</f>
        <v>3839.102</v>
      </c>
      <c r="AV36" s="30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0.217</v>
      </c>
      <c r="AW36" s="30" cm="1">
        <f t="array" ref="AW36">$G$10+VLOOKUP($R36,武学奇术!$A:$ZZ,7,FALSE)+SUM(_xlfn.XLOOKUP($S36:$AL36,增益!$A:$A,增益!$G:$G,0))</f>
        <v>0.09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0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0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0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0" cm="1">
        <f t="array" ref="BF36">$G$12+VLOOKUP($R36,武学奇术!$A:$ZZ,12,FALSE)+SUM(_xlfn.XLOOKUP($S36:$AL36,增益!$A:$A,增益!$L:$L,0))</f>
        <v>0</v>
      </c>
      <c r="BG36">
        <f t="shared" si="5"/>
        <v>0</v>
      </c>
      <c r="BH36">
        <f t="shared" si="6"/>
        <v>0</v>
      </c>
      <c r="BI36" s="30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-0.3</v>
      </c>
      <c r="BJ36" s="30" cm="1">
        <f t="array" ref="BJ36">$G$13+VLOOKUP($R36,武学奇术!$A:$ZZ,14,FALSE)+SUM(_xlfn.XLOOKUP($S36:$AL36,增益!$A:$A,增益!$N:$N,0))</f>
        <v>0</v>
      </c>
      <c r="BK36">
        <f t="shared" si="7"/>
        <v>605.472</v>
      </c>
      <c r="BL36">
        <f t="shared" si="8"/>
        <v>1725.468</v>
      </c>
      <c r="BM36" s="30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0</v>
      </c>
      <c r="BN36" s="30" cm="1">
        <f t="array" ref="BN36">$G$14+VLOOKUP($R36,武学奇术!$A:$ZZ,16,FALSE)+SUM(_xlfn.XLOOKUP($S36:$AL36,增益!$A:$A,增益!$P:$P,0))</f>
        <v>0.24</v>
      </c>
      <c r="BO36" s="24">
        <f>MIN(IF(VLOOKUP($R36,武学奇术!$A:$ZZ,23,FALSE)=1,100%,$B$8),100%)</f>
        <v>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+MIN(IF(VLOOKUP($R36,武学奇术!$A:$ZZ,32,FALSE)=1,IF(VLOOKUP($R36,武学奇术!$A:$ZZ,24,FALSE)=1,100%,MIN(40%,$B$10+VLOOKUP($R36,武学奇术!$A:$ZZ,19,FALSE)+SUM(_xlfn.XLOOKUP($S36:$AL36,增益!$A:$A,增益!$S:$S,0)))+$B$12+SUM(_xlfn.XLOOKUP($S36:$AL36,增益!$A:$A,增益!$V:$V,0))),0),12%)</f>
        <v>0.9036</v>
      </c>
      <c r="BQ36" s="24" cm="1">
        <f t="array" ref="BQ36">1+$B$13+VLOOKUP($R36,武学奇术!$A:$ZZ,18,FALSE)+SUM(_xlfn.XLOOKUP($S36:$AL36,增益!$A:$A,增益!$R:$R,0))</f>
        <v>1.64</v>
      </c>
      <c r="BR36" s="24" cm="1">
        <f t="array" ref="BR36">MAX(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-IF(VLOOKUP($R36,武学奇术!$A:$ZZ,32,FALSE)=1,12%,0),0)</f>
        <v>0.0929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0.9036</v>
      </c>
      <c r="BU36" s="24">
        <f t="shared" si="10"/>
        <v>0.00350000000000006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0.11</v>
      </c>
      <c r="BX36" s="24" cm="1">
        <f t="array" ref="BX36">SUM(_xlfn.XLOOKUP($S36:$AL36,增益!$A:$A,增益!$X:$X,0))</f>
        <v>0</v>
      </c>
    </row>
    <row r="37" spans="1:76">
      <c r="A37" s="4"/>
      <c r="B37" s="91"/>
      <c r="K37">
        <f>$L37*VLOOKUP($R37,武学奇术!$A:$ZZ,31,FALSE)</f>
        <v>87552.6628937658</v>
      </c>
      <c r="L37" s="36">
        <f t="shared" si="12"/>
        <v>67348.2022259737</v>
      </c>
      <c r="M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BQ37*$Q37*(1+IF(VLOOKUP($R37,武学奇术!$A:$ZZ,30,FALSE)="蓄力技",$B$21,0))*(1+$BW37)</f>
        <v>68767.6151870981</v>
      </c>
      <c r="N37" s="36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蓄力技",$B$21,0))*(1+$BW37)</f>
        <v>54744.0243033421</v>
      </c>
      <c r="O37" s="36">
        <f>((($AT37+($AU37-$AT37)*IF(VLOOKUP($R37,武学奇术!$A:$ZZ,31,FALSE)=1,$F$18,0.5))*$AN37+$AO37)*(1+$AV37)*(1+$AW37)+(($AY37+($AZ37-$AY37)*IF(VLOOKUP($R37,武学奇术!$A:$ZZ,31,FALSE)=1,$F$18,0.5))*IF($G$1="鸣金",$AP37,$AN37)+IF($G$1="鸣金",$AQ37*1.5,0))*(1+$BA37)*(1+$BB37)+(($BC37+($BD37-$BC37)*IF(VLOOKUP($R37,武学奇术!$A:$ZZ,31,FALSE)=1,$F$18,0.5))*IF($G$1="裂石",$AP37,$AN37)+IF($G$1="裂石",$AQ37*1.5,0))*(1+$BE37)*(1+$BF37)+(($BG37+($BH37-$BG37)*IF(VLOOKUP($R37,武学奇术!$A:$ZZ,31,FALSE)=1,$F$18,0.5))*IF($G$1="牵丝",$AP37,$AN37)+IF($G$1="牵丝",$AQ37*1.5,0))*(1+$BI37)*(1+$BJ37)+(($BK37+($BL37-$BK37)*IF(VLOOKUP($R37,武学奇术!$A:$ZZ,31,FALSE)=1,$F$18,0.5))*IF($G$1="破竹",$AP37,$AN37)+IF($G$1="破竹",$AQ37*1.5,0))*(1+$BM37)*(1+$BN37))*(1+$AR37)*$Q37*(1+IF(VLOOKUP($R37,武学奇术!$A:$ZZ,30,FALSE)="蓄力技",$B$21,0))*(1+$BW37)</f>
        <v>35447.2243232465</v>
      </c>
      <c r="P37" s="36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蓄力技",$B$21,0))*(1+$BW37)</f>
        <v>30343.3195329062</v>
      </c>
      <c r="Q37" s="37">
        <v>1</v>
      </c>
      <c r="R37" s="38" t="s">
        <v>124</v>
      </c>
      <c r="S37" s="38" t="s">
        <v>104</v>
      </c>
      <c r="T37" s="38" t="s">
        <v>79</v>
      </c>
      <c r="U37" s="38" t="s">
        <v>79</v>
      </c>
      <c r="V37" s="38" t="s">
        <v>79</v>
      </c>
      <c r="W37" s="38" t="s">
        <v>79</v>
      </c>
      <c r="X37" s="38" t="s">
        <v>79</v>
      </c>
      <c r="Y37" s="38" t="s">
        <v>173</v>
      </c>
      <c r="Z37" s="38" t="s">
        <v>79</v>
      </c>
      <c r="AA37" s="38" t="s">
        <v>112</v>
      </c>
      <c r="AB37" s="38" t="s">
        <v>79</v>
      </c>
      <c r="AC37" s="38" t="s">
        <v>79</v>
      </c>
      <c r="AD37" s="38" t="s">
        <v>79</v>
      </c>
      <c r="AE37" s="38" t="s">
        <v>79</v>
      </c>
      <c r="AF37" s="38" t="s">
        <v>84</v>
      </c>
      <c r="AG37" s="38" t="s">
        <v>85</v>
      </c>
      <c r="AH37" s="38" t="s">
        <v>79</v>
      </c>
      <c r="AI37" s="38" t="s">
        <v>79</v>
      </c>
      <c r="AJ37" s="38" t="s">
        <v>79</v>
      </c>
      <c r="AK37" s="38" t="s">
        <v>79</v>
      </c>
      <c r="AL37" s="38" t="s">
        <v>79</v>
      </c>
      <c r="AM37" t="str">
        <f>VLOOKUP($R37,武学奇术!$A:$ZZ,25,FALSE)</f>
        <v>拳甲</v>
      </c>
      <c r="AN37" s="24">
        <f>VLOOKUP($R37,武学奇术!$A:$ZZ,26,FALSE)</f>
        <v>2.638944</v>
      </c>
      <c r="AO37" s="25">
        <f>VLOOKUP($R37,武学奇术!$A:$ZZ,27,FALSE)*(1+IF(OR($AM37=$F$4,$AM37=$F$5),$B$22,0))</f>
        <v>0</v>
      </c>
      <c r="AP37" s="24">
        <f>VLOOKUP($R37,武学奇术!$A:$ZZ,28,FALSE)</f>
        <v>3.958416</v>
      </c>
      <c r="AQ37" s="25">
        <f>VLOOKUP($R37,武学奇术!$A:$ZZ,29,FALSE)*(1+IF(OR($AM37=$F$4,$AM37=$F$5),$B$22,0))</f>
        <v>0</v>
      </c>
      <c r="AR37" s="24" cm="1">
        <f t="array" ref="AR37">$G$3+IFERROR(VLOOKUP($AM37,$F$4:$G$7,2,FALSE),0)+VLOOKUP($R37,武学奇术!$A:$ZZ,2,FALSE)+SUM(_xlfn.XLOOKUP($S37:$AL37,增益!$A:$A,增益!$B:$B,0))</f>
        <v>0.6241</v>
      </c>
      <c r="AS37" s="24" cm="1">
        <f t="array" ref="AS37">VLOOKUP($R37,武学奇术!$A:$ZZ,5,FALSE)+SUM(_xlfn.XLOOKUP($S37:$AL37,增益!$A:$A,增益!$E:$E,0))</f>
        <v>0</v>
      </c>
      <c r="AT37" cm="1">
        <f t="array" ref="AT37">$D$10*(1+$AS37)+VLOOKUP($R37,武学奇术!$A:$ZZ,3,FALSE)+SUM(_xlfn.XLOOKUP($S37:$AL37,增益!$A:$A,增益!$C:$C,0))-$I$2</f>
        <v>3839.102</v>
      </c>
      <c r="AU37" cm="1">
        <f t="array" ref="AU37">$E$10*(1+$AS37)+VLOOKUP($R37,武学奇术!$A:$ZZ,4,FALSE)+SUM(_xlfn.XLOOKUP($S37:$AL37,增益!$A:$A,增益!$D:$D,0))-$I$2</f>
        <v>3839.102</v>
      </c>
      <c r="AV37" s="30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0.247</v>
      </c>
      <c r="AW37" s="30" cm="1">
        <f t="array" ref="AW37">$G$10+VLOOKUP($R37,武学奇术!$A:$ZZ,7,FALSE)+SUM(_xlfn.XLOOKUP($S37:$AL37,增益!$A:$A,增益!$G:$G,0))</f>
        <v>0.09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0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-0.24</v>
      </c>
      <c r="BB37" s="30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0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-0.24</v>
      </c>
      <c r="BF37" s="30" cm="1">
        <f t="array" ref="BF37">$G$12+VLOOKUP($R37,武学奇术!$A:$ZZ,12,FALSE)+SUM(_xlfn.XLOOKUP($S37:$AL37,增益!$A:$A,增益!$L:$L,0))</f>
        <v>0</v>
      </c>
      <c r="BG37">
        <f t="shared" si="5"/>
        <v>0</v>
      </c>
      <c r="BH37">
        <f t="shared" si="6"/>
        <v>0</v>
      </c>
      <c r="BI37" s="30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-0.24</v>
      </c>
      <c r="BJ37" s="30" cm="1">
        <f t="array" ref="BJ37">$G$13+VLOOKUP($R37,武学奇术!$A:$ZZ,14,FALSE)+SUM(_xlfn.XLOOKUP($S37:$AL37,增益!$A:$A,增益!$N:$N,0))</f>
        <v>0</v>
      </c>
      <c r="BK37">
        <f t="shared" si="7"/>
        <v>605.472</v>
      </c>
      <c r="BL37">
        <f t="shared" si="8"/>
        <v>1725.468</v>
      </c>
      <c r="BM37" s="30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0.03</v>
      </c>
      <c r="BN37" s="30" cm="1">
        <f t="array" ref="BN37">$G$14+VLOOKUP($R37,武学奇术!$A:$ZZ,16,FALSE)+SUM(_xlfn.XLOOKUP($S37:$AL37,增益!$A:$A,增益!$P:$P,0))</f>
        <v>0.24</v>
      </c>
      <c r="BO37" s="24">
        <f>MIN(IF(VLOOKUP($R37,武学奇术!$A:$ZZ,23,FALSE)=1,100%,$B$8),100%)</f>
        <v>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+MIN(IF(VLOOKUP($R37,武学奇术!$A:$ZZ,32,FALSE)=1,IF(VLOOKUP($R37,武学奇术!$A:$ZZ,24,FALSE)=1,100%,MIN(40%,$B$10+VLOOKUP($R37,武学奇术!$A:$ZZ,19,FALSE)+SUM(_xlfn.XLOOKUP($S37:$AL37,增益!$A:$A,增益!$S:$S,0)))+$B$12+SUM(_xlfn.XLOOKUP($S37:$AL37,增益!$A:$A,增益!$V:$V,0))),0),12%)</f>
        <v>0.9036</v>
      </c>
      <c r="BQ37" s="24" cm="1">
        <f t="array" ref="BQ37">1+$B$13+VLOOKUP($R37,武学奇术!$A:$ZZ,18,FALSE)+SUM(_xlfn.XLOOKUP($S37:$AL37,增益!$A:$A,增益!$R:$R,0))</f>
        <v>1.94</v>
      </c>
      <c r="BR37" s="24" cm="1">
        <f t="array" ref="BR37">MAX(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-IF(VLOOKUP($R37,武学奇术!$A:$ZZ,32,FALSE)=1,12%,0),0)</f>
        <v>0.0929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0.9036</v>
      </c>
      <c r="BU37" s="24">
        <f t="shared" si="10"/>
        <v>0.00350000000000006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0.11</v>
      </c>
      <c r="BX37" s="24" cm="1">
        <f t="array" ref="BX37">SUM(_xlfn.XLOOKUP($S37:$AL37,增益!$A:$A,增益!$X:$X,0))</f>
        <v>0</v>
      </c>
    </row>
    <row r="38" spans="1:76">
      <c r="A38" s="4"/>
      <c r="B38" s="4"/>
      <c r="F38" s="4"/>
      <c r="G38" s="91"/>
      <c r="K38">
        <f>$L38*VLOOKUP($R38,武学奇术!$A:$ZZ,31,FALSE)</f>
        <v>21654.4675427159</v>
      </c>
      <c r="L38" s="36">
        <f t="shared" si="12"/>
        <v>21654.4675427159</v>
      </c>
      <c r="M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BQ38*$Q38*(1+IF(VLOOKUP($R38,武学奇术!$A:$ZZ,30,FALSE)="蓄力技",$B$21,0))*(1+$BW38)</f>
        <v>21831.638847812</v>
      </c>
      <c r="N38" s="36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蓄力技",$B$21,0))*(1+$BW38)</f>
        <v>20245.4980372205</v>
      </c>
      <c r="O38" s="36">
        <f>((($AT38+($AU38-$AT38)*IF(VLOOKUP($R38,武学奇术!$A:$ZZ,31,FALSE)=1,$F$18,0.5))*$AN38+$AO38)*(1+$AV38)*(1+$AW38)+(($AY38+($AZ38-$AY38)*IF(VLOOKUP($R38,武学奇术!$A:$ZZ,31,FALSE)=1,$F$18,0.5))*IF($G$1="鸣金",$AP38,$AN38)+IF($G$1="鸣金",$AQ38*1.5,0))*(1+$BA38)*(1+$BB38)+(($BC38+($BD38-$BC38)*IF(VLOOKUP($R38,武学奇术!$A:$ZZ,31,FALSE)=1,$F$18,0.5))*IF($G$1="裂石",$AP38,$AN38)+IF($G$1="裂石",$AQ38*1.5,0))*(1+$BE38)*(1+$BF38)+(($BG38+($BH38-$BG38)*IF(VLOOKUP($R38,武学奇术!$A:$ZZ,31,FALSE)=1,$F$18,0.5))*IF($G$1="牵丝",$AP38,$AN38)+IF($G$1="牵丝",$AQ38*1.5,0))*(1+$BI38)*(1+$BJ38)+(($BK38+($BL38-$BK38)*IF(VLOOKUP($R38,武学奇术!$A:$ZZ,31,FALSE)=1,$F$18,0.5))*IF($G$1="破竹",$AP38,$AN38)+IF($G$1="破竹",$AQ38*1.5,0))*(1+$BM38)*(1+$BN38))*(1+$AR38)*$Q38*(1+IF(VLOOKUP($R38,武学奇术!$A:$ZZ,30,FALSE)="蓄力技",$B$21,0))*(1+$BW38)</f>
        <v>13311.9749072024</v>
      </c>
      <c r="P38" s="36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蓄力技",$B$21,0))*(1+$BW38)</f>
        <v>11627.2846016489</v>
      </c>
      <c r="Q38" s="37">
        <v>1</v>
      </c>
      <c r="R38" s="38" t="s">
        <v>160</v>
      </c>
      <c r="S38" s="38" t="s">
        <v>104</v>
      </c>
      <c r="T38" s="38" t="s">
        <v>79</v>
      </c>
      <c r="U38" s="38" t="s">
        <v>79</v>
      </c>
      <c r="V38" s="38" t="s">
        <v>79</v>
      </c>
      <c r="W38" s="38" t="s">
        <v>79</v>
      </c>
      <c r="X38" s="38" t="s">
        <v>79</v>
      </c>
      <c r="Y38" s="38" t="s">
        <v>173</v>
      </c>
      <c r="Z38" s="38" t="s">
        <v>79</v>
      </c>
      <c r="AA38" s="38" t="s">
        <v>79</v>
      </c>
      <c r="AB38" s="38" t="s">
        <v>79</v>
      </c>
      <c r="AC38" s="38" t="s">
        <v>79</v>
      </c>
      <c r="AD38" s="38" t="s">
        <v>79</v>
      </c>
      <c r="AE38" s="38" t="s">
        <v>79</v>
      </c>
      <c r="AF38" s="38" t="s">
        <v>84</v>
      </c>
      <c r="AG38" s="38" t="s">
        <v>85</v>
      </c>
      <c r="AH38" s="38" t="s">
        <v>79</v>
      </c>
      <c r="AI38" s="38" t="s">
        <v>79</v>
      </c>
      <c r="AJ38" s="38" t="s">
        <v>79</v>
      </c>
      <c r="AK38" s="38" t="s">
        <v>79</v>
      </c>
      <c r="AL38" s="38" t="s">
        <v>79</v>
      </c>
      <c r="AM38" t="str">
        <f>VLOOKUP($R38,武学奇术!$A:$ZZ,25,FALSE)</f>
        <v>拳甲</v>
      </c>
      <c r="AN38" s="24">
        <f>VLOOKUP($R38,武学奇术!$A:$ZZ,26,FALSE)</f>
        <v>1.1005</v>
      </c>
      <c r="AO38" s="25">
        <f>VLOOKUP($R38,武学奇术!$A:$ZZ,27,FALSE)*(1+IF(OR($AM38=$F$4,$AM38=$F$5),$B$22,0))</f>
        <v>457.5</v>
      </c>
      <c r="AP38" s="24">
        <f>VLOOKUP($R38,武学奇术!$A:$ZZ,28,FALSE)</f>
        <v>1.6507</v>
      </c>
      <c r="AQ38" s="25">
        <f>VLOOKUP($R38,武学奇术!$A:$ZZ,29,FALSE)*(1+IF(OR($AM38=$F$4,$AM38=$F$5),$B$22,0))</f>
        <v>247.5</v>
      </c>
      <c r="AR38" s="24" cm="1">
        <f t="array" ref="AR38">$G$3+IFERROR(VLOOKUP($AM38,$F$4:$G$7,2,FALSE),0)+VLOOKUP($R38,武学奇术!$A:$ZZ,2,FALSE)+SUM(_xlfn.XLOOKUP($S38:$AL38,增益!$A:$A,增益!$B:$B,0))</f>
        <v>0.3241</v>
      </c>
      <c r="AS38" s="24" cm="1">
        <f t="array" ref="AS38">VLOOKUP($R38,武学奇术!$A:$ZZ,5,FALSE)+SUM(_xlfn.XLOOKUP($S38:$AL38,增益!$A:$A,增益!$E:$E,0))</f>
        <v>0</v>
      </c>
      <c r="AT38" cm="1">
        <f t="array" ref="AT38">$D$10*(1+$AS38)+VLOOKUP($R38,武学奇术!$A:$ZZ,3,FALSE)+SUM(_xlfn.XLOOKUP($S38:$AL38,增益!$A:$A,增益!$C:$C,0))-$I$2</f>
        <v>3839.102</v>
      </c>
      <c r="AU38" cm="1">
        <f t="array" ref="AU38">$E$10*(1+$AS38)+VLOOKUP($R38,武学奇术!$A:$ZZ,4,FALSE)+SUM(_xlfn.XLOOKUP($S38:$AL38,增益!$A:$A,增益!$D:$D,0))-$I$2</f>
        <v>3839.102</v>
      </c>
      <c r="AV38" s="30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0.217</v>
      </c>
      <c r="AW38" s="30" cm="1">
        <f t="array" ref="AW38">$G$10+VLOOKUP($R38,武学奇术!$A:$ZZ,7,FALSE)+SUM(_xlfn.XLOOKUP($S38:$AL38,增益!$A:$A,增益!$G:$G,0))</f>
        <v>0.09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0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0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0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0" cm="1">
        <f t="array" ref="BF38">$G$12+VLOOKUP($R38,武学奇术!$A:$ZZ,12,FALSE)+SUM(_xlfn.XLOOKUP($S38:$AL38,增益!$A:$A,增益!$L:$L,0))</f>
        <v>0</v>
      </c>
      <c r="BG38">
        <f t="shared" si="5"/>
        <v>0</v>
      </c>
      <c r="BH38">
        <f t="shared" si="6"/>
        <v>0</v>
      </c>
      <c r="BI38" s="30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-0.3</v>
      </c>
      <c r="BJ38" s="30" cm="1">
        <f t="array" ref="BJ38">$G$13+VLOOKUP($R38,武学奇术!$A:$ZZ,14,FALSE)+SUM(_xlfn.XLOOKUP($S38:$AL38,增益!$A:$A,增益!$N:$N,0))</f>
        <v>0</v>
      </c>
      <c r="BK38">
        <f t="shared" si="7"/>
        <v>605.472</v>
      </c>
      <c r="BL38">
        <f t="shared" si="8"/>
        <v>1725.468</v>
      </c>
      <c r="BM38" s="30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0</v>
      </c>
      <c r="BN38" s="30" cm="1">
        <f t="array" ref="BN38">$G$14+VLOOKUP($R38,武学奇术!$A:$ZZ,16,FALSE)+SUM(_xlfn.XLOOKUP($S38:$AL38,增益!$A:$A,增益!$P:$P,0))</f>
        <v>0.24</v>
      </c>
      <c r="BO38" s="24">
        <f>MIN(IF(VLOOKUP($R38,武学奇术!$A:$ZZ,23,FALSE)=1,100%,$B$8),100%)</f>
        <v>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+MIN(IF(VLOOKUP($R38,武学奇术!$A:$ZZ,32,FALSE)=1,IF(VLOOKUP($R38,武学奇术!$A:$ZZ,24,FALSE)=1,100%,MIN(40%,$B$10+VLOOKUP($R38,武学奇术!$A:$ZZ,19,FALSE)+SUM(_xlfn.XLOOKUP($S38:$AL38,增益!$A:$A,增益!$S:$S,0)))+$B$12+SUM(_xlfn.XLOOKUP($S38:$AL38,增益!$A:$A,增益!$V:$V,0))),0),12%)</f>
        <v>0.9036</v>
      </c>
      <c r="BQ38" s="24" cm="1">
        <f t="array" ref="BQ38">1+$B$13+VLOOKUP($R38,武学奇术!$A:$ZZ,18,FALSE)+SUM(_xlfn.XLOOKUP($S38:$AL38,增益!$A:$A,增益!$R:$R,0))</f>
        <v>1.64</v>
      </c>
      <c r="BR38" s="24" cm="1">
        <f t="array" ref="BR38">MAX(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-IF(VLOOKUP($R38,武学奇术!$A:$ZZ,32,FALSE)=1,12%,0),0)</f>
        <v>0.0929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0.9036</v>
      </c>
      <c r="BU38" s="24">
        <f t="shared" si="10"/>
        <v>0.00350000000000006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0.11</v>
      </c>
      <c r="BX38" s="24" cm="1">
        <f t="array" ref="BX38">SUM(_xlfn.XLOOKUP($S38:$AL38,增益!$A:$A,增益!$X:$X,0))</f>
        <v>0</v>
      </c>
    </row>
    <row r="39" spans="1:76">
      <c r="A39" s="4"/>
      <c r="B39" s="91"/>
      <c r="F39" s="4"/>
      <c r="G39" s="91"/>
      <c r="K39">
        <f>$L39*VLOOKUP($R39,武学奇术!$A:$ZZ,31,FALSE)</f>
        <v>115970.289980478</v>
      </c>
      <c r="L39" s="36">
        <f t="shared" si="12"/>
        <v>89207.9153695986</v>
      </c>
      <c r="M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BQ39*$Q39*(1+IF(VLOOKUP($R39,武学奇术!$A:$ZZ,30,FALSE)="蓄力技",$B$21,0))*(1+$BW39)</f>
        <v>91252.1931173732</v>
      </c>
      <c r="N39" s="36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蓄力技",$B$21,0))*(1+$BW39)</f>
        <v>70912.8463231998</v>
      </c>
      <c r="O39" s="36">
        <f>((($AT39+($AU39-$AT39)*IF(VLOOKUP($R39,武学奇术!$A:$ZZ,31,FALSE)=1,$F$18,0.5))*$AN39+$AO39)*(1+$AV39)*(1+$AW39)+(($AY39+($AZ39-$AY39)*IF(VLOOKUP($R39,武学奇术!$A:$ZZ,31,FALSE)=1,$F$18,0.5))*IF($G$1="鸣金",$AP39,$AN39)+IF($G$1="鸣金",$AQ39*1.5,0))*(1+$BA39)*(1+$BB39)+(($BC39+($BD39-$BC39)*IF(VLOOKUP($R39,武学奇术!$A:$ZZ,31,FALSE)=1,$F$18,0.5))*IF($G$1="裂石",$AP39,$AN39)+IF($G$1="裂石",$AQ39*1.5,0))*(1+$BE39)*(1+$BF39)+(($BG39+($BH39-$BG39)*IF(VLOOKUP($R39,武学奇术!$A:$ZZ,31,FALSE)=1,$F$18,0.5))*IF($G$1="牵丝",$AP39,$AN39)+IF($G$1="牵丝",$AQ39*1.5,0))*(1+$BI39)*(1+$BJ39)+(($BK39+($BL39-$BK39)*IF(VLOOKUP($R39,武学奇术!$A:$ZZ,31,FALSE)=1,$F$18,0.5))*IF($G$1="破竹",$AP39,$AN39)+IF($G$1="破竹",$AQ39*1.5,0))*(1+$BM39)*(1+$BN39))*(1+$AR39)*$Q39*(1+IF(VLOOKUP($R39,武学奇术!$A:$ZZ,30,FALSE)="蓄力技",$B$21,0))*(1+$BW39)</f>
        <v>47037.2129470996</v>
      </c>
      <c r="P39" s="36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蓄力技",$B$21,0))*(1+$BW39)</f>
        <v>41546.3915807179</v>
      </c>
      <c r="Q39" s="37">
        <v>1</v>
      </c>
      <c r="R39" s="38" t="s">
        <v>119</v>
      </c>
      <c r="S39" s="38" t="s">
        <v>104</v>
      </c>
      <c r="T39" s="38" t="s">
        <v>79</v>
      </c>
      <c r="U39" s="38" t="s">
        <v>140</v>
      </c>
      <c r="V39" s="38" t="s">
        <v>79</v>
      </c>
      <c r="W39" s="38" t="s">
        <v>79</v>
      </c>
      <c r="X39" s="38" t="s">
        <v>79</v>
      </c>
      <c r="Y39" s="38" t="s">
        <v>173</v>
      </c>
      <c r="Z39" s="38" t="s">
        <v>79</v>
      </c>
      <c r="AA39" s="38" t="s">
        <v>112</v>
      </c>
      <c r="AB39" s="38" t="s">
        <v>79</v>
      </c>
      <c r="AC39" s="38" t="s">
        <v>79</v>
      </c>
      <c r="AD39" s="38" t="s">
        <v>79</v>
      </c>
      <c r="AE39" s="38" t="s">
        <v>79</v>
      </c>
      <c r="AF39" s="38" t="s">
        <v>84</v>
      </c>
      <c r="AG39" s="38" t="s">
        <v>85</v>
      </c>
      <c r="AH39" s="38" t="s">
        <v>79</v>
      </c>
      <c r="AI39" s="38" t="s">
        <v>79</v>
      </c>
      <c r="AJ39" s="38" t="s">
        <v>79</v>
      </c>
      <c r="AK39" s="38" t="s">
        <v>79</v>
      </c>
      <c r="AL39" s="38" t="s">
        <v>79</v>
      </c>
      <c r="AM39" t="str">
        <f>VLOOKUP($R39,武学奇术!$A:$ZZ,25,FALSE)</f>
        <v>拳甲</v>
      </c>
      <c r="AN39" s="24">
        <f>VLOOKUP($R39,武学奇术!$A:$ZZ,26,FALSE)</f>
        <v>2.91176</v>
      </c>
      <c r="AO39" s="25">
        <f>VLOOKUP($R39,武学奇术!$A:$ZZ,27,FALSE)*(1+IF(OR($AM39=$F$4,$AM39=$F$5),$B$22,0))</f>
        <v>1208.7</v>
      </c>
      <c r="AP39" s="24">
        <f>VLOOKUP($R39,武学奇术!$A:$ZZ,28,FALSE)</f>
        <v>3.89844</v>
      </c>
      <c r="AQ39" s="25">
        <f>VLOOKUP($R39,武学奇术!$A:$ZZ,29,FALSE)*(1+IF(OR($AM39=$F$4,$AM39=$F$5),$B$22,0))</f>
        <v>650.25</v>
      </c>
      <c r="AR39" s="24" cm="1">
        <f t="array" ref="AR39">$G$3+IFERROR(VLOOKUP($AM39,$F$4:$G$7,2,FALSE),0)+VLOOKUP($R39,武学奇术!$A:$ZZ,2,FALSE)+SUM(_xlfn.XLOOKUP($S39:$AL39,增益!$A:$A,增益!$B:$B,0))</f>
        <v>0.7741</v>
      </c>
      <c r="AS39" s="24" cm="1">
        <f t="array" ref="AS39">VLOOKUP($R39,武学奇术!$A:$ZZ,5,FALSE)+SUM(_xlfn.XLOOKUP($S39:$AL39,增益!$A:$A,增益!$E:$E,0))</f>
        <v>0</v>
      </c>
      <c r="AT39" cm="1">
        <f t="array" ref="AT39">$D$10*(1+$AS39)+VLOOKUP($R39,武学奇术!$A:$ZZ,3,FALSE)+SUM(_xlfn.XLOOKUP($S39:$AL39,增益!$A:$A,增益!$C:$C,0))-$I$2</f>
        <v>3839.102</v>
      </c>
      <c r="AU39" cm="1">
        <f t="array" ref="AU39">$E$10*(1+$AS39)+VLOOKUP($R39,武学奇术!$A:$ZZ,4,FALSE)+SUM(_xlfn.XLOOKUP($S39:$AL39,增益!$A:$A,增益!$D:$D,0))-$I$2</f>
        <v>3839.102</v>
      </c>
      <c r="AV39" s="30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0.247</v>
      </c>
      <c r="AW39" s="30" cm="1">
        <f t="array" ref="AW39">$G$10+VLOOKUP($R39,武学奇术!$A:$ZZ,7,FALSE)+SUM(_xlfn.XLOOKUP($S39:$AL39,增益!$A:$A,增益!$G:$G,0))</f>
        <v>0.09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0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-0.24</v>
      </c>
      <c r="BB39" s="30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0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-0.24</v>
      </c>
      <c r="BF39" s="30" cm="1">
        <f t="array" ref="BF39">$G$12+VLOOKUP($R39,武学奇术!$A:$ZZ,12,FALSE)+SUM(_xlfn.XLOOKUP($S39:$AL39,增益!$A:$A,增益!$L:$L,0))</f>
        <v>0</v>
      </c>
      <c r="BG39">
        <f t="shared" si="5"/>
        <v>0</v>
      </c>
      <c r="BH39">
        <f t="shared" si="6"/>
        <v>0</v>
      </c>
      <c r="BI39" s="30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-0.24</v>
      </c>
      <c r="BJ39" s="30" cm="1">
        <f t="array" ref="BJ39">$G$13+VLOOKUP($R39,武学奇术!$A:$ZZ,14,FALSE)+SUM(_xlfn.XLOOKUP($S39:$AL39,增益!$A:$A,增益!$N:$N,0))</f>
        <v>0</v>
      </c>
      <c r="BK39">
        <f t="shared" si="7"/>
        <v>605.472</v>
      </c>
      <c r="BL39">
        <f t="shared" si="8"/>
        <v>1725.468</v>
      </c>
      <c r="BM39" s="30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0.03</v>
      </c>
      <c r="BN39" s="30" cm="1">
        <f t="array" ref="BN39">$G$14+VLOOKUP($R39,武学奇术!$A:$ZZ,16,FALSE)+SUM(_xlfn.XLOOKUP($S39:$AL39,增益!$A:$A,增益!$P:$P,0))</f>
        <v>0.24</v>
      </c>
      <c r="BO39" s="24">
        <f>MIN(IF(VLOOKUP($R39,武学奇术!$A:$ZZ,23,FALSE)=1,100%,$B$8),100%)</f>
        <v>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+MIN(IF(VLOOKUP($R39,武学奇术!$A:$ZZ,32,FALSE)=1,IF(VLOOKUP($R39,武学奇术!$A:$ZZ,24,FALSE)=1,100%,MIN(40%,$B$10+VLOOKUP($R39,武学奇术!$A:$ZZ,19,FALSE)+SUM(_xlfn.XLOOKUP($S39:$AL39,增益!$A:$A,增益!$S:$S,0)))+$B$12+SUM(_xlfn.XLOOKUP($S39:$AL39,增益!$A:$A,增益!$V:$V,0))),0),12%)</f>
        <v>0.9036</v>
      </c>
      <c r="BQ39" s="24" cm="1">
        <f t="array" ref="BQ39">1+$B$13+VLOOKUP($R39,武学奇术!$A:$ZZ,18,FALSE)+SUM(_xlfn.XLOOKUP($S39:$AL39,增益!$A:$A,增益!$R:$R,0))</f>
        <v>1.94</v>
      </c>
      <c r="BR39" s="24" cm="1">
        <f t="array" ref="BR39">MAX(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-IF(VLOOKUP($R39,武学奇术!$A:$ZZ,32,FALSE)=1,12%,0),0)</f>
        <v>0.0929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0.9036</v>
      </c>
      <c r="BU39" s="24">
        <f t="shared" si="10"/>
        <v>0.00350000000000006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0.11</v>
      </c>
      <c r="BX39" s="24" cm="1">
        <f t="array" ref="BX39">SUM(_xlfn.XLOOKUP($S39:$AL39,增益!$A:$A,增益!$X:$X,0))</f>
        <v>0</v>
      </c>
    </row>
    <row r="40" spans="1:76">
      <c r="F40" s="4"/>
      <c r="G40" s="4"/>
      <c r="K40">
        <f>$L40*VLOOKUP($R40,武学奇术!$A:$ZZ,31,FALSE)</f>
        <v>28226.3690683741</v>
      </c>
      <c r="L40" s="36">
        <f t="shared" si="12"/>
        <v>28226.3690683741</v>
      </c>
      <c r="M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BQ40*$Q40*(1+IF(VLOOKUP($R40,武学奇术!$A:$ZZ,30,FALSE)="蓄力技",$B$21,0))*(1+$BW40)</f>
        <v>28457.5163592327</v>
      </c>
      <c r="N40" s="36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蓄力技",$B$21,0))*(1+$BW40)</f>
        <v>26387.7802125539</v>
      </c>
      <c r="O40" s="36">
        <f>((($AT40+($AU40-$AT40)*IF(VLOOKUP($R40,武学奇术!$A:$ZZ,31,FALSE)=1,$F$18,0.5))*$AN40+$AO40)*(1+$AV40)*(1+$AW40)+(($AY40+($AZ40-$AY40)*IF(VLOOKUP($R40,武学奇术!$A:$ZZ,31,FALSE)=1,$F$18,0.5))*IF($G$1="鸣金",$AP40,$AN40)+IF($G$1="鸣金",$AQ40*1.5,0))*(1+$BA40)*(1+$BB40)+(($BC40+($BD40-$BC40)*IF(VLOOKUP($R40,武学奇术!$A:$ZZ,31,FALSE)=1,$F$18,0.5))*IF($G$1="裂石",$AP40,$AN40)+IF($G$1="裂石",$AQ40*1.5,0))*(1+$BE40)*(1+$BF40)+(($BG40+($BH40-$BG40)*IF(VLOOKUP($R40,武学奇术!$A:$ZZ,31,FALSE)=1,$F$18,0.5))*IF($G$1="牵丝",$AP40,$AN40)+IF($G$1="牵丝",$AQ40*1.5,0))*(1+$BI40)*(1+$BJ40)+(($BK40+($BL40-$BK40)*IF(VLOOKUP($R40,武学奇术!$A:$ZZ,31,FALSE)=1,$F$18,0.5))*IF($G$1="破竹",$AP40,$AN40)+IF($G$1="破竹",$AQ40*1.5,0))*(1+$BM40)*(1+$BN40))*(1+$AR40)*$Q40*(1+IF(VLOOKUP($R40,武学奇术!$A:$ZZ,30,FALSE)="蓄力技",$B$21,0))*(1+$BW40)</f>
        <v>17352.1441214834</v>
      </c>
      <c r="P40" s="36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蓄力技",$B$21,0))*(1+$BW40)</f>
        <v>15157.7843818157</v>
      </c>
      <c r="Q40" s="37">
        <v>1</v>
      </c>
      <c r="R40" s="38" t="s">
        <v>122</v>
      </c>
      <c r="S40" s="38" t="s">
        <v>104</v>
      </c>
      <c r="T40" s="38" t="s">
        <v>79</v>
      </c>
      <c r="U40" s="38" t="s">
        <v>140</v>
      </c>
      <c r="V40" s="38" t="s">
        <v>79</v>
      </c>
      <c r="W40" s="38" t="s">
        <v>79</v>
      </c>
      <c r="X40" s="38" t="s">
        <v>79</v>
      </c>
      <c r="Y40" s="38" t="s">
        <v>173</v>
      </c>
      <c r="Z40" s="38" t="s">
        <v>79</v>
      </c>
      <c r="AA40" s="38" t="s">
        <v>79</v>
      </c>
      <c r="AB40" s="38" t="s">
        <v>79</v>
      </c>
      <c r="AC40" s="38" t="s">
        <v>79</v>
      </c>
      <c r="AD40" s="38" t="s">
        <v>79</v>
      </c>
      <c r="AE40" s="38" t="s">
        <v>79</v>
      </c>
      <c r="AF40" s="38" t="s">
        <v>84</v>
      </c>
      <c r="AG40" s="38" t="s">
        <v>85</v>
      </c>
      <c r="AH40" s="38" t="s">
        <v>79</v>
      </c>
      <c r="AI40" s="38" t="s">
        <v>79</v>
      </c>
      <c r="AJ40" s="38" t="s">
        <v>79</v>
      </c>
      <c r="AK40" s="38" t="s">
        <v>79</v>
      </c>
      <c r="AL40" s="38" t="s">
        <v>79</v>
      </c>
      <c r="AM40" t="str">
        <f>VLOOKUP($R40,武学奇术!$A:$ZZ,25,FALSE)</f>
        <v>拳甲</v>
      </c>
      <c r="AN40" s="24">
        <f>VLOOKUP($R40,武学奇术!$A:$ZZ,26,FALSE)</f>
        <v>1.2876</v>
      </c>
      <c r="AO40" s="25">
        <f>VLOOKUP($R40,武学奇术!$A:$ZZ,27,FALSE)*(1+IF(OR($AM40=$F$4,$AM40=$F$5),$B$22,0))</f>
        <v>537</v>
      </c>
      <c r="AP40" s="24">
        <f>VLOOKUP($R40,武学奇术!$A:$ZZ,28,FALSE)</f>
        <v>1.9313</v>
      </c>
      <c r="AQ40" s="25">
        <f>VLOOKUP($R40,武学奇术!$A:$ZZ,29,FALSE)*(1+IF(OR($AM40=$F$4,$AM40=$F$5),$B$22,0))</f>
        <v>292.5</v>
      </c>
      <c r="AR40" s="24" cm="1">
        <f t="array" ref="AR40">$G$3+IFERROR(VLOOKUP($AM40,$F$4:$G$7,2,FALSE),0)+VLOOKUP($R40,武学奇术!$A:$ZZ,2,FALSE)+SUM(_xlfn.XLOOKUP($S40:$AL40,增益!$A:$A,增益!$B:$B,0))</f>
        <v>0.4741</v>
      </c>
      <c r="AS40" s="24" cm="1">
        <f t="array" ref="AS40">VLOOKUP($R40,武学奇术!$A:$ZZ,5,FALSE)+SUM(_xlfn.XLOOKUP($S40:$AL40,增益!$A:$A,增益!$E:$E,0))</f>
        <v>0</v>
      </c>
      <c r="AT40" cm="1">
        <f t="array" ref="AT40">$D$10*(1+$AS40)+VLOOKUP($R40,武学奇术!$A:$ZZ,3,FALSE)+SUM(_xlfn.XLOOKUP($S40:$AL40,增益!$A:$A,增益!$C:$C,0))-$I$2</f>
        <v>3839.102</v>
      </c>
      <c r="AU40" cm="1">
        <f t="array" ref="AU40">$E$10*(1+$AS40)+VLOOKUP($R40,武学奇术!$A:$ZZ,4,FALSE)+SUM(_xlfn.XLOOKUP($S40:$AL40,增益!$A:$A,增益!$D:$D,0))-$I$2</f>
        <v>3839.102</v>
      </c>
      <c r="AV40" s="30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0.217</v>
      </c>
      <c r="AW40" s="30" cm="1">
        <f t="array" ref="AW40">$G$10+VLOOKUP($R40,武学奇术!$A:$ZZ,7,FALSE)+SUM(_xlfn.XLOOKUP($S40:$AL40,增益!$A:$A,增益!$G:$G,0))</f>
        <v>0.09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0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0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0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0" cm="1">
        <f t="array" ref="BF40">$G$12+VLOOKUP($R40,武学奇术!$A:$ZZ,12,FALSE)+SUM(_xlfn.XLOOKUP($S40:$AL40,增益!$A:$A,增益!$L:$L,0))</f>
        <v>0</v>
      </c>
      <c r="BG40">
        <f t="shared" si="5"/>
        <v>0</v>
      </c>
      <c r="BH40">
        <f t="shared" si="6"/>
        <v>0</v>
      </c>
      <c r="BI40" s="30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-0.3</v>
      </c>
      <c r="BJ40" s="30" cm="1">
        <f t="array" ref="BJ40">$G$13+VLOOKUP($R40,武学奇术!$A:$ZZ,14,FALSE)+SUM(_xlfn.XLOOKUP($S40:$AL40,增益!$A:$A,增益!$N:$N,0))</f>
        <v>0</v>
      </c>
      <c r="BK40">
        <f t="shared" si="7"/>
        <v>605.472</v>
      </c>
      <c r="BL40">
        <f t="shared" si="8"/>
        <v>1725.468</v>
      </c>
      <c r="BM40" s="30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0</v>
      </c>
      <c r="BN40" s="30" cm="1">
        <f t="array" ref="BN40">$G$14+VLOOKUP($R40,武学奇术!$A:$ZZ,16,FALSE)+SUM(_xlfn.XLOOKUP($S40:$AL40,增益!$A:$A,增益!$P:$P,0))</f>
        <v>0.24</v>
      </c>
      <c r="BO40" s="24">
        <f>MIN(IF(VLOOKUP($R40,武学奇术!$A:$ZZ,23,FALSE)=1,100%,$B$8),100%)</f>
        <v>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+MIN(IF(VLOOKUP($R40,武学奇术!$A:$ZZ,32,FALSE)=1,IF(VLOOKUP($R40,武学奇术!$A:$ZZ,24,FALSE)=1,100%,MIN(40%,$B$10+VLOOKUP($R40,武学奇术!$A:$ZZ,19,FALSE)+SUM(_xlfn.XLOOKUP($S40:$AL40,增益!$A:$A,增益!$S:$S,0)))+$B$12+SUM(_xlfn.XLOOKUP($S40:$AL40,增益!$A:$A,增益!$V:$V,0))),0),12%)</f>
        <v>0.9036</v>
      </c>
      <c r="BQ40" s="24" cm="1">
        <f t="array" ref="BQ40">1+$B$13+VLOOKUP($R40,武学奇术!$A:$ZZ,18,FALSE)+SUM(_xlfn.XLOOKUP($S40:$AL40,增益!$A:$A,增益!$R:$R,0))</f>
        <v>1.64</v>
      </c>
      <c r="BR40" s="24" cm="1">
        <f t="array" ref="BR40">MAX(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-IF(VLOOKUP($R40,武学奇术!$A:$ZZ,32,FALSE)=1,12%,0),0)</f>
        <v>0.0929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0.9036</v>
      </c>
      <c r="BU40" s="24">
        <f t="shared" si="10"/>
        <v>0.00350000000000006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0.11</v>
      </c>
      <c r="BX40" s="24" cm="1">
        <f t="array" ref="BX40">SUM(_xlfn.XLOOKUP($S40:$AL40,增益!$A:$A,增益!$X:$X,0))</f>
        <v>0</v>
      </c>
    </row>
    <row r="41" spans="1:76">
      <c r="A41" s="4"/>
      <c r="B41" s="91"/>
      <c r="F41" s="4"/>
      <c r="G41" s="4"/>
      <c r="K41">
        <f>$L41*VLOOKUP($R41,武学奇术!$A:$ZZ,31,FALSE)</f>
        <v>95638.9257064405</v>
      </c>
      <c r="L41" s="36">
        <f t="shared" si="12"/>
        <v>73568.4043895696</v>
      </c>
      <c r="M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BQ41*$Q41*(1+IF(VLOOKUP($R41,武学奇术!$A:$ZZ,30,FALSE)="蓄力技",$B$21,0))*(1+$BW41)</f>
        <v>75118.9126922177</v>
      </c>
      <c r="N41" s="36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蓄力技",$B$21,0))*(1+$BW41)</f>
        <v>59800.1191531059</v>
      </c>
      <c r="O41" s="36">
        <f>((($AT41+($AU41-$AT41)*IF(VLOOKUP($R41,武学奇术!$A:$ZZ,31,FALSE)=1,$F$18,0.5))*$AN41+$AO41)*(1+$AV41)*(1+$AW41)+(($AY41+($AZ41-$AY41)*IF(VLOOKUP($R41,武学奇术!$A:$ZZ,31,FALSE)=1,$F$18,0.5))*IF($G$1="鸣金",$AP41,$AN41)+IF($G$1="鸣金",$AQ41*1.5,0))*(1+$BA41)*(1+$BB41)+(($BC41+($BD41-$BC41)*IF(VLOOKUP($R41,武学奇术!$A:$ZZ,31,FALSE)=1,$F$18,0.5))*IF($G$1="裂石",$AP41,$AN41)+IF($G$1="裂石",$AQ41*1.5,0))*(1+$BE41)*(1+$BF41)+(($BG41+($BH41-$BG41)*IF(VLOOKUP($R41,武学奇术!$A:$ZZ,31,FALSE)=1,$F$18,0.5))*IF($G$1="牵丝",$AP41,$AN41)+IF($G$1="牵丝",$AQ41*1.5,0))*(1+$BI41)*(1+$BJ41)+(($BK41+($BL41-$BK41)*IF(VLOOKUP($R41,武学奇术!$A:$ZZ,31,FALSE)=1,$F$18,0.5))*IF($G$1="破竹",$AP41,$AN41)+IF($G$1="破竹",$AQ41*1.5,0))*(1+$BM41)*(1+$BN41))*(1+$AR41)*$Q41*(1+IF(VLOOKUP($R41,武学奇术!$A:$ZZ,30,FALSE)="蓄力技",$B$21,0))*(1+$BW41)</f>
        <v>38721.0890166071</v>
      </c>
      <c r="P41" s="36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蓄力技",$B$21,0))*(1+$BW41)</f>
        <v>33145.7934753579</v>
      </c>
      <c r="Q41" s="37">
        <v>1</v>
      </c>
      <c r="R41" s="38" t="s">
        <v>124</v>
      </c>
      <c r="S41" s="38" t="s">
        <v>104</v>
      </c>
      <c r="T41" s="38" t="s">
        <v>79</v>
      </c>
      <c r="U41" s="38" t="s">
        <v>140</v>
      </c>
      <c r="V41" s="38" t="s">
        <v>79</v>
      </c>
      <c r="W41" s="38" t="s">
        <v>79</v>
      </c>
      <c r="X41" s="38" t="s">
        <v>79</v>
      </c>
      <c r="Y41" s="38" t="s">
        <v>173</v>
      </c>
      <c r="Z41" s="38" t="s">
        <v>79</v>
      </c>
      <c r="AA41" s="38" t="s">
        <v>112</v>
      </c>
      <c r="AB41" s="38" t="s">
        <v>79</v>
      </c>
      <c r="AC41" s="38" t="s">
        <v>79</v>
      </c>
      <c r="AD41" s="38" t="s">
        <v>79</v>
      </c>
      <c r="AE41" s="38" t="s">
        <v>79</v>
      </c>
      <c r="AF41" s="38" t="s">
        <v>84</v>
      </c>
      <c r="AG41" s="38" t="s">
        <v>85</v>
      </c>
      <c r="AH41" s="38" t="s">
        <v>79</v>
      </c>
      <c r="AI41" s="38" t="s">
        <v>79</v>
      </c>
      <c r="AJ41" s="38" t="s">
        <v>79</v>
      </c>
      <c r="AK41" s="38" t="s">
        <v>79</v>
      </c>
      <c r="AL41" s="38" t="s">
        <v>79</v>
      </c>
      <c r="AM41" t="str">
        <f>VLOOKUP($R41,武学奇术!$A:$ZZ,25,FALSE)</f>
        <v>拳甲</v>
      </c>
      <c r="AN41" s="24">
        <f>VLOOKUP($R41,武学奇术!$A:$ZZ,26,FALSE)</f>
        <v>2.638944</v>
      </c>
      <c r="AO41" s="25">
        <f>VLOOKUP($R41,武学奇术!$A:$ZZ,27,FALSE)*(1+IF(OR($AM41=$F$4,$AM41=$F$5),$B$22,0))</f>
        <v>0</v>
      </c>
      <c r="AP41" s="24">
        <f>VLOOKUP($R41,武学奇术!$A:$ZZ,28,FALSE)</f>
        <v>3.958416</v>
      </c>
      <c r="AQ41" s="25">
        <f>VLOOKUP($R41,武学奇术!$A:$ZZ,29,FALSE)*(1+IF(OR($AM41=$F$4,$AM41=$F$5),$B$22,0))</f>
        <v>0</v>
      </c>
      <c r="AR41" s="24" cm="1">
        <f t="array" ref="AR41">$G$3+IFERROR(VLOOKUP($AM41,$F$4:$G$7,2,FALSE),0)+VLOOKUP($R41,武学奇术!$A:$ZZ,2,FALSE)+SUM(_xlfn.XLOOKUP($S41:$AL41,增益!$A:$A,增益!$B:$B,0))</f>
        <v>0.7741</v>
      </c>
      <c r="AS41" s="24" cm="1">
        <f t="array" ref="AS41">VLOOKUP($R41,武学奇术!$A:$ZZ,5,FALSE)+SUM(_xlfn.XLOOKUP($S41:$AL41,增益!$A:$A,增益!$E:$E,0))</f>
        <v>0</v>
      </c>
      <c r="AT41" cm="1">
        <f t="array" ref="AT41">$D$10*(1+$AS41)+VLOOKUP($R41,武学奇术!$A:$ZZ,3,FALSE)+SUM(_xlfn.XLOOKUP($S41:$AL41,增益!$A:$A,增益!$C:$C,0))-$I$2</f>
        <v>3839.102</v>
      </c>
      <c r="AU41" cm="1">
        <f t="array" ref="AU41">$E$10*(1+$AS41)+VLOOKUP($R41,武学奇术!$A:$ZZ,4,FALSE)+SUM(_xlfn.XLOOKUP($S41:$AL41,增益!$A:$A,增益!$D:$D,0))-$I$2</f>
        <v>3839.102</v>
      </c>
      <c r="AV41" s="30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0.247</v>
      </c>
      <c r="AW41" s="30" cm="1">
        <f t="array" ref="AW41">$G$10+VLOOKUP($R41,武学奇术!$A:$ZZ,7,FALSE)+SUM(_xlfn.XLOOKUP($S41:$AL41,增益!$A:$A,增益!$G:$G,0))</f>
        <v>0.09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0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-0.24</v>
      </c>
      <c r="BB41" s="30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0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-0.24</v>
      </c>
      <c r="BF41" s="30" cm="1">
        <f t="array" ref="BF41">$G$12+VLOOKUP($R41,武学奇术!$A:$ZZ,12,FALSE)+SUM(_xlfn.XLOOKUP($S41:$AL41,增益!$A:$A,增益!$L:$L,0))</f>
        <v>0</v>
      </c>
      <c r="BG41">
        <f t="shared" si="5"/>
        <v>0</v>
      </c>
      <c r="BH41">
        <f t="shared" si="6"/>
        <v>0</v>
      </c>
      <c r="BI41" s="30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-0.24</v>
      </c>
      <c r="BJ41" s="30" cm="1">
        <f t="array" ref="BJ41">$G$13+VLOOKUP($R41,武学奇术!$A:$ZZ,14,FALSE)+SUM(_xlfn.XLOOKUP($S41:$AL41,增益!$A:$A,增益!$N:$N,0))</f>
        <v>0</v>
      </c>
      <c r="BK41">
        <f t="shared" si="7"/>
        <v>605.472</v>
      </c>
      <c r="BL41">
        <f t="shared" si="8"/>
        <v>1725.468</v>
      </c>
      <c r="BM41" s="30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0.03</v>
      </c>
      <c r="BN41" s="30" cm="1">
        <f t="array" ref="BN41">$G$14+VLOOKUP($R41,武学奇术!$A:$ZZ,16,FALSE)+SUM(_xlfn.XLOOKUP($S41:$AL41,增益!$A:$A,增益!$P:$P,0))</f>
        <v>0.24</v>
      </c>
      <c r="BO41" s="24">
        <f>MIN(IF(VLOOKUP($R41,武学奇术!$A:$ZZ,23,FALSE)=1,100%,$B$8),100%)</f>
        <v>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+MIN(IF(VLOOKUP($R41,武学奇术!$A:$ZZ,32,FALSE)=1,IF(VLOOKUP($R41,武学奇术!$A:$ZZ,24,FALSE)=1,100%,MIN(40%,$B$10+VLOOKUP($R41,武学奇术!$A:$ZZ,19,FALSE)+SUM(_xlfn.XLOOKUP($S41:$AL41,增益!$A:$A,增益!$S:$S,0)))+$B$12+SUM(_xlfn.XLOOKUP($S41:$AL41,增益!$A:$A,增益!$V:$V,0))),0),12%)</f>
        <v>0.9036</v>
      </c>
      <c r="BQ41" s="24" cm="1">
        <f t="array" ref="BQ41">1+$B$13+VLOOKUP($R41,武学奇术!$A:$ZZ,18,FALSE)+SUM(_xlfn.XLOOKUP($S41:$AL41,增益!$A:$A,增益!$R:$R,0))</f>
        <v>1.94</v>
      </c>
      <c r="BR41" s="24" cm="1">
        <f t="array" ref="BR41">MAX(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-IF(VLOOKUP($R41,武学奇术!$A:$ZZ,32,FALSE)=1,12%,0),0)</f>
        <v>0.0929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0.9036</v>
      </c>
      <c r="BU41" s="24">
        <f t="shared" si="10"/>
        <v>0.00350000000000006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0.11</v>
      </c>
      <c r="BX41" s="24" cm="1">
        <f t="array" ref="BX41">SUM(_xlfn.XLOOKUP($S41:$AL41,增益!$A:$A,增益!$X:$X,0))</f>
        <v>0</v>
      </c>
    </row>
    <row r="42" spans="1:76">
      <c r="A42" s="4"/>
      <c r="B42" s="91"/>
      <c r="F42" s="4"/>
      <c r="G42" s="4"/>
      <c r="K42">
        <f>$L42*VLOOKUP($R42,武学奇术!$A:$ZZ,31,FALSE)</f>
        <v>34230.8645275608</v>
      </c>
      <c r="L42" s="36">
        <f t="shared" si="12"/>
        <v>34230.8645275608</v>
      </c>
      <c r="M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BQ42*$Q42*(1+IF(VLOOKUP($R42,武学奇术!$A:$ZZ,30,FALSE)="蓄力技",$B$21,0))*(1+$BW42)</f>
        <v>34510.938773473</v>
      </c>
      <c r="N42" s="36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蓄力技",$B$21,0))*(1+$BW42)</f>
        <v>32003.5399152502</v>
      </c>
      <c r="O42" s="36">
        <f>((($AT42+($AU42-$AT42)*IF(VLOOKUP($R42,武学奇术!$A:$ZZ,31,FALSE)=1,$F$18,0.5))*$AN42+$AO42)*(1+$AV42)*(1+$AW42)+(($AY42+($AZ42-$AY42)*IF(VLOOKUP($R42,武学奇术!$A:$ZZ,31,FALSE)=1,$F$18,0.5))*IF($G$1="鸣金",$AP42,$AN42)+IF($G$1="鸣金",$AQ42*1.5,0))*(1+$BA42)*(1+$BB42)+(($BC42+($BD42-$BC42)*IF(VLOOKUP($R42,武学奇术!$A:$ZZ,31,FALSE)=1,$F$18,0.5))*IF($G$1="裂石",$AP42,$AN42)+IF($G$1="裂石",$AQ42*1.5,0))*(1+$BE42)*(1+$BF42)+(($BG42+($BH42-$BG42)*IF(VLOOKUP($R42,武学奇术!$A:$ZZ,31,FALSE)=1,$F$18,0.5))*IF($G$1="牵丝",$AP42,$AN42)+IF($G$1="牵丝",$AQ42*1.5,0))*(1+$BI42)*(1+$BJ42)+(($BK42+($BL42-$BK42)*IF(VLOOKUP($R42,武学奇术!$A:$ZZ,31,FALSE)=1,$F$18,0.5))*IF($G$1="破竹",$AP42,$AN42)+IF($G$1="破竹",$AQ42*1.5,0))*(1+$BM42)*(1+$BN42))*(1+$AR42)*$Q42*(1+IF(VLOOKUP($R42,武学奇术!$A:$ZZ,30,FALSE)="蓄力技",$B$21,0))*(1+$BW42)</f>
        <v>21043.2553496786</v>
      </c>
      <c r="P42" s="36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蓄力技",$B$21,0))*(1+$BW42)</f>
        <v>18380.184836209</v>
      </c>
      <c r="Q42" s="37">
        <v>1</v>
      </c>
      <c r="R42" s="38" t="s">
        <v>168</v>
      </c>
      <c r="S42" s="38" t="s">
        <v>104</v>
      </c>
      <c r="T42" s="38" t="s">
        <v>79</v>
      </c>
      <c r="U42" s="38" t="s">
        <v>140</v>
      </c>
      <c r="V42" s="38" t="s">
        <v>79</v>
      </c>
      <c r="W42" s="38" t="s">
        <v>79</v>
      </c>
      <c r="X42" s="38" t="s">
        <v>79</v>
      </c>
      <c r="Y42" s="38" t="s">
        <v>173</v>
      </c>
      <c r="Z42" s="38" t="s">
        <v>79</v>
      </c>
      <c r="AA42" s="38" t="s">
        <v>79</v>
      </c>
      <c r="AB42" s="38" t="s">
        <v>79</v>
      </c>
      <c r="AC42" s="38" t="s">
        <v>79</v>
      </c>
      <c r="AD42" s="38" t="s">
        <v>79</v>
      </c>
      <c r="AE42" s="38" t="s">
        <v>79</v>
      </c>
      <c r="AF42" s="38" t="s">
        <v>84</v>
      </c>
      <c r="AG42" s="38" t="s">
        <v>85</v>
      </c>
      <c r="AH42" s="38" t="s">
        <v>79</v>
      </c>
      <c r="AI42" s="38" t="s">
        <v>79</v>
      </c>
      <c r="AJ42" s="38" t="s">
        <v>79</v>
      </c>
      <c r="AK42" s="38" t="s">
        <v>79</v>
      </c>
      <c r="AL42" s="38" t="s">
        <v>79</v>
      </c>
      <c r="AM42" t="str">
        <f>VLOOKUP($R42,武学奇术!$A:$ZZ,25,FALSE)</f>
        <v>绳镖</v>
      </c>
      <c r="AN42" s="24">
        <f>VLOOKUP($R42,武学奇术!$A:$ZZ,26,FALSE)</f>
        <v>1.6584</v>
      </c>
      <c r="AO42" s="25">
        <f>VLOOKUP($R42,武学奇术!$A:$ZZ,27,FALSE)*(1+IF(OR($AM42=$F$4,$AM42=$F$5),$B$22,0))</f>
        <v>687</v>
      </c>
      <c r="AP42" s="24">
        <f>VLOOKUP($R42,武学奇术!$A:$ZZ,28,FALSE)</f>
        <v>2.4876</v>
      </c>
      <c r="AQ42" s="25">
        <f>VLOOKUP($R42,武学奇术!$A:$ZZ,29,FALSE)*(1+IF(OR($AM42=$F$4,$AM42=$F$5),$B$22,0))</f>
        <v>375</v>
      </c>
      <c r="AR42" s="24" cm="1">
        <f t="array" ref="AR42">$G$3+IFERROR(VLOOKUP($AM42,$F$4:$G$7,2,FALSE),0)+VLOOKUP($R42,武学奇术!$A:$ZZ,2,FALSE)+SUM(_xlfn.XLOOKUP($S42:$AL42,增益!$A:$A,增益!$B:$B,0))</f>
        <v>0.3889</v>
      </c>
      <c r="AS42" s="24" cm="1">
        <f t="array" ref="AS42">VLOOKUP($R42,武学奇术!$A:$ZZ,5,FALSE)+SUM(_xlfn.XLOOKUP($S42:$AL42,增益!$A:$A,增益!$E:$E,0))</f>
        <v>0</v>
      </c>
      <c r="AT42" cm="1">
        <f t="array" ref="AT42">$D$10*(1+$AS42)+VLOOKUP($R42,武学奇术!$A:$ZZ,3,FALSE)+SUM(_xlfn.XLOOKUP($S42:$AL42,增益!$A:$A,增益!$C:$C,0))-$I$2</f>
        <v>3839.102</v>
      </c>
      <c r="AU42" cm="1">
        <f t="array" ref="AU42">$E$10*(1+$AS42)+VLOOKUP($R42,武学奇术!$A:$ZZ,4,FALSE)+SUM(_xlfn.XLOOKUP($S42:$AL42,增益!$A:$A,增益!$D:$D,0))-$I$2</f>
        <v>3839.102</v>
      </c>
      <c r="AV42" s="30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0.217</v>
      </c>
      <c r="AW42" s="30" cm="1">
        <f t="array" ref="AW42">$G$10+VLOOKUP($R42,武学奇术!$A:$ZZ,7,FALSE)+SUM(_xlfn.XLOOKUP($S42:$AL42,增益!$A:$A,增益!$G:$G,0))</f>
        <v>0.09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0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0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0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0" cm="1">
        <f t="array" ref="BF42">$G$12+VLOOKUP($R42,武学奇术!$A:$ZZ,12,FALSE)+SUM(_xlfn.XLOOKUP($S42:$AL42,增益!$A:$A,增益!$L:$L,0))</f>
        <v>0</v>
      </c>
      <c r="BG42">
        <f t="shared" si="5"/>
        <v>0</v>
      </c>
      <c r="BH42">
        <f t="shared" si="6"/>
        <v>0</v>
      </c>
      <c r="BI42" s="30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-0.3</v>
      </c>
      <c r="BJ42" s="30" cm="1">
        <f t="array" ref="BJ42">$G$13+VLOOKUP($R42,武学奇术!$A:$ZZ,14,FALSE)+SUM(_xlfn.XLOOKUP($S42:$AL42,增益!$A:$A,增益!$N:$N,0))</f>
        <v>0</v>
      </c>
      <c r="BK42">
        <f t="shared" si="7"/>
        <v>605.472</v>
      </c>
      <c r="BL42">
        <f t="shared" si="8"/>
        <v>1725.468</v>
      </c>
      <c r="BM42" s="30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0</v>
      </c>
      <c r="BN42" s="30" cm="1">
        <f t="array" ref="BN42">$G$14+VLOOKUP($R42,武学奇术!$A:$ZZ,16,FALSE)+SUM(_xlfn.XLOOKUP($S42:$AL42,增益!$A:$A,增益!$P:$P,0))</f>
        <v>0.24</v>
      </c>
      <c r="BO42" s="24">
        <f>MIN(IF(VLOOKUP($R42,武学奇术!$A:$ZZ,23,FALSE)=1,100%,$B$8),100%)</f>
        <v>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+MIN(IF(VLOOKUP($R42,武学奇术!$A:$ZZ,32,FALSE)=1,IF(VLOOKUP($R42,武学奇术!$A:$ZZ,24,FALSE)=1,100%,MIN(40%,$B$10+VLOOKUP($R42,武学奇术!$A:$ZZ,19,FALSE)+SUM(_xlfn.XLOOKUP($S42:$AL42,增益!$A:$A,增益!$S:$S,0)))+$B$12+SUM(_xlfn.XLOOKUP($S42:$AL42,增益!$A:$A,增益!$V:$V,0))),0),12%)</f>
        <v>0.9036</v>
      </c>
      <c r="BQ42" s="24" cm="1">
        <f t="array" ref="BQ42">1+$B$13+VLOOKUP($R42,武学奇术!$A:$ZZ,18,FALSE)+SUM(_xlfn.XLOOKUP($S42:$AL42,增益!$A:$A,增益!$R:$R,0))</f>
        <v>1.64</v>
      </c>
      <c r="BR42" s="24" cm="1">
        <f t="array" ref="BR42">MAX(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-IF(VLOOKUP($R42,武学奇术!$A:$ZZ,32,FALSE)=1,12%,0),0)</f>
        <v>0.0929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0.9036</v>
      </c>
      <c r="BU42" s="24">
        <f t="shared" si="10"/>
        <v>0.00350000000000006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0.11</v>
      </c>
      <c r="BX42" s="24" cm="1">
        <f t="array" ref="BX42">SUM(_xlfn.XLOOKUP($S42:$AL42,增益!$A:$A,增益!$X:$X,0))</f>
        <v>0</v>
      </c>
    </row>
    <row r="43" spans="1:76">
      <c r="A43" s="4"/>
      <c r="B43" s="4"/>
      <c r="F43" s="4"/>
      <c r="G43" s="91"/>
      <c r="K43">
        <f>$L43*VLOOKUP($R43,武学奇术!$A:$ZZ,31,FALSE)</f>
        <v>91045.9284288412</v>
      </c>
      <c r="L43" s="36">
        <f t="shared" si="12"/>
        <v>70035.3295606471</v>
      </c>
      <c r="M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BQ43*$Q43*(1+IF(VLOOKUP($R43,武学奇术!$A:$ZZ,30,FALSE)="蓄力技",$B$21,0))*(1+$BW43)</f>
        <v>71511.3757093098</v>
      </c>
      <c r="N43" s="36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蓄力技",$B$21,0))*(1+$BW43)</f>
        <v>56928.2572784401</v>
      </c>
      <c r="O43" s="36">
        <f>((($AT43+($AU43-$AT43)*IF(VLOOKUP($R43,武学奇术!$A:$ZZ,31,FALSE)=1,$F$18,0.5))*$AN43+$AO43)*(1+$AV43)*(1+$AW43)+(($AY43+($AZ43-$AY43)*IF(VLOOKUP($R43,武学奇术!$A:$ZZ,31,FALSE)=1,$F$18,0.5))*IF($G$1="鸣金",$AP43,$AN43)+IF($G$1="鸣金",$AQ43*1.5,0))*(1+$BA43)*(1+$BB43)+(($BC43+($BD43-$BC43)*IF(VLOOKUP($R43,武学奇术!$A:$ZZ,31,FALSE)=1,$F$18,0.5))*IF($G$1="裂石",$AP43,$AN43)+IF($G$1="裂石",$AQ43*1.5,0))*(1+$BE43)*(1+$BF43)+(($BG43+($BH43-$BG43)*IF(VLOOKUP($R43,武学奇术!$A:$ZZ,31,FALSE)=1,$F$18,0.5))*IF($G$1="牵丝",$AP43,$AN43)+IF($G$1="牵丝",$AQ43*1.5,0))*(1+$BI43)*(1+$BJ43)+(($BK43+($BL43-$BK43)*IF(VLOOKUP($R43,武学奇术!$A:$ZZ,31,FALSE)=1,$F$18,0.5))*IF($G$1="破竹",$AP43,$AN43)+IF($G$1="破竹",$AQ43*1.5,0))*(1+$BM43)*(1+$BN43))*(1+$AR43)*$Q43*(1+IF(VLOOKUP($R43,武学奇术!$A:$ZZ,30,FALSE)="蓄力技",$B$21,0))*(1+$BW43)</f>
        <v>36861.5338707782</v>
      </c>
      <c r="P43" s="36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蓄力技",$B$21,0))*(1+$BW43)</f>
        <v>31553.9882760453</v>
      </c>
      <c r="Q43" s="37">
        <v>1</v>
      </c>
      <c r="R43" s="38" t="s">
        <v>117</v>
      </c>
      <c r="S43" s="38" t="s">
        <v>104</v>
      </c>
      <c r="T43" s="38" t="s">
        <v>79</v>
      </c>
      <c r="U43" s="38" t="s">
        <v>140</v>
      </c>
      <c r="V43" s="38" t="s">
        <v>79</v>
      </c>
      <c r="W43" s="38" t="s">
        <v>79</v>
      </c>
      <c r="X43" s="38" t="s">
        <v>79</v>
      </c>
      <c r="Y43" s="38" t="s">
        <v>173</v>
      </c>
      <c r="Z43" s="38" t="s">
        <v>79</v>
      </c>
      <c r="AA43" s="38" t="s">
        <v>112</v>
      </c>
      <c r="AB43" s="38" t="s">
        <v>79</v>
      </c>
      <c r="AC43" s="38" t="s">
        <v>79</v>
      </c>
      <c r="AD43" s="38" t="s">
        <v>79</v>
      </c>
      <c r="AE43" s="38" t="s">
        <v>79</v>
      </c>
      <c r="AF43" s="38" t="s">
        <v>84</v>
      </c>
      <c r="AG43" s="38" t="s">
        <v>85</v>
      </c>
      <c r="AH43" s="38" t="s">
        <v>79</v>
      </c>
      <c r="AI43" s="38" t="s">
        <v>79</v>
      </c>
      <c r="AJ43" s="38" t="s">
        <v>79</v>
      </c>
      <c r="AK43" s="38" t="s">
        <v>79</v>
      </c>
      <c r="AL43" s="38" t="s">
        <v>79</v>
      </c>
      <c r="AM43" t="str">
        <f>VLOOKUP($R43,武学奇术!$A:$ZZ,25,FALSE)</f>
        <v>绳镖</v>
      </c>
      <c r="AN43" s="24">
        <f>VLOOKUP($R43,武学奇术!$A:$ZZ,26,FALSE)</f>
        <v>2.638944</v>
      </c>
      <c r="AO43" s="25">
        <f>VLOOKUP($R43,武学奇术!$A:$ZZ,27,FALSE)*(1+IF(OR($AM43=$F$4,$AM43=$F$5),$B$22,0))</f>
        <v>0</v>
      </c>
      <c r="AP43" s="24">
        <f>VLOOKUP($R43,武学奇术!$A:$ZZ,28,FALSE)</f>
        <v>3.958416</v>
      </c>
      <c r="AQ43" s="25">
        <f>VLOOKUP($R43,武学奇术!$A:$ZZ,29,FALSE)*(1+IF(OR($AM43=$F$4,$AM43=$F$5),$B$22,0))</f>
        <v>0</v>
      </c>
      <c r="AR43" s="24" cm="1">
        <f t="array" ref="AR43">$G$3+IFERROR(VLOOKUP($AM43,$F$4:$G$7,2,FALSE),0)+VLOOKUP($R43,武学奇术!$A:$ZZ,2,FALSE)+SUM(_xlfn.XLOOKUP($S43:$AL43,增益!$A:$A,增益!$B:$B,0))</f>
        <v>0.6889</v>
      </c>
      <c r="AS43" s="24" cm="1">
        <f t="array" ref="AS43">VLOOKUP($R43,武学奇术!$A:$ZZ,5,FALSE)+SUM(_xlfn.XLOOKUP($S43:$AL43,增益!$A:$A,增益!$E:$E,0))</f>
        <v>0</v>
      </c>
      <c r="AT43" cm="1">
        <f t="array" ref="AT43">$D$10*(1+$AS43)+VLOOKUP($R43,武学奇术!$A:$ZZ,3,FALSE)+SUM(_xlfn.XLOOKUP($S43:$AL43,增益!$A:$A,增益!$C:$C,0))-$I$2</f>
        <v>3839.102</v>
      </c>
      <c r="AU43" cm="1">
        <f t="array" ref="AU43">$E$10*(1+$AS43)+VLOOKUP($R43,武学奇术!$A:$ZZ,4,FALSE)+SUM(_xlfn.XLOOKUP($S43:$AL43,增益!$A:$A,增益!$D:$D,0))-$I$2</f>
        <v>3839.102</v>
      </c>
      <c r="AV43" s="30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0.247</v>
      </c>
      <c r="AW43" s="30" cm="1">
        <f t="array" ref="AW43">$G$10+VLOOKUP($R43,武学奇术!$A:$ZZ,7,FALSE)+SUM(_xlfn.XLOOKUP($S43:$AL43,增益!$A:$A,增益!$G:$G,0))</f>
        <v>0.09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0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-0.24</v>
      </c>
      <c r="BB43" s="30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0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-0.24</v>
      </c>
      <c r="BF43" s="30" cm="1">
        <f t="array" ref="BF43">$G$12+VLOOKUP($R43,武学奇术!$A:$ZZ,12,FALSE)+SUM(_xlfn.XLOOKUP($S43:$AL43,增益!$A:$A,增益!$L:$L,0))</f>
        <v>0</v>
      </c>
      <c r="BG43">
        <f t="shared" si="5"/>
        <v>0</v>
      </c>
      <c r="BH43">
        <f t="shared" si="6"/>
        <v>0</v>
      </c>
      <c r="BI43" s="30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-0.24</v>
      </c>
      <c r="BJ43" s="30" cm="1">
        <f t="array" ref="BJ43">$G$13+VLOOKUP($R43,武学奇术!$A:$ZZ,14,FALSE)+SUM(_xlfn.XLOOKUP($S43:$AL43,增益!$A:$A,增益!$N:$N,0))</f>
        <v>0</v>
      </c>
      <c r="BK43">
        <f t="shared" si="7"/>
        <v>605.472</v>
      </c>
      <c r="BL43">
        <f t="shared" si="8"/>
        <v>1725.468</v>
      </c>
      <c r="BM43" s="30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0.03</v>
      </c>
      <c r="BN43" s="30" cm="1">
        <f t="array" ref="BN43">$G$14+VLOOKUP($R43,武学奇术!$A:$ZZ,16,FALSE)+SUM(_xlfn.XLOOKUP($S43:$AL43,增益!$A:$A,增益!$P:$P,0))</f>
        <v>0.24</v>
      </c>
      <c r="BO43" s="24">
        <f>MIN(IF(VLOOKUP($R43,武学奇术!$A:$ZZ,23,FALSE)=1,100%,$B$8),100%)</f>
        <v>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+MIN(IF(VLOOKUP($R43,武学奇术!$A:$ZZ,32,FALSE)=1,IF(VLOOKUP($R43,武学奇术!$A:$ZZ,24,FALSE)=1,100%,MIN(40%,$B$10+VLOOKUP($R43,武学奇术!$A:$ZZ,19,FALSE)+SUM(_xlfn.XLOOKUP($S43:$AL43,增益!$A:$A,增益!$S:$S,0)))+$B$12+SUM(_xlfn.XLOOKUP($S43:$AL43,增益!$A:$A,增益!$V:$V,0))),0),12%)</f>
        <v>0.9036</v>
      </c>
      <c r="BQ43" s="24" cm="1">
        <f t="array" ref="BQ43">1+$B$13+VLOOKUP($R43,武学奇术!$A:$ZZ,18,FALSE)+SUM(_xlfn.XLOOKUP($S43:$AL43,增益!$A:$A,增益!$R:$R,0))</f>
        <v>1.94</v>
      </c>
      <c r="BR43" s="24" cm="1">
        <f t="array" ref="BR43">MAX(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-IF(VLOOKUP($R43,武学奇术!$A:$ZZ,32,FALSE)=1,12%,0),0)</f>
        <v>0.0929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0.9036</v>
      </c>
      <c r="BU43" s="24">
        <f t="shared" si="10"/>
        <v>0.00350000000000006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0.11</v>
      </c>
      <c r="BX43" s="24" cm="1">
        <f t="array" ref="BX43">SUM(_xlfn.XLOOKUP($S43:$AL43,增益!$A:$A,增益!$X:$X,0))</f>
        <v>0</v>
      </c>
    </row>
    <row r="44" spans="1:76">
      <c r="A44" s="4"/>
      <c r="B44" s="4"/>
      <c r="K44">
        <f>$L44*VLOOKUP($R44,武学奇术!$A:$ZZ,31,FALSE)</f>
        <v>25819.5287808121</v>
      </c>
      <c r="L44" s="36">
        <f t="shared" si="12"/>
        <v>25819.5287808121</v>
      </c>
      <c r="M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BQ44*$Q44*(1+IF(VLOOKUP($R44,武学奇术!$A:$ZZ,30,FALSE)="蓄力技",$B$21,0))*(1+$BW44)</f>
        <v>26030.8966391573</v>
      </c>
      <c r="N44" s="36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蓄力技",$B$21,0))*(1+$BW44)</f>
        <v>24138.3943470628</v>
      </c>
      <c r="O44" s="36">
        <f>((($AT44+($AU44-$AT44)*IF(VLOOKUP($R44,武学奇术!$A:$ZZ,31,FALSE)=1,$F$18,0.5))*$AN44+$AO44)*(1+$AV44)*(1+$AW44)+(($AY44+($AZ44-$AY44)*IF(VLOOKUP($R44,武学奇术!$A:$ZZ,31,FALSE)=1,$F$18,0.5))*IF($G$1="鸣金",$AP44,$AN44)+IF($G$1="鸣金",$AQ44*1.5,0))*(1+$BA44)*(1+$BB44)+(($BC44+($BD44-$BC44)*IF(VLOOKUP($R44,武学奇术!$A:$ZZ,31,FALSE)=1,$F$18,0.5))*IF($G$1="裂石",$AP44,$AN44)+IF($G$1="裂石",$AQ44*1.5,0))*(1+$BE44)*(1+$BF44)+(($BG44+($BH44-$BG44)*IF(VLOOKUP($R44,武学奇术!$A:$ZZ,31,FALSE)=1,$F$18,0.5))*IF($G$1="牵丝",$AP44,$AN44)+IF($G$1="牵丝",$AQ44*1.5,0))*(1+$BI44)*(1+$BJ44)+(($BK44+($BL44-$BK44)*IF(VLOOKUP($R44,武学奇术!$A:$ZZ,31,FALSE)=1,$F$18,0.5))*IF($G$1="破竹",$AP44,$AN44)+IF($G$1="破竹",$AQ44*1.5,0))*(1+$BM44)*(1+$BN44))*(1+$AR44)*$Q44*(1+IF(VLOOKUP($R44,武学奇术!$A:$ZZ,30,FALSE)="蓄力技",$B$21,0))*(1+$BW44)</f>
        <v>15872.4979507057</v>
      </c>
      <c r="P44" s="36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蓄力技",$B$21,0))*(1+$BW44)</f>
        <v>13864.7037924759</v>
      </c>
      <c r="Q44" s="37">
        <v>1</v>
      </c>
      <c r="R44" s="38" t="s">
        <v>107</v>
      </c>
      <c r="S44" s="38" t="s">
        <v>104</v>
      </c>
      <c r="T44" s="38" t="s">
        <v>79</v>
      </c>
      <c r="U44" s="38" t="s">
        <v>140</v>
      </c>
      <c r="V44" s="38" t="s">
        <v>79</v>
      </c>
      <c r="W44" s="38" t="s">
        <v>79</v>
      </c>
      <c r="X44" s="38" t="s">
        <v>79</v>
      </c>
      <c r="Y44" s="38" t="s">
        <v>173</v>
      </c>
      <c r="Z44" s="38" t="s">
        <v>79</v>
      </c>
      <c r="AA44" s="38" t="s">
        <v>79</v>
      </c>
      <c r="AB44" s="38" t="s">
        <v>79</v>
      </c>
      <c r="AC44" s="38" t="s">
        <v>79</v>
      </c>
      <c r="AD44" s="38" t="s">
        <v>79</v>
      </c>
      <c r="AE44" s="38" t="s">
        <v>79</v>
      </c>
      <c r="AF44" s="38" t="s">
        <v>84</v>
      </c>
      <c r="AG44" s="38" t="s">
        <v>85</v>
      </c>
      <c r="AH44" s="38" t="s">
        <v>79</v>
      </c>
      <c r="AI44" s="38" t="s">
        <v>79</v>
      </c>
      <c r="AJ44" s="38" t="s">
        <v>79</v>
      </c>
      <c r="AK44" s="38" t="s">
        <v>79</v>
      </c>
      <c r="AL44" s="38" t="s">
        <v>79</v>
      </c>
      <c r="AM44" t="str">
        <f>VLOOKUP($R44,武学奇术!$A:$ZZ,25,FALSE)</f>
        <v>绳镖</v>
      </c>
      <c r="AN44" s="24">
        <f>VLOOKUP($R44,武学奇术!$A:$ZZ,26,FALSE)</f>
        <v>1.2503</v>
      </c>
      <c r="AO44" s="25">
        <f>VLOOKUP($R44,武学奇术!$A:$ZZ,27,FALSE)*(1+IF(OR($AM44=$F$4,$AM44=$F$5),$B$22,0))</f>
        <v>520.5</v>
      </c>
      <c r="AP44" s="24">
        <f>VLOOKUP($R44,武学奇术!$A:$ZZ,28,FALSE)</f>
        <v>1.8755</v>
      </c>
      <c r="AQ44" s="25">
        <f>VLOOKUP($R44,武学奇术!$A:$ZZ,29,FALSE)*(1+IF(OR($AM44=$F$4,$AM44=$F$5),$B$22,0))</f>
        <v>283.5</v>
      </c>
      <c r="AR44" s="24" cm="1">
        <f t="array" ref="AR44">$G$3+IFERROR(VLOOKUP($AM44,$F$4:$G$7,2,FALSE),0)+VLOOKUP($R44,武学奇术!$A:$ZZ,2,FALSE)+SUM(_xlfn.XLOOKUP($S44:$AL44,增益!$A:$A,增益!$B:$B,0))</f>
        <v>0.3889</v>
      </c>
      <c r="AS44" s="24" cm="1">
        <f t="array" ref="AS44">VLOOKUP($R44,武学奇术!$A:$ZZ,5,FALSE)+SUM(_xlfn.XLOOKUP($S44:$AL44,增益!$A:$A,增益!$E:$E,0))</f>
        <v>0</v>
      </c>
      <c r="AT44" cm="1">
        <f t="array" ref="AT44">$D$10*(1+$AS44)+VLOOKUP($R44,武学奇术!$A:$ZZ,3,FALSE)+SUM(_xlfn.XLOOKUP($S44:$AL44,增益!$A:$A,增益!$C:$C,0))-$I$2</f>
        <v>3839.102</v>
      </c>
      <c r="AU44" cm="1">
        <f t="array" ref="AU44">$E$10*(1+$AS44)+VLOOKUP($R44,武学奇术!$A:$ZZ,4,FALSE)+SUM(_xlfn.XLOOKUP($S44:$AL44,增益!$A:$A,增益!$D:$D,0))-$I$2</f>
        <v>3839.102</v>
      </c>
      <c r="AV44" s="30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0.217</v>
      </c>
      <c r="AW44" s="30" cm="1">
        <f t="array" ref="AW44">$G$10+VLOOKUP($R44,武学奇术!$A:$ZZ,7,FALSE)+SUM(_xlfn.XLOOKUP($S44:$AL44,增益!$A:$A,增益!$G:$G,0))</f>
        <v>0.09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0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0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0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0" cm="1">
        <f t="array" ref="BF44">$G$12+VLOOKUP($R44,武学奇术!$A:$ZZ,12,FALSE)+SUM(_xlfn.XLOOKUP($S44:$AL44,增益!$A:$A,增益!$L:$L,0))</f>
        <v>0</v>
      </c>
      <c r="BG44">
        <f t="shared" si="5"/>
        <v>0</v>
      </c>
      <c r="BH44">
        <f t="shared" si="6"/>
        <v>0</v>
      </c>
      <c r="BI44" s="30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-0.3</v>
      </c>
      <c r="BJ44" s="30" cm="1">
        <f t="array" ref="BJ44">$G$13+VLOOKUP($R44,武学奇术!$A:$ZZ,14,FALSE)+SUM(_xlfn.XLOOKUP($S44:$AL44,增益!$A:$A,增益!$N:$N,0))</f>
        <v>0</v>
      </c>
      <c r="BK44">
        <f t="shared" si="7"/>
        <v>605.472</v>
      </c>
      <c r="BL44">
        <f t="shared" si="8"/>
        <v>1725.468</v>
      </c>
      <c r="BM44" s="30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0</v>
      </c>
      <c r="BN44" s="30" cm="1">
        <f t="array" ref="BN44">$G$14+VLOOKUP($R44,武学奇术!$A:$ZZ,16,FALSE)+SUM(_xlfn.XLOOKUP($S44:$AL44,增益!$A:$A,增益!$P:$P,0))</f>
        <v>0.24</v>
      </c>
      <c r="BO44" s="24">
        <f>MIN(IF(VLOOKUP($R44,武学奇术!$A:$ZZ,23,FALSE)=1,100%,$B$8),100%)</f>
        <v>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+MIN(IF(VLOOKUP($R44,武学奇术!$A:$ZZ,32,FALSE)=1,IF(VLOOKUP($R44,武学奇术!$A:$ZZ,24,FALSE)=1,100%,MIN(40%,$B$10+VLOOKUP($R44,武学奇术!$A:$ZZ,19,FALSE)+SUM(_xlfn.XLOOKUP($S44:$AL44,增益!$A:$A,增益!$S:$S,0)))+$B$12+SUM(_xlfn.XLOOKUP($S44:$AL44,增益!$A:$A,增益!$V:$V,0))),0),12%)</f>
        <v>0.9036</v>
      </c>
      <c r="BQ44" s="24" cm="1">
        <f t="array" ref="BQ44">1+$B$13+VLOOKUP($R44,武学奇术!$A:$ZZ,18,FALSE)+SUM(_xlfn.XLOOKUP($S44:$AL44,增益!$A:$A,增益!$R:$R,0))</f>
        <v>1.64</v>
      </c>
      <c r="BR44" s="24" cm="1">
        <f t="array" ref="BR44">MAX(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-IF(VLOOKUP($R44,武学奇术!$A:$ZZ,32,FALSE)=1,12%,0),0)</f>
        <v>0.0929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0.9036</v>
      </c>
      <c r="BU44" s="24">
        <f t="shared" si="10"/>
        <v>0.00350000000000006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0.11</v>
      </c>
      <c r="BX44" s="24" cm="1">
        <f t="array" ref="BX44">SUM(_xlfn.XLOOKUP($S44:$AL44,增益!$A:$A,增益!$X:$X,0))</f>
        <v>0</v>
      </c>
    </row>
    <row r="45" spans="1:76">
      <c r="A45" s="4"/>
      <c r="B45" s="4"/>
      <c r="K45">
        <f>$L45*VLOOKUP($R45,武学奇术!$A:$ZZ,31,FALSE)</f>
        <v>75871.6070240344</v>
      </c>
      <c r="L45" s="36">
        <f t="shared" si="12"/>
        <v>58362.7746338726</v>
      </c>
      <c r="M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BQ45*$Q45*(1+IF(VLOOKUP($R45,武学奇术!$A:$ZZ,30,FALSE)="蓄力技",$B$21,0))*(1+$BW45)</f>
        <v>59592.8130910915</v>
      </c>
      <c r="N45" s="36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蓄力技",$B$21,0))*(1+$BW45)</f>
        <v>47440.2143987001</v>
      </c>
      <c r="O45" s="36">
        <f>((($AT45+($AU45-$AT45)*IF(VLOOKUP($R45,武学奇术!$A:$ZZ,31,FALSE)=1,$F$18,0.5))*$AN45+$AO45)*(1+$AV45)*(1+$AW45)+(($AY45+($AZ45-$AY45)*IF(VLOOKUP($R45,武学奇术!$A:$ZZ,31,FALSE)=1,$F$18,0.5))*IF($G$1="鸣金",$AP45,$AN45)+IF($G$1="鸣金",$AQ45*1.5,0))*(1+$BA45)*(1+$BB45)+(($BC45+($BD45-$BC45)*IF(VLOOKUP($R45,武学奇术!$A:$ZZ,31,FALSE)=1,$F$18,0.5))*IF($G$1="裂石",$AP45,$AN45)+IF($G$1="裂石",$AQ45*1.5,0))*(1+$BE45)*(1+$BF45)+(($BG45+($BH45-$BG45)*IF(VLOOKUP($R45,武学奇术!$A:$ZZ,31,FALSE)=1,$F$18,0.5))*IF($G$1="牵丝",$AP45,$AN45)+IF($G$1="牵丝",$AQ45*1.5,0))*(1+$BI45)*(1+$BJ45)+(($BK45+($BL45-$BK45)*IF(VLOOKUP($R45,武学奇术!$A:$ZZ,31,FALSE)=1,$F$18,0.5))*IF($G$1="破竹",$AP45,$AN45)+IF($G$1="破竹",$AQ45*1.5,0))*(1+$BM45)*(1+$BN45))*(1+$AR45)*$Q45*(1+IF(VLOOKUP($R45,武学奇术!$A:$ZZ,30,FALSE)="蓄力技",$B$21,0))*(1+$BW45)</f>
        <v>30717.9448923152</v>
      </c>
      <c r="P45" s="36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蓄力技",$B$21,0))*(1+$BW45)</f>
        <v>26294.9902300378</v>
      </c>
      <c r="Q45" s="37">
        <v>1</v>
      </c>
      <c r="R45" s="38" t="s">
        <v>111</v>
      </c>
      <c r="S45" s="38" t="s">
        <v>104</v>
      </c>
      <c r="T45" s="38" t="s">
        <v>79</v>
      </c>
      <c r="U45" s="38" t="s">
        <v>140</v>
      </c>
      <c r="V45" s="38" t="s">
        <v>79</v>
      </c>
      <c r="W45" s="38" t="s">
        <v>79</v>
      </c>
      <c r="X45" s="38" t="s">
        <v>79</v>
      </c>
      <c r="Y45" s="38" t="s">
        <v>173</v>
      </c>
      <c r="Z45" s="38" t="s">
        <v>79</v>
      </c>
      <c r="AA45" s="38" t="s">
        <v>112</v>
      </c>
      <c r="AB45" s="38" t="s">
        <v>79</v>
      </c>
      <c r="AC45" s="38" t="s">
        <v>79</v>
      </c>
      <c r="AD45" s="38" t="s">
        <v>79</v>
      </c>
      <c r="AE45" s="38" t="s">
        <v>79</v>
      </c>
      <c r="AF45" s="38" t="s">
        <v>84</v>
      </c>
      <c r="AG45" s="38" t="s">
        <v>85</v>
      </c>
      <c r="AH45" s="38" t="s">
        <v>79</v>
      </c>
      <c r="AI45" s="38" t="s">
        <v>79</v>
      </c>
      <c r="AJ45" s="38" t="s">
        <v>79</v>
      </c>
      <c r="AK45" s="38" t="s">
        <v>79</v>
      </c>
      <c r="AL45" s="38" t="s">
        <v>79</v>
      </c>
      <c r="AM45" t="str">
        <f>VLOOKUP($R45,武学奇术!$A:$ZZ,25,FALSE)</f>
        <v>绳镖</v>
      </c>
      <c r="AN45" s="24">
        <f>VLOOKUP($R45,武学奇术!$A:$ZZ,26,FALSE)</f>
        <v>2.19912</v>
      </c>
      <c r="AO45" s="25">
        <f>VLOOKUP($R45,武学奇术!$A:$ZZ,27,FALSE)*(1+IF(OR($AM45=$F$4,$AM45=$F$5),$B$22,0))</f>
        <v>0</v>
      </c>
      <c r="AP45" s="24">
        <f>VLOOKUP($R45,武学奇术!$A:$ZZ,28,FALSE)</f>
        <v>3.29868</v>
      </c>
      <c r="AQ45" s="25">
        <f>VLOOKUP($R45,武学奇术!$A:$ZZ,29,FALSE)*(1+IF(OR($AM45=$F$4,$AM45=$F$5),$B$22,0))</f>
        <v>0</v>
      </c>
      <c r="AR45" s="24" cm="1">
        <f t="array" ref="AR45">$G$3+IFERROR(VLOOKUP($AM45,$F$4:$G$7,2,FALSE),0)+VLOOKUP($R45,武学奇术!$A:$ZZ,2,FALSE)+SUM(_xlfn.XLOOKUP($S45:$AL45,增益!$A:$A,增益!$B:$B,0))</f>
        <v>0.6889</v>
      </c>
      <c r="AS45" s="24" cm="1">
        <f t="array" ref="AS45">VLOOKUP($R45,武学奇术!$A:$ZZ,5,FALSE)+SUM(_xlfn.XLOOKUP($S45:$AL45,增益!$A:$A,增益!$E:$E,0))</f>
        <v>0</v>
      </c>
      <c r="AT45" cm="1">
        <f t="array" ref="AT45">$D$10*(1+$AS45)+VLOOKUP($R45,武学奇术!$A:$ZZ,3,FALSE)+SUM(_xlfn.XLOOKUP($S45:$AL45,增益!$A:$A,增益!$C:$C,0))-$I$2</f>
        <v>3839.102</v>
      </c>
      <c r="AU45" cm="1">
        <f t="array" ref="AU45">$E$10*(1+$AS45)+VLOOKUP($R45,武学奇术!$A:$ZZ,4,FALSE)+SUM(_xlfn.XLOOKUP($S45:$AL45,增益!$A:$A,增益!$D:$D,0))-$I$2</f>
        <v>3839.102</v>
      </c>
      <c r="AV45" s="30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0.247</v>
      </c>
      <c r="AW45" s="30" cm="1">
        <f t="array" ref="AW45">$G$10+VLOOKUP($R45,武学奇术!$A:$ZZ,7,FALSE)+SUM(_xlfn.XLOOKUP($S45:$AL45,增益!$A:$A,增益!$G:$G,0))</f>
        <v>0.09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0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-0.24</v>
      </c>
      <c r="BB45" s="30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0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-0.24</v>
      </c>
      <c r="BF45" s="30" cm="1">
        <f t="array" ref="BF45">$G$12+VLOOKUP($R45,武学奇术!$A:$ZZ,12,FALSE)+SUM(_xlfn.XLOOKUP($S45:$AL45,增益!$A:$A,增益!$L:$L,0))</f>
        <v>0</v>
      </c>
      <c r="BG45">
        <f t="shared" si="5"/>
        <v>0</v>
      </c>
      <c r="BH45">
        <f t="shared" si="6"/>
        <v>0</v>
      </c>
      <c r="BI45" s="30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-0.24</v>
      </c>
      <c r="BJ45" s="30" cm="1">
        <f t="array" ref="BJ45">$G$13+VLOOKUP($R45,武学奇术!$A:$ZZ,14,FALSE)+SUM(_xlfn.XLOOKUP($S45:$AL45,增益!$A:$A,增益!$N:$N,0))</f>
        <v>0</v>
      </c>
      <c r="BK45">
        <f t="shared" si="7"/>
        <v>605.472</v>
      </c>
      <c r="BL45">
        <f t="shared" si="8"/>
        <v>1725.468</v>
      </c>
      <c r="BM45" s="30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0.03</v>
      </c>
      <c r="BN45" s="30" cm="1">
        <f t="array" ref="BN45">$G$14+VLOOKUP($R45,武学奇术!$A:$ZZ,16,FALSE)+SUM(_xlfn.XLOOKUP($S45:$AL45,增益!$A:$A,增益!$P:$P,0))</f>
        <v>0.24</v>
      </c>
      <c r="BO45" s="24">
        <f>MIN(IF(VLOOKUP($R45,武学奇术!$A:$ZZ,23,FALSE)=1,100%,$B$8),100%)</f>
        <v>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+MIN(IF(VLOOKUP($R45,武学奇术!$A:$ZZ,32,FALSE)=1,IF(VLOOKUP($R45,武学奇术!$A:$ZZ,24,FALSE)=1,100%,MIN(40%,$B$10+VLOOKUP($R45,武学奇术!$A:$ZZ,19,FALSE)+SUM(_xlfn.XLOOKUP($S45:$AL45,增益!$A:$A,增益!$S:$S,0)))+$B$12+SUM(_xlfn.XLOOKUP($S45:$AL45,增益!$A:$A,增益!$V:$V,0))),0),12%)</f>
        <v>0.9036</v>
      </c>
      <c r="BQ45" s="24" cm="1">
        <f t="array" ref="BQ45">1+$B$13+VLOOKUP($R45,武学奇术!$A:$ZZ,18,FALSE)+SUM(_xlfn.XLOOKUP($S45:$AL45,增益!$A:$A,增益!$R:$R,0))</f>
        <v>1.94</v>
      </c>
      <c r="BR45" s="24" cm="1">
        <f t="array" ref="BR45">MAX(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-IF(VLOOKUP($R45,武学奇术!$A:$ZZ,32,FALSE)=1,12%,0),0)</f>
        <v>0.0929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0.9036</v>
      </c>
      <c r="BU45" s="24">
        <f t="shared" si="10"/>
        <v>0.00350000000000006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0.11</v>
      </c>
      <c r="BX45" s="24" cm="1">
        <f t="array" ref="BX45">SUM(_xlfn.XLOOKUP($S45:$AL45,增益!$A:$A,增益!$X:$X,0))</f>
        <v>0</v>
      </c>
    </row>
    <row r="46" spans="1:76">
      <c r="A46" s="4"/>
      <c r="B46" s="91"/>
      <c r="F46" s="4"/>
      <c r="G46" s="91"/>
      <c r="K46">
        <f>$L46*VLOOKUP($R46,武学奇术!$A:$ZZ,31,FALSE)</f>
        <v>53487.4974752869</v>
      </c>
      <c r="L46" s="36">
        <f t="shared" si="12"/>
        <v>53487.4974752869</v>
      </c>
      <c r="M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BQ46*$Q46*(1+IF(VLOOKUP($R46,武学奇术!$A:$ZZ,30,FALSE)="蓄力技",$B$21,0))*(1+$BW46)</f>
        <v>53924.974600924</v>
      </c>
      <c r="N46" s="36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蓄力技",$B$21,0))*(1+$BW46)</f>
        <v>50008.6828701169</v>
      </c>
      <c r="O46" s="36">
        <f>((($AT46+($AU46-$AT46)*IF(VLOOKUP($R46,武学奇术!$A:$ZZ,31,FALSE)=1,$F$18,0.5))*$AN46+$AO46)*(1+$AV46)*(1+$AW46)+(($AY46+($AZ46-$AY46)*IF(VLOOKUP($R46,武学奇术!$A:$ZZ,31,FALSE)=1,$F$18,0.5))*IF($G$1="鸣金",$AP46,$AN46)+IF($G$1="鸣金",$AQ46*1.5,0))*(1+$BA46)*(1+$BB46)+(($BC46+($BD46-$BC46)*IF(VLOOKUP($R46,武学奇术!$A:$ZZ,31,FALSE)=1,$F$18,0.5))*IF($G$1="裂石",$AP46,$AN46)+IF($G$1="裂石",$AQ46*1.5,0))*(1+$BE46)*(1+$BF46)+(($BG46+($BH46-$BG46)*IF(VLOOKUP($R46,武学奇术!$A:$ZZ,31,FALSE)=1,$F$18,0.5))*IF($G$1="牵丝",$AP46,$AN46)+IF($G$1="牵丝",$AQ46*1.5,0))*(1+$BI46)*(1+$BJ46)+(($BK46+($BL46-$BK46)*IF(VLOOKUP($R46,武学奇术!$A:$ZZ,31,FALSE)=1,$F$18,0.5))*IF($G$1="破竹",$AP46,$AN46)+IF($G$1="破竹",$AQ46*1.5,0))*(1+$BM46)*(1+$BN46))*(1+$AR46)*$Q46*(1+IF(VLOOKUP($R46,武学奇术!$A:$ZZ,30,FALSE)="蓄力技",$B$21,0))*(1+$BW46)</f>
        <v>32881.0820737342</v>
      </c>
      <c r="P46" s="36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蓄力技",$B$21,0))*(1+$BW46)</f>
        <v>28718.6953547892</v>
      </c>
      <c r="Q46" s="37">
        <v>1</v>
      </c>
      <c r="R46" s="38" t="s">
        <v>127</v>
      </c>
      <c r="S46" s="38" t="s">
        <v>104</v>
      </c>
      <c r="T46" s="38" t="s">
        <v>79</v>
      </c>
      <c r="U46" s="38" t="s">
        <v>140</v>
      </c>
      <c r="V46" s="38" t="s">
        <v>79</v>
      </c>
      <c r="W46" s="38" t="s">
        <v>79</v>
      </c>
      <c r="X46" s="38" t="s">
        <v>79</v>
      </c>
      <c r="Y46" s="38" t="s">
        <v>173</v>
      </c>
      <c r="Z46" s="38" t="s">
        <v>79</v>
      </c>
      <c r="AA46" s="38" t="s">
        <v>79</v>
      </c>
      <c r="AB46" s="38" t="s">
        <v>79</v>
      </c>
      <c r="AC46" s="38" t="s">
        <v>79</v>
      </c>
      <c r="AD46" s="38" t="s">
        <v>79</v>
      </c>
      <c r="AE46" s="38" t="s">
        <v>79</v>
      </c>
      <c r="AF46" s="38" t="s">
        <v>84</v>
      </c>
      <c r="AG46" s="38" t="s">
        <v>85</v>
      </c>
      <c r="AH46" s="38" t="s">
        <v>79</v>
      </c>
      <c r="AI46" s="38" t="s">
        <v>79</v>
      </c>
      <c r="AJ46" s="38" t="s">
        <v>79</v>
      </c>
      <c r="AK46" s="38" t="s">
        <v>79</v>
      </c>
      <c r="AL46" s="38" t="s">
        <v>79</v>
      </c>
      <c r="AM46" t="str">
        <f>VLOOKUP($R46,武学奇术!$A:$ZZ,25,FALSE)</f>
        <v>拳甲</v>
      </c>
      <c r="AN46" s="24">
        <f>VLOOKUP($R46,武学奇术!$A:$ZZ,26,FALSE)</f>
        <v>2.4421</v>
      </c>
      <c r="AO46" s="25">
        <f>VLOOKUP($R46,武学奇术!$A:$ZZ,27,FALSE)*(1+IF(OR($AM46=$F$4,$AM46=$F$5),$B$22,0))</f>
        <v>1012.5</v>
      </c>
      <c r="AP46" s="24">
        <f>VLOOKUP($R46,武学奇术!$A:$ZZ,28,FALSE)</f>
        <v>3.6634</v>
      </c>
      <c r="AQ46" s="25">
        <f>VLOOKUP($R46,武学奇术!$A:$ZZ,29,FALSE)*(1+IF(OR($AM46=$F$4,$AM46=$F$5),$B$22,0))</f>
        <v>549</v>
      </c>
      <c r="AR46" s="24" cm="1">
        <f t="array" ref="AR46">$G$3+IFERROR(VLOOKUP($AM46,$F$4:$G$7,2,FALSE),0)+VLOOKUP($R46,武学奇术!$A:$ZZ,2,FALSE)+SUM(_xlfn.XLOOKUP($S46:$AL46,增益!$A:$A,增益!$B:$B,0))</f>
        <v>0.4741</v>
      </c>
      <c r="AS46" s="24" cm="1">
        <f t="array" ref="AS46">VLOOKUP($R46,武学奇术!$A:$ZZ,5,FALSE)+SUM(_xlfn.XLOOKUP($S46:$AL46,增益!$A:$A,增益!$E:$E,0))</f>
        <v>0</v>
      </c>
      <c r="AT46" cm="1">
        <f t="array" ref="AT46">$D$10*(1+$AS46)+VLOOKUP($R46,武学奇术!$A:$ZZ,3,FALSE)+SUM(_xlfn.XLOOKUP($S46:$AL46,增益!$A:$A,增益!$C:$C,0))-$I$2</f>
        <v>3839.102</v>
      </c>
      <c r="AU46" cm="1">
        <f t="array" ref="AU46">$E$10*(1+$AS46)+VLOOKUP($R46,武学奇术!$A:$ZZ,4,FALSE)+SUM(_xlfn.XLOOKUP($S46:$AL46,增益!$A:$A,增益!$D:$D,0))-$I$2</f>
        <v>3839.102</v>
      </c>
      <c r="AV46" s="30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0.217</v>
      </c>
      <c r="AW46" s="30" cm="1">
        <f t="array" ref="AW46">$G$10+VLOOKUP($R46,武学奇术!$A:$ZZ,7,FALSE)+SUM(_xlfn.XLOOKUP($S46:$AL46,增益!$A:$A,增益!$G:$G,0))</f>
        <v>0.09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0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0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0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0" cm="1">
        <f t="array" ref="BF46">$G$12+VLOOKUP($R46,武学奇术!$A:$ZZ,12,FALSE)+SUM(_xlfn.XLOOKUP($S46:$AL46,增益!$A:$A,增益!$L:$L,0))</f>
        <v>0</v>
      </c>
      <c r="BG46">
        <f t="shared" si="5"/>
        <v>0</v>
      </c>
      <c r="BH46">
        <f t="shared" si="6"/>
        <v>0</v>
      </c>
      <c r="BI46" s="30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-0.3</v>
      </c>
      <c r="BJ46" s="30" cm="1">
        <f t="array" ref="BJ46">$G$13+VLOOKUP($R46,武学奇术!$A:$ZZ,14,FALSE)+SUM(_xlfn.XLOOKUP($S46:$AL46,增益!$A:$A,增益!$N:$N,0))</f>
        <v>0</v>
      </c>
      <c r="BK46">
        <f t="shared" si="7"/>
        <v>605.472</v>
      </c>
      <c r="BL46">
        <f t="shared" si="8"/>
        <v>1725.468</v>
      </c>
      <c r="BM46" s="30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0</v>
      </c>
      <c r="BN46" s="30" cm="1">
        <f t="array" ref="BN46">$G$14+VLOOKUP($R46,武学奇术!$A:$ZZ,16,FALSE)+SUM(_xlfn.XLOOKUP($S46:$AL46,增益!$A:$A,增益!$P:$P,0))</f>
        <v>0.24</v>
      </c>
      <c r="BO46" s="24">
        <f>MIN(IF(VLOOKUP($R46,武学奇术!$A:$ZZ,23,FALSE)=1,100%,$B$8),100%)</f>
        <v>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+MIN(IF(VLOOKUP($R46,武学奇术!$A:$ZZ,32,FALSE)=1,IF(VLOOKUP($R46,武学奇术!$A:$ZZ,24,FALSE)=1,100%,MIN(40%,$B$10+VLOOKUP($R46,武学奇术!$A:$ZZ,19,FALSE)+SUM(_xlfn.XLOOKUP($S46:$AL46,增益!$A:$A,增益!$S:$S,0)))+$B$12+SUM(_xlfn.XLOOKUP($S46:$AL46,增益!$A:$A,增益!$V:$V,0))),0),12%)</f>
        <v>0.9036</v>
      </c>
      <c r="BQ46" s="24" cm="1">
        <f t="array" ref="BQ46">1+$B$13+VLOOKUP($R46,武学奇术!$A:$ZZ,18,FALSE)+SUM(_xlfn.XLOOKUP($S46:$AL46,增益!$A:$A,增益!$R:$R,0))</f>
        <v>1.64</v>
      </c>
      <c r="BR46" s="24" cm="1">
        <f t="array" ref="BR46">MAX(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-IF(VLOOKUP($R46,武学奇术!$A:$ZZ,32,FALSE)=1,12%,0),0)</f>
        <v>0.0929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0.9036</v>
      </c>
      <c r="BU46" s="24">
        <f t="shared" si="10"/>
        <v>0.00350000000000006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0.11</v>
      </c>
      <c r="BX46" s="24" cm="1">
        <f t="array" ref="BX46">SUM(_xlfn.XLOOKUP($S46:$AL46,增益!$A:$A,增益!$X:$X,0))</f>
        <v>0</v>
      </c>
    </row>
    <row r="47" spans="1:76">
      <c r="K47">
        <f>$L47*VLOOKUP($R47,武学奇术!$A:$ZZ,31,FALSE)</f>
        <v>28226.3690683741</v>
      </c>
      <c r="L47" s="36">
        <f t="shared" si="12"/>
        <v>28226.3690683741</v>
      </c>
      <c r="M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BQ47*$Q47*(1+IF(VLOOKUP($R47,武学奇术!$A:$ZZ,30,FALSE)="蓄力技",$B$21,0))*(1+$BW47)</f>
        <v>28457.5163592327</v>
      </c>
      <c r="N47" s="36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蓄力技",$B$21,0))*(1+$BW47)</f>
        <v>26387.7802125539</v>
      </c>
      <c r="O47" s="36">
        <f>((($AT47+($AU47-$AT47)*IF(VLOOKUP($R47,武学奇术!$A:$ZZ,31,FALSE)=1,$F$18,0.5))*$AN47+$AO47)*(1+$AV47)*(1+$AW47)+(($AY47+($AZ47-$AY47)*IF(VLOOKUP($R47,武学奇术!$A:$ZZ,31,FALSE)=1,$F$18,0.5))*IF($G$1="鸣金",$AP47,$AN47)+IF($G$1="鸣金",$AQ47*1.5,0))*(1+$BA47)*(1+$BB47)+(($BC47+($BD47-$BC47)*IF(VLOOKUP($R47,武学奇术!$A:$ZZ,31,FALSE)=1,$F$18,0.5))*IF($G$1="裂石",$AP47,$AN47)+IF($G$1="裂石",$AQ47*1.5,0))*(1+$BE47)*(1+$BF47)+(($BG47+($BH47-$BG47)*IF(VLOOKUP($R47,武学奇术!$A:$ZZ,31,FALSE)=1,$F$18,0.5))*IF($G$1="牵丝",$AP47,$AN47)+IF($G$1="牵丝",$AQ47*1.5,0))*(1+$BI47)*(1+$BJ47)+(($BK47+($BL47-$BK47)*IF(VLOOKUP($R47,武学奇术!$A:$ZZ,31,FALSE)=1,$F$18,0.5))*IF($G$1="破竹",$AP47,$AN47)+IF($G$1="破竹",$AQ47*1.5,0))*(1+$BM47)*(1+$BN47))*(1+$AR47)*$Q47*(1+IF(VLOOKUP($R47,武学奇术!$A:$ZZ,30,FALSE)="蓄力技",$B$21,0))*(1+$BW47)</f>
        <v>17352.1441214834</v>
      </c>
      <c r="P47" s="36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蓄力技",$B$21,0))*(1+$BW47)</f>
        <v>15157.7843818157</v>
      </c>
      <c r="Q47" s="37">
        <v>1</v>
      </c>
      <c r="R47" s="38" t="s">
        <v>122</v>
      </c>
      <c r="S47" s="38" t="s">
        <v>104</v>
      </c>
      <c r="T47" s="38" t="s">
        <v>79</v>
      </c>
      <c r="U47" s="38" t="s">
        <v>140</v>
      </c>
      <c r="V47" s="38" t="s">
        <v>79</v>
      </c>
      <c r="W47" s="38" t="s">
        <v>79</v>
      </c>
      <c r="X47" s="38" t="s">
        <v>79</v>
      </c>
      <c r="Y47" s="38" t="s">
        <v>173</v>
      </c>
      <c r="Z47" s="38" t="s">
        <v>79</v>
      </c>
      <c r="AA47" s="38" t="s">
        <v>79</v>
      </c>
      <c r="AB47" s="38" t="s">
        <v>79</v>
      </c>
      <c r="AC47" s="38" t="s">
        <v>79</v>
      </c>
      <c r="AD47" s="38" t="s">
        <v>79</v>
      </c>
      <c r="AE47" s="38" t="s">
        <v>79</v>
      </c>
      <c r="AF47" s="38" t="s">
        <v>84</v>
      </c>
      <c r="AG47" s="38" t="s">
        <v>85</v>
      </c>
      <c r="AH47" s="38" t="s">
        <v>79</v>
      </c>
      <c r="AI47" s="38" t="s">
        <v>79</v>
      </c>
      <c r="AJ47" s="38" t="s">
        <v>79</v>
      </c>
      <c r="AK47" s="38" t="s">
        <v>79</v>
      </c>
      <c r="AL47" s="38" t="s">
        <v>79</v>
      </c>
      <c r="AM47" t="str">
        <f>VLOOKUP($R47,武学奇术!$A:$ZZ,25,FALSE)</f>
        <v>拳甲</v>
      </c>
      <c r="AN47" s="24">
        <f>VLOOKUP($R47,武学奇术!$A:$ZZ,26,FALSE)</f>
        <v>1.2876</v>
      </c>
      <c r="AO47" s="25">
        <f>VLOOKUP($R47,武学奇术!$A:$ZZ,27,FALSE)*(1+IF(OR($AM47=$F$4,$AM47=$F$5),$B$22,0))</f>
        <v>537</v>
      </c>
      <c r="AP47" s="24">
        <f>VLOOKUP($R47,武学奇术!$A:$ZZ,28,FALSE)</f>
        <v>1.9313</v>
      </c>
      <c r="AQ47" s="25">
        <f>VLOOKUP($R47,武学奇术!$A:$ZZ,29,FALSE)*(1+IF(OR($AM47=$F$4,$AM47=$F$5),$B$22,0))</f>
        <v>292.5</v>
      </c>
      <c r="AR47" s="24" cm="1">
        <f t="array" ref="AR47">$G$3+IFERROR(VLOOKUP($AM47,$F$4:$G$7,2,FALSE),0)+VLOOKUP($R47,武学奇术!$A:$ZZ,2,FALSE)+SUM(_xlfn.XLOOKUP($S47:$AL47,增益!$A:$A,增益!$B:$B,0))</f>
        <v>0.4741</v>
      </c>
      <c r="AS47" s="24" cm="1">
        <f t="array" ref="AS47">VLOOKUP($R47,武学奇术!$A:$ZZ,5,FALSE)+SUM(_xlfn.XLOOKUP($S47:$AL47,增益!$A:$A,增益!$E:$E,0))</f>
        <v>0</v>
      </c>
      <c r="AT47" cm="1">
        <f t="array" ref="AT47">$D$10*(1+$AS47)+VLOOKUP($R47,武学奇术!$A:$ZZ,3,FALSE)+SUM(_xlfn.XLOOKUP($S47:$AL47,增益!$A:$A,增益!$C:$C,0))-$I$2</f>
        <v>3839.102</v>
      </c>
      <c r="AU47" cm="1">
        <f t="array" ref="AU47">$E$10*(1+$AS47)+VLOOKUP($R47,武学奇术!$A:$ZZ,4,FALSE)+SUM(_xlfn.XLOOKUP($S47:$AL47,增益!$A:$A,增益!$D:$D,0))-$I$2</f>
        <v>3839.102</v>
      </c>
      <c r="AV47" s="30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0.217</v>
      </c>
      <c r="AW47" s="30" cm="1">
        <f t="array" ref="AW47">$G$10+VLOOKUP($R47,武学奇术!$A:$ZZ,7,FALSE)+SUM(_xlfn.XLOOKUP($S47:$AL47,增益!$A:$A,增益!$G:$G,0))</f>
        <v>0.09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0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0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0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0" cm="1">
        <f t="array" ref="BF47">$G$12+VLOOKUP($R47,武学奇术!$A:$ZZ,12,FALSE)+SUM(_xlfn.XLOOKUP($S47:$AL47,增益!$A:$A,增益!$L:$L,0))</f>
        <v>0</v>
      </c>
      <c r="BG47">
        <f t="shared" si="5"/>
        <v>0</v>
      </c>
      <c r="BH47">
        <f t="shared" si="6"/>
        <v>0</v>
      </c>
      <c r="BI47" s="30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-0.3</v>
      </c>
      <c r="BJ47" s="30" cm="1">
        <f t="array" ref="BJ47">$G$13+VLOOKUP($R47,武学奇术!$A:$ZZ,14,FALSE)+SUM(_xlfn.XLOOKUP($S47:$AL47,增益!$A:$A,增益!$N:$N,0))</f>
        <v>0</v>
      </c>
      <c r="BK47">
        <f t="shared" si="7"/>
        <v>605.472</v>
      </c>
      <c r="BL47">
        <f t="shared" si="8"/>
        <v>1725.468</v>
      </c>
      <c r="BM47" s="30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0</v>
      </c>
      <c r="BN47" s="30" cm="1">
        <f t="array" ref="BN47">$G$14+VLOOKUP($R47,武学奇术!$A:$ZZ,16,FALSE)+SUM(_xlfn.XLOOKUP($S47:$AL47,增益!$A:$A,增益!$P:$P,0))</f>
        <v>0.24</v>
      </c>
      <c r="BO47" s="24">
        <f>MIN(IF(VLOOKUP($R47,武学奇术!$A:$ZZ,23,FALSE)=1,100%,$B$8),100%)</f>
        <v>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+MIN(IF(VLOOKUP($R47,武学奇术!$A:$ZZ,32,FALSE)=1,IF(VLOOKUP($R47,武学奇术!$A:$ZZ,24,FALSE)=1,100%,MIN(40%,$B$10+VLOOKUP($R47,武学奇术!$A:$ZZ,19,FALSE)+SUM(_xlfn.XLOOKUP($S47:$AL47,增益!$A:$A,增益!$S:$S,0)))+$B$12+SUM(_xlfn.XLOOKUP($S47:$AL47,增益!$A:$A,增益!$V:$V,0))),0),12%)</f>
        <v>0.9036</v>
      </c>
      <c r="BQ47" s="24" cm="1">
        <f t="array" ref="BQ47">1+$B$13+VLOOKUP($R47,武学奇术!$A:$ZZ,18,FALSE)+SUM(_xlfn.XLOOKUP($S47:$AL47,增益!$A:$A,增益!$R:$R,0))</f>
        <v>1.64</v>
      </c>
      <c r="BR47" s="24" cm="1">
        <f t="array" ref="BR47">MAX(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-IF(VLOOKUP($R47,武学奇术!$A:$ZZ,32,FALSE)=1,12%,0),0)</f>
        <v>0.0929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0.9036</v>
      </c>
      <c r="BU47" s="24">
        <f t="shared" si="10"/>
        <v>0.00350000000000006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0.11</v>
      </c>
      <c r="BX47" s="24" cm="1">
        <f t="array" ref="BX47">SUM(_xlfn.XLOOKUP($S47:$AL47,增益!$A:$A,增益!$X:$X,0))</f>
        <v>0</v>
      </c>
    </row>
    <row r="48" spans="1:76">
      <c r="F48" s="4"/>
      <c r="G48" s="4"/>
      <c r="K48">
        <f>$L48*VLOOKUP($R48,武学奇术!$A:$ZZ,31,FALSE)</f>
        <v>95638.9257064405</v>
      </c>
      <c r="L48" s="36">
        <f t="shared" si="12"/>
        <v>73568.4043895696</v>
      </c>
      <c r="M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BQ48*$Q48*(1+IF(VLOOKUP($R48,武学奇术!$A:$ZZ,30,FALSE)="蓄力技",$B$21,0))*(1+$BW48)</f>
        <v>75118.9126922177</v>
      </c>
      <c r="N48" s="36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蓄力技",$B$21,0))*(1+$BW48)</f>
        <v>59800.1191531059</v>
      </c>
      <c r="O48" s="36">
        <f>((($AT48+($AU48-$AT48)*IF(VLOOKUP($R48,武学奇术!$A:$ZZ,31,FALSE)=1,$F$18,0.5))*$AN48+$AO48)*(1+$AV48)*(1+$AW48)+(($AY48+($AZ48-$AY48)*IF(VLOOKUP($R48,武学奇术!$A:$ZZ,31,FALSE)=1,$F$18,0.5))*IF($G$1="鸣金",$AP48,$AN48)+IF($G$1="鸣金",$AQ48*1.5,0))*(1+$BA48)*(1+$BB48)+(($BC48+($BD48-$BC48)*IF(VLOOKUP($R48,武学奇术!$A:$ZZ,31,FALSE)=1,$F$18,0.5))*IF($G$1="裂石",$AP48,$AN48)+IF($G$1="裂石",$AQ48*1.5,0))*(1+$BE48)*(1+$BF48)+(($BG48+($BH48-$BG48)*IF(VLOOKUP($R48,武学奇术!$A:$ZZ,31,FALSE)=1,$F$18,0.5))*IF($G$1="牵丝",$AP48,$AN48)+IF($G$1="牵丝",$AQ48*1.5,0))*(1+$BI48)*(1+$BJ48)+(($BK48+($BL48-$BK48)*IF(VLOOKUP($R48,武学奇术!$A:$ZZ,31,FALSE)=1,$F$18,0.5))*IF($G$1="破竹",$AP48,$AN48)+IF($G$1="破竹",$AQ48*1.5,0))*(1+$BM48)*(1+$BN48))*(1+$AR48)*$Q48*(1+IF(VLOOKUP($R48,武学奇术!$A:$ZZ,30,FALSE)="蓄力技",$B$21,0))*(1+$BW48)</f>
        <v>38721.0890166071</v>
      </c>
      <c r="P48" s="36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蓄力技",$B$21,0))*(1+$BW48)</f>
        <v>33145.7934753579</v>
      </c>
      <c r="Q48" s="37">
        <v>1</v>
      </c>
      <c r="R48" s="38" t="s">
        <v>124</v>
      </c>
      <c r="S48" s="38" t="s">
        <v>104</v>
      </c>
      <c r="T48" s="38" t="s">
        <v>79</v>
      </c>
      <c r="U48" s="38" t="s">
        <v>140</v>
      </c>
      <c r="V48" s="38" t="s">
        <v>79</v>
      </c>
      <c r="W48" s="38" t="s">
        <v>79</v>
      </c>
      <c r="X48" s="38" t="s">
        <v>79</v>
      </c>
      <c r="Y48" s="38" t="s">
        <v>173</v>
      </c>
      <c r="Z48" s="38" t="s">
        <v>79</v>
      </c>
      <c r="AA48" s="38" t="s">
        <v>112</v>
      </c>
      <c r="AB48" s="38" t="s">
        <v>79</v>
      </c>
      <c r="AC48" s="38" t="s">
        <v>79</v>
      </c>
      <c r="AD48" s="38" t="s">
        <v>79</v>
      </c>
      <c r="AE48" s="38" t="s">
        <v>79</v>
      </c>
      <c r="AF48" s="38" t="s">
        <v>84</v>
      </c>
      <c r="AG48" s="38" t="s">
        <v>85</v>
      </c>
      <c r="AH48" s="38" t="s">
        <v>79</v>
      </c>
      <c r="AI48" s="38" t="s">
        <v>79</v>
      </c>
      <c r="AJ48" s="38" t="s">
        <v>79</v>
      </c>
      <c r="AK48" s="38" t="s">
        <v>79</v>
      </c>
      <c r="AL48" s="38" t="s">
        <v>79</v>
      </c>
      <c r="AM48" t="str">
        <f>VLOOKUP($R48,武学奇术!$A:$ZZ,25,FALSE)</f>
        <v>拳甲</v>
      </c>
      <c r="AN48" s="24">
        <f>VLOOKUP($R48,武学奇术!$A:$ZZ,26,FALSE)</f>
        <v>2.638944</v>
      </c>
      <c r="AO48" s="25">
        <f>VLOOKUP($R48,武学奇术!$A:$ZZ,27,FALSE)*(1+IF(OR($AM48=$F$4,$AM48=$F$5),$B$22,0))</f>
        <v>0</v>
      </c>
      <c r="AP48" s="24">
        <f>VLOOKUP($R48,武学奇术!$A:$ZZ,28,FALSE)</f>
        <v>3.958416</v>
      </c>
      <c r="AQ48" s="25">
        <f>VLOOKUP($R48,武学奇术!$A:$ZZ,29,FALSE)*(1+IF(OR($AM48=$F$4,$AM48=$F$5),$B$22,0))</f>
        <v>0</v>
      </c>
      <c r="AR48" s="24" cm="1">
        <f t="array" ref="AR48">$G$3+IFERROR(VLOOKUP($AM48,$F$4:$G$7,2,FALSE),0)+VLOOKUP($R48,武学奇术!$A:$ZZ,2,FALSE)+SUM(_xlfn.XLOOKUP($S48:$AL48,增益!$A:$A,增益!$B:$B,0))</f>
        <v>0.7741</v>
      </c>
      <c r="AS48" s="24" cm="1">
        <f t="array" ref="AS48">VLOOKUP($R48,武学奇术!$A:$ZZ,5,FALSE)+SUM(_xlfn.XLOOKUP($S48:$AL48,增益!$A:$A,增益!$E:$E,0))</f>
        <v>0</v>
      </c>
      <c r="AT48" cm="1">
        <f t="array" ref="AT48">$D$10*(1+$AS48)+VLOOKUP($R48,武学奇术!$A:$ZZ,3,FALSE)+SUM(_xlfn.XLOOKUP($S48:$AL48,增益!$A:$A,增益!$C:$C,0))-$I$2</f>
        <v>3839.102</v>
      </c>
      <c r="AU48" cm="1">
        <f t="array" ref="AU48">$E$10*(1+$AS48)+VLOOKUP($R48,武学奇术!$A:$ZZ,4,FALSE)+SUM(_xlfn.XLOOKUP($S48:$AL48,增益!$A:$A,增益!$D:$D,0))-$I$2</f>
        <v>3839.102</v>
      </c>
      <c r="AV48" s="30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0.247</v>
      </c>
      <c r="AW48" s="30" cm="1">
        <f t="array" ref="AW48">$G$10+VLOOKUP($R48,武学奇术!$A:$ZZ,7,FALSE)+SUM(_xlfn.XLOOKUP($S48:$AL48,增益!$A:$A,增益!$G:$G,0))</f>
        <v>0.09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0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-0.24</v>
      </c>
      <c r="BB48" s="30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0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-0.24</v>
      </c>
      <c r="BF48" s="30" cm="1">
        <f t="array" ref="BF48">$G$12+VLOOKUP($R48,武学奇术!$A:$ZZ,12,FALSE)+SUM(_xlfn.XLOOKUP($S48:$AL48,增益!$A:$A,增益!$L:$L,0))</f>
        <v>0</v>
      </c>
      <c r="BG48">
        <f t="shared" si="5"/>
        <v>0</v>
      </c>
      <c r="BH48">
        <f t="shared" si="6"/>
        <v>0</v>
      </c>
      <c r="BI48" s="30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-0.24</v>
      </c>
      <c r="BJ48" s="30" cm="1">
        <f t="array" ref="BJ48">$G$13+VLOOKUP($R48,武学奇术!$A:$ZZ,14,FALSE)+SUM(_xlfn.XLOOKUP($S48:$AL48,增益!$A:$A,增益!$N:$N,0))</f>
        <v>0</v>
      </c>
      <c r="BK48">
        <f t="shared" si="7"/>
        <v>605.472</v>
      </c>
      <c r="BL48">
        <f t="shared" si="8"/>
        <v>1725.468</v>
      </c>
      <c r="BM48" s="30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0.03</v>
      </c>
      <c r="BN48" s="30" cm="1">
        <f t="array" ref="BN48">$G$14+VLOOKUP($R48,武学奇术!$A:$ZZ,16,FALSE)+SUM(_xlfn.XLOOKUP($S48:$AL48,增益!$A:$A,增益!$P:$P,0))</f>
        <v>0.24</v>
      </c>
      <c r="BO48" s="24">
        <f>MIN(IF(VLOOKUP($R48,武学奇术!$A:$ZZ,23,FALSE)=1,100%,$B$8),100%)</f>
        <v>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+MIN(IF(VLOOKUP($R48,武学奇术!$A:$ZZ,32,FALSE)=1,IF(VLOOKUP($R48,武学奇术!$A:$ZZ,24,FALSE)=1,100%,MIN(40%,$B$10+VLOOKUP($R48,武学奇术!$A:$ZZ,19,FALSE)+SUM(_xlfn.XLOOKUP($S48:$AL48,增益!$A:$A,增益!$S:$S,0)))+$B$12+SUM(_xlfn.XLOOKUP($S48:$AL48,增益!$A:$A,增益!$V:$V,0))),0),12%)</f>
        <v>0.9036</v>
      </c>
      <c r="BQ48" s="24" cm="1">
        <f t="array" ref="BQ48">1+$B$13+VLOOKUP($R48,武学奇术!$A:$ZZ,18,FALSE)+SUM(_xlfn.XLOOKUP($S48:$AL48,增益!$A:$A,增益!$R:$R,0))</f>
        <v>1.94</v>
      </c>
      <c r="BR48" s="24" cm="1">
        <f t="array" ref="BR48">MAX(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-IF(VLOOKUP($R48,武学奇术!$A:$ZZ,32,FALSE)=1,12%,0),0)</f>
        <v>0.0929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0.9036</v>
      </c>
      <c r="BU48" s="24">
        <f t="shared" si="10"/>
        <v>0.00350000000000006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0.11</v>
      </c>
      <c r="BX48" s="24" cm="1">
        <f t="array" ref="BX48">SUM(_xlfn.XLOOKUP($S48:$AL48,增益!$A:$A,增益!$X:$X,0))</f>
        <v>0</v>
      </c>
    </row>
    <row r="49" spans="1:76">
      <c r="A49" s="4"/>
      <c r="B49" s="91"/>
      <c r="K49">
        <f>$L49*VLOOKUP($R49,武学奇术!$A:$ZZ,31,FALSE)</f>
        <v>111398.233811098</v>
      </c>
      <c r="L49" s="36">
        <f t="shared" si="12"/>
        <v>111398.233811098</v>
      </c>
      <c r="M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BQ49*$Q49*(1+IF(VLOOKUP($R49,武学奇术!$A:$ZZ,30,FALSE)="蓄力技",$B$21,0))*(1+$BW49)</f>
        <v>112205.590749677</v>
      </c>
      <c r="N49" s="36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蓄力技",$B$21,0))*(1+$BW49)</f>
        <v>105164.680933262</v>
      </c>
      <c r="O49" s="36">
        <f>((($AT49+($AU49-$AT49)*IF(VLOOKUP($R49,武学奇术!$A:$ZZ,31,FALSE)=1,$F$18,0.5))*$AN49+$AO49)*(1+$AV49)*(1+$AW49)+(($AY49+($AZ49-$AY49)*IF(VLOOKUP($R49,武学奇术!$A:$ZZ,31,FALSE)=1,$F$18,0.5))*IF($G$1="鸣金",$AP49,$AN49)+IF($G$1="鸣金",$AQ49*1.5,0))*(1+$BA49)*(1+$BB49)+(($BC49+($BD49-$BC49)*IF(VLOOKUP($R49,武学奇术!$A:$ZZ,31,FALSE)=1,$F$18,0.5))*IF($G$1="裂石",$AP49,$AN49)+IF($G$1="裂石",$AQ49*1.5,0))*(1+$BE49)*(1+$BF49)+(($BG49+($BH49-$BG49)*IF(VLOOKUP($R49,武学奇术!$A:$ZZ,31,FALSE)=1,$F$18,0.5))*IF($G$1="牵丝",$AP49,$AN49)+IF($G$1="牵丝",$AQ49*1.5,0))*(1+$BI49)*(1+$BJ49)+(($BK49+($BL49-$BK49)*IF(VLOOKUP($R49,武学奇术!$A:$ZZ,31,FALSE)=1,$F$18,0.5))*IF($G$1="破竹",$AP49,$AN49)+IF($G$1="破竹",$AQ49*1.5,0))*(1+$BM49)*(1+$BN49))*(1+$AR49)*$Q49*(1+IF(VLOOKUP($R49,武学奇术!$A:$ZZ,30,FALSE)="蓄力技",$B$21,0))*(1+$BW49)</f>
        <v>68418.0431400468</v>
      </c>
      <c r="P49" s="36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蓄力技",$B$21,0))*(1+$BW49)</f>
        <v>58936.3226258252</v>
      </c>
      <c r="Q49" s="37">
        <v>1</v>
      </c>
      <c r="R49" s="38" t="s">
        <v>186</v>
      </c>
      <c r="S49" s="38" t="s">
        <v>104</v>
      </c>
      <c r="T49" s="38" t="s">
        <v>79</v>
      </c>
      <c r="U49" s="38" t="s">
        <v>79</v>
      </c>
      <c r="V49" s="38" t="s">
        <v>79</v>
      </c>
      <c r="W49" s="38" t="s">
        <v>79</v>
      </c>
      <c r="X49" s="38" t="s">
        <v>79</v>
      </c>
      <c r="Y49" s="38" t="s">
        <v>173</v>
      </c>
      <c r="Z49" s="38" t="s">
        <v>79</v>
      </c>
      <c r="AA49" s="38" t="s">
        <v>112</v>
      </c>
      <c r="AB49" s="38" t="s">
        <v>79</v>
      </c>
      <c r="AC49" s="38" t="s">
        <v>79</v>
      </c>
      <c r="AD49" s="38" t="s">
        <v>79</v>
      </c>
      <c r="AE49" s="38" t="s">
        <v>79</v>
      </c>
      <c r="AF49" s="38" t="s">
        <v>84</v>
      </c>
      <c r="AG49" s="38" t="s">
        <v>85</v>
      </c>
      <c r="AH49" s="38" t="s">
        <v>79</v>
      </c>
      <c r="AI49" s="38" t="s">
        <v>79</v>
      </c>
      <c r="AJ49" s="38" t="s">
        <v>79</v>
      </c>
      <c r="AK49" s="38" t="s">
        <v>79</v>
      </c>
      <c r="AL49" s="38" t="s">
        <v>79</v>
      </c>
      <c r="AM49" t="str">
        <f>VLOOKUP($R49,武学奇术!$A:$ZZ,25,FALSE)</f>
        <v>单体奇术</v>
      </c>
      <c r="AN49" s="24">
        <f>VLOOKUP($R49,武学奇术!$A:$ZZ,26,FALSE)</f>
        <v>7.1084</v>
      </c>
      <c r="AO49" s="25">
        <f>VLOOKUP($R49,武学奇术!$A:$ZZ,27,FALSE)*(1+IF(OR($AM49=$F$4,$AM49=$F$5),$B$22,0))</f>
        <v>1369</v>
      </c>
      <c r="AP49" s="24">
        <f>VLOOKUP($R49,武学奇术!$A:$ZZ,28,FALSE)</f>
        <v>10.6626</v>
      </c>
      <c r="AQ49" s="25">
        <f>VLOOKUP($R49,武学奇术!$A:$ZZ,29,FALSE)*(1+IF(OR($AM49=$F$4,$AM49=$F$5),$B$22,0))</f>
        <v>0</v>
      </c>
      <c r="AR49" s="24" cm="1">
        <f t="array" ref="AR49">$G$3+IFERROR(VLOOKUP($AM49,$F$4:$G$7,2,FALSE),0)+VLOOKUP($R49,武学奇术!$A:$ZZ,2,FALSE)+SUM(_xlfn.XLOOKUP($S49:$AL49,增益!$A:$A,增益!$B:$B,0))</f>
        <v>0.1537</v>
      </c>
      <c r="AS49" s="24" cm="1">
        <f t="array" ref="AS49">VLOOKUP($R49,武学奇术!$A:$ZZ,5,FALSE)+SUM(_xlfn.XLOOKUP($S49:$AL49,增益!$A:$A,增益!$E:$E,0))</f>
        <v>0</v>
      </c>
      <c r="AT49" cm="1">
        <f t="array" ref="AT49">$D$10*(1+$AS49)+VLOOKUP($R49,武学奇术!$A:$ZZ,3,FALSE)+SUM(_xlfn.XLOOKUP($S49:$AL49,增益!$A:$A,增益!$C:$C,0))-$I$2</f>
        <v>3839.102</v>
      </c>
      <c r="AU49" cm="1">
        <f t="array" ref="AU49">$E$10*(1+$AS49)+VLOOKUP($R49,武学奇术!$A:$ZZ,4,FALSE)+SUM(_xlfn.XLOOKUP($S49:$AL49,增益!$A:$A,增益!$D:$D,0))-$I$2</f>
        <v>3839.102</v>
      </c>
      <c r="AV49" s="30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0.217</v>
      </c>
      <c r="AW49" s="30" cm="1">
        <f t="array" ref="AW49">$G$10+VLOOKUP($R49,武学奇术!$A:$ZZ,7,FALSE)+SUM(_xlfn.XLOOKUP($S49:$AL49,增益!$A:$A,增益!$G:$G,0))</f>
        <v>0.09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0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0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0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0" cm="1">
        <f t="array" ref="BF49">$G$12+VLOOKUP($R49,武学奇术!$A:$ZZ,12,FALSE)+SUM(_xlfn.XLOOKUP($S49:$AL49,增益!$A:$A,增益!$L:$L,0))</f>
        <v>0</v>
      </c>
      <c r="BG49">
        <f t="shared" si="5"/>
        <v>0</v>
      </c>
      <c r="BH49">
        <f t="shared" si="6"/>
        <v>0</v>
      </c>
      <c r="BI49" s="30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-0.3</v>
      </c>
      <c r="BJ49" s="30" cm="1">
        <f t="array" ref="BJ49">$G$13+VLOOKUP($R49,武学奇术!$A:$ZZ,14,FALSE)+SUM(_xlfn.XLOOKUP($S49:$AL49,增益!$A:$A,增益!$N:$N,0))</f>
        <v>0</v>
      </c>
      <c r="BK49">
        <f t="shared" si="7"/>
        <v>605.472</v>
      </c>
      <c r="BL49">
        <f t="shared" si="8"/>
        <v>1725.468</v>
      </c>
      <c r="BM49" s="30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0</v>
      </c>
      <c r="BN49" s="30" cm="1">
        <f t="array" ref="BN49">$G$14+VLOOKUP($R49,武学奇术!$A:$ZZ,16,FALSE)+SUM(_xlfn.XLOOKUP($S49:$AL49,增益!$A:$A,增益!$P:$P,0))</f>
        <v>0.24</v>
      </c>
      <c r="BO49" s="24">
        <f>MIN(IF(VLOOKUP($R49,武学奇术!$A:$ZZ,23,FALSE)=1,100%,$B$8),100%)</f>
        <v>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+MIN(IF(VLOOKUP($R49,武学奇术!$A:$ZZ,32,FALSE)=1,IF(VLOOKUP($R49,武学奇术!$A:$ZZ,24,FALSE)=1,100%,MIN(40%,$B$10+VLOOKUP($R49,武学奇术!$A:$ZZ,19,FALSE)+SUM(_xlfn.XLOOKUP($S49:$AL49,增益!$A:$A,增益!$S:$S,0)))+$B$12+SUM(_xlfn.XLOOKUP($S49:$AL49,增益!$A:$A,增益!$V:$V,0))),0),12%)</f>
        <v>0.9036</v>
      </c>
      <c r="BQ49" s="24" cm="1">
        <f t="array" ref="BQ49">1+$B$13+VLOOKUP($R49,武学奇术!$A:$ZZ,18,FALSE)+SUM(_xlfn.XLOOKUP($S49:$AL49,增益!$A:$A,增益!$R:$R,0))</f>
        <v>1.64</v>
      </c>
      <c r="BR49" s="24" cm="1">
        <f t="array" ref="BR49">MAX(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-IF(VLOOKUP($R49,武学奇术!$A:$ZZ,32,FALSE)=1,12%,0),0)</f>
        <v>0.0929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0.9036</v>
      </c>
      <c r="BU49" s="24">
        <f t="shared" si="10"/>
        <v>0.00350000000000006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0.11</v>
      </c>
      <c r="BX49" s="24" cm="1">
        <f t="array" ref="BX49">SUM(_xlfn.XLOOKUP($S49:$AL49,增益!$A:$A,增益!$X:$X,0))</f>
        <v>0</v>
      </c>
    </row>
    <row r="50" spans="1:76">
      <c r="K50">
        <f>$L50*VLOOKUP($R50,武学奇术!$A:$ZZ,31,FALSE)</f>
        <v>215227.383256821</v>
      </c>
      <c r="L50" s="36">
        <f t="shared" si="12"/>
        <v>215227.383256821</v>
      </c>
      <c r="M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BQ50*$Q50*(1+IF(VLOOKUP($R50,武学奇术!$A:$ZZ,30,FALSE)="蓄力技",$B$21,0))*(1+$BW50)</f>
        <v>219535.128620941</v>
      </c>
      <c r="N50" s="36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蓄力技",$B$21,0))*(1+$BW50)</f>
        <v>177060.220672289</v>
      </c>
      <c r="O50" s="36">
        <f>((($AT50+($AU50-$AT50)*IF(VLOOKUP($R50,武学奇术!$A:$ZZ,31,FALSE)=1,$F$18,0.5))*$AN50+$AO50)*(1+$AV50)*(1+$AW50)+(($AY50+($AZ50-$AY50)*IF(VLOOKUP($R50,武学奇术!$A:$ZZ,31,FALSE)=1,$F$18,0.5))*IF($G$1="鸣金",$AP50,$AN50)+IF($G$1="鸣金",$AQ50*1.5,0))*(1+$BA50)*(1+$BB50)+(($BC50+($BD50-$BC50)*IF(VLOOKUP($R50,武学奇术!$A:$ZZ,31,FALSE)=1,$F$18,0.5))*IF($G$1="裂石",$AP50,$AN50)+IF($G$1="裂石",$AQ50*1.5,0))*(1+$BE50)*(1+$BF50)+(($BG50+($BH50-$BG50)*IF(VLOOKUP($R50,武学奇术!$A:$ZZ,31,FALSE)=1,$F$18,0.5))*IF($G$1="牵丝",$AP50,$AN50)+IF($G$1="牵丝",$AQ50*1.5,0))*(1+$BI50)*(1+$BJ50)+(($BK50+($BL50-$BK50)*IF(VLOOKUP($R50,武学奇术!$A:$ZZ,31,FALSE)=1,$F$18,0.5))*IF($G$1="破竹",$AP50,$AN50)+IF($G$1="破竹",$AQ50*1.5,0))*(1+$BM50)*(1+$BN50))*(1+$AR50)*$Q50*(1+IF(VLOOKUP($R50,武学奇术!$A:$ZZ,30,FALSE)="蓄力技",$B$21,0))*(1+$BW50)</f>
        <v>116156.152709493</v>
      </c>
      <c r="P50" s="36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蓄力技",$B$21,0))*(1+$BW50)</f>
        <v>101156.586402475</v>
      </c>
      <c r="Q50" s="37">
        <v>1</v>
      </c>
      <c r="R50" s="38" t="s">
        <v>187</v>
      </c>
      <c r="S50" s="38" t="s">
        <v>104</v>
      </c>
      <c r="T50" s="38" t="s">
        <v>139</v>
      </c>
      <c r="U50" s="38" t="s">
        <v>79</v>
      </c>
      <c r="V50" s="38" t="s">
        <v>79</v>
      </c>
      <c r="W50" s="38" t="s">
        <v>188</v>
      </c>
      <c r="X50" s="38" t="s">
        <v>79</v>
      </c>
      <c r="Y50" s="38" t="s">
        <v>173</v>
      </c>
      <c r="Z50" s="38" t="s">
        <v>79</v>
      </c>
      <c r="AA50" s="38" t="s">
        <v>79</v>
      </c>
      <c r="AB50" s="38" t="s">
        <v>79</v>
      </c>
      <c r="AC50" s="38" t="s">
        <v>79</v>
      </c>
      <c r="AD50" s="38" t="s">
        <v>79</v>
      </c>
      <c r="AE50" s="38" t="s">
        <v>79</v>
      </c>
      <c r="AF50" s="38" t="s">
        <v>84</v>
      </c>
      <c r="AG50" s="38" t="s">
        <v>85</v>
      </c>
      <c r="AH50" s="38" t="s">
        <v>79</v>
      </c>
      <c r="AI50" s="38" t="s">
        <v>79</v>
      </c>
      <c r="AJ50" s="38" t="s">
        <v>79</v>
      </c>
      <c r="AK50" s="38" t="s">
        <v>79</v>
      </c>
      <c r="AL50" s="38" t="s">
        <v>79</v>
      </c>
      <c r="AM50" t="str">
        <f>VLOOKUP($R50,武学奇术!$A:$ZZ,25,FALSE)</f>
        <v>群体奇术</v>
      </c>
      <c r="AN50" s="24">
        <f>VLOOKUP($R50,武学奇术!$A:$ZZ,26,FALSE)</f>
        <v>10.315755</v>
      </c>
      <c r="AO50" s="25">
        <f>VLOOKUP($R50,武学奇术!$A:$ZZ,27,FALSE)*(1+IF(OR($AM50=$F$4,$AM50=$F$5),$B$22,0))</f>
        <v>1992.6</v>
      </c>
      <c r="AP50" s="24">
        <f>VLOOKUP($R50,武学奇术!$A:$ZZ,28,FALSE)</f>
        <v>15.4736325</v>
      </c>
      <c r="AQ50" s="25">
        <f>VLOOKUP($R50,武学奇术!$A:$ZZ,29,FALSE)*(1+IF(OR($AM50=$F$4,$AM50=$F$5),$B$22,0))</f>
        <v>0</v>
      </c>
      <c r="AR50" s="24" cm="1">
        <f t="array" ref="AR50">$G$3+IFERROR(VLOOKUP($AM50,$F$4:$G$7,2,FALSE),0)+VLOOKUP($R50,武学奇术!$A:$ZZ,2,FALSE)+SUM(_xlfn.XLOOKUP($S50:$AL50,增益!$A:$A,增益!$B:$B,0))</f>
        <v>0.1537</v>
      </c>
      <c r="AS50" s="24" cm="1">
        <f t="array" ref="AS50">VLOOKUP($R50,武学奇术!$A:$ZZ,5,FALSE)+SUM(_xlfn.XLOOKUP($S50:$AL50,增益!$A:$A,增益!$E:$E,0))</f>
        <v>0</v>
      </c>
      <c r="AT50" cm="1">
        <f t="array" ref="AT50">$D$10*(1+$AS50)+VLOOKUP($R50,武学奇术!$A:$ZZ,3,FALSE)+SUM(_xlfn.XLOOKUP($S50:$AL50,增益!$A:$A,增益!$C:$C,0))-$I$2</f>
        <v>3839.102</v>
      </c>
      <c r="AU50" cm="1">
        <f t="array" ref="AU50">$E$10*(1+$AS50)+VLOOKUP($R50,武学奇术!$A:$ZZ,4,FALSE)+SUM(_xlfn.XLOOKUP($S50:$AL50,增益!$A:$A,增益!$D:$D,0))-$I$2</f>
        <v>3839.102</v>
      </c>
      <c r="AV50" s="30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0.342</v>
      </c>
      <c r="AW50" s="30" cm="1">
        <f t="array" ref="AW50">$G$10+VLOOKUP($R50,武学奇术!$A:$ZZ,7,FALSE)+SUM(_xlfn.XLOOKUP($S50:$AL50,增益!$A:$A,增益!$G:$G,0))</f>
        <v>0.09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0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0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0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0" cm="1">
        <f t="array" ref="BF50">$G$12+VLOOKUP($R50,武学奇术!$A:$ZZ,12,FALSE)+SUM(_xlfn.XLOOKUP($S50:$AL50,增益!$A:$A,增益!$L:$L,0))</f>
        <v>0</v>
      </c>
      <c r="BG50">
        <f t="shared" si="5"/>
        <v>0</v>
      </c>
      <c r="BH50">
        <f t="shared" si="6"/>
        <v>0</v>
      </c>
      <c r="BI50" s="30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-0.3</v>
      </c>
      <c r="BJ50" s="30" cm="1">
        <f t="array" ref="BJ50">$G$13+VLOOKUP($R50,武学奇术!$A:$ZZ,14,FALSE)+SUM(_xlfn.XLOOKUP($S50:$AL50,增益!$A:$A,增益!$N:$N,0))</f>
        <v>0</v>
      </c>
      <c r="BK50">
        <f t="shared" si="7"/>
        <v>605.472</v>
      </c>
      <c r="BL50">
        <f t="shared" si="8"/>
        <v>1725.468</v>
      </c>
      <c r="BM50" s="30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0</v>
      </c>
      <c r="BN50" s="30" cm="1">
        <f t="array" ref="BN50">$G$14+VLOOKUP($R50,武学奇术!$A:$ZZ,16,FALSE)+SUM(_xlfn.XLOOKUP($S50:$AL50,增益!$A:$A,增益!$P:$P,0))</f>
        <v>0.24</v>
      </c>
      <c r="BO50" s="24">
        <f>MIN(IF(VLOOKUP($R50,武学奇术!$A:$ZZ,23,FALSE)=1,100%,$B$8),100%)</f>
        <v>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+MIN(IF(VLOOKUP($R50,武学奇术!$A:$ZZ,32,FALSE)=1,IF(VLOOKUP($R50,武学奇术!$A:$ZZ,24,FALSE)=1,100%,MIN(40%,$B$10+VLOOKUP($R50,武学奇术!$A:$ZZ,19,FALSE)+SUM(_xlfn.XLOOKUP($S50:$AL50,增益!$A:$A,增益!$S:$S,0)))+$B$12+SUM(_xlfn.XLOOKUP($S50:$AL50,增益!$A:$A,增益!$V:$V,0))),0),12%)</f>
        <v>0.9036</v>
      </c>
      <c r="BQ50" s="24" cm="1">
        <f t="array" ref="BQ50">1+$B$13+VLOOKUP($R50,武学奇术!$A:$ZZ,18,FALSE)+SUM(_xlfn.XLOOKUP($S50:$AL50,增益!$A:$A,增益!$R:$R,0))</f>
        <v>1.89</v>
      </c>
      <c r="BR50" s="24" cm="1">
        <f t="array" ref="BR50">MAX(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-IF(VLOOKUP($R50,武学奇术!$A:$ZZ,32,FALSE)=1,12%,0),0)</f>
        <v>0.0929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0.9036</v>
      </c>
      <c r="BU50" s="24">
        <f t="shared" si="10"/>
        <v>0.00350000000000006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0.21</v>
      </c>
      <c r="BX50" s="24" cm="1">
        <f t="array" ref="BX50">SUM(_xlfn.XLOOKUP($S50:$AL50,增益!$A:$A,增益!$X:$X,0))</f>
        <v>0</v>
      </c>
    </row>
    <row r="51" spans="1:76">
      <c r="A51" s="4"/>
      <c r="B51" s="4"/>
      <c r="F51" s="4"/>
      <c r="G51" s="4"/>
      <c r="K51">
        <f>$L51*VLOOKUP($R51,武学奇术!$A:$ZZ,31,FALSE)</f>
        <v>793379.769704793</v>
      </c>
      <c r="L51" s="36">
        <f t="shared" si="12"/>
        <v>938910.970064844</v>
      </c>
      <c r="M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BQ51*$Q51*(1+IF(VLOOKUP($R51,武学奇术!$A:$ZZ,30,FALSE)="蓄力技",$B$21,0))*(1+$BW51)</f>
        <v>940826.082571836</v>
      </c>
      <c r="N51" s="36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蓄力技",$B$21,0))*(1+$BW51)</f>
        <v>594587.070953384</v>
      </c>
      <c r="O51" s="36">
        <f>((($AT51+($AU51-$AT51)*IF(VLOOKUP($R51,武学奇术!$A:$ZZ,31,FALSE)=1,$F$18,0.5))*$AN51+$AO51)*(1+$AV51)*(1+$AW51)+(($AY51+($AZ51-$AY51)*IF(VLOOKUP($R51,武学奇术!$A:$ZZ,31,FALSE)=1,$F$18,0.5))*IF($G$1="鸣金",$AP51,$AN51)+IF($G$1="鸣金",$AQ51*1.5,0))*(1+$BA51)*(1+$BB51)+(($BC51+($BD51-$BC51)*IF(VLOOKUP($R51,武学奇术!$A:$ZZ,31,FALSE)=1,$F$18,0.5))*IF($G$1="裂石",$AP51,$AN51)+IF($G$1="裂石",$AQ51*1.5,0))*(1+$BE51)*(1+$BF51)+(($BG51+($BH51-$BG51)*IF(VLOOKUP($R51,武学奇术!$A:$ZZ,31,FALSE)=1,$F$18,0.5))*IF($G$1="牵丝",$AP51,$AN51)+IF($G$1="牵丝",$AQ51*1.5,0))*(1+$BI51)*(1+$BJ51)+(($BK51+($BL51-$BK51)*IF(VLOOKUP($R51,武学奇术!$A:$ZZ,31,FALSE)=1,$F$18,0.5))*IF($G$1="破竹",$AP51,$AN51)+IF($G$1="破竹",$AQ51*1.5,0))*(1+$BM51)*(1+$BN51))*(1+$AR51)*$Q51*(1+IF(VLOOKUP($R51,武学奇术!$A:$ZZ,30,FALSE)="蓄力技",$B$21,0))*(1+$BW51)</f>
        <v>393651.08057399</v>
      </c>
      <c r="P51" s="36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蓄力技",$B$21,0))*(1+$BW51)</f>
        <v>346867.293775103</v>
      </c>
      <c r="Q51" s="37">
        <v>1</v>
      </c>
      <c r="R51" s="38" t="s">
        <v>138</v>
      </c>
      <c r="S51" s="38" t="s">
        <v>104</v>
      </c>
      <c r="T51" s="38" t="s">
        <v>139</v>
      </c>
      <c r="U51" s="38" t="s">
        <v>79</v>
      </c>
      <c r="V51" s="38" t="s">
        <v>79</v>
      </c>
      <c r="W51" s="38" t="s">
        <v>188</v>
      </c>
      <c r="X51" s="38" t="s">
        <v>79</v>
      </c>
      <c r="Y51" s="38" t="s">
        <v>173</v>
      </c>
      <c r="Z51" s="38" t="s">
        <v>79</v>
      </c>
      <c r="AA51" s="38" t="s">
        <v>112</v>
      </c>
      <c r="AB51" s="38" t="s">
        <v>79</v>
      </c>
      <c r="AC51" s="38" t="s">
        <v>79</v>
      </c>
      <c r="AD51" s="38" t="s">
        <v>79</v>
      </c>
      <c r="AE51" s="38" t="s">
        <v>79</v>
      </c>
      <c r="AF51" s="38" t="s">
        <v>84</v>
      </c>
      <c r="AG51" s="38" t="s">
        <v>85</v>
      </c>
      <c r="AH51" s="38" t="s">
        <v>79</v>
      </c>
      <c r="AI51" s="38" t="s">
        <v>79</v>
      </c>
      <c r="AJ51" s="38" t="s">
        <v>79</v>
      </c>
      <c r="AK51" s="38" t="s">
        <v>79</v>
      </c>
      <c r="AL51" s="38" t="s">
        <v>79</v>
      </c>
      <c r="AM51" t="str">
        <f>VLOOKUP($R51,武学奇术!$A:$ZZ,25,FALSE)</f>
        <v>拳甲</v>
      </c>
      <c r="AN51" s="24">
        <f>VLOOKUP($R51,武学奇术!$A:$ZZ,26,FALSE)</f>
        <v>16.8107</v>
      </c>
      <c r="AO51" s="25">
        <f>VLOOKUP($R51,武学奇术!$A:$ZZ,27,FALSE)*(1+IF(OR($AM51=$F$4,$AM51=$F$5),$B$22,0))</f>
        <v>6970.5</v>
      </c>
      <c r="AP51" s="24">
        <f>VLOOKUP($R51,武学奇术!$A:$ZZ,28,FALSE)</f>
        <v>25.2161</v>
      </c>
      <c r="AQ51" s="25">
        <f>VLOOKUP($R51,武学奇术!$A:$ZZ,29,FALSE)*(1+IF(OR($AM51=$F$4,$AM51=$F$5),$B$22,0))</f>
        <v>3799.5</v>
      </c>
      <c r="AR51" s="24" cm="1">
        <f t="array" ref="AR51">$G$3+IFERROR(VLOOKUP($AM51,$F$4:$G$7,2,FALSE),0)+VLOOKUP($R51,武学奇术!$A:$ZZ,2,FALSE)+SUM(_xlfn.XLOOKUP($S51:$AL51,增益!$A:$A,增益!$B:$B,0))</f>
        <v>0.6241</v>
      </c>
      <c r="AS51" s="24" cm="1">
        <f t="array" ref="AS51">VLOOKUP($R51,武学奇术!$A:$ZZ,5,FALSE)+SUM(_xlfn.XLOOKUP($S51:$AL51,增益!$A:$A,增益!$E:$E,0))</f>
        <v>0</v>
      </c>
      <c r="AT51" cm="1">
        <f t="array" ref="AT51">$D$10*(1+$AS51)+VLOOKUP($R51,武学奇术!$A:$ZZ,3,FALSE)+SUM(_xlfn.XLOOKUP($S51:$AL51,增益!$A:$A,增益!$C:$C,0))-$I$2</f>
        <v>3839.102</v>
      </c>
      <c r="AU51" cm="1">
        <f t="array" ref="AU51">$E$10*(1+$AS51)+VLOOKUP($R51,武学奇术!$A:$ZZ,4,FALSE)+SUM(_xlfn.XLOOKUP($S51:$AL51,增益!$A:$A,增益!$D:$D,0))-$I$2</f>
        <v>3839.102</v>
      </c>
      <c r="AV51" s="30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0.372</v>
      </c>
      <c r="AW51" s="30" cm="1">
        <f t="array" ref="AW51">$G$10+VLOOKUP($R51,武学奇术!$A:$ZZ,7,FALSE)+SUM(_xlfn.XLOOKUP($S51:$AL51,增益!$A:$A,增益!$G:$G,0))</f>
        <v>0.09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0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-0.24</v>
      </c>
      <c r="BB51" s="30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0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-0.24</v>
      </c>
      <c r="BF51" s="30" cm="1">
        <f t="array" ref="BF51">$G$12+VLOOKUP($R51,武学奇术!$A:$ZZ,12,FALSE)+SUM(_xlfn.XLOOKUP($S51:$AL51,增益!$A:$A,增益!$L:$L,0))</f>
        <v>0</v>
      </c>
      <c r="BG51">
        <f t="shared" si="5"/>
        <v>0</v>
      </c>
      <c r="BH51">
        <f t="shared" si="6"/>
        <v>0</v>
      </c>
      <c r="BI51" s="30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-0.24</v>
      </c>
      <c r="BJ51" s="30" cm="1">
        <f t="array" ref="BJ51">$G$13+VLOOKUP($R51,武学奇术!$A:$ZZ,14,FALSE)+SUM(_xlfn.XLOOKUP($S51:$AL51,增益!$A:$A,增益!$N:$N,0))</f>
        <v>0</v>
      </c>
      <c r="BK51">
        <f t="shared" si="7"/>
        <v>605.472</v>
      </c>
      <c r="BL51">
        <f t="shared" si="8"/>
        <v>1725.468</v>
      </c>
      <c r="BM51" s="30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0.03</v>
      </c>
      <c r="BN51" s="30" cm="1">
        <f t="array" ref="BN51">$G$14+VLOOKUP($R51,武学奇术!$A:$ZZ,16,FALSE)+SUM(_xlfn.XLOOKUP($S51:$AL51,增益!$A:$A,增益!$P:$P,0))</f>
        <v>0.24</v>
      </c>
      <c r="BO51" s="24">
        <f>MIN(IF(VLOOKUP($R51,武学奇术!$A:$ZZ,23,FALSE)=1,100%,$B$8),100%)</f>
        <v>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+MIN(IF(VLOOKUP($R51,武学奇术!$A:$ZZ,32,FALSE)=1,IF(VLOOKUP($R51,武学奇术!$A:$ZZ,24,FALSE)=1,100%,MIN(40%,$B$10+VLOOKUP($R51,武学奇术!$A:$ZZ,19,FALSE)+SUM(_xlfn.XLOOKUP($S51:$AL51,增益!$A:$A,增益!$S:$S,0)))+$B$12+SUM(_xlfn.XLOOKUP($S51:$AL51,增益!$A:$A,增益!$V:$V,0))),0),12%)</f>
        <v>0.9965</v>
      </c>
      <c r="BQ51" s="24" cm="1">
        <f t="array" ref="BQ51">1+$B$13+VLOOKUP($R51,武学奇术!$A:$ZZ,18,FALSE)+SUM(_xlfn.XLOOKUP($S51:$AL51,增益!$A:$A,增益!$R:$R,0))</f>
        <v>2.39</v>
      </c>
      <c r="BR51" s="24" cm="1">
        <f t="array" ref="BR51">MAX(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-IF(VLOOKUP($R51,武学奇术!$A:$ZZ,32,FALSE)=1,12%,0),0)</f>
        <v>0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0.9965</v>
      </c>
      <c r="BU51" s="24">
        <f t="shared" si="10"/>
        <v>0.00350000000000006</v>
      </c>
      <c r="BV51" s="24">
        <f>IF(VLOOKUP($R51,武学奇术!$A:$ZZ,22,FALSE)=1,0,(1-$BO51))*(1-$BR51)</f>
        <v>0</v>
      </c>
      <c r="BW51" s="24" cm="1">
        <f t="array" ref="BW51">SUM(_xlfn.XLOOKUP($S51:$AL51,增益!$A:$A,增益!$W:$W,0))+$I$5</f>
        <v>0.21</v>
      </c>
      <c r="BX51" s="24" cm="1">
        <f t="array" ref="BX51">SUM(_xlfn.XLOOKUP($S51:$AL51,增益!$A:$A,增益!$X:$X,0))</f>
        <v>0</v>
      </c>
    </row>
    <row r="52" spans="1:76">
      <c r="F52" s="4"/>
      <c r="G52" s="91"/>
      <c r="K52">
        <f>$L52*VLOOKUP($R52,武学奇术!$A:$ZZ,31,FALSE)</f>
        <v>187782.194012969</v>
      </c>
      <c r="L52" s="87">
        <f>L51*0.4*(1+BX52)</f>
        <v>375564.388025938</v>
      </c>
      <c r="M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BQ52*$Q52*(1+IF(VLOOKUP($R52,武学奇术!$A:$ZZ,30,FALSE)="蓄力技",$B$21,0))*(1+$BW52)</f>
        <v>0</v>
      </c>
      <c r="N52" s="36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蓄力技",$B$21,0))*(1+$BW52)</f>
        <v>0</v>
      </c>
      <c r="O52" s="36">
        <f>((($AT52+($AU52-$AT52)*IF(VLOOKUP($R52,武学奇术!$A:$ZZ,31,FALSE)=1,$F$18,0.5))*$AN52+$AO52)*(1+$AV52)*(1+$AW52)+(($AY52+($AZ52-$AY52)*IF(VLOOKUP($R52,武学奇术!$A:$ZZ,31,FALSE)=1,$F$18,0.5))*IF($G$1="鸣金",$AP52,$AN52)+IF($G$1="鸣金",$AQ52*1.5,0))*(1+$BA52)*(1+$BB52)+(($BC52+($BD52-$BC52)*IF(VLOOKUP($R52,武学奇术!$A:$ZZ,31,FALSE)=1,$F$18,0.5))*IF($G$1="裂石",$AP52,$AN52)+IF($G$1="裂石",$AQ52*1.5,0))*(1+$BE52)*(1+$BF52)+(($BG52+($BH52-$BG52)*IF(VLOOKUP($R52,武学奇术!$A:$ZZ,31,FALSE)=1,$F$18,0.5))*IF($G$1="牵丝",$AP52,$AN52)+IF($G$1="牵丝",$AQ52*1.5,0))*(1+$BI52)*(1+$BJ52)+(($BK52+($BL52-$BK52)*IF(VLOOKUP($R52,武学奇术!$A:$ZZ,31,FALSE)=1,$F$18,0.5))*IF($G$1="破竹",$AP52,$AN52)+IF($G$1="破竹",$AQ52*1.5,0))*(1+$BM52)*(1+$BN52))*(1+$AR52)*$Q52*(1+IF(VLOOKUP($R52,武学奇术!$A:$ZZ,30,FALSE)="蓄力技",$B$21,0))*(1+$BW52)</f>
        <v>0</v>
      </c>
      <c r="P52" s="36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蓄力技",$B$21,0))*(1+$BW52)</f>
        <v>0</v>
      </c>
      <c r="Q52" s="37">
        <v>1</v>
      </c>
      <c r="R52" s="38" t="s">
        <v>145</v>
      </c>
      <c r="S52" s="38" t="s">
        <v>146</v>
      </c>
      <c r="T52" s="38" t="s">
        <v>79</v>
      </c>
      <c r="U52" s="38" t="s">
        <v>79</v>
      </c>
      <c r="V52" s="38" t="s">
        <v>79</v>
      </c>
      <c r="W52" s="38" t="s">
        <v>79</v>
      </c>
      <c r="X52" s="38" t="s">
        <v>79</v>
      </c>
      <c r="Y52" s="38" t="s">
        <v>79</v>
      </c>
      <c r="Z52" s="38" t="s">
        <v>79</v>
      </c>
      <c r="AA52" s="38" t="s">
        <v>79</v>
      </c>
      <c r="AB52" s="38" t="s">
        <v>79</v>
      </c>
      <c r="AC52" s="38" t="s">
        <v>79</v>
      </c>
      <c r="AD52" s="38" t="s">
        <v>79</v>
      </c>
      <c r="AE52" s="38" t="s">
        <v>79</v>
      </c>
      <c r="AF52" s="38" t="s">
        <v>84</v>
      </c>
      <c r="AG52" s="38" t="s">
        <v>85</v>
      </c>
      <c r="AH52" s="38" t="s">
        <v>79</v>
      </c>
      <c r="AI52" s="38" t="s">
        <v>79</v>
      </c>
      <c r="AJ52" s="38" t="s">
        <v>79</v>
      </c>
      <c r="AK52" s="38" t="s">
        <v>79</v>
      </c>
      <c r="AL52" s="38" t="s">
        <v>79</v>
      </c>
      <c r="AM52" t="str">
        <f>VLOOKUP($R52,武学奇术!$A:$ZZ,25,FALSE)</f>
        <v>拳甲</v>
      </c>
      <c r="AN52" s="24">
        <f>VLOOKUP($R52,武学奇术!$A:$ZZ,26,FALSE)</f>
        <v>0</v>
      </c>
      <c r="AO52" s="25">
        <f>VLOOKUP($R52,武学奇术!$A:$ZZ,27,FALSE)*(1+IF(OR($AM52=$F$4,$AM52=$F$5),$B$22,0))</f>
        <v>0</v>
      </c>
      <c r="AP52" s="24">
        <f>VLOOKUP($R52,武学奇术!$A:$ZZ,28,FALSE)</f>
        <v>0</v>
      </c>
      <c r="AQ52" s="25">
        <f>VLOOKUP($R52,武学奇术!$A:$ZZ,29,FALSE)*(1+IF(OR($AM52=$F$4,$AM52=$F$5),$B$22,0))</f>
        <v>0</v>
      </c>
      <c r="AR52" s="24" cm="1">
        <f t="array" ref="AR52">$G$3+IFERROR(VLOOKUP($AM52,$F$4:$G$7,2,FALSE),0)+VLOOKUP($R52,武学奇术!$A:$ZZ,2,FALSE)+SUM(_xlfn.XLOOKUP($S52:$AL52,增益!$A:$A,增益!$B:$B,0))</f>
        <v>0.2741</v>
      </c>
      <c r="AS52" s="24" cm="1">
        <f t="array" ref="AS52">VLOOKUP($R52,武学奇术!$A:$ZZ,5,FALSE)+SUM(_xlfn.XLOOKUP($S52:$AL52,增益!$A:$A,增益!$E:$E,0))</f>
        <v>0</v>
      </c>
      <c r="AT52" cm="1">
        <f t="array" ref="AT52">$D$10*(1+$AS52)+VLOOKUP($R52,武学奇术!$A:$ZZ,3,FALSE)+SUM(_xlfn.XLOOKUP($S52:$AL52,增益!$A:$A,增益!$C:$C,0))-$I$2</f>
        <v>3839.102</v>
      </c>
      <c r="AU52" cm="1">
        <f t="array" ref="AU52">$E$10*(1+$AS52)+VLOOKUP($R52,武学奇术!$A:$ZZ,4,FALSE)+SUM(_xlfn.XLOOKUP($S52:$AL52,增益!$A:$A,增益!$D:$D,0))-$I$2</f>
        <v>3839.102</v>
      </c>
      <c r="AV52" s="30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0.167</v>
      </c>
      <c r="AW52" s="30" cm="1">
        <f t="array" ref="AW52">$G$10+VLOOKUP($R52,武学奇术!$A:$ZZ,7,FALSE)+SUM(_xlfn.XLOOKUP($S52:$AL52,增益!$A:$A,增益!$G:$G,0))</f>
        <v>0.09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0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0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0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0" cm="1">
        <f t="array" ref="BF52">$G$12+VLOOKUP($R52,武学奇术!$A:$ZZ,12,FALSE)+SUM(_xlfn.XLOOKUP($S52:$AL52,增益!$A:$A,增益!$L:$L,0))</f>
        <v>0</v>
      </c>
      <c r="BG52">
        <f t="shared" si="5"/>
        <v>0</v>
      </c>
      <c r="BH52">
        <f t="shared" si="6"/>
        <v>0</v>
      </c>
      <c r="BI52" s="30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-0.3</v>
      </c>
      <c r="BJ52" s="30" cm="1">
        <f t="array" ref="BJ52">$G$13+VLOOKUP($R52,武学奇术!$A:$ZZ,14,FALSE)+SUM(_xlfn.XLOOKUP($S52:$AL52,增益!$A:$A,增益!$N:$N,0))</f>
        <v>0</v>
      </c>
      <c r="BK52">
        <f t="shared" si="7"/>
        <v>605.472</v>
      </c>
      <c r="BL52">
        <f t="shared" si="8"/>
        <v>1725.468</v>
      </c>
      <c r="BM52" s="30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0</v>
      </c>
      <c r="BN52" s="30" cm="1">
        <f t="array" ref="BN52">$G$14+VLOOKUP($R52,武学奇术!$A:$ZZ,16,FALSE)+SUM(_xlfn.XLOOKUP($S52:$AL52,增益!$A:$A,增益!$P:$P,0))</f>
        <v>0.24</v>
      </c>
      <c r="BO52" s="24">
        <f>MIN(IF(VLOOKUP($R52,武学奇术!$A:$ZZ,23,FALSE)=1,100%,$B$8),100%)</f>
        <v>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+MIN(IF(VLOOKUP($R52,武学奇术!$A:$ZZ,32,FALSE)=1,IF(VLOOKUP($R52,武学奇术!$A:$ZZ,24,FALSE)=1,100%,MIN(40%,$B$10+VLOOKUP($R52,武学奇术!$A:$ZZ,19,FALSE)+SUM(_xlfn.XLOOKUP($S52:$AL52,增益!$A:$A,增益!$S:$S,0)))+$B$12+SUM(_xlfn.XLOOKUP($S52:$AL52,增益!$A:$A,增益!$V:$V,0))),0),12%)</f>
        <v>0.9036</v>
      </c>
      <c r="BQ52" s="24" cm="1">
        <f t="array" ref="BQ52">1+$B$13+VLOOKUP($R52,武学奇术!$A:$ZZ,18,FALSE)+SUM(_xlfn.XLOOKUP($S52:$AL52,增益!$A:$A,增益!$R:$R,0))</f>
        <v>1.54</v>
      </c>
      <c r="BR52" s="24" cm="1">
        <f t="array" ref="BR52">MAX(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-IF(VLOOKUP($R52,武学奇术!$A:$ZZ,32,FALSE)=1,12%,0),0)</f>
        <v>0.0929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0.9036</v>
      </c>
      <c r="BU52" s="24">
        <f t="shared" si="10"/>
        <v>0.00350000000000006</v>
      </c>
      <c r="BV52" s="24">
        <f>IF(VLOOKUP($R52,武学奇术!$A:$ZZ,22,FALSE)=1,0,(1-$BO52))*(1-$BR52)</f>
        <v>0</v>
      </c>
      <c r="BW52" s="24" cm="1">
        <f t="array" ref="BW52">SUM(_xlfn.XLOOKUP($S52:$AL52,增益!$A:$A,增益!$W:$W,0))+$I$5</f>
        <v>0.11</v>
      </c>
      <c r="BX52" s="24" cm="1">
        <f t="array" ref="BX52">SUM(_xlfn.XLOOKUP($S52:$AL52,增益!$A:$A,增益!$X:$X,0))</f>
        <v>0</v>
      </c>
    </row>
    <row r="53" spans="1:76">
      <c r="K53">
        <f>$L53*VLOOKUP($R53,武学奇术!$A:$ZZ,31,FALSE)</f>
        <v>28760.8124051643</v>
      </c>
      <c r="L53" s="36">
        <f t="shared" ref="L53:L68" si="13">($M53*$BT53+$N53*$BR53+$O53*$BU53+$P53*$BV53)</f>
        <v>28760.8124051643</v>
      </c>
      <c r="M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BQ53*$Q53*(1+IF(VLOOKUP($R53,武学奇术!$A:$ZZ,30,FALSE)="蓄力技",$B$21,0))*(1+$BW53)</f>
        <v>29358.1273706903</v>
      </c>
      <c r="N53" s="36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蓄力技",$B$21,0))*(1+$BW53)</f>
        <v>23449.3176584533</v>
      </c>
      <c r="O53" s="36">
        <f>((($AT53+($AU53-$AT53)*IF(VLOOKUP($R53,武学奇术!$A:$ZZ,31,FALSE)=1,$F$18,0.5))*$AN53+$AO53)*(1+$AV53)*(1+$AW53)+(($AY53+($AZ53-$AY53)*IF(VLOOKUP($R53,武学奇术!$A:$ZZ,31,FALSE)=1,$F$18,0.5))*IF($G$1="鸣金",$AP53,$AN53)+IF($G$1="鸣金",$AQ53*1.5,0))*(1+$BA53)*(1+$BB53)+(($BC53+($BD53-$BC53)*IF(VLOOKUP($R53,武学奇术!$A:$ZZ,31,FALSE)=1,$F$18,0.5))*IF($G$1="裂石",$AP53,$AN53)+IF($G$1="裂石",$AQ53*1.5,0))*(1+$BE53)*(1+$BF53)+(($BG53+($BH53-$BG53)*IF(VLOOKUP($R53,武学奇术!$A:$ZZ,31,FALSE)=1,$F$18,0.5))*IF($G$1="牵丝",$AP53,$AN53)+IF($G$1="牵丝",$AQ53*1.5,0))*(1+$BI53)*(1+$BJ53)+(($BK53+($BL53-$BK53)*IF(VLOOKUP($R53,武学奇术!$A:$ZZ,31,FALSE)=1,$F$18,0.5))*IF($G$1="破竹",$AP53,$AN53)+IF($G$1="破竹",$AQ53*1.5,0))*(1+$BM53)*(1+$BN53))*(1+$AR53)*$Q53*(1+IF(VLOOKUP($R53,武学奇术!$A:$ZZ,30,FALSE)="蓄力技",$B$21,0))*(1+$BW53)</f>
        <v>15533.4007252329</v>
      </c>
      <c r="P53" s="36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蓄力技",$B$21,0))*(1+$BW53)</f>
        <v>13696.9365182782</v>
      </c>
      <c r="Q53" s="37">
        <v>1</v>
      </c>
      <c r="R53" s="38" t="s">
        <v>160</v>
      </c>
      <c r="S53" s="38" t="s">
        <v>104</v>
      </c>
      <c r="T53" s="38" t="s">
        <v>139</v>
      </c>
      <c r="U53" s="38" t="s">
        <v>79</v>
      </c>
      <c r="V53" s="38" t="s">
        <v>79</v>
      </c>
      <c r="W53" s="38" t="s">
        <v>188</v>
      </c>
      <c r="X53" s="38" t="s">
        <v>79</v>
      </c>
      <c r="Y53" s="38" t="s">
        <v>173</v>
      </c>
      <c r="Z53" s="38" t="s">
        <v>79</v>
      </c>
      <c r="AA53" s="38" t="s">
        <v>79</v>
      </c>
      <c r="AB53" s="38" t="s">
        <v>79</v>
      </c>
      <c r="AC53" s="38" t="s">
        <v>79</v>
      </c>
      <c r="AD53" s="38" t="s">
        <v>79</v>
      </c>
      <c r="AE53" s="38" t="s">
        <v>79</v>
      </c>
      <c r="AF53" s="38" t="s">
        <v>84</v>
      </c>
      <c r="AG53" s="38" t="s">
        <v>85</v>
      </c>
      <c r="AH53" s="38" t="s">
        <v>79</v>
      </c>
      <c r="AI53" s="38" t="s">
        <v>79</v>
      </c>
      <c r="AJ53" s="38" t="s">
        <v>79</v>
      </c>
      <c r="AK53" s="38" t="s">
        <v>79</v>
      </c>
      <c r="AL53" s="38" t="s">
        <v>79</v>
      </c>
      <c r="AM53" t="str">
        <f>VLOOKUP($R53,武学奇术!$A:$ZZ,25,FALSE)</f>
        <v>拳甲</v>
      </c>
      <c r="AN53" s="24">
        <f>VLOOKUP($R53,武学奇术!$A:$ZZ,26,FALSE)</f>
        <v>1.1005</v>
      </c>
      <c r="AO53" s="25">
        <f>VLOOKUP($R53,武学奇术!$A:$ZZ,27,FALSE)*(1+IF(OR($AM53=$F$4,$AM53=$F$5),$B$22,0))</f>
        <v>457.5</v>
      </c>
      <c r="AP53" s="24">
        <f>VLOOKUP($R53,武学奇术!$A:$ZZ,28,FALSE)</f>
        <v>1.6507</v>
      </c>
      <c r="AQ53" s="25">
        <f>VLOOKUP($R53,武学奇术!$A:$ZZ,29,FALSE)*(1+IF(OR($AM53=$F$4,$AM53=$F$5),$B$22,0))</f>
        <v>247.5</v>
      </c>
      <c r="AR53" s="24" cm="1">
        <f t="array" ref="AR53">$G$3+IFERROR(VLOOKUP($AM53,$F$4:$G$7,2,FALSE),0)+VLOOKUP($R53,武学奇术!$A:$ZZ,2,FALSE)+SUM(_xlfn.XLOOKUP($S53:$AL53,增益!$A:$A,增益!$B:$B,0))</f>
        <v>0.3241</v>
      </c>
      <c r="AS53" s="24" cm="1">
        <f t="array" ref="AS53">VLOOKUP($R53,武学奇术!$A:$ZZ,5,FALSE)+SUM(_xlfn.XLOOKUP($S53:$AL53,增益!$A:$A,增益!$E:$E,0))</f>
        <v>0</v>
      </c>
      <c r="AT53" cm="1">
        <f t="array" ref="AT53">$D$10*(1+$AS53)+VLOOKUP($R53,武学奇术!$A:$ZZ,3,FALSE)+SUM(_xlfn.XLOOKUP($S53:$AL53,增益!$A:$A,增益!$C:$C,0))-$I$2</f>
        <v>3839.102</v>
      </c>
      <c r="AU53" cm="1">
        <f t="array" ref="AU53">$E$10*(1+$AS53)+VLOOKUP($R53,武学奇术!$A:$ZZ,4,FALSE)+SUM(_xlfn.XLOOKUP($S53:$AL53,增益!$A:$A,增益!$D:$D,0))-$I$2</f>
        <v>3839.102</v>
      </c>
      <c r="AV53" s="30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0.342</v>
      </c>
      <c r="AW53" s="30" cm="1">
        <f t="array" ref="AW53">$G$10+VLOOKUP($R53,武学奇术!$A:$ZZ,7,FALSE)+SUM(_xlfn.XLOOKUP($S53:$AL53,增益!$A:$A,增益!$G:$G,0))</f>
        <v>0.09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0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0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0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0" cm="1">
        <f t="array" ref="BF53">$G$12+VLOOKUP($R53,武学奇术!$A:$ZZ,12,FALSE)+SUM(_xlfn.XLOOKUP($S53:$AL53,增益!$A:$A,增益!$L:$L,0))</f>
        <v>0</v>
      </c>
      <c r="BG53">
        <f t="shared" si="5"/>
        <v>0</v>
      </c>
      <c r="BH53">
        <f t="shared" si="6"/>
        <v>0</v>
      </c>
      <c r="BI53" s="30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-0.3</v>
      </c>
      <c r="BJ53" s="30" cm="1">
        <f t="array" ref="BJ53">$G$13+VLOOKUP($R53,武学奇术!$A:$ZZ,14,FALSE)+SUM(_xlfn.XLOOKUP($S53:$AL53,增益!$A:$A,增益!$N:$N,0))</f>
        <v>0</v>
      </c>
      <c r="BK53">
        <f t="shared" si="7"/>
        <v>605.472</v>
      </c>
      <c r="BL53">
        <f t="shared" si="8"/>
        <v>1725.468</v>
      </c>
      <c r="BM53" s="30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0</v>
      </c>
      <c r="BN53" s="30" cm="1">
        <f t="array" ref="BN53">$G$14+VLOOKUP($R53,武学奇术!$A:$ZZ,16,FALSE)+SUM(_xlfn.XLOOKUP($S53:$AL53,增益!$A:$A,增益!$P:$P,0))</f>
        <v>0.24</v>
      </c>
      <c r="BO53" s="24">
        <f>MIN(IF(VLOOKUP($R53,武学奇术!$A:$ZZ,23,FALSE)=1,100%,$B$8),100%)</f>
        <v>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+MIN(IF(VLOOKUP($R53,武学奇术!$A:$ZZ,32,FALSE)=1,IF(VLOOKUP($R53,武学奇术!$A:$ZZ,24,FALSE)=1,100%,MIN(40%,$B$10+VLOOKUP($R53,武学奇术!$A:$ZZ,19,FALSE)+SUM(_xlfn.XLOOKUP($S53:$AL53,增益!$A:$A,增益!$S:$S,0)))+$B$12+SUM(_xlfn.XLOOKUP($S53:$AL53,增益!$A:$A,增益!$V:$V,0))),0),12%)</f>
        <v>0.9036</v>
      </c>
      <c r="BQ53" s="24" cm="1">
        <f t="array" ref="BQ53">1+$B$13+VLOOKUP($R53,武学奇术!$A:$ZZ,18,FALSE)+SUM(_xlfn.XLOOKUP($S53:$AL53,增益!$A:$A,增益!$R:$R,0))</f>
        <v>1.89</v>
      </c>
      <c r="BR53" s="24" cm="1">
        <f t="array" ref="BR53">MAX(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-IF(VLOOKUP($R53,武学奇术!$A:$ZZ,32,FALSE)=1,12%,0),0)</f>
        <v>0.0929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0.9036</v>
      </c>
      <c r="BU53" s="24">
        <f t="shared" si="10"/>
        <v>0.00350000000000006</v>
      </c>
      <c r="BV53" s="24">
        <f>IF(VLOOKUP($R53,武学奇术!$A:$ZZ,22,FALSE)=1,0,(1-$BO53))*(1-$BR53)</f>
        <v>0</v>
      </c>
      <c r="BW53" s="24" cm="1">
        <f t="array" ref="BW53">SUM(_xlfn.XLOOKUP($S53:$AL53,增益!$A:$A,增益!$W:$W,0))+$I$5</f>
        <v>0.21</v>
      </c>
      <c r="BX53" s="24" cm="1">
        <f t="array" ref="BX53">SUM(_xlfn.XLOOKUP($S53:$AL53,增益!$A:$A,增益!$X:$X,0))</f>
        <v>0</v>
      </c>
    </row>
    <row r="54" spans="1:76">
      <c r="A54" s="4"/>
      <c r="B54" s="4"/>
      <c r="K54">
        <f>$L54*VLOOKUP($R54,武学奇术!$A:$ZZ,31,FALSE)</f>
        <v>138602.44005909</v>
      </c>
      <c r="L54" s="36">
        <f t="shared" si="13"/>
        <v>106617.261583916</v>
      </c>
      <c r="M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BQ54*$Q54*(1+IF(VLOOKUP($R54,武学奇术!$A:$ZZ,30,FALSE)="蓄力技",$B$21,0))*(1+$BW54)</f>
        <v>110061.173960671</v>
      </c>
      <c r="N54" s="36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蓄力技",$B$21,0))*(1+$BW54)</f>
        <v>75243.1425155141</v>
      </c>
      <c r="O54" s="36">
        <f>((($AT54+($AU54-$AT54)*IF(VLOOKUP($R54,武学奇术!$A:$ZZ,31,FALSE)=1,$F$18,0.5))*$AN54+$AO54)*(1+$AV54)*(1+$AW54)+(($AY54+($AZ54-$AY54)*IF(VLOOKUP($R54,武学奇术!$A:$ZZ,31,FALSE)=1,$F$18,0.5))*IF($G$1="鸣金",$AP54,$AN54)+IF($G$1="鸣金",$AQ54*1.5,0))*(1+$BA54)*(1+$BB54)+(($BC54+($BD54-$BC54)*IF(VLOOKUP($R54,武学奇术!$A:$ZZ,31,FALSE)=1,$F$18,0.5))*IF($G$1="裂石",$AP54,$AN54)+IF($G$1="裂石",$AQ54*1.5,0))*(1+$BE54)*(1+$BF54)+(($BG54+($BH54-$BG54)*IF(VLOOKUP($R54,武学奇术!$A:$ZZ,31,FALSE)=1,$F$18,0.5))*IF($G$1="牵丝",$AP54,$AN54)+IF($G$1="牵丝",$AQ54*1.5,0))*(1+$BI54)*(1+$BJ54)+(($BK54+($BL54-$BK54)*IF(VLOOKUP($R54,武学奇术!$A:$ZZ,31,FALSE)=1,$F$18,0.5))*IF($G$1="破竹",$AP54,$AN54)+IF($G$1="破竹",$AQ54*1.5,0))*(1+$BM54)*(1+$BN54))*(1+$AR54)*$Q54*(1+IF(VLOOKUP($R54,武学奇术!$A:$ZZ,30,FALSE)="蓄力技",$B$21,0))*(1+$BW54)</f>
        <v>50256.2438176581</v>
      </c>
      <c r="P54" s="36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蓄力技",$B$21,0))*(1+$BW54)</f>
        <v>44776.8265127132</v>
      </c>
      <c r="Q54" s="37">
        <v>1</v>
      </c>
      <c r="R54" s="38" t="s">
        <v>119</v>
      </c>
      <c r="S54" s="38" t="s">
        <v>104</v>
      </c>
      <c r="T54" s="38" t="s">
        <v>139</v>
      </c>
      <c r="U54" s="38" t="s">
        <v>79</v>
      </c>
      <c r="V54" s="38" t="s">
        <v>79</v>
      </c>
      <c r="W54" s="38" t="s">
        <v>188</v>
      </c>
      <c r="X54" s="38" t="s">
        <v>79</v>
      </c>
      <c r="Y54" s="38" t="s">
        <v>173</v>
      </c>
      <c r="Z54" s="38" t="s">
        <v>79</v>
      </c>
      <c r="AA54" s="38" t="s">
        <v>79</v>
      </c>
      <c r="AB54" s="38" t="s">
        <v>79</v>
      </c>
      <c r="AC54" s="38" t="s">
        <v>79</v>
      </c>
      <c r="AD54" s="38" t="s">
        <v>79</v>
      </c>
      <c r="AE54" s="38" t="s">
        <v>79</v>
      </c>
      <c r="AF54" s="38" t="s">
        <v>84</v>
      </c>
      <c r="AG54" s="38" t="s">
        <v>85</v>
      </c>
      <c r="AH54" s="38" t="s">
        <v>79</v>
      </c>
      <c r="AI54" s="38" t="s">
        <v>79</v>
      </c>
      <c r="AJ54" s="38" t="s">
        <v>79</v>
      </c>
      <c r="AK54" s="38" t="s">
        <v>79</v>
      </c>
      <c r="AL54" s="38" t="s">
        <v>79</v>
      </c>
      <c r="AM54" t="str">
        <f>VLOOKUP($R54,武学奇术!$A:$ZZ,25,FALSE)</f>
        <v>拳甲</v>
      </c>
      <c r="AN54" s="24">
        <f>VLOOKUP($R54,武学奇术!$A:$ZZ,26,FALSE)</f>
        <v>2.91176</v>
      </c>
      <c r="AO54" s="25">
        <f>VLOOKUP($R54,武学奇术!$A:$ZZ,27,FALSE)*(1+IF(OR($AM54=$F$4,$AM54=$F$5),$B$22,0))</f>
        <v>1208.7</v>
      </c>
      <c r="AP54" s="24">
        <f>VLOOKUP($R54,武学奇术!$A:$ZZ,28,FALSE)</f>
        <v>3.89844</v>
      </c>
      <c r="AQ54" s="25">
        <f>VLOOKUP($R54,武学奇术!$A:$ZZ,29,FALSE)*(1+IF(OR($AM54=$F$4,$AM54=$F$5),$B$22,0))</f>
        <v>650.25</v>
      </c>
      <c r="AR54" s="24" cm="1">
        <f t="array" ref="AR54">$G$3+IFERROR(VLOOKUP($AM54,$F$4:$G$7,2,FALSE),0)+VLOOKUP($R54,武学奇术!$A:$ZZ,2,FALSE)+SUM(_xlfn.XLOOKUP($S54:$AL54,增益!$A:$A,增益!$B:$B,0))</f>
        <v>0.6241</v>
      </c>
      <c r="AS54" s="24" cm="1">
        <f t="array" ref="AS54">VLOOKUP($R54,武学奇术!$A:$ZZ,5,FALSE)+SUM(_xlfn.XLOOKUP($S54:$AL54,增益!$A:$A,增益!$E:$E,0))</f>
        <v>0</v>
      </c>
      <c r="AT54" cm="1">
        <f t="array" ref="AT54">$D$10*(1+$AS54)+VLOOKUP($R54,武学奇术!$A:$ZZ,3,FALSE)+SUM(_xlfn.XLOOKUP($S54:$AL54,增益!$A:$A,增益!$C:$C,0))-$I$2</f>
        <v>3839.102</v>
      </c>
      <c r="AU54" cm="1">
        <f t="array" ref="AU54">$E$10*(1+$AS54)+VLOOKUP($R54,武学奇术!$A:$ZZ,4,FALSE)+SUM(_xlfn.XLOOKUP($S54:$AL54,增益!$A:$A,增益!$D:$D,0))-$I$2</f>
        <v>3839.102</v>
      </c>
      <c r="AV54" s="30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0.372</v>
      </c>
      <c r="AW54" s="30" cm="1">
        <f t="array" ref="AW54">$G$10+VLOOKUP($R54,武学奇术!$A:$ZZ,7,FALSE)+SUM(_xlfn.XLOOKUP($S54:$AL54,增益!$A:$A,增益!$G:$G,0))</f>
        <v>0.09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0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-0.24</v>
      </c>
      <c r="BB54" s="30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0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-0.24</v>
      </c>
      <c r="BF54" s="30" cm="1">
        <f t="array" ref="BF54">$G$12+VLOOKUP($R54,武学奇术!$A:$ZZ,12,FALSE)+SUM(_xlfn.XLOOKUP($S54:$AL54,增益!$A:$A,增益!$L:$L,0))</f>
        <v>0</v>
      </c>
      <c r="BG54">
        <f t="shared" si="5"/>
        <v>0</v>
      </c>
      <c r="BH54">
        <f t="shared" si="6"/>
        <v>0</v>
      </c>
      <c r="BI54" s="30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-0.24</v>
      </c>
      <c r="BJ54" s="30" cm="1">
        <f t="array" ref="BJ54">$G$13+VLOOKUP($R54,武学奇术!$A:$ZZ,14,FALSE)+SUM(_xlfn.XLOOKUP($S54:$AL54,增益!$A:$A,增益!$N:$N,0))</f>
        <v>0</v>
      </c>
      <c r="BK54">
        <f t="shared" si="7"/>
        <v>605.472</v>
      </c>
      <c r="BL54">
        <f t="shared" si="8"/>
        <v>1725.468</v>
      </c>
      <c r="BM54" s="30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0.03</v>
      </c>
      <c r="BN54" s="30" cm="1">
        <f t="array" ref="BN54">$G$14+VLOOKUP($R54,武学奇术!$A:$ZZ,16,FALSE)+SUM(_xlfn.XLOOKUP($S54:$AL54,增益!$A:$A,增益!$P:$P,0))</f>
        <v>0.24</v>
      </c>
      <c r="BO54" s="24">
        <f>MIN(IF(VLOOKUP($R54,武学奇术!$A:$ZZ,23,FALSE)=1,100%,$B$8),100%)</f>
        <v>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+MIN(IF(VLOOKUP($R54,武学奇术!$A:$ZZ,32,FALSE)=1,IF(VLOOKUP($R54,武学奇术!$A:$ZZ,24,FALSE)=1,100%,MIN(40%,$B$10+VLOOKUP($R54,武学奇术!$A:$ZZ,19,FALSE)+SUM(_xlfn.XLOOKUP($S54:$AL54,增益!$A:$A,增益!$S:$S,0)))+$B$12+SUM(_xlfn.XLOOKUP($S54:$AL54,增益!$A:$A,增益!$V:$V,0))),0),12%)</f>
        <v>0.9036</v>
      </c>
      <c r="BQ54" s="24" cm="1">
        <f t="array" ref="BQ54">1+$B$13+VLOOKUP($R54,武学奇术!$A:$ZZ,18,FALSE)+SUM(_xlfn.XLOOKUP($S54:$AL54,增益!$A:$A,增益!$R:$R,0))</f>
        <v>2.19</v>
      </c>
      <c r="BR54" s="24" cm="1">
        <f t="array" ref="BR54">MAX(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-IF(VLOOKUP($R54,武学奇术!$A:$ZZ,32,FALSE)=1,12%,0),0)</f>
        <v>0.0929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0.9036</v>
      </c>
      <c r="BU54" s="24">
        <f t="shared" si="10"/>
        <v>0.00350000000000006</v>
      </c>
      <c r="BV54" s="24">
        <f>IF(VLOOKUP($R54,武学奇术!$A:$ZZ,22,FALSE)=1,0,(1-$BO54))*(1-$BR54)</f>
        <v>0</v>
      </c>
      <c r="BW54" s="24" cm="1">
        <f t="array" ref="BW54">SUM(_xlfn.XLOOKUP($S54:$AL54,增益!$A:$A,增益!$W:$W,0))+$I$5</f>
        <v>0.21</v>
      </c>
      <c r="BX54" s="24" cm="1">
        <f t="array" ref="BX54">SUM(_xlfn.XLOOKUP($S54:$AL54,增益!$A:$A,增益!$X:$X,0))</f>
        <v>0</v>
      </c>
    </row>
    <row r="55" spans="1:76">
      <c r="A55" s="4"/>
      <c r="B55" s="91"/>
      <c r="F55" s="4"/>
      <c r="G55" s="91"/>
      <c r="K55">
        <f>$L55*VLOOKUP($R55,武学奇术!$A:$ZZ,31,FALSE)</f>
        <v>33673.7501612904</v>
      </c>
      <c r="L55" s="36">
        <f t="shared" si="13"/>
        <v>33673.7501612904</v>
      </c>
      <c r="M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BQ55*$Q55*(1+IF(VLOOKUP($R55,武学奇术!$A:$ZZ,30,FALSE)="蓄力技",$B$21,0))*(1+$BW55)</f>
        <v>34373.2959961718</v>
      </c>
      <c r="N55" s="36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蓄力技",$B$21,0))*(1+$BW55)</f>
        <v>27453.0209613004</v>
      </c>
      <c r="O55" s="36">
        <f>((($AT55+($AU55-$AT55)*IF(VLOOKUP($R55,武学奇术!$A:$ZZ,31,FALSE)=1,$F$18,0.5))*$AN55+$AO55)*(1+$AV55)*(1+$AW55)+(($AY55+($AZ55-$AY55)*IF(VLOOKUP($R55,武学奇术!$A:$ZZ,31,FALSE)=1,$F$18,0.5))*IF($G$1="鸣金",$AP55,$AN55)+IF($G$1="鸣金",$AQ55*1.5,0))*(1+$BA55)*(1+$BB55)+(($BC55+($BD55-$BC55)*IF(VLOOKUP($R55,武学奇术!$A:$ZZ,31,FALSE)=1,$F$18,0.5))*IF($G$1="裂石",$AP55,$AN55)+IF($G$1="裂石",$AQ55*1.5,0))*(1+$BE55)*(1+$BF55)+(($BG55+($BH55-$BG55)*IF(VLOOKUP($R55,武学奇术!$A:$ZZ,31,FALSE)=1,$F$18,0.5))*IF($G$1="牵丝",$AP55,$AN55)+IF($G$1="牵丝",$AQ55*1.5,0))*(1+$BI55)*(1+$BJ55)+(($BK55+($BL55-$BK55)*IF(VLOOKUP($R55,武学奇术!$A:$ZZ,31,FALSE)=1,$F$18,0.5))*IF($G$1="破竹",$AP55,$AN55)+IF($G$1="破竹",$AQ55*1.5,0))*(1+$BM55)*(1+$BN55))*(1+$AR55)*$Q55*(1+IF(VLOOKUP($R55,武学奇术!$A:$ZZ,30,FALSE)="蓄力技",$B$21,0))*(1+$BW55)</f>
        <v>18186.9290985036</v>
      </c>
      <c r="P55" s="36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蓄力技",$B$21,0))*(1+$BW55)</f>
        <v>16038.2871145625</v>
      </c>
      <c r="Q55" s="37">
        <v>1</v>
      </c>
      <c r="R55" s="38" t="s">
        <v>122</v>
      </c>
      <c r="S55" s="38" t="s">
        <v>104</v>
      </c>
      <c r="T55" s="38" t="s">
        <v>139</v>
      </c>
      <c r="U55" s="38" t="s">
        <v>79</v>
      </c>
      <c r="V55" s="38" t="s">
        <v>79</v>
      </c>
      <c r="W55" s="38" t="s">
        <v>188</v>
      </c>
      <c r="X55" s="38" t="s">
        <v>79</v>
      </c>
      <c r="Y55" s="38" t="s">
        <v>173</v>
      </c>
      <c r="Z55" s="38" t="s">
        <v>79</v>
      </c>
      <c r="AA55" s="38" t="s">
        <v>79</v>
      </c>
      <c r="AB55" s="38" t="s">
        <v>79</v>
      </c>
      <c r="AC55" s="38" t="s">
        <v>79</v>
      </c>
      <c r="AD55" s="38" t="s">
        <v>79</v>
      </c>
      <c r="AE55" s="38" t="s">
        <v>79</v>
      </c>
      <c r="AF55" s="38" t="s">
        <v>84</v>
      </c>
      <c r="AG55" s="38" t="s">
        <v>85</v>
      </c>
      <c r="AH55" s="38" t="s">
        <v>79</v>
      </c>
      <c r="AI55" s="38" t="s">
        <v>79</v>
      </c>
      <c r="AJ55" s="38" t="s">
        <v>79</v>
      </c>
      <c r="AK55" s="38" t="s">
        <v>79</v>
      </c>
      <c r="AL55" s="38" t="s">
        <v>79</v>
      </c>
      <c r="AM55" t="str">
        <f>VLOOKUP($R55,武学奇术!$A:$ZZ,25,FALSE)</f>
        <v>拳甲</v>
      </c>
      <c r="AN55" s="24">
        <f>VLOOKUP($R55,武学奇术!$A:$ZZ,26,FALSE)</f>
        <v>1.2876</v>
      </c>
      <c r="AO55" s="25">
        <f>VLOOKUP($R55,武学奇术!$A:$ZZ,27,FALSE)*(1+IF(OR($AM55=$F$4,$AM55=$F$5),$B$22,0))</f>
        <v>537</v>
      </c>
      <c r="AP55" s="24">
        <f>VLOOKUP($R55,武学奇术!$A:$ZZ,28,FALSE)</f>
        <v>1.9313</v>
      </c>
      <c r="AQ55" s="25">
        <f>VLOOKUP($R55,武学奇术!$A:$ZZ,29,FALSE)*(1+IF(OR($AM55=$F$4,$AM55=$F$5),$B$22,0))</f>
        <v>292.5</v>
      </c>
      <c r="AR55" s="24" cm="1">
        <f t="array" ref="AR55">$G$3+IFERROR(VLOOKUP($AM55,$F$4:$G$7,2,FALSE),0)+VLOOKUP($R55,武学奇术!$A:$ZZ,2,FALSE)+SUM(_xlfn.XLOOKUP($S55:$AL55,增益!$A:$A,增益!$B:$B,0))</f>
        <v>0.3241</v>
      </c>
      <c r="AS55" s="24" cm="1">
        <f t="array" ref="AS55">VLOOKUP($R55,武学奇术!$A:$ZZ,5,FALSE)+SUM(_xlfn.XLOOKUP($S55:$AL55,增益!$A:$A,增益!$E:$E,0))</f>
        <v>0</v>
      </c>
      <c r="AT55" cm="1">
        <f t="array" ref="AT55">$D$10*(1+$AS55)+VLOOKUP($R55,武学奇术!$A:$ZZ,3,FALSE)+SUM(_xlfn.XLOOKUP($S55:$AL55,增益!$A:$A,增益!$C:$C,0))-$I$2</f>
        <v>3839.102</v>
      </c>
      <c r="AU55" cm="1">
        <f t="array" ref="AU55">$E$10*(1+$AS55)+VLOOKUP($R55,武学奇术!$A:$ZZ,4,FALSE)+SUM(_xlfn.XLOOKUP($S55:$AL55,增益!$A:$A,增益!$D:$D,0))-$I$2</f>
        <v>3839.102</v>
      </c>
      <c r="AV55" s="30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0.342</v>
      </c>
      <c r="AW55" s="30" cm="1">
        <f t="array" ref="AW55">$G$10+VLOOKUP($R55,武学奇术!$A:$ZZ,7,FALSE)+SUM(_xlfn.XLOOKUP($S55:$AL55,增益!$A:$A,增益!$G:$G,0))</f>
        <v>0.09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0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0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0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0" cm="1">
        <f t="array" ref="BF55">$G$12+VLOOKUP($R55,武学奇术!$A:$ZZ,12,FALSE)+SUM(_xlfn.XLOOKUP($S55:$AL55,增益!$A:$A,增益!$L:$L,0))</f>
        <v>0</v>
      </c>
      <c r="BG55">
        <f t="shared" si="5"/>
        <v>0</v>
      </c>
      <c r="BH55">
        <f t="shared" si="6"/>
        <v>0</v>
      </c>
      <c r="BI55" s="30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-0.3</v>
      </c>
      <c r="BJ55" s="30" cm="1">
        <f t="array" ref="BJ55">$G$13+VLOOKUP($R55,武学奇术!$A:$ZZ,14,FALSE)+SUM(_xlfn.XLOOKUP($S55:$AL55,增益!$A:$A,增益!$N:$N,0))</f>
        <v>0</v>
      </c>
      <c r="BK55">
        <f t="shared" si="7"/>
        <v>605.472</v>
      </c>
      <c r="BL55">
        <f t="shared" si="8"/>
        <v>1725.468</v>
      </c>
      <c r="BM55" s="30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0</v>
      </c>
      <c r="BN55" s="30" cm="1">
        <f t="array" ref="BN55">$G$14+VLOOKUP($R55,武学奇术!$A:$ZZ,16,FALSE)+SUM(_xlfn.XLOOKUP($S55:$AL55,增益!$A:$A,增益!$P:$P,0))</f>
        <v>0.24</v>
      </c>
      <c r="BO55" s="24">
        <f>MIN(IF(VLOOKUP($R55,武学奇术!$A:$ZZ,23,FALSE)=1,100%,$B$8),100%)</f>
        <v>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+MIN(IF(VLOOKUP($R55,武学奇术!$A:$ZZ,32,FALSE)=1,IF(VLOOKUP($R55,武学奇术!$A:$ZZ,24,FALSE)=1,100%,MIN(40%,$B$10+VLOOKUP($R55,武学奇术!$A:$ZZ,19,FALSE)+SUM(_xlfn.XLOOKUP($S55:$AL55,增益!$A:$A,增益!$S:$S,0)))+$B$12+SUM(_xlfn.XLOOKUP($S55:$AL55,增益!$A:$A,增益!$V:$V,0))),0),12%)</f>
        <v>0.9036</v>
      </c>
      <c r="BQ55" s="24" cm="1">
        <f t="array" ref="BQ55">1+$B$13+VLOOKUP($R55,武学奇术!$A:$ZZ,18,FALSE)+SUM(_xlfn.XLOOKUP($S55:$AL55,增益!$A:$A,增益!$R:$R,0))</f>
        <v>1.89</v>
      </c>
      <c r="BR55" s="24" cm="1">
        <f t="array" ref="BR55">MAX(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-IF(VLOOKUP($R55,武学奇术!$A:$ZZ,32,FALSE)=1,12%,0),0)</f>
        <v>0.0929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0.9036</v>
      </c>
      <c r="BU55" s="24">
        <f t="shared" si="10"/>
        <v>0.00350000000000006</v>
      </c>
      <c r="BV55" s="24">
        <f>IF(VLOOKUP($R55,武学奇术!$A:$ZZ,22,FALSE)=1,0,(1-$BO55))*(1-$BR55)</f>
        <v>0</v>
      </c>
      <c r="BW55" s="24" cm="1">
        <f t="array" ref="BW55">SUM(_xlfn.XLOOKUP($S55:$AL55,增益!$A:$A,增益!$W:$W,0))+$I$5</f>
        <v>0.21</v>
      </c>
      <c r="BX55" s="24" cm="1">
        <f t="array" ref="BX55">SUM(_xlfn.XLOOKUP($S55:$AL55,增益!$A:$A,增益!$X:$X,0))</f>
        <v>0</v>
      </c>
    </row>
    <row r="56" spans="1:76">
      <c r="K56">
        <f>$L56*VLOOKUP($R56,武学奇术!$A:$ZZ,31,FALSE)</f>
        <v>114220.944543005</v>
      </c>
      <c r="L56" s="36">
        <f t="shared" si="13"/>
        <v>87862.2650330805</v>
      </c>
      <c r="M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BQ56*$Q56*(1+IF(VLOOKUP($R56,武学奇术!$A:$ZZ,30,FALSE)="蓄力技",$B$21,0))*(1+$BW56)</f>
        <v>90563.7760408724</v>
      </c>
      <c r="N56" s="36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蓄力技",$B$21,0))*(1+$BW56)</f>
        <v>63338.0018748377</v>
      </c>
      <c r="O56" s="36">
        <f>((($AT56+($AU56-$AT56)*IF(VLOOKUP($R56,武学奇术!$A:$ZZ,31,FALSE)=1,$F$18,0.5))*$AN56+$AO56)*(1+$AV56)*(1+$AW56)+(($AY56+($AZ56-$AY56)*IF(VLOOKUP($R56,武学奇术!$A:$ZZ,31,FALSE)=1,$F$18,0.5))*IF($G$1="鸣金",$AP56,$AN56)+IF($G$1="鸣金",$AQ56*1.5,0))*(1+$BA56)*(1+$BB56)+(($BC56+($BD56-$BC56)*IF(VLOOKUP($R56,武学奇术!$A:$ZZ,31,FALSE)=1,$F$18,0.5))*IF($G$1="裂石",$AP56,$AN56)+IF($G$1="裂石",$AQ56*1.5,0))*(1+$BE56)*(1+$BF56)+(($BG56+($BH56-$BG56)*IF(VLOOKUP($R56,武学奇术!$A:$ZZ,31,FALSE)=1,$F$18,0.5))*IF($G$1="牵丝",$AP56,$AN56)+IF($G$1="牵丝",$AQ56*1.5,0))*(1+$BI56)*(1+$BJ56)+(($BK56+($BL56-$BK56)*IF(VLOOKUP($R56,武学奇术!$A:$ZZ,31,FALSE)=1,$F$18,0.5))*IF($G$1="破竹",$AP56,$AN56)+IF($G$1="破竹",$AQ56*1.5,0))*(1+$BM56)*(1+$BN56))*(1+$AR56)*$Q56*(1+IF(VLOOKUP($R56,武学奇术!$A:$ZZ,30,FALSE)="蓄力技",$B$21,0))*(1+$BW56)</f>
        <v>41353.3223930924</v>
      </c>
      <c r="P56" s="36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蓄力技",$B$21,0))*(1+$BW56)</f>
        <v>35789.6063603791</v>
      </c>
      <c r="Q56" s="37">
        <v>1</v>
      </c>
      <c r="R56" s="38" t="s">
        <v>124</v>
      </c>
      <c r="S56" s="38" t="s">
        <v>104</v>
      </c>
      <c r="T56" s="38" t="s">
        <v>139</v>
      </c>
      <c r="U56" s="38" t="s">
        <v>79</v>
      </c>
      <c r="V56" s="38" t="s">
        <v>79</v>
      </c>
      <c r="W56" s="38" t="s">
        <v>188</v>
      </c>
      <c r="X56" s="38" t="s">
        <v>79</v>
      </c>
      <c r="Y56" s="38" t="s">
        <v>173</v>
      </c>
      <c r="Z56" s="38" t="s">
        <v>79</v>
      </c>
      <c r="AA56" s="38" t="s">
        <v>79</v>
      </c>
      <c r="AB56" s="38" t="s">
        <v>79</v>
      </c>
      <c r="AC56" s="38" t="s">
        <v>79</v>
      </c>
      <c r="AD56" s="38" t="s">
        <v>79</v>
      </c>
      <c r="AE56" s="38" t="s">
        <v>79</v>
      </c>
      <c r="AF56" s="38" t="s">
        <v>84</v>
      </c>
      <c r="AG56" s="38" t="s">
        <v>85</v>
      </c>
      <c r="AH56" s="38" t="s">
        <v>79</v>
      </c>
      <c r="AI56" s="38" t="s">
        <v>79</v>
      </c>
      <c r="AJ56" s="38" t="s">
        <v>79</v>
      </c>
      <c r="AK56" s="38" t="s">
        <v>79</v>
      </c>
      <c r="AL56" s="38" t="s">
        <v>79</v>
      </c>
      <c r="AM56" t="str">
        <f>VLOOKUP($R56,武学奇术!$A:$ZZ,25,FALSE)</f>
        <v>拳甲</v>
      </c>
      <c r="AN56" s="24">
        <f>VLOOKUP($R56,武学奇术!$A:$ZZ,26,FALSE)</f>
        <v>2.638944</v>
      </c>
      <c r="AO56" s="25">
        <f>VLOOKUP($R56,武学奇术!$A:$ZZ,27,FALSE)*(1+IF(OR($AM56=$F$4,$AM56=$F$5),$B$22,0))</f>
        <v>0</v>
      </c>
      <c r="AP56" s="24">
        <f>VLOOKUP($R56,武学奇术!$A:$ZZ,28,FALSE)</f>
        <v>3.958416</v>
      </c>
      <c r="AQ56" s="25">
        <f>VLOOKUP($R56,武学奇术!$A:$ZZ,29,FALSE)*(1+IF(OR($AM56=$F$4,$AM56=$F$5),$B$22,0))</f>
        <v>0</v>
      </c>
      <c r="AR56" s="24" cm="1">
        <f t="array" ref="AR56">$G$3+IFERROR(VLOOKUP($AM56,$F$4:$G$7,2,FALSE),0)+VLOOKUP($R56,武学奇术!$A:$ZZ,2,FALSE)+SUM(_xlfn.XLOOKUP($S56:$AL56,增益!$A:$A,增益!$B:$B,0))</f>
        <v>0.6241</v>
      </c>
      <c r="AS56" s="24" cm="1">
        <f t="array" ref="AS56">VLOOKUP($R56,武学奇术!$A:$ZZ,5,FALSE)+SUM(_xlfn.XLOOKUP($S56:$AL56,增益!$A:$A,增益!$E:$E,0))</f>
        <v>0</v>
      </c>
      <c r="AT56" cm="1">
        <f t="array" ref="AT56">$D$10*(1+$AS56)+VLOOKUP($R56,武学奇术!$A:$ZZ,3,FALSE)+SUM(_xlfn.XLOOKUP($S56:$AL56,增益!$A:$A,增益!$C:$C,0))-$I$2</f>
        <v>3839.102</v>
      </c>
      <c r="AU56" cm="1">
        <f t="array" ref="AU56">$E$10*(1+$AS56)+VLOOKUP($R56,武学奇术!$A:$ZZ,4,FALSE)+SUM(_xlfn.XLOOKUP($S56:$AL56,增益!$A:$A,增益!$D:$D,0))-$I$2</f>
        <v>3839.102</v>
      </c>
      <c r="AV56" s="30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0.372</v>
      </c>
      <c r="AW56" s="30" cm="1">
        <f t="array" ref="AW56">$G$10+VLOOKUP($R56,武学奇术!$A:$ZZ,7,FALSE)+SUM(_xlfn.XLOOKUP($S56:$AL56,增益!$A:$A,增益!$G:$G,0))</f>
        <v>0.09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0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-0.24</v>
      </c>
      <c r="BB56" s="30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0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-0.24</v>
      </c>
      <c r="BF56" s="30" cm="1">
        <f t="array" ref="BF56">$G$12+VLOOKUP($R56,武学奇术!$A:$ZZ,12,FALSE)+SUM(_xlfn.XLOOKUP($S56:$AL56,增益!$A:$A,增益!$L:$L,0))</f>
        <v>0</v>
      </c>
      <c r="BG56">
        <f t="shared" si="5"/>
        <v>0</v>
      </c>
      <c r="BH56">
        <f t="shared" si="6"/>
        <v>0</v>
      </c>
      <c r="BI56" s="30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-0.24</v>
      </c>
      <c r="BJ56" s="30" cm="1">
        <f t="array" ref="BJ56">$G$13+VLOOKUP($R56,武学奇术!$A:$ZZ,14,FALSE)+SUM(_xlfn.XLOOKUP($S56:$AL56,增益!$A:$A,增益!$N:$N,0))</f>
        <v>0</v>
      </c>
      <c r="BK56">
        <f t="shared" si="7"/>
        <v>605.472</v>
      </c>
      <c r="BL56">
        <f t="shared" si="8"/>
        <v>1725.468</v>
      </c>
      <c r="BM56" s="30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0.03</v>
      </c>
      <c r="BN56" s="30" cm="1">
        <f t="array" ref="BN56">$G$14+VLOOKUP($R56,武学奇术!$A:$ZZ,16,FALSE)+SUM(_xlfn.XLOOKUP($S56:$AL56,增益!$A:$A,增益!$P:$P,0))</f>
        <v>0.24</v>
      </c>
      <c r="BO56" s="24">
        <f>MIN(IF(VLOOKUP($R56,武学奇术!$A:$ZZ,23,FALSE)=1,100%,$B$8),100%)</f>
        <v>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+MIN(IF(VLOOKUP($R56,武学奇术!$A:$ZZ,32,FALSE)=1,IF(VLOOKUP($R56,武学奇术!$A:$ZZ,24,FALSE)=1,100%,MIN(40%,$B$10+VLOOKUP($R56,武学奇术!$A:$ZZ,19,FALSE)+SUM(_xlfn.XLOOKUP($S56:$AL56,增益!$A:$A,增益!$S:$S,0)))+$B$12+SUM(_xlfn.XLOOKUP($S56:$AL56,增益!$A:$A,增益!$V:$V,0))),0),12%)</f>
        <v>0.9036</v>
      </c>
      <c r="BQ56" s="24" cm="1">
        <f t="array" ref="BQ56">1+$B$13+VLOOKUP($R56,武学奇术!$A:$ZZ,18,FALSE)+SUM(_xlfn.XLOOKUP($S56:$AL56,增益!$A:$A,增益!$R:$R,0))</f>
        <v>2.19</v>
      </c>
      <c r="BR56" s="24" cm="1">
        <f t="array" ref="BR56">MAX(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-IF(VLOOKUP($R56,武学奇术!$A:$ZZ,32,FALSE)=1,12%,0),0)</f>
        <v>0.0929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0.9036</v>
      </c>
      <c r="BU56" s="24">
        <f t="shared" si="10"/>
        <v>0.00350000000000006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0.21</v>
      </c>
      <c r="BX56" s="24" cm="1">
        <f t="array" ref="BX56">SUM(_xlfn.XLOOKUP($S56:$AL56,增益!$A:$A,增益!$X:$X,0))</f>
        <v>0</v>
      </c>
    </row>
    <row r="57" spans="1:76">
      <c r="D57" s="4"/>
      <c r="E57" s="4"/>
      <c r="F57" s="4"/>
      <c r="G57" s="91"/>
      <c r="K57">
        <f>$L57*VLOOKUP($R57,武学奇术!$A:$ZZ,31,FALSE)</f>
        <v>12163.3313246883</v>
      </c>
      <c r="L57" s="36">
        <f t="shared" si="13"/>
        <v>12163.3313246883</v>
      </c>
      <c r="M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BQ57*$Q57*(1+IF(VLOOKUP($R57,武学奇术!$A:$ZZ,30,FALSE)="蓄力技",$B$21,0))*(1+$BW57)</f>
        <v>12415.9185488605</v>
      </c>
      <c r="N57" s="36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蓄力技",$B$21,0))*(1+$BW57)</f>
        <v>9917.27537331325</v>
      </c>
      <c r="O57" s="36">
        <f>((($AT57+($AU57-$AT57)*IF(VLOOKUP($R57,武学奇术!$A:$ZZ,31,FALSE)=1,$F$18,0.5))*$AN57+$AO57)*(1+$AV57)*(1+$AW57)+(($AY57+($AZ57-$AY57)*IF(VLOOKUP($R57,武学奇术!$A:$ZZ,31,FALSE)=1,$F$18,0.5))*IF($G$1="鸣金",$AP57,$AN57)+IF($G$1="鸣金",$AQ57*1.5,0))*(1+$BA57)*(1+$BB57)+(($BC57+($BD57-$BC57)*IF(VLOOKUP($R57,武学奇术!$A:$ZZ,31,FALSE)=1,$F$18,0.5))*IF($G$1="裂石",$AP57,$AN57)+IF($G$1="裂石",$AQ57*1.5,0))*(1+$BE57)*(1+$BF57)+(($BG57+($BH57-$BG57)*IF(VLOOKUP($R57,武学奇术!$A:$ZZ,31,FALSE)=1,$F$18,0.5))*IF($G$1="牵丝",$AP57,$AN57)+IF($G$1="牵丝",$AQ57*1.5,0))*(1+$BI57)*(1+$BJ57)+(($BK57+($BL57-$BK57)*IF(VLOOKUP($R57,武学奇术!$A:$ZZ,31,FALSE)=1,$F$18,0.5))*IF($G$1="破竹",$AP57,$AN57)+IF($G$1="破竹",$AQ57*1.5,0))*(1+$BM57)*(1+$BN57))*(1+$AR57)*$Q57*(1+IF(VLOOKUP($R57,武学奇术!$A:$ZZ,30,FALSE)="蓄力技",$B$21,0))*(1+$BW57)</f>
        <v>6569.26907347116</v>
      </c>
      <c r="P57" s="36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蓄力技",$B$21,0))*(1+$BW57)</f>
        <v>5792.40824078437</v>
      </c>
      <c r="Q57" s="37">
        <v>1</v>
      </c>
      <c r="R57" s="38" t="s">
        <v>114</v>
      </c>
      <c r="S57" s="38" t="s">
        <v>104</v>
      </c>
      <c r="T57" s="38" t="s">
        <v>139</v>
      </c>
      <c r="U57" s="38" t="s">
        <v>79</v>
      </c>
      <c r="V57" s="38" t="s">
        <v>79</v>
      </c>
      <c r="W57" s="38" t="s">
        <v>188</v>
      </c>
      <c r="X57" s="38" t="s">
        <v>79</v>
      </c>
      <c r="Y57" s="38" t="s">
        <v>173</v>
      </c>
      <c r="Z57" s="38" t="s">
        <v>79</v>
      </c>
      <c r="AA57" s="38" t="s">
        <v>79</v>
      </c>
      <c r="AB57" s="38" t="s">
        <v>79</v>
      </c>
      <c r="AC57" s="38" t="s">
        <v>79</v>
      </c>
      <c r="AD57" s="38" t="s">
        <v>79</v>
      </c>
      <c r="AE57" s="38" t="s">
        <v>79</v>
      </c>
      <c r="AF57" s="38" t="s">
        <v>84</v>
      </c>
      <c r="AG57" s="38" t="s">
        <v>85</v>
      </c>
      <c r="AH57" s="38" t="s">
        <v>79</v>
      </c>
      <c r="AI57" s="38" t="s">
        <v>79</v>
      </c>
      <c r="AJ57" s="38" t="s">
        <v>79</v>
      </c>
      <c r="AK57" s="38" t="s">
        <v>79</v>
      </c>
      <c r="AL57" s="38" t="s">
        <v>79</v>
      </c>
      <c r="AM57" t="str">
        <f>VLOOKUP($R57,武学奇术!$A:$ZZ,25,FALSE)</f>
        <v>绳镖</v>
      </c>
      <c r="AN57" s="24">
        <f>VLOOKUP($R57,武学奇术!$A:$ZZ,26,FALSE)</f>
        <v>0.4975</v>
      </c>
      <c r="AO57" s="25">
        <f>VLOOKUP($R57,武学奇术!$A:$ZZ,27,FALSE)*(1+IF(OR($AM57=$F$4,$AM57=$F$5),$B$22,0))</f>
        <v>205.5</v>
      </c>
      <c r="AP57" s="24">
        <f>VLOOKUP($R57,武学奇术!$A:$ZZ,28,FALSE)</f>
        <v>0.7463</v>
      </c>
      <c r="AQ57" s="25">
        <f>VLOOKUP($R57,武学奇术!$A:$ZZ,29,FALSE)*(1+IF(OR($AM57=$F$4,$AM57=$F$5),$B$22,0))</f>
        <v>112.5</v>
      </c>
      <c r="AR57" s="24" cm="1">
        <f t="array" ref="AR57">$G$3+IFERROR(VLOOKUP($AM57,$F$4:$G$7,2,FALSE),0)+VLOOKUP($R57,武学奇术!$A:$ZZ,2,FALSE)+SUM(_xlfn.XLOOKUP($S57:$AL57,增益!$A:$A,增益!$B:$B,0))</f>
        <v>0.2389</v>
      </c>
      <c r="AS57" s="24" cm="1">
        <f t="array" ref="AS57">VLOOKUP($R57,武学奇术!$A:$ZZ,5,FALSE)+SUM(_xlfn.XLOOKUP($S57:$AL57,增益!$A:$A,增益!$E:$E,0))</f>
        <v>0</v>
      </c>
      <c r="AT57" cm="1">
        <f t="array" ref="AT57">$D$10*(1+$AS57)+VLOOKUP($R57,武学奇术!$A:$ZZ,3,FALSE)+SUM(_xlfn.XLOOKUP($S57:$AL57,增益!$A:$A,增益!$C:$C,0))-$I$2</f>
        <v>3839.102</v>
      </c>
      <c r="AU57" cm="1">
        <f t="array" ref="AU57">$E$10*(1+$AS57)+VLOOKUP($R57,武学奇术!$A:$ZZ,4,FALSE)+SUM(_xlfn.XLOOKUP($S57:$AL57,增益!$A:$A,增益!$D:$D,0))-$I$2</f>
        <v>3839.102</v>
      </c>
      <c r="AV57" s="30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0.342</v>
      </c>
      <c r="AW57" s="30" cm="1">
        <f t="array" ref="AW57">$G$10+VLOOKUP($R57,武学奇术!$A:$ZZ,7,FALSE)+SUM(_xlfn.XLOOKUP($S57:$AL57,增益!$A:$A,增益!$G:$G,0))</f>
        <v>0.09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0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0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0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0" cm="1">
        <f t="array" ref="BF57">$G$12+VLOOKUP($R57,武学奇术!$A:$ZZ,12,FALSE)+SUM(_xlfn.XLOOKUP($S57:$AL57,增益!$A:$A,增益!$L:$L,0))</f>
        <v>0</v>
      </c>
      <c r="BG57">
        <f t="shared" si="5"/>
        <v>0</v>
      </c>
      <c r="BH57">
        <f t="shared" si="6"/>
        <v>0</v>
      </c>
      <c r="BI57" s="30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-0.3</v>
      </c>
      <c r="BJ57" s="30" cm="1">
        <f t="array" ref="BJ57">$G$13+VLOOKUP($R57,武学奇术!$A:$ZZ,14,FALSE)+SUM(_xlfn.XLOOKUP($S57:$AL57,增益!$A:$A,增益!$N:$N,0))</f>
        <v>0</v>
      </c>
      <c r="BK57">
        <f t="shared" si="7"/>
        <v>605.472</v>
      </c>
      <c r="BL57">
        <f t="shared" si="8"/>
        <v>1725.468</v>
      </c>
      <c r="BM57" s="30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0</v>
      </c>
      <c r="BN57" s="30" cm="1">
        <f t="array" ref="BN57">$G$14+VLOOKUP($R57,武学奇术!$A:$ZZ,16,FALSE)+SUM(_xlfn.XLOOKUP($S57:$AL57,增益!$A:$A,增益!$P:$P,0))</f>
        <v>0.24</v>
      </c>
      <c r="BO57" s="24">
        <f>MIN(IF(VLOOKUP($R57,武学奇术!$A:$ZZ,23,FALSE)=1,100%,$B$8),100%)</f>
        <v>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+MIN(IF(VLOOKUP($R57,武学奇术!$A:$ZZ,32,FALSE)=1,IF(VLOOKUP($R57,武学奇术!$A:$ZZ,24,FALSE)=1,100%,MIN(40%,$B$10+VLOOKUP($R57,武学奇术!$A:$ZZ,19,FALSE)+SUM(_xlfn.XLOOKUP($S57:$AL57,增益!$A:$A,增益!$S:$S,0)))+$B$12+SUM(_xlfn.XLOOKUP($S57:$AL57,增益!$A:$A,增益!$V:$V,0))),0),12%)</f>
        <v>0.9036</v>
      </c>
      <c r="BQ57" s="24" cm="1">
        <f t="array" ref="BQ57">1+$B$13+VLOOKUP($R57,武学奇术!$A:$ZZ,18,FALSE)+SUM(_xlfn.XLOOKUP($S57:$AL57,增益!$A:$A,增益!$R:$R,0))</f>
        <v>1.89</v>
      </c>
      <c r="BR57" s="24" cm="1">
        <f t="array" ref="BR57">MAX(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-IF(VLOOKUP($R57,武学奇术!$A:$ZZ,32,FALSE)=1,12%,0),0)</f>
        <v>0.0929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0.9036</v>
      </c>
      <c r="BU57" s="24">
        <f t="shared" si="10"/>
        <v>0.00350000000000006</v>
      </c>
      <c r="BV57" s="24">
        <f>IF(VLOOKUP($R57,武学奇术!$A:$ZZ,22,FALSE)=1,0,(1-$BO57))*(1-$BR57)</f>
        <v>0</v>
      </c>
      <c r="BW57" s="24" cm="1">
        <f t="array" ref="BW57">SUM(_xlfn.XLOOKUP($S57:$AL57,增益!$A:$A,增益!$W:$W,0))+$I$5</f>
        <v>0.21</v>
      </c>
      <c r="BX57" s="24" cm="1">
        <f t="array" ref="BX57">SUM(_xlfn.XLOOKUP($S57:$AL57,增益!$A:$A,增益!$X:$X,0))</f>
        <v>0</v>
      </c>
    </row>
    <row r="58" spans="1:76">
      <c r="A58" s="4"/>
      <c r="B58" s="91"/>
      <c r="F58" s="4"/>
      <c r="G58" s="4"/>
      <c r="K58">
        <f>$L58*VLOOKUP($R58,武学奇术!$A:$ZZ,31,FALSE)</f>
        <v>108228.933906305</v>
      </c>
      <c r="L58" s="36">
        <f t="shared" si="13"/>
        <v>83253.0260817731</v>
      </c>
      <c r="M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BQ58*$Q58*(1+IF(VLOOKUP($R58,武学奇术!$A:$ZZ,30,FALSE)="蓄力技",$B$21,0))*(1+$BW58)</f>
        <v>85812.8162978256</v>
      </c>
      <c r="N58" s="36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蓄力技",$B$21,0))*(1+$BW58)</f>
        <v>60015.3014501495</v>
      </c>
      <c r="O58" s="36">
        <f>((($AT58+($AU58-$AT58)*IF(VLOOKUP($R58,武学奇术!$A:$ZZ,31,FALSE)=1,$F$18,0.5))*$AN58+$AO58)*(1+$AV58)*(1+$AW58)+(($AY58+($AZ58-$AY58)*IF(VLOOKUP($R58,武学奇术!$A:$ZZ,31,FALSE)=1,$F$18,0.5))*IF($G$1="鸣金",$AP58,$AN58)+IF($G$1="鸣金",$AQ58*1.5,0))*(1+$BA58)*(1+$BB58)+(($BC58+($BD58-$BC58)*IF(VLOOKUP($R58,武学奇术!$A:$ZZ,31,FALSE)=1,$F$18,0.5))*IF($G$1="裂石",$AP58,$AN58)+IF($G$1="裂石",$AQ58*1.5,0))*(1+$BE58)*(1+$BF58)+(($BG58+($BH58-$BG58)*IF(VLOOKUP($R58,武学奇术!$A:$ZZ,31,FALSE)=1,$F$18,0.5))*IF($G$1="牵丝",$AP58,$AN58)+IF($G$1="牵丝",$AQ58*1.5,0))*(1+$BI58)*(1+$BJ58)+(($BK58+($BL58-$BK58)*IF(VLOOKUP($R58,武学奇术!$A:$ZZ,31,FALSE)=1,$F$18,0.5))*IF($G$1="破竹",$AP58,$AN58)+IF($G$1="破竹",$AQ58*1.5,0))*(1+$BM58)*(1+$BN58))*(1+$AR58)*$Q58*(1+IF(VLOOKUP($R58,武学奇术!$A:$ZZ,30,FALSE)="蓄力技",$B$21,0))*(1+$BW58)</f>
        <v>39183.9343825688</v>
      </c>
      <c r="P58" s="36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蓄力技",$B$21,0))*(1+$BW58)</f>
        <v>33912.0899131749</v>
      </c>
      <c r="Q58" s="37">
        <v>1</v>
      </c>
      <c r="R58" s="38" t="s">
        <v>117</v>
      </c>
      <c r="S58" s="38" t="s">
        <v>104</v>
      </c>
      <c r="T58" s="38" t="s">
        <v>139</v>
      </c>
      <c r="U58" s="38" t="s">
        <v>79</v>
      </c>
      <c r="V58" s="38" t="s">
        <v>79</v>
      </c>
      <c r="W58" s="38" t="s">
        <v>188</v>
      </c>
      <c r="X58" s="38" t="s">
        <v>79</v>
      </c>
      <c r="Y58" s="38" t="s">
        <v>173</v>
      </c>
      <c r="Z58" s="38" t="s">
        <v>79</v>
      </c>
      <c r="AA58" s="38" t="s">
        <v>112</v>
      </c>
      <c r="AB58" s="38" t="s">
        <v>79</v>
      </c>
      <c r="AC58" s="38" t="s">
        <v>79</v>
      </c>
      <c r="AD58" s="38" t="s">
        <v>79</v>
      </c>
      <c r="AE58" s="38" t="s">
        <v>79</v>
      </c>
      <c r="AF58" s="38" t="s">
        <v>84</v>
      </c>
      <c r="AG58" s="38" t="s">
        <v>85</v>
      </c>
      <c r="AH58" s="38" t="s">
        <v>79</v>
      </c>
      <c r="AI58" s="38" t="s">
        <v>79</v>
      </c>
      <c r="AJ58" s="38" t="s">
        <v>79</v>
      </c>
      <c r="AK58" s="38" t="s">
        <v>79</v>
      </c>
      <c r="AL58" s="38" t="s">
        <v>79</v>
      </c>
      <c r="AM58" t="str">
        <f>VLOOKUP($R58,武学奇术!$A:$ZZ,25,FALSE)</f>
        <v>绳镖</v>
      </c>
      <c r="AN58" s="24">
        <f>VLOOKUP($R58,武学奇术!$A:$ZZ,26,FALSE)</f>
        <v>2.638944</v>
      </c>
      <c r="AO58" s="25">
        <f>VLOOKUP($R58,武学奇术!$A:$ZZ,27,FALSE)*(1+IF(OR($AM58=$F$4,$AM58=$F$5),$B$22,0))</f>
        <v>0</v>
      </c>
      <c r="AP58" s="24">
        <f>VLOOKUP($R58,武学奇术!$A:$ZZ,28,FALSE)</f>
        <v>3.958416</v>
      </c>
      <c r="AQ58" s="25">
        <f>VLOOKUP($R58,武学奇术!$A:$ZZ,29,FALSE)*(1+IF(OR($AM58=$F$4,$AM58=$F$5),$B$22,0))</f>
        <v>0</v>
      </c>
      <c r="AR58" s="24" cm="1">
        <f t="array" ref="AR58">$G$3+IFERROR(VLOOKUP($AM58,$F$4:$G$7,2,FALSE),0)+VLOOKUP($R58,武学奇术!$A:$ZZ,2,FALSE)+SUM(_xlfn.XLOOKUP($S58:$AL58,增益!$A:$A,增益!$B:$B,0))</f>
        <v>0.5389</v>
      </c>
      <c r="AS58" s="24" cm="1">
        <f t="array" ref="AS58">VLOOKUP($R58,武学奇术!$A:$ZZ,5,FALSE)+SUM(_xlfn.XLOOKUP($S58:$AL58,增益!$A:$A,增益!$E:$E,0))</f>
        <v>0</v>
      </c>
      <c r="AT58" cm="1">
        <f t="array" ref="AT58">$D$10*(1+$AS58)+VLOOKUP($R58,武学奇术!$A:$ZZ,3,FALSE)+SUM(_xlfn.XLOOKUP($S58:$AL58,增益!$A:$A,增益!$C:$C,0))-$I$2</f>
        <v>3839.102</v>
      </c>
      <c r="AU58" cm="1">
        <f t="array" ref="AU58">$E$10*(1+$AS58)+VLOOKUP($R58,武学奇术!$A:$ZZ,4,FALSE)+SUM(_xlfn.XLOOKUP($S58:$AL58,增益!$A:$A,增益!$D:$D,0))-$I$2</f>
        <v>3839.102</v>
      </c>
      <c r="AV58" s="30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0.372</v>
      </c>
      <c r="AW58" s="30" cm="1">
        <f t="array" ref="AW58">$G$10+VLOOKUP($R58,武学奇术!$A:$ZZ,7,FALSE)+SUM(_xlfn.XLOOKUP($S58:$AL58,增益!$A:$A,增益!$G:$G,0))</f>
        <v>0.09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0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-0.24</v>
      </c>
      <c r="BB58" s="30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0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-0.24</v>
      </c>
      <c r="BF58" s="30" cm="1">
        <f t="array" ref="BF58">$G$12+VLOOKUP($R58,武学奇术!$A:$ZZ,12,FALSE)+SUM(_xlfn.XLOOKUP($S58:$AL58,增益!$A:$A,增益!$L:$L,0))</f>
        <v>0</v>
      </c>
      <c r="BG58">
        <f t="shared" si="5"/>
        <v>0</v>
      </c>
      <c r="BH58">
        <f t="shared" si="6"/>
        <v>0</v>
      </c>
      <c r="BI58" s="30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-0.24</v>
      </c>
      <c r="BJ58" s="30" cm="1">
        <f t="array" ref="BJ58">$G$13+VLOOKUP($R58,武学奇术!$A:$ZZ,14,FALSE)+SUM(_xlfn.XLOOKUP($S58:$AL58,增益!$A:$A,增益!$N:$N,0))</f>
        <v>0</v>
      </c>
      <c r="BK58">
        <f t="shared" si="7"/>
        <v>605.472</v>
      </c>
      <c r="BL58">
        <f t="shared" si="8"/>
        <v>1725.468</v>
      </c>
      <c r="BM58" s="30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0.03</v>
      </c>
      <c r="BN58" s="30" cm="1">
        <f t="array" ref="BN58">$G$14+VLOOKUP($R58,武学奇术!$A:$ZZ,16,FALSE)+SUM(_xlfn.XLOOKUP($S58:$AL58,增益!$A:$A,增益!$P:$P,0))</f>
        <v>0.24</v>
      </c>
      <c r="BO58" s="24">
        <f>MIN(IF(VLOOKUP($R58,武学奇术!$A:$ZZ,23,FALSE)=1,100%,$B$8),100%)</f>
        <v>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+MIN(IF(VLOOKUP($R58,武学奇术!$A:$ZZ,32,FALSE)=1,IF(VLOOKUP($R58,武学奇术!$A:$ZZ,24,FALSE)=1,100%,MIN(40%,$B$10+VLOOKUP($R58,武学奇术!$A:$ZZ,19,FALSE)+SUM(_xlfn.XLOOKUP($S58:$AL58,增益!$A:$A,增益!$S:$S,0)))+$B$12+SUM(_xlfn.XLOOKUP($S58:$AL58,增益!$A:$A,增益!$V:$V,0))),0),12%)</f>
        <v>0.9036</v>
      </c>
      <c r="BQ58" s="24" cm="1">
        <f t="array" ref="BQ58">1+$B$13+VLOOKUP($R58,武学奇术!$A:$ZZ,18,FALSE)+SUM(_xlfn.XLOOKUP($S58:$AL58,增益!$A:$A,增益!$R:$R,0))</f>
        <v>2.19</v>
      </c>
      <c r="BR58" s="24" cm="1">
        <f t="array" ref="BR58">MAX(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-IF(VLOOKUP($R58,武学奇术!$A:$ZZ,32,FALSE)=1,12%,0),0)</f>
        <v>0.0929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0.9036</v>
      </c>
      <c r="BU58" s="24">
        <f t="shared" si="10"/>
        <v>0.00350000000000006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0.21</v>
      </c>
      <c r="BX58" s="24" cm="1">
        <f t="array" ref="BX58">SUM(_xlfn.XLOOKUP($S58:$AL58,增益!$A:$A,增益!$X:$X,0))</f>
        <v>0</v>
      </c>
    </row>
    <row r="59" spans="1:76">
      <c r="F59" s="4"/>
      <c r="G59" s="4"/>
      <c r="K59">
        <f>$L59*VLOOKUP($R59,武学奇术!$A:$ZZ,31,FALSE)</f>
        <v>0</v>
      </c>
      <c r="L59" s="36">
        <f t="shared" si="13"/>
        <v>0</v>
      </c>
      <c r="M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BQ59*$Q59*(1+IF(VLOOKUP($R59,武学奇术!$A:$ZZ,30,FALSE)="蓄力技",$B$21,0))*(1+$BW59)</f>
        <v>0</v>
      </c>
      <c r="N59" s="36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蓄力技",$B$21,0))*(1+$BW59)</f>
        <v>0</v>
      </c>
      <c r="O59" s="36">
        <f>((($AT59+($AU59-$AT59)*IF(VLOOKUP($R59,武学奇术!$A:$ZZ,31,FALSE)=1,$F$18,0.5))*$AN59+$AO59)*(1+$AV59)*(1+$AW59)+(($AY59+($AZ59-$AY59)*IF(VLOOKUP($R59,武学奇术!$A:$ZZ,31,FALSE)=1,$F$18,0.5))*IF($G$1="鸣金",$AP59,$AN59)+IF($G$1="鸣金",$AQ59*1.5,0))*(1+$BA59)*(1+$BB59)+(($BC59+($BD59-$BC59)*IF(VLOOKUP($R59,武学奇术!$A:$ZZ,31,FALSE)=1,$F$18,0.5))*IF($G$1="裂石",$AP59,$AN59)+IF($G$1="裂石",$AQ59*1.5,0))*(1+$BE59)*(1+$BF59)+(($BG59+($BH59-$BG59)*IF(VLOOKUP($R59,武学奇术!$A:$ZZ,31,FALSE)=1,$F$18,0.5))*IF($G$1="牵丝",$AP59,$AN59)+IF($G$1="牵丝",$AQ59*1.5,0))*(1+$BI59)*(1+$BJ59)+(($BK59+($BL59-$BK59)*IF(VLOOKUP($R59,武学奇术!$A:$ZZ,31,FALSE)=1,$F$18,0.5))*IF($G$1="破竹",$AP59,$AN59)+IF($G$1="破竹",$AQ59*1.5,0))*(1+$BM59)*(1+$BN59))*(1+$AR59)*$Q59*(1+IF(VLOOKUP($R59,武学奇术!$A:$ZZ,30,FALSE)="蓄力技",$B$21,0))*(1+$BW59)</f>
        <v>0</v>
      </c>
      <c r="P59" s="36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蓄力技",$B$21,0))*(1+$BW59)</f>
        <v>0</v>
      </c>
      <c r="Q59" s="37">
        <v>1</v>
      </c>
      <c r="R59" s="38" t="s">
        <v>79</v>
      </c>
      <c r="S59" s="38" t="s">
        <v>79</v>
      </c>
      <c r="T59" s="38" t="s">
        <v>79</v>
      </c>
      <c r="U59" s="38" t="s">
        <v>79</v>
      </c>
      <c r="V59" s="38" t="s">
        <v>79</v>
      </c>
      <c r="W59" s="38" t="s">
        <v>79</v>
      </c>
      <c r="X59" s="38" t="s">
        <v>79</v>
      </c>
      <c r="Y59" s="38" t="s">
        <v>79</v>
      </c>
      <c r="Z59" s="38" t="s">
        <v>79</v>
      </c>
      <c r="AA59" s="38" t="s">
        <v>79</v>
      </c>
      <c r="AB59" s="38" t="s">
        <v>79</v>
      </c>
      <c r="AC59" s="38" t="s">
        <v>79</v>
      </c>
      <c r="AD59" s="38" t="s">
        <v>79</v>
      </c>
      <c r="AE59" s="38" t="s">
        <v>79</v>
      </c>
      <c r="AF59" s="38" t="s">
        <v>84</v>
      </c>
      <c r="AG59" s="38" t="s">
        <v>85</v>
      </c>
      <c r="AH59" s="38" t="s">
        <v>79</v>
      </c>
      <c r="AI59" s="38" t="s">
        <v>79</v>
      </c>
      <c r="AJ59" s="38" t="s">
        <v>79</v>
      </c>
      <c r="AK59" s="38" t="s">
        <v>79</v>
      </c>
      <c r="AL59" s="38" t="s">
        <v>79</v>
      </c>
      <c r="AM59" t="str">
        <f>VLOOKUP($R59,武学奇术!$A:$ZZ,25,FALSE)</f>
        <v>心法</v>
      </c>
      <c r="AN59" s="24">
        <f>VLOOKUP($R59,武学奇术!$A:$ZZ,26,FALSE)</f>
        <v>0</v>
      </c>
      <c r="AO59" s="25">
        <f>VLOOKUP($R59,武学奇术!$A:$ZZ,27,FALSE)*(1+IF(OR($AM59=$F$4,$AM59=$F$5),$B$22,0))</f>
        <v>0</v>
      </c>
      <c r="AP59" s="24">
        <f>VLOOKUP($R59,武学奇术!$A:$ZZ,28,FALSE)</f>
        <v>0</v>
      </c>
      <c r="AQ59" s="25">
        <f>VLOOKUP($R59,武学奇术!$A:$ZZ,29,FALSE)*(1+IF(OR($AM59=$F$4,$AM59=$F$5),$B$22,0))</f>
        <v>0</v>
      </c>
      <c r="AR59" s="24" cm="1">
        <f t="array" ref="AR59">$G$3+IFERROR(VLOOKUP($AM59,$F$4:$G$7,2,FALSE),0)+VLOOKUP($R59,武学奇术!$A:$ZZ,2,FALSE)+SUM(_xlfn.XLOOKUP($S59:$AL59,增益!$A:$A,增益!$B:$B,0))</f>
        <v>0.1037</v>
      </c>
      <c r="AS59" s="24" cm="1">
        <f t="array" ref="AS59">VLOOKUP($R59,武学奇术!$A:$ZZ,5,FALSE)+SUM(_xlfn.XLOOKUP($S59:$AL59,增益!$A:$A,增益!$E:$E,0))</f>
        <v>0</v>
      </c>
      <c r="AT59" cm="1">
        <f t="array" ref="AT59">$D$10*(1+$AS59)+VLOOKUP($R59,武学奇术!$A:$ZZ,3,FALSE)+SUM(_xlfn.XLOOKUP($S59:$AL59,增益!$A:$A,增益!$C:$C,0))-$I$2</f>
        <v>3839.102</v>
      </c>
      <c r="AU59" cm="1">
        <f t="array" ref="AU59">$E$10*(1+$AS59)+VLOOKUP($R59,武学奇术!$A:$ZZ,4,FALSE)+SUM(_xlfn.XLOOKUP($S59:$AL59,增益!$A:$A,增益!$D:$D,0))-$I$2</f>
        <v>3839.102</v>
      </c>
      <c r="AV59" s="30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0.167</v>
      </c>
      <c r="AW59" s="30" cm="1">
        <f t="array" ref="AW59">$G$10+VLOOKUP($R59,武学奇术!$A:$ZZ,7,FALSE)+SUM(_xlfn.XLOOKUP($S59:$AL59,增益!$A:$A,增益!$G:$G,0))</f>
        <v>0.09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0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0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0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0" cm="1">
        <f t="array" ref="BF59">$G$12+VLOOKUP($R59,武学奇术!$A:$ZZ,12,FALSE)+SUM(_xlfn.XLOOKUP($S59:$AL59,增益!$A:$A,增益!$L:$L,0))</f>
        <v>0</v>
      </c>
      <c r="BG59">
        <f t="shared" si="5"/>
        <v>0</v>
      </c>
      <c r="BH59">
        <f t="shared" si="6"/>
        <v>0</v>
      </c>
      <c r="BI59" s="30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-0.3</v>
      </c>
      <c r="BJ59" s="30" cm="1">
        <f t="array" ref="BJ59">$G$13+VLOOKUP($R59,武学奇术!$A:$ZZ,14,FALSE)+SUM(_xlfn.XLOOKUP($S59:$AL59,增益!$A:$A,增益!$N:$N,0))</f>
        <v>0</v>
      </c>
      <c r="BK59">
        <f t="shared" si="7"/>
        <v>605.472</v>
      </c>
      <c r="BL59">
        <f t="shared" si="8"/>
        <v>1725.468</v>
      </c>
      <c r="BM59" s="30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0</v>
      </c>
      <c r="BN59" s="30" cm="1">
        <f t="array" ref="BN59">$G$14+VLOOKUP($R59,武学奇术!$A:$ZZ,16,FALSE)+SUM(_xlfn.XLOOKUP($S59:$AL59,增益!$A:$A,增益!$P:$P,0))</f>
        <v>0.24</v>
      </c>
      <c r="BO59" s="24">
        <f>MIN(IF(VLOOKUP($R59,武学奇术!$A:$ZZ,23,FALSE)=1,100%,$B$8),100%)</f>
        <v>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+MIN(IF(VLOOKUP($R59,武学奇术!$A:$ZZ,32,FALSE)=1,IF(VLOOKUP($R59,武学奇术!$A:$ZZ,24,FALSE)=1,100%,MIN(40%,$B$10+VLOOKUP($R59,武学奇术!$A:$ZZ,19,FALSE)+SUM(_xlfn.XLOOKUP($S59:$AL59,增益!$A:$A,增益!$S:$S,0)))+$B$12+SUM(_xlfn.XLOOKUP($S59:$AL59,增益!$A:$A,增益!$V:$V,0))),0),12%)</f>
        <v>0.9036</v>
      </c>
      <c r="BQ59" s="24" cm="1">
        <f t="array" ref="BQ59">1+$B$13+VLOOKUP($R59,武学奇术!$A:$ZZ,18,FALSE)+SUM(_xlfn.XLOOKUP($S59:$AL59,增益!$A:$A,增益!$R:$R,0))</f>
        <v>1.54</v>
      </c>
      <c r="BR59" s="24" cm="1">
        <f t="array" ref="BR59">MAX(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-IF(VLOOKUP($R59,武学奇术!$A:$ZZ,32,FALSE)=1,12%,0),0)</f>
        <v>0.0929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0.9036</v>
      </c>
      <c r="BU59" s="24">
        <f t="shared" si="10"/>
        <v>0.00350000000000006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0.11</v>
      </c>
      <c r="BX59" s="24" cm="1">
        <f t="array" ref="BX59">SUM(_xlfn.XLOOKUP($S59:$AL59,增益!$A:$A,增益!$X:$X,0))</f>
        <v>0</v>
      </c>
    </row>
    <row r="60" spans="1:76">
      <c r="A60" s="4"/>
      <c r="B60" s="91"/>
      <c r="F60" s="4"/>
      <c r="G60" s="4"/>
      <c r="K60">
        <f>$L60*VLOOKUP($R60,武学奇术!$A:$ZZ,31,FALSE)</f>
        <v>21654.4675427159</v>
      </c>
      <c r="L60" s="36">
        <f t="shared" si="13"/>
        <v>21654.4675427159</v>
      </c>
      <c r="M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BQ60*$Q60*(1+IF(VLOOKUP($R60,武学奇术!$A:$ZZ,30,FALSE)="蓄力技",$B$21,0))*(1+$BW60)</f>
        <v>21831.638847812</v>
      </c>
      <c r="N60" s="36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蓄力技",$B$21,0))*(1+$BW60)</f>
        <v>20245.4980372205</v>
      </c>
      <c r="O60" s="36">
        <f>((($AT60+($AU60-$AT60)*IF(VLOOKUP($R60,武学奇术!$A:$ZZ,31,FALSE)=1,$F$18,0.5))*$AN60+$AO60)*(1+$AV60)*(1+$AW60)+(($AY60+($AZ60-$AY60)*IF(VLOOKUP($R60,武学奇术!$A:$ZZ,31,FALSE)=1,$F$18,0.5))*IF($G$1="鸣金",$AP60,$AN60)+IF($G$1="鸣金",$AQ60*1.5,0))*(1+$BA60)*(1+$BB60)+(($BC60+($BD60-$BC60)*IF(VLOOKUP($R60,武学奇术!$A:$ZZ,31,FALSE)=1,$F$18,0.5))*IF($G$1="裂石",$AP60,$AN60)+IF($G$1="裂石",$AQ60*1.5,0))*(1+$BE60)*(1+$BF60)+(($BG60+($BH60-$BG60)*IF(VLOOKUP($R60,武学奇术!$A:$ZZ,31,FALSE)=1,$F$18,0.5))*IF($G$1="牵丝",$AP60,$AN60)+IF($G$1="牵丝",$AQ60*1.5,0))*(1+$BI60)*(1+$BJ60)+(($BK60+($BL60-$BK60)*IF(VLOOKUP($R60,武学奇术!$A:$ZZ,31,FALSE)=1,$F$18,0.5))*IF($G$1="破竹",$AP60,$AN60)+IF($G$1="破竹",$AQ60*1.5,0))*(1+$BM60)*(1+$BN60))*(1+$AR60)*$Q60*(1+IF(VLOOKUP($R60,武学奇术!$A:$ZZ,30,FALSE)="蓄力技",$B$21,0))*(1+$BW60)</f>
        <v>13311.9749072024</v>
      </c>
      <c r="P60" s="36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蓄力技",$B$21,0))*(1+$BW60)</f>
        <v>11627.2846016489</v>
      </c>
      <c r="Q60" s="37">
        <v>1</v>
      </c>
      <c r="R60" s="38" t="s">
        <v>160</v>
      </c>
      <c r="S60" s="38" t="s">
        <v>104</v>
      </c>
      <c r="T60" s="38" t="s">
        <v>79</v>
      </c>
      <c r="U60" s="38" t="s">
        <v>79</v>
      </c>
      <c r="V60" s="38" t="s">
        <v>79</v>
      </c>
      <c r="W60" s="38" t="s">
        <v>79</v>
      </c>
      <c r="X60" s="38" t="s">
        <v>79</v>
      </c>
      <c r="Y60" s="38" t="s">
        <v>173</v>
      </c>
      <c r="Z60" s="38" t="s">
        <v>79</v>
      </c>
      <c r="AA60" s="38" t="s">
        <v>79</v>
      </c>
      <c r="AB60" s="38" t="s">
        <v>79</v>
      </c>
      <c r="AC60" s="38" t="s">
        <v>79</v>
      </c>
      <c r="AD60" s="38" t="s">
        <v>79</v>
      </c>
      <c r="AE60" s="38" t="s">
        <v>79</v>
      </c>
      <c r="AF60" s="38" t="s">
        <v>84</v>
      </c>
      <c r="AG60" s="38" t="s">
        <v>85</v>
      </c>
      <c r="AH60" s="38" t="s">
        <v>79</v>
      </c>
      <c r="AI60" s="38" t="s">
        <v>79</v>
      </c>
      <c r="AJ60" s="38" t="s">
        <v>79</v>
      </c>
      <c r="AK60" s="38" t="s">
        <v>79</v>
      </c>
      <c r="AL60" s="38" t="s">
        <v>79</v>
      </c>
      <c r="AM60" t="str">
        <f>VLOOKUP($R60,武学奇术!$A:$ZZ,25,FALSE)</f>
        <v>拳甲</v>
      </c>
      <c r="AN60" s="24">
        <f>VLOOKUP($R60,武学奇术!$A:$ZZ,26,FALSE)</f>
        <v>1.1005</v>
      </c>
      <c r="AO60" s="25">
        <f>VLOOKUP($R60,武学奇术!$A:$ZZ,27,FALSE)*(1+IF(OR($AM60=$F$4,$AM60=$F$5),$B$22,0))</f>
        <v>457.5</v>
      </c>
      <c r="AP60" s="24">
        <f>VLOOKUP($R60,武学奇术!$A:$ZZ,28,FALSE)</f>
        <v>1.6507</v>
      </c>
      <c r="AQ60" s="25">
        <f>VLOOKUP($R60,武学奇术!$A:$ZZ,29,FALSE)*(1+IF(OR($AM60=$F$4,$AM60=$F$5),$B$22,0))</f>
        <v>247.5</v>
      </c>
      <c r="AR60" s="24" cm="1">
        <f t="array" ref="AR60">$G$3+IFERROR(VLOOKUP($AM60,$F$4:$G$7,2,FALSE),0)+VLOOKUP($R60,武学奇术!$A:$ZZ,2,FALSE)+SUM(_xlfn.XLOOKUP($S60:$AL60,增益!$A:$A,增益!$B:$B,0))</f>
        <v>0.3241</v>
      </c>
      <c r="AS60" s="24" cm="1">
        <f t="array" ref="AS60">VLOOKUP($R60,武学奇术!$A:$ZZ,5,FALSE)+SUM(_xlfn.XLOOKUP($S60:$AL60,增益!$A:$A,增益!$E:$E,0))</f>
        <v>0</v>
      </c>
      <c r="AT60" cm="1">
        <f t="array" ref="AT60">$D$10*(1+$AS60)+VLOOKUP($R60,武学奇术!$A:$ZZ,3,FALSE)+SUM(_xlfn.XLOOKUP($S60:$AL60,增益!$A:$A,增益!$C:$C,0))-$I$2</f>
        <v>3839.102</v>
      </c>
      <c r="AU60" cm="1">
        <f t="array" ref="AU60">$E$10*(1+$AS60)+VLOOKUP($R60,武学奇术!$A:$ZZ,4,FALSE)+SUM(_xlfn.XLOOKUP($S60:$AL60,增益!$A:$A,增益!$D:$D,0))-$I$2</f>
        <v>3839.102</v>
      </c>
      <c r="AV60" s="30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0.217</v>
      </c>
      <c r="AW60" s="30" cm="1">
        <f t="array" ref="AW60">$G$10+VLOOKUP($R60,武学奇术!$A:$ZZ,7,FALSE)+SUM(_xlfn.XLOOKUP($S60:$AL60,增益!$A:$A,增益!$G:$G,0))</f>
        <v>0.09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0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0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0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0" cm="1">
        <f t="array" ref="BF60">$G$12+VLOOKUP($R60,武学奇术!$A:$ZZ,12,FALSE)+SUM(_xlfn.XLOOKUP($S60:$AL60,增益!$A:$A,增益!$L:$L,0))</f>
        <v>0</v>
      </c>
      <c r="BG60">
        <f t="shared" si="5"/>
        <v>0</v>
      </c>
      <c r="BH60">
        <f t="shared" si="6"/>
        <v>0</v>
      </c>
      <c r="BI60" s="30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-0.3</v>
      </c>
      <c r="BJ60" s="30" cm="1">
        <f t="array" ref="BJ60">$G$13+VLOOKUP($R60,武学奇术!$A:$ZZ,14,FALSE)+SUM(_xlfn.XLOOKUP($S60:$AL60,增益!$A:$A,增益!$N:$N,0))</f>
        <v>0</v>
      </c>
      <c r="BK60">
        <f t="shared" si="7"/>
        <v>605.472</v>
      </c>
      <c r="BL60">
        <f t="shared" si="8"/>
        <v>1725.468</v>
      </c>
      <c r="BM60" s="30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0</v>
      </c>
      <c r="BN60" s="30" cm="1">
        <f t="array" ref="BN60">$G$14+VLOOKUP($R60,武学奇术!$A:$ZZ,16,FALSE)+SUM(_xlfn.XLOOKUP($S60:$AL60,增益!$A:$A,增益!$P:$P,0))</f>
        <v>0.24</v>
      </c>
      <c r="BO60" s="24">
        <f>MIN(IF(VLOOKUP($R60,武学奇术!$A:$ZZ,23,FALSE)=1,100%,$B$8),100%)</f>
        <v>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+MIN(IF(VLOOKUP($R60,武学奇术!$A:$ZZ,32,FALSE)=1,IF(VLOOKUP($R60,武学奇术!$A:$ZZ,24,FALSE)=1,100%,MIN(40%,$B$10+VLOOKUP($R60,武学奇术!$A:$ZZ,19,FALSE)+SUM(_xlfn.XLOOKUP($S60:$AL60,增益!$A:$A,增益!$S:$S,0)))+$B$12+SUM(_xlfn.XLOOKUP($S60:$AL60,增益!$A:$A,增益!$V:$V,0))),0),12%)</f>
        <v>0.9036</v>
      </c>
      <c r="BQ60" s="24" cm="1">
        <f t="array" ref="BQ60">1+$B$13+VLOOKUP($R60,武学奇术!$A:$ZZ,18,FALSE)+SUM(_xlfn.XLOOKUP($S60:$AL60,增益!$A:$A,增益!$R:$R,0))</f>
        <v>1.64</v>
      </c>
      <c r="BR60" s="24" cm="1">
        <f t="array" ref="BR60">MAX(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-IF(VLOOKUP($R60,武学奇术!$A:$ZZ,32,FALSE)=1,12%,0),0)</f>
        <v>0.0929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0.9036</v>
      </c>
      <c r="BU60" s="24">
        <f t="shared" si="10"/>
        <v>0.00350000000000006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0.11</v>
      </c>
      <c r="BX60" s="24" cm="1">
        <f t="array" ref="BX60">SUM(_xlfn.XLOOKUP($S60:$AL60,增益!$A:$A,增益!$X:$X,0))</f>
        <v>0</v>
      </c>
    </row>
    <row r="61" spans="1:76">
      <c r="A61" s="4"/>
      <c r="B61" s="4"/>
      <c r="F61" s="4"/>
      <c r="G61" s="91"/>
      <c r="K61">
        <f>$L61*VLOOKUP($R61,武学奇术!$A:$ZZ,31,FALSE)</f>
        <v>48044.7699660996</v>
      </c>
      <c r="L61" s="36">
        <f t="shared" si="13"/>
        <v>48044.7699660996</v>
      </c>
      <c r="M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BQ61*$Q61*(1+IF(VLOOKUP($R61,武学奇术!$A:$ZZ,30,FALSE)="蓄力技",$B$21,0))*(1+$BW61)</f>
        <v>48437.7307299936</v>
      </c>
      <c r="N61" s="36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蓄力技",$B$21,0))*(1+$BW61)</f>
        <v>44919.9491135756</v>
      </c>
      <c r="O61" s="36">
        <f>((($AT61+($AU61-$AT61)*IF(VLOOKUP($R61,武学奇术!$A:$ZZ,31,FALSE)=1,$F$18,0.5))*$AN61+$AO61)*(1+$AV61)*(1+$AW61)+(($AY61+($AZ61-$AY61)*IF(VLOOKUP($R61,武学奇术!$A:$ZZ,31,FALSE)=1,$F$18,0.5))*IF($G$1="鸣金",$AP61,$AN61)+IF($G$1="鸣金",$AQ61*1.5,0))*(1+$BA61)*(1+$BB61)+(($BC61+($BD61-$BC61)*IF(VLOOKUP($R61,武学奇术!$A:$ZZ,31,FALSE)=1,$F$18,0.5))*IF($G$1="裂石",$AP61,$AN61)+IF($G$1="裂石",$AQ61*1.5,0))*(1+$BE61)*(1+$BF61)+(($BG61+($BH61-$BG61)*IF(VLOOKUP($R61,武学奇术!$A:$ZZ,31,FALSE)=1,$F$18,0.5))*IF($G$1="牵丝",$AP61,$AN61)+IF($G$1="牵丝",$AQ61*1.5,0))*(1+$BI61)*(1+$BJ61)+(($BK61+($BL61-$BK61)*IF(VLOOKUP($R61,武学奇术!$A:$ZZ,31,FALSE)=1,$F$18,0.5))*IF($G$1="破竹",$AP61,$AN61)+IF($G$1="破竹",$AQ61*1.5,0))*(1+$BM61)*(1+$BN61))*(1+$AR61)*$Q61*(1+IF(VLOOKUP($R61,武学奇术!$A:$ZZ,30,FALSE)="蓄力技",$B$21,0))*(1+$BW61)</f>
        <v>29535.2016646302</v>
      </c>
      <c r="P61" s="36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蓄力技",$B$21,0))*(1+$BW61)</f>
        <v>25796.3669488341</v>
      </c>
      <c r="Q61" s="37">
        <v>1</v>
      </c>
      <c r="R61" s="38" t="s">
        <v>127</v>
      </c>
      <c r="S61" s="38" t="s">
        <v>104</v>
      </c>
      <c r="T61" s="38" t="s">
        <v>79</v>
      </c>
      <c r="U61" s="38" t="s">
        <v>79</v>
      </c>
      <c r="V61" s="38" t="s">
        <v>79</v>
      </c>
      <c r="W61" s="38" t="s">
        <v>79</v>
      </c>
      <c r="X61" s="38" t="s">
        <v>79</v>
      </c>
      <c r="Y61" s="38" t="s">
        <v>173</v>
      </c>
      <c r="Z61" s="38" t="s">
        <v>79</v>
      </c>
      <c r="AA61" s="38" t="s">
        <v>79</v>
      </c>
      <c r="AB61" s="38" t="s">
        <v>79</v>
      </c>
      <c r="AC61" s="38" t="s">
        <v>79</v>
      </c>
      <c r="AD61" s="38" t="s">
        <v>79</v>
      </c>
      <c r="AE61" s="38" t="s">
        <v>79</v>
      </c>
      <c r="AF61" s="38" t="s">
        <v>84</v>
      </c>
      <c r="AG61" s="38" t="s">
        <v>85</v>
      </c>
      <c r="AH61" s="38" t="s">
        <v>79</v>
      </c>
      <c r="AI61" s="38" t="s">
        <v>79</v>
      </c>
      <c r="AJ61" s="38" t="s">
        <v>79</v>
      </c>
      <c r="AK61" s="38" t="s">
        <v>79</v>
      </c>
      <c r="AL61" s="38" t="s">
        <v>79</v>
      </c>
      <c r="AM61" t="str">
        <f>VLOOKUP($R61,武学奇术!$A:$ZZ,25,FALSE)</f>
        <v>拳甲</v>
      </c>
      <c r="AN61" s="24">
        <f>VLOOKUP($R61,武学奇术!$A:$ZZ,26,FALSE)</f>
        <v>2.4421</v>
      </c>
      <c r="AO61" s="25">
        <f>VLOOKUP($R61,武学奇术!$A:$ZZ,27,FALSE)*(1+IF(OR($AM61=$F$4,$AM61=$F$5),$B$22,0))</f>
        <v>1012.5</v>
      </c>
      <c r="AP61" s="24">
        <f>VLOOKUP($R61,武学奇术!$A:$ZZ,28,FALSE)</f>
        <v>3.6634</v>
      </c>
      <c r="AQ61" s="25">
        <f>VLOOKUP($R61,武学奇术!$A:$ZZ,29,FALSE)*(1+IF(OR($AM61=$F$4,$AM61=$F$5),$B$22,0))</f>
        <v>549</v>
      </c>
      <c r="AR61" s="24" cm="1">
        <f t="array" ref="AR61">$G$3+IFERROR(VLOOKUP($AM61,$F$4:$G$7,2,FALSE),0)+VLOOKUP($R61,武学奇术!$A:$ZZ,2,FALSE)+SUM(_xlfn.XLOOKUP($S61:$AL61,增益!$A:$A,增益!$B:$B,0))</f>
        <v>0.3241</v>
      </c>
      <c r="AS61" s="24" cm="1">
        <f t="array" ref="AS61">VLOOKUP($R61,武学奇术!$A:$ZZ,5,FALSE)+SUM(_xlfn.XLOOKUP($S61:$AL61,增益!$A:$A,增益!$E:$E,0))</f>
        <v>0</v>
      </c>
      <c r="AT61" cm="1">
        <f t="array" ref="AT61">$D$10*(1+$AS61)+VLOOKUP($R61,武学奇术!$A:$ZZ,3,FALSE)+SUM(_xlfn.XLOOKUP($S61:$AL61,增益!$A:$A,增益!$C:$C,0))-$I$2</f>
        <v>3839.102</v>
      </c>
      <c r="AU61" cm="1">
        <f t="array" ref="AU61">$E$10*(1+$AS61)+VLOOKUP($R61,武学奇术!$A:$ZZ,4,FALSE)+SUM(_xlfn.XLOOKUP($S61:$AL61,增益!$A:$A,增益!$D:$D,0))-$I$2</f>
        <v>3839.102</v>
      </c>
      <c r="AV61" s="30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0.217</v>
      </c>
      <c r="AW61" s="30" cm="1">
        <f t="array" ref="AW61">$G$10+VLOOKUP($R61,武学奇术!$A:$ZZ,7,FALSE)+SUM(_xlfn.XLOOKUP($S61:$AL61,增益!$A:$A,增益!$G:$G,0))</f>
        <v>0.09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0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0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0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0" cm="1">
        <f t="array" ref="BF61">$G$12+VLOOKUP($R61,武学奇术!$A:$ZZ,12,FALSE)+SUM(_xlfn.XLOOKUP($S61:$AL61,增益!$A:$A,增益!$L:$L,0))</f>
        <v>0</v>
      </c>
      <c r="BG61">
        <f t="shared" si="5"/>
        <v>0</v>
      </c>
      <c r="BH61">
        <f t="shared" si="6"/>
        <v>0</v>
      </c>
      <c r="BI61" s="30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-0.3</v>
      </c>
      <c r="BJ61" s="30" cm="1">
        <f t="array" ref="BJ61">$G$13+VLOOKUP($R61,武学奇术!$A:$ZZ,14,FALSE)+SUM(_xlfn.XLOOKUP($S61:$AL61,增益!$A:$A,增益!$N:$N,0))</f>
        <v>0</v>
      </c>
      <c r="BK61">
        <f t="shared" si="7"/>
        <v>605.472</v>
      </c>
      <c r="BL61">
        <f t="shared" si="8"/>
        <v>1725.468</v>
      </c>
      <c r="BM61" s="30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0</v>
      </c>
      <c r="BN61" s="30" cm="1">
        <f t="array" ref="BN61">$G$14+VLOOKUP($R61,武学奇术!$A:$ZZ,16,FALSE)+SUM(_xlfn.XLOOKUP($S61:$AL61,增益!$A:$A,增益!$P:$P,0))</f>
        <v>0.24</v>
      </c>
      <c r="BO61" s="24">
        <f>MIN(IF(VLOOKUP($R61,武学奇术!$A:$ZZ,23,FALSE)=1,100%,$B$8),100%)</f>
        <v>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+MIN(IF(VLOOKUP($R61,武学奇术!$A:$ZZ,32,FALSE)=1,IF(VLOOKUP($R61,武学奇术!$A:$ZZ,24,FALSE)=1,100%,MIN(40%,$B$10+VLOOKUP($R61,武学奇术!$A:$ZZ,19,FALSE)+SUM(_xlfn.XLOOKUP($S61:$AL61,增益!$A:$A,增益!$S:$S,0)))+$B$12+SUM(_xlfn.XLOOKUP($S61:$AL61,增益!$A:$A,增益!$V:$V,0))),0),12%)</f>
        <v>0.9036</v>
      </c>
      <c r="BQ61" s="24" cm="1">
        <f t="array" ref="BQ61">1+$B$13+VLOOKUP($R61,武学奇术!$A:$ZZ,18,FALSE)+SUM(_xlfn.XLOOKUP($S61:$AL61,增益!$A:$A,增益!$R:$R,0))</f>
        <v>1.64</v>
      </c>
      <c r="BR61" s="24" cm="1">
        <f t="array" ref="BR61">MAX(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-IF(VLOOKUP($R61,武学奇术!$A:$ZZ,32,FALSE)=1,12%,0),0)</f>
        <v>0.0929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0.9036</v>
      </c>
      <c r="BU61" s="24">
        <f t="shared" si="10"/>
        <v>0.00350000000000006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0.11</v>
      </c>
      <c r="BX61" s="24" cm="1">
        <f t="array" ref="BX61">SUM(_xlfn.XLOOKUP($S61:$AL61,增益!$A:$A,增益!$X:$X,0))</f>
        <v>0</v>
      </c>
    </row>
    <row r="62" spans="1:76">
      <c r="A62" s="4"/>
      <c r="B62" s="4"/>
      <c r="K62">
        <f>$L62*VLOOKUP($R62,武学奇术!$A:$ZZ,31,FALSE)</f>
        <v>25354.1383104499</v>
      </c>
      <c r="L62" s="36">
        <f t="shared" si="13"/>
        <v>25354.1383104499</v>
      </c>
      <c r="M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BQ62*$Q62*(1+IF(VLOOKUP($R62,武学奇术!$A:$ZZ,30,FALSE)="蓄力技",$B$21,0))*(1+$BW62)</f>
        <v>25561.7647454447</v>
      </c>
      <c r="N62" s="36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蓄力技",$B$21,0))*(1+$BW62)</f>
        <v>23702.6387486891</v>
      </c>
      <c r="O62" s="36">
        <f>((($AT62+($AU62-$AT62)*IF(VLOOKUP($R62,武学奇术!$A:$ZZ,31,FALSE)=1,$F$18,0.5))*$AN62+$AO62)*(1+$AV62)*(1+$AW62)+(($AY62+($AZ62-$AY62)*IF(VLOOKUP($R62,武学奇术!$A:$ZZ,31,FALSE)=1,$F$18,0.5))*IF($G$1="鸣金",$AP62,$AN62)+IF($G$1="鸣金",$AQ62*1.5,0))*(1+$BA62)*(1+$BB62)+(($BC62+($BD62-$BC62)*IF(VLOOKUP($R62,武学奇术!$A:$ZZ,31,FALSE)=1,$F$18,0.5))*IF($G$1="裂石",$AP62,$AN62)+IF($G$1="裂石",$AQ62*1.5,0))*(1+$BE62)*(1+$BF62)+(($BG62+($BH62-$BG62)*IF(VLOOKUP($R62,武学奇术!$A:$ZZ,31,FALSE)=1,$F$18,0.5))*IF($G$1="牵丝",$AP62,$AN62)+IF($G$1="牵丝",$AQ62*1.5,0))*(1+$BI62)*(1+$BJ62)+(($BK62+($BL62-$BK62)*IF(VLOOKUP($R62,武学奇术!$A:$ZZ,31,FALSE)=1,$F$18,0.5))*IF($G$1="破竹",$AP62,$AN62)+IF($G$1="破竹",$AQ62*1.5,0))*(1+$BM62)*(1+$BN62))*(1+$AR62)*$Q62*(1+IF(VLOOKUP($R62,武学奇术!$A:$ZZ,30,FALSE)="蓄力技",$B$21,0))*(1+$BW62)</f>
        <v>15586.4419179541</v>
      </c>
      <c r="P62" s="36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蓄力技",$B$21,0))*(1+$BW62)</f>
        <v>13615.373651694</v>
      </c>
      <c r="Q62" s="37">
        <v>1</v>
      </c>
      <c r="R62" s="38" t="s">
        <v>122</v>
      </c>
      <c r="S62" s="38" t="s">
        <v>104</v>
      </c>
      <c r="T62" s="38" t="s">
        <v>79</v>
      </c>
      <c r="U62" s="38" t="s">
        <v>79</v>
      </c>
      <c r="V62" s="38" t="s">
        <v>79</v>
      </c>
      <c r="W62" s="38" t="s">
        <v>79</v>
      </c>
      <c r="X62" s="38" t="s">
        <v>79</v>
      </c>
      <c r="Y62" s="38" t="s">
        <v>173</v>
      </c>
      <c r="Z62" s="38" t="s">
        <v>79</v>
      </c>
      <c r="AA62" s="38" t="s">
        <v>79</v>
      </c>
      <c r="AB62" s="38" t="s">
        <v>79</v>
      </c>
      <c r="AC62" s="38" t="s">
        <v>79</v>
      </c>
      <c r="AD62" s="38" t="s">
        <v>79</v>
      </c>
      <c r="AE62" s="38" t="s">
        <v>79</v>
      </c>
      <c r="AF62" s="38" t="s">
        <v>84</v>
      </c>
      <c r="AG62" s="38" t="s">
        <v>85</v>
      </c>
      <c r="AH62" s="38" t="s">
        <v>79</v>
      </c>
      <c r="AI62" s="38" t="s">
        <v>79</v>
      </c>
      <c r="AJ62" s="38" t="s">
        <v>79</v>
      </c>
      <c r="AK62" s="38" t="s">
        <v>79</v>
      </c>
      <c r="AL62" s="38" t="s">
        <v>79</v>
      </c>
      <c r="AM62" t="str">
        <f>VLOOKUP($R62,武学奇术!$A:$ZZ,25,FALSE)</f>
        <v>拳甲</v>
      </c>
      <c r="AN62" s="24">
        <f>VLOOKUP($R62,武学奇术!$A:$ZZ,26,FALSE)</f>
        <v>1.2876</v>
      </c>
      <c r="AO62" s="25">
        <f>VLOOKUP($R62,武学奇术!$A:$ZZ,27,FALSE)*(1+IF(OR($AM62=$F$4,$AM62=$F$5),$B$22,0))</f>
        <v>537</v>
      </c>
      <c r="AP62" s="24">
        <f>VLOOKUP($R62,武学奇术!$A:$ZZ,28,FALSE)</f>
        <v>1.9313</v>
      </c>
      <c r="AQ62" s="25">
        <f>VLOOKUP($R62,武学奇术!$A:$ZZ,29,FALSE)*(1+IF(OR($AM62=$F$4,$AM62=$F$5),$B$22,0))</f>
        <v>292.5</v>
      </c>
      <c r="AR62" s="24" cm="1">
        <f t="array" ref="AR62">$G$3+IFERROR(VLOOKUP($AM62,$F$4:$G$7,2,FALSE),0)+VLOOKUP($R62,武学奇术!$A:$ZZ,2,FALSE)+SUM(_xlfn.XLOOKUP($S62:$AL62,增益!$A:$A,增益!$B:$B,0))</f>
        <v>0.3241</v>
      </c>
      <c r="AS62" s="24" cm="1">
        <f t="array" ref="AS62">VLOOKUP($R62,武学奇术!$A:$ZZ,5,FALSE)+SUM(_xlfn.XLOOKUP($S62:$AL62,增益!$A:$A,增益!$E:$E,0))</f>
        <v>0</v>
      </c>
      <c r="AT62" cm="1">
        <f t="array" ref="AT62">$D$10*(1+$AS62)+VLOOKUP($R62,武学奇术!$A:$ZZ,3,FALSE)+SUM(_xlfn.XLOOKUP($S62:$AL62,增益!$A:$A,增益!$C:$C,0))-$I$2</f>
        <v>3839.102</v>
      </c>
      <c r="AU62" cm="1">
        <f t="array" ref="AU62">$E$10*(1+$AS62)+VLOOKUP($R62,武学奇术!$A:$ZZ,4,FALSE)+SUM(_xlfn.XLOOKUP($S62:$AL62,增益!$A:$A,增益!$D:$D,0))-$I$2</f>
        <v>3839.102</v>
      </c>
      <c r="AV62" s="30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0.217</v>
      </c>
      <c r="AW62" s="30" cm="1">
        <f t="array" ref="AW62">$G$10+VLOOKUP($R62,武学奇术!$A:$ZZ,7,FALSE)+SUM(_xlfn.XLOOKUP($S62:$AL62,增益!$A:$A,增益!$G:$G,0))</f>
        <v>0.09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0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0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0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0" cm="1">
        <f t="array" ref="BF62">$G$12+VLOOKUP($R62,武学奇术!$A:$ZZ,12,FALSE)+SUM(_xlfn.XLOOKUP($S62:$AL62,增益!$A:$A,增益!$L:$L,0))</f>
        <v>0</v>
      </c>
      <c r="BG62">
        <f t="shared" si="5"/>
        <v>0</v>
      </c>
      <c r="BH62">
        <f t="shared" si="6"/>
        <v>0</v>
      </c>
      <c r="BI62" s="30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-0.3</v>
      </c>
      <c r="BJ62" s="30" cm="1">
        <f t="array" ref="BJ62">$G$13+VLOOKUP($R62,武学奇术!$A:$ZZ,14,FALSE)+SUM(_xlfn.XLOOKUP($S62:$AL62,增益!$A:$A,增益!$N:$N,0))</f>
        <v>0</v>
      </c>
      <c r="BK62">
        <f t="shared" si="7"/>
        <v>605.472</v>
      </c>
      <c r="BL62">
        <f t="shared" si="8"/>
        <v>1725.468</v>
      </c>
      <c r="BM62" s="30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0</v>
      </c>
      <c r="BN62" s="30" cm="1">
        <f t="array" ref="BN62">$G$14+VLOOKUP($R62,武学奇术!$A:$ZZ,16,FALSE)+SUM(_xlfn.XLOOKUP($S62:$AL62,增益!$A:$A,增益!$P:$P,0))</f>
        <v>0.24</v>
      </c>
      <c r="BO62" s="24">
        <f>MIN(IF(VLOOKUP($R62,武学奇术!$A:$ZZ,23,FALSE)=1,100%,$B$8),100%)</f>
        <v>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+MIN(IF(VLOOKUP($R62,武学奇术!$A:$ZZ,32,FALSE)=1,IF(VLOOKUP($R62,武学奇术!$A:$ZZ,24,FALSE)=1,100%,MIN(40%,$B$10+VLOOKUP($R62,武学奇术!$A:$ZZ,19,FALSE)+SUM(_xlfn.XLOOKUP($S62:$AL62,增益!$A:$A,增益!$S:$S,0)))+$B$12+SUM(_xlfn.XLOOKUP($S62:$AL62,增益!$A:$A,增益!$V:$V,0))),0),12%)</f>
        <v>0.9036</v>
      </c>
      <c r="BQ62" s="24" cm="1">
        <f t="array" ref="BQ62">1+$B$13+VLOOKUP($R62,武学奇术!$A:$ZZ,18,FALSE)+SUM(_xlfn.XLOOKUP($S62:$AL62,增益!$A:$A,增益!$R:$R,0))</f>
        <v>1.64</v>
      </c>
      <c r="BR62" s="24" cm="1">
        <f t="array" ref="BR62">MAX(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-IF(VLOOKUP($R62,武学奇术!$A:$ZZ,32,FALSE)=1,12%,0),0)</f>
        <v>0.0929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0.9036</v>
      </c>
      <c r="BU62" s="24">
        <f t="shared" si="10"/>
        <v>0.00350000000000006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0.11</v>
      </c>
      <c r="BX62" s="24" cm="1">
        <f t="array" ref="BX62">SUM(_xlfn.XLOOKUP($S62:$AL62,增益!$A:$A,增益!$X:$X,0))</f>
        <v>0</v>
      </c>
    </row>
    <row r="63" spans="1:76">
      <c r="A63" s="4"/>
      <c r="B63" s="4"/>
      <c r="K63">
        <f>$L63*VLOOKUP($R63,武学奇术!$A:$ZZ,31,FALSE)</f>
        <v>87552.6628937658</v>
      </c>
      <c r="L63" s="36">
        <f t="shared" si="13"/>
        <v>67348.2022259737</v>
      </c>
      <c r="M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BQ63*$Q63*(1+IF(VLOOKUP($R63,武学奇术!$A:$ZZ,30,FALSE)="蓄力技",$B$21,0))*(1+$BW63)</f>
        <v>68767.6151870981</v>
      </c>
      <c r="N63" s="36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蓄力技",$B$21,0))*(1+$BW63)</f>
        <v>54744.0243033421</v>
      </c>
      <c r="O63" s="36">
        <f>((($AT63+($AU63-$AT63)*IF(VLOOKUP($R63,武学奇术!$A:$ZZ,31,FALSE)=1,$F$18,0.5))*$AN63+$AO63)*(1+$AV63)*(1+$AW63)+(($AY63+($AZ63-$AY63)*IF(VLOOKUP($R63,武学奇术!$A:$ZZ,31,FALSE)=1,$F$18,0.5))*IF($G$1="鸣金",$AP63,$AN63)+IF($G$1="鸣金",$AQ63*1.5,0))*(1+$BA63)*(1+$BB63)+(($BC63+($BD63-$BC63)*IF(VLOOKUP($R63,武学奇术!$A:$ZZ,31,FALSE)=1,$F$18,0.5))*IF($G$1="裂石",$AP63,$AN63)+IF($G$1="裂石",$AQ63*1.5,0))*(1+$BE63)*(1+$BF63)+(($BG63+($BH63-$BG63)*IF(VLOOKUP($R63,武学奇术!$A:$ZZ,31,FALSE)=1,$F$18,0.5))*IF($G$1="牵丝",$AP63,$AN63)+IF($G$1="牵丝",$AQ63*1.5,0))*(1+$BI63)*(1+$BJ63)+(($BK63+($BL63-$BK63)*IF(VLOOKUP($R63,武学奇术!$A:$ZZ,31,FALSE)=1,$F$18,0.5))*IF($G$1="破竹",$AP63,$AN63)+IF($G$1="破竹",$AQ63*1.5,0))*(1+$BM63)*(1+$BN63))*(1+$AR63)*$Q63*(1+IF(VLOOKUP($R63,武学奇术!$A:$ZZ,30,FALSE)="蓄力技",$B$21,0))*(1+$BW63)</f>
        <v>35447.2243232465</v>
      </c>
      <c r="P63" s="36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蓄力技",$B$21,0))*(1+$BW63)</f>
        <v>30343.3195329062</v>
      </c>
      <c r="Q63" s="37">
        <v>1</v>
      </c>
      <c r="R63" s="38" t="s">
        <v>124</v>
      </c>
      <c r="S63" s="38" t="s">
        <v>104</v>
      </c>
      <c r="T63" s="38" t="s">
        <v>79</v>
      </c>
      <c r="U63" s="38" t="s">
        <v>79</v>
      </c>
      <c r="V63" s="38" t="s">
        <v>79</v>
      </c>
      <c r="W63" s="38" t="s">
        <v>79</v>
      </c>
      <c r="X63" s="38" t="s">
        <v>79</v>
      </c>
      <c r="Y63" s="38" t="s">
        <v>173</v>
      </c>
      <c r="Z63" s="38" t="s">
        <v>79</v>
      </c>
      <c r="AA63" s="38" t="s">
        <v>112</v>
      </c>
      <c r="AB63" s="38" t="s">
        <v>79</v>
      </c>
      <c r="AC63" s="38" t="s">
        <v>79</v>
      </c>
      <c r="AD63" s="38" t="s">
        <v>79</v>
      </c>
      <c r="AE63" s="38" t="s">
        <v>79</v>
      </c>
      <c r="AF63" s="38" t="s">
        <v>84</v>
      </c>
      <c r="AG63" s="38" t="s">
        <v>85</v>
      </c>
      <c r="AH63" s="38" t="s">
        <v>79</v>
      </c>
      <c r="AI63" s="38" t="s">
        <v>79</v>
      </c>
      <c r="AJ63" s="38" t="s">
        <v>79</v>
      </c>
      <c r="AK63" s="38" t="s">
        <v>79</v>
      </c>
      <c r="AL63" s="38" t="s">
        <v>79</v>
      </c>
      <c r="AM63" t="str">
        <f>VLOOKUP($R63,武学奇术!$A:$ZZ,25,FALSE)</f>
        <v>拳甲</v>
      </c>
      <c r="AN63" s="24">
        <f>VLOOKUP($R63,武学奇术!$A:$ZZ,26,FALSE)</f>
        <v>2.638944</v>
      </c>
      <c r="AO63" s="25">
        <f>VLOOKUP($R63,武学奇术!$A:$ZZ,27,FALSE)*(1+IF(OR($AM63=$F$4,$AM63=$F$5),$B$22,0))</f>
        <v>0</v>
      </c>
      <c r="AP63" s="24">
        <f>VLOOKUP($R63,武学奇术!$A:$ZZ,28,FALSE)</f>
        <v>3.958416</v>
      </c>
      <c r="AQ63" s="25">
        <f>VLOOKUP($R63,武学奇术!$A:$ZZ,29,FALSE)*(1+IF(OR($AM63=$F$4,$AM63=$F$5),$B$22,0))</f>
        <v>0</v>
      </c>
      <c r="AR63" s="24" cm="1">
        <f t="array" ref="AR63">$G$3+IFERROR(VLOOKUP($AM63,$F$4:$G$7,2,FALSE),0)+VLOOKUP($R63,武学奇术!$A:$ZZ,2,FALSE)+SUM(_xlfn.XLOOKUP($S63:$AL63,增益!$A:$A,增益!$B:$B,0))</f>
        <v>0.6241</v>
      </c>
      <c r="AS63" s="24" cm="1">
        <f t="array" ref="AS63">VLOOKUP($R63,武学奇术!$A:$ZZ,5,FALSE)+SUM(_xlfn.XLOOKUP($S63:$AL63,增益!$A:$A,增益!$E:$E,0))</f>
        <v>0</v>
      </c>
      <c r="AT63" cm="1">
        <f t="array" ref="AT63">$D$10*(1+$AS63)+VLOOKUP($R63,武学奇术!$A:$ZZ,3,FALSE)+SUM(_xlfn.XLOOKUP($S63:$AL63,增益!$A:$A,增益!$C:$C,0))-$I$2</f>
        <v>3839.102</v>
      </c>
      <c r="AU63" cm="1">
        <f t="array" ref="AU63">$E$10*(1+$AS63)+VLOOKUP($R63,武学奇术!$A:$ZZ,4,FALSE)+SUM(_xlfn.XLOOKUP($S63:$AL63,增益!$A:$A,增益!$D:$D,0))-$I$2</f>
        <v>3839.102</v>
      </c>
      <c r="AV63" s="30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0.247</v>
      </c>
      <c r="AW63" s="30" cm="1">
        <f t="array" ref="AW63">$G$10+VLOOKUP($R63,武学奇术!$A:$ZZ,7,FALSE)+SUM(_xlfn.XLOOKUP($S63:$AL63,增益!$A:$A,增益!$G:$G,0))</f>
        <v>0.09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0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-0.24</v>
      </c>
      <c r="BB63" s="30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0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-0.24</v>
      </c>
      <c r="BF63" s="30" cm="1">
        <f t="array" ref="BF63">$G$12+VLOOKUP($R63,武学奇术!$A:$ZZ,12,FALSE)+SUM(_xlfn.XLOOKUP($S63:$AL63,增益!$A:$A,增益!$L:$L,0))</f>
        <v>0</v>
      </c>
      <c r="BG63">
        <f t="shared" si="5"/>
        <v>0</v>
      </c>
      <c r="BH63">
        <f t="shared" si="6"/>
        <v>0</v>
      </c>
      <c r="BI63" s="30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-0.24</v>
      </c>
      <c r="BJ63" s="30" cm="1">
        <f t="array" ref="BJ63">$G$13+VLOOKUP($R63,武学奇术!$A:$ZZ,14,FALSE)+SUM(_xlfn.XLOOKUP($S63:$AL63,增益!$A:$A,增益!$N:$N,0))</f>
        <v>0</v>
      </c>
      <c r="BK63">
        <f t="shared" si="7"/>
        <v>605.472</v>
      </c>
      <c r="BL63">
        <f t="shared" si="8"/>
        <v>1725.468</v>
      </c>
      <c r="BM63" s="30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0.03</v>
      </c>
      <c r="BN63" s="30" cm="1">
        <f t="array" ref="BN63">$G$14+VLOOKUP($R63,武学奇术!$A:$ZZ,16,FALSE)+SUM(_xlfn.XLOOKUP($S63:$AL63,增益!$A:$A,增益!$P:$P,0))</f>
        <v>0.24</v>
      </c>
      <c r="BO63" s="24">
        <f>MIN(IF(VLOOKUP($R63,武学奇术!$A:$ZZ,23,FALSE)=1,100%,$B$8),100%)</f>
        <v>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+MIN(IF(VLOOKUP($R63,武学奇术!$A:$ZZ,32,FALSE)=1,IF(VLOOKUP($R63,武学奇术!$A:$ZZ,24,FALSE)=1,100%,MIN(40%,$B$10+VLOOKUP($R63,武学奇术!$A:$ZZ,19,FALSE)+SUM(_xlfn.XLOOKUP($S63:$AL63,增益!$A:$A,增益!$S:$S,0)))+$B$12+SUM(_xlfn.XLOOKUP($S63:$AL63,增益!$A:$A,增益!$V:$V,0))),0),12%)</f>
        <v>0.9036</v>
      </c>
      <c r="BQ63" s="24" cm="1">
        <f t="array" ref="BQ63">1+$B$13+VLOOKUP($R63,武学奇术!$A:$ZZ,18,FALSE)+SUM(_xlfn.XLOOKUP($S63:$AL63,增益!$A:$A,增益!$R:$R,0))</f>
        <v>1.94</v>
      </c>
      <c r="BR63" s="24" cm="1">
        <f t="array" ref="BR63">MAX(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-IF(VLOOKUP($R63,武学奇术!$A:$ZZ,32,FALSE)=1,12%,0),0)</f>
        <v>0.0929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0.9036</v>
      </c>
      <c r="BU63" s="24">
        <f t="shared" si="10"/>
        <v>0.00350000000000006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0.11</v>
      </c>
      <c r="BX63" s="24" cm="1">
        <f t="array" ref="BX63">SUM(_xlfn.XLOOKUP($S63:$AL63,增益!$A:$A,增益!$X:$X,0))</f>
        <v>0</v>
      </c>
    </row>
    <row r="64" spans="1:76">
      <c r="A64" s="4"/>
      <c r="B64" s="91"/>
      <c r="F64" s="4"/>
      <c r="G64" s="91"/>
      <c r="K64">
        <f>$L64*VLOOKUP($R64,武学奇术!$A:$ZZ,31,FALSE)</f>
        <v>106165.012094749</v>
      </c>
      <c r="L64" s="36">
        <f t="shared" si="13"/>
        <v>81665.3939190378</v>
      </c>
      <c r="M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BQ64*$Q64*(1+IF(VLOOKUP($R64,武学奇术!$A:$ZZ,30,FALSE)="蓄力技",$B$21,0))*(1+$BW64)</f>
        <v>83536.8281618431</v>
      </c>
      <c r="N64" s="36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蓄力技",$B$21,0))*(1+$BW64)</f>
        <v>64917.1713621041</v>
      </c>
      <c r="O64" s="36">
        <f>((($AT64+($AU64-$AT64)*IF(VLOOKUP($R64,武学奇术!$A:$ZZ,31,FALSE)=1,$F$18,0.5))*$AN64+$AO64)*(1+$AV64)*(1+$AW64)+(($AY64+($AZ64-$AY64)*IF(VLOOKUP($R64,武学奇术!$A:$ZZ,31,FALSE)=1,$F$18,0.5))*IF($G$1="鸣金",$AP64,$AN64)+IF($G$1="鸣金",$AQ64*1.5,0))*(1+$BA64)*(1+$BB64)+(($BC64+($BD64-$BC64)*IF(VLOOKUP($R64,武学奇术!$A:$ZZ,31,FALSE)=1,$F$18,0.5))*IF($G$1="裂石",$AP64,$AN64)+IF($G$1="裂石",$AQ64*1.5,0))*(1+$BE64)*(1+$BF64)+(($BG64+($BH64-$BG64)*IF(VLOOKUP($R64,武学奇术!$A:$ZZ,31,FALSE)=1,$F$18,0.5))*IF($G$1="牵丝",$AP64,$AN64)+IF($G$1="牵丝",$AQ64*1.5,0))*(1+$BI64)*(1+$BJ64)+(($BK64+($BL64-$BK64)*IF(VLOOKUP($R64,武学奇术!$A:$ZZ,31,FALSE)=1,$F$18,0.5))*IF($G$1="破竹",$AP64,$AN64)+IF($G$1="破竹",$AQ64*1.5,0))*(1+$BM64)*(1+$BN64))*(1+$AR64)*$Q64*(1+IF(VLOOKUP($R64,武学奇术!$A:$ZZ,30,FALSE)="蓄力技",$B$21,0))*(1+$BW64)</f>
        <v>43060.220701981</v>
      </c>
      <c r="P64" s="36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蓄力技",$B$21,0))*(1+$BW64)</f>
        <v>38033.6478024034</v>
      </c>
      <c r="Q64" s="37">
        <v>1</v>
      </c>
      <c r="R64" s="38" t="s">
        <v>119</v>
      </c>
      <c r="S64" s="38" t="s">
        <v>104</v>
      </c>
      <c r="T64" s="38" t="s">
        <v>79</v>
      </c>
      <c r="U64" s="38" t="s">
        <v>79</v>
      </c>
      <c r="V64" s="38" t="s">
        <v>79</v>
      </c>
      <c r="W64" s="38" t="s">
        <v>79</v>
      </c>
      <c r="X64" s="38" t="s">
        <v>79</v>
      </c>
      <c r="Y64" s="38" t="s">
        <v>173</v>
      </c>
      <c r="Z64" s="38" t="s">
        <v>79</v>
      </c>
      <c r="AA64" s="38" t="s">
        <v>112</v>
      </c>
      <c r="AB64" s="38" t="s">
        <v>79</v>
      </c>
      <c r="AC64" s="38" t="s">
        <v>79</v>
      </c>
      <c r="AD64" s="38" t="s">
        <v>79</v>
      </c>
      <c r="AE64" s="38" t="s">
        <v>79</v>
      </c>
      <c r="AF64" s="38" t="s">
        <v>84</v>
      </c>
      <c r="AG64" s="38" t="s">
        <v>85</v>
      </c>
      <c r="AH64" s="38" t="s">
        <v>79</v>
      </c>
      <c r="AI64" s="38" t="s">
        <v>79</v>
      </c>
      <c r="AJ64" s="38" t="s">
        <v>79</v>
      </c>
      <c r="AK64" s="38" t="s">
        <v>79</v>
      </c>
      <c r="AL64" s="38" t="s">
        <v>79</v>
      </c>
      <c r="AM64" t="str">
        <f>VLOOKUP($R64,武学奇术!$A:$ZZ,25,FALSE)</f>
        <v>拳甲</v>
      </c>
      <c r="AN64" s="24">
        <f>VLOOKUP($R64,武学奇术!$A:$ZZ,26,FALSE)</f>
        <v>2.91176</v>
      </c>
      <c r="AO64" s="25">
        <f>VLOOKUP($R64,武学奇术!$A:$ZZ,27,FALSE)*(1+IF(OR($AM64=$F$4,$AM64=$F$5),$B$22,0))</f>
        <v>1208.7</v>
      </c>
      <c r="AP64" s="24">
        <f>VLOOKUP($R64,武学奇术!$A:$ZZ,28,FALSE)</f>
        <v>3.89844</v>
      </c>
      <c r="AQ64" s="25">
        <f>VLOOKUP($R64,武学奇术!$A:$ZZ,29,FALSE)*(1+IF(OR($AM64=$F$4,$AM64=$F$5),$B$22,0))</f>
        <v>650.25</v>
      </c>
      <c r="AR64" s="24" cm="1">
        <f t="array" ref="AR64">$G$3+IFERROR(VLOOKUP($AM64,$F$4:$G$7,2,FALSE),0)+VLOOKUP($R64,武学奇术!$A:$ZZ,2,FALSE)+SUM(_xlfn.XLOOKUP($S64:$AL64,增益!$A:$A,增益!$B:$B,0))</f>
        <v>0.6241</v>
      </c>
      <c r="AS64" s="24" cm="1">
        <f t="array" ref="AS64">VLOOKUP($R64,武学奇术!$A:$ZZ,5,FALSE)+SUM(_xlfn.XLOOKUP($S64:$AL64,增益!$A:$A,增益!$E:$E,0))</f>
        <v>0</v>
      </c>
      <c r="AT64" cm="1">
        <f t="array" ref="AT64">$D$10*(1+$AS64)+VLOOKUP($R64,武学奇术!$A:$ZZ,3,FALSE)+SUM(_xlfn.XLOOKUP($S64:$AL64,增益!$A:$A,增益!$C:$C,0))-$I$2</f>
        <v>3839.102</v>
      </c>
      <c r="AU64" cm="1">
        <f t="array" ref="AU64">$E$10*(1+$AS64)+VLOOKUP($R64,武学奇术!$A:$ZZ,4,FALSE)+SUM(_xlfn.XLOOKUP($S64:$AL64,增益!$A:$A,增益!$D:$D,0))-$I$2</f>
        <v>3839.102</v>
      </c>
      <c r="AV64" s="30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0.247</v>
      </c>
      <c r="AW64" s="30" cm="1">
        <f t="array" ref="AW64">$G$10+VLOOKUP($R64,武学奇术!$A:$ZZ,7,FALSE)+SUM(_xlfn.XLOOKUP($S64:$AL64,增益!$A:$A,增益!$G:$G,0))</f>
        <v>0.09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0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-0.24</v>
      </c>
      <c r="BB64" s="30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0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-0.24</v>
      </c>
      <c r="BF64" s="30" cm="1">
        <f t="array" ref="BF64">$G$12+VLOOKUP($R64,武学奇术!$A:$ZZ,12,FALSE)+SUM(_xlfn.XLOOKUP($S64:$AL64,增益!$A:$A,增益!$L:$L,0))</f>
        <v>0</v>
      </c>
      <c r="BG64">
        <f t="shared" si="5"/>
        <v>0</v>
      </c>
      <c r="BH64">
        <f t="shared" si="6"/>
        <v>0</v>
      </c>
      <c r="BI64" s="30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-0.24</v>
      </c>
      <c r="BJ64" s="30" cm="1">
        <f t="array" ref="BJ64">$G$13+VLOOKUP($R64,武学奇术!$A:$ZZ,14,FALSE)+SUM(_xlfn.XLOOKUP($S64:$AL64,增益!$A:$A,增益!$N:$N,0))</f>
        <v>0</v>
      </c>
      <c r="BK64">
        <f t="shared" si="7"/>
        <v>605.472</v>
      </c>
      <c r="BL64">
        <f t="shared" si="8"/>
        <v>1725.468</v>
      </c>
      <c r="BM64" s="30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0.03</v>
      </c>
      <c r="BN64" s="30" cm="1">
        <f t="array" ref="BN64">$G$14+VLOOKUP($R64,武学奇术!$A:$ZZ,16,FALSE)+SUM(_xlfn.XLOOKUP($S64:$AL64,增益!$A:$A,增益!$P:$P,0))</f>
        <v>0.24</v>
      </c>
      <c r="BO64" s="24">
        <f>MIN(IF(VLOOKUP($R64,武学奇术!$A:$ZZ,23,FALSE)=1,100%,$B$8),100%)</f>
        <v>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+MIN(IF(VLOOKUP($R64,武学奇术!$A:$ZZ,32,FALSE)=1,IF(VLOOKUP($R64,武学奇术!$A:$ZZ,24,FALSE)=1,100%,MIN(40%,$B$10+VLOOKUP($R64,武学奇术!$A:$ZZ,19,FALSE)+SUM(_xlfn.XLOOKUP($S64:$AL64,增益!$A:$A,增益!$S:$S,0)))+$B$12+SUM(_xlfn.XLOOKUP($S64:$AL64,增益!$A:$A,增益!$V:$V,0))),0),12%)</f>
        <v>0.9036</v>
      </c>
      <c r="BQ64" s="24" cm="1">
        <f t="array" ref="BQ64">1+$B$13+VLOOKUP($R64,武学奇术!$A:$ZZ,18,FALSE)+SUM(_xlfn.XLOOKUP($S64:$AL64,增益!$A:$A,增益!$R:$R,0))</f>
        <v>1.94</v>
      </c>
      <c r="BR64" s="24" cm="1">
        <f t="array" ref="BR64">MAX(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-IF(VLOOKUP($R64,武学奇术!$A:$ZZ,32,FALSE)=1,12%,0),0)</f>
        <v>0.0929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0.9036</v>
      </c>
      <c r="BU64" s="24">
        <f t="shared" si="10"/>
        <v>0.00350000000000006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0.11</v>
      </c>
      <c r="BX64" s="24" cm="1">
        <f t="array" ref="BX64">SUM(_xlfn.XLOOKUP($S64:$AL64,增益!$A:$A,增益!$X:$X,0))</f>
        <v>0</v>
      </c>
    </row>
    <row r="65" spans="1:76">
      <c r="K65">
        <f>$L65*VLOOKUP($R65,武学奇术!$A:$ZZ,31,FALSE)</f>
        <v>25354.1383104499</v>
      </c>
      <c r="L65" s="36">
        <f t="shared" si="13"/>
        <v>25354.1383104499</v>
      </c>
      <c r="M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BQ65*$Q65*(1+IF(VLOOKUP($R65,武学奇术!$A:$ZZ,30,FALSE)="蓄力技",$B$21,0))*(1+$BW65)</f>
        <v>25561.7647454447</v>
      </c>
      <c r="N65" s="36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蓄力技",$B$21,0))*(1+$BW65)</f>
        <v>23702.6387486891</v>
      </c>
      <c r="O65" s="36">
        <f>((($AT65+($AU65-$AT65)*IF(VLOOKUP($R65,武学奇术!$A:$ZZ,31,FALSE)=1,$F$18,0.5))*$AN65+$AO65)*(1+$AV65)*(1+$AW65)+(($AY65+($AZ65-$AY65)*IF(VLOOKUP($R65,武学奇术!$A:$ZZ,31,FALSE)=1,$F$18,0.5))*IF($G$1="鸣金",$AP65,$AN65)+IF($G$1="鸣金",$AQ65*1.5,0))*(1+$BA65)*(1+$BB65)+(($BC65+($BD65-$BC65)*IF(VLOOKUP($R65,武学奇术!$A:$ZZ,31,FALSE)=1,$F$18,0.5))*IF($G$1="裂石",$AP65,$AN65)+IF($G$1="裂石",$AQ65*1.5,0))*(1+$BE65)*(1+$BF65)+(($BG65+($BH65-$BG65)*IF(VLOOKUP($R65,武学奇术!$A:$ZZ,31,FALSE)=1,$F$18,0.5))*IF($G$1="牵丝",$AP65,$AN65)+IF($G$1="牵丝",$AQ65*1.5,0))*(1+$BI65)*(1+$BJ65)+(($BK65+($BL65-$BK65)*IF(VLOOKUP($R65,武学奇术!$A:$ZZ,31,FALSE)=1,$F$18,0.5))*IF($G$1="破竹",$AP65,$AN65)+IF($G$1="破竹",$AQ65*1.5,0))*(1+$BM65)*(1+$BN65))*(1+$AR65)*$Q65*(1+IF(VLOOKUP($R65,武学奇术!$A:$ZZ,30,FALSE)="蓄力技",$B$21,0))*(1+$BW65)</f>
        <v>15586.4419179541</v>
      </c>
      <c r="P65" s="36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蓄力技",$B$21,0))*(1+$BW65)</f>
        <v>13615.373651694</v>
      </c>
      <c r="Q65" s="37">
        <v>1</v>
      </c>
      <c r="R65" s="38" t="s">
        <v>122</v>
      </c>
      <c r="S65" s="38" t="s">
        <v>104</v>
      </c>
      <c r="T65" s="38" t="s">
        <v>79</v>
      </c>
      <c r="U65" s="38" t="s">
        <v>79</v>
      </c>
      <c r="V65" s="38" t="s">
        <v>79</v>
      </c>
      <c r="W65" s="38" t="s">
        <v>79</v>
      </c>
      <c r="X65" s="38" t="s">
        <v>79</v>
      </c>
      <c r="Y65" s="38" t="s">
        <v>173</v>
      </c>
      <c r="Z65" s="38" t="s">
        <v>79</v>
      </c>
      <c r="AA65" s="38" t="s">
        <v>79</v>
      </c>
      <c r="AB65" s="38" t="s">
        <v>79</v>
      </c>
      <c r="AC65" s="38" t="s">
        <v>79</v>
      </c>
      <c r="AD65" s="38" t="s">
        <v>79</v>
      </c>
      <c r="AE65" s="38" t="s">
        <v>79</v>
      </c>
      <c r="AF65" s="38" t="s">
        <v>84</v>
      </c>
      <c r="AG65" s="38" t="s">
        <v>85</v>
      </c>
      <c r="AH65" s="38" t="s">
        <v>79</v>
      </c>
      <c r="AI65" s="38" t="s">
        <v>79</v>
      </c>
      <c r="AJ65" s="38" t="s">
        <v>79</v>
      </c>
      <c r="AK65" s="38" t="s">
        <v>79</v>
      </c>
      <c r="AL65" s="38" t="s">
        <v>79</v>
      </c>
      <c r="AM65" t="str">
        <f>VLOOKUP($R65,武学奇术!$A:$ZZ,25,FALSE)</f>
        <v>拳甲</v>
      </c>
      <c r="AN65" s="24">
        <f>VLOOKUP($R65,武学奇术!$A:$ZZ,26,FALSE)</f>
        <v>1.2876</v>
      </c>
      <c r="AO65" s="25">
        <f>VLOOKUP($R65,武学奇术!$A:$ZZ,27,FALSE)*(1+IF(OR($AM65=$F$4,$AM65=$F$5),$B$22,0))</f>
        <v>537</v>
      </c>
      <c r="AP65" s="24">
        <f>VLOOKUP($R65,武学奇术!$A:$ZZ,28,FALSE)</f>
        <v>1.9313</v>
      </c>
      <c r="AQ65" s="25">
        <f>VLOOKUP($R65,武学奇术!$A:$ZZ,29,FALSE)*(1+IF(OR($AM65=$F$4,$AM65=$F$5),$B$22,0))</f>
        <v>292.5</v>
      </c>
      <c r="AR65" s="24" cm="1">
        <f t="array" ref="AR65">$G$3+IFERROR(VLOOKUP($AM65,$F$4:$G$7,2,FALSE),0)+VLOOKUP($R65,武学奇术!$A:$ZZ,2,FALSE)+SUM(_xlfn.XLOOKUP($S65:$AL65,增益!$A:$A,增益!$B:$B,0))</f>
        <v>0.3241</v>
      </c>
      <c r="AS65" s="24" cm="1">
        <f t="array" ref="AS65">VLOOKUP($R65,武学奇术!$A:$ZZ,5,FALSE)+SUM(_xlfn.XLOOKUP($S65:$AL65,增益!$A:$A,增益!$E:$E,0))</f>
        <v>0</v>
      </c>
      <c r="AT65" cm="1">
        <f t="array" ref="AT65">$D$10*(1+$AS65)+VLOOKUP($R65,武学奇术!$A:$ZZ,3,FALSE)+SUM(_xlfn.XLOOKUP($S65:$AL65,增益!$A:$A,增益!$C:$C,0))-$I$2</f>
        <v>3839.102</v>
      </c>
      <c r="AU65" cm="1">
        <f t="array" ref="AU65">$E$10*(1+$AS65)+VLOOKUP($R65,武学奇术!$A:$ZZ,4,FALSE)+SUM(_xlfn.XLOOKUP($S65:$AL65,增益!$A:$A,增益!$D:$D,0))-$I$2</f>
        <v>3839.102</v>
      </c>
      <c r="AV65" s="30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0.217</v>
      </c>
      <c r="AW65" s="30" cm="1">
        <f t="array" ref="AW65">$G$10+VLOOKUP($R65,武学奇术!$A:$ZZ,7,FALSE)+SUM(_xlfn.XLOOKUP($S65:$AL65,增益!$A:$A,增益!$G:$G,0))</f>
        <v>0.09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0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0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0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0" cm="1">
        <f t="array" ref="BF65">$G$12+VLOOKUP($R65,武学奇术!$A:$ZZ,12,FALSE)+SUM(_xlfn.XLOOKUP($S65:$AL65,增益!$A:$A,增益!$L:$L,0))</f>
        <v>0</v>
      </c>
      <c r="BG65">
        <f t="shared" si="5"/>
        <v>0</v>
      </c>
      <c r="BH65">
        <f t="shared" si="6"/>
        <v>0</v>
      </c>
      <c r="BI65" s="30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-0.3</v>
      </c>
      <c r="BJ65" s="30" cm="1">
        <f t="array" ref="BJ65">$G$13+VLOOKUP($R65,武学奇术!$A:$ZZ,14,FALSE)+SUM(_xlfn.XLOOKUP($S65:$AL65,增益!$A:$A,增益!$N:$N,0))</f>
        <v>0</v>
      </c>
      <c r="BK65">
        <f t="shared" si="7"/>
        <v>605.472</v>
      </c>
      <c r="BL65">
        <f t="shared" si="8"/>
        <v>1725.468</v>
      </c>
      <c r="BM65" s="30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0</v>
      </c>
      <c r="BN65" s="30" cm="1">
        <f t="array" ref="BN65">$G$14+VLOOKUP($R65,武学奇术!$A:$ZZ,16,FALSE)+SUM(_xlfn.XLOOKUP($S65:$AL65,增益!$A:$A,增益!$P:$P,0))</f>
        <v>0.24</v>
      </c>
      <c r="BO65" s="24">
        <f>MIN(IF(VLOOKUP($R65,武学奇术!$A:$ZZ,23,FALSE)=1,100%,$B$8),100%)</f>
        <v>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+MIN(IF(VLOOKUP($R65,武学奇术!$A:$ZZ,32,FALSE)=1,IF(VLOOKUP($R65,武学奇术!$A:$ZZ,24,FALSE)=1,100%,MIN(40%,$B$10+VLOOKUP($R65,武学奇术!$A:$ZZ,19,FALSE)+SUM(_xlfn.XLOOKUP($S65:$AL65,增益!$A:$A,增益!$S:$S,0)))+$B$12+SUM(_xlfn.XLOOKUP($S65:$AL65,增益!$A:$A,增益!$V:$V,0))),0),12%)</f>
        <v>0.9036</v>
      </c>
      <c r="BQ65" s="24" cm="1">
        <f t="array" ref="BQ65">1+$B$13+VLOOKUP($R65,武学奇术!$A:$ZZ,18,FALSE)+SUM(_xlfn.XLOOKUP($S65:$AL65,增益!$A:$A,增益!$R:$R,0))</f>
        <v>1.64</v>
      </c>
      <c r="BR65" s="24" cm="1">
        <f t="array" ref="BR65">MAX(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-IF(VLOOKUP($R65,武学奇术!$A:$ZZ,32,FALSE)=1,12%,0),0)</f>
        <v>0.0929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0.9036</v>
      </c>
      <c r="BU65" s="24">
        <f t="shared" si="10"/>
        <v>0.00350000000000006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0.11</v>
      </c>
      <c r="BX65" s="24" cm="1">
        <f t="array" ref="BX65">SUM(_xlfn.XLOOKUP($S65:$AL65,增益!$A:$A,增益!$X:$X,0))</f>
        <v>0</v>
      </c>
    </row>
    <row r="66" spans="1:76">
      <c r="F66" s="4"/>
      <c r="G66" s="4"/>
      <c r="K66">
        <f>$L66*VLOOKUP($R66,武学奇术!$A:$ZZ,31,FALSE)</f>
        <v>87552.6628937658</v>
      </c>
      <c r="L66" s="36">
        <f t="shared" si="13"/>
        <v>67348.2022259737</v>
      </c>
      <c r="M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BQ66*$Q66*(1+IF(VLOOKUP($R66,武学奇术!$A:$ZZ,30,FALSE)="蓄力技",$B$21,0))*(1+$BW66)</f>
        <v>68767.6151870981</v>
      </c>
      <c r="N66" s="36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蓄力技",$B$21,0))*(1+$BW66)</f>
        <v>54744.0243033421</v>
      </c>
      <c r="O66" s="36">
        <f>((($AT66+($AU66-$AT66)*IF(VLOOKUP($R66,武学奇术!$A:$ZZ,31,FALSE)=1,$F$18,0.5))*$AN66+$AO66)*(1+$AV66)*(1+$AW66)+(($AY66+($AZ66-$AY66)*IF(VLOOKUP($R66,武学奇术!$A:$ZZ,31,FALSE)=1,$F$18,0.5))*IF($G$1="鸣金",$AP66,$AN66)+IF($G$1="鸣金",$AQ66*1.5,0))*(1+$BA66)*(1+$BB66)+(($BC66+($BD66-$BC66)*IF(VLOOKUP($R66,武学奇术!$A:$ZZ,31,FALSE)=1,$F$18,0.5))*IF($G$1="裂石",$AP66,$AN66)+IF($G$1="裂石",$AQ66*1.5,0))*(1+$BE66)*(1+$BF66)+(($BG66+($BH66-$BG66)*IF(VLOOKUP($R66,武学奇术!$A:$ZZ,31,FALSE)=1,$F$18,0.5))*IF($G$1="牵丝",$AP66,$AN66)+IF($G$1="牵丝",$AQ66*1.5,0))*(1+$BI66)*(1+$BJ66)+(($BK66+($BL66-$BK66)*IF(VLOOKUP($R66,武学奇术!$A:$ZZ,31,FALSE)=1,$F$18,0.5))*IF($G$1="破竹",$AP66,$AN66)+IF($G$1="破竹",$AQ66*1.5,0))*(1+$BM66)*(1+$BN66))*(1+$AR66)*$Q66*(1+IF(VLOOKUP($R66,武学奇术!$A:$ZZ,30,FALSE)="蓄力技",$B$21,0))*(1+$BW66)</f>
        <v>35447.2243232465</v>
      </c>
      <c r="P66" s="36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蓄力技",$B$21,0))*(1+$BW66)</f>
        <v>30343.3195329062</v>
      </c>
      <c r="Q66" s="37">
        <v>1</v>
      </c>
      <c r="R66" s="38" t="s">
        <v>124</v>
      </c>
      <c r="S66" s="38" t="s">
        <v>104</v>
      </c>
      <c r="T66" s="38" t="s">
        <v>79</v>
      </c>
      <c r="U66" s="38" t="s">
        <v>79</v>
      </c>
      <c r="V66" s="38" t="s">
        <v>79</v>
      </c>
      <c r="W66" s="38" t="s">
        <v>79</v>
      </c>
      <c r="X66" s="38" t="s">
        <v>79</v>
      </c>
      <c r="Y66" s="38" t="s">
        <v>173</v>
      </c>
      <c r="Z66" s="38" t="s">
        <v>79</v>
      </c>
      <c r="AA66" s="38" t="s">
        <v>112</v>
      </c>
      <c r="AB66" s="38" t="s">
        <v>79</v>
      </c>
      <c r="AC66" s="38" t="s">
        <v>79</v>
      </c>
      <c r="AD66" s="38" t="s">
        <v>79</v>
      </c>
      <c r="AE66" s="38" t="s">
        <v>79</v>
      </c>
      <c r="AF66" s="38" t="s">
        <v>84</v>
      </c>
      <c r="AG66" s="38" t="s">
        <v>85</v>
      </c>
      <c r="AH66" s="38" t="s">
        <v>79</v>
      </c>
      <c r="AI66" s="38" t="s">
        <v>79</v>
      </c>
      <c r="AJ66" s="38" t="s">
        <v>79</v>
      </c>
      <c r="AK66" s="38" t="s">
        <v>79</v>
      </c>
      <c r="AL66" s="38" t="s">
        <v>79</v>
      </c>
      <c r="AM66" t="str">
        <f>VLOOKUP($R66,武学奇术!$A:$ZZ,25,FALSE)</f>
        <v>拳甲</v>
      </c>
      <c r="AN66" s="24">
        <f>VLOOKUP($R66,武学奇术!$A:$ZZ,26,FALSE)</f>
        <v>2.638944</v>
      </c>
      <c r="AO66" s="25">
        <f>VLOOKUP($R66,武学奇术!$A:$ZZ,27,FALSE)*(1+IF(OR($AM66=$F$4,$AM66=$F$5),$B$22,0))</f>
        <v>0</v>
      </c>
      <c r="AP66" s="24">
        <f>VLOOKUP($R66,武学奇术!$A:$ZZ,28,FALSE)</f>
        <v>3.958416</v>
      </c>
      <c r="AQ66" s="25">
        <f>VLOOKUP($R66,武学奇术!$A:$ZZ,29,FALSE)*(1+IF(OR($AM66=$F$4,$AM66=$F$5),$B$22,0))</f>
        <v>0</v>
      </c>
      <c r="AR66" s="24" cm="1">
        <f t="array" ref="AR66">$G$3+IFERROR(VLOOKUP($AM66,$F$4:$G$7,2,FALSE),0)+VLOOKUP($R66,武学奇术!$A:$ZZ,2,FALSE)+SUM(_xlfn.XLOOKUP($S66:$AL66,增益!$A:$A,增益!$B:$B,0))</f>
        <v>0.6241</v>
      </c>
      <c r="AS66" s="24" cm="1">
        <f t="array" ref="AS66">VLOOKUP($R66,武学奇术!$A:$ZZ,5,FALSE)+SUM(_xlfn.XLOOKUP($S66:$AL66,增益!$A:$A,增益!$E:$E,0))</f>
        <v>0</v>
      </c>
      <c r="AT66" cm="1">
        <f t="array" ref="AT66">$D$10*(1+$AS66)+VLOOKUP($R66,武学奇术!$A:$ZZ,3,FALSE)+SUM(_xlfn.XLOOKUP($S66:$AL66,增益!$A:$A,增益!$C:$C,0))-$I$2</f>
        <v>3839.102</v>
      </c>
      <c r="AU66" cm="1">
        <f t="array" ref="AU66">$E$10*(1+$AS66)+VLOOKUP($R66,武学奇术!$A:$ZZ,4,FALSE)+SUM(_xlfn.XLOOKUP($S66:$AL66,增益!$A:$A,增益!$D:$D,0))-$I$2</f>
        <v>3839.102</v>
      </c>
      <c r="AV66" s="30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0.247</v>
      </c>
      <c r="AW66" s="30" cm="1">
        <f t="array" ref="AW66">$G$10+VLOOKUP($R66,武学奇术!$A:$ZZ,7,FALSE)+SUM(_xlfn.XLOOKUP($S66:$AL66,增益!$A:$A,增益!$G:$G,0))</f>
        <v>0.09</v>
      </c>
      <c r="AX66" s="24" cm="1">
        <f t="array" ref="AX66">VLOOKUP($R66,武学奇术!$A:$ZZ,8,FALSE)+SUM(_xlfn.XLOOKUP($S66:$AL66,增益!$A:$A,增益!$H:$H,0))</f>
        <v>0</v>
      </c>
      <c r="AY66">
        <f t="shared" ref="AY66:AY129" si="14">$D$11*(1+$AX66)</f>
        <v>0</v>
      </c>
      <c r="AZ66">
        <f t="shared" ref="AZ66:AZ129" si="15">$E$11*(1+$AX66)</f>
        <v>0</v>
      </c>
      <c r="BA66" s="30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-0.24</v>
      </c>
      <c r="BB66" s="30" cm="1">
        <f t="array" ref="BB66">$G$11+VLOOKUP($R66,武学奇术!$A:$ZZ,10,FALSE)+SUM(_xlfn.XLOOKUP($S66:$AL66,增益!$A:$A,增益!$J:$J,0))</f>
        <v>0</v>
      </c>
      <c r="BC66">
        <f t="shared" ref="BC66:BC129" si="16">$D$12*(1+$AX66)</f>
        <v>0</v>
      </c>
      <c r="BD66">
        <f t="shared" ref="BD66:BD129" si="17">$E$12*(1+$AX66)</f>
        <v>0</v>
      </c>
      <c r="BE66" s="30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-0.24</v>
      </c>
      <c r="BF66" s="30" cm="1">
        <f t="array" ref="BF66">$G$12+VLOOKUP($R66,武学奇术!$A:$ZZ,12,FALSE)+SUM(_xlfn.XLOOKUP($S66:$AL66,增益!$A:$A,增益!$L:$L,0))</f>
        <v>0</v>
      </c>
      <c r="BG66">
        <f t="shared" ref="BG66:BG129" si="18">$D$13*(1+$AX66)</f>
        <v>0</v>
      </c>
      <c r="BH66">
        <f t="shared" ref="BH66:BH129" si="19">$E$13*(1+$AX66)</f>
        <v>0</v>
      </c>
      <c r="BI66" s="30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-0.24</v>
      </c>
      <c r="BJ66" s="30" cm="1">
        <f t="array" ref="BJ66">$G$13+VLOOKUP($R66,武学奇术!$A:$ZZ,14,FALSE)+SUM(_xlfn.XLOOKUP($S66:$AL66,增益!$A:$A,增益!$N:$N,0))</f>
        <v>0</v>
      </c>
      <c r="BK66">
        <f t="shared" ref="BK66:BK129" si="20">$D$14*(1+$AX66)</f>
        <v>605.472</v>
      </c>
      <c r="BL66">
        <f t="shared" ref="BL66:BL129" si="21">$E$14*(1+$AX66)</f>
        <v>1725.468</v>
      </c>
      <c r="BM66" s="30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0.03</v>
      </c>
      <c r="BN66" s="30" cm="1">
        <f t="array" ref="BN66">$G$14+VLOOKUP($R66,武学奇术!$A:$ZZ,16,FALSE)+SUM(_xlfn.XLOOKUP($S66:$AL66,增益!$A:$A,增益!$P:$P,0))</f>
        <v>0.24</v>
      </c>
      <c r="BO66" s="24">
        <f>MIN(IF(VLOOKUP($R66,武学奇术!$A:$ZZ,23,FALSE)=1,100%,$B$8),100%)</f>
        <v>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+MIN(IF(VLOOKUP($R66,武学奇术!$A:$ZZ,32,FALSE)=1,IF(VLOOKUP($R66,武学奇术!$A:$ZZ,24,FALSE)=1,100%,MIN(40%,$B$10+VLOOKUP($R66,武学奇术!$A:$ZZ,19,FALSE)+SUM(_xlfn.XLOOKUP($S66:$AL66,增益!$A:$A,增益!$S:$S,0)))+$B$12+SUM(_xlfn.XLOOKUP($S66:$AL66,增益!$A:$A,增益!$V:$V,0))),0),12%)</f>
        <v>0.9036</v>
      </c>
      <c r="BQ66" s="24" cm="1">
        <f t="array" ref="BQ66">1+$B$13+VLOOKUP($R66,武学奇术!$A:$ZZ,18,FALSE)+SUM(_xlfn.XLOOKUP($S66:$AL66,增益!$A:$A,增益!$R:$R,0))</f>
        <v>1.94</v>
      </c>
      <c r="BR66" s="24" cm="1">
        <f t="array" ref="BR66">MAX(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-IF(VLOOKUP($R66,武学奇术!$A:$ZZ,32,FALSE)=1,12%,0),0)</f>
        <v>0.0929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2">MIN((1-BR66)*BO66,BO66*BP66)</f>
        <v>0.9036</v>
      </c>
      <c r="BU66" s="24">
        <f t="shared" ref="BU66:BU129" si="23">1-BR66-BT66-BV66</f>
        <v>0.00350000000000006</v>
      </c>
      <c r="BV66" s="24">
        <f>IF(VLOOKUP($R66,武学奇术!$A:$ZZ,22,FALSE)=1,0,(1-$BO66))*(1-$BR66)</f>
        <v>0</v>
      </c>
      <c r="BW66" s="24" cm="1">
        <f t="array" ref="BW66">SUM(_xlfn.XLOOKUP($S66:$AL66,增益!$A:$A,增益!$W:$W,0))+$I$5</f>
        <v>0.11</v>
      </c>
      <c r="BX66" s="24" cm="1">
        <f t="array" ref="BX66">SUM(_xlfn.XLOOKUP($S66:$AL66,增益!$A:$A,增益!$X:$X,0))</f>
        <v>0</v>
      </c>
    </row>
    <row r="67" spans="1:76">
      <c r="A67" s="4"/>
      <c r="B67" s="91"/>
      <c r="K67">
        <f>$L67*VLOOKUP($R67,武学奇术!$A:$ZZ,31,FALSE)</f>
        <v>161677.961657043</v>
      </c>
      <c r="L67" s="36">
        <f t="shared" si="13"/>
        <v>161677.961657043</v>
      </c>
      <c r="M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BQ67*$Q67*(1+IF(VLOOKUP($R67,武学奇术!$A:$ZZ,30,FALSE)="蓄力技",$B$21,0))*(1+$BW67)</f>
        <v>162849.895548855</v>
      </c>
      <c r="N67" s="36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蓄力技",$B$21,0))*(1+$BW67)</f>
        <v>152629.176860111</v>
      </c>
      <c r="O67" s="36">
        <f>((($AT67+($AU67-$AT67)*IF(VLOOKUP($R67,武学奇术!$A:$ZZ,31,FALSE)=1,$F$18,0.5))*$AN67+$AO67)*(1+$AV67)*(1+$AW67)+(($AY67+($AZ67-$AY67)*IF(VLOOKUP($R67,武学奇术!$A:$ZZ,31,FALSE)=1,$F$18,0.5))*IF($G$1="鸣金",$AP67,$AN67)+IF($G$1="鸣金",$AQ67*1.5,0))*(1+$BA67)*(1+$BB67)+(($BC67+($BD67-$BC67)*IF(VLOOKUP($R67,武学奇术!$A:$ZZ,31,FALSE)=1,$F$18,0.5))*IF($G$1="裂石",$AP67,$AN67)+IF($G$1="裂石",$AQ67*1.5,0))*(1+$BE67)*(1+$BF67)+(($BG67+($BH67-$BG67)*IF(VLOOKUP($R67,武学奇术!$A:$ZZ,31,FALSE)=1,$F$18,0.5))*IF($G$1="牵丝",$AP67,$AN67)+IF($G$1="牵丝",$AQ67*1.5,0))*(1+$BI67)*(1+$BJ67)+(($BK67+($BL67-$BK67)*IF(VLOOKUP($R67,武学奇术!$A:$ZZ,31,FALSE)=1,$F$18,0.5))*IF($G$1="破竹",$AP67,$AN67)+IF($G$1="破竹",$AQ67*1.5,0))*(1+$BM67)*(1+$BN67))*(1+$AR67)*$Q67*(1+IF(VLOOKUP($R67,武学奇术!$A:$ZZ,30,FALSE)="蓄力技",$B$21,0))*(1+$BW67)</f>
        <v>99298.7167980826</v>
      </c>
      <c r="P67" s="36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蓄力技",$B$21,0))*(1+$BW67)</f>
        <v>85538.7840701573</v>
      </c>
      <c r="Q67" s="37">
        <v>1</v>
      </c>
      <c r="R67" s="38" t="s">
        <v>187</v>
      </c>
      <c r="S67" s="38" t="s">
        <v>104</v>
      </c>
      <c r="T67" s="38" t="s">
        <v>79</v>
      </c>
      <c r="U67" s="38" t="s">
        <v>79</v>
      </c>
      <c r="V67" s="38" t="s">
        <v>79</v>
      </c>
      <c r="W67" s="38" t="s">
        <v>79</v>
      </c>
      <c r="X67" s="38" t="s">
        <v>79</v>
      </c>
      <c r="Y67" s="38" t="s">
        <v>173</v>
      </c>
      <c r="Z67" s="38" t="s">
        <v>79</v>
      </c>
      <c r="AA67" s="38" t="s">
        <v>79</v>
      </c>
      <c r="AB67" s="38" t="s">
        <v>79</v>
      </c>
      <c r="AC67" s="38" t="s">
        <v>79</v>
      </c>
      <c r="AD67" s="38" t="s">
        <v>79</v>
      </c>
      <c r="AE67" s="38" t="s">
        <v>79</v>
      </c>
      <c r="AF67" s="38" t="s">
        <v>84</v>
      </c>
      <c r="AG67" s="38" t="s">
        <v>85</v>
      </c>
      <c r="AH67" s="38" t="s">
        <v>79</v>
      </c>
      <c r="AI67" s="38" t="s">
        <v>79</v>
      </c>
      <c r="AJ67" s="38" t="s">
        <v>79</v>
      </c>
      <c r="AK67" s="38" t="s">
        <v>79</v>
      </c>
      <c r="AL67" s="38" t="s">
        <v>79</v>
      </c>
      <c r="AM67" t="str">
        <f>VLOOKUP($R67,武学奇术!$A:$ZZ,25,FALSE)</f>
        <v>群体奇术</v>
      </c>
      <c r="AN67" s="24">
        <f>VLOOKUP($R67,武学奇术!$A:$ZZ,26,FALSE)</f>
        <v>10.315755</v>
      </c>
      <c r="AO67" s="25">
        <f>VLOOKUP($R67,武学奇术!$A:$ZZ,27,FALSE)*(1+IF(OR($AM67=$F$4,$AM67=$F$5),$B$22,0))</f>
        <v>1992.6</v>
      </c>
      <c r="AP67" s="24">
        <f>VLOOKUP($R67,武学奇术!$A:$ZZ,28,FALSE)</f>
        <v>15.4736325</v>
      </c>
      <c r="AQ67" s="25">
        <f>VLOOKUP($R67,武学奇术!$A:$ZZ,29,FALSE)*(1+IF(OR($AM67=$F$4,$AM67=$F$5),$B$22,0))</f>
        <v>0</v>
      </c>
      <c r="AR67" s="24" cm="1">
        <f t="array" ref="AR67">$G$3+IFERROR(VLOOKUP($AM67,$F$4:$G$7,2,FALSE),0)+VLOOKUP($R67,武学奇术!$A:$ZZ,2,FALSE)+SUM(_xlfn.XLOOKUP($S67:$AL67,增益!$A:$A,增益!$B:$B,0))</f>
        <v>0.1537</v>
      </c>
      <c r="AS67" s="24" cm="1">
        <f t="array" ref="AS67">VLOOKUP($R67,武学奇术!$A:$ZZ,5,FALSE)+SUM(_xlfn.XLOOKUP($S67:$AL67,增益!$A:$A,增益!$E:$E,0))</f>
        <v>0</v>
      </c>
      <c r="AT67" cm="1">
        <f t="array" ref="AT67">$D$10*(1+$AS67)+VLOOKUP($R67,武学奇术!$A:$ZZ,3,FALSE)+SUM(_xlfn.XLOOKUP($S67:$AL67,增益!$A:$A,增益!$C:$C,0))-$I$2</f>
        <v>3839.102</v>
      </c>
      <c r="AU67" cm="1">
        <f t="array" ref="AU67">$E$10*(1+$AS67)+VLOOKUP($R67,武学奇术!$A:$ZZ,4,FALSE)+SUM(_xlfn.XLOOKUP($S67:$AL67,增益!$A:$A,增益!$D:$D,0))-$I$2</f>
        <v>3839.102</v>
      </c>
      <c r="AV67" s="30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0.217</v>
      </c>
      <c r="AW67" s="30" cm="1">
        <f t="array" ref="AW67">$G$10+VLOOKUP($R67,武学奇术!$A:$ZZ,7,FALSE)+SUM(_xlfn.XLOOKUP($S67:$AL67,增益!$A:$A,增益!$G:$G,0))</f>
        <v>0.09</v>
      </c>
      <c r="AX67" s="24" cm="1">
        <f t="array" ref="AX67">VLOOKUP($R67,武学奇术!$A:$ZZ,8,FALSE)+SUM(_xlfn.XLOOKUP($S67:$AL67,增益!$A:$A,增益!$H:$H,0))</f>
        <v>0</v>
      </c>
      <c r="AY67">
        <f t="shared" si="14"/>
        <v>0</v>
      </c>
      <c r="AZ67">
        <f t="shared" si="15"/>
        <v>0</v>
      </c>
      <c r="BA67" s="30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0" cm="1">
        <f t="array" ref="BB67">$G$11+VLOOKUP($R67,武学奇术!$A:$ZZ,10,FALSE)+SUM(_xlfn.XLOOKUP($S67:$AL67,增益!$A:$A,增益!$J:$J,0))</f>
        <v>0</v>
      </c>
      <c r="BC67">
        <f t="shared" si="16"/>
        <v>0</v>
      </c>
      <c r="BD67">
        <f t="shared" si="17"/>
        <v>0</v>
      </c>
      <c r="BE67" s="30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0" cm="1">
        <f t="array" ref="BF67">$G$12+VLOOKUP($R67,武学奇术!$A:$ZZ,12,FALSE)+SUM(_xlfn.XLOOKUP($S67:$AL67,增益!$A:$A,增益!$L:$L,0))</f>
        <v>0</v>
      </c>
      <c r="BG67">
        <f t="shared" si="18"/>
        <v>0</v>
      </c>
      <c r="BH67">
        <f t="shared" si="19"/>
        <v>0</v>
      </c>
      <c r="BI67" s="30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-0.3</v>
      </c>
      <c r="BJ67" s="30" cm="1">
        <f t="array" ref="BJ67">$G$13+VLOOKUP($R67,武学奇术!$A:$ZZ,14,FALSE)+SUM(_xlfn.XLOOKUP($S67:$AL67,增益!$A:$A,增益!$N:$N,0))</f>
        <v>0</v>
      </c>
      <c r="BK67">
        <f t="shared" si="20"/>
        <v>605.472</v>
      </c>
      <c r="BL67">
        <f t="shared" si="21"/>
        <v>1725.468</v>
      </c>
      <c r="BM67" s="30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0</v>
      </c>
      <c r="BN67" s="30" cm="1">
        <f t="array" ref="BN67">$G$14+VLOOKUP($R67,武学奇术!$A:$ZZ,16,FALSE)+SUM(_xlfn.XLOOKUP($S67:$AL67,增益!$A:$A,增益!$P:$P,0))</f>
        <v>0.24</v>
      </c>
      <c r="BO67" s="24">
        <f>MIN(IF(VLOOKUP($R67,武学奇术!$A:$ZZ,23,FALSE)=1,100%,$B$8),100%)</f>
        <v>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+MIN(IF(VLOOKUP($R67,武学奇术!$A:$ZZ,32,FALSE)=1,IF(VLOOKUP($R67,武学奇术!$A:$ZZ,24,FALSE)=1,100%,MIN(40%,$B$10+VLOOKUP($R67,武学奇术!$A:$ZZ,19,FALSE)+SUM(_xlfn.XLOOKUP($S67:$AL67,增益!$A:$A,增益!$S:$S,0)))+$B$12+SUM(_xlfn.XLOOKUP($S67:$AL67,增益!$A:$A,增益!$V:$V,0))),0),12%)</f>
        <v>0.9036</v>
      </c>
      <c r="BQ67" s="24" cm="1">
        <f t="array" ref="BQ67">1+$B$13+VLOOKUP($R67,武学奇术!$A:$ZZ,18,FALSE)+SUM(_xlfn.XLOOKUP($S67:$AL67,增益!$A:$A,增益!$R:$R,0))</f>
        <v>1.64</v>
      </c>
      <c r="BR67" s="24" cm="1">
        <f t="array" ref="BR67">MAX(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-IF(VLOOKUP($R67,武学奇术!$A:$ZZ,32,FALSE)=1,12%,0),0)</f>
        <v>0.0929</v>
      </c>
      <c r="BS67" s="24" cm="1">
        <f t="array" ref="BS67">1+$B$14+VLOOKUP($R67,武学奇术!$A:$ZZ,20,FALSE)+SUM(_xlfn.XLOOKUP($S67:$AL67,增益!$A:$A,增益!$T:$T,0))</f>
        <v>1.35</v>
      </c>
      <c r="BT67" s="24">
        <f t="shared" si="22"/>
        <v>0.9036</v>
      </c>
      <c r="BU67" s="24">
        <f t="shared" si="23"/>
        <v>0.00350000000000006</v>
      </c>
      <c r="BV67" s="24">
        <f>IF(VLOOKUP($R67,武学奇术!$A:$ZZ,22,FALSE)=1,0,(1-$BO67))*(1-$BR67)</f>
        <v>0</v>
      </c>
      <c r="BW67" s="24" cm="1">
        <f t="array" ref="BW67">SUM(_xlfn.XLOOKUP($S67:$AL67,增益!$A:$A,增益!$W:$W,0))+$I$5</f>
        <v>0.11</v>
      </c>
      <c r="BX67" s="24" cm="1">
        <f t="array" ref="BX67">SUM(_xlfn.XLOOKUP($S67:$AL67,增益!$A:$A,增益!$X:$X,0))</f>
        <v>0</v>
      </c>
    </row>
    <row r="68" spans="1:76">
      <c r="K68">
        <f>$L68*VLOOKUP($R68,武学奇术!$A:$ZZ,31,FALSE)</f>
        <v>727811.193696133</v>
      </c>
      <c r="L68" s="36">
        <f t="shared" si="13"/>
        <v>861315.022125601</v>
      </c>
      <c r="M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BQ68*$Q68*(1+IF(VLOOKUP($R68,武学奇术!$A:$ZZ,30,FALSE)="蓄力技",$B$21,0))*(1+$BW68)</f>
        <v>863071.860871685</v>
      </c>
      <c r="N68" s="36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蓄力技",$B$21,0))*(1+$BW68)</f>
        <v>545447.643601865</v>
      </c>
      <c r="O68" s="36">
        <f>((($AT68+($AU68-$AT68)*IF(VLOOKUP($R68,武学奇术!$A:$ZZ,31,FALSE)=1,$F$18,0.5))*$AN68+$AO68)*(1+$AV68)*(1+$AW68)+(($AY68+($AZ68-$AY68)*IF(VLOOKUP($R68,武学奇术!$A:$ZZ,31,FALSE)=1,$F$18,0.5))*IF($G$1="鸣金",$AP68,$AN68)+IF($G$1="鸣金",$AQ68*1.5,0))*(1+$BA68)*(1+$BB68)+(($BC68+($BD68-$BC68)*IF(VLOOKUP($R68,武学奇术!$A:$ZZ,31,FALSE)=1,$F$18,0.5))*IF($G$1="裂石",$AP68,$AN68)+IF($G$1="裂石",$AQ68*1.5,0))*(1+$BE68)*(1+$BF68)+(($BG68+($BH68-$BG68)*IF(VLOOKUP($R68,武学奇术!$A:$ZZ,31,FALSE)=1,$F$18,0.5))*IF($G$1="牵丝",$AP68,$AN68)+IF($G$1="牵丝",$AQ68*1.5,0))*(1+$BI68)*(1+$BJ68)+(($BK68+($BL68-$BK68)*IF(VLOOKUP($R68,武学奇术!$A:$ZZ,31,FALSE)=1,$F$18,0.5))*IF($G$1="破竹",$AP68,$AN68)+IF($G$1="破竹",$AQ68*1.5,0))*(1+$BM68)*(1+$BN68))*(1+$AR68)*$Q68*(1+IF(VLOOKUP($R68,武学奇术!$A:$ZZ,30,FALSE)="蓄力技",$B$21,0))*(1+$BW68)</f>
        <v>361117.933419115</v>
      </c>
      <c r="P68" s="36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蓄力技",$B$21,0))*(1+$BW68)</f>
        <v>318200.575281293</v>
      </c>
      <c r="Q68" s="37">
        <v>1</v>
      </c>
      <c r="R68" s="38" t="s">
        <v>138</v>
      </c>
      <c r="S68" s="38" t="s">
        <v>104</v>
      </c>
      <c r="T68" s="38" t="s">
        <v>139</v>
      </c>
      <c r="U68" s="38" t="s">
        <v>79</v>
      </c>
      <c r="V68" s="38" t="s">
        <v>79</v>
      </c>
      <c r="W68" s="38" t="s">
        <v>79</v>
      </c>
      <c r="X68" s="38" t="s">
        <v>79</v>
      </c>
      <c r="Y68" s="38" t="s">
        <v>173</v>
      </c>
      <c r="Z68" s="38" t="s">
        <v>79</v>
      </c>
      <c r="AA68" s="38" t="s">
        <v>112</v>
      </c>
      <c r="AB68" s="38" t="s">
        <v>79</v>
      </c>
      <c r="AC68" s="38" t="s">
        <v>79</v>
      </c>
      <c r="AD68" s="38" t="s">
        <v>79</v>
      </c>
      <c r="AE68" s="38" t="s">
        <v>79</v>
      </c>
      <c r="AF68" s="38" t="s">
        <v>84</v>
      </c>
      <c r="AG68" s="38" t="s">
        <v>85</v>
      </c>
      <c r="AH68" s="38" t="s">
        <v>79</v>
      </c>
      <c r="AI68" s="38" t="s">
        <v>79</v>
      </c>
      <c r="AJ68" s="38" t="s">
        <v>79</v>
      </c>
      <c r="AK68" s="38" t="s">
        <v>79</v>
      </c>
      <c r="AL68" s="38" t="s">
        <v>79</v>
      </c>
      <c r="AM68" t="str">
        <f>VLOOKUP($R68,武学奇术!$A:$ZZ,25,FALSE)</f>
        <v>拳甲</v>
      </c>
      <c r="AN68" s="24">
        <f>VLOOKUP($R68,武学奇术!$A:$ZZ,26,FALSE)</f>
        <v>16.8107</v>
      </c>
      <c r="AO68" s="25">
        <f>VLOOKUP($R68,武学奇术!$A:$ZZ,27,FALSE)*(1+IF(OR($AM68=$F$4,$AM68=$F$5),$B$22,0))</f>
        <v>6970.5</v>
      </c>
      <c r="AP68" s="24">
        <f>VLOOKUP($R68,武学奇术!$A:$ZZ,28,FALSE)</f>
        <v>25.2161</v>
      </c>
      <c r="AQ68" s="25">
        <f>VLOOKUP($R68,武学奇术!$A:$ZZ,29,FALSE)*(1+IF(OR($AM68=$F$4,$AM68=$F$5),$B$22,0))</f>
        <v>3799.5</v>
      </c>
      <c r="AR68" s="24" cm="1">
        <f t="array" ref="AR68">$G$3+IFERROR(VLOOKUP($AM68,$F$4:$G$7,2,FALSE),0)+VLOOKUP($R68,武学奇术!$A:$ZZ,2,FALSE)+SUM(_xlfn.XLOOKUP($S68:$AL68,增益!$A:$A,增益!$B:$B,0))</f>
        <v>0.6241</v>
      </c>
      <c r="AS68" s="24" cm="1">
        <f t="array" ref="AS68">VLOOKUP($R68,武学奇术!$A:$ZZ,5,FALSE)+SUM(_xlfn.XLOOKUP($S68:$AL68,增益!$A:$A,增益!$E:$E,0))</f>
        <v>0</v>
      </c>
      <c r="AT68" cm="1">
        <f t="array" ref="AT68">$D$10*(1+$AS68)+VLOOKUP($R68,武学奇术!$A:$ZZ,3,FALSE)+SUM(_xlfn.XLOOKUP($S68:$AL68,增益!$A:$A,增益!$C:$C,0))-$I$2</f>
        <v>3839.102</v>
      </c>
      <c r="AU68" cm="1">
        <f t="array" ref="AU68">$E$10*(1+$AS68)+VLOOKUP($R68,武学奇术!$A:$ZZ,4,FALSE)+SUM(_xlfn.XLOOKUP($S68:$AL68,增益!$A:$A,增益!$D:$D,0))-$I$2</f>
        <v>3839.102</v>
      </c>
      <c r="AV68" s="30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0.372</v>
      </c>
      <c r="AW68" s="30" cm="1">
        <f t="array" ref="AW68">$G$10+VLOOKUP($R68,武学奇术!$A:$ZZ,7,FALSE)+SUM(_xlfn.XLOOKUP($S68:$AL68,增益!$A:$A,增益!$G:$G,0))</f>
        <v>0.09</v>
      </c>
      <c r="AX68" s="24" cm="1">
        <f t="array" ref="AX68">VLOOKUP($R68,武学奇术!$A:$ZZ,8,FALSE)+SUM(_xlfn.XLOOKUP($S68:$AL68,增益!$A:$A,增益!$H:$H,0))</f>
        <v>0</v>
      </c>
      <c r="AY68">
        <f t="shared" si="14"/>
        <v>0</v>
      </c>
      <c r="AZ68">
        <f t="shared" si="15"/>
        <v>0</v>
      </c>
      <c r="BA68" s="30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-0.24</v>
      </c>
      <c r="BB68" s="30" cm="1">
        <f t="array" ref="BB68">$G$11+VLOOKUP($R68,武学奇术!$A:$ZZ,10,FALSE)+SUM(_xlfn.XLOOKUP($S68:$AL68,增益!$A:$A,增益!$J:$J,0))</f>
        <v>0</v>
      </c>
      <c r="BC68">
        <f t="shared" si="16"/>
        <v>0</v>
      </c>
      <c r="BD68">
        <f t="shared" si="17"/>
        <v>0</v>
      </c>
      <c r="BE68" s="30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-0.24</v>
      </c>
      <c r="BF68" s="30" cm="1">
        <f t="array" ref="BF68">$G$12+VLOOKUP($R68,武学奇术!$A:$ZZ,12,FALSE)+SUM(_xlfn.XLOOKUP($S68:$AL68,增益!$A:$A,增益!$L:$L,0))</f>
        <v>0</v>
      </c>
      <c r="BG68">
        <f t="shared" si="18"/>
        <v>0</v>
      </c>
      <c r="BH68">
        <f t="shared" si="19"/>
        <v>0</v>
      </c>
      <c r="BI68" s="30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-0.24</v>
      </c>
      <c r="BJ68" s="30" cm="1">
        <f t="array" ref="BJ68">$G$13+VLOOKUP($R68,武学奇术!$A:$ZZ,14,FALSE)+SUM(_xlfn.XLOOKUP($S68:$AL68,增益!$A:$A,增益!$N:$N,0))</f>
        <v>0</v>
      </c>
      <c r="BK68">
        <f t="shared" si="20"/>
        <v>605.472</v>
      </c>
      <c r="BL68">
        <f t="shared" si="21"/>
        <v>1725.468</v>
      </c>
      <c r="BM68" s="30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0.03</v>
      </c>
      <c r="BN68" s="30" cm="1">
        <f t="array" ref="BN68">$G$14+VLOOKUP($R68,武学奇术!$A:$ZZ,16,FALSE)+SUM(_xlfn.XLOOKUP($S68:$AL68,增益!$A:$A,增益!$P:$P,0))</f>
        <v>0.24</v>
      </c>
      <c r="BO68" s="24">
        <f>MIN(IF(VLOOKUP($R68,武学奇术!$A:$ZZ,23,FALSE)=1,100%,$B$8),100%)</f>
        <v>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+MIN(IF(VLOOKUP($R68,武学奇术!$A:$ZZ,32,FALSE)=1,IF(VLOOKUP($R68,武学奇术!$A:$ZZ,24,FALSE)=1,100%,MIN(40%,$B$10+VLOOKUP($R68,武学奇术!$A:$ZZ,19,FALSE)+SUM(_xlfn.XLOOKUP($S68:$AL68,增益!$A:$A,增益!$S:$S,0)))+$B$12+SUM(_xlfn.XLOOKUP($S68:$AL68,增益!$A:$A,增益!$V:$V,0))),0),12%)</f>
        <v>0.9965</v>
      </c>
      <c r="BQ68" s="24" cm="1">
        <f t="array" ref="BQ68">1+$B$13+VLOOKUP($R68,武学奇术!$A:$ZZ,18,FALSE)+SUM(_xlfn.XLOOKUP($S68:$AL68,增益!$A:$A,增益!$R:$R,0))</f>
        <v>2.39</v>
      </c>
      <c r="BR68" s="24" cm="1">
        <f t="array" ref="BR68">MAX(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-IF(VLOOKUP($R68,武学奇术!$A:$ZZ,32,FALSE)=1,12%,0),0)</f>
        <v>0</v>
      </c>
      <c r="BS68" s="24" cm="1">
        <f t="array" ref="BS68">1+$B$14+VLOOKUP($R68,武学奇术!$A:$ZZ,20,FALSE)+SUM(_xlfn.XLOOKUP($S68:$AL68,增益!$A:$A,增益!$T:$T,0))</f>
        <v>1.35</v>
      </c>
      <c r="BT68" s="24">
        <f t="shared" si="22"/>
        <v>0.9965</v>
      </c>
      <c r="BU68" s="24">
        <f t="shared" si="23"/>
        <v>0.00350000000000006</v>
      </c>
      <c r="BV68" s="24">
        <f>IF(VLOOKUP($R68,武学奇术!$A:$ZZ,22,FALSE)=1,0,(1-$BO68))*(1-$BR68)</f>
        <v>0</v>
      </c>
      <c r="BW68" s="24" cm="1">
        <f t="array" ref="BW68">SUM(_xlfn.XLOOKUP($S68:$AL68,增益!$A:$A,增益!$W:$W,0))+$I$5</f>
        <v>0.11</v>
      </c>
      <c r="BX68" s="24" cm="1">
        <f t="array" ref="BX68">SUM(_xlfn.XLOOKUP($S68:$AL68,增益!$A:$A,增益!$X:$X,0))</f>
        <v>0</v>
      </c>
    </row>
    <row r="69" spans="1:76">
      <c r="A69" s="4"/>
      <c r="B69" s="4"/>
      <c r="F69" s="4"/>
      <c r="G69" s="4"/>
      <c r="K69">
        <f>$L69*VLOOKUP($R69,武学奇术!$A:$ZZ,31,FALSE)</f>
        <v>172263.00442512</v>
      </c>
      <c r="L69" s="87">
        <f>L68*0.4*(1+BX69)</f>
        <v>344526.00885024</v>
      </c>
      <c r="M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BQ69*$Q69*(1+IF(VLOOKUP($R69,武学奇术!$A:$ZZ,30,FALSE)="蓄力技",$B$21,0))*(1+$BW69)</f>
        <v>0</v>
      </c>
      <c r="N69" s="36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蓄力技",$B$21,0))*(1+$BW69)</f>
        <v>0</v>
      </c>
      <c r="O69" s="36">
        <f>((($AT69+($AU69-$AT69)*IF(VLOOKUP($R69,武学奇术!$A:$ZZ,31,FALSE)=1,$F$18,0.5))*$AN69+$AO69)*(1+$AV69)*(1+$AW69)+(($AY69+($AZ69-$AY69)*IF(VLOOKUP($R69,武学奇术!$A:$ZZ,31,FALSE)=1,$F$18,0.5))*IF($G$1="鸣金",$AP69,$AN69)+IF($G$1="鸣金",$AQ69*1.5,0))*(1+$BA69)*(1+$BB69)+(($BC69+($BD69-$BC69)*IF(VLOOKUP($R69,武学奇术!$A:$ZZ,31,FALSE)=1,$F$18,0.5))*IF($G$1="裂石",$AP69,$AN69)+IF($G$1="裂石",$AQ69*1.5,0))*(1+$BE69)*(1+$BF69)+(($BG69+($BH69-$BG69)*IF(VLOOKUP($R69,武学奇术!$A:$ZZ,31,FALSE)=1,$F$18,0.5))*IF($G$1="牵丝",$AP69,$AN69)+IF($G$1="牵丝",$AQ69*1.5,0))*(1+$BI69)*(1+$BJ69)+(($BK69+($BL69-$BK69)*IF(VLOOKUP($R69,武学奇术!$A:$ZZ,31,FALSE)=1,$F$18,0.5))*IF($G$1="破竹",$AP69,$AN69)+IF($G$1="破竹",$AQ69*1.5,0))*(1+$BM69)*(1+$BN69))*(1+$AR69)*$Q69*(1+IF(VLOOKUP($R69,武学奇术!$A:$ZZ,30,FALSE)="蓄力技",$B$21,0))*(1+$BW69)</f>
        <v>0</v>
      </c>
      <c r="P69" s="36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蓄力技",$B$21,0))*(1+$BW69)</f>
        <v>0</v>
      </c>
      <c r="Q69" s="37">
        <v>1</v>
      </c>
      <c r="R69" s="38" t="s">
        <v>145</v>
      </c>
      <c r="S69" s="38" t="s">
        <v>146</v>
      </c>
      <c r="T69" s="38" t="s">
        <v>79</v>
      </c>
      <c r="U69" s="38" t="s">
        <v>79</v>
      </c>
      <c r="V69" s="38" t="s">
        <v>79</v>
      </c>
      <c r="W69" s="38" t="s">
        <v>79</v>
      </c>
      <c r="X69" s="38" t="s">
        <v>79</v>
      </c>
      <c r="Y69" s="38" t="s">
        <v>79</v>
      </c>
      <c r="Z69" s="38" t="s">
        <v>79</v>
      </c>
      <c r="AA69" s="38" t="s">
        <v>79</v>
      </c>
      <c r="AB69" s="38" t="s">
        <v>79</v>
      </c>
      <c r="AC69" s="38" t="s">
        <v>79</v>
      </c>
      <c r="AD69" s="38" t="s">
        <v>79</v>
      </c>
      <c r="AE69" s="38" t="s">
        <v>79</v>
      </c>
      <c r="AF69" s="38" t="s">
        <v>84</v>
      </c>
      <c r="AG69" s="38" t="s">
        <v>85</v>
      </c>
      <c r="AH69" s="38" t="s">
        <v>79</v>
      </c>
      <c r="AI69" s="38" t="s">
        <v>79</v>
      </c>
      <c r="AJ69" s="38" t="s">
        <v>79</v>
      </c>
      <c r="AK69" s="38" t="s">
        <v>79</v>
      </c>
      <c r="AL69" s="38" t="s">
        <v>79</v>
      </c>
      <c r="AM69" t="str">
        <f>VLOOKUP($R69,武学奇术!$A:$ZZ,25,FALSE)</f>
        <v>拳甲</v>
      </c>
      <c r="AN69" s="24">
        <f>VLOOKUP($R69,武学奇术!$A:$ZZ,26,FALSE)</f>
        <v>0</v>
      </c>
      <c r="AO69" s="25">
        <f>VLOOKUP($R69,武学奇术!$A:$ZZ,27,FALSE)*(1+IF(OR($AM69=$F$4,$AM69=$F$5),$B$22,0))</f>
        <v>0</v>
      </c>
      <c r="AP69" s="24">
        <f>VLOOKUP($R69,武学奇术!$A:$ZZ,28,FALSE)</f>
        <v>0</v>
      </c>
      <c r="AQ69" s="25">
        <f>VLOOKUP($R69,武学奇术!$A:$ZZ,29,FALSE)*(1+IF(OR($AM69=$F$4,$AM69=$F$5),$B$22,0))</f>
        <v>0</v>
      </c>
      <c r="AR69" s="24" cm="1">
        <f t="array" ref="AR69">$G$3+IFERROR(VLOOKUP($AM69,$F$4:$G$7,2,FALSE),0)+VLOOKUP($R69,武学奇术!$A:$ZZ,2,FALSE)+SUM(_xlfn.XLOOKUP($S69:$AL69,增益!$A:$A,增益!$B:$B,0))</f>
        <v>0.2741</v>
      </c>
      <c r="AS69" s="24" cm="1">
        <f t="array" ref="AS69">VLOOKUP($R69,武学奇术!$A:$ZZ,5,FALSE)+SUM(_xlfn.XLOOKUP($S69:$AL69,增益!$A:$A,增益!$E:$E,0))</f>
        <v>0</v>
      </c>
      <c r="AT69" cm="1">
        <f t="array" ref="AT69">$D$10*(1+$AS69)+VLOOKUP($R69,武学奇术!$A:$ZZ,3,FALSE)+SUM(_xlfn.XLOOKUP($S69:$AL69,增益!$A:$A,增益!$C:$C,0))-$I$2</f>
        <v>3839.102</v>
      </c>
      <c r="AU69" cm="1">
        <f t="array" ref="AU69">$E$10*(1+$AS69)+VLOOKUP($R69,武学奇术!$A:$ZZ,4,FALSE)+SUM(_xlfn.XLOOKUP($S69:$AL69,增益!$A:$A,增益!$D:$D,0))-$I$2</f>
        <v>3839.102</v>
      </c>
      <c r="AV69" s="30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0.167</v>
      </c>
      <c r="AW69" s="30" cm="1">
        <f t="array" ref="AW69">$G$10+VLOOKUP($R69,武学奇术!$A:$ZZ,7,FALSE)+SUM(_xlfn.XLOOKUP($S69:$AL69,增益!$A:$A,增益!$G:$G,0))</f>
        <v>0.09</v>
      </c>
      <c r="AX69" s="24" cm="1">
        <f t="array" ref="AX69">VLOOKUP($R69,武学奇术!$A:$ZZ,8,FALSE)+SUM(_xlfn.XLOOKUP($S69:$AL69,增益!$A:$A,增益!$H:$H,0))</f>
        <v>0</v>
      </c>
      <c r="AY69">
        <f t="shared" si="14"/>
        <v>0</v>
      </c>
      <c r="AZ69">
        <f t="shared" si="15"/>
        <v>0</v>
      </c>
      <c r="BA69" s="30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0" cm="1">
        <f t="array" ref="BB69">$G$11+VLOOKUP($R69,武学奇术!$A:$ZZ,10,FALSE)+SUM(_xlfn.XLOOKUP($S69:$AL69,增益!$A:$A,增益!$J:$J,0))</f>
        <v>0</v>
      </c>
      <c r="BC69">
        <f t="shared" si="16"/>
        <v>0</v>
      </c>
      <c r="BD69">
        <f t="shared" si="17"/>
        <v>0</v>
      </c>
      <c r="BE69" s="30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0" cm="1">
        <f t="array" ref="BF69">$G$12+VLOOKUP($R69,武学奇术!$A:$ZZ,12,FALSE)+SUM(_xlfn.XLOOKUP($S69:$AL69,增益!$A:$A,增益!$L:$L,0))</f>
        <v>0</v>
      </c>
      <c r="BG69">
        <f t="shared" si="18"/>
        <v>0</v>
      </c>
      <c r="BH69">
        <f t="shared" si="19"/>
        <v>0</v>
      </c>
      <c r="BI69" s="30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-0.3</v>
      </c>
      <c r="BJ69" s="30" cm="1">
        <f t="array" ref="BJ69">$G$13+VLOOKUP($R69,武学奇术!$A:$ZZ,14,FALSE)+SUM(_xlfn.XLOOKUP($S69:$AL69,增益!$A:$A,增益!$N:$N,0))</f>
        <v>0</v>
      </c>
      <c r="BK69">
        <f t="shared" si="20"/>
        <v>605.472</v>
      </c>
      <c r="BL69">
        <f t="shared" si="21"/>
        <v>1725.468</v>
      </c>
      <c r="BM69" s="30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0</v>
      </c>
      <c r="BN69" s="30" cm="1">
        <f t="array" ref="BN69">$G$14+VLOOKUP($R69,武学奇术!$A:$ZZ,16,FALSE)+SUM(_xlfn.XLOOKUP($S69:$AL69,增益!$A:$A,增益!$P:$P,0))</f>
        <v>0.24</v>
      </c>
      <c r="BO69" s="24">
        <f>MIN(IF(VLOOKUP($R69,武学奇术!$A:$ZZ,23,FALSE)=1,100%,$B$8),100%)</f>
        <v>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+MIN(IF(VLOOKUP($R69,武学奇术!$A:$ZZ,32,FALSE)=1,IF(VLOOKUP($R69,武学奇术!$A:$ZZ,24,FALSE)=1,100%,MIN(40%,$B$10+VLOOKUP($R69,武学奇术!$A:$ZZ,19,FALSE)+SUM(_xlfn.XLOOKUP($S69:$AL69,增益!$A:$A,增益!$S:$S,0)))+$B$12+SUM(_xlfn.XLOOKUP($S69:$AL69,增益!$A:$A,增益!$V:$V,0))),0),12%)</f>
        <v>0.9036</v>
      </c>
      <c r="BQ69" s="24" cm="1">
        <f t="array" ref="BQ69">1+$B$13+VLOOKUP($R69,武学奇术!$A:$ZZ,18,FALSE)+SUM(_xlfn.XLOOKUP($S69:$AL69,增益!$A:$A,增益!$R:$R,0))</f>
        <v>1.54</v>
      </c>
      <c r="BR69" s="24" cm="1">
        <f t="array" ref="BR69">MAX(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-IF(VLOOKUP($R69,武学奇术!$A:$ZZ,32,FALSE)=1,12%,0),0)</f>
        <v>0.0929</v>
      </c>
      <c r="BS69" s="24" cm="1">
        <f t="array" ref="BS69">1+$B$14+VLOOKUP($R69,武学奇术!$A:$ZZ,20,FALSE)+SUM(_xlfn.XLOOKUP($S69:$AL69,增益!$A:$A,增益!$T:$T,0))</f>
        <v>1.35</v>
      </c>
      <c r="BT69" s="24">
        <f t="shared" si="22"/>
        <v>0.9036</v>
      </c>
      <c r="BU69" s="24">
        <f t="shared" si="23"/>
        <v>0.00350000000000006</v>
      </c>
      <c r="BV69" s="24">
        <f>IF(VLOOKUP($R69,武学奇术!$A:$ZZ,22,FALSE)=1,0,(1-$BO69))*(1-$BR69)</f>
        <v>0</v>
      </c>
      <c r="BW69" s="24" cm="1">
        <f t="array" ref="BW69">SUM(_xlfn.XLOOKUP($S69:$AL69,增益!$A:$A,增益!$W:$W,0))+$I$5</f>
        <v>0.11</v>
      </c>
      <c r="BX69" s="24" cm="1">
        <f t="array" ref="BX69">SUM(_xlfn.XLOOKUP($S69:$AL69,增益!$A:$A,增益!$X:$X,0))</f>
        <v>0</v>
      </c>
    </row>
    <row r="70" spans="1:76">
      <c r="F70" s="4"/>
      <c r="G70" s="91"/>
      <c r="K70">
        <f>$L70*VLOOKUP($R70,武学奇术!$A:$ZZ,31,FALSE)</f>
        <v>28060.4187299006</v>
      </c>
      <c r="L70" s="36">
        <f t="shared" ref="L70:L84" si="24">($M70*$BT70+$N70*$BR70+$O70*$BU70+$P70*$BV70)</f>
        <v>28060.4187299006</v>
      </c>
      <c r="M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BQ70*$Q70*(1+IF(VLOOKUP($R70,武学奇术!$A:$ZZ,30,FALSE)="蓄力技",$B$21,0))*(1+$BW70)</f>
        <v>28643.2893397863</v>
      </c>
      <c r="N70" s="36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蓄力技",$B$21,0))*(1+$BW70)</f>
        <v>22877.2804527743</v>
      </c>
      <c r="O70" s="36">
        <f>((($AT70+($AU70-$AT70)*IF(VLOOKUP($R70,武学奇术!$A:$ZZ,31,FALSE)=1,$F$18,0.5))*$AN70+$AO70)*(1+$AV70)*(1+$AW70)+(($AY70+($AZ70-$AY70)*IF(VLOOKUP($R70,武学奇术!$A:$ZZ,31,FALSE)=1,$F$18,0.5))*IF($G$1="鸣金",$AP70,$AN70)+IF($G$1="鸣金",$AQ70*1.5,0))*(1+$BA70)*(1+$BB70)+(($BC70+($BD70-$BC70)*IF(VLOOKUP($R70,武学奇术!$A:$ZZ,31,FALSE)=1,$F$18,0.5))*IF($G$1="裂石",$AP70,$AN70)+IF($G$1="裂石",$AQ70*1.5,0))*(1+$BE70)*(1+$BF70)+(($BG70+($BH70-$BG70)*IF(VLOOKUP($R70,武学奇术!$A:$ZZ,31,FALSE)=1,$F$18,0.5))*IF($G$1="牵丝",$AP70,$AN70)+IF($G$1="牵丝",$AQ70*1.5,0))*(1+$BI70)*(1+$BJ70)+(($BK70+($BL70-$BK70)*IF(VLOOKUP($R70,武学奇术!$A:$ZZ,31,FALSE)=1,$F$18,0.5))*IF($G$1="破竹",$AP70,$AN70)+IF($G$1="破竹",$AQ70*1.5,0))*(1+$BM70)*(1+$BN70))*(1+$AR70)*$Q70*(1+IF(VLOOKUP($R70,武学奇术!$A:$ZZ,30,FALSE)="蓄力技",$B$21,0))*(1+$BW70)</f>
        <v>15155.1795448605</v>
      </c>
      <c r="P70" s="36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蓄力技",$B$21,0))*(1+$BW70)</f>
        <v>13364.2254209992</v>
      </c>
      <c r="Q70" s="37">
        <v>1</v>
      </c>
      <c r="R70" s="38" t="s">
        <v>107</v>
      </c>
      <c r="S70" s="38" t="s">
        <v>104</v>
      </c>
      <c r="T70" s="38" t="s">
        <v>139</v>
      </c>
      <c r="U70" s="38" t="s">
        <v>79</v>
      </c>
      <c r="V70" s="38" t="s">
        <v>79</v>
      </c>
      <c r="W70" s="38" t="s">
        <v>79</v>
      </c>
      <c r="X70" s="38" t="s">
        <v>79</v>
      </c>
      <c r="Y70" s="38" t="s">
        <v>173</v>
      </c>
      <c r="Z70" s="38" t="s">
        <v>79</v>
      </c>
      <c r="AA70" s="38" t="s">
        <v>79</v>
      </c>
      <c r="AB70" s="38" t="s">
        <v>79</v>
      </c>
      <c r="AC70" s="38" t="s">
        <v>79</v>
      </c>
      <c r="AD70" s="38" t="s">
        <v>79</v>
      </c>
      <c r="AE70" s="38" t="s">
        <v>79</v>
      </c>
      <c r="AF70" s="38" t="s">
        <v>84</v>
      </c>
      <c r="AG70" s="38" t="s">
        <v>85</v>
      </c>
      <c r="AH70" s="38" t="s">
        <v>79</v>
      </c>
      <c r="AI70" s="38" t="s">
        <v>79</v>
      </c>
      <c r="AJ70" s="38" t="s">
        <v>79</v>
      </c>
      <c r="AK70" s="38" t="s">
        <v>79</v>
      </c>
      <c r="AL70" s="38" t="s">
        <v>79</v>
      </c>
      <c r="AM70" t="str">
        <f>VLOOKUP($R70,武学奇术!$A:$ZZ,25,FALSE)</f>
        <v>绳镖</v>
      </c>
      <c r="AN70" s="24">
        <f>VLOOKUP($R70,武学奇术!$A:$ZZ,26,FALSE)</f>
        <v>1.2503</v>
      </c>
      <c r="AO70" s="25">
        <f>VLOOKUP($R70,武学奇术!$A:$ZZ,27,FALSE)*(1+IF(OR($AM70=$F$4,$AM70=$F$5),$B$22,0))</f>
        <v>520.5</v>
      </c>
      <c r="AP70" s="24">
        <f>VLOOKUP($R70,武学奇术!$A:$ZZ,28,FALSE)</f>
        <v>1.8755</v>
      </c>
      <c r="AQ70" s="25">
        <f>VLOOKUP($R70,武学奇术!$A:$ZZ,29,FALSE)*(1+IF(OR($AM70=$F$4,$AM70=$F$5),$B$22,0))</f>
        <v>283.5</v>
      </c>
      <c r="AR70" s="24" cm="1">
        <f t="array" ref="AR70">$G$3+IFERROR(VLOOKUP($AM70,$F$4:$G$7,2,FALSE),0)+VLOOKUP($R70,武学奇术!$A:$ZZ,2,FALSE)+SUM(_xlfn.XLOOKUP($S70:$AL70,增益!$A:$A,增益!$B:$B,0))</f>
        <v>0.2389</v>
      </c>
      <c r="AS70" s="24" cm="1">
        <f t="array" ref="AS70">VLOOKUP($R70,武学奇术!$A:$ZZ,5,FALSE)+SUM(_xlfn.XLOOKUP($S70:$AL70,增益!$A:$A,增益!$E:$E,0))</f>
        <v>0</v>
      </c>
      <c r="AT70" cm="1">
        <f t="array" ref="AT70">$D$10*(1+$AS70)+VLOOKUP($R70,武学奇术!$A:$ZZ,3,FALSE)+SUM(_xlfn.XLOOKUP($S70:$AL70,增益!$A:$A,增益!$C:$C,0))-$I$2</f>
        <v>3839.102</v>
      </c>
      <c r="AU70" cm="1">
        <f t="array" ref="AU70">$E$10*(1+$AS70)+VLOOKUP($R70,武学奇术!$A:$ZZ,4,FALSE)+SUM(_xlfn.XLOOKUP($S70:$AL70,增益!$A:$A,增益!$D:$D,0))-$I$2</f>
        <v>3839.102</v>
      </c>
      <c r="AV70" s="30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0.342</v>
      </c>
      <c r="AW70" s="30" cm="1">
        <f t="array" ref="AW70">$G$10+VLOOKUP($R70,武学奇术!$A:$ZZ,7,FALSE)+SUM(_xlfn.XLOOKUP($S70:$AL70,增益!$A:$A,增益!$G:$G,0))</f>
        <v>0.09</v>
      </c>
      <c r="AX70" s="24" cm="1">
        <f t="array" ref="AX70">VLOOKUP($R70,武学奇术!$A:$ZZ,8,FALSE)+SUM(_xlfn.XLOOKUP($S70:$AL70,增益!$A:$A,增益!$H:$H,0))</f>
        <v>0</v>
      </c>
      <c r="AY70">
        <f t="shared" si="14"/>
        <v>0</v>
      </c>
      <c r="AZ70">
        <f t="shared" si="15"/>
        <v>0</v>
      </c>
      <c r="BA70" s="30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0" cm="1">
        <f t="array" ref="BB70">$G$11+VLOOKUP($R70,武学奇术!$A:$ZZ,10,FALSE)+SUM(_xlfn.XLOOKUP($S70:$AL70,增益!$A:$A,增益!$J:$J,0))</f>
        <v>0</v>
      </c>
      <c r="BC70">
        <f t="shared" si="16"/>
        <v>0</v>
      </c>
      <c r="BD70">
        <f t="shared" si="17"/>
        <v>0</v>
      </c>
      <c r="BE70" s="30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0" cm="1">
        <f t="array" ref="BF70">$G$12+VLOOKUP($R70,武学奇术!$A:$ZZ,12,FALSE)+SUM(_xlfn.XLOOKUP($S70:$AL70,增益!$A:$A,增益!$L:$L,0))</f>
        <v>0</v>
      </c>
      <c r="BG70">
        <f t="shared" si="18"/>
        <v>0</v>
      </c>
      <c r="BH70">
        <f t="shared" si="19"/>
        <v>0</v>
      </c>
      <c r="BI70" s="30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-0.3</v>
      </c>
      <c r="BJ70" s="30" cm="1">
        <f t="array" ref="BJ70">$G$13+VLOOKUP($R70,武学奇术!$A:$ZZ,14,FALSE)+SUM(_xlfn.XLOOKUP($S70:$AL70,增益!$A:$A,增益!$N:$N,0))</f>
        <v>0</v>
      </c>
      <c r="BK70">
        <f t="shared" si="20"/>
        <v>605.472</v>
      </c>
      <c r="BL70">
        <f t="shared" si="21"/>
        <v>1725.468</v>
      </c>
      <c r="BM70" s="30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0</v>
      </c>
      <c r="BN70" s="30" cm="1">
        <f t="array" ref="BN70">$G$14+VLOOKUP($R70,武学奇术!$A:$ZZ,16,FALSE)+SUM(_xlfn.XLOOKUP($S70:$AL70,增益!$A:$A,增益!$P:$P,0))</f>
        <v>0.24</v>
      </c>
      <c r="BO70" s="24">
        <f>MIN(IF(VLOOKUP($R70,武学奇术!$A:$ZZ,23,FALSE)=1,100%,$B$8),100%)</f>
        <v>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+MIN(IF(VLOOKUP($R70,武学奇术!$A:$ZZ,32,FALSE)=1,IF(VLOOKUP($R70,武学奇术!$A:$ZZ,24,FALSE)=1,100%,MIN(40%,$B$10+VLOOKUP($R70,武学奇术!$A:$ZZ,19,FALSE)+SUM(_xlfn.XLOOKUP($S70:$AL70,增益!$A:$A,增益!$S:$S,0)))+$B$12+SUM(_xlfn.XLOOKUP($S70:$AL70,增益!$A:$A,增益!$V:$V,0))),0),12%)</f>
        <v>0.9036</v>
      </c>
      <c r="BQ70" s="24" cm="1">
        <f t="array" ref="BQ70">1+$B$13+VLOOKUP($R70,武学奇术!$A:$ZZ,18,FALSE)+SUM(_xlfn.XLOOKUP($S70:$AL70,增益!$A:$A,增益!$R:$R,0))</f>
        <v>1.89</v>
      </c>
      <c r="BR70" s="24" cm="1">
        <f t="array" ref="BR70">MAX(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-IF(VLOOKUP($R70,武学奇术!$A:$ZZ,32,FALSE)=1,12%,0),0)</f>
        <v>0.0929</v>
      </c>
      <c r="BS70" s="24" cm="1">
        <f t="array" ref="BS70">1+$B$14+VLOOKUP($R70,武学奇术!$A:$ZZ,20,FALSE)+SUM(_xlfn.XLOOKUP($S70:$AL70,增益!$A:$A,增益!$T:$T,0))</f>
        <v>1.35</v>
      </c>
      <c r="BT70" s="24">
        <f t="shared" si="22"/>
        <v>0.9036</v>
      </c>
      <c r="BU70" s="24">
        <f t="shared" si="23"/>
        <v>0.00350000000000006</v>
      </c>
      <c r="BV70" s="24">
        <f>IF(VLOOKUP($R70,武学奇术!$A:$ZZ,22,FALSE)=1,0,(1-$BO70))*(1-$BR70)</f>
        <v>0</v>
      </c>
      <c r="BW70" s="24" cm="1">
        <f t="array" ref="BW70">SUM(_xlfn.XLOOKUP($S70:$AL70,增益!$A:$A,增益!$W:$W,0))+$I$5</f>
        <v>0.11</v>
      </c>
      <c r="BX70" s="24" cm="1">
        <f t="array" ref="BX70">SUM(_xlfn.XLOOKUP($S70:$AL70,增益!$A:$A,增益!$X:$X,0))</f>
        <v>0</v>
      </c>
    </row>
    <row r="71" spans="1:76">
      <c r="K71">
        <f>$L71*VLOOKUP($R71,武学奇术!$A:$ZZ,31,FALSE)</f>
        <v>82736.9949283737</v>
      </c>
      <c r="L71" s="36">
        <f t="shared" si="24"/>
        <v>63643.8422525951</v>
      </c>
      <c r="M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BQ71*$Q71*(1+IF(VLOOKUP($R71,武学奇术!$A:$ZZ,30,FALSE)="蓄力技",$B$21,0))*(1+$BW71)</f>
        <v>65600.7066739576</v>
      </c>
      <c r="N71" s="36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蓄力技",$B$21,0))*(1+$BW71)</f>
        <v>45879.4659846184</v>
      </c>
      <c r="O71" s="36">
        <f>((($AT71+($AU71-$AT71)*IF(VLOOKUP($R71,武学奇术!$A:$ZZ,31,FALSE)=1,$F$18,0.5))*$AN71+$AO71)*(1+$AV71)*(1+$AW71)+(($AY71+($AZ71-$AY71)*IF(VLOOKUP($R71,武学奇术!$A:$ZZ,31,FALSE)=1,$F$18,0.5))*IF($G$1="鸣金",$AP71,$AN71)+IF($G$1="鸣金",$AQ71*1.5,0))*(1+$BA71)*(1+$BB71)+(($BC71+($BD71-$BC71)*IF(VLOOKUP($R71,武学奇术!$A:$ZZ,31,FALSE)=1,$F$18,0.5))*IF($G$1="裂石",$AP71,$AN71)+IF($G$1="裂石",$AQ71*1.5,0))*(1+$BE71)*(1+$BF71)+(($BG71+($BH71-$BG71)*IF(VLOOKUP($R71,武学奇术!$A:$ZZ,31,FALSE)=1,$F$18,0.5))*IF($G$1="牵丝",$AP71,$AN71)+IF($G$1="牵丝",$AQ71*1.5,0))*(1+$BI71)*(1+$BJ71)+(($BK71+($BL71-$BK71)*IF(VLOOKUP($R71,武学奇术!$A:$ZZ,31,FALSE)=1,$F$18,0.5))*IF($G$1="破竹",$AP71,$AN71)+IF($G$1="破竹",$AQ71*1.5,0))*(1+$BM71)*(1+$BN71))*(1+$AR71)*$Q71*(1+IF(VLOOKUP($R71,武学奇术!$A:$ZZ,30,FALSE)="蓄力技",$B$21,0))*(1+$BW71)</f>
        <v>29954.6605817158</v>
      </c>
      <c r="P71" s="36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蓄力技",$B$21,0))*(1+$BW71)</f>
        <v>25924.5315451957</v>
      </c>
      <c r="Q71" s="37">
        <v>1</v>
      </c>
      <c r="R71" s="38" t="s">
        <v>111</v>
      </c>
      <c r="S71" s="38" t="s">
        <v>104</v>
      </c>
      <c r="T71" s="38" t="s">
        <v>139</v>
      </c>
      <c r="U71" s="38" t="s">
        <v>79</v>
      </c>
      <c r="V71" s="38" t="s">
        <v>79</v>
      </c>
      <c r="W71" s="38" t="s">
        <v>79</v>
      </c>
      <c r="X71" s="38" t="s">
        <v>79</v>
      </c>
      <c r="Y71" s="38" t="s">
        <v>173</v>
      </c>
      <c r="Z71" s="38" t="s">
        <v>79</v>
      </c>
      <c r="AA71" s="38" t="s">
        <v>112</v>
      </c>
      <c r="AB71" s="38" t="s">
        <v>79</v>
      </c>
      <c r="AC71" s="38" t="s">
        <v>79</v>
      </c>
      <c r="AD71" s="38" t="s">
        <v>79</v>
      </c>
      <c r="AE71" s="38" t="s">
        <v>79</v>
      </c>
      <c r="AF71" s="38" t="s">
        <v>84</v>
      </c>
      <c r="AG71" s="38" t="s">
        <v>85</v>
      </c>
      <c r="AH71" s="38" t="s">
        <v>79</v>
      </c>
      <c r="AI71" s="38" t="s">
        <v>79</v>
      </c>
      <c r="AJ71" s="38" t="s">
        <v>79</v>
      </c>
      <c r="AK71" s="38" t="s">
        <v>79</v>
      </c>
      <c r="AL71" s="38" t="s">
        <v>79</v>
      </c>
      <c r="AM71" t="str">
        <f>VLOOKUP($R71,武学奇术!$A:$ZZ,25,FALSE)</f>
        <v>绳镖</v>
      </c>
      <c r="AN71" s="24">
        <f>VLOOKUP($R71,武学奇术!$A:$ZZ,26,FALSE)</f>
        <v>2.19912</v>
      </c>
      <c r="AO71" s="25">
        <f>VLOOKUP($R71,武学奇术!$A:$ZZ,27,FALSE)*(1+IF(OR($AM71=$F$4,$AM71=$F$5),$B$22,0))</f>
        <v>0</v>
      </c>
      <c r="AP71" s="24">
        <f>VLOOKUP($R71,武学奇术!$A:$ZZ,28,FALSE)</f>
        <v>3.29868</v>
      </c>
      <c r="AQ71" s="25">
        <f>VLOOKUP($R71,武学奇术!$A:$ZZ,29,FALSE)*(1+IF(OR($AM71=$F$4,$AM71=$F$5),$B$22,0))</f>
        <v>0</v>
      </c>
      <c r="AR71" s="24" cm="1">
        <f t="array" ref="AR71">$G$3+IFERROR(VLOOKUP($AM71,$F$4:$G$7,2,FALSE),0)+VLOOKUP($R71,武学奇术!$A:$ZZ,2,FALSE)+SUM(_xlfn.XLOOKUP($S71:$AL71,增益!$A:$A,增益!$B:$B,0))</f>
        <v>0.5389</v>
      </c>
      <c r="AS71" s="24" cm="1">
        <f t="array" ref="AS71">VLOOKUP($R71,武学奇术!$A:$ZZ,5,FALSE)+SUM(_xlfn.XLOOKUP($S71:$AL71,增益!$A:$A,增益!$E:$E,0))</f>
        <v>0</v>
      </c>
      <c r="AT71" cm="1">
        <f t="array" ref="AT71">$D$10*(1+$AS71)+VLOOKUP($R71,武学奇术!$A:$ZZ,3,FALSE)+SUM(_xlfn.XLOOKUP($S71:$AL71,增益!$A:$A,增益!$C:$C,0))-$I$2</f>
        <v>3839.102</v>
      </c>
      <c r="AU71" cm="1">
        <f t="array" ref="AU71">$E$10*(1+$AS71)+VLOOKUP($R71,武学奇术!$A:$ZZ,4,FALSE)+SUM(_xlfn.XLOOKUP($S71:$AL71,增益!$A:$A,增益!$D:$D,0))-$I$2</f>
        <v>3839.102</v>
      </c>
      <c r="AV71" s="30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0.372</v>
      </c>
      <c r="AW71" s="30" cm="1">
        <f t="array" ref="AW71">$G$10+VLOOKUP($R71,武学奇术!$A:$ZZ,7,FALSE)+SUM(_xlfn.XLOOKUP($S71:$AL71,增益!$A:$A,增益!$G:$G,0))</f>
        <v>0.09</v>
      </c>
      <c r="AX71" s="24" cm="1">
        <f t="array" ref="AX71">VLOOKUP($R71,武学奇术!$A:$ZZ,8,FALSE)+SUM(_xlfn.XLOOKUP($S71:$AL71,增益!$A:$A,增益!$H:$H,0))</f>
        <v>0</v>
      </c>
      <c r="AY71">
        <f t="shared" si="14"/>
        <v>0</v>
      </c>
      <c r="AZ71">
        <f t="shared" si="15"/>
        <v>0</v>
      </c>
      <c r="BA71" s="30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-0.24</v>
      </c>
      <c r="BB71" s="30" cm="1">
        <f t="array" ref="BB71">$G$11+VLOOKUP($R71,武学奇术!$A:$ZZ,10,FALSE)+SUM(_xlfn.XLOOKUP($S71:$AL71,增益!$A:$A,增益!$J:$J,0))</f>
        <v>0</v>
      </c>
      <c r="BC71">
        <f t="shared" si="16"/>
        <v>0</v>
      </c>
      <c r="BD71">
        <f t="shared" si="17"/>
        <v>0</v>
      </c>
      <c r="BE71" s="30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-0.24</v>
      </c>
      <c r="BF71" s="30" cm="1">
        <f t="array" ref="BF71">$G$12+VLOOKUP($R71,武学奇术!$A:$ZZ,12,FALSE)+SUM(_xlfn.XLOOKUP($S71:$AL71,增益!$A:$A,增益!$L:$L,0))</f>
        <v>0</v>
      </c>
      <c r="BG71">
        <f t="shared" si="18"/>
        <v>0</v>
      </c>
      <c r="BH71">
        <f t="shared" si="19"/>
        <v>0</v>
      </c>
      <c r="BI71" s="30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-0.24</v>
      </c>
      <c r="BJ71" s="30" cm="1">
        <f t="array" ref="BJ71">$G$13+VLOOKUP($R71,武学奇术!$A:$ZZ,14,FALSE)+SUM(_xlfn.XLOOKUP($S71:$AL71,增益!$A:$A,增益!$N:$N,0))</f>
        <v>0</v>
      </c>
      <c r="BK71">
        <f t="shared" si="20"/>
        <v>605.472</v>
      </c>
      <c r="BL71">
        <f t="shared" si="21"/>
        <v>1725.468</v>
      </c>
      <c r="BM71" s="30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0.03</v>
      </c>
      <c r="BN71" s="30" cm="1">
        <f t="array" ref="BN71">$G$14+VLOOKUP($R71,武学奇术!$A:$ZZ,16,FALSE)+SUM(_xlfn.XLOOKUP($S71:$AL71,增益!$A:$A,增益!$P:$P,0))</f>
        <v>0.24</v>
      </c>
      <c r="BO71" s="24">
        <f>MIN(IF(VLOOKUP($R71,武学奇术!$A:$ZZ,23,FALSE)=1,100%,$B$8),100%)</f>
        <v>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+MIN(IF(VLOOKUP($R71,武学奇术!$A:$ZZ,32,FALSE)=1,IF(VLOOKUP($R71,武学奇术!$A:$ZZ,24,FALSE)=1,100%,MIN(40%,$B$10+VLOOKUP($R71,武学奇术!$A:$ZZ,19,FALSE)+SUM(_xlfn.XLOOKUP($S71:$AL71,增益!$A:$A,增益!$S:$S,0)))+$B$12+SUM(_xlfn.XLOOKUP($S71:$AL71,增益!$A:$A,增益!$V:$V,0))),0),12%)</f>
        <v>0.9036</v>
      </c>
      <c r="BQ71" s="24" cm="1">
        <f t="array" ref="BQ71">1+$B$13+VLOOKUP($R71,武学奇术!$A:$ZZ,18,FALSE)+SUM(_xlfn.XLOOKUP($S71:$AL71,增益!$A:$A,增益!$R:$R,0))</f>
        <v>2.19</v>
      </c>
      <c r="BR71" s="24" cm="1">
        <f t="array" ref="BR71">MAX(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-IF(VLOOKUP($R71,武学奇术!$A:$ZZ,32,FALSE)=1,12%,0),0)</f>
        <v>0.0929</v>
      </c>
      <c r="BS71" s="24" cm="1">
        <f t="array" ref="BS71">1+$B$14+VLOOKUP($R71,武学奇术!$A:$ZZ,20,FALSE)+SUM(_xlfn.XLOOKUP($S71:$AL71,增益!$A:$A,增益!$T:$T,0))</f>
        <v>1.35</v>
      </c>
      <c r="BT71" s="24">
        <f t="shared" si="22"/>
        <v>0.9036</v>
      </c>
      <c r="BU71" s="24">
        <f t="shared" si="23"/>
        <v>0.00350000000000006</v>
      </c>
      <c r="BV71" s="24">
        <f>IF(VLOOKUP($R71,武学奇术!$A:$ZZ,22,FALSE)=1,0,(1-$BO71))*(1-$BR71)</f>
        <v>0</v>
      </c>
      <c r="BW71" s="24" cm="1">
        <f t="array" ref="BW71">SUM(_xlfn.XLOOKUP($S71:$AL71,增益!$A:$A,增益!$W:$W,0))+$I$5</f>
        <v>0.11</v>
      </c>
      <c r="BX71" s="24" cm="1">
        <f t="array" ref="BX71">SUM(_xlfn.XLOOKUP($S71:$AL71,增益!$A:$A,增益!$X:$X,0))</f>
        <v>0</v>
      </c>
    </row>
    <row r="72" spans="1:76">
      <c r="A72" s="4"/>
      <c r="B72" s="4"/>
      <c r="F72" s="4"/>
      <c r="G72" s="91"/>
      <c r="K72">
        <f>$L72*VLOOKUP($R72,武学奇术!$A:$ZZ,31,FALSE)</f>
        <v>9158.26592980491</v>
      </c>
      <c r="L72" s="36">
        <f t="shared" si="24"/>
        <v>9158.26592980491</v>
      </c>
      <c r="M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BQ72*$Q72*(1+IF(VLOOKUP($R72,武学奇术!$A:$ZZ,30,FALSE)="蓄力技",$B$21,0))*(1+$BW72)</f>
        <v>9233.1766084872</v>
      </c>
      <c r="N72" s="36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蓄力技",$B$21,0))*(1+$BW72)</f>
        <v>8562.56831320548</v>
      </c>
      <c r="O72" s="36">
        <f>((($AT72+($AU72-$AT72)*IF(VLOOKUP($R72,武学奇术!$A:$ZZ,31,FALSE)=1,$F$18,0.5))*$AN72+$AO72)*(1+$AV72)*(1+$AW72)+(($AY72+($AZ72-$AY72)*IF(VLOOKUP($R72,武学奇术!$A:$ZZ,31,FALSE)=1,$F$18,0.5))*IF($G$1="鸣金",$AP72,$AN72)+IF($G$1="鸣金",$AQ72*1.5,0))*(1+$BA72)*(1+$BB72)+(($BC72+($BD72-$BC72)*IF(VLOOKUP($R72,武学奇术!$A:$ZZ,31,FALSE)=1,$F$18,0.5))*IF($G$1="裂石",$AP72,$AN72)+IF($G$1="裂石",$AQ72*1.5,0))*(1+$BE72)*(1+$BF72)+(($BG72+($BH72-$BG72)*IF(VLOOKUP($R72,武学奇术!$A:$ZZ,31,FALSE)=1,$F$18,0.5))*IF($G$1="牵丝",$AP72,$AN72)+IF($G$1="牵丝",$AQ72*1.5,0))*(1+$BI72)*(1+$BJ72)+(($BK72+($BL72-$BK72)*IF(VLOOKUP($R72,武学奇术!$A:$ZZ,31,FALSE)=1,$F$18,0.5))*IF($G$1="破竹",$AP72,$AN72)+IF($G$1="破竹",$AQ72*1.5,0))*(1+$BM72)*(1+$BN72))*(1+$AR72)*$Q72*(1+IF(VLOOKUP($R72,武学奇术!$A:$ZZ,30,FALSE)="蓄力技",$B$21,0))*(1+$BW72)</f>
        <v>5629.98573688244</v>
      </c>
      <c r="P72" s="36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蓄力技",$B$21,0))*(1+$BW72)</f>
        <v>4917.32827879786</v>
      </c>
      <c r="Q72" s="37">
        <v>1</v>
      </c>
      <c r="R72" s="38" t="s">
        <v>114</v>
      </c>
      <c r="S72" s="38" t="s">
        <v>104</v>
      </c>
      <c r="T72" s="38" t="s">
        <v>79</v>
      </c>
      <c r="U72" s="38" t="s">
        <v>79</v>
      </c>
      <c r="V72" s="38" t="s">
        <v>79</v>
      </c>
      <c r="W72" s="38" t="s">
        <v>79</v>
      </c>
      <c r="X72" s="38" t="s">
        <v>79</v>
      </c>
      <c r="Y72" s="38" t="s">
        <v>173</v>
      </c>
      <c r="Z72" s="38" t="s">
        <v>79</v>
      </c>
      <c r="AA72" s="38" t="s">
        <v>79</v>
      </c>
      <c r="AB72" s="38" t="s">
        <v>79</v>
      </c>
      <c r="AC72" s="38" t="s">
        <v>79</v>
      </c>
      <c r="AD72" s="38" t="s">
        <v>79</v>
      </c>
      <c r="AE72" s="38" t="s">
        <v>79</v>
      </c>
      <c r="AF72" s="38" t="s">
        <v>84</v>
      </c>
      <c r="AG72" s="38" t="s">
        <v>85</v>
      </c>
      <c r="AH72" s="38" t="s">
        <v>79</v>
      </c>
      <c r="AI72" s="38" t="s">
        <v>79</v>
      </c>
      <c r="AJ72" s="38" t="s">
        <v>79</v>
      </c>
      <c r="AK72" s="38" t="s">
        <v>79</v>
      </c>
      <c r="AL72" s="38" t="s">
        <v>79</v>
      </c>
      <c r="AM72" t="str">
        <f>VLOOKUP($R72,武学奇术!$A:$ZZ,25,FALSE)</f>
        <v>绳镖</v>
      </c>
      <c r="AN72" s="24">
        <f>VLOOKUP($R72,武学奇术!$A:$ZZ,26,FALSE)</f>
        <v>0.4975</v>
      </c>
      <c r="AO72" s="25">
        <f>VLOOKUP($R72,武学奇术!$A:$ZZ,27,FALSE)*(1+IF(OR($AM72=$F$4,$AM72=$F$5),$B$22,0))</f>
        <v>205.5</v>
      </c>
      <c r="AP72" s="24">
        <f>VLOOKUP($R72,武学奇术!$A:$ZZ,28,FALSE)</f>
        <v>0.7463</v>
      </c>
      <c r="AQ72" s="25">
        <f>VLOOKUP($R72,武学奇术!$A:$ZZ,29,FALSE)*(1+IF(OR($AM72=$F$4,$AM72=$F$5),$B$22,0))</f>
        <v>112.5</v>
      </c>
      <c r="AR72" s="24" cm="1">
        <f t="array" ref="AR72">$G$3+IFERROR(VLOOKUP($AM72,$F$4:$G$7,2,FALSE),0)+VLOOKUP($R72,武学奇术!$A:$ZZ,2,FALSE)+SUM(_xlfn.XLOOKUP($S72:$AL72,增益!$A:$A,增益!$B:$B,0))</f>
        <v>0.2389</v>
      </c>
      <c r="AS72" s="24" cm="1">
        <f t="array" ref="AS72">VLOOKUP($R72,武学奇术!$A:$ZZ,5,FALSE)+SUM(_xlfn.XLOOKUP($S72:$AL72,增益!$A:$A,增益!$E:$E,0))</f>
        <v>0</v>
      </c>
      <c r="AT72" cm="1">
        <f t="array" ref="AT72">$D$10*(1+$AS72)+VLOOKUP($R72,武学奇术!$A:$ZZ,3,FALSE)+SUM(_xlfn.XLOOKUP($S72:$AL72,增益!$A:$A,增益!$C:$C,0))-$I$2</f>
        <v>3839.102</v>
      </c>
      <c r="AU72" cm="1">
        <f t="array" ref="AU72">$E$10*(1+$AS72)+VLOOKUP($R72,武学奇术!$A:$ZZ,4,FALSE)+SUM(_xlfn.XLOOKUP($S72:$AL72,增益!$A:$A,增益!$D:$D,0))-$I$2</f>
        <v>3839.102</v>
      </c>
      <c r="AV72" s="30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0.217</v>
      </c>
      <c r="AW72" s="30" cm="1">
        <f t="array" ref="AW72">$G$10+VLOOKUP($R72,武学奇术!$A:$ZZ,7,FALSE)+SUM(_xlfn.XLOOKUP($S72:$AL72,增益!$A:$A,增益!$G:$G,0))</f>
        <v>0.09</v>
      </c>
      <c r="AX72" s="24" cm="1">
        <f t="array" ref="AX72">VLOOKUP($R72,武学奇术!$A:$ZZ,8,FALSE)+SUM(_xlfn.XLOOKUP($S72:$AL72,增益!$A:$A,增益!$H:$H,0))</f>
        <v>0</v>
      </c>
      <c r="AY72">
        <f t="shared" si="14"/>
        <v>0</v>
      </c>
      <c r="AZ72">
        <f t="shared" si="15"/>
        <v>0</v>
      </c>
      <c r="BA72" s="30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0" cm="1">
        <f t="array" ref="BB72">$G$11+VLOOKUP($R72,武学奇术!$A:$ZZ,10,FALSE)+SUM(_xlfn.XLOOKUP($S72:$AL72,增益!$A:$A,增益!$J:$J,0))</f>
        <v>0</v>
      </c>
      <c r="BC72">
        <f t="shared" si="16"/>
        <v>0</v>
      </c>
      <c r="BD72">
        <f t="shared" si="17"/>
        <v>0</v>
      </c>
      <c r="BE72" s="30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0" cm="1">
        <f t="array" ref="BF72">$G$12+VLOOKUP($R72,武学奇术!$A:$ZZ,12,FALSE)+SUM(_xlfn.XLOOKUP($S72:$AL72,增益!$A:$A,增益!$L:$L,0))</f>
        <v>0</v>
      </c>
      <c r="BG72">
        <f t="shared" si="18"/>
        <v>0</v>
      </c>
      <c r="BH72">
        <f t="shared" si="19"/>
        <v>0</v>
      </c>
      <c r="BI72" s="30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-0.3</v>
      </c>
      <c r="BJ72" s="30" cm="1">
        <f t="array" ref="BJ72">$G$13+VLOOKUP($R72,武学奇术!$A:$ZZ,14,FALSE)+SUM(_xlfn.XLOOKUP($S72:$AL72,增益!$A:$A,增益!$N:$N,0))</f>
        <v>0</v>
      </c>
      <c r="BK72">
        <f t="shared" si="20"/>
        <v>605.472</v>
      </c>
      <c r="BL72">
        <f t="shared" si="21"/>
        <v>1725.468</v>
      </c>
      <c r="BM72" s="30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0</v>
      </c>
      <c r="BN72" s="30" cm="1">
        <f t="array" ref="BN72">$G$14+VLOOKUP($R72,武学奇术!$A:$ZZ,16,FALSE)+SUM(_xlfn.XLOOKUP($S72:$AL72,增益!$A:$A,增益!$P:$P,0))</f>
        <v>0.24</v>
      </c>
      <c r="BO72" s="24">
        <f>MIN(IF(VLOOKUP($R72,武学奇术!$A:$ZZ,23,FALSE)=1,100%,$B$8),100%)</f>
        <v>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+MIN(IF(VLOOKUP($R72,武学奇术!$A:$ZZ,32,FALSE)=1,IF(VLOOKUP($R72,武学奇术!$A:$ZZ,24,FALSE)=1,100%,MIN(40%,$B$10+VLOOKUP($R72,武学奇术!$A:$ZZ,19,FALSE)+SUM(_xlfn.XLOOKUP($S72:$AL72,增益!$A:$A,增益!$S:$S,0)))+$B$12+SUM(_xlfn.XLOOKUP($S72:$AL72,增益!$A:$A,增益!$V:$V,0))),0),12%)</f>
        <v>0.9036</v>
      </c>
      <c r="BQ72" s="24" cm="1">
        <f t="array" ref="BQ72">1+$B$13+VLOOKUP($R72,武学奇术!$A:$ZZ,18,FALSE)+SUM(_xlfn.XLOOKUP($S72:$AL72,增益!$A:$A,增益!$R:$R,0))</f>
        <v>1.64</v>
      </c>
      <c r="BR72" s="24" cm="1">
        <f t="array" ref="BR72">MAX(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-IF(VLOOKUP($R72,武学奇术!$A:$ZZ,32,FALSE)=1,12%,0),0)</f>
        <v>0.0929</v>
      </c>
      <c r="BS72" s="24" cm="1">
        <f t="array" ref="BS72">1+$B$14+VLOOKUP($R72,武学奇术!$A:$ZZ,20,FALSE)+SUM(_xlfn.XLOOKUP($S72:$AL72,增益!$A:$A,增益!$T:$T,0))</f>
        <v>1.35</v>
      </c>
      <c r="BT72" s="24">
        <f t="shared" si="22"/>
        <v>0.9036</v>
      </c>
      <c r="BU72" s="24">
        <f t="shared" si="23"/>
        <v>0.00350000000000006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0.11</v>
      </c>
      <c r="BX72" s="24" cm="1">
        <f t="array" ref="BX72">SUM(_xlfn.XLOOKUP($S72:$AL72,增益!$A:$A,增益!$X:$X,0))</f>
        <v>0</v>
      </c>
    </row>
    <row r="73" spans="1:76">
      <c r="A73" s="4"/>
      <c r="B73" s="91"/>
      <c r="K73">
        <f>$L73*VLOOKUP($R73,武学奇术!$A:$ZZ,31,FALSE)</f>
        <v>82959.6656161666</v>
      </c>
      <c r="L73" s="36">
        <f t="shared" si="24"/>
        <v>63815.1273970513</v>
      </c>
      <c r="M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BQ73*$Q73*(1+IF(VLOOKUP($R73,武学奇术!$A:$ZZ,30,FALSE)="蓄力技",$B$21,0))*(1+$BW73)</f>
        <v>65160.0782041902</v>
      </c>
      <c r="N73" s="36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蓄力技",$B$21,0))*(1+$BW73)</f>
        <v>51872.1624286763</v>
      </c>
      <c r="O73" s="36">
        <f>((($AT73+($AU73-$AT73)*IF(VLOOKUP($R73,武学奇术!$A:$ZZ,31,FALSE)=1,$F$18,0.5))*$AN73+$AO73)*(1+$AV73)*(1+$AW73)+(($AY73+($AZ73-$AY73)*IF(VLOOKUP($R73,武学奇术!$A:$ZZ,31,FALSE)=1,$F$18,0.5))*IF($G$1="鸣金",$AP73,$AN73)+IF($G$1="鸣金",$AQ73*1.5,0))*(1+$BA73)*(1+$BB73)+(($BC73+($BD73-$BC73)*IF(VLOOKUP($R73,武学奇术!$A:$ZZ,31,FALSE)=1,$F$18,0.5))*IF($G$1="裂石",$AP73,$AN73)+IF($G$1="裂石",$AQ73*1.5,0))*(1+$BE73)*(1+$BF73)+(($BG73+($BH73-$BG73)*IF(VLOOKUP($R73,武学奇术!$A:$ZZ,31,FALSE)=1,$F$18,0.5))*IF($G$1="牵丝",$AP73,$AN73)+IF($G$1="牵丝",$AQ73*1.5,0))*(1+$BI73)*(1+$BJ73)+(($BK73+($BL73-$BK73)*IF(VLOOKUP($R73,武学奇术!$A:$ZZ,31,FALSE)=1,$F$18,0.5))*IF($G$1="破竹",$AP73,$AN73)+IF($G$1="破竹",$AQ73*1.5,0))*(1+$BM73)*(1+$BN73))*(1+$AR73)*$Q73*(1+IF(VLOOKUP($R73,武学奇术!$A:$ZZ,30,FALSE)="蓄力技",$B$21,0))*(1+$BW73)</f>
        <v>33587.6691774176</v>
      </c>
      <c r="P73" s="36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蓄力技",$B$21,0))*(1+$BW73)</f>
        <v>28751.5143335935</v>
      </c>
      <c r="Q73" s="37">
        <v>1</v>
      </c>
      <c r="R73" s="38" t="s">
        <v>117</v>
      </c>
      <c r="S73" s="38" t="s">
        <v>104</v>
      </c>
      <c r="T73" s="38" t="s">
        <v>79</v>
      </c>
      <c r="U73" s="38" t="s">
        <v>79</v>
      </c>
      <c r="V73" s="38" t="s">
        <v>79</v>
      </c>
      <c r="W73" s="38" t="s">
        <v>79</v>
      </c>
      <c r="X73" s="38" t="s">
        <v>79</v>
      </c>
      <c r="Y73" s="38" t="s">
        <v>173</v>
      </c>
      <c r="Z73" s="38" t="s">
        <v>79</v>
      </c>
      <c r="AA73" s="38" t="s">
        <v>112</v>
      </c>
      <c r="AB73" s="38" t="s">
        <v>79</v>
      </c>
      <c r="AC73" s="38" t="s">
        <v>79</v>
      </c>
      <c r="AD73" s="38" t="s">
        <v>79</v>
      </c>
      <c r="AE73" s="38" t="s">
        <v>79</v>
      </c>
      <c r="AF73" s="38" t="s">
        <v>84</v>
      </c>
      <c r="AG73" s="38" t="s">
        <v>85</v>
      </c>
      <c r="AH73" s="38" t="s">
        <v>79</v>
      </c>
      <c r="AI73" s="38" t="s">
        <v>79</v>
      </c>
      <c r="AJ73" s="38" t="s">
        <v>79</v>
      </c>
      <c r="AK73" s="38" t="s">
        <v>79</v>
      </c>
      <c r="AL73" s="38" t="s">
        <v>79</v>
      </c>
      <c r="AM73" t="str">
        <f>VLOOKUP($R73,武学奇术!$A:$ZZ,25,FALSE)</f>
        <v>绳镖</v>
      </c>
      <c r="AN73" s="24">
        <f>VLOOKUP($R73,武学奇术!$A:$ZZ,26,FALSE)</f>
        <v>2.638944</v>
      </c>
      <c r="AO73" s="25">
        <f>VLOOKUP($R73,武学奇术!$A:$ZZ,27,FALSE)*(1+IF(OR($AM73=$F$4,$AM73=$F$5),$B$22,0))</f>
        <v>0</v>
      </c>
      <c r="AP73" s="24">
        <f>VLOOKUP($R73,武学奇术!$A:$ZZ,28,FALSE)</f>
        <v>3.958416</v>
      </c>
      <c r="AQ73" s="25">
        <f>VLOOKUP($R73,武学奇术!$A:$ZZ,29,FALSE)*(1+IF(OR($AM73=$F$4,$AM73=$F$5),$B$22,0))</f>
        <v>0</v>
      </c>
      <c r="AR73" s="24" cm="1">
        <f t="array" ref="AR73">$G$3+IFERROR(VLOOKUP($AM73,$F$4:$G$7,2,FALSE),0)+VLOOKUP($R73,武学奇术!$A:$ZZ,2,FALSE)+SUM(_xlfn.XLOOKUP($S73:$AL73,增益!$A:$A,增益!$B:$B,0))</f>
        <v>0.5389</v>
      </c>
      <c r="AS73" s="24" cm="1">
        <f t="array" ref="AS73">VLOOKUP($R73,武学奇术!$A:$ZZ,5,FALSE)+SUM(_xlfn.XLOOKUP($S73:$AL73,增益!$A:$A,增益!$E:$E,0))</f>
        <v>0</v>
      </c>
      <c r="AT73" cm="1">
        <f t="array" ref="AT73">$D$10*(1+$AS73)+VLOOKUP($R73,武学奇术!$A:$ZZ,3,FALSE)+SUM(_xlfn.XLOOKUP($S73:$AL73,增益!$A:$A,增益!$C:$C,0))-$I$2</f>
        <v>3839.102</v>
      </c>
      <c r="AU73" cm="1">
        <f t="array" ref="AU73">$E$10*(1+$AS73)+VLOOKUP($R73,武学奇术!$A:$ZZ,4,FALSE)+SUM(_xlfn.XLOOKUP($S73:$AL73,增益!$A:$A,增益!$D:$D,0))-$I$2</f>
        <v>3839.102</v>
      </c>
      <c r="AV73" s="30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0.247</v>
      </c>
      <c r="AW73" s="30" cm="1">
        <f t="array" ref="AW73">$G$10+VLOOKUP($R73,武学奇术!$A:$ZZ,7,FALSE)+SUM(_xlfn.XLOOKUP($S73:$AL73,增益!$A:$A,增益!$G:$G,0))</f>
        <v>0.09</v>
      </c>
      <c r="AX73" s="24" cm="1">
        <f t="array" ref="AX73">VLOOKUP($R73,武学奇术!$A:$ZZ,8,FALSE)+SUM(_xlfn.XLOOKUP($S73:$AL73,增益!$A:$A,增益!$H:$H,0))</f>
        <v>0</v>
      </c>
      <c r="AY73">
        <f t="shared" si="14"/>
        <v>0</v>
      </c>
      <c r="AZ73">
        <f t="shared" si="15"/>
        <v>0</v>
      </c>
      <c r="BA73" s="30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-0.24</v>
      </c>
      <c r="BB73" s="30" cm="1">
        <f t="array" ref="BB73">$G$11+VLOOKUP($R73,武学奇术!$A:$ZZ,10,FALSE)+SUM(_xlfn.XLOOKUP($S73:$AL73,增益!$A:$A,增益!$J:$J,0))</f>
        <v>0</v>
      </c>
      <c r="BC73">
        <f t="shared" si="16"/>
        <v>0</v>
      </c>
      <c r="BD73">
        <f t="shared" si="17"/>
        <v>0</v>
      </c>
      <c r="BE73" s="30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-0.24</v>
      </c>
      <c r="BF73" s="30" cm="1">
        <f t="array" ref="BF73">$G$12+VLOOKUP($R73,武学奇术!$A:$ZZ,12,FALSE)+SUM(_xlfn.XLOOKUP($S73:$AL73,增益!$A:$A,增益!$L:$L,0))</f>
        <v>0</v>
      </c>
      <c r="BG73">
        <f t="shared" si="18"/>
        <v>0</v>
      </c>
      <c r="BH73">
        <f t="shared" si="19"/>
        <v>0</v>
      </c>
      <c r="BI73" s="30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-0.24</v>
      </c>
      <c r="BJ73" s="30" cm="1">
        <f t="array" ref="BJ73">$G$13+VLOOKUP($R73,武学奇术!$A:$ZZ,14,FALSE)+SUM(_xlfn.XLOOKUP($S73:$AL73,增益!$A:$A,增益!$N:$N,0))</f>
        <v>0</v>
      </c>
      <c r="BK73">
        <f t="shared" si="20"/>
        <v>605.472</v>
      </c>
      <c r="BL73">
        <f t="shared" si="21"/>
        <v>1725.468</v>
      </c>
      <c r="BM73" s="30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0.03</v>
      </c>
      <c r="BN73" s="30" cm="1">
        <f t="array" ref="BN73">$G$14+VLOOKUP($R73,武学奇术!$A:$ZZ,16,FALSE)+SUM(_xlfn.XLOOKUP($S73:$AL73,增益!$A:$A,增益!$P:$P,0))</f>
        <v>0.24</v>
      </c>
      <c r="BO73" s="24">
        <f>MIN(IF(VLOOKUP($R73,武学奇术!$A:$ZZ,23,FALSE)=1,100%,$B$8),100%)</f>
        <v>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+MIN(IF(VLOOKUP($R73,武学奇术!$A:$ZZ,32,FALSE)=1,IF(VLOOKUP($R73,武学奇术!$A:$ZZ,24,FALSE)=1,100%,MIN(40%,$B$10+VLOOKUP($R73,武学奇术!$A:$ZZ,19,FALSE)+SUM(_xlfn.XLOOKUP($S73:$AL73,增益!$A:$A,增益!$S:$S,0)))+$B$12+SUM(_xlfn.XLOOKUP($S73:$AL73,增益!$A:$A,增益!$V:$V,0))),0),12%)</f>
        <v>0.9036</v>
      </c>
      <c r="BQ73" s="24" cm="1">
        <f t="array" ref="BQ73">1+$B$13+VLOOKUP($R73,武学奇术!$A:$ZZ,18,FALSE)+SUM(_xlfn.XLOOKUP($S73:$AL73,增益!$A:$A,增益!$R:$R,0))</f>
        <v>1.94</v>
      </c>
      <c r="BR73" s="24" cm="1">
        <f t="array" ref="BR73">MAX(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-IF(VLOOKUP($R73,武学奇术!$A:$ZZ,32,FALSE)=1,12%,0),0)</f>
        <v>0.0929</v>
      </c>
      <c r="BS73" s="24" cm="1">
        <f t="array" ref="BS73">1+$B$14+VLOOKUP($R73,武学奇术!$A:$ZZ,20,FALSE)+SUM(_xlfn.XLOOKUP($S73:$AL73,增益!$A:$A,增益!$T:$T,0))</f>
        <v>1.35</v>
      </c>
      <c r="BT73" s="24">
        <f t="shared" si="22"/>
        <v>0.9036</v>
      </c>
      <c r="BU73" s="24">
        <f t="shared" si="23"/>
        <v>0.00350000000000006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0.11</v>
      </c>
      <c r="BX73" s="24" cm="1">
        <f t="array" ref="BX73">SUM(_xlfn.XLOOKUP($S73:$AL73,增益!$A:$A,增益!$X:$X,0))</f>
        <v>0</v>
      </c>
    </row>
    <row r="74" spans="1:76">
      <c r="F74" s="4"/>
      <c r="G74" s="91"/>
      <c r="K74">
        <f>$L74*VLOOKUP($R74,武学奇术!$A:$ZZ,31,FALSE)</f>
        <v>48044.7699660996</v>
      </c>
      <c r="L74" s="36">
        <f t="shared" si="24"/>
        <v>48044.7699660996</v>
      </c>
      <c r="M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BQ74*$Q74*(1+IF(VLOOKUP($R74,武学奇术!$A:$ZZ,30,FALSE)="蓄力技",$B$21,0))*(1+$BW74)</f>
        <v>48437.7307299936</v>
      </c>
      <c r="N74" s="36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蓄力技",$B$21,0))*(1+$BW74)</f>
        <v>44919.9491135756</v>
      </c>
      <c r="O74" s="36">
        <f>((($AT74+($AU74-$AT74)*IF(VLOOKUP($R74,武学奇术!$A:$ZZ,31,FALSE)=1,$F$18,0.5))*$AN74+$AO74)*(1+$AV74)*(1+$AW74)+(($AY74+($AZ74-$AY74)*IF(VLOOKUP($R74,武学奇术!$A:$ZZ,31,FALSE)=1,$F$18,0.5))*IF($G$1="鸣金",$AP74,$AN74)+IF($G$1="鸣金",$AQ74*1.5,0))*(1+$BA74)*(1+$BB74)+(($BC74+($BD74-$BC74)*IF(VLOOKUP($R74,武学奇术!$A:$ZZ,31,FALSE)=1,$F$18,0.5))*IF($G$1="裂石",$AP74,$AN74)+IF($G$1="裂石",$AQ74*1.5,0))*(1+$BE74)*(1+$BF74)+(($BG74+($BH74-$BG74)*IF(VLOOKUP($R74,武学奇术!$A:$ZZ,31,FALSE)=1,$F$18,0.5))*IF($G$1="牵丝",$AP74,$AN74)+IF($G$1="牵丝",$AQ74*1.5,0))*(1+$BI74)*(1+$BJ74)+(($BK74+($BL74-$BK74)*IF(VLOOKUP($R74,武学奇术!$A:$ZZ,31,FALSE)=1,$F$18,0.5))*IF($G$1="破竹",$AP74,$AN74)+IF($G$1="破竹",$AQ74*1.5,0))*(1+$BM74)*(1+$BN74))*(1+$AR74)*$Q74*(1+IF(VLOOKUP($R74,武学奇术!$A:$ZZ,30,FALSE)="蓄力技",$B$21,0))*(1+$BW74)</f>
        <v>29535.2016646302</v>
      </c>
      <c r="P74" s="36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蓄力技",$B$21,0))*(1+$BW74)</f>
        <v>25796.3669488341</v>
      </c>
      <c r="Q74" s="37">
        <v>1</v>
      </c>
      <c r="R74" s="38" t="s">
        <v>127</v>
      </c>
      <c r="S74" s="38" t="s">
        <v>104</v>
      </c>
      <c r="T74" s="38" t="s">
        <v>79</v>
      </c>
      <c r="U74" s="38" t="s">
        <v>79</v>
      </c>
      <c r="V74" s="38" t="s">
        <v>79</v>
      </c>
      <c r="W74" s="38" t="s">
        <v>79</v>
      </c>
      <c r="X74" s="38" t="s">
        <v>79</v>
      </c>
      <c r="Y74" s="38" t="s">
        <v>173</v>
      </c>
      <c r="Z74" s="38" t="s">
        <v>79</v>
      </c>
      <c r="AA74" s="38" t="s">
        <v>79</v>
      </c>
      <c r="AB74" s="38" t="s">
        <v>79</v>
      </c>
      <c r="AC74" s="38" t="s">
        <v>79</v>
      </c>
      <c r="AD74" s="38" t="s">
        <v>79</v>
      </c>
      <c r="AE74" s="38" t="s">
        <v>79</v>
      </c>
      <c r="AF74" s="38" t="s">
        <v>84</v>
      </c>
      <c r="AG74" s="38" t="s">
        <v>85</v>
      </c>
      <c r="AH74" s="38" t="s">
        <v>79</v>
      </c>
      <c r="AI74" s="38" t="s">
        <v>79</v>
      </c>
      <c r="AJ74" s="38" t="s">
        <v>79</v>
      </c>
      <c r="AK74" s="38" t="s">
        <v>79</v>
      </c>
      <c r="AL74" s="38" t="s">
        <v>79</v>
      </c>
      <c r="AM74" t="str">
        <f>VLOOKUP($R74,武学奇术!$A:$ZZ,25,FALSE)</f>
        <v>拳甲</v>
      </c>
      <c r="AN74" s="24">
        <f>VLOOKUP($R74,武学奇术!$A:$ZZ,26,FALSE)</f>
        <v>2.4421</v>
      </c>
      <c r="AO74" s="25">
        <f>VLOOKUP($R74,武学奇术!$A:$ZZ,27,FALSE)*(1+IF(OR($AM74=$F$4,$AM74=$F$5),$B$22,0))</f>
        <v>1012.5</v>
      </c>
      <c r="AP74" s="24">
        <f>VLOOKUP($R74,武学奇术!$A:$ZZ,28,FALSE)</f>
        <v>3.6634</v>
      </c>
      <c r="AQ74" s="25">
        <f>VLOOKUP($R74,武学奇术!$A:$ZZ,29,FALSE)*(1+IF(OR($AM74=$F$4,$AM74=$F$5),$B$22,0))</f>
        <v>549</v>
      </c>
      <c r="AR74" s="24" cm="1">
        <f t="array" ref="AR74">$G$3+IFERROR(VLOOKUP($AM74,$F$4:$G$7,2,FALSE),0)+VLOOKUP($R74,武学奇术!$A:$ZZ,2,FALSE)+SUM(_xlfn.XLOOKUP($S74:$AL74,增益!$A:$A,增益!$B:$B,0))</f>
        <v>0.3241</v>
      </c>
      <c r="AS74" s="24" cm="1">
        <f t="array" ref="AS74">VLOOKUP($R74,武学奇术!$A:$ZZ,5,FALSE)+SUM(_xlfn.XLOOKUP($S74:$AL74,增益!$A:$A,增益!$E:$E,0))</f>
        <v>0</v>
      </c>
      <c r="AT74" cm="1">
        <f t="array" ref="AT74">$D$10*(1+$AS74)+VLOOKUP($R74,武学奇术!$A:$ZZ,3,FALSE)+SUM(_xlfn.XLOOKUP($S74:$AL74,增益!$A:$A,增益!$C:$C,0))-$I$2</f>
        <v>3839.102</v>
      </c>
      <c r="AU74" cm="1">
        <f t="array" ref="AU74">$E$10*(1+$AS74)+VLOOKUP($R74,武学奇术!$A:$ZZ,4,FALSE)+SUM(_xlfn.XLOOKUP($S74:$AL74,增益!$A:$A,增益!$D:$D,0))-$I$2</f>
        <v>3839.102</v>
      </c>
      <c r="AV74" s="30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0.217</v>
      </c>
      <c r="AW74" s="30" cm="1">
        <f t="array" ref="AW74">$G$10+VLOOKUP($R74,武学奇术!$A:$ZZ,7,FALSE)+SUM(_xlfn.XLOOKUP($S74:$AL74,增益!$A:$A,增益!$G:$G,0))</f>
        <v>0.09</v>
      </c>
      <c r="AX74" s="24" cm="1">
        <f t="array" ref="AX74">VLOOKUP($R74,武学奇术!$A:$ZZ,8,FALSE)+SUM(_xlfn.XLOOKUP($S74:$AL74,增益!$A:$A,增益!$H:$H,0))</f>
        <v>0</v>
      </c>
      <c r="AY74">
        <f t="shared" si="14"/>
        <v>0</v>
      </c>
      <c r="AZ74">
        <f t="shared" si="15"/>
        <v>0</v>
      </c>
      <c r="BA74" s="30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0" cm="1">
        <f t="array" ref="BB74">$G$11+VLOOKUP($R74,武学奇术!$A:$ZZ,10,FALSE)+SUM(_xlfn.XLOOKUP($S74:$AL74,增益!$A:$A,增益!$J:$J,0))</f>
        <v>0</v>
      </c>
      <c r="BC74">
        <f t="shared" si="16"/>
        <v>0</v>
      </c>
      <c r="BD74">
        <f t="shared" si="17"/>
        <v>0</v>
      </c>
      <c r="BE74" s="30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0" cm="1">
        <f t="array" ref="BF74">$G$12+VLOOKUP($R74,武学奇术!$A:$ZZ,12,FALSE)+SUM(_xlfn.XLOOKUP($S74:$AL74,增益!$A:$A,增益!$L:$L,0))</f>
        <v>0</v>
      </c>
      <c r="BG74">
        <f t="shared" si="18"/>
        <v>0</v>
      </c>
      <c r="BH74">
        <f t="shared" si="19"/>
        <v>0</v>
      </c>
      <c r="BI74" s="30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-0.3</v>
      </c>
      <c r="BJ74" s="30" cm="1">
        <f t="array" ref="BJ74">$G$13+VLOOKUP($R74,武学奇术!$A:$ZZ,14,FALSE)+SUM(_xlfn.XLOOKUP($S74:$AL74,增益!$A:$A,增益!$N:$N,0))</f>
        <v>0</v>
      </c>
      <c r="BK74">
        <f t="shared" si="20"/>
        <v>605.472</v>
      </c>
      <c r="BL74">
        <f t="shared" si="21"/>
        <v>1725.468</v>
      </c>
      <c r="BM74" s="30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0</v>
      </c>
      <c r="BN74" s="30" cm="1">
        <f t="array" ref="BN74">$G$14+VLOOKUP($R74,武学奇术!$A:$ZZ,16,FALSE)+SUM(_xlfn.XLOOKUP($S74:$AL74,增益!$A:$A,增益!$P:$P,0))</f>
        <v>0.24</v>
      </c>
      <c r="BO74" s="24">
        <f>MIN(IF(VLOOKUP($R74,武学奇术!$A:$ZZ,23,FALSE)=1,100%,$B$8),100%)</f>
        <v>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+MIN(IF(VLOOKUP($R74,武学奇术!$A:$ZZ,32,FALSE)=1,IF(VLOOKUP($R74,武学奇术!$A:$ZZ,24,FALSE)=1,100%,MIN(40%,$B$10+VLOOKUP($R74,武学奇术!$A:$ZZ,19,FALSE)+SUM(_xlfn.XLOOKUP($S74:$AL74,增益!$A:$A,增益!$S:$S,0)))+$B$12+SUM(_xlfn.XLOOKUP($S74:$AL74,增益!$A:$A,增益!$V:$V,0))),0),12%)</f>
        <v>0.9036</v>
      </c>
      <c r="BQ74" s="24" cm="1">
        <f t="array" ref="BQ74">1+$B$13+VLOOKUP($R74,武学奇术!$A:$ZZ,18,FALSE)+SUM(_xlfn.XLOOKUP($S74:$AL74,增益!$A:$A,增益!$R:$R,0))</f>
        <v>1.64</v>
      </c>
      <c r="BR74" s="24" cm="1">
        <f t="array" ref="BR74">MAX(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-IF(VLOOKUP($R74,武学奇术!$A:$ZZ,32,FALSE)=1,12%,0),0)</f>
        <v>0.0929</v>
      </c>
      <c r="BS74" s="24" cm="1">
        <f t="array" ref="BS74">1+$B$14+VLOOKUP($R74,武学奇术!$A:$ZZ,20,FALSE)+SUM(_xlfn.XLOOKUP($S74:$AL74,增益!$A:$A,增益!$T:$T,0))</f>
        <v>1.35</v>
      </c>
      <c r="BT74" s="24">
        <f t="shared" si="22"/>
        <v>0.9036</v>
      </c>
      <c r="BU74" s="24">
        <f t="shared" si="23"/>
        <v>0.00350000000000006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0.11</v>
      </c>
      <c r="BX74" s="24" cm="1">
        <f t="array" ref="BX74">SUM(_xlfn.XLOOKUP($S74:$AL74,增益!$A:$A,增益!$X:$X,0))</f>
        <v>0</v>
      </c>
    </row>
    <row r="75" spans="1:76">
      <c r="A75" s="4"/>
      <c r="B75" s="91"/>
      <c r="F75" s="4"/>
      <c r="G75" s="4"/>
      <c r="K75">
        <f>$L75*VLOOKUP($R75,武学奇术!$A:$ZZ,31,FALSE)</f>
        <v>25354.1383104499</v>
      </c>
      <c r="L75" s="36">
        <f t="shared" si="24"/>
        <v>25354.1383104499</v>
      </c>
      <c r="M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BQ75*$Q75*(1+IF(VLOOKUP($R75,武学奇术!$A:$ZZ,30,FALSE)="蓄力技",$B$21,0))*(1+$BW75)</f>
        <v>25561.7647454447</v>
      </c>
      <c r="N75" s="36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蓄力技",$B$21,0))*(1+$BW75)</f>
        <v>23702.6387486891</v>
      </c>
      <c r="O75" s="36">
        <f>((($AT75+($AU75-$AT75)*IF(VLOOKUP($R75,武学奇术!$A:$ZZ,31,FALSE)=1,$F$18,0.5))*$AN75+$AO75)*(1+$AV75)*(1+$AW75)+(($AY75+($AZ75-$AY75)*IF(VLOOKUP($R75,武学奇术!$A:$ZZ,31,FALSE)=1,$F$18,0.5))*IF($G$1="鸣金",$AP75,$AN75)+IF($G$1="鸣金",$AQ75*1.5,0))*(1+$BA75)*(1+$BB75)+(($BC75+($BD75-$BC75)*IF(VLOOKUP($R75,武学奇术!$A:$ZZ,31,FALSE)=1,$F$18,0.5))*IF($G$1="裂石",$AP75,$AN75)+IF($G$1="裂石",$AQ75*1.5,0))*(1+$BE75)*(1+$BF75)+(($BG75+($BH75-$BG75)*IF(VLOOKUP($R75,武学奇术!$A:$ZZ,31,FALSE)=1,$F$18,0.5))*IF($G$1="牵丝",$AP75,$AN75)+IF($G$1="牵丝",$AQ75*1.5,0))*(1+$BI75)*(1+$BJ75)+(($BK75+($BL75-$BK75)*IF(VLOOKUP($R75,武学奇术!$A:$ZZ,31,FALSE)=1,$F$18,0.5))*IF($G$1="破竹",$AP75,$AN75)+IF($G$1="破竹",$AQ75*1.5,0))*(1+$BM75)*(1+$BN75))*(1+$AR75)*$Q75*(1+IF(VLOOKUP($R75,武学奇术!$A:$ZZ,30,FALSE)="蓄力技",$B$21,0))*(1+$BW75)</f>
        <v>15586.4419179541</v>
      </c>
      <c r="P75" s="36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蓄力技",$B$21,0))*(1+$BW75)</f>
        <v>13615.373651694</v>
      </c>
      <c r="Q75" s="37">
        <v>1</v>
      </c>
      <c r="R75" s="38" t="s">
        <v>122</v>
      </c>
      <c r="S75" s="38" t="s">
        <v>104</v>
      </c>
      <c r="T75" s="38" t="s">
        <v>79</v>
      </c>
      <c r="U75" s="38" t="s">
        <v>79</v>
      </c>
      <c r="V75" s="38" t="s">
        <v>79</v>
      </c>
      <c r="W75" s="38" t="s">
        <v>79</v>
      </c>
      <c r="X75" s="38" t="s">
        <v>79</v>
      </c>
      <c r="Y75" s="38" t="s">
        <v>173</v>
      </c>
      <c r="Z75" s="38" t="s">
        <v>79</v>
      </c>
      <c r="AA75" s="38" t="s">
        <v>79</v>
      </c>
      <c r="AB75" s="38" t="s">
        <v>79</v>
      </c>
      <c r="AC75" s="38" t="s">
        <v>79</v>
      </c>
      <c r="AD75" s="38" t="s">
        <v>79</v>
      </c>
      <c r="AE75" s="38" t="s">
        <v>79</v>
      </c>
      <c r="AF75" s="38" t="s">
        <v>84</v>
      </c>
      <c r="AG75" s="38" t="s">
        <v>85</v>
      </c>
      <c r="AH75" s="38" t="s">
        <v>79</v>
      </c>
      <c r="AI75" s="38" t="s">
        <v>79</v>
      </c>
      <c r="AJ75" s="38" t="s">
        <v>79</v>
      </c>
      <c r="AK75" s="38" t="s">
        <v>79</v>
      </c>
      <c r="AL75" s="38" t="s">
        <v>79</v>
      </c>
      <c r="AM75" t="str">
        <f>VLOOKUP($R75,武学奇术!$A:$ZZ,25,FALSE)</f>
        <v>拳甲</v>
      </c>
      <c r="AN75" s="24">
        <f>VLOOKUP($R75,武学奇术!$A:$ZZ,26,FALSE)</f>
        <v>1.2876</v>
      </c>
      <c r="AO75" s="25">
        <f>VLOOKUP($R75,武学奇术!$A:$ZZ,27,FALSE)*(1+IF(OR($AM75=$F$4,$AM75=$F$5),$B$22,0))</f>
        <v>537</v>
      </c>
      <c r="AP75" s="24">
        <f>VLOOKUP($R75,武学奇术!$A:$ZZ,28,FALSE)</f>
        <v>1.9313</v>
      </c>
      <c r="AQ75" s="25">
        <f>VLOOKUP($R75,武学奇术!$A:$ZZ,29,FALSE)*(1+IF(OR($AM75=$F$4,$AM75=$F$5),$B$22,0))</f>
        <v>292.5</v>
      </c>
      <c r="AR75" s="24" cm="1">
        <f t="array" ref="AR75">$G$3+IFERROR(VLOOKUP($AM75,$F$4:$G$7,2,FALSE),0)+VLOOKUP($R75,武学奇术!$A:$ZZ,2,FALSE)+SUM(_xlfn.XLOOKUP($S75:$AL75,增益!$A:$A,增益!$B:$B,0))</f>
        <v>0.3241</v>
      </c>
      <c r="AS75" s="24" cm="1">
        <f t="array" ref="AS75">VLOOKUP($R75,武学奇术!$A:$ZZ,5,FALSE)+SUM(_xlfn.XLOOKUP($S75:$AL75,增益!$A:$A,增益!$E:$E,0))</f>
        <v>0</v>
      </c>
      <c r="AT75" cm="1">
        <f t="array" ref="AT75">$D$10*(1+$AS75)+VLOOKUP($R75,武学奇术!$A:$ZZ,3,FALSE)+SUM(_xlfn.XLOOKUP($S75:$AL75,增益!$A:$A,增益!$C:$C,0))-$I$2</f>
        <v>3839.102</v>
      </c>
      <c r="AU75" cm="1">
        <f t="array" ref="AU75">$E$10*(1+$AS75)+VLOOKUP($R75,武学奇术!$A:$ZZ,4,FALSE)+SUM(_xlfn.XLOOKUP($S75:$AL75,增益!$A:$A,增益!$D:$D,0))-$I$2</f>
        <v>3839.102</v>
      </c>
      <c r="AV75" s="30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0.217</v>
      </c>
      <c r="AW75" s="30" cm="1">
        <f t="array" ref="AW75">$G$10+VLOOKUP($R75,武学奇术!$A:$ZZ,7,FALSE)+SUM(_xlfn.XLOOKUP($S75:$AL75,增益!$A:$A,增益!$G:$G,0))</f>
        <v>0.09</v>
      </c>
      <c r="AX75" s="24" cm="1">
        <f t="array" ref="AX75">VLOOKUP($R75,武学奇术!$A:$ZZ,8,FALSE)+SUM(_xlfn.XLOOKUP($S75:$AL75,增益!$A:$A,增益!$H:$H,0))</f>
        <v>0</v>
      </c>
      <c r="AY75">
        <f t="shared" si="14"/>
        <v>0</v>
      </c>
      <c r="AZ75">
        <f t="shared" si="15"/>
        <v>0</v>
      </c>
      <c r="BA75" s="30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0" cm="1">
        <f t="array" ref="BB75">$G$11+VLOOKUP($R75,武学奇术!$A:$ZZ,10,FALSE)+SUM(_xlfn.XLOOKUP($S75:$AL75,增益!$A:$A,增益!$J:$J,0))</f>
        <v>0</v>
      </c>
      <c r="BC75">
        <f t="shared" si="16"/>
        <v>0</v>
      </c>
      <c r="BD75">
        <f t="shared" si="17"/>
        <v>0</v>
      </c>
      <c r="BE75" s="30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0" cm="1">
        <f t="array" ref="BF75">$G$12+VLOOKUP($R75,武学奇术!$A:$ZZ,12,FALSE)+SUM(_xlfn.XLOOKUP($S75:$AL75,增益!$A:$A,增益!$L:$L,0))</f>
        <v>0</v>
      </c>
      <c r="BG75">
        <f t="shared" si="18"/>
        <v>0</v>
      </c>
      <c r="BH75">
        <f t="shared" si="19"/>
        <v>0</v>
      </c>
      <c r="BI75" s="30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-0.3</v>
      </c>
      <c r="BJ75" s="30" cm="1">
        <f t="array" ref="BJ75">$G$13+VLOOKUP($R75,武学奇术!$A:$ZZ,14,FALSE)+SUM(_xlfn.XLOOKUP($S75:$AL75,增益!$A:$A,增益!$N:$N,0))</f>
        <v>0</v>
      </c>
      <c r="BK75">
        <f t="shared" si="20"/>
        <v>605.472</v>
      </c>
      <c r="BL75">
        <f t="shared" si="21"/>
        <v>1725.468</v>
      </c>
      <c r="BM75" s="30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0</v>
      </c>
      <c r="BN75" s="30" cm="1">
        <f t="array" ref="BN75">$G$14+VLOOKUP($R75,武学奇术!$A:$ZZ,16,FALSE)+SUM(_xlfn.XLOOKUP($S75:$AL75,增益!$A:$A,增益!$P:$P,0))</f>
        <v>0.24</v>
      </c>
      <c r="BO75" s="24">
        <f>MIN(IF(VLOOKUP($R75,武学奇术!$A:$ZZ,23,FALSE)=1,100%,$B$8),100%)</f>
        <v>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+MIN(IF(VLOOKUP($R75,武学奇术!$A:$ZZ,32,FALSE)=1,IF(VLOOKUP($R75,武学奇术!$A:$ZZ,24,FALSE)=1,100%,MIN(40%,$B$10+VLOOKUP($R75,武学奇术!$A:$ZZ,19,FALSE)+SUM(_xlfn.XLOOKUP($S75:$AL75,增益!$A:$A,增益!$S:$S,0)))+$B$12+SUM(_xlfn.XLOOKUP($S75:$AL75,增益!$A:$A,增益!$V:$V,0))),0),12%)</f>
        <v>0.9036</v>
      </c>
      <c r="BQ75" s="24" cm="1">
        <f t="array" ref="BQ75">1+$B$13+VLOOKUP($R75,武学奇术!$A:$ZZ,18,FALSE)+SUM(_xlfn.XLOOKUP($S75:$AL75,增益!$A:$A,增益!$R:$R,0))</f>
        <v>1.64</v>
      </c>
      <c r="BR75" s="24" cm="1">
        <f t="array" ref="BR75">MAX(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-IF(VLOOKUP($R75,武学奇术!$A:$ZZ,32,FALSE)=1,12%,0),0)</f>
        <v>0.0929</v>
      </c>
      <c r="BS75" s="24" cm="1">
        <f t="array" ref="BS75">1+$B$14+VLOOKUP($R75,武学奇术!$A:$ZZ,20,FALSE)+SUM(_xlfn.XLOOKUP($S75:$AL75,增益!$A:$A,增益!$T:$T,0))</f>
        <v>1.35</v>
      </c>
      <c r="BT75" s="24">
        <f t="shared" si="22"/>
        <v>0.9036</v>
      </c>
      <c r="BU75" s="24">
        <f t="shared" si="23"/>
        <v>0.00350000000000006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0.11</v>
      </c>
      <c r="BX75" s="24" cm="1">
        <f t="array" ref="BX75">SUM(_xlfn.XLOOKUP($S75:$AL75,增益!$A:$A,增益!$X:$X,0))</f>
        <v>0</v>
      </c>
    </row>
    <row r="76" spans="1:76">
      <c r="F76" s="4"/>
      <c r="G76" s="4"/>
      <c r="K76">
        <f>$L76*VLOOKUP($R76,武学奇术!$A:$ZZ,31,FALSE)</f>
        <v>87552.6628937658</v>
      </c>
      <c r="L76" s="36">
        <f t="shared" si="24"/>
        <v>67348.2022259737</v>
      </c>
      <c r="M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BQ76*$Q76*(1+IF(VLOOKUP($R76,武学奇术!$A:$ZZ,30,FALSE)="蓄力技",$B$21,0))*(1+$BW76)</f>
        <v>68767.6151870981</v>
      </c>
      <c r="N76" s="36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蓄力技",$B$21,0))*(1+$BW76)</f>
        <v>54744.0243033421</v>
      </c>
      <c r="O76" s="36">
        <f>((($AT76+($AU76-$AT76)*IF(VLOOKUP($R76,武学奇术!$A:$ZZ,31,FALSE)=1,$F$18,0.5))*$AN76+$AO76)*(1+$AV76)*(1+$AW76)+(($AY76+($AZ76-$AY76)*IF(VLOOKUP($R76,武学奇术!$A:$ZZ,31,FALSE)=1,$F$18,0.5))*IF($G$1="鸣金",$AP76,$AN76)+IF($G$1="鸣金",$AQ76*1.5,0))*(1+$BA76)*(1+$BB76)+(($BC76+($BD76-$BC76)*IF(VLOOKUP($R76,武学奇术!$A:$ZZ,31,FALSE)=1,$F$18,0.5))*IF($G$1="裂石",$AP76,$AN76)+IF($G$1="裂石",$AQ76*1.5,0))*(1+$BE76)*(1+$BF76)+(($BG76+($BH76-$BG76)*IF(VLOOKUP($R76,武学奇术!$A:$ZZ,31,FALSE)=1,$F$18,0.5))*IF($G$1="牵丝",$AP76,$AN76)+IF($G$1="牵丝",$AQ76*1.5,0))*(1+$BI76)*(1+$BJ76)+(($BK76+($BL76-$BK76)*IF(VLOOKUP($R76,武学奇术!$A:$ZZ,31,FALSE)=1,$F$18,0.5))*IF($G$1="破竹",$AP76,$AN76)+IF($G$1="破竹",$AQ76*1.5,0))*(1+$BM76)*(1+$BN76))*(1+$AR76)*$Q76*(1+IF(VLOOKUP($R76,武学奇术!$A:$ZZ,30,FALSE)="蓄力技",$B$21,0))*(1+$BW76)</f>
        <v>35447.2243232465</v>
      </c>
      <c r="P76" s="36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蓄力技",$B$21,0))*(1+$BW76)</f>
        <v>30343.3195329062</v>
      </c>
      <c r="Q76" s="37">
        <v>1</v>
      </c>
      <c r="R76" s="38" t="s">
        <v>124</v>
      </c>
      <c r="S76" s="38" t="s">
        <v>104</v>
      </c>
      <c r="T76" s="38" t="s">
        <v>79</v>
      </c>
      <c r="U76" s="38" t="s">
        <v>79</v>
      </c>
      <c r="V76" s="38" t="s">
        <v>79</v>
      </c>
      <c r="W76" s="38" t="s">
        <v>79</v>
      </c>
      <c r="X76" s="38" t="s">
        <v>79</v>
      </c>
      <c r="Y76" s="38" t="s">
        <v>173</v>
      </c>
      <c r="Z76" s="38" t="s">
        <v>79</v>
      </c>
      <c r="AA76" s="38" t="s">
        <v>112</v>
      </c>
      <c r="AB76" s="38" t="s">
        <v>79</v>
      </c>
      <c r="AC76" s="38" t="s">
        <v>79</v>
      </c>
      <c r="AD76" s="38" t="s">
        <v>79</v>
      </c>
      <c r="AE76" s="38" t="s">
        <v>79</v>
      </c>
      <c r="AF76" s="38" t="s">
        <v>84</v>
      </c>
      <c r="AG76" s="38" t="s">
        <v>85</v>
      </c>
      <c r="AH76" s="38" t="s">
        <v>79</v>
      </c>
      <c r="AI76" s="38" t="s">
        <v>79</v>
      </c>
      <c r="AJ76" s="38" t="s">
        <v>79</v>
      </c>
      <c r="AK76" s="38" t="s">
        <v>79</v>
      </c>
      <c r="AL76" s="38" t="s">
        <v>79</v>
      </c>
      <c r="AM76" t="str">
        <f>VLOOKUP($R76,武学奇术!$A:$ZZ,25,FALSE)</f>
        <v>拳甲</v>
      </c>
      <c r="AN76" s="24">
        <f>VLOOKUP($R76,武学奇术!$A:$ZZ,26,FALSE)</f>
        <v>2.638944</v>
      </c>
      <c r="AO76" s="25">
        <f>VLOOKUP($R76,武学奇术!$A:$ZZ,27,FALSE)*(1+IF(OR($AM76=$F$4,$AM76=$F$5),$B$22,0))</f>
        <v>0</v>
      </c>
      <c r="AP76" s="24">
        <f>VLOOKUP($R76,武学奇术!$A:$ZZ,28,FALSE)</f>
        <v>3.958416</v>
      </c>
      <c r="AQ76" s="25">
        <f>VLOOKUP($R76,武学奇术!$A:$ZZ,29,FALSE)*(1+IF(OR($AM76=$F$4,$AM76=$F$5),$B$22,0))</f>
        <v>0</v>
      </c>
      <c r="AR76" s="24" cm="1">
        <f t="array" ref="AR76">$G$3+IFERROR(VLOOKUP($AM76,$F$4:$G$7,2,FALSE),0)+VLOOKUP($R76,武学奇术!$A:$ZZ,2,FALSE)+SUM(_xlfn.XLOOKUP($S76:$AL76,增益!$A:$A,增益!$B:$B,0))</f>
        <v>0.6241</v>
      </c>
      <c r="AS76" s="24" cm="1">
        <f t="array" ref="AS76">VLOOKUP($R76,武学奇术!$A:$ZZ,5,FALSE)+SUM(_xlfn.XLOOKUP($S76:$AL76,增益!$A:$A,增益!$E:$E,0))</f>
        <v>0</v>
      </c>
      <c r="AT76" cm="1">
        <f t="array" ref="AT76">$D$10*(1+$AS76)+VLOOKUP($R76,武学奇术!$A:$ZZ,3,FALSE)+SUM(_xlfn.XLOOKUP($S76:$AL76,增益!$A:$A,增益!$C:$C,0))-$I$2</f>
        <v>3839.102</v>
      </c>
      <c r="AU76" cm="1">
        <f t="array" ref="AU76">$E$10*(1+$AS76)+VLOOKUP($R76,武学奇术!$A:$ZZ,4,FALSE)+SUM(_xlfn.XLOOKUP($S76:$AL76,增益!$A:$A,增益!$D:$D,0))-$I$2</f>
        <v>3839.102</v>
      </c>
      <c r="AV76" s="30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0.247</v>
      </c>
      <c r="AW76" s="30" cm="1">
        <f t="array" ref="AW76">$G$10+VLOOKUP($R76,武学奇术!$A:$ZZ,7,FALSE)+SUM(_xlfn.XLOOKUP($S76:$AL76,增益!$A:$A,增益!$G:$G,0))</f>
        <v>0.09</v>
      </c>
      <c r="AX76" s="24" cm="1">
        <f t="array" ref="AX76">VLOOKUP($R76,武学奇术!$A:$ZZ,8,FALSE)+SUM(_xlfn.XLOOKUP($S76:$AL76,增益!$A:$A,增益!$H:$H,0))</f>
        <v>0</v>
      </c>
      <c r="AY76">
        <f t="shared" si="14"/>
        <v>0</v>
      </c>
      <c r="AZ76">
        <f t="shared" si="15"/>
        <v>0</v>
      </c>
      <c r="BA76" s="30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-0.24</v>
      </c>
      <c r="BB76" s="30" cm="1">
        <f t="array" ref="BB76">$G$11+VLOOKUP($R76,武学奇术!$A:$ZZ,10,FALSE)+SUM(_xlfn.XLOOKUP($S76:$AL76,增益!$A:$A,增益!$J:$J,0))</f>
        <v>0</v>
      </c>
      <c r="BC76">
        <f t="shared" si="16"/>
        <v>0</v>
      </c>
      <c r="BD76">
        <f t="shared" si="17"/>
        <v>0</v>
      </c>
      <c r="BE76" s="30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-0.24</v>
      </c>
      <c r="BF76" s="30" cm="1">
        <f t="array" ref="BF76">$G$12+VLOOKUP($R76,武学奇术!$A:$ZZ,12,FALSE)+SUM(_xlfn.XLOOKUP($S76:$AL76,增益!$A:$A,增益!$L:$L,0))</f>
        <v>0</v>
      </c>
      <c r="BG76">
        <f t="shared" si="18"/>
        <v>0</v>
      </c>
      <c r="BH76">
        <f t="shared" si="19"/>
        <v>0</v>
      </c>
      <c r="BI76" s="30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-0.24</v>
      </c>
      <c r="BJ76" s="30" cm="1">
        <f t="array" ref="BJ76">$G$13+VLOOKUP($R76,武学奇术!$A:$ZZ,14,FALSE)+SUM(_xlfn.XLOOKUP($S76:$AL76,增益!$A:$A,增益!$N:$N,0))</f>
        <v>0</v>
      </c>
      <c r="BK76">
        <f t="shared" si="20"/>
        <v>605.472</v>
      </c>
      <c r="BL76">
        <f t="shared" si="21"/>
        <v>1725.468</v>
      </c>
      <c r="BM76" s="30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0.03</v>
      </c>
      <c r="BN76" s="30" cm="1">
        <f t="array" ref="BN76">$G$14+VLOOKUP($R76,武学奇术!$A:$ZZ,16,FALSE)+SUM(_xlfn.XLOOKUP($S76:$AL76,增益!$A:$A,增益!$P:$P,0))</f>
        <v>0.24</v>
      </c>
      <c r="BO76" s="24">
        <f>MIN(IF(VLOOKUP($R76,武学奇术!$A:$ZZ,23,FALSE)=1,100%,$B$8),100%)</f>
        <v>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+MIN(IF(VLOOKUP($R76,武学奇术!$A:$ZZ,32,FALSE)=1,IF(VLOOKUP($R76,武学奇术!$A:$ZZ,24,FALSE)=1,100%,MIN(40%,$B$10+VLOOKUP($R76,武学奇术!$A:$ZZ,19,FALSE)+SUM(_xlfn.XLOOKUP($S76:$AL76,增益!$A:$A,增益!$S:$S,0)))+$B$12+SUM(_xlfn.XLOOKUP($S76:$AL76,增益!$A:$A,增益!$V:$V,0))),0),12%)</f>
        <v>0.9036</v>
      </c>
      <c r="BQ76" s="24" cm="1">
        <f t="array" ref="BQ76">1+$B$13+VLOOKUP($R76,武学奇术!$A:$ZZ,18,FALSE)+SUM(_xlfn.XLOOKUP($S76:$AL76,增益!$A:$A,增益!$R:$R,0))</f>
        <v>1.94</v>
      </c>
      <c r="BR76" s="24" cm="1">
        <f t="array" ref="BR76">MAX(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-IF(VLOOKUP($R76,武学奇术!$A:$ZZ,32,FALSE)=1,12%,0),0)</f>
        <v>0.0929</v>
      </c>
      <c r="BS76" s="24" cm="1">
        <f t="array" ref="BS76">1+$B$14+VLOOKUP($R76,武学奇术!$A:$ZZ,20,FALSE)+SUM(_xlfn.XLOOKUP($S76:$AL76,增益!$A:$A,增益!$T:$T,0))</f>
        <v>1.35</v>
      </c>
      <c r="BT76" s="24">
        <f t="shared" si="22"/>
        <v>0.9036</v>
      </c>
      <c r="BU76" s="24">
        <f t="shared" si="23"/>
        <v>0.00350000000000006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0.11</v>
      </c>
      <c r="BX76" s="24" cm="1">
        <f t="array" ref="BX76">SUM(_xlfn.XLOOKUP($S76:$AL76,增益!$A:$A,增益!$X:$X,0))</f>
        <v>0</v>
      </c>
    </row>
    <row r="77" spans="1:76">
      <c r="A77" s="4"/>
      <c r="B77" s="91"/>
      <c r="K77">
        <f>$L77*VLOOKUP($R77,武学奇术!$A:$ZZ,31,FALSE)</f>
        <v>21654.4675427159</v>
      </c>
      <c r="L77" s="36">
        <f t="shared" si="24"/>
        <v>21654.4675427159</v>
      </c>
      <c r="M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BQ77*$Q77*(1+IF(VLOOKUP($R77,武学奇术!$A:$ZZ,30,FALSE)="蓄力技",$B$21,0))*(1+$BW77)</f>
        <v>21831.638847812</v>
      </c>
      <c r="N77" s="36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蓄力技",$B$21,0))*(1+$BW77)</f>
        <v>20245.4980372205</v>
      </c>
      <c r="O77" s="36">
        <f>((($AT77+($AU77-$AT77)*IF(VLOOKUP($R77,武学奇术!$A:$ZZ,31,FALSE)=1,$F$18,0.5))*$AN77+$AO77)*(1+$AV77)*(1+$AW77)+(($AY77+($AZ77-$AY77)*IF(VLOOKUP($R77,武学奇术!$A:$ZZ,31,FALSE)=1,$F$18,0.5))*IF($G$1="鸣金",$AP77,$AN77)+IF($G$1="鸣金",$AQ77*1.5,0))*(1+$BA77)*(1+$BB77)+(($BC77+($BD77-$BC77)*IF(VLOOKUP($R77,武学奇术!$A:$ZZ,31,FALSE)=1,$F$18,0.5))*IF($G$1="裂石",$AP77,$AN77)+IF($G$1="裂石",$AQ77*1.5,0))*(1+$BE77)*(1+$BF77)+(($BG77+($BH77-$BG77)*IF(VLOOKUP($R77,武学奇术!$A:$ZZ,31,FALSE)=1,$F$18,0.5))*IF($G$1="牵丝",$AP77,$AN77)+IF($G$1="牵丝",$AQ77*1.5,0))*(1+$BI77)*(1+$BJ77)+(($BK77+($BL77-$BK77)*IF(VLOOKUP($R77,武学奇术!$A:$ZZ,31,FALSE)=1,$F$18,0.5))*IF($G$1="破竹",$AP77,$AN77)+IF($G$1="破竹",$AQ77*1.5,0))*(1+$BM77)*(1+$BN77))*(1+$AR77)*$Q77*(1+IF(VLOOKUP($R77,武学奇术!$A:$ZZ,30,FALSE)="蓄力技",$B$21,0))*(1+$BW77)</f>
        <v>13311.9749072024</v>
      </c>
      <c r="P77" s="36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蓄力技",$B$21,0))*(1+$BW77)</f>
        <v>11627.2846016489</v>
      </c>
      <c r="Q77" s="37">
        <v>1</v>
      </c>
      <c r="R77" s="38" t="s">
        <v>160</v>
      </c>
      <c r="S77" s="38" t="s">
        <v>104</v>
      </c>
      <c r="T77" s="38" t="s">
        <v>79</v>
      </c>
      <c r="U77" s="38" t="s">
        <v>79</v>
      </c>
      <c r="V77" s="38" t="s">
        <v>79</v>
      </c>
      <c r="W77" s="38" t="s">
        <v>79</v>
      </c>
      <c r="X77" s="38" t="s">
        <v>79</v>
      </c>
      <c r="Y77" s="38" t="s">
        <v>173</v>
      </c>
      <c r="Z77" s="38" t="s">
        <v>79</v>
      </c>
      <c r="AA77" s="38" t="s">
        <v>79</v>
      </c>
      <c r="AB77" s="38" t="s">
        <v>79</v>
      </c>
      <c r="AC77" s="38" t="s">
        <v>79</v>
      </c>
      <c r="AD77" s="38" t="s">
        <v>79</v>
      </c>
      <c r="AE77" s="38" t="s">
        <v>79</v>
      </c>
      <c r="AF77" s="38" t="s">
        <v>84</v>
      </c>
      <c r="AG77" s="38" t="s">
        <v>85</v>
      </c>
      <c r="AH77" s="38" t="s">
        <v>79</v>
      </c>
      <c r="AI77" s="38" t="s">
        <v>79</v>
      </c>
      <c r="AJ77" s="38" t="s">
        <v>79</v>
      </c>
      <c r="AK77" s="38" t="s">
        <v>79</v>
      </c>
      <c r="AL77" s="38" t="s">
        <v>79</v>
      </c>
      <c r="AM77" t="str">
        <f>VLOOKUP($R77,武学奇术!$A:$ZZ,25,FALSE)</f>
        <v>拳甲</v>
      </c>
      <c r="AN77" s="24">
        <f>VLOOKUP($R77,武学奇术!$A:$ZZ,26,FALSE)</f>
        <v>1.1005</v>
      </c>
      <c r="AO77" s="25">
        <f>VLOOKUP($R77,武学奇术!$A:$ZZ,27,FALSE)*(1+IF(OR($AM77=$F$4,$AM77=$F$5),$B$22,0))</f>
        <v>457.5</v>
      </c>
      <c r="AP77" s="24">
        <f>VLOOKUP($R77,武学奇术!$A:$ZZ,28,FALSE)</f>
        <v>1.6507</v>
      </c>
      <c r="AQ77" s="25">
        <f>VLOOKUP($R77,武学奇术!$A:$ZZ,29,FALSE)*(1+IF(OR($AM77=$F$4,$AM77=$F$5),$B$22,0))</f>
        <v>247.5</v>
      </c>
      <c r="AR77" s="24" cm="1">
        <f t="array" ref="AR77">$G$3+IFERROR(VLOOKUP($AM77,$F$4:$G$7,2,FALSE),0)+VLOOKUP($R77,武学奇术!$A:$ZZ,2,FALSE)+SUM(_xlfn.XLOOKUP($S77:$AL77,增益!$A:$A,增益!$B:$B,0))</f>
        <v>0.3241</v>
      </c>
      <c r="AS77" s="24" cm="1">
        <f t="array" ref="AS77">VLOOKUP($R77,武学奇术!$A:$ZZ,5,FALSE)+SUM(_xlfn.XLOOKUP($S77:$AL77,增益!$A:$A,增益!$E:$E,0))</f>
        <v>0</v>
      </c>
      <c r="AT77" cm="1">
        <f t="array" ref="AT77">$D$10*(1+$AS77)+VLOOKUP($R77,武学奇术!$A:$ZZ,3,FALSE)+SUM(_xlfn.XLOOKUP($S77:$AL77,增益!$A:$A,增益!$C:$C,0))-$I$2</f>
        <v>3839.102</v>
      </c>
      <c r="AU77" cm="1">
        <f t="array" ref="AU77">$E$10*(1+$AS77)+VLOOKUP($R77,武学奇术!$A:$ZZ,4,FALSE)+SUM(_xlfn.XLOOKUP($S77:$AL77,增益!$A:$A,增益!$D:$D,0))-$I$2</f>
        <v>3839.102</v>
      </c>
      <c r="AV77" s="30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0.217</v>
      </c>
      <c r="AW77" s="30" cm="1">
        <f t="array" ref="AW77">$G$10+VLOOKUP($R77,武学奇术!$A:$ZZ,7,FALSE)+SUM(_xlfn.XLOOKUP($S77:$AL77,增益!$A:$A,增益!$G:$G,0))</f>
        <v>0.09</v>
      </c>
      <c r="AX77" s="24" cm="1">
        <f t="array" ref="AX77">VLOOKUP($R77,武学奇术!$A:$ZZ,8,FALSE)+SUM(_xlfn.XLOOKUP($S77:$AL77,增益!$A:$A,增益!$H:$H,0))</f>
        <v>0</v>
      </c>
      <c r="AY77">
        <f t="shared" si="14"/>
        <v>0</v>
      </c>
      <c r="AZ77">
        <f t="shared" si="15"/>
        <v>0</v>
      </c>
      <c r="BA77" s="30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0" cm="1">
        <f t="array" ref="BB77">$G$11+VLOOKUP($R77,武学奇术!$A:$ZZ,10,FALSE)+SUM(_xlfn.XLOOKUP($S77:$AL77,增益!$A:$A,增益!$J:$J,0))</f>
        <v>0</v>
      </c>
      <c r="BC77">
        <f t="shared" si="16"/>
        <v>0</v>
      </c>
      <c r="BD77">
        <f t="shared" si="17"/>
        <v>0</v>
      </c>
      <c r="BE77" s="30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0" cm="1">
        <f t="array" ref="BF77">$G$12+VLOOKUP($R77,武学奇术!$A:$ZZ,12,FALSE)+SUM(_xlfn.XLOOKUP($S77:$AL77,增益!$A:$A,增益!$L:$L,0))</f>
        <v>0</v>
      </c>
      <c r="BG77">
        <f t="shared" si="18"/>
        <v>0</v>
      </c>
      <c r="BH77">
        <f t="shared" si="19"/>
        <v>0</v>
      </c>
      <c r="BI77" s="30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-0.3</v>
      </c>
      <c r="BJ77" s="30" cm="1">
        <f t="array" ref="BJ77">$G$13+VLOOKUP($R77,武学奇术!$A:$ZZ,14,FALSE)+SUM(_xlfn.XLOOKUP($S77:$AL77,增益!$A:$A,增益!$N:$N,0))</f>
        <v>0</v>
      </c>
      <c r="BK77">
        <f t="shared" si="20"/>
        <v>605.472</v>
      </c>
      <c r="BL77">
        <f t="shared" si="21"/>
        <v>1725.468</v>
      </c>
      <c r="BM77" s="30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0</v>
      </c>
      <c r="BN77" s="30" cm="1">
        <f t="array" ref="BN77">$G$14+VLOOKUP($R77,武学奇术!$A:$ZZ,16,FALSE)+SUM(_xlfn.XLOOKUP($S77:$AL77,增益!$A:$A,增益!$P:$P,0))</f>
        <v>0.24</v>
      </c>
      <c r="BO77" s="24">
        <f>MIN(IF(VLOOKUP($R77,武学奇术!$A:$ZZ,23,FALSE)=1,100%,$B$8),100%)</f>
        <v>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+MIN(IF(VLOOKUP($R77,武学奇术!$A:$ZZ,32,FALSE)=1,IF(VLOOKUP($R77,武学奇术!$A:$ZZ,24,FALSE)=1,100%,MIN(40%,$B$10+VLOOKUP($R77,武学奇术!$A:$ZZ,19,FALSE)+SUM(_xlfn.XLOOKUP($S77:$AL77,增益!$A:$A,增益!$S:$S,0)))+$B$12+SUM(_xlfn.XLOOKUP($S77:$AL77,增益!$A:$A,增益!$V:$V,0))),0),12%)</f>
        <v>0.9036</v>
      </c>
      <c r="BQ77" s="24" cm="1">
        <f t="array" ref="BQ77">1+$B$13+VLOOKUP($R77,武学奇术!$A:$ZZ,18,FALSE)+SUM(_xlfn.XLOOKUP($S77:$AL77,增益!$A:$A,增益!$R:$R,0))</f>
        <v>1.64</v>
      </c>
      <c r="BR77" s="24" cm="1">
        <f t="array" ref="BR77">MAX(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-IF(VLOOKUP($R77,武学奇术!$A:$ZZ,32,FALSE)=1,12%,0),0)</f>
        <v>0.0929</v>
      </c>
      <c r="BS77" s="24" cm="1">
        <f t="array" ref="BS77">1+$B$14+VLOOKUP($R77,武学奇术!$A:$ZZ,20,FALSE)+SUM(_xlfn.XLOOKUP($S77:$AL77,增益!$A:$A,增益!$T:$T,0))</f>
        <v>1.35</v>
      </c>
      <c r="BT77" s="24">
        <f t="shared" si="22"/>
        <v>0.9036</v>
      </c>
      <c r="BU77" s="24">
        <f t="shared" si="23"/>
        <v>0.00350000000000006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0.11</v>
      </c>
      <c r="BX77" s="24" cm="1">
        <f t="array" ref="BX77">SUM(_xlfn.XLOOKUP($S77:$AL77,增益!$A:$A,增益!$X:$X,0))</f>
        <v>0</v>
      </c>
    </row>
    <row r="78" spans="1:76">
      <c r="A78" s="4"/>
      <c r="B78" s="4"/>
      <c r="K78">
        <f>$L78*VLOOKUP($R78,武学奇术!$A:$ZZ,31,FALSE)</f>
        <v>0</v>
      </c>
      <c r="L78" s="36">
        <f t="shared" si="24"/>
        <v>0</v>
      </c>
      <c r="M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BQ78*$Q78*(1+IF(VLOOKUP($R78,武学奇术!$A:$ZZ,30,FALSE)="蓄力技",$B$21,0))*(1+$BW78)</f>
        <v>0</v>
      </c>
      <c r="N78" s="36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蓄力技",$B$21,0))*(1+$BW78)</f>
        <v>0</v>
      </c>
      <c r="O78" s="36">
        <f>((($AT78+($AU78-$AT78)*IF(VLOOKUP($R78,武学奇术!$A:$ZZ,31,FALSE)=1,$F$18,0.5))*$AN78+$AO78)*(1+$AV78)*(1+$AW78)+(($AY78+($AZ78-$AY78)*IF(VLOOKUP($R78,武学奇术!$A:$ZZ,31,FALSE)=1,$F$18,0.5))*IF($G$1="鸣金",$AP78,$AN78)+IF($G$1="鸣金",$AQ78*1.5,0))*(1+$BA78)*(1+$BB78)+(($BC78+($BD78-$BC78)*IF(VLOOKUP($R78,武学奇术!$A:$ZZ,31,FALSE)=1,$F$18,0.5))*IF($G$1="裂石",$AP78,$AN78)+IF($G$1="裂石",$AQ78*1.5,0))*(1+$BE78)*(1+$BF78)+(($BG78+($BH78-$BG78)*IF(VLOOKUP($R78,武学奇术!$A:$ZZ,31,FALSE)=1,$F$18,0.5))*IF($G$1="牵丝",$AP78,$AN78)+IF($G$1="牵丝",$AQ78*1.5,0))*(1+$BI78)*(1+$BJ78)+(($BK78+($BL78-$BK78)*IF(VLOOKUP($R78,武学奇术!$A:$ZZ,31,FALSE)=1,$F$18,0.5))*IF($G$1="破竹",$AP78,$AN78)+IF($G$1="破竹",$AQ78*1.5,0))*(1+$BM78)*(1+$BN78))*(1+$AR78)*$Q78*(1+IF(VLOOKUP($R78,武学奇术!$A:$ZZ,30,FALSE)="蓄力技",$B$21,0))*(1+$BW78)</f>
        <v>0</v>
      </c>
      <c r="P78" s="36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蓄力技",$B$21,0))*(1+$BW78)</f>
        <v>0</v>
      </c>
      <c r="Q78" s="37">
        <v>1</v>
      </c>
      <c r="R78" s="38" t="s">
        <v>79</v>
      </c>
      <c r="S78" s="38" t="s">
        <v>79</v>
      </c>
      <c r="T78" s="38" t="s">
        <v>79</v>
      </c>
      <c r="U78" s="38" t="s">
        <v>79</v>
      </c>
      <c r="V78" s="38" t="s">
        <v>79</v>
      </c>
      <c r="W78" s="38" t="s">
        <v>79</v>
      </c>
      <c r="X78" s="38" t="s">
        <v>79</v>
      </c>
      <c r="Y78" s="38" t="s">
        <v>79</v>
      </c>
      <c r="Z78" s="38" t="s">
        <v>79</v>
      </c>
      <c r="AA78" s="38" t="s">
        <v>79</v>
      </c>
      <c r="AB78" s="38" t="s">
        <v>79</v>
      </c>
      <c r="AC78" s="38" t="s">
        <v>79</v>
      </c>
      <c r="AD78" s="38" t="s">
        <v>79</v>
      </c>
      <c r="AE78" s="38" t="s">
        <v>79</v>
      </c>
      <c r="AF78" s="38" t="s">
        <v>84</v>
      </c>
      <c r="AG78" s="38" t="s">
        <v>85</v>
      </c>
      <c r="AH78" s="38" t="s">
        <v>79</v>
      </c>
      <c r="AI78" s="38" t="s">
        <v>79</v>
      </c>
      <c r="AJ78" s="38" t="s">
        <v>79</v>
      </c>
      <c r="AK78" s="38" t="s">
        <v>79</v>
      </c>
      <c r="AL78" s="38" t="s">
        <v>79</v>
      </c>
      <c r="AM78" t="str">
        <f>VLOOKUP($R78,武学奇术!$A:$ZZ,25,FALSE)</f>
        <v>心法</v>
      </c>
      <c r="AN78" s="24">
        <f>VLOOKUP($R78,武学奇术!$A:$ZZ,26,FALSE)</f>
        <v>0</v>
      </c>
      <c r="AO78" s="25">
        <f>VLOOKUP($R78,武学奇术!$A:$ZZ,27,FALSE)*(1+IF(OR($AM78=$F$4,$AM78=$F$5),$B$22,0))</f>
        <v>0</v>
      </c>
      <c r="AP78" s="24">
        <f>VLOOKUP($R78,武学奇术!$A:$ZZ,28,FALSE)</f>
        <v>0</v>
      </c>
      <c r="AQ78" s="25">
        <f>VLOOKUP($R78,武学奇术!$A:$ZZ,29,FALSE)*(1+IF(OR($AM78=$F$4,$AM78=$F$5),$B$22,0))</f>
        <v>0</v>
      </c>
      <c r="AR78" s="24" cm="1">
        <f t="array" ref="AR78">$G$3+IFERROR(VLOOKUP($AM78,$F$4:$G$7,2,FALSE),0)+VLOOKUP($R78,武学奇术!$A:$ZZ,2,FALSE)+SUM(_xlfn.XLOOKUP($S78:$AL78,增益!$A:$A,增益!$B:$B,0))</f>
        <v>0.1037</v>
      </c>
      <c r="AS78" s="24" cm="1">
        <f t="array" ref="AS78">VLOOKUP($R78,武学奇术!$A:$ZZ,5,FALSE)+SUM(_xlfn.XLOOKUP($S78:$AL78,增益!$A:$A,增益!$E:$E,0))</f>
        <v>0</v>
      </c>
      <c r="AT78" cm="1">
        <f t="array" ref="AT78">$D$10*(1+$AS78)+VLOOKUP($R78,武学奇术!$A:$ZZ,3,FALSE)+SUM(_xlfn.XLOOKUP($S78:$AL78,增益!$A:$A,增益!$C:$C,0))-$I$2</f>
        <v>3839.102</v>
      </c>
      <c r="AU78" cm="1">
        <f t="array" ref="AU78">$E$10*(1+$AS78)+VLOOKUP($R78,武学奇术!$A:$ZZ,4,FALSE)+SUM(_xlfn.XLOOKUP($S78:$AL78,增益!$A:$A,增益!$D:$D,0))-$I$2</f>
        <v>3839.102</v>
      </c>
      <c r="AV78" s="30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0.167</v>
      </c>
      <c r="AW78" s="30" cm="1">
        <f t="array" ref="AW78">$G$10+VLOOKUP($R78,武学奇术!$A:$ZZ,7,FALSE)+SUM(_xlfn.XLOOKUP($S78:$AL78,增益!$A:$A,增益!$G:$G,0))</f>
        <v>0.09</v>
      </c>
      <c r="AX78" s="24" cm="1">
        <f t="array" ref="AX78">VLOOKUP($R78,武学奇术!$A:$ZZ,8,FALSE)+SUM(_xlfn.XLOOKUP($S78:$AL78,增益!$A:$A,增益!$H:$H,0))</f>
        <v>0</v>
      </c>
      <c r="AY78">
        <f t="shared" si="14"/>
        <v>0</v>
      </c>
      <c r="AZ78">
        <f t="shared" si="15"/>
        <v>0</v>
      </c>
      <c r="BA78" s="30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0" cm="1">
        <f t="array" ref="BB78">$G$11+VLOOKUP($R78,武学奇术!$A:$ZZ,10,FALSE)+SUM(_xlfn.XLOOKUP($S78:$AL78,增益!$A:$A,增益!$J:$J,0))</f>
        <v>0</v>
      </c>
      <c r="BC78">
        <f t="shared" si="16"/>
        <v>0</v>
      </c>
      <c r="BD78">
        <f t="shared" si="17"/>
        <v>0</v>
      </c>
      <c r="BE78" s="30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0" cm="1">
        <f t="array" ref="BF78">$G$12+VLOOKUP($R78,武学奇术!$A:$ZZ,12,FALSE)+SUM(_xlfn.XLOOKUP($S78:$AL78,增益!$A:$A,增益!$L:$L,0))</f>
        <v>0</v>
      </c>
      <c r="BG78">
        <f t="shared" si="18"/>
        <v>0</v>
      </c>
      <c r="BH78">
        <f t="shared" si="19"/>
        <v>0</v>
      </c>
      <c r="BI78" s="30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-0.3</v>
      </c>
      <c r="BJ78" s="30" cm="1">
        <f t="array" ref="BJ78">$G$13+VLOOKUP($R78,武学奇术!$A:$ZZ,14,FALSE)+SUM(_xlfn.XLOOKUP($S78:$AL78,增益!$A:$A,增益!$N:$N,0))</f>
        <v>0</v>
      </c>
      <c r="BK78">
        <f t="shared" si="20"/>
        <v>605.472</v>
      </c>
      <c r="BL78">
        <f t="shared" si="21"/>
        <v>1725.468</v>
      </c>
      <c r="BM78" s="30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0</v>
      </c>
      <c r="BN78" s="30" cm="1">
        <f t="array" ref="BN78">$G$14+VLOOKUP($R78,武学奇术!$A:$ZZ,16,FALSE)+SUM(_xlfn.XLOOKUP($S78:$AL78,增益!$A:$A,增益!$P:$P,0))</f>
        <v>0.24</v>
      </c>
      <c r="BO78" s="24">
        <f>MIN(IF(VLOOKUP($R78,武学奇术!$A:$ZZ,23,FALSE)=1,100%,$B$8),100%)</f>
        <v>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+MIN(IF(VLOOKUP($R78,武学奇术!$A:$ZZ,32,FALSE)=1,IF(VLOOKUP($R78,武学奇术!$A:$ZZ,24,FALSE)=1,100%,MIN(40%,$B$10+VLOOKUP($R78,武学奇术!$A:$ZZ,19,FALSE)+SUM(_xlfn.XLOOKUP($S78:$AL78,增益!$A:$A,增益!$S:$S,0)))+$B$12+SUM(_xlfn.XLOOKUP($S78:$AL78,增益!$A:$A,增益!$V:$V,0))),0),12%)</f>
        <v>0.9036</v>
      </c>
      <c r="BQ78" s="24" cm="1">
        <f t="array" ref="BQ78">1+$B$13+VLOOKUP($R78,武学奇术!$A:$ZZ,18,FALSE)+SUM(_xlfn.XLOOKUP($S78:$AL78,增益!$A:$A,增益!$R:$R,0))</f>
        <v>1.54</v>
      </c>
      <c r="BR78" s="24" cm="1">
        <f t="array" ref="BR78">MAX(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-IF(VLOOKUP($R78,武学奇术!$A:$ZZ,32,FALSE)=1,12%,0),0)</f>
        <v>0.0929</v>
      </c>
      <c r="BS78" s="24" cm="1">
        <f t="array" ref="BS78">1+$B$14+VLOOKUP($R78,武学奇术!$A:$ZZ,20,FALSE)+SUM(_xlfn.XLOOKUP($S78:$AL78,增益!$A:$A,增益!$T:$T,0))</f>
        <v>1.35</v>
      </c>
      <c r="BT78" s="24">
        <f t="shared" si="22"/>
        <v>0.9036</v>
      </c>
      <c r="BU78" s="24">
        <f t="shared" si="23"/>
        <v>0.00350000000000006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0.11</v>
      </c>
      <c r="BX78" s="24" cm="1">
        <f t="array" ref="BX78">SUM(_xlfn.XLOOKUP($S78:$AL78,增益!$A:$A,增益!$X:$X,0))</f>
        <v>0</v>
      </c>
    </row>
    <row r="79" spans="1:76">
      <c r="A79" s="4"/>
      <c r="B79" s="4"/>
      <c r="K79">
        <f>$L79*VLOOKUP($R79,武学奇术!$A:$ZZ,31,FALSE)</f>
        <v>103488.055094899</v>
      </c>
      <c r="L79" s="36">
        <f t="shared" si="24"/>
        <v>103488.055094899</v>
      </c>
      <c r="M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BQ79*$Q79*(1+IF(VLOOKUP($R79,武学奇术!$A:$ZZ,30,FALSE)="蓄力技",$B$21,0))*(1+$BW79)</f>
        <v>104204.584141472</v>
      </c>
      <c r="N79" s="36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蓄力技",$B$21,0))*(1+$BW79)</f>
        <v>98023.7355506595</v>
      </c>
      <c r="O79" s="36">
        <f>((($AT79+($AU79-$AT79)*IF(VLOOKUP($R79,武学奇术!$A:$ZZ,31,FALSE)=1,$F$18,0.5))*$AN79+$AO79)*(1+$AV79)*(1+$AW79)+(($AY79+($AZ79-$AY79)*IF(VLOOKUP($R79,武学奇术!$A:$ZZ,31,FALSE)=1,$F$18,0.5))*IF($G$1="鸣金",$AP79,$AN79)+IF($G$1="鸣金",$AQ79*1.5,0))*(1+$BA79)*(1+$BB79)+(($BC79+($BD79-$BC79)*IF(VLOOKUP($R79,武学奇术!$A:$ZZ,31,FALSE)=1,$F$18,0.5))*IF($G$1="裂石",$AP79,$AN79)+IF($G$1="裂石",$AQ79*1.5,0))*(1+$BE79)*(1+$BF79)+(($BG79+($BH79-$BG79)*IF(VLOOKUP($R79,武学奇术!$A:$ZZ,31,FALSE)=1,$F$18,0.5))*IF($G$1="牵丝",$AP79,$AN79)+IF($G$1="牵丝",$AQ79*1.5,0))*(1+$BI79)*(1+$BJ79)+(($BK79+($BL79-$BK79)*IF(VLOOKUP($R79,武学奇术!$A:$ZZ,31,FALSE)=1,$F$18,0.5))*IF($G$1="破竹",$AP79,$AN79)+IF($G$1="破竹",$AQ79*1.5,0))*(1+$BM79)*(1+$BN79))*(1+$AR79)*$Q79*(1+IF(VLOOKUP($R79,武学奇术!$A:$ZZ,30,FALSE)="蓄力技",$B$21,0))*(1+$BW79)</f>
        <v>63539.3805740682</v>
      </c>
      <c r="P79" s="36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蓄力技",$B$21,0))*(1+$BW79)</f>
        <v>54468.5866661663</v>
      </c>
      <c r="Q79" s="37">
        <v>1</v>
      </c>
      <c r="R79" s="38" t="s">
        <v>186</v>
      </c>
      <c r="S79" s="38" t="s">
        <v>79</v>
      </c>
      <c r="T79" s="38" t="s">
        <v>79</v>
      </c>
      <c r="U79" s="38" t="s">
        <v>79</v>
      </c>
      <c r="V79" s="38" t="s">
        <v>79</v>
      </c>
      <c r="W79" s="38" t="s">
        <v>79</v>
      </c>
      <c r="X79" s="38" t="s">
        <v>79</v>
      </c>
      <c r="Y79" s="38" t="s">
        <v>173</v>
      </c>
      <c r="Z79" s="38" t="s">
        <v>79</v>
      </c>
      <c r="AA79" s="38" t="s">
        <v>79</v>
      </c>
      <c r="AB79" s="38" t="s">
        <v>79</v>
      </c>
      <c r="AC79" s="38" t="s">
        <v>79</v>
      </c>
      <c r="AD79" s="38" t="s">
        <v>79</v>
      </c>
      <c r="AE79" s="38" t="s">
        <v>79</v>
      </c>
      <c r="AF79" s="38" t="s">
        <v>84</v>
      </c>
      <c r="AG79" s="38" t="s">
        <v>85</v>
      </c>
      <c r="AH79" s="38" t="s">
        <v>79</v>
      </c>
      <c r="AI79" s="38" t="s">
        <v>79</v>
      </c>
      <c r="AJ79" s="38" t="s">
        <v>79</v>
      </c>
      <c r="AK79" s="38" t="s">
        <v>79</v>
      </c>
      <c r="AL79" s="38" t="s">
        <v>79</v>
      </c>
      <c r="AM79" t="str">
        <f>VLOOKUP($R79,武学奇术!$A:$ZZ,25,FALSE)</f>
        <v>单体奇术</v>
      </c>
      <c r="AN79" s="24">
        <f>VLOOKUP($R79,武学奇术!$A:$ZZ,26,FALSE)</f>
        <v>7.1084</v>
      </c>
      <c r="AO79" s="25">
        <f>VLOOKUP($R79,武学奇术!$A:$ZZ,27,FALSE)*(1+IF(OR($AM79=$F$4,$AM79=$F$5),$B$22,0))</f>
        <v>1369</v>
      </c>
      <c r="AP79" s="24">
        <f>VLOOKUP($R79,武学奇术!$A:$ZZ,28,FALSE)</f>
        <v>10.6626</v>
      </c>
      <c r="AQ79" s="25">
        <f>VLOOKUP($R79,武学奇术!$A:$ZZ,29,FALSE)*(1+IF(OR($AM79=$F$4,$AM79=$F$5),$B$22,0))</f>
        <v>0</v>
      </c>
      <c r="AR79" s="24" cm="1">
        <f t="array" ref="AR79">$G$3+IFERROR(VLOOKUP($AM79,$F$4:$G$7,2,FALSE),0)+VLOOKUP($R79,武学奇术!$A:$ZZ,2,FALSE)+SUM(_xlfn.XLOOKUP($S79:$AL79,增益!$A:$A,增益!$B:$B,0))</f>
        <v>0.1037</v>
      </c>
      <c r="AS79" s="24" cm="1">
        <f t="array" ref="AS79">VLOOKUP($R79,武学奇术!$A:$ZZ,5,FALSE)+SUM(_xlfn.XLOOKUP($S79:$AL79,增益!$A:$A,增益!$E:$E,0))</f>
        <v>0</v>
      </c>
      <c r="AT79" cm="1">
        <f t="array" ref="AT79">$D$10*(1+$AS79)+VLOOKUP($R79,武学奇术!$A:$ZZ,3,FALSE)+SUM(_xlfn.XLOOKUP($S79:$AL79,增益!$A:$A,增益!$C:$C,0))-$I$2</f>
        <v>3839.102</v>
      </c>
      <c r="AU79" cm="1">
        <f t="array" ref="AU79">$E$10*(1+$AS79)+VLOOKUP($R79,武学奇术!$A:$ZZ,4,FALSE)+SUM(_xlfn.XLOOKUP($S79:$AL79,增益!$A:$A,增益!$D:$D,0))-$I$2</f>
        <v>3839.102</v>
      </c>
      <c r="AV79" s="30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0.167</v>
      </c>
      <c r="AW79" s="30" cm="1">
        <f t="array" ref="AW79">$G$10+VLOOKUP($R79,武学奇术!$A:$ZZ,7,FALSE)+SUM(_xlfn.XLOOKUP($S79:$AL79,增益!$A:$A,增益!$G:$G,0))</f>
        <v>0.09</v>
      </c>
      <c r="AX79" s="24" cm="1">
        <f t="array" ref="AX79">VLOOKUP($R79,武学奇术!$A:$ZZ,8,FALSE)+SUM(_xlfn.XLOOKUP($S79:$AL79,增益!$A:$A,增益!$H:$H,0))</f>
        <v>0</v>
      </c>
      <c r="AY79">
        <f t="shared" si="14"/>
        <v>0</v>
      </c>
      <c r="AZ79">
        <f t="shared" si="15"/>
        <v>0</v>
      </c>
      <c r="BA79" s="30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0" cm="1">
        <f t="array" ref="BB79">$G$11+VLOOKUP($R79,武学奇术!$A:$ZZ,10,FALSE)+SUM(_xlfn.XLOOKUP($S79:$AL79,增益!$A:$A,增益!$J:$J,0))</f>
        <v>0</v>
      </c>
      <c r="BC79">
        <f t="shared" si="16"/>
        <v>0</v>
      </c>
      <c r="BD79">
        <f t="shared" si="17"/>
        <v>0</v>
      </c>
      <c r="BE79" s="30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0" cm="1">
        <f t="array" ref="BF79">$G$12+VLOOKUP($R79,武学奇术!$A:$ZZ,12,FALSE)+SUM(_xlfn.XLOOKUP($S79:$AL79,增益!$A:$A,增益!$L:$L,0))</f>
        <v>0</v>
      </c>
      <c r="BG79">
        <f t="shared" si="18"/>
        <v>0</v>
      </c>
      <c r="BH79">
        <f t="shared" si="19"/>
        <v>0</v>
      </c>
      <c r="BI79" s="30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-0.3</v>
      </c>
      <c r="BJ79" s="30" cm="1">
        <f t="array" ref="BJ79">$G$13+VLOOKUP($R79,武学奇术!$A:$ZZ,14,FALSE)+SUM(_xlfn.XLOOKUP($S79:$AL79,增益!$A:$A,增益!$N:$N,0))</f>
        <v>0</v>
      </c>
      <c r="BK79">
        <f t="shared" si="20"/>
        <v>605.472</v>
      </c>
      <c r="BL79">
        <f t="shared" si="21"/>
        <v>1725.468</v>
      </c>
      <c r="BM79" s="30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0</v>
      </c>
      <c r="BN79" s="30" cm="1">
        <f t="array" ref="BN79">$G$14+VLOOKUP($R79,武学奇术!$A:$ZZ,16,FALSE)+SUM(_xlfn.XLOOKUP($S79:$AL79,增益!$A:$A,增益!$P:$P,0))</f>
        <v>0.24</v>
      </c>
      <c r="BO79" s="24">
        <f>MIN(IF(VLOOKUP($R79,武学奇术!$A:$ZZ,23,FALSE)=1,100%,$B$8),100%)</f>
        <v>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+MIN(IF(VLOOKUP($R79,武学奇术!$A:$ZZ,32,FALSE)=1,IF(VLOOKUP($R79,武学奇术!$A:$ZZ,24,FALSE)=1,100%,MIN(40%,$B$10+VLOOKUP($R79,武学奇术!$A:$ZZ,19,FALSE)+SUM(_xlfn.XLOOKUP($S79:$AL79,增益!$A:$A,增益!$S:$S,0)))+$B$12+SUM(_xlfn.XLOOKUP($S79:$AL79,增益!$A:$A,增益!$V:$V,0))),0),12%)</f>
        <v>0.9036</v>
      </c>
      <c r="BQ79" s="24" cm="1">
        <f t="array" ref="BQ79">1+$B$13+VLOOKUP($R79,武学奇术!$A:$ZZ,18,FALSE)+SUM(_xlfn.XLOOKUP($S79:$AL79,增益!$A:$A,增益!$R:$R,0))</f>
        <v>1.64</v>
      </c>
      <c r="BR79" s="24" cm="1">
        <f t="array" ref="BR79">MAX(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-IF(VLOOKUP($R79,武学奇术!$A:$ZZ,32,FALSE)=1,12%,0),0)</f>
        <v>0.0929</v>
      </c>
      <c r="BS79" s="24" cm="1">
        <f t="array" ref="BS79">1+$B$14+VLOOKUP($R79,武学奇术!$A:$ZZ,20,FALSE)+SUM(_xlfn.XLOOKUP($S79:$AL79,增益!$A:$A,增益!$T:$T,0))</f>
        <v>1.35</v>
      </c>
      <c r="BT79" s="24">
        <f t="shared" si="22"/>
        <v>0.9036</v>
      </c>
      <c r="BU79" s="24">
        <f t="shared" si="23"/>
        <v>0.00350000000000006</v>
      </c>
      <c r="BV79" s="24">
        <f>IF(VLOOKUP($R79,武学奇术!$A:$ZZ,22,FALSE)=1,0,(1-$BO79))*(1-$BR79)</f>
        <v>0</v>
      </c>
      <c r="BW79" s="24" cm="1">
        <f t="array" ref="BW79">SUM(_xlfn.XLOOKUP($S79:$AL79,增益!$A:$A,增益!$W:$W,0))+$I$5</f>
        <v>0.11</v>
      </c>
      <c r="BX79" s="24" cm="1">
        <f t="array" ref="BX79">SUM(_xlfn.XLOOKUP($S79:$AL79,增益!$A:$A,增益!$X:$X,0))</f>
        <v>0</v>
      </c>
    </row>
    <row r="80" spans="1:76">
      <c r="A80" s="4"/>
      <c r="B80" s="91"/>
      <c r="K80">
        <f>$L80*VLOOKUP($R80,武学奇术!$A:$ZZ,31,FALSE)</f>
        <v>21790.1735010263</v>
      </c>
      <c r="L80" s="36">
        <f t="shared" si="24"/>
        <v>21790.1735010263</v>
      </c>
      <c r="M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BQ80*$Q80*(1+IF(VLOOKUP($R80,武学奇术!$A:$ZZ,30,FALSE)="蓄力技",$B$21,0))*(1+$BW80)</f>
        <v>21963.6180724304</v>
      </c>
      <c r="N80" s="36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蓄力技",$B$21,0))*(1+$BW80)</f>
        <v>20419.5332144626</v>
      </c>
      <c r="O80" s="36">
        <f>((($AT80+($AU80-$AT80)*IF(VLOOKUP($R80,武学奇术!$A:$ZZ,31,FALSE)=1,$F$18,0.5))*$AN80+$AO80)*(1+$AV80)*(1+$AW80)+(($AY80+($AZ80-$AY80)*IF(VLOOKUP($R80,武学奇术!$A:$ZZ,31,FALSE)=1,$F$18,0.5))*IF($G$1="鸣金",$AP80,$AN80)+IF($G$1="鸣金",$AQ80*1.5,0))*(1+$BA80)*(1+$BB80)+(($BC80+($BD80-$BC80)*IF(VLOOKUP($R80,武学奇术!$A:$ZZ,31,FALSE)=1,$F$18,0.5))*IF($G$1="裂石",$AP80,$AN80)+IF($G$1="裂石",$AQ80*1.5,0))*(1+$BE80)*(1+$BF80)+(($BG80+($BH80-$BG80)*IF(VLOOKUP($R80,武学奇术!$A:$ZZ,31,FALSE)=1,$F$18,0.5))*IF($G$1="牵丝",$AP80,$AN80)+IF($G$1="牵丝",$AQ80*1.5,0))*(1+$BI80)*(1+$BJ80)+(($BK80+($BL80-$BK80)*IF(VLOOKUP($R80,武学奇术!$A:$ZZ,31,FALSE)=1,$F$18,0.5))*IF($G$1="破竹",$AP80,$AN80)+IF($G$1="破竹",$AQ80*1.5,0))*(1+$BM80)*(1+$BN80))*(1+$AR80)*$Q80*(1+IF(VLOOKUP($R80,武学奇术!$A:$ZZ,30,FALSE)="蓄力技",$B$21,0))*(1+$BW80)</f>
        <v>13392.4500441649</v>
      </c>
      <c r="P80" s="36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蓄力技",$B$21,0))*(1+$BW80)</f>
        <v>11659.3199294686</v>
      </c>
      <c r="Q80" s="37">
        <v>1</v>
      </c>
      <c r="R80" s="38" t="s">
        <v>107</v>
      </c>
      <c r="S80" s="38" t="s">
        <v>78</v>
      </c>
      <c r="T80" s="38" t="s">
        <v>79</v>
      </c>
      <c r="U80" s="38" t="s">
        <v>79</v>
      </c>
      <c r="V80" s="38" t="s">
        <v>79</v>
      </c>
      <c r="W80" s="38" t="s">
        <v>79</v>
      </c>
      <c r="X80" s="38" t="s">
        <v>79</v>
      </c>
      <c r="Y80" s="38" t="s">
        <v>173</v>
      </c>
      <c r="Z80" s="38" t="s">
        <v>79</v>
      </c>
      <c r="AA80" s="38" t="s">
        <v>79</v>
      </c>
      <c r="AB80" s="38" t="s">
        <v>79</v>
      </c>
      <c r="AC80" s="38" t="s">
        <v>79</v>
      </c>
      <c r="AD80" s="38" t="s">
        <v>79</v>
      </c>
      <c r="AE80" s="38" t="s">
        <v>79</v>
      </c>
      <c r="AF80" s="38" t="s">
        <v>84</v>
      </c>
      <c r="AG80" s="38" t="s">
        <v>85</v>
      </c>
      <c r="AH80" s="38" t="s">
        <v>79</v>
      </c>
      <c r="AI80" s="38" t="s">
        <v>79</v>
      </c>
      <c r="AJ80" s="38" t="s">
        <v>79</v>
      </c>
      <c r="AK80" s="38" t="s">
        <v>79</v>
      </c>
      <c r="AL80" s="38" t="s">
        <v>79</v>
      </c>
      <c r="AM80" t="str">
        <f>VLOOKUP($R80,武学奇术!$A:$ZZ,25,FALSE)</f>
        <v>绳镖</v>
      </c>
      <c r="AN80" s="24">
        <f>VLOOKUP($R80,武学奇术!$A:$ZZ,26,FALSE)</f>
        <v>1.2503</v>
      </c>
      <c r="AO80" s="25">
        <f>VLOOKUP($R80,武学奇术!$A:$ZZ,27,FALSE)*(1+IF(OR($AM80=$F$4,$AM80=$F$5),$B$22,0))</f>
        <v>520.5</v>
      </c>
      <c r="AP80" s="24">
        <f>VLOOKUP($R80,武学奇术!$A:$ZZ,28,FALSE)</f>
        <v>1.8755</v>
      </c>
      <c r="AQ80" s="25">
        <f>VLOOKUP($R80,武学奇术!$A:$ZZ,29,FALSE)*(1+IF(OR($AM80=$F$4,$AM80=$F$5),$B$22,0))</f>
        <v>283.5</v>
      </c>
      <c r="AR80" s="24" cm="1">
        <f t="array" ref="AR80">$G$3+IFERROR(VLOOKUP($AM80,$F$4:$G$7,2,FALSE),0)+VLOOKUP($R80,武学奇术!$A:$ZZ,2,FALSE)+SUM(_xlfn.XLOOKUP($S80:$AL80,增益!$A:$A,增益!$B:$B,0))</f>
        <v>0.1989</v>
      </c>
      <c r="AS80" s="24" cm="1">
        <f t="array" ref="AS80">VLOOKUP($R80,武学奇术!$A:$ZZ,5,FALSE)+SUM(_xlfn.XLOOKUP($S80:$AL80,增益!$A:$A,增益!$E:$E,0))</f>
        <v>0</v>
      </c>
      <c r="AT80" cm="1">
        <f t="array" ref="AT80">$D$10*(1+$AS80)+VLOOKUP($R80,武学奇术!$A:$ZZ,3,FALSE)+SUM(_xlfn.XLOOKUP($S80:$AL80,增益!$A:$A,增益!$C:$C,0))-$I$2</f>
        <v>3839.102</v>
      </c>
      <c r="AU80" cm="1">
        <f t="array" ref="AU80">$E$10*(1+$AS80)+VLOOKUP($R80,武学奇术!$A:$ZZ,4,FALSE)+SUM(_xlfn.XLOOKUP($S80:$AL80,增益!$A:$A,增益!$D:$D,0))-$I$2</f>
        <v>3839.102</v>
      </c>
      <c r="AV80" s="30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0.177</v>
      </c>
      <c r="AW80" s="30" cm="1">
        <f t="array" ref="AW80">$G$10+VLOOKUP($R80,武学奇术!$A:$ZZ,7,FALSE)+SUM(_xlfn.XLOOKUP($S80:$AL80,增益!$A:$A,增益!$G:$G,0))</f>
        <v>0.09</v>
      </c>
      <c r="AX80" s="24" cm="1">
        <f t="array" ref="AX80">VLOOKUP($R80,武学奇术!$A:$ZZ,8,FALSE)+SUM(_xlfn.XLOOKUP($S80:$AL80,增益!$A:$A,增益!$H:$H,0))</f>
        <v>0</v>
      </c>
      <c r="AY80">
        <f t="shared" si="14"/>
        <v>0</v>
      </c>
      <c r="AZ80">
        <f t="shared" si="15"/>
        <v>0</v>
      </c>
      <c r="BA80" s="30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0" cm="1">
        <f t="array" ref="BB80">$G$11+VLOOKUP($R80,武学奇术!$A:$ZZ,10,FALSE)+SUM(_xlfn.XLOOKUP($S80:$AL80,增益!$A:$A,增益!$J:$J,0))</f>
        <v>0</v>
      </c>
      <c r="BC80">
        <f t="shared" si="16"/>
        <v>0</v>
      </c>
      <c r="BD80">
        <f t="shared" si="17"/>
        <v>0</v>
      </c>
      <c r="BE80" s="30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0" cm="1">
        <f t="array" ref="BF80">$G$12+VLOOKUP($R80,武学奇术!$A:$ZZ,12,FALSE)+SUM(_xlfn.XLOOKUP($S80:$AL80,增益!$A:$A,增益!$L:$L,0))</f>
        <v>0</v>
      </c>
      <c r="BG80">
        <f t="shared" si="18"/>
        <v>0</v>
      </c>
      <c r="BH80">
        <f t="shared" si="19"/>
        <v>0</v>
      </c>
      <c r="BI80" s="30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-0.3</v>
      </c>
      <c r="BJ80" s="30" cm="1">
        <f t="array" ref="BJ80">$G$13+VLOOKUP($R80,武学奇术!$A:$ZZ,14,FALSE)+SUM(_xlfn.XLOOKUP($S80:$AL80,增益!$A:$A,增益!$N:$N,0))</f>
        <v>0</v>
      </c>
      <c r="BK80">
        <f t="shared" si="20"/>
        <v>605.472</v>
      </c>
      <c r="BL80">
        <f t="shared" si="21"/>
        <v>1725.468</v>
      </c>
      <c r="BM80" s="30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0</v>
      </c>
      <c r="BN80" s="30" cm="1">
        <f t="array" ref="BN80">$G$14+VLOOKUP($R80,武学奇术!$A:$ZZ,16,FALSE)+SUM(_xlfn.XLOOKUP($S80:$AL80,增益!$A:$A,增益!$P:$P,0))</f>
        <v>0.24</v>
      </c>
      <c r="BO80" s="24">
        <f>MIN(IF(VLOOKUP($R80,武学奇术!$A:$ZZ,23,FALSE)=1,100%,$B$8),100%)</f>
        <v>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+MIN(IF(VLOOKUP($R80,武学奇术!$A:$ZZ,32,FALSE)=1,IF(VLOOKUP($R80,武学奇术!$A:$ZZ,24,FALSE)=1,100%,MIN(40%,$B$10+VLOOKUP($R80,武学奇术!$A:$ZZ,19,FALSE)+SUM(_xlfn.XLOOKUP($S80:$AL80,增益!$A:$A,增益!$S:$S,0)))+$B$12+SUM(_xlfn.XLOOKUP($S80:$AL80,增益!$A:$A,增益!$V:$V,0))),0),12%)</f>
        <v>0.9036</v>
      </c>
      <c r="BQ80" s="24" cm="1">
        <f t="array" ref="BQ80">1+$B$13+VLOOKUP($R80,武学奇术!$A:$ZZ,18,FALSE)+SUM(_xlfn.XLOOKUP($S80:$AL80,增益!$A:$A,增益!$R:$R,0))</f>
        <v>1.64</v>
      </c>
      <c r="BR80" s="24" cm="1">
        <f t="array" ref="BR80">MAX(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-IF(VLOOKUP($R80,武学奇术!$A:$ZZ,32,FALSE)=1,12%,0),0)</f>
        <v>0.0929</v>
      </c>
      <c r="BS80" s="24" cm="1">
        <f t="array" ref="BS80">1+$B$14+VLOOKUP($R80,武学奇术!$A:$ZZ,20,FALSE)+SUM(_xlfn.XLOOKUP($S80:$AL80,增益!$A:$A,增益!$T:$T,0))</f>
        <v>1.35</v>
      </c>
      <c r="BT80" s="24">
        <f t="shared" si="22"/>
        <v>0.9036</v>
      </c>
      <c r="BU80" s="24">
        <f t="shared" si="23"/>
        <v>0.00350000000000006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0.11</v>
      </c>
      <c r="BX80" s="24" cm="1">
        <f t="array" ref="BX80">SUM(_xlfn.XLOOKUP($S80:$AL80,增益!$A:$A,增益!$X:$X,0))</f>
        <v>0</v>
      </c>
    </row>
    <row r="81" spans="1:76">
      <c r="K81">
        <f>$L81*VLOOKUP($R81,武学奇术!$A:$ZZ,31,FALSE)</f>
        <v>65837.8018991159</v>
      </c>
      <c r="L81" s="36">
        <f t="shared" si="24"/>
        <v>50644.4629993199</v>
      </c>
      <c r="M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BQ81*$Q81*(1+IF(VLOOKUP($R81,武学奇术!$A:$ZZ,30,FALSE)="蓄力技",$B$21,0))*(1+$BW81)</f>
        <v>51700.5398968166</v>
      </c>
      <c r="N81" s="36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蓄力技",$B$21,0))*(1+$BW81)</f>
        <v>41276.4367991338</v>
      </c>
      <c r="O81" s="36">
        <f>((($AT81+($AU81-$AT81)*IF(VLOOKUP($R81,武学奇术!$A:$ZZ,31,FALSE)=1,$F$18,0.5))*$AN81+$AO81)*(1+$AV81)*(1+$AW81)+(($AY81+($AZ81-$AY81)*IF(VLOOKUP($R81,武学奇术!$A:$ZZ,31,FALSE)=1,$F$18,0.5))*IF($G$1="鸣金",$AP81,$AN81)+IF($G$1="鸣金",$AQ81*1.5,0))*(1+$BA81)*(1+$BB81)+(($BC81+($BD81-$BC81)*IF(VLOOKUP($R81,武学奇术!$A:$ZZ,31,FALSE)=1,$F$18,0.5))*IF($G$1="裂石",$AP81,$AN81)+IF($G$1="裂石",$AQ81*1.5,0))*(1+$BE81)*(1+$BF81)+(($BG81+($BH81-$BG81)*IF(VLOOKUP($R81,武学奇术!$A:$ZZ,31,FALSE)=1,$F$18,0.5))*IF($G$1="牵丝",$AP81,$AN81)+IF($G$1="牵丝",$AQ81*1.5,0))*(1+$BI81)*(1+$BJ81)+(($BK81+($BL81-$BK81)*IF(VLOOKUP($R81,武学奇术!$A:$ZZ,31,FALSE)=1,$F$18,0.5))*IF($G$1="破竹",$AP81,$AN81)+IF($G$1="破竹",$AQ81*1.5,0))*(1+$BM81)*(1+$BN81))*(1+$AR81)*$Q81*(1+IF(VLOOKUP($R81,武学奇术!$A:$ZZ,30,FALSE)="蓄力技",$B$21,0))*(1+$BW81)</f>
        <v>26649.7628334106</v>
      </c>
      <c r="P81" s="36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蓄力技",$B$21,0))*(1+$BW81)</f>
        <v>22724.3872970925</v>
      </c>
      <c r="Q81" s="37">
        <v>1</v>
      </c>
      <c r="R81" s="38" t="s">
        <v>111</v>
      </c>
      <c r="S81" s="38" t="s">
        <v>78</v>
      </c>
      <c r="T81" s="38" t="s">
        <v>79</v>
      </c>
      <c r="U81" s="38" t="s">
        <v>79</v>
      </c>
      <c r="V81" s="38" t="s">
        <v>79</v>
      </c>
      <c r="W81" s="38" t="s">
        <v>79</v>
      </c>
      <c r="X81" s="38" t="s">
        <v>79</v>
      </c>
      <c r="Y81" s="38" t="s">
        <v>173</v>
      </c>
      <c r="Z81" s="38" t="s">
        <v>79</v>
      </c>
      <c r="AA81" s="38" t="s">
        <v>112</v>
      </c>
      <c r="AB81" s="38" t="s">
        <v>79</v>
      </c>
      <c r="AC81" s="38" t="s">
        <v>79</v>
      </c>
      <c r="AD81" s="38" t="s">
        <v>79</v>
      </c>
      <c r="AE81" s="38" t="s">
        <v>79</v>
      </c>
      <c r="AF81" s="38" t="s">
        <v>84</v>
      </c>
      <c r="AG81" s="38" t="s">
        <v>85</v>
      </c>
      <c r="AH81" s="38" t="s">
        <v>79</v>
      </c>
      <c r="AI81" s="38" t="s">
        <v>79</v>
      </c>
      <c r="AJ81" s="38" t="s">
        <v>79</v>
      </c>
      <c r="AK81" s="38" t="s">
        <v>79</v>
      </c>
      <c r="AL81" s="38" t="s">
        <v>79</v>
      </c>
      <c r="AM81" t="str">
        <f>VLOOKUP($R81,武学奇术!$A:$ZZ,25,FALSE)</f>
        <v>绳镖</v>
      </c>
      <c r="AN81" s="24">
        <f>VLOOKUP($R81,武学奇术!$A:$ZZ,26,FALSE)</f>
        <v>2.19912</v>
      </c>
      <c r="AO81" s="25">
        <f>VLOOKUP($R81,武学奇术!$A:$ZZ,27,FALSE)*(1+IF(OR($AM81=$F$4,$AM81=$F$5),$B$22,0))</f>
        <v>0</v>
      </c>
      <c r="AP81" s="24">
        <f>VLOOKUP($R81,武学奇术!$A:$ZZ,28,FALSE)</f>
        <v>3.29868</v>
      </c>
      <c r="AQ81" s="25">
        <f>VLOOKUP($R81,武学奇术!$A:$ZZ,29,FALSE)*(1+IF(OR($AM81=$F$4,$AM81=$F$5),$B$22,0))</f>
        <v>0</v>
      </c>
      <c r="AR81" s="24" cm="1">
        <f t="array" ref="AR81">$G$3+IFERROR(VLOOKUP($AM81,$F$4:$G$7,2,FALSE),0)+VLOOKUP($R81,武学奇术!$A:$ZZ,2,FALSE)+SUM(_xlfn.XLOOKUP($S81:$AL81,增益!$A:$A,增益!$B:$B,0))</f>
        <v>0.4989</v>
      </c>
      <c r="AS81" s="24" cm="1">
        <f t="array" ref="AS81">VLOOKUP($R81,武学奇术!$A:$ZZ,5,FALSE)+SUM(_xlfn.XLOOKUP($S81:$AL81,增益!$A:$A,增益!$E:$E,0))</f>
        <v>0</v>
      </c>
      <c r="AT81" cm="1">
        <f t="array" ref="AT81">$D$10*(1+$AS81)+VLOOKUP($R81,武学奇术!$A:$ZZ,3,FALSE)+SUM(_xlfn.XLOOKUP($S81:$AL81,增益!$A:$A,增益!$C:$C,0))-$I$2</f>
        <v>3839.102</v>
      </c>
      <c r="AU81" cm="1">
        <f t="array" ref="AU81">$E$10*(1+$AS81)+VLOOKUP($R81,武学奇术!$A:$ZZ,4,FALSE)+SUM(_xlfn.XLOOKUP($S81:$AL81,增益!$A:$A,增益!$D:$D,0))-$I$2</f>
        <v>3839.102</v>
      </c>
      <c r="AV81" s="30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0.207</v>
      </c>
      <c r="AW81" s="30" cm="1">
        <f t="array" ref="AW81">$G$10+VLOOKUP($R81,武学奇术!$A:$ZZ,7,FALSE)+SUM(_xlfn.XLOOKUP($S81:$AL81,增益!$A:$A,增益!$G:$G,0))</f>
        <v>0.09</v>
      </c>
      <c r="AX81" s="24" cm="1">
        <f t="array" ref="AX81">VLOOKUP($R81,武学奇术!$A:$ZZ,8,FALSE)+SUM(_xlfn.XLOOKUP($S81:$AL81,增益!$A:$A,增益!$H:$H,0))</f>
        <v>0</v>
      </c>
      <c r="AY81">
        <f t="shared" si="14"/>
        <v>0</v>
      </c>
      <c r="AZ81">
        <f t="shared" si="15"/>
        <v>0</v>
      </c>
      <c r="BA81" s="30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-0.24</v>
      </c>
      <c r="BB81" s="30" cm="1">
        <f t="array" ref="BB81">$G$11+VLOOKUP($R81,武学奇术!$A:$ZZ,10,FALSE)+SUM(_xlfn.XLOOKUP($S81:$AL81,增益!$A:$A,增益!$J:$J,0))</f>
        <v>0</v>
      </c>
      <c r="BC81">
        <f t="shared" si="16"/>
        <v>0</v>
      </c>
      <c r="BD81">
        <f t="shared" si="17"/>
        <v>0</v>
      </c>
      <c r="BE81" s="30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-0.24</v>
      </c>
      <c r="BF81" s="30" cm="1">
        <f t="array" ref="BF81">$G$12+VLOOKUP($R81,武学奇术!$A:$ZZ,12,FALSE)+SUM(_xlfn.XLOOKUP($S81:$AL81,增益!$A:$A,增益!$L:$L,0))</f>
        <v>0</v>
      </c>
      <c r="BG81">
        <f t="shared" si="18"/>
        <v>0</v>
      </c>
      <c r="BH81">
        <f t="shared" si="19"/>
        <v>0</v>
      </c>
      <c r="BI81" s="30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-0.24</v>
      </c>
      <c r="BJ81" s="30" cm="1">
        <f t="array" ref="BJ81">$G$13+VLOOKUP($R81,武学奇术!$A:$ZZ,14,FALSE)+SUM(_xlfn.XLOOKUP($S81:$AL81,增益!$A:$A,增益!$N:$N,0))</f>
        <v>0</v>
      </c>
      <c r="BK81">
        <f t="shared" si="20"/>
        <v>605.472</v>
      </c>
      <c r="BL81">
        <f t="shared" si="21"/>
        <v>1725.468</v>
      </c>
      <c r="BM81" s="30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0.03</v>
      </c>
      <c r="BN81" s="30" cm="1">
        <f t="array" ref="BN81">$G$14+VLOOKUP($R81,武学奇术!$A:$ZZ,16,FALSE)+SUM(_xlfn.XLOOKUP($S81:$AL81,增益!$A:$A,增益!$P:$P,0))</f>
        <v>0.24</v>
      </c>
      <c r="BO81" s="24">
        <f>MIN(IF(VLOOKUP($R81,武学奇术!$A:$ZZ,23,FALSE)=1,100%,$B$8),100%)</f>
        <v>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+MIN(IF(VLOOKUP($R81,武学奇术!$A:$ZZ,32,FALSE)=1,IF(VLOOKUP($R81,武学奇术!$A:$ZZ,24,FALSE)=1,100%,MIN(40%,$B$10+VLOOKUP($R81,武学奇术!$A:$ZZ,19,FALSE)+SUM(_xlfn.XLOOKUP($S81:$AL81,增益!$A:$A,增益!$S:$S,0)))+$B$12+SUM(_xlfn.XLOOKUP($S81:$AL81,增益!$A:$A,增益!$V:$V,0))),0),12%)</f>
        <v>0.9036</v>
      </c>
      <c r="BQ81" s="24" cm="1">
        <f t="array" ref="BQ81">1+$B$13+VLOOKUP($R81,武学奇术!$A:$ZZ,18,FALSE)+SUM(_xlfn.XLOOKUP($S81:$AL81,增益!$A:$A,增益!$R:$R,0))</f>
        <v>1.94</v>
      </c>
      <c r="BR81" s="24" cm="1">
        <f t="array" ref="BR81">MAX(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-IF(VLOOKUP($R81,武学奇术!$A:$ZZ,32,FALSE)=1,12%,0),0)</f>
        <v>0.0929</v>
      </c>
      <c r="BS81" s="24" cm="1">
        <f t="array" ref="BS81">1+$B$14+VLOOKUP($R81,武学奇术!$A:$ZZ,20,FALSE)+SUM(_xlfn.XLOOKUP($S81:$AL81,增益!$A:$A,增益!$T:$T,0))</f>
        <v>1.35</v>
      </c>
      <c r="BT81" s="24">
        <f t="shared" si="22"/>
        <v>0.9036</v>
      </c>
      <c r="BU81" s="24">
        <f t="shared" si="23"/>
        <v>0.00350000000000006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0.11</v>
      </c>
      <c r="BX81" s="24" cm="1">
        <f t="array" ref="BX81">SUM(_xlfn.XLOOKUP($S81:$AL81,增益!$A:$A,增益!$X:$X,0))</f>
        <v>0</v>
      </c>
    </row>
    <row r="82" spans="1:76">
      <c r="A82" s="4"/>
      <c r="B82" s="4"/>
      <c r="K82">
        <f>$L82*VLOOKUP($R82,武学奇术!$A:$ZZ,31,FALSE)</f>
        <v>28888.8543473565</v>
      </c>
      <c r="L82" s="36">
        <f t="shared" si="24"/>
        <v>28888.8543473565</v>
      </c>
      <c r="M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BQ82*$Q82*(1+IF(VLOOKUP($R82,武学奇术!$A:$ZZ,30,FALSE)="蓄力技",$B$21,0))*(1+$BW82)</f>
        <v>29118.6717357468</v>
      </c>
      <c r="N82" s="36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蓄力技",$B$21,0))*(1+$BW82)</f>
        <v>27072.9715843118</v>
      </c>
      <c r="O82" s="36">
        <f>((($AT82+($AU82-$AT82)*IF(VLOOKUP($R82,武学奇术!$A:$ZZ,31,FALSE)=1,$F$18,0.5))*$AN82+$AO82)*(1+$AV82)*(1+$AW82)+(($AY82+($AZ82-$AY82)*IF(VLOOKUP($R82,武学奇术!$A:$ZZ,31,FALSE)=1,$F$18,0.5))*IF($G$1="鸣金",$AP82,$AN82)+IF($G$1="鸣金",$AQ82*1.5,0))*(1+$BA82)*(1+$BB82)+(($BC82+($BD82-$BC82)*IF(VLOOKUP($R82,武学奇术!$A:$ZZ,31,FALSE)=1,$F$18,0.5))*IF($G$1="裂石",$AP82,$AN82)+IF($G$1="裂石",$AQ82*1.5,0))*(1+$BE82)*(1+$BF82)+(($BG82+($BH82-$BG82)*IF(VLOOKUP($R82,武学奇术!$A:$ZZ,31,FALSE)=1,$F$18,0.5))*IF($G$1="牵丝",$AP82,$AN82)+IF($G$1="牵丝",$AQ82*1.5,0))*(1+$BI82)*(1+$BJ82)+(($BK82+($BL82-$BK82)*IF(VLOOKUP($R82,武学奇术!$A:$ZZ,31,FALSE)=1,$F$18,0.5))*IF($G$1="破竹",$AP82,$AN82)+IF($G$1="破竹",$AQ82*1.5,0))*(1+$BM82)*(1+$BN82))*(1+$AR82)*$Q82*(1+IF(VLOOKUP($R82,武学奇术!$A:$ZZ,30,FALSE)="蓄力技",$B$21,0))*(1+$BW82)</f>
        <v>17755.2876437481</v>
      </c>
      <c r="P82" s="36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蓄力技",$B$21,0))*(1+$BW82)</f>
        <v>15456.52226208</v>
      </c>
      <c r="Q82" s="37">
        <v>1</v>
      </c>
      <c r="R82" s="38" t="s">
        <v>168</v>
      </c>
      <c r="S82" s="38" t="s">
        <v>78</v>
      </c>
      <c r="T82" s="38" t="s">
        <v>79</v>
      </c>
      <c r="U82" s="38" t="s">
        <v>79</v>
      </c>
      <c r="V82" s="38" t="s">
        <v>79</v>
      </c>
      <c r="W82" s="38" t="s">
        <v>79</v>
      </c>
      <c r="X82" s="38" t="s">
        <v>79</v>
      </c>
      <c r="Y82" s="38" t="s">
        <v>173</v>
      </c>
      <c r="Z82" s="38" t="s">
        <v>79</v>
      </c>
      <c r="AA82" s="38" t="s">
        <v>79</v>
      </c>
      <c r="AB82" s="38" t="s">
        <v>79</v>
      </c>
      <c r="AC82" s="38" t="s">
        <v>79</v>
      </c>
      <c r="AD82" s="38" t="s">
        <v>79</v>
      </c>
      <c r="AE82" s="38" t="s">
        <v>79</v>
      </c>
      <c r="AF82" s="38" t="s">
        <v>84</v>
      </c>
      <c r="AG82" s="38" t="s">
        <v>85</v>
      </c>
      <c r="AH82" s="38" t="s">
        <v>79</v>
      </c>
      <c r="AI82" s="38" t="s">
        <v>79</v>
      </c>
      <c r="AJ82" s="38" t="s">
        <v>79</v>
      </c>
      <c r="AK82" s="38" t="s">
        <v>79</v>
      </c>
      <c r="AL82" s="38" t="s">
        <v>79</v>
      </c>
      <c r="AM82" t="str">
        <f>VLOOKUP($R82,武学奇术!$A:$ZZ,25,FALSE)</f>
        <v>绳镖</v>
      </c>
      <c r="AN82" s="24">
        <f>VLOOKUP($R82,武学奇术!$A:$ZZ,26,FALSE)</f>
        <v>1.6584</v>
      </c>
      <c r="AO82" s="25">
        <f>VLOOKUP($R82,武学奇术!$A:$ZZ,27,FALSE)*(1+IF(OR($AM82=$F$4,$AM82=$F$5),$B$22,0))</f>
        <v>687</v>
      </c>
      <c r="AP82" s="24">
        <f>VLOOKUP($R82,武学奇术!$A:$ZZ,28,FALSE)</f>
        <v>2.4876</v>
      </c>
      <c r="AQ82" s="25">
        <f>VLOOKUP($R82,武学奇术!$A:$ZZ,29,FALSE)*(1+IF(OR($AM82=$F$4,$AM82=$F$5),$B$22,0))</f>
        <v>375</v>
      </c>
      <c r="AR82" s="24" cm="1">
        <f t="array" ref="AR82">$G$3+IFERROR(VLOOKUP($AM82,$F$4:$G$7,2,FALSE),0)+VLOOKUP($R82,武学奇术!$A:$ZZ,2,FALSE)+SUM(_xlfn.XLOOKUP($S82:$AL82,增益!$A:$A,增益!$B:$B,0))</f>
        <v>0.1989</v>
      </c>
      <c r="AS82" s="24" cm="1">
        <f t="array" ref="AS82">VLOOKUP($R82,武学奇术!$A:$ZZ,5,FALSE)+SUM(_xlfn.XLOOKUP($S82:$AL82,增益!$A:$A,增益!$E:$E,0))</f>
        <v>0</v>
      </c>
      <c r="AT82" cm="1">
        <f t="array" ref="AT82">$D$10*(1+$AS82)+VLOOKUP($R82,武学奇术!$A:$ZZ,3,FALSE)+SUM(_xlfn.XLOOKUP($S82:$AL82,增益!$A:$A,增益!$C:$C,0))-$I$2</f>
        <v>3839.102</v>
      </c>
      <c r="AU82" cm="1">
        <f t="array" ref="AU82">$E$10*(1+$AS82)+VLOOKUP($R82,武学奇术!$A:$ZZ,4,FALSE)+SUM(_xlfn.XLOOKUP($S82:$AL82,增益!$A:$A,增益!$D:$D,0))-$I$2</f>
        <v>3839.102</v>
      </c>
      <c r="AV82" s="30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0.177</v>
      </c>
      <c r="AW82" s="30" cm="1">
        <f t="array" ref="AW82">$G$10+VLOOKUP($R82,武学奇术!$A:$ZZ,7,FALSE)+SUM(_xlfn.XLOOKUP($S82:$AL82,增益!$A:$A,增益!$G:$G,0))</f>
        <v>0.09</v>
      </c>
      <c r="AX82" s="24" cm="1">
        <f t="array" ref="AX82">VLOOKUP($R82,武学奇术!$A:$ZZ,8,FALSE)+SUM(_xlfn.XLOOKUP($S82:$AL82,增益!$A:$A,增益!$H:$H,0))</f>
        <v>0</v>
      </c>
      <c r="AY82">
        <f t="shared" si="14"/>
        <v>0</v>
      </c>
      <c r="AZ82">
        <f t="shared" si="15"/>
        <v>0</v>
      </c>
      <c r="BA82" s="30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0" cm="1">
        <f t="array" ref="BB82">$G$11+VLOOKUP($R82,武学奇术!$A:$ZZ,10,FALSE)+SUM(_xlfn.XLOOKUP($S82:$AL82,增益!$A:$A,增益!$J:$J,0))</f>
        <v>0</v>
      </c>
      <c r="BC82">
        <f t="shared" si="16"/>
        <v>0</v>
      </c>
      <c r="BD82">
        <f t="shared" si="17"/>
        <v>0</v>
      </c>
      <c r="BE82" s="30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0" cm="1">
        <f t="array" ref="BF82">$G$12+VLOOKUP($R82,武学奇术!$A:$ZZ,12,FALSE)+SUM(_xlfn.XLOOKUP($S82:$AL82,增益!$A:$A,增益!$L:$L,0))</f>
        <v>0</v>
      </c>
      <c r="BG82">
        <f t="shared" si="18"/>
        <v>0</v>
      </c>
      <c r="BH82">
        <f t="shared" si="19"/>
        <v>0</v>
      </c>
      <c r="BI82" s="30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-0.3</v>
      </c>
      <c r="BJ82" s="30" cm="1">
        <f t="array" ref="BJ82">$G$13+VLOOKUP($R82,武学奇术!$A:$ZZ,14,FALSE)+SUM(_xlfn.XLOOKUP($S82:$AL82,增益!$A:$A,增益!$N:$N,0))</f>
        <v>0</v>
      </c>
      <c r="BK82">
        <f t="shared" si="20"/>
        <v>605.472</v>
      </c>
      <c r="BL82">
        <f t="shared" si="21"/>
        <v>1725.468</v>
      </c>
      <c r="BM82" s="30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0</v>
      </c>
      <c r="BN82" s="30" cm="1">
        <f t="array" ref="BN82">$G$14+VLOOKUP($R82,武学奇术!$A:$ZZ,16,FALSE)+SUM(_xlfn.XLOOKUP($S82:$AL82,增益!$A:$A,增益!$P:$P,0))</f>
        <v>0.24</v>
      </c>
      <c r="BO82" s="24">
        <f>MIN(IF(VLOOKUP($R82,武学奇术!$A:$ZZ,23,FALSE)=1,100%,$B$8),100%)</f>
        <v>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+MIN(IF(VLOOKUP($R82,武学奇术!$A:$ZZ,32,FALSE)=1,IF(VLOOKUP($R82,武学奇术!$A:$ZZ,24,FALSE)=1,100%,MIN(40%,$B$10+VLOOKUP($R82,武学奇术!$A:$ZZ,19,FALSE)+SUM(_xlfn.XLOOKUP($S82:$AL82,增益!$A:$A,增益!$S:$S,0)))+$B$12+SUM(_xlfn.XLOOKUP($S82:$AL82,增益!$A:$A,增益!$V:$V,0))),0),12%)</f>
        <v>0.9036</v>
      </c>
      <c r="BQ82" s="24" cm="1">
        <f t="array" ref="BQ82">1+$B$13+VLOOKUP($R82,武学奇术!$A:$ZZ,18,FALSE)+SUM(_xlfn.XLOOKUP($S82:$AL82,增益!$A:$A,增益!$R:$R,0))</f>
        <v>1.64</v>
      </c>
      <c r="BR82" s="24" cm="1">
        <f t="array" ref="BR82">MAX(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-IF(VLOOKUP($R82,武学奇术!$A:$ZZ,32,FALSE)=1,12%,0),0)</f>
        <v>0.0929</v>
      </c>
      <c r="BS82" s="24" cm="1">
        <f t="array" ref="BS82">1+$B$14+VLOOKUP($R82,武学奇术!$A:$ZZ,20,FALSE)+SUM(_xlfn.XLOOKUP($S82:$AL82,增益!$A:$A,增益!$T:$T,0))</f>
        <v>1.35</v>
      </c>
      <c r="BT82" s="24">
        <f t="shared" si="22"/>
        <v>0.9036</v>
      </c>
      <c r="BU82" s="24">
        <f t="shared" si="23"/>
        <v>0.00350000000000006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0.11</v>
      </c>
      <c r="BX82" s="24" cm="1">
        <f t="array" ref="BX82">SUM(_xlfn.XLOOKUP($S82:$AL82,增益!$A:$A,增益!$X:$X,0))</f>
        <v>0</v>
      </c>
    </row>
    <row r="83" spans="1:76">
      <c r="A83" s="4"/>
      <c r="B83" s="91"/>
      <c r="K83">
        <f>$L83*VLOOKUP($R83,武学奇术!$A:$ZZ,31,FALSE)</f>
        <v>79984.9416829279</v>
      </c>
      <c r="L83" s="36">
        <f t="shared" si="24"/>
        <v>61526.8782176368</v>
      </c>
      <c r="M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BQ83*$Q83*(1+IF(VLOOKUP($R83,武学奇术!$A:$ZZ,30,FALSE)="蓄力技",$B$21,0))*(1+$BW83)</f>
        <v>62813.3714716258</v>
      </c>
      <c r="N83" s="36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蓄力技",$B$21,0))*(1+$BW83)</f>
        <v>50111.8693543011</v>
      </c>
      <c r="O83" s="36">
        <f>((($AT83+($AU83-$AT83)*IF(VLOOKUP($R83,武学奇术!$A:$ZZ,31,FALSE)=1,$F$18,0.5))*$AN83+$AO83)*(1+$AV83)*(1+$AW83)+(($AY83+($AZ83-$AY83)*IF(VLOOKUP($R83,武学奇术!$A:$ZZ,31,FALSE)=1,$F$18,0.5))*IF($G$1="鸣金",$AP83,$AN83)+IF($G$1="鸣金",$AQ83*1.5,0))*(1+$BA83)*(1+$BB83)+(($BC83+($BD83-$BC83)*IF(VLOOKUP($R83,武学奇术!$A:$ZZ,31,FALSE)=1,$F$18,0.5))*IF($G$1="裂石",$AP83,$AN83)+IF($G$1="裂石",$AQ83*1.5,0))*(1+$BE83)*(1+$BF83)+(($BG83+($BH83-$BG83)*IF(VLOOKUP($R83,武学奇术!$A:$ZZ,31,FALSE)=1,$F$18,0.5))*IF($G$1="牵丝",$AP83,$AN83)+IF($G$1="牵丝",$AQ83*1.5,0))*(1+$BI83)*(1+$BJ83)+(($BK83+($BL83-$BK83)*IF(VLOOKUP($R83,武学奇术!$A:$ZZ,31,FALSE)=1,$F$18,0.5))*IF($G$1="破竹",$AP83,$AN83)+IF($G$1="破竹",$AQ83*1.5,0))*(1+$BM83)*(1+$BN83))*(1+$AR83)*$Q83*(1+IF(VLOOKUP($R83,武学奇术!$A:$ZZ,30,FALSE)="蓄力技",$B$21,0))*(1+$BW83)</f>
        <v>32378.0265317659</v>
      </c>
      <c r="P83" s="36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蓄力技",$B$21,0))*(1+$BW83)</f>
        <v>27636.1498381236</v>
      </c>
      <c r="Q83" s="37">
        <v>1</v>
      </c>
      <c r="R83" s="38" t="s">
        <v>117</v>
      </c>
      <c r="S83" s="38" t="s">
        <v>88</v>
      </c>
      <c r="T83" s="38" t="s">
        <v>79</v>
      </c>
      <c r="U83" s="38" t="s">
        <v>79</v>
      </c>
      <c r="V83" s="38" t="s">
        <v>79</v>
      </c>
      <c r="W83" s="38" t="s">
        <v>79</v>
      </c>
      <c r="X83" s="38" t="s">
        <v>79</v>
      </c>
      <c r="Y83" s="38" t="s">
        <v>173</v>
      </c>
      <c r="Z83" s="38" t="s">
        <v>79</v>
      </c>
      <c r="AA83" s="38" t="s">
        <v>112</v>
      </c>
      <c r="AB83" s="38" t="s">
        <v>79</v>
      </c>
      <c r="AC83" s="38" t="s">
        <v>79</v>
      </c>
      <c r="AD83" s="38" t="s">
        <v>79</v>
      </c>
      <c r="AE83" s="38" t="s">
        <v>79</v>
      </c>
      <c r="AF83" s="38" t="s">
        <v>84</v>
      </c>
      <c r="AG83" s="38" t="s">
        <v>85</v>
      </c>
      <c r="AH83" s="38" t="s">
        <v>79</v>
      </c>
      <c r="AI83" s="38" t="s">
        <v>79</v>
      </c>
      <c r="AJ83" s="38" t="s">
        <v>79</v>
      </c>
      <c r="AK83" s="38" t="s">
        <v>79</v>
      </c>
      <c r="AL83" s="38" t="s">
        <v>79</v>
      </c>
      <c r="AM83" t="str">
        <f>VLOOKUP($R83,武学奇术!$A:$ZZ,25,FALSE)</f>
        <v>绳镖</v>
      </c>
      <c r="AN83" s="24">
        <f>VLOOKUP($R83,武学奇术!$A:$ZZ,26,FALSE)</f>
        <v>2.638944</v>
      </c>
      <c r="AO83" s="25">
        <f>VLOOKUP($R83,武学奇术!$A:$ZZ,27,FALSE)*(1+IF(OR($AM83=$F$4,$AM83=$F$5),$B$22,0))</f>
        <v>0</v>
      </c>
      <c r="AP83" s="24">
        <f>VLOOKUP($R83,武学奇术!$A:$ZZ,28,FALSE)</f>
        <v>3.958416</v>
      </c>
      <c r="AQ83" s="25">
        <f>VLOOKUP($R83,武学奇术!$A:$ZZ,29,FALSE)*(1+IF(OR($AM83=$F$4,$AM83=$F$5),$B$22,0))</f>
        <v>0</v>
      </c>
      <c r="AR83" s="24" cm="1">
        <f t="array" ref="AR83">$G$3+IFERROR(VLOOKUP($AM83,$F$4:$G$7,2,FALSE),0)+VLOOKUP($R83,武学奇术!$A:$ZZ,2,FALSE)+SUM(_xlfn.XLOOKUP($S83:$AL83,增益!$A:$A,增益!$B:$B,0))</f>
        <v>0.5089</v>
      </c>
      <c r="AS83" s="24" cm="1">
        <f t="array" ref="AS83">VLOOKUP($R83,武学奇术!$A:$ZZ,5,FALSE)+SUM(_xlfn.XLOOKUP($S83:$AL83,增益!$A:$A,增益!$E:$E,0))</f>
        <v>0</v>
      </c>
      <c r="AT83" cm="1">
        <f t="array" ref="AT83">$D$10*(1+$AS83)+VLOOKUP($R83,武学奇术!$A:$ZZ,3,FALSE)+SUM(_xlfn.XLOOKUP($S83:$AL83,增益!$A:$A,增益!$C:$C,0))-$I$2</f>
        <v>3839.102</v>
      </c>
      <c r="AU83" cm="1">
        <f t="array" ref="AU83">$E$10*(1+$AS83)+VLOOKUP($R83,武学奇术!$A:$ZZ,4,FALSE)+SUM(_xlfn.XLOOKUP($S83:$AL83,增益!$A:$A,增益!$D:$D,0))-$I$2</f>
        <v>3839.102</v>
      </c>
      <c r="AV83" s="30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0.217</v>
      </c>
      <c r="AW83" s="30" cm="1">
        <f t="array" ref="AW83">$G$10+VLOOKUP($R83,武学奇术!$A:$ZZ,7,FALSE)+SUM(_xlfn.XLOOKUP($S83:$AL83,增益!$A:$A,增益!$G:$G,0))</f>
        <v>0.09</v>
      </c>
      <c r="AX83" s="24" cm="1">
        <f t="array" ref="AX83">VLOOKUP($R83,武学奇术!$A:$ZZ,8,FALSE)+SUM(_xlfn.XLOOKUP($S83:$AL83,增益!$A:$A,增益!$H:$H,0))</f>
        <v>0</v>
      </c>
      <c r="AY83">
        <f t="shared" si="14"/>
        <v>0</v>
      </c>
      <c r="AZ83">
        <f t="shared" si="15"/>
        <v>0</v>
      </c>
      <c r="BA83" s="30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-0.24</v>
      </c>
      <c r="BB83" s="30" cm="1">
        <f t="array" ref="BB83">$G$11+VLOOKUP($R83,武学奇术!$A:$ZZ,10,FALSE)+SUM(_xlfn.XLOOKUP($S83:$AL83,增益!$A:$A,增益!$J:$J,0))</f>
        <v>0</v>
      </c>
      <c r="BC83">
        <f t="shared" si="16"/>
        <v>0</v>
      </c>
      <c r="BD83">
        <f t="shared" si="17"/>
        <v>0</v>
      </c>
      <c r="BE83" s="30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-0.24</v>
      </c>
      <c r="BF83" s="30" cm="1">
        <f t="array" ref="BF83">$G$12+VLOOKUP($R83,武学奇术!$A:$ZZ,12,FALSE)+SUM(_xlfn.XLOOKUP($S83:$AL83,增益!$A:$A,增益!$L:$L,0))</f>
        <v>0</v>
      </c>
      <c r="BG83">
        <f t="shared" si="18"/>
        <v>0</v>
      </c>
      <c r="BH83">
        <f t="shared" si="19"/>
        <v>0</v>
      </c>
      <c r="BI83" s="30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-0.24</v>
      </c>
      <c r="BJ83" s="30" cm="1">
        <f t="array" ref="BJ83">$G$13+VLOOKUP($R83,武学奇术!$A:$ZZ,14,FALSE)+SUM(_xlfn.XLOOKUP($S83:$AL83,增益!$A:$A,增益!$N:$N,0))</f>
        <v>0</v>
      </c>
      <c r="BK83">
        <f t="shared" si="20"/>
        <v>605.472</v>
      </c>
      <c r="BL83">
        <f t="shared" si="21"/>
        <v>1725.468</v>
      </c>
      <c r="BM83" s="30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0.03</v>
      </c>
      <c r="BN83" s="30" cm="1">
        <f t="array" ref="BN83">$G$14+VLOOKUP($R83,武学奇术!$A:$ZZ,16,FALSE)+SUM(_xlfn.XLOOKUP($S83:$AL83,增益!$A:$A,增益!$P:$P,0))</f>
        <v>0.24</v>
      </c>
      <c r="BO83" s="24">
        <f>MIN(IF(VLOOKUP($R83,武学奇术!$A:$ZZ,23,FALSE)=1,100%,$B$8),100%)</f>
        <v>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+MIN(IF(VLOOKUP($R83,武学奇术!$A:$ZZ,32,FALSE)=1,IF(VLOOKUP($R83,武学奇术!$A:$ZZ,24,FALSE)=1,100%,MIN(40%,$B$10+VLOOKUP($R83,武学奇术!$A:$ZZ,19,FALSE)+SUM(_xlfn.XLOOKUP($S83:$AL83,增益!$A:$A,增益!$S:$S,0)))+$B$12+SUM(_xlfn.XLOOKUP($S83:$AL83,增益!$A:$A,增益!$V:$V,0))),0),12%)</f>
        <v>0.9036</v>
      </c>
      <c r="BQ83" s="24" cm="1">
        <f t="array" ref="BQ83">1+$B$13+VLOOKUP($R83,武学奇术!$A:$ZZ,18,FALSE)+SUM(_xlfn.XLOOKUP($S83:$AL83,增益!$A:$A,增益!$R:$R,0))</f>
        <v>1.94</v>
      </c>
      <c r="BR83" s="24" cm="1">
        <f t="array" ref="BR83">MAX(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-IF(VLOOKUP($R83,武学奇术!$A:$ZZ,32,FALSE)=1,12%,0),0)</f>
        <v>0.0929</v>
      </c>
      <c r="BS83" s="24" cm="1">
        <f t="array" ref="BS83">1+$B$14+VLOOKUP($R83,武学奇术!$A:$ZZ,20,FALSE)+SUM(_xlfn.XLOOKUP($S83:$AL83,增益!$A:$A,增益!$T:$T,0))</f>
        <v>1.35</v>
      </c>
      <c r="BT83" s="24">
        <f t="shared" si="22"/>
        <v>0.9036</v>
      </c>
      <c r="BU83" s="24">
        <f t="shared" si="23"/>
        <v>0.00350000000000006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0.11</v>
      </c>
      <c r="BX83" s="24" cm="1">
        <f t="array" ref="BX83">SUM(_xlfn.XLOOKUP($S83:$AL83,增益!$A:$A,增益!$X:$X,0))</f>
        <v>0</v>
      </c>
    </row>
    <row r="84" spans="1:76">
      <c r="K84">
        <f>$L84*VLOOKUP($R84,武学奇术!$A:$ZZ,31,FALSE)</f>
        <v>703359.763268093</v>
      </c>
      <c r="L84" s="36">
        <f t="shared" si="24"/>
        <v>832378.418068749</v>
      </c>
      <c r="M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BQ84*$Q84*(1+IF(VLOOKUP($R84,武学奇术!$A:$ZZ,30,FALSE)="蓄力技",$B$21,0))*(1+$BW84)</f>
        <v>834076.234336551</v>
      </c>
      <c r="N84" s="36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蓄力技",$B$21,0))*(1+$BW84)</f>
        <v>527999.135472571</v>
      </c>
      <c r="O84" s="36">
        <f>((($AT84+($AU84-$AT84)*IF(VLOOKUP($R84,武学奇术!$A:$ZZ,31,FALSE)=1,$F$18,0.5))*$AN84+$AO84)*(1+$AV84)*(1+$AW84)+(($AY84+($AZ84-$AY84)*IF(VLOOKUP($R84,武学奇术!$A:$ZZ,31,FALSE)=1,$F$18,0.5))*IF($G$1="鸣金",$AP84,$AN84)+IF($G$1="鸣金",$AQ84*1.5,0))*(1+$BA84)*(1+$BB84)+(($BC84+($BD84-$BC84)*IF(VLOOKUP($R84,武学奇术!$A:$ZZ,31,FALSE)=1,$F$18,0.5))*IF($G$1="裂石",$AP84,$AN84)+IF($G$1="裂石",$AQ84*1.5,0))*(1+$BE84)*(1+$BF84)+(($BG84+($BH84-$BG84)*IF(VLOOKUP($R84,武学奇术!$A:$ZZ,31,FALSE)=1,$F$18,0.5))*IF($G$1="牵丝",$AP84,$AN84)+IF($G$1="牵丝",$AQ84*1.5,0))*(1+$BI84)*(1+$BJ84)+(($BK84+($BL84-$BK84)*IF(VLOOKUP($R84,武学奇术!$A:$ZZ,31,FALSE)=1,$F$18,0.5))*IF($G$1="破竹",$AP84,$AN84)+IF($G$1="破竹",$AQ84*1.5,0))*(1+$BM84)*(1+$BN84))*(1+$AR84)*$Q84*(1+IF(VLOOKUP($R84,武学奇术!$A:$ZZ,30,FALSE)="蓄力技",$B$21,0))*(1+$BW84)</f>
        <v>348985.872107343</v>
      </c>
      <c r="P84" s="36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蓄力技",$B$21,0))*(1+$BW84)</f>
        <v>306861.273494264</v>
      </c>
      <c r="Q84" s="37">
        <v>1</v>
      </c>
      <c r="R84" s="38" t="s">
        <v>138</v>
      </c>
      <c r="S84" s="38" t="s">
        <v>88</v>
      </c>
      <c r="T84" s="38" t="s">
        <v>139</v>
      </c>
      <c r="U84" s="38" t="s">
        <v>79</v>
      </c>
      <c r="V84" s="38" t="s">
        <v>79</v>
      </c>
      <c r="W84" s="38" t="s">
        <v>79</v>
      </c>
      <c r="X84" s="38" t="s">
        <v>79</v>
      </c>
      <c r="Y84" s="38" t="s">
        <v>173</v>
      </c>
      <c r="Z84" s="38" t="s">
        <v>79</v>
      </c>
      <c r="AA84" s="38" t="s">
        <v>112</v>
      </c>
      <c r="AB84" s="38" t="s">
        <v>79</v>
      </c>
      <c r="AC84" s="38" t="s">
        <v>79</v>
      </c>
      <c r="AD84" s="38" t="s">
        <v>79</v>
      </c>
      <c r="AE84" s="38" t="s">
        <v>79</v>
      </c>
      <c r="AF84" s="38" t="s">
        <v>84</v>
      </c>
      <c r="AG84" s="38" t="s">
        <v>85</v>
      </c>
      <c r="AH84" s="38" t="s">
        <v>79</v>
      </c>
      <c r="AI84" s="38" t="s">
        <v>79</v>
      </c>
      <c r="AJ84" s="38" t="s">
        <v>79</v>
      </c>
      <c r="AK84" s="38" t="s">
        <v>79</v>
      </c>
      <c r="AL84" s="38" t="s">
        <v>79</v>
      </c>
      <c r="AM84" t="str">
        <f>VLOOKUP($R84,武学奇术!$A:$ZZ,25,FALSE)</f>
        <v>拳甲</v>
      </c>
      <c r="AN84" s="24">
        <f>VLOOKUP($R84,武学奇术!$A:$ZZ,26,FALSE)</f>
        <v>16.8107</v>
      </c>
      <c r="AO84" s="25">
        <f>VLOOKUP($R84,武学奇术!$A:$ZZ,27,FALSE)*(1+IF(OR($AM84=$F$4,$AM84=$F$5),$B$22,0))</f>
        <v>6970.5</v>
      </c>
      <c r="AP84" s="24">
        <f>VLOOKUP($R84,武学奇术!$A:$ZZ,28,FALSE)</f>
        <v>25.2161</v>
      </c>
      <c r="AQ84" s="25">
        <f>VLOOKUP($R84,武学奇术!$A:$ZZ,29,FALSE)*(1+IF(OR($AM84=$F$4,$AM84=$F$5),$B$22,0))</f>
        <v>3799.5</v>
      </c>
      <c r="AR84" s="24" cm="1">
        <f t="array" ref="AR84">$G$3+IFERROR(VLOOKUP($AM84,$F$4:$G$7,2,FALSE),0)+VLOOKUP($R84,武学奇术!$A:$ZZ,2,FALSE)+SUM(_xlfn.XLOOKUP($S84:$AL84,增益!$A:$A,增益!$B:$B,0))</f>
        <v>0.5941</v>
      </c>
      <c r="AS84" s="24" cm="1">
        <f t="array" ref="AS84">VLOOKUP($R84,武学奇术!$A:$ZZ,5,FALSE)+SUM(_xlfn.XLOOKUP($S84:$AL84,增益!$A:$A,增益!$E:$E,0))</f>
        <v>0</v>
      </c>
      <c r="AT84" cm="1">
        <f t="array" ref="AT84">$D$10*(1+$AS84)+VLOOKUP($R84,武学奇术!$A:$ZZ,3,FALSE)+SUM(_xlfn.XLOOKUP($S84:$AL84,增益!$A:$A,增益!$C:$C,0))-$I$2</f>
        <v>3839.102</v>
      </c>
      <c r="AU84" cm="1">
        <f t="array" ref="AU84">$E$10*(1+$AS84)+VLOOKUP($R84,武学奇术!$A:$ZZ,4,FALSE)+SUM(_xlfn.XLOOKUP($S84:$AL84,增益!$A:$A,增益!$D:$D,0))-$I$2</f>
        <v>3839.102</v>
      </c>
      <c r="AV84" s="30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0.342</v>
      </c>
      <c r="AW84" s="30" cm="1">
        <f t="array" ref="AW84">$G$10+VLOOKUP($R84,武学奇术!$A:$ZZ,7,FALSE)+SUM(_xlfn.XLOOKUP($S84:$AL84,增益!$A:$A,增益!$G:$G,0))</f>
        <v>0.09</v>
      </c>
      <c r="AX84" s="24" cm="1">
        <f t="array" ref="AX84">VLOOKUP($R84,武学奇术!$A:$ZZ,8,FALSE)+SUM(_xlfn.XLOOKUP($S84:$AL84,增益!$A:$A,增益!$H:$H,0))</f>
        <v>0</v>
      </c>
      <c r="AY84">
        <f t="shared" si="14"/>
        <v>0</v>
      </c>
      <c r="AZ84">
        <f t="shared" si="15"/>
        <v>0</v>
      </c>
      <c r="BA84" s="30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-0.24</v>
      </c>
      <c r="BB84" s="30" cm="1">
        <f t="array" ref="BB84">$G$11+VLOOKUP($R84,武学奇术!$A:$ZZ,10,FALSE)+SUM(_xlfn.XLOOKUP($S84:$AL84,增益!$A:$A,增益!$J:$J,0))</f>
        <v>0</v>
      </c>
      <c r="BC84">
        <f t="shared" si="16"/>
        <v>0</v>
      </c>
      <c r="BD84">
        <f t="shared" si="17"/>
        <v>0</v>
      </c>
      <c r="BE84" s="30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-0.24</v>
      </c>
      <c r="BF84" s="30" cm="1">
        <f t="array" ref="BF84">$G$12+VLOOKUP($R84,武学奇术!$A:$ZZ,12,FALSE)+SUM(_xlfn.XLOOKUP($S84:$AL84,增益!$A:$A,增益!$L:$L,0))</f>
        <v>0</v>
      </c>
      <c r="BG84">
        <f t="shared" si="18"/>
        <v>0</v>
      </c>
      <c r="BH84">
        <f t="shared" si="19"/>
        <v>0</v>
      </c>
      <c r="BI84" s="30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-0.24</v>
      </c>
      <c r="BJ84" s="30" cm="1">
        <f t="array" ref="BJ84">$G$13+VLOOKUP($R84,武学奇术!$A:$ZZ,14,FALSE)+SUM(_xlfn.XLOOKUP($S84:$AL84,增益!$A:$A,增益!$N:$N,0))</f>
        <v>0</v>
      </c>
      <c r="BK84">
        <f t="shared" si="20"/>
        <v>605.472</v>
      </c>
      <c r="BL84">
        <f t="shared" si="21"/>
        <v>1725.468</v>
      </c>
      <c r="BM84" s="30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0.03</v>
      </c>
      <c r="BN84" s="30" cm="1">
        <f t="array" ref="BN84">$G$14+VLOOKUP($R84,武学奇术!$A:$ZZ,16,FALSE)+SUM(_xlfn.XLOOKUP($S84:$AL84,增益!$A:$A,增益!$P:$P,0))</f>
        <v>0.24</v>
      </c>
      <c r="BO84" s="24">
        <f>MIN(IF(VLOOKUP($R84,武学奇术!$A:$ZZ,23,FALSE)=1,100%,$B$8),100%)</f>
        <v>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+MIN(IF(VLOOKUP($R84,武学奇术!$A:$ZZ,32,FALSE)=1,IF(VLOOKUP($R84,武学奇术!$A:$ZZ,24,FALSE)=1,100%,MIN(40%,$B$10+VLOOKUP($R84,武学奇术!$A:$ZZ,19,FALSE)+SUM(_xlfn.XLOOKUP($S84:$AL84,增益!$A:$A,增益!$S:$S,0)))+$B$12+SUM(_xlfn.XLOOKUP($S84:$AL84,增益!$A:$A,增益!$V:$V,0))),0),12%)</f>
        <v>0.9965</v>
      </c>
      <c r="BQ84" s="24" cm="1">
        <f t="array" ref="BQ84">1+$B$13+VLOOKUP($R84,武学奇术!$A:$ZZ,18,FALSE)+SUM(_xlfn.XLOOKUP($S84:$AL84,增益!$A:$A,增益!$R:$R,0))</f>
        <v>2.39</v>
      </c>
      <c r="BR84" s="24" cm="1">
        <f t="array" ref="BR84">MAX(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-IF(VLOOKUP($R84,武学奇术!$A:$ZZ,32,FALSE)=1,12%,0),0)</f>
        <v>0</v>
      </c>
      <c r="BS84" s="24" cm="1">
        <f t="array" ref="BS84">1+$B$14+VLOOKUP($R84,武学奇术!$A:$ZZ,20,FALSE)+SUM(_xlfn.XLOOKUP($S84:$AL84,增益!$A:$A,增益!$T:$T,0))</f>
        <v>1.35</v>
      </c>
      <c r="BT84" s="24">
        <f t="shared" si="22"/>
        <v>0.9965</v>
      </c>
      <c r="BU84" s="24">
        <f t="shared" si="23"/>
        <v>0.00350000000000006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0.11</v>
      </c>
      <c r="BX84" s="24" cm="1">
        <f t="array" ref="BX84">SUM(_xlfn.XLOOKUP($S84:$AL84,增益!$A:$A,增益!$X:$X,0))</f>
        <v>0</v>
      </c>
    </row>
    <row r="85" spans="1:76">
      <c r="A85" s="4"/>
      <c r="B85" s="4"/>
      <c r="K85">
        <f>$L85*VLOOKUP($R85,武学奇术!$A:$ZZ,31,FALSE)</f>
        <v>166475.68361375</v>
      </c>
      <c r="L85" s="87">
        <f>L84*0.4*(1+BX85)</f>
        <v>332951.367227499</v>
      </c>
      <c r="M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BQ85*$Q85*(1+IF(VLOOKUP($R85,武学奇术!$A:$ZZ,30,FALSE)="蓄力技",$B$21,0))*(1+$BW85)</f>
        <v>0</v>
      </c>
      <c r="N85" s="36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蓄力技",$B$21,0))*(1+$BW85)</f>
        <v>0</v>
      </c>
      <c r="O85" s="36">
        <f>((($AT85+($AU85-$AT85)*IF(VLOOKUP($R85,武学奇术!$A:$ZZ,31,FALSE)=1,$F$18,0.5))*$AN85+$AO85)*(1+$AV85)*(1+$AW85)+(($AY85+($AZ85-$AY85)*IF(VLOOKUP($R85,武学奇术!$A:$ZZ,31,FALSE)=1,$F$18,0.5))*IF($G$1="鸣金",$AP85,$AN85)+IF($G$1="鸣金",$AQ85*1.5,0))*(1+$BA85)*(1+$BB85)+(($BC85+($BD85-$BC85)*IF(VLOOKUP($R85,武学奇术!$A:$ZZ,31,FALSE)=1,$F$18,0.5))*IF($G$1="裂石",$AP85,$AN85)+IF($G$1="裂石",$AQ85*1.5,0))*(1+$BE85)*(1+$BF85)+(($BG85+($BH85-$BG85)*IF(VLOOKUP($R85,武学奇术!$A:$ZZ,31,FALSE)=1,$F$18,0.5))*IF($G$1="牵丝",$AP85,$AN85)+IF($G$1="牵丝",$AQ85*1.5,0))*(1+$BI85)*(1+$BJ85)+(($BK85+($BL85-$BK85)*IF(VLOOKUP($R85,武学奇术!$A:$ZZ,31,FALSE)=1,$F$18,0.5))*IF($G$1="破竹",$AP85,$AN85)+IF($G$1="破竹",$AQ85*1.5,0))*(1+$BM85)*(1+$BN85))*(1+$AR85)*$Q85*(1+IF(VLOOKUP($R85,武学奇术!$A:$ZZ,30,FALSE)="蓄力技",$B$21,0))*(1+$BW85)</f>
        <v>0</v>
      </c>
      <c r="P85" s="36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蓄力技",$B$21,0))*(1+$BW85)</f>
        <v>0</v>
      </c>
      <c r="Q85" s="37">
        <v>1</v>
      </c>
      <c r="R85" s="38" t="s">
        <v>145</v>
      </c>
      <c r="S85" s="38" t="s">
        <v>88</v>
      </c>
      <c r="T85" s="38" t="s">
        <v>139</v>
      </c>
      <c r="U85" s="38" t="s">
        <v>79</v>
      </c>
      <c r="V85" s="38" t="s">
        <v>79</v>
      </c>
      <c r="W85" s="38" t="s">
        <v>79</v>
      </c>
      <c r="X85" s="38" t="s">
        <v>79</v>
      </c>
      <c r="Y85" s="38" t="s">
        <v>173</v>
      </c>
      <c r="Z85" s="38" t="s">
        <v>79</v>
      </c>
      <c r="AA85" s="38" t="s">
        <v>112</v>
      </c>
      <c r="AB85" s="38" t="s">
        <v>79</v>
      </c>
      <c r="AC85" s="38" t="s">
        <v>79</v>
      </c>
      <c r="AD85" s="38" t="s">
        <v>79</v>
      </c>
      <c r="AE85" s="38" t="s">
        <v>79</v>
      </c>
      <c r="AF85" s="38" t="s">
        <v>84</v>
      </c>
      <c r="AG85" s="38" t="s">
        <v>85</v>
      </c>
      <c r="AH85" s="38" t="s">
        <v>79</v>
      </c>
      <c r="AI85" s="38" t="s">
        <v>79</v>
      </c>
      <c r="AJ85" s="38" t="s">
        <v>79</v>
      </c>
      <c r="AK85" s="38" t="s">
        <v>79</v>
      </c>
      <c r="AL85" s="38" t="s">
        <v>79</v>
      </c>
      <c r="AM85" t="str">
        <f>VLOOKUP($R85,武学奇术!$A:$ZZ,25,FALSE)</f>
        <v>拳甲</v>
      </c>
      <c r="AN85" s="24">
        <f>VLOOKUP($R85,武学奇术!$A:$ZZ,26,FALSE)</f>
        <v>0</v>
      </c>
      <c r="AO85" s="25">
        <f>VLOOKUP($R85,武学奇术!$A:$ZZ,27,FALSE)*(1+IF(OR($AM85=$F$4,$AM85=$F$5),$B$22,0))</f>
        <v>0</v>
      </c>
      <c r="AP85" s="24">
        <f>VLOOKUP($R85,武学奇术!$A:$ZZ,28,FALSE)</f>
        <v>0</v>
      </c>
      <c r="AQ85" s="25">
        <f>VLOOKUP($R85,武学奇术!$A:$ZZ,29,FALSE)*(1+IF(OR($AM85=$F$4,$AM85=$F$5),$B$22,0))</f>
        <v>0</v>
      </c>
      <c r="AR85" s="24" cm="1">
        <f t="array" ref="AR85">$G$3+IFERROR(VLOOKUP($AM85,$F$4:$G$7,2,FALSE),0)+VLOOKUP($R85,武学奇术!$A:$ZZ,2,FALSE)+SUM(_xlfn.XLOOKUP($S85:$AL85,增益!$A:$A,增益!$B:$B,0))</f>
        <v>0.2941</v>
      </c>
      <c r="AS85" s="24" cm="1">
        <f t="array" ref="AS85">VLOOKUP($R85,武学奇术!$A:$ZZ,5,FALSE)+SUM(_xlfn.XLOOKUP($S85:$AL85,增益!$A:$A,增益!$E:$E,0))</f>
        <v>0</v>
      </c>
      <c r="AT85" cm="1">
        <f t="array" ref="AT85">$D$10*(1+$AS85)+VLOOKUP($R85,武学奇术!$A:$ZZ,3,FALSE)+SUM(_xlfn.XLOOKUP($S85:$AL85,增益!$A:$A,增益!$C:$C,0))-$I$2</f>
        <v>3839.102</v>
      </c>
      <c r="AU85" cm="1">
        <f t="array" ref="AU85">$E$10*(1+$AS85)+VLOOKUP($R85,武学奇术!$A:$ZZ,4,FALSE)+SUM(_xlfn.XLOOKUP($S85:$AL85,增益!$A:$A,增益!$D:$D,0))-$I$2</f>
        <v>3839.102</v>
      </c>
      <c r="AV85" s="30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0.312</v>
      </c>
      <c r="AW85" s="30" cm="1">
        <f t="array" ref="AW85">$G$10+VLOOKUP($R85,武学奇术!$A:$ZZ,7,FALSE)+SUM(_xlfn.XLOOKUP($S85:$AL85,增益!$A:$A,增益!$G:$G,0))</f>
        <v>0.09</v>
      </c>
      <c r="AX85" s="24" cm="1">
        <f t="array" ref="AX85">VLOOKUP($R85,武学奇术!$A:$ZZ,8,FALSE)+SUM(_xlfn.XLOOKUP($S85:$AL85,增益!$A:$A,增益!$H:$H,0))</f>
        <v>0</v>
      </c>
      <c r="AY85">
        <f t="shared" si="14"/>
        <v>0</v>
      </c>
      <c r="AZ85">
        <f t="shared" si="15"/>
        <v>0</v>
      </c>
      <c r="BA85" s="30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0" cm="1">
        <f t="array" ref="BB85">$G$11+VLOOKUP($R85,武学奇术!$A:$ZZ,10,FALSE)+SUM(_xlfn.XLOOKUP($S85:$AL85,增益!$A:$A,增益!$J:$J,0))</f>
        <v>0</v>
      </c>
      <c r="BC85">
        <f t="shared" si="16"/>
        <v>0</v>
      </c>
      <c r="BD85">
        <f t="shared" si="17"/>
        <v>0</v>
      </c>
      <c r="BE85" s="30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0" cm="1">
        <f t="array" ref="BF85">$G$12+VLOOKUP($R85,武学奇术!$A:$ZZ,12,FALSE)+SUM(_xlfn.XLOOKUP($S85:$AL85,增益!$A:$A,增益!$L:$L,0))</f>
        <v>0</v>
      </c>
      <c r="BG85">
        <f t="shared" si="18"/>
        <v>0</v>
      </c>
      <c r="BH85">
        <f t="shared" si="19"/>
        <v>0</v>
      </c>
      <c r="BI85" s="30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-0.3</v>
      </c>
      <c r="BJ85" s="30" cm="1">
        <f t="array" ref="BJ85">$G$13+VLOOKUP($R85,武学奇术!$A:$ZZ,14,FALSE)+SUM(_xlfn.XLOOKUP($S85:$AL85,增益!$A:$A,增益!$N:$N,0))</f>
        <v>0</v>
      </c>
      <c r="BK85">
        <f t="shared" si="20"/>
        <v>605.472</v>
      </c>
      <c r="BL85">
        <f t="shared" si="21"/>
        <v>1725.468</v>
      </c>
      <c r="BM85" s="30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0</v>
      </c>
      <c r="BN85" s="30" cm="1">
        <f t="array" ref="BN85">$G$14+VLOOKUP($R85,武学奇术!$A:$ZZ,16,FALSE)+SUM(_xlfn.XLOOKUP($S85:$AL85,增益!$A:$A,增益!$P:$P,0))</f>
        <v>0.24</v>
      </c>
      <c r="BO85" s="24">
        <f>MIN(IF(VLOOKUP($R85,武学奇术!$A:$ZZ,23,FALSE)=1,100%,$B$8),100%)</f>
        <v>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+MIN(IF(VLOOKUP($R85,武学奇术!$A:$ZZ,32,FALSE)=1,IF(VLOOKUP($R85,武学奇术!$A:$ZZ,24,FALSE)=1,100%,MIN(40%,$B$10+VLOOKUP($R85,武学奇术!$A:$ZZ,19,FALSE)+SUM(_xlfn.XLOOKUP($S85:$AL85,增益!$A:$A,增益!$S:$S,0)))+$B$12+SUM(_xlfn.XLOOKUP($S85:$AL85,增益!$A:$A,增益!$V:$V,0))),0),12%)</f>
        <v>0.9036</v>
      </c>
      <c r="BQ85" s="24" cm="1">
        <f t="array" ref="BQ85">1+$B$13+VLOOKUP($R85,武学奇术!$A:$ZZ,18,FALSE)+SUM(_xlfn.XLOOKUP($S85:$AL85,增益!$A:$A,增益!$R:$R,0))</f>
        <v>1.89</v>
      </c>
      <c r="BR85" s="24" cm="1">
        <f t="array" ref="BR85">MAX(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-IF(VLOOKUP($R85,武学奇术!$A:$ZZ,32,FALSE)=1,12%,0),0)</f>
        <v>0.0929</v>
      </c>
      <c r="BS85" s="24" cm="1">
        <f t="array" ref="BS85">1+$B$14+VLOOKUP($R85,武学奇术!$A:$ZZ,20,FALSE)+SUM(_xlfn.XLOOKUP($S85:$AL85,增益!$A:$A,增益!$T:$T,0))</f>
        <v>1.35</v>
      </c>
      <c r="BT85" s="24">
        <f t="shared" si="22"/>
        <v>0.9036</v>
      </c>
      <c r="BU85" s="24">
        <f t="shared" si="23"/>
        <v>0.00350000000000006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0.11</v>
      </c>
      <c r="BX85" s="24" cm="1">
        <f t="array" ref="BX85">SUM(_xlfn.XLOOKUP($S85:$AL85,增益!$A:$A,增益!$X:$X,0))</f>
        <v>0</v>
      </c>
    </row>
    <row r="86" spans="1:76">
      <c r="K86">
        <f>$L86*VLOOKUP($R86,武学奇术!$A:$ZZ,31,FALSE)</f>
        <v>25713.9710493439</v>
      </c>
      <c r="L86" s="36">
        <f t="shared" ref="L86:L102" si="25">($M86*$BT86+$N86*$BR86+$O86*$BU86+$P86*$BV86)</f>
        <v>25713.9710493439</v>
      </c>
      <c r="M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BQ86*$Q86*(1+IF(VLOOKUP($R86,武学奇术!$A:$ZZ,30,FALSE)="蓄力技",$B$21,0))*(1+$BW86)</f>
        <v>26245.7716849491</v>
      </c>
      <c r="N86" s="36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蓄力技",$B$21,0))*(1+$BW86)</f>
        <v>20986.9588151325</v>
      </c>
      <c r="O86" s="36">
        <f>((($AT86+($AU86-$AT86)*IF(VLOOKUP($R86,武学奇术!$A:$ZZ,31,FALSE)=1,$F$18,0.5))*$AN86+$AO86)*(1+$AV86)*(1+$AW86)+(($AY86+($AZ86-$AY86)*IF(VLOOKUP($R86,武学奇术!$A:$ZZ,31,FALSE)=1,$F$18,0.5))*IF($G$1="鸣金",$AP86,$AN86)+IF($G$1="鸣金",$AQ86*1.5,0))*(1+$BA86)*(1+$BB86)+(($BC86+($BD86-$BC86)*IF(VLOOKUP($R86,武学奇术!$A:$ZZ,31,FALSE)=1,$F$18,0.5))*IF($G$1="裂石",$AP86,$AN86)+IF($G$1="裂石",$AQ86*1.5,0))*(1+$BE86)*(1+$BF86)+(($BG86+($BH86-$BG86)*IF(VLOOKUP($R86,武学奇术!$A:$ZZ,31,FALSE)=1,$F$18,0.5))*IF($G$1="牵丝",$AP86,$AN86)+IF($G$1="牵丝",$AQ86*1.5,0))*(1+$BI86)*(1+$BJ86)+(($BK86+($BL86-$BK86)*IF(VLOOKUP($R86,武学奇术!$A:$ZZ,31,FALSE)=1,$F$18,0.5))*IF($G$1="破竹",$AP86,$AN86)+IF($G$1="破竹",$AQ86*1.5,0))*(1+$BM86)*(1+$BN86))*(1+$AR86)*$Q86*(1+IF(VLOOKUP($R86,武学奇术!$A:$ZZ,30,FALSE)="蓄力技",$B$21,0))*(1+$BW86)</f>
        <v>13886.6516851583</v>
      </c>
      <c r="P86" s="36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蓄力技",$B$21,0))*(1+$BW86)</f>
        <v>12227.4079516998</v>
      </c>
      <c r="Q86" s="37">
        <v>1</v>
      </c>
      <c r="R86" s="38" t="s">
        <v>160</v>
      </c>
      <c r="S86" s="38" t="s">
        <v>95</v>
      </c>
      <c r="T86" s="38" t="s">
        <v>139</v>
      </c>
      <c r="U86" s="38" t="s">
        <v>79</v>
      </c>
      <c r="V86" s="38" t="s">
        <v>79</v>
      </c>
      <c r="W86" s="38" t="s">
        <v>79</v>
      </c>
      <c r="X86" s="38" t="s">
        <v>79</v>
      </c>
      <c r="Y86" s="38" t="s">
        <v>173</v>
      </c>
      <c r="Z86" s="38" t="s">
        <v>79</v>
      </c>
      <c r="AA86" s="38" t="s">
        <v>79</v>
      </c>
      <c r="AB86" s="38" t="s">
        <v>79</v>
      </c>
      <c r="AC86" s="38" t="s">
        <v>79</v>
      </c>
      <c r="AD86" s="38" t="s">
        <v>79</v>
      </c>
      <c r="AE86" s="38" t="s">
        <v>79</v>
      </c>
      <c r="AF86" s="38" t="s">
        <v>84</v>
      </c>
      <c r="AG86" s="38" t="s">
        <v>85</v>
      </c>
      <c r="AH86" s="38" t="s">
        <v>79</v>
      </c>
      <c r="AI86" s="38" t="s">
        <v>79</v>
      </c>
      <c r="AJ86" s="38" t="s">
        <v>79</v>
      </c>
      <c r="AK86" s="38" t="s">
        <v>79</v>
      </c>
      <c r="AL86" s="38" t="s">
        <v>79</v>
      </c>
      <c r="AM86" t="str">
        <f>VLOOKUP($R86,武学奇术!$A:$ZZ,25,FALSE)</f>
        <v>拳甲</v>
      </c>
      <c r="AN86" s="24">
        <f>VLOOKUP($R86,武学奇术!$A:$ZZ,26,FALSE)</f>
        <v>1.1005</v>
      </c>
      <c r="AO86" s="25">
        <f>VLOOKUP($R86,武学奇术!$A:$ZZ,27,FALSE)*(1+IF(OR($AM86=$F$4,$AM86=$F$5),$B$22,0))</f>
        <v>457.5</v>
      </c>
      <c r="AP86" s="24">
        <f>VLOOKUP($R86,武学奇术!$A:$ZZ,28,FALSE)</f>
        <v>1.6507</v>
      </c>
      <c r="AQ86" s="25">
        <f>VLOOKUP($R86,武学奇术!$A:$ZZ,29,FALSE)*(1+IF(OR($AM86=$F$4,$AM86=$F$5),$B$22,0))</f>
        <v>247.5</v>
      </c>
      <c r="AR86" s="24" cm="1">
        <f t="array" ref="AR86">$G$3+IFERROR(VLOOKUP($AM86,$F$4:$G$7,2,FALSE),0)+VLOOKUP($R86,武学奇术!$A:$ZZ,2,FALSE)+SUM(_xlfn.XLOOKUP($S86:$AL86,增益!$A:$A,增益!$B:$B,0))</f>
        <v>0.3041</v>
      </c>
      <c r="AS86" s="24" cm="1">
        <f t="array" ref="AS86">VLOOKUP($R86,武学奇术!$A:$ZZ,5,FALSE)+SUM(_xlfn.XLOOKUP($S86:$AL86,增益!$A:$A,增益!$E:$E,0))</f>
        <v>0</v>
      </c>
      <c r="AT86" cm="1">
        <f t="array" ref="AT86">$D$10*(1+$AS86)+VLOOKUP($R86,武学奇术!$A:$ZZ,3,FALSE)+SUM(_xlfn.XLOOKUP($S86:$AL86,增益!$A:$A,增益!$C:$C,0))-$I$2</f>
        <v>3839.102</v>
      </c>
      <c r="AU86" cm="1">
        <f t="array" ref="AU86">$E$10*(1+$AS86)+VLOOKUP($R86,武学奇术!$A:$ZZ,4,FALSE)+SUM(_xlfn.XLOOKUP($S86:$AL86,增益!$A:$A,增益!$D:$D,0))-$I$2</f>
        <v>3839.102</v>
      </c>
      <c r="AV86" s="30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0.322</v>
      </c>
      <c r="AW86" s="30" cm="1">
        <f t="array" ref="AW86">$G$10+VLOOKUP($R86,武学奇术!$A:$ZZ,7,FALSE)+SUM(_xlfn.XLOOKUP($S86:$AL86,增益!$A:$A,增益!$G:$G,0))</f>
        <v>0.09</v>
      </c>
      <c r="AX86" s="24" cm="1">
        <f t="array" ref="AX86">VLOOKUP($R86,武学奇术!$A:$ZZ,8,FALSE)+SUM(_xlfn.XLOOKUP($S86:$AL86,增益!$A:$A,增益!$H:$H,0))</f>
        <v>0</v>
      </c>
      <c r="AY86">
        <f t="shared" si="14"/>
        <v>0</v>
      </c>
      <c r="AZ86">
        <f t="shared" si="15"/>
        <v>0</v>
      </c>
      <c r="BA86" s="30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0" cm="1">
        <f t="array" ref="BB86">$G$11+VLOOKUP($R86,武学奇术!$A:$ZZ,10,FALSE)+SUM(_xlfn.XLOOKUP($S86:$AL86,增益!$A:$A,增益!$J:$J,0))</f>
        <v>0</v>
      </c>
      <c r="BC86">
        <f t="shared" si="16"/>
        <v>0</v>
      </c>
      <c r="BD86">
        <f t="shared" si="17"/>
        <v>0</v>
      </c>
      <c r="BE86" s="30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0" cm="1">
        <f t="array" ref="BF86">$G$12+VLOOKUP($R86,武学奇术!$A:$ZZ,12,FALSE)+SUM(_xlfn.XLOOKUP($S86:$AL86,增益!$A:$A,增益!$L:$L,0))</f>
        <v>0</v>
      </c>
      <c r="BG86">
        <f t="shared" si="18"/>
        <v>0</v>
      </c>
      <c r="BH86">
        <f t="shared" si="19"/>
        <v>0</v>
      </c>
      <c r="BI86" s="30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-0.3</v>
      </c>
      <c r="BJ86" s="30" cm="1">
        <f t="array" ref="BJ86">$G$13+VLOOKUP($R86,武学奇术!$A:$ZZ,14,FALSE)+SUM(_xlfn.XLOOKUP($S86:$AL86,增益!$A:$A,增益!$N:$N,0))</f>
        <v>0</v>
      </c>
      <c r="BK86">
        <f t="shared" si="20"/>
        <v>605.472</v>
      </c>
      <c r="BL86">
        <f t="shared" si="21"/>
        <v>1725.468</v>
      </c>
      <c r="BM86" s="30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0</v>
      </c>
      <c r="BN86" s="30" cm="1">
        <f t="array" ref="BN86">$G$14+VLOOKUP($R86,武学奇术!$A:$ZZ,16,FALSE)+SUM(_xlfn.XLOOKUP($S86:$AL86,增益!$A:$A,增益!$P:$P,0))</f>
        <v>0.24</v>
      </c>
      <c r="BO86" s="24">
        <f>MIN(IF(VLOOKUP($R86,武学奇术!$A:$ZZ,23,FALSE)=1,100%,$B$8),100%)</f>
        <v>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+MIN(IF(VLOOKUP($R86,武学奇术!$A:$ZZ,32,FALSE)=1,IF(VLOOKUP($R86,武学奇术!$A:$ZZ,24,FALSE)=1,100%,MIN(40%,$B$10+VLOOKUP($R86,武学奇术!$A:$ZZ,19,FALSE)+SUM(_xlfn.XLOOKUP($S86:$AL86,增益!$A:$A,增益!$S:$S,0)))+$B$12+SUM(_xlfn.XLOOKUP($S86:$AL86,增益!$A:$A,增益!$V:$V,0))),0),12%)</f>
        <v>0.9036</v>
      </c>
      <c r="BQ86" s="24" cm="1">
        <f t="array" ref="BQ86">1+$B$13+VLOOKUP($R86,武学奇术!$A:$ZZ,18,FALSE)+SUM(_xlfn.XLOOKUP($S86:$AL86,增益!$A:$A,增益!$R:$R,0))</f>
        <v>1.89</v>
      </c>
      <c r="BR86" s="24" cm="1">
        <f t="array" ref="BR86">MAX(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-IF(VLOOKUP($R86,武学奇术!$A:$ZZ,32,FALSE)=1,12%,0),0)</f>
        <v>0.0929</v>
      </c>
      <c r="BS86" s="24" cm="1">
        <f t="array" ref="BS86">1+$B$14+VLOOKUP($R86,武学奇术!$A:$ZZ,20,FALSE)+SUM(_xlfn.XLOOKUP($S86:$AL86,增益!$A:$A,增益!$T:$T,0))</f>
        <v>1.35</v>
      </c>
      <c r="BT86" s="24">
        <f t="shared" si="22"/>
        <v>0.9036</v>
      </c>
      <c r="BU86" s="24">
        <f t="shared" si="23"/>
        <v>0.00350000000000006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0.11</v>
      </c>
      <c r="BX86" s="24" cm="1">
        <f t="array" ref="BX86">SUM(_xlfn.XLOOKUP($S86:$AL86,增益!$A:$A,增益!$X:$X,0))</f>
        <v>0</v>
      </c>
    </row>
    <row r="87" spans="1:76">
      <c r="K87">
        <f>$L87*VLOOKUP($R87,武学奇术!$A:$ZZ,31,FALSE)</f>
        <v>47415.8763046141</v>
      </c>
      <c r="L87" s="36">
        <f t="shared" si="25"/>
        <v>47415.8763046141</v>
      </c>
      <c r="M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BQ87*$Q87*(1+IF(VLOOKUP($R87,武学奇术!$A:$ZZ,30,FALSE)="蓄力技",$B$21,0))*(1+$BW87)</f>
        <v>47801.0497355262</v>
      </c>
      <c r="N87" s="36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蓄力技",$B$21,0))*(1+$BW87)</f>
        <v>44357.7322732124</v>
      </c>
      <c r="O87" s="36">
        <f>((($AT87+($AU87-$AT87)*IF(VLOOKUP($R87,武学奇术!$A:$ZZ,31,FALSE)=1,$F$18,0.5))*$AN87+$AO87)*(1+$AV87)*(1+$AW87)+(($AY87+($AZ87-$AY87)*IF(VLOOKUP($R87,武学奇术!$A:$ZZ,31,FALSE)=1,$F$18,0.5))*IF($G$1="鸣金",$AP87,$AN87)+IF($G$1="鸣金",$AQ87*1.5,0))*(1+$BA87)*(1+$BB87)+(($BC87+($BD87-$BC87)*IF(VLOOKUP($R87,武学奇术!$A:$ZZ,31,FALSE)=1,$F$18,0.5))*IF($G$1="裂石",$AP87,$AN87)+IF($G$1="裂石",$AQ87*1.5,0))*(1+$BE87)*(1+$BF87)+(($BG87+($BH87-$BG87)*IF(VLOOKUP($R87,武学奇术!$A:$ZZ,31,FALSE)=1,$F$18,0.5))*IF($G$1="牵丝",$AP87,$AN87)+IF($G$1="牵丝",$AQ87*1.5,0))*(1+$BI87)*(1+$BJ87)+(($BK87+($BL87-$BK87)*IF(VLOOKUP($R87,武学奇术!$A:$ZZ,31,FALSE)=1,$F$18,0.5))*IF($G$1="破竹",$AP87,$AN87)+IF($G$1="破竹",$AQ87*1.5,0))*(1+$BM87)*(1+$BN87))*(1+$AR87)*$Q87*(1+IF(VLOOKUP($R87,武学奇术!$A:$ZZ,30,FALSE)="蓄力技",$B$21,0))*(1+$BW87)</f>
        <v>29146.9815460526</v>
      </c>
      <c r="P87" s="36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蓄力技",$B$21,0))*(1+$BW87)</f>
        <v>25436.3836304663</v>
      </c>
      <c r="Q87" s="37">
        <v>1</v>
      </c>
      <c r="R87" s="38" t="s">
        <v>127</v>
      </c>
      <c r="S87" s="38" t="s">
        <v>101</v>
      </c>
      <c r="T87" s="38" t="s">
        <v>79</v>
      </c>
      <c r="U87" s="38" t="s">
        <v>79</v>
      </c>
      <c r="V87" s="38" t="s">
        <v>79</v>
      </c>
      <c r="W87" s="38" t="s">
        <v>79</v>
      </c>
      <c r="X87" s="38" t="s">
        <v>79</v>
      </c>
      <c r="Y87" s="38" t="s">
        <v>173</v>
      </c>
      <c r="Z87" s="38" t="s">
        <v>79</v>
      </c>
      <c r="AA87" s="38" t="s">
        <v>79</v>
      </c>
      <c r="AB87" s="38" t="s">
        <v>79</v>
      </c>
      <c r="AC87" s="38" t="s">
        <v>79</v>
      </c>
      <c r="AD87" s="38" t="s">
        <v>79</v>
      </c>
      <c r="AE87" s="38" t="s">
        <v>79</v>
      </c>
      <c r="AF87" s="38" t="s">
        <v>84</v>
      </c>
      <c r="AG87" s="38" t="s">
        <v>85</v>
      </c>
      <c r="AH87" s="38" t="s">
        <v>79</v>
      </c>
      <c r="AI87" s="38" t="s">
        <v>79</v>
      </c>
      <c r="AJ87" s="38" t="s">
        <v>79</v>
      </c>
      <c r="AK87" s="38" t="s">
        <v>79</v>
      </c>
      <c r="AL87" s="38" t="s">
        <v>79</v>
      </c>
      <c r="AM87" t="str">
        <f>VLOOKUP($R87,武学奇术!$A:$ZZ,25,FALSE)</f>
        <v>拳甲</v>
      </c>
      <c r="AN87" s="24">
        <f>VLOOKUP($R87,武学奇术!$A:$ZZ,26,FALSE)</f>
        <v>2.4421</v>
      </c>
      <c r="AO87" s="25">
        <f>VLOOKUP($R87,武学奇术!$A:$ZZ,27,FALSE)*(1+IF(OR($AM87=$F$4,$AM87=$F$5),$B$22,0))</f>
        <v>1012.5</v>
      </c>
      <c r="AP87" s="24">
        <f>VLOOKUP($R87,武学奇术!$A:$ZZ,28,FALSE)</f>
        <v>3.6634</v>
      </c>
      <c r="AQ87" s="25">
        <f>VLOOKUP($R87,武学奇术!$A:$ZZ,29,FALSE)*(1+IF(OR($AM87=$F$4,$AM87=$F$5),$B$22,0))</f>
        <v>549</v>
      </c>
      <c r="AR87" s="24" cm="1">
        <f t="array" ref="AR87">$G$3+IFERROR(VLOOKUP($AM87,$F$4:$G$7,2,FALSE),0)+VLOOKUP($R87,武学奇术!$A:$ZZ,2,FALSE)+SUM(_xlfn.XLOOKUP($S87:$AL87,增益!$A:$A,增益!$B:$B,0))</f>
        <v>0.3141</v>
      </c>
      <c r="AS87" s="24" cm="1">
        <f t="array" ref="AS87">VLOOKUP($R87,武学奇术!$A:$ZZ,5,FALSE)+SUM(_xlfn.XLOOKUP($S87:$AL87,增益!$A:$A,增益!$E:$E,0))</f>
        <v>0</v>
      </c>
      <c r="AT87" cm="1">
        <f t="array" ref="AT87">$D$10*(1+$AS87)+VLOOKUP($R87,武学奇术!$A:$ZZ,3,FALSE)+SUM(_xlfn.XLOOKUP($S87:$AL87,增益!$A:$A,增益!$C:$C,0))-$I$2</f>
        <v>3839.102</v>
      </c>
      <c r="AU87" cm="1">
        <f t="array" ref="AU87">$E$10*(1+$AS87)+VLOOKUP($R87,武学奇术!$A:$ZZ,4,FALSE)+SUM(_xlfn.XLOOKUP($S87:$AL87,增益!$A:$A,增益!$D:$D,0))-$I$2</f>
        <v>3839.102</v>
      </c>
      <c r="AV87" s="30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0.207</v>
      </c>
      <c r="AW87" s="30" cm="1">
        <f t="array" ref="AW87">$G$10+VLOOKUP($R87,武学奇术!$A:$ZZ,7,FALSE)+SUM(_xlfn.XLOOKUP($S87:$AL87,增益!$A:$A,增益!$G:$G,0))</f>
        <v>0.09</v>
      </c>
      <c r="AX87" s="24" cm="1">
        <f t="array" ref="AX87">VLOOKUP($R87,武学奇术!$A:$ZZ,8,FALSE)+SUM(_xlfn.XLOOKUP($S87:$AL87,增益!$A:$A,增益!$H:$H,0))</f>
        <v>0</v>
      </c>
      <c r="AY87">
        <f t="shared" si="14"/>
        <v>0</v>
      </c>
      <c r="AZ87">
        <f t="shared" si="15"/>
        <v>0</v>
      </c>
      <c r="BA87" s="30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0" cm="1">
        <f t="array" ref="BB87">$G$11+VLOOKUP($R87,武学奇术!$A:$ZZ,10,FALSE)+SUM(_xlfn.XLOOKUP($S87:$AL87,增益!$A:$A,增益!$J:$J,0))</f>
        <v>0</v>
      </c>
      <c r="BC87">
        <f t="shared" si="16"/>
        <v>0</v>
      </c>
      <c r="BD87">
        <f t="shared" si="17"/>
        <v>0</v>
      </c>
      <c r="BE87" s="30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0" cm="1">
        <f t="array" ref="BF87">$G$12+VLOOKUP($R87,武学奇术!$A:$ZZ,12,FALSE)+SUM(_xlfn.XLOOKUP($S87:$AL87,增益!$A:$A,增益!$L:$L,0))</f>
        <v>0</v>
      </c>
      <c r="BG87">
        <f t="shared" si="18"/>
        <v>0</v>
      </c>
      <c r="BH87">
        <f t="shared" si="19"/>
        <v>0</v>
      </c>
      <c r="BI87" s="30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-0.3</v>
      </c>
      <c r="BJ87" s="30" cm="1">
        <f t="array" ref="BJ87">$G$13+VLOOKUP($R87,武学奇术!$A:$ZZ,14,FALSE)+SUM(_xlfn.XLOOKUP($S87:$AL87,增益!$A:$A,增益!$N:$N,0))</f>
        <v>0</v>
      </c>
      <c r="BK87">
        <f t="shared" si="20"/>
        <v>605.472</v>
      </c>
      <c r="BL87">
        <f t="shared" si="21"/>
        <v>1725.468</v>
      </c>
      <c r="BM87" s="30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0</v>
      </c>
      <c r="BN87" s="30" cm="1">
        <f t="array" ref="BN87">$G$14+VLOOKUP($R87,武学奇术!$A:$ZZ,16,FALSE)+SUM(_xlfn.XLOOKUP($S87:$AL87,增益!$A:$A,增益!$P:$P,0))</f>
        <v>0.24</v>
      </c>
      <c r="BO87" s="24">
        <f>MIN(IF(VLOOKUP($R87,武学奇术!$A:$ZZ,23,FALSE)=1,100%,$B$8),100%)</f>
        <v>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+MIN(IF(VLOOKUP($R87,武学奇术!$A:$ZZ,32,FALSE)=1,IF(VLOOKUP($R87,武学奇术!$A:$ZZ,24,FALSE)=1,100%,MIN(40%,$B$10+VLOOKUP($R87,武学奇术!$A:$ZZ,19,FALSE)+SUM(_xlfn.XLOOKUP($S87:$AL87,增益!$A:$A,增益!$S:$S,0)))+$B$12+SUM(_xlfn.XLOOKUP($S87:$AL87,增益!$A:$A,增益!$V:$V,0))),0),12%)</f>
        <v>0.9036</v>
      </c>
      <c r="BQ87" s="24" cm="1">
        <f t="array" ref="BQ87">1+$B$13+VLOOKUP($R87,武学奇术!$A:$ZZ,18,FALSE)+SUM(_xlfn.XLOOKUP($S87:$AL87,增益!$A:$A,增益!$R:$R,0))</f>
        <v>1.64</v>
      </c>
      <c r="BR87" s="24" cm="1">
        <f t="array" ref="BR87">MAX(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-IF(VLOOKUP($R87,武学奇术!$A:$ZZ,32,FALSE)=1,12%,0),0)</f>
        <v>0.0929</v>
      </c>
      <c r="BS87" s="24" cm="1">
        <f t="array" ref="BS87">1+$B$14+VLOOKUP($R87,武学奇术!$A:$ZZ,20,FALSE)+SUM(_xlfn.XLOOKUP($S87:$AL87,增益!$A:$A,增益!$T:$T,0))</f>
        <v>1.35</v>
      </c>
      <c r="BT87" s="24">
        <f t="shared" si="22"/>
        <v>0.9036</v>
      </c>
      <c r="BU87" s="24">
        <f t="shared" si="23"/>
        <v>0.00350000000000006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0.11</v>
      </c>
      <c r="BX87" s="24" cm="1">
        <f t="array" ref="BX87">SUM(_xlfn.XLOOKUP($S87:$AL87,增益!$A:$A,增益!$X:$X,0))</f>
        <v>0</v>
      </c>
    </row>
    <row r="88" spans="1:76">
      <c r="A88" s="4"/>
      <c r="B88" s="91"/>
      <c r="K88">
        <f>$L88*VLOOKUP($R88,武学奇术!$A:$ZZ,31,FALSE)</f>
        <v>25022.3027616065</v>
      </c>
      <c r="L88" s="36">
        <f t="shared" si="25"/>
        <v>25022.3027616065</v>
      </c>
      <c r="M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BQ88*$Q88*(1+IF(VLOOKUP($R88,武学奇术!$A:$ZZ,30,FALSE)="蓄力技",$B$21,0))*(1+$BW88)</f>
        <v>25225.8185475862</v>
      </c>
      <c r="N88" s="36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蓄力技",$B$21,0))*(1+$BW88)</f>
        <v>23406.001438577</v>
      </c>
      <c r="O88" s="36">
        <f>((($AT88+($AU88-$AT88)*IF(VLOOKUP($R88,武学奇术!$A:$ZZ,31,FALSE)=1,$F$18,0.5))*$AN88+$AO88)*(1+$AV88)*(1+$AW88)+(($AY88+($AZ88-$AY88)*IF(VLOOKUP($R88,武学奇术!$A:$ZZ,31,FALSE)=1,$F$18,0.5))*IF($G$1="鸣金",$AP88,$AN88)+IF($G$1="鸣金",$AQ88*1.5,0))*(1+$BA88)*(1+$BB88)+(($BC88+($BD88-$BC88)*IF(VLOOKUP($R88,武学奇术!$A:$ZZ,31,FALSE)=1,$F$18,0.5))*IF($G$1="裂石",$AP88,$AN88)+IF($G$1="裂石",$AQ88*1.5,0))*(1+$BE88)*(1+$BF88)+(($BG88+($BH88-$BG88)*IF(VLOOKUP($R88,武学奇术!$A:$ZZ,31,FALSE)=1,$F$18,0.5))*IF($G$1="牵丝",$AP88,$AN88)+IF($G$1="牵丝",$AQ88*1.5,0))*(1+$BI88)*(1+$BJ88)+(($BK88+($BL88-$BK88)*IF(VLOOKUP($R88,武学奇术!$A:$ZZ,31,FALSE)=1,$F$18,0.5))*IF($G$1="破竹",$AP88,$AN88)+IF($G$1="破竹",$AQ88*1.5,0))*(1+$BM88)*(1+$BN88))*(1+$AR88)*$Q88*(1+IF(VLOOKUP($R88,武学奇术!$A:$ZZ,30,FALSE)="蓄力技",$B$21,0))*(1+$BW88)</f>
        <v>15381.5966753575</v>
      </c>
      <c r="P88" s="36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蓄力技",$B$21,0))*(1+$BW88)</f>
        <v>13425.4145073246</v>
      </c>
      <c r="Q88" s="37">
        <v>1</v>
      </c>
      <c r="R88" s="38" t="s">
        <v>122</v>
      </c>
      <c r="S88" s="38" t="s">
        <v>101</v>
      </c>
      <c r="T88" s="38" t="s">
        <v>79</v>
      </c>
      <c r="U88" s="38" t="s">
        <v>79</v>
      </c>
      <c r="V88" s="38" t="s">
        <v>79</v>
      </c>
      <c r="W88" s="38" t="s">
        <v>79</v>
      </c>
      <c r="X88" s="38" t="s">
        <v>79</v>
      </c>
      <c r="Y88" s="38" t="s">
        <v>173</v>
      </c>
      <c r="Z88" s="38" t="s">
        <v>79</v>
      </c>
      <c r="AA88" s="38" t="s">
        <v>79</v>
      </c>
      <c r="AB88" s="38" t="s">
        <v>79</v>
      </c>
      <c r="AC88" s="38" t="s">
        <v>79</v>
      </c>
      <c r="AD88" s="38" t="s">
        <v>79</v>
      </c>
      <c r="AE88" s="38" t="s">
        <v>79</v>
      </c>
      <c r="AF88" s="38" t="s">
        <v>84</v>
      </c>
      <c r="AG88" s="38" t="s">
        <v>85</v>
      </c>
      <c r="AH88" s="38" t="s">
        <v>79</v>
      </c>
      <c r="AI88" s="38" t="s">
        <v>79</v>
      </c>
      <c r="AJ88" s="38" t="s">
        <v>79</v>
      </c>
      <c r="AK88" s="38" t="s">
        <v>79</v>
      </c>
      <c r="AL88" s="38" t="s">
        <v>79</v>
      </c>
      <c r="AM88" t="str">
        <f>VLOOKUP($R88,武学奇术!$A:$ZZ,25,FALSE)</f>
        <v>拳甲</v>
      </c>
      <c r="AN88" s="24">
        <f>VLOOKUP($R88,武学奇术!$A:$ZZ,26,FALSE)</f>
        <v>1.2876</v>
      </c>
      <c r="AO88" s="25">
        <f>VLOOKUP($R88,武学奇术!$A:$ZZ,27,FALSE)*(1+IF(OR($AM88=$F$4,$AM88=$F$5),$B$22,0))</f>
        <v>537</v>
      </c>
      <c r="AP88" s="24">
        <f>VLOOKUP($R88,武学奇术!$A:$ZZ,28,FALSE)</f>
        <v>1.9313</v>
      </c>
      <c r="AQ88" s="25">
        <f>VLOOKUP($R88,武学奇术!$A:$ZZ,29,FALSE)*(1+IF(OR($AM88=$F$4,$AM88=$F$5),$B$22,0))</f>
        <v>292.5</v>
      </c>
      <c r="AR88" s="24" cm="1">
        <f t="array" ref="AR88">$G$3+IFERROR(VLOOKUP($AM88,$F$4:$G$7,2,FALSE),0)+VLOOKUP($R88,武学奇术!$A:$ZZ,2,FALSE)+SUM(_xlfn.XLOOKUP($S88:$AL88,增益!$A:$A,增益!$B:$B,0))</f>
        <v>0.3141</v>
      </c>
      <c r="AS88" s="24" cm="1">
        <f t="array" ref="AS88">VLOOKUP($R88,武学奇术!$A:$ZZ,5,FALSE)+SUM(_xlfn.XLOOKUP($S88:$AL88,增益!$A:$A,增益!$E:$E,0))</f>
        <v>0</v>
      </c>
      <c r="AT88" cm="1">
        <f t="array" ref="AT88">$D$10*(1+$AS88)+VLOOKUP($R88,武学奇术!$A:$ZZ,3,FALSE)+SUM(_xlfn.XLOOKUP($S88:$AL88,增益!$A:$A,增益!$C:$C,0))-$I$2</f>
        <v>3839.102</v>
      </c>
      <c r="AU88" cm="1">
        <f t="array" ref="AU88">$E$10*(1+$AS88)+VLOOKUP($R88,武学奇术!$A:$ZZ,4,FALSE)+SUM(_xlfn.XLOOKUP($S88:$AL88,增益!$A:$A,增益!$D:$D,0))-$I$2</f>
        <v>3839.102</v>
      </c>
      <c r="AV88" s="30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0.207</v>
      </c>
      <c r="AW88" s="30" cm="1">
        <f t="array" ref="AW88">$G$10+VLOOKUP($R88,武学奇术!$A:$ZZ,7,FALSE)+SUM(_xlfn.XLOOKUP($S88:$AL88,增益!$A:$A,增益!$G:$G,0))</f>
        <v>0.09</v>
      </c>
      <c r="AX88" s="24" cm="1">
        <f t="array" ref="AX88">VLOOKUP($R88,武学奇术!$A:$ZZ,8,FALSE)+SUM(_xlfn.XLOOKUP($S88:$AL88,增益!$A:$A,增益!$H:$H,0))</f>
        <v>0</v>
      </c>
      <c r="AY88">
        <f t="shared" si="14"/>
        <v>0</v>
      </c>
      <c r="AZ88">
        <f t="shared" si="15"/>
        <v>0</v>
      </c>
      <c r="BA88" s="30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0" cm="1">
        <f t="array" ref="BB88">$G$11+VLOOKUP($R88,武学奇术!$A:$ZZ,10,FALSE)+SUM(_xlfn.XLOOKUP($S88:$AL88,增益!$A:$A,增益!$J:$J,0))</f>
        <v>0</v>
      </c>
      <c r="BC88">
        <f t="shared" si="16"/>
        <v>0</v>
      </c>
      <c r="BD88">
        <f t="shared" si="17"/>
        <v>0</v>
      </c>
      <c r="BE88" s="30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0" cm="1">
        <f t="array" ref="BF88">$G$12+VLOOKUP($R88,武学奇术!$A:$ZZ,12,FALSE)+SUM(_xlfn.XLOOKUP($S88:$AL88,增益!$A:$A,增益!$L:$L,0))</f>
        <v>0</v>
      </c>
      <c r="BG88">
        <f t="shared" si="18"/>
        <v>0</v>
      </c>
      <c r="BH88">
        <f t="shared" si="19"/>
        <v>0</v>
      </c>
      <c r="BI88" s="30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-0.3</v>
      </c>
      <c r="BJ88" s="30" cm="1">
        <f t="array" ref="BJ88">$G$13+VLOOKUP($R88,武学奇术!$A:$ZZ,14,FALSE)+SUM(_xlfn.XLOOKUP($S88:$AL88,增益!$A:$A,增益!$N:$N,0))</f>
        <v>0</v>
      </c>
      <c r="BK88">
        <f t="shared" si="20"/>
        <v>605.472</v>
      </c>
      <c r="BL88">
        <f t="shared" si="21"/>
        <v>1725.468</v>
      </c>
      <c r="BM88" s="30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0</v>
      </c>
      <c r="BN88" s="30" cm="1">
        <f t="array" ref="BN88">$G$14+VLOOKUP($R88,武学奇术!$A:$ZZ,16,FALSE)+SUM(_xlfn.XLOOKUP($S88:$AL88,增益!$A:$A,增益!$P:$P,0))</f>
        <v>0.24</v>
      </c>
      <c r="BO88" s="24">
        <f>MIN(IF(VLOOKUP($R88,武学奇术!$A:$ZZ,23,FALSE)=1,100%,$B$8),100%)</f>
        <v>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+MIN(IF(VLOOKUP($R88,武学奇术!$A:$ZZ,32,FALSE)=1,IF(VLOOKUP($R88,武学奇术!$A:$ZZ,24,FALSE)=1,100%,MIN(40%,$B$10+VLOOKUP($R88,武学奇术!$A:$ZZ,19,FALSE)+SUM(_xlfn.XLOOKUP($S88:$AL88,增益!$A:$A,增益!$S:$S,0)))+$B$12+SUM(_xlfn.XLOOKUP($S88:$AL88,增益!$A:$A,增益!$V:$V,0))),0),12%)</f>
        <v>0.9036</v>
      </c>
      <c r="BQ88" s="24" cm="1">
        <f t="array" ref="BQ88">1+$B$13+VLOOKUP($R88,武学奇术!$A:$ZZ,18,FALSE)+SUM(_xlfn.XLOOKUP($S88:$AL88,增益!$A:$A,增益!$R:$R,0))</f>
        <v>1.64</v>
      </c>
      <c r="BR88" s="24" cm="1">
        <f t="array" ref="BR88">MAX(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-IF(VLOOKUP($R88,武学奇术!$A:$ZZ,32,FALSE)=1,12%,0),0)</f>
        <v>0.0929</v>
      </c>
      <c r="BS88" s="24" cm="1">
        <f t="array" ref="BS88">1+$B$14+VLOOKUP($R88,武学奇术!$A:$ZZ,20,FALSE)+SUM(_xlfn.XLOOKUP($S88:$AL88,增益!$A:$A,增益!$T:$T,0))</f>
        <v>1.35</v>
      </c>
      <c r="BT88" s="24">
        <f t="shared" si="22"/>
        <v>0.9036</v>
      </c>
      <c r="BU88" s="24">
        <f t="shared" si="23"/>
        <v>0.00350000000000006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0.11</v>
      </c>
      <c r="BX88" s="24" cm="1">
        <f t="array" ref="BX88">SUM(_xlfn.XLOOKUP($S88:$AL88,增益!$A:$A,增益!$X:$X,0))</f>
        <v>0</v>
      </c>
    </row>
    <row r="89" spans="1:76">
      <c r="A89" s="4"/>
      <c r="B89" s="4"/>
      <c r="K89">
        <f>$L89*VLOOKUP($R89,武学奇术!$A:$ZZ,31,FALSE)</f>
        <v>87552.6628937658</v>
      </c>
      <c r="L89" s="36">
        <f t="shared" si="25"/>
        <v>67348.2022259737</v>
      </c>
      <c r="M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BQ89*$Q89*(1+IF(VLOOKUP($R89,武学奇术!$A:$ZZ,30,FALSE)="蓄力技",$B$21,0))*(1+$BW89)</f>
        <v>68767.6151870981</v>
      </c>
      <c r="N89" s="36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蓄力技",$B$21,0))*(1+$BW89)</f>
        <v>54744.0243033421</v>
      </c>
      <c r="O89" s="36">
        <f>((($AT89+($AU89-$AT89)*IF(VLOOKUP($R89,武学奇术!$A:$ZZ,31,FALSE)=1,$F$18,0.5))*$AN89+$AO89)*(1+$AV89)*(1+$AW89)+(($AY89+($AZ89-$AY89)*IF(VLOOKUP($R89,武学奇术!$A:$ZZ,31,FALSE)=1,$F$18,0.5))*IF($G$1="鸣金",$AP89,$AN89)+IF($G$1="鸣金",$AQ89*1.5,0))*(1+$BA89)*(1+$BB89)+(($BC89+($BD89-$BC89)*IF(VLOOKUP($R89,武学奇术!$A:$ZZ,31,FALSE)=1,$F$18,0.5))*IF($G$1="裂石",$AP89,$AN89)+IF($G$1="裂石",$AQ89*1.5,0))*(1+$BE89)*(1+$BF89)+(($BG89+($BH89-$BG89)*IF(VLOOKUP($R89,武学奇术!$A:$ZZ,31,FALSE)=1,$F$18,0.5))*IF($G$1="牵丝",$AP89,$AN89)+IF($G$1="牵丝",$AQ89*1.5,0))*(1+$BI89)*(1+$BJ89)+(($BK89+($BL89-$BK89)*IF(VLOOKUP($R89,武学奇术!$A:$ZZ,31,FALSE)=1,$F$18,0.5))*IF($G$1="破竹",$AP89,$AN89)+IF($G$1="破竹",$AQ89*1.5,0))*(1+$BM89)*(1+$BN89))*(1+$AR89)*$Q89*(1+IF(VLOOKUP($R89,武学奇术!$A:$ZZ,30,FALSE)="蓄力技",$B$21,0))*(1+$BW89)</f>
        <v>35447.2243232465</v>
      </c>
      <c r="P89" s="36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蓄力技",$B$21,0))*(1+$BW89)</f>
        <v>30343.3195329062</v>
      </c>
      <c r="Q89" s="37">
        <v>1</v>
      </c>
      <c r="R89" s="38" t="s">
        <v>124</v>
      </c>
      <c r="S89" s="38" t="s">
        <v>104</v>
      </c>
      <c r="T89" s="38" t="s">
        <v>79</v>
      </c>
      <c r="U89" s="38" t="s">
        <v>79</v>
      </c>
      <c r="V89" s="38" t="s">
        <v>79</v>
      </c>
      <c r="W89" s="38" t="s">
        <v>79</v>
      </c>
      <c r="X89" s="38" t="s">
        <v>79</v>
      </c>
      <c r="Y89" s="38" t="s">
        <v>173</v>
      </c>
      <c r="Z89" s="38" t="s">
        <v>79</v>
      </c>
      <c r="AA89" s="38" t="s">
        <v>112</v>
      </c>
      <c r="AB89" s="38" t="s">
        <v>79</v>
      </c>
      <c r="AC89" s="38" t="s">
        <v>79</v>
      </c>
      <c r="AD89" s="38" t="s">
        <v>79</v>
      </c>
      <c r="AE89" s="38" t="s">
        <v>79</v>
      </c>
      <c r="AF89" s="38" t="s">
        <v>84</v>
      </c>
      <c r="AG89" s="38" t="s">
        <v>85</v>
      </c>
      <c r="AH89" s="38" t="s">
        <v>79</v>
      </c>
      <c r="AI89" s="38" t="s">
        <v>79</v>
      </c>
      <c r="AJ89" s="38" t="s">
        <v>79</v>
      </c>
      <c r="AK89" s="38" t="s">
        <v>79</v>
      </c>
      <c r="AL89" s="38" t="s">
        <v>79</v>
      </c>
      <c r="AM89" t="str">
        <f>VLOOKUP($R89,武学奇术!$A:$ZZ,25,FALSE)</f>
        <v>拳甲</v>
      </c>
      <c r="AN89" s="24">
        <f>VLOOKUP($R89,武学奇术!$A:$ZZ,26,FALSE)</f>
        <v>2.638944</v>
      </c>
      <c r="AO89" s="25">
        <f>VLOOKUP($R89,武学奇术!$A:$ZZ,27,FALSE)*(1+IF(OR($AM89=$F$4,$AM89=$F$5),$B$22,0))</f>
        <v>0</v>
      </c>
      <c r="AP89" s="24">
        <f>VLOOKUP($R89,武学奇术!$A:$ZZ,28,FALSE)</f>
        <v>3.958416</v>
      </c>
      <c r="AQ89" s="25">
        <f>VLOOKUP($R89,武学奇术!$A:$ZZ,29,FALSE)*(1+IF(OR($AM89=$F$4,$AM89=$F$5),$B$22,0))</f>
        <v>0</v>
      </c>
      <c r="AR89" s="24" cm="1">
        <f t="array" ref="AR89">$G$3+IFERROR(VLOOKUP($AM89,$F$4:$G$7,2,FALSE),0)+VLOOKUP($R89,武学奇术!$A:$ZZ,2,FALSE)+SUM(_xlfn.XLOOKUP($S89:$AL89,增益!$A:$A,增益!$B:$B,0))</f>
        <v>0.6241</v>
      </c>
      <c r="AS89" s="24" cm="1">
        <f t="array" ref="AS89">VLOOKUP($R89,武学奇术!$A:$ZZ,5,FALSE)+SUM(_xlfn.XLOOKUP($S89:$AL89,增益!$A:$A,增益!$E:$E,0))</f>
        <v>0</v>
      </c>
      <c r="AT89" cm="1">
        <f t="array" ref="AT89">$D$10*(1+$AS89)+VLOOKUP($R89,武学奇术!$A:$ZZ,3,FALSE)+SUM(_xlfn.XLOOKUP($S89:$AL89,增益!$A:$A,增益!$C:$C,0))-$I$2</f>
        <v>3839.102</v>
      </c>
      <c r="AU89" cm="1">
        <f t="array" ref="AU89">$E$10*(1+$AS89)+VLOOKUP($R89,武学奇术!$A:$ZZ,4,FALSE)+SUM(_xlfn.XLOOKUP($S89:$AL89,增益!$A:$A,增益!$D:$D,0))-$I$2</f>
        <v>3839.102</v>
      </c>
      <c r="AV89" s="30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0.247</v>
      </c>
      <c r="AW89" s="30" cm="1">
        <f t="array" ref="AW89">$G$10+VLOOKUP($R89,武学奇术!$A:$ZZ,7,FALSE)+SUM(_xlfn.XLOOKUP($S89:$AL89,增益!$A:$A,增益!$G:$G,0))</f>
        <v>0.09</v>
      </c>
      <c r="AX89" s="24" cm="1">
        <f t="array" ref="AX89">VLOOKUP($R89,武学奇术!$A:$ZZ,8,FALSE)+SUM(_xlfn.XLOOKUP($S89:$AL89,增益!$A:$A,增益!$H:$H,0))</f>
        <v>0</v>
      </c>
      <c r="AY89">
        <f t="shared" si="14"/>
        <v>0</v>
      </c>
      <c r="AZ89">
        <f t="shared" si="15"/>
        <v>0</v>
      </c>
      <c r="BA89" s="30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-0.24</v>
      </c>
      <c r="BB89" s="30" cm="1">
        <f t="array" ref="BB89">$G$11+VLOOKUP($R89,武学奇术!$A:$ZZ,10,FALSE)+SUM(_xlfn.XLOOKUP($S89:$AL89,增益!$A:$A,增益!$J:$J,0))</f>
        <v>0</v>
      </c>
      <c r="BC89">
        <f t="shared" si="16"/>
        <v>0</v>
      </c>
      <c r="BD89">
        <f t="shared" si="17"/>
        <v>0</v>
      </c>
      <c r="BE89" s="30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-0.24</v>
      </c>
      <c r="BF89" s="30" cm="1">
        <f t="array" ref="BF89">$G$12+VLOOKUP($R89,武学奇术!$A:$ZZ,12,FALSE)+SUM(_xlfn.XLOOKUP($S89:$AL89,增益!$A:$A,增益!$L:$L,0))</f>
        <v>0</v>
      </c>
      <c r="BG89">
        <f t="shared" si="18"/>
        <v>0</v>
      </c>
      <c r="BH89">
        <f t="shared" si="19"/>
        <v>0</v>
      </c>
      <c r="BI89" s="30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-0.24</v>
      </c>
      <c r="BJ89" s="30" cm="1">
        <f t="array" ref="BJ89">$G$13+VLOOKUP($R89,武学奇术!$A:$ZZ,14,FALSE)+SUM(_xlfn.XLOOKUP($S89:$AL89,增益!$A:$A,增益!$N:$N,0))</f>
        <v>0</v>
      </c>
      <c r="BK89">
        <f t="shared" si="20"/>
        <v>605.472</v>
      </c>
      <c r="BL89">
        <f t="shared" si="21"/>
        <v>1725.468</v>
      </c>
      <c r="BM89" s="30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0.03</v>
      </c>
      <c r="BN89" s="30" cm="1">
        <f t="array" ref="BN89">$G$14+VLOOKUP($R89,武学奇术!$A:$ZZ,16,FALSE)+SUM(_xlfn.XLOOKUP($S89:$AL89,增益!$A:$A,增益!$P:$P,0))</f>
        <v>0.24</v>
      </c>
      <c r="BO89" s="24">
        <f>MIN(IF(VLOOKUP($R89,武学奇术!$A:$ZZ,23,FALSE)=1,100%,$B$8),100%)</f>
        <v>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+MIN(IF(VLOOKUP($R89,武学奇术!$A:$ZZ,32,FALSE)=1,IF(VLOOKUP($R89,武学奇术!$A:$ZZ,24,FALSE)=1,100%,MIN(40%,$B$10+VLOOKUP($R89,武学奇术!$A:$ZZ,19,FALSE)+SUM(_xlfn.XLOOKUP($S89:$AL89,增益!$A:$A,增益!$S:$S,0)))+$B$12+SUM(_xlfn.XLOOKUP($S89:$AL89,增益!$A:$A,增益!$V:$V,0))),0),12%)</f>
        <v>0.9036</v>
      </c>
      <c r="BQ89" s="24" cm="1">
        <f t="array" ref="BQ89">1+$B$13+VLOOKUP($R89,武学奇术!$A:$ZZ,18,FALSE)+SUM(_xlfn.XLOOKUP($S89:$AL89,增益!$A:$A,增益!$R:$R,0))</f>
        <v>1.94</v>
      </c>
      <c r="BR89" s="24" cm="1">
        <f t="array" ref="BR89">MAX(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-IF(VLOOKUP($R89,武学奇术!$A:$ZZ,32,FALSE)=1,12%,0),0)</f>
        <v>0.0929</v>
      </c>
      <c r="BS89" s="24" cm="1">
        <f t="array" ref="BS89">1+$B$14+VLOOKUP($R89,武学奇术!$A:$ZZ,20,FALSE)+SUM(_xlfn.XLOOKUP($S89:$AL89,增益!$A:$A,增益!$T:$T,0))</f>
        <v>1.35</v>
      </c>
      <c r="BT89" s="24">
        <f t="shared" si="22"/>
        <v>0.9036</v>
      </c>
      <c r="BU89" s="24">
        <f t="shared" si="23"/>
        <v>0.00350000000000006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0.11</v>
      </c>
      <c r="BX89" s="24" cm="1">
        <f t="array" ref="BX89">SUM(_xlfn.XLOOKUP($S89:$AL89,增益!$A:$A,增益!$X:$X,0))</f>
        <v>0</v>
      </c>
    </row>
    <row r="90" spans="1:76">
      <c r="A90" s="4"/>
      <c r="B90" s="4"/>
      <c r="K90">
        <f>$L90*VLOOKUP($R90,武学奇术!$A:$ZZ,31,FALSE)</f>
        <v>106165.012094749</v>
      </c>
      <c r="L90" s="36">
        <f t="shared" si="25"/>
        <v>81665.3939190378</v>
      </c>
      <c r="M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BQ90*$Q90*(1+IF(VLOOKUP($R90,武学奇术!$A:$ZZ,30,FALSE)="蓄力技",$B$21,0))*(1+$BW90)</f>
        <v>83536.8281618431</v>
      </c>
      <c r="N90" s="36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蓄力技",$B$21,0))*(1+$BW90)</f>
        <v>64917.1713621041</v>
      </c>
      <c r="O90" s="36">
        <f>((($AT90+($AU90-$AT90)*IF(VLOOKUP($R90,武学奇术!$A:$ZZ,31,FALSE)=1,$F$18,0.5))*$AN90+$AO90)*(1+$AV90)*(1+$AW90)+(($AY90+($AZ90-$AY90)*IF(VLOOKUP($R90,武学奇术!$A:$ZZ,31,FALSE)=1,$F$18,0.5))*IF($G$1="鸣金",$AP90,$AN90)+IF($G$1="鸣金",$AQ90*1.5,0))*(1+$BA90)*(1+$BB90)+(($BC90+($BD90-$BC90)*IF(VLOOKUP($R90,武学奇术!$A:$ZZ,31,FALSE)=1,$F$18,0.5))*IF($G$1="裂石",$AP90,$AN90)+IF($G$1="裂石",$AQ90*1.5,0))*(1+$BE90)*(1+$BF90)+(($BG90+($BH90-$BG90)*IF(VLOOKUP($R90,武学奇术!$A:$ZZ,31,FALSE)=1,$F$18,0.5))*IF($G$1="牵丝",$AP90,$AN90)+IF($G$1="牵丝",$AQ90*1.5,0))*(1+$BI90)*(1+$BJ90)+(($BK90+($BL90-$BK90)*IF(VLOOKUP($R90,武学奇术!$A:$ZZ,31,FALSE)=1,$F$18,0.5))*IF($G$1="破竹",$AP90,$AN90)+IF($G$1="破竹",$AQ90*1.5,0))*(1+$BM90)*(1+$BN90))*(1+$AR90)*$Q90*(1+IF(VLOOKUP($R90,武学奇术!$A:$ZZ,30,FALSE)="蓄力技",$B$21,0))*(1+$BW90)</f>
        <v>43060.220701981</v>
      </c>
      <c r="P90" s="36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蓄力技",$B$21,0))*(1+$BW90)</f>
        <v>38033.6478024034</v>
      </c>
      <c r="Q90" s="37">
        <v>1</v>
      </c>
      <c r="R90" s="38" t="s">
        <v>119</v>
      </c>
      <c r="S90" s="38" t="s">
        <v>104</v>
      </c>
      <c r="T90" s="38" t="s">
        <v>79</v>
      </c>
      <c r="U90" s="38" t="s">
        <v>79</v>
      </c>
      <c r="V90" s="38" t="s">
        <v>79</v>
      </c>
      <c r="W90" s="38" t="s">
        <v>79</v>
      </c>
      <c r="X90" s="38" t="s">
        <v>79</v>
      </c>
      <c r="Y90" s="38" t="s">
        <v>173</v>
      </c>
      <c r="Z90" s="38" t="s">
        <v>79</v>
      </c>
      <c r="AA90" s="38" t="s">
        <v>112</v>
      </c>
      <c r="AB90" s="38" t="s">
        <v>79</v>
      </c>
      <c r="AC90" s="38" t="s">
        <v>79</v>
      </c>
      <c r="AD90" s="38" t="s">
        <v>79</v>
      </c>
      <c r="AE90" s="38" t="s">
        <v>79</v>
      </c>
      <c r="AF90" s="38" t="s">
        <v>84</v>
      </c>
      <c r="AG90" s="38" t="s">
        <v>85</v>
      </c>
      <c r="AH90" s="38" t="s">
        <v>79</v>
      </c>
      <c r="AI90" s="38" t="s">
        <v>79</v>
      </c>
      <c r="AJ90" s="38" t="s">
        <v>79</v>
      </c>
      <c r="AK90" s="38" t="s">
        <v>79</v>
      </c>
      <c r="AL90" s="38" t="s">
        <v>79</v>
      </c>
      <c r="AM90" t="str">
        <f>VLOOKUP($R90,武学奇术!$A:$ZZ,25,FALSE)</f>
        <v>拳甲</v>
      </c>
      <c r="AN90" s="24">
        <f>VLOOKUP($R90,武学奇术!$A:$ZZ,26,FALSE)</f>
        <v>2.91176</v>
      </c>
      <c r="AO90" s="25">
        <f>VLOOKUP($R90,武学奇术!$A:$ZZ,27,FALSE)*(1+IF(OR($AM90=$F$4,$AM90=$F$5),$B$22,0))</f>
        <v>1208.7</v>
      </c>
      <c r="AP90" s="24">
        <f>VLOOKUP($R90,武学奇术!$A:$ZZ,28,FALSE)</f>
        <v>3.89844</v>
      </c>
      <c r="AQ90" s="25">
        <f>VLOOKUP($R90,武学奇术!$A:$ZZ,29,FALSE)*(1+IF(OR($AM90=$F$4,$AM90=$F$5),$B$22,0))</f>
        <v>650.25</v>
      </c>
      <c r="AR90" s="24" cm="1">
        <f t="array" ref="AR90">$G$3+IFERROR(VLOOKUP($AM90,$F$4:$G$7,2,FALSE),0)+VLOOKUP($R90,武学奇术!$A:$ZZ,2,FALSE)+SUM(_xlfn.XLOOKUP($S90:$AL90,增益!$A:$A,增益!$B:$B,0))</f>
        <v>0.6241</v>
      </c>
      <c r="AS90" s="24" cm="1">
        <f t="array" ref="AS90">VLOOKUP($R90,武学奇术!$A:$ZZ,5,FALSE)+SUM(_xlfn.XLOOKUP($S90:$AL90,增益!$A:$A,增益!$E:$E,0))</f>
        <v>0</v>
      </c>
      <c r="AT90" cm="1">
        <f t="array" ref="AT90">$D$10*(1+$AS90)+VLOOKUP($R90,武学奇术!$A:$ZZ,3,FALSE)+SUM(_xlfn.XLOOKUP($S90:$AL90,增益!$A:$A,增益!$C:$C,0))-$I$2</f>
        <v>3839.102</v>
      </c>
      <c r="AU90" cm="1">
        <f t="array" ref="AU90">$E$10*(1+$AS90)+VLOOKUP($R90,武学奇术!$A:$ZZ,4,FALSE)+SUM(_xlfn.XLOOKUP($S90:$AL90,增益!$A:$A,增益!$D:$D,0))-$I$2</f>
        <v>3839.102</v>
      </c>
      <c r="AV90" s="30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0.247</v>
      </c>
      <c r="AW90" s="30" cm="1">
        <f t="array" ref="AW90">$G$10+VLOOKUP($R90,武学奇术!$A:$ZZ,7,FALSE)+SUM(_xlfn.XLOOKUP($S90:$AL90,增益!$A:$A,增益!$G:$G,0))</f>
        <v>0.09</v>
      </c>
      <c r="AX90" s="24" cm="1">
        <f t="array" ref="AX90">VLOOKUP($R90,武学奇术!$A:$ZZ,8,FALSE)+SUM(_xlfn.XLOOKUP($S90:$AL90,增益!$A:$A,增益!$H:$H,0))</f>
        <v>0</v>
      </c>
      <c r="AY90">
        <f t="shared" si="14"/>
        <v>0</v>
      </c>
      <c r="AZ90">
        <f t="shared" si="15"/>
        <v>0</v>
      </c>
      <c r="BA90" s="30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-0.24</v>
      </c>
      <c r="BB90" s="30" cm="1">
        <f t="array" ref="BB90">$G$11+VLOOKUP($R90,武学奇术!$A:$ZZ,10,FALSE)+SUM(_xlfn.XLOOKUP($S90:$AL90,增益!$A:$A,增益!$J:$J,0))</f>
        <v>0</v>
      </c>
      <c r="BC90">
        <f t="shared" si="16"/>
        <v>0</v>
      </c>
      <c r="BD90">
        <f t="shared" si="17"/>
        <v>0</v>
      </c>
      <c r="BE90" s="30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-0.24</v>
      </c>
      <c r="BF90" s="30" cm="1">
        <f t="array" ref="BF90">$G$12+VLOOKUP($R90,武学奇术!$A:$ZZ,12,FALSE)+SUM(_xlfn.XLOOKUP($S90:$AL90,增益!$A:$A,增益!$L:$L,0))</f>
        <v>0</v>
      </c>
      <c r="BG90">
        <f t="shared" si="18"/>
        <v>0</v>
      </c>
      <c r="BH90">
        <f t="shared" si="19"/>
        <v>0</v>
      </c>
      <c r="BI90" s="30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-0.24</v>
      </c>
      <c r="BJ90" s="30" cm="1">
        <f t="array" ref="BJ90">$G$13+VLOOKUP($R90,武学奇术!$A:$ZZ,14,FALSE)+SUM(_xlfn.XLOOKUP($S90:$AL90,增益!$A:$A,增益!$N:$N,0))</f>
        <v>0</v>
      </c>
      <c r="BK90">
        <f t="shared" si="20"/>
        <v>605.472</v>
      </c>
      <c r="BL90">
        <f t="shared" si="21"/>
        <v>1725.468</v>
      </c>
      <c r="BM90" s="30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0.03</v>
      </c>
      <c r="BN90" s="30" cm="1">
        <f t="array" ref="BN90">$G$14+VLOOKUP($R90,武学奇术!$A:$ZZ,16,FALSE)+SUM(_xlfn.XLOOKUP($S90:$AL90,增益!$A:$A,增益!$P:$P,0))</f>
        <v>0.24</v>
      </c>
      <c r="BO90" s="24">
        <f>MIN(IF(VLOOKUP($R90,武学奇术!$A:$ZZ,23,FALSE)=1,100%,$B$8),100%)</f>
        <v>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+MIN(IF(VLOOKUP($R90,武学奇术!$A:$ZZ,32,FALSE)=1,IF(VLOOKUP($R90,武学奇术!$A:$ZZ,24,FALSE)=1,100%,MIN(40%,$B$10+VLOOKUP($R90,武学奇术!$A:$ZZ,19,FALSE)+SUM(_xlfn.XLOOKUP($S90:$AL90,增益!$A:$A,增益!$S:$S,0)))+$B$12+SUM(_xlfn.XLOOKUP($S90:$AL90,增益!$A:$A,增益!$V:$V,0))),0),12%)</f>
        <v>0.9036</v>
      </c>
      <c r="BQ90" s="24" cm="1">
        <f t="array" ref="BQ90">1+$B$13+VLOOKUP($R90,武学奇术!$A:$ZZ,18,FALSE)+SUM(_xlfn.XLOOKUP($S90:$AL90,增益!$A:$A,增益!$R:$R,0))</f>
        <v>1.94</v>
      </c>
      <c r="BR90" s="24" cm="1">
        <f t="array" ref="BR90">MAX(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-IF(VLOOKUP($R90,武学奇术!$A:$ZZ,32,FALSE)=1,12%,0),0)</f>
        <v>0.0929</v>
      </c>
      <c r="BS90" s="24" cm="1">
        <f t="array" ref="BS90">1+$B$14+VLOOKUP($R90,武学奇术!$A:$ZZ,20,FALSE)+SUM(_xlfn.XLOOKUP($S90:$AL90,增益!$A:$A,增益!$T:$T,0))</f>
        <v>1.35</v>
      </c>
      <c r="BT90" s="24">
        <f t="shared" si="22"/>
        <v>0.9036</v>
      </c>
      <c r="BU90" s="24">
        <f t="shared" si="23"/>
        <v>0.00350000000000006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0.11</v>
      </c>
      <c r="BX90" s="24" cm="1">
        <f t="array" ref="BX90">SUM(_xlfn.XLOOKUP($S90:$AL90,增益!$A:$A,增益!$X:$X,0))</f>
        <v>0</v>
      </c>
    </row>
    <row r="91" spans="1:76">
      <c r="K91">
        <f>$L91*VLOOKUP($R91,武学奇术!$A:$ZZ,31,FALSE)</f>
        <v>25354.1383104499</v>
      </c>
      <c r="L91" s="36">
        <f t="shared" si="25"/>
        <v>25354.1383104499</v>
      </c>
      <c r="M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BQ91*$Q91*(1+IF(VLOOKUP($R91,武学奇术!$A:$ZZ,30,FALSE)="蓄力技",$B$21,0))*(1+$BW91)</f>
        <v>25561.7647454447</v>
      </c>
      <c r="N91" s="36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蓄力技",$B$21,0))*(1+$BW91)</f>
        <v>23702.6387486891</v>
      </c>
      <c r="O91" s="36">
        <f>((($AT91+($AU91-$AT91)*IF(VLOOKUP($R91,武学奇术!$A:$ZZ,31,FALSE)=1,$F$18,0.5))*$AN91+$AO91)*(1+$AV91)*(1+$AW91)+(($AY91+($AZ91-$AY91)*IF(VLOOKUP($R91,武学奇术!$A:$ZZ,31,FALSE)=1,$F$18,0.5))*IF($G$1="鸣金",$AP91,$AN91)+IF($G$1="鸣金",$AQ91*1.5,0))*(1+$BA91)*(1+$BB91)+(($BC91+($BD91-$BC91)*IF(VLOOKUP($R91,武学奇术!$A:$ZZ,31,FALSE)=1,$F$18,0.5))*IF($G$1="裂石",$AP91,$AN91)+IF($G$1="裂石",$AQ91*1.5,0))*(1+$BE91)*(1+$BF91)+(($BG91+($BH91-$BG91)*IF(VLOOKUP($R91,武学奇术!$A:$ZZ,31,FALSE)=1,$F$18,0.5))*IF($G$1="牵丝",$AP91,$AN91)+IF($G$1="牵丝",$AQ91*1.5,0))*(1+$BI91)*(1+$BJ91)+(($BK91+($BL91-$BK91)*IF(VLOOKUP($R91,武学奇术!$A:$ZZ,31,FALSE)=1,$F$18,0.5))*IF($G$1="破竹",$AP91,$AN91)+IF($G$1="破竹",$AQ91*1.5,0))*(1+$BM91)*(1+$BN91))*(1+$AR91)*$Q91*(1+IF(VLOOKUP($R91,武学奇术!$A:$ZZ,30,FALSE)="蓄力技",$B$21,0))*(1+$BW91)</f>
        <v>15586.4419179541</v>
      </c>
      <c r="P91" s="36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蓄力技",$B$21,0))*(1+$BW91)</f>
        <v>13615.373651694</v>
      </c>
      <c r="Q91" s="37">
        <v>1</v>
      </c>
      <c r="R91" s="38" t="s">
        <v>122</v>
      </c>
      <c r="S91" s="38" t="s">
        <v>104</v>
      </c>
      <c r="T91" s="38" t="s">
        <v>79</v>
      </c>
      <c r="U91" s="38" t="s">
        <v>79</v>
      </c>
      <c r="V91" s="38" t="s">
        <v>79</v>
      </c>
      <c r="W91" s="38" t="s">
        <v>79</v>
      </c>
      <c r="X91" s="38" t="s">
        <v>79</v>
      </c>
      <c r="Y91" s="38" t="s">
        <v>173</v>
      </c>
      <c r="Z91" s="38" t="s">
        <v>79</v>
      </c>
      <c r="AA91" s="38" t="s">
        <v>79</v>
      </c>
      <c r="AB91" s="38" t="s">
        <v>79</v>
      </c>
      <c r="AC91" s="38" t="s">
        <v>79</v>
      </c>
      <c r="AD91" s="38" t="s">
        <v>79</v>
      </c>
      <c r="AE91" s="38" t="s">
        <v>79</v>
      </c>
      <c r="AF91" s="38" t="s">
        <v>84</v>
      </c>
      <c r="AG91" s="38" t="s">
        <v>85</v>
      </c>
      <c r="AH91" s="38" t="s">
        <v>79</v>
      </c>
      <c r="AI91" s="38" t="s">
        <v>79</v>
      </c>
      <c r="AJ91" s="38" t="s">
        <v>79</v>
      </c>
      <c r="AK91" s="38" t="s">
        <v>79</v>
      </c>
      <c r="AL91" s="38" t="s">
        <v>79</v>
      </c>
      <c r="AM91" t="str">
        <f>VLOOKUP($R91,武学奇术!$A:$ZZ,25,FALSE)</f>
        <v>拳甲</v>
      </c>
      <c r="AN91" s="24">
        <f>VLOOKUP($R91,武学奇术!$A:$ZZ,26,FALSE)</f>
        <v>1.2876</v>
      </c>
      <c r="AO91" s="25">
        <f>VLOOKUP($R91,武学奇术!$A:$ZZ,27,FALSE)*(1+IF(OR($AM91=$F$4,$AM91=$F$5),$B$22,0))</f>
        <v>537</v>
      </c>
      <c r="AP91" s="24">
        <f>VLOOKUP($R91,武学奇术!$A:$ZZ,28,FALSE)</f>
        <v>1.9313</v>
      </c>
      <c r="AQ91" s="25">
        <f>VLOOKUP($R91,武学奇术!$A:$ZZ,29,FALSE)*(1+IF(OR($AM91=$F$4,$AM91=$F$5),$B$22,0))</f>
        <v>292.5</v>
      </c>
      <c r="AR91" s="24" cm="1">
        <f t="array" ref="AR91">$G$3+IFERROR(VLOOKUP($AM91,$F$4:$G$7,2,FALSE),0)+VLOOKUP($R91,武学奇术!$A:$ZZ,2,FALSE)+SUM(_xlfn.XLOOKUP($S91:$AL91,增益!$A:$A,增益!$B:$B,0))</f>
        <v>0.3241</v>
      </c>
      <c r="AS91" s="24" cm="1">
        <f t="array" ref="AS91">VLOOKUP($R91,武学奇术!$A:$ZZ,5,FALSE)+SUM(_xlfn.XLOOKUP($S91:$AL91,增益!$A:$A,增益!$E:$E,0))</f>
        <v>0</v>
      </c>
      <c r="AT91" cm="1">
        <f t="array" ref="AT91">$D$10*(1+$AS91)+VLOOKUP($R91,武学奇术!$A:$ZZ,3,FALSE)+SUM(_xlfn.XLOOKUP($S91:$AL91,增益!$A:$A,增益!$C:$C,0))-$I$2</f>
        <v>3839.102</v>
      </c>
      <c r="AU91" cm="1">
        <f t="array" ref="AU91">$E$10*(1+$AS91)+VLOOKUP($R91,武学奇术!$A:$ZZ,4,FALSE)+SUM(_xlfn.XLOOKUP($S91:$AL91,增益!$A:$A,增益!$D:$D,0))-$I$2</f>
        <v>3839.102</v>
      </c>
      <c r="AV91" s="30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0.217</v>
      </c>
      <c r="AW91" s="30" cm="1">
        <f t="array" ref="AW91">$G$10+VLOOKUP($R91,武学奇术!$A:$ZZ,7,FALSE)+SUM(_xlfn.XLOOKUP($S91:$AL91,增益!$A:$A,增益!$G:$G,0))</f>
        <v>0.09</v>
      </c>
      <c r="AX91" s="24" cm="1">
        <f t="array" ref="AX91">VLOOKUP($R91,武学奇术!$A:$ZZ,8,FALSE)+SUM(_xlfn.XLOOKUP($S91:$AL91,增益!$A:$A,增益!$H:$H,0))</f>
        <v>0</v>
      </c>
      <c r="AY91">
        <f t="shared" si="14"/>
        <v>0</v>
      </c>
      <c r="AZ91">
        <f t="shared" si="15"/>
        <v>0</v>
      </c>
      <c r="BA91" s="30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0" cm="1">
        <f t="array" ref="BB91">$G$11+VLOOKUP($R91,武学奇术!$A:$ZZ,10,FALSE)+SUM(_xlfn.XLOOKUP($S91:$AL91,增益!$A:$A,增益!$J:$J,0))</f>
        <v>0</v>
      </c>
      <c r="BC91">
        <f t="shared" si="16"/>
        <v>0</v>
      </c>
      <c r="BD91">
        <f t="shared" si="17"/>
        <v>0</v>
      </c>
      <c r="BE91" s="30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0" cm="1">
        <f t="array" ref="BF91">$G$12+VLOOKUP($R91,武学奇术!$A:$ZZ,12,FALSE)+SUM(_xlfn.XLOOKUP($S91:$AL91,增益!$A:$A,增益!$L:$L,0))</f>
        <v>0</v>
      </c>
      <c r="BG91">
        <f t="shared" si="18"/>
        <v>0</v>
      </c>
      <c r="BH91">
        <f t="shared" si="19"/>
        <v>0</v>
      </c>
      <c r="BI91" s="30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-0.3</v>
      </c>
      <c r="BJ91" s="30" cm="1">
        <f t="array" ref="BJ91">$G$13+VLOOKUP($R91,武学奇术!$A:$ZZ,14,FALSE)+SUM(_xlfn.XLOOKUP($S91:$AL91,增益!$A:$A,增益!$N:$N,0))</f>
        <v>0</v>
      </c>
      <c r="BK91">
        <f t="shared" si="20"/>
        <v>605.472</v>
      </c>
      <c r="BL91">
        <f t="shared" si="21"/>
        <v>1725.468</v>
      </c>
      <c r="BM91" s="30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0</v>
      </c>
      <c r="BN91" s="30" cm="1">
        <f t="array" ref="BN91">$G$14+VLOOKUP($R91,武学奇术!$A:$ZZ,16,FALSE)+SUM(_xlfn.XLOOKUP($S91:$AL91,增益!$A:$A,增益!$P:$P,0))</f>
        <v>0.24</v>
      </c>
      <c r="BO91" s="24">
        <f>MIN(IF(VLOOKUP($R91,武学奇术!$A:$ZZ,23,FALSE)=1,100%,$B$8),100%)</f>
        <v>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+MIN(IF(VLOOKUP($R91,武学奇术!$A:$ZZ,32,FALSE)=1,IF(VLOOKUP($R91,武学奇术!$A:$ZZ,24,FALSE)=1,100%,MIN(40%,$B$10+VLOOKUP($R91,武学奇术!$A:$ZZ,19,FALSE)+SUM(_xlfn.XLOOKUP($S91:$AL91,增益!$A:$A,增益!$S:$S,0)))+$B$12+SUM(_xlfn.XLOOKUP($S91:$AL91,增益!$A:$A,增益!$V:$V,0))),0),12%)</f>
        <v>0.9036</v>
      </c>
      <c r="BQ91" s="24" cm="1">
        <f t="array" ref="BQ91">1+$B$13+VLOOKUP($R91,武学奇术!$A:$ZZ,18,FALSE)+SUM(_xlfn.XLOOKUP($S91:$AL91,增益!$A:$A,增益!$R:$R,0))</f>
        <v>1.64</v>
      </c>
      <c r="BR91" s="24" cm="1">
        <f t="array" ref="BR91">MAX(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-IF(VLOOKUP($R91,武学奇术!$A:$ZZ,32,FALSE)=1,12%,0),0)</f>
        <v>0.0929</v>
      </c>
      <c r="BS91" s="24" cm="1">
        <f t="array" ref="BS91">1+$B$14+VLOOKUP($R91,武学奇术!$A:$ZZ,20,FALSE)+SUM(_xlfn.XLOOKUP($S91:$AL91,增益!$A:$A,增益!$T:$T,0))</f>
        <v>1.35</v>
      </c>
      <c r="BT91" s="24">
        <f t="shared" si="22"/>
        <v>0.9036</v>
      </c>
      <c r="BU91" s="24">
        <f t="shared" si="23"/>
        <v>0.00350000000000006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0.11</v>
      </c>
      <c r="BX91" s="24" cm="1">
        <f t="array" ref="BX91">SUM(_xlfn.XLOOKUP($S91:$AL91,增益!$A:$A,增益!$X:$X,0))</f>
        <v>0</v>
      </c>
    </row>
    <row r="92" spans="1:76">
      <c r="K92">
        <f>$L92*VLOOKUP($R92,武学奇术!$A:$ZZ,31,FALSE)</f>
        <v>87552.6628937658</v>
      </c>
      <c r="L92" s="36">
        <f t="shared" si="25"/>
        <v>67348.2022259737</v>
      </c>
      <c r="M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BQ92*$Q92*(1+IF(VLOOKUP($R92,武学奇术!$A:$ZZ,30,FALSE)="蓄力技",$B$21,0))*(1+$BW92)</f>
        <v>68767.6151870981</v>
      </c>
      <c r="N92" s="36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蓄力技",$B$21,0))*(1+$BW92)</f>
        <v>54744.0243033421</v>
      </c>
      <c r="O92" s="36">
        <f>((($AT92+($AU92-$AT92)*IF(VLOOKUP($R92,武学奇术!$A:$ZZ,31,FALSE)=1,$F$18,0.5))*$AN92+$AO92)*(1+$AV92)*(1+$AW92)+(($AY92+($AZ92-$AY92)*IF(VLOOKUP($R92,武学奇术!$A:$ZZ,31,FALSE)=1,$F$18,0.5))*IF($G$1="鸣金",$AP92,$AN92)+IF($G$1="鸣金",$AQ92*1.5,0))*(1+$BA92)*(1+$BB92)+(($BC92+($BD92-$BC92)*IF(VLOOKUP($R92,武学奇术!$A:$ZZ,31,FALSE)=1,$F$18,0.5))*IF($G$1="裂石",$AP92,$AN92)+IF($G$1="裂石",$AQ92*1.5,0))*(1+$BE92)*(1+$BF92)+(($BG92+($BH92-$BG92)*IF(VLOOKUP($R92,武学奇术!$A:$ZZ,31,FALSE)=1,$F$18,0.5))*IF($G$1="牵丝",$AP92,$AN92)+IF($G$1="牵丝",$AQ92*1.5,0))*(1+$BI92)*(1+$BJ92)+(($BK92+($BL92-$BK92)*IF(VLOOKUP($R92,武学奇术!$A:$ZZ,31,FALSE)=1,$F$18,0.5))*IF($G$1="破竹",$AP92,$AN92)+IF($G$1="破竹",$AQ92*1.5,0))*(1+$BM92)*(1+$BN92))*(1+$AR92)*$Q92*(1+IF(VLOOKUP($R92,武学奇术!$A:$ZZ,30,FALSE)="蓄力技",$B$21,0))*(1+$BW92)</f>
        <v>35447.2243232465</v>
      </c>
      <c r="P92" s="36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蓄力技",$B$21,0))*(1+$BW92)</f>
        <v>30343.3195329062</v>
      </c>
      <c r="Q92" s="37">
        <v>1</v>
      </c>
      <c r="R92" s="38" t="s">
        <v>124</v>
      </c>
      <c r="S92" s="38" t="s">
        <v>104</v>
      </c>
      <c r="T92" s="38" t="s">
        <v>79</v>
      </c>
      <c r="U92" s="38" t="s">
        <v>79</v>
      </c>
      <c r="V92" s="38" t="s">
        <v>79</v>
      </c>
      <c r="W92" s="38" t="s">
        <v>79</v>
      </c>
      <c r="X92" s="38" t="s">
        <v>79</v>
      </c>
      <c r="Y92" s="38" t="s">
        <v>173</v>
      </c>
      <c r="Z92" s="38" t="s">
        <v>79</v>
      </c>
      <c r="AA92" s="38" t="s">
        <v>112</v>
      </c>
      <c r="AB92" s="38" t="s">
        <v>79</v>
      </c>
      <c r="AC92" s="38" t="s">
        <v>79</v>
      </c>
      <c r="AD92" s="38" t="s">
        <v>79</v>
      </c>
      <c r="AE92" s="38" t="s">
        <v>79</v>
      </c>
      <c r="AF92" s="38" t="s">
        <v>84</v>
      </c>
      <c r="AG92" s="38" t="s">
        <v>85</v>
      </c>
      <c r="AH92" s="38" t="s">
        <v>79</v>
      </c>
      <c r="AI92" s="38" t="s">
        <v>79</v>
      </c>
      <c r="AJ92" s="38" t="s">
        <v>79</v>
      </c>
      <c r="AK92" s="38" t="s">
        <v>79</v>
      </c>
      <c r="AL92" s="38" t="s">
        <v>79</v>
      </c>
      <c r="AM92" t="str">
        <f>VLOOKUP($R92,武学奇术!$A:$ZZ,25,FALSE)</f>
        <v>拳甲</v>
      </c>
      <c r="AN92" s="24">
        <f>VLOOKUP($R92,武学奇术!$A:$ZZ,26,FALSE)</f>
        <v>2.638944</v>
      </c>
      <c r="AO92" s="25">
        <f>VLOOKUP($R92,武学奇术!$A:$ZZ,27,FALSE)*(1+IF(OR($AM92=$F$4,$AM92=$F$5),$B$22,0))</f>
        <v>0</v>
      </c>
      <c r="AP92" s="24">
        <f>VLOOKUP($R92,武学奇术!$A:$ZZ,28,FALSE)</f>
        <v>3.958416</v>
      </c>
      <c r="AQ92" s="25">
        <f>VLOOKUP($R92,武学奇术!$A:$ZZ,29,FALSE)*(1+IF(OR($AM92=$F$4,$AM92=$F$5),$B$22,0))</f>
        <v>0</v>
      </c>
      <c r="AR92" s="24" cm="1">
        <f t="array" ref="AR92">$G$3+IFERROR(VLOOKUP($AM92,$F$4:$G$7,2,FALSE),0)+VLOOKUP($R92,武学奇术!$A:$ZZ,2,FALSE)+SUM(_xlfn.XLOOKUP($S92:$AL92,增益!$A:$A,增益!$B:$B,0))</f>
        <v>0.6241</v>
      </c>
      <c r="AS92" s="24" cm="1">
        <f t="array" ref="AS92">VLOOKUP($R92,武学奇术!$A:$ZZ,5,FALSE)+SUM(_xlfn.XLOOKUP($S92:$AL92,增益!$A:$A,增益!$E:$E,0))</f>
        <v>0</v>
      </c>
      <c r="AT92" cm="1">
        <f t="array" ref="AT92">$D$10*(1+$AS92)+VLOOKUP($R92,武学奇术!$A:$ZZ,3,FALSE)+SUM(_xlfn.XLOOKUP($S92:$AL92,增益!$A:$A,增益!$C:$C,0))-$I$2</f>
        <v>3839.102</v>
      </c>
      <c r="AU92" cm="1">
        <f t="array" ref="AU92">$E$10*(1+$AS92)+VLOOKUP($R92,武学奇术!$A:$ZZ,4,FALSE)+SUM(_xlfn.XLOOKUP($S92:$AL92,增益!$A:$A,增益!$D:$D,0))-$I$2</f>
        <v>3839.102</v>
      </c>
      <c r="AV92" s="30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0.247</v>
      </c>
      <c r="AW92" s="30" cm="1">
        <f t="array" ref="AW92">$G$10+VLOOKUP($R92,武学奇术!$A:$ZZ,7,FALSE)+SUM(_xlfn.XLOOKUP($S92:$AL92,增益!$A:$A,增益!$G:$G,0))</f>
        <v>0.09</v>
      </c>
      <c r="AX92" s="24" cm="1">
        <f t="array" ref="AX92">VLOOKUP($R92,武学奇术!$A:$ZZ,8,FALSE)+SUM(_xlfn.XLOOKUP($S92:$AL92,增益!$A:$A,增益!$H:$H,0))</f>
        <v>0</v>
      </c>
      <c r="AY92">
        <f t="shared" si="14"/>
        <v>0</v>
      </c>
      <c r="AZ92">
        <f t="shared" si="15"/>
        <v>0</v>
      </c>
      <c r="BA92" s="30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-0.24</v>
      </c>
      <c r="BB92" s="30" cm="1">
        <f t="array" ref="BB92">$G$11+VLOOKUP($R92,武学奇术!$A:$ZZ,10,FALSE)+SUM(_xlfn.XLOOKUP($S92:$AL92,增益!$A:$A,增益!$J:$J,0))</f>
        <v>0</v>
      </c>
      <c r="BC92">
        <f t="shared" si="16"/>
        <v>0</v>
      </c>
      <c r="BD92">
        <f t="shared" si="17"/>
        <v>0</v>
      </c>
      <c r="BE92" s="30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-0.24</v>
      </c>
      <c r="BF92" s="30" cm="1">
        <f t="array" ref="BF92">$G$12+VLOOKUP($R92,武学奇术!$A:$ZZ,12,FALSE)+SUM(_xlfn.XLOOKUP($S92:$AL92,增益!$A:$A,增益!$L:$L,0))</f>
        <v>0</v>
      </c>
      <c r="BG92">
        <f t="shared" si="18"/>
        <v>0</v>
      </c>
      <c r="BH92">
        <f t="shared" si="19"/>
        <v>0</v>
      </c>
      <c r="BI92" s="30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-0.24</v>
      </c>
      <c r="BJ92" s="30" cm="1">
        <f t="array" ref="BJ92">$G$13+VLOOKUP($R92,武学奇术!$A:$ZZ,14,FALSE)+SUM(_xlfn.XLOOKUP($S92:$AL92,增益!$A:$A,增益!$N:$N,0))</f>
        <v>0</v>
      </c>
      <c r="BK92">
        <f t="shared" si="20"/>
        <v>605.472</v>
      </c>
      <c r="BL92">
        <f t="shared" si="21"/>
        <v>1725.468</v>
      </c>
      <c r="BM92" s="30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0.03</v>
      </c>
      <c r="BN92" s="30" cm="1">
        <f t="array" ref="BN92">$G$14+VLOOKUP($R92,武学奇术!$A:$ZZ,16,FALSE)+SUM(_xlfn.XLOOKUP($S92:$AL92,增益!$A:$A,增益!$P:$P,0))</f>
        <v>0.24</v>
      </c>
      <c r="BO92" s="24">
        <f>MIN(IF(VLOOKUP($R92,武学奇术!$A:$ZZ,23,FALSE)=1,100%,$B$8),100%)</f>
        <v>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+MIN(IF(VLOOKUP($R92,武学奇术!$A:$ZZ,32,FALSE)=1,IF(VLOOKUP($R92,武学奇术!$A:$ZZ,24,FALSE)=1,100%,MIN(40%,$B$10+VLOOKUP($R92,武学奇术!$A:$ZZ,19,FALSE)+SUM(_xlfn.XLOOKUP($S92:$AL92,增益!$A:$A,增益!$S:$S,0)))+$B$12+SUM(_xlfn.XLOOKUP($S92:$AL92,增益!$A:$A,增益!$V:$V,0))),0),12%)</f>
        <v>0.9036</v>
      </c>
      <c r="BQ92" s="24" cm="1">
        <f t="array" ref="BQ92">1+$B$13+VLOOKUP($R92,武学奇术!$A:$ZZ,18,FALSE)+SUM(_xlfn.XLOOKUP($S92:$AL92,增益!$A:$A,增益!$R:$R,0))</f>
        <v>1.94</v>
      </c>
      <c r="BR92" s="24" cm="1">
        <f t="array" ref="BR92">MAX(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-IF(VLOOKUP($R92,武学奇术!$A:$ZZ,32,FALSE)=1,12%,0),0)</f>
        <v>0.0929</v>
      </c>
      <c r="BS92" s="24" cm="1">
        <f t="array" ref="BS92">1+$B$14+VLOOKUP($R92,武学奇术!$A:$ZZ,20,FALSE)+SUM(_xlfn.XLOOKUP($S92:$AL92,增益!$A:$A,增益!$T:$T,0))</f>
        <v>1.35</v>
      </c>
      <c r="BT92" s="24">
        <f t="shared" si="22"/>
        <v>0.9036</v>
      </c>
      <c r="BU92" s="24">
        <f t="shared" si="23"/>
        <v>0.00350000000000006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0.11</v>
      </c>
      <c r="BX92" s="24" cm="1">
        <f t="array" ref="BX92">SUM(_xlfn.XLOOKUP($S92:$AL92,增益!$A:$A,增益!$X:$X,0))</f>
        <v>0</v>
      </c>
    </row>
    <row r="93" spans="1:76">
      <c r="A93" s="4"/>
      <c r="B93" s="91"/>
      <c r="K93">
        <f>$L93*VLOOKUP($R93,武学奇术!$A:$ZZ,31,FALSE)</f>
        <v>111398.233811098</v>
      </c>
      <c r="L93" s="36">
        <f t="shared" si="25"/>
        <v>111398.233811098</v>
      </c>
      <c r="M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BQ93*$Q93*(1+IF(VLOOKUP($R93,武学奇术!$A:$ZZ,30,FALSE)="蓄力技",$B$21,0))*(1+$BW93)</f>
        <v>112205.590749677</v>
      </c>
      <c r="N93" s="36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蓄力技",$B$21,0))*(1+$BW93)</f>
        <v>105164.680933262</v>
      </c>
      <c r="O93" s="36">
        <f>((($AT93+($AU93-$AT93)*IF(VLOOKUP($R93,武学奇术!$A:$ZZ,31,FALSE)=1,$F$18,0.5))*$AN93+$AO93)*(1+$AV93)*(1+$AW93)+(($AY93+($AZ93-$AY93)*IF(VLOOKUP($R93,武学奇术!$A:$ZZ,31,FALSE)=1,$F$18,0.5))*IF($G$1="鸣金",$AP93,$AN93)+IF($G$1="鸣金",$AQ93*1.5,0))*(1+$BA93)*(1+$BB93)+(($BC93+($BD93-$BC93)*IF(VLOOKUP($R93,武学奇术!$A:$ZZ,31,FALSE)=1,$F$18,0.5))*IF($G$1="裂石",$AP93,$AN93)+IF($G$1="裂石",$AQ93*1.5,0))*(1+$BE93)*(1+$BF93)+(($BG93+($BH93-$BG93)*IF(VLOOKUP($R93,武学奇术!$A:$ZZ,31,FALSE)=1,$F$18,0.5))*IF($G$1="牵丝",$AP93,$AN93)+IF($G$1="牵丝",$AQ93*1.5,0))*(1+$BI93)*(1+$BJ93)+(($BK93+($BL93-$BK93)*IF(VLOOKUP($R93,武学奇术!$A:$ZZ,31,FALSE)=1,$F$18,0.5))*IF($G$1="破竹",$AP93,$AN93)+IF($G$1="破竹",$AQ93*1.5,0))*(1+$BM93)*(1+$BN93))*(1+$AR93)*$Q93*(1+IF(VLOOKUP($R93,武学奇术!$A:$ZZ,30,FALSE)="蓄力技",$B$21,0))*(1+$BW93)</f>
        <v>68418.0431400468</v>
      </c>
      <c r="P93" s="36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蓄力技",$B$21,0))*(1+$BW93)</f>
        <v>58936.3226258252</v>
      </c>
      <c r="Q93" s="37">
        <v>1</v>
      </c>
      <c r="R93" s="38" t="s">
        <v>186</v>
      </c>
      <c r="S93" s="38" t="s">
        <v>104</v>
      </c>
      <c r="T93" s="38" t="s">
        <v>79</v>
      </c>
      <c r="U93" s="38" t="s">
        <v>79</v>
      </c>
      <c r="V93" s="38" t="s">
        <v>79</v>
      </c>
      <c r="W93" s="38" t="s">
        <v>79</v>
      </c>
      <c r="X93" s="38" t="s">
        <v>79</v>
      </c>
      <c r="Y93" s="38" t="s">
        <v>173</v>
      </c>
      <c r="Z93" s="38" t="s">
        <v>79</v>
      </c>
      <c r="AA93" s="38" t="s">
        <v>79</v>
      </c>
      <c r="AB93" s="38" t="s">
        <v>79</v>
      </c>
      <c r="AC93" s="38" t="s">
        <v>79</v>
      </c>
      <c r="AD93" s="38" t="s">
        <v>79</v>
      </c>
      <c r="AE93" s="38" t="s">
        <v>79</v>
      </c>
      <c r="AF93" s="38" t="s">
        <v>84</v>
      </c>
      <c r="AG93" s="38" t="s">
        <v>85</v>
      </c>
      <c r="AH93" s="38" t="s">
        <v>79</v>
      </c>
      <c r="AI93" s="38" t="s">
        <v>79</v>
      </c>
      <c r="AJ93" s="38" t="s">
        <v>79</v>
      </c>
      <c r="AK93" s="38" t="s">
        <v>79</v>
      </c>
      <c r="AL93" s="38" t="s">
        <v>79</v>
      </c>
      <c r="AM93" t="str">
        <f>VLOOKUP($R93,武学奇术!$A:$ZZ,25,FALSE)</f>
        <v>单体奇术</v>
      </c>
      <c r="AN93" s="24">
        <f>VLOOKUP($R93,武学奇术!$A:$ZZ,26,FALSE)</f>
        <v>7.1084</v>
      </c>
      <c r="AO93" s="25">
        <f>VLOOKUP($R93,武学奇术!$A:$ZZ,27,FALSE)*(1+IF(OR($AM93=$F$4,$AM93=$F$5),$B$22,0))</f>
        <v>1369</v>
      </c>
      <c r="AP93" s="24">
        <f>VLOOKUP($R93,武学奇术!$A:$ZZ,28,FALSE)</f>
        <v>10.6626</v>
      </c>
      <c r="AQ93" s="25">
        <f>VLOOKUP($R93,武学奇术!$A:$ZZ,29,FALSE)*(1+IF(OR($AM93=$F$4,$AM93=$F$5),$B$22,0))</f>
        <v>0</v>
      </c>
      <c r="AR93" s="24" cm="1">
        <f t="array" ref="AR93">$G$3+IFERROR(VLOOKUP($AM93,$F$4:$G$7,2,FALSE),0)+VLOOKUP($R93,武学奇术!$A:$ZZ,2,FALSE)+SUM(_xlfn.XLOOKUP($S93:$AL93,增益!$A:$A,增益!$B:$B,0))</f>
        <v>0.1537</v>
      </c>
      <c r="AS93" s="24" cm="1">
        <f t="array" ref="AS93">VLOOKUP($R93,武学奇术!$A:$ZZ,5,FALSE)+SUM(_xlfn.XLOOKUP($S93:$AL93,增益!$A:$A,增益!$E:$E,0))</f>
        <v>0</v>
      </c>
      <c r="AT93" cm="1">
        <f t="array" ref="AT93">$D$10*(1+$AS93)+VLOOKUP($R93,武学奇术!$A:$ZZ,3,FALSE)+SUM(_xlfn.XLOOKUP($S93:$AL93,增益!$A:$A,增益!$C:$C,0))-$I$2</f>
        <v>3839.102</v>
      </c>
      <c r="AU93" cm="1">
        <f t="array" ref="AU93">$E$10*(1+$AS93)+VLOOKUP($R93,武学奇术!$A:$ZZ,4,FALSE)+SUM(_xlfn.XLOOKUP($S93:$AL93,增益!$A:$A,增益!$D:$D,0))-$I$2</f>
        <v>3839.102</v>
      </c>
      <c r="AV93" s="30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0.217</v>
      </c>
      <c r="AW93" s="30" cm="1">
        <f t="array" ref="AW93">$G$10+VLOOKUP($R93,武学奇术!$A:$ZZ,7,FALSE)+SUM(_xlfn.XLOOKUP($S93:$AL93,增益!$A:$A,增益!$G:$G,0))</f>
        <v>0.09</v>
      </c>
      <c r="AX93" s="24" cm="1">
        <f t="array" ref="AX93">VLOOKUP($R93,武学奇术!$A:$ZZ,8,FALSE)+SUM(_xlfn.XLOOKUP($S93:$AL93,增益!$A:$A,增益!$H:$H,0))</f>
        <v>0</v>
      </c>
      <c r="AY93">
        <f t="shared" si="14"/>
        <v>0</v>
      </c>
      <c r="AZ93">
        <f t="shared" si="15"/>
        <v>0</v>
      </c>
      <c r="BA93" s="30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0" cm="1">
        <f t="array" ref="BB93">$G$11+VLOOKUP($R93,武学奇术!$A:$ZZ,10,FALSE)+SUM(_xlfn.XLOOKUP($S93:$AL93,增益!$A:$A,增益!$J:$J,0))</f>
        <v>0</v>
      </c>
      <c r="BC93">
        <f t="shared" si="16"/>
        <v>0</v>
      </c>
      <c r="BD93">
        <f t="shared" si="17"/>
        <v>0</v>
      </c>
      <c r="BE93" s="30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0" cm="1">
        <f t="array" ref="BF93">$G$12+VLOOKUP($R93,武学奇术!$A:$ZZ,12,FALSE)+SUM(_xlfn.XLOOKUP($S93:$AL93,增益!$A:$A,增益!$L:$L,0))</f>
        <v>0</v>
      </c>
      <c r="BG93">
        <f t="shared" si="18"/>
        <v>0</v>
      </c>
      <c r="BH93">
        <f t="shared" si="19"/>
        <v>0</v>
      </c>
      <c r="BI93" s="30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-0.3</v>
      </c>
      <c r="BJ93" s="30" cm="1">
        <f t="array" ref="BJ93">$G$13+VLOOKUP($R93,武学奇术!$A:$ZZ,14,FALSE)+SUM(_xlfn.XLOOKUP($S93:$AL93,增益!$A:$A,增益!$N:$N,0))</f>
        <v>0</v>
      </c>
      <c r="BK93">
        <f t="shared" si="20"/>
        <v>605.472</v>
      </c>
      <c r="BL93">
        <f t="shared" si="21"/>
        <v>1725.468</v>
      </c>
      <c r="BM93" s="30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0</v>
      </c>
      <c r="BN93" s="30" cm="1">
        <f t="array" ref="BN93">$G$14+VLOOKUP($R93,武学奇术!$A:$ZZ,16,FALSE)+SUM(_xlfn.XLOOKUP($S93:$AL93,增益!$A:$A,增益!$P:$P,0))</f>
        <v>0.24</v>
      </c>
      <c r="BO93" s="24">
        <f>MIN(IF(VLOOKUP($R93,武学奇术!$A:$ZZ,23,FALSE)=1,100%,$B$8),100%)</f>
        <v>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+MIN(IF(VLOOKUP($R93,武学奇术!$A:$ZZ,32,FALSE)=1,IF(VLOOKUP($R93,武学奇术!$A:$ZZ,24,FALSE)=1,100%,MIN(40%,$B$10+VLOOKUP($R93,武学奇术!$A:$ZZ,19,FALSE)+SUM(_xlfn.XLOOKUP($S93:$AL93,增益!$A:$A,增益!$S:$S,0)))+$B$12+SUM(_xlfn.XLOOKUP($S93:$AL93,增益!$A:$A,增益!$V:$V,0))),0),12%)</f>
        <v>0.9036</v>
      </c>
      <c r="BQ93" s="24" cm="1">
        <f t="array" ref="BQ93">1+$B$13+VLOOKUP($R93,武学奇术!$A:$ZZ,18,FALSE)+SUM(_xlfn.XLOOKUP($S93:$AL93,增益!$A:$A,增益!$R:$R,0))</f>
        <v>1.64</v>
      </c>
      <c r="BR93" s="24" cm="1">
        <f t="array" ref="BR93">MAX(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-IF(VLOOKUP($R93,武学奇术!$A:$ZZ,32,FALSE)=1,12%,0),0)</f>
        <v>0.0929</v>
      </c>
      <c r="BS93" s="24" cm="1">
        <f t="array" ref="BS93">1+$B$14+VLOOKUP($R93,武学奇术!$A:$ZZ,20,FALSE)+SUM(_xlfn.XLOOKUP($S93:$AL93,增益!$A:$A,增益!$T:$T,0))</f>
        <v>1.35</v>
      </c>
      <c r="BT93" s="24">
        <f t="shared" si="22"/>
        <v>0.9036</v>
      </c>
      <c r="BU93" s="24">
        <f t="shared" si="23"/>
        <v>0.00350000000000006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0.11</v>
      </c>
      <c r="BX93" s="24" cm="1">
        <f t="array" ref="BX93">SUM(_xlfn.XLOOKUP($S93:$AL93,增益!$A:$A,增益!$X:$X,0))</f>
        <v>0</v>
      </c>
    </row>
    <row r="94" spans="1:76">
      <c r="A94" s="4"/>
      <c r="B94" s="91"/>
      <c r="K94">
        <f>$L94*VLOOKUP($R94,武学奇术!$A:$ZZ,31,FALSE)</f>
        <v>48044.7699660996</v>
      </c>
      <c r="L94" s="36">
        <f t="shared" si="25"/>
        <v>48044.7699660996</v>
      </c>
      <c r="M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BQ94*$Q94*(1+IF(VLOOKUP($R94,武学奇术!$A:$ZZ,30,FALSE)="蓄力技",$B$21,0))*(1+$BW94)</f>
        <v>48437.7307299936</v>
      </c>
      <c r="N94" s="36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蓄力技",$B$21,0))*(1+$BW94)</f>
        <v>44919.9491135756</v>
      </c>
      <c r="O94" s="36">
        <f>((($AT94+($AU94-$AT94)*IF(VLOOKUP($R94,武学奇术!$A:$ZZ,31,FALSE)=1,$F$18,0.5))*$AN94+$AO94)*(1+$AV94)*(1+$AW94)+(($AY94+($AZ94-$AY94)*IF(VLOOKUP($R94,武学奇术!$A:$ZZ,31,FALSE)=1,$F$18,0.5))*IF($G$1="鸣金",$AP94,$AN94)+IF($G$1="鸣金",$AQ94*1.5,0))*(1+$BA94)*(1+$BB94)+(($BC94+($BD94-$BC94)*IF(VLOOKUP($R94,武学奇术!$A:$ZZ,31,FALSE)=1,$F$18,0.5))*IF($G$1="裂石",$AP94,$AN94)+IF($G$1="裂石",$AQ94*1.5,0))*(1+$BE94)*(1+$BF94)+(($BG94+($BH94-$BG94)*IF(VLOOKUP($R94,武学奇术!$A:$ZZ,31,FALSE)=1,$F$18,0.5))*IF($G$1="牵丝",$AP94,$AN94)+IF($G$1="牵丝",$AQ94*1.5,0))*(1+$BI94)*(1+$BJ94)+(($BK94+($BL94-$BK94)*IF(VLOOKUP($R94,武学奇术!$A:$ZZ,31,FALSE)=1,$F$18,0.5))*IF($G$1="破竹",$AP94,$AN94)+IF($G$1="破竹",$AQ94*1.5,0))*(1+$BM94)*(1+$BN94))*(1+$AR94)*$Q94*(1+IF(VLOOKUP($R94,武学奇术!$A:$ZZ,30,FALSE)="蓄力技",$B$21,0))*(1+$BW94)</f>
        <v>29535.2016646302</v>
      </c>
      <c r="P94" s="36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蓄力技",$B$21,0))*(1+$BW94)</f>
        <v>25796.3669488341</v>
      </c>
      <c r="Q94" s="37">
        <v>1</v>
      </c>
      <c r="R94" s="38" t="s">
        <v>127</v>
      </c>
      <c r="S94" s="38" t="s">
        <v>104</v>
      </c>
      <c r="T94" s="38" t="s">
        <v>79</v>
      </c>
      <c r="U94" s="38" t="s">
        <v>79</v>
      </c>
      <c r="V94" s="38" t="s">
        <v>79</v>
      </c>
      <c r="W94" s="38" t="s">
        <v>79</v>
      </c>
      <c r="X94" s="38" t="s">
        <v>79</v>
      </c>
      <c r="Y94" s="38" t="s">
        <v>173</v>
      </c>
      <c r="Z94" s="38" t="s">
        <v>79</v>
      </c>
      <c r="AA94" s="38" t="s">
        <v>79</v>
      </c>
      <c r="AB94" s="38" t="s">
        <v>79</v>
      </c>
      <c r="AC94" s="38" t="s">
        <v>79</v>
      </c>
      <c r="AD94" s="38" t="s">
        <v>79</v>
      </c>
      <c r="AE94" s="38" t="s">
        <v>79</v>
      </c>
      <c r="AF94" s="38" t="s">
        <v>84</v>
      </c>
      <c r="AG94" s="38" t="s">
        <v>85</v>
      </c>
      <c r="AH94" s="38" t="s">
        <v>79</v>
      </c>
      <c r="AI94" s="38" t="s">
        <v>79</v>
      </c>
      <c r="AJ94" s="38" t="s">
        <v>79</v>
      </c>
      <c r="AK94" s="38" t="s">
        <v>79</v>
      </c>
      <c r="AL94" s="38" t="s">
        <v>79</v>
      </c>
      <c r="AM94" t="str">
        <f>VLOOKUP($R94,武学奇术!$A:$ZZ,25,FALSE)</f>
        <v>拳甲</v>
      </c>
      <c r="AN94" s="24">
        <f>VLOOKUP($R94,武学奇术!$A:$ZZ,26,FALSE)</f>
        <v>2.4421</v>
      </c>
      <c r="AO94" s="25">
        <f>VLOOKUP($R94,武学奇术!$A:$ZZ,27,FALSE)*(1+IF(OR($AM94=$F$4,$AM94=$F$5),$B$22,0))</f>
        <v>1012.5</v>
      </c>
      <c r="AP94" s="24">
        <f>VLOOKUP($R94,武学奇术!$A:$ZZ,28,FALSE)</f>
        <v>3.6634</v>
      </c>
      <c r="AQ94" s="25">
        <f>VLOOKUP($R94,武学奇术!$A:$ZZ,29,FALSE)*(1+IF(OR($AM94=$F$4,$AM94=$F$5),$B$22,0))</f>
        <v>549</v>
      </c>
      <c r="AR94" s="24" cm="1">
        <f t="array" ref="AR94">$G$3+IFERROR(VLOOKUP($AM94,$F$4:$G$7,2,FALSE),0)+VLOOKUP($R94,武学奇术!$A:$ZZ,2,FALSE)+SUM(_xlfn.XLOOKUP($S94:$AL94,增益!$A:$A,增益!$B:$B,0))</f>
        <v>0.3241</v>
      </c>
      <c r="AS94" s="24" cm="1">
        <f t="array" ref="AS94">VLOOKUP($R94,武学奇术!$A:$ZZ,5,FALSE)+SUM(_xlfn.XLOOKUP($S94:$AL94,增益!$A:$A,增益!$E:$E,0))</f>
        <v>0</v>
      </c>
      <c r="AT94" cm="1">
        <f t="array" ref="AT94">$D$10*(1+$AS94)+VLOOKUP($R94,武学奇术!$A:$ZZ,3,FALSE)+SUM(_xlfn.XLOOKUP($S94:$AL94,增益!$A:$A,增益!$C:$C,0))-$I$2</f>
        <v>3839.102</v>
      </c>
      <c r="AU94" cm="1">
        <f t="array" ref="AU94">$E$10*(1+$AS94)+VLOOKUP($R94,武学奇术!$A:$ZZ,4,FALSE)+SUM(_xlfn.XLOOKUP($S94:$AL94,增益!$A:$A,增益!$D:$D,0))-$I$2</f>
        <v>3839.102</v>
      </c>
      <c r="AV94" s="30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0.217</v>
      </c>
      <c r="AW94" s="30" cm="1">
        <f t="array" ref="AW94">$G$10+VLOOKUP($R94,武学奇术!$A:$ZZ,7,FALSE)+SUM(_xlfn.XLOOKUP($S94:$AL94,增益!$A:$A,增益!$G:$G,0))</f>
        <v>0.09</v>
      </c>
      <c r="AX94" s="24" cm="1">
        <f t="array" ref="AX94">VLOOKUP($R94,武学奇术!$A:$ZZ,8,FALSE)+SUM(_xlfn.XLOOKUP($S94:$AL94,增益!$A:$A,增益!$H:$H,0))</f>
        <v>0</v>
      </c>
      <c r="AY94">
        <f t="shared" si="14"/>
        <v>0</v>
      </c>
      <c r="AZ94">
        <f t="shared" si="15"/>
        <v>0</v>
      </c>
      <c r="BA94" s="30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0" cm="1">
        <f t="array" ref="BB94">$G$11+VLOOKUP($R94,武学奇术!$A:$ZZ,10,FALSE)+SUM(_xlfn.XLOOKUP($S94:$AL94,增益!$A:$A,增益!$J:$J,0))</f>
        <v>0</v>
      </c>
      <c r="BC94">
        <f t="shared" si="16"/>
        <v>0</v>
      </c>
      <c r="BD94">
        <f t="shared" si="17"/>
        <v>0</v>
      </c>
      <c r="BE94" s="30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0" cm="1">
        <f t="array" ref="BF94">$G$12+VLOOKUP($R94,武学奇术!$A:$ZZ,12,FALSE)+SUM(_xlfn.XLOOKUP($S94:$AL94,增益!$A:$A,增益!$L:$L,0))</f>
        <v>0</v>
      </c>
      <c r="BG94">
        <f t="shared" si="18"/>
        <v>0</v>
      </c>
      <c r="BH94">
        <f t="shared" si="19"/>
        <v>0</v>
      </c>
      <c r="BI94" s="30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-0.3</v>
      </c>
      <c r="BJ94" s="30" cm="1">
        <f t="array" ref="BJ94">$G$13+VLOOKUP($R94,武学奇术!$A:$ZZ,14,FALSE)+SUM(_xlfn.XLOOKUP($S94:$AL94,增益!$A:$A,增益!$N:$N,0))</f>
        <v>0</v>
      </c>
      <c r="BK94">
        <f t="shared" si="20"/>
        <v>605.472</v>
      </c>
      <c r="BL94">
        <f t="shared" si="21"/>
        <v>1725.468</v>
      </c>
      <c r="BM94" s="30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0</v>
      </c>
      <c r="BN94" s="30" cm="1">
        <f t="array" ref="BN94">$G$14+VLOOKUP($R94,武学奇术!$A:$ZZ,16,FALSE)+SUM(_xlfn.XLOOKUP($S94:$AL94,增益!$A:$A,增益!$P:$P,0))</f>
        <v>0.24</v>
      </c>
      <c r="BO94" s="24">
        <f>MIN(IF(VLOOKUP($R94,武学奇术!$A:$ZZ,23,FALSE)=1,100%,$B$8),100%)</f>
        <v>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+MIN(IF(VLOOKUP($R94,武学奇术!$A:$ZZ,32,FALSE)=1,IF(VLOOKUP($R94,武学奇术!$A:$ZZ,24,FALSE)=1,100%,MIN(40%,$B$10+VLOOKUP($R94,武学奇术!$A:$ZZ,19,FALSE)+SUM(_xlfn.XLOOKUP($S94:$AL94,增益!$A:$A,增益!$S:$S,0)))+$B$12+SUM(_xlfn.XLOOKUP($S94:$AL94,增益!$A:$A,增益!$V:$V,0))),0),12%)</f>
        <v>0.9036</v>
      </c>
      <c r="BQ94" s="24" cm="1">
        <f t="array" ref="BQ94">1+$B$13+VLOOKUP($R94,武学奇术!$A:$ZZ,18,FALSE)+SUM(_xlfn.XLOOKUP($S94:$AL94,增益!$A:$A,增益!$R:$R,0))</f>
        <v>1.64</v>
      </c>
      <c r="BR94" s="24" cm="1">
        <f t="array" ref="BR94">MAX(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-IF(VLOOKUP($R94,武学奇术!$A:$ZZ,32,FALSE)=1,12%,0),0)</f>
        <v>0.0929</v>
      </c>
      <c r="BS94" s="24" cm="1">
        <f t="array" ref="BS94">1+$B$14+VLOOKUP($R94,武学奇术!$A:$ZZ,20,FALSE)+SUM(_xlfn.XLOOKUP($S94:$AL94,增益!$A:$A,增益!$T:$T,0))</f>
        <v>1.35</v>
      </c>
      <c r="BT94" s="24">
        <f t="shared" si="22"/>
        <v>0.9036</v>
      </c>
      <c r="BU94" s="24">
        <f t="shared" si="23"/>
        <v>0.00350000000000006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0.11</v>
      </c>
      <c r="BX94" s="24" cm="1">
        <f t="array" ref="BX94">SUM(_xlfn.XLOOKUP($S94:$AL94,增益!$A:$A,增益!$X:$X,0))</f>
        <v>0</v>
      </c>
    </row>
    <row r="95" spans="1:76">
      <c r="A95" s="4"/>
      <c r="B95" s="4"/>
      <c r="K95">
        <f>$L95*VLOOKUP($R95,武学奇术!$A:$ZZ,31,FALSE)</f>
        <v>25354.1383104499</v>
      </c>
      <c r="L95" s="36">
        <f t="shared" si="25"/>
        <v>25354.1383104499</v>
      </c>
      <c r="M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BQ95*$Q95*(1+IF(VLOOKUP($R95,武学奇术!$A:$ZZ,30,FALSE)="蓄力技",$B$21,0))*(1+$BW95)</f>
        <v>25561.7647454447</v>
      </c>
      <c r="N95" s="36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蓄力技",$B$21,0))*(1+$BW95)</f>
        <v>23702.6387486891</v>
      </c>
      <c r="O95" s="36">
        <f>((($AT95+($AU95-$AT95)*IF(VLOOKUP($R95,武学奇术!$A:$ZZ,31,FALSE)=1,$F$18,0.5))*$AN95+$AO95)*(1+$AV95)*(1+$AW95)+(($AY95+($AZ95-$AY95)*IF(VLOOKUP($R95,武学奇术!$A:$ZZ,31,FALSE)=1,$F$18,0.5))*IF($G$1="鸣金",$AP95,$AN95)+IF($G$1="鸣金",$AQ95*1.5,0))*(1+$BA95)*(1+$BB95)+(($BC95+($BD95-$BC95)*IF(VLOOKUP($R95,武学奇术!$A:$ZZ,31,FALSE)=1,$F$18,0.5))*IF($G$1="裂石",$AP95,$AN95)+IF($G$1="裂石",$AQ95*1.5,0))*(1+$BE95)*(1+$BF95)+(($BG95+($BH95-$BG95)*IF(VLOOKUP($R95,武学奇术!$A:$ZZ,31,FALSE)=1,$F$18,0.5))*IF($G$1="牵丝",$AP95,$AN95)+IF($G$1="牵丝",$AQ95*1.5,0))*(1+$BI95)*(1+$BJ95)+(($BK95+($BL95-$BK95)*IF(VLOOKUP($R95,武学奇术!$A:$ZZ,31,FALSE)=1,$F$18,0.5))*IF($G$1="破竹",$AP95,$AN95)+IF($G$1="破竹",$AQ95*1.5,0))*(1+$BM95)*(1+$BN95))*(1+$AR95)*$Q95*(1+IF(VLOOKUP($R95,武学奇术!$A:$ZZ,30,FALSE)="蓄力技",$B$21,0))*(1+$BW95)</f>
        <v>15586.4419179541</v>
      </c>
      <c r="P95" s="36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蓄力技",$B$21,0))*(1+$BW95)</f>
        <v>13615.373651694</v>
      </c>
      <c r="Q95" s="37">
        <v>1</v>
      </c>
      <c r="R95" s="38" t="s">
        <v>122</v>
      </c>
      <c r="S95" s="38" t="s">
        <v>104</v>
      </c>
      <c r="T95" s="38" t="s">
        <v>79</v>
      </c>
      <c r="U95" s="38" t="s">
        <v>79</v>
      </c>
      <c r="V95" s="38" t="s">
        <v>79</v>
      </c>
      <c r="W95" s="38" t="s">
        <v>79</v>
      </c>
      <c r="X95" s="38" t="s">
        <v>79</v>
      </c>
      <c r="Y95" s="38" t="s">
        <v>173</v>
      </c>
      <c r="Z95" s="38" t="s">
        <v>79</v>
      </c>
      <c r="AA95" s="38" t="s">
        <v>79</v>
      </c>
      <c r="AB95" s="38" t="s">
        <v>79</v>
      </c>
      <c r="AC95" s="38" t="s">
        <v>79</v>
      </c>
      <c r="AD95" s="38" t="s">
        <v>79</v>
      </c>
      <c r="AE95" s="38" t="s">
        <v>79</v>
      </c>
      <c r="AF95" s="38" t="s">
        <v>84</v>
      </c>
      <c r="AG95" s="38" t="s">
        <v>85</v>
      </c>
      <c r="AH95" s="38" t="s">
        <v>79</v>
      </c>
      <c r="AI95" s="38" t="s">
        <v>79</v>
      </c>
      <c r="AJ95" s="38" t="s">
        <v>79</v>
      </c>
      <c r="AK95" s="38" t="s">
        <v>79</v>
      </c>
      <c r="AL95" s="38" t="s">
        <v>79</v>
      </c>
      <c r="AM95" t="str">
        <f>VLOOKUP($R95,武学奇术!$A:$ZZ,25,FALSE)</f>
        <v>拳甲</v>
      </c>
      <c r="AN95" s="24">
        <f>VLOOKUP($R95,武学奇术!$A:$ZZ,26,FALSE)</f>
        <v>1.2876</v>
      </c>
      <c r="AO95" s="25">
        <f>VLOOKUP($R95,武学奇术!$A:$ZZ,27,FALSE)*(1+IF(OR($AM95=$F$4,$AM95=$F$5),$B$22,0))</f>
        <v>537</v>
      </c>
      <c r="AP95" s="24">
        <f>VLOOKUP($R95,武学奇术!$A:$ZZ,28,FALSE)</f>
        <v>1.9313</v>
      </c>
      <c r="AQ95" s="25">
        <f>VLOOKUP($R95,武学奇术!$A:$ZZ,29,FALSE)*(1+IF(OR($AM95=$F$4,$AM95=$F$5),$B$22,0))</f>
        <v>292.5</v>
      </c>
      <c r="AR95" s="24" cm="1">
        <f t="array" ref="AR95">$G$3+IFERROR(VLOOKUP($AM95,$F$4:$G$7,2,FALSE),0)+VLOOKUP($R95,武学奇术!$A:$ZZ,2,FALSE)+SUM(_xlfn.XLOOKUP($S95:$AL95,增益!$A:$A,增益!$B:$B,0))</f>
        <v>0.3241</v>
      </c>
      <c r="AS95" s="24" cm="1">
        <f t="array" ref="AS95">VLOOKUP($R95,武学奇术!$A:$ZZ,5,FALSE)+SUM(_xlfn.XLOOKUP($S95:$AL95,增益!$A:$A,增益!$E:$E,0))</f>
        <v>0</v>
      </c>
      <c r="AT95" cm="1">
        <f t="array" ref="AT95">$D$10*(1+$AS95)+VLOOKUP($R95,武学奇术!$A:$ZZ,3,FALSE)+SUM(_xlfn.XLOOKUP($S95:$AL95,增益!$A:$A,增益!$C:$C,0))-$I$2</f>
        <v>3839.102</v>
      </c>
      <c r="AU95" cm="1">
        <f t="array" ref="AU95">$E$10*(1+$AS95)+VLOOKUP($R95,武学奇术!$A:$ZZ,4,FALSE)+SUM(_xlfn.XLOOKUP($S95:$AL95,增益!$A:$A,增益!$D:$D,0))-$I$2</f>
        <v>3839.102</v>
      </c>
      <c r="AV95" s="30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0.217</v>
      </c>
      <c r="AW95" s="30" cm="1">
        <f t="array" ref="AW95">$G$10+VLOOKUP($R95,武学奇术!$A:$ZZ,7,FALSE)+SUM(_xlfn.XLOOKUP($S95:$AL95,增益!$A:$A,增益!$G:$G,0))</f>
        <v>0.09</v>
      </c>
      <c r="AX95" s="24" cm="1">
        <f t="array" ref="AX95">VLOOKUP($R95,武学奇术!$A:$ZZ,8,FALSE)+SUM(_xlfn.XLOOKUP($S95:$AL95,增益!$A:$A,增益!$H:$H,0))</f>
        <v>0</v>
      </c>
      <c r="AY95">
        <f t="shared" si="14"/>
        <v>0</v>
      </c>
      <c r="AZ95">
        <f t="shared" si="15"/>
        <v>0</v>
      </c>
      <c r="BA95" s="30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0" cm="1">
        <f t="array" ref="BB95">$G$11+VLOOKUP($R95,武学奇术!$A:$ZZ,10,FALSE)+SUM(_xlfn.XLOOKUP($S95:$AL95,增益!$A:$A,增益!$J:$J,0))</f>
        <v>0</v>
      </c>
      <c r="BC95">
        <f t="shared" si="16"/>
        <v>0</v>
      </c>
      <c r="BD95">
        <f t="shared" si="17"/>
        <v>0</v>
      </c>
      <c r="BE95" s="30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0" cm="1">
        <f t="array" ref="BF95">$G$12+VLOOKUP($R95,武学奇术!$A:$ZZ,12,FALSE)+SUM(_xlfn.XLOOKUP($S95:$AL95,增益!$A:$A,增益!$L:$L,0))</f>
        <v>0</v>
      </c>
      <c r="BG95">
        <f t="shared" si="18"/>
        <v>0</v>
      </c>
      <c r="BH95">
        <f t="shared" si="19"/>
        <v>0</v>
      </c>
      <c r="BI95" s="30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-0.3</v>
      </c>
      <c r="BJ95" s="30" cm="1">
        <f t="array" ref="BJ95">$G$13+VLOOKUP($R95,武学奇术!$A:$ZZ,14,FALSE)+SUM(_xlfn.XLOOKUP($S95:$AL95,增益!$A:$A,增益!$N:$N,0))</f>
        <v>0</v>
      </c>
      <c r="BK95">
        <f t="shared" si="20"/>
        <v>605.472</v>
      </c>
      <c r="BL95">
        <f t="shared" si="21"/>
        <v>1725.468</v>
      </c>
      <c r="BM95" s="30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0</v>
      </c>
      <c r="BN95" s="30" cm="1">
        <f t="array" ref="BN95">$G$14+VLOOKUP($R95,武学奇术!$A:$ZZ,16,FALSE)+SUM(_xlfn.XLOOKUP($S95:$AL95,增益!$A:$A,增益!$P:$P,0))</f>
        <v>0.24</v>
      </c>
      <c r="BO95" s="24">
        <f>MIN(IF(VLOOKUP($R95,武学奇术!$A:$ZZ,23,FALSE)=1,100%,$B$8),100%)</f>
        <v>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+MIN(IF(VLOOKUP($R95,武学奇术!$A:$ZZ,32,FALSE)=1,IF(VLOOKUP($R95,武学奇术!$A:$ZZ,24,FALSE)=1,100%,MIN(40%,$B$10+VLOOKUP($R95,武学奇术!$A:$ZZ,19,FALSE)+SUM(_xlfn.XLOOKUP($S95:$AL95,增益!$A:$A,增益!$S:$S,0)))+$B$12+SUM(_xlfn.XLOOKUP($S95:$AL95,增益!$A:$A,增益!$V:$V,0))),0),12%)</f>
        <v>0.9036</v>
      </c>
      <c r="BQ95" s="24" cm="1">
        <f t="array" ref="BQ95">1+$B$13+VLOOKUP($R95,武学奇术!$A:$ZZ,18,FALSE)+SUM(_xlfn.XLOOKUP($S95:$AL95,增益!$A:$A,增益!$R:$R,0))</f>
        <v>1.64</v>
      </c>
      <c r="BR95" s="24" cm="1">
        <f t="array" ref="BR95">MAX(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-IF(VLOOKUP($R95,武学奇术!$A:$ZZ,32,FALSE)=1,12%,0),0)</f>
        <v>0.0929</v>
      </c>
      <c r="BS95" s="24" cm="1">
        <f t="array" ref="BS95">1+$B$14+VLOOKUP($R95,武学奇术!$A:$ZZ,20,FALSE)+SUM(_xlfn.XLOOKUP($S95:$AL95,增益!$A:$A,增益!$T:$T,0))</f>
        <v>1.35</v>
      </c>
      <c r="BT95" s="24">
        <f t="shared" si="22"/>
        <v>0.9036</v>
      </c>
      <c r="BU95" s="24">
        <f t="shared" si="23"/>
        <v>0.00350000000000006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0.11</v>
      </c>
      <c r="BX95" s="24" cm="1">
        <f t="array" ref="BX95">SUM(_xlfn.XLOOKUP($S95:$AL95,增益!$A:$A,增益!$X:$X,0))</f>
        <v>0</v>
      </c>
    </row>
    <row r="96" spans="1:76">
      <c r="A96" s="4"/>
      <c r="B96" s="4"/>
      <c r="K96">
        <f>$L96*VLOOKUP($R96,武学奇术!$A:$ZZ,31,FALSE)</f>
        <v>87552.6628937658</v>
      </c>
      <c r="L96" s="36">
        <f t="shared" si="25"/>
        <v>67348.2022259737</v>
      </c>
      <c r="M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BQ96*$Q96*(1+IF(VLOOKUP($R96,武学奇术!$A:$ZZ,30,FALSE)="蓄力技",$B$21,0))*(1+$BW96)</f>
        <v>68767.6151870981</v>
      </c>
      <c r="N96" s="36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蓄力技",$B$21,0))*(1+$BW96)</f>
        <v>54744.0243033421</v>
      </c>
      <c r="O96" s="36">
        <f>((($AT96+($AU96-$AT96)*IF(VLOOKUP($R96,武学奇术!$A:$ZZ,31,FALSE)=1,$F$18,0.5))*$AN96+$AO96)*(1+$AV96)*(1+$AW96)+(($AY96+($AZ96-$AY96)*IF(VLOOKUP($R96,武学奇术!$A:$ZZ,31,FALSE)=1,$F$18,0.5))*IF($G$1="鸣金",$AP96,$AN96)+IF($G$1="鸣金",$AQ96*1.5,0))*(1+$BA96)*(1+$BB96)+(($BC96+($BD96-$BC96)*IF(VLOOKUP($R96,武学奇术!$A:$ZZ,31,FALSE)=1,$F$18,0.5))*IF($G$1="裂石",$AP96,$AN96)+IF($G$1="裂石",$AQ96*1.5,0))*(1+$BE96)*(1+$BF96)+(($BG96+($BH96-$BG96)*IF(VLOOKUP($R96,武学奇术!$A:$ZZ,31,FALSE)=1,$F$18,0.5))*IF($G$1="牵丝",$AP96,$AN96)+IF($G$1="牵丝",$AQ96*1.5,0))*(1+$BI96)*(1+$BJ96)+(($BK96+($BL96-$BK96)*IF(VLOOKUP($R96,武学奇术!$A:$ZZ,31,FALSE)=1,$F$18,0.5))*IF($G$1="破竹",$AP96,$AN96)+IF($G$1="破竹",$AQ96*1.5,0))*(1+$BM96)*(1+$BN96))*(1+$AR96)*$Q96*(1+IF(VLOOKUP($R96,武学奇术!$A:$ZZ,30,FALSE)="蓄力技",$B$21,0))*(1+$BW96)</f>
        <v>35447.2243232465</v>
      </c>
      <c r="P96" s="36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蓄力技",$B$21,0))*(1+$BW96)</f>
        <v>30343.3195329062</v>
      </c>
      <c r="Q96" s="37">
        <v>1</v>
      </c>
      <c r="R96" s="38" t="s">
        <v>124</v>
      </c>
      <c r="S96" s="38" t="s">
        <v>104</v>
      </c>
      <c r="T96" s="38" t="s">
        <v>79</v>
      </c>
      <c r="U96" s="38" t="s">
        <v>79</v>
      </c>
      <c r="V96" s="38" t="s">
        <v>79</v>
      </c>
      <c r="W96" s="38" t="s">
        <v>79</v>
      </c>
      <c r="X96" s="38" t="s">
        <v>79</v>
      </c>
      <c r="Y96" s="38" t="s">
        <v>173</v>
      </c>
      <c r="Z96" s="38" t="s">
        <v>79</v>
      </c>
      <c r="AA96" s="38" t="s">
        <v>112</v>
      </c>
      <c r="AB96" s="38" t="s">
        <v>79</v>
      </c>
      <c r="AC96" s="38" t="s">
        <v>79</v>
      </c>
      <c r="AD96" s="38" t="s">
        <v>79</v>
      </c>
      <c r="AE96" s="38" t="s">
        <v>79</v>
      </c>
      <c r="AF96" s="38" t="s">
        <v>84</v>
      </c>
      <c r="AG96" s="38" t="s">
        <v>85</v>
      </c>
      <c r="AH96" s="38" t="s">
        <v>79</v>
      </c>
      <c r="AI96" s="38" t="s">
        <v>79</v>
      </c>
      <c r="AJ96" s="38" t="s">
        <v>79</v>
      </c>
      <c r="AK96" s="38" t="s">
        <v>79</v>
      </c>
      <c r="AL96" s="38" t="s">
        <v>79</v>
      </c>
      <c r="AM96" t="str">
        <f>VLOOKUP($R96,武学奇术!$A:$ZZ,25,FALSE)</f>
        <v>拳甲</v>
      </c>
      <c r="AN96" s="24">
        <f>VLOOKUP($R96,武学奇术!$A:$ZZ,26,FALSE)</f>
        <v>2.638944</v>
      </c>
      <c r="AO96" s="25">
        <f>VLOOKUP($R96,武学奇术!$A:$ZZ,27,FALSE)*(1+IF(OR($AM96=$F$4,$AM96=$F$5),$B$22,0))</f>
        <v>0</v>
      </c>
      <c r="AP96" s="24">
        <f>VLOOKUP($R96,武学奇术!$A:$ZZ,28,FALSE)</f>
        <v>3.958416</v>
      </c>
      <c r="AQ96" s="25">
        <f>VLOOKUP($R96,武学奇术!$A:$ZZ,29,FALSE)*(1+IF(OR($AM96=$F$4,$AM96=$F$5),$B$22,0))</f>
        <v>0</v>
      </c>
      <c r="AR96" s="24" cm="1">
        <f t="array" ref="AR96">$G$3+IFERROR(VLOOKUP($AM96,$F$4:$G$7,2,FALSE),0)+VLOOKUP($R96,武学奇术!$A:$ZZ,2,FALSE)+SUM(_xlfn.XLOOKUP($S96:$AL96,增益!$A:$A,增益!$B:$B,0))</f>
        <v>0.6241</v>
      </c>
      <c r="AS96" s="24" cm="1">
        <f t="array" ref="AS96">VLOOKUP($R96,武学奇术!$A:$ZZ,5,FALSE)+SUM(_xlfn.XLOOKUP($S96:$AL96,增益!$A:$A,增益!$E:$E,0))</f>
        <v>0</v>
      </c>
      <c r="AT96" cm="1">
        <f t="array" ref="AT96">$D$10*(1+$AS96)+VLOOKUP($R96,武学奇术!$A:$ZZ,3,FALSE)+SUM(_xlfn.XLOOKUP($S96:$AL96,增益!$A:$A,增益!$C:$C,0))-$I$2</f>
        <v>3839.102</v>
      </c>
      <c r="AU96" cm="1">
        <f t="array" ref="AU96">$E$10*(1+$AS96)+VLOOKUP($R96,武学奇术!$A:$ZZ,4,FALSE)+SUM(_xlfn.XLOOKUP($S96:$AL96,增益!$A:$A,增益!$D:$D,0))-$I$2</f>
        <v>3839.102</v>
      </c>
      <c r="AV96" s="30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0.247</v>
      </c>
      <c r="AW96" s="30" cm="1">
        <f t="array" ref="AW96">$G$10+VLOOKUP($R96,武学奇术!$A:$ZZ,7,FALSE)+SUM(_xlfn.XLOOKUP($S96:$AL96,增益!$A:$A,增益!$G:$G,0))</f>
        <v>0.09</v>
      </c>
      <c r="AX96" s="24" cm="1">
        <f t="array" ref="AX96">VLOOKUP($R96,武学奇术!$A:$ZZ,8,FALSE)+SUM(_xlfn.XLOOKUP($S96:$AL96,增益!$A:$A,增益!$H:$H,0))</f>
        <v>0</v>
      </c>
      <c r="AY96">
        <f t="shared" si="14"/>
        <v>0</v>
      </c>
      <c r="AZ96">
        <f t="shared" si="15"/>
        <v>0</v>
      </c>
      <c r="BA96" s="30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-0.24</v>
      </c>
      <c r="BB96" s="30" cm="1">
        <f t="array" ref="BB96">$G$11+VLOOKUP($R96,武学奇术!$A:$ZZ,10,FALSE)+SUM(_xlfn.XLOOKUP($S96:$AL96,增益!$A:$A,增益!$J:$J,0))</f>
        <v>0</v>
      </c>
      <c r="BC96">
        <f t="shared" si="16"/>
        <v>0</v>
      </c>
      <c r="BD96">
        <f t="shared" si="17"/>
        <v>0</v>
      </c>
      <c r="BE96" s="30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-0.24</v>
      </c>
      <c r="BF96" s="30" cm="1">
        <f t="array" ref="BF96">$G$12+VLOOKUP($R96,武学奇术!$A:$ZZ,12,FALSE)+SUM(_xlfn.XLOOKUP($S96:$AL96,增益!$A:$A,增益!$L:$L,0))</f>
        <v>0</v>
      </c>
      <c r="BG96">
        <f t="shared" si="18"/>
        <v>0</v>
      </c>
      <c r="BH96">
        <f t="shared" si="19"/>
        <v>0</v>
      </c>
      <c r="BI96" s="30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-0.24</v>
      </c>
      <c r="BJ96" s="30" cm="1">
        <f t="array" ref="BJ96">$G$13+VLOOKUP($R96,武学奇术!$A:$ZZ,14,FALSE)+SUM(_xlfn.XLOOKUP($S96:$AL96,增益!$A:$A,增益!$N:$N,0))</f>
        <v>0</v>
      </c>
      <c r="BK96">
        <f t="shared" si="20"/>
        <v>605.472</v>
      </c>
      <c r="BL96">
        <f t="shared" si="21"/>
        <v>1725.468</v>
      </c>
      <c r="BM96" s="30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0.03</v>
      </c>
      <c r="BN96" s="30" cm="1">
        <f t="array" ref="BN96">$G$14+VLOOKUP($R96,武学奇术!$A:$ZZ,16,FALSE)+SUM(_xlfn.XLOOKUP($S96:$AL96,增益!$A:$A,增益!$P:$P,0))</f>
        <v>0.24</v>
      </c>
      <c r="BO96" s="24">
        <f>MIN(IF(VLOOKUP($R96,武学奇术!$A:$ZZ,23,FALSE)=1,100%,$B$8),100%)</f>
        <v>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+MIN(IF(VLOOKUP($R96,武学奇术!$A:$ZZ,32,FALSE)=1,IF(VLOOKUP($R96,武学奇术!$A:$ZZ,24,FALSE)=1,100%,MIN(40%,$B$10+VLOOKUP($R96,武学奇术!$A:$ZZ,19,FALSE)+SUM(_xlfn.XLOOKUP($S96:$AL96,增益!$A:$A,增益!$S:$S,0)))+$B$12+SUM(_xlfn.XLOOKUP($S96:$AL96,增益!$A:$A,增益!$V:$V,0))),0),12%)</f>
        <v>0.9036</v>
      </c>
      <c r="BQ96" s="24" cm="1">
        <f t="array" ref="BQ96">1+$B$13+VLOOKUP($R96,武学奇术!$A:$ZZ,18,FALSE)+SUM(_xlfn.XLOOKUP($S96:$AL96,增益!$A:$A,增益!$R:$R,0))</f>
        <v>1.94</v>
      </c>
      <c r="BR96" s="24" cm="1">
        <f t="array" ref="BR96">MAX(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-IF(VLOOKUP($R96,武学奇术!$A:$ZZ,32,FALSE)=1,12%,0),0)</f>
        <v>0.0929</v>
      </c>
      <c r="BS96" s="24" cm="1">
        <f t="array" ref="BS96">1+$B$14+VLOOKUP($R96,武学奇术!$A:$ZZ,20,FALSE)+SUM(_xlfn.XLOOKUP($S96:$AL96,增益!$A:$A,增益!$T:$T,0))</f>
        <v>1.35</v>
      </c>
      <c r="BT96" s="24">
        <f t="shared" si="22"/>
        <v>0.9036</v>
      </c>
      <c r="BU96" s="24">
        <f t="shared" si="23"/>
        <v>0.00350000000000006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0.11</v>
      </c>
      <c r="BX96" s="24" cm="1">
        <f t="array" ref="BX96">SUM(_xlfn.XLOOKUP($S96:$AL96,增益!$A:$A,增益!$X:$X,0))</f>
        <v>0</v>
      </c>
    </row>
    <row r="97" spans="11:76">
      <c r="K97">
        <f>$L97*VLOOKUP($R97,武学奇术!$A:$ZZ,31,FALSE)</f>
        <v>30533.9607338146</v>
      </c>
      <c r="L97" s="36">
        <f t="shared" si="25"/>
        <v>30533.9607338146</v>
      </c>
      <c r="M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BQ97*$Q97*(1+IF(VLOOKUP($R97,武学奇术!$A:$ZZ,30,FALSE)="蓄力技",$B$21,0))*(1+$BW97)</f>
        <v>30783.7872031505</v>
      </c>
      <c r="N97" s="36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蓄力技",$B$21,0))*(1+$BW97)</f>
        <v>28547.1852552405</v>
      </c>
      <c r="O97" s="36">
        <f>((($AT97+($AU97-$AT97)*IF(VLOOKUP($R97,武学奇术!$A:$ZZ,31,FALSE)=1,$F$18,0.5))*$AN97+$AO97)*(1+$AV97)*(1+$AW97)+(($AY97+($AZ97-$AY97)*IF(VLOOKUP($R97,武学奇术!$A:$ZZ,31,FALSE)=1,$F$18,0.5))*IF($G$1="鸣金",$AP97,$AN97)+IF($G$1="鸣金",$AQ97*1.5,0))*(1+$BA97)*(1+$BB97)+(($BC97+($BD97-$BC97)*IF(VLOOKUP($R97,武学奇术!$A:$ZZ,31,FALSE)=1,$F$18,0.5))*IF($G$1="裂石",$AP97,$AN97)+IF($G$1="裂石",$AQ97*1.5,0))*(1+$BE97)*(1+$BF97)+(($BG97+($BH97-$BG97)*IF(VLOOKUP($R97,武学奇术!$A:$ZZ,31,FALSE)=1,$F$18,0.5))*IF($G$1="牵丝",$AP97,$AN97)+IF($G$1="牵丝",$AQ97*1.5,0))*(1+$BI97)*(1+$BJ97)+(($BK97+($BL97-$BK97)*IF(VLOOKUP($R97,武学奇术!$A:$ZZ,31,FALSE)=1,$F$18,0.5))*IF($G$1="破竹",$AP97,$AN97)+IF($G$1="破竹",$AQ97*1.5,0))*(1+$BM97)*(1+$BN97))*(1+$AR97)*$Q97*(1+IF(VLOOKUP($R97,武学奇术!$A:$ZZ,30,FALSE)="蓄力技",$B$21,0))*(1+$BW97)</f>
        <v>18770.6019531405</v>
      </c>
      <c r="P97" s="36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蓄力技",$B$21,0))*(1+$BW97)</f>
        <v>16395.1407542511</v>
      </c>
      <c r="Q97" s="37">
        <v>1</v>
      </c>
      <c r="R97" s="38" t="s">
        <v>168</v>
      </c>
      <c r="S97" s="38" t="s">
        <v>104</v>
      </c>
      <c r="T97" s="38" t="s">
        <v>79</v>
      </c>
      <c r="U97" s="38" t="s">
        <v>79</v>
      </c>
      <c r="V97" s="38" t="s">
        <v>79</v>
      </c>
      <c r="W97" s="38" t="s">
        <v>79</v>
      </c>
      <c r="X97" s="38" t="s">
        <v>79</v>
      </c>
      <c r="Y97" s="38" t="s">
        <v>173</v>
      </c>
      <c r="Z97" s="38" t="s">
        <v>79</v>
      </c>
      <c r="AA97" s="38" t="s">
        <v>79</v>
      </c>
      <c r="AB97" s="38" t="s">
        <v>79</v>
      </c>
      <c r="AC97" s="38" t="s">
        <v>79</v>
      </c>
      <c r="AD97" s="38" t="s">
        <v>79</v>
      </c>
      <c r="AE97" s="38" t="s">
        <v>79</v>
      </c>
      <c r="AF97" s="38" t="s">
        <v>84</v>
      </c>
      <c r="AG97" s="38" t="s">
        <v>85</v>
      </c>
      <c r="AH97" s="38" t="s">
        <v>79</v>
      </c>
      <c r="AI97" s="38" t="s">
        <v>79</v>
      </c>
      <c r="AJ97" s="38" t="s">
        <v>79</v>
      </c>
      <c r="AK97" s="38" t="s">
        <v>79</v>
      </c>
      <c r="AL97" s="38" t="s">
        <v>79</v>
      </c>
      <c r="AM97" t="str">
        <f>VLOOKUP($R97,武学奇术!$A:$ZZ,25,FALSE)</f>
        <v>绳镖</v>
      </c>
      <c r="AN97" s="24">
        <f>VLOOKUP($R97,武学奇术!$A:$ZZ,26,FALSE)</f>
        <v>1.6584</v>
      </c>
      <c r="AO97" s="25">
        <f>VLOOKUP($R97,武学奇术!$A:$ZZ,27,FALSE)*(1+IF(OR($AM97=$F$4,$AM97=$F$5),$B$22,0))</f>
        <v>687</v>
      </c>
      <c r="AP97" s="24">
        <f>VLOOKUP($R97,武学奇术!$A:$ZZ,28,FALSE)</f>
        <v>2.4876</v>
      </c>
      <c r="AQ97" s="25">
        <f>VLOOKUP($R97,武学奇术!$A:$ZZ,29,FALSE)*(1+IF(OR($AM97=$F$4,$AM97=$F$5),$B$22,0))</f>
        <v>375</v>
      </c>
      <c r="AR97" s="24" cm="1">
        <f t="array" ref="AR97">$G$3+IFERROR(VLOOKUP($AM97,$F$4:$G$7,2,FALSE),0)+VLOOKUP($R97,武学奇术!$A:$ZZ,2,FALSE)+SUM(_xlfn.XLOOKUP($S97:$AL97,增益!$A:$A,增益!$B:$B,0))</f>
        <v>0.2389</v>
      </c>
      <c r="AS97" s="24" cm="1">
        <f t="array" ref="AS97">VLOOKUP($R97,武学奇术!$A:$ZZ,5,FALSE)+SUM(_xlfn.XLOOKUP($S97:$AL97,增益!$A:$A,增益!$E:$E,0))</f>
        <v>0</v>
      </c>
      <c r="AT97" cm="1">
        <f t="array" ref="AT97">$D$10*(1+$AS97)+VLOOKUP($R97,武学奇术!$A:$ZZ,3,FALSE)+SUM(_xlfn.XLOOKUP($S97:$AL97,增益!$A:$A,增益!$C:$C,0))-$I$2</f>
        <v>3839.102</v>
      </c>
      <c r="AU97" cm="1">
        <f t="array" ref="AU97">$E$10*(1+$AS97)+VLOOKUP($R97,武学奇术!$A:$ZZ,4,FALSE)+SUM(_xlfn.XLOOKUP($S97:$AL97,增益!$A:$A,增益!$D:$D,0))-$I$2</f>
        <v>3839.102</v>
      </c>
      <c r="AV97" s="30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0.217</v>
      </c>
      <c r="AW97" s="30" cm="1">
        <f t="array" ref="AW97">$G$10+VLOOKUP($R97,武学奇术!$A:$ZZ,7,FALSE)+SUM(_xlfn.XLOOKUP($S97:$AL97,增益!$A:$A,增益!$G:$G,0))</f>
        <v>0.09</v>
      </c>
      <c r="AX97" s="24" cm="1">
        <f t="array" ref="AX97">VLOOKUP($R97,武学奇术!$A:$ZZ,8,FALSE)+SUM(_xlfn.XLOOKUP($S97:$AL97,增益!$A:$A,增益!$H:$H,0))</f>
        <v>0</v>
      </c>
      <c r="AY97">
        <f t="shared" si="14"/>
        <v>0</v>
      </c>
      <c r="AZ97">
        <f t="shared" si="15"/>
        <v>0</v>
      </c>
      <c r="BA97" s="30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0" cm="1">
        <f t="array" ref="BB97">$G$11+VLOOKUP($R97,武学奇术!$A:$ZZ,10,FALSE)+SUM(_xlfn.XLOOKUP($S97:$AL97,增益!$A:$A,增益!$J:$J,0))</f>
        <v>0</v>
      </c>
      <c r="BC97">
        <f t="shared" si="16"/>
        <v>0</v>
      </c>
      <c r="BD97">
        <f t="shared" si="17"/>
        <v>0</v>
      </c>
      <c r="BE97" s="30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0" cm="1">
        <f t="array" ref="BF97">$G$12+VLOOKUP($R97,武学奇术!$A:$ZZ,12,FALSE)+SUM(_xlfn.XLOOKUP($S97:$AL97,增益!$A:$A,增益!$L:$L,0))</f>
        <v>0</v>
      </c>
      <c r="BG97">
        <f t="shared" si="18"/>
        <v>0</v>
      </c>
      <c r="BH97">
        <f t="shared" si="19"/>
        <v>0</v>
      </c>
      <c r="BI97" s="30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-0.3</v>
      </c>
      <c r="BJ97" s="30" cm="1">
        <f t="array" ref="BJ97">$G$13+VLOOKUP($R97,武学奇术!$A:$ZZ,14,FALSE)+SUM(_xlfn.XLOOKUP($S97:$AL97,增益!$A:$A,增益!$N:$N,0))</f>
        <v>0</v>
      </c>
      <c r="BK97">
        <f t="shared" si="20"/>
        <v>605.472</v>
      </c>
      <c r="BL97">
        <f t="shared" si="21"/>
        <v>1725.468</v>
      </c>
      <c r="BM97" s="30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0</v>
      </c>
      <c r="BN97" s="30" cm="1">
        <f t="array" ref="BN97">$G$14+VLOOKUP($R97,武学奇术!$A:$ZZ,16,FALSE)+SUM(_xlfn.XLOOKUP($S97:$AL97,增益!$A:$A,增益!$P:$P,0))</f>
        <v>0.24</v>
      </c>
      <c r="BO97" s="24">
        <f>MIN(IF(VLOOKUP($R97,武学奇术!$A:$ZZ,23,FALSE)=1,100%,$B$8),100%)</f>
        <v>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+MIN(IF(VLOOKUP($R97,武学奇术!$A:$ZZ,32,FALSE)=1,IF(VLOOKUP($R97,武学奇术!$A:$ZZ,24,FALSE)=1,100%,MIN(40%,$B$10+VLOOKUP($R97,武学奇术!$A:$ZZ,19,FALSE)+SUM(_xlfn.XLOOKUP($S97:$AL97,增益!$A:$A,增益!$S:$S,0)))+$B$12+SUM(_xlfn.XLOOKUP($S97:$AL97,增益!$A:$A,增益!$V:$V,0))),0),12%)</f>
        <v>0.9036</v>
      </c>
      <c r="BQ97" s="24" cm="1">
        <f t="array" ref="BQ97">1+$B$13+VLOOKUP($R97,武学奇术!$A:$ZZ,18,FALSE)+SUM(_xlfn.XLOOKUP($S97:$AL97,增益!$A:$A,增益!$R:$R,0))</f>
        <v>1.64</v>
      </c>
      <c r="BR97" s="24" cm="1">
        <f t="array" ref="BR97">MAX(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-IF(VLOOKUP($R97,武学奇术!$A:$ZZ,32,FALSE)=1,12%,0),0)</f>
        <v>0.0929</v>
      </c>
      <c r="BS97" s="24" cm="1">
        <f t="array" ref="BS97">1+$B$14+VLOOKUP($R97,武学奇术!$A:$ZZ,20,FALSE)+SUM(_xlfn.XLOOKUP($S97:$AL97,增益!$A:$A,增益!$T:$T,0))</f>
        <v>1.35</v>
      </c>
      <c r="BT97" s="24">
        <f t="shared" si="22"/>
        <v>0.9036</v>
      </c>
      <c r="BU97" s="24">
        <f t="shared" si="23"/>
        <v>0.00350000000000006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0.11</v>
      </c>
      <c r="BX97" s="24" cm="1">
        <f t="array" ref="BX97">SUM(_xlfn.XLOOKUP($S97:$AL97,增益!$A:$A,增益!$X:$X,0))</f>
        <v>0</v>
      </c>
    </row>
    <row r="98" spans="11:76">
      <c r="K98">
        <f>$L98*VLOOKUP($R98,武学奇术!$A:$ZZ,31,FALSE)</f>
        <v>82959.6656161666</v>
      </c>
      <c r="L98" s="36">
        <f t="shared" si="25"/>
        <v>63815.1273970513</v>
      </c>
      <c r="M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BQ98*$Q98*(1+IF(VLOOKUP($R98,武学奇术!$A:$ZZ,30,FALSE)="蓄力技",$B$21,0))*(1+$BW98)</f>
        <v>65160.0782041902</v>
      </c>
      <c r="N98" s="36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蓄力技",$B$21,0))*(1+$BW98)</f>
        <v>51872.1624286763</v>
      </c>
      <c r="O98" s="36">
        <f>((($AT98+($AU98-$AT98)*IF(VLOOKUP($R98,武学奇术!$A:$ZZ,31,FALSE)=1,$F$18,0.5))*$AN98+$AO98)*(1+$AV98)*(1+$AW98)+(($AY98+($AZ98-$AY98)*IF(VLOOKUP($R98,武学奇术!$A:$ZZ,31,FALSE)=1,$F$18,0.5))*IF($G$1="鸣金",$AP98,$AN98)+IF($G$1="鸣金",$AQ98*1.5,0))*(1+$BA98)*(1+$BB98)+(($BC98+($BD98-$BC98)*IF(VLOOKUP($R98,武学奇术!$A:$ZZ,31,FALSE)=1,$F$18,0.5))*IF($G$1="裂石",$AP98,$AN98)+IF($G$1="裂石",$AQ98*1.5,0))*(1+$BE98)*(1+$BF98)+(($BG98+($BH98-$BG98)*IF(VLOOKUP($R98,武学奇术!$A:$ZZ,31,FALSE)=1,$F$18,0.5))*IF($G$1="牵丝",$AP98,$AN98)+IF($G$1="牵丝",$AQ98*1.5,0))*(1+$BI98)*(1+$BJ98)+(($BK98+($BL98-$BK98)*IF(VLOOKUP($R98,武学奇术!$A:$ZZ,31,FALSE)=1,$F$18,0.5))*IF($G$1="破竹",$AP98,$AN98)+IF($G$1="破竹",$AQ98*1.5,0))*(1+$BM98)*(1+$BN98))*(1+$AR98)*$Q98*(1+IF(VLOOKUP($R98,武学奇术!$A:$ZZ,30,FALSE)="蓄力技",$B$21,0))*(1+$BW98)</f>
        <v>33587.6691774176</v>
      </c>
      <c r="P98" s="36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蓄力技",$B$21,0))*(1+$BW98)</f>
        <v>28751.5143335935</v>
      </c>
      <c r="Q98" s="37">
        <v>1</v>
      </c>
      <c r="R98" s="38" t="s">
        <v>117</v>
      </c>
      <c r="S98" s="38" t="s">
        <v>104</v>
      </c>
      <c r="T98" s="38" t="s">
        <v>79</v>
      </c>
      <c r="U98" s="38" t="s">
        <v>79</v>
      </c>
      <c r="V98" s="38" t="s">
        <v>79</v>
      </c>
      <c r="W98" s="38" t="s">
        <v>79</v>
      </c>
      <c r="X98" s="38" t="s">
        <v>79</v>
      </c>
      <c r="Y98" s="38" t="s">
        <v>173</v>
      </c>
      <c r="Z98" s="38" t="s">
        <v>79</v>
      </c>
      <c r="AA98" s="38" t="s">
        <v>112</v>
      </c>
      <c r="AB98" s="38" t="s">
        <v>79</v>
      </c>
      <c r="AC98" s="38" t="s">
        <v>79</v>
      </c>
      <c r="AD98" s="38" t="s">
        <v>79</v>
      </c>
      <c r="AE98" s="38" t="s">
        <v>79</v>
      </c>
      <c r="AF98" s="38" t="s">
        <v>84</v>
      </c>
      <c r="AG98" s="38" t="s">
        <v>85</v>
      </c>
      <c r="AH98" s="38" t="s">
        <v>79</v>
      </c>
      <c r="AI98" s="38" t="s">
        <v>79</v>
      </c>
      <c r="AJ98" s="38" t="s">
        <v>79</v>
      </c>
      <c r="AK98" s="38" t="s">
        <v>79</v>
      </c>
      <c r="AL98" s="38" t="s">
        <v>79</v>
      </c>
      <c r="AM98" t="str">
        <f>VLOOKUP($R98,武学奇术!$A:$ZZ,25,FALSE)</f>
        <v>绳镖</v>
      </c>
      <c r="AN98" s="24">
        <f>VLOOKUP($R98,武学奇术!$A:$ZZ,26,FALSE)</f>
        <v>2.638944</v>
      </c>
      <c r="AO98" s="25">
        <f>VLOOKUP($R98,武学奇术!$A:$ZZ,27,FALSE)*(1+IF(OR($AM98=$F$4,$AM98=$F$5),$B$22,0))</f>
        <v>0</v>
      </c>
      <c r="AP98" s="24">
        <f>VLOOKUP($R98,武学奇术!$A:$ZZ,28,FALSE)</f>
        <v>3.958416</v>
      </c>
      <c r="AQ98" s="25">
        <f>VLOOKUP($R98,武学奇术!$A:$ZZ,29,FALSE)*(1+IF(OR($AM98=$F$4,$AM98=$F$5),$B$22,0))</f>
        <v>0</v>
      </c>
      <c r="AR98" s="24" cm="1">
        <f t="array" ref="AR98">$G$3+IFERROR(VLOOKUP($AM98,$F$4:$G$7,2,FALSE),0)+VLOOKUP($R98,武学奇术!$A:$ZZ,2,FALSE)+SUM(_xlfn.XLOOKUP($S98:$AL98,增益!$A:$A,增益!$B:$B,0))</f>
        <v>0.5389</v>
      </c>
      <c r="AS98" s="24" cm="1">
        <f t="array" ref="AS98">VLOOKUP($R98,武学奇术!$A:$ZZ,5,FALSE)+SUM(_xlfn.XLOOKUP($S98:$AL98,增益!$A:$A,增益!$E:$E,0))</f>
        <v>0</v>
      </c>
      <c r="AT98" cm="1">
        <f t="array" ref="AT98">$D$10*(1+$AS98)+VLOOKUP($R98,武学奇术!$A:$ZZ,3,FALSE)+SUM(_xlfn.XLOOKUP($S98:$AL98,增益!$A:$A,增益!$C:$C,0))-$I$2</f>
        <v>3839.102</v>
      </c>
      <c r="AU98" cm="1">
        <f t="array" ref="AU98">$E$10*(1+$AS98)+VLOOKUP($R98,武学奇术!$A:$ZZ,4,FALSE)+SUM(_xlfn.XLOOKUP($S98:$AL98,增益!$A:$A,增益!$D:$D,0))-$I$2</f>
        <v>3839.102</v>
      </c>
      <c r="AV98" s="30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0.247</v>
      </c>
      <c r="AW98" s="30" cm="1">
        <f t="array" ref="AW98">$G$10+VLOOKUP($R98,武学奇术!$A:$ZZ,7,FALSE)+SUM(_xlfn.XLOOKUP($S98:$AL98,增益!$A:$A,增益!$G:$G,0))</f>
        <v>0.09</v>
      </c>
      <c r="AX98" s="24" cm="1">
        <f t="array" ref="AX98">VLOOKUP($R98,武学奇术!$A:$ZZ,8,FALSE)+SUM(_xlfn.XLOOKUP($S98:$AL98,增益!$A:$A,增益!$H:$H,0))</f>
        <v>0</v>
      </c>
      <c r="AY98">
        <f t="shared" si="14"/>
        <v>0</v>
      </c>
      <c r="AZ98">
        <f t="shared" si="15"/>
        <v>0</v>
      </c>
      <c r="BA98" s="30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-0.24</v>
      </c>
      <c r="BB98" s="30" cm="1">
        <f t="array" ref="BB98">$G$11+VLOOKUP($R98,武学奇术!$A:$ZZ,10,FALSE)+SUM(_xlfn.XLOOKUP($S98:$AL98,增益!$A:$A,增益!$J:$J,0))</f>
        <v>0</v>
      </c>
      <c r="BC98">
        <f t="shared" si="16"/>
        <v>0</v>
      </c>
      <c r="BD98">
        <f t="shared" si="17"/>
        <v>0</v>
      </c>
      <c r="BE98" s="30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-0.24</v>
      </c>
      <c r="BF98" s="30" cm="1">
        <f t="array" ref="BF98">$G$12+VLOOKUP($R98,武学奇术!$A:$ZZ,12,FALSE)+SUM(_xlfn.XLOOKUP($S98:$AL98,增益!$A:$A,增益!$L:$L,0))</f>
        <v>0</v>
      </c>
      <c r="BG98">
        <f t="shared" si="18"/>
        <v>0</v>
      </c>
      <c r="BH98">
        <f t="shared" si="19"/>
        <v>0</v>
      </c>
      <c r="BI98" s="30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-0.24</v>
      </c>
      <c r="BJ98" s="30" cm="1">
        <f t="array" ref="BJ98">$G$13+VLOOKUP($R98,武学奇术!$A:$ZZ,14,FALSE)+SUM(_xlfn.XLOOKUP($S98:$AL98,增益!$A:$A,增益!$N:$N,0))</f>
        <v>0</v>
      </c>
      <c r="BK98">
        <f t="shared" si="20"/>
        <v>605.472</v>
      </c>
      <c r="BL98">
        <f t="shared" si="21"/>
        <v>1725.468</v>
      </c>
      <c r="BM98" s="30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0.03</v>
      </c>
      <c r="BN98" s="30" cm="1">
        <f t="array" ref="BN98">$G$14+VLOOKUP($R98,武学奇术!$A:$ZZ,16,FALSE)+SUM(_xlfn.XLOOKUP($S98:$AL98,增益!$A:$A,增益!$P:$P,0))</f>
        <v>0.24</v>
      </c>
      <c r="BO98" s="24">
        <f>MIN(IF(VLOOKUP($R98,武学奇术!$A:$ZZ,23,FALSE)=1,100%,$B$8),100%)</f>
        <v>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+MIN(IF(VLOOKUP($R98,武学奇术!$A:$ZZ,32,FALSE)=1,IF(VLOOKUP($R98,武学奇术!$A:$ZZ,24,FALSE)=1,100%,MIN(40%,$B$10+VLOOKUP($R98,武学奇术!$A:$ZZ,19,FALSE)+SUM(_xlfn.XLOOKUP($S98:$AL98,增益!$A:$A,增益!$S:$S,0)))+$B$12+SUM(_xlfn.XLOOKUP($S98:$AL98,增益!$A:$A,增益!$V:$V,0))),0),12%)</f>
        <v>0.9036</v>
      </c>
      <c r="BQ98" s="24" cm="1">
        <f t="array" ref="BQ98">1+$B$13+VLOOKUP($R98,武学奇术!$A:$ZZ,18,FALSE)+SUM(_xlfn.XLOOKUP($S98:$AL98,增益!$A:$A,增益!$R:$R,0))</f>
        <v>1.94</v>
      </c>
      <c r="BR98" s="24" cm="1">
        <f t="array" ref="BR98">MAX(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-IF(VLOOKUP($R98,武学奇术!$A:$ZZ,32,FALSE)=1,12%,0),0)</f>
        <v>0.0929</v>
      </c>
      <c r="BS98" s="24" cm="1">
        <f t="array" ref="BS98">1+$B$14+VLOOKUP($R98,武学奇术!$A:$ZZ,20,FALSE)+SUM(_xlfn.XLOOKUP($S98:$AL98,增益!$A:$A,增益!$T:$T,0))</f>
        <v>1.35</v>
      </c>
      <c r="BT98" s="24">
        <f t="shared" si="22"/>
        <v>0.9036</v>
      </c>
      <c r="BU98" s="24">
        <f t="shared" si="23"/>
        <v>0.00350000000000006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0.11</v>
      </c>
      <c r="BX98" s="24" cm="1">
        <f t="array" ref="BX98">SUM(_xlfn.XLOOKUP($S98:$AL98,增益!$A:$A,增益!$X:$X,0))</f>
        <v>0</v>
      </c>
    </row>
    <row r="99" spans="11:76">
      <c r="K99">
        <f>$L99*VLOOKUP($R99,武学奇术!$A:$ZZ,31,FALSE)</f>
        <v>23031.0419803788</v>
      </c>
      <c r="L99" s="36">
        <f t="shared" si="25"/>
        <v>23031.0419803788</v>
      </c>
      <c r="M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BQ99*$Q99*(1+IF(VLOOKUP($R99,武学奇术!$A:$ZZ,30,FALSE)="蓄力技",$B$21,0))*(1+$BW99)</f>
        <v>23219.5822926431</v>
      </c>
      <c r="N99" s="36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蓄力技",$B$21,0))*(1+$BW99)</f>
        <v>21531.4686129859</v>
      </c>
      <c r="O99" s="36">
        <f>((($AT99+($AU99-$AT99)*IF(VLOOKUP($R99,武学奇术!$A:$ZZ,31,FALSE)=1,$F$18,0.5))*$AN99+$AO99)*(1+$AV99)*(1+$AW99)+(($AY99+($AZ99-$AY99)*IF(VLOOKUP($R99,武学奇术!$A:$ZZ,31,FALSE)=1,$F$18,0.5))*IF($G$1="鸣金",$AP99,$AN99)+IF($G$1="鸣金",$AQ99*1.5,0))*(1+$BA99)*(1+$BB99)+(($BC99+($BD99-$BC99)*IF(VLOOKUP($R99,武学奇术!$A:$ZZ,31,FALSE)=1,$F$18,0.5))*IF($G$1="裂石",$AP99,$AN99)+IF($G$1="裂石",$AQ99*1.5,0))*(1+$BE99)*(1+$BF99)+(($BG99+($BH99-$BG99)*IF(VLOOKUP($R99,武学奇术!$A:$ZZ,31,FALSE)=1,$F$18,0.5))*IF($G$1="牵丝",$AP99,$AN99)+IF($G$1="牵丝",$AQ99*1.5,0))*(1+$BI99)*(1+$BJ99)+(($BK99+($BL99-$BK99)*IF(VLOOKUP($R99,武学奇术!$A:$ZZ,31,FALSE)=1,$F$18,0.5))*IF($G$1="破竹",$AP99,$AN99)+IF($G$1="破竹",$AQ99*1.5,0))*(1+$BM99)*(1+$BN99))*(1+$AR99)*$Q99*(1+IF(VLOOKUP($R99,武学奇术!$A:$ZZ,30,FALSE)="蓄力技",$B$21,0))*(1+$BW99)</f>
        <v>14158.281885758</v>
      </c>
      <c r="P99" s="36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蓄力技",$B$21,0))*(1+$BW99)</f>
        <v>12367.3277618967</v>
      </c>
      <c r="Q99" s="37">
        <v>1</v>
      </c>
      <c r="R99" s="38" t="s">
        <v>107</v>
      </c>
      <c r="S99" s="38" t="s">
        <v>104</v>
      </c>
      <c r="T99" s="38" t="s">
        <v>79</v>
      </c>
      <c r="U99" s="38" t="s">
        <v>79</v>
      </c>
      <c r="V99" s="38" t="s">
        <v>79</v>
      </c>
      <c r="W99" s="38" t="s">
        <v>79</v>
      </c>
      <c r="X99" s="38" t="s">
        <v>79</v>
      </c>
      <c r="Y99" s="38" t="s">
        <v>173</v>
      </c>
      <c r="Z99" s="38" t="s">
        <v>79</v>
      </c>
      <c r="AA99" s="38" t="s">
        <v>79</v>
      </c>
      <c r="AB99" s="38" t="s">
        <v>79</v>
      </c>
      <c r="AC99" s="38" t="s">
        <v>79</v>
      </c>
      <c r="AD99" s="38" t="s">
        <v>79</v>
      </c>
      <c r="AE99" s="38" t="s">
        <v>79</v>
      </c>
      <c r="AF99" s="38" t="s">
        <v>84</v>
      </c>
      <c r="AG99" s="38" t="s">
        <v>85</v>
      </c>
      <c r="AH99" s="38" t="s">
        <v>79</v>
      </c>
      <c r="AI99" s="38" t="s">
        <v>79</v>
      </c>
      <c r="AJ99" s="38" t="s">
        <v>79</v>
      </c>
      <c r="AK99" s="38" t="s">
        <v>79</v>
      </c>
      <c r="AL99" s="38" t="s">
        <v>79</v>
      </c>
      <c r="AM99" t="str">
        <f>VLOOKUP($R99,武学奇术!$A:$ZZ,25,FALSE)</f>
        <v>绳镖</v>
      </c>
      <c r="AN99" s="24">
        <f>VLOOKUP($R99,武学奇术!$A:$ZZ,26,FALSE)</f>
        <v>1.2503</v>
      </c>
      <c r="AO99" s="25">
        <f>VLOOKUP($R99,武学奇术!$A:$ZZ,27,FALSE)*(1+IF(OR($AM99=$F$4,$AM99=$F$5),$B$22,0))</f>
        <v>520.5</v>
      </c>
      <c r="AP99" s="24">
        <f>VLOOKUP($R99,武学奇术!$A:$ZZ,28,FALSE)</f>
        <v>1.8755</v>
      </c>
      <c r="AQ99" s="25">
        <f>VLOOKUP($R99,武学奇术!$A:$ZZ,29,FALSE)*(1+IF(OR($AM99=$F$4,$AM99=$F$5),$B$22,0))</f>
        <v>283.5</v>
      </c>
      <c r="AR99" s="24" cm="1">
        <f t="array" ref="AR99">$G$3+IFERROR(VLOOKUP($AM99,$F$4:$G$7,2,FALSE),0)+VLOOKUP($R99,武学奇术!$A:$ZZ,2,FALSE)+SUM(_xlfn.XLOOKUP($S99:$AL99,增益!$A:$A,增益!$B:$B,0))</f>
        <v>0.2389</v>
      </c>
      <c r="AS99" s="24" cm="1">
        <f t="array" ref="AS99">VLOOKUP($R99,武学奇术!$A:$ZZ,5,FALSE)+SUM(_xlfn.XLOOKUP($S99:$AL99,增益!$A:$A,增益!$E:$E,0))</f>
        <v>0</v>
      </c>
      <c r="AT99" cm="1">
        <f t="array" ref="AT99">$D$10*(1+$AS99)+VLOOKUP($R99,武学奇术!$A:$ZZ,3,FALSE)+SUM(_xlfn.XLOOKUP($S99:$AL99,增益!$A:$A,增益!$C:$C,0))-$I$2</f>
        <v>3839.102</v>
      </c>
      <c r="AU99" cm="1">
        <f t="array" ref="AU99">$E$10*(1+$AS99)+VLOOKUP($R99,武学奇术!$A:$ZZ,4,FALSE)+SUM(_xlfn.XLOOKUP($S99:$AL99,增益!$A:$A,增益!$D:$D,0))-$I$2</f>
        <v>3839.102</v>
      </c>
      <c r="AV99" s="30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0.217</v>
      </c>
      <c r="AW99" s="30" cm="1">
        <f t="array" ref="AW99">$G$10+VLOOKUP($R99,武学奇术!$A:$ZZ,7,FALSE)+SUM(_xlfn.XLOOKUP($S99:$AL99,增益!$A:$A,增益!$G:$G,0))</f>
        <v>0.09</v>
      </c>
      <c r="AX99" s="24" cm="1">
        <f t="array" ref="AX99">VLOOKUP($R99,武学奇术!$A:$ZZ,8,FALSE)+SUM(_xlfn.XLOOKUP($S99:$AL99,增益!$A:$A,增益!$H:$H,0))</f>
        <v>0</v>
      </c>
      <c r="AY99">
        <f t="shared" si="14"/>
        <v>0</v>
      </c>
      <c r="AZ99">
        <f t="shared" si="15"/>
        <v>0</v>
      </c>
      <c r="BA99" s="30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0" cm="1">
        <f t="array" ref="BB99">$G$11+VLOOKUP($R99,武学奇术!$A:$ZZ,10,FALSE)+SUM(_xlfn.XLOOKUP($S99:$AL99,增益!$A:$A,增益!$J:$J,0))</f>
        <v>0</v>
      </c>
      <c r="BC99">
        <f t="shared" si="16"/>
        <v>0</v>
      </c>
      <c r="BD99">
        <f t="shared" si="17"/>
        <v>0</v>
      </c>
      <c r="BE99" s="30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0" cm="1">
        <f t="array" ref="BF99">$G$12+VLOOKUP($R99,武学奇术!$A:$ZZ,12,FALSE)+SUM(_xlfn.XLOOKUP($S99:$AL99,增益!$A:$A,增益!$L:$L,0))</f>
        <v>0</v>
      </c>
      <c r="BG99">
        <f t="shared" si="18"/>
        <v>0</v>
      </c>
      <c r="BH99">
        <f t="shared" si="19"/>
        <v>0</v>
      </c>
      <c r="BI99" s="30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-0.3</v>
      </c>
      <c r="BJ99" s="30" cm="1">
        <f t="array" ref="BJ99">$G$13+VLOOKUP($R99,武学奇术!$A:$ZZ,14,FALSE)+SUM(_xlfn.XLOOKUP($S99:$AL99,增益!$A:$A,增益!$N:$N,0))</f>
        <v>0</v>
      </c>
      <c r="BK99">
        <f t="shared" si="20"/>
        <v>605.472</v>
      </c>
      <c r="BL99">
        <f t="shared" si="21"/>
        <v>1725.468</v>
      </c>
      <c r="BM99" s="30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0</v>
      </c>
      <c r="BN99" s="30" cm="1">
        <f t="array" ref="BN99">$G$14+VLOOKUP($R99,武学奇术!$A:$ZZ,16,FALSE)+SUM(_xlfn.XLOOKUP($S99:$AL99,增益!$A:$A,增益!$P:$P,0))</f>
        <v>0.24</v>
      </c>
      <c r="BO99" s="24">
        <f>MIN(IF(VLOOKUP($R99,武学奇术!$A:$ZZ,23,FALSE)=1,100%,$B$8),100%)</f>
        <v>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+MIN(IF(VLOOKUP($R99,武学奇术!$A:$ZZ,32,FALSE)=1,IF(VLOOKUP($R99,武学奇术!$A:$ZZ,24,FALSE)=1,100%,MIN(40%,$B$10+VLOOKUP($R99,武学奇术!$A:$ZZ,19,FALSE)+SUM(_xlfn.XLOOKUP($S99:$AL99,增益!$A:$A,增益!$S:$S,0)))+$B$12+SUM(_xlfn.XLOOKUP($S99:$AL99,增益!$A:$A,增益!$V:$V,0))),0),12%)</f>
        <v>0.9036</v>
      </c>
      <c r="BQ99" s="24" cm="1">
        <f t="array" ref="BQ99">1+$B$13+VLOOKUP($R99,武学奇术!$A:$ZZ,18,FALSE)+SUM(_xlfn.XLOOKUP($S99:$AL99,增益!$A:$A,增益!$R:$R,0))</f>
        <v>1.64</v>
      </c>
      <c r="BR99" s="24" cm="1">
        <f t="array" ref="BR99">MAX(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-IF(VLOOKUP($R99,武学奇术!$A:$ZZ,32,FALSE)=1,12%,0),0)</f>
        <v>0.0929</v>
      </c>
      <c r="BS99" s="24" cm="1">
        <f t="array" ref="BS99">1+$B$14+VLOOKUP($R99,武学奇术!$A:$ZZ,20,FALSE)+SUM(_xlfn.XLOOKUP($S99:$AL99,增益!$A:$A,增益!$T:$T,0))</f>
        <v>1.35</v>
      </c>
      <c r="BT99" s="24">
        <f t="shared" si="22"/>
        <v>0.9036</v>
      </c>
      <c r="BU99" s="24">
        <f t="shared" si="23"/>
        <v>0.00350000000000006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0.11</v>
      </c>
      <c r="BX99" s="24" cm="1">
        <f t="array" ref="BX99">SUM(_xlfn.XLOOKUP($S99:$AL99,增益!$A:$A,增益!$X:$X,0))</f>
        <v>0</v>
      </c>
    </row>
    <row r="100" spans="11:76">
      <c r="K100">
        <f>$L100*VLOOKUP($R100,武学奇术!$A:$ZZ,31,FALSE)</f>
        <v>69133.0546801389</v>
      </c>
      <c r="L100" s="36">
        <f t="shared" si="25"/>
        <v>53179.272830876</v>
      </c>
      <c r="M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BQ100*$Q100*(1+IF(VLOOKUP($R100,武学奇术!$A:$ZZ,30,FALSE)="蓄力技",$B$21,0))*(1+$BW100)</f>
        <v>54300.0651701585</v>
      </c>
      <c r="N100" s="36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蓄力技",$B$21,0))*(1+$BW100)</f>
        <v>43226.8020238969</v>
      </c>
      <c r="O100" s="36">
        <f>((($AT100+($AU100-$AT100)*IF(VLOOKUP($R100,武学奇术!$A:$ZZ,31,FALSE)=1,$F$18,0.5))*$AN100+$AO100)*(1+$AV100)*(1+$AW100)+(($AY100+($AZ100-$AY100)*IF(VLOOKUP($R100,武学奇术!$A:$ZZ,31,FALSE)=1,$F$18,0.5))*IF($G$1="鸣金",$AP100,$AN100)+IF($G$1="鸣金",$AQ100*1.5,0))*(1+$BA100)*(1+$BB100)+(($BC100+($BD100-$BC100)*IF(VLOOKUP($R100,武学奇术!$A:$ZZ,31,FALSE)=1,$F$18,0.5))*IF($G$1="裂石",$AP100,$AN100)+IF($G$1="裂石",$AQ100*1.5,0))*(1+$BE100)*(1+$BF100)+(($BG100+($BH100-$BG100)*IF(VLOOKUP($R100,武学奇术!$A:$ZZ,31,FALSE)=1,$F$18,0.5))*IF($G$1="牵丝",$AP100,$AN100)+IF($G$1="牵丝",$AQ100*1.5,0))*(1+$BI100)*(1+$BJ100)+(($BK100+($BL100-$BK100)*IF(VLOOKUP($R100,武学奇术!$A:$ZZ,31,FALSE)=1,$F$18,0.5))*IF($G$1="破竹",$AP100,$AN100)+IF($G$1="破竹",$AQ100*1.5,0))*(1+$BM100)*(1+$BN100))*(1+$AR100)*$Q100*(1+IF(VLOOKUP($R100,武学奇术!$A:$ZZ,30,FALSE)="蓄力技",$B$21,0))*(1+$BW100)</f>
        <v>27989.7243145147</v>
      </c>
      <c r="P100" s="36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蓄力技",$B$21,0))*(1+$BW100)</f>
        <v>23959.5952779946</v>
      </c>
      <c r="Q100" s="37">
        <v>1</v>
      </c>
      <c r="R100" s="38" t="s">
        <v>111</v>
      </c>
      <c r="S100" s="38" t="s">
        <v>104</v>
      </c>
      <c r="T100" s="38" t="s">
        <v>79</v>
      </c>
      <c r="U100" s="38" t="s">
        <v>79</v>
      </c>
      <c r="V100" s="38" t="s">
        <v>79</v>
      </c>
      <c r="W100" s="38" t="s">
        <v>79</v>
      </c>
      <c r="X100" s="38" t="s">
        <v>79</v>
      </c>
      <c r="Y100" s="38" t="s">
        <v>173</v>
      </c>
      <c r="Z100" s="38" t="s">
        <v>79</v>
      </c>
      <c r="AA100" s="38" t="s">
        <v>112</v>
      </c>
      <c r="AB100" s="38" t="s">
        <v>79</v>
      </c>
      <c r="AC100" s="38" t="s">
        <v>79</v>
      </c>
      <c r="AD100" s="38" t="s">
        <v>79</v>
      </c>
      <c r="AE100" s="38" t="s">
        <v>79</v>
      </c>
      <c r="AF100" s="38" t="s">
        <v>84</v>
      </c>
      <c r="AG100" s="38" t="s">
        <v>85</v>
      </c>
      <c r="AH100" s="38" t="s">
        <v>79</v>
      </c>
      <c r="AI100" s="38" t="s">
        <v>79</v>
      </c>
      <c r="AJ100" s="38" t="s">
        <v>79</v>
      </c>
      <c r="AK100" s="38" t="s">
        <v>79</v>
      </c>
      <c r="AL100" s="38" t="s">
        <v>79</v>
      </c>
      <c r="AM100" t="str">
        <f>VLOOKUP($R100,武学奇术!$A:$ZZ,25,FALSE)</f>
        <v>绳镖</v>
      </c>
      <c r="AN100" s="24">
        <f>VLOOKUP($R100,武学奇术!$A:$ZZ,26,FALSE)</f>
        <v>2.19912</v>
      </c>
      <c r="AO100" s="25">
        <f>VLOOKUP($R100,武学奇术!$A:$ZZ,27,FALSE)*(1+IF(OR($AM100=$F$4,$AM100=$F$5),$B$22,0))</f>
        <v>0</v>
      </c>
      <c r="AP100" s="24">
        <f>VLOOKUP($R100,武学奇术!$A:$ZZ,28,FALSE)</f>
        <v>3.29868</v>
      </c>
      <c r="AQ100" s="25">
        <f>VLOOKUP($R100,武学奇术!$A:$ZZ,29,FALSE)*(1+IF(OR($AM100=$F$4,$AM100=$F$5),$B$22,0))</f>
        <v>0</v>
      </c>
      <c r="AR100" s="24" cm="1">
        <f t="array" ref="AR100">$G$3+IFERROR(VLOOKUP($AM100,$F$4:$G$7,2,FALSE),0)+VLOOKUP($R100,武学奇术!$A:$ZZ,2,FALSE)+SUM(_xlfn.XLOOKUP($S100:$AL100,增益!$A:$A,增益!$B:$B,0))</f>
        <v>0.5389</v>
      </c>
      <c r="AS100" s="24" cm="1">
        <f t="array" ref="AS100">VLOOKUP($R100,武学奇术!$A:$ZZ,5,FALSE)+SUM(_xlfn.XLOOKUP($S100:$AL100,增益!$A:$A,增益!$E:$E,0))</f>
        <v>0</v>
      </c>
      <c r="AT100" cm="1">
        <f t="array" ref="AT100">$D$10*(1+$AS100)+VLOOKUP($R100,武学奇术!$A:$ZZ,3,FALSE)+SUM(_xlfn.XLOOKUP($S100:$AL100,增益!$A:$A,增益!$C:$C,0))-$I$2</f>
        <v>3839.102</v>
      </c>
      <c r="AU100" cm="1">
        <f t="array" ref="AU100">$E$10*(1+$AS100)+VLOOKUP($R100,武学奇术!$A:$ZZ,4,FALSE)+SUM(_xlfn.XLOOKUP($S100:$AL100,增益!$A:$A,增益!$D:$D,0))-$I$2</f>
        <v>3839.102</v>
      </c>
      <c r="AV100" s="30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0.247</v>
      </c>
      <c r="AW100" s="30" cm="1">
        <f t="array" ref="AW100">$G$10+VLOOKUP($R100,武学奇术!$A:$ZZ,7,FALSE)+SUM(_xlfn.XLOOKUP($S100:$AL100,增益!$A:$A,增益!$G:$G,0))</f>
        <v>0.09</v>
      </c>
      <c r="AX100" s="24" cm="1">
        <f t="array" ref="AX100">VLOOKUP($R100,武学奇术!$A:$ZZ,8,FALSE)+SUM(_xlfn.XLOOKUP($S100:$AL100,增益!$A:$A,增益!$H:$H,0))</f>
        <v>0</v>
      </c>
      <c r="AY100">
        <f t="shared" si="14"/>
        <v>0</v>
      </c>
      <c r="AZ100">
        <f t="shared" si="15"/>
        <v>0</v>
      </c>
      <c r="BA100" s="30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-0.24</v>
      </c>
      <c r="BB100" s="30" cm="1">
        <f t="array" ref="BB100">$G$11+VLOOKUP($R100,武学奇术!$A:$ZZ,10,FALSE)+SUM(_xlfn.XLOOKUP($S100:$AL100,增益!$A:$A,增益!$J:$J,0))</f>
        <v>0</v>
      </c>
      <c r="BC100">
        <f t="shared" si="16"/>
        <v>0</v>
      </c>
      <c r="BD100">
        <f t="shared" si="17"/>
        <v>0</v>
      </c>
      <c r="BE100" s="30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-0.24</v>
      </c>
      <c r="BF100" s="30" cm="1">
        <f t="array" ref="BF100">$G$12+VLOOKUP($R100,武学奇术!$A:$ZZ,12,FALSE)+SUM(_xlfn.XLOOKUP($S100:$AL100,增益!$A:$A,增益!$L:$L,0))</f>
        <v>0</v>
      </c>
      <c r="BG100">
        <f t="shared" si="18"/>
        <v>0</v>
      </c>
      <c r="BH100">
        <f t="shared" si="19"/>
        <v>0</v>
      </c>
      <c r="BI100" s="30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-0.24</v>
      </c>
      <c r="BJ100" s="30" cm="1">
        <f t="array" ref="BJ100">$G$13+VLOOKUP($R100,武学奇术!$A:$ZZ,14,FALSE)+SUM(_xlfn.XLOOKUP($S100:$AL100,增益!$A:$A,增益!$N:$N,0))</f>
        <v>0</v>
      </c>
      <c r="BK100">
        <f t="shared" si="20"/>
        <v>605.472</v>
      </c>
      <c r="BL100">
        <f t="shared" si="21"/>
        <v>1725.468</v>
      </c>
      <c r="BM100" s="30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0.03</v>
      </c>
      <c r="BN100" s="30" cm="1">
        <f t="array" ref="BN100">$G$14+VLOOKUP($R100,武学奇术!$A:$ZZ,16,FALSE)+SUM(_xlfn.XLOOKUP($S100:$AL100,增益!$A:$A,增益!$P:$P,0))</f>
        <v>0.24</v>
      </c>
      <c r="BO100" s="24">
        <f>MIN(IF(VLOOKUP($R100,武学奇术!$A:$ZZ,23,FALSE)=1,100%,$B$8),100%)</f>
        <v>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+MIN(IF(VLOOKUP($R100,武学奇术!$A:$ZZ,32,FALSE)=1,IF(VLOOKUP($R100,武学奇术!$A:$ZZ,24,FALSE)=1,100%,MIN(40%,$B$10+VLOOKUP($R100,武学奇术!$A:$ZZ,19,FALSE)+SUM(_xlfn.XLOOKUP($S100:$AL100,增益!$A:$A,增益!$S:$S,0)))+$B$12+SUM(_xlfn.XLOOKUP($S100:$AL100,增益!$A:$A,增益!$V:$V,0))),0),12%)</f>
        <v>0.9036</v>
      </c>
      <c r="BQ100" s="24" cm="1">
        <f t="array" ref="BQ100">1+$B$13+VLOOKUP($R100,武学奇术!$A:$ZZ,18,FALSE)+SUM(_xlfn.XLOOKUP($S100:$AL100,增益!$A:$A,增益!$R:$R,0))</f>
        <v>1.94</v>
      </c>
      <c r="BR100" s="24" cm="1">
        <f t="array" ref="BR100">MAX(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-IF(VLOOKUP($R100,武学奇术!$A:$ZZ,32,FALSE)=1,12%,0),0)</f>
        <v>0.0929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2"/>
        <v>0.9036</v>
      </c>
      <c r="BU100" s="24">
        <f t="shared" si="23"/>
        <v>0.00350000000000006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0.11</v>
      </c>
      <c r="BX100" s="24" cm="1">
        <f t="array" ref="BX100">SUM(_xlfn.XLOOKUP($S100:$AL100,增益!$A:$A,增益!$X:$X,0))</f>
        <v>0</v>
      </c>
    </row>
    <row r="101" spans="11:76">
      <c r="K101">
        <f>$L101*VLOOKUP($R101,武学奇术!$A:$ZZ,31,FALSE)</f>
        <v>107785.307771362</v>
      </c>
      <c r="L101" s="36">
        <f t="shared" si="25"/>
        <v>107785.307771362</v>
      </c>
      <c r="M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BQ101*$Q101*(1+IF(VLOOKUP($R101,武学奇术!$A:$ZZ,30,FALSE)="蓄力技",$B$21,0))*(1+$BW101)</f>
        <v>108566.59703257</v>
      </c>
      <c r="N101" s="36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蓄力技",$B$21,0))*(1+$BW101)</f>
        <v>101752.784573407</v>
      </c>
      <c r="O101" s="36">
        <f>((($AT101+($AU101-$AT101)*IF(VLOOKUP($R101,武学奇术!$A:$ZZ,31,FALSE)=1,$F$18,0.5))*$AN101+$AO101)*(1+$AV101)*(1+$AW101)+(($AY101+($AZ101-$AY101)*IF(VLOOKUP($R101,武学奇术!$A:$ZZ,31,FALSE)=1,$F$18,0.5))*IF($G$1="鸣金",$AP101,$AN101)+IF($G$1="鸣金",$AQ101*1.5,0))*(1+$BA101)*(1+$BB101)+(($BC101+($BD101-$BC101)*IF(VLOOKUP($R101,武学奇术!$A:$ZZ,31,FALSE)=1,$F$18,0.5))*IF($G$1="裂石",$AP101,$AN101)+IF($G$1="裂石",$AQ101*1.5,0))*(1+$BE101)*(1+$BF101)+(($BG101+($BH101-$BG101)*IF(VLOOKUP($R101,武学奇术!$A:$ZZ,31,FALSE)=1,$F$18,0.5))*IF($G$1="牵丝",$AP101,$AN101)+IF($G$1="牵丝",$AQ101*1.5,0))*(1+$BI101)*(1+$BJ101)+(($BK101+($BL101-$BK101)*IF(VLOOKUP($R101,武学奇术!$A:$ZZ,31,FALSE)=1,$F$18,0.5))*IF($G$1="破竹",$AP101,$AN101)+IF($G$1="破竹",$AQ101*1.5,0))*(1+$BM101)*(1+$BN101))*(1+$AR101)*$Q101*(1+IF(VLOOKUP($R101,武学奇术!$A:$ZZ,30,FALSE)="蓄力技",$B$21,0))*(1+$BW101)</f>
        <v>66199.1445320551</v>
      </c>
      <c r="P101" s="36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蓄力技",$B$21,0))*(1+$BW101)</f>
        <v>57025.8560467716</v>
      </c>
      <c r="Q101" s="37">
        <v>1</v>
      </c>
      <c r="R101" s="38" t="s">
        <v>199</v>
      </c>
      <c r="S101" s="38" t="s">
        <v>104</v>
      </c>
      <c r="T101" s="38" t="s">
        <v>79</v>
      </c>
      <c r="U101" s="38" t="s">
        <v>79</v>
      </c>
      <c r="V101" s="38" t="s">
        <v>79</v>
      </c>
      <c r="W101" s="38" t="s">
        <v>79</v>
      </c>
      <c r="X101" s="38" t="s">
        <v>79</v>
      </c>
      <c r="Y101" s="38" t="s">
        <v>173</v>
      </c>
      <c r="Z101" s="38" t="s">
        <v>79</v>
      </c>
      <c r="AA101" s="38" t="s">
        <v>79</v>
      </c>
      <c r="AB101" s="38" t="s">
        <v>79</v>
      </c>
      <c r="AC101" s="38" t="s">
        <v>79</v>
      </c>
      <c r="AD101" s="38" t="s">
        <v>79</v>
      </c>
      <c r="AE101" s="38" t="s">
        <v>79</v>
      </c>
      <c r="AF101" s="38" t="s">
        <v>84</v>
      </c>
      <c r="AG101" s="38" t="s">
        <v>85</v>
      </c>
      <c r="AH101" s="38" t="s">
        <v>79</v>
      </c>
      <c r="AI101" s="38" t="s">
        <v>79</v>
      </c>
      <c r="AJ101" s="38" t="s">
        <v>79</v>
      </c>
      <c r="AK101" s="38" t="s">
        <v>79</v>
      </c>
      <c r="AL101" s="38" t="s">
        <v>79</v>
      </c>
      <c r="AM101" t="str">
        <f>VLOOKUP($R101,武学奇术!$A:$ZZ,25,FALSE)</f>
        <v>群体奇术</v>
      </c>
      <c r="AN101" s="24">
        <f>VLOOKUP($R101,武学奇术!$A:$ZZ,26,FALSE)</f>
        <v>6.87717</v>
      </c>
      <c r="AO101" s="25">
        <f>VLOOKUP($R101,武学奇术!$A:$ZZ,27,FALSE)*(1+IF(OR($AM101=$F$4,$AM101=$F$5),$B$22,0))</f>
        <v>1328.4</v>
      </c>
      <c r="AP101" s="24">
        <f>VLOOKUP($R101,武学奇术!$A:$ZZ,28,FALSE)</f>
        <v>10.315755</v>
      </c>
      <c r="AQ101" s="25">
        <f>VLOOKUP($R101,武学奇术!$A:$ZZ,29,FALSE)*(1+IF(OR($AM101=$F$4,$AM101=$F$5),$B$22,0))</f>
        <v>0</v>
      </c>
      <c r="AR101" s="24" cm="1">
        <f t="array" ref="AR101">$G$3+IFERROR(VLOOKUP($AM101,$F$4:$G$7,2,FALSE),0)+VLOOKUP($R101,武学奇术!$A:$ZZ,2,FALSE)+SUM(_xlfn.XLOOKUP($S101:$AL101,增益!$A:$A,增益!$B:$B,0))</f>
        <v>0.1537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3839.102</v>
      </c>
      <c r="AU101" cm="1">
        <f t="array" ref="AU101">$E$10*(1+$AS101)+VLOOKUP($R101,武学奇术!$A:$ZZ,4,FALSE)+SUM(_xlfn.XLOOKUP($S101:$AL101,增益!$A:$A,增益!$D:$D,0))-$I$2</f>
        <v>3839.102</v>
      </c>
      <c r="AV101" s="30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0.217</v>
      </c>
      <c r="AW101" s="30" cm="1">
        <f t="array" ref="AW101">$G$10+VLOOKUP($R101,武学奇术!$A:$ZZ,7,FALSE)+SUM(_xlfn.XLOOKUP($S101:$AL101,增益!$A:$A,增益!$G:$G,0))</f>
        <v>0.09</v>
      </c>
      <c r="AX101" s="24" cm="1">
        <f t="array" ref="AX101">VLOOKUP($R101,武学奇术!$A:$ZZ,8,FALSE)+SUM(_xlfn.XLOOKUP($S101:$AL101,增益!$A:$A,增益!$H:$H,0))</f>
        <v>0</v>
      </c>
      <c r="AY101">
        <f t="shared" si="14"/>
        <v>0</v>
      </c>
      <c r="AZ101">
        <f t="shared" si="15"/>
        <v>0</v>
      </c>
      <c r="BA101" s="30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0" cm="1">
        <f t="array" ref="BB101">$G$11+VLOOKUP($R101,武学奇术!$A:$ZZ,10,FALSE)+SUM(_xlfn.XLOOKUP($S101:$AL101,增益!$A:$A,增益!$J:$J,0))</f>
        <v>0</v>
      </c>
      <c r="BC101">
        <f t="shared" si="16"/>
        <v>0</v>
      </c>
      <c r="BD101">
        <f t="shared" si="17"/>
        <v>0</v>
      </c>
      <c r="BE101" s="30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0" cm="1">
        <f t="array" ref="BF101">$G$12+VLOOKUP($R101,武学奇术!$A:$ZZ,12,FALSE)+SUM(_xlfn.XLOOKUP($S101:$AL101,增益!$A:$A,增益!$L:$L,0))</f>
        <v>0</v>
      </c>
      <c r="BG101">
        <f t="shared" si="18"/>
        <v>0</v>
      </c>
      <c r="BH101">
        <f t="shared" si="19"/>
        <v>0</v>
      </c>
      <c r="BI101" s="30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-0.3</v>
      </c>
      <c r="BJ101" s="30" cm="1">
        <f t="array" ref="BJ101">$G$13+VLOOKUP($R101,武学奇术!$A:$ZZ,14,FALSE)+SUM(_xlfn.XLOOKUP($S101:$AL101,增益!$A:$A,增益!$N:$N,0))</f>
        <v>0</v>
      </c>
      <c r="BK101">
        <f t="shared" si="20"/>
        <v>605.472</v>
      </c>
      <c r="BL101">
        <f t="shared" si="21"/>
        <v>1725.468</v>
      </c>
      <c r="BM101" s="30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0</v>
      </c>
      <c r="BN101" s="30" cm="1">
        <f t="array" ref="BN101">$G$14+VLOOKUP($R101,武学奇术!$A:$ZZ,16,FALSE)+SUM(_xlfn.XLOOKUP($S101:$AL101,增益!$A:$A,增益!$P:$P,0))</f>
        <v>0.24</v>
      </c>
      <c r="BO101" s="24">
        <f>MIN(IF(VLOOKUP($R101,武学奇术!$A:$ZZ,23,FALSE)=1,100%,$B$8),100%)</f>
        <v>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+MIN(IF(VLOOKUP($R101,武学奇术!$A:$ZZ,32,FALSE)=1,IF(VLOOKUP($R101,武学奇术!$A:$ZZ,24,FALSE)=1,100%,MIN(40%,$B$10+VLOOKUP($R101,武学奇术!$A:$ZZ,19,FALSE)+SUM(_xlfn.XLOOKUP($S101:$AL101,增益!$A:$A,增益!$S:$S,0)))+$B$12+SUM(_xlfn.XLOOKUP($S101:$AL101,增益!$A:$A,增益!$V:$V,0))),0),12%)</f>
        <v>0.9036</v>
      </c>
      <c r="BQ101" s="24" cm="1">
        <f t="array" ref="BQ101">1+$B$13+VLOOKUP($R101,武学奇术!$A:$ZZ,18,FALSE)+SUM(_xlfn.XLOOKUP($S101:$AL101,增益!$A:$A,增益!$R:$R,0))</f>
        <v>1.64</v>
      </c>
      <c r="BR101" s="24" cm="1">
        <f t="array" ref="BR101">MAX(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-IF(VLOOKUP($R101,武学奇术!$A:$ZZ,32,FALSE)=1,12%,0),0)</f>
        <v>0.0929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2"/>
        <v>0.9036</v>
      </c>
      <c r="BU101" s="24">
        <f t="shared" si="23"/>
        <v>0.00350000000000006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0.11</v>
      </c>
      <c r="BX101" s="24" cm="1">
        <f t="array" ref="BX101">SUM(_xlfn.XLOOKUP($S101:$AL101,增益!$A:$A,增益!$X:$X,0))</f>
        <v>0</v>
      </c>
    </row>
    <row r="102" spans="11:76">
      <c r="K102">
        <f>$L102*VLOOKUP($R102,武学奇术!$A:$ZZ,31,FALSE)</f>
        <v>727811.193696133</v>
      </c>
      <c r="L102" s="36">
        <f t="shared" si="25"/>
        <v>861315.022125601</v>
      </c>
      <c r="M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BQ102*$Q102*(1+IF(VLOOKUP($R102,武学奇术!$A:$ZZ,30,FALSE)="蓄力技",$B$21,0))*(1+$BW102)</f>
        <v>863071.860871685</v>
      </c>
      <c r="N102" s="36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蓄力技",$B$21,0))*(1+$BW102)</f>
        <v>545447.643601865</v>
      </c>
      <c r="O102" s="36">
        <f>((($AT102+($AU102-$AT102)*IF(VLOOKUP($R102,武学奇术!$A:$ZZ,31,FALSE)=1,$F$18,0.5))*$AN102+$AO102)*(1+$AV102)*(1+$AW102)+(($AY102+($AZ102-$AY102)*IF(VLOOKUP($R102,武学奇术!$A:$ZZ,31,FALSE)=1,$F$18,0.5))*IF($G$1="鸣金",$AP102,$AN102)+IF($G$1="鸣金",$AQ102*1.5,0))*(1+$BA102)*(1+$BB102)+(($BC102+($BD102-$BC102)*IF(VLOOKUP($R102,武学奇术!$A:$ZZ,31,FALSE)=1,$F$18,0.5))*IF($G$1="裂石",$AP102,$AN102)+IF($G$1="裂石",$AQ102*1.5,0))*(1+$BE102)*(1+$BF102)+(($BG102+($BH102-$BG102)*IF(VLOOKUP($R102,武学奇术!$A:$ZZ,31,FALSE)=1,$F$18,0.5))*IF($G$1="牵丝",$AP102,$AN102)+IF($G$1="牵丝",$AQ102*1.5,0))*(1+$BI102)*(1+$BJ102)+(($BK102+($BL102-$BK102)*IF(VLOOKUP($R102,武学奇术!$A:$ZZ,31,FALSE)=1,$F$18,0.5))*IF($G$1="破竹",$AP102,$AN102)+IF($G$1="破竹",$AQ102*1.5,0))*(1+$BM102)*(1+$BN102))*(1+$AR102)*$Q102*(1+IF(VLOOKUP($R102,武学奇术!$A:$ZZ,30,FALSE)="蓄力技",$B$21,0))*(1+$BW102)</f>
        <v>361117.933419115</v>
      </c>
      <c r="P102" s="36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蓄力技",$B$21,0))*(1+$BW102)</f>
        <v>318200.575281293</v>
      </c>
      <c r="Q102" s="37">
        <v>1</v>
      </c>
      <c r="R102" s="38" t="s">
        <v>138</v>
      </c>
      <c r="S102" s="38" t="s">
        <v>104</v>
      </c>
      <c r="T102" s="38" t="s">
        <v>139</v>
      </c>
      <c r="U102" s="38" t="s">
        <v>79</v>
      </c>
      <c r="V102" s="38" t="s">
        <v>79</v>
      </c>
      <c r="W102" s="38" t="s">
        <v>79</v>
      </c>
      <c r="X102" s="38" t="s">
        <v>79</v>
      </c>
      <c r="Y102" s="38" t="s">
        <v>173</v>
      </c>
      <c r="Z102" s="38" t="s">
        <v>79</v>
      </c>
      <c r="AA102" s="38" t="s">
        <v>112</v>
      </c>
      <c r="AB102" s="38" t="s">
        <v>79</v>
      </c>
      <c r="AC102" s="38" t="s">
        <v>79</v>
      </c>
      <c r="AD102" s="38" t="s">
        <v>79</v>
      </c>
      <c r="AE102" s="38" t="s">
        <v>79</v>
      </c>
      <c r="AF102" s="38" t="s">
        <v>84</v>
      </c>
      <c r="AG102" s="38" t="s">
        <v>85</v>
      </c>
      <c r="AH102" s="38" t="s">
        <v>79</v>
      </c>
      <c r="AI102" s="38" t="s">
        <v>79</v>
      </c>
      <c r="AJ102" s="38" t="s">
        <v>79</v>
      </c>
      <c r="AK102" s="38" t="s">
        <v>79</v>
      </c>
      <c r="AL102" s="38" t="s">
        <v>79</v>
      </c>
      <c r="AM102" t="str">
        <f>VLOOKUP($R102,武学奇术!$A:$ZZ,25,FALSE)</f>
        <v>拳甲</v>
      </c>
      <c r="AN102" s="24">
        <f>VLOOKUP($R102,武学奇术!$A:$ZZ,26,FALSE)</f>
        <v>16.8107</v>
      </c>
      <c r="AO102" s="25">
        <f>VLOOKUP($R102,武学奇术!$A:$ZZ,27,FALSE)*(1+IF(OR($AM102=$F$4,$AM102=$F$5),$B$22,0))</f>
        <v>6970.5</v>
      </c>
      <c r="AP102" s="24">
        <f>VLOOKUP($R102,武学奇术!$A:$ZZ,28,FALSE)</f>
        <v>25.2161</v>
      </c>
      <c r="AQ102" s="25">
        <f>VLOOKUP($R102,武学奇术!$A:$ZZ,29,FALSE)*(1+IF(OR($AM102=$F$4,$AM102=$F$5),$B$22,0))</f>
        <v>3799.5</v>
      </c>
      <c r="AR102" s="24" cm="1">
        <f t="array" ref="AR102">$G$3+IFERROR(VLOOKUP($AM102,$F$4:$G$7,2,FALSE),0)+VLOOKUP($R102,武学奇术!$A:$ZZ,2,FALSE)+SUM(_xlfn.XLOOKUP($S102:$AL102,增益!$A:$A,增益!$B:$B,0))</f>
        <v>0.6241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3839.102</v>
      </c>
      <c r="AU102" cm="1">
        <f t="array" ref="AU102">$E$10*(1+$AS102)+VLOOKUP($R102,武学奇术!$A:$ZZ,4,FALSE)+SUM(_xlfn.XLOOKUP($S102:$AL102,增益!$A:$A,增益!$D:$D,0))-$I$2</f>
        <v>3839.102</v>
      </c>
      <c r="AV102" s="30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0.372</v>
      </c>
      <c r="AW102" s="30" cm="1">
        <f t="array" ref="AW102">$G$10+VLOOKUP($R102,武学奇术!$A:$ZZ,7,FALSE)+SUM(_xlfn.XLOOKUP($S102:$AL102,增益!$A:$A,增益!$G:$G,0))</f>
        <v>0.09</v>
      </c>
      <c r="AX102" s="24" cm="1">
        <f t="array" ref="AX102">VLOOKUP($R102,武学奇术!$A:$ZZ,8,FALSE)+SUM(_xlfn.XLOOKUP($S102:$AL102,增益!$A:$A,增益!$H:$H,0))</f>
        <v>0</v>
      </c>
      <c r="AY102">
        <f t="shared" si="14"/>
        <v>0</v>
      </c>
      <c r="AZ102">
        <f t="shared" si="15"/>
        <v>0</v>
      </c>
      <c r="BA102" s="30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-0.24</v>
      </c>
      <c r="BB102" s="30" cm="1">
        <f t="array" ref="BB102">$G$11+VLOOKUP($R102,武学奇术!$A:$ZZ,10,FALSE)+SUM(_xlfn.XLOOKUP($S102:$AL102,增益!$A:$A,增益!$J:$J,0))</f>
        <v>0</v>
      </c>
      <c r="BC102">
        <f t="shared" si="16"/>
        <v>0</v>
      </c>
      <c r="BD102">
        <f t="shared" si="17"/>
        <v>0</v>
      </c>
      <c r="BE102" s="30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-0.24</v>
      </c>
      <c r="BF102" s="30" cm="1">
        <f t="array" ref="BF102">$G$12+VLOOKUP($R102,武学奇术!$A:$ZZ,12,FALSE)+SUM(_xlfn.XLOOKUP($S102:$AL102,增益!$A:$A,增益!$L:$L,0))</f>
        <v>0</v>
      </c>
      <c r="BG102">
        <f t="shared" si="18"/>
        <v>0</v>
      </c>
      <c r="BH102">
        <f t="shared" si="19"/>
        <v>0</v>
      </c>
      <c r="BI102" s="30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-0.24</v>
      </c>
      <c r="BJ102" s="30" cm="1">
        <f t="array" ref="BJ102">$G$13+VLOOKUP($R102,武学奇术!$A:$ZZ,14,FALSE)+SUM(_xlfn.XLOOKUP($S102:$AL102,增益!$A:$A,增益!$N:$N,0))</f>
        <v>0</v>
      </c>
      <c r="BK102">
        <f t="shared" si="20"/>
        <v>605.472</v>
      </c>
      <c r="BL102">
        <f t="shared" si="21"/>
        <v>1725.468</v>
      </c>
      <c r="BM102" s="30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0.03</v>
      </c>
      <c r="BN102" s="30" cm="1">
        <f t="array" ref="BN102">$G$14+VLOOKUP($R102,武学奇术!$A:$ZZ,16,FALSE)+SUM(_xlfn.XLOOKUP($S102:$AL102,增益!$A:$A,增益!$P:$P,0))</f>
        <v>0.24</v>
      </c>
      <c r="BO102" s="24">
        <f>MIN(IF(VLOOKUP($R102,武学奇术!$A:$ZZ,23,FALSE)=1,100%,$B$8),100%)</f>
        <v>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+MIN(IF(VLOOKUP($R102,武学奇术!$A:$ZZ,32,FALSE)=1,IF(VLOOKUP($R102,武学奇术!$A:$ZZ,24,FALSE)=1,100%,MIN(40%,$B$10+VLOOKUP($R102,武学奇术!$A:$ZZ,19,FALSE)+SUM(_xlfn.XLOOKUP($S102:$AL102,增益!$A:$A,增益!$S:$S,0)))+$B$12+SUM(_xlfn.XLOOKUP($S102:$AL102,增益!$A:$A,增益!$V:$V,0))),0),12%)</f>
        <v>0.9965</v>
      </c>
      <c r="BQ102" s="24" cm="1">
        <f t="array" ref="BQ102">1+$B$13+VLOOKUP($R102,武学奇术!$A:$ZZ,18,FALSE)+SUM(_xlfn.XLOOKUP($S102:$AL102,增益!$A:$A,增益!$R:$R,0))</f>
        <v>2.39</v>
      </c>
      <c r="BR102" s="24" cm="1">
        <f t="array" ref="BR102">MAX(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-IF(VLOOKUP($R102,武学奇术!$A:$ZZ,32,FALSE)=1,12%,0),0)</f>
        <v>0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2"/>
        <v>0.9965</v>
      </c>
      <c r="BU102" s="24">
        <f t="shared" si="23"/>
        <v>0.00350000000000006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0.11</v>
      </c>
      <c r="BX102" s="24" cm="1">
        <f t="array" ref="BX102">SUM(_xlfn.XLOOKUP($S102:$AL102,增益!$A:$A,增益!$X:$X,0))</f>
        <v>0</v>
      </c>
    </row>
    <row r="103" spans="11:76">
      <c r="K103">
        <f>$L103*VLOOKUP($R103,武学奇术!$A:$ZZ,31,FALSE)</f>
        <v>172263.00442512</v>
      </c>
      <c r="L103" s="87">
        <f>L102*0.4*(1+BX103)</f>
        <v>344526.00885024</v>
      </c>
      <c r="M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BQ103*$Q103*(1+IF(VLOOKUP($R103,武学奇术!$A:$ZZ,30,FALSE)="蓄力技",$B$21,0))*(1+$BW103)</f>
        <v>0</v>
      </c>
      <c r="N103" s="36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蓄力技",$B$21,0))*(1+$BW103)</f>
        <v>0</v>
      </c>
      <c r="O103" s="36">
        <f>((($AT103+($AU103-$AT103)*IF(VLOOKUP($R103,武学奇术!$A:$ZZ,31,FALSE)=1,$F$18,0.5))*$AN103+$AO103)*(1+$AV103)*(1+$AW103)+(($AY103+($AZ103-$AY103)*IF(VLOOKUP($R103,武学奇术!$A:$ZZ,31,FALSE)=1,$F$18,0.5))*IF($G$1="鸣金",$AP103,$AN103)+IF($G$1="鸣金",$AQ103*1.5,0))*(1+$BA103)*(1+$BB103)+(($BC103+($BD103-$BC103)*IF(VLOOKUP($R103,武学奇术!$A:$ZZ,31,FALSE)=1,$F$18,0.5))*IF($G$1="裂石",$AP103,$AN103)+IF($G$1="裂石",$AQ103*1.5,0))*(1+$BE103)*(1+$BF103)+(($BG103+($BH103-$BG103)*IF(VLOOKUP($R103,武学奇术!$A:$ZZ,31,FALSE)=1,$F$18,0.5))*IF($G$1="牵丝",$AP103,$AN103)+IF($G$1="牵丝",$AQ103*1.5,0))*(1+$BI103)*(1+$BJ103)+(($BK103+($BL103-$BK103)*IF(VLOOKUP($R103,武学奇术!$A:$ZZ,31,FALSE)=1,$F$18,0.5))*IF($G$1="破竹",$AP103,$AN103)+IF($G$1="破竹",$AQ103*1.5,0))*(1+$BM103)*(1+$BN103))*(1+$AR103)*$Q103*(1+IF(VLOOKUP($R103,武学奇术!$A:$ZZ,30,FALSE)="蓄力技",$B$21,0))*(1+$BW103)</f>
        <v>0</v>
      </c>
      <c r="P103" s="36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蓄力技",$B$21,0))*(1+$BW103)</f>
        <v>0</v>
      </c>
      <c r="Q103" s="37">
        <v>1</v>
      </c>
      <c r="R103" s="38" t="s">
        <v>145</v>
      </c>
      <c r="S103" s="38" t="s">
        <v>146</v>
      </c>
      <c r="T103" s="38" t="s">
        <v>79</v>
      </c>
      <c r="U103" s="38" t="s">
        <v>79</v>
      </c>
      <c r="V103" s="38" t="s">
        <v>79</v>
      </c>
      <c r="W103" s="38" t="s">
        <v>79</v>
      </c>
      <c r="X103" s="38" t="s">
        <v>79</v>
      </c>
      <c r="Y103" s="38" t="s">
        <v>79</v>
      </c>
      <c r="Z103" s="38" t="s">
        <v>79</v>
      </c>
      <c r="AA103" s="38" t="s">
        <v>79</v>
      </c>
      <c r="AB103" s="38" t="s">
        <v>79</v>
      </c>
      <c r="AC103" s="38" t="s">
        <v>79</v>
      </c>
      <c r="AD103" s="38" t="s">
        <v>79</v>
      </c>
      <c r="AE103" s="38" t="s">
        <v>79</v>
      </c>
      <c r="AF103" s="38" t="s">
        <v>84</v>
      </c>
      <c r="AG103" s="38" t="s">
        <v>85</v>
      </c>
      <c r="AH103" s="38" t="s">
        <v>79</v>
      </c>
      <c r="AI103" s="38" t="s">
        <v>79</v>
      </c>
      <c r="AJ103" s="38" t="s">
        <v>79</v>
      </c>
      <c r="AK103" s="38" t="s">
        <v>79</v>
      </c>
      <c r="AL103" s="38" t="s">
        <v>79</v>
      </c>
      <c r="AM103" t="str">
        <f>VLOOKUP($R103,武学奇术!$A:$ZZ,25,FALSE)</f>
        <v>拳甲</v>
      </c>
      <c r="AN103" s="24">
        <f>VLOOKUP($R103,武学奇术!$A:$ZZ,26,FALSE)</f>
        <v>0</v>
      </c>
      <c r="AO103" s="25">
        <f>VLOOKUP($R103,武学奇术!$A:$ZZ,27,FALSE)*(1+IF(OR($AM103=$F$4,$AM103=$F$5),$B$22,0))</f>
        <v>0</v>
      </c>
      <c r="AP103" s="24">
        <f>VLOOKUP($R103,武学奇术!$A:$ZZ,28,FALSE)</f>
        <v>0</v>
      </c>
      <c r="AQ103" s="25">
        <f>VLOOKUP($R103,武学奇术!$A:$ZZ,29,FALSE)*(1+IF(OR($AM103=$F$4,$AM103=$F$5),$B$22,0))</f>
        <v>0</v>
      </c>
      <c r="AR103" s="24" cm="1">
        <f t="array" ref="AR103">$G$3+IFERROR(VLOOKUP($AM103,$F$4:$G$7,2,FALSE),0)+VLOOKUP($R103,武学奇术!$A:$ZZ,2,FALSE)+SUM(_xlfn.XLOOKUP($S103:$AL103,增益!$A:$A,增益!$B:$B,0))</f>
        <v>0.2741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3839.102</v>
      </c>
      <c r="AU103" cm="1">
        <f t="array" ref="AU103">$E$10*(1+$AS103)+VLOOKUP($R103,武学奇术!$A:$ZZ,4,FALSE)+SUM(_xlfn.XLOOKUP($S103:$AL103,增益!$A:$A,增益!$D:$D,0))-$I$2</f>
        <v>3839.102</v>
      </c>
      <c r="AV103" s="30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0.167</v>
      </c>
      <c r="AW103" s="30" cm="1">
        <f t="array" ref="AW103">$G$10+VLOOKUP($R103,武学奇术!$A:$ZZ,7,FALSE)+SUM(_xlfn.XLOOKUP($S103:$AL103,增益!$A:$A,增益!$G:$G,0))</f>
        <v>0.09</v>
      </c>
      <c r="AX103" s="24" cm="1">
        <f t="array" ref="AX103">VLOOKUP($R103,武学奇术!$A:$ZZ,8,FALSE)+SUM(_xlfn.XLOOKUP($S103:$AL103,增益!$A:$A,增益!$H:$H,0))</f>
        <v>0</v>
      </c>
      <c r="AY103">
        <f t="shared" si="14"/>
        <v>0</v>
      </c>
      <c r="AZ103">
        <f t="shared" si="15"/>
        <v>0</v>
      </c>
      <c r="BA103" s="30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0" cm="1">
        <f t="array" ref="BB103">$G$11+VLOOKUP($R103,武学奇术!$A:$ZZ,10,FALSE)+SUM(_xlfn.XLOOKUP($S103:$AL103,增益!$A:$A,增益!$J:$J,0))</f>
        <v>0</v>
      </c>
      <c r="BC103">
        <f t="shared" si="16"/>
        <v>0</v>
      </c>
      <c r="BD103">
        <f t="shared" si="17"/>
        <v>0</v>
      </c>
      <c r="BE103" s="30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0" cm="1">
        <f t="array" ref="BF103">$G$12+VLOOKUP($R103,武学奇术!$A:$ZZ,12,FALSE)+SUM(_xlfn.XLOOKUP($S103:$AL103,增益!$A:$A,增益!$L:$L,0))</f>
        <v>0</v>
      </c>
      <c r="BG103">
        <f t="shared" si="18"/>
        <v>0</v>
      </c>
      <c r="BH103">
        <f t="shared" si="19"/>
        <v>0</v>
      </c>
      <c r="BI103" s="30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-0.3</v>
      </c>
      <c r="BJ103" s="30" cm="1">
        <f t="array" ref="BJ103">$G$13+VLOOKUP($R103,武学奇术!$A:$ZZ,14,FALSE)+SUM(_xlfn.XLOOKUP($S103:$AL103,增益!$A:$A,增益!$N:$N,0))</f>
        <v>0</v>
      </c>
      <c r="BK103">
        <f t="shared" si="20"/>
        <v>605.472</v>
      </c>
      <c r="BL103">
        <f t="shared" si="21"/>
        <v>1725.468</v>
      </c>
      <c r="BM103" s="30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0</v>
      </c>
      <c r="BN103" s="30" cm="1">
        <f t="array" ref="BN103">$G$14+VLOOKUP($R103,武学奇术!$A:$ZZ,16,FALSE)+SUM(_xlfn.XLOOKUP($S103:$AL103,增益!$A:$A,增益!$P:$P,0))</f>
        <v>0.24</v>
      </c>
      <c r="BO103" s="24">
        <f>MIN(IF(VLOOKUP($R103,武学奇术!$A:$ZZ,23,FALSE)=1,100%,$B$8),100%)</f>
        <v>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+MIN(IF(VLOOKUP($R103,武学奇术!$A:$ZZ,32,FALSE)=1,IF(VLOOKUP($R103,武学奇术!$A:$ZZ,24,FALSE)=1,100%,MIN(40%,$B$10+VLOOKUP($R103,武学奇术!$A:$ZZ,19,FALSE)+SUM(_xlfn.XLOOKUP($S103:$AL103,增益!$A:$A,增益!$S:$S,0)))+$B$12+SUM(_xlfn.XLOOKUP($S103:$AL103,增益!$A:$A,增益!$V:$V,0))),0),12%)</f>
        <v>0.9036</v>
      </c>
      <c r="BQ103" s="24" cm="1">
        <f t="array" ref="BQ103">1+$B$13+VLOOKUP($R103,武学奇术!$A:$ZZ,18,FALSE)+SUM(_xlfn.XLOOKUP($S103:$AL103,增益!$A:$A,增益!$R:$R,0))</f>
        <v>1.54</v>
      </c>
      <c r="BR103" s="24" cm="1">
        <f t="array" ref="BR103">MAX(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-IF(VLOOKUP($R103,武学奇术!$A:$ZZ,32,FALSE)=1,12%,0),0)</f>
        <v>0.0929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2"/>
        <v>0.9036</v>
      </c>
      <c r="BU103" s="24">
        <f t="shared" si="23"/>
        <v>0.00350000000000006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0.11</v>
      </c>
      <c r="BX103" s="24" cm="1">
        <f t="array" ref="BX103">SUM(_xlfn.XLOOKUP($S103:$AL103,增益!$A:$A,增益!$X:$X,0))</f>
        <v>0</v>
      </c>
    </row>
    <row r="104" spans="11:76">
      <c r="K104">
        <f>$L104*VLOOKUP($R104,武学奇术!$A:$ZZ,31,FALSE)</f>
        <v>605983.742302811</v>
      </c>
      <c r="L104" s="36">
        <f t="shared" ref="L104:L136" si="26">($M104*$BT104+$N104*$BR104+$O104*$BU104+$P104*$BV104)</f>
        <v>605983.742302811</v>
      </c>
      <c r="M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BQ104*$Q104*(1+IF(VLOOKUP($R104,武学奇术!$A:$ZZ,30,FALSE)="蓄力技",$B$21,0))*(1+$BW104)</f>
        <v>610376.324927596</v>
      </c>
      <c r="N104" s="36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蓄力技",$B$21,0))*(1+$BW104)</f>
        <v>572067.413320513</v>
      </c>
      <c r="O104" s="36">
        <f>((($AT104+($AU104-$AT104)*IF(VLOOKUP($R104,武学奇术!$A:$ZZ,31,FALSE)=1,$F$18,0.5))*$AN104+$AO104)*(1+$AV104)*(1+$AW104)+(($AY104+($AZ104-$AY104)*IF(VLOOKUP($R104,武学奇术!$A:$ZZ,31,FALSE)=1,$F$18,0.5))*IF($G$1="鸣金",$AP104,$AN104)+IF($G$1="鸣金",$AQ104*1.5,0))*(1+$BA104)*(1+$BB104)+(($BC104+($BD104-$BC104)*IF(VLOOKUP($R104,武学奇术!$A:$ZZ,31,FALSE)=1,$F$18,0.5))*IF($G$1="裂石",$AP104,$AN104)+IF($G$1="裂石",$AQ104*1.5,0))*(1+$BE104)*(1+$BF104)+(($BG104+($BH104-$BG104)*IF(VLOOKUP($R104,武学奇术!$A:$ZZ,31,FALSE)=1,$F$18,0.5))*IF($G$1="牵丝",$AP104,$AN104)+IF($G$1="牵丝",$AQ104*1.5,0))*(1+$BI104)*(1+$BJ104)+(($BK104+($BL104-$BK104)*IF(VLOOKUP($R104,武学奇术!$A:$ZZ,31,FALSE)=1,$F$18,0.5))*IF($G$1="破竹",$AP104,$AN104)+IF($G$1="破竹",$AQ104*1.5,0))*(1+$BM104)*(1+$BN104))*(1+$AR104)*$Q104*(1+IF(VLOOKUP($R104,武学奇术!$A:$ZZ,30,FALSE)="蓄力技",$B$21,0))*(1+$BW104)</f>
        <v>372180.685931461</v>
      </c>
      <c r="P104" s="36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蓄力技",$B$21,0))*(1+$BW104)</f>
        <v>320607.732366245</v>
      </c>
      <c r="Q104" s="37">
        <v>1</v>
      </c>
      <c r="R104" s="38" t="s">
        <v>200</v>
      </c>
      <c r="S104" s="38" t="s">
        <v>104</v>
      </c>
      <c r="T104" s="38" t="s">
        <v>79</v>
      </c>
      <c r="U104" s="38" t="s">
        <v>79</v>
      </c>
      <c r="V104" s="38" t="s">
        <v>79</v>
      </c>
      <c r="W104" s="38" t="s">
        <v>188</v>
      </c>
      <c r="X104" s="38" t="s">
        <v>79</v>
      </c>
      <c r="Y104" s="38" t="s">
        <v>173</v>
      </c>
      <c r="Z104" s="38" t="s">
        <v>79</v>
      </c>
      <c r="AA104" s="38" t="s">
        <v>79</v>
      </c>
      <c r="AB104" s="38" t="s">
        <v>79</v>
      </c>
      <c r="AC104" s="38" t="s">
        <v>79</v>
      </c>
      <c r="AD104" s="38" t="s">
        <v>79</v>
      </c>
      <c r="AE104" s="38" t="s">
        <v>79</v>
      </c>
      <c r="AF104" s="38" t="s">
        <v>84</v>
      </c>
      <c r="AG104" s="38" t="s">
        <v>85</v>
      </c>
      <c r="AH104" s="38" t="s">
        <v>79</v>
      </c>
      <c r="AI104" s="38" t="s">
        <v>79</v>
      </c>
      <c r="AJ104" s="38" t="s">
        <v>79</v>
      </c>
      <c r="AK104" s="38" t="s">
        <v>79</v>
      </c>
      <c r="AL104" s="38" t="s">
        <v>79</v>
      </c>
      <c r="AM104" t="str">
        <f>VLOOKUP($R104,武学奇术!$A:$ZZ,25,FALSE)</f>
        <v>单体奇术</v>
      </c>
      <c r="AN104" s="24">
        <f>VLOOKUP($R104,武学奇术!$A:$ZZ,26,FALSE)</f>
        <v>25.201792</v>
      </c>
      <c r="AO104" s="25">
        <f>VLOOKUP($R104,武学奇术!$A:$ZZ,27,FALSE)*(1+IF(OR($AM104=$F$4,$AM104=$F$5),$B$22,0))</f>
        <v>4869.48</v>
      </c>
      <c r="AP104" s="24">
        <f>VLOOKUP($R104,武学奇术!$A:$ZZ,28,FALSE)</f>
        <v>37.802688</v>
      </c>
      <c r="AQ104" s="25">
        <f>VLOOKUP($R104,武学奇术!$A:$ZZ,29,FALSE)*(1+IF(OR($AM104=$F$4,$AM104=$F$5),$B$22,0))</f>
        <v>0</v>
      </c>
      <c r="AR104" s="24" cm="1">
        <f t="array" ref="AR104">$G$3+IFERROR(VLOOKUP($AM104,$F$4:$G$7,2,FALSE),0)+VLOOKUP($R104,武学奇术!$A:$ZZ,2,FALSE)+SUM(_xlfn.XLOOKUP($S104:$AL104,增益!$A:$A,增益!$B:$B,0))</f>
        <v>0.6237</v>
      </c>
      <c r="AS104" s="24" cm="1">
        <f t="array" ref="AS104">VLOOKUP($R104,武学奇术!$A:$ZZ,5,FALSE)+SUM(_xlfn.XLOOKUP($S104:$AL104,增益!$A:$A,增益!$E:$E,0))</f>
        <v>0</v>
      </c>
      <c r="AT104" cm="1">
        <f t="array" ref="AT104">$D$10*(1+$AS104)+VLOOKUP($R104,武学奇术!$A:$ZZ,3,FALSE)+SUM(_xlfn.XLOOKUP($S104:$AL104,增益!$A:$A,增益!$C:$C,0))-$I$2</f>
        <v>3839.102</v>
      </c>
      <c r="AU104" cm="1">
        <f t="array" ref="AU104">$E$10*(1+$AS104)+VLOOKUP($R104,武学奇术!$A:$ZZ,4,FALSE)+SUM(_xlfn.XLOOKUP($S104:$AL104,增益!$A:$A,增益!$D:$D,0))-$I$2</f>
        <v>3839.102</v>
      </c>
      <c r="AV104" s="30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0.217</v>
      </c>
      <c r="AW104" s="30" cm="1">
        <f t="array" ref="AW104">$G$10+VLOOKUP($R104,武学奇术!$A:$ZZ,7,FALSE)+SUM(_xlfn.XLOOKUP($S104:$AL104,增益!$A:$A,增益!$G:$G,0))</f>
        <v>0.09</v>
      </c>
      <c r="AX104" s="24" cm="1">
        <f t="array" ref="AX104">VLOOKUP($R104,武学奇术!$A:$ZZ,8,FALSE)+SUM(_xlfn.XLOOKUP($S104:$AL104,增益!$A:$A,增益!$H:$H,0))</f>
        <v>0</v>
      </c>
      <c r="AY104">
        <f t="shared" si="14"/>
        <v>0</v>
      </c>
      <c r="AZ104">
        <f t="shared" si="15"/>
        <v>0</v>
      </c>
      <c r="BA104" s="30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0" cm="1">
        <f t="array" ref="BB104">$G$11+VLOOKUP($R104,武学奇术!$A:$ZZ,10,FALSE)+SUM(_xlfn.XLOOKUP($S104:$AL104,增益!$A:$A,增益!$J:$J,0))</f>
        <v>0</v>
      </c>
      <c r="BC104">
        <f t="shared" si="16"/>
        <v>0</v>
      </c>
      <c r="BD104">
        <f t="shared" si="17"/>
        <v>0</v>
      </c>
      <c r="BE104" s="30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0" cm="1">
        <f t="array" ref="BF104">$G$12+VLOOKUP($R104,武学奇术!$A:$ZZ,12,FALSE)+SUM(_xlfn.XLOOKUP($S104:$AL104,增益!$A:$A,增益!$L:$L,0))</f>
        <v>0</v>
      </c>
      <c r="BG104">
        <f t="shared" si="18"/>
        <v>0</v>
      </c>
      <c r="BH104">
        <f t="shared" si="19"/>
        <v>0</v>
      </c>
      <c r="BI104" s="30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-0.3</v>
      </c>
      <c r="BJ104" s="30" cm="1">
        <f t="array" ref="BJ104">$G$13+VLOOKUP($R104,武学奇术!$A:$ZZ,14,FALSE)+SUM(_xlfn.XLOOKUP($S104:$AL104,增益!$A:$A,增益!$N:$N,0))</f>
        <v>0</v>
      </c>
      <c r="BK104">
        <f t="shared" si="20"/>
        <v>605.472</v>
      </c>
      <c r="BL104">
        <f t="shared" si="21"/>
        <v>1725.468</v>
      </c>
      <c r="BM104" s="30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0</v>
      </c>
      <c r="BN104" s="30" cm="1">
        <f t="array" ref="BN104">$G$14+VLOOKUP($R104,武学奇术!$A:$ZZ,16,FALSE)+SUM(_xlfn.XLOOKUP($S104:$AL104,增益!$A:$A,增益!$P:$P,0))</f>
        <v>0.24</v>
      </c>
      <c r="BO104" s="24">
        <f>MIN(IF(VLOOKUP($R104,武学奇术!$A:$ZZ,23,FALSE)=1,100%,$B$8),100%)</f>
        <v>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+MIN(IF(VLOOKUP($R104,武学奇术!$A:$ZZ,32,FALSE)=1,IF(VLOOKUP($R104,武学奇术!$A:$ZZ,24,FALSE)=1,100%,MIN(40%,$B$10+VLOOKUP($R104,武学奇术!$A:$ZZ,19,FALSE)+SUM(_xlfn.XLOOKUP($S104:$AL104,增益!$A:$A,增益!$S:$S,0)))+$B$12+SUM(_xlfn.XLOOKUP($S104:$AL104,增益!$A:$A,增益!$V:$V,0))),0),12%)</f>
        <v>0.9036</v>
      </c>
      <c r="BQ104" s="24" cm="1">
        <f t="array" ref="BQ104">1+$B$13+VLOOKUP($R104,武学奇术!$A:$ZZ,18,FALSE)+SUM(_xlfn.XLOOKUP($S104:$AL104,增益!$A:$A,增益!$R:$R,0))</f>
        <v>1.64</v>
      </c>
      <c r="BR104" s="24" cm="1">
        <f t="array" ref="BR104">MAX(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-IF(VLOOKUP($R104,武学奇术!$A:$ZZ,32,FALSE)=1,12%,0),0)</f>
        <v>0.0929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2"/>
        <v>0.9036</v>
      </c>
      <c r="BU104" s="24">
        <f t="shared" si="23"/>
        <v>0.00350000000000006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0.21</v>
      </c>
      <c r="BX104" s="24" cm="1">
        <f t="array" ref="BX104">SUM(_xlfn.XLOOKUP($S104:$AL104,增益!$A:$A,增益!$X:$X,0))</f>
        <v>0</v>
      </c>
    </row>
    <row r="105" spans="11:76">
      <c r="K105">
        <f>$L105*VLOOKUP($R105,武学奇术!$A:$ZZ,31,FALSE)</f>
        <v>0</v>
      </c>
      <c r="L105" s="36">
        <f t="shared" si="26"/>
        <v>0</v>
      </c>
      <c r="M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BQ105*$Q105*(1+IF(VLOOKUP($R105,武学奇术!$A:$ZZ,30,FALSE)="蓄力技",$B$21,0))*(1+$BW105)</f>
        <v>0</v>
      </c>
      <c r="N105" s="36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蓄力技",$B$21,0))*(1+$BW105)</f>
        <v>0</v>
      </c>
      <c r="O105" s="36">
        <f>((($AT105+($AU105-$AT105)*IF(VLOOKUP($R105,武学奇术!$A:$ZZ,31,FALSE)=1,$F$18,0.5))*$AN105+$AO105)*(1+$AV105)*(1+$AW105)+(($AY105+($AZ105-$AY105)*IF(VLOOKUP($R105,武学奇术!$A:$ZZ,31,FALSE)=1,$F$18,0.5))*IF($G$1="鸣金",$AP105,$AN105)+IF($G$1="鸣金",$AQ105*1.5,0))*(1+$BA105)*(1+$BB105)+(($BC105+($BD105-$BC105)*IF(VLOOKUP($R105,武学奇术!$A:$ZZ,31,FALSE)=1,$F$18,0.5))*IF($G$1="裂石",$AP105,$AN105)+IF($G$1="裂石",$AQ105*1.5,0))*(1+$BE105)*(1+$BF105)+(($BG105+($BH105-$BG105)*IF(VLOOKUP($R105,武学奇术!$A:$ZZ,31,FALSE)=1,$F$18,0.5))*IF($G$1="牵丝",$AP105,$AN105)+IF($G$1="牵丝",$AQ105*1.5,0))*(1+$BI105)*(1+$BJ105)+(($BK105+($BL105-$BK105)*IF(VLOOKUP($R105,武学奇术!$A:$ZZ,31,FALSE)=1,$F$18,0.5))*IF($G$1="破竹",$AP105,$AN105)+IF($G$1="破竹",$AQ105*1.5,0))*(1+$BM105)*(1+$BN105))*(1+$AR105)*$Q105*(1+IF(VLOOKUP($R105,武学奇术!$A:$ZZ,30,FALSE)="蓄力技",$B$21,0))*(1+$BW105)</f>
        <v>0</v>
      </c>
      <c r="P105" s="36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蓄力技",$B$21,0))*(1+$BW105)</f>
        <v>0</v>
      </c>
      <c r="Q105" s="37">
        <v>1</v>
      </c>
      <c r="R105" s="38" t="s">
        <v>79</v>
      </c>
      <c r="S105" s="38" t="s">
        <v>79</v>
      </c>
      <c r="T105" s="38" t="s">
        <v>79</v>
      </c>
      <c r="U105" s="38" t="s">
        <v>79</v>
      </c>
      <c r="V105" s="38" t="s">
        <v>79</v>
      </c>
      <c r="W105" s="38" t="s">
        <v>79</v>
      </c>
      <c r="X105" s="38" t="s">
        <v>79</v>
      </c>
      <c r="Y105" s="38" t="s">
        <v>79</v>
      </c>
      <c r="Z105" s="38" t="s">
        <v>79</v>
      </c>
      <c r="AA105" s="38" t="s">
        <v>79</v>
      </c>
      <c r="AB105" s="38" t="s">
        <v>79</v>
      </c>
      <c r="AC105" s="38" t="s">
        <v>79</v>
      </c>
      <c r="AD105" s="38" t="s">
        <v>79</v>
      </c>
      <c r="AE105" s="38" t="s">
        <v>79</v>
      </c>
      <c r="AF105" s="38" t="s">
        <v>84</v>
      </c>
      <c r="AG105" s="38" t="s">
        <v>85</v>
      </c>
      <c r="AH105" s="38" t="s">
        <v>79</v>
      </c>
      <c r="AI105" s="38" t="s">
        <v>79</v>
      </c>
      <c r="AJ105" s="38" t="s">
        <v>79</v>
      </c>
      <c r="AK105" s="38" t="s">
        <v>79</v>
      </c>
      <c r="AL105" s="38" t="s">
        <v>79</v>
      </c>
      <c r="AM105" t="str">
        <f>VLOOKUP($R105,武学奇术!$A:$ZZ,25,FALSE)</f>
        <v>心法</v>
      </c>
      <c r="AN105" s="24">
        <f>VLOOKUP($R105,武学奇术!$A:$ZZ,26,FALSE)</f>
        <v>0</v>
      </c>
      <c r="AO105" s="25">
        <f>VLOOKUP($R105,武学奇术!$A:$ZZ,27,FALSE)*(1+IF(OR($AM105=$F$4,$AM105=$F$5),$B$22,0))</f>
        <v>0</v>
      </c>
      <c r="AP105" s="24">
        <f>VLOOKUP($R105,武学奇术!$A:$ZZ,28,FALSE)</f>
        <v>0</v>
      </c>
      <c r="AQ105" s="25">
        <f>VLOOKUP($R105,武学奇术!$A:$ZZ,29,FALSE)*(1+IF(OR($AM105=$F$4,$AM105=$F$5),$B$22,0))</f>
        <v>0</v>
      </c>
      <c r="AR105" s="24" cm="1">
        <f t="array" ref="AR105">$G$3+IFERROR(VLOOKUP($AM105,$F$4:$G$7,2,FALSE),0)+VLOOKUP($R105,武学奇术!$A:$ZZ,2,FALSE)+SUM(_xlfn.XLOOKUP($S105:$AL105,增益!$A:$A,增益!$B:$B,0))</f>
        <v>0.1037</v>
      </c>
      <c r="AS105" s="24" cm="1">
        <f t="array" ref="AS105">VLOOKUP($R105,武学奇术!$A:$ZZ,5,FALSE)+SUM(_xlfn.XLOOKUP($S105:$AL105,增益!$A:$A,增益!$E:$E,0))</f>
        <v>0</v>
      </c>
      <c r="AT105" cm="1">
        <f t="array" ref="AT105">$D$10*(1+$AS105)+VLOOKUP($R105,武学奇术!$A:$ZZ,3,FALSE)+SUM(_xlfn.XLOOKUP($S105:$AL105,增益!$A:$A,增益!$C:$C,0))-$I$2</f>
        <v>3839.102</v>
      </c>
      <c r="AU105" cm="1">
        <f t="array" ref="AU105">$E$10*(1+$AS105)+VLOOKUP($R105,武学奇术!$A:$ZZ,4,FALSE)+SUM(_xlfn.XLOOKUP($S105:$AL105,增益!$A:$A,增益!$D:$D,0))-$I$2</f>
        <v>3839.102</v>
      </c>
      <c r="AV105" s="30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0.167</v>
      </c>
      <c r="AW105" s="30" cm="1">
        <f t="array" ref="AW105">$G$10+VLOOKUP($R105,武学奇术!$A:$ZZ,7,FALSE)+SUM(_xlfn.XLOOKUP($S105:$AL105,增益!$A:$A,增益!$G:$G,0))</f>
        <v>0.09</v>
      </c>
      <c r="AX105" s="24" cm="1">
        <f t="array" ref="AX105">VLOOKUP($R105,武学奇术!$A:$ZZ,8,FALSE)+SUM(_xlfn.XLOOKUP($S105:$AL105,增益!$A:$A,增益!$H:$H,0))</f>
        <v>0</v>
      </c>
      <c r="AY105">
        <f t="shared" si="14"/>
        <v>0</v>
      </c>
      <c r="AZ105">
        <f t="shared" si="15"/>
        <v>0</v>
      </c>
      <c r="BA105" s="30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0" cm="1">
        <f t="array" ref="BB105">$G$11+VLOOKUP($R105,武学奇术!$A:$ZZ,10,FALSE)+SUM(_xlfn.XLOOKUP($S105:$AL105,增益!$A:$A,增益!$J:$J,0))</f>
        <v>0</v>
      </c>
      <c r="BC105">
        <f t="shared" si="16"/>
        <v>0</v>
      </c>
      <c r="BD105">
        <f t="shared" si="17"/>
        <v>0</v>
      </c>
      <c r="BE105" s="30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0" cm="1">
        <f t="array" ref="BF105">$G$12+VLOOKUP($R105,武学奇术!$A:$ZZ,12,FALSE)+SUM(_xlfn.XLOOKUP($S105:$AL105,增益!$A:$A,增益!$L:$L,0))</f>
        <v>0</v>
      </c>
      <c r="BG105">
        <f t="shared" si="18"/>
        <v>0</v>
      </c>
      <c r="BH105">
        <f t="shared" si="19"/>
        <v>0</v>
      </c>
      <c r="BI105" s="30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-0.3</v>
      </c>
      <c r="BJ105" s="30" cm="1">
        <f t="array" ref="BJ105">$G$13+VLOOKUP($R105,武学奇术!$A:$ZZ,14,FALSE)+SUM(_xlfn.XLOOKUP($S105:$AL105,增益!$A:$A,增益!$N:$N,0))</f>
        <v>0</v>
      </c>
      <c r="BK105">
        <f t="shared" si="20"/>
        <v>605.472</v>
      </c>
      <c r="BL105">
        <f t="shared" si="21"/>
        <v>1725.468</v>
      </c>
      <c r="BM105" s="30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0</v>
      </c>
      <c r="BN105" s="30" cm="1">
        <f t="array" ref="BN105">$G$14+VLOOKUP($R105,武学奇术!$A:$ZZ,16,FALSE)+SUM(_xlfn.XLOOKUP($S105:$AL105,增益!$A:$A,增益!$P:$P,0))</f>
        <v>0.24</v>
      </c>
      <c r="BO105" s="24">
        <f>MIN(IF(VLOOKUP($R105,武学奇术!$A:$ZZ,23,FALSE)=1,100%,$B$8),100%)</f>
        <v>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+MIN(IF(VLOOKUP($R105,武学奇术!$A:$ZZ,32,FALSE)=1,IF(VLOOKUP($R105,武学奇术!$A:$ZZ,24,FALSE)=1,100%,MIN(40%,$B$10+VLOOKUP($R105,武学奇术!$A:$ZZ,19,FALSE)+SUM(_xlfn.XLOOKUP($S105:$AL105,增益!$A:$A,增益!$S:$S,0)))+$B$12+SUM(_xlfn.XLOOKUP($S105:$AL105,增益!$A:$A,增益!$V:$V,0))),0),12%)</f>
        <v>0.9036</v>
      </c>
      <c r="BQ105" s="24" cm="1">
        <f t="array" ref="BQ105">1+$B$13+VLOOKUP($R105,武学奇术!$A:$ZZ,18,FALSE)+SUM(_xlfn.XLOOKUP($S105:$AL105,增益!$A:$A,增益!$R:$R,0))</f>
        <v>1.54</v>
      </c>
      <c r="BR105" s="24" cm="1">
        <f t="array" ref="BR105">MAX(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-IF(VLOOKUP($R105,武学奇术!$A:$ZZ,32,FALSE)=1,12%,0),0)</f>
        <v>0.0929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2"/>
        <v>0.9036</v>
      </c>
      <c r="BU105" s="24">
        <f t="shared" si="23"/>
        <v>0.00350000000000006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0.11</v>
      </c>
      <c r="BX105" s="24" cm="1">
        <f t="array" ref="BX105">SUM(_xlfn.XLOOKUP($S105:$AL105,增益!$A:$A,增益!$X:$X,0))</f>
        <v>0</v>
      </c>
    </row>
    <row r="106" spans="11:76">
      <c r="K106">
        <f>$L106*VLOOKUP($R106,武学奇术!$A:$ZZ,31,FALSE)</f>
        <v>0</v>
      </c>
      <c r="L106" s="36">
        <f t="shared" si="26"/>
        <v>0</v>
      </c>
      <c r="M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BQ106*$Q106*(1+IF(VLOOKUP($R106,武学奇术!$A:$ZZ,30,FALSE)="蓄力技",$B$21,0))*(1+$BW106)</f>
        <v>0</v>
      </c>
      <c r="N106" s="36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蓄力技",$B$21,0))*(1+$BW106)</f>
        <v>0</v>
      </c>
      <c r="O106" s="36">
        <f>((($AT106+($AU106-$AT106)*IF(VLOOKUP($R106,武学奇术!$A:$ZZ,31,FALSE)=1,$F$18,0.5))*$AN106+$AO106)*(1+$AV106)*(1+$AW106)+(($AY106+($AZ106-$AY106)*IF(VLOOKUP($R106,武学奇术!$A:$ZZ,31,FALSE)=1,$F$18,0.5))*IF($G$1="鸣金",$AP106,$AN106)+IF($G$1="鸣金",$AQ106*1.5,0))*(1+$BA106)*(1+$BB106)+(($BC106+($BD106-$BC106)*IF(VLOOKUP($R106,武学奇术!$A:$ZZ,31,FALSE)=1,$F$18,0.5))*IF($G$1="裂石",$AP106,$AN106)+IF($G$1="裂石",$AQ106*1.5,0))*(1+$BE106)*(1+$BF106)+(($BG106+($BH106-$BG106)*IF(VLOOKUP($R106,武学奇术!$A:$ZZ,31,FALSE)=1,$F$18,0.5))*IF($G$1="牵丝",$AP106,$AN106)+IF($G$1="牵丝",$AQ106*1.5,0))*(1+$BI106)*(1+$BJ106)+(($BK106+($BL106-$BK106)*IF(VLOOKUP($R106,武学奇术!$A:$ZZ,31,FALSE)=1,$F$18,0.5))*IF($G$1="破竹",$AP106,$AN106)+IF($G$1="破竹",$AQ106*1.5,0))*(1+$BM106)*(1+$BN106))*(1+$AR106)*$Q106*(1+IF(VLOOKUP($R106,武学奇术!$A:$ZZ,30,FALSE)="蓄力技",$B$21,0))*(1+$BW106)</f>
        <v>0</v>
      </c>
      <c r="P106" s="36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蓄力技",$B$21,0))*(1+$BW106)</f>
        <v>0</v>
      </c>
      <c r="Q106" s="37">
        <v>1</v>
      </c>
      <c r="R106" s="38" t="s">
        <v>79</v>
      </c>
      <c r="S106" s="38" t="s">
        <v>79</v>
      </c>
      <c r="T106" s="38" t="s">
        <v>79</v>
      </c>
      <c r="U106" s="38" t="s">
        <v>79</v>
      </c>
      <c r="V106" s="38" t="s">
        <v>79</v>
      </c>
      <c r="W106" s="38" t="s">
        <v>79</v>
      </c>
      <c r="X106" s="38" t="s">
        <v>79</v>
      </c>
      <c r="Y106" s="38" t="s">
        <v>79</v>
      </c>
      <c r="Z106" s="38" t="s">
        <v>79</v>
      </c>
      <c r="AA106" s="38" t="s">
        <v>79</v>
      </c>
      <c r="AB106" s="38" t="s">
        <v>79</v>
      </c>
      <c r="AC106" s="38" t="s">
        <v>79</v>
      </c>
      <c r="AD106" s="38" t="s">
        <v>79</v>
      </c>
      <c r="AE106" s="38" t="s">
        <v>79</v>
      </c>
      <c r="AF106" s="38" t="s">
        <v>84</v>
      </c>
      <c r="AG106" s="38" t="s">
        <v>85</v>
      </c>
      <c r="AH106" s="38" t="s">
        <v>79</v>
      </c>
      <c r="AI106" s="38" t="s">
        <v>79</v>
      </c>
      <c r="AJ106" s="38" t="s">
        <v>79</v>
      </c>
      <c r="AK106" s="38" t="s">
        <v>79</v>
      </c>
      <c r="AL106" s="38" t="s">
        <v>79</v>
      </c>
      <c r="AM106" t="str">
        <f>VLOOKUP($R106,武学奇术!$A:$ZZ,25,FALSE)</f>
        <v>心法</v>
      </c>
      <c r="AN106" s="24">
        <f>VLOOKUP($R106,武学奇术!$A:$ZZ,26,FALSE)</f>
        <v>0</v>
      </c>
      <c r="AO106" s="25">
        <f>VLOOKUP($R106,武学奇术!$A:$ZZ,27,FALSE)*(1+IF(OR($AM106=$F$4,$AM106=$F$5),$B$22,0))</f>
        <v>0</v>
      </c>
      <c r="AP106" s="24">
        <f>VLOOKUP($R106,武学奇术!$A:$ZZ,28,FALSE)</f>
        <v>0</v>
      </c>
      <c r="AQ106" s="25">
        <f>VLOOKUP($R106,武学奇术!$A:$ZZ,29,FALSE)*(1+IF(OR($AM106=$F$4,$AM106=$F$5),$B$22,0))</f>
        <v>0</v>
      </c>
      <c r="AR106" s="24" cm="1">
        <f t="array" ref="AR106">$G$3+IFERROR(VLOOKUP($AM106,$F$4:$G$7,2,FALSE),0)+VLOOKUP($R106,武学奇术!$A:$ZZ,2,FALSE)+SUM(_xlfn.XLOOKUP($S106:$AL106,增益!$A:$A,增益!$B:$B,0))</f>
        <v>0.1037</v>
      </c>
      <c r="AS106" s="24" cm="1">
        <f t="array" ref="AS106">VLOOKUP($R106,武学奇术!$A:$ZZ,5,FALSE)+SUM(_xlfn.XLOOKUP($S106:$AL106,增益!$A:$A,增益!$E:$E,0))</f>
        <v>0</v>
      </c>
      <c r="AT106" cm="1">
        <f t="array" ref="AT106">$D$10*(1+$AS106)+VLOOKUP($R106,武学奇术!$A:$ZZ,3,FALSE)+SUM(_xlfn.XLOOKUP($S106:$AL106,增益!$A:$A,增益!$C:$C,0))-$I$2</f>
        <v>3839.102</v>
      </c>
      <c r="AU106" cm="1">
        <f t="array" ref="AU106">$E$10*(1+$AS106)+VLOOKUP($R106,武学奇术!$A:$ZZ,4,FALSE)+SUM(_xlfn.XLOOKUP($S106:$AL106,增益!$A:$A,增益!$D:$D,0))-$I$2</f>
        <v>3839.102</v>
      </c>
      <c r="AV106" s="30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0.167</v>
      </c>
      <c r="AW106" s="30" cm="1">
        <f t="array" ref="AW106">$G$10+VLOOKUP($R106,武学奇术!$A:$ZZ,7,FALSE)+SUM(_xlfn.XLOOKUP($S106:$AL106,增益!$A:$A,增益!$G:$G,0))</f>
        <v>0.09</v>
      </c>
      <c r="AX106" s="24" cm="1">
        <f t="array" ref="AX106">VLOOKUP($R106,武学奇术!$A:$ZZ,8,FALSE)+SUM(_xlfn.XLOOKUP($S106:$AL106,增益!$A:$A,增益!$H:$H,0))</f>
        <v>0</v>
      </c>
      <c r="AY106">
        <f t="shared" si="14"/>
        <v>0</v>
      </c>
      <c r="AZ106">
        <f t="shared" si="15"/>
        <v>0</v>
      </c>
      <c r="BA106" s="30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0" cm="1">
        <f t="array" ref="BB106">$G$11+VLOOKUP($R106,武学奇术!$A:$ZZ,10,FALSE)+SUM(_xlfn.XLOOKUP($S106:$AL106,增益!$A:$A,增益!$J:$J,0))</f>
        <v>0</v>
      </c>
      <c r="BC106">
        <f t="shared" si="16"/>
        <v>0</v>
      </c>
      <c r="BD106">
        <f t="shared" si="17"/>
        <v>0</v>
      </c>
      <c r="BE106" s="30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0" cm="1">
        <f t="array" ref="BF106">$G$12+VLOOKUP($R106,武学奇术!$A:$ZZ,12,FALSE)+SUM(_xlfn.XLOOKUP($S106:$AL106,增益!$A:$A,增益!$L:$L,0))</f>
        <v>0</v>
      </c>
      <c r="BG106">
        <f t="shared" si="18"/>
        <v>0</v>
      </c>
      <c r="BH106">
        <f t="shared" si="19"/>
        <v>0</v>
      </c>
      <c r="BI106" s="30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-0.3</v>
      </c>
      <c r="BJ106" s="30" cm="1">
        <f t="array" ref="BJ106">$G$13+VLOOKUP($R106,武学奇术!$A:$ZZ,14,FALSE)+SUM(_xlfn.XLOOKUP($S106:$AL106,增益!$A:$A,增益!$N:$N,0))</f>
        <v>0</v>
      </c>
      <c r="BK106">
        <f t="shared" si="20"/>
        <v>605.472</v>
      </c>
      <c r="BL106">
        <f t="shared" si="21"/>
        <v>1725.468</v>
      </c>
      <c r="BM106" s="30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0</v>
      </c>
      <c r="BN106" s="30" cm="1">
        <f t="array" ref="BN106">$G$14+VLOOKUP($R106,武学奇术!$A:$ZZ,16,FALSE)+SUM(_xlfn.XLOOKUP($S106:$AL106,增益!$A:$A,增益!$P:$P,0))</f>
        <v>0.24</v>
      </c>
      <c r="BO106" s="24">
        <f>MIN(IF(VLOOKUP($R106,武学奇术!$A:$ZZ,23,FALSE)=1,100%,$B$8),100%)</f>
        <v>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+MIN(IF(VLOOKUP($R106,武学奇术!$A:$ZZ,32,FALSE)=1,IF(VLOOKUP($R106,武学奇术!$A:$ZZ,24,FALSE)=1,100%,MIN(40%,$B$10+VLOOKUP($R106,武学奇术!$A:$ZZ,19,FALSE)+SUM(_xlfn.XLOOKUP($S106:$AL106,增益!$A:$A,增益!$S:$S,0)))+$B$12+SUM(_xlfn.XLOOKUP($S106:$AL106,增益!$A:$A,增益!$V:$V,0))),0),12%)</f>
        <v>0.9036</v>
      </c>
      <c r="BQ106" s="24" cm="1">
        <f t="array" ref="BQ106">1+$B$13+VLOOKUP($R106,武学奇术!$A:$ZZ,18,FALSE)+SUM(_xlfn.XLOOKUP($S106:$AL106,增益!$A:$A,增益!$R:$R,0))</f>
        <v>1.54</v>
      </c>
      <c r="BR106" s="24" cm="1">
        <f t="array" ref="BR106">MAX(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-IF(VLOOKUP($R106,武学奇术!$A:$ZZ,32,FALSE)=1,12%,0),0)</f>
        <v>0.0929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2"/>
        <v>0.9036</v>
      </c>
      <c r="BU106" s="24">
        <f t="shared" si="23"/>
        <v>0.00350000000000006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0.11</v>
      </c>
      <c r="BX106" s="24" cm="1">
        <f t="array" ref="BX106">SUM(_xlfn.XLOOKUP($S106:$AL106,增益!$A:$A,增益!$X:$X,0))</f>
        <v>0</v>
      </c>
    </row>
    <row r="107" spans="11:76">
      <c r="K107">
        <f>$L107*VLOOKUP($R107,武学奇术!$A:$ZZ,31,FALSE)</f>
        <v>0</v>
      </c>
      <c r="L107" s="36">
        <f t="shared" si="26"/>
        <v>0</v>
      </c>
      <c r="M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BQ107*$Q107*(1+IF(VLOOKUP($R107,武学奇术!$A:$ZZ,30,FALSE)="蓄力技",$B$21,0))*(1+$BW107)</f>
        <v>0</v>
      </c>
      <c r="N107" s="36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蓄力技",$B$21,0))*(1+$BW107)</f>
        <v>0</v>
      </c>
      <c r="O107" s="36">
        <f>((($AT107+($AU107-$AT107)*IF(VLOOKUP($R107,武学奇术!$A:$ZZ,31,FALSE)=1,$F$18,0.5))*$AN107+$AO107)*(1+$AV107)*(1+$AW107)+(($AY107+($AZ107-$AY107)*IF(VLOOKUP($R107,武学奇术!$A:$ZZ,31,FALSE)=1,$F$18,0.5))*IF($G$1="鸣金",$AP107,$AN107)+IF($G$1="鸣金",$AQ107*1.5,0))*(1+$BA107)*(1+$BB107)+(($BC107+($BD107-$BC107)*IF(VLOOKUP($R107,武学奇术!$A:$ZZ,31,FALSE)=1,$F$18,0.5))*IF($G$1="裂石",$AP107,$AN107)+IF($G$1="裂石",$AQ107*1.5,0))*(1+$BE107)*(1+$BF107)+(($BG107+($BH107-$BG107)*IF(VLOOKUP($R107,武学奇术!$A:$ZZ,31,FALSE)=1,$F$18,0.5))*IF($G$1="牵丝",$AP107,$AN107)+IF($G$1="牵丝",$AQ107*1.5,0))*(1+$BI107)*(1+$BJ107)+(($BK107+($BL107-$BK107)*IF(VLOOKUP($R107,武学奇术!$A:$ZZ,31,FALSE)=1,$F$18,0.5))*IF($G$1="破竹",$AP107,$AN107)+IF($G$1="破竹",$AQ107*1.5,0))*(1+$BM107)*(1+$BN107))*(1+$AR107)*$Q107*(1+IF(VLOOKUP($R107,武学奇术!$A:$ZZ,30,FALSE)="蓄力技",$B$21,0))*(1+$BW107)</f>
        <v>0</v>
      </c>
      <c r="P107" s="36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蓄力技",$B$21,0))*(1+$BW107)</f>
        <v>0</v>
      </c>
      <c r="Q107" s="37">
        <v>1</v>
      </c>
      <c r="R107" s="38" t="s">
        <v>79</v>
      </c>
      <c r="S107" s="38" t="s">
        <v>79</v>
      </c>
      <c r="T107" s="38" t="s">
        <v>79</v>
      </c>
      <c r="U107" s="38" t="s">
        <v>79</v>
      </c>
      <c r="V107" s="38" t="s">
        <v>79</v>
      </c>
      <c r="W107" s="38" t="s">
        <v>79</v>
      </c>
      <c r="X107" s="38" t="s">
        <v>79</v>
      </c>
      <c r="Y107" s="38" t="s">
        <v>79</v>
      </c>
      <c r="Z107" s="38" t="s">
        <v>79</v>
      </c>
      <c r="AA107" s="38" t="s">
        <v>79</v>
      </c>
      <c r="AB107" s="38" t="s">
        <v>79</v>
      </c>
      <c r="AC107" s="38" t="s">
        <v>79</v>
      </c>
      <c r="AD107" s="38" t="s">
        <v>79</v>
      </c>
      <c r="AE107" s="38" t="s">
        <v>79</v>
      </c>
      <c r="AF107" s="38" t="s">
        <v>84</v>
      </c>
      <c r="AG107" s="38" t="s">
        <v>85</v>
      </c>
      <c r="AH107" s="38" t="s">
        <v>79</v>
      </c>
      <c r="AI107" s="38" t="s">
        <v>79</v>
      </c>
      <c r="AJ107" s="38" t="s">
        <v>79</v>
      </c>
      <c r="AK107" s="38" t="s">
        <v>79</v>
      </c>
      <c r="AL107" s="38" t="s">
        <v>79</v>
      </c>
      <c r="AM107" t="str">
        <f>VLOOKUP($R107,武学奇术!$A:$ZZ,25,FALSE)</f>
        <v>心法</v>
      </c>
      <c r="AN107" s="24">
        <f>VLOOKUP($R107,武学奇术!$A:$ZZ,26,FALSE)</f>
        <v>0</v>
      </c>
      <c r="AO107" s="25">
        <f>VLOOKUP($R107,武学奇术!$A:$ZZ,27,FALSE)*(1+IF(OR($AM107=$F$4,$AM107=$F$5),$B$22,0))</f>
        <v>0</v>
      </c>
      <c r="AP107" s="24">
        <f>VLOOKUP($R107,武学奇术!$A:$ZZ,28,FALSE)</f>
        <v>0</v>
      </c>
      <c r="AQ107" s="25">
        <f>VLOOKUP($R107,武学奇术!$A:$ZZ,29,FALSE)*(1+IF(OR($AM107=$F$4,$AM107=$F$5),$B$22,0))</f>
        <v>0</v>
      </c>
      <c r="AR107" s="24" cm="1">
        <f t="array" ref="AR107">$G$3+IFERROR(VLOOKUP($AM107,$F$4:$G$7,2,FALSE),0)+VLOOKUP($R107,武学奇术!$A:$ZZ,2,FALSE)+SUM(_xlfn.XLOOKUP($S107:$AL107,增益!$A:$A,增益!$B:$B,0))</f>
        <v>0.1037</v>
      </c>
      <c r="AS107" s="24" cm="1">
        <f t="array" ref="AS107">VLOOKUP($R107,武学奇术!$A:$ZZ,5,FALSE)+SUM(_xlfn.XLOOKUP($S107:$AL107,增益!$A:$A,增益!$E:$E,0))</f>
        <v>0</v>
      </c>
      <c r="AT107" cm="1">
        <f t="array" ref="AT107">$D$10*(1+$AS107)+VLOOKUP($R107,武学奇术!$A:$ZZ,3,FALSE)+SUM(_xlfn.XLOOKUP($S107:$AL107,增益!$A:$A,增益!$C:$C,0))-$I$2</f>
        <v>3839.102</v>
      </c>
      <c r="AU107" cm="1">
        <f t="array" ref="AU107">$E$10*(1+$AS107)+VLOOKUP($R107,武学奇术!$A:$ZZ,4,FALSE)+SUM(_xlfn.XLOOKUP($S107:$AL107,增益!$A:$A,增益!$D:$D,0))-$I$2</f>
        <v>3839.102</v>
      </c>
      <c r="AV107" s="30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0.167</v>
      </c>
      <c r="AW107" s="30" cm="1">
        <f t="array" ref="AW107">$G$10+VLOOKUP($R107,武学奇术!$A:$ZZ,7,FALSE)+SUM(_xlfn.XLOOKUP($S107:$AL107,增益!$A:$A,增益!$G:$G,0))</f>
        <v>0.09</v>
      </c>
      <c r="AX107" s="24" cm="1">
        <f t="array" ref="AX107">VLOOKUP($R107,武学奇术!$A:$ZZ,8,FALSE)+SUM(_xlfn.XLOOKUP($S107:$AL107,增益!$A:$A,增益!$H:$H,0))</f>
        <v>0</v>
      </c>
      <c r="AY107">
        <f t="shared" si="14"/>
        <v>0</v>
      </c>
      <c r="AZ107">
        <f t="shared" si="15"/>
        <v>0</v>
      </c>
      <c r="BA107" s="30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0" cm="1">
        <f t="array" ref="BB107">$G$11+VLOOKUP($R107,武学奇术!$A:$ZZ,10,FALSE)+SUM(_xlfn.XLOOKUP($S107:$AL107,增益!$A:$A,增益!$J:$J,0))</f>
        <v>0</v>
      </c>
      <c r="BC107">
        <f t="shared" si="16"/>
        <v>0</v>
      </c>
      <c r="BD107">
        <f t="shared" si="17"/>
        <v>0</v>
      </c>
      <c r="BE107" s="30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0" cm="1">
        <f t="array" ref="BF107">$G$12+VLOOKUP($R107,武学奇术!$A:$ZZ,12,FALSE)+SUM(_xlfn.XLOOKUP($S107:$AL107,增益!$A:$A,增益!$L:$L,0))</f>
        <v>0</v>
      </c>
      <c r="BG107">
        <f t="shared" si="18"/>
        <v>0</v>
      </c>
      <c r="BH107">
        <f t="shared" si="19"/>
        <v>0</v>
      </c>
      <c r="BI107" s="30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-0.3</v>
      </c>
      <c r="BJ107" s="30" cm="1">
        <f t="array" ref="BJ107">$G$13+VLOOKUP($R107,武学奇术!$A:$ZZ,14,FALSE)+SUM(_xlfn.XLOOKUP($S107:$AL107,增益!$A:$A,增益!$N:$N,0))</f>
        <v>0</v>
      </c>
      <c r="BK107">
        <f t="shared" si="20"/>
        <v>605.472</v>
      </c>
      <c r="BL107">
        <f t="shared" si="21"/>
        <v>1725.468</v>
      </c>
      <c r="BM107" s="30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0</v>
      </c>
      <c r="BN107" s="30" cm="1">
        <f t="array" ref="BN107">$G$14+VLOOKUP($R107,武学奇术!$A:$ZZ,16,FALSE)+SUM(_xlfn.XLOOKUP($S107:$AL107,增益!$A:$A,增益!$P:$P,0))</f>
        <v>0.24</v>
      </c>
      <c r="BO107" s="24">
        <f>MIN(IF(VLOOKUP($R107,武学奇术!$A:$ZZ,23,FALSE)=1,100%,$B$8),100%)</f>
        <v>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+MIN(IF(VLOOKUP($R107,武学奇术!$A:$ZZ,32,FALSE)=1,IF(VLOOKUP($R107,武学奇术!$A:$ZZ,24,FALSE)=1,100%,MIN(40%,$B$10+VLOOKUP($R107,武学奇术!$A:$ZZ,19,FALSE)+SUM(_xlfn.XLOOKUP($S107:$AL107,增益!$A:$A,增益!$S:$S,0)))+$B$12+SUM(_xlfn.XLOOKUP($S107:$AL107,增益!$A:$A,增益!$V:$V,0))),0),12%)</f>
        <v>0.9036</v>
      </c>
      <c r="BQ107" s="24" cm="1">
        <f t="array" ref="BQ107">1+$B$13+VLOOKUP($R107,武学奇术!$A:$ZZ,18,FALSE)+SUM(_xlfn.XLOOKUP($S107:$AL107,增益!$A:$A,增益!$R:$R,0))</f>
        <v>1.54</v>
      </c>
      <c r="BR107" s="24" cm="1">
        <f t="array" ref="BR107">MAX(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-IF(VLOOKUP($R107,武学奇术!$A:$ZZ,32,FALSE)=1,12%,0),0)</f>
        <v>0.0929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2"/>
        <v>0.9036</v>
      </c>
      <c r="BU107" s="24">
        <f t="shared" si="23"/>
        <v>0.00350000000000006</v>
      </c>
      <c r="BV107" s="24">
        <f>IF(VLOOKUP($R107,武学奇术!$A:$ZZ,22,FALSE)=1,0,(1-$BO107))*(1-$BR107)</f>
        <v>0</v>
      </c>
      <c r="BW107" s="24" cm="1">
        <f t="array" ref="BW107">SUM(_xlfn.XLOOKUP($S107:$AL107,增益!$A:$A,增益!$W:$W,0))+$I$5</f>
        <v>0.11</v>
      </c>
      <c r="BX107" s="24" cm="1">
        <f t="array" ref="BX107">SUM(_xlfn.XLOOKUP($S107:$AL107,增益!$A:$A,增益!$X:$X,0))</f>
        <v>0</v>
      </c>
    </row>
    <row r="108" spans="11:76">
      <c r="K108">
        <f>$L108*VLOOKUP($R108,武学奇术!$A:$ZZ,31,FALSE)</f>
        <v>0</v>
      </c>
      <c r="L108" s="36">
        <f t="shared" si="26"/>
        <v>0</v>
      </c>
      <c r="M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BQ108*$Q108*(1+IF(VLOOKUP($R108,武学奇术!$A:$ZZ,30,FALSE)="蓄力技",$B$21,0))*(1+$BW108)</f>
        <v>0</v>
      </c>
      <c r="N108" s="36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蓄力技",$B$21,0))*(1+$BW108)</f>
        <v>0</v>
      </c>
      <c r="O108" s="36">
        <f>((($AT108+($AU108-$AT108)*IF(VLOOKUP($R108,武学奇术!$A:$ZZ,31,FALSE)=1,$F$18,0.5))*$AN108+$AO108)*(1+$AV108)*(1+$AW108)+(($AY108+($AZ108-$AY108)*IF(VLOOKUP($R108,武学奇术!$A:$ZZ,31,FALSE)=1,$F$18,0.5))*IF($G$1="鸣金",$AP108,$AN108)+IF($G$1="鸣金",$AQ108*1.5,0))*(1+$BA108)*(1+$BB108)+(($BC108+($BD108-$BC108)*IF(VLOOKUP($R108,武学奇术!$A:$ZZ,31,FALSE)=1,$F$18,0.5))*IF($G$1="裂石",$AP108,$AN108)+IF($G$1="裂石",$AQ108*1.5,0))*(1+$BE108)*(1+$BF108)+(($BG108+($BH108-$BG108)*IF(VLOOKUP($R108,武学奇术!$A:$ZZ,31,FALSE)=1,$F$18,0.5))*IF($G$1="牵丝",$AP108,$AN108)+IF($G$1="牵丝",$AQ108*1.5,0))*(1+$BI108)*(1+$BJ108)+(($BK108+($BL108-$BK108)*IF(VLOOKUP($R108,武学奇术!$A:$ZZ,31,FALSE)=1,$F$18,0.5))*IF($G$1="破竹",$AP108,$AN108)+IF($G$1="破竹",$AQ108*1.5,0))*(1+$BM108)*(1+$BN108))*(1+$AR108)*$Q108*(1+IF(VLOOKUP($R108,武学奇术!$A:$ZZ,30,FALSE)="蓄力技",$B$21,0))*(1+$BW108)</f>
        <v>0</v>
      </c>
      <c r="P108" s="36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蓄力技",$B$21,0))*(1+$BW108)</f>
        <v>0</v>
      </c>
      <c r="Q108" s="37">
        <v>1</v>
      </c>
      <c r="R108" s="38" t="s">
        <v>79</v>
      </c>
      <c r="S108" s="38" t="s">
        <v>79</v>
      </c>
      <c r="T108" s="38" t="s">
        <v>79</v>
      </c>
      <c r="U108" s="38" t="s">
        <v>79</v>
      </c>
      <c r="V108" s="38" t="s">
        <v>79</v>
      </c>
      <c r="W108" s="38" t="s">
        <v>79</v>
      </c>
      <c r="X108" s="38" t="s">
        <v>79</v>
      </c>
      <c r="Y108" s="38" t="s">
        <v>79</v>
      </c>
      <c r="Z108" s="38" t="s">
        <v>79</v>
      </c>
      <c r="AA108" s="38" t="s">
        <v>79</v>
      </c>
      <c r="AB108" s="38" t="s">
        <v>79</v>
      </c>
      <c r="AC108" s="38" t="s">
        <v>79</v>
      </c>
      <c r="AD108" s="38" t="s">
        <v>79</v>
      </c>
      <c r="AE108" s="38" t="s">
        <v>79</v>
      </c>
      <c r="AF108" s="38" t="s">
        <v>84</v>
      </c>
      <c r="AG108" s="38" t="s">
        <v>85</v>
      </c>
      <c r="AH108" s="38" t="s">
        <v>79</v>
      </c>
      <c r="AI108" s="38" t="s">
        <v>79</v>
      </c>
      <c r="AJ108" s="38" t="s">
        <v>79</v>
      </c>
      <c r="AK108" s="38" t="s">
        <v>79</v>
      </c>
      <c r="AL108" s="38" t="s">
        <v>79</v>
      </c>
      <c r="AM108" t="str">
        <f>VLOOKUP($R108,武学奇术!$A:$ZZ,25,FALSE)</f>
        <v>心法</v>
      </c>
      <c r="AN108" s="24">
        <f>VLOOKUP($R108,武学奇术!$A:$ZZ,26,FALSE)</f>
        <v>0</v>
      </c>
      <c r="AO108" s="25">
        <f>VLOOKUP($R108,武学奇术!$A:$ZZ,27,FALSE)*(1+IF(OR($AM108=$F$4,$AM108=$F$5),$B$22,0))</f>
        <v>0</v>
      </c>
      <c r="AP108" s="24">
        <f>VLOOKUP($R108,武学奇术!$A:$ZZ,28,FALSE)</f>
        <v>0</v>
      </c>
      <c r="AQ108" s="25">
        <f>VLOOKUP($R108,武学奇术!$A:$ZZ,29,FALSE)*(1+IF(OR($AM108=$F$4,$AM108=$F$5),$B$22,0))</f>
        <v>0</v>
      </c>
      <c r="AR108" s="24" cm="1">
        <f t="array" ref="AR108">$G$3+IFERROR(VLOOKUP($AM108,$F$4:$G$7,2,FALSE),0)+VLOOKUP($R108,武学奇术!$A:$ZZ,2,FALSE)+SUM(_xlfn.XLOOKUP($S108:$AL108,增益!$A:$A,增益!$B:$B,0))</f>
        <v>0.1037</v>
      </c>
      <c r="AS108" s="24" cm="1">
        <f t="array" ref="AS108">VLOOKUP($R108,武学奇术!$A:$ZZ,5,FALSE)+SUM(_xlfn.XLOOKUP($S108:$AL108,增益!$A:$A,增益!$E:$E,0))</f>
        <v>0</v>
      </c>
      <c r="AT108" cm="1">
        <f t="array" ref="AT108">$D$10*(1+$AS108)+VLOOKUP($R108,武学奇术!$A:$ZZ,3,FALSE)+SUM(_xlfn.XLOOKUP($S108:$AL108,增益!$A:$A,增益!$C:$C,0))-$I$2</f>
        <v>3839.102</v>
      </c>
      <c r="AU108" cm="1">
        <f t="array" ref="AU108">$E$10*(1+$AS108)+VLOOKUP($R108,武学奇术!$A:$ZZ,4,FALSE)+SUM(_xlfn.XLOOKUP($S108:$AL108,增益!$A:$A,增益!$D:$D,0))-$I$2</f>
        <v>3839.102</v>
      </c>
      <c r="AV108" s="30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0.167</v>
      </c>
      <c r="AW108" s="30" cm="1">
        <f t="array" ref="AW108">$G$10+VLOOKUP($R108,武学奇术!$A:$ZZ,7,FALSE)+SUM(_xlfn.XLOOKUP($S108:$AL108,增益!$A:$A,增益!$G:$G,0))</f>
        <v>0.09</v>
      </c>
      <c r="AX108" s="24" cm="1">
        <f t="array" ref="AX108">VLOOKUP($R108,武学奇术!$A:$ZZ,8,FALSE)+SUM(_xlfn.XLOOKUP($S108:$AL108,增益!$A:$A,增益!$H:$H,0))</f>
        <v>0</v>
      </c>
      <c r="AY108">
        <f t="shared" si="14"/>
        <v>0</v>
      </c>
      <c r="AZ108">
        <f t="shared" si="15"/>
        <v>0</v>
      </c>
      <c r="BA108" s="30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0" cm="1">
        <f t="array" ref="BB108">$G$11+VLOOKUP($R108,武学奇术!$A:$ZZ,10,FALSE)+SUM(_xlfn.XLOOKUP($S108:$AL108,增益!$A:$A,增益!$J:$J,0))</f>
        <v>0</v>
      </c>
      <c r="BC108">
        <f t="shared" si="16"/>
        <v>0</v>
      </c>
      <c r="BD108">
        <f t="shared" si="17"/>
        <v>0</v>
      </c>
      <c r="BE108" s="30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0" cm="1">
        <f t="array" ref="BF108">$G$12+VLOOKUP($R108,武学奇术!$A:$ZZ,12,FALSE)+SUM(_xlfn.XLOOKUP($S108:$AL108,增益!$A:$A,增益!$L:$L,0))</f>
        <v>0</v>
      </c>
      <c r="BG108">
        <f t="shared" si="18"/>
        <v>0</v>
      </c>
      <c r="BH108">
        <f t="shared" si="19"/>
        <v>0</v>
      </c>
      <c r="BI108" s="30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-0.3</v>
      </c>
      <c r="BJ108" s="30" cm="1">
        <f t="array" ref="BJ108">$G$13+VLOOKUP($R108,武学奇术!$A:$ZZ,14,FALSE)+SUM(_xlfn.XLOOKUP($S108:$AL108,增益!$A:$A,增益!$N:$N,0))</f>
        <v>0</v>
      </c>
      <c r="BK108">
        <f t="shared" si="20"/>
        <v>605.472</v>
      </c>
      <c r="BL108">
        <f t="shared" si="21"/>
        <v>1725.468</v>
      </c>
      <c r="BM108" s="30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0</v>
      </c>
      <c r="BN108" s="30" cm="1">
        <f t="array" ref="BN108">$G$14+VLOOKUP($R108,武学奇术!$A:$ZZ,16,FALSE)+SUM(_xlfn.XLOOKUP($S108:$AL108,增益!$A:$A,增益!$P:$P,0))</f>
        <v>0.24</v>
      </c>
      <c r="BO108" s="24">
        <f>MIN(IF(VLOOKUP($R108,武学奇术!$A:$ZZ,23,FALSE)=1,100%,$B$8),100%)</f>
        <v>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+MIN(IF(VLOOKUP($R108,武学奇术!$A:$ZZ,32,FALSE)=1,IF(VLOOKUP($R108,武学奇术!$A:$ZZ,24,FALSE)=1,100%,MIN(40%,$B$10+VLOOKUP($R108,武学奇术!$A:$ZZ,19,FALSE)+SUM(_xlfn.XLOOKUP($S108:$AL108,增益!$A:$A,增益!$S:$S,0)))+$B$12+SUM(_xlfn.XLOOKUP($S108:$AL108,增益!$A:$A,增益!$V:$V,0))),0),12%)</f>
        <v>0.9036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MAX(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-IF(VLOOKUP($R108,武学奇术!$A:$ZZ,32,FALSE)=1,12%,0),0)</f>
        <v>0.0929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2"/>
        <v>0.9036</v>
      </c>
      <c r="BU108" s="24">
        <f t="shared" si="23"/>
        <v>0.00350000000000006</v>
      </c>
      <c r="BV108" s="24">
        <f>IF(VLOOKUP($R108,武学奇术!$A:$ZZ,22,FALSE)=1,0,(1-$BO108))*(1-$BR108)</f>
        <v>0</v>
      </c>
      <c r="BW108" s="24" cm="1">
        <f t="array" ref="BW108">SUM(_xlfn.XLOOKUP($S108:$AL108,增益!$A:$A,增益!$W:$W,0))+$I$5</f>
        <v>0.11</v>
      </c>
      <c r="BX108" s="24" cm="1">
        <f t="array" ref="BX108">SUM(_xlfn.XLOOKUP($S108:$AL108,增益!$A:$A,增益!$X:$X,0))</f>
        <v>0</v>
      </c>
    </row>
    <row r="109" spans="11:76">
      <c r="K109">
        <f>$L109*VLOOKUP($R109,武学奇术!$A:$ZZ,31,FALSE)</f>
        <v>0</v>
      </c>
      <c r="L109" s="36">
        <f t="shared" si="26"/>
        <v>0</v>
      </c>
      <c r="M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BQ109*$Q109*(1+IF(VLOOKUP($R109,武学奇术!$A:$ZZ,30,FALSE)="蓄力技",$B$21,0))*(1+$BW109)</f>
        <v>0</v>
      </c>
      <c r="N109" s="36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蓄力技",$B$21,0))*(1+$BW109)</f>
        <v>0</v>
      </c>
      <c r="O109" s="36">
        <f>((($AT109+($AU109-$AT109)*IF(VLOOKUP($R109,武学奇术!$A:$ZZ,31,FALSE)=1,$F$18,0.5))*$AN109+$AO109)*(1+$AV109)*(1+$AW109)+(($AY109+($AZ109-$AY109)*IF(VLOOKUP($R109,武学奇术!$A:$ZZ,31,FALSE)=1,$F$18,0.5))*IF($G$1="鸣金",$AP109,$AN109)+IF($G$1="鸣金",$AQ109*1.5,0))*(1+$BA109)*(1+$BB109)+(($BC109+($BD109-$BC109)*IF(VLOOKUP($R109,武学奇术!$A:$ZZ,31,FALSE)=1,$F$18,0.5))*IF($G$1="裂石",$AP109,$AN109)+IF($G$1="裂石",$AQ109*1.5,0))*(1+$BE109)*(1+$BF109)+(($BG109+($BH109-$BG109)*IF(VLOOKUP($R109,武学奇术!$A:$ZZ,31,FALSE)=1,$F$18,0.5))*IF($G$1="牵丝",$AP109,$AN109)+IF($G$1="牵丝",$AQ109*1.5,0))*(1+$BI109)*(1+$BJ109)+(($BK109+($BL109-$BK109)*IF(VLOOKUP($R109,武学奇术!$A:$ZZ,31,FALSE)=1,$F$18,0.5))*IF($G$1="破竹",$AP109,$AN109)+IF($G$1="破竹",$AQ109*1.5,0))*(1+$BM109)*(1+$BN109))*(1+$AR109)*$Q109*(1+IF(VLOOKUP($R109,武学奇术!$A:$ZZ,30,FALSE)="蓄力技",$B$21,0))*(1+$BW109)</f>
        <v>0</v>
      </c>
      <c r="P109" s="36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蓄力技",$B$21,0))*(1+$BW109)</f>
        <v>0</v>
      </c>
      <c r="Q109" s="37">
        <v>1</v>
      </c>
      <c r="R109" s="38" t="s">
        <v>79</v>
      </c>
      <c r="S109" s="38" t="s">
        <v>79</v>
      </c>
      <c r="T109" s="38" t="s">
        <v>79</v>
      </c>
      <c r="U109" s="38" t="s">
        <v>79</v>
      </c>
      <c r="V109" s="38" t="s">
        <v>79</v>
      </c>
      <c r="W109" s="38" t="s">
        <v>79</v>
      </c>
      <c r="X109" s="38" t="s">
        <v>79</v>
      </c>
      <c r="Y109" s="38" t="s">
        <v>79</v>
      </c>
      <c r="Z109" s="38" t="s">
        <v>79</v>
      </c>
      <c r="AA109" s="38" t="s">
        <v>79</v>
      </c>
      <c r="AB109" s="38" t="s">
        <v>79</v>
      </c>
      <c r="AC109" s="38" t="s">
        <v>79</v>
      </c>
      <c r="AD109" s="38" t="s">
        <v>79</v>
      </c>
      <c r="AE109" s="38" t="s">
        <v>79</v>
      </c>
      <c r="AF109" s="38" t="s">
        <v>84</v>
      </c>
      <c r="AG109" s="38" t="s">
        <v>85</v>
      </c>
      <c r="AH109" s="38" t="s">
        <v>79</v>
      </c>
      <c r="AI109" s="38" t="s">
        <v>79</v>
      </c>
      <c r="AJ109" s="38" t="s">
        <v>79</v>
      </c>
      <c r="AK109" s="38" t="s">
        <v>79</v>
      </c>
      <c r="AL109" s="38" t="s">
        <v>79</v>
      </c>
      <c r="AM109" t="str">
        <f>VLOOKUP($R109,武学奇术!$A:$ZZ,25,FALSE)</f>
        <v>心法</v>
      </c>
      <c r="AN109" s="24">
        <f>VLOOKUP($R109,武学奇术!$A:$ZZ,26,FALSE)</f>
        <v>0</v>
      </c>
      <c r="AO109" s="25">
        <f>VLOOKUP($R109,武学奇术!$A:$ZZ,27,FALSE)*(1+IF(OR($AM109=$F$4,$AM109=$F$5),$B$22,0))</f>
        <v>0</v>
      </c>
      <c r="AP109" s="24">
        <f>VLOOKUP($R109,武学奇术!$A:$ZZ,28,FALSE)</f>
        <v>0</v>
      </c>
      <c r="AQ109" s="25">
        <f>VLOOKUP($R109,武学奇术!$A:$ZZ,29,FALSE)*(1+IF(OR($AM109=$F$4,$AM109=$F$5),$B$22,0))</f>
        <v>0</v>
      </c>
      <c r="AR109" s="24" cm="1">
        <f t="array" ref="AR109">$G$3+IFERROR(VLOOKUP($AM109,$F$4:$G$7,2,FALSE),0)+VLOOKUP($R109,武学奇术!$A:$ZZ,2,FALSE)+SUM(_xlfn.XLOOKUP($S109:$AL109,增益!$A:$A,增益!$B:$B,0))</f>
        <v>0.1037</v>
      </c>
      <c r="AS109" s="24" cm="1">
        <f t="array" ref="AS109">VLOOKUP($R109,武学奇术!$A:$ZZ,5,FALSE)+SUM(_xlfn.XLOOKUP($S109:$AL109,增益!$A:$A,增益!$E:$E,0))</f>
        <v>0</v>
      </c>
      <c r="AT109" cm="1">
        <f t="array" ref="AT109">$D$10*(1+$AS109)+VLOOKUP($R109,武学奇术!$A:$ZZ,3,FALSE)+SUM(_xlfn.XLOOKUP($S109:$AL109,增益!$A:$A,增益!$C:$C,0))-$I$2</f>
        <v>3839.102</v>
      </c>
      <c r="AU109" cm="1">
        <f t="array" ref="AU109">$E$10*(1+$AS109)+VLOOKUP($R109,武学奇术!$A:$ZZ,4,FALSE)+SUM(_xlfn.XLOOKUP($S109:$AL109,增益!$A:$A,增益!$D:$D,0))-$I$2</f>
        <v>3839.102</v>
      </c>
      <c r="AV109" s="30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0.167</v>
      </c>
      <c r="AW109" s="30" cm="1">
        <f t="array" ref="AW109">$G$10+VLOOKUP($R109,武学奇术!$A:$ZZ,7,FALSE)+SUM(_xlfn.XLOOKUP($S109:$AL109,增益!$A:$A,增益!$G:$G,0))</f>
        <v>0.09</v>
      </c>
      <c r="AX109" s="24" cm="1">
        <f t="array" ref="AX109">VLOOKUP($R109,武学奇术!$A:$ZZ,8,FALSE)+SUM(_xlfn.XLOOKUP($S109:$AL109,增益!$A:$A,增益!$H:$H,0))</f>
        <v>0</v>
      </c>
      <c r="AY109">
        <f t="shared" si="14"/>
        <v>0</v>
      </c>
      <c r="AZ109">
        <f t="shared" si="15"/>
        <v>0</v>
      </c>
      <c r="BA109" s="30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0" cm="1">
        <f t="array" ref="BB109">$G$11+VLOOKUP($R109,武学奇术!$A:$ZZ,10,FALSE)+SUM(_xlfn.XLOOKUP($S109:$AL109,增益!$A:$A,增益!$J:$J,0))</f>
        <v>0</v>
      </c>
      <c r="BC109">
        <f t="shared" si="16"/>
        <v>0</v>
      </c>
      <c r="BD109">
        <f t="shared" si="17"/>
        <v>0</v>
      </c>
      <c r="BE109" s="30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0" cm="1">
        <f t="array" ref="BF109">$G$12+VLOOKUP($R109,武学奇术!$A:$ZZ,12,FALSE)+SUM(_xlfn.XLOOKUP($S109:$AL109,增益!$A:$A,增益!$L:$L,0))</f>
        <v>0</v>
      </c>
      <c r="BG109">
        <f t="shared" si="18"/>
        <v>0</v>
      </c>
      <c r="BH109">
        <f t="shared" si="19"/>
        <v>0</v>
      </c>
      <c r="BI109" s="30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-0.3</v>
      </c>
      <c r="BJ109" s="30" cm="1">
        <f t="array" ref="BJ109">$G$13+VLOOKUP($R109,武学奇术!$A:$ZZ,14,FALSE)+SUM(_xlfn.XLOOKUP($S109:$AL109,增益!$A:$A,增益!$N:$N,0))</f>
        <v>0</v>
      </c>
      <c r="BK109">
        <f t="shared" si="20"/>
        <v>605.472</v>
      </c>
      <c r="BL109">
        <f t="shared" si="21"/>
        <v>1725.468</v>
      </c>
      <c r="BM109" s="30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0</v>
      </c>
      <c r="BN109" s="30" cm="1">
        <f t="array" ref="BN109">$G$14+VLOOKUP($R109,武学奇术!$A:$ZZ,16,FALSE)+SUM(_xlfn.XLOOKUP($S109:$AL109,增益!$A:$A,增益!$P:$P,0))</f>
        <v>0.24</v>
      </c>
      <c r="BO109" s="24">
        <f>MIN(IF(VLOOKUP($R109,武学奇术!$A:$ZZ,23,FALSE)=1,100%,$B$8),100%)</f>
        <v>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+MIN(IF(VLOOKUP($R109,武学奇术!$A:$ZZ,32,FALSE)=1,IF(VLOOKUP($R109,武学奇术!$A:$ZZ,24,FALSE)=1,100%,MIN(40%,$B$10+VLOOKUP($R109,武学奇术!$A:$ZZ,19,FALSE)+SUM(_xlfn.XLOOKUP($S109:$AL109,增益!$A:$A,增益!$S:$S,0)))+$B$12+SUM(_xlfn.XLOOKUP($S109:$AL109,增益!$A:$A,增益!$V:$V,0))),0),12%)</f>
        <v>0.9036</v>
      </c>
      <c r="BQ109" s="24" cm="1">
        <f t="array" ref="BQ109">1+$B$13+VLOOKUP($R109,武学奇术!$A:$ZZ,18,FALSE)+SUM(_xlfn.XLOOKUP($S109:$AL109,增益!$A:$A,增益!$R:$R,0))</f>
        <v>1.54</v>
      </c>
      <c r="BR109" s="24" cm="1">
        <f t="array" ref="BR109">MAX(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-IF(VLOOKUP($R109,武学奇术!$A:$ZZ,32,FALSE)=1,12%,0),0)</f>
        <v>0.0929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2"/>
        <v>0.9036</v>
      </c>
      <c r="BU109" s="24">
        <f t="shared" si="23"/>
        <v>0.00350000000000006</v>
      </c>
      <c r="BV109" s="24">
        <f>IF(VLOOKUP($R109,武学奇术!$A:$ZZ,22,FALSE)=1,0,(1-$BO109))*(1-$BR109)</f>
        <v>0</v>
      </c>
      <c r="BW109" s="24" cm="1">
        <f t="array" ref="BW109">SUM(_xlfn.XLOOKUP($S109:$AL109,增益!$A:$A,增益!$W:$W,0))+$I$5</f>
        <v>0.11</v>
      </c>
      <c r="BX109" s="24" cm="1">
        <f t="array" ref="BX109">SUM(_xlfn.XLOOKUP($S109:$AL109,增益!$A:$A,增益!$X:$X,0))</f>
        <v>0</v>
      </c>
    </row>
    <row r="110" spans="11:76">
      <c r="K110">
        <f>$L110*VLOOKUP($R110,武学奇术!$A:$ZZ,31,FALSE)</f>
        <v>0</v>
      </c>
      <c r="L110" s="36">
        <f t="shared" si="26"/>
        <v>0</v>
      </c>
      <c r="M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BQ110*$Q110*(1+IF(VLOOKUP($R110,武学奇术!$A:$ZZ,30,FALSE)="蓄力技",$B$21,0))*(1+$BW110)</f>
        <v>0</v>
      </c>
      <c r="N110" s="36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蓄力技",$B$21,0))*(1+$BW110)</f>
        <v>0</v>
      </c>
      <c r="O110" s="36">
        <f>((($AT110+($AU110-$AT110)*IF(VLOOKUP($R110,武学奇术!$A:$ZZ,31,FALSE)=1,$F$18,0.5))*$AN110+$AO110)*(1+$AV110)*(1+$AW110)+(($AY110+($AZ110-$AY110)*IF(VLOOKUP($R110,武学奇术!$A:$ZZ,31,FALSE)=1,$F$18,0.5))*IF($G$1="鸣金",$AP110,$AN110)+IF($G$1="鸣金",$AQ110*1.5,0))*(1+$BA110)*(1+$BB110)+(($BC110+($BD110-$BC110)*IF(VLOOKUP($R110,武学奇术!$A:$ZZ,31,FALSE)=1,$F$18,0.5))*IF($G$1="裂石",$AP110,$AN110)+IF($G$1="裂石",$AQ110*1.5,0))*(1+$BE110)*(1+$BF110)+(($BG110+($BH110-$BG110)*IF(VLOOKUP($R110,武学奇术!$A:$ZZ,31,FALSE)=1,$F$18,0.5))*IF($G$1="牵丝",$AP110,$AN110)+IF($G$1="牵丝",$AQ110*1.5,0))*(1+$BI110)*(1+$BJ110)+(($BK110+($BL110-$BK110)*IF(VLOOKUP($R110,武学奇术!$A:$ZZ,31,FALSE)=1,$F$18,0.5))*IF($G$1="破竹",$AP110,$AN110)+IF($G$1="破竹",$AQ110*1.5,0))*(1+$BM110)*(1+$BN110))*(1+$AR110)*$Q110*(1+IF(VLOOKUP($R110,武学奇术!$A:$ZZ,30,FALSE)="蓄力技",$B$21,0))*(1+$BW110)</f>
        <v>0</v>
      </c>
      <c r="P110" s="36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蓄力技",$B$21,0))*(1+$BW110)</f>
        <v>0</v>
      </c>
      <c r="Q110" s="37">
        <v>1</v>
      </c>
      <c r="R110" s="38" t="s">
        <v>79</v>
      </c>
      <c r="S110" s="38" t="s">
        <v>79</v>
      </c>
      <c r="T110" s="38" t="s">
        <v>79</v>
      </c>
      <c r="U110" s="38" t="s">
        <v>79</v>
      </c>
      <c r="V110" s="38" t="s">
        <v>79</v>
      </c>
      <c r="W110" s="38" t="s">
        <v>79</v>
      </c>
      <c r="X110" s="38" t="s">
        <v>79</v>
      </c>
      <c r="Y110" s="38" t="s">
        <v>79</v>
      </c>
      <c r="Z110" s="38" t="s">
        <v>79</v>
      </c>
      <c r="AA110" s="38" t="s">
        <v>79</v>
      </c>
      <c r="AB110" s="38" t="s">
        <v>79</v>
      </c>
      <c r="AC110" s="38" t="s">
        <v>79</v>
      </c>
      <c r="AD110" s="38" t="s">
        <v>79</v>
      </c>
      <c r="AE110" s="38" t="s">
        <v>79</v>
      </c>
      <c r="AF110" s="38" t="s">
        <v>84</v>
      </c>
      <c r="AG110" s="38" t="s">
        <v>85</v>
      </c>
      <c r="AH110" s="38" t="s">
        <v>79</v>
      </c>
      <c r="AI110" s="38" t="s">
        <v>79</v>
      </c>
      <c r="AJ110" s="38" t="s">
        <v>79</v>
      </c>
      <c r="AK110" s="38" t="s">
        <v>79</v>
      </c>
      <c r="AL110" s="38" t="s">
        <v>79</v>
      </c>
      <c r="AM110" t="str">
        <f>VLOOKUP($R110,武学奇术!$A:$ZZ,25,FALSE)</f>
        <v>心法</v>
      </c>
      <c r="AN110" s="24">
        <f>VLOOKUP($R110,武学奇术!$A:$ZZ,26,FALSE)</f>
        <v>0</v>
      </c>
      <c r="AO110" s="25">
        <f>VLOOKUP($R110,武学奇术!$A:$ZZ,27,FALSE)*(1+IF(OR($AM110=$F$4,$AM110=$F$5),$B$22,0))</f>
        <v>0</v>
      </c>
      <c r="AP110" s="24">
        <f>VLOOKUP($R110,武学奇术!$A:$ZZ,28,FALSE)</f>
        <v>0</v>
      </c>
      <c r="AQ110" s="25">
        <f>VLOOKUP($R110,武学奇术!$A:$ZZ,29,FALSE)*(1+IF(OR($AM110=$F$4,$AM110=$F$5),$B$22,0))</f>
        <v>0</v>
      </c>
      <c r="AR110" s="24" cm="1">
        <f t="array" ref="AR110">$G$3+IFERROR(VLOOKUP($AM110,$F$4:$G$7,2,FALSE),0)+VLOOKUP($R110,武学奇术!$A:$ZZ,2,FALSE)+SUM(_xlfn.XLOOKUP($S110:$AL110,增益!$A:$A,增益!$B:$B,0))</f>
        <v>0.1037</v>
      </c>
      <c r="AS110" s="24" cm="1">
        <f t="array" ref="AS110">VLOOKUP($R110,武学奇术!$A:$ZZ,5,FALSE)+SUM(_xlfn.XLOOKUP($S110:$AL110,增益!$A:$A,增益!$E:$E,0))</f>
        <v>0</v>
      </c>
      <c r="AT110" cm="1">
        <f t="array" ref="AT110">$D$10*(1+$AS110)+VLOOKUP($R110,武学奇术!$A:$ZZ,3,FALSE)+SUM(_xlfn.XLOOKUP($S110:$AL110,增益!$A:$A,增益!$C:$C,0))-$I$2</f>
        <v>3839.102</v>
      </c>
      <c r="AU110" cm="1">
        <f t="array" ref="AU110">$E$10*(1+$AS110)+VLOOKUP($R110,武学奇术!$A:$ZZ,4,FALSE)+SUM(_xlfn.XLOOKUP($S110:$AL110,增益!$A:$A,增益!$D:$D,0))-$I$2</f>
        <v>3839.102</v>
      </c>
      <c r="AV110" s="30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0.167</v>
      </c>
      <c r="AW110" s="30" cm="1">
        <f t="array" ref="AW110">$G$10+VLOOKUP($R110,武学奇术!$A:$ZZ,7,FALSE)+SUM(_xlfn.XLOOKUP($S110:$AL110,增益!$A:$A,增益!$G:$G,0))</f>
        <v>0.09</v>
      </c>
      <c r="AX110" s="24" cm="1">
        <f t="array" ref="AX110">VLOOKUP($R110,武学奇术!$A:$ZZ,8,FALSE)+SUM(_xlfn.XLOOKUP($S110:$AL110,增益!$A:$A,增益!$H:$H,0))</f>
        <v>0</v>
      </c>
      <c r="AY110">
        <f t="shared" si="14"/>
        <v>0</v>
      </c>
      <c r="AZ110">
        <f t="shared" si="15"/>
        <v>0</v>
      </c>
      <c r="BA110" s="30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0" cm="1">
        <f t="array" ref="BB110">$G$11+VLOOKUP($R110,武学奇术!$A:$ZZ,10,FALSE)+SUM(_xlfn.XLOOKUP($S110:$AL110,增益!$A:$A,增益!$J:$J,0))</f>
        <v>0</v>
      </c>
      <c r="BC110">
        <f t="shared" si="16"/>
        <v>0</v>
      </c>
      <c r="BD110">
        <f t="shared" si="17"/>
        <v>0</v>
      </c>
      <c r="BE110" s="30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0" cm="1">
        <f t="array" ref="BF110">$G$12+VLOOKUP($R110,武学奇术!$A:$ZZ,12,FALSE)+SUM(_xlfn.XLOOKUP($S110:$AL110,增益!$A:$A,增益!$L:$L,0))</f>
        <v>0</v>
      </c>
      <c r="BG110">
        <f t="shared" si="18"/>
        <v>0</v>
      </c>
      <c r="BH110">
        <f t="shared" si="19"/>
        <v>0</v>
      </c>
      <c r="BI110" s="30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-0.3</v>
      </c>
      <c r="BJ110" s="30" cm="1">
        <f t="array" ref="BJ110">$G$13+VLOOKUP($R110,武学奇术!$A:$ZZ,14,FALSE)+SUM(_xlfn.XLOOKUP($S110:$AL110,增益!$A:$A,增益!$N:$N,0))</f>
        <v>0</v>
      </c>
      <c r="BK110">
        <f t="shared" si="20"/>
        <v>605.472</v>
      </c>
      <c r="BL110">
        <f t="shared" si="21"/>
        <v>1725.468</v>
      </c>
      <c r="BM110" s="30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0</v>
      </c>
      <c r="BN110" s="30" cm="1">
        <f t="array" ref="BN110">$G$14+VLOOKUP($R110,武学奇术!$A:$ZZ,16,FALSE)+SUM(_xlfn.XLOOKUP($S110:$AL110,增益!$A:$A,增益!$P:$P,0))</f>
        <v>0.24</v>
      </c>
      <c r="BO110" s="24">
        <f>MIN(IF(VLOOKUP($R110,武学奇术!$A:$ZZ,23,FALSE)=1,100%,$B$8),100%)</f>
        <v>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+MIN(IF(VLOOKUP($R110,武学奇术!$A:$ZZ,32,FALSE)=1,IF(VLOOKUP($R110,武学奇术!$A:$ZZ,24,FALSE)=1,100%,MIN(40%,$B$10+VLOOKUP($R110,武学奇术!$A:$ZZ,19,FALSE)+SUM(_xlfn.XLOOKUP($S110:$AL110,增益!$A:$A,增益!$S:$S,0)))+$B$12+SUM(_xlfn.XLOOKUP($S110:$AL110,增益!$A:$A,增益!$V:$V,0))),0),12%)</f>
        <v>0.9036</v>
      </c>
      <c r="BQ110" s="24" cm="1">
        <f t="array" ref="BQ110">1+$B$13+VLOOKUP($R110,武学奇术!$A:$ZZ,18,FALSE)+SUM(_xlfn.XLOOKUP($S110:$AL110,增益!$A:$A,增益!$R:$R,0))</f>
        <v>1.54</v>
      </c>
      <c r="BR110" s="24" cm="1">
        <f t="array" ref="BR110">MAX(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-IF(VLOOKUP($R110,武学奇术!$A:$ZZ,32,FALSE)=1,12%,0),0)</f>
        <v>0.0929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2"/>
        <v>0.9036</v>
      </c>
      <c r="BU110" s="24">
        <f t="shared" si="23"/>
        <v>0.00350000000000006</v>
      </c>
      <c r="BV110" s="24">
        <f>IF(VLOOKUP($R110,武学奇术!$A:$ZZ,22,FALSE)=1,0,(1-$BO110))*(1-$BR110)</f>
        <v>0</v>
      </c>
      <c r="BW110" s="24" cm="1">
        <f t="array" ref="BW110">SUM(_xlfn.XLOOKUP($S110:$AL110,增益!$A:$A,增益!$W:$W,0))+$I$5</f>
        <v>0.11</v>
      </c>
      <c r="BX110" s="24" cm="1">
        <f t="array" ref="BX110">SUM(_xlfn.XLOOKUP($S110:$AL110,增益!$A:$A,增益!$X:$X,0))</f>
        <v>0</v>
      </c>
    </row>
    <row r="111" spans="11:76">
      <c r="K111">
        <f>$L111*VLOOKUP($R111,武学奇术!$A:$ZZ,31,FALSE)</f>
        <v>0</v>
      </c>
      <c r="L111" s="36">
        <f t="shared" si="26"/>
        <v>0</v>
      </c>
      <c r="M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BQ111*$Q111*(1+IF(VLOOKUP($R111,武学奇术!$A:$ZZ,30,FALSE)="蓄力技",$B$21,0))*(1+$BW111)</f>
        <v>0</v>
      </c>
      <c r="N111" s="36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蓄力技",$B$21,0))*(1+$BW111)</f>
        <v>0</v>
      </c>
      <c r="O111" s="36">
        <f>((($AT111+($AU111-$AT111)*IF(VLOOKUP($R111,武学奇术!$A:$ZZ,31,FALSE)=1,$F$18,0.5))*$AN111+$AO111)*(1+$AV111)*(1+$AW111)+(($AY111+($AZ111-$AY111)*IF(VLOOKUP($R111,武学奇术!$A:$ZZ,31,FALSE)=1,$F$18,0.5))*IF($G$1="鸣金",$AP111,$AN111)+IF($G$1="鸣金",$AQ111*1.5,0))*(1+$BA111)*(1+$BB111)+(($BC111+($BD111-$BC111)*IF(VLOOKUP($R111,武学奇术!$A:$ZZ,31,FALSE)=1,$F$18,0.5))*IF($G$1="裂石",$AP111,$AN111)+IF($G$1="裂石",$AQ111*1.5,0))*(1+$BE111)*(1+$BF111)+(($BG111+($BH111-$BG111)*IF(VLOOKUP($R111,武学奇术!$A:$ZZ,31,FALSE)=1,$F$18,0.5))*IF($G$1="牵丝",$AP111,$AN111)+IF($G$1="牵丝",$AQ111*1.5,0))*(1+$BI111)*(1+$BJ111)+(($BK111+($BL111-$BK111)*IF(VLOOKUP($R111,武学奇术!$A:$ZZ,31,FALSE)=1,$F$18,0.5))*IF($G$1="破竹",$AP111,$AN111)+IF($G$1="破竹",$AQ111*1.5,0))*(1+$BM111)*(1+$BN111))*(1+$AR111)*$Q111*(1+IF(VLOOKUP($R111,武学奇术!$A:$ZZ,30,FALSE)="蓄力技",$B$21,0))*(1+$BW111)</f>
        <v>0</v>
      </c>
      <c r="P111" s="36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蓄力技",$B$21,0))*(1+$BW111)</f>
        <v>0</v>
      </c>
      <c r="Q111" s="37">
        <v>1</v>
      </c>
      <c r="R111" s="38" t="s">
        <v>79</v>
      </c>
      <c r="S111" s="38" t="s">
        <v>79</v>
      </c>
      <c r="T111" s="38" t="s">
        <v>79</v>
      </c>
      <c r="U111" s="38" t="s">
        <v>79</v>
      </c>
      <c r="V111" s="38" t="s">
        <v>79</v>
      </c>
      <c r="W111" s="38" t="s">
        <v>79</v>
      </c>
      <c r="X111" s="38" t="s">
        <v>79</v>
      </c>
      <c r="Y111" s="38" t="s">
        <v>79</v>
      </c>
      <c r="Z111" s="38" t="s">
        <v>79</v>
      </c>
      <c r="AA111" s="38" t="s">
        <v>79</v>
      </c>
      <c r="AB111" s="38" t="s">
        <v>79</v>
      </c>
      <c r="AC111" s="38" t="s">
        <v>79</v>
      </c>
      <c r="AD111" s="38" t="s">
        <v>79</v>
      </c>
      <c r="AE111" s="38" t="s">
        <v>79</v>
      </c>
      <c r="AF111" s="38" t="s">
        <v>84</v>
      </c>
      <c r="AG111" s="38" t="s">
        <v>85</v>
      </c>
      <c r="AH111" s="38" t="s">
        <v>79</v>
      </c>
      <c r="AI111" s="38" t="s">
        <v>79</v>
      </c>
      <c r="AJ111" s="38" t="s">
        <v>79</v>
      </c>
      <c r="AK111" s="38" t="s">
        <v>79</v>
      </c>
      <c r="AL111" s="38" t="s">
        <v>79</v>
      </c>
      <c r="AM111" t="str">
        <f>VLOOKUP($R111,武学奇术!$A:$ZZ,25,FALSE)</f>
        <v>心法</v>
      </c>
      <c r="AN111" s="24">
        <f>VLOOKUP($R111,武学奇术!$A:$ZZ,26,FALSE)</f>
        <v>0</v>
      </c>
      <c r="AO111" s="25">
        <f>VLOOKUP($R111,武学奇术!$A:$ZZ,27,FALSE)*(1+IF(OR($AM111=$F$4,$AM111=$F$5),$B$22,0))</f>
        <v>0</v>
      </c>
      <c r="AP111" s="24">
        <f>VLOOKUP($R111,武学奇术!$A:$ZZ,28,FALSE)</f>
        <v>0</v>
      </c>
      <c r="AQ111" s="25">
        <f>VLOOKUP($R111,武学奇术!$A:$ZZ,29,FALSE)*(1+IF(OR($AM111=$F$4,$AM111=$F$5),$B$22,0))</f>
        <v>0</v>
      </c>
      <c r="AR111" s="24" cm="1">
        <f t="array" ref="AR111">$G$3+IFERROR(VLOOKUP($AM111,$F$4:$G$7,2,FALSE),0)+VLOOKUP($R111,武学奇术!$A:$ZZ,2,FALSE)+SUM(_xlfn.XLOOKUP($S111:$AL111,增益!$A:$A,增益!$B:$B,0))</f>
        <v>0.1037</v>
      </c>
      <c r="AS111" s="24" cm="1">
        <f t="array" ref="AS111">VLOOKUP($R111,武学奇术!$A:$ZZ,5,FALSE)+SUM(_xlfn.XLOOKUP($S111:$AL111,增益!$A:$A,增益!$E:$E,0))</f>
        <v>0</v>
      </c>
      <c r="AT111" cm="1">
        <f t="array" ref="AT111">$D$10*(1+$AS111)+VLOOKUP($R111,武学奇术!$A:$ZZ,3,FALSE)+SUM(_xlfn.XLOOKUP($S111:$AL111,增益!$A:$A,增益!$C:$C,0))-$I$2</f>
        <v>3839.102</v>
      </c>
      <c r="AU111" cm="1">
        <f t="array" ref="AU111">$E$10*(1+$AS111)+VLOOKUP($R111,武学奇术!$A:$ZZ,4,FALSE)+SUM(_xlfn.XLOOKUP($S111:$AL111,增益!$A:$A,增益!$D:$D,0))-$I$2</f>
        <v>3839.102</v>
      </c>
      <c r="AV111" s="30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0.167</v>
      </c>
      <c r="AW111" s="30" cm="1">
        <f t="array" ref="AW111">$G$10+VLOOKUP($R111,武学奇术!$A:$ZZ,7,FALSE)+SUM(_xlfn.XLOOKUP($S111:$AL111,增益!$A:$A,增益!$G:$G,0))</f>
        <v>0.09</v>
      </c>
      <c r="AX111" s="24" cm="1">
        <f t="array" ref="AX111">VLOOKUP($R111,武学奇术!$A:$ZZ,8,FALSE)+SUM(_xlfn.XLOOKUP($S111:$AL111,增益!$A:$A,增益!$H:$H,0))</f>
        <v>0</v>
      </c>
      <c r="AY111">
        <f t="shared" si="14"/>
        <v>0</v>
      </c>
      <c r="AZ111">
        <f t="shared" si="15"/>
        <v>0</v>
      </c>
      <c r="BA111" s="30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0" cm="1">
        <f t="array" ref="BB111">$G$11+VLOOKUP($R111,武学奇术!$A:$ZZ,10,FALSE)+SUM(_xlfn.XLOOKUP($S111:$AL111,增益!$A:$A,增益!$J:$J,0))</f>
        <v>0</v>
      </c>
      <c r="BC111">
        <f t="shared" si="16"/>
        <v>0</v>
      </c>
      <c r="BD111">
        <f t="shared" si="17"/>
        <v>0</v>
      </c>
      <c r="BE111" s="30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0" cm="1">
        <f t="array" ref="BF111">$G$12+VLOOKUP($R111,武学奇术!$A:$ZZ,12,FALSE)+SUM(_xlfn.XLOOKUP($S111:$AL111,增益!$A:$A,增益!$L:$L,0))</f>
        <v>0</v>
      </c>
      <c r="BG111">
        <f t="shared" si="18"/>
        <v>0</v>
      </c>
      <c r="BH111">
        <f t="shared" si="19"/>
        <v>0</v>
      </c>
      <c r="BI111" s="30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-0.3</v>
      </c>
      <c r="BJ111" s="30" cm="1">
        <f t="array" ref="BJ111">$G$13+VLOOKUP($R111,武学奇术!$A:$ZZ,14,FALSE)+SUM(_xlfn.XLOOKUP($S111:$AL111,增益!$A:$A,增益!$N:$N,0))</f>
        <v>0</v>
      </c>
      <c r="BK111">
        <f t="shared" si="20"/>
        <v>605.472</v>
      </c>
      <c r="BL111">
        <f t="shared" si="21"/>
        <v>1725.468</v>
      </c>
      <c r="BM111" s="30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0</v>
      </c>
      <c r="BN111" s="30" cm="1">
        <f t="array" ref="BN111">$G$14+VLOOKUP($R111,武学奇术!$A:$ZZ,16,FALSE)+SUM(_xlfn.XLOOKUP($S111:$AL111,增益!$A:$A,增益!$P:$P,0))</f>
        <v>0.24</v>
      </c>
      <c r="BO111" s="24">
        <f>MIN(IF(VLOOKUP($R111,武学奇术!$A:$ZZ,23,FALSE)=1,100%,$B$8),100%)</f>
        <v>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+MIN(IF(VLOOKUP($R111,武学奇术!$A:$ZZ,32,FALSE)=1,IF(VLOOKUP($R111,武学奇术!$A:$ZZ,24,FALSE)=1,100%,MIN(40%,$B$10+VLOOKUP($R111,武学奇术!$A:$ZZ,19,FALSE)+SUM(_xlfn.XLOOKUP($S111:$AL111,增益!$A:$A,增益!$S:$S,0)))+$B$12+SUM(_xlfn.XLOOKUP($S111:$AL111,增益!$A:$A,增益!$V:$V,0))),0),12%)</f>
        <v>0.9036</v>
      </c>
      <c r="BQ111" s="24" cm="1">
        <f t="array" ref="BQ111">1+$B$13+VLOOKUP($R111,武学奇术!$A:$ZZ,18,FALSE)+SUM(_xlfn.XLOOKUP($S111:$AL111,增益!$A:$A,增益!$R:$R,0))</f>
        <v>1.54</v>
      </c>
      <c r="BR111" s="24" cm="1">
        <f t="array" ref="BR111">MAX(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-IF(VLOOKUP($R111,武学奇术!$A:$ZZ,32,FALSE)=1,12%,0),0)</f>
        <v>0.0929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2"/>
        <v>0.9036</v>
      </c>
      <c r="BU111" s="24">
        <f t="shared" si="23"/>
        <v>0.00350000000000006</v>
      </c>
      <c r="BV111" s="24">
        <f>IF(VLOOKUP($R111,武学奇术!$A:$ZZ,22,FALSE)=1,0,(1-$BO111))*(1-$BR111)</f>
        <v>0</v>
      </c>
      <c r="BW111" s="24" cm="1">
        <f t="array" ref="BW111">SUM(_xlfn.XLOOKUP($S111:$AL111,增益!$A:$A,增益!$W:$W,0))+$I$5</f>
        <v>0.11</v>
      </c>
      <c r="BX111" s="24" cm="1">
        <f t="array" ref="BX111">SUM(_xlfn.XLOOKUP($S111:$AL111,增益!$A:$A,增益!$X:$X,0))</f>
        <v>0</v>
      </c>
    </row>
    <row r="112" spans="11:76">
      <c r="K112">
        <f>$L112*VLOOKUP($R112,武学奇术!$A:$ZZ,31,FALSE)</f>
        <v>0</v>
      </c>
      <c r="L112" s="36">
        <f t="shared" si="26"/>
        <v>0</v>
      </c>
      <c r="M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BQ112*$Q112*(1+IF(VLOOKUP($R112,武学奇术!$A:$ZZ,30,FALSE)="蓄力技",$B$21,0))*(1+$BW112)</f>
        <v>0</v>
      </c>
      <c r="N112" s="36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蓄力技",$B$21,0))*(1+$BW112)</f>
        <v>0</v>
      </c>
      <c r="O112" s="36">
        <f>((($AT112+($AU112-$AT112)*IF(VLOOKUP($R112,武学奇术!$A:$ZZ,31,FALSE)=1,$F$18,0.5))*$AN112+$AO112)*(1+$AV112)*(1+$AW112)+(($AY112+($AZ112-$AY112)*IF(VLOOKUP($R112,武学奇术!$A:$ZZ,31,FALSE)=1,$F$18,0.5))*IF($G$1="鸣金",$AP112,$AN112)+IF($G$1="鸣金",$AQ112*1.5,0))*(1+$BA112)*(1+$BB112)+(($BC112+($BD112-$BC112)*IF(VLOOKUP($R112,武学奇术!$A:$ZZ,31,FALSE)=1,$F$18,0.5))*IF($G$1="裂石",$AP112,$AN112)+IF($G$1="裂石",$AQ112*1.5,0))*(1+$BE112)*(1+$BF112)+(($BG112+($BH112-$BG112)*IF(VLOOKUP($R112,武学奇术!$A:$ZZ,31,FALSE)=1,$F$18,0.5))*IF($G$1="牵丝",$AP112,$AN112)+IF($G$1="牵丝",$AQ112*1.5,0))*(1+$BI112)*(1+$BJ112)+(($BK112+($BL112-$BK112)*IF(VLOOKUP($R112,武学奇术!$A:$ZZ,31,FALSE)=1,$F$18,0.5))*IF($G$1="破竹",$AP112,$AN112)+IF($G$1="破竹",$AQ112*1.5,0))*(1+$BM112)*(1+$BN112))*(1+$AR112)*$Q112*(1+IF(VLOOKUP($R112,武学奇术!$A:$ZZ,30,FALSE)="蓄力技",$B$21,0))*(1+$BW112)</f>
        <v>0</v>
      </c>
      <c r="P112" s="36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蓄力技",$B$21,0))*(1+$BW112)</f>
        <v>0</v>
      </c>
      <c r="Q112" s="37">
        <v>1</v>
      </c>
      <c r="R112" s="38" t="s">
        <v>79</v>
      </c>
      <c r="S112" s="38" t="s">
        <v>79</v>
      </c>
      <c r="T112" s="38" t="s">
        <v>79</v>
      </c>
      <c r="U112" s="38" t="s">
        <v>79</v>
      </c>
      <c r="V112" s="38" t="s">
        <v>79</v>
      </c>
      <c r="W112" s="38" t="s">
        <v>79</v>
      </c>
      <c r="X112" s="38" t="s">
        <v>79</v>
      </c>
      <c r="Y112" s="38" t="s">
        <v>79</v>
      </c>
      <c r="Z112" s="38" t="s">
        <v>79</v>
      </c>
      <c r="AA112" s="38" t="s">
        <v>79</v>
      </c>
      <c r="AB112" s="38" t="s">
        <v>79</v>
      </c>
      <c r="AC112" s="38" t="s">
        <v>79</v>
      </c>
      <c r="AD112" s="38" t="s">
        <v>79</v>
      </c>
      <c r="AE112" s="38" t="s">
        <v>79</v>
      </c>
      <c r="AF112" s="38" t="s">
        <v>84</v>
      </c>
      <c r="AG112" s="38" t="s">
        <v>85</v>
      </c>
      <c r="AH112" s="38" t="s">
        <v>79</v>
      </c>
      <c r="AI112" s="38" t="s">
        <v>79</v>
      </c>
      <c r="AJ112" s="38" t="s">
        <v>79</v>
      </c>
      <c r="AK112" s="38" t="s">
        <v>79</v>
      </c>
      <c r="AL112" s="38" t="s">
        <v>79</v>
      </c>
      <c r="AM112" t="str">
        <f>VLOOKUP($R112,武学奇术!$A:$ZZ,25,FALSE)</f>
        <v>心法</v>
      </c>
      <c r="AN112" s="24">
        <f>VLOOKUP($R112,武学奇术!$A:$ZZ,26,FALSE)</f>
        <v>0</v>
      </c>
      <c r="AO112" s="25">
        <f>VLOOKUP($R112,武学奇术!$A:$ZZ,27,FALSE)*(1+IF(OR($AM112=$F$4,$AM112=$F$5),$B$22,0))</f>
        <v>0</v>
      </c>
      <c r="AP112" s="24">
        <f>VLOOKUP($R112,武学奇术!$A:$ZZ,28,FALSE)</f>
        <v>0</v>
      </c>
      <c r="AQ112" s="25">
        <f>VLOOKUP($R112,武学奇术!$A:$ZZ,29,FALSE)*(1+IF(OR($AM112=$F$4,$AM112=$F$5),$B$22,0))</f>
        <v>0</v>
      </c>
      <c r="AR112" s="24" cm="1">
        <f t="array" ref="AR112">$G$3+IFERROR(VLOOKUP($AM112,$F$4:$G$7,2,FALSE),0)+VLOOKUP($R112,武学奇术!$A:$ZZ,2,FALSE)+SUM(_xlfn.XLOOKUP($S112:$AL112,增益!$A:$A,增益!$B:$B,0))</f>
        <v>0.1037</v>
      </c>
      <c r="AS112" s="24" cm="1">
        <f t="array" ref="AS112">VLOOKUP($R112,武学奇术!$A:$ZZ,5,FALSE)+SUM(_xlfn.XLOOKUP($S112:$AL112,增益!$A:$A,增益!$E:$E,0))</f>
        <v>0</v>
      </c>
      <c r="AT112" cm="1">
        <f t="array" ref="AT112">$D$10*(1+$AS112)+VLOOKUP($R112,武学奇术!$A:$ZZ,3,FALSE)+SUM(_xlfn.XLOOKUP($S112:$AL112,增益!$A:$A,增益!$C:$C,0))-$I$2</f>
        <v>3839.102</v>
      </c>
      <c r="AU112" cm="1">
        <f t="array" ref="AU112">$E$10*(1+$AS112)+VLOOKUP($R112,武学奇术!$A:$ZZ,4,FALSE)+SUM(_xlfn.XLOOKUP($S112:$AL112,增益!$A:$A,增益!$D:$D,0))-$I$2</f>
        <v>3839.102</v>
      </c>
      <c r="AV112" s="30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0.167</v>
      </c>
      <c r="AW112" s="30" cm="1">
        <f t="array" ref="AW112">$G$10+VLOOKUP($R112,武学奇术!$A:$ZZ,7,FALSE)+SUM(_xlfn.XLOOKUP($S112:$AL112,增益!$A:$A,增益!$G:$G,0))</f>
        <v>0.09</v>
      </c>
      <c r="AX112" s="24" cm="1">
        <f t="array" ref="AX112">VLOOKUP($R112,武学奇术!$A:$ZZ,8,FALSE)+SUM(_xlfn.XLOOKUP($S112:$AL112,增益!$A:$A,增益!$H:$H,0))</f>
        <v>0</v>
      </c>
      <c r="AY112">
        <f t="shared" si="14"/>
        <v>0</v>
      </c>
      <c r="AZ112">
        <f t="shared" si="15"/>
        <v>0</v>
      </c>
      <c r="BA112" s="30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0" cm="1">
        <f t="array" ref="BB112">$G$11+VLOOKUP($R112,武学奇术!$A:$ZZ,10,FALSE)+SUM(_xlfn.XLOOKUP($S112:$AL112,增益!$A:$A,增益!$J:$J,0))</f>
        <v>0</v>
      </c>
      <c r="BC112">
        <f t="shared" si="16"/>
        <v>0</v>
      </c>
      <c r="BD112">
        <f t="shared" si="17"/>
        <v>0</v>
      </c>
      <c r="BE112" s="30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0" cm="1">
        <f t="array" ref="BF112">$G$12+VLOOKUP($R112,武学奇术!$A:$ZZ,12,FALSE)+SUM(_xlfn.XLOOKUP($S112:$AL112,增益!$A:$A,增益!$L:$L,0))</f>
        <v>0</v>
      </c>
      <c r="BG112">
        <f t="shared" si="18"/>
        <v>0</v>
      </c>
      <c r="BH112">
        <f t="shared" si="19"/>
        <v>0</v>
      </c>
      <c r="BI112" s="30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-0.3</v>
      </c>
      <c r="BJ112" s="30" cm="1">
        <f t="array" ref="BJ112">$G$13+VLOOKUP($R112,武学奇术!$A:$ZZ,14,FALSE)+SUM(_xlfn.XLOOKUP($S112:$AL112,增益!$A:$A,增益!$N:$N,0))</f>
        <v>0</v>
      </c>
      <c r="BK112">
        <f t="shared" si="20"/>
        <v>605.472</v>
      </c>
      <c r="BL112">
        <f t="shared" si="21"/>
        <v>1725.468</v>
      </c>
      <c r="BM112" s="30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0</v>
      </c>
      <c r="BN112" s="30" cm="1">
        <f t="array" ref="BN112">$G$14+VLOOKUP($R112,武学奇术!$A:$ZZ,16,FALSE)+SUM(_xlfn.XLOOKUP($S112:$AL112,增益!$A:$A,增益!$P:$P,0))</f>
        <v>0.24</v>
      </c>
      <c r="BO112" s="24">
        <f>MIN(IF(VLOOKUP($R112,武学奇术!$A:$ZZ,23,FALSE)=1,100%,$B$8),100%)</f>
        <v>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+MIN(IF(VLOOKUP($R112,武学奇术!$A:$ZZ,32,FALSE)=1,IF(VLOOKUP($R112,武学奇术!$A:$ZZ,24,FALSE)=1,100%,MIN(40%,$B$10+VLOOKUP($R112,武学奇术!$A:$ZZ,19,FALSE)+SUM(_xlfn.XLOOKUP($S112:$AL112,增益!$A:$A,增益!$S:$S,0)))+$B$12+SUM(_xlfn.XLOOKUP($S112:$AL112,增益!$A:$A,增益!$V:$V,0))),0),12%)</f>
        <v>0.9036</v>
      </c>
      <c r="BQ112" s="24" cm="1">
        <f t="array" ref="BQ112">1+$B$13+VLOOKUP($R112,武学奇术!$A:$ZZ,18,FALSE)+SUM(_xlfn.XLOOKUP($S112:$AL112,增益!$A:$A,增益!$R:$R,0))</f>
        <v>1.54</v>
      </c>
      <c r="BR112" s="24" cm="1">
        <f t="array" ref="BR112">MAX(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-IF(VLOOKUP($R112,武学奇术!$A:$ZZ,32,FALSE)=1,12%,0),0)</f>
        <v>0.0929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2"/>
        <v>0.9036</v>
      </c>
      <c r="BU112" s="24">
        <f t="shared" si="23"/>
        <v>0.00350000000000006</v>
      </c>
      <c r="BV112" s="24">
        <f>IF(VLOOKUP($R112,武学奇术!$A:$ZZ,22,FALSE)=1,0,(1-$BO112))*(1-$BR112)</f>
        <v>0</v>
      </c>
      <c r="BW112" s="24" cm="1">
        <f t="array" ref="BW112">SUM(_xlfn.XLOOKUP($S112:$AL112,增益!$A:$A,增益!$W:$W,0))+$I$5</f>
        <v>0.11</v>
      </c>
      <c r="BX112" s="24" cm="1">
        <f t="array" ref="BX112">SUM(_xlfn.XLOOKUP($S112:$AL112,增益!$A:$A,增益!$X:$X,0))</f>
        <v>0</v>
      </c>
    </row>
    <row r="113" spans="11:76">
      <c r="K113">
        <f>$L113*VLOOKUP($R113,武学奇术!$A:$ZZ,31,FALSE)</f>
        <v>0</v>
      </c>
      <c r="L113" s="36">
        <f t="shared" si="26"/>
        <v>0</v>
      </c>
      <c r="M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BQ113*$Q113*(1+IF(VLOOKUP($R113,武学奇术!$A:$ZZ,30,FALSE)="蓄力技",$B$21,0))*(1+$BW113)</f>
        <v>0</v>
      </c>
      <c r="N113" s="36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蓄力技",$B$21,0))*(1+$BW113)</f>
        <v>0</v>
      </c>
      <c r="O113" s="36">
        <f>((($AT113+($AU113-$AT113)*IF(VLOOKUP($R113,武学奇术!$A:$ZZ,31,FALSE)=1,$F$18,0.5))*$AN113+$AO113)*(1+$AV113)*(1+$AW113)+(($AY113+($AZ113-$AY113)*IF(VLOOKUP($R113,武学奇术!$A:$ZZ,31,FALSE)=1,$F$18,0.5))*IF($G$1="鸣金",$AP113,$AN113)+IF($G$1="鸣金",$AQ113*1.5,0))*(1+$BA113)*(1+$BB113)+(($BC113+($BD113-$BC113)*IF(VLOOKUP($R113,武学奇术!$A:$ZZ,31,FALSE)=1,$F$18,0.5))*IF($G$1="裂石",$AP113,$AN113)+IF($G$1="裂石",$AQ113*1.5,0))*(1+$BE113)*(1+$BF113)+(($BG113+($BH113-$BG113)*IF(VLOOKUP($R113,武学奇术!$A:$ZZ,31,FALSE)=1,$F$18,0.5))*IF($G$1="牵丝",$AP113,$AN113)+IF($G$1="牵丝",$AQ113*1.5,0))*(1+$BI113)*(1+$BJ113)+(($BK113+($BL113-$BK113)*IF(VLOOKUP($R113,武学奇术!$A:$ZZ,31,FALSE)=1,$F$18,0.5))*IF($G$1="破竹",$AP113,$AN113)+IF($G$1="破竹",$AQ113*1.5,0))*(1+$BM113)*(1+$BN113))*(1+$AR113)*$Q113*(1+IF(VLOOKUP($R113,武学奇术!$A:$ZZ,30,FALSE)="蓄力技",$B$21,0))*(1+$BW113)</f>
        <v>0</v>
      </c>
      <c r="P113" s="36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蓄力技",$B$21,0))*(1+$BW113)</f>
        <v>0</v>
      </c>
      <c r="Q113" s="37">
        <v>1</v>
      </c>
      <c r="R113" s="38" t="s">
        <v>79</v>
      </c>
      <c r="S113" s="38" t="s">
        <v>79</v>
      </c>
      <c r="T113" s="38" t="s">
        <v>79</v>
      </c>
      <c r="U113" s="38" t="s">
        <v>79</v>
      </c>
      <c r="V113" s="38" t="s">
        <v>79</v>
      </c>
      <c r="W113" s="38" t="s">
        <v>79</v>
      </c>
      <c r="X113" s="38" t="s">
        <v>79</v>
      </c>
      <c r="Y113" s="38" t="s">
        <v>79</v>
      </c>
      <c r="Z113" s="38" t="s">
        <v>79</v>
      </c>
      <c r="AA113" s="38" t="s">
        <v>79</v>
      </c>
      <c r="AB113" s="38" t="s">
        <v>79</v>
      </c>
      <c r="AC113" s="38" t="s">
        <v>79</v>
      </c>
      <c r="AD113" s="38" t="s">
        <v>79</v>
      </c>
      <c r="AE113" s="38" t="s">
        <v>79</v>
      </c>
      <c r="AF113" s="38" t="s">
        <v>84</v>
      </c>
      <c r="AG113" s="38" t="s">
        <v>85</v>
      </c>
      <c r="AH113" s="38" t="s">
        <v>79</v>
      </c>
      <c r="AI113" s="38" t="s">
        <v>79</v>
      </c>
      <c r="AJ113" s="38" t="s">
        <v>79</v>
      </c>
      <c r="AK113" s="38" t="s">
        <v>79</v>
      </c>
      <c r="AL113" s="38" t="s">
        <v>79</v>
      </c>
      <c r="AM113" t="str">
        <f>VLOOKUP($R113,武学奇术!$A:$ZZ,25,FALSE)</f>
        <v>心法</v>
      </c>
      <c r="AN113" s="24">
        <f>VLOOKUP($R113,武学奇术!$A:$ZZ,26,FALSE)</f>
        <v>0</v>
      </c>
      <c r="AO113" s="25">
        <f>VLOOKUP($R113,武学奇术!$A:$ZZ,27,FALSE)*(1+IF(OR($AM113=$F$4,$AM113=$F$5),$B$22,0))</f>
        <v>0</v>
      </c>
      <c r="AP113" s="24">
        <f>VLOOKUP($R113,武学奇术!$A:$ZZ,28,FALSE)</f>
        <v>0</v>
      </c>
      <c r="AQ113" s="25">
        <f>VLOOKUP($R113,武学奇术!$A:$ZZ,29,FALSE)*(1+IF(OR($AM113=$F$4,$AM113=$F$5),$B$22,0))</f>
        <v>0</v>
      </c>
      <c r="AR113" s="24" cm="1">
        <f t="array" ref="AR113">$G$3+IFERROR(VLOOKUP($AM113,$F$4:$G$7,2,FALSE),0)+VLOOKUP($R113,武学奇术!$A:$ZZ,2,FALSE)+SUM(_xlfn.XLOOKUP($S113:$AL113,增益!$A:$A,增益!$B:$B,0))</f>
        <v>0.1037</v>
      </c>
      <c r="AS113" s="24" cm="1">
        <f t="array" ref="AS113">VLOOKUP($R113,武学奇术!$A:$ZZ,5,FALSE)+SUM(_xlfn.XLOOKUP($S113:$AL113,增益!$A:$A,增益!$E:$E,0))</f>
        <v>0</v>
      </c>
      <c r="AT113" cm="1">
        <f t="array" ref="AT113">$D$10*(1+$AS113)+VLOOKUP($R113,武学奇术!$A:$ZZ,3,FALSE)+SUM(_xlfn.XLOOKUP($S113:$AL113,增益!$A:$A,增益!$C:$C,0))-$I$2</f>
        <v>3839.102</v>
      </c>
      <c r="AU113" cm="1">
        <f t="array" ref="AU113">$E$10*(1+$AS113)+VLOOKUP($R113,武学奇术!$A:$ZZ,4,FALSE)+SUM(_xlfn.XLOOKUP($S113:$AL113,增益!$A:$A,增益!$D:$D,0))-$I$2</f>
        <v>3839.102</v>
      </c>
      <c r="AV113" s="30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0.167</v>
      </c>
      <c r="AW113" s="30" cm="1">
        <f t="array" ref="AW113">$G$10+VLOOKUP($R113,武学奇术!$A:$ZZ,7,FALSE)+SUM(_xlfn.XLOOKUP($S113:$AL113,增益!$A:$A,增益!$G:$G,0))</f>
        <v>0.09</v>
      </c>
      <c r="AX113" s="24" cm="1">
        <f t="array" ref="AX113">VLOOKUP($R113,武学奇术!$A:$ZZ,8,FALSE)+SUM(_xlfn.XLOOKUP($S113:$AL113,增益!$A:$A,增益!$H:$H,0))</f>
        <v>0</v>
      </c>
      <c r="AY113">
        <f t="shared" si="14"/>
        <v>0</v>
      </c>
      <c r="AZ113">
        <f t="shared" si="15"/>
        <v>0</v>
      </c>
      <c r="BA113" s="30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0" cm="1">
        <f t="array" ref="BB113">$G$11+VLOOKUP($R113,武学奇术!$A:$ZZ,10,FALSE)+SUM(_xlfn.XLOOKUP($S113:$AL113,增益!$A:$A,增益!$J:$J,0))</f>
        <v>0</v>
      </c>
      <c r="BC113">
        <f t="shared" si="16"/>
        <v>0</v>
      </c>
      <c r="BD113">
        <f t="shared" si="17"/>
        <v>0</v>
      </c>
      <c r="BE113" s="30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0" cm="1">
        <f t="array" ref="BF113">$G$12+VLOOKUP($R113,武学奇术!$A:$ZZ,12,FALSE)+SUM(_xlfn.XLOOKUP($S113:$AL113,增益!$A:$A,增益!$L:$L,0))</f>
        <v>0</v>
      </c>
      <c r="BG113">
        <f t="shared" si="18"/>
        <v>0</v>
      </c>
      <c r="BH113">
        <f t="shared" si="19"/>
        <v>0</v>
      </c>
      <c r="BI113" s="30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-0.3</v>
      </c>
      <c r="BJ113" s="30" cm="1">
        <f t="array" ref="BJ113">$G$13+VLOOKUP($R113,武学奇术!$A:$ZZ,14,FALSE)+SUM(_xlfn.XLOOKUP($S113:$AL113,增益!$A:$A,增益!$N:$N,0))</f>
        <v>0</v>
      </c>
      <c r="BK113">
        <f t="shared" si="20"/>
        <v>605.472</v>
      </c>
      <c r="BL113">
        <f t="shared" si="21"/>
        <v>1725.468</v>
      </c>
      <c r="BM113" s="30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0</v>
      </c>
      <c r="BN113" s="30" cm="1">
        <f t="array" ref="BN113">$G$14+VLOOKUP($R113,武学奇术!$A:$ZZ,16,FALSE)+SUM(_xlfn.XLOOKUP($S113:$AL113,增益!$A:$A,增益!$P:$P,0))</f>
        <v>0.24</v>
      </c>
      <c r="BO113" s="24">
        <f>MIN(IF(VLOOKUP($R113,武学奇术!$A:$ZZ,23,FALSE)=1,100%,$B$8),100%)</f>
        <v>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+MIN(IF(VLOOKUP($R113,武学奇术!$A:$ZZ,32,FALSE)=1,IF(VLOOKUP($R113,武学奇术!$A:$ZZ,24,FALSE)=1,100%,MIN(40%,$B$10+VLOOKUP($R113,武学奇术!$A:$ZZ,19,FALSE)+SUM(_xlfn.XLOOKUP($S113:$AL113,增益!$A:$A,增益!$S:$S,0)))+$B$12+SUM(_xlfn.XLOOKUP($S113:$AL113,增益!$A:$A,增益!$V:$V,0))),0),12%)</f>
        <v>0.9036</v>
      </c>
      <c r="BQ113" s="24" cm="1">
        <f t="array" ref="BQ113">1+$B$13+VLOOKUP($R113,武学奇术!$A:$ZZ,18,FALSE)+SUM(_xlfn.XLOOKUP($S113:$AL113,增益!$A:$A,增益!$R:$R,0))</f>
        <v>1.54</v>
      </c>
      <c r="BR113" s="24" cm="1">
        <f t="array" ref="BR113">MAX(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-IF(VLOOKUP($R113,武学奇术!$A:$ZZ,32,FALSE)=1,12%,0),0)</f>
        <v>0.0929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2"/>
        <v>0.9036</v>
      </c>
      <c r="BU113" s="24">
        <f t="shared" si="23"/>
        <v>0.00350000000000006</v>
      </c>
      <c r="BV113" s="24">
        <f>IF(VLOOKUP($R113,武学奇术!$A:$ZZ,22,FALSE)=1,0,(1-$BO113))*(1-$BR113)</f>
        <v>0</v>
      </c>
      <c r="BW113" s="24" cm="1">
        <f t="array" ref="BW113">SUM(_xlfn.XLOOKUP($S113:$AL113,增益!$A:$A,增益!$W:$W,0))+$I$5</f>
        <v>0.11</v>
      </c>
      <c r="BX113" s="24" cm="1">
        <f t="array" ref="BX113">SUM(_xlfn.XLOOKUP($S113:$AL113,增益!$A:$A,增益!$X:$X,0))</f>
        <v>0</v>
      </c>
    </row>
    <row r="114" spans="11:76">
      <c r="K114">
        <f>$L114*VLOOKUP($R114,武学奇术!$A:$ZZ,31,FALSE)</f>
        <v>0</v>
      </c>
      <c r="L114" s="36">
        <f t="shared" si="26"/>
        <v>0</v>
      </c>
      <c r="M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BQ114*$Q114*(1+IF(VLOOKUP($R114,武学奇术!$A:$ZZ,30,FALSE)="蓄力技",$B$21,0))*(1+$BW114)</f>
        <v>0</v>
      </c>
      <c r="N114" s="36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蓄力技",$B$21,0))*(1+$BW114)</f>
        <v>0</v>
      </c>
      <c r="O114" s="36">
        <f>((($AT114+($AU114-$AT114)*IF(VLOOKUP($R114,武学奇术!$A:$ZZ,31,FALSE)=1,$F$18,0.5))*$AN114+$AO114)*(1+$AV114)*(1+$AW114)+(($AY114+($AZ114-$AY114)*IF(VLOOKUP($R114,武学奇术!$A:$ZZ,31,FALSE)=1,$F$18,0.5))*IF($G$1="鸣金",$AP114,$AN114)+IF($G$1="鸣金",$AQ114*1.5,0))*(1+$BA114)*(1+$BB114)+(($BC114+($BD114-$BC114)*IF(VLOOKUP($R114,武学奇术!$A:$ZZ,31,FALSE)=1,$F$18,0.5))*IF($G$1="裂石",$AP114,$AN114)+IF($G$1="裂石",$AQ114*1.5,0))*(1+$BE114)*(1+$BF114)+(($BG114+($BH114-$BG114)*IF(VLOOKUP($R114,武学奇术!$A:$ZZ,31,FALSE)=1,$F$18,0.5))*IF($G$1="牵丝",$AP114,$AN114)+IF($G$1="牵丝",$AQ114*1.5,0))*(1+$BI114)*(1+$BJ114)+(($BK114+($BL114-$BK114)*IF(VLOOKUP($R114,武学奇术!$A:$ZZ,31,FALSE)=1,$F$18,0.5))*IF($G$1="破竹",$AP114,$AN114)+IF($G$1="破竹",$AQ114*1.5,0))*(1+$BM114)*(1+$BN114))*(1+$AR114)*$Q114*(1+IF(VLOOKUP($R114,武学奇术!$A:$ZZ,30,FALSE)="蓄力技",$B$21,0))*(1+$BW114)</f>
        <v>0</v>
      </c>
      <c r="P114" s="36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蓄力技",$B$21,0))*(1+$BW114)</f>
        <v>0</v>
      </c>
      <c r="Q114" s="37">
        <v>1</v>
      </c>
      <c r="R114" s="38" t="s">
        <v>79</v>
      </c>
      <c r="S114" s="38" t="s">
        <v>79</v>
      </c>
      <c r="T114" s="38" t="s">
        <v>79</v>
      </c>
      <c r="U114" s="38" t="s">
        <v>79</v>
      </c>
      <c r="V114" s="38" t="s">
        <v>79</v>
      </c>
      <c r="W114" s="38" t="s">
        <v>79</v>
      </c>
      <c r="X114" s="38" t="s">
        <v>79</v>
      </c>
      <c r="Y114" s="38" t="s">
        <v>79</v>
      </c>
      <c r="Z114" s="38" t="s">
        <v>79</v>
      </c>
      <c r="AA114" s="38" t="s">
        <v>79</v>
      </c>
      <c r="AB114" s="38" t="s">
        <v>79</v>
      </c>
      <c r="AC114" s="38" t="s">
        <v>79</v>
      </c>
      <c r="AD114" s="38" t="s">
        <v>79</v>
      </c>
      <c r="AE114" s="38" t="s">
        <v>79</v>
      </c>
      <c r="AF114" s="38" t="s">
        <v>84</v>
      </c>
      <c r="AG114" s="38" t="s">
        <v>85</v>
      </c>
      <c r="AH114" s="38" t="s">
        <v>79</v>
      </c>
      <c r="AI114" s="38" t="s">
        <v>79</v>
      </c>
      <c r="AJ114" s="38" t="s">
        <v>79</v>
      </c>
      <c r="AK114" s="38" t="s">
        <v>79</v>
      </c>
      <c r="AL114" s="38" t="s">
        <v>79</v>
      </c>
      <c r="AM114" t="str">
        <f>VLOOKUP($R114,武学奇术!$A:$ZZ,25,FALSE)</f>
        <v>心法</v>
      </c>
      <c r="AN114" s="24">
        <f>VLOOKUP($R114,武学奇术!$A:$ZZ,26,FALSE)</f>
        <v>0</v>
      </c>
      <c r="AO114" s="25">
        <f>VLOOKUP($R114,武学奇术!$A:$ZZ,27,FALSE)*(1+IF(OR($AM114=$F$4,$AM114=$F$5),$B$22,0))</f>
        <v>0</v>
      </c>
      <c r="AP114" s="24">
        <f>VLOOKUP($R114,武学奇术!$A:$ZZ,28,FALSE)</f>
        <v>0</v>
      </c>
      <c r="AQ114" s="25">
        <f>VLOOKUP($R114,武学奇术!$A:$ZZ,29,FALSE)*(1+IF(OR($AM114=$F$4,$AM114=$F$5),$B$22,0))</f>
        <v>0</v>
      </c>
      <c r="AR114" s="24" cm="1">
        <f t="array" ref="AR114">$G$3+IFERROR(VLOOKUP($AM114,$F$4:$G$7,2,FALSE),0)+VLOOKUP($R114,武学奇术!$A:$ZZ,2,FALSE)+SUM(_xlfn.XLOOKUP($S114:$AL114,增益!$A:$A,增益!$B:$B,0))</f>
        <v>0.1037</v>
      </c>
      <c r="AS114" s="24" cm="1">
        <f t="array" ref="AS114">VLOOKUP($R114,武学奇术!$A:$ZZ,5,FALSE)+SUM(_xlfn.XLOOKUP($S114:$AL114,增益!$A:$A,增益!$E:$E,0))</f>
        <v>0</v>
      </c>
      <c r="AT114" cm="1">
        <f t="array" ref="AT114">$D$10*(1+$AS114)+VLOOKUP($R114,武学奇术!$A:$ZZ,3,FALSE)+SUM(_xlfn.XLOOKUP($S114:$AL114,增益!$A:$A,增益!$C:$C,0))-$I$2</f>
        <v>3839.102</v>
      </c>
      <c r="AU114" cm="1">
        <f t="array" ref="AU114">$E$10*(1+$AS114)+VLOOKUP($R114,武学奇术!$A:$ZZ,4,FALSE)+SUM(_xlfn.XLOOKUP($S114:$AL114,增益!$A:$A,增益!$D:$D,0))-$I$2</f>
        <v>3839.102</v>
      </c>
      <c r="AV114" s="30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0.167</v>
      </c>
      <c r="AW114" s="30" cm="1">
        <f t="array" ref="AW114">$G$10+VLOOKUP($R114,武学奇术!$A:$ZZ,7,FALSE)+SUM(_xlfn.XLOOKUP($S114:$AL114,增益!$A:$A,增益!$G:$G,0))</f>
        <v>0.09</v>
      </c>
      <c r="AX114" s="24" cm="1">
        <f t="array" ref="AX114">VLOOKUP($R114,武学奇术!$A:$ZZ,8,FALSE)+SUM(_xlfn.XLOOKUP($S114:$AL114,增益!$A:$A,增益!$H:$H,0))</f>
        <v>0</v>
      </c>
      <c r="AY114">
        <f t="shared" si="14"/>
        <v>0</v>
      </c>
      <c r="AZ114">
        <f t="shared" si="15"/>
        <v>0</v>
      </c>
      <c r="BA114" s="30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0" cm="1">
        <f t="array" ref="BB114">$G$11+VLOOKUP($R114,武学奇术!$A:$ZZ,10,FALSE)+SUM(_xlfn.XLOOKUP($S114:$AL114,增益!$A:$A,增益!$J:$J,0))</f>
        <v>0</v>
      </c>
      <c r="BC114">
        <f t="shared" si="16"/>
        <v>0</v>
      </c>
      <c r="BD114">
        <f t="shared" si="17"/>
        <v>0</v>
      </c>
      <c r="BE114" s="30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0" cm="1">
        <f t="array" ref="BF114">$G$12+VLOOKUP($R114,武学奇术!$A:$ZZ,12,FALSE)+SUM(_xlfn.XLOOKUP($S114:$AL114,增益!$A:$A,增益!$L:$L,0))</f>
        <v>0</v>
      </c>
      <c r="BG114">
        <f t="shared" si="18"/>
        <v>0</v>
      </c>
      <c r="BH114">
        <f t="shared" si="19"/>
        <v>0</v>
      </c>
      <c r="BI114" s="30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-0.3</v>
      </c>
      <c r="BJ114" s="30" cm="1">
        <f t="array" ref="BJ114">$G$13+VLOOKUP($R114,武学奇术!$A:$ZZ,14,FALSE)+SUM(_xlfn.XLOOKUP($S114:$AL114,增益!$A:$A,增益!$N:$N,0))</f>
        <v>0</v>
      </c>
      <c r="BK114">
        <f t="shared" si="20"/>
        <v>605.472</v>
      </c>
      <c r="BL114">
        <f t="shared" si="21"/>
        <v>1725.468</v>
      </c>
      <c r="BM114" s="30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0</v>
      </c>
      <c r="BN114" s="30" cm="1">
        <f t="array" ref="BN114">$G$14+VLOOKUP($R114,武学奇术!$A:$ZZ,16,FALSE)+SUM(_xlfn.XLOOKUP($S114:$AL114,增益!$A:$A,增益!$P:$P,0))</f>
        <v>0.24</v>
      </c>
      <c r="BO114" s="24">
        <f>MIN(IF(VLOOKUP($R114,武学奇术!$A:$ZZ,23,FALSE)=1,100%,$B$8),100%)</f>
        <v>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+MIN(IF(VLOOKUP($R114,武学奇术!$A:$ZZ,32,FALSE)=1,IF(VLOOKUP($R114,武学奇术!$A:$ZZ,24,FALSE)=1,100%,MIN(40%,$B$10+VLOOKUP($R114,武学奇术!$A:$ZZ,19,FALSE)+SUM(_xlfn.XLOOKUP($S114:$AL114,增益!$A:$A,增益!$S:$S,0)))+$B$12+SUM(_xlfn.XLOOKUP($S114:$AL114,增益!$A:$A,增益!$V:$V,0))),0),12%)</f>
        <v>0.9036</v>
      </c>
      <c r="BQ114" s="24" cm="1">
        <f t="array" ref="BQ114">1+$B$13+VLOOKUP($R114,武学奇术!$A:$ZZ,18,FALSE)+SUM(_xlfn.XLOOKUP($S114:$AL114,增益!$A:$A,增益!$R:$R,0))</f>
        <v>1.54</v>
      </c>
      <c r="BR114" s="24" cm="1">
        <f t="array" ref="BR114">MAX(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-IF(VLOOKUP($R114,武学奇术!$A:$ZZ,32,FALSE)=1,12%,0),0)</f>
        <v>0.0929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2"/>
        <v>0.9036</v>
      </c>
      <c r="BU114" s="24">
        <f t="shared" si="23"/>
        <v>0.00350000000000006</v>
      </c>
      <c r="BV114" s="24">
        <f>IF(VLOOKUP($R114,武学奇术!$A:$ZZ,22,FALSE)=1,0,(1-$BO114))*(1-$BR114)</f>
        <v>0</v>
      </c>
      <c r="BW114" s="24" cm="1">
        <f t="array" ref="BW114">SUM(_xlfn.XLOOKUP($S114:$AL114,增益!$A:$A,增益!$W:$W,0))+$I$5</f>
        <v>0.11</v>
      </c>
      <c r="BX114" s="24" cm="1">
        <f t="array" ref="BX114">SUM(_xlfn.XLOOKUP($S114:$AL114,增益!$A:$A,增益!$X:$X,0))</f>
        <v>0</v>
      </c>
    </row>
    <row r="115" spans="11:76">
      <c r="K115">
        <f>$L115*VLOOKUP($R115,武学奇术!$A:$ZZ,31,FALSE)</f>
        <v>0</v>
      </c>
      <c r="L115" s="36">
        <f t="shared" si="26"/>
        <v>0</v>
      </c>
      <c r="M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BQ115*$Q115*(1+IF(VLOOKUP($R115,武学奇术!$A:$ZZ,30,FALSE)="蓄力技",$B$21,0))*(1+$BW115)</f>
        <v>0</v>
      </c>
      <c r="N115" s="36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蓄力技",$B$21,0))*(1+$BW115)</f>
        <v>0</v>
      </c>
      <c r="O115" s="36">
        <f>((($AT115+($AU115-$AT115)*IF(VLOOKUP($R115,武学奇术!$A:$ZZ,31,FALSE)=1,$F$18,0.5))*$AN115+$AO115)*(1+$AV115)*(1+$AW115)+(($AY115+($AZ115-$AY115)*IF(VLOOKUP($R115,武学奇术!$A:$ZZ,31,FALSE)=1,$F$18,0.5))*IF($G$1="鸣金",$AP115,$AN115)+IF($G$1="鸣金",$AQ115*1.5,0))*(1+$BA115)*(1+$BB115)+(($BC115+($BD115-$BC115)*IF(VLOOKUP($R115,武学奇术!$A:$ZZ,31,FALSE)=1,$F$18,0.5))*IF($G$1="裂石",$AP115,$AN115)+IF($G$1="裂石",$AQ115*1.5,0))*(1+$BE115)*(1+$BF115)+(($BG115+($BH115-$BG115)*IF(VLOOKUP($R115,武学奇术!$A:$ZZ,31,FALSE)=1,$F$18,0.5))*IF($G$1="牵丝",$AP115,$AN115)+IF($G$1="牵丝",$AQ115*1.5,0))*(1+$BI115)*(1+$BJ115)+(($BK115+($BL115-$BK115)*IF(VLOOKUP($R115,武学奇术!$A:$ZZ,31,FALSE)=1,$F$18,0.5))*IF($G$1="破竹",$AP115,$AN115)+IF($G$1="破竹",$AQ115*1.5,0))*(1+$BM115)*(1+$BN115))*(1+$AR115)*$Q115*(1+IF(VLOOKUP($R115,武学奇术!$A:$ZZ,30,FALSE)="蓄力技",$B$21,0))*(1+$BW115)</f>
        <v>0</v>
      </c>
      <c r="P115" s="36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蓄力技",$B$21,0))*(1+$BW115)</f>
        <v>0</v>
      </c>
      <c r="Q115" s="37">
        <v>1</v>
      </c>
      <c r="R115" s="38" t="s">
        <v>79</v>
      </c>
      <c r="S115" s="38" t="s">
        <v>79</v>
      </c>
      <c r="T115" s="38" t="s">
        <v>79</v>
      </c>
      <c r="U115" s="38" t="s">
        <v>79</v>
      </c>
      <c r="V115" s="38" t="s">
        <v>79</v>
      </c>
      <c r="W115" s="38" t="s">
        <v>79</v>
      </c>
      <c r="X115" s="38" t="s">
        <v>79</v>
      </c>
      <c r="Y115" s="38" t="s">
        <v>79</v>
      </c>
      <c r="Z115" s="38" t="s">
        <v>79</v>
      </c>
      <c r="AA115" s="38" t="s">
        <v>79</v>
      </c>
      <c r="AB115" s="38" t="s">
        <v>79</v>
      </c>
      <c r="AC115" s="38" t="s">
        <v>79</v>
      </c>
      <c r="AD115" s="38" t="s">
        <v>79</v>
      </c>
      <c r="AE115" s="38" t="s">
        <v>79</v>
      </c>
      <c r="AF115" s="38" t="s">
        <v>84</v>
      </c>
      <c r="AG115" s="38" t="s">
        <v>79</v>
      </c>
      <c r="AH115" s="38" t="s">
        <v>79</v>
      </c>
      <c r="AI115" s="38" t="s">
        <v>79</v>
      </c>
      <c r="AJ115" s="38" t="s">
        <v>79</v>
      </c>
      <c r="AK115" s="38" t="s">
        <v>79</v>
      </c>
      <c r="AL115" s="38" t="s">
        <v>79</v>
      </c>
      <c r="AM115" t="str">
        <f>VLOOKUP($R115,武学奇术!$A:$ZZ,25,FALSE)</f>
        <v>心法</v>
      </c>
      <c r="AN115" s="24">
        <f>VLOOKUP($R115,武学奇术!$A:$ZZ,26,FALSE)</f>
        <v>0</v>
      </c>
      <c r="AO115" s="25">
        <f>VLOOKUP($R115,武学奇术!$A:$ZZ,27,FALSE)*(1+IF(OR($AM115=$F$4,$AM115=$F$5),$B$22,0))</f>
        <v>0</v>
      </c>
      <c r="AP115" s="24">
        <f>VLOOKUP($R115,武学奇术!$A:$ZZ,28,FALSE)</f>
        <v>0</v>
      </c>
      <c r="AQ115" s="25">
        <f>VLOOKUP($R115,武学奇术!$A:$ZZ,29,FALSE)*(1+IF(OR($AM115=$F$4,$AM115=$F$5),$B$22,0))</f>
        <v>0</v>
      </c>
      <c r="AR115" s="24" cm="1">
        <f t="array" ref="AR115">$G$3+IFERROR(VLOOKUP($AM115,$F$4:$G$7,2,FALSE),0)+VLOOKUP($R115,武学奇术!$A:$ZZ,2,FALSE)+SUM(_xlfn.XLOOKUP($S115:$AL115,增益!$A:$A,增益!$B:$B,0))</f>
        <v>0.1037</v>
      </c>
      <c r="AS115" s="24" cm="1">
        <f t="array" ref="AS115">VLOOKUP($R115,武学奇术!$A:$ZZ,5,FALSE)+SUM(_xlfn.XLOOKUP($S115:$AL115,增益!$A:$A,增益!$E:$E,0))</f>
        <v>0</v>
      </c>
      <c r="AT115" cm="1">
        <f t="array" ref="AT115">$D$10*(1+$AS115)+VLOOKUP($R115,武学奇术!$A:$ZZ,3,FALSE)+SUM(_xlfn.XLOOKUP($S115:$AL115,增益!$A:$A,增益!$C:$C,0))-$I$2</f>
        <v>3839.102</v>
      </c>
      <c r="AU115" cm="1">
        <f t="array" ref="AU115">$E$10*(1+$AS115)+VLOOKUP($R115,武学奇术!$A:$ZZ,4,FALSE)+SUM(_xlfn.XLOOKUP($S115:$AL115,增益!$A:$A,增益!$D:$D,0))-$I$2</f>
        <v>3839.102</v>
      </c>
      <c r="AV115" s="30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0.167</v>
      </c>
      <c r="AW115" s="30" cm="1">
        <f t="array" ref="AW115">$G$10+VLOOKUP($R115,武学奇术!$A:$ZZ,7,FALSE)+SUM(_xlfn.XLOOKUP($S115:$AL115,增益!$A:$A,增益!$G:$G,0))</f>
        <v>0</v>
      </c>
      <c r="AX115" s="24" cm="1">
        <f t="array" ref="AX115">VLOOKUP($R115,武学奇术!$A:$ZZ,8,FALSE)+SUM(_xlfn.XLOOKUP($S115:$AL115,增益!$A:$A,增益!$H:$H,0))</f>
        <v>0</v>
      </c>
      <c r="AY115">
        <f t="shared" si="14"/>
        <v>0</v>
      </c>
      <c r="AZ115">
        <f t="shared" si="15"/>
        <v>0</v>
      </c>
      <c r="BA115" s="30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0" cm="1">
        <f t="array" ref="BB115">$G$11+VLOOKUP($R115,武学奇术!$A:$ZZ,10,FALSE)+SUM(_xlfn.XLOOKUP($S115:$AL115,增益!$A:$A,增益!$J:$J,0))</f>
        <v>0</v>
      </c>
      <c r="BC115">
        <f t="shared" si="16"/>
        <v>0</v>
      </c>
      <c r="BD115">
        <f t="shared" si="17"/>
        <v>0</v>
      </c>
      <c r="BE115" s="30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0" cm="1">
        <f t="array" ref="BF115">$G$12+VLOOKUP($R115,武学奇术!$A:$ZZ,12,FALSE)+SUM(_xlfn.XLOOKUP($S115:$AL115,增益!$A:$A,增益!$L:$L,0))</f>
        <v>0</v>
      </c>
      <c r="BG115">
        <f t="shared" si="18"/>
        <v>0</v>
      </c>
      <c r="BH115">
        <f t="shared" si="19"/>
        <v>0</v>
      </c>
      <c r="BI115" s="30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-0.3</v>
      </c>
      <c r="BJ115" s="30" cm="1">
        <f t="array" ref="BJ115">$G$13+VLOOKUP($R115,武学奇术!$A:$ZZ,14,FALSE)+SUM(_xlfn.XLOOKUP($S115:$AL115,增益!$A:$A,增益!$N:$N,0))</f>
        <v>0</v>
      </c>
      <c r="BK115">
        <f t="shared" si="20"/>
        <v>605.472</v>
      </c>
      <c r="BL115">
        <f t="shared" si="21"/>
        <v>1725.468</v>
      </c>
      <c r="BM115" s="30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0</v>
      </c>
      <c r="BN115" s="30" cm="1">
        <f t="array" ref="BN115">$G$14+VLOOKUP($R115,武学奇术!$A:$ZZ,16,FALSE)+SUM(_xlfn.XLOOKUP($S115:$AL115,增益!$A:$A,增益!$P:$P,0))</f>
        <v>0.15</v>
      </c>
      <c r="BO115" s="24">
        <f>MIN(IF(VLOOKUP($R115,武学奇术!$A:$ZZ,23,FALSE)=1,100%,$B$8),100%)</f>
        <v>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+MIN(IF(VLOOKUP($R115,武学奇术!$A:$ZZ,32,FALSE)=1,IF(VLOOKUP($R115,武学奇术!$A:$ZZ,24,FALSE)=1,100%,MIN(40%,$B$10+VLOOKUP($R115,武学奇术!$A:$ZZ,19,FALSE)+SUM(_xlfn.XLOOKUP($S115:$AL115,增益!$A:$A,增益!$S:$S,0)))+$B$12+SUM(_xlfn.XLOOKUP($S115:$AL115,增益!$A:$A,增益!$V:$V,0))),0),12%)</f>
        <v>0.9036</v>
      </c>
      <c r="BQ115" s="24" cm="1">
        <f t="array" ref="BQ115">1+$B$13+VLOOKUP($R115,武学奇术!$A:$ZZ,18,FALSE)+SUM(_xlfn.XLOOKUP($S115:$AL115,增益!$A:$A,增益!$R:$R,0))</f>
        <v>1.54</v>
      </c>
      <c r="BR115" s="24" cm="1">
        <f t="array" ref="BR115">MAX(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-IF(VLOOKUP($R115,武学奇术!$A:$ZZ,32,FALSE)=1,12%,0),0)</f>
        <v>0.0929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2"/>
        <v>0.9036</v>
      </c>
      <c r="BU115" s="24">
        <f t="shared" si="23"/>
        <v>0.00350000000000006</v>
      </c>
      <c r="BV115" s="24">
        <f>IF(VLOOKUP($R115,武学奇术!$A:$ZZ,22,FALSE)=1,0,(1-$BO115))*(1-$BR115)</f>
        <v>0</v>
      </c>
      <c r="BW115" s="24" cm="1">
        <f t="array" ref="BW115">SUM(_xlfn.XLOOKUP($S115:$AL115,增益!$A:$A,增益!$W:$W,0))+$I$5</f>
        <v>0.11</v>
      </c>
      <c r="BX115" s="24" cm="1">
        <f t="array" ref="BX115">SUM(_xlfn.XLOOKUP($S115:$AL115,增益!$A:$A,增益!$X:$X,0))</f>
        <v>0</v>
      </c>
    </row>
    <row r="116" spans="11:76">
      <c r="K116">
        <f>$L116*VLOOKUP($R116,武学奇术!$A:$ZZ,31,FALSE)</f>
        <v>0</v>
      </c>
      <c r="L116" s="36">
        <f t="shared" si="26"/>
        <v>0</v>
      </c>
      <c r="M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BQ116*$Q116*(1+IF(VLOOKUP($R116,武学奇术!$A:$ZZ,30,FALSE)="蓄力技",$B$21,0))*(1+$BW116)</f>
        <v>0</v>
      </c>
      <c r="N116" s="36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蓄力技",$B$21,0))*(1+$BW116)</f>
        <v>0</v>
      </c>
      <c r="O116" s="36">
        <f>((($AT116+($AU116-$AT116)*IF(VLOOKUP($R116,武学奇术!$A:$ZZ,31,FALSE)=1,$F$18,0.5))*$AN116+$AO116)*(1+$AV116)*(1+$AW116)+(($AY116+($AZ116-$AY116)*IF(VLOOKUP($R116,武学奇术!$A:$ZZ,31,FALSE)=1,$F$18,0.5))*IF($G$1="鸣金",$AP116,$AN116)+IF($G$1="鸣金",$AQ116*1.5,0))*(1+$BA116)*(1+$BB116)+(($BC116+($BD116-$BC116)*IF(VLOOKUP($R116,武学奇术!$A:$ZZ,31,FALSE)=1,$F$18,0.5))*IF($G$1="裂石",$AP116,$AN116)+IF($G$1="裂石",$AQ116*1.5,0))*(1+$BE116)*(1+$BF116)+(($BG116+($BH116-$BG116)*IF(VLOOKUP($R116,武学奇术!$A:$ZZ,31,FALSE)=1,$F$18,0.5))*IF($G$1="牵丝",$AP116,$AN116)+IF($G$1="牵丝",$AQ116*1.5,0))*(1+$BI116)*(1+$BJ116)+(($BK116+($BL116-$BK116)*IF(VLOOKUP($R116,武学奇术!$A:$ZZ,31,FALSE)=1,$F$18,0.5))*IF($G$1="破竹",$AP116,$AN116)+IF($G$1="破竹",$AQ116*1.5,0))*(1+$BM116)*(1+$BN116))*(1+$AR116)*$Q116*(1+IF(VLOOKUP($R116,武学奇术!$A:$ZZ,30,FALSE)="蓄力技",$B$21,0))*(1+$BW116)</f>
        <v>0</v>
      </c>
      <c r="P116" s="36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蓄力技",$B$21,0))*(1+$BW116)</f>
        <v>0</v>
      </c>
      <c r="Q116" s="37">
        <v>1</v>
      </c>
      <c r="R116" s="38" t="s">
        <v>79</v>
      </c>
      <c r="S116" s="38" t="s">
        <v>79</v>
      </c>
      <c r="T116" s="38" t="s">
        <v>79</v>
      </c>
      <c r="U116" s="38" t="s">
        <v>79</v>
      </c>
      <c r="V116" s="38" t="s">
        <v>79</v>
      </c>
      <c r="W116" s="38" t="s">
        <v>79</v>
      </c>
      <c r="X116" s="38" t="s">
        <v>79</v>
      </c>
      <c r="Y116" s="38" t="s">
        <v>79</v>
      </c>
      <c r="Z116" s="38" t="s">
        <v>79</v>
      </c>
      <c r="AA116" s="38" t="s">
        <v>79</v>
      </c>
      <c r="AB116" s="38" t="s">
        <v>79</v>
      </c>
      <c r="AC116" s="38" t="s">
        <v>79</v>
      </c>
      <c r="AD116" s="38" t="s">
        <v>79</v>
      </c>
      <c r="AE116" s="38" t="s">
        <v>79</v>
      </c>
      <c r="AF116" s="38" t="s">
        <v>84</v>
      </c>
      <c r="AG116" s="38" t="s">
        <v>79</v>
      </c>
      <c r="AH116" s="38" t="s">
        <v>79</v>
      </c>
      <c r="AI116" s="38" t="s">
        <v>79</v>
      </c>
      <c r="AJ116" s="38" t="s">
        <v>79</v>
      </c>
      <c r="AK116" s="38" t="s">
        <v>79</v>
      </c>
      <c r="AL116" s="38" t="s">
        <v>79</v>
      </c>
      <c r="AM116" t="str">
        <f>VLOOKUP($R116,武学奇术!$A:$ZZ,25,FALSE)</f>
        <v>心法</v>
      </c>
      <c r="AN116" s="24">
        <f>VLOOKUP($R116,武学奇术!$A:$ZZ,26,FALSE)</f>
        <v>0</v>
      </c>
      <c r="AO116" s="25">
        <f>VLOOKUP($R116,武学奇术!$A:$ZZ,27,FALSE)*(1+IF(OR($AM116=$F$4,$AM116=$F$5),$B$22,0))</f>
        <v>0</v>
      </c>
      <c r="AP116" s="24">
        <f>VLOOKUP($R116,武学奇术!$A:$ZZ,28,FALSE)</f>
        <v>0</v>
      </c>
      <c r="AQ116" s="25">
        <f>VLOOKUP($R116,武学奇术!$A:$ZZ,29,FALSE)*(1+IF(OR($AM116=$F$4,$AM116=$F$5),$B$22,0))</f>
        <v>0</v>
      </c>
      <c r="AR116" s="24" cm="1">
        <f t="array" ref="AR116">$G$3+IFERROR(VLOOKUP($AM116,$F$4:$G$7,2,FALSE),0)+VLOOKUP($R116,武学奇术!$A:$ZZ,2,FALSE)+SUM(_xlfn.XLOOKUP($S116:$AL116,增益!$A:$A,增益!$B:$B,0))</f>
        <v>0.1037</v>
      </c>
      <c r="AS116" s="24" cm="1">
        <f t="array" ref="AS116">VLOOKUP($R116,武学奇术!$A:$ZZ,5,FALSE)+SUM(_xlfn.XLOOKUP($S116:$AL116,增益!$A:$A,增益!$E:$E,0))</f>
        <v>0</v>
      </c>
      <c r="AT116" cm="1">
        <f t="array" ref="AT116">$D$10*(1+$AS116)+VLOOKUP($R116,武学奇术!$A:$ZZ,3,FALSE)+SUM(_xlfn.XLOOKUP($S116:$AL116,增益!$A:$A,增益!$C:$C,0))-$I$2</f>
        <v>3839.102</v>
      </c>
      <c r="AU116" cm="1">
        <f t="array" ref="AU116">$E$10*(1+$AS116)+VLOOKUP($R116,武学奇术!$A:$ZZ,4,FALSE)+SUM(_xlfn.XLOOKUP($S116:$AL116,增益!$A:$A,增益!$D:$D,0))-$I$2</f>
        <v>3839.102</v>
      </c>
      <c r="AV116" s="30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0.167</v>
      </c>
      <c r="AW116" s="30" cm="1">
        <f t="array" ref="AW116">$G$10+VLOOKUP($R116,武学奇术!$A:$ZZ,7,FALSE)+SUM(_xlfn.XLOOKUP($S116:$AL116,增益!$A:$A,增益!$G:$G,0))</f>
        <v>0</v>
      </c>
      <c r="AX116" s="24" cm="1">
        <f t="array" ref="AX116">VLOOKUP($R116,武学奇术!$A:$ZZ,8,FALSE)+SUM(_xlfn.XLOOKUP($S116:$AL116,增益!$A:$A,增益!$H:$H,0))</f>
        <v>0</v>
      </c>
      <c r="AY116">
        <f t="shared" si="14"/>
        <v>0</v>
      </c>
      <c r="AZ116">
        <f t="shared" si="15"/>
        <v>0</v>
      </c>
      <c r="BA116" s="30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0" cm="1">
        <f t="array" ref="BB116">$G$11+VLOOKUP($R116,武学奇术!$A:$ZZ,10,FALSE)+SUM(_xlfn.XLOOKUP($S116:$AL116,增益!$A:$A,增益!$J:$J,0))</f>
        <v>0</v>
      </c>
      <c r="BC116">
        <f t="shared" si="16"/>
        <v>0</v>
      </c>
      <c r="BD116">
        <f t="shared" si="17"/>
        <v>0</v>
      </c>
      <c r="BE116" s="30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0" cm="1">
        <f t="array" ref="BF116">$G$12+VLOOKUP($R116,武学奇术!$A:$ZZ,12,FALSE)+SUM(_xlfn.XLOOKUP($S116:$AL116,增益!$A:$A,增益!$L:$L,0))</f>
        <v>0</v>
      </c>
      <c r="BG116">
        <f t="shared" si="18"/>
        <v>0</v>
      </c>
      <c r="BH116">
        <f t="shared" si="19"/>
        <v>0</v>
      </c>
      <c r="BI116" s="30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-0.3</v>
      </c>
      <c r="BJ116" s="30" cm="1">
        <f t="array" ref="BJ116">$G$13+VLOOKUP($R116,武学奇术!$A:$ZZ,14,FALSE)+SUM(_xlfn.XLOOKUP($S116:$AL116,增益!$A:$A,增益!$N:$N,0))</f>
        <v>0</v>
      </c>
      <c r="BK116">
        <f t="shared" si="20"/>
        <v>605.472</v>
      </c>
      <c r="BL116">
        <f t="shared" si="21"/>
        <v>1725.468</v>
      </c>
      <c r="BM116" s="30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0</v>
      </c>
      <c r="BN116" s="30" cm="1">
        <f t="array" ref="BN116">$G$14+VLOOKUP($R116,武学奇术!$A:$ZZ,16,FALSE)+SUM(_xlfn.XLOOKUP($S116:$AL116,增益!$A:$A,增益!$P:$P,0))</f>
        <v>0.15</v>
      </c>
      <c r="BO116" s="24">
        <f>MIN(IF(VLOOKUP($R116,武学奇术!$A:$ZZ,23,FALSE)=1,100%,$B$8),100%)</f>
        <v>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+MIN(IF(VLOOKUP($R116,武学奇术!$A:$ZZ,32,FALSE)=1,IF(VLOOKUP($R116,武学奇术!$A:$ZZ,24,FALSE)=1,100%,MIN(40%,$B$10+VLOOKUP($R116,武学奇术!$A:$ZZ,19,FALSE)+SUM(_xlfn.XLOOKUP($S116:$AL116,增益!$A:$A,增益!$S:$S,0)))+$B$12+SUM(_xlfn.XLOOKUP($S116:$AL116,增益!$A:$A,增益!$V:$V,0))),0),12%)</f>
        <v>0.9036</v>
      </c>
      <c r="BQ116" s="24" cm="1">
        <f t="array" ref="BQ116">1+$B$13+VLOOKUP($R116,武学奇术!$A:$ZZ,18,FALSE)+SUM(_xlfn.XLOOKUP($S116:$AL116,增益!$A:$A,增益!$R:$R,0))</f>
        <v>1.54</v>
      </c>
      <c r="BR116" s="24" cm="1">
        <f t="array" ref="BR116">MAX(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-IF(VLOOKUP($R116,武学奇术!$A:$ZZ,32,FALSE)=1,12%,0),0)</f>
        <v>0.0929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2"/>
        <v>0.9036</v>
      </c>
      <c r="BU116" s="24">
        <f t="shared" si="23"/>
        <v>0.00350000000000006</v>
      </c>
      <c r="BV116" s="24">
        <f>IF(VLOOKUP($R116,武学奇术!$A:$ZZ,22,FALSE)=1,0,(1-$BO116))*(1-$BR116)</f>
        <v>0</v>
      </c>
      <c r="BW116" s="24" cm="1">
        <f t="array" ref="BW116">SUM(_xlfn.XLOOKUP($S116:$AL116,增益!$A:$A,增益!$W:$W,0))+$I$5</f>
        <v>0.11</v>
      </c>
      <c r="BX116" s="24" cm="1">
        <f t="array" ref="BX116">SUM(_xlfn.XLOOKUP($S116:$AL116,增益!$A:$A,增益!$X:$X,0))</f>
        <v>0</v>
      </c>
    </row>
    <row r="117" spans="11:76">
      <c r="K117">
        <f>$L117*VLOOKUP($R117,武学奇术!$A:$ZZ,31,FALSE)</f>
        <v>0</v>
      </c>
      <c r="L117" s="36">
        <f t="shared" si="26"/>
        <v>0</v>
      </c>
      <c r="M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BQ117*$Q117*(1+IF(VLOOKUP($R117,武学奇术!$A:$ZZ,30,FALSE)="蓄力技",$B$21,0))*(1+$BW117)</f>
        <v>0</v>
      </c>
      <c r="N117" s="36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蓄力技",$B$21,0))*(1+$BW117)</f>
        <v>0</v>
      </c>
      <c r="O117" s="36">
        <f>((($AT117+($AU117-$AT117)*IF(VLOOKUP($R117,武学奇术!$A:$ZZ,31,FALSE)=1,$F$18,0.5))*$AN117+$AO117)*(1+$AV117)*(1+$AW117)+(($AY117+($AZ117-$AY117)*IF(VLOOKUP($R117,武学奇术!$A:$ZZ,31,FALSE)=1,$F$18,0.5))*IF($G$1="鸣金",$AP117,$AN117)+IF($G$1="鸣金",$AQ117*1.5,0))*(1+$BA117)*(1+$BB117)+(($BC117+($BD117-$BC117)*IF(VLOOKUP($R117,武学奇术!$A:$ZZ,31,FALSE)=1,$F$18,0.5))*IF($G$1="裂石",$AP117,$AN117)+IF($G$1="裂石",$AQ117*1.5,0))*(1+$BE117)*(1+$BF117)+(($BG117+($BH117-$BG117)*IF(VLOOKUP($R117,武学奇术!$A:$ZZ,31,FALSE)=1,$F$18,0.5))*IF($G$1="牵丝",$AP117,$AN117)+IF($G$1="牵丝",$AQ117*1.5,0))*(1+$BI117)*(1+$BJ117)+(($BK117+($BL117-$BK117)*IF(VLOOKUP($R117,武学奇术!$A:$ZZ,31,FALSE)=1,$F$18,0.5))*IF($G$1="破竹",$AP117,$AN117)+IF($G$1="破竹",$AQ117*1.5,0))*(1+$BM117)*(1+$BN117))*(1+$AR117)*$Q117*(1+IF(VLOOKUP($R117,武学奇术!$A:$ZZ,30,FALSE)="蓄力技",$B$21,0))*(1+$BW117)</f>
        <v>0</v>
      </c>
      <c r="P117" s="36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蓄力技",$B$21,0))*(1+$BW117)</f>
        <v>0</v>
      </c>
      <c r="Q117" s="37">
        <v>1</v>
      </c>
      <c r="R117" s="38" t="s">
        <v>79</v>
      </c>
      <c r="S117" s="38" t="s">
        <v>79</v>
      </c>
      <c r="T117" s="38" t="s">
        <v>79</v>
      </c>
      <c r="U117" s="38" t="s">
        <v>79</v>
      </c>
      <c r="V117" s="38" t="s">
        <v>79</v>
      </c>
      <c r="W117" s="38" t="s">
        <v>79</v>
      </c>
      <c r="X117" s="38" t="s">
        <v>79</v>
      </c>
      <c r="Y117" s="38" t="s">
        <v>79</v>
      </c>
      <c r="Z117" s="38" t="s">
        <v>79</v>
      </c>
      <c r="AA117" s="38" t="s">
        <v>79</v>
      </c>
      <c r="AB117" s="38" t="s">
        <v>79</v>
      </c>
      <c r="AC117" s="38" t="s">
        <v>79</v>
      </c>
      <c r="AD117" s="38" t="s">
        <v>79</v>
      </c>
      <c r="AE117" s="38" t="s">
        <v>79</v>
      </c>
      <c r="AF117" s="38" t="s">
        <v>84</v>
      </c>
      <c r="AG117" s="38" t="s">
        <v>79</v>
      </c>
      <c r="AH117" s="38" t="s">
        <v>79</v>
      </c>
      <c r="AI117" s="38" t="s">
        <v>79</v>
      </c>
      <c r="AJ117" s="38" t="s">
        <v>79</v>
      </c>
      <c r="AK117" s="38" t="s">
        <v>79</v>
      </c>
      <c r="AL117" s="38" t="s">
        <v>79</v>
      </c>
      <c r="AM117" t="str">
        <f>VLOOKUP($R117,武学奇术!$A:$ZZ,25,FALSE)</f>
        <v>心法</v>
      </c>
      <c r="AN117" s="24">
        <f>VLOOKUP($R117,武学奇术!$A:$ZZ,26,FALSE)</f>
        <v>0</v>
      </c>
      <c r="AO117" s="25">
        <f>VLOOKUP($R117,武学奇术!$A:$ZZ,27,FALSE)*(1+IF(OR($AM117=$F$4,$AM117=$F$5),$B$22,0))</f>
        <v>0</v>
      </c>
      <c r="AP117" s="24">
        <f>VLOOKUP($R117,武学奇术!$A:$ZZ,28,FALSE)</f>
        <v>0</v>
      </c>
      <c r="AQ117" s="25">
        <f>VLOOKUP($R117,武学奇术!$A:$ZZ,29,FALSE)*(1+IF(OR($AM117=$F$4,$AM117=$F$5),$B$22,0))</f>
        <v>0</v>
      </c>
      <c r="AR117" s="24" cm="1">
        <f t="array" ref="AR117">$G$3+IFERROR(VLOOKUP($AM117,$F$4:$G$7,2,FALSE),0)+VLOOKUP($R117,武学奇术!$A:$ZZ,2,FALSE)+SUM(_xlfn.XLOOKUP($S117:$AL117,增益!$A:$A,增益!$B:$B,0))</f>
        <v>0.1037</v>
      </c>
      <c r="AS117" s="24" cm="1">
        <f t="array" ref="AS117">VLOOKUP($R117,武学奇术!$A:$ZZ,5,FALSE)+SUM(_xlfn.XLOOKUP($S117:$AL117,增益!$A:$A,增益!$E:$E,0))</f>
        <v>0</v>
      </c>
      <c r="AT117" cm="1">
        <f t="array" ref="AT117">$D$10*(1+$AS117)+VLOOKUP($R117,武学奇术!$A:$ZZ,3,FALSE)+SUM(_xlfn.XLOOKUP($S117:$AL117,增益!$A:$A,增益!$C:$C,0))-$I$2</f>
        <v>3839.102</v>
      </c>
      <c r="AU117" cm="1">
        <f t="array" ref="AU117">$E$10*(1+$AS117)+VLOOKUP($R117,武学奇术!$A:$ZZ,4,FALSE)+SUM(_xlfn.XLOOKUP($S117:$AL117,增益!$A:$A,增益!$D:$D,0))-$I$2</f>
        <v>3839.102</v>
      </c>
      <c r="AV117" s="30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0.167</v>
      </c>
      <c r="AW117" s="30" cm="1">
        <f t="array" ref="AW117">$G$10+VLOOKUP($R117,武学奇术!$A:$ZZ,7,FALSE)+SUM(_xlfn.XLOOKUP($S117:$AL117,增益!$A:$A,增益!$G:$G,0))</f>
        <v>0</v>
      </c>
      <c r="AX117" s="24" cm="1">
        <f t="array" ref="AX117">VLOOKUP($R117,武学奇术!$A:$ZZ,8,FALSE)+SUM(_xlfn.XLOOKUP($S117:$AL117,增益!$A:$A,增益!$H:$H,0))</f>
        <v>0</v>
      </c>
      <c r="AY117">
        <f t="shared" si="14"/>
        <v>0</v>
      </c>
      <c r="AZ117">
        <f t="shared" si="15"/>
        <v>0</v>
      </c>
      <c r="BA117" s="30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0" cm="1">
        <f t="array" ref="BB117">$G$11+VLOOKUP($R117,武学奇术!$A:$ZZ,10,FALSE)+SUM(_xlfn.XLOOKUP($S117:$AL117,增益!$A:$A,增益!$J:$J,0))</f>
        <v>0</v>
      </c>
      <c r="BC117">
        <f t="shared" si="16"/>
        <v>0</v>
      </c>
      <c r="BD117">
        <f t="shared" si="17"/>
        <v>0</v>
      </c>
      <c r="BE117" s="30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0" cm="1">
        <f t="array" ref="BF117">$G$12+VLOOKUP($R117,武学奇术!$A:$ZZ,12,FALSE)+SUM(_xlfn.XLOOKUP($S117:$AL117,增益!$A:$A,增益!$L:$L,0))</f>
        <v>0</v>
      </c>
      <c r="BG117">
        <f t="shared" si="18"/>
        <v>0</v>
      </c>
      <c r="BH117">
        <f t="shared" si="19"/>
        <v>0</v>
      </c>
      <c r="BI117" s="30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-0.3</v>
      </c>
      <c r="BJ117" s="30" cm="1">
        <f t="array" ref="BJ117">$G$13+VLOOKUP($R117,武学奇术!$A:$ZZ,14,FALSE)+SUM(_xlfn.XLOOKUP($S117:$AL117,增益!$A:$A,增益!$N:$N,0))</f>
        <v>0</v>
      </c>
      <c r="BK117">
        <f t="shared" si="20"/>
        <v>605.472</v>
      </c>
      <c r="BL117">
        <f t="shared" si="21"/>
        <v>1725.468</v>
      </c>
      <c r="BM117" s="30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0</v>
      </c>
      <c r="BN117" s="30" cm="1">
        <f t="array" ref="BN117">$G$14+VLOOKUP($R117,武学奇术!$A:$ZZ,16,FALSE)+SUM(_xlfn.XLOOKUP($S117:$AL117,增益!$A:$A,增益!$P:$P,0))</f>
        <v>0.15</v>
      </c>
      <c r="BO117" s="24">
        <f>MIN(IF(VLOOKUP($R117,武学奇术!$A:$ZZ,23,FALSE)=1,100%,$B$8),100%)</f>
        <v>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+MIN(IF(VLOOKUP($R117,武学奇术!$A:$ZZ,32,FALSE)=1,IF(VLOOKUP($R117,武学奇术!$A:$ZZ,24,FALSE)=1,100%,MIN(40%,$B$10+VLOOKUP($R117,武学奇术!$A:$ZZ,19,FALSE)+SUM(_xlfn.XLOOKUP($S117:$AL117,增益!$A:$A,增益!$S:$S,0)))+$B$12+SUM(_xlfn.XLOOKUP($S117:$AL117,增益!$A:$A,增益!$V:$V,0))),0),12%)</f>
        <v>0.9036</v>
      </c>
      <c r="BQ117" s="24" cm="1">
        <f t="array" ref="BQ117">1+$B$13+VLOOKUP($R117,武学奇术!$A:$ZZ,18,FALSE)+SUM(_xlfn.XLOOKUP($S117:$AL117,增益!$A:$A,增益!$R:$R,0))</f>
        <v>1.54</v>
      </c>
      <c r="BR117" s="24" cm="1">
        <f t="array" ref="BR117">MAX(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-IF(VLOOKUP($R117,武学奇术!$A:$ZZ,32,FALSE)=1,12%,0),0)</f>
        <v>0.0929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2"/>
        <v>0.9036</v>
      </c>
      <c r="BU117" s="24">
        <f t="shared" si="23"/>
        <v>0.00350000000000006</v>
      </c>
      <c r="BV117" s="24">
        <f>IF(VLOOKUP($R117,武学奇术!$A:$ZZ,22,FALSE)=1,0,(1-$BO117))*(1-$BR117)</f>
        <v>0</v>
      </c>
      <c r="BW117" s="24" cm="1">
        <f t="array" ref="BW117">SUM(_xlfn.XLOOKUP($S117:$AL117,增益!$A:$A,增益!$W:$W,0))+$I$5</f>
        <v>0.11</v>
      </c>
      <c r="BX117" s="24" cm="1">
        <f t="array" ref="BX117">SUM(_xlfn.XLOOKUP($S117:$AL117,增益!$A:$A,增益!$X:$X,0))</f>
        <v>0</v>
      </c>
    </row>
    <row r="118" spans="11:76">
      <c r="K118">
        <f>$L118*VLOOKUP($R118,武学奇术!$A:$ZZ,31,FALSE)</f>
        <v>0</v>
      </c>
      <c r="L118" s="36">
        <f t="shared" si="26"/>
        <v>0</v>
      </c>
      <c r="M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BQ118*$Q118*(1+IF(VLOOKUP($R118,武学奇术!$A:$ZZ,30,FALSE)="蓄力技",$B$21,0))*(1+$BW118)</f>
        <v>0</v>
      </c>
      <c r="N118" s="36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蓄力技",$B$21,0))*(1+$BW118)</f>
        <v>0</v>
      </c>
      <c r="O118" s="36">
        <f>((($AT118+($AU118-$AT118)*IF(VLOOKUP($R118,武学奇术!$A:$ZZ,31,FALSE)=1,$F$18,0.5))*$AN118+$AO118)*(1+$AV118)*(1+$AW118)+(($AY118+($AZ118-$AY118)*IF(VLOOKUP($R118,武学奇术!$A:$ZZ,31,FALSE)=1,$F$18,0.5))*IF($G$1="鸣金",$AP118,$AN118)+IF($G$1="鸣金",$AQ118*1.5,0))*(1+$BA118)*(1+$BB118)+(($BC118+($BD118-$BC118)*IF(VLOOKUP($R118,武学奇术!$A:$ZZ,31,FALSE)=1,$F$18,0.5))*IF($G$1="裂石",$AP118,$AN118)+IF($G$1="裂石",$AQ118*1.5,0))*(1+$BE118)*(1+$BF118)+(($BG118+($BH118-$BG118)*IF(VLOOKUP($R118,武学奇术!$A:$ZZ,31,FALSE)=1,$F$18,0.5))*IF($G$1="牵丝",$AP118,$AN118)+IF($G$1="牵丝",$AQ118*1.5,0))*(1+$BI118)*(1+$BJ118)+(($BK118+($BL118-$BK118)*IF(VLOOKUP($R118,武学奇术!$A:$ZZ,31,FALSE)=1,$F$18,0.5))*IF($G$1="破竹",$AP118,$AN118)+IF($G$1="破竹",$AQ118*1.5,0))*(1+$BM118)*(1+$BN118))*(1+$AR118)*$Q118*(1+IF(VLOOKUP($R118,武学奇术!$A:$ZZ,30,FALSE)="蓄力技",$B$21,0))*(1+$BW118)</f>
        <v>0</v>
      </c>
      <c r="P118" s="36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蓄力技",$B$21,0))*(1+$BW118)</f>
        <v>0</v>
      </c>
      <c r="Q118" s="37">
        <v>1</v>
      </c>
      <c r="R118" s="38" t="s">
        <v>79</v>
      </c>
      <c r="S118" s="38" t="s">
        <v>79</v>
      </c>
      <c r="T118" s="38" t="s">
        <v>79</v>
      </c>
      <c r="U118" s="38" t="s">
        <v>79</v>
      </c>
      <c r="V118" s="38" t="s">
        <v>79</v>
      </c>
      <c r="W118" s="38" t="s">
        <v>79</v>
      </c>
      <c r="X118" s="38" t="s">
        <v>79</v>
      </c>
      <c r="Y118" s="38" t="s">
        <v>79</v>
      </c>
      <c r="Z118" s="38" t="s">
        <v>79</v>
      </c>
      <c r="AA118" s="38" t="s">
        <v>79</v>
      </c>
      <c r="AB118" s="38" t="s">
        <v>79</v>
      </c>
      <c r="AC118" s="38" t="s">
        <v>79</v>
      </c>
      <c r="AD118" s="38" t="s">
        <v>79</v>
      </c>
      <c r="AE118" s="38" t="s">
        <v>79</v>
      </c>
      <c r="AF118" s="38" t="s">
        <v>84</v>
      </c>
      <c r="AG118" s="38" t="s">
        <v>79</v>
      </c>
      <c r="AH118" s="38" t="s">
        <v>79</v>
      </c>
      <c r="AI118" s="38" t="s">
        <v>79</v>
      </c>
      <c r="AJ118" s="38" t="s">
        <v>79</v>
      </c>
      <c r="AK118" s="38" t="s">
        <v>79</v>
      </c>
      <c r="AL118" s="38" t="s">
        <v>79</v>
      </c>
      <c r="AM118" t="str">
        <f>VLOOKUP($R118,武学奇术!$A:$ZZ,25,FALSE)</f>
        <v>心法</v>
      </c>
      <c r="AN118" s="24">
        <f>VLOOKUP($R118,武学奇术!$A:$ZZ,26,FALSE)</f>
        <v>0</v>
      </c>
      <c r="AO118" s="25">
        <f>VLOOKUP($R118,武学奇术!$A:$ZZ,27,FALSE)*(1+IF(OR($AM118=$F$4,$AM118=$F$5),$B$22,0))</f>
        <v>0</v>
      </c>
      <c r="AP118" s="24">
        <f>VLOOKUP($R118,武学奇术!$A:$ZZ,28,FALSE)</f>
        <v>0</v>
      </c>
      <c r="AQ118" s="25">
        <f>VLOOKUP($R118,武学奇术!$A:$ZZ,29,FALSE)*(1+IF(OR($AM118=$F$4,$AM118=$F$5),$B$22,0))</f>
        <v>0</v>
      </c>
      <c r="AR118" s="24" cm="1">
        <f t="array" ref="AR118">$G$3+IFERROR(VLOOKUP($AM118,$F$4:$G$7,2,FALSE),0)+VLOOKUP($R118,武学奇术!$A:$ZZ,2,FALSE)+SUM(_xlfn.XLOOKUP($S118:$AL118,增益!$A:$A,增益!$B:$B,0))</f>
        <v>0.1037</v>
      </c>
      <c r="AS118" s="24" cm="1">
        <f t="array" ref="AS118">VLOOKUP($R118,武学奇术!$A:$ZZ,5,FALSE)+SUM(_xlfn.XLOOKUP($S118:$AL118,增益!$A:$A,增益!$E:$E,0))</f>
        <v>0</v>
      </c>
      <c r="AT118" cm="1">
        <f t="array" ref="AT118">$D$10*(1+$AS118)+VLOOKUP($R118,武学奇术!$A:$ZZ,3,FALSE)+SUM(_xlfn.XLOOKUP($S118:$AL118,增益!$A:$A,增益!$C:$C,0))-$I$2</f>
        <v>3839.102</v>
      </c>
      <c r="AU118" cm="1">
        <f t="array" ref="AU118">$E$10*(1+$AS118)+VLOOKUP($R118,武学奇术!$A:$ZZ,4,FALSE)+SUM(_xlfn.XLOOKUP($S118:$AL118,增益!$A:$A,增益!$D:$D,0))-$I$2</f>
        <v>3839.102</v>
      </c>
      <c r="AV118" s="30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0.167</v>
      </c>
      <c r="AW118" s="30" cm="1">
        <f t="array" ref="AW118">$G$10+VLOOKUP($R118,武学奇术!$A:$ZZ,7,FALSE)+SUM(_xlfn.XLOOKUP($S118:$AL118,增益!$A:$A,增益!$G:$G,0))</f>
        <v>0</v>
      </c>
      <c r="AX118" s="24" cm="1">
        <f t="array" ref="AX118">VLOOKUP($R118,武学奇术!$A:$ZZ,8,FALSE)+SUM(_xlfn.XLOOKUP($S118:$AL118,增益!$A:$A,增益!$H:$H,0))</f>
        <v>0</v>
      </c>
      <c r="AY118">
        <f t="shared" si="14"/>
        <v>0</v>
      </c>
      <c r="AZ118">
        <f t="shared" si="15"/>
        <v>0</v>
      </c>
      <c r="BA118" s="30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0" cm="1">
        <f t="array" ref="BB118">$G$11+VLOOKUP($R118,武学奇术!$A:$ZZ,10,FALSE)+SUM(_xlfn.XLOOKUP($S118:$AL118,增益!$A:$A,增益!$J:$J,0))</f>
        <v>0</v>
      </c>
      <c r="BC118">
        <f t="shared" si="16"/>
        <v>0</v>
      </c>
      <c r="BD118">
        <f t="shared" si="17"/>
        <v>0</v>
      </c>
      <c r="BE118" s="30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0" cm="1">
        <f t="array" ref="BF118">$G$12+VLOOKUP($R118,武学奇术!$A:$ZZ,12,FALSE)+SUM(_xlfn.XLOOKUP($S118:$AL118,增益!$A:$A,增益!$L:$L,0))</f>
        <v>0</v>
      </c>
      <c r="BG118">
        <f t="shared" si="18"/>
        <v>0</v>
      </c>
      <c r="BH118">
        <f t="shared" si="19"/>
        <v>0</v>
      </c>
      <c r="BI118" s="30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-0.3</v>
      </c>
      <c r="BJ118" s="30" cm="1">
        <f t="array" ref="BJ118">$G$13+VLOOKUP($R118,武学奇术!$A:$ZZ,14,FALSE)+SUM(_xlfn.XLOOKUP($S118:$AL118,增益!$A:$A,增益!$N:$N,0))</f>
        <v>0</v>
      </c>
      <c r="BK118">
        <f t="shared" si="20"/>
        <v>605.472</v>
      </c>
      <c r="BL118">
        <f t="shared" si="21"/>
        <v>1725.468</v>
      </c>
      <c r="BM118" s="30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0</v>
      </c>
      <c r="BN118" s="30" cm="1">
        <f t="array" ref="BN118">$G$14+VLOOKUP($R118,武学奇术!$A:$ZZ,16,FALSE)+SUM(_xlfn.XLOOKUP($S118:$AL118,增益!$A:$A,增益!$P:$P,0))</f>
        <v>0.15</v>
      </c>
      <c r="BO118" s="24">
        <f>MIN(IF(VLOOKUP($R118,武学奇术!$A:$ZZ,23,FALSE)=1,100%,$B$8),100%)</f>
        <v>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+MIN(IF(VLOOKUP($R118,武学奇术!$A:$ZZ,32,FALSE)=1,IF(VLOOKUP($R118,武学奇术!$A:$ZZ,24,FALSE)=1,100%,MIN(40%,$B$10+VLOOKUP($R118,武学奇术!$A:$ZZ,19,FALSE)+SUM(_xlfn.XLOOKUP($S118:$AL118,增益!$A:$A,增益!$S:$S,0)))+$B$12+SUM(_xlfn.XLOOKUP($S118:$AL118,增益!$A:$A,增益!$V:$V,0))),0),12%)</f>
        <v>0.9036</v>
      </c>
      <c r="BQ118" s="24" cm="1">
        <f t="array" ref="BQ118">1+$B$13+VLOOKUP($R118,武学奇术!$A:$ZZ,18,FALSE)+SUM(_xlfn.XLOOKUP($S118:$AL118,增益!$A:$A,增益!$R:$R,0))</f>
        <v>1.54</v>
      </c>
      <c r="BR118" s="24" cm="1">
        <f t="array" ref="BR118">MAX(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-IF(VLOOKUP($R118,武学奇术!$A:$ZZ,32,FALSE)=1,12%,0),0)</f>
        <v>0.0929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2"/>
        <v>0.9036</v>
      </c>
      <c r="BU118" s="24">
        <f t="shared" si="23"/>
        <v>0.00350000000000006</v>
      </c>
      <c r="BV118" s="24">
        <f>IF(VLOOKUP($R118,武学奇术!$A:$ZZ,22,FALSE)=1,0,(1-$BO118))*(1-$BR118)</f>
        <v>0</v>
      </c>
      <c r="BW118" s="24" cm="1">
        <f t="array" ref="BW118">SUM(_xlfn.XLOOKUP($S118:$AL118,增益!$A:$A,增益!$W:$W,0))+$I$5</f>
        <v>0.11</v>
      </c>
      <c r="BX118" s="24" cm="1">
        <f t="array" ref="BX118">SUM(_xlfn.XLOOKUP($S118:$AL118,增益!$A:$A,增益!$X:$X,0))</f>
        <v>0</v>
      </c>
    </row>
    <row r="119" spans="11:76">
      <c r="K119">
        <f>$L119*VLOOKUP($R119,武学奇术!$A:$ZZ,31,FALSE)</f>
        <v>0</v>
      </c>
      <c r="L119" s="36">
        <f t="shared" si="26"/>
        <v>0</v>
      </c>
      <c r="M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BQ119*$Q119*(1+IF(VLOOKUP($R119,武学奇术!$A:$ZZ,30,FALSE)="蓄力技",$B$21,0))*(1+$BW119)</f>
        <v>0</v>
      </c>
      <c r="N119" s="36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蓄力技",$B$21,0))*(1+$BW119)</f>
        <v>0</v>
      </c>
      <c r="O119" s="36">
        <f>((($AT119+($AU119-$AT119)*IF(VLOOKUP($R119,武学奇术!$A:$ZZ,31,FALSE)=1,$F$18,0.5))*$AN119+$AO119)*(1+$AV119)*(1+$AW119)+(($AY119+($AZ119-$AY119)*IF(VLOOKUP($R119,武学奇术!$A:$ZZ,31,FALSE)=1,$F$18,0.5))*IF($G$1="鸣金",$AP119,$AN119)+IF($G$1="鸣金",$AQ119*1.5,0))*(1+$BA119)*(1+$BB119)+(($BC119+($BD119-$BC119)*IF(VLOOKUP($R119,武学奇术!$A:$ZZ,31,FALSE)=1,$F$18,0.5))*IF($G$1="裂石",$AP119,$AN119)+IF($G$1="裂石",$AQ119*1.5,0))*(1+$BE119)*(1+$BF119)+(($BG119+($BH119-$BG119)*IF(VLOOKUP($R119,武学奇术!$A:$ZZ,31,FALSE)=1,$F$18,0.5))*IF($G$1="牵丝",$AP119,$AN119)+IF($G$1="牵丝",$AQ119*1.5,0))*(1+$BI119)*(1+$BJ119)+(($BK119+($BL119-$BK119)*IF(VLOOKUP($R119,武学奇术!$A:$ZZ,31,FALSE)=1,$F$18,0.5))*IF($G$1="破竹",$AP119,$AN119)+IF($G$1="破竹",$AQ119*1.5,0))*(1+$BM119)*(1+$BN119))*(1+$AR119)*$Q119*(1+IF(VLOOKUP($R119,武学奇术!$A:$ZZ,30,FALSE)="蓄力技",$B$21,0))*(1+$BW119)</f>
        <v>0</v>
      </c>
      <c r="P119" s="36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蓄力技",$B$21,0))*(1+$BW119)</f>
        <v>0</v>
      </c>
      <c r="Q119" s="37">
        <v>1</v>
      </c>
      <c r="R119" s="38" t="s">
        <v>79</v>
      </c>
      <c r="S119" s="38" t="s">
        <v>79</v>
      </c>
      <c r="T119" s="38" t="s">
        <v>79</v>
      </c>
      <c r="U119" s="38" t="s">
        <v>79</v>
      </c>
      <c r="V119" s="38" t="s">
        <v>79</v>
      </c>
      <c r="W119" s="38" t="s">
        <v>79</v>
      </c>
      <c r="X119" s="38" t="s">
        <v>79</v>
      </c>
      <c r="Y119" s="38" t="s">
        <v>79</v>
      </c>
      <c r="Z119" s="38" t="s">
        <v>79</v>
      </c>
      <c r="AA119" s="38" t="s">
        <v>79</v>
      </c>
      <c r="AB119" s="38" t="s">
        <v>79</v>
      </c>
      <c r="AC119" s="38" t="s">
        <v>79</v>
      </c>
      <c r="AD119" s="38" t="s">
        <v>79</v>
      </c>
      <c r="AE119" s="38" t="s">
        <v>79</v>
      </c>
      <c r="AF119" s="38" t="s">
        <v>84</v>
      </c>
      <c r="AG119" s="38" t="s">
        <v>79</v>
      </c>
      <c r="AH119" s="38" t="s">
        <v>79</v>
      </c>
      <c r="AI119" s="38" t="s">
        <v>79</v>
      </c>
      <c r="AJ119" s="38" t="s">
        <v>79</v>
      </c>
      <c r="AK119" s="38" t="s">
        <v>79</v>
      </c>
      <c r="AL119" s="38" t="s">
        <v>79</v>
      </c>
      <c r="AM119" t="str">
        <f>VLOOKUP($R119,武学奇术!$A:$ZZ,25,FALSE)</f>
        <v>心法</v>
      </c>
      <c r="AN119" s="24">
        <f>VLOOKUP($R119,武学奇术!$A:$ZZ,26,FALSE)</f>
        <v>0</v>
      </c>
      <c r="AO119" s="25">
        <f>VLOOKUP($R119,武学奇术!$A:$ZZ,27,FALSE)*(1+IF(OR($AM119=$F$4,$AM119=$F$5),$B$22,0))</f>
        <v>0</v>
      </c>
      <c r="AP119" s="24">
        <f>VLOOKUP($R119,武学奇术!$A:$ZZ,28,FALSE)</f>
        <v>0</v>
      </c>
      <c r="AQ119" s="25">
        <f>VLOOKUP($R119,武学奇术!$A:$ZZ,29,FALSE)*(1+IF(OR($AM119=$F$4,$AM119=$F$5),$B$22,0))</f>
        <v>0</v>
      </c>
      <c r="AR119" s="24" cm="1">
        <f t="array" ref="AR119">$G$3+IFERROR(VLOOKUP($AM119,$F$4:$G$7,2,FALSE),0)+VLOOKUP($R119,武学奇术!$A:$ZZ,2,FALSE)+SUM(_xlfn.XLOOKUP($S119:$AL119,增益!$A:$A,增益!$B:$B,0))</f>
        <v>0.1037</v>
      </c>
      <c r="AS119" s="24" cm="1">
        <f t="array" ref="AS119">VLOOKUP($R119,武学奇术!$A:$ZZ,5,FALSE)+SUM(_xlfn.XLOOKUP($S119:$AL119,增益!$A:$A,增益!$E:$E,0))</f>
        <v>0</v>
      </c>
      <c r="AT119" cm="1">
        <f t="array" ref="AT119">$D$10*(1+$AS119)+VLOOKUP($R119,武学奇术!$A:$ZZ,3,FALSE)+SUM(_xlfn.XLOOKUP($S119:$AL119,增益!$A:$A,增益!$C:$C,0))-$I$2</f>
        <v>3839.102</v>
      </c>
      <c r="AU119" cm="1">
        <f t="array" ref="AU119">$E$10*(1+$AS119)+VLOOKUP($R119,武学奇术!$A:$ZZ,4,FALSE)+SUM(_xlfn.XLOOKUP($S119:$AL119,增益!$A:$A,增益!$D:$D,0))-$I$2</f>
        <v>3839.102</v>
      </c>
      <c r="AV119" s="30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0.167</v>
      </c>
      <c r="AW119" s="30" cm="1">
        <f t="array" ref="AW119">$G$10+VLOOKUP($R119,武学奇术!$A:$ZZ,7,FALSE)+SUM(_xlfn.XLOOKUP($S119:$AL119,增益!$A:$A,增益!$G:$G,0))</f>
        <v>0</v>
      </c>
      <c r="AX119" s="24" cm="1">
        <f t="array" ref="AX119">VLOOKUP($R119,武学奇术!$A:$ZZ,8,FALSE)+SUM(_xlfn.XLOOKUP($S119:$AL119,增益!$A:$A,增益!$H:$H,0))</f>
        <v>0</v>
      </c>
      <c r="AY119">
        <f t="shared" si="14"/>
        <v>0</v>
      </c>
      <c r="AZ119">
        <f t="shared" si="15"/>
        <v>0</v>
      </c>
      <c r="BA119" s="30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0" cm="1">
        <f t="array" ref="BB119">$G$11+VLOOKUP($R119,武学奇术!$A:$ZZ,10,FALSE)+SUM(_xlfn.XLOOKUP($S119:$AL119,增益!$A:$A,增益!$J:$J,0))</f>
        <v>0</v>
      </c>
      <c r="BC119">
        <f t="shared" si="16"/>
        <v>0</v>
      </c>
      <c r="BD119">
        <f t="shared" si="17"/>
        <v>0</v>
      </c>
      <c r="BE119" s="30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0" cm="1">
        <f t="array" ref="BF119">$G$12+VLOOKUP($R119,武学奇术!$A:$ZZ,12,FALSE)+SUM(_xlfn.XLOOKUP($S119:$AL119,增益!$A:$A,增益!$L:$L,0))</f>
        <v>0</v>
      </c>
      <c r="BG119">
        <f t="shared" si="18"/>
        <v>0</v>
      </c>
      <c r="BH119">
        <f t="shared" si="19"/>
        <v>0</v>
      </c>
      <c r="BI119" s="30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-0.3</v>
      </c>
      <c r="BJ119" s="30" cm="1">
        <f t="array" ref="BJ119">$G$13+VLOOKUP($R119,武学奇术!$A:$ZZ,14,FALSE)+SUM(_xlfn.XLOOKUP($S119:$AL119,增益!$A:$A,增益!$N:$N,0))</f>
        <v>0</v>
      </c>
      <c r="BK119">
        <f t="shared" si="20"/>
        <v>605.472</v>
      </c>
      <c r="BL119">
        <f t="shared" si="21"/>
        <v>1725.468</v>
      </c>
      <c r="BM119" s="30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0</v>
      </c>
      <c r="BN119" s="30" cm="1">
        <f t="array" ref="BN119">$G$14+VLOOKUP($R119,武学奇术!$A:$ZZ,16,FALSE)+SUM(_xlfn.XLOOKUP($S119:$AL119,增益!$A:$A,增益!$P:$P,0))</f>
        <v>0.15</v>
      </c>
      <c r="BO119" s="24">
        <f>MIN(IF(VLOOKUP($R119,武学奇术!$A:$ZZ,23,FALSE)=1,100%,$B$8),100%)</f>
        <v>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+MIN(IF(VLOOKUP($R119,武学奇术!$A:$ZZ,32,FALSE)=1,IF(VLOOKUP($R119,武学奇术!$A:$ZZ,24,FALSE)=1,100%,MIN(40%,$B$10+VLOOKUP($R119,武学奇术!$A:$ZZ,19,FALSE)+SUM(_xlfn.XLOOKUP($S119:$AL119,增益!$A:$A,增益!$S:$S,0)))+$B$12+SUM(_xlfn.XLOOKUP($S119:$AL119,增益!$A:$A,增益!$V:$V,0))),0),12%)</f>
        <v>0.9036</v>
      </c>
      <c r="BQ119" s="24" cm="1">
        <f t="array" ref="BQ119">1+$B$13+VLOOKUP($R119,武学奇术!$A:$ZZ,18,FALSE)+SUM(_xlfn.XLOOKUP($S119:$AL119,增益!$A:$A,增益!$R:$R,0))</f>
        <v>1.54</v>
      </c>
      <c r="BR119" s="24" cm="1">
        <f t="array" ref="BR119">MAX(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-IF(VLOOKUP($R119,武学奇术!$A:$ZZ,32,FALSE)=1,12%,0),0)</f>
        <v>0.0929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2"/>
        <v>0.9036</v>
      </c>
      <c r="BU119" s="24">
        <f t="shared" si="23"/>
        <v>0.00350000000000006</v>
      </c>
      <c r="BV119" s="24">
        <f>IF(VLOOKUP($R119,武学奇术!$A:$ZZ,22,FALSE)=1,0,(1-$BO119))*(1-$BR119)</f>
        <v>0</v>
      </c>
      <c r="BW119" s="24" cm="1">
        <f t="array" ref="BW119">SUM(_xlfn.XLOOKUP($S119:$AL119,增益!$A:$A,增益!$W:$W,0))+$I$5</f>
        <v>0.11</v>
      </c>
      <c r="BX119" s="24" cm="1">
        <f t="array" ref="BX119">SUM(_xlfn.XLOOKUP($S119:$AL119,增益!$A:$A,增益!$X:$X,0))</f>
        <v>0</v>
      </c>
    </row>
    <row r="120" spans="11:76">
      <c r="K120">
        <f>$L120*VLOOKUP($R120,武学奇术!$A:$ZZ,31,FALSE)</f>
        <v>0</v>
      </c>
      <c r="L120" s="36">
        <f t="shared" si="26"/>
        <v>0</v>
      </c>
      <c r="M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BQ120*$Q120*(1+IF(VLOOKUP($R120,武学奇术!$A:$ZZ,30,FALSE)="蓄力技",$B$21,0))*(1+$BW120)</f>
        <v>0</v>
      </c>
      <c r="N120" s="36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蓄力技",$B$21,0))*(1+$BW120)</f>
        <v>0</v>
      </c>
      <c r="O120" s="36">
        <f>((($AT120+($AU120-$AT120)*IF(VLOOKUP($R120,武学奇术!$A:$ZZ,31,FALSE)=1,$F$18,0.5))*$AN120+$AO120)*(1+$AV120)*(1+$AW120)+(($AY120+($AZ120-$AY120)*IF(VLOOKUP($R120,武学奇术!$A:$ZZ,31,FALSE)=1,$F$18,0.5))*IF($G$1="鸣金",$AP120,$AN120)+IF($G$1="鸣金",$AQ120*1.5,0))*(1+$BA120)*(1+$BB120)+(($BC120+($BD120-$BC120)*IF(VLOOKUP($R120,武学奇术!$A:$ZZ,31,FALSE)=1,$F$18,0.5))*IF($G$1="裂石",$AP120,$AN120)+IF($G$1="裂石",$AQ120*1.5,0))*(1+$BE120)*(1+$BF120)+(($BG120+($BH120-$BG120)*IF(VLOOKUP($R120,武学奇术!$A:$ZZ,31,FALSE)=1,$F$18,0.5))*IF($G$1="牵丝",$AP120,$AN120)+IF($G$1="牵丝",$AQ120*1.5,0))*(1+$BI120)*(1+$BJ120)+(($BK120+($BL120-$BK120)*IF(VLOOKUP($R120,武学奇术!$A:$ZZ,31,FALSE)=1,$F$18,0.5))*IF($G$1="破竹",$AP120,$AN120)+IF($G$1="破竹",$AQ120*1.5,0))*(1+$BM120)*(1+$BN120))*(1+$AR120)*$Q120*(1+IF(VLOOKUP($R120,武学奇术!$A:$ZZ,30,FALSE)="蓄力技",$B$21,0))*(1+$BW120)</f>
        <v>0</v>
      </c>
      <c r="P120" s="36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蓄力技",$B$21,0))*(1+$BW120)</f>
        <v>0</v>
      </c>
      <c r="Q120" s="37">
        <v>1</v>
      </c>
      <c r="R120" s="38" t="s">
        <v>79</v>
      </c>
      <c r="S120" s="38" t="s">
        <v>79</v>
      </c>
      <c r="T120" s="38" t="s">
        <v>79</v>
      </c>
      <c r="U120" s="38" t="s">
        <v>79</v>
      </c>
      <c r="V120" s="38" t="s">
        <v>79</v>
      </c>
      <c r="W120" s="38" t="s">
        <v>79</v>
      </c>
      <c r="X120" s="38" t="s">
        <v>79</v>
      </c>
      <c r="Y120" s="38" t="s">
        <v>79</v>
      </c>
      <c r="Z120" s="38" t="s">
        <v>79</v>
      </c>
      <c r="AA120" s="38" t="s">
        <v>79</v>
      </c>
      <c r="AB120" s="38" t="s">
        <v>79</v>
      </c>
      <c r="AC120" s="38" t="s">
        <v>79</v>
      </c>
      <c r="AD120" s="38" t="s">
        <v>79</v>
      </c>
      <c r="AE120" s="38" t="s">
        <v>79</v>
      </c>
      <c r="AF120" s="38" t="s">
        <v>84</v>
      </c>
      <c r="AG120" s="38" t="s">
        <v>79</v>
      </c>
      <c r="AH120" s="38" t="s">
        <v>79</v>
      </c>
      <c r="AI120" s="38" t="s">
        <v>79</v>
      </c>
      <c r="AJ120" s="38" t="s">
        <v>79</v>
      </c>
      <c r="AK120" s="38" t="s">
        <v>79</v>
      </c>
      <c r="AL120" s="38" t="s">
        <v>79</v>
      </c>
      <c r="AM120" t="str">
        <f>VLOOKUP($R120,武学奇术!$A:$ZZ,25,FALSE)</f>
        <v>心法</v>
      </c>
      <c r="AN120" s="24">
        <f>VLOOKUP($R120,武学奇术!$A:$ZZ,26,FALSE)</f>
        <v>0</v>
      </c>
      <c r="AO120" s="25">
        <f>VLOOKUP($R120,武学奇术!$A:$ZZ,27,FALSE)*(1+IF(OR($AM120=$F$4,$AM120=$F$5),$B$22,0))</f>
        <v>0</v>
      </c>
      <c r="AP120" s="24">
        <f>VLOOKUP($R120,武学奇术!$A:$ZZ,28,FALSE)</f>
        <v>0</v>
      </c>
      <c r="AQ120" s="25">
        <f>VLOOKUP($R120,武学奇术!$A:$ZZ,29,FALSE)*(1+IF(OR($AM120=$F$4,$AM120=$F$5),$B$22,0))</f>
        <v>0</v>
      </c>
      <c r="AR120" s="24" cm="1">
        <f t="array" ref="AR120">$G$3+IFERROR(VLOOKUP($AM120,$F$4:$G$7,2,FALSE),0)+VLOOKUP($R120,武学奇术!$A:$ZZ,2,FALSE)+SUM(_xlfn.XLOOKUP($S120:$AL120,增益!$A:$A,增益!$B:$B,0))</f>
        <v>0.1037</v>
      </c>
      <c r="AS120" s="24" cm="1">
        <f t="array" ref="AS120">VLOOKUP($R120,武学奇术!$A:$ZZ,5,FALSE)+SUM(_xlfn.XLOOKUP($S120:$AL120,增益!$A:$A,增益!$E:$E,0))</f>
        <v>0</v>
      </c>
      <c r="AT120" cm="1">
        <f t="array" ref="AT120">$D$10*(1+$AS120)+VLOOKUP($R120,武学奇术!$A:$ZZ,3,FALSE)+SUM(_xlfn.XLOOKUP($S120:$AL120,增益!$A:$A,增益!$C:$C,0))-$I$2</f>
        <v>3839.102</v>
      </c>
      <c r="AU120" cm="1">
        <f t="array" ref="AU120">$E$10*(1+$AS120)+VLOOKUP($R120,武学奇术!$A:$ZZ,4,FALSE)+SUM(_xlfn.XLOOKUP($S120:$AL120,增益!$A:$A,增益!$D:$D,0))-$I$2</f>
        <v>3839.102</v>
      </c>
      <c r="AV120" s="30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0.167</v>
      </c>
      <c r="AW120" s="30" cm="1">
        <f t="array" ref="AW120">$G$10+VLOOKUP($R120,武学奇术!$A:$ZZ,7,FALSE)+SUM(_xlfn.XLOOKUP($S120:$AL120,增益!$A:$A,增益!$G:$G,0))</f>
        <v>0</v>
      </c>
      <c r="AX120" s="24" cm="1">
        <f t="array" ref="AX120">VLOOKUP($R120,武学奇术!$A:$ZZ,8,FALSE)+SUM(_xlfn.XLOOKUP($S120:$AL120,增益!$A:$A,增益!$H:$H,0))</f>
        <v>0</v>
      </c>
      <c r="AY120">
        <f t="shared" si="14"/>
        <v>0</v>
      </c>
      <c r="AZ120">
        <f t="shared" si="15"/>
        <v>0</v>
      </c>
      <c r="BA120" s="30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0" cm="1">
        <f t="array" ref="BB120">$G$11+VLOOKUP($R120,武学奇术!$A:$ZZ,10,FALSE)+SUM(_xlfn.XLOOKUP($S120:$AL120,增益!$A:$A,增益!$J:$J,0))</f>
        <v>0</v>
      </c>
      <c r="BC120">
        <f t="shared" si="16"/>
        <v>0</v>
      </c>
      <c r="BD120">
        <f t="shared" si="17"/>
        <v>0</v>
      </c>
      <c r="BE120" s="30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0" cm="1">
        <f t="array" ref="BF120">$G$12+VLOOKUP($R120,武学奇术!$A:$ZZ,12,FALSE)+SUM(_xlfn.XLOOKUP($S120:$AL120,增益!$A:$A,增益!$L:$L,0))</f>
        <v>0</v>
      </c>
      <c r="BG120">
        <f t="shared" si="18"/>
        <v>0</v>
      </c>
      <c r="BH120">
        <f t="shared" si="19"/>
        <v>0</v>
      </c>
      <c r="BI120" s="30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-0.3</v>
      </c>
      <c r="BJ120" s="30" cm="1">
        <f t="array" ref="BJ120">$G$13+VLOOKUP($R120,武学奇术!$A:$ZZ,14,FALSE)+SUM(_xlfn.XLOOKUP($S120:$AL120,增益!$A:$A,增益!$N:$N,0))</f>
        <v>0</v>
      </c>
      <c r="BK120">
        <f t="shared" si="20"/>
        <v>605.472</v>
      </c>
      <c r="BL120">
        <f t="shared" si="21"/>
        <v>1725.468</v>
      </c>
      <c r="BM120" s="30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0</v>
      </c>
      <c r="BN120" s="30" cm="1">
        <f t="array" ref="BN120">$G$14+VLOOKUP($R120,武学奇术!$A:$ZZ,16,FALSE)+SUM(_xlfn.XLOOKUP($S120:$AL120,增益!$A:$A,增益!$P:$P,0))</f>
        <v>0.15</v>
      </c>
      <c r="BO120" s="24">
        <f>MIN(IF(VLOOKUP($R120,武学奇术!$A:$ZZ,23,FALSE)=1,100%,$B$8),100%)</f>
        <v>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+MIN(IF(VLOOKUP($R120,武学奇术!$A:$ZZ,32,FALSE)=1,IF(VLOOKUP($R120,武学奇术!$A:$ZZ,24,FALSE)=1,100%,MIN(40%,$B$10+VLOOKUP($R120,武学奇术!$A:$ZZ,19,FALSE)+SUM(_xlfn.XLOOKUP($S120:$AL120,增益!$A:$A,增益!$S:$S,0)))+$B$12+SUM(_xlfn.XLOOKUP($S120:$AL120,增益!$A:$A,增益!$V:$V,0))),0),12%)</f>
        <v>0.9036</v>
      </c>
      <c r="BQ120" s="24" cm="1">
        <f t="array" ref="BQ120">1+$B$13+VLOOKUP($R120,武学奇术!$A:$ZZ,18,FALSE)+SUM(_xlfn.XLOOKUP($S120:$AL120,增益!$A:$A,增益!$R:$R,0))</f>
        <v>1.54</v>
      </c>
      <c r="BR120" s="24" cm="1">
        <f t="array" ref="BR120">MAX(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-IF(VLOOKUP($R120,武学奇术!$A:$ZZ,32,FALSE)=1,12%,0),0)</f>
        <v>0.0929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2"/>
        <v>0.9036</v>
      </c>
      <c r="BU120" s="24">
        <f t="shared" si="23"/>
        <v>0.00350000000000006</v>
      </c>
      <c r="BV120" s="24">
        <f>IF(VLOOKUP($R120,武学奇术!$A:$ZZ,22,FALSE)=1,0,(1-$BO120))*(1-$BR120)</f>
        <v>0</v>
      </c>
      <c r="BW120" s="24" cm="1">
        <f t="array" ref="BW120">SUM(_xlfn.XLOOKUP($S120:$AL120,增益!$A:$A,增益!$W:$W,0))+$I$5</f>
        <v>0.11</v>
      </c>
      <c r="BX120" s="24" cm="1">
        <f t="array" ref="BX120">SUM(_xlfn.XLOOKUP($S120:$AL120,增益!$A:$A,增益!$X:$X,0))</f>
        <v>0</v>
      </c>
    </row>
    <row r="121" spans="11:76">
      <c r="K121">
        <f>$L121*VLOOKUP($R121,武学奇术!$A:$ZZ,31,FALSE)</f>
        <v>0</v>
      </c>
      <c r="L121" s="36">
        <f t="shared" si="26"/>
        <v>0</v>
      </c>
      <c r="M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BQ121*$Q121*(1+IF(VLOOKUP($R121,武学奇术!$A:$ZZ,30,FALSE)="蓄力技",$B$21,0))*(1+$BW121)</f>
        <v>0</v>
      </c>
      <c r="N121" s="36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蓄力技",$B$21,0))*(1+$BW121)</f>
        <v>0</v>
      </c>
      <c r="O121" s="36">
        <f>((($AT121+($AU121-$AT121)*IF(VLOOKUP($R121,武学奇术!$A:$ZZ,31,FALSE)=1,$F$18,0.5))*$AN121+$AO121)*(1+$AV121)*(1+$AW121)+(($AY121+($AZ121-$AY121)*IF(VLOOKUP($R121,武学奇术!$A:$ZZ,31,FALSE)=1,$F$18,0.5))*IF($G$1="鸣金",$AP121,$AN121)+IF($G$1="鸣金",$AQ121*1.5,0))*(1+$BA121)*(1+$BB121)+(($BC121+($BD121-$BC121)*IF(VLOOKUP($R121,武学奇术!$A:$ZZ,31,FALSE)=1,$F$18,0.5))*IF($G$1="裂石",$AP121,$AN121)+IF($G$1="裂石",$AQ121*1.5,0))*(1+$BE121)*(1+$BF121)+(($BG121+($BH121-$BG121)*IF(VLOOKUP($R121,武学奇术!$A:$ZZ,31,FALSE)=1,$F$18,0.5))*IF($G$1="牵丝",$AP121,$AN121)+IF($G$1="牵丝",$AQ121*1.5,0))*(1+$BI121)*(1+$BJ121)+(($BK121+($BL121-$BK121)*IF(VLOOKUP($R121,武学奇术!$A:$ZZ,31,FALSE)=1,$F$18,0.5))*IF($G$1="破竹",$AP121,$AN121)+IF($G$1="破竹",$AQ121*1.5,0))*(1+$BM121)*(1+$BN121))*(1+$AR121)*$Q121*(1+IF(VLOOKUP($R121,武学奇术!$A:$ZZ,30,FALSE)="蓄力技",$B$21,0))*(1+$BW121)</f>
        <v>0</v>
      </c>
      <c r="P121" s="36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蓄力技",$B$21,0))*(1+$BW121)</f>
        <v>0</v>
      </c>
      <c r="Q121" s="37">
        <v>1</v>
      </c>
      <c r="R121" s="38" t="s">
        <v>79</v>
      </c>
      <c r="S121" s="38" t="s">
        <v>79</v>
      </c>
      <c r="T121" s="38" t="s">
        <v>79</v>
      </c>
      <c r="U121" s="38" t="s">
        <v>79</v>
      </c>
      <c r="V121" s="38" t="s">
        <v>79</v>
      </c>
      <c r="W121" s="38" t="s">
        <v>79</v>
      </c>
      <c r="X121" s="38" t="s">
        <v>79</v>
      </c>
      <c r="Y121" s="38" t="s">
        <v>79</v>
      </c>
      <c r="Z121" s="38" t="s">
        <v>79</v>
      </c>
      <c r="AA121" s="38" t="s">
        <v>79</v>
      </c>
      <c r="AB121" s="38" t="s">
        <v>79</v>
      </c>
      <c r="AC121" s="38" t="s">
        <v>79</v>
      </c>
      <c r="AD121" s="38" t="s">
        <v>79</v>
      </c>
      <c r="AE121" s="38" t="s">
        <v>79</v>
      </c>
      <c r="AF121" s="38" t="s">
        <v>84</v>
      </c>
      <c r="AG121" s="38" t="s">
        <v>79</v>
      </c>
      <c r="AH121" s="38" t="s">
        <v>79</v>
      </c>
      <c r="AI121" s="38" t="s">
        <v>79</v>
      </c>
      <c r="AJ121" s="38" t="s">
        <v>79</v>
      </c>
      <c r="AK121" s="38" t="s">
        <v>79</v>
      </c>
      <c r="AL121" s="38" t="s">
        <v>79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VLOOKUP($R121,武学奇术!$A:$ZZ,27,FALSE)*(1+IF(OR($AM121=$F$4,$AM121=$F$5),$B$22,0))</f>
        <v>0</v>
      </c>
      <c r="AP121" s="24">
        <f>VLOOKUP($R121,武学奇术!$A:$ZZ,28,FALSE)</f>
        <v>0</v>
      </c>
      <c r="AQ121" s="25">
        <f>VLOOKUP($R121,武学奇术!$A:$ZZ,29,FALSE)*(1+IF(OR($AM121=$F$4,$AM121=$F$5),$B$22,0))</f>
        <v>0</v>
      </c>
      <c r="AR121" s="24" cm="1">
        <f t="array" ref="AR121">$G$3+IFERROR(VLOOKUP($AM121,$F$4:$G$7,2,FALSE),0)+VLOOKUP($R121,武学奇术!$A:$ZZ,2,FALSE)+SUM(_xlfn.XLOOKUP($S121:$AL121,增益!$A:$A,增益!$B:$B,0))</f>
        <v>0.1037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3839.102</v>
      </c>
      <c r="AU121" cm="1">
        <f t="array" ref="AU121">$E$10*(1+$AS121)+VLOOKUP($R121,武学奇术!$A:$ZZ,4,FALSE)+SUM(_xlfn.XLOOKUP($S121:$AL121,增益!$A:$A,增益!$D:$D,0))-$I$2</f>
        <v>3839.102</v>
      </c>
      <c r="AV121" s="30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0.167</v>
      </c>
      <c r="AW121" s="30" cm="1">
        <f t="array" ref="AW121">$G$10+VLOOKUP($R121,武学奇术!$A:$ZZ,7,FALSE)+SUM(_xlfn.XLOOKUP($S121:$AL121,增益!$A:$A,增益!$G:$G,0))</f>
        <v>0</v>
      </c>
      <c r="AX121" s="24" cm="1">
        <f t="array" ref="AX121">VLOOKUP($R121,武学奇术!$A:$ZZ,8,FALSE)+SUM(_xlfn.XLOOKUP($S121:$AL121,增益!$A:$A,增益!$H:$H,0))</f>
        <v>0</v>
      </c>
      <c r="AY121">
        <f t="shared" si="14"/>
        <v>0</v>
      </c>
      <c r="AZ121">
        <f t="shared" si="15"/>
        <v>0</v>
      </c>
      <c r="BA121" s="30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0" cm="1">
        <f t="array" ref="BB121">$G$11+VLOOKUP($R121,武学奇术!$A:$ZZ,10,FALSE)+SUM(_xlfn.XLOOKUP($S121:$AL121,增益!$A:$A,增益!$J:$J,0))</f>
        <v>0</v>
      </c>
      <c r="BC121">
        <f t="shared" si="16"/>
        <v>0</v>
      </c>
      <c r="BD121">
        <f t="shared" si="17"/>
        <v>0</v>
      </c>
      <c r="BE121" s="30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0" cm="1">
        <f t="array" ref="BF121">$G$12+VLOOKUP($R121,武学奇术!$A:$ZZ,12,FALSE)+SUM(_xlfn.XLOOKUP($S121:$AL121,增益!$A:$A,增益!$L:$L,0))</f>
        <v>0</v>
      </c>
      <c r="BG121">
        <f t="shared" si="18"/>
        <v>0</v>
      </c>
      <c r="BH121">
        <f t="shared" si="19"/>
        <v>0</v>
      </c>
      <c r="BI121" s="30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-0.3</v>
      </c>
      <c r="BJ121" s="30" cm="1">
        <f t="array" ref="BJ121">$G$13+VLOOKUP($R121,武学奇术!$A:$ZZ,14,FALSE)+SUM(_xlfn.XLOOKUP($S121:$AL121,增益!$A:$A,增益!$N:$N,0))</f>
        <v>0</v>
      </c>
      <c r="BK121">
        <f t="shared" si="20"/>
        <v>605.472</v>
      </c>
      <c r="BL121">
        <f t="shared" si="21"/>
        <v>1725.468</v>
      </c>
      <c r="BM121" s="30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0</v>
      </c>
      <c r="BN121" s="30" cm="1">
        <f t="array" ref="BN121">$G$14+VLOOKUP($R121,武学奇术!$A:$ZZ,16,FALSE)+SUM(_xlfn.XLOOKUP($S121:$AL121,增益!$A:$A,增益!$P:$P,0))</f>
        <v>0.15</v>
      </c>
      <c r="BO121" s="24">
        <f>MIN(IF(VLOOKUP($R121,武学奇术!$A:$ZZ,23,FALSE)=1,100%,$B$8),100%)</f>
        <v>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+MIN(IF(VLOOKUP($R121,武学奇术!$A:$ZZ,32,FALSE)=1,IF(VLOOKUP($R121,武学奇术!$A:$ZZ,24,FALSE)=1,100%,MIN(40%,$B$10+VLOOKUP($R121,武学奇术!$A:$ZZ,19,FALSE)+SUM(_xlfn.XLOOKUP($S121:$AL121,增益!$A:$A,增益!$S:$S,0)))+$B$12+SUM(_xlfn.XLOOKUP($S121:$AL121,增益!$A:$A,增益!$V:$V,0))),0),12%)</f>
        <v>0.9036</v>
      </c>
      <c r="BQ121" s="24" cm="1">
        <f t="array" ref="BQ121">1+$B$13+VLOOKUP($R121,武学奇术!$A:$ZZ,18,FALSE)+SUM(_xlfn.XLOOKUP($S121:$AL121,增益!$A:$A,增益!$R:$R,0))</f>
        <v>1.54</v>
      </c>
      <c r="BR121" s="24" cm="1">
        <f t="array" ref="BR121">MAX(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-IF(VLOOKUP($R121,武学奇术!$A:$ZZ,32,FALSE)=1,12%,0),0)</f>
        <v>0.0929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2"/>
        <v>0.9036</v>
      </c>
      <c r="BU121" s="24">
        <f t="shared" si="23"/>
        <v>0.00350000000000006</v>
      </c>
      <c r="BV121" s="24">
        <f>IF(VLOOKUP($R121,武学奇术!$A:$ZZ,22,FALSE)=1,0,(1-$BO121))*(1-$BR121)</f>
        <v>0</v>
      </c>
      <c r="BW121" s="24" cm="1">
        <f t="array" ref="BW121">SUM(_xlfn.XLOOKUP($S121:$AL121,增益!$A:$A,增益!$W:$W,0))+$I$5</f>
        <v>0.11</v>
      </c>
      <c r="BX121" s="24" cm="1">
        <f t="array" ref="BX121">SUM(_xlfn.XLOOKUP($S121:$AL121,增益!$A:$A,增益!$X:$X,0))</f>
        <v>0</v>
      </c>
    </row>
    <row r="122" spans="11:76">
      <c r="K122">
        <f>$L122*VLOOKUP($R122,武学奇术!$A:$ZZ,31,FALSE)</f>
        <v>0</v>
      </c>
      <c r="L122" s="36">
        <f t="shared" si="26"/>
        <v>0</v>
      </c>
      <c r="M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BQ122*$Q122*(1+IF(VLOOKUP($R122,武学奇术!$A:$ZZ,30,FALSE)="蓄力技",$B$21,0))*(1+$BW122)</f>
        <v>0</v>
      </c>
      <c r="N122" s="36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蓄力技",$B$21,0))*(1+$BW122)</f>
        <v>0</v>
      </c>
      <c r="O122" s="36">
        <f>((($AT122+($AU122-$AT122)*IF(VLOOKUP($R122,武学奇术!$A:$ZZ,31,FALSE)=1,$F$18,0.5))*$AN122+$AO122)*(1+$AV122)*(1+$AW122)+(($AY122+($AZ122-$AY122)*IF(VLOOKUP($R122,武学奇术!$A:$ZZ,31,FALSE)=1,$F$18,0.5))*IF($G$1="鸣金",$AP122,$AN122)+IF($G$1="鸣金",$AQ122*1.5,0))*(1+$BA122)*(1+$BB122)+(($BC122+($BD122-$BC122)*IF(VLOOKUP($R122,武学奇术!$A:$ZZ,31,FALSE)=1,$F$18,0.5))*IF($G$1="裂石",$AP122,$AN122)+IF($G$1="裂石",$AQ122*1.5,0))*(1+$BE122)*(1+$BF122)+(($BG122+($BH122-$BG122)*IF(VLOOKUP($R122,武学奇术!$A:$ZZ,31,FALSE)=1,$F$18,0.5))*IF($G$1="牵丝",$AP122,$AN122)+IF($G$1="牵丝",$AQ122*1.5,0))*(1+$BI122)*(1+$BJ122)+(($BK122+($BL122-$BK122)*IF(VLOOKUP($R122,武学奇术!$A:$ZZ,31,FALSE)=1,$F$18,0.5))*IF($G$1="破竹",$AP122,$AN122)+IF($G$1="破竹",$AQ122*1.5,0))*(1+$BM122)*(1+$BN122))*(1+$AR122)*$Q122*(1+IF(VLOOKUP($R122,武学奇术!$A:$ZZ,30,FALSE)="蓄力技",$B$21,0))*(1+$BW122)</f>
        <v>0</v>
      </c>
      <c r="P122" s="36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蓄力技",$B$21,0))*(1+$BW122)</f>
        <v>0</v>
      </c>
      <c r="Q122" s="37">
        <v>1</v>
      </c>
      <c r="R122" s="38" t="s">
        <v>79</v>
      </c>
      <c r="S122" s="38" t="s">
        <v>79</v>
      </c>
      <c r="T122" s="38" t="s">
        <v>79</v>
      </c>
      <c r="U122" s="38" t="s">
        <v>79</v>
      </c>
      <c r="V122" s="38" t="s">
        <v>79</v>
      </c>
      <c r="W122" s="38" t="s">
        <v>79</v>
      </c>
      <c r="X122" s="38" t="s">
        <v>79</v>
      </c>
      <c r="Y122" s="38" t="s">
        <v>79</v>
      </c>
      <c r="Z122" s="38" t="s">
        <v>79</v>
      </c>
      <c r="AA122" s="38" t="s">
        <v>79</v>
      </c>
      <c r="AB122" s="38" t="s">
        <v>79</v>
      </c>
      <c r="AC122" s="38" t="s">
        <v>79</v>
      </c>
      <c r="AD122" s="38" t="s">
        <v>79</v>
      </c>
      <c r="AE122" s="38" t="s">
        <v>79</v>
      </c>
      <c r="AF122" s="38" t="s">
        <v>84</v>
      </c>
      <c r="AG122" s="38" t="s">
        <v>79</v>
      </c>
      <c r="AH122" s="38" t="s">
        <v>79</v>
      </c>
      <c r="AI122" s="38" t="s">
        <v>79</v>
      </c>
      <c r="AJ122" s="38" t="s">
        <v>79</v>
      </c>
      <c r="AK122" s="38" t="s">
        <v>79</v>
      </c>
      <c r="AL122" s="38" t="s">
        <v>79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VLOOKUP($R122,武学奇术!$A:$ZZ,27,FALSE)*(1+IF(OR($AM122=$F$4,$AM122=$F$5),$B$22,0))</f>
        <v>0</v>
      </c>
      <c r="AP122" s="24">
        <f>VLOOKUP($R122,武学奇术!$A:$ZZ,28,FALSE)</f>
        <v>0</v>
      </c>
      <c r="AQ122" s="25">
        <f>VLOOKUP($R122,武学奇术!$A:$ZZ,29,FALSE)*(1+IF(OR($AM122=$F$4,$AM122=$F$5),$B$22,0))</f>
        <v>0</v>
      </c>
      <c r="AR122" s="24" cm="1">
        <f t="array" ref="AR122">$G$3+IFERROR(VLOOKUP($AM122,$F$4:$G$7,2,FALSE),0)+VLOOKUP($R122,武学奇术!$A:$ZZ,2,FALSE)+SUM(_xlfn.XLOOKUP($S122:$AL122,增益!$A:$A,增益!$B:$B,0))</f>
        <v>0.1037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3839.102</v>
      </c>
      <c r="AU122" cm="1">
        <f t="array" ref="AU122">$E$10*(1+$AS122)+VLOOKUP($R122,武学奇术!$A:$ZZ,4,FALSE)+SUM(_xlfn.XLOOKUP($S122:$AL122,增益!$A:$A,增益!$D:$D,0))-$I$2</f>
        <v>3839.102</v>
      </c>
      <c r="AV122" s="30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0.167</v>
      </c>
      <c r="AW122" s="30" cm="1">
        <f t="array" ref="AW122">$G$10+VLOOKUP($R122,武学奇术!$A:$ZZ,7,FALSE)+SUM(_xlfn.XLOOKUP($S122:$AL122,增益!$A:$A,增益!$G:$G,0))</f>
        <v>0</v>
      </c>
      <c r="AX122" s="24" cm="1">
        <f t="array" ref="AX122">VLOOKUP($R122,武学奇术!$A:$ZZ,8,FALSE)+SUM(_xlfn.XLOOKUP($S122:$AL122,增益!$A:$A,增益!$H:$H,0))</f>
        <v>0</v>
      </c>
      <c r="AY122">
        <f t="shared" si="14"/>
        <v>0</v>
      </c>
      <c r="AZ122">
        <f t="shared" si="15"/>
        <v>0</v>
      </c>
      <c r="BA122" s="30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0" cm="1">
        <f t="array" ref="BB122">$G$11+VLOOKUP($R122,武学奇术!$A:$ZZ,10,FALSE)+SUM(_xlfn.XLOOKUP($S122:$AL122,增益!$A:$A,增益!$J:$J,0))</f>
        <v>0</v>
      </c>
      <c r="BC122">
        <f t="shared" si="16"/>
        <v>0</v>
      </c>
      <c r="BD122">
        <f t="shared" si="17"/>
        <v>0</v>
      </c>
      <c r="BE122" s="30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0" cm="1">
        <f t="array" ref="BF122">$G$12+VLOOKUP($R122,武学奇术!$A:$ZZ,12,FALSE)+SUM(_xlfn.XLOOKUP($S122:$AL122,增益!$A:$A,增益!$L:$L,0))</f>
        <v>0</v>
      </c>
      <c r="BG122">
        <f t="shared" si="18"/>
        <v>0</v>
      </c>
      <c r="BH122">
        <f t="shared" si="19"/>
        <v>0</v>
      </c>
      <c r="BI122" s="30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-0.3</v>
      </c>
      <c r="BJ122" s="30" cm="1">
        <f t="array" ref="BJ122">$G$13+VLOOKUP($R122,武学奇术!$A:$ZZ,14,FALSE)+SUM(_xlfn.XLOOKUP($S122:$AL122,增益!$A:$A,增益!$N:$N,0))</f>
        <v>0</v>
      </c>
      <c r="BK122">
        <f t="shared" si="20"/>
        <v>605.472</v>
      </c>
      <c r="BL122">
        <f t="shared" si="21"/>
        <v>1725.468</v>
      </c>
      <c r="BM122" s="30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0</v>
      </c>
      <c r="BN122" s="30" cm="1">
        <f t="array" ref="BN122">$G$14+VLOOKUP($R122,武学奇术!$A:$ZZ,16,FALSE)+SUM(_xlfn.XLOOKUP($S122:$AL122,增益!$A:$A,增益!$P:$P,0))</f>
        <v>0.15</v>
      </c>
      <c r="BO122" s="24">
        <f>MIN(IF(VLOOKUP($R122,武学奇术!$A:$ZZ,23,FALSE)=1,100%,$B$8),100%)</f>
        <v>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+MIN(IF(VLOOKUP($R122,武学奇术!$A:$ZZ,32,FALSE)=1,IF(VLOOKUP($R122,武学奇术!$A:$ZZ,24,FALSE)=1,100%,MIN(40%,$B$10+VLOOKUP($R122,武学奇术!$A:$ZZ,19,FALSE)+SUM(_xlfn.XLOOKUP($S122:$AL122,增益!$A:$A,增益!$S:$S,0)))+$B$12+SUM(_xlfn.XLOOKUP($S122:$AL122,增益!$A:$A,增益!$V:$V,0))),0),12%)</f>
        <v>0.9036</v>
      </c>
      <c r="BQ122" s="24" cm="1">
        <f t="array" ref="BQ122">1+$B$13+VLOOKUP($R122,武学奇术!$A:$ZZ,18,FALSE)+SUM(_xlfn.XLOOKUP($S122:$AL122,增益!$A:$A,增益!$R:$R,0))</f>
        <v>1.54</v>
      </c>
      <c r="BR122" s="24" cm="1">
        <f t="array" ref="BR122">MAX(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-IF(VLOOKUP($R122,武学奇术!$A:$ZZ,32,FALSE)=1,12%,0),0)</f>
        <v>0.0929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2"/>
        <v>0.9036</v>
      </c>
      <c r="BU122" s="24">
        <f t="shared" si="23"/>
        <v>0.00350000000000006</v>
      </c>
      <c r="BV122" s="24">
        <f>IF(VLOOKUP($R122,武学奇术!$A:$ZZ,22,FALSE)=1,0,(1-$BO122))*(1-$BR122)</f>
        <v>0</v>
      </c>
      <c r="BW122" s="24" cm="1">
        <f t="array" ref="BW122">SUM(_xlfn.XLOOKUP($S122:$AL122,增益!$A:$A,增益!$W:$W,0))+$I$5</f>
        <v>0.11</v>
      </c>
      <c r="BX122" s="24" cm="1">
        <f t="array" ref="BX122">SUM(_xlfn.XLOOKUP($S122:$AL122,增益!$A:$A,增益!$X:$X,0))</f>
        <v>0</v>
      </c>
    </row>
    <row r="123" spans="11:76">
      <c r="K123">
        <f>$L123*VLOOKUP($R123,武学奇术!$A:$ZZ,31,FALSE)</f>
        <v>0</v>
      </c>
      <c r="L123" s="36">
        <f t="shared" si="26"/>
        <v>0</v>
      </c>
      <c r="M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BQ123*$Q123*(1+IF(VLOOKUP($R123,武学奇术!$A:$ZZ,30,FALSE)="蓄力技",$B$21,0))*(1+$BW123)</f>
        <v>0</v>
      </c>
      <c r="N123" s="36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蓄力技",$B$21,0))*(1+$BW123)</f>
        <v>0</v>
      </c>
      <c r="O123" s="36">
        <f>((($AT123+($AU123-$AT123)*IF(VLOOKUP($R123,武学奇术!$A:$ZZ,31,FALSE)=1,$F$18,0.5))*$AN123+$AO123)*(1+$AV123)*(1+$AW123)+(($AY123+($AZ123-$AY123)*IF(VLOOKUP($R123,武学奇术!$A:$ZZ,31,FALSE)=1,$F$18,0.5))*IF($G$1="鸣金",$AP123,$AN123)+IF($G$1="鸣金",$AQ123*1.5,0))*(1+$BA123)*(1+$BB123)+(($BC123+($BD123-$BC123)*IF(VLOOKUP($R123,武学奇术!$A:$ZZ,31,FALSE)=1,$F$18,0.5))*IF($G$1="裂石",$AP123,$AN123)+IF($G$1="裂石",$AQ123*1.5,0))*(1+$BE123)*(1+$BF123)+(($BG123+($BH123-$BG123)*IF(VLOOKUP($R123,武学奇术!$A:$ZZ,31,FALSE)=1,$F$18,0.5))*IF($G$1="牵丝",$AP123,$AN123)+IF($G$1="牵丝",$AQ123*1.5,0))*(1+$BI123)*(1+$BJ123)+(($BK123+($BL123-$BK123)*IF(VLOOKUP($R123,武学奇术!$A:$ZZ,31,FALSE)=1,$F$18,0.5))*IF($G$1="破竹",$AP123,$AN123)+IF($G$1="破竹",$AQ123*1.5,0))*(1+$BM123)*(1+$BN123))*(1+$AR123)*$Q123*(1+IF(VLOOKUP($R123,武学奇术!$A:$ZZ,30,FALSE)="蓄力技",$B$21,0))*(1+$BW123)</f>
        <v>0</v>
      </c>
      <c r="P123" s="36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蓄力技",$B$21,0))*(1+$BW123)</f>
        <v>0</v>
      </c>
      <c r="Q123" s="37">
        <v>1</v>
      </c>
      <c r="R123" s="38" t="s">
        <v>79</v>
      </c>
      <c r="S123" s="38" t="s">
        <v>79</v>
      </c>
      <c r="T123" s="38" t="s">
        <v>79</v>
      </c>
      <c r="U123" s="38" t="s">
        <v>79</v>
      </c>
      <c r="V123" s="38" t="s">
        <v>79</v>
      </c>
      <c r="W123" s="38" t="s">
        <v>79</v>
      </c>
      <c r="X123" s="38" t="s">
        <v>79</v>
      </c>
      <c r="Y123" s="38" t="s">
        <v>79</v>
      </c>
      <c r="Z123" s="38" t="s">
        <v>79</v>
      </c>
      <c r="AA123" s="38" t="s">
        <v>79</v>
      </c>
      <c r="AB123" s="38" t="s">
        <v>79</v>
      </c>
      <c r="AC123" s="38" t="s">
        <v>79</v>
      </c>
      <c r="AD123" s="38" t="s">
        <v>79</v>
      </c>
      <c r="AE123" s="38" t="s">
        <v>79</v>
      </c>
      <c r="AF123" s="38" t="s">
        <v>84</v>
      </c>
      <c r="AG123" s="38" t="s">
        <v>79</v>
      </c>
      <c r="AH123" s="38" t="s">
        <v>79</v>
      </c>
      <c r="AI123" s="38" t="s">
        <v>79</v>
      </c>
      <c r="AJ123" s="38" t="s">
        <v>79</v>
      </c>
      <c r="AK123" s="38" t="s">
        <v>79</v>
      </c>
      <c r="AL123" s="38" t="s">
        <v>79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VLOOKUP($R123,武学奇术!$A:$ZZ,27,FALSE)*(1+IF(OR($AM123=$F$4,$AM123=$F$5),$B$22,0))</f>
        <v>0</v>
      </c>
      <c r="AP123" s="24">
        <f>VLOOKUP($R123,武学奇术!$A:$ZZ,28,FALSE)</f>
        <v>0</v>
      </c>
      <c r="AQ123" s="25">
        <f>VLOOKUP($R123,武学奇术!$A:$ZZ,29,FALSE)*(1+IF(OR($AM123=$F$4,$AM123=$F$5),$B$22,0))</f>
        <v>0</v>
      </c>
      <c r="AR123" s="24" cm="1">
        <f t="array" ref="AR123">$G$3+IFERROR(VLOOKUP($AM123,$F$4:$G$7,2,FALSE),0)+VLOOKUP($R123,武学奇术!$A:$ZZ,2,FALSE)+SUM(_xlfn.XLOOKUP($S123:$AL123,增益!$A:$A,增益!$B:$B,0))</f>
        <v>0.1037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3839.102</v>
      </c>
      <c r="AU123" cm="1">
        <f t="array" ref="AU123">$E$10*(1+$AS123)+VLOOKUP($R123,武学奇术!$A:$ZZ,4,FALSE)+SUM(_xlfn.XLOOKUP($S123:$AL123,增益!$A:$A,增益!$D:$D,0))-$I$2</f>
        <v>3839.102</v>
      </c>
      <c r="AV123" s="30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0.167</v>
      </c>
      <c r="AW123" s="30" cm="1">
        <f t="array" ref="AW123">$G$10+VLOOKUP($R123,武学奇术!$A:$ZZ,7,FALSE)+SUM(_xlfn.XLOOKUP($S123:$AL123,增益!$A:$A,增益!$G:$G,0))</f>
        <v>0</v>
      </c>
      <c r="AX123" s="24" cm="1">
        <f t="array" ref="AX123">VLOOKUP($R123,武学奇术!$A:$ZZ,8,FALSE)+SUM(_xlfn.XLOOKUP($S123:$AL123,增益!$A:$A,增益!$H:$H,0))</f>
        <v>0</v>
      </c>
      <c r="AY123">
        <f t="shared" si="14"/>
        <v>0</v>
      </c>
      <c r="AZ123">
        <f t="shared" si="15"/>
        <v>0</v>
      </c>
      <c r="BA123" s="30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0" cm="1">
        <f t="array" ref="BB123">$G$11+VLOOKUP($R123,武学奇术!$A:$ZZ,10,FALSE)+SUM(_xlfn.XLOOKUP($S123:$AL123,增益!$A:$A,增益!$J:$J,0))</f>
        <v>0</v>
      </c>
      <c r="BC123">
        <f t="shared" si="16"/>
        <v>0</v>
      </c>
      <c r="BD123">
        <f t="shared" si="17"/>
        <v>0</v>
      </c>
      <c r="BE123" s="30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0" cm="1">
        <f t="array" ref="BF123">$G$12+VLOOKUP($R123,武学奇术!$A:$ZZ,12,FALSE)+SUM(_xlfn.XLOOKUP($S123:$AL123,增益!$A:$A,增益!$L:$L,0))</f>
        <v>0</v>
      </c>
      <c r="BG123">
        <f t="shared" si="18"/>
        <v>0</v>
      </c>
      <c r="BH123">
        <f t="shared" si="19"/>
        <v>0</v>
      </c>
      <c r="BI123" s="30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-0.3</v>
      </c>
      <c r="BJ123" s="30" cm="1">
        <f t="array" ref="BJ123">$G$13+VLOOKUP($R123,武学奇术!$A:$ZZ,14,FALSE)+SUM(_xlfn.XLOOKUP($S123:$AL123,增益!$A:$A,增益!$N:$N,0))</f>
        <v>0</v>
      </c>
      <c r="BK123">
        <f t="shared" si="20"/>
        <v>605.472</v>
      </c>
      <c r="BL123">
        <f t="shared" si="21"/>
        <v>1725.468</v>
      </c>
      <c r="BM123" s="30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0</v>
      </c>
      <c r="BN123" s="30" cm="1">
        <f t="array" ref="BN123">$G$14+VLOOKUP($R123,武学奇术!$A:$ZZ,16,FALSE)+SUM(_xlfn.XLOOKUP($S123:$AL123,增益!$A:$A,增益!$P:$P,0))</f>
        <v>0.15</v>
      </c>
      <c r="BO123" s="24">
        <f>MIN(IF(VLOOKUP($R123,武学奇术!$A:$ZZ,23,FALSE)=1,100%,$B$8),100%)</f>
        <v>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+MIN(IF(VLOOKUP($R123,武学奇术!$A:$ZZ,32,FALSE)=1,IF(VLOOKUP($R123,武学奇术!$A:$ZZ,24,FALSE)=1,100%,MIN(40%,$B$10+VLOOKUP($R123,武学奇术!$A:$ZZ,19,FALSE)+SUM(_xlfn.XLOOKUP($S123:$AL123,增益!$A:$A,增益!$S:$S,0)))+$B$12+SUM(_xlfn.XLOOKUP($S123:$AL123,增益!$A:$A,增益!$V:$V,0))),0),12%)</f>
        <v>0.9036</v>
      </c>
      <c r="BQ123" s="24" cm="1">
        <f t="array" ref="BQ123">1+$B$13+VLOOKUP($R123,武学奇术!$A:$ZZ,18,FALSE)+SUM(_xlfn.XLOOKUP($S123:$AL123,增益!$A:$A,增益!$R:$R,0))</f>
        <v>1.54</v>
      </c>
      <c r="BR123" s="24" cm="1">
        <f t="array" ref="BR123">MAX(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-IF(VLOOKUP($R123,武学奇术!$A:$ZZ,32,FALSE)=1,12%,0),0)</f>
        <v>0.0929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2"/>
        <v>0.9036</v>
      </c>
      <c r="BU123" s="24">
        <f t="shared" si="23"/>
        <v>0.00350000000000006</v>
      </c>
      <c r="BV123" s="24">
        <f>IF(VLOOKUP($R123,武学奇术!$A:$ZZ,22,FALSE)=1,0,(1-$BO123))*(1-$BR123)</f>
        <v>0</v>
      </c>
      <c r="BW123" s="24" cm="1">
        <f t="array" ref="BW123">SUM(_xlfn.XLOOKUP($S123:$AL123,增益!$A:$A,增益!$W:$W,0))+$I$5</f>
        <v>0.11</v>
      </c>
      <c r="BX123" s="24" cm="1">
        <f t="array" ref="BX123">SUM(_xlfn.XLOOKUP($S123:$AL123,增益!$A:$A,增益!$X:$X,0))</f>
        <v>0</v>
      </c>
    </row>
    <row r="124" spans="11:76">
      <c r="K124">
        <f>$L124*VLOOKUP($R124,武学奇术!$A:$ZZ,31,FALSE)</f>
        <v>0</v>
      </c>
      <c r="L124" s="36">
        <f t="shared" si="26"/>
        <v>0</v>
      </c>
      <c r="M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BQ124*$Q124*(1+IF(VLOOKUP($R124,武学奇术!$A:$ZZ,30,FALSE)="蓄力技",$B$21,0))*(1+$BW124)</f>
        <v>0</v>
      </c>
      <c r="N124" s="36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蓄力技",$B$21,0))*(1+$BW124)</f>
        <v>0</v>
      </c>
      <c r="O124" s="36">
        <f>((($AT124+($AU124-$AT124)*IF(VLOOKUP($R124,武学奇术!$A:$ZZ,31,FALSE)=1,$F$18,0.5))*$AN124+$AO124)*(1+$AV124)*(1+$AW124)+(($AY124+($AZ124-$AY124)*IF(VLOOKUP($R124,武学奇术!$A:$ZZ,31,FALSE)=1,$F$18,0.5))*IF($G$1="鸣金",$AP124,$AN124)+IF($G$1="鸣金",$AQ124*1.5,0))*(1+$BA124)*(1+$BB124)+(($BC124+($BD124-$BC124)*IF(VLOOKUP($R124,武学奇术!$A:$ZZ,31,FALSE)=1,$F$18,0.5))*IF($G$1="裂石",$AP124,$AN124)+IF($G$1="裂石",$AQ124*1.5,0))*(1+$BE124)*(1+$BF124)+(($BG124+($BH124-$BG124)*IF(VLOOKUP($R124,武学奇术!$A:$ZZ,31,FALSE)=1,$F$18,0.5))*IF($G$1="牵丝",$AP124,$AN124)+IF($G$1="牵丝",$AQ124*1.5,0))*(1+$BI124)*(1+$BJ124)+(($BK124+($BL124-$BK124)*IF(VLOOKUP($R124,武学奇术!$A:$ZZ,31,FALSE)=1,$F$18,0.5))*IF($G$1="破竹",$AP124,$AN124)+IF($G$1="破竹",$AQ124*1.5,0))*(1+$BM124)*(1+$BN124))*(1+$AR124)*$Q124*(1+IF(VLOOKUP($R124,武学奇术!$A:$ZZ,30,FALSE)="蓄力技",$B$21,0))*(1+$BW124)</f>
        <v>0</v>
      </c>
      <c r="P124" s="36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蓄力技",$B$21,0))*(1+$BW124)</f>
        <v>0</v>
      </c>
      <c r="Q124" s="37">
        <v>1</v>
      </c>
      <c r="R124" s="38" t="s">
        <v>79</v>
      </c>
      <c r="S124" s="38" t="s">
        <v>79</v>
      </c>
      <c r="T124" s="38" t="s">
        <v>79</v>
      </c>
      <c r="U124" s="38" t="s">
        <v>79</v>
      </c>
      <c r="V124" s="38" t="s">
        <v>79</v>
      </c>
      <c r="W124" s="38" t="s">
        <v>79</v>
      </c>
      <c r="X124" s="38" t="s">
        <v>79</v>
      </c>
      <c r="Y124" s="38" t="s">
        <v>79</v>
      </c>
      <c r="Z124" s="38" t="s">
        <v>79</v>
      </c>
      <c r="AA124" s="38" t="s">
        <v>79</v>
      </c>
      <c r="AB124" s="38" t="s">
        <v>79</v>
      </c>
      <c r="AC124" s="38" t="s">
        <v>79</v>
      </c>
      <c r="AD124" s="38" t="s">
        <v>79</v>
      </c>
      <c r="AE124" s="38" t="s">
        <v>79</v>
      </c>
      <c r="AF124" s="38" t="s">
        <v>84</v>
      </c>
      <c r="AG124" s="38" t="s">
        <v>79</v>
      </c>
      <c r="AH124" s="38" t="s">
        <v>79</v>
      </c>
      <c r="AI124" s="38" t="s">
        <v>79</v>
      </c>
      <c r="AJ124" s="38" t="s">
        <v>79</v>
      </c>
      <c r="AK124" s="38" t="s">
        <v>79</v>
      </c>
      <c r="AL124" s="38" t="s">
        <v>79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VLOOKUP($R124,武学奇术!$A:$ZZ,27,FALSE)*(1+IF(OR($AM124=$F$4,$AM124=$F$5),$B$22,0))</f>
        <v>0</v>
      </c>
      <c r="AP124" s="24">
        <f>VLOOKUP($R124,武学奇术!$A:$ZZ,28,FALSE)</f>
        <v>0</v>
      </c>
      <c r="AQ124" s="25">
        <f>VLOOKUP($R124,武学奇术!$A:$ZZ,29,FALSE)*(1+IF(OR($AM124=$F$4,$AM124=$F$5),$B$22,0))</f>
        <v>0</v>
      </c>
      <c r="AR124" s="24" cm="1">
        <f t="array" ref="AR124">$G$3+IFERROR(VLOOKUP($AM124,$F$4:$G$7,2,FALSE),0)+VLOOKUP($R124,武学奇术!$A:$ZZ,2,FALSE)+SUM(_xlfn.XLOOKUP($S124:$AL124,增益!$A:$A,增益!$B:$B,0))</f>
        <v>0.1037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3839.102</v>
      </c>
      <c r="AU124" cm="1">
        <f t="array" ref="AU124">$E$10*(1+$AS124)+VLOOKUP($R124,武学奇术!$A:$ZZ,4,FALSE)+SUM(_xlfn.XLOOKUP($S124:$AL124,增益!$A:$A,增益!$D:$D,0))-$I$2</f>
        <v>3839.102</v>
      </c>
      <c r="AV124" s="30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0.167</v>
      </c>
      <c r="AW124" s="30" cm="1">
        <f t="array" ref="AW124">$G$10+VLOOKUP($R124,武学奇术!$A:$ZZ,7,FALSE)+SUM(_xlfn.XLOOKUP($S124:$AL124,增益!$A:$A,增益!$G:$G,0))</f>
        <v>0</v>
      </c>
      <c r="AX124" s="24" cm="1">
        <f t="array" ref="AX124">VLOOKUP($R124,武学奇术!$A:$ZZ,8,FALSE)+SUM(_xlfn.XLOOKUP($S124:$AL124,增益!$A:$A,增益!$H:$H,0))</f>
        <v>0</v>
      </c>
      <c r="AY124">
        <f t="shared" si="14"/>
        <v>0</v>
      </c>
      <c r="AZ124">
        <f t="shared" si="15"/>
        <v>0</v>
      </c>
      <c r="BA124" s="30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0" cm="1">
        <f t="array" ref="BB124">$G$11+VLOOKUP($R124,武学奇术!$A:$ZZ,10,FALSE)+SUM(_xlfn.XLOOKUP($S124:$AL124,增益!$A:$A,增益!$J:$J,0))</f>
        <v>0</v>
      </c>
      <c r="BC124">
        <f t="shared" si="16"/>
        <v>0</v>
      </c>
      <c r="BD124">
        <f t="shared" si="17"/>
        <v>0</v>
      </c>
      <c r="BE124" s="30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0" cm="1">
        <f t="array" ref="BF124">$G$12+VLOOKUP($R124,武学奇术!$A:$ZZ,12,FALSE)+SUM(_xlfn.XLOOKUP($S124:$AL124,增益!$A:$A,增益!$L:$L,0))</f>
        <v>0</v>
      </c>
      <c r="BG124">
        <f t="shared" si="18"/>
        <v>0</v>
      </c>
      <c r="BH124">
        <f t="shared" si="19"/>
        <v>0</v>
      </c>
      <c r="BI124" s="30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-0.3</v>
      </c>
      <c r="BJ124" s="30" cm="1">
        <f t="array" ref="BJ124">$G$13+VLOOKUP($R124,武学奇术!$A:$ZZ,14,FALSE)+SUM(_xlfn.XLOOKUP($S124:$AL124,增益!$A:$A,增益!$N:$N,0))</f>
        <v>0</v>
      </c>
      <c r="BK124">
        <f t="shared" si="20"/>
        <v>605.472</v>
      </c>
      <c r="BL124">
        <f t="shared" si="21"/>
        <v>1725.468</v>
      </c>
      <c r="BM124" s="30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0</v>
      </c>
      <c r="BN124" s="30" cm="1">
        <f t="array" ref="BN124">$G$14+VLOOKUP($R124,武学奇术!$A:$ZZ,16,FALSE)+SUM(_xlfn.XLOOKUP($S124:$AL124,增益!$A:$A,增益!$P:$P,0))</f>
        <v>0.15</v>
      </c>
      <c r="BO124" s="24">
        <f>MIN(IF(VLOOKUP($R124,武学奇术!$A:$ZZ,23,FALSE)=1,100%,$B$8),100%)</f>
        <v>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+MIN(IF(VLOOKUP($R124,武学奇术!$A:$ZZ,32,FALSE)=1,IF(VLOOKUP($R124,武学奇术!$A:$ZZ,24,FALSE)=1,100%,MIN(40%,$B$10+VLOOKUP($R124,武学奇术!$A:$ZZ,19,FALSE)+SUM(_xlfn.XLOOKUP($S124:$AL124,增益!$A:$A,增益!$S:$S,0)))+$B$12+SUM(_xlfn.XLOOKUP($S124:$AL124,增益!$A:$A,增益!$V:$V,0))),0),12%)</f>
        <v>0.9036</v>
      </c>
      <c r="BQ124" s="24" cm="1">
        <f t="array" ref="BQ124">1+$B$13+VLOOKUP($R124,武学奇术!$A:$ZZ,18,FALSE)+SUM(_xlfn.XLOOKUP($S124:$AL124,增益!$A:$A,增益!$R:$R,0))</f>
        <v>1.54</v>
      </c>
      <c r="BR124" s="24" cm="1">
        <f t="array" ref="BR124">MAX(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-IF(VLOOKUP($R124,武学奇术!$A:$ZZ,32,FALSE)=1,12%,0),0)</f>
        <v>0.0929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2"/>
        <v>0.9036</v>
      </c>
      <c r="BU124" s="24">
        <f t="shared" si="23"/>
        <v>0.00350000000000006</v>
      </c>
      <c r="BV124" s="24">
        <f>IF(VLOOKUP($R124,武学奇术!$A:$ZZ,22,FALSE)=1,0,(1-$BO124))*(1-$BR124)</f>
        <v>0</v>
      </c>
      <c r="BW124" s="24" cm="1">
        <f t="array" ref="BW124">SUM(_xlfn.XLOOKUP($S124:$AL124,增益!$A:$A,增益!$W:$W,0))+$I$5</f>
        <v>0.11</v>
      </c>
      <c r="BX124" s="24" cm="1">
        <f t="array" ref="BX124">SUM(_xlfn.XLOOKUP($S124:$AL124,增益!$A:$A,增益!$X:$X,0))</f>
        <v>0</v>
      </c>
    </row>
    <row r="125" spans="11:76">
      <c r="K125">
        <f>$L125*VLOOKUP($R125,武学奇术!$A:$ZZ,31,FALSE)</f>
        <v>0</v>
      </c>
      <c r="L125" s="36">
        <f t="shared" si="26"/>
        <v>0</v>
      </c>
      <c r="M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BQ125*$Q125*(1+IF(VLOOKUP($R125,武学奇术!$A:$ZZ,30,FALSE)="蓄力技",$B$21,0))*(1+$BW125)</f>
        <v>0</v>
      </c>
      <c r="N125" s="36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蓄力技",$B$21,0))*(1+$BW125)</f>
        <v>0</v>
      </c>
      <c r="O125" s="36">
        <f>((($AT125+($AU125-$AT125)*IF(VLOOKUP($R125,武学奇术!$A:$ZZ,31,FALSE)=1,$F$18,0.5))*$AN125+$AO125)*(1+$AV125)*(1+$AW125)+(($AY125+($AZ125-$AY125)*IF(VLOOKUP($R125,武学奇术!$A:$ZZ,31,FALSE)=1,$F$18,0.5))*IF($G$1="鸣金",$AP125,$AN125)+IF($G$1="鸣金",$AQ125*1.5,0))*(1+$BA125)*(1+$BB125)+(($BC125+($BD125-$BC125)*IF(VLOOKUP($R125,武学奇术!$A:$ZZ,31,FALSE)=1,$F$18,0.5))*IF($G$1="裂石",$AP125,$AN125)+IF($G$1="裂石",$AQ125*1.5,0))*(1+$BE125)*(1+$BF125)+(($BG125+($BH125-$BG125)*IF(VLOOKUP($R125,武学奇术!$A:$ZZ,31,FALSE)=1,$F$18,0.5))*IF($G$1="牵丝",$AP125,$AN125)+IF($G$1="牵丝",$AQ125*1.5,0))*(1+$BI125)*(1+$BJ125)+(($BK125+($BL125-$BK125)*IF(VLOOKUP($R125,武学奇术!$A:$ZZ,31,FALSE)=1,$F$18,0.5))*IF($G$1="破竹",$AP125,$AN125)+IF($G$1="破竹",$AQ125*1.5,0))*(1+$BM125)*(1+$BN125))*(1+$AR125)*$Q125*(1+IF(VLOOKUP($R125,武学奇术!$A:$ZZ,30,FALSE)="蓄力技",$B$21,0))*(1+$BW125)</f>
        <v>0</v>
      </c>
      <c r="P125" s="36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蓄力技",$B$21,0))*(1+$BW125)</f>
        <v>0</v>
      </c>
      <c r="Q125" s="37">
        <v>1</v>
      </c>
      <c r="R125" s="38" t="s">
        <v>79</v>
      </c>
      <c r="S125" s="38" t="s">
        <v>79</v>
      </c>
      <c r="T125" s="38" t="s">
        <v>79</v>
      </c>
      <c r="U125" s="38" t="s">
        <v>79</v>
      </c>
      <c r="V125" s="38" t="s">
        <v>79</v>
      </c>
      <c r="W125" s="38" t="s">
        <v>79</v>
      </c>
      <c r="X125" s="38" t="s">
        <v>79</v>
      </c>
      <c r="Y125" s="38" t="s">
        <v>79</v>
      </c>
      <c r="Z125" s="38" t="s">
        <v>79</v>
      </c>
      <c r="AA125" s="38" t="s">
        <v>79</v>
      </c>
      <c r="AB125" s="38" t="s">
        <v>79</v>
      </c>
      <c r="AC125" s="38" t="s">
        <v>79</v>
      </c>
      <c r="AD125" s="38" t="s">
        <v>79</v>
      </c>
      <c r="AE125" s="38" t="s">
        <v>79</v>
      </c>
      <c r="AF125" s="38" t="s">
        <v>84</v>
      </c>
      <c r="AG125" s="38" t="s">
        <v>79</v>
      </c>
      <c r="AH125" s="38" t="s">
        <v>79</v>
      </c>
      <c r="AI125" s="38" t="s">
        <v>79</v>
      </c>
      <c r="AJ125" s="38" t="s">
        <v>79</v>
      </c>
      <c r="AK125" s="38" t="s">
        <v>79</v>
      </c>
      <c r="AL125" s="38" t="s">
        <v>79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VLOOKUP($R125,武学奇术!$A:$ZZ,27,FALSE)*(1+IF(OR($AM125=$F$4,$AM125=$F$5),$B$22,0))</f>
        <v>0</v>
      </c>
      <c r="AP125" s="24">
        <f>VLOOKUP($R125,武学奇术!$A:$ZZ,28,FALSE)</f>
        <v>0</v>
      </c>
      <c r="AQ125" s="25">
        <f>VLOOKUP($R125,武学奇术!$A:$ZZ,29,FALSE)*(1+IF(OR($AM125=$F$4,$AM125=$F$5),$B$22,0))</f>
        <v>0</v>
      </c>
      <c r="AR125" s="24" cm="1">
        <f t="array" ref="AR125">$G$3+IFERROR(VLOOKUP($AM125,$F$4:$G$7,2,FALSE),0)+VLOOKUP($R125,武学奇术!$A:$ZZ,2,FALSE)+SUM(_xlfn.XLOOKUP($S125:$AL125,增益!$A:$A,增益!$B:$B,0))</f>
        <v>0.1037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3839.102</v>
      </c>
      <c r="AU125" cm="1">
        <f t="array" ref="AU125">$E$10*(1+$AS125)+VLOOKUP($R125,武学奇术!$A:$ZZ,4,FALSE)+SUM(_xlfn.XLOOKUP($S125:$AL125,增益!$A:$A,增益!$D:$D,0))-$I$2</f>
        <v>3839.102</v>
      </c>
      <c r="AV125" s="30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0.167</v>
      </c>
      <c r="AW125" s="30" cm="1">
        <f t="array" ref="AW125">$G$10+VLOOKUP($R125,武学奇术!$A:$ZZ,7,FALSE)+SUM(_xlfn.XLOOKUP($S125:$AL125,增益!$A:$A,增益!$G:$G,0))</f>
        <v>0</v>
      </c>
      <c r="AX125" s="24" cm="1">
        <f t="array" ref="AX125">VLOOKUP($R125,武学奇术!$A:$ZZ,8,FALSE)+SUM(_xlfn.XLOOKUP($S125:$AL125,增益!$A:$A,增益!$H:$H,0))</f>
        <v>0</v>
      </c>
      <c r="AY125">
        <f t="shared" si="14"/>
        <v>0</v>
      </c>
      <c r="AZ125">
        <f t="shared" si="15"/>
        <v>0</v>
      </c>
      <c r="BA125" s="30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0" cm="1">
        <f t="array" ref="BB125">$G$11+VLOOKUP($R125,武学奇术!$A:$ZZ,10,FALSE)+SUM(_xlfn.XLOOKUP($S125:$AL125,增益!$A:$A,增益!$J:$J,0))</f>
        <v>0</v>
      </c>
      <c r="BC125">
        <f t="shared" si="16"/>
        <v>0</v>
      </c>
      <c r="BD125">
        <f t="shared" si="17"/>
        <v>0</v>
      </c>
      <c r="BE125" s="30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0" cm="1">
        <f t="array" ref="BF125">$G$12+VLOOKUP($R125,武学奇术!$A:$ZZ,12,FALSE)+SUM(_xlfn.XLOOKUP($S125:$AL125,增益!$A:$A,增益!$L:$L,0))</f>
        <v>0</v>
      </c>
      <c r="BG125">
        <f t="shared" si="18"/>
        <v>0</v>
      </c>
      <c r="BH125">
        <f t="shared" si="19"/>
        <v>0</v>
      </c>
      <c r="BI125" s="30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-0.3</v>
      </c>
      <c r="BJ125" s="30" cm="1">
        <f t="array" ref="BJ125">$G$13+VLOOKUP($R125,武学奇术!$A:$ZZ,14,FALSE)+SUM(_xlfn.XLOOKUP($S125:$AL125,增益!$A:$A,增益!$N:$N,0))</f>
        <v>0</v>
      </c>
      <c r="BK125">
        <f t="shared" si="20"/>
        <v>605.472</v>
      </c>
      <c r="BL125">
        <f t="shared" si="21"/>
        <v>1725.468</v>
      </c>
      <c r="BM125" s="30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0</v>
      </c>
      <c r="BN125" s="30" cm="1">
        <f t="array" ref="BN125">$G$14+VLOOKUP($R125,武学奇术!$A:$ZZ,16,FALSE)+SUM(_xlfn.XLOOKUP($S125:$AL125,增益!$A:$A,增益!$P:$P,0))</f>
        <v>0.15</v>
      </c>
      <c r="BO125" s="24">
        <f>MIN(IF(VLOOKUP($R125,武学奇术!$A:$ZZ,23,FALSE)=1,100%,$B$8),100%)</f>
        <v>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+MIN(IF(VLOOKUP($R125,武学奇术!$A:$ZZ,32,FALSE)=1,IF(VLOOKUP($R125,武学奇术!$A:$ZZ,24,FALSE)=1,100%,MIN(40%,$B$10+VLOOKUP($R125,武学奇术!$A:$ZZ,19,FALSE)+SUM(_xlfn.XLOOKUP($S125:$AL125,增益!$A:$A,增益!$S:$S,0)))+$B$12+SUM(_xlfn.XLOOKUP($S125:$AL125,增益!$A:$A,增益!$V:$V,0))),0),12%)</f>
        <v>0.9036</v>
      </c>
      <c r="BQ125" s="24" cm="1">
        <f t="array" ref="BQ125">1+$B$13+VLOOKUP($R125,武学奇术!$A:$ZZ,18,FALSE)+SUM(_xlfn.XLOOKUP($S125:$AL125,增益!$A:$A,增益!$R:$R,0))</f>
        <v>1.54</v>
      </c>
      <c r="BR125" s="24" cm="1">
        <f t="array" ref="BR125">MAX(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-IF(VLOOKUP($R125,武学奇术!$A:$ZZ,32,FALSE)=1,12%,0),0)</f>
        <v>0.0929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2"/>
        <v>0.9036</v>
      </c>
      <c r="BU125" s="24">
        <f t="shared" si="23"/>
        <v>0.00350000000000006</v>
      </c>
      <c r="BV125" s="24">
        <f>IF(VLOOKUP($R125,武学奇术!$A:$ZZ,22,FALSE)=1,0,(1-$BO125))*(1-$BR125)</f>
        <v>0</v>
      </c>
      <c r="BW125" s="24" cm="1">
        <f t="array" ref="BW125">SUM(_xlfn.XLOOKUP($S125:$AL125,增益!$A:$A,增益!$W:$W,0))+$I$5</f>
        <v>0.11</v>
      </c>
      <c r="BX125" s="24" cm="1">
        <f t="array" ref="BX125">SUM(_xlfn.XLOOKUP($S125:$AL125,增益!$A:$A,增益!$X:$X,0))</f>
        <v>0</v>
      </c>
    </row>
    <row r="126" spans="11:76">
      <c r="K126">
        <f>$L126*VLOOKUP($R126,武学奇术!$A:$ZZ,31,FALSE)</f>
        <v>0</v>
      </c>
      <c r="L126" s="36">
        <f t="shared" si="26"/>
        <v>0</v>
      </c>
      <c r="M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BQ126*$Q126*(1+IF(VLOOKUP($R126,武学奇术!$A:$ZZ,30,FALSE)="蓄力技",$B$21,0))*(1+$BW126)</f>
        <v>0</v>
      </c>
      <c r="N126" s="36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蓄力技",$B$21,0))*(1+$BW126)</f>
        <v>0</v>
      </c>
      <c r="O126" s="36">
        <f>((($AT126+($AU126-$AT126)*IF(VLOOKUP($R126,武学奇术!$A:$ZZ,31,FALSE)=1,$F$18,0.5))*$AN126+$AO126)*(1+$AV126)*(1+$AW126)+(($AY126+($AZ126-$AY126)*IF(VLOOKUP($R126,武学奇术!$A:$ZZ,31,FALSE)=1,$F$18,0.5))*IF($G$1="鸣金",$AP126,$AN126)+IF($G$1="鸣金",$AQ126*1.5,0))*(1+$BA126)*(1+$BB126)+(($BC126+($BD126-$BC126)*IF(VLOOKUP($R126,武学奇术!$A:$ZZ,31,FALSE)=1,$F$18,0.5))*IF($G$1="裂石",$AP126,$AN126)+IF($G$1="裂石",$AQ126*1.5,0))*(1+$BE126)*(1+$BF126)+(($BG126+($BH126-$BG126)*IF(VLOOKUP($R126,武学奇术!$A:$ZZ,31,FALSE)=1,$F$18,0.5))*IF($G$1="牵丝",$AP126,$AN126)+IF($G$1="牵丝",$AQ126*1.5,0))*(1+$BI126)*(1+$BJ126)+(($BK126+($BL126-$BK126)*IF(VLOOKUP($R126,武学奇术!$A:$ZZ,31,FALSE)=1,$F$18,0.5))*IF($G$1="破竹",$AP126,$AN126)+IF($G$1="破竹",$AQ126*1.5,0))*(1+$BM126)*(1+$BN126))*(1+$AR126)*$Q126*(1+IF(VLOOKUP($R126,武学奇术!$A:$ZZ,30,FALSE)="蓄力技",$B$21,0))*(1+$BW126)</f>
        <v>0</v>
      </c>
      <c r="P126" s="36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蓄力技",$B$21,0))*(1+$BW126)</f>
        <v>0</v>
      </c>
      <c r="Q126" s="37">
        <v>1</v>
      </c>
      <c r="R126" s="38" t="s">
        <v>79</v>
      </c>
      <c r="S126" s="38" t="s">
        <v>79</v>
      </c>
      <c r="T126" s="38" t="s">
        <v>79</v>
      </c>
      <c r="U126" s="38" t="s">
        <v>79</v>
      </c>
      <c r="V126" s="38" t="s">
        <v>79</v>
      </c>
      <c r="W126" s="38" t="s">
        <v>79</v>
      </c>
      <c r="X126" s="38" t="s">
        <v>79</v>
      </c>
      <c r="Y126" s="38" t="s">
        <v>79</v>
      </c>
      <c r="Z126" s="38" t="s">
        <v>79</v>
      </c>
      <c r="AA126" s="38" t="s">
        <v>79</v>
      </c>
      <c r="AB126" s="38" t="s">
        <v>79</v>
      </c>
      <c r="AC126" s="38" t="s">
        <v>79</v>
      </c>
      <c r="AD126" s="38" t="s">
        <v>79</v>
      </c>
      <c r="AE126" s="38" t="s">
        <v>79</v>
      </c>
      <c r="AF126" s="38" t="s">
        <v>84</v>
      </c>
      <c r="AG126" s="38" t="s">
        <v>79</v>
      </c>
      <c r="AH126" s="38" t="s">
        <v>79</v>
      </c>
      <c r="AI126" s="38" t="s">
        <v>79</v>
      </c>
      <c r="AJ126" s="38" t="s">
        <v>79</v>
      </c>
      <c r="AK126" s="38" t="s">
        <v>79</v>
      </c>
      <c r="AL126" s="38" t="s">
        <v>79</v>
      </c>
      <c r="AM126" t="str">
        <f>VLOOKUP($R126,武学奇术!$A:$ZZ,25,FALSE)</f>
        <v>心法</v>
      </c>
      <c r="AN126" s="24">
        <f>VLOOKUP($R126,武学奇术!$A:$ZZ,26,FALSE)</f>
        <v>0</v>
      </c>
      <c r="AO126" s="25">
        <f>VLOOKUP($R126,武学奇术!$A:$ZZ,27,FALSE)*(1+IF(OR($AM126=$F$4,$AM126=$F$5),$B$22,0))</f>
        <v>0</v>
      </c>
      <c r="AP126" s="24">
        <f>VLOOKUP($R126,武学奇术!$A:$ZZ,28,FALSE)</f>
        <v>0</v>
      </c>
      <c r="AQ126" s="25">
        <f>VLOOKUP($R126,武学奇术!$A:$ZZ,29,FALSE)*(1+IF(OR($AM126=$F$4,$AM126=$F$5),$B$22,0))</f>
        <v>0</v>
      </c>
      <c r="AR126" s="24" cm="1">
        <f t="array" ref="AR126">$G$3+IFERROR(VLOOKUP($AM126,$F$4:$G$7,2,FALSE),0)+VLOOKUP($R126,武学奇术!$A:$ZZ,2,FALSE)+SUM(_xlfn.XLOOKUP($S126:$AL126,增益!$A:$A,增益!$B:$B,0))</f>
        <v>0.1037</v>
      </c>
      <c r="AS126" s="24" cm="1">
        <f t="array" ref="AS126">VLOOKUP($R126,武学奇术!$A:$ZZ,5,FALSE)+SUM(_xlfn.XLOOKUP($S126:$AL126,增益!$A:$A,增益!$E:$E,0))</f>
        <v>0</v>
      </c>
      <c r="AT126" cm="1">
        <f t="array" ref="AT126">$D$10*(1+$AS126)+VLOOKUP($R126,武学奇术!$A:$ZZ,3,FALSE)+SUM(_xlfn.XLOOKUP($S126:$AL126,增益!$A:$A,增益!$C:$C,0))-$I$2</f>
        <v>3839.102</v>
      </c>
      <c r="AU126" cm="1">
        <f t="array" ref="AU126">$E$10*(1+$AS126)+VLOOKUP($R126,武学奇术!$A:$ZZ,4,FALSE)+SUM(_xlfn.XLOOKUP($S126:$AL126,增益!$A:$A,增益!$D:$D,0))-$I$2</f>
        <v>3839.102</v>
      </c>
      <c r="AV126" s="30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0.167</v>
      </c>
      <c r="AW126" s="30" cm="1">
        <f t="array" ref="AW126">$G$10+VLOOKUP($R126,武学奇术!$A:$ZZ,7,FALSE)+SUM(_xlfn.XLOOKUP($S126:$AL126,增益!$A:$A,增益!$G:$G,0))</f>
        <v>0</v>
      </c>
      <c r="AX126" s="24" cm="1">
        <f t="array" ref="AX126">VLOOKUP($R126,武学奇术!$A:$ZZ,8,FALSE)+SUM(_xlfn.XLOOKUP($S126:$AL126,增益!$A:$A,增益!$H:$H,0))</f>
        <v>0</v>
      </c>
      <c r="AY126">
        <f t="shared" si="14"/>
        <v>0</v>
      </c>
      <c r="AZ126">
        <f t="shared" si="15"/>
        <v>0</v>
      </c>
      <c r="BA126" s="30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0" cm="1">
        <f t="array" ref="BB126">$G$11+VLOOKUP($R126,武学奇术!$A:$ZZ,10,FALSE)+SUM(_xlfn.XLOOKUP($S126:$AL126,增益!$A:$A,增益!$J:$J,0))</f>
        <v>0</v>
      </c>
      <c r="BC126">
        <f t="shared" si="16"/>
        <v>0</v>
      </c>
      <c r="BD126">
        <f t="shared" si="17"/>
        <v>0</v>
      </c>
      <c r="BE126" s="30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0" cm="1">
        <f t="array" ref="BF126">$G$12+VLOOKUP($R126,武学奇术!$A:$ZZ,12,FALSE)+SUM(_xlfn.XLOOKUP($S126:$AL126,增益!$A:$A,增益!$L:$L,0))</f>
        <v>0</v>
      </c>
      <c r="BG126">
        <f t="shared" si="18"/>
        <v>0</v>
      </c>
      <c r="BH126">
        <f t="shared" si="19"/>
        <v>0</v>
      </c>
      <c r="BI126" s="30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-0.3</v>
      </c>
      <c r="BJ126" s="30" cm="1">
        <f t="array" ref="BJ126">$G$13+VLOOKUP($R126,武学奇术!$A:$ZZ,14,FALSE)+SUM(_xlfn.XLOOKUP($S126:$AL126,增益!$A:$A,增益!$N:$N,0))</f>
        <v>0</v>
      </c>
      <c r="BK126">
        <f t="shared" si="20"/>
        <v>605.472</v>
      </c>
      <c r="BL126">
        <f t="shared" si="21"/>
        <v>1725.468</v>
      </c>
      <c r="BM126" s="30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0</v>
      </c>
      <c r="BN126" s="30" cm="1">
        <f t="array" ref="BN126">$G$14+VLOOKUP($R126,武学奇术!$A:$ZZ,16,FALSE)+SUM(_xlfn.XLOOKUP($S126:$AL126,增益!$A:$A,增益!$P:$P,0))</f>
        <v>0.15</v>
      </c>
      <c r="BO126" s="24">
        <f>MIN(IF(VLOOKUP($R126,武学奇术!$A:$ZZ,23,FALSE)=1,100%,$B$8),100%)</f>
        <v>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+MIN(IF(VLOOKUP($R126,武学奇术!$A:$ZZ,32,FALSE)=1,IF(VLOOKUP($R126,武学奇术!$A:$ZZ,24,FALSE)=1,100%,MIN(40%,$B$10+VLOOKUP($R126,武学奇术!$A:$ZZ,19,FALSE)+SUM(_xlfn.XLOOKUP($S126:$AL126,增益!$A:$A,增益!$S:$S,0)))+$B$12+SUM(_xlfn.XLOOKUP($S126:$AL126,增益!$A:$A,增益!$V:$V,0))),0),12%)</f>
        <v>0.9036</v>
      </c>
      <c r="BQ126" s="24" cm="1">
        <f t="array" ref="BQ126">1+$B$13+VLOOKUP($R126,武学奇术!$A:$ZZ,18,FALSE)+SUM(_xlfn.XLOOKUP($S126:$AL126,增益!$A:$A,增益!$R:$R,0))</f>
        <v>1.54</v>
      </c>
      <c r="BR126" s="24" cm="1">
        <f t="array" ref="BR126">MAX(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-IF(VLOOKUP($R126,武学奇术!$A:$ZZ,32,FALSE)=1,12%,0),0)</f>
        <v>0.0929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2"/>
        <v>0.9036</v>
      </c>
      <c r="BU126" s="24">
        <f t="shared" si="23"/>
        <v>0.00350000000000006</v>
      </c>
      <c r="BV126" s="24">
        <f>IF(VLOOKUP($R126,武学奇术!$A:$ZZ,22,FALSE)=1,0,(1-$BO126))*(1-$BR126)</f>
        <v>0</v>
      </c>
      <c r="BW126" s="24" cm="1">
        <f t="array" ref="BW126">SUM(_xlfn.XLOOKUP($S126:$AL126,增益!$A:$A,增益!$W:$W,0))+$I$5</f>
        <v>0.11</v>
      </c>
      <c r="BX126" s="24" cm="1">
        <f t="array" ref="BX126">SUM(_xlfn.XLOOKUP($S126:$AL126,增益!$A:$A,增益!$X:$X,0))</f>
        <v>0</v>
      </c>
    </row>
    <row r="127" spans="11:76">
      <c r="K127">
        <f>$L127*VLOOKUP($R127,武学奇术!$A:$ZZ,31,FALSE)</f>
        <v>16427.6664231727</v>
      </c>
      <c r="L127" s="36">
        <f t="shared" si="26"/>
        <v>16427.6664231727</v>
      </c>
      <c r="M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BQ127*$Q127*(1+IF(VLOOKUP($R127,武学奇术!$A:$ZZ,30,FALSE)="蓄力技",$B$21,0))*(1+$BW127)</f>
        <v>16742.2670353574</v>
      </c>
      <c r="N127" s="36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蓄力技",$B$21,0))*(1+$BW127)</f>
        <v>13640.0135914758</v>
      </c>
      <c r="O127" s="36">
        <f>((($AT127+($AU127-$AT127)*IF(VLOOKUP($R127,武学奇术!$A:$ZZ,31,FALSE)=1,$F$18,0.5))*$AN127+$AO127)*(1+$AV127)*(1+$AW127)+(($AY127+($AZ127-$AY127)*IF(VLOOKUP($R127,武学奇术!$A:$ZZ,31,FALSE)=1,$F$18,0.5))*IF($G$1="鸣金",$AP127,$AN127)+IF($G$1="鸣金",$AQ127*1.5,0))*(1+$BA127)*(1+$BB127)+(($BC127+($BD127-$BC127)*IF(VLOOKUP($R127,武学奇术!$A:$ZZ,31,FALSE)=1,$F$18,0.5))*IF($G$1="裂石",$AP127,$AN127)+IF($G$1="裂石",$AQ127*1.5,0))*(1+$BE127)*(1+$BF127)+(($BG127+($BH127-$BG127)*IF(VLOOKUP($R127,武学奇术!$A:$ZZ,31,FALSE)=1,$F$18,0.5))*IF($G$1="牵丝",$AP127,$AN127)+IF($G$1="牵丝",$AQ127*1.5,0))*(1+$BI127)*(1+$BJ127)+(($BK127+($BL127-$BK127)*IF(VLOOKUP($R127,武学奇术!$A:$ZZ,31,FALSE)=1,$F$18,0.5))*IF($G$1="破竹",$AP127,$AN127)+IF($G$1="破竹",$AQ127*1.5,0))*(1+$BM127)*(1+$BN127))*(1+$AR127)*$Q127*(1+IF(VLOOKUP($R127,武学奇术!$A:$ZZ,30,FALSE)="蓄力技",$B$21,0))*(1+$BW127)</f>
        <v>9199.04782162493</v>
      </c>
      <c r="P127" s="36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蓄力技",$B$21,0))*(1+$BW127)</f>
        <v>8294.38187178629</v>
      </c>
      <c r="Q127" s="37">
        <f t="shared" ref="Q127:Q136" si="27">IF($E$24="易水歌",1,0)</f>
        <v>1</v>
      </c>
      <c r="R127" s="38" t="s">
        <v>202</v>
      </c>
      <c r="S127" s="38" t="s">
        <v>104</v>
      </c>
      <c r="T127" s="38" t="s">
        <v>139</v>
      </c>
      <c r="U127" s="38" t="s">
        <v>79</v>
      </c>
      <c r="V127" s="38" t="s">
        <v>80</v>
      </c>
      <c r="W127" s="38" t="s">
        <v>79</v>
      </c>
      <c r="X127" s="38" t="s">
        <v>79</v>
      </c>
      <c r="Y127" s="38" t="s">
        <v>96</v>
      </c>
      <c r="Z127" s="38" t="s">
        <v>79</v>
      </c>
      <c r="AA127" s="38" t="s">
        <v>79</v>
      </c>
      <c r="AB127" s="38" t="s">
        <v>79</v>
      </c>
      <c r="AC127" s="38" t="s">
        <v>79</v>
      </c>
      <c r="AD127" s="38" t="s">
        <v>79</v>
      </c>
      <c r="AE127" s="38" t="s">
        <v>79</v>
      </c>
      <c r="AF127" s="38" t="s">
        <v>84</v>
      </c>
      <c r="AG127" s="38" t="s">
        <v>85</v>
      </c>
      <c r="AH127" s="38" t="s">
        <v>79</v>
      </c>
      <c r="AI127" s="38" t="s">
        <v>79</v>
      </c>
      <c r="AJ127" s="38" t="s">
        <v>79</v>
      </c>
      <c r="AK127" s="38" t="s">
        <v>79</v>
      </c>
      <c r="AL127" s="38" t="s">
        <v>79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VLOOKUP($R127,武学奇术!$A:$ZZ,27,FALSE)*(1+IF(OR($AM127=$F$4,$AM127=$F$5),$B$22,0))</f>
        <v>0</v>
      </c>
      <c r="AP127" s="24">
        <f>VLOOKUP($R127,武学奇术!$A:$ZZ,28,FALSE)</f>
        <v>1</v>
      </c>
      <c r="AQ127" s="25">
        <f>VLOOKUP($R127,武学奇术!$A:$ZZ,29,FALSE)*(1+IF(OR($AM127=$F$4,$AM127=$F$5),$B$22,0))</f>
        <v>0</v>
      </c>
      <c r="AR127" s="24" cm="1">
        <f t="array" ref="AR127">$G$3+IFERROR(VLOOKUP($AM127,$F$4:$G$7,2,FALSE),0)+VLOOKUP($R127,武学奇术!$A:$ZZ,2,FALSE)+SUM(_xlfn.XLOOKUP($S127:$AL127,增益!$A:$A,增益!$B:$B,0))</f>
        <v>0.1737</v>
      </c>
      <c r="AS127" s="24" cm="1">
        <f t="array" ref="AS127">VLOOKUP($R127,武学奇术!$A:$ZZ,5,FALSE)+SUM(_xlfn.XLOOKUP($S127:$AL127,增益!$A:$A,增益!$E:$E,0))</f>
        <v>0</v>
      </c>
      <c r="AT127" cm="1">
        <f t="array" ref="AT127">$D$10*(1+$AS127)+VLOOKUP($R127,武学奇术!$A:$ZZ,3,FALSE)+SUM(_xlfn.XLOOKUP($S127:$AL127,增益!$A:$A,增益!$C:$C,0))-$I$2</f>
        <v>3839.102</v>
      </c>
      <c r="AU127" cm="1">
        <f t="array" ref="AU127">$E$10*(1+$AS127)+VLOOKUP($R127,武学奇术!$A:$ZZ,4,FALSE)+SUM(_xlfn.XLOOKUP($S127:$AL127,增益!$A:$A,增益!$D:$D,0))-$I$2</f>
        <v>3839.102</v>
      </c>
      <c r="AV127" s="30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0.342</v>
      </c>
      <c r="AW127" s="30" cm="1">
        <f t="array" ref="AW127">$G$10+VLOOKUP($R127,武学奇术!$A:$ZZ,7,FALSE)+SUM(_xlfn.XLOOKUP($S127:$AL127,增益!$A:$A,增益!$G:$G,0))</f>
        <v>0.09</v>
      </c>
      <c r="AX127" s="24" cm="1">
        <f t="array" ref="AX127">VLOOKUP($R127,武学奇术!$A:$ZZ,8,FALSE)+SUM(_xlfn.XLOOKUP($S127:$AL127,增益!$A:$A,增益!$H:$H,0))</f>
        <v>0</v>
      </c>
      <c r="AY127">
        <f t="shared" si="14"/>
        <v>0</v>
      </c>
      <c r="AZ127">
        <f t="shared" si="15"/>
        <v>0</v>
      </c>
      <c r="BA127" s="30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0" cm="1">
        <f t="array" ref="BB127">$G$11+VLOOKUP($R127,武学奇术!$A:$ZZ,10,FALSE)+SUM(_xlfn.XLOOKUP($S127:$AL127,增益!$A:$A,增益!$J:$J,0))</f>
        <v>0</v>
      </c>
      <c r="BC127">
        <f t="shared" si="16"/>
        <v>0</v>
      </c>
      <c r="BD127">
        <f t="shared" si="17"/>
        <v>0</v>
      </c>
      <c r="BE127" s="30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0" cm="1">
        <f t="array" ref="BF127">$G$12+VLOOKUP($R127,武学奇术!$A:$ZZ,12,FALSE)+SUM(_xlfn.XLOOKUP($S127:$AL127,增益!$A:$A,增益!$L:$L,0))</f>
        <v>0</v>
      </c>
      <c r="BG127">
        <f t="shared" si="18"/>
        <v>0</v>
      </c>
      <c r="BH127">
        <f t="shared" si="19"/>
        <v>0</v>
      </c>
      <c r="BI127" s="30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-0.3</v>
      </c>
      <c r="BJ127" s="30" cm="1">
        <f t="array" ref="BJ127">$G$13+VLOOKUP($R127,武学奇术!$A:$ZZ,14,FALSE)+SUM(_xlfn.XLOOKUP($S127:$AL127,增益!$A:$A,增益!$N:$N,0))</f>
        <v>0</v>
      </c>
      <c r="BK127">
        <f t="shared" si="20"/>
        <v>605.472</v>
      </c>
      <c r="BL127">
        <f t="shared" si="21"/>
        <v>1725.468</v>
      </c>
      <c r="BM127" s="30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0</v>
      </c>
      <c r="BN127" s="30" cm="1">
        <f t="array" ref="BN127">$G$14+VLOOKUP($R127,武学奇术!$A:$ZZ,16,FALSE)+SUM(_xlfn.XLOOKUP($S127:$AL127,增益!$A:$A,增益!$P:$P,0))</f>
        <v>0.24</v>
      </c>
      <c r="BO127" s="24">
        <f>MIN(IF(VLOOKUP($R127,武学奇术!$A:$ZZ,23,FALSE)=1,100%,$B$8),100%)</f>
        <v>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+MIN(IF(VLOOKUP($R127,武学奇术!$A:$ZZ,32,FALSE)=1,IF(VLOOKUP($R127,武学奇术!$A:$ZZ,24,FALSE)=1,100%,MIN(40%,$B$10+VLOOKUP($R127,武学奇术!$A:$ZZ,19,FALSE)+SUM(_xlfn.XLOOKUP($S127:$AL127,增益!$A:$A,增益!$S:$S,0)))+$B$12+SUM(_xlfn.XLOOKUP($S127:$AL127,增益!$A:$A,增益!$V:$V,0))),0),12%)</f>
        <v>0.9036</v>
      </c>
      <c r="BQ127" s="24" cm="1">
        <f t="array" ref="BQ127">1+$B$13+VLOOKUP($R127,武学奇术!$A:$ZZ,18,FALSE)+SUM(_xlfn.XLOOKUP($S127:$AL127,增益!$A:$A,增益!$R:$R,0))</f>
        <v>1.82</v>
      </c>
      <c r="BR127" s="24" cm="1">
        <f t="array" ref="BR127">MAX(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-IF(VLOOKUP($R127,武学奇术!$A:$ZZ,32,FALSE)=1,12%,0),0)</f>
        <v>0.0929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2"/>
        <v>0.9036</v>
      </c>
      <c r="BU127" s="24">
        <f t="shared" si="23"/>
        <v>0.00350000000000006</v>
      </c>
      <c r="BV127" s="24">
        <f>IF(VLOOKUP($R127,武学奇术!$A:$ZZ,22,FALSE)=1,0,(1-$BO127))*(1-$BR127)</f>
        <v>0</v>
      </c>
      <c r="BW127" s="24" cm="1">
        <f t="array" ref="BW127">SUM(_xlfn.XLOOKUP($S127:$AL127,增益!$A:$A,增益!$W:$W,0))+$I$5</f>
        <v>0.11</v>
      </c>
      <c r="BX127" s="24" cm="1">
        <f t="array" ref="BX127">SUM(_xlfn.XLOOKUP($S127:$AL127,增益!$A:$A,增益!$X:$X,0))</f>
        <v>0</v>
      </c>
    </row>
    <row r="128" spans="11:76">
      <c r="K128">
        <f>$L128*VLOOKUP($R128,武学奇术!$A:$ZZ,31,FALSE)</f>
        <v>13371.0474211746</v>
      </c>
      <c r="L128" s="36">
        <f t="shared" si="26"/>
        <v>13371.0474211746</v>
      </c>
      <c r="M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BQ128*$Q128*(1+IF(VLOOKUP($R128,武学奇术!$A:$ZZ,30,FALSE)="蓄力技",$B$21,0))*(1+$BW128)</f>
        <v>13479.6251131687</v>
      </c>
      <c r="N128" s="36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蓄力技",$B$21,0))*(1+$BW128)</f>
        <v>12503.2791825691</v>
      </c>
      <c r="O128" s="36">
        <f>((($AT128+($AU128-$AT128)*IF(VLOOKUP($R128,武学奇术!$A:$ZZ,31,FALSE)=1,$F$18,0.5))*$AN128+$AO128)*(1+$AV128)*(1+$AW128)+(($AY128+($AZ128-$AY128)*IF(VLOOKUP($R128,武学奇术!$A:$ZZ,31,FALSE)=1,$F$18,0.5))*IF($G$1="鸣金",$AP128,$AN128)+IF($G$1="鸣金",$AQ128*1.5,0))*(1+$BA128)*(1+$BB128)+(($BC128+($BD128-$BC128)*IF(VLOOKUP($R128,武学奇术!$A:$ZZ,31,FALSE)=1,$F$18,0.5))*IF($G$1="裂石",$AP128,$AN128)+IF($G$1="裂石",$AQ128*1.5,0))*(1+$BE128)*(1+$BF128)+(($BG128+($BH128-$BG128)*IF(VLOOKUP($R128,武学奇术!$A:$ZZ,31,FALSE)=1,$F$18,0.5))*IF($G$1="牵丝",$AP128,$AN128)+IF($G$1="牵丝",$AQ128*1.5,0))*(1+$BI128)*(1+$BJ128)+(($BK128+($BL128-$BK128)*IF(VLOOKUP($R128,武学奇术!$A:$ZZ,31,FALSE)=1,$F$18,0.5))*IF($G$1="破竹",$AP128,$AN128)+IF($G$1="破竹",$AQ128*1.5,0))*(1+$BM128)*(1+$BN128))*(1+$AR128)*$Q128*(1+IF(VLOOKUP($R128,武学奇术!$A:$ZZ,30,FALSE)="蓄力技",$B$21,0))*(1+$BW128)</f>
        <v>8372.43795848987</v>
      </c>
      <c r="P128" s="36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蓄力技",$B$21,0))*(1+$BW128)</f>
        <v>7483.18763359523</v>
      </c>
      <c r="Q128" s="37">
        <f t="shared" si="27"/>
        <v>1</v>
      </c>
      <c r="R128" s="38" t="s">
        <v>202</v>
      </c>
      <c r="S128" s="38" t="s">
        <v>104</v>
      </c>
      <c r="T128" s="38" t="s">
        <v>79</v>
      </c>
      <c r="U128" s="38" t="s">
        <v>79</v>
      </c>
      <c r="V128" s="38" t="s">
        <v>79</v>
      </c>
      <c r="W128" s="38" t="s">
        <v>79</v>
      </c>
      <c r="X128" s="38" t="s">
        <v>79</v>
      </c>
      <c r="Y128" s="38" t="s">
        <v>165</v>
      </c>
      <c r="Z128" s="38" t="s">
        <v>79</v>
      </c>
      <c r="AA128" s="38" t="s">
        <v>79</v>
      </c>
      <c r="AB128" s="38" t="s">
        <v>79</v>
      </c>
      <c r="AC128" s="38" t="s">
        <v>79</v>
      </c>
      <c r="AD128" s="38" t="s">
        <v>79</v>
      </c>
      <c r="AE128" s="38" t="s">
        <v>79</v>
      </c>
      <c r="AF128" s="38" t="s">
        <v>84</v>
      </c>
      <c r="AG128" s="38" t="s">
        <v>85</v>
      </c>
      <c r="AH128" s="38" t="s">
        <v>79</v>
      </c>
      <c r="AI128" s="38" t="s">
        <v>79</v>
      </c>
      <c r="AJ128" s="38" t="s">
        <v>79</v>
      </c>
      <c r="AK128" s="38" t="s">
        <v>79</v>
      </c>
      <c r="AL128" s="38" t="s">
        <v>79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VLOOKUP($R128,武学奇术!$A:$ZZ,27,FALSE)*(1+IF(OR($AM128=$F$4,$AM128=$F$5),$B$22,0))</f>
        <v>0</v>
      </c>
      <c r="AP128" s="24">
        <f>VLOOKUP($R128,武学奇术!$A:$ZZ,28,FALSE)</f>
        <v>1</v>
      </c>
      <c r="AQ128" s="25">
        <f>VLOOKUP($R128,武学奇术!$A:$ZZ,29,FALSE)*(1+IF(OR($AM128=$F$4,$AM128=$F$5),$B$22,0))</f>
        <v>0</v>
      </c>
      <c r="AR128" s="24" cm="1">
        <f t="array" ref="AR128">$G$3+IFERROR(VLOOKUP($AM128,$F$4:$G$7,2,FALSE),0)+VLOOKUP($R128,武学奇术!$A:$ZZ,2,FALSE)+SUM(_xlfn.XLOOKUP($S128:$AL128,增益!$A:$A,增益!$B:$B,0))</f>
        <v>0.1537</v>
      </c>
      <c r="AS128" s="24" cm="1">
        <f t="array" ref="AS128">VLOOKUP($R128,武学奇术!$A:$ZZ,5,FALSE)+SUM(_xlfn.XLOOKUP($S128:$AL128,增益!$A:$A,增益!$E:$E,0))</f>
        <v>0</v>
      </c>
      <c r="AT128" cm="1">
        <f t="array" ref="AT128">$D$10*(1+$AS128)+VLOOKUP($R128,武学奇术!$A:$ZZ,3,FALSE)+SUM(_xlfn.XLOOKUP($S128:$AL128,增益!$A:$A,增益!$C:$C,0))-$I$2</f>
        <v>3839.102</v>
      </c>
      <c r="AU128" cm="1">
        <f t="array" ref="AU128">$E$10*(1+$AS128)+VLOOKUP($R128,武学奇术!$A:$ZZ,4,FALSE)+SUM(_xlfn.XLOOKUP($S128:$AL128,增益!$A:$A,增益!$D:$D,0))-$I$2</f>
        <v>3839.102</v>
      </c>
      <c r="AV128" s="30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0.217</v>
      </c>
      <c r="AW128" s="30" cm="1">
        <f t="array" ref="AW128">$G$10+VLOOKUP($R128,武学奇术!$A:$ZZ,7,FALSE)+SUM(_xlfn.XLOOKUP($S128:$AL128,增益!$A:$A,增益!$G:$G,0))</f>
        <v>0.09</v>
      </c>
      <c r="AX128" s="24" cm="1">
        <f t="array" ref="AX128">VLOOKUP($R128,武学奇术!$A:$ZZ,8,FALSE)+SUM(_xlfn.XLOOKUP($S128:$AL128,增益!$A:$A,增益!$H:$H,0))</f>
        <v>0</v>
      </c>
      <c r="AY128">
        <f t="shared" si="14"/>
        <v>0</v>
      </c>
      <c r="AZ128">
        <f t="shared" si="15"/>
        <v>0</v>
      </c>
      <c r="BA128" s="30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0" cm="1">
        <f t="array" ref="BB128">$G$11+VLOOKUP($R128,武学奇术!$A:$ZZ,10,FALSE)+SUM(_xlfn.XLOOKUP($S128:$AL128,增益!$A:$A,增益!$J:$J,0))</f>
        <v>0</v>
      </c>
      <c r="BC128">
        <f t="shared" si="16"/>
        <v>0</v>
      </c>
      <c r="BD128">
        <f t="shared" si="17"/>
        <v>0</v>
      </c>
      <c r="BE128" s="30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0" cm="1">
        <f t="array" ref="BF128">$G$12+VLOOKUP($R128,武学奇术!$A:$ZZ,12,FALSE)+SUM(_xlfn.XLOOKUP($S128:$AL128,增益!$A:$A,增益!$L:$L,0))</f>
        <v>0</v>
      </c>
      <c r="BG128">
        <f t="shared" si="18"/>
        <v>0</v>
      </c>
      <c r="BH128">
        <f t="shared" si="19"/>
        <v>0</v>
      </c>
      <c r="BI128" s="30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-0.3</v>
      </c>
      <c r="BJ128" s="30" cm="1">
        <f t="array" ref="BJ128">$G$13+VLOOKUP($R128,武学奇术!$A:$ZZ,14,FALSE)+SUM(_xlfn.XLOOKUP($S128:$AL128,增益!$A:$A,增益!$N:$N,0))</f>
        <v>0</v>
      </c>
      <c r="BK128">
        <f t="shared" si="20"/>
        <v>605.472</v>
      </c>
      <c r="BL128">
        <f t="shared" si="21"/>
        <v>1725.468</v>
      </c>
      <c r="BM128" s="30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0</v>
      </c>
      <c r="BN128" s="30" cm="1">
        <f t="array" ref="BN128">$G$14+VLOOKUP($R128,武学奇术!$A:$ZZ,16,FALSE)+SUM(_xlfn.XLOOKUP($S128:$AL128,增益!$A:$A,增益!$P:$P,0))</f>
        <v>0.24</v>
      </c>
      <c r="BO128" s="24">
        <f>MIN(IF(VLOOKUP($R128,武学奇术!$A:$ZZ,23,FALSE)=1,100%,$B$8),100%)</f>
        <v>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+MIN(IF(VLOOKUP($R128,武学奇术!$A:$ZZ,32,FALSE)=1,IF(VLOOKUP($R128,武学奇术!$A:$ZZ,24,FALSE)=1,100%,MIN(40%,$B$10+VLOOKUP($R128,武学奇术!$A:$ZZ,19,FALSE)+SUM(_xlfn.XLOOKUP($S128:$AL128,增益!$A:$A,增益!$S:$S,0)))+$B$12+SUM(_xlfn.XLOOKUP($S128:$AL128,增益!$A:$A,增益!$V:$V,0))),0),12%)</f>
        <v>0.9036</v>
      </c>
      <c r="BQ128" s="24" cm="1">
        <f t="array" ref="BQ128">1+$B$13+VLOOKUP($R128,武学奇术!$A:$ZZ,18,FALSE)+SUM(_xlfn.XLOOKUP($S128:$AL128,增益!$A:$A,增益!$R:$R,0))</f>
        <v>1.61</v>
      </c>
      <c r="BR128" s="24" cm="1">
        <f t="array" ref="BR128">MAX(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-IF(VLOOKUP($R128,武学奇术!$A:$ZZ,32,FALSE)=1,12%,0),0)</f>
        <v>0.0929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2"/>
        <v>0.9036</v>
      </c>
      <c r="BU128" s="24">
        <f t="shared" si="23"/>
        <v>0.00350000000000006</v>
      </c>
      <c r="BV128" s="24">
        <f>IF(VLOOKUP($R128,武学奇术!$A:$ZZ,22,FALSE)=1,0,(1-$BO128))*(1-$BR128)</f>
        <v>0</v>
      </c>
      <c r="BW128" s="24" cm="1">
        <f t="array" ref="BW128">SUM(_xlfn.XLOOKUP($S128:$AL128,增益!$A:$A,增益!$W:$W,0))+$I$5</f>
        <v>0.11</v>
      </c>
      <c r="BX128" s="24" cm="1">
        <f t="array" ref="BX128">SUM(_xlfn.XLOOKUP($S128:$AL128,增益!$A:$A,增益!$X:$X,0))</f>
        <v>0</v>
      </c>
    </row>
    <row r="129" spans="11:76">
      <c r="K129">
        <f>$L129*VLOOKUP($R129,武学奇术!$A:$ZZ,31,FALSE)</f>
        <v>13598.0074693534</v>
      </c>
      <c r="L129" s="36">
        <f t="shared" si="26"/>
        <v>13598.0074693534</v>
      </c>
      <c r="M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BQ129*$Q129*(1+IF(VLOOKUP($R129,武学奇术!$A:$ZZ,30,FALSE)="蓄力技",$B$21,0))*(1+$BW129)</f>
        <v>13730.7982519234</v>
      </c>
      <c r="N129" s="36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蓄力技",$B$21,0))*(1+$BW129)</f>
        <v>12503.2791825691</v>
      </c>
      <c r="O129" s="36">
        <f>((($AT129+($AU129-$AT129)*IF(VLOOKUP($R129,武学奇术!$A:$ZZ,31,FALSE)=1,$F$18,0.5))*$AN129+$AO129)*(1+$AV129)*(1+$AW129)+(($AY129+($AZ129-$AY129)*IF(VLOOKUP($R129,武学奇术!$A:$ZZ,31,FALSE)=1,$F$18,0.5))*IF($G$1="鸣金",$AP129,$AN129)+IF($G$1="鸣金",$AQ129*1.5,0))*(1+$BA129)*(1+$BB129)+(($BC129+($BD129-$BC129)*IF(VLOOKUP($R129,武学奇术!$A:$ZZ,31,FALSE)=1,$F$18,0.5))*IF($G$1="裂石",$AP129,$AN129)+IF($G$1="裂石",$AQ129*1.5,0))*(1+$BE129)*(1+$BF129)+(($BG129+($BH129-$BG129)*IF(VLOOKUP($R129,武学奇术!$A:$ZZ,31,FALSE)=1,$F$18,0.5))*IF($G$1="牵丝",$AP129,$AN129)+IF($G$1="牵丝",$AQ129*1.5,0))*(1+$BI129)*(1+$BJ129)+(($BK129+($BL129-$BK129)*IF(VLOOKUP($R129,武学奇术!$A:$ZZ,31,FALSE)=1,$F$18,0.5))*IF($G$1="破竹",$AP129,$AN129)+IF($G$1="破竹",$AQ129*1.5,0))*(1+$BM129)*(1+$BN129))*(1+$AR129)*$Q129*(1+IF(VLOOKUP($R129,武学奇术!$A:$ZZ,30,FALSE)="蓄力技",$B$21,0))*(1+$BW129)</f>
        <v>8372.43795848987</v>
      </c>
      <c r="P129" s="36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蓄力技",$B$21,0))*(1+$BW129)</f>
        <v>7483.18763359523</v>
      </c>
      <c r="Q129" s="37">
        <f t="shared" si="27"/>
        <v>1</v>
      </c>
      <c r="R129" s="38" t="s">
        <v>202</v>
      </c>
      <c r="S129" s="38" t="s">
        <v>104</v>
      </c>
      <c r="T129" s="38" t="s">
        <v>79</v>
      </c>
      <c r="U129" s="38" t="s">
        <v>79</v>
      </c>
      <c r="V129" s="38" t="s">
        <v>79</v>
      </c>
      <c r="W129" s="38" t="s">
        <v>79</v>
      </c>
      <c r="X129" s="38" t="s">
        <v>79</v>
      </c>
      <c r="Y129" s="38" t="s">
        <v>173</v>
      </c>
      <c r="Z129" s="38" t="s">
        <v>79</v>
      </c>
      <c r="AA129" s="38" t="s">
        <v>79</v>
      </c>
      <c r="AB129" s="38" t="s">
        <v>79</v>
      </c>
      <c r="AC129" s="38" t="s">
        <v>79</v>
      </c>
      <c r="AD129" s="38" t="s">
        <v>79</v>
      </c>
      <c r="AE129" s="38" t="s">
        <v>79</v>
      </c>
      <c r="AF129" s="38" t="s">
        <v>84</v>
      </c>
      <c r="AG129" s="38" t="s">
        <v>85</v>
      </c>
      <c r="AH129" s="38" t="s">
        <v>79</v>
      </c>
      <c r="AI129" s="38" t="s">
        <v>79</v>
      </c>
      <c r="AJ129" s="38" t="s">
        <v>79</v>
      </c>
      <c r="AK129" s="38" t="s">
        <v>79</v>
      </c>
      <c r="AL129" s="38" t="s">
        <v>79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VLOOKUP($R129,武学奇术!$A:$ZZ,27,FALSE)*(1+IF(OR($AM129=$F$4,$AM129=$F$5),$B$22,0))</f>
        <v>0</v>
      </c>
      <c r="AP129" s="24">
        <f>VLOOKUP($R129,武学奇术!$A:$ZZ,28,FALSE)</f>
        <v>1</v>
      </c>
      <c r="AQ129" s="25">
        <f>VLOOKUP($R129,武学奇术!$A:$ZZ,29,FALSE)*(1+IF(OR($AM129=$F$4,$AM129=$F$5),$B$22,0))</f>
        <v>0</v>
      </c>
      <c r="AR129" s="24" cm="1">
        <f t="array" ref="AR129">$G$3+IFERROR(VLOOKUP($AM129,$F$4:$G$7,2,FALSE),0)+VLOOKUP($R129,武学奇术!$A:$ZZ,2,FALSE)+SUM(_xlfn.XLOOKUP($S129:$AL129,增益!$A:$A,增益!$B:$B,0))</f>
        <v>0.1537</v>
      </c>
      <c r="AS129" s="24" cm="1">
        <f t="array" ref="AS129">VLOOKUP($R129,武学奇术!$A:$ZZ,5,FALSE)+SUM(_xlfn.XLOOKUP($S129:$AL129,增益!$A:$A,增益!$E:$E,0))</f>
        <v>0</v>
      </c>
      <c r="AT129" cm="1">
        <f t="array" ref="AT129">$D$10*(1+$AS129)+VLOOKUP($R129,武学奇术!$A:$ZZ,3,FALSE)+SUM(_xlfn.XLOOKUP($S129:$AL129,增益!$A:$A,增益!$C:$C,0))-$I$2</f>
        <v>3839.102</v>
      </c>
      <c r="AU129" cm="1">
        <f t="array" ref="AU129">$E$10*(1+$AS129)+VLOOKUP($R129,武学奇术!$A:$ZZ,4,FALSE)+SUM(_xlfn.XLOOKUP($S129:$AL129,增益!$A:$A,增益!$D:$D,0))-$I$2</f>
        <v>3839.102</v>
      </c>
      <c r="AV129" s="30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0.217</v>
      </c>
      <c r="AW129" s="30" cm="1">
        <f t="array" ref="AW129">$G$10+VLOOKUP($R129,武学奇术!$A:$ZZ,7,FALSE)+SUM(_xlfn.XLOOKUP($S129:$AL129,增益!$A:$A,增益!$G:$G,0))</f>
        <v>0.09</v>
      </c>
      <c r="AX129" s="24" cm="1">
        <f t="array" ref="AX129">VLOOKUP($R129,武学奇术!$A:$ZZ,8,FALSE)+SUM(_xlfn.XLOOKUP($S129:$AL129,增益!$A:$A,增益!$H:$H,0))</f>
        <v>0</v>
      </c>
      <c r="AY129">
        <f t="shared" si="14"/>
        <v>0</v>
      </c>
      <c r="AZ129">
        <f t="shared" si="15"/>
        <v>0</v>
      </c>
      <c r="BA129" s="30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0" cm="1">
        <f t="array" ref="BB129">$G$11+VLOOKUP($R129,武学奇术!$A:$ZZ,10,FALSE)+SUM(_xlfn.XLOOKUP($S129:$AL129,增益!$A:$A,增益!$J:$J,0))</f>
        <v>0</v>
      </c>
      <c r="BC129">
        <f t="shared" si="16"/>
        <v>0</v>
      </c>
      <c r="BD129">
        <f t="shared" si="17"/>
        <v>0</v>
      </c>
      <c r="BE129" s="30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0" cm="1">
        <f t="array" ref="BF129">$G$12+VLOOKUP($R129,武学奇术!$A:$ZZ,12,FALSE)+SUM(_xlfn.XLOOKUP($S129:$AL129,增益!$A:$A,增益!$L:$L,0))</f>
        <v>0</v>
      </c>
      <c r="BG129">
        <f t="shared" si="18"/>
        <v>0</v>
      </c>
      <c r="BH129">
        <f t="shared" si="19"/>
        <v>0</v>
      </c>
      <c r="BI129" s="30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-0.3</v>
      </c>
      <c r="BJ129" s="30" cm="1">
        <f t="array" ref="BJ129">$G$13+VLOOKUP($R129,武学奇术!$A:$ZZ,14,FALSE)+SUM(_xlfn.XLOOKUP($S129:$AL129,增益!$A:$A,增益!$N:$N,0))</f>
        <v>0</v>
      </c>
      <c r="BK129">
        <f t="shared" si="20"/>
        <v>605.472</v>
      </c>
      <c r="BL129">
        <f t="shared" si="21"/>
        <v>1725.468</v>
      </c>
      <c r="BM129" s="30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0</v>
      </c>
      <c r="BN129" s="30" cm="1">
        <f t="array" ref="BN129">$G$14+VLOOKUP($R129,武学奇术!$A:$ZZ,16,FALSE)+SUM(_xlfn.XLOOKUP($S129:$AL129,增益!$A:$A,增益!$P:$P,0))</f>
        <v>0.24</v>
      </c>
      <c r="BO129" s="24">
        <f>MIN(IF(VLOOKUP($R129,武学奇术!$A:$ZZ,23,FALSE)=1,100%,$B$8),100%)</f>
        <v>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+MIN(IF(VLOOKUP($R129,武学奇术!$A:$ZZ,32,FALSE)=1,IF(VLOOKUP($R129,武学奇术!$A:$ZZ,24,FALSE)=1,100%,MIN(40%,$B$10+VLOOKUP($R129,武学奇术!$A:$ZZ,19,FALSE)+SUM(_xlfn.XLOOKUP($S129:$AL129,增益!$A:$A,增益!$S:$S,0)))+$B$12+SUM(_xlfn.XLOOKUP($S129:$AL129,增益!$A:$A,增益!$V:$V,0))),0),12%)</f>
        <v>0.9036</v>
      </c>
      <c r="BQ129" s="24" cm="1">
        <f t="array" ref="BQ129">1+$B$13+VLOOKUP($R129,武学奇术!$A:$ZZ,18,FALSE)+SUM(_xlfn.XLOOKUP($S129:$AL129,增益!$A:$A,增益!$R:$R,0))</f>
        <v>1.64</v>
      </c>
      <c r="BR129" s="24" cm="1">
        <f t="array" ref="BR129">MAX(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-IF(VLOOKUP($R129,武学奇术!$A:$ZZ,32,FALSE)=1,12%,0),0)</f>
        <v>0.0929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2"/>
        <v>0.9036</v>
      </c>
      <c r="BU129" s="24">
        <f t="shared" si="23"/>
        <v>0.00350000000000006</v>
      </c>
      <c r="BV129" s="24">
        <f>IF(VLOOKUP($R129,武学奇术!$A:$ZZ,22,FALSE)=1,0,(1-$BO129))*(1-$BR129)</f>
        <v>0</v>
      </c>
      <c r="BW129" s="24" cm="1">
        <f t="array" ref="BW129">SUM(_xlfn.XLOOKUP($S129:$AL129,增益!$A:$A,增益!$W:$W,0))+$I$5</f>
        <v>0.11</v>
      </c>
      <c r="BX129" s="24" cm="1">
        <f t="array" ref="BX129">SUM(_xlfn.XLOOKUP($S129:$AL129,增益!$A:$A,增益!$X:$X,0))</f>
        <v>0</v>
      </c>
    </row>
    <row r="130" spans="11:76">
      <c r="K130">
        <f>$L130*VLOOKUP($R130,武学奇术!$A:$ZZ,31,FALSE)</f>
        <v>13598.0074693534</v>
      </c>
      <c r="L130" s="36">
        <f t="shared" si="26"/>
        <v>13598.0074693534</v>
      </c>
      <c r="M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BQ130*$Q130*(1+IF(VLOOKUP($R130,武学奇术!$A:$ZZ,30,FALSE)="蓄力技",$B$21,0))*(1+$BW130)</f>
        <v>13730.7982519234</v>
      </c>
      <c r="N130" s="36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蓄力技",$B$21,0))*(1+$BW130)</f>
        <v>12503.2791825691</v>
      </c>
      <c r="O130" s="36">
        <f>((($AT130+($AU130-$AT130)*IF(VLOOKUP($R130,武学奇术!$A:$ZZ,31,FALSE)=1,$F$18,0.5))*$AN130+$AO130)*(1+$AV130)*(1+$AW130)+(($AY130+($AZ130-$AY130)*IF(VLOOKUP($R130,武学奇术!$A:$ZZ,31,FALSE)=1,$F$18,0.5))*IF($G$1="鸣金",$AP130,$AN130)+IF($G$1="鸣金",$AQ130*1.5,0))*(1+$BA130)*(1+$BB130)+(($BC130+($BD130-$BC130)*IF(VLOOKUP($R130,武学奇术!$A:$ZZ,31,FALSE)=1,$F$18,0.5))*IF($G$1="裂石",$AP130,$AN130)+IF($G$1="裂石",$AQ130*1.5,0))*(1+$BE130)*(1+$BF130)+(($BG130+($BH130-$BG130)*IF(VLOOKUP($R130,武学奇术!$A:$ZZ,31,FALSE)=1,$F$18,0.5))*IF($G$1="牵丝",$AP130,$AN130)+IF($G$1="牵丝",$AQ130*1.5,0))*(1+$BI130)*(1+$BJ130)+(($BK130+($BL130-$BK130)*IF(VLOOKUP($R130,武学奇术!$A:$ZZ,31,FALSE)=1,$F$18,0.5))*IF($G$1="破竹",$AP130,$AN130)+IF($G$1="破竹",$AQ130*1.5,0))*(1+$BM130)*(1+$BN130))*(1+$AR130)*$Q130*(1+IF(VLOOKUP($R130,武学奇术!$A:$ZZ,30,FALSE)="蓄力技",$B$21,0))*(1+$BW130)</f>
        <v>8372.43795848987</v>
      </c>
      <c r="P130" s="36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蓄力技",$B$21,0))*(1+$BW130)</f>
        <v>7483.18763359523</v>
      </c>
      <c r="Q130" s="37">
        <f t="shared" si="27"/>
        <v>1</v>
      </c>
      <c r="R130" s="38" t="s">
        <v>202</v>
      </c>
      <c r="S130" s="38" t="s">
        <v>104</v>
      </c>
      <c r="T130" s="38" t="s">
        <v>79</v>
      </c>
      <c r="U130" s="38" t="s">
        <v>79</v>
      </c>
      <c r="V130" s="38" t="s">
        <v>79</v>
      </c>
      <c r="W130" s="38" t="s">
        <v>79</v>
      </c>
      <c r="X130" s="38" t="s">
        <v>79</v>
      </c>
      <c r="Y130" s="38" t="s">
        <v>173</v>
      </c>
      <c r="Z130" s="38" t="s">
        <v>79</v>
      </c>
      <c r="AA130" s="38" t="s">
        <v>79</v>
      </c>
      <c r="AB130" s="38" t="s">
        <v>79</v>
      </c>
      <c r="AC130" s="38" t="s">
        <v>79</v>
      </c>
      <c r="AD130" s="38" t="s">
        <v>79</v>
      </c>
      <c r="AE130" s="38" t="s">
        <v>79</v>
      </c>
      <c r="AF130" s="38" t="s">
        <v>84</v>
      </c>
      <c r="AG130" s="38" t="s">
        <v>85</v>
      </c>
      <c r="AH130" s="38" t="s">
        <v>79</v>
      </c>
      <c r="AI130" s="38" t="s">
        <v>79</v>
      </c>
      <c r="AJ130" s="38" t="s">
        <v>79</v>
      </c>
      <c r="AK130" s="38" t="s">
        <v>79</v>
      </c>
      <c r="AL130" s="38" t="s">
        <v>79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VLOOKUP($R130,武学奇术!$A:$ZZ,27,FALSE)*(1+IF(OR($AM130=$F$4,$AM130=$F$5),$B$22,0))</f>
        <v>0</v>
      </c>
      <c r="AP130" s="24">
        <f>VLOOKUP($R130,武学奇术!$A:$ZZ,28,FALSE)</f>
        <v>1</v>
      </c>
      <c r="AQ130" s="25">
        <f>VLOOKUP($R130,武学奇术!$A:$ZZ,29,FALSE)*(1+IF(OR($AM130=$F$4,$AM130=$F$5),$B$22,0))</f>
        <v>0</v>
      </c>
      <c r="AR130" s="24" cm="1">
        <f t="array" ref="AR130">$G$3+IFERROR(VLOOKUP($AM130,$F$4:$G$7,2,FALSE),0)+VLOOKUP($R130,武学奇术!$A:$ZZ,2,FALSE)+SUM(_xlfn.XLOOKUP($S130:$AL130,增益!$A:$A,增益!$B:$B,0))</f>
        <v>0.1537</v>
      </c>
      <c r="AS130" s="24" cm="1">
        <f t="array" ref="AS130">VLOOKUP($R130,武学奇术!$A:$ZZ,5,FALSE)+SUM(_xlfn.XLOOKUP($S130:$AL130,增益!$A:$A,增益!$E:$E,0))</f>
        <v>0</v>
      </c>
      <c r="AT130" cm="1">
        <f t="array" ref="AT130">$D$10*(1+$AS130)+VLOOKUP($R130,武学奇术!$A:$ZZ,3,FALSE)+SUM(_xlfn.XLOOKUP($S130:$AL130,增益!$A:$A,增益!$C:$C,0))-$I$2</f>
        <v>3839.102</v>
      </c>
      <c r="AU130" cm="1">
        <f t="array" ref="AU130">$E$10*(1+$AS130)+VLOOKUP($R130,武学奇术!$A:$ZZ,4,FALSE)+SUM(_xlfn.XLOOKUP($S130:$AL130,增益!$A:$A,增益!$D:$D,0))-$I$2</f>
        <v>3839.102</v>
      </c>
      <c r="AV130" s="30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0.217</v>
      </c>
      <c r="AW130" s="30" cm="1">
        <f t="array" ref="AW130">$G$10+VLOOKUP($R130,武学奇术!$A:$ZZ,7,FALSE)+SUM(_xlfn.XLOOKUP($S130:$AL130,增益!$A:$A,增益!$G:$G,0))</f>
        <v>0.09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8">$D$11*(1+$AX130)</f>
        <v>0</v>
      </c>
      <c r="AZ130">
        <f t="shared" ref="AZ130:AZ136" si="29">$E$11*(1+$AX130)</f>
        <v>0</v>
      </c>
      <c r="BA130" s="30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0" cm="1">
        <f t="array" ref="BB130">$G$11+VLOOKUP($R130,武学奇术!$A:$ZZ,10,FALSE)+SUM(_xlfn.XLOOKUP($S130:$AL130,增益!$A:$A,增益!$J:$J,0))</f>
        <v>0</v>
      </c>
      <c r="BC130">
        <f t="shared" ref="BC130:BC136" si="30">$D$12*(1+$AX130)</f>
        <v>0</v>
      </c>
      <c r="BD130">
        <f t="shared" ref="BD130:BD136" si="31">$E$12*(1+$AX130)</f>
        <v>0</v>
      </c>
      <c r="BE130" s="30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0" cm="1">
        <f t="array" ref="BF130">$G$12+VLOOKUP($R130,武学奇术!$A:$ZZ,12,FALSE)+SUM(_xlfn.XLOOKUP($S130:$AL130,增益!$A:$A,增益!$L:$L,0))</f>
        <v>0</v>
      </c>
      <c r="BG130">
        <f t="shared" ref="BG130:BG136" si="32">$D$13*(1+$AX130)</f>
        <v>0</v>
      </c>
      <c r="BH130">
        <f t="shared" ref="BH130:BH136" si="33">$E$13*(1+$AX130)</f>
        <v>0</v>
      </c>
      <c r="BI130" s="30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-0.3</v>
      </c>
      <c r="BJ130" s="30" cm="1">
        <f t="array" ref="BJ130">$G$13+VLOOKUP($R130,武学奇术!$A:$ZZ,14,FALSE)+SUM(_xlfn.XLOOKUP($S130:$AL130,增益!$A:$A,增益!$N:$N,0))</f>
        <v>0</v>
      </c>
      <c r="BK130">
        <f t="shared" ref="BK130:BK136" si="34">$D$14*(1+$AX130)</f>
        <v>605.472</v>
      </c>
      <c r="BL130">
        <f t="shared" ref="BL130:BL136" si="35">$E$14*(1+$AX130)</f>
        <v>1725.468</v>
      </c>
      <c r="BM130" s="30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0</v>
      </c>
      <c r="BN130" s="30" cm="1">
        <f t="array" ref="BN130">$G$14+VLOOKUP($R130,武学奇术!$A:$ZZ,16,FALSE)+SUM(_xlfn.XLOOKUP($S130:$AL130,增益!$A:$A,增益!$P:$P,0))</f>
        <v>0.24</v>
      </c>
      <c r="BO130" s="24">
        <f>MIN(IF(VLOOKUP($R130,武学奇术!$A:$ZZ,23,FALSE)=1,100%,$B$8),100%)</f>
        <v>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+MIN(IF(VLOOKUP($R130,武学奇术!$A:$ZZ,32,FALSE)=1,IF(VLOOKUP($R130,武学奇术!$A:$ZZ,24,FALSE)=1,100%,MIN(40%,$B$10+VLOOKUP($R130,武学奇术!$A:$ZZ,19,FALSE)+SUM(_xlfn.XLOOKUP($S130:$AL130,增益!$A:$A,增益!$S:$S,0)))+$B$12+SUM(_xlfn.XLOOKUP($S130:$AL130,增益!$A:$A,增益!$V:$V,0))),0),12%)</f>
        <v>0.9036</v>
      </c>
      <c r="BQ130" s="24" cm="1">
        <f t="array" ref="BQ130">1+$B$13+VLOOKUP($R130,武学奇术!$A:$ZZ,18,FALSE)+SUM(_xlfn.XLOOKUP($S130:$AL130,增益!$A:$A,增益!$R:$R,0))</f>
        <v>1.64</v>
      </c>
      <c r="BR130" s="24" cm="1">
        <f t="array" ref="BR130">MAX(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-IF(VLOOKUP($R130,武学奇术!$A:$ZZ,32,FALSE)=1,12%,0),0)</f>
        <v>0.0929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6">MIN((1-BR130)*BO130,BO130*BP130)</f>
        <v>0.9036</v>
      </c>
      <c r="BU130" s="24">
        <f t="shared" ref="BU130:BU136" si="37">1-BR130-BT130-BV130</f>
        <v>0.00350000000000006</v>
      </c>
      <c r="BV130" s="24">
        <f>IF(VLOOKUP($R130,武学奇术!$A:$ZZ,22,FALSE)=1,0,(1-$BO130))*(1-$BR130)</f>
        <v>0</v>
      </c>
      <c r="BW130" s="24" cm="1">
        <f t="array" ref="BW130">SUM(_xlfn.XLOOKUP($S130:$AL130,增益!$A:$A,增益!$W:$W,0))+$I$5</f>
        <v>0.11</v>
      </c>
      <c r="BX130" s="24" cm="1">
        <f t="array" ref="BX130">SUM(_xlfn.XLOOKUP($S130:$AL130,增益!$A:$A,增益!$X:$X,0))</f>
        <v>0</v>
      </c>
    </row>
    <row r="131" spans="11:76">
      <c r="K131">
        <f>$L131*VLOOKUP($R131,武学奇术!$A:$ZZ,31,FALSE)</f>
        <v>18225.957580003</v>
      </c>
      <c r="L131" s="36">
        <f t="shared" si="26"/>
        <v>18225.957580003</v>
      </c>
      <c r="M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BQ131*$Q131*(1+IF(VLOOKUP($R131,武学奇术!$A:$ZZ,30,FALSE)="蓄力技",$B$21,0))*(1+$BW131)</f>
        <v>18629.5712656436</v>
      </c>
      <c r="N131" s="36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蓄力技",$B$21,0))*(1+$BW131)</f>
        <v>14615.4766234658</v>
      </c>
      <c r="O131" s="36">
        <f>((($AT131+($AU131-$AT131)*IF(VLOOKUP($R131,武学奇术!$A:$ZZ,31,FALSE)=1,$F$18,0.5))*$AN131+$AO131)*(1+$AV131)*(1+$AW131)+(($AY131+($AZ131-$AY131)*IF(VLOOKUP($R131,武学奇术!$A:$ZZ,31,FALSE)=1,$F$18,0.5))*IF($G$1="鸣金",$AP131,$AN131)+IF($G$1="鸣金",$AQ131*1.5,0))*(1+$BA131)*(1+$BB131)+(($BC131+($BD131-$BC131)*IF(VLOOKUP($R131,武学奇术!$A:$ZZ,31,FALSE)=1,$F$18,0.5))*IF($G$1="裂石",$AP131,$AN131)+IF($G$1="裂石",$AQ131*1.5,0))*(1+$BE131)*(1+$BF131)+(($BG131+($BH131-$BG131)*IF(VLOOKUP($R131,武学奇术!$A:$ZZ,31,FALSE)=1,$F$18,0.5))*IF($G$1="牵丝",$AP131,$AN131)+IF($G$1="牵丝",$AQ131*1.5,0))*(1+$BI131)*(1+$BJ131)+(($BK131+($BL131-$BK131)*IF(VLOOKUP($R131,武学奇术!$A:$ZZ,31,FALSE)=1,$F$18,0.5))*IF($G$1="破竹",$AP131,$AN131)+IF($G$1="破竹",$AQ131*1.5,0))*(1+$BM131)*(1+$BN131))*(1+$AR131)*$Q131*(1+IF(VLOOKUP($R131,武学奇术!$A:$ZZ,30,FALSE)="蓄力技",$B$21,0))*(1+$BW131)</f>
        <v>9856.91601356802</v>
      </c>
      <c r="P131" s="36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蓄力技",$B$21,0))*(1+$BW131)</f>
        <v>8887.55304679098</v>
      </c>
      <c r="Q131" s="37">
        <f t="shared" si="27"/>
        <v>1</v>
      </c>
      <c r="R131" s="38" t="s">
        <v>202</v>
      </c>
      <c r="S131" s="38" t="s">
        <v>104</v>
      </c>
      <c r="T131" s="38" t="s">
        <v>139</v>
      </c>
      <c r="U131" s="38" t="s">
        <v>79</v>
      </c>
      <c r="V131" s="38" t="s">
        <v>79</v>
      </c>
      <c r="W131" s="38" t="s">
        <v>188</v>
      </c>
      <c r="X131" s="38" t="s">
        <v>79</v>
      </c>
      <c r="Y131" s="38" t="s">
        <v>173</v>
      </c>
      <c r="Z131" s="38" t="s">
        <v>79</v>
      </c>
      <c r="AA131" s="38" t="s">
        <v>79</v>
      </c>
      <c r="AB131" s="38" t="s">
        <v>79</v>
      </c>
      <c r="AC131" s="38" t="s">
        <v>79</v>
      </c>
      <c r="AD131" s="38" t="s">
        <v>79</v>
      </c>
      <c r="AE131" s="38" t="s">
        <v>79</v>
      </c>
      <c r="AF131" s="38" t="s">
        <v>84</v>
      </c>
      <c r="AG131" s="38" t="s">
        <v>85</v>
      </c>
      <c r="AH131" s="38" t="s">
        <v>79</v>
      </c>
      <c r="AI131" s="38" t="s">
        <v>79</v>
      </c>
      <c r="AJ131" s="38" t="s">
        <v>79</v>
      </c>
      <c r="AK131" s="38" t="s">
        <v>79</v>
      </c>
      <c r="AL131" s="38" t="s">
        <v>79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VLOOKUP($R131,武学奇术!$A:$ZZ,27,FALSE)*(1+IF(OR($AM131=$F$4,$AM131=$F$5),$B$22,0))</f>
        <v>0</v>
      </c>
      <c r="AP131" s="24">
        <f>VLOOKUP($R131,武学奇术!$A:$ZZ,28,FALSE)</f>
        <v>1</v>
      </c>
      <c r="AQ131" s="25">
        <f>VLOOKUP($R131,武学奇术!$A:$ZZ,29,FALSE)*(1+IF(OR($AM131=$F$4,$AM131=$F$5),$B$22,0))</f>
        <v>0</v>
      </c>
      <c r="AR131" s="24" cm="1">
        <f t="array" ref="AR131">$G$3+IFERROR(VLOOKUP($AM131,$F$4:$G$7,2,FALSE),0)+VLOOKUP($R131,武学奇术!$A:$ZZ,2,FALSE)+SUM(_xlfn.XLOOKUP($S131:$AL131,增益!$A:$A,增益!$B:$B,0))</f>
        <v>0.1537</v>
      </c>
      <c r="AS131" s="24" cm="1">
        <f t="array" ref="AS131">VLOOKUP($R131,武学奇术!$A:$ZZ,5,FALSE)+SUM(_xlfn.XLOOKUP($S131:$AL131,增益!$A:$A,增益!$E:$E,0))</f>
        <v>0</v>
      </c>
      <c r="AT131" cm="1">
        <f t="array" ref="AT131">$D$10*(1+$AS131)+VLOOKUP($R131,武学奇术!$A:$ZZ,3,FALSE)+SUM(_xlfn.XLOOKUP($S131:$AL131,增益!$A:$A,增益!$C:$C,0))-$I$2</f>
        <v>3839.102</v>
      </c>
      <c r="AU131" cm="1">
        <f t="array" ref="AU131">$E$10*(1+$AS131)+VLOOKUP($R131,武学奇术!$A:$ZZ,4,FALSE)+SUM(_xlfn.XLOOKUP($S131:$AL131,增益!$A:$A,增益!$D:$D,0))-$I$2</f>
        <v>3839.102</v>
      </c>
      <c r="AV131" s="30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0.342</v>
      </c>
      <c r="AW131" s="30" cm="1">
        <f t="array" ref="AW131">$G$10+VLOOKUP($R131,武学奇术!$A:$ZZ,7,FALSE)+SUM(_xlfn.XLOOKUP($S131:$AL131,增益!$A:$A,增益!$G:$G,0))</f>
        <v>0.09</v>
      </c>
      <c r="AX131" s="24" cm="1">
        <f t="array" ref="AX131">VLOOKUP($R131,武学奇术!$A:$ZZ,8,FALSE)+SUM(_xlfn.XLOOKUP($S131:$AL131,增益!$A:$A,增益!$H:$H,0))</f>
        <v>0</v>
      </c>
      <c r="AY131">
        <f t="shared" si="28"/>
        <v>0</v>
      </c>
      <c r="AZ131">
        <f t="shared" si="29"/>
        <v>0</v>
      </c>
      <c r="BA131" s="30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0" cm="1">
        <f t="array" ref="BB131">$G$11+VLOOKUP($R131,武学奇术!$A:$ZZ,10,FALSE)+SUM(_xlfn.XLOOKUP($S131:$AL131,增益!$A:$A,增益!$J:$J,0))</f>
        <v>0</v>
      </c>
      <c r="BC131">
        <f t="shared" si="30"/>
        <v>0</v>
      </c>
      <c r="BD131">
        <f t="shared" si="31"/>
        <v>0</v>
      </c>
      <c r="BE131" s="30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0" cm="1">
        <f t="array" ref="BF131">$G$12+VLOOKUP($R131,武学奇术!$A:$ZZ,12,FALSE)+SUM(_xlfn.XLOOKUP($S131:$AL131,增益!$A:$A,增益!$L:$L,0))</f>
        <v>0</v>
      </c>
      <c r="BG131">
        <f t="shared" si="32"/>
        <v>0</v>
      </c>
      <c r="BH131">
        <f t="shared" si="33"/>
        <v>0</v>
      </c>
      <c r="BI131" s="30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-0.3</v>
      </c>
      <c r="BJ131" s="30" cm="1">
        <f t="array" ref="BJ131">$G$13+VLOOKUP($R131,武学奇术!$A:$ZZ,14,FALSE)+SUM(_xlfn.XLOOKUP($S131:$AL131,增益!$A:$A,增益!$N:$N,0))</f>
        <v>0</v>
      </c>
      <c r="BK131">
        <f t="shared" si="34"/>
        <v>605.472</v>
      </c>
      <c r="BL131">
        <f t="shared" si="35"/>
        <v>1725.468</v>
      </c>
      <c r="BM131" s="30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0</v>
      </c>
      <c r="BN131" s="30" cm="1">
        <f t="array" ref="BN131">$G$14+VLOOKUP($R131,武学奇术!$A:$ZZ,16,FALSE)+SUM(_xlfn.XLOOKUP($S131:$AL131,增益!$A:$A,增益!$P:$P,0))</f>
        <v>0.24</v>
      </c>
      <c r="BO131" s="24">
        <f>MIN(IF(VLOOKUP($R131,武学奇术!$A:$ZZ,23,FALSE)=1,100%,$B$8),100%)</f>
        <v>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+MIN(IF(VLOOKUP($R131,武学奇术!$A:$ZZ,32,FALSE)=1,IF(VLOOKUP($R131,武学奇术!$A:$ZZ,24,FALSE)=1,100%,MIN(40%,$B$10+VLOOKUP($R131,武学奇术!$A:$ZZ,19,FALSE)+SUM(_xlfn.XLOOKUP($S131:$AL131,增益!$A:$A,增益!$S:$S,0)))+$B$12+SUM(_xlfn.XLOOKUP($S131:$AL131,增益!$A:$A,增益!$V:$V,0))),0),12%)</f>
        <v>0.9036</v>
      </c>
      <c r="BQ131" s="24" cm="1">
        <f t="array" ref="BQ131">1+$B$13+VLOOKUP($R131,武学奇术!$A:$ZZ,18,FALSE)+SUM(_xlfn.XLOOKUP($S131:$AL131,增益!$A:$A,增益!$R:$R,0))</f>
        <v>1.89</v>
      </c>
      <c r="BR131" s="24" cm="1">
        <f t="array" ref="BR131">MAX(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-IF(VLOOKUP($R131,武学奇术!$A:$ZZ,32,FALSE)=1,12%,0),0)</f>
        <v>0.0929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6"/>
        <v>0.9036</v>
      </c>
      <c r="BU131" s="24">
        <f t="shared" si="37"/>
        <v>0.00350000000000006</v>
      </c>
      <c r="BV131" s="24">
        <f>IF(VLOOKUP($R131,武学奇术!$A:$ZZ,22,FALSE)=1,0,(1-$BO131))*(1-$BR131)</f>
        <v>0</v>
      </c>
      <c r="BW131" s="24" cm="1">
        <f t="array" ref="BW131">SUM(_xlfn.XLOOKUP($S131:$AL131,增益!$A:$A,增益!$W:$W,0))+$I$5</f>
        <v>0.21</v>
      </c>
      <c r="BX131" s="24" cm="1">
        <f t="array" ref="BX131">SUM(_xlfn.XLOOKUP($S131:$AL131,增益!$A:$A,增益!$X:$X,0))</f>
        <v>0</v>
      </c>
    </row>
    <row r="132" spans="11:76">
      <c r="K132">
        <f>$L132*VLOOKUP($R132,武学奇术!$A:$ZZ,31,FALSE)</f>
        <v>13598.0074693534</v>
      </c>
      <c r="L132" s="36">
        <f t="shared" si="26"/>
        <v>13598.0074693534</v>
      </c>
      <c r="M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BQ132*$Q132*(1+IF(VLOOKUP($R132,武学奇术!$A:$ZZ,30,FALSE)="蓄力技",$B$21,0))*(1+$BW132)</f>
        <v>13730.7982519234</v>
      </c>
      <c r="N132" s="36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蓄力技",$B$21,0))*(1+$BW132)</f>
        <v>12503.2791825691</v>
      </c>
      <c r="O132" s="36">
        <f>((($AT132+($AU132-$AT132)*IF(VLOOKUP($R132,武学奇术!$A:$ZZ,31,FALSE)=1,$F$18,0.5))*$AN132+$AO132)*(1+$AV132)*(1+$AW132)+(($AY132+($AZ132-$AY132)*IF(VLOOKUP($R132,武学奇术!$A:$ZZ,31,FALSE)=1,$F$18,0.5))*IF($G$1="鸣金",$AP132,$AN132)+IF($G$1="鸣金",$AQ132*1.5,0))*(1+$BA132)*(1+$BB132)+(($BC132+($BD132-$BC132)*IF(VLOOKUP($R132,武学奇术!$A:$ZZ,31,FALSE)=1,$F$18,0.5))*IF($G$1="裂石",$AP132,$AN132)+IF($G$1="裂石",$AQ132*1.5,0))*(1+$BE132)*(1+$BF132)+(($BG132+($BH132-$BG132)*IF(VLOOKUP($R132,武学奇术!$A:$ZZ,31,FALSE)=1,$F$18,0.5))*IF($G$1="牵丝",$AP132,$AN132)+IF($G$1="牵丝",$AQ132*1.5,0))*(1+$BI132)*(1+$BJ132)+(($BK132+($BL132-$BK132)*IF(VLOOKUP($R132,武学奇术!$A:$ZZ,31,FALSE)=1,$F$18,0.5))*IF($G$1="破竹",$AP132,$AN132)+IF($G$1="破竹",$AQ132*1.5,0))*(1+$BM132)*(1+$BN132))*(1+$AR132)*$Q132*(1+IF(VLOOKUP($R132,武学奇术!$A:$ZZ,30,FALSE)="蓄力技",$B$21,0))*(1+$BW132)</f>
        <v>8372.43795848987</v>
      </c>
      <c r="P132" s="36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蓄力技",$B$21,0))*(1+$BW132)</f>
        <v>7483.18763359523</v>
      </c>
      <c r="Q132" s="37">
        <f t="shared" si="27"/>
        <v>1</v>
      </c>
      <c r="R132" s="38" t="s">
        <v>202</v>
      </c>
      <c r="S132" s="38" t="s">
        <v>104</v>
      </c>
      <c r="T132" s="38" t="s">
        <v>79</v>
      </c>
      <c r="U132" s="38" t="s">
        <v>79</v>
      </c>
      <c r="V132" s="38" t="s">
        <v>79</v>
      </c>
      <c r="W132" s="38" t="s">
        <v>79</v>
      </c>
      <c r="X132" s="38" t="s">
        <v>79</v>
      </c>
      <c r="Y132" s="38" t="s">
        <v>173</v>
      </c>
      <c r="Z132" s="38" t="s">
        <v>79</v>
      </c>
      <c r="AA132" s="38" t="s">
        <v>79</v>
      </c>
      <c r="AB132" s="38" t="s">
        <v>79</v>
      </c>
      <c r="AC132" s="38" t="s">
        <v>79</v>
      </c>
      <c r="AD132" s="38" t="s">
        <v>79</v>
      </c>
      <c r="AE132" s="38" t="s">
        <v>79</v>
      </c>
      <c r="AF132" s="38" t="s">
        <v>84</v>
      </c>
      <c r="AG132" s="38" t="s">
        <v>85</v>
      </c>
      <c r="AH132" s="38" t="s">
        <v>79</v>
      </c>
      <c r="AI132" s="38" t="s">
        <v>79</v>
      </c>
      <c r="AJ132" s="38" t="s">
        <v>79</v>
      </c>
      <c r="AK132" s="38" t="s">
        <v>79</v>
      </c>
      <c r="AL132" s="38" t="s">
        <v>79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VLOOKUP($R132,武学奇术!$A:$ZZ,27,FALSE)*(1+IF(OR($AM132=$F$4,$AM132=$F$5),$B$22,0))</f>
        <v>0</v>
      </c>
      <c r="AP132" s="24">
        <f>VLOOKUP($R132,武学奇术!$A:$ZZ,28,FALSE)</f>
        <v>1</v>
      </c>
      <c r="AQ132" s="25">
        <f>VLOOKUP($R132,武学奇术!$A:$ZZ,29,FALSE)*(1+IF(OR($AM132=$F$4,$AM132=$F$5),$B$22,0))</f>
        <v>0</v>
      </c>
      <c r="AR132" s="24" cm="1">
        <f t="array" ref="AR132">$G$3+IFERROR(VLOOKUP($AM132,$F$4:$G$7,2,FALSE),0)+VLOOKUP($R132,武学奇术!$A:$ZZ,2,FALSE)+SUM(_xlfn.XLOOKUP($S132:$AL132,增益!$A:$A,增益!$B:$B,0))</f>
        <v>0.1537</v>
      </c>
      <c r="AS132" s="24" cm="1">
        <f t="array" ref="AS132">VLOOKUP($R132,武学奇术!$A:$ZZ,5,FALSE)+SUM(_xlfn.XLOOKUP($S132:$AL132,增益!$A:$A,增益!$E:$E,0))</f>
        <v>0</v>
      </c>
      <c r="AT132" cm="1">
        <f t="array" ref="AT132">$D$10*(1+$AS132)+VLOOKUP($R132,武学奇术!$A:$ZZ,3,FALSE)+SUM(_xlfn.XLOOKUP($S132:$AL132,增益!$A:$A,增益!$C:$C,0))-$I$2</f>
        <v>3839.102</v>
      </c>
      <c r="AU132" cm="1">
        <f t="array" ref="AU132">$E$10*(1+$AS132)+VLOOKUP($R132,武学奇术!$A:$ZZ,4,FALSE)+SUM(_xlfn.XLOOKUP($S132:$AL132,增益!$A:$A,增益!$D:$D,0))-$I$2</f>
        <v>3839.102</v>
      </c>
      <c r="AV132" s="30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0.217</v>
      </c>
      <c r="AW132" s="30" cm="1">
        <f t="array" ref="AW132">$G$10+VLOOKUP($R132,武学奇术!$A:$ZZ,7,FALSE)+SUM(_xlfn.XLOOKUP($S132:$AL132,增益!$A:$A,增益!$G:$G,0))</f>
        <v>0.09</v>
      </c>
      <c r="AX132" s="24" cm="1">
        <f t="array" ref="AX132">VLOOKUP($R132,武学奇术!$A:$ZZ,8,FALSE)+SUM(_xlfn.XLOOKUP($S132:$AL132,增益!$A:$A,增益!$H:$H,0))</f>
        <v>0</v>
      </c>
      <c r="AY132">
        <f t="shared" si="28"/>
        <v>0</v>
      </c>
      <c r="AZ132">
        <f t="shared" si="29"/>
        <v>0</v>
      </c>
      <c r="BA132" s="30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0" cm="1">
        <f t="array" ref="BB132">$G$11+VLOOKUP($R132,武学奇术!$A:$ZZ,10,FALSE)+SUM(_xlfn.XLOOKUP($S132:$AL132,增益!$A:$A,增益!$J:$J,0))</f>
        <v>0</v>
      </c>
      <c r="BC132">
        <f t="shared" si="30"/>
        <v>0</v>
      </c>
      <c r="BD132">
        <f t="shared" si="31"/>
        <v>0</v>
      </c>
      <c r="BE132" s="30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0" cm="1">
        <f t="array" ref="BF132">$G$12+VLOOKUP($R132,武学奇术!$A:$ZZ,12,FALSE)+SUM(_xlfn.XLOOKUP($S132:$AL132,增益!$A:$A,增益!$L:$L,0))</f>
        <v>0</v>
      </c>
      <c r="BG132">
        <f t="shared" si="32"/>
        <v>0</v>
      </c>
      <c r="BH132">
        <f t="shared" si="33"/>
        <v>0</v>
      </c>
      <c r="BI132" s="30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-0.3</v>
      </c>
      <c r="BJ132" s="30" cm="1">
        <f t="array" ref="BJ132">$G$13+VLOOKUP($R132,武学奇术!$A:$ZZ,14,FALSE)+SUM(_xlfn.XLOOKUP($S132:$AL132,增益!$A:$A,增益!$N:$N,0))</f>
        <v>0</v>
      </c>
      <c r="BK132">
        <f t="shared" si="34"/>
        <v>605.472</v>
      </c>
      <c r="BL132">
        <f t="shared" si="35"/>
        <v>1725.468</v>
      </c>
      <c r="BM132" s="30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0</v>
      </c>
      <c r="BN132" s="30" cm="1">
        <f t="array" ref="BN132">$G$14+VLOOKUP($R132,武学奇术!$A:$ZZ,16,FALSE)+SUM(_xlfn.XLOOKUP($S132:$AL132,增益!$A:$A,增益!$P:$P,0))</f>
        <v>0.24</v>
      </c>
      <c r="BO132" s="24">
        <f>MIN(IF(VLOOKUP($R132,武学奇术!$A:$ZZ,23,FALSE)=1,100%,$B$8),100%)</f>
        <v>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+MIN(IF(VLOOKUP($R132,武学奇术!$A:$ZZ,32,FALSE)=1,IF(VLOOKUP($R132,武学奇术!$A:$ZZ,24,FALSE)=1,100%,MIN(40%,$B$10+VLOOKUP($R132,武学奇术!$A:$ZZ,19,FALSE)+SUM(_xlfn.XLOOKUP($S132:$AL132,增益!$A:$A,增益!$S:$S,0)))+$B$12+SUM(_xlfn.XLOOKUP($S132:$AL132,增益!$A:$A,增益!$V:$V,0))),0),12%)</f>
        <v>0.9036</v>
      </c>
      <c r="BQ132" s="24" cm="1">
        <f t="array" ref="BQ132">1+$B$13+VLOOKUP($R132,武学奇术!$A:$ZZ,18,FALSE)+SUM(_xlfn.XLOOKUP($S132:$AL132,增益!$A:$A,增益!$R:$R,0))</f>
        <v>1.64</v>
      </c>
      <c r="BR132" s="24" cm="1">
        <f t="array" ref="BR132">MAX(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-IF(VLOOKUP($R132,武学奇术!$A:$ZZ,32,FALSE)=1,12%,0),0)</f>
        <v>0.0929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6"/>
        <v>0.9036</v>
      </c>
      <c r="BU132" s="24">
        <f t="shared" si="37"/>
        <v>0.00350000000000006</v>
      </c>
      <c r="BV132" s="24">
        <f>IF(VLOOKUP($R132,武学奇术!$A:$ZZ,22,FALSE)=1,0,(1-$BO132))*(1-$BR132)</f>
        <v>0</v>
      </c>
      <c r="BW132" s="24" cm="1">
        <f t="array" ref="BW132">SUM(_xlfn.XLOOKUP($S132:$AL132,增益!$A:$A,增益!$W:$W,0))+$I$5</f>
        <v>0.11</v>
      </c>
      <c r="BX132" s="24" cm="1">
        <f t="array" ref="BX132">SUM(_xlfn.XLOOKUP($S132:$AL132,增益!$A:$A,增益!$X:$X,0))</f>
        <v>0</v>
      </c>
    </row>
    <row r="133" spans="11:76">
      <c r="K133">
        <f>$L133*VLOOKUP($R133,武学奇术!$A:$ZZ,31,FALSE)</f>
        <v>16719.6800940523</v>
      </c>
      <c r="L133" s="36">
        <f t="shared" si="26"/>
        <v>16719.6800940523</v>
      </c>
      <c r="M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BQ133*$Q133*(1+IF(VLOOKUP($R133,武学奇术!$A:$ZZ,30,FALSE)="蓄力技",$B$21,0))*(1+$BW133)</f>
        <v>17089.9372767474</v>
      </c>
      <c r="N133" s="36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蓄力技",$B$21,0))*(1+$BW133)</f>
        <v>13407.5859934273</v>
      </c>
      <c r="O133" s="36">
        <f>((($AT133+($AU133-$AT133)*IF(VLOOKUP($R133,武学奇术!$A:$ZZ,31,FALSE)=1,$F$18,0.5))*$AN133+$AO133)*(1+$AV133)*(1+$AW133)+(($AY133+($AZ133-$AY133)*IF(VLOOKUP($R133,武学奇术!$A:$ZZ,31,FALSE)=1,$F$18,0.5))*IF($G$1="鸣金",$AP133,$AN133)+IF($G$1="鸣金",$AQ133*1.5,0))*(1+$BA133)*(1+$BB133)+(($BC133+($BD133-$BC133)*IF(VLOOKUP($R133,武学奇术!$A:$ZZ,31,FALSE)=1,$F$18,0.5))*IF($G$1="裂石",$AP133,$AN133)+IF($G$1="裂石",$AQ133*1.5,0))*(1+$BE133)*(1+$BF133)+(($BG133+($BH133-$BG133)*IF(VLOOKUP($R133,武学奇术!$A:$ZZ,31,FALSE)=1,$F$18,0.5))*IF($G$1="牵丝",$AP133,$AN133)+IF($G$1="牵丝",$AQ133*1.5,0))*(1+$BI133)*(1+$BJ133)+(($BK133+($BL133-$BK133)*IF(VLOOKUP($R133,武学奇术!$A:$ZZ,31,FALSE)=1,$F$18,0.5))*IF($G$1="破竹",$AP133,$AN133)+IF($G$1="破竹",$AQ133*1.5,0))*(1+$BM133)*(1+$BN133))*(1+$AR133)*$Q133*(1+IF(VLOOKUP($R133,武学奇术!$A:$ZZ,30,FALSE)="蓄力技",$B$21,0))*(1+$BW133)</f>
        <v>9042.2948554219</v>
      </c>
      <c r="P133" s="36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蓄力技",$B$21,0))*(1+$BW133)</f>
        <v>8153.04453052726</v>
      </c>
      <c r="Q133" s="37">
        <f t="shared" si="27"/>
        <v>1</v>
      </c>
      <c r="R133" s="38" t="s">
        <v>202</v>
      </c>
      <c r="S133" s="38" t="s">
        <v>104</v>
      </c>
      <c r="T133" s="38" t="s">
        <v>139</v>
      </c>
      <c r="U133" s="38" t="s">
        <v>79</v>
      </c>
      <c r="V133" s="38" t="s">
        <v>79</v>
      </c>
      <c r="W133" s="38" t="s">
        <v>79</v>
      </c>
      <c r="X133" s="38" t="s">
        <v>79</v>
      </c>
      <c r="Y133" s="38" t="s">
        <v>173</v>
      </c>
      <c r="Z133" s="38" t="s">
        <v>79</v>
      </c>
      <c r="AA133" s="38" t="s">
        <v>79</v>
      </c>
      <c r="AB133" s="38" t="s">
        <v>79</v>
      </c>
      <c r="AC133" s="38" t="s">
        <v>79</v>
      </c>
      <c r="AD133" s="38" t="s">
        <v>79</v>
      </c>
      <c r="AE133" s="38" t="s">
        <v>79</v>
      </c>
      <c r="AF133" s="38" t="s">
        <v>84</v>
      </c>
      <c r="AG133" s="38" t="s">
        <v>85</v>
      </c>
      <c r="AH133" s="38" t="s">
        <v>79</v>
      </c>
      <c r="AI133" s="38" t="s">
        <v>79</v>
      </c>
      <c r="AJ133" s="38" t="s">
        <v>79</v>
      </c>
      <c r="AK133" s="38" t="s">
        <v>79</v>
      </c>
      <c r="AL133" s="38" t="s">
        <v>79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VLOOKUP($R133,武学奇术!$A:$ZZ,27,FALSE)*(1+IF(OR($AM133=$F$4,$AM133=$F$5),$B$22,0))</f>
        <v>0</v>
      </c>
      <c r="AP133" s="24">
        <f>VLOOKUP($R133,武学奇术!$A:$ZZ,28,FALSE)</f>
        <v>1</v>
      </c>
      <c r="AQ133" s="25">
        <f>VLOOKUP($R133,武学奇术!$A:$ZZ,29,FALSE)*(1+IF(OR($AM133=$F$4,$AM133=$F$5),$B$22,0))</f>
        <v>0</v>
      </c>
      <c r="AR133" s="24" cm="1">
        <f t="array" ref="AR133">$G$3+IFERROR(VLOOKUP($AM133,$F$4:$G$7,2,FALSE),0)+VLOOKUP($R133,武学奇术!$A:$ZZ,2,FALSE)+SUM(_xlfn.XLOOKUP($S133:$AL133,增益!$A:$A,增益!$B:$B,0))</f>
        <v>0.1537</v>
      </c>
      <c r="AS133" s="24" cm="1">
        <f t="array" ref="AS133">VLOOKUP($R133,武学奇术!$A:$ZZ,5,FALSE)+SUM(_xlfn.XLOOKUP($S133:$AL133,增益!$A:$A,增益!$E:$E,0))</f>
        <v>0</v>
      </c>
      <c r="AT133" cm="1">
        <f t="array" ref="AT133">$D$10*(1+$AS133)+VLOOKUP($R133,武学奇术!$A:$ZZ,3,FALSE)+SUM(_xlfn.XLOOKUP($S133:$AL133,增益!$A:$A,增益!$C:$C,0))-$I$2</f>
        <v>3839.102</v>
      </c>
      <c r="AU133" cm="1">
        <f t="array" ref="AU133">$E$10*(1+$AS133)+VLOOKUP($R133,武学奇术!$A:$ZZ,4,FALSE)+SUM(_xlfn.XLOOKUP($S133:$AL133,增益!$A:$A,增益!$D:$D,0))-$I$2</f>
        <v>3839.102</v>
      </c>
      <c r="AV133" s="30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0.342</v>
      </c>
      <c r="AW133" s="30" cm="1">
        <f t="array" ref="AW133">$G$10+VLOOKUP($R133,武学奇术!$A:$ZZ,7,FALSE)+SUM(_xlfn.XLOOKUP($S133:$AL133,增益!$A:$A,增益!$G:$G,0))</f>
        <v>0.09</v>
      </c>
      <c r="AX133" s="24" cm="1">
        <f t="array" ref="AX133">VLOOKUP($R133,武学奇术!$A:$ZZ,8,FALSE)+SUM(_xlfn.XLOOKUP($S133:$AL133,增益!$A:$A,增益!$H:$H,0))</f>
        <v>0</v>
      </c>
      <c r="AY133">
        <f t="shared" si="28"/>
        <v>0</v>
      </c>
      <c r="AZ133">
        <f t="shared" si="29"/>
        <v>0</v>
      </c>
      <c r="BA133" s="30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0" cm="1">
        <f t="array" ref="BB133">$G$11+VLOOKUP($R133,武学奇术!$A:$ZZ,10,FALSE)+SUM(_xlfn.XLOOKUP($S133:$AL133,增益!$A:$A,增益!$J:$J,0))</f>
        <v>0</v>
      </c>
      <c r="BC133">
        <f t="shared" si="30"/>
        <v>0</v>
      </c>
      <c r="BD133">
        <f t="shared" si="31"/>
        <v>0</v>
      </c>
      <c r="BE133" s="30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0" cm="1">
        <f t="array" ref="BF133">$G$12+VLOOKUP($R133,武学奇术!$A:$ZZ,12,FALSE)+SUM(_xlfn.XLOOKUP($S133:$AL133,增益!$A:$A,增益!$L:$L,0))</f>
        <v>0</v>
      </c>
      <c r="BG133">
        <f t="shared" si="32"/>
        <v>0</v>
      </c>
      <c r="BH133">
        <f t="shared" si="33"/>
        <v>0</v>
      </c>
      <c r="BI133" s="30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-0.3</v>
      </c>
      <c r="BJ133" s="30" cm="1">
        <f t="array" ref="BJ133">$G$13+VLOOKUP($R133,武学奇术!$A:$ZZ,14,FALSE)+SUM(_xlfn.XLOOKUP($S133:$AL133,增益!$A:$A,增益!$N:$N,0))</f>
        <v>0</v>
      </c>
      <c r="BK133">
        <f t="shared" si="34"/>
        <v>605.472</v>
      </c>
      <c r="BL133">
        <f t="shared" si="35"/>
        <v>1725.468</v>
      </c>
      <c r="BM133" s="30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0</v>
      </c>
      <c r="BN133" s="30" cm="1">
        <f t="array" ref="BN133">$G$14+VLOOKUP($R133,武学奇术!$A:$ZZ,16,FALSE)+SUM(_xlfn.XLOOKUP($S133:$AL133,增益!$A:$A,增益!$P:$P,0))</f>
        <v>0.24</v>
      </c>
      <c r="BO133" s="24">
        <f>MIN(IF(VLOOKUP($R133,武学奇术!$A:$ZZ,23,FALSE)=1,100%,$B$8),100%)</f>
        <v>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+MIN(IF(VLOOKUP($R133,武学奇术!$A:$ZZ,32,FALSE)=1,IF(VLOOKUP($R133,武学奇术!$A:$ZZ,24,FALSE)=1,100%,MIN(40%,$B$10+VLOOKUP($R133,武学奇术!$A:$ZZ,19,FALSE)+SUM(_xlfn.XLOOKUP($S133:$AL133,增益!$A:$A,增益!$S:$S,0)))+$B$12+SUM(_xlfn.XLOOKUP($S133:$AL133,增益!$A:$A,增益!$V:$V,0))),0),12%)</f>
        <v>0.9036</v>
      </c>
      <c r="BQ133" s="24" cm="1">
        <f t="array" ref="BQ133">1+$B$13+VLOOKUP($R133,武学奇术!$A:$ZZ,18,FALSE)+SUM(_xlfn.XLOOKUP($S133:$AL133,增益!$A:$A,增益!$R:$R,0))</f>
        <v>1.89</v>
      </c>
      <c r="BR133" s="24" cm="1">
        <f t="array" ref="BR133">MAX(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-IF(VLOOKUP($R133,武学奇术!$A:$ZZ,32,FALSE)=1,12%,0),0)</f>
        <v>0.0929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6"/>
        <v>0.9036</v>
      </c>
      <c r="BU133" s="24">
        <f t="shared" si="37"/>
        <v>0.00350000000000006</v>
      </c>
      <c r="BV133" s="24">
        <f>IF(VLOOKUP($R133,武学奇术!$A:$ZZ,22,FALSE)=1,0,(1-$BO133))*(1-$BR133)</f>
        <v>0</v>
      </c>
      <c r="BW133" s="24" cm="1">
        <f t="array" ref="BW133">SUM(_xlfn.XLOOKUP($S133:$AL133,增益!$A:$A,增益!$W:$W,0))+$I$5</f>
        <v>0.11</v>
      </c>
      <c r="BX133" s="24" cm="1">
        <f t="array" ref="BX133">SUM(_xlfn.XLOOKUP($S133:$AL133,增益!$A:$A,增益!$X:$X,0))</f>
        <v>0</v>
      </c>
    </row>
    <row r="134" spans="11:76">
      <c r="K134">
        <f>$L134*VLOOKUP($R134,武学奇术!$A:$ZZ,31,FALSE)</f>
        <v>13598.0074693534</v>
      </c>
      <c r="L134" s="36">
        <f t="shared" si="26"/>
        <v>13598.0074693534</v>
      </c>
      <c r="M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BQ134*$Q134*(1+IF(VLOOKUP($R134,武学奇术!$A:$ZZ,30,FALSE)="蓄力技",$B$21,0))*(1+$BW134)</f>
        <v>13730.7982519234</v>
      </c>
      <c r="N134" s="36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蓄力技",$B$21,0))*(1+$BW134)</f>
        <v>12503.2791825691</v>
      </c>
      <c r="O134" s="36">
        <f>((($AT134+($AU134-$AT134)*IF(VLOOKUP($R134,武学奇术!$A:$ZZ,31,FALSE)=1,$F$18,0.5))*$AN134+$AO134)*(1+$AV134)*(1+$AW134)+(($AY134+($AZ134-$AY134)*IF(VLOOKUP($R134,武学奇术!$A:$ZZ,31,FALSE)=1,$F$18,0.5))*IF($G$1="鸣金",$AP134,$AN134)+IF($G$1="鸣金",$AQ134*1.5,0))*(1+$BA134)*(1+$BB134)+(($BC134+($BD134-$BC134)*IF(VLOOKUP($R134,武学奇术!$A:$ZZ,31,FALSE)=1,$F$18,0.5))*IF($G$1="裂石",$AP134,$AN134)+IF($G$1="裂石",$AQ134*1.5,0))*(1+$BE134)*(1+$BF134)+(($BG134+($BH134-$BG134)*IF(VLOOKUP($R134,武学奇术!$A:$ZZ,31,FALSE)=1,$F$18,0.5))*IF($G$1="牵丝",$AP134,$AN134)+IF($G$1="牵丝",$AQ134*1.5,0))*(1+$BI134)*(1+$BJ134)+(($BK134+($BL134-$BK134)*IF(VLOOKUP($R134,武学奇术!$A:$ZZ,31,FALSE)=1,$F$18,0.5))*IF($G$1="破竹",$AP134,$AN134)+IF($G$1="破竹",$AQ134*1.5,0))*(1+$BM134)*(1+$BN134))*(1+$AR134)*$Q134*(1+IF(VLOOKUP($R134,武学奇术!$A:$ZZ,30,FALSE)="蓄力技",$B$21,0))*(1+$BW134)</f>
        <v>8372.43795848987</v>
      </c>
      <c r="P134" s="36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蓄力技",$B$21,0))*(1+$BW134)</f>
        <v>7483.18763359523</v>
      </c>
      <c r="Q134" s="37">
        <f t="shared" si="27"/>
        <v>1</v>
      </c>
      <c r="R134" s="38" t="s">
        <v>202</v>
      </c>
      <c r="S134" s="38" t="s">
        <v>104</v>
      </c>
      <c r="T134" s="38" t="s">
        <v>79</v>
      </c>
      <c r="U134" s="38" t="s">
        <v>79</v>
      </c>
      <c r="V134" s="38" t="s">
        <v>79</v>
      </c>
      <c r="W134" s="38" t="s">
        <v>79</v>
      </c>
      <c r="X134" s="38" t="s">
        <v>79</v>
      </c>
      <c r="Y134" s="38" t="s">
        <v>173</v>
      </c>
      <c r="Z134" s="38" t="s">
        <v>79</v>
      </c>
      <c r="AA134" s="38" t="s">
        <v>79</v>
      </c>
      <c r="AB134" s="38" t="s">
        <v>79</v>
      </c>
      <c r="AC134" s="38" t="s">
        <v>79</v>
      </c>
      <c r="AD134" s="38" t="s">
        <v>79</v>
      </c>
      <c r="AE134" s="38" t="s">
        <v>79</v>
      </c>
      <c r="AF134" s="38" t="s">
        <v>84</v>
      </c>
      <c r="AG134" s="38" t="s">
        <v>85</v>
      </c>
      <c r="AH134" s="38" t="s">
        <v>79</v>
      </c>
      <c r="AI134" s="38" t="s">
        <v>79</v>
      </c>
      <c r="AJ134" s="38" t="s">
        <v>79</v>
      </c>
      <c r="AK134" s="38" t="s">
        <v>79</v>
      </c>
      <c r="AL134" s="38" t="s">
        <v>79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VLOOKUP($R134,武学奇术!$A:$ZZ,27,FALSE)*(1+IF(OR($AM134=$F$4,$AM134=$F$5),$B$22,0))</f>
        <v>0</v>
      </c>
      <c r="AP134" s="24">
        <f>VLOOKUP($R134,武学奇术!$A:$ZZ,28,FALSE)</f>
        <v>1</v>
      </c>
      <c r="AQ134" s="25">
        <f>VLOOKUP($R134,武学奇术!$A:$ZZ,29,FALSE)*(1+IF(OR($AM134=$F$4,$AM134=$F$5),$B$22,0))</f>
        <v>0</v>
      </c>
      <c r="AR134" s="24" cm="1">
        <f t="array" ref="AR134">$G$3+IFERROR(VLOOKUP($AM134,$F$4:$G$7,2,FALSE),0)+VLOOKUP($R134,武学奇术!$A:$ZZ,2,FALSE)+SUM(_xlfn.XLOOKUP($S134:$AL134,增益!$A:$A,增益!$B:$B,0))</f>
        <v>0.1537</v>
      </c>
      <c r="AS134" s="24" cm="1">
        <f t="array" ref="AS134">VLOOKUP($R134,武学奇术!$A:$ZZ,5,FALSE)+SUM(_xlfn.XLOOKUP($S134:$AL134,增益!$A:$A,增益!$E:$E,0))</f>
        <v>0</v>
      </c>
      <c r="AT134" cm="1">
        <f t="array" ref="AT134">$D$10*(1+$AS134)+VLOOKUP($R134,武学奇术!$A:$ZZ,3,FALSE)+SUM(_xlfn.XLOOKUP($S134:$AL134,增益!$A:$A,增益!$C:$C,0))-$I$2</f>
        <v>3839.102</v>
      </c>
      <c r="AU134" cm="1">
        <f t="array" ref="AU134">$E$10*(1+$AS134)+VLOOKUP($R134,武学奇术!$A:$ZZ,4,FALSE)+SUM(_xlfn.XLOOKUP($S134:$AL134,增益!$A:$A,增益!$D:$D,0))-$I$2</f>
        <v>3839.102</v>
      </c>
      <c r="AV134" s="30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0.217</v>
      </c>
      <c r="AW134" s="30" cm="1">
        <f t="array" ref="AW134">$G$10+VLOOKUP($R134,武学奇术!$A:$ZZ,7,FALSE)+SUM(_xlfn.XLOOKUP($S134:$AL134,增益!$A:$A,增益!$G:$G,0))</f>
        <v>0.09</v>
      </c>
      <c r="AX134" s="24" cm="1">
        <f t="array" ref="AX134">VLOOKUP($R134,武学奇术!$A:$ZZ,8,FALSE)+SUM(_xlfn.XLOOKUP($S134:$AL134,增益!$A:$A,增益!$H:$H,0))</f>
        <v>0</v>
      </c>
      <c r="AY134">
        <f t="shared" si="28"/>
        <v>0</v>
      </c>
      <c r="AZ134">
        <f t="shared" si="29"/>
        <v>0</v>
      </c>
      <c r="BA134" s="30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0" cm="1">
        <f t="array" ref="BB134">$G$11+VLOOKUP($R134,武学奇术!$A:$ZZ,10,FALSE)+SUM(_xlfn.XLOOKUP($S134:$AL134,增益!$A:$A,增益!$J:$J,0))</f>
        <v>0</v>
      </c>
      <c r="BC134">
        <f t="shared" si="30"/>
        <v>0</v>
      </c>
      <c r="BD134">
        <f t="shared" si="31"/>
        <v>0</v>
      </c>
      <c r="BE134" s="30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0" cm="1">
        <f t="array" ref="BF134">$G$12+VLOOKUP($R134,武学奇术!$A:$ZZ,12,FALSE)+SUM(_xlfn.XLOOKUP($S134:$AL134,增益!$A:$A,增益!$L:$L,0))</f>
        <v>0</v>
      </c>
      <c r="BG134">
        <f t="shared" si="32"/>
        <v>0</v>
      </c>
      <c r="BH134">
        <f t="shared" si="33"/>
        <v>0</v>
      </c>
      <c r="BI134" s="30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-0.3</v>
      </c>
      <c r="BJ134" s="30" cm="1">
        <f t="array" ref="BJ134">$G$13+VLOOKUP($R134,武学奇术!$A:$ZZ,14,FALSE)+SUM(_xlfn.XLOOKUP($S134:$AL134,增益!$A:$A,增益!$N:$N,0))</f>
        <v>0</v>
      </c>
      <c r="BK134">
        <f t="shared" si="34"/>
        <v>605.472</v>
      </c>
      <c r="BL134">
        <f t="shared" si="35"/>
        <v>1725.468</v>
      </c>
      <c r="BM134" s="30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0</v>
      </c>
      <c r="BN134" s="30" cm="1">
        <f t="array" ref="BN134">$G$14+VLOOKUP($R134,武学奇术!$A:$ZZ,16,FALSE)+SUM(_xlfn.XLOOKUP($S134:$AL134,增益!$A:$A,增益!$P:$P,0))</f>
        <v>0.24</v>
      </c>
      <c r="BO134" s="24">
        <f>MIN(IF(VLOOKUP($R134,武学奇术!$A:$ZZ,23,FALSE)=1,100%,$B$8),100%)</f>
        <v>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+MIN(IF(VLOOKUP($R134,武学奇术!$A:$ZZ,32,FALSE)=1,IF(VLOOKUP($R134,武学奇术!$A:$ZZ,24,FALSE)=1,100%,MIN(40%,$B$10+VLOOKUP($R134,武学奇术!$A:$ZZ,19,FALSE)+SUM(_xlfn.XLOOKUP($S134:$AL134,增益!$A:$A,增益!$S:$S,0)))+$B$12+SUM(_xlfn.XLOOKUP($S134:$AL134,增益!$A:$A,增益!$V:$V,0))),0),12%)</f>
        <v>0.9036</v>
      </c>
      <c r="BQ134" s="24" cm="1">
        <f t="array" ref="BQ134">1+$B$13+VLOOKUP($R134,武学奇术!$A:$ZZ,18,FALSE)+SUM(_xlfn.XLOOKUP($S134:$AL134,增益!$A:$A,增益!$R:$R,0))</f>
        <v>1.64</v>
      </c>
      <c r="BR134" s="24" cm="1">
        <f t="array" ref="BR134">MAX(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-IF(VLOOKUP($R134,武学奇术!$A:$ZZ,32,FALSE)=1,12%,0),0)</f>
        <v>0.0929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6"/>
        <v>0.9036</v>
      </c>
      <c r="BU134" s="24">
        <f t="shared" si="37"/>
        <v>0.00350000000000006</v>
      </c>
      <c r="BV134" s="24">
        <f>IF(VLOOKUP($R134,武学奇术!$A:$ZZ,22,FALSE)=1,0,(1-$BO134))*(1-$BR134)</f>
        <v>0</v>
      </c>
      <c r="BW134" s="24" cm="1">
        <f t="array" ref="BW134">SUM(_xlfn.XLOOKUP($S134:$AL134,增益!$A:$A,增益!$W:$W,0))+$I$5</f>
        <v>0.11</v>
      </c>
      <c r="BX134" s="24" cm="1">
        <f t="array" ref="BX134">SUM(_xlfn.XLOOKUP($S134:$AL134,增益!$A:$A,增益!$X:$X,0))</f>
        <v>0</v>
      </c>
    </row>
    <row r="135" spans="11:76">
      <c r="K135">
        <f>$L135*VLOOKUP($R135,武学奇术!$A:$ZZ,31,FALSE)</f>
        <v>13598.0074693534</v>
      </c>
      <c r="L135" s="36">
        <f t="shared" si="26"/>
        <v>13598.0074693534</v>
      </c>
      <c r="M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BQ135*$Q135*(1+IF(VLOOKUP($R135,武学奇术!$A:$ZZ,30,FALSE)="蓄力技",$B$21,0))*(1+$BW135)</f>
        <v>13730.7982519234</v>
      </c>
      <c r="N135" s="36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蓄力技",$B$21,0))*(1+$BW135)</f>
        <v>12503.2791825691</v>
      </c>
      <c r="O135" s="36">
        <f>((($AT135+($AU135-$AT135)*IF(VLOOKUP($R135,武学奇术!$A:$ZZ,31,FALSE)=1,$F$18,0.5))*$AN135+$AO135)*(1+$AV135)*(1+$AW135)+(($AY135+($AZ135-$AY135)*IF(VLOOKUP($R135,武学奇术!$A:$ZZ,31,FALSE)=1,$F$18,0.5))*IF($G$1="鸣金",$AP135,$AN135)+IF($G$1="鸣金",$AQ135*1.5,0))*(1+$BA135)*(1+$BB135)+(($BC135+($BD135-$BC135)*IF(VLOOKUP($R135,武学奇术!$A:$ZZ,31,FALSE)=1,$F$18,0.5))*IF($G$1="裂石",$AP135,$AN135)+IF($G$1="裂石",$AQ135*1.5,0))*(1+$BE135)*(1+$BF135)+(($BG135+($BH135-$BG135)*IF(VLOOKUP($R135,武学奇术!$A:$ZZ,31,FALSE)=1,$F$18,0.5))*IF($G$1="牵丝",$AP135,$AN135)+IF($G$1="牵丝",$AQ135*1.5,0))*(1+$BI135)*(1+$BJ135)+(($BK135+($BL135-$BK135)*IF(VLOOKUP($R135,武学奇术!$A:$ZZ,31,FALSE)=1,$F$18,0.5))*IF($G$1="破竹",$AP135,$AN135)+IF($G$1="破竹",$AQ135*1.5,0))*(1+$BM135)*(1+$BN135))*(1+$AR135)*$Q135*(1+IF(VLOOKUP($R135,武学奇术!$A:$ZZ,30,FALSE)="蓄力技",$B$21,0))*(1+$BW135)</f>
        <v>8372.43795848987</v>
      </c>
      <c r="P135" s="36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蓄力技",$B$21,0))*(1+$BW135)</f>
        <v>7483.18763359523</v>
      </c>
      <c r="Q135" s="37">
        <f t="shared" si="27"/>
        <v>1</v>
      </c>
      <c r="R135" s="38" t="s">
        <v>202</v>
      </c>
      <c r="S135" s="38" t="s">
        <v>104</v>
      </c>
      <c r="T135" s="38" t="s">
        <v>79</v>
      </c>
      <c r="U135" s="38" t="s">
        <v>79</v>
      </c>
      <c r="V135" s="38" t="s">
        <v>79</v>
      </c>
      <c r="W135" s="38" t="s">
        <v>79</v>
      </c>
      <c r="X135" s="38" t="s">
        <v>79</v>
      </c>
      <c r="Y135" s="38" t="s">
        <v>173</v>
      </c>
      <c r="Z135" s="38" t="s">
        <v>79</v>
      </c>
      <c r="AA135" s="38" t="s">
        <v>79</v>
      </c>
      <c r="AB135" s="38" t="s">
        <v>79</v>
      </c>
      <c r="AC135" s="38" t="s">
        <v>79</v>
      </c>
      <c r="AD135" s="38" t="s">
        <v>79</v>
      </c>
      <c r="AE135" s="38" t="s">
        <v>79</v>
      </c>
      <c r="AF135" s="38" t="s">
        <v>84</v>
      </c>
      <c r="AG135" s="38" t="s">
        <v>85</v>
      </c>
      <c r="AH135" s="38" t="s">
        <v>79</v>
      </c>
      <c r="AI135" s="38" t="s">
        <v>79</v>
      </c>
      <c r="AJ135" s="38" t="s">
        <v>79</v>
      </c>
      <c r="AK135" s="38" t="s">
        <v>79</v>
      </c>
      <c r="AL135" s="38" t="s">
        <v>79</v>
      </c>
      <c r="AM135" t="str">
        <f>VLOOKUP($R135,武学奇术!$A:$ZZ,25,FALSE)</f>
        <v>心法</v>
      </c>
      <c r="AN135" s="24">
        <f>VLOOKUP($R135,武学奇术!$A:$ZZ,26,FALSE)</f>
        <v>1</v>
      </c>
      <c r="AO135" s="25">
        <f>VLOOKUP($R135,武学奇术!$A:$ZZ,27,FALSE)*(1+IF(OR($AM135=$F$4,$AM135=$F$5),$B$22,0))</f>
        <v>0</v>
      </c>
      <c r="AP135" s="24">
        <f>VLOOKUP($R135,武学奇术!$A:$ZZ,28,FALSE)</f>
        <v>1</v>
      </c>
      <c r="AQ135" s="25">
        <f>VLOOKUP($R135,武学奇术!$A:$ZZ,29,FALSE)*(1+IF(OR($AM135=$F$4,$AM135=$F$5),$B$22,0))</f>
        <v>0</v>
      </c>
      <c r="AR135" s="24" cm="1">
        <f t="array" ref="AR135">$G$3+IFERROR(VLOOKUP($AM135,$F$4:$G$7,2,FALSE),0)+VLOOKUP($R135,武学奇术!$A:$ZZ,2,FALSE)+SUM(_xlfn.XLOOKUP($S135:$AL135,增益!$A:$A,增益!$B:$B,0))</f>
        <v>0.1537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3839.102</v>
      </c>
      <c r="AU135" cm="1">
        <f t="array" ref="AU135">$E$10*(1+$AS135)+VLOOKUP($R135,武学奇术!$A:$ZZ,4,FALSE)+SUM(_xlfn.XLOOKUP($S135:$AL135,增益!$A:$A,增益!$D:$D,0))-$I$2</f>
        <v>3839.102</v>
      </c>
      <c r="AV135" s="30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0.217</v>
      </c>
      <c r="AW135" s="30" cm="1">
        <f t="array" ref="AW135">$G$10+VLOOKUP($R135,武学奇术!$A:$ZZ,7,FALSE)+SUM(_xlfn.XLOOKUP($S135:$AL135,增益!$A:$A,增益!$G:$G,0))</f>
        <v>0.09</v>
      </c>
      <c r="AX135" s="24" cm="1">
        <f t="array" ref="AX135">VLOOKUP($R135,武学奇术!$A:$ZZ,8,FALSE)+SUM(_xlfn.XLOOKUP($S135:$AL135,增益!$A:$A,增益!$H:$H,0))</f>
        <v>0</v>
      </c>
      <c r="AY135">
        <f t="shared" si="28"/>
        <v>0</v>
      </c>
      <c r="AZ135">
        <f t="shared" si="29"/>
        <v>0</v>
      </c>
      <c r="BA135" s="30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0" cm="1">
        <f t="array" ref="BB135">$G$11+VLOOKUP($R135,武学奇术!$A:$ZZ,10,FALSE)+SUM(_xlfn.XLOOKUP($S135:$AL135,增益!$A:$A,增益!$J:$J,0))</f>
        <v>0</v>
      </c>
      <c r="BC135">
        <f t="shared" si="30"/>
        <v>0</v>
      </c>
      <c r="BD135">
        <f t="shared" si="31"/>
        <v>0</v>
      </c>
      <c r="BE135" s="30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0" cm="1">
        <f t="array" ref="BF135">$G$12+VLOOKUP($R135,武学奇术!$A:$ZZ,12,FALSE)+SUM(_xlfn.XLOOKUP($S135:$AL135,增益!$A:$A,增益!$L:$L,0))</f>
        <v>0</v>
      </c>
      <c r="BG135">
        <f t="shared" si="32"/>
        <v>0</v>
      </c>
      <c r="BH135">
        <f t="shared" si="33"/>
        <v>0</v>
      </c>
      <c r="BI135" s="30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-0.3</v>
      </c>
      <c r="BJ135" s="30" cm="1">
        <f t="array" ref="BJ135">$G$13+VLOOKUP($R135,武学奇术!$A:$ZZ,14,FALSE)+SUM(_xlfn.XLOOKUP($S135:$AL135,增益!$A:$A,增益!$N:$N,0))</f>
        <v>0</v>
      </c>
      <c r="BK135">
        <f t="shared" si="34"/>
        <v>605.472</v>
      </c>
      <c r="BL135">
        <f t="shared" si="35"/>
        <v>1725.468</v>
      </c>
      <c r="BM135" s="30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0</v>
      </c>
      <c r="BN135" s="30" cm="1">
        <f t="array" ref="BN135">$G$14+VLOOKUP($R135,武学奇术!$A:$ZZ,16,FALSE)+SUM(_xlfn.XLOOKUP($S135:$AL135,增益!$A:$A,增益!$P:$P,0))</f>
        <v>0.24</v>
      </c>
      <c r="BO135" s="24">
        <f>MIN(IF(VLOOKUP($R135,武学奇术!$A:$ZZ,23,FALSE)=1,100%,$B$8),100%)</f>
        <v>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+MIN(IF(VLOOKUP($R135,武学奇术!$A:$ZZ,32,FALSE)=1,IF(VLOOKUP($R135,武学奇术!$A:$ZZ,24,FALSE)=1,100%,MIN(40%,$B$10+VLOOKUP($R135,武学奇术!$A:$ZZ,19,FALSE)+SUM(_xlfn.XLOOKUP($S135:$AL135,增益!$A:$A,增益!$S:$S,0)))+$B$12+SUM(_xlfn.XLOOKUP($S135:$AL135,增益!$A:$A,增益!$V:$V,0))),0),12%)</f>
        <v>0.9036</v>
      </c>
      <c r="BQ135" s="24" cm="1">
        <f t="array" ref="BQ135">1+$B$13+VLOOKUP($R135,武学奇术!$A:$ZZ,18,FALSE)+SUM(_xlfn.XLOOKUP($S135:$AL135,增益!$A:$A,增益!$R:$R,0))</f>
        <v>1.64</v>
      </c>
      <c r="BR135" s="24" cm="1">
        <f t="array" ref="BR135">MAX(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-IF(VLOOKUP($R135,武学奇术!$A:$ZZ,32,FALSE)=1,12%,0),0)</f>
        <v>0.0929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6"/>
        <v>0.9036</v>
      </c>
      <c r="BU135" s="24">
        <f t="shared" si="37"/>
        <v>0.00350000000000006</v>
      </c>
      <c r="BV135" s="24">
        <f>IF(VLOOKUP($R135,武学奇术!$A:$ZZ,22,FALSE)=1,0,(1-$BO135))*(1-$BR135)</f>
        <v>0</v>
      </c>
      <c r="BW135" s="24" cm="1">
        <f t="array" ref="BW135">SUM(_xlfn.XLOOKUP($S135:$AL135,增益!$A:$A,增益!$W:$W,0))+$I$5</f>
        <v>0.11</v>
      </c>
      <c r="BX135" s="24" cm="1">
        <f t="array" ref="BX135">SUM(_xlfn.XLOOKUP($S135:$AL135,增益!$A:$A,增益!$X:$X,0))</f>
        <v>0</v>
      </c>
    </row>
    <row r="136" spans="11:76">
      <c r="K136">
        <f>$L136*VLOOKUP($R136,武学奇术!$A:$ZZ,31,FALSE)</f>
        <v>18225.957580003</v>
      </c>
      <c r="L136" s="36">
        <f t="shared" si="26"/>
        <v>18225.957580003</v>
      </c>
      <c r="M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BQ136*$Q136*(1+IF(VLOOKUP($R136,武学奇术!$A:$ZZ,30,FALSE)="蓄力技",$B$21,0))*(1+$BW136)</f>
        <v>18629.5712656436</v>
      </c>
      <c r="N136" s="36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蓄力技",$B$21,0))*(1+$BW136)</f>
        <v>14615.4766234658</v>
      </c>
      <c r="O136" s="36">
        <f>((($AT136+($AU136-$AT136)*IF(VLOOKUP($R136,武学奇术!$A:$ZZ,31,FALSE)=1,$F$18,0.5))*$AN136+$AO136)*(1+$AV136)*(1+$AW136)+(($AY136+($AZ136-$AY136)*IF(VLOOKUP($R136,武学奇术!$A:$ZZ,31,FALSE)=1,$F$18,0.5))*IF($G$1="鸣金",$AP136,$AN136)+IF($G$1="鸣金",$AQ136*1.5,0))*(1+$BA136)*(1+$BB136)+(($BC136+($BD136-$BC136)*IF(VLOOKUP($R136,武学奇术!$A:$ZZ,31,FALSE)=1,$F$18,0.5))*IF($G$1="裂石",$AP136,$AN136)+IF($G$1="裂石",$AQ136*1.5,0))*(1+$BE136)*(1+$BF136)+(($BG136+($BH136-$BG136)*IF(VLOOKUP($R136,武学奇术!$A:$ZZ,31,FALSE)=1,$F$18,0.5))*IF($G$1="牵丝",$AP136,$AN136)+IF($G$1="牵丝",$AQ136*1.5,0))*(1+$BI136)*(1+$BJ136)+(($BK136+($BL136-$BK136)*IF(VLOOKUP($R136,武学奇术!$A:$ZZ,31,FALSE)=1,$F$18,0.5))*IF($G$1="破竹",$AP136,$AN136)+IF($G$1="破竹",$AQ136*1.5,0))*(1+$BM136)*(1+$BN136))*(1+$AR136)*$Q136*(1+IF(VLOOKUP($R136,武学奇术!$A:$ZZ,30,FALSE)="蓄力技",$B$21,0))*(1+$BW136)</f>
        <v>9856.91601356802</v>
      </c>
      <c r="P136" s="36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蓄力技",$B$21,0))*(1+$BW136)</f>
        <v>8887.55304679098</v>
      </c>
      <c r="Q136" s="37">
        <f t="shared" si="27"/>
        <v>1</v>
      </c>
      <c r="R136" s="38" t="s">
        <v>202</v>
      </c>
      <c r="S136" s="38" t="s">
        <v>104</v>
      </c>
      <c r="T136" s="38" t="s">
        <v>139</v>
      </c>
      <c r="U136" s="38" t="s">
        <v>79</v>
      </c>
      <c r="V136" s="38" t="s">
        <v>79</v>
      </c>
      <c r="W136" s="38" t="s">
        <v>188</v>
      </c>
      <c r="X136" s="38" t="s">
        <v>79</v>
      </c>
      <c r="Y136" s="38" t="s">
        <v>173</v>
      </c>
      <c r="Z136" s="38" t="s">
        <v>79</v>
      </c>
      <c r="AA136" s="38" t="s">
        <v>79</v>
      </c>
      <c r="AB136" s="38" t="s">
        <v>79</v>
      </c>
      <c r="AC136" s="38" t="s">
        <v>79</v>
      </c>
      <c r="AD136" s="38" t="s">
        <v>79</v>
      </c>
      <c r="AE136" s="38" t="s">
        <v>79</v>
      </c>
      <c r="AF136" s="38" t="s">
        <v>84</v>
      </c>
      <c r="AG136" s="38" t="s">
        <v>85</v>
      </c>
      <c r="AH136" s="38" t="s">
        <v>79</v>
      </c>
      <c r="AI136" s="38" t="s">
        <v>79</v>
      </c>
      <c r="AJ136" s="38" t="s">
        <v>79</v>
      </c>
      <c r="AK136" s="38" t="s">
        <v>79</v>
      </c>
      <c r="AL136" s="38" t="s">
        <v>79</v>
      </c>
      <c r="AM136" t="str">
        <f>VLOOKUP($R136,武学奇术!$A:$ZZ,25,FALSE)</f>
        <v>心法</v>
      </c>
      <c r="AN136" s="24">
        <f>VLOOKUP($R136,武学奇术!$A:$ZZ,26,FALSE)</f>
        <v>1</v>
      </c>
      <c r="AO136" s="25">
        <f>VLOOKUP($R136,武学奇术!$A:$ZZ,27,FALSE)*(1+IF(OR($AM136=$F$4,$AM136=$F$5),$B$22,0))</f>
        <v>0</v>
      </c>
      <c r="AP136" s="24">
        <f>VLOOKUP($R136,武学奇术!$A:$ZZ,28,FALSE)</f>
        <v>1</v>
      </c>
      <c r="AQ136" s="25">
        <f>VLOOKUP($R136,武学奇术!$A:$ZZ,29,FALSE)*(1+IF(OR($AM136=$F$4,$AM136=$F$5),$B$22,0))</f>
        <v>0</v>
      </c>
      <c r="AR136" s="24" cm="1">
        <f t="array" ref="AR136">$G$3+IFERROR(VLOOKUP($AM136,$F$4:$G$7,2,FALSE),0)+VLOOKUP($R136,武学奇术!$A:$ZZ,2,FALSE)+SUM(_xlfn.XLOOKUP($S136:$AL136,增益!$A:$A,增益!$B:$B,0))</f>
        <v>0.1537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3839.102</v>
      </c>
      <c r="AU136" cm="1">
        <f t="array" ref="AU136">$E$10*(1+$AS136)+VLOOKUP($R136,武学奇术!$A:$ZZ,4,FALSE)+SUM(_xlfn.XLOOKUP($S136:$AL136,增益!$A:$A,增益!$D:$D,0))-$I$2</f>
        <v>3839.102</v>
      </c>
      <c r="AV136" s="30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0.342</v>
      </c>
      <c r="AW136" s="30" cm="1">
        <f t="array" ref="AW136">$G$10+VLOOKUP($R136,武学奇术!$A:$ZZ,7,FALSE)+SUM(_xlfn.XLOOKUP($S136:$AL136,增益!$A:$A,增益!$G:$G,0))</f>
        <v>0.09</v>
      </c>
      <c r="AX136" s="24" cm="1">
        <f t="array" ref="AX136">VLOOKUP($R136,武学奇术!$A:$ZZ,8,FALSE)+SUM(_xlfn.XLOOKUP($S136:$AL136,增益!$A:$A,增益!$H:$H,0))</f>
        <v>0</v>
      </c>
      <c r="AY136">
        <f t="shared" si="28"/>
        <v>0</v>
      </c>
      <c r="AZ136">
        <f t="shared" si="29"/>
        <v>0</v>
      </c>
      <c r="BA136" s="30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0" cm="1">
        <f t="array" ref="BB136">$G$11+VLOOKUP($R136,武学奇术!$A:$ZZ,10,FALSE)+SUM(_xlfn.XLOOKUP($S136:$AL136,增益!$A:$A,增益!$J:$J,0))</f>
        <v>0</v>
      </c>
      <c r="BC136">
        <f t="shared" si="30"/>
        <v>0</v>
      </c>
      <c r="BD136">
        <f t="shared" si="31"/>
        <v>0</v>
      </c>
      <c r="BE136" s="30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0" cm="1">
        <f t="array" ref="BF136">$G$12+VLOOKUP($R136,武学奇术!$A:$ZZ,12,FALSE)+SUM(_xlfn.XLOOKUP($S136:$AL136,增益!$A:$A,增益!$L:$L,0))</f>
        <v>0</v>
      </c>
      <c r="BG136">
        <f t="shared" si="32"/>
        <v>0</v>
      </c>
      <c r="BH136">
        <f t="shared" si="33"/>
        <v>0</v>
      </c>
      <c r="BI136" s="30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-0.3</v>
      </c>
      <c r="BJ136" s="30" cm="1">
        <f t="array" ref="BJ136">$G$13+VLOOKUP($R136,武学奇术!$A:$ZZ,14,FALSE)+SUM(_xlfn.XLOOKUP($S136:$AL136,增益!$A:$A,增益!$N:$N,0))</f>
        <v>0</v>
      </c>
      <c r="BK136">
        <f t="shared" si="34"/>
        <v>605.472</v>
      </c>
      <c r="BL136">
        <f t="shared" si="35"/>
        <v>1725.468</v>
      </c>
      <c r="BM136" s="30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0</v>
      </c>
      <c r="BN136" s="30" cm="1">
        <f t="array" ref="BN136">$G$14+VLOOKUP($R136,武学奇术!$A:$ZZ,16,FALSE)+SUM(_xlfn.XLOOKUP($S136:$AL136,增益!$A:$A,增益!$P:$P,0))</f>
        <v>0.24</v>
      </c>
      <c r="BO136" s="24">
        <f>MIN(IF(VLOOKUP($R136,武学奇术!$A:$ZZ,23,FALSE)=1,100%,$B$8),100%)</f>
        <v>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+MIN(IF(VLOOKUP($R136,武学奇术!$A:$ZZ,32,FALSE)=1,IF(VLOOKUP($R136,武学奇术!$A:$ZZ,24,FALSE)=1,100%,MIN(40%,$B$10+VLOOKUP($R136,武学奇术!$A:$ZZ,19,FALSE)+SUM(_xlfn.XLOOKUP($S136:$AL136,增益!$A:$A,增益!$S:$S,0)))+$B$12+SUM(_xlfn.XLOOKUP($S136:$AL136,增益!$A:$A,增益!$V:$V,0))),0),12%)</f>
        <v>0.9036</v>
      </c>
      <c r="BQ136" s="24" cm="1">
        <f t="array" ref="BQ136">1+$B$13+VLOOKUP($R136,武学奇术!$A:$ZZ,18,FALSE)+SUM(_xlfn.XLOOKUP($S136:$AL136,增益!$A:$A,增益!$R:$R,0))</f>
        <v>1.89</v>
      </c>
      <c r="BR136" s="24" cm="1">
        <f t="array" ref="BR136">MAX(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-IF(VLOOKUP($R136,武学奇术!$A:$ZZ,32,FALSE)=1,12%,0),0)</f>
        <v>0.0929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6"/>
        <v>0.9036</v>
      </c>
      <c r="BU136" s="24">
        <f t="shared" si="37"/>
        <v>0.00350000000000006</v>
      </c>
      <c r="BV136" s="24">
        <f>IF(VLOOKUP($R136,武学奇术!$A:$ZZ,22,FALSE)=1,0,(1-$BO136))*(1-$BR136)</f>
        <v>0</v>
      </c>
      <c r="BW136" s="24" cm="1">
        <f t="array" ref="BW136">SUM(_xlfn.XLOOKUP($S136:$AL136,增益!$A:$A,增益!$W:$W,0))+$I$5</f>
        <v>0.21</v>
      </c>
      <c r="BX136" s="24" cm="1">
        <f t="array" ref="BX136">SUM(_xlfn.XLOOKUP($S136:$AL136,增益!$A:$A,增益!$X:$X,0))</f>
        <v>0</v>
      </c>
    </row>
  </sheetData>
  <mergeCells count="17">
    <mergeCell ref="H1:I1"/>
    <mergeCell ref="C8:G8"/>
    <mergeCell ref="C15:D15"/>
    <mergeCell ref="E21:F21"/>
    <mergeCell ref="E22:F22"/>
    <mergeCell ref="E23:F23"/>
    <mergeCell ref="E24:F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F18">
      <formula1>"50%,55%,60%,65%,70%"</formula1>
    </dataValidation>
    <dataValidation type="list" allowBlank="1" showInputMessage="1" showErrorMessage="1" sqref="E24:F24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6"/>
  <sheetViews>
    <sheetView workbookViewId="0">
      <selection activeCell="Z2" sqref="Z2"/>
    </sheetView>
  </sheetViews>
  <sheetFormatPr defaultColWidth="9" defaultRowHeight="13.5"/>
  <cols>
    <col min="1" max="1" width="21.5" customWidth="1"/>
    <col min="2" max="2" width="9.00833333333333" customWidth="1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113</v>
      </c>
      <c r="R1" t="s">
        <v>210</v>
      </c>
      <c r="S1" t="s">
        <v>115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216</v>
      </c>
      <c r="AF1" t="s">
        <v>217</v>
      </c>
    </row>
    <row r="2" spans="1:32">
      <c r="A2" t="s">
        <v>124</v>
      </c>
      <c r="B2" s="26">
        <v>0.3</v>
      </c>
      <c r="F2">
        <f>IF(期望!$G$2="撼天",6,0)</f>
        <v>6</v>
      </c>
      <c r="I2">
        <f>IF(期望!$G$2="撼天",6,0)</f>
        <v>6</v>
      </c>
      <c r="K2">
        <f>IF(期望!$G$2="撼天",6,0)</f>
        <v>6</v>
      </c>
      <c r="M2">
        <f>IF(期望!$G$2="撼天",6,0)</f>
        <v>6</v>
      </c>
      <c r="O2">
        <f>IF(期望!$G$2="撼天",6,0)</f>
        <v>6</v>
      </c>
      <c r="R2" s="26">
        <v>0.3</v>
      </c>
      <c r="Y2" s="27" t="s">
        <v>93</v>
      </c>
      <c r="Z2" s="27">
        <f>132%*1.12*1.7*(1+期望!$B$22/10)</f>
        <v>2.638944</v>
      </c>
      <c r="AA2" s="4"/>
      <c r="AB2" s="27">
        <f>Z2*1.5</f>
        <v>3.958416</v>
      </c>
      <c r="AE2">
        <v>1.3</v>
      </c>
    </row>
    <row r="3" spans="1:32">
      <c r="A3" t="s">
        <v>117</v>
      </c>
      <c r="B3" s="26">
        <v>0.3</v>
      </c>
      <c r="F3">
        <f>IF(期望!$G$2="撼天",6,0)</f>
        <v>6</v>
      </c>
      <c r="I3">
        <f>IF(期望!$G$2="撼天",6,0)</f>
        <v>6</v>
      </c>
      <c r="K3">
        <f>IF(期望!$G$2="撼天",6,0)</f>
        <v>6</v>
      </c>
      <c r="M3">
        <f>IF(期望!$G$2="撼天",6,0)</f>
        <v>6</v>
      </c>
      <c r="O3">
        <f>IF(期望!$G$2="撼天",6,0)</f>
        <v>6</v>
      </c>
      <c r="R3" s="26">
        <v>0.3</v>
      </c>
      <c r="Y3" s="27" t="s">
        <v>99</v>
      </c>
      <c r="Z3" s="27">
        <f>132%*1.12*1.7*(1+期望!$B$22/10)</f>
        <v>2.638944</v>
      </c>
      <c r="AA3" s="4"/>
      <c r="AB3" s="27">
        <f>Z3*1.5</f>
        <v>3.958416</v>
      </c>
      <c r="AE3">
        <v>1.3</v>
      </c>
    </row>
    <row r="4" spans="1:32">
      <c r="A4" t="s">
        <v>111</v>
      </c>
      <c r="B4" s="26">
        <v>0.3</v>
      </c>
      <c r="F4">
        <f>IF(期望!$G$2="撼天",6,0)</f>
        <v>6</v>
      </c>
      <c r="I4">
        <f>IF(期望!$G$2="撼天",6,0)</f>
        <v>6</v>
      </c>
      <c r="K4">
        <f>IF(期望!$G$2="撼天",6,0)</f>
        <v>6</v>
      </c>
      <c r="M4">
        <f>IF(期望!$G$2="撼天",6,0)</f>
        <v>6</v>
      </c>
      <c r="O4">
        <f>IF(期望!$G$2="撼天",6,0)</f>
        <v>6</v>
      </c>
      <c r="R4" s="26">
        <v>0.3</v>
      </c>
      <c r="Y4" s="27" t="s">
        <v>99</v>
      </c>
      <c r="Z4" s="27">
        <f>110%*1.12*1.7*(1+期望!$B$22/10)</f>
        <v>2.19912</v>
      </c>
      <c r="AA4" s="4"/>
      <c r="AB4" s="27">
        <f>Z4*1.5</f>
        <v>3.29868</v>
      </c>
      <c r="AE4">
        <v>1.3</v>
      </c>
    </row>
    <row r="5" spans="1:32">
      <c r="A5" t="s">
        <v>127</v>
      </c>
      <c r="R5" s="26"/>
      <c r="Y5" s="27" t="s">
        <v>93</v>
      </c>
      <c r="Z5" s="24">
        <f>48.84%*3+97.69%</f>
        <v>2.4421</v>
      </c>
      <c r="AA5" s="25">
        <f>135*3+270</f>
        <v>675</v>
      </c>
      <c r="AB5" s="24">
        <f>73.27%*3+146.53%</f>
        <v>3.6634</v>
      </c>
      <c r="AC5" s="25">
        <f>73*3+147</f>
        <v>366</v>
      </c>
      <c r="AE5">
        <v>1</v>
      </c>
    </row>
    <row r="6" spans="1:32">
      <c r="A6" t="s">
        <v>160</v>
      </c>
      <c r="R6" s="26"/>
      <c r="Y6" s="27" t="s">
        <v>93</v>
      </c>
      <c r="Z6" s="24">
        <f>22.01%+88.04%</f>
        <v>1.1005</v>
      </c>
      <c r="AA6" s="25">
        <f>61+244</f>
        <v>305</v>
      </c>
      <c r="AB6" s="24">
        <f>33.01%+132.06%</f>
        <v>1.6507</v>
      </c>
      <c r="AC6" s="25">
        <f>33+132</f>
        <v>165</v>
      </c>
      <c r="AE6">
        <v>1</v>
      </c>
    </row>
    <row r="7" spans="1:32">
      <c r="A7" t="s">
        <v>119</v>
      </c>
      <c r="B7" s="26">
        <v>0.3</v>
      </c>
      <c r="F7">
        <f>IF(期望!$G$2="撼天",6,0)</f>
        <v>6</v>
      </c>
      <c r="I7">
        <f>IF(期望!$G$2="撼天",6,0)</f>
        <v>6</v>
      </c>
      <c r="K7">
        <f>IF(期望!$G$2="撼天",6,0)</f>
        <v>6</v>
      </c>
      <c r="M7">
        <f>IF(期望!$G$2="撼天",6,0)</f>
        <v>6</v>
      </c>
      <c r="O7">
        <f>IF(期望!$G$2="撼天",6,0)</f>
        <v>6</v>
      </c>
      <c r="R7" s="26">
        <v>0.3</v>
      </c>
      <c r="Y7" s="27" t="s">
        <v>93</v>
      </c>
      <c r="Z7" s="24">
        <f>(25.69%*4+68.52%)*1.7</f>
        <v>2.91176</v>
      </c>
      <c r="AA7" s="25">
        <f>(71*4+190)*1.7</f>
        <v>805.8</v>
      </c>
      <c r="AB7" s="24">
        <f>(34.4%*4+91.72%)*1.7</f>
        <v>3.89844</v>
      </c>
      <c r="AC7" s="25">
        <f>(38*4+103)*1.7</f>
        <v>433.5</v>
      </c>
      <c r="AE7">
        <v>1.3</v>
      </c>
    </row>
    <row r="8" spans="1:32">
      <c r="A8" t="s">
        <v>218</v>
      </c>
      <c r="R8" s="26"/>
      <c r="Y8" s="27" t="s">
        <v>93</v>
      </c>
      <c r="Z8" s="24">
        <v>0.4349</v>
      </c>
      <c r="AA8" s="25">
        <v>121</v>
      </c>
      <c r="AB8" s="24">
        <v>0.6523</v>
      </c>
      <c r="AC8" s="25">
        <v>66</v>
      </c>
      <c r="AE8">
        <v>1</v>
      </c>
    </row>
    <row r="9" spans="1:32">
      <c r="A9" t="s">
        <v>219</v>
      </c>
      <c r="R9" s="26"/>
      <c r="Y9" s="27" t="s">
        <v>93</v>
      </c>
      <c r="Z9" s="24">
        <f>25.29%+31.83%</f>
        <v>0.5712</v>
      </c>
      <c r="AA9" s="25">
        <f>71+89</f>
        <v>160</v>
      </c>
      <c r="AB9" s="24">
        <f>37.94%+47.74%</f>
        <v>0.8568</v>
      </c>
      <c r="AC9" s="25">
        <f>39+48</f>
        <v>87</v>
      </c>
      <c r="AE9">
        <v>1</v>
      </c>
    </row>
    <row r="10" spans="1:32">
      <c r="A10" t="s">
        <v>122</v>
      </c>
      <c r="R10" s="26"/>
      <c r="Y10" s="27" t="s">
        <v>93</v>
      </c>
      <c r="Z10" s="24">
        <f>46.74%+82.02%</f>
        <v>1.2876</v>
      </c>
      <c r="AA10" s="25">
        <f>130+228</f>
        <v>358</v>
      </c>
      <c r="AB10" s="24">
        <f>70.1%+123.03%</f>
        <v>1.9313</v>
      </c>
      <c r="AC10" s="25">
        <f>71+124</f>
        <v>195</v>
      </c>
      <c r="AE10">
        <v>1</v>
      </c>
    </row>
    <row r="11" customFormat="1" spans="1:32">
      <c r="A11" t="s">
        <v>220</v>
      </c>
      <c r="B11" s="26"/>
      <c r="R11" s="26"/>
      <c r="Y11" s="27" t="s">
        <v>93</v>
      </c>
      <c r="Z11" s="24">
        <v>1.209</v>
      </c>
      <c r="AA11" s="25">
        <v>335</v>
      </c>
      <c r="AB11" s="24">
        <v>1.8135</v>
      </c>
      <c r="AC11" s="25">
        <v>183</v>
      </c>
      <c r="AE11">
        <v>1</v>
      </c>
    </row>
    <row r="12" customFormat="1" spans="1:32">
      <c r="A12" t="s">
        <v>221</v>
      </c>
      <c r="B12" s="26">
        <v>0.3</v>
      </c>
      <c r="F12">
        <f>IF(期望!$G$2="撼天",6,0)</f>
        <v>6</v>
      </c>
      <c r="I12">
        <f>IF(期望!$G$2="撼天",6,0)</f>
        <v>6</v>
      </c>
      <c r="K12">
        <f>IF(期望!$G$2="撼天",6,0)</f>
        <v>6</v>
      </c>
      <c r="M12">
        <f>IF(期望!$G$2="撼天",6,0)</f>
        <v>6</v>
      </c>
      <c r="O12">
        <f>IF(期望!$G$2="撼天",6,0)</f>
        <v>6</v>
      </c>
      <c r="R12" s="26">
        <v>0.5</v>
      </c>
      <c r="V12">
        <v>1</v>
      </c>
      <c r="Y12" s="27" t="s">
        <v>93</v>
      </c>
      <c r="Z12" s="24">
        <v>7.9363</v>
      </c>
      <c r="AA12" s="25">
        <v>2194</v>
      </c>
      <c r="AB12" s="24">
        <v>11.9044</v>
      </c>
      <c r="AC12" s="25">
        <v>1196</v>
      </c>
      <c r="AD12" t="s">
        <v>222</v>
      </c>
      <c r="AE12">
        <v>0.845</v>
      </c>
      <c r="AF12">
        <v>1</v>
      </c>
    </row>
    <row r="13" spans="1:32">
      <c r="A13" t="s">
        <v>138</v>
      </c>
      <c r="B13" s="26">
        <v>0.3</v>
      </c>
      <c r="F13">
        <f>IF(期望!$G$2="撼天",6,0)</f>
        <v>6</v>
      </c>
      <c r="I13">
        <f>IF(期望!$G$2="撼天",6,0)</f>
        <v>6</v>
      </c>
      <c r="K13">
        <f>IF(期望!$G$2="撼天",6,0)</f>
        <v>6</v>
      </c>
      <c r="M13">
        <f>IF(期望!$G$2="撼天",6,0)</f>
        <v>6</v>
      </c>
      <c r="O13">
        <f>IF(期望!$G$2="撼天",6,0)</f>
        <v>6</v>
      </c>
      <c r="R13" s="26">
        <v>0.5</v>
      </c>
      <c r="V13">
        <v>1</v>
      </c>
      <c r="Y13" s="27" t="s">
        <v>93</v>
      </c>
      <c r="Z13" s="24">
        <v>16.8107</v>
      </c>
      <c r="AA13" s="25">
        <v>4647</v>
      </c>
      <c r="AB13" s="24">
        <v>25.2161</v>
      </c>
      <c r="AC13" s="25">
        <v>2533</v>
      </c>
      <c r="AD13" t="s">
        <v>222</v>
      </c>
      <c r="AE13">
        <v>0.845</v>
      </c>
      <c r="AF13">
        <v>1</v>
      </c>
    </row>
    <row r="14" customFormat="1" spans="1:32">
      <c r="A14" t="s">
        <v>145</v>
      </c>
      <c r="B14" s="26"/>
      <c r="R14" s="26"/>
      <c r="Y14" s="27" t="s">
        <v>93</v>
      </c>
      <c r="Z14" s="24">
        <v>0</v>
      </c>
      <c r="AA14" s="25">
        <v>0</v>
      </c>
      <c r="AB14" s="24">
        <v>0</v>
      </c>
      <c r="AC14" s="25">
        <v>0</v>
      </c>
      <c r="AD14"/>
      <c r="AE14">
        <v>0.5</v>
      </c>
    </row>
    <row r="15" spans="1:32">
      <c r="A15" t="s">
        <v>114</v>
      </c>
      <c r="R15" s="26"/>
      <c r="Y15" s="27" t="s">
        <v>99</v>
      </c>
      <c r="Z15" s="27">
        <v>0.4975</v>
      </c>
      <c r="AA15" s="28">
        <v>137</v>
      </c>
      <c r="AB15" s="27">
        <v>0.7463</v>
      </c>
      <c r="AC15" s="25">
        <v>75</v>
      </c>
      <c r="AE15">
        <v>1</v>
      </c>
    </row>
    <row r="16" spans="1:32">
      <c r="A16" t="s">
        <v>168</v>
      </c>
      <c r="R16" s="26"/>
      <c r="Y16" s="27" t="s">
        <v>99</v>
      </c>
      <c r="Z16" s="27">
        <f>49.75%+116.09%</f>
        <v>1.6584</v>
      </c>
      <c r="AA16" s="28">
        <f>137+321</f>
        <v>458</v>
      </c>
      <c r="AB16" s="27">
        <f>74.63%+174.13%</f>
        <v>2.4876</v>
      </c>
      <c r="AC16" s="25">
        <f>75+175</f>
        <v>250</v>
      </c>
      <c r="AE16">
        <v>1</v>
      </c>
    </row>
    <row r="17" customFormat="1" spans="1:31">
      <c r="A17" t="s">
        <v>107</v>
      </c>
      <c r="R17" s="26"/>
      <c r="Y17" s="27" t="s">
        <v>99</v>
      </c>
      <c r="Z17" s="27">
        <v>1.2503</v>
      </c>
      <c r="AA17" s="28">
        <v>347</v>
      </c>
      <c r="AB17" s="27">
        <v>1.8755</v>
      </c>
      <c r="AC17" s="25">
        <v>189</v>
      </c>
      <c r="AE17">
        <v>1</v>
      </c>
    </row>
    <row r="18" customFormat="1" spans="1:31">
      <c r="A18" t="s">
        <v>223</v>
      </c>
      <c r="Q18" s="24"/>
      <c r="R18" s="26"/>
      <c r="Y18" t="s">
        <v>106</v>
      </c>
      <c r="Z18" s="24">
        <f>198.73%*2</f>
        <v>3.9746</v>
      </c>
      <c r="AA18" s="25">
        <f>504*2</f>
        <v>1008</v>
      </c>
      <c r="AB18" s="24">
        <f>Z18*1.5</f>
        <v>5.9619</v>
      </c>
      <c r="AC18" s="25"/>
      <c r="AE18">
        <v>1</v>
      </c>
    </row>
    <row r="19" customFormat="1" spans="1:31">
      <c r="A19" t="s">
        <v>77</v>
      </c>
      <c r="Q19" s="24"/>
      <c r="R19" s="26"/>
      <c r="Y19" t="s">
        <v>106</v>
      </c>
      <c r="Z19" s="24">
        <f>74.52%*2</f>
        <v>1.4904</v>
      </c>
      <c r="AA19" s="25">
        <f>189*2</f>
        <v>378</v>
      </c>
      <c r="AB19" s="24">
        <f>Z19*1.5</f>
        <v>2.2356</v>
      </c>
      <c r="AC19" s="25"/>
      <c r="AE19">
        <v>1</v>
      </c>
    </row>
    <row r="20" customFormat="1" spans="1:31">
      <c r="A20" t="s">
        <v>187</v>
      </c>
      <c r="B20" s="26"/>
      <c r="E20" s="26"/>
      <c r="G20" s="26"/>
      <c r="N20" s="26"/>
      <c r="R20" s="26"/>
      <c r="Y20" t="s">
        <v>106</v>
      </c>
      <c r="Z20" s="24">
        <f>254.71%*2.7*1.5</f>
        <v>10.315755</v>
      </c>
      <c r="AA20" s="25">
        <f>492*2.7*1.5</f>
        <v>1992.6</v>
      </c>
      <c r="AB20" s="24">
        <f t="shared" ref="AB20:AB35" si="0">Z20*1.5</f>
        <v>15.4736325</v>
      </c>
      <c r="AC20" s="25"/>
      <c r="AE20">
        <v>1</v>
      </c>
    </row>
    <row r="21" customFormat="1" spans="1:31">
      <c r="A21" t="s">
        <v>186</v>
      </c>
      <c r="B21" s="26"/>
      <c r="Q21" s="24"/>
      <c r="R21" s="26"/>
      <c r="Y21" t="s">
        <v>103</v>
      </c>
      <c r="Z21" s="24">
        <f>319.88%+390.96%</f>
        <v>7.1084</v>
      </c>
      <c r="AA21" s="25">
        <f>616+753</f>
        <v>1369</v>
      </c>
      <c r="AB21" s="24">
        <f t="shared" si="0"/>
        <v>10.6626</v>
      </c>
      <c r="AC21" s="25"/>
      <c r="AE21">
        <v>1</v>
      </c>
    </row>
    <row r="22" customFormat="1" spans="1:31">
      <c r="A22" t="s">
        <v>200</v>
      </c>
      <c r="B22" s="26">
        <v>0.47</v>
      </c>
      <c r="Q22" s="24"/>
      <c r="R22" s="26"/>
      <c r="V22">
        <v>1</v>
      </c>
      <c r="Y22" t="s">
        <v>103</v>
      </c>
      <c r="Z22" s="24">
        <f>1636.48%*2.2*0.7</f>
        <v>25.201792</v>
      </c>
      <c r="AA22" s="25">
        <f>3162*2.2*0.7</f>
        <v>4869.48</v>
      </c>
      <c r="AB22" s="24">
        <f t="shared" si="0"/>
        <v>37.802688</v>
      </c>
      <c r="AC22" s="25"/>
      <c r="AE22">
        <v>1</v>
      </c>
    </row>
    <row r="23" customFormat="1" spans="1:31">
      <c r="A23" t="s">
        <v>224</v>
      </c>
      <c r="Q23" s="24"/>
      <c r="R23" s="26"/>
      <c r="Y23" t="s">
        <v>106</v>
      </c>
      <c r="Z23" s="24">
        <f>(416.02%+772.61%)*2</f>
        <v>23.7726</v>
      </c>
      <c r="AA23" s="25">
        <f>(803+1493)*2</f>
        <v>4592</v>
      </c>
      <c r="AB23" s="24">
        <f t="shared" si="0"/>
        <v>35.6589</v>
      </c>
      <c r="AC23" s="25"/>
      <c r="AE23">
        <v>1</v>
      </c>
    </row>
    <row r="24" customFormat="1" spans="1:31">
      <c r="A24" t="s">
        <v>225</v>
      </c>
      <c r="B24" s="26"/>
      <c r="Q24" s="24"/>
      <c r="R24" s="26"/>
      <c r="Y24" t="s">
        <v>103</v>
      </c>
      <c r="Z24" s="24">
        <f>257.01%/2</f>
        <v>1.28505</v>
      </c>
      <c r="AA24" s="25">
        <f>502/2</f>
        <v>251</v>
      </c>
      <c r="AB24" s="24">
        <f t="shared" si="0"/>
        <v>1.927575</v>
      </c>
      <c r="AC24" s="25"/>
      <c r="AE24">
        <v>1</v>
      </c>
    </row>
    <row r="25" customFormat="1" spans="1:31">
      <c r="A25" t="s">
        <v>226</v>
      </c>
      <c r="Q25" s="24"/>
      <c r="R25" s="26"/>
      <c r="Y25" t="s">
        <v>103</v>
      </c>
      <c r="Z25" s="24">
        <f>257.01%+141.62%</f>
        <v>3.9863</v>
      </c>
      <c r="AA25" s="25">
        <f>502+276</f>
        <v>778</v>
      </c>
      <c r="AB25" s="24">
        <f t="shared" si="0"/>
        <v>5.97945</v>
      </c>
      <c r="AC25" s="25"/>
      <c r="AE25">
        <v>1</v>
      </c>
    </row>
    <row r="26" customFormat="1" spans="1:31">
      <c r="A26" t="s">
        <v>227</v>
      </c>
      <c r="B26" s="26"/>
      <c r="Q26" s="24"/>
      <c r="R26" s="26"/>
      <c r="T26" s="26"/>
      <c r="Y26" t="s">
        <v>103</v>
      </c>
      <c r="Z26" s="24">
        <v>0.236</v>
      </c>
      <c r="AA26" s="25">
        <v>46</v>
      </c>
      <c r="AB26" s="24">
        <f t="shared" si="0"/>
        <v>0.354</v>
      </c>
      <c r="AC26" s="25"/>
      <c r="AE26">
        <v>0.5</v>
      </c>
    </row>
    <row r="27" customFormat="1" spans="1:31">
      <c r="A27" t="s">
        <v>228</v>
      </c>
      <c r="B27" s="26"/>
      <c r="Q27" s="24"/>
      <c r="R27" s="26"/>
      <c r="Y27" t="s">
        <v>103</v>
      </c>
      <c r="Z27" s="24">
        <f>272.42%/2</f>
        <v>1.3621</v>
      </c>
      <c r="AA27" s="25">
        <f>528/2</f>
        <v>264</v>
      </c>
      <c r="AB27" s="24">
        <f t="shared" si="0"/>
        <v>2.04315</v>
      </c>
      <c r="AC27" s="25"/>
      <c r="AE27">
        <v>1</v>
      </c>
    </row>
    <row r="28" customFormat="1" spans="1:31">
      <c r="A28" t="s">
        <v>229</v>
      </c>
      <c r="Q28" s="24"/>
      <c r="R28" s="26"/>
      <c r="Y28" t="s">
        <v>103</v>
      </c>
      <c r="Z28" s="24">
        <f>272.42%+150.11%</f>
        <v>4.2253</v>
      </c>
      <c r="AA28" s="25">
        <f>528+291</f>
        <v>819</v>
      </c>
      <c r="AB28" s="24">
        <f t="shared" si="0"/>
        <v>6.33795</v>
      </c>
      <c r="AC28" s="25"/>
      <c r="AE28">
        <v>1</v>
      </c>
    </row>
    <row r="29" customFormat="1" spans="1:31">
      <c r="A29" t="s">
        <v>230</v>
      </c>
      <c r="B29" s="26"/>
      <c r="Q29" s="24"/>
      <c r="R29" s="26"/>
      <c r="T29" s="26"/>
      <c r="Y29" t="s">
        <v>103</v>
      </c>
      <c r="Z29" s="24">
        <v>0.2958</v>
      </c>
      <c r="AA29" s="25">
        <v>57</v>
      </c>
      <c r="AB29" s="24">
        <f t="shared" si="0"/>
        <v>0.4437</v>
      </c>
      <c r="AC29" s="25"/>
      <c r="AE29">
        <v>0.5</v>
      </c>
    </row>
    <row r="30" customFormat="1" spans="1:31">
      <c r="A30" t="s">
        <v>231</v>
      </c>
      <c r="Q30" s="24"/>
      <c r="R30" s="26"/>
      <c r="Y30" t="s">
        <v>103</v>
      </c>
      <c r="Z30" s="24">
        <v>1.0239</v>
      </c>
      <c r="AA30" s="25">
        <v>196</v>
      </c>
      <c r="AB30" s="24">
        <f t="shared" si="0"/>
        <v>1.53585</v>
      </c>
      <c r="AC30" s="25"/>
      <c r="AE30">
        <v>1</v>
      </c>
    </row>
    <row r="31" customFormat="1" spans="1:31">
      <c r="A31" t="s">
        <v>232</v>
      </c>
      <c r="B31" s="26">
        <v>0.8</v>
      </c>
      <c r="Q31" s="24"/>
      <c r="R31" s="26"/>
      <c r="Y31" t="s">
        <v>103</v>
      </c>
      <c r="Z31" s="24">
        <v>1.7065</v>
      </c>
      <c r="AA31" s="25">
        <v>327</v>
      </c>
      <c r="AB31" s="24">
        <f t="shared" si="0"/>
        <v>2.55975</v>
      </c>
      <c r="AC31" s="25"/>
      <c r="AE31">
        <v>1</v>
      </c>
    </row>
    <row r="32" customFormat="1" spans="1:31">
      <c r="A32" t="s">
        <v>233</v>
      </c>
      <c r="Q32" s="24"/>
      <c r="R32" s="26"/>
      <c r="Y32" t="s">
        <v>103</v>
      </c>
      <c r="Z32" s="24">
        <v>0.7021</v>
      </c>
      <c r="AA32" s="25">
        <v>134</v>
      </c>
      <c r="AB32" s="24">
        <f t="shared" si="0"/>
        <v>1.05315</v>
      </c>
      <c r="AC32" s="25"/>
      <c r="AE32">
        <v>1</v>
      </c>
    </row>
    <row r="33" customFormat="1" spans="1:31">
      <c r="A33" t="s">
        <v>234</v>
      </c>
      <c r="Q33" s="24"/>
      <c r="R33" s="26"/>
      <c r="Y33" t="s">
        <v>103</v>
      </c>
      <c r="Z33" s="24">
        <v>1.609</v>
      </c>
      <c r="AA33" s="25">
        <v>308</v>
      </c>
      <c r="AB33" s="24">
        <f t="shared" si="0"/>
        <v>2.4135</v>
      </c>
      <c r="AC33" s="25"/>
      <c r="AE33">
        <v>1</v>
      </c>
    </row>
    <row r="34" customFormat="1" spans="1:31">
      <c r="A34" t="s">
        <v>202</v>
      </c>
      <c r="Q34" s="24"/>
      <c r="R34" s="26"/>
      <c r="Y34" t="s">
        <v>235</v>
      </c>
      <c r="Z34" s="24">
        <v>1</v>
      </c>
      <c r="AA34" s="25"/>
      <c r="AB34" s="24">
        <v>1</v>
      </c>
      <c r="AC34" s="25"/>
      <c r="AE34">
        <v>1</v>
      </c>
    </row>
    <row r="35" customFormat="1" spans="1:31">
      <c r="A35" t="s">
        <v>199</v>
      </c>
      <c r="B35" s="26"/>
      <c r="E35" s="26"/>
      <c r="G35" s="26"/>
      <c r="N35" s="26"/>
      <c r="R35" s="26"/>
      <c r="Y35" t="s">
        <v>106</v>
      </c>
      <c r="Z35" s="24">
        <f>254.71%*2.7</f>
        <v>6.87717</v>
      </c>
      <c r="AA35" s="25">
        <f>492*2.7</f>
        <v>1328.4</v>
      </c>
      <c r="AB35" s="24">
        <f t="shared" si="0"/>
        <v>10.315755</v>
      </c>
      <c r="AC35" s="25"/>
      <c r="AE35">
        <v>1</v>
      </c>
    </row>
    <row r="36" customFormat="1" spans="1:31">
      <c r="A36" t="s">
        <v>79</v>
      </c>
      <c r="Q36" s="24"/>
      <c r="Y36" t="s">
        <v>235</v>
      </c>
      <c r="Z36" s="24">
        <v>0</v>
      </c>
      <c r="AA36" s="25"/>
      <c r="AB36" s="24">
        <v>0</v>
      </c>
      <c r="AC36" s="25"/>
      <c r="AE36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4"/>
  <sheetViews>
    <sheetView workbookViewId="0">
      <selection activeCell="J34" sqref="J3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4"/>
    <col min="24" max="24" width="9.375" style="24"/>
    <col min="25" max="25" width="9" style="25"/>
    <col min="26" max="26" width="9.375" style="24"/>
    <col min="27" max="27" width="9" style="25"/>
  </cols>
  <sheetData>
    <row r="1" spans="1:26">
      <c r="B1" t="s">
        <v>40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113</v>
      </c>
      <c r="R1" t="s">
        <v>210</v>
      </c>
      <c r="S1" t="s">
        <v>115</v>
      </c>
      <c r="T1" t="s">
        <v>211</v>
      </c>
      <c r="U1" t="s">
        <v>236</v>
      </c>
      <c r="V1" t="s">
        <v>237</v>
      </c>
      <c r="W1" s="24" t="s">
        <v>71</v>
      </c>
      <c r="X1" s="24" t="s">
        <v>72</v>
      </c>
    </row>
    <row r="2" spans="1:26">
      <c r="A2" t="s">
        <v>90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7"/>
      <c r="X2" s="27"/>
      <c r="Y2" s="28"/>
      <c r="Z2" s="27"/>
    </row>
    <row r="3" spans="1:26">
      <c r="A3" t="s">
        <v>238</v>
      </c>
      <c r="B3" s="26">
        <f>IF(期望!$D$20="√",25%,0)</f>
        <v>0.25</v>
      </c>
      <c r="W3" s="27"/>
      <c r="X3" s="27"/>
      <c r="Y3" s="28"/>
      <c r="Z3" s="27"/>
    </row>
    <row r="4" spans="1:26">
      <c r="A4" t="s">
        <v>97</v>
      </c>
      <c r="B4" s="26"/>
      <c r="E4" s="26">
        <f>IF(期望!$D$21="√",12%,0)</f>
        <v>0</v>
      </c>
      <c r="H4" s="26">
        <f>IF(期望!$D$21="√",12%,0)</f>
        <v>0</v>
      </c>
      <c r="I4" s="26"/>
      <c r="W4" s="27"/>
      <c r="X4" s="27"/>
      <c r="Y4" s="28"/>
      <c r="Z4" s="27"/>
    </row>
    <row r="5" spans="1:26">
      <c r="A5" t="s">
        <v>91</v>
      </c>
      <c r="B5" s="26"/>
      <c r="H5" s="26">
        <f>IF(期望!$D$21="√",6%,0)</f>
        <v>0</v>
      </c>
      <c r="W5" s="27"/>
      <c r="X5" s="27"/>
      <c r="Y5" s="28"/>
      <c r="Z5" s="27"/>
    </row>
    <row r="6" spans="1:26">
      <c r="A6" t="s">
        <v>83</v>
      </c>
      <c r="B6" s="26"/>
      <c r="G6" s="26">
        <f>IF(期望!$D$21="√",2%,0)</f>
        <v>0</v>
      </c>
      <c r="J6" s="26">
        <f>IF(期望!$D$21="√",2%,0)</f>
        <v>0</v>
      </c>
      <c r="L6" s="26">
        <f>IF(期望!$D$21="√",2%,0)</f>
        <v>0</v>
      </c>
      <c r="N6" s="26">
        <f>IF(期望!$D$21="√",2%,0)</f>
        <v>0</v>
      </c>
      <c r="P6" s="26">
        <f>IF(期望!$D$21="√",2%,0)</f>
        <v>0</v>
      </c>
      <c r="W6" s="27"/>
      <c r="X6" s="27"/>
      <c r="Y6" s="28"/>
      <c r="Z6" s="27"/>
    </row>
    <row r="7" spans="1:26">
      <c r="A7" t="s">
        <v>82</v>
      </c>
      <c r="B7" s="26"/>
      <c r="G7" s="26">
        <f>IF(期望!$D$22="√",2%,0)</f>
        <v>0</v>
      </c>
      <c r="J7" s="26">
        <f>IF(期望!$D$22="√",2%,0)</f>
        <v>0</v>
      </c>
      <c r="L7" s="26">
        <f>IF(期望!$D$22="√",2%,0)</f>
        <v>0</v>
      </c>
      <c r="N7" s="26">
        <f>IF(期望!$D$22="√",2%,0)</f>
        <v>0</v>
      </c>
      <c r="P7" s="26">
        <f>IF(期望!$D$22="√",2%,0)</f>
        <v>0</v>
      </c>
      <c r="W7" s="27"/>
      <c r="X7" s="27"/>
      <c r="Y7" s="28"/>
      <c r="Z7" s="27"/>
    </row>
    <row r="8" spans="1:26">
      <c r="A8" t="s">
        <v>146</v>
      </c>
      <c r="B8" s="26"/>
      <c r="W8" s="27"/>
      <c r="X8" s="26">
        <f>IF(期望!$D$22="√",20%,0)</f>
        <v>0</v>
      </c>
      <c r="Y8" s="28"/>
      <c r="Z8" s="27"/>
    </row>
    <row r="9" spans="1:26">
      <c r="A9" t="s">
        <v>84</v>
      </c>
      <c r="B9" s="26"/>
      <c r="W9" s="27">
        <v>0.05</v>
      </c>
      <c r="X9" s="27"/>
      <c r="Y9" s="28"/>
      <c r="Z9" s="27"/>
    </row>
    <row r="10" spans="1:26">
      <c r="A10" t="s">
        <v>112</v>
      </c>
      <c r="B10" s="26"/>
      <c r="F10">
        <f>IF(期望!$E$22="三穷致知",20,0)</f>
        <v>0</v>
      </c>
      <c r="I10">
        <f>IF(期望!$E$22="三穷致知",20,0)</f>
        <v>0</v>
      </c>
      <c r="K10">
        <f>IF(期望!$E$22="三穷致知",20,0)</f>
        <v>0</v>
      </c>
      <c r="M10">
        <f>IF(期望!$E$22="三穷致知",20,0)</f>
        <v>0</v>
      </c>
      <c r="O10">
        <f>IF(期望!$E$22="三穷致知",20,0)</f>
        <v>0</v>
      </c>
      <c r="W10" s="27"/>
      <c r="X10" s="27"/>
      <c r="Y10" s="28"/>
      <c r="Z10" s="27"/>
    </row>
    <row r="11" spans="1:26">
      <c r="A11" t="s">
        <v>188</v>
      </c>
      <c r="B11" s="26"/>
      <c r="W11" s="27">
        <v>0.1</v>
      </c>
    </row>
    <row r="12" spans="1:26">
      <c r="A12" t="s">
        <v>80</v>
      </c>
      <c r="B12" s="26">
        <v>0.02</v>
      </c>
      <c r="W12" s="27"/>
    </row>
    <row r="13" spans="1:26">
      <c r="A13" t="s">
        <v>140</v>
      </c>
      <c r="B13" s="26">
        <v>0.15</v>
      </c>
      <c r="W13" s="27"/>
    </row>
    <row r="14" spans="1:26">
      <c r="A14" t="s">
        <v>139</v>
      </c>
      <c r="B14" s="26"/>
      <c r="F14">
        <f>IF(期望!$E$22="断石之构",25,0)</f>
        <v>25</v>
      </c>
      <c r="J14" s="26"/>
      <c r="R14" s="26">
        <f>IF(期望!$E$22="断石之构",25%,0)</f>
        <v>0.25</v>
      </c>
      <c r="X14" s="27"/>
      <c r="Y14" s="28"/>
      <c r="Z14" s="27"/>
    </row>
    <row r="15" spans="1:26">
      <c r="A15" t="s">
        <v>189</v>
      </c>
      <c r="B15" s="26"/>
      <c r="J15" s="26">
        <f>IF(期望!$D$18="√",10%,0)</f>
        <v>0.1</v>
      </c>
      <c r="W15" s="24">
        <f>IF(期望!$D$18="√",10%,0)</f>
        <v>0.1</v>
      </c>
      <c r="X15" s="27"/>
      <c r="Y15" s="28"/>
      <c r="Z15" s="27"/>
    </row>
    <row r="16" spans="1:26">
      <c r="A16" t="s">
        <v>85</v>
      </c>
      <c r="B16" s="26"/>
      <c r="G16" s="26">
        <v>0.09</v>
      </c>
      <c r="P16" s="26">
        <v>0.09</v>
      </c>
      <c r="X16" s="27"/>
      <c r="Y16" s="28"/>
      <c r="Z16" s="27"/>
    </row>
    <row r="17" spans="1:26">
      <c r="A17" t="s">
        <v>81</v>
      </c>
      <c r="R17" s="26">
        <f>IF(期望!$F$16="√",1%,0)</f>
        <v>0.01</v>
      </c>
      <c r="X17" s="27"/>
      <c r="Y17" s="28"/>
      <c r="Z17" s="27"/>
    </row>
    <row r="18" spans="1:26">
      <c r="A18" t="s">
        <v>89</v>
      </c>
      <c r="R18" s="26">
        <f>IF(期望!$F$16="√",2%,0)</f>
        <v>0.02</v>
      </c>
      <c r="X18" s="27"/>
      <c r="Y18" s="28"/>
      <c r="Z18" s="27"/>
    </row>
    <row r="19" spans="1:26">
      <c r="A19" t="s">
        <v>96</v>
      </c>
      <c r="R19" s="26">
        <f>IF(期望!$F$16="√",3%,0)</f>
        <v>0.03</v>
      </c>
      <c r="X19" s="27"/>
      <c r="Y19" s="28"/>
      <c r="Z19" s="27"/>
    </row>
    <row r="20" spans="1:26">
      <c r="A20" t="s">
        <v>102</v>
      </c>
      <c r="R20" s="26">
        <f>IF(期望!$F$16="√",4%,0)</f>
        <v>0.04</v>
      </c>
      <c r="X20" s="27"/>
      <c r="Y20" s="28"/>
      <c r="Z20" s="27"/>
    </row>
    <row r="21" spans="1:26">
      <c r="A21" t="s">
        <v>152</v>
      </c>
      <c r="R21" s="26">
        <f>IF(期望!$F$16="√",5%,0)</f>
        <v>0.05</v>
      </c>
      <c r="X21" s="27"/>
      <c r="Y21" s="28"/>
      <c r="Z21" s="27"/>
    </row>
    <row r="22" spans="1:26">
      <c r="A22" t="s">
        <v>161</v>
      </c>
      <c r="R22" s="26">
        <f>IF(期望!$F$16="√",6%,0)</f>
        <v>0.06</v>
      </c>
      <c r="X22" s="27"/>
      <c r="Y22" s="28"/>
      <c r="Z22" s="27"/>
    </row>
    <row r="23" spans="1:26">
      <c r="A23" t="s">
        <v>165</v>
      </c>
      <c r="R23" s="26">
        <f>IF(期望!$F$16="√",7%,0)</f>
        <v>0.07</v>
      </c>
      <c r="X23" s="27"/>
      <c r="Y23" s="28"/>
      <c r="Z23" s="27"/>
    </row>
    <row r="24" spans="1:26">
      <c r="A24" t="s">
        <v>170</v>
      </c>
      <c r="R24" s="26">
        <f>IF(期望!$F$16="√",8%,0)</f>
        <v>0.08</v>
      </c>
      <c r="X24" s="27"/>
      <c r="Y24" s="28"/>
      <c r="Z24" s="27"/>
    </row>
    <row r="25" spans="1:26">
      <c r="A25" t="s">
        <v>171</v>
      </c>
      <c r="R25" s="26">
        <f>IF(期望!$F$16="√",9%,0)</f>
        <v>0.09</v>
      </c>
      <c r="X25" s="27"/>
      <c r="Y25" s="28"/>
      <c r="Z25" s="27"/>
    </row>
    <row r="26" spans="1:26">
      <c r="A26" t="s">
        <v>173</v>
      </c>
      <c r="R26" s="26">
        <f>IF(期望!$F$16="√",10%,0)</f>
        <v>0.1</v>
      </c>
      <c r="X26" s="27"/>
      <c r="Y26" s="28"/>
      <c r="Z26" s="27"/>
    </row>
    <row r="27" spans="1:26">
      <c r="A27" t="s">
        <v>239</v>
      </c>
      <c r="R27" s="26">
        <f>IF(期望!$F$16="√",10%,0)</f>
        <v>0.1</v>
      </c>
      <c r="X27" s="27"/>
      <c r="Y27" s="28"/>
      <c r="Z27" s="27"/>
    </row>
    <row r="28" spans="1:26">
      <c r="A28" t="s">
        <v>78</v>
      </c>
      <c r="B28" s="26">
        <f>1%*IF(期望!$E$24="易水歌",1,0)</f>
        <v>0.01</v>
      </c>
      <c r="F28">
        <f>2*IF(期望!$E$24="易水歌",1,0)</f>
        <v>2</v>
      </c>
      <c r="X28" s="27"/>
      <c r="Y28" s="28"/>
      <c r="Z28" s="27"/>
    </row>
    <row r="29" spans="1:26">
      <c r="A29" t="s">
        <v>88</v>
      </c>
      <c r="B29" s="26">
        <f>2%*IF(期望!$E$24="易水歌",1,0)</f>
        <v>0.02</v>
      </c>
      <c r="F29">
        <f>4*IF(期望!$E$24="易水歌",1,0)</f>
        <v>4</v>
      </c>
      <c r="X29" s="27"/>
      <c r="Y29" s="28"/>
      <c r="Z29" s="27"/>
    </row>
    <row r="30" spans="1:26">
      <c r="A30" t="s">
        <v>95</v>
      </c>
      <c r="B30" s="26">
        <f>3%*IF(期望!$E$24="易水歌",1,0)</f>
        <v>0.03</v>
      </c>
      <c r="F30">
        <f>6*IF(期望!$E$24="易水歌",1,0)</f>
        <v>6</v>
      </c>
      <c r="X30" s="27"/>
      <c r="Y30" s="28"/>
      <c r="Z30" s="27"/>
    </row>
    <row r="31" spans="1:26">
      <c r="A31" t="s">
        <v>101</v>
      </c>
      <c r="B31" s="26">
        <f>4%*IF(期望!$E$24="易水歌",1,0)</f>
        <v>0.04</v>
      </c>
      <c r="F31">
        <f>8*IF(期望!$E$24="易水歌",1,0)</f>
        <v>8</v>
      </c>
      <c r="X31" s="27"/>
      <c r="Y31" s="28"/>
      <c r="Z31" s="27"/>
    </row>
    <row r="32" spans="1:26">
      <c r="A32" t="s">
        <v>104</v>
      </c>
      <c r="B32" s="26">
        <f>5%*IF(期望!$E$24="易水歌",1,0)</f>
        <v>0.05</v>
      </c>
      <c r="F32">
        <f>10*IF(期望!$E$24="易水歌",1,0)</f>
        <v>10</v>
      </c>
      <c r="X32" s="27"/>
      <c r="Y32" s="28"/>
      <c r="Z32" s="27"/>
    </row>
    <row r="33" spans="1:26">
      <c r="A33" t="s">
        <v>79</v>
      </c>
      <c r="X33" s="27"/>
      <c r="Y33" s="28"/>
      <c r="Z33" s="27"/>
    </row>
    <row r="34" spans="1:26">
      <c r="X34" s="27"/>
      <c r="Y34" s="28"/>
      <c r="Z34" s="27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topLeftCell="A10" workbookViewId="0">
      <selection activeCell="F38" sqref="F38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240</v>
      </c>
      <c r="B1" s="3" t="s">
        <v>241</v>
      </c>
      <c r="C1" s="4" t="s">
        <v>242</v>
      </c>
      <c r="D1" s="5" t="s">
        <v>243</v>
      </c>
    </row>
    <row r="2" spans="1:4">
      <c r="A2" s="6">
        <v>0.1</v>
      </c>
      <c r="B2" s="7">
        <v>1</v>
      </c>
      <c r="C2" s="8" t="s">
        <v>244</v>
      </c>
      <c r="D2" s="4" t="s">
        <v>245</v>
      </c>
    </row>
    <row r="3" spans="1:4">
      <c r="A3" s="9"/>
      <c r="B3" s="10">
        <v>2</v>
      </c>
      <c r="C3" s="11" t="s">
        <v>246</v>
      </c>
    </row>
    <row r="4" spans="1:4">
      <c r="A4" s="9"/>
      <c r="B4" s="12">
        <v>3</v>
      </c>
      <c r="C4" s="11" t="s">
        <v>247</v>
      </c>
    </row>
    <row r="5" ht="14.25" spans="1:4">
      <c r="A5" s="13"/>
      <c r="B5" s="14">
        <v>4</v>
      </c>
      <c r="C5" s="15" t="s">
        <v>248</v>
      </c>
    </row>
    <row r="6" ht="14.25" spans="1:4">
      <c r="A6" s="16">
        <v>0.2</v>
      </c>
      <c r="B6" s="17">
        <v>1</v>
      </c>
      <c r="C6" s="18" t="s">
        <v>249</v>
      </c>
    </row>
    <row r="7" ht="14.25" spans="1:4">
      <c r="A7" s="16">
        <v>0.3</v>
      </c>
      <c r="B7" s="17">
        <v>1</v>
      </c>
      <c r="C7" s="18" t="s">
        <v>250</v>
      </c>
    </row>
    <row r="8" ht="14.25" spans="1:4">
      <c r="A8" s="16">
        <v>0.4</v>
      </c>
      <c r="B8" s="17">
        <v>1</v>
      </c>
      <c r="C8" s="18" t="s">
        <v>251</v>
      </c>
    </row>
    <row r="9" ht="14.25" spans="1:4">
      <c r="A9" s="19">
        <v>0.5</v>
      </c>
      <c r="B9" s="20">
        <v>1</v>
      </c>
      <c r="C9" s="8" t="s">
        <v>252</v>
      </c>
    </row>
    <row r="10" spans="1:4">
      <c r="A10" s="19">
        <v>0.6</v>
      </c>
      <c r="B10" s="20">
        <v>1</v>
      </c>
      <c r="C10" s="8" t="s">
        <v>253</v>
      </c>
    </row>
    <row r="11" spans="1:4">
      <c r="A11" s="21"/>
      <c r="B11" s="12">
        <v>2</v>
      </c>
      <c r="C11" s="11" t="s">
        <v>254</v>
      </c>
    </row>
    <row r="12" ht="14.25" spans="1:4">
      <c r="A12" s="22"/>
      <c r="B12" s="14">
        <v>3</v>
      </c>
      <c r="C12" s="15" t="s">
        <v>255</v>
      </c>
    </row>
    <row r="13" ht="14.25" spans="1:4">
      <c r="A13" s="23">
        <v>0.7</v>
      </c>
      <c r="B13" s="17">
        <v>1</v>
      </c>
      <c r="C13" s="18" t="s">
        <v>256</v>
      </c>
    </row>
    <row r="14" ht="14.25" spans="1:4">
      <c r="A14" s="16">
        <v>0.8</v>
      </c>
      <c r="B14" s="17">
        <v>1</v>
      </c>
      <c r="C14" s="18" t="s">
        <v>257</v>
      </c>
    </row>
    <row r="15" ht="14.25" spans="1:4">
      <c r="A15" s="16">
        <v>0.9</v>
      </c>
      <c r="B15" s="17">
        <v>1</v>
      </c>
      <c r="C15" s="18" t="s">
        <v>257</v>
      </c>
    </row>
    <row r="16" ht="14.25" spans="1:4">
      <c r="A16" s="16">
        <v>1</v>
      </c>
      <c r="B16" s="17">
        <v>1</v>
      </c>
      <c r="C16" s="18" t="s">
        <v>258</v>
      </c>
    </row>
    <row r="17" spans="1:3">
      <c r="A17" s="19">
        <v>1.1</v>
      </c>
      <c r="B17" s="20">
        <v>1</v>
      </c>
      <c r="C17" s="8" t="s">
        <v>259</v>
      </c>
    </row>
    <row r="18" ht="14.25" spans="1:3">
      <c r="A18" s="22"/>
      <c r="B18" s="14">
        <v>2</v>
      </c>
      <c r="C18" s="15" t="s">
        <v>260</v>
      </c>
    </row>
    <row r="19" ht="14.25" spans="1:3">
      <c r="A19" s="19">
        <v>1.2</v>
      </c>
      <c r="B19" s="20">
        <v>1</v>
      </c>
      <c r="C19" s="8" t="s">
        <v>261</v>
      </c>
    </row>
    <row r="20" spans="1:3">
      <c r="A20" s="19">
        <v>1.3</v>
      </c>
      <c r="B20" s="20">
        <v>1</v>
      </c>
      <c r="C20" s="8" t="s">
        <v>262</v>
      </c>
    </row>
    <row r="21" ht="14.25" spans="1:3">
      <c r="A21" s="22"/>
      <c r="B21" s="14">
        <v>2</v>
      </c>
      <c r="C21" s="15" t="s">
        <v>263</v>
      </c>
    </row>
    <row r="22" spans="1:3">
      <c r="A22" s="19">
        <v>1.4</v>
      </c>
      <c r="B22" s="20">
        <v>1</v>
      </c>
      <c r="C22" s="8" t="s">
        <v>264</v>
      </c>
    </row>
    <row r="23" ht="14.25" spans="1:3">
      <c r="A23" s="22"/>
      <c r="B23" s="14">
        <v>2</v>
      </c>
      <c r="C23" s="15" t="s">
        <v>265</v>
      </c>
    </row>
    <row r="24" ht="14.25" spans="1:3">
      <c r="A24" s="16">
        <v>1.5</v>
      </c>
      <c r="B24" s="17">
        <v>1</v>
      </c>
      <c r="C24" s="18" t="s">
        <v>266</v>
      </c>
    </row>
    <row r="25" ht="14.25" spans="1:3">
      <c r="A25" s="16">
        <v>1.6</v>
      </c>
      <c r="B25" s="17">
        <v>1</v>
      </c>
      <c r="C25" s="18" t="s">
        <v>267</v>
      </c>
    </row>
    <row r="26" ht="14.25" spans="1:3">
      <c r="A26" s="16">
        <v>1.7</v>
      </c>
      <c r="B26" s="17">
        <v>1</v>
      </c>
      <c r="C26" s="18" t="s">
        <v>267</v>
      </c>
    </row>
    <row r="27" ht="14.25" spans="1:3">
      <c r="A27" s="16">
        <v>1.8</v>
      </c>
      <c r="B27" s="17">
        <v>1</v>
      </c>
      <c r="C27" s="18" t="s">
        <v>268</v>
      </c>
    </row>
    <row r="28" spans="1:3">
      <c r="A28" s="19">
        <v>1.9</v>
      </c>
      <c r="B28" s="20">
        <v>1</v>
      </c>
      <c r="C28" s="8" t="s">
        <v>269</v>
      </c>
    </row>
    <row r="29" ht="14.25" spans="1:3">
      <c r="A29" s="22"/>
      <c r="B29" s="14">
        <v>2</v>
      </c>
      <c r="C29" s="15" t="s">
        <v>270</v>
      </c>
    </row>
    <row r="30" spans="1:3">
      <c r="A30" s="19">
        <v>2</v>
      </c>
      <c r="B30" s="20">
        <v>1</v>
      </c>
      <c r="C30" s="8" t="s">
        <v>271</v>
      </c>
    </row>
    <row r="31" spans="1:3">
      <c r="A31" s="21"/>
      <c r="B31">
        <v>2</v>
      </c>
      <c r="C31" s="11" t="s">
        <v>272</v>
      </c>
    </row>
    <row r="32" ht="14.25" spans="1:3">
      <c r="A32" s="22"/>
      <c r="B32" s="14">
        <v>3</v>
      </c>
      <c r="C32" s="15" t="s">
        <v>273</v>
      </c>
    </row>
    <row r="33" spans="1:3">
      <c r="A33" s="19">
        <v>2.1</v>
      </c>
      <c r="B33" s="20">
        <v>1</v>
      </c>
      <c r="C33" s="8" t="s">
        <v>274</v>
      </c>
    </row>
    <row r="34" spans="1:3">
      <c r="A34" s="21"/>
      <c r="B34">
        <v>2</v>
      </c>
      <c r="C34" s="11" t="s">
        <v>275</v>
      </c>
    </row>
    <row r="35" spans="1:3">
      <c r="A35" s="21"/>
      <c r="C35" s="11" t="s">
        <v>276</v>
      </c>
    </row>
    <row r="36" spans="1:3">
      <c r="A36" s="21"/>
      <c r="B36">
        <v>3</v>
      </c>
      <c r="C36" s="11" t="s">
        <v>277</v>
      </c>
    </row>
    <row r="37" spans="1:3">
      <c r="A37" s="21"/>
      <c r="B37">
        <v>4</v>
      </c>
      <c r="C37" s="11" t="s">
        <v>278</v>
      </c>
    </row>
    <row r="38" spans="1:3">
      <c r="A38" s="21"/>
      <c r="B38">
        <v>5</v>
      </c>
      <c r="C38" s="11" t="s">
        <v>279</v>
      </c>
    </row>
    <row r="39" spans="1:3">
      <c r="A39" s="21"/>
      <c r="B39">
        <v>6</v>
      </c>
      <c r="C39" s="11" t="s">
        <v>280</v>
      </c>
    </row>
    <row r="40" ht="14.25" spans="1:3">
      <c r="A40" s="22"/>
      <c r="B40" s="14">
        <v>7</v>
      </c>
      <c r="C40" s="15" t="s">
        <v>281</v>
      </c>
    </row>
    <row r="41" spans="1:3">
      <c r="A41" s="19">
        <v>2.2</v>
      </c>
      <c r="B41" s="20">
        <v>1</v>
      </c>
      <c r="C41" s="8" t="s">
        <v>282</v>
      </c>
    </row>
    <row r="42" ht="14.25" spans="1:3">
      <c r="A42" s="22"/>
      <c r="B42" s="14">
        <v>2</v>
      </c>
      <c r="C42" s="15" t="s">
        <v>283</v>
      </c>
    </row>
    <row r="43" spans="1:3">
      <c r="A43" s="19">
        <v>2.3</v>
      </c>
      <c r="B43" s="20">
        <v>1</v>
      </c>
      <c r="C43" s="8" t="s">
        <v>257</v>
      </c>
    </row>
    <row r="44" ht="14.25" spans="1:3">
      <c r="A44" s="22"/>
      <c r="B44" s="14">
        <v>2</v>
      </c>
      <c r="C44" s="15" t="s">
        <v>284</v>
      </c>
    </row>
    <row r="45" ht="14.25" spans="1:3">
      <c r="A45" s="16">
        <v>2.4</v>
      </c>
      <c r="B45" s="17">
        <v>1</v>
      </c>
      <c r="C45" s="18" t="s">
        <v>285</v>
      </c>
    </row>
    <row r="46" spans="1:3">
      <c r="A46" s="19">
        <v>2.5</v>
      </c>
      <c r="B46" s="20">
        <v>1</v>
      </c>
      <c r="C46" s="8" t="s">
        <v>286</v>
      </c>
    </row>
    <row r="47" ht="14.25" spans="1:3">
      <c r="A47" s="22"/>
      <c r="B47" s="14">
        <v>2</v>
      </c>
      <c r="C47" s="15" t="s">
        <v>287</v>
      </c>
    </row>
    <row r="48" ht="14.25" spans="1:3">
      <c r="A48" s="16">
        <v>2.6</v>
      </c>
      <c r="B48" s="17">
        <v>1</v>
      </c>
      <c r="C48" s="18" t="s">
        <v>288</v>
      </c>
    </row>
    <row r="49" ht="14.25" spans="1:3">
      <c r="A49" s="16">
        <v>2.7</v>
      </c>
      <c r="B49" s="17">
        <v>1</v>
      </c>
      <c r="C49" s="18" t="s">
        <v>289</v>
      </c>
    </row>
  </sheetData>
  <mergeCells count="11">
    <mergeCell ref="A2:A5"/>
    <mergeCell ref="A10:A12"/>
    <mergeCell ref="A17:A18"/>
    <mergeCell ref="A20:A21"/>
    <mergeCell ref="A22:A23"/>
    <mergeCell ref="A28:A29"/>
    <mergeCell ref="A30:A32"/>
    <mergeCell ref="A33:A40"/>
    <mergeCell ref="A41:A42"/>
    <mergeCell ref="A43:A44"/>
    <mergeCell ref="A46:A4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2026-08-28T06:13:42Z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