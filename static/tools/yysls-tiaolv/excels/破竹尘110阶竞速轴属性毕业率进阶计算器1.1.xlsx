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activeTab="4"/>
  </bookViews>
  <sheets>
    <sheet name="期望" sheetId="1" r:id="rId1"/>
    <sheet name="RD" sheetId="6" state="hidden" r:id="rId2"/>
    <sheet name="武学奇术" sheetId="2" r:id="rId3"/>
    <sheet name="增益" sheetId="5" r:id="rId4"/>
    <sheet name="更新日志"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<sst xmlns="http://schemas.openxmlformats.org/spreadsheetml/2006/main" count="5300" uniqueCount="246">
  <si>
    <t>最小攻击</t>
  </si>
  <si>
    <t>最大攻击</t>
  </si>
  <si>
    <t>穿透</t>
  </si>
  <si>
    <t>伤害加成</t>
  </si>
  <si>
    <t>武学属性</t>
  </si>
  <si>
    <t>破竹</t>
  </si>
  <si>
    <t>怪物属性</t>
  </si>
  <si>
    <t>期望</t>
  </si>
  <si>
    <t>会心期望</t>
  </si>
  <si>
    <t>会意期望</t>
  </si>
  <si>
    <t>普通期望</t>
  </si>
  <si>
    <t>擦伤期望</t>
  </si>
  <si>
    <t>次数</t>
  </si>
  <si>
    <t>技能</t>
  </si>
  <si>
    <t>增益1</t>
  </si>
  <si>
    <t>增益2</t>
  </si>
  <si>
    <t>增益3</t>
  </si>
  <si>
    <t>增益4</t>
  </si>
  <si>
    <t>增益5</t>
  </si>
  <si>
    <t>增益6</t>
  </si>
  <si>
    <t>增益7</t>
  </si>
  <si>
    <t>增益8</t>
  </si>
  <si>
    <t>增益9</t>
  </si>
  <si>
    <t>增益10</t>
  </si>
  <si>
    <t>增益11</t>
  </si>
  <si>
    <t>增益12</t>
  </si>
  <si>
    <t>增益13</t>
  </si>
  <si>
    <t>增益14</t>
  </si>
  <si>
    <t>增益15</t>
  </si>
  <si>
    <t>类型</t>
  </si>
  <si>
    <t>外功倍率</t>
  </si>
  <si>
    <t>外攻固伤</t>
  </si>
  <si>
    <t>属性倍率</t>
  </si>
  <si>
    <t>属性固伤</t>
  </si>
  <si>
    <t>通用增伤</t>
  </si>
  <si>
    <t>外攻加成</t>
  </si>
  <si>
    <t>即时小外</t>
  </si>
  <si>
    <t>即时大外</t>
  </si>
  <si>
    <t>外穿加成</t>
  </si>
  <si>
    <t>外伤加成</t>
  </si>
  <si>
    <t>属攻加成</t>
  </si>
  <si>
    <t>即时小鸣</t>
  </si>
  <si>
    <t>即时大鸣</t>
  </si>
  <si>
    <t>鸣金穿透</t>
  </si>
  <si>
    <t>鸣金加成</t>
  </si>
  <si>
    <t>即时小裂</t>
  </si>
  <si>
    <t>即时大裂</t>
  </si>
  <si>
    <t>裂石穿透</t>
  </si>
  <si>
    <t>裂石加成</t>
  </si>
  <si>
    <t>即时小牵</t>
  </si>
  <si>
    <t>即时大牵</t>
  </si>
  <si>
    <t>牵丝穿透</t>
  </si>
  <si>
    <t>牵丝加成</t>
  </si>
  <si>
    <t>即时小破</t>
  </si>
  <si>
    <t>即时大破</t>
  </si>
  <si>
    <t>破竹穿透</t>
  </si>
  <si>
    <t>破竹加成</t>
  </si>
  <si>
    <t>生效精准</t>
  </si>
  <si>
    <t>生效会心</t>
  </si>
  <si>
    <t>生效会心伤害</t>
  </si>
  <si>
    <t>生效会意</t>
  </si>
  <si>
    <t>生效会意伤害</t>
  </si>
  <si>
    <t>会心占比</t>
  </si>
  <si>
    <t>普攻占比</t>
  </si>
  <si>
    <t>擦伤占比</t>
  </si>
  <si>
    <t>特殊增伤</t>
  </si>
  <si>
    <t>外功</t>
  </si>
  <si>
    <t>套装</t>
  </si>
  <si>
    <t>连星</t>
  </si>
  <si>
    <t>防御</t>
  </si>
  <si>
    <t>萧呤千浪流星</t>
  </si>
  <si>
    <t>N/a</t>
  </si>
  <si>
    <t>失魂落魄</t>
  </si>
  <si>
    <t>近战笛</t>
  </si>
  <si>
    <t>沧海帖1层</t>
  </si>
  <si>
    <t>易水歌1层</t>
  </si>
  <si>
    <t>无惧</t>
  </si>
  <si>
    <t>鸣金</t>
  </si>
  <si>
    <t>外抗</t>
  </si>
  <si>
    <t>远程笛</t>
  </si>
  <si>
    <t>沧海帖2层</t>
  </si>
  <si>
    <t>易水歌2层</t>
  </si>
  <si>
    <t>惧刃(拐)</t>
  </si>
  <si>
    <t>裂石</t>
  </si>
  <si>
    <t>伞</t>
  </si>
  <si>
    <t>属抗</t>
  </si>
  <si>
    <t>沧海帖3层</t>
  </si>
  <si>
    <t>易水歌3层</t>
  </si>
  <si>
    <t>牵丝</t>
  </si>
  <si>
    <t>绳镖</t>
  </si>
  <si>
    <t>副本天赋</t>
  </si>
  <si>
    <t>幻鸣5层</t>
  </si>
  <si>
    <t>沧海帖4层</t>
  </si>
  <si>
    <t>易水歌4层</t>
  </si>
  <si>
    <t>单体奇术</t>
  </si>
  <si>
    <t>易水歌5层</t>
  </si>
  <si>
    <t>无相</t>
  </si>
  <si>
    <t>群体奇术</t>
  </si>
  <si>
    <t>R蓄123</t>
  </si>
  <si>
    <t>精准率</t>
  </si>
  <si>
    <t>实际属性</t>
  </si>
  <si>
    <t>战斗时间</t>
  </si>
  <si>
    <t>R蓄45</t>
  </si>
  <si>
    <t>会心率</t>
  </si>
  <si>
    <t>完美伞</t>
  </si>
  <si>
    <t>连星(8+)</t>
  </si>
  <si>
    <t>会意率</t>
  </si>
  <si>
    <t>总伤</t>
  </si>
  <si>
    <t>幻鸣2层</t>
  </si>
  <si>
    <t>唐歌2层</t>
  </si>
  <si>
    <t>直接会心率</t>
  </si>
  <si>
    <t>幻鸣4层</t>
  </si>
  <si>
    <t>唐歌4层</t>
  </si>
  <si>
    <t>直接会意率</t>
  </si>
  <si>
    <t>ADPS</t>
  </si>
  <si>
    <t>完美伞(芳歌)</t>
  </si>
  <si>
    <t>唐歌5层</t>
  </si>
  <si>
    <t>会心伤害加成</t>
  </si>
  <si>
    <t>会意伤害加成</t>
  </si>
  <si>
    <t>RDPS</t>
  </si>
  <si>
    <t>共鸣</t>
  </si>
  <si>
    <t>全武增</t>
  </si>
  <si>
    <t>团队增益</t>
  </si>
  <si>
    <t>首领增</t>
  </si>
  <si>
    <t>威</t>
  </si>
  <si>
    <t>√</t>
  </si>
  <si>
    <t>沧海帖</t>
  </si>
  <si>
    <t>毕业率</t>
  </si>
  <si>
    <t>伞增</t>
  </si>
  <si>
    <t>所恨年年</t>
  </si>
  <si>
    <t>共鸣(芳歌)</t>
  </si>
  <si>
    <t>绳镖增</t>
  </si>
  <si>
    <t>虹</t>
  </si>
  <si>
    <t>机制时间</t>
  </si>
  <si>
    <t>单体奇术增</t>
  </si>
  <si>
    <t>钧</t>
  </si>
  <si>
    <t>骑龙回马</t>
  </si>
  <si>
    <t>群体奇术增</t>
  </si>
  <si>
    <t>影</t>
  </si>
  <si>
    <t>损失伤害</t>
  </si>
  <si>
    <t>伞R蓄</t>
  </si>
  <si>
    <t>回旋伞定音</t>
  </si>
  <si>
    <t>第三心法</t>
  </si>
  <si>
    <t>共鸣(R蓄)</t>
  </si>
  <si>
    <t>固伤加成</t>
  </si>
  <si>
    <t>断石之构</t>
  </si>
  <si>
    <t>衍九矢9hit</t>
  </si>
  <si>
    <t>食物加成</t>
  </si>
  <si>
    <t>第四心法</t>
  </si>
  <si>
    <t>易水歌</t>
  </si>
  <si>
    <t>指响</t>
  </si>
  <si>
    <t>沧海帖5层</t>
  </si>
  <si>
    <t>结算</t>
  </si>
  <si>
    <t>沧海帖6层</t>
  </si>
  <si>
    <t>笛</t>
  </si>
  <si>
    <t>蓄力</t>
  </si>
  <si>
    <t>沧海帖7层</t>
  </si>
  <si>
    <t>rr5</t>
  </si>
  <si>
    <t>闪避</t>
  </si>
  <si>
    <t>沧海帖8层</t>
  </si>
  <si>
    <t>切武器</t>
  </si>
  <si>
    <t>5Q</t>
  </si>
  <si>
    <t>惧</t>
  </si>
  <si>
    <t>骑龙</t>
  </si>
  <si>
    <t>沧海帖9层</t>
  </si>
  <si>
    <t>瞬发R</t>
  </si>
  <si>
    <t>射箭</t>
  </si>
  <si>
    <t>沧海帖10层</t>
  </si>
  <si>
    <t>移动</t>
  </si>
  <si>
    <t>3Q</t>
  </si>
  <si>
    <t>瞬发R*2</t>
  </si>
  <si>
    <t>等待</t>
  </si>
  <si>
    <t>2Q</t>
  </si>
  <si>
    <t>7Q</t>
  </si>
  <si>
    <t>气</t>
  </si>
  <si>
    <t>4Q</t>
  </si>
  <si>
    <t>萧呤千浪AOE</t>
  </si>
  <si>
    <t>气竭</t>
  </si>
  <si>
    <t>真气失衡</t>
  </si>
  <si>
    <t>断石5层</t>
  </si>
  <si>
    <t>移动出圈</t>
  </si>
  <si>
    <t>9Q</t>
  </si>
  <si>
    <t>笛+躲激光</t>
  </si>
  <si>
    <t>cd等待</t>
  </si>
  <si>
    <t>1Q</t>
  </si>
  <si>
    <t>瞬发R*3</t>
  </si>
  <si>
    <t>11Q</t>
  </si>
  <si>
    <t>易水歌6重</t>
  </si>
  <si>
    <t>DPS</t>
  </si>
  <si>
    <t>×</t>
  </si>
  <si>
    <t>最小外功</t>
  </si>
  <si>
    <t>最大外功</t>
  </si>
  <si>
    <t>外功加成</t>
  </si>
  <si>
    <t>外功穿透</t>
  </si>
  <si>
    <t>外攻伤害加成</t>
  </si>
  <si>
    <t>属性攻击加成</t>
  </si>
  <si>
    <t>会心伤害</t>
  </si>
  <si>
    <t>会意伤害</t>
  </si>
  <si>
    <t>强制精准</t>
  </si>
  <si>
    <t>强制会心</t>
  </si>
  <si>
    <t>强制会意</t>
  </si>
  <si>
    <t>定音加成</t>
  </si>
  <si>
    <t>回旋伞</t>
  </si>
  <si>
    <t>绳Q</t>
  </si>
  <si>
    <t>R蓄67</t>
  </si>
  <si>
    <t>心法</t>
  </si>
  <si>
    <t>叶龙骧首(32层+50%HP)</t>
  </si>
  <si>
    <t>墨洗翰华(打盾)</t>
  </si>
  <si>
    <t>神龙吐火暗灼1hit</t>
  </si>
  <si>
    <t>神龙吐火暗灼2hit</t>
  </si>
  <si>
    <t>神龙吐火暗灼dot</t>
  </si>
  <si>
    <t>神龙吐火1hit</t>
  </si>
  <si>
    <t>神龙吐火2hit</t>
  </si>
  <si>
    <t>神龙吐火dot</t>
  </si>
  <si>
    <t>太白醉月1-4</t>
  </si>
  <si>
    <t>太白醉月5</t>
  </si>
  <si>
    <t>太白醉月爆燃</t>
  </si>
  <si>
    <t>太白醉月暗灼</t>
  </si>
  <si>
    <t>惊神5(拐)</t>
  </si>
  <si>
    <t>特殊技减防</t>
  </si>
  <si>
    <t>连星(4-)</t>
  </si>
  <si>
    <t>版本号</t>
  </si>
  <si>
    <t>编号</t>
  </si>
  <si>
    <t>描述</t>
  </si>
  <si>
    <t>BiliBili@片雲</t>
  </si>
  <si>
    <t>重构了计算器Pro版本,因为有xlookup函数,建议用WPS打开.</t>
  </si>
  <si>
    <t>如有问题⬆</t>
  </si>
  <si>
    <t>数据更新至6月12日先琢版本,所恨大唐</t>
  </si>
  <si>
    <t>可能有小bug,但不会差很多</t>
  </si>
  <si>
    <t>增加了一个隐藏表来计算实际rdps,以减少需要去掉团队增益的操作步骤</t>
  </si>
  <si>
    <t>修正了没有移除易水歌特效的bug</t>
  </si>
  <si>
    <t>修正bug</t>
  </si>
  <si>
    <t>调整了属性</t>
  </si>
  <si>
    <t>将所恨年年从尘增益区划入公共增益区以观测实际RD</t>
  </si>
  <si>
    <t>默认以易水歌作为心法选择</t>
  </si>
  <si>
    <t>增加了走机制时间和大约损失的伤害</t>
  </si>
  <si>
    <t>更新6月18日先琢改动,缩轴替换瞬发R,+1.8%</t>
  </si>
  <si>
    <t>修正了rd加成</t>
  </si>
  <si>
    <t>更新蕤宾叠奏上半数值,将铁花替换成了无惧</t>
  </si>
  <si>
    <r>
      <t>轴变更为拏云蛇慢气轴,心法变更为断石之构(</t>
    </r>
    <r>
      <rPr>
        <strike/>
        <sz val="11"/>
        <color theme="1"/>
        <rFont val="宋体"/>
        <charset val="134"/>
        <scheme val="minor"/>
      </rPr>
      <t>大唐歌最严厉的父亲</t>
    </r>
    <r>
      <rPr>
        <sz val="11"/>
        <color theme="1"/>
        <rFont val="宋体"/>
        <charset val="134"/>
        <scheme val="minor"/>
      </rPr>
      <t>),+1.5%</t>
    </r>
  </si>
  <si>
    <t>保证在第三轮的第三或第四伞进气竭,这样后面才能无损</t>
  </si>
  <si>
    <t>气竭太慢就增加第一轮伞数量至多延后8秒(45秒气竭)</t>
  </si>
  <si>
    <t>二气不要强对气竭,这样会压不掉机制</t>
  </si>
  <si>
    <t>前期装备差对不上气竭的情况,伤害会掉3%左右,表可以理解为上限</t>
  </si>
  <si>
    <t>只要带了断石,打气能力只比鸣金影高10%,打不进气选择大唐歌</t>
  </si>
  <si>
    <t>增加了影的rd计算,队友dps统一调整为11万</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</si>
</sst>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
  </numFmts>
  <fonts count="21">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trike/>
      <sz val="11"/>
      <color theme="1"/>
      <name val="宋体"/>
      <charset val="134"/>
      <scheme val="minor"/>
    </font>
  </fonts>
  <fills count="38">
    <fill>
      <patternFill patternType="none"/>
    </fill>
    <fill>
      <patternFill patternType="gray125"/>
    </fill>
    <fill>
      <patternFill patternType="solid">
        <fgColor theme="8" tint="0.8"/>
        <bgColor indexed="64"/>
      </patternFill>
    </fill>
    <fill>
      <patternFill patternType="solid">
        <fgColor theme="4" tint="0.8"/>
        <bgColor indexed="64"/>
      </patternFill>
    </fill>
    <fill>
      <patternFill patternType="solid">
        <fgColor theme="6" tint="0.8"/>
        <bgColor indexed="64"/>
      </patternFill>
    </fill>
    <fill>
      <patternFill patternType="solid">
        <fgColor theme="7" tint="0.8"/>
        <bgColor indexed="64"/>
      </patternFill>
    </fill>
    <fill>
      <patternFill patternType="solid">
        <fgColor theme="3"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7" borderId="14">
      <alignment vertical="center"/>
    </xf>
    <xf numFmtId="0" fontId="3" fillId="0" borderId="0">
      <alignment vertical="center"/>
    </xf>
    <xf numFmtId="0" fontId="4" fillId="0" borderId="0">
      <alignment vertical="center"/>
    </xf>
    <xf numFmtId="0" fontId="5" fillId="0" borderId="0">
      <alignment vertical="center"/>
    </xf>
    <xf numFmtId="0" fontId="6" fillId="0" borderId="15">
      <alignment vertical="center"/>
    </xf>
    <xf numFmtId="0" fontId="7" fillId="0" borderId="15">
      <alignment vertical="center"/>
    </xf>
    <xf numFmtId="0" fontId="8" fillId="0" borderId="16">
      <alignment vertical="center"/>
    </xf>
    <xf numFmtId="0" fontId="8" fillId="0" borderId="0">
      <alignment vertical="center"/>
    </xf>
    <xf numFmtId="0" fontId="9" fillId="8" borderId="17">
      <alignment vertical="center"/>
    </xf>
    <xf numFmtId="0" fontId="10" fillId="9" borderId="18">
      <alignment vertical="center"/>
    </xf>
    <xf numFmtId="0" fontId="11" fillId="9" borderId="17">
      <alignment vertical="center"/>
    </xf>
    <xf numFmtId="0" fontId="12" fillId="10" borderId="19">
      <alignment vertical="center"/>
    </xf>
    <xf numFmtId="0" fontId="13" fillId="0" borderId="20">
      <alignment vertical="center"/>
    </xf>
    <xf numFmtId="0" fontId="14" fillId="0" borderId="21">
      <alignment vertical="center"/>
    </xf>
    <xf numFmtId="0" fontId="15" fillId="11" borderId="0">
      <alignment vertical="center"/>
    </xf>
    <xf numFmtId="0" fontId="16" fillId="12" borderId="0">
      <alignment vertical="center"/>
    </xf>
    <xf numFmtId="0" fontId="17" fillId="13" borderId="0">
      <alignment vertical="center"/>
    </xf>
    <xf numFmtId="0" fontId="18" fillId="14" borderId="0">
      <alignment vertical="center"/>
    </xf>
    <xf numFmtId="0" fontId="19" fillId="15" borderId="0">
      <alignment vertical="center"/>
    </xf>
    <xf numFmtId="0" fontId="19" fillId="16" borderId="0">
      <alignment vertical="center"/>
    </xf>
    <xf numFmtId="0" fontId="18" fillId="17" borderId="0">
      <alignment vertical="center"/>
    </xf>
    <xf numFmtId="0" fontId="18" fillId="18" borderId="0">
      <alignment vertical="center"/>
    </xf>
    <xf numFmtId="0" fontId="19" fillId="19" borderId="0">
      <alignment vertical="center"/>
    </xf>
    <xf numFmtId="0" fontId="19" fillId="20" borderId="0">
      <alignment vertical="center"/>
    </xf>
    <xf numFmtId="0" fontId="18" fillId="21" borderId="0">
      <alignment vertical="center"/>
    </xf>
    <xf numFmtId="0" fontId="18" fillId="22" borderId="0">
      <alignment vertical="center"/>
    </xf>
    <xf numFmtId="0" fontId="19" fillId="23" borderId="0">
      <alignment vertical="center"/>
    </xf>
    <xf numFmtId="0" fontId="19" fillId="24" borderId="0">
      <alignment vertical="center"/>
    </xf>
    <xf numFmtId="0" fontId="18" fillId="25" borderId="0">
      <alignment vertical="center"/>
    </xf>
    <xf numFmtId="0" fontId="18" fillId="26" borderId="0">
      <alignment vertical="center"/>
    </xf>
    <xf numFmtId="0" fontId="19" fillId="27" borderId="0">
      <alignment vertical="center"/>
    </xf>
    <xf numFmtId="0" fontId="19" fillId="28" borderId="0">
      <alignment vertical="center"/>
    </xf>
    <xf numFmtId="0" fontId="18" fillId="29" borderId="0">
      <alignment vertical="center"/>
    </xf>
    <xf numFmtId="0" fontId="18" fillId="30" borderId="0">
      <alignment vertical="center"/>
    </xf>
    <xf numFmtId="0" fontId="19" fillId="31" borderId="0">
      <alignment vertical="center"/>
    </xf>
    <xf numFmtId="0" fontId="19" fillId="32" borderId="0">
      <alignment vertical="center"/>
    </xf>
    <xf numFmtId="0" fontId="18" fillId="33" borderId="0">
      <alignment vertical="center"/>
    </xf>
    <xf numFmtId="0" fontId="18" fillId="34" borderId="0">
      <alignment vertical="center"/>
    </xf>
    <xf numFmtId="0" fontId="19" fillId="35" borderId="0">
      <alignment vertical="center"/>
    </xf>
    <xf numFmtId="0" fontId="19" fillId="36" borderId="0">
      <alignment vertical="center"/>
    </xf>
    <xf numFmtId="0" fontId="18" fillId="37" borderId="0">
      <alignment vertical="center"/>
    </xf>
  </cellStyleXfs>
  <cellXfs count="95">
    <xf numFmtId="0" fontId="0" fillId="0" borderId="0" xfId="0" applyAlignment="1">
      <alignment vertical="center"/>
    </xf>
    <xf numFmtId="176" fontId="0" fillId="0" borderId="0" xfId="0" applyNumberFormat="1" applyAlignment="1">
      <alignment vertical="center"/>
    </xf>
    <xf numFmtId="176" fontId="0" fillId="0" borderId="0" xfId="0" applyNumberFormat="1">
      <alignment vertical="center"/>
    </xf>
    <xf numFmtId="0" fontId="0" fillId="0" borderId="0" xfId="0" applyNumberFormat="1">
      <alignment vertical="center"/>
    </xf>
    <xf numFmtId="0" fontId="0" fillId="0" borderId="0" xfId="0">
      <alignment vertical="center"/>
    </xf>
    <xf numFmtId="0" fontId="1" fillId="0" borderId="0" xfId="6">
      <alignment vertical="center"/>
    </xf>
    <xf numFmtId="176" fontId="0" fillId="0" borderId="1" xfId="0" applyNumberFormat="1" applyFont="1" applyBorder="1" applyAlignment="1">
      <alignment horizontal="center" vertical="center"/>
    </xf>
    <xf numFmtId="0" fontId="0" fillId="0" borderId="2" xfId="0" applyNumberFormat="1" applyFont="1" applyBorder="1" applyAlignment="1">
      <alignment vertical="center"/>
    </xf>
    <xf numFmtId="0" fontId="0" fillId="0" borderId="3" xfId="0" applyBorder="1" applyAlignment="1">
      <alignment vertical="center"/>
    </xf>
    <xf numFmtId="176" fontId="0" fillId="0" borderId="4" xfId="0" applyNumberFormat="1" applyFont="1" applyBorder="1" applyAlignment="1">
      <alignment horizontal="center" vertical="center"/>
    </xf>
    <xf numFmtId="0" fontId="0" fillId="0" borderId="0" xfId="0" applyNumberFormat="1" applyFont="1" applyBorder="1" applyAlignment="1">
      <alignment vertical="center"/>
    </xf>
    <xf numFmtId="0" fontId="0" fillId="0" borderId="5" xfId="0" applyBorder="1" applyAlignment="1">
      <alignment vertical="center"/>
    </xf>
    <xf numFmtId="176" fontId="0" fillId="0" borderId="6" xfId="0" applyNumberFormat="1" applyFont="1" applyBorder="1" applyAlignment="1">
      <alignment horizontal="center" vertical="center"/>
    </xf>
    <xf numFmtId="0" fontId="0" fillId="0" borderId="7" xfId="0" applyNumberFormat="1" applyFont="1" applyBorder="1" applyAlignment="1">
      <alignment vertical="center"/>
    </xf>
    <xf numFmtId="0" fontId="0" fillId="0" borderId="8" xfId="0" applyBorder="1" applyAlignment="1">
      <alignment vertical="center"/>
    </xf>
    <xf numFmtId="176" fontId="0" fillId="0" borderId="9" xfId="0" applyNumberFormat="1" applyFont="1" applyBorder="1" applyAlignment="1">
      <alignment horizontal="center" vertical="center"/>
    </xf>
    <xf numFmtId="0" fontId="0" fillId="0" borderId="10" xfId="0" applyBorder="1" applyAlignment="1">
      <alignment vertical="center"/>
    </xf>
    <xf numFmtId="0" fontId="0" fillId="0" borderId="11" xfId="0" applyBorder="1" applyAlignment="1">
      <alignment vertical="center"/>
    </xf>
    <xf numFmtId="176" fontId="0" fillId="0" borderId="1" xfId="0" applyNumberFormat="1" applyBorder="1" applyAlignment="1">
      <alignment horizontal="center" vertical="center"/>
    </xf>
    <xf numFmtId="0" fontId="0" fillId="0" borderId="2" xfId="0" applyBorder="1" applyAlignment="1">
      <alignment vertical="center"/>
    </xf>
    <xf numFmtId="176" fontId="0" fillId="0" borderId="4" xfId="0" applyNumberFormat="1" applyBorder="1" applyAlignment="1">
      <alignment horizontal="center" vertical="center"/>
    </xf>
    <xf numFmtId="0" fontId="0" fillId="0" borderId="0" xfId="0" applyBorder="1" applyAlignment="1">
      <alignment vertical="center"/>
    </xf>
    <xf numFmtId="176" fontId="0" fillId="0" borderId="6" xfId="0" applyNumberFormat="1" applyBorder="1" applyAlignment="1">
      <alignment horizontal="center" vertical="center"/>
    </xf>
    <xf numFmtId="0" fontId="0" fillId="0" borderId="7" xfId="0" applyBorder="1" applyAlignment="1">
      <alignment vertical="center"/>
    </xf>
    <xf numFmtId="176" fontId="0" fillId="0" borderId="9" xfId="0" applyNumberFormat="1" applyBorder="1" applyAlignment="1">
      <alignment horizontal="center" vertical="center"/>
    </xf>
    <xf numFmtId="176" fontId="0" fillId="0" borderId="1" xfId="0" applyNumberFormat="1" applyBorder="1" applyAlignment="1">
      <alignment horizontal="center" vertical="center"/>
    </xf>
    <xf numFmtId="0" fontId="0" fillId="0" borderId="3" xfId="0" applyFont="1" applyBorder="1" applyAlignment="1">
      <alignment vertical="center"/>
    </xf>
    <xf numFmtId="176" fontId="0" fillId="0" borderId="4" xfId="0" applyNumberFormat="1" applyBorder="1" applyAlignment="1">
      <alignment horizontal="center" vertical="center"/>
    </xf>
    <xf numFmtId="176" fontId="0" fillId="0" borderId="6" xfId="0" applyNumberFormat="1" applyBorder="1" applyAlignment="1">
      <alignment horizontal="center" vertical="center"/>
    </xf>
    <xf numFmtId="176" fontId="0" fillId="0" borderId="0" xfId="0" applyNumberFormat="1" applyBorder="1" applyAlignment="1">
      <alignment vertical="center"/>
    </xf>
    <xf numFmtId="10" fontId="0" fillId="0" borderId="0" xfId="0" applyNumberFormat="1" applyAlignment="1">
      <alignment vertical="center"/>
    </xf>
    <xf numFmtId="2" fontId="0" fillId="0" borderId="0" xfId="0" applyNumberFormat="1" applyAlignment="1">
      <alignment vertical="center"/>
    </xf>
    <xf numFmtId="9" fontId="0" fillId="0" borderId="0" xfId="0" applyNumberFormat="1" applyAlignment="1">
      <alignment vertical="center"/>
    </xf>
    <xf numFmtId="10" fontId="0" fillId="0" borderId="0" xfId="0" applyNumberFormat="1">
      <alignment vertical="center"/>
    </xf>
    <xf numFmtId="0" fontId="0" fillId="2" borderId="0" xfId="0" applyFill="1" applyAlignment="1">
      <alignment vertical="center"/>
    </xf>
    <xf numFmtId="177" fontId="0" fillId="0" borderId="0" xfId="0" applyNumberFormat="1" applyAlignment="1">
      <alignment vertical="center"/>
    </xf>
    <xf numFmtId="0" fontId="0" fillId="0" borderId="1" xfId="0" applyFill="1" applyBorder="1" applyAlignment="1">
      <alignment vertical="center"/>
    </xf>
    <xf numFmtId="0" fontId="0" fillId="0" borderId="2" xfId="0" applyFill="1" applyBorder="1" applyAlignment="1">
      <alignment horizontal="center" vertical="center"/>
    </xf>
    <xf numFmtId="0" fontId="0" fillId="0" borderId="3" xfId="0" applyFill="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2" fontId="0" fillId="0" borderId="0" xfId="0" applyNumberFormat="1" applyAlignment="1">
      <alignment horizontal="center" vertical="center"/>
    </xf>
    <xf numFmtId="0" fontId="0" fillId="0" borderId="0" xfId="0" applyAlignment="1">
      <alignment horizontal="center" vertical="center"/>
    </xf>
    <xf numFmtId="0" fontId="0" fillId="2" borderId="0" xfId="0" applyFill="1" applyAlignment="1">
      <alignment horizontal="center" vertical="center"/>
    </xf>
    <xf numFmtId="0" fontId="0" fillId="2" borderId="4" xfId="0" applyFill="1" applyBorder="1" applyAlignment="1">
      <alignment vertical="center"/>
    </xf>
    <xf numFmtId="177" fontId="0" fillId="2" borderId="5" xfId="0" applyNumberFormat="1" applyFill="1" applyBorder="1" applyAlignment="1">
      <alignment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vertical="center"/>
    </xf>
    <xf numFmtId="0" fontId="0" fillId="3" borderId="4" xfId="0" applyFill="1" applyBorder="1" applyAlignment="1">
      <alignment vertical="center"/>
    </xf>
    <xf numFmtId="0" fontId="0" fillId="3" borderId="0" xfId="0" applyFill="1" applyAlignment="1">
      <alignment vertical="center"/>
    </xf>
    <xf numFmtId="177" fontId="0" fillId="3" borderId="5" xfId="0" applyNumberFormat="1" applyFill="1" applyBorder="1" applyAlignment="1">
      <alignment vertical="center"/>
    </xf>
    <xf numFmtId="10" fontId="0" fillId="0" borderId="5" xfId="0" applyNumberFormat="1" applyBorder="1" applyAlignment="1">
      <alignment vertical="center"/>
    </xf>
    <xf numFmtId="0" fontId="0" fillId="4" borderId="4" xfId="0" applyFill="1" applyBorder="1" applyAlignment="1">
      <alignment vertical="center"/>
    </xf>
    <xf numFmtId="0" fontId="0" fillId="4" borderId="0" xfId="0" applyFill="1" applyAlignment="1">
      <alignment vertical="center"/>
    </xf>
    <xf numFmtId="177" fontId="0" fillId="4" borderId="5" xfId="0" applyNumberFormat="1" applyFill="1" applyBorder="1" applyAlignment="1">
      <alignment vertical="center"/>
    </xf>
    <xf numFmtId="0" fontId="0" fillId="0" borderId="6" xfId="0" applyBorder="1" applyAlignment="1">
      <alignment vertical="center"/>
    </xf>
    <xf numFmtId="0" fontId="0" fillId="5" borderId="4" xfId="0" applyFill="1" applyBorder="1" applyAlignment="1">
      <alignment vertical="center"/>
    </xf>
    <xf numFmtId="0" fontId="0" fillId="5" borderId="0" xfId="0" applyFill="1" applyAlignment="1">
      <alignment vertical="center"/>
    </xf>
    <xf numFmtId="177" fontId="0" fillId="5" borderId="5" xfId="0" applyNumberFormat="1" applyFill="1" applyBorder="1" applyAlignment="1">
      <alignment vertical="center"/>
    </xf>
    <xf numFmtId="0" fontId="0" fillId="6" borderId="4" xfId="0" applyFill="1" applyBorder="1" applyAlignment="1">
      <alignment vertical="center"/>
    </xf>
    <xf numFmtId="0" fontId="0" fillId="6" borderId="0" xfId="0" applyFill="1" applyAlignment="1">
      <alignment vertical="center"/>
    </xf>
    <xf numFmtId="177" fontId="0" fillId="6" borderId="5" xfId="0" applyNumberFormat="1" applyFill="1" applyBorder="1" applyAlignment="1">
      <alignment vertical="center"/>
    </xf>
    <xf numFmtId="0" fontId="0" fillId="2" borderId="7" xfId="0" applyFill="1" applyBorder="1" applyAlignment="1">
      <alignment vertical="center"/>
    </xf>
    <xf numFmtId="0" fontId="0" fillId="0" borderId="0" xfId="0" applyFill="1" applyBorder="1" applyAlignment="1">
      <alignment vertical="center"/>
    </xf>
    <xf numFmtId="177" fontId="0" fillId="0" borderId="5" xfId="0" applyNumberFormat="1" applyFill="1" applyBorder="1" applyAlignment="1">
      <alignment vertical="center"/>
    </xf>
    <xf numFmtId="10" fontId="0" fillId="0" borderId="8" xfId="0" applyNumberFormat="1" applyBorder="1" applyAlignment="1">
      <alignment vertical="center"/>
    </xf>
    <xf numFmtId="0" fontId="0" fillId="2" borderId="1" xfId="0" applyFill="1" applyBorder="1" applyAlignment="1">
      <alignment vertical="center"/>
    </xf>
    <xf numFmtId="10" fontId="0" fillId="2" borderId="3" xfId="0" applyNumberFormat="1" applyFill="1" applyBorder="1" applyAlignment="1">
      <alignment vertical="center"/>
    </xf>
    <xf numFmtId="0" fontId="0" fillId="0" borderId="2" xfId="0" applyBorder="1" applyAlignment="1">
      <alignment horizontal="center" vertical="center"/>
    </xf>
    <xf numFmtId="0" fontId="0" fillId="0" borderId="12" xfId="0" applyBorder="1" applyAlignment="1">
      <alignment horizontal="center" vertical="center"/>
    </xf>
    <xf numFmtId="176" fontId="0" fillId="0" borderId="3" xfId="0" applyNumberFormat="1" applyBorder="1" applyAlignment="1">
      <alignment horizontal="center" vertical="center"/>
    </xf>
    <xf numFmtId="10" fontId="0" fillId="2" borderId="5" xfId="0" applyNumberFormat="1" applyFill="1" applyBorder="1" applyAlignment="1">
      <alignment vertical="center"/>
    </xf>
    <xf numFmtId="0" fontId="0" fillId="0" borderId="13" xfId="0" applyBorder="1" applyAlignment="1">
      <alignment horizontal="center" vertical="center"/>
    </xf>
    <xf numFmtId="176" fontId="0" fillId="0" borderId="8" xfId="0" applyNumberFormat="1" applyBorder="1" applyAlignment="1">
      <alignment horizontal="center" vertical="center"/>
    </xf>
    <xf numFmtId="2" fontId="0" fillId="0" borderId="1" xfId="0" applyNumberFormat="1" applyBorder="1" applyAlignment="1">
      <alignment horizontal="center" vertical="center"/>
    </xf>
    <xf numFmtId="2" fontId="0" fillId="0" borderId="3" xfId="0" applyNumberFormat="1" applyBorder="1" applyAlignment="1">
      <alignment horizontal="center" vertical="center"/>
    </xf>
    <xf numFmtId="2" fontId="0" fillId="0" borderId="6" xfId="0" applyNumberFormat="1" applyBorder="1" applyAlignment="1">
      <alignment horizontal="center" vertical="center"/>
    </xf>
    <xf numFmtId="2" fontId="0" fillId="0" borderId="8" xfId="0" applyNumberFormat="1" applyBorder="1" applyAlignment="1">
      <alignment horizontal="center" vertical="center"/>
    </xf>
    <xf numFmtId="2" fontId="0" fillId="0" borderId="5" xfId="0" applyNumberFormat="1" applyBorder="1" applyAlignment="1">
      <alignment horizontal="center" vertical="center"/>
    </xf>
    <xf numFmtId="2" fontId="0" fillId="0" borderId="7" xfId="0" applyNumberFormat="1" applyBorder="1" applyAlignment="1">
      <alignment horizontal="center" vertical="center"/>
    </xf>
    <xf numFmtId="9" fontId="0" fillId="0" borderId="0" xfId="0" applyNumberFormat="1" applyFill="1" applyAlignment="1">
      <alignment horizontal="center" vertical="center"/>
    </xf>
    <xf numFmtId="0" fontId="0" fillId="0" borderId="6" xfId="0" applyBorder="1" applyAlignment="1">
      <alignment horizontal="center" vertical="center"/>
    </xf>
    <xf numFmtId="10" fontId="0" fillId="0" borderId="1" xfId="0" applyNumberFormat="1" applyBorder="1" applyAlignment="1">
      <alignment horizontal="center" vertical="center"/>
    </xf>
    <xf numFmtId="10" fontId="0" fillId="0" borderId="3" xfId="0" applyNumberFormat="1" applyBorder="1" applyAlignment="1">
      <alignment horizontal="center" vertical="center"/>
    </xf>
    <xf numFmtId="10" fontId="0" fillId="0" borderId="6" xfId="0" applyNumberFormat="1" applyBorder="1" applyAlignment="1">
      <alignment horizontal="center" vertical="center"/>
    </xf>
    <xf numFmtId="10" fontId="0" fillId="0" borderId="8" xfId="0" applyNumberFormat="1" applyBorder="1" applyAlignment="1">
      <alignment horizontal="center" vertical="center"/>
    </xf>
    <xf numFmtId="0" fontId="0" fillId="2" borderId="6" xfId="0" applyFill="1" applyBorder="1" applyAlignment="1">
      <alignment vertical="center"/>
    </xf>
    <xf numFmtId="10" fontId="0" fillId="2" borderId="8" xfId="0" applyNumberFormat="1" applyFill="1" applyBorder="1" applyAlignment="1">
      <alignment vertical="center"/>
    </xf>
    <xf numFmtId="2" fontId="0" fillId="5" borderId="0" xfId="0" applyNumberFormat="1" applyFill="1" applyAlignment="1">
      <alignment horizontal="center" vertical="center"/>
    </xf>
    <xf numFmtId="0" fontId="0" fillId="0" borderId="0" xfId="0" applyFill="1">
      <alignment vertical="center"/>
    </xf>
    <xf numFmtId="177" fontId="0" fillId="0" borderId="5" xfId="0" applyNumberFormat="1" applyBorder="1" applyAlignment="1">
      <alignment vertical="center"/>
    </xf>
    <xf numFmtId="177" fontId="0" fillId="0" borderId="7" xfId="0" applyNumberFormat="1" applyBorder="1" applyAlignment="1">
      <alignment vertical="center"/>
    </xf>
    <xf numFmtId="0" fontId="0" fillId="0" borderId="8" xfId="0" applyBorder="1" applyAlignment="1">
      <alignment horizontal="center" vertical="center"/>
    </xf>
    <xf numFmtId="177" fontId="0" fillId="2" borderId="8" xfId="0" applyNumberForma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eetMetadata" Target="metadata.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5.xml.rels><?xml version="1.0" encoding="UTF-8" standalone="yes"?>
<Relationships xmlns="http://schemas.openxmlformats.org/package/2006/relationships"><Relationship Id="rId1" Type="http://schemas.openxmlformats.org/officeDocument/2006/relationships/hyperlink" Target="mailto:BiliBili@&#29255;&#3864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Q151"/>
  <sheetViews>
    <sheetView workbookViewId="0">
      <selection activeCell="I36" sqref="I36"/>
    </sheetView>
  </sheetViews>
  <sheetFormatPr defaultColWidth="9" defaultRowHeight="13.5"/>
  <cols>
    <col min="1" max="1" width="12.875" customWidth="1"/>
    <col min="4" max="4" width="9.375"/>
    <col min="11" max="15" width="12.625" style="31" customWidth="1"/>
    <col min="17" max="17" width="24.625" style="34" customWidth="1"/>
    <col min="18" max="32" width="9" style="34"/>
    <col min="34" max="34" width="9" style="30"/>
    <col min="35" max="35" width="9" style="31"/>
    <col min="36" max="36" width="9" style="30"/>
    <col min="37" max="37" width="9" style="31"/>
    <col min="38" max="39" width="9" style="30"/>
    <col min="42" max="44" width="9" style="35"/>
    <col min="47" max="48" width="9" style="35"/>
    <col min="61" max="65" width="9" style="30"/>
    <col min="66" max="67" width="9.00833333333333" style="30" customWidth="1"/>
    <col min="68" max="69" width="9" style="30"/>
  </cols>
  <sheetData>
    <row r="1" spans="1:69">
      <c r="A1" s="36"/>
      <c r="B1" s="37" t="s">
        <v>0</v>
      </c>
      <c r="C1" s="37" t="s">
        <v>1</v>
      </c>
      <c r="D1" s="37" t="s">
        <v>2</v>
      </c>
      <c r="E1" s="38" t="s">
        <v>3</v>
      </c>
      <c r="F1" s="39" t="s">
        <v>4</v>
      </c>
      <c r="G1" s="40" t="s">
        <v>5</v>
      </c>
      <c r="H1" s="39" t="s">
        <v>6</v>
      </c>
      <c r="I1" s="40"/>
      <c r="K1" s="41" t="s">
        <v>7</v>
      </c>
      <c r="L1" s="41" t="s">
        <v>8</v>
      </c>
      <c r="M1" s="41" t="s">
        <v>9</v>
      </c>
      <c r="N1" s="41" t="s">
        <v>10</v>
      </c>
      <c r="O1" s="41" t="s">
        <v>11</v>
      </c>
      <c r="P1" s="42" t="s">
        <v>12</v>
      </c>
      <c r="Q1" s="43" t="s">
        <v>13</v>
      </c>
      <c r="R1" s="43" t="s">
        <v>14</v>
      </c>
      <c r="S1" s="43" t="s">
        <v>15</v>
      </c>
      <c r="T1" s="43" t="s">
        <v>16</v>
      </c>
      <c r="U1" s="43" t="s">
        <v>17</v>
      </c>
      <c r="V1" s="43" t="s">
        <v>18</v>
      </c>
      <c r="W1" s="43" t="s">
        <v>19</v>
      </c>
      <c r="X1" s="43" t="s">
        <v>20</v>
      </c>
      <c r="Y1" s="43" t="s">
        <v>21</v>
      </c>
      <c r="Z1" s="43" t="s">
        <v>22</v>
      </c>
      <c r="AA1" s="43" t="s">
        <v>23</v>
      </c>
      <c r="AB1" s="43" t="s">
        <v>24</v>
      </c>
      <c r="AC1" s="43" t="s">
        <v>25</v>
      </c>
      <c r="AD1" s="43" t="s">
        <v>26</v>
      </c>
      <c r="AE1" s="43" t="s">
        <v>27</v>
      </c>
      <c r="AF1" s="43" t="s">
        <v>28</v>
      </c>
      <c r="AG1" t="s">
        <v>29</v>
      </c>
      <c r="AH1" s="30" t="s">
        <v>30</v>
      </c>
      <c r="AI1" s="31" t="s">
        <v>31</v>
      </c>
      <c r="AJ1" s="30" t="s">
        <v>32</v>
      </c>
      <c r="AK1" s="31" t="s">
        <v>33</v>
      </c>
      <c r="AL1" s="30" t="s">
        <v>34</v>
      </c>
      <c r="AM1" s="30" t="s">
        <v>35</v>
      </c>
      <c r="AN1" t="s">
        <v>36</v>
      </c>
      <c r="AO1" t="s">
        <v>37</v>
      </c>
      <c r="AP1" s="35" t="s">
        <v>38</v>
      </c>
      <c r="AQ1" s="35" t="s">
        <v>39</v>
      </c>
      <c r="AR1" s="35" t="s">
        <v>40</v>
      </c>
      <c r="AS1" t="s">
        <v>41</v>
      </c>
      <c r="AT1" t="s">
        <v>42</v>
      </c>
      <c r="AU1" s="35" t="s">
        <v>43</v>
      </c>
      <c r="AV1" s="35" t="s">
        <v>44</v>
      </c>
      <c r="AW1" t="s">
        <v>45</v>
      </c>
      <c r="AX1" t="s">
        <v>46</v>
      </c>
      <c r="AY1" s="35" t="s">
        <v>47</v>
      </c>
      <c r="AZ1" s="35" t="s">
        <v>48</v>
      </c>
      <c r="BA1" t="s">
        <v>49</v>
      </c>
      <c r="BB1" t="s">
        <v>50</v>
      </c>
      <c r="BC1" s="35" t="s">
        <v>51</v>
      </c>
      <c r="BD1" s="35" t="s">
        <v>52</v>
      </c>
      <c r="BE1" t="s">
        <v>53</v>
      </c>
      <c r="BF1" t="s">
        <v>54</v>
      </c>
      <c r="BG1" s="35" t="s">
        <v>55</v>
      </c>
      <c r="BH1" s="35" t="s">
        <v>56</v>
      </c>
      <c r="BI1" s="30" t="s">
        <v>57</v>
      </c>
      <c r="BJ1" s="30" t="s">
        <v>58</v>
      </c>
      <c r="BK1" s="30" t="s">
        <v>59</v>
      </c>
      <c r="BL1" s="30" t="s">
        <v>60</v>
      </c>
      <c r="BM1" s="30" t="s">
        <v>61</v>
      </c>
      <c r="BN1" s="30" t="s">
        <v>62</v>
      </c>
      <c r="BO1" s="30" t="s">
        <v>63</v>
      </c>
      <c r="BP1" s="30" t="s">
        <v>64</v>
      </c>
      <c r="BQ1" s="30" t="s">
        <v>65</v>
      </c>
    </row>
    <row r="2" spans="1:69">
      <c r="A2" s="44" t="s">
        <v>66</v>
      </c>
      <c r="B2" s="34">
        <v>3903.8</v>
      </c>
      <c r="C2" s="34">
        <v>2944.8</v>
      </c>
      <c r="D2" s="34">
        <v>63.5</v>
      </c>
      <c r="E2" s="45">
        <f>2.8%+IF(C24="所恨年年",2.5%,0)</f>
        <v>0.028</v>
      </c>
      <c r="F2" s="46" t="s">
        <v>67</v>
      </c>
      <c r="G2" s="47" t="s">
        <v>68</v>
      </c>
      <c r="H2" s="48" t="s">
        <v>69</v>
      </c>
      <c r="I2" s="11">
        <f>620*(1-IF(F17="√",0.06,0)-IF(D20="√",0.04,0))</f>
        <v>558</v>
      </c>
      <c r="K2" s="41">
        <f>($L2*$BN2+$M2*$BL2+$N2*$BO2+$O2*$BP2)</f>
        <v>23907.4308766983</v>
      </c>
      <c r="L2" s="41">
        <f>((($AN2+$AO2)/2*$AH2+$AI2)*(1+$AP2)*(1+$AQ2)+(($AS2+$AT2)/2*IF($G$1="鸣金",$AJ2,$AH2)+IF($G$1="鸣金",$AK2*1.5,0))*(1+$AU2)*(1+$AV2)+(($AW2+$AX2)/2*IF($G$1="裂石",$AJ2,$AH2)+IF($G$1="裂石",$AK2*1.5,0))*(1+$AY2)*(1+$AZ2)+(($BA2+$BB2)/2*IF($G$1="牵丝",$AJ2,$AH2)+IF($G$1="牵丝",$AK2*1.5,0))*(1+$BC2)*(1+$BD2)+(($BE2+$BF2)/2*IF($G$1="破竹",$AJ2,$AH2)+IF($G$1="破竹",$AK2*1.5,0))*(1+$BG2)*(1+$BH2))*(1+$AL2)*$BK2*$P2*(1+IF(VLOOKUP($Q2,武学奇术!$A:$ZZ,30,FALSE)="回旋伞",$B$21,0))*(1+$BQ2)</f>
        <v>24909.6327582652</v>
      </c>
      <c r="M2" s="41">
        <f>(($AO2*$AH2+$AI2)*(1+$AP2)*(1+$AQ2)+($AT2*IF($G$1="鸣金",$AJ2,$AH2)+IF($G$1="鸣金",$AK2*1.5,0))*(1+$AU2)*(1+$AV2)+($AX2*IF($G$1="裂石",$AJ2,$AH2)+IF($G$1="裂石",$AK2*1.5,0))*(1+$AY2)*(1+$AZ2)+($BB2*IF($G$1="牵丝",$AJ2,$AH2)+IF($G$1="牵丝",$AK2*1.5,0))*(1+$BC2)*(1+$BD2)+($BF2*IF($G$1="破竹",$AJ2,$AH2)+IF($G$1="破竹",$AK2*1.5,0))*(1+$BG2)*(1+$BH2))*(1+$AL2)*$BM2*$P2*(1+IF(VLOOKUP($Q2,武学奇术!$A:$ZZ,30,FALSE)="回旋伞",$B$21,0))*(1+$BQ2)</f>
        <v>21383.0000130836</v>
      </c>
      <c r="N2" s="41">
        <f>((($AN2+$AO2)/2*$AH2+$AI2)*(1+$AP2)*(1+$AQ2)+(($AS2+$AT2)/2*IF($G$1="鸣金",$AJ2,$AH2)+IF($G$1="鸣金",$AK2*1.5,0))*(1+$AU2)*(1+$AV2)+(($AW2+$AX2)/2*IF($G$1="裂石",$AJ2,$AH2)+IF($G$1="裂石",$AK2*1.5,0))*(1+$AY2)*(1+$AZ2)+(($BA2+$BB2)/2*IF($G$1="牵丝",$AJ2,$AH2)+IF($G$1="牵丝",$AK2*1.5,0))*(1+$BC2)*(1+$BD2)+(($BE2+$BF2)/2*IF($G$1="破竹",$AJ2,$AH2)+IF($G$1="破竹",$AK2*1.5,0))*(1+$BG2)*(1+$BH2))*(1+$AL2)*$P2*(1+IF(VLOOKUP($Q2,武学奇术!$A:$ZZ,30,FALSE)="回旋伞",$B$21,0))*(1+$BQ2)</f>
        <v>13994.1757068906</v>
      </c>
      <c r="O2" s="41">
        <f>((($AN2*$AH2+$AI2)*(1+$AP2)*(1+$AQ2)+($AS2*IF($G$1="鸣金",$AJ2,$AH2)+IF($G$1="鸣金",$AK2*1.5,0))*(1+$AU2)*(1+$AV2)+($AW2*IF($G$1="裂石",$AJ2,$AH2)+IF($G$1="裂石",$AK2*1.5,0))*(1+$AY2)*(1+$AZ2)+($BA2*IF($G$1="牵丝",$AJ2,$AH2)+IF($G$1="牵丝",$AK2*1.5,0))*(1+$BC2)*(1+$BD2)+($BE2*IF($G$1="破竹",$AJ2,$AH2)+IF($G$1="破竹",$AK2*1.5,0))*(1+$BG2)*(1+$BH2))*(1+$AL2))*$P2*(1+IF(VLOOKUP($Q2,武学奇术!$A:$ZZ,30,FALSE)="回旋伞",$B$21,0))*(1+$BQ2)</f>
        <v>12149.0921448303</v>
      </c>
      <c r="P2" s="42">
        <v>1</v>
      </c>
      <c r="Q2" s="43" t="s">
        <v>70</v>
      </c>
      <c r="R2" s="43" t="s">
        <v>71</v>
      </c>
      <c r="S2" s="43" t="s">
        <v>71</v>
      </c>
      <c r="T2" s="43" t="s">
        <v>72</v>
      </c>
      <c r="U2" s="43" t="s">
        <v>73</v>
      </c>
      <c r="V2" s="43" t="s">
        <v>74</v>
      </c>
      <c r="W2" s="43" t="s">
        <v>75</v>
      </c>
      <c r="X2" s="43" t="s">
        <v>71</v>
      </c>
      <c r="Y2" s="43" t="s">
        <v>71</v>
      </c>
      <c r="Z2" s="43" t="s">
        <v>71</v>
      </c>
      <c r="AA2" s="43" t="s">
        <v>71</v>
      </c>
      <c r="AB2" s="43" t="s">
        <v>71</v>
      </c>
      <c r="AC2" s="43" t="s">
        <v>71</v>
      </c>
      <c r="AD2" s="43" t="s">
        <v>71</v>
      </c>
      <c r="AE2" s="43" t="s">
        <v>71</v>
      </c>
      <c r="AF2" s="43" t="s">
        <v>76</v>
      </c>
      <c r="AG2" t="str">
        <f>VLOOKUP($Q2,武学奇术!$A:$ZZ,25,FALSE)</f>
        <v>群体奇术</v>
      </c>
      <c r="AH2" s="30">
        <f>VLOOKUP($Q2,武学奇术!$A:$ZZ,26,FALSE)</f>
        <v>1.4904</v>
      </c>
      <c r="AI2" s="31">
        <f>VLOOKUP($Q2,武学奇术!$A:$ZZ,27,FALSE)*(1+IF(OR($AG2=$F$4,$AG2=$F$5),$B$22,0))</f>
        <v>368</v>
      </c>
      <c r="AJ2" s="30">
        <f>VLOOKUP($Q2,武学奇术!$A:$ZZ,28,FALSE)</f>
        <v>2.2353</v>
      </c>
      <c r="AK2" s="31">
        <f>VLOOKUP($Q2,武学奇术!$A:$ZZ,29,FALSE)*(1+IF(OR($AG2=$F$4,$AG2=$F$5),$B$22,0))</f>
        <v>0</v>
      </c>
      <c r="AL2" s="30" cm="1">
        <f t="array" ref="AL2">$G$3+IFERROR(VLOOKUP($AG2,$F$4:$G$7,2,FALSE),0)+VLOOKUP($Q2,武学奇术!$A:$ZZ,2,FALSE)+SUM(_xlfn.XLOOKUP($R2:$AF2,增益!$A:$A,增益!$B:$B,0))</f>
        <v>0.2637</v>
      </c>
      <c r="AM2" s="30" cm="1">
        <f t="array" ref="AM2">VLOOKUP($Q2,武学奇术!$A:$ZZ,5,FALSE)+SUM(_xlfn.XLOOKUP($R2:$AF2,增益!$A:$A,增益!$E:$E,0))</f>
        <v>0</v>
      </c>
      <c r="AN2" cm="1">
        <f t="array" ref="AN2">$D$10*(1+$AM2)+VLOOKUP($Q2,武学奇术!$A:$ZZ,3,FALSE)+SUM(_xlfn.XLOOKUP($R2:$AF2,增益!$A:$A,增益!$C:$C,0))-$I$2</f>
        <v>3545.8</v>
      </c>
      <c r="AO2" cm="1">
        <f t="array" ref="AO2">$E$10*(1+$AM2)+VLOOKUP($Q2,武学奇术!$A:$ZZ,4,FALSE)+SUM(_xlfn.XLOOKUP($R2:$AF2,增益!$A:$A,增益!$D:$D,0))-$I$2</f>
        <v>3545.8</v>
      </c>
      <c r="AP2" s="35" cm="1">
        <f t="array" ref="AP2">IF($F$10-$I$3+VLOOKUP($Q2,武学奇术!$A:$ZZ,6,FALSE)+SUM(_xlfn.XLOOKUP(R2:AF2,增益!$A:$A,增益!$F:$F,0))&gt;0,($F$10-$I$3+VLOOKUP($Q2,武学奇术!$A:$ZZ,6,FALSE)+SUM(_xlfn.XLOOKUP(R2:AF2,增益!$A:$A,增益!$F:$F,0)))/200,($F$10-$I$3+VLOOKUP($Q2,武学奇术!$A:$ZZ,6,FALSE)+SUM(_xlfn.XLOOKUP(R2:AF2,增益!$A:$A,增益!$F:$F,0)))/100)</f>
        <v>0.2525</v>
      </c>
      <c r="AQ2" s="35" cm="1">
        <f t="array" ref="AQ2">$G$10+VLOOKUP($Q2,武学奇术!$A:$ZZ,7,FALSE)+SUM(_xlfn.XLOOKUP(R2:AF2,增益!$A:$A,增益!$G:$G,0))</f>
        <v>0.028</v>
      </c>
      <c r="AR2" s="30" cm="1">
        <f t="array" ref="AR2">VLOOKUP($Q2,武学奇术!$A:$ZZ,8,FALSE)+SUM(_xlfn.XLOOKUP(R2:AF2,增益!$A:$A,增益!$H:$H,0))</f>
        <v>0</v>
      </c>
      <c r="AS2">
        <f>$D$11*(1+$AR2)</f>
        <v>0</v>
      </c>
      <c r="AT2">
        <f>$E$11*(1+$AR2)</f>
        <v>0</v>
      </c>
      <c r="AU2" s="35" cm="1">
        <f t="array" ref="AU2">IF($F$11-$I$4+VLOOKUP($Q2,武学奇术!$A:$ZZ,9,FALSE)+SUM(_xlfn.XLOOKUP(R2:AF2,增益!$A:$A,增益!$I:$I,0))&gt;0,($F$11-$I$4+VLOOKUP($Q2,武学奇术!$A:$ZZ,9,FALSE)+SUM(_xlfn.XLOOKUP(R2:AF2,增益!$A:$A,增益!$I:$I,0)))/200,($F$11-$I$4+VLOOKUP($Q2,武学奇术!$A:$ZZ,9,FALSE)+SUM(_xlfn.XLOOKUP(R2:AF2,增益!$A:$A,增益!$I:$I,0)))/100)</f>
        <v>-0.3</v>
      </c>
      <c r="AV2" s="35" cm="1">
        <f t="array" ref="AV2">$G$11+VLOOKUP($Q2,武学奇术!$A:$ZZ,10,FALSE)+SUM(_xlfn.XLOOKUP(R2:AF2,增益!$A:$A,增益!$J:$J,0))</f>
        <v>0</v>
      </c>
      <c r="AW2">
        <f>$D$12*(1+$AR2)</f>
        <v>0</v>
      </c>
      <c r="AX2">
        <f>$E$12*(1+$AR2)</f>
        <v>0</v>
      </c>
      <c r="AY2" s="35" cm="1">
        <f t="array" ref="AY2">IF($F$12-$I$4+VLOOKUP($Q2,武学奇术!$A:$ZZ,11,FALSE)+SUM(_xlfn.XLOOKUP(R2:AF2,增益!$A:$A,增益!$K:$K,0))&gt;0,($F$12-$I$4+VLOOKUP($Q2,武学奇术!$A:$ZZ,11,FALSE)+SUM(_xlfn.XLOOKUP(R2:AF2,增益!$A:$A,增益!$K:$K,0)))/200,($F$12-$I$4+VLOOKUP($Q2,武学奇术!$A:$ZZ,11,FALSE)+SUM(_xlfn.XLOOKUP(R2:AF2,增益!$A:$A,增益!$K:$K,0)))/100)</f>
        <v>-0.3</v>
      </c>
      <c r="AZ2" s="35" cm="1">
        <f t="array" ref="AZ2">$G$12+VLOOKUP($Q2,武学奇术!$A:$ZZ,12,FALSE)+SUM(_xlfn.XLOOKUP(R2:AF2,增益!$A:$A,增益!$L:$L,0))</f>
        <v>0</v>
      </c>
      <c r="BA2">
        <f>$D$13*(1+$AR2)</f>
        <v>0</v>
      </c>
      <c r="BB2">
        <f>$E$13*(1+$AR2)</f>
        <v>0</v>
      </c>
      <c r="BC2" s="35" cm="1">
        <f t="array" ref="BC2">IF($F$13-$I$4+VLOOKUP($Q2,武学奇术!$A:$ZZ,13,FALSE)+SUM(_xlfn.XLOOKUP(R2:AF2,增益!$A:$A,增益!$M:$M,0))&gt;0,($F$13-$I$4+VLOOKUP($Q2,武学奇术!$A:$ZZ,13,FALSE)+SUM(_xlfn.XLOOKUP(R2:AF2,增益!$A:$A,增益!$K:$K,0)))/200,($F$13-$I$4+VLOOKUP($Q2,武学奇术!$A:$ZZ,13,FALSE)+SUM(_xlfn.XLOOKUP(R2:AF2,增益!$A:$A,增益!$M:$M,0)))/100)</f>
        <v>-0.3</v>
      </c>
      <c r="BD2" s="35" cm="1">
        <f t="array" ref="BD2">$G$13+VLOOKUP($Q2,武学奇术!$A:$ZZ,14,FALSE)+SUM(_xlfn.XLOOKUP(R2:AF2,增益!$A:$A,增益!$N:$N,0))</f>
        <v>0</v>
      </c>
      <c r="BE2">
        <f>$D$14*(1+$AR2)</f>
        <v>538</v>
      </c>
      <c r="BF2">
        <f>$E$14*(1+$AR2)</f>
        <v>1561.4</v>
      </c>
      <c r="BG2" s="35" cm="1">
        <f t="array" ref="BG2">IF($F$14-$I$4+VLOOKUP($Q2,武学奇术!$A:$ZZ,15,FALSE)+SUM(_xlfn.XLOOKUP(R2:AF2,增益!$A:$A,增益!$O:$O,0))&gt;0,($F$14-$I$4+VLOOKUP($Q2,武学奇术!$A:$ZZ,15,FALSE)+SUM(_xlfn.XLOOKUP(R2:AF2,增益!$A:$A,增益!$O:$O,0)))/200,($F$14-$I$4+VLOOKUP($Q2,武学奇术!$A:$ZZ,15,FALSE)+SUM(_xlfn.XLOOKUP(R2:AF2,增益!$A:$A,增益!$O:$O,0)))/100)</f>
        <v>0</v>
      </c>
      <c r="BH2" s="35" cm="1">
        <f t="array" ref="BH2">$G$14+VLOOKUP($Q2,武学奇术!$A:$ZZ,16,FALSE)+SUM(_xlfn.XLOOKUP(R2:AF2,增益!$A:$A,增益!$P:$P,0))</f>
        <v>0.15</v>
      </c>
      <c r="BI2" s="30">
        <f>MIN(IF(VLOOKUP($Q2,武学奇术!$A:$ZZ,23,FALSE)=1,100%,$B$8),100%)</f>
        <v>0.9712</v>
      </c>
      <c r="BJ2" s="30" cm="1">
        <f t="array" ref="BJ2">IF(VLOOKUP($Q2,武学奇术!$A:$ZZ,23,FALSE)=1,100%,MIN(80%,$B$9+VLOOKUP($Q2,武学奇术!$A:$ZZ,17,FALSE)+SUM(_xlfn.XLOOKUP(R2:AF2,增益!$A:$A,增益!$Q:$Q,0)))+$B$11+SUM(_xlfn.XLOOKUP(R2:AF2,增益!$A:$A,增益!$U:$U,0)))*IF(VLOOKUP($Q2,武学奇术!$A:$ZZ,24,FALSE)=1,0,1)</f>
        <v>0.8773</v>
      </c>
      <c r="BK2" s="30" cm="1">
        <f t="array" ref="BK2">1+$B$13+VLOOKUP($Q2,武学奇术!$A:$ZZ,18,FALSE)+SUM(_xlfn.XLOOKUP(R2:AF2,增益!$A:$A,增益!$R:$R,0))</f>
        <v>1.78</v>
      </c>
      <c r="BL2" s="30" cm="1">
        <f t="array" ref="BL2">IF(VLOOKUP($Q2,武学奇术!$A:$ZZ,24,FALSE)=1,100%,MIN(40%,$B$10+VLOOKUP($Q2,武学奇术!$A:$ZZ,19,FALSE)+SUM(_xlfn.XLOOKUP(R2:AF2,增益!$A:$A,增益!$S:$S,0)))+$B$12+SUM(_xlfn.XLOOKUP(R2:AF2,增益!$A:$A,增益!$V:$V,0)))*IF(VLOOKUP($Q2,武学奇术!$A:$ZZ,23,FALSE)=1,0,1)</f>
        <v>0.0895</v>
      </c>
      <c r="BM2" s="30" cm="1">
        <f t="array" ref="BM2">1+$B$14+VLOOKUP($Q2,武学奇术!$A:$ZZ,20,FALSE)+SUM(_xlfn.XLOOKUP(R2:AF2,增益!$A:$A,增益!$T:$T,0))</f>
        <v>1.35</v>
      </c>
      <c r="BN2" s="30">
        <f>MIN((1-BL2)*BI2,BI2*BJ2)</f>
        <v>0.85203376</v>
      </c>
      <c r="BO2" s="30">
        <f>1-BL2-BN2-BP2</f>
        <v>0.03224384</v>
      </c>
      <c r="BP2" s="30">
        <f>IF(VLOOKUP($Q2,武学奇术!$A:$ZZ,22,FALSE)=1,0,(1-$BI2))*(1-$BL2)</f>
        <v>0.0262224</v>
      </c>
      <c r="BQ2" s="30" cm="1">
        <f t="array" ref="BQ2">SUM(_xlfn.XLOOKUP(R2:AF2,增益!$A:$A,增益!$W:$W,0))+$I$5</f>
        <v>0.11</v>
      </c>
    </row>
    <row r="3" spans="1:69">
      <c r="A3" s="49" t="s">
        <v>77</v>
      </c>
      <c r="B3" s="50"/>
      <c r="C3" s="50"/>
      <c r="D3" s="50"/>
      <c r="E3" s="51"/>
      <c r="F3" s="48" t="s">
        <v>34</v>
      </c>
      <c r="G3" s="52">
        <f>B16+1.5%+IF($D$16="√",8%,0)+IF($C$24="征人归",8%,0)</f>
        <v>0.1837</v>
      </c>
      <c r="H3" s="48" t="s">
        <v>78</v>
      </c>
      <c r="I3" s="11">
        <f>25-IF(F17="√",10,0)</f>
        <v>15</v>
      </c>
      <c r="K3" s="41">
        <f>($L3*$BN3+$M3*$BL3+$N3*$BO3+$O3*$BP3)</f>
        <v>28408.7061221152</v>
      </c>
      <c r="L3" s="41">
        <f>((($AN3+$AO3)/2*$AH3+$AI3)*(1+$AP3)*(1+$AQ3)+(($AS3+$AT3)/2*IF($G$1="鸣金",$AJ3,$AH3)+IF($G$1="鸣金",$AK3*1.5,0))*(1+$AU3)*(1+$AV3)+(($AW3+$AX3)/2*IF($G$1="裂石",$AJ3,$AH3)+IF($G$1="裂石",$AK3*1.5,0))*(1+$AY3)*(1+$AZ3)+(($BA3+$BB3)/2*IF($G$1="牵丝",$AJ3,$AH3)+IF($G$1="牵丝",$AK3*1.5,0))*(1+$BC3)*(1+$BD3)+(($BE3+$BF3)/2*IF($G$1="破竹",$AJ3,$AH3)+IF($G$1="破竹",$AK3*1.5,0))*(1+$BG3)*(1+$BH3))*(1+$AL3)*$BK3*$P3*(1+IF(VLOOKUP($Q3,武学奇术!$A:$ZZ,30,FALSE)="回旋伞",$B$21,0))*(1+$BQ3)</f>
        <v>29607.1767510108</v>
      </c>
      <c r="M3" s="41">
        <f>(($AO3*$AH3+$AI3)*(1+$AP3)*(1+$AQ3)+($AT3*IF($G$1="鸣金",$AJ3,$AH3)+IF($G$1="鸣金",$AK3*1.5,0))*(1+$AU3)*(1+$AV3)+($AX3*IF($G$1="裂石",$AJ3,$AH3)+IF($G$1="裂石",$AK3*1.5,0))*(1+$AY3)*(1+$AZ3)+($BB3*IF($G$1="牵丝",$AJ3,$AH3)+IF($G$1="牵丝",$AK3*1.5,0))*(1+$BC3)*(1+$BD3)+($BF3*IF($G$1="破竹",$AJ3,$AH3)+IF($G$1="破竹",$AK3*1.5,0))*(1+$BG3)*(1+$BH3))*(1+$AL3)*$BM3*$P3*(1+IF(VLOOKUP($Q3,武学奇术!$A:$ZZ,30,FALSE)="回旋伞",$B$21,0))*(1+$BQ3)</f>
        <v>25424.0338927948</v>
      </c>
      <c r="N3" s="41">
        <f>((($AN3+$AO3)/2*$AH3+$AI3)*(1+$AP3)*(1+$AQ3)+(($AS3+$AT3)/2*IF($G$1="鸣金",$AJ3,$AH3)+IF($G$1="鸣金",$AK3*1.5,0))*(1+$AU3)*(1+$AV3)+(($AW3+$AX3)/2*IF($G$1="裂石",$AJ3,$AH3)+IF($G$1="裂石",$AK3*1.5,0))*(1+$AY3)*(1+$AZ3)+(($BA3+$BB3)/2*IF($G$1="牵丝",$AJ3,$AH3)+IF($G$1="牵丝",$AK3*1.5,0))*(1+$BC3)*(1+$BD3)+(($BE3+$BF3)/2*IF($G$1="破竹",$AJ3,$AH3)+IF($G$1="破竹",$AK3*1.5,0))*(1+$BG3)*(1+$BH3))*(1+$AL3)*$P3*(1+IF(VLOOKUP($Q3,武学奇术!$A:$ZZ,30,FALSE)="回旋伞",$B$21,0))*(1+$BQ3)</f>
        <v>16540.3222072686</v>
      </c>
      <c r="O3" s="41">
        <f>((($AN3*$AH3+$AI3)*(1+$AP3)*(1+$AQ3)+($AS3*IF($G$1="鸣金",$AJ3,$AH3)+IF($G$1="鸣金",$AK3*1.5,0))*(1+$AU3)*(1+$AV3)+($AW3*IF($G$1="裂石",$AJ3,$AH3)+IF($G$1="裂石",$AK3*1.5,0))*(1+$AY3)*(1+$AZ3)+($BA3*IF($G$1="牵丝",$AJ3,$AH3)+IF($G$1="牵丝",$AK3*1.5,0))*(1+$BC3)*(1+$BD3)+($BE3*IF($G$1="破竹",$AJ3,$AH3)+IF($G$1="破竹",$AK3*1.5,0))*(1+$BG3)*(1+$BH3))*(1+$AL3))*$P3*(1+IF(VLOOKUP($Q3,武学奇术!$A:$ZZ,30,FALSE)="回旋伞",$B$21,0))*(1+$BQ3)</f>
        <v>14248.0267161707</v>
      </c>
      <c r="P3" s="42">
        <v>1</v>
      </c>
      <c r="Q3" s="43" t="s">
        <v>70</v>
      </c>
      <c r="R3" s="43" t="s">
        <v>71</v>
      </c>
      <c r="S3" s="43" t="s">
        <v>71</v>
      </c>
      <c r="T3" s="43" t="s">
        <v>72</v>
      </c>
      <c r="U3" s="43" t="s">
        <v>79</v>
      </c>
      <c r="V3" s="43" t="s">
        <v>80</v>
      </c>
      <c r="W3" s="43" t="s">
        <v>81</v>
      </c>
      <c r="X3" s="43" t="s">
        <v>82</v>
      </c>
      <c r="Y3" s="43" t="s">
        <v>71</v>
      </c>
      <c r="Z3" s="43" t="s">
        <v>71</v>
      </c>
      <c r="AA3" s="43" t="s">
        <v>71</v>
      </c>
      <c r="AB3" s="43" t="s">
        <v>71</v>
      </c>
      <c r="AC3" s="43" t="s">
        <v>71</v>
      </c>
      <c r="AD3" s="43" t="s">
        <v>71</v>
      </c>
      <c r="AE3" s="43" t="s">
        <v>71</v>
      </c>
      <c r="AF3" s="43" t="s">
        <v>76</v>
      </c>
      <c r="AG3" t="str">
        <f>VLOOKUP($Q3,武学奇术!$A:$ZZ,25,FALSE)</f>
        <v>群体奇术</v>
      </c>
      <c r="AH3" s="30">
        <f>VLOOKUP($Q3,武学奇术!$A:$ZZ,26,FALSE)</f>
        <v>1.4904</v>
      </c>
      <c r="AI3" s="31">
        <f>VLOOKUP($Q3,武学奇术!$A:$ZZ,27,FALSE)*(1+IF(OR($AG3=$F$4,$AG3=$F$5),$B$22,0))</f>
        <v>368</v>
      </c>
      <c r="AJ3" s="30">
        <f>VLOOKUP($Q3,武学奇术!$A:$ZZ,28,FALSE)</f>
        <v>2.2353</v>
      </c>
      <c r="AK3" s="31">
        <f>VLOOKUP($Q3,武学奇术!$A:$ZZ,29,FALSE)*(1+IF(OR($AG3=$F$4,$AG3=$F$5),$B$22,0))</f>
        <v>0</v>
      </c>
      <c r="AL3" s="30" cm="1">
        <f t="array" ref="AL3">$G$3+IFERROR(VLOOKUP($AG3,$F$4:$G$7,2,FALSE),0)+VLOOKUP($Q3,武学奇术!$A:$ZZ,2,FALSE)+SUM(_xlfn.XLOOKUP($R3:$AF3,增益!$A:$A,增益!$B:$B,0))</f>
        <v>0.4537</v>
      </c>
      <c r="AM3" s="30" cm="1">
        <f t="array" ref="AM3">VLOOKUP($Q3,武学奇术!$A:$ZZ,5,FALSE)+SUM(_xlfn.XLOOKUP($R3:$AF3,增益!$A:$A,增益!$E:$E,0))</f>
        <v>0</v>
      </c>
      <c r="AN3" cm="1">
        <f t="array" ref="AN3">$D$10*(1+$AM3)+VLOOKUP($Q3,武学奇术!$A:$ZZ,3,FALSE)+SUM(_xlfn.XLOOKUP($R3:$AF3,增益!$A:$A,增益!$C:$C,0))-$I$2</f>
        <v>3545.8</v>
      </c>
      <c r="AO3" cm="1">
        <f t="array" ref="AO3">$E$10*(1+$AM3)+VLOOKUP($Q3,武学奇术!$A:$ZZ,4,FALSE)+SUM(_xlfn.XLOOKUP($R3:$AF3,增益!$A:$A,增益!$D:$D,0))-$I$2</f>
        <v>3545.8</v>
      </c>
      <c r="AP3" s="35" cm="1">
        <f t="array" ref="AP3">IF($F$10-$I$3+VLOOKUP($Q3,武学奇术!$A:$ZZ,6,FALSE)+SUM(_xlfn.XLOOKUP(R3:AF3,增益!$A:$A,增益!$F:$F,0))&gt;0,($F$10-$I$3+VLOOKUP($Q3,武学奇术!$A:$ZZ,6,FALSE)+SUM(_xlfn.XLOOKUP(R3:AF3,增益!$A:$A,增益!$F:$F,0)))/200,($F$10-$I$3+VLOOKUP($Q3,武学奇术!$A:$ZZ,6,FALSE)+SUM(_xlfn.XLOOKUP(R3:AF3,增益!$A:$A,增益!$F:$F,0)))/100)</f>
        <v>0.2625</v>
      </c>
      <c r="AQ3" s="35" cm="1">
        <f t="array" ref="AQ3">$G$10+VLOOKUP($Q3,武学奇术!$A:$ZZ,7,FALSE)+SUM(_xlfn.XLOOKUP(R3:AF3,增益!$A:$A,增益!$G:$G,0))</f>
        <v>0.028</v>
      </c>
      <c r="AR3" s="30" cm="1">
        <f t="array" ref="AR3">VLOOKUP($Q3,武学奇术!$A:$ZZ,8,FALSE)+SUM(_xlfn.XLOOKUP(R3:AF3,增益!$A:$A,增益!$H:$H,0))</f>
        <v>0</v>
      </c>
      <c r="AS3">
        <f t="shared" ref="AS3:AS43" si="0">$D$11*(1+$AR3)</f>
        <v>0</v>
      </c>
      <c r="AT3">
        <f t="shared" ref="AT3:AT43" si="1">$E$11*(1+$AR3)</f>
        <v>0</v>
      </c>
      <c r="AU3" s="35" cm="1">
        <f t="array" ref="AU3">IF($F$11-$I$4+VLOOKUP($Q3,武学奇术!$A:$ZZ,9,FALSE)+SUM(_xlfn.XLOOKUP(R3:AF3,增益!$A:$A,增益!$I:$I,0))&gt;0,($F$11-$I$4+VLOOKUP($Q3,武学奇术!$A:$ZZ,9,FALSE)+SUM(_xlfn.XLOOKUP(R3:AF3,增益!$A:$A,增益!$I:$I,0)))/200,($F$11-$I$4+VLOOKUP($Q3,武学奇术!$A:$ZZ,9,FALSE)+SUM(_xlfn.XLOOKUP(R3:AF3,增益!$A:$A,增益!$I:$I,0)))/100)</f>
        <v>-0.14</v>
      </c>
      <c r="AV3" s="35" cm="1">
        <f t="array" ref="AV3">$G$11+VLOOKUP($Q3,武学奇术!$A:$ZZ,10,FALSE)+SUM(_xlfn.XLOOKUP(R3:AF3,增益!$A:$A,增益!$J:$J,0))</f>
        <v>0</v>
      </c>
      <c r="AW3">
        <f t="shared" ref="AW3:AW43" si="2">$D$12*(1+$AR3)</f>
        <v>0</v>
      </c>
      <c r="AX3">
        <f t="shared" ref="AX3:AX43" si="3">$E$12*(1+$AR3)</f>
        <v>0</v>
      </c>
      <c r="AY3" s="35" cm="1">
        <f t="array" ref="AY3">IF($F$12-$I$4+VLOOKUP($Q3,武学奇术!$A:$ZZ,11,FALSE)+SUM(_xlfn.XLOOKUP(R3:AF3,增益!$A:$A,增益!$K:$K,0))&gt;0,($F$12-$I$4+VLOOKUP($Q3,武学奇术!$A:$ZZ,11,FALSE)+SUM(_xlfn.XLOOKUP(R3:AF3,增益!$A:$A,增益!$K:$K,0)))/200,($F$12-$I$4+VLOOKUP($Q3,武学奇术!$A:$ZZ,11,FALSE)+SUM(_xlfn.XLOOKUP(R3:AF3,增益!$A:$A,增益!$K:$K,0)))/100)</f>
        <v>-0.14</v>
      </c>
      <c r="AZ3" s="35" cm="1">
        <f t="array" ref="AZ3">$G$12+VLOOKUP($Q3,武学奇术!$A:$ZZ,12,FALSE)+SUM(_xlfn.XLOOKUP(R3:AF3,增益!$A:$A,增益!$L:$L,0))</f>
        <v>0</v>
      </c>
      <c r="BA3">
        <f t="shared" ref="BA3:BA34" si="4">$D$13*(1+$AR3)</f>
        <v>0</v>
      </c>
      <c r="BB3">
        <f t="shared" ref="BB3:BB34" si="5">$E$13*(1+$AR3)</f>
        <v>0</v>
      </c>
      <c r="BC3" s="35" cm="1">
        <f t="array" ref="BC3">IF($F$13-$I$4+VLOOKUP($Q3,武学奇术!$A:$ZZ,13,FALSE)+SUM(_xlfn.XLOOKUP(R3:AF3,增益!$A:$A,增益!$M:$M,0))&gt;0,($F$13-$I$4+VLOOKUP($Q3,武学奇术!$A:$ZZ,13,FALSE)+SUM(_xlfn.XLOOKUP(R3:AF3,增益!$A:$A,增益!$K:$K,0)))/200,($F$13-$I$4+VLOOKUP($Q3,武学奇术!$A:$ZZ,13,FALSE)+SUM(_xlfn.XLOOKUP(R3:AF3,增益!$A:$A,增益!$M:$M,0)))/100)</f>
        <v>-0.14</v>
      </c>
      <c r="BD3" s="35" cm="1">
        <f t="array" ref="BD3">$G$13+VLOOKUP($Q3,武学奇术!$A:$ZZ,14,FALSE)+SUM(_xlfn.XLOOKUP(R3:AF3,增益!$A:$A,增益!$N:$N,0))</f>
        <v>0</v>
      </c>
      <c r="BE3">
        <f t="shared" ref="BE3:BE34" si="6">$D$14*(1+$AR3)</f>
        <v>538</v>
      </c>
      <c r="BF3">
        <f t="shared" ref="BF3:BF34" si="7">$E$14*(1+$AR3)</f>
        <v>1561.4</v>
      </c>
      <c r="BG3" s="35" cm="1">
        <f t="array" ref="BG3">IF($F$14-$I$4+VLOOKUP($Q3,武学奇术!$A:$ZZ,15,FALSE)+SUM(_xlfn.XLOOKUP(R3:AF3,增益!$A:$A,增益!$O:$O,0))&gt;0,($F$14-$I$4+VLOOKUP($Q3,武学奇术!$A:$ZZ,15,FALSE)+SUM(_xlfn.XLOOKUP(R3:AF3,增益!$A:$A,增益!$O:$O,0)))/200,($F$14-$I$4+VLOOKUP($Q3,武学奇术!$A:$ZZ,15,FALSE)+SUM(_xlfn.XLOOKUP(R3:AF3,增益!$A:$A,增益!$O:$O,0)))/100)</f>
        <v>0.08</v>
      </c>
      <c r="BH3" s="35" cm="1">
        <f t="array" ref="BH3">$G$14+VLOOKUP($Q3,武学奇术!$A:$ZZ,16,FALSE)+SUM(_xlfn.XLOOKUP(R3:AF3,增益!$A:$A,增益!$P:$P,0))</f>
        <v>0.15</v>
      </c>
      <c r="BI3" s="30">
        <f>MIN(IF(VLOOKUP($Q3,武学奇术!$A:$ZZ,23,FALSE)=1,100%,$B$8),100%)</f>
        <v>0.9712</v>
      </c>
      <c r="BJ3" s="30" cm="1">
        <f t="array" ref="BJ3">IF(VLOOKUP($Q3,武学奇术!$A:$ZZ,23,FALSE)=1,100%,MIN(80%,$B$9+VLOOKUP($Q3,武学奇术!$A:$ZZ,17,FALSE)+SUM(_xlfn.XLOOKUP(R3:AF3,增益!$A:$A,增益!$Q:$Q,0)))+$B$11+SUM(_xlfn.XLOOKUP(R3:AF3,增益!$A:$A,增益!$U:$U,0)))*IF(VLOOKUP($Q3,武学奇术!$A:$ZZ,24,FALSE)=1,0,1)</f>
        <v>0.8773</v>
      </c>
      <c r="BK3" s="30" cm="1">
        <f t="array" ref="BK3">1+$B$13+VLOOKUP($Q3,武学奇术!$A:$ZZ,18,FALSE)+SUM(_xlfn.XLOOKUP(R3:AF3,增益!$A:$A,增益!$R:$R,0))</f>
        <v>1.79</v>
      </c>
      <c r="BL3" s="30" cm="1">
        <f t="array" ref="BL3">IF(VLOOKUP($Q3,武学奇术!$A:$ZZ,24,FALSE)=1,100%,MIN(40%,$B$10+VLOOKUP($Q3,武学奇术!$A:$ZZ,19,FALSE)+SUM(_xlfn.XLOOKUP(R3:AF3,增益!$A:$A,增益!$S:$S,0)))+$B$12+SUM(_xlfn.XLOOKUP(R3:AF3,增益!$A:$A,增益!$V:$V,0)))*IF(VLOOKUP($Q3,武学奇术!$A:$ZZ,23,FALSE)=1,0,1)</f>
        <v>0.0895</v>
      </c>
      <c r="BM3" s="30" cm="1">
        <f t="array" ref="BM3">1+$B$14+VLOOKUP($Q3,武学奇术!$A:$ZZ,20,FALSE)+SUM(_xlfn.XLOOKUP(R3:AF3,增益!$A:$A,增益!$T:$T,0))</f>
        <v>1.35</v>
      </c>
      <c r="BN3" s="30">
        <f t="shared" ref="BN3:BN27" si="8">MIN((1-BL3)*BI3,BI3*BJ3)</f>
        <v>0.85203376</v>
      </c>
      <c r="BO3" s="30">
        <f t="shared" ref="BO3:BO34" si="9">1-BL3-BN3-BP3</f>
        <v>0.03224384</v>
      </c>
      <c r="BP3" s="30">
        <f>IF(VLOOKUP($Q3,武学奇术!$A:$ZZ,22,FALSE)=1,0,(1-$BI3))*(1-$BL3)</f>
        <v>0.0262224</v>
      </c>
      <c r="BQ3" s="30" cm="1">
        <f t="array" ref="BQ3">SUM(_xlfn.XLOOKUP(R3:AF3,增益!$A:$A,增益!$W:$W,0))+$I$5</f>
        <v>0.11</v>
      </c>
    </row>
    <row r="4" ht="14.25" spans="1:69">
      <c r="A4" s="53" t="s">
        <v>83</v>
      </c>
      <c r="B4" s="54"/>
      <c r="C4" s="54"/>
      <c r="D4" s="54"/>
      <c r="E4" s="55"/>
      <c r="F4" s="48" t="s">
        <v>84</v>
      </c>
      <c r="G4" s="52">
        <f>B15+B17</f>
        <v>0.1704</v>
      </c>
      <c r="H4" s="56" t="s">
        <v>85</v>
      </c>
      <c r="I4" s="14">
        <f>30</f>
        <v>30</v>
      </c>
      <c r="K4" s="41">
        <f t="shared" ref="K4:K24" si="10">($L4*$BN4+$M4*$BL4+$N4*$BO4+$O4*$BP4)</f>
        <v>28907.749084572</v>
      </c>
      <c r="L4" s="41">
        <f>((($AN4+$AO4)/2*$AH4+$AI4)*(1+$AP4)*(1+$AQ4)+(($AS4+$AT4)/2*IF($G$1="鸣金",$AJ4,$AH4)+IF($G$1="鸣金",$AK4*1.5,0))*(1+$AU4)*(1+$AV4)+(($AW4+$AX4)/2*IF($G$1="裂石",$AJ4,$AH4)+IF($G$1="裂石",$AK4*1.5,0))*(1+$AY4)*(1+$AZ4)+(($BA4+$BB4)/2*IF($G$1="牵丝",$AJ4,$AH4)+IF($G$1="牵丝",$AK4*1.5,0))*(1+$BC4)*(1+$BD4)+(($BE4+$BF4)/2*IF($G$1="破竹",$AJ4,$AH4)+IF($G$1="破竹",$AK4*1.5,0))*(1+$BG4)*(1+$BH4))*(1+$AL4)*$BK4*$P4*(1+IF(VLOOKUP($Q4,武学奇术!$A:$ZZ,30,FALSE)="回旋伞",$B$21,0))*(1+$BQ4)</f>
        <v>30147.324699905</v>
      </c>
      <c r="M4" s="41">
        <f>(($AO4*$AH4+$AI4)*(1+$AP4)*(1+$AQ4)+($AT4*IF($G$1="鸣金",$AJ4,$AH4)+IF($G$1="鸣金",$AK4*1.5,0))*(1+$AU4)*(1+$AV4)+($AX4*IF($G$1="裂石",$AJ4,$AH4)+IF($G$1="裂石",$AK4*1.5,0))*(1+$AY4)*(1+$AZ4)+($BB4*IF($G$1="牵丝",$AJ4,$AH4)+IF($G$1="牵丝",$AK4*1.5,0))*(1+$BC4)*(1+$BD4)+($BF4*IF($G$1="破竹",$AJ4,$AH4)+IF($G$1="破竹",$AK4*1.5,0))*(1+$BG4)*(1+$BH4))*(1+$AL4)*$BM4*$P4*(1+IF(VLOOKUP($Q4,武学奇术!$A:$ZZ,30,FALSE)="回旋伞",$B$21,0))*(1+$BQ4)</f>
        <v>25726.3801789371</v>
      </c>
      <c r="N4" s="41">
        <f>((($AN4+$AO4)/2*$AH4+$AI4)*(1+$AP4)*(1+$AQ4)+(($AS4+$AT4)/2*IF($G$1="鸣金",$AJ4,$AH4)+IF($G$1="鸣金",$AK4*1.5,0))*(1+$AU4)*(1+$AV4)+(($AW4+$AX4)/2*IF($G$1="裂石",$AJ4,$AH4)+IF($G$1="裂石",$AK4*1.5,0))*(1+$AY4)*(1+$AZ4)+(($BA4+$BB4)/2*IF($G$1="牵丝",$AJ4,$AH4)+IF($G$1="牵丝",$AK4*1.5,0))*(1+$BC4)*(1+$BD4)+(($BE4+$BF4)/2*IF($G$1="破竹",$AJ4,$AH4)+IF($G$1="破竹",$AK4*1.5,0))*(1+$BG4)*(1+$BH4))*(1+$AL4)*$P4*(1+IF(VLOOKUP($Q4,武学奇术!$A:$ZZ,30,FALSE)="回旋伞",$B$21,0))*(1+$BQ4)</f>
        <v>16748.5137221694</v>
      </c>
      <c r="O4" s="41">
        <f>((($AN4*$AH4+$AI4)*(1+$AP4)*(1+$AQ4)+($AS4*IF($G$1="鸣金",$AJ4,$AH4)+IF($G$1="鸣金",$AK4*1.5,0))*(1+$AU4)*(1+$AV4)+($AW4*IF($G$1="裂石",$AJ4,$AH4)+IF($G$1="裂石",$AK4*1.5,0))*(1+$AY4)*(1+$AZ4)+($BA4*IF($G$1="牵丝",$AJ4,$AH4)+IF($G$1="牵丝",$AK4*1.5,0))*(1+$BC4)*(1+$BD4)+($BE4*IF($G$1="破竹",$AJ4,$AH4)+IF($G$1="破竹",$AK4*1.5,0))*(1+$BG4)*(1+$BH4))*(1+$AL4))*$P4*(1+IF(VLOOKUP($Q4,武学奇术!$A:$ZZ,30,FALSE)="回旋伞",$B$21,0))*(1+$BQ4)</f>
        <v>14440.4495340151</v>
      </c>
      <c r="P4" s="42">
        <v>1</v>
      </c>
      <c r="Q4" s="43" t="s">
        <v>70</v>
      </c>
      <c r="R4" s="43" t="s">
        <v>71</v>
      </c>
      <c r="S4" s="43" t="s">
        <v>71</v>
      </c>
      <c r="T4" s="43" t="s">
        <v>72</v>
      </c>
      <c r="U4" s="43" t="s">
        <v>79</v>
      </c>
      <c r="V4" s="43" t="s">
        <v>86</v>
      </c>
      <c r="W4" s="43" t="s">
        <v>87</v>
      </c>
      <c r="X4" s="43" t="s">
        <v>82</v>
      </c>
      <c r="Y4" s="43" t="s">
        <v>71</v>
      </c>
      <c r="Z4" s="43" t="s">
        <v>71</v>
      </c>
      <c r="AA4" s="43" t="s">
        <v>71</v>
      </c>
      <c r="AB4" s="43" t="s">
        <v>71</v>
      </c>
      <c r="AC4" s="43" t="s">
        <v>71</v>
      </c>
      <c r="AD4" s="43" t="s">
        <v>71</v>
      </c>
      <c r="AE4" s="43" t="s">
        <v>71</v>
      </c>
      <c r="AF4" s="43" t="s">
        <v>76</v>
      </c>
      <c r="AG4" t="str">
        <f>VLOOKUP($Q4,武学奇术!$A:$ZZ,25,FALSE)</f>
        <v>群体奇术</v>
      </c>
      <c r="AH4" s="30">
        <f>VLOOKUP($Q4,武学奇术!$A:$ZZ,26,FALSE)</f>
        <v>1.4904</v>
      </c>
      <c r="AI4" s="31">
        <f>VLOOKUP($Q4,武学奇术!$A:$ZZ,27,FALSE)*(1+IF(OR($AG4=$F$4,$AG4=$F$5),$B$22,0))</f>
        <v>368</v>
      </c>
      <c r="AJ4" s="30">
        <f>VLOOKUP($Q4,武学奇术!$A:$ZZ,28,FALSE)</f>
        <v>2.2353</v>
      </c>
      <c r="AK4" s="31">
        <f>VLOOKUP($Q4,武学奇术!$A:$ZZ,29,FALSE)*(1+IF(OR($AG4=$F$4,$AG4=$F$5),$B$22,0))</f>
        <v>0</v>
      </c>
      <c r="AL4" s="30" cm="1">
        <f t="array" ref="AL4">$G$3+IFERROR(VLOOKUP($AG4,$F$4:$G$7,2,FALSE),0)+VLOOKUP($Q4,武学奇术!$A:$ZZ,2,FALSE)+SUM(_xlfn.XLOOKUP($R4:$AF4,增益!$A:$A,增益!$B:$B,0))</f>
        <v>0.4637</v>
      </c>
      <c r="AM4" s="30" cm="1">
        <f t="array" ref="AM4">VLOOKUP($Q4,武学奇术!$A:$ZZ,5,FALSE)+SUM(_xlfn.XLOOKUP($R4:$AF4,增益!$A:$A,增益!$E:$E,0))</f>
        <v>0</v>
      </c>
      <c r="AN4" cm="1">
        <f t="array" ref="AN4">$D$10*(1+$AM4)+VLOOKUP($Q4,武学奇术!$A:$ZZ,3,FALSE)+SUM(_xlfn.XLOOKUP($R4:$AF4,增益!$A:$A,增益!$C:$C,0))-$I$2</f>
        <v>3545.8</v>
      </c>
      <c r="AO4" cm="1">
        <f t="array" ref="AO4">$E$10*(1+$AM4)+VLOOKUP($Q4,武学奇术!$A:$ZZ,4,FALSE)+SUM(_xlfn.XLOOKUP($R4:$AF4,增益!$A:$A,增益!$D:$D,0))-$I$2</f>
        <v>3545.8</v>
      </c>
      <c r="AP4" s="35" cm="1">
        <f t="array" ref="AP4">IF($F$10-$I$3+VLOOKUP($Q4,武学奇术!$A:$ZZ,6,FALSE)+SUM(_xlfn.XLOOKUP(R4:AF4,增益!$A:$A,增益!$F:$F,0))&gt;0,($F$10-$I$3+VLOOKUP($Q4,武学奇术!$A:$ZZ,6,FALSE)+SUM(_xlfn.XLOOKUP(R4:AF4,增益!$A:$A,增益!$F:$F,0)))/200,($F$10-$I$3+VLOOKUP($Q4,武学奇术!$A:$ZZ,6,FALSE)+SUM(_xlfn.XLOOKUP(R4:AF4,增益!$A:$A,增益!$F:$F,0)))/100)</f>
        <v>0.2725</v>
      </c>
      <c r="AQ4" s="35" cm="1">
        <f t="array" ref="AQ4">$G$10+VLOOKUP($Q4,武学奇术!$A:$ZZ,7,FALSE)+SUM(_xlfn.XLOOKUP(R4:AF4,增益!$A:$A,增益!$G:$G,0))</f>
        <v>0.028</v>
      </c>
      <c r="AR4" s="30" cm="1">
        <f t="array" ref="AR4">VLOOKUP($Q4,武学奇术!$A:$ZZ,8,FALSE)+SUM(_xlfn.XLOOKUP(R4:AF4,增益!$A:$A,增益!$H:$H,0))</f>
        <v>0</v>
      </c>
      <c r="AS4">
        <f t="shared" si="0"/>
        <v>0</v>
      </c>
      <c r="AT4">
        <f t="shared" si="1"/>
        <v>0</v>
      </c>
      <c r="AU4" s="35" cm="1">
        <f t="array" ref="AU4">IF($F$11-$I$4+VLOOKUP($Q4,武学奇术!$A:$ZZ,9,FALSE)+SUM(_xlfn.XLOOKUP(R4:AF4,增益!$A:$A,增益!$I:$I,0))&gt;0,($F$11-$I$4+VLOOKUP($Q4,武学奇术!$A:$ZZ,9,FALSE)+SUM(_xlfn.XLOOKUP(R4:AF4,增益!$A:$A,增益!$I:$I,0)))/200,($F$11-$I$4+VLOOKUP($Q4,武学奇术!$A:$ZZ,9,FALSE)+SUM(_xlfn.XLOOKUP(R4:AF4,增益!$A:$A,增益!$I:$I,0)))/100)</f>
        <v>-0.14</v>
      </c>
      <c r="AV4" s="35" cm="1">
        <f t="array" ref="AV4">$G$11+VLOOKUP($Q4,武学奇术!$A:$ZZ,10,FALSE)+SUM(_xlfn.XLOOKUP(R4:AF4,增益!$A:$A,增益!$J:$J,0))</f>
        <v>0</v>
      </c>
      <c r="AW4">
        <f t="shared" si="2"/>
        <v>0</v>
      </c>
      <c r="AX4">
        <f t="shared" si="3"/>
        <v>0</v>
      </c>
      <c r="AY4" s="35" cm="1">
        <f t="array" ref="AY4">IF($F$12-$I$4+VLOOKUP($Q4,武学奇术!$A:$ZZ,11,FALSE)+SUM(_xlfn.XLOOKUP(R4:AF4,增益!$A:$A,增益!$K:$K,0))&gt;0,($F$12-$I$4+VLOOKUP($Q4,武学奇术!$A:$ZZ,11,FALSE)+SUM(_xlfn.XLOOKUP(R4:AF4,增益!$A:$A,增益!$K:$K,0)))/200,($F$12-$I$4+VLOOKUP($Q4,武学奇术!$A:$ZZ,11,FALSE)+SUM(_xlfn.XLOOKUP(R4:AF4,增益!$A:$A,增益!$K:$K,0)))/100)</f>
        <v>-0.14</v>
      </c>
      <c r="AZ4" s="35" cm="1">
        <f t="array" ref="AZ4">$G$12+VLOOKUP($Q4,武学奇术!$A:$ZZ,12,FALSE)+SUM(_xlfn.XLOOKUP(R4:AF4,增益!$A:$A,增益!$L:$L,0))</f>
        <v>0</v>
      </c>
      <c r="BA4">
        <f t="shared" si="4"/>
        <v>0</v>
      </c>
      <c r="BB4">
        <f t="shared" si="5"/>
        <v>0</v>
      </c>
      <c r="BC4" s="35" cm="1">
        <f t="array" ref="BC4">IF($F$13-$I$4+VLOOKUP($Q4,武学奇术!$A:$ZZ,13,FALSE)+SUM(_xlfn.XLOOKUP(R4:AF4,增益!$A:$A,增益!$M:$M,0))&gt;0,($F$13-$I$4+VLOOKUP($Q4,武学奇术!$A:$ZZ,13,FALSE)+SUM(_xlfn.XLOOKUP(R4:AF4,增益!$A:$A,增益!$K:$K,0)))/200,($F$13-$I$4+VLOOKUP($Q4,武学奇术!$A:$ZZ,13,FALSE)+SUM(_xlfn.XLOOKUP(R4:AF4,增益!$A:$A,增益!$M:$M,0)))/100)</f>
        <v>-0.14</v>
      </c>
      <c r="BD4" s="35" cm="1">
        <f t="array" ref="BD4">$G$13+VLOOKUP($Q4,武学奇术!$A:$ZZ,14,FALSE)+SUM(_xlfn.XLOOKUP(R4:AF4,增益!$A:$A,增益!$N:$N,0))</f>
        <v>0</v>
      </c>
      <c r="BE4">
        <f t="shared" si="6"/>
        <v>538</v>
      </c>
      <c r="BF4">
        <f t="shared" si="7"/>
        <v>1561.4</v>
      </c>
      <c r="BG4" s="35" cm="1">
        <f t="array" ref="BG4">IF($F$14-$I$4+VLOOKUP($Q4,武学奇术!$A:$ZZ,15,FALSE)+SUM(_xlfn.XLOOKUP(R4:AF4,增益!$A:$A,增益!$O:$O,0))&gt;0,($F$14-$I$4+VLOOKUP($Q4,武学奇术!$A:$ZZ,15,FALSE)+SUM(_xlfn.XLOOKUP(R4:AF4,增益!$A:$A,增益!$O:$O,0)))/200,($F$14-$I$4+VLOOKUP($Q4,武学奇术!$A:$ZZ,15,FALSE)+SUM(_xlfn.XLOOKUP(R4:AF4,增益!$A:$A,增益!$O:$O,0)))/100)</f>
        <v>0.08</v>
      </c>
      <c r="BH4" s="35" cm="1">
        <f t="array" ref="BH4">$G$14+VLOOKUP($Q4,武学奇术!$A:$ZZ,16,FALSE)+SUM(_xlfn.XLOOKUP(R4:AF4,增益!$A:$A,增益!$P:$P,0))</f>
        <v>0.15</v>
      </c>
      <c r="BI4" s="30">
        <f>MIN(IF(VLOOKUP($Q4,武学奇术!$A:$ZZ,23,FALSE)=1,100%,$B$8),100%)</f>
        <v>0.9712</v>
      </c>
      <c r="BJ4" s="30" cm="1">
        <f t="array" ref="BJ4">IF(VLOOKUP($Q4,武学奇术!$A:$ZZ,23,FALSE)=1,100%,MIN(80%,$B$9+VLOOKUP($Q4,武学奇术!$A:$ZZ,17,FALSE)+SUM(_xlfn.XLOOKUP(R4:AF4,增益!$A:$A,增益!$Q:$Q,0)))+$B$11+SUM(_xlfn.XLOOKUP(R4:AF4,增益!$A:$A,增益!$U:$U,0)))*IF(VLOOKUP($Q4,武学奇术!$A:$ZZ,24,FALSE)=1,0,1)</f>
        <v>0.8773</v>
      </c>
      <c r="BK4" s="30" cm="1">
        <f t="array" ref="BK4">1+$B$13+VLOOKUP($Q4,武学奇术!$A:$ZZ,18,FALSE)+SUM(_xlfn.XLOOKUP(R4:AF4,增益!$A:$A,增益!$R:$R,0))</f>
        <v>1.8</v>
      </c>
      <c r="BL4" s="30" cm="1">
        <f t="array" ref="BL4">IF(VLOOKUP($Q4,武学奇术!$A:$ZZ,24,FALSE)=1,100%,MIN(40%,$B$10+VLOOKUP($Q4,武学奇术!$A:$ZZ,19,FALSE)+SUM(_xlfn.XLOOKUP(R4:AF4,增益!$A:$A,增益!$S:$S,0)))+$B$12+SUM(_xlfn.XLOOKUP(R4:AF4,增益!$A:$A,增益!$V:$V,0)))*IF(VLOOKUP($Q4,武学奇术!$A:$ZZ,23,FALSE)=1,0,1)</f>
        <v>0.0895</v>
      </c>
      <c r="BM4" s="30" cm="1">
        <f t="array" ref="BM4">1+$B$14+VLOOKUP($Q4,武学奇术!$A:$ZZ,20,FALSE)+SUM(_xlfn.XLOOKUP(R4:AF4,增益!$A:$A,增益!$T:$T,0))</f>
        <v>1.35</v>
      </c>
      <c r="BN4" s="30">
        <f t="shared" si="8"/>
        <v>0.85203376</v>
      </c>
      <c r="BO4" s="30">
        <f t="shared" si="9"/>
        <v>0.03224384</v>
      </c>
      <c r="BP4" s="30">
        <f>IF(VLOOKUP($Q4,武学奇术!$A:$ZZ,22,FALSE)=1,0,(1-$BI4))*(1-$BL4)</f>
        <v>0.0262224</v>
      </c>
      <c r="BQ4" s="30" cm="1">
        <f t="array" ref="BQ4">SUM(_xlfn.XLOOKUP(R4:AF4,增益!$A:$A,增益!$W:$W,0))+$I$5</f>
        <v>0.11</v>
      </c>
    </row>
    <row r="5" spans="1:69">
      <c r="A5" s="57" t="s">
        <v>88</v>
      </c>
      <c r="B5" s="58"/>
      <c r="C5" s="58"/>
      <c r="D5" s="58"/>
      <c r="E5" s="59"/>
      <c r="F5" s="48" t="s">
        <v>89</v>
      </c>
      <c r="G5" s="52">
        <f>B15+B18</f>
        <v>0.0852</v>
      </c>
      <c r="H5" t="s">
        <v>90</v>
      </c>
      <c r="I5" s="32">
        <v>0.06</v>
      </c>
      <c r="K5" s="41">
        <f t="shared" si="10"/>
        <v>30230.7391257619</v>
      </c>
      <c r="L5" s="41">
        <f>((($AN5+$AO5)/2*$AH5+$AI5)*(1+$AP5)*(1+$AQ5)+(($AS5+$AT5)/2*IF($G$1="鸣金",$AJ5,$AH5)+IF($G$1="鸣金",$AK5*1.5,0))*(1+$AU5)*(1+$AV5)+(($AW5+$AX5)/2*IF($G$1="裂石",$AJ5,$AH5)+IF($G$1="裂石",$AK5*1.5,0))*(1+$AY5)*(1+$AZ5)+(($BA5+$BB5)/2*IF($G$1="牵丝",$AJ5,$AH5)+IF($G$1="牵丝",$AK5*1.5,0))*(1+$BC5)*(1+$BD5)+(($BE5+$BF5)/2*IF($G$1="破竹",$AJ5,$AH5)+IF($G$1="破竹",$AK5*1.5,0))*(1+$BG5)*(1+$BH5))*(1+$AL5)*$BK5*$P5*(1+IF(VLOOKUP($Q5,武学奇术!$A:$ZZ,30,FALSE)="回旋伞",$B$21,0))*(1+$BQ5)</f>
        <v>31554.2253181742</v>
      </c>
      <c r="M5" s="41">
        <f>(($AO5*$AH5+$AI5)*(1+$AP5)*(1+$AQ5)+($AT5*IF($G$1="鸣金",$AJ5,$AH5)+IF($G$1="鸣金",$AK5*1.5,0))*(1+$AU5)*(1+$AV5)+($AX5*IF($G$1="裂石",$AJ5,$AH5)+IF($G$1="裂石",$AK5*1.5,0))*(1+$AY5)*(1+$AZ5)+($BB5*IF($G$1="牵丝",$AJ5,$AH5)+IF($G$1="牵丝",$AK5*1.5,0))*(1+$BC5)*(1+$BD5)+($BF5*IF($G$1="破竹",$AJ5,$AH5)+IF($G$1="破竹",$AK5*1.5,0))*(1+$BG5)*(1+$BH5))*(1+$AL5)*$BM5*$P5*(1+IF(VLOOKUP($Q5,武学奇术!$A:$ZZ,30,FALSE)="回旋伞",$B$21,0))*(1+$BQ5)</f>
        <v>26672.0938312419</v>
      </c>
      <c r="N5" s="41">
        <f>((($AN5+$AO5)/2*$AH5+$AI5)*(1+$AP5)*(1+$AQ5)+(($AS5+$AT5)/2*IF($G$1="鸣金",$AJ5,$AH5)+IF($G$1="鸣金",$AK5*1.5,0))*(1+$AU5)*(1+$AV5)+(($AW5+$AX5)/2*IF($G$1="裂石",$AJ5,$AH5)+IF($G$1="裂石",$AK5*1.5,0))*(1+$AY5)*(1+$AZ5)+(($BA5+$BB5)/2*IF($G$1="牵丝",$AJ5,$AH5)+IF($G$1="牵丝",$AK5*1.5,0))*(1+$BC5)*(1+$BD5)+(($BE5+$BF5)/2*IF($G$1="破竹",$AJ5,$AH5)+IF($G$1="破竹",$AK5*1.5,0))*(1+$BG5)*(1+$BH5))*(1+$AL5)*$P5*(1+IF(VLOOKUP($Q5,武学奇术!$A:$ZZ,30,FALSE)="回旋伞",$B$21,0))*(1+$BQ5)</f>
        <v>17433.2736564499</v>
      </c>
      <c r="O5" s="41">
        <f>((($AN5*$AH5+$AI5)*(1+$AP5)*(1+$AQ5)+($AS5*IF($G$1="鸣金",$AJ5,$AH5)+IF($G$1="鸣金",$AK5*1.5,0))*(1+$AU5)*(1+$AV5)+($AW5*IF($G$1="裂石",$AJ5,$AH5)+IF($G$1="裂石",$AK5*1.5,0))*(1+$AY5)*(1+$AZ5)+($BA5*IF($G$1="牵丝",$AJ5,$AH5)+IF($G$1="牵丝",$AK5*1.5,0))*(1+$BC5)*(1+$BD5)+($BE5*IF($G$1="破竹",$AJ5,$AH5)+IF($G$1="破竹",$AK5*1.5,0))*(1+$BG5)*(1+$BH5))*(1+$AL5))*$P5*(1+IF(VLOOKUP($Q5,武学奇术!$A:$ZZ,30,FALSE)="回旋伞",$B$21,0))*(1+$BQ5)</f>
        <v>15109.440771239</v>
      </c>
      <c r="P5" s="42">
        <v>1</v>
      </c>
      <c r="Q5" s="43" t="s">
        <v>70</v>
      </c>
      <c r="R5" s="43" t="s">
        <v>71</v>
      </c>
      <c r="S5" s="43" t="s">
        <v>91</v>
      </c>
      <c r="T5" s="43" t="s">
        <v>72</v>
      </c>
      <c r="U5" s="43" t="s">
        <v>79</v>
      </c>
      <c r="V5" s="43" t="s">
        <v>92</v>
      </c>
      <c r="W5" s="43" t="s">
        <v>93</v>
      </c>
      <c r="X5" s="43" t="s">
        <v>82</v>
      </c>
      <c r="Y5" s="43" t="s">
        <v>71</v>
      </c>
      <c r="Z5" s="43" t="s">
        <v>71</v>
      </c>
      <c r="AA5" s="43" t="s">
        <v>71</v>
      </c>
      <c r="AB5" s="43" t="s">
        <v>71</v>
      </c>
      <c r="AC5" s="43" t="s">
        <v>71</v>
      </c>
      <c r="AD5" s="43" t="s">
        <v>71</v>
      </c>
      <c r="AE5" s="43" t="s">
        <v>71</v>
      </c>
      <c r="AF5" s="43" t="s">
        <v>76</v>
      </c>
      <c r="AG5" t="str">
        <f>VLOOKUP($Q5,武学奇术!$A:$ZZ,25,FALSE)</f>
        <v>群体奇术</v>
      </c>
      <c r="AH5" s="30">
        <f>VLOOKUP($Q5,武学奇术!$A:$ZZ,26,FALSE)</f>
        <v>1.4904</v>
      </c>
      <c r="AI5" s="31">
        <f>VLOOKUP($Q5,武学奇术!$A:$ZZ,27,FALSE)*(1+IF(OR($AG5=$F$4,$AG5=$F$5),$B$22,0))</f>
        <v>368</v>
      </c>
      <c r="AJ5" s="30">
        <f>VLOOKUP($Q5,武学奇术!$A:$ZZ,28,FALSE)</f>
        <v>2.2353</v>
      </c>
      <c r="AK5" s="31">
        <f>VLOOKUP($Q5,武学奇术!$A:$ZZ,29,FALSE)*(1+IF(OR($AG5=$F$4,$AG5=$F$5),$B$22,0))</f>
        <v>0</v>
      </c>
      <c r="AL5" s="30" cm="1">
        <f t="array" ref="AL5">$G$3+IFERROR(VLOOKUP($AG5,$F$4:$G$7,2,FALSE),0)+VLOOKUP($Q5,武学奇术!$A:$ZZ,2,FALSE)+SUM(_xlfn.XLOOKUP($R5:$AF5,增益!$A:$A,增益!$B:$B,0))</f>
        <v>0.4737</v>
      </c>
      <c r="AM5" s="30" cm="1">
        <f t="array" ref="AM5">VLOOKUP($Q5,武学奇术!$A:$ZZ,5,FALSE)+SUM(_xlfn.XLOOKUP($R5:$AF5,增益!$A:$A,增益!$E:$E,0))</f>
        <v>0</v>
      </c>
      <c r="AN5" cm="1">
        <f t="array" ref="AN5">$D$10*(1+$AM5)+VLOOKUP($Q5,武学奇术!$A:$ZZ,3,FALSE)+SUM(_xlfn.XLOOKUP($R5:$AF5,增益!$A:$A,增益!$C:$C,0))-$I$2</f>
        <v>3545.8</v>
      </c>
      <c r="AO5" cm="1">
        <f t="array" ref="AO5">$E$10*(1+$AM5)+VLOOKUP($Q5,武学奇术!$A:$ZZ,4,FALSE)+SUM(_xlfn.XLOOKUP($R5:$AF5,增益!$A:$A,增益!$D:$D,0))-$I$2</f>
        <v>3545.8</v>
      </c>
      <c r="AP5" s="35" cm="1">
        <f t="array" ref="AP5">IF($F$10-$I$3+VLOOKUP($Q5,武学奇术!$A:$ZZ,6,FALSE)+SUM(_xlfn.XLOOKUP(R5:AF5,增益!$A:$A,增益!$F:$F,0))&gt;0,($F$10-$I$3+VLOOKUP($Q5,武学奇术!$A:$ZZ,6,FALSE)+SUM(_xlfn.XLOOKUP(R5:AF5,增益!$A:$A,增益!$F:$F,0)))/200,($F$10-$I$3+VLOOKUP($Q5,武学奇术!$A:$ZZ,6,FALSE)+SUM(_xlfn.XLOOKUP(R5:AF5,增益!$A:$A,增益!$F:$F,0)))/100)</f>
        <v>0.3325</v>
      </c>
      <c r="AQ5" s="35" cm="1">
        <f t="array" ref="AQ5">$G$10+VLOOKUP($Q5,武学奇术!$A:$ZZ,7,FALSE)+SUM(_xlfn.XLOOKUP(R5:AF5,增益!$A:$A,增益!$G:$G,0))</f>
        <v>0.028</v>
      </c>
      <c r="AR5" s="30" cm="1">
        <f t="array" ref="AR5">VLOOKUP($Q5,武学奇术!$A:$ZZ,8,FALSE)+SUM(_xlfn.XLOOKUP(R5:AF5,增益!$A:$A,增益!$H:$H,0))</f>
        <v>0</v>
      </c>
      <c r="AS5">
        <f t="shared" si="0"/>
        <v>0</v>
      </c>
      <c r="AT5">
        <f t="shared" si="1"/>
        <v>0</v>
      </c>
      <c r="AU5" s="35" cm="1">
        <f t="array" ref="AU5">IF($F$11-$I$4+VLOOKUP($Q5,武学奇术!$A:$ZZ,9,FALSE)+SUM(_xlfn.XLOOKUP(R5:AF5,增益!$A:$A,增益!$I:$I,0))&gt;0,($F$11-$I$4+VLOOKUP($Q5,武学奇术!$A:$ZZ,9,FALSE)+SUM(_xlfn.XLOOKUP(R5:AF5,增益!$A:$A,增益!$I:$I,0)))/200,($F$11-$I$4+VLOOKUP($Q5,武学奇术!$A:$ZZ,9,FALSE)+SUM(_xlfn.XLOOKUP(R5:AF5,增益!$A:$A,增益!$I:$I,0)))/100)</f>
        <v>-0.14</v>
      </c>
      <c r="AV5" s="35" cm="1">
        <f t="array" ref="AV5">$G$11+VLOOKUP($Q5,武学奇术!$A:$ZZ,10,FALSE)+SUM(_xlfn.XLOOKUP(R5:AF5,增益!$A:$A,增益!$J:$J,0))</f>
        <v>0</v>
      </c>
      <c r="AW5">
        <f t="shared" si="2"/>
        <v>0</v>
      </c>
      <c r="AX5">
        <f t="shared" si="3"/>
        <v>0</v>
      </c>
      <c r="AY5" s="35" cm="1">
        <f t="array" ref="AY5">IF($F$12-$I$4+VLOOKUP($Q5,武学奇术!$A:$ZZ,11,FALSE)+SUM(_xlfn.XLOOKUP(R5:AF5,增益!$A:$A,增益!$K:$K,0))&gt;0,($F$12-$I$4+VLOOKUP($Q5,武学奇术!$A:$ZZ,11,FALSE)+SUM(_xlfn.XLOOKUP(R5:AF5,增益!$A:$A,增益!$K:$K,0)))/200,($F$12-$I$4+VLOOKUP($Q5,武学奇术!$A:$ZZ,11,FALSE)+SUM(_xlfn.XLOOKUP(R5:AF5,增益!$A:$A,增益!$K:$K,0)))/100)</f>
        <v>-0.14</v>
      </c>
      <c r="AZ5" s="35" cm="1">
        <f t="array" ref="AZ5">$G$12+VLOOKUP($Q5,武学奇术!$A:$ZZ,12,FALSE)+SUM(_xlfn.XLOOKUP(R5:AF5,增益!$A:$A,增益!$L:$L,0))</f>
        <v>0</v>
      </c>
      <c r="BA5">
        <f t="shared" si="4"/>
        <v>0</v>
      </c>
      <c r="BB5">
        <f t="shared" si="5"/>
        <v>0</v>
      </c>
      <c r="BC5" s="35" cm="1">
        <f t="array" ref="BC5">IF($F$13-$I$4+VLOOKUP($Q5,武学奇术!$A:$ZZ,13,FALSE)+SUM(_xlfn.XLOOKUP(R5:AF5,增益!$A:$A,增益!$M:$M,0))&gt;0,($F$13-$I$4+VLOOKUP($Q5,武学奇术!$A:$ZZ,13,FALSE)+SUM(_xlfn.XLOOKUP(R5:AF5,增益!$A:$A,增益!$K:$K,0)))/200,($F$13-$I$4+VLOOKUP($Q5,武学奇术!$A:$ZZ,13,FALSE)+SUM(_xlfn.XLOOKUP(R5:AF5,增益!$A:$A,增益!$M:$M,0)))/100)</f>
        <v>-0.14</v>
      </c>
      <c r="BD5" s="35" cm="1">
        <f t="array" ref="BD5">$G$13+VLOOKUP($Q5,武学奇术!$A:$ZZ,14,FALSE)+SUM(_xlfn.XLOOKUP(R5:AF5,增益!$A:$A,增益!$N:$N,0))</f>
        <v>0</v>
      </c>
      <c r="BE5">
        <f t="shared" si="6"/>
        <v>538</v>
      </c>
      <c r="BF5">
        <f t="shared" si="7"/>
        <v>1561.4</v>
      </c>
      <c r="BG5" s="35" cm="1">
        <f t="array" ref="BG5">IF($F$14-$I$4+VLOOKUP($Q5,武学奇术!$A:$ZZ,15,FALSE)+SUM(_xlfn.XLOOKUP(R5:AF5,增益!$A:$A,增益!$O:$O,0))&gt;0,($F$14-$I$4+VLOOKUP($Q5,武学奇术!$A:$ZZ,15,FALSE)+SUM(_xlfn.XLOOKUP(R5:AF5,增益!$A:$A,增益!$O:$O,0)))/200,($F$14-$I$4+VLOOKUP($Q5,武学奇术!$A:$ZZ,15,FALSE)+SUM(_xlfn.XLOOKUP(R5:AF5,增益!$A:$A,增益!$O:$O,0)))/100)</f>
        <v>0.08</v>
      </c>
      <c r="BH5" s="35" cm="1">
        <f t="array" ref="BH5">$G$14+VLOOKUP($Q5,武学奇术!$A:$ZZ,16,FALSE)+SUM(_xlfn.XLOOKUP(R5:AF5,增益!$A:$A,增益!$P:$P,0))</f>
        <v>0.15</v>
      </c>
      <c r="BI5" s="30">
        <f>MIN(IF(VLOOKUP($Q5,武学奇术!$A:$ZZ,23,FALSE)=1,100%,$B$8),100%)</f>
        <v>0.9712</v>
      </c>
      <c r="BJ5" s="30" cm="1">
        <f t="array" ref="BJ5">IF(VLOOKUP($Q5,武学奇术!$A:$ZZ,23,FALSE)=1,100%,MIN(80%,$B$9+VLOOKUP($Q5,武学奇术!$A:$ZZ,17,FALSE)+SUM(_xlfn.XLOOKUP(R5:AF5,增益!$A:$A,增益!$Q:$Q,0)))+$B$11+SUM(_xlfn.XLOOKUP(R5:AF5,增益!$A:$A,增益!$U:$U,0)))*IF(VLOOKUP($Q5,武学奇术!$A:$ZZ,24,FALSE)=1,0,1)</f>
        <v>0.8773</v>
      </c>
      <c r="BK5" s="30" cm="1">
        <f t="array" ref="BK5">1+$B$13+VLOOKUP($Q5,武学奇术!$A:$ZZ,18,FALSE)+SUM(_xlfn.XLOOKUP(R5:AF5,增益!$A:$A,增益!$R:$R,0))</f>
        <v>1.81</v>
      </c>
      <c r="BL5" s="30" cm="1">
        <f t="array" ref="BL5">IF(VLOOKUP($Q5,武学奇术!$A:$ZZ,24,FALSE)=1,100%,MIN(40%,$B$10+VLOOKUP($Q5,武学奇术!$A:$ZZ,19,FALSE)+SUM(_xlfn.XLOOKUP(R5:AF5,增益!$A:$A,增益!$S:$S,0)))+$B$12+SUM(_xlfn.XLOOKUP(R5:AF5,增益!$A:$A,增益!$V:$V,0)))*IF(VLOOKUP($Q5,武学奇术!$A:$ZZ,23,FALSE)=1,0,1)</f>
        <v>0.0895</v>
      </c>
      <c r="BM5" s="30" cm="1">
        <f t="array" ref="BM5">1+$B$14+VLOOKUP($Q5,武学奇术!$A:$ZZ,20,FALSE)+SUM(_xlfn.XLOOKUP(R5:AF5,增益!$A:$A,增益!$T:$T,0))</f>
        <v>1.35</v>
      </c>
      <c r="BN5" s="30">
        <f t="shared" si="8"/>
        <v>0.85203376</v>
      </c>
      <c r="BO5" s="30">
        <f t="shared" si="9"/>
        <v>0.03224384</v>
      </c>
      <c r="BP5" s="30">
        <f>IF(VLOOKUP($Q5,武学奇术!$A:$ZZ,22,FALSE)=1,0,(1-$BI5))*(1-$BL5)</f>
        <v>0.0262224</v>
      </c>
      <c r="BQ5" s="30" cm="1">
        <f t="array" ref="BQ5">SUM(_xlfn.XLOOKUP(R5:AF5,增益!$A:$A,增益!$W:$W,0))+$I$5</f>
        <v>0.11</v>
      </c>
    </row>
    <row r="6" spans="1:69">
      <c r="A6" s="60" t="s">
        <v>5</v>
      </c>
      <c r="B6" s="61">
        <v>472</v>
      </c>
      <c r="C6" s="61">
        <v>1357.8</v>
      </c>
      <c r="D6" s="61">
        <v>30</v>
      </c>
      <c r="E6" s="62">
        <v>0.15</v>
      </c>
      <c r="F6" s="48" t="s">
        <v>94</v>
      </c>
      <c r="G6" s="52">
        <f>B19</f>
        <v>0</v>
      </c>
      <c r="K6" s="41">
        <f t="shared" si="10"/>
        <v>30600.6201812045</v>
      </c>
      <c r="L6" s="41">
        <f>((($AN6+$AO6)/2*$AH6+$AI6)*(1+$AP6)*(1+$AQ6)+(($AS6+$AT6)/2*IF($G$1="鸣金",$AJ6,$AH6)+IF($G$1="鸣金",$AK6*1.5,0))*(1+$AU6)*(1+$AV6)+(($AW6+$AX6)/2*IF($G$1="裂石",$AJ6,$AH6)+IF($G$1="裂石",$AK6*1.5,0))*(1+$AY6)*(1+$AZ6)+(($BA6+$BB6)/2*IF($G$1="牵丝",$AJ6,$AH6)+IF($G$1="牵丝",$AK6*1.5,0))*(1+$BC6)*(1+$BD6)+(($BE6+$BF6)/2*IF($G$1="破竹",$AJ6,$AH6)+IF($G$1="破竹",$AK6*1.5,0))*(1+$BG6)*(1+$BH6))*(1+$AL6)*$BK6*$P6*(1+IF(VLOOKUP($Q6,武学奇术!$A:$ZZ,30,FALSE)="回旋伞",$B$21,0))*(1+$BQ6)</f>
        <v>31941.5592343569</v>
      </c>
      <c r="M6" s="41">
        <f>(($AO6*$AH6+$AI6)*(1+$AP6)*(1+$AQ6)+($AT6*IF($G$1="鸣金",$AJ6,$AH6)+IF($G$1="鸣金",$AK6*1.5,0))*(1+$AU6)*(1+$AV6)+($AX6*IF($G$1="裂石",$AJ6,$AH6)+IF($G$1="裂石",$AK6*1.5,0))*(1+$AY6)*(1+$AZ6)+($BB6*IF($G$1="牵丝",$AJ6,$AH6)+IF($G$1="牵丝",$AK6*1.5,0))*(1+$BC6)*(1+$BD6)+($BF6*IF($G$1="破竹",$AJ6,$AH6)+IF($G$1="破竹",$AK6*1.5,0))*(1+$BG6)*(1+$BH6))*(1+$AL6)*$BM6*$P6*(1+IF(VLOOKUP($Q6,武学奇术!$A:$ZZ,30,FALSE)="回旋伞",$B$21,0))*(1+$BQ6)</f>
        <v>26982.2770346143</v>
      </c>
      <c r="N6" s="41">
        <f>((($AN6+$AO6)/2*$AH6+$AI6)*(1+$AP6)*(1+$AQ6)+(($AS6+$AT6)/2*IF($G$1="鸣金",$AJ6,$AH6)+IF($G$1="鸣金",$AK6*1.5,0))*(1+$AU6)*(1+$AV6)+(($AW6+$AX6)/2*IF($G$1="裂石",$AJ6,$AH6)+IF($G$1="裂石",$AK6*1.5,0))*(1+$AY6)*(1+$AZ6)+(($BA6+$BB6)/2*IF($G$1="牵丝",$AJ6,$AH6)+IF($G$1="牵丝",$AK6*1.5,0))*(1+$BC6)*(1+$BD6)+(($BE6+$BF6)/2*IF($G$1="破竹",$AJ6,$AH6)+IF($G$1="破竹",$AK6*1.5,0))*(1+$BG6)*(1+$BH6))*(1+$AL6)*$P6*(1+IF(VLOOKUP($Q6,武学奇术!$A:$ZZ,30,FALSE)="回旋伞",$B$21,0))*(1+$BQ6)</f>
        <v>17647.2702952248</v>
      </c>
      <c r="O6" s="41">
        <f>((($AN6*$AH6+$AI6)*(1+$AP6)*(1+$AQ6)+($AS6*IF($G$1="鸣金",$AJ6,$AH6)+IF($G$1="鸣金",$AK6*1.5,0))*(1+$AU6)*(1+$AV6)+($AW6*IF($G$1="裂石",$AJ6,$AH6)+IF($G$1="裂石",$AK6*1.5,0))*(1+$AY6)*(1+$AZ6)+($BA6*IF($G$1="牵丝",$AJ6,$AH6)+IF($G$1="牵丝",$AK6*1.5,0))*(1+$BC6)*(1+$BD6)+($BE6*IF($G$1="破竹",$AJ6,$AH6)+IF($G$1="破竹",$AK6*1.5,0))*(1+$BG6)*(1+$BH6))*(1+$AL6))*$P6*(1+IF(VLOOKUP($Q6,武学奇术!$A:$ZZ,30,FALSE)="回旋伞",$B$21,0))*(1+$BQ6)</f>
        <v>15307.6687129576</v>
      </c>
      <c r="P6" s="42">
        <v>1</v>
      </c>
      <c r="Q6" s="43" t="s">
        <v>70</v>
      </c>
      <c r="R6" s="43" t="s">
        <v>71</v>
      </c>
      <c r="S6" s="43" t="s">
        <v>91</v>
      </c>
      <c r="T6" s="43" t="s">
        <v>72</v>
      </c>
      <c r="U6" s="43" t="s">
        <v>79</v>
      </c>
      <c r="V6" s="43" t="s">
        <v>92</v>
      </c>
      <c r="W6" s="43" t="s">
        <v>95</v>
      </c>
      <c r="X6" s="43" t="s">
        <v>82</v>
      </c>
      <c r="Y6" s="43" t="s">
        <v>71</v>
      </c>
      <c r="Z6" s="43" t="s">
        <v>71</v>
      </c>
      <c r="AA6" s="43" t="s">
        <v>71</v>
      </c>
      <c r="AB6" s="43" t="s">
        <v>71</v>
      </c>
      <c r="AC6" s="43" t="s">
        <v>71</v>
      </c>
      <c r="AD6" s="43" t="s">
        <v>71</v>
      </c>
      <c r="AE6" s="43" t="s">
        <v>71</v>
      </c>
      <c r="AF6" s="43" t="s">
        <v>76</v>
      </c>
      <c r="AG6" t="str">
        <f>VLOOKUP($Q6,武学奇术!$A:$ZZ,25,FALSE)</f>
        <v>群体奇术</v>
      </c>
      <c r="AH6" s="30">
        <f>VLOOKUP($Q6,武学奇术!$A:$ZZ,26,FALSE)</f>
        <v>1.4904</v>
      </c>
      <c r="AI6" s="31">
        <f>VLOOKUP($Q6,武学奇术!$A:$ZZ,27,FALSE)*(1+IF(OR($AG6=$F$4,$AG6=$F$5),$B$22,0))</f>
        <v>368</v>
      </c>
      <c r="AJ6" s="30">
        <f>VLOOKUP($Q6,武学奇术!$A:$ZZ,28,FALSE)</f>
        <v>2.2353</v>
      </c>
      <c r="AK6" s="31">
        <f>VLOOKUP($Q6,武学奇术!$A:$ZZ,29,FALSE)*(1+IF(OR($AG6=$F$4,$AG6=$F$5),$B$22,0))</f>
        <v>0</v>
      </c>
      <c r="AL6" s="30" cm="1">
        <f t="array" ref="AL6">$G$3+IFERROR(VLOOKUP($AG6,$F$4:$G$7,2,FALSE),0)+VLOOKUP($Q6,武学奇术!$A:$ZZ,2,FALSE)+SUM(_xlfn.XLOOKUP($R6:$AF6,增益!$A:$A,增益!$B:$B,0))</f>
        <v>0.4837</v>
      </c>
      <c r="AM6" s="30" cm="1">
        <f t="array" ref="AM6">VLOOKUP($Q6,武学奇术!$A:$ZZ,5,FALSE)+SUM(_xlfn.XLOOKUP($R6:$AF6,增益!$A:$A,增益!$E:$E,0))</f>
        <v>0</v>
      </c>
      <c r="AN6" cm="1">
        <f t="array" ref="AN6">$D$10*(1+$AM6)+VLOOKUP($Q6,武学奇术!$A:$ZZ,3,FALSE)+SUM(_xlfn.XLOOKUP($R6:$AF6,增益!$A:$A,增益!$C:$C,0))-$I$2</f>
        <v>3545.8</v>
      </c>
      <c r="AO6" cm="1">
        <f t="array" ref="AO6">$E$10*(1+$AM6)+VLOOKUP($Q6,武学奇术!$A:$ZZ,4,FALSE)+SUM(_xlfn.XLOOKUP($R6:$AF6,增益!$A:$A,增益!$D:$D,0))-$I$2</f>
        <v>3545.8</v>
      </c>
      <c r="AP6" s="35" cm="1">
        <f t="array" ref="AP6">IF($F$10-$I$3+VLOOKUP($Q6,武学奇术!$A:$ZZ,6,FALSE)+SUM(_xlfn.XLOOKUP(R6:AF6,增益!$A:$A,增益!$F:$F,0))&gt;0,($F$10-$I$3+VLOOKUP($Q6,武学奇术!$A:$ZZ,6,FALSE)+SUM(_xlfn.XLOOKUP(R6:AF6,增益!$A:$A,增益!$F:$F,0)))/200,($F$10-$I$3+VLOOKUP($Q6,武学奇术!$A:$ZZ,6,FALSE)+SUM(_xlfn.XLOOKUP(R6:AF6,增益!$A:$A,增益!$F:$F,0)))/100)</f>
        <v>0.3425</v>
      </c>
      <c r="AQ6" s="35" cm="1">
        <f t="array" ref="AQ6">$G$10+VLOOKUP($Q6,武学奇术!$A:$ZZ,7,FALSE)+SUM(_xlfn.XLOOKUP(R6:AF6,增益!$A:$A,增益!$G:$G,0))</f>
        <v>0.028</v>
      </c>
      <c r="AR6" s="30" cm="1">
        <f t="array" ref="AR6">VLOOKUP($Q6,武学奇术!$A:$ZZ,8,FALSE)+SUM(_xlfn.XLOOKUP(R6:AF6,增益!$A:$A,增益!$H:$H,0))</f>
        <v>0</v>
      </c>
      <c r="AS6">
        <f t="shared" si="0"/>
        <v>0</v>
      </c>
      <c r="AT6">
        <f t="shared" si="1"/>
        <v>0</v>
      </c>
      <c r="AU6" s="35" cm="1">
        <f t="array" ref="AU6">IF($F$11-$I$4+VLOOKUP($Q6,武学奇术!$A:$ZZ,9,FALSE)+SUM(_xlfn.XLOOKUP(R6:AF6,增益!$A:$A,增益!$I:$I,0))&gt;0,($F$11-$I$4+VLOOKUP($Q6,武学奇术!$A:$ZZ,9,FALSE)+SUM(_xlfn.XLOOKUP(R6:AF6,增益!$A:$A,增益!$I:$I,0)))/200,($F$11-$I$4+VLOOKUP($Q6,武学奇术!$A:$ZZ,9,FALSE)+SUM(_xlfn.XLOOKUP(R6:AF6,增益!$A:$A,增益!$I:$I,0)))/100)</f>
        <v>-0.14</v>
      </c>
      <c r="AV6" s="35" cm="1">
        <f t="array" ref="AV6">$G$11+VLOOKUP($Q6,武学奇术!$A:$ZZ,10,FALSE)+SUM(_xlfn.XLOOKUP(R6:AF6,增益!$A:$A,增益!$J:$J,0))</f>
        <v>0</v>
      </c>
      <c r="AW6">
        <f t="shared" si="2"/>
        <v>0</v>
      </c>
      <c r="AX6">
        <f t="shared" si="3"/>
        <v>0</v>
      </c>
      <c r="AY6" s="35" cm="1">
        <f t="array" ref="AY6">IF($F$12-$I$4+VLOOKUP($Q6,武学奇术!$A:$ZZ,11,FALSE)+SUM(_xlfn.XLOOKUP(R6:AF6,增益!$A:$A,增益!$K:$K,0))&gt;0,($F$12-$I$4+VLOOKUP($Q6,武学奇术!$A:$ZZ,11,FALSE)+SUM(_xlfn.XLOOKUP(R6:AF6,增益!$A:$A,增益!$K:$K,0)))/200,($F$12-$I$4+VLOOKUP($Q6,武学奇术!$A:$ZZ,11,FALSE)+SUM(_xlfn.XLOOKUP(R6:AF6,增益!$A:$A,增益!$K:$K,0)))/100)</f>
        <v>-0.14</v>
      </c>
      <c r="AZ6" s="35" cm="1">
        <f t="array" ref="AZ6">$G$12+VLOOKUP($Q6,武学奇术!$A:$ZZ,12,FALSE)+SUM(_xlfn.XLOOKUP(R6:AF6,增益!$A:$A,增益!$L:$L,0))</f>
        <v>0</v>
      </c>
      <c r="BA6">
        <f t="shared" si="4"/>
        <v>0</v>
      </c>
      <c r="BB6">
        <f t="shared" si="5"/>
        <v>0</v>
      </c>
      <c r="BC6" s="35" cm="1">
        <f t="array" ref="BC6">IF($F$13-$I$4+VLOOKUP($Q6,武学奇术!$A:$ZZ,13,FALSE)+SUM(_xlfn.XLOOKUP(R6:AF6,增益!$A:$A,增益!$M:$M,0))&gt;0,($F$13-$I$4+VLOOKUP($Q6,武学奇术!$A:$ZZ,13,FALSE)+SUM(_xlfn.XLOOKUP(R6:AF6,增益!$A:$A,增益!$K:$K,0)))/200,($F$13-$I$4+VLOOKUP($Q6,武学奇术!$A:$ZZ,13,FALSE)+SUM(_xlfn.XLOOKUP(R6:AF6,增益!$A:$A,增益!$M:$M,0)))/100)</f>
        <v>-0.14</v>
      </c>
      <c r="BD6" s="35" cm="1">
        <f t="array" ref="BD6">$G$13+VLOOKUP($Q6,武学奇术!$A:$ZZ,14,FALSE)+SUM(_xlfn.XLOOKUP(R6:AF6,增益!$A:$A,增益!$N:$N,0))</f>
        <v>0</v>
      </c>
      <c r="BE6">
        <f t="shared" si="6"/>
        <v>538</v>
      </c>
      <c r="BF6">
        <f t="shared" si="7"/>
        <v>1561.4</v>
      </c>
      <c r="BG6" s="35" cm="1">
        <f t="array" ref="BG6">IF($F$14-$I$4+VLOOKUP($Q6,武学奇术!$A:$ZZ,15,FALSE)+SUM(_xlfn.XLOOKUP(R6:AF6,增益!$A:$A,增益!$O:$O,0))&gt;0,($F$14-$I$4+VLOOKUP($Q6,武学奇术!$A:$ZZ,15,FALSE)+SUM(_xlfn.XLOOKUP(R6:AF6,增益!$A:$A,增益!$O:$O,0)))/200,($F$14-$I$4+VLOOKUP($Q6,武学奇术!$A:$ZZ,15,FALSE)+SUM(_xlfn.XLOOKUP(R6:AF6,增益!$A:$A,增益!$O:$O,0)))/100)</f>
        <v>0.08</v>
      </c>
      <c r="BH6" s="35" cm="1">
        <f t="array" ref="BH6">$G$14+VLOOKUP($Q6,武学奇术!$A:$ZZ,16,FALSE)+SUM(_xlfn.XLOOKUP(R6:AF6,增益!$A:$A,增益!$P:$P,0))</f>
        <v>0.15</v>
      </c>
      <c r="BI6" s="30">
        <f>MIN(IF(VLOOKUP($Q6,武学奇术!$A:$ZZ,23,FALSE)=1,100%,$B$8),100%)</f>
        <v>0.9712</v>
      </c>
      <c r="BJ6" s="30" cm="1">
        <f t="array" ref="BJ6">IF(VLOOKUP($Q6,武学奇术!$A:$ZZ,23,FALSE)=1,100%,MIN(80%,$B$9+VLOOKUP($Q6,武学奇术!$A:$ZZ,17,FALSE)+SUM(_xlfn.XLOOKUP(R6:AF6,增益!$A:$A,增益!$Q:$Q,0)))+$B$11+SUM(_xlfn.XLOOKUP(R6:AF6,增益!$A:$A,增益!$U:$U,0)))*IF(VLOOKUP($Q6,武学奇术!$A:$ZZ,24,FALSE)=1,0,1)</f>
        <v>0.8773</v>
      </c>
      <c r="BK6" s="30" cm="1">
        <f t="array" ref="BK6">1+$B$13+VLOOKUP($Q6,武学奇术!$A:$ZZ,18,FALSE)+SUM(_xlfn.XLOOKUP(R6:AF6,增益!$A:$A,增益!$R:$R,0))</f>
        <v>1.81</v>
      </c>
      <c r="BL6" s="30" cm="1">
        <f t="array" ref="BL6">IF(VLOOKUP($Q6,武学奇术!$A:$ZZ,24,FALSE)=1,100%,MIN(40%,$B$10+VLOOKUP($Q6,武学奇术!$A:$ZZ,19,FALSE)+SUM(_xlfn.XLOOKUP(R6:AF6,增益!$A:$A,增益!$S:$S,0)))+$B$12+SUM(_xlfn.XLOOKUP(R6:AF6,增益!$A:$A,增益!$V:$V,0)))*IF(VLOOKUP($Q6,武学奇术!$A:$ZZ,23,FALSE)=1,0,1)</f>
        <v>0.0895</v>
      </c>
      <c r="BM6" s="30" cm="1">
        <f t="array" ref="BM6">1+$B$14+VLOOKUP($Q6,武学奇术!$A:$ZZ,20,FALSE)+SUM(_xlfn.XLOOKUP(R6:AF6,增益!$A:$A,增益!$T:$T,0))</f>
        <v>1.35</v>
      </c>
      <c r="BN6" s="30">
        <f t="shared" si="8"/>
        <v>0.85203376</v>
      </c>
      <c r="BO6" s="30">
        <f t="shared" si="9"/>
        <v>0.03224384</v>
      </c>
      <c r="BP6" s="30">
        <f>IF(VLOOKUP($Q6,武学奇术!$A:$ZZ,22,FALSE)=1,0,(1-$BI6))*(1-$BL6)</f>
        <v>0.0262224</v>
      </c>
      <c r="BQ6" s="30" cm="1">
        <f t="array" ref="BQ6">SUM(_xlfn.XLOOKUP(R6:AF6,增益!$A:$A,增益!$W:$W,0))+$I$5</f>
        <v>0.11</v>
      </c>
    </row>
    <row r="7" ht="14.25" spans="1:69">
      <c r="A7" s="87" t="s">
        <v>96</v>
      </c>
      <c r="B7" s="63">
        <f>66</f>
        <v>66</v>
      </c>
      <c r="C7" s="63">
        <f>66+68.8*2</f>
        <v>203.6</v>
      </c>
      <c r="D7" s="64"/>
      <c r="E7" s="65"/>
      <c r="F7" s="56" t="s">
        <v>97</v>
      </c>
      <c r="G7" s="66">
        <f>B20</f>
        <v>0</v>
      </c>
      <c r="K7" s="41">
        <f t="shared" si="10"/>
        <v>17573.572469834</v>
      </c>
      <c r="L7" s="41">
        <f>((($AN7+$AO7)/2*$AH7+$AI7)*(1+$AP7)*(1+$AQ7)+(($AS7+$AT7)/2*IF($G$1="鸣金",$AJ7,$AH7)+IF($G$1="鸣金",$AK7*1.5,0))*(1+$AU7)*(1+$AV7)+(($AW7+$AX7)/2*IF($G$1="裂石",$AJ7,$AH7)+IF($G$1="裂石",$AK7*1.5,0))*(1+$AY7)*(1+$AZ7)+(($BA7+$BB7)/2*IF($G$1="牵丝",$AJ7,$AH7)+IF($G$1="牵丝",$AK7*1.5,0))*(1+$BC7)*(1+$BD7)+(($BE7+$BF7)/2*IF($G$1="破竹",$AJ7,$AH7)+IF($G$1="破竹",$AK7*1.5,0))*(1+$BG7)*(1+$BH7))*(1+$AL7)*$BK7*$P7*(1+IF(VLOOKUP($Q7,武学奇术!$A:$ZZ,30,FALSE)="回旋伞",$B$21,0))*(1+$BQ7)</f>
        <v>17961.4059050788</v>
      </c>
      <c r="M7" s="41">
        <f>(($AO7*$AH7+$AI7)*(1+$AP7)*(1+$AQ7)+($AT7*IF($G$1="鸣金",$AJ7,$AH7)+IF($G$1="鸣金",$AK7*1.5,0))*(1+$AU7)*(1+$AV7)+($AX7*IF($G$1="裂石",$AJ7,$AH7)+IF($G$1="裂石",$AK7*1.5,0))*(1+$AY7)*(1+$AZ7)+($BB7*IF($G$1="牵丝",$AJ7,$AH7)+IF($G$1="牵丝",$AK7*1.5,0))*(1+$BC7)*(1+$BD7)+($BF7*IF($G$1="破竹",$AJ7,$AH7)+IF($G$1="破竹",$AK7*1.5,0))*(1+$BG7)*(1+$BH7))*(1+$AL7)*$BM7*$P7*(1+IF(VLOOKUP($Q7,武学奇术!$A:$ZZ,30,FALSE)="回旋伞",$B$21,0))*(1+$BQ7)</f>
        <v>18015.8593800394</v>
      </c>
      <c r="N7" s="41">
        <f>((($AN7+$AO7)/2*$AH7+$AI7)*(1+$AP7)*(1+$AQ7)+(($AS7+$AT7)/2*IF($G$1="鸣金",$AJ7,$AH7)+IF($G$1="鸣金",$AK7*1.5,0))*(1+$AU7)*(1+$AV7)+(($AW7+$AX7)/2*IF($G$1="裂石",$AJ7,$AH7)+IF($G$1="裂石",$AK7*1.5,0))*(1+$AY7)*(1+$AZ7)+(($BA7+$BB7)/2*IF($G$1="牵丝",$AJ7,$AH7)+IF($G$1="牵丝",$AK7*1.5,0))*(1+$BC7)*(1+$BD7)+(($BE7+$BF7)/2*IF($G$1="破竹",$AJ7,$AH7)+IF($G$1="破竹",$AK7*1.5,0))*(1+$BG7)*(1+$BH7))*(1+$AL7)*$P7*(1+IF(VLOOKUP($Q7,武学奇术!$A:$ZZ,30,FALSE)="回旋伞",$B$21,0))*(1+$BQ7)</f>
        <v>11894.9707980655</v>
      </c>
      <c r="O7" s="41">
        <f>((($AN7*$AH7+$AI7)*(1+$AP7)*(1+$AQ7)+($AS7*IF($G$1="鸣金",$AJ7,$AH7)+IF($G$1="鸣金",$AK7*1.5,0))*(1+$AU7)*(1+$AV7)+($AW7*IF($G$1="裂石",$AJ7,$AH7)+IF($G$1="裂石",$AK7*1.5,0))*(1+$AY7)*(1+$AZ7)+($BA7*IF($G$1="牵丝",$AJ7,$AH7)+IF($G$1="牵丝",$AK7*1.5,0))*(1+$BC7)*(1+$BD7)+($BE7*IF($G$1="破竹",$AJ7,$AH7)+IF($G$1="破竹",$AK7*1.5,0))*(1+$BG7)*(1+$BH7))*(1+$AL7))*$P7*(1+IF(VLOOKUP($Q7,武学奇术!$A:$ZZ,30,FALSE)="回旋伞",$B$21,0))*(1+$BQ7)</f>
        <v>10444.8605738795</v>
      </c>
      <c r="P7" s="42">
        <v>1</v>
      </c>
      <c r="Q7" s="43" t="s">
        <v>98</v>
      </c>
      <c r="R7" s="43" t="s">
        <v>71</v>
      </c>
      <c r="S7" s="43" t="s">
        <v>71</v>
      </c>
      <c r="T7" s="43" t="s">
        <v>71</v>
      </c>
      <c r="U7" s="43" t="s">
        <v>71</v>
      </c>
      <c r="V7" s="43" t="s">
        <v>74</v>
      </c>
      <c r="W7" s="43" t="s">
        <v>75</v>
      </c>
      <c r="X7" s="43" t="s">
        <v>71</v>
      </c>
      <c r="Y7" s="43" t="s">
        <v>71</v>
      </c>
      <c r="Z7" s="43" t="s">
        <v>71</v>
      </c>
      <c r="AA7" s="43" t="s">
        <v>71</v>
      </c>
      <c r="AB7" s="43" t="s">
        <v>71</v>
      </c>
      <c r="AC7" s="43" t="s">
        <v>71</v>
      </c>
      <c r="AD7" s="43" t="s">
        <v>71</v>
      </c>
      <c r="AE7" s="43" t="s">
        <v>71</v>
      </c>
      <c r="AF7" s="43" t="s">
        <v>76</v>
      </c>
      <c r="AG7" t="str">
        <f>VLOOKUP($Q7,武学奇术!$A:$ZZ,25,FALSE)</f>
        <v>绳镖</v>
      </c>
      <c r="AH7" s="30">
        <f>VLOOKUP($Q7,武学奇术!$A:$ZZ,26,FALSE)</f>
        <v>1.1137</v>
      </c>
      <c r="AI7" s="31">
        <f>VLOOKUP($Q7,武学奇术!$A:$ZZ,27,FALSE)*(1+IF(OR($AG7=$F$4,$AG7=$F$5),$B$22,0))</f>
        <v>432.6</v>
      </c>
      <c r="AJ7" s="30">
        <f>VLOOKUP($Q7,武学奇术!$A:$ZZ,28,FALSE)</f>
        <v>1.6706</v>
      </c>
      <c r="AK7" s="31">
        <f>VLOOKUP($Q7,武学奇术!$A:$ZZ,29,FALSE)*(1+IF(OR($AG7=$F$4,$AG7=$F$5),$B$22,0))</f>
        <v>235.2</v>
      </c>
      <c r="AL7" s="30" cm="1">
        <f t="array" ref="AL7">$G$3+IFERROR(VLOOKUP($AG7,$F$4:$G$7,2,FALSE),0)+VLOOKUP($Q7,武学奇术!$A:$ZZ,2,FALSE)+SUM(_xlfn.XLOOKUP($R7:$AF7,增益!$A:$A,增益!$B:$B,0))</f>
        <v>0.3289</v>
      </c>
      <c r="AM7" s="30" cm="1">
        <f t="array" ref="AM7">VLOOKUP($Q7,武学奇术!$A:$ZZ,5,FALSE)+SUM(_xlfn.XLOOKUP($R7:$AF7,增益!$A:$A,增益!$E:$E,0))</f>
        <v>0</v>
      </c>
      <c r="AN7" cm="1">
        <f t="array" ref="AN7">$D$10*(1+$AM7)+VLOOKUP($Q7,武学奇术!$A:$ZZ,3,FALSE)+SUM(_xlfn.XLOOKUP($R7:$AF7,增益!$A:$A,增益!$C:$C,0))-$I$2</f>
        <v>3545.8</v>
      </c>
      <c r="AO7" cm="1">
        <f t="array" ref="AO7">$E$10*(1+$AM7)+VLOOKUP($Q7,武学奇术!$A:$ZZ,4,FALSE)+SUM(_xlfn.XLOOKUP($R7:$AF7,增益!$A:$A,增益!$D:$D,0))-$I$2</f>
        <v>3545.8</v>
      </c>
      <c r="AP7" s="35" cm="1">
        <f t="array" ref="AP7">IF($F$10-$I$3+VLOOKUP($Q7,武学奇术!$A:$ZZ,6,FALSE)+SUM(_xlfn.XLOOKUP(R7:AF7,增益!$A:$A,增益!$F:$F,0))&gt;0,($F$10-$I$3+VLOOKUP($Q7,武学奇术!$A:$ZZ,6,FALSE)+SUM(_xlfn.XLOOKUP(R7:AF7,增益!$A:$A,增益!$F:$F,0)))/200,($F$10-$I$3+VLOOKUP($Q7,武学奇术!$A:$ZZ,6,FALSE)+SUM(_xlfn.XLOOKUP(R7:AF7,增益!$A:$A,增益!$F:$F,0)))/100)</f>
        <v>0.2525</v>
      </c>
      <c r="AQ7" s="35" cm="1">
        <f t="array" ref="AQ7">$G$10+VLOOKUP($Q7,武学奇术!$A:$ZZ,7,FALSE)+SUM(_xlfn.XLOOKUP(R7:AF7,增益!$A:$A,增益!$G:$G,0))</f>
        <v>0.028</v>
      </c>
      <c r="AR7" s="30" cm="1">
        <f t="array" ref="AR7">VLOOKUP($Q7,武学奇术!$A:$ZZ,8,FALSE)+SUM(_xlfn.XLOOKUP(R7:AF7,增益!$A:$A,增益!$H:$H,0))</f>
        <v>0</v>
      </c>
      <c r="AS7">
        <f t="shared" si="0"/>
        <v>0</v>
      </c>
      <c r="AT7">
        <f t="shared" si="1"/>
        <v>0</v>
      </c>
      <c r="AU7" s="35" cm="1">
        <f t="array" ref="AU7">IF($F$11-$I$4+VLOOKUP($Q7,武学奇术!$A:$ZZ,9,FALSE)+SUM(_xlfn.XLOOKUP(R7:AF7,增益!$A:$A,增益!$I:$I,0))&gt;0,($F$11-$I$4+VLOOKUP($Q7,武学奇术!$A:$ZZ,9,FALSE)+SUM(_xlfn.XLOOKUP(R7:AF7,增益!$A:$A,增益!$I:$I,0)))/200,($F$11-$I$4+VLOOKUP($Q7,武学奇术!$A:$ZZ,9,FALSE)+SUM(_xlfn.XLOOKUP(R7:AF7,增益!$A:$A,增益!$I:$I,0)))/100)</f>
        <v>-0.3</v>
      </c>
      <c r="AV7" s="35" cm="1">
        <f t="array" ref="AV7">$G$11+VLOOKUP($Q7,武学奇术!$A:$ZZ,10,FALSE)+SUM(_xlfn.XLOOKUP(R7:AF7,增益!$A:$A,增益!$J:$J,0))</f>
        <v>0</v>
      </c>
      <c r="AW7">
        <f t="shared" si="2"/>
        <v>0</v>
      </c>
      <c r="AX7">
        <f t="shared" si="3"/>
        <v>0</v>
      </c>
      <c r="AY7" s="35" cm="1">
        <f t="array" ref="AY7">IF($F$12-$I$4+VLOOKUP($Q7,武学奇术!$A:$ZZ,11,FALSE)+SUM(_xlfn.XLOOKUP(R7:AF7,增益!$A:$A,增益!$K:$K,0))&gt;0,($F$12-$I$4+VLOOKUP($Q7,武学奇术!$A:$ZZ,11,FALSE)+SUM(_xlfn.XLOOKUP(R7:AF7,增益!$A:$A,增益!$K:$K,0)))/200,($F$12-$I$4+VLOOKUP($Q7,武学奇术!$A:$ZZ,11,FALSE)+SUM(_xlfn.XLOOKUP(R7:AF7,增益!$A:$A,增益!$K:$K,0)))/100)</f>
        <v>-0.3</v>
      </c>
      <c r="AZ7" s="35" cm="1">
        <f t="array" ref="AZ7">$G$12+VLOOKUP($Q7,武学奇术!$A:$ZZ,12,FALSE)+SUM(_xlfn.XLOOKUP(R7:AF7,增益!$A:$A,增益!$L:$L,0))</f>
        <v>0</v>
      </c>
      <c r="BA7">
        <f t="shared" si="4"/>
        <v>0</v>
      </c>
      <c r="BB7">
        <f t="shared" si="5"/>
        <v>0</v>
      </c>
      <c r="BC7" s="35" cm="1">
        <f t="array" ref="BC7">IF($F$13-$I$4+VLOOKUP($Q7,武学奇术!$A:$ZZ,13,FALSE)+SUM(_xlfn.XLOOKUP(R7:AF7,增益!$A:$A,增益!$M:$M,0))&gt;0,($F$13-$I$4+VLOOKUP($Q7,武学奇术!$A:$ZZ,13,FALSE)+SUM(_xlfn.XLOOKUP(R7:AF7,增益!$A:$A,增益!$K:$K,0)))/200,($F$13-$I$4+VLOOKUP($Q7,武学奇术!$A:$ZZ,13,FALSE)+SUM(_xlfn.XLOOKUP(R7:AF7,增益!$A:$A,增益!$M:$M,0)))/100)</f>
        <v>-0.3</v>
      </c>
      <c r="BD7" s="35" cm="1">
        <f t="array" ref="BD7">$G$13+VLOOKUP($Q7,武学奇术!$A:$ZZ,14,FALSE)+SUM(_xlfn.XLOOKUP(R7:AF7,增益!$A:$A,增益!$N:$N,0))</f>
        <v>0</v>
      </c>
      <c r="BE7">
        <f t="shared" si="6"/>
        <v>538</v>
      </c>
      <c r="BF7">
        <f t="shared" si="7"/>
        <v>1561.4</v>
      </c>
      <c r="BG7" s="35" cm="1">
        <f t="array" ref="BG7">IF($F$14-$I$4+VLOOKUP($Q7,武学奇术!$A:$ZZ,15,FALSE)+SUM(_xlfn.XLOOKUP(R7:AF7,增益!$A:$A,增益!$O:$O,0))&gt;0,($F$14-$I$4+VLOOKUP($Q7,武学奇术!$A:$ZZ,15,FALSE)+SUM(_xlfn.XLOOKUP(R7:AF7,增益!$A:$A,增益!$O:$O,0)))/200,($F$14-$I$4+VLOOKUP($Q7,武学奇术!$A:$ZZ,15,FALSE)+SUM(_xlfn.XLOOKUP(R7:AF7,增益!$A:$A,增益!$O:$O,0)))/100)</f>
        <v>0</v>
      </c>
      <c r="BH7" s="35" cm="1">
        <f t="array" ref="BH7">$G$14+VLOOKUP($Q7,武学奇术!$A:$ZZ,16,FALSE)+SUM(_xlfn.XLOOKUP(R7:AF7,增益!$A:$A,增益!$P:$P,0))</f>
        <v>0.15</v>
      </c>
      <c r="BI7" s="30">
        <f>MIN(IF(VLOOKUP($Q7,武学奇术!$A:$ZZ,23,FALSE)=1,100%,$B$8),100%)</f>
        <v>0.9712</v>
      </c>
      <c r="BJ7" s="30" cm="1">
        <f t="array" ref="BJ7">IF(VLOOKUP($Q7,武学奇术!$A:$ZZ,23,FALSE)=1,100%,MIN(80%,$B$9+VLOOKUP($Q7,武学奇术!$A:$ZZ,17,FALSE)+SUM(_xlfn.XLOOKUP(R7:AF7,增益!$A:$A,增益!$Q:$Q,0)))+$B$11+SUM(_xlfn.XLOOKUP(R7:AF7,增益!$A:$A,增益!$U:$U,0)))*IF(VLOOKUP($Q7,武学奇术!$A:$ZZ,24,FALSE)=1,0,1)</f>
        <v>0.8773</v>
      </c>
      <c r="BK7" s="30" cm="1">
        <f t="array" ref="BK7">1+$B$13+VLOOKUP($Q7,武学奇术!$A:$ZZ,18,FALSE)+SUM(_xlfn.XLOOKUP(R7:AF7,增益!$A:$A,增益!$R:$R,0))</f>
        <v>1.51</v>
      </c>
      <c r="BL7" s="30" cm="1">
        <f t="array" ref="BL7">IF(VLOOKUP($Q7,武学奇术!$A:$ZZ,24,FALSE)=1,100%,MIN(40%,$B$10+VLOOKUP($Q7,武学奇术!$A:$ZZ,19,FALSE)+SUM(_xlfn.XLOOKUP(R7:AF7,增益!$A:$A,增益!$S:$S,0)))+$B$12+SUM(_xlfn.XLOOKUP(R7:AF7,增益!$A:$A,增益!$V:$V,0)))*IF(VLOOKUP($Q7,武学奇术!$A:$ZZ,23,FALSE)=1,0,1)</f>
        <v>0.0895</v>
      </c>
      <c r="BM7" s="30" cm="1">
        <f t="array" ref="BM7">1+$B$14+VLOOKUP($Q7,武学奇术!$A:$ZZ,20,FALSE)+SUM(_xlfn.XLOOKUP(R7:AF7,增益!$A:$A,增益!$T:$T,0))</f>
        <v>1.35</v>
      </c>
      <c r="BN7" s="30">
        <f t="shared" si="8"/>
        <v>0.85203376</v>
      </c>
      <c r="BO7" s="30">
        <f t="shared" si="9"/>
        <v>0.03224384</v>
      </c>
      <c r="BP7" s="30">
        <f>IF(VLOOKUP($Q7,武学奇术!$A:$ZZ,22,FALSE)=1,0,(1-$BI7))*(1-$BL7)</f>
        <v>0.0262224</v>
      </c>
      <c r="BQ7" s="30" cm="1">
        <f t="array" ref="BQ7">SUM(_xlfn.XLOOKUP(R7:AF7,增益!$A:$A,增益!$W:$W,0))+$I$5</f>
        <v>0.11</v>
      </c>
    </row>
    <row r="8" spans="1:69">
      <c r="A8" s="67" t="s">
        <v>99</v>
      </c>
      <c r="B8" s="68">
        <v>0.9712</v>
      </c>
      <c r="C8" s="39" t="s">
        <v>100</v>
      </c>
      <c r="D8" s="69"/>
      <c r="E8" s="69"/>
      <c r="F8" s="69"/>
      <c r="G8" s="40"/>
      <c r="H8" s="70" t="s">
        <v>101</v>
      </c>
      <c r="I8" s="18">
        <v>110.2</v>
      </c>
      <c r="J8" s="71"/>
      <c r="K8" s="41">
        <f t="shared" si="10"/>
        <v>12841.0575757966</v>
      </c>
      <c r="L8" s="41">
        <f>((($AN8+$AO8)/2*$AH8+$AI8)*(1+$AP8)*(1+$AQ8)+(($AS8+$AT8)/2*IF($G$1="鸣金",$AJ8,$AH8)+IF($G$1="鸣金",$AK8*1.5,0))*(1+$AU8)*(1+$AV8)+(($AW8+$AX8)/2*IF($G$1="裂石",$AJ8,$AH8)+IF($G$1="裂石",$AK8*1.5,0))*(1+$AY8)*(1+$AZ8)+(($BA8+$BB8)/2*IF($G$1="牵丝",$AJ8,$AH8)+IF($G$1="牵丝",$AK8*1.5,0))*(1+$BC8)*(1+$BD8)+(($BE8+$BF8)/2*IF($G$1="破竹",$AJ8,$AH8)+IF($G$1="破竹",$AK8*1.5,0))*(1+$BG8)*(1+$BH8))*(1+$AL8)*$BK8*$P8*(1+IF(VLOOKUP($Q8,武学奇术!$A:$ZZ,30,FALSE)="回旋伞",$B$21,0))*(1+$BQ8)</f>
        <v>13124.4966309217</v>
      </c>
      <c r="M8" s="41">
        <f>(($AO8*$AH8+$AI8)*(1+$AP8)*(1+$AQ8)+($AT8*IF($G$1="鸣金",$AJ8,$AH8)+IF($G$1="鸣金",$AK8*1.5,0))*(1+$AU8)*(1+$AV8)+($AX8*IF($G$1="裂石",$AJ8,$AH8)+IF($G$1="裂石",$AK8*1.5,0))*(1+$AY8)*(1+$AZ8)+($BB8*IF($G$1="牵丝",$AJ8,$AH8)+IF($G$1="牵丝",$AK8*1.5,0))*(1+$BC8)*(1+$BD8)+($BF8*IF($G$1="破竹",$AJ8,$AH8)+IF($G$1="破竹",$AK8*1.5,0))*(1+$BG8)*(1+$BH8))*(1+$AL8)*$BM8*$P8*(1+IF(VLOOKUP($Q8,武学奇术!$A:$ZZ,30,FALSE)="回旋伞",$B$21,0))*(1+$BQ8)</f>
        <v>13163.614491425</v>
      </c>
      <c r="N8" s="41">
        <f>((($AN8+$AO8)/2*$AH8+$AI8)*(1+$AP8)*(1+$AQ8)+(($AS8+$AT8)/2*IF($G$1="鸣金",$AJ8,$AH8)+IF($G$1="鸣金",$AK8*1.5,0))*(1+$AU8)*(1+$AV8)+(($AW8+$AX8)/2*IF($G$1="裂石",$AJ8,$AH8)+IF($G$1="裂石",$AK8*1.5,0))*(1+$AY8)*(1+$AZ8)+(($BA8+$BB8)/2*IF($G$1="牵丝",$AJ8,$AH8)+IF($G$1="牵丝",$AK8*1.5,0))*(1+$BC8)*(1+$BD8)+(($BE8+$BF8)/2*IF($G$1="破竹",$AJ8,$AH8)+IF($G$1="破竹",$AK8*1.5,0))*(1+$BG8)*(1+$BH8))*(1+$AL8)*$P8*(1+IF(VLOOKUP($Q8,武学奇术!$A:$ZZ,30,FALSE)="回旋伞",$B$21,0))*(1+$BQ8)</f>
        <v>8691.71962312696</v>
      </c>
      <c r="O8" s="41">
        <f>((($AN8*$AH8+$AI8)*(1+$AP8)*(1+$AQ8)+($AS8*IF($G$1="鸣金",$AJ8,$AH8)+IF($G$1="鸣金",$AK8*1.5,0))*(1+$AU8)*(1+$AV8)+($AW8*IF($G$1="裂石",$AJ8,$AH8)+IF($G$1="裂石",$AK8*1.5,0))*(1+$AY8)*(1+$AZ8)+($BA8*IF($G$1="牵丝",$AJ8,$AH8)+IF($G$1="牵丝",$AK8*1.5,0))*(1+$BC8)*(1+$BD8)+($BE8*IF($G$1="破竹",$AJ8,$AH8)+IF($G$1="破竹",$AK8*1.5,0))*(1+$BG8)*(1+$BH8))*(1+$AL8))*$P8*(1+IF(VLOOKUP($Q8,武学奇术!$A:$ZZ,30,FALSE)="回旋伞",$B$21,0))*(1+$BQ8)</f>
        <v>7632.61369705018</v>
      </c>
      <c r="P8" s="42">
        <v>1</v>
      </c>
      <c r="Q8" s="43" t="s">
        <v>102</v>
      </c>
      <c r="R8" s="43" t="s">
        <v>71</v>
      </c>
      <c r="S8" s="43" t="s">
        <v>71</v>
      </c>
      <c r="T8" s="43" t="s">
        <v>71</v>
      </c>
      <c r="U8" s="43" t="s">
        <v>71</v>
      </c>
      <c r="V8" s="43" t="s">
        <v>74</v>
      </c>
      <c r="W8" s="43" t="s">
        <v>75</v>
      </c>
      <c r="X8" s="43" t="s">
        <v>71</v>
      </c>
      <c r="Y8" s="43" t="s">
        <v>71</v>
      </c>
      <c r="Z8" s="43" t="s">
        <v>71</v>
      </c>
      <c r="AA8" s="43" t="s">
        <v>71</v>
      </c>
      <c r="AB8" s="43" t="s">
        <v>71</v>
      </c>
      <c r="AC8" s="43" t="s">
        <v>71</v>
      </c>
      <c r="AD8" s="43" t="s">
        <v>71</v>
      </c>
      <c r="AE8" s="43" t="s">
        <v>71</v>
      </c>
      <c r="AF8" s="43" t="s">
        <v>76</v>
      </c>
      <c r="AG8" t="str">
        <f>VLOOKUP($Q8,武学奇术!$A:$ZZ,25,FALSE)</f>
        <v>绳镖</v>
      </c>
      <c r="AH8" s="30">
        <f>VLOOKUP($Q8,武学奇术!$A:$ZZ,26,FALSE)</f>
        <v>0.7839</v>
      </c>
      <c r="AI8" s="31">
        <f>VLOOKUP($Q8,武学奇术!$A:$ZZ,27,FALSE)*(1+IF(OR($AG8=$F$4,$AG8=$F$5),$B$22,0))</f>
        <v>305.2</v>
      </c>
      <c r="AJ8" s="30">
        <f>VLOOKUP($Q8,武学奇术!$A:$ZZ,28,FALSE)</f>
        <v>1.1759</v>
      </c>
      <c r="AK8" s="31">
        <f>VLOOKUP($Q8,武学奇术!$A:$ZZ,29,FALSE)*(1+IF(OR($AG8=$F$4,$AG8=$F$5),$B$22,0))</f>
        <v>166.6</v>
      </c>
      <c r="AL8" s="30" cm="1">
        <f t="array" ref="AL8">$G$3+IFERROR(VLOOKUP($AG8,$F$4:$G$7,2,FALSE),0)+VLOOKUP($Q8,武学奇术!$A:$ZZ,2,FALSE)+SUM(_xlfn.XLOOKUP($R8:$AF8,增益!$A:$A,增益!$B:$B,0))</f>
        <v>0.3789</v>
      </c>
      <c r="AM8" s="30" cm="1">
        <f t="array" ref="AM8">VLOOKUP($Q8,武学奇术!$A:$ZZ,5,FALSE)+SUM(_xlfn.XLOOKUP($R8:$AF8,增益!$A:$A,增益!$E:$E,0))</f>
        <v>0</v>
      </c>
      <c r="AN8" cm="1">
        <f t="array" ref="AN8">$D$10*(1+$AM8)+VLOOKUP($Q8,武学奇术!$A:$ZZ,3,FALSE)+SUM(_xlfn.XLOOKUP($R8:$AF8,增益!$A:$A,增益!$C:$C,0))-$I$2</f>
        <v>3545.8</v>
      </c>
      <c r="AO8" cm="1">
        <f t="array" ref="AO8">$E$10*(1+$AM8)+VLOOKUP($Q8,武学奇术!$A:$ZZ,4,FALSE)+SUM(_xlfn.XLOOKUP($R8:$AF8,增益!$A:$A,增益!$D:$D,0))-$I$2</f>
        <v>3545.8</v>
      </c>
      <c r="AP8" s="35" cm="1">
        <f t="array" ref="AP8">IF($F$10-$I$3+VLOOKUP($Q8,武学奇术!$A:$ZZ,6,FALSE)+SUM(_xlfn.XLOOKUP(R8:AF8,增益!$A:$A,增益!$F:$F,0))&gt;0,($F$10-$I$3+VLOOKUP($Q8,武学奇术!$A:$ZZ,6,FALSE)+SUM(_xlfn.XLOOKUP(R8:AF8,增益!$A:$A,增益!$F:$F,0)))/200,($F$10-$I$3+VLOOKUP($Q8,武学奇术!$A:$ZZ,6,FALSE)+SUM(_xlfn.XLOOKUP(R8:AF8,增益!$A:$A,增益!$F:$F,0)))/100)</f>
        <v>0.2525</v>
      </c>
      <c r="AQ8" s="35" cm="1">
        <f t="array" ref="AQ8">$G$10+VLOOKUP($Q8,武学奇术!$A:$ZZ,7,FALSE)+SUM(_xlfn.XLOOKUP(R8:AF8,增益!$A:$A,增益!$G:$G,0))</f>
        <v>0.028</v>
      </c>
      <c r="AR8" s="30" cm="1">
        <f t="array" ref="AR8">VLOOKUP($Q8,武学奇术!$A:$ZZ,8,FALSE)+SUM(_xlfn.XLOOKUP(R8:AF8,增益!$A:$A,增益!$H:$H,0))</f>
        <v>0</v>
      </c>
      <c r="AS8">
        <f t="shared" si="0"/>
        <v>0</v>
      </c>
      <c r="AT8">
        <f t="shared" si="1"/>
        <v>0</v>
      </c>
      <c r="AU8" s="35" cm="1">
        <f t="array" ref="AU8">IF($F$11-$I$4+VLOOKUP($Q8,武学奇术!$A:$ZZ,9,FALSE)+SUM(_xlfn.XLOOKUP(R8:AF8,增益!$A:$A,增益!$I:$I,0))&gt;0,($F$11-$I$4+VLOOKUP($Q8,武学奇术!$A:$ZZ,9,FALSE)+SUM(_xlfn.XLOOKUP(R8:AF8,增益!$A:$A,增益!$I:$I,0)))/200,($F$11-$I$4+VLOOKUP($Q8,武学奇术!$A:$ZZ,9,FALSE)+SUM(_xlfn.XLOOKUP(R8:AF8,增益!$A:$A,增益!$I:$I,0)))/100)</f>
        <v>-0.3</v>
      </c>
      <c r="AV8" s="35" cm="1">
        <f t="array" ref="AV8">$G$11+VLOOKUP($Q8,武学奇术!$A:$ZZ,10,FALSE)+SUM(_xlfn.XLOOKUP(R8:AF8,增益!$A:$A,增益!$J:$J,0))</f>
        <v>0</v>
      </c>
      <c r="AW8">
        <f t="shared" si="2"/>
        <v>0</v>
      </c>
      <c r="AX8">
        <f t="shared" si="3"/>
        <v>0</v>
      </c>
      <c r="AY8" s="35" cm="1">
        <f t="array" ref="AY8">IF($F$12-$I$4+VLOOKUP($Q8,武学奇术!$A:$ZZ,11,FALSE)+SUM(_xlfn.XLOOKUP(R8:AF8,增益!$A:$A,增益!$K:$K,0))&gt;0,($F$12-$I$4+VLOOKUP($Q8,武学奇术!$A:$ZZ,11,FALSE)+SUM(_xlfn.XLOOKUP(R8:AF8,增益!$A:$A,增益!$K:$K,0)))/200,($F$12-$I$4+VLOOKUP($Q8,武学奇术!$A:$ZZ,11,FALSE)+SUM(_xlfn.XLOOKUP(R8:AF8,增益!$A:$A,增益!$K:$K,0)))/100)</f>
        <v>-0.3</v>
      </c>
      <c r="AZ8" s="35" cm="1">
        <f t="array" ref="AZ8">$G$12+VLOOKUP($Q8,武学奇术!$A:$ZZ,12,FALSE)+SUM(_xlfn.XLOOKUP(R8:AF8,增益!$A:$A,增益!$L:$L,0))</f>
        <v>0</v>
      </c>
      <c r="BA8">
        <f t="shared" si="4"/>
        <v>0</v>
      </c>
      <c r="BB8">
        <f t="shared" si="5"/>
        <v>0</v>
      </c>
      <c r="BC8" s="35" cm="1">
        <f t="array" ref="BC8">IF($F$13-$I$4+VLOOKUP($Q8,武学奇术!$A:$ZZ,13,FALSE)+SUM(_xlfn.XLOOKUP(R8:AF8,增益!$A:$A,增益!$M:$M,0))&gt;0,($F$13-$I$4+VLOOKUP($Q8,武学奇术!$A:$ZZ,13,FALSE)+SUM(_xlfn.XLOOKUP(R8:AF8,增益!$A:$A,增益!$K:$K,0)))/200,($F$13-$I$4+VLOOKUP($Q8,武学奇术!$A:$ZZ,13,FALSE)+SUM(_xlfn.XLOOKUP(R8:AF8,增益!$A:$A,增益!$M:$M,0)))/100)</f>
        <v>-0.3</v>
      </c>
      <c r="BD8" s="35" cm="1">
        <f t="array" ref="BD8">$G$13+VLOOKUP($Q8,武学奇术!$A:$ZZ,14,FALSE)+SUM(_xlfn.XLOOKUP(R8:AF8,增益!$A:$A,增益!$N:$N,0))</f>
        <v>0</v>
      </c>
      <c r="BE8">
        <f t="shared" si="6"/>
        <v>538</v>
      </c>
      <c r="BF8">
        <f t="shared" si="7"/>
        <v>1561.4</v>
      </c>
      <c r="BG8" s="35" cm="1">
        <f t="array" ref="BG8">IF($F$14-$I$4+VLOOKUP($Q8,武学奇术!$A:$ZZ,15,FALSE)+SUM(_xlfn.XLOOKUP(R8:AF8,增益!$A:$A,增益!$O:$O,0))&gt;0,($F$14-$I$4+VLOOKUP($Q8,武学奇术!$A:$ZZ,15,FALSE)+SUM(_xlfn.XLOOKUP(R8:AF8,增益!$A:$A,增益!$O:$O,0)))/200,($F$14-$I$4+VLOOKUP($Q8,武学奇术!$A:$ZZ,15,FALSE)+SUM(_xlfn.XLOOKUP(R8:AF8,增益!$A:$A,增益!$O:$O,0)))/100)</f>
        <v>0</v>
      </c>
      <c r="BH8" s="35" cm="1">
        <f t="array" ref="BH8">$G$14+VLOOKUP($Q8,武学奇术!$A:$ZZ,16,FALSE)+SUM(_xlfn.XLOOKUP(R8:AF8,增益!$A:$A,增益!$P:$P,0))</f>
        <v>0.15</v>
      </c>
      <c r="BI8" s="30">
        <f>MIN(IF(VLOOKUP($Q8,武学奇术!$A:$ZZ,23,FALSE)=1,100%,$B$8),100%)</f>
        <v>0.9712</v>
      </c>
      <c r="BJ8" s="30" cm="1">
        <f t="array" ref="BJ8">IF(VLOOKUP($Q8,武学奇术!$A:$ZZ,23,FALSE)=1,100%,MIN(80%,$B$9+VLOOKUP($Q8,武学奇术!$A:$ZZ,17,FALSE)+SUM(_xlfn.XLOOKUP(R8:AF8,增益!$A:$A,增益!$Q:$Q,0)))+$B$11+SUM(_xlfn.XLOOKUP(R8:AF8,增益!$A:$A,增益!$U:$U,0)))*IF(VLOOKUP($Q8,武学奇术!$A:$ZZ,24,FALSE)=1,0,1)</f>
        <v>0.8773</v>
      </c>
      <c r="BK8" s="30" cm="1">
        <f t="array" ref="BK8">1+$B$13+VLOOKUP($Q8,武学奇术!$A:$ZZ,18,FALSE)+SUM(_xlfn.XLOOKUP(R8:AF8,增益!$A:$A,增益!$R:$R,0))</f>
        <v>1.51</v>
      </c>
      <c r="BL8" s="30" cm="1">
        <f t="array" ref="BL8">IF(VLOOKUP($Q8,武学奇术!$A:$ZZ,24,FALSE)=1,100%,MIN(40%,$B$10+VLOOKUP($Q8,武学奇术!$A:$ZZ,19,FALSE)+SUM(_xlfn.XLOOKUP(R8:AF8,增益!$A:$A,增益!$S:$S,0)))+$B$12+SUM(_xlfn.XLOOKUP(R8:AF8,增益!$A:$A,增益!$V:$V,0)))*IF(VLOOKUP($Q8,武学奇术!$A:$ZZ,23,FALSE)=1,0,1)</f>
        <v>0.0895</v>
      </c>
      <c r="BM8" s="30" cm="1">
        <f t="array" ref="BM8">1+$B$14+VLOOKUP($Q8,武学奇术!$A:$ZZ,20,FALSE)+SUM(_xlfn.XLOOKUP(R8:AF8,增益!$A:$A,增益!$T:$T,0))</f>
        <v>1.35</v>
      </c>
      <c r="BN8" s="30">
        <f t="shared" si="8"/>
        <v>0.85203376</v>
      </c>
      <c r="BO8" s="30">
        <f t="shared" si="9"/>
        <v>0.03224384</v>
      </c>
      <c r="BP8" s="30">
        <f>IF(VLOOKUP($Q8,武学奇术!$A:$ZZ,22,FALSE)=1,0,(1-$BI8))*(1-$BL8)</f>
        <v>0.0262224</v>
      </c>
      <c r="BQ8" s="30" cm="1">
        <f t="array" ref="BQ8">SUM(_xlfn.XLOOKUP(R8:AF8,增益!$A:$A,增益!$W:$W,0))+$I$5</f>
        <v>0.11</v>
      </c>
    </row>
    <row r="9" ht="14.25" spans="1:69">
      <c r="A9" s="44" t="s">
        <v>103</v>
      </c>
      <c r="B9" s="72">
        <v>0.7903</v>
      </c>
      <c r="C9" s="48"/>
      <c r="D9" t="s">
        <v>0</v>
      </c>
      <c r="E9" t="s">
        <v>1</v>
      </c>
      <c r="F9" s="42" t="s">
        <v>2</v>
      </c>
      <c r="G9" s="47" t="s">
        <v>3</v>
      </c>
      <c r="H9" s="73"/>
      <c r="I9" s="22"/>
      <c r="J9" s="74"/>
      <c r="K9" s="41">
        <f t="shared" si="10"/>
        <v>68457.3225147086</v>
      </c>
      <c r="L9" s="41">
        <f>((($AN9+$AO9)/2*$AH9+$AI9)*(1+$AP9)*(1+$AQ9)+(($AS9+$AT9)/2*IF($G$1="鸣金",$AJ9,$AH9)+IF($G$1="鸣金",$AK9*1.5,0))*(1+$AU9)*(1+$AV9)+(($AW9+$AX9)/2*IF($G$1="裂石",$AJ9,$AH9)+IF($G$1="裂石",$AK9*1.5,0))*(1+$AY9)*(1+$AZ9)+(($BA9+$BB9)/2*IF($G$1="牵丝",$AJ9,$AH9)+IF($G$1="牵丝",$AK9*1.5,0))*(1+$BC9)*(1+$BD9)+(($BE9+$BF9)/2*IF($G$1="破竹",$AJ9,$AH9)+IF($G$1="破竹",$AK9*1.5,0))*(1+$BG9)*(1+$BH9))*(1+$AL9)*$BK9*$P9*(1+IF(VLOOKUP($Q9,武学奇术!$A:$ZZ,30,FALSE)="回旋伞",$B$21,0))*(1+$BQ9)</f>
        <v>71346.4180448847</v>
      </c>
      <c r="M9" s="41">
        <f>(($AO9*$AH9+$AI9)*(1+$AP9)*(1+$AQ9)+($AT9*IF($G$1="鸣金",$AJ9,$AH9)+IF($G$1="鸣金",$AK9*1.5,0))*(1+$AU9)*(1+$AV9)+($AX9*IF($G$1="裂石",$AJ9,$AH9)+IF($G$1="裂石",$AK9*1.5,0))*(1+$AY9)*(1+$AZ9)+($BB9*IF($G$1="牵丝",$AJ9,$AH9)+IF($G$1="牵丝",$AK9*1.5,0))*(1+$BC9)*(1+$BD9)+($BF9*IF($G$1="破竹",$AJ9,$AH9)+IF($G$1="破竹",$AK9*1.5,0))*(1+$BG9)*(1+$BH9))*(1+$AL9)*$BM9*$P9*(1+IF(VLOOKUP($Q9,武学奇术!$A:$ZZ,30,FALSE)="回旋伞",$B$21,0))*(1+$BQ9)</f>
        <v>60980.2760446596</v>
      </c>
      <c r="N9" s="41">
        <f>((($AN9+$AO9)/2*$AH9+$AI9)*(1+$AP9)*(1+$AQ9)+(($AS9+$AT9)/2*IF($G$1="鸣金",$AJ9,$AH9)+IF($G$1="鸣金",$AK9*1.5,0))*(1+$AU9)*(1+$AV9)+(($AW9+$AX9)/2*IF($G$1="裂石",$AJ9,$AH9)+IF($G$1="裂石",$AK9*1.5,0))*(1+$AY9)*(1+$AZ9)+(($BA9+$BB9)/2*IF($G$1="牵丝",$AJ9,$AH9)+IF($G$1="牵丝",$AK9*1.5,0))*(1+$BC9)*(1+$BD9)+(($BE9+$BF9)/2*IF($G$1="破竹",$AJ9,$AH9)+IF($G$1="破竹",$AK9*1.5,0))*(1+$BG9)*(1+$BH9))*(1+$AL9)*$P9*(1+IF(VLOOKUP($Q9,武学奇术!$A:$ZZ,30,FALSE)="回旋伞",$B$21,0))*(1+$BQ9)</f>
        <v>40082.2573285869</v>
      </c>
      <c r="O9" s="41">
        <f>((($AN9*$AH9+$AI9)*(1+$AP9)*(1+$AQ9)+($AS9*IF($G$1="鸣金",$AJ9,$AH9)+IF($G$1="鸣金",$AK9*1.5,0))*(1+$AU9)*(1+$AV9)+($AW9*IF($G$1="裂石",$AJ9,$AH9)+IF($G$1="裂石",$AK9*1.5,0))*(1+$AY9)*(1+$AZ9)+($BA9*IF($G$1="牵丝",$AJ9,$AH9)+IF($G$1="牵丝",$AK9*1.5,0))*(1+$BC9)*(1+$BD9)+($BE9*IF($G$1="破竹",$AJ9,$AH9)+IF($G$1="破竹",$AK9*1.5,0))*(1+$BG9)*(1+$BH9))*(1+$AL9))*$P9*(1+IF(VLOOKUP($Q9,武学奇术!$A:$ZZ,30,FALSE)="回旋伞",$B$21,0))*(1+$BQ9)</f>
        <v>34993.9398092778</v>
      </c>
      <c r="P9" s="42">
        <v>1</v>
      </c>
      <c r="Q9" s="43" t="s">
        <v>104</v>
      </c>
      <c r="R9" s="43" t="s">
        <v>105</v>
      </c>
      <c r="S9" s="43" t="s">
        <v>71</v>
      </c>
      <c r="T9" s="43" t="s">
        <v>72</v>
      </c>
      <c r="U9" s="43" t="s">
        <v>79</v>
      </c>
      <c r="V9" s="43" t="s">
        <v>74</v>
      </c>
      <c r="W9" s="43" t="s">
        <v>81</v>
      </c>
      <c r="X9" s="43" t="s">
        <v>82</v>
      </c>
      <c r="Y9" s="43" t="s">
        <v>71</v>
      </c>
      <c r="Z9" s="43" t="s">
        <v>71</v>
      </c>
      <c r="AA9" s="43" t="s">
        <v>71</v>
      </c>
      <c r="AB9" s="43" t="s">
        <v>71</v>
      </c>
      <c r="AC9" s="43" t="s">
        <v>71</v>
      </c>
      <c r="AD9" s="43" t="s">
        <v>71</v>
      </c>
      <c r="AE9" s="43" t="s">
        <v>71</v>
      </c>
      <c r="AF9" s="43" t="s">
        <v>76</v>
      </c>
      <c r="AG9" t="str">
        <f>VLOOKUP($Q9,武学奇术!$A:$ZZ,25,FALSE)</f>
        <v>伞</v>
      </c>
      <c r="AH9" s="30">
        <f>VLOOKUP($Q9,武学奇术!$A:$ZZ,26,FALSE)</f>
        <v>1.8084</v>
      </c>
      <c r="AI9" s="31">
        <f>VLOOKUP($Q9,武学奇术!$A:$ZZ,27,FALSE)*(1+IF(OR($AG9=$F$4,$AG9=$F$5),$B$22,0))</f>
        <v>700</v>
      </c>
      <c r="AJ9" s="30">
        <f>VLOOKUP($Q9,武学奇术!$A:$ZZ,28,FALSE)</f>
        <v>2.7126</v>
      </c>
      <c r="AK9" s="31">
        <f>VLOOKUP($Q9,武学奇术!$A:$ZZ,29,FALSE)*(1+IF(OR($AG9=$F$4,$AG9=$F$5),$B$22,0))</f>
        <v>380.8</v>
      </c>
      <c r="AL9" s="30" cm="1">
        <f t="array" ref="AL9">$G$3+IFERROR(VLOOKUP($AG9,$F$4:$G$7,2,FALSE),0)+VLOOKUP($Q9,武学奇术!$A:$ZZ,2,FALSE)+SUM(_xlfn.XLOOKUP($R9:$AF9,增益!$A:$A,增益!$B:$B,0))</f>
        <v>0.8241</v>
      </c>
      <c r="AM9" s="30" cm="1">
        <f t="array" ref="AM9">VLOOKUP($Q9,武学奇术!$A:$ZZ,5,FALSE)+SUM(_xlfn.XLOOKUP($R9:$AF9,增益!$A:$A,增益!$E:$E,0))</f>
        <v>0</v>
      </c>
      <c r="AN9" cm="1">
        <f t="array" ref="AN9">$D$10*(1+$AM9)+VLOOKUP($Q9,武学奇术!$A:$ZZ,3,FALSE)+SUM(_xlfn.XLOOKUP($R9:$AF9,增益!$A:$A,增益!$C:$C,0))-$I$2</f>
        <v>3545.8</v>
      </c>
      <c r="AO9" cm="1">
        <f t="array" ref="AO9">$E$10*(1+$AM9)+VLOOKUP($Q9,武学奇术!$A:$ZZ,4,FALSE)+SUM(_xlfn.XLOOKUP($R9:$AF9,增益!$A:$A,增益!$D:$D,0))-$I$2</f>
        <v>3545.8</v>
      </c>
      <c r="AP9" s="35" cm="1">
        <f t="array" ref="AP9">IF($F$10-$I$3+VLOOKUP($Q9,武学奇术!$A:$ZZ,6,FALSE)+SUM(_xlfn.XLOOKUP(R9:AF9,增益!$A:$A,增益!$F:$F,0))&gt;0,($F$10-$I$3+VLOOKUP($Q9,武学奇术!$A:$ZZ,6,FALSE)+SUM(_xlfn.XLOOKUP(R9:AF9,增益!$A:$A,增益!$F:$F,0)))/200,($F$10-$I$3+VLOOKUP($Q9,武学奇术!$A:$ZZ,6,FALSE)+SUM(_xlfn.XLOOKUP(R9:AF9,增益!$A:$A,增益!$F:$F,0)))/100)</f>
        <v>0.2625</v>
      </c>
      <c r="AQ9" s="35" cm="1">
        <f t="array" ref="AQ9">$G$10+VLOOKUP($Q9,武学奇术!$A:$ZZ,7,FALSE)+SUM(_xlfn.XLOOKUP(R9:AF9,增益!$A:$A,增益!$G:$G,0))</f>
        <v>0.148</v>
      </c>
      <c r="AR9" s="30" cm="1">
        <f t="array" ref="AR9">VLOOKUP($Q9,武学奇术!$A:$ZZ,8,FALSE)+SUM(_xlfn.XLOOKUP(R9:AF9,增益!$A:$A,增益!$H:$H,0))</f>
        <v>0</v>
      </c>
      <c r="AS9">
        <f t="shared" si="0"/>
        <v>0</v>
      </c>
      <c r="AT9">
        <f t="shared" si="1"/>
        <v>0</v>
      </c>
      <c r="AU9" s="35" cm="1">
        <f t="array" ref="AU9">IF($F$11-$I$4+VLOOKUP($Q9,武学奇术!$A:$ZZ,9,FALSE)+SUM(_xlfn.XLOOKUP(R9:AF9,增益!$A:$A,增益!$I:$I,0))&gt;0,($F$11-$I$4+VLOOKUP($Q9,武学奇术!$A:$ZZ,9,FALSE)+SUM(_xlfn.XLOOKUP(R9:AF9,增益!$A:$A,增益!$I:$I,0)))/200,($F$11-$I$4+VLOOKUP($Q9,武学奇术!$A:$ZZ,9,FALSE)+SUM(_xlfn.XLOOKUP(R9:AF9,增益!$A:$A,增益!$I:$I,0)))/100)</f>
        <v>-0.14</v>
      </c>
      <c r="AV9" s="35" cm="1">
        <f t="array" ref="AV9">$G$11+VLOOKUP($Q9,武学奇术!$A:$ZZ,10,FALSE)+SUM(_xlfn.XLOOKUP(R9:AF9,增益!$A:$A,增益!$J:$J,0))</f>
        <v>0</v>
      </c>
      <c r="AW9">
        <f t="shared" si="2"/>
        <v>0</v>
      </c>
      <c r="AX9">
        <f t="shared" si="3"/>
        <v>0</v>
      </c>
      <c r="AY9" s="35" cm="1">
        <f t="array" ref="AY9">IF($F$12-$I$4+VLOOKUP($Q9,武学奇术!$A:$ZZ,11,FALSE)+SUM(_xlfn.XLOOKUP(R9:AF9,增益!$A:$A,增益!$K:$K,0))&gt;0,($F$12-$I$4+VLOOKUP($Q9,武学奇术!$A:$ZZ,11,FALSE)+SUM(_xlfn.XLOOKUP(R9:AF9,增益!$A:$A,增益!$K:$K,0)))/200,($F$12-$I$4+VLOOKUP($Q9,武学奇术!$A:$ZZ,11,FALSE)+SUM(_xlfn.XLOOKUP(R9:AF9,增益!$A:$A,增益!$K:$K,0)))/100)</f>
        <v>-0.14</v>
      </c>
      <c r="AZ9" s="35" cm="1">
        <f t="array" ref="AZ9">$G$12+VLOOKUP($Q9,武学奇术!$A:$ZZ,12,FALSE)+SUM(_xlfn.XLOOKUP(R9:AF9,增益!$A:$A,增益!$L:$L,0))</f>
        <v>0</v>
      </c>
      <c r="BA9">
        <f t="shared" si="4"/>
        <v>0</v>
      </c>
      <c r="BB9">
        <f t="shared" si="5"/>
        <v>0</v>
      </c>
      <c r="BC9" s="35" cm="1">
        <f t="array" ref="BC9">IF($F$13-$I$4+VLOOKUP($Q9,武学奇术!$A:$ZZ,13,FALSE)+SUM(_xlfn.XLOOKUP(R9:AF9,增益!$A:$A,增益!$M:$M,0))&gt;0,($F$13-$I$4+VLOOKUP($Q9,武学奇术!$A:$ZZ,13,FALSE)+SUM(_xlfn.XLOOKUP(R9:AF9,增益!$A:$A,增益!$K:$K,0)))/200,($F$13-$I$4+VLOOKUP($Q9,武学奇术!$A:$ZZ,13,FALSE)+SUM(_xlfn.XLOOKUP(R9:AF9,增益!$A:$A,增益!$M:$M,0)))/100)</f>
        <v>-0.14</v>
      </c>
      <c r="BD9" s="35" cm="1">
        <f t="array" ref="BD9">$G$13+VLOOKUP($Q9,武学奇术!$A:$ZZ,14,FALSE)+SUM(_xlfn.XLOOKUP(R9:AF9,增益!$A:$A,增益!$N:$N,0))</f>
        <v>0</v>
      </c>
      <c r="BE9">
        <f t="shared" si="6"/>
        <v>538</v>
      </c>
      <c r="BF9">
        <f t="shared" si="7"/>
        <v>1561.4</v>
      </c>
      <c r="BG9" s="35" cm="1">
        <f t="array" ref="BG9">IF($F$14-$I$4+VLOOKUP($Q9,武学奇术!$A:$ZZ,15,FALSE)+SUM(_xlfn.XLOOKUP(R9:AF9,增益!$A:$A,增益!$O:$O,0))&gt;0,($F$14-$I$4+VLOOKUP($Q9,武学奇术!$A:$ZZ,15,FALSE)+SUM(_xlfn.XLOOKUP(R9:AF9,增益!$A:$A,增益!$O:$O,0)))/200,($F$14-$I$4+VLOOKUP($Q9,武学奇术!$A:$ZZ,15,FALSE)+SUM(_xlfn.XLOOKUP(R9:AF9,增益!$A:$A,增益!$O:$O,0)))/100)</f>
        <v>0.08</v>
      </c>
      <c r="BH9" s="35" cm="1">
        <f t="array" ref="BH9">$G$14+VLOOKUP($Q9,武学奇术!$A:$ZZ,16,FALSE)+SUM(_xlfn.XLOOKUP(R9:AF9,增益!$A:$A,增益!$P:$P,0))</f>
        <v>0.27</v>
      </c>
      <c r="BI9" s="30">
        <f>MIN(IF(VLOOKUP($Q9,武学奇术!$A:$ZZ,23,FALSE)=1,100%,$B$8),100%)</f>
        <v>0.9712</v>
      </c>
      <c r="BJ9" s="30" cm="1">
        <f t="array" ref="BJ9">IF(VLOOKUP($Q9,武学奇术!$A:$ZZ,23,FALSE)=1,100%,MIN(80%,$B$9+VLOOKUP($Q9,武学奇术!$A:$ZZ,17,FALSE)+SUM(_xlfn.XLOOKUP(R9:AF9,增益!$A:$A,增益!$Q:$Q,0)))+$B$11+SUM(_xlfn.XLOOKUP(R9:AF9,增益!$A:$A,增益!$U:$U,0)))*IF(VLOOKUP($Q9,武学奇术!$A:$ZZ,24,FALSE)=1,0,1)</f>
        <v>0.8773</v>
      </c>
      <c r="BK9" s="30" cm="1">
        <f t="array" ref="BK9">1+$B$13+VLOOKUP($Q9,武学奇术!$A:$ZZ,18,FALSE)+SUM(_xlfn.XLOOKUP(R9:AF9,增益!$A:$A,增益!$R:$R,0))</f>
        <v>1.78</v>
      </c>
      <c r="BL9" s="30" cm="1">
        <f t="array" ref="BL9">IF(VLOOKUP($Q9,武学奇术!$A:$ZZ,24,FALSE)=1,100%,MIN(40%,$B$10+VLOOKUP($Q9,武学奇术!$A:$ZZ,19,FALSE)+SUM(_xlfn.XLOOKUP(R9:AF9,增益!$A:$A,增益!$S:$S,0)))+$B$12+SUM(_xlfn.XLOOKUP(R9:AF9,增益!$A:$A,增益!$V:$V,0)))*IF(VLOOKUP($Q9,武学奇术!$A:$ZZ,23,FALSE)=1,0,1)</f>
        <v>0.0895</v>
      </c>
      <c r="BM9" s="30" cm="1">
        <f t="array" ref="BM9">1+$B$14+VLOOKUP($Q9,武学奇术!$A:$ZZ,20,FALSE)+SUM(_xlfn.XLOOKUP(R9:AF9,增益!$A:$A,增益!$T:$T,0))</f>
        <v>1.35</v>
      </c>
      <c r="BN9" s="30">
        <f t="shared" si="8"/>
        <v>0.85203376</v>
      </c>
      <c r="BO9" s="30">
        <f t="shared" si="9"/>
        <v>0.03224384</v>
      </c>
      <c r="BP9" s="30">
        <f>IF(VLOOKUP($Q9,武学奇术!$A:$ZZ,22,FALSE)=1,0,(1-$BI9))*(1-$BL9)</f>
        <v>0.0262224</v>
      </c>
      <c r="BQ9" s="30" cm="1">
        <f t="array" ref="BQ9">SUM(_xlfn.XLOOKUP(R9:AF9,增益!$A:$A,增益!$W:$W,0))+$I$5</f>
        <v>0.11</v>
      </c>
    </row>
    <row r="10" spans="1:69">
      <c r="A10" s="44" t="s">
        <v>106</v>
      </c>
      <c r="B10" s="72">
        <v>0.0895</v>
      </c>
      <c r="C10" s="48" t="s">
        <v>66</v>
      </c>
      <c r="D10">
        <f>(B2+B23)*IF($G$2="撼天",1.06,1)</f>
        <v>4103.8</v>
      </c>
      <c r="E10">
        <f>MAX(B2+B23,C2+B24)*IF($G$2="撼天",1.06,1)</f>
        <v>4103.8</v>
      </c>
      <c r="F10">
        <f>D2</f>
        <v>63.5</v>
      </c>
      <c r="G10" s="91">
        <f>E2</f>
        <v>0.028</v>
      </c>
      <c r="H10" s="70" t="s">
        <v>107</v>
      </c>
      <c r="I10" s="75">
        <f>SUM(K:K)</f>
        <v>13273404.190099</v>
      </c>
      <c r="J10" s="76"/>
      <c r="K10" s="41">
        <f t="shared" si="10"/>
        <v>69542.7162284848</v>
      </c>
      <c r="L10" s="41">
        <f>((($AN10+$AO10)/2*$AH10+$AI10)*(1+$AP10)*(1+$AQ10)+(($AS10+$AT10)/2*IF($G$1="鸣金",$AJ10,$AH10)+IF($G$1="鸣金",$AK10*1.5,0))*(1+$AU10)*(1+$AV10)+(($AW10+$AX10)/2*IF($G$1="裂石",$AJ10,$AH10)+IF($G$1="裂石",$AK10*1.5,0))*(1+$AY10)*(1+$AZ10)+(($BA10+$BB10)/2*IF($G$1="牵丝",$AJ10,$AH10)+IF($G$1="牵丝",$AK10*1.5,0))*(1+$BC10)*(1+$BD10)+(($BE10+$BF10)/2*IF($G$1="破竹",$AJ10,$AH10)+IF($G$1="破竹",$AK10*1.5,0))*(1+$BG10)*(1+$BH10))*(1+$AL10)*$BK10*$P10*(1+IF(VLOOKUP($Q10,武学奇术!$A:$ZZ,30,FALSE)="回旋伞",$B$21,0))*(1+$BQ10)</f>
        <v>72528.4652685033</v>
      </c>
      <c r="M10" s="41">
        <f>(($AO10*$AH10+$AI10)*(1+$AP10)*(1+$AQ10)+($AT10*IF($G$1="鸣金",$AJ10,$AH10)+IF($G$1="鸣金",$AK10*1.5,0))*(1+$AU10)*(1+$AV10)+($AX10*IF($G$1="裂石",$AJ10,$AH10)+IF($G$1="裂石",$AK10*1.5,0))*(1+$AY10)*(1+$AZ10)+($BB10*IF($G$1="牵丝",$AJ10,$AH10)+IF($G$1="牵丝",$AK10*1.5,0))*(1+$BC10)*(1+$BD10)+($BF10*IF($G$1="破竹",$AJ10,$AH10)+IF($G$1="破竹",$AK10*1.5,0))*(1+$BG10)*(1+$BH10))*(1+$AL10)*$BM10*$P10*(1+IF(VLOOKUP($Q10,武学奇术!$A:$ZZ,30,FALSE)="回旋伞",$B$21,0))*(1+$BQ10)</f>
        <v>61569.4678200502</v>
      </c>
      <c r="N10" s="41">
        <f>((($AN10+$AO10)/2*$AH10+$AI10)*(1+$AP10)*(1+$AQ10)+(($AS10+$AT10)/2*IF($G$1="鸣金",$AJ10,$AH10)+IF($G$1="鸣金",$AK10*1.5,0))*(1+$AU10)*(1+$AV10)+(($AW10+$AX10)/2*IF($G$1="裂石",$AJ10,$AH10)+IF($G$1="裂石",$AK10*1.5,0))*(1+$AY10)*(1+$AZ10)+(($BA10+$BB10)/2*IF($G$1="牵丝",$AJ10,$AH10)+IF($G$1="牵丝",$AK10*1.5,0))*(1+$BC10)*(1+$BD10)+(($BE10+$BF10)/2*IF($G$1="破竹",$AJ10,$AH10)+IF($G$1="破竹",$AK10*1.5,0))*(1+$BG10)*(1+$BH10))*(1+$AL10)*$P10*(1+IF(VLOOKUP($Q10,武学奇术!$A:$ZZ,30,FALSE)="回旋伞",$B$21,0))*(1+$BQ10)</f>
        <v>40518.6956807281</v>
      </c>
      <c r="O10" s="41">
        <f>((($AN10*$AH10+$AI10)*(1+$AP10)*(1+$AQ10)+($AS10*IF($G$1="鸣金",$AJ10,$AH10)+IF($G$1="鸣金",$AK10*1.5,0))*(1+$AU10)*(1+$AV10)+($AW10*IF($G$1="裂石",$AJ10,$AH10)+IF($G$1="裂石",$AK10*1.5,0))*(1+$AY10)*(1+$AZ10)+($BA10*IF($G$1="牵丝",$AJ10,$AH10)+IF($G$1="牵丝",$AK10*1.5,0))*(1+$BC10)*(1+$BD10)+($BE10*IF($G$1="破竹",$AJ10,$AH10)+IF($G$1="破竹",$AK10*1.5,0))*(1+$BG10)*(1+$BH10))*(1+$AL10))*$P10*(1+IF(VLOOKUP($Q10,武学奇术!$A:$ZZ,30,FALSE)="回旋伞",$B$21,0))*(1+$BQ10)</f>
        <v>35430.378161419</v>
      </c>
      <c r="P10" s="42">
        <v>1</v>
      </c>
      <c r="Q10" s="43" t="s">
        <v>104</v>
      </c>
      <c r="R10" s="43" t="s">
        <v>105</v>
      </c>
      <c r="S10" s="43" t="s">
        <v>108</v>
      </c>
      <c r="T10" s="43" t="s">
        <v>72</v>
      </c>
      <c r="U10" s="43" t="s">
        <v>79</v>
      </c>
      <c r="V10" s="43" t="s">
        <v>80</v>
      </c>
      <c r="W10" s="43" t="s">
        <v>81</v>
      </c>
      <c r="X10" s="43" t="s">
        <v>82</v>
      </c>
      <c r="Y10" s="43" t="s">
        <v>71</v>
      </c>
      <c r="Z10" s="43" t="s">
        <v>71</v>
      </c>
      <c r="AA10" s="43" t="s">
        <v>109</v>
      </c>
      <c r="AB10" s="43" t="s">
        <v>71</v>
      </c>
      <c r="AC10" s="43" t="s">
        <v>71</v>
      </c>
      <c r="AD10" s="43" t="s">
        <v>71</v>
      </c>
      <c r="AE10" s="43" t="s">
        <v>71</v>
      </c>
      <c r="AF10" s="43" t="s">
        <v>76</v>
      </c>
      <c r="AG10" t="str">
        <f>VLOOKUP($Q10,武学奇术!$A:$ZZ,25,FALSE)</f>
        <v>伞</v>
      </c>
      <c r="AH10" s="30">
        <f>VLOOKUP($Q10,武学奇术!$A:$ZZ,26,FALSE)</f>
        <v>1.8084</v>
      </c>
      <c r="AI10" s="31">
        <f>VLOOKUP($Q10,武学奇术!$A:$ZZ,27,FALSE)*(1+IF(OR($AG10=$F$4,$AG10=$F$5),$B$22,0))</f>
        <v>700</v>
      </c>
      <c r="AJ10" s="30">
        <f>VLOOKUP($Q10,武学奇术!$A:$ZZ,28,FALSE)</f>
        <v>2.7126</v>
      </c>
      <c r="AK10" s="31">
        <f>VLOOKUP($Q10,武学奇术!$A:$ZZ,29,FALSE)*(1+IF(OR($AG10=$F$4,$AG10=$F$5),$B$22,0))</f>
        <v>380.8</v>
      </c>
      <c r="AL10" s="30" cm="1">
        <f t="array" ref="AL10">$G$3+IFERROR(VLOOKUP($AG10,$F$4:$G$7,2,FALSE),0)+VLOOKUP($Q10,武学奇术!$A:$ZZ,2,FALSE)+SUM(_xlfn.XLOOKUP($R10:$AF10,增益!$A:$A,增益!$B:$B,0))</f>
        <v>0.8241</v>
      </c>
      <c r="AM10" s="30" cm="1">
        <f t="array" ref="AM10">VLOOKUP($Q10,武学奇术!$A:$ZZ,5,FALSE)+SUM(_xlfn.XLOOKUP($R10:$AF10,增益!$A:$A,增益!$E:$E,0))</f>
        <v>0</v>
      </c>
      <c r="AN10" cm="1">
        <f t="array" ref="AN10">$D$10*(1+$AM10)+VLOOKUP($Q10,武学奇术!$A:$ZZ,3,FALSE)+SUM(_xlfn.XLOOKUP($R10:$AF10,增益!$A:$A,增益!$C:$C,0))-$I$2</f>
        <v>3545.8</v>
      </c>
      <c r="AO10" cm="1">
        <f t="array" ref="AO10">$E$10*(1+$AM10)+VLOOKUP($Q10,武学奇术!$A:$ZZ,4,FALSE)+SUM(_xlfn.XLOOKUP($R10:$AF10,增益!$A:$A,增益!$D:$D,0))-$I$2</f>
        <v>3545.8</v>
      </c>
      <c r="AP10" s="35" cm="1">
        <f t="array" ref="AP10">IF($F$10-$I$3+VLOOKUP($Q10,武学奇术!$A:$ZZ,6,FALSE)+SUM(_xlfn.XLOOKUP(R10:AF10,增益!$A:$A,增益!$F:$F,0))&gt;0,($F$10-$I$3+VLOOKUP($Q10,武学奇术!$A:$ZZ,6,FALSE)+SUM(_xlfn.XLOOKUP(R10:AF10,增益!$A:$A,增益!$F:$F,0)))/200,($F$10-$I$3+VLOOKUP($Q10,武学奇术!$A:$ZZ,6,FALSE)+SUM(_xlfn.XLOOKUP(R10:AF10,增益!$A:$A,增益!$F:$F,0)))/100)</f>
        <v>0.2825</v>
      </c>
      <c r="AQ10" s="35" cm="1">
        <f t="array" ref="AQ10">$G$10+VLOOKUP($Q10,武学奇术!$A:$ZZ,7,FALSE)+SUM(_xlfn.XLOOKUP(R10:AF10,增益!$A:$A,增益!$G:$G,0))</f>
        <v>0.148</v>
      </c>
      <c r="AR10" s="30" cm="1">
        <f t="array" ref="AR10">VLOOKUP($Q10,武学奇术!$A:$ZZ,8,FALSE)+SUM(_xlfn.XLOOKUP(R10:AF10,增益!$A:$A,增益!$H:$H,0))</f>
        <v>0</v>
      </c>
      <c r="AS10">
        <f t="shared" si="0"/>
        <v>0</v>
      </c>
      <c r="AT10">
        <f t="shared" si="1"/>
        <v>0</v>
      </c>
      <c r="AU10" s="35" cm="1">
        <f t="array" ref="AU10">IF($F$11-$I$4+VLOOKUP($Q10,武学奇术!$A:$ZZ,9,FALSE)+SUM(_xlfn.XLOOKUP(R10:AF10,增益!$A:$A,增益!$I:$I,0))&gt;0,($F$11-$I$4+VLOOKUP($Q10,武学奇术!$A:$ZZ,9,FALSE)+SUM(_xlfn.XLOOKUP(R10:AF10,增益!$A:$A,增益!$I:$I,0)))/200,($F$11-$I$4+VLOOKUP($Q10,武学奇术!$A:$ZZ,9,FALSE)+SUM(_xlfn.XLOOKUP(R10:AF10,增益!$A:$A,增益!$I:$I,0)))/100)</f>
        <v>-0.14</v>
      </c>
      <c r="AV10" s="35" cm="1">
        <f t="array" ref="AV10">$G$11+VLOOKUP($Q10,武学奇术!$A:$ZZ,10,FALSE)+SUM(_xlfn.XLOOKUP(R10:AF10,增益!$A:$A,增益!$J:$J,0))</f>
        <v>0</v>
      </c>
      <c r="AW10">
        <f t="shared" si="2"/>
        <v>0</v>
      </c>
      <c r="AX10">
        <f t="shared" si="3"/>
        <v>0</v>
      </c>
      <c r="AY10" s="35" cm="1">
        <f t="array" ref="AY10">IF($F$12-$I$4+VLOOKUP($Q10,武学奇术!$A:$ZZ,11,FALSE)+SUM(_xlfn.XLOOKUP(R10:AF10,增益!$A:$A,增益!$K:$K,0))&gt;0,($F$12-$I$4+VLOOKUP($Q10,武学奇术!$A:$ZZ,11,FALSE)+SUM(_xlfn.XLOOKUP(R10:AF10,增益!$A:$A,增益!$K:$K,0)))/200,($F$12-$I$4+VLOOKUP($Q10,武学奇术!$A:$ZZ,11,FALSE)+SUM(_xlfn.XLOOKUP(R10:AF10,增益!$A:$A,增益!$K:$K,0)))/100)</f>
        <v>-0.14</v>
      </c>
      <c r="AZ10" s="35" cm="1">
        <f t="array" ref="AZ10">$G$12+VLOOKUP($Q10,武学奇术!$A:$ZZ,12,FALSE)+SUM(_xlfn.XLOOKUP(R10:AF10,增益!$A:$A,增益!$L:$L,0))</f>
        <v>0</v>
      </c>
      <c r="BA10">
        <f t="shared" si="4"/>
        <v>0</v>
      </c>
      <c r="BB10">
        <f t="shared" si="5"/>
        <v>0</v>
      </c>
      <c r="BC10" s="35" cm="1">
        <f t="array" ref="BC10">IF($F$13-$I$4+VLOOKUP($Q10,武学奇术!$A:$ZZ,13,FALSE)+SUM(_xlfn.XLOOKUP(R10:AF10,增益!$A:$A,增益!$M:$M,0))&gt;0,($F$13-$I$4+VLOOKUP($Q10,武学奇术!$A:$ZZ,13,FALSE)+SUM(_xlfn.XLOOKUP(R10:AF10,增益!$A:$A,增益!$K:$K,0)))/200,($F$13-$I$4+VLOOKUP($Q10,武学奇术!$A:$ZZ,13,FALSE)+SUM(_xlfn.XLOOKUP(R10:AF10,增益!$A:$A,增益!$M:$M,0)))/100)</f>
        <v>-0.14</v>
      </c>
      <c r="BD10" s="35" cm="1">
        <f t="array" ref="BD10">$G$13+VLOOKUP($Q10,武学奇术!$A:$ZZ,14,FALSE)+SUM(_xlfn.XLOOKUP(R10:AF10,增益!$A:$A,增益!$N:$N,0))</f>
        <v>0</v>
      </c>
      <c r="BE10">
        <f t="shared" si="6"/>
        <v>538</v>
      </c>
      <c r="BF10">
        <f t="shared" si="7"/>
        <v>1561.4</v>
      </c>
      <c r="BG10" s="35" cm="1">
        <f t="array" ref="BG10">IF($F$14-$I$4+VLOOKUP($Q10,武学奇术!$A:$ZZ,15,FALSE)+SUM(_xlfn.XLOOKUP(R10:AF10,增益!$A:$A,增益!$O:$O,0))&gt;0,($F$14-$I$4+VLOOKUP($Q10,武学奇术!$A:$ZZ,15,FALSE)+SUM(_xlfn.XLOOKUP(R10:AF10,增益!$A:$A,增益!$O:$O,0)))/200,($F$14-$I$4+VLOOKUP($Q10,武学奇术!$A:$ZZ,15,FALSE)+SUM(_xlfn.XLOOKUP(R10:AF10,增益!$A:$A,增益!$O:$O,0)))/100)</f>
        <v>0.08</v>
      </c>
      <c r="BH10" s="35" cm="1">
        <f t="array" ref="BH10">$G$14+VLOOKUP($Q10,武学奇术!$A:$ZZ,16,FALSE)+SUM(_xlfn.XLOOKUP(R10:AF10,增益!$A:$A,增益!$P:$P,0))</f>
        <v>0.27</v>
      </c>
      <c r="BI10" s="30">
        <f>MIN(IF(VLOOKUP($Q10,武学奇术!$A:$ZZ,23,FALSE)=1,100%,$B$8),100%)</f>
        <v>0.9712</v>
      </c>
      <c r="BJ10" s="30" cm="1">
        <f t="array" ref="BJ10">IF(VLOOKUP($Q10,武学奇术!$A:$ZZ,23,FALSE)=1,100%,MIN(80%,$B$9+VLOOKUP($Q10,武学奇术!$A:$ZZ,17,FALSE)+SUM(_xlfn.XLOOKUP(R10:AF10,增益!$A:$A,增益!$Q:$Q,0)))+$B$11+SUM(_xlfn.XLOOKUP(R10:AF10,增益!$A:$A,增益!$U:$U,0)))*IF(VLOOKUP($Q10,武学奇术!$A:$ZZ,24,FALSE)=1,0,1)</f>
        <v>0.8773</v>
      </c>
      <c r="BK10" s="30" cm="1">
        <f t="array" ref="BK10">1+$B$13+VLOOKUP($Q10,武学奇术!$A:$ZZ,18,FALSE)+SUM(_xlfn.XLOOKUP(R10:AF10,增益!$A:$A,增益!$R:$R,0))</f>
        <v>1.79</v>
      </c>
      <c r="BL10" s="30" cm="1">
        <f t="array" ref="BL10">IF(VLOOKUP($Q10,武学奇术!$A:$ZZ,24,FALSE)=1,100%,MIN(40%,$B$10+VLOOKUP($Q10,武学奇术!$A:$ZZ,19,FALSE)+SUM(_xlfn.XLOOKUP(R10:AF10,增益!$A:$A,增益!$S:$S,0)))+$B$12+SUM(_xlfn.XLOOKUP(R10:AF10,增益!$A:$A,增益!$V:$V,0)))*IF(VLOOKUP($Q10,武学奇术!$A:$ZZ,23,FALSE)=1,0,1)</f>
        <v>0.0895</v>
      </c>
      <c r="BM10" s="30" cm="1">
        <f t="array" ref="BM10">1+$B$14+VLOOKUP($Q10,武学奇术!$A:$ZZ,20,FALSE)+SUM(_xlfn.XLOOKUP(R10:AF10,增益!$A:$A,增益!$T:$T,0))</f>
        <v>1.35</v>
      </c>
      <c r="BN10" s="30">
        <f t="shared" si="8"/>
        <v>0.85203376</v>
      </c>
      <c r="BO10" s="30">
        <f t="shared" si="9"/>
        <v>0.03224384</v>
      </c>
      <c r="BP10" s="30">
        <f>IF(VLOOKUP($Q10,武学奇术!$A:$ZZ,22,FALSE)=1,0,(1-$BI10))*(1-$BL10)</f>
        <v>0.0262224</v>
      </c>
      <c r="BQ10" s="30" cm="1">
        <f t="array" ref="BQ10">SUM(_xlfn.XLOOKUP(R10:AF10,增益!$A:$A,增益!$W:$W,0))+$I$5</f>
        <v>0.11</v>
      </c>
    </row>
    <row r="11" ht="14.25" spans="1:69">
      <c r="A11" s="44" t="s">
        <v>110</v>
      </c>
      <c r="B11" s="72">
        <f>IF($C$24="易水歌",4.6%,0)+IF($C$22="断石之构",4.1%,0)</f>
        <v>0.087</v>
      </c>
      <c r="C11" s="48" t="s">
        <v>77</v>
      </c>
      <c r="D11">
        <f>(B3+IF($G$1=$C11,$B$7,0))*IF($G$2="撼天",1.06,1)</f>
        <v>0</v>
      </c>
      <c r="E11">
        <f>(MAX(B3,C3)+IF($G$1=$C11,$C$7,0))*IF($G$2="撼天",1.06,1)</f>
        <v>0</v>
      </c>
      <c r="F11">
        <f>D3</f>
        <v>0</v>
      </c>
      <c r="G11" s="91">
        <f>E3</f>
        <v>0</v>
      </c>
      <c r="H11" s="73"/>
      <c r="I11" s="77"/>
      <c r="J11" s="78"/>
      <c r="K11" s="41">
        <f t="shared" si="10"/>
        <v>71045.8963363983</v>
      </c>
      <c r="L11" s="41">
        <f>((($AN11+$AO11)/2*$AH11+$AI11)*(1+$AP11)*(1+$AQ11)+(($AS11+$AT11)/2*IF($G$1="鸣金",$AJ11,$AH11)+IF($G$1="鸣金",$AK11*1.5,0))*(1+$AU11)*(1+$AV11)+(($AW11+$AX11)/2*IF($G$1="裂石",$AJ11,$AH11)+IF($G$1="裂石",$AK11*1.5,0))*(1+$AY11)*(1+$AZ11)+(($BA11+$BB11)/2*IF($G$1="牵丝",$AJ11,$AH11)+IF($G$1="牵丝",$AK11*1.5,0))*(1+$BC11)*(1+$BD11)+(($BE11+$BF11)/2*IF($G$1="破竹",$AJ11,$AH11)+IF($G$1="破竹",$AK11*1.5,0))*(1+$BG11)*(1+$BH11))*(1+$AL11)*$BK11*$P11*(1+IF(VLOOKUP($Q11,武学奇术!$A:$ZZ,30,FALSE)="回旋伞",$B$21,0))*(1+$BQ11)</f>
        <v>74104.3387674605</v>
      </c>
      <c r="M11" s="41">
        <f>(($AO11*$AH11+$AI11)*(1+$AP11)*(1+$AQ11)+($AT11*IF($G$1="鸣金",$AJ11,$AH11)+IF($G$1="鸣金",$AK11*1.5,0))*(1+$AU11)*(1+$AV11)+($AX11*IF($G$1="裂石",$AJ11,$AH11)+IF($G$1="裂石",$AK11*1.5,0))*(1+$AY11)*(1+$AZ11)+($BB11*IF($G$1="牵丝",$AJ11,$AH11)+IF($G$1="牵丝",$AK11*1.5,0))*(1+$BC11)*(1+$BD11)+($BF11*IF($G$1="破竹",$AJ11,$AH11)+IF($G$1="破竹",$AK11*1.5,0))*(1+$BG11)*(1+$BH11))*(1+$AL11)*$BM11*$P11*(1+IF(VLOOKUP($Q11,武学奇术!$A:$ZZ,30,FALSE)="回旋伞",$B$21,0))*(1+$BQ11)</f>
        <v>62795.6339463955</v>
      </c>
      <c r="N11" s="41">
        <f>((($AN11+$AO11)/2*$AH11+$AI11)*(1+$AP11)*(1+$AQ11)+(($AS11+$AT11)/2*IF($G$1="鸣金",$AJ11,$AH11)+IF($G$1="鸣金",$AK11*1.5,0))*(1+$AU11)*(1+$AV11)+(($AW11+$AX11)/2*IF($G$1="裂石",$AJ11,$AH11)+IF($G$1="裂石",$AK11*1.5,0))*(1+$AY11)*(1+$AZ11)+(($BA11+$BB11)/2*IF($G$1="牵丝",$AJ11,$AH11)+IF($G$1="牵丝",$AK11*1.5,0))*(1+$BC11)*(1+$BD11)+(($BE11+$BF11)/2*IF($G$1="破竹",$AJ11,$AH11)+IF($G$1="破竹",$AK11*1.5,0))*(1+$BG11)*(1+$BH11))*(1+$AL11)*$P11*(1+IF(VLOOKUP($Q11,武学奇术!$A:$ZZ,30,FALSE)="回旋伞",$B$21,0))*(1+$BQ11)</f>
        <v>41399.0719371288</v>
      </c>
      <c r="O11" s="41">
        <f>((($AN11*$AH11+$AI11)*(1+$AP11)*(1+$AQ11)+($AS11*IF($G$1="鸣金",$AJ11,$AH11)+IF($G$1="鸣金",$AK11*1.5,0))*(1+$AU11)*(1+$AV11)+($AW11*IF($G$1="裂石",$AJ11,$AH11)+IF($G$1="裂石",$AK11*1.5,0))*(1+$AY11)*(1+$AZ11)+($BA11*IF($G$1="牵丝",$AJ11,$AH11)+IF($G$1="牵丝",$AK11*1.5,0))*(1+$BC11)*(1+$BD11)+($BE11*IF($G$1="破竹",$AJ11,$AH11)+IF($G$1="破竹",$AK11*1.5,0))*(1+$BG11)*(1+$BH11))*(1+$AL11))*$P11*(1+IF(VLOOKUP($Q11,武学奇术!$A:$ZZ,30,FALSE)="回旋伞",$B$21,0))*(1+$BQ11)</f>
        <v>36282.8594695201</v>
      </c>
      <c r="P11" s="42">
        <v>1</v>
      </c>
      <c r="Q11" s="43" t="s">
        <v>104</v>
      </c>
      <c r="R11" s="43" t="s">
        <v>105</v>
      </c>
      <c r="S11" s="43" t="s">
        <v>111</v>
      </c>
      <c r="T11" s="43" t="s">
        <v>72</v>
      </c>
      <c r="U11" s="43" t="s">
        <v>79</v>
      </c>
      <c r="V11" s="43" t="s">
        <v>80</v>
      </c>
      <c r="W11" s="43" t="s">
        <v>87</v>
      </c>
      <c r="X11" s="43" t="s">
        <v>82</v>
      </c>
      <c r="Y11" s="43" t="s">
        <v>71</v>
      </c>
      <c r="Z11" s="43" t="s">
        <v>71</v>
      </c>
      <c r="AA11" s="43" t="s">
        <v>112</v>
      </c>
      <c r="AB11" s="43" t="s">
        <v>71</v>
      </c>
      <c r="AC11" s="43" t="s">
        <v>71</v>
      </c>
      <c r="AD11" s="43" t="s">
        <v>71</v>
      </c>
      <c r="AE11" s="43" t="s">
        <v>71</v>
      </c>
      <c r="AF11" s="43" t="s">
        <v>76</v>
      </c>
      <c r="AG11" t="str">
        <f>VLOOKUP($Q11,武学奇术!$A:$ZZ,25,FALSE)</f>
        <v>伞</v>
      </c>
      <c r="AH11" s="30">
        <f>VLOOKUP($Q11,武学奇术!$A:$ZZ,26,FALSE)</f>
        <v>1.8084</v>
      </c>
      <c r="AI11" s="31">
        <f>VLOOKUP($Q11,武学奇术!$A:$ZZ,27,FALSE)*(1+IF(OR($AG11=$F$4,$AG11=$F$5),$B$22,0))</f>
        <v>700</v>
      </c>
      <c r="AJ11" s="30">
        <f>VLOOKUP($Q11,武学奇术!$A:$ZZ,28,FALSE)</f>
        <v>2.7126</v>
      </c>
      <c r="AK11" s="31">
        <f>VLOOKUP($Q11,武学奇术!$A:$ZZ,29,FALSE)*(1+IF(OR($AG11=$F$4,$AG11=$F$5),$B$22,0))</f>
        <v>380.8</v>
      </c>
      <c r="AL11" s="30" cm="1">
        <f t="array" ref="AL11">$G$3+IFERROR(VLOOKUP($AG11,$F$4:$G$7,2,FALSE),0)+VLOOKUP($Q11,武学奇术!$A:$ZZ,2,FALSE)+SUM(_xlfn.XLOOKUP($R11:$AF11,增益!$A:$A,增益!$B:$B,0))</f>
        <v>0.8341</v>
      </c>
      <c r="AM11" s="30" cm="1">
        <f t="array" ref="AM11">VLOOKUP($Q11,武学奇术!$A:$ZZ,5,FALSE)+SUM(_xlfn.XLOOKUP($R11:$AF11,增益!$A:$A,增益!$E:$E,0))</f>
        <v>0</v>
      </c>
      <c r="AN11" cm="1">
        <f t="array" ref="AN11">$D$10*(1+$AM11)+VLOOKUP($Q11,武学奇术!$A:$ZZ,3,FALSE)+SUM(_xlfn.XLOOKUP($R11:$AF11,增益!$A:$A,增益!$C:$C,0))-$I$2</f>
        <v>3545.8</v>
      </c>
      <c r="AO11" cm="1">
        <f t="array" ref="AO11">$E$10*(1+$AM11)+VLOOKUP($Q11,武学奇术!$A:$ZZ,4,FALSE)+SUM(_xlfn.XLOOKUP($R11:$AF11,增益!$A:$A,增益!$D:$D,0))-$I$2</f>
        <v>3545.8</v>
      </c>
      <c r="AP11" s="35" cm="1">
        <f t="array" ref="AP11">IF($F$10-$I$3+VLOOKUP($Q11,武学奇术!$A:$ZZ,6,FALSE)+SUM(_xlfn.XLOOKUP(R11:AF11,增益!$A:$A,增益!$F:$F,0))&gt;0,($F$10-$I$3+VLOOKUP($Q11,武学奇术!$A:$ZZ,6,FALSE)+SUM(_xlfn.XLOOKUP(R11:AF11,增益!$A:$A,增益!$F:$F,0)))/200,($F$10-$I$3+VLOOKUP($Q11,武学奇术!$A:$ZZ,6,FALSE)+SUM(_xlfn.XLOOKUP(R11:AF11,增益!$A:$A,增益!$F:$F,0)))/100)</f>
        <v>0.3125</v>
      </c>
      <c r="AQ11" s="35" cm="1">
        <f t="array" ref="AQ11">$G$10+VLOOKUP($Q11,武学奇术!$A:$ZZ,7,FALSE)+SUM(_xlfn.XLOOKUP(R11:AF11,增益!$A:$A,增益!$G:$G,0))</f>
        <v>0.148</v>
      </c>
      <c r="AR11" s="30" cm="1">
        <f t="array" ref="AR11">VLOOKUP($Q11,武学奇术!$A:$ZZ,8,FALSE)+SUM(_xlfn.XLOOKUP(R11:AF11,增益!$A:$A,增益!$H:$H,0))</f>
        <v>0</v>
      </c>
      <c r="AS11">
        <f t="shared" si="0"/>
        <v>0</v>
      </c>
      <c r="AT11">
        <f t="shared" si="1"/>
        <v>0</v>
      </c>
      <c r="AU11" s="35" cm="1">
        <f t="array" ref="AU11">IF($F$11-$I$4+VLOOKUP($Q11,武学奇术!$A:$ZZ,9,FALSE)+SUM(_xlfn.XLOOKUP(R11:AF11,增益!$A:$A,增益!$I:$I,0))&gt;0,($F$11-$I$4+VLOOKUP($Q11,武学奇术!$A:$ZZ,9,FALSE)+SUM(_xlfn.XLOOKUP(R11:AF11,增益!$A:$A,增益!$I:$I,0)))/200,($F$11-$I$4+VLOOKUP($Q11,武学奇术!$A:$ZZ,9,FALSE)+SUM(_xlfn.XLOOKUP(R11:AF11,增益!$A:$A,增益!$I:$I,0)))/100)</f>
        <v>-0.14</v>
      </c>
      <c r="AV11" s="35" cm="1">
        <f t="array" ref="AV11">$G$11+VLOOKUP($Q11,武学奇术!$A:$ZZ,10,FALSE)+SUM(_xlfn.XLOOKUP(R11:AF11,增益!$A:$A,增益!$J:$J,0))</f>
        <v>0</v>
      </c>
      <c r="AW11">
        <f t="shared" si="2"/>
        <v>0</v>
      </c>
      <c r="AX11">
        <f t="shared" si="3"/>
        <v>0</v>
      </c>
      <c r="AY11" s="35" cm="1">
        <f t="array" ref="AY11">IF($F$12-$I$4+VLOOKUP($Q11,武学奇术!$A:$ZZ,11,FALSE)+SUM(_xlfn.XLOOKUP(R11:AF11,增益!$A:$A,增益!$K:$K,0))&gt;0,($F$12-$I$4+VLOOKUP($Q11,武学奇术!$A:$ZZ,11,FALSE)+SUM(_xlfn.XLOOKUP(R11:AF11,增益!$A:$A,增益!$K:$K,0)))/200,($F$12-$I$4+VLOOKUP($Q11,武学奇术!$A:$ZZ,11,FALSE)+SUM(_xlfn.XLOOKUP(R11:AF11,增益!$A:$A,增益!$K:$K,0)))/100)</f>
        <v>-0.14</v>
      </c>
      <c r="AZ11" s="35" cm="1">
        <f t="array" ref="AZ11">$G$12+VLOOKUP($Q11,武学奇术!$A:$ZZ,12,FALSE)+SUM(_xlfn.XLOOKUP(R11:AF11,增益!$A:$A,增益!$L:$L,0))</f>
        <v>0</v>
      </c>
      <c r="BA11">
        <f t="shared" si="4"/>
        <v>0</v>
      </c>
      <c r="BB11">
        <f t="shared" si="5"/>
        <v>0</v>
      </c>
      <c r="BC11" s="35" cm="1">
        <f t="array" ref="BC11">IF($F$13-$I$4+VLOOKUP($Q11,武学奇术!$A:$ZZ,13,FALSE)+SUM(_xlfn.XLOOKUP(R11:AF11,增益!$A:$A,增益!$M:$M,0))&gt;0,($F$13-$I$4+VLOOKUP($Q11,武学奇术!$A:$ZZ,13,FALSE)+SUM(_xlfn.XLOOKUP(R11:AF11,增益!$A:$A,增益!$K:$K,0)))/200,($F$13-$I$4+VLOOKUP($Q11,武学奇术!$A:$ZZ,13,FALSE)+SUM(_xlfn.XLOOKUP(R11:AF11,增益!$A:$A,增益!$M:$M,0)))/100)</f>
        <v>-0.14</v>
      </c>
      <c r="BD11" s="35" cm="1">
        <f t="array" ref="BD11">$G$13+VLOOKUP($Q11,武学奇术!$A:$ZZ,14,FALSE)+SUM(_xlfn.XLOOKUP(R11:AF11,增益!$A:$A,增益!$N:$N,0))</f>
        <v>0</v>
      </c>
      <c r="BE11">
        <f t="shared" si="6"/>
        <v>538</v>
      </c>
      <c r="BF11">
        <f t="shared" si="7"/>
        <v>1561.4</v>
      </c>
      <c r="BG11" s="35" cm="1">
        <f t="array" ref="BG11">IF($F$14-$I$4+VLOOKUP($Q11,武学奇术!$A:$ZZ,15,FALSE)+SUM(_xlfn.XLOOKUP(R11:AF11,增益!$A:$A,增益!$O:$O,0))&gt;0,($F$14-$I$4+VLOOKUP($Q11,武学奇术!$A:$ZZ,15,FALSE)+SUM(_xlfn.XLOOKUP(R11:AF11,增益!$A:$A,增益!$O:$O,0)))/200,($F$14-$I$4+VLOOKUP($Q11,武学奇术!$A:$ZZ,15,FALSE)+SUM(_xlfn.XLOOKUP(R11:AF11,增益!$A:$A,增益!$O:$O,0)))/100)</f>
        <v>0.08</v>
      </c>
      <c r="BH11" s="35" cm="1">
        <f t="array" ref="BH11">$G$14+VLOOKUP($Q11,武学奇术!$A:$ZZ,16,FALSE)+SUM(_xlfn.XLOOKUP(R11:AF11,增益!$A:$A,增益!$P:$P,0))</f>
        <v>0.27</v>
      </c>
      <c r="BI11" s="30">
        <f>MIN(IF(VLOOKUP($Q11,武学奇术!$A:$ZZ,23,FALSE)=1,100%,$B$8),100%)</f>
        <v>0.9712</v>
      </c>
      <c r="BJ11" s="30" cm="1">
        <f t="array" ref="BJ11">IF(VLOOKUP($Q11,武学奇术!$A:$ZZ,23,FALSE)=1,100%,MIN(80%,$B$9+VLOOKUP($Q11,武学奇术!$A:$ZZ,17,FALSE)+SUM(_xlfn.XLOOKUP(R11:AF11,增益!$A:$A,增益!$Q:$Q,0)))+$B$11+SUM(_xlfn.XLOOKUP(R11:AF11,增益!$A:$A,增益!$U:$U,0)))*IF(VLOOKUP($Q11,武学奇术!$A:$ZZ,24,FALSE)=1,0,1)</f>
        <v>0.8773</v>
      </c>
      <c r="BK11" s="30" cm="1">
        <f t="array" ref="BK11">1+$B$13+VLOOKUP($Q11,武学奇术!$A:$ZZ,18,FALSE)+SUM(_xlfn.XLOOKUP(R11:AF11,增益!$A:$A,增益!$R:$R,0))</f>
        <v>1.79</v>
      </c>
      <c r="BL11" s="30" cm="1">
        <f t="array" ref="BL11">IF(VLOOKUP($Q11,武学奇术!$A:$ZZ,24,FALSE)=1,100%,MIN(40%,$B$10+VLOOKUP($Q11,武学奇术!$A:$ZZ,19,FALSE)+SUM(_xlfn.XLOOKUP(R11:AF11,增益!$A:$A,增益!$S:$S,0)))+$B$12+SUM(_xlfn.XLOOKUP(R11:AF11,增益!$A:$A,增益!$V:$V,0)))*IF(VLOOKUP($Q11,武学奇术!$A:$ZZ,23,FALSE)=1,0,1)</f>
        <v>0.0895</v>
      </c>
      <c r="BM11" s="30" cm="1">
        <f t="array" ref="BM11">1+$B$14+VLOOKUP($Q11,武学奇术!$A:$ZZ,20,FALSE)+SUM(_xlfn.XLOOKUP(R11:AF11,增益!$A:$A,增益!$T:$T,0))</f>
        <v>1.35</v>
      </c>
      <c r="BN11" s="30">
        <f t="shared" si="8"/>
        <v>0.85203376</v>
      </c>
      <c r="BO11" s="30">
        <f t="shared" si="9"/>
        <v>0.03224384</v>
      </c>
      <c r="BP11" s="30">
        <f>IF(VLOOKUP($Q11,武学奇术!$A:$ZZ,22,FALSE)=1,0,(1-$BI11))*(1-$BL11)</f>
        <v>0.0262224</v>
      </c>
      <c r="BQ11" s="30" cm="1">
        <f t="array" ref="BQ11">SUM(_xlfn.XLOOKUP(R11:AF11,增益!$A:$A,增益!$W:$W,0))+$I$5</f>
        <v>0.11</v>
      </c>
    </row>
    <row r="12" spans="1:69">
      <c r="A12" s="44" t="s">
        <v>113</v>
      </c>
      <c r="B12" s="72">
        <v>0</v>
      </c>
      <c r="C12" s="48" t="s">
        <v>83</v>
      </c>
      <c r="D12">
        <f>(B4+IF($G$1=$C12,$B$7,0))*IF($G$2="撼天",1.06,1)</f>
        <v>0</v>
      </c>
      <c r="E12">
        <f>(MAX(B4,C4)+IF($G$1=$C12,$C$7,0))*IF($G$2="撼天",1.06,1)</f>
        <v>0</v>
      </c>
      <c r="F12">
        <f>D4</f>
        <v>0</v>
      </c>
      <c r="G12" s="91">
        <f>E4</f>
        <v>0</v>
      </c>
      <c r="H12" s="70" t="s">
        <v>114</v>
      </c>
      <c r="I12" s="41">
        <f>I10/I8</f>
        <v>120448.313884746</v>
      </c>
      <c r="J12" s="79"/>
      <c r="K12" s="41">
        <f t="shared" si="10"/>
        <v>82620.6509101179</v>
      </c>
      <c r="L12" s="41">
        <f>((($AN12+$AO12)/2*$AH12+$AI12)*(1+$AP12)*(1+$AQ12)+(($AS12+$AT12)/2*IF($G$1="鸣金",$AJ12,$AH12)+IF($G$1="鸣金",$AK12*1.5,0))*(1+$AU12)*(1+$AV12)+(($AW12+$AX12)/2*IF($G$1="裂石",$AJ12,$AH12)+IF($G$1="裂石",$AK12*1.5,0))*(1+$AY12)*(1+$AZ12)+(($BA12+$BB12)/2*IF($G$1="牵丝",$AJ12,$AH12)+IF($G$1="牵丝",$AK12*1.5,0))*(1+$BC12)*(1+$BD12)+(($BE12+$BF12)/2*IF($G$1="破竹",$AJ12,$AH12)+IF($G$1="破竹",$AK12*1.5,0))*(1+$BG12)*(1+$BH12))*(1+$AL12)*$BK12*$P12*(1+IF(VLOOKUP($Q12,武学奇术!$A:$ZZ,30,FALSE)="回旋伞",$B$21,0))*(1+$BQ12)</f>
        <v>82620.6509101179</v>
      </c>
      <c r="M12" s="41">
        <f>(($AO12*$AH12+$AI12)*(1+$AP12)*(1+$AQ12)+($AT12*IF($G$1="鸣金",$AJ12,$AH12)+IF($G$1="鸣金",$AK12*1.5,0))*(1+$AU12)*(1+$AV12)+($AX12*IF($G$1="裂石",$AJ12,$AH12)+IF($G$1="裂石",$AK12*1.5,0))*(1+$AY12)*(1+$AZ12)+($BB12*IF($G$1="牵丝",$AJ12,$AH12)+IF($G$1="牵丝",$AK12*1.5,0))*(1+$BC12)*(1+$BD12)+($BF12*IF($G$1="破竹",$AJ12,$AH12)+IF($G$1="破竹",$AK12*1.5,0))*(1+$BG12)*(1+$BH12))*(1+$AL12)*$BM12*$P12*(1+IF(VLOOKUP($Q12,武学奇术!$A:$ZZ,30,FALSE)="回旋伞",$B$21,0))*(1+$BQ12)</f>
        <v>69971.7145295807</v>
      </c>
      <c r="N12" s="41">
        <f>((($AN12+$AO12)/2*$AH12+$AI12)*(1+$AP12)*(1+$AQ12)+(($AS12+$AT12)/2*IF($G$1="鸣金",$AJ12,$AH12)+IF($G$1="鸣金",$AK12*1.5,0))*(1+$AU12)*(1+$AV12)+(($AW12+$AX12)/2*IF($G$1="裂石",$AJ12,$AH12)+IF($G$1="裂石",$AK12*1.5,0))*(1+$AY12)*(1+$AZ12)+(($BA12+$BB12)/2*IF($G$1="牵丝",$AJ12,$AH12)+IF($G$1="牵丝",$AK12*1.5,0))*(1+$BC12)*(1+$BD12)+(($BE12+$BF12)/2*IF($G$1="破竹",$AJ12,$AH12)+IF($G$1="破竹",$AK12*1.5,0))*(1+$BG12)*(1+$BH12))*(1+$AL12)*$P12*(1+IF(VLOOKUP($Q12,武学奇术!$A:$ZZ,30,FALSE)="回旋伞",$B$21,0))*(1+$BQ12)</f>
        <v>46156.7882179429</v>
      </c>
      <c r="O12" s="41">
        <f>((($AN12*$AH12+$AI12)*(1+$AP12)*(1+$AQ12)+($AS12*IF($G$1="鸣金",$AJ12,$AH12)+IF($G$1="鸣金",$AK12*1.5,0))*(1+$AU12)*(1+$AV12)+($AW12*IF($G$1="裂石",$AJ12,$AH12)+IF($G$1="裂石",$AK12*1.5,0))*(1+$AY12)*(1+$AZ12)+($BA12*IF($G$1="牵丝",$AJ12,$AH12)+IF($G$1="牵丝",$AK12*1.5,0))*(1+$BC12)*(1+$BD12)+($BE12*IF($G$1="破竹",$AJ12,$AH12)+IF($G$1="破竹",$AK12*1.5,0))*(1+$BG12)*(1+$BH12))*(1+$AL12))*$P12*(1+IF(VLOOKUP($Q12,武学奇术!$A:$ZZ,30,FALSE)="回旋伞",$B$21,0))*(1+$BQ12)</f>
        <v>40482.6767843446</v>
      </c>
      <c r="P12" s="42">
        <v>1</v>
      </c>
      <c r="Q12" s="43" t="s">
        <v>115</v>
      </c>
      <c r="R12" s="43" t="s">
        <v>105</v>
      </c>
      <c r="S12" s="43" t="s">
        <v>91</v>
      </c>
      <c r="T12" s="43" t="s">
        <v>72</v>
      </c>
      <c r="U12" s="43" t="s">
        <v>79</v>
      </c>
      <c r="V12" s="43" t="s">
        <v>80</v>
      </c>
      <c r="W12" s="43" t="s">
        <v>87</v>
      </c>
      <c r="X12" s="43" t="s">
        <v>82</v>
      </c>
      <c r="Y12" s="43" t="s">
        <v>71</v>
      </c>
      <c r="Z12" s="43" t="s">
        <v>71</v>
      </c>
      <c r="AA12" s="43" t="s">
        <v>116</v>
      </c>
      <c r="AB12" s="43" t="s">
        <v>71</v>
      </c>
      <c r="AC12" s="43" t="s">
        <v>71</v>
      </c>
      <c r="AD12" s="43" t="s">
        <v>71</v>
      </c>
      <c r="AE12" s="43" t="s">
        <v>71</v>
      </c>
      <c r="AF12" s="43" t="s">
        <v>76</v>
      </c>
      <c r="AG12" t="str">
        <f>VLOOKUP($Q12,武学奇术!$A:$ZZ,25,FALSE)</f>
        <v>伞</v>
      </c>
      <c r="AH12" s="30">
        <f>VLOOKUP($Q12,武学奇术!$A:$ZZ,26,FALSE)</f>
        <v>1.8084</v>
      </c>
      <c r="AI12" s="31">
        <f>VLOOKUP($Q12,武学奇术!$A:$ZZ,27,FALSE)*(1+IF(OR($AG12=$F$4,$AG12=$F$5),$B$22,0))</f>
        <v>700</v>
      </c>
      <c r="AJ12" s="30">
        <f>VLOOKUP($Q12,武学奇术!$A:$ZZ,28,FALSE)</f>
        <v>2.7126</v>
      </c>
      <c r="AK12" s="31">
        <f>VLOOKUP($Q12,武学奇术!$A:$ZZ,29,FALSE)*(1+IF(OR($AG12=$F$4,$AG12=$F$5),$B$22,0))</f>
        <v>380.8</v>
      </c>
      <c r="AL12" s="30" cm="1">
        <f t="array" ref="AL12">$G$3+IFERROR(VLOOKUP($AG12,$F$4:$G$7,2,FALSE),0)+VLOOKUP($Q12,武学奇术!$A:$ZZ,2,FALSE)+SUM(_xlfn.XLOOKUP($R12:$AF12,增益!$A:$A,增益!$B:$B,0))</f>
        <v>1.0341</v>
      </c>
      <c r="AM12" s="30" cm="1">
        <f t="array" ref="AM12">VLOOKUP($Q12,武学奇术!$A:$ZZ,5,FALSE)+SUM(_xlfn.XLOOKUP($R12:$AF12,增益!$A:$A,增益!$E:$E,0))</f>
        <v>0</v>
      </c>
      <c r="AN12" cm="1">
        <f t="array" ref="AN12">$D$10*(1+$AM12)+VLOOKUP($Q12,武学奇术!$A:$ZZ,3,FALSE)+SUM(_xlfn.XLOOKUP($R12:$AF12,增益!$A:$A,增益!$C:$C,0))-$I$2</f>
        <v>3545.8</v>
      </c>
      <c r="AO12" cm="1">
        <f t="array" ref="AO12">$E$10*(1+$AM12)+VLOOKUP($Q12,武学奇术!$A:$ZZ,4,FALSE)+SUM(_xlfn.XLOOKUP($R12:$AF12,增益!$A:$A,增益!$D:$D,0))-$I$2</f>
        <v>3545.8</v>
      </c>
      <c r="AP12" s="35" cm="1">
        <f t="array" ref="AP12">IF($F$10-$I$3+VLOOKUP($Q12,武学奇术!$A:$ZZ,6,FALSE)+SUM(_xlfn.XLOOKUP(R12:AF12,增益!$A:$A,增益!$F:$F,0))&gt;0,($F$10-$I$3+VLOOKUP($Q12,武学奇术!$A:$ZZ,6,FALSE)+SUM(_xlfn.XLOOKUP(R12:AF12,增益!$A:$A,增益!$F:$F,0)))/200,($F$10-$I$3+VLOOKUP($Q12,武学奇术!$A:$ZZ,6,FALSE)+SUM(_xlfn.XLOOKUP(R12:AF12,增益!$A:$A,增益!$F:$F,0)))/100)</f>
        <v>0.3225</v>
      </c>
      <c r="AQ12" s="35" cm="1">
        <f t="array" ref="AQ12">$G$10+VLOOKUP($Q12,武学奇术!$A:$ZZ,7,FALSE)+SUM(_xlfn.XLOOKUP(R12:AF12,增益!$A:$A,增益!$G:$G,0))</f>
        <v>0.148</v>
      </c>
      <c r="AR12" s="30" cm="1">
        <f t="array" ref="AR12">VLOOKUP($Q12,武学奇术!$A:$ZZ,8,FALSE)+SUM(_xlfn.XLOOKUP(R12:AF12,增益!$A:$A,增益!$H:$H,0))</f>
        <v>0</v>
      </c>
      <c r="AS12">
        <f t="shared" si="0"/>
        <v>0</v>
      </c>
      <c r="AT12">
        <f t="shared" si="1"/>
        <v>0</v>
      </c>
      <c r="AU12" s="35" cm="1">
        <f t="array" ref="AU12">IF($F$11-$I$4+VLOOKUP($Q12,武学奇术!$A:$ZZ,9,FALSE)+SUM(_xlfn.XLOOKUP(R12:AF12,增益!$A:$A,增益!$I:$I,0))&gt;0,($F$11-$I$4+VLOOKUP($Q12,武学奇术!$A:$ZZ,9,FALSE)+SUM(_xlfn.XLOOKUP(R12:AF12,增益!$A:$A,增益!$I:$I,0)))/200,($F$11-$I$4+VLOOKUP($Q12,武学奇术!$A:$ZZ,9,FALSE)+SUM(_xlfn.XLOOKUP(R12:AF12,增益!$A:$A,增益!$I:$I,0)))/100)</f>
        <v>-0.14</v>
      </c>
      <c r="AV12" s="35" cm="1">
        <f t="array" ref="AV12">$G$11+VLOOKUP($Q12,武学奇术!$A:$ZZ,10,FALSE)+SUM(_xlfn.XLOOKUP(R12:AF12,增益!$A:$A,增益!$J:$J,0))</f>
        <v>0</v>
      </c>
      <c r="AW12">
        <f t="shared" si="2"/>
        <v>0</v>
      </c>
      <c r="AX12">
        <f t="shared" si="3"/>
        <v>0</v>
      </c>
      <c r="AY12" s="35" cm="1">
        <f t="array" ref="AY12">IF($F$12-$I$4+VLOOKUP($Q12,武学奇术!$A:$ZZ,11,FALSE)+SUM(_xlfn.XLOOKUP(R12:AF12,增益!$A:$A,增益!$K:$K,0))&gt;0,($F$12-$I$4+VLOOKUP($Q12,武学奇术!$A:$ZZ,11,FALSE)+SUM(_xlfn.XLOOKUP(R12:AF12,增益!$A:$A,增益!$K:$K,0)))/200,($F$12-$I$4+VLOOKUP($Q12,武学奇术!$A:$ZZ,11,FALSE)+SUM(_xlfn.XLOOKUP(R12:AF12,增益!$A:$A,增益!$K:$K,0)))/100)</f>
        <v>-0.14</v>
      </c>
      <c r="AZ12" s="35" cm="1">
        <f t="array" ref="AZ12">$G$12+VLOOKUP($Q12,武学奇术!$A:$ZZ,12,FALSE)+SUM(_xlfn.XLOOKUP(R12:AF12,增益!$A:$A,增益!$L:$L,0))</f>
        <v>0</v>
      </c>
      <c r="BA12">
        <f t="shared" si="4"/>
        <v>0</v>
      </c>
      <c r="BB12">
        <f t="shared" si="5"/>
        <v>0</v>
      </c>
      <c r="BC12" s="35" cm="1">
        <f t="array" ref="BC12">IF($F$13-$I$4+VLOOKUP($Q12,武学奇术!$A:$ZZ,13,FALSE)+SUM(_xlfn.XLOOKUP(R12:AF12,增益!$A:$A,增益!$M:$M,0))&gt;0,($F$13-$I$4+VLOOKUP($Q12,武学奇术!$A:$ZZ,13,FALSE)+SUM(_xlfn.XLOOKUP(R12:AF12,增益!$A:$A,增益!$K:$K,0)))/200,($F$13-$I$4+VLOOKUP($Q12,武学奇术!$A:$ZZ,13,FALSE)+SUM(_xlfn.XLOOKUP(R12:AF12,增益!$A:$A,增益!$M:$M,0)))/100)</f>
        <v>-0.14</v>
      </c>
      <c r="BD12" s="35" cm="1">
        <f t="array" ref="BD12">$G$13+VLOOKUP($Q12,武学奇术!$A:$ZZ,14,FALSE)+SUM(_xlfn.XLOOKUP(R12:AF12,增益!$A:$A,增益!$N:$N,0))</f>
        <v>0</v>
      </c>
      <c r="BE12">
        <f t="shared" si="6"/>
        <v>538</v>
      </c>
      <c r="BF12">
        <f t="shared" si="7"/>
        <v>1561.4</v>
      </c>
      <c r="BG12" s="35" cm="1">
        <f t="array" ref="BG12">IF($F$14-$I$4+VLOOKUP($Q12,武学奇术!$A:$ZZ,15,FALSE)+SUM(_xlfn.XLOOKUP(R12:AF12,增益!$A:$A,增益!$O:$O,0))&gt;0,($F$14-$I$4+VLOOKUP($Q12,武学奇术!$A:$ZZ,15,FALSE)+SUM(_xlfn.XLOOKUP(R12:AF12,增益!$A:$A,增益!$O:$O,0)))/200,($F$14-$I$4+VLOOKUP($Q12,武学奇术!$A:$ZZ,15,FALSE)+SUM(_xlfn.XLOOKUP(R12:AF12,增益!$A:$A,增益!$O:$O,0)))/100)</f>
        <v>0.08</v>
      </c>
      <c r="BH12" s="35" cm="1">
        <f t="array" ref="BH12">$G$14+VLOOKUP($Q12,武学奇术!$A:$ZZ,16,FALSE)+SUM(_xlfn.XLOOKUP(R12:AF12,增益!$A:$A,增益!$P:$P,0))</f>
        <v>0.27</v>
      </c>
      <c r="BI12" s="30">
        <f>MIN(IF(VLOOKUP($Q12,武学奇术!$A:$ZZ,23,FALSE)=1,100%,$B$8),100%)</f>
        <v>1</v>
      </c>
      <c r="BJ12" s="30" cm="1">
        <f t="array" ref="BJ12">IF(VLOOKUP($Q12,武学奇术!$A:$ZZ,23,FALSE)=1,100%,MIN(80%,$B$9+VLOOKUP($Q12,武学奇术!$A:$ZZ,17,FALSE)+SUM(_xlfn.XLOOKUP(R12:AF12,增益!$A:$A,增益!$Q:$Q,0)))+$B$11+SUM(_xlfn.XLOOKUP(R12:AF12,增益!$A:$A,增益!$U:$U,0)))*IF(VLOOKUP($Q12,武学奇术!$A:$ZZ,24,FALSE)=1,0,1)</f>
        <v>1</v>
      </c>
      <c r="BK12" s="30" cm="1">
        <f t="array" ref="BK12">1+$B$13+VLOOKUP($Q12,武学奇术!$A:$ZZ,18,FALSE)+SUM(_xlfn.XLOOKUP(R12:AF12,增益!$A:$A,增益!$R:$R,0))</f>
        <v>1.79</v>
      </c>
      <c r="BL12" s="30" cm="1">
        <f t="array" ref="BL12">IF(VLOOKUP($Q12,武学奇术!$A:$ZZ,24,FALSE)=1,100%,MIN(40%,$B$10+VLOOKUP($Q12,武学奇术!$A:$ZZ,19,FALSE)+SUM(_xlfn.XLOOKUP(R12:AF12,增益!$A:$A,增益!$S:$S,0)))+$B$12+SUM(_xlfn.XLOOKUP(R12:AF12,增益!$A:$A,增益!$V:$V,0)))*IF(VLOOKUP($Q12,武学奇术!$A:$ZZ,23,FALSE)=1,0,1)</f>
        <v>0</v>
      </c>
      <c r="BM12" s="30" cm="1">
        <f t="array" ref="BM12">1+$B$14+VLOOKUP($Q12,武学奇术!$A:$ZZ,20,FALSE)+SUM(_xlfn.XLOOKUP(R12:AF12,增益!$A:$A,增益!$T:$T,0))</f>
        <v>1.35</v>
      </c>
      <c r="BN12" s="30">
        <f t="shared" si="8"/>
        <v>1</v>
      </c>
      <c r="BO12" s="30">
        <f t="shared" si="9"/>
        <v>0</v>
      </c>
      <c r="BP12" s="30">
        <f>IF(VLOOKUP($Q12,武学奇术!$A:$ZZ,22,FALSE)=1,0,(1-$BI12))*(1-$BL12)</f>
        <v>0</v>
      </c>
      <c r="BQ12" s="30" cm="1">
        <f t="array" ref="BQ12">SUM(_xlfn.XLOOKUP(R12:AF12,增益!$A:$A,增益!$W:$W,0))+$I$5</f>
        <v>0.11</v>
      </c>
    </row>
    <row r="13" ht="14.25" spans="1:69">
      <c r="A13" s="44" t="s">
        <v>117</v>
      </c>
      <c r="B13" s="72">
        <f>50%+IF($C$22="大唐歌",4%,0)</f>
        <v>0.5</v>
      </c>
      <c r="C13" s="48" t="s">
        <v>88</v>
      </c>
      <c r="D13">
        <f>(B5+IF($G$1=$C13,$B$7,0))*IF($G$2="撼天",1.06,1)</f>
        <v>0</v>
      </c>
      <c r="E13">
        <f>(MAX(B5,C5)+IF($G$1=$C13,$C$7,0))*IF($G$2="撼天",1.06,1)</f>
        <v>0</v>
      </c>
      <c r="F13">
        <f>D5</f>
        <v>0</v>
      </c>
      <c r="G13" s="91">
        <f>E5</f>
        <v>0</v>
      </c>
      <c r="H13" s="73"/>
      <c r="I13" s="80"/>
      <c r="J13" s="78"/>
      <c r="K13" s="41">
        <f t="shared" si="10"/>
        <v>72543.7095371982</v>
      </c>
      <c r="L13" s="41">
        <f>((($AN13+$AO13)/2*$AH13+$AI13)*(1+$AP13)*(1+$AQ13)+(($AS13+$AT13)/2*IF($G$1="鸣金",$AJ13,$AH13)+IF($G$1="鸣金",$AK13*1.5,0))*(1+$AU13)*(1+$AV13)+(($AW13+$AX13)/2*IF($G$1="裂石",$AJ13,$AH13)+IF($G$1="裂石",$AK13*1.5,0))*(1+$AY13)*(1+$AZ13)+(($BA13+$BB13)/2*IF($G$1="牵丝",$AJ13,$AH13)+IF($G$1="牵丝",$AK13*1.5,0))*(1+$BC13)*(1+$BD13)+(($BE13+$BF13)/2*IF($G$1="破竹",$AJ13,$AH13)+IF($G$1="破竹",$AK13*1.5,0))*(1+$BG13)*(1+$BH13))*(1+$AL13)*$BK13*$P13*(1+IF(VLOOKUP($Q13,武学奇术!$A:$ZZ,30,FALSE)="回旋伞",$B$21,0))*(1+$BQ13)</f>
        <v>75718.8256740426</v>
      </c>
      <c r="M13" s="41">
        <f>(($AO13*$AH13+$AI13)*(1+$AP13)*(1+$AQ13)+($AT13*IF($G$1="鸣金",$AJ13,$AH13)+IF($G$1="鸣金",$AK13*1.5,0))*(1+$AU13)*(1+$AV13)+($AX13*IF($G$1="裂石",$AJ13,$AH13)+IF($G$1="裂石",$AK13*1.5,0))*(1+$AY13)*(1+$AZ13)+($BB13*IF($G$1="牵丝",$AJ13,$AH13)+IF($G$1="牵丝",$AK13*1.5,0))*(1+$BC13)*(1+$BD13)+($BF13*IF($G$1="破竹",$AJ13,$AH13)+IF($G$1="破竹",$AK13*1.5,0))*(1+$BG13)*(1+$BH13))*(1+$AL13)*$BM13*$P13*(1+IF(VLOOKUP($Q13,武学奇术!$A:$ZZ,30,FALSE)="回旋伞",$B$21,0))*(1+$BQ13)</f>
        <v>63733.6642670079</v>
      </c>
      <c r="N13" s="41">
        <f>((($AN13+$AO13)/2*$AH13+$AI13)*(1+$AP13)*(1+$AQ13)+(($AS13+$AT13)/2*IF($G$1="鸣金",$AJ13,$AH13)+IF($G$1="鸣金",$AK13*1.5,0))*(1+$AU13)*(1+$AV13)+(($AW13+$AX13)/2*IF($G$1="裂石",$AJ13,$AH13)+IF($G$1="裂石",$AK13*1.5,0))*(1+$AY13)*(1+$AZ13)+(($BA13+$BB13)/2*IF($G$1="牵丝",$AJ13,$AH13)+IF($G$1="牵丝",$AK13*1.5,0))*(1+$BC13)*(1+$BD13)+(($BE13+$BF13)/2*IF($G$1="破竹",$AJ13,$AH13)+IF($G$1="破竹",$AK13*1.5,0))*(1+$BG13)*(1+$BH13))*(1+$AL13)*$P13*(1+IF(VLOOKUP($Q13,武学奇术!$A:$ZZ,30,FALSE)="回旋伞",$B$21,0))*(1+$BQ13)</f>
        <v>42066.014263357</v>
      </c>
      <c r="O13" s="41">
        <f>((($AN13*$AH13+$AI13)*(1+$AP13)*(1+$AQ13)+($AS13*IF($G$1="鸣金",$AJ13,$AH13)+IF($G$1="鸣金",$AK13*1.5,0))*(1+$AU13)*(1+$AV13)+($AW13*IF($G$1="裂石",$AJ13,$AH13)+IF($G$1="裂石",$AK13*1.5,0))*(1+$AY13)*(1+$AZ13)+($BA13*IF($G$1="牵丝",$AJ13,$AH13)+IF($G$1="牵丝",$AK13*1.5,0))*(1+$BC13)*(1+$BD13)+($BE13*IF($G$1="破竹",$AJ13,$AH13)+IF($G$1="破竹",$AK13*1.5,0))*(1+$BG13)*(1+$BH13))*(1+$AL13))*$P13*(1+IF(VLOOKUP($Q13,武学奇术!$A:$ZZ,30,FALSE)="回旋伞",$B$21,0))*(1+$BQ13)</f>
        <v>36921.9068474489</v>
      </c>
      <c r="P13" s="42">
        <v>1</v>
      </c>
      <c r="Q13" s="43" t="s">
        <v>104</v>
      </c>
      <c r="R13" s="43" t="s">
        <v>105</v>
      </c>
      <c r="S13" s="43" t="s">
        <v>91</v>
      </c>
      <c r="T13" s="43" t="s">
        <v>72</v>
      </c>
      <c r="U13" s="43" t="s">
        <v>79</v>
      </c>
      <c r="V13" s="43" t="s">
        <v>86</v>
      </c>
      <c r="W13" s="43" t="s">
        <v>93</v>
      </c>
      <c r="X13" s="43" t="s">
        <v>82</v>
      </c>
      <c r="Y13" s="43" t="s">
        <v>71</v>
      </c>
      <c r="Z13" s="43" t="s">
        <v>71</v>
      </c>
      <c r="AA13" s="43" t="s">
        <v>116</v>
      </c>
      <c r="AB13" s="43" t="s">
        <v>71</v>
      </c>
      <c r="AC13" s="43" t="s">
        <v>71</v>
      </c>
      <c r="AD13" s="43" t="s">
        <v>71</v>
      </c>
      <c r="AE13" s="43" t="s">
        <v>71</v>
      </c>
      <c r="AF13" s="43" t="s">
        <v>76</v>
      </c>
      <c r="AG13" t="str">
        <f>VLOOKUP($Q13,武学奇术!$A:$ZZ,25,FALSE)</f>
        <v>伞</v>
      </c>
      <c r="AH13" s="30">
        <f>VLOOKUP($Q13,武学奇术!$A:$ZZ,26,FALSE)</f>
        <v>1.8084</v>
      </c>
      <c r="AI13" s="31">
        <f>VLOOKUP($Q13,武学奇术!$A:$ZZ,27,FALSE)*(1+IF(OR($AG13=$F$4,$AG13=$F$5),$B$22,0))</f>
        <v>700</v>
      </c>
      <c r="AJ13" s="30">
        <f>VLOOKUP($Q13,武学奇术!$A:$ZZ,28,FALSE)</f>
        <v>2.7126</v>
      </c>
      <c r="AK13" s="31">
        <f>VLOOKUP($Q13,武学奇术!$A:$ZZ,29,FALSE)*(1+IF(OR($AG13=$F$4,$AG13=$F$5),$B$22,0))</f>
        <v>380.8</v>
      </c>
      <c r="AL13" s="30" cm="1">
        <f t="array" ref="AL13">$G$3+IFERROR(VLOOKUP($AG13,$F$4:$G$7,2,FALSE),0)+VLOOKUP($Q13,武学奇术!$A:$ZZ,2,FALSE)+SUM(_xlfn.XLOOKUP($R13:$AF13,增益!$A:$A,增益!$B:$B,0))</f>
        <v>0.8441</v>
      </c>
      <c r="AM13" s="30" cm="1">
        <f t="array" ref="AM13">VLOOKUP($Q13,武学奇术!$A:$ZZ,5,FALSE)+SUM(_xlfn.XLOOKUP($R13:$AF13,增益!$A:$A,增益!$E:$E,0))</f>
        <v>0</v>
      </c>
      <c r="AN13" cm="1">
        <f t="array" ref="AN13">$D$10*(1+$AM13)+VLOOKUP($Q13,武学奇术!$A:$ZZ,3,FALSE)+SUM(_xlfn.XLOOKUP($R13:$AF13,增益!$A:$A,增益!$C:$C,0))-$I$2</f>
        <v>3545.8</v>
      </c>
      <c r="AO13" cm="1">
        <f t="array" ref="AO13">$E$10*(1+$AM13)+VLOOKUP($Q13,武学奇术!$A:$ZZ,4,FALSE)+SUM(_xlfn.XLOOKUP($R13:$AF13,增益!$A:$A,增益!$D:$D,0))-$I$2</f>
        <v>3545.8</v>
      </c>
      <c r="AP13" s="35" cm="1">
        <f t="array" ref="AP13">IF($F$10-$I$3+VLOOKUP($Q13,武学奇术!$A:$ZZ,6,FALSE)+SUM(_xlfn.XLOOKUP(R13:AF13,增益!$A:$A,增益!$F:$F,0))&gt;0,($F$10-$I$3+VLOOKUP($Q13,武学奇术!$A:$ZZ,6,FALSE)+SUM(_xlfn.XLOOKUP(R13:AF13,增益!$A:$A,增益!$F:$F,0)))/200,($F$10-$I$3+VLOOKUP($Q13,武学奇术!$A:$ZZ,6,FALSE)+SUM(_xlfn.XLOOKUP(R13:AF13,增益!$A:$A,增益!$F:$F,0)))/100)</f>
        <v>0.3325</v>
      </c>
      <c r="AQ13" s="35" cm="1">
        <f t="array" ref="AQ13">$G$10+VLOOKUP($Q13,武学奇术!$A:$ZZ,7,FALSE)+SUM(_xlfn.XLOOKUP(R13:AF13,增益!$A:$A,增益!$G:$G,0))</f>
        <v>0.148</v>
      </c>
      <c r="AR13" s="30" cm="1">
        <f t="array" ref="AR13">VLOOKUP($Q13,武学奇术!$A:$ZZ,8,FALSE)+SUM(_xlfn.XLOOKUP(R13:AF13,增益!$A:$A,增益!$H:$H,0))</f>
        <v>0</v>
      </c>
      <c r="AS13">
        <f t="shared" si="0"/>
        <v>0</v>
      </c>
      <c r="AT13">
        <f t="shared" si="1"/>
        <v>0</v>
      </c>
      <c r="AU13" s="35" cm="1">
        <f t="array" ref="AU13">IF($F$11-$I$4+VLOOKUP($Q13,武学奇术!$A:$ZZ,9,FALSE)+SUM(_xlfn.XLOOKUP(R13:AF13,增益!$A:$A,增益!$I:$I,0))&gt;0,($F$11-$I$4+VLOOKUP($Q13,武学奇术!$A:$ZZ,9,FALSE)+SUM(_xlfn.XLOOKUP(R13:AF13,增益!$A:$A,增益!$I:$I,0)))/200,($F$11-$I$4+VLOOKUP($Q13,武学奇术!$A:$ZZ,9,FALSE)+SUM(_xlfn.XLOOKUP(R13:AF13,增益!$A:$A,增益!$I:$I,0)))/100)</f>
        <v>-0.14</v>
      </c>
      <c r="AV13" s="35" cm="1">
        <f t="array" ref="AV13">$G$11+VLOOKUP($Q13,武学奇术!$A:$ZZ,10,FALSE)+SUM(_xlfn.XLOOKUP(R13:AF13,增益!$A:$A,增益!$J:$J,0))</f>
        <v>0</v>
      </c>
      <c r="AW13">
        <f t="shared" si="2"/>
        <v>0</v>
      </c>
      <c r="AX13">
        <f t="shared" si="3"/>
        <v>0</v>
      </c>
      <c r="AY13" s="35" cm="1">
        <f t="array" ref="AY13">IF($F$12-$I$4+VLOOKUP($Q13,武学奇术!$A:$ZZ,11,FALSE)+SUM(_xlfn.XLOOKUP(R13:AF13,增益!$A:$A,增益!$K:$K,0))&gt;0,($F$12-$I$4+VLOOKUP($Q13,武学奇术!$A:$ZZ,11,FALSE)+SUM(_xlfn.XLOOKUP(R13:AF13,增益!$A:$A,增益!$K:$K,0)))/200,($F$12-$I$4+VLOOKUP($Q13,武学奇术!$A:$ZZ,11,FALSE)+SUM(_xlfn.XLOOKUP(R13:AF13,增益!$A:$A,增益!$K:$K,0)))/100)</f>
        <v>-0.14</v>
      </c>
      <c r="AZ13" s="35" cm="1">
        <f t="array" ref="AZ13">$G$12+VLOOKUP($Q13,武学奇术!$A:$ZZ,12,FALSE)+SUM(_xlfn.XLOOKUP(R13:AF13,增益!$A:$A,增益!$L:$L,0))</f>
        <v>0</v>
      </c>
      <c r="BA13">
        <f t="shared" si="4"/>
        <v>0</v>
      </c>
      <c r="BB13">
        <f t="shared" si="5"/>
        <v>0</v>
      </c>
      <c r="BC13" s="35" cm="1">
        <f t="array" ref="BC13">IF($F$13-$I$4+VLOOKUP($Q13,武学奇术!$A:$ZZ,13,FALSE)+SUM(_xlfn.XLOOKUP(R13:AF13,增益!$A:$A,增益!$M:$M,0))&gt;0,($F$13-$I$4+VLOOKUP($Q13,武学奇术!$A:$ZZ,13,FALSE)+SUM(_xlfn.XLOOKUP(R13:AF13,增益!$A:$A,增益!$K:$K,0)))/200,($F$13-$I$4+VLOOKUP($Q13,武学奇术!$A:$ZZ,13,FALSE)+SUM(_xlfn.XLOOKUP(R13:AF13,增益!$A:$A,增益!$M:$M,0)))/100)</f>
        <v>-0.14</v>
      </c>
      <c r="BD13" s="35" cm="1">
        <f t="array" ref="BD13">$G$13+VLOOKUP($Q13,武学奇术!$A:$ZZ,14,FALSE)+SUM(_xlfn.XLOOKUP(R13:AF13,增益!$A:$A,增益!$N:$N,0))</f>
        <v>0</v>
      </c>
      <c r="BE13">
        <f t="shared" si="6"/>
        <v>538</v>
      </c>
      <c r="BF13">
        <f t="shared" si="7"/>
        <v>1561.4</v>
      </c>
      <c r="BG13" s="35" cm="1">
        <f t="array" ref="BG13">IF($F$14-$I$4+VLOOKUP($Q13,武学奇术!$A:$ZZ,15,FALSE)+SUM(_xlfn.XLOOKUP(R13:AF13,增益!$A:$A,增益!$O:$O,0))&gt;0,($F$14-$I$4+VLOOKUP($Q13,武学奇术!$A:$ZZ,15,FALSE)+SUM(_xlfn.XLOOKUP(R13:AF13,增益!$A:$A,增益!$O:$O,0)))/200,($F$14-$I$4+VLOOKUP($Q13,武学奇术!$A:$ZZ,15,FALSE)+SUM(_xlfn.XLOOKUP(R13:AF13,增益!$A:$A,增益!$O:$O,0)))/100)</f>
        <v>0.08</v>
      </c>
      <c r="BH13" s="35" cm="1">
        <f t="array" ref="BH13">$G$14+VLOOKUP($Q13,武学奇术!$A:$ZZ,16,FALSE)+SUM(_xlfn.XLOOKUP(R13:AF13,增益!$A:$A,增益!$P:$P,0))</f>
        <v>0.27</v>
      </c>
      <c r="BI13" s="30">
        <f>MIN(IF(VLOOKUP($Q13,武学奇术!$A:$ZZ,23,FALSE)=1,100%,$B$8),100%)</f>
        <v>0.9712</v>
      </c>
      <c r="BJ13" s="30" cm="1">
        <f t="array" ref="BJ13">IF(VLOOKUP($Q13,武学奇术!$A:$ZZ,23,FALSE)=1,100%,MIN(80%,$B$9+VLOOKUP($Q13,武学奇术!$A:$ZZ,17,FALSE)+SUM(_xlfn.XLOOKUP(R13:AF13,增益!$A:$A,增益!$Q:$Q,0)))+$B$11+SUM(_xlfn.XLOOKUP(R13:AF13,增益!$A:$A,增益!$U:$U,0)))*IF(VLOOKUP($Q13,武学奇术!$A:$ZZ,24,FALSE)=1,0,1)</f>
        <v>0.8773</v>
      </c>
      <c r="BK13" s="30" cm="1">
        <f t="array" ref="BK13">1+$B$13+VLOOKUP($Q13,武学奇术!$A:$ZZ,18,FALSE)+SUM(_xlfn.XLOOKUP(R13:AF13,增益!$A:$A,增益!$R:$R,0))</f>
        <v>1.8</v>
      </c>
      <c r="BL13" s="30" cm="1">
        <f t="array" ref="BL13">IF(VLOOKUP($Q13,武学奇术!$A:$ZZ,24,FALSE)=1,100%,MIN(40%,$B$10+VLOOKUP($Q13,武学奇术!$A:$ZZ,19,FALSE)+SUM(_xlfn.XLOOKUP(R13:AF13,增益!$A:$A,增益!$S:$S,0)))+$B$12+SUM(_xlfn.XLOOKUP(R13:AF13,增益!$A:$A,增益!$V:$V,0)))*IF(VLOOKUP($Q13,武学奇术!$A:$ZZ,23,FALSE)=1,0,1)</f>
        <v>0.0895</v>
      </c>
      <c r="BM13" s="30" cm="1">
        <f t="array" ref="BM13">1+$B$14+VLOOKUP($Q13,武学奇术!$A:$ZZ,20,FALSE)+SUM(_xlfn.XLOOKUP(R13:AF13,增益!$A:$A,增益!$T:$T,0))</f>
        <v>1.35</v>
      </c>
      <c r="BN13" s="30">
        <f t="shared" si="8"/>
        <v>0.85203376</v>
      </c>
      <c r="BO13" s="30">
        <f t="shared" si="9"/>
        <v>0.03224384</v>
      </c>
      <c r="BP13" s="30">
        <f>IF(VLOOKUP($Q13,武学奇术!$A:$ZZ,22,FALSE)=1,0,(1-$BI13))*(1-$BL13)</f>
        <v>0.0262224</v>
      </c>
      <c r="BQ13" s="30" cm="1">
        <f t="array" ref="BQ13">SUM(_xlfn.XLOOKUP(R13:AF13,增益!$A:$A,增益!$W:$W,0))+$I$5</f>
        <v>0.11</v>
      </c>
    </row>
    <row r="14" ht="14.25" spans="1:69">
      <c r="A14" s="44" t="s">
        <v>118</v>
      </c>
      <c r="B14" s="72">
        <v>0.35</v>
      </c>
      <c r="C14" s="56" t="s">
        <v>5</v>
      </c>
      <c r="D14" s="23">
        <f>(B6+IF($G$1=$C14,B7,0))*IF($G$2="撼天",1.06,1)</f>
        <v>538</v>
      </c>
      <c r="E14" s="23">
        <f>(MAX(B6,C6)+IF($G$1=$C14,$C$7,0))*IF($G$2="撼天",1.06,1)</f>
        <v>1561.4</v>
      </c>
      <c r="F14" s="23">
        <f>D6</f>
        <v>30</v>
      </c>
      <c r="G14" s="92">
        <f>E6</f>
        <v>0.15</v>
      </c>
      <c r="H14" s="39" t="s">
        <v>119</v>
      </c>
      <c r="I14" s="75">
        <f>RD!I14</f>
        <v>117149.148546532</v>
      </c>
      <c r="J14" s="76"/>
      <c r="K14" s="41">
        <f t="shared" si="10"/>
        <v>39965.4887847254</v>
      </c>
      <c r="L14" s="41">
        <f>((($AN14+$AO14)/2*$AH14+$AI14)*(1+$AP14)*(1+$AQ14)+(($AS14+$AT14)/2*IF($G$1="鸣金",$AJ14,$AH14)+IF($G$1="鸣金",$AK14*1.5,0))*(1+$AU14)*(1+$AV14)+(($AW14+$AX14)/2*IF($G$1="裂石",$AJ14,$AH14)+IF($G$1="裂石",$AK14*1.5,0))*(1+$AY14)*(1+$AZ14)+(($BA14+$BB14)/2*IF($G$1="牵丝",$AJ14,$AH14)+IF($G$1="牵丝",$AK14*1.5,0))*(1+$BC14)*(1+$BD14)+(($BE14+$BF14)/2*IF($G$1="破竹",$AJ14,$AH14)+IF($G$1="破竹",$AK14*1.5,0))*(1+$BG14)*(1+$BH14))*(1+$AL14)*$BK14*$P14*(1+IF(VLOOKUP($Q14,武学奇术!$A:$ZZ,30,FALSE)="回旋伞",$B$21,0))*(1+$BQ14)</f>
        <v>41612.2881864248</v>
      </c>
      <c r="M14" s="41">
        <f>(($AO14*$AH14+$AI14)*(1+$AP14)*(1+$AQ14)+($AT14*IF($G$1="鸣金",$AJ14,$AH14)+IF($G$1="鸣金",$AK14*1.5,0))*(1+$AU14)*(1+$AV14)+($AX14*IF($G$1="裂石",$AJ14,$AH14)+IF($G$1="裂石",$AK14*1.5,0))*(1+$AY14)*(1+$AZ14)+($BB14*IF($G$1="牵丝",$AJ14,$AH14)+IF($G$1="牵丝",$AK14*1.5,0))*(1+$BC14)*(1+$BD14)+($BF14*IF($G$1="破竹",$AJ14,$AH14)+IF($G$1="破竹",$AK14*1.5,0))*(1+$BG14)*(1+$BH14))*(1+$AL14)*$BM14*$P14*(1+IF(VLOOKUP($Q14,武学奇术!$A:$ZZ,30,FALSE)="回旋伞",$B$21,0))*(1+$BQ14)</f>
        <v>36112.0732811031</v>
      </c>
      <c r="N14" s="41">
        <f>((($AN14+$AO14)/2*$AH14+$AI14)*(1+$AP14)*(1+$AQ14)+(($AS14+$AT14)/2*IF($G$1="鸣金",$AJ14,$AH14)+IF($G$1="鸣金",$AK14*1.5,0))*(1+$AU14)*(1+$AV14)+(($AW14+$AX14)/2*IF($G$1="裂石",$AJ14,$AH14)+IF($G$1="裂石",$AK14*1.5,0))*(1+$AY14)*(1+$AZ14)+(($BA14+$BB14)/2*IF($G$1="牵丝",$AJ14,$AH14)+IF($G$1="牵丝",$AK14*1.5,0))*(1+$BC14)*(1+$BD14)+(($BE14+$BF14)/2*IF($G$1="破竹",$AJ14,$AH14)+IF($G$1="破竹",$AK14*1.5,0))*(1+$BG14)*(1+$BH14))*(1+$AL14)*$P14*(1+IF(VLOOKUP($Q14,武学奇术!$A:$ZZ,30,FALSE)="回旋伞",$B$21,0))*(1+$BQ14)</f>
        <v>23377.6899923735</v>
      </c>
      <c r="O14" s="41">
        <f>((($AN14*$AH14+$AI14)*(1+$AP14)*(1+$AQ14)+($AS14*IF($G$1="鸣金",$AJ14,$AH14)+IF($G$1="鸣金",$AK14*1.5,0))*(1+$AU14)*(1+$AV14)+($AW14*IF($G$1="裂石",$AJ14,$AH14)+IF($G$1="裂石",$AK14*1.5,0))*(1+$AY14)*(1+$AZ14)+($BA14*IF($G$1="牵丝",$AJ14,$AH14)+IF($G$1="牵丝",$AK14*1.5,0))*(1+$BC14)*(1+$BD14)+($BE14*IF($G$1="破竹",$AJ14,$AH14)+IF($G$1="破竹",$AK14*1.5,0))*(1+$BG14)*(1+$BH14))*(1+$AL14))*$P14*(1+IF(VLOOKUP($Q14,武学奇术!$A:$ZZ,30,FALSE)="回旋伞",$B$21,0))*(1+$BQ14)</f>
        <v>20005.6960728188</v>
      </c>
      <c r="P14" s="42">
        <v>2</v>
      </c>
      <c r="Q14" s="43" t="s">
        <v>120</v>
      </c>
      <c r="R14" s="43" t="s">
        <v>105</v>
      </c>
      <c r="S14" s="43" t="s">
        <v>71</v>
      </c>
      <c r="T14" s="43" t="s">
        <v>72</v>
      </c>
      <c r="U14" s="43" t="s">
        <v>79</v>
      </c>
      <c r="V14" s="43" t="s">
        <v>74</v>
      </c>
      <c r="W14" s="43" t="s">
        <v>81</v>
      </c>
      <c r="X14" s="43" t="s">
        <v>82</v>
      </c>
      <c r="Y14" s="43" t="s">
        <v>71</v>
      </c>
      <c r="Z14" s="43" t="s">
        <v>71</v>
      </c>
      <c r="AA14" s="43" t="s">
        <v>71</v>
      </c>
      <c r="AB14" s="43" t="s">
        <v>71</v>
      </c>
      <c r="AC14" s="43" t="s">
        <v>71</v>
      </c>
      <c r="AD14" s="43" t="s">
        <v>71</v>
      </c>
      <c r="AE14" s="43" t="s">
        <v>71</v>
      </c>
      <c r="AF14" s="43" t="s">
        <v>76</v>
      </c>
      <c r="AG14" t="str">
        <f>VLOOKUP($Q14,武学奇术!$A:$ZZ,25,FALSE)</f>
        <v>伞</v>
      </c>
      <c r="AH14" s="30">
        <f>VLOOKUP($Q14,武学奇术!$A:$ZZ,26,FALSE)</f>
        <v>0.54</v>
      </c>
      <c r="AI14" s="31">
        <f>VLOOKUP($Q14,武学奇术!$A:$ZZ,27,FALSE)*(1+IF(OR($AG14=$F$4,$AG14=$F$5),$B$22,0))</f>
        <v>0</v>
      </c>
      <c r="AJ14" s="30">
        <f>VLOOKUP($Q14,武学奇术!$A:$ZZ,28,FALSE)</f>
        <v>0.81</v>
      </c>
      <c r="AK14" s="31">
        <f>VLOOKUP($Q14,武学奇术!$A:$ZZ,29,FALSE)*(1+IF(OR($AG14=$F$4,$AG14=$F$5),$B$22,0))</f>
        <v>0</v>
      </c>
      <c r="AL14" s="30" cm="1">
        <f t="array" ref="AL14">$G$3+IFERROR(VLOOKUP($AG14,$F$4:$G$7,2,FALSE),0)+VLOOKUP($Q14,武学奇术!$A:$ZZ,2,FALSE)+SUM(_xlfn.XLOOKUP($R14:$AF14,增益!$A:$A,增益!$B:$B,0))</f>
        <v>1.0241</v>
      </c>
      <c r="AM14" s="30" cm="1">
        <f t="array" ref="AM14">VLOOKUP($Q14,武学奇术!$A:$ZZ,5,FALSE)+SUM(_xlfn.XLOOKUP($R14:$AF14,增益!$A:$A,增益!$E:$E,0))</f>
        <v>0</v>
      </c>
      <c r="AN14" cm="1">
        <f t="array" ref="AN14">$D$10*(1+$AM14)+VLOOKUP($Q14,武学奇术!$A:$ZZ,3,FALSE)+SUM(_xlfn.XLOOKUP($R14:$AF14,增益!$A:$A,增益!$C:$C,0))-$I$2</f>
        <v>3545.8</v>
      </c>
      <c r="AO14" cm="1">
        <f t="array" ref="AO14">$E$10*(1+$AM14)+VLOOKUP($Q14,武学奇术!$A:$ZZ,4,FALSE)+SUM(_xlfn.XLOOKUP($R14:$AF14,增益!$A:$A,增益!$D:$D,0))-$I$2</f>
        <v>3545.8</v>
      </c>
      <c r="AP14" s="35" cm="1">
        <f t="array" ref="AP14">IF($F$10-$I$3+VLOOKUP($Q14,武学奇术!$A:$ZZ,6,FALSE)+SUM(_xlfn.XLOOKUP(R14:AF14,增益!$A:$A,增益!$F:$F,0))&gt;0,($F$10-$I$3+VLOOKUP($Q14,武学奇术!$A:$ZZ,6,FALSE)+SUM(_xlfn.XLOOKUP(R14:AF14,增益!$A:$A,增益!$F:$F,0)))/200,($F$10-$I$3+VLOOKUP($Q14,武学奇术!$A:$ZZ,6,FALSE)+SUM(_xlfn.XLOOKUP(R14:AF14,增益!$A:$A,增益!$F:$F,0)))/100)</f>
        <v>0.2625</v>
      </c>
      <c r="AQ14" s="35" cm="1">
        <f t="array" ref="AQ14">$G$10+VLOOKUP($Q14,武学奇术!$A:$ZZ,7,FALSE)+SUM(_xlfn.XLOOKUP(R14:AF14,增益!$A:$A,增益!$G:$G,0))</f>
        <v>0.148</v>
      </c>
      <c r="AR14" s="30" cm="1">
        <f t="array" ref="AR14">VLOOKUP($Q14,武学奇术!$A:$ZZ,8,FALSE)+SUM(_xlfn.XLOOKUP(R14:AF14,增益!$A:$A,增益!$H:$H,0))</f>
        <v>0</v>
      </c>
      <c r="AS14">
        <f t="shared" si="0"/>
        <v>0</v>
      </c>
      <c r="AT14">
        <f t="shared" si="1"/>
        <v>0</v>
      </c>
      <c r="AU14" s="35" cm="1">
        <f t="array" ref="AU14">IF($F$11-$I$4+VLOOKUP($Q14,武学奇术!$A:$ZZ,9,FALSE)+SUM(_xlfn.XLOOKUP(R14:AF14,增益!$A:$A,增益!$I:$I,0))&gt;0,($F$11-$I$4+VLOOKUP($Q14,武学奇术!$A:$ZZ,9,FALSE)+SUM(_xlfn.XLOOKUP(R14:AF14,增益!$A:$A,增益!$I:$I,0)))/200,($F$11-$I$4+VLOOKUP($Q14,武学奇术!$A:$ZZ,9,FALSE)+SUM(_xlfn.XLOOKUP(R14:AF14,增益!$A:$A,增益!$I:$I,0)))/100)</f>
        <v>-0.14</v>
      </c>
      <c r="AV14" s="35" cm="1">
        <f t="array" ref="AV14">$G$11+VLOOKUP($Q14,武学奇术!$A:$ZZ,10,FALSE)+SUM(_xlfn.XLOOKUP(R14:AF14,增益!$A:$A,增益!$J:$J,0))</f>
        <v>0</v>
      </c>
      <c r="AW14">
        <f t="shared" si="2"/>
        <v>0</v>
      </c>
      <c r="AX14">
        <f t="shared" si="3"/>
        <v>0</v>
      </c>
      <c r="AY14" s="35" cm="1">
        <f t="array" ref="AY14">IF($F$12-$I$4+VLOOKUP($Q14,武学奇术!$A:$ZZ,11,FALSE)+SUM(_xlfn.XLOOKUP(R14:AF14,增益!$A:$A,增益!$K:$K,0))&gt;0,($F$12-$I$4+VLOOKUP($Q14,武学奇术!$A:$ZZ,11,FALSE)+SUM(_xlfn.XLOOKUP(R14:AF14,增益!$A:$A,增益!$K:$K,0)))/200,($F$12-$I$4+VLOOKUP($Q14,武学奇术!$A:$ZZ,11,FALSE)+SUM(_xlfn.XLOOKUP(R14:AF14,增益!$A:$A,增益!$K:$K,0)))/100)</f>
        <v>-0.14</v>
      </c>
      <c r="AZ14" s="35" cm="1">
        <f t="array" ref="AZ14">$G$12+VLOOKUP($Q14,武学奇术!$A:$ZZ,12,FALSE)+SUM(_xlfn.XLOOKUP(R14:AF14,增益!$A:$A,增益!$L:$L,0))</f>
        <v>0</v>
      </c>
      <c r="BA14">
        <f t="shared" si="4"/>
        <v>0</v>
      </c>
      <c r="BB14">
        <f t="shared" si="5"/>
        <v>0</v>
      </c>
      <c r="BC14" s="35" cm="1">
        <f t="array" ref="BC14">IF($F$13-$I$4+VLOOKUP($Q14,武学奇术!$A:$ZZ,13,FALSE)+SUM(_xlfn.XLOOKUP(R14:AF14,增益!$A:$A,增益!$M:$M,0))&gt;0,($F$13-$I$4+VLOOKUP($Q14,武学奇术!$A:$ZZ,13,FALSE)+SUM(_xlfn.XLOOKUP(R14:AF14,增益!$A:$A,增益!$K:$K,0)))/200,($F$13-$I$4+VLOOKUP($Q14,武学奇术!$A:$ZZ,13,FALSE)+SUM(_xlfn.XLOOKUP(R14:AF14,增益!$A:$A,增益!$M:$M,0)))/100)</f>
        <v>-0.14</v>
      </c>
      <c r="BD14" s="35" cm="1">
        <f t="array" ref="BD14">$G$13+VLOOKUP($Q14,武学奇术!$A:$ZZ,14,FALSE)+SUM(_xlfn.XLOOKUP(R14:AF14,增益!$A:$A,增益!$N:$N,0))</f>
        <v>0</v>
      </c>
      <c r="BE14">
        <f t="shared" si="6"/>
        <v>538</v>
      </c>
      <c r="BF14">
        <f t="shared" si="7"/>
        <v>1561.4</v>
      </c>
      <c r="BG14" s="35" cm="1">
        <f t="array" ref="BG14">IF($F$14-$I$4+VLOOKUP($Q14,武学奇术!$A:$ZZ,15,FALSE)+SUM(_xlfn.XLOOKUP(R14:AF14,增益!$A:$A,增益!$O:$O,0))&gt;0,($F$14-$I$4+VLOOKUP($Q14,武学奇术!$A:$ZZ,15,FALSE)+SUM(_xlfn.XLOOKUP(R14:AF14,增益!$A:$A,增益!$O:$O,0)))/200,($F$14-$I$4+VLOOKUP($Q14,武学奇术!$A:$ZZ,15,FALSE)+SUM(_xlfn.XLOOKUP(R14:AF14,增益!$A:$A,增益!$O:$O,0)))/100)</f>
        <v>0.08</v>
      </c>
      <c r="BH14" s="35" cm="1">
        <f t="array" ref="BH14">$G$14+VLOOKUP($Q14,武学奇术!$A:$ZZ,16,FALSE)+SUM(_xlfn.XLOOKUP(R14:AF14,增益!$A:$A,增益!$P:$P,0))</f>
        <v>0.27</v>
      </c>
      <c r="BI14" s="30">
        <f>MIN(IF(VLOOKUP($Q14,武学奇术!$A:$ZZ,23,FALSE)=1,100%,$B$8),100%)</f>
        <v>0.9712</v>
      </c>
      <c r="BJ14" s="30" cm="1">
        <f t="array" ref="BJ14">IF(VLOOKUP($Q14,武学奇术!$A:$ZZ,23,FALSE)=1,100%,MIN(80%,$B$9+VLOOKUP($Q14,武学奇术!$A:$ZZ,17,FALSE)+SUM(_xlfn.XLOOKUP(R14:AF14,增益!$A:$A,增益!$Q:$Q,0)))+$B$11+SUM(_xlfn.XLOOKUP(R14:AF14,增益!$A:$A,增益!$U:$U,0)))*IF(VLOOKUP($Q14,武学奇术!$A:$ZZ,24,FALSE)=1,0,1)</f>
        <v>0.8773</v>
      </c>
      <c r="BK14" s="30" cm="1">
        <f t="array" ref="BK14">1+$B$13+VLOOKUP($Q14,武学奇术!$A:$ZZ,18,FALSE)+SUM(_xlfn.XLOOKUP(R14:AF14,增益!$A:$A,增益!$R:$R,0))</f>
        <v>1.78</v>
      </c>
      <c r="BL14" s="30" cm="1">
        <f t="array" ref="BL14">IF(VLOOKUP($Q14,武学奇术!$A:$ZZ,24,FALSE)=1,100%,MIN(40%,$B$10+VLOOKUP($Q14,武学奇术!$A:$ZZ,19,FALSE)+SUM(_xlfn.XLOOKUP(R14:AF14,增益!$A:$A,增益!$S:$S,0)))+$B$12+SUM(_xlfn.XLOOKUP(R14:AF14,增益!$A:$A,增益!$V:$V,0)))*IF(VLOOKUP($Q14,武学奇术!$A:$ZZ,23,FALSE)=1,0,1)</f>
        <v>0.0895</v>
      </c>
      <c r="BM14" s="30" cm="1">
        <f t="array" ref="BM14">1+$B$14+VLOOKUP($Q14,武学奇术!$A:$ZZ,20,FALSE)+SUM(_xlfn.XLOOKUP(R14:AF14,增益!$A:$A,增益!$T:$T,0))</f>
        <v>1.35</v>
      </c>
      <c r="BN14" s="30">
        <f t="shared" si="8"/>
        <v>0.85203376</v>
      </c>
      <c r="BO14" s="30">
        <f t="shared" si="9"/>
        <v>0.03224384</v>
      </c>
      <c r="BP14" s="30">
        <f>IF(VLOOKUP($Q14,武学奇术!$A:$ZZ,22,FALSE)=1,0,(1-$BI14))*(1-$BL14)</f>
        <v>0.0262224</v>
      </c>
      <c r="BQ14" s="30" cm="1">
        <f t="array" ref="BQ14">SUM(_xlfn.XLOOKUP(R14:AF14,增益!$A:$A,增益!$W:$W,0))+$I$5</f>
        <v>0.11</v>
      </c>
    </row>
    <row r="15" ht="14.25" spans="1:69">
      <c r="A15" s="44" t="s">
        <v>121</v>
      </c>
      <c r="B15" s="72">
        <v>0.0852</v>
      </c>
      <c r="C15" s="42" t="s">
        <v>122</v>
      </c>
      <c r="D15" s="42"/>
      <c r="F15" s="81"/>
      <c r="H15" s="82"/>
      <c r="I15" s="77"/>
      <c r="J15" s="78"/>
      <c r="K15" s="41">
        <f t="shared" si="10"/>
        <v>40609.1199235785</v>
      </c>
      <c r="L15" s="41">
        <f>((($AN15+$AO15)/2*$AH15+$AI15)*(1+$AP15)*(1+$AQ15)+(($AS15+$AT15)/2*IF($G$1="鸣金",$AJ15,$AH15)+IF($G$1="鸣金",$AK15*1.5,0))*(1+$AU15)*(1+$AV15)+(($AW15+$AX15)/2*IF($G$1="裂石",$AJ15,$AH15)+IF($G$1="裂石",$AK15*1.5,0))*(1+$AY15)*(1+$AZ15)+(($BA15+$BB15)/2*IF($G$1="牵丝",$AJ15,$AH15)+IF($G$1="牵丝",$AK15*1.5,0))*(1+$BC15)*(1+$BD15)+(($BE15+$BF15)/2*IF($G$1="破竹",$AJ15,$AH15)+IF($G$1="破竹",$AK15*1.5,0))*(1+$BG15)*(1+$BH15))*(1+$AL15)*$BK15*$P15*(1+IF(VLOOKUP($Q15,武学奇术!$A:$ZZ,30,FALSE)="回旋伞",$B$21,0))*(1+$BQ15)</f>
        <v>42312.823097594</v>
      </c>
      <c r="M15" s="41">
        <f>(($AO15*$AH15+$AI15)*(1+$AP15)*(1+$AQ15)+($AT15*IF($G$1="鸣金",$AJ15,$AH15)+IF($G$1="鸣金",$AK15*1.5,0))*(1+$AU15)*(1+$AV15)+($AX15*IF($G$1="裂石",$AJ15,$AH15)+IF($G$1="裂石",$AK15*1.5,0))*(1+$AY15)*(1+$AZ15)+($BB15*IF($G$1="牵丝",$AJ15,$AH15)+IF($G$1="牵丝",$AK15*1.5,0))*(1+$BC15)*(1+$BD15)+($BF15*IF($G$1="破竹",$AJ15,$AH15)+IF($G$1="破竹",$AK15*1.5,0))*(1+$BG15)*(1+$BH15))*(1+$AL15)*$BM15*$P15*(1+IF(VLOOKUP($Q15,武学奇术!$A:$ZZ,30,FALSE)="回旋伞",$B$21,0))*(1+$BQ15)</f>
        <v>36464.0974795284</v>
      </c>
      <c r="N15" s="41">
        <f>((($AN15+$AO15)/2*$AH15+$AI15)*(1+$AP15)*(1+$AQ15)+(($AS15+$AT15)/2*IF($G$1="鸣金",$AJ15,$AH15)+IF($G$1="鸣金",$AK15*1.5,0))*(1+$AU15)*(1+$AV15)+(($AW15+$AX15)/2*IF($G$1="裂石",$AJ15,$AH15)+IF($G$1="裂石",$AK15*1.5,0))*(1+$AY15)*(1+$AZ15)+(($BA15+$BB15)/2*IF($G$1="牵丝",$AJ15,$AH15)+IF($G$1="牵丝",$AK15*1.5,0))*(1+$BC15)*(1+$BD15)+(($BE15+$BF15)/2*IF($G$1="破竹",$AJ15,$AH15)+IF($G$1="破竹",$AK15*1.5,0))*(1+$BG15)*(1+$BH15))*(1+$AL15)*$P15*(1+IF(VLOOKUP($Q15,武学奇术!$A:$ZZ,30,FALSE)="回旋伞",$B$21,0))*(1+$BQ15)</f>
        <v>23638.4486578738</v>
      </c>
      <c r="O15" s="41">
        <f>((($AN15*$AH15+$AI15)*(1+$AP15)*(1+$AQ15)+($AS15*IF($G$1="鸣金",$AJ15,$AH15)+IF($G$1="鸣金",$AK15*1.5,0))*(1+$AU15)*(1+$AV15)+($AW15*IF($G$1="裂石",$AJ15,$AH15)+IF($G$1="裂石",$AK15*1.5,0))*(1+$AY15)*(1+$AZ15)+($BA15*IF($G$1="牵丝",$AJ15,$AH15)+IF($G$1="牵丝",$AK15*1.5,0))*(1+$BC15)*(1+$BD15)+($BE15*IF($G$1="破竹",$AJ15,$AH15)+IF($G$1="破竹",$AK15*1.5,0))*(1+$BG15)*(1+$BH15))*(1+$AL15))*$P15*(1+IF(VLOOKUP($Q15,武学奇术!$A:$ZZ,30,FALSE)="回旋伞",$B$21,0))*(1+$BQ15)</f>
        <v>20266.4547383191</v>
      </c>
      <c r="P15" s="42">
        <v>2</v>
      </c>
      <c r="Q15" s="43" t="s">
        <v>120</v>
      </c>
      <c r="R15" s="43" t="s">
        <v>105</v>
      </c>
      <c r="S15" s="43" t="s">
        <v>108</v>
      </c>
      <c r="T15" s="43" t="s">
        <v>72</v>
      </c>
      <c r="U15" s="43" t="s">
        <v>79</v>
      </c>
      <c r="V15" s="43" t="s">
        <v>80</v>
      </c>
      <c r="W15" s="43" t="s">
        <v>81</v>
      </c>
      <c r="X15" s="43" t="s">
        <v>82</v>
      </c>
      <c r="Y15" s="43" t="s">
        <v>71</v>
      </c>
      <c r="Z15" s="43" t="s">
        <v>71</v>
      </c>
      <c r="AA15" s="43" t="s">
        <v>109</v>
      </c>
      <c r="AB15" s="43" t="s">
        <v>71</v>
      </c>
      <c r="AC15" s="43" t="s">
        <v>71</v>
      </c>
      <c r="AD15" s="43" t="s">
        <v>71</v>
      </c>
      <c r="AE15" s="43" t="s">
        <v>71</v>
      </c>
      <c r="AF15" s="43" t="s">
        <v>76</v>
      </c>
      <c r="AG15" t="str">
        <f>VLOOKUP($Q15,武学奇术!$A:$ZZ,25,FALSE)</f>
        <v>伞</v>
      </c>
      <c r="AH15" s="30">
        <f>VLOOKUP($Q15,武学奇术!$A:$ZZ,26,FALSE)</f>
        <v>0.54</v>
      </c>
      <c r="AI15" s="31">
        <f>VLOOKUP($Q15,武学奇术!$A:$ZZ,27,FALSE)*(1+IF(OR($AG15=$F$4,$AG15=$F$5),$B$22,0))</f>
        <v>0</v>
      </c>
      <c r="AJ15" s="30">
        <f>VLOOKUP($Q15,武学奇术!$A:$ZZ,28,FALSE)</f>
        <v>0.81</v>
      </c>
      <c r="AK15" s="31">
        <f>VLOOKUP($Q15,武学奇术!$A:$ZZ,29,FALSE)*(1+IF(OR($AG15=$F$4,$AG15=$F$5),$B$22,0))</f>
        <v>0</v>
      </c>
      <c r="AL15" s="30" cm="1">
        <f t="array" ref="AL15">$G$3+IFERROR(VLOOKUP($AG15,$F$4:$G$7,2,FALSE),0)+VLOOKUP($Q15,武学奇术!$A:$ZZ,2,FALSE)+SUM(_xlfn.XLOOKUP($R15:$AF15,增益!$A:$A,增益!$B:$B,0))</f>
        <v>1.0241</v>
      </c>
      <c r="AM15" s="30" cm="1">
        <f t="array" ref="AM15">VLOOKUP($Q15,武学奇术!$A:$ZZ,5,FALSE)+SUM(_xlfn.XLOOKUP($R15:$AF15,增益!$A:$A,增益!$E:$E,0))</f>
        <v>0</v>
      </c>
      <c r="AN15" cm="1">
        <f t="array" ref="AN15">$D$10*(1+$AM15)+VLOOKUP($Q15,武学奇术!$A:$ZZ,3,FALSE)+SUM(_xlfn.XLOOKUP($R15:$AF15,增益!$A:$A,增益!$C:$C,0))-$I$2</f>
        <v>3545.8</v>
      </c>
      <c r="AO15" cm="1">
        <f t="array" ref="AO15">$E$10*(1+$AM15)+VLOOKUP($Q15,武学奇术!$A:$ZZ,4,FALSE)+SUM(_xlfn.XLOOKUP($R15:$AF15,增益!$A:$A,增益!$D:$D,0))-$I$2</f>
        <v>3545.8</v>
      </c>
      <c r="AP15" s="35" cm="1">
        <f t="array" ref="AP15">IF($F$10-$I$3+VLOOKUP($Q15,武学奇术!$A:$ZZ,6,FALSE)+SUM(_xlfn.XLOOKUP(R15:AF15,增益!$A:$A,增益!$F:$F,0))&gt;0,($F$10-$I$3+VLOOKUP($Q15,武学奇术!$A:$ZZ,6,FALSE)+SUM(_xlfn.XLOOKUP(R15:AF15,增益!$A:$A,增益!$F:$F,0)))/200,($F$10-$I$3+VLOOKUP($Q15,武学奇术!$A:$ZZ,6,FALSE)+SUM(_xlfn.XLOOKUP(R15:AF15,增益!$A:$A,增益!$F:$F,0)))/100)</f>
        <v>0.2825</v>
      </c>
      <c r="AQ15" s="35" cm="1">
        <f t="array" ref="AQ15">$G$10+VLOOKUP($Q15,武学奇术!$A:$ZZ,7,FALSE)+SUM(_xlfn.XLOOKUP(R15:AF15,增益!$A:$A,增益!$G:$G,0))</f>
        <v>0.148</v>
      </c>
      <c r="AR15" s="30" cm="1">
        <f t="array" ref="AR15">VLOOKUP($Q15,武学奇术!$A:$ZZ,8,FALSE)+SUM(_xlfn.XLOOKUP(R15:AF15,增益!$A:$A,增益!$H:$H,0))</f>
        <v>0</v>
      </c>
      <c r="AS15">
        <f t="shared" si="0"/>
        <v>0</v>
      </c>
      <c r="AT15">
        <f t="shared" si="1"/>
        <v>0</v>
      </c>
      <c r="AU15" s="35" cm="1">
        <f t="array" ref="AU15">IF($F$11-$I$4+VLOOKUP($Q15,武学奇术!$A:$ZZ,9,FALSE)+SUM(_xlfn.XLOOKUP(R15:AF15,增益!$A:$A,增益!$I:$I,0))&gt;0,($F$11-$I$4+VLOOKUP($Q15,武学奇术!$A:$ZZ,9,FALSE)+SUM(_xlfn.XLOOKUP(R15:AF15,增益!$A:$A,增益!$I:$I,0)))/200,($F$11-$I$4+VLOOKUP($Q15,武学奇术!$A:$ZZ,9,FALSE)+SUM(_xlfn.XLOOKUP(R15:AF15,增益!$A:$A,增益!$I:$I,0)))/100)</f>
        <v>-0.14</v>
      </c>
      <c r="AV15" s="35" cm="1">
        <f t="array" ref="AV15">$G$11+VLOOKUP($Q15,武学奇术!$A:$ZZ,10,FALSE)+SUM(_xlfn.XLOOKUP(R15:AF15,增益!$A:$A,增益!$J:$J,0))</f>
        <v>0</v>
      </c>
      <c r="AW15">
        <f t="shared" si="2"/>
        <v>0</v>
      </c>
      <c r="AX15">
        <f t="shared" si="3"/>
        <v>0</v>
      </c>
      <c r="AY15" s="35" cm="1">
        <f t="array" ref="AY15">IF($F$12-$I$4+VLOOKUP($Q15,武学奇术!$A:$ZZ,11,FALSE)+SUM(_xlfn.XLOOKUP(R15:AF15,增益!$A:$A,增益!$K:$K,0))&gt;0,($F$12-$I$4+VLOOKUP($Q15,武学奇术!$A:$ZZ,11,FALSE)+SUM(_xlfn.XLOOKUP(R15:AF15,增益!$A:$A,增益!$K:$K,0)))/200,($F$12-$I$4+VLOOKUP($Q15,武学奇术!$A:$ZZ,11,FALSE)+SUM(_xlfn.XLOOKUP(R15:AF15,增益!$A:$A,增益!$K:$K,0)))/100)</f>
        <v>-0.14</v>
      </c>
      <c r="AZ15" s="35" cm="1">
        <f t="array" ref="AZ15">$G$12+VLOOKUP($Q15,武学奇术!$A:$ZZ,12,FALSE)+SUM(_xlfn.XLOOKUP(R15:AF15,增益!$A:$A,增益!$L:$L,0))</f>
        <v>0</v>
      </c>
      <c r="BA15">
        <f t="shared" si="4"/>
        <v>0</v>
      </c>
      <c r="BB15">
        <f t="shared" si="5"/>
        <v>0</v>
      </c>
      <c r="BC15" s="35" cm="1">
        <f t="array" ref="BC15">IF($F$13-$I$4+VLOOKUP($Q15,武学奇术!$A:$ZZ,13,FALSE)+SUM(_xlfn.XLOOKUP(R15:AF15,增益!$A:$A,增益!$M:$M,0))&gt;0,($F$13-$I$4+VLOOKUP($Q15,武学奇术!$A:$ZZ,13,FALSE)+SUM(_xlfn.XLOOKUP(R15:AF15,增益!$A:$A,增益!$K:$K,0)))/200,($F$13-$I$4+VLOOKUP($Q15,武学奇术!$A:$ZZ,13,FALSE)+SUM(_xlfn.XLOOKUP(R15:AF15,增益!$A:$A,增益!$M:$M,0)))/100)</f>
        <v>-0.14</v>
      </c>
      <c r="BD15" s="35" cm="1">
        <f t="array" ref="BD15">$G$13+VLOOKUP($Q15,武学奇术!$A:$ZZ,14,FALSE)+SUM(_xlfn.XLOOKUP(R15:AF15,增益!$A:$A,增益!$N:$N,0))</f>
        <v>0</v>
      </c>
      <c r="BE15">
        <f t="shared" si="6"/>
        <v>538</v>
      </c>
      <c r="BF15">
        <f t="shared" si="7"/>
        <v>1561.4</v>
      </c>
      <c r="BG15" s="35" cm="1">
        <f t="array" ref="BG15">IF($F$14-$I$4+VLOOKUP($Q15,武学奇术!$A:$ZZ,15,FALSE)+SUM(_xlfn.XLOOKUP(R15:AF15,增益!$A:$A,增益!$O:$O,0))&gt;0,($F$14-$I$4+VLOOKUP($Q15,武学奇术!$A:$ZZ,15,FALSE)+SUM(_xlfn.XLOOKUP(R15:AF15,增益!$A:$A,增益!$O:$O,0)))/200,($F$14-$I$4+VLOOKUP($Q15,武学奇术!$A:$ZZ,15,FALSE)+SUM(_xlfn.XLOOKUP(R15:AF15,增益!$A:$A,增益!$O:$O,0)))/100)</f>
        <v>0.08</v>
      </c>
      <c r="BH15" s="35" cm="1">
        <f t="array" ref="BH15">$G$14+VLOOKUP($Q15,武学奇术!$A:$ZZ,16,FALSE)+SUM(_xlfn.XLOOKUP(R15:AF15,增益!$A:$A,增益!$P:$P,0))</f>
        <v>0.27</v>
      </c>
      <c r="BI15" s="30">
        <f>MIN(IF(VLOOKUP($Q15,武学奇术!$A:$ZZ,23,FALSE)=1,100%,$B$8),100%)</f>
        <v>0.9712</v>
      </c>
      <c r="BJ15" s="30" cm="1">
        <f t="array" ref="BJ15">IF(VLOOKUP($Q15,武学奇术!$A:$ZZ,23,FALSE)=1,100%,MIN(80%,$B$9+VLOOKUP($Q15,武学奇术!$A:$ZZ,17,FALSE)+SUM(_xlfn.XLOOKUP(R15:AF15,增益!$A:$A,增益!$Q:$Q,0)))+$B$11+SUM(_xlfn.XLOOKUP(R15:AF15,增益!$A:$A,增益!$U:$U,0)))*IF(VLOOKUP($Q15,武学奇术!$A:$ZZ,24,FALSE)=1,0,1)</f>
        <v>0.8773</v>
      </c>
      <c r="BK15" s="30" cm="1">
        <f t="array" ref="BK15">1+$B$13+VLOOKUP($Q15,武学奇术!$A:$ZZ,18,FALSE)+SUM(_xlfn.XLOOKUP(R15:AF15,增益!$A:$A,增益!$R:$R,0))</f>
        <v>1.79</v>
      </c>
      <c r="BL15" s="30" cm="1">
        <f t="array" ref="BL15">IF(VLOOKUP($Q15,武学奇术!$A:$ZZ,24,FALSE)=1,100%,MIN(40%,$B$10+VLOOKUP($Q15,武学奇术!$A:$ZZ,19,FALSE)+SUM(_xlfn.XLOOKUP(R15:AF15,增益!$A:$A,增益!$S:$S,0)))+$B$12+SUM(_xlfn.XLOOKUP(R15:AF15,增益!$A:$A,增益!$V:$V,0)))*IF(VLOOKUP($Q15,武学奇术!$A:$ZZ,23,FALSE)=1,0,1)</f>
        <v>0.0895</v>
      </c>
      <c r="BM15" s="30" cm="1">
        <f t="array" ref="BM15">1+$B$14+VLOOKUP($Q15,武学奇术!$A:$ZZ,20,FALSE)+SUM(_xlfn.XLOOKUP(R15:AF15,增益!$A:$A,增益!$T:$T,0))</f>
        <v>1.35</v>
      </c>
      <c r="BN15" s="30">
        <f t="shared" si="8"/>
        <v>0.85203376</v>
      </c>
      <c r="BO15" s="30">
        <f t="shared" si="9"/>
        <v>0.03224384</v>
      </c>
      <c r="BP15" s="30">
        <f>IF(VLOOKUP($Q15,武学奇术!$A:$ZZ,22,FALSE)=1,0,(1-$BI15))*(1-$BL15)</f>
        <v>0.0262224</v>
      </c>
      <c r="BQ15" s="30" cm="1">
        <f t="array" ref="BQ15">SUM(_xlfn.XLOOKUP(R15:AF15,增益!$A:$A,增益!$W:$W,0))+$I$5</f>
        <v>0.11</v>
      </c>
    </row>
    <row r="16" spans="1:69">
      <c r="A16" s="44" t="s">
        <v>123</v>
      </c>
      <c r="B16" s="72">
        <v>0.0887</v>
      </c>
      <c r="C16" s="42" t="s">
        <v>124</v>
      </c>
      <c r="D16" s="81" t="s">
        <v>125</v>
      </c>
      <c r="E16" s="42" t="s">
        <v>126</v>
      </c>
      <c r="F16" s="81" t="s">
        <v>125</v>
      </c>
      <c r="H16" s="70" t="s">
        <v>127</v>
      </c>
      <c r="I16" s="83">
        <f>I12/120448.31</f>
        <v>1.00000003225239</v>
      </c>
      <c r="J16" s="84"/>
      <c r="K16" s="41">
        <f t="shared" si="10"/>
        <v>41479.7095985861</v>
      </c>
      <c r="L16" s="41">
        <f>((($AN16+$AO16)/2*$AH16+$AI16)*(1+$AP16)*(1+$AQ16)+(($AS16+$AT16)/2*IF($G$1="鸣金",$AJ16,$AH16)+IF($G$1="鸣金",$AK16*1.5,0))*(1+$AU16)*(1+$AV16)+(($AW16+$AX16)/2*IF($G$1="裂石",$AJ16,$AH16)+IF($G$1="裂石",$AK16*1.5,0))*(1+$AY16)*(1+$AZ16)+(($BA16+$BB16)/2*IF($G$1="牵丝",$AJ16,$AH16)+IF($G$1="牵丝",$AK16*1.5,0))*(1+$BC16)*(1+$BD16)+(($BE16+$BF16)/2*IF($G$1="破竹",$AJ16,$AH16)+IF($G$1="破竹",$AK16*1.5,0))*(1+$BG16)*(1+$BH16))*(1+$AL16)*$BK16*$P16*(1+IF(VLOOKUP($Q16,武学奇术!$A:$ZZ,30,FALSE)="回旋伞",$B$21,0))*(1+$BQ16)</f>
        <v>43225.464240318</v>
      </c>
      <c r="M16" s="41">
        <f>(($AO16*$AH16+$AI16)*(1+$AP16)*(1+$AQ16)+($AT16*IF($G$1="鸣金",$AJ16,$AH16)+IF($G$1="鸣金",$AK16*1.5,0))*(1+$AU16)*(1+$AV16)+($AX16*IF($G$1="裂石",$AJ16,$AH16)+IF($G$1="裂石",$AK16*1.5,0))*(1+$AY16)*(1+$AZ16)+($BB16*IF($G$1="牵丝",$AJ16,$AH16)+IF($G$1="牵丝",$AK16*1.5,0))*(1+$BC16)*(1+$BD16)+($BF16*IF($G$1="破竹",$AJ16,$AH16)+IF($G$1="破竹",$AK16*1.5,0))*(1+$BG16)*(1+$BH16))*(1+$AL16)*$BM16*$P16*(1+IF(VLOOKUP($Q16,武学奇术!$A:$ZZ,30,FALSE)="回旋伞",$B$21,0))*(1+$BQ16)</f>
        <v>37174.8922069732</v>
      </c>
      <c r="N16" s="41">
        <f>((($AN16+$AO16)/2*$AH16+$AI16)*(1+$AP16)*(1+$AQ16)+(($AS16+$AT16)/2*IF($G$1="鸣金",$AJ16,$AH16)+IF($G$1="鸣金",$AK16*1.5,0))*(1+$AU16)*(1+$AV16)+(($AW16+$AX16)/2*IF($G$1="裂石",$AJ16,$AH16)+IF($G$1="裂石",$AK16*1.5,0))*(1+$AY16)*(1+$AZ16)+(($BA16+$BB16)/2*IF($G$1="牵丝",$AJ16,$AH16)+IF($G$1="牵丝",$AK16*1.5,0))*(1+$BC16)*(1+$BD16)+(($BE16+$BF16)/2*IF($G$1="破竹",$AJ16,$AH16)+IF($G$1="破竹",$AK16*1.5,0))*(1+$BG16)*(1+$BH16))*(1+$AL16)*$P16*(1+IF(VLOOKUP($Q16,武学奇术!$A:$ZZ,30,FALSE)="回旋伞",$B$21,0))*(1+$BQ16)</f>
        <v>24148.3040448704</v>
      </c>
      <c r="O16" s="41">
        <f>((($AN16*$AH16+$AI16)*(1+$AP16)*(1+$AQ16)+($AS16*IF($G$1="鸣金",$AJ16,$AH16)+IF($G$1="鸣金",$AK16*1.5,0))*(1+$AU16)*(1+$AV16)+($AW16*IF($G$1="裂石",$AJ16,$AH16)+IF($G$1="裂石",$AK16*1.5,0))*(1+$AY16)*(1+$AZ16)+($BA16*IF($G$1="牵丝",$AJ16,$AH16)+IF($G$1="牵丝",$AK16*1.5,0))*(1+$BC16)*(1+$BD16)+($BE16*IF($G$1="破竹",$AJ16,$AH16)+IF($G$1="破竹",$AK16*1.5,0))*(1+$BG16)*(1+$BH16))*(1+$AL16))*$P16*(1+IF(VLOOKUP($Q16,武学奇术!$A:$ZZ,30,FALSE)="回旋伞",$B$21,0))*(1+$BQ16)</f>
        <v>20759.6508993903</v>
      </c>
      <c r="P16" s="42">
        <v>2</v>
      </c>
      <c r="Q16" s="43" t="s">
        <v>120</v>
      </c>
      <c r="R16" s="43" t="s">
        <v>105</v>
      </c>
      <c r="S16" s="43" t="s">
        <v>111</v>
      </c>
      <c r="T16" s="43" t="s">
        <v>72</v>
      </c>
      <c r="U16" s="43" t="s">
        <v>79</v>
      </c>
      <c r="V16" s="43" t="s">
        <v>80</v>
      </c>
      <c r="W16" s="43" t="s">
        <v>87</v>
      </c>
      <c r="X16" s="43" t="s">
        <v>82</v>
      </c>
      <c r="Y16" s="43" t="s">
        <v>71</v>
      </c>
      <c r="Z16" s="43" t="s">
        <v>71</v>
      </c>
      <c r="AA16" s="43" t="s">
        <v>112</v>
      </c>
      <c r="AB16" s="43" t="s">
        <v>71</v>
      </c>
      <c r="AC16" s="43" t="s">
        <v>71</v>
      </c>
      <c r="AD16" s="43" t="s">
        <v>71</v>
      </c>
      <c r="AE16" s="43" t="s">
        <v>71</v>
      </c>
      <c r="AF16" s="43" t="s">
        <v>76</v>
      </c>
      <c r="AG16" t="str">
        <f>VLOOKUP($Q16,武学奇术!$A:$ZZ,25,FALSE)</f>
        <v>伞</v>
      </c>
      <c r="AH16" s="30">
        <f>VLOOKUP($Q16,武学奇术!$A:$ZZ,26,FALSE)</f>
        <v>0.54</v>
      </c>
      <c r="AI16" s="31">
        <f>VLOOKUP($Q16,武学奇术!$A:$ZZ,27,FALSE)*(1+IF(OR($AG16=$F$4,$AG16=$F$5),$B$22,0))</f>
        <v>0</v>
      </c>
      <c r="AJ16" s="30">
        <f>VLOOKUP($Q16,武学奇术!$A:$ZZ,28,FALSE)</f>
        <v>0.81</v>
      </c>
      <c r="AK16" s="31">
        <f>VLOOKUP($Q16,武学奇术!$A:$ZZ,29,FALSE)*(1+IF(OR($AG16=$F$4,$AG16=$F$5),$B$22,0))</f>
        <v>0</v>
      </c>
      <c r="AL16" s="30" cm="1">
        <f t="array" ref="AL16">$G$3+IFERROR(VLOOKUP($AG16,$F$4:$G$7,2,FALSE),0)+VLOOKUP($Q16,武学奇术!$A:$ZZ,2,FALSE)+SUM(_xlfn.XLOOKUP($R16:$AF16,增益!$A:$A,增益!$B:$B,0))</f>
        <v>1.0341</v>
      </c>
      <c r="AM16" s="30" cm="1">
        <f t="array" ref="AM16">VLOOKUP($Q16,武学奇术!$A:$ZZ,5,FALSE)+SUM(_xlfn.XLOOKUP($R16:$AF16,增益!$A:$A,增益!$E:$E,0))</f>
        <v>0</v>
      </c>
      <c r="AN16" cm="1">
        <f t="array" ref="AN16">$D$10*(1+$AM16)+VLOOKUP($Q16,武学奇术!$A:$ZZ,3,FALSE)+SUM(_xlfn.XLOOKUP($R16:$AF16,增益!$A:$A,增益!$C:$C,0))-$I$2</f>
        <v>3545.8</v>
      </c>
      <c r="AO16" cm="1">
        <f t="array" ref="AO16">$E$10*(1+$AM16)+VLOOKUP($Q16,武学奇术!$A:$ZZ,4,FALSE)+SUM(_xlfn.XLOOKUP($R16:$AF16,增益!$A:$A,增益!$D:$D,0))-$I$2</f>
        <v>3545.8</v>
      </c>
      <c r="AP16" s="35" cm="1">
        <f t="array" ref="AP16">IF($F$10-$I$3+VLOOKUP($Q16,武学奇术!$A:$ZZ,6,FALSE)+SUM(_xlfn.XLOOKUP(R16:AF16,增益!$A:$A,增益!$F:$F,0))&gt;0,($F$10-$I$3+VLOOKUP($Q16,武学奇术!$A:$ZZ,6,FALSE)+SUM(_xlfn.XLOOKUP(R16:AF16,增益!$A:$A,增益!$F:$F,0)))/200,($F$10-$I$3+VLOOKUP($Q16,武学奇术!$A:$ZZ,6,FALSE)+SUM(_xlfn.XLOOKUP(R16:AF16,增益!$A:$A,增益!$F:$F,0)))/100)</f>
        <v>0.3125</v>
      </c>
      <c r="AQ16" s="35" cm="1">
        <f t="array" ref="AQ16">$G$10+VLOOKUP($Q16,武学奇术!$A:$ZZ,7,FALSE)+SUM(_xlfn.XLOOKUP(R16:AF16,增益!$A:$A,增益!$G:$G,0))</f>
        <v>0.148</v>
      </c>
      <c r="AR16" s="30" cm="1">
        <f t="array" ref="AR16">VLOOKUP($Q16,武学奇术!$A:$ZZ,8,FALSE)+SUM(_xlfn.XLOOKUP(R16:AF16,增益!$A:$A,增益!$H:$H,0))</f>
        <v>0</v>
      </c>
      <c r="AS16">
        <f t="shared" si="0"/>
        <v>0</v>
      </c>
      <c r="AT16">
        <f t="shared" si="1"/>
        <v>0</v>
      </c>
      <c r="AU16" s="35" cm="1">
        <f t="array" ref="AU16">IF($F$11-$I$4+VLOOKUP($Q16,武学奇术!$A:$ZZ,9,FALSE)+SUM(_xlfn.XLOOKUP(R16:AF16,增益!$A:$A,增益!$I:$I,0))&gt;0,($F$11-$I$4+VLOOKUP($Q16,武学奇术!$A:$ZZ,9,FALSE)+SUM(_xlfn.XLOOKUP(R16:AF16,增益!$A:$A,增益!$I:$I,0)))/200,($F$11-$I$4+VLOOKUP($Q16,武学奇术!$A:$ZZ,9,FALSE)+SUM(_xlfn.XLOOKUP(R16:AF16,增益!$A:$A,增益!$I:$I,0)))/100)</f>
        <v>-0.14</v>
      </c>
      <c r="AV16" s="35" cm="1">
        <f t="array" ref="AV16">$G$11+VLOOKUP($Q16,武学奇术!$A:$ZZ,10,FALSE)+SUM(_xlfn.XLOOKUP(R16:AF16,增益!$A:$A,增益!$J:$J,0))</f>
        <v>0</v>
      </c>
      <c r="AW16">
        <f t="shared" si="2"/>
        <v>0</v>
      </c>
      <c r="AX16">
        <f t="shared" si="3"/>
        <v>0</v>
      </c>
      <c r="AY16" s="35" cm="1">
        <f t="array" ref="AY16">IF($F$12-$I$4+VLOOKUP($Q16,武学奇术!$A:$ZZ,11,FALSE)+SUM(_xlfn.XLOOKUP(R16:AF16,增益!$A:$A,增益!$K:$K,0))&gt;0,($F$12-$I$4+VLOOKUP($Q16,武学奇术!$A:$ZZ,11,FALSE)+SUM(_xlfn.XLOOKUP(R16:AF16,增益!$A:$A,增益!$K:$K,0)))/200,($F$12-$I$4+VLOOKUP($Q16,武学奇术!$A:$ZZ,11,FALSE)+SUM(_xlfn.XLOOKUP(R16:AF16,增益!$A:$A,增益!$K:$K,0)))/100)</f>
        <v>-0.14</v>
      </c>
      <c r="AZ16" s="35" cm="1">
        <f t="array" ref="AZ16">$G$12+VLOOKUP($Q16,武学奇术!$A:$ZZ,12,FALSE)+SUM(_xlfn.XLOOKUP(R16:AF16,增益!$A:$A,增益!$L:$L,0))</f>
        <v>0</v>
      </c>
      <c r="BA16">
        <f t="shared" si="4"/>
        <v>0</v>
      </c>
      <c r="BB16">
        <f t="shared" si="5"/>
        <v>0</v>
      </c>
      <c r="BC16" s="35" cm="1">
        <f t="array" ref="BC16">IF($F$13-$I$4+VLOOKUP($Q16,武学奇术!$A:$ZZ,13,FALSE)+SUM(_xlfn.XLOOKUP(R16:AF16,增益!$A:$A,增益!$M:$M,0))&gt;0,($F$13-$I$4+VLOOKUP($Q16,武学奇术!$A:$ZZ,13,FALSE)+SUM(_xlfn.XLOOKUP(R16:AF16,增益!$A:$A,增益!$K:$K,0)))/200,($F$13-$I$4+VLOOKUP($Q16,武学奇术!$A:$ZZ,13,FALSE)+SUM(_xlfn.XLOOKUP(R16:AF16,增益!$A:$A,增益!$M:$M,0)))/100)</f>
        <v>-0.14</v>
      </c>
      <c r="BD16" s="35" cm="1">
        <f t="array" ref="BD16">$G$13+VLOOKUP($Q16,武学奇术!$A:$ZZ,14,FALSE)+SUM(_xlfn.XLOOKUP(R16:AF16,增益!$A:$A,增益!$N:$N,0))</f>
        <v>0</v>
      </c>
      <c r="BE16">
        <f t="shared" si="6"/>
        <v>538</v>
      </c>
      <c r="BF16">
        <f t="shared" si="7"/>
        <v>1561.4</v>
      </c>
      <c r="BG16" s="35" cm="1">
        <f t="array" ref="BG16">IF($F$14-$I$4+VLOOKUP($Q16,武学奇术!$A:$ZZ,15,FALSE)+SUM(_xlfn.XLOOKUP(R16:AF16,增益!$A:$A,增益!$O:$O,0))&gt;0,($F$14-$I$4+VLOOKUP($Q16,武学奇术!$A:$ZZ,15,FALSE)+SUM(_xlfn.XLOOKUP(R16:AF16,增益!$A:$A,增益!$O:$O,0)))/200,($F$14-$I$4+VLOOKUP($Q16,武学奇术!$A:$ZZ,15,FALSE)+SUM(_xlfn.XLOOKUP(R16:AF16,增益!$A:$A,增益!$O:$O,0)))/100)</f>
        <v>0.08</v>
      </c>
      <c r="BH16" s="35" cm="1">
        <f t="array" ref="BH16">$G$14+VLOOKUP($Q16,武学奇术!$A:$ZZ,16,FALSE)+SUM(_xlfn.XLOOKUP(R16:AF16,增益!$A:$A,增益!$P:$P,0))</f>
        <v>0.27</v>
      </c>
      <c r="BI16" s="30">
        <f>MIN(IF(VLOOKUP($Q16,武学奇术!$A:$ZZ,23,FALSE)=1,100%,$B$8),100%)</f>
        <v>0.9712</v>
      </c>
      <c r="BJ16" s="30" cm="1">
        <f t="array" ref="BJ16">IF(VLOOKUP($Q16,武学奇术!$A:$ZZ,23,FALSE)=1,100%,MIN(80%,$B$9+VLOOKUP($Q16,武学奇术!$A:$ZZ,17,FALSE)+SUM(_xlfn.XLOOKUP(R16:AF16,增益!$A:$A,增益!$Q:$Q,0)))+$B$11+SUM(_xlfn.XLOOKUP(R16:AF16,增益!$A:$A,增益!$U:$U,0)))*IF(VLOOKUP($Q16,武学奇术!$A:$ZZ,24,FALSE)=1,0,1)</f>
        <v>0.8773</v>
      </c>
      <c r="BK16" s="30" cm="1">
        <f t="array" ref="BK16">1+$B$13+VLOOKUP($Q16,武学奇术!$A:$ZZ,18,FALSE)+SUM(_xlfn.XLOOKUP(R16:AF16,增益!$A:$A,增益!$R:$R,0))</f>
        <v>1.79</v>
      </c>
      <c r="BL16" s="30" cm="1">
        <f t="array" ref="BL16">IF(VLOOKUP($Q16,武学奇术!$A:$ZZ,24,FALSE)=1,100%,MIN(40%,$B$10+VLOOKUP($Q16,武学奇术!$A:$ZZ,19,FALSE)+SUM(_xlfn.XLOOKUP(R16:AF16,增益!$A:$A,增益!$S:$S,0)))+$B$12+SUM(_xlfn.XLOOKUP(R16:AF16,增益!$A:$A,增益!$V:$V,0)))*IF(VLOOKUP($Q16,武学奇术!$A:$ZZ,23,FALSE)=1,0,1)</f>
        <v>0.0895</v>
      </c>
      <c r="BM16" s="30" cm="1">
        <f t="array" ref="BM16">1+$B$14+VLOOKUP($Q16,武学奇术!$A:$ZZ,20,FALSE)+SUM(_xlfn.XLOOKUP(R16:AF16,增益!$A:$A,增益!$T:$T,0))</f>
        <v>1.35</v>
      </c>
      <c r="BN16" s="30">
        <f t="shared" si="8"/>
        <v>0.85203376</v>
      </c>
      <c r="BO16" s="30">
        <f t="shared" si="9"/>
        <v>0.03224384</v>
      </c>
      <c r="BP16" s="30">
        <f>IF(VLOOKUP($Q16,武学奇术!$A:$ZZ,22,FALSE)=1,0,(1-$BI16))*(1-$BL16)</f>
        <v>0.0262224</v>
      </c>
      <c r="BQ16" s="30" cm="1">
        <f t="array" ref="BQ16">SUM(_xlfn.XLOOKUP(R16:AF16,增益!$A:$A,增益!$W:$W,0))+$I$5</f>
        <v>0.11</v>
      </c>
    </row>
    <row r="17" ht="14.25" spans="1:69">
      <c r="A17" s="44" t="s">
        <v>128</v>
      </c>
      <c r="B17" s="72">
        <v>0.0852</v>
      </c>
      <c r="C17" s="42"/>
      <c r="D17" s="81"/>
      <c r="E17" s="42" t="s">
        <v>129</v>
      </c>
      <c r="F17" s="81" t="s">
        <v>125</v>
      </c>
      <c r="H17" s="73"/>
      <c r="I17" s="85"/>
      <c r="J17" s="86"/>
      <c r="K17" s="41">
        <f t="shared" si="10"/>
        <v>47733.1387916516</v>
      </c>
      <c r="L17" s="41">
        <f>((($AN17+$AO17)/2*$AH17+$AI17)*(1+$AP17)*(1+$AQ17)+(($AS17+$AT17)/2*IF($G$1="鸣金",$AJ17,$AH17)+IF($G$1="鸣金",$AK17*1.5,0))*(1+$AU17)*(1+$AV17)+(($AW17+$AX17)/2*IF($G$1="裂石",$AJ17,$AH17)+IF($G$1="裂石",$AK17*1.5,0))*(1+$AY17)*(1+$AZ17)+(($BA17+$BB17)/2*IF($G$1="牵丝",$AJ17,$AH17)+IF($G$1="牵丝",$AK17*1.5,0))*(1+$BC17)*(1+$BD17)+(($BE17+$BF17)/2*IF($G$1="破竹",$AJ17,$AH17)+IF($G$1="破竹",$AK17*1.5,0))*(1+$BG17)*(1+$BH17))*(1+$AL17)*$BK17*$P17*(1+IF(VLOOKUP($Q17,武学奇术!$A:$ZZ,30,FALSE)="回旋伞",$B$21,0))*(1+$BQ17)</f>
        <v>47733.1387916516</v>
      </c>
      <c r="M17" s="41">
        <f>(($AO17*$AH17+$AI17)*(1+$AP17)*(1+$AQ17)+($AT17*IF($G$1="鸣金",$AJ17,$AH17)+IF($G$1="鸣金",$AK17*1.5,0))*(1+$AU17)*(1+$AV17)+($AX17*IF($G$1="裂石",$AJ17,$AH17)+IF($G$1="裂石",$AK17*1.5,0))*(1+$AY17)*(1+$AZ17)+($BB17*IF($G$1="牵丝",$AJ17,$AH17)+IF($G$1="牵丝",$AK17*1.5,0))*(1+$BC17)*(1+$BD17)+($BF17*IF($G$1="破竹",$AJ17,$AH17)+IF($G$1="破竹",$AK17*1.5,0))*(1+$BG17)*(1+$BH17))*(1+$AL17)*$BM17*$P17*(1+IF(VLOOKUP($Q17,武学奇术!$A:$ZZ,30,FALSE)="回旋伞",$B$21,0))*(1+$BQ17)</f>
        <v>41024.3341250031</v>
      </c>
      <c r="N17" s="41">
        <f>((($AN17+$AO17)/2*$AH17+$AI17)*(1+$AP17)*(1+$AQ17)+(($AS17+$AT17)/2*IF($G$1="鸣金",$AJ17,$AH17)+IF($G$1="鸣金",$AK17*1.5,0))*(1+$AU17)*(1+$AV17)+(($AW17+$AX17)/2*IF($G$1="裂石",$AJ17,$AH17)+IF($G$1="裂石",$AK17*1.5,0))*(1+$AY17)*(1+$AZ17)+(($BA17+$BB17)/2*IF($G$1="牵丝",$AJ17,$AH17)+IF($G$1="牵丝",$AK17*1.5,0))*(1+$BC17)*(1+$BD17)+(($BE17+$BF17)/2*IF($G$1="破竹",$AJ17,$AH17)+IF($G$1="破竹",$AK17*1.5,0))*(1+$BG17)*(1+$BH17))*(1+$AL17)*$P17*(1+IF(VLOOKUP($Q17,武学奇术!$A:$ZZ,30,FALSE)="回旋伞",$B$21,0))*(1+$BQ17)</f>
        <v>26666.5579841629</v>
      </c>
      <c r="O17" s="41">
        <f>((($AN17*$AH17+$AI17)*(1+$AP17)*(1+$AQ17)+($AS17*IF($G$1="鸣金",$AJ17,$AH17)+IF($G$1="鸣金",$AK17*1.5,0))*(1+$AU17)*(1+$AV17)+($AW17*IF($G$1="裂石",$AJ17,$AH17)+IF($G$1="裂石",$AK17*1.5,0))*(1+$AY17)*(1+$AZ17)+($BA17*IF($G$1="牵丝",$AJ17,$AH17)+IF($G$1="牵丝",$AK17*1.5,0))*(1+$BC17)*(1+$BD17)+($BE17*IF($G$1="破竹",$AJ17,$AH17)+IF($G$1="破竹",$AK17*1.5,0))*(1+$BG17)*(1+$BH17))*(1+$AL17))*$P17*(1+IF(VLOOKUP($Q17,武学奇术!$A:$ZZ,30,FALSE)="回旋伞",$B$21,0))*(1+$BQ17)</f>
        <v>22944.7203201753</v>
      </c>
      <c r="P17" s="42">
        <v>2</v>
      </c>
      <c r="Q17" s="43" t="s">
        <v>130</v>
      </c>
      <c r="R17" s="43" t="s">
        <v>105</v>
      </c>
      <c r="S17" s="43" t="s">
        <v>91</v>
      </c>
      <c r="T17" s="43" t="s">
        <v>72</v>
      </c>
      <c r="U17" s="43" t="s">
        <v>79</v>
      </c>
      <c r="V17" s="43" t="s">
        <v>80</v>
      </c>
      <c r="W17" s="43" t="s">
        <v>87</v>
      </c>
      <c r="X17" s="43" t="s">
        <v>82</v>
      </c>
      <c r="Y17" s="43" t="s">
        <v>71</v>
      </c>
      <c r="Z17" s="43" t="s">
        <v>71</v>
      </c>
      <c r="AA17" s="43" t="s">
        <v>116</v>
      </c>
      <c r="AB17" s="43" t="s">
        <v>71</v>
      </c>
      <c r="AC17" s="43" t="s">
        <v>71</v>
      </c>
      <c r="AD17" s="43" t="s">
        <v>71</v>
      </c>
      <c r="AE17" s="43" t="s">
        <v>71</v>
      </c>
      <c r="AF17" s="43" t="s">
        <v>76</v>
      </c>
      <c r="AG17" t="str">
        <f>VLOOKUP($Q17,武学奇术!$A:$ZZ,25,FALSE)</f>
        <v>伞</v>
      </c>
      <c r="AH17" s="30">
        <f>VLOOKUP($Q17,武学奇术!$A:$ZZ,26,FALSE)</f>
        <v>0.54</v>
      </c>
      <c r="AI17" s="31">
        <f>VLOOKUP($Q17,武学奇术!$A:$ZZ,27,FALSE)*(1+IF(OR($AG17=$F$4,$AG17=$F$5),$B$22,0))</f>
        <v>0</v>
      </c>
      <c r="AJ17" s="30">
        <f>VLOOKUP($Q17,武学奇术!$A:$ZZ,28,FALSE)</f>
        <v>0.81</v>
      </c>
      <c r="AK17" s="31">
        <f>VLOOKUP($Q17,武学奇术!$A:$ZZ,29,FALSE)*(1+IF(OR($AG17=$F$4,$AG17=$F$5),$B$22,0))</f>
        <v>0</v>
      </c>
      <c r="AL17" s="30" cm="1">
        <f t="array" ref="AL17">$G$3+IFERROR(VLOOKUP($AG17,$F$4:$G$7,2,FALSE),0)+VLOOKUP($Q17,武学奇术!$A:$ZZ,2,FALSE)+SUM(_xlfn.XLOOKUP($R17:$AF17,增益!$A:$A,增益!$B:$B,0))</f>
        <v>1.2341</v>
      </c>
      <c r="AM17" s="30" cm="1">
        <f t="array" ref="AM17">VLOOKUP($Q17,武学奇术!$A:$ZZ,5,FALSE)+SUM(_xlfn.XLOOKUP($R17:$AF17,增益!$A:$A,增益!$E:$E,0))</f>
        <v>0</v>
      </c>
      <c r="AN17" cm="1">
        <f t="array" ref="AN17">$D$10*(1+$AM17)+VLOOKUP($Q17,武学奇术!$A:$ZZ,3,FALSE)+SUM(_xlfn.XLOOKUP($R17:$AF17,增益!$A:$A,增益!$C:$C,0))-$I$2</f>
        <v>3545.8</v>
      </c>
      <c r="AO17" cm="1">
        <f t="array" ref="AO17">$E$10*(1+$AM17)+VLOOKUP($Q17,武学奇术!$A:$ZZ,4,FALSE)+SUM(_xlfn.XLOOKUP($R17:$AF17,增益!$A:$A,增益!$D:$D,0))-$I$2</f>
        <v>3545.8</v>
      </c>
      <c r="AP17" s="35" cm="1">
        <f t="array" ref="AP17">IF($F$10-$I$3+VLOOKUP($Q17,武学奇术!$A:$ZZ,6,FALSE)+SUM(_xlfn.XLOOKUP(R17:AF17,增益!$A:$A,增益!$F:$F,0))&gt;0,($F$10-$I$3+VLOOKUP($Q17,武学奇术!$A:$ZZ,6,FALSE)+SUM(_xlfn.XLOOKUP(R17:AF17,增益!$A:$A,增益!$F:$F,0)))/200,($F$10-$I$3+VLOOKUP($Q17,武学奇术!$A:$ZZ,6,FALSE)+SUM(_xlfn.XLOOKUP(R17:AF17,增益!$A:$A,增益!$F:$F,0)))/100)</f>
        <v>0.3225</v>
      </c>
      <c r="AQ17" s="35" cm="1">
        <f t="array" ref="AQ17">$G$10+VLOOKUP($Q17,武学奇术!$A:$ZZ,7,FALSE)+SUM(_xlfn.XLOOKUP(R17:AF17,增益!$A:$A,增益!$G:$G,0))</f>
        <v>0.148</v>
      </c>
      <c r="AR17" s="30" cm="1">
        <f t="array" ref="AR17">VLOOKUP($Q17,武学奇术!$A:$ZZ,8,FALSE)+SUM(_xlfn.XLOOKUP(R17:AF17,增益!$A:$A,增益!$H:$H,0))</f>
        <v>0</v>
      </c>
      <c r="AS17">
        <f t="shared" si="0"/>
        <v>0</v>
      </c>
      <c r="AT17">
        <f t="shared" si="1"/>
        <v>0</v>
      </c>
      <c r="AU17" s="35" cm="1">
        <f t="array" ref="AU17">IF($F$11-$I$4+VLOOKUP($Q17,武学奇术!$A:$ZZ,9,FALSE)+SUM(_xlfn.XLOOKUP(R17:AF17,增益!$A:$A,增益!$I:$I,0))&gt;0,($F$11-$I$4+VLOOKUP($Q17,武学奇术!$A:$ZZ,9,FALSE)+SUM(_xlfn.XLOOKUP(R17:AF17,增益!$A:$A,增益!$I:$I,0)))/200,($F$11-$I$4+VLOOKUP($Q17,武学奇术!$A:$ZZ,9,FALSE)+SUM(_xlfn.XLOOKUP(R17:AF17,增益!$A:$A,增益!$I:$I,0)))/100)</f>
        <v>-0.14</v>
      </c>
      <c r="AV17" s="35" cm="1">
        <f t="array" ref="AV17">$G$11+VLOOKUP($Q17,武学奇术!$A:$ZZ,10,FALSE)+SUM(_xlfn.XLOOKUP(R17:AF17,增益!$A:$A,增益!$J:$J,0))</f>
        <v>0</v>
      </c>
      <c r="AW17">
        <f t="shared" si="2"/>
        <v>0</v>
      </c>
      <c r="AX17">
        <f t="shared" si="3"/>
        <v>0</v>
      </c>
      <c r="AY17" s="35" cm="1">
        <f t="array" ref="AY17">IF($F$12-$I$4+VLOOKUP($Q17,武学奇术!$A:$ZZ,11,FALSE)+SUM(_xlfn.XLOOKUP(R17:AF17,增益!$A:$A,增益!$K:$K,0))&gt;0,($F$12-$I$4+VLOOKUP($Q17,武学奇术!$A:$ZZ,11,FALSE)+SUM(_xlfn.XLOOKUP(R17:AF17,增益!$A:$A,增益!$K:$K,0)))/200,($F$12-$I$4+VLOOKUP($Q17,武学奇术!$A:$ZZ,11,FALSE)+SUM(_xlfn.XLOOKUP(R17:AF17,增益!$A:$A,增益!$K:$K,0)))/100)</f>
        <v>-0.14</v>
      </c>
      <c r="AZ17" s="35" cm="1">
        <f t="array" ref="AZ17">$G$12+VLOOKUP($Q17,武学奇术!$A:$ZZ,12,FALSE)+SUM(_xlfn.XLOOKUP(R17:AF17,增益!$A:$A,增益!$L:$L,0))</f>
        <v>0</v>
      </c>
      <c r="BA17">
        <f t="shared" si="4"/>
        <v>0</v>
      </c>
      <c r="BB17">
        <f t="shared" si="5"/>
        <v>0</v>
      </c>
      <c r="BC17" s="35" cm="1">
        <f t="array" ref="BC17">IF($F$13-$I$4+VLOOKUP($Q17,武学奇术!$A:$ZZ,13,FALSE)+SUM(_xlfn.XLOOKUP(R17:AF17,增益!$A:$A,增益!$M:$M,0))&gt;0,($F$13-$I$4+VLOOKUP($Q17,武学奇术!$A:$ZZ,13,FALSE)+SUM(_xlfn.XLOOKUP(R17:AF17,增益!$A:$A,增益!$K:$K,0)))/200,($F$13-$I$4+VLOOKUP($Q17,武学奇术!$A:$ZZ,13,FALSE)+SUM(_xlfn.XLOOKUP(R17:AF17,增益!$A:$A,增益!$M:$M,0)))/100)</f>
        <v>-0.14</v>
      </c>
      <c r="BD17" s="35" cm="1">
        <f t="array" ref="BD17">$G$13+VLOOKUP($Q17,武学奇术!$A:$ZZ,14,FALSE)+SUM(_xlfn.XLOOKUP(R17:AF17,增益!$A:$A,增益!$N:$N,0))</f>
        <v>0</v>
      </c>
      <c r="BE17">
        <f t="shared" si="6"/>
        <v>538</v>
      </c>
      <c r="BF17">
        <f t="shared" si="7"/>
        <v>1561.4</v>
      </c>
      <c r="BG17" s="35" cm="1">
        <f t="array" ref="BG17">IF($F$14-$I$4+VLOOKUP($Q17,武学奇术!$A:$ZZ,15,FALSE)+SUM(_xlfn.XLOOKUP(R17:AF17,增益!$A:$A,增益!$O:$O,0))&gt;0,($F$14-$I$4+VLOOKUP($Q17,武学奇术!$A:$ZZ,15,FALSE)+SUM(_xlfn.XLOOKUP(R17:AF17,增益!$A:$A,增益!$O:$O,0)))/200,($F$14-$I$4+VLOOKUP($Q17,武学奇术!$A:$ZZ,15,FALSE)+SUM(_xlfn.XLOOKUP(R17:AF17,增益!$A:$A,增益!$O:$O,0)))/100)</f>
        <v>0.08</v>
      </c>
      <c r="BH17" s="35" cm="1">
        <f t="array" ref="BH17">$G$14+VLOOKUP($Q17,武学奇术!$A:$ZZ,16,FALSE)+SUM(_xlfn.XLOOKUP(R17:AF17,增益!$A:$A,增益!$P:$P,0))</f>
        <v>0.27</v>
      </c>
      <c r="BI17" s="30">
        <f>MIN(IF(VLOOKUP($Q17,武学奇术!$A:$ZZ,23,FALSE)=1,100%,$B$8),100%)</f>
        <v>1</v>
      </c>
      <c r="BJ17" s="30" cm="1">
        <f t="array" ref="BJ17">IF(VLOOKUP($Q17,武学奇术!$A:$ZZ,23,FALSE)=1,100%,MIN(80%,$B$9+VLOOKUP($Q17,武学奇术!$A:$ZZ,17,FALSE)+SUM(_xlfn.XLOOKUP(R17:AF17,增益!$A:$A,增益!$Q:$Q,0)))+$B$11+SUM(_xlfn.XLOOKUP(R17:AF17,增益!$A:$A,增益!$U:$U,0)))*IF(VLOOKUP($Q17,武学奇术!$A:$ZZ,24,FALSE)=1,0,1)</f>
        <v>1</v>
      </c>
      <c r="BK17" s="30" cm="1">
        <f t="array" ref="BK17">1+$B$13+VLOOKUP($Q17,武学奇术!$A:$ZZ,18,FALSE)+SUM(_xlfn.XLOOKUP(R17:AF17,增益!$A:$A,增益!$R:$R,0))</f>
        <v>1.79</v>
      </c>
      <c r="BL17" s="30" cm="1">
        <f t="array" ref="BL17">IF(VLOOKUP($Q17,武学奇术!$A:$ZZ,24,FALSE)=1,100%,MIN(40%,$B$10+VLOOKUP($Q17,武学奇术!$A:$ZZ,19,FALSE)+SUM(_xlfn.XLOOKUP(R17:AF17,增益!$A:$A,增益!$S:$S,0)))+$B$12+SUM(_xlfn.XLOOKUP(R17:AF17,增益!$A:$A,增益!$V:$V,0)))*IF(VLOOKUP($Q17,武学奇术!$A:$ZZ,23,FALSE)=1,0,1)</f>
        <v>0</v>
      </c>
      <c r="BM17" s="30" cm="1">
        <f t="array" ref="BM17">1+$B$14+VLOOKUP($Q17,武学奇术!$A:$ZZ,20,FALSE)+SUM(_xlfn.XLOOKUP(R17:AF17,增益!$A:$A,增益!$T:$T,0))</f>
        <v>1.35</v>
      </c>
      <c r="BN17" s="30">
        <f t="shared" si="8"/>
        <v>1</v>
      </c>
      <c r="BO17" s="30">
        <f t="shared" si="9"/>
        <v>0</v>
      </c>
      <c r="BP17" s="30">
        <f>IF(VLOOKUP($Q17,武学奇术!$A:$ZZ,22,FALSE)=1,0,(1-$BI17))*(1-$BL17)</f>
        <v>0</v>
      </c>
      <c r="BQ17" s="30" cm="1">
        <f t="array" ref="BQ17">SUM(_xlfn.XLOOKUP(R17:AF17,增益!$A:$A,增益!$W:$W,0))+$I$5</f>
        <v>0.11</v>
      </c>
    </row>
    <row r="18" spans="1:69">
      <c r="A18" s="44" t="s">
        <v>131</v>
      </c>
      <c r="B18" s="72">
        <v>0</v>
      </c>
      <c r="C18" s="42" t="s">
        <v>132</v>
      </c>
      <c r="D18" s="81" t="s">
        <v>125</v>
      </c>
      <c r="H18" s="70" t="s">
        <v>133</v>
      </c>
      <c r="I18" s="39"/>
      <c r="J18" s="40"/>
      <c r="K18" s="41">
        <f t="shared" si="10"/>
        <v>21170.7375324875</v>
      </c>
      <c r="L18" s="41">
        <f>((($AN18+$AO18)/2*$AH18+$AI18)*(1+$AP18)*(1+$AQ18)+(($AS18+$AT18)/2*IF($G$1="鸣金",$AJ18,$AH18)+IF($G$1="鸣金",$AK18*1.5,0))*(1+$AU18)*(1+$AV18)+(($AW18+$AX18)/2*IF($G$1="裂石",$AJ18,$AH18)+IF($G$1="裂石",$AK18*1.5,0))*(1+$AY18)*(1+$AZ18)+(($BA18+$BB18)/2*IF($G$1="牵丝",$AJ18,$AH18)+IF($G$1="牵丝",$AK18*1.5,0))*(1+$BC18)*(1+$BD18)+(($BE18+$BF18)/2*IF($G$1="破竹",$AJ18,$AH18)+IF($G$1="破竹",$AK18*1.5,0))*(1+$BG18)*(1+$BH18))*(1+$AL18)*$BK18*$P18*(1+IF(VLOOKUP($Q18,武学奇术!$A:$ZZ,30,FALSE)="回旋伞",$B$21,0))*(1+$BQ18)</f>
        <v>22077.3209746254</v>
      </c>
      <c r="M18" s="41">
        <f>(($AO18*$AH18+$AI18)*(1+$AP18)*(1+$AQ18)+($AT18*IF($G$1="鸣金",$AJ18,$AH18)+IF($G$1="鸣金",$AK18*1.5,0))*(1+$AU18)*(1+$AV18)+($AX18*IF($G$1="裂石",$AJ18,$AH18)+IF($G$1="裂石",$AK18*1.5,0))*(1+$AY18)*(1+$AZ18)+($BB18*IF($G$1="牵丝",$AJ18,$AH18)+IF($G$1="牵丝",$AK18*1.5,0))*(1+$BC18)*(1+$BD18)+($BF18*IF($G$1="破竹",$AJ18,$AH18)+IF($G$1="破竹",$AK18*1.5,0))*(1+$BG18)*(1+$BH18))*(1+$AL18)*$BM18*$P18*(1+IF(VLOOKUP($Q18,武学奇术!$A:$ZZ,30,FALSE)="回旋伞",$B$21,0))*(1+$BQ18)</f>
        <v>18856.5765816677</v>
      </c>
      <c r="N18" s="41">
        <f>((($AN18+$AO18)/2*$AH18+$AI18)*(1+$AP18)*(1+$AQ18)+(($AS18+$AT18)/2*IF($G$1="鸣金",$AJ18,$AH18)+IF($G$1="鸣金",$AK18*1.5,0))*(1+$AU18)*(1+$AV18)+(($AW18+$AX18)/2*IF($G$1="裂石",$AJ18,$AH18)+IF($G$1="裂石",$AK18*1.5,0))*(1+$AY18)*(1+$AZ18)+(($BA18+$BB18)/2*IF($G$1="牵丝",$AJ18,$AH18)+IF($G$1="牵丝",$AK18*1.5,0))*(1+$BC18)*(1+$BD18)+(($BE18+$BF18)/2*IF($G$1="破竹",$AJ18,$AH18)+IF($G$1="破竹",$AK18*1.5,0))*(1+$BG18)*(1+$BH18))*(1+$AL18)*$P18*(1+IF(VLOOKUP($Q18,武学奇术!$A:$ZZ,30,FALSE)="回旋伞",$B$21,0))*(1+$BQ18)</f>
        <v>12265.1783192363</v>
      </c>
      <c r="O18" s="41">
        <f>((($AN18*$AH18+$AI18)*(1+$AP18)*(1+$AQ18)+($AS18*IF($G$1="鸣金",$AJ18,$AH18)+IF($G$1="鸣金",$AK18*1.5,0))*(1+$AU18)*(1+$AV18)+($AW18*IF($G$1="裂石",$AJ18,$AH18)+IF($G$1="裂石",$AK18*1.5,0))*(1+$AY18)*(1+$AZ18)+($BA18*IF($G$1="牵丝",$AJ18,$AH18)+IF($G$1="牵丝",$AK18*1.5,0))*(1+$BC18)*(1+$BD18)+($BE18*IF($G$1="破竹",$AJ18,$AH18)+IF($G$1="破竹",$AK18*1.5,0))*(1+$BG18)*(1+$BH18))*(1+$AL18))*$P18*(1+IF(VLOOKUP($Q18,武学奇术!$A:$ZZ,30,FALSE)="回旋伞",$B$21,0))*(1+$BQ18)</f>
        <v>10562.5221335336</v>
      </c>
      <c r="P18" s="42">
        <v>1</v>
      </c>
      <c r="Q18" s="43" t="s">
        <v>120</v>
      </c>
      <c r="R18" s="43" t="s">
        <v>105</v>
      </c>
      <c r="S18" s="43" t="s">
        <v>91</v>
      </c>
      <c r="T18" s="43" t="s">
        <v>72</v>
      </c>
      <c r="U18" s="43" t="s">
        <v>79</v>
      </c>
      <c r="V18" s="43" t="s">
        <v>86</v>
      </c>
      <c r="W18" s="43" t="s">
        <v>93</v>
      </c>
      <c r="X18" s="43" t="s">
        <v>82</v>
      </c>
      <c r="Y18" s="43" t="s">
        <v>71</v>
      </c>
      <c r="Z18" s="43" t="s">
        <v>71</v>
      </c>
      <c r="AA18" s="43" t="s">
        <v>116</v>
      </c>
      <c r="AB18" s="43" t="s">
        <v>71</v>
      </c>
      <c r="AC18" s="43" t="s">
        <v>71</v>
      </c>
      <c r="AD18" s="43" t="s">
        <v>71</v>
      </c>
      <c r="AE18" s="43" t="s">
        <v>71</v>
      </c>
      <c r="AF18" s="43" t="s">
        <v>76</v>
      </c>
      <c r="AG18" t="str">
        <f>VLOOKUP($Q18,武学奇术!$A:$ZZ,25,FALSE)</f>
        <v>伞</v>
      </c>
      <c r="AH18" s="30">
        <f>VLOOKUP($Q18,武学奇术!$A:$ZZ,26,FALSE)</f>
        <v>0.54</v>
      </c>
      <c r="AI18" s="31">
        <f>VLOOKUP($Q18,武学奇术!$A:$ZZ,27,FALSE)*(1+IF(OR($AG18=$F$4,$AG18=$F$5),$B$22,0))</f>
        <v>0</v>
      </c>
      <c r="AJ18" s="30">
        <f>VLOOKUP($Q18,武学奇术!$A:$ZZ,28,FALSE)</f>
        <v>0.81</v>
      </c>
      <c r="AK18" s="31">
        <f>VLOOKUP($Q18,武学奇术!$A:$ZZ,29,FALSE)*(1+IF(OR($AG18=$F$4,$AG18=$F$5),$B$22,0))</f>
        <v>0</v>
      </c>
      <c r="AL18" s="30" cm="1">
        <f t="array" ref="AL18">$G$3+IFERROR(VLOOKUP($AG18,$F$4:$G$7,2,FALSE),0)+VLOOKUP($Q18,武学奇术!$A:$ZZ,2,FALSE)+SUM(_xlfn.XLOOKUP($R18:$AF18,增益!$A:$A,增益!$B:$B,0))</f>
        <v>1.0441</v>
      </c>
      <c r="AM18" s="30" cm="1">
        <f t="array" ref="AM18">VLOOKUP($Q18,武学奇术!$A:$ZZ,5,FALSE)+SUM(_xlfn.XLOOKUP($R18:$AF18,增益!$A:$A,增益!$E:$E,0))</f>
        <v>0</v>
      </c>
      <c r="AN18" cm="1">
        <f t="array" ref="AN18">$D$10*(1+$AM18)+VLOOKUP($Q18,武学奇术!$A:$ZZ,3,FALSE)+SUM(_xlfn.XLOOKUP($R18:$AF18,增益!$A:$A,增益!$C:$C,0))-$I$2</f>
        <v>3545.8</v>
      </c>
      <c r="AO18" cm="1">
        <f t="array" ref="AO18">$E$10*(1+$AM18)+VLOOKUP($Q18,武学奇术!$A:$ZZ,4,FALSE)+SUM(_xlfn.XLOOKUP($R18:$AF18,增益!$A:$A,增益!$D:$D,0))-$I$2</f>
        <v>3545.8</v>
      </c>
      <c r="AP18" s="35" cm="1">
        <f t="array" ref="AP18">IF($F$10-$I$3+VLOOKUP($Q18,武学奇术!$A:$ZZ,6,FALSE)+SUM(_xlfn.XLOOKUP(R18:AF18,增益!$A:$A,增益!$F:$F,0))&gt;0,($F$10-$I$3+VLOOKUP($Q18,武学奇术!$A:$ZZ,6,FALSE)+SUM(_xlfn.XLOOKUP(R18:AF18,增益!$A:$A,增益!$F:$F,0)))/200,($F$10-$I$3+VLOOKUP($Q18,武学奇术!$A:$ZZ,6,FALSE)+SUM(_xlfn.XLOOKUP(R18:AF18,增益!$A:$A,增益!$F:$F,0)))/100)</f>
        <v>0.3325</v>
      </c>
      <c r="AQ18" s="35" cm="1">
        <f t="array" ref="AQ18">$G$10+VLOOKUP($Q18,武学奇术!$A:$ZZ,7,FALSE)+SUM(_xlfn.XLOOKUP(R18:AF18,增益!$A:$A,增益!$G:$G,0))</f>
        <v>0.148</v>
      </c>
      <c r="AR18" s="30" cm="1">
        <f t="array" ref="AR18">VLOOKUP($Q18,武学奇术!$A:$ZZ,8,FALSE)+SUM(_xlfn.XLOOKUP(R18:AF18,增益!$A:$A,增益!$H:$H,0))</f>
        <v>0</v>
      </c>
      <c r="AS18">
        <f t="shared" si="0"/>
        <v>0</v>
      </c>
      <c r="AT18">
        <f t="shared" si="1"/>
        <v>0</v>
      </c>
      <c r="AU18" s="35" cm="1">
        <f t="array" ref="AU18">IF($F$11-$I$4+VLOOKUP($Q18,武学奇术!$A:$ZZ,9,FALSE)+SUM(_xlfn.XLOOKUP(R18:AF18,增益!$A:$A,增益!$I:$I,0))&gt;0,($F$11-$I$4+VLOOKUP($Q18,武学奇术!$A:$ZZ,9,FALSE)+SUM(_xlfn.XLOOKUP(R18:AF18,增益!$A:$A,增益!$I:$I,0)))/200,($F$11-$I$4+VLOOKUP($Q18,武学奇术!$A:$ZZ,9,FALSE)+SUM(_xlfn.XLOOKUP(R18:AF18,增益!$A:$A,增益!$I:$I,0)))/100)</f>
        <v>-0.14</v>
      </c>
      <c r="AV18" s="35" cm="1">
        <f t="array" ref="AV18">$G$11+VLOOKUP($Q18,武学奇术!$A:$ZZ,10,FALSE)+SUM(_xlfn.XLOOKUP(R18:AF18,增益!$A:$A,增益!$J:$J,0))</f>
        <v>0</v>
      </c>
      <c r="AW18">
        <f t="shared" si="2"/>
        <v>0</v>
      </c>
      <c r="AX18">
        <f t="shared" si="3"/>
        <v>0</v>
      </c>
      <c r="AY18" s="35" cm="1">
        <f t="array" ref="AY18">IF($F$12-$I$4+VLOOKUP($Q18,武学奇术!$A:$ZZ,11,FALSE)+SUM(_xlfn.XLOOKUP(R18:AF18,增益!$A:$A,增益!$K:$K,0))&gt;0,($F$12-$I$4+VLOOKUP($Q18,武学奇术!$A:$ZZ,11,FALSE)+SUM(_xlfn.XLOOKUP(R18:AF18,增益!$A:$A,增益!$K:$K,0)))/200,($F$12-$I$4+VLOOKUP($Q18,武学奇术!$A:$ZZ,11,FALSE)+SUM(_xlfn.XLOOKUP(R18:AF18,增益!$A:$A,增益!$K:$K,0)))/100)</f>
        <v>-0.14</v>
      </c>
      <c r="AZ18" s="35" cm="1">
        <f t="array" ref="AZ18">$G$12+VLOOKUP($Q18,武学奇术!$A:$ZZ,12,FALSE)+SUM(_xlfn.XLOOKUP(R18:AF18,增益!$A:$A,增益!$L:$L,0))</f>
        <v>0</v>
      </c>
      <c r="BA18">
        <f t="shared" si="4"/>
        <v>0</v>
      </c>
      <c r="BB18">
        <f t="shared" si="5"/>
        <v>0</v>
      </c>
      <c r="BC18" s="35" cm="1">
        <f t="array" ref="BC18">IF($F$13-$I$4+VLOOKUP($Q18,武学奇术!$A:$ZZ,13,FALSE)+SUM(_xlfn.XLOOKUP(R18:AF18,增益!$A:$A,增益!$M:$M,0))&gt;0,($F$13-$I$4+VLOOKUP($Q18,武学奇术!$A:$ZZ,13,FALSE)+SUM(_xlfn.XLOOKUP(R18:AF18,增益!$A:$A,增益!$K:$K,0)))/200,($F$13-$I$4+VLOOKUP($Q18,武学奇术!$A:$ZZ,13,FALSE)+SUM(_xlfn.XLOOKUP(R18:AF18,增益!$A:$A,增益!$M:$M,0)))/100)</f>
        <v>-0.14</v>
      </c>
      <c r="BD18" s="35" cm="1">
        <f t="array" ref="BD18">$G$13+VLOOKUP($Q18,武学奇术!$A:$ZZ,14,FALSE)+SUM(_xlfn.XLOOKUP(R18:AF18,增益!$A:$A,增益!$N:$N,0))</f>
        <v>0</v>
      </c>
      <c r="BE18">
        <f t="shared" si="6"/>
        <v>538</v>
      </c>
      <c r="BF18">
        <f t="shared" si="7"/>
        <v>1561.4</v>
      </c>
      <c r="BG18" s="35" cm="1">
        <f t="array" ref="BG18">IF($F$14-$I$4+VLOOKUP($Q18,武学奇术!$A:$ZZ,15,FALSE)+SUM(_xlfn.XLOOKUP(R18:AF18,增益!$A:$A,增益!$O:$O,0))&gt;0,($F$14-$I$4+VLOOKUP($Q18,武学奇术!$A:$ZZ,15,FALSE)+SUM(_xlfn.XLOOKUP(R18:AF18,增益!$A:$A,增益!$O:$O,0)))/200,($F$14-$I$4+VLOOKUP($Q18,武学奇术!$A:$ZZ,15,FALSE)+SUM(_xlfn.XLOOKUP(R18:AF18,增益!$A:$A,增益!$O:$O,0)))/100)</f>
        <v>0.08</v>
      </c>
      <c r="BH18" s="35" cm="1">
        <f t="array" ref="BH18">$G$14+VLOOKUP($Q18,武学奇术!$A:$ZZ,16,FALSE)+SUM(_xlfn.XLOOKUP(R18:AF18,增益!$A:$A,增益!$P:$P,0))</f>
        <v>0.27</v>
      </c>
      <c r="BI18" s="30">
        <f>MIN(IF(VLOOKUP($Q18,武学奇术!$A:$ZZ,23,FALSE)=1,100%,$B$8),100%)</f>
        <v>0.9712</v>
      </c>
      <c r="BJ18" s="30" cm="1">
        <f t="array" ref="BJ18">IF(VLOOKUP($Q18,武学奇术!$A:$ZZ,23,FALSE)=1,100%,MIN(80%,$B$9+VLOOKUP($Q18,武学奇术!$A:$ZZ,17,FALSE)+SUM(_xlfn.XLOOKUP(R18:AF18,增益!$A:$A,增益!$Q:$Q,0)))+$B$11+SUM(_xlfn.XLOOKUP(R18:AF18,增益!$A:$A,增益!$U:$U,0)))*IF(VLOOKUP($Q18,武学奇术!$A:$ZZ,24,FALSE)=1,0,1)</f>
        <v>0.8773</v>
      </c>
      <c r="BK18" s="30" cm="1">
        <f t="array" ref="BK18">1+$B$13+VLOOKUP($Q18,武学奇术!$A:$ZZ,18,FALSE)+SUM(_xlfn.XLOOKUP(R18:AF18,增益!$A:$A,增益!$R:$R,0))</f>
        <v>1.8</v>
      </c>
      <c r="BL18" s="30" cm="1">
        <f t="array" ref="BL18">IF(VLOOKUP($Q18,武学奇术!$A:$ZZ,24,FALSE)=1,100%,MIN(40%,$B$10+VLOOKUP($Q18,武学奇术!$A:$ZZ,19,FALSE)+SUM(_xlfn.XLOOKUP(R18:AF18,增益!$A:$A,增益!$S:$S,0)))+$B$12+SUM(_xlfn.XLOOKUP(R18:AF18,增益!$A:$A,增益!$V:$V,0)))*IF(VLOOKUP($Q18,武学奇术!$A:$ZZ,23,FALSE)=1,0,1)</f>
        <v>0.0895</v>
      </c>
      <c r="BM18" s="30" cm="1">
        <f t="array" ref="BM18">1+$B$14+VLOOKUP($Q18,武学奇术!$A:$ZZ,20,FALSE)+SUM(_xlfn.XLOOKUP(R18:AF18,增益!$A:$A,增益!$T:$T,0))</f>
        <v>1.35</v>
      </c>
      <c r="BN18" s="30">
        <f t="shared" si="8"/>
        <v>0.85203376</v>
      </c>
      <c r="BO18" s="30">
        <f t="shared" si="9"/>
        <v>0.03224384</v>
      </c>
      <c r="BP18" s="30">
        <f>IF(VLOOKUP($Q18,武学奇术!$A:$ZZ,22,FALSE)=1,0,(1-$BI18))*(1-$BL18)</f>
        <v>0.0262224</v>
      </c>
      <c r="BQ18" s="30" cm="1">
        <f t="array" ref="BQ18">SUM(_xlfn.XLOOKUP(R18:AF18,增益!$A:$A,增益!$W:$W,0))+$I$5</f>
        <v>0.11</v>
      </c>
    </row>
    <row r="19" ht="14.25" spans="1:69">
      <c r="A19" s="44" t="s">
        <v>134</v>
      </c>
      <c r="B19" s="72">
        <v>0</v>
      </c>
      <c r="C19" s="42" t="s">
        <v>135</v>
      </c>
      <c r="D19" s="81" t="s">
        <v>125</v>
      </c>
      <c r="H19" s="73"/>
      <c r="I19" s="82"/>
      <c r="J19" s="93"/>
      <c r="K19" s="41">
        <f t="shared" si="10"/>
        <v>124468.061049111</v>
      </c>
      <c r="L19" s="41">
        <f>((($AN19+$AO19)/2*$AH19+$AI19)*(1+$AP19)*(1+$AQ19)+(($AS19+$AT19)/2*IF($G$1="鸣金",$AJ19,$AH19)+IF($G$1="鸣金",$AK19*1.5,0))*(1+$AU19)*(1+$AV19)+(($AW19+$AX19)/2*IF($G$1="裂石",$AJ19,$AH19)+IF($G$1="裂石",$AK19*1.5,0))*(1+$AY19)*(1+$AZ19)+(($BA19+$BB19)/2*IF($G$1="牵丝",$AJ19,$AH19)+IF($G$1="牵丝",$AK19*1.5,0))*(1+$BC19)*(1+$BD19)+(($BE19+$BF19)/2*IF($G$1="破竹",$AJ19,$AH19)+IF($G$1="破竹",$AK19*1.5,0))*(1+$BG19)*(1+$BH19))*(1+$AL19)*$BK19*$P19*(1+IF(VLOOKUP($Q19,武学奇术!$A:$ZZ,30,FALSE)="回旋伞",$B$21,0))*(1+$BQ19)</f>
        <v>129826.135142971</v>
      </c>
      <c r="M19" s="41">
        <f>(($AO19*$AH19+$AI19)*(1+$AP19)*(1+$AQ19)+($AT19*IF($G$1="鸣金",$AJ19,$AH19)+IF($G$1="鸣金",$AK19*1.5,0))*(1+$AU19)*(1+$AV19)+($AX19*IF($G$1="裂石",$AJ19,$AH19)+IF($G$1="裂石",$AK19*1.5,0))*(1+$AY19)*(1+$AZ19)+($BB19*IF($G$1="牵丝",$AJ19,$AH19)+IF($G$1="牵丝",$AK19*1.5,0))*(1+$BC19)*(1+$BD19)+($BF19*IF($G$1="破竹",$AJ19,$AH19)+IF($G$1="破竹",$AK19*1.5,0))*(1+$BG19)*(1+$BH19))*(1+$AL19)*$BM19*$P19*(1+IF(VLOOKUP($Q19,武学奇术!$A:$ZZ,30,FALSE)="回旋伞",$B$21,0))*(1+$BQ19)</f>
        <v>110502.73145383</v>
      </c>
      <c r="N19" s="41">
        <f>((($AN19+$AO19)/2*$AH19+$AI19)*(1+$AP19)*(1+$AQ19)+(($AS19+$AT19)/2*IF($G$1="鸣金",$AJ19,$AH19)+IF($G$1="鸣金",$AK19*1.5,0))*(1+$AU19)*(1+$AV19)+(($AW19+$AX19)/2*IF($G$1="裂石",$AJ19,$AH19)+IF($G$1="裂石",$AK19*1.5,0))*(1+$AY19)*(1+$AZ19)+(($BA19+$BB19)/2*IF($G$1="牵丝",$AJ19,$AH19)+IF($G$1="牵丝",$AK19*1.5,0))*(1+$BC19)*(1+$BD19)+(($BE19+$BF19)/2*IF($G$1="破竹",$AJ19,$AH19)+IF($G$1="破竹",$AK19*1.5,0))*(1+$BG19)*(1+$BH19))*(1+$AL19)*$P19*(1+IF(VLOOKUP($Q19,武学奇术!$A:$ZZ,30,FALSE)="回旋伞",$B$21,0))*(1+$BQ19)</f>
        <v>72125.6306349838</v>
      </c>
      <c r="O19" s="41">
        <f>((($AN19*$AH19+$AI19)*(1+$AP19)*(1+$AQ19)+($AS19*IF($G$1="鸣金",$AJ19,$AH19)+IF($G$1="鸣金",$AK19*1.5,0))*(1+$AU19)*(1+$AV19)+($AW19*IF($G$1="裂石",$AJ19,$AH19)+IF($G$1="裂石",$AK19*1.5,0))*(1+$AY19)*(1+$AZ19)+($BA19*IF($G$1="牵丝",$AJ19,$AH19)+IF($G$1="牵丝",$AK19*1.5,0))*(1+$BC19)*(1+$BD19)+($BE19*IF($G$1="破竹",$AJ19,$AH19)+IF($G$1="破竹",$AK19*1.5,0))*(1+$BG19)*(1+$BH19))*(1+$AL19))*$P19*(1+IF(VLOOKUP($Q19,武学奇术!$A:$ZZ,30,FALSE)="回旋伞",$B$21,0))*(1+$BQ19)</f>
        <v>62397.3861189824</v>
      </c>
      <c r="P19" s="42">
        <v>1</v>
      </c>
      <c r="Q19" s="43" t="s">
        <v>136</v>
      </c>
      <c r="R19" s="43" t="s">
        <v>71</v>
      </c>
      <c r="S19" s="43" t="s">
        <v>91</v>
      </c>
      <c r="T19" s="43" t="s">
        <v>72</v>
      </c>
      <c r="U19" s="43" t="s">
        <v>73</v>
      </c>
      <c r="V19" s="43" t="s">
        <v>86</v>
      </c>
      <c r="W19" s="43" t="s">
        <v>93</v>
      </c>
      <c r="X19" s="43" t="s">
        <v>82</v>
      </c>
      <c r="Y19" s="43" t="s">
        <v>71</v>
      </c>
      <c r="Z19" s="43" t="s">
        <v>71</v>
      </c>
      <c r="AA19" s="43" t="s">
        <v>71</v>
      </c>
      <c r="AB19" s="43" t="s">
        <v>71</v>
      </c>
      <c r="AC19" s="43" t="s">
        <v>71</v>
      </c>
      <c r="AD19" s="43" t="s">
        <v>71</v>
      </c>
      <c r="AE19" s="43" t="s">
        <v>71</v>
      </c>
      <c r="AF19" s="43" t="s">
        <v>76</v>
      </c>
      <c r="AG19" t="str">
        <f>VLOOKUP($Q19,武学奇术!$A:$ZZ,25,FALSE)</f>
        <v>单体奇术</v>
      </c>
      <c r="AH19" s="30">
        <f>VLOOKUP($Q19,武学奇术!$A:$ZZ,26,FALSE)</f>
        <v>7.1074</v>
      </c>
      <c r="AI19" s="31">
        <f>VLOOKUP($Q19,武学奇术!$A:$ZZ,27,FALSE)*(1+IF(OR($AG19=$F$4,$AG19=$F$5),$B$22,0))</f>
        <v>1320</v>
      </c>
      <c r="AJ19" s="30">
        <f>VLOOKUP($Q19,武学奇术!$A:$ZZ,28,FALSE)</f>
        <v>10.6596</v>
      </c>
      <c r="AK19" s="31">
        <f>VLOOKUP($Q19,武学奇术!$A:$ZZ,29,FALSE)*(1+IF(OR($AG19=$F$4,$AG19=$F$5),$B$22,0))</f>
        <v>0</v>
      </c>
      <c r="AL19" s="30" cm="1">
        <f t="array" ref="AL19">$G$3+IFERROR(VLOOKUP($AG19,$F$4:$G$7,2,FALSE),0)+VLOOKUP($Q19,武学奇术!$A:$ZZ,2,FALSE)+SUM(_xlfn.XLOOKUP($R19:$AF19,增益!$A:$A,增益!$B:$B,0))</f>
        <v>0.2937</v>
      </c>
      <c r="AM19" s="30" cm="1">
        <f t="array" ref="AM19">VLOOKUP($Q19,武学奇术!$A:$ZZ,5,FALSE)+SUM(_xlfn.XLOOKUP($R19:$AF19,增益!$A:$A,增益!$E:$E,0))</f>
        <v>0</v>
      </c>
      <c r="AN19" cm="1">
        <f t="array" ref="AN19">$D$10*(1+$AM19)+VLOOKUP($Q19,武学奇术!$A:$ZZ,3,FALSE)+SUM(_xlfn.XLOOKUP($R19:$AF19,增益!$A:$A,增益!$C:$C,0))-$I$2</f>
        <v>3545.8</v>
      </c>
      <c r="AO19" cm="1">
        <f t="array" ref="AO19">$E$10*(1+$AM19)+VLOOKUP($Q19,武学奇术!$A:$ZZ,4,FALSE)+SUM(_xlfn.XLOOKUP($R19:$AF19,增益!$A:$A,增益!$D:$D,0))-$I$2</f>
        <v>3545.8</v>
      </c>
      <c r="AP19" s="35" cm="1">
        <f t="array" ref="AP19">IF($F$10-$I$3+VLOOKUP($Q19,武学奇术!$A:$ZZ,6,FALSE)+SUM(_xlfn.XLOOKUP(R19:AF19,增益!$A:$A,增益!$F:$F,0))&gt;0,($F$10-$I$3+VLOOKUP($Q19,武学奇术!$A:$ZZ,6,FALSE)+SUM(_xlfn.XLOOKUP(R19:AF19,增益!$A:$A,增益!$F:$F,0)))/200,($F$10-$I$3+VLOOKUP($Q19,武学奇术!$A:$ZZ,6,FALSE)+SUM(_xlfn.XLOOKUP(R19:AF19,增益!$A:$A,增益!$F:$F,0)))/100)</f>
        <v>0.3325</v>
      </c>
      <c r="AQ19" s="35" cm="1">
        <f t="array" ref="AQ19">$G$10+VLOOKUP($Q19,武学奇术!$A:$ZZ,7,FALSE)+SUM(_xlfn.XLOOKUP(R19:AF19,增益!$A:$A,增益!$G:$G,0))</f>
        <v>0.028</v>
      </c>
      <c r="AR19" s="30" cm="1">
        <f t="array" ref="AR19">VLOOKUP($Q19,武学奇术!$A:$ZZ,8,FALSE)+SUM(_xlfn.XLOOKUP(R19:AF19,增益!$A:$A,增益!$H:$H,0))</f>
        <v>0</v>
      </c>
      <c r="AS19">
        <f t="shared" si="0"/>
        <v>0</v>
      </c>
      <c r="AT19">
        <f t="shared" si="1"/>
        <v>0</v>
      </c>
      <c r="AU19" s="35" cm="1">
        <f t="array" ref="AU19">IF($F$11-$I$4+VLOOKUP($Q19,武学奇术!$A:$ZZ,9,FALSE)+SUM(_xlfn.XLOOKUP(R19:AF19,增益!$A:$A,增益!$I:$I,0))&gt;0,($F$11-$I$4+VLOOKUP($Q19,武学奇术!$A:$ZZ,9,FALSE)+SUM(_xlfn.XLOOKUP(R19:AF19,增益!$A:$A,增益!$I:$I,0)))/200,($F$11-$I$4+VLOOKUP($Q19,武学奇术!$A:$ZZ,9,FALSE)+SUM(_xlfn.XLOOKUP(R19:AF19,增益!$A:$A,增益!$I:$I,0)))/100)</f>
        <v>-0.14</v>
      </c>
      <c r="AV19" s="35" cm="1">
        <f t="array" ref="AV19">$G$11+VLOOKUP($Q19,武学奇术!$A:$ZZ,10,FALSE)+SUM(_xlfn.XLOOKUP(R19:AF19,增益!$A:$A,增益!$J:$J,0))</f>
        <v>0</v>
      </c>
      <c r="AW19">
        <f t="shared" si="2"/>
        <v>0</v>
      </c>
      <c r="AX19">
        <f t="shared" si="3"/>
        <v>0</v>
      </c>
      <c r="AY19" s="35" cm="1">
        <f t="array" ref="AY19">IF($F$12-$I$4+VLOOKUP($Q19,武学奇术!$A:$ZZ,11,FALSE)+SUM(_xlfn.XLOOKUP(R19:AF19,增益!$A:$A,增益!$K:$K,0))&gt;0,($F$12-$I$4+VLOOKUP($Q19,武学奇术!$A:$ZZ,11,FALSE)+SUM(_xlfn.XLOOKUP(R19:AF19,增益!$A:$A,增益!$K:$K,0)))/200,($F$12-$I$4+VLOOKUP($Q19,武学奇术!$A:$ZZ,11,FALSE)+SUM(_xlfn.XLOOKUP(R19:AF19,增益!$A:$A,增益!$K:$K,0)))/100)</f>
        <v>-0.14</v>
      </c>
      <c r="AZ19" s="35" cm="1">
        <f t="array" ref="AZ19">$G$12+VLOOKUP($Q19,武学奇术!$A:$ZZ,12,FALSE)+SUM(_xlfn.XLOOKUP(R19:AF19,增益!$A:$A,增益!$L:$L,0))</f>
        <v>0</v>
      </c>
      <c r="BA19">
        <f t="shared" si="4"/>
        <v>0</v>
      </c>
      <c r="BB19">
        <f t="shared" si="5"/>
        <v>0</v>
      </c>
      <c r="BC19" s="35" cm="1">
        <f t="array" ref="BC19">IF($F$13-$I$4+VLOOKUP($Q19,武学奇术!$A:$ZZ,13,FALSE)+SUM(_xlfn.XLOOKUP(R19:AF19,增益!$A:$A,增益!$M:$M,0))&gt;0,($F$13-$I$4+VLOOKUP($Q19,武学奇术!$A:$ZZ,13,FALSE)+SUM(_xlfn.XLOOKUP(R19:AF19,增益!$A:$A,增益!$K:$K,0)))/200,($F$13-$I$4+VLOOKUP($Q19,武学奇术!$A:$ZZ,13,FALSE)+SUM(_xlfn.XLOOKUP(R19:AF19,增益!$A:$A,增益!$M:$M,0)))/100)</f>
        <v>-0.14</v>
      </c>
      <c r="BD19" s="35" cm="1">
        <f t="array" ref="BD19">$G$13+VLOOKUP($Q19,武学奇术!$A:$ZZ,14,FALSE)+SUM(_xlfn.XLOOKUP(R19:AF19,增益!$A:$A,增益!$N:$N,0))</f>
        <v>0</v>
      </c>
      <c r="BE19">
        <f t="shared" si="6"/>
        <v>538</v>
      </c>
      <c r="BF19">
        <f t="shared" si="7"/>
        <v>1561.4</v>
      </c>
      <c r="BG19" s="35" cm="1">
        <f t="array" ref="BG19">IF($F$14-$I$4+VLOOKUP($Q19,武学奇术!$A:$ZZ,15,FALSE)+SUM(_xlfn.XLOOKUP(R19:AF19,增益!$A:$A,增益!$O:$O,0))&gt;0,($F$14-$I$4+VLOOKUP($Q19,武学奇术!$A:$ZZ,15,FALSE)+SUM(_xlfn.XLOOKUP(R19:AF19,增益!$A:$A,增益!$O:$O,0)))/200,($F$14-$I$4+VLOOKUP($Q19,武学奇术!$A:$ZZ,15,FALSE)+SUM(_xlfn.XLOOKUP(R19:AF19,增益!$A:$A,增益!$O:$O,0)))/100)</f>
        <v>0.08</v>
      </c>
      <c r="BH19" s="35" cm="1">
        <f t="array" ref="BH19">$G$14+VLOOKUP($Q19,武学奇术!$A:$ZZ,16,FALSE)+SUM(_xlfn.XLOOKUP(R19:AF19,增益!$A:$A,增益!$P:$P,0))</f>
        <v>0.15</v>
      </c>
      <c r="BI19" s="30">
        <f>MIN(IF(VLOOKUP($Q19,武学奇术!$A:$ZZ,23,FALSE)=1,100%,$B$8),100%)</f>
        <v>0.9712</v>
      </c>
      <c r="BJ19" s="30" cm="1">
        <f t="array" ref="BJ19">IF(VLOOKUP($Q19,武学奇术!$A:$ZZ,23,FALSE)=1,100%,MIN(80%,$B$9+VLOOKUP($Q19,武学奇术!$A:$ZZ,17,FALSE)+SUM(_xlfn.XLOOKUP(R19:AF19,增益!$A:$A,增益!$Q:$Q,0)))+$B$11+SUM(_xlfn.XLOOKUP(R19:AF19,增益!$A:$A,增益!$U:$U,0)))*IF(VLOOKUP($Q19,武学奇术!$A:$ZZ,24,FALSE)=1,0,1)</f>
        <v>0.8773</v>
      </c>
      <c r="BK19" s="30" cm="1">
        <f t="array" ref="BK19">1+$B$13+VLOOKUP($Q19,武学奇术!$A:$ZZ,18,FALSE)+SUM(_xlfn.XLOOKUP(R19:AF19,增益!$A:$A,增益!$R:$R,0))</f>
        <v>1.8</v>
      </c>
      <c r="BL19" s="30" cm="1">
        <f t="array" ref="BL19">IF(VLOOKUP($Q19,武学奇术!$A:$ZZ,24,FALSE)=1,100%,MIN(40%,$B$10+VLOOKUP($Q19,武学奇术!$A:$ZZ,19,FALSE)+SUM(_xlfn.XLOOKUP(R19:AF19,增益!$A:$A,增益!$S:$S,0)))+$B$12+SUM(_xlfn.XLOOKUP(R19:AF19,增益!$A:$A,增益!$V:$V,0)))*IF(VLOOKUP($Q19,武学奇术!$A:$ZZ,23,FALSE)=1,0,1)</f>
        <v>0.0895</v>
      </c>
      <c r="BM19" s="30" cm="1">
        <f t="array" ref="BM19">1+$B$14+VLOOKUP($Q19,武学奇术!$A:$ZZ,20,FALSE)+SUM(_xlfn.XLOOKUP(R19:AF19,增益!$A:$A,增益!$T:$T,0))</f>
        <v>1.35</v>
      </c>
      <c r="BN19" s="30">
        <f t="shared" si="8"/>
        <v>0.85203376</v>
      </c>
      <c r="BO19" s="30">
        <f t="shared" si="9"/>
        <v>0.03224384</v>
      </c>
      <c r="BP19" s="30">
        <f>IF(VLOOKUP($Q19,武学奇术!$A:$ZZ,22,FALSE)=1,0,(1-$BI19))*(1-$BL19)</f>
        <v>0.0262224</v>
      </c>
      <c r="BQ19" s="30" cm="1">
        <f t="array" ref="BQ19">SUM(_xlfn.XLOOKUP(R19:AF19,增益!$A:$A,增益!$W:$W,0))+$I$5</f>
        <v>0.11</v>
      </c>
    </row>
    <row r="20" spans="1:69">
      <c r="A20" s="44" t="s">
        <v>137</v>
      </c>
      <c r="B20" s="72">
        <v>0</v>
      </c>
      <c r="C20" s="42" t="s">
        <v>138</v>
      </c>
      <c r="D20" s="81" t="s">
        <v>125</v>
      </c>
      <c r="H20" s="70" t="s">
        <v>139</v>
      </c>
      <c r="I20" s="39"/>
      <c r="J20" s="40"/>
      <c r="K20" s="41">
        <f t="shared" si="10"/>
        <v>44421.2654861683</v>
      </c>
      <c r="L20" s="41">
        <f>((($AN20+$AO20)/2*$AH20+$AI20)*(1+$AP20)*(1+$AQ20)+(($AS20+$AT20)/2*IF($G$1="鸣金",$AJ20,$AH20)+IF($G$1="鸣金",$AK20*1.5,0))*(1+$AU20)*(1+$AV20)+(($AW20+$AX20)/2*IF($G$1="裂石",$AJ20,$AH20)+IF($G$1="裂石",$AK20*1.5,0))*(1+$AY20)*(1+$AZ20)+(($BA20+$BB20)/2*IF($G$1="牵丝",$AJ20,$AH20)+IF($G$1="牵丝",$AK20*1.5,0))*(1+$BC20)*(1+$BD20)+(($BE20+$BF20)/2*IF($G$1="破竹",$AJ20,$AH20)+IF($G$1="破竹",$AK20*1.5,0))*(1+$BG20)*(1+$BH20))*(1+$AL20)*$BK20*$P20*(1+IF(VLOOKUP($Q20,武学奇术!$A:$ZZ,30,FALSE)="回旋伞",$B$21,0))*(1+$BQ20)</f>
        <v>46393.0885431229</v>
      </c>
      <c r="M20" s="41">
        <f>(($AO20*$AH20+$AI20)*(1+$AP20)*(1+$AQ20)+($AT20*IF($G$1="鸣金",$AJ20,$AH20)+IF($G$1="鸣金",$AK20*1.5,0))*(1+$AU20)*(1+$AV20)+($AX20*IF($G$1="裂石",$AJ20,$AH20)+IF($G$1="裂石",$AK20*1.5,0))*(1+$AY20)*(1+$AZ20)+($BB20*IF($G$1="牵丝",$AJ20,$AH20)+IF($G$1="牵丝",$AK20*1.5,0))*(1+$BC20)*(1+$BD20)+($BF20*IF($G$1="破竹",$AJ20,$AH20)+IF($G$1="破竹",$AK20*1.5,0))*(1+$BG20)*(1+$BH20))*(1+$AL20)*$BM20*$P20*(1+IF(VLOOKUP($Q20,武学奇术!$A:$ZZ,30,FALSE)="回旋伞",$B$21,0))*(1+$BQ20)</f>
        <v>38844.789936167</v>
      </c>
      <c r="N20" s="41">
        <f>((($AN20+$AO20)/2*$AH20+$AI20)*(1+$AP20)*(1+$AQ20)+(($AS20+$AT20)/2*IF($G$1="鸣金",$AJ20,$AH20)+IF($G$1="鸣金",$AK20*1.5,0))*(1+$AU20)*(1+$AV20)+(($AW20+$AX20)/2*IF($G$1="裂石",$AJ20,$AH20)+IF($G$1="裂石",$AK20*1.5,0))*(1+$AY20)*(1+$AZ20)+(($BA20+$BB20)/2*IF($G$1="牵丝",$AJ20,$AH20)+IF($G$1="牵丝",$AK20*1.5,0))*(1+$BC20)*(1+$BD20)+(($BE20+$BF20)/2*IF($G$1="破竹",$AJ20,$AH20)+IF($G$1="破竹",$AK20*1.5,0))*(1+$BG20)*(1+$BH20))*(1+$AL20)*$P20*(1+IF(VLOOKUP($Q20,武学奇术!$A:$ZZ,30,FALSE)="回旋伞",$B$21,0))*(1+$BQ20)</f>
        <v>25631.5406315596</v>
      </c>
      <c r="O20" s="41">
        <f>((($AN20*$AH20+$AI20)*(1+$AP20)*(1+$AQ20)+($AS20*IF($G$1="鸣金",$AJ20,$AH20)+IF($G$1="鸣金",$AK20*1.5,0))*(1+$AU20)*(1+$AV20)+($AW20*IF($G$1="裂石",$AJ20,$AH20)+IF($G$1="裂石",$AK20*1.5,0))*(1+$AY20)*(1+$AZ20)+($BA20*IF($G$1="牵丝",$AJ20,$AH20)+IF($G$1="牵丝",$AK20*1.5,0))*(1+$BC20)*(1+$BD20)+($BE20*IF($G$1="破竹",$AJ20,$AH20)+IF($G$1="破竹",$AK20*1.5,0))*(1+$BG20)*(1+$BH20))*(1+$AL20))*$P20*(1+IF(VLOOKUP($Q20,武学奇术!$A:$ZZ,30,FALSE)="回旋伞",$B$21,0))*(1+$BQ20)</f>
        <v>22489.1627918844</v>
      </c>
      <c r="P20" s="42">
        <v>1</v>
      </c>
      <c r="Q20" s="43" t="s">
        <v>140</v>
      </c>
      <c r="R20" s="43" t="s">
        <v>71</v>
      </c>
      <c r="S20" s="43" t="s">
        <v>91</v>
      </c>
      <c r="T20" s="43" t="s">
        <v>72</v>
      </c>
      <c r="U20" s="43" t="s">
        <v>73</v>
      </c>
      <c r="V20" s="43" t="s">
        <v>92</v>
      </c>
      <c r="W20" s="43" t="s">
        <v>95</v>
      </c>
      <c r="X20" s="43" t="s">
        <v>82</v>
      </c>
      <c r="Y20" s="43" t="s">
        <v>71</v>
      </c>
      <c r="Z20" s="43" t="s">
        <v>71</v>
      </c>
      <c r="AA20" s="43" t="s">
        <v>71</v>
      </c>
      <c r="AB20" s="43" t="s">
        <v>71</v>
      </c>
      <c r="AC20" s="43" t="s">
        <v>71</v>
      </c>
      <c r="AD20" s="43" t="s">
        <v>71</v>
      </c>
      <c r="AE20" s="43" t="s">
        <v>71</v>
      </c>
      <c r="AF20" s="43" t="s">
        <v>76</v>
      </c>
      <c r="AG20" t="str">
        <f>VLOOKUP($Q20,武学奇术!$A:$ZZ,25,FALSE)</f>
        <v>伞</v>
      </c>
      <c r="AH20" s="30">
        <f>VLOOKUP($Q20,武学奇术!$A:$ZZ,26,FALSE)</f>
        <v>2.01456</v>
      </c>
      <c r="AI20" s="31">
        <f>VLOOKUP($Q20,武学奇术!$A:$ZZ,27,FALSE)*(1+IF(OR($AG20=$F$4,$AG20=$F$5),$B$22,0))</f>
        <v>781.2</v>
      </c>
      <c r="AJ20" s="30">
        <f>VLOOKUP($Q20,武学奇术!$A:$ZZ,28,FALSE)</f>
        <v>3.02184</v>
      </c>
      <c r="AK20" s="31">
        <f>VLOOKUP($Q20,武学奇术!$A:$ZZ,29,FALSE)*(1+IF(OR($AG20=$F$4,$AG20=$F$5),$B$22,0))</f>
        <v>423.36</v>
      </c>
      <c r="AL20" s="30" cm="1">
        <f t="array" ref="AL20">$G$3+IFERROR(VLOOKUP($AG20,$F$4:$G$7,2,FALSE),0)+VLOOKUP($Q20,武学奇术!$A:$ZZ,2,FALSE)+SUM(_xlfn.XLOOKUP($R20:$AF20,增益!$A:$A,增益!$B:$B,0))</f>
        <v>0.4741</v>
      </c>
      <c r="AM20" s="30" cm="1">
        <f t="array" ref="AM20">VLOOKUP($Q20,武学奇术!$A:$ZZ,5,FALSE)+SUM(_xlfn.XLOOKUP($R20:$AF20,增益!$A:$A,增益!$E:$E,0))</f>
        <v>0</v>
      </c>
      <c r="AN20" cm="1">
        <f t="array" ref="AN20">$D$10*(1+$AM20)+VLOOKUP($Q20,武学奇术!$A:$ZZ,3,FALSE)+SUM(_xlfn.XLOOKUP($R20:$AF20,增益!$A:$A,增益!$C:$C,0))-$I$2</f>
        <v>3545.8</v>
      </c>
      <c r="AO20" cm="1">
        <f t="array" ref="AO20">$E$10*(1+$AM20)+VLOOKUP($Q20,武学奇术!$A:$ZZ,4,FALSE)+SUM(_xlfn.XLOOKUP($R20:$AF20,增益!$A:$A,增益!$D:$D,0))-$I$2</f>
        <v>3545.8</v>
      </c>
      <c r="AP20" s="35" cm="1">
        <f t="array" ref="AP20">IF($F$10-$I$3+VLOOKUP($Q20,武学奇术!$A:$ZZ,6,FALSE)+SUM(_xlfn.XLOOKUP(R20:AF20,增益!$A:$A,增益!$F:$F,0))&gt;0,($F$10-$I$3+VLOOKUP($Q20,武学奇术!$A:$ZZ,6,FALSE)+SUM(_xlfn.XLOOKUP(R20:AF20,增益!$A:$A,增益!$F:$F,0)))/200,($F$10-$I$3+VLOOKUP($Q20,武学奇术!$A:$ZZ,6,FALSE)+SUM(_xlfn.XLOOKUP(R20:AF20,增益!$A:$A,增益!$F:$F,0)))/100)</f>
        <v>0.3425</v>
      </c>
      <c r="AQ20" s="35" cm="1">
        <f t="array" ref="AQ20">$G$10+VLOOKUP($Q20,武学奇术!$A:$ZZ,7,FALSE)+SUM(_xlfn.XLOOKUP(R20:AF20,增益!$A:$A,增益!$G:$G,0))</f>
        <v>0.028</v>
      </c>
      <c r="AR20" s="30" cm="1">
        <f t="array" ref="AR20">VLOOKUP($Q20,武学奇术!$A:$ZZ,8,FALSE)+SUM(_xlfn.XLOOKUP(R20:AF20,增益!$A:$A,增益!$H:$H,0))</f>
        <v>0</v>
      </c>
      <c r="AS20">
        <f t="shared" si="0"/>
        <v>0</v>
      </c>
      <c r="AT20">
        <f t="shared" si="1"/>
        <v>0</v>
      </c>
      <c r="AU20" s="35" cm="1">
        <f t="array" ref="AU20">IF($F$11-$I$4+VLOOKUP($Q20,武学奇术!$A:$ZZ,9,FALSE)+SUM(_xlfn.XLOOKUP(R20:AF20,增益!$A:$A,增益!$I:$I,0))&gt;0,($F$11-$I$4+VLOOKUP($Q20,武学奇术!$A:$ZZ,9,FALSE)+SUM(_xlfn.XLOOKUP(R20:AF20,增益!$A:$A,增益!$I:$I,0)))/200,($F$11-$I$4+VLOOKUP($Q20,武学奇术!$A:$ZZ,9,FALSE)+SUM(_xlfn.XLOOKUP(R20:AF20,增益!$A:$A,增益!$I:$I,0)))/100)</f>
        <v>-0.14</v>
      </c>
      <c r="AV20" s="35" cm="1">
        <f t="array" ref="AV20">$G$11+VLOOKUP($Q20,武学奇术!$A:$ZZ,10,FALSE)+SUM(_xlfn.XLOOKUP(R20:AF20,增益!$A:$A,增益!$J:$J,0))</f>
        <v>0</v>
      </c>
      <c r="AW20">
        <f t="shared" si="2"/>
        <v>0</v>
      </c>
      <c r="AX20">
        <f t="shared" si="3"/>
        <v>0</v>
      </c>
      <c r="AY20" s="35" cm="1">
        <f t="array" ref="AY20">IF($F$12-$I$4+VLOOKUP($Q20,武学奇术!$A:$ZZ,11,FALSE)+SUM(_xlfn.XLOOKUP(R20:AF20,增益!$A:$A,增益!$K:$K,0))&gt;0,($F$12-$I$4+VLOOKUP($Q20,武学奇术!$A:$ZZ,11,FALSE)+SUM(_xlfn.XLOOKUP(R20:AF20,增益!$A:$A,增益!$K:$K,0)))/200,($F$12-$I$4+VLOOKUP($Q20,武学奇术!$A:$ZZ,11,FALSE)+SUM(_xlfn.XLOOKUP(R20:AF20,增益!$A:$A,增益!$K:$K,0)))/100)</f>
        <v>-0.14</v>
      </c>
      <c r="AZ20" s="35" cm="1">
        <f t="array" ref="AZ20">$G$12+VLOOKUP($Q20,武学奇术!$A:$ZZ,12,FALSE)+SUM(_xlfn.XLOOKUP(R20:AF20,增益!$A:$A,增益!$L:$L,0))</f>
        <v>0</v>
      </c>
      <c r="BA20">
        <f t="shared" si="4"/>
        <v>0</v>
      </c>
      <c r="BB20">
        <f t="shared" si="5"/>
        <v>0</v>
      </c>
      <c r="BC20" s="35" cm="1">
        <f t="array" ref="BC20">IF($F$13-$I$4+VLOOKUP($Q20,武学奇术!$A:$ZZ,13,FALSE)+SUM(_xlfn.XLOOKUP(R20:AF20,增益!$A:$A,增益!$M:$M,0))&gt;0,($F$13-$I$4+VLOOKUP($Q20,武学奇术!$A:$ZZ,13,FALSE)+SUM(_xlfn.XLOOKUP(R20:AF20,增益!$A:$A,增益!$K:$K,0)))/200,($F$13-$I$4+VLOOKUP($Q20,武学奇术!$A:$ZZ,13,FALSE)+SUM(_xlfn.XLOOKUP(R20:AF20,增益!$A:$A,增益!$M:$M,0)))/100)</f>
        <v>-0.14</v>
      </c>
      <c r="BD20" s="35" cm="1">
        <f t="array" ref="BD20">$G$13+VLOOKUP($Q20,武学奇术!$A:$ZZ,14,FALSE)+SUM(_xlfn.XLOOKUP(R20:AF20,增益!$A:$A,增益!$N:$N,0))</f>
        <v>0</v>
      </c>
      <c r="BE20">
        <f t="shared" si="6"/>
        <v>538</v>
      </c>
      <c r="BF20">
        <f t="shared" si="7"/>
        <v>1561.4</v>
      </c>
      <c r="BG20" s="35" cm="1">
        <f t="array" ref="BG20">IF($F$14-$I$4+VLOOKUP($Q20,武学奇术!$A:$ZZ,15,FALSE)+SUM(_xlfn.XLOOKUP(R20:AF20,增益!$A:$A,增益!$O:$O,0))&gt;0,($F$14-$I$4+VLOOKUP($Q20,武学奇术!$A:$ZZ,15,FALSE)+SUM(_xlfn.XLOOKUP(R20:AF20,增益!$A:$A,增益!$O:$O,0)))/200,($F$14-$I$4+VLOOKUP($Q20,武学奇术!$A:$ZZ,15,FALSE)+SUM(_xlfn.XLOOKUP(R20:AF20,增益!$A:$A,增益!$O:$O,0)))/100)</f>
        <v>0.08</v>
      </c>
      <c r="BH20" s="35" cm="1">
        <f t="array" ref="BH20">$G$14+VLOOKUP($Q20,武学奇术!$A:$ZZ,16,FALSE)+SUM(_xlfn.XLOOKUP(R20:AF20,增益!$A:$A,增益!$P:$P,0))</f>
        <v>0.15</v>
      </c>
      <c r="BI20" s="30">
        <f>MIN(IF(VLOOKUP($Q20,武学奇术!$A:$ZZ,23,FALSE)=1,100%,$B$8),100%)</f>
        <v>0.9712</v>
      </c>
      <c r="BJ20" s="30" cm="1">
        <f t="array" ref="BJ20">IF(VLOOKUP($Q20,武学奇术!$A:$ZZ,23,FALSE)=1,100%,MIN(80%,$B$9+VLOOKUP($Q20,武学奇术!$A:$ZZ,17,FALSE)+SUM(_xlfn.XLOOKUP(R20:AF20,增益!$A:$A,增益!$Q:$Q,0)))+$B$11+SUM(_xlfn.XLOOKUP(R20:AF20,增益!$A:$A,增益!$U:$U,0)))*IF(VLOOKUP($Q20,武学奇术!$A:$ZZ,24,FALSE)=1,0,1)</f>
        <v>0.8773</v>
      </c>
      <c r="BK20" s="30" cm="1">
        <f t="array" ref="BK20">1+$B$13+VLOOKUP($Q20,武学奇术!$A:$ZZ,18,FALSE)+SUM(_xlfn.XLOOKUP(R20:AF20,增益!$A:$A,增益!$R:$R,0))</f>
        <v>1.81</v>
      </c>
      <c r="BL20" s="30" cm="1">
        <f t="array" ref="BL20">IF(VLOOKUP($Q20,武学奇术!$A:$ZZ,24,FALSE)=1,100%,MIN(40%,$B$10+VLOOKUP($Q20,武学奇术!$A:$ZZ,19,FALSE)+SUM(_xlfn.XLOOKUP(R20:AF20,增益!$A:$A,增益!$S:$S,0)))+$B$12+SUM(_xlfn.XLOOKUP(R20:AF20,增益!$A:$A,增益!$V:$V,0)))*IF(VLOOKUP($Q20,武学奇术!$A:$ZZ,23,FALSE)=1,0,1)</f>
        <v>0.0895</v>
      </c>
      <c r="BM20" s="30" cm="1">
        <f t="array" ref="BM20">1+$B$14+VLOOKUP($Q20,武学奇术!$A:$ZZ,20,FALSE)+SUM(_xlfn.XLOOKUP(R20:AF20,增益!$A:$A,增益!$T:$T,0))</f>
        <v>1.35</v>
      </c>
      <c r="BN20" s="30">
        <f t="shared" si="8"/>
        <v>0.85203376</v>
      </c>
      <c r="BO20" s="30">
        <f t="shared" si="9"/>
        <v>0.03224384</v>
      </c>
      <c r="BP20" s="30">
        <f>IF(VLOOKUP($Q20,武学奇术!$A:$ZZ,22,FALSE)=1,0,(1-$BI20))*(1-$BL20)</f>
        <v>0.0262224</v>
      </c>
      <c r="BQ20" s="30" cm="1">
        <f t="array" ref="BQ20">SUM(_xlfn.XLOOKUP(R20:AF20,增益!$A:$A,增益!$W:$W,0))+$I$5</f>
        <v>0.11</v>
      </c>
    </row>
    <row r="21" ht="14.25" spans="1:69">
      <c r="A21" s="87" t="s">
        <v>141</v>
      </c>
      <c r="B21" s="94">
        <v>0.32</v>
      </c>
      <c r="C21" s="42" t="s">
        <v>142</v>
      </c>
      <c r="D21" s="42"/>
      <c r="F21" s="42"/>
      <c r="H21" s="73"/>
      <c r="I21" s="82"/>
      <c r="J21" s="93"/>
      <c r="K21" s="41">
        <f t="shared" si="10"/>
        <v>11921.799499216</v>
      </c>
      <c r="L21" s="41">
        <f>((($AN21+$AO21)/2*$AH21+$AI21)*(1+$AP21)*(1+$AQ21)+(($AS21+$AT21)/2*IF($G$1="鸣金",$AJ21,$AH21)+IF($G$1="鸣金",$AK21*1.5,0))*(1+$AU21)*(1+$AV21)+(($AW21+$AX21)/2*IF($G$1="裂石",$AJ21,$AH21)+IF($G$1="裂石",$AK21*1.5,0))*(1+$AY21)*(1+$AZ21)+(($BA21+$BB21)/2*IF($G$1="牵丝",$AJ21,$AH21)+IF($G$1="牵丝",$AK21*1.5,0))*(1+$BC21)*(1+$BD21)+(($BE21+$BF21)/2*IF($G$1="破竹",$AJ21,$AH21)+IF($G$1="破竹",$AK21*1.5,0))*(1+$BG21)*(1+$BH21))*(1+$AL21)*$BK21*$P21*(1+IF(VLOOKUP($Q21,武学奇术!$A:$ZZ,30,FALSE)="回旋伞",$B$21,0))*(1+$BQ21)</f>
        <v>12439.7347143872</v>
      </c>
      <c r="M21" s="41">
        <f>(($AO21*$AH21+$AI21)*(1+$AP21)*(1+$AQ21)+($AT21*IF($G$1="鸣金",$AJ21,$AH21)+IF($G$1="鸣金",$AK21*1.5,0))*(1+$AU21)*(1+$AV21)+($AX21*IF($G$1="裂石",$AJ21,$AH21)+IF($G$1="裂石",$AK21*1.5,0))*(1+$AY21)*(1+$AZ21)+($BB21*IF($G$1="牵丝",$AJ21,$AH21)+IF($G$1="牵丝",$AK21*1.5,0))*(1+$BC21)*(1+$BD21)+($BF21*IF($G$1="破竹",$AJ21,$AH21)+IF($G$1="破竹",$AK21*1.5,0))*(1+$BG21)*(1+$BH21))*(1+$AL21)*$BM21*$P21*(1+IF(VLOOKUP($Q21,武学奇术!$A:$ZZ,30,FALSE)="回旋伞",$B$21,0))*(1+$BQ21)</f>
        <v>10569.6533696665</v>
      </c>
      <c r="N21" s="41">
        <f>((($AN21+$AO21)/2*$AH21+$AI21)*(1+$AP21)*(1+$AQ21)+(($AS21+$AT21)/2*IF($G$1="鸣金",$AJ21,$AH21)+IF($G$1="鸣金",$AK21*1.5,0))*(1+$AU21)*(1+$AV21)+(($AW21+$AX21)/2*IF($G$1="裂石",$AJ21,$AH21)+IF($G$1="裂石",$AK21*1.5,0))*(1+$AY21)*(1+$AZ21)+(($BA21+$BB21)/2*IF($G$1="牵丝",$AJ21,$AH21)+IF($G$1="牵丝",$AK21*1.5,0))*(1+$BC21)*(1+$BD21)+(($BE21+$BF21)/2*IF($G$1="破竹",$AJ21,$AH21)+IF($G$1="破竹",$AK21*1.5,0))*(1+$BG21)*(1+$BH21))*(1+$AL21)*$P21*(1+IF(VLOOKUP($Q21,武学奇术!$A:$ZZ,30,FALSE)="回旋伞",$B$21,0))*(1+$BQ21)</f>
        <v>6872.78161015869</v>
      </c>
      <c r="O21" s="41">
        <f>((($AN21*$AH21+$AI21)*(1+$AP21)*(1+$AQ21)+($AS21*IF($G$1="鸣金",$AJ21,$AH21)+IF($G$1="鸣金",$AK21*1.5,0))*(1+$AU21)*(1+$AV21)+($AW21*IF($G$1="裂石",$AJ21,$AH21)+IF($G$1="裂石",$AK21*1.5,0))*(1+$AY21)*(1+$AZ21)+($BA21*IF($G$1="牵丝",$AJ21,$AH21)+IF($G$1="牵丝",$AK21*1.5,0))*(1+$BC21)*(1+$BD21)+($BE21*IF($G$1="破竹",$AJ21,$AH21)+IF($G$1="破竹",$AK21*1.5,0))*(1+$BG21)*(1+$BH21))*(1+$AL21))*$P21*(1+IF(VLOOKUP($Q21,武学奇术!$A:$ZZ,30,FALSE)="回旋伞",$B$21,0))*(1+$BQ21)</f>
        <v>5916.19035389776</v>
      </c>
      <c r="P21" s="42">
        <v>1</v>
      </c>
      <c r="Q21" s="43" t="s">
        <v>143</v>
      </c>
      <c r="R21" s="43" t="s">
        <v>71</v>
      </c>
      <c r="S21" s="43" t="s">
        <v>91</v>
      </c>
      <c r="T21" s="43" t="s">
        <v>72</v>
      </c>
      <c r="U21" s="43" t="s">
        <v>73</v>
      </c>
      <c r="V21" s="43" t="s">
        <v>92</v>
      </c>
      <c r="W21" s="43" t="s">
        <v>95</v>
      </c>
      <c r="X21" s="43" t="s">
        <v>82</v>
      </c>
      <c r="Y21" s="43" t="s">
        <v>71</v>
      </c>
      <c r="Z21" s="43" t="s">
        <v>71</v>
      </c>
      <c r="AA21" s="43" t="s">
        <v>71</v>
      </c>
      <c r="AB21" s="43" t="s">
        <v>71</v>
      </c>
      <c r="AC21" s="43" t="s">
        <v>71</v>
      </c>
      <c r="AD21" s="43" t="s">
        <v>71</v>
      </c>
      <c r="AE21" s="43" t="s">
        <v>71</v>
      </c>
      <c r="AF21" s="43" t="s">
        <v>76</v>
      </c>
      <c r="AG21" t="str">
        <f>VLOOKUP($Q21,武学奇术!$A:$ZZ,25,FALSE)</f>
        <v>伞</v>
      </c>
      <c r="AH21" s="30">
        <f>VLOOKUP($Q21,武学奇术!$A:$ZZ,26,FALSE)</f>
        <v>0.54</v>
      </c>
      <c r="AI21" s="31">
        <f>VLOOKUP($Q21,武学奇术!$A:$ZZ,27,FALSE)*(1+IF(OR($AG21=$F$4,$AG21=$F$5),$B$22,0))</f>
        <v>0</v>
      </c>
      <c r="AJ21" s="30">
        <f>VLOOKUP($Q21,武学奇术!$A:$ZZ,28,FALSE)</f>
        <v>0.81</v>
      </c>
      <c r="AK21" s="31">
        <f>VLOOKUP($Q21,武学奇术!$A:$ZZ,29,FALSE)*(1+IF(OR($AG21=$F$4,$AG21=$F$5),$B$22,0))</f>
        <v>0</v>
      </c>
      <c r="AL21" s="30" cm="1">
        <f t="array" ref="AL21">$G$3+IFERROR(VLOOKUP($AG21,$F$4:$G$7,2,FALSE),0)+VLOOKUP($Q21,武学奇术!$A:$ZZ,2,FALSE)+SUM(_xlfn.XLOOKUP($R21:$AF21,增益!$A:$A,增益!$B:$B,0))</f>
        <v>0.6741</v>
      </c>
      <c r="AM21" s="30" cm="1">
        <f t="array" ref="AM21">VLOOKUP($Q21,武学奇术!$A:$ZZ,5,FALSE)+SUM(_xlfn.XLOOKUP($R21:$AF21,增益!$A:$A,增益!$E:$E,0))</f>
        <v>0</v>
      </c>
      <c r="AN21" cm="1">
        <f t="array" ref="AN21">$D$10*(1+$AM21)+VLOOKUP($Q21,武学奇术!$A:$ZZ,3,FALSE)+SUM(_xlfn.XLOOKUP($R21:$AF21,增益!$A:$A,增益!$C:$C,0))-$I$2</f>
        <v>3545.8</v>
      </c>
      <c r="AO21" cm="1">
        <f t="array" ref="AO21">$E$10*(1+$AM21)+VLOOKUP($Q21,武学奇术!$A:$ZZ,4,FALSE)+SUM(_xlfn.XLOOKUP($R21:$AF21,增益!$A:$A,增益!$D:$D,0))-$I$2</f>
        <v>3545.8</v>
      </c>
      <c r="AP21" s="35" cm="1">
        <f t="array" ref="AP21">IF($F$10-$I$3+VLOOKUP($Q21,武学奇术!$A:$ZZ,6,FALSE)+SUM(_xlfn.XLOOKUP(R21:AF21,增益!$A:$A,增益!$F:$F,0))&gt;0,($F$10-$I$3+VLOOKUP($Q21,武学奇术!$A:$ZZ,6,FALSE)+SUM(_xlfn.XLOOKUP(R21:AF21,增益!$A:$A,增益!$F:$F,0)))/200,($F$10-$I$3+VLOOKUP($Q21,武学奇术!$A:$ZZ,6,FALSE)+SUM(_xlfn.XLOOKUP(R21:AF21,增益!$A:$A,增益!$F:$F,0)))/100)</f>
        <v>0.3425</v>
      </c>
      <c r="AQ21" s="35" cm="1">
        <f t="array" ref="AQ21">$G$10+VLOOKUP($Q21,武学奇术!$A:$ZZ,7,FALSE)+SUM(_xlfn.XLOOKUP(R21:AF21,增益!$A:$A,增益!$G:$G,0))</f>
        <v>0.028</v>
      </c>
      <c r="AR21" s="30" cm="1">
        <f t="array" ref="AR21">VLOOKUP($Q21,武学奇术!$A:$ZZ,8,FALSE)+SUM(_xlfn.XLOOKUP(R21:AF21,增益!$A:$A,增益!$H:$H,0))</f>
        <v>0</v>
      </c>
      <c r="AS21">
        <f t="shared" si="0"/>
        <v>0</v>
      </c>
      <c r="AT21">
        <f t="shared" si="1"/>
        <v>0</v>
      </c>
      <c r="AU21" s="35" cm="1">
        <f t="array" ref="AU21">IF($F$11-$I$4+VLOOKUP($Q21,武学奇术!$A:$ZZ,9,FALSE)+SUM(_xlfn.XLOOKUP(R21:AF21,增益!$A:$A,增益!$I:$I,0))&gt;0,($F$11-$I$4+VLOOKUP($Q21,武学奇术!$A:$ZZ,9,FALSE)+SUM(_xlfn.XLOOKUP(R21:AF21,增益!$A:$A,增益!$I:$I,0)))/200,($F$11-$I$4+VLOOKUP($Q21,武学奇术!$A:$ZZ,9,FALSE)+SUM(_xlfn.XLOOKUP(R21:AF21,增益!$A:$A,增益!$I:$I,0)))/100)</f>
        <v>-0.14</v>
      </c>
      <c r="AV21" s="35" cm="1">
        <f t="array" ref="AV21">$G$11+VLOOKUP($Q21,武学奇术!$A:$ZZ,10,FALSE)+SUM(_xlfn.XLOOKUP(R21:AF21,增益!$A:$A,增益!$J:$J,0))</f>
        <v>0</v>
      </c>
      <c r="AW21">
        <f t="shared" si="2"/>
        <v>0</v>
      </c>
      <c r="AX21">
        <f t="shared" si="3"/>
        <v>0</v>
      </c>
      <c r="AY21" s="35" cm="1">
        <f t="array" ref="AY21">IF($F$12-$I$4+VLOOKUP($Q21,武学奇术!$A:$ZZ,11,FALSE)+SUM(_xlfn.XLOOKUP(R21:AF21,增益!$A:$A,增益!$K:$K,0))&gt;0,($F$12-$I$4+VLOOKUP($Q21,武学奇术!$A:$ZZ,11,FALSE)+SUM(_xlfn.XLOOKUP(R21:AF21,增益!$A:$A,增益!$K:$K,0)))/200,($F$12-$I$4+VLOOKUP($Q21,武学奇术!$A:$ZZ,11,FALSE)+SUM(_xlfn.XLOOKUP(R21:AF21,增益!$A:$A,增益!$K:$K,0)))/100)</f>
        <v>-0.14</v>
      </c>
      <c r="AZ21" s="35" cm="1">
        <f t="array" ref="AZ21">$G$12+VLOOKUP($Q21,武学奇术!$A:$ZZ,12,FALSE)+SUM(_xlfn.XLOOKUP(R21:AF21,增益!$A:$A,增益!$L:$L,0))</f>
        <v>0</v>
      </c>
      <c r="BA21">
        <f t="shared" si="4"/>
        <v>0</v>
      </c>
      <c r="BB21">
        <f t="shared" si="5"/>
        <v>0</v>
      </c>
      <c r="BC21" s="35" cm="1">
        <f t="array" ref="BC21">IF($F$13-$I$4+VLOOKUP($Q21,武学奇术!$A:$ZZ,13,FALSE)+SUM(_xlfn.XLOOKUP(R21:AF21,增益!$A:$A,增益!$M:$M,0))&gt;0,($F$13-$I$4+VLOOKUP($Q21,武学奇术!$A:$ZZ,13,FALSE)+SUM(_xlfn.XLOOKUP(R21:AF21,增益!$A:$A,增益!$K:$K,0)))/200,($F$13-$I$4+VLOOKUP($Q21,武学奇术!$A:$ZZ,13,FALSE)+SUM(_xlfn.XLOOKUP(R21:AF21,增益!$A:$A,增益!$M:$M,0)))/100)</f>
        <v>-0.14</v>
      </c>
      <c r="BD21" s="35" cm="1">
        <f t="array" ref="BD21">$G$13+VLOOKUP($Q21,武学奇术!$A:$ZZ,14,FALSE)+SUM(_xlfn.XLOOKUP(R21:AF21,增益!$A:$A,增益!$N:$N,0))</f>
        <v>0</v>
      </c>
      <c r="BE21">
        <f t="shared" si="6"/>
        <v>538</v>
      </c>
      <c r="BF21">
        <f t="shared" si="7"/>
        <v>1561.4</v>
      </c>
      <c r="BG21" s="35" cm="1">
        <f t="array" ref="BG21">IF($F$14-$I$4+VLOOKUP($Q21,武学奇术!$A:$ZZ,15,FALSE)+SUM(_xlfn.XLOOKUP(R21:AF21,增益!$A:$A,增益!$O:$O,0))&gt;0,($F$14-$I$4+VLOOKUP($Q21,武学奇术!$A:$ZZ,15,FALSE)+SUM(_xlfn.XLOOKUP(R21:AF21,增益!$A:$A,增益!$O:$O,0)))/200,($F$14-$I$4+VLOOKUP($Q21,武学奇术!$A:$ZZ,15,FALSE)+SUM(_xlfn.XLOOKUP(R21:AF21,增益!$A:$A,增益!$O:$O,0)))/100)</f>
        <v>0.08</v>
      </c>
      <c r="BH21" s="35" cm="1">
        <f t="array" ref="BH21">$G$14+VLOOKUP($Q21,武学奇术!$A:$ZZ,16,FALSE)+SUM(_xlfn.XLOOKUP(R21:AF21,增益!$A:$A,增益!$P:$P,0))</f>
        <v>0.15</v>
      </c>
      <c r="BI21" s="30">
        <f>MIN(IF(VLOOKUP($Q21,武学奇术!$A:$ZZ,23,FALSE)=1,100%,$B$8),100%)</f>
        <v>0.9712</v>
      </c>
      <c r="BJ21" s="30" cm="1">
        <f t="array" ref="BJ21">IF(VLOOKUP($Q21,武学奇术!$A:$ZZ,23,FALSE)=1,100%,MIN(80%,$B$9+VLOOKUP($Q21,武学奇术!$A:$ZZ,17,FALSE)+SUM(_xlfn.XLOOKUP(R21:AF21,增益!$A:$A,增益!$Q:$Q,0)))+$B$11+SUM(_xlfn.XLOOKUP(R21:AF21,增益!$A:$A,增益!$U:$U,0)))*IF(VLOOKUP($Q21,武学奇术!$A:$ZZ,24,FALSE)=1,0,1)</f>
        <v>0.8773</v>
      </c>
      <c r="BK21" s="30" cm="1">
        <f t="array" ref="BK21">1+$B$13+VLOOKUP($Q21,武学奇术!$A:$ZZ,18,FALSE)+SUM(_xlfn.XLOOKUP(R21:AF21,增益!$A:$A,增益!$R:$R,0))</f>
        <v>1.81</v>
      </c>
      <c r="BL21" s="30" cm="1">
        <f t="array" ref="BL21">IF(VLOOKUP($Q21,武学奇术!$A:$ZZ,24,FALSE)=1,100%,MIN(40%,$B$10+VLOOKUP($Q21,武学奇术!$A:$ZZ,19,FALSE)+SUM(_xlfn.XLOOKUP(R21:AF21,增益!$A:$A,增益!$S:$S,0)))+$B$12+SUM(_xlfn.XLOOKUP(R21:AF21,增益!$A:$A,增益!$V:$V,0)))*IF(VLOOKUP($Q21,武学奇术!$A:$ZZ,23,FALSE)=1,0,1)</f>
        <v>0.0895</v>
      </c>
      <c r="BM21" s="30" cm="1">
        <f t="array" ref="BM21">1+$B$14+VLOOKUP($Q21,武学奇术!$A:$ZZ,20,FALSE)+SUM(_xlfn.XLOOKUP(R21:AF21,增益!$A:$A,增益!$T:$T,0))</f>
        <v>1.35</v>
      </c>
      <c r="BN21" s="30">
        <f t="shared" si="8"/>
        <v>0.85203376</v>
      </c>
      <c r="BO21" s="30">
        <f t="shared" si="9"/>
        <v>0.03224384</v>
      </c>
      <c r="BP21" s="30">
        <f>IF(VLOOKUP($Q21,武学奇术!$A:$ZZ,22,FALSE)=1,0,(1-$BI21))*(1-$BL21)</f>
        <v>0.0262224</v>
      </c>
      <c r="BQ21" s="30" cm="1">
        <f t="array" ref="BQ21">SUM(_xlfn.XLOOKUP(R21:AF21,增益!$A:$A,增益!$W:$W,0))+$I$5</f>
        <v>0.11</v>
      </c>
    </row>
    <row r="22" spans="1:69">
      <c r="A22" t="s">
        <v>144</v>
      </c>
      <c r="B22" s="32">
        <v>0.4</v>
      </c>
      <c r="C22" s="43" t="s">
        <v>145</v>
      </c>
      <c r="D22" s="43"/>
      <c r="K22" s="41">
        <f t="shared" si="10"/>
        <v>183927.890533418</v>
      </c>
      <c r="L22" s="41">
        <f>((($AN22+$AO22)/2*$AH22+$AI22)*(1+$AP22)*(1+$AQ22)+(($AS22+$AT22)/2*IF($G$1="鸣金",$AJ22,$AH22)+IF($G$1="鸣金",$AK22*1.5,0))*(1+$AU22)*(1+$AV22)+(($AW22+$AX22)/2*IF($G$1="裂石",$AJ22,$AH22)+IF($G$1="裂石",$AK22*1.5,0))*(1+$AY22)*(1+$AZ22)+(($BA22+$BB22)/2*IF($G$1="牵丝",$AJ22,$AH22)+IF($G$1="牵丝",$AK22*1.5,0))*(1+$BC22)*(1+$BD22)+(($BE22+$BF22)/2*IF($G$1="破竹",$AJ22,$AH22)+IF($G$1="破竹",$AK22*1.5,0))*(1+$BG22)*(1+$BH22))*(1+$AL22)*$BK22*$P22*(1+IF(VLOOKUP($Q22,武学奇术!$A:$ZZ,30,FALSE)="回旋伞",$B$21,0))*(1+$BQ22)</f>
        <v>191971.088374018</v>
      </c>
      <c r="M22" s="41">
        <f>(($AO22*$AH22+$AI22)*(1+$AP22)*(1+$AQ22)+($AT22*IF($G$1="鸣金",$AJ22,$AH22)+IF($G$1="鸣金",$AK22*1.5,0))*(1+$AU22)*(1+$AV22)+($AX22*IF($G$1="裂石",$AJ22,$AH22)+IF($G$1="裂石",$AK22*1.5,0))*(1+$AY22)*(1+$AZ22)+($BB22*IF($G$1="牵丝",$AJ22,$AH22)+IF($G$1="牵丝",$AK22*1.5,0))*(1+$BC22)*(1+$BD22)+($BF22*IF($G$1="破竹",$AJ22,$AH22)+IF($G$1="破竹",$AK22*1.5,0))*(1+$BG22)*(1+$BH22))*(1+$AL22)*$BM22*$P22*(1+IF(VLOOKUP($Q22,武学奇术!$A:$ZZ,30,FALSE)="回旋伞",$B$21,0))*(1+$BQ22)</f>
        <v>162392.954893591</v>
      </c>
      <c r="N22" s="41">
        <f>((($AN22+$AO22)/2*$AH22+$AI22)*(1+$AP22)*(1+$AQ22)+(($AS22+$AT22)/2*IF($G$1="鸣金",$AJ22,$AH22)+IF($G$1="鸣金",$AK22*1.5,0))*(1+$AU22)*(1+$AV22)+(($AW22+$AX22)/2*IF($G$1="裂石",$AJ22,$AH22)+IF($G$1="裂石",$AK22*1.5,0))*(1+$AY22)*(1+$AZ22)+(($BA22+$BB22)/2*IF($G$1="牵丝",$AJ22,$AH22)+IF($G$1="牵丝",$AK22*1.5,0))*(1+$BC22)*(1+$BD22)+(($BE22+$BF22)/2*IF($G$1="破竹",$AJ22,$AH22)+IF($G$1="破竹",$AK22*1.5,0))*(1+$BG22)*(1+$BH22))*(1+$AL22)*$P22*(1+IF(VLOOKUP($Q22,武学奇术!$A:$ZZ,30,FALSE)="回旋伞",$B$21,0))*(1+$BQ22)</f>
        <v>106061.374792275</v>
      </c>
      <c r="O22" s="41">
        <f>((($AN22*$AH22+$AI22)*(1+$AP22)*(1+$AQ22)+($AS22*IF($G$1="鸣金",$AJ22,$AH22)+IF($G$1="鸣金",$AK22*1.5,0))*(1+$AU22)*(1+$AV22)+($AW22*IF($G$1="裂石",$AJ22,$AH22)+IF($G$1="裂石",$AK22*1.5,0))*(1+$AY22)*(1+$AZ22)+($BA22*IF($G$1="牵丝",$AJ22,$AH22)+IF($G$1="牵丝",$AK22*1.5,0))*(1+$BC22)*(1+$BD22)+($BE22*IF($G$1="破竹",$AJ22,$AH22)+IF($G$1="破竹",$AK22*1.5,0))*(1+$BG22)*(1+$BH22))*(1+$AL22))*$P22*(1+IF(VLOOKUP($Q22,武学奇术!$A:$ZZ,30,FALSE)="回旋伞",$B$21,0))*(1+$BQ22)</f>
        <v>91831.6718855936</v>
      </c>
      <c r="P22" s="42">
        <v>1</v>
      </c>
      <c r="Q22" s="43" t="s">
        <v>146</v>
      </c>
      <c r="R22" s="43" t="s">
        <v>71</v>
      </c>
      <c r="S22" s="43" t="s">
        <v>91</v>
      </c>
      <c r="T22" s="43" t="s">
        <v>72</v>
      </c>
      <c r="U22" s="43" t="s">
        <v>73</v>
      </c>
      <c r="V22" s="43" t="s">
        <v>92</v>
      </c>
      <c r="W22" s="43" t="s">
        <v>95</v>
      </c>
      <c r="X22" s="43" t="s">
        <v>82</v>
      </c>
      <c r="Y22" s="43" t="s">
        <v>71</v>
      </c>
      <c r="Z22" s="43" t="s">
        <v>71</v>
      </c>
      <c r="AA22" s="43" t="s">
        <v>71</v>
      </c>
      <c r="AB22" s="43" t="s">
        <v>71</v>
      </c>
      <c r="AC22" s="43" t="s">
        <v>71</v>
      </c>
      <c r="AD22" s="43" t="s">
        <v>71</v>
      </c>
      <c r="AE22" s="43" t="s">
        <v>71</v>
      </c>
      <c r="AF22" s="43" t="s">
        <v>76</v>
      </c>
      <c r="AG22" t="str">
        <f>VLOOKUP($Q22,武学奇术!$A:$ZZ,25,FALSE)</f>
        <v>群体奇术</v>
      </c>
      <c r="AH22" s="30">
        <f>VLOOKUP($Q22,武学奇术!$A:$ZZ,26,FALSE)</f>
        <v>10.314945</v>
      </c>
      <c r="AI22" s="31">
        <f>VLOOKUP($Q22,武学奇术!$A:$ZZ,27,FALSE)*(1+IF(OR($AG22=$F$4,$AG22=$F$5),$B$22,0))</f>
        <v>1915.65</v>
      </c>
      <c r="AJ22" s="30">
        <f>VLOOKUP($Q22,武学奇术!$A:$ZZ,28,FALSE)</f>
        <v>15.4724175</v>
      </c>
      <c r="AK22" s="31">
        <f>VLOOKUP($Q22,武学奇术!$A:$ZZ,29,FALSE)*(1+IF(OR($AG22=$F$4,$AG22=$F$5),$B$22,0))</f>
        <v>0</v>
      </c>
      <c r="AL22" s="30" cm="1">
        <f t="array" ref="AL22">$G$3+IFERROR(VLOOKUP($AG22,$F$4:$G$7,2,FALSE),0)+VLOOKUP($Q22,武学奇术!$A:$ZZ,2,FALSE)+SUM(_xlfn.XLOOKUP($R22:$AF22,增益!$A:$A,增益!$B:$B,0))</f>
        <v>0.3037</v>
      </c>
      <c r="AM22" s="30" cm="1">
        <f t="array" ref="AM22">VLOOKUP($Q22,武学奇术!$A:$ZZ,5,FALSE)+SUM(_xlfn.XLOOKUP($R22:$AF22,增益!$A:$A,增益!$E:$E,0))</f>
        <v>0</v>
      </c>
      <c r="AN22" cm="1">
        <f t="array" ref="AN22">$D$10*(1+$AM22)+VLOOKUP($Q22,武学奇术!$A:$ZZ,3,FALSE)+SUM(_xlfn.XLOOKUP($R22:$AF22,增益!$A:$A,增益!$C:$C,0))-$I$2</f>
        <v>3545.8</v>
      </c>
      <c r="AO22" cm="1">
        <f t="array" ref="AO22">$E$10*(1+$AM22)+VLOOKUP($Q22,武学奇术!$A:$ZZ,4,FALSE)+SUM(_xlfn.XLOOKUP($R22:$AF22,增益!$A:$A,增益!$D:$D,0))-$I$2</f>
        <v>3545.8</v>
      </c>
      <c r="AP22" s="35" cm="1">
        <f t="array" ref="AP22">IF($F$10-$I$3+VLOOKUP($Q22,武学奇术!$A:$ZZ,6,FALSE)+SUM(_xlfn.XLOOKUP(R22:AF22,增益!$A:$A,增益!$F:$F,0))&gt;0,($F$10-$I$3+VLOOKUP($Q22,武学奇术!$A:$ZZ,6,FALSE)+SUM(_xlfn.XLOOKUP(R22:AF22,增益!$A:$A,增益!$F:$F,0)))/200,($F$10-$I$3+VLOOKUP($Q22,武学奇术!$A:$ZZ,6,FALSE)+SUM(_xlfn.XLOOKUP(R22:AF22,增益!$A:$A,增益!$F:$F,0)))/100)</f>
        <v>0.3425</v>
      </c>
      <c r="AQ22" s="35" cm="1">
        <f t="array" ref="AQ22">$G$10+VLOOKUP($Q22,武学奇术!$A:$ZZ,7,FALSE)+SUM(_xlfn.XLOOKUP(R22:AF22,增益!$A:$A,增益!$G:$G,0))</f>
        <v>0.028</v>
      </c>
      <c r="AR22" s="30" cm="1">
        <f t="array" ref="AR22">VLOOKUP($Q22,武学奇术!$A:$ZZ,8,FALSE)+SUM(_xlfn.XLOOKUP(R22:AF22,增益!$A:$A,增益!$H:$H,0))</f>
        <v>0</v>
      </c>
      <c r="AS22">
        <f t="shared" si="0"/>
        <v>0</v>
      </c>
      <c r="AT22">
        <f t="shared" si="1"/>
        <v>0</v>
      </c>
      <c r="AU22" s="35" cm="1">
        <f t="array" ref="AU22">IF($F$11-$I$4+VLOOKUP($Q22,武学奇术!$A:$ZZ,9,FALSE)+SUM(_xlfn.XLOOKUP(R22:AF22,增益!$A:$A,增益!$I:$I,0))&gt;0,($F$11-$I$4+VLOOKUP($Q22,武学奇术!$A:$ZZ,9,FALSE)+SUM(_xlfn.XLOOKUP(R22:AF22,增益!$A:$A,增益!$I:$I,0)))/200,($F$11-$I$4+VLOOKUP($Q22,武学奇术!$A:$ZZ,9,FALSE)+SUM(_xlfn.XLOOKUP(R22:AF22,增益!$A:$A,增益!$I:$I,0)))/100)</f>
        <v>-0.14</v>
      </c>
      <c r="AV22" s="35" cm="1">
        <f t="array" ref="AV22">$G$11+VLOOKUP($Q22,武学奇术!$A:$ZZ,10,FALSE)+SUM(_xlfn.XLOOKUP(R22:AF22,增益!$A:$A,增益!$J:$J,0))</f>
        <v>0</v>
      </c>
      <c r="AW22">
        <f t="shared" si="2"/>
        <v>0</v>
      </c>
      <c r="AX22">
        <f t="shared" si="3"/>
        <v>0</v>
      </c>
      <c r="AY22" s="35" cm="1">
        <f t="array" ref="AY22">IF($F$12-$I$4+VLOOKUP($Q22,武学奇术!$A:$ZZ,11,FALSE)+SUM(_xlfn.XLOOKUP(R22:AF22,增益!$A:$A,增益!$K:$K,0))&gt;0,($F$12-$I$4+VLOOKUP($Q22,武学奇术!$A:$ZZ,11,FALSE)+SUM(_xlfn.XLOOKUP(R22:AF22,增益!$A:$A,增益!$K:$K,0)))/200,($F$12-$I$4+VLOOKUP($Q22,武学奇术!$A:$ZZ,11,FALSE)+SUM(_xlfn.XLOOKUP(R22:AF22,增益!$A:$A,增益!$K:$K,0)))/100)</f>
        <v>-0.14</v>
      </c>
      <c r="AZ22" s="35" cm="1">
        <f t="array" ref="AZ22">$G$12+VLOOKUP($Q22,武学奇术!$A:$ZZ,12,FALSE)+SUM(_xlfn.XLOOKUP(R22:AF22,增益!$A:$A,增益!$L:$L,0))</f>
        <v>0</v>
      </c>
      <c r="BA22">
        <f t="shared" si="4"/>
        <v>0</v>
      </c>
      <c r="BB22">
        <f t="shared" si="5"/>
        <v>0</v>
      </c>
      <c r="BC22" s="35" cm="1">
        <f t="array" ref="BC22">IF($F$13-$I$4+VLOOKUP($Q22,武学奇术!$A:$ZZ,13,FALSE)+SUM(_xlfn.XLOOKUP(R22:AF22,增益!$A:$A,增益!$M:$M,0))&gt;0,($F$13-$I$4+VLOOKUP($Q22,武学奇术!$A:$ZZ,13,FALSE)+SUM(_xlfn.XLOOKUP(R22:AF22,增益!$A:$A,增益!$K:$K,0)))/200,($F$13-$I$4+VLOOKUP($Q22,武学奇术!$A:$ZZ,13,FALSE)+SUM(_xlfn.XLOOKUP(R22:AF22,增益!$A:$A,增益!$M:$M,0)))/100)</f>
        <v>-0.14</v>
      </c>
      <c r="BD22" s="35" cm="1">
        <f t="array" ref="BD22">$G$13+VLOOKUP($Q22,武学奇术!$A:$ZZ,14,FALSE)+SUM(_xlfn.XLOOKUP(R22:AF22,增益!$A:$A,增益!$N:$N,0))</f>
        <v>0</v>
      </c>
      <c r="BE22">
        <f t="shared" si="6"/>
        <v>538</v>
      </c>
      <c r="BF22">
        <f t="shared" si="7"/>
        <v>1561.4</v>
      </c>
      <c r="BG22" s="35" cm="1">
        <f t="array" ref="BG22">IF($F$14-$I$4+VLOOKUP($Q22,武学奇术!$A:$ZZ,15,FALSE)+SUM(_xlfn.XLOOKUP(R22:AF22,增益!$A:$A,增益!$O:$O,0))&gt;0,($F$14-$I$4+VLOOKUP($Q22,武学奇术!$A:$ZZ,15,FALSE)+SUM(_xlfn.XLOOKUP(R22:AF22,增益!$A:$A,增益!$O:$O,0)))/200,($F$14-$I$4+VLOOKUP($Q22,武学奇术!$A:$ZZ,15,FALSE)+SUM(_xlfn.XLOOKUP(R22:AF22,增益!$A:$A,增益!$O:$O,0)))/100)</f>
        <v>0.08</v>
      </c>
      <c r="BH22" s="35" cm="1">
        <f t="array" ref="BH22">$G$14+VLOOKUP($Q22,武学奇术!$A:$ZZ,16,FALSE)+SUM(_xlfn.XLOOKUP(R22:AF22,增益!$A:$A,增益!$P:$P,0))</f>
        <v>0.15</v>
      </c>
      <c r="BI22" s="30">
        <f>MIN(IF(VLOOKUP($Q22,武学奇术!$A:$ZZ,23,FALSE)=1,100%,$B$8),100%)</f>
        <v>0.9712</v>
      </c>
      <c r="BJ22" s="30" cm="1">
        <f t="array" ref="BJ22">IF(VLOOKUP($Q22,武学奇术!$A:$ZZ,23,FALSE)=1,100%,MIN(80%,$B$9+VLOOKUP($Q22,武学奇术!$A:$ZZ,17,FALSE)+SUM(_xlfn.XLOOKUP(R22:AF22,增益!$A:$A,增益!$Q:$Q,0)))+$B$11+SUM(_xlfn.XLOOKUP(R22:AF22,增益!$A:$A,增益!$U:$U,0)))*IF(VLOOKUP($Q22,武学奇术!$A:$ZZ,24,FALSE)=1,0,1)</f>
        <v>0.8773</v>
      </c>
      <c r="BK22" s="30" cm="1">
        <f t="array" ref="BK22">1+$B$13+VLOOKUP($Q22,武学奇术!$A:$ZZ,18,FALSE)+SUM(_xlfn.XLOOKUP(R22:AF22,增益!$A:$A,增益!$R:$R,0))</f>
        <v>1.81</v>
      </c>
      <c r="BL22" s="30" cm="1">
        <f t="array" ref="BL22">IF(VLOOKUP($Q22,武学奇术!$A:$ZZ,24,FALSE)=1,100%,MIN(40%,$B$10+VLOOKUP($Q22,武学奇术!$A:$ZZ,19,FALSE)+SUM(_xlfn.XLOOKUP(R22:AF22,增益!$A:$A,增益!$S:$S,0)))+$B$12+SUM(_xlfn.XLOOKUP(R22:AF22,增益!$A:$A,增益!$V:$V,0)))*IF(VLOOKUP($Q22,武学奇术!$A:$ZZ,23,FALSE)=1,0,1)</f>
        <v>0.0895</v>
      </c>
      <c r="BM22" s="30" cm="1">
        <f t="array" ref="BM22">1+$B$14+VLOOKUP($Q22,武学奇术!$A:$ZZ,20,FALSE)+SUM(_xlfn.XLOOKUP(R22:AF22,增益!$A:$A,增益!$T:$T,0))</f>
        <v>1.35</v>
      </c>
      <c r="BN22" s="30">
        <f t="shared" si="8"/>
        <v>0.85203376</v>
      </c>
      <c r="BO22" s="30">
        <f t="shared" si="9"/>
        <v>0.03224384</v>
      </c>
      <c r="BP22" s="30">
        <f>IF(VLOOKUP($Q22,武学奇术!$A:$ZZ,22,FALSE)=1,0,(1-$BI22))*(1-$BL22)</f>
        <v>0.0262224</v>
      </c>
      <c r="BQ22" s="30" cm="1">
        <f t="array" ref="BQ22">SUM(_xlfn.XLOOKUP(R22:AF22,增益!$A:$A,增益!$W:$W,0))+$I$5</f>
        <v>0.11</v>
      </c>
    </row>
    <row r="23" spans="1:69">
      <c r="A23" s="42" t="s">
        <v>147</v>
      </c>
      <c r="B23">
        <v>200</v>
      </c>
      <c r="C23" s="42" t="s">
        <v>148</v>
      </c>
      <c r="D23" s="42"/>
      <c r="K23" s="41">
        <f t="shared" si="10"/>
        <v>0</v>
      </c>
      <c r="L23" s="41">
        <f>((($AN23+$AO23)/2*$AH23+$AI23)*(1+$AP23)*(1+$AQ23)+(($AS23+$AT23)/2*IF($G$1="鸣金",$AJ23,$AH23)+IF($G$1="鸣金",$AK23*1.5,0))*(1+$AU23)*(1+$AV23)+(($AW23+$AX23)/2*IF($G$1="裂石",$AJ23,$AH23)+IF($G$1="裂石",$AK23*1.5,0))*(1+$AY23)*(1+$AZ23)+(($BA23+$BB23)/2*IF($G$1="牵丝",$AJ23,$AH23)+IF($G$1="牵丝",$AK23*1.5,0))*(1+$BC23)*(1+$BD23)+(($BE23+$BF23)/2*IF($G$1="破竹",$AJ23,$AH23)+IF($G$1="破竹",$AK23*1.5,0))*(1+$BG23)*(1+$BH23))*(1+$AL23)*$BK23*$P23*(1+IF(VLOOKUP($Q23,武学奇术!$A:$ZZ,30,FALSE)="回旋伞",$B$21,0))*(1+$BQ23)</f>
        <v>0</v>
      </c>
      <c r="M23" s="41">
        <f>(($AO23*$AH23+$AI23)*(1+$AP23)*(1+$AQ23)+($AT23*IF($G$1="鸣金",$AJ23,$AH23)+IF($G$1="鸣金",$AK23*1.5,0))*(1+$AU23)*(1+$AV23)+($AX23*IF($G$1="裂石",$AJ23,$AH23)+IF($G$1="裂石",$AK23*1.5,0))*(1+$AY23)*(1+$AZ23)+($BB23*IF($G$1="牵丝",$AJ23,$AH23)+IF($G$1="牵丝",$AK23*1.5,0))*(1+$BC23)*(1+$BD23)+($BF23*IF($G$1="破竹",$AJ23,$AH23)+IF($G$1="破竹",$AK23*1.5,0))*(1+$BG23)*(1+$BH23))*(1+$AL23)*$BM23*$P23*(1+IF(VLOOKUP($Q23,武学奇术!$A:$ZZ,30,FALSE)="回旋伞",$B$21,0))*(1+$BQ23)</f>
        <v>0</v>
      </c>
      <c r="N23" s="41">
        <f>((($AN23+$AO23)/2*$AH23+$AI23)*(1+$AP23)*(1+$AQ23)+(($AS23+$AT23)/2*IF($G$1="鸣金",$AJ23,$AH23)+IF($G$1="鸣金",$AK23*1.5,0))*(1+$AU23)*(1+$AV23)+(($AW23+$AX23)/2*IF($G$1="裂石",$AJ23,$AH23)+IF($G$1="裂石",$AK23*1.5,0))*(1+$AY23)*(1+$AZ23)+(($BA23+$BB23)/2*IF($G$1="牵丝",$AJ23,$AH23)+IF($G$1="牵丝",$AK23*1.5,0))*(1+$BC23)*(1+$BD23)+(($BE23+$BF23)/2*IF($G$1="破竹",$AJ23,$AH23)+IF($G$1="破竹",$AK23*1.5,0))*(1+$BG23)*(1+$BH23))*(1+$AL23)*$P23*(1+IF(VLOOKUP($Q23,武学奇术!$A:$ZZ,30,FALSE)="回旋伞",$B$21,0))*(1+$BQ23)</f>
        <v>0</v>
      </c>
      <c r="O23" s="41">
        <f>((($AN23*$AH23+$AI23)*(1+$AP23)*(1+$AQ23)+($AS23*IF($G$1="鸣金",$AJ23,$AH23)+IF($G$1="鸣金",$AK23*1.5,0))*(1+$AU23)*(1+$AV23)+($AW23*IF($G$1="裂石",$AJ23,$AH23)+IF($G$1="裂石",$AK23*1.5,0))*(1+$AY23)*(1+$AZ23)+($BA23*IF($G$1="牵丝",$AJ23,$AH23)+IF($G$1="牵丝",$AK23*1.5,0))*(1+$BC23)*(1+$BD23)+($BE23*IF($G$1="破竹",$AJ23,$AH23)+IF($G$1="破竹",$AK23*1.5,0))*(1+$BG23)*(1+$BH23))*(1+$AL23))*$P23*(1+IF(VLOOKUP($Q23,武学奇术!$A:$ZZ,30,FALSE)="回旋伞",$B$21,0))*(1+$BQ23)</f>
        <v>0</v>
      </c>
      <c r="P23" s="42">
        <v>1</v>
      </c>
      <c r="Q23" s="43" t="s">
        <v>71</v>
      </c>
      <c r="R23" s="43" t="s">
        <v>71</v>
      </c>
      <c r="S23" s="43" t="s">
        <v>71</v>
      </c>
      <c r="T23" s="43" t="s">
        <v>71</v>
      </c>
      <c r="U23" s="43" t="s">
        <v>71</v>
      </c>
      <c r="V23" s="43" t="s">
        <v>71</v>
      </c>
      <c r="W23" s="43" t="s">
        <v>71</v>
      </c>
      <c r="X23" s="43" t="s">
        <v>71</v>
      </c>
      <c r="Y23" s="43" t="s">
        <v>71</v>
      </c>
      <c r="Z23" s="43" t="s">
        <v>71</v>
      </c>
      <c r="AA23" s="43" t="s">
        <v>71</v>
      </c>
      <c r="AB23" s="43" t="s">
        <v>71</v>
      </c>
      <c r="AC23" s="43" t="s">
        <v>71</v>
      </c>
      <c r="AD23" s="43" t="s">
        <v>71</v>
      </c>
      <c r="AE23" s="43" t="s">
        <v>71</v>
      </c>
      <c r="AF23" s="43" t="s">
        <v>76</v>
      </c>
      <c r="AG23" t="str">
        <f>VLOOKUP($Q23,武学奇术!$A:$ZZ,25,FALSE)</f>
        <v>心法</v>
      </c>
      <c r="AH23" s="30">
        <f>VLOOKUP($Q23,武学奇术!$A:$ZZ,26,FALSE)</f>
        <v>0</v>
      </c>
      <c r="AI23" s="31">
        <f>VLOOKUP($Q23,武学奇术!$A:$ZZ,27,FALSE)*(1+IF(OR($AG23=$F$4,$AG23=$F$5),$B$22,0))</f>
        <v>0</v>
      </c>
      <c r="AJ23" s="30">
        <f>VLOOKUP($Q23,武学奇术!$A:$ZZ,28,FALSE)</f>
        <v>0</v>
      </c>
      <c r="AK23" s="31">
        <f>VLOOKUP($Q23,武学奇术!$A:$ZZ,29,FALSE)*(1+IF(OR($AG23=$F$4,$AG23=$F$5),$B$22,0))</f>
        <v>0</v>
      </c>
      <c r="AL23" s="30" cm="1">
        <f t="array" ref="AL23">$G$3+IFERROR(VLOOKUP($AG23,$F$4:$G$7,2,FALSE),0)+VLOOKUP($Q23,武学奇术!$A:$ZZ,2,FALSE)+SUM(_xlfn.XLOOKUP($R23:$AF23,增益!$A:$A,增益!$B:$B,0))</f>
        <v>0.1837</v>
      </c>
      <c r="AM23" s="30" cm="1">
        <f t="array" ref="AM23">VLOOKUP($Q23,武学奇术!$A:$ZZ,5,FALSE)+SUM(_xlfn.XLOOKUP($R23:$AF23,增益!$A:$A,增益!$E:$E,0))</f>
        <v>0</v>
      </c>
      <c r="AN23" cm="1">
        <f t="array" ref="AN23">$D$10*(1+$AM23)+VLOOKUP($Q23,武学奇术!$A:$ZZ,3,FALSE)+SUM(_xlfn.XLOOKUP($R23:$AF23,增益!$A:$A,增益!$C:$C,0))-$I$2</f>
        <v>3545.8</v>
      </c>
      <c r="AO23" cm="1">
        <f t="array" ref="AO23">$E$10*(1+$AM23)+VLOOKUP($Q23,武学奇术!$A:$ZZ,4,FALSE)+SUM(_xlfn.XLOOKUP($R23:$AF23,增益!$A:$A,增益!$D:$D,0))-$I$2</f>
        <v>3545.8</v>
      </c>
      <c r="AP23" s="35" cm="1">
        <f t="array" ref="AP23">IF($F$10-$I$3+VLOOKUP($Q23,武学奇术!$A:$ZZ,6,FALSE)+SUM(_xlfn.XLOOKUP(R23:AF23,增益!$A:$A,增益!$F:$F,0))&gt;0,($F$10-$I$3+VLOOKUP($Q23,武学奇术!$A:$ZZ,6,FALSE)+SUM(_xlfn.XLOOKUP(R23:AF23,增益!$A:$A,增益!$F:$F,0)))/200,($F$10-$I$3+VLOOKUP($Q23,武学奇术!$A:$ZZ,6,FALSE)+SUM(_xlfn.XLOOKUP(R23:AF23,增益!$A:$A,增益!$F:$F,0)))/100)</f>
        <v>0.2425</v>
      </c>
      <c r="AQ23" s="35" cm="1">
        <f t="array" ref="AQ23">$G$10+VLOOKUP($Q23,武学奇术!$A:$ZZ,7,FALSE)+SUM(_xlfn.XLOOKUP(R23:AF23,增益!$A:$A,增益!$G:$G,0))</f>
        <v>0.028</v>
      </c>
      <c r="AR23" s="30" cm="1">
        <f t="array" ref="AR23">VLOOKUP($Q23,武学奇术!$A:$ZZ,8,FALSE)+SUM(_xlfn.XLOOKUP(R23:AF23,增益!$A:$A,增益!$H:$H,0))</f>
        <v>0</v>
      </c>
      <c r="AS23">
        <f t="shared" si="0"/>
        <v>0</v>
      </c>
      <c r="AT23">
        <f t="shared" si="1"/>
        <v>0</v>
      </c>
      <c r="AU23" s="35" cm="1">
        <f t="array" ref="AU23">IF($F$11-$I$4+VLOOKUP($Q23,武学奇术!$A:$ZZ,9,FALSE)+SUM(_xlfn.XLOOKUP(R23:AF23,增益!$A:$A,增益!$I:$I,0))&gt;0,($F$11-$I$4+VLOOKUP($Q23,武学奇术!$A:$ZZ,9,FALSE)+SUM(_xlfn.XLOOKUP(R23:AF23,增益!$A:$A,增益!$I:$I,0)))/200,($F$11-$I$4+VLOOKUP($Q23,武学奇术!$A:$ZZ,9,FALSE)+SUM(_xlfn.XLOOKUP(R23:AF23,增益!$A:$A,增益!$I:$I,0)))/100)</f>
        <v>-0.3</v>
      </c>
      <c r="AV23" s="35" cm="1">
        <f t="array" ref="AV23">$G$11+VLOOKUP($Q23,武学奇术!$A:$ZZ,10,FALSE)+SUM(_xlfn.XLOOKUP(R23:AF23,增益!$A:$A,增益!$J:$J,0))</f>
        <v>0</v>
      </c>
      <c r="AW23">
        <f t="shared" si="2"/>
        <v>0</v>
      </c>
      <c r="AX23">
        <f t="shared" si="3"/>
        <v>0</v>
      </c>
      <c r="AY23" s="35" cm="1">
        <f t="array" ref="AY23">IF($F$12-$I$4+VLOOKUP($Q23,武学奇术!$A:$ZZ,11,FALSE)+SUM(_xlfn.XLOOKUP(R23:AF23,增益!$A:$A,增益!$K:$K,0))&gt;0,($F$12-$I$4+VLOOKUP($Q23,武学奇术!$A:$ZZ,11,FALSE)+SUM(_xlfn.XLOOKUP(R23:AF23,增益!$A:$A,增益!$K:$K,0)))/200,($F$12-$I$4+VLOOKUP($Q23,武学奇术!$A:$ZZ,11,FALSE)+SUM(_xlfn.XLOOKUP(R23:AF23,增益!$A:$A,增益!$K:$K,0)))/100)</f>
        <v>-0.3</v>
      </c>
      <c r="AZ23" s="35" cm="1">
        <f t="array" ref="AZ23">$G$12+VLOOKUP($Q23,武学奇术!$A:$ZZ,12,FALSE)+SUM(_xlfn.XLOOKUP(R23:AF23,增益!$A:$A,增益!$L:$L,0))</f>
        <v>0</v>
      </c>
      <c r="BA23">
        <f t="shared" si="4"/>
        <v>0</v>
      </c>
      <c r="BB23">
        <f t="shared" si="5"/>
        <v>0</v>
      </c>
      <c r="BC23" s="35" cm="1">
        <f t="array" ref="BC23">IF($F$13-$I$4+VLOOKUP($Q23,武学奇术!$A:$ZZ,13,FALSE)+SUM(_xlfn.XLOOKUP(R23:AF23,增益!$A:$A,增益!$M:$M,0))&gt;0,($F$13-$I$4+VLOOKUP($Q23,武学奇术!$A:$ZZ,13,FALSE)+SUM(_xlfn.XLOOKUP(R23:AF23,增益!$A:$A,增益!$K:$K,0)))/200,($F$13-$I$4+VLOOKUP($Q23,武学奇术!$A:$ZZ,13,FALSE)+SUM(_xlfn.XLOOKUP(R23:AF23,增益!$A:$A,增益!$M:$M,0)))/100)</f>
        <v>-0.3</v>
      </c>
      <c r="BD23" s="35" cm="1">
        <f t="array" ref="BD23">$G$13+VLOOKUP($Q23,武学奇术!$A:$ZZ,14,FALSE)+SUM(_xlfn.XLOOKUP(R23:AF23,增益!$A:$A,增益!$N:$N,0))</f>
        <v>0</v>
      </c>
      <c r="BE23">
        <f t="shared" si="6"/>
        <v>538</v>
      </c>
      <c r="BF23">
        <f t="shared" si="7"/>
        <v>1561.4</v>
      </c>
      <c r="BG23" s="35" cm="1">
        <f t="array" ref="BG23">IF($F$14-$I$4+VLOOKUP($Q23,武学奇术!$A:$ZZ,15,FALSE)+SUM(_xlfn.XLOOKUP(R23:AF23,增益!$A:$A,增益!$O:$O,0))&gt;0,($F$14-$I$4+VLOOKUP($Q23,武学奇术!$A:$ZZ,15,FALSE)+SUM(_xlfn.XLOOKUP(R23:AF23,增益!$A:$A,增益!$O:$O,0)))/200,($F$14-$I$4+VLOOKUP($Q23,武学奇术!$A:$ZZ,15,FALSE)+SUM(_xlfn.XLOOKUP(R23:AF23,增益!$A:$A,增益!$O:$O,0)))/100)</f>
        <v>0</v>
      </c>
      <c r="BH23" s="35" cm="1">
        <f t="array" ref="BH23">$G$14+VLOOKUP($Q23,武学奇术!$A:$ZZ,16,FALSE)+SUM(_xlfn.XLOOKUP(R23:AF23,增益!$A:$A,增益!$P:$P,0))</f>
        <v>0.15</v>
      </c>
      <c r="BI23" s="30">
        <f>MIN(IF(VLOOKUP($Q23,武学奇术!$A:$ZZ,23,FALSE)=1,100%,$B$8),100%)</f>
        <v>0.9712</v>
      </c>
      <c r="BJ23" s="30" cm="1">
        <f t="array" ref="BJ23">IF(VLOOKUP($Q23,武学奇术!$A:$ZZ,23,FALSE)=1,100%,MIN(80%,$B$9+VLOOKUP($Q23,武学奇术!$A:$ZZ,17,FALSE)+SUM(_xlfn.XLOOKUP(R23:AF23,增益!$A:$A,增益!$Q:$Q,0)))+$B$11+SUM(_xlfn.XLOOKUP(R23:AF23,增益!$A:$A,增益!$U:$U,0)))*IF(VLOOKUP($Q23,武学奇术!$A:$ZZ,24,FALSE)=1,0,1)</f>
        <v>0.8773</v>
      </c>
      <c r="BK23" s="30" cm="1">
        <f t="array" ref="BK23">1+$B$13+VLOOKUP($Q23,武学奇术!$A:$ZZ,18,FALSE)+SUM(_xlfn.XLOOKUP(R23:AF23,增益!$A:$A,增益!$R:$R,0))</f>
        <v>1.5</v>
      </c>
      <c r="BL23" s="30" cm="1">
        <f t="array" ref="BL23">IF(VLOOKUP($Q23,武学奇术!$A:$ZZ,24,FALSE)=1,100%,MIN(40%,$B$10+VLOOKUP($Q23,武学奇术!$A:$ZZ,19,FALSE)+SUM(_xlfn.XLOOKUP(R23:AF23,增益!$A:$A,增益!$S:$S,0)))+$B$12+SUM(_xlfn.XLOOKUP(R23:AF23,增益!$A:$A,增益!$V:$V,0)))*IF(VLOOKUP($Q23,武学奇术!$A:$ZZ,23,FALSE)=1,0,1)</f>
        <v>0.0895</v>
      </c>
      <c r="BM23" s="30" cm="1">
        <f t="array" ref="BM23">1+$B$14+VLOOKUP($Q23,武学奇术!$A:$ZZ,20,FALSE)+SUM(_xlfn.XLOOKUP(R23:AF23,增益!$A:$A,增益!$T:$T,0))</f>
        <v>1.35</v>
      </c>
      <c r="BN23" s="30">
        <f t="shared" si="8"/>
        <v>0.85203376</v>
      </c>
      <c r="BO23" s="30">
        <f t="shared" si="9"/>
        <v>0.03224384</v>
      </c>
      <c r="BP23" s="30">
        <f>IF(VLOOKUP($Q23,武学奇术!$A:$ZZ,22,FALSE)=1,0,(1-$BI23))*(1-$BL23)</f>
        <v>0.0262224</v>
      </c>
      <c r="BQ23" s="30" cm="1">
        <f t="array" ref="BQ23">SUM(_xlfn.XLOOKUP(R23:AF23,增益!$A:$A,增益!$W:$W,0))+$I$5</f>
        <v>0.11</v>
      </c>
    </row>
    <row r="24" spans="1:69">
      <c r="A24" s="42"/>
      <c r="B24">
        <v>400</v>
      </c>
      <c r="C24" s="43" t="s">
        <v>149</v>
      </c>
      <c r="D24" s="43"/>
      <c r="K24" s="41">
        <f t="shared" si="10"/>
        <v>54863.8507718427</v>
      </c>
      <c r="L24" s="41">
        <f>((($AN24+$AO24)/2*$AH24+$AI24)*(1+$AP24)*(1+$AQ24)+(($AS24+$AT24)/2*IF($G$1="鸣金",$AJ24,$AH24)+IF($G$1="鸣金",$AK24*1.5,0))*(1+$AU24)*(1+$AV24)+(($AW24+$AX24)/2*IF($G$1="裂石",$AJ24,$AH24)+IF($G$1="裂石",$AK24*1.5,0))*(1+$AY24)*(1+$AZ24)+(($BA24+$BB24)/2*IF($G$1="牵丝",$AJ24,$AH24)+IF($G$1="牵丝",$AK24*1.5,0))*(1+$BC24)*(1+$BD24)+(($BE24+$BF24)/2*IF($G$1="破竹",$AJ24,$AH24)+IF($G$1="破竹",$AK24*1.5,0))*(1+$BG24)*(1+$BH24))*(1+$AL24)*$BK24*$P24*(1+IF(VLOOKUP($Q24,武学奇术!$A:$ZZ,30,FALSE)="回旋伞",$B$21,0))*(1+$BQ24)</f>
        <v>54863.8507718427</v>
      </c>
      <c r="M24" s="41">
        <f>(($AO24*$AH24+$AI24)*(1+$AP24)*(1+$AQ24)+($AT24*IF($G$1="鸣金",$AJ24,$AH24)+IF($G$1="鸣金",$AK24*1.5,0))*(1+$AU24)*(1+$AV24)+($AX24*IF($G$1="裂石",$AJ24,$AH24)+IF($G$1="裂石",$AK24*1.5,0))*(1+$AY24)*(1+$AZ24)+($BB24*IF($G$1="牵丝",$AJ24,$AH24)+IF($G$1="牵丝",$AK24*1.5,0))*(1+$BC24)*(1+$BD24)+($BF24*IF($G$1="破竹",$AJ24,$AH24)+IF($G$1="破竹",$AK24*1.5,0))*(1+$BG24)*(1+$BH24))*(1+$AL24)*$BM24*$P24*(1+IF(VLOOKUP($Q24,武学奇术!$A:$ZZ,30,FALSE)="回旋伞",$B$21,0))*(1+$BQ24)</f>
        <v>45683.2972122797</v>
      </c>
      <c r="N24" s="41">
        <f>((($AN24+$AO24)/2*$AH24+$AI24)*(1+$AP24)*(1+$AQ24)+(($AS24+$AT24)/2*IF($G$1="鸣金",$AJ24,$AH24)+IF($G$1="鸣金",$AK24*1.5,0))*(1+$AU24)*(1+$AV24)+(($AW24+$AX24)/2*IF($G$1="裂石",$AJ24,$AH24)+IF($G$1="裂石",$AK24*1.5,0))*(1+$AY24)*(1+$AZ24)+(($BA24+$BB24)/2*IF($G$1="牵丝",$AJ24,$AH24)+IF($G$1="牵丝",$AK24*1.5,0))*(1+$BC24)*(1+$BD24)+(($BE24+$BF24)/2*IF($G$1="破竹",$AJ24,$AH24)+IF($G$1="破竹",$AK24*1.5,0))*(1+$BG24)*(1+$BH24))*(1+$AL24)*$P24*(1+IF(VLOOKUP($Q24,武学奇术!$A:$ZZ,30,FALSE)="回旋伞",$B$21,0))*(1+$BQ24)</f>
        <v>30144.9729515619</v>
      </c>
      <c r="O24" s="41">
        <f>((($AN24*$AH24+$AI24)*(1+$AP24)*(1+$AQ24)+($AS24*IF($G$1="鸣金",$AJ24,$AH24)+IF($G$1="鸣金",$AK24*1.5,0))*(1+$AU24)*(1+$AV24)+($AW24*IF($G$1="裂石",$AJ24,$AH24)+IF($G$1="裂石",$AK24*1.5,0))*(1+$AY24)*(1+$AZ24)+($BA24*IF($G$1="牵丝",$AJ24,$AH24)+IF($G$1="牵丝",$AK24*1.5,0))*(1+$BC24)*(1+$BD24)+($BE24*IF($G$1="破竹",$AJ24,$AH24)+IF($G$1="破竹",$AK24*1.5,0))*(1+$BG24)*(1+$BH24))*(1+$AL24))*$P24*(1+IF(VLOOKUP($Q24,武学奇术!$A:$ZZ,30,FALSE)="回旋伞",$B$21,0))*(1+$BQ24)</f>
        <v>26450.4664866203</v>
      </c>
      <c r="P24" s="42">
        <v>1</v>
      </c>
      <c r="Q24" s="43" t="s">
        <v>150</v>
      </c>
      <c r="R24" s="43" t="s">
        <v>71</v>
      </c>
      <c r="S24" s="43" t="s">
        <v>91</v>
      </c>
      <c r="T24" s="43" t="s">
        <v>72</v>
      </c>
      <c r="U24" s="43" t="s">
        <v>71</v>
      </c>
      <c r="V24" s="43" t="s">
        <v>151</v>
      </c>
      <c r="W24" s="43" t="s">
        <v>95</v>
      </c>
      <c r="X24" s="43" t="s">
        <v>82</v>
      </c>
      <c r="Y24" s="43" t="s">
        <v>71</v>
      </c>
      <c r="Z24" s="43" t="s">
        <v>71</v>
      </c>
      <c r="AA24" s="43" t="s">
        <v>71</v>
      </c>
      <c r="AB24" s="43" t="s">
        <v>71</v>
      </c>
      <c r="AC24" s="43" t="s">
        <v>71</v>
      </c>
      <c r="AD24" s="43" t="s">
        <v>71</v>
      </c>
      <c r="AE24" s="43" t="s">
        <v>71</v>
      </c>
      <c r="AF24" s="43" t="s">
        <v>76</v>
      </c>
      <c r="AG24" t="str">
        <f>VLOOKUP($Q24,武学奇术!$A:$ZZ,25,FALSE)</f>
        <v>绳镖</v>
      </c>
      <c r="AH24" s="30">
        <f>VLOOKUP($Q24,武学奇术!$A:$ZZ,26,FALSE)</f>
        <v>2.2987</v>
      </c>
      <c r="AI24" s="31">
        <f>VLOOKUP($Q24,武学奇术!$A:$ZZ,27,FALSE)*(1+IF(OR($AG24=$F$4,$AG24=$F$5),$B$22,0))</f>
        <v>891.8</v>
      </c>
      <c r="AJ24" s="30">
        <f>VLOOKUP($Q24,武学奇术!$A:$ZZ,28,FALSE)</f>
        <v>3.448</v>
      </c>
      <c r="AK24" s="31">
        <f>VLOOKUP($Q24,武学奇术!$A:$ZZ,29,FALSE)*(1+IF(OR($AG24=$F$4,$AG24=$F$5),$B$22,0))</f>
        <v>485.8</v>
      </c>
      <c r="AL24" s="30" cm="1">
        <f t="array" ref="AL24">$G$3+IFERROR(VLOOKUP($AG24,$F$4:$G$7,2,FALSE),0)+VLOOKUP($Q24,武学奇术!$A:$ZZ,2,FALSE)+SUM(_xlfn.XLOOKUP($R24:$AF24,增益!$A:$A,增益!$B:$B,0))</f>
        <v>0.5189</v>
      </c>
      <c r="AM24" s="30" cm="1">
        <f t="array" ref="AM24">VLOOKUP($Q24,武学奇术!$A:$ZZ,5,FALSE)+SUM(_xlfn.XLOOKUP($R24:$AF24,增益!$A:$A,增益!$E:$E,0))</f>
        <v>0</v>
      </c>
      <c r="AN24" cm="1">
        <f t="array" ref="AN24">$D$10*(1+$AM24)+VLOOKUP($Q24,武学奇术!$A:$ZZ,3,FALSE)+SUM(_xlfn.XLOOKUP($R24:$AF24,增益!$A:$A,增益!$C:$C,0))-$I$2</f>
        <v>3545.8</v>
      </c>
      <c r="AO24" cm="1">
        <f t="array" ref="AO24">$E$10*(1+$AM24)+VLOOKUP($Q24,武学奇术!$A:$ZZ,4,FALSE)+SUM(_xlfn.XLOOKUP($R24:$AF24,增益!$A:$A,增益!$D:$D,0))-$I$2</f>
        <v>3545.8</v>
      </c>
      <c r="AP24" s="35" cm="1">
        <f t="array" ref="AP24">IF($F$10-$I$3+VLOOKUP($Q24,武学奇术!$A:$ZZ,6,FALSE)+SUM(_xlfn.XLOOKUP(R24:AF24,增益!$A:$A,增益!$F:$F,0))&gt;0,($F$10-$I$3+VLOOKUP($Q24,武学奇术!$A:$ZZ,6,FALSE)+SUM(_xlfn.XLOOKUP(R24:AF24,增益!$A:$A,增益!$F:$F,0)))/200,($F$10-$I$3+VLOOKUP($Q24,武学奇术!$A:$ZZ,6,FALSE)+SUM(_xlfn.XLOOKUP(R24:AF24,增益!$A:$A,增益!$F:$F,0)))/100)</f>
        <v>0.3425</v>
      </c>
      <c r="AQ24" s="35" cm="1">
        <f t="array" ref="AQ24">$G$10+VLOOKUP($Q24,武学奇术!$A:$ZZ,7,FALSE)+SUM(_xlfn.XLOOKUP(R24:AF24,增益!$A:$A,增益!$G:$G,0))</f>
        <v>0.028</v>
      </c>
      <c r="AR24" s="30" cm="1">
        <f t="array" ref="AR24">VLOOKUP($Q24,武学奇术!$A:$ZZ,8,FALSE)+SUM(_xlfn.XLOOKUP(R24:AF24,增益!$A:$A,增益!$H:$H,0))</f>
        <v>0</v>
      </c>
      <c r="AS24">
        <f t="shared" si="0"/>
        <v>0</v>
      </c>
      <c r="AT24">
        <f t="shared" si="1"/>
        <v>0</v>
      </c>
      <c r="AU24" s="35" cm="1">
        <f t="array" ref="AU24">IF($F$11-$I$4+VLOOKUP($Q24,武学奇术!$A:$ZZ,9,FALSE)+SUM(_xlfn.XLOOKUP(R24:AF24,增益!$A:$A,增益!$I:$I,0))&gt;0,($F$11-$I$4+VLOOKUP($Q24,武学奇术!$A:$ZZ,9,FALSE)+SUM(_xlfn.XLOOKUP(R24:AF24,增益!$A:$A,增益!$I:$I,0)))/200,($F$11-$I$4+VLOOKUP($Q24,武学奇术!$A:$ZZ,9,FALSE)+SUM(_xlfn.XLOOKUP(R24:AF24,增益!$A:$A,增益!$I:$I,0)))/100)</f>
        <v>-0.14</v>
      </c>
      <c r="AV24" s="35" cm="1">
        <f t="array" ref="AV24">$G$11+VLOOKUP($Q24,武学奇术!$A:$ZZ,10,FALSE)+SUM(_xlfn.XLOOKUP(R24:AF24,增益!$A:$A,增益!$J:$J,0))</f>
        <v>0</v>
      </c>
      <c r="AW24">
        <f t="shared" si="2"/>
        <v>0</v>
      </c>
      <c r="AX24">
        <f t="shared" si="3"/>
        <v>0</v>
      </c>
      <c r="AY24" s="35" cm="1">
        <f t="array" ref="AY24">IF($F$12-$I$4+VLOOKUP($Q24,武学奇术!$A:$ZZ,11,FALSE)+SUM(_xlfn.XLOOKUP(R24:AF24,增益!$A:$A,增益!$K:$K,0))&gt;0,($F$12-$I$4+VLOOKUP($Q24,武学奇术!$A:$ZZ,11,FALSE)+SUM(_xlfn.XLOOKUP(R24:AF24,增益!$A:$A,增益!$K:$K,0)))/200,($F$12-$I$4+VLOOKUP($Q24,武学奇术!$A:$ZZ,11,FALSE)+SUM(_xlfn.XLOOKUP(R24:AF24,增益!$A:$A,增益!$K:$K,0)))/100)</f>
        <v>-0.14</v>
      </c>
      <c r="AZ24" s="35" cm="1">
        <f t="array" ref="AZ24">$G$12+VLOOKUP($Q24,武学奇术!$A:$ZZ,12,FALSE)+SUM(_xlfn.XLOOKUP(R24:AF24,增益!$A:$A,增益!$L:$L,0))</f>
        <v>0</v>
      </c>
      <c r="BA24">
        <f t="shared" si="4"/>
        <v>0</v>
      </c>
      <c r="BB24">
        <f t="shared" si="5"/>
        <v>0</v>
      </c>
      <c r="BC24" s="35" cm="1">
        <f t="array" ref="BC24">IF($F$13-$I$4+VLOOKUP($Q24,武学奇术!$A:$ZZ,13,FALSE)+SUM(_xlfn.XLOOKUP(R24:AF24,增益!$A:$A,增益!$M:$M,0))&gt;0,($F$13-$I$4+VLOOKUP($Q24,武学奇术!$A:$ZZ,13,FALSE)+SUM(_xlfn.XLOOKUP(R24:AF24,增益!$A:$A,增益!$K:$K,0)))/200,($F$13-$I$4+VLOOKUP($Q24,武学奇术!$A:$ZZ,13,FALSE)+SUM(_xlfn.XLOOKUP(R24:AF24,增益!$A:$A,增益!$M:$M,0)))/100)</f>
        <v>-0.14</v>
      </c>
      <c r="BD24" s="35" cm="1">
        <f t="array" ref="BD24">$G$13+VLOOKUP($Q24,武学奇术!$A:$ZZ,14,FALSE)+SUM(_xlfn.XLOOKUP(R24:AF24,增益!$A:$A,增益!$N:$N,0))</f>
        <v>0</v>
      </c>
      <c r="BE24">
        <f t="shared" si="6"/>
        <v>538</v>
      </c>
      <c r="BF24">
        <f t="shared" si="7"/>
        <v>1561.4</v>
      </c>
      <c r="BG24" s="35" cm="1">
        <f t="array" ref="BG24">IF($F$14-$I$4+VLOOKUP($Q24,武学奇术!$A:$ZZ,15,FALSE)+SUM(_xlfn.XLOOKUP(R24:AF24,增益!$A:$A,增益!$O:$O,0))&gt;0,($F$14-$I$4+VLOOKUP($Q24,武学奇术!$A:$ZZ,15,FALSE)+SUM(_xlfn.XLOOKUP(R24:AF24,增益!$A:$A,增益!$O:$O,0)))/200,($F$14-$I$4+VLOOKUP($Q24,武学奇术!$A:$ZZ,15,FALSE)+SUM(_xlfn.XLOOKUP(R24:AF24,增益!$A:$A,增益!$O:$O,0)))/100)</f>
        <v>0.08</v>
      </c>
      <c r="BH24" s="35" cm="1">
        <f t="array" ref="BH24">$G$14+VLOOKUP($Q24,武学奇术!$A:$ZZ,16,FALSE)+SUM(_xlfn.XLOOKUP(R24:AF24,增益!$A:$A,增益!$P:$P,0))</f>
        <v>0.15</v>
      </c>
      <c r="BI24" s="30">
        <f>MIN(IF(VLOOKUP($Q24,武学奇术!$A:$ZZ,23,FALSE)=1,100%,$B$8),100%)</f>
        <v>1</v>
      </c>
      <c r="BJ24" s="30" cm="1">
        <f t="array" ref="BJ24">IF(VLOOKUP($Q24,武学奇术!$A:$ZZ,23,FALSE)=1,100%,MIN(80%,$B$9+VLOOKUP($Q24,武学奇术!$A:$ZZ,17,FALSE)+SUM(_xlfn.XLOOKUP(R24:AF24,增益!$A:$A,增益!$Q:$Q,0)))+$B$11+SUM(_xlfn.XLOOKUP(R24:AF24,增益!$A:$A,增益!$U:$U,0)))*IF(VLOOKUP($Q24,武学奇术!$A:$ZZ,24,FALSE)=1,0,1)</f>
        <v>1</v>
      </c>
      <c r="BK24" s="30" cm="1">
        <f t="array" ref="BK24">1+$B$13+VLOOKUP($Q24,武学奇术!$A:$ZZ,18,FALSE)+SUM(_xlfn.XLOOKUP(R24:AF24,增益!$A:$A,增益!$R:$R,0))</f>
        <v>1.82</v>
      </c>
      <c r="BL24" s="30" cm="1">
        <f t="array" ref="BL24">IF(VLOOKUP($Q24,武学奇术!$A:$ZZ,24,FALSE)=1,100%,MIN(40%,$B$10+VLOOKUP($Q24,武学奇术!$A:$ZZ,19,FALSE)+SUM(_xlfn.XLOOKUP(R24:AF24,增益!$A:$A,增益!$S:$S,0)))+$B$12+SUM(_xlfn.XLOOKUP(R24:AF24,增益!$A:$A,增益!$V:$V,0)))*IF(VLOOKUP($Q24,武学奇术!$A:$ZZ,23,FALSE)=1,0,1)</f>
        <v>0</v>
      </c>
      <c r="BM24" s="30" cm="1">
        <f t="array" ref="BM24">1+$B$14+VLOOKUP($Q24,武学奇术!$A:$ZZ,20,FALSE)+SUM(_xlfn.XLOOKUP(R24:AF24,增益!$A:$A,增益!$T:$T,0))</f>
        <v>1.35</v>
      </c>
      <c r="BN24" s="30">
        <f t="shared" si="8"/>
        <v>1</v>
      </c>
      <c r="BO24" s="30">
        <f t="shared" si="9"/>
        <v>0</v>
      </c>
      <c r="BP24" s="30">
        <f>IF(VLOOKUP($Q24,武学奇术!$A:$ZZ,22,FALSE)=1,0,(1-$BI24))*(1-$BL24)</f>
        <v>0</v>
      </c>
      <c r="BQ24" s="30" cm="1">
        <f t="array" ref="BQ24">SUM(_xlfn.XLOOKUP(R24:AF24,增益!$A:$A,增益!$W:$W,0))+$I$5</f>
        <v>0.11</v>
      </c>
    </row>
    <row r="25" spans="1:69">
      <c r="K25" s="89">
        <f>(SUM(K4:K6)+SUM(K9:K24)+K141)*10%</f>
        <v>108209.237672086</v>
      </c>
      <c r="L25" s="41">
        <f>((($AN25+$AO25)/2*$AH25+$AI25)*(1+$AP25)*(1+$AQ25)+(($AS25+$AT25)/2*IF($G$1="鸣金",$AJ25,$AH25)+IF($G$1="鸣金",$AK25*1.5,0))*(1+$AU25)*(1+$AV25)+(($AW25+$AX25)/2*IF($G$1="裂石",$AJ25,$AH25)+IF($G$1="裂石",$AK25*1.5,0))*(1+$AY25)*(1+$AZ25)+(($BA25+$BB25)/2*IF($G$1="牵丝",$AJ25,$AH25)+IF($G$1="牵丝",$AK25*1.5,0))*(1+$BC25)*(1+$BD25)+(($BE25+$BF25)/2*IF($G$1="破竹",$AJ25,$AH25)+IF($G$1="破竹",$AK25*1.5,0))*(1+$BG25)*(1+$BH25))*(1+$AL25)*$BK25*$P25*(1+IF(VLOOKUP($Q25,武学奇术!$A:$ZZ,30,FALSE)="回旋伞",$B$21,0))*(1+$BQ25)</f>
        <v>0</v>
      </c>
      <c r="M25" s="41">
        <f>(($AO25*$AH25+$AI25)*(1+$AP25)*(1+$AQ25)+($AT25*IF($G$1="鸣金",$AJ25,$AH25)+IF($G$1="鸣金",$AK25*1.5,0))*(1+$AU25)*(1+$AV25)+($AX25*IF($G$1="裂石",$AJ25,$AH25)+IF($G$1="裂石",$AK25*1.5,0))*(1+$AY25)*(1+$AZ25)+($BB25*IF($G$1="牵丝",$AJ25,$AH25)+IF($G$1="牵丝",$AK25*1.5,0))*(1+$BC25)*(1+$BD25)+($BF25*IF($G$1="破竹",$AJ25,$AH25)+IF($G$1="破竹",$AK25*1.5,0))*(1+$BG25)*(1+$BH25))*(1+$AL25)*$BM25*$P25*(1+IF(VLOOKUP($Q25,武学奇术!$A:$ZZ,30,FALSE)="回旋伞",$B$21,0))*(1+$BQ25)</f>
        <v>0</v>
      </c>
      <c r="N25" s="41">
        <f>((($AN25+$AO25)/2*$AH25+$AI25)*(1+$AP25)*(1+$AQ25)+(($AS25+$AT25)/2*IF($G$1="鸣金",$AJ25,$AH25)+IF($G$1="鸣金",$AK25*1.5,0))*(1+$AU25)*(1+$AV25)+(($AW25+$AX25)/2*IF($G$1="裂石",$AJ25,$AH25)+IF($G$1="裂石",$AK25*1.5,0))*(1+$AY25)*(1+$AZ25)+(($BA25+$BB25)/2*IF($G$1="牵丝",$AJ25,$AH25)+IF($G$1="牵丝",$AK25*1.5,0))*(1+$BC25)*(1+$BD25)+(($BE25+$BF25)/2*IF($G$1="破竹",$AJ25,$AH25)+IF($G$1="破竹",$AK25*1.5,0))*(1+$BG25)*(1+$BH25))*(1+$AL25)*$P25*(1+IF(VLOOKUP($Q25,武学奇术!$A:$ZZ,30,FALSE)="回旋伞",$B$21,0))*(1+$BQ25)</f>
        <v>0</v>
      </c>
      <c r="O25" s="41">
        <f>((($AN25*$AH25+$AI25)*(1+$AP25)*(1+$AQ25)+($AS25*IF($G$1="鸣金",$AJ25,$AH25)+IF($G$1="鸣金",$AK25*1.5,0))*(1+$AU25)*(1+$AV25)+($AW25*IF($G$1="裂石",$AJ25,$AH25)+IF($G$1="裂石",$AK25*1.5,0))*(1+$AY25)*(1+$AZ25)+($BA25*IF($G$1="牵丝",$AJ25,$AH25)+IF($G$1="牵丝",$AK25*1.5,0))*(1+$BC25)*(1+$BD25)+($BE25*IF($G$1="破竹",$AJ25,$AH25)+IF($G$1="破竹",$AK25*1.5,0))*(1+$BG25)*(1+$BH25))*(1+$AL25))*$P25*(1+IF(VLOOKUP($Q25,武学奇术!$A:$ZZ,30,FALSE)="回旋伞",$B$21,0))*(1+$BQ25)</f>
        <v>0</v>
      </c>
      <c r="P25" s="42">
        <v>1</v>
      </c>
      <c r="Q25" s="43" t="s">
        <v>152</v>
      </c>
      <c r="R25" s="43" t="s">
        <v>71</v>
      </c>
      <c r="S25" s="43" t="s">
        <v>71</v>
      </c>
      <c r="T25" s="43" t="s">
        <v>71</v>
      </c>
      <c r="U25" s="43" t="s">
        <v>71</v>
      </c>
      <c r="V25" s="43" t="s">
        <v>71</v>
      </c>
      <c r="W25" s="43" t="s">
        <v>71</v>
      </c>
      <c r="X25" s="43" t="s">
        <v>71</v>
      </c>
      <c r="Y25" s="43" t="s">
        <v>71</v>
      </c>
      <c r="Z25" s="43" t="s">
        <v>71</v>
      </c>
      <c r="AA25" s="43" t="s">
        <v>71</v>
      </c>
      <c r="AB25" s="43" t="s">
        <v>71</v>
      </c>
      <c r="AC25" s="43" t="s">
        <v>71</v>
      </c>
      <c r="AD25" s="43" t="s">
        <v>71</v>
      </c>
      <c r="AE25" s="43" t="s">
        <v>71</v>
      </c>
      <c r="AF25" s="43" t="s">
        <v>76</v>
      </c>
      <c r="AG25" t="str">
        <f>VLOOKUP($Q25,武学奇术!$A:$ZZ,25,FALSE)</f>
        <v>心法</v>
      </c>
      <c r="AH25" s="30">
        <f>VLOOKUP($Q25,武学奇术!$A:$ZZ,26,FALSE)</f>
        <v>0</v>
      </c>
      <c r="AI25" s="31">
        <f>VLOOKUP($Q25,武学奇术!$A:$ZZ,27,FALSE)*(1+IF(OR($AG25=$F$4,$AG25=$F$5),$B$22,0))</f>
        <v>0</v>
      </c>
      <c r="AJ25" s="30">
        <f>VLOOKUP($Q25,武学奇术!$A:$ZZ,28,FALSE)</f>
        <v>0</v>
      </c>
      <c r="AK25" s="31">
        <f>VLOOKUP($Q25,武学奇术!$A:$ZZ,29,FALSE)*(1+IF(OR($AG25=$F$4,$AG25=$F$5),$B$22,0))</f>
        <v>0</v>
      </c>
      <c r="AL25" s="30" cm="1">
        <f t="array" ref="AL25">$G$3+IFERROR(VLOOKUP($AG25,$F$4:$G$7,2,FALSE),0)+VLOOKUP($Q25,武学奇术!$A:$ZZ,2,FALSE)+SUM(_xlfn.XLOOKUP($R25:$AF25,增益!$A:$A,增益!$B:$B,0))</f>
        <v>0.1837</v>
      </c>
      <c r="AM25" s="30" cm="1">
        <f t="array" ref="AM25">VLOOKUP($Q25,武学奇术!$A:$ZZ,5,FALSE)+SUM(_xlfn.XLOOKUP($R25:$AF25,增益!$A:$A,增益!$E:$E,0))</f>
        <v>0</v>
      </c>
      <c r="AN25" cm="1">
        <f t="array" ref="AN25">$D$10*(1+$AM25)+VLOOKUP($Q25,武学奇术!$A:$ZZ,3,FALSE)+SUM(_xlfn.XLOOKUP($R25:$AF25,增益!$A:$A,增益!$C:$C,0))-$I$2</f>
        <v>3545.8</v>
      </c>
      <c r="AO25" cm="1">
        <f t="array" ref="AO25">$E$10*(1+$AM25)+VLOOKUP($Q25,武学奇术!$A:$ZZ,4,FALSE)+SUM(_xlfn.XLOOKUP($R25:$AF25,增益!$A:$A,增益!$D:$D,0))-$I$2</f>
        <v>3545.8</v>
      </c>
      <c r="AP25" s="35" cm="1">
        <f t="array" ref="AP25">IF($F$10-$I$3+VLOOKUP($Q25,武学奇术!$A:$ZZ,6,FALSE)+SUM(_xlfn.XLOOKUP(R25:AF25,增益!$A:$A,增益!$F:$F,0))&gt;0,($F$10-$I$3+VLOOKUP($Q25,武学奇术!$A:$ZZ,6,FALSE)+SUM(_xlfn.XLOOKUP(R25:AF25,增益!$A:$A,增益!$F:$F,0)))/200,($F$10-$I$3+VLOOKUP($Q25,武学奇术!$A:$ZZ,6,FALSE)+SUM(_xlfn.XLOOKUP(R25:AF25,增益!$A:$A,增益!$F:$F,0)))/100)</f>
        <v>0.2425</v>
      </c>
      <c r="AQ25" s="35" cm="1">
        <f t="array" ref="AQ25">$G$10+VLOOKUP($Q25,武学奇术!$A:$ZZ,7,FALSE)+SUM(_xlfn.XLOOKUP(R25:AF25,增益!$A:$A,增益!$G:$G,0))</f>
        <v>0.028</v>
      </c>
      <c r="AR25" s="30" cm="1">
        <f t="array" ref="AR25">VLOOKUP($Q25,武学奇术!$A:$ZZ,8,FALSE)+SUM(_xlfn.XLOOKUP(R25:AF25,增益!$A:$A,增益!$H:$H,0))</f>
        <v>0</v>
      </c>
      <c r="AS25">
        <f t="shared" si="0"/>
        <v>0</v>
      </c>
      <c r="AT25">
        <f t="shared" si="1"/>
        <v>0</v>
      </c>
      <c r="AU25" s="35" cm="1">
        <f t="array" ref="AU25">IF($F$11-$I$4+VLOOKUP($Q25,武学奇术!$A:$ZZ,9,FALSE)+SUM(_xlfn.XLOOKUP(R25:AF25,增益!$A:$A,增益!$I:$I,0))&gt;0,($F$11-$I$4+VLOOKUP($Q25,武学奇术!$A:$ZZ,9,FALSE)+SUM(_xlfn.XLOOKUP(R25:AF25,增益!$A:$A,增益!$I:$I,0)))/200,($F$11-$I$4+VLOOKUP($Q25,武学奇术!$A:$ZZ,9,FALSE)+SUM(_xlfn.XLOOKUP(R25:AF25,增益!$A:$A,增益!$I:$I,0)))/100)</f>
        <v>-0.3</v>
      </c>
      <c r="AV25" s="35" cm="1">
        <f t="array" ref="AV25">$G$11+VLOOKUP($Q25,武学奇术!$A:$ZZ,10,FALSE)+SUM(_xlfn.XLOOKUP(R25:AF25,增益!$A:$A,增益!$J:$J,0))</f>
        <v>0</v>
      </c>
      <c r="AW25">
        <f t="shared" si="2"/>
        <v>0</v>
      </c>
      <c r="AX25">
        <f t="shared" si="3"/>
        <v>0</v>
      </c>
      <c r="AY25" s="35" cm="1">
        <f t="array" ref="AY25">IF($F$12-$I$4+VLOOKUP($Q25,武学奇术!$A:$ZZ,11,FALSE)+SUM(_xlfn.XLOOKUP(R25:AF25,增益!$A:$A,增益!$K:$K,0))&gt;0,($F$12-$I$4+VLOOKUP($Q25,武学奇术!$A:$ZZ,11,FALSE)+SUM(_xlfn.XLOOKUP(R25:AF25,增益!$A:$A,增益!$K:$K,0)))/200,($F$12-$I$4+VLOOKUP($Q25,武学奇术!$A:$ZZ,11,FALSE)+SUM(_xlfn.XLOOKUP(R25:AF25,增益!$A:$A,增益!$K:$K,0)))/100)</f>
        <v>-0.3</v>
      </c>
      <c r="AZ25" s="35" cm="1">
        <f t="array" ref="AZ25">$G$12+VLOOKUP($Q25,武学奇术!$A:$ZZ,12,FALSE)+SUM(_xlfn.XLOOKUP(R25:AF25,增益!$A:$A,增益!$L:$L,0))</f>
        <v>0</v>
      </c>
      <c r="BA25">
        <f t="shared" si="4"/>
        <v>0</v>
      </c>
      <c r="BB25">
        <f t="shared" si="5"/>
        <v>0</v>
      </c>
      <c r="BC25" s="35" cm="1">
        <f t="array" ref="BC25">IF($F$13-$I$4+VLOOKUP($Q25,武学奇术!$A:$ZZ,13,FALSE)+SUM(_xlfn.XLOOKUP(R25:AF25,增益!$A:$A,增益!$M:$M,0))&gt;0,($F$13-$I$4+VLOOKUP($Q25,武学奇术!$A:$ZZ,13,FALSE)+SUM(_xlfn.XLOOKUP(R25:AF25,增益!$A:$A,增益!$K:$K,0)))/200,($F$13-$I$4+VLOOKUP($Q25,武学奇术!$A:$ZZ,13,FALSE)+SUM(_xlfn.XLOOKUP(R25:AF25,增益!$A:$A,增益!$M:$M,0)))/100)</f>
        <v>-0.3</v>
      </c>
      <c r="BD25" s="35" cm="1">
        <f t="array" ref="BD25">$G$13+VLOOKUP($Q25,武学奇术!$A:$ZZ,14,FALSE)+SUM(_xlfn.XLOOKUP(R25:AF25,增益!$A:$A,增益!$N:$N,0))</f>
        <v>0</v>
      </c>
      <c r="BE25">
        <f t="shared" si="6"/>
        <v>538</v>
      </c>
      <c r="BF25">
        <f t="shared" si="7"/>
        <v>1561.4</v>
      </c>
      <c r="BG25" s="35" cm="1">
        <f t="array" ref="BG25">IF($F$14-$I$4+VLOOKUP($Q25,武学奇术!$A:$ZZ,15,FALSE)+SUM(_xlfn.XLOOKUP(R25:AF25,增益!$A:$A,增益!$O:$O,0))&gt;0,($F$14-$I$4+VLOOKUP($Q25,武学奇术!$A:$ZZ,15,FALSE)+SUM(_xlfn.XLOOKUP(R25:AF25,增益!$A:$A,增益!$O:$O,0)))/200,($F$14-$I$4+VLOOKUP($Q25,武学奇术!$A:$ZZ,15,FALSE)+SUM(_xlfn.XLOOKUP(R25:AF25,增益!$A:$A,增益!$O:$O,0)))/100)</f>
        <v>0</v>
      </c>
      <c r="BH25" s="35" cm="1">
        <f t="array" ref="BH25">$G$14+VLOOKUP($Q25,武学奇术!$A:$ZZ,16,FALSE)+SUM(_xlfn.XLOOKUP(R25:AF25,增益!$A:$A,增益!$P:$P,0))</f>
        <v>0.15</v>
      </c>
      <c r="BI25" s="30">
        <f>MIN(IF(VLOOKUP($Q25,武学奇术!$A:$ZZ,23,FALSE)=1,100%,$B$8),100%)</f>
        <v>0.9712</v>
      </c>
      <c r="BJ25" s="30" cm="1">
        <f t="array" ref="BJ25">IF(VLOOKUP($Q25,武学奇术!$A:$ZZ,23,FALSE)=1,100%,MIN(80%,$B$9+VLOOKUP($Q25,武学奇术!$A:$ZZ,17,FALSE)+SUM(_xlfn.XLOOKUP(R25:AF25,增益!$A:$A,增益!$Q:$Q,0)))+$B$11+SUM(_xlfn.XLOOKUP(R25:AF25,增益!$A:$A,增益!$U:$U,0)))*IF(VLOOKUP($Q25,武学奇术!$A:$ZZ,24,FALSE)=1,0,1)</f>
        <v>0.8773</v>
      </c>
      <c r="BK25" s="30" cm="1">
        <f t="array" ref="BK25">1+$B$13+VLOOKUP($Q25,武学奇术!$A:$ZZ,18,FALSE)+SUM(_xlfn.XLOOKUP(R25:AF25,增益!$A:$A,增益!$R:$R,0))</f>
        <v>1.5</v>
      </c>
      <c r="BL25" s="30" cm="1">
        <f t="array" ref="BL25">IF(VLOOKUP($Q25,武学奇术!$A:$ZZ,24,FALSE)=1,100%,MIN(40%,$B$10+VLOOKUP($Q25,武学奇术!$A:$ZZ,19,FALSE)+SUM(_xlfn.XLOOKUP(R25:AF25,增益!$A:$A,增益!$S:$S,0)))+$B$12+SUM(_xlfn.XLOOKUP(R25:AF25,增益!$A:$A,增益!$V:$V,0)))*IF(VLOOKUP($Q25,武学奇术!$A:$ZZ,23,FALSE)=1,0,1)</f>
        <v>0.0895</v>
      </c>
      <c r="BM25" s="30" cm="1">
        <f t="array" ref="BM25">1+$B$14+VLOOKUP($Q25,武学奇术!$A:$ZZ,20,FALSE)+SUM(_xlfn.XLOOKUP(R25:AF25,增益!$A:$A,增益!$T:$T,0))</f>
        <v>1.35</v>
      </c>
      <c r="BN25" s="30">
        <f t="shared" si="8"/>
        <v>0.85203376</v>
      </c>
      <c r="BO25" s="30">
        <f t="shared" si="9"/>
        <v>0.03224384</v>
      </c>
      <c r="BP25" s="30">
        <f>IF(VLOOKUP($Q25,武学奇术!$A:$ZZ,22,FALSE)=1,0,(1-$BI25))*(1-$BL25)</f>
        <v>0.0262224</v>
      </c>
      <c r="BQ25" s="30" cm="1">
        <f t="array" ref="BQ25">SUM(_xlfn.XLOOKUP(R25:AF25,增益!$A:$A,增益!$W:$W,0))+$I$5</f>
        <v>0.11</v>
      </c>
    </row>
    <row r="26" spans="1:69">
      <c r="K26" s="41">
        <f>($L26*$BN26+$M26*$BL26+$N26*$BO26+$O26*$BP26)</f>
        <v>66377.9234060819</v>
      </c>
      <c r="L26" s="41">
        <f>((($AN26+$AO26)/2*$AH26+$AI26)*(1+$AP26)*(1+$AQ26)+(($AS26+$AT26)/2*IF($G$1="鸣金",$AJ26,$AH26)+IF($G$1="鸣金",$AK26*1.5,0))*(1+$AU26)*(1+$AV26)+(($AW26+$AX26)/2*IF($G$1="裂石",$AJ26,$AH26)+IF($G$1="裂石",$AK26*1.5,0))*(1+$AY26)*(1+$AZ26)+(($BA26+$BB26)/2*IF($G$1="牵丝",$AJ26,$AH26)+IF($G$1="牵丝",$AK26*1.5,0))*(1+$BC26)*(1+$BD26)+(($BE26+$BF26)/2*IF($G$1="破竹",$AJ26,$AH26)+IF($G$1="破竹",$AK26*1.5,0))*(1+$BG26)*(1+$BH26))*(1+$AL26)*$BK26*$P26*(1+IF(VLOOKUP($Q26,武学奇术!$A:$ZZ,30,FALSE)="回旋伞",$B$21,0))*(1+$BQ26)</f>
        <v>69411.4982651116</v>
      </c>
      <c r="M26" s="41">
        <f>(($AO26*$AH26+$AI26)*(1+$AP26)*(1+$AQ26)+($AT26*IF($G$1="鸣金",$AJ26,$AH26)+IF($G$1="鸣金",$AK26*1.5,0))*(1+$AU26)*(1+$AV26)+($AX26*IF($G$1="裂石",$AJ26,$AH26)+IF($G$1="裂石",$AK26*1.5,0))*(1+$AY26)*(1+$AZ26)+($BB26*IF($G$1="牵丝",$AJ26,$AH26)+IF($G$1="牵丝",$AK26*1.5,0))*(1+$BC26)*(1+$BD26)+($BF26*IF($G$1="破竹",$AJ26,$AH26)+IF($G$1="破竹",$AK26*1.5,0))*(1+$BG26)*(1+$BH26))*(1+$AL26)*$BM26*$P26*(1+IF(VLOOKUP($Q26,武学奇术!$A:$ZZ,30,FALSE)="回旋伞",$B$21,0))*(1+$BQ26)</f>
        <v>57434.2432257912</v>
      </c>
      <c r="N26" s="41">
        <f>((($AN26+$AO26)/2*$AH26+$AI26)*(1+$AP26)*(1+$AQ26)+(($AS26+$AT26)/2*IF($G$1="鸣金",$AJ26,$AH26)+IF($G$1="鸣金",$AK26*1.5,0))*(1+$AU26)*(1+$AV26)+(($AW26+$AX26)/2*IF($G$1="裂石",$AJ26,$AH26)+IF($G$1="裂石",$AK26*1.5,0))*(1+$AY26)*(1+$AZ26)+(($BA26+$BB26)/2*IF($G$1="牵丝",$AJ26,$AH26)+IF($G$1="牵丝",$AK26*1.5,0))*(1+$BC26)*(1+$BD26)+(($BE26+$BF26)/2*IF($G$1="破竹",$AJ26,$AH26)+IF($G$1="破竹",$AK26*1.5,0))*(1+$BG26)*(1+$BH26))*(1+$AL26)*$P26*(1+IF(VLOOKUP($Q26,武学奇术!$A:$ZZ,30,FALSE)="回旋伞",$B$21,0))*(1+$BQ26)</f>
        <v>37929.7804727386</v>
      </c>
      <c r="O26" s="41">
        <f>((($AN26*$AH26+$AI26)*(1+$AP26)*(1+$AQ26)+($AS26*IF($G$1="鸣金",$AJ26,$AH26)+IF($G$1="鸣金",$AK26*1.5,0))*(1+$AU26)*(1+$AV26)+($AW26*IF($G$1="裂石",$AJ26,$AH26)+IF($G$1="裂石",$AK26*1.5,0))*(1+$AY26)*(1+$AZ26)+($BA26*IF($G$1="牵丝",$AJ26,$AH26)+IF($G$1="牵丝",$AK26*1.5,0))*(1+$BC26)*(1+$BD26)+($BE26*IF($G$1="破竹",$AJ26,$AH26)+IF($G$1="破竹",$AK26*1.5,0))*(1+$BG26)*(1+$BH26))*(1+$AL26))*$P26*(1+IF(VLOOKUP($Q26,武学奇术!$A:$ZZ,30,FALSE)="回旋伞",$B$21,0))*(1+$BQ26)</f>
        <v>33315.6770745207</v>
      </c>
      <c r="P26" s="42">
        <v>1</v>
      </c>
      <c r="Q26" s="43" t="s">
        <v>104</v>
      </c>
      <c r="R26" s="43" t="s">
        <v>105</v>
      </c>
      <c r="S26" s="43" t="s">
        <v>91</v>
      </c>
      <c r="T26" s="43" t="s">
        <v>72</v>
      </c>
      <c r="U26" s="43" t="s">
        <v>71</v>
      </c>
      <c r="V26" s="43" t="s">
        <v>153</v>
      </c>
      <c r="W26" s="43" t="s">
        <v>95</v>
      </c>
      <c r="X26" s="43" t="s">
        <v>82</v>
      </c>
      <c r="Y26" s="43" t="s">
        <v>71</v>
      </c>
      <c r="Z26" s="43" t="s">
        <v>71</v>
      </c>
      <c r="AA26" s="43" t="s">
        <v>71</v>
      </c>
      <c r="AB26" s="43" t="s">
        <v>71</v>
      </c>
      <c r="AC26" s="43" t="s">
        <v>71</v>
      </c>
      <c r="AD26" s="43" t="s">
        <v>71</v>
      </c>
      <c r="AE26" s="43" t="s">
        <v>71</v>
      </c>
      <c r="AF26" s="43" t="s">
        <v>76</v>
      </c>
      <c r="AG26" t="str">
        <f>VLOOKUP($Q26,武学奇术!$A:$ZZ,25,FALSE)</f>
        <v>伞</v>
      </c>
      <c r="AH26" s="30">
        <f>VLOOKUP($Q26,武学奇术!$A:$ZZ,26,FALSE)</f>
        <v>1.8084</v>
      </c>
      <c r="AI26" s="31">
        <f>VLOOKUP($Q26,武学奇术!$A:$ZZ,27,FALSE)*(1+IF(OR($AG26=$F$4,$AG26=$F$5),$B$22,0))</f>
        <v>700</v>
      </c>
      <c r="AJ26" s="30">
        <f>VLOOKUP($Q26,武学奇术!$A:$ZZ,28,FALSE)</f>
        <v>2.7126</v>
      </c>
      <c r="AK26" s="31">
        <f>VLOOKUP($Q26,武学奇术!$A:$ZZ,29,FALSE)*(1+IF(OR($AG26=$F$4,$AG26=$F$5),$B$22,0))</f>
        <v>380.8</v>
      </c>
      <c r="AL26" s="30" cm="1">
        <f t="array" ref="AL26">$G$3+IFERROR(VLOOKUP($AG26,$F$4:$G$7,2,FALSE),0)+VLOOKUP($Q26,武学奇术!$A:$ZZ,2,FALSE)+SUM(_xlfn.XLOOKUP($R26:$AF26,增益!$A:$A,增益!$B:$B,0))</f>
        <v>0.6541</v>
      </c>
      <c r="AM26" s="30" cm="1">
        <f t="array" ref="AM26">VLOOKUP($Q26,武学奇术!$A:$ZZ,5,FALSE)+SUM(_xlfn.XLOOKUP($R26:$AF26,增益!$A:$A,增益!$E:$E,0))</f>
        <v>0</v>
      </c>
      <c r="AN26" cm="1">
        <f t="array" ref="AN26">$D$10*(1+$AM26)+VLOOKUP($Q26,武学奇术!$A:$ZZ,3,FALSE)+SUM(_xlfn.XLOOKUP($R26:$AF26,增益!$A:$A,增益!$C:$C,0))-$I$2</f>
        <v>3545.8</v>
      </c>
      <c r="AO26" cm="1">
        <f t="array" ref="AO26">$E$10*(1+$AM26)+VLOOKUP($Q26,武学奇术!$A:$ZZ,4,FALSE)+SUM(_xlfn.XLOOKUP($R26:$AF26,增益!$A:$A,增益!$D:$D,0))-$I$2</f>
        <v>3545.8</v>
      </c>
      <c r="AP26" s="35" cm="1">
        <f t="array" ref="AP26">IF($F$10-$I$3+VLOOKUP($Q26,武学奇术!$A:$ZZ,6,FALSE)+SUM(_xlfn.XLOOKUP(R26:AF26,增益!$A:$A,增益!$F:$F,0))&gt;0,($F$10-$I$3+VLOOKUP($Q26,武学奇术!$A:$ZZ,6,FALSE)+SUM(_xlfn.XLOOKUP(R26:AF26,增益!$A:$A,增益!$F:$F,0)))/200,($F$10-$I$3+VLOOKUP($Q26,武学奇术!$A:$ZZ,6,FALSE)+SUM(_xlfn.XLOOKUP(R26:AF26,增益!$A:$A,增益!$F:$F,0)))/100)</f>
        <v>0.3425</v>
      </c>
      <c r="AQ26" s="35" cm="1">
        <f t="array" ref="AQ26">$G$10+VLOOKUP($Q26,武学奇术!$A:$ZZ,7,FALSE)+SUM(_xlfn.XLOOKUP(R26:AF26,增益!$A:$A,增益!$G:$G,0))</f>
        <v>0.148</v>
      </c>
      <c r="AR26" s="30" cm="1">
        <f t="array" ref="AR26">VLOOKUP($Q26,武学奇术!$A:$ZZ,8,FALSE)+SUM(_xlfn.XLOOKUP(R26:AF26,增益!$A:$A,增益!$H:$H,0))</f>
        <v>0</v>
      </c>
      <c r="AS26">
        <f t="shared" si="0"/>
        <v>0</v>
      </c>
      <c r="AT26">
        <f t="shared" si="1"/>
        <v>0</v>
      </c>
      <c r="AU26" s="35" cm="1">
        <f t="array" ref="AU26">IF($F$11-$I$4+VLOOKUP($Q26,武学奇术!$A:$ZZ,9,FALSE)+SUM(_xlfn.XLOOKUP(R26:AF26,增益!$A:$A,增益!$I:$I,0))&gt;0,($F$11-$I$4+VLOOKUP($Q26,武学奇术!$A:$ZZ,9,FALSE)+SUM(_xlfn.XLOOKUP(R26:AF26,增益!$A:$A,增益!$I:$I,0)))/200,($F$11-$I$4+VLOOKUP($Q26,武学奇术!$A:$ZZ,9,FALSE)+SUM(_xlfn.XLOOKUP(R26:AF26,增益!$A:$A,增益!$I:$I,0)))/100)</f>
        <v>-0.14</v>
      </c>
      <c r="AV26" s="35" cm="1">
        <f t="array" ref="AV26">$G$11+VLOOKUP($Q26,武学奇术!$A:$ZZ,10,FALSE)+SUM(_xlfn.XLOOKUP(R26:AF26,增益!$A:$A,增益!$J:$J,0))</f>
        <v>0</v>
      </c>
      <c r="AW26">
        <f t="shared" si="2"/>
        <v>0</v>
      </c>
      <c r="AX26">
        <f t="shared" si="3"/>
        <v>0</v>
      </c>
      <c r="AY26" s="35" cm="1">
        <f t="array" ref="AY26">IF($F$12-$I$4+VLOOKUP($Q26,武学奇术!$A:$ZZ,11,FALSE)+SUM(_xlfn.XLOOKUP(R26:AF26,增益!$A:$A,增益!$K:$K,0))&gt;0,($F$12-$I$4+VLOOKUP($Q26,武学奇术!$A:$ZZ,11,FALSE)+SUM(_xlfn.XLOOKUP(R26:AF26,增益!$A:$A,增益!$K:$K,0)))/200,($F$12-$I$4+VLOOKUP($Q26,武学奇术!$A:$ZZ,11,FALSE)+SUM(_xlfn.XLOOKUP(R26:AF26,增益!$A:$A,增益!$K:$K,0)))/100)</f>
        <v>-0.14</v>
      </c>
      <c r="AZ26" s="35" cm="1">
        <f t="array" ref="AZ26">$G$12+VLOOKUP($Q26,武学奇术!$A:$ZZ,12,FALSE)+SUM(_xlfn.XLOOKUP(R26:AF26,增益!$A:$A,增益!$L:$L,0))</f>
        <v>0</v>
      </c>
      <c r="BA26">
        <f t="shared" si="4"/>
        <v>0</v>
      </c>
      <c r="BB26">
        <f t="shared" si="5"/>
        <v>0</v>
      </c>
      <c r="BC26" s="35" cm="1">
        <f t="array" ref="BC26">IF($F$13-$I$4+VLOOKUP($Q26,武学奇术!$A:$ZZ,13,FALSE)+SUM(_xlfn.XLOOKUP(R26:AF26,增益!$A:$A,增益!$M:$M,0))&gt;0,($F$13-$I$4+VLOOKUP($Q26,武学奇术!$A:$ZZ,13,FALSE)+SUM(_xlfn.XLOOKUP(R26:AF26,增益!$A:$A,增益!$K:$K,0)))/200,($F$13-$I$4+VLOOKUP($Q26,武学奇术!$A:$ZZ,13,FALSE)+SUM(_xlfn.XLOOKUP(R26:AF26,增益!$A:$A,增益!$M:$M,0)))/100)</f>
        <v>-0.14</v>
      </c>
      <c r="BD26" s="35" cm="1">
        <f t="array" ref="BD26">$G$13+VLOOKUP($Q26,武学奇术!$A:$ZZ,14,FALSE)+SUM(_xlfn.XLOOKUP(R26:AF26,增益!$A:$A,增益!$N:$N,0))</f>
        <v>0</v>
      </c>
      <c r="BE26">
        <f t="shared" si="6"/>
        <v>538</v>
      </c>
      <c r="BF26">
        <f t="shared" si="7"/>
        <v>1561.4</v>
      </c>
      <c r="BG26" s="35" cm="1">
        <f t="array" ref="BG26">IF($F$14-$I$4+VLOOKUP($Q26,武学奇术!$A:$ZZ,15,FALSE)+SUM(_xlfn.XLOOKUP(R26:AF26,增益!$A:$A,增益!$O:$O,0))&gt;0,($F$14-$I$4+VLOOKUP($Q26,武学奇术!$A:$ZZ,15,FALSE)+SUM(_xlfn.XLOOKUP(R26:AF26,增益!$A:$A,增益!$O:$O,0)))/200,($F$14-$I$4+VLOOKUP($Q26,武学奇术!$A:$ZZ,15,FALSE)+SUM(_xlfn.XLOOKUP(R26:AF26,增益!$A:$A,增益!$O:$O,0)))/100)</f>
        <v>0.08</v>
      </c>
      <c r="BH26" s="35" cm="1">
        <f t="array" ref="BH26">$G$14+VLOOKUP($Q26,武学奇术!$A:$ZZ,16,FALSE)+SUM(_xlfn.XLOOKUP(R26:AF26,增益!$A:$A,增益!$P:$P,0))</f>
        <v>0.27</v>
      </c>
      <c r="BI26" s="30">
        <f>MIN(IF(VLOOKUP($Q26,武学奇术!$A:$ZZ,23,FALSE)=1,100%,$B$8),100%)</f>
        <v>0.9712</v>
      </c>
      <c r="BJ26" s="30" cm="1">
        <f t="array" ref="BJ26">IF(VLOOKUP($Q26,武学奇术!$A:$ZZ,23,FALSE)=1,100%,MIN(80%,$B$9+VLOOKUP($Q26,武学奇术!$A:$ZZ,17,FALSE)+SUM(_xlfn.XLOOKUP(R26:AF26,增益!$A:$A,增益!$Q:$Q,0)))+$B$11+SUM(_xlfn.XLOOKUP(R26:AF26,增益!$A:$A,增益!$U:$U,0)))*IF(VLOOKUP($Q26,武学奇术!$A:$ZZ,24,FALSE)=1,0,1)</f>
        <v>0.8773</v>
      </c>
      <c r="BK26" s="30" cm="1">
        <f t="array" ref="BK26">1+$B$13+VLOOKUP($Q26,武学奇术!$A:$ZZ,18,FALSE)+SUM(_xlfn.XLOOKUP(R26:AF26,增益!$A:$A,增益!$R:$R,0))</f>
        <v>1.83</v>
      </c>
      <c r="BL26" s="30" cm="1">
        <f t="array" ref="BL26">IF(VLOOKUP($Q26,武学奇术!$A:$ZZ,24,FALSE)=1,100%,MIN(40%,$B$10+VLOOKUP($Q26,武学奇术!$A:$ZZ,19,FALSE)+SUM(_xlfn.XLOOKUP(R26:AF26,增益!$A:$A,增益!$S:$S,0)))+$B$12+SUM(_xlfn.XLOOKUP(R26:AF26,增益!$A:$A,增益!$V:$V,0)))*IF(VLOOKUP($Q26,武学奇术!$A:$ZZ,23,FALSE)=1,0,1)</f>
        <v>0.0895</v>
      </c>
      <c r="BM26" s="30" cm="1">
        <f t="array" ref="BM26">1+$B$14+VLOOKUP($Q26,武学奇术!$A:$ZZ,20,FALSE)+SUM(_xlfn.XLOOKUP(R26:AF26,增益!$A:$A,增益!$T:$T,0))</f>
        <v>1.35</v>
      </c>
      <c r="BN26" s="30">
        <f t="shared" si="8"/>
        <v>0.85203376</v>
      </c>
      <c r="BO26" s="30">
        <f t="shared" si="9"/>
        <v>0.03224384</v>
      </c>
      <c r="BP26" s="30">
        <f>IF(VLOOKUP($Q26,武学奇术!$A:$ZZ,22,FALSE)=1,0,(1-$BI26))*(1-$BL26)</f>
        <v>0.0262224</v>
      </c>
      <c r="BQ26" s="30" cm="1">
        <f t="array" ref="BQ26">SUM(_xlfn.XLOOKUP(R26:AF26,增益!$A:$A,增益!$W:$W,0))+$I$5</f>
        <v>0.11</v>
      </c>
    </row>
    <row r="27" spans="1:69">
      <c r="G27">
        <v>100</v>
      </c>
      <c r="K27" s="41">
        <f>($L27*$BN27+$M27*$BL27+$N27*$BO27+$O27*$BP27)</f>
        <v>66377.9234060819</v>
      </c>
      <c r="L27" s="41">
        <f>((($AN27+$AO27)/2*$AH27+$AI27)*(1+$AP27)*(1+$AQ27)+(($AS27+$AT27)/2*IF($G$1="鸣金",$AJ27,$AH27)+IF($G$1="鸣金",$AK27*1.5,0))*(1+$AU27)*(1+$AV27)+(($AW27+$AX27)/2*IF($G$1="裂石",$AJ27,$AH27)+IF($G$1="裂石",$AK27*1.5,0))*(1+$AY27)*(1+$AZ27)+(($BA27+$BB27)/2*IF($G$1="牵丝",$AJ27,$AH27)+IF($G$1="牵丝",$AK27*1.5,0))*(1+$BC27)*(1+$BD27)+(($BE27+$BF27)/2*IF($G$1="破竹",$AJ27,$AH27)+IF($G$1="破竹",$AK27*1.5,0))*(1+$BG27)*(1+$BH27))*(1+$AL27)*$BK27*$P27*(1+IF(VLOOKUP($Q27,武学奇术!$A:$ZZ,30,FALSE)="回旋伞",$B$21,0))*(1+$BQ27)</f>
        <v>69411.4982651116</v>
      </c>
      <c r="M27" s="41">
        <f>(($AO27*$AH27+$AI27)*(1+$AP27)*(1+$AQ27)+($AT27*IF($G$1="鸣金",$AJ27,$AH27)+IF($G$1="鸣金",$AK27*1.5,0))*(1+$AU27)*(1+$AV27)+($AX27*IF($G$1="裂石",$AJ27,$AH27)+IF($G$1="裂石",$AK27*1.5,0))*(1+$AY27)*(1+$AZ27)+($BB27*IF($G$1="牵丝",$AJ27,$AH27)+IF($G$1="牵丝",$AK27*1.5,0))*(1+$BC27)*(1+$BD27)+($BF27*IF($G$1="破竹",$AJ27,$AH27)+IF($G$1="破竹",$AK27*1.5,0))*(1+$BG27)*(1+$BH27))*(1+$AL27)*$BM27*$P27*(1+IF(VLOOKUP($Q27,武学奇术!$A:$ZZ,30,FALSE)="回旋伞",$B$21,0))*(1+$BQ27)</f>
        <v>57434.2432257912</v>
      </c>
      <c r="N27" s="41">
        <f>((($AN27+$AO27)/2*$AH27+$AI27)*(1+$AP27)*(1+$AQ27)+(($AS27+$AT27)/2*IF($G$1="鸣金",$AJ27,$AH27)+IF($G$1="鸣金",$AK27*1.5,0))*(1+$AU27)*(1+$AV27)+(($AW27+$AX27)/2*IF($G$1="裂石",$AJ27,$AH27)+IF($G$1="裂石",$AK27*1.5,0))*(1+$AY27)*(1+$AZ27)+(($BA27+$BB27)/2*IF($G$1="牵丝",$AJ27,$AH27)+IF($G$1="牵丝",$AK27*1.5,0))*(1+$BC27)*(1+$BD27)+(($BE27+$BF27)/2*IF($G$1="破竹",$AJ27,$AH27)+IF($G$1="破竹",$AK27*1.5,0))*(1+$BG27)*(1+$BH27))*(1+$AL27)*$P27*(1+IF(VLOOKUP($Q27,武学奇术!$A:$ZZ,30,FALSE)="回旋伞",$B$21,0))*(1+$BQ27)</f>
        <v>37929.7804727386</v>
      </c>
      <c r="O27" s="41">
        <f>((($AN27*$AH27+$AI27)*(1+$AP27)*(1+$AQ27)+($AS27*IF($G$1="鸣金",$AJ27,$AH27)+IF($G$1="鸣金",$AK27*1.5,0))*(1+$AU27)*(1+$AV27)+($AW27*IF($G$1="裂石",$AJ27,$AH27)+IF($G$1="裂石",$AK27*1.5,0))*(1+$AY27)*(1+$AZ27)+($BA27*IF($G$1="牵丝",$AJ27,$AH27)+IF($G$1="牵丝",$AK27*1.5,0))*(1+$BC27)*(1+$BD27)+($BE27*IF($G$1="破竹",$AJ27,$AH27)+IF($G$1="破竹",$AK27*1.5,0))*(1+$BG27)*(1+$BH27))*(1+$AL27))*$P27*(1+IF(VLOOKUP($Q27,武学奇术!$A:$ZZ,30,FALSE)="回旋伞",$B$21,0))*(1+$BQ27)</f>
        <v>33315.6770745207</v>
      </c>
      <c r="P27" s="42">
        <v>1</v>
      </c>
      <c r="Q27" s="43" t="s">
        <v>104</v>
      </c>
      <c r="R27" s="43" t="s">
        <v>105</v>
      </c>
      <c r="S27" s="43" t="s">
        <v>91</v>
      </c>
      <c r="T27" s="43" t="s">
        <v>72</v>
      </c>
      <c r="U27" s="43" t="s">
        <v>71</v>
      </c>
      <c r="V27" s="43" t="s">
        <v>153</v>
      </c>
      <c r="W27" s="43" t="s">
        <v>95</v>
      </c>
      <c r="X27" s="43" t="s">
        <v>82</v>
      </c>
      <c r="Y27" s="43" t="s">
        <v>71</v>
      </c>
      <c r="Z27" s="43" t="s">
        <v>71</v>
      </c>
      <c r="AA27" s="43" t="s">
        <v>109</v>
      </c>
      <c r="AB27" s="43" t="s">
        <v>71</v>
      </c>
      <c r="AC27" s="43" t="s">
        <v>71</v>
      </c>
      <c r="AD27" s="43" t="s">
        <v>71</v>
      </c>
      <c r="AE27" s="43" t="s">
        <v>71</v>
      </c>
      <c r="AF27" s="43" t="s">
        <v>76</v>
      </c>
      <c r="AG27" t="str">
        <f>VLOOKUP($Q27,武学奇术!$A:$ZZ,25,FALSE)</f>
        <v>伞</v>
      </c>
      <c r="AH27" s="30">
        <f>VLOOKUP($Q27,武学奇术!$A:$ZZ,26,FALSE)</f>
        <v>1.8084</v>
      </c>
      <c r="AI27" s="31">
        <f>VLOOKUP($Q27,武学奇术!$A:$ZZ,27,FALSE)*(1+IF(OR($AG27=$F$4,$AG27=$F$5),$B$22,0))</f>
        <v>700</v>
      </c>
      <c r="AJ27" s="30">
        <f>VLOOKUP($Q27,武学奇术!$A:$ZZ,28,FALSE)</f>
        <v>2.7126</v>
      </c>
      <c r="AK27" s="31">
        <f>VLOOKUP($Q27,武学奇术!$A:$ZZ,29,FALSE)*(1+IF(OR($AG27=$F$4,$AG27=$F$5),$B$22,0))</f>
        <v>380.8</v>
      </c>
      <c r="AL27" s="30" cm="1">
        <f t="array" ref="AL27">$G$3+IFERROR(VLOOKUP($AG27,$F$4:$G$7,2,FALSE),0)+VLOOKUP($Q27,武学奇术!$A:$ZZ,2,FALSE)+SUM(_xlfn.XLOOKUP($R27:$AF27,增益!$A:$A,增益!$B:$B,0))</f>
        <v>0.6541</v>
      </c>
      <c r="AM27" s="30" cm="1">
        <f t="array" ref="AM27">VLOOKUP($Q27,武学奇术!$A:$ZZ,5,FALSE)+SUM(_xlfn.XLOOKUP($R27:$AF27,增益!$A:$A,增益!$E:$E,0))</f>
        <v>0</v>
      </c>
      <c r="AN27" cm="1">
        <f t="array" ref="AN27">$D$10*(1+$AM27)+VLOOKUP($Q27,武学奇术!$A:$ZZ,3,FALSE)+SUM(_xlfn.XLOOKUP($R27:$AF27,增益!$A:$A,增益!$C:$C,0))-$I$2</f>
        <v>3545.8</v>
      </c>
      <c r="AO27" cm="1">
        <f t="array" ref="AO27">$E$10*(1+$AM27)+VLOOKUP($Q27,武学奇术!$A:$ZZ,4,FALSE)+SUM(_xlfn.XLOOKUP($R27:$AF27,增益!$A:$A,增益!$D:$D,0))-$I$2</f>
        <v>3545.8</v>
      </c>
      <c r="AP27" s="35" cm="1">
        <f t="array" ref="AP27">IF($F$10-$I$3+VLOOKUP($Q27,武学奇术!$A:$ZZ,6,FALSE)+SUM(_xlfn.XLOOKUP(R27:AF27,增益!$A:$A,增益!$F:$F,0))&gt;0,($F$10-$I$3+VLOOKUP($Q27,武学奇术!$A:$ZZ,6,FALSE)+SUM(_xlfn.XLOOKUP(R27:AF27,增益!$A:$A,增益!$F:$F,0)))/200,($F$10-$I$3+VLOOKUP($Q27,武学奇术!$A:$ZZ,6,FALSE)+SUM(_xlfn.XLOOKUP(R27:AF27,增益!$A:$A,增益!$F:$F,0)))/100)</f>
        <v>0.3425</v>
      </c>
      <c r="AQ27" s="35" cm="1">
        <f t="array" ref="AQ27">$G$10+VLOOKUP($Q27,武学奇术!$A:$ZZ,7,FALSE)+SUM(_xlfn.XLOOKUP(R27:AF27,增益!$A:$A,增益!$G:$G,0))</f>
        <v>0.148</v>
      </c>
      <c r="AR27" s="30" cm="1">
        <f t="array" ref="AR27">VLOOKUP($Q27,武学奇术!$A:$ZZ,8,FALSE)+SUM(_xlfn.XLOOKUP(R27:AF27,增益!$A:$A,增益!$H:$H,0))</f>
        <v>0</v>
      </c>
      <c r="AS27">
        <f t="shared" si="0"/>
        <v>0</v>
      </c>
      <c r="AT27">
        <f t="shared" si="1"/>
        <v>0</v>
      </c>
      <c r="AU27" s="35" cm="1">
        <f t="array" ref="AU27">IF($F$11-$I$4+VLOOKUP($Q27,武学奇术!$A:$ZZ,9,FALSE)+SUM(_xlfn.XLOOKUP(R27:AF27,增益!$A:$A,增益!$I:$I,0))&gt;0,($F$11-$I$4+VLOOKUP($Q27,武学奇术!$A:$ZZ,9,FALSE)+SUM(_xlfn.XLOOKUP(R27:AF27,增益!$A:$A,增益!$I:$I,0)))/200,($F$11-$I$4+VLOOKUP($Q27,武学奇术!$A:$ZZ,9,FALSE)+SUM(_xlfn.XLOOKUP(R27:AF27,增益!$A:$A,增益!$I:$I,0)))/100)</f>
        <v>-0.14</v>
      </c>
      <c r="AV27" s="35" cm="1">
        <f t="array" ref="AV27">$G$11+VLOOKUP($Q27,武学奇术!$A:$ZZ,10,FALSE)+SUM(_xlfn.XLOOKUP(R27:AF27,增益!$A:$A,增益!$J:$J,0))</f>
        <v>0</v>
      </c>
      <c r="AW27">
        <f t="shared" si="2"/>
        <v>0</v>
      </c>
      <c r="AX27">
        <f t="shared" si="3"/>
        <v>0</v>
      </c>
      <c r="AY27" s="35" cm="1">
        <f t="array" ref="AY27">IF($F$12-$I$4+VLOOKUP($Q27,武学奇术!$A:$ZZ,11,FALSE)+SUM(_xlfn.XLOOKUP(R27:AF27,增益!$A:$A,增益!$K:$K,0))&gt;0,($F$12-$I$4+VLOOKUP($Q27,武学奇术!$A:$ZZ,11,FALSE)+SUM(_xlfn.XLOOKUP(R27:AF27,增益!$A:$A,增益!$K:$K,0)))/200,($F$12-$I$4+VLOOKUP($Q27,武学奇术!$A:$ZZ,11,FALSE)+SUM(_xlfn.XLOOKUP(R27:AF27,增益!$A:$A,增益!$K:$K,0)))/100)</f>
        <v>-0.14</v>
      </c>
      <c r="AZ27" s="35" cm="1">
        <f t="array" ref="AZ27">$G$12+VLOOKUP($Q27,武学奇术!$A:$ZZ,12,FALSE)+SUM(_xlfn.XLOOKUP(R27:AF27,增益!$A:$A,增益!$L:$L,0))</f>
        <v>0</v>
      </c>
      <c r="BA27">
        <f t="shared" si="4"/>
        <v>0</v>
      </c>
      <c r="BB27">
        <f t="shared" si="5"/>
        <v>0</v>
      </c>
      <c r="BC27" s="35" cm="1">
        <f t="array" ref="BC27">IF($F$13-$I$4+VLOOKUP($Q27,武学奇术!$A:$ZZ,13,FALSE)+SUM(_xlfn.XLOOKUP(R27:AF27,增益!$A:$A,增益!$M:$M,0))&gt;0,($F$13-$I$4+VLOOKUP($Q27,武学奇术!$A:$ZZ,13,FALSE)+SUM(_xlfn.XLOOKUP(R27:AF27,增益!$A:$A,增益!$K:$K,0)))/200,($F$13-$I$4+VLOOKUP($Q27,武学奇术!$A:$ZZ,13,FALSE)+SUM(_xlfn.XLOOKUP(R27:AF27,增益!$A:$A,增益!$M:$M,0)))/100)</f>
        <v>-0.14</v>
      </c>
      <c r="BD27" s="35" cm="1">
        <f t="array" ref="BD27">$G$13+VLOOKUP($Q27,武学奇术!$A:$ZZ,14,FALSE)+SUM(_xlfn.XLOOKUP(R27:AF27,增益!$A:$A,增益!$N:$N,0))</f>
        <v>0</v>
      </c>
      <c r="BE27">
        <f t="shared" si="6"/>
        <v>538</v>
      </c>
      <c r="BF27">
        <f t="shared" si="7"/>
        <v>1561.4</v>
      </c>
      <c r="BG27" s="35" cm="1">
        <f t="array" ref="BG27">IF($F$14-$I$4+VLOOKUP($Q27,武学奇术!$A:$ZZ,15,FALSE)+SUM(_xlfn.XLOOKUP(R27:AF27,增益!$A:$A,增益!$O:$O,0))&gt;0,($F$14-$I$4+VLOOKUP($Q27,武学奇术!$A:$ZZ,15,FALSE)+SUM(_xlfn.XLOOKUP(R27:AF27,增益!$A:$A,增益!$O:$O,0)))/200,($F$14-$I$4+VLOOKUP($Q27,武学奇术!$A:$ZZ,15,FALSE)+SUM(_xlfn.XLOOKUP(R27:AF27,增益!$A:$A,增益!$O:$O,0)))/100)</f>
        <v>0.08</v>
      </c>
      <c r="BH27" s="35" cm="1">
        <f t="array" ref="BH27">$G$14+VLOOKUP($Q27,武学奇术!$A:$ZZ,16,FALSE)+SUM(_xlfn.XLOOKUP(R27:AF27,增益!$A:$A,增益!$P:$P,0))</f>
        <v>0.27</v>
      </c>
      <c r="BI27" s="30">
        <f>MIN(IF(VLOOKUP($Q27,武学奇术!$A:$ZZ,23,FALSE)=1,100%,$B$8),100%)</f>
        <v>0.9712</v>
      </c>
      <c r="BJ27" s="30" cm="1">
        <f t="array" ref="BJ27">IF(VLOOKUP($Q27,武学奇术!$A:$ZZ,23,FALSE)=1,100%,MIN(80%,$B$9+VLOOKUP($Q27,武学奇术!$A:$ZZ,17,FALSE)+SUM(_xlfn.XLOOKUP(R27:AF27,增益!$A:$A,增益!$Q:$Q,0)))+$B$11+SUM(_xlfn.XLOOKUP(R27:AF27,增益!$A:$A,增益!$U:$U,0)))*IF(VLOOKUP($Q27,武学奇术!$A:$ZZ,24,FALSE)=1,0,1)</f>
        <v>0.8773</v>
      </c>
      <c r="BK27" s="30" cm="1">
        <f t="array" ref="BK27">1+$B$13+VLOOKUP($Q27,武学奇术!$A:$ZZ,18,FALSE)+SUM(_xlfn.XLOOKUP(R27:AF27,增益!$A:$A,增益!$R:$R,0))</f>
        <v>1.83</v>
      </c>
      <c r="BL27" s="30" cm="1">
        <f t="array" ref="BL27">IF(VLOOKUP($Q27,武学奇术!$A:$ZZ,24,FALSE)=1,100%,MIN(40%,$B$10+VLOOKUP($Q27,武学奇术!$A:$ZZ,19,FALSE)+SUM(_xlfn.XLOOKUP(R27:AF27,增益!$A:$A,增益!$S:$S,0)))+$B$12+SUM(_xlfn.XLOOKUP(R27:AF27,增益!$A:$A,增益!$V:$V,0)))*IF(VLOOKUP($Q27,武学奇术!$A:$ZZ,23,FALSE)=1,0,1)</f>
        <v>0.0895</v>
      </c>
      <c r="BM27" s="30" cm="1">
        <f t="array" ref="BM27">1+$B$14+VLOOKUP($Q27,武学奇术!$A:$ZZ,20,FALSE)+SUM(_xlfn.XLOOKUP(R27:AF27,增益!$A:$A,增益!$T:$T,0))</f>
        <v>1.35</v>
      </c>
      <c r="BN27" s="30">
        <f t="shared" si="8"/>
        <v>0.85203376</v>
      </c>
      <c r="BO27" s="30">
        <f t="shared" si="9"/>
        <v>0.03224384</v>
      </c>
      <c r="BP27" s="30">
        <f>IF(VLOOKUP($Q27,武学奇术!$A:$ZZ,22,FALSE)=1,0,(1-$BI27))*(1-$BL27)</f>
        <v>0.0262224</v>
      </c>
      <c r="BQ27" s="30" cm="1">
        <f t="array" ref="BQ27">SUM(_xlfn.XLOOKUP(R27:AF27,增益!$A:$A,增益!$W:$W,0))+$I$5</f>
        <v>0.11</v>
      </c>
    </row>
    <row r="28" spans="1:69">
      <c r="A28" s="4" t="s">
        <v>154</v>
      </c>
      <c r="B28" s="90">
        <v>1.3</v>
      </c>
      <c r="G28">
        <v>-50</v>
      </c>
      <c r="H28">
        <v>2.5</v>
      </c>
      <c r="K28" s="41">
        <f>($L28*$BN28+$M28*$BL28+$N28*$BO28+$O28*$BP28)</f>
        <v>66377.9234060819</v>
      </c>
      <c r="L28" s="41">
        <f>((($AN28+$AO28)/2*$AH28+$AI28)*(1+$AP28)*(1+$AQ28)+(($AS28+$AT28)/2*IF($G$1="鸣金",$AJ28,$AH28)+IF($G$1="鸣金",$AK28*1.5,0))*(1+$AU28)*(1+$AV28)+(($AW28+$AX28)/2*IF($G$1="裂石",$AJ28,$AH28)+IF($G$1="裂石",$AK28*1.5,0))*(1+$AY28)*(1+$AZ28)+(($BA28+$BB28)/2*IF($G$1="牵丝",$AJ28,$AH28)+IF($G$1="牵丝",$AK28*1.5,0))*(1+$BC28)*(1+$BD28)+(($BE28+$BF28)/2*IF($G$1="破竹",$AJ28,$AH28)+IF($G$1="破竹",$AK28*1.5,0))*(1+$BG28)*(1+$BH28))*(1+$AL28)*$BK28*$P28*(1+IF(VLOOKUP($Q28,武学奇术!$A:$ZZ,30,FALSE)="回旋伞",$B$21,0))*(1+$BQ28)</f>
        <v>69411.4982651116</v>
      </c>
      <c r="M28" s="41">
        <f>(($AO28*$AH28+$AI28)*(1+$AP28)*(1+$AQ28)+($AT28*IF($G$1="鸣金",$AJ28,$AH28)+IF($G$1="鸣金",$AK28*1.5,0))*(1+$AU28)*(1+$AV28)+($AX28*IF($G$1="裂石",$AJ28,$AH28)+IF($G$1="裂石",$AK28*1.5,0))*(1+$AY28)*(1+$AZ28)+($BB28*IF($G$1="牵丝",$AJ28,$AH28)+IF($G$1="牵丝",$AK28*1.5,0))*(1+$BC28)*(1+$BD28)+($BF28*IF($G$1="破竹",$AJ28,$AH28)+IF($G$1="破竹",$AK28*1.5,0))*(1+$BG28)*(1+$BH28))*(1+$AL28)*$BM28*$P28*(1+IF(VLOOKUP($Q28,武学奇术!$A:$ZZ,30,FALSE)="回旋伞",$B$21,0))*(1+$BQ28)</f>
        <v>57434.2432257912</v>
      </c>
      <c r="N28" s="41">
        <f>((($AN28+$AO28)/2*$AH28+$AI28)*(1+$AP28)*(1+$AQ28)+(($AS28+$AT28)/2*IF($G$1="鸣金",$AJ28,$AH28)+IF($G$1="鸣金",$AK28*1.5,0))*(1+$AU28)*(1+$AV28)+(($AW28+$AX28)/2*IF($G$1="裂石",$AJ28,$AH28)+IF($G$1="裂石",$AK28*1.5,0))*(1+$AY28)*(1+$AZ28)+(($BA28+$BB28)/2*IF($G$1="牵丝",$AJ28,$AH28)+IF($G$1="牵丝",$AK28*1.5,0))*(1+$BC28)*(1+$BD28)+(($BE28+$BF28)/2*IF($G$1="破竹",$AJ28,$AH28)+IF($G$1="破竹",$AK28*1.5,0))*(1+$BG28)*(1+$BH28))*(1+$AL28)*$P28*(1+IF(VLOOKUP($Q28,武学奇术!$A:$ZZ,30,FALSE)="回旋伞",$B$21,0))*(1+$BQ28)</f>
        <v>37929.7804727386</v>
      </c>
      <c r="O28" s="41">
        <f>((($AN28*$AH28+$AI28)*(1+$AP28)*(1+$AQ28)+($AS28*IF($G$1="鸣金",$AJ28,$AH28)+IF($G$1="鸣金",$AK28*1.5,0))*(1+$AU28)*(1+$AV28)+($AW28*IF($G$1="裂石",$AJ28,$AH28)+IF($G$1="裂石",$AK28*1.5,0))*(1+$AY28)*(1+$AZ28)+($BA28*IF($G$1="牵丝",$AJ28,$AH28)+IF($G$1="牵丝",$AK28*1.5,0))*(1+$BC28)*(1+$BD28)+($BE28*IF($G$1="破竹",$AJ28,$AH28)+IF($G$1="破竹",$AK28*1.5,0))*(1+$BG28)*(1+$BH28))*(1+$AL28))*$P28*(1+IF(VLOOKUP($Q28,武学奇术!$A:$ZZ,30,FALSE)="回旋伞",$B$21,0))*(1+$BQ28)</f>
        <v>33315.6770745207</v>
      </c>
      <c r="P28" s="42">
        <v>1</v>
      </c>
      <c r="Q28" s="43" t="s">
        <v>104</v>
      </c>
      <c r="R28" s="43" t="s">
        <v>105</v>
      </c>
      <c r="S28" s="43" t="s">
        <v>91</v>
      </c>
      <c r="T28" s="43" t="s">
        <v>72</v>
      </c>
      <c r="U28" s="43" t="s">
        <v>71</v>
      </c>
      <c r="V28" s="43" t="s">
        <v>153</v>
      </c>
      <c r="W28" s="43" t="s">
        <v>95</v>
      </c>
      <c r="X28" s="43" t="s">
        <v>82</v>
      </c>
      <c r="Y28" s="43" t="s">
        <v>71</v>
      </c>
      <c r="Z28" s="43" t="s">
        <v>71</v>
      </c>
      <c r="AA28" s="43" t="s">
        <v>112</v>
      </c>
      <c r="AB28" s="43" t="s">
        <v>71</v>
      </c>
      <c r="AC28" s="43" t="s">
        <v>71</v>
      </c>
      <c r="AD28" s="43" t="s">
        <v>71</v>
      </c>
      <c r="AE28" s="43" t="s">
        <v>71</v>
      </c>
      <c r="AF28" s="43" t="s">
        <v>76</v>
      </c>
      <c r="AG28" t="str">
        <f>VLOOKUP($Q28,武学奇术!$A:$ZZ,25,FALSE)</f>
        <v>伞</v>
      </c>
      <c r="AH28" s="30">
        <f>VLOOKUP($Q28,武学奇术!$A:$ZZ,26,FALSE)</f>
        <v>1.8084</v>
      </c>
      <c r="AI28" s="31">
        <f>VLOOKUP($Q28,武学奇术!$A:$ZZ,27,FALSE)*(1+IF(OR($AG28=$F$4,$AG28=$F$5),$B$22,0))</f>
        <v>700</v>
      </c>
      <c r="AJ28" s="30">
        <f>VLOOKUP($Q28,武学奇术!$A:$ZZ,28,FALSE)</f>
        <v>2.7126</v>
      </c>
      <c r="AK28" s="31">
        <f>VLOOKUP($Q28,武学奇术!$A:$ZZ,29,FALSE)*(1+IF(OR($AG28=$F$4,$AG28=$F$5),$B$22,0))</f>
        <v>380.8</v>
      </c>
      <c r="AL28" s="30" cm="1">
        <f t="array" ref="AL28">$G$3+IFERROR(VLOOKUP($AG28,$F$4:$G$7,2,FALSE),0)+VLOOKUP($Q28,武学奇术!$A:$ZZ,2,FALSE)+SUM(_xlfn.XLOOKUP($R28:$AF28,增益!$A:$A,增益!$B:$B,0))</f>
        <v>0.6541</v>
      </c>
      <c r="AM28" s="30" cm="1">
        <f t="array" ref="AM28">VLOOKUP($Q28,武学奇术!$A:$ZZ,5,FALSE)+SUM(_xlfn.XLOOKUP($R28:$AF28,增益!$A:$A,增益!$E:$E,0))</f>
        <v>0</v>
      </c>
      <c r="AN28" cm="1">
        <f t="array" ref="AN28">$D$10*(1+$AM28)+VLOOKUP($Q28,武学奇术!$A:$ZZ,3,FALSE)+SUM(_xlfn.XLOOKUP($R28:$AF28,增益!$A:$A,增益!$C:$C,0))-$I$2</f>
        <v>3545.8</v>
      </c>
      <c r="AO28" cm="1">
        <f t="array" ref="AO28">$E$10*(1+$AM28)+VLOOKUP($Q28,武学奇术!$A:$ZZ,4,FALSE)+SUM(_xlfn.XLOOKUP($R28:$AF28,增益!$A:$A,增益!$D:$D,0))-$I$2</f>
        <v>3545.8</v>
      </c>
      <c r="AP28" s="35" cm="1">
        <f t="array" ref="AP28">IF($F$10-$I$3+VLOOKUP($Q28,武学奇术!$A:$ZZ,6,FALSE)+SUM(_xlfn.XLOOKUP(R28:AF28,增益!$A:$A,增益!$F:$F,0))&gt;0,($F$10-$I$3+VLOOKUP($Q28,武学奇术!$A:$ZZ,6,FALSE)+SUM(_xlfn.XLOOKUP(R28:AF28,增益!$A:$A,增益!$F:$F,0)))/200,($F$10-$I$3+VLOOKUP($Q28,武学奇术!$A:$ZZ,6,FALSE)+SUM(_xlfn.XLOOKUP(R28:AF28,增益!$A:$A,增益!$F:$F,0)))/100)</f>
        <v>0.3425</v>
      </c>
      <c r="AQ28" s="35" cm="1">
        <f t="array" ref="AQ28">$G$10+VLOOKUP($Q28,武学奇术!$A:$ZZ,7,FALSE)+SUM(_xlfn.XLOOKUP(R28:AF28,增益!$A:$A,增益!$G:$G,0))</f>
        <v>0.148</v>
      </c>
      <c r="AR28" s="30" cm="1">
        <f t="array" ref="AR28">VLOOKUP($Q28,武学奇术!$A:$ZZ,8,FALSE)+SUM(_xlfn.XLOOKUP(R28:AF28,增益!$A:$A,增益!$H:$H,0))</f>
        <v>0</v>
      </c>
      <c r="AS28">
        <f t="shared" si="0"/>
        <v>0</v>
      </c>
      <c r="AT28">
        <f t="shared" si="1"/>
        <v>0</v>
      </c>
      <c r="AU28" s="35" cm="1">
        <f t="array" ref="AU28">IF($F$11-$I$4+VLOOKUP($Q28,武学奇术!$A:$ZZ,9,FALSE)+SUM(_xlfn.XLOOKUP(R28:AF28,增益!$A:$A,增益!$I:$I,0))&gt;0,($F$11-$I$4+VLOOKUP($Q28,武学奇术!$A:$ZZ,9,FALSE)+SUM(_xlfn.XLOOKUP(R28:AF28,增益!$A:$A,增益!$I:$I,0)))/200,($F$11-$I$4+VLOOKUP($Q28,武学奇术!$A:$ZZ,9,FALSE)+SUM(_xlfn.XLOOKUP(R28:AF28,增益!$A:$A,增益!$I:$I,0)))/100)</f>
        <v>-0.14</v>
      </c>
      <c r="AV28" s="35" cm="1">
        <f t="array" ref="AV28">$G$11+VLOOKUP($Q28,武学奇术!$A:$ZZ,10,FALSE)+SUM(_xlfn.XLOOKUP(R28:AF28,增益!$A:$A,增益!$J:$J,0))</f>
        <v>0</v>
      </c>
      <c r="AW28">
        <f t="shared" si="2"/>
        <v>0</v>
      </c>
      <c r="AX28">
        <f t="shared" si="3"/>
        <v>0</v>
      </c>
      <c r="AY28" s="35" cm="1">
        <f t="array" ref="AY28">IF($F$12-$I$4+VLOOKUP($Q28,武学奇术!$A:$ZZ,11,FALSE)+SUM(_xlfn.XLOOKUP(R28:AF28,增益!$A:$A,增益!$K:$K,0))&gt;0,($F$12-$I$4+VLOOKUP($Q28,武学奇术!$A:$ZZ,11,FALSE)+SUM(_xlfn.XLOOKUP(R28:AF28,增益!$A:$A,增益!$K:$K,0)))/200,($F$12-$I$4+VLOOKUP($Q28,武学奇术!$A:$ZZ,11,FALSE)+SUM(_xlfn.XLOOKUP(R28:AF28,增益!$A:$A,增益!$K:$K,0)))/100)</f>
        <v>-0.14</v>
      </c>
      <c r="AZ28" s="35" cm="1">
        <f t="array" ref="AZ28">$G$12+VLOOKUP($Q28,武学奇术!$A:$ZZ,12,FALSE)+SUM(_xlfn.XLOOKUP(R28:AF28,增益!$A:$A,增益!$L:$L,0))</f>
        <v>0</v>
      </c>
      <c r="BA28">
        <f t="shared" si="4"/>
        <v>0</v>
      </c>
      <c r="BB28">
        <f t="shared" si="5"/>
        <v>0</v>
      </c>
      <c r="BC28" s="35" cm="1">
        <f t="array" ref="BC28">IF($F$13-$I$4+VLOOKUP($Q28,武学奇术!$A:$ZZ,13,FALSE)+SUM(_xlfn.XLOOKUP(R28:AF28,增益!$A:$A,增益!$M:$M,0))&gt;0,($F$13-$I$4+VLOOKUP($Q28,武学奇术!$A:$ZZ,13,FALSE)+SUM(_xlfn.XLOOKUP(R28:AF28,增益!$A:$A,增益!$K:$K,0)))/200,($F$13-$I$4+VLOOKUP($Q28,武学奇术!$A:$ZZ,13,FALSE)+SUM(_xlfn.XLOOKUP(R28:AF28,增益!$A:$A,增益!$M:$M,0)))/100)</f>
        <v>-0.14</v>
      </c>
      <c r="BD28" s="35" cm="1">
        <f t="array" ref="BD28">$G$13+VLOOKUP($Q28,武学奇术!$A:$ZZ,14,FALSE)+SUM(_xlfn.XLOOKUP(R28:AF28,增益!$A:$A,增益!$N:$N,0))</f>
        <v>0</v>
      </c>
      <c r="BE28">
        <f t="shared" si="6"/>
        <v>538</v>
      </c>
      <c r="BF28">
        <f t="shared" si="7"/>
        <v>1561.4</v>
      </c>
      <c r="BG28" s="35" cm="1">
        <f t="array" ref="BG28">IF($F$14-$I$4+VLOOKUP($Q28,武学奇术!$A:$ZZ,15,FALSE)+SUM(_xlfn.XLOOKUP(R28:AF28,增益!$A:$A,增益!$O:$O,0))&gt;0,($F$14-$I$4+VLOOKUP($Q28,武学奇术!$A:$ZZ,15,FALSE)+SUM(_xlfn.XLOOKUP(R28:AF28,增益!$A:$A,增益!$O:$O,0)))/200,($F$14-$I$4+VLOOKUP($Q28,武学奇术!$A:$ZZ,15,FALSE)+SUM(_xlfn.XLOOKUP(R28:AF28,增益!$A:$A,增益!$O:$O,0)))/100)</f>
        <v>0.08</v>
      </c>
      <c r="BH28" s="35" cm="1">
        <f t="array" ref="BH28">$G$14+VLOOKUP($Q28,武学奇术!$A:$ZZ,16,FALSE)+SUM(_xlfn.XLOOKUP(R28:AF28,增益!$A:$A,增益!$P:$P,0))</f>
        <v>0.27</v>
      </c>
      <c r="BI28" s="30">
        <f>MIN(IF(VLOOKUP($Q28,武学奇术!$A:$ZZ,23,FALSE)=1,100%,$B$8),100%)</f>
        <v>0.9712</v>
      </c>
      <c r="BJ28" s="30" cm="1">
        <f t="array" ref="BJ28">IF(VLOOKUP($Q28,武学奇术!$A:$ZZ,23,FALSE)=1,100%,MIN(80%,$B$9+VLOOKUP($Q28,武学奇术!$A:$ZZ,17,FALSE)+SUM(_xlfn.XLOOKUP(R28:AF28,增益!$A:$A,增益!$Q:$Q,0)))+$B$11+SUM(_xlfn.XLOOKUP(R28:AF28,增益!$A:$A,增益!$U:$U,0)))*IF(VLOOKUP($Q28,武学奇术!$A:$ZZ,24,FALSE)=1,0,1)</f>
        <v>0.8773</v>
      </c>
      <c r="BK28" s="30" cm="1">
        <f t="array" ref="BK28">1+$B$13+VLOOKUP($Q28,武学奇术!$A:$ZZ,18,FALSE)+SUM(_xlfn.XLOOKUP(R28:AF28,增益!$A:$A,增益!$R:$R,0))</f>
        <v>1.83</v>
      </c>
      <c r="BL28" s="30" cm="1">
        <f t="array" ref="BL28">IF(VLOOKUP($Q28,武学奇术!$A:$ZZ,24,FALSE)=1,100%,MIN(40%,$B$10+VLOOKUP($Q28,武学奇术!$A:$ZZ,19,FALSE)+SUM(_xlfn.XLOOKUP(R28:AF28,增益!$A:$A,增益!$S:$S,0)))+$B$12+SUM(_xlfn.XLOOKUP(R28:AF28,增益!$A:$A,增益!$V:$V,0)))*IF(VLOOKUP($Q28,武学奇术!$A:$ZZ,23,FALSE)=1,0,1)</f>
        <v>0.0895</v>
      </c>
      <c r="BM28" s="30" cm="1">
        <f t="array" ref="BM28">1+$B$14+VLOOKUP($Q28,武学奇术!$A:$ZZ,20,FALSE)+SUM(_xlfn.XLOOKUP(R28:AF28,增益!$A:$A,增益!$T:$T,0))</f>
        <v>1.35</v>
      </c>
      <c r="BN28" s="30">
        <f t="shared" ref="BN28:BN59" si="11">MIN((1-BL28)*BI28,BI28*BJ28)</f>
        <v>0.85203376</v>
      </c>
      <c r="BO28" s="30">
        <f t="shared" si="9"/>
        <v>0.03224384</v>
      </c>
      <c r="BP28" s="30">
        <f>IF(VLOOKUP($Q28,武学奇术!$A:$ZZ,22,FALSE)=1,0,(1-$BI28))*(1-$BL28)</f>
        <v>0.0262224</v>
      </c>
      <c r="BQ28" s="30" cm="1">
        <f t="array" ref="BQ28">SUM(_xlfn.XLOOKUP(R28:AF28,增益!$A:$A,增益!$W:$W,0))+$I$5</f>
        <v>0.11</v>
      </c>
    </row>
    <row r="29" spans="1:69">
      <c r="A29" s="4" t="s">
        <v>155</v>
      </c>
      <c r="B29" s="90">
        <v>0.5</v>
      </c>
      <c r="H29">
        <v>22.5</v>
      </c>
      <c r="K29" s="41">
        <f>($L29*$BN29+$M29*$BL29+$N29*$BO29+$O29*$BP29)</f>
        <v>76493.149268817</v>
      </c>
      <c r="L29" s="41">
        <f>((($AN29+$AO29)/2*$AH29+$AI29)*(1+$AP29)*(1+$AQ29)+(($AS29+$AT29)/2*IF($G$1="鸣金",$AJ29,$AH29)+IF($G$1="鸣金",$AK29*1.5,0))*(1+$AU29)*(1+$AV29)+(($AW29+$AX29)/2*IF($G$1="裂石",$AJ29,$AH29)+IF($G$1="裂石",$AK29*1.5,0))*(1+$AY29)*(1+$AZ29)+(($BA29+$BB29)/2*IF($G$1="牵丝",$AJ29,$AH29)+IF($G$1="牵丝",$AK29*1.5,0))*(1+$BC29)*(1+$BD29)+(($BE29+$BF29)/2*IF($G$1="破竹",$AJ29,$AH29)+IF($G$1="破竹",$AK29*1.5,0))*(1+$BG29)*(1+$BH29))*(1+$AL29)*$BK29*$P29*(1+IF(VLOOKUP($Q29,武学奇术!$A:$ZZ,30,FALSE)="回旋伞",$B$21,0))*(1+$BQ29)</f>
        <v>76493.149268817</v>
      </c>
      <c r="M29" s="41">
        <f>(($AO29*$AH29+$AI29)*(1+$AP29)*(1+$AQ29)+($AT29*IF($G$1="鸣金",$AJ29,$AH29)+IF($G$1="鸣金",$AK29*1.5,0))*(1+$AU29)*(1+$AV29)+($AX29*IF($G$1="裂石",$AJ29,$AH29)+IF($G$1="裂石",$AK29*1.5,0))*(1+$AY29)*(1+$AZ29)+($BB29*IF($G$1="牵丝",$AJ29,$AH29)+IF($G$1="牵丝",$AK29*1.5,0))*(1+$BC29)*(1+$BD29)+($BF29*IF($G$1="破竹",$AJ29,$AH29)+IF($G$1="破竹",$AK29*1.5,0))*(1+$BG29)*(1+$BH29))*(1+$AL29)*$BM29*$P29*(1+IF(VLOOKUP($Q29,武学奇术!$A:$ZZ,30,FALSE)="回旋伞",$B$21,0))*(1+$BQ29)</f>
        <v>62587.6939948807</v>
      </c>
      <c r="N29" s="41">
        <f>((($AN29+$AO29)/2*$AH29+$AI29)*(1+$AP29)*(1+$AQ29)+(($AS29+$AT29)/2*IF($G$1="鸣金",$AJ29,$AH29)+IF($G$1="鸣金",$AK29*1.5,0))*(1+$AU29)*(1+$AV29)+(($AW29+$AX29)/2*IF($G$1="裂石",$AJ29,$AH29)+IF($G$1="裂石",$AK29*1.5,0))*(1+$AY29)*(1+$AZ29)+(($BA29+$BB29)/2*IF($G$1="牵丝",$AJ29,$AH29)+IF($G$1="牵丝",$AK29*1.5,0))*(1+$BC29)*(1+$BD29)+(($BE29+$BF29)/2*IF($G$1="破竹",$AJ29,$AH29)+IF($G$1="破竹",$AK29*1.5,0))*(1+$BG29)*(1+$BH29))*(1+$AL29)*$P29*(1+IF(VLOOKUP($Q29,武学奇术!$A:$ZZ,30,FALSE)="回旋伞",$B$21,0))*(1+$BQ29)</f>
        <v>41572.3637330527</v>
      </c>
      <c r="O29" s="41">
        <f>((($AN29*$AH29+$AI29)*(1+$AP29)*(1+$AQ29)+($AS29*IF($G$1="鸣金",$AJ29,$AH29)+IF($G$1="鸣金",$AK29*1.5,0))*(1+$AU29)*(1+$AV29)+($AW29*IF($G$1="裂石",$AJ29,$AH29)+IF($G$1="裂石",$AK29*1.5,0))*(1+$AY29)*(1+$AZ29)+($BA29*IF($G$1="牵丝",$AJ29,$AH29)+IF($G$1="牵丝",$AK29*1.5,0))*(1+$BC29)*(1+$BD29)+($BE29*IF($G$1="破竹",$AJ29,$AH29)+IF($G$1="破竹",$AK29*1.5,0))*(1+$BG29)*(1+$BH29))*(1+$AL29))*$P29*(1+IF(VLOOKUP($Q29,武学奇术!$A:$ZZ,30,FALSE)="回旋伞",$B$21,0))*(1+$BQ29)</f>
        <v>36783.4726550828</v>
      </c>
      <c r="P29" s="42">
        <v>1</v>
      </c>
      <c r="Q29" s="43" t="s">
        <v>115</v>
      </c>
      <c r="R29" s="43" t="s">
        <v>105</v>
      </c>
      <c r="S29" s="43" t="s">
        <v>91</v>
      </c>
      <c r="T29" s="43" t="s">
        <v>72</v>
      </c>
      <c r="U29" s="43" t="s">
        <v>71</v>
      </c>
      <c r="V29" s="43" t="s">
        <v>156</v>
      </c>
      <c r="W29" s="43" t="s">
        <v>95</v>
      </c>
      <c r="X29" s="43" t="s">
        <v>71</v>
      </c>
      <c r="Y29" s="43" t="s">
        <v>71</v>
      </c>
      <c r="Z29" s="43" t="s">
        <v>71</v>
      </c>
      <c r="AA29" s="43" t="s">
        <v>116</v>
      </c>
      <c r="AB29" s="43" t="s">
        <v>71</v>
      </c>
      <c r="AC29" s="43" t="s">
        <v>71</v>
      </c>
      <c r="AD29" s="43" t="s">
        <v>71</v>
      </c>
      <c r="AE29" s="43" t="s">
        <v>71</v>
      </c>
      <c r="AF29" s="43" t="s">
        <v>76</v>
      </c>
      <c r="AG29" t="str">
        <f>VLOOKUP($Q29,武学奇术!$A:$ZZ,25,FALSE)</f>
        <v>伞</v>
      </c>
      <c r="AH29" s="30">
        <f>VLOOKUP($Q29,武学奇术!$A:$ZZ,26,FALSE)</f>
        <v>1.8084</v>
      </c>
      <c r="AI29" s="31">
        <f>VLOOKUP($Q29,武学奇术!$A:$ZZ,27,FALSE)*(1+IF(OR($AG29=$F$4,$AG29=$F$5),$B$22,0))</f>
        <v>700</v>
      </c>
      <c r="AJ29" s="30">
        <f>VLOOKUP($Q29,武学奇术!$A:$ZZ,28,FALSE)</f>
        <v>2.7126</v>
      </c>
      <c r="AK29" s="31">
        <f>VLOOKUP($Q29,武学奇术!$A:$ZZ,29,FALSE)*(1+IF(OR($AG29=$F$4,$AG29=$F$5),$B$22,0))</f>
        <v>380.8</v>
      </c>
      <c r="AL29" s="30" cm="1">
        <f t="array" ref="AL29">$G$3+IFERROR(VLOOKUP($AG29,$F$4:$G$7,2,FALSE),0)+VLOOKUP($Q29,武学奇术!$A:$ZZ,2,FALSE)+SUM(_xlfn.XLOOKUP($R29:$AF29,增益!$A:$A,增益!$B:$B,0))</f>
        <v>0.8541</v>
      </c>
      <c r="AM29" s="30" cm="1">
        <f t="array" ref="AM29">VLOOKUP($Q29,武学奇术!$A:$ZZ,5,FALSE)+SUM(_xlfn.XLOOKUP($R29:$AF29,增益!$A:$A,增益!$E:$E,0))</f>
        <v>0</v>
      </c>
      <c r="AN29" cm="1">
        <f t="array" ref="AN29">$D$10*(1+$AM29)+VLOOKUP($Q29,武学奇术!$A:$ZZ,3,FALSE)+SUM(_xlfn.XLOOKUP($R29:$AF29,增益!$A:$A,增益!$C:$C,0))-$I$2</f>
        <v>3545.8</v>
      </c>
      <c r="AO29" cm="1">
        <f t="array" ref="AO29">$E$10*(1+$AM29)+VLOOKUP($Q29,武学奇术!$A:$ZZ,4,FALSE)+SUM(_xlfn.XLOOKUP($R29:$AF29,增益!$A:$A,增益!$D:$D,0))-$I$2</f>
        <v>3545.8</v>
      </c>
      <c r="AP29" s="35" cm="1">
        <f t="array" ref="AP29">IF($F$10-$I$3+VLOOKUP($Q29,武学奇术!$A:$ZZ,6,FALSE)+SUM(_xlfn.XLOOKUP(R29:AF29,增益!$A:$A,增益!$F:$F,0))&gt;0,($F$10-$I$3+VLOOKUP($Q29,武学奇术!$A:$ZZ,6,FALSE)+SUM(_xlfn.XLOOKUP(R29:AF29,增益!$A:$A,增益!$F:$F,0)))/200,($F$10-$I$3+VLOOKUP($Q29,武学奇术!$A:$ZZ,6,FALSE)+SUM(_xlfn.XLOOKUP(R29:AF29,增益!$A:$A,增益!$F:$F,0)))/100)</f>
        <v>0.3425</v>
      </c>
      <c r="AQ29" s="35" cm="1">
        <f t="array" ref="AQ29">$G$10+VLOOKUP($Q29,武学奇术!$A:$ZZ,7,FALSE)+SUM(_xlfn.XLOOKUP(R29:AF29,增益!$A:$A,增益!$G:$G,0))</f>
        <v>0.148</v>
      </c>
      <c r="AR29" s="30" cm="1">
        <f t="array" ref="AR29">VLOOKUP($Q29,武学奇术!$A:$ZZ,8,FALSE)+SUM(_xlfn.XLOOKUP(R29:AF29,增益!$A:$A,增益!$H:$H,0))</f>
        <v>0</v>
      </c>
      <c r="AS29">
        <f t="shared" si="0"/>
        <v>0</v>
      </c>
      <c r="AT29">
        <f t="shared" si="1"/>
        <v>0</v>
      </c>
      <c r="AU29" s="35" cm="1">
        <f t="array" ref="AU29">IF($F$11-$I$4+VLOOKUP($Q29,武学奇术!$A:$ZZ,9,FALSE)+SUM(_xlfn.XLOOKUP(R29:AF29,增益!$A:$A,增益!$I:$I,0))&gt;0,($F$11-$I$4+VLOOKUP($Q29,武学奇术!$A:$ZZ,9,FALSE)+SUM(_xlfn.XLOOKUP(R29:AF29,增益!$A:$A,增益!$I:$I,0)))/200,($F$11-$I$4+VLOOKUP($Q29,武学奇术!$A:$ZZ,9,FALSE)+SUM(_xlfn.XLOOKUP(R29:AF29,增益!$A:$A,增益!$I:$I,0)))/100)</f>
        <v>-0.3</v>
      </c>
      <c r="AV29" s="35" cm="1">
        <f t="array" ref="AV29">$G$11+VLOOKUP($Q29,武学奇术!$A:$ZZ,10,FALSE)+SUM(_xlfn.XLOOKUP(R29:AF29,增益!$A:$A,增益!$J:$J,0))</f>
        <v>0</v>
      </c>
      <c r="AW29">
        <f t="shared" si="2"/>
        <v>0</v>
      </c>
      <c r="AX29">
        <f t="shared" si="3"/>
        <v>0</v>
      </c>
      <c r="AY29" s="35" cm="1">
        <f t="array" ref="AY29">IF($F$12-$I$4+VLOOKUP($Q29,武学奇术!$A:$ZZ,11,FALSE)+SUM(_xlfn.XLOOKUP(R29:AF29,增益!$A:$A,增益!$K:$K,0))&gt;0,($F$12-$I$4+VLOOKUP($Q29,武学奇术!$A:$ZZ,11,FALSE)+SUM(_xlfn.XLOOKUP(R29:AF29,增益!$A:$A,增益!$K:$K,0)))/200,($F$12-$I$4+VLOOKUP($Q29,武学奇术!$A:$ZZ,11,FALSE)+SUM(_xlfn.XLOOKUP(R29:AF29,增益!$A:$A,增益!$K:$K,0)))/100)</f>
        <v>-0.3</v>
      </c>
      <c r="AZ29" s="35" cm="1">
        <f t="array" ref="AZ29">$G$12+VLOOKUP($Q29,武学奇术!$A:$ZZ,12,FALSE)+SUM(_xlfn.XLOOKUP(R29:AF29,增益!$A:$A,增益!$L:$L,0))</f>
        <v>0</v>
      </c>
      <c r="BA29">
        <f t="shared" si="4"/>
        <v>0</v>
      </c>
      <c r="BB29">
        <f t="shared" si="5"/>
        <v>0</v>
      </c>
      <c r="BC29" s="35" cm="1">
        <f t="array" ref="BC29">IF($F$13-$I$4+VLOOKUP($Q29,武学奇术!$A:$ZZ,13,FALSE)+SUM(_xlfn.XLOOKUP(R29:AF29,增益!$A:$A,增益!$M:$M,0))&gt;0,($F$13-$I$4+VLOOKUP($Q29,武学奇术!$A:$ZZ,13,FALSE)+SUM(_xlfn.XLOOKUP(R29:AF29,增益!$A:$A,增益!$K:$K,0)))/200,($F$13-$I$4+VLOOKUP($Q29,武学奇术!$A:$ZZ,13,FALSE)+SUM(_xlfn.XLOOKUP(R29:AF29,增益!$A:$A,增益!$M:$M,0)))/100)</f>
        <v>-0.3</v>
      </c>
      <c r="BD29" s="35" cm="1">
        <f t="array" ref="BD29">$G$13+VLOOKUP($Q29,武学奇术!$A:$ZZ,14,FALSE)+SUM(_xlfn.XLOOKUP(R29:AF29,增益!$A:$A,增益!$N:$N,0))</f>
        <v>0</v>
      </c>
      <c r="BE29">
        <f t="shared" si="6"/>
        <v>538</v>
      </c>
      <c r="BF29">
        <f t="shared" si="7"/>
        <v>1561.4</v>
      </c>
      <c r="BG29" s="35" cm="1">
        <f t="array" ref="BG29">IF($F$14-$I$4+VLOOKUP($Q29,武学奇术!$A:$ZZ,15,FALSE)+SUM(_xlfn.XLOOKUP(R29:AF29,增益!$A:$A,增益!$O:$O,0))&gt;0,($F$14-$I$4+VLOOKUP($Q29,武学奇术!$A:$ZZ,15,FALSE)+SUM(_xlfn.XLOOKUP(R29:AF29,增益!$A:$A,增益!$O:$O,0)))/200,($F$14-$I$4+VLOOKUP($Q29,武学奇术!$A:$ZZ,15,FALSE)+SUM(_xlfn.XLOOKUP(R29:AF29,增益!$A:$A,增益!$O:$O,0)))/100)</f>
        <v>0</v>
      </c>
      <c r="BH29" s="35" cm="1">
        <f t="array" ref="BH29">$G$14+VLOOKUP($Q29,武学奇术!$A:$ZZ,16,FALSE)+SUM(_xlfn.XLOOKUP(R29:AF29,增益!$A:$A,增益!$P:$P,0))</f>
        <v>0.27</v>
      </c>
      <c r="BI29" s="30">
        <f>MIN(IF(VLOOKUP($Q29,武学奇术!$A:$ZZ,23,FALSE)=1,100%,$B$8),100%)</f>
        <v>1</v>
      </c>
      <c r="BJ29" s="30" cm="1">
        <f t="array" ref="BJ29">IF(VLOOKUP($Q29,武学奇术!$A:$ZZ,23,FALSE)=1,100%,MIN(80%,$B$9+VLOOKUP($Q29,武学奇术!$A:$ZZ,17,FALSE)+SUM(_xlfn.XLOOKUP(R29:AF29,增益!$A:$A,增益!$Q:$Q,0)))+$B$11+SUM(_xlfn.XLOOKUP(R29:AF29,增益!$A:$A,增益!$U:$U,0)))*IF(VLOOKUP($Q29,武学奇术!$A:$ZZ,24,FALSE)=1,0,1)</f>
        <v>1</v>
      </c>
      <c r="BK29" s="30" cm="1">
        <f t="array" ref="BK29">1+$B$13+VLOOKUP($Q29,武学奇术!$A:$ZZ,18,FALSE)+SUM(_xlfn.XLOOKUP(R29:AF29,增益!$A:$A,增益!$R:$R,0))</f>
        <v>1.84</v>
      </c>
      <c r="BL29" s="30" cm="1">
        <f t="array" ref="BL29">IF(VLOOKUP($Q29,武学奇术!$A:$ZZ,24,FALSE)=1,100%,MIN(40%,$B$10+VLOOKUP($Q29,武学奇术!$A:$ZZ,19,FALSE)+SUM(_xlfn.XLOOKUP(R29:AF29,增益!$A:$A,增益!$S:$S,0)))+$B$12+SUM(_xlfn.XLOOKUP(R29:AF29,增益!$A:$A,增益!$V:$V,0)))*IF(VLOOKUP($Q29,武学奇术!$A:$ZZ,23,FALSE)=1,0,1)</f>
        <v>0</v>
      </c>
      <c r="BM29" s="30" cm="1">
        <f t="array" ref="BM29">1+$B$14+VLOOKUP($Q29,武学奇术!$A:$ZZ,20,FALSE)+SUM(_xlfn.XLOOKUP(R29:AF29,增益!$A:$A,增益!$T:$T,0))</f>
        <v>1.35</v>
      </c>
      <c r="BN29" s="30">
        <f t="shared" si="11"/>
        <v>1</v>
      </c>
      <c r="BO29" s="30">
        <f t="shared" si="9"/>
        <v>0</v>
      </c>
      <c r="BP29" s="30">
        <f>IF(VLOOKUP($Q29,武学奇术!$A:$ZZ,22,FALSE)=1,0,(1-$BI29))*(1-$BL29)</f>
        <v>0</v>
      </c>
      <c r="BQ29" s="30" cm="1">
        <f t="array" ref="BQ29">SUM(_xlfn.XLOOKUP(R29:AF29,增益!$A:$A,增益!$W:$W,0))+$I$5</f>
        <v>0.11</v>
      </c>
    </row>
    <row r="30" spans="1:69">
      <c r="A30" s="4" t="s">
        <v>157</v>
      </c>
      <c r="B30" s="90">
        <v>1.5</v>
      </c>
      <c r="H30">
        <v>43.3</v>
      </c>
      <c r="K30" s="41">
        <f>($L30*$BN30+$M30*$BL30+$N30*$BO30+$O30*$BP30)</f>
        <v>130396.26487971</v>
      </c>
      <c r="L30" s="41">
        <f>((($AN30+$AO30)/2*$AH30+$AI30)*(1+$AP30)*(1+$AQ30)+(($AS30+$AT30)/2*IF($G$1="鸣金",$AJ30,$AH30)+IF($G$1="鸣金",$AK30*1.5,0))*(1+$AU30)*(1+$AV30)+(($AW30+$AX30)/2*IF($G$1="裂石",$AJ30,$AH30)+IF($G$1="裂石",$AK30*1.5,0))*(1+$AY30)*(1+$AZ30)+(($BA30+$BB30)/2*IF($G$1="牵丝",$AJ30,$AH30)+IF($G$1="牵丝",$AK30*1.5,0))*(1+$BC30)*(1+$BD30)+(($BE30+$BF30)/2*IF($G$1="破竹",$AJ30,$AH30)+IF($G$1="破竹",$AK30*1.5,0))*(1+$BG30)*(1+$BH30))*(1+$AL30)*$BK30*$P30*(1+IF(VLOOKUP($Q30,武学奇术!$A:$ZZ,30,FALSE)="回旋伞",$B$21,0))*(1+$BQ30)</f>
        <v>136483.812313845</v>
      </c>
      <c r="M30" s="41">
        <f>(($AO30*$AH30+$AI30)*(1+$AP30)*(1+$AQ30)+($AT30*IF($G$1="鸣金",$AJ30,$AH30)+IF($G$1="鸣金",$AK30*1.5,0))*(1+$AU30)*(1+$AV30)+($AX30*IF($G$1="裂石",$AJ30,$AH30)+IF($G$1="裂石",$AK30*1.5,0))*(1+$AY30)*(1+$AZ30)+($BB30*IF($G$1="牵丝",$AJ30,$AH30)+IF($G$1="牵丝",$AK30*1.5,0))*(1+$BC30)*(1+$BD30)+($BF30*IF($G$1="破竹",$AJ30,$AH30)+IF($G$1="破竹",$AK30*1.5,0))*(1+$BG30)*(1+$BH30))*(1+$AL30)*$BM30*$P30*(1+IF(VLOOKUP($Q30,武学奇术!$A:$ZZ,30,FALSE)="回旋伞",$B$21,0))*(1+$BQ30)</f>
        <v>111672.838182333</v>
      </c>
      <c r="N30" s="41">
        <f>((($AN30+$AO30)/2*$AH30+$AI30)*(1+$AP30)*(1+$AQ30)+(($AS30+$AT30)/2*IF($G$1="鸣金",$AJ30,$AH30)+IF($G$1="鸣金",$AK30*1.5,0))*(1+$AU30)*(1+$AV30)+(($AW30+$AX30)/2*IF($G$1="裂石",$AJ30,$AH30)+IF($G$1="裂石",$AK30*1.5,0))*(1+$AY30)*(1+$AZ30)+(($BA30+$BB30)/2*IF($G$1="牵丝",$AJ30,$AH30)+IF($G$1="牵丝",$AK30*1.5,0))*(1+$BC30)*(1+$BD30)+(($BE30+$BF30)/2*IF($G$1="破竹",$AJ30,$AH30)+IF($G$1="破竹",$AK30*1.5,0))*(1+$BG30)*(1+$BH30))*(1+$AL30)*$P30*(1+IF(VLOOKUP($Q30,武学奇术!$A:$ZZ,30,FALSE)="回旋伞",$B$21,0))*(1+$BQ30)</f>
        <v>74175.9849531768</v>
      </c>
      <c r="O30" s="41">
        <f>((($AN30*$AH30+$AI30)*(1+$AP30)*(1+$AQ30)+($AS30*IF($G$1="鸣金",$AJ30,$AH30)+IF($G$1="鸣金",$AK30*1.5,0))*(1+$AU30)*(1+$AV30)+($AW30*IF($G$1="裂石",$AJ30,$AH30)+IF($G$1="裂石",$AK30*1.5,0))*(1+$AY30)*(1+$AZ30)+($BA30*IF($G$1="牵丝",$AJ30,$AH30)+IF($G$1="牵丝",$AK30*1.5,0))*(1+$BC30)*(1+$BD30)+($BE30*IF($G$1="破竹",$AJ30,$AH30)+IF($G$1="破竹",$AK30*1.5,0))*(1+$BG30)*(1+$BH30))*(1+$AL30))*$P30*(1+IF(VLOOKUP($Q30,武学奇术!$A:$ZZ,30,FALSE)="回旋伞",$B$21,0))*(1+$BQ30)</f>
        <v>65631.3490305511</v>
      </c>
      <c r="P30" s="42">
        <v>2</v>
      </c>
      <c r="Q30" s="43" t="s">
        <v>104</v>
      </c>
      <c r="R30" s="43" t="s">
        <v>105</v>
      </c>
      <c r="S30" s="43" t="s">
        <v>91</v>
      </c>
      <c r="T30" s="43" t="s">
        <v>72</v>
      </c>
      <c r="U30" s="43" t="s">
        <v>71</v>
      </c>
      <c r="V30" s="43" t="s">
        <v>156</v>
      </c>
      <c r="W30" s="43" t="s">
        <v>95</v>
      </c>
      <c r="X30" s="43" t="s">
        <v>71</v>
      </c>
      <c r="Y30" s="43" t="s">
        <v>71</v>
      </c>
      <c r="Z30" s="43" t="s">
        <v>71</v>
      </c>
      <c r="AA30" s="43" t="s">
        <v>116</v>
      </c>
      <c r="AB30" s="43" t="s">
        <v>71</v>
      </c>
      <c r="AC30" s="43" t="s">
        <v>71</v>
      </c>
      <c r="AD30" s="43" t="s">
        <v>71</v>
      </c>
      <c r="AE30" s="43" t="s">
        <v>71</v>
      </c>
      <c r="AF30" s="43" t="s">
        <v>76</v>
      </c>
      <c r="AG30" t="str">
        <f>VLOOKUP($Q30,武学奇术!$A:$ZZ,25,FALSE)</f>
        <v>伞</v>
      </c>
      <c r="AH30" s="30">
        <f>VLOOKUP($Q30,武学奇术!$A:$ZZ,26,FALSE)</f>
        <v>1.8084</v>
      </c>
      <c r="AI30" s="31">
        <f>VLOOKUP($Q30,武学奇术!$A:$ZZ,27,FALSE)*(1+IF(OR($AG30=$F$4,$AG30=$F$5),$B$22,0))</f>
        <v>700</v>
      </c>
      <c r="AJ30" s="30">
        <f>VLOOKUP($Q30,武学奇术!$A:$ZZ,28,FALSE)</f>
        <v>2.7126</v>
      </c>
      <c r="AK30" s="31">
        <f>VLOOKUP($Q30,武学奇术!$A:$ZZ,29,FALSE)*(1+IF(OR($AG30=$F$4,$AG30=$F$5),$B$22,0))</f>
        <v>380.8</v>
      </c>
      <c r="AL30" s="30" cm="1">
        <f t="array" ref="AL30">$G$3+IFERROR(VLOOKUP($AG30,$F$4:$G$7,2,FALSE),0)+VLOOKUP($Q30,武学奇术!$A:$ZZ,2,FALSE)+SUM(_xlfn.XLOOKUP($R30:$AF30,增益!$A:$A,增益!$B:$B,0))</f>
        <v>0.6541</v>
      </c>
      <c r="AM30" s="30" cm="1">
        <f t="array" ref="AM30">VLOOKUP($Q30,武学奇术!$A:$ZZ,5,FALSE)+SUM(_xlfn.XLOOKUP($R30:$AF30,增益!$A:$A,增益!$E:$E,0))</f>
        <v>0</v>
      </c>
      <c r="AN30" cm="1">
        <f t="array" ref="AN30">$D$10*(1+$AM30)+VLOOKUP($Q30,武学奇术!$A:$ZZ,3,FALSE)+SUM(_xlfn.XLOOKUP($R30:$AF30,增益!$A:$A,增益!$C:$C,0))-$I$2</f>
        <v>3545.8</v>
      </c>
      <c r="AO30" cm="1">
        <f t="array" ref="AO30">$E$10*(1+$AM30)+VLOOKUP($Q30,武学奇术!$A:$ZZ,4,FALSE)+SUM(_xlfn.XLOOKUP($R30:$AF30,增益!$A:$A,增益!$D:$D,0))-$I$2</f>
        <v>3545.8</v>
      </c>
      <c r="AP30" s="35" cm="1">
        <f t="array" ref="AP30">IF($F$10-$I$3+VLOOKUP($Q30,武学奇术!$A:$ZZ,6,FALSE)+SUM(_xlfn.XLOOKUP(R30:AF30,增益!$A:$A,增益!$F:$F,0))&gt;0,($F$10-$I$3+VLOOKUP($Q30,武学奇术!$A:$ZZ,6,FALSE)+SUM(_xlfn.XLOOKUP(R30:AF30,增益!$A:$A,增益!$F:$F,0)))/200,($F$10-$I$3+VLOOKUP($Q30,武学奇术!$A:$ZZ,6,FALSE)+SUM(_xlfn.XLOOKUP(R30:AF30,增益!$A:$A,增益!$F:$F,0)))/100)</f>
        <v>0.3425</v>
      </c>
      <c r="AQ30" s="35" cm="1">
        <f t="array" ref="AQ30">$G$10+VLOOKUP($Q30,武学奇术!$A:$ZZ,7,FALSE)+SUM(_xlfn.XLOOKUP(R30:AF30,增益!$A:$A,增益!$G:$G,0))</f>
        <v>0.148</v>
      </c>
      <c r="AR30" s="30" cm="1">
        <f t="array" ref="AR30">VLOOKUP($Q30,武学奇术!$A:$ZZ,8,FALSE)+SUM(_xlfn.XLOOKUP(R30:AF30,增益!$A:$A,增益!$H:$H,0))</f>
        <v>0</v>
      </c>
      <c r="AS30">
        <f t="shared" si="0"/>
        <v>0</v>
      </c>
      <c r="AT30">
        <f t="shared" si="1"/>
        <v>0</v>
      </c>
      <c r="AU30" s="35" cm="1">
        <f t="array" ref="AU30">IF($F$11-$I$4+VLOOKUP($Q30,武学奇术!$A:$ZZ,9,FALSE)+SUM(_xlfn.XLOOKUP(R30:AF30,增益!$A:$A,增益!$I:$I,0))&gt;0,($F$11-$I$4+VLOOKUP($Q30,武学奇术!$A:$ZZ,9,FALSE)+SUM(_xlfn.XLOOKUP(R30:AF30,增益!$A:$A,增益!$I:$I,0)))/200,($F$11-$I$4+VLOOKUP($Q30,武学奇术!$A:$ZZ,9,FALSE)+SUM(_xlfn.XLOOKUP(R30:AF30,增益!$A:$A,增益!$I:$I,0)))/100)</f>
        <v>-0.3</v>
      </c>
      <c r="AV30" s="35" cm="1">
        <f t="array" ref="AV30">$G$11+VLOOKUP($Q30,武学奇术!$A:$ZZ,10,FALSE)+SUM(_xlfn.XLOOKUP(R30:AF30,增益!$A:$A,增益!$J:$J,0))</f>
        <v>0</v>
      </c>
      <c r="AW30">
        <f t="shared" si="2"/>
        <v>0</v>
      </c>
      <c r="AX30">
        <f t="shared" si="3"/>
        <v>0</v>
      </c>
      <c r="AY30" s="35" cm="1">
        <f t="array" ref="AY30">IF($F$12-$I$4+VLOOKUP($Q30,武学奇术!$A:$ZZ,11,FALSE)+SUM(_xlfn.XLOOKUP(R30:AF30,增益!$A:$A,增益!$K:$K,0))&gt;0,($F$12-$I$4+VLOOKUP($Q30,武学奇术!$A:$ZZ,11,FALSE)+SUM(_xlfn.XLOOKUP(R30:AF30,增益!$A:$A,增益!$K:$K,0)))/200,($F$12-$I$4+VLOOKUP($Q30,武学奇术!$A:$ZZ,11,FALSE)+SUM(_xlfn.XLOOKUP(R30:AF30,增益!$A:$A,增益!$K:$K,0)))/100)</f>
        <v>-0.3</v>
      </c>
      <c r="AZ30" s="35" cm="1">
        <f t="array" ref="AZ30">$G$12+VLOOKUP($Q30,武学奇术!$A:$ZZ,12,FALSE)+SUM(_xlfn.XLOOKUP(R30:AF30,增益!$A:$A,增益!$L:$L,0))</f>
        <v>0</v>
      </c>
      <c r="BA30">
        <f t="shared" si="4"/>
        <v>0</v>
      </c>
      <c r="BB30">
        <f t="shared" si="5"/>
        <v>0</v>
      </c>
      <c r="BC30" s="35" cm="1">
        <f t="array" ref="BC30">IF($F$13-$I$4+VLOOKUP($Q30,武学奇术!$A:$ZZ,13,FALSE)+SUM(_xlfn.XLOOKUP(R30:AF30,增益!$A:$A,增益!$M:$M,0))&gt;0,($F$13-$I$4+VLOOKUP($Q30,武学奇术!$A:$ZZ,13,FALSE)+SUM(_xlfn.XLOOKUP(R30:AF30,增益!$A:$A,增益!$K:$K,0)))/200,($F$13-$I$4+VLOOKUP($Q30,武学奇术!$A:$ZZ,13,FALSE)+SUM(_xlfn.XLOOKUP(R30:AF30,增益!$A:$A,增益!$M:$M,0)))/100)</f>
        <v>-0.3</v>
      </c>
      <c r="BD30" s="35" cm="1">
        <f t="array" ref="BD30">$G$13+VLOOKUP($Q30,武学奇术!$A:$ZZ,14,FALSE)+SUM(_xlfn.XLOOKUP(R30:AF30,增益!$A:$A,增益!$N:$N,0))</f>
        <v>0</v>
      </c>
      <c r="BE30">
        <f t="shared" si="6"/>
        <v>538</v>
      </c>
      <c r="BF30">
        <f t="shared" si="7"/>
        <v>1561.4</v>
      </c>
      <c r="BG30" s="35" cm="1">
        <f t="array" ref="BG30">IF($F$14-$I$4+VLOOKUP($Q30,武学奇术!$A:$ZZ,15,FALSE)+SUM(_xlfn.XLOOKUP(R30:AF30,增益!$A:$A,增益!$O:$O,0))&gt;0,($F$14-$I$4+VLOOKUP($Q30,武学奇术!$A:$ZZ,15,FALSE)+SUM(_xlfn.XLOOKUP(R30:AF30,增益!$A:$A,增益!$O:$O,0)))/200,($F$14-$I$4+VLOOKUP($Q30,武学奇术!$A:$ZZ,15,FALSE)+SUM(_xlfn.XLOOKUP(R30:AF30,增益!$A:$A,增益!$O:$O,0)))/100)</f>
        <v>0</v>
      </c>
      <c r="BH30" s="35" cm="1">
        <f t="array" ref="BH30">$G$14+VLOOKUP($Q30,武学奇术!$A:$ZZ,16,FALSE)+SUM(_xlfn.XLOOKUP(R30:AF30,增益!$A:$A,增益!$P:$P,0))</f>
        <v>0.27</v>
      </c>
      <c r="BI30" s="30">
        <f>MIN(IF(VLOOKUP($Q30,武学奇术!$A:$ZZ,23,FALSE)=1,100%,$B$8),100%)</f>
        <v>0.9712</v>
      </c>
      <c r="BJ30" s="30" cm="1">
        <f t="array" ref="BJ30">IF(VLOOKUP($Q30,武学奇术!$A:$ZZ,23,FALSE)=1,100%,MIN(80%,$B$9+VLOOKUP($Q30,武学奇术!$A:$ZZ,17,FALSE)+SUM(_xlfn.XLOOKUP(R30:AF30,增益!$A:$A,增益!$Q:$Q,0)))+$B$11+SUM(_xlfn.XLOOKUP(R30:AF30,增益!$A:$A,增益!$U:$U,0)))*IF(VLOOKUP($Q30,武学奇术!$A:$ZZ,24,FALSE)=1,0,1)</f>
        <v>0.8773</v>
      </c>
      <c r="BK30" s="30" cm="1">
        <f t="array" ref="BK30">1+$B$13+VLOOKUP($Q30,武学奇术!$A:$ZZ,18,FALSE)+SUM(_xlfn.XLOOKUP(R30:AF30,增益!$A:$A,增益!$R:$R,0))</f>
        <v>1.84</v>
      </c>
      <c r="BL30" s="30" cm="1">
        <f t="array" ref="BL30">IF(VLOOKUP($Q30,武学奇术!$A:$ZZ,24,FALSE)=1,100%,MIN(40%,$B$10+VLOOKUP($Q30,武学奇术!$A:$ZZ,19,FALSE)+SUM(_xlfn.XLOOKUP(R30:AF30,增益!$A:$A,增益!$S:$S,0)))+$B$12+SUM(_xlfn.XLOOKUP(R30:AF30,增益!$A:$A,增益!$V:$V,0)))*IF(VLOOKUP($Q30,武学奇术!$A:$ZZ,23,FALSE)=1,0,1)</f>
        <v>0.0895</v>
      </c>
      <c r="BM30" s="30" cm="1">
        <f t="array" ref="BM30">1+$B$14+VLOOKUP($Q30,武学奇术!$A:$ZZ,20,FALSE)+SUM(_xlfn.XLOOKUP(R30:AF30,增益!$A:$A,增益!$T:$T,0))</f>
        <v>1.35</v>
      </c>
      <c r="BN30" s="30">
        <f t="shared" si="11"/>
        <v>0.85203376</v>
      </c>
      <c r="BO30" s="30">
        <f t="shared" si="9"/>
        <v>0.03224384</v>
      </c>
      <c r="BP30" s="30">
        <f>IF(VLOOKUP($Q30,武学奇术!$A:$ZZ,22,FALSE)=1,0,(1-$BI30))*(1-$BL30)</f>
        <v>0.0262224</v>
      </c>
      <c r="BQ30" s="30" cm="1">
        <f t="array" ref="BQ30">SUM(_xlfn.XLOOKUP(R30:AF30,增益!$A:$A,增益!$W:$W,0))+$I$5</f>
        <v>0.11</v>
      </c>
    </row>
    <row r="31" spans="1:69">
      <c r="A31" s="4" t="s">
        <v>158</v>
      </c>
      <c r="B31" s="4">
        <v>0.5</v>
      </c>
      <c r="D31" s="42" t="s">
        <v>154</v>
      </c>
      <c r="H31">
        <v>75.5</v>
      </c>
      <c r="K31" s="41">
        <f>($L31*$BN31+$M31*$BL31+$N31*$BO31+$O31*$BP31)</f>
        <v>76908.8729061476</v>
      </c>
      <c r="L31" s="41">
        <f>((($AN31+$AO31)/2*$AH31+$AI31)*(1+$AP31)*(1+$AQ31)+(($AS31+$AT31)/2*IF($G$1="鸣金",$AJ31,$AH31)+IF($G$1="鸣金",$AK31*1.5,0))*(1+$AU31)*(1+$AV31)+(($AW31+$AX31)/2*IF($G$1="裂石",$AJ31,$AH31)+IF($G$1="裂石",$AK31*1.5,0))*(1+$AY31)*(1+$AZ31)+(($BA31+$BB31)/2*IF($G$1="牵丝",$AJ31,$AH31)+IF($G$1="牵丝",$AK31*1.5,0))*(1+$BC31)*(1+$BD31)+(($BE31+$BF31)/2*IF($G$1="破竹",$AJ31,$AH31)+IF($G$1="破竹",$AK31*1.5,0))*(1+$BG31)*(1+$BH31))*(1+$AL31)*$BK31*$P31*(1+IF(VLOOKUP($Q31,武学奇术!$A:$ZZ,30,FALSE)="回旋伞",$B$21,0))*(1+$BQ31)</f>
        <v>76908.8729061476</v>
      </c>
      <c r="M31" s="41">
        <f>(($AO31*$AH31+$AI31)*(1+$AP31)*(1+$AQ31)+($AT31*IF($G$1="鸣金",$AJ31,$AH31)+IF($G$1="鸣金",$AK31*1.5,0))*(1+$AU31)*(1+$AV31)+($AX31*IF($G$1="裂石",$AJ31,$AH31)+IF($G$1="裂石",$AK31*1.5,0))*(1+$AY31)*(1+$AZ31)+($BB31*IF($G$1="牵丝",$AJ31,$AH31)+IF($G$1="牵丝",$AK31*1.5,0))*(1+$BC31)*(1+$BD31)+($BF31*IF($G$1="破竹",$AJ31,$AH31)+IF($G$1="破竹",$AK31*1.5,0))*(1+$BG31)*(1+$BH31))*(1+$AL31)*$BM31*$P31*(1+IF(VLOOKUP($Q31,武学奇术!$A:$ZZ,30,FALSE)="回旋伞",$B$21,0))*(1+$BQ31)</f>
        <v>62587.6939948807</v>
      </c>
      <c r="N31" s="41">
        <f>((($AN31+$AO31)/2*$AH31+$AI31)*(1+$AP31)*(1+$AQ31)+(($AS31+$AT31)/2*IF($G$1="鸣金",$AJ31,$AH31)+IF($G$1="鸣金",$AK31*1.5,0))*(1+$AU31)*(1+$AV31)+(($AW31+$AX31)/2*IF($G$1="裂石",$AJ31,$AH31)+IF($G$1="裂石",$AK31*1.5,0))*(1+$AY31)*(1+$AZ31)+(($BA31+$BB31)/2*IF($G$1="牵丝",$AJ31,$AH31)+IF($G$1="牵丝",$AK31*1.5,0))*(1+$BC31)*(1+$BD31)+(($BE31+$BF31)/2*IF($G$1="破竹",$AJ31,$AH31)+IF($G$1="破竹",$AK31*1.5,0))*(1+$BG31)*(1+$BH31))*(1+$AL31)*$P31*(1+IF(VLOOKUP($Q31,武学奇术!$A:$ZZ,30,FALSE)="回旋伞",$B$21,0))*(1+$BQ31)</f>
        <v>41572.3637330527</v>
      </c>
      <c r="O31" s="41">
        <f>((($AN31*$AH31+$AI31)*(1+$AP31)*(1+$AQ31)+($AS31*IF($G$1="鸣金",$AJ31,$AH31)+IF($G$1="鸣金",$AK31*1.5,0))*(1+$AU31)*(1+$AV31)+($AW31*IF($G$1="裂石",$AJ31,$AH31)+IF($G$1="裂石",$AK31*1.5,0))*(1+$AY31)*(1+$AZ31)+($BA31*IF($G$1="牵丝",$AJ31,$AH31)+IF($G$1="牵丝",$AK31*1.5,0))*(1+$BC31)*(1+$BD31)+($BE31*IF($G$1="破竹",$AJ31,$AH31)+IF($G$1="破竹",$AK31*1.5,0))*(1+$BG31)*(1+$BH31))*(1+$AL31))*$P31*(1+IF(VLOOKUP($Q31,武学奇术!$A:$ZZ,30,FALSE)="回旋伞",$B$21,0))*(1+$BQ31)</f>
        <v>36783.4726550828</v>
      </c>
      <c r="P31" s="42">
        <v>1</v>
      </c>
      <c r="Q31" s="43" t="s">
        <v>115</v>
      </c>
      <c r="R31" s="43" t="s">
        <v>105</v>
      </c>
      <c r="S31" s="43" t="s">
        <v>91</v>
      </c>
      <c r="T31" s="43" t="s">
        <v>72</v>
      </c>
      <c r="U31" s="43" t="s">
        <v>71</v>
      </c>
      <c r="V31" s="43" t="s">
        <v>159</v>
      </c>
      <c r="W31" s="43" t="s">
        <v>95</v>
      </c>
      <c r="X31" s="43" t="s">
        <v>71</v>
      </c>
      <c r="Y31" s="43" t="s">
        <v>71</v>
      </c>
      <c r="Z31" s="43" t="s">
        <v>71</v>
      </c>
      <c r="AA31" s="43" t="s">
        <v>116</v>
      </c>
      <c r="AB31" s="43" t="s">
        <v>71</v>
      </c>
      <c r="AC31" s="43" t="s">
        <v>71</v>
      </c>
      <c r="AD31" s="43" t="s">
        <v>71</v>
      </c>
      <c r="AE31" s="43" t="s">
        <v>71</v>
      </c>
      <c r="AF31" s="43" t="s">
        <v>76</v>
      </c>
      <c r="AG31" t="str">
        <f>VLOOKUP($Q31,武学奇术!$A:$ZZ,25,FALSE)</f>
        <v>伞</v>
      </c>
      <c r="AH31" s="30">
        <f>VLOOKUP($Q31,武学奇术!$A:$ZZ,26,FALSE)</f>
        <v>1.8084</v>
      </c>
      <c r="AI31" s="31">
        <f>VLOOKUP($Q31,武学奇术!$A:$ZZ,27,FALSE)*(1+IF(OR($AG31=$F$4,$AG31=$F$5),$B$22,0))</f>
        <v>700</v>
      </c>
      <c r="AJ31" s="30">
        <f>VLOOKUP($Q31,武学奇术!$A:$ZZ,28,FALSE)</f>
        <v>2.7126</v>
      </c>
      <c r="AK31" s="31">
        <f>VLOOKUP($Q31,武学奇术!$A:$ZZ,29,FALSE)*(1+IF(OR($AG31=$F$4,$AG31=$F$5),$B$22,0))</f>
        <v>380.8</v>
      </c>
      <c r="AL31" s="30" cm="1">
        <f t="array" ref="AL31">$G$3+IFERROR(VLOOKUP($AG31,$F$4:$G$7,2,FALSE),0)+VLOOKUP($Q31,武学奇术!$A:$ZZ,2,FALSE)+SUM(_xlfn.XLOOKUP($R31:$AF31,增益!$A:$A,增益!$B:$B,0))</f>
        <v>0.8541</v>
      </c>
      <c r="AM31" s="30" cm="1">
        <f t="array" ref="AM31">VLOOKUP($Q31,武学奇术!$A:$ZZ,5,FALSE)+SUM(_xlfn.XLOOKUP($R31:$AF31,增益!$A:$A,增益!$E:$E,0))</f>
        <v>0</v>
      </c>
      <c r="AN31" cm="1">
        <f t="array" ref="AN31">$D$10*(1+$AM31)+VLOOKUP($Q31,武学奇术!$A:$ZZ,3,FALSE)+SUM(_xlfn.XLOOKUP($R31:$AF31,增益!$A:$A,增益!$C:$C,0))-$I$2</f>
        <v>3545.8</v>
      </c>
      <c r="AO31" cm="1">
        <f t="array" ref="AO31">$E$10*(1+$AM31)+VLOOKUP($Q31,武学奇术!$A:$ZZ,4,FALSE)+SUM(_xlfn.XLOOKUP($R31:$AF31,增益!$A:$A,增益!$D:$D,0))-$I$2</f>
        <v>3545.8</v>
      </c>
      <c r="AP31" s="35" cm="1">
        <f t="array" ref="AP31">IF($F$10-$I$3+VLOOKUP($Q31,武学奇术!$A:$ZZ,6,FALSE)+SUM(_xlfn.XLOOKUP(R31:AF31,增益!$A:$A,增益!$F:$F,0))&gt;0,($F$10-$I$3+VLOOKUP($Q31,武学奇术!$A:$ZZ,6,FALSE)+SUM(_xlfn.XLOOKUP(R31:AF31,增益!$A:$A,增益!$F:$F,0)))/200,($F$10-$I$3+VLOOKUP($Q31,武学奇术!$A:$ZZ,6,FALSE)+SUM(_xlfn.XLOOKUP(R31:AF31,增益!$A:$A,增益!$F:$F,0)))/100)</f>
        <v>0.3425</v>
      </c>
      <c r="AQ31" s="35" cm="1">
        <f t="array" ref="AQ31">$G$10+VLOOKUP($Q31,武学奇术!$A:$ZZ,7,FALSE)+SUM(_xlfn.XLOOKUP(R31:AF31,增益!$A:$A,增益!$G:$G,0))</f>
        <v>0.148</v>
      </c>
      <c r="AR31" s="30" cm="1">
        <f t="array" ref="AR31">VLOOKUP($Q31,武学奇术!$A:$ZZ,8,FALSE)+SUM(_xlfn.XLOOKUP(R31:AF31,增益!$A:$A,增益!$H:$H,0))</f>
        <v>0</v>
      </c>
      <c r="AS31">
        <f t="shared" si="0"/>
        <v>0</v>
      </c>
      <c r="AT31">
        <f t="shared" si="1"/>
        <v>0</v>
      </c>
      <c r="AU31" s="35" cm="1">
        <f t="array" ref="AU31">IF($F$11-$I$4+VLOOKUP($Q31,武学奇术!$A:$ZZ,9,FALSE)+SUM(_xlfn.XLOOKUP(R31:AF31,增益!$A:$A,增益!$I:$I,0))&gt;0,($F$11-$I$4+VLOOKUP($Q31,武学奇术!$A:$ZZ,9,FALSE)+SUM(_xlfn.XLOOKUP(R31:AF31,增益!$A:$A,增益!$I:$I,0)))/200,($F$11-$I$4+VLOOKUP($Q31,武学奇术!$A:$ZZ,9,FALSE)+SUM(_xlfn.XLOOKUP(R31:AF31,增益!$A:$A,增益!$I:$I,0)))/100)</f>
        <v>-0.3</v>
      </c>
      <c r="AV31" s="35" cm="1">
        <f t="array" ref="AV31">$G$11+VLOOKUP($Q31,武学奇术!$A:$ZZ,10,FALSE)+SUM(_xlfn.XLOOKUP(R31:AF31,增益!$A:$A,增益!$J:$J,0))</f>
        <v>0</v>
      </c>
      <c r="AW31">
        <f t="shared" si="2"/>
        <v>0</v>
      </c>
      <c r="AX31">
        <f t="shared" si="3"/>
        <v>0</v>
      </c>
      <c r="AY31" s="35" cm="1">
        <f t="array" ref="AY31">IF($F$12-$I$4+VLOOKUP($Q31,武学奇术!$A:$ZZ,11,FALSE)+SUM(_xlfn.XLOOKUP(R31:AF31,增益!$A:$A,增益!$K:$K,0))&gt;0,($F$12-$I$4+VLOOKUP($Q31,武学奇术!$A:$ZZ,11,FALSE)+SUM(_xlfn.XLOOKUP(R31:AF31,增益!$A:$A,增益!$K:$K,0)))/200,($F$12-$I$4+VLOOKUP($Q31,武学奇术!$A:$ZZ,11,FALSE)+SUM(_xlfn.XLOOKUP(R31:AF31,增益!$A:$A,增益!$K:$K,0)))/100)</f>
        <v>-0.3</v>
      </c>
      <c r="AZ31" s="35" cm="1">
        <f t="array" ref="AZ31">$G$12+VLOOKUP($Q31,武学奇术!$A:$ZZ,12,FALSE)+SUM(_xlfn.XLOOKUP(R31:AF31,增益!$A:$A,增益!$L:$L,0))</f>
        <v>0</v>
      </c>
      <c r="BA31">
        <f t="shared" si="4"/>
        <v>0</v>
      </c>
      <c r="BB31">
        <f t="shared" si="5"/>
        <v>0</v>
      </c>
      <c r="BC31" s="35" cm="1">
        <f t="array" ref="BC31">IF($F$13-$I$4+VLOOKUP($Q31,武学奇术!$A:$ZZ,13,FALSE)+SUM(_xlfn.XLOOKUP(R31:AF31,增益!$A:$A,增益!$M:$M,0))&gt;0,($F$13-$I$4+VLOOKUP($Q31,武学奇术!$A:$ZZ,13,FALSE)+SUM(_xlfn.XLOOKUP(R31:AF31,增益!$A:$A,增益!$K:$K,0)))/200,($F$13-$I$4+VLOOKUP($Q31,武学奇术!$A:$ZZ,13,FALSE)+SUM(_xlfn.XLOOKUP(R31:AF31,增益!$A:$A,增益!$M:$M,0)))/100)</f>
        <v>-0.3</v>
      </c>
      <c r="BD31" s="35" cm="1">
        <f t="array" ref="BD31">$G$13+VLOOKUP($Q31,武学奇术!$A:$ZZ,14,FALSE)+SUM(_xlfn.XLOOKUP(R31:AF31,增益!$A:$A,增益!$N:$N,0))</f>
        <v>0</v>
      </c>
      <c r="BE31">
        <f t="shared" si="6"/>
        <v>538</v>
      </c>
      <c r="BF31">
        <f t="shared" si="7"/>
        <v>1561.4</v>
      </c>
      <c r="BG31" s="35" cm="1">
        <f t="array" ref="BG31">IF($F$14-$I$4+VLOOKUP($Q31,武学奇术!$A:$ZZ,15,FALSE)+SUM(_xlfn.XLOOKUP(R31:AF31,增益!$A:$A,增益!$O:$O,0))&gt;0,($F$14-$I$4+VLOOKUP($Q31,武学奇术!$A:$ZZ,15,FALSE)+SUM(_xlfn.XLOOKUP(R31:AF31,增益!$A:$A,增益!$O:$O,0)))/200,($F$14-$I$4+VLOOKUP($Q31,武学奇术!$A:$ZZ,15,FALSE)+SUM(_xlfn.XLOOKUP(R31:AF31,增益!$A:$A,增益!$O:$O,0)))/100)</f>
        <v>0</v>
      </c>
      <c r="BH31" s="35" cm="1">
        <f t="array" ref="BH31">$G$14+VLOOKUP($Q31,武学奇术!$A:$ZZ,16,FALSE)+SUM(_xlfn.XLOOKUP(R31:AF31,增益!$A:$A,增益!$P:$P,0))</f>
        <v>0.27</v>
      </c>
      <c r="BI31" s="30">
        <f>MIN(IF(VLOOKUP($Q31,武学奇术!$A:$ZZ,23,FALSE)=1,100%,$B$8),100%)</f>
        <v>1</v>
      </c>
      <c r="BJ31" s="30" cm="1">
        <f t="array" ref="BJ31">IF(VLOOKUP($Q31,武学奇术!$A:$ZZ,23,FALSE)=1,100%,MIN(80%,$B$9+VLOOKUP($Q31,武学奇术!$A:$ZZ,17,FALSE)+SUM(_xlfn.XLOOKUP(R31:AF31,增益!$A:$A,增益!$Q:$Q,0)))+$B$11+SUM(_xlfn.XLOOKUP(R31:AF31,增益!$A:$A,增益!$U:$U,0)))*IF(VLOOKUP($Q31,武学奇术!$A:$ZZ,24,FALSE)=1,0,1)</f>
        <v>1</v>
      </c>
      <c r="BK31" s="30" cm="1">
        <f t="array" ref="BK31">1+$B$13+VLOOKUP($Q31,武学奇术!$A:$ZZ,18,FALSE)+SUM(_xlfn.XLOOKUP(R31:AF31,增益!$A:$A,增益!$R:$R,0))</f>
        <v>1.85</v>
      </c>
      <c r="BL31" s="30" cm="1">
        <f t="array" ref="BL31">IF(VLOOKUP($Q31,武学奇术!$A:$ZZ,24,FALSE)=1,100%,MIN(40%,$B$10+VLOOKUP($Q31,武学奇术!$A:$ZZ,19,FALSE)+SUM(_xlfn.XLOOKUP(R31:AF31,增益!$A:$A,增益!$S:$S,0)))+$B$12+SUM(_xlfn.XLOOKUP(R31:AF31,增益!$A:$A,增益!$V:$V,0)))*IF(VLOOKUP($Q31,武学奇术!$A:$ZZ,23,FALSE)=1,0,1)</f>
        <v>0</v>
      </c>
      <c r="BM31" s="30" cm="1">
        <f t="array" ref="BM31">1+$B$14+VLOOKUP($Q31,武学奇术!$A:$ZZ,20,FALSE)+SUM(_xlfn.XLOOKUP(R31:AF31,增益!$A:$A,增益!$T:$T,0))</f>
        <v>1.35</v>
      </c>
      <c r="BN31" s="30">
        <f t="shared" si="11"/>
        <v>1</v>
      </c>
      <c r="BO31" s="30">
        <f t="shared" si="9"/>
        <v>0</v>
      </c>
      <c r="BP31" s="30">
        <f>IF(VLOOKUP($Q31,武学奇术!$A:$ZZ,22,FALSE)=1,0,(1-$BI31))*(1-$BL31)</f>
        <v>0</v>
      </c>
      <c r="BQ31" s="30" cm="1">
        <f t="array" ref="BQ31">SUM(_xlfn.XLOOKUP(R31:AF31,增益!$A:$A,增益!$W:$W,0))+$I$5</f>
        <v>0.11</v>
      </c>
    </row>
    <row r="32" spans="1:69">
      <c r="A32" s="4" t="s">
        <v>160</v>
      </c>
      <c r="B32" s="90">
        <v>0.1</v>
      </c>
      <c r="D32" s="42"/>
      <c r="H32">
        <v>95.5</v>
      </c>
      <c r="K32" s="41">
        <f>($L32*$BN32+$M32*$BL32+$N32*$BO32+$O32*$BP32)</f>
        <v>65514.1346566618</v>
      </c>
      <c r="L32" s="41">
        <f>((($AN32+$AO32)/2*$AH32+$AI32)*(1+$AP32)*(1+$AQ32)+(($AS32+$AT32)/2*IF($G$1="鸣金",$AJ32,$AH32)+IF($G$1="鸣金",$AK32*1.5,0))*(1+$AU32)*(1+$AV32)+(($AW32+$AX32)/2*IF($G$1="裂石",$AJ32,$AH32)+IF($G$1="裂石",$AK32*1.5,0))*(1+$AY32)*(1+$AZ32)+(($BA32+$BB32)/2*IF($G$1="牵丝",$AJ32,$AH32)+IF($G$1="牵丝",$AK32*1.5,0))*(1+$BC32)*(1+$BD32)+(($BE32+$BF32)/2*IF($G$1="破竹",$AJ32,$AH32)+IF($G$1="破竹",$AK32*1.5,0))*(1+$BG32)*(1+$BH32))*(1+$AL32)*$BK32*$P32*(1+IF(VLOOKUP($Q32,武学奇术!$A:$ZZ,30,FALSE)="回旋伞",$B$21,0))*(1+$BQ32)</f>
        <v>68612.7860816885</v>
      </c>
      <c r="M32" s="41">
        <f>(($AO32*$AH32+$AI32)*(1+$AP32)*(1+$AQ32)+($AT32*IF($G$1="鸣金",$AJ32,$AH32)+IF($G$1="鸣金",$AK32*1.5,0))*(1+$AU32)*(1+$AV32)+($AX32*IF($G$1="裂石",$AJ32,$AH32)+IF($G$1="裂石",$AK32*1.5,0))*(1+$AY32)*(1+$AZ32)+($BB32*IF($G$1="牵丝",$AJ32,$AH32)+IF($G$1="牵丝",$AK32*1.5,0))*(1+$BC32)*(1+$BD32)+($BF32*IF($G$1="破竹",$AJ32,$AH32)+IF($G$1="破竹",$AK32*1.5,0))*(1+$BG32)*(1+$BH32))*(1+$AL32)*$BM32*$P32*(1+IF(VLOOKUP($Q32,武学奇术!$A:$ZZ,30,FALSE)="回旋伞",$B$21,0))*(1+$BQ32)</f>
        <v>55836.4190911667</v>
      </c>
      <c r="N32" s="41">
        <f>((($AN32+$AO32)/2*$AH32+$AI32)*(1+$AP32)*(1+$AQ32)+(($AS32+$AT32)/2*IF($G$1="鸣金",$AJ32,$AH32)+IF($G$1="鸣金",$AK32*1.5,0))*(1+$AU32)*(1+$AV32)+(($AW32+$AX32)/2*IF($G$1="裂石",$AJ32,$AH32)+IF($G$1="裂石",$AK32*1.5,0))*(1+$AY32)*(1+$AZ32)+(($BA32+$BB32)/2*IF($G$1="牵丝",$AJ32,$AH32)+IF($G$1="牵丝",$AK32*1.5,0))*(1+$BC32)*(1+$BD32)+(($BE32+$BF32)/2*IF($G$1="破竹",$AJ32,$AH32)+IF($G$1="破竹",$AK32*1.5,0))*(1+$BG32)*(1+$BH32))*(1+$AL32)*$P32*(1+IF(VLOOKUP($Q32,武学奇术!$A:$ZZ,30,FALSE)="回旋伞",$B$21,0))*(1+$BQ32)</f>
        <v>37087.9924765884</v>
      </c>
      <c r="O32" s="41">
        <f>((($AN32*$AH32+$AI32)*(1+$AP32)*(1+$AQ32)+($AS32*IF($G$1="鸣金",$AJ32,$AH32)+IF($G$1="鸣金",$AK32*1.5,0))*(1+$AU32)*(1+$AV32)+($AW32*IF($G$1="裂石",$AJ32,$AH32)+IF($G$1="裂石",$AK32*1.5,0))*(1+$AY32)*(1+$AZ32)+($BA32*IF($G$1="牵丝",$AJ32,$AH32)+IF($G$1="牵丝",$AK32*1.5,0))*(1+$BC32)*(1+$BD32)+($BE32*IF($G$1="破竹",$AJ32,$AH32)+IF($G$1="破竹",$AK32*1.5,0))*(1+$BG32)*(1+$BH32))*(1+$AL32))*$P32*(1+IF(VLOOKUP($Q32,武学奇术!$A:$ZZ,30,FALSE)="回旋伞",$B$21,0))*(1+$BQ32)</f>
        <v>32815.6745152755</v>
      </c>
      <c r="P32" s="42">
        <v>1</v>
      </c>
      <c r="Q32" s="43" t="s">
        <v>104</v>
      </c>
      <c r="R32" s="43" t="s">
        <v>105</v>
      </c>
      <c r="S32" s="43" t="s">
        <v>91</v>
      </c>
      <c r="T32" s="43" t="s">
        <v>72</v>
      </c>
      <c r="U32" s="43" t="s">
        <v>71</v>
      </c>
      <c r="V32" s="43" t="s">
        <v>159</v>
      </c>
      <c r="W32" s="43" t="s">
        <v>95</v>
      </c>
      <c r="X32" s="43" t="s">
        <v>71</v>
      </c>
      <c r="Y32" s="43" t="s">
        <v>71</v>
      </c>
      <c r="Z32" s="43" t="s">
        <v>71</v>
      </c>
      <c r="AA32" s="43" t="s">
        <v>116</v>
      </c>
      <c r="AB32" s="43" t="s">
        <v>71</v>
      </c>
      <c r="AC32" s="43" t="s">
        <v>71</v>
      </c>
      <c r="AD32" s="43" t="s">
        <v>71</v>
      </c>
      <c r="AE32" s="43" t="s">
        <v>71</v>
      </c>
      <c r="AF32" s="43" t="s">
        <v>76</v>
      </c>
      <c r="AG32" t="str">
        <f>VLOOKUP($Q32,武学奇术!$A:$ZZ,25,FALSE)</f>
        <v>伞</v>
      </c>
      <c r="AH32" s="30">
        <f>VLOOKUP($Q32,武学奇术!$A:$ZZ,26,FALSE)</f>
        <v>1.8084</v>
      </c>
      <c r="AI32" s="31">
        <f>VLOOKUP($Q32,武学奇术!$A:$ZZ,27,FALSE)*(1+IF(OR($AG32=$F$4,$AG32=$F$5),$B$22,0))</f>
        <v>700</v>
      </c>
      <c r="AJ32" s="30">
        <f>VLOOKUP($Q32,武学奇术!$A:$ZZ,28,FALSE)</f>
        <v>2.7126</v>
      </c>
      <c r="AK32" s="31">
        <f>VLOOKUP($Q32,武学奇术!$A:$ZZ,29,FALSE)*(1+IF(OR($AG32=$F$4,$AG32=$F$5),$B$22,0))</f>
        <v>380.8</v>
      </c>
      <c r="AL32" s="30" cm="1">
        <f t="array" ref="AL32">$G$3+IFERROR(VLOOKUP($AG32,$F$4:$G$7,2,FALSE),0)+VLOOKUP($Q32,武学奇术!$A:$ZZ,2,FALSE)+SUM(_xlfn.XLOOKUP($R32:$AF32,增益!$A:$A,增益!$B:$B,0))</f>
        <v>0.6541</v>
      </c>
      <c r="AM32" s="30" cm="1">
        <f t="array" ref="AM32">VLOOKUP($Q32,武学奇术!$A:$ZZ,5,FALSE)+SUM(_xlfn.XLOOKUP($R32:$AF32,增益!$A:$A,增益!$E:$E,0))</f>
        <v>0</v>
      </c>
      <c r="AN32" cm="1">
        <f t="array" ref="AN32">$D$10*(1+$AM32)+VLOOKUP($Q32,武学奇术!$A:$ZZ,3,FALSE)+SUM(_xlfn.XLOOKUP($R32:$AF32,增益!$A:$A,增益!$C:$C,0))-$I$2</f>
        <v>3545.8</v>
      </c>
      <c r="AO32" cm="1">
        <f t="array" ref="AO32">$E$10*(1+$AM32)+VLOOKUP($Q32,武学奇术!$A:$ZZ,4,FALSE)+SUM(_xlfn.XLOOKUP($R32:$AF32,增益!$A:$A,增益!$D:$D,0))-$I$2</f>
        <v>3545.8</v>
      </c>
      <c r="AP32" s="35" cm="1">
        <f t="array" ref="AP32">IF($F$10-$I$3+VLOOKUP($Q32,武学奇术!$A:$ZZ,6,FALSE)+SUM(_xlfn.XLOOKUP(R32:AF32,增益!$A:$A,增益!$F:$F,0))&gt;0,($F$10-$I$3+VLOOKUP($Q32,武学奇术!$A:$ZZ,6,FALSE)+SUM(_xlfn.XLOOKUP(R32:AF32,增益!$A:$A,增益!$F:$F,0)))/200,($F$10-$I$3+VLOOKUP($Q32,武学奇术!$A:$ZZ,6,FALSE)+SUM(_xlfn.XLOOKUP(R32:AF32,增益!$A:$A,增益!$F:$F,0)))/100)</f>
        <v>0.3425</v>
      </c>
      <c r="AQ32" s="35" cm="1">
        <f t="array" ref="AQ32">$G$10+VLOOKUP($Q32,武学奇术!$A:$ZZ,7,FALSE)+SUM(_xlfn.XLOOKUP(R32:AF32,增益!$A:$A,增益!$G:$G,0))</f>
        <v>0.148</v>
      </c>
      <c r="AR32" s="30" cm="1">
        <f t="array" ref="AR32">VLOOKUP($Q32,武学奇术!$A:$ZZ,8,FALSE)+SUM(_xlfn.XLOOKUP(R32:AF32,增益!$A:$A,增益!$H:$H,0))</f>
        <v>0</v>
      </c>
      <c r="AS32">
        <f t="shared" si="0"/>
        <v>0</v>
      </c>
      <c r="AT32">
        <f t="shared" si="1"/>
        <v>0</v>
      </c>
      <c r="AU32" s="35" cm="1">
        <f t="array" ref="AU32">IF($F$11-$I$4+VLOOKUP($Q32,武学奇术!$A:$ZZ,9,FALSE)+SUM(_xlfn.XLOOKUP(R32:AF32,增益!$A:$A,增益!$I:$I,0))&gt;0,($F$11-$I$4+VLOOKUP($Q32,武学奇术!$A:$ZZ,9,FALSE)+SUM(_xlfn.XLOOKUP(R32:AF32,增益!$A:$A,增益!$I:$I,0)))/200,($F$11-$I$4+VLOOKUP($Q32,武学奇术!$A:$ZZ,9,FALSE)+SUM(_xlfn.XLOOKUP(R32:AF32,增益!$A:$A,增益!$I:$I,0)))/100)</f>
        <v>-0.3</v>
      </c>
      <c r="AV32" s="35" cm="1">
        <f t="array" ref="AV32">$G$11+VLOOKUP($Q32,武学奇术!$A:$ZZ,10,FALSE)+SUM(_xlfn.XLOOKUP(R32:AF32,增益!$A:$A,增益!$J:$J,0))</f>
        <v>0</v>
      </c>
      <c r="AW32">
        <f t="shared" si="2"/>
        <v>0</v>
      </c>
      <c r="AX32">
        <f t="shared" si="3"/>
        <v>0</v>
      </c>
      <c r="AY32" s="35" cm="1">
        <f t="array" ref="AY32">IF($F$12-$I$4+VLOOKUP($Q32,武学奇术!$A:$ZZ,11,FALSE)+SUM(_xlfn.XLOOKUP(R32:AF32,增益!$A:$A,增益!$K:$K,0))&gt;0,($F$12-$I$4+VLOOKUP($Q32,武学奇术!$A:$ZZ,11,FALSE)+SUM(_xlfn.XLOOKUP(R32:AF32,增益!$A:$A,增益!$K:$K,0)))/200,($F$12-$I$4+VLOOKUP($Q32,武学奇术!$A:$ZZ,11,FALSE)+SUM(_xlfn.XLOOKUP(R32:AF32,增益!$A:$A,增益!$K:$K,0)))/100)</f>
        <v>-0.3</v>
      </c>
      <c r="AZ32" s="35" cm="1">
        <f t="array" ref="AZ32">$G$12+VLOOKUP($Q32,武学奇术!$A:$ZZ,12,FALSE)+SUM(_xlfn.XLOOKUP(R32:AF32,增益!$A:$A,增益!$L:$L,0))</f>
        <v>0</v>
      </c>
      <c r="BA32">
        <f t="shared" si="4"/>
        <v>0</v>
      </c>
      <c r="BB32">
        <f t="shared" si="5"/>
        <v>0</v>
      </c>
      <c r="BC32" s="35" cm="1">
        <f t="array" ref="BC32">IF($F$13-$I$4+VLOOKUP($Q32,武学奇术!$A:$ZZ,13,FALSE)+SUM(_xlfn.XLOOKUP(R32:AF32,增益!$A:$A,增益!$M:$M,0))&gt;0,($F$13-$I$4+VLOOKUP($Q32,武学奇术!$A:$ZZ,13,FALSE)+SUM(_xlfn.XLOOKUP(R32:AF32,增益!$A:$A,增益!$K:$K,0)))/200,($F$13-$I$4+VLOOKUP($Q32,武学奇术!$A:$ZZ,13,FALSE)+SUM(_xlfn.XLOOKUP(R32:AF32,增益!$A:$A,增益!$M:$M,0)))/100)</f>
        <v>-0.3</v>
      </c>
      <c r="BD32" s="35" cm="1">
        <f t="array" ref="BD32">$G$13+VLOOKUP($Q32,武学奇术!$A:$ZZ,14,FALSE)+SUM(_xlfn.XLOOKUP(R32:AF32,增益!$A:$A,增益!$N:$N,0))</f>
        <v>0</v>
      </c>
      <c r="BE32">
        <f t="shared" si="6"/>
        <v>538</v>
      </c>
      <c r="BF32">
        <f t="shared" si="7"/>
        <v>1561.4</v>
      </c>
      <c r="BG32" s="35" cm="1">
        <f t="array" ref="BG32">IF($F$14-$I$4+VLOOKUP($Q32,武学奇术!$A:$ZZ,15,FALSE)+SUM(_xlfn.XLOOKUP(R32:AF32,增益!$A:$A,增益!$O:$O,0))&gt;0,($F$14-$I$4+VLOOKUP($Q32,武学奇术!$A:$ZZ,15,FALSE)+SUM(_xlfn.XLOOKUP(R32:AF32,增益!$A:$A,增益!$O:$O,0)))/200,($F$14-$I$4+VLOOKUP($Q32,武学奇术!$A:$ZZ,15,FALSE)+SUM(_xlfn.XLOOKUP(R32:AF32,增益!$A:$A,增益!$O:$O,0)))/100)</f>
        <v>0</v>
      </c>
      <c r="BH32" s="35" cm="1">
        <f t="array" ref="BH32">$G$14+VLOOKUP($Q32,武学奇术!$A:$ZZ,16,FALSE)+SUM(_xlfn.XLOOKUP(R32:AF32,增益!$A:$A,增益!$P:$P,0))</f>
        <v>0.27</v>
      </c>
      <c r="BI32" s="30">
        <f>MIN(IF(VLOOKUP($Q32,武学奇术!$A:$ZZ,23,FALSE)=1,100%,$B$8),100%)</f>
        <v>0.9712</v>
      </c>
      <c r="BJ32" s="30" cm="1">
        <f t="array" ref="BJ32">IF(VLOOKUP($Q32,武学奇术!$A:$ZZ,23,FALSE)=1,100%,MIN(80%,$B$9+VLOOKUP($Q32,武学奇术!$A:$ZZ,17,FALSE)+SUM(_xlfn.XLOOKUP(R32:AF32,增益!$A:$A,增益!$Q:$Q,0)))+$B$11+SUM(_xlfn.XLOOKUP(R32:AF32,增益!$A:$A,增益!$U:$U,0)))*IF(VLOOKUP($Q32,武学奇术!$A:$ZZ,24,FALSE)=1,0,1)</f>
        <v>0.8773</v>
      </c>
      <c r="BK32" s="30" cm="1">
        <f t="array" ref="BK32">1+$B$13+VLOOKUP($Q32,武学奇术!$A:$ZZ,18,FALSE)+SUM(_xlfn.XLOOKUP(R32:AF32,增益!$A:$A,增益!$R:$R,0))</f>
        <v>1.85</v>
      </c>
      <c r="BL32" s="30" cm="1">
        <f t="array" ref="BL32">IF(VLOOKUP($Q32,武学奇术!$A:$ZZ,24,FALSE)=1,100%,MIN(40%,$B$10+VLOOKUP($Q32,武学奇术!$A:$ZZ,19,FALSE)+SUM(_xlfn.XLOOKUP(R32:AF32,增益!$A:$A,增益!$S:$S,0)))+$B$12+SUM(_xlfn.XLOOKUP(R32:AF32,增益!$A:$A,增益!$V:$V,0)))*IF(VLOOKUP($Q32,武学奇术!$A:$ZZ,23,FALSE)=1,0,1)</f>
        <v>0.0895</v>
      </c>
      <c r="BM32" s="30" cm="1">
        <f t="array" ref="BM32">1+$B$14+VLOOKUP($Q32,武学奇术!$A:$ZZ,20,FALSE)+SUM(_xlfn.XLOOKUP(R32:AF32,增益!$A:$A,增益!$T:$T,0))</f>
        <v>1.35</v>
      </c>
      <c r="BN32" s="30">
        <f t="shared" si="11"/>
        <v>0.85203376</v>
      </c>
      <c r="BO32" s="30">
        <f t="shared" si="9"/>
        <v>0.03224384</v>
      </c>
      <c r="BP32" s="30">
        <f>IF(VLOOKUP($Q32,武学奇术!$A:$ZZ,22,FALSE)=1,0,(1-$BI32))*(1-$BL32)</f>
        <v>0.0262224</v>
      </c>
      <c r="BQ32" s="30" cm="1">
        <f t="array" ref="BQ32">SUM(_xlfn.XLOOKUP(R32:AF32,增益!$A:$A,增益!$W:$W,0))+$I$5</f>
        <v>0.11</v>
      </c>
    </row>
    <row r="33" spans="1:69">
      <c r="A33" s="4" t="s">
        <v>161</v>
      </c>
      <c r="B33" s="4">
        <v>5</v>
      </c>
      <c r="D33" s="42"/>
      <c r="E33" s="42" t="s">
        <v>162</v>
      </c>
      <c r="K33" s="41">
        <f>($L33*$BN33+$M33*$BL33+$N33*$BO33+$O33*$BP33)</f>
        <v>67024.2724755251</v>
      </c>
      <c r="L33" s="41">
        <f>((($AN33+$AO33)/2*$AH33+$AI33)*(1+$AP33)*(1+$AQ33)+(($AS33+$AT33)/2*IF($G$1="鸣金",$AJ33,$AH33)+IF($G$1="鸣金",$AK33*1.5,0))*(1+$AU33)*(1+$AV33)+(($AW33+$AX33)/2*IF($G$1="裂石",$AJ33,$AH33)+IF($G$1="裂石",$AK33*1.5,0))*(1+$AY33)*(1+$AZ33)+(($BA33+$BB33)/2*IF($G$1="牵丝",$AJ33,$AH33)+IF($G$1="牵丝",$AK33*1.5,0))*(1+$BC33)*(1+$BD33)+(($BE33+$BF33)/2*IF($G$1="破竹",$AJ33,$AH33)+IF($G$1="破竹",$AK33*1.5,0))*(1+$BG33)*(1+$BH33))*(1+$AL33)*$BK33*$P33*(1+IF(VLOOKUP($Q33,武学奇术!$A:$ZZ,30,FALSE)="回旋伞",$B$21,0))*(1+$BQ33)</f>
        <v>70170.0938745664</v>
      </c>
      <c r="M33" s="41">
        <f>(($AO33*$AH33+$AI33)*(1+$AP33)*(1+$AQ33)+($AT33*IF($G$1="鸣金",$AJ33,$AH33)+IF($G$1="鸣金",$AK33*1.5,0))*(1+$AU33)*(1+$AV33)+($AX33*IF($G$1="裂石",$AJ33,$AH33)+IF($G$1="裂石",$AK33*1.5,0))*(1+$AY33)*(1+$AZ33)+($BB33*IF($G$1="牵丝",$AJ33,$AH33)+IF($G$1="牵丝",$AK33*1.5,0))*(1+$BC33)*(1+$BD33)+($BF33*IF($G$1="破竹",$AJ33,$AH33)+IF($G$1="破竹",$AK33*1.5,0))*(1+$BG33)*(1+$BH33))*(1+$AL33)*$BM33*$P33*(1+IF(VLOOKUP($Q33,武学奇术!$A:$ZZ,30,FALSE)="回旋伞",$B$21,0))*(1+$BQ33)</f>
        <v>57434.2432257912</v>
      </c>
      <c r="N33" s="41">
        <f>((($AN33+$AO33)/2*$AH33+$AI33)*(1+$AP33)*(1+$AQ33)+(($AS33+$AT33)/2*IF($G$1="鸣金",$AJ33,$AH33)+IF($G$1="鸣金",$AK33*1.5,0))*(1+$AU33)*(1+$AV33)+(($AW33+$AX33)/2*IF($G$1="裂石",$AJ33,$AH33)+IF($G$1="裂石",$AK33*1.5,0))*(1+$AY33)*(1+$AZ33)+(($BA33+$BB33)/2*IF($G$1="牵丝",$AJ33,$AH33)+IF($G$1="牵丝",$AK33*1.5,0))*(1+$BC33)*(1+$BD33)+(($BE33+$BF33)/2*IF($G$1="破竹",$AJ33,$AH33)+IF($G$1="破竹",$AK33*1.5,0))*(1+$BG33)*(1+$BH33))*(1+$AL33)*$P33*(1+IF(VLOOKUP($Q33,武学奇术!$A:$ZZ,30,FALSE)="回旋伞",$B$21,0))*(1+$BQ33)</f>
        <v>37929.7804727386</v>
      </c>
      <c r="O33" s="41">
        <f>((($AN33*$AH33+$AI33)*(1+$AP33)*(1+$AQ33)+($AS33*IF($G$1="鸣金",$AJ33,$AH33)+IF($G$1="鸣金",$AK33*1.5,0))*(1+$AU33)*(1+$AV33)+($AW33*IF($G$1="裂石",$AJ33,$AH33)+IF($G$1="裂石",$AK33*1.5,0))*(1+$AY33)*(1+$AZ33)+($BA33*IF($G$1="牵丝",$AJ33,$AH33)+IF($G$1="牵丝",$AK33*1.5,0))*(1+$BC33)*(1+$BD33)+($BE33*IF($G$1="破竹",$AJ33,$AH33)+IF($G$1="破竹",$AK33*1.5,0))*(1+$BG33)*(1+$BH33))*(1+$AL33))*$P33*(1+IF(VLOOKUP($Q33,武学奇术!$A:$ZZ,30,FALSE)="回旋伞",$B$21,0))*(1+$BQ33)</f>
        <v>33315.6770745207</v>
      </c>
      <c r="P33" s="42">
        <v>1</v>
      </c>
      <c r="Q33" s="43" t="s">
        <v>104</v>
      </c>
      <c r="R33" s="43" t="s">
        <v>105</v>
      </c>
      <c r="S33" s="43" t="s">
        <v>91</v>
      </c>
      <c r="T33" s="43" t="s">
        <v>72</v>
      </c>
      <c r="U33" s="43" t="s">
        <v>71</v>
      </c>
      <c r="V33" s="43" t="s">
        <v>159</v>
      </c>
      <c r="W33" s="43" t="s">
        <v>95</v>
      </c>
      <c r="X33" s="43" t="s">
        <v>82</v>
      </c>
      <c r="Y33" s="43" t="s">
        <v>71</v>
      </c>
      <c r="Z33" s="43" t="s">
        <v>71</v>
      </c>
      <c r="AA33" s="43" t="s">
        <v>116</v>
      </c>
      <c r="AB33" s="43" t="s">
        <v>71</v>
      </c>
      <c r="AC33" s="43" t="s">
        <v>71</v>
      </c>
      <c r="AD33" s="43" t="s">
        <v>71</v>
      </c>
      <c r="AE33" s="43" t="s">
        <v>71</v>
      </c>
      <c r="AF33" s="43" t="s">
        <v>76</v>
      </c>
      <c r="AG33" t="str">
        <f>VLOOKUP($Q33,武学奇术!$A:$ZZ,25,FALSE)</f>
        <v>伞</v>
      </c>
      <c r="AH33" s="30">
        <f>VLOOKUP($Q33,武学奇术!$A:$ZZ,26,FALSE)</f>
        <v>1.8084</v>
      </c>
      <c r="AI33" s="31">
        <f>VLOOKUP($Q33,武学奇术!$A:$ZZ,27,FALSE)*(1+IF(OR($AG33=$F$4,$AG33=$F$5),$B$22,0))</f>
        <v>700</v>
      </c>
      <c r="AJ33" s="30">
        <f>VLOOKUP($Q33,武学奇术!$A:$ZZ,28,FALSE)</f>
        <v>2.7126</v>
      </c>
      <c r="AK33" s="31">
        <f>VLOOKUP($Q33,武学奇术!$A:$ZZ,29,FALSE)*(1+IF(OR($AG33=$F$4,$AG33=$F$5),$B$22,0))</f>
        <v>380.8</v>
      </c>
      <c r="AL33" s="30" cm="1">
        <f t="array" ref="AL33">$G$3+IFERROR(VLOOKUP($AG33,$F$4:$G$7,2,FALSE),0)+VLOOKUP($Q33,武学奇术!$A:$ZZ,2,FALSE)+SUM(_xlfn.XLOOKUP($R33:$AF33,增益!$A:$A,增益!$B:$B,0))</f>
        <v>0.6541</v>
      </c>
      <c r="AM33" s="30" cm="1">
        <f t="array" ref="AM33">VLOOKUP($Q33,武学奇术!$A:$ZZ,5,FALSE)+SUM(_xlfn.XLOOKUP($R33:$AF33,增益!$A:$A,增益!$E:$E,0))</f>
        <v>0</v>
      </c>
      <c r="AN33" cm="1">
        <f t="array" ref="AN33">$D$10*(1+$AM33)+VLOOKUP($Q33,武学奇术!$A:$ZZ,3,FALSE)+SUM(_xlfn.XLOOKUP($R33:$AF33,增益!$A:$A,增益!$C:$C,0))-$I$2</f>
        <v>3545.8</v>
      </c>
      <c r="AO33" cm="1">
        <f t="array" ref="AO33">$E$10*(1+$AM33)+VLOOKUP($Q33,武学奇术!$A:$ZZ,4,FALSE)+SUM(_xlfn.XLOOKUP($R33:$AF33,增益!$A:$A,增益!$D:$D,0))-$I$2</f>
        <v>3545.8</v>
      </c>
      <c r="AP33" s="35" cm="1">
        <f t="array" ref="AP33">IF($F$10-$I$3+VLOOKUP($Q33,武学奇术!$A:$ZZ,6,FALSE)+SUM(_xlfn.XLOOKUP(R33:AF33,增益!$A:$A,增益!$F:$F,0))&gt;0,($F$10-$I$3+VLOOKUP($Q33,武学奇术!$A:$ZZ,6,FALSE)+SUM(_xlfn.XLOOKUP(R33:AF33,增益!$A:$A,增益!$F:$F,0)))/200,($F$10-$I$3+VLOOKUP($Q33,武学奇术!$A:$ZZ,6,FALSE)+SUM(_xlfn.XLOOKUP(R33:AF33,增益!$A:$A,增益!$F:$F,0)))/100)</f>
        <v>0.3425</v>
      </c>
      <c r="AQ33" s="35" cm="1">
        <f t="array" ref="AQ33">$G$10+VLOOKUP($Q33,武学奇术!$A:$ZZ,7,FALSE)+SUM(_xlfn.XLOOKUP(R33:AF33,增益!$A:$A,增益!$G:$G,0))</f>
        <v>0.148</v>
      </c>
      <c r="AR33" s="30" cm="1">
        <f t="array" ref="AR33">VLOOKUP($Q33,武学奇术!$A:$ZZ,8,FALSE)+SUM(_xlfn.XLOOKUP(R33:AF33,增益!$A:$A,增益!$H:$H,0))</f>
        <v>0</v>
      </c>
      <c r="AS33">
        <f t="shared" si="0"/>
        <v>0</v>
      </c>
      <c r="AT33">
        <f t="shared" si="1"/>
        <v>0</v>
      </c>
      <c r="AU33" s="35" cm="1">
        <f t="array" ref="AU33">IF($F$11-$I$4+VLOOKUP($Q33,武学奇术!$A:$ZZ,9,FALSE)+SUM(_xlfn.XLOOKUP(R33:AF33,增益!$A:$A,增益!$I:$I,0))&gt;0,($F$11-$I$4+VLOOKUP($Q33,武学奇术!$A:$ZZ,9,FALSE)+SUM(_xlfn.XLOOKUP(R33:AF33,增益!$A:$A,增益!$I:$I,0)))/200,($F$11-$I$4+VLOOKUP($Q33,武学奇术!$A:$ZZ,9,FALSE)+SUM(_xlfn.XLOOKUP(R33:AF33,增益!$A:$A,增益!$I:$I,0)))/100)</f>
        <v>-0.14</v>
      </c>
      <c r="AV33" s="35" cm="1">
        <f t="array" ref="AV33">$G$11+VLOOKUP($Q33,武学奇术!$A:$ZZ,10,FALSE)+SUM(_xlfn.XLOOKUP(R33:AF33,增益!$A:$A,增益!$J:$J,0))</f>
        <v>0</v>
      </c>
      <c r="AW33">
        <f t="shared" si="2"/>
        <v>0</v>
      </c>
      <c r="AX33">
        <f t="shared" si="3"/>
        <v>0</v>
      </c>
      <c r="AY33" s="35" cm="1">
        <f t="array" ref="AY33">IF($F$12-$I$4+VLOOKUP($Q33,武学奇术!$A:$ZZ,11,FALSE)+SUM(_xlfn.XLOOKUP(R33:AF33,增益!$A:$A,增益!$K:$K,0))&gt;0,($F$12-$I$4+VLOOKUP($Q33,武学奇术!$A:$ZZ,11,FALSE)+SUM(_xlfn.XLOOKUP(R33:AF33,增益!$A:$A,增益!$K:$K,0)))/200,($F$12-$I$4+VLOOKUP($Q33,武学奇术!$A:$ZZ,11,FALSE)+SUM(_xlfn.XLOOKUP(R33:AF33,增益!$A:$A,增益!$K:$K,0)))/100)</f>
        <v>-0.14</v>
      </c>
      <c r="AZ33" s="35" cm="1">
        <f t="array" ref="AZ33">$G$12+VLOOKUP($Q33,武学奇术!$A:$ZZ,12,FALSE)+SUM(_xlfn.XLOOKUP(R33:AF33,增益!$A:$A,增益!$L:$L,0))</f>
        <v>0</v>
      </c>
      <c r="BA33">
        <f t="shared" si="4"/>
        <v>0</v>
      </c>
      <c r="BB33">
        <f t="shared" si="5"/>
        <v>0</v>
      </c>
      <c r="BC33" s="35" cm="1">
        <f t="array" ref="BC33">IF($F$13-$I$4+VLOOKUP($Q33,武学奇术!$A:$ZZ,13,FALSE)+SUM(_xlfn.XLOOKUP(R33:AF33,增益!$A:$A,增益!$M:$M,0))&gt;0,($F$13-$I$4+VLOOKUP($Q33,武学奇术!$A:$ZZ,13,FALSE)+SUM(_xlfn.XLOOKUP(R33:AF33,增益!$A:$A,增益!$K:$K,0)))/200,($F$13-$I$4+VLOOKUP($Q33,武学奇术!$A:$ZZ,13,FALSE)+SUM(_xlfn.XLOOKUP(R33:AF33,增益!$A:$A,增益!$M:$M,0)))/100)</f>
        <v>-0.14</v>
      </c>
      <c r="BD33" s="35" cm="1">
        <f t="array" ref="BD33">$G$13+VLOOKUP($Q33,武学奇术!$A:$ZZ,14,FALSE)+SUM(_xlfn.XLOOKUP(R33:AF33,增益!$A:$A,增益!$N:$N,0))</f>
        <v>0</v>
      </c>
      <c r="BE33">
        <f t="shared" si="6"/>
        <v>538</v>
      </c>
      <c r="BF33">
        <f t="shared" si="7"/>
        <v>1561.4</v>
      </c>
      <c r="BG33" s="35" cm="1">
        <f t="array" ref="BG33">IF($F$14-$I$4+VLOOKUP($Q33,武学奇术!$A:$ZZ,15,FALSE)+SUM(_xlfn.XLOOKUP(R33:AF33,增益!$A:$A,增益!$O:$O,0))&gt;0,($F$14-$I$4+VLOOKUP($Q33,武学奇术!$A:$ZZ,15,FALSE)+SUM(_xlfn.XLOOKUP(R33:AF33,增益!$A:$A,增益!$O:$O,0)))/200,($F$14-$I$4+VLOOKUP($Q33,武学奇术!$A:$ZZ,15,FALSE)+SUM(_xlfn.XLOOKUP(R33:AF33,增益!$A:$A,增益!$O:$O,0)))/100)</f>
        <v>0.08</v>
      </c>
      <c r="BH33" s="35" cm="1">
        <f t="array" ref="BH33">$G$14+VLOOKUP($Q33,武学奇术!$A:$ZZ,16,FALSE)+SUM(_xlfn.XLOOKUP(R33:AF33,增益!$A:$A,增益!$P:$P,0))</f>
        <v>0.27</v>
      </c>
      <c r="BI33" s="30">
        <f>MIN(IF(VLOOKUP($Q33,武学奇术!$A:$ZZ,23,FALSE)=1,100%,$B$8),100%)</f>
        <v>0.9712</v>
      </c>
      <c r="BJ33" s="30" cm="1">
        <f t="array" ref="BJ33">IF(VLOOKUP($Q33,武学奇术!$A:$ZZ,23,FALSE)=1,100%,MIN(80%,$B$9+VLOOKUP($Q33,武学奇术!$A:$ZZ,17,FALSE)+SUM(_xlfn.XLOOKUP(R33:AF33,增益!$A:$A,增益!$Q:$Q,0)))+$B$11+SUM(_xlfn.XLOOKUP(R33:AF33,增益!$A:$A,增益!$U:$U,0)))*IF(VLOOKUP($Q33,武学奇术!$A:$ZZ,24,FALSE)=1,0,1)</f>
        <v>0.8773</v>
      </c>
      <c r="BK33" s="30" cm="1">
        <f t="array" ref="BK33">1+$B$13+VLOOKUP($Q33,武学奇术!$A:$ZZ,18,FALSE)+SUM(_xlfn.XLOOKUP(R33:AF33,增益!$A:$A,增益!$R:$R,0))</f>
        <v>1.85</v>
      </c>
      <c r="BL33" s="30" cm="1">
        <f t="array" ref="BL33">IF(VLOOKUP($Q33,武学奇术!$A:$ZZ,24,FALSE)=1,100%,MIN(40%,$B$10+VLOOKUP($Q33,武学奇术!$A:$ZZ,19,FALSE)+SUM(_xlfn.XLOOKUP(R33:AF33,增益!$A:$A,增益!$S:$S,0)))+$B$12+SUM(_xlfn.XLOOKUP(R33:AF33,增益!$A:$A,增益!$V:$V,0)))*IF(VLOOKUP($Q33,武学奇术!$A:$ZZ,23,FALSE)=1,0,1)</f>
        <v>0.0895</v>
      </c>
      <c r="BM33" s="30" cm="1">
        <f t="array" ref="BM33">1+$B$14+VLOOKUP($Q33,武学奇术!$A:$ZZ,20,FALSE)+SUM(_xlfn.XLOOKUP(R33:AF33,增益!$A:$A,增益!$T:$T,0))</f>
        <v>1.35</v>
      </c>
      <c r="BN33" s="30">
        <f t="shared" si="11"/>
        <v>0.85203376</v>
      </c>
      <c r="BO33" s="30">
        <f t="shared" si="9"/>
        <v>0.03224384</v>
      </c>
      <c r="BP33" s="30">
        <f>IF(VLOOKUP($Q33,武学奇术!$A:$ZZ,22,FALSE)=1,0,(1-$BI33))*(1-$BL33)</f>
        <v>0.0262224</v>
      </c>
      <c r="BQ33" s="30" cm="1">
        <f t="array" ref="BQ33">SUM(_xlfn.XLOOKUP(R33:AF33,增益!$A:$A,增益!$W:$W,0))+$I$5</f>
        <v>0.11</v>
      </c>
    </row>
    <row r="34" spans="1:69">
      <c r="A34" s="4" t="s">
        <v>163</v>
      </c>
      <c r="B34" s="4">
        <v>2</v>
      </c>
      <c r="D34" s="42"/>
      <c r="E34" s="42"/>
      <c r="G34">
        <v>-15</v>
      </c>
      <c r="K34" s="41">
        <f>($L34*$BN34+$M34*$BL34+$N34*$BO34+$O34*$BP34)</f>
        <v>79079.6367284799</v>
      </c>
      <c r="L34" s="41">
        <f>((($AN34+$AO34)/2*$AH34+$AI34)*(1+$AP34)*(1+$AQ34)+(($AS34+$AT34)/2*IF($G$1="鸣金",$AJ34,$AH34)+IF($G$1="鸣金",$AK34*1.5,0))*(1+$AU34)*(1+$AV34)+(($AW34+$AX34)/2*IF($G$1="裂石",$AJ34,$AH34)+IF($G$1="裂石",$AK34*1.5,0))*(1+$AY34)*(1+$AZ34)+(($BA34+$BB34)/2*IF($G$1="牵丝",$AJ34,$AH34)+IF($G$1="牵丝",$AK34*1.5,0))*(1+$BC34)*(1+$BD34)+(($BE34+$BF34)/2*IF($G$1="破竹",$AJ34,$AH34)+IF($G$1="破竹",$AK34*1.5,0))*(1+$BG34)*(1+$BH34))*(1+$AL34)*$BK34*$P34*(1+IF(VLOOKUP($Q34,武学奇术!$A:$ZZ,30,FALSE)="回旋伞",$B$21,0))*(1+$BQ34)</f>
        <v>79079.6367284799</v>
      </c>
      <c r="M34" s="41">
        <f>(($AO34*$AH34+$AI34)*(1+$AP34)*(1+$AQ34)+($AT34*IF($G$1="鸣金",$AJ34,$AH34)+IF($G$1="鸣金",$AK34*1.5,0))*(1+$AU34)*(1+$AV34)+($AX34*IF($G$1="裂石",$AJ34,$AH34)+IF($G$1="裂石",$AK34*1.5,0))*(1+$AY34)*(1+$AZ34)+($BB34*IF($G$1="牵丝",$AJ34,$AH34)+IF($G$1="牵丝",$AK34*1.5,0))*(1+$BC34)*(1+$BD34)+($BF34*IF($G$1="破竹",$AJ34,$AH34)+IF($G$1="破竹",$AK34*1.5,0))*(1+$BG34)*(1+$BH34))*(1+$AL34)*$BM34*$P34*(1+IF(VLOOKUP($Q34,武学奇术!$A:$ZZ,30,FALSE)="回旋伞",$B$21,0))*(1+$BQ34)</f>
        <v>64378.7137204157</v>
      </c>
      <c r="N34" s="41">
        <f>((($AN34+$AO34)/2*$AH34+$AI34)*(1+$AP34)*(1+$AQ34)+(($AS34+$AT34)/2*IF($G$1="鸣金",$AJ34,$AH34)+IF($G$1="鸣金",$AK34*1.5,0))*(1+$AU34)*(1+$AV34)+(($AW34+$AX34)/2*IF($G$1="裂石",$AJ34,$AH34)+IF($G$1="裂石",$AK34*1.5,0))*(1+$AY34)*(1+$AZ34)+(($BA34+$BB34)/2*IF($G$1="牵丝",$AJ34,$AH34)+IF($G$1="牵丝",$AK34*1.5,0))*(1+$BC34)*(1+$BD34)+(($BE34+$BF34)/2*IF($G$1="破竹",$AJ34,$AH34)+IF($G$1="破竹",$AK34*1.5,0))*(1+$BG34)*(1+$BH34))*(1+$AL34)*$P34*(1+IF(VLOOKUP($Q34,武学奇术!$A:$ZZ,30,FALSE)="回旋伞",$B$21,0))*(1+$BQ34)</f>
        <v>42515.9337249892</v>
      </c>
      <c r="O34" s="41">
        <f>((($AN34*$AH34+$AI34)*(1+$AP34)*(1+$AQ34)+($AS34*IF($G$1="鸣金",$AJ34,$AH34)+IF($G$1="鸣金",$AK34*1.5,0))*(1+$AU34)*(1+$AV34)+($AW34*IF($G$1="裂石",$AJ34,$AH34)+IF($G$1="裂石",$AK34*1.5,0))*(1+$AY34)*(1+$AZ34)+($BA34*IF($G$1="牵丝",$AJ34,$AH34)+IF($G$1="牵丝",$AK34*1.5,0))*(1+$BC34)*(1+$BD34)+($BE34*IF($G$1="破竹",$AJ34,$AH34)+IF($G$1="破竹",$AK34*1.5,0))*(1+$BG34)*(1+$BH34))*(1+$AL34))*$P34*(1+IF(VLOOKUP($Q34,武学奇术!$A:$ZZ,30,FALSE)="回旋伞",$B$21,0))*(1+$BQ34)</f>
        <v>37343.9313607816</v>
      </c>
      <c r="P34" s="42">
        <v>1</v>
      </c>
      <c r="Q34" s="43" t="s">
        <v>115</v>
      </c>
      <c r="R34" s="43" t="s">
        <v>105</v>
      </c>
      <c r="S34" s="43" t="s">
        <v>91</v>
      </c>
      <c r="T34" s="43" t="s">
        <v>72</v>
      </c>
      <c r="U34" s="43" t="s">
        <v>71</v>
      </c>
      <c r="V34" s="43" t="s">
        <v>164</v>
      </c>
      <c r="W34" s="43" t="s">
        <v>95</v>
      </c>
      <c r="X34" s="43" t="s">
        <v>82</v>
      </c>
      <c r="Y34" s="43" t="s">
        <v>71</v>
      </c>
      <c r="Z34" s="43" t="s">
        <v>71</v>
      </c>
      <c r="AA34" s="43" t="s">
        <v>116</v>
      </c>
      <c r="AB34" s="43" t="s">
        <v>71</v>
      </c>
      <c r="AC34" s="43" t="s">
        <v>71</v>
      </c>
      <c r="AD34" s="43" t="s">
        <v>71</v>
      </c>
      <c r="AE34" s="43" t="s">
        <v>71</v>
      </c>
      <c r="AF34" s="43" t="s">
        <v>76</v>
      </c>
      <c r="AG34" t="str">
        <f>VLOOKUP($Q34,武学奇术!$A:$ZZ,25,FALSE)</f>
        <v>伞</v>
      </c>
      <c r="AH34" s="30">
        <f>VLOOKUP($Q34,武学奇术!$A:$ZZ,26,FALSE)</f>
        <v>1.8084</v>
      </c>
      <c r="AI34" s="31">
        <f>VLOOKUP($Q34,武学奇术!$A:$ZZ,27,FALSE)*(1+IF(OR($AG34=$F$4,$AG34=$F$5),$B$22,0))</f>
        <v>700</v>
      </c>
      <c r="AJ34" s="30">
        <f>VLOOKUP($Q34,武学奇术!$A:$ZZ,28,FALSE)</f>
        <v>2.7126</v>
      </c>
      <c r="AK34" s="31">
        <f>VLOOKUP($Q34,武学奇术!$A:$ZZ,29,FALSE)*(1+IF(OR($AG34=$F$4,$AG34=$F$5),$B$22,0))</f>
        <v>380.8</v>
      </c>
      <c r="AL34" s="30" cm="1">
        <f t="array" ref="AL34">$G$3+IFERROR(VLOOKUP($AG34,$F$4:$G$7,2,FALSE),0)+VLOOKUP($Q34,武学奇术!$A:$ZZ,2,FALSE)+SUM(_xlfn.XLOOKUP($R34:$AF34,增益!$A:$A,增益!$B:$B,0))</f>
        <v>0.8541</v>
      </c>
      <c r="AM34" s="30" cm="1">
        <f t="array" ref="AM34">VLOOKUP($Q34,武学奇术!$A:$ZZ,5,FALSE)+SUM(_xlfn.XLOOKUP($R34:$AF34,增益!$A:$A,增益!$E:$E,0))</f>
        <v>0</v>
      </c>
      <c r="AN34" cm="1">
        <f t="array" ref="AN34">$D$10*(1+$AM34)+VLOOKUP($Q34,武学奇术!$A:$ZZ,3,FALSE)+SUM(_xlfn.XLOOKUP($R34:$AF34,增益!$A:$A,增益!$C:$C,0))-$I$2</f>
        <v>3545.8</v>
      </c>
      <c r="AO34" cm="1">
        <f t="array" ref="AO34">$E$10*(1+$AM34)+VLOOKUP($Q34,武学奇术!$A:$ZZ,4,FALSE)+SUM(_xlfn.XLOOKUP($R34:$AF34,增益!$A:$A,增益!$D:$D,0))-$I$2</f>
        <v>3545.8</v>
      </c>
      <c r="AP34" s="35" cm="1">
        <f t="array" ref="AP34">IF($F$10-$I$3+VLOOKUP($Q34,武学奇术!$A:$ZZ,6,FALSE)+SUM(_xlfn.XLOOKUP(R34:AF34,增益!$A:$A,增益!$F:$F,0))&gt;0,($F$10-$I$3+VLOOKUP($Q34,武学奇术!$A:$ZZ,6,FALSE)+SUM(_xlfn.XLOOKUP(R34:AF34,增益!$A:$A,增益!$F:$F,0)))/200,($F$10-$I$3+VLOOKUP($Q34,武学奇术!$A:$ZZ,6,FALSE)+SUM(_xlfn.XLOOKUP(R34:AF34,增益!$A:$A,增益!$F:$F,0)))/100)</f>
        <v>0.3425</v>
      </c>
      <c r="AQ34" s="35" cm="1">
        <f t="array" ref="AQ34">$G$10+VLOOKUP($Q34,武学奇术!$A:$ZZ,7,FALSE)+SUM(_xlfn.XLOOKUP(R34:AF34,增益!$A:$A,增益!$G:$G,0))</f>
        <v>0.148</v>
      </c>
      <c r="AR34" s="30" cm="1">
        <f t="array" ref="AR34">VLOOKUP($Q34,武学奇术!$A:$ZZ,8,FALSE)+SUM(_xlfn.XLOOKUP(R34:AF34,增益!$A:$A,增益!$H:$H,0))</f>
        <v>0</v>
      </c>
      <c r="AS34">
        <f t="shared" si="0"/>
        <v>0</v>
      </c>
      <c r="AT34">
        <f t="shared" si="1"/>
        <v>0</v>
      </c>
      <c r="AU34" s="35" cm="1">
        <f t="array" ref="AU34">IF($F$11-$I$4+VLOOKUP($Q34,武学奇术!$A:$ZZ,9,FALSE)+SUM(_xlfn.XLOOKUP(R34:AF34,增益!$A:$A,增益!$I:$I,0))&gt;0,($F$11-$I$4+VLOOKUP($Q34,武学奇术!$A:$ZZ,9,FALSE)+SUM(_xlfn.XLOOKUP(R34:AF34,增益!$A:$A,增益!$I:$I,0)))/200,($F$11-$I$4+VLOOKUP($Q34,武学奇术!$A:$ZZ,9,FALSE)+SUM(_xlfn.XLOOKUP(R34:AF34,增益!$A:$A,增益!$I:$I,0)))/100)</f>
        <v>-0.14</v>
      </c>
      <c r="AV34" s="35" cm="1">
        <f t="array" ref="AV34">$G$11+VLOOKUP($Q34,武学奇术!$A:$ZZ,10,FALSE)+SUM(_xlfn.XLOOKUP(R34:AF34,增益!$A:$A,增益!$J:$J,0))</f>
        <v>0</v>
      </c>
      <c r="AW34">
        <f t="shared" si="2"/>
        <v>0</v>
      </c>
      <c r="AX34">
        <f t="shared" si="3"/>
        <v>0</v>
      </c>
      <c r="AY34" s="35" cm="1">
        <f t="array" ref="AY34">IF($F$12-$I$4+VLOOKUP($Q34,武学奇术!$A:$ZZ,11,FALSE)+SUM(_xlfn.XLOOKUP(R34:AF34,增益!$A:$A,增益!$K:$K,0))&gt;0,($F$12-$I$4+VLOOKUP($Q34,武学奇术!$A:$ZZ,11,FALSE)+SUM(_xlfn.XLOOKUP(R34:AF34,增益!$A:$A,增益!$K:$K,0)))/200,($F$12-$I$4+VLOOKUP($Q34,武学奇术!$A:$ZZ,11,FALSE)+SUM(_xlfn.XLOOKUP(R34:AF34,增益!$A:$A,增益!$K:$K,0)))/100)</f>
        <v>-0.14</v>
      </c>
      <c r="AZ34" s="35" cm="1">
        <f t="array" ref="AZ34">$G$12+VLOOKUP($Q34,武学奇术!$A:$ZZ,12,FALSE)+SUM(_xlfn.XLOOKUP(R34:AF34,增益!$A:$A,增益!$L:$L,0))</f>
        <v>0</v>
      </c>
      <c r="BA34">
        <f t="shared" si="4"/>
        <v>0</v>
      </c>
      <c r="BB34">
        <f t="shared" si="5"/>
        <v>0</v>
      </c>
      <c r="BC34" s="35" cm="1">
        <f t="array" ref="BC34">IF($F$13-$I$4+VLOOKUP($Q34,武学奇术!$A:$ZZ,13,FALSE)+SUM(_xlfn.XLOOKUP(R34:AF34,增益!$A:$A,增益!$M:$M,0))&gt;0,($F$13-$I$4+VLOOKUP($Q34,武学奇术!$A:$ZZ,13,FALSE)+SUM(_xlfn.XLOOKUP(R34:AF34,增益!$A:$A,增益!$K:$K,0)))/200,($F$13-$I$4+VLOOKUP($Q34,武学奇术!$A:$ZZ,13,FALSE)+SUM(_xlfn.XLOOKUP(R34:AF34,增益!$A:$A,增益!$M:$M,0)))/100)</f>
        <v>-0.14</v>
      </c>
      <c r="BD34" s="35" cm="1">
        <f t="array" ref="BD34">$G$13+VLOOKUP($Q34,武学奇术!$A:$ZZ,14,FALSE)+SUM(_xlfn.XLOOKUP(R34:AF34,增益!$A:$A,增益!$N:$N,0))</f>
        <v>0</v>
      </c>
      <c r="BE34">
        <f t="shared" si="6"/>
        <v>538</v>
      </c>
      <c r="BF34">
        <f t="shared" si="7"/>
        <v>1561.4</v>
      </c>
      <c r="BG34" s="35" cm="1">
        <f t="array" ref="BG34">IF($F$14-$I$4+VLOOKUP($Q34,武学奇术!$A:$ZZ,15,FALSE)+SUM(_xlfn.XLOOKUP(R34:AF34,增益!$A:$A,增益!$O:$O,0))&gt;0,($F$14-$I$4+VLOOKUP($Q34,武学奇术!$A:$ZZ,15,FALSE)+SUM(_xlfn.XLOOKUP(R34:AF34,增益!$A:$A,增益!$O:$O,0)))/200,($F$14-$I$4+VLOOKUP($Q34,武学奇术!$A:$ZZ,15,FALSE)+SUM(_xlfn.XLOOKUP(R34:AF34,增益!$A:$A,增益!$O:$O,0)))/100)</f>
        <v>0.08</v>
      </c>
      <c r="BH34" s="35" cm="1">
        <f t="array" ref="BH34">$G$14+VLOOKUP($Q34,武学奇术!$A:$ZZ,16,FALSE)+SUM(_xlfn.XLOOKUP(R34:AF34,增益!$A:$A,增益!$P:$P,0))</f>
        <v>0.27</v>
      </c>
      <c r="BI34" s="30">
        <f>MIN(IF(VLOOKUP($Q34,武学奇术!$A:$ZZ,23,FALSE)=1,100%,$B$8),100%)</f>
        <v>1</v>
      </c>
      <c r="BJ34" s="30" cm="1">
        <f t="array" ref="BJ34">IF(VLOOKUP($Q34,武学奇术!$A:$ZZ,23,FALSE)=1,100%,MIN(80%,$B$9+VLOOKUP($Q34,武学奇术!$A:$ZZ,17,FALSE)+SUM(_xlfn.XLOOKUP(R34:AF34,增益!$A:$A,增益!$Q:$Q,0)))+$B$11+SUM(_xlfn.XLOOKUP(R34:AF34,增益!$A:$A,增益!$U:$U,0)))*IF(VLOOKUP($Q34,武学奇术!$A:$ZZ,24,FALSE)=1,0,1)</f>
        <v>1</v>
      </c>
      <c r="BK34" s="30" cm="1">
        <f t="array" ref="BK34">1+$B$13+VLOOKUP($Q34,武学奇术!$A:$ZZ,18,FALSE)+SUM(_xlfn.XLOOKUP(R34:AF34,增益!$A:$A,增益!$R:$R,0))</f>
        <v>1.86</v>
      </c>
      <c r="BL34" s="30" cm="1">
        <f t="array" ref="BL34">IF(VLOOKUP($Q34,武学奇术!$A:$ZZ,24,FALSE)=1,100%,MIN(40%,$B$10+VLOOKUP($Q34,武学奇术!$A:$ZZ,19,FALSE)+SUM(_xlfn.XLOOKUP(R34:AF34,增益!$A:$A,增益!$S:$S,0)))+$B$12+SUM(_xlfn.XLOOKUP(R34:AF34,增益!$A:$A,增益!$V:$V,0)))*IF(VLOOKUP($Q34,武学奇术!$A:$ZZ,23,FALSE)=1,0,1)</f>
        <v>0</v>
      </c>
      <c r="BM34" s="30" cm="1">
        <f t="array" ref="BM34">1+$B$14+VLOOKUP($Q34,武学奇术!$A:$ZZ,20,FALSE)+SUM(_xlfn.XLOOKUP(R34:AF34,增益!$A:$A,增益!$T:$T,0))</f>
        <v>1.35</v>
      </c>
      <c r="BN34" s="30">
        <f t="shared" si="11"/>
        <v>1</v>
      </c>
      <c r="BO34" s="30">
        <f t="shared" si="9"/>
        <v>0</v>
      </c>
      <c r="BP34" s="30">
        <f>IF(VLOOKUP($Q34,武学奇术!$A:$ZZ,22,FALSE)=1,0,(1-$BI34))*(1-$BL34)</f>
        <v>0</v>
      </c>
      <c r="BQ34" s="30" cm="1">
        <f t="array" ref="BQ34">SUM(_xlfn.XLOOKUP(R34:AF34,增益!$A:$A,增益!$W:$W,0))+$I$5</f>
        <v>0.11</v>
      </c>
    </row>
    <row r="35" spans="1:69">
      <c r="A35" s="4" t="s">
        <v>165</v>
      </c>
      <c r="B35" s="4">
        <v>1.3</v>
      </c>
      <c r="D35" s="42"/>
      <c r="E35" s="42"/>
      <c r="K35" s="41">
        <f t="shared" ref="K35:K60" si="12">($L35*$BN35+$M35*$BL35+$N35*$BO35+$O35*$BP35)</f>
        <v>134694.894020493</v>
      </c>
      <c r="L35" s="41">
        <f>((($AN35+$AO35)/2*$AH35+$AI35)*(1+$AP35)*(1+$AQ35)+(($AS35+$AT35)/2*IF($G$1="鸣金",$AJ35,$AH35)+IF($G$1="鸣金",$AK35*1.5,0))*(1+$AU35)*(1+$AV35)+(($AW35+$AX35)/2*IF($G$1="裂石",$AJ35,$AH35)+IF($G$1="裂石",$AK35*1.5,0))*(1+$AY35)*(1+$AZ35)+(($BA35+$BB35)/2*IF($G$1="牵丝",$AJ35,$AH35)+IF($G$1="牵丝",$AK35*1.5,0))*(1+$BC35)*(1+$BD35)+(($BE35+$BF35)/2*IF($G$1="破竹",$AJ35,$AH35)+IF($G$1="破竹",$AK35*1.5,0))*(1+$BG35)*(1+$BH35))*(1+$AL35)*$BK35*$P35*(1+IF(VLOOKUP($Q35,武学奇术!$A:$ZZ,30,FALSE)="回旋伞",$B$21,0))*(1+$BQ35)</f>
        <v>141098.783358588</v>
      </c>
      <c r="M35" s="41">
        <f>(($AO35*$AH35+$AI35)*(1+$AP35)*(1+$AQ35)+($AT35*IF($G$1="鸣金",$AJ35,$AH35)+IF($G$1="鸣金",$AK35*1.5,0))*(1+$AU35)*(1+$AV35)+($AX35*IF($G$1="裂石",$AJ35,$AH35)+IF($G$1="裂石",$AK35*1.5,0))*(1+$AY35)*(1+$AZ35)+($BB35*IF($G$1="牵丝",$AJ35,$AH35)+IF($G$1="牵丝",$AK35*1.5,0))*(1+$BC35)*(1+$BD35)+($BF35*IF($G$1="破竹",$AJ35,$AH35)+IF($G$1="破竹",$AK35*1.5,0))*(1+$BG35)*(1+$BH35))*(1+$AL35)*$BM35*$P35*(1+IF(VLOOKUP($Q35,武学奇术!$A:$ZZ,30,FALSE)="回旋伞",$B$21,0))*(1+$BQ35)</f>
        <v>114868.486451582</v>
      </c>
      <c r="N35" s="41">
        <f>((($AN35+$AO35)/2*$AH35+$AI35)*(1+$AP35)*(1+$AQ35)+(($AS35+$AT35)/2*IF($G$1="鸣金",$AJ35,$AH35)+IF($G$1="鸣金",$AK35*1.5,0))*(1+$AU35)*(1+$AV35)+(($AW35+$AX35)/2*IF($G$1="裂石",$AJ35,$AH35)+IF($G$1="裂石",$AK35*1.5,0))*(1+$AY35)*(1+$AZ35)+(($BA35+$BB35)/2*IF($G$1="牵丝",$AJ35,$AH35)+IF($G$1="牵丝",$AK35*1.5,0))*(1+$BC35)*(1+$BD35)+(($BE35+$BF35)/2*IF($G$1="破竹",$AJ35,$AH35)+IF($G$1="破竹",$AK35*1.5,0))*(1+$BG35)*(1+$BH35))*(1+$AL35)*$P35*(1+IF(VLOOKUP($Q35,武学奇术!$A:$ZZ,30,FALSE)="回旋伞",$B$21,0))*(1+$BQ35)</f>
        <v>75859.5609454772</v>
      </c>
      <c r="O35" s="41">
        <f>((($AN35*$AH35+$AI35)*(1+$AP35)*(1+$AQ35)+($AS35*IF($G$1="鸣金",$AJ35,$AH35)+IF($G$1="鸣金",$AK35*1.5,0))*(1+$AU35)*(1+$AV35)+($AW35*IF($G$1="裂石",$AJ35,$AH35)+IF($G$1="裂石",$AK35*1.5,0))*(1+$AY35)*(1+$AZ35)+($BA35*IF($G$1="牵丝",$AJ35,$AH35)+IF($G$1="牵丝",$AK35*1.5,0))*(1+$BC35)*(1+$BD35)+($BE35*IF($G$1="破竹",$AJ35,$AH35)+IF($G$1="破竹",$AK35*1.5,0))*(1+$BG35)*(1+$BH35))*(1+$AL35))*$P35*(1+IF(VLOOKUP($Q35,武学奇术!$A:$ZZ,30,FALSE)="回旋伞",$B$21,0))*(1+$BQ35)</f>
        <v>66631.3541490414</v>
      </c>
      <c r="P35" s="42">
        <v>2</v>
      </c>
      <c r="Q35" s="43" t="s">
        <v>104</v>
      </c>
      <c r="R35" s="43" t="s">
        <v>105</v>
      </c>
      <c r="S35" s="43" t="s">
        <v>91</v>
      </c>
      <c r="T35" s="43" t="s">
        <v>72</v>
      </c>
      <c r="U35" s="43" t="s">
        <v>71</v>
      </c>
      <c r="V35" s="43" t="s">
        <v>164</v>
      </c>
      <c r="W35" s="43" t="s">
        <v>95</v>
      </c>
      <c r="X35" s="43" t="s">
        <v>82</v>
      </c>
      <c r="Y35" s="43" t="s">
        <v>71</v>
      </c>
      <c r="Z35" s="43" t="s">
        <v>71</v>
      </c>
      <c r="AA35" s="43" t="s">
        <v>116</v>
      </c>
      <c r="AB35" s="43" t="s">
        <v>71</v>
      </c>
      <c r="AC35" s="43" t="s">
        <v>71</v>
      </c>
      <c r="AD35" s="43" t="s">
        <v>71</v>
      </c>
      <c r="AE35" s="43" t="s">
        <v>71</v>
      </c>
      <c r="AF35" s="43" t="s">
        <v>76</v>
      </c>
      <c r="AG35" t="str">
        <f>VLOOKUP($Q35,武学奇术!$A:$ZZ,25,FALSE)</f>
        <v>伞</v>
      </c>
      <c r="AH35" s="30">
        <f>VLOOKUP($Q35,武学奇术!$A:$ZZ,26,FALSE)</f>
        <v>1.8084</v>
      </c>
      <c r="AI35" s="31">
        <f>VLOOKUP($Q35,武学奇术!$A:$ZZ,27,FALSE)*(1+IF(OR($AG35=$F$4,$AG35=$F$5),$B$22,0))</f>
        <v>700</v>
      </c>
      <c r="AJ35" s="30">
        <f>VLOOKUP($Q35,武学奇术!$A:$ZZ,28,FALSE)</f>
        <v>2.7126</v>
      </c>
      <c r="AK35" s="31">
        <f>VLOOKUP($Q35,武学奇术!$A:$ZZ,29,FALSE)*(1+IF(OR($AG35=$F$4,$AG35=$F$5),$B$22,0))</f>
        <v>380.8</v>
      </c>
      <c r="AL35" s="30" cm="1">
        <f t="array" ref="AL35">$G$3+IFERROR(VLOOKUP($AG35,$F$4:$G$7,2,FALSE),0)+VLOOKUP($Q35,武学奇术!$A:$ZZ,2,FALSE)+SUM(_xlfn.XLOOKUP($R35:$AF35,增益!$A:$A,增益!$B:$B,0))</f>
        <v>0.6541</v>
      </c>
      <c r="AM35" s="30" cm="1">
        <f t="array" ref="AM35">VLOOKUP($Q35,武学奇术!$A:$ZZ,5,FALSE)+SUM(_xlfn.XLOOKUP($R35:$AF35,增益!$A:$A,增益!$E:$E,0))</f>
        <v>0</v>
      </c>
      <c r="AN35" cm="1">
        <f t="array" ref="AN35">$D$10*(1+$AM35)+VLOOKUP($Q35,武学奇术!$A:$ZZ,3,FALSE)+SUM(_xlfn.XLOOKUP($R35:$AF35,增益!$A:$A,增益!$C:$C,0))-$I$2</f>
        <v>3545.8</v>
      </c>
      <c r="AO35" cm="1">
        <f t="array" ref="AO35">$E$10*(1+$AM35)+VLOOKUP($Q35,武学奇术!$A:$ZZ,4,FALSE)+SUM(_xlfn.XLOOKUP($R35:$AF35,增益!$A:$A,增益!$D:$D,0))-$I$2</f>
        <v>3545.8</v>
      </c>
      <c r="AP35" s="35" cm="1">
        <f t="array" ref="AP35">IF($F$10-$I$3+VLOOKUP($Q35,武学奇术!$A:$ZZ,6,FALSE)+SUM(_xlfn.XLOOKUP(R35:AF35,增益!$A:$A,增益!$F:$F,0))&gt;0,($F$10-$I$3+VLOOKUP($Q35,武学奇术!$A:$ZZ,6,FALSE)+SUM(_xlfn.XLOOKUP(R35:AF35,增益!$A:$A,增益!$F:$F,0)))/200,($F$10-$I$3+VLOOKUP($Q35,武学奇术!$A:$ZZ,6,FALSE)+SUM(_xlfn.XLOOKUP(R35:AF35,增益!$A:$A,增益!$F:$F,0)))/100)</f>
        <v>0.3425</v>
      </c>
      <c r="AQ35" s="35" cm="1">
        <f t="array" ref="AQ35">$G$10+VLOOKUP($Q35,武学奇术!$A:$ZZ,7,FALSE)+SUM(_xlfn.XLOOKUP(R35:AF35,增益!$A:$A,增益!$G:$G,0))</f>
        <v>0.148</v>
      </c>
      <c r="AR35" s="30" cm="1">
        <f t="array" ref="AR35">VLOOKUP($Q35,武学奇术!$A:$ZZ,8,FALSE)+SUM(_xlfn.XLOOKUP(R35:AF35,增益!$A:$A,增益!$H:$H,0))</f>
        <v>0</v>
      </c>
      <c r="AS35">
        <f t="shared" si="0"/>
        <v>0</v>
      </c>
      <c r="AT35">
        <f t="shared" si="1"/>
        <v>0</v>
      </c>
      <c r="AU35" s="35" cm="1">
        <f t="array" ref="AU35">IF($F$11-$I$4+VLOOKUP($Q35,武学奇术!$A:$ZZ,9,FALSE)+SUM(_xlfn.XLOOKUP(R35:AF35,增益!$A:$A,增益!$I:$I,0))&gt;0,($F$11-$I$4+VLOOKUP($Q35,武学奇术!$A:$ZZ,9,FALSE)+SUM(_xlfn.XLOOKUP(R35:AF35,增益!$A:$A,增益!$I:$I,0)))/200,($F$11-$I$4+VLOOKUP($Q35,武学奇术!$A:$ZZ,9,FALSE)+SUM(_xlfn.XLOOKUP(R35:AF35,增益!$A:$A,增益!$I:$I,0)))/100)</f>
        <v>-0.14</v>
      </c>
      <c r="AV35" s="35" cm="1">
        <f t="array" ref="AV35">$G$11+VLOOKUP($Q35,武学奇术!$A:$ZZ,10,FALSE)+SUM(_xlfn.XLOOKUP(R35:AF35,增益!$A:$A,增益!$J:$J,0))</f>
        <v>0</v>
      </c>
      <c r="AW35">
        <f t="shared" si="2"/>
        <v>0</v>
      </c>
      <c r="AX35">
        <f t="shared" si="3"/>
        <v>0</v>
      </c>
      <c r="AY35" s="35" cm="1">
        <f t="array" ref="AY35">IF($F$12-$I$4+VLOOKUP($Q35,武学奇术!$A:$ZZ,11,FALSE)+SUM(_xlfn.XLOOKUP(R35:AF35,增益!$A:$A,增益!$K:$K,0))&gt;0,($F$12-$I$4+VLOOKUP($Q35,武学奇术!$A:$ZZ,11,FALSE)+SUM(_xlfn.XLOOKUP(R35:AF35,增益!$A:$A,增益!$K:$K,0)))/200,($F$12-$I$4+VLOOKUP($Q35,武学奇术!$A:$ZZ,11,FALSE)+SUM(_xlfn.XLOOKUP(R35:AF35,增益!$A:$A,增益!$K:$K,0)))/100)</f>
        <v>-0.14</v>
      </c>
      <c r="AZ35" s="35" cm="1">
        <f t="array" ref="AZ35">$G$12+VLOOKUP($Q35,武学奇术!$A:$ZZ,12,FALSE)+SUM(_xlfn.XLOOKUP(R35:AF35,增益!$A:$A,增益!$L:$L,0))</f>
        <v>0</v>
      </c>
      <c r="BA35">
        <f t="shared" ref="BA35:BA60" si="13">$D$13*(1+$AR35)</f>
        <v>0</v>
      </c>
      <c r="BB35">
        <f t="shared" ref="BB35:BB60" si="14">$E$13*(1+$AR35)</f>
        <v>0</v>
      </c>
      <c r="BC35" s="35" cm="1">
        <f t="array" ref="BC35">IF($F$13-$I$4+VLOOKUP($Q35,武学奇术!$A:$ZZ,13,FALSE)+SUM(_xlfn.XLOOKUP(R35:AF35,增益!$A:$A,增益!$M:$M,0))&gt;0,($F$13-$I$4+VLOOKUP($Q35,武学奇术!$A:$ZZ,13,FALSE)+SUM(_xlfn.XLOOKUP(R35:AF35,增益!$A:$A,增益!$K:$K,0)))/200,($F$13-$I$4+VLOOKUP($Q35,武学奇术!$A:$ZZ,13,FALSE)+SUM(_xlfn.XLOOKUP(R35:AF35,增益!$A:$A,增益!$M:$M,0)))/100)</f>
        <v>-0.14</v>
      </c>
      <c r="BD35" s="35" cm="1">
        <f t="array" ref="BD35">$G$13+VLOOKUP($Q35,武学奇术!$A:$ZZ,14,FALSE)+SUM(_xlfn.XLOOKUP(R35:AF35,增益!$A:$A,增益!$N:$N,0))</f>
        <v>0</v>
      </c>
      <c r="BE35">
        <f t="shared" ref="BE35:BE60" si="15">$D$14*(1+$AR35)</f>
        <v>538</v>
      </c>
      <c r="BF35">
        <f t="shared" ref="BF35:BF60" si="16">$E$14*(1+$AR35)</f>
        <v>1561.4</v>
      </c>
      <c r="BG35" s="35" cm="1">
        <f t="array" ref="BG35">IF($F$14-$I$4+VLOOKUP($Q35,武学奇术!$A:$ZZ,15,FALSE)+SUM(_xlfn.XLOOKUP(R35:AF35,增益!$A:$A,增益!$O:$O,0))&gt;0,($F$14-$I$4+VLOOKUP($Q35,武学奇术!$A:$ZZ,15,FALSE)+SUM(_xlfn.XLOOKUP(R35:AF35,增益!$A:$A,增益!$O:$O,0)))/200,($F$14-$I$4+VLOOKUP($Q35,武学奇术!$A:$ZZ,15,FALSE)+SUM(_xlfn.XLOOKUP(R35:AF35,增益!$A:$A,增益!$O:$O,0)))/100)</f>
        <v>0.08</v>
      </c>
      <c r="BH35" s="35" cm="1">
        <f t="array" ref="BH35">$G$14+VLOOKUP($Q35,武学奇术!$A:$ZZ,16,FALSE)+SUM(_xlfn.XLOOKUP(R35:AF35,增益!$A:$A,增益!$P:$P,0))</f>
        <v>0.27</v>
      </c>
      <c r="BI35" s="30">
        <f>MIN(IF(VLOOKUP($Q35,武学奇术!$A:$ZZ,23,FALSE)=1,100%,$B$8),100%)</f>
        <v>0.9712</v>
      </c>
      <c r="BJ35" s="30" cm="1">
        <f t="array" ref="BJ35">IF(VLOOKUP($Q35,武学奇术!$A:$ZZ,23,FALSE)=1,100%,MIN(80%,$B$9+VLOOKUP($Q35,武学奇术!$A:$ZZ,17,FALSE)+SUM(_xlfn.XLOOKUP(R35:AF35,增益!$A:$A,增益!$Q:$Q,0)))+$B$11+SUM(_xlfn.XLOOKUP(R35:AF35,增益!$A:$A,增益!$U:$U,0)))*IF(VLOOKUP($Q35,武学奇术!$A:$ZZ,24,FALSE)=1,0,1)</f>
        <v>0.8773</v>
      </c>
      <c r="BK35" s="30" cm="1">
        <f t="array" ref="BK35">1+$B$13+VLOOKUP($Q35,武学奇术!$A:$ZZ,18,FALSE)+SUM(_xlfn.XLOOKUP(R35:AF35,增益!$A:$A,增益!$R:$R,0))</f>
        <v>1.86</v>
      </c>
      <c r="BL35" s="30" cm="1">
        <f t="array" ref="BL35">IF(VLOOKUP($Q35,武学奇术!$A:$ZZ,24,FALSE)=1,100%,MIN(40%,$B$10+VLOOKUP($Q35,武学奇术!$A:$ZZ,19,FALSE)+SUM(_xlfn.XLOOKUP(R35:AF35,增益!$A:$A,增益!$S:$S,0)))+$B$12+SUM(_xlfn.XLOOKUP(R35:AF35,增益!$A:$A,增益!$V:$V,0)))*IF(VLOOKUP($Q35,武学奇术!$A:$ZZ,23,FALSE)=1,0,1)</f>
        <v>0.0895</v>
      </c>
      <c r="BM35" s="30" cm="1">
        <f t="array" ref="BM35">1+$B$14+VLOOKUP($Q35,武学奇术!$A:$ZZ,20,FALSE)+SUM(_xlfn.XLOOKUP(R35:AF35,增益!$A:$A,增益!$T:$T,0))</f>
        <v>1.35</v>
      </c>
      <c r="BN35" s="30">
        <f t="shared" si="11"/>
        <v>0.85203376</v>
      </c>
      <c r="BO35" s="30">
        <f t="shared" ref="BO35:BO66" si="17">1-BL35-BN35-BP35</f>
        <v>0.03224384</v>
      </c>
      <c r="BP35" s="30">
        <f>IF(VLOOKUP($Q35,武学奇术!$A:$ZZ,22,FALSE)=1,0,(1-$BI35))*(1-$BL35)</f>
        <v>0.0262224</v>
      </c>
      <c r="BQ35" s="30" cm="1">
        <f t="array" ref="BQ35">SUM(_xlfn.XLOOKUP(R35:AF35,增益!$A:$A,增益!$W:$W,0))+$I$5</f>
        <v>0.11</v>
      </c>
    </row>
    <row r="36" spans="1:69">
      <c r="A36" s="4" t="s">
        <v>166</v>
      </c>
      <c r="B36" s="90">
        <v>1.9</v>
      </c>
      <c r="D36" s="42"/>
      <c r="E36" s="42"/>
      <c r="G36">
        <v>-30</v>
      </c>
      <c r="K36" s="41">
        <f t="shared" si="12"/>
        <v>79504.7960657298</v>
      </c>
      <c r="L36" s="41">
        <f>((($AN36+$AO36)/2*$AH36+$AI36)*(1+$AP36)*(1+$AQ36)+(($AS36+$AT36)/2*IF($G$1="鸣金",$AJ36,$AH36)+IF($G$1="鸣金",$AK36*1.5,0))*(1+$AU36)*(1+$AV36)+(($AW36+$AX36)/2*IF($G$1="裂石",$AJ36,$AH36)+IF($G$1="裂石",$AK36*1.5,0))*(1+$AY36)*(1+$AZ36)+(($BA36+$BB36)/2*IF($G$1="牵丝",$AJ36,$AH36)+IF($G$1="牵丝",$AK36*1.5,0))*(1+$BC36)*(1+$BD36)+(($BE36+$BF36)/2*IF($G$1="破竹",$AJ36,$AH36)+IF($G$1="破竹",$AK36*1.5,0))*(1+$BG36)*(1+$BH36))*(1+$AL36)*$BK36*$P36*(1+IF(VLOOKUP($Q36,武学奇术!$A:$ZZ,30,FALSE)="回旋伞",$B$21,0))*(1+$BQ36)</f>
        <v>79504.7960657298</v>
      </c>
      <c r="M36" s="41">
        <f>(($AO36*$AH36+$AI36)*(1+$AP36)*(1+$AQ36)+($AT36*IF($G$1="鸣金",$AJ36,$AH36)+IF($G$1="鸣金",$AK36*1.5,0))*(1+$AU36)*(1+$AV36)+($AX36*IF($G$1="裂石",$AJ36,$AH36)+IF($G$1="裂石",$AK36*1.5,0))*(1+$AY36)*(1+$AZ36)+($BB36*IF($G$1="牵丝",$AJ36,$AH36)+IF($G$1="牵丝",$AK36*1.5,0))*(1+$BC36)*(1+$BD36)+($BF36*IF($G$1="破竹",$AJ36,$AH36)+IF($G$1="破竹",$AK36*1.5,0))*(1+$BG36)*(1+$BH36))*(1+$AL36)*$BM36*$P36*(1+IF(VLOOKUP($Q36,武学奇术!$A:$ZZ,30,FALSE)="回旋伞",$B$21,0))*(1+$BQ36)</f>
        <v>64378.7137204157</v>
      </c>
      <c r="N36" s="41">
        <f>((($AN36+$AO36)/2*$AH36+$AI36)*(1+$AP36)*(1+$AQ36)+(($AS36+$AT36)/2*IF($G$1="鸣金",$AJ36,$AH36)+IF($G$1="鸣金",$AK36*1.5,0))*(1+$AU36)*(1+$AV36)+(($AW36+$AX36)/2*IF($G$1="裂石",$AJ36,$AH36)+IF($G$1="裂石",$AK36*1.5,0))*(1+$AY36)*(1+$AZ36)+(($BA36+$BB36)/2*IF($G$1="牵丝",$AJ36,$AH36)+IF($G$1="牵丝",$AK36*1.5,0))*(1+$BC36)*(1+$BD36)+(($BE36+$BF36)/2*IF($G$1="破竹",$AJ36,$AH36)+IF($G$1="破竹",$AK36*1.5,0))*(1+$BG36)*(1+$BH36))*(1+$AL36)*$P36*(1+IF(VLOOKUP($Q36,武学奇术!$A:$ZZ,30,FALSE)="回旋伞",$B$21,0))*(1+$BQ36)</f>
        <v>42515.9337249892</v>
      </c>
      <c r="O36" s="41">
        <f>((($AN36*$AH36+$AI36)*(1+$AP36)*(1+$AQ36)+($AS36*IF($G$1="鸣金",$AJ36,$AH36)+IF($G$1="鸣金",$AK36*1.5,0))*(1+$AU36)*(1+$AV36)+($AW36*IF($G$1="裂石",$AJ36,$AH36)+IF($G$1="裂石",$AK36*1.5,0))*(1+$AY36)*(1+$AZ36)+($BA36*IF($G$1="牵丝",$AJ36,$AH36)+IF($G$1="牵丝",$AK36*1.5,0))*(1+$BC36)*(1+$BD36)+($BE36*IF($G$1="破竹",$AJ36,$AH36)+IF($G$1="破竹",$AK36*1.5,0))*(1+$BG36)*(1+$BH36))*(1+$AL36))*$P36*(1+IF(VLOOKUP($Q36,武学奇术!$A:$ZZ,30,FALSE)="回旋伞",$B$21,0))*(1+$BQ36)</f>
        <v>37343.9313607816</v>
      </c>
      <c r="P36" s="42">
        <v>1</v>
      </c>
      <c r="Q36" s="43" t="s">
        <v>115</v>
      </c>
      <c r="R36" s="43" t="s">
        <v>105</v>
      </c>
      <c r="S36" s="43" t="s">
        <v>91</v>
      </c>
      <c r="T36" s="43" t="s">
        <v>72</v>
      </c>
      <c r="U36" s="43" t="s">
        <v>71</v>
      </c>
      <c r="V36" s="43" t="s">
        <v>167</v>
      </c>
      <c r="W36" s="43" t="s">
        <v>95</v>
      </c>
      <c r="X36" s="43" t="s">
        <v>82</v>
      </c>
      <c r="Y36" s="43" t="s">
        <v>71</v>
      </c>
      <c r="Z36" s="43" t="s">
        <v>71</v>
      </c>
      <c r="AA36" s="43" t="s">
        <v>116</v>
      </c>
      <c r="AB36" s="43" t="s">
        <v>71</v>
      </c>
      <c r="AC36" s="43" t="s">
        <v>71</v>
      </c>
      <c r="AD36" s="43" t="s">
        <v>71</v>
      </c>
      <c r="AE36" s="43" t="s">
        <v>71</v>
      </c>
      <c r="AF36" s="43" t="s">
        <v>76</v>
      </c>
      <c r="AG36" t="str">
        <f>VLOOKUP($Q36,武学奇术!$A:$ZZ,25,FALSE)</f>
        <v>伞</v>
      </c>
      <c r="AH36" s="30">
        <f>VLOOKUP($Q36,武学奇术!$A:$ZZ,26,FALSE)</f>
        <v>1.8084</v>
      </c>
      <c r="AI36" s="31">
        <f>VLOOKUP($Q36,武学奇术!$A:$ZZ,27,FALSE)*(1+IF(OR($AG36=$F$4,$AG36=$F$5),$B$22,0))</f>
        <v>700</v>
      </c>
      <c r="AJ36" s="30">
        <f>VLOOKUP($Q36,武学奇术!$A:$ZZ,28,FALSE)</f>
        <v>2.7126</v>
      </c>
      <c r="AK36" s="31">
        <f>VLOOKUP($Q36,武学奇术!$A:$ZZ,29,FALSE)*(1+IF(OR($AG36=$F$4,$AG36=$F$5),$B$22,0))</f>
        <v>380.8</v>
      </c>
      <c r="AL36" s="30" cm="1">
        <f t="array" ref="AL36">$G$3+IFERROR(VLOOKUP($AG36,$F$4:$G$7,2,FALSE),0)+VLOOKUP($Q36,武学奇术!$A:$ZZ,2,FALSE)+SUM(_xlfn.XLOOKUP($R36:$AF36,增益!$A:$A,增益!$B:$B,0))</f>
        <v>0.8541</v>
      </c>
      <c r="AM36" s="30" cm="1">
        <f t="array" ref="AM36">VLOOKUP($Q36,武学奇术!$A:$ZZ,5,FALSE)+SUM(_xlfn.XLOOKUP($R36:$AF36,增益!$A:$A,增益!$E:$E,0))</f>
        <v>0</v>
      </c>
      <c r="AN36" cm="1">
        <f t="array" ref="AN36">$D$10*(1+$AM36)+VLOOKUP($Q36,武学奇术!$A:$ZZ,3,FALSE)+SUM(_xlfn.XLOOKUP($R36:$AF36,增益!$A:$A,增益!$C:$C,0))-$I$2</f>
        <v>3545.8</v>
      </c>
      <c r="AO36" cm="1">
        <f t="array" ref="AO36">$E$10*(1+$AM36)+VLOOKUP($Q36,武学奇术!$A:$ZZ,4,FALSE)+SUM(_xlfn.XLOOKUP($R36:$AF36,增益!$A:$A,增益!$D:$D,0))-$I$2</f>
        <v>3545.8</v>
      </c>
      <c r="AP36" s="35" cm="1">
        <f t="array" ref="AP36">IF($F$10-$I$3+VLOOKUP($Q36,武学奇术!$A:$ZZ,6,FALSE)+SUM(_xlfn.XLOOKUP(R36:AF36,增益!$A:$A,增益!$F:$F,0))&gt;0,($F$10-$I$3+VLOOKUP($Q36,武学奇术!$A:$ZZ,6,FALSE)+SUM(_xlfn.XLOOKUP(R36:AF36,增益!$A:$A,增益!$F:$F,0)))/200,($F$10-$I$3+VLOOKUP($Q36,武学奇术!$A:$ZZ,6,FALSE)+SUM(_xlfn.XLOOKUP(R36:AF36,增益!$A:$A,增益!$F:$F,0)))/100)</f>
        <v>0.3425</v>
      </c>
      <c r="AQ36" s="35" cm="1">
        <f t="array" ref="AQ36">$G$10+VLOOKUP($Q36,武学奇术!$A:$ZZ,7,FALSE)+SUM(_xlfn.XLOOKUP(R36:AF36,增益!$A:$A,增益!$G:$G,0))</f>
        <v>0.148</v>
      </c>
      <c r="AR36" s="30" cm="1">
        <f t="array" ref="AR36">VLOOKUP($Q36,武学奇术!$A:$ZZ,8,FALSE)+SUM(_xlfn.XLOOKUP(R36:AF36,增益!$A:$A,增益!$H:$H,0))</f>
        <v>0</v>
      </c>
      <c r="AS36">
        <f t="shared" si="0"/>
        <v>0</v>
      </c>
      <c r="AT36">
        <f t="shared" si="1"/>
        <v>0</v>
      </c>
      <c r="AU36" s="35" cm="1">
        <f t="array" ref="AU36">IF($F$11-$I$4+VLOOKUP($Q36,武学奇术!$A:$ZZ,9,FALSE)+SUM(_xlfn.XLOOKUP(R36:AF36,增益!$A:$A,增益!$I:$I,0))&gt;0,($F$11-$I$4+VLOOKUP($Q36,武学奇术!$A:$ZZ,9,FALSE)+SUM(_xlfn.XLOOKUP(R36:AF36,增益!$A:$A,增益!$I:$I,0)))/200,($F$11-$I$4+VLOOKUP($Q36,武学奇术!$A:$ZZ,9,FALSE)+SUM(_xlfn.XLOOKUP(R36:AF36,增益!$A:$A,增益!$I:$I,0)))/100)</f>
        <v>-0.14</v>
      </c>
      <c r="AV36" s="35" cm="1">
        <f t="array" ref="AV36">$G$11+VLOOKUP($Q36,武学奇术!$A:$ZZ,10,FALSE)+SUM(_xlfn.XLOOKUP(R36:AF36,增益!$A:$A,增益!$J:$J,0))</f>
        <v>0</v>
      </c>
      <c r="AW36">
        <f t="shared" si="2"/>
        <v>0</v>
      </c>
      <c r="AX36">
        <f t="shared" si="3"/>
        <v>0</v>
      </c>
      <c r="AY36" s="35" cm="1">
        <f t="array" ref="AY36">IF($F$12-$I$4+VLOOKUP($Q36,武学奇术!$A:$ZZ,11,FALSE)+SUM(_xlfn.XLOOKUP(R36:AF36,增益!$A:$A,增益!$K:$K,0))&gt;0,($F$12-$I$4+VLOOKUP($Q36,武学奇术!$A:$ZZ,11,FALSE)+SUM(_xlfn.XLOOKUP(R36:AF36,增益!$A:$A,增益!$K:$K,0)))/200,($F$12-$I$4+VLOOKUP($Q36,武学奇术!$A:$ZZ,11,FALSE)+SUM(_xlfn.XLOOKUP(R36:AF36,增益!$A:$A,增益!$K:$K,0)))/100)</f>
        <v>-0.14</v>
      </c>
      <c r="AZ36" s="35" cm="1">
        <f t="array" ref="AZ36">$G$12+VLOOKUP($Q36,武学奇术!$A:$ZZ,12,FALSE)+SUM(_xlfn.XLOOKUP(R36:AF36,增益!$A:$A,增益!$L:$L,0))</f>
        <v>0</v>
      </c>
      <c r="BA36">
        <f t="shared" si="13"/>
        <v>0</v>
      </c>
      <c r="BB36">
        <f t="shared" si="14"/>
        <v>0</v>
      </c>
      <c r="BC36" s="35" cm="1">
        <f t="array" ref="BC36">IF($F$13-$I$4+VLOOKUP($Q36,武学奇术!$A:$ZZ,13,FALSE)+SUM(_xlfn.XLOOKUP(R36:AF36,增益!$A:$A,增益!$M:$M,0))&gt;0,($F$13-$I$4+VLOOKUP($Q36,武学奇术!$A:$ZZ,13,FALSE)+SUM(_xlfn.XLOOKUP(R36:AF36,增益!$A:$A,增益!$K:$K,0)))/200,($F$13-$I$4+VLOOKUP($Q36,武学奇术!$A:$ZZ,13,FALSE)+SUM(_xlfn.XLOOKUP(R36:AF36,增益!$A:$A,增益!$M:$M,0)))/100)</f>
        <v>-0.14</v>
      </c>
      <c r="BD36" s="35" cm="1">
        <f t="array" ref="BD36">$G$13+VLOOKUP($Q36,武学奇术!$A:$ZZ,14,FALSE)+SUM(_xlfn.XLOOKUP(R36:AF36,增益!$A:$A,增益!$N:$N,0))</f>
        <v>0</v>
      </c>
      <c r="BE36">
        <f t="shared" si="15"/>
        <v>538</v>
      </c>
      <c r="BF36">
        <f t="shared" si="16"/>
        <v>1561.4</v>
      </c>
      <c r="BG36" s="35" cm="1">
        <f t="array" ref="BG36">IF($F$14-$I$4+VLOOKUP($Q36,武学奇术!$A:$ZZ,15,FALSE)+SUM(_xlfn.XLOOKUP(R36:AF36,增益!$A:$A,增益!$O:$O,0))&gt;0,($F$14-$I$4+VLOOKUP($Q36,武学奇术!$A:$ZZ,15,FALSE)+SUM(_xlfn.XLOOKUP(R36:AF36,增益!$A:$A,增益!$O:$O,0)))/200,($F$14-$I$4+VLOOKUP($Q36,武学奇术!$A:$ZZ,15,FALSE)+SUM(_xlfn.XLOOKUP(R36:AF36,增益!$A:$A,增益!$O:$O,0)))/100)</f>
        <v>0.08</v>
      </c>
      <c r="BH36" s="35" cm="1">
        <f t="array" ref="BH36">$G$14+VLOOKUP($Q36,武学奇术!$A:$ZZ,16,FALSE)+SUM(_xlfn.XLOOKUP(R36:AF36,增益!$A:$A,增益!$P:$P,0))</f>
        <v>0.27</v>
      </c>
      <c r="BI36" s="30">
        <f>MIN(IF(VLOOKUP($Q36,武学奇术!$A:$ZZ,23,FALSE)=1,100%,$B$8),100%)</f>
        <v>1</v>
      </c>
      <c r="BJ36" s="30" cm="1">
        <f t="array" ref="BJ36">IF(VLOOKUP($Q36,武学奇术!$A:$ZZ,23,FALSE)=1,100%,MIN(80%,$B$9+VLOOKUP($Q36,武学奇术!$A:$ZZ,17,FALSE)+SUM(_xlfn.XLOOKUP(R36:AF36,增益!$A:$A,增益!$Q:$Q,0)))+$B$11+SUM(_xlfn.XLOOKUP(R36:AF36,增益!$A:$A,增益!$U:$U,0)))*IF(VLOOKUP($Q36,武学奇术!$A:$ZZ,24,FALSE)=1,0,1)</f>
        <v>1</v>
      </c>
      <c r="BK36" s="30" cm="1">
        <f t="array" ref="BK36">1+$B$13+VLOOKUP($Q36,武学奇术!$A:$ZZ,18,FALSE)+SUM(_xlfn.XLOOKUP(R36:AF36,增益!$A:$A,增益!$R:$R,0))</f>
        <v>1.87</v>
      </c>
      <c r="BL36" s="30" cm="1">
        <f t="array" ref="BL36">IF(VLOOKUP($Q36,武学奇术!$A:$ZZ,24,FALSE)=1,100%,MIN(40%,$B$10+VLOOKUP($Q36,武学奇术!$A:$ZZ,19,FALSE)+SUM(_xlfn.XLOOKUP(R36:AF36,增益!$A:$A,增益!$S:$S,0)))+$B$12+SUM(_xlfn.XLOOKUP(R36:AF36,增益!$A:$A,增益!$V:$V,0)))*IF(VLOOKUP($Q36,武学奇术!$A:$ZZ,23,FALSE)=1,0,1)</f>
        <v>0</v>
      </c>
      <c r="BM36" s="30" cm="1">
        <f t="array" ref="BM36">1+$B$14+VLOOKUP($Q36,武学奇术!$A:$ZZ,20,FALSE)+SUM(_xlfn.XLOOKUP(R36:AF36,增益!$A:$A,增益!$T:$T,0))</f>
        <v>1.35</v>
      </c>
      <c r="BN36" s="30">
        <f t="shared" si="11"/>
        <v>1</v>
      </c>
      <c r="BO36" s="30">
        <f t="shared" si="17"/>
        <v>0</v>
      </c>
      <c r="BP36" s="30">
        <f>IF(VLOOKUP($Q36,武学奇术!$A:$ZZ,22,FALSE)=1,0,(1-$BI36))*(1-$BL36)</f>
        <v>0</v>
      </c>
      <c r="BQ36" s="30" cm="1">
        <f t="array" ref="BQ36">SUM(_xlfn.XLOOKUP(R36:AF36,增益!$A:$A,增益!$W:$W,0))+$I$5</f>
        <v>0.11</v>
      </c>
    </row>
    <row r="37" spans="1:69">
      <c r="A37" s="4" t="s">
        <v>168</v>
      </c>
      <c r="B37" s="90">
        <v>1.1</v>
      </c>
      <c r="D37" s="42"/>
      <c r="E37" s="42"/>
      <c r="K37" s="41">
        <f>($L37*$BN37+$M37*$BL37+$N37*$BO37+$O37*$BP37)</f>
        <v>39182.1840562459</v>
      </c>
      <c r="L37" s="41">
        <f>((($AN37+$AO37)/2*$AH37+$AI37)*(1+$AP37)*(1+$AQ37)+(($AS37+$AT37)/2*IF($G$1="鸣金",$AJ37,$AH37)+IF($G$1="鸣金",$AK37*1.5,0))*(1+$AU37)*(1+$AV37)+(($AW37+$AX37)/2*IF($G$1="裂石",$AJ37,$AH37)+IF($G$1="裂石",$AK37*1.5,0))*(1+$AY37)*(1+$AZ37)+(($BA37+$BB37)/2*IF($G$1="牵丝",$AJ37,$AH37)+IF($G$1="牵丝",$AK37*1.5,0))*(1+$BC37)*(1+$BD37)+(($BE37+$BF37)/2*IF($G$1="破竹",$AJ37,$AH37)+IF($G$1="破竹",$AK37*1.5,0))*(1+$BG37)*(1+$BH37))*(1+$AL37)*$BK37*$P37*(1+IF(VLOOKUP($Q37,武学奇术!$A:$ZZ,30,FALSE)="回旋伞",$B$21,0))*(1+$BQ37)</f>
        <v>40936.5110490919</v>
      </c>
      <c r="M37" s="41">
        <f>(($AO37*$AH37+$AI37)*(1+$AP37)*(1+$AQ37)+($AT37*IF($G$1="鸣金",$AJ37,$AH37)+IF($G$1="鸣金",$AK37*1.5,0))*(1+$AU37)*(1+$AV37)+($AX37*IF($G$1="裂石",$AJ37,$AH37)+IF($G$1="裂石",$AK37*1.5,0))*(1+$AY37)*(1+$AZ37)+($BB37*IF($G$1="牵丝",$AJ37,$AH37)+IF($G$1="牵丝",$AK37*1.5,0))*(1+$BC37)*(1+$BD37)+($BF37*IF($G$1="破竹",$AJ37,$AH37)+IF($G$1="破竹",$AK37*1.5,0))*(1+$BG37)*(1+$BH37))*(1+$AL37)*$BM37*$P37*(1+IF(VLOOKUP($Q37,武学奇术!$A:$ZZ,30,FALSE)="回旋伞",$B$21,0))*(1+$BQ37)</f>
        <v>34368.9280844302</v>
      </c>
      <c r="N37" s="41">
        <f>((($AN37+$AO37)/2*$AH37+$AI37)*(1+$AP37)*(1+$AQ37)+(($AS37+$AT37)/2*IF($G$1="鸣金",$AJ37,$AH37)+IF($G$1="鸣金",$AK37*1.5,0))*(1+$AU37)*(1+$AV37)+(($AW37+$AX37)/2*IF($G$1="裂石",$AJ37,$AH37)+IF($G$1="裂石",$AK37*1.5,0))*(1+$AY37)*(1+$AZ37)+(($BA37+$BB37)/2*IF($G$1="牵丝",$AJ37,$AH37)+IF($G$1="牵丝",$AK37*1.5,0))*(1+$BC37)*(1+$BD37)+(($BE37+$BF37)/2*IF($G$1="破竹",$AJ37,$AH37)+IF($G$1="破竹",$AK37*1.5,0))*(1+$BG37)*(1+$BH37))*(1+$AL37)*$P37*(1+IF(VLOOKUP($Q37,武学奇术!$A:$ZZ,30,FALSE)="回旋伞",$B$21,0))*(1+$BQ37)</f>
        <v>22369.6781689027</v>
      </c>
      <c r="O37" s="41">
        <f>((($AN37*$AH37+$AI37)*(1+$AP37)*(1+$AQ37)+($AS37*IF($G$1="鸣金",$AJ37,$AH37)+IF($G$1="鸣金",$AK37*1.5,0))*(1+$AU37)*(1+$AV37)+($AW37*IF($G$1="裂石",$AJ37,$AH37)+IF($G$1="裂石",$AK37*1.5,0))*(1+$AY37)*(1+$AZ37)+($BA37*IF($G$1="牵丝",$AJ37,$AH37)+IF($G$1="牵丝",$AK37*1.5,0))*(1+$BC37)*(1+$BD37)+($BE37*IF($G$1="破竹",$AJ37,$AH37)+IF($G$1="破竹",$AK37*1.5,0))*(1+$BG37)*(1+$BH37))*(1+$AL37))*$P37*(1+IF(VLOOKUP($Q37,武学奇术!$A:$ZZ,30,FALSE)="回旋伞",$B$21,0))*(1+$BQ37)</f>
        <v>19280.8910900793</v>
      </c>
      <c r="P37" s="42">
        <v>2</v>
      </c>
      <c r="Q37" s="43" t="s">
        <v>120</v>
      </c>
      <c r="R37" s="43" t="s">
        <v>105</v>
      </c>
      <c r="S37" s="43" t="s">
        <v>91</v>
      </c>
      <c r="T37" s="43" t="s">
        <v>72</v>
      </c>
      <c r="U37" s="43" t="s">
        <v>71</v>
      </c>
      <c r="V37" s="43" t="s">
        <v>153</v>
      </c>
      <c r="W37" s="43" t="s">
        <v>95</v>
      </c>
      <c r="X37" s="43" t="s">
        <v>82</v>
      </c>
      <c r="Y37" s="43" t="s">
        <v>71</v>
      </c>
      <c r="Z37" s="43" t="s">
        <v>71</v>
      </c>
      <c r="AA37" s="43" t="s">
        <v>71</v>
      </c>
      <c r="AB37" s="43" t="s">
        <v>71</v>
      </c>
      <c r="AC37" s="43" t="s">
        <v>71</v>
      </c>
      <c r="AD37" s="43" t="s">
        <v>71</v>
      </c>
      <c r="AE37" s="43" t="s">
        <v>71</v>
      </c>
      <c r="AF37" s="43" t="s">
        <v>76</v>
      </c>
      <c r="AG37" t="str">
        <f>VLOOKUP($Q37,武学奇术!$A:$ZZ,25,FALSE)</f>
        <v>伞</v>
      </c>
      <c r="AH37" s="30">
        <f>VLOOKUP($Q37,武学奇术!$A:$ZZ,26,FALSE)</f>
        <v>0.54</v>
      </c>
      <c r="AI37" s="31">
        <f>VLOOKUP($Q37,武学奇术!$A:$ZZ,27,FALSE)*(1+IF(OR($AG37=$F$4,$AG37=$F$5),$B$22,0))</f>
        <v>0</v>
      </c>
      <c r="AJ37" s="30">
        <f>VLOOKUP($Q37,武学奇术!$A:$ZZ,28,FALSE)</f>
        <v>0.81</v>
      </c>
      <c r="AK37" s="31">
        <f>VLOOKUP($Q37,武学奇术!$A:$ZZ,29,FALSE)*(1+IF(OR($AG37=$F$4,$AG37=$F$5),$B$22,0))</f>
        <v>0</v>
      </c>
      <c r="AL37" s="30" cm="1">
        <f t="array" ref="AL37">$G$3+IFERROR(VLOOKUP($AG37,$F$4:$G$7,2,FALSE),0)+VLOOKUP($Q37,武学奇术!$A:$ZZ,2,FALSE)+SUM(_xlfn.XLOOKUP($R37:$AF37,增益!$A:$A,增益!$B:$B,0))</f>
        <v>0.8541</v>
      </c>
      <c r="AM37" s="30" cm="1">
        <f t="array" ref="AM37">VLOOKUP($Q37,武学奇术!$A:$ZZ,5,FALSE)+SUM(_xlfn.XLOOKUP($R37:$AF37,增益!$A:$A,增益!$E:$E,0))</f>
        <v>0</v>
      </c>
      <c r="AN37" cm="1">
        <f t="array" ref="AN37">$D$10*(1+$AM37)+VLOOKUP($Q37,武学奇术!$A:$ZZ,3,FALSE)+SUM(_xlfn.XLOOKUP($R37:$AF37,增益!$A:$A,增益!$C:$C,0))-$I$2</f>
        <v>3545.8</v>
      </c>
      <c r="AO37" cm="1">
        <f t="array" ref="AO37">$E$10*(1+$AM37)+VLOOKUP($Q37,武学奇术!$A:$ZZ,4,FALSE)+SUM(_xlfn.XLOOKUP($R37:$AF37,增益!$A:$A,增益!$D:$D,0))-$I$2</f>
        <v>3545.8</v>
      </c>
      <c r="AP37" s="35" cm="1">
        <f t="array" ref="AP37">IF($F$10-$I$3+VLOOKUP($Q37,武学奇术!$A:$ZZ,6,FALSE)+SUM(_xlfn.XLOOKUP(R37:AF37,增益!$A:$A,增益!$F:$F,0))&gt;0,($F$10-$I$3+VLOOKUP($Q37,武学奇术!$A:$ZZ,6,FALSE)+SUM(_xlfn.XLOOKUP(R37:AF37,增益!$A:$A,增益!$F:$F,0)))/200,($F$10-$I$3+VLOOKUP($Q37,武学奇术!$A:$ZZ,6,FALSE)+SUM(_xlfn.XLOOKUP(R37:AF37,增益!$A:$A,增益!$F:$F,0)))/100)</f>
        <v>0.3425</v>
      </c>
      <c r="AQ37" s="35" cm="1">
        <f t="array" ref="AQ37">$G$10+VLOOKUP($Q37,武学奇术!$A:$ZZ,7,FALSE)+SUM(_xlfn.XLOOKUP(R37:AF37,增益!$A:$A,增益!$G:$G,0))</f>
        <v>0.148</v>
      </c>
      <c r="AR37" s="30" cm="1">
        <f t="array" ref="AR37">VLOOKUP($Q37,武学奇术!$A:$ZZ,8,FALSE)+SUM(_xlfn.XLOOKUP(R37:AF37,增益!$A:$A,增益!$H:$H,0))</f>
        <v>0</v>
      </c>
      <c r="AS37">
        <f t="shared" si="0"/>
        <v>0</v>
      </c>
      <c r="AT37">
        <f t="shared" si="1"/>
        <v>0</v>
      </c>
      <c r="AU37" s="35" cm="1">
        <f t="array" ref="AU37">IF($F$11-$I$4+VLOOKUP($Q37,武学奇术!$A:$ZZ,9,FALSE)+SUM(_xlfn.XLOOKUP(R37:AF37,增益!$A:$A,增益!$I:$I,0))&gt;0,($F$11-$I$4+VLOOKUP($Q37,武学奇术!$A:$ZZ,9,FALSE)+SUM(_xlfn.XLOOKUP(R37:AF37,增益!$A:$A,增益!$I:$I,0)))/200,($F$11-$I$4+VLOOKUP($Q37,武学奇术!$A:$ZZ,9,FALSE)+SUM(_xlfn.XLOOKUP(R37:AF37,增益!$A:$A,增益!$I:$I,0)))/100)</f>
        <v>-0.14</v>
      </c>
      <c r="AV37" s="35" cm="1">
        <f t="array" ref="AV37">$G$11+VLOOKUP($Q37,武学奇术!$A:$ZZ,10,FALSE)+SUM(_xlfn.XLOOKUP(R37:AF37,增益!$A:$A,增益!$J:$J,0))</f>
        <v>0</v>
      </c>
      <c r="AW37">
        <f t="shared" si="2"/>
        <v>0</v>
      </c>
      <c r="AX37">
        <f t="shared" si="3"/>
        <v>0</v>
      </c>
      <c r="AY37" s="35" cm="1">
        <f t="array" ref="AY37">IF($F$12-$I$4+VLOOKUP($Q37,武学奇术!$A:$ZZ,11,FALSE)+SUM(_xlfn.XLOOKUP(R37:AF37,增益!$A:$A,增益!$K:$K,0))&gt;0,($F$12-$I$4+VLOOKUP($Q37,武学奇术!$A:$ZZ,11,FALSE)+SUM(_xlfn.XLOOKUP(R37:AF37,增益!$A:$A,增益!$K:$K,0)))/200,($F$12-$I$4+VLOOKUP($Q37,武学奇术!$A:$ZZ,11,FALSE)+SUM(_xlfn.XLOOKUP(R37:AF37,增益!$A:$A,增益!$K:$K,0)))/100)</f>
        <v>-0.14</v>
      </c>
      <c r="AZ37" s="35" cm="1">
        <f t="array" ref="AZ37">$G$12+VLOOKUP($Q37,武学奇术!$A:$ZZ,12,FALSE)+SUM(_xlfn.XLOOKUP(R37:AF37,增益!$A:$A,增益!$L:$L,0))</f>
        <v>0</v>
      </c>
      <c r="BA37">
        <f t="shared" si="13"/>
        <v>0</v>
      </c>
      <c r="BB37">
        <f t="shared" si="14"/>
        <v>0</v>
      </c>
      <c r="BC37" s="35" cm="1">
        <f t="array" ref="BC37">IF($F$13-$I$4+VLOOKUP($Q37,武学奇术!$A:$ZZ,13,FALSE)+SUM(_xlfn.XLOOKUP(R37:AF37,增益!$A:$A,增益!$M:$M,0))&gt;0,($F$13-$I$4+VLOOKUP($Q37,武学奇术!$A:$ZZ,13,FALSE)+SUM(_xlfn.XLOOKUP(R37:AF37,增益!$A:$A,增益!$K:$K,0)))/200,($F$13-$I$4+VLOOKUP($Q37,武学奇术!$A:$ZZ,13,FALSE)+SUM(_xlfn.XLOOKUP(R37:AF37,增益!$A:$A,增益!$M:$M,0)))/100)</f>
        <v>-0.14</v>
      </c>
      <c r="BD37" s="35" cm="1">
        <f t="array" ref="BD37">$G$13+VLOOKUP($Q37,武学奇术!$A:$ZZ,14,FALSE)+SUM(_xlfn.XLOOKUP(R37:AF37,增益!$A:$A,增益!$N:$N,0))</f>
        <v>0</v>
      </c>
      <c r="BE37">
        <f t="shared" si="15"/>
        <v>538</v>
      </c>
      <c r="BF37">
        <f t="shared" si="16"/>
        <v>1561.4</v>
      </c>
      <c r="BG37" s="35" cm="1">
        <f t="array" ref="BG37">IF($F$14-$I$4+VLOOKUP($Q37,武学奇术!$A:$ZZ,15,FALSE)+SUM(_xlfn.XLOOKUP(R37:AF37,增益!$A:$A,增益!$O:$O,0))&gt;0,($F$14-$I$4+VLOOKUP($Q37,武学奇术!$A:$ZZ,15,FALSE)+SUM(_xlfn.XLOOKUP(R37:AF37,增益!$A:$A,增益!$O:$O,0)))/200,($F$14-$I$4+VLOOKUP($Q37,武学奇术!$A:$ZZ,15,FALSE)+SUM(_xlfn.XLOOKUP(R37:AF37,增益!$A:$A,增益!$O:$O,0)))/100)</f>
        <v>0.08</v>
      </c>
      <c r="BH37" s="35" cm="1">
        <f t="array" ref="BH37">$G$14+VLOOKUP($Q37,武学奇术!$A:$ZZ,16,FALSE)+SUM(_xlfn.XLOOKUP(R37:AF37,增益!$A:$A,增益!$P:$P,0))</f>
        <v>0.27</v>
      </c>
      <c r="BI37" s="30">
        <f>MIN(IF(VLOOKUP($Q37,武学奇术!$A:$ZZ,23,FALSE)=1,100%,$B$8),100%)</f>
        <v>0.9712</v>
      </c>
      <c r="BJ37" s="30" cm="1">
        <f t="array" ref="BJ37">IF(VLOOKUP($Q37,武学奇术!$A:$ZZ,23,FALSE)=1,100%,MIN(80%,$B$9+VLOOKUP($Q37,武学奇术!$A:$ZZ,17,FALSE)+SUM(_xlfn.XLOOKUP(R37:AF37,增益!$A:$A,增益!$Q:$Q,0)))+$B$11+SUM(_xlfn.XLOOKUP(R37:AF37,增益!$A:$A,增益!$U:$U,0)))*IF(VLOOKUP($Q37,武学奇术!$A:$ZZ,24,FALSE)=1,0,1)</f>
        <v>0.8773</v>
      </c>
      <c r="BK37" s="30" cm="1">
        <f t="array" ref="BK37">1+$B$13+VLOOKUP($Q37,武学奇术!$A:$ZZ,18,FALSE)+SUM(_xlfn.XLOOKUP(R37:AF37,增益!$A:$A,增益!$R:$R,0))</f>
        <v>1.83</v>
      </c>
      <c r="BL37" s="30" cm="1">
        <f t="array" ref="BL37">IF(VLOOKUP($Q37,武学奇术!$A:$ZZ,24,FALSE)=1,100%,MIN(40%,$B$10+VLOOKUP($Q37,武学奇术!$A:$ZZ,19,FALSE)+SUM(_xlfn.XLOOKUP(R37:AF37,增益!$A:$A,增益!$S:$S,0)))+$B$12+SUM(_xlfn.XLOOKUP(R37:AF37,增益!$A:$A,增益!$V:$V,0)))*IF(VLOOKUP($Q37,武学奇术!$A:$ZZ,23,FALSE)=1,0,1)</f>
        <v>0.0895</v>
      </c>
      <c r="BM37" s="30" cm="1">
        <f t="array" ref="BM37">1+$B$14+VLOOKUP($Q37,武学奇术!$A:$ZZ,20,FALSE)+SUM(_xlfn.XLOOKUP(R37:AF37,增益!$A:$A,增益!$T:$T,0))</f>
        <v>1.35</v>
      </c>
      <c r="BN37" s="30">
        <f t="shared" si="11"/>
        <v>0.85203376</v>
      </c>
      <c r="BO37" s="30">
        <f t="shared" si="17"/>
        <v>0.03224384</v>
      </c>
      <c r="BP37" s="30">
        <f>IF(VLOOKUP($Q37,武学奇术!$A:$ZZ,22,FALSE)=1,0,(1-$BI37))*(1-$BL37)</f>
        <v>0.0262224</v>
      </c>
      <c r="BQ37" s="30" cm="1">
        <f t="array" ref="BQ37">SUM(_xlfn.XLOOKUP(R37:AF37,增益!$A:$A,增益!$W:$W,0))+$I$5</f>
        <v>0.11</v>
      </c>
    </row>
    <row r="38" spans="1:69">
      <c r="A38" s="4" t="s">
        <v>160</v>
      </c>
      <c r="B38" s="90">
        <v>0.1</v>
      </c>
      <c r="E38" s="42"/>
      <c r="K38" s="41">
        <f t="shared" si="12"/>
        <v>39182.1840562459</v>
      </c>
      <c r="L38" s="41">
        <f>((($AN38+$AO38)/2*$AH38+$AI38)*(1+$AP38)*(1+$AQ38)+(($AS38+$AT38)/2*IF($G$1="鸣金",$AJ38,$AH38)+IF($G$1="鸣金",$AK38*1.5,0))*(1+$AU38)*(1+$AV38)+(($AW38+$AX38)/2*IF($G$1="裂石",$AJ38,$AH38)+IF($G$1="裂石",$AK38*1.5,0))*(1+$AY38)*(1+$AZ38)+(($BA38+$BB38)/2*IF($G$1="牵丝",$AJ38,$AH38)+IF($G$1="牵丝",$AK38*1.5,0))*(1+$BC38)*(1+$BD38)+(($BE38+$BF38)/2*IF($G$1="破竹",$AJ38,$AH38)+IF($G$1="破竹",$AK38*1.5,0))*(1+$BG38)*(1+$BH38))*(1+$AL38)*$BK38*$P38*(1+IF(VLOOKUP($Q38,武学奇术!$A:$ZZ,30,FALSE)="回旋伞",$B$21,0))*(1+$BQ38)</f>
        <v>40936.5110490919</v>
      </c>
      <c r="M38" s="41">
        <f>(($AO38*$AH38+$AI38)*(1+$AP38)*(1+$AQ38)+($AT38*IF($G$1="鸣金",$AJ38,$AH38)+IF($G$1="鸣金",$AK38*1.5,0))*(1+$AU38)*(1+$AV38)+($AX38*IF($G$1="裂石",$AJ38,$AH38)+IF($G$1="裂石",$AK38*1.5,0))*(1+$AY38)*(1+$AZ38)+($BB38*IF($G$1="牵丝",$AJ38,$AH38)+IF($G$1="牵丝",$AK38*1.5,0))*(1+$BC38)*(1+$BD38)+($BF38*IF($G$1="破竹",$AJ38,$AH38)+IF($G$1="破竹",$AK38*1.5,0))*(1+$BG38)*(1+$BH38))*(1+$AL38)*$BM38*$P38*(1+IF(VLOOKUP($Q38,武学奇术!$A:$ZZ,30,FALSE)="回旋伞",$B$21,0))*(1+$BQ38)</f>
        <v>34368.9280844302</v>
      </c>
      <c r="N38" s="41">
        <f>((($AN38+$AO38)/2*$AH38+$AI38)*(1+$AP38)*(1+$AQ38)+(($AS38+$AT38)/2*IF($G$1="鸣金",$AJ38,$AH38)+IF($G$1="鸣金",$AK38*1.5,0))*(1+$AU38)*(1+$AV38)+(($AW38+$AX38)/2*IF($G$1="裂石",$AJ38,$AH38)+IF($G$1="裂石",$AK38*1.5,0))*(1+$AY38)*(1+$AZ38)+(($BA38+$BB38)/2*IF($G$1="牵丝",$AJ38,$AH38)+IF($G$1="牵丝",$AK38*1.5,0))*(1+$BC38)*(1+$BD38)+(($BE38+$BF38)/2*IF($G$1="破竹",$AJ38,$AH38)+IF($G$1="破竹",$AK38*1.5,0))*(1+$BG38)*(1+$BH38))*(1+$AL38)*$P38*(1+IF(VLOOKUP($Q38,武学奇术!$A:$ZZ,30,FALSE)="回旋伞",$B$21,0))*(1+$BQ38)</f>
        <v>22369.6781689027</v>
      </c>
      <c r="O38" s="41">
        <f>((($AN38*$AH38+$AI38)*(1+$AP38)*(1+$AQ38)+($AS38*IF($G$1="鸣金",$AJ38,$AH38)+IF($G$1="鸣金",$AK38*1.5,0))*(1+$AU38)*(1+$AV38)+($AW38*IF($G$1="裂石",$AJ38,$AH38)+IF($G$1="裂石",$AK38*1.5,0))*(1+$AY38)*(1+$AZ38)+($BA38*IF($G$1="牵丝",$AJ38,$AH38)+IF($G$1="牵丝",$AK38*1.5,0))*(1+$BC38)*(1+$BD38)+($BE38*IF($G$1="破竹",$AJ38,$AH38)+IF($G$1="破竹",$AK38*1.5,0))*(1+$BG38)*(1+$BH38))*(1+$AL38))*$P38*(1+IF(VLOOKUP($Q38,武学奇术!$A:$ZZ,30,FALSE)="回旋伞",$B$21,0))*(1+$BQ38)</f>
        <v>19280.8910900793</v>
      </c>
      <c r="P38" s="42">
        <v>2</v>
      </c>
      <c r="Q38" s="43" t="s">
        <v>120</v>
      </c>
      <c r="R38" s="43" t="s">
        <v>105</v>
      </c>
      <c r="S38" s="43" t="s">
        <v>91</v>
      </c>
      <c r="T38" s="43" t="s">
        <v>72</v>
      </c>
      <c r="U38" s="43" t="s">
        <v>71</v>
      </c>
      <c r="V38" s="43" t="s">
        <v>153</v>
      </c>
      <c r="W38" s="43" t="s">
        <v>95</v>
      </c>
      <c r="X38" s="43" t="s">
        <v>82</v>
      </c>
      <c r="Y38" s="43" t="s">
        <v>71</v>
      </c>
      <c r="Z38" s="43" t="s">
        <v>71</v>
      </c>
      <c r="AA38" s="43" t="s">
        <v>109</v>
      </c>
      <c r="AB38" s="43" t="s">
        <v>71</v>
      </c>
      <c r="AC38" s="43" t="s">
        <v>71</v>
      </c>
      <c r="AD38" s="43" t="s">
        <v>71</v>
      </c>
      <c r="AE38" s="43" t="s">
        <v>71</v>
      </c>
      <c r="AF38" s="43" t="s">
        <v>76</v>
      </c>
      <c r="AG38" t="str">
        <f>VLOOKUP($Q38,武学奇术!$A:$ZZ,25,FALSE)</f>
        <v>伞</v>
      </c>
      <c r="AH38" s="30">
        <f>VLOOKUP($Q38,武学奇术!$A:$ZZ,26,FALSE)</f>
        <v>0.54</v>
      </c>
      <c r="AI38" s="31">
        <f>VLOOKUP($Q38,武学奇术!$A:$ZZ,27,FALSE)*(1+IF(OR($AG38=$F$4,$AG38=$F$5),$B$22,0))</f>
        <v>0</v>
      </c>
      <c r="AJ38" s="30">
        <f>VLOOKUP($Q38,武学奇术!$A:$ZZ,28,FALSE)</f>
        <v>0.81</v>
      </c>
      <c r="AK38" s="31">
        <f>VLOOKUP($Q38,武学奇术!$A:$ZZ,29,FALSE)*(1+IF(OR($AG38=$F$4,$AG38=$F$5),$B$22,0))</f>
        <v>0</v>
      </c>
      <c r="AL38" s="30" cm="1">
        <f t="array" ref="AL38">$G$3+IFERROR(VLOOKUP($AG38,$F$4:$G$7,2,FALSE),0)+VLOOKUP($Q38,武学奇术!$A:$ZZ,2,FALSE)+SUM(_xlfn.XLOOKUP($R38:$AF38,增益!$A:$A,增益!$B:$B,0))</f>
        <v>0.8541</v>
      </c>
      <c r="AM38" s="30" cm="1">
        <f t="array" ref="AM38">VLOOKUP($Q38,武学奇术!$A:$ZZ,5,FALSE)+SUM(_xlfn.XLOOKUP($R38:$AF38,增益!$A:$A,增益!$E:$E,0))</f>
        <v>0</v>
      </c>
      <c r="AN38" cm="1">
        <f t="array" ref="AN38">$D$10*(1+$AM38)+VLOOKUP($Q38,武学奇术!$A:$ZZ,3,FALSE)+SUM(_xlfn.XLOOKUP($R38:$AF38,增益!$A:$A,增益!$C:$C,0))-$I$2</f>
        <v>3545.8</v>
      </c>
      <c r="AO38" cm="1">
        <f t="array" ref="AO38">$E$10*(1+$AM38)+VLOOKUP($Q38,武学奇术!$A:$ZZ,4,FALSE)+SUM(_xlfn.XLOOKUP($R38:$AF38,增益!$A:$A,增益!$D:$D,0))-$I$2</f>
        <v>3545.8</v>
      </c>
      <c r="AP38" s="35" cm="1">
        <f t="array" ref="AP38">IF($F$10-$I$3+VLOOKUP($Q38,武学奇术!$A:$ZZ,6,FALSE)+SUM(_xlfn.XLOOKUP(R38:AF38,增益!$A:$A,增益!$F:$F,0))&gt;0,($F$10-$I$3+VLOOKUP($Q38,武学奇术!$A:$ZZ,6,FALSE)+SUM(_xlfn.XLOOKUP(R38:AF38,增益!$A:$A,增益!$F:$F,0)))/200,($F$10-$I$3+VLOOKUP($Q38,武学奇术!$A:$ZZ,6,FALSE)+SUM(_xlfn.XLOOKUP(R38:AF38,增益!$A:$A,增益!$F:$F,0)))/100)</f>
        <v>0.3425</v>
      </c>
      <c r="AQ38" s="35" cm="1">
        <f t="array" ref="AQ38">$G$10+VLOOKUP($Q38,武学奇术!$A:$ZZ,7,FALSE)+SUM(_xlfn.XLOOKUP(R38:AF38,增益!$A:$A,增益!$G:$G,0))</f>
        <v>0.148</v>
      </c>
      <c r="AR38" s="30" cm="1">
        <f t="array" ref="AR38">VLOOKUP($Q38,武学奇术!$A:$ZZ,8,FALSE)+SUM(_xlfn.XLOOKUP(R38:AF38,增益!$A:$A,增益!$H:$H,0))</f>
        <v>0</v>
      </c>
      <c r="AS38">
        <f t="shared" si="0"/>
        <v>0</v>
      </c>
      <c r="AT38">
        <f t="shared" si="1"/>
        <v>0</v>
      </c>
      <c r="AU38" s="35" cm="1">
        <f t="array" ref="AU38">IF($F$11-$I$4+VLOOKUP($Q38,武学奇术!$A:$ZZ,9,FALSE)+SUM(_xlfn.XLOOKUP(R38:AF38,增益!$A:$A,增益!$I:$I,0))&gt;0,($F$11-$I$4+VLOOKUP($Q38,武学奇术!$A:$ZZ,9,FALSE)+SUM(_xlfn.XLOOKUP(R38:AF38,增益!$A:$A,增益!$I:$I,0)))/200,($F$11-$I$4+VLOOKUP($Q38,武学奇术!$A:$ZZ,9,FALSE)+SUM(_xlfn.XLOOKUP(R38:AF38,增益!$A:$A,增益!$I:$I,0)))/100)</f>
        <v>-0.14</v>
      </c>
      <c r="AV38" s="35" cm="1">
        <f t="array" ref="AV38">$G$11+VLOOKUP($Q38,武学奇术!$A:$ZZ,10,FALSE)+SUM(_xlfn.XLOOKUP(R38:AF38,增益!$A:$A,增益!$J:$J,0))</f>
        <v>0</v>
      </c>
      <c r="AW38">
        <f t="shared" si="2"/>
        <v>0</v>
      </c>
      <c r="AX38">
        <f t="shared" si="3"/>
        <v>0</v>
      </c>
      <c r="AY38" s="35" cm="1">
        <f t="array" ref="AY38">IF($F$12-$I$4+VLOOKUP($Q38,武学奇术!$A:$ZZ,11,FALSE)+SUM(_xlfn.XLOOKUP(R38:AF38,增益!$A:$A,增益!$K:$K,0))&gt;0,($F$12-$I$4+VLOOKUP($Q38,武学奇术!$A:$ZZ,11,FALSE)+SUM(_xlfn.XLOOKUP(R38:AF38,增益!$A:$A,增益!$K:$K,0)))/200,($F$12-$I$4+VLOOKUP($Q38,武学奇术!$A:$ZZ,11,FALSE)+SUM(_xlfn.XLOOKUP(R38:AF38,增益!$A:$A,增益!$K:$K,0)))/100)</f>
        <v>-0.14</v>
      </c>
      <c r="AZ38" s="35" cm="1">
        <f t="array" ref="AZ38">$G$12+VLOOKUP($Q38,武学奇术!$A:$ZZ,12,FALSE)+SUM(_xlfn.XLOOKUP(R38:AF38,增益!$A:$A,增益!$L:$L,0))</f>
        <v>0</v>
      </c>
      <c r="BA38">
        <f t="shared" si="13"/>
        <v>0</v>
      </c>
      <c r="BB38">
        <f t="shared" si="14"/>
        <v>0</v>
      </c>
      <c r="BC38" s="35" cm="1">
        <f t="array" ref="BC38">IF($F$13-$I$4+VLOOKUP($Q38,武学奇术!$A:$ZZ,13,FALSE)+SUM(_xlfn.XLOOKUP(R38:AF38,增益!$A:$A,增益!$M:$M,0))&gt;0,($F$13-$I$4+VLOOKUP($Q38,武学奇术!$A:$ZZ,13,FALSE)+SUM(_xlfn.XLOOKUP(R38:AF38,增益!$A:$A,增益!$K:$K,0)))/200,($F$13-$I$4+VLOOKUP($Q38,武学奇术!$A:$ZZ,13,FALSE)+SUM(_xlfn.XLOOKUP(R38:AF38,增益!$A:$A,增益!$M:$M,0)))/100)</f>
        <v>-0.14</v>
      </c>
      <c r="BD38" s="35" cm="1">
        <f t="array" ref="BD38">$G$13+VLOOKUP($Q38,武学奇术!$A:$ZZ,14,FALSE)+SUM(_xlfn.XLOOKUP(R38:AF38,增益!$A:$A,增益!$N:$N,0))</f>
        <v>0</v>
      </c>
      <c r="BE38">
        <f t="shared" si="15"/>
        <v>538</v>
      </c>
      <c r="BF38">
        <f t="shared" si="16"/>
        <v>1561.4</v>
      </c>
      <c r="BG38" s="35" cm="1">
        <f t="array" ref="BG38">IF($F$14-$I$4+VLOOKUP($Q38,武学奇术!$A:$ZZ,15,FALSE)+SUM(_xlfn.XLOOKUP(R38:AF38,增益!$A:$A,增益!$O:$O,0))&gt;0,($F$14-$I$4+VLOOKUP($Q38,武学奇术!$A:$ZZ,15,FALSE)+SUM(_xlfn.XLOOKUP(R38:AF38,增益!$A:$A,增益!$O:$O,0)))/200,($F$14-$I$4+VLOOKUP($Q38,武学奇术!$A:$ZZ,15,FALSE)+SUM(_xlfn.XLOOKUP(R38:AF38,增益!$A:$A,增益!$O:$O,0)))/100)</f>
        <v>0.08</v>
      </c>
      <c r="BH38" s="35" cm="1">
        <f t="array" ref="BH38">$G$14+VLOOKUP($Q38,武学奇术!$A:$ZZ,16,FALSE)+SUM(_xlfn.XLOOKUP(R38:AF38,增益!$A:$A,增益!$P:$P,0))</f>
        <v>0.27</v>
      </c>
      <c r="BI38" s="30">
        <f>MIN(IF(VLOOKUP($Q38,武学奇术!$A:$ZZ,23,FALSE)=1,100%,$B$8),100%)</f>
        <v>0.9712</v>
      </c>
      <c r="BJ38" s="30" cm="1">
        <f t="array" ref="BJ38">IF(VLOOKUP($Q38,武学奇术!$A:$ZZ,23,FALSE)=1,100%,MIN(80%,$B$9+VLOOKUP($Q38,武学奇术!$A:$ZZ,17,FALSE)+SUM(_xlfn.XLOOKUP(R38:AF38,增益!$A:$A,增益!$Q:$Q,0)))+$B$11+SUM(_xlfn.XLOOKUP(R38:AF38,增益!$A:$A,增益!$U:$U,0)))*IF(VLOOKUP($Q38,武学奇术!$A:$ZZ,24,FALSE)=1,0,1)</f>
        <v>0.8773</v>
      </c>
      <c r="BK38" s="30" cm="1">
        <f t="array" ref="BK38">1+$B$13+VLOOKUP($Q38,武学奇术!$A:$ZZ,18,FALSE)+SUM(_xlfn.XLOOKUP(R38:AF38,增益!$A:$A,增益!$R:$R,0))</f>
        <v>1.83</v>
      </c>
      <c r="BL38" s="30" cm="1">
        <f t="array" ref="BL38">IF(VLOOKUP($Q38,武学奇术!$A:$ZZ,24,FALSE)=1,100%,MIN(40%,$B$10+VLOOKUP($Q38,武学奇术!$A:$ZZ,19,FALSE)+SUM(_xlfn.XLOOKUP(R38:AF38,增益!$A:$A,增益!$S:$S,0)))+$B$12+SUM(_xlfn.XLOOKUP(R38:AF38,增益!$A:$A,增益!$V:$V,0)))*IF(VLOOKUP($Q38,武学奇术!$A:$ZZ,23,FALSE)=1,0,1)</f>
        <v>0.0895</v>
      </c>
      <c r="BM38" s="30" cm="1">
        <f t="array" ref="BM38">1+$B$14+VLOOKUP($Q38,武学奇术!$A:$ZZ,20,FALSE)+SUM(_xlfn.XLOOKUP(R38:AF38,增益!$A:$A,增益!$T:$T,0))</f>
        <v>1.35</v>
      </c>
      <c r="BN38" s="30">
        <f t="shared" si="11"/>
        <v>0.85203376</v>
      </c>
      <c r="BO38" s="30">
        <f t="shared" si="17"/>
        <v>0.03224384</v>
      </c>
      <c r="BP38" s="30">
        <f>IF(VLOOKUP($Q38,武学奇术!$A:$ZZ,22,FALSE)=1,0,(1-$BI38))*(1-$BL38)</f>
        <v>0.0262224</v>
      </c>
      <c r="BQ38" s="30" cm="1">
        <f t="array" ref="BQ38">SUM(_xlfn.XLOOKUP(R38:AF38,增益!$A:$A,增益!$W:$W,0))+$I$5</f>
        <v>0.11</v>
      </c>
    </row>
    <row r="39" spans="1:69">
      <c r="A39" s="4" t="s">
        <v>150</v>
      </c>
      <c r="B39" s="4">
        <v>1</v>
      </c>
      <c r="E39" s="42"/>
      <c r="F39" s="4"/>
      <c r="K39" s="41">
        <f t="shared" si="12"/>
        <v>39182.1840562459</v>
      </c>
      <c r="L39" s="41">
        <f>((($AN39+$AO39)/2*$AH39+$AI39)*(1+$AP39)*(1+$AQ39)+(($AS39+$AT39)/2*IF($G$1="鸣金",$AJ39,$AH39)+IF($G$1="鸣金",$AK39*1.5,0))*(1+$AU39)*(1+$AV39)+(($AW39+$AX39)/2*IF($G$1="裂石",$AJ39,$AH39)+IF($G$1="裂石",$AK39*1.5,0))*(1+$AY39)*(1+$AZ39)+(($BA39+$BB39)/2*IF($G$1="牵丝",$AJ39,$AH39)+IF($G$1="牵丝",$AK39*1.5,0))*(1+$BC39)*(1+$BD39)+(($BE39+$BF39)/2*IF($G$1="破竹",$AJ39,$AH39)+IF($G$1="破竹",$AK39*1.5,0))*(1+$BG39)*(1+$BH39))*(1+$AL39)*$BK39*$P39*(1+IF(VLOOKUP($Q39,武学奇术!$A:$ZZ,30,FALSE)="回旋伞",$B$21,0))*(1+$BQ39)</f>
        <v>40936.5110490919</v>
      </c>
      <c r="M39" s="41">
        <f>(($AO39*$AH39+$AI39)*(1+$AP39)*(1+$AQ39)+($AT39*IF($G$1="鸣金",$AJ39,$AH39)+IF($G$1="鸣金",$AK39*1.5,0))*(1+$AU39)*(1+$AV39)+($AX39*IF($G$1="裂石",$AJ39,$AH39)+IF($G$1="裂石",$AK39*1.5,0))*(1+$AY39)*(1+$AZ39)+($BB39*IF($G$1="牵丝",$AJ39,$AH39)+IF($G$1="牵丝",$AK39*1.5,0))*(1+$BC39)*(1+$BD39)+($BF39*IF($G$1="破竹",$AJ39,$AH39)+IF($G$1="破竹",$AK39*1.5,0))*(1+$BG39)*(1+$BH39))*(1+$AL39)*$BM39*$P39*(1+IF(VLOOKUP($Q39,武学奇术!$A:$ZZ,30,FALSE)="回旋伞",$B$21,0))*(1+$BQ39)</f>
        <v>34368.9280844302</v>
      </c>
      <c r="N39" s="41">
        <f>((($AN39+$AO39)/2*$AH39+$AI39)*(1+$AP39)*(1+$AQ39)+(($AS39+$AT39)/2*IF($G$1="鸣金",$AJ39,$AH39)+IF($G$1="鸣金",$AK39*1.5,0))*(1+$AU39)*(1+$AV39)+(($AW39+$AX39)/2*IF($G$1="裂石",$AJ39,$AH39)+IF($G$1="裂石",$AK39*1.5,0))*(1+$AY39)*(1+$AZ39)+(($BA39+$BB39)/2*IF($G$1="牵丝",$AJ39,$AH39)+IF($G$1="牵丝",$AK39*1.5,0))*(1+$BC39)*(1+$BD39)+(($BE39+$BF39)/2*IF($G$1="破竹",$AJ39,$AH39)+IF($G$1="破竹",$AK39*1.5,0))*(1+$BG39)*(1+$BH39))*(1+$AL39)*$P39*(1+IF(VLOOKUP($Q39,武学奇术!$A:$ZZ,30,FALSE)="回旋伞",$B$21,0))*(1+$BQ39)</f>
        <v>22369.6781689027</v>
      </c>
      <c r="O39" s="41">
        <f>((($AN39*$AH39+$AI39)*(1+$AP39)*(1+$AQ39)+($AS39*IF($G$1="鸣金",$AJ39,$AH39)+IF($G$1="鸣金",$AK39*1.5,0))*(1+$AU39)*(1+$AV39)+($AW39*IF($G$1="裂石",$AJ39,$AH39)+IF($G$1="裂石",$AK39*1.5,0))*(1+$AY39)*(1+$AZ39)+($BA39*IF($G$1="牵丝",$AJ39,$AH39)+IF($G$1="牵丝",$AK39*1.5,0))*(1+$BC39)*(1+$BD39)+($BE39*IF($G$1="破竹",$AJ39,$AH39)+IF($G$1="破竹",$AK39*1.5,0))*(1+$BG39)*(1+$BH39))*(1+$AL39))*$P39*(1+IF(VLOOKUP($Q39,武学奇术!$A:$ZZ,30,FALSE)="回旋伞",$B$21,0))*(1+$BQ39)</f>
        <v>19280.8910900793</v>
      </c>
      <c r="P39" s="42">
        <v>2</v>
      </c>
      <c r="Q39" s="43" t="s">
        <v>120</v>
      </c>
      <c r="R39" s="43" t="s">
        <v>105</v>
      </c>
      <c r="S39" s="43" t="s">
        <v>91</v>
      </c>
      <c r="T39" s="43" t="s">
        <v>72</v>
      </c>
      <c r="U39" s="43" t="s">
        <v>71</v>
      </c>
      <c r="V39" s="43" t="s">
        <v>153</v>
      </c>
      <c r="W39" s="43" t="s">
        <v>95</v>
      </c>
      <c r="X39" s="43" t="s">
        <v>82</v>
      </c>
      <c r="Y39" s="43" t="s">
        <v>71</v>
      </c>
      <c r="Z39" s="43" t="s">
        <v>71</v>
      </c>
      <c r="AA39" s="43" t="s">
        <v>112</v>
      </c>
      <c r="AB39" s="43" t="s">
        <v>71</v>
      </c>
      <c r="AC39" s="43" t="s">
        <v>71</v>
      </c>
      <c r="AD39" s="43" t="s">
        <v>71</v>
      </c>
      <c r="AE39" s="43" t="s">
        <v>71</v>
      </c>
      <c r="AF39" s="43" t="s">
        <v>76</v>
      </c>
      <c r="AG39" t="str">
        <f>VLOOKUP($Q39,武学奇术!$A:$ZZ,25,FALSE)</f>
        <v>伞</v>
      </c>
      <c r="AH39" s="30">
        <f>VLOOKUP($Q39,武学奇术!$A:$ZZ,26,FALSE)</f>
        <v>0.54</v>
      </c>
      <c r="AI39" s="31">
        <f>VLOOKUP($Q39,武学奇术!$A:$ZZ,27,FALSE)*(1+IF(OR($AG39=$F$4,$AG39=$F$5),$B$22,0))</f>
        <v>0</v>
      </c>
      <c r="AJ39" s="30">
        <f>VLOOKUP($Q39,武学奇术!$A:$ZZ,28,FALSE)</f>
        <v>0.81</v>
      </c>
      <c r="AK39" s="31">
        <f>VLOOKUP($Q39,武学奇术!$A:$ZZ,29,FALSE)*(1+IF(OR($AG39=$F$4,$AG39=$F$5),$B$22,0))</f>
        <v>0</v>
      </c>
      <c r="AL39" s="30" cm="1">
        <f t="array" ref="AL39">$G$3+IFERROR(VLOOKUP($AG39,$F$4:$G$7,2,FALSE),0)+VLOOKUP($Q39,武学奇术!$A:$ZZ,2,FALSE)+SUM(_xlfn.XLOOKUP($R39:$AF39,增益!$A:$A,增益!$B:$B,0))</f>
        <v>0.8541</v>
      </c>
      <c r="AM39" s="30" cm="1">
        <f t="array" ref="AM39">VLOOKUP($Q39,武学奇术!$A:$ZZ,5,FALSE)+SUM(_xlfn.XLOOKUP($R39:$AF39,增益!$A:$A,增益!$E:$E,0))</f>
        <v>0</v>
      </c>
      <c r="AN39" cm="1">
        <f t="array" ref="AN39">$D$10*(1+$AM39)+VLOOKUP($Q39,武学奇术!$A:$ZZ,3,FALSE)+SUM(_xlfn.XLOOKUP($R39:$AF39,增益!$A:$A,增益!$C:$C,0))-$I$2</f>
        <v>3545.8</v>
      </c>
      <c r="AO39" cm="1">
        <f t="array" ref="AO39">$E$10*(1+$AM39)+VLOOKUP($Q39,武学奇术!$A:$ZZ,4,FALSE)+SUM(_xlfn.XLOOKUP($R39:$AF39,增益!$A:$A,增益!$D:$D,0))-$I$2</f>
        <v>3545.8</v>
      </c>
      <c r="AP39" s="35" cm="1">
        <f t="array" ref="AP39">IF($F$10-$I$3+VLOOKUP($Q39,武学奇术!$A:$ZZ,6,FALSE)+SUM(_xlfn.XLOOKUP(R39:AF39,增益!$A:$A,增益!$F:$F,0))&gt;0,($F$10-$I$3+VLOOKUP($Q39,武学奇术!$A:$ZZ,6,FALSE)+SUM(_xlfn.XLOOKUP(R39:AF39,增益!$A:$A,增益!$F:$F,0)))/200,($F$10-$I$3+VLOOKUP($Q39,武学奇术!$A:$ZZ,6,FALSE)+SUM(_xlfn.XLOOKUP(R39:AF39,增益!$A:$A,增益!$F:$F,0)))/100)</f>
        <v>0.3425</v>
      </c>
      <c r="AQ39" s="35" cm="1">
        <f t="array" ref="AQ39">$G$10+VLOOKUP($Q39,武学奇术!$A:$ZZ,7,FALSE)+SUM(_xlfn.XLOOKUP(R39:AF39,增益!$A:$A,增益!$G:$G,0))</f>
        <v>0.148</v>
      </c>
      <c r="AR39" s="30" cm="1">
        <f t="array" ref="AR39">VLOOKUP($Q39,武学奇术!$A:$ZZ,8,FALSE)+SUM(_xlfn.XLOOKUP(R39:AF39,增益!$A:$A,增益!$H:$H,0))</f>
        <v>0</v>
      </c>
      <c r="AS39">
        <f t="shared" si="0"/>
        <v>0</v>
      </c>
      <c r="AT39">
        <f t="shared" si="1"/>
        <v>0</v>
      </c>
      <c r="AU39" s="35" cm="1">
        <f t="array" ref="AU39">IF($F$11-$I$4+VLOOKUP($Q39,武学奇术!$A:$ZZ,9,FALSE)+SUM(_xlfn.XLOOKUP(R39:AF39,增益!$A:$A,增益!$I:$I,0))&gt;0,($F$11-$I$4+VLOOKUP($Q39,武学奇术!$A:$ZZ,9,FALSE)+SUM(_xlfn.XLOOKUP(R39:AF39,增益!$A:$A,增益!$I:$I,0)))/200,($F$11-$I$4+VLOOKUP($Q39,武学奇术!$A:$ZZ,9,FALSE)+SUM(_xlfn.XLOOKUP(R39:AF39,增益!$A:$A,增益!$I:$I,0)))/100)</f>
        <v>-0.14</v>
      </c>
      <c r="AV39" s="35" cm="1">
        <f t="array" ref="AV39">$G$11+VLOOKUP($Q39,武学奇术!$A:$ZZ,10,FALSE)+SUM(_xlfn.XLOOKUP(R39:AF39,增益!$A:$A,增益!$J:$J,0))</f>
        <v>0</v>
      </c>
      <c r="AW39">
        <f t="shared" si="2"/>
        <v>0</v>
      </c>
      <c r="AX39">
        <f t="shared" si="3"/>
        <v>0</v>
      </c>
      <c r="AY39" s="35" cm="1">
        <f t="array" ref="AY39">IF($F$12-$I$4+VLOOKUP($Q39,武学奇术!$A:$ZZ,11,FALSE)+SUM(_xlfn.XLOOKUP(R39:AF39,增益!$A:$A,增益!$K:$K,0))&gt;0,($F$12-$I$4+VLOOKUP($Q39,武学奇术!$A:$ZZ,11,FALSE)+SUM(_xlfn.XLOOKUP(R39:AF39,增益!$A:$A,增益!$K:$K,0)))/200,($F$12-$I$4+VLOOKUP($Q39,武学奇术!$A:$ZZ,11,FALSE)+SUM(_xlfn.XLOOKUP(R39:AF39,增益!$A:$A,增益!$K:$K,0)))/100)</f>
        <v>-0.14</v>
      </c>
      <c r="AZ39" s="35" cm="1">
        <f t="array" ref="AZ39">$G$12+VLOOKUP($Q39,武学奇术!$A:$ZZ,12,FALSE)+SUM(_xlfn.XLOOKUP(R39:AF39,增益!$A:$A,增益!$L:$L,0))</f>
        <v>0</v>
      </c>
      <c r="BA39">
        <f t="shared" si="13"/>
        <v>0</v>
      </c>
      <c r="BB39">
        <f t="shared" si="14"/>
        <v>0</v>
      </c>
      <c r="BC39" s="35" cm="1">
        <f t="array" ref="BC39">IF($F$13-$I$4+VLOOKUP($Q39,武学奇术!$A:$ZZ,13,FALSE)+SUM(_xlfn.XLOOKUP(R39:AF39,增益!$A:$A,增益!$M:$M,0))&gt;0,($F$13-$I$4+VLOOKUP($Q39,武学奇术!$A:$ZZ,13,FALSE)+SUM(_xlfn.XLOOKUP(R39:AF39,增益!$A:$A,增益!$K:$K,0)))/200,($F$13-$I$4+VLOOKUP($Q39,武学奇术!$A:$ZZ,13,FALSE)+SUM(_xlfn.XLOOKUP(R39:AF39,增益!$A:$A,增益!$M:$M,0)))/100)</f>
        <v>-0.14</v>
      </c>
      <c r="BD39" s="35" cm="1">
        <f t="array" ref="BD39">$G$13+VLOOKUP($Q39,武学奇术!$A:$ZZ,14,FALSE)+SUM(_xlfn.XLOOKUP(R39:AF39,增益!$A:$A,增益!$N:$N,0))</f>
        <v>0</v>
      </c>
      <c r="BE39">
        <f t="shared" si="15"/>
        <v>538</v>
      </c>
      <c r="BF39">
        <f t="shared" si="16"/>
        <v>1561.4</v>
      </c>
      <c r="BG39" s="35" cm="1">
        <f t="array" ref="BG39">IF($F$14-$I$4+VLOOKUP($Q39,武学奇术!$A:$ZZ,15,FALSE)+SUM(_xlfn.XLOOKUP(R39:AF39,增益!$A:$A,增益!$O:$O,0))&gt;0,($F$14-$I$4+VLOOKUP($Q39,武学奇术!$A:$ZZ,15,FALSE)+SUM(_xlfn.XLOOKUP(R39:AF39,增益!$A:$A,增益!$O:$O,0)))/200,($F$14-$I$4+VLOOKUP($Q39,武学奇术!$A:$ZZ,15,FALSE)+SUM(_xlfn.XLOOKUP(R39:AF39,增益!$A:$A,增益!$O:$O,0)))/100)</f>
        <v>0.08</v>
      </c>
      <c r="BH39" s="35" cm="1">
        <f t="array" ref="BH39">$G$14+VLOOKUP($Q39,武学奇术!$A:$ZZ,16,FALSE)+SUM(_xlfn.XLOOKUP(R39:AF39,增益!$A:$A,增益!$P:$P,0))</f>
        <v>0.27</v>
      </c>
      <c r="BI39" s="30">
        <f>MIN(IF(VLOOKUP($Q39,武学奇术!$A:$ZZ,23,FALSE)=1,100%,$B$8),100%)</f>
        <v>0.9712</v>
      </c>
      <c r="BJ39" s="30" cm="1">
        <f t="array" ref="BJ39">IF(VLOOKUP($Q39,武学奇术!$A:$ZZ,23,FALSE)=1,100%,MIN(80%,$B$9+VLOOKUP($Q39,武学奇术!$A:$ZZ,17,FALSE)+SUM(_xlfn.XLOOKUP(R39:AF39,增益!$A:$A,增益!$Q:$Q,0)))+$B$11+SUM(_xlfn.XLOOKUP(R39:AF39,增益!$A:$A,增益!$U:$U,0)))*IF(VLOOKUP($Q39,武学奇术!$A:$ZZ,24,FALSE)=1,0,1)</f>
        <v>0.8773</v>
      </c>
      <c r="BK39" s="30" cm="1">
        <f t="array" ref="BK39">1+$B$13+VLOOKUP($Q39,武学奇术!$A:$ZZ,18,FALSE)+SUM(_xlfn.XLOOKUP(R39:AF39,增益!$A:$A,增益!$R:$R,0))</f>
        <v>1.83</v>
      </c>
      <c r="BL39" s="30" cm="1">
        <f t="array" ref="BL39">IF(VLOOKUP($Q39,武学奇术!$A:$ZZ,24,FALSE)=1,100%,MIN(40%,$B$10+VLOOKUP($Q39,武学奇术!$A:$ZZ,19,FALSE)+SUM(_xlfn.XLOOKUP(R39:AF39,增益!$A:$A,增益!$S:$S,0)))+$B$12+SUM(_xlfn.XLOOKUP(R39:AF39,增益!$A:$A,增益!$V:$V,0)))*IF(VLOOKUP($Q39,武学奇术!$A:$ZZ,23,FALSE)=1,0,1)</f>
        <v>0.0895</v>
      </c>
      <c r="BM39" s="30" cm="1">
        <f t="array" ref="BM39">1+$B$14+VLOOKUP($Q39,武学奇术!$A:$ZZ,20,FALSE)+SUM(_xlfn.XLOOKUP(R39:AF39,增益!$A:$A,增益!$T:$T,0))</f>
        <v>1.35</v>
      </c>
      <c r="BN39" s="30">
        <f t="shared" si="11"/>
        <v>0.85203376</v>
      </c>
      <c r="BO39" s="30">
        <f t="shared" si="17"/>
        <v>0.03224384</v>
      </c>
      <c r="BP39" s="30">
        <f>IF(VLOOKUP($Q39,武学奇术!$A:$ZZ,22,FALSE)=1,0,(1-$BI39))*(1-$BL39)</f>
        <v>0.0262224</v>
      </c>
      <c r="BQ39" s="30" cm="1">
        <f t="array" ref="BQ39">SUM(_xlfn.XLOOKUP(R39:AF39,增益!$A:$A,增益!$W:$W,0))+$I$5</f>
        <v>0.11</v>
      </c>
    </row>
    <row r="40" spans="1:69">
      <c r="A40" s="4" t="s">
        <v>160</v>
      </c>
      <c r="B40" s="90">
        <v>0.1</v>
      </c>
      <c r="E40" s="42"/>
      <c r="K40" s="41">
        <f t="shared" si="12"/>
        <v>44643.344305589</v>
      </c>
      <c r="L40" s="41">
        <f>((($AN40+$AO40)/2*$AH40+$AI40)*(1+$AP40)*(1+$AQ40)+(($AS40+$AT40)/2*IF($G$1="鸣金",$AJ40,$AH40)+IF($G$1="鸣金",$AK40*1.5,0))*(1+$AU40)*(1+$AV40)+(($AW40+$AX40)/2*IF($G$1="裂石",$AJ40,$AH40)+IF($G$1="裂石",$AK40*1.5,0))*(1+$AY40)*(1+$AZ40)+(($BA40+$BB40)/2*IF($G$1="牵丝",$AJ40,$AH40)+IF($G$1="牵丝",$AK40*1.5,0))*(1+$BC40)*(1+$BD40)+(($BE40+$BF40)/2*IF($G$1="破竹",$AJ40,$AH40)+IF($G$1="破竹",$AK40*1.5,0))*(1+$BG40)*(1+$BH40))*(1+$AL40)*$BK40*$P40*(1+IF(VLOOKUP($Q40,武学奇术!$A:$ZZ,30,FALSE)="回旋伞",$B$21,0))*(1+$BQ40)</f>
        <v>44643.344305589</v>
      </c>
      <c r="M40" s="41">
        <f>(($AO40*$AH40+$AI40)*(1+$AP40)*(1+$AQ40)+($AT40*IF($G$1="鸣金",$AJ40,$AH40)+IF($G$1="鸣金",$AK40*1.5,0))*(1+$AU40)*(1+$AV40)+($AX40*IF($G$1="裂石",$AJ40,$AH40)+IF($G$1="裂石",$AK40*1.5,0))*(1+$AY40)*(1+$AZ40)+($BB40*IF($G$1="牵丝",$AJ40,$AH40)+IF($G$1="牵丝",$AK40*1.5,0))*(1+$BC40)*(1+$BD40)+($BF40*IF($G$1="破竹",$AJ40,$AH40)+IF($G$1="破竹",$AK40*1.5,0))*(1+$BG40)*(1+$BH40))*(1+$AL40)*$BM40*$P40*(1+IF(VLOOKUP($Q40,武学奇术!$A:$ZZ,30,FALSE)="回旋伞",$B$21,0))*(1+$BQ40)</f>
        <v>37032.0921121772</v>
      </c>
      <c r="N40" s="41">
        <f>((($AN40+$AO40)/2*$AH40+$AI40)*(1+$AP40)*(1+$AQ40)+(($AS40+$AT40)/2*IF($G$1="鸣金",$AJ40,$AH40)+IF($G$1="鸣金",$AK40*1.5,0))*(1+$AU40)*(1+$AV40)+(($AW40+$AX40)/2*IF($G$1="裂石",$AJ40,$AH40)+IF($G$1="裂石",$AK40*1.5,0))*(1+$AY40)*(1+$AZ40)+(($BA40+$BB40)/2*IF($G$1="牵丝",$AJ40,$AH40)+IF($G$1="牵丝",$AK40*1.5,0))*(1+$BC40)*(1+$BD40)+(($BE40+$BF40)/2*IF($G$1="破竹",$AJ40,$AH40)+IF($G$1="破竹",$AK40*1.5,0))*(1+$BG40)*(1+$BH40))*(1+$AL40)*$P40*(1+IF(VLOOKUP($Q40,武学奇术!$A:$ZZ,30,FALSE)="回旋伞",$B$21,0))*(1+$BQ40)</f>
        <v>24262.6871226027</v>
      </c>
      <c r="O40" s="41">
        <f>((($AN40*$AH40+$AI40)*(1+$AP40)*(1+$AQ40)+($AS40*IF($G$1="鸣金",$AJ40,$AH40)+IF($G$1="鸣金",$AK40*1.5,0))*(1+$AU40)*(1+$AV40)+($AW40*IF($G$1="裂石",$AJ40,$AH40)+IF($G$1="裂石",$AK40*1.5,0))*(1+$AY40)*(1+$AZ40)+($BA40*IF($G$1="牵丝",$AJ40,$AH40)+IF($G$1="牵丝",$AK40*1.5,0))*(1+$BC40)*(1+$BD40)+($BE40*IF($G$1="破竹",$AJ40,$AH40)+IF($G$1="破竹",$AK40*1.5,0))*(1+$BG40)*(1+$BH40))*(1+$AL40))*$P40*(1+IF(VLOOKUP($Q40,武学奇术!$A:$ZZ,30,FALSE)="回旋伞",$B$21,0))*(1+$BQ40)</f>
        <v>21094.1949028519</v>
      </c>
      <c r="P40" s="42">
        <v>2</v>
      </c>
      <c r="Q40" s="43" t="s">
        <v>130</v>
      </c>
      <c r="R40" s="43" t="s">
        <v>105</v>
      </c>
      <c r="S40" s="43" t="s">
        <v>91</v>
      </c>
      <c r="T40" s="43" t="s">
        <v>72</v>
      </c>
      <c r="U40" s="43" t="s">
        <v>71</v>
      </c>
      <c r="V40" s="43" t="s">
        <v>156</v>
      </c>
      <c r="W40" s="43" t="s">
        <v>95</v>
      </c>
      <c r="X40" s="43" t="s">
        <v>71</v>
      </c>
      <c r="Y40" s="43" t="s">
        <v>71</v>
      </c>
      <c r="Z40" s="43" t="s">
        <v>71</v>
      </c>
      <c r="AA40" s="43" t="s">
        <v>116</v>
      </c>
      <c r="AB40" s="43" t="s">
        <v>71</v>
      </c>
      <c r="AC40" s="43" t="s">
        <v>71</v>
      </c>
      <c r="AD40" s="43" t="s">
        <v>71</v>
      </c>
      <c r="AE40" s="43" t="s">
        <v>71</v>
      </c>
      <c r="AF40" s="43" t="s">
        <v>76</v>
      </c>
      <c r="AG40" t="str">
        <f>VLOOKUP($Q40,武学奇术!$A:$ZZ,25,FALSE)</f>
        <v>伞</v>
      </c>
      <c r="AH40" s="30">
        <f>VLOOKUP($Q40,武学奇术!$A:$ZZ,26,FALSE)</f>
        <v>0.54</v>
      </c>
      <c r="AI40" s="31">
        <f>VLOOKUP($Q40,武学奇术!$A:$ZZ,27,FALSE)*(1+IF(OR($AG40=$F$4,$AG40=$F$5),$B$22,0))</f>
        <v>0</v>
      </c>
      <c r="AJ40" s="30">
        <f>VLOOKUP($Q40,武学奇术!$A:$ZZ,28,FALSE)</f>
        <v>0.81</v>
      </c>
      <c r="AK40" s="31">
        <f>VLOOKUP($Q40,武学奇术!$A:$ZZ,29,FALSE)*(1+IF(OR($AG40=$F$4,$AG40=$F$5),$B$22,0))</f>
        <v>0</v>
      </c>
      <c r="AL40" s="30" cm="1">
        <f t="array" ref="AL40">$G$3+IFERROR(VLOOKUP($AG40,$F$4:$G$7,2,FALSE),0)+VLOOKUP($Q40,武学奇术!$A:$ZZ,2,FALSE)+SUM(_xlfn.XLOOKUP($R40:$AF40,增益!$A:$A,增益!$B:$B,0))</f>
        <v>1.0541</v>
      </c>
      <c r="AM40" s="30" cm="1">
        <f t="array" ref="AM40">VLOOKUP($Q40,武学奇术!$A:$ZZ,5,FALSE)+SUM(_xlfn.XLOOKUP($R40:$AF40,增益!$A:$A,增益!$E:$E,0))</f>
        <v>0</v>
      </c>
      <c r="AN40" cm="1">
        <f t="array" ref="AN40">$D$10*(1+$AM40)+VLOOKUP($Q40,武学奇术!$A:$ZZ,3,FALSE)+SUM(_xlfn.XLOOKUP($R40:$AF40,增益!$A:$A,增益!$C:$C,0))-$I$2</f>
        <v>3545.8</v>
      </c>
      <c r="AO40" cm="1">
        <f t="array" ref="AO40">$E$10*(1+$AM40)+VLOOKUP($Q40,武学奇术!$A:$ZZ,4,FALSE)+SUM(_xlfn.XLOOKUP($R40:$AF40,增益!$A:$A,增益!$D:$D,0))-$I$2</f>
        <v>3545.8</v>
      </c>
      <c r="AP40" s="35" cm="1">
        <f t="array" ref="AP40">IF($F$10-$I$3+VLOOKUP($Q40,武学奇术!$A:$ZZ,6,FALSE)+SUM(_xlfn.XLOOKUP(R40:AF40,增益!$A:$A,增益!$F:$F,0))&gt;0,($F$10-$I$3+VLOOKUP($Q40,武学奇术!$A:$ZZ,6,FALSE)+SUM(_xlfn.XLOOKUP(R40:AF40,增益!$A:$A,增益!$F:$F,0)))/200,($F$10-$I$3+VLOOKUP($Q40,武学奇术!$A:$ZZ,6,FALSE)+SUM(_xlfn.XLOOKUP(R40:AF40,增益!$A:$A,增益!$F:$F,0)))/100)</f>
        <v>0.3425</v>
      </c>
      <c r="AQ40" s="35" cm="1">
        <f t="array" ref="AQ40">$G$10+VLOOKUP($Q40,武学奇术!$A:$ZZ,7,FALSE)+SUM(_xlfn.XLOOKUP(R40:AF40,增益!$A:$A,增益!$G:$G,0))</f>
        <v>0.148</v>
      </c>
      <c r="AR40" s="30" cm="1">
        <f t="array" ref="AR40">VLOOKUP($Q40,武学奇术!$A:$ZZ,8,FALSE)+SUM(_xlfn.XLOOKUP(R40:AF40,增益!$A:$A,增益!$H:$H,0))</f>
        <v>0</v>
      </c>
      <c r="AS40">
        <f t="shared" si="0"/>
        <v>0</v>
      </c>
      <c r="AT40">
        <f t="shared" si="1"/>
        <v>0</v>
      </c>
      <c r="AU40" s="35" cm="1">
        <f t="array" ref="AU40">IF($F$11-$I$4+VLOOKUP($Q40,武学奇术!$A:$ZZ,9,FALSE)+SUM(_xlfn.XLOOKUP(R40:AF40,增益!$A:$A,增益!$I:$I,0))&gt;0,($F$11-$I$4+VLOOKUP($Q40,武学奇术!$A:$ZZ,9,FALSE)+SUM(_xlfn.XLOOKUP(R40:AF40,增益!$A:$A,增益!$I:$I,0)))/200,($F$11-$I$4+VLOOKUP($Q40,武学奇术!$A:$ZZ,9,FALSE)+SUM(_xlfn.XLOOKUP(R40:AF40,增益!$A:$A,增益!$I:$I,0)))/100)</f>
        <v>-0.3</v>
      </c>
      <c r="AV40" s="35" cm="1">
        <f t="array" ref="AV40">$G$11+VLOOKUP($Q40,武学奇术!$A:$ZZ,10,FALSE)+SUM(_xlfn.XLOOKUP(R40:AF40,增益!$A:$A,增益!$J:$J,0))</f>
        <v>0</v>
      </c>
      <c r="AW40">
        <f t="shared" si="2"/>
        <v>0</v>
      </c>
      <c r="AX40">
        <f t="shared" si="3"/>
        <v>0</v>
      </c>
      <c r="AY40" s="35" cm="1">
        <f t="array" ref="AY40">IF($F$12-$I$4+VLOOKUP($Q40,武学奇术!$A:$ZZ,11,FALSE)+SUM(_xlfn.XLOOKUP(R40:AF40,增益!$A:$A,增益!$K:$K,0))&gt;0,($F$12-$I$4+VLOOKUP($Q40,武学奇术!$A:$ZZ,11,FALSE)+SUM(_xlfn.XLOOKUP(R40:AF40,增益!$A:$A,增益!$K:$K,0)))/200,($F$12-$I$4+VLOOKUP($Q40,武学奇术!$A:$ZZ,11,FALSE)+SUM(_xlfn.XLOOKUP(R40:AF40,增益!$A:$A,增益!$K:$K,0)))/100)</f>
        <v>-0.3</v>
      </c>
      <c r="AZ40" s="35" cm="1">
        <f t="array" ref="AZ40">$G$12+VLOOKUP($Q40,武学奇术!$A:$ZZ,12,FALSE)+SUM(_xlfn.XLOOKUP(R40:AF40,增益!$A:$A,增益!$L:$L,0))</f>
        <v>0</v>
      </c>
      <c r="BA40">
        <f t="shared" si="13"/>
        <v>0</v>
      </c>
      <c r="BB40">
        <f t="shared" si="14"/>
        <v>0</v>
      </c>
      <c r="BC40" s="35" cm="1">
        <f t="array" ref="BC40">IF($F$13-$I$4+VLOOKUP($Q40,武学奇术!$A:$ZZ,13,FALSE)+SUM(_xlfn.XLOOKUP(R40:AF40,增益!$A:$A,增益!$M:$M,0))&gt;0,($F$13-$I$4+VLOOKUP($Q40,武学奇术!$A:$ZZ,13,FALSE)+SUM(_xlfn.XLOOKUP(R40:AF40,增益!$A:$A,增益!$K:$K,0)))/200,($F$13-$I$4+VLOOKUP($Q40,武学奇术!$A:$ZZ,13,FALSE)+SUM(_xlfn.XLOOKUP(R40:AF40,增益!$A:$A,增益!$M:$M,0)))/100)</f>
        <v>-0.3</v>
      </c>
      <c r="BD40" s="35" cm="1">
        <f t="array" ref="BD40">$G$13+VLOOKUP($Q40,武学奇术!$A:$ZZ,14,FALSE)+SUM(_xlfn.XLOOKUP(R40:AF40,增益!$A:$A,增益!$N:$N,0))</f>
        <v>0</v>
      </c>
      <c r="BE40">
        <f t="shared" si="15"/>
        <v>538</v>
      </c>
      <c r="BF40">
        <f t="shared" si="16"/>
        <v>1561.4</v>
      </c>
      <c r="BG40" s="35" cm="1">
        <f t="array" ref="BG40">IF($F$14-$I$4+VLOOKUP($Q40,武学奇术!$A:$ZZ,15,FALSE)+SUM(_xlfn.XLOOKUP(R40:AF40,增益!$A:$A,增益!$O:$O,0))&gt;0,($F$14-$I$4+VLOOKUP($Q40,武学奇术!$A:$ZZ,15,FALSE)+SUM(_xlfn.XLOOKUP(R40:AF40,增益!$A:$A,增益!$O:$O,0)))/200,($F$14-$I$4+VLOOKUP($Q40,武学奇术!$A:$ZZ,15,FALSE)+SUM(_xlfn.XLOOKUP(R40:AF40,增益!$A:$A,增益!$O:$O,0)))/100)</f>
        <v>0</v>
      </c>
      <c r="BH40" s="35" cm="1">
        <f t="array" ref="BH40">$G$14+VLOOKUP($Q40,武学奇术!$A:$ZZ,16,FALSE)+SUM(_xlfn.XLOOKUP(R40:AF40,增益!$A:$A,增益!$P:$P,0))</f>
        <v>0.27</v>
      </c>
      <c r="BI40" s="30">
        <f>MIN(IF(VLOOKUP($Q40,武学奇术!$A:$ZZ,23,FALSE)=1,100%,$B$8),100%)</f>
        <v>1</v>
      </c>
      <c r="BJ40" s="30" cm="1">
        <f t="array" ref="BJ40">IF(VLOOKUP($Q40,武学奇术!$A:$ZZ,23,FALSE)=1,100%,MIN(80%,$B$9+VLOOKUP($Q40,武学奇术!$A:$ZZ,17,FALSE)+SUM(_xlfn.XLOOKUP(R40:AF40,增益!$A:$A,增益!$Q:$Q,0)))+$B$11+SUM(_xlfn.XLOOKUP(R40:AF40,增益!$A:$A,增益!$U:$U,0)))*IF(VLOOKUP($Q40,武学奇术!$A:$ZZ,24,FALSE)=1,0,1)</f>
        <v>1</v>
      </c>
      <c r="BK40" s="30" cm="1">
        <f t="array" ref="BK40">1+$B$13+VLOOKUP($Q40,武学奇术!$A:$ZZ,18,FALSE)+SUM(_xlfn.XLOOKUP(R40:AF40,增益!$A:$A,增益!$R:$R,0))</f>
        <v>1.84</v>
      </c>
      <c r="BL40" s="30" cm="1">
        <f t="array" ref="BL40">IF(VLOOKUP($Q40,武学奇术!$A:$ZZ,24,FALSE)=1,100%,MIN(40%,$B$10+VLOOKUP($Q40,武学奇术!$A:$ZZ,19,FALSE)+SUM(_xlfn.XLOOKUP(R40:AF40,增益!$A:$A,增益!$S:$S,0)))+$B$12+SUM(_xlfn.XLOOKUP(R40:AF40,增益!$A:$A,增益!$V:$V,0)))*IF(VLOOKUP($Q40,武学奇术!$A:$ZZ,23,FALSE)=1,0,1)</f>
        <v>0</v>
      </c>
      <c r="BM40" s="30" cm="1">
        <f t="array" ref="BM40">1+$B$14+VLOOKUP($Q40,武学奇术!$A:$ZZ,20,FALSE)+SUM(_xlfn.XLOOKUP(R40:AF40,增益!$A:$A,增益!$T:$T,0))</f>
        <v>1.35</v>
      </c>
      <c r="BN40" s="30">
        <f t="shared" si="11"/>
        <v>1</v>
      </c>
      <c r="BO40" s="30">
        <f t="shared" si="17"/>
        <v>0</v>
      </c>
      <c r="BP40" s="30">
        <f>IF(VLOOKUP($Q40,武学奇术!$A:$ZZ,22,FALSE)=1,0,(1-$BI40))*(1-$BL40)</f>
        <v>0</v>
      </c>
      <c r="BQ40" s="30" cm="1">
        <f t="array" ref="BQ40">SUM(_xlfn.XLOOKUP(R40:AF40,增益!$A:$A,增益!$W:$W,0))+$I$5</f>
        <v>0.11</v>
      </c>
    </row>
    <row r="41" spans="1:69">
      <c r="A41" s="4" t="s">
        <v>169</v>
      </c>
      <c r="B41" s="4">
        <v>3</v>
      </c>
      <c r="E41" s="42"/>
      <c r="K41" s="41">
        <f t="shared" si="12"/>
        <v>77062.3053079388</v>
      </c>
      <c r="L41" s="41">
        <f>((($AN41+$AO41)/2*$AH41+$AI41)*(1+$AP41)*(1+$AQ41)+(($AS41+$AT41)/2*IF($G$1="鸣金",$AJ41,$AH41)+IF($G$1="鸣金",$AK41*1.5,0))*(1+$AU41)*(1+$AV41)+(($AW41+$AX41)/2*IF($G$1="裂石",$AJ41,$AH41)+IF($G$1="裂石",$AK41*1.5,0))*(1+$AY41)*(1+$AZ41)+(($BA41+$BB41)/2*IF($G$1="牵丝",$AJ41,$AH41)+IF($G$1="牵丝",$AK41*1.5,0))*(1+$BC41)*(1+$BD41)+(($BE41+$BF41)/2*IF($G$1="破竹",$AJ41,$AH41)+IF($G$1="破竹",$AK41*1.5,0))*(1+$BG41)*(1+$BH41))*(1+$AL41)*$BK41*$P41*(1+IF(VLOOKUP($Q41,武学奇术!$A:$ZZ,30,FALSE)="回旋伞",$B$21,0))*(1+$BQ41)</f>
        <v>80593.1791801689</v>
      </c>
      <c r="M41" s="41">
        <f>(($AO41*$AH41+$AI41)*(1+$AP41)*(1+$AQ41)+($AT41*IF($G$1="鸣金",$AJ41,$AH41)+IF($G$1="鸣金",$AK41*1.5,0))*(1+$AU41)*(1+$AV41)+($AX41*IF($G$1="裂石",$AJ41,$AH41)+IF($G$1="裂石",$AK41*1.5,0))*(1+$AY41)*(1+$AZ41)+($BB41*IF($G$1="牵丝",$AJ41,$AH41)+IF($G$1="牵丝",$AK41*1.5,0))*(1+$BC41)*(1+$BD41)+($BF41*IF($G$1="破竹",$AJ41,$AH41)+IF($G$1="破竹",$AK41*1.5,0))*(1+$BG41)*(1+$BH41))*(1+$AL41)*$BM41*$P41*(1+IF(VLOOKUP($Q41,武学奇术!$A:$ZZ,30,FALSE)="回旋伞",$B$21,0))*(1+$BQ41)</f>
        <v>66852.8328564215</v>
      </c>
      <c r="N41" s="41">
        <f>((($AN41+$AO41)/2*$AH41+$AI41)*(1+$AP41)*(1+$AQ41)+(($AS41+$AT41)/2*IF($G$1="鸣金",$AJ41,$AH41)+IF($G$1="鸣金",$AK41*1.5,0))*(1+$AU41)*(1+$AV41)+(($AW41+$AX41)/2*IF($G$1="裂石",$AJ41,$AH41)+IF($G$1="裂石",$AK41*1.5,0))*(1+$AY41)*(1+$AZ41)+(($BA41+$BB41)/2*IF($G$1="牵丝",$AJ41,$AH41)+IF($G$1="牵丝",$AK41*1.5,0))*(1+$BC41)*(1+$BD41)+(($BE41+$BF41)/2*IF($G$1="破竹",$AJ41,$AH41)+IF($G$1="破竹",$AK41*1.5,0))*(1+$BG41)*(1+$BH41))*(1+$AL41)*$P41*(1+IF(VLOOKUP($Q41,武学奇术!$A:$ZZ,30,FALSE)="回旋伞",$B$21,0))*(1+$BQ41)</f>
        <v>43800.6408587875</v>
      </c>
      <c r="O41" s="41">
        <f>((($AN41*$AH41+$AI41)*(1+$AP41)*(1+$AQ41)+($AS41*IF($G$1="鸣金",$AJ41,$AH41)+IF($G$1="鸣金",$AK41*1.5,0))*(1+$AU41)*(1+$AV41)+($AW41*IF($G$1="裂石",$AJ41,$AH41)+IF($G$1="裂石",$AK41*1.5,0))*(1+$AY41)*(1+$AZ41)+($BA41*IF($G$1="牵丝",$AJ41,$AH41)+IF($G$1="牵丝",$AK41*1.5,0))*(1+$BC41)*(1+$BD41)+($BE41*IF($G$1="破竹",$AJ41,$AH41)+IF($G$1="破竹",$AK41*1.5,0))*(1+$BG41)*(1+$BH41))*(1+$AL41))*$P41*(1+IF(VLOOKUP($Q41,武学奇术!$A:$ZZ,30,FALSE)="回旋伞",$B$21,0))*(1+$BQ41)</f>
        <v>38080.6647868923</v>
      </c>
      <c r="P41" s="42">
        <v>4</v>
      </c>
      <c r="Q41" s="43" t="s">
        <v>120</v>
      </c>
      <c r="R41" s="43" t="s">
        <v>105</v>
      </c>
      <c r="S41" s="43" t="s">
        <v>91</v>
      </c>
      <c r="T41" s="43" t="s">
        <v>72</v>
      </c>
      <c r="U41" s="43" t="s">
        <v>71</v>
      </c>
      <c r="V41" s="43" t="s">
        <v>156</v>
      </c>
      <c r="W41" s="43" t="s">
        <v>95</v>
      </c>
      <c r="X41" s="43" t="s">
        <v>71</v>
      </c>
      <c r="Y41" s="43" t="s">
        <v>71</v>
      </c>
      <c r="Z41" s="43" t="s">
        <v>71</v>
      </c>
      <c r="AA41" s="43" t="s">
        <v>116</v>
      </c>
      <c r="AB41" s="43" t="s">
        <v>71</v>
      </c>
      <c r="AC41" s="43" t="s">
        <v>71</v>
      </c>
      <c r="AD41" s="43" t="s">
        <v>71</v>
      </c>
      <c r="AE41" s="43" t="s">
        <v>71</v>
      </c>
      <c r="AF41" s="43" t="s">
        <v>76</v>
      </c>
      <c r="AG41" t="str">
        <f>VLOOKUP($Q41,武学奇术!$A:$ZZ,25,FALSE)</f>
        <v>伞</v>
      </c>
      <c r="AH41" s="30">
        <f>VLOOKUP($Q41,武学奇术!$A:$ZZ,26,FALSE)</f>
        <v>0.54</v>
      </c>
      <c r="AI41" s="31">
        <f>VLOOKUP($Q41,武学奇术!$A:$ZZ,27,FALSE)*(1+IF(OR($AG41=$F$4,$AG41=$F$5),$B$22,0))</f>
        <v>0</v>
      </c>
      <c r="AJ41" s="30">
        <f>VLOOKUP($Q41,武学奇术!$A:$ZZ,28,FALSE)</f>
        <v>0.81</v>
      </c>
      <c r="AK41" s="31">
        <f>VLOOKUP($Q41,武学奇术!$A:$ZZ,29,FALSE)*(1+IF(OR($AG41=$F$4,$AG41=$F$5),$B$22,0))</f>
        <v>0</v>
      </c>
      <c r="AL41" s="30" cm="1">
        <f t="array" ref="AL41">$G$3+IFERROR(VLOOKUP($AG41,$F$4:$G$7,2,FALSE),0)+VLOOKUP($Q41,武学奇术!$A:$ZZ,2,FALSE)+SUM(_xlfn.XLOOKUP($R41:$AF41,增益!$A:$A,增益!$B:$B,0))</f>
        <v>0.8541</v>
      </c>
      <c r="AM41" s="30" cm="1">
        <f t="array" ref="AM41">VLOOKUP($Q41,武学奇术!$A:$ZZ,5,FALSE)+SUM(_xlfn.XLOOKUP($R41:$AF41,增益!$A:$A,增益!$E:$E,0))</f>
        <v>0</v>
      </c>
      <c r="AN41" cm="1">
        <f t="array" ref="AN41">$D$10*(1+$AM41)+VLOOKUP($Q41,武学奇术!$A:$ZZ,3,FALSE)+SUM(_xlfn.XLOOKUP($R41:$AF41,增益!$A:$A,增益!$C:$C,0))-$I$2</f>
        <v>3545.8</v>
      </c>
      <c r="AO41" cm="1">
        <f t="array" ref="AO41">$E$10*(1+$AM41)+VLOOKUP($Q41,武学奇术!$A:$ZZ,4,FALSE)+SUM(_xlfn.XLOOKUP($R41:$AF41,增益!$A:$A,增益!$D:$D,0))-$I$2</f>
        <v>3545.8</v>
      </c>
      <c r="AP41" s="35" cm="1">
        <f t="array" ref="AP41">IF($F$10-$I$3+VLOOKUP($Q41,武学奇术!$A:$ZZ,6,FALSE)+SUM(_xlfn.XLOOKUP(R41:AF41,增益!$A:$A,增益!$F:$F,0))&gt;0,($F$10-$I$3+VLOOKUP($Q41,武学奇术!$A:$ZZ,6,FALSE)+SUM(_xlfn.XLOOKUP(R41:AF41,增益!$A:$A,增益!$F:$F,0)))/200,($F$10-$I$3+VLOOKUP($Q41,武学奇术!$A:$ZZ,6,FALSE)+SUM(_xlfn.XLOOKUP(R41:AF41,增益!$A:$A,增益!$F:$F,0)))/100)</f>
        <v>0.3425</v>
      </c>
      <c r="AQ41" s="35" cm="1">
        <f t="array" ref="AQ41">$G$10+VLOOKUP($Q41,武学奇术!$A:$ZZ,7,FALSE)+SUM(_xlfn.XLOOKUP(R41:AF41,增益!$A:$A,增益!$G:$G,0))</f>
        <v>0.148</v>
      </c>
      <c r="AR41" s="30" cm="1">
        <f t="array" ref="AR41">VLOOKUP($Q41,武学奇术!$A:$ZZ,8,FALSE)+SUM(_xlfn.XLOOKUP(R41:AF41,增益!$A:$A,增益!$H:$H,0))</f>
        <v>0</v>
      </c>
      <c r="AS41">
        <f t="shared" si="0"/>
        <v>0</v>
      </c>
      <c r="AT41">
        <f t="shared" si="1"/>
        <v>0</v>
      </c>
      <c r="AU41" s="35" cm="1">
        <f t="array" ref="AU41">IF($F$11-$I$4+VLOOKUP($Q41,武学奇术!$A:$ZZ,9,FALSE)+SUM(_xlfn.XLOOKUP(R41:AF41,增益!$A:$A,增益!$I:$I,0))&gt;0,($F$11-$I$4+VLOOKUP($Q41,武学奇术!$A:$ZZ,9,FALSE)+SUM(_xlfn.XLOOKUP(R41:AF41,增益!$A:$A,增益!$I:$I,0)))/200,($F$11-$I$4+VLOOKUP($Q41,武学奇术!$A:$ZZ,9,FALSE)+SUM(_xlfn.XLOOKUP(R41:AF41,增益!$A:$A,增益!$I:$I,0)))/100)</f>
        <v>-0.3</v>
      </c>
      <c r="AV41" s="35" cm="1">
        <f t="array" ref="AV41">$G$11+VLOOKUP($Q41,武学奇术!$A:$ZZ,10,FALSE)+SUM(_xlfn.XLOOKUP(R41:AF41,增益!$A:$A,增益!$J:$J,0))</f>
        <v>0</v>
      </c>
      <c r="AW41">
        <f t="shared" si="2"/>
        <v>0</v>
      </c>
      <c r="AX41">
        <f t="shared" si="3"/>
        <v>0</v>
      </c>
      <c r="AY41" s="35" cm="1">
        <f t="array" ref="AY41">IF($F$12-$I$4+VLOOKUP($Q41,武学奇术!$A:$ZZ,11,FALSE)+SUM(_xlfn.XLOOKUP(R41:AF41,增益!$A:$A,增益!$K:$K,0))&gt;0,($F$12-$I$4+VLOOKUP($Q41,武学奇术!$A:$ZZ,11,FALSE)+SUM(_xlfn.XLOOKUP(R41:AF41,增益!$A:$A,增益!$K:$K,0)))/200,($F$12-$I$4+VLOOKUP($Q41,武学奇术!$A:$ZZ,11,FALSE)+SUM(_xlfn.XLOOKUP(R41:AF41,增益!$A:$A,增益!$K:$K,0)))/100)</f>
        <v>-0.3</v>
      </c>
      <c r="AZ41" s="35" cm="1">
        <f t="array" ref="AZ41">$G$12+VLOOKUP($Q41,武学奇术!$A:$ZZ,12,FALSE)+SUM(_xlfn.XLOOKUP(R41:AF41,增益!$A:$A,增益!$L:$L,0))</f>
        <v>0</v>
      </c>
      <c r="BA41">
        <f t="shared" si="13"/>
        <v>0</v>
      </c>
      <c r="BB41">
        <f t="shared" si="14"/>
        <v>0</v>
      </c>
      <c r="BC41" s="35" cm="1">
        <f t="array" ref="BC41">IF($F$13-$I$4+VLOOKUP($Q41,武学奇术!$A:$ZZ,13,FALSE)+SUM(_xlfn.XLOOKUP(R41:AF41,增益!$A:$A,增益!$M:$M,0))&gt;0,($F$13-$I$4+VLOOKUP($Q41,武学奇术!$A:$ZZ,13,FALSE)+SUM(_xlfn.XLOOKUP(R41:AF41,增益!$A:$A,增益!$K:$K,0)))/200,($F$13-$I$4+VLOOKUP($Q41,武学奇术!$A:$ZZ,13,FALSE)+SUM(_xlfn.XLOOKUP(R41:AF41,增益!$A:$A,增益!$M:$M,0)))/100)</f>
        <v>-0.3</v>
      </c>
      <c r="BD41" s="35" cm="1">
        <f t="array" ref="BD41">$G$13+VLOOKUP($Q41,武学奇术!$A:$ZZ,14,FALSE)+SUM(_xlfn.XLOOKUP(R41:AF41,增益!$A:$A,增益!$N:$N,0))</f>
        <v>0</v>
      </c>
      <c r="BE41">
        <f t="shared" si="15"/>
        <v>538</v>
      </c>
      <c r="BF41">
        <f t="shared" si="16"/>
        <v>1561.4</v>
      </c>
      <c r="BG41" s="35" cm="1">
        <f t="array" ref="BG41">IF($F$14-$I$4+VLOOKUP($Q41,武学奇术!$A:$ZZ,15,FALSE)+SUM(_xlfn.XLOOKUP(R41:AF41,增益!$A:$A,增益!$O:$O,0))&gt;0,($F$14-$I$4+VLOOKUP($Q41,武学奇术!$A:$ZZ,15,FALSE)+SUM(_xlfn.XLOOKUP(R41:AF41,增益!$A:$A,增益!$O:$O,0)))/200,($F$14-$I$4+VLOOKUP($Q41,武学奇术!$A:$ZZ,15,FALSE)+SUM(_xlfn.XLOOKUP(R41:AF41,增益!$A:$A,增益!$O:$O,0)))/100)</f>
        <v>0</v>
      </c>
      <c r="BH41" s="35" cm="1">
        <f t="array" ref="BH41">$G$14+VLOOKUP($Q41,武学奇术!$A:$ZZ,16,FALSE)+SUM(_xlfn.XLOOKUP(R41:AF41,增益!$A:$A,增益!$P:$P,0))</f>
        <v>0.27</v>
      </c>
      <c r="BI41" s="30">
        <f>MIN(IF(VLOOKUP($Q41,武学奇术!$A:$ZZ,23,FALSE)=1,100%,$B$8),100%)</f>
        <v>0.9712</v>
      </c>
      <c r="BJ41" s="30" cm="1">
        <f t="array" ref="BJ41">IF(VLOOKUP($Q41,武学奇术!$A:$ZZ,23,FALSE)=1,100%,MIN(80%,$B$9+VLOOKUP($Q41,武学奇术!$A:$ZZ,17,FALSE)+SUM(_xlfn.XLOOKUP(R41:AF41,增益!$A:$A,增益!$Q:$Q,0)))+$B$11+SUM(_xlfn.XLOOKUP(R41:AF41,增益!$A:$A,增益!$U:$U,0)))*IF(VLOOKUP($Q41,武学奇术!$A:$ZZ,24,FALSE)=1,0,1)</f>
        <v>0.8773</v>
      </c>
      <c r="BK41" s="30" cm="1">
        <f t="array" ref="BK41">1+$B$13+VLOOKUP($Q41,武学奇术!$A:$ZZ,18,FALSE)+SUM(_xlfn.XLOOKUP(R41:AF41,增益!$A:$A,增益!$R:$R,0))</f>
        <v>1.84</v>
      </c>
      <c r="BL41" s="30" cm="1">
        <f t="array" ref="BL41">IF(VLOOKUP($Q41,武学奇术!$A:$ZZ,24,FALSE)=1,100%,MIN(40%,$B$10+VLOOKUP($Q41,武学奇术!$A:$ZZ,19,FALSE)+SUM(_xlfn.XLOOKUP(R41:AF41,增益!$A:$A,增益!$S:$S,0)))+$B$12+SUM(_xlfn.XLOOKUP(R41:AF41,增益!$A:$A,增益!$V:$V,0)))*IF(VLOOKUP($Q41,武学奇术!$A:$ZZ,23,FALSE)=1,0,1)</f>
        <v>0.0895</v>
      </c>
      <c r="BM41" s="30" cm="1">
        <f t="array" ref="BM41">1+$B$14+VLOOKUP($Q41,武学奇术!$A:$ZZ,20,FALSE)+SUM(_xlfn.XLOOKUP(R41:AF41,增益!$A:$A,增益!$T:$T,0))</f>
        <v>1.35</v>
      </c>
      <c r="BN41" s="30">
        <f t="shared" si="11"/>
        <v>0.85203376</v>
      </c>
      <c r="BO41" s="30">
        <f t="shared" si="17"/>
        <v>0.03224384</v>
      </c>
      <c r="BP41" s="30">
        <f>IF(VLOOKUP($Q41,武学奇术!$A:$ZZ,22,FALSE)=1,0,(1-$BI41))*(1-$BL41)</f>
        <v>0.0262224</v>
      </c>
      <c r="BQ41" s="30" cm="1">
        <f t="array" ref="BQ41">SUM(_xlfn.XLOOKUP(R41:AF41,增益!$A:$A,增益!$W:$W,0))+$I$5</f>
        <v>0.11</v>
      </c>
    </row>
    <row r="42" spans="1:69">
      <c r="A42" s="4" t="s">
        <v>161</v>
      </c>
      <c r="B42" s="4">
        <v>5</v>
      </c>
      <c r="C42"/>
      <c r="G42">
        <v>20</v>
      </c>
      <c r="K42" s="41">
        <f t="shared" si="12"/>
        <v>44885.971176815</v>
      </c>
      <c r="L42" s="41">
        <f>((($AN42+$AO42)/2*$AH42+$AI42)*(1+$AP42)*(1+$AQ42)+(($AS42+$AT42)/2*IF($G$1="鸣金",$AJ42,$AH42)+IF($G$1="鸣金",$AK42*1.5,0))*(1+$AU42)*(1+$AV42)+(($AW42+$AX42)/2*IF($G$1="裂石",$AJ42,$AH42)+IF($G$1="裂石",$AK42*1.5,0))*(1+$AY42)*(1+$AZ42)+(($BA42+$BB42)/2*IF($G$1="牵丝",$AJ42,$AH42)+IF($G$1="牵丝",$AK42*1.5,0))*(1+$BC42)*(1+$BD42)+(($BE42+$BF42)/2*IF($G$1="破竹",$AJ42,$AH42)+IF($G$1="破竹",$AK42*1.5,0))*(1+$BG42)*(1+$BH42))*(1+$AL42)*$BK42*$P42*(1+IF(VLOOKUP($Q42,武学奇术!$A:$ZZ,30,FALSE)="回旋伞",$B$21,0))*(1+$BQ42)</f>
        <v>44885.971176815</v>
      </c>
      <c r="M42" s="41">
        <f>(($AO42*$AH42+$AI42)*(1+$AP42)*(1+$AQ42)+($AT42*IF($G$1="鸣金",$AJ42,$AH42)+IF($G$1="鸣金",$AK42*1.5,0))*(1+$AU42)*(1+$AV42)+($AX42*IF($G$1="裂石",$AJ42,$AH42)+IF($G$1="裂石",$AK42*1.5,0))*(1+$AY42)*(1+$AZ42)+($BB42*IF($G$1="牵丝",$AJ42,$AH42)+IF($G$1="牵丝",$AK42*1.5,0))*(1+$BC42)*(1+$BD42)+($BF42*IF($G$1="破竹",$AJ42,$AH42)+IF($G$1="破竹",$AK42*1.5,0))*(1+$BG42)*(1+$BH42))*(1+$AL42)*$BM42*$P42*(1+IF(VLOOKUP($Q42,武学奇术!$A:$ZZ,30,FALSE)="回旋伞",$B$21,0))*(1+$BQ42)</f>
        <v>37032.0921121772</v>
      </c>
      <c r="N42" s="41">
        <f>((($AN42+$AO42)/2*$AH42+$AI42)*(1+$AP42)*(1+$AQ42)+(($AS42+$AT42)/2*IF($G$1="鸣金",$AJ42,$AH42)+IF($G$1="鸣金",$AK42*1.5,0))*(1+$AU42)*(1+$AV42)+(($AW42+$AX42)/2*IF($G$1="裂石",$AJ42,$AH42)+IF($G$1="裂石",$AK42*1.5,0))*(1+$AY42)*(1+$AZ42)+(($BA42+$BB42)/2*IF($G$1="牵丝",$AJ42,$AH42)+IF($G$1="牵丝",$AK42*1.5,0))*(1+$BC42)*(1+$BD42)+(($BE42+$BF42)/2*IF($G$1="破竹",$AJ42,$AH42)+IF($G$1="破竹",$AK42*1.5,0))*(1+$BG42)*(1+$BH42))*(1+$AL42)*$P42*(1+IF(VLOOKUP($Q42,武学奇术!$A:$ZZ,30,FALSE)="回旋伞",$B$21,0))*(1+$BQ42)</f>
        <v>24262.6871226027</v>
      </c>
      <c r="O42" s="41">
        <f>((($AN42*$AH42+$AI42)*(1+$AP42)*(1+$AQ42)+($AS42*IF($G$1="鸣金",$AJ42,$AH42)+IF($G$1="鸣金",$AK42*1.5,0))*(1+$AU42)*(1+$AV42)+($AW42*IF($G$1="裂石",$AJ42,$AH42)+IF($G$1="裂石",$AK42*1.5,0))*(1+$AY42)*(1+$AZ42)+($BA42*IF($G$1="牵丝",$AJ42,$AH42)+IF($G$1="牵丝",$AK42*1.5,0))*(1+$BC42)*(1+$BD42)+($BE42*IF($G$1="破竹",$AJ42,$AH42)+IF($G$1="破竹",$AK42*1.5,0))*(1+$BG42)*(1+$BH42))*(1+$AL42))*$P42*(1+IF(VLOOKUP($Q42,武学奇术!$A:$ZZ,30,FALSE)="回旋伞",$B$21,0))*(1+$BQ42)</f>
        <v>21094.1949028519</v>
      </c>
      <c r="P42" s="42">
        <v>2</v>
      </c>
      <c r="Q42" s="43" t="s">
        <v>130</v>
      </c>
      <c r="R42" s="43" t="s">
        <v>105</v>
      </c>
      <c r="S42" s="43" t="s">
        <v>91</v>
      </c>
      <c r="T42" s="43" t="s">
        <v>72</v>
      </c>
      <c r="U42" s="43" t="s">
        <v>71</v>
      </c>
      <c r="V42" s="43" t="s">
        <v>159</v>
      </c>
      <c r="W42" s="43" t="s">
        <v>95</v>
      </c>
      <c r="X42" s="43" t="s">
        <v>71</v>
      </c>
      <c r="Y42" s="43" t="s">
        <v>71</v>
      </c>
      <c r="Z42" s="43" t="s">
        <v>71</v>
      </c>
      <c r="AA42" s="43" t="s">
        <v>116</v>
      </c>
      <c r="AB42" s="43" t="s">
        <v>71</v>
      </c>
      <c r="AC42" s="43" t="s">
        <v>71</v>
      </c>
      <c r="AD42" s="43" t="s">
        <v>71</v>
      </c>
      <c r="AE42" s="43" t="s">
        <v>71</v>
      </c>
      <c r="AF42" s="43" t="s">
        <v>76</v>
      </c>
      <c r="AG42" t="str">
        <f>VLOOKUP($Q42,武学奇术!$A:$ZZ,25,FALSE)</f>
        <v>伞</v>
      </c>
      <c r="AH42" s="30">
        <f>VLOOKUP($Q42,武学奇术!$A:$ZZ,26,FALSE)</f>
        <v>0.54</v>
      </c>
      <c r="AI42" s="31">
        <f>VLOOKUP($Q42,武学奇术!$A:$ZZ,27,FALSE)*(1+IF(OR($AG42=$F$4,$AG42=$F$5),$B$22,0))</f>
        <v>0</v>
      </c>
      <c r="AJ42" s="30">
        <f>VLOOKUP($Q42,武学奇术!$A:$ZZ,28,FALSE)</f>
        <v>0.81</v>
      </c>
      <c r="AK42" s="31">
        <f>VLOOKUP($Q42,武学奇术!$A:$ZZ,29,FALSE)*(1+IF(OR($AG42=$F$4,$AG42=$F$5),$B$22,0))</f>
        <v>0</v>
      </c>
      <c r="AL42" s="30" cm="1">
        <f t="array" ref="AL42">$G$3+IFERROR(VLOOKUP($AG42,$F$4:$G$7,2,FALSE),0)+VLOOKUP($Q42,武学奇术!$A:$ZZ,2,FALSE)+SUM(_xlfn.XLOOKUP($R42:$AF42,增益!$A:$A,增益!$B:$B,0))</f>
        <v>1.0541</v>
      </c>
      <c r="AM42" s="30" cm="1">
        <f t="array" ref="AM42">VLOOKUP($Q42,武学奇术!$A:$ZZ,5,FALSE)+SUM(_xlfn.XLOOKUP($R42:$AF42,增益!$A:$A,增益!$E:$E,0))</f>
        <v>0</v>
      </c>
      <c r="AN42" cm="1">
        <f t="array" ref="AN42">$D$10*(1+$AM42)+VLOOKUP($Q42,武学奇术!$A:$ZZ,3,FALSE)+SUM(_xlfn.XLOOKUP($R42:$AF42,增益!$A:$A,增益!$C:$C,0))-$I$2</f>
        <v>3545.8</v>
      </c>
      <c r="AO42" cm="1">
        <f t="array" ref="AO42">$E$10*(1+$AM42)+VLOOKUP($Q42,武学奇术!$A:$ZZ,4,FALSE)+SUM(_xlfn.XLOOKUP($R42:$AF42,增益!$A:$A,增益!$D:$D,0))-$I$2</f>
        <v>3545.8</v>
      </c>
      <c r="AP42" s="35" cm="1">
        <f t="array" ref="AP42">IF($F$10-$I$3+VLOOKUP($Q42,武学奇术!$A:$ZZ,6,FALSE)+SUM(_xlfn.XLOOKUP(R42:AF42,增益!$A:$A,增益!$F:$F,0))&gt;0,($F$10-$I$3+VLOOKUP($Q42,武学奇术!$A:$ZZ,6,FALSE)+SUM(_xlfn.XLOOKUP(R42:AF42,增益!$A:$A,增益!$F:$F,0)))/200,($F$10-$I$3+VLOOKUP($Q42,武学奇术!$A:$ZZ,6,FALSE)+SUM(_xlfn.XLOOKUP(R42:AF42,增益!$A:$A,增益!$F:$F,0)))/100)</f>
        <v>0.3425</v>
      </c>
      <c r="AQ42" s="35" cm="1">
        <f t="array" ref="AQ42">$G$10+VLOOKUP($Q42,武学奇术!$A:$ZZ,7,FALSE)+SUM(_xlfn.XLOOKUP(R42:AF42,增益!$A:$A,增益!$G:$G,0))</f>
        <v>0.148</v>
      </c>
      <c r="AR42" s="30" cm="1">
        <f t="array" ref="AR42">VLOOKUP($Q42,武学奇术!$A:$ZZ,8,FALSE)+SUM(_xlfn.XLOOKUP(R42:AF42,增益!$A:$A,增益!$H:$H,0))</f>
        <v>0</v>
      </c>
      <c r="AS42">
        <f t="shared" si="0"/>
        <v>0</v>
      </c>
      <c r="AT42">
        <f t="shared" si="1"/>
        <v>0</v>
      </c>
      <c r="AU42" s="35" cm="1">
        <f t="array" ref="AU42">IF($F$11-$I$4+VLOOKUP($Q42,武学奇术!$A:$ZZ,9,FALSE)+SUM(_xlfn.XLOOKUP(R42:AF42,增益!$A:$A,增益!$I:$I,0))&gt;0,($F$11-$I$4+VLOOKUP($Q42,武学奇术!$A:$ZZ,9,FALSE)+SUM(_xlfn.XLOOKUP(R42:AF42,增益!$A:$A,增益!$I:$I,0)))/200,($F$11-$I$4+VLOOKUP($Q42,武学奇术!$A:$ZZ,9,FALSE)+SUM(_xlfn.XLOOKUP(R42:AF42,增益!$A:$A,增益!$I:$I,0)))/100)</f>
        <v>-0.3</v>
      </c>
      <c r="AV42" s="35" cm="1">
        <f t="array" ref="AV42">$G$11+VLOOKUP($Q42,武学奇术!$A:$ZZ,10,FALSE)+SUM(_xlfn.XLOOKUP(R42:AF42,增益!$A:$A,增益!$J:$J,0))</f>
        <v>0</v>
      </c>
      <c r="AW42">
        <f t="shared" si="2"/>
        <v>0</v>
      </c>
      <c r="AX42">
        <f t="shared" si="3"/>
        <v>0</v>
      </c>
      <c r="AY42" s="35" cm="1">
        <f t="array" ref="AY42">IF($F$12-$I$4+VLOOKUP($Q42,武学奇术!$A:$ZZ,11,FALSE)+SUM(_xlfn.XLOOKUP(R42:AF42,增益!$A:$A,增益!$K:$K,0))&gt;0,($F$12-$I$4+VLOOKUP($Q42,武学奇术!$A:$ZZ,11,FALSE)+SUM(_xlfn.XLOOKUP(R42:AF42,增益!$A:$A,增益!$K:$K,0)))/200,($F$12-$I$4+VLOOKUP($Q42,武学奇术!$A:$ZZ,11,FALSE)+SUM(_xlfn.XLOOKUP(R42:AF42,增益!$A:$A,增益!$K:$K,0)))/100)</f>
        <v>-0.3</v>
      </c>
      <c r="AZ42" s="35" cm="1">
        <f t="array" ref="AZ42">$G$12+VLOOKUP($Q42,武学奇术!$A:$ZZ,12,FALSE)+SUM(_xlfn.XLOOKUP(R42:AF42,增益!$A:$A,增益!$L:$L,0))</f>
        <v>0</v>
      </c>
      <c r="BA42">
        <f t="shared" si="13"/>
        <v>0</v>
      </c>
      <c r="BB42">
        <f t="shared" si="14"/>
        <v>0</v>
      </c>
      <c r="BC42" s="35" cm="1">
        <f t="array" ref="BC42">IF($F$13-$I$4+VLOOKUP($Q42,武学奇术!$A:$ZZ,13,FALSE)+SUM(_xlfn.XLOOKUP(R42:AF42,增益!$A:$A,增益!$M:$M,0))&gt;0,($F$13-$I$4+VLOOKUP($Q42,武学奇术!$A:$ZZ,13,FALSE)+SUM(_xlfn.XLOOKUP(R42:AF42,增益!$A:$A,增益!$K:$K,0)))/200,($F$13-$I$4+VLOOKUP($Q42,武学奇术!$A:$ZZ,13,FALSE)+SUM(_xlfn.XLOOKUP(R42:AF42,增益!$A:$A,增益!$M:$M,0)))/100)</f>
        <v>-0.3</v>
      </c>
      <c r="BD42" s="35" cm="1">
        <f t="array" ref="BD42">$G$13+VLOOKUP($Q42,武学奇术!$A:$ZZ,14,FALSE)+SUM(_xlfn.XLOOKUP(R42:AF42,增益!$A:$A,增益!$N:$N,0))</f>
        <v>0</v>
      </c>
      <c r="BE42">
        <f t="shared" si="15"/>
        <v>538</v>
      </c>
      <c r="BF42">
        <f t="shared" si="16"/>
        <v>1561.4</v>
      </c>
      <c r="BG42" s="35" cm="1">
        <f t="array" ref="BG42">IF($F$14-$I$4+VLOOKUP($Q42,武学奇术!$A:$ZZ,15,FALSE)+SUM(_xlfn.XLOOKUP(R42:AF42,增益!$A:$A,增益!$O:$O,0))&gt;0,($F$14-$I$4+VLOOKUP($Q42,武学奇术!$A:$ZZ,15,FALSE)+SUM(_xlfn.XLOOKUP(R42:AF42,增益!$A:$A,增益!$O:$O,0)))/200,($F$14-$I$4+VLOOKUP($Q42,武学奇术!$A:$ZZ,15,FALSE)+SUM(_xlfn.XLOOKUP(R42:AF42,增益!$A:$A,增益!$O:$O,0)))/100)</f>
        <v>0</v>
      </c>
      <c r="BH42" s="35" cm="1">
        <f t="array" ref="BH42">$G$14+VLOOKUP($Q42,武学奇术!$A:$ZZ,16,FALSE)+SUM(_xlfn.XLOOKUP(R42:AF42,增益!$A:$A,增益!$P:$P,0))</f>
        <v>0.27</v>
      </c>
      <c r="BI42" s="30">
        <f>MIN(IF(VLOOKUP($Q42,武学奇术!$A:$ZZ,23,FALSE)=1,100%,$B$8),100%)</f>
        <v>1</v>
      </c>
      <c r="BJ42" s="30" cm="1">
        <f t="array" ref="BJ42">IF(VLOOKUP($Q42,武学奇术!$A:$ZZ,23,FALSE)=1,100%,MIN(80%,$B$9+VLOOKUP($Q42,武学奇术!$A:$ZZ,17,FALSE)+SUM(_xlfn.XLOOKUP(R42:AF42,增益!$A:$A,增益!$Q:$Q,0)))+$B$11+SUM(_xlfn.XLOOKUP(R42:AF42,增益!$A:$A,增益!$U:$U,0)))*IF(VLOOKUP($Q42,武学奇术!$A:$ZZ,24,FALSE)=1,0,1)</f>
        <v>1</v>
      </c>
      <c r="BK42" s="30" cm="1">
        <f t="array" ref="BK42">1+$B$13+VLOOKUP($Q42,武学奇术!$A:$ZZ,18,FALSE)+SUM(_xlfn.XLOOKUP(R42:AF42,增益!$A:$A,增益!$R:$R,0))</f>
        <v>1.85</v>
      </c>
      <c r="BL42" s="30" cm="1">
        <f t="array" ref="BL42">IF(VLOOKUP($Q42,武学奇术!$A:$ZZ,24,FALSE)=1,100%,MIN(40%,$B$10+VLOOKUP($Q42,武学奇术!$A:$ZZ,19,FALSE)+SUM(_xlfn.XLOOKUP(R42:AF42,增益!$A:$A,增益!$S:$S,0)))+$B$12+SUM(_xlfn.XLOOKUP(R42:AF42,增益!$A:$A,增益!$V:$V,0)))*IF(VLOOKUP($Q42,武学奇术!$A:$ZZ,23,FALSE)=1,0,1)</f>
        <v>0</v>
      </c>
      <c r="BM42" s="30" cm="1">
        <f t="array" ref="BM42">1+$B$14+VLOOKUP($Q42,武学奇术!$A:$ZZ,20,FALSE)+SUM(_xlfn.XLOOKUP(R42:AF42,增益!$A:$A,增益!$T:$T,0))</f>
        <v>1.35</v>
      </c>
      <c r="BN42" s="30">
        <f t="shared" si="11"/>
        <v>1</v>
      </c>
      <c r="BO42" s="30">
        <f t="shared" si="17"/>
        <v>0</v>
      </c>
      <c r="BP42" s="30">
        <f>IF(VLOOKUP($Q42,武学奇术!$A:$ZZ,22,FALSE)=1,0,(1-$BI42))*(1-$BL42)</f>
        <v>0</v>
      </c>
      <c r="BQ42" s="30" cm="1">
        <f t="array" ref="BQ42">SUM(_xlfn.XLOOKUP(R42:AF42,增益!$A:$A,增益!$W:$W,0))+$I$5</f>
        <v>0.11</v>
      </c>
    </row>
    <row r="43" spans="1:69">
      <c r="A43" s="4" t="s">
        <v>161</v>
      </c>
      <c r="B43" s="4">
        <v>4.5</v>
      </c>
      <c r="C43"/>
      <c r="E43" s="42" t="s">
        <v>162</v>
      </c>
      <c r="G43">
        <v>16</v>
      </c>
      <c r="K43" s="41">
        <f t="shared" si="12"/>
        <v>38717.750777576</v>
      </c>
      <c r="L43" s="41">
        <f>((($AN43+$AO43)/2*$AH43+$AI43)*(1+$AP43)*(1+$AQ43)+(($AS43+$AT43)/2*IF($G$1="鸣金",$AJ43,$AH43)+IF($G$1="鸣金",$AK43*1.5,0))*(1+$AU43)*(1+$AV43)+(($AW43+$AX43)/2*IF($G$1="裂石",$AJ43,$AH43)+IF($G$1="裂石",$AK43*1.5,0))*(1+$AY43)*(1+$AZ43)+(($BA43+$BB43)/2*IF($G$1="牵丝",$AJ43,$AH43)+IF($G$1="牵丝",$AK43*1.5,0))*(1+$BC43)*(1+$BD43)+(($BE43+$BF43)/2*IF($G$1="破竹",$AJ43,$AH43)+IF($G$1="破竹",$AK43*1.5,0))*(1+$BG43)*(1+$BH43))*(1+$AL43)*$BK43*$P43*(1+IF(VLOOKUP($Q43,武学奇术!$A:$ZZ,30,FALSE)="回旋伞",$B$21,0))*(1+$BQ43)</f>
        <v>40515.5927943784</v>
      </c>
      <c r="M43" s="41">
        <f>(($AO43*$AH43+$AI43)*(1+$AP43)*(1+$AQ43)+($AT43*IF($G$1="鸣金",$AJ43,$AH43)+IF($G$1="鸣金",$AK43*1.5,0))*(1+$AU43)*(1+$AV43)+($AX43*IF($G$1="裂石",$AJ43,$AH43)+IF($G$1="裂石",$AK43*1.5,0))*(1+$AY43)*(1+$AZ43)+($BB43*IF($G$1="牵丝",$AJ43,$AH43)+IF($G$1="牵丝",$AK43*1.5,0))*(1+$BC43)*(1+$BD43)+($BF43*IF($G$1="破竹",$AJ43,$AH43)+IF($G$1="破竹",$AK43*1.5,0))*(1+$BG43)*(1+$BH43))*(1+$AL43)*$BM43*$P43*(1+IF(VLOOKUP($Q43,武学奇术!$A:$ZZ,30,FALSE)="回旋伞",$B$21,0))*(1+$BQ43)</f>
        <v>33426.4164282108</v>
      </c>
      <c r="N43" s="41">
        <f>((($AN43+$AO43)/2*$AH43+$AI43)*(1+$AP43)*(1+$AQ43)+(($AS43+$AT43)/2*IF($G$1="鸣金",$AJ43,$AH43)+IF($G$1="鸣金",$AK43*1.5,0))*(1+$AU43)*(1+$AV43)+(($AW43+$AX43)/2*IF($G$1="裂石",$AJ43,$AH43)+IF($G$1="裂石",$AK43*1.5,0))*(1+$AY43)*(1+$AZ43)+(($BA43+$BB43)/2*IF($G$1="牵丝",$AJ43,$AH43)+IF($G$1="牵丝",$AK43*1.5,0))*(1+$BC43)*(1+$BD43)+(($BE43+$BF43)/2*IF($G$1="破竹",$AJ43,$AH43)+IF($G$1="破竹",$AK43*1.5,0))*(1+$BG43)*(1+$BH43))*(1+$AL43)*$P43*(1+IF(VLOOKUP($Q43,武学奇术!$A:$ZZ,30,FALSE)="回旋伞",$B$21,0))*(1+$BQ43)</f>
        <v>21900.3204293937</v>
      </c>
      <c r="O43" s="41">
        <f>((($AN43*$AH43+$AI43)*(1+$AP43)*(1+$AQ43)+($AS43*IF($G$1="鸣金",$AJ43,$AH43)+IF($G$1="鸣金",$AK43*1.5,0))*(1+$AU43)*(1+$AV43)+($AW43*IF($G$1="裂石",$AJ43,$AH43)+IF($G$1="裂石",$AK43*1.5,0))*(1+$AY43)*(1+$AZ43)+($BA43*IF($G$1="牵丝",$AJ43,$AH43)+IF($G$1="牵丝",$AK43*1.5,0))*(1+$BC43)*(1+$BD43)+($BE43*IF($G$1="破竹",$AJ43,$AH43)+IF($G$1="破竹",$AK43*1.5,0))*(1+$BG43)*(1+$BH43))*(1+$AL43))*$P43*(1+IF(VLOOKUP($Q43,武学奇术!$A:$ZZ,30,FALSE)="回旋伞",$B$21,0))*(1+$BQ43)</f>
        <v>19040.3323934462</v>
      </c>
      <c r="P43" s="42">
        <v>2</v>
      </c>
      <c r="Q43" s="43" t="s">
        <v>120</v>
      </c>
      <c r="R43" s="43" t="s">
        <v>105</v>
      </c>
      <c r="S43" s="43" t="s">
        <v>91</v>
      </c>
      <c r="T43" s="43" t="s">
        <v>72</v>
      </c>
      <c r="U43" s="43" t="s">
        <v>71</v>
      </c>
      <c r="V43" s="43" t="s">
        <v>159</v>
      </c>
      <c r="W43" s="43" t="s">
        <v>95</v>
      </c>
      <c r="X43" s="43" t="s">
        <v>71</v>
      </c>
      <c r="Y43" s="43" t="s">
        <v>71</v>
      </c>
      <c r="Z43" s="43" t="s">
        <v>71</v>
      </c>
      <c r="AA43" s="43" t="s">
        <v>116</v>
      </c>
      <c r="AB43" s="43" t="s">
        <v>71</v>
      </c>
      <c r="AC43" s="43" t="s">
        <v>71</v>
      </c>
      <c r="AD43" s="43" t="s">
        <v>71</v>
      </c>
      <c r="AE43" s="43" t="s">
        <v>71</v>
      </c>
      <c r="AF43" s="43" t="s">
        <v>76</v>
      </c>
      <c r="AG43" t="str">
        <f>VLOOKUP($Q43,武学奇术!$A:$ZZ,25,FALSE)</f>
        <v>伞</v>
      </c>
      <c r="AH43" s="30">
        <f>VLOOKUP($Q43,武学奇术!$A:$ZZ,26,FALSE)</f>
        <v>0.54</v>
      </c>
      <c r="AI43" s="31">
        <f>VLOOKUP($Q43,武学奇术!$A:$ZZ,27,FALSE)*(1+IF(OR($AG43=$F$4,$AG43=$F$5),$B$22,0))</f>
        <v>0</v>
      </c>
      <c r="AJ43" s="30">
        <f>VLOOKUP($Q43,武学奇术!$A:$ZZ,28,FALSE)</f>
        <v>0.81</v>
      </c>
      <c r="AK43" s="31">
        <f>VLOOKUP($Q43,武学奇术!$A:$ZZ,29,FALSE)*(1+IF(OR($AG43=$F$4,$AG43=$F$5),$B$22,0))</f>
        <v>0</v>
      </c>
      <c r="AL43" s="30" cm="1">
        <f t="array" ref="AL43">$G$3+IFERROR(VLOOKUP($AG43,$F$4:$G$7,2,FALSE),0)+VLOOKUP($Q43,武学奇术!$A:$ZZ,2,FALSE)+SUM(_xlfn.XLOOKUP($R43:$AF43,增益!$A:$A,增益!$B:$B,0))</f>
        <v>0.8541</v>
      </c>
      <c r="AM43" s="30" cm="1">
        <f t="array" ref="AM43">VLOOKUP($Q43,武学奇术!$A:$ZZ,5,FALSE)+SUM(_xlfn.XLOOKUP($R43:$AF43,增益!$A:$A,增益!$E:$E,0))</f>
        <v>0</v>
      </c>
      <c r="AN43" cm="1">
        <f t="array" ref="AN43">$D$10*(1+$AM43)+VLOOKUP($Q43,武学奇术!$A:$ZZ,3,FALSE)+SUM(_xlfn.XLOOKUP($R43:$AF43,增益!$A:$A,增益!$C:$C,0))-$I$2</f>
        <v>3545.8</v>
      </c>
      <c r="AO43" cm="1">
        <f t="array" ref="AO43">$E$10*(1+$AM43)+VLOOKUP($Q43,武学奇术!$A:$ZZ,4,FALSE)+SUM(_xlfn.XLOOKUP($R43:$AF43,增益!$A:$A,增益!$D:$D,0))-$I$2</f>
        <v>3545.8</v>
      </c>
      <c r="AP43" s="35" cm="1">
        <f t="array" ref="AP43">IF($F$10-$I$3+VLOOKUP($Q43,武学奇术!$A:$ZZ,6,FALSE)+SUM(_xlfn.XLOOKUP(R43:AF43,增益!$A:$A,增益!$F:$F,0))&gt;0,($F$10-$I$3+VLOOKUP($Q43,武学奇术!$A:$ZZ,6,FALSE)+SUM(_xlfn.XLOOKUP(R43:AF43,增益!$A:$A,增益!$F:$F,0)))/200,($F$10-$I$3+VLOOKUP($Q43,武学奇术!$A:$ZZ,6,FALSE)+SUM(_xlfn.XLOOKUP(R43:AF43,增益!$A:$A,增益!$F:$F,0)))/100)</f>
        <v>0.3425</v>
      </c>
      <c r="AQ43" s="35" cm="1">
        <f t="array" ref="AQ43">$G$10+VLOOKUP($Q43,武学奇术!$A:$ZZ,7,FALSE)+SUM(_xlfn.XLOOKUP(R43:AF43,增益!$A:$A,增益!$G:$G,0))</f>
        <v>0.148</v>
      </c>
      <c r="AR43" s="30" cm="1">
        <f t="array" ref="AR43">VLOOKUP($Q43,武学奇术!$A:$ZZ,8,FALSE)+SUM(_xlfn.XLOOKUP(R43:AF43,增益!$A:$A,增益!$H:$H,0))</f>
        <v>0</v>
      </c>
      <c r="AS43">
        <f t="shared" si="0"/>
        <v>0</v>
      </c>
      <c r="AT43">
        <f t="shared" si="1"/>
        <v>0</v>
      </c>
      <c r="AU43" s="35" cm="1">
        <f t="array" ref="AU43">IF($F$11-$I$4+VLOOKUP($Q43,武学奇术!$A:$ZZ,9,FALSE)+SUM(_xlfn.XLOOKUP(R43:AF43,增益!$A:$A,增益!$I:$I,0))&gt;0,($F$11-$I$4+VLOOKUP($Q43,武学奇术!$A:$ZZ,9,FALSE)+SUM(_xlfn.XLOOKUP(R43:AF43,增益!$A:$A,增益!$I:$I,0)))/200,($F$11-$I$4+VLOOKUP($Q43,武学奇术!$A:$ZZ,9,FALSE)+SUM(_xlfn.XLOOKUP(R43:AF43,增益!$A:$A,增益!$I:$I,0)))/100)</f>
        <v>-0.3</v>
      </c>
      <c r="AV43" s="35" cm="1">
        <f t="array" ref="AV43">$G$11+VLOOKUP($Q43,武学奇术!$A:$ZZ,10,FALSE)+SUM(_xlfn.XLOOKUP(R43:AF43,增益!$A:$A,增益!$J:$J,0))</f>
        <v>0</v>
      </c>
      <c r="AW43">
        <f t="shared" si="2"/>
        <v>0</v>
      </c>
      <c r="AX43">
        <f t="shared" si="3"/>
        <v>0</v>
      </c>
      <c r="AY43" s="35" cm="1">
        <f t="array" ref="AY43">IF($F$12-$I$4+VLOOKUP($Q43,武学奇术!$A:$ZZ,11,FALSE)+SUM(_xlfn.XLOOKUP(R43:AF43,增益!$A:$A,增益!$K:$K,0))&gt;0,($F$12-$I$4+VLOOKUP($Q43,武学奇术!$A:$ZZ,11,FALSE)+SUM(_xlfn.XLOOKUP(R43:AF43,增益!$A:$A,增益!$K:$K,0)))/200,($F$12-$I$4+VLOOKUP($Q43,武学奇术!$A:$ZZ,11,FALSE)+SUM(_xlfn.XLOOKUP(R43:AF43,增益!$A:$A,增益!$K:$K,0)))/100)</f>
        <v>-0.3</v>
      </c>
      <c r="AZ43" s="35" cm="1">
        <f t="array" ref="AZ43">$G$12+VLOOKUP($Q43,武学奇术!$A:$ZZ,12,FALSE)+SUM(_xlfn.XLOOKUP(R43:AF43,增益!$A:$A,增益!$L:$L,0))</f>
        <v>0</v>
      </c>
      <c r="BA43">
        <f t="shared" si="13"/>
        <v>0</v>
      </c>
      <c r="BB43">
        <f t="shared" si="14"/>
        <v>0</v>
      </c>
      <c r="BC43" s="35" cm="1">
        <f t="array" ref="BC43">IF($F$13-$I$4+VLOOKUP($Q43,武学奇术!$A:$ZZ,13,FALSE)+SUM(_xlfn.XLOOKUP(R43:AF43,增益!$A:$A,增益!$M:$M,0))&gt;0,($F$13-$I$4+VLOOKUP($Q43,武学奇术!$A:$ZZ,13,FALSE)+SUM(_xlfn.XLOOKUP(R43:AF43,增益!$A:$A,增益!$K:$K,0)))/200,($F$13-$I$4+VLOOKUP($Q43,武学奇术!$A:$ZZ,13,FALSE)+SUM(_xlfn.XLOOKUP(R43:AF43,增益!$A:$A,增益!$M:$M,0)))/100)</f>
        <v>-0.3</v>
      </c>
      <c r="BD43" s="35" cm="1">
        <f t="array" ref="BD43">$G$13+VLOOKUP($Q43,武学奇术!$A:$ZZ,14,FALSE)+SUM(_xlfn.XLOOKUP(R43:AF43,增益!$A:$A,增益!$N:$N,0))</f>
        <v>0</v>
      </c>
      <c r="BE43">
        <f t="shared" si="15"/>
        <v>538</v>
      </c>
      <c r="BF43">
        <f t="shared" si="16"/>
        <v>1561.4</v>
      </c>
      <c r="BG43" s="35" cm="1">
        <f t="array" ref="BG43">IF($F$14-$I$4+VLOOKUP($Q43,武学奇术!$A:$ZZ,15,FALSE)+SUM(_xlfn.XLOOKUP(R43:AF43,增益!$A:$A,增益!$O:$O,0))&gt;0,($F$14-$I$4+VLOOKUP($Q43,武学奇术!$A:$ZZ,15,FALSE)+SUM(_xlfn.XLOOKUP(R43:AF43,增益!$A:$A,增益!$O:$O,0)))/200,($F$14-$I$4+VLOOKUP($Q43,武学奇术!$A:$ZZ,15,FALSE)+SUM(_xlfn.XLOOKUP(R43:AF43,增益!$A:$A,增益!$O:$O,0)))/100)</f>
        <v>0</v>
      </c>
      <c r="BH43" s="35" cm="1">
        <f t="array" ref="BH43">$G$14+VLOOKUP($Q43,武学奇术!$A:$ZZ,16,FALSE)+SUM(_xlfn.XLOOKUP(R43:AF43,增益!$A:$A,增益!$P:$P,0))</f>
        <v>0.27</v>
      </c>
      <c r="BI43" s="30">
        <f>MIN(IF(VLOOKUP($Q43,武学奇术!$A:$ZZ,23,FALSE)=1,100%,$B$8),100%)</f>
        <v>0.9712</v>
      </c>
      <c r="BJ43" s="30" cm="1">
        <f t="array" ref="BJ43">IF(VLOOKUP($Q43,武学奇术!$A:$ZZ,23,FALSE)=1,100%,MIN(80%,$B$9+VLOOKUP($Q43,武学奇术!$A:$ZZ,17,FALSE)+SUM(_xlfn.XLOOKUP(R43:AF43,增益!$A:$A,增益!$Q:$Q,0)))+$B$11+SUM(_xlfn.XLOOKUP(R43:AF43,增益!$A:$A,增益!$U:$U,0)))*IF(VLOOKUP($Q43,武学奇术!$A:$ZZ,24,FALSE)=1,0,1)</f>
        <v>0.8773</v>
      </c>
      <c r="BK43" s="30" cm="1">
        <f t="array" ref="BK43">1+$B$13+VLOOKUP($Q43,武学奇术!$A:$ZZ,18,FALSE)+SUM(_xlfn.XLOOKUP(R43:AF43,增益!$A:$A,增益!$R:$R,0))</f>
        <v>1.85</v>
      </c>
      <c r="BL43" s="30" cm="1">
        <f t="array" ref="BL43">IF(VLOOKUP($Q43,武学奇术!$A:$ZZ,24,FALSE)=1,100%,MIN(40%,$B$10+VLOOKUP($Q43,武学奇术!$A:$ZZ,19,FALSE)+SUM(_xlfn.XLOOKUP(R43:AF43,增益!$A:$A,增益!$S:$S,0)))+$B$12+SUM(_xlfn.XLOOKUP(R43:AF43,增益!$A:$A,增益!$V:$V,0)))*IF(VLOOKUP($Q43,武学奇术!$A:$ZZ,23,FALSE)=1,0,1)</f>
        <v>0.0895</v>
      </c>
      <c r="BM43" s="30" cm="1">
        <f t="array" ref="BM43">1+$B$14+VLOOKUP($Q43,武学奇术!$A:$ZZ,20,FALSE)+SUM(_xlfn.XLOOKUP(R43:AF43,增益!$A:$A,增益!$T:$T,0))</f>
        <v>1.35</v>
      </c>
      <c r="BN43" s="30">
        <f t="shared" si="11"/>
        <v>0.85203376</v>
      </c>
      <c r="BO43" s="30">
        <f t="shared" si="17"/>
        <v>0.03224384</v>
      </c>
      <c r="BP43" s="30">
        <f>IF(VLOOKUP($Q43,武学奇术!$A:$ZZ,22,FALSE)=1,0,(1-$BI43))*(1-$BL43)</f>
        <v>0.0262224</v>
      </c>
      <c r="BQ43" s="30" cm="1">
        <f t="array" ref="BQ43">SUM(_xlfn.XLOOKUP(R43:AF43,增益!$A:$A,增益!$W:$W,0))+$I$5</f>
        <v>0.11</v>
      </c>
    </row>
    <row r="44" spans="1:69">
      <c r="A44" s="4" t="s">
        <v>160</v>
      </c>
      <c r="B44" s="90">
        <v>0.1</v>
      </c>
      <c r="C44"/>
      <c r="E44" s="42"/>
      <c r="K44" s="41">
        <f t="shared" si="12"/>
        <v>39563.3784762507</v>
      </c>
      <c r="L44" s="41">
        <f>((($AN44+$AO44)/2*$AH44+$AI44)*(1+$AP44)*(1+$AQ44)+(($AS44+$AT44)/2*IF($G$1="鸣金",$AJ44,$AH44)+IF($G$1="鸣金",$AK44*1.5,0))*(1+$AU44)*(1+$AV44)+(($AW44+$AX44)/2*IF($G$1="裂石",$AJ44,$AH44)+IF($G$1="裂石",$AK44*1.5,0))*(1+$AY44)*(1+$AZ44)+(($BA44+$BB44)/2*IF($G$1="牵丝",$AJ44,$AH44)+IF($G$1="牵丝",$AK44*1.5,0))*(1+$BC44)*(1+$BD44)+(($BE44+$BF44)/2*IF($G$1="破竹",$AJ44,$AH44)+IF($G$1="破竹",$AK44*1.5,0))*(1+$BG44)*(1+$BH44))*(1+$AL44)*$BK44*$P44*(1+IF(VLOOKUP($Q44,武学奇术!$A:$ZZ,30,FALSE)="回旋伞",$B$21,0))*(1+$BQ44)</f>
        <v>41383.90461247</v>
      </c>
      <c r="M44" s="41">
        <f>(($AO44*$AH44+$AI44)*(1+$AP44)*(1+$AQ44)+($AT44*IF($G$1="鸣金",$AJ44,$AH44)+IF($G$1="鸣金",$AK44*1.5,0))*(1+$AU44)*(1+$AV44)+($AX44*IF($G$1="裂石",$AJ44,$AH44)+IF($G$1="裂石",$AK44*1.5,0))*(1+$AY44)*(1+$AZ44)+($BB44*IF($G$1="牵丝",$AJ44,$AH44)+IF($G$1="牵丝",$AK44*1.5,0))*(1+$BC44)*(1+$BD44)+($BF44*IF($G$1="破竹",$AJ44,$AH44)+IF($G$1="破竹",$AK44*1.5,0))*(1+$BG44)*(1+$BH44))*(1+$AL44)*$BM44*$P44*(1+IF(VLOOKUP($Q44,武学奇术!$A:$ZZ,30,FALSE)="回旋伞",$B$21,0))*(1+$BQ44)</f>
        <v>34368.9280844302</v>
      </c>
      <c r="N44" s="41">
        <f>((($AN44+$AO44)/2*$AH44+$AI44)*(1+$AP44)*(1+$AQ44)+(($AS44+$AT44)/2*IF($G$1="鸣金",$AJ44,$AH44)+IF($G$1="鸣金",$AK44*1.5,0))*(1+$AU44)*(1+$AV44)+(($AW44+$AX44)/2*IF($G$1="裂石",$AJ44,$AH44)+IF($G$1="裂石",$AK44*1.5,0))*(1+$AY44)*(1+$AZ44)+(($BA44+$BB44)/2*IF($G$1="牵丝",$AJ44,$AH44)+IF($G$1="牵丝",$AK44*1.5,0))*(1+$BC44)*(1+$BD44)+(($BE44+$BF44)/2*IF($G$1="破竹",$AJ44,$AH44)+IF($G$1="破竹",$AK44*1.5,0))*(1+$BG44)*(1+$BH44))*(1+$AL44)*$P44*(1+IF(VLOOKUP($Q44,武学奇术!$A:$ZZ,30,FALSE)="回旋伞",$B$21,0))*(1+$BQ44)</f>
        <v>22369.6781689027</v>
      </c>
      <c r="O44" s="41">
        <f>((($AN44*$AH44+$AI44)*(1+$AP44)*(1+$AQ44)+($AS44*IF($G$1="鸣金",$AJ44,$AH44)+IF($G$1="鸣金",$AK44*1.5,0))*(1+$AU44)*(1+$AV44)+($AW44*IF($G$1="裂石",$AJ44,$AH44)+IF($G$1="裂石",$AK44*1.5,0))*(1+$AY44)*(1+$AZ44)+($BA44*IF($G$1="牵丝",$AJ44,$AH44)+IF($G$1="牵丝",$AK44*1.5,0))*(1+$BC44)*(1+$BD44)+($BE44*IF($G$1="破竹",$AJ44,$AH44)+IF($G$1="破竹",$AK44*1.5,0))*(1+$BG44)*(1+$BH44))*(1+$AL44))*$P44*(1+IF(VLOOKUP($Q44,武学奇术!$A:$ZZ,30,FALSE)="回旋伞",$B$21,0))*(1+$BQ44)</f>
        <v>19280.8910900793</v>
      </c>
      <c r="P44" s="42">
        <v>2</v>
      </c>
      <c r="Q44" s="43" t="s">
        <v>120</v>
      </c>
      <c r="R44" s="43" t="s">
        <v>105</v>
      </c>
      <c r="S44" s="43" t="s">
        <v>91</v>
      </c>
      <c r="T44" s="43" t="s">
        <v>72</v>
      </c>
      <c r="U44" s="43" t="s">
        <v>71</v>
      </c>
      <c r="V44" s="43" t="s">
        <v>159</v>
      </c>
      <c r="W44" s="43" t="s">
        <v>95</v>
      </c>
      <c r="X44" s="43" t="s">
        <v>82</v>
      </c>
      <c r="Y44" s="43" t="s">
        <v>71</v>
      </c>
      <c r="Z44" s="43" t="s">
        <v>71</v>
      </c>
      <c r="AA44" s="43" t="s">
        <v>116</v>
      </c>
      <c r="AB44" s="43" t="s">
        <v>71</v>
      </c>
      <c r="AC44" s="43" t="s">
        <v>71</v>
      </c>
      <c r="AD44" s="43" t="s">
        <v>71</v>
      </c>
      <c r="AE44" s="43" t="s">
        <v>71</v>
      </c>
      <c r="AF44" s="43" t="s">
        <v>76</v>
      </c>
      <c r="AG44" t="str">
        <f>VLOOKUP($Q44,武学奇术!$A:$ZZ,25,FALSE)</f>
        <v>伞</v>
      </c>
      <c r="AH44" s="30">
        <f>VLOOKUP($Q44,武学奇术!$A:$ZZ,26,FALSE)</f>
        <v>0.54</v>
      </c>
      <c r="AI44" s="31">
        <f>VLOOKUP($Q44,武学奇术!$A:$ZZ,27,FALSE)*(1+IF(OR($AG44=$F$4,$AG44=$F$5),$B$22,0))</f>
        <v>0</v>
      </c>
      <c r="AJ44" s="30">
        <f>VLOOKUP($Q44,武学奇术!$A:$ZZ,28,FALSE)</f>
        <v>0.81</v>
      </c>
      <c r="AK44" s="31">
        <f>VLOOKUP($Q44,武学奇术!$A:$ZZ,29,FALSE)*(1+IF(OR($AG44=$F$4,$AG44=$F$5),$B$22,0))</f>
        <v>0</v>
      </c>
      <c r="AL44" s="30" cm="1">
        <f t="array" ref="AL44">$G$3+IFERROR(VLOOKUP($AG44,$F$4:$G$7,2,FALSE),0)+VLOOKUP($Q44,武学奇术!$A:$ZZ,2,FALSE)+SUM(_xlfn.XLOOKUP($R44:$AF44,增益!$A:$A,增益!$B:$B,0))</f>
        <v>0.8541</v>
      </c>
      <c r="AM44" s="30" cm="1">
        <f t="array" ref="AM44">VLOOKUP($Q44,武学奇术!$A:$ZZ,5,FALSE)+SUM(_xlfn.XLOOKUP($R44:$AF44,增益!$A:$A,增益!$E:$E,0))</f>
        <v>0</v>
      </c>
      <c r="AN44" cm="1">
        <f t="array" ref="AN44">$D$10*(1+$AM44)+VLOOKUP($Q44,武学奇术!$A:$ZZ,3,FALSE)+SUM(_xlfn.XLOOKUP($R44:$AF44,增益!$A:$A,增益!$C:$C,0))-$I$2</f>
        <v>3545.8</v>
      </c>
      <c r="AO44" cm="1">
        <f t="array" ref="AO44">$E$10*(1+$AM44)+VLOOKUP($Q44,武学奇术!$A:$ZZ,4,FALSE)+SUM(_xlfn.XLOOKUP($R44:$AF44,增益!$A:$A,增益!$D:$D,0))-$I$2</f>
        <v>3545.8</v>
      </c>
      <c r="AP44" s="35" cm="1">
        <f t="array" ref="AP44">IF($F$10-$I$3+VLOOKUP($Q44,武学奇术!$A:$ZZ,6,FALSE)+SUM(_xlfn.XLOOKUP(R44:AF44,增益!$A:$A,增益!$F:$F,0))&gt;0,($F$10-$I$3+VLOOKUP($Q44,武学奇术!$A:$ZZ,6,FALSE)+SUM(_xlfn.XLOOKUP(R44:AF44,增益!$A:$A,增益!$F:$F,0)))/200,($F$10-$I$3+VLOOKUP($Q44,武学奇术!$A:$ZZ,6,FALSE)+SUM(_xlfn.XLOOKUP(R44:AF44,增益!$A:$A,增益!$F:$F,0)))/100)</f>
        <v>0.3425</v>
      </c>
      <c r="AQ44" s="35" cm="1">
        <f t="array" ref="AQ44">$G$10+VLOOKUP($Q44,武学奇术!$A:$ZZ,7,FALSE)+SUM(_xlfn.XLOOKUP(R44:AF44,增益!$A:$A,增益!$G:$G,0))</f>
        <v>0.148</v>
      </c>
      <c r="AR44" s="30" cm="1">
        <f t="array" ref="AR44">VLOOKUP($Q44,武学奇术!$A:$ZZ,8,FALSE)+SUM(_xlfn.XLOOKUP(R44:AF44,增益!$A:$A,增益!$H:$H,0))</f>
        <v>0</v>
      </c>
      <c r="AS44">
        <f t="shared" ref="AS44:AS60" si="18">$D$11*(1+$AR44)</f>
        <v>0</v>
      </c>
      <c r="AT44">
        <f t="shared" ref="AT44:AT60" si="19">$E$11*(1+$AR44)</f>
        <v>0</v>
      </c>
      <c r="AU44" s="35" cm="1">
        <f t="array" ref="AU44">IF($F$11-$I$4+VLOOKUP($Q44,武学奇术!$A:$ZZ,9,FALSE)+SUM(_xlfn.XLOOKUP(R44:AF44,增益!$A:$A,增益!$I:$I,0))&gt;0,($F$11-$I$4+VLOOKUP($Q44,武学奇术!$A:$ZZ,9,FALSE)+SUM(_xlfn.XLOOKUP(R44:AF44,增益!$A:$A,增益!$I:$I,0)))/200,($F$11-$I$4+VLOOKUP($Q44,武学奇术!$A:$ZZ,9,FALSE)+SUM(_xlfn.XLOOKUP(R44:AF44,增益!$A:$A,增益!$I:$I,0)))/100)</f>
        <v>-0.14</v>
      </c>
      <c r="AV44" s="35" cm="1">
        <f t="array" ref="AV44">$G$11+VLOOKUP($Q44,武学奇术!$A:$ZZ,10,FALSE)+SUM(_xlfn.XLOOKUP(R44:AF44,增益!$A:$A,增益!$J:$J,0))</f>
        <v>0</v>
      </c>
      <c r="AW44">
        <f t="shared" ref="AW44:AW60" si="20">$D$12*(1+$AR44)</f>
        <v>0</v>
      </c>
      <c r="AX44">
        <f t="shared" ref="AX44:AX60" si="21">$E$12*(1+$AR44)</f>
        <v>0</v>
      </c>
      <c r="AY44" s="35" cm="1">
        <f t="array" ref="AY44">IF($F$12-$I$4+VLOOKUP($Q44,武学奇术!$A:$ZZ,11,FALSE)+SUM(_xlfn.XLOOKUP(R44:AF44,增益!$A:$A,增益!$K:$K,0))&gt;0,($F$12-$I$4+VLOOKUP($Q44,武学奇术!$A:$ZZ,11,FALSE)+SUM(_xlfn.XLOOKUP(R44:AF44,增益!$A:$A,增益!$K:$K,0)))/200,($F$12-$I$4+VLOOKUP($Q44,武学奇术!$A:$ZZ,11,FALSE)+SUM(_xlfn.XLOOKUP(R44:AF44,增益!$A:$A,增益!$K:$K,0)))/100)</f>
        <v>-0.14</v>
      </c>
      <c r="AZ44" s="35" cm="1">
        <f t="array" ref="AZ44">$G$12+VLOOKUP($Q44,武学奇术!$A:$ZZ,12,FALSE)+SUM(_xlfn.XLOOKUP(R44:AF44,增益!$A:$A,增益!$L:$L,0))</f>
        <v>0</v>
      </c>
      <c r="BA44">
        <f t="shared" si="13"/>
        <v>0</v>
      </c>
      <c r="BB44">
        <f t="shared" si="14"/>
        <v>0</v>
      </c>
      <c r="BC44" s="35" cm="1">
        <f t="array" ref="BC44">IF($F$13-$I$4+VLOOKUP($Q44,武学奇术!$A:$ZZ,13,FALSE)+SUM(_xlfn.XLOOKUP(R44:AF44,增益!$A:$A,增益!$M:$M,0))&gt;0,($F$13-$I$4+VLOOKUP($Q44,武学奇术!$A:$ZZ,13,FALSE)+SUM(_xlfn.XLOOKUP(R44:AF44,增益!$A:$A,增益!$K:$K,0)))/200,($F$13-$I$4+VLOOKUP($Q44,武学奇术!$A:$ZZ,13,FALSE)+SUM(_xlfn.XLOOKUP(R44:AF44,增益!$A:$A,增益!$M:$M,0)))/100)</f>
        <v>-0.14</v>
      </c>
      <c r="BD44" s="35" cm="1">
        <f t="array" ref="BD44">$G$13+VLOOKUP($Q44,武学奇术!$A:$ZZ,14,FALSE)+SUM(_xlfn.XLOOKUP(R44:AF44,增益!$A:$A,增益!$N:$N,0))</f>
        <v>0</v>
      </c>
      <c r="BE44">
        <f t="shared" si="15"/>
        <v>538</v>
      </c>
      <c r="BF44">
        <f t="shared" si="16"/>
        <v>1561.4</v>
      </c>
      <c r="BG44" s="35" cm="1">
        <f t="array" ref="BG44">IF($F$14-$I$4+VLOOKUP($Q44,武学奇术!$A:$ZZ,15,FALSE)+SUM(_xlfn.XLOOKUP(R44:AF44,增益!$A:$A,增益!$O:$O,0))&gt;0,($F$14-$I$4+VLOOKUP($Q44,武学奇术!$A:$ZZ,15,FALSE)+SUM(_xlfn.XLOOKUP(R44:AF44,增益!$A:$A,增益!$O:$O,0)))/200,($F$14-$I$4+VLOOKUP($Q44,武学奇术!$A:$ZZ,15,FALSE)+SUM(_xlfn.XLOOKUP(R44:AF44,增益!$A:$A,增益!$O:$O,0)))/100)</f>
        <v>0.08</v>
      </c>
      <c r="BH44" s="35" cm="1">
        <f t="array" ref="BH44">$G$14+VLOOKUP($Q44,武学奇术!$A:$ZZ,16,FALSE)+SUM(_xlfn.XLOOKUP(R44:AF44,增益!$A:$A,增益!$P:$P,0))</f>
        <v>0.27</v>
      </c>
      <c r="BI44" s="30">
        <f>MIN(IF(VLOOKUP($Q44,武学奇术!$A:$ZZ,23,FALSE)=1,100%,$B$8),100%)</f>
        <v>0.9712</v>
      </c>
      <c r="BJ44" s="30" cm="1">
        <f t="array" ref="BJ44">IF(VLOOKUP($Q44,武学奇术!$A:$ZZ,23,FALSE)=1,100%,MIN(80%,$B$9+VLOOKUP($Q44,武学奇术!$A:$ZZ,17,FALSE)+SUM(_xlfn.XLOOKUP(R44:AF44,增益!$A:$A,增益!$Q:$Q,0)))+$B$11+SUM(_xlfn.XLOOKUP(R44:AF44,增益!$A:$A,增益!$U:$U,0)))*IF(VLOOKUP($Q44,武学奇术!$A:$ZZ,24,FALSE)=1,0,1)</f>
        <v>0.8773</v>
      </c>
      <c r="BK44" s="30" cm="1">
        <f t="array" ref="BK44">1+$B$13+VLOOKUP($Q44,武学奇术!$A:$ZZ,18,FALSE)+SUM(_xlfn.XLOOKUP(R44:AF44,增益!$A:$A,增益!$R:$R,0))</f>
        <v>1.85</v>
      </c>
      <c r="BL44" s="30" cm="1">
        <f t="array" ref="BL44">IF(VLOOKUP($Q44,武学奇术!$A:$ZZ,24,FALSE)=1,100%,MIN(40%,$B$10+VLOOKUP($Q44,武学奇术!$A:$ZZ,19,FALSE)+SUM(_xlfn.XLOOKUP(R44:AF44,增益!$A:$A,增益!$S:$S,0)))+$B$12+SUM(_xlfn.XLOOKUP(R44:AF44,增益!$A:$A,增益!$V:$V,0)))*IF(VLOOKUP($Q44,武学奇术!$A:$ZZ,23,FALSE)=1,0,1)</f>
        <v>0.0895</v>
      </c>
      <c r="BM44" s="30" cm="1">
        <f t="array" ref="BM44">1+$B$14+VLOOKUP($Q44,武学奇术!$A:$ZZ,20,FALSE)+SUM(_xlfn.XLOOKUP(R44:AF44,增益!$A:$A,增益!$T:$T,0))</f>
        <v>1.35</v>
      </c>
      <c r="BN44" s="30">
        <f t="shared" si="11"/>
        <v>0.85203376</v>
      </c>
      <c r="BO44" s="30">
        <f t="shared" si="17"/>
        <v>0.03224384</v>
      </c>
      <c r="BP44" s="30">
        <f>IF(VLOOKUP($Q44,武学奇术!$A:$ZZ,22,FALSE)=1,0,(1-$BI44))*(1-$BL44)</f>
        <v>0.0262224</v>
      </c>
      <c r="BQ44" s="30" cm="1">
        <f t="array" ref="BQ44">SUM(_xlfn.XLOOKUP(R44:AF44,增益!$A:$A,增益!$W:$W,0))+$I$5</f>
        <v>0.11</v>
      </c>
    </row>
    <row r="45" spans="1:69">
      <c r="A45" s="4" t="s">
        <v>150</v>
      </c>
      <c r="B45" s="4">
        <v>1</v>
      </c>
      <c r="C45"/>
      <c r="E45" s="42"/>
      <c r="K45" s="41">
        <f t="shared" si="12"/>
        <v>46095.7737035446</v>
      </c>
      <c r="L45" s="41">
        <f>((($AN45+$AO45)/2*$AH45+$AI45)*(1+$AP45)*(1+$AQ45)+(($AS45+$AT45)/2*IF($G$1="鸣金",$AJ45,$AH45)+IF($G$1="鸣金",$AK45*1.5,0))*(1+$AU45)*(1+$AV45)+(($AW45+$AX45)/2*IF($G$1="裂石",$AJ45,$AH45)+IF($G$1="裂石",$AK45*1.5,0))*(1+$AY45)*(1+$AZ45)+(($BA45+$BB45)/2*IF($G$1="牵丝",$AJ45,$AH45)+IF($G$1="牵丝",$AK45*1.5,0))*(1+$BC45)*(1+$BD45)+(($BE45+$BF45)/2*IF($G$1="破竹",$AJ45,$AH45)+IF($G$1="破竹",$AK45*1.5,0))*(1+$BG45)*(1+$BH45))*(1+$AL45)*$BK45*$P45*(1+IF(VLOOKUP($Q45,武学奇术!$A:$ZZ,30,FALSE)="回旋伞",$B$21,0))*(1+$BQ45)</f>
        <v>46095.7737035446</v>
      </c>
      <c r="M45" s="41">
        <f>(($AO45*$AH45+$AI45)*(1+$AP45)*(1+$AQ45)+($AT45*IF($G$1="鸣金",$AJ45,$AH45)+IF($G$1="鸣金",$AK45*1.5,0))*(1+$AU45)*(1+$AV45)+($AX45*IF($G$1="裂石",$AJ45,$AH45)+IF($G$1="裂石",$AK45*1.5,0))*(1+$AY45)*(1+$AZ45)+($BB45*IF($G$1="牵丝",$AJ45,$AH45)+IF($G$1="牵丝",$AK45*1.5,0))*(1+$BC45)*(1+$BD45)+($BF45*IF($G$1="破竹",$AJ45,$AH45)+IF($G$1="破竹",$AK45*1.5,0))*(1+$BG45)*(1+$BH45))*(1+$AL45)*$BM45*$P45*(1+IF(VLOOKUP($Q45,武学奇术!$A:$ZZ,30,FALSE)="回旋伞",$B$21,0))*(1+$BQ45)</f>
        <v>38076.2716025177</v>
      </c>
      <c r="N45" s="41">
        <f>((($AN45+$AO45)/2*$AH45+$AI45)*(1+$AP45)*(1+$AQ45)+(($AS45+$AT45)/2*IF($G$1="鸣金",$AJ45,$AH45)+IF($G$1="鸣金",$AK45*1.5,0))*(1+$AU45)*(1+$AV45)+(($AW45+$AX45)/2*IF($G$1="裂石",$AJ45,$AH45)+IF($G$1="裂石",$AK45*1.5,0))*(1+$AY45)*(1+$AZ45)+(($BA45+$BB45)/2*IF($G$1="牵丝",$AJ45,$AH45)+IF($G$1="牵丝",$AK45*1.5,0))*(1+$BC45)*(1+$BD45)+(($BE45+$BF45)/2*IF($G$1="破竹",$AJ45,$AH45)+IF($G$1="破竹",$AK45*1.5,0))*(1+$BG45)*(1+$BH45))*(1+$AL45)*$P45*(1+IF(VLOOKUP($Q45,武学奇术!$A:$ZZ,30,FALSE)="回旋伞",$B$21,0))*(1+$BQ45)</f>
        <v>24782.6740341638</v>
      </c>
      <c r="O45" s="41">
        <f>((($AN45*$AH45+$AI45)*(1+$AP45)*(1+$AQ45)+($AS45*IF($G$1="鸣金",$AJ45,$AH45)+IF($G$1="鸣金",$AK45*1.5,0))*(1+$AU45)*(1+$AV45)+($AW45*IF($G$1="裂石",$AJ45,$AH45)+IF($G$1="裂石",$AK45*1.5,0))*(1+$AY45)*(1+$AZ45)+($BA45*IF($G$1="牵丝",$AJ45,$AH45)+IF($G$1="牵丝",$AK45*1.5,0))*(1+$BC45)*(1+$BD45)+($BE45*IF($G$1="破竹",$AJ45,$AH45)+IF($G$1="破竹",$AK45*1.5,0))*(1+$BG45)*(1+$BH45))*(1+$AL45))*$P45*(1+IF(VLOOKUP($Q45,武学奇术!$A:$ZZ,30,FALSE)="回旋伞",$B$21,0))*(1+$BQ45)</f>
        <v>21360.7024368329</v>
      </c>
      <c r="P45" s="42">
        <v>2</v>
      </c>
      <c r="Q45" s="43" t="s">
        <v>130</v>
      </c>
      <c r="R45" s="43" t="s">
        <v>105</v>
      </c>
      <c r="S45" s="43" t="s">
        <v>91</v>
      </c>
      <c r="T45" s="43" t="s">
        <v>72</v>
      </c>
      <c r="U45" s="43" t="s">
        <v>71</v>
      </c>
      <c r="V45" s="43" t="s">
        <v>164</v>
      </c>
      <c r="W45" s="43" t="s">
        <v>95</v>
      </c>
      <c r="X45" s="43" t="s">
        <v>82</v>
      </c>
      <c r="Y45" s="43" t="s">
        <v>71</v>
      </c>
      <c r="Z45" s="43" t="s">
        <v>71</v>
      </c>
      <c r="AA45" s="43" t="s">
        <v>116</v>
      </c>
      <c r="AB45" s="43" t="s">
        <v>71</v>
      </c>
      <c r="AC45" s="43" t="s">
        <v>71</v>
      </c>
      <c r="AD45" s="43" t="s">
        <v>71</v>
      </c>
      <c r="AE45" s="43" t="s">
        <v>71</v>
      </c>
      <c r="AF45" s="43" t="s">
        <v>76</v>
      </c>
      <c r="AG45" t="str">
        <f>VLOOKUP($Q45,武学奇术!$A:$ZZ,25,FALSE)</f>
        <v>伞</v>
      </c>
      <c r="AH45" s="30">
        <f>VLOOKUP($Q45,武学奇术!$A:$ZZ,26,FALSE)</f>
        <v>0.54</v>
      </c>
      <c r="AI45" s="31">
        <f>VLOOKUP($Q45,武学奇术!$A:$ZZ,27,FALSE)*(1+IF(OR($AG45=$F$4,$AG45=$F$5),$B$22,0))</f>
        <v>0</v>
      </c>
      <c r="AJ45" s="30">
        <f>VLOOKUP($Q45,武学奇术!$A:$ZZ,28,FALSE)</f>
        <v>0.81</v>
      </c>
      <c r="AK45" s="31">
        <f>VLOOKUP($Q45,武学奇术!$A:$ZZ,29,FALSE)*(1+IF(OR($AG45=$F$4,$AG45=$F$5),$B$22,0))</f>
        <v>0</v>
      </c>
      <c r="AL45" s="30" cm="1">
        <f t="array" ref="AL45">$G$3+IFERROR(VLOOKUP($AG45,$F$4:$G$7,2,FALSE),0)+VLOOKUP($Q45,武学奇术!$A:$ZZ,2,FALSE)+SUM(_xlfn.XLOOKUP($R45:$AF45,增益!$A:$A,增益!$B:$B,0))</f>
        <v>1.0541</v>
      </c>
      <c r="AM45" s="30" cm="1">
        <f t="array" ref="AM45">VLOOKUP($Q45,武学奇术!$A:$ZZ,5,FALSE)+SUM(_xlfn.XLOOKUP($R45:$AF45,增益!$A:$A,增益!$E:$E,0))</f>
        <v>0</v>
      </c>
      <c r="AN45" cm="1">
        <f t="array" ref="AN45">$D$10*(1+$AM45)+VLOOKUP($Q45,武学奇术!$A:$ZZ,3,FALSE)+SUM(_xlfn.XLOOKUP($R45:$AF45,增益!$A:$A,增益!$C:$C,0))-$I$2</f>
        <v>3545.8</v>
      </c>
      <c r="AO45" cm="1">
        <f t="array" ref="AO45">$E$10*(1+$AM45)+VLOOKUP($Q45,武学奇术!$A:$ZZ,4,FALSE)+SUM(_xlfn.XLOOKUP($R45:$AF45,增益!$A:$A,增益!$D:$D,0))-$I$2</f>
        <v>3545.8</v>
      </c>
      <c r="AP45" s="35" cm="1">
        <f t="array" ref="AP45">IF($F$10-$I$3+VLOOKUP($Q45,武学奇术!$A:$ZZ,6,FALSE)+SUM(_xlfn.XLOOKUP(R45:AF45,增益!$A:$A,增益!$F:$F,0))&gt;0,($F$10-$I$3+VLOOKUP($Q45,武学奇术!$A:$ZZ,6,FALSE)+SUM(_xlfn.XLOOKUP(R45:AF45,增益!$A:$A,增益!$F:$F,0)))/200,($F$10-$I$3+VLOOKUP($Q45,武学奇术!$A:$ZZ,6,FALSE)+SUM(_xlfn.XLOOKUP(R45:AF45,增益!$A:$A,增益!$F:$F,0)))/100)</f>
        <v>0.3425</v>
      </c>
      <c r="AQ45" s="35" cm="1">
        <f t="array" ref="AQ45">$G$10+VLOOKUP($Q45,武学奇术!$A:$ZZ,7,FALSE)+SUM(_xlfn.XLOOKUP(R45:AF45,增益!$A:$A,增益!$G:$G,0))</f>
        <v>0.148</v>
      </c>
      <c r="AR45" s="30" cm="1">
        <f t="array" ref="AR45">VLOOKUP($Q45,武学奇术!$A:$ZZ,8,FALSE)+SUM(_xlfn.XLOOKUP(R45:AF45,增益!$A:$A,增益!$H:$H,0))</f>
        <v>0</v>
      </c>
      <c r="AS45">
        <f t="shared" si="18"/>
        <v>0</v>
      </c>
      <c r="AT45">
        <f t="shared" si="19"/>
        <v>0</v>
      </c>
      <c r="AU45" s="35" cm="1">
        <f t="array" ref="AU45">IF($F$11-$I$4+VLOOKUP($Q45,武学奇术!$A:$ZZ,9,FALSE)+SUM(_xlfn.XLOOKUP(R45:AF45,增益!$A:$A,增益!$I:$I,0))&gt;0,($F$11-$I$4+VLOOKUP($Q45,武学奇术!$A:$ZZ,9,FALSE)+SUM(_xlfn.XLOOKUP(R45:AF45,增益!$A:$A,增益!$I:$I,0)))/200,($F$11-$I$4+VLOOKUP($Q45,武学奇术!$A:$ZZ,9,FALSE)+SUM(_xlfn.XLOOKUP(R45:AF45,增益!$A:$A,增益!$I:$I,0)))/100)</f>
        <v>-0.14</v>
      </c>
      <c r="AV45" s="35" cm="1">
        <f t="array" ref="AV45">$G$11+VLOOKUP($Q45,武学奇术!$A:$ZZ,10,FALSE)+SUM(_xlfn.XLOOKUP(R45:AF45,增益!$A:$A,增益!$J:$J,0))</f>
        <v>0</v>
      </c>
      <c r="AW45">
        <f t="shared" si="20"/>
        <v>0</v>
      </c>
      <c r="AX45">
        <f t="shared" si="21"/>
        <v>0</v>
      </c>
      <c r="AY45" s="35" cm="1">
        <f t="array" ref="AY45">IF($F$12-$I$4+VLOOKUP($Q45,武学奇术!$A:$ZZ,11,FALSE)+SUM(_xlfn.XLOOKUP(R45:AF45,增益!$A:$A,增益!$K:$K,0))&gt;0,($F$12-$I$4+VLOOKUP($Q45,武学奇术!$A:$ZZ,11,FALSE)+SUM(_xlfn.XLOOKUP(R45:AF45,增益!$A:$A,增益!$K:$K,0)))/200,($F$12-$I$4+VLOOKUP($Q45,武学奇术!$A:$ZZ,11,FALSE)+SUM(_xlfn.XLOOKUP(R45:AF45,增益!$A:$A,增益!$K:$K,0)))/100)</f>
        <v>-0.14</v>
      </c>
      <c r="AZ45" s="35" cm="1">
        <f t="array" ref="AZ45">$G$12+VLOOKUP($Q45,武学奇术!$A:$ZZ,12,FALSE)+SUM(_xlfn.XLOOKUP(R45:AF45,增益!$A:$A,增益!$L:$L,0))</f>
        <v>0</v>
      </c>
      <c r="BA45">
        <f t="shared" si="13"/>
        <v>0</v>
      </c>
      <c r="BB45">
        <f t="shared" si="14"/>
        <v>0</v>
      </c>
      <c r="BC45" s="35" cm="1">
        <f t="array" ref="BC45">IF($F$13-$I$4+VLOOKUP($Q45,武学奇术!$A:$ZZ,13,FALSE)+SUM(_xlfn.XLOOKUP(R45:AF45,增益!$A:$A,增益!$M:$M,0))&gt;0,($F$13-$I$4+VLOOKUP($Q45,武学奇术!$A:$ZZ,13,FALSE)+SUM(_xlfn.XLOOKUP(R45:AF45,增益!$A:$A,增益!$K:$K,0)))/200,($F$13-$I$4+VLOOKUP($Q45,武学奇术!$A:$ZZ,13,FALSE)+SUM(_xlfn.XLOOKUP(R45:AF45,增益!$A:$A,增益!$M:$M,0)))/100)</f>
        <v>-0.14</v>
      </c>
      <c r="BD45" s="35" cm="1">
        <f t="array" ref="BD45">$G$13+VLOOKUP($Q45,武学奇术!$A:$ZZ,14,FALSE)+SUM(_xlfn.XLOOKUP(R45:AF45,增益!$A:$A,增益!$N:$N,0))</f>
        <v>0</v>
      </c>
      <c r="BE45">
        <f t="shared" si="15"/>
        <v>538</v>
      </c>
      <c r="BF45">
        <f t="shared" si="16"/>
        <v>1561.4</v>
      </c>
      <c r="BG45" s="35" cm="1">
        <f t="array" ref="BG45">IF($F$14-$I$4+VLOOKUP($Q45,武学奇术!$A:$ZZ,15,FALSE)+SUM(_xlfn.XLOOKUP(R45:AF45,增益!$A:$A,增益!$O:$O,0))&gt;0,($F$14-$I$4+VLOOKUP($Q45,武学奇术!$A:$ZZ,15,FALSE)+SUM(_xlfn.XLOOKUP(R45:AF45,增益!$A:$A,增益!$O:$O,0)))/200,($F$14-$I$4+VLOOKUP($Q45,武学奇术!$A:$ZZ,15,FALSE)+SUM(_xlfn.XLOOKUP(R45:AF45,增益!$A:$A,增益!$O:$O,0)))/100)</f>
        <v>0.08</v>
      </c>
      <c r="BH45" s="35" cm="1">
        <f t="array" ref="BH45">$G$14+VLOOKUP($Q45,武学奇术!$A:$ZZ,16,FALSE)+SUM(_xlfn.XLOOKUP(R45:AF45,增益!$A:$A,增益!$P:$P,0))</f>
        <v>0.27</v>
      </c>
      <c r="BI45" s="30">
        <f>MIN(IF(VLOOKUP($Q45,武学奇术!$A:$ZZ,23,FALSE)=1,100%,$B$8),100%)</f>
        <v>1</v>
      </c>
      <c r="BJ45" s="30" cm="1">
        <f t="array" ref="BJ45">IF(VLOOKUP($Q45,武学奇术!$A:$ZZ,23,FALSE)=1,100%,MIN(80%,$B$9+VLOOKUP($Q45,武学奇术!$A:$ZZ,17,FALSE)+SUM(_xlfn.XLOOKUP(R45:AF45,增益!$A:$A,增益!$Q:$Q,0)))+$B$11+SUM(_xlfn.XLOOKUP(R45:AF45,增益!$A:$A,增益!$U:$U,0)))*IF(VLOOKUP($Q45,武学奇术!$A:$ZZ,24,FALSE)=1,0,1)</f>
        <v>1</v>
      </c>
      <c r="BK45" s="30" cm="1">
        <f t="array" ref="BK45">1+$B$13+VLOOKUP($Q45,武学奇术!$A:$ZZ,18,FALSE)+SUM(_xlfn.XLOOKUP(R45:AF45,增益!$A:$A,增益!$R:$R,0))</f>
        <v>1.86</v>
      </c>
      <c r="BL45" s="30" cm="1">
        <f t="array" ref="BL45">IF(VLOOKUP($Q45,武学奇术!$A:$ZZ,24,FALSE)=1,100%,MIN(40%,$B$10+VLOOKUP($Q45,武学奇术!$A:$ZZ,19,FALSE)+SUM(_xlfn.XLOOKUP(R45:AF45,增益!$A:$A,增益!$S:$S,0)))+$B$12+SUM(_xlfn.XLOOKUP(R45:AF45,增益!$A:$A,增益!$V:$V,0)))*IF(VLOOKUP($Q45,武学奇术!$A:$ZZ,23,FALSE)=1,0,1)</f>
        <v>0</v>
      </c>
      <c r="BM45" s="30" cm="1">
        <f t="array" ref="BM45">1+$B$14+VLOOKUP($Q45,武学奇术!$A:$ZZ,20,FALSE)+SUM(_xlfn.XLOOKUP(R45:AF45,增益!$A:$A,增益!$T:$T,0))</f>
        <v>1.35</v>
      </c>
      <c r="BN45" s="30">
        <f t="shared" si="11"/>
        <v>1</v>
      </c>
      <c r="BO45" s="30">
        <f t="shared" si="17"/>
        <v>0</v>
      </c>
      <c r="BP45" s="30">
        <f>IF(VLOOKUP($Q45,武学奇术!$A:$ZZ,22,FALSE)=1,0,(1-$BI45))*(1-$BL45)</f>
        <v>0</v>
      </c>
      <c r="BQ45" s="30" cm="1">
        <f t="array" ref="BQ45">SUM(_xlfn.XLOOKUP(R45:AF45,增益!$A:$A,增益!$W:$W,0))+$I$5</f>
        <v>0.11</v>
      </c>
    </row>
    <row r="46" spans="1:69">
      <c r="A46" s="4" t="s">
        <v>160</v>
      </c>
      <c r="B46" s="90">
        <v>0.1</v>
      </c>
      <c r="C46"/>
      <c r="E46" s="42"/>
      <c r="K46" s="41">
        <f t="shared" si="12"/>
        <v>79507.9513725062</v>
      </c>
      <c r="L46" s="41">
        <f>((($AN46+$AO46)/2*$AH46+$AI46)*(1+$AP46)*(1+$AQ46)+(($AS46+$AT46)/2*IF($G$1="鸣金",$AJ46,$AH46)+IF($G$1="鸣金",$AK46*1.5,0))*(1+$AU46)*(1+$AV46)+(($AW46+$AX46)/2*IF($G$1="裂石",$AJ46,$AH46)+IF($G$1="裂石",$AK46*1.5,0))*(1+$AY46)*(1+$AZ46)+(($BA46+$BB46)/2*IF($G$1="牵丝",$AJ46,$AH46)+IF($G$1="牵丝",$AK46*1.5,0))*(1+$BC46)*(1+$BD46)+(($BE46+$BF46)/2*IF($G$1="破竹",$AJ46,$AH46)+IF($G$1="破竹",$AK46*1.5,0))*(1+$BG46)*(1+$BH46))*(1+$AL46)*$BK46*$P46*(1+IF(VLOOKUP($Q46,武学奇术!$A:$ZZ,30,FALSE)="回旋伞",$B$21,0))*(1+$BQ46)</f>
        <v>83215.202788318</v>
      </c>
      <c r="M46" s="41">
        <f>(($AO46*$AH46+$AI46)*(1+$AP46)*(1+$AQ46)+($AT46*IF($G$1="鸣金",$AJ46,$AH46)+IF($G$1="鸣金",$AK46*1.5,0))*(1+$AU46)*(1+$AV46)+($AX46*IF($G$1="裂石",$AJ46,$AH46)+IF($G$1="裂石",$AK46*1.5,0))*(1+$AY46)*(1+$AZ46)+($BB46*IF($G$1="牵丝",$AJ46,$AH46)+IF($G$1="牵丝",$AK46*1.5,0))*(1+$BC46)*(1+$BD46)+($BF46*IF($G$1="破竹",$AJ46,$AH46)+IF($G$1="破竹",$AK46*1.5,0))*(1+$BG46)*(1+$BH46))*(1+$AL46)*$BM46*$P46*(1+IF(VLOOKUP($Q46,武学奇术!$A:$ZZ,30,FALSE)="回旋伞",$B$21,0))*(1+$BQ46)</f>
        <v>68737.8561688604</v>
      </c>
      <c r="N46" s="41">
        <f>((($AN46+$AO46)/2*$AH46+$AI46)*(1+$AP46)*(1+$AQ46)+(($AS46+$AT46)/2*IF($G$1="鸣金",$AJ46,$AH46)+IF($G$1="鸣金",$AK46*1.5,0))*(1+$AU46)*(1+$AV46)+(($AW46+$AX46)/2*IF($G$1="裂石",$AJ46,$AH46)+IF($G$1="裂石",$AK46*1.5,0))*(1+$AY46)*(1+$AZ46)+(($BA46+$BB46)/2*IF($G$1="牵丝",$AJ46,$AH46)+IF($G$1="牵丝",$AK46*1.5,0))*(1+$BC46)*(1+$BD46)+(($BE46+$BF46)/2*IF($G$1="破竹",$AJ46,$AH46)+IF($G$1="破竹",$AK46*1.5,0))*(1+$BG46)*(1+$BH46))*(1+$AL46)*$P46*(1+IF(VLOOKUP($Q46,武学奇术!$A:$ZZ,30,FALSE)="回旋伞",$B$21,0))*(1+$BQ46)</f>
        <v>44739.3563378054</v>
      </c>
      <c r="O46" s="41">
        <f>((($AN46*$AH46+$AI46)*(1+$AP46)*(1+$AQ46)+($AS46*IF($G$1="鸣金",$AJ46,$AH46)+IF($G$1="鸣金",$AK46*1.5,0))*(1+$AU46)*(1+$AV46)+($AW46*IF($G$1="裂石",$AJ46,$AH46)+IF($G$1="裂石",$AK46*1.5,0))*(1+$AY46)*(1+$AZ46)+($BA46*IF($G$1="牵丝",$AJ46,$AH46)+IF($G$1="牵丝",$AK46*1.5,0))*(1+$BC46)*(1+$BD46)+($BE46*IF($G$1="破竹",$AJ46,$AH46)+IF($G$1="破竹",$AK46*1.5,0))*(1+$BG46)*(1+$BH46))*(1+$AL46))*$P46*(1+IF(VLOOKUP($Q46,武学奇术!$A:$ZZ,30,FALSE)="回旋伞",$B$21,0))*(1+$BQ46)</f>
        <v>38561.7821801586</v>
      </c>
      <c r="P46" s="42">
        <v>4</v>
      </c>
      <c r="Q46" s="43" t="s">
        <v>120</v>
      </c>
      <c r="R46" s="43" t="s">
        <v>105</v>
      </c>
      <c r="S46" s="43" t="s">
        <v>91</v>
      </c>
      <c r="T46" s="43" t="s">
        <v>72</v>
      </c>
      <c r="U46" s="43" t="s">
        <v>71</v>
      </c>
      <c r="V46" s="43" t="s">
        <v>164</v>
      </c>
      <c r="W46" s="43" t="s">
        <v>95</v>
      </c>
      <c r="X46" s="43" t="s">
        <v>82</v>
      </c>
      <c r="Y46" s="43" t="s">
        <v>71</v>
      </c>
      <c r="Z46" s="43" t="s">
        <v>71</v>
      </c>
      <c r="AA46" s="43" t="s">
        <v>116</v>
      </c>
      <c r="AB46" s="43" t="s">
        <v>71</v>
      </c>
      <c r="AC46" s="43" t="s">
        <v>71</v>
      </c>
      <c r="AD46" s="43" t="s">
        <v>71</v>
      </c>
      <c r="AE46" s="43" t="s">
        <v>71</v>
      </c>
      <c r="AF46" s="43" t="s">
        <v>76</v>
      </c>
      <c r="AG46" t="str">
        <f>VLOOKUP($Q46,武学奇术!$A:$ZZ,25,FALSE)</f>
        <v>伞</v>
      </c>
      <c r="AH46" s="30">
        <f>VLOOKUP($Q46,武学奇术!$A:$ZZ,26,FALSE)</f>
        <v>0.54</v>
      </c>
      <c r="AI46" s="31">
        <f>VLOOKUP($Q46,武学奇术!$A:$ZZ,27,FALSE)*(1+IF(OR($AG46=$F$4,$AG46=$F$5),$B$22,0))</f>
        <v>0</v>
      </c>
      <c r="AJ46" s="30">
        <f>VLOOKUP($Q46,武学奇术!$A:$ZZ,28,FALSE)</f>
        <v>0.81</v>
      </c>
      <c r="AK46" s="31">
        <f>VLOOKUP($Q46,武学奇术!$A:$ZZ,29,FALSE)*(1+IF(OR($AG46=$F$4,$AG46=$F$5),$B$22,0))</f>
        <v>0</v>
      </c>
      <c r="AL46" s="30" cm="1">
        <f t="array" ref="AL46">$G$3+IFERROR(VLOOKUP($AG46,$F$4:$G$7,2,FALSE),0)+VLOOKUP($Q46,武学奇术!$A:$ZZ,2,FALSE)+SUM(_xlfn.XLOOKUP($R46:$AF46,增益!$A:$A,增益!$B:$B,0))</f>
        <v>0.8541</v>
      </c>
      <c r="AM46" s="30" cm="1">
        <f t="array" ref="AM46">VLOOKUP($Q46,武学奇术!$A:$ZZ,5,FALSE)+SUM(_xlfn.XLOOKUP($R46:$AF46,增益!$A:$A,增益!$E:$E,0))</f>
        <v>0</v>
      </c>
      <c r="AN46" cm="1">
        <f t="array" ref="AN46">$D$10*(1+$AM46)+VLOOKUP($Q46,武学奇术!$A:$ZZ,3,FALSE)+SUM(_xlfn.XLOOKUP($R46:$AF46,增益!$A:$A,增益!$C:$C,0))-$I$2</f>
        <v>3545.8</v>
      </c>
      <c r="AO46" cm="1">
        <f t="array" ref="AO46">$E$10*(1+$AM46)+VLOOKUP($Q46,武学奇术!$A:$ZZ,4,FALSE)+SUM(_xlfn.XLOOKUP($R46:$AF46,增益!$A:$A,增益!$D:$D,0))-$I$2</f>
        <v>3545.8</v>
      </c>
      <c r="AP46" s="35" cm="1">
        <f t="array" ref="AP46">IF($F$10-$I$3+VLOOKUP($Q46,武学奇术!$A:$ZZ,6,FALSE)+SUM(_xlfn.XLOOKUP(R46:AF46,增益!$A:$A,增益!$F:$F,0))&gt;0,($F$10-$I$3+VLOOKUP($Q46,武学奇术!$A:$ZZ,6,FALSE)+SUM(_xlfn.XLOOKUP(R46:AF46,增益!$A:$A,增益!$F:$F,0)))/200,($F$10-$I$3+VLOOKUP($Q46,武学奇术!$A:$ZZ,6,FALSE)+SUM(_xlfn.XLOOKUP(R46:AF46,增益!$A:$A,增益!$F:$F,0)))/100)</f>
        <v>0.3425</v>
      </c>
      <c r="AQ46" s="35" cm="1">
        <f t="array" ref="AQ46">$G$10+VLOOKUP($Q46,武学奇术!$A:$ZZ,7,FALSE)+SUM(_xlfn.XLOOKUP(R46:AF46,增益!$A:$A,增益!$G:$G,0))</f>
        <v>0.148</v>
      </c>
      <c r="AR46" s="30" cm="1">
        <f t="array" ref="AR46">VLOOKUP($Q46,武学奇术!$A:$ZZ,8,FALSE)+SUM(_xlfn.XLOOKUP(R46:AF46,增益!$A:$A,增益!$H:$H,0))</f>
        <v>0</v>
      </c>
      <c r="AS46">
        <f t="shared" si="18"/>
        <v>0</v>
      </c>
      <c r="AT46">
        <f t="shared" si="19"/>
        <v>0</v>
      </c>
      <c r="AU46" s="35" cm="1">
        <f t="array" ref="AU46">IF($F$11-$I$4+VLOOKUP($Q46,武学奇术!$A:$ZZ,9,FALSE)+SUM(_xlfn.XLOOKUP(R46:AF46,增益!$A:$A,增益!$I:$I,0))&gt;0,($F$11-$I$4+VLOOKUP($Q46,武学奇术!$A:$ZZ,9,FALSE)+SUM(_xlfn.XLOOKUP(R46:AF46,增益!$A:$A,增益!$I:$I,0)))/200,($F$11-$I$4+VLOOKUP($Q46,武学奇术!$A:$ZZ,9,FALSE)+SUM(_xlfn.XLOOKUP(R46:AF46,增益!$A:$A,增益!$I:$I,0)))/100)</f>
        <v>-0.14</v>
      </c>
      <c r="AV46" s="35" cm="1">
        <f t="array" ref="AV46">$G$11+VLOOKUP($Q46,武学奇术!$A:$ZZ,10,FALSE)+SUM(_xlfn.XLOOKUP(R46:AF46,增益!$A:$A,增益!$J:$J,0))</f>
        <v>0</v>
      </c>
      <c r="AW46">
        <f t="shared" si="20"/>
        <v>0</v>
      </c>
      <c r="AX46">
        <f t="shared" si="21"/>
        <v>0</v>
      </c>
      <c r="AY46" s="35" cm="1">
        <f t="array" ref="AY46">IF($F$12-$I$4+VLOOKUP($Q46,武学奇术!$A:$ZZ,11,FALSE)+SUM(_xlfn.XLOOKUP(R46:AF46,增益!$A:$A,增益!$K:$K,0))&gt;0,($F$12-$I$4+VLOOKUP($Q46,武学奇术!$A:$ZZ,11,FALSE)+SUM(_xlfn.XLOOKUP(R46:AF46,增益!$A:$A,增益!$K:$K,0)))/200,($F$12-$I$4+VLOOKUP($Q46,武学奇术!$A:$ZZ,11,FALSE)+SUM(_xlfn.XLOOKUP(R46:AF46,增益!$A:$A,增益!$K:$K,0)))/100)</f>
        <v>-0.14</v>
      </c>
      <c r="AZ46" s="35" cm="1">
        <f t="array" ref="AZ46">$G$12+VLOOKUP($Q46,武学奇术!$A:$ZZ,12,FALSE)+SUM(_xlfn.XLOOKUP(R46:AF46,增益!$A:$A,增益!$L:$L,0))</f>
        <v>0</v>
      </c>
      <c r="BA46">
        <f t="shared" si="13"/>
        <v>0</v>
      </c>
      <c r="BB46">
        <f t="shared" si="14"/>
        <v>0</v>
      </c>
      <c r="BC46" s="35" cm="1">
        <f t="array" ref="BC46">IF($F$13-$I$4+VLOOKUP($Q46,武学奇术!$A:$ZZ,13,FALSE)+SUM(_xlfn.XLOOKUP(R46:AF46,增益!$A:$A,增益!$M:$M,0))&gt;0,($F$13-$I$4+VLOOKUP($Q46,武学奇术!$A:$ZZ,13,FALSE)+SUM(_xlfn.XLOOKUP(R46:AF46,增益!$A:$A,增益!$K:$K,0)))/200,($F$13-$I$4+VLOOKUP($Q46,武学奇术!$A:$ZZ,13,FALSE)+SUM(_xlfn.XLOOKUP(R46:AF46,增益!$A:$A,增益!$M:$M,0)))/100)</f>
        <v>-0.14</v>
      </c>
      <c r="BD46" s="35" cm="1">
        <f t="array" ref="BD46">$G$13+VLOOKUP($Q46,武学奇术!$A:$ZZ,14,FALSE)+SUM(_xlfn.XLOOKUP(R46:AF46,增益!$A:$A,增益!$N:$N,0))</f>
        <v>0</v>
      </c>
      <c r="BE46">
        <f t="shared" si="15"/>
        <v>538</v>
      </c>
      <c r="BF46">
        <f t="shared" si="16"/>
        <v>1561.4</v>
      </c>
      <c r="BG46" s="35" cm="1">
        <f t="array" ref="BG46">IF($F$14-$I$4+VLOOKUP($Q46,武学奇术!$A:$ZZ,15,FALSE)+SUM(_xlfn.XLOOKUP(R46:AF46,增益!$A:$A,增益!$O:$O,0))&gt;0,($F$14-$I$4+VLOOKUP($Q46,武学奇术!$A:$ZZ,15,FALSE)+SUM(_xlfn.XLOOKUP(R46:AF46,增益!$A:$A,增益!$O:$O,0)))/200,($F$14-$I$4+VLOOKUP($Q46,武学奇术!$A:$ZZ,15,FALSE)+SUM(_xlfn.XLOOKUP(R46:AF46,增益!$A:$A,增益!$O:$O,0)))/100)</f>
        <v>0.08</v>
      </c>
      <c r="BH46" s="35" cm="1">
        <f t="array" ref="BH46">$G$14+VLOOKUP($Q46,武学奇术!$A:$ZZ,16,FALSE)+SUM(_xlfn.XLOOKUP(R46:AF46,增益!$A:$A,增益!$P:$P,0))</f>
        <v>0.27</v>
      </c>
      <c r="BI46" s="30">
        <f>MIN(IF(VLOOKUP($Q46,武学奇术!$A:$ZZ,23,FALSE)=1,100%,$B$8),100%)</f>
        <v>0.9712</v>
      </c>
      <c r="BJ46" s="30" cm="1">
        <f t="array" ref="BJ46">IF(VLOOKUP($Q46,武学奇术!$A:$ZZ,23,FALSE)=1,100%,MIN(80%,$B$9+VLOOKUP($Q46,武学奇术!$A:$ZZ,17,FALSE)+SUM(_xlfn.XLOOKUP(R46:AF46,增益!$A:$A,增益!$Q:$Q,0)))+$B$11+SUM(_xlfn.XLOOKUP(R46:AF46,增益!$A:$A,增益!$U:$U,0)))*IF(VLOOKUP($Q46,武学奇术!$A:$ZZ,24,FALSE)=1,0,1)</f>
        <v>0.8773</v>
      </c>
      <c r="BK46" s="30" cm="1">
        <f t="array" ref="BK46">1+$B$13+VLOOKUP($Q46,武学奇术!$A:$ZZ,18,FALSE)+SUM(_xlfn.XLOOKUP(R46:AF46,增益!$A:$A,增益!$R:$R,0))</f>
        <v>1.86</v>
      </c>
      <c r="BL46" s="30" cm="1">
        <f t="array" ref="BL46">IF(VLOOKUP($Q46,武学奇术!$A:$ZZ,24,FALSE)=1,100%,MIN(40%,$B$10+VLOOKUP($Q46,武学奇术!$A:$ZZ,19,FALSE)+SUM(_xlfn.XLOOKUP(R46:AF46,增益!$A:$A,增益!$S:$S,0)))+$B$12+SUM(_xlfn.XLOOKUP(R46:AF46,增益!$A:$A,增益!$V:$V,0)))*IF(VLOOKUP($Q46,武学奇术!$A:$ZZ,23,FALSE)=1,0,1)</f>
        <v>0.0895</v>
      </c>
      <c r="BM46" s="30" cm="1">
        <f t="array" ref="BM46">1+$B$14+VLOOKUP($Q46,武学奇术!$A:$ZZ,20,FALSE)+SUM(_xlfn.XLOOKUP(R46:AF46,增益!$A:$A,增益!$T:$T,0))</f>
        <v>1.35</v>
      </c>
      <c r="BN46" s="30">
        <f t="shared" si="11"/>
        <v>0.85203376</v>
      </c>
      <c r="BO46" s="30">
        <f t="shared" si="17"/>
        <v>0.03224384</v>
      </c>
      <c r="BP46" s="30">
        <f>IF(VLOOKUP($Q46,武学奇术!$A:$ZZ,22,FALSE)=1,0,(1-$BI46))*(1-$BL46)</f>
        <v>0.0262224</v>
      </c>
      <c r="BQ46" s="30" cm="1">
        <f t="array" ref="BQ46">SUM(_xlfn.XLOOKUP(R46:AF46,增益!$A:$A,增益!$W:$W,0))+$I$5</f>
        <v>0.11</v>
      </c>
    </row>
    <row r="47" spans="1:69">
      <c r="A47" s="4" t="s">
        <v>170</v>
      </c>
      <c r="B47" s="4">
        <v>2.6</v>
      </c>
      <c r="C47"/>
      <c r="E47" s="42"/>
      <c r="K47" s="41">
        <f t="shared" si="12"/>
        <v>23047.8868517723</v>
      </c>
      <c r="L47" s="41">
        <f>((($AN47+$AO47)/2*$AH47+$AI47)*(1+$AP47)*(1+$AQ47)+(($AS47+$AT47)/2*IF($G$1="鸣金",$AJ47,$AH47)+IF($G$1="鸣金",$AK47*1.5,0))*(1+$AU47)*(1+$AV47)+(($AW47+$AX47)/2*IF($G$1="裂石",$AJ47,$AH47)+IF($G$1="裂石",$AK47*1.5,0))*(1+$AY47)*(1+$AZ47)+(($BA47+$BB47)/2*IF($G$1="牵丝",$AJ47,$AH47)+IF($G$1="牵丝",$AK47*1.5,0))*(1+$BC47)*(1+$BD47)+(($BE47+$BF47)/2*IF($G$1="破竹",$AJ47,$AH47)+IF($G$1="破竹",$AK47*1.5,0))*(1+$BG47)*(1+$BH47))*(1+$AL47)*$BK47*$P47*(1+IF(VLOOKUP($Q47,武学奇术!$A:$ZZ,30,FALSE)="回旋伞",$B$21,0))*(1+$BQ47)</f>
        <v>23047.8868517723</v>
      </c>
      <c r="M47" s="41">
        <f>(($AO47*$AH47+$AI47)*(1+$AP47)*(1+$AQ47)+($AT47*IF($G$1="鸣金",$AJ47,$AH47)+IF($G$1="鸣金",$AK47*1.5,0))*(1+$AU47)*(1+$AV47)+($AX47*IF($G$1="裂石",$AJ47,$AH47)+IF($G$1="裂石",$AK47*1.5,0))*(1+$AY47)*(1+$AZ47)+($BB47*IF($G$1="牵丝",$AJ47,$AH47)+IF($G$1="牵丝",$AK47*1.5,0))*(1+$BC47)*(1+$BD47)+($BF47*IF($G$1="破竹",$AJ47,$AH47)+IF($G$1="破竹",$AK47*1.5,0))*(1+$BG47)*(1+$BH47))*(1+$AL47)*$BM47*$P47*(1+IF(VLOOKUP($Q47,武学奇术!$A:$ZZ,30,FALSE)="回旋伞",$B$21,0))*(1+$BQ47)</f>
        <v>19038.1358012588</v>
      </c>
      <c r="N47" s="41">
        <f>((($AN47+$AO47)/2*$AH47+$AI47)*(1+$AP47)*(1+$AQ47)+(($AS47+$AT47)/2*IF($G$1="鸣金",$AJ47,$AH47)+IF($G$1="鸣金",$AK47*1.5,0))*(1+$AU47)*(1+$AV47)+(($AW47+$AX47)/2*IF($G$1="裂石",$AJ47,$AH47)+IF($G$1="裂石",$AK47*1.5,0))*(1+$AY47)*(1+$AZ47)+(($BA47+$BB47)/2*IF($G$1="牵丝",$AJ47,$AH47)+IF($G$1="牵丝",$AK47*1.5,0))*(1+$BC47)*(1+$BD47)+(($BE47+$BF47)/2*IF($G$1="破竹",$AJ47,$AH47)+IF($G$1="破竹",$AK47*1.5,0))*(1+$BG47)*(1+$BH47))*(1+$AL47)*$P47*(1+IF(VLOOKUP($Q47,武学奇术!$A:$ZZ,30,FALSE)="回旋伞",$B$21,0))*(1+$BQ47)</f>
        <v>12391.3370170819</v>
      </c>
      <c r="O47" s="41">
        <f>((($AN47*$AH47+$AI47)*(1+$AP47)*(1+$AQ47)+($AS47*IF($G$1="鸣金",$AJ47,$AH47)+IF($G$1="鸣金",$AK47*1.5,0))*(1+$AU47)*(1+$AV47)+($AW47*IF($G$1="裂石",$AJ47,$AH47)+IF($G$1="裂石",$AK47*1.5,0))*(1+$AY47)*(1+$AZ47)+($BA47*IF($G$1="牵丝",$AJ47,$AH47)+IF($G$1="牵丝",$AK47*1.5,0))*(1+$BC47)*(1+$BD47)+($BE47*IF($G$1="破竹",$AJ47,$AH47)+IF($G$1="破竹",$AK47*1.5,0))*(1+$BG47)*(1+$BH47))*(1+$AL47))*$P47*(1+IF(VLOOKUP($Q47,武学奇术!$A:$ZZ,30,FALSE)="回旋伞",$B$21,0))*(1+$BQ47)</f>
        <v>10680.3512184165</v>
      </c>
      <c r="P47" s="42">
        <v>1</v>
      </c>
      <c r="Q47" s="43" t="s">
        <v>130</v>
      </c>
      <c r="R47" s="43" t="s">
        <v>105</v>
      </c>
      <c r="S47" s="43" t="s">
        <v>91</v>
      </c>
      <c r="T47" s="43" t="s">
        <v>72</v>
      </c>
      <c r="U47" s="43" t="s">
        <v>71</v>
      </c>
      <c r="V47" s="43" t="s">
        <v>164</v>
      </c>
      <c r="W47" s="43" t="s">
        <v>95</v>
      </c>
      <c r="X47" s="43" t="s">
        <v>82</v>
      </c>
      <c r="Y47" s="43" t="s">
        <v>71</v>
      </c>
      <c r="Z47" s="43" t="s">
        <v>71</v>
      </c>
      <c r="AA47" s="43" t="s">
        <v>116</v>
      </c>
      <c r="AB47" s="43" t="s">
        <v>71</v>
      </c>
      <c r="AC47" s="43" t="s">
        <v>71</v>
      </c>
      <c r="AD47" s="43" t="s">
        <v>71</v>
      </c>
      <c r="AE47" s="43" t="s">
        <v>71</v>
      </c>
      <c r="AF47" s="43" t="s">
        <v>76</v>
      </c>
      <c r="AG47" t="str">
        <f>VLOOKUP($Q47,武学奇术!$A:$ZZ,25,FALSE)</f>
        <v>伞</v>
      </c>
      <c r="AH47" s="30">
        <f>VLOOKUP($Q47,武学奇术!$A:$ZZ,26,FALSE)</f>
        <v>0.54</v>
      </c>
      <c r="AI47" s="31">
        <f>VLOOKUP($Q47,武学奇术!$A:$ZZ,27,FALSE)*(1+IF(OR($AG47=$F$4,$AG47=$F$5),$B$22,0))</f>
        <v>0</v>
      </c>
      <c r="AJ47" s="30">
        <f>VLOOKUP($Q47,武学奇术!$A:$ZZ,28,FALSE)</f>
        <v>0.81</v>
      </c>
      <c r="AK47" s="31">
        <f>VLOOKUP($Q47,武学奇术!$A:$ZZ,29,FALSE)*(1+IF(OR($AG47=$F$4,$AG47=$F$5),$B$22,0))</f>
        <v>0</v>
      </c>
      <c r="AL47" s="30" cm="1">
        <f t="array" ref="AL47">$G$3+IFERROR(VLOOKUP($AG47,$F$4:$G$7,2,FALSE),0)+VLOOKUP($Q47,武学奇术!$A:$ZZ,2,FALSE)+SUM(_xlfn.XLOOKUP($R47:$AF47,增益!$A:$A,增益!$B:$B,0))</f>
        <v>1.0541</v>
      </c>
      <c r="AM47" s="30" cm="1">
        <f t="array" ref="AM47">VLOOKUP($Q47,武学奇术!$A:$ZZ,5,FALSE)+SUM(_xlfn.XLOOKUP($R47:$AF47,增益!$A:$A,增益!$E:$E,0))</f>
        <v>0</v>
      </c>
      <c r="AN47" cm="1">
        <f t="array" ref="AN47">$D$10*(1+$AM47)+VLOOKUP($Q47,武学奇术!$A:$ZZ,3,FALSE)+SUM(_xlfn.XLOOKUP($R47:$AF47,增益!$A:$A,增益!$C:$C,0))-$I$2</f>
        <v>3545.8</v>
      </c>
      <c r="AO47" cm="1">
        <f t="array" ref="AO47">$E$10*(1+$AM47)+VLOOKUP($Q47,武学奇术!$A:$ZZ,4,FALSE)+SUM(_xlfn.XLOOKUP($R47:$AF47,增益!$A:$A,增益!$D:$D,0))-$I$2</f>
        <v>3545.8</v>
      </c>
      <c r="AP47" s="35" cm="1">
        <f t="array" ref="AP47">IF($F$10-$I$3+VLOOKUP($Q47,武学奇术!$A:$ZZ,6,FALSE)+SUM(_xlfn.XLOOKUP(R47:AF47,增益!$A:$A,增益!$F:$F,0))&gt;0,($F$10-$I$3+VLOOKUP($Q47,武学奇术!$A:$ZZ,6,FALSE)+SUM(_xlfn.XLOOKUP(R47:AF47,增益!$A:$A,增益!$F:$F,0)))/200,($F$10-$I$3+VLOOKUP($Q47,武学奇术!$A:$ZZ,6,FALSE)+SUM(_xlfn.XLOOKUP(R47:AF47,增益!$A:$A,增益!$F:$F,0)))/100)</f>
        <v>0.3425</v>
      </c>
      <c r="AQ47" s="35" cm="1">
        <f t="array" ref="AQ47">$G$10+VLOOKUP($Q47,武学奇术!$A:$ZZ,7,FALSE)+SUM(_xlfn.XLOOKUP(R47:AF47,增益!$A:$A,增益!$G:$G,0))</f>
        <v>0.148</v>
      </c>
      <c r="AR47" s="30" cm="1">
        <f t="array" ref="AR47">VLOOKUP($Q47,武学奇术!$A:$ZZ,8,FALSE)+SUM(_xlfn.XLOOKUP(R47:AF47,增益!$A:$A,增益!$H:$H,0))</f>
        <v>0</v>
      </c>
      <c r="AS47">
        <f t="shared" si="18"/>
        <v>0</v>
      </c>
      <c r="AT47">
        <f t="shared" si="19"/>
        <v>0</v>
      </c>
      <c r="AU47" s="35" cm="1">
        <f t="array" ref="AU47">IF($F$11-$I$4+VLOOKUP($Q47,武学奇术!$A:$ZZ,9,FALSE)+SUM(_xlfn.XLOOKUP(R47:AF47,增益!$A:$A,增益!$I:$I,0))&gt;0,($F$11-$I$4+VLOOKUP($Q47,武学奇术!$A:$ZZ,9,FALSE)+SUM(_xlfn.XLOOKUP(R47:AF47,增益!$A:$A,增益!$I:$I,0)))/200,($F$11-$I$4+VLOOKUP($Q47,武学奇术!$A:$ZZ,9,FALSE)+SUM(_xlfn.XLOOKUP(R47:AF47,增益!$A:$A,增益!$I:$I,0)))/100)</f>
        <v>-0.14</v>
      </c>
      <c r="AV47" s="35" cm="1">
        <f t="array" ref="AV47">$G$11+VLOOKUP($Q47,武学奇术!$A:$ZZ,10,FALSE)+SUM(_xlfn.XLOOKUP(R47:AF47,增益!$A:$A,增益!$J:$J,0))</f>
        <v>0</v>
      </c>
      <c r="AW47">
        <f t="shared" si="20"/>
        <v>0</v>
      </c>
      <c r="AX47">
        <f t="shared" si="21"/>
        <v>0</v>
      </c>
      <c r="AY47" s="35" cm="1">
        <f t="array" ref="AY47">IF($F$12-$I$4+VLOOKUP($Q47,武学奇术!$A:$ZZ,11,FALSE)+SUM(_xlfn.XLOOKUP(R47:AF47,增益!$A:$A,增益!$K:$K,0))&gt;0,($F$12-$I$4+VLOOKUP($Q47,武学奇术!$A:$ZZ,11,FALSE)+SUM(_xlfn.XLOOKUP(R47:AF47,增益!$A:$A,增益!$K:$K,0)))/200,($F$12-$I$4+VLOOKUP($Q47,武学奇术!$A:$ZZ,11,FALSE)+SUM(_xlfn.XLOOKUP(R47:AF47,增益!$A:$A,增益!$K:$K,0)))/100)</f>
        <v>-0.14</v>
      </c>
      <c r="AZ47" s="35" cm="1">
        <f t="array" ref="AZ47">$G$12+VLOOKUP($Q47,武学奇术!$A:$ZZ,12,FALSE)+SUM(_xlfn.XLOOKUP(R47:AF47,增益!$A:$A,增益!$L:$L,0))</f>
        <v>0</v>
      </c>
      <c r="BA47">
        <f t="shared" si="13"/>
        <v>0</v>
      </c>
      <c r="BB47">
        <f t="shared" si="14"/>
        <v>0</v>
      </c>
      <c r="BC47" s="35" cm="1">
        <f t="array" ref="BC47">IF($F$13-$I$4+VLOOKUP($Q47,武学奇术!$A:$ZZ,13,FALSE)+SUM(_xlfn.XLOOKUP(R47:AF47,增益!$A:$A,增益!$M:$M,0))&gt;0,($F$13-$I$4+VLOOKUP($Q47,武学奇术!$A:$ZZ,13,FALSE)+SUM(_xlfn.XLOOKUP(R47:AF47,增益!$A:$A,增益!$K:$K,0)))/200,($F$13-$I$4+VLOOKUP($Q47,武学奇术!$A:$ZZ,13,FALSE)+SUM(_xlfn.XLOOKUP(R47:AF47,增益!$A:$A,增益!$M:$M,0)))/100)</f>
        <v>-0.14</v>
      </c>
      <c r="BD47" s="35" cm="1">
        <f t="array" ref="BD47">$G$13+VLOOKUP($Q47,武学奇术!$A:$ZZ,14,FALSE)+SUM(_xlfn.XLOOKUP(R47:AF47,增益!$A:$A,增益!$N:$N,0))</f>
        <v>0</v>
      </c>
      <c r="BE47">
        <f t="shared" si="15"/>
        <v>538</v>
      </c>
      <c r="BF47">
        <f t="shared" si="16"/>
        <v>1561.4</v>
      </c>
      <c r="BG47" s="35" cm="1">
        <f t="array" ref="BG47">IF($F$14-$I$4+VLOOKUP($Q47,武学奇术!$A:$ZZ,15,FALSE)+SUM(_xlfn.XLOOKUP(R47:AF47,增益!$A:$A,增益!$O:$O,0))&gt;0,($F$14-$I$4+VLOOKUP($Q47,武学奇术!$A:$ZZ,15,FALSE)+SUM(_xlfn.XLOOKUP(R47:AF47,增益!$A:$A,增益!$O:$O,0)))/200,($F$14-$I$4+VLOOKUP($Q47,武学奇术!$A:$ZZ,15,FALSE)+SUM(_xlfn.XLOOKUP(R47:AF47,增益!$A:$A,增益!$O:$O,0)))/100)</f>
        <v>0.08</v>
      </c>
      <c r="BH47" s="35" cm="1">
        <f t="array" ref="BH47">$G$14+VLOOKUP($Q47,武学奇术!$A:$ZZ,16,FALSE)+SUM(_xlfn.XLOOKUP(R47:AF47,增益!$A:$A,增益!$P:$P,0))</f>
        <v>0.27</v>
      </c>
      <c r="BI47" s="30">
        <f>MIN(IF(VLOOKUP($Q47,武学奇术!$A:$ZZ,23,FALSE)=1,100%,$B$8),100%)</f>
        <v>1</v>
      </c>
      <c r="BJ47" s="30" cm="1">
        <f t="array" ref="BJ47">IF(VLOOKUP($Q47,武学奇术!$A:$ZZ,23,FALSE)=1,100%,MIN(80%,$B$9+VLOOKUP($Q47,武学奇术!$A:$ZZ,17,FALSE)+SUM(_xlfn.XLOOKUP(R47:AF47,增益!$A:$A,增益!$Q:$Q,0)))+$B$11+SUM(_xlfn.XLOOKUP(R47:AF47,增益!$A:$A,增益!$U:$U,0)))*IF(VLOOKUP($Q47,武学奇术!$A:$ZZ,24,FALSE)=1,0,1)</f>
        <v>1</v>
      </c>
      <c r="BK47" s="30" cm="1">
        <f t="array" ref="BK47">1+$B$13+VLOOKUP($Q47,武学奇术!$A:$ZZ,18,FALSE)+SUM(_xlfn.XLOOKUP(R47:AF47,增益!$A:$A,增益!$R:$R,0))</f>
        <v>1.86</v>
      </c>
      <c r="BL47" s="30" cm="1">
        <f t="array" ref="BL47">IF(VLOOKUP($Q47,武学奇术!$A:$ZZ,24,FALSE)=1,100%,MIN(40%,$B$10+VLOOKUP($Q47,武学奇术!$A:$ZZ,19,FALSE)+SUM(_xlfn.XLOOKUP(R47:AF47,增益!$A:$A,增益!$S:$S,0)))+$B$12+SUM(_xlfn.XLOOKUP(R47:AF47,增益!$A:$A,增益!$V:$V,0)))*IF(VLOOKUP($Q47,武学奇术!$A:$ZZ,23,FALSE)=1,0,1)</f>
        <v>0</v>
      </c>
      <c r="BM47" s="30" cm="1">
        <f t="array" ref="BM47">1+$B$14+VLOOKUP($Q47,武学奇术!$A:$ZZ,20,FALSE)+SUM(_xlfn.XLOOKUP(R47:AF47,增益!$A:$A,增益!$T:$T,0))</f>
        <v>1.35</v>
      </c>
      <c r="BN47" s="30">
        <f t="shared" si="11"/>
        <v>1</v>
      </c>
      <c r="BO47" s="30">
        <f t="shared" si="17"/>
        <v>0</v>
      </c>
      <c r="BP47" s="30">
        <f>IF(VLOOKUP($Q47,武学奇术!$A:$ZZ,22,FALSE)=1,0,(1-$BI47))*(1-$BL47)</f>
        <v>0</v>
      </c>
      <c r="BQ47" s="30" cm="1">
        <f t="array" ref="BQ47">SUM(_xlfn.XLOOKUP(R47:AF47,增益!$A:$A,增益!$W:$W,0))+$I$5</f>
        <v>0.11</v>
      </c>
    </row>
    <row r="48" spans="1:69">
      <c r="A48" s="4" t="s">
        <v>171</v>
      </c>
      <c r="B48" s="4">
        <v>0.2</v>
      </c>
      <c r="C48" s="42"/>
      <c r="D48"/>
      <c r="E48" s="42"/>
      <c r="G48">
        <v>31</v>
      </c>
      <c r="K48" s="41">
        <f t="shared" si="12"/>
        <v>56371.0994194208</v>
      </c>
      <c r="L48" s="41">
        <f>((($AN48+$AO48)/2*$AH48+$AI48)*(1+$AP48)*(1+$AQ48)+(($AS48+$AT48)/2*IF($G$1="鸣金",$AJ48,$AH48)+IF($G$1="鸣金",$AK48*1.5,0))*(1+$AU48)*(1+$AV48)+(($AW48+$AX48)/2*IF($G$1="裂石",$AJ48,$AH48)+IF($G$1="裂石",$AK48*1.5,0))*(1+$AY48)*(1+$AZ48)+(($BA48+$BB48)/2*IF($G$1="牵丝",$AJ48,$AH48)+IF($G$1="牵丝",$AK48*1.5,0))*(1+$BC48)*(1+$BD48)+(($BE48+$BF48)/2*IF($G$1="破竹",$AJ48,$AH48)+IF($G$1="破竹",$AK48*1.5,0))*(1+$BG48)*(1+$BH48))*(1+$AL48)*$BK48*$P48*(1+IF(VLOOKUP($Q48,武学奇术!$A:$ZZ,30,FALSE)="回旋伞",$B$21,0))*(1+$BQ48)</f>
        <v>56371.0994194208</v>
      </c>
      <c r="M48" s="41">
        <f>(($AO48*$AH48+$AI48)*(1+$AP48)*(1+$AQ48)+($AT48*IF($G$1="鸣金",$AJ48,$AH48)+IF($G$1="鸣金",$AK48*1.5,0))*(1+$AU48)*(1+$AV48)+($AX48*IF($G$1="裂石",$AJ48,$AH48)+IF($G$1="裂石",$AK48*1.5,0))*(1+$AY48)*(1+$AZ48)+($BB48*IF($G$1="牵丝",$AJ48,$AH48)+IF($G$1="牵丝",$AK48*1.5,0))*(1+$BC48)*(1+$BD48)+($BF48*IF($G$1="破竹",$AJ48,$AH48)+IF($G$1="破竹",$AK48*1.5,0))*(1+$BG48)*(1+$BH48))*(1+$AL48)*$BM48*$P48*(1+IF(VLOOKUP($Q48,武学奇术!$A:$ZZ,30,FALSE)="回旋伞",$B$21,0))*(1+$BQ48)</f>
        <v>45683.2972122797</v>
      </c>
      <c r="N48" s="41">
        <f>((($AN48+$AO48)/2*$AH48+$AI48)*(1+$AP48)*(1+$AQ48)+(($AS48+$AT48)/2*IF($G$1="鸣金",$AJ48,$AH48)+IF($G$1="鸣金",$AK48*1.5,0))*(1+$AU48)*(1+$AV48)+(($AW48+$AX48)/2*IF($G$1="裂石",$AJ48,$AH48)+IF($G$1="裂石",$AK48*1.5,0))*(1+$AY48)*(1+$AZ48)+(($BA48+$BB48)/2*IF($G$1="牵丝",$AJ48,$AH48)+IF($G$1="牵丝",$AK48*1.5,0))*(1+$BC48)*(1+$BD48)+(($BE48+$BF48)/2*IF($G$1="破竹",$AJ48,$AH48)+IF($G$1="破竹",$AK48*1.5,0))*(1+$BG48)*(1+$BH48))*(1+$AL48)*$P48*(1+IF(VLOOKUP($Q48,武学奇术!$A:$ZZ,30,FALSE)="回旋伞",$B$21,0))*(1+$BQ48)</f>
        <v>30144.9729515619</v>
      </c>
      <c r="O48" s="41">
        <f>((($AN48*$AH48+$AI48)*(1+$AP48)*(1+$AQ48)+($AS48*IF($G$1="鸣金",$AJ48,$AH48)+IF($G$1="鸣金",$AK48*1.5,0))*(1+$AU48)*(1+$AV48)+($AW48*IF($G$1="裂石",$AJ48,$AH48)+IF($G$1="裂石",$AK48*1.5,0))*(1+$AY48)*(1+$AZ48)+($BA48*IF($G$1="牵丝",$AJ48,$AH48)+IF($G$1="牵丝",$AK48*1.5,0))*(1+$BC48)*(1+$BD48)+($BE48*IF($G$1="破竹",$AJ48,$AH48)+IF($G$1="破竹",$AK48*1.5,0))*(1+$BG48)*(1+$BH48))*(1+$AL48))*$P48*(1+IF(VLOOKUP($Q48,武学奇术!$A:$ZZ,30,FALSE)="回旋伞",$B$21,0))*(1+$BQ48)</f>
        <v>26450.4664866203</v>
      </c>
      <c r="P48" s="42">
        <v>1</v>
      </c>
      <c r="Q48" s="43" t="s">
        <v>150</v>
      </c>
      <c r="R48" s="43" t="s">
        <v>71</v>
      </c>
      <c r="S48" s="43" t="s">
        <v>91</v>
      </c>
      <c r="T48" s="43" t="s">
        <v>72</v>
      </c>
      <c r="U48" s="43" t="s">
        <v>71</v>
      </c>
      <c r="V48" s="43" t="s">
        <v>167</v>
      </c>
      <c r="W48" s="43" t="s">
        <v>95</v>
      </c>
      <c r="X48" s="43" t="s">
        <v>82</v>
      </c>
      <c r="Y48" s="43" t="s">
        <v>71</v>
      </c>
      <c r="Z48" s="43" t="s">
        <v>71</v>
      </c>
      <c r="AA48" s="43" t="s">
        <v>71</v>
      </c>
      <c r="AB48" s="43" t="s">
        <v>71</v>
      </c>
      <c r="AC48" s="43" t="s">
        <v>71</v>
      </c>
      <c r="AD48" s="43" t="s">
        <v>71</v>
      </c>
      <c r="AE48" s="43" t="s">
        <v>71</v>
      </c>
      <c r="AF48" s="43" t="s">
        <v>76</v>
      </c>
      <c r="AG48" t="str">
        <f>VLOOKUP($Q48,武学奇术!$A:$ZZ,25,FALSE)</f>
        <v>绳镖</v>
      </c>
      <c r="AH48" s="30">
        <f>VLOOKUP($Q48,武学奇术!$A:$ZZ,26,FALSE)</f>
        <v>2.2987</v>
      </c>
      <c r="AI48" s="31">
        <f>VLOOKUP($Q48,武学奇术!$A:$ZZ,27,FALSE)*(1+IF(OR($AG48=$F$4,$AG48=$F$5),$B$22,0))</f>
        <v>891.8</v>
      </c>
      <c r="AJ48" s="30">
        <f>VLOOKUP($Q48,武学奇术!$A:$ZZ,28,FALSE)</f>
        <v>3.448</v>
      </c>
      <c r="AK48" s="31">
        <f>VLOOKUP($Q48,武学奇术!$A:$ZZ,29,FALSE)*(1+IF(OR($AG48=$F$4,$AG48=$F$5),$B$22,0))</f>
        <v>485.8</v>
      </c>
      <c r="AL48" s="30" cm="1">
        <f t="array" ref="AL48">$G$3+IFERROR(VLOOKUP($AG48,$F$4:$G$7,2,FALSE),0)+VLOOKUP($Q48,武学奇术!$A:$ZZ,2,FALSE)+SUM(_xlfn.XLOOKUP($R48:$AF48,增益!$A:$A,增益!$B:$B,0))</f>
        <v>0.5189</v>
      </c>
      <c r="AM48" s="30" cm="1">
        <f t="array" ref="AM48">VLOOKUP($Q48,武学奇术!$A:$ZZ,5,FALSE)+SUM(_xlfn.XLOOKUP($R48:$AF48,增益!$A:$A,增益!$E:$E,0))</f>
        <v>0</v>
      </c>
      <c r="AN48" cm="1">
        <f t="array" ref="AN48">$D$10*(1+$AM48)+VLOOKUP($Q48,武学奇术!$A:$ZZ,3,FALSE)+SUM(_xlfn.XLOOKUP($R48:$AF48,增益!$A:$A,增益!$C:$C,0))-$I$2</f>
        <v>3545.8</v>
      </c>
      <c r="AO48" cm="1">
        <f t="array" ref="AO48">$E$10*(1+$AM48)+VLOOKUP($Q48,武学奇术!$A:$ZZ,4,FALSE)+SUM(_xlfn.XLOOKUP($R48:$AF48,增益!$A:$A,增益!$D:$D,0))-$I$2</f>
        <v>3545.8</v>
      </c>
      <c r="AP48" s="35" cm="1">
        <f t="array" ref="AP48">IF($F$10-$I$3+VLOOKUP($Q48,武学奇术!$A:$ZZ,6,FALSE)+SUM(_xlfn.XLOOKUP(R48:AF48,增益!$A:$A,增益!$F:$F,0))&gt;0,($F$10-$I$3+VLOOKUP($Q48,武学奇术!$A:$ZZ,6,FALSE)+SUM(_xlfn.XLOOKUP(R48:AF48,增益!$A:$A,增益!$F:$F,0)))/200,($F$10-$I$3+VLOOKUP($Q48,武学奇术!$A:$ZZ,6,FALSE)+SUM(_xlfn.XLOOKUP(R48:AF48,增益!$A:$A,增益!$F:$F,0)))/100)</f>
        <v>0.3425</v>
      </c>
      <c r="AQ48" s="35" cm="1">
        <f t="array" ref="AQ48">$G$10+VLOOKUP($Q48,武学奇术!$A:$ZZ,7,FALSE)+SUM(_xlfn.XLOOKUP(R48:AF48,增益!$A:$A,增益!$G:$G,0))</f>
        <v>0.028</v>
      </c>
      <c r="AR48" s="30" cm="1">
        <f t="array" ref="AR48">VLOOKUP($Q48,武学奇术!$A:$ZZ,8,FALSE)+SUM(_xlfn.XLOOKUP(R48:AF48,增益!$A:$A,增益!$H:$H,0))</f>
        <v>0</v>
      </c>
      <c r="AS48">
        <f t="shared" si="18"/>
        <v>0</v>
      </c>
      <c r="AT48">
        <f t="shared" si="19"/>
        <v>0</v>
      </c>
      <c r="AU48" s="35" cm="1">
        <f t="array" ref="AU48">IF($F$11-$I$4+VLOOKUP($Q48,武学奇术!$A:$ZZ,9,FALSE)+SUM(_xlfn.XLOOKUP(R48:AF48,增益!$A:$A,增益!$I:$I,0))&gt;0,($F$11-$I$4+VLOOKUP($Q48,武学奇术!$A:$ZZ,9,FALSE)+SUM(_xlfn.XLOOKUP(R48:AF48,增益!$A:$A,增益!$I:$I,0)))/200,($F$11-$I$4+VLOOKUP($Q48,武学奇术!$A:$ZZ,9,FALSE)+SUM(_xlfn.XLOOKUP(R48:AF48,增益!$A:$A,增益!$I:$I,0)))/100)</f>
        <v>-0.14</v>
      </c>
      <c r="AV48" s="35" cm="1">
        <f t="array" ref="AV48">$G$11+VLOOKUP($Q48,武学奇术!$A:$ZZ,10,FALSE)+SUM(_xlfn.XLOOKUP(R48:AF48,增益!$A:$A,增益!$J:$J,0))</f>
        <v>0</v>
      </c>
      <c r="AW48">
        <f t="shared" si="20"/>
        <v>0</v>
      </c>
      <c r="AX48">
        <f t="shared" si="21"/>
        <v>0</v>
      </c>
      <c r="AY48" s="35" cm="1">
        <f t="array" ref="AY48">IF($F$12-$I$4+VLOOKUP($Q48,武学奇术!$A:$ZZ,11,FALSE)+SUM(_xlfn.XLOOKUP(R48:AF48,增益!$A:$A,增益!$K:$K,0))&gt;0,($F$12-$I$4+VLOOKUP($Q48,武学奇术!$A:$ZZ,11,FALSE)+SUM(_xlfn.XLOOKUP(R48:AF48,增益!$A:$A,增益!$K:$K,0)))/200,($F$12-$I$4+VLOOKUP($Q48,武学奇术!$A:$ZZ,11,FALSE)+SUM(_xlfn.XLOOKUP(R48:AF48,增益!$A:$A,增益!$K:$K,0)))/100)</f>
        <v>-0.14</v>
      </c>
      <c r="AZ48" s="35" cm="1">
        <f t="array" ref="AZ48">$G$12+VLOOKUP($Q48,武学奇术!$A:$ZZ,12,FALSE)+SUM(_xlfn.XLOOKUP(R48:AF48,增益!$A:$A,增益!$L:$L,0))</f>
        <v>0</v>
      </c>
      <c r="BA48">
        <f t="shared" si="13"/>
        <v>0</v>
      </c>
      <c r="BB48">
        <f t="shared" si="14"/>
        <v>0</v>
      </c>
      <c r="BC48" s="35" cm="1">
        <f t="array" ref="BC48">IF($F$13-$I$4+VLOOKUP($Q48,武学奇术!$A:$ZZ,13,FALSE)+SUM(_xlfn.XLOOKUP(R48:AF48,增益!$A:$A,增益!$M:$M,0))&gt;0,($F$13-$I$4+VLOOKUP($Q48,武学奇术!$A:$ZZ,13,FALSE)+SUM(_xlfn.XLOOKUP(R48:AF48,增益!$A:$A,增益!$K:$K,0)))/200,($F$13-$I$4+VLOOKUP($Q48,武学奇术!$A:$ZZ,13,FALSE)+SUM(_xlfn.XLOOKUP(R48:AF48,增益!$A:$A,增益!$M:$M,0)))/100)</f>
        <v>-0.14</v>
      </c>
      <c r="BD48" s="35" cm="1">
        <f t="array" ref="BD48">$G$13+VLOOKUP($Q48,武学奇术!$A:$ZZ,14,FALSE)+SUM(_xlfn.XLOOKUP(R48:AF48,增益!$A:$A,增益!$N:$N,0))</f>
        <v>0</v>
      </c>
      <c r="BE48">
        <f t="shared" si="15"/>
        <v>538</v>
      </c>
      <c r="BF48">
        <f t="shared" si="16"/>
        <v>1561.4</v>
      </c>
      <c r="BG48" s="35" cm="1">
        <f t="array" ref="BG48">IF($F$14-$I$4+VLOOKUP($Q48,武学奇术!$A:$ZZ,15,FALSE)+SUM(_xlfn.XLOOKUP(R48:AF48,增益!$A:$A,增益!$O:$O,0))&gt;0,($F$14-$I$4+VLOOKUP($Q48,武学奇术!$A:$ZZ,15,FALSE)+SUM(_xlfn.XLOOKUP(R48:AF48,增益!$A:$A,增益!$O:$O,0)))/200,($F$14-$I$4+VLOOKUP($Q48,武学奇术!$A:$ZZ,15,FALSE)+SUM(_xlfn.XLOOKUP(R48:AF48,增益!$A:$A,增益!$O:$O,0)))/100)</f>
        <v>0.08</v>
      </c>
      <c r="BH48" s="35" cm="1">
        <f t="array" ref="BH48">$G$14+VLOOKUP($Q48,武学奇术!$A:$ZZ,16,FALSE)+SUM(_xlfn.XLOOKUP(R48:AF48,增益!$A:$A,增益!$P:$P,0))</f>
        <v>0.15</v>
      </c>
      <c r="BI48" s="30">
        <f>MIN(IF(VLOOKUP($Q48,武学奇术!$A:$ZZ,23,FALSE)=1,100%,$B$8),100%)</f>
        <v>1</v>
      </c>
      <c r="BJ48" s="30" cm="1">
        <f t="array" ref="BJ48">IF(VLOOKUP($Q48,武学奇术!$A:$ZZ,23,FALSE)=1,100%,MIN(80%,$B$9+VLOOKUP($Q48,武学奇术!$A:$ZZ,17,FALSE)+SUM(_xlfn.XLOOKUP(R48:AF48,增益!$A:$A,增益!$Q:$Q,0)))+$B$11+SUM(_xlfn.XLOOKUP(R48:AF48,增益!$A:$A,增益!$U:$U,0)))*IF(VLOOKUP($Q48,武学奇术!$A:$ZZ,24,FALSE)=1,0,1)</f>
        <v>1</v>
      </c>
      <c r="BK48" s="30" cm="1">
        <f t="array" ref="BK48">1+$B$13+VLOOKUP($Q48,武学奇术!$A:$ZZ,18,FALSE)+SUM(_xlfn.XLOOKUP(R48:AF48,增益!$A:$A,增益!$R:$R,0))</f>
        <v>1.87</v>
      </c>
      <c r="BL48" s="30" cm="1">
        <f t="array" ref="BL48">IF(VLOOKUP($Q48,武学奇术!$A:$ZZ,24,FALSE)=1,100%,MIN(40%,$B$10+VLOOKUP($Q48,武学奇术!$A:$ZZ,19,FALSE)+SUM(_xlfn.XLOOKUP(R48:AF48,增益!$A:$A,增益!$S:$S,0)))+$B$12+SUM(_xlfn.XLOOKUP(R48:AF48,增益!$A:$A,增益!$V:$V,0)))*IF(VLOOKUP($Q48,武学奇术!$A:$ZZ,23,FALSE)=1,0,1)</f>
        <v>0</v>
      </c>
      <c r="BM48" s="30" cm="1">
        <f t="array" ref="BM48">1+$B$14+VLOOKUP($Q48,武学奇术!$A:$ZZ,20,FALSE)+SUM(_xlfn.XLOOKUP(R48:AF48,增益!$A:$A,增益!$T:$T,0))</f>
        <v>1.35</v>
      </c>
      <c r="BN48" s="30">
        <f t="shared" si="11"/>
        <v>1</v>
      </c>
      <c r="BO48" s="30">
        <f t="shared" si="17"/>
        <v>0</v>
      </c>
      <c r="BP48" s="30">
        <f>IF(VLOOKUP($Q48,武学奇术!$A:$ZZ,22,FALSE)=1,0,(1-$BI48))*(1-$BL48)</f>
        <v>0</v>
      </c>
      <c r="BQ48" s="30" cm="1">
        <f t="array" ref="BQ48">SUM(_xlfn.XLOOKUP(R48:AF48,增益!$A:$A,增益!$W:$W,0))+$I$5</f>
        <v>0.11</v>
      </c>
    </row>
    <row r="49" spans="1:69">
      <c r="A49" t="s">
        <v>154</v>
      </c>
      <c r="B49">
        <v>3.5</v>
      </c>
      <c r="C49"/>
      <c r="D49"/>
      <c r="E49" s="42"/>
      <c r="F49" s="4"/>
      <c r="G49" s="90">
        <v>-50</v>
      </c>
      <c r="K49" s="89">
        <f>(SUM(K26:K48)+K142+K143)*10%</f>
        <v>150719.648710774</v>
      </c>
      <c r="L49" s="41">
        <f>((($AN49+$AO49)/2*$AH49+$AI49)*(1+$AP49)*(1+$AQ49)+(($AS49+$AT49)/2*IF($G$1="鸣金",$AJ49,$AH49)+IF($G$1="鸣金",$AK49*1.5,0))*(1+$AU49)*(1+$AV49)+(($AW49+$AX49)/2*IF($G$1="裂石",$AJ49,$AH49)+IF($G$1="裂石",$AK49*1.5,0))*(1+$AY49)*(1+$AZ49)+(($BA49+$BB49)/2*IF($G$1="牵丝",$AJ49,$AH49)+IF($G$1="牵丝",$AK49*1.5,0))*(1+$BC49)*(1+$BD49)+(($BE49+$BF49)/2*IF($G$1="破竹",$AJ49,$AH49)+IF($G$1="破竹",$AK49*1.5,0))*(1+$BG49)*(1+$BH49))*(1+$AL49)*$BK49*$P49*(1+IF(VLOOKUP($Q49,武学奇术!$A:$ZZ,30,FALSE)="回旋伞",$B$21,0))*(1+$BQ49)</f>
        <v>0</v>
      </c>
      <c r="M49" s="41">
        <f>(($AO49*$AH49+$AI49)*(1+$AP49)*(1+$AQ49)+($AT49*IF($G$1="鸣金",$AJ49,$AH49)+IF($G$1="鸣金",$AK49*1.5,0))*(1+$AU49)*(1+$AV49)+($AX49*IF($G$1="裂石",$AJ49,$AH49)+IF($G$1="裂石",$AK49*1.5,0))*(1+$AY49)*(1+$AZ49)+($BB49*IF($G$1="牵丝",$AJ49,$AH49)+IF($G$1="牵丝",$AK49*1.5,0))*(1+$BC49)*(1+$BD49)+($BF49*IF($G$1="破竹",$AJ49,$AH49)+IF($G$1="破竹",$AK49*1.5,0))*(1+$BG49)*(1+$BH49))*(1+$AL49)*$BM49*$P49*(1+IF(VLOOKUP($Q49,武学奇术!$A:$ZZ,30,FALSE)="回旋伞",$B$21,0))*(1+$BQ49)</f>
        <v>0</v>
      </c>
      <c r="N49" s="41">
        <f>((($AN49+$AO49)/2*$AH49+$AI49)*(1+$AP49)*(1+$AQ49)+(($AS49+$AT49)/2*IF($G$1="鸣金",$AJ49,$AH49)+IF($G$1="鸣金",$AK49*1.5,0))*(1+$AU49)*(1+$AV49)+(($AW49+$AX49)/2*IF($G$1="裂石",$AJ49,$AH49)+IF($G$1="裂石",$AK49*1.5,0))*(1+$AY49)*(1+$AZ49)+(($BA49+$BB49)/2*IF($G$1="牵丝",$AJ49,$AH49)+IF($G$1="牵丝",$AK49*1.5,0))*(1+$BC49)*(1+$BD49)+(($BE49+$BF49)/2*IF($G$1="破竹",$AJ49,$AH49)+IF($G$1="破竹",$AK49*1.5,0))*(1+$BG49)*(1+$BH49))*(1+$AL49)*$P49*(1+IF(VLOOKUP($Q49,武学奇术!$A:$ZZ,30,FALSE)="回旋伞",$B$21,0))*(1+$BQ49)</f>
        <v>0</v>
      </c>
      <c r="O49" s="41">
        <f>((($AN49*$AH49+$AI49)*(1+$AP49)*(1+$AQ49)+($AS49*IF($G$1="鸣金",$AJ49,$AH49)+IF($G$1="鸣金",$AK49*1.5,0))*(1+$AU49)*(1+$AV49)+($AW49*IF($G$1="裂石",$AJ49,$AH49)+IF($G$1="裂石",$AK49*1.5,0))*(1+$AY49)*(1+$AZ49)+($BA49*IF($G$1="牵丝",$AJ49,$AH49)+IF($G$1="牵丝",$AK49*1.5,0))*(1+$BC49)*(1+$BD49)+($BE49*IF($G$1="破竹",$AJ49,$AH49)+IF($G$1="破竹",$AK49*1.5,0))*(1+$BG49)*(1+$BH49))*(1+$AL49))*$P49*(1+IF(VLOOKUP($Q49,武学奇术!$A:$ZZ,30,FALSE)="回旋伞",$B$21,0))*(1+$BQ49)</f>
        <v>0</v>
      </c>
      <c r="P49" s="42">
        <v>1</v>
      </c>
      <c r="Q49" s="43" t="s">
        <v>152</v>
      </c>
      <c r="R49" s="43" t="s">
        <v>71</v>
      </c>
      <c r="S49" s="43" t="s">
        <v>71</v>
      </c>
      <c r="T49" s="43" t="s">
        <v>71</v>
      </c>
      <c r="U49" s="43" t="s">
        <v>71</v>
      </c>
      <c r="V49" s="43" t="s">
        <v>71</v>
      </c>
      <c r="W49" s="43" t="s">
        <v>71</v>
      </c>
      <c r="X49" s="43" t="s">
        <v>71</v>
      </c>
      <c r="Y49" s="43" t="s">
        <v>71</v>
      </c>
      <c r="Z49" s="43" t="s">
        <v>71</v>
      </c>
      <c r="AA49" s="43" t="s">
        <v>71</v>
      </c>
      <c r="AB49" s="43" t="s">
        <v>71</v>
      </c>
      <c r="AC49" s="43" t="s">
        <v>71</v>
      </c>
      <c r="AD49" s="43" t="s">
        <v>71</v>
      </c>
      <c r="AE49" s="43" t="s">
        <v>71</v>
      </c>
      <c r="AF49" s="43" t="s">
        <v>76</v>
      </c>
      <c r="AG49" t="str">
        <f>VLOOKUP($Q49,武学奇术!$A:$ZZ,25,FALSE)</f>
        <v>心法</v>
      </c>
      <c r="AH49" s="30">
        <f>VLOOKUP($Q49,武学奇术!$A:$ZZ,26,FALSE)</f>
        <v>0</v>
      </c>
      <c r="AI49" s="31">
        <f>VLOOKUP($Q49,武学奇术!$A:$ZZ,27,FALSE)*(1+IF(OR($AG49=$F$4,$AG49=$F$5),$B$22,0))</f>
        <v>0</v>
      </c>
      <c r="AJ49" s="30">
        <f>VLOOKUP($Q49,武学奇术!$A:$ZZ,28,FALSE)</f>
        <v>0</v>
      </c>
      <c r="AK49" s="31">
        <f>VLOOKUP($Q49,武学奇术!$A:$ZZ,29,FALSE)*(1+IF(OR($AG49=$F$4,$AG49=$F$5),$B$22,0))</f>
        <v>0</v>
      </c>
      <c r="AL49" s="30" cm="1">
        <f t="array" ref="AL49">$G$3+IFERROR(VLOOKUP($AG49,$F$4:$G$7,2,FALSE),0)+VLOOKUP($Q49,武学奇术!$A:$ZZ,2,FALSE)+SUM(_xlfn.XLOOKUP($R49:$AF49,增益!$A:$A,增益!$B:$B,0))</f>
        <v>0.1837</v>
      </c>
      <c r="AM49" s="30" cm="1">
        <f t="array" ref="AM49">VLOOKUP($Q49,武学奇术!$A:$ZZ,5,FALSE)+SUM(_xlfn.XLOOKUP($R49:$AF49,增益!$A:$A,增益!$E:$E,0))</f>
        <v>0</v>
      </c>
      <c r="AN49" cm="1">
        <f t="array" ref="AN49">$D$10*(1+$AM49)+VLOOKUP($Q49,武学奇术!$A:$ZZ,3,FALSE)+SUM(_xlfn.XLOOKUP($R49:$AF49,增益!$A:$A,增益!$C:$C,0))-$I$2</f>
        <v>3545.8</v>
      </c>
      <c r="AO49" cm="1">
        <f t="array" ref="AO49">$E$10*(1+$AM49)+VLOOKUP($Q49,武学奇术!$A:$ZZ,4,FALSE)+SUM(_xlfn.XLOOKUP($R49:$AF49,增益!$A:$A,增益!$D:$D,0))-$I$2</f>
        <v>3545.8</v>
      </c>
      <c r="AP49" s="35" cm="1">
        <f t="array" ref="AP49">IF($F$10-$I$3+VLOOKUP($Q49,武学奇术!$A:$ZZ,6,FALSE)+SUM(_xlfn.XLOOKUP(R49:AF49,增益!$A:$A,增益!$F:$F,0))&gt;0,($F$10-$I$3+VLOOKUP($Q49,武学奇术!$A:$ZZ,6,FALSE)+SUM(_xlfn.XLOOKUP(R49:AF49,增益!$A:$A,增益!$F:$F,0)))/200,($F$10-$I$3+VLOOKUP($Q49,武学奇术!$A:$ZZ,6,FALSE)+SUM(_xlfn.XLOOKUP(R49:AF49,增益!$A:$A,增益!$F:$F,0)))/100)</f>
        <v>0.2425</v>
      </c>
      <c r="AQ49" s="35" cm="1">
        <f t="array" ref="AQ49">$G$10+VLOOKUP($Q49,武学奇术!$A:$ZZ,7,FALSE)+SUM(_xlfn.XLOOKUP(R49:AF49,增益!$A:$A,增益!$G:$G,0))</f>
        <v>0.028</v>
      </c>
      <c r="AR49" s="30" cm="1">
        <f t="array" ref="AR49">VLOOKUP($Q49,武学奇术!$A:$ZZ,8,FALSE)+SUM(_xlfn.XLOOKUP(R49:AF49,增益!$A:$A,增益!$H:$H,0))</f>
        <v>0</v>
      </c>
      <c r="AS49">
        <f t="shared" si="18"/>
        <v>0</v>
      </c>
      <c r="AT49">
        <f t="shared" si="19"/>
        <v>0</v>
      </c>
      <c r="AU49" s="35" cm="1">
        <f t="array" ref="AU49">IF($F$11-$I$4+VLOOKUP($Q49,武学奇术!$A:$ZZ,9,FALSE)+SUM(_xlfn.XLOOKUP(R49:AF49,增益!$A:$A,增益!$I:$I,0))&gt;0,($F$11-$I$4+VLOOKUP($Q49,武学奇术!$A:$ZZ,9,FALSE)+SUM(_xlfn.XLOOKUP(R49:AF49,增益!$A:$A,增益!$I:$I,0)))/200,($F$11-$I$4+VLOOKUP($Q49,武学奇术!$A:$ZZ,9,FALSE)+SUM(_xlfn.XLOOKUP(R49:AF49,增益!$A:$A,增益!$I:$I,0)))/100)</f>
        <v>-0.3</v>
      </c>
      <c r="AV49" s="35" cm="1">
        <f t="array" ref="AV49">$G$11+VLOOKUP($Q49,武学奇术!$A:$ZZ,10,FALSE)+SUM(_xlfn.XLOOKUP(R49:AF49,增益!$A:$A,增益!$J:$J,0))</f>
        <v>0</v>
      </c>
      <c r="AW49">
        <f t="shared" si="20"/>
        <v>0</v>
      </c>
      <c r="AX49">
        <f t="shared" si="21"/>
        <v>0</v>
      </c>
      <c r="AY49" s="35" cm="1">
        <f t="array" ref="AY49">IF($F$12-$I$4+VLOOKUP($Q49,武学奇术!$A:$ZZ,11,FALSE)+SUM(_xlfn.XLOOKUP(R49:AF49,增益!$A:$A,增益!$K:$K,0))&gt;0,($F$12-$I$4+VLOOKUP($Q49,武学奇术!$A:$ZZ,11,FALSE)+SUM(_xlfn.XLOOKUP(R49:AF49,增益!$A:$A,增益!$K:$K,0)))/200,($F$12-$I$4+VLOOKUP($Q49,武学奇术!$A:$ZZ,11,FALSE)+SUM(_xlfn.XLOOKUP(R49:AF49,增益!$A:$A,增益!$K:$K,0)))/100)</f>
        <v>-0.3</v>
      </c>
      <c r="AZ49" s="35" cm="1">
        <f t="array" ref="AZ49">$G$12+VLOOKUP($Q49,武学奇术!$A:$ZZ,12,FALSE)+SUM(_xlfn.XLOOKUP(R49:AF49,增益!$A:$A,增益!$L:$L,0))</f>
        <v>0</v>
      </c>
      <c r="BA49">
        <f t="shared" si="13"/>
        <v>0</v>
      </c>
      <c r="BB49">
        <f t="shared" si="14"/>
        <v>0</v>
      </c>
      <c r="BC49" s="35" cm="1">
        <f t="array" ref="BC49">IF($F$13-$I$4+VLOOKUP($Q49,武学奇术!$A:$ZZ,13,FALSE)+SUM(_xlfn.XLOOKUP(R49:AF49,增益!$A:$A,增益!$M:$M,0))&gt;0,($F$13-$I$4+VLOOKUP($Q49,武学奇术!$A:$ZZ,13,FALSE)+SUM(_xlfn.XLOOKUP(R49:AF49,增益!$A:$A,增益!$K:$K,0)))/200,($F$13-$I$4+VLOOKUP($Q49,武学奇术!$A:$ZZ,13,FALSE)+SUM(_xlfn.XLOOKUP(R49:AF49,增益!$A:$A,增益!$M:$M,0)))/100)</f>
        <v>-0.3</v>
      </c>
      <c r="BD49" s="35" cm="1">
        <f t="array" ref="BD49">$G$13+VLOOKUP($Q49,武学奇术!$A:$ZZ,14,FALSE)+SUM(_xlfn.XLOOKUP(R49:AF49,增益!$A:$A,增益!$N:$N,0))</f>
        <v>0</v>
      </c>
      <c r="BE49">
        <f t="shared" si="15"/>
        <v>538</v>
      </c>
      <c r="BF49">
        <f t="shared" si="16"/>
        <v>1561.4</v>
      </c>
      <c r="BG49" s="35" cm="1">
        <f t="array" ref="BG49">IF($F$14-$I$4+VLOOKUP($Q49,武学奇术!$A:$ZZ,15,FALSE)+SUM(_xlfn.XLOOKUP(R49:AF49,增益!$A:$A,增益!$O:$O,0))&gt;0,($F$14-$I$4+VLOOKUP($Q49,武学奇术!$A:$ZZ,15,FALSE)+SUM(_xlfn.XLOOKUP(R49:AF49,增益!$A:$A,增益!$O:$O,0)))/200,($F$14-$I$4+VLOOKUP($Q49,武学奇术!$A:$ZZ,15,FALSE)+SUM(_xlfn.XLOOKUP(R49:AF49,增益!$A:$A,增益!$O:$O,0)))/100)</f>
        <v>0</v>
      </c>
      <c r="BH49" s="35" cm="1">
        <f t="array" ref="BH49">$G$14+VLOOKUP($Q49,武学奇术!$A:$ZZ,16,FALSE)+SUM(_xlfn.XLOOKUP(R49:AF49,增益!$A:$A,增益!$P:$P,0))</f>
        <v>0.15</v>
      </c>
      <c r="BI49" s="30">
        <f>MIN(IF(VLOOKUP($Q49,武学奇术!$A:$ZZ,23,FALSE)=1,100%,$B$8),100%)</f>
        <v>0.9712</v>
      </c>
      <c r="BJ49" s="30" cm="1">
        <f t="array" ref="BJ49">IF(VLOOKUP($Q49,武学奇术!$A:$ZZ,23,FALSE)=1,100%,MIN(80%,$B$9+VLOOKUP($Q49,武学奇术!$A:$ZZ,17,FALSE)+SUM(_xlfn.XLOOKUP(R49:AF49,增益!$A:$A,增益!$Q:$Q,0)))+$B$11+SUM(_xlfn.XLOOKUP(R49:AF49,增益!$A:$A,增益!$U:$U,0)))*IF(VLOOKUP($Q49,武学奇术!$A:$ZZ,24,FALSE)=1,0,1)</f>
        <v>0.8773</v>
      </c>
      <c r="BK49" s="30" cm="1">
        <f t="array" ref="BK49">1+$B$13+VLOOKUP($Q49,武学奇术!$A:$ZZ,18,FALSE)+SUM(_xlfn.XLOOKUP(R49:AF49,增益!$A:$A,增益!$R:$R,0))</f>
        <v>1.5</v>
      </c>
      <c r="BL49" s="30" cm="1">
        <f t="array" ref="BL49">IF(VLOOKUP($Q49,武学奇术!$A:$ZZ,24,FALSE)=1,100%,MIN(40%,$B$10+VLOOKUP($Q49,武学奇术!$A:$ZZ,19,FALSE)+SUM(_xlfn.XLOOKUP(R49:AF49,增益!$A:$A,增益!$S:$S,0)))+$B$12+SUM(_xlfn.XLOOKUP(R49:AF49,增益!$A:$A,增益!$V:$V,0)))*IF(VLOOKUP($Q49,武学奇术!$A:$ZZ,23,FALSE)=1,0,1)</f>
        <v>0.0895</v>
      </c>
      <c r="BM49" s="30" cm="1">
        <f t="array" ref="BM49">1+$B$14+VLOOKUP($Q49,武学奇术!$A:$ZZ,20,FALSE)+SUM(_xlfn.XLOOKUP(R49:AF49,增益!$A:$A,增益!$T:$T,0))</f>
        <v>1.35</v>
      </c>
      <c r="BN49" s="30">
        <f t="shared" si="11"/>
        <v>0.85203376</v>
      </c>
      <c r="BO49" s="30">
        <f t="shared" si="17"/>
        <v>0.03224384</v>
      </c>
      <c r="BP49" s="30">
        <f>IF(VLOOKUP($Q49,武学奇术!$A:$ZZ,22,FALSE)=1,0,(1-$BI49))*(1-$BL49)</f>
        <v>0.0262224</v>
      </c>
      <c r="BQ49" s="30" cm="1">
        <f t="array" ref="BQ49">SUM(_xlfn.XLOOKUP(R49:AF49,增益!$A:$A,增益!$W:$W,0))+$I$5</f>
        <v>0.11</v>
      </c>
    </row>
    <row r="50" spans="1:69">
      <c r="A50" s="4" t="s">
        <v>172</v>
      </c>
      <c r="B50" s="4">
        <v>2</v>
      </c>
      <c r="C50"/>
      <c r="D50" s="42" t="s">
        <v>154</v>
      </c>
      <c r="E50" s="42"/>
      <c r="F50">
        <v>37</v>
      </c>
      <c r="G50" s="4"/>
      <c r="K50" s="41">
        <f t="shared" si="12"/>
        <v>90222.2673127395</v>
      </c>
      <c r="L50" s="41">
        <f>((($AN50+$AO50)/2*$AH50+$AI50)*(1+$AP50)*(1+$AQ50)+(($AS50+$AT50)/2*IF($G$1="鸣金",$AJ50,$AH50)+IF($G$1="鸣金",$AK50*1.5,0))*(1+$AU50)*(1+$AV50)+(($AW50+$AX50)/2*IF($G$1="裂石",$AJ50,$AH50)+IF($G$1="裂石",$AK50*1.5,0))*(1+$AY50)*(1+$AZ50)+(($BA50+$BB50)/2*IF($G$1="牵丝",$AJ50,$AH50)+IF($G$1="牵丝",$AK50*1.5,0))*(1+$BC50)*(1+$BD50)+(($BE50+$BF50)/2*IF($G$1="破竹",$AJ50,$AH50)+IF($G$1="破竹",$AK50*1.5,0))*(1+$BG50)*(1+$BH50))*(1+$AL50)*$BK50*$P50*(1+IF(VLOOKUP($Q50,武学奇术!$A:$ZZ,30,FALSE)="回旋伞",$B$21,0))*(1+$BQ50)</f>
        <v>94561.345152291</v>
      </c>
      <c r="M50" s="41">
        <f>(($AO50*$AH50+$AI50)*(1+$AP50)*(1+$AQ50)+($AT50*IF($G$1="鸣金",$AJ50,$AH50)+IF($G$1="鸣金",$AK50*1.5,0))*(1+$AU50)*(1+$AV50)+($AX50*IF($G$1="裂石",$AJ50,$AH50)+IF($G$1="裂石",$AK50*1.5,0))*(1+$AY50)*(1+$AZ50)+($BB50*IF($G$1="牵丝",$AJ50,$AH50)+IF($G$1="牵丝",$AK50*1.5,0))*(1+$BC50)*(1+$BD50)+($BF50*IF($G$1="破竹",$AJ50,$AH50)+IF($G$1="破竹",$AK50*1.5,0))*(1+$BG50)*(1+$BH50))*(1+$AL50)*$BM50*$P50*(1+IF(VLOOKUP($Q50,武学奇术!$A:$ZZ,30,FALSE)="回旋伞",$B$21,0))*(1+$BQ50)</f>
        <v>76635.5186841875</v>
      </c>
      <c r="N50" s="41">
        <f>((($AN50+$AO50)/2*$AH50+$AI50)*(1+$AP50)*(1+$AQ50)+(($AS50+$AT50)/2*IF($G$1="鸣金",$AJ50,$AH50)+IF($G$1="鸣金",$AK50*1.5,0))*(1+$AU50)*(1+$AV50)+(($AW50+$AX50)/2*IF($G$1="裂石",$AJ50,$AH50)+IF($G$1="裂石",$AK50*1.5,0))*(1+$AY50)*(1+$AZ50)+(($BA50+$BB50)/2*IF($G$1="牵丝",$AJ50,$AH50)+IF($G$1="牵丝",$AK50*1.5,0))*(1+$BC50)*(1+$BD50)+(($BE50+$BF50)/2*IF($G$1="破竹",$AJ50,$AH50)+IF($G$1="破竹",$AK50*1.5,0))*(1+$BG50)*(1+$BH50))*(1+$AL50)*$P50*(1+IF(VLOOKUP($Q50,武学奇术!$A:$ZZ,30,FALSE)="回旋伞",$B$21,0))*(1+$BQ50)</f>
        <v>50567.564252562</v>
      </c>
      <c r="O50" s="41">
        <f>((($AN50*$AH50+$AI50)*(1+$AP50)*(1+$AQ50)+($AS50*IF($G$1="鸣金",$AJ50,$AH50)+IF($G$1="鸣金",$AK50*1.5,0))*(1+$AU50)*(1+$AV50)+($AW50*IF($G$1="裂石",$AJ50,$AH50)+IF($G$1="裂石",$AK50*1.5,0))*(1+$AY50)*(1+$AZ50)+($BA50*IF($G$1="牵丝",$AJ50,$AH50)+IF($G$1="牵丝",$AK50*1.5,0))*(1+$BC50)*(1+$BD50)+($BE50*IF($G$1="破竹",$AJ50,$AH50)+IF($G$1="破竹",$AK50*1.5,0))*(1+$BG50)*(1+$BH50))*(1+$AL50))*$P50*(1+IF(VLOOKUP($Q50,武学奇术!$A:$ZZ,30,FALSE)="回旋伞",$B$21,0))*(1+$BQ50)</f>
        <v>44368.0776279481</v>
      </c>
      <c r="P50" s="42">
        <v>2</v>
      </c>
      <c r="Q50" s="43" t="s">
        <v>140</v>
      </c>
      <c r="R50" s="43" t="s">
        <v>71</v>
      </c>
      <c r="S50" s="43" t="s">
        <v>91</v>
      </c>
      <c r="T50" s="43" t="s">
        <v>72</v>
      </c>
      <c r="U50" s="43" t="s">
        <v>71</v>
      </c>
      <c r="V50" s="43" t="s">
        <v>167</v>
      </c>
      <c r="W50" s="43" t="s">
        <v>95</v>
      </c>
      <c r="X50" s="43" t="s">
        <v>82</v>
      </c>
      <c r="Y50" s="43" t="s">
        <v>71</v>
      </c>
      <c r="Z50" s="43" t="s">
        <v>71</v>
      </c>
      <c r="AA50" s="43" t="s">
        <v>71</v>
      </c>
      <c r="AB50" s="43" t="s">
        <v>71</v>
      </c>
      <c r="AC50" s="43" t="s">
        <v>71</v>
      </c>
      <c r="AD50" s="43" t="s">
        <v>71</v>
      </c>
      <c r="AE50" s="43" t="s">
        <v>71</v>
      </c>
      <c r="AF50" s="43" t="s">
        <v>76</v>
      </c>
      <c r="AG50" t="str">
        <f>VLOOKUP($Q50,武学奇术!$A:$ZZ,25,FALSE)</f>
        <v>伞</v>
      </c>
      <c r="AH50" s="30">
        <f>VLOOKUP($Q50,武学奇术!$A:$ZZ,26,FALSE)</f>
        <v>2.01456</v>
      </c>
      <c r="AI50" s="31">
        <f>VLOOKUP($Q50,武学奇术!$A:$ZZ,27,FALSE)*(1+IF(OR($AG50=$F$4,$AG50=$F$5),$B$22,0))</f>
        <v>781.2</v>
      </c>
      <c r="AJ50" s="30">
        <f>VLOOKUP($Q50,武学奇术!$A:$ZZ,28,FALSE)</f>
        <v>3.02184</v>
      </c>
      <c r="AK50" s="31">
        <f>VLOOKUP($Q50,武学奇术!$A:$ZZ,29,FALSE)*(1+IF(OR($AG50=$F$4,$AG50=$F$5),$B$22,0))</f>
        <v>423.36</v>
      </c>
      <c r="AL50" s="30" cm="1">
        <f t="array" ref="AL50">$G$3+IFERROR(VLOOKUP($AG50,$F$4:$G$7,2,FALSE),0)+VLOOKUP($Q50,武学奇术!$A:$ZZ,2,FALSE)+SUM(_xlfn.XLOOKUP($R50:$AF50,增益!$A:$A,增益!$B:$B,0))</f>
        <v>0.4541</v>
      </c>
      <c r="AM50" s="30" cm="1">
        <f t="array" ref="AM50">VLOOKUP($Q50,武学奇术!$A:$ZZ,5,FALSE)+SUM(_xlfn.XLOOKUP($R50:$AF50,增益!$A:$A,增益!$E:$E,0))</f>
        <v>0</v>
      </c>
      <c r="AN50" cm="1">
        <f t="array" ref="AN50">$D$10*(1+$AM50)+VLOOKUP($Q50,武学奇术!$A:$ZZ,3,FALSE)+SUM(_xlfn.XLOOKUP($R50:$AF50,增益!$A:$A,增益!$C:$C,0))-$I$2</f>
        <v>3545.8</v>
      </c>
      <c r="AO50" cm="1">
        <f t="array" ref="AO50">$E$10*(1+$AM50)+VLOOKUP($Q50,武学奇术!$A:$ZZ,4,FALSE)+SUM(_xlfn.XLOOKUP($R50:$AF50,增益!$A:$A,增益!$D:$D,0))-$I$2</f>
        <v>3545.8</v>
      </c>
      <c r="AP50" s="35" cm="1">
        <f t="array" ref="AP50">IF($F$10-$I$3+VLOOKUP($Q50,武学奇术!$A:$ZZ,6,FALSE)+SUM(_xlfn.XLOOKUP(R50:AF50,增益!$A:$A,增益!$F:$F,0))&gt;0,($F$10-$I$3+VLOOKUP($Q50,武学奇术!$A:$ZZ,6,FALSE)+SUM(_xlfn.XLOOKUP(R50:AF50,增益!$A:$A,增益!$F:$F,0)))/200,($F$10-$I$3+VLOOKUP($Q50,武学奇术!$A:$ZZ,6,FALSE)+SUM(_xlfn.XLOOKUP(R50:AF50,增益!$A:$A,增益!$F:$F,0)))/100)</f>
        <v>0.3425</v>
      </c>
      <c r="AQ50" s="35" cm="1">
        <f t="array" ref="AQ50">$G$10+VLOOKUP($Q50,武学奇术!$A:$ZZ,7,FALSE)+SUM(_xlfn.XLOOKUP(R50:AF50,增益!$A:$A,增益!$G:$G,0))</f>
        <v>0.028</v>
      </c>
      <c r="AR50" s="30" cm="1">
        <f t="array" ref="AR50">VLOOKUP($Q50,武学奇术!$A:$ZZ,8,FALSE)+SUM(_xlfn.XLOOKUP(R50:AF50,增益!$A:$A,增益!$H:$H,0))</f>
        <v>0</v>
      </c>
      <c r="AS50">
        <f t="shared" si="18"/>
        <v>0</v>
      </c>
      <c r="AT50">
        <f t="shared" si="19"/>
        <v>0</v>
      </c>
      <c r="AU50" s="35" cm="1">
        <f t="array" ref="AU50">IF($F$11-$I$4+VLOOKUP($Q50,武学奇术!$A:$ZZ,9,FALSE)+SUM(_xlfn.XLOOKUP(R50:AF50,增益!$A:$A,增益!$I:$I,0))&gt;0,($F$11-$I$4+VLOOKUP($Q50,武学奇术!$A:$ZZ,9,FALSE)+SUM(_xlfn.XLOOKUP(R50:AF50,增益!$A:$A,增益!$I:$I,0)))/200,($F$11-$I$4+VLOOKUP($Q50,武学奇术!$A:$ZZ,9,FALSE)+SUM(_xlfn.XLOOKUP(R50:AF50,增益!$A:$A,增益!$I:$I,0)))/100)</f>
        <v>-0.14</v>
      </c>
      <c r="AV50" s="35" cm="1">
        <f t="array" ref="AV50">$G$11+VLOOKUP($Q50,武学奇术!$A:$ZZ,10,FALSE)+SUM(_xlfn.XLOOKUP(R50:AF50,增益!$A:$A,增益!$J:$J,0))</f>
        <v>0</v>
      </c>
      <c r="AW50">
        <f t="shared" si="20"/>
        <v>0</v>
      </c>
      <c r="AX50">
        <f t="shared" si="21"/>
        <v>0</v>
      </c>
      <c r="AY50" s="35" cm="1">
        <f t="array" ref="AY50">IF($F$12-$I$4+VLOOKUP($Q50,武学奇术!$A:$ZZ,11,FALSE)+SUM(_xlfn.XLOOKUP(R50:AF50,增益!$A:$A,增益!$K:$K,0))&gt;0,($F$12-$I$4+VLOOKUP($Q50,武学奇术!$A:$ZZ,11,FALSE)+SUM(_xlfn.XLOOKUP(R50:AF50,增益!$A:$A,增益!$K:$K,0)))/200,($F$12-$I$4+VLOOKUP($Q50,武学奇术!$A:$ZZ,11,FALSE)+SUM(_xlfn.XLOOKUP(R50:AF50,增益!$A:$A,增益!$K:$K,0)))/100)</f>
        <v>-0.14</v>
      </c>
      <c r="AZ50" s="35" cm="1">
        <f t="array" ref="AZ50">$G$12+VLOOKUP($Q50,武学奇术!$A:$ZZ,12,FALSE)+SUM(_xlfn.XLOOKUP(R50:AF50,增益!$A:$A,增益!$L:$L,0))</f>
        <v>0</v>
      </c>
      <c r="BA50">
        <f t="shared" si="13"/>
        <v>0</v>
      </c>
      <c r="BB50">
        <f t="shared" si="14"/>
        <v>0</v>
      </c>
      <c r="BC50" s="35" cm="1">
        <f t="array" ref="BC50">IF($F$13-$I$4+VLOOKUP($Q50,武学奇术!$A:$ZZ,13,FALSE)+SUM(_xlfn.XLOOKUP(R50:AF50,增益!$A:$A,增益!$M:$M,0))&gt;0,($F$13-$I$4+VLOOKUP($Q50,武学奇术!$A:$ZZ,13,FALSE)+SUM(_xlfn.XLOOKUP(R50:AF50,增益!$A:$A,增益!$K:$K,0)))/200,($F$13-$I$4+VLOOKUP($Q50,武学奇术!$A:$ZZ,13,FALSE)+SUM(_xlfn.XLOOKUP(R50:AF50,增益!$A:$A,增益!$M:$M,0)))/100)</f>
        <v>-0.14</v>
      </c>
      <c r="BD50" s="35" cm="1">
        <f t="array" ref="BD50">$G$13+VLOOKUP($Q50,武学奇术!$A:$ZZ,14,FALSE)+SUM(_xlfn.XLOOKUP(R50:AF50,增益!$A:$A,增益!$N:$N,0))</f>
        <v>0</v>
      </c>
      <c r="BE50">
        <f t="shared" si="15"/>
        <v>538</v>
      </c>
      <c r="BF50">
        <f t="shared" si="16"/>
        <v>1561.4</v>
      </c>
      <c r="BG50" s="35" cm="1">
        <f t="array" ref="BG50">IF($F$14-$I$4+VLOOKUP($Q50,武学奇术!$A:$ZZ,15,FALSE)+SUM(_xlfn.XLOOKUP(R50:AF50,增益!$A:$A,增益!$O:$O,0))&gt;0,($F$14-$I$4+VLOOKUP($Q50,武学奇术!$A:$ZZ,15,FALSE)+SUM(_xlfn.XLOOKUP(R50:AF50,增益!$A:$A,增益!$O:$O,0)))/200,($F$14-$I$4+VLOOKUP($Q50,武学奇术!$A:$ZZ,15,FALSE)+SUM(_xlfn.XLOOKUP(R50:AF50,增益!$A:$A,增益!$O:$O,0)))/100)</f>
        <v>0.08</v>
      </c>
      <c r="BH50" s="35" cm="1">
        <f t="array" ref="BH50">$G$14+VLOOKUP($Q50,武学奇术!$A:$ZZ,16,FALSE)+SUM(_xlfn.XLOOKUP(R50:AF50,增益!$A:$A,增益!$P:$P,0))</f>
        <v>0.15</v>
      </c>
      <c r="BI50" s="30">
        <f>MIN(IF(VLOOKUP($Q50,武学奇术!$A:$ZZ,23,FALSE)=1,100%,$B$8),100%)</f>
        <v>0.9712</v>
      </c>
      <c r="BJ50" s="30" cm="1">
        <f t="array" ref="BJ50">IF(VLOOKUP($Q50,武学奇术!$A:$ZZ,23,FALSE)=1,100%,MIN(80%,$B$9+VLOOKUP($Q50,武学奇术!$A:$ZZ,17,FALSE)+SUM(_xlfn.XLOOKUP(R50:AF50,增益!$A:$A,增益!$Q:$Q,0)))+$B$11+SUM(_xlfn.XLOOKUP(R50:AF50,增益!$A:$A,增益!$U:$U,0)))*IF(VLOOKUP($Q50,武学奇术!$A:$ZZ,24,FALSE)=1,0,1)</f>
        <v>0.8773</v>
      </c>
      <c r="BK50" s="30" cm="1">
        <f t="array" ref="BK50">1+$B$13+VLOOKUP($Q50,武学奇术!$A:$ZZ,18,FALSE)+SUM(_xlfn.XLOOKUP(R50:AF50,增益!$A:$A,增益!$R:$R,0))</f>
        <v>1.87</v>
      </c>
      <c r="BL50" s="30" cm="1">
        <f t="array" ref="BL50">IF(VLOOKUP($Q50,武学奇术!$A:$ZZ,24,FALSE)=1,100%,MIN(40%,$B$10+VLOOKUP($Q50,武学奇术!$A:$ZZ,19,FALSE)+SUM(_xlfn.XLOOKUP(R50:AF50,增益!$A:$A,增益!$S:$S,0)))+$B$12+SUM(_xlfn.XLOOKUP(R50:AF50,增益!$A:$A,增益!$V:$V,0)))*IF(VLOOKUP($Q50,武学奇术!$A:$ZZ,23,FALSE)=1,0,1)</f>
        <v>0.0895</v>
      </c>
      <c r="BM50" s="30" cm="1">
        <f t="array" ref="BM50">1+$B$14+VLOOKUP($Q50,武学奇术!$A:$ZZ,20,FALSE)+SUM(_xlfn.XLOOKUP(R50:AF50,增益!$A:$A,增益!$T:$T,0))</f>
        <v>1.35</v>
      </c>
      <c r="BN50" s="30">
        <f t="shared" si="11"/>
        <v>0.85203376</v>
      </c>
      <c r="BO50" s="30">
        <f t="shared" si="17"/>
        <v>0.03224384</v>
      </c>
      <c r="BP50" s="30">
        <f>IF(VLOOKUP($Q50,武学奇术!$A:$ZZ,22,FALSE)=1,0,(1-$BI50))*(1-$BL50)</f>
        <v>0.0262224</v>
      </c>
      <c r="BQ50" s="30" cm="1">
        <f t="array" ref="BQ50">SUM(_xlfn.XLOOKUP(R50:AF50,增益!$A:$A,增益!$W:$W,0))+$I$5</f>
        <v>0.11</v>
      </c>
    </row>
    <row r="51" spans="1:69">
      <c r="A51" s="4" t="s">
        <v>173</v>
      </c>
      <c r="B51" s="4">
        <v>7</v>
      </c>
      <c r="C51" s="42" t="s">
        <v>174</v>
      </c>
      <c r="D51" s="42"/>
      <c r="E51"/>
      <c r="F51" s="4"/>
      <c r="G51" s="90"/>
      <c r="K51" s="41">
        <f t="shared" si="12"/>
        <v>24253.0523176798</v>
      </c>
      <c r="L51" s="41">
        <f>((($AN51+$AO51)/2*$AH51+$AI51)*(1+$AP51)*(1+$AQ51)+(($AS51+$AT51)/2*IF($G$1="鸣金",$AJ51,$AH51)+IF($G$1="鸣金",$AK51*1.5,0))*(1+$AU51)*(1+$AV51)+(($AW51+$AX51)/2*IF($G$1="裂石",$AJ51,$AH51)+IF($G$1="裂石",$AK51*1.5,0))*(1+$AY51)*(1+$AZ51)+(($BA51+$BB51)/2*IF($G$1="牵丝",$AJ51,$AH51)+IF($G$1="牵丝",$AK51*1.5,0))*(1+$BC51)*(1+$BD51)+(($BE51+$BF51)/2*IF($G$1="破竹",$AJ51,$AH51)+IF($G$1="破竹",$AK51*1.5,0))*(1+$BG51)*(1+$BH51))*(1+$AL51)*$BK51*$P51*(1+IF(VLOOKUP($Q51,武学奇术!$A:$ZZ,30,FALSE)="回旋伞",$B$21,0))*(1+$BQ51)</f>
        <v>25397.1223639564</v>
      </c>
      <c r="M51" s="41">
        <f>(($AO51*$AH51+$AI51)*(1+$AP51)*(1+$AQ51)+($AT51*IF($G$1="鸣金",$AJ51,$AH51)+IF($G$1="鸣金",$AK51*1.5,0))*(1+$AU51)*(1+$AV51)+($AX51*IF($G$1="裂石",$AJ51,$AH51)+IF($G$1="裂石",$AK51*1.5,0))*(1+$AY51)*(1+$AZ51)+($BB51*IF($G$1="牵丝",$AJ51,$AH51)+IF($G$1="牵丝",$AK51*1.5,0))*(1+$BC51)*(1+$BD51)+($BF51*IF($G$1="破竹",$AJ51,$AH51)+IF($G$1="破竹",$AK51*1.5,0))*(1+$BG51)*(1+$BH51))*(1+$AL51)*$BM51*$P51*(1+IF(VLOOKUP($Q51,武学奇术!$A:$ZZ,30,FALSE)="回旋伞",$B$21,0))*(1+$BQ51)</f>
        <v>20886.761410627</v>
      </c>
      <c r="N51" s="41">
        <f>((($AN51+$AO51)/2*$AH51+$AI51)*(1+$AP51)*(1+$AQ51)+(($AS51+$AT51)/2*IF($G$1="鸣金",$AJ51,$AH51)+IF($G$1="鸣金",$AK51*1.5,0))*(1+$AU51)*(1+$AV51)+(($AW51+$AX51)/2*IF($G$1="裂石",$AJ51,$AH51)+IF($G$1="裂石",$AK51*1.5,0))*(1+$AY51)*(1+$AZ51)+(($BA51+$BB51)/2*IF($G$1="牵丝",$AJ51,$AH51)+IF($G$1="牵丝",$AK51*1.5,0))*(1+$BC51)*(1+$BD51)+(($BE51+$BF51)/2*IF($G$1="破竹",$AJ51,$AH51)+IF($G$1="破竹",$AK51*1.5,0))*(1+$BG51)*(1+$BH51))*(1+$AL51)*$P51*(1+IF(VLOOKUP($Q51,武学奇术!$A:$ZZ,30,FALSE)="回旋伞",$B$21,0))*(1+$BQ51)</f>
        <v>13581.3488577307</v>
      </c>
      <c r="O51" s="41">
        <f>((($AN51*$AH51+$AI51)*(1+$AP51)*(1+$AQ51)+($AS51*IF($G$1="鸣金",$AJ51,$AH51)+IF($G$1="鸣金",$AK51*1.5,0))*(1+$AU51)*(1+$AV51)+($AW51*IF($G$1="裂石",$AJ51,$AH51)+IF($G$1="裂石",$AK51*1.5,0))*(1+$AY51)*(1+$AZ51)+($BA51*IF($G$1="牵丝",$AJ51,$AH51)+IF($G$1="牵丝",$AK51*1.5,0))*(1+$BC51)*(1+$BD51)+($BE51*IF($G$1="破竹",$AJ51,$AH51)+IF($G$1="破竹",$AK51*1.5,0))*(1+$BG51)*(1+$BH51))*(1+$AL51))*$P51*(1+IF(VLOOKUP($Q51,武学奇术!$A:$ZZ,30,FALSE)="回旋伞",$B$21,0))*(1+$BQ51)</f>
        <v>11691.0225964784</v>
      </c>
      <c r="P51" s="42">
        <v>2</v>
      </c>
      <c r="Q51" s="43" t="s">
        <v>143</v>
      </c>
      <c r="R51" s="43" t="s">
        <v>71</v>
      </c>
      <c r="S51" s="43" t="s">
        <v>91</v>
      </c>
      <c r="T51" s="43" t="s">
        <v>72</v>
      </c>
      <c r="U51" s="43" t="s">
        <v>71</v>
      </c>
      <c r="V51" s="43" t="s">
        <v>167</v>
      </c>
      <c r="W51" s="43" t="s">
        <v>95</v>
      </c>
      <c r="X51" s="43" t="s">
        <v>82</v>
      </c>
      <c r="Y51" s="43" t="s">
        <v>71</v>
      </c>
      <c r="Z51" s="43" t="s">
        <v>71</v>
      </c>
      <c r="AA51" s="43" t="s">
        <v>71</v>
      </c>
      <c r="AB51" s="43" t="s">
        <v>71</v>
      </c>
      <c r="AC51" s="43" t="s">
        <v>71</v>
      </c>
      <c r="AD51" s="43" t="s">
        <v>71</v>
      </c>
      <c r="AE51" s="43" t="s">
        <v>71</v>
      </c>
      <c r="AF51" s="43" t="s">
        <v>76</v>
      </c>
      <c r="AG51" t="str">
        <f>VLOOKUP($Q51,武学奇术!$A:$ZZ,25,FALSE)</f>
        <v>伞</v>
      </c>
      <c r="AH51" s="30">
        <f>VLOOKUP($Q51,武学奇术!$A:$ZZ,26,FALSE)</f>
        <v>0.54</v>
      </c>
      <c r="AI51" s="31">
        <f>VLOOKUP($Q51,武学奇术!$A:$ZZ,27,FALSE)*(1+IF(OR($AG51=$F$4,$AG51=$F$5),$B$22,0))</f>
        <v>0</v>
      </c>
      <c r="AJ51" s="30">
        <f>VLOOKUP($Q51,武学奇术!$A:$ZZ,28,FALSE)</f>
        <v>0.81</v>
      </c>
      <c r="AK51" s="31">
        <f>VLOOKUP($Q51,武学奇术!$A:$ZZ,29,FALSE)*(1+IF(OR($AG51=$F$4,$AG51=$F$5),$B$22,0))</f>
        <v>0</v>
      </c>
      <c r="AL51" s="30" cm="1">
        <f t="array" ref="AL51">$G$3+IFERROR(VLOOKUP($AG51,$F$4:$G$7,2,FALSE),0)+VLOOKUP($Q51,武学奇术!$A:$ZZ,2,FALSE)+SUM(_xlfn.XLOOKUP($R51:$AF51,增益!$A:$A,增益!$B:$B,0))</f>
        <v>0.6541</v>
      </c>
      <c r="AM51" s="30" cm="1">
        <f t="array" ref="AM51">VLOOKUP($Q51,武学奇术!$A:$ZZ,5,FALSE)+SUM(_xlfn.XLOOKUP($R51:$AF51,增益!$A:$A,增益!$E:$E,0))</f>
        <v>0</v>
      </c>
      <c r="AN51" cm="1">
        <f t="array" ref="AN51">$D$10*(1+$AM51)+VLOOKUP($Q51,武学奇术!$A:$ZZ,3,FALSE)+SUM(_xlfn.XLOOKUP($R51:$AF51,增益!$A:$A,增益!$C:$C,0))-$I$2</f>
        <v>3545.8</v>
      </c>
      <c r="AO51" cm="1">
        <f t="array" ref="AO51">$E$10*(1+$AM51)+VLOOKUP($Q51,武学奇术!$A:$ZZ,4,FALSE)+SUM(_xlfn.XLOOKUP($R51:$AF51,增益!$A:$A,增益!$D:$D,0))-$I$2</f>
        <v>3545.8</v>
      </c>
      <c r="AP51" s="35" cm="1">
        <f t="array" ref="AP51">IF($F$10-$I$3+VLOOKUP($Q51,武学奇术!$A:$ZZ,6,FALSE)+SUM(_xlfn.XLOOKUP(R51:AF51,增益!$A:$A,增益!$F:$F,0))&gt;0,($F$10-$I$3+VLOOKUP($Q51,武学奇术!$A:$ZZ,6,FALSE)+SUM(_xlfn.XLOOKUP(R51:AF51,增益!$A:$A,增益!$F:$F,0)))/200,($F$10-$I$3+VLOOKUP($Q51,武学奇术!$A:$ZZ,6,FALSE)+SUM(_xlfn.XLOOKUP(R51:AF51,增益!$A:$A,增益!$F:$F,0)))/100)</f>
        <v>0.3425</v>
      </c>
      <c r="AQ51" s="35" cm="1">
        <f t="array" ref="AQ51">$G$10+VLOOKUP($Q51,武学奇术!$A:$ZZ,7,FALSE)+SUM(_xlfn.XLOOKUP(R51:AF51,增益!$A:$A,增益!$G:$G,0))</f>
        <v>0.028</v>
      </c>
      <c r="AR51" s="30" cm="1">
        <f t="array" ref="AR51">VLOOKUP($Q51,武学奇术!$A:$ZZ,8,FALSE)+SUM(_xlfn.XLOOKUP(R51:AF51,增益!$A:$A,增益!$H:$H,0))</f>
        <v>0</v>
      </c>
      <c r="AS51">
        <f t="shared" si="18"/>
        <v>0</v>
      </c>
      <c r="AT51">
        <f t="shared" si="19"/>
        <v>0</v>
      </c>
      <c r="AU51" s="35" cm="1">
        <f t="array" ref="AU51">IF($F$11-$I$4+VLOOKUP($Q51,武学奇术!$A:$ZZ,9,FALSE)+SUM(_xlfn.XLOOKUP(R51:AF51,增益!$A:$A,增益!$I:$I,0))&gt;0,($F$11-$I$4+VLOOKUP($Q51,武学奇术!$A:$ZZ,9,FALSE)+SUM(_xlfn.XLOOKUP(R51:AF51,增益!$A:$A,增益!$I:$I,0)))/200,($F$11-$I$4+VLOOKUP($Q51,武学奇术!$A:$ZZ,9,FALSE)+SUM(_xlfn.XLOOKUP(R51:AF51,增益!$A:$A,增益!$I:$I,0)))/100)</f>
        <v>-0.14</v>
      </c>
      <c r="AV51" s="35" cm="1">
        <f t="array" ref="AV51">$G$11+VLOOKUP($Q51,武学奇术!$A:$ZZ,10,FALSE)+SUM(_xlfn.XLOOKUP(R51:AF51,增益!$A:$A,增益!$J:$J,0))</f>
        <v>0</v>
      </c>
      <c r="AW51">
        <f t="shared" si="20"/>
        <v>0</v>
      </c>
      <c r="AX51">
        <f t="shared" si="21"/>
        <v>0</v>
      </c>
      <c r="AY51" s="35" cm="1">
        <f t="array" ref="AY51">IF($F$12-$I$4+VLOOKUP($Q51,武学奇术!$A:$ZZ,11,FALSE)+SUM(_xlfn.XLOOKUP(R51:AF51,增益!$A:$A,增益!$K:$K,0))&gt;0,($F$12-$I$4+VLOOKUP($Q51,武学奇术!$A:$ZZ,11,FALSE)+SUM(_xlfn.XLOOKUP(R51:AF51,增益!$A:$A,增益!$K:$K,0)))/200,($F$12-$I$4+VLOOKUP($Q51,武学奇术!$A:$ZZ,11,FALSE)+SUM(_xlfn.XLOOKUP(R51:AF51,增益!$A:$A,增益!$K:$K,0)))/100)</f>
        <v>-0.14</v>
      </c>
      <c r="AZ51" s="35" cm="1">
        <f t="array" ref="AZ51">$G$12+VLOOKUP($Q51,武学奇术!$A:$ZZ,12,FALSE)+SUM(_xlfn.XLOOKUP(R51:AF51,增益!$A:$A,增益!$L:$L,0))</f>
        <v>0</v>
      </c>
      <c r="BA51">
        <f t="shared" si="13"/>
        <v>0</v>
      </c>
      <c r="BB51">
        <f t="shared" si="14"/>
        <v>0</v>
      </c>
      <c r="BC51" s="35" cm="1">
        <f t="array" ref="BC51">IF($F$13-$I$4+VLOOKUP($Q51,武学奇术!$A:$ZZ,13,FALSE)+SUM(_xlfn.XLOOKUP(R51:AF51,增益!$A:$A,增益!$M:$M,0))&gt;0,($F$13-$I$4+VLOOKUP($Q51,武学奇术!$A:$ZZ,13,FALSE)+SUM(_xlfn.XLOOKUP(R51:AF51,增益!$A:$A,增益!$K:$K,0)))/200,($F$13-$I$4+VLOOKUP($Q51,武学奇术!$A:$ZZ,13,FALSE)+SUM(_xlfn.XLOOKUP(R51:AF51,增益!$A:$A,增益!$M:$M,0)))/100)</f>
        <v>-0.14</v>
      </c>
      <c r="BD51" s="35" cm="1">
        <f t="array" ref="BD51">$G$13+VLOOKUP($Q51,武学奇术!$A:$ZZ,14,FALSE)+SUM(_xlfn.XLOOKUP(R51:AF51,增益!$A:$A,增益!$N:$N,0))</f>
        <v>0</v>
      </c>
      <c r="BE51">
        <f t="shared" si="15"/>
        <v>538</v>
      </c>
      <c r="BF51">
        <f t="shared" si="16"/>
        <v>1561.4</v>
      </c>
      <c r="BG51" s="35" cm="1">
        <f t="array" ref="BG51">IF($F$14-$I$4+VLOOKUP($Q51,武学奇术!$A:$ZZ,15,FALSE)+SUM(_xlfn.XLOOKUP(R51:AF51,增益!$A:$A,增益!$O:$O,0))&gt;0,($F$14-$I$4+VLOOKUP($Q51,武学奇术!$A:$ZZ,15,FALSE)+SUM(_xlfn.XLOOKUP(R51:AF51,增益!$A:$A,增益!$O:$O,0)))/200,($F$14-$I$4+VLOOKUP($Q51,武学奇术!$A:$ZZ,15,FALSE)+SUM(_xlfn.XLOOKUP(R51:AF51,增益!$A:$A,增益!$O:$O,0)))/100)</f>
        <v>0.08</v>
      </c>
      <c r="BH51" s="35" cm="1">
        <f t="array" ref="BH51">$G$14+VLOOKUP($Q51,武学奇术!$A:$ZZ,16,FALSE)+SUM(_xlfn.XLOOKUP(R51:AF51,增益!$A:$A,增益!$P:$P,0))</f>
        <v>0.15</v>
      </c>
      <c r="BI51" s="30">
        <f>MIN(IF(VLOOKUP($Q51,武学奇术!$A:$ZZ,23,FALSE)=1,100%,$B$8),100%)</f>
        <v>0.9712</v>
      </c>
      <c r="BJ51" s="30" cm="1">
        <f t="array" ref="BJ51">IF(VLOOKUP($Q51,武学奇术!$A:$ZZ,23,FALSE)=1,100%,MIN(80%,$B$9+VLOOKUP($Q51,武学奇术!$A:$ZZ,17,FALSE)+SUM(_xlfn.XLOOKUP(R51:AF51,增益!$A:$A,增益!$Q:$Q,0)))+$B$11+SUM(_xlfn.XLOOKUP(R51:AF51,增益!$A:$A,增益!$U:$U,0)))*IF(VLOOKUP($Q51,武学奇术!$A:$ZZ,24,FALSE)=1,0,1)</f>
        <v>0.8773</v>
      </c>
      <c r="BK51" s="30" cm="1">
        <f t="array" ref="BK51">1+$B$13+VLOOKUP($Q51,武学奇术!$A:$ZZ,18,FALSE)+SUM(_xlfn.XLOOKUP(R51:AF51,增益!$A:$A,增益!$R:$R,0))</f>
        <v>1.87</v>
      </c>
      <c r="BL51" s="30" cm="1">
        <f t="array" ref="BL51">IF(VLOOKUP($Q51,武学奇术!$A:$ZZ,24,FALSE)=1,100%,MIN(40%,$B$10+VLOOKUP($Q51,武学奇术!$A:$ZZ,19,FALSE)+SUM(_xlfn.XLOOKUP(R51:AF51,增益!$A:$A,增益!$S:$S,0)))+$B$12+SUM(_xlfn.XLOOKUP(R51:AF51,增益!$A:$A,增益!$V:$V,0)))*IF(VLOOKUP($Q51,武学奇术!$A:$ZZ,23,FALSE)=1,0,1)</f>
        <v>0.0895</v>
      </c>
      <c r="BM51" s="30" cm="1">
        <f t="array" ref="BM51">1+$B$14+VLOOKUP($Q51,武学奇术!$A:$ZZ,20,FALSE)+SUM(_xlfn.XLOOKUP(R51:AF51,增益!$A:$A,增益!$T:$T,0))</f>
        <v>1.35</v>
      </c>
      <c r="BN51" s="30">
        <f t="shared" si="11"/>
        <v>0.85203376</v>
      </c>
      <c r="BO51" s="30">
        <f t="shared" si="17"/>
        <v>0.03224384</v>
      </c>
      <c r="BP51" s="30">
        <f>IF(VLOOKUP($Q51,武学奇术!$A:$ZZ,22,FALSE)=1,0,(1-$BI51))*(1-$BL51)</f>
        <v>0.0262224</v>
      </c>
      <c r="BQ51" s="30" cm="1">
        <f t="array" ref="BQ51">SUM(_xlfn.XLOOKUP(R51:AF51,增益!$A:$A,增益!$W:$W,0))+$I$5</f>
        <v>0.11</v>
      </c>
    </row>
    <row r="52" spans="1:69">
      <c r="A52" s="4" t="s">
        <v>175</v>
      </c>
      <c r="B52" s="4">
        <v>3.5</v>
      </c>
      <c r="C52" s="42"/>
      <c r="D52" s="42"/>
      <c r="E52" s="42" t="s">
        <v>162</v>
      </c>
      <c r="K52" s="41">
        <f t="shared" si="12"/>
        <v>84012.0634489531</v>
      </c>
      <c r="L52" s="41">
        <f>((($AN52+$AO52)/2*$AH52+$AI52)*(1+$AP52)*(1+$AQ52)+(($AS52+$AT52)/2*IF($G$1="鸣金",$AJ52,$AH52)+IF($G$1="鸣金",$AK52*1.5,0))*(1+$AU52)*(1+$AV52)+(($AW52+$AX52)/2*IF($G$1="裂石",$AJ52,$AH52)+IF($G$1="裂石",$AK52*1.5,0))*(1+$AY52)*(1+$AZ52)+(($BA52+$BB52)/2*IF($G$1="牵丝",$AJ52,$AH52)+IF($G$1="牵丝",$AK52*1.5,0))*(1+$BC52)*(1+$BD52)+(($BE52+$BF52)/2*IF($G$1="破竹",$AJ52,$AH52)+IF($G$1="破竹",$AK52*1.5,0))*(1+$BG52)*(1+$BH52))*(1+$AL52)*$BK52*$P52*(1+IF(VLOOKUP($Q52,武学奇术!$A:$ZZ,30,FALSE)="回旋伞",$B$21,0))*(1+$BQ52)</f>
        <v>88005.8956175656</v>
      </c>
      <c r="M52" s="41">
        <f>(($AO52*$AH52+$AI52)*(1+$AP52)*(1+$AQ52)+($AT52*IF($G$1="鸣金",$AJ52,$AH52)+IF($G$1="鸣金",$AK52*1.5,0))*(1+$AU52)*(1+$AV52)+($AX52*IF($G$1="裂石",$AJ52,$AH52)+IF($G$1="裂石",$AK52*1.5,0))*(1+$AY52)*(1+$AZ52)+($BB52*IF($G$1="牵丝",$AJ52,$AH52)+IF($G$1="牵丝",$AK52*1.5,0))*(1+$BC52)*(1+$BD52)+($BF52*IF($G$1="破竹",$AJ52,$AH52)+IF($G$1="破竹",$AK52*1.5,0))*(1+$BG52)*(1+$BH52))*(1+$AL52)*$BM52*$P52*(1+IF(VLOOKUP($Q52,武学奇术!$A:$ZZ,30,FALSE)="回旋伞",$B$21,0))*(1+$BQ52)</f>
        <v>71956.9401516174</v>
      </c>
      <c r="N52" s="41">
        <f>((($AN52+$AO52)/2*$AH52+$AI52)*(1+$AP52)*(1+$AQ52)+(($AS52+$AT52)/2*IF($G$1="鸣金",$AJ52,$AH52)+IF($G$1="鸣金",$AK52*1.5,0))*(1+$AU52)*(1+$AV52)+(($AW52+$AX52)/2*IF($G$1="裂石",$AJ52,$AH52)+IF($G$1="裂石",$AK52*1.5,0))*(1+$AY52)*(1+$AZ52)+(($BA52+$BB52)/2*IF($G$1="牵丝",$AJ52,$AH52)+IF($G$1="牵丝",$AK52*1.5,0))*(1+$BC52)*(1+$BD52)+(($BE52+$BF52)/2*IF($G$1="破竹",$AJ52,$AH52)+IF($G$1="破竹",$AK52*1.5,0))*(1+$BG52)*(1+$BH52))*(1+$AL52)*$P52*(1+IF(VLOOKUP($Q52,武学奇术!$A:$ZZ,30,FALSE)="回旋伞",$B$21,0))*(1+$BQ52)</f>
        <v>47061.9762660778</v>
      </c>
      <c r="O52" s="41">
        <f>((($AN52*$AH52+$AI52)*(1+$AP52)*(1+$AQ52)+($AS52*IF($G$1="鸣金",$AJ52,$AH52)+IF($G$1="鸣金",$AK52*1.5,0))*(1+$AU52)*(1+$AV52)+($AW52*IF($G$1="裂石",$AJ52,$AH52)+IF($G$1="裂石",$AK52*1.5,0))*(1+$AY52)*(1+$AZ52)+($BA52*IF($G$1="牵丝",$AJ52,$AH52)+IF($G$1="牵丝",$AK52*1.5,0))*(1+$BC52)*(1+$BD52)+($BE52*IF($G$1="破竹",$AJ52,$AH52)+IF($G$1="破竹",$AK52*1.5,0))*(1+$BG52)*(1+$BH52))*(1+$AL52))*$P52*(1+IF(VLOOKUP($Q52,武学奇术!$A:$ZZ,30,FALSE)="回旋伞",$B$21,0))*(1+$BQ52)</f>
        <v>40822.5153828094</v>
      </c>
      <c r="P52" s="42">
        <v>1</v>
      </c>
      <c r="Q52" s="43" t="s">
        <v>176</v>
      </c>
      <c r="R52" s="43" t="s">
        <v>71</v>
      </c>
      <c r="S52" s="43" t="s">
        <v>91</v>
      </c>
      <c r="T52" s="43" t="s">
        <v>72</v>
      </c>
      <c r="U52" s="43" t="s">
        <v>79</v>
      </c>
      <c r="V52" s="43" t="s">
        <v>167</v>
      </c>
      <c r="W52" s="43" t="s">
        <v>95</v>
      </c>
      <c r="X52" s="43" t="s">
        <v>82</v>
      </c>
      <c r="Y52" s="43" t="s">
        <v>71</v>
      </c>
      <c r="Z52" s="43" t="s">
        <v>71</v>
      </c>
      <c r="AA52" s="43" t="s">
        <v>71</v>
      </c>
      <c r="AB52" s="43" t="s">
        <v>71</v>
      </c>
      <c r="AC52" s="43" t="s">
        <v>71</v>
      </c>
      <c r="AD52" s="43" t="s">
        <v>71</v>
      </c>
      <c r="AE52" s="43" t="s">
        <v>71</v>
      </c>
      <c r="AF52" s="43" t="s">
        <v>76</v>
      </c>
      <c r="AG52" t="str">
        <f>VLOOKUP($Q52,武学奇术!$A:$ZZ,25,FALSE)</f>
        <v>群体奇术</v>
      </c>
      <c r="AH52" s="30">
        <f>VLOOKUP($Q52,武学奇术!$A:$ZZ,26,FALSE)</f>
        <v>3.9744</v>
      </c>
      <c r="AI52" s="31">
        <f>VLOOKUP($Q52,武学奇术!$A:$ZZ,27,FALSE)*(1+IF(OR($AG52=$F$4,$AG52=$F$5),$B$22,0))</f>
        <v>982</v>
      </c>
      <c r="AJ52" s="30">
        <f>VLOOKUP($Q52,武学奇术!$A:$ZZ,28,FALSE)</f>
        <v>5.9613</v>
      </c>
      <c r="AK52" s="31">
        <f>VLOOKUP($Q52,武学奇术!$A:$ZZ,29,FALSE)*(1+IF(OR($AG52=$F$4,$AG52=$F$5),$B$22,0))</f>
        <v>0</v>
      </c>
      <c r="AL52" s="30" cm="1">
        <f t="array" ref="AL52">$G$3+IFERROR(VLOOKUP($AG52,$F$4:$G$7,2,FALSE),0)+VLOOKUP($Q52,武学奇术!$A:$ZZ,2,FALSE)+SUM(_xlfn.XLOOKUP($R52:$AF52,增益!$A:$A,增益!$B:$B,0))</f>
        <v>0.4837</v>
      </c>
      <c r="AM52" s="30" cm="1">
        <f t="array" ref="AM52">VLOOKUP($Q52,武学奇术!$A:$ZZ,5,FALSE)+SUM(_xlfn.XLOOKUP($R52:$AF52,增益!$A:$A,增益!$E:$E,0))</f>
        <v>0</v>
      </c>
      <c r="AN52" cm="1">
        <f t="array" ref="AN52">$D$10*(1+$AM52)+VLOOKUP($Q52,武学奇术!$A:$ZZ,3,FALSE)+SUM(_xlfn.XLOOKUP($R52:$AF52,增益!$A:$A,增益!$C:$C,0))-$I$2</f>
        <v>3545.8</v>
      </c>
      <c r="AO52" cm="1">
        <f t="array" ref="AO52">$E$10*(1+$AM52)+VLOOKUP($Q52,武学奇术!$A:$ZZ,4,FALSE)+SUM(_xlfn.XLOOKUP($R52:$AF52,增益!$A:$A,增益!$D:$D,0))-$I$2</f>
        <v>3545.8</v>
      </c>
      <c r="AP52" s="35" cm="1">
        <f t="array" ref="AP52">IF($F$10-$I$3+VLOOKUP($Q52,武学奇术!$A:$ZZ,6,FALSE)+SUM(_xlfn.XLOOKUP(R52:AF52,增益!$A:$A,增益!$F:$F,0))&gt;0,($F$10-$I$3+VLOOKUP($Q52,武学奇术!$A:$ZZ,6,FALSE)+SUM(_xlfn.XLOOKUP(R52:AF52,增益!$A:$A,增益!$F:$F,0)))/200,($F$10-$I$3+VLOOKUP($Q52,武学奇术!$A:$ZZ,6,FALSE)+SUM(_xlfn.XLOOKUP(R52:AF52,增益!$A:$A,增益!$F:$F,0)))/100)</f>
        <v>0.3425</v>
      </c>
      <c r="AQ52" s="35" cm="1">
        <f t="array" ref="AQ52">$G$10+VLOOKUP($Q52,武学奇术!$A:$ZZ,7,FALSE)+SUM(_xlfn.XLOOKUP(R52:AF52,增益!$A:$A,增益!$G:$G,0))</f>
        <v>0.028</v>
      </c>
      <c r="AR52" s="30" cm="1">
        <f t="array" ref="AR52">VLOOKUP($Q52,武学奇术!$A:$ZZ,8,FALSE)+SUM(_xlfn.XLOOKUP(R52:AF52,增益!$A:$A,增益!$H:$H,0))</f>
        <v>0</v>
      </c>
      <c r="AS52">
        <f t="shared" si="18"/>
        <v>0</v>
      </c>
      <c r="AT52">
        <f t="shared" si="19"/>
        <v>0</v>
      </c>
      <c r="AU52" s="35" cm="1">
        <f t="array" ref="AU52">IF($F$11-$I$4+VLOOKUP($Q52,武学奇术!$A:$ZZ,9,FALSE)+SUM(_xlfn.XLOOKUP(R52:AF52,增益!$A:$A,增益!$I:$I,0))&gt;0,($F$11-$I$4+VLOOKUP($Q52,武学奇术!$A:$ZZ,9,FALSE)+SUM(_xlfn.XLOOKUP(R52:AF52,增益!$A:$A,增益!$I:$I,0)))/200,($F$11-$I$4+VLOOKUP($Q52,武学奇术!$A:$ZZ,9,FALSE)+SUM(_xlfn.XLOOKUP(R52:AF52,增益!$A:$A,增益!$I:$I,0)))/100)</f>
        <v>-0.14</v>
      </c>
      <c r="AV52" s="35" cm="1">
        <f t="array" ref="AV52">$G$11+VLOOKUP($Q52,武学奇术!$A:$ZZ,10,FALSE)+SUM(_xlfn.XLOOKUP(R52:AF52,增益!$A:$A,增益!$J:$J,0))</f>
        <v>0</v>
      </c>
      <c r="AW52">
        <f t="shared" si="20"/>
        <v>0</v>
      </c>
      <c r="AX52">
        <f t="shared" si="21"/>
        <v>0</v>
      </c>
      <c r="AY52" s="35" cm="1">
        <f t="array" ref="AY52">IF($F$12-$I$4+VLOOKUP($Q52,武学奇术!$A:$ZZ,11,FALSE)+SUM(_xlfn.XLOOKUP(R52:AF52,增益!$A:$A,增益!$K:$K,0))&gt;0,($F$12-$I$4+VLOOKUP($Q52,武学奇术!$A:$ZZ,11,FALSE)+SUM(_xlfn.XLOOKUP(R52:AF52,增益!$A:$A,增益!$K:$K,0)))/200,($F$12-$I$4+VLOOKUP($Q52,武学奇术!$A:$ZZ,11,FALSE)+SUM(_xlfn.XLOOKUP(R52:AF52,增益!$A:$A,增益!$K:$K,0)))/100)</f>
        <v>-0.14</v>
      </c>
      <c r="AZ52" s="35" cm="1">
        <f t="array" ref="AZ52">$G$12+VLOOKUP($Q52,武学奇术!$A:$ZZ,12,FALSE)+SUM(_xlfn.XLOOKUP(R52:AF52,增益!$A:$A,增益!$L:$L,0))</f>
        <v>0</v>
      </c>
      <c r="BA52">
        <f t="shared" si="13"/>
        <v>0</v>
      </c>
      <c r="BB52">
        <f t="shared" si="14"/>
        <v>0</v>
      </c>
      <c r="BC52" s="35" cm="1">
        <f t="array" ref="BC52">IF($F$13-$I$4+VLOOKUP($Q52,武学奇术!$A:$ZZ,13,FALSE)+SUM(_xlfn.XLOOKUP(R52:AF52,增益!$A:$A,增益!$M:$M,0))&gt;0,($F$13-$I$4+VLOOKUP($Q52,武学奇术!$A:$ZZ,13,FALSE)+SUM(_xlfn.XLOOKUP(R52:AF52,增益!$A:$A,增益!$K:$K,0)))/200,($F$13-$I$4+VLOOKUP($Q52,武学奇术!$A:$ZZ,13,FALSE)+SUM(_xlfn.XLOOKUP(R52:AF52,增益!$A:$A,增益!$M:$M,0)))/100)</f>
        <v>-0.14</v>
      </c>
      <c r="BD52" s="35" cm="1">
        <f t="array" ref="BD52">$G$13+VLOOKUP($Q52,武学奇术!$A:$ZZ,14,FALSE)+SUM(_xlfn.XLOOKUP(R52:AF52,增益!$A:$A,增益!$N:$N,0))</f>
        <v>0</v>
      </c>
      <c r="BE52">
        <f t="shared" si="15"/>
        <v>538</v>
      </c>
      <c r="BF52">
        <f t="shared" si="16"/>
        <v>1561.4</v>
      </c>
      <c r="BG52" s="35" cm="1">
        <f t="array" ref="BG52">IF($F$14-$I$4+VLOOKUP($Q52,武学奇术!$A:$ZZ,15,FALSE)+SUM(_xlfn.XLOOKUP(R52:AF52,增益!$A:$A,增益!$O:$O,0))&gt;0,($F$14-$I$4+VLOOKUP($Q52,武学奇术!$A:$ZZ,15,FALSE)+SUM(_xlfn.XLOOKUP(R52:AF52,增益!$A:$A,增益!$O:$O,0)))/200,($F$14-$I$4+VLOOKUP($Q52,武学奇术!$A:$ZZ,15,FALSE)+SUM(_xlfn.XLOOKUP(R52:AF52,增益!$A:$A,增益!$O:$O,0)))/100)</f>
        <v>0.08</v>
      </c>
      <c r="BH52" s="35" cm="1">
        <f t="array" ref="BH52">$G$14+VLOOKUP($Q52,武学奇术!$A:$ZZ,16,FALSE)+SUM(_xlfn.XLOOKUP(R52:AF52,增益!$A:$A,增益!$P:$P,0))</f>
        <v>0.15</v>
      </c>
      <c r="BI52" s="30">
        <f>MIN(IF(VLOOKUP($Q52,武学奇术!$A:$ZZ,23,FALSE)=1,100%,$B$8),100%)</f>
        <v>0.9712</v>
      </c>
      <c r="BJ52" s="30" cm="1">
        <f t="array" ref="BJ52">IF(VLOOKUP($Q52,武学奇术!$A:$ZZ,23,FALSE)=1,100%,MIN(80%,$B$9+VLOOKUP($Q52,武学奇术!$A:$ZZ,17,FALSE)+SUM(_xlfn.XLOOKUP(R52:AF52,增益!$A:$A,增益!$Q:$Q,0)))+$B$11+SUM(_xlfn.XLOOKUP(R52:AF52,增益!$A:$A,增益!$U:$U,0)))*IF(VLOOKUP($Q52,武学奇术!$A:$ZZ,24,FALSE)=1,0,1)</f>
        <v>0.8773</v>
      </c>
      <c r="BK52" s="30" cm="1">
        <f t="array" ref="BK52">1+$B$13+VLOOKUP($Q52,武学奇术!$A:$ZZ,18,FALSE)+SUM(_xlfn.XLOOKUP(R52:AF52,增益!$A:$A,增益!$R:$R,0))</f>
        <v>1.87</v>
      </c>
      <c r="BL52" s="30" cm="1">
        <f t="array" ref="BL52">IF(VLOOKUP($Q52,武学奇术!$A:$ZZ,24,FALSE)=1,100%,MIN(40%,$B$10+VLOOKUP($Q52,武学奇术!$A:$ZZ,19,FALSE)+SUM(_xlfn.XLOOKUP(R52:AF52,增益!$A:$A,增益!$S:$S,0)))+$B$12+SUM(_xlfn.XLOOKUP(R52:AF52,增益!$A:$A,增益!$V:$V,0)))*IF(VLOOKUP($Q52,武学奇术!$A:$ZZ,23,FALSE)=1,0,1)</f>
        <v>0.0895</v>
      </c>
      <c r="BM52" s="30" cm="1">
        <f t="array" ref="BM52">1+$B$14+VLOOKUP($Q52,武学奇术!$A:$ZZ,20,FALSE)+SUM(_xlfn.XLOOKUP(R52:AF52,增益!$A:$A,增益!$T:$T,0))</f>
        <v>1.35</v>
      </c>
      <c r="BN52" s="30">
        <f t="shared" si="11"/>
        <v>0.85203376</v>
      </c>
      <c r="BO52" s="30">
        <f t="shared" si="17"/>
        <v>0.03224384</v>
      </c>
      <c r="BP52" s="30">
        <f>IF(VLOOKUP($Q52,武学奇术!$A:$ZZ,22,FALSE)=1,0,(1-$BI52))*(1-$BL52)</f>
        <v>0.0262224</v>
      </c>
      <c r="BQ52" s="30" cm="1">
        <f t="array" ref="BQ52">SUM(_xlfn.XLOOKUP(R52:AF52,增益!$A:$A,增益!$W:$W,0))+$I$5</f>
        <v>0.11</v>
      </c>
    </row>
    <row r="53" spans="1:69">
      <c r="A53" s="4" t="s">
        <v>160</v>
      </c>
      <c r="B53" s="90">
        <v>0.1</v>
      </c>
      <c r="C53"/>
      <c r="E53" s="42"/>
      <c r="K53" s="41">
        <f t="shared" si="12"/>
        <v>27256.267651839</v>
      </c>
      <c r="L53" s="41">
        <f>((($AN53+$AO53)/2*$AH53+$AI53)*(1+$AP53)*(1+$AQ53)+(($AS53+$AT53)/2*IF($G$1="鸣金",$AJ53,$AH53)+IF($G$1="鸣金",$AK53*1.5,0))*(1+$AU53)*(1+$AV53)+(($AW53+$AX53)/2*IF($G$1="裂石",$AJ53,$AH53)+IF($G$1="裂石",$AK53*1.5,0))*(1+$AY53)*(1+$AZ53)+(($BA53+$BB53)/2*IF($G$1="牵丝",$AJ53,$AH53)+IF($G$1="牵丝",$AK53*1.5,0))*(1+$BC53)*(1+$BD53)+(($BE53+$BF53)/2*IF($G$1="破竹",$AJ53,$AH53)+IF($G$1="破竹",$AK53*1.5,0))*(1+$BG53)*(1+$BH53))*(1+$AL53)*$BK53*$P53*(1+IF(VLOOKUP($Q53,武学奇术!$A:$ZZ,30,FALSE)="回旋伞",$B$21,0))*(1+$BQ53)</f>
        <v>28552.0035329398</v>
      </c>
      <c r="M53" s="41">
        <f>(($AO53*$AH53+$AI53)*(1+$AP53)*(1+$AQ53)+($AT53*IF($G$1="鸣金",$AJ53,$AH53)+IF($G$1="鸣金",$AK53*1.5,0))*(1+$AU53)*(1+$AV53)+($AX53*IF($G$1="裂石",$AJ53,$AH53)+IF($G$1="裂石",$AK53*1.5,0))*(1+$AY53)*(1+$AZ53)+($BB53*IF($G$1="牵丝",$AJ53,$AH53)+IF($G$1="牵丝",$AK53*1.5,0))*(1+$BC53)*(1+$BD53)+($BF53*IF($G$1="破竹",$AJ53,$AH53)+IF($G$1="破竹",$AK53*1.5,0))*(1+$BG53)*(1+$BH53))*(1+$AL53)*$BM53*$P53*(1+IF(VLOOKUP($Q53,武学奇术!$A:$ZZ,30,FALSE)="回旋伞",$B$21,0))*(1+$BQ53)</f>
        <v>23345.1162831667</v>
      </c>
      <c r="N53" s="41">
        <f>((($AN53+$AO53)/2*$AH53+$AI53)*(1+$AP53)*(1+$AQ53)+(($AS53+$AT53)/2*IF($G$1="鸣金",$AJ53,$AH53)+IF($G$1="鸣金",$AK53*1.5,0))*(1+$AU53)*(1+$AV53)+(($AW53+$AX53)/2*IF($G$1="裂石",$AJ53,$AH53)+IF($G$1="裂石",$AK53*1.5,0))*(1+$AY53)*(1+$AZ53)+(($BA53+$BB53)/2*IF($G$1="牵丝",$AJ53,$AH53)+IF($G$1="牵丝",$AK53*1.5,0))*(1+$BC53)*(1+$BD53)+(($BE53+$BF53)/2*IF($G$1="破竹",$AJ53,$AH53)+IF($G$1="破竹",$AK53*1.5,0))*(1+$BG53)*(1+$BH53))*(1+$AL53)*$P53*(1+IF(VLOOKUP($Q53,武学奇术!$A:$ZZ,30,FALSE)="回旋伞",$B$21,0))*(1+$BQ53)</f>
        <v>15268.4510871336</v>
      </c>
      <c r="O53" s="41">
        <f>((($AN53*$AH53+$AI53)*(1+$AP53)*(1+$AQ53)+($AS53*IF($G$1="鸣金",$AJ53,$AH53)+IF($G$1="鸣金",$AK53*1.5,0))*(1+$AU53)*(1+$AV53)+($AW53*IF($G$1="裂石",$AJ53,$AH53)+IF($G$1="裂石",$AK53*1.5,0))*(1+$AY53)*(1+$AZ53)+($BA53*IF($G$1="牵丝",$AJ53,$AH53)+IF($G$1="牵丝",$AK53*1.5,0))*(1+$BC53)*(1+$BD53)+($BE53*IF($G$1="破竹",$AJ53,$AH53)+IF($G$1="破竹",$AK53*1.5,0))*(1+$BG53)*(1+$BH53))*(1+$AL53))*$P53*(1+IF(VLOOKUP($Q53,武学奇术!$A:$ZZ,30,FALSE)="回旋伞",$B$21,0))*(1+$BQ53)</f>
        <v>13244.2234459956</v>
      </c>
      <c r="P53" s="42">
        <v>1</v>
      </c>
      <c r="Q53" s="43" t="s">
        <v>70</v>
      </c>
      <c r="R53" s="43" t="s">
        <v>71</v>
      </c>
      <c r="S53" s="43" t="s">
        <v>91</v>
      </c>
      <c r="T53" s="43" t="s">
        <v>72</v>
      </c>
      <c r="U53" s="43" t="s">
        <v>71</v>
      </c>
      <c r="V53" s="43" t="s">
        <v>167</v>
      </c>
      <c r="W53" s="43" t="s">
        <v>95</v>
      </c>
      <c r="X53" s="43" t="s">
        <v>82</v>
      </c>
      <c r="Y53" s="43" t="s">
        <v>71</v>
      </c>
      <c r="Z53" s="43" t="s">
        <v>71</v>
      </c>
      <c r="AA53" s="43" t="s">
        <v>71</v>
      </c>
      <c r="AB53" s="43" t="s">
        <v>71</v>
      </c>
      <c r="AC53" s="43" t="s">
        <v>71</v>
      </c>
      <c r="AD53" s="43" t="s">
        <v>71</v>
      </c>
      <c r="AE53" s="43" t="s">
        <v>71</v>
      </c>
      <c r="AF53" s="43" t="s">
        <v>76</v>
      </c>
      <c r="AG53" t="str">
        <f>VLOOKUP($Q53,武学奇术!$A:$ZZ,25,FALSE)</f>
        <v>群体奇术</v>
      </c>
      <c r="AH53" s="30">
        <f>VLOOKUP($Q53,武学奇术!$A:$ZZ,26,FALSE)</f>
        <v>1.4904</v>
      </c>
      <c r="AI53" s="31">
        <f>VLOOKUP($Q53,武学奇术!$A:$ZZ,27,FALSE)*(1+IF(OR($AG53=$F$4,$AG53=$F$5),$B$22,0))</f>
        <v>368</v>
      </c>
      <c r="AJ53" s="30">
        <f>VLOOKUP($Q53,武学奇术!$A:$ZZ,28,FALSE)</f>
        <v>2.2353</v>
      </c>
      <c r="AK53" s="31">
        <f>VLOOKUP($Q53,武学奇术!$A:$ZZ,29,FALSE)*(1+IF(OR($AG53=$F$4,$AG53=$F$5),$B$22,0))</f>
        <v>0</v>
      </c>
      <c r="AL53" s="30" cm="1">
        <f t="array" ref="AL53">$G$3+IFERROR(VLOOKUP($AG53,$F$4:$G$7,2,FALSE),0)+VLOOKUP($Q53,武学奇术!$A:$ZZ,2,FALSE)+SUM(_xlfn.XLOOKUP($R53:$AF53,增益!$A:$A,增益!$B:$B,0))</f>
        <v>0.2837</v>
      </c>
      <c r="AM53" s="30" cm="1">
        <f t="array" ref="AM53">VLOOKUP($Q53,武学奇术!$A:$ZZ,5,FALSE)+SUM(_xlfn.XLOOKUP($R53:$AF53,增益!$A:$A,增益!$E:$E,0))</f>
        <v>0</v>
      </c>
      <c r="AN53" cm="1">
        <f t="array" ref="AN53">$D$10*(1+$AM53)+VLOOKUP($Q53,武学奇术!$A:$ZZ,3,FALSE)+SUM(_xlfn.XLOOKUP($R53:$AF53,增益!$A:$A,增益!$C:$C,0))-$I$2</f>
        <v>3545.8</v>
      </c>
      <c r="AO53" cm="1">
        <f t="array" ref="AO53">$E$10*(1+$AM53)+VLOOKUP($Q53,武学奇术!$A:$ZZ,4,FALSE)+SUM(_xlfn.XLOOKUP($R53:$AF53,增益!$A:$A,增益!$D:$D,0))-$I$2</f>
        <v>3545.8</v>
      </c>
      <c r="AP53" s="35" cm="1">
        <f t="array" ref="AP53">IF($F$10-$I$3+VLOOKUP($Q53,武学奇术!$A:$ZZ,6,FALSE)+SUM(_xlfn.XLOOKUP(R53:AF53,增益!$A:$A,增益!$F:$F,0))&gt;0,($F$10-$I$3+VLOOKUP($Q53,武学奇术!$A:$ZZ,6,FALSE)+SUM(_xlfn.XLOOKUP(R53:AF53,增益!$A:$A,增益!$F:$F,0)))/200,($F$10-$I$3+VLOOKUP($Q53,武学奇术!$A:$ZZ,6,FALSE)+SUM(_xlfn.XLOOKUP(R53:AF53,增益!$A:$A,增益!$F:$F,0)))/100)</f>
        <v>0.3425</v>
      </c>
      <c r="AQ53" s="35" cm="1">
        <f t="array" ref="AQ53">$G$10+VLOOKUP($Q53,武学奇术!$A:$ZZ,7,FALSE)+SUM(_xlfn.XLOOKUP(R53:AF53,增益!$A:$A,增益!$G:$G,0))</f>
        <v>0.028</v>
      </c>
      <c r="AR53" s="30" cm="1">
        <f t="array" ref="AR53">VLOOKUP($Q53,武学奇术!$A:$ZZ,8,FALSE)+SUM(_xlfn.XLOOKUP(R53:AF53,增益!$A:$A,增益!$H:$H,0))</f>
        <v>0</v>
      </c>
      <c r="AS53">
        <f t="shared" si="18"/>
        <v>0</v>
      </c>
      <c r="AT53">
        <f t="shared" si="19"/>
        <v>0</v>
      </c>
      <c r="AU53" s="35" cm="1">
        <f t="array" ref="AU53">IF($F$11-$I$4+VLOOKUP($Q53,武学奇术!$A:$ZZ,9,FALSE)+SUM(_xlfn.XLOOKUP(R53:AF53,增益!$A:$A,增益!$I:$I,0))&gt;0,($F$11-$I$4+VLOOKUP($Q53,武学奇术!$A:$ZZ,9,FALSE)+SUM(_xlfn.XLOOKUP(R53:AF53,增益!$A:$A,增益!$I:$I,0)))/200,($F$11-$I$4+VLOOKUP($Q53,武学奇术!$A:$ZZ,9,FALSE)+SUM(_xlfn.XLOOKUP(R53:AF53,增益!$A:$A,增益!$I:$I,0)))/100)</f>
        <v>-0.14</v>
      </c>
      <c r="AV53" s="35" cm="1">
        <f t="array" ref="AV53">$G$11+VLOOKUP($Q53,武学奇术!$A:$ZZ,10,FALSE)+SUM(_xlfn.XLOOKUP(R53:AF53,增益!$A:$A,增益!$J:$J,0))</f>
        <v>0</v>
      </c>
      <c r="AW53">
        <f t="shared" si="20"/>
        <v>0</v>
      </c>
      <c r="AX53">
        <f t="shared" si="21"/>
        <v>0</v>
      </c>
      <c r="AY53" s="35" cm="1">
        <f t="array" ref="AY53">IF($F$12-$I$4+VLOOKUP($Q53,武学奇术!$A:$ZZ,11,FALSE)+SUM(_xlfn.XLOOKUP(R53:AF53,增益!$A:$A,增益!$K:$K,0))&gt;0,($F$12-$I$4+VLOOKUP($Q53,武学奇术!$A:$ZZ,11,FALSE)+SUM(_xlfn.XLOOKUP(R53:AF53,增益!$A:$A,增益!$K:$K,0)))/200,($F$12-$I$4+VLOOKUP($Q53,武学奇术!$A:$ZZ,11,FALSE)+SUM(_xlfn.XLOOKUP(R53:AF53,增益!$A:$A,增益!$K:$K,0)))/100)</f>
        <v>-0.14</v>
      </c>
      <c r="AZ53" s="35" cm="1">
        <f t="array" ref="AZ53">$G$12+VLOOKUP($Q53,武学奇术!$A:$ZZ,12,FALSE)+SUM(_xlfn.XLOOKUP(R53:AF53,增益!$A:$A,增益!$L:$L,0))</f>
        <v>0</v>
      </c>
      <c r="BA53">
        <f t="shared" si="13"/>
        <v>0</v>
      </c>
      <c r="BB53">
        <f t="shared" si="14"/>
        <v>0</v>
      </c>
      <c r="BC53" s="35" cm="1">
        <f t="array" ref="BC53">IF($F$13-$I$4+VLOOKUP($Q53,武学奇术!$A:$ZZ,13,FALSE)+SUM(_xlfn.XLOOKUP(R53:AF53,增益!$A:$A,增益!$M:$M,0))&gt;0,($F$13-$I$4+VLOOKUP($Q53,武学奇术!$A:$ZZ,13,FALSE)+SUM(_xlfn.XLOOKUP(R53:AF53,增益!$A:$A,增益!$K:$K,0)))/200,($F$13-$I$4+VLOOKUP($Q53,武学奇术!$A:$ZZ,13,FALSE)+SUM(_xlfn.XLOOKUP(R53:AF53,增益!$A:$A,增益!$M:$M,0)))/100)</f>
        <v>-0.14</v>
      </c>
      <c r="BD53" s="35" cm="1">
        <f t="array" ref="BD53">$G$13+VLOOKUP($Q53,武学奇术!$A:$ZZ,14,FALSE)+SUM(_xlfn.XLOOKUP(R53:AF53,增益!$A:$A,增益!$N:$N,0))</f>
        <v>0</v>
      </c>
      <c r="BE53">
        <f t="shared" si="15"/>
        <v>538</v>
      </c>
      <c r="BF53">
        <f t="shared" si="16"/>
        <v>1561.4</v>
      </c>
      <c r="BG53" s="35" cm="1">
        <f t="array" ref="BG53">IF($F$14-$I$4+VLOOKUP($Q53,武学奇术!$A:$ZZ,15,FALSE)+SUM(_xlfn.XLOOKUP(R53:AF53,增益!$A:$A,增益!$O:$O,0))&gt;0,($F$14-$I$4+VLOOKUP($Q53,武学奇术!$A:$ZZ,15,FALSE)+SUM(_xlfn.XLOOKUP(R53:AF53,增益!$A:$A,增益!$O:$O,0)))/200,($F$14-$I$4+VLOOKUP($Q53,武学奇术!$A:$ZZ,15,FALSE)+SUM(_xlfn.XLOOKUP(R53:AF53,增益!$A:$A,增益!$O:$O,0)))/100)</f>
        <v>0.08</v>
      </c>
      <c r="BH53" s="35" cm="1">
        <f t="array" ref="BH53">$G$14+VLOOKUP($Q53,武学奇术!$A:$ZZ,16,FALSE)+SUM(_xlfn.XLOOKUP(R53:AF53,增益!$A:$A,增益!$P:$P,0))</f>
        <v>0.15</v>
      </c>
      <c r="BI53" s="30">
        <f>MIN(IF(VLOOKUP($Q53,武学奇术!$A:$ZZ,23,FALSE)=1,100%,$B$8),100%)</f>
        <v>0.9712</v>
      </c>
      <c r="BJ53" s="30" cm="1">
        <f t="array" ref="BJ53">IF(VLOOKUP($Q53,武学奇术!$A:$ZZ,23,FALSE)=1,100%,MIN(80%,$B$9+VLOOKUP($Q53,武学奇术!$A:$ZZ,17,FALSE)+SUM(_xlfn.XLOOKUP(R53:AF53,增益!$A:$A,增益!$Q:$Q,0)))+$B$11+SUM(_xlfn.XLOOKUP(R53:AF53,增益!$A:$A,增益!$U:$U,0)))*IF(VLOOKUP($Q53,武学奇术!$A:$ZZ,24,FALSE)=1,0,1)</f>
        <v>0.8773</v>
      </c>
      <c r="BK53" s="30" cm="1">
        <f t="array" ref="BK53">1+$B$13+VLOOKUP($Q53,武学奇术!$A:$ZZ,18,FALSE)+SUM(_xlfn.XLOOKUP(R53:AF53,增益!$A:$A,增益!$R:$R,0))</f>
        <v>1.87</v>
      </c>
      <c r="BL53" s="30" cm="1">
        <f t="array" ref="BL53">IF(VLOOKUP($Q53,武学奇术!$A:$ZZ,24,FALSE)=1,100%,MIN(40%,$B$10+VLOOKUP($Q53,武学奇术!$A:$ZZ,19,FALSE)+SUM(_xlfn.XLOOKUP(R53:AF53,增益!$A:$A,增益!$S:$S,0)))+$B$12+SUM(_xlfn.XLOOKUP(R53:AF53,增益!$A:$A,增益!$V:$V,0)))*IF(VLOOKUP($Q53,武学奇术!$A:$ZZ,23,FALSE)=1,0,1)</f>
        <v>0.0895</v>
      </c>
      <c r="BM53" s="30" cm="1">
        <f t="array" ref="BM53">1+$B$14+VLOOKUP($Q53,武学奇术!$A:$ZZ,20,FALSE)+SUM(_xlfn.XLOOKUP(R53:AF53,增益!$A:$A,增益!$T:$T,0))</f>
        <v>1.35</v>
      </c>
      <c r="BN53" s="30">
        <f t="shared" si="11"/>
        <v>0.85203376</v>
      </c>
      <c r="BO53" s="30">
        <f t="shared" si="17"/>
        <v>0.03224384</v>
      </c>
      <c r="BP53" s="30">
        <f>IF(VLOOKUP($Q53,武学奇术!$A:$ZZ,22,FALSE)=1,0,(1-$BI53))*(1-$BL53)</f>
        <v>0.0262224</v>
      </c>
      <c r="BQ53" s="30" cm="1">
        <f t="array" ref="BQ53">SUM(_xlfn.XLOOKUP(R53:AF53,增益!$A:$A,增益!$W:$W,0))+$I$5</f>
        <v>0.11</v>
      </c>
    </row>
    <row r="54" spans="1:69">
      <c r="A54" s="4" t="s">
        <v>150</v>
      </c>
      <c r="B54" s="4">
        <v>1</v>
      </c>
      <c r="C54"/>
      <c r="E54" s="42"/>
      <c r="K54" s="41">
        <f t="shared" si="12"/>
        <v>31502.7843850071</v>
      </c>
      <c r="L54" s="41">
        <f>((($AN54+$AO54)/2*$AH54+$AI54)*(1+$AP54)*(1+$AQ54)+(($AS54+$AT54)/2*IF($G$1="鸣金",$AJ54,$AH54)+IF($G$1="鸣金",$AK54*1.5,0))*(1+$AU54)*(1+$AV54)+(($AW54+$AX54)/2*IF($G$1="裂石",$AJ54,$AH54)+IF($G$1="裂石",$AK54*1.5,0))*(1+$AY54)*(1+$AZ54)+(($BA54+$BB54)/2*IF($G$1="牵丝",$AJ54,$AH54)+IF($G$1="牵丝",$AK54*1.5,0))*(1+$BC54)*(1+$BD54)+(($BE54+$BF54)/2*IF($G$1="破竹",$AJ54,$AH54)+IF($G$1="破竹",$AK54*1.5,0))*(1+$BG54)*(1+$BH54))*(1+$AL54)*$BK54*$P54*(1+IF(VLOOKUP($Q54,武学奇术!$A:$ZZ,30,FALSE)="回旋伞",$B$21,0))*(1+$BQ54)</f>
        <v>33000.3954520704</v>
      </c>
      <c r="M54" s="41">
        <f>(($AO54*$AH54+$AI54)*(1+$AP54)*(1+$AQ54)+($AT54*IF($G$1="鸣金",$AJ54,$AH54)+IF($G$1="鸣金",$AK54*1.5,0))*(1+$AU54)*(1+$AV54)+($AX54*IF($G$1="裂石",$AJ54,$AH54)+IF($G$1="裂石",$AK54*1.5,0))*(1+$AY54)*(1+$AZ54)+($BB54*IF($G$1="牵丝",$AJ54,$AH54)+IF($G$1="牵丝",$AK54*1.5,0))*(1+$BC54)*(1+$BD54)+($BF54*IF($G$1="破竹",$AJ54,$AH54)+IF($G$1="破竹",$AK54*1.5,0))*(1+$BG54)*(1+$BH54))*(1+$AL54)*$BM54*$P54*(1+IF(VLOOKUP($Q54,武学奇术!$A:$ZZ,30,FALSE)="回旋伞",$B$21,0))*(1+$BQ54)</f>
        <v>26982.2770346143</v>
      </c>
      <c r="N54" s="41">
        <f>((($AN54+$AO54)/2*$AH54+$AI54)*(1+$AP54)*(1+$AQ54)+(($AS54+$AT54)/2*IF($G$1="鸣金",$AJ54,$AH54)+IF($G$1="鸣金",$AK54*1.5,0))*(1+$AU54)*(1+$AV54)+(($AW54+$AX54)/2*IF($G$1="裂石",$AJ54,$AH54)+IF($G$1="裂石",$AK54*1.5,0))*(1+$AY54)*(1+$AZ54)+(($BA54+$BB54)/2*IF($G$1="牵丝",$AJ54,$AH54)+IF($G$1="牵丝",$AK54*1.5,0))*(1+$BC54)*(1+$BD54)+(($BE54+$BF54)/2*IF($G$1="破竹",$AJ54,$AH54)+IF($G$1="破竹",$AK54*1.5,0))*(1+$BG54)*(1+$BH54))*(1+$AL54)*$P54*(1+IF(VLOOKUP($Q54,武学奇术!$A:$ZZ,30,FALSE)="回旋伞",$B$21,0))*(1+$BQ54)</f>
        <v>17647.2702952248</v>
      </c>
      <c r="O54" s="41">
        <f>((($AN54*$AH54+$AI54)*(1+$AP54)*(1+$AQ54)+($AS54*IF($G$1="鸣金",$AJ54,$AH54)+IF($G$1="鸣金",$AK54*1.5,0))*(1+$AU54)*(1+$AV54)+($AW54*IF($G$1="裂石",$AJ54,$AH54)+IF($G$1="裂石",$AK54*1.5,0))*(1+$AY54)*(1+$AZ54)+($BA54*IF($G$1="牵丝",$AJ54,$AH54)+IF($G$1="牵丝",$AK54*1.5,0))*(1+$BC54)*(1+$BD54)+($BE54*IF($G$1="破竹",$AJ54,$AH54)+IF($G$1="破竹",$AK54*1.5,0))*(1+$BG54)*(1+$BH54))*(1+$AL54))*$P54*(1+IF(VLOOKUP($Q54,武学奇术!$A:$ZZ,30,FALSE)="回旋伞",$B$21,0))*(1+$BQ54)</f>
        <v>15307.6687129576</v>
      </c>
      <c r="P54" s="42">
        <v>1</v>
      </c>
      <c r="Q54" s="43" t="s">
        <v>70</v>
      </c>
      <c r="R54" s="43" t="s">
        <v>71</v>
      </c>
      <c r="S54" s="43" t="s">
        <v>91</v>
      </c>
      <c r="T54" s="43" t="s">
        <v>72</v>
      </c>
      <c r="U54" s="43" t="s">
        <v>79</v>
      </c>
      <c r="V54" s="43" t="s">
        <v>167</v>
      </c>
      <c r="W54" s="43" t="s">
        <v>95</v>
      </c>
      <c r="X54" s="43" t="s">
        <v>82</v>
      </c>
      <c r="Y54" s="43" t="s">
        <v>71</v>
      </c>
      <c r="Z54" s="43" t="s">
        <v>71</v>
      </c>
      <c r="AA54" s="43" t="s">
        <v>71</v>
      </c>
      <c r="AB54" s="43" t="s">
        <v>71</v>
      </c>
      <c r="AC54" s="43" t="s">
        <v>71</v>
      </c>
      <c r="AD54" s="43" t="s">
        <v>71</v>
      </c>
      <c r="AE54" s="43" t="s">
        <v>71</v>
      </c>
      <c r="AF54" s="43" t="s">
        <v>76</v>
      </c>
      <c r="AG54" t="str">
        <f>VLOOKUP($Q54,武学奇术!$A:$ZZ,25,FALSE)</f>
        <v>群体奇术</v>
      </c>
      <c r="AH54" s="30">
        <f>VLOOKUP($Q54,武学奇术!$A:$ZZ,26,FALSE)</f>
        <v>1.4904</v>
      </c>
      <c r="AI54" s="31">
        <f>VLOOKUP($Q54,武学奇术!$A:$ZZ,27,FALSE)*(1+IF(OR($AG54=$F$4,$AG54=$F$5),$B$22,0))</f>
        <v>368</v>
      </c>
      <c r="AJ54" s="30">
        <f>VLOOKUP($Q54,武学奇术!$A:$ZZ,28,FALSE)</f>
        <v>2.2353</v>
      </c>
      <c r="AK54" s="31">
        <f>VLOOKUP($Q54,武学奇术!$A:$ZZ,29,FALSE)*(1+IF(OR($AG54=$F$4,$AG54=$F$5),$B$22,0))</f>
        <v>0</v>
      </c>
      <c r="AL54" s="30" cm="1">
        <f t="array" ref="AL54">$G$3+IFERROR(VLOOKUP($AG54,$F$4:$G$7,2,FALSE),0)+VLOOKUP($Q54,武学奇术!$A:$ZZ,2,FALSE)+SUM(_xlfn.XLOOKUP($R54:$AF54,增益!$A:$A,增益!$B:$B,0))</f>
        <v>0.4837</v>
      </c>
      <c r="AM54" s="30" cm="1">
        <f t="array" ref="AM54">VLOOKUP($Q54,武学奇术!$A:$ZZ,5,FALSE)+SUM(_xlfn.XLOOKUP($R54:$AF54,增益!$A:$A,增益!$E:$E,0))</f>
        <v>0</v>
      </c>
      <c r="AN54" cm="1">
        <f t="array" ref="AN54">$D$10*(1+$AM54)+VLOOKUP($Q54,武学奇术!$A:$ZZ,3,FALSE)+SUM(_xlfn.XLOOKUP($R54:$AF54,增益!$A:$A,增益!$C:$C,0))-$I$2</f>
        <v>3545.8</v>
      </c>
      <c r="AO54" cm="1">
        <f t="array" ref="AO54">$E$10*(1+$AM54)+VLOOKUP($Q54,武学奇术!$A:$ZZ,4,FALSE)+SUM(_xlfn.XLOOKUP($R54:$AF54,增益!$A:$A,增益!$D:$D,0))-$I$2</f>
        <v>3545.8</v>
      </c>
      <c r="AP54" s="35" cm="1">
        <f t="array" ref="AP54">IF($F$10-$I$3+VLOOKUP($Q54,武学奇术!$A:$ZZ,6,FALSE)+SUM(_xlfn.XLOOKUP(R54:AF54,增益!$A:$A,增益!$F:$F,0))&gt;0,($F$10-$I$3+VLOOKUP($Q54,武学奇术!$A:$ZZ,6,FALSE)+SUM(_xlfn.XLOOKUP(R54:AF54,增益!$A:$A,增益!$F:$F,0)))/200,($F$10-$I$3+VLOOKUP($Q54,武学奇术!$A:$ZZ,6,FALSE)+SUM(_xlfn.XLOOKUP(R54:AF54,增益!$A:$A,增益!$F:$F,0)))/100)</f>
        <v>0.3425</v>
      </c>
      <c r="AQ54" s="35" cm="1">
        <f t="array" ref="AQ54">$G$10+VLOOKUP($Q54,武学奇术!$A:$ZZ,7,FALSE)+SUM(_xlfn.XLOOKUP(R54:AF54,增益!$A:$A,增益!$G:$G,0))</f>
        <v>0.028</v>
      </c>
      <c r="AR54" s="30" cm="1">
        <f t="array" ref="AR54">VLOOKUP($Q54,武学奇术!$A:$ZZ,8,FALSE)+SUM(_xlfn.XLOOKUP(R54:AF54,增益!$A:$A,增益!$H:$H,0))</f>
        <v>0</v>
      </c>
      <c r="AS54">
        <f t="shared" si="18"/>
        <v>0</v>
      </c>
      <c r="AT54">
        <f t="shared" si="19"/>
        <v>0</v>
      </c>
      <c r="AU54" s="35" cm="1">
        <f t="array" ref="AU54">IF($F$11-$I$4+VLOOKUP($Q54,武学奇术!$A:$ZZ,9,FALSE)+SUM(_xlfn.XLOOKUP(R54:AF54,增益!$A:$A,增益!$I:$I,0))&gt;0,($F$11-$I$4+VLOOKUP($Q54,武学奇术!$A:$ZZ,9,FALSE)+SUM(_xlfn.XLOOKUP(R54:AF54,增益!$A:$A,增益!$I:$I,0)))/200,($F$11-$I$4+VLOOKUP($Q54,武学奇术!$A:$ZZ,9,FALSE)+SUM(_xlfn.XLOOKUP(R54:AF54,增益!$A:$A,增益!$I:$I,0)))/100)</f>
        <v>-0.14</v>
      </c>
      <c r="AV54" s="35" cm="1">
        <f t="array" ref="AV54">$G$11+VLOOKUP($Q54,武学奇术!$A:$ZZ,10,FALSE)+SUM(_xlfn.XLOOKUP(R54:AF54,增益!$A:$A,增益!$J:$J,0))</f>
        <v>0</v>
      </c>
      <c r="AW54">
        <f t="shared" si="20"/>
        <v>0</v>
      </c>
      <c r="AX54">
        <f t="shared" si="21"/>
        <v>0</v>
      </c>
      <c r="AY54" s="35" cm="1">
        <f t="array" ref="AY54">IF($F$12-$I$4+VLOOKUP($Q54,武学奇术!$A:$ZZ,11,FALSE)+SUM(_xlfn.XLOOKUP(R54:AF54,增益!$A:$A,增益!$K:$K,0))&gt;0,($F$12-$I$4+VLOOKUP($Q54,武学奇术!$A:$ZZ,11,FALSE)+SUM(_xlfn.XLOOKUP(R54:AF54,增益!$A:$A,增益!$K:$K,0)))/200,($F$12-$I$4+VLOOKUP($Q54,武学奇术!$A:$ZZ,11,FALSE)+SUM(_xlfn.XLOOKUP(R54:AF54,增益!$A:$A,增益!$K:$K,0)))/100)</f>
        <v>-0.14</v>
      </c>
      <c r="AZ54" s="35" cm="1">
        <f t="array" ref="AZ54">$G$12+VLOOKUP($Q54,武学奇术!$A:$ZZ,12,FALSE)+SUM(_xlfn.XLOOKUP(R54:AF54,增益!$A:$A,增益!$L:$L,0))</f>
        <v>0</v>
      </c>
      <c r="BA54">
        <f t="shared" si="13"/>
        <v>0</v>
      </c>
      <c r="BB54">
        <f t="shared" si="14"/>
        <v>0</v>
      </c>
      <c r="BC54" s="35" cm="1">
        <f t="array" ref="BC54">IF($F$13-$I$4+VLOOKUP($Q54,武学奇术!$A:$ZZ,13,FALSE)+SUM(_xlfn.XLOOKUP(R54:AF54,增益!$A:$A,增益!$M:$M,0))&gt;0,($F$13-$I$4+VLOOKUP($Q54,武学奇术!$A:$ZZ,13,FALSE)+SUM(_xlfn.XLOOKUP(R54:AF54,增益!$A:$A,增益!$K:$K,0)))/200,($F$13-$I$4+VLOOKUP($Q54,武学奇术!$A:$ZZ,13,FALSE)+SUM(_xlfn.XLOOKUP(R54:AF54,增益!$A:$A,增益!$M:$M,0)))/100)</f>
        <v>-0.14</v>
      </c>
      <c r="BD54" s="35" cm="1">
        <f t="array" ref="BD54">$G$13+VLOOKUP($Q54,武学奇术!$A:$ZZ,14,FALSE)+SUM(_xlfn.XLOOKUP(R54:AF54,增益!$A:$A,增益!$N:$N,0))</f>
        <v>0</v>
      </c>
      <c r="BE54">
        <f t="shared" si="15"/>
        <v>538</v>
      </c>
      <c r="BF54">
        <f t="shared" si="16"/>
        <v>1561.4</v>
      </c>
      <c r="BG54" s="35" cm="1">
        <f t="array" ref="BG54">IF($F$14-$I$4+VLOOKUP($Q54,武学奇术!$A:$ZZ,15,FALSE)+SUM(_xlfn.XLOOKUP(R54:AF54,增益!$A:$A,增益!$O:$O,0))&gt;0,($F$14-$I$4+VLOOKUP($Q54,武学奇术!$A:$ZZ,15,FALSE)+SUM(_xlfn.XLOOKUP(R54:AF54,增益!$A:$A,增益!$O:$O,0)))/200,($F$14-$I$4+VLOOKUP($Q54,武学奇术!$A:$ZZ,15,FALSE)+SUM(_xlfn.XLOOKUP(R54:AF54,增益!$A:$A,增益!$O:$O,0)))/100)</f>
        <v>0.08</v>
      </c>
      <c r="BH54" s="35" cm="1">
        <f t="array" ref="BH54">$G$14+VLOOKUP($Q54,武学奇术!$A:$ZZ,16,FALSE)+SUM(_xlfn.XLOOKUP(R54:AF54,增益!$A:$A,增益!$P:$P,0))</f>
        <v>0.15</v>
      </c>
      <c r="BI54" s="30">
        <f>MIN(IF(VLOOKUP($Q54,武学奇术!$A:$ZZ,23,FALSE)=1,100%,$B$8),100%)</f>
        <v>0.9712</v>
      </c>
      <c r="BJ54" s="30" cm="1">
        <f t="array" ref="BJ54">IF(VLOOKUP($Q54,武学奇术!$A:$ZZ,23,FALSE)=1,100%,MIN(80%,$B$9+VLOOKUP($Q54,武学奇术!$A:$ZZ,17,FALSE)+SUM(_xlfn.XLOOKUP(R54:AF54,增益!$A:$A,增益!$Q:$Q,0)))+$B$11+SUM(_xlfn.XLOOKUP(R54:AF54,增益!$A:$A,增益!$U:$U,0)))*IF(VLOOKUP($Q54,武学奇术!$A:$ZZ,24,FALSE)=1,0,1)</f>
        <v>0.8773</v>
      </c>
      <c r="BK54" s="30" cm="1">
        <f t="array" ref="BK54">1+$B$13+VLOOKUP($Q54,武学奇术!$A:$ZZ,18,FALSE)+SUM(_xlfn.XLOOKUP(R54:AF54,增益!$A:$A,增益!$R:$R,0))</f>
        <v>1.87</v>
      </c>
      <c r="BL54" s="30" cm="1">
        <f t="array" ref="BL54">IF(VLOOKUP($Q54,武学奇术!$A:$ZZ,24,FALSE)=1,100%,MIN(40%,$B$10+VLOOKUP($Q54,武学奇术!$A:$ZZ,19,FALSE)+SUM(_xlfn.XLOOKUP(R54:AF54,增益!$A:$A,增益!$S:$S,0)))+$B$12+SUM(_xlfn.XLOOKUP(R54:AF54,增益!$A:$A,增益!$V:$V,0)))*IF(VLOOKUP($Q54,武学奇术!$A:$ZZ,23,FALSE)=1,0,1)</f>
        <v>0.0895</v>
      </c>
      <c r="BM54" s="30" cm="1">
        <f t="array" ref="BM54">1+$B$14+VLOOKUP($Q54,武学奇术!$A:$ZZ,20,FALSE)+SUM(_xlfn.XLOOKUP(R54:AF54,增益!$A:$A,增益!$T:$T,0))</f>
        <v>1.35</v>
      </c>
      <c r="BN54" s="30">
        <f t="shared" si="11"/>
        <v>0.85203376</v>
      </c>
      <c r="BO54" s="30">
        <f t="shared" si="17"/>
        <v>0.03224384</v>
      </c>
      <c r="BP54" s="30">
        <f>IF(VLOOKUP($Q54,武学奇术!$A:$ZZ,22,FALSE)=1,0,(1-$BI54))*(1-$BL54)</f>
        <v>0.0262224</v>
      </c>
      <c r="BQ54" s="30" cm="1">
        <f t="array" ref="BQ54">SUM(_xlfn.XLOOKUP(R54:AF54,增益!$A:$A,增益!$W:$W,0))+$I$5</f>
        <v>0.11</v>
      </c>
    </row>
    <row r="55" spans="1:69">
      <c r="A55" s="4" t="s">
        <v>160</v>
      </c>
      <c r="B55" s="90">
        <v>0.1</v>
      </c>
      <c r="C55"/>
      <c r="D55"/>
      <c r="E55" s="42"/>
      <c r="K55" s="41">
        <f t="shared" si="12"/>
        <v>87132.2067562469</v>
      </c>
      <c r="L55" s="41">
        <f>((($AN55+$AO55)/2*$AH55+$AI55)*(1+$AP55)*(1+$AQ55)+(($AS55+$AT55)/2*IF($G$1="鸣金",$AJ55,$AH55)+IF($G$1="鸣金",$AK55*1.5,0))*(1+$AU55)*(1+$AV55)+(($AW55+$AX55)/2*IF($G$1="裂石",$AJ55,$AH55)+IF($G$1="裂石",$AK55*1.5,0))*(1+$AY55)*(1+$AZ55)+(($BA55+$BB55)/2*IF($G$1="牵丝",$AJ55,$AH55)+IF($G$1="牵丝",$AK55*1.5,0))*(1+$BC55)*(1+$BD55)+(($BE55+$BF55)/2*IF($G$1="破竹",$AJ55,$AH55)+IF($G$1="破竹",$AK55*1.5,0))*(1+$BG55)*(1+$BH55))*(1+$AL55)*$BK55*$P55*(1+IF(VLOOKUP($Q55,武学奇术!$A:$ZZ,30,FALSE)="回旋伞",$B$21,0))*(1+$BQ55)</f>
        <v>92513.3556014473</v>
      </c>
      <c r="M55" s="41">
        <f>(($AO55*$AH55+$AI55)*(1+$AP55)*(1+$AQ55)+($AT55*IF($G$1="鸣金",$AJ55,$AH55)+IF($G$1="鸣金",$AK55*1.5,0))*(1+$AU55)*(1+$AV55)+($AX55*IF($G$1="裂石",$AJ55,$AH55)+IF($G$1="裂石",$AK55*1.5,0))*(1+$AY55)*(1+$AZ55)+($BB55*IF($G$1="牵丝",$AJ55,$AH55)+IF($G$1="牵丝",$AK55*1.5,0))*(1+$BC55)*(1+$BD55)+($BF55*IF($G$1="破竹",$AJ55,$AH55)+IF($G$1="破竹",$AK55*1.5,0))*(1+$BG55)*(1+$BH55))*(1+$AL55)*$BM55*$P55*(1+IF(VLOOKUP($Q55,武学奇术!$A:$ZZ,30,FALSE)="回旋伞",$B$21,0))*(1+$BQ55)</f>
        <v>65814.6851752722</v>
      </c>
      <c r="N55" s="41">
        <f>((($AN55+$AO55)/2*$AH55+$AI55)*(1+$AP55)*(1+$AQ55)+(($AS55+$AT55)/2*IF($G$1="鸣金",$AJ55,$AH55)+IF($G$1="鸣金",$AK55*1.5,0))*(1+$AU55)*(1+$AV55)+(($AW55+$AX55)/2*IF($G$1="裂石",$AJ55,$AH55)+IF($G$1="裂石",$AK55*1.5,0))*(1+$AY55)*(1+$AZ55)+(($BA55+$BB55)/2*IF($G$1="牵丝",$AJ55,$AH55)+IF($G$1="牵丝",$AK55*1.5,0))*(1+$BC55)*(1+$BD55)+(($BE55+$BF55)/2*IF($G$1="破竹",$AJ55,$AH55)+IF($G$1="破竹",$AK55*1.5,0))*(1+$BG55)*(1+$BH55))*(1+$AL55)*$P55*(1+IF(VLOOKUP($Q55,武学奇术!$A:$ZZ,30,FALSE)="回旋伞",$B$21,0))*(1+$BQ55)</f>
        <v>43638.3752837016</v>
      </c>
      <c r="O55" s="41">
        <f>((($AN55*$AH55+$AI55)*(1+$AP55)*(1+$AQ55)+($AS55*IF($G$1="鸣金",$AJ55,$AH55)+IF($G$1="鸣金",$AK55*1.5,0))*(1+$AU55)*(1+$AV55)+($AW55*IF($G$1="裂石",$AJ55,$AH55)+IF($G$1="裂石",$AK55*1.5,0))*(1+$AY55)*(1+$AZ55)+($BA55*IF($G$1="牵丝",$AJ55,$AH55)+IF($G$1="牵丝",$AK55*1.5,0))*(1+$BC55)*(1+$BD55)+($BE55*IF($G$1="破竹",$AJ55,$AH55)+IF($G$1="破竹",$AK55*1.5,0))*(1+$BG55)*(1+$BH55))*(1+$AL55))*$P55*(1+IF(VLOOKUP($Q55,武学奇术!$A:$ZZ,30,FALSE)="回旋伞",$B$21,0))*(1+$BQ55)</f>
        <v>38525.1319190534</v>
      </c>
      <c r="P55" s="42">
        <v>2</v>
      </c>
      <c r="Q55" s="43" t="s">
        <v>70</v>
      </c>
      <c r="R55" s="43" t="s">
        <v>71</v>
      </c>
      <c r="S55" s="43" t="s">
        <v>91</v>
      </c>
      <c r="T55" s="43" t="s">
        <v>72</v>
      </c>
      <c r="U55" s="43" t="s">
        <v>79</v>
      </c>
      <c r="V55" s="43" t="s">
        <v>167</v>
      </c>
      <c r="W55" s="43" t="s">
        <v>95</v>
      </c>
      <c r="X55" s="43" t="s">
        <v>71</v>
      </c>
      <c r="Y55" s="43" t="s">
        <v>177</v>
      </c>
      <c r="Z55" s="43" t="s">
        <v>178</v>
      </c>
      <c r="AA55" s="43" t="s">
        <v>71</v>
      </c>
      <c r="AB55" s="43" t="s">
        <v>179</v>
      </c>
      <c r="AC55" s="43" t="s">
        <v>71</v>
      </c>
      <c r="AD55" s="43" t="s">
        <v>71</v>
      </c>
      <c r="AE55" s="43" t="s">
        <v>71</v>
      </c>
      <c r="AF55" s="43" t="s">
        <v>76</v>
      </c>
      <c r="AG55" t="str">
        <f>VLOOKUP($Q55,武学奇术!$A:$ZZ,25,FALSE)</f>
        <v>群体奇术</v>
      </c>
      <c r="AH55" s="30">
        <f>VLOOKUP($Q55,武学奇术!$A:$ZZ,26,FALSE)</f>
        <v>1.4904</v>
      </c>
      <c r="AI55" s="31">
        <f>VLOOKUP($Q55,武学奇术!$A:$ZZ,27,FALSE)*(1+IF(OR($AG55=$F$4,$AG55=$F$5),$B$22,0))</f>
        <v>368</v>
      </c>
      <c r="AJ55" s="30">
        <f>VLOOKUP($Q55,武学奇术!$A:$ZZ,28,FALSE)</f>
        <v>2.2353</v>
      </c>
      <c r="AK55" s="31">
        <f>VLOOKUP($Q55,武学奇术!$A:$ZZ,29,FALSE)*(1+IF(OR($AG55=$F$4,$AG55=$F$5),$B$22,0))</f>
        <v>0</v>
      </c>
      <c r="AL55" s="30" cm="1">
        <f t="array" ref="AL55">$G$3+IFERROR(VLOOKUP($AG55,$F$4:$G$7,2,FALSE),0)+VLOOKUP($Q55,武学奇术!$A:$ZZ,2,FALSE)+SUM(_xlfn.XLOOKUP($R55:$AF55,增益!$A:$A,增益!$B:$B,0))</f>
        <v>0.4837</v>
      </c>
      <c r="AM55" s="30" cm="1">
        <f t="array" ref="AM55">VLOOKUP($Q55,武学奇术!$A:$ZZ,5,FALSE)+SUM(_xlfn.XLOOKUP($R55:$AF55,增益!$A:$A,增益!$E:$E,0))</f>
        <v>0</v>
      </c>
      <c r="AN55" cm="1">
        <f t="array" ref="AN55">$D$10*(1+$AM55)+VLOOKUP($Q55,武学奇术!$A:$ZZ,3,FALSE)+SUM(_xlfn.XLOOKUP($R55:$AF55,增益!$A:$A,增益!$C:$C,0))-$I$2</f>
        <v>3545.8</v>
      </c>
      <c r="AO55" cm="1">
        <f t="array" ref="AO55">$E$10*(1+$AM55)+VLOOKUP($Q55,武学奇术!$A:$ZZ,4,FALSE)+SUM(_xlfn.XLOOKUP($R55:$AF55,增益!$A:$A,增益!$D:$D,0))-$I$2</f>
        <v>3545.8</v>
      </c>
      <c r="AP55" s="35" cm="1">
        <f t="array" ref="AP55">IF($F$10-$I$3+VLOOKUP($Q55,武学奇术!$A:$ZZ,6,FALSE)+SUM(_xlfn.XLOOKUP(R55:AF55,增益!$A:$A,增益!$F:$F,0))&gt;0,($F$10-$I$3+VLOOKUP($Q55,武学奇术!$A:$ZZ,6,FALSE)+SUM(_xlfn.XLOOKUP(R55:AF55,增益!$A:$A,增益!$F:$F,0)))/200,($F$10-$I$3+VLOOKUP($Q55,武学奇术!$A:$ZZ,6,FALSE)+SUM(_xlfn.XLOOKUP(R55:AF55,增益!$A:$A,增益!$F:$F,0)))/100)</f>
        <v>0.4675</v>
      </c>
      <c r="AQ55" s="35" cm="1">
        <f t="array" ref="AQ55">$G$10+VLOOKUP($Q55,武学奇术!$A:$ZZ,7,FALSE)+SUM(_xlfn.XLOOKUP(R55:AF55,增益!$A:$A,增益!$G:$G,0))</f>
        <v>0.028</v>
      </c>
      <c r="AR55" s="30" cm="1">
        <f t="array" ref="AR55">VLOOKUP($Q55,武学奇术!$A:$ZZ,8,FALSE)+SUM(_xlfn.XLOOKUP(R55:AF55,增益!$A:$A,增益!$H:$H,0))</f>
        <v>0</v>
      </c>
      <c r="AS55">
        <f t="shared" si="18"/>
        <v>0</v>
      </c>
      <c r="AT55">
        <f t="shared" si="19"/>
        <v>0</v>
      </c>
      <c r="AU55" s="35" cm="1">
        <f t="array" ref="AU55">IF($F$11-$I$4+VLOOKUP($Q55,武学奇术!$A:$ZZ,9,FALSE)+SUM(_xlfn.XLOOKUP(R55:AF55,增益!$A:$A,增益!$I:$I,0))&gt;0,($F$11-$I$4+VLOOKUP($Q55,武学奇术!$A:$ZZ,9,FALSE)+SUM(_xlfn.XLOOKUP(R55:AF55,增益!$A:$A,增益!$I:$I,0)))/200,($F$11-$I$4+VLOOKUP($Q55,武学奇术!$A:$ZZ,9,FALSE)+SUM(_xlfn.XLOOKUP(R55:AF55,增益!$A:$A,增益!$I:$I,0)))/100)</f>
        <v>-0.3</v>
      </c>
      <c r="AV55" s="35" cm="1">
        <f t="array" ref="AV55">$G$11+VLOOKUP($Q55,武学奇术!$A:$ZZ,10,FALSE)+SUM(_xlfn.XLOOKUP(R55:AF55,增益!$A:$A,增益!$J:$J,0))</f>
        <v>0.1</v>
      </c>
      <c r="AW55">
        <f t="shared" si="20"/>
        <v>0</v>
      </c>
      <c r="AX55">
        <f t="shared" si="21"/>
        <v>0</v>
      </c>
      <c r="AY55" s="35" cm="1">
        <f t="array" ref="AY55">IF($F$12-$I$4+VLOOKUP($Q55,武学奇术!$A:$ZZ,11,FALSE)+SUM(_xlfn.XLOOKUP(R55:AF55,增益!$A:$A,增益!$K:$K,0))&gt;0,($F$12-$I$4+VLOOKUP($Q55,武学奇术!$A:$ZZ,11,FALSE)+SUM(_xlfn.XLOOKUP(R55:AF55,增益!$A:$A,增益!$K:$K,0)))/200,($F$12-$I$4+VLOOKUP($Q55,武学奇术!$A:$ZZ,11,FALSE)+SUM(_xlfn.XLOOKUP(R55:AF55,增益!$A:$A,增益!$K:$K,0)))/100)</f>
        <v>-0.3</v>
      </c>
      <c r="AZ55" s="35" cm="1">
        <f t="array" ref="AZ55">$G$12+VLOOKUP($Q55,武学奇术!$A:$ZZ,12,FALSE)+SUM(_xlfn.XLOOKUP(R55:AF55,增益!$A:$A,增益!$L:$L,0))</f>
        <v>0</v>
      </c>
      <c r="BA55">
        <f t="shared" si="13"/>
        <v>0</v>
      </c>
      <c r="BB55">
        <f t="shared" si="14"/>
        <v>0</v>
      </c>
      <c r="BC55" s="35" cm="1">
        <f t="array" ref="BC55">IF($F$13-$I$4+VLOOKUP($Q55,武学奇术!$A:$ZZ,13,FALSE)+SUM(_xlfn.XLOOKUP(R55:AF55,增益!$A:$A,增益!$M:$M,0))&gt;0,($F$13-$I$4+VLOOKUP($Q55,武学奇术!$A:$ZZ,13,FALSE)+SUM(_xlfn.XLOOKUP(R55:AF55,增益!$A:$A,增益!$K:$K,0)))/200,($F$13-$I$4+VLOOKUP($Q55,武学奇术!$A:$ZZ,13,FALSE)+SUM(_xlfn.XLOOKUP(R55:AF55,增益!$A:$A,增益!$M:$M,0)))/100)</f>
        <v>-0.3</v>
      </c>
      <c r="BD55" s="35" cm="1">
        <f t="array" ref="BD55">$G$13+VLOOKUP($Q55,武学奇术!$A:$ZZ,14,FALSE)+SUM(_xlfn.XLOOKUP(R55:AF55,增益!$A:$A,增益!$N:$N,0))</f>
        <v>0</v>
      </c>
      <c r="BE55">
        <f t="shared" si="15"/>
        <v>538</v>
      </c>
      <c r="BF55">
        <f t="shared" si="16"/>
        <v>1561.4</v>
      </c>
      <c r="BG55" s="35" cm="1">
        <f t="array" ref="BG55">IF($F$14-$I$4+VLOOKUP($Q55,武学奇术!$A:$ZZ,15,FALSE)+SUM(_xlfn.XLOOKUP(R55:AF55,增益!$A:$A,增益!$O:$O,0))&gt;0,($F$14-$I$4+VLOOKUP($Q55,武学奇术!$A:$ZZ,15,FALSE)+SUM(_xlfn.XLOOKUP(R55:AF55,增益!$A:$A,增益!$O:$O,0)))/200,($F$14-$I$4+VLOOKUP($Q55,武学奇术!$A:$ZZ,15,FALSE)+SUM(_xlfn.XLOOKUP(R55:AF55,增益!$A:$A,增益!$O:$O,0)))/100)</f>
        <v>0</v>
      </c>
      <c r="BH55" s="35" cm="1">
        <f t="array" ref="BH55">$G$14+VLOOKUP($Q55,武学奇术!$A:$ZZ,16,FALSE)+SUM(_xlfn.XLOOKUP(R55:AF55,增益!$A:$A,增益!$P:$P,0))</f>
        <v>0.15</v>
      </c>
      <c r="BI55" s="30">
        <f>MIN(IF(VLOOKUP($Q55,武学奇术!$A:$ZZ,23,FALSE)=1,100%,$B$8),100%)</f>
        <v>0.9712</v>
      </c>
      <c r="BJ55" s="30" cm="1">
        <f t="array" ref="BJ55">IF(VLOOKUP($Q55,武学奇术!$A:$ZZ,23,FALSE)=1,100%,MIN(80%,$B$9+VLOOKUP($Q55,武学奇术!$A:$ZZ,17,FALSE)+SUM(_xlfn.XLOOKUP(R55:AF55,增益!$A:$A,增益!$Q:$Q,0)))+$B$11+SUM(_xlfn.XLOOKUP(R55:AF55,增益!$A:$A,增益!$U:$U,0)))*IF(VLOOKUP($Q55,武学奇术!$A:$ZZ,24,FALSE)=1,0,1)</f>
        <v>0.8773</v>
      </c>
      <c r="BK55" s="30" cm="1">
        <f t="array" ref="BK55">1+$B$13+VLOOKUP($Q55,武学奇术!$A:$ZZ,18,FALSE)+SUM(_xlfn.XLOOKUP(R55:AF55,增益!$A:$A,增益!$R:$R,0))</f>
        <v>2.12</v>
      </c>
      <c r="BL55" s="30" cm="1">
        <f t="array" ref="BL55">IF(VLOOKUP($Q55,武学奇术!$A:$ZZ,24,FALSE)=1,100%,MIN(40%,$B$10+VLOOKUP($Q55,武学奇术!$A:$ZZ,19,FALSE)+SUM(_xlfn.XLOOKUP(R55:AF55,增益!$A:$A,增益!$S:$S,0)))+$B$12+SUM(_xlfn.XLOOKUP(R55:AF55,增益!$A:$A,增益!$V:$V,0)))*IF(VLOOKUP($Q55,武学奇术!$A:$ZZ,23,FALSE)=1,0,1)</f>
        <v>0.0895</v>
      </c>
      <c r="BM55" s="30" cm="1">
        <f t="array" ref="BM55">1+$B$14+VLOOKUP($Q55,武学奇术!$A:$ZZ,20,FALSE)+SUM(_xlfn.XLOOKUP(R55:AF55,增益!$A:$A,增益!$T:$T,0))</f>
        <v>1.35</v>
      </c>
      <c r="BN55" s="30">
        <f t="shared" si="11"/>
        <v>0.85203376</v>
      </c>
      <c r="BO55" s="30">
        <f t="shared" si="17"/>
        <v>0.03224384</v>
      </c>
      <c r="BP55" s="30">
        <f>IF(VLOOKUP($Q55,武学奇术!$A:$ZZ,22,FALSE)=1,0,(1-$BI55))*(1-$BL55)</f>
        <v>0.0262224</v>
      </c>
      <c r="BQ55" s="30" cm="1">
        <f t="array" ref="BQ55">SUM(_xlfn.XLOOKUP(R55:AF55,增益!$A:$A,增益!$W:$W,0))+$I$5</f>
        <v>0.31</v>
      </c>
    </row>
    <row r="56" spans="1:69">
      <c r="A56" s="4" t="s">
        <v>170</v>
      </c>
      <c r="B56" s="4">
        <v>2.6</v>
      </c>
      <c r="E56" s="42"/>
      <c r="K56" s="41">
        <f t="shared" si="12"/>
        <v>88837.1105220417</v>
      </c>
      <c r="L56" s="41">
        <f>((($AN56+$AO56)/2*$AH56+$AI56)*(1+$AP56)*(1+$AQ56)+(($AS56+$AT56)/2*IF($G$1="鸣金",$AJ56,$AH56)+IF($G$1="鸣金",$AK56*1.5,0))*(1+$AU56)*(1+$AV56)+(($AW56+$AX56)/2*IF($G$1="裂石",$AJ56,$AH56)+IF($G$1="裂石",$AK56*1.5,0))*(1+$AY56)*(1+$AZ56)+(($BA56+$BB56)/2*IF($G$1="牵丝",$AJ56,$AH56)+IF($G$1="牵丝",$AK56*1.5,0))*(1+$BC56)*(1+$BD56)+(($BE56+$BF56)/2*IF($G$1="破竹",$AJ56,$AH56)+IF($G$1="破竹",$AK56*1.5,0))*(1+$BG56)*(1+$BH56))*(1+$AL56)*$BK56*$P56*(1+IF(VLOOKUP($Q56,武学奇术!$A:$ZZ,30,FALSE)="回旋伞",$B$21,0))*(1+$BQ56)</f>
        <v>94292.339804211</v>
      </c>
      <c r="M56" s="41">
        <f>(($AO56*$AH56+$AI56)*(1+$AP56)*(1+$AQ56)+($AT56*IF($G$1="鸣金",$AJ56,$AH56)+IF($G$1="鸣金",$AK56*1.5,0))*(1+$AU56)*(1+$AV56)+($AX56*IF($G$1="裂石",$AJ56,$AH56)+IF($G$1="裂石",$AK56*1.5,0))*(1+$AY56)*(1+$AZ56)+($BB56*IF($G$1="牵丝",$AJ56,$AH56)+IF($G$1="牵丝",$AK56*1.5,0))*(1+$BC56)*(1+$BD56)+($BF56*IF($G$1="破竹",$AJ56,$AH56)+IF($G$1="破竹",$AK56*1.5,0))*(1+$BG56)*(1+$BH56))*(1+$AL56)*$BM56*$P56*(1+IF(VLOOKUP($Q56,武学奇术!$A:$ZZ,30,FALSE)="回旋伞",$B$21,0))*(1+$BQ56)</f>
        <v>67499.7591726782</v>
      </c>
      <c r="N56" s="41">
        <f>((($AN56+$AO56)/2*$AH56+$AI56)*(1+$AP56)*(1+$AQ56)+(($AS56+$AT56)/2*IF($G$1="鸣金",$AJ56,$AH56)+IF($G$1="鸣金",$AK56*1.5,0))*(1+$AU56)*(1+$AV56)+(($AW56+$AX56)/2*IF($G$1="裂石",$AJ56,$AH56)+IF($G$1="裂石",$AK56*1.5,0))*(1+$AY56)*(1+$AZ56)+(($BA56+$BB56)/2*IF($G$1="牵丝",$AJ56,$AH56)+IF($G$1="牵丝",$AK56*1.5,0))*(1+$BC56)*(1+$BD56)+(($BE56+$BF56)/2*IF($G$1="破竹",$AJ56,$AH56)+IF($G$1="破竹",$AK56*1.5,0))*(1+$BG56)*(1+$BH56))*(1+$AL56)*$P56*(1+IF(VLOOKUP($Q56,武学奇术!$A:$ZZ,30,FALSE)="回旋伞",$B$21,0))*(1+$BQ56)</f>
        <v>44477.5187755712</v>
      </c>
      <c r="O56" s="41">
        <f>((($AN56*$AH56+$AI56)*(1+$AP56)*(1+$AQ56)+($AS56*IF($G$1="鸣金",$AJ56,$AH56)+IF($G$1="鸣金",$AK56*1.5,0))*(1+$AU56)*(1+$AV56)+($AW56*IF($G$1="裂石",$AJ56,$AH56)+IF($G$1="裂石",$AK56*1.5,0))*(1+$AY56)*(1+$AZ56)+($BA56*IF($G$1="牵丝",$AJ56,$AH56)+IF($G$1="牵丝",$AK56*1.5,0))*(1+$BC56)*(1+$BD56)+($BE56*IF($G$1="破竹",$AJ56,$AH56)+IF($G$1="破竹",$AK56*1.5,0))*(1+$BG56)*(1+$BH56))*(1+$AL56))*$P56*(1+IF(VLOOKUP($Q56,武学奇术!$A:$ZZ,30,FALSE)="回旋伞",$B$21,0))*(1+$BQ56)</f>
        <v>38955.2159417512</v>
      </c>
      <c r="P56" s="42">
        <v>2</v>
      </c>
      <c r="Q56" s="43" t="s">
        <v>70</v>
      </c>
      <c r="R56" s="43" t="s">
        <v>71</v>
      </c>
      <c r="S56" s="43" t="s">
        <v>91</v>
      </c>
      <c r="T56" s="43" t="s">
        <v>72</v>
      </c>
      <c r="U56" s="43" t="s">
        <v>79</v>
      </c>
      <c r="V56" s="43" t="s">
        <v>167</v>
      </c>
      <c r="W56" s="43" t="s">
        <v>95</v>
      </c>
      <c r="X56" s="43" t="s">
        <v>82</v>
      </c>
      <c r="Y56" s="43" t="s">
        <v>177</v>
      </c>
      <c r="Z56" s="43" t="s">
        <v>178</v>
      </c>
      <c r="AA56" s="43" t="s">
        <v>71</v>
      </c>
      <c r="AB56" s="43" t="s">
        <v>179</v>
      </c>
      <c r="AC56" s="43" t="s">
        <v>71</v>
      </c>
      <c r="AD56" s="43" t="s">
        <v>71</v>
      </c>
      <c r="AE56" s="43" t="s">
        <v>71</v>
      </c>
      <c r="AF56" s="43" t="s">
        <v>76</v>
      </c>
      <c r="AG56" t="str">
        <f>VLOOKUP($Q56,武学奇术!$A:$ZZ,25,FALSE)</f>
        <v>群体奇术</v>
      </c>
      <c r="AH56" s="30">
        <f>VLOOKUP($Q56,武学奇术!$A:$ZZ,26,FALSE)</f>
        <v>1.4904</v>
      </c>
      <c r="AI56" s="31">
        <f>VLOOKUP($Q56,武学奇术!$A:$ZZ,27,FALSE)*(1+IF(OR($AG56=$F$4,$AG56=$F$5),$B$22,0))</f>
        <v>368</v>
      </c>
      <c r="AJ56" s="30">
        <f>VLOOKUP($Q56,武学奇术!$A:$ZZ,28,FALSE)</f>
        <v>2.2353</v>
      </c>
      <c r="AK56" s="31">
        <f>VLOOKUP($Q56,武学奇术!$A:$ZZ,29,FALSE)*(1+IF(OR($AG56=$F$4,$AG56=$F$5),$B$22,0))</f>
        <v>0</v>
      </c>
      <c r="AL56" s="30" cm="1">
        <f t="array" ref="AL56">$G$3+IFERROR(VLOOKUP($AG56,$F$4:$G$7,2,FALSE),0)+VLOOKUP($Q56,武学奇术!$A:$ZZ,2,FALSE)+SUM(_xlfn.XLOOKUP($R56:$AF56,增益!$A:$A,增益!$B:$B,0))</f>
        <v>0.4837</v>
      </c>
      <c r="AM56" s="30" cm="1">
        <f t="array" ref="AM56">VLOOKUP($Q56,武学奇术!$A:$ZZ,5,FALSE)+SUM(_xlfn.XLOOKUP($R56:$AF56,增益!$A:$A,增益!$E:$E,0))</f>
        <v>0</v>
      </c>
      <c r="AN56" cm="1">
        <f t="array" ref="AN56">$D$10*(1+$AM56)+VLOOKUP($Q56,武学奇术!$A:$ZZ,3,FALSE)+SUM(_xlfn.XLOOKUP($R56:$AF56,增益!$A:$A,增益!$C:$C,0))-$I$2</f>
        <v>3545.8</v>
      </c>
      <c r="AO56" cm="1">
        <f t="array" ref="AO56">$E$10*(1+$AM56)+VLOOKUP($Q56,武学奇术!$A:$ZZ,4,FALSE)+SUM(_xlfn.XLOOKUP($R56:$AF56,增益!$A:$A,增益!$D:$D,0))-$I$2</f>
        <v>3545.8</v>
      </c>
      <c r="AP56" s="35" cm="1">
        <f t="array" ref="AP56">IF($F$10-$I$3+VLOOKUP($Q56,武学奇术!$A:$ZZ,6,FALSE)+SUM(_xlfn.XLOOKUP(R56:AF56,增益!$A:$A,增益!$F:$F,0))&gt;0,($F$10-$I$3+VLOOKUP($Q56,武学奇术!$A:$ZZ,6,FALSE)+SUM(_xlfn.XLOOKUP(R56:AF56,增益!$A:$A,增益!$F:$F,0)))/200,($F$10-$I$3+VLOOKUP($Q56,武学奇术!$A:$ZZ,6,FALSE)+SUM(_xlfn.XLOOKUP(R56:AF56,增益!$A:$A,增益!$F:$F,0)))/100)</f>
        <v>0.4675</v>
      </c>
      <c r="AQ56" s="35" cm="1">
        <f t="array" ref="AQ56">$G$10+VLOOKUP($Q56,武学奇术!$A:$ZZ,7,FALSE)+SUM(_xlfn.XLOOKUP(R56:AF56,增益!$A:$A,增益!$G:$G,0))</f>
        <v>0.028</v>
      </c>
      <c r="AR56" s="30" cm="1">
        <f t="array" ref="AR56">VLOOKUP($Q56,武学奇术!$A:$ZZ,8,FALSE)+SUM(_xlfn.XLOOKUP(R56:AF56,增益!$A:$A,增益!$H:$H,0))</f>
        <v>0</v>
      </c>
      <c r="AS56">
        <f t="shared" si="18"/>
        <v>0</v>
      </c>
      <c r="AT56">
        <f t="shared" si="19"/>
        <v>0</v>
      </c>
      <c r="AU56" s="35" cm="1">
        <f t="array" ref="AU56">IF($F$11-$I$4+VLOOKUP($Q56,武学奇术!$A:$ZZ,9,FALSE)+SUM(_xlfn.XLOOKUP(R56:AF56,增益!$A:$A,增益!$I:$I,0))&gt;0,($F$11-$I$4+VLOOKUP($Q56,武学奇术!$A:$ZZ,9,FALSE)+SUM(_xlfn.XLOOKUP(R56:AF56,增益!$A:$A,增益!$I:$I,0)))/200,($F$11-$I$4+VLOOKUP($Q56,武学奇术!$A:$ZZ,9,FALSE)+SUM(_xlfn.XLOOKUP(R56:AF56,增益!$A:$A,增益!$I:$I,0)))/100)</f>
        <v>-0.14</v>
      </c>
      <c r="AV56" s="35" cm="1">
        <f t="array" ref="AV56">$G$11+VLOOKUP($Q56,武学奇术!$A:$ZZ,10,FALSE)+SUM(_xlfn.XLOOKUP(R56:AF56,增益!$A:$A,增益!$J:$J,0))</f>
        <v>0.1</v>
      </c>
      <c r="AW56">
        <f t="shared" si="20"/>
        <v>0</v>
      </c>
      <c r="AX56">
        <f t="shared" si="21"/>
        <v>0</v>
      </c>
      <c r="AY56" s="35" cm="1">
        <f t="array" ref="AY56">IF($F$12-$I$4+VLOOKUP($Q56,武学奇术!$A:$ZZ,11,FALSE)+SUM(_xlfn.XLOOKUP(R56:AF56,增益!$A:$A,增益!$K:$K,0))&gt;0,($F$12-$I$4+VLOOKUP($Q56,武学奇术!$A:$ZZ,11,FALSE)+SUM(_xlfn.XLOOKUP(R56:AF56,增益!$A:$A,增益!$K:$K,0)))/200,($F$12-$I$4+VLOOKUP($Q56,武学奇术!$A:$ZZ,11,FALSE)+SUM(_xlfn.XLOOKUP(R56:AF56,增益!$A:$A,增益!$K:$K,0)))/100)</f>
        <v>-0.14</v>
      </c>
      <c r="AZ56" s="35" cm="1">
        <f t="array" ref="AZ56">$G$12+VLOOKUP($Q56,武学奇术!$A:$ZZ,12,FALSE)+SUM(_xlfn.XLOOKUP(R56:AF56,增益!$A:$A,增益!$L:$L,0))</f>
        <v>0</v>
      </c>
      <c r="BA56">
        <f t="shared" si="13"/>
        <v>0</v>
      </c>
      <c r="BB56">
        <f t="shared" si="14"/>
        <v>0</v>
      </c>
      <c r="BC56" s="35" cm="1">
        <f t="array" ref="BC56">IF($F$13-$I$4+VLOOKUP($Q56,武学奇术!$A:$ZZ,13,FALSE)+SUM(_xlfn.XLOOKUP(R56:AF56,增益!$A:$A,增益!$M:$M,0))&gt;0,($F$13-$I$4+VLOOKUP($Q56,武学奇术!$A:$ZZ,13,FALSE)+SUM(_xlfn.XLOOKUP(R56:AF56,增益!$A:$A,增益!$K:$K,0)))/200,($F$13-$I$4+VLOOKUP($Q56,武学奇术!$A:$ZZ,13,FALSE)+SUM(_xlfn.XLOOKUP(R56:AF56,增益!$A:$A,增益!$M:$M,0)))/100)</f>
        <v>-0.14</v>
      </c>
      <c r="BD56" s="35" cm="1">
        <f t="array" ref="BD56">$G$13+VLOOKUP($Q56,武学奇术!$A:$ZZ,14,FALSE)+SUM(_xlfn.XLOOKUP(R56:AF56,增益!$A:$A,增益!$N:$N,0))</f>
        <v>0</v>
      </c>
      <c r="BE56">
        <f t="shared" si="15"/>
        <v>538</v>
      </c>
      <c r="BF56">
        <f t="shared" si="16"/>
        <v>1561.4</v>
      </c>
      <c r="BG56" s="35" cm="1">
        <f t="array" ref="BG56">IF($F$14-$I$4+VLOOKUP($Q56,武学奇术!$A:$ZZ,15,FALSE)+SUM(_xlfn.XLOOKUP(R56:AF56,增益!$A:$A,增益!$O:$O,0))&gt;0,($F$14-$I$4+VLOOKUP($Q56,武学奇术!$A:$ZZ,15,FALSE)+SUM(_xlfn.XLOOKUP(R56:AF56,增益!$A:$A,增益!$O:$O,0)))/200,($F$14-$I$4+VLOOKUP($Q56,武学奇术!$A:$ZZ,15,FALSE)+SUM(_xlfn.XLOOKUP(R56:AF56,增益!$A:$A,增益!$O:$O,0)))/100)</f>
        <v>0.08</v>
      </c>
      <c r="BH56" s="35" cm="1">
        <f t="array" ref="BH56">$G$14+VLOOKUP($Q56,武学奇术!$A:$ZZ,16,FALSE)+SUM(_xlfn.XLOOKUP(R56:AF56,增益!$A:$A,增益!$P:$P,0))</f>
        <v>0.15</v>
      </c>
      <c r="BI56" s="30">
        <f>MIN(IF(VLOOKUP($Q56,武学奇术!$A:$ZZ,23,FALSE)=1,100%,$B$8),100%)</f>
        <v>0.9712</v>
      </c>
      <c r="BJ56" s="30" cm="1">
        <f t="array" ref="BJ56">IF(VLOOKUP($Q56,武学奇术!$A:$ZZ,23,FALSE)=1,100%,MIN(80%,$B$9+VLOOKUP($Q56,武学奇术!$A:$ZZ,17,FALSE)+SUM(_xlfn.XLOOKUP(R56:AF56,增益!$A:$A,增益!$Q:$Q,0)))+$B$11+SUM(_xlfn.XLOOKUP(R56:AF56,增益!$A:$A,增益!$U:$U,0)))*IF(VLOOKUP($Q56,武学奇术!$A:$ZZ,24,FALSE)=1,0,1)</f>
        <v>0.8773</v>
      </c>
      <c r="BK56" s="30" cm="1">
        <f t="array" ref="BK56">1+$B$13+VLOOKUP($Q56,武学奇术!$A:$ZZ,18,FALSE)+SUM(_xlfn.XLOOKUP(R56:AF56,增益!$A:$A,增益!$R:$R,0))</f>
        <v>2.12</v>
      </c>
      <c r="BL56" s="30" cm="1">
        <f t="array" ref="BL56">IF(VLOOKUP($Q56,武学奇术!$A:$ZZ,24,FALSE)=1,100%,MIN(40%,$B$10+VLOOKUP($Q56,武学奇术!$A:$ZZ,19,FALSE)+SUM(_xlfn.XLOOKUP(R56:AF56,增益!$A:$A,增益!$S:$S,0)))+$B$12+SUM(_xlfn.XLOOKUP(R56:AF56,增益!$A:$A,增益!$V:$V,0)))*IF(VLOOKUP($Q56,武学奇术!$A:$ZZ,23,FALSE)=1,0,1)</f>
        <v>0.0895</v>
      </c>
      <c r="BM56" s="30" cm="1">
        <f t="array" ref="BM56">1+$B$14+VLOOKUP($Q56,武学奇术!$A:$ZZ,20,FALSE)+SUM(_xlfn.XLOOKUP(R56:AF56,增益!$A:$A,增益!$T:$T,0))</f>
        <v>1.35</v>
      </c>
      <c r="BN56" s="30">
        <f t="shared" si="11"/>
        <v>0.85203376</v>
      </c>
      <c r="BO56" s="30">
        <f t="shared" si="17"/>
        <v>0.03224384</v>
      </c>
      <c r="BP56" s="30">
        <f>IF(VLOOKUP($Q56,武学奇术!$A:$ZZ,22,FALSE)=1,0,(1-$BI56))*(1-$BL56)</f>
        <v>0.0262224</v>
      </c>
      <c r="BQ56" s="30" cm="1">
        <f t="array" ref="BQ56">SUM(_xlfn.XLOOKUP(R56:AF56,增益!$A:$A,增益!$W:$W,0))+$I$5</f>
        <v>0.31</v>
      </c>
    </row>
    <row r="57" spans="1:69">
      <c r="A57" s="4" t="s">
        <v>180</v>
      </c>
      <c r="B57" s="4">
        <v>1.1</v>
      </c>
      <c r="D57" s="4"/>
      <c r="E57" s="42"/>
      <c r="K57" s="41">
        <f t="shared" si="12"/>
        <v>75852.7896780883</v>
      </c>
      <c r="L57" s="41">
        <f>((($AN57+$AO57)/2*$AH57+$AI57)*(1+$AP57)*(1+$AQ57)+(($AS57+$AT57)/2*IF($G$1="鸣金",$AJ57,$AH57)+IF($G$1="鸣金",$AK57*1.5,0))*(1+$AU57)*(1+$AV57)+(($AW57+$AX57)/2*IF($G$1="裂石",$AJ57,$AH57)+IF($G$1="裂石",$AK57*1.5,0))*(1+$AY57)*(1+$AZ57)+(($BA57+$BB57)/2*IF($G$1="牵丝",$AJ57,$AH57)+IF($G$1="牵丝",$AK57*1.5,0))*(1+$BC57)*(1+$BD57)+(($BE57+$BF57)/2*IF($G$1="破竹",$AJ57,$AH57)+IF($G$1="破竹",$AK57*1.5,0))*(1+$BG57)*(1+$BH57))*(1+$AL57)*$BK57*$P57*(1+IF(VLOOKUP($Q57,武学奇术!$A:$ZZ,30,FALSE)="回旋伞",$B$21,0))*(1+$BQ57)</f>
        <v>79504.7960657298</v>
      </c>
      <c r="M57" s="41">
        <f>(($AO57*$AH57+$AI57)*(1+$AP57)*(1+$AQ57)+($AT57*IF($G$1="鸣金",$AJ57,$AH57)+IF($G$1="鸣金",$AK57*1.5,0))*(1+$AU57)*(1+$AV57)+($AX57*IF($G$1="裂石",$AJ57,$AH57)+IF($G$1="裂石",$AK57*1.5,0))*(1+$AY57)*(1+$AZ57)+($BB57*IF($G$1="牵丝",$AJ57,$AH57)+IF($G$1="牵丝",$AK57*1.5,0))*(1+$BC57)*(1+$BD57)+($BF57*IF($G$1="破竹",$AJ57,$AH57)+IF($G$1="破竹",$AK57*1.5,0))*(1+$BG57)*(1+$BH57))*(1+$AL57)*$BM57*$P57*(1+IF(VLOOKUP($Q57,武学奇术!$A:$ZZ,30,FALSE)="回旋伞",$B$21,0))*(1+$BQ57)</f>
        <v>64378.7137204157</v>
      </c>
      <c r="N57" s="41">
        <f>((($AN57+$AO57)/2*$AH57+$AI57)*(1+$AP57)*(1+$AQ57)+(($AS57+$AT57)/2*IF($G$1="鸣金",$AJ57,$AH57)+IF($G$1="鸣金",$AK57*1.5,0))*(1+$AU57)*(1+$AV57)+(($AW57+$AX57)/2*IF($G$1="裂石",$AJ57,$AH57)+IF($G$1="裂石",$AK57*1.5,0))*(1+$AY57)*(1+$AZ57)+(($BA57+$BB57)/2*IF($G$1="牵丝",$AJ57,$AH57)+IF($G$1="牵丝",$AK57*1.5,0))*(1+$BC57)*(1+$BD57)+(($BE57+$BF57)/2*IF($G$1="破竹",$AJ57,$AH57)+IF($G$1="破竹",$AK57*1.5,0))*(1+$BG57)*(1+$BH57))*(1+$AL57)*$P57*(1+IF(VLOOKUP($Q57,武学奇术!$A:$ZZ,30,FALSE)="回旋伞",$B$21,0))*(1+$BQ57)</f>
        <v>42515.9337249892</v>
      </c>
      <c r="O57" s="41">
        <f>((($AN57*$AH57+$AI57)*(1+$AP57)*(1+$AQ57)+($AS57*IF($G$1="鸣金",$AJ57,$AH57)+IF($G$1="鸣金",$AK57*1.5,0))*(1+$AU57)*(1+$AV57)+($AW57*IF($G$1="裂石",$AJ57,$AH57)+IF($G$1="裂石",$AK57*1.5,0))*(1+$AY57)*(1+$AZ57)+($BA57*IF($G$1="牵丝",$AJ57,$AH57)+IF($G$1="牵丝",$AK57*1.5,0))*(1+$BC57)*(1+$BD57)+($BE57*IF($G$1="破竹",$AJ57,$AH57)+IF($G$1="破竹",$AK57*1.5,0))*(1+$BG57)*(1+$BH57))*(1+$AL57))*$P57*(1+IF(VLOOKUP($Q57,武学奇术!$A:$ZZ,30,FALSE)="回旋伞",$B$21,0))*(1+$BQ57)</f>
        <v>37343.9313607816</v>
      </c>
      <c r="P57" s="42">
        <v>1</v>
      </c>
      <c r="Q57" s="43" t="s">
        <v>104</v>
      </c>
      <c r="R57" s="43" t="s">
        <v>105</v>
      </c>
      <c r="S57" s="43" t="s">
        <v>91</v>
      </c>
      <c r="T57" s="43" t="s">
        <v>72</v>
      </c>
      <c r="U57" s="43" t="s">
        <v>79</v>
      </c>
      <c r="V57" s="43" t="s">
        <v>167</v>
      </c>
      <c r="W57" s="43" t="s">
        <v>95</v>
      </c>
      <c r="X57" s="43" t="s">
        <v>82</v>
      </c>
      <c r="Y57" s="43" t="s">
        <v>71</v>
      </c>
      <c r="Z57" s="43" t="s">
        <v>71</v>
      </c>
      <c r="AA57" s="43" t="s">
        <v>71</v>
      </c>
      <c r="AB57" s="43" t="s">
        <v>71</v>
      </c>
      <c r="AC57" s="43" t="s">
        <v>71</v>
      </c>
      <c r="AD57" s="43" t="s">
        <v>71</v>
      </c>
      <c r="AE57" s="43" t="s">
        <v>71</v>
      </c>
      <c r="AF57" s="43" t="s">
        <v>76</v>
      </c>
      <c r="AG57" t="str">
        <f>VLOOKUP($Q57,武学奇术!$A:$ZZ,25,FALSE)</f>
        <v>伞</v>
      </c>
      <c r="AH57" s="30">
        <f>VLOOKUP($Q57,武学奇术!$A:$ZZ,26,FALSE)</f>
        <v>1.8084</v>
      </c>
      <c r="AI57" s="31">
        <f>VLOOKUP($Q57,武学奇术!$A:$ZZ,27,FALSE)*(1+IF(OR($AG57=$F$4,$AG57=$F$5),$B$22,0))</f>
        <v>700</v>
      </c>
      <c r="AJ57" s="30">
        <f>VLOOKUP($Q57,武学奇术!$A:$ZZ,28,FALSE)</f>
        <v>2.7126</v>
      </c>
      <c r="AK57" s="31">
        <f>VLOOKUP($Q57,武学奇术!$A:$ZZ,29,FALSE)*(1+IF(OR($AG57=$F$4,$AG57=$F$5),$B$22,0))</f>
        <v>380.8</v>
      </c>
      <c r="AL57" s="30" cm="1">
        <f t="array" ref="AL57">$G$3+IFERROR(VLOOKUP($AG57,$F$4:$G$7,2,FALSE),0)+VLOOKUP($Q57,武学奇术!$A:$ZZ,2,FALSE)+SUM(_xlfn.XLOOKUP($R57:$AF57,增益!$A:$A,增益!$B:$B,0))</f>
        <v>0.8541</v>
      </c>
      <c r="AM57" s="30" cm="1">
        <f t="array" ref="AM57">VLOOKUP($Q57,武学奇术!$A:$ZZ,5,FALSE)+SUM(_xlfn.XLOOKUP($R57:$AF57,增益!$A:$A,增益!$E:$E,0))</f>
        <v>0</v>
      </c>
      <c r="AN57" cm="1">
        <f t="array" ref="AN57">$D$10*(1+$AM57)+VLOOKUP($Q57,武学奇术!$A:$ZZ,3,FALSE)+SUM(_xlfn.XLOOKUP($R57:$AF57,增益!$A:$A,增益!$C:$C,0))-$I$2</f>
        <v>3545.8</v>
      </c>
      <c r="AO57" cm="1">
        <f t="array" ref="AO57">$E$10*(1+$AM57)+VLOOKUP($Q57,武学奇术!$A:$ZZ,4,FALSE)+SUM(_xlfn.XLOOKUP($R57:$AF57,增益!$A:$A,增益!$D:$D,0))-$I$2</f>
        <v>3545.8</v>
      </c>
      <c r="AP57" s="35" cm="1">
        <f t="array" ref="AP57">IF($F$10-$I$3+VLOOKUP($Q57,武学奇术!$A:$ZZ,6,FALSE)+SUM(_xlfn.XLOOKUP(R57:AF57,增益!$A:$A,增益!$F:$F,0))&gt;0,($F$10-$I$3+VLOOKUP($Q57,武学奇术!$A:$ZZ,6,FALSE)+SUM(_xlfn.XLOOKUP(R57:AF57,增益!$A:$A,增益!$F:$F,0)))/200,($F$10-$I$3+VLOOKUP($Q57,武学奇术!$A:$ZZ,6,FALSE)+SUM(_xlfn.XLOOKUP(R57:AF57,增益!$A:$A,增益!$F:$F,0)))/100)</f>
        <v>0.3425</v>
      </c>
      <c r="AQ57" s="35" cm="1">
        <f t="array" ref="AQ57">$G$10+VLOOKUP($Q57,武学奇术!$A:$ZZ,7,FALSE)+SUM(_xlfn.XLOOKUP(R57:AF57,增益!$A:$A,增益!$G:$G,0))</f>
        <v>0.148</v>
      </c>
      <c r="AR57" s="30" cm="1">
        <f t="array" ref="AR57">VLOOKUP($Q57,武学奇术!$A:$ZZ,8,FALSE)+SUM(_xlfn.XLOOKUP(R57:AF57,增益!$A:$A,增益!$H:$H,0))</f>
        <v>0</v>
      </c>
      <c r="AS57">
        <f t="shared" si="18"/>
        <v>0</v>
      </c>
      <c r="AT57">
        <f t="shared" si="19"/>
        <v>0</v>
      </c>
      <c r="AU57" s="35" cm="1">
        <f t="array" ref="AU57">IF($F$11-$I$4+VLOOKUP($Q57,武学奇术!$A:$ZZ,9,FALSE)+SUM(_xlfn.XLOOKUP(R57:AF57,增益!$A:$A,增益!$I:$I,0))&gt;0,($F$11-$I$4+VLOOKUP($Q57,武学奇术!$A:$ZZ,9,FALSE)+SUM(_xlfn.XLOOKUP(R57:AF57,增益!$A:$A,增益!$I:$I,0)))/200,($F$11-$I$4+VLOOKUP($Q57,武学奇术!$A:$ZZ,9,FALSE)+SUM(_xlfn.XLOOKUP(R57:AF57,增益!$A:$A,增益!$I:$I,0)))/100)</f>
        <v>-0.14</v>
      </c>
      <c r="AV57" s="35" cm="1">
        <f t="array" ref="AV57">$G$11+VLOOKUP($Q57,武学奇术!$A:$ZZ,10,FALSE)+SUM(_xlfn.XLOOKUP(R57:AF57,增益!$A:$A,增益!$J:$J,0))</f>
        <v>0</v>
      </c>
      <c r="AW57">
        <f t="shared" si="20"/>
        <v>0</v>
      </c>
      <c r="AX57">
        <f t="shared" si="21"/>
        <v>0</v>
      </c>
      <c r="AY57" s="35" cm="1">
        <f t="array" ref="AY57">IF($F$12-$I$4+VLOOKUP($Q57,武学奇术!$A:$ZZ,11,FALSE)+SUM(_xlfn.XLOOKUP(R57:AF57,增益!$A:$A,增益!$K:$K,0))&gt;0,($F$12-$I$4+VLOOKUP($Q57,武学奇术!$A:$ZZ,11,FALSE)+SUM(_xlfn.XLOOKUP(R57:AF57,增益!$A:$A,增益!$K:$K,0)))/200,($F$12-$I$4+VLOOKUP($Q57,武学奇术!$A:$ZZ,11,FALSE)+SUM(_xlfn.XLOOKUP(R57:AF57,增益!$A:$A,增益!$K:$K,0)))/100)</f>
        <v>-0.14</v>
      </c>
      <c r="AZ57" s="35" cm="1">
        <f t="array" ref="AZ57">$G$12+VLOOKUP($Q57,武学奇术!$A:$ZZ,12,FALSE)+SUM(_xlfn.XLOOKUP(R57:AF57,增益!$A:$A,增益!$L:$L,0))</f>
        <v>0</v>
      </c>
      <c r="BA57">
        <f t="shared" si="13"/>
        <v>0</v>
      </c>
      <c r="BB57">
        <f t="shared" si="14"/>
        <v>0</v>
      </c>
      <c r="BC57" s="35" cm="1">
        <f t="array" ref="BC57">IF($F$13-$I$4+VLOOKUP($Q57,武学奇术!$A:$ZZ,13,FALSE)+SUM(_xlfn.XLOOKUP(R57:AF57,增益!$A:$A,增益!$M:$M,0))&gt;0,($F$13-$I$4+VLOOKUP($Q57,武学奇术!$A:$ZZ,13,FALSE)+SUM(_xlfn.XLOOKUP(R57:AF57,增益!$A:$A,增益!$K:$K,0)))/200,($F$13-$I$4+VLOOKUP($Q57,武学奇术!$A:$ZZ,13,FALSE)+SUM(_xlfn.XLOOKUP(R57:AF57,增益!$A:$A,增益!$M:$M,0)))/100)</f>
        <v>-0.14</v>
      </c>
      <c r="BD57" s="35" cm="1">
        <f t="array" ref="BD57">$G$13+VLOOKUP($Q57,武学奇术!$A:$ZZ,14,FALSE)+SUM(_xlfn.XLOOKUP(R57:AF57,增益!$A:$A,增益!$N:$N,0))</f>
        <v>0</v>
      </c>
      <c r="BE57">
        <f t="shared" si="15"/>
        <v>538</v>
      </c>
      <c r="BF57">
        <f t="shared" si="16"/>
        <v>1561.4</v>
      </c>
      <c r="BG57" s="35" cm="1">
        <f t="array" ref="BG57">IF($F$14-$I$4+VLOOKUP($Q57,武学奇术!$A:$ZZ,15,FALSE)+SUM(_xlfn.XLOOKUP(R57:AF57,增益!$A:$A,增益!$O:$O,0))&gt;0,($F$14-$I$4+VLOOKUP($Q57,武学奇术!$A:$ZZ,15,FALSE)+SUM(_xlfn.XLOOKUP(R57:AF57,增益!$A:$A,增益!$O:$O,0)))/200,($F$14-$I$4+VLOOKUP($Q57,武学奇术!$A:$ZZ,15,FALSE)+SUM(_xlfn.XLOOKUP(R57:AF57,增益!$A:$A,增益!$O:$O,0)))/100)</f>
        <v>0.08</v>
      </c>
      <c r="BH57" s="35" cm="1">
        <f t="array" ref="BH57">$G$14+VLOOKUP($Q57,武学奇术!$A:$ZZ,16,FALSE)+SUM(_xlfn.XLOOKUP(R57:AF57,增益!$A:$A,增益!$P:$P,0))</f>
        <v>0.27</v>
      </c>
      <c r="BI57" s="30">
        <f>MIN(IF(VLOOKUP($Q57,武学奇术!$A:$ZZ,23,FALSE)=1,100%,$B$8),100%)</f>
        <v>0.9712</v>
      </c>
      <c r="BJ57" s="30" cm="1">
        <f t="array" ref="BJ57">IF(VLOOKUP($Q57,武学奇术!$A:$ZZ,23,FALSE)=1,100%,MIN(80%,$B$9+VLOOKUP($Q57,武学奇术!$A:$ZZ,17,FALSE)+SUM(_xlfn.XLOOKUP(R57:AF57,增益!$A:$A,增益!$Q:$Q,0)))+$B$11+SUM(_xlfn.XLOOKUP(R57:AF57,增益!$A:$A,增益!$U:$U,0)))*IF(VLOOKUP($Q57,武学奇术!$A:$ZZ,24,FALSE)=1,0,1)</f>
        <v>0.8773</v>
      </c>
      <c r="BK57" s="30" cm="1">
        <f t="array" ref="BK57">1+$B$13+VLOOKUP($Q57,武学奇术!$A:$ZZ,18,FALSE)+SUM(_xlfn.XLOOKUP(R57:AF57,增益!$A:$A,增益!$R:$R,0))</f>
        <v>1.87</v>
      </c>
      <c r="BL57" s="30" cm="1">
        <f t="array" ref="BL57">IF(VLOOKUP($Q57,武学奇术!$A:$ZZ,24,FALSE)=1,100%,MIN(40%,$B$10+VLOOKUP($Q57,武学奇术!$A:$ZZ,19,FALSE)+SUM(_xlfn.XLOOKUP(R57:AF57,增益!$A:$A,增益!$S:$S,0)))+$B$12+SUM(_xlfn.XLOOKUP(R57:AF57,增益!$A:$A,增益!$V:$V,0)))*IF(VLOOKUP($Q57,武学奇术!$A:$ZZ,23,FALSE)=1,0,1)</f>
        <v>0.0895</v>
      </c>
      <c r="BM57" s="30" cm="1">
        <f t="array" ref="BM57">1+$B$14+VLOOKUP($Q57,武学奇术!$A:$ZZ,20,FALSE)+SUM(_xlfn.XLOOKUP(R57:AF57,增益!$A:$A,增益!$T:$T,0))</f>
        <v>1.35</v>
      </c>
      <c r="BN57" s="30">
        <f t="shared" si="11"/>
        <v>0.85203376</v>
      </c>
      <c r="BO57" s="30">
        <f t="shared" si="17"/>
        <v>0.03224384</v>
      </c>
      <c r="BP57" s="30">
        <f>IF(VLOOKUP($Q57,武学奇术!$A:$ZZ,22,FALSE)=1,0,(1-$BI57))*(1-$BL57)</f>
        <v>0.0262224</v>
      </c>
      <c r="BQ57" s="30" cm="1">
        <f t="array" ref="BQ57">SUM(_xlfn.XLOOKUP(R57:AF57,增益!$A:$A,增益!$W:$W,0))+$I$5</f>
        <v>0.11</v>
      </c>
    </row>
    <row r="58" spans="1:69">
      <c r="A58" s="4" t="s">
        <v>170</v>
      </c>
      <c r="B58" s="4">
        <v>2.6</v>
      </c>
      <c r="E58" s="42"/>
      <c r="K58" s="41">
        <f t="shared" si="12"/>
        <v>75852.7896780883</v>
      </c>
      <c r="L58" s="41">
        <f>((($AN58+$AO58)/2*$AH58+$AI58)*(1+$AP58)*(1+$AQ58)+(($AS58+$AT58)/2*IF($G$1="鸣金",$AJ58,$AH58)+IF($G$1="鸣金",$AK58*1.5,0))*(1+$AU58)*(1+$AV58)+(($AW58+$AX58)/2*IF($G$1="裂石",$AJ58,$AH58)+IF($G$1="裂石",$AK58*1.5,0))*(1+$AY58)*(1+$AZ58)+(($BA58+$BB58)/2*IF($G$1="牵丝",$AJ58,$AH58)+IF($G$1="牵丝",$AK58*1.5,0))*(1+$BC58)*(1+$BD58)+(($BE58+$BF58)/2*IF($G$1="破竹",$AJ58,$AH58)+IF($G$1="破竹",$AK58*1.5,0))*(1+$BG58)*(1+$BH58))*(1+$AL58)*$BK58*$P58*(1+IF(VLOOKUP($Q58,武学奇术!$A:$ZZ,30,FALSE)="回旋伞",$B$21,0))*(1+$BQ58)</f>
        <v>79504.7960657298</v>
      </c>
      <c r="M58" s="41">
        <f>(($AO58*$AH58+$AI58)*(1+$AP58)*(1+$AQ58)+($AT58*IF($G$1="鸣金",$AJ58,$AH58)+IF($G$1="鸣金",$AK58*1.5,0))*(1+$AU58)*(1+$AV58)+($AX58*IF($G$1="裂石",$AJ58,$AH58)+IF($G$1="裂石",$AK58*1.5,0))*(1+$AY58)*(1+$AZ58)+($BB58*IF($G$1="牵丝",$AJ58,$AH58)+IF($G$1="牵丝",$AK58*1.5,0))*(1+$BC58)*(1+$BD58)+($BF58*IF($G$1="破竹",$AJ58,$AH58)+IF($G$1="破竹",$AK58*1.5,0))*(1+$BG58)*(1+$BH58))*(1+$AL58)*$BM58*$P58*(1+IF(VLOOKUP($Q58,武学奇术!$A:$ZZ,30,FALSE)="回旋伞",$B$21,0))*(1+$BQ58)</f>
        <v>64378.7137204157</v>
      </c>
      <c r="N58" s="41">
        <f>((($AN58+$AO58)/2*$AH58+$AI58)*(1+$AP58)*(1+$AQ58)+(($AS58+$AT58)/2*IF($G$1="鸣金",$AJ58,$AH58)+IF($G$1="鸣金",$AK58*1.5,0))*(1+$AU58)*(1+$AV58)+(($AW58+$AX58)/2*IF($G$1="裂石",$AJ58,$AH58)+IF($G$1="裂石",$AK58*1.5,0))*(1+$AY58)*(1+$AZ58)+(($BA58+$BB58)/2*IF($G$1="牵丝",$AJ58,$AH58)+IF($G$1="牵丝",$AK58*1.5,0))*(1+$BC58)*(1+$BD58)+(($BE58+$BF58)/2*IF($G$1="破竹",$AJ58,$AH58)+IF($G$1="破竹",$AK58*1.5,0))*(1+$BG58)*(1+$BH58))*(1+$AL58)*$P58*(1+IF(VLOOKUP($Q58,武学奇术!$A:$ZZ,30,FALSE)="回旋伞",$B$21,0))*(1+$BQ58)</f>
        <v>42515.9337249892</v>
      </c>
      <c r="O58" s="41">
        <f>((($AN58*$AH58+$AI58)*(1+$AP58)*(1+$AQ58)+($AS58*IF($G$1="鸣金",$AJ58,$AH58)+IF($G$1="鸣金",$AK58*1.5,0))*(1+$AU58)*(1+$AV58)+($AW58*IF($G$1="裂石",$AJ58,$AH58)+IF($G$1="裂石",$AK58*1.5,0))*(1+$AY58)*(1+$AZ58)+($BA58*IF($G$1="牵丝",$AJ58,$AH58)+IF($G$1="牵丝",$AK58*1.5,0))*(1+$BC58)*(1+$BD58)+($BE58*IF($G$1="破竹",$AJ58,$AH58)+IF($G$1="破竹",$AK58*1.5,0))*(1+$BG58)*(1+$BH58))*(1+$AL58))*$P58*(1+IF(VLOOKUP($Q58,武学奇术!$A:$ZZ,30,FALSE)="回旋伞",$B$21,0))*(1+$BQ58)</f>
        <v>37343.9313607816</v>
      </c>
      <c r="P58" s="42">
        <v>1</v>
      </c>
      <c r="Q58" s="43" t="s">
        <v>104</v>
      </c>
      <c r="R58" s="43" t="s">
        <v>105</v>
      </c>
      <c r="S58" s="43" t="s">
        <v>91</v>
      </c>
      <c r="T58" s="43" t="s">
        <v>72</v>
      </c>
      <c r="U58" s="43" t="s">
        <v>79</v>
      </c>
      <c r="V58" s="43" t="s">
        <v>167</v>
      </c>
      <c r="W58" s="43" t="s">
        <v>95</v>
      </c>
      <c r="X58" s="43" t="s">
        <v>82</v>
      </c>
      <c r="Y58" s="43" t="s">
        <v>71</v>
      </c>
      <c r="Z58" s="43" t="s">
        <v>71</v>
      </c>
      <c r="AA58" s="43" t="s">
        <v>109</v>
      </c>
      <c r="AB58" s="43" t="s">
        <v>71</v>
      </c>
      <c r="AC58" s="43" t="s">
        <v>71</v>
      </c>
      <c r="AD58" s="43" t="s">
        <v>71</v>
      </c>
      <c r="AE58" s="43" t="s">
        <v>71</v>
      </c>
      <c r="AF58" s="43" t="s">
        <v>76</v>
      </c>
      <c r="AG58" t="str">
        <f>VLOOKUP($Q58,武学奇术!$A:$ZZ,25,FALSE)</f>
        <v>伞</v>
      </c>
      <c r="AH58" s="30">
        <f>VLOOKUP($Q58,武学奇术!$A:$ZZ,26,FALSE)</f>
        <v>1.8084</v>
      </c>
      <c r="AI58" s="31">
        <f>VLOOKUP($Q58,武学奇术!$A:$ZZ,27,FALSE)*(1+IF(OR($AG58=$F$4,$AG58=$F$5),$B$22,0))</f>
        <v>700</v>
      </c>
      <c r="AJ58" s="30">
        <f>VLOOKUP($Q58,武学奇术!$A:$ZZ,28,FALSE)</f>
        <v>2.7126</v>
      </c>
      <c r="AK58" s="31">
        <f>VLOOKUP($Q58,武学奇术!$A:$ZZ,29,FALSE)*(1+IF(OR($AG58=$F$4,$AG58=$F$5),$B$22,0))</f>
        <v>380.8</v>
      </c>
      <c r="AL58" s="30" cm="1">
        <f t="array" ref="AL58">$G$3+IFERROR(VLOOKUP($AG58,$F$4:$G$7,2,FALSE),0)+VLOOKUP($Q58,武学奇术!$A:$ZZ,2,FALSE)+SUM(_xlfn.XLOOKUP($R58:$AF58,增益!$A:$A,增益!$B:$B,0))</f>
        <v>0.8541</v>
      </c>
      <c r="AM58" s="30" cm="1">
        <f t="array" ref="AM58">VLOOKUP($Q58,武学奇术!$A:$ZZ,5,FALSE)+SUM(_xlfn.XLOOKUP($R58:$AF58,增益!$A:$A,增益!$E:$E,0))</f>
        <v>0</v>
      </c>
      <c r="AN58" cm="1">
        <f t="array" ref="AN58">$D$10*(1+$AM58)+VLOOKUP($Q58,武学奇术!$A:$ZZ,3,FALSE)+SUM(_xlfn.XLOOKUP($R58:$AF58,增益!$A:$A,增益!$C:$C,0))-$I$2</f>
        <v>3545.8</v>
      </c>
      <c r="AO58" cm="1">
        <f t="array" ref="AO58">$E$10*(1+$AM58)+VLOOKUP($Q58,武学奇术!$A:$ZZ,4,FALSE)+SUM(_xlfn.XLOOKUP($R58:$AF58,增益!$A:$A,增益!$D:$D,0))-$I$2</f>
        <v>3545.8</v>
      </c>
      <c r="AP58" s="35" cm="1">
        <f t="array" ref="AP58">IF($F$10-$I$3+VLOOKUP($Q58,武学奇术!$A:$ZZ,6,FALSE)+SUM(_xlfn.XLOOKUP(R58:AF58,增益!$A:$A,增益!$F:$F,0))&gt;0,($F$10-$I$3+VLOOKUP($Q58,武学奇术!$A:$ZZ,6,FALSE)+SUM(_xlfn.XLOOKUP(R58:AF58,增益!$A:$A,增益!$F:$F,0)))/200,($F$10-$I$3+VLOOKUP($Q58,武学奇术!$A:$ZZ,6,FALSE)+SUM(_xlfn.XLOOKUP(R58:AF58,增益!$A:$A,增益!$F:$F,0)))/100)</f>
        <v>0.3425</v>
      </c>
      <c r="AQ58" s="35" cm="1">
        <f t="array" ref="AQ58">$G$10+VLOOKUP($Q58,武学奇术!$A:$ZZ,7,FALSE)+SUM(_xlfn.XLOOKUP(R58:AF58,增益!$A:$A,增益!$G:$G,0))</f>
        <v>0.148</v>
      </c>
      <c r="AR58" s="30" cm="1">
        <f t="array" ref="AR58">VLOOKUP($Q58,武学奇术!$A:$ZZ,8,FALSE)+SUM(_xlfn.XLOOKUP(R58:AF58,增益!$A:$A,增益!$H:$H,0))</f>
        <v>0</v>
      </c>
      <c r="AS58">
        <f t="shared" si="18"/>
        <v>0</v>
      </c>
      <c r="AT58">
        <f t="shared" si="19"/>
        <v>0</v>
      </c>
      <c r="AU58" s="35" cm="1">
        <f t="array" ref="AU58">IF($F$11-$I$4+VLOOKUP($Q58,武学奇术!$A:$ZZ,9,FALSE)+SUM(_xlfn.XLOOKUP(R58:AF58,增益!$A:$A,增益!$I:$I,0))&gt;0,($F$11-$I$4+VLOOKUP($Q58,武学奇术!$A:$ZZ,9,FALSE)+SUM(_xlfn.XLOOKUP(R58:AF58,增益!$A:$A,增益!$I:$I,0)))/200,($F$11-$I$4+VLOOKUP($Q58,武学奇术!$A:$ZZ,9,FALSE)+SUM(_xlfn.XLOOKUP(R58:AF58,增益!$A:$A,增益!$I:$I,0)))/100)</f>
        <v>-0.14</v>
      </c>
      <c r="AV58" s="35" cm="1">
        <f t="array" ref="AV58">$G$11+VLOOKUP($Q58,武学奇术!$A:$ZZ,10,FALSE)+SUM(_xlfn.XLOOKUP(R58:AF58,增益!$A:$A,增益!$J:$J,0))</f>
        <v>0</v>
      </c>
      <c r="AW58">
        <f t="shared" si="20"/>
        <v>0</v>
      </c>
      <c r="AX58">
        <f t="shared" si="21"/>
        <v>0</v>
      </c>
      <c r="AY58" s="35" cm="1">
        <f t="array" ref="AY58">IF($F$12-$I$4+VLOOKUP($Q58,武学奇术!$A:$ZZ,11,FALSE)+SUM(_xlfn.XLOOKUP(R58:AF58,增益!$A:$A,增益!$K:$K,0))&gt;0,($F$12-$I$4+VLOOKUP($Q58,武学奇术!$A:$ZZ,11,FALSE)+SUM(_xlfn.XLOOKUP(R58:AF58,增益!$A:$A,增益!$K:$K,0)))/200,($F$12-$I$4+VLOOKUP($Q58,武学奇术!$A:$ZZ,11,FALSE)+SUM(_xlfn.XLOOKUP(R58:AF58,增益!$A:$A,增益!$K:$K,0)))/100)</f>
        <v>-0.14</v>
      </c>
      <c r="AZ58" s="35" cm="1">
        <f t="array" ref="AZ58">$G$12+VLOOKUP($Q58,武学奇术!$A:$ZZ,12,FALSE)+SUM(_xlfn.XLOOKUP(R58:AF58,增益!$A:$A,增益!$L:$L,0))</f>
        <v>0</v>
      </c>
      <c r="BA58">
        <f t="shared" si="13"/>
        <v>0</v>
      </c>
      <c r="BB58">
        <f t="shared" si="14"/>
        <v>0</v>
      </c>
      <c r="BC58" s="35" cm="1">
        <f t="array" ref="BC58">IF($F$13-$I$4+VLOOKUP($Q58,武学奇术!$A:$ZZ,13,FALSE)+SUM(_xlfn.XLOOKUP(R58:AF58,增益!$A:$A,增益!$M:$M,0))&gt;0,($F$13-$I$4+VLOOKUP($Q58,武学奇术!$A:$ZZ,13,FALSE)+SUM(_xlfn.XLOOKUP(R58:AF58,增益!$A:$A,增益!$K:$K,0)))/200,($F$13-$I$4+VLOOKUP($Q58,武学奇术!$A:$ZZ,13,FALSE)+SUM(_xlfn.XLOOKUP(R58:AF58,增益!$A:$A,增益!$M:$M,0)))/100)</f>
        <v>-0.14</v>
      </c>
      <c r="BD58" s="35" cm="1">
        <f t="array" ref="BD58">$G$13+VLOOKUP($Q58,武学奇术!$A:$ZZ,14,FALSE)+SUM(_xlfn.XLOOKUP(R58:AF58,增益!$A:$A,增益!$N:$N,0))</f>
        <v>0</v>
      </c>
      <c r="BE58">
        <f t="shared" si="15"/>
        <v>538</v>
      </c>
      <c r="BF58">
        <f t="shared" si="16"/>
        <v>1561.4</v>
      </c>
      <c r="BG58" s="35" cm="1">
        <f t="array" ref="BG58">IF($F$14-$I$4+VLOOKUP($Q58,武学奇术!$A:$ZZ,15,FALSE)+SUM(_xlfn.XLOOKUP(R58:AF58,增益!$A:$A,增益!$O:$O,0))&gt;0,($F$14-$I$4+VLOOKUP($Q58,武学奇术!$A:$ZZ,15,FALSE)+SUM(_xlfn.XLOOKUP(R58:AF58,增益!$A:$A,增益!$O:$O,0)))/200,($F$14-$I$4+VLOOKUP($Q58,武学奇术!$A:$ZZ,15,FALSE)+SUM(_xlfn.XLOOKUP(R58:AF58,增益!$A:$A,增益!$O:$O,0)))/100)</f>
        <v>0.08</v>
      </c>
      <c r="BH58" s="35" cm="1">
        <f t="array" ref="BH58">$G$14+VLOOKUP($Q58,武学奇术!$A:$ZZ,16,FALSE)+SUM(_xlfn.XLOOKUP(R58:AF58,增益!$A:$A,增益!$P:$P,0))</f>
        <v>0.27</v>
      </c>
      <c r="BI58" s="30">
        <f>MIN(IF(VLOOKUP($Q58,武学奇术!$A:$ZZ,23,FALSE)=1,100%,$B$8),100%)</f>
        <v>0.9712</v>
      </c>
      <c r="BJ58" s="30" cm="1">
        <f t="array" ref="BJ58">IF(VLOOKUP($Q58,武学奇术!$A:$ZZ,23,FALSE)=1,100%,MIN(80%,$B$9+VLOOKUP($Q58,武学奇术!$A:$ZZ,17,FALSE)+SUM(_xlfn.XLOOKUP(R58:AF58,增益!$A:$A,增益!$Q:$Q,0)))+$B$11+SUM(_xlfn.XLOOKUP(R58:AF58,增益!$A:$A,增益!$U:$U,0)))*IF(VLOOKUP($Q58,武学奇术!$A:$ZZ,24,FALSE)=1,0,1)</f>
        <v>0.8773</v>
      </c>
      <c r="BK58" s="30" cm="1">
        <f t="array" ref="BK58">1+$B$13+VLOOKUP($Q58,武学奇术!$A:$ZZ,18,FALSE)+SUM(_xlfn.XLOOKUP(R58:AF58,增益!$A:$A,增益!$R:$R,0))</f>
        <v>1.87</v>
      </c>
      <c r="BL58" s="30" cm="1">
        <f t="array" ref="BL58">IF(VLOOKUP($Q58,武学奇术!$A:$ZZ,24,FALSE)=1,100%,MIN(40%,$B$10+VLOOKUP($Q58,武学奇术!$A:$ZZ,19,FALSE)+SUM(_xlfn.XLOOKUP(R58:AF58,增益!$A:$A,增益!$S:$S,0)))+$B$12+SUM(_xlfn.XLOOKUP(R58:AF58,增益!$A:$A,增益!$V:$V,0)))*IF(VLOOKUP($Q58,武学奇术!$A:$ZZ,23,FALSE)=1,0,1)</f>
        <v>0.0895</v>
      </c>
      <c r="BM58" s="30" cm="1">
        <f t="array" ref="BM58">1+$B$14+VLOOKUP($Q58,武学奇术!$A:$ZZ,20,FALSE)+SUM(_xlfn.XLOOKUP(R58:AF58,增益!$A:$A,增益!$T:$T,0))</f>
        <v>1.35</v>
      </c>
      <c r="BN58" s="30">
        <f t="shared" si="11"/>
        <v>0.85203376</v>
      </c>
      <c r="BO58" s="30">
        <f t="shared" si="17"/>
        <v>0.03224384</v>
      </c>
      <c r="BP58" s="30">
        <f>IF(VLOOKUP($Q58,武学奇术!$A:$ZZ,22,FALSE)=1,0,(1-$BI58))*(1-$BL58)</f>
        <v>0.0262224</v>
      </c>
      <c r="BQ58" s="30" cm="1">
        <f t="array" ref="BQ58">SUM(_xlfn.XLOOKUP(R58:AF58,增益!$A:$A,增益!$W:$W,0))+$I$5</f>
        <v>0.11</v>
      </c>
    </row>
    <row r="59" spans="1:69">
      <c r="A59" s="4" t="s">
        <v>175</v>
      </c>
      <c r="B59" s="4">
        <v>4</v>
      </c>
      <c r="E59" s="42"/>
      <c r="K59" s="41">
        <f t="shared" si="12"/>
        <v>104451.290911731</v>
      </c>
      <c r="L59" s="41">
        <f>((($AN59+$AO59)/2*$AH59+$AI59)*(1+$AP59)*(1+$AQ59)+(($AS59+$AT59)/2*IF($G$1="鸣金",$AJ59,$AH59)+IF($G$1="鸣金",$AK59*1.5,0))*(1+$AU59)*(1+$AV59)+(($AW59+$AX59)/2*IF($G$1="裂石",$AJ59,$AH59)+IF($G$1="裂石",$AK59*1.5,0))*(1+$AY59)*(1+$AZ59)+(($BA59+$BB59)/2*IF($G$1="牵丝",$AJ59,$AH59)+IF($G$1="牵丝",$AK59*1.5,0))*(1+$BC59)*(1+$BD59)+(($BE59+$BF59)/2*IF($G$1="破竹",$AJ59,$AH59)+IF($G$1="破竹",$AK59*1.5,0))*(1+$BG59)*(1+$BH59))*(1+$AL59)*$BK59*$P59*(1+IF(VLOOKUP($Q59,武学奇术!$A:$ZZ,30,FALSE)="回旋伞",$B$21,0))*(1+$BQ59)</f>
        <v>110950.303707424</v>
      </c>
      <c r="M59" s="41">
        <f>(($AO59*$AH59+$AI59)*(1+$AP59)*(1+$AQ59)+($AT59*IF($G$1="鸣金",$AJ59,$AH59)+IF($G$1="鸣金",$AK59*1.5,0))*(1+$AU59)*(1+$AV59)+($AX59*IF($G$1="裂石",$AJ59,$AH59)+IF($G$1="裂石",$AK59*1.5,0))*(1+$AY59)*(1+$AZ59)+($BB59*IF($G$1="牵丝",$AJ59,$AH59)+IF($G$1="牵丝",$AK59*1.5,0))*(1+$BC59)*(1+$BD59)+($BF59*IF($G$1="破竹",$AJ59,$AH59)+IF($G$1="破竹",$AK59*1.5,0))*(1+$BG59)*(1+$BH59))*(1+$AL59)*$BM59*$P59*(1+IF(VLOOKUP($Q59,武学奇术!$A:$ZZ,30,FALSE)="回旋伞",$B$21,0))*(1+$BQ59)</f>
        <v>78282.1843927083</v>
      </c>
      <c r="N59" s="41">
        <f>((($AN59+$AO59)/2*$AH59+$AI59)*(1+$AP59)*(1+$AQ59)+(($AS59+$AT59)/2*IF($G$1="鸣金",$AJ59,$AH59)+IF($G$1="鸣金",$AK59*1.5,0))*(1+$AU59)*(1+$AV59)+(($AW59+$AX59)/2*IF($G$1="裂石",$AJ59,$AH59)+IF($G$1="裂石",$AK59*1.5,0))*(1+$AY59)*(1+$AZ59)+(($BA59+$BB59)/2*IF($G$1="牵丝",$AJ59,$AH59)+IF($G$1="牵丝",$AK59*1.5,0))*(1+$BC59)*(1+$BD59)+(($BE59+$BF59)/2*IF($G$1="破竹",$AJ59,$AH59)+IF($G$1="破竹",$AK59*1.5,0))*(1+$BG59)*(1+$BH59))*(1+$AL59)*$P59*(1+IF(VLOOKUP($Q59,武学奇术!$A:$ZZ,30,FALSE)="回旋伞",$B$21,0))*(1+$BQ59)</f>
        <v>52335.0489185961</v>
      </c>
      <c r="O59" s="41">
        <f>((($AN59*$AH59+$AI59)*(1+$AP59)*(1+$AQ59)+($AS59*IF($G$1="鸣金",$AJ59,$AH59)+IF($G$1="鸣金",$AK59*1.5,0))*(1+$AU59)*(1+$AV59)+($AW59*IF($G$1="裂石",$AJ59,$AH59)+IF($G$1="裂石",$AK59*1.5,0))*(1+$AY59)*(1+$AZ59)+($BA59*IF($G$1="牵丝",$AJ59,$AH59)+IF($G$1="牵丝",$AK59*1.5,0))*(1+$BC59)*(1+$BD59)+($BE59*IF($G$1="破竹",$AJ59,$AH59)+IF($G$1="破竹",$AK59*1.5,0))*(1+$BG59)*(1+$BH59))*(1+$AL59))*$P59*(1+IF(VLOOKUP($Q59,武学奇术!$A:$ZZ,30,FALSE)="回旋伞",$B$21,0))*(1+$BQ59)</f>
        <v>46683.2945833342</v>
      </c>
      <c r="P59" s="42">
        <v>1</v>
      </c>
      <c r="Q59" s="43" t="s">
        <v>104</v>
      </c>
      <c r="R59" s="43" t="s">
        <v>105</v>
      </c>
      <c r="S59" s="43" t="s">
        <v>91</v>
      </c>
      <c r="T59" s="43" t="s">
        <v>72</v>
      </c>
      <c r="U59" s="43" t="s">
        <v>79</v>
      </c>
      <c r="V59" s="43" t="s">
        <v>167</v>
      </c>
      <c r="W59" s="43" t="s">
        <v>95</v>
      </c>
      <c r="X59" s="43" t="s">
        <v>71</v>
      </c>
      <c r="Y59" s="43" t="s">
        <v>177</v>
      </c>
      <c r="Z59" s="43" t="s">
        <v>178</v>
      </c>
      <c r="AA59" s="43" t="s">
        <v>112</v>
      </c>
      <c r="AB59" s="43" t="s">
        <v>179</v>
      </c>
      <c r="AC59" s="43" t="s">
        <v>71</v>
      </c>
      <c r="AD59" s="43" t="s">
        <v>71</v>
      </c>
      <c r="AE59" s="43" t="s">
        <v>71</v>
      </c>
      <c r="AF59" s="43" t="s">
        <v>76</v>
      </c>
      <c r="AG59" t="str">
        <f>VLOOKUP($Q59,武学奇术!$A:$ZZ,25,FALSE)</f>
        <v>伞</v>
      </c>
      <c r="AH59" s="30">
        <f>VLOOKUP($Q59,武学奇术!$A:$ZZ,26,FALSE)</f>
        <v>1.8084</v>
      </c>
      <c r="AI59" s="31">
        <f>VLOOKUP($Q59,武学奇术!$A:$ZZ,27,FALSE)*(1+IF(OR($AG59=$F$4,$AG59=$F$5),$B$22,0))</f>
        <v>700</v>
      </c>
      <c r="AJ59" s="30">
        <f>VLOOKUP($Q59,武学奇术!$A:$ZZ,28,FALSE)</f>
        <v>2.7126</v>
      </c>
      <c r="AK59" s="31">
        <f>VLOOKUP($Q59,武学奇术!$A:$ZZ,29,FALSE)*(1+IF(OR($AG59=$F$4,$AG59=$F$5),$B$22,0))</f>
        <v>380.8</v>
      </c>
      <c r="AL59" s="30" cm="1">
        <f t="array" ref="AL59">$G$3+IFERROR(VLOOKUP($AG59,$F$4:$G$7,2,FALSE),0)+VLOOKUP($Q59,武学奇术!$A:$ZZ,2,FALSE)+SUM(_xlfn.XLOOKUP($R59:$AF59,增益!$A:$A,增益!$B:$B,0))</f>
        <v>0.8541</v>
      </c>
      <c r="AM59" s="30" cm="1">
        <f t="array" ref="AM59">VLOOKUP($Q59,武学奇术!$A:$ZZ,5,FALSE)+SUM(_xlfn.XLOOKUP($R59:$AF59,增益!$A:$A,增益!$E:$E,0))</f>
        <v>0</v>
      </c>
      <c r="AN59" cm="1">
        <f t="array" ref="AN59">$D$10*(1+$AM59)+VLOOKUP($Q59,武学奇术!$A:$ZZ,3,FALSE)+SUM(_xlfn.XLOOKUP($R59:$AF59,增益!$A:$A,增益!$C:$C,0))-$I$2</f>
        <v>3545.8</v>
      </c>
      <c r="AO59" cm="1">
        <f t="array" ref="AO59">$E$10*(1+$AM59)+VLOOKUP($Q59,武学奇术!$A:$ZZ,4,FALSE)+SUM(_xlfn.XLOOKUP($R59:$AF59,增益!$A:$A,增益!$D:$D,0))-$I$2</f>
        <v>3545.8</v>
      </c>
      <c r="AP59" s="35" cm="1">
        <f t="array" ref="AP59">IF($F$10-$I$3+VLOOKUP($Q59,武学奇术!$A:$ZZ,6,FALSE)+SUM(_xlfn.XLOOKUP(R59:AF59,增益!$A:$A,增益!$F:$F,0))&gt;0,($F$10-$I$3+VLOOKUP($Q59,武学奇术!$A:$ZZ,6,FALSE)+SUM(_xlfn.XLOOKUP(R59:AF59,增益!$A:$A,增益!$F:$F,0)))/200,($F$10-$I$3+VLOOKUP($Q59,武学奇术!$A:$ZZ,6,FALSE)+SUM(_xlfn.XLOOKUP(R59:AF59,增益!$A:$A,增益!$F:$F,0)))/100)</f>
        <v>0.4675</v>
      </c>
      <c r="AQ59" s="35" cm="1">
        <f t="array" ref="AQ59">$G$10+VLOOKUP($Q59,武学奇术!$A:$ZZ,7,FALSE)+SUM(_xlfn.XLOOKUP(R59:AF59,增益!$A:$A,增益!$G:$G,0))</f>
        <v>0.148</v>
      </c>
      <c r="AR59" s="30" cm="1">
        <f t="array" ref="AR59">VLOOKUP($Q59,武学奇术!$A:$ZZ,8,FALSE)+SUM(_xlfn.XLOOKUP(R59:AF59,增益!$A:$A,增益!$H:$H,0))</f>
        <v>0</v>
      </c>
      <c r="AS59">
        <f t="shared" si="18"/>
        <v>0</v>
      </c>
      <c r="AT59">
        <f t="shared" si="19"/>
        <v>0</v>
      </c>
      <c r="AU59" s="35" cm="1">
        <f t="array" ref="AU59">IF($F$11-$I$4+VLOOKUP($Q59,武学奇术!$A:$ZZ,9,FALSE)+SUM(_xlfn.XLOOKUP(R59:AF59,增益!$A:$A,增益!$I:$I,0))&gt;0,($F$11-$I$4+VLOOKUP($Q59,武学奇术!$A:$ZZ,9,FALSE)+SUM(_xlfn.XLOOKUP(R59:AF59,增益!$A:$A,增益!$I:$I,0)))/200,($F$11-$I$4+VLOOKUP($Q59,武学奇术!$A:$ZZ,9,FALSE)+SUM(_xlfn.XLOOKUP(R59:AF59,增益!$A:$A,增益!$I:$I,0)))/100)</f>
        <v>-0.3</v>
      </c>
      <c r="AV59" s="35" cm="1">
        <f t="array" ref="AV59">$G$11+VLOOKUP($Q59,武学奇术!$A:$ZZ,10,FALSE)+SUM(_xlfn.XLOOKUP(R59:AF59,增益!$A:$A,增益!$J:$J,0))</f>
        <v>0.1</v>
      </c>
      <c r="AW59">
        <f t="shared" si="20"/>
        <v>0</v>
      </c>
      <c r="AX59">
        <f t="shared" si="21"/>
        <v>0</v>
      </c>
      <c r="AY59" s="35" cm="1">
        <f t="array" ref="AY59">IF($F$12-$I$4+VLOOKUP($Q59,武学奇术!$A:$ZZ,11,FALSE)+SUM(_xlfn.XLOOKUP(R59:AF59,增益!$A:$A,增益!$K:$K,0))&gt;0,($F$12-$I$4+VLOOKUP($Q59,武学奇术!$A:$ZZ,11,FALSE)+SUM(_xlfn.XLOOKUP(R59:AF59,增益!$A:$A,增益!$K:$K,0)))/200,($F$12-$I$4+VLOOKUP($Q59,武学奇术!$A:$ZZ,11,FALSE)+SUM(_xlfn.XLOOKUP(R59:AF59,增益!$A:$A,增益!$K:$K,0)))/100)</f>
        <v>-0.3</v>
      </c>
      <c r="AZ59" s="35" cm="1">
        <f t="array" ref="AZ59">$G$12+VLOOKUP($Q59,武学奇术!$A:$ZZ,12,FALSE)+SUM(_xlfn.XLOOKUP(R59:AF59,增益!$A:$A,增益!$L:$L,0))</f>
        <v>0</v>
      </c>
      <c r="BA59">
        <f t="shared" si="13"/>
        <v>0</v>
      </c>
      <c r="BB59">
        <f t="shared" si="14"/>
        <v>0</v>
      </c>
      <c r="BC59" s="35" cm="1">
        <f t="array" ref="BC59">IF($F$13-$I$4+VLOOKUP($Q59,武学奇术!$A:$ZZ,13,FALSE)+SUM(_xlfn.XLOOKUP(R59:AF59,增益!$A:$A,增益!$M:$M,0))&gt;0,($F$13-$I$4+VLOOKUP($Q59,武学奇术!$A:$ZZ,13,FALSE)+SUM(_xlfn.XLOOKUP(R59:AF59,增益!$A:$A,增益!$K:$K,0)))/200,($F$13-$I$4+VLOOKUP($Q59,武学奇术!$A:$ZZ,13,FALSE)+SUM(_xlfn.XLOOKUP(R59:AF59,增益!$A:$A,增益!$M:$M,0)))/100)</f>
        <v>-0.3</v>
      </c>
      <c r="BD59" s="35" cm="1">
        <f t="array" ref="BD59">$G$13+VLOOKUP($Q59,武学奇术!$A:$ZZ,14,FALSE)+SUM(_xlfn.XLOOKUP(R59:AF59,增益!$A:$A,增益!$N:$N,0))</f>
        <v>0</v>
      </c>
      <c r="BE59">
        <f t="shared" si="15"/>
        <v>538</v>
      </c>
      <c r="BF59">
        <f t="shared" si="16"/>
        <v>1561.4</v>
      </c>
      <c r="BG59" s="35" cm="1">
        <f t="array" ref="BG59">IF($F$14-$I$4+VLOOKUP($Q59,武学奇术!$A:$ZZ,15,FALSE)+SUM(_xlfn.XLOOKUP(R59:AF59,增益!$A:$A,增益!$O:$O,0))&gt;0,($F$14-$I$4+VLOOKUP($Q59,武学奇术!$A:$ZZ,15,FALSE)+SUM(_xlfn.XLOOKUP(R59:AF59,增益!$A:$A,增益!$O:$O,0)))/200,($F$14-$I$4+VLOOKUP($Q59,武学奇术!$A:$ZZ,15,FALSE)+SUM(_xlfn.XLOOKUP(R59:AF59,增益!$A:$A,增益!$O:$O,0)))/100)</f>
        <v>0</v>
      </c>
      <c r="BH59" s="35" cm="1">
        <f t="array" ref="BH59">$G$14+VLOOKUP($Q59,武学奇术!$A:$ZZ,16,FALSE)+SUM(_xlfn.XLOOKUP(R59:AF59,增益!$A:$A,增益!$P:$P,0))</f>
        <v>0.27</v>
      </c>
      <c r="BI59" s="30">
        <f>MIN(IF(VLOOKUP($Q59,武学奇术!$A:$ZZ,23,FALSE)=1,100%,$B$8),100%)</f>
        <v>0.9712</v>
      </c>
      <c r="BJ59" s="30" cm="1">
        <f t="array" ref="BJ59">IF(VLOOKUP($Q59,武学奇术!$A:$ZZ,23,FALSE)=1,100%,MIN(80%,$B$9+VLOOKUP($Q59,武学奇术!$A:$ZZ,17,FALSE)+SUM(_xlfn.XLOOKUP(R59:AF59,增益!$A:$A,增益!$Q:$Q,0)))+$B$11+SUM(_xlfn.XLOOKUP(R59:AF59,增益!$A:$A,增益!$U:$U,0)))*IF(VLOOKUP($Q59,武学奇术!$A:$ZZ,24,FALSE)=1,0,1)</f>
        <v>0.8773</v>
      </c>
      <c r="BK59" s="30" cm="1">
        <f t="array" ref="BK59">1+$B$13+VLOOKUP($Q59,武学奇术!$A:$ZZ,18,FALSE)+SUM(_xlfn.XLOOKUP(R59:AF59,增益!$A:$A,增益!$R:$R,0))</f>
        <v>2.12</v>
      </c>
      <c r="BL59" s="30" cm="1">
        <f t="array" ref="BL59">IF(VLOOKUP($Q59,武学奇术!$A:$ZZ,24,FALSE)=1,100%,MIN(40%,$B$10+VLOOKUP($Q59,武学奇术!$A:$ZZ,19,FALSE)+SUM(_xlfn.XLOOKUP(R59:AF59,增益!$A:$A,增益!$S:$S,0)))+$B$12+SUM(_xlfn.XLOOKUP(R59:AF59,增益!$A:$A,增益!$V:$V,0)))*IF(VLOOKUP($Q59,武学奇术!$A:$ZZ,23,FALSE)=1,0,1)</f>
        <v>0.0895</v>
      </c>
      <c r="BM59" s="30" cm="1">
        <f t="array" ref="BM59">1+$B$14+VLOOKUP($Q59,武学奇术!$A:$ZZ,20,FALSE)+SUM(_xlfn.XLOOKUP(R59:AF59,增益!$A:$A,增益!$T:$T,0))</f>
        <v>1.35</v>
      </c>
      <c r="BN59" s="30">
        <f t="shared" si="11"/>
        <v>0.85203376</v>
      </c>
      <c r="BO59" s="30">
        <f t="shared" si="17"/>
        <v>0.03224384</v>
      </c>
      <c r="BP59" s="30">
        <f>IF(VLOOKUP($Q59,武学奇术!$A:$ZZ,22,FALSE)=1,0,(1-$BI59))*(1-$BL59)</f>
        <v>0.0262224</v>
      </c>
      <c r="BQ59" s="30" cm="1">
        <f t="array" ref="BQ59">SUM(_xlfn.XLOOKUP(R59:AF59,增益!$A:$A,增益!$W:$W,0))+$I$5</f>
        <v>0.31</v>
      </c>
    </row>
    <row r="60" spans="1:69">
      <c r="A60" s="4" t="s">
        <v>181</v>
      </c>
      <c r="B60" s="4">
        <v>8.5</v>
      </c>
      <c r="E60" s="4"/>
      <c r="K60" s="41">
        <f>($L60*$BN60+$M60*$BL60+$N60*$BO60+$O60*$BP60)</f>
        <v>245836.814460298</v>
      </c>
      <c r="L60" s="41">
        <f>((($AN60+$AO60)/2*$AH60+$AI60)*(1+$AP60)*(1+$AQ60)+(($AS60+$AT60)/2*IF($G$1="鸣金",$AJ60,$AH60)+IF($G$1="鸣金",$AK60*1.5,0))*(1+$AU60)*(1+$AV60)+(($AW60+$AX60)/2*IF($G$1="裂石",$AJ60,$AH60)+IF($G$1="裂石",$AK60*1.5,0))*(1+$AY60)*(1+$AZ60)+(($BA60+$BB60)/2*IF($G$1="牵丝",$AJ60,$AH60)+IF($G$1="牵丝",$AK60*1.5,0))*(1+$BC60)*(1+$BD60)+(($BE60+$BF60)/2*IF($G$1="破竹",$AJ60,$AH60)+IF($G$1="破竹",$AK60*1.5,0))*(1+$BG60)*(1+$BH60))*(1+$AL60)*$BK60*$P60*(1+IF(VLOOKUP($Q60,武学奇术!$A:$ZZ,30,FALSE)="回旋伞",$B$21,0))*(1+$BQ60)</f>
        <v>245836.814460298</v>
      </c>
      <c r="M60" s="41">
        <f>(($AO60*$AH60+$AI60)*(1+$AP60)*(1+$AQ60)+($AT60*IF($G$1="鸣金",$AJ60,$AH60)+IF($G$1="鸣金",$AK60*1.5,0))*(1+$AU60)*(1+$AV60)+($AX60*IF($G$1="裂石",$AJ60,$AH60)+IF($G$1="裂石",$AK60*1.5,0))*(1+$AY60)*(1+$AZ60)+($BB60*IF($G$1="牵丝",$AJ60,$AH60)+IF($G$1="牵丝",$AK60*1.5,0))*(1+$BC60)*(1+$BD60)+($BF60*IF($G$1="破竹",$AJ60,$AH60)+IF($G$1="破竹",$AK60*1.5,0))*(1+$BG60)*(1+$BH60))*(1+$AL60)*$BM60*$P60*(1+IF(VLOOKUP($Q60,武学奇术!$A:$ZZ,30,FALSE)="回旋伞",$B$21,0))*(1+$BQ60)</f>
        <v>173452.81803685</v>
      </c>
      <c r="N60" s="41">
        <f>((($AN60+$AO60)/2*$AH60+$AI60)*(1+$AP60)*(1+$AQ60)+(($AS60+$AT60)/2*IF($G$1="鸣金",$AJ60,$AH60)+IF($G$1="鸣金",$AK60*1.5,0))*(1+$AU60)*(1+$AV60)+(($AW60+$AX60)/2*IF($G$1="裂石",$AJ60,$AH60)+IF($G$1="裂石",$AK60*1.5,0))*(1+$AY60)*(1+$AZ60)+(($BA60+$BB60)/2*IF($G$1="牵丝",$AJ60,$AH60)+IF($G$1="牵丝",$AK60*1.5,0))*(1+$BC60)*(1+$BD60)+(($BE60+$BF60)/2*IF($G$1="破竹",$AJ60,$AH60)+IF($G$1="破竹",$AK60*1.5,0))*(1+$BG60)*(1+$BH60))*(1+$AL60)*$P60*(1+IF(VLOOKUP($Q60,武学奇术!$A:$ZZ,30,FALSE)="回旋伞",$B$21,0))*(1+$BQ60)</f>
        <v>115960.761537876</v>
      </c>
      <c r="O60" s="41">
        <f>((($AN60*$AH60+$AI60)*(1+$AP60)*(1+$AQ60)+($AS60*IF($G$1="鸣金",$AJ60,$AH60)+IF($G$1="鸣金",$AK60*1.5,0))*(1+$AU60)*(1+$AV60)+($AW60*IF($G$1="裂石",$AJ60,$AH60)+IF($G$1="裂石",$AK60*1.5,0))*(1+$AY60)*(1+$AZ60)+($BA60*IF($G$1="牵丝",$AJ60,$AH60)+IF($G$1="牵丝",$AK60*1.5,0))*(1+$BC60)*(1+$BD60)+($BE60*IF($G$1="破竹",$AJ60,$AH60)+IF($G$1="破竹",$AK60*1.5,0))*(1+$BG60)*(1+$BH60))*(1+$AL60))*$P60*(1+IF(VLOOKUP($Q60,武学奇术!$A:$ZZ,30,FALSE)="回旋伞",$B$21,0))*(1+$BQ60)</f>
        <v>103437.954159567</v>
      </c>
      <c r="P60" s="42">
        <v>2</v>
      </c>
      <c r="Q60" s="43" t="s">
        <v>115</v>
      </c>
      <c r="R60" s="43" t="s">
        <v>105</v>
      </c>
      <c r="S60" s="43" t="s">
        <v>91</v>
      </c>
      <c r="T60" s="43" t="s">
        <v>72</v>
      </c>
      <c r="U60" s="43" t="s">
        <v>79</v>
      </c>
      <c r="V60" s="43" t="s">
        <v>167</v>
      </c>
      <c r="W60" s="43" t="s">
        <v>95</v>
      </c>
      <c r="X60" s="43" t="s">
        <v>71</v>
      </c>
      <c r="Y60" s="43" t="s">
        <v>177</v>
      </c>
      <c r="Z60" s="43" t="s">
        <v>178</v>
      </c>
      <c r="AA60" s="43" t="s">
        <v>116</v>
      </c>
      <c r="AB60" s="43" t="s">
        <v>179</v>
      </c>
      <c r="AC60" s="43" t="s">
        <v>71</v>
      </c>
      <c r="AD60" s="43" t="s">
        <v>71</v>
      </c>
      <c r="AE60" s="43" t="s">
        <v>71</v>
      </c>
      <c r="AF60" s="43" t="s">
        <v>76</v>
      </c>
      <c r="AG60" t="str">
        <f>VLOOKUP($Q60,武学奇术!$A:$ZZ,25,FALSE)</f>
        <v>伞</v>
      </c>
      <c r="AH60" s="30">
        <f>VLOOKUP($Q60,武学奇术!$A:$ZZ,26,FALSE)</f>
        <v>1.8084</v>
      </c>
      <c r="AI60" s="31">
        <f>VLOOKUP($Q60,武学奇术!$A:$ZZ,27,FALSE)*(1+IF(OR($AG60=$F$4,$AG60=$F$5),$B$22,0))</f>
        <v>700</v>
      </c>
      <c r="AJ60" s="30">
        <f>VLOOKUP($Q60,武学奇术!$A:$ZZ,28,FALSE)</f>
        <v>2.7126</v>
      </c>
      <c r="AK60" s="31">
        <f>VLOOKUP($Q60,武学奇术!$A:$ZZ,29,FALSE)*(1+IF(OR($AG60=$F$4,$AG60=$F$5),$B$22,0))</f>
        <v>380.8</v>
      </c>
      <c r="AL60" s="30" cm="1">
        <f t="array" ref="AL60">$G$3+IFERROR(VLOOKUP($AG60,$F$4:$G$7,2,FALSE),0)+VLOOKUP($Q60,武学奇术!$A:$ZZ,2,FALSE)+SUM(_xlfn.XLOOKUP($R60:$AF60,增益!$A:$A,增益!$B:$B,0))</f>
        <v>1.0541</v>
      </c>
      <c r="AM60" s="30" cm="1">
        <f t="array" ref="AM60">VLOOKUP($Q60,武学奇术!$A:$ZZ,5,FALSE)+SUM(_xlfn.XLOOKUP($R60:$AF60,增益!$A:$A,增益!$E:$E,0))</f>
        <v>0</v>
      </c>
      <c r="AN60" cm="1">
        <f t="array" ref="AN60">$D$10*(1+$AM60)+VLOOKUP($Q60,武学奇术!$A:$ZZ,3,FALSE)+SUM(_xlfn.XLOOKUP($R60:$AF60,增益!$A:$A,增益!$C:$C,0))-$I$2</f>
        <v>3545.8</v>
      </c>
      <c r="AO60" cm="1">
        <f t="array" ref="AO60">$E$10*(1+$AM60)+VLOOKUP($Q60,武学奇术!$A:$ZZ,4,FALSE)+SUM(_xlfn.XLOOKUP($R60:$AF60,增益!$A:$A,增益!$D:$D,0))-$I$2</f>
        <v>3545.8</v>
      </c>
      <c r="AP60" s="35" cm="1">
        <f t="array" ref="AP60">IF($F$10-$I$3+VLOOKUP($Q60,武学奇术!$A:$ZZ,6,FALSE)+SUM(_xlfn.XLOOKUP(R60:AF60,增益!$A:$A,增益!$F:$F,0))&gt;0,($F$10-$I$3+VLOOKUP($Q60,武学奇术!$A:$ZZ,6,FALSE)+SUM(_xlfn.XLOOKUP(R60:AF60,增益!$A:$A,增益!$F:$F,0)))/200,($F$10-$I$3+VLOOKUP($Q60,武学奇术!$A:$ZZ,6,FALSE)+SUM(_xlfn.XLOOKUP(R60:AF60,增益!$A:$A,增益!$F:$F,0)))/100)</f>
        <v>0.4675</v>
      </c>
      <c r="AQ60" s="35" cm="1">
        <f t="array" ref="AQ60">$G$10+VLOOKUP($Q60,武学奇术!$A:$ZZ,7,FALSE)+SUM(_xlfn.XLOOKUP(R60:AF60,增益!$A:$A,增益!$G:$G,0))</f>
        <v>0.148</v>
      </c>
      <c r="AR60" s="30" cm="1">
        <f t="array" ref="AR60">VLOOKUP($Q60,武学奇术!$A:$ZZ,8,FALSE)+SUM(_xlfn.XLOOKUP(R60:AF60,增益!$A:$A,增益!$H:$H,0))</f>
        <v>0</v>
      </c>
      <c r="AS60">
        <f t="shared" si="18"/>
        <v>0</v>
      </c>
      <c r="AT60">
        <f t="shared" si="19"/>
        <v>0</v>
      </c>
      <c r="AU60" s="35" cm="1">
        <f t="array" ref="AU60">IF($F$11-$I$4+VLOOKUP($Q60,武学奇术!$A:$ZZ,9,FALSE)+SUM(_xlfn.XLOOKUP(R60:AF60,增益!$A:$A,增益!$I:$I,0))&gt;0,($F$11-$I$4+VLOOKUP($Q60,武学奇术!$A:$ZZ,9,FALSE)+SUM(_xlfn.XLOOKUP(R60:AF60,增益!$A:$A,增益!$I:$I,0)))/200,($F$11-$I$4+VLOOKUP($Q60,武学奇术!$A:$ZZ,9,FALSE)+SUM(_xlfn.XLOOKUP(R60:AF60,增益!$A:$A,增益!$I:$I,0)))/100)</f>
        <v>-0.3</v>
      </c>
      <c r="AV60" s="35" cm="1">
        <f t="array" ref="AV60">$G$11+VLOOKUP($Q60,武学奇术!$A:$ZZ,10,FALSE)+SUM(_xlfn.XLOOKUP(R60:AF60,增益!$A:$A,增益!$J:$J,0))</f>
        <v>0.1</v>
      </c>
      <c r="AW60">
        <f t="shared" si="20"/>
        <v>0</v>
      </c>
      <c r="AX60">
        <f t="shared" si="21"/>
        <v>0</v>
      </c>
      <c r="AY60" s="35" cm="1">
        <f t="array" ref="AY60">IF($F$12-$I$4+VLOOKUP($Q60,武学奇术!$A:$ZZ,11,FALSE)+SUM(_xlfn.XLOOKUP(R60:AF60,增益!$A:$A,增益!$K:$K,0))&gt;0,($F$12-$I$4+VLOOKUP($Q60,武学奇术!$A:$ZZ,11,FALSE)+SUM(_xlfn.XLOOKUP(R60:AF60,增益!$A:$A,增益!$K:$K,0)))/200,($F$12-$I$4+VLOOKUP($Q60,武学奇术!$A:$ZZ,11,FALSE)+SUM(_xlfn.XLOOKUP(R60:AF60,增益!$A:$A,增益!$K:$K,0)))/100)</f>
        <v>-0.3</v>
      </c>
      <c r="AZ60" s="35" cm="1">
        <f t="array" ref="AZ60">$G$12+VLOOKUP($Q60,武学奇术!$A:$ZZ,12,FALSE)+SUM(_xlfn.XLOOKUP(R60:AF60,增益!$A:$A,增益!$L:$L,0))</f>
        <v>0</v>
      </c>
      <c r="BA60">
        <f t="shared" si="13"/>
        <v>0</v>
      </c>
      <c r="BB60">
        <f t="shared" si="14"/>
        <v>0</v>
      </c>
      <c r="BC60" s="35" cm="1">
        <f t="array" ref="BC60">IF($F$13-$I$4+VLOOKUP($Q60,武学奇术!$A:$ZZ,13,FALSE)+SUM(_xlfn.XLOOKUP(R60:AF60,增益!$A:$A,增益!$M:$M,0))&gt;0,($F$13-$I$4+VLOOKUP($Q60,武学奇术!$A:$ZZ,13,FALSE)+SUM(_xlfn.XLOOKUP(R60:AF60,增益!$A:$A,增益!$K:$K,0)))/200,($F$13-$I$4+VLOOKUP($Q60,武学奇术!$A:$ZZ,13,FALSE)+SUM(_xlfn.XLOOKUP(R60:AF60,增益!$A:$A,增益!$M:$M,0)))/100)</f>
        <v>-0.3</v>
      </c>
      <c r="BD60" s="35" cm="1">
        <f t="array" ref="BD60">$G$13+VLOOKUP($Q60,武学奇术!$A:$ZZ,14,FALSE)+SUM(_xlfn.XLOOKUP(R60:AF60,增益!$A:$A,增益!$N:$N,0))</f>
        <v>0</v>
      </c>
      <c r="BE60">
        <f t="shared" si="15"/>
        <v>538</v>
      </c>
      <c r="BF60">
        <f t="shared" si="16"/>
        <v>1561.4</v>
      </c>
      <c r="BG60" s="35" cm="1">
        <f t="array" ref="BG60">IF($F$14-$I$4+VLOOKUP($Q60,武学奇术!$A:$ZZ,15,FALSE)+SUM(_xlfn.XLOOKUP(R60:AF60,增益!$A:$A,增益!$O:$O,0))&gt;0,($F$14-$I$4+VLOOKUP($Q60,武学奇术!$A:$ZZ,15,FALSE)+SUM(_xlfn.XLOOKUP(R60:AF60,增益!$A:$A,增益!$O:$O,0)))/200,($F$14-$I$4+VLOOKUP($Q60,武学奇术!$A:$ZZ,15,FALSE)+SUM(_xlfn.XLOOKUP(R60:AF60,增益!$A:$A,增益!$O:$O,0)))/100)</f>
        <v>0</v>
      </c>
      <c r="BH60" s="35" cm="1">
        <f t="array" ref="BH60">$G$14+VLOOKUP($Q60,武学奇术!$A:$ZZ,16,FALSE)+SUM(_xlfn.XLOOKUP(R60:AF60,增益!$A:$A,增益!$P:$P,0))</f>
        <v>0.27</v>
      </c>
      <c r="BI60" s="30">
        <f>MIN(IF(VLOOKUP($Q60,武学奇术!$A:$ZZ,23,FALSE)=1,100%,$B$8),100%)</f>
        <v>1</v>
      </c>
      <c r="BJ60" s="30" cm="1">
        <f t="array" ref="BJ60">IF(VLOOKUP($Q60,武学奇术!$A:$ZZ,23,FALSE)=1,100%,MIN(80%,$B$9+VLOOKUP($Q60,武学奇术!$A:$ZZ,17,FALSE)+SUM(_xlfn.XLOOKUP(R60:AF60,增益!$A:$A,增益!$Q:$Q,0)))+$B$11+SUM(_xlfn.XLOOKUP(R60:AF60,增益!$A:$A,增益!$U:$U,0)))*IF(VLOOKUP($Q60,武学奇术!$A:$ZZ,24,FALSE)=1,0,1)</f>
        <v>1</v>
      </c>
      <c r="BK60" s="30" cm="1">
        <f t="array" ref="BK60">1+$B$13+VLOOKUP($Q60,武学奇术!$A:$ZZ,18,FALSE)+SUM(_xlfn.XLOOKUP(R60:AF60,增益!$A:$A,增益!$R:$R,0))</f>
        <v>2.12</v>
      </c>
      <c r="BL60" s="30" cm="1">
        <f t="array" ref="BL60">IF(VLOOKUP($Q60,武学奇术!$A:$ZZ,24,FALSE)=1,100%,MIN(40%,$B$10+VLOOKUP($Q60,武学奇术!$A:$ZZ,19,FALSE)+SUM(_xlfn.XLOOKUP(R60:AF60,增益!$A:$A,增益!$S:$S,0)))+$B$12+SUM(_xlfn.XLOOKUP(R60:AF60,增益!$A:$A,增益!$V:$V,0)))*IF(VLOOKUP($Q60,武学奇术!$A:$ZZ,23,FALSE)=1,0,1)</f>
        <v>0</v>
      </c>
      <c r="BM60" s="30" cm="1">
        <f t="array" ref="BM60">1+$B$14+VLOOKUP($Q60,武学奇术!$A:$ZZ,20,FALSE)+SUM(_xlfn.XLOOKUP(R60:AF60,增益!$A:$A,增益!$T:$T,0))</f>
        <v>1.35</v>
      </c>
      <c r="BN60" s="30">
        <f t="shared" ref="BN60:BN101" si="22">MIN((1-BL60)*BI60,BI60*BJ60)</f>
        <v>1</v>
      </c>
      <c r="BO60" s="30">
        <f t="shared" si="17"/>
        <v>0</v>
      </c>
      <c r="BP60" s="30">
        <f>IF(VLOOKUP($Q60,武学奇术!$A:$ZZ,22,FALSE)=1,0,(1-$BI60))*(1-$BL60)</f>
        <v>0</v>
      </c>
      <c r="BQ60" s="30" cm="1">
        <f t="array" ref="BQ60">SUM(_xlfn.XLOOKUP(R60:AF60,增益!$A:$A,增益!$W:$W,0))+$I$5</f>
        <v>0.31</v>
      </c>
    </row>
    <row r="61" spans="1:69">
      <c r="A61" s="4" t="s">
        <v>160</v>
      </c>
      <c r="B61">
        <v>0.1</v>
      </c>
      <c r="K61" s="41">
        <f>($L61*$BN61+$M61*$BL61+$N61*$BO61+$O61*$BP61)</f>
        <v>417805.163646924</v>
      </c>
      <c r="L61" s="41">
        <f>((($AN61+$AO61)/2*$AH61+$AI61)*(1+$AP61)*(1+$AQ61)+(($AS61+$AT61)/2*IF($G$1="鸣金",$AJ61,$AH61)+IF($G$1="鸣金",$AK61*1.5,0))*(1+$AU61)*(1+$AV61)+(($AW61+$AX61)/2*IF($G$1="裂石",$AJ61,$AH61)+IF($G$1="裂石",$AK61*1.5,0))*(1+$AY61)*(1+$AZ61)+(($BA61+$BB61)/2*IF($G$1="牵丝",$AJ61,$AH61)+IF($G$1="牵丝",$AK61*1.5,0))*(1+$BC61)*(1+$BD61)+(($BE61+$BF61)/2*IF($G$1="破竹",$AJ61,$AH61)+IF($G$1="破竹",$AK61*1.5,0))*(1+$BG61)*(1+$BH61))*(1+$AL61)*$BK61*$P61*(1+IF(VLOOKUP($Q61,武学奇术!$A:$ZZ,30,FALSE)="回旋伞",$B$21,0))*(1+$BQ61)</f>
        <v>443801.214829695</v>
      </c>
      <c r="M61" s="41">
        <f>(($AO61*$AH61+$AI61)*(1+$AP61)*(1+$AQ61)+($AT61*IF($G$1="鸣金",$AJ61,$AH61)+IF($G$1="鸣金",$AK61*1.5,0))*(1+$AU61)*(1+$AV61)+($AX61*IF($G$1="裂石",$AJ61,$AH61)+IF($G$1="裂石",$AK61*1.5,0))*(1+$AY61)*(1+$AZ61)+($BB61*IF($G$1="牵丝",$AJ61,$AH61)+IF($G$1="牵丝",$AK61*1.5,0))*(1+$BC61)*(1+$BD61)+($BF61*IF($G$1="破竹",$AJ61,$AH61)+IF($G$1="破竹",$AK61*1.5,0))*(1+$BG61)*(1+$BH61))*(1+$AL61)*$BM61*$P61*(1+IF(VLOOKUP($Q61,武学奇术!$A:$ZZ,30,FALSE)="回旋伞",$B$21,0))*(1+$BQ61)</f>
        <v>313128.737570833</v>
      </c>
      <c r="N61" s="41">
        <f>((($AN61+$AO61)/2*$AH61+$AI61)*(1+$AP61)*(1+$AQ61)+(($AS61+$AT61)/2*IF($G$1="鸣金",$AJ61,$AH61)+IF($G$1="鸣金",$AK61*1.5,0))*(1+$AU61)*(1+$AV61)+(($AW61+$AX61)/2*IF($G$1="裂石",$AJ61,$AH61)+IF($G$1="裂石",$AK61*1.5,0))*(1+$AY61)*(1+$AZ61)+(($BA61+$BB61)/2*IF($G$1="牵丝",$AJ61,$AH61)+IF($G$1="牵丝",$AK61*1.5,0))*(1+$BC61)*(1+$BD61)+(($BE61+$BF61)/2*IF($G$1="破竹",$AJ61,$AH61)+IF($G$1="破竹",$AK61*1.5,0))*(1+$BG61)*(1+$BH61))*(1+$AL61)*$P61*(1+IF(VLOOKUP($Q61,武学奇术!$A:$ZZ,30,FALSE)="回旋伞",$B$21,0))*(1+$BQ61)</f>
        <v>209340.195674384</v>
      </c>
      <c r="O61" s="41">
        <f>((($AN61*$AH61+$AI61)*(1+$AP61)*(1+$AQ61)+($AS61*IF($G$1="鸣金",$AJ61,$AH61)+IF($G$1="鸣金",$AK61*1.5,0))*(1+$AU61)*(1+$AV61)+($AW61*IF($G$1="裂石",$AJ61,$AH61)+IF($G$1="裂石",$AK61*1.5,0))*(1+$AY61)*(1+$AZ61)+($BA61*IF($G$1="牵丝",$AJ61,$AH61)+IF($G$1="牵丝",$AK61*1.5,0))*(1+$BC61)*(1+$BD61)+($BE61*IF($G$1="破竹",$AJ61,$AH61)+IF($G$1="破竹",$AK61*1.5,0))*(1+$BG61)*(1+$BH61))*(1+$AL61))*$P61*(1+IF(VLOOKUP($Q61,武学奇术!$A:$ZZ,30,FALSE)="回旋伞",$B$21,0))*(1+$BQ61)</f>
        <v>186733.178333337</v>
      </c>
      <c r="P61" s="42">
        <v>4</v>
      </c>
      <c r="Q61" s="43" t="s">
        <v>104</v>
      </c>
      <c r="R61" s="43" t="s">
        <v>105</v>
      </c>
      <c r="S61" s="43" t="s">
        <v>91</v>
      </c>
      <c r="T61" s="43" t="s">
        <v>72</v>
      </c>
      <c r="U61" s="43" t="s">
        <v>79</v>
      </c>
      <c r="V61" s="43" t="s">
        <v>167</v>
      </c>
      <c r="W61" s="43" t="s">
        <v>95</v>
      </c>
      <c r="X61" s="43" t="s">
        <v>71</v>
      </c>
      <c r="Y61" s="43" t="s">
        <v>177</v>
      </c>
      <c r="Z61" s="43" t="s">
        <v>178</v>
      </c>
      <c r="AA61" s="43" t="s">
        <v>116</v>
      </c>
      <c r="AB61" s="43" t="s">
        <v>179</v>
      </c>
      <c r="AC61" s="43" t="s">
        <v>71</v>
      </c>
      <c r="AD61" s="43" t="s">
        <v>71</v>
      </c>
      <c r="AE61" s="43" t="s">
        <v>71</v>
      </c>
      <c r="AF61" s="43" t="s">
        <v>76</v>
      </c>
      <c r="AG61" t="str">
        <f>VLOOKUP($Q61,武学奇术!$A:$ZZ,25,FALSE)</f>
        <v>伞</v>
      </c>
      <c r="AH61" s="30">
        <f>VLOOKUP($Q61,武学奇术!$A:$ZZ,26,FALSE)</f>
        <v>1.8084</v>
      </c>
      <c r="AI61" s="31">
        <f>VLOOKUP($Q61,武学奇术!$A:$ZZ,27,FALSE)*(1+IF(OR($AG61=$F$4,$AG61=$F$5),$B$22,0))</f>
        <v>700</v>
      </c>
      <c r="AJ61" s="30">
        <f>VLOOKUP($Q61,武学奇术!$A:$ZZ,28,FALSE)</f>
        <v>2.7126</v>
      </c>
      <c r="AK61" s="31">
        <f>VLOOKUP($Q61,武学奇术!$A:$ZZ,29,FALSE)*(1+IF(OR($AG61=$F$4,$AG61=$F$5),$B$22,0))</f>
        <v>380.8</v>
      </c>
      <c r="AL61" s="30" cm="1">
        <f t="array" ref="AL61">$G$3+IFERROR(VLOOKUP($AG61,$F$4:$G$7,2,FALSE),0)+VLOOKUP($Q61,武学奇术!$A:$ZZ,2,FALSE)+SUM(_xlfn.XLOOKUP($R61:$AF61,增益!$A:$A,增益!$B:$B,0))</f>
        <v>0.8541</v>
      </c>
      <c r="AM61" s="30" cm="1">
        <f t="array" ref="AM61">VLOOKUP($Q61,武学奇术!$A:$ZZ,5,FALSE)+SUM(_xlfn.XLOOKUP($R61:$AF61,增益!$A:$A,增益!$E:$E,0))</f>
        <v>0</v>
      </c>
      <c r="AN61" cm="1">
        <f t="array" ref="AN61">$D$10*(1+$AM61)+VLOOKUP($Q61,武学奇术!$A:$ZZ,3,FALSE)+SUM(_xlfn.XLOOKUP($R61:$AF61,增益!$A:$A,增益!$C:$C,0))-$I$2</f>
        <v>3545.8</v>
      </c>
      <c r="AO61" cm="1">
        <f t="array" ref="AO61">$E$10*(1+$AM61)+VLOOKUP($Q61,武学奇术!$A:$ZZ,4,FALSE)+SUM(_xlfn.XLOOKUP($R61:$AF61,增益!$A:$A,增益!$D:$D,0))-$I$2</f>
        <v>3545.8</v>
      </c>
      <c r="AP61" s="35" cm="1">
        <f t="array" ref="AP61">IF($F$10-$I$3+VLOOKUP($Q61,武学奇术!$A:$ZZ,6,FALSE)+SUM(_xlfn.XLOOKUP(R61:AF61,增益!$A:$A,增益!$F:$F,0))&gt;0,($F$10-$I$3+VLOOKUP($Q61,武学奇术!$A:$ZZ,6,FALSE)+SUM(_xlfn.XLOOKUP(R61:AF61,增益!$A:$A,增益!$F:$F,0)))/200,($F$10-$I$3+VLOOKUP($Q61,武学奇术!$A:$ZZ,6,FALSE)+SUM(_xlfn.XLOOKUP(R61:AF61,增益!$A:$A,增益!$F:$F,0)))/100)</f>
        <v>0.4675</v>
      </c>
      <c r="AQ61" s="35" cm="1">
        <f t="array" ref="AQ61">$G$10+VLOOKUP($Q61,武学奇术!$A:$ZZ,7,FALSE)+SUM(_xlfn.XLOOKUP(R61:AF61,增益!$A:$A,增益!$G:$G,0))</f>
        <v>0.148</v>
      </c>
      <c r="AR61" s="30" cm="1">
        <f t="array" ref="AR61">VLOOKUP($Q61,武学奇术!$A:$ZZ,8,FALSE)+SUM(_xlfn.XLOOKUP(R61:AF61,增益!$A:$A,增益!$H:$H,0))</f>
        <v>0</v>
      </c>
      <c r="AS61">
        <f t="shared" ref="AS61:AS73" si="23">$D$11*(1+$AR61)</f>
        <v>0</v>
      </c>
      <c r="AT61">
        <f t="shared" ref="AT61:AT73" si="24">$E$11*(1+$AR61)</f>
        <v>0</v>
      </c>
      <c r="AU61" s="35" cm="1">
        <f t="array" ref="AU61">IF($F$11-$I$4+VLOOKUP($Q61,武学奇术!$A:$ZZ,9,FALSE)+SUM(_xlfn.XLOOKUP(R61:AF61,增益!$A:$A,增益!$I:$I,0))&gt;0,($F$11-$I$4+VLOOKUP($Q61,武学奇术!$A:$ZZ,9,FALSE)+SUM(_xlfn.XLOOKUP(R61:AF61,增益!$A:$A,增益!$I:$I,0)))/200,($F$11-$I$4+VLOOKUP($Q61,武学奇术!$A:$ZZ,9,FALSE)+SUM(_xlfn.XLOOKUP(R61:AF61,增益!$A:$A,增益!$I:$I,0)))/100)</f>
        <v>-0.3</v>
      </c>
      <c r="AV61" s="35" cm="1">
        <f t="array" ref="AV61">$G$11+VLOOKUP($Q61,武学奇术!$A:$ZZ,10,FALSE)+SUM(_xlfn.XLOOKUP(R61:AF61,增益!$A:$A,增益!$J:$J,0))</f>
        <v>0.1</v>
      </c>
      <c r="AW61">
        <f t="shared" ref="AW61:AW73" si="25">$D$12*(1+$AR61)</f>
        <v>0</v>
      </c>
      <c r="AX61">
        <f t="shared" ref="AX61:AX73" si="26">$E$12*(1+$AR61)</f>
        <v>0</v>
      </c>
      <c r="AY61" s="35" cm="1">
        <f t="array" ref="AY61">IF($F$12-$I$4+VLOOKUP($Q61,武学奇术!$A:$ZZ,11,FALSE)+SUM(_xlfn.XLOOKUP(R61:AF61,增益!$A:$A,增益!$K:$K,0))&gt;0,($F$12-$I$4+VLOOKUP($Q61,武学奇术!$A:$ZZ,11,FALSE)+SUM(_xlfn.XLOOKUP(R61:AF61,增益!$A:$A,增益!$K:$K,0)))/200,($F$12-$I$4+VLOOKUP($Q61,武学奇术!$A:$ZZ,11,FALSE)+SUM(_xlfn.XLOOKUP(R61:AF61,增益!$A:$A,增益!$K:$K,0)))/100)</f>
        <v>-0.3</v>
      </c>
      <c r="AZ61" s="35" cm="1">
        <f t="array" ref="AZ61">$G$12+VLOOKUP($Q61,武学奇术!$A:$ZZ,12,FALSE)+SUM(_xlfn.XLOOKUP(R61:AF61,增益!$A:$A,增益!$L:$L,0))</f>
        <v>0</v>
      </c>
      <c r="BA61">
        <f t="shared" ref="BA61:BA73" si="27">$D$13*(1+$AR61)</f>
        <v>0</v>
      </c>
      <c r="BB61">
        <f t="shared" ref="BB61:BB73" si="28">$E$13*(1+$AR61)</f>
        <v>0</v>
      </c>
      <c r="BC61" s="35" cm="1">
        <f t="array" ref="BC61">IF($F$13-$I$4+VLOOKUP($Q61,武学奇术!$A:$ZZ,13,FALSE)+SUM(_xlfn.XLOOKUP(R61:AF61,增益!$A:$A,增益!$M:$M,0))&gt;0,($F$13-$I$4+VLOOKUP($Q61,武学奇术!$A:$ZZ,13,FALSE)+SUM(_xlfn.XLOOKUP(R61:AF61,增益!$A:$A,增益!$K:$K,0)))/200,($F$13-$I$4+VLOOKUP($Q61,武学奇术!$A:$ZZ,13,FALSE)+SUM(_xlfn.XLOOKUP(R61:AF61,增益!$A:$A,增益!$M:$M,0)))/100)</f>
        <v>-0.3</v>
      </c>
      <c r="BD61" s="35" cm="1">
        <f t="array" ref="BD61">$G$13+VLOOKUP($Q61,武学奇术!$A:$ZZ,14,FALSE)+SUM(_xlfn.XLOOKUP(R61:AF61,增益!$A:$A,增益!$N:$N,0))</f>
        <v>0</v>
      </c>
      <c r="BE61">
        <f t="shared" ref="BE61:BE73" si="29">$D$14*(1+$AR61)</f>
        <v>538</v>
      </c>
      <c r="BF61">
        <f t="shared" ref="BF61:BF73" si="30">$E$14*(1+$AR61)</f>
        <v>1561.4</v>
      </c>
      <c r="BG61" s="35" cm="1">
        <f t="array" ref="BG61">IF($F$14-$I$4+VLOOKUP($Q61,武学奇术!$A:$ZZ,15,FALSE)+SUM(_xlfn.XLOOKUP(R61:AF61,增益!$A:$A,增益!$O:$O,0))&gt;0,($F$14-$I$4+VLOOKUP($Q61,武学奇术!$A:$ZZ,15,FALSE)+SUM(_xlfn.XLOOKUP(R61:AF61,增益!$A:$A,增益!$O:$O,0)))/200,($F$14-$I$4+VLOOKUP($Q61,武学奇术!$A:$ZZ,15,FALSE)+SUM(_xlfn.XLOOKUP(R61:AF61,增益!$A:$A,增益!$O:$O,0)))/100)</f>
        <v>0</v>
      </c>
      <c r="BH61" s="35" cm="1">
        <f t="array" ref="BH61">$G$14+VLOOKUP($Q61,武学奇术!$A:$ZZ,16,FALSE)+SUM(_xlfn.XLOOKUP(R61:AF61,增益!$A:$A,增益!$P:$P,0))</f>
        <v>0.27</v>
      </c>
      <c r="BI61" s="30">
        <f>MIN(IF(VLOOKUP($Q61,武学奇术!$A:$ZZ,23,FALSE)=1,100%,$B$8),100%)</f>
        <v>0.9712</v>
      </c>
      <c r="BJ61" s="30" cm="1">
        <f t="array" ref="BJ61">IF(VLOOKUP($Q61,武学奇术!$A:$ZZ,23,FALSE)=1,100%,MIN(80%,$B$9+VLOOKUP($Q61,武学奇术!$A:$ZZ,17,FALSE)+SUM(_xlfn.XLOOKUP(R61:AF61,增益!$A:$A,增益!$Q:$Q,0)))+$B$11+SUM(_xlfn.XLOOKUP(R61:AF61,增益!$A:$A,增益!$U:$U,0)))*IF(VLOOKUP($Q61,武学奇术!$A:$ZZ,24,FALSE)=1,0,1)</f>
        <v>0.8773</v>
      </c>
      <c r="BK61" s="30" cm="1">
        <f t="array" ref="BK61">1+$B$13+VLOOKUP($Q61,武学奇术!$A:$ZZ,18,FALSE)+SUM(_xlfn.XLOOKUP(R61:AF61,增益!$A:$A,增益!$R:$R,0))</f>
        <v>2.12</v>
      </c>
      <c r="BL61" s="30" cm="1">
        <f t="array" ref="BL61">IF(VLOOKUP($Q61,武学奇术!$A:$ZZ,24,FALSE)=1,100%,MIN(40%,$B$10+VLOOKUP($Q61,武学奇术!$A:$ZZ,19,FALSE)+SUM(_xlfn.XLOOKUP(R61:AF61,增益!$A:$A,增益!$S:$S,0)))+$B$12+SUM(_xlfn.XLOOKUP(R61:AF61,增益!$A:$A,增益!$V:$V,0)))*IF(VLOOKUP($Q61,武学奇术!$A:$ZZ,23,FALSE)=1,0,1)</f>
        <v>0.0895</v>
      </c>
      <c r="BM61" s="30" cm="1">
        <f t="array" ref="BM61">1+$B$14+VLOOKUP($Q61,武学奇术!$A:$ZZ,20,FALSE)+SUM(_xlfn.XLOOKUP(R61:AF61,增益!$A:$A,增益!$T:$T,0))</f>
        <v>1.35</v>
      </c>
      <c r="BN61" s="30">
        <f t="shared" si="22"/>
        <v>0.85203376</v>
      </c>
      <c r="BO61" s="30">
        <f t="shared" si="17"/>
        <v>0.03224384</v>
      </c>
      <c r="BP61" s="30">
        <f>IF(VLOOKUP($Q61,武学奇术!$A:$ZZ,22,FALSE)=1,0,(1-$BI61))*(1-$BL61)</f>
        <v>0.0262224</v>
      </c>
      <c r="BQ61" s="30" cm="1">
        <f t="array" ref="BQ61">SUM(_xlfn.XLOOKUP(R61:AF61,增益!$A:$A,增益!$W:$W,0))+$I$5</f>
        <v>0.31</v>
      </c>
    </row>
    <row r="62" spans="1:69">
      <c r="A62" s="4" t="s">
        <v>150</v>
      </c>
      <c r="B62" s="4">
        <v>1</v>
      </c>
      <c r="K62" s="41">
        <f t="shared" ref="K61:K73" si="31">($L62*$BN62+$M62*$BL62+$N62*$BO62+$O62*$BP62)</f>
        <v>251067.71813652</v>
      </c>
      <c r="L62" s="41">
        <f>((($AN62+$AO62)/2*$AH62+$AI62)*(1+$AP62)*(1+$AQ62)+(($AS62+$AT62)/2*IF($G$1="鸣金",$AJ62,$AH62)+IF($G$1="鸣金",$AK62*1.5,0))*(1+$AU62)*(1+$AV62)+(($AW62+$AX62)/2*IF($G$1="裂石",$AJ62,$AH62)+IF($G$1="裂石",$AK62*1.5,0))*(1+$AY62)*(1+$AZ62)+(($BA62+$BB62)/2*IF($G$1="牵丝",$AJ62,$AH62)+IF($G$1="牵丝",$AK62*1.5,0))*(1+$BC62)*(1+$BD62)+(($BE62+$BF62)/2*IF($G$1="破竹",$AJ62,$AH62)+IF($G$1="破竹",$AK62*1.5,0))*(1+$BG62)*(1+$BH62))*(1+$AL62)*$BK62*$P62*(1+IF(VLOOKUP($Q62,武学奇术!$A:$ZZ,30,FALSE)="回旋伞",$B$21,0))*(1+$BQ62)</f>
        <v>251067.71813652</v>
      </c>
      <c r="M62" s="41">
        <f>(($AO62*$AH62+$AI62)*(1+$AP62)*(1+$AQ62)+($AT62*IF($G$1="鸣金",$AJ62,$AH62)+IF($G$1="鸣金",$AK62*1.5,0))*(1+$AU62)*(1+$AV62)+($AX62*IF($G$1="裂石",$AJ62,$AH62)+IF($G$1="裂石",$AK62*1.5,0))*(1+$AY62)*(1+$AZ62)+($BB62*IF($G$1="牵丝",$AJ62,$AH62)+IF($G$1="牵丝",$AK62*1.5,0))*(1+$BC62)*(1+$BD62)+($BF62*IF($G$1="破竹",$AJ62,$AH62)+IF($G$1="破竹",$AK62*1.5,0))*(1+$BG62)*(1+$BH62))*(1+$AL62)*$BM62*$P62*(1+IF(VLOOKUP($Q62,武学奇术!$A:$ZZ,30,FALSE)="回旋伞",$B$21,0))*(1+$BQ62)</f>
        <v>178136.281216208</v>
      </c>
      <c r="N62" s="41">
        <f>((($AN62+$AO62)/2*$AH62+$AI62)*(1+$AP62)*(1+$AQ62)+(($AS62+$AT62)/2*IF($G$1="鸣金",$AJ62,$AH62)+IF($G$1="鸣金",$AK62*1.5,0))*(1+$AU62)*(1+$AV62)+(($AW62+$AX62)/2*IF($G$1="裂石",$AJ62,$AH62)+IF($G$1="裂石",$AK62*1.5,0))*(1+$AY62)*(1+$AZ62)+(($BA62+$BB62)/2*IF($G$1="牵丝",$AJ62,$AH62)+IF($G$1="牵丝",$AK62*1.5,0))*(1+$BC62)*(1+$BD62)+(($BE62+$BF62)/2*IF($G$1="破竹",$AJ62,$AH62)+IF($G$1="破竹",$AK62*1.5,0))*(1+$BG62)*(1+$BH62))*(1+$AL62)*$P62*(1+IF(VLOOKUP($Q62,武学奇术!$A:$ZZ,30,FALSE)="回旋伞",$B$21,0))*(1+$BQ62)</f>
        <v>118428.168932321</v>
      </c>
      <c r="O62" s="41">
        <f>((($AN62*$AH62+$AI62)*(1+$AP62)*(1+$AQ62)+($AS62*IF($G$1="鸣金",$AJ62,$AH62)+IF($G$1="鸣金",$AK62*1.5,0))*(1+$AU62)*(1+$AV62)+($AW62*IF($G$1="裂石",$AJ62,$AH62)+IF($G$1="裂石",$AK62*1.5,0))*(1+$AY62)*(1+$AZ62)+($BA62*IF($G$1="牵丝",$AJ62,$AH62)+IF($G$1="牵丝",$AK62*1.5,0))*(1+$BC62)*(1+$BD62)+($BE62*IF($G$1="破竹",$AJ62,$AH62)+IF($G$1="破竹",$AK62*1.5,0))*(1+$BG62)*(1+$BH62))*(1+$AL62))*$P62*(1+IF(VLOOKUP($Q62,武学奇术!$A:$ZZ,30,FALSE)="回旋伞",$B$21,0))*(1+$BQ62)</f>
        <v>104903.536963747</v>
      </c>
      <c r="P62" s="42">
        <v>2</v>
      </c>
      <c r="Q62" s="43" t="s">
        <v>115</v>
      </c>
      <c r="R62" s="43" t="s">
        <v>105</v>
      </c>
      <c r="S62" s="43" t="s">
        <v>91</v>
      </c>
      <c r="T62" s="43" t="s">
        <v>72</v>
      </c>
      <c r="U62" s="43" t="s">
        <v>79</v>
      </c>
      <c r="V62" s="43" t="s">
        <v>167</v>
      </c>
      <c r="W62" s="43" t="s">
        <v>95</v>
      </c>
      <c r="X62" s="43" t="s">
        <v>82</v>
      </c>
      <c r="Y62" s="43" t="s">
        <v>177</v>
      </c>
      <c r="Z62" s="43" t="s">
        <v>178</v>
      </c>
      <c r="AA62" s="43" t="s">
        <v>116</v>
      </c>
      <c r="AB62" s="43" t="s">
        <v>179</v>
      </c>
      <c r="AC62" s="43" t="s">
        <v>71</v>
      </c>
      <c r="AD62" s="43" t="s">
        <v>71</v>
      </c>
      <c r="AE62" s="43" t="s">
        <v>71</v>
      </c>
      <c r="AF62" s="43" t="s">
        <v>76</v>
      </c>
      <c r="AG62" t="str">
        <f>VLOOKUP($Q62,武学奇术!$A:$ZZ,25,FALSE)</f>
        <v>伞</v>
      </c>
      <c r="AH62" s="30">
        <f>VLOOKUP($Q62,武学奇术!$A:$ZZ,26,FALSE)</f>
        <v>1.8084</v>
      </c>
      <c r="AI62" s="31">
        <f>VLOOKUP($Q62,武学奇术!$A:$ZZ,27,FALSE)*(1+IF(OR($AG62=$F$4,$AG62=$F$5),$B$22,0))</f>
        <v>700</v>
      </c>
      <c r="AJ62" s="30">
        <f>VLOOKUP($Q62,武学奇术!$A:$ZZ,28,FALSE)</f>
        <v>2.7126</v>
      </c>
      <c r="AK62" s="31">
        <f>VLOOKUP($Q62,武学奇术!$A:$ZZ,29,FALSE)*(1+IF(OR($AG62=$F$4,$AG62=$F$5),$B$22,0))</f>
        <v>380.8</v>
      </c>
      <c r="AL62" s="30" cm="1">
        <f t="array" ref="AL62">$G$3+IFERROR(VLOOKUP($AG62,$F$4:$G$7,2,FALSE),0)+VLOOKUP($Q62,武学奇术!$A:$ZZ,2,FALSE)+SUM(_xlfn.XLOOKUP($R62:$AF62,增益!$A:$A,增益!$B:$B,0))</f>
        <v>1.0541</v>
      </c>
      <c r="AM62" s="30" cm="1">
        <f t="array" ref="AM62">VLOOKUP($Q62,武学奇术!$A:$ZZ,5,FALSE)+SUM(_xlfn.XLOOKUP($R62:$AF62,增益!$A:$A,增益!$E:$E,0))</f>
        <v>0</v>
      </c>
      <c r="AN62" cm="1">
        <f t="array" ref="AN62">$D$10*(1+$AM62)+VLOOKUP($Q62,武学奇术!$A:$ZZ,3,FALSE)+SUM(_xlfn.XLOOKUP($R62:$AF62,增益!$A:$A,增益!$C:$C,0))-$I$2</f>
        <v>3545.8</v>
      </c>
      <c r="AO62" cm="1">
        <f t="array" ref="AO62">$E$10*(1+$AM62)+VLOOKUP($Q62,武学奇术!$A:$ZZ,4,FALSE)+SUM(_xlfn.XLOOKUP($R62:$AF62,增益!$A:$A,增益!$D:$D,0))-$I$2</f>
        <v>3545.8</v>
      </c>
      <c r="AP62" s="35" cm="1">
        <f t="array" ref="AP62">IF($F$10-$I$3+VLOOKUP($Q62,武学奇术!$A:$ZZ,6,FALSE)+SUM(_xlfn.XLOOKUP(R62:AF62,增益!$A:$A,增益!$F:$F,0))&gt;0,($F$10-$I$3+VLOOKUP($Q62,武学奇术!$A:$ZZ,6,FALSE)+SUM(_xlfn.XLOOKUP(R62:AF62,增益!$A:$A,增益!$F:$F,0)))/200,($F$10-$I$3+VLOOKUP($Q62,武学奇术!$A:$ZZ,6,FALSE)+SUM(_xlfn.XLOOKUP(R62:AF62,增益!$A:$A,增益!$F:$F,0)))/100)</f>
        <v>0.4675</v>
      </c>
      <c r="AQ62" s="35" cm="1">
        <f t="array" ref="AQ62">$G$10+VLOOKUP($Q62,武学奇术!$A:$ZZ,7,FALSE)+SUM(_xlfn.XLOOKUP(R62:AF62,增益!$A:$A,增益!$G:$G,0))</f>
        <v>0.148</v>
      </c>
      <c r="AR62" s="30" cm="1">
        <f t="array" ref="AR62">VLOOKUP($Q62,武学奇术!$A:$ZZ,8,FALSE)+SUM(_xlfn.XLOOKUP(R62:AF62,增益!$A:$A,增益!$H:$H,0))</f>
        <v>0</v>
      </c>
      <c r="AS62">
        <f t="shared" si="23"/>
        <v>0</v>
      </c>
      <c r="AT62">
        <f t="shared" si="24"/>
        <v>0</v>
      </c>
      <c r="AU62" s="35" cm="1">
        <f t="array" ref="AU62">IF($F$11-$I$4+VLOOKUP($Q62,武学奇术!$A:$ZZ,9,FALSE)+SUM(_xlfn.XLOOKUP(R62:AF62,增益!$A:$A,增益!$I:$I,0))&gt;0,($F$11-$I$4+VLOOKUP($Q62,武学奇术!$A:$ZZ,9,FALSE)+SUM(_xlfn.XLOOKUP(R62:AF62,增益!$A:$A,增益!$I:$I,0)))/200,($F$11-$I$4+VLOOKUP($Q62,武学奇术!$A:$ZZ,9,FALSE)+SUM(_xlfn.XLOOKUP(R62:AF62,增益!$A:$A,增益!$I:$I,0)))/100)</f>
        <v>-0.14</v>
      </c>
      <c r="AV62" s="35" cm="1">
        <f t="array" ref="AV62">$G$11+VLOOKUP($Q62,武学奇术!$A:$ZZ,10,FALSE)+SUM(_xlfn.XLOOKUP(R62:AF62,增益!$A:$A,增益!$J:$J,0))</f>
        <v>0.1</v>
      </c>
      <c r="AW62">
        <f t="shared" si="25"/>
        <v>0</v>
      </c>
      <c r="AX62">
        <f t="shared" si="26"/>
        <v>0</v>
      </c>
      <c r="AY62" s="35" cm="1">
        <f t="array" ref="AY62">IF($F$12-$I$4+VLOOKUP($Q62,武学奇术!$A:$ZZ,11,FALSE)+SUM(_xlfn.XLOOKUP(R62:AF62,增益!$A:$A,增益!$K:$K,0))&gt;0,($F$12-$I$4+VLOOKUP($Q62,武学奇术!$A:$ZZ,11,FALSE)+SUM(_xlfn.XLOOKUP(R62:AF62,增益!$A:$A,增益!$K:$K,0)))/200,($F$12-$I$4+VLOOKUP($Q62,武学奇术!$A:$ZZ,11,FALSE)+SUM(_xlfn.XLOOKUP(R62:AF62,增益!$A:$A,增益!$K:$K,0)))/100)</f>
        <v>-0.14</v>
      </c>
      <c r="AZ62" s="35" cm="1">
        <f t="array" ref="AZ62">$G$12+VLOOKUP($Q62,武学奇术!$A:$ZZ,12,FALSE)+SUM(_xlfn.XLOOKUP(R62:AF62,增益!$A:$A,增益!$L:$L,0))</f>
        <v>0</v>
      </c>
      <c r="BA62">
        <f t="shared" si="27"/>
        <v>0</v>
      </c>
      <c r="BB62">
        <f t="shared" si="28"/>
        <v>0</v>
      </c>
      <c r="BC62" s="35" cm="1">
        <f t="array" ref="BC62">IF($F$13-$I$4+VLOOKUP($Q62,武学奇术!$A:$ZZ,13,FALSE)+SUM(_xlfn.XLOOKUP(R62:AF62,增益!$A:$A,增益!$M:$M,0))&gt;0,($F$13-$I$4+VLOOKUP($Q62,武学奇术!$A:$ZZ,13,FALSE)+SUM(_xlfn.XLOOKUP(R62:AF62,增益!$A:$A,增益!$K:$K,0)))/200,($F$13-$I$4+VLOOKUP($Q62,武学奇术!$A:$ZZ,13,FALSE)+SUM(_xlfn.XLOOKUP(R62:AF62,增益!$A:$A,增益!$M:$M,0)))/100)</f>
        <v>-0.14</v>
      </c>
      <c r="BD62" s="35" cm="1">
        <f t="array" ref="BD62">$G$13+VLOOKUP($Q62,武学奇术!$A:$ZZ,14,FALSE)+SUM(_xlfn.XLOOKUP(R62:AF62,增益!$A:$A,增益!$N:$N,0))</f>
        <v>0</v>
      </c>
      <c r="BE62">
        <f t="shared" si="29"/>
        <v>538</v>
      </c>
      <c r="BF62">
        <f t="shared" si="30"/>
        <v>1561.4</v>
      </c>
      <c r="BG62" s="35" cm="1">
        <f t="array" ref="BG62">IF($F$14-$I$4+VLOOKUP($Q62,武学奇术!$A:$ZZ,15,FALSE)+SUM(_xlfn.XLOOKUP(R62:AF62,增益!$A:$A,增益!$O:$O,0))&gt;0,($F$14-$I$4+VLOOKUP($Q62,武学奇术!$A:$ZZ,15,FALSE)+SUM(_xlfn.XLOOKUP(R62:AF62,增益!$A:$A,增益!$O:$O,0)))/200,($F$14-$I$4+VLOOKUP($Q62,武学奇术!$A:$ZZ,15,FALSE)+SUM(_xlfn.XLOOKUP(R62:AF62,增益!$A:$A,增益!$O:$O,0)))/100)</f>
        <v>0.08</v>
      </c>
      <c r="BH62" s="35" cm="1">
        <f t="array" ref="BH62">$G$14+VLOOKUP($Q62,武学奇术!$A:$ZZ,16,FALSE)+SUM(_xlfn.XLOOKUP(R62:AF62,增益!$A:$A,增益!$P:$P,0))</f>
        <v>0.27</v>
      </c>
      <c r="BI62" s="30">
        <f>MIN(IF(VLOOKUP($Q62,武学奇术!$A:$ZZ,23,FALSE)=1,100%,$B$8),100%)</f>
        <v>1</v>
      </c>
      <c r="BJ62" s="30" cm="1">
        <f t="array" ref="BJ62">IF(VLOOKUP($Q62,武学奇术!$A:$ZZ,23,FALSE)=1,100%,MIN(80%,$B$9+VLOOKUP($Q62,武学奇术!$A:$ZZ,17,FALSE)+SUM(_xlfn.XLOOKUP(R62:AF62,增益!$A:$A,增益!$Q:$Q,0)))+$B$11+SUM(_xlfn.XLOOKUP(R62:AF62,增益!$A:$A,增益!$U:$U,0)))*IF(VLOOKUP($Q62,武学奇术!$A:$ZZ,24,FALSE)=1,0,1)</f>
        <v>1</v>
      </c>
      <c r="BK62" s="30" cm="1">
        <f t="array" ref="BK62">1+$B$13+VLOOKUP($Q62,武学奇术!$A:$ZZ,18,FALSE)+SUM(_xlfn.XLOOKUP(R62:AF62,增益!$A:$A,增益!$R:$R,0))</f>
        <v>2.12</v>
      </c>
      <c r="BL62" s="30" cm="1">
        <f t="array" ref="BL62">IF(VLOOKUP($Q62,武学奇术!$A:$ZZ,24,FALSE)=1,100%,MIN(40%,$B$10+VLOOKUP($Q62,武学奇术!$A:$ZZ,19,FALSE)+SUM(_xlfn.XLOOKUP(R62:AF62,增益!$A:$A,增益!$S:$S,0)))+$B$12+SUM(_xlfn.XLOOKUP(R62:AF62,增益!$A:$A,增益!$V:$V,0)))*IF(VLOOKUP($Q62,武学奇术!$A:$ZZ,23,FALSE)=1,0,1)</f>
        <v>0</v>
      </c>
      <c r="BM62" s="30" cm="1">
        <f t="array" ref="BM62">1+$B$14+VLOOKUP($Q62,武学奇术!$A:$ZZ,20,FALSE)+SUM(_xlfn.XLOOKUP(R62:AF62,增益!$A:$A,增益!$T:$T,0))</f>
        <v>1.35</v>
      </c>
      <c r="BN62" s="30">
        <f t="shared" si="22"/>
        <v>1</v>
      </c>
      <c r="BO62" s="30">
        <f t="shared" si="17"/>
        <v>0</v>
      </c>
      <c r="BP62" s="30">
        <f>IF(VLOOKUP($Q62,武学奇术!$A:$ZZ,22,FALSE)=1,0,(1-$BI62))*(1-$BL62)</f>
        <v>0</v>
      </c>
      <c r="BQ62" s="30" cm="1">
        <f t="array" ref="BQ62">SUM(_xlfn.XLOOKUP(R62:AF62,增益!$A:$A,增益!$W:$W,0))+$I$5</f>
        <v>0.31</v>
      </c>
    </row>
    <row r="63" spans="1:69">
      <c r="A63" s="4" t="s">
        <v>160</v>
      </c>
      <c r="B63">
        <v>0.1</v>
      </c>
      <c r="C63"/>
      <c r="D63"/>
      <c r="G63">
        <v>37</v>
      </c>
      <c r="K63" s="41">
        <f t="shared" si="31"/>
        <v>213410.394622633</v>
      </c>
      <c r="L63" s="41">
        <f>((($AN63+$AO63)/2*$AH63+$AI63)*(1+$AP63)*(1+$AQ63)+(($AS63+$AT63)/2*IF($G$1="鸣金",$AJ63,$AH63)+IF($G$1="鸣金",$AK63*1.5,0))*(1+$AU63)*(1+$AV63)+(($AW63+$AX63)/2*IF($G$1="裂石",$AJ63,$AH63)+IF($G$1="裂石",$AK63*1.5,0))*(1+$AY63)*(1+$AZ63)+(($BA63+$BB63)/2*IF($G$1="牵丝",$AJ63,$AH63)+IF($G$1="牵丝",$AK63*1.5,0))*(1+$BC63)*(1+$BD63)+(($BE63+$BF63)/2*IF($G$1="破竹",$AJ63,$AH63)+IF($G$1="破竹",$AK63*1.5,0))*(1+$BG63)*(1+$BH63))*(1+$AL63)*$BK63*$P63*(1+IF(VLOOKUP($Q63,武学奇术!$A:$ZZ,30,FALSE)="回旋伞",$B$21,0))*(1+$BQ63)</f>
        <v>226622.197651975</v>
      </c>
      <c r="M63" s="41">
        <f>(($AO63*$AH63+$AI63)*(1+$AP63)*(1+$AQ63)+($AT63*IF($G$1="鸣金",$AJ63,$AH63)+IF($G$1="鸣金",$AK63*1.5,0))*(1+$AU63)*(1+$AV63)+($AX63*IF($G$1="裂石",$AJ63,$AH63)+IF($G$1="裂石",$AK63*1.5,0))*(1+$AY63)*(1+$AZ63)+($BB63*IF($G$1="牵丝",$AJ63,$AH63)+IF($G$1="牵丝",$AK63*1.5,0))*(1+$BC63)*(1+$BD63)+($BF63*IF($G$1="破竹",$AJ63,$AH63)+IF($G$1="破竹",$AK63*1.5,0))*(1+$BG63)*(1+$BH63))*(1+$AL63)*$BM63*$P63*(1+IF(VLOOKUP($Q63,武学奇术!$A:$ZZ,30,FALSE)="回旋伞",$B$21,0))*(1+$BQ63)</f>
        <v>160791.820750193</v>
      </c>
      <c r="N63" s="41">
        <f>((($AN63+$AO63)/2*$AH63+$AI63)*(1+$AP63)*(1+$AQ63)+(($AS63+$AT63)/2*IF($G$1="鸣金",$AJ63,$AH63)+IF($G$1="鸣金",$AK63*1.5,0))*(1+$AU63)*(1+$AV63)+(($AW63+$AX63)/2*IF($G$1="裂石",$AJ63,$AH63)+IF($G$1="裂石",$AK63*1.5,0))*(1+$AY63)*(1+$AZ63)+(($BA63+$BB63)/2*IF($G$1="牵丝",$AJ63,$AH63)+IF($G$1="牵丝",$AK63*1.5,0))*(1+$BC63)*(1+$BD63)+(($BE63+$BF63)/2*IF($G$1="破竹",$AJ63,$AH63)+IF($G$1="破竹",$AK63*1.5,0))*(1+$BG63)*(1+$BH63))*(1+$AL63)*$P63*(1+IF(VLOOKUP($Q63,武学奇术!$A:$ZZ,30,FALSE)="回旋伞",$B$21,0))*(1+$BQ63)</f>
        <v>106897.263043385</v>
      </c>
      <c r="O63" s="41">
        <f>((($AN63*$AH63+$AI63)*(1+$AP63)*(1+$AQ63)+($AS63*IF($G$1="鸣金",$AJ63,$AH63)+IF($G$1="鸣金",$AK63*1.5,0))*(1+$AU63)*(1+$AV63)+($AW63*IF($G$1="裂石",$AJ63,$AH63)+IF($G$1="裂石",$AK63*1.5,0))*(1+$AY63)*(1+$AZ63)+($BA63*IF($G$1="牵丝",$AJ63,$AH63)+IF($G$1="牵丝",$AK63*1.5,0))*(1+$BC63)*(1+$BD63)+($BE63*IF($G$1="破竹",$AJ63,$AH63)+IF($G$1="破竹",$AK63*1.5,0))*(1+$BG63)*(1+$BH63))*(1+$AL63))*$P63*(1+IF(VLOOKUP($Q63,武学奇术!$A:$ZZ,30,FALSE)="回旋伞",$B$21,0))*(1+$BQ63)</f>
        <v>94689.4736792189</v>
      </c>
      <c r="P63" s="42">
        <v>2</v>
      </c>
      <c r="Q63" s="43" t="s">
        <v>104</v>
      </c>
      <c r="R63" s="43" t="s">
        <v>105</v>
      </c>
      <c r="S63" s="43" t="s">
        <v>91</v>
      </c>
      <c r="T63" s="43" t="s">
        <v>72</v>
      </c>
      <c r="U63" s="43" t="s">
        <v>79</v>
      </c>
      <c r="V63" s="43" t="s">
        <v>167</v>
      </c>
      <c r="W63" s="43" t="s">
        <v>95</v>
      </c>
      <c r="X63" s="43" t="s">
        <v>82</v>
      </c>
      <c r="Y63" s="43" t="s">
        <v>177</v>
      </c>
      <c r="Z63" s="43" t="s">
        <v>178</v>
      </c>
      <c r="AA63" s="43" t="s">
        <v>116</v>
      </c>
      <c r="AB63" s="43" t="s">
        <v>179</v>
      </c>
      <c r="AC63" s="43" t="s">
        <v>71</v>
      </c>
      <c r="AD63" s="43" t="s">
        <v>71</v>
      </c>
      <c r="AE63" s="43" t="s">
        <v>71</v>
      </c>
      <c r="AF63" s="43" t="s">
        <v>76</v>
      </c>
      <c r="AG63" t="str">
        <f>VLOOKUP($Q63,武学奇术!$A:$ZZ,25,FALSE)</f>
        <v>伞</v>
      </c>
      <c r="AH63" s="30">
        <f>VLOOKUP($Q63,武学奇术!$A:$ZZ,26,FALSE)</f>
        <v>1.8084</v>
      </c>
      <c r="AI63" s="31">
        <f>VLOOKUP($Q63,武学奇术!$A:$ZZ,27,FALSE)*(1+IF(OR($AG63=$F$4,$AG63=$F$5),$B$22,0))</f>
        <v>700</v>
      </c>
      <c r="AJ63" s="30">
        <f>VLOOKUP($Q63,武学奇术!$A:$ZZ,28,FALSE)</f>
        <v>2.7126</v>
      </c>
      <c r="AK63" s="31">
        <f>VLOOKUP($Q63,武学奇术!$A:$ZZ,29,FALSE)*(1+IF(OR($AG63=$F$4,$AG63=$F$5),$B$22,0))</f>
        <v>380.8</v>
      </c>
      <c r="AL63" s="30" cm="1">
        <f t="array" ref="AL63">$G$3+IFERROR(VLOOKUP($AG63,$F$4:$G$7,2,FALSE),0)+VLOOKUP($Q63,武学奇术!$A:$ZZ,2,FALSE)+SUM(_xlfn.XLOOKUP($R63:$AF63,增益!$A:$A,增益!$B:$B,0))</f>
        <v>0.8541</v>
      </c>
      <c r="AM63" s="30" cm="1">
        <f t="array" ref="AM63">VLOOKUP($Q63,武学奇术!$A:$ZZ,5,FALSE)+SUM(_xlfn.XLOOKUP($R63:$AF63,增益!$A:$A,增益!$E:$E,0))</f>
        <v>0</v>
      </c>
      <c r="AN63" cm="1">
        <f t="array" ref="AN63">$D$10*(1+$AM63)+VLOOKUP($Q63,武学奇术!$A:$ZZ,3,FALSE)+SUM(_xlfn.XLOOKUP($R63:$AF63,增益!$A:$A,增益!$C:$C,0))-$I$2</f>
        <v>3545.8</v>
      </c>
      <c r="AO63" cm="1">
        <f t="array" ref="AO63">$E$10*(1+$AM63)+VLOOKUP($Q63,武学奇术!$A:$ZZ,4,FALSE)+SUM(_xlfn.XLOOKUP($R63:$AF63,增益!$A:$A,增益!$D:$D,0))-$I$2</f>
        <v>3545.8</v>
      </c>
      <c r="AP63" s="35" cm="1">
        <f t="array" ref="AP63">IF($F$10-$I$3+VLOOKUP($Q63,武学奇术!$A:$ZZ,6,FALSE)+SUM(_xlfn.XLOOKUP(R63:AF63,增益!$A:$A,增益!$F:$F,0))&gt;0,($F$10-$I$3+VLOOKUP($Q63,武学奇术!$A:$ZZ,6,FALSE)+SUM(_xlfn.XLOOKUP(R63:AF63,增益!$A:$A,增益!$F:$F,0)))/200,($F$10-$I$3+VLOOKUP($Q63,武学奇术!$A:$ZZ,6,FALSE)+SUM(_xlfn.XLOOKUP(R63:AF63,增益!$A:$A,增益!$F:$F,0)))/100)</f>
        <v>0.4675</v>
      </c>
      <c r="AQ63" s="35" cm="1">
        <f t="array" ref="AQ63">$G$10+VLOOKUP($Q63,武学奇术!$A:$ZZ,7,FALSE)+SUM(_xlfn.XLOOKUP(R63:AF63,增益!$A:$A,增益!$G:$G,0))</f>
        <v>0.148</v>
      </c>
      <c r="AR63" s="30" cm="1">
        <f t="array" ref="AR63">VLOOKUP($Q63,武学奇术!$A:$ZZ,8,FALSE)+SUM(_xlfn.XLOOKUP(R63:AF63,增益!$A:$A,增益!$H:$H,0))</f>
        <v>0</v>
      </c>
      <c r="AS63">
        <f t="shared" si="23"/>
        <v>0</v>
      </c>
      <c r="AT63">
        <f t="shared" si="24"/>
        <v>0</v>
      </c>
      <c r="AU63" s="35" cm="1">
        <f t="array" ref="AU63">IF($F$11-$I$4+VLOOKUP($Q63,武学奇术!$A:$ZZ,9,FALSE)+SUM(_xlfn.XLOOKUP(R63:AF63,增益!$A:$A,增益!$I:$I,0))&gt;0,($F$11-$I$4+VLOOKUP($Q63,武学奇术!$A:$ZZ,9,FALSE)+SUM(_xlfn.XLOOKUP(R63:AF63,增益!$A:$A,增益!$I:$I,0)))/200,($F$11-$I$4+VLOOKUP($Q63,武学奇术!$A:$ZZ,9,FALSE)+SUM(_xlfn.XLOOKUP(R63:AF63,增益!$A:$A,增益!$I:$I,0)))/100)</f>
        <v>-0.14</v>
      </c>
      <c r="AV63" s="35" cm="1">
        <f t="array" ref="AV63">$G$11+VLOOKUP($Q63,武学奇术!$A:$ZZ,10,FALSE)+SUM(_xlfn.XLOOKUP(R63:AF63,增益!$A:$A,增益!$J:$J,0))</f>
        <v>0.1</v>
      </c>
      <c r="AW63">
        <f t="shared" si="25"/>
        <v>0</v>
      </c>
      <c r="AX63">
        <f t="shared" si="26"/>
        <v>0</v>
      </c>
      <c r="AY63" s="35" cm="1">
        <f t="array" ref="AY63">IF($F$12-$I$4+VLOOKUP($Q63,武学奇术!$A:$ZZ,11,FALSE)+SUM(_xlfn.XLOOKUP(R63:AF63,增益!$A:$A,增益!$K:$K,0))&gt;0,($F$12-$I$4+VLOOKUP($Q63,武学奇术!$A:$ZZ,11,FALSE)+SUM(_xlfn.XLOOKUP(R63:AF63,增益!$A:$A,增益!$K:$K,0)))/200,($F$12-$I$4+VLOOKUP($Q63,武学奇术!$A:$ZZ,11,FALSE)+SUM(_xlfn.XLOOKUP(R63:AF63,增益!$A:$A,增益!$K:$K,0)))/100)</f>
        <v>-0.14</v>
      </c>
      <c r="AZ63" s="35" cm="1">
        <f t="array" ref="AZ63">$G$12+VLOOKUP($Q63,武学奇术!$A:$ZZ,12,FALSE)+SUM(_xlfn.XLOOKUP(R63:AF63,增益!$A:$A,增益!$L:$L,0))</f>
        <v>0</v>
      </c>
      <c r="BA63">
        <f t="shared" si="27"/>
        <v>0</v>
      </c>
      <c r="BB63">
        <f t="shared" si="28"/>
        <v>0</v>
      </c>
      <c r="BC63" s="35" cm="1">
        <f t="array" ref="BC63">IF($F$13-$I$4+VLOOKUP($Q63,武学奇术!$A:$ZZ,13,FALSE)+SUM(_xlfn.XLOOKUP(R63:AF63,增益!$A:$A,增益!$M:$M,0))&gt;0,($F$13-$I$4+VLOOKUP($Q63,武学奇术!$A:$ZZ,13,FALSE)+SUM(_xlfn.XLOOKUP(R63:AF63,增益!$A:$A,增益!$K:$K,0)))/200,($F$13-$I$4+VLOOKUP($Q63,武学奇术!$A:$ZZ,13,FALSE)+SUM(_xlfn.XLOOKUP(R63:AF63,增益!$A:$A,增益!$M:$M,0)))/100)</f>
        <v>-0.14</v>
      </c>
      <c r="BD63" s="35" cm="1">
        <f t="array" ref="BD63">$G$13+VLOOKUP($Q63,武学奇术!$A:$ZZ,14,FALSE)+SUM(_xlfn.XLOOKUP(R63:AF63,增益!$A:$A,增益!$N:$N,0))</f>
        <v>0</v>
      </c>
      <c r="BE63">
        <f t="shared" si="29"/>
        <v>538</v>
      </c>
      <c r="BF63">
        <f t="shared" si="30"/>
        <v>1561.4</v>
      </c>
      <c r="BG63" s="35" cm="1">
        <f t="array" ref="BG63">IF($F$14-$I$4+VLOOKUP($Q63,武学奇术!$A:$ZZ,15,FALSE)+SUM(_xlfn.XLOOKUP(R63:AF63,增益!$A:$A,增益!$O:$O,0))&gt;0,($F$14-$I$4+VLOOKUP($Q63,武学奇术!$A:$ZZ,15,FALSE)+SUM(_xlfn.XLOOKUP(R63:AF63,增益!$A:$A,增益!$O:$O,0)))/200,($F$14-$I$4+VLOOKUP($Q63,武学奇术!$A:$ZZ,15,FALSE)+SUM(_xlfn.XLOOKUP(R63:AF63,增益!$A:$A,增益!$O:$O,0)))/100)</f>
        <v>0.08</v>
      </c>
      <c r="BH63" s="35" cm="1">
        <f t="array" ref="BH63">$G$14+VLOOKUP($Q63,武学奇术!$A:$ZZ,16,FALSE)+SUM(_xlfn.XLOOKUP(R63:AF63,增益!$A:$A,增益!$P:$P,0))</f>
        <v>0.27</v>
      </c>
      <c r="BI63" s="30">
        <f>MIN(IF(VLOOKUP($Q63,武学奇术!$A:$ZZ,23,FALSE)=1,100%,$B$8),100%)</f>
        <v>0.9712</v>
      </c>
      <c r="BJ63" s="30" cm="1">
        <f t="array" ref="BJ63">IF(VLOOKUP($Q63,武学奇术!$A:$ZZ,23,FALSE)=1,100%,MIN(80%,$B$9+VLOOKUP($Q63,武学奇术!$A:$ZZ,17,FALSE)+SUM(_xlfn.XLOOKUP(R63:AF63,增益!$A:$A,增益!$Q:$Q,0)))+$B$11+SUM(_xlfn.XLOOKUP(R63:AF63,增益!$A:$A,增益!$U:$U,0)))*IF(VLOOKUP($Q63,武学奇术!$A:$ZZ,24,FALSE)=1,0,1)</f>
        <v>0.8773</v>
      </c>
      <c r="BK63" s="30" cm="1">
        <f t="array" ref="BK63">1+$B$13+VLOOKUP($Q63,武学奇术!$A:$ZZ,18,FALSE)+SUM(_xlfn.XLOOKUP(R63:AF63,增益!$A:$A,增益!$R:$R,0))</f>
        <v>2.12</v>
      </c>
      <c r="BL63" s="30" cm="1">
        <f t="array" ref="BL63">IF(VLOOKUP($Q63,武学奇术!$A:$ZZ,24,FALSE)=1,100%,MIN(40%,$B$10+VLOOKUP($Q63,武学奇术!$A:$ZZ,19,FALSE)+SUM(_xlfn.XLOOKUP(R63:AF63,增益!$A:$A,增益!$S:$S,0)))+$B$12+SUM(_xlfn.XLOOKUP(R63:AF63,增益!$A:$A,增益!$V:$V,0)))*IF(VLOOKUP($Q63,武学奇术!$A:$ZZ,23,FALSE)=1,0,1)</f>
        <v>0.0895</v>
      </c>
      <c r="BM63" s="30" cm="1">
        <f t="array" ref="BM63">1+$B$14+VLOOKUP($Q63,武学奇术!$A:$ZZ,20,FALSE)+SUM(_xlfn.XLOOKUP(R63:AF63,增益!$A:$A,增益!$T:$T,0))</f>
        <v>1.35</v>
      </c>
      <c r="BN63" s="30">
        <f t="shared" si="22"/>
        <v>0.85203376</v>
      </c>
      <c r="BO63" s="30">
        <f t="shared" si="17"/>
        <v>0.03224384</v>
      </c>
      <c r="BP63" s="30">
        <f>IF(VLOOKUP($Q63,武学奇术!$A:$ZZ,22,FALSE)=1,0,(1-$BI63))*(1-$BL63)</f>
        <v>0.0262224</v>
      </c>
      <c r="BQ63" s="30" cm="1">
        <f t="array" ref="BQ63">SUM(_xlfn.XLOOKUP(R63:AF63,增益!$A:$A,增益!$W:$W,0))+$I$5</f>
        <v>0.31</v>
      </c>
    </row>
    <row r="64" spans="1:69">
      <c r="A64" t="s">
        <v>182</v>
      </c>
      <c r="B64">
        <v>3.5</v>
      </c>
      <c r="C64"/>
      <c r="D64" s="42" t="s">
        <v>154</v>
      </c>
      <c r="G64">
        <v>-50</v>
      </c>
      <c r="K64" s="41">
        <f t="shared" si="31"/>
        <v>44253.3559064767</v>
      </c>
      <c r="L64" s="41">
        <f>((($AN64+$AO64)/2*$AH64+$AI64)*(1+$AP64)*(1+$AQ64)+(($AS64+$AT64)/2*IF($G$1="鸣金",$AJ64,$AH64)+IF($G$1="鸣金",$AK64*1.5,0))*(1+$AU64)*(1+$AV64)+(($AW64+$AX64)/2*IF($G$1="裂石",$AJ64,$AH64)+IF($G$1="裂石",$AK64*1.5,0))*(1+$AY64)*(1+$AZ64)+(($BA64+$BB64)/2*IF($G$1="牵丝",$AJ64,$AH64)+IF($G$1="牵丝",$AK64*1.5,0))*(1+$BC64)*(1+$BD64)+(($BE64+$BF64)/2*IF($G$1="破竹",$AJ64,$AH64)+IF($G$1="破竹",$AK64*1.5,0))*(1+$BG64)*(1+$BH64))*(1+$AL64)*$BK64*$P64*(1+IF(VLOOKUP($Q64,武学奇术!$A:$ZZ,30,FALSE)="回旋伞",$B$21,0))*(1+$BQ64)</f>
        <v>46343.6004438862</v>
      </c>
      <c r="M64" s="41">
        <f>(($AO64*$AH64+$AI64)*(1+$AP64)*(1+$AQ64)+($AT64*IF($G$1="鸣金",$AJ64,$AH64)+IF($G$1="鸣金",$AK64*1.5,0))*(1+$AU64)*(1+$AV64)+($AX64*IF($G$1="裂石",$AJ64,$AH64)+IF($G$1="裂石",$AK64*1.5,0))*(1+$AY64)*(1+$AZ64)+($BB64*IF($G$1="牵丝",$AJ64,$AH64)+IF($G$1="牵丝",$AK64*1.5,0))*(1+$BC64)*(1+$BD64)+($BF64*IF($G$1="破竹",$AJ64,$AH64)+IF($G$1="破竹",$AK64*1.5,0))*(1+$BG64)*(1+$BH64))*(1+$AL64)*$BM64*$P64*(1+IF(VLOOKUP($Q64,武学奇术!$A:$ZZ,30,FALSE)="回旋伞",$B$21,0))*(1+$BQ64)</f>
        <v>38076.2716025177</v>
      </c>
      <c r="N64" s="41">
        <f>((($AN64+$AO64)/2*$AH64+$AI64)*(1+$AP64)*(1+$AQ64)+(($AS64+$AT64)/2*IF($G$1="鸣金",$AJ64,$AH64)+IF($G$1="鸣金",$AK64*1.5,0))*(1+$AU64)*(1+$AV64)+(($AW64+$AX64)/2*IF($G$1="裂石",$AJ64,$AH64)+IF($G$1="裂石",$AK64*1.5,0))*(1+$AY64)*(1+$AZ64)+(($BA64+$BB64)/2*IF($G$1="牵丝",$AJ64,$AH64)+IF($G$1="牵丝",$AK64*1.5,0))*(1+$BC64)*(1+$BD64)+(($BE64+$BF64)/2*IF($G$1="破竹",$AJ64,$AH64)+IF($G$1="破竹",$AK64*1.5,0))*(1+$BG64)*(1+$BH64))*(1+$AL64)*$P64*(1+IF(VLOOKUP($Q64,武学奇术!$A:$ZZ,30,FALSE)="回旋伞",$B$21,0))*(1+$BQ64)</f>
        <v>24782.6740341638</v>
      </c>
      <c r="O64" s="41">
        <f>((($AN64*$AH64+$AI64)*(1+$AP64)*(1+$AQ64)+($AS64*IF($G$1="鸣金",$AJ64,$AH64)+IF($G$1="鸣金",$AK64*1.5,0))*(1+$AU64)*(1+$AV64)+($AW64*IF($G$1="裂石",$AJ64,$AH64)+IF($G$1="裂石",$AK64*1.5,0))*(1+$AY64)*(1+$AZ64)+($BA64*IF($G$1="牵丝",$AJ64,$AH64)+IF($G$1="牵丝",$AK64*1.5,0))*(1+$BC64)*(1+$BD64)+($BE64*IF($G$1="破竹",$AJ64,$AH64)+IF($G$1="破竹",$AK64*1.5,0))*(1+$BG64)*(1+$BH64))*(1+$AL64))*$P64*(1+IF(VLOOKUP($Q64,武学奇术!$A:$ZZ,30,FALSE)="回旋伞",$B$21,0))*(1+$BQ64)</f>
        <v>21360.7024368329</v>
      </c>
      <c r="P64" s="42">
        <v>2</v>
      </c>
      <c r="Q64" s="43" t="s">
        <v>120</v>
      </c>
      <c r="R64" s="43" t="s">
        <v>105</v>
      </c>
      <c r="S64" s="43" t="s">
        <v>91</v>
      </c>
      <c r="T64" s="43" t="s">
        <v>72</v>
      </c>
      <c r="U64" s="43" t="s">
        <v>79</v>
      </c>
      <c r="V64" s="43" t="s">
        <v>167</v>
      </c>
      <c r="W64" s="43" t="s">
        <v>95</v>
      </c>
      <c r="X64" s="43" t="s">
        <v>82</v>
      </c>
      <c r="Y64" s="43" t="s">
        <v>71</v>
      </c>
      <c r="Z64" s="43" t="s">
        <v>71</v>
      </c>
      <c r="AA64" s="43" t="s">
        <v>71</v>
      </c>
      <c r="AB64" s="43" t="s">
        <v>71</v>
      </c>
      <c r="AC64" s="43" t="s">
        <v>71</v>
      </c>
      <c r="AD64" s="43" t="s">
        <v>71</v>
      </c>
      <c r="AE64" s="43" t="s">
        <v>71</v>
      </c>
      <c r="AF64" s="43" t="s">
        <v>76</v>
      </c>
      <c r="AG64" t="str">
        <f>VLOOKUP($Q64,武学奇术!$A:$ZZ,25,FALSE)</f>
        <v>伞</v>
      </c>
      <c r="AH64" s="30">
        <f>VLOOKUP($Q64,武学奇术!$A:$ZZ,26,FALSE)</f>
        <v>0.54</v>
      </c>
      <c r="AI64" s="31">
        <f>VLOOKUP($Q64,武学奇术!$A:$ZZ,27,FALSE)*(1+IF(OR($AG64=$F$4,$AG64=$F$5),$B$22,0))</f>
        <v>0</v>
      </c>
      <c r="AJ64" s="30">
        <f>VLOOKUP($Q64,武学奇术!$A:$ZZ,28,FALSE)</f>
        <v>0.81</v>
      </c>
      <c r="AK64" s="31">
        <f>VLOOKUP($Q64,武学奇术!$A:$ZZ,29,FALSE)*(1+IF(OR($AG64=$F$4,$AG64=$F$5),$B$22,0))</f>
        <v>0</v>
      </c>
      <c r="AL64" s="30" cm="1">
        <f t="array" ref="AL64">$G$3+IFERROR(VLOOKUP($AG64,$F$4:$G$7,2,FALSE),0)+VLOOKUP($Q64,武学奇术!$A:$ZZ,2,FALSE)+SUM(_xlfn.XLOOKUP($R64:$AF64,增益!$A:$A,增益!$B:$B,0))</f>
        <v>1.0541</v>
      </c>
      <c r="AM64" s="30" cm="1">
        <f t="array" ref="AM64">VLOOKUP($Q64,武学奇术!$A:$ZZ,5,FALSE)+SUM(_xlfn.XLOOKUP($R64:$AF64,增益!$A:$A,增益!$E:$E,0))</f>
        <v>0</v>
      </c>
      <c r="AN64" cm="1">
        <f t="array" ref="AN64">$D$10*(1+$AM64)+VLOOKUP($Q64,武学奇术!$A:$ZZ,3,FALSE)+SUM(_xlfn.XLOOKUP($R64:$AF64,增益!$A:$A,增益!$C:$C,0))-$I$2</f>
        <v>3545.8</v>
      </c>
      <c r="AO64" cm="1">
        <f t="array" ref="AO64">$E$10*(1+$AM64)+VLOOKUP($Q64,武学奇术!$A:$ZZ,4,FALSE)+SUM(_xlfn.XLOOKUP($R64:$AF64,增益!$A:$A,增益!$D:$D,0))-$I$2</f>
        <v>3545.8</v>
      </c>
      <c r="AP64" s="35" cm="1">
        <f t="array" ref="AP64">IF($F$10-$I$3+VLOOKUP($Q64,武学奇术!$A:$ZZ,6,FALSE)+SUM(_xlfn.XLOOKUP(R64:AF64,增益!$A:$A,增益!$F:$F,0))&gt;0,($F$10-$I$3+VLOOKUP($Q64,武学奇术!$A:$ZZ,6,FALSE)+SUM(_xlfn.XLOOKUP(R64:AF64,增益!$A:$A,增益!$F:$F,0)))/200,($F$10-$I$3+VLOOKUP($Q64,武学奇术!$A:$ZZ,6,FALSE)+SUM(_xlfn.XLOOKUP(R64:AF64,增益!$A:$A,增益!$F:$F,0)))/100)</f>
        <v>0.3425</v>
      </c>
      <c r="AQ64" s="35" cm="1">
        <f t="array" ref="AQ64">$G$10+VLOOKUP($Q64,武学奇术!$A:$ZZ,7,FALSE)+SUM(_xlfn.XLOOKUP(R64:AF64,增益!$A:$A,增益!$G:$G,0))</f>
        <v>0.148</v>
      </c>
      <c r="AR64" s="30" cm="1">
        <f t="array" ref="AR64">VLOOKUP($Q64,武学奇术!$A:$ZZ,8,FALSE)+SUM(_xlfn.XLOOKUP(R64:AF64,增益!$A:$A,增益!$H:$H,0))</f>
        <v>0</v>
      </c>
      <c r="AS64">
        <f t="shared" si="23"/>
        <v>0</v>
      </c>
      <c r="AT64">
        <f t="shared" si="24"/>
        <v>0</v>
      </c>
      <c r="AU64" s="35" cm="1">
        <f t="array" ref="AU64">IF($F$11-$I$4+VLOOKUP($Q64,武学奇术!$A:$ZZ,9,FALSE)+SUM(_xlfn.XLOOKUP(R64:AF64,增益!$A:$A,增益!$I:$I,0))&gt;0,($F$11-$I$4+VLOOKUP($Q64,武学奇术!$A:$ZZ,9,FALSE)+SUM(_xlfn.XLOOKUP(R64:AF64,增益!$A:$A,增益!$I:$I,0)))/200,($F$11-$I$4+VLOOKUP($Q64,武学奇术!$A:$ZZ,9,FALSE)+SUM(_xlfn.XLOOKUP(R64:AF64,增益!$A:$A,增益!$I:$I,0)))/100)</f>
        <v>-0.14</v>
      </c>
      <c r="AV64" s="35" cm="1">
        <f t="array" ref="AV64">$G$11+VLOOKUP($Q64,武学奇术!$A:$ZZ,10,FALSE)+SUM(_xlfn.XLOOKUP(R64:AF64,增益!$A:$A,增益!$J:$J,0))</f>
        <v>0</v>
      </c>
      <c r="AW64">
        <f t="shared" si="25"/>
        <v>0</v>
      </c>
      <c r="AX64">
        <f t="shared" si="26"/>
        <v>0</v>
      </c>
      <c r="AY64" s="35" cm="1">
        <f t="array" ref="AY64">IF($F$12-$I$4+VLOOKUP($Q64,武学奇术!$A:$ZZ,11,FALSE)+SUM(_xlfn.XLOOKUP(R64:AF64,增益!$A:$A,增益!$K:$K,0))&gt;0,($F$12-$I$4+VLOOKUP($Q64,武学奇术!$A:$ZZ,11,FALSE)+SUM(_xlfn.XLOOKUP(R64:AF64,增益!$A:$A,增益!$K:$K,0)))/200,($F$12-$I$4+VLOOKUP($Q64,武学奇术!$A:$ZZ,11,FALSE)+SUM(_xlfn.XLOOKUP(R64:AF64,增益!$A:$A,增益!$K:$K,0)))/100)</f>
        <v>-0.14</v>
      </c>
      <c r="AZ64" s="35" cm="1">
        <f t="array" ref="AZ64">$G$12+VLOOKUP($Q64,武学奇术!$A:$ZZ,12,FALSE)+SUM(_xlfn.XLOOKUP(R64:AF64,增益!$A:$A,增益!$L:$L,0))</f>
        <v>0</v>
      </c>
      <c r="BA64">
        <f t="shared" si="27"/>
        <v>0</v>
      </c>
      <c r="BB64">
        <f t="shared" si="28"/>
        <v>0</v>
      </c>
      <c r="BC64" s="35" cm="1">
        <f t="array" ref="BC64">IF($F$13-$I$4+VLOOKUP($Q64,武学奇术!$A:$ZZ,13,FALSE)+SUM(_xlfn.XLOOKUP(R64:AF64,增益!$A:$A,增益!$M:$M,0))&gt;0,($F$13-$I$4+VLOOKUP($Q64,武学奇术!$A:$ZZ,13,FALSE)+SUM(_xlfn.XLOOKUP(R64:AF64,增益!$A:$A,增益!$K:$K,0)))/200,($F$13-$I$4+VLOOKUP($Q64,武学奇术!$A:$ZZ,13,FALSE)+SUM(_xlfn.XLOOKUP(R64:AF64,增益!$A:$A,增益!$M:$M,0)))/100)</f>
        <v>-0.14</v>
      </c>
      <c r="BD64" s="35" cm="1">
        <f t="array" ref="BD64">$G$13+VLOOKUP($Q64,武学奇术!$A:$ZZ,14,FALSE)+SUM(_xlfn.XLOOKUP(R64:AF64,增益!$A:$A,增益!$N:$N,0))</f>
        <v>0</v>
      </c>
      <c r="BE64">
        <f t="shared" si="29"/>
        <v>538</v>
      </c>
      <c r="BF64">
        <f t="shared" si="30"/>
        <v>1561.4</v>
      </c>
      <c r="BG64" s="35" cm="1">
        <f t="array" ref="BG64">IF($F$14-$I$4+VLOOKUP($Q64,武学奇术!$A:$ZZ,15,FALSE)+SUM(_xlfn.XLOOKUP(R64:AF64,增益!$A:$A,增益!$O:$O,0))&gt;0,($F$14-$I$4+VLOOKUP($Q64,武学奇术!$A:$ZZ,15,FALSE)+SUM(_xlfn.XLOOKUP(R64:AF64,增益!$A:$A,增益!$O:$O,0)))/200,($F$14-$I$4+VLOOKUP($Q64,武学奇术!$A:$ZZ,15,FALSE)+SUM(_xlfn.XLOOKUP(R64:AF64,增益!$A:$A,增益!$O:$O,0)))/100)</f>
        <v>0.08</v>
      </c>
      <c r="BH64" s="35" cm="1">
        <f t="array" ref="BH64">$G$14+VLOOKUP($Q64,武学奇术!$A:$ZZ,16,FALSE)+SUM(_xlfn.XLOOKUP(R64:AF64,增益!$A:$A,增益!$P:$P,0))</f>
        <v>0.27</v>
      </c>
      <c r="BI64" s="30">
        <f>MIN(IF(VLOOKUP($Q64,武学奇术!$A:$ZZ,23,FALSE)=1,100%,$B$8),100%)</f>
        <v>0.9712</v>
      </c>
      <c r="BJ64" s="30" cm="1">
        <f t="array" ref="BJ64">IF(VLOOKUP($Q64,武学奇术!$A:$ZZ,23,FALSE)=1,100%,MIN(80%,$B$9+VLOOKUP($Q64,武学奇术!$A:$ZZ,17,FALSE)+SUM(_xlfn.XLOOKUP(R64:AF64,增益!$A:$A,增益!$Q:$Q,0)))+$B$11+SUM(_xlfn.XLOOKUP(R64:AF64,增益!$A:$A,增益!$U:$U,0)))*IF(VLOOKUP($Q64,武学奇术!$A:$ZZ,24,FALSE)=1,0,1)</f>
        <v>0.8773</v>
      </c>
      <c r="BK64" s="30" cm="1">
        <f t="array" ref="BK64">1+$B$13+VLOOKUP($Q64,武学奇术!$A:$ZZ,18,FALSE)+SUM(_xlfn.XLOOKUP(R64:AF64,增益!$A:$A,增益!$R:$R,0))</f>
        <v>1.87</v>
      </c>
      <c r="BL64" s="30" cm="1">
        <f t="array" ref="BL64">IF(VLOOKUP($Q64,武学奇术!$A:$ZZ,24,FALSE)=1,100%,MIN(40%,$B$10+VLOOKUP($Q64,武学奇术!$A:$ZZ,19,FALSE)+SUM(_xlfn.XLOOKUP(R64:AF64,增益!$A:$A,增益!$S:$S,0)))+$B$12+SUM(_xlfn.XLOOKUP(R64:AF64,增益!$A:$A,增益!$V:$V,0)))*IF(VLOOKUP($Q64,武学奇术!$A:$ZZ,23,FALSE)=1,0,1)</f>
        <v>0.0895</v>
      </c>
      <c r="BM64" s="30" cm="1">
        <f t="array" ref="BM64">1+$B$14+VLOOKUP($Q64,武学奇术!$A:$ZZ,20,FALSE)+SUM(_xlfn.XLOOKUP(R64:AF64,增益!$A:$A,增益!$T:$T,0))</f>
        <v>1.35</v>
      </c>
      <c r="BN64" s="30">
        <f t="shared" si="22"/>
        <v>0.85203376</v>
      </c>
      <c r="BO64" s="30">
        <f t="shared" si="17"/>
        <v>0.03224384</v>
      </c>
      <c r="BP64" s="30">
        <f>IF(VLOOKUP($Q64,武学奇术!$A:$ZZ,22,FALSE)=1,0,(1-$BI64))*(1-$BL64)</f>
        <v>0.0262224</v>
      </c>
      <c r="BQ64" s="30" cm="1">
        <f t="array" ref="BQ64">SUM(_xlfn.XLOOKUP(R64:AF64,增益!$A:$A,增益!$W:$W,0))+$I$5</f>
        <v>0.11</v>
      </c>
    </row>
    <row r="65" spans="1:69">
      <c r="A65" s="4" t="s">
        <v>165</v>
      </c>
      <c r="B65" s="4">
        <v>2.6</v>
      </c>
      <c r="C65"/>
      <c r="D65" s="42"/>
      <c r="K65" s="41">
        <f t="shared" si="31"/>
        <v>44253.3559064767</v>
      </c>
      <c r="L65" s="41">
        <f>((($AN65+$AO65)/2*$AH65+$AI65)*(1+$AP65)*(1+$AQ65)+(($AS65+$AT65)/2*IF($G$1="鸣金",$AJ65,$AH65)+IF($G$1="鸣金",$AK65*1.5,0))*(1+$AU65)*(1+$AV65)+(($AW65+$AX65)/2*IF($G$1="裂石",$AJ65,$AH65)+IF($G$1="裂石",$AK65*1.5,0))*(1+$AY65)*(1+$AZ65)+(($BA65+$BB65)/2*IF($G$1="牵丝",$AJ65,$AH65)+IF($G$1="牵丝",$AK65*1.5,0))*(1+$BC65)*(1+$BD65)+(($BE65+$BF65)/2*IF($G$1="破竹",$AJ65,$AH65)+IF($G$1="破竹",$AK65*1.5,0))*(1+$BG65)*(1+$BH65))*(1+$AL65)*$BK65*$P65*(1+IF(VLOOKUP($Q65,武学奇术!$A:$ZZ,30,FALSE)="回旋伞",$B$21,0))*(1+$BQ65)</f>
        <v>46343.6004438862</v>
      </c>
      <c r="M65" s="41">
        <f>(($AO65*$AH65+$AI65)*(1+$AP65)*(1+$AQ65)+($AT65*IF($G$1="鸣金",$AJ65,$AH65)+IF($G$1="鸣金",$AK65*1.5,0))*(1+$AU65)*(1+$AV65)+($AX65*IF($G$1="裂石",$AJ65,$AH65)+IF($G$1="裂石",$AK65*1.5,0))*(1+$AY65)*(1+$AZ65)+($BB65*IF($G$1="牵丝",$AJ65,$AH65)+IF($G$1="牵丝",$AK65*1.5,0))*(1+$BC65)*(1+$BD65)+($BF65*IF($G$1="破竹",$AJ65,$AH65)+IF($G$1="破竹",$AK65*1.5,0))*(1+$BG65)*(1+$BH65))*(1+$AL65)*$BM65*$P65*(1+IF(VLOOKUP($Q65,武学奇术!$A:$ZZ,30,FALSE)="回旋伞",$B$21,0))*(1+$BQ65)</f>
        <v>38076.2716025177</v>
      </c>
      <c r="N65" s="41">
        <f>((($AN65+$AO65)/2*$AH65+$AI65)*(1+$AP65)*(1+$AQ65)+(($AS65+$AT65)/2*IF($G$1="鸣金",$AJ65,$AH65)+IF($G$1="鸣金",$AK65*1.5,0))*(1+$AU65)*(1+$AV65)+(($AW65+$AX65)/2*IF($G$1="裂石",$AJ65,$AH65)+IF($G$1="裂石",$AK65*1.5,0))*(1+$AY65)*(1+$AZ65)+(($BA65+$BB65)/2*IF($G$1="牵丝",$AJ65,$AH65)+IF($G$1="牵丝",$AK65*1.5,0))*(1+$BC65)*(1+$BD65)+(($BE65+$BF65)/2*IF($G$1="破竹",$AJ65,$AH65)+IF($G$1="破竹",$AK65*1.5,0))*(1+$BG65)*(1+$BH65))*(1+$AL65)*$P65*(1+IF(VLOOKUP($Q65,武学奇术!$A:$ZZ,30,FALSE)="回旋伞",$B$21,0))*(1+$BQ65)</f>
        <v>24782.6740341638</v>
      </c>
      <c r="O65" s="41">
        <f>((($AN65*$AH65+$AI65)*(1+$AP65)*(1+$AQ65)+($AS65*IF($G$1="鸣金",$AJ65,$AH65)+IF($G$1="鸣金",$AK65*1.5,0))*(1+$AU65)*(1+$AV65)+($AW65*IF($G$1="裂石",$AJ65,$AH65)+IF($G$1="裂石",$AK65*1.5,0))*(1+$AY65)*(1+$AZ65)+($BA65*IF($G$1="牵丝",$AJ65,$AH65)+IF($G$1="牵丝",$AK65*1.5,0))*(1+$BC65)*(1+$BD65)+($BE65*IF($G$1="破竹",$AJ65,$AH65)+IF($G$1="破竹",$AK65*1.5,0))*(1+$BG65)*(1+$BH65))*(1+$AL65))*$P65*(1+IF(VLOOKUP($Q65,武学奇术!$A:$ZZ,30,FALSE)="回旋伞",$B$21,0))*(1+$BQ65)</f>
        <v>21360.7024368329</v>
      </c>
      <c r="P65" s="42">
        <v>2</v>
      </c>
      <c r="Q65" s="43" t="s">
        <v>120</v>
      </c>
      <c r="R65" s="43" t="s">
        <v>105</v>
      </c>
      <c r="S65" s="43" t="s">
        <v>91</v>
      </c>
      <c r="T65" s="43" t="s">
        <v>72</v>
      </c>
      <c r="U65" s="43" t="s">
        <v>79</v>
      </c>
      <c r="V65" s="43" t="s">
        <v>167</v>
      </c>
      <c r="W65" s="43" t="s">
        <v>95</v>
      </c>
      <c r="X65" s="43" t="s">
        <v>82</v>
      </c>
      <c r="Y65" s="43" t="s">
        <v>71</v>
      </c>
      <c r="Z65" s="43" t="s">
        <v>71</v>
      </c>
      <c r="AA65" s="43" t="s">
        <v>109</v>
      </c>
      <c r="AB65" s="43" t="s">
        <v>71</v>
      </c>
      <c r="AC65" s="43" t="s">
        <v>71</v>
      </c>
      <c r="AD65" s="43" t="s">
        <v>71</v>
      </c>
      <c r="AE65" s="43" t="s">
        <v>71</v>
      </c>
      <c r="AF65" s="43" t="s">
        <v>76</v>
      </c>
      <c r="AG65" t="str">
        <f>VLOOKUP($Q65,武学奇术!$A:$ZZ,25,FALSE)</f>
        <v>伞</v>
      </c>
      <c r="AH65" s="30">
        <f>VLOOKUP($Q65,武学奇术!$A:$ZZ,26,FALSE)</f>
        <v>0.54</v>
      </c>
      <c r="AI65" s="31">
        <f>VLOOKUP($Q65,武学奇术!$A:$ZZ,27,FALSE)*(1+IF(OR($AG65=$F$4,$AG65=$F$5),$B$22,0))</f>
        <v>0</v>
      </c>
      <c r="AJ65" s="30">
        <f>VLOOKUP($Q65,武学奇术!$A:$ZZ,28,FALSE)</f>
        <v>0.81</v>
      </c>
      <c r="AK65" s="31">
        <f>VLOOKUP($Q65,武学奇术!$A:$ZZ,29,FALSE)*(1+IF(OR($AG65=$F$4,$AG65=$F$5),$B$22,0))</f>
        <v>0</v>
      </c>
      <c r="AL65" s="30" cm="1">
        <f t="array" ref="AL65">$G$3+IFERROR(VLOOKUP($AG65,$F$4:$G$7,2,FALSE),0)+VLOOKUP($Q65,武学奇术!$A:$ZZ,2,FALSE)+SUM(_xlfn.XLOOKUP($R65:$AF65,增益!$A:$A,增益!$B:$B,0))</f>
        <v>1.0541</v>
      </c>
      <c r="AM65" s="30" cm="1">
        <f t="array" ref="AM65">VLOOKUP($Q65,武学奇术!$A:$ZZ,5,FALSE)+SUM(_xlfn.XLOOKUP($R65:$AF65,增益!$A:$A,增益!$E:$E,0))</f>
        <v>0</v>
      </c>
      <c r="AN65" cm="1">
        <f t="array" ref="AN65">$D$10*(1+$AM65)+VLOOKUP($Q65,武学奇术!$A:$ZZ,3,FALSE)+SUM(_xlfn.XLOOKUP($R65:$AF65,增益!$A:$A,增益!$C:$C,0))-$I$2</f>
        <v>3545.8</v>
      </c>
      <c r="AO65" cm="1">
        <f t="array" ref="AO65">$E$10*(1+$AM65)+VLOOKUP($Q65,武学奇术!$A:$ZZ,4,FALSE)+SUM(_xlfn.XLOOKUP($R65:$AF65,增益!$A:$A,增益!$D:$D,0))-$I$2</f>
        <v>3545.8</v>
      </c>
      <c r="AP65" s="35" cm="1">
        <f t="array" ref="AP65">IF($F$10-$I$3+VLOOKUP($Q65,武学奇术!$A:$ZZ,6,FALSE)+SUM(_xlfn.XLOOKUP(R65:AF65,增益!$A:$A,增益!$F:$F,0))&gt;0,($F$10-$I$3+VLOOKUP($Q65,武学奇术!$A:$ZZ,6,FALSE)+SUM(_xlfn.XLOOKUP(R65:AF65,增益!$A:$A,增益!$F:$F,0)))/200,($F$10-$I$3+VLOOKUP($Q65,武学奇术!$A:$ZZ,6,FALSE)+SUM(_xlfn.XLOOKUP(R65:AF65,增益!$A:$A,增益!$F:$F,0)))/100)</f>
        <v>0.3425</v>
      </c>
      <c r="AQ65" s="35" cm="1">
        <f t="array" ref="AQ65">$G$10+VLOOKUP($Q65,武学奇术!$A:$ZZ,7,FALSE)+SUM(_xlfn.XLOOKUP(R65:AF65,增益!$A:$A,增益!$G:$G,0))</f>
        <v>0.148</v>
      </c>
      <c r="AR65" s="30" cm="1">
        <f t="array" ref="AR65">VLOOKUP($Q65,武学奇术!$A:$ZZ,8,FALSE)+SUM(_xlfn.XLOOKUP(R65:AF65,增益!$A:$A,增益!$H:$H,0))</f>
        <v>0</v>
      </c>
      <c r="AS65">
        <f t="shared" si="23"/>
        <v>0</v>
      </c>
      <c r="AT65">
        <f t="shared" si="24"/>
        <v>0</v>
      </c>
      <c r="AU65" s="35" cm="1">
        <f t="array" ref="AU65">IF($F$11-$I$4+VLOOKUP($Q65,武学奇术!$A:$ZZ,9,FALSE)+SUM(_xlfn.XLOOKUP(R65:AF65,增益!$A:$A,增益!$I:$I,0))&gt;0,($F$11-$I$4+VLOOKUP($Q65,武学奇术!$A:$ZZ,9,FALSE)+SUM(_xlfn.XLOOKUP(R65:AF65,增益!$A:$A,增益!$I:$I,0)))/200,($F$11-$I$4+VLOOKUP($Q65,武学奇术!$A:$ZZ,9,FALSE)+SUM(_xlfn.XLOOKUP(R65:AF65,增益!$A:$A,增益!$I:$I,0)))/100)</f>
        <v>-0.14</v>
      </c>
      <c r="AV65" s="35" cm="1">
        <f t="array" ref="AV65">$G$11+VLOOKUP($Q65,武学奇术!$A:$ZZ,10,FALSE)+SUM(_xlfn.XLOOKUP(R65:AF65,增益!$A:$A,增益!$J:$J,0))</f>
        <v>0</v>
      </c>
      <c r="AW65">
        <f t="shared" si="25"/>
        <v>0</v>
      </c>
      <c r="AX65">
        <f t="shared" si="26"/>
        <v>0</v>
      </c>
      <c r="AY65" s="35" cm="1">
        <f t="array" ref="AY65">IF($F$12-$I$4+VLOOKUP($Q65,武学奇术!$A:$ZZ,11,FALSE)+SUM(_xlfn.XLOOKUP(R65:AF65,增益!$A:$A,增益!$K:$K,0))&gt;0,($F$12-$I$4+VLOOKUP($Q65,武学奇术!$A:$ZZ,11,FALSE)+SUM(_xlfn.XLOOKUP(R65:AF65,增益!$A:$A,增益!$K:$K,0)))/200,($F$12-$I$4+VLOOKUP($Q65,武学奇术!$A:$ZZ,11,FALSE)+SUM(_xlfn.XLOOKUP(R65:AF65,增益!$A:$A,增益!$K:$K,0)))/100)</f>
        <v>-0.14</v>
      </c>
      <c r="AZ65" s="35" cm="1">
        <f t="array" ref="AZ65">$G$12+VLOOKUP($Q65,武学奇术!$A:$ZZ,12,FALSE)+SUM(_xlfn.XLOOKUP(R65:AF65,增益!$A:$A,增益!$L:$L,0))</f>
        <v>0</v>
      </c>
      <c r="BA65">
        <f t="shared" si="27"/>
        <v>0</v>
      </c>
      <c r="BB65">
        <f t="shared" si="28"/>
        <v>0</v>
      </c>
      <c r="BC65" s="35" cm="1">
        <f t="array" ref="BC65">IF($F$13-$I$4+VLOOKUP($Q65,武学奇术!$A:$ZZ,13,FALSE)+SUM(_xlfn.XLOOKUP(R65:AF65,增益!$A:$A,增益!$M:$M,0))&gt;0,($F$13-$I$4+VLOOKUP($Q65,武学奇术!$A:$ZZ,13,FALSE)+SUM(_xlfn.XLOOKUP(R65:AF65,增益!$A:$A,增益!$K:$K,0)))/200,($F$13-$I$4+VLOOKUP($Q65,武学奇术!$A:$ZZ,13,FALSE)+SUM(_xlfn.XLOOKUP(R65:AF65,增益!$A:$A,增益!$M:$M,0)))/100)</f>
        <v>-0.14</v>
      </c>
      <c r="BD65" s="35" cm="1">
        <f t="array" ref="BD65">$G$13+VLOOKUP($Q65,武学奇术!$A:$ZZ,14,FALSE)+SUM(_xlfn.XLOOKUP(R65:AF65,增益!$A:$A,增益!$N:$N,0))</f>
        <v>0</v>
      </c>
      <c r="BE65">
        <f t="shared" si="29"/>
        <v>538</v>
      </c>
      <c r="BF65">
        <f t="shared" si="30"/>
        <v>1561.4</v>
      </c>
      <c r="BG65" s="35" cm="1">
        <f t="array" ref="BG65">IF($F$14-$I$4+VLOOKUP($Q65,武学奇术!$A:$ZZ,15,FALSE)+SUM(_xlfn.XLOOKUP(R65:AF65,增益!$A:$A,增益!$O:$O,0))&gt;0,($F$14-$I$4+VLOOKUP($Q65,武学奇术!$A:$ZZ,15,FALSE)+SUM(_xlfn.XLOOKUP(R65:AF65,增益!$A:$A,增益!$O:$O,0)))/200,($F$14-$I$4+VLOOKUP($Q65,武学奇术!$A:$ZZ,15,FALSE)+SUM(_xlfn.XLOOKUP(R65:AF65,增益!$A:$A,增益!$O:$O,0)))/100)</f>
        <v>0.08</v>
      </c>
      <c r="BH65" s="35" cm="1">
        <f t="array" ref="BH65">$G$14+VLOOKUP($Q65,武学奇术!$A:$ZZ,16,FALSE)+SUM(_xlfn.XLOOKUP(R65:AF65,增益!$A:$A,增益!$P:$P,0))</f>
        <v>0.27</v>
      </c>
      <c r="BI65" s="30">
        <f>MIN(IF(VLOOKUP($Q65,武学奇术!$A:$ZZ,23,FALSE)=1,100%,$B$8),100%)</f>
        <v>0.9712</v>
      </c>
      <c r="BJ65" s="30" cm="1">
        <f t="array" ref="BJ65">IF(VLOOKUP($Q65,武学奇术!$A:$ZZ,23,FALSE)=1,100%,MIN(80%,$B$9+VLOOKUP($Q65,武学奇术!$A:$ZZ,17,FALSE)+SUM(_xlfn.XLOOKUP(R65:AF65,增益!$A:$A,增益!$Q:$Q,0)))+$B$11+SUM(_xlfn.XLOOKUP(R65:AF65,增益!$A:$A,增益!$U:$U,0)))*IF(VLOOKUP($Q65,武学奇术!$A:$ZZ,24,FALSE)=1,0,1)</f>
        <v>0.8773</v>
      </c>
      <c r="BK65" s="30" cm="1">
        <f t="array" ref="BK65">1+$B$13+VLOOKUP($Q65,武学奇术!$A:$ZZ,18,FALSE)+SUM(_xlfn.XLOOKUP(R65:AF65,增益!$A:$A,增益!$R:$R,0))</f>
        <v>1.87</v>
      </c>
      <c r="BL65" s="30" cm="1">
        <f t="array" ref="BL65">IF(VLOOKUP($Q65,武学奇术!$A:$ZZ,24,FALSE)=1,100%,MIN(40%,$B$10+VLOOKUP($Q65,武学奇术!$A:$ZZ,19,FALSE)+SUM(_xlfn.XLOOKUP(R65:AF65,增益!$A:$A,增益!$S:$S,0)))+$B$12+SUM(_xlfn.XLOOKUP(R65:AF65,增益!$A:$A,增益!$V:$V,0)))*IF(VLOOKUP($Q65,武学奇术!$A:$ZZ,23,FALSE)=1,0,1)</f>
        <v>0.0895</v>
      </c>
      <c r="BM65" s="30" cm="1">
        <f t="array" ref="BM65">1+$B$14+VLOOKUP($Q65,武学奇术!$A:$ZZ,20,FALSE)+SUM(_xlfn.XLOOKUP(R65:AF65,增益!$A:$A,增益!$T:$T,0))</f>
        <v>1.35</v>
      </c>
      <c r="BN65" s="30">
        <f t="shared" si="22"/>
        <v>0.85203376</v>
      </c>
      <c r="BO65" s="30">
        <f t="shared" si="17"/>
        <v>0.03224384</v>
      </c>
      <c r="BP65" s="30">
        <f>IF(VLOOKUP($Q65,武学奇术!$A:$ZZ,22,FALSE)=1,0,(1-$BI65))*(1-$BL65)</f>
        <v>0.0262224</v>
      </c>
      <c r="BQ65" s="30" cm="1">
        <f t="array" ref="BQ65">SUM(_xlfn.XLOOKUP(R65:AF65,增益!$A:$A,增益!$W:$W,0))+$I$5</f>
        <v>0.11</v>
      </c>
    </row>
    <row r="66" spans="1:69">
      <c r="A66" s="4" t="s">
        <v>183</v>
      </c>
      <c r="B66" s="4">
        <v>0.2</v>
      </c>
      <c r="C66"/>
      <c r="D66" s="42"/>
      <c r="G66">
        <v>16</v>
      </c>
      <c r="K66" s="41">
        <f t="shared" si="31"/>
        <v>61085.8774956492</v>
      </c>
      <c r="L66" s="41">
        <f>((($AN66+$AO66)/2*$AH66+$AI66)*(1+$AP66)*(1+$AQ66)+(($AS66+$AT66)/2*IF($G$1="鸣金",$AJ66,$AH66)+IF($G$1="鸣金",$AK66*1.5,0))*(1+$AU66)*(1+$AV66)+(($AW66+$AX66)/2*IF($G$1="裂石",$AJ66,$AH66)+IF($G$1="裂石",$AK66*1.5,0))*(1+$AY66)*(1+$AZ66)+(($BA66+$BB66)/2*IF($G$1="牵丝",$AJ66,$AH66)+IF($G$1="牵丝",$AK66*1.5,0))*(1+$BC66)*(1+$BD66)+(($BE66+$BF66)/2*IF($G$1="破竹",$AJ66,$AH66)+IF($G$1="破竹",$AK66*1.5,0))*(1+$BG66)*(1+$BH66))*(1+$AL66)*$BK66*$P66*(1+IF(VLOOKUP($Q66,武学奇术!$A:$ZZ,30,FALSE)="回旋伞",$B$21,0))*(1+$BQ66)</f>
        <v>64842.8257983016</v>
      </c>
      <c r="M66" s="41">
        <f>(($AO66*$AH66+$AI66)*(1+$AP66)*(1+$AQ66)+($AT66*IF($G$1="鸣金",$AJ66,$AH66)+IF($G$1="鸣金",$AK66*1.5,0))*(1+$AU66)*(1+$AV66)+($AX66*IF($G$1="裂石",$AJ66,$AH66)+IF($G$1="裂石",$AK66*1.5,0))*(1+$AY66)*(1+$AZ66)+($BB66*IF($G$1="牵丝",$AJ66,$AH66)+IF($G$1="牵丝",$AK66*1.5,0))*(1+$BC66)*(1+$BD66)+($BF66*IF($G$1="破竹",$AJ66,$AH66)+IF($G$1="破竹",$AK66*1.5,0))*(1+$BG66)*(1+$BH66))*(1+$AL66)*$BM66*$P66*(1+IF(VLOOKUP($Q66,武学奇术!$A:$ZZ,30,FALSE)="回旋伞",$B$21,0))*(1+$BQ66)</f>
        <v>46339.6009089278</v>
      </c>
      <c r="N66" s="41">
        <f>((($AN66+$AO66)/2*$AH66+$AI66)*(1+$AP66)*(1+$AQ66)+(($AS66+$AT66)/2*IF($G$1="鸣金",$AJ66,$AH66)+IF($G$1="鸣金",$AK66*1.5,0))*(1+$AU66)*(1+$AV66)+(($AW66+$AX66)/2*IF($G$1="裂石",$AJ66,$AH66)+IF($G$1="裂石",$AK66*1.5,0))*(1+$AY66)*(1+$AZ66)+(($BA66+$BB66)/2*IF($G$1="牵丝",$AJ66,$AH66)+IF($G$1="牵丝",$AK66*1.5,0))*(1+$BC66)*(1+$BD66)+(($BE66+$BF66)/2*IF($G$1="破竹",$AJ66,$AH66)+IF($G$1="破竹",$AK66*1.5,0))*(1+$BG66)*(1+$BH66))*(1+$AL66)*$P66*(1+IF(VLOOKUP($Q66,武学奇术!$A:$ZZ,30,FALSE)="回旋伞",$B$21,0))*(1+$BQ66)</f>
        <v>30586.2385841045</v>
      </c>
      <c r="O66" s="41">
        <f>((($AN66*$AH66+$AI66)*(1+$AP66)*(1+$AQ66)+($AS66*IF($G$1="鸣金",$AJ66,$AH66)+IF($G$1="鸣金",$AK66*1.5,0))*(1+$AU66)*(1+$AV66)+($AW66*IF($G$1="裂石",$AJ66,$AH66)+IF($G$1="裂石",$AK66*1.5,0))*(1+$AY66)*(1+$AZ66)+($BA66*IF($G$1="牵丝",$AJ66,$AH66)+IF($G$1="牵丝",$AK66*1.5,0))*(1+$BC66)*(1+$BD66)+($BE66*IF($G$1="破竹",$AJ66,$AH66)+IF($G$1="破竹",$AK66*1.5,0))*(1+$BG66)*(1+$BH66))*(1+$AL66))*$P66*(1+IF(VLOOKUP($Q66,武学奇术!$A:$ZZ,30,FALSE)="回旋伞",$B$21,0))*(1+$BQ66)</f>
        <v>26846.8468652996</v>
      </c>
      <c r="P66" s="42">
        <v>2</v>
      </c>
      <c r="Q66" s="43" t="s">
        <v>120</v>
      </c>
      <c r="R66" s="43" t="s">
        <v>105</v>
      </c>
      <c r="S66" s="43" t="s">
        <v>91</v>
      </c>
      <c r="T66" s="43" t="s">
        <v>72</v>
      </c>
      <c r="U66" s="43" t="s">
        <v>79</v>
      </c>
      <c r="V66" s="43" t="s">
        <v>167</v>
      </c>
      <c r="W66" s="43" t="s">
        <v>95</v>
      </c>
      <c r="X66" s="43" t="s">
        <v>71</v>
      </c>
      <c r="Y66" s="43" t="s">
        <v>177</v>
      </c>
      <c r="Z66" s="43" t="s">
        <v>178</v>
      </c>
      <c r="AA66" s="43" t="s">
        <v>112</v>
      </c>
      <c r="AB66" s="43" t="s">
        <v>179</v>
      </c>
      <c r="AC66" s="43" t="s">
        <v>71</v>
      </c>
      <c r="AD66" s="43" t="s">
        <v>71</v>
      </c>
      <c r="AE66" s="43" t="s">
        <v>71</v>
      </c>
      <c r="AF66" s="43" t="s">
        <v>76</v>
      </c>
      <c r="AG66" t="str">
        <f>VLOOKUP($Q66,武学奇术!$A:$ZZ,25,FALSE)</f>
        <v>伞</v>
      </c>
      <c r="AH66" s="30">
        <f>VLOOKUP($Q66,武学奇术!$A:$ZZ,26,FALSE)</f>
        <v>0.54</v>
      </c>
      <c r="AI66" s="31">
        <f>VLOOKUP($Q66,武学奇术!$A:$ZZ,27,FALSE)*(1+IF(OR($AG66=$F$4,$AG66=$F$5),$B$22,0))</f>
        <v>0</v>
      </c>
      <c r="AJ66" s="30">
        <f>VLOOKUP($Q66,武学奇术!$A:$ZZ,28,FALSE)</f>
        <v>0.81</v>
      </c>
      <c r="AK66" s="31">
        <f>VLOOKUP($Q66,武学奇术!$A:$ZZ,29,FALSE)*(1+IF(OR($AG66=$F$4,$AG66=$F$5),$B$22,0))</f>
        <v>0</v>
      </c>
      <c r="AL66" s="30" cm="1">
        <f t="array" ref="AL66">$G$3+IFERROR(VLOOKUP($AG66,$F$4:$G$7,2,FALSE),0)+VLOOKUP($Q66,武学奇术!$A:$ZZ,2,FALSE)+SUM(_xlfn.XLOOKUP($R66:$AF66,增益!$A:$A,增益!$B:$B,0))</f>
        <v>1.0541</v>
      </c>
      <c r="AM66" s="30" cm="1">
        <f t="array" ref="AM66">VLOOKUP($Q66,武学奇术!$A:$ZZ,5,FALSE)+SUM(_xlfn.XLOOKUP($R66:$AF66,增益!$A:$A,增益!$E:$E,0))</f>
        <v>0</v>
      </c>
      <c r="AN66" cm="1">
        <f t="array" ref="AN66">$D$10*(1+$AM66)+VLOOKUP($Q66,武学奇术!$A:$ZZ,3,FALSE)+SUM(_xlfn.XLOOKUP($R66:$AF66,增益!$A:$A,增益!$C:$C,0))-$I$2</f>
        <v>3545.8</v>
      </c>
      <c r="AO66" cm="1">
        <f t="array" ref="AO66">$E$10*(1+$AM66)+VLOOKUP($Q66,武学奇术!$A:$ZZ,4,FALSE)+SUM(_xlfn.XLOOKUP($R66:$AF66,增益!$A:$A,增益!$D:$D,0))-$I$2</f>
        <v>3545.8</v>
      </c>
      <c r="AP66" s="35" cm="1">
        <f t="array" ref="AP66">IF($F$10-$I$3+VLOOKUP($Q66,武学奇术!$A:$ZZ,6,FALSE)+SUM(_xlfn.XLOOKUP(R66:AF66,增益!$A:$A,增益!$F:$F,0))&gt;0,($F$10-$I$3+VLOOKUP($Q66,武学奇术!$A:$ZZ,6,FALSE)+SUM(_xlfn.XLOOKUP(R66:AF66,增益!$A:$A,增益!$F:$F,0)))/200,($F$10-$I$3+VLOOKUP($Q66,武学奇术!$A:$ZZ,6,FALSE)+SUM(_xlfn.XLOOKUP(R66:AF66,增益!$A:$A,增益!$F:$F,0)))/100)</f>
        <v>0.4675</v>
      </c>
      <c r="AQ66" s="35" cm="1">
        <f t="array" ref="AQ66">$G$10+VLOOKUP($Q66,武学奇术!$A:$ZZ,7,FALSE)+SUM(_xlfn.XLOOKUP(R66:AF66,增益!$A:$A,增益!$G:$G,0))</f>
        <v>0.148</v>
      </c>
      <c r="AR66" s="30" cm="1">
        <f t="array" ref="AR66">VLOOKUP($Q66,武学奇术!$A:$ZZ,8,FALSE)+SUM(_xlfn.XLOOKUP(R66:AF66,增益!$A:$A,增益!$H:$H,0))</f>
        <v>0</v>
      </c>
      <c r="AS66">
        <f t="shared" si="23"/>
        <v>0</v>
      </c>
      <c r="AT66">
        <f t="shared" si="24"/>
        <v>0</v>
      </c>
      <c r="AU66" s="35" cm="1">
        <f t="array" ref="AU66">IF($F$11-$I$4+VLOOKUP($Q66,武学奇术!$A:$ZZ,9,FALSE)+SUM(_xlfn.XLOOKUP(R66:AF66,增益!$A:$A,增益!$I:$I,0))&gt;0,($F$11-$I$4+VLOOKUP($Q66,武学奇术!$A:$ZZ,9,FALSE)+SUM(_xlfn.XLOOKUP(R66:AF66,增益!$A:$A,增益!$I:$I,0)))/200,($F$11-$I$4+VLOOKUP($Q66,武学奇术!$A:$ZZ,9,FALSE)+SUM(_xlfn.XLOOKUP(R66:AF66,增益!$A:$A,增益!$I:$I,0)))/100)</f>
        <v>-0.3</v>
      </c>
      <c r="AV66" s="35" cm="1">
        <f t="array" ref="AV66">$G$11+VLOOKUP($Q66,武学奇术!$A:$ZZ,10,FALSE)+SUM(_xlfn.XLOOKUP(R66:AF66,增益!$A:$A,增益!$J:$J,0))</f>
        <v>0.1</v>
      </c>
      <c r="AW66">
        <f t="shared" si="25"/>
        <v>0</v>
      </c>
      <c r="AX66">
        <f t="shared" si="26"/>
        <v>0</v>
      </c>
      <c r="AY66" s="35" cm="1">
        <f t="array" ref="AY66">IF($F$12-$I$4+VLOOKUP($Q66,武学奇术!$A:$ZZ,11,FALSE)+SUM(_xlfn.XLOOKUP(R66:AF66,增益!$A:$A,增益!$K:$K,0))&gt;0,($F$12-$I$4+VLOOKUP($Q66,武学奇术!$A:$ZZ,11,FALSE)+SUM(_xlfn.XLOOKUP(R66:AF66,增益!$A:$A,增益!$K:$K,0)))/200,($F$12-$I$4+VLOOKUP($Q66,武学奇术!$A:$ZZ,11,FALSE)+SUM(_xlfn.XLOOKUP(R66:AF66,增益!$A:$A,增益!$K:$K,0)))/100)</f>
        <v>-0.3</v>
      </c>
      <c r="AZ66" s="35" cm="1">
        <f t="array" ref="AZ66">$G$12+VLOOKUP($Q66,武学奇术!$A:$ZZ,12,FALSE)+SUM(_xlfn.XLOOKUP(R66:AF66,增益!$A:$A,增益!$L:$L,0))</f>
        <v>0</v>
      </c>
      <c r="BA66">
        <f t="shared" si="27"/>
        <v>0</v>
      </c>
      <c r="BB66">
        <f t="shared" si="28"/>
        <v>0</v>
      </c>
      <c r="BC66" s="35" cm="1">
        <f t="array" ref="BC66">IF($F$13-$I$4+VLOOKUP($Q66,武学奇术!$A:$ZZ,13,FALSE)+SUM(_xlfn.XLOOKUP(R66:AF66,增益!$A:$A,增益!$M:$M,0))&gt;0,($F$13-$I$4+VLOOKUP($Q66,武学奇术!$A:$ZZ,13,FALSE)+SUM(_xlfn.XLOOKUP(R66:AF66,增益!$A:$A,增益!$K:$K,0)))/200,($F$13-$I$4+VLOOKUP($Q66,武学奇术!$A:$ZZ,13,FALSE)+SUM(_xlfn.XLOOKUP(R66:AF66,增益!$A:$A,增益!$M:$M,0)))/100)</f>
        <v>-0.3</v>
      </c>
      <c r="BD66" s="35" cm="1">
        <f t="array" ref="BD66">$G$13+VLOOKUP($Q66,武学奇术!$A:$ZZ,14,FALSE)+SUM(_xlfn.XLOOKUP(R66:AF66,增益!$A:$A,增益!$N:$N,0))</f>
        <v>0</v>
      </c>
      <c r="BE66">
        <f t="shared" si="29"/>
        <v>538</v>
      </c>
      <c r="BF66">
        <f t="shared" si="30"/>
        <v>1561.4</v>
      </c>
      <c r="BG66" s="35" cm="1">
        <f t="array" ref="BG66">IF($F$14-$I$4+VLOOKUP($Q66,武学奇术!$A:$ZZ,15,FALSE)+SUM(_xlfn.XLOOKUP(R66:AF66,增益!$A:$A,增益!$O:$O,0))&gt;0,($F$14-$I$4+VLOOKUP($Q66,武学奇术!$A:$ZZ,15,FALSE)+SUM(_xlfn.XLOOKUP(R66:AF66,增益!$A:$A,增益!$O:$O,0)))/200,($F$14-$I$4+VLOOKUP($Q66,武学奇术!$A:$ZZ,15,FALSE)+SUM(_xlfn.XLOOKUP(R66:AF66,增益!$A:$A,增益!$O:$O,0)))/100)</f>
        <v>0</v>
      </c>
      <c r="BH66" s="35" cm="1">
        <f t="array" ref="BH66">$G$14+VLOOKUP($Q66,武学奇术!$A:$ZZ,16,FALSE)+SUM(_xlfn.XLOOKUP(R66:AF66,增益!$A:$A,增益!$P:$P,0))</f>
        <v>0.27</v>
      </c>
      <c r="BI66" s="30">
        <f>MIN(IF(VLOOKUP($Q66,武学奇术!$A:$ZZ,23,FALSE)=1,100%,$B$8),100%)</f>
        <v>0.9712</v>
      </c>
      <c r="BJ66" s="30" cm="1">
        <f t="array" ref="BJ66">IF(VLOOKUP($Q66,武学奇术!$A:$ZZ,23,FALSE)=1,100%,MIN(80%,$B$9+VLOOKUP($Q66,武学奇术!$A:$ZZ,17,FALSE)+SUM(_xlfn.XLOOKUP(R66:AF66,增益!$A:$A,增益!$Q:$Q,0)))+$B$11+SUM(_xlfn.XLOOKUP(R66:AF66,增益!$A:$A,增益!$U:$U,0)))*IF(VLOOKUP($Q66,武学奇术!$A:$ZZ,24,FALSE)=1,0,1)</f>
        <v>0.8773</v>
      </c>
      <c r="BK66" s="30" cm="1">
        <f t="array" ref="BK66">1+$B$13+VLOOKUP($Q66,武学奇术!$A:$ZZ,18,FALSE)+SUM(_xlfn.XLOOKUP(R66:AF66,增益!$A:$A,增益!$R:$R,0))</f>
        <v>2.12</v>
      </c>
      <c r="BL66" s="30" cm="1">
        <f t="array" ref="BL66">IF(VLOOKUP($Q66,武学奇术!$A:$ZZ,24,FALSE)=1,100%,MIN(40%,$B$10+VLOOKUP($Q66,武学奇术!$A:$ZZ,19,FALSE)+SUM(_xlfn.XLOOKUP(R66:AF66,增益!$A:$A,增益!$S:$S,0)))+$B$12+SUM(_xlfn.XLOOKUP(R66:AF66,增益!$A:$A,增益!$V:$V,0)))*IF(VLOOKUP($Q66,武学奇术!$A:$ZZ,23,FALSE)=1,0,1)</f>
        <v>0.0895</v>
      </c>
      <c r="BM66" s="30" cm="1">
        <f t="array" ref="BM66">1+$B$14+VLOOKUP($Q66,武学奇术!$A:$ZZ,20,FALSE)+SUM(_xlfn.XLOOKUP(R66:AF66,增益!$A:$A,增益!$T:$T,0))</f>
        <v>1.35</v>
      </c>
      <c r="BN66" s="30">
        <f t="shared" si="22"/>
        <v>0.85203376</v>
      </c>
      <c r="BO66" s="30">
        <f t="shared" si="17"/>
        <v>0.03224384</v>
      </c>
      <c r="BP66" s="30">
        <f>IF(VLOOKUP($Q66,武学奇术!$A:$ZZ,22,FALSE)=1,0,(1-$BI66))*(1-$BL66)</f>
        <v>0.0262224</v>
      </c>
      <c r="BQ66" s="30" cm="1">
        <f t="array" ref="BQ66">SUM(_xlfn.XLOOKUP(R66:AF66,增益!$A:$A,增益!$W:$W,0))+$I$5</f>
        <v>0.31</v>
      </c>
    </row>
    <row r="67" spans="1:69">
      <c r="A67" s="4" t="s">
        <v>184</v>
      </c>
      <c r="B67" s="4">
        <v>1</v>
      </c>
      <c r="C67"/>
      <c r="D67" s="42"/>
      <c r="K67" s="41">
        <f t="shared" si="31"/>
        <v>142312.656279589</v>
      </c>
      <c r="L67" s="41">
        <f>((($AN67+$AO67)/2*$AH67+$AI67)*(1+$AP67)*(1+$AQ67)+(($AS67+$AT67)/2*IF($G$1="鸣金",$AJ67,$AH67)+IF($G$1="鸣金",$AK67*1.5,0))*(1+$AU67)*(1+$AV67)+(($AW67+$AX67)/2*IF($G$1="裂石",$AJ67,$AH67)+IF($G$1="裂石",$AK67*1.5,0))*(1+$AY67)*(1+$AZ67)+(($BA67+$BB67)/2*IF($G$1="牵丝",$AJ67,$AH67)+IF($G$1="牵丝",$AK67*1.5,0))*(1+$BC67)*(1+$BD67)+(($BE67+$BF67)/2*IF($G$1="破竹",$AJ67,$AH67)+IF($G$1="破竹",$AK67*1.5,0))*(1+$BG67)*(1+$BH67))*(1+$AL67)*$BK67*$P67*(1+IF(VLOOKUP($Q67,武学奇术!$A:$ZZ,30,FALSE)="回旋伞",$B$21,0))*(1+$BQ67)</f>
        <v>142312.656279589</v>
      </c>
      <c r="M67" s="41">
        <f>(($AO67*$AH67+$AI67)*(1+$AP67)*(1+$AQ67)+($AT67*IF($G$1="鸣金",$AJ67,$AH67)+IF($G$1="鸣金",$AK67*1.5,0))*(1+$AU67)*(1+$AV67)+($AX67*IF($G$1="裂石",$AJ67,$AH67)+IF($G$1="裂石",$AK67*1.5,0))*(1+$AY67)*(1+$AZ67)+($BB67*IF($G$1="牵丝",$AJ67,$AH67)+IF($G$1="牵丝",$AK67*1.5,0))*(1+$BC67)*(1+$BD67)+($BF67*IF($G$1="破竹",$AJ67,$AH67)+IF($G$1="破竹",$AK67*1.5,0))*(1+$BG67)*(1+$BH67))*(1+$AL67)*$BM67*$P67*(1+IF(VLOOKUP($Q67,武学奇术!$A:$ZZ,30,FALSE)="回旋伞",$B$21,0))*(1+$BQ67)</f>
        <v>101703.027514546</v>
      </c>
      <c r="N67" s="41">
        <f>((($AN67+$AO67)/2*$AH67+$AI67)*(1+$AP67)*(1+$AQ67)+(($AS67+$AT67)/2*IF($G$1="鸣金",$AJ67,$AH67)+IF($G$1="鸣金",$AK67*1.5,0))*(1+$AU67)*(1+$AV67)+(($AW67+$AX67)/2*IF($G$1="裂石",$AJ67,$AH67)+IF($G$1="裂石",$AK67*1.5,0))*(1+$AY67)*(1+$AZ67)+(($BA67+$BB67)/2*IF($G$1="牵丝",$AJ67,$AH67)+IF($G$1="牵丝",$AK67*1.5,0))*(1+$BC67)*(1+$BD67)+(($BE67+$BF67)/2*IF($G$1="破竹",$AJ67,$AH67)+IF($G$1="破竹",$AK67*1.5,0))*(1+$BG67)*(1+$BH67))*(1+$AL67)*$P67*(1+IF(VLOOKUP($Q67,武学奇术!$A:$ZZ,30,FALSE)="回旋伞",$B$21,0))*(1+$BQ67)</f>
        <v>67128.6114526362</v>
      </c>
      <c r="O67" s="41">
        <f>((($AN67*$AH67+$AI67)*(1+$AP67)*(1+$AQ67)+($AS67*IF($G$1="鸣金",$AJ67,$AH67)+IF($G$1="鸣金",$AK67*1.5,0))*(1+$AU67)*(1+$AV67)+($AW67*IF($G$1="裂石",$AJ67,$AH67)+IF($G$1="裂石",$AK67*1.5,0))*(1+$AY67)*(1+$AZ67)+($BA67*IF($G$1="牵丝",$AJ67,$AH67)+IF($G$1="牵丝",$AK67*1.5,0))*(1+$BC67)*(1+$BD67)+($BE67*IF($G$1="破竹",$AJ67,$AH67)+IF($G$1="破竹",$AK67*1.5,0))*(1+$BG67)*(1+$BH67))*(1+$AL67))*$P67*(1+IF(VLOOKUP($Q67,武学奇术!$A:$ZZ,30,FALSE)="回旋伞",$B$21,0))*(1+$BQ67)</f>
        <v>58921.6469685719</v>
      </c>
      <c r="P67" s="42">
        <v>4</v>
      </c>
      <c r="Q67" s="43" t="s">
        <v>130</v>
      </c>
      <c r="R67" s="43" t="s">
        <v>105</v>
      </c>
      <c r="S67" s="43" t="s">
        <v>91</v>
      </c>
      <c r="T67" s="43" t="s">
        <v>72</v>
      </c>
      <c r="U67" s="43" t="s">
        <v>79</v>
      </c>
      <c r="V67" s="43" t="s">
        <v>167</v>
      </c>
      <c r="W67" s="43" t="s">
        <v>95</v>
      </c>
      <c r="X67" s="43" t="s">
        <v>71</v>
      </c>
      <c r="Y67" s="43" t="s">
        <v>177</v>
      </c>
      <c r="Z67" s="43" t="s">
        <v>178</v>
      </c>
      <c r="AA67" s="43" t="s">
        <v>116</v>
      </c>
      <c r="AB67" s="43" t="s">
        <v>179</v>
      </c>
      <c r="AC67" s="43" t="s">
        <v>71</v>
      </c>
      <c r="AD67" s="43" t="s">
        <v>71</v>
      </c>
      <c r="AE67" s="43" t="s">
        <v>71</v>
      </c>
      <c r="AF67" s="43" t="s">
        <v>76</v>
      </c>
      <c r="AG67" t="str">
        <f>VLOOKUP($Q67,武学奇术!$A:$ZZ,25,FALSE)</f>
        <v>伞</v>
      </c>
      <c r="AH67" s="30">
        <f>VLOOKUP($Q67,武学奇术!$A:$ZZ,26,FALSE)</f>
        <v>0.54</v>
      </c>
      <c r="AI67" s="31">
        <f>VLOOKUP($Q67,武学奇术!$A:$ZZ,27,FALSE)*(1+IF(OR($AG67=$F$4,$AG67=$F$5),$B$22,0))</f>
        <v>0</v>
      </c>
      <c r="AJ67" s="30">
        <f>VLOOKUP($Q67,武学奇术!$A:$ZZ,28,FALSE)</f>
        <v>0.81</v>
      </c>
      <c r="AK67" s="31">
        <f>VLOOKUP($Q67,武学奇术!$A:$ZZ,29,FALSE)*(1+IF(OR($AG67=$F$4,$AG67=$F$5),$B$22,0))</f>
        <v>0</v>
      </c>
      <c r="AL67" s="30" cm="1">
        <f t="array" ref="AL67">$G$3+IFERROR(VLOOKUP($AG67,$F$4:$G$7,2,FALSE),0)+VLOOKUP($Q67,武学奇术!$A:$ZZ,2,FALSE)+SUM(_xlfn.XLOOKUP($R67:$AF67,增益!$A:$A,增益!$B:$B,0))</f>
        <v>1.2541</v>
      </c>
      <c r="AM67" s="30" cm="1">
        <f t="array" ref="AM67">VLOOKUP($Q67,武学奇术!$A:$ZZ,5,FALSE)+SUM(_xlfn.XLOOKUP($R67:$AF67,增益!$A:$A,增益!$E:$E,0))</f>
        <v>0</v>
      </c>
      <c r="AN67" cm="1">
        <f t="array" ref="AN67">$D$10*(1+$AM67)+VLOOKUP($Q67,武学奇术!$A:$ZZ,3,FALSE)+SUM(_xlfn.XLOOKUP($R67:$AF67,增益!$A:$A,增益!$C:$C,0))-$I$2</f>
        <v>3545.8</v>
      </c>
      <c r="AO67" cm="1">
        <f t="array" ref="AO67">$E$10*(1+$AM67)+VLOOKUP($Q67,武学奇术!$A:$ZZ,4,FALSE)+SUM(_xlfn.XLOOKUP($R67:$AF67,增益!$A:$A,增益!$D:$D,0))-$I$2</f>
        <v>3545.8</v>
      </c>
      <c r="AP67" s="35" cm="1">
        <f t="array" ref="AP67">IF($F$10-$I$3+VLOOKUP($Q67,武学奇术!$A:$ZZ,6,FALSE)+SUM(_xlfn.XLOOKUP(R67:AF67,增益!$A:$A,增益!$F:$F,0))&gt;0,($F$10-$I$3+VLOOKUP($Q67,武学奇术!$A:$ZZ,6,FALSE)+SUM(_xlfn.XLOOKUP(R67:AF67,增益!$A:$A,增益!$F:$F,0)))/200,($F$10-$I$3+VLOOKUP($Q67,武学奇术!$A:$ZZ,6,FALSE)+SUM(_xlfn.XLOOKUP(R67:AF67,增益!$A:$A,增益!$F:$F,0)))/100)</f>
        <v>0.4675</v>
      </c>
      <c r="AQ67" s="35" cm="1">
        <f t="array" ref="AQ67">$G$10+VLOOKUP($Q67,武学奇术!$A:$ZZ,7,FALSE)+SUM(_xlfn.XLOOKUP(R67:AF67,增益!$A:$A,增益!$G:$G,0))</f>
        <v>0.148</v>
      </c>
      <c r="AR67" s="30" cm="1">
        <f t="array" ref="AR67">VLOOKUP($Q67,武学奇术!$A:$ZZ,8,FALSE)+SUM(_xlfn.XLOOKUP(R67:AF67,增益!$A:$A,增益!$H:$H,0))</f>
        <v>0</v>
      </c>
      <c r="AS67">
        <f t="shared" si="23"/>
        <v>0</v>
      </c>
      <c r="AT67">
        <f t="shared" si="24"/>
        <v>0</v>
      </c>
      <c r="AU67" s="35" cm="1">
        <f t="array" ref="AU67">IF($F$11-$I$4+VLOOKUP($Q67,武学奇术!$A:$ZZ,9,FALSE)+SUM(_xlfn.XLOOKUP(R67:AF67,增益!$A:$A,增益!$I:$I,0))&gt;0,($F$11-$I$4+VLOOKUP($Q67,武学奇术!$A:$ZZ,9,FALSE)+SUM(_xlfn.XLOOKUP(R67:AF67,增益!$A:$A,增益!$I:$I,0)))/200,($F$11-$I$4+VLOOKUP($Q67,武学奇术!$A:$ZZ,9,FALSE)+SUM(_xlfn.XLOOKUP(R67:AF67,增益!$A:$A,增益!$I:$I,0)))/100)</f>
        <v>-0.3</v>
      </c>
      <c r="AV67" s="35" cm="1">
        <f t="array" ref="AV67">$G$11+VLOOKUP($Q67,武学奇术!$A:$ZZ,10,FALSE)+SUM(_xlfn.XLOOKUP(R67:AF67,增益!$A:$A,增益!$J:$J,0))</f>
        <v>0.1</v>
      </c>
      <c r="AW67">
        <f t="shared" si="25"/>
        <v>0</v>
      </c>
      <c r="AX67">
        <f t="shared" si="26"/>
        <v>0</v>
      </c>
      <c r="AY67" s="35" cm="1">
        <f t="array" ref="AY67">IF($F$12-$I$4+VLOOKUP($Q67,武学奇术!$A:$ZZ,11,FALSE)+SUM(_xlfn.XLOOKUP(R67:AF67,增益!$A:$A,增益!$K:$K,0))&gt;0,($F$12-$I$4+VLOOKUP($Q67,武学奇术!$A:$ZZ,11,FALSE)+SUM(_xlfn.XLOOKUP(R67:AF67,增益!$A:$A,增益!$K:$K,0)))/200,($F$12-$I$4+VLOOKUP($Q67,武学奇术!$A:$ZZ,11,FALSE)+SUM(_xlfn.XLOOKUP(R67:AF67,增益!$A:$A,增益!$K:$K,0)))/100)</f>
        <v>-0.3</v>
      </c>
      <c r="AZ67" s="35" cm="1">
        <f t="array" ref="AZ67">$G$12+VLOOKUP($Q67,武学奇术!$A:$ZZ,12,FALSE)+SUM(_xlfn.XLOOKUP(R67:AF67,增益!$A:$A,增益!$L:$L,0))</f>
        <v>0</v>
      </c>
      <c r="BA67">
        <f t="shared" si="27"/>
        <v>0</v>
      </c>
      <c r="BB67">
        <f t="shared" si="28"/>
        <v>0</v>
      </c>
      <c r="BC67" s="35" cm="1">
        <f t="array" ref="BC67">IF($F$13-$I$4+VLOOKUP($Q67,武学奇术!$A:$ZZ,13,FALSE)+SUM(_xlfn.XLOOKUP(R67:AF67,增益!$A:$A,增益!$M:$M,0))&gt;0,($F$13-$I$4+VLOOKUP($Q67,武学奇术!$A:$ZZ,13,FALSE)+SUM(_xlfn.XLOOKUP(R67:AF67,增益!$A:$A,增益!$K:$K,0)))/200,($F$13-$I$4+VLOOKUP($Q67,武学奇术!$A:$ZZ,13,FALSE)+SUM(_xlfn.XLOOKUP(R67:AF67,增益!$A:$A,增益!$M:$M,0)))/100)</f>
        <v>-0.3</v>
      </c>
      <c r="BD67" s="35" cm="1">
        <f t="array" ref="BD67">$G$13+VLOOKUP($Q67,武学奇术!$A:$ZZ,14,FALSE)+SUM(_xlfn.XLOOKUP(R67:AF67,增益!$A:$A,增益!$N:$N,0))</f>
        <v>0</v>
      </c>
      <c r="BE67">
        <f t="shared" si="29"/>
        <v>538</v>
      </c>
      <c r="BF67">
        <f t="shared" si="30"/>
        <v>1561.4</v>
      </c>
      <c r="BG67" s="35" cm="1">
        <f t="array" ref="BG67">IF($F$14-$I$4+VLOOKUP($Q67,武学奇术!$A:$ZZ,15,FALSE)+SUM(_xlfn.XLOOKUP(R67:AF67,增益!$A:$A,增益!$O:$O,0))&gt;0,($F$14-$I$4+VLOOKUP($Q67,武学奇术!$A:$ZZ,15,FALSE)+SUM(_xlfn.XLOOKUP(R67:AF67,增益!$A:$A,增益!$O:$O,0)))/200,($F$14-$I$4+VLOOKUP($Q67,武学奇术!$A:$ZZ,15,FALSE)+SUM(_xlfn.XLOOKUP(R67:AF67,增益!$A:$A,增益!$O:$O,0)))/100)</f>
        <v>0</v>
      </c>
      <c r="BH67" s="35" cm="1">
        <f t="array" ref="BH67">$G$14+VLOOKUP($Q67,武学奇术!$A:$ZZ,16,FALSE)+SUM(_xlfn.XLOOKUP(R67:AF67,增益!$A:$A,增益!$P:$P,0))</f>
        <v>0.27</v>
      </c>
      <c r="BI67" s="30">
        <f>MIN(IF(VLOOKUP($Q67,武学奇术!$A:$ZZ,23,FALSE)=1,100%,$B$8),100%)</f>
        <v>1</v>
      </c>
      <c r="BJ67" s="30" cm="1">
        <f t="array" ref="BJ67">IF(VLOOKUP($Q67,武学奇术!$A:$ZZ,23,FALSE)=1,100%,MIN(80%,$B$9+VLOOKUP($Q67,武学奇术!$A:$ZZ,17,FALSE)+SUM(_xlfn.XLOOKUP(R67:AF67,增益!$A:$A,增益!$Q:$Q,0)))+$B$11+SUM(_xlfn.XLOOKUP(R67:AF67,增益!$A:$A,增益!$U:$U,0)))*IF(VLOOKUP($Q67,武学奇术!$A:$ZZ,24,FALSE)=1,0,1)</f>
        <v>1</v>
      </c>
      <c r="BK67" s="30" cm="1">
        <f t="array" ref="BK67">1+$B$13+VLOOKUP($Q67,武学奇术!$A:$ZZ,18,FALSE)+SUM(_xlfn.XLOOKUP(R67:AF67,增益!$A:$A,增益!$R:$R,0))</f>
        <v>2.12</v>
      </c>
      <c r="BL67" s="30" cm="1">
        <f t="array" ref="BL67">IF(VLOOKUP($Q67,武学奇术!$A:$ZZ,24,FALSE)=1,100%,MIN(40%,$B$10+VLOOKUP($Q67,武学奇术!$A:$ZZ,19,FALSE)+SUM(_xlfn.XLOOKUP(R67:AF67,增益!$A:$A,增益!$S:$S,0)))+$B$12+SUM(_xlfn.XLOOKUP(R67:AF67,增益!$A:$A,增益!$V:$V,0)))*IF(VLOOKUP($Q67,武学奇术!$A:$ZZ,23,FALSE)=1,0,1)</f>
        <v>0</v>
      </c>
      <c r="BM67" s="30" cm="1">
        <f t="array" ref="BM67">1+$B$14+VLOOKUP($Q67,武学奇术!$A:$ZZ,20,FALSE)+SUM(_xlfn.XLOOKUP(R67:AF67,增益!$A:$A,增益!$T:$T,0))</f>
        <v>1.35</v>
      </c>
      <c r="BN67" s="30">
        <f t="shared" si="22"/>
        <v>1</v>
      </c>
      <c r="BO67" s="30">
        <f t="shared" ref="BO67:BO101" si="32">1-BL67-BN67-BP67</f>
        <v>0</v>
      </c>
      <c r="BP67" s="30">
        <f>IF(VLOOKUP($Q67,武学奇术!$A:$ZZ,22,FALSE)=1,0,(1-$BI67))*(1-$BL67)</f>
        <v>0</v>
      </c>
      <c r="BQ67" s="30" cm="1">
        <f t="array" ref="BQ67">SUM(_xlfn.XLOOKUP(R67:AF67,增益!$A:$A,增益!$W:$W,0))+$I$5</f>
        <v>0.31</v>
      </c>
    </row>
    <row r="68" spans="1:69">
      <c r="A68" s="4" t="s">
        <v>181</v>
      </c>
      <c r="B68" s="4">
        <v>9</v>
      </c>
      <c r="C68"/>
      <c r="D68" s="42"/>
      <c r="E68" s="42" t="s">
        <v>162</v>
      </c>
      <c r="K68" s="41">
        <f t="shared" si="31"/>
        <v>244343.509982597</v>
      </c>
      <c r="L68" s="41">
        <f>((($AN68+$AO68)/2*$AH68+$AI68)*(1+$AP68)*(1+$AQ68)+(($AS68+$AT68)/2*IF($G$1="鸣金",$AJ68,$AH68)+IF($G$1="鸣金",$AK68*1.5,0))*(1+$AU68)*(1+$AV68)+(($AW68+$AX68)/2*IF($G$1="裂石",$AJ68,$AH68)+IF($G$1="裂石",$AK68*1.5,0))*(1+$AY68)*(1+$AZ68)+(($BA68+$BB68)/2*IF($G$1="牵丝",$AJ68,$AH68)+IF($G$1="牵丝",$AK68*1.5,0))*(1+$BC68)*(1+$BD68)+(($BE68+$BF68)/2*IF($G$1="破竹",$AJ68,$AH68)+IF($G$1="破竹",$AK68*1.5,0))*(1+$BG68)*(1+$BH68))*(1+$AL68)*$BK68*$P68*(1+IF(VLOOKUP($Q68,武学奇术!$A:$ZZ,30,FALSE)="回旋伞",$B$21,0))*(1+$BQ68)</f>
        <v>259371.303193206</v>
      </c>
      <c r="M68" s="41">
        <f>(($AO68*$AH68+$AI68)*(1+$AP68)*(1+$AQ68)+($AT68*IF($G$1="鸣金",$AJ68,$AH68)+IF($G$1="鸣金",$AK68*1.5,0))*(1+$AU68)*(1+$AV68)+($AX68*IF($G$1="裂石",$AJ68,$AH68)+IF($G$1="裂石",$AK68*1.5,0))*(1+$AY68)*(1+$AZ68)+($BB68*IF($G$1="牵丝",$AJ68,$AH68)+IF($G$1="牵丝",$AK68*1.5,0))*(1+$BC68)*(1+$BD68)+($BF68*IF($G$1="破竹",$AJ68,$AH68)+IF($G$1="破竹",$AK68*1.5,0))*(1+$BG68)*(1+$BH68))*(1+$AL68)*$BM68*$P68*(1+IF(VLOOKUP($Q68,武学奇术!$A:$ZZ,30,FALSE)="回旋伞",$B$21,0))*(1+$BQ68)</f>
        <v>185358.403635711</v>
      </c>
      <c r="N68" s="41">
        <f>((($AN68+$AO68)/2*$AH68+$AI68)*(1+$AP68)*(1+$AQ68)+(($AS68+$AT68)/2*IF($G$1="鸣金",$AJ68,$AH68)+IF($G$1="鸣金",$AK68*1.5,0))*(1+$AU68)*(1+$AV68)+(($AW68+$AX68)/2*IF($G$1="裂石",$AJ68,$AH68)+IF($G$1="裂石",$AK68*1.5,0))*(1+$AY68)*(1+$AZ68)+(($BA68+$BB68)/2*IF($G$1="牵丝",$AJ68,$AH68)+IF($G$1="牵丝",$AK68*1.5,0))*(1+$BC68)*(1+$BD68)+(($BE68+$BF68)/2*IF($G$1="破竹",$AJ68,$AH68)+IF($G$1="破竹",$AK68*1.5,0))*(1+$BG68)*(1+$BH68))*(1+$AL68)*$P68*(1+IF(VLOOKUP($Q68,武学奇术!$A:$ZZ,30,FALSE)="回旋伞",$B$21,0))*(1+$BQ68)</f>
        <v>122344.954336418</v>
      </c>
      <c r="O68" s="41">
        <f>((($AN68*$AH68+$AI68)*(1+$AP68)*(1+$AQ68)+($AS68*IF($G$1="鸣金",$AJ68,$AH68)+IF($G$1="鸣金",$AK68*1.5,0))*(1+$AU68)*(1+$AV68)+($AW68*IF($G$1="裂石",$AJ68,$AH68)+IF($G$1="裂石",$AK68*1.5,0))*(1+$AY68)*(1+$AZ68)+($BA68*IF($G$1="牵丝",$AJ68,$AH68)+IF($G$1="牵丝",$AK68*1.5,0))*(1+$BC68)*(1+$BD68)+($BE68*IF($G$1="破竹",$AJ68,$AH68)+IF($G$1="破竹",$AK68*1.5,0))*(1+$BG68)*(1+$BH68))*(1+$AL68))*$P68*(1+IF(VLOOKUP($Q68,武学奇术!$A:$ZZ,30,FALSE)="回旋伞",$B$21,0))*(1+$BQ68)</f>
        <v>107387.387461198</v>
      </c>
      <c r="P68" s="42">
        <v>8</v>
      </c>
      <c r="Q68" s="43" t="s">
        <v>120</v>
      </c>
      <c r="R68" s="43" t="s">
        <v>105</v>
      </c>
      <c r="S68" s="43" t="s">
        <v>91</v>
      </c>
      <c r="T68" s="43" t="s">
        <v>72</v>
      </c>
      <c r="U68" s="43" t="s">
        <v>79</v>
      </c>
      <c r="V68" s="43" t="s">
        <v>167</v>
      </c>
      <c r="W68" s="43" t="s">
        <v>95</v>
      </c>
      <c r="X68" s="43" t="s">
        <v>71</v>
      </c>
      <c r="Y68" s="43" t="s">
        <v>177</v>
      </c>
      <c r="Z68" s="43" t="s">
        <v>178</v>
      </c>
      <c r="AA68" s="43" t="s">
        <v>116</v>
      </c>
      <c r="AB68" s="43" t="s">
        <v>179</v>
      </c>
      <c r="AC68" s="43" t="s">
        <v>71</v>
      </c>
      <c r="AD68" s="43" t="s">
        <v>71</v>
      </c>
      <c r="AE68" s="43" t="s">
        <v>71</v>
      </c>
      <c r="AF68" s="43" t="s">
        <v>76</v>
      </c>
      <c r="AG68" t="str">
        <f>VLOOKUP($Q68,武学奇术!$A:$ZZ,25,FALSE)</f>
        <v>伞</v>
      </c>
      <c r="AH68" s="30">
        <f>VLOOKUP($Q68,武学奇术!$A:$ZZ,26,FALSE)</f>
        <v>0.54</v>
      </c>
      <c r="AI68" s="31">
        <f>VLOOKUP($Q68,武学奇术!$A:$ZZ,27,FALSE)*(1+IF(OR($AG68=$F$4,$AG68=$F$5),$B$22,0))</f>
        <v>0</v>
      </c>
      <c r="AJ68" s="30">
        <f>VLOOKUP($Q68,武学奇术!$A:$ZZ,28,FALSE)</f>
        <v>0.81</v>
      </c>
      <c r="AK68" s="31">
        <f>VLOOKUP($Q68,武学奇术!$A:$ZZ,29,FALSE)*(1+IF(OR($AG68=$F$4,$AG68=$F$5),$B$22,0))</f>
        <v>0</v>
      </c>
      <c r="AL68" s="30" cm="1">
        <f t="array" ref="AL68">$G$3+IFERROR(VLOOKUP($AG68,$F$4:$G$7,2,FALSE),0)+VLOOKUP($Q68,武学奇术!$A:$ZZ,2,FALSE)+SUM(_xlfn.XLOOKUP($R68:$AF68,增益!$A:$A,增益!$B:$B,0))</f>
        <v>1.0541</v>
      </c>
      <c r="AM68" s="30" cm="1">
        <f t="array" ref="AM68">VLOOKUP($Q68,武学奇术!$A:$ZZ,5,FALSE)+SUM(_xlfn.XLOOKUP($R68:$AF68,增益!$A:$A,增益!$E:$E,0))</f>
        <v>0</v>
      </c>
      <c r="AN68" cm="1">
        <f t="array" ref="AN68">$D$10*(1+$AM68)+VLOOKUP($Q68,武学奇术!$A:$ZZ,3,FALSE)+SUM(_xlfn.XLOOKUP($R68:$AF68,增益!$A:$A,增益!$C:$C,0))-$I$2</f>
        <v>3545.8</v>
      </c>
      <c r="AO68" cm="1">
        <f t="array" ref="AO68">$E$10*(1+$AM68)+VLOOKUP($Q68,武学奇术!$A:$ZZ,4,FALSE)+SUM(_xlfn.XLOOKUP($R68:$AF68,增益!$A:$A,增益!$D:$D,0))-$I$2</f>
        <v>3545.8</v>
      </c>
      <c r="AP68" s="35" cm="1">
        <f t="array" ref="AP68">IF($F$10-$I$3+VLOOKUP($Q68,武学奇术!$A:$ZZ,6,FALSE)+SUM(_xlfn.XLOOKUP(R68:AF68,增益!$A:$A,增益!$F:$F,0))&gt;0,($F$10-$I$3+VLOOKUP($Q68,武学奇术!$A:$ZZ,6,FALSE)+SUM(_xlfn.XLOOKUP(R68:AF68,增益!$A:$A,增益!$F:$F,0)))/200,($F$10-$I$3+VLOOKUP($Q68,武学奇术!$A:$ZZ,6,FALSE)+SUM(_xlfn.XLOOKUP(R68:AF68,增益!$A:$A,增益!$F:$F,0)))/100)</f>
        <v>0.4675</v>
      </c>
      <c r="AQ68" s="35" cm="1">
        <f t="array" ref="AQ68">$G$10+VLOOKUP($Q68,武学奇术!$A:$ZZ,7,FALSE)+SUM(_xlfn.XLOOKUP(R68:AF68,增益!$A:$A,增益!$G:$G,0))</f>
        <v>0.148</v>
      </c>
      <c r="AR68" s="30" cm="1">
        <f t="array" ref="AR68">VLOOKUP($Q68,武学奇术!$A:$ZZ,8,FALSE)+SUM(_xlfn.XLOOKUP(R68:AF68,增益!$A:$A,增益!$H:$H,0))</f>
        <v>0</v>
      </c>
      <c r="AS68">
        <f t="shared" si="23"/>
        <v>0</v>
      </c>
      <c r="AT68">
        <f t="shared" si="24"/>
        <v>0</v>
      </c>
      <c r="AU68" s="35" cm="1">
        <f t="array" ref="AU68">IF($F$11-$I$4+VLOOKUP($Q68,武学奇术!$A:$ZZ,9,FALSE)+SUM(_xlfn.XLOOKUP(R68:AF68,增益!$A:$A,增益!$I:$I,0))&gt;0,($F$11-$I$4+VLOOKUP($Q68,武学奇术!$A:$ZZ,9,FALSE)+SUM(_xlfn.XLOOKUP(R68:AF68,增益!$A:$A,增益!$I:$I,0)))/200,($F$11-$I$4+VLOOKUP($Q68,武学奇术!$A:$ZZ,9,FALSE)+SUM(_xlfn.XLOOKUP(R68:AF68,增益!$A:$A,增益!$I:$I,0)))/100)</f>
        <v>-0.3</v>
      </c>
      <c r="AV68" s="35" cm="1">
        <f t="array" ref="AV68">$G$11+VLOOKUP($Q68,武学奇术!$A:$ZZ,10,FALSE)+SUM(_xlfn.XLOOKUP(R68:AF68,增益!$A:$A,增益!$J:$J,0))</f>
        <v>0.1</v>
      </c>
      <c r="AW68">
        <f t="shared" si="25"/>
        <v>0</v>
      </c>
      <c r="AX68">
        <f t="shared" si="26"/>
        <v>0</v>
      </c>
      <c r="AY68" s="35" cm="1">
        <f t="array" ref="AY68">IF($F$12-$I$4+VLOOKUP($Q68,武学奇术!$A:$ZZ,11,FALSE)+SUM(_xlfn.XLOOKUP(R68:AF68,增益!$A:$A,增益!$K:$K,0))&gt;0,($F$12-$I$4+VLOOKUP($Q68,武学奇术!$A:$ZZ,11,FALSE)+SUM(_xlfn.XLOOKUP(R68:AF68,增益!$A:$A,增益!$K:$K,0)))/200,($F$12-$I$4+VLOOKUP($Q68,武学奇术!$A:$ZZ,11,FALSE)+SUM(_xlfn.XLOOKUP(R68:AF68,增益!$A:$A,增益!$K:$K,0)))/100)</f>
        <v>-0.3</v>
      </c>
      <c r="AZ68" s="35" cm="1">
        <f t="array" ref="AZ68">$G$12+VLOOKUP($Q68,武学奇术!$A:$ZZ,12,FALSE)+SUM(_xlfn.XLOOKUP(R68:AF68,增益!$A:$A,增益!$L:$L,0))</f>
        <v>0</v>
      </c>
      <c r="BA68">
        <f t="shared" si="27"/>
        <v>0</v>
      </c>
      <c r="BB68">
        <f t="shared" si="28"/>
        <v>0</v>
      </c>
      <c r="BC68" s="35" cm="1">
        <f t="array" ref="BC68">IF($F$13-$I$4+VLOOKUP($Q68,武学奇术!$A:$ZZ,13,FALSE)+SUM(_xlfn.XLOOKUP(R68:AF68,增益!$A:$A,增益!$M:$M,0))&gt;0,($F$13-$I$4+VLOOKUP($Q68,武学奇术!$A:$ZZ,13,FALSE)+SUM(_xlfn.XLOOKUP(R68:AF68,增益!$A:$A,增益!$K:$K,0)))/200,($F$13-$I$4+VLOOKUP($Q68,武学奇术!$A:$ZZ,13,FALSE)+SUM(_xlfn.XLOOKUP(R68:AF68,增益!$A:$A,增益!$M:$M,0)))/100)</f>
        <v>-0.3</v>
      </c>
      <c r="BD68" s="35" cm="1">
        <f t="array" ref="BD68">$G$13+VLOOKUP($Q68,武学奇术!$A:$ZZ,14,FALSE)+SUM(_xlfn.XLOOKUP(R68:AF68,增益!$A:$A,增益!$N:$N,0))</f>
        <v>0</v>
      </c>
      <c r="BE68">
        <f t="shared" si="29"/>
        <v>538</v>
      </c>
      <c r="BF68">
        <f t="shared" si="30"/>
        <v>1561.4</v>
      </c>
      <c r="BG68" s="35" cm="1">
        <f t="array" ref="BG68">IF($F$14-$I$4+VLOOKUP($Q68,武学奇术!$A:$ZZ,15,FALSE)+SUM(_xlfn.XLOOKUP(R68:AF68,增益!$A:$A,增益!$O:$O,0))&gt;0,($F$14-$I$4+VLOOKUP($Q68,武学奇术!$A:$ZZ,15,FALSE)+SUM(_xlfn.XLOOKUP(R68:AF68,增益!$A:$A,增益!$O:$O,0)))/200,($F$14-$I$4+VLOOKUP($Q68,武学奇术!$A:$ZZ,15,FALSE)+SUM(_xlfn.XLOOKUP(R68:AF68,增益!$A:$A,增益!$O:$O,0)))/100)</f>
        <v>0</v>
      </c>
      <c r="BH68" s="35" cm="1">
        <f t="array" ref="BH68">$G$14+VLOOKUP($Q68,武学奇术!$A:$ZZ,16,FALSE)+SUM(_xlfn.XLOOKUP(R68:AF68,增益!$A:$A,增益!$P:$P,0))</f>
        <v>0.27</v>
      </c>
      <c r="BI68" s="30">
        <f>MIN(IF(VLOOKUP($Q68,武学奇术!$A:$ZZ,23,FALSE)=1,100%,$B$8),100%)</f>
        <v>0.9712</v>
      </c>
      <c r="BJ68" s="30" cm="1">
        <f t="array" ref="BJ68">IF(VLOOKUP($Q68,武学奇术!$A:$ZZ,23,FALSE)=1,100%,MIN(80%,$B$9+VLOOKUP($Q68,武学奇术!$A:$ZZ,17,FALSE)+SUM(_xlfn.XLOOKUP(R68:AF68,增益!$A:$A,增益!$Q:$Q,0)))+$B$11+SUM(_xlfn.XLOOKUP(R68:AF68,增益!$A:$A,增益!$U:$U,0)))*IF(VLOOKUP($Q68,武学奇术!$A:$ZZ,24,FALSE)=1,0,1)</f>
        <v>0.8773</v>
      </c>
      <c r="BK68" s="30" cm="1">
        <f t="array" ref="BK68">1+$B$13+VLOOKUP($Q68,武学奇术!$A:$ZZ,18,FALSE)+SUM(_xlfn.XLOOKUP(R68:AF68,增益!$A:$A,增益!$R:$R,0))</f>
        <v>2.12</v>
      </c>
      <c r="BL68" s="30" cm="1">
        <f t="array" ref="BL68">IF(VLOOKUP($Q68,武学奇术!$A:$ZZ,24,FALSE)=1,100%,MIN(40%,$B$10+VLOOKUP($Q68,武学奇术!$A:$ZZ,19,FALSE)+SUM(_xlfn.XLOOKUP(R68:AF68,增益!$A:$A,增益!$S:$S,0)))+$B$12+SUM(_xlfn.XLOOKUP(R68:AF68,增益!$A:$A,增益!$V:$V,0)))*IF(VLOOKUP($Q68,武学奇术!$A:$ZZ,23,FALSE)=1,0,1)</f>
        <v>0.0895</v>
      </c>
      <c r="BM68" s="30" cm="1">
        <f t="array" ref="BM68">1+$B$14+VLOOKUP($Q68,武学奇术!$A:$ZZ,20,FALSE)+SUM(_xlfn.XLOOKUP(R68:AF68,增益!$A:$A,增益!$T:$T,0))</f>
        <v>1.35</v>
      </c>
      <c r="BN68" s="30">
        <f t="shared" si="22"/>
        <v>0.85203376</v>
      </c>
      <c r="BO68" s="30">
        <f t="shared" si="32"/>
        <v>0.03224384</v>
      </c>
      <c r="BP68" s="30">
        <f>IF(VLOOKUP($Q68,武学奇术!$A:$ZZ,22,FALSE)=1,0,(1-$BI68))*(1-$BL68)</f>
        <v>0.0262224</v>
      </c>
      <c r="BQ68" s="30" cm="1">
        <f t="array" ref="BQ68">SUM(_xlfn.XLOOKUP(R68:AF68,增益!$A:$A,增益!$W:$W,0))+$I$5</f>
        <v>0.31</v>
      </c>
    </row>
    <row r="69" spans="1:69">
      <c r="A69" s="4" t="s">
        <v>169</v>
      </c>
      <c r="B69" s="4">
        <v>2.5</v>
      </c>
      <c r="C69"/>
      <c r="E69" s="42"/>
      <c r="K69" s="41">
        <f t="shared" si="31"/>
        <v>108875.998949435</v>
      </c>
      <c r="L69" s="41">
        <f>((($AN69+$AO69)/2*$AH69+$AI69)*(1+$AP69)*(1+$AQ69)+(($AS69+$AT69)/2*IF($G$1="鸣金",$AJ69,$AH69)+IF($G$1="鸣金",$AK69*1.5,0))*(1+$AU69)*(1+$AV69)+(($AW69+$AX69)/2*IF($G$1="裂石",$AJ69,$AH69)+IF($G$1="裂石",$AK69*1.5,0))*(1+$AY69)*(1+$AZ69)+(($BA69+$BB69)/2*IF($G$1="牵丝",$AJ69,$AH69)+IF($G$1="牵丝",$AK69*1.5,0))*(1+$BC69)*(1+$BD69)+(($BE69+$BF69)/2*IF($G$1="破竹",$AJ69,$AH69)+IF($G$1="破竹",$AK69*1.5,0))*(1+$BG69)*(1+$BH69))*(1+$AL69)*$BK69*$P69*(1+IF(VLOOKUP($Q69,武学奇术!$A:$ZZ,30,FALSE)="回旋伞",$B$21,0))*(1+$BQ69)</f>
        <v>108875.998949435</v>
      </c>
      <c r="M69" s="41">
        <f>(($AO69*$AH69+$AI69)*(1+$AP69)*(1+$AQ69)+($AT69*IF($G$1="鸣金",$AJ69,$AH69)+IF($G$1="鸣金",$AK69*1.5,0))*(1+$AU69)*(1+$AV69)+($AX69*IF($G$1="裂石",$AJ69,$AH69)+IF($G$1="裂石",$AK69*1.5,0))*(1+$AY69)*(1+$AZ69)+($BB69*IF($G$1="牵丝",$AJ69,$AH69)+IF($G$1="牵丝",$AK69*1.5,0))*(1+$BC69)*(1+$BD69)+($BF69*IF($G$1="破竹",$AJ69,$AH69)+IF($G$1="破竹",$AK69*1.5,0))*(1+$BG69)*(1+$BH69))*(1+$AL69)*$BM69*$P69*(1+IF(VLOOKUP($Q69,武学奇术!$A:$ZZ,30,FALSE)="回旋伞",$B$21,0))*(1+$BQ69)</f>
        <v>78305.7300886723</v>
      </c>
      <c r="N69" s="41">
        <f>((($AN69+$AO69)/2*$AH69+$AI69)*(1+$AP69)*(1+$AQ69)+(($AS69+$AT69)/2*IF($G$1="鸣金",$AJ69,$AH69)+IF($G$1="鸣金",$AK69*1.5,0))*(1+$AU69)*(1+$AV69)+(($AW69+$AX69)/2*IF($G$1="裂石",$AJ69,$AH69)+IF($G$1="裂石",$AK69*1.5,0))*(1+$AY69)*(1+$AZ69)+(($BA69+$BB69)/2*IF($G$1="牵丝",$AJ69,$AH69)+IF($G$1="牵丝",$AK69*1.5,0))*(1+$BC69)*(1+$BD69)+(($BE69+$BF69)/2*IF($G$1="破竹",$AJ69,$AH69)+IF($G$1="破竹",$AK69*1.5,0))*(1+$BG69)*(1+$BH69))*(1+$AL69)*$P69*(1+IF(VLOOKUP($Q69,武学奇术!$A:$ZZ,30,FALSE)="回旋伞",$B$21,0))*(1+$BQ69)</f>
        <v>51356.6032780356</v>
      </c>
      <c r="O69" s="41">
        <f>((($AN69*$AH69+$AI69)*(1+$AP69)*(1+$AQ69)+($AS69*IF($G$1="鸣金",$AJ69,$AH69)+IF($G$1="鸣金",$AK69*1.5,0))*(1+$AU69)*(1+$AV69)+($AW69*IF($G$1="裂石",$AJ69,$AH69)+IF($G$1="裂石",$AK69*1.5,0))*(1+$AY69)*(1+$AZ69)+($BA69*IF($G$1="牵丝",$AJ69,$AH69)+IF($G$1="牵丝",$AK69*1.5,0))*(1+$BC69)*(1+$BD69)+($BE69*IF($G$1="破竹",$AJ69,$AH69)+IF($G$1="破竹",$AK69*1.5,0))*(1+$BG69)*(1+$BH69))*(1+$AL69))*$P69*(1+IF(VLOOKUP($Q69,武学奇术!$A:$ZZ,30,FALSE)="回旋伞",$B$21,0))*(1+$BQ69)</f>
        <v>44708.9620459435</v>
      </c>
      <c r="P69" s="42">
        <v>3</v>
      </c>
      <c r="Q69" s="43" t="s">
        <v>130</v>
      </c>
      <c r="R69" s="43" t="s">
        <v>105</v>
      </c>
      <c r="S69" s="43" t="s">
        <v>91</v>
      </c>
      <c r="T69" s="43" t="s">
        <v>72</v>
      </c>
      <c r="U69" s="43" t="s">
        <v>79</v>
      </c>
      <c r="V69" s="43" t="s">
        <v>167</v>
      </c>
      <c r="W69" s="43" t="s">
        <v>95</v>
      </c>
      <c r="X69" s="43" t="s">
        <v>82</v>
      </c>
      <c r="Y69" s="43" t="s">
        <v>177</v>
      </c>
      <c r="Z69" s="43" t="s">
        <v>178</v>
      </c>
      <c r="AA69" s="43" t="s">
        <v>116</v>
      </c>
      <c r="AB69" s="43" t="s">
        <v>179</v>
      </c>
      <c r="AC69" s="43" t="s">
        <v>71</v>
      </c>
      <c r="AD69" s="43" t="s">
        <v>71</v>
      </c>
      <c r="AE69" s="43" t="s">
        <v>71</v>
      </c>
      <c r="AF69" s="43" t="s">
        <v>76</v>
      </c>
      <c r="AG69" t="str">
        <f>VLOOKUP($Q69,武学奇术!$A:$ZZ,25,FALSE)</f>
        <v>伞</v>
      </c>
      <c r="AH69" s="30">
        <f>VLOOKUP($Q69,武学奇术!$A:$ZZ,26,FALSE)</f>
        <v>0.54</v>
      </c>
      <c r="AI69" s="31">
        <f>VLOOKUP($Q69,武学奇术!$A:$ZZ,27,FALSE)*(1+IF(OR($AG69=$F$4,$AG69=$F$5),$B$22,0))</f>
        <v>0</v>
      </c>
      <c r="AJ69" s="30">
        <f>VLOOKUP($Q69,武学奇术!$A:$ZZ,28,FALSE)</f>
        <v>0.81</v>
      </c>
      <c r="AK69" s="31">
        <f>VLOOKUP($Q69,武学奇术!$A:$ZZ,29,FALSE)*(1+IF(OR($AG69=$F$4,$AG69=$F$5),$B$22,0))</f>
        <v>0</v>
      </c>
      <c r="AL69" s="30" cm="1">
        <f t="array" ref="AL69">$G$3+IFERROR(VLOOKUP($AG69,$F$4:$G$7,2,FALSE),0)+VLOOKUP($Q69,武学奇术!$A:$ZZ,2,FALSE)+SUM(_xlfn.XLOOKUP($R69:$AF69,增益!$A:$A,增益!$B:$B,0))</f>
        <v>1.2541</v>
      </c>
      <c r="AM69" s="30" cm="1">
        <f t="array" ref="AM69">VLOOKUP($Q69,武学奇术!$A:$ZZ,5,FALSE)+SUM(_xlfn.XLOOKUP($R69:$AF69,增益!$A:$A,增益!$E:$E,0))</f>
        <v>0</v>
      </c>
      <c r="AN69" cm="1">
        <f t="array" ref="AN69">$D$10*(1+$AM69)+VLOOKUP($Q69,武学奇术!$A:$ZZ,3,FALSE)+SUM(_xlfn.XLOOKUP($R69:$AF69,增益!$A:$A,增益!$C:$C,0))-$I$2</f>
        <v>3545.8</v>
      </c>
      <c r="AO69" cm="1">
        <f t="array" ref="AO69">$E$10*(1+$AM69)+VLOOKUP($Q69,武学奇术!$A:$ZZ,4,FALSE)+SUM(_xlfn.XLOOKUP($R69:$AF69,增益!$A:$A,增益!$D:$D,0))-$I$2</f>
        <v>3545.8</v>
      </c>
      <c r="AP69" s="35" cm="1">
        <f t="array" ref="AP69">IF($F$10-$I$3+VLOOKUP($Q69,武学奇术!$A:$ZZ,6,FALSE)+SUM(_xlfn.XLOOKUP(R69:AF69,增益!$A:$A,增益!$F:$F,0))&gt;0,($F$10-$I$3+VLOOKUP($Q69,武学奇术!$A:$ZZ,6,FALSE)+SUM(_xlfn.XLOOKUP(R69:AF69,增益!$A:$A,增益!$F:$F,0)))/200,($F$10-$I$3+VLOOKUP($Q69,武学奇术!$A:$ZZ,6,FALSE)+SUM(_xlfn.XLOOKUP(R69:AF69,增益!$A:$A,增益!$F:$F,0)))/100)</f>
        <v>0.4675</v>
      </c>
      <c r="AQ69" s="35" cm="1">
        <f t="array" ref="AQ69">$G$10+VLOOKUP($Q69,武学奇术!$A:$ZZ,7,FALSE)+SUM(_xlfn.XLOOKUP(R69:AF69,增益!$A:$A,增益!$G:$G,0))</f>
        <v>0.148</v>
      </c>
      <c r="AR69" s="30" cm="1">
        <f t="array" ref="AR69">VLOOKUP($Q69,武学奇术!$A:$ZZ,8,FALSE)+SUM(_xlfn.XLOOKUP(R69:AF69,增益!$A:$A,增益!$H:$H,0))</f>
        <v>0</v>
      </c>
      <c r="AS69">
        <f t="shared" si="23"/>
        <v>0</v>
      </c>
      <c r="AT69">
        <f t="shared" si="24"/>
        <v>0</v>
      </c>
      <c r="AU69" s="35" cm="1">
        <f t="array" ref="AU69">IF($F$11-$I$4+VLOOKUP($Q69,武学奇术!$A:$ZZ,9,FALSE)+SUM(_xlfn.XLOOKUP(R69:AF69,增益!$A:$A,增益!$I:$I,0))&gt;0,($F$11-$I$4+VLOOKUP($Q69,武学奇术!$A:$ZZ,9,FALSE)+SUM(_xlfn.XLOOKUP(R69:AF69,增益!$A:$A,增益!$I:$I,0)))/200,($F$11-$I$4+VLOOKUP($Q69,武学奇术!$A:$ZZ,9,FALSE)+SUM(_xlfn.XLOOKUP(R69:AF69,增益!$A:$A,增益!$I:$I,0)))/100)</f>
        <v>-0.14</v>
      </c>
      <c r="AV69" s="35" cm="1">
        <f t="array" ref="AV69">$G$11+VLOOKUP($Q69,武学奇术!$A:$ZZ,10,FALSE)+SUM(_xlfn.XLOOKUP(R69:AF69,增益!$A:$A,增益!$J:$J,0))</f>
        <v>0.1</v>
      </c>
      <c r="AW69">
        <f t="shared" si="25"/>
        <v>0</v>
      </c>
      <c r="AX69">
        <f t="shared" si="26"/>
        <v>0</v>
      </c>
      <c r="AY69" s="35" cm="1">
        <f t="array" ref="AY69">IF($F$12-$I$4+VLOOKUP($Q69,武学奇术!$A:$ZZ,11,FALSE)+SUM(_xlfn.XLOOKUP(R69:AF69,增益!$A:$A,增益!$K:$K,0))&gt;0,($F$12-$I$4+VLOOKUP($Q69,武学奇术!$A:$ZZ,11,FALSE)+SUM(_xlfn.XLOOKUP(R69:AF69,增益!$A:$A,增益!$K:$K,0)))/200,($F$12-$I$4+VLOOKUP($Q69,武学奇术!$A:$ZZ,11,FALSE)+SUM(_xlfn.XLOOKUP(R69:AF69,增益!$A:$A,增益!$K:$K,0)))/100)</f>
        <v>-0.14</v>
      </c>
      <c r="AZ69" s="35" cm="1">
        <f t="array" ref="AZ69">$G$12+VLOOKUP($Q69,武学奇术!$A:$ZZ,12,FALSE)+SUM(_xlfn.XLOOKUP(R69:AF69,增益!$A:$A,增益!$L:$L,0))</f>
        <v>0</v>
      </c>
      <c r="BA69">
        <f t="shared" si="27"/>
        <v>0</v>
      </c>
      <c r="BB69">
        <f t="shared" si="28"/>
        <v>0</v>
      </c>
      <c r="BC69" s="35" cm="1">
        <f t="array" ref="BC69">IF($F$13-$I$4+VLOOKUP($Q69,武学奇术!$A:$ZZ,13,FALSE)+SUM(_xlfn.XLOOKUP(R69:AF69,增益!$A:$A,增益!$M:$M,0))&gt;0,($F$13-$I$4+VLOOKUP($Q69,武学奇术!$A:$ZZ,13,FALSE)+SUM(_xlfn.XLOOKUP(R69:AF69,增益!$A:$A,增益!$K:$K,0)))/200,($F$13-$I$4+VLOOKUP($Q69,武学奇术!$A:$ZZ,13,FALSE)+SUM(_xlfn.XLOOKUP(R69:AF69,增益!$A:$A,增益!$M:$M,0)))/100)</f>
        <v>-0.14</v>
      </c>
      <c r="BD69" s="35" cm="1">
        <f t="array" ref="BD69">$G$13+VLOOKUP($Q69,武学奇术!$A:$ZZ,14,FALSE)+SUM(_xlfn.XLOOKUP(R69:AF69,增益!$A:$A,增益!$N:$N,0))</f>
        <v>0</v>
      </c>
      <c r="BE69">
        <f t="shared" si="29"/>
        <v>538</v>
      </c>
      <c r="BF69">
        <f t="shared" si="30"/>
        <v>1561.4</v>
      </c>
      <c r="BG69" s="35" cm="1">
        <f t="array" ref="BG69">IF($F$14-$I$4+VLOOKUP($Q69,武学奇术!$A:$ZZ,15,FALSE)+SUM(_xlfn.XLOOKUP(R69:AF69,增益!$A:$A,增益!$O:$O,0))&gt;0,($F$14-$I$4+VLOOKUP($Q69,武学奇术!$A:$ZZ,15,FALSE)+SUM(_xlfn.XLOOKUP(R69:AF69,增益!$A:$A,增益!$O:$O,0)))/200,($F$14-$I$4+VLOOKUP($Q69,武学奇术!$A:$ZZ,15,FALSE)+SUM(_xlfn.XLOOKUP(R69:AF69,增益!$A:$A,增益!$O:$O,0)))/100)</f>
        <v>0.08</v>
      </c>
      <c r="BH69" s="35" cm="1">
        <f t="array" ref="BH69">$G$14+VLOOKUP($Q69,武学奇术!$A:$ZZ,16,FALSE)+SUM(_xlfn.XLOOKUP(R69:AF69,增益!$A:$A,增益!$P:$P,0))</f>
        <v>0.27</v>
      </c>
      <c r="BI69" s="30">
        <f>MIN(IF(VLOOKUP($Q69,武学奇术!$A:$ZZ,23,FALSE)=1,100%,$B$8),100%)</f>
        <v>1</v>
      </c>
      <c r="BJ69" s="30" cm="1">
        <f t="array" ref="BJ69">IF(VLOOKUP($Q69,武学奇术!$A:$ZZ,23,FALSE)=1,100%,MIN(80%,$B$9+VLOOKUP($Q69,武学奇术!$A:$ZZ,17,FALSE)+SUM(_xlfn.XLOOKUP(R69:AF69,增益!$A:$A,增益!$Q:$Q,0)))+$B$11+SUM(_xlfn.XLOOKUP(R69:AF69,增益!$A:$A,增益!$U:$U,0)))*IF(VLOOKUP($Q69,武学奇术!$A:$ZZ,24,FALSE)=1,0,1)</f>
        <v>1</v>
      </c>
      <c r="BK69" s="30" cm="1">
        <f t="array" ref="BK69">1+$B$13+VLOOKUP($Q69,武学奇术!$A:$ZZ,18,FALSE)+SUM(_xlfn.XLOOKUP(R69:AF69,增益!$A:$A,增益!$R:$R,0))</f>
        <v>2.12</v>
      </c>
      <c r="BL69" s="30" cm="1">
        <f t="array" ref="BL69">IF(VLOOKUP($Q69,武学奇术!$A:$ZZ,24,FALSE)=1,100%,MIN(40%,$B$10+VLOOKUP($Q69,武学奇术!$A:$ZZ,19,FALSE)+SUM(_xlfn.XLOOKUP(R69:AF69,增益!$A:$A,增益!$S:$S,0)))+$B$12+SUM(_xlfn.XLOOKUP(R69:AF69,增益!$A:$A,增益!$V:$V,0)))*IF(VLOOKUP($Q69,武学奇术!$A:$ZZ,23,FALSE)=1,0,1)</f>
        <v>0</v>
      </c>
      <c r="BM69" s="30" cm="1">
        <f t="array" ref="BM69">1+$B$14+VLOOKUP($Q69,武学奇术!$A:$ZZ,20,FALSE)+SUM(_xlfn.XLOOKUP(R69:AF69,增益!$A:$A,增益!$T:$T,0))</f>
        <v>1.35</v>
      </c>
      <c r="BN69" s="30">
        <f t="shared" si="22"/>
        <v>1</v>
      </c>
      <c r="BO69" s="30">
        <f t="shared" si="32"/>
        <v>0</v>
      </c>
      <c r="BP69" s="30">
        <f>IF(VLOOKUP($Q69,武学奇术!$A:$ZZ,22,FALSE)=1,0,(1-$BI69))*(1-$BL69)</f>
        <v>0</v>
      </c>
      <c r="BQ69" s="30" cm="1">
        <f t="array" ref="BQ69">SUM(_xlfn.XLOOKUP(R69:AF69,增益!$A:$A,增益!$W:$W,0))+$I$5</f>
        <v>0.31</v>
      </c>
    </row>
    <row r="70" spans="1:69">
      <c r="A70" s="4" t="s">
        <v>160</v>
      </c>
      <c r="B70" s="90">
        <v>0.1</v>
      </c>
      <c r="E70" s="42"/>
      <c r="K70" s="41">
        <f t="shared" si="31"/>
        <v>124665.398484683</v>
      </c>
      <c r="L70" s="41">
        <f>((($AN70+$AO70)/2*$AH70+$AI70)*(1+$AP70)*(1+$AQ70)+(($AS70+$AT70)/2*IF($G$1="鸣金",$AJ70,$AH70)+IF($G$1="鸣金",$AK70*1.5,0))*(1+$AU70)*(1+$AV70)+(($AW70+$AX70)/2*IF($G$1="裂石",$AJ70,$AH70)+IF($G$1="裂石",$AK70*1.5,0))*(1+$AY70)*(1+$AZ70)+(($BA70+$BB70)/2*IF($G$1="牵丝",$AJ70,$AH70)+IF($G$1="牵丝",$AK70*1.5,0))*(1+$BC70)*(1+$BD70)+(($BE70+$BF70)/2*IF($G$1="破竹",$AJ70,$AH70)+IF($G$1="破竹",$AK70*1.5,0))*(1+$BG70)*(1+$BH70))*(1+$AL70)*$BK70*$P70*(1+IF(VLOOKUP($Q70,武学奇术!$A:$ZZ,30,FALSE)="回旋伞",$B$21,0))*(1+$BQ70)</f>
        <v>132287.647363788</v>
      </c>
      <c r="M70" s="41">
        <f>(($AO70*$AH70+$AI70)*(1+$AP70)*(1+$AQ70)+($AT70*IF($G$1="鸣金",$AJ70,$AH70)+IF($G$1="鸣金",$AK70*1.5,0))*(1+$AU70)*(1+$AV70)+($AX70*IF($G$1="裂石",$AJ70,$AH70)+IF($G$1="裂石",$AK70*1.5,0))*(1+$AY70)*(1+$AZ70)+($BB70*IF($G$1="牵丝",$AJ70,$AH70)+IF($G$1="牵丝",$AK70*1.5,0))*(1+$BC70)*(1+$BD70)+($BF70*IF($G$1="破竹",$AJ70,$AH70)+IF($G$1="破竹",$AK70*1.5,0))*(1+$BG70)*(1+$BH70))*(1+$AL70)*$BM70*$P70*(1+IF(VLOOKUP($Q70,武学奇术!$A:$ZZ,30,FALSE)="回旋伞",$B$21,0))*(1+$BQ70)</f>
        <v>95143.8416959566</v>
      </c>
      <c r="N70" s="41">
        <f>((($AN70+$AO70)/2*$AH70+$AI70)*(1+$AP70)*(1+$AQ70)+(($AS70+$AT70)/2*IF($G$1="鸣金",$AJ70,$AH70)+IF($G$1="鸣金",$AK70*1.5,0))*(1+$AU70)*(1+$AV70)+(($AW70+$AX70)/2*IF($G$1="裂石",$AJ70,$AH70)+IF($G$1="裂石",$AK70*1.5,0))*(1+$AY70)*(1+$AZ70)+(($BA70+$BB70)/2*IF($G$1="牵丝",$AJ70,$AH70)+IF($G$1="牵丝",$AK70*1.5,0))*(1+$BC70)*(1+$BD70)+(($BE70+$BF70)/2*IF($G$1="破竹",$AJ70,$AH70)+IF($G$1="破竹",$AK70*1.5,0))*(1+$BG70)*(1+$BH70))*(1+$AL70)*$P70*(1+IF(VLOOKUP($Q70,武学奇术!$A:$ZZ,30,FALSE)="回旋伞",$B$21,0))*(1+$BQ70)</f>
        <v>62399.8336621639</v>
      </c>
      <c r="O70" s="41">
        <f>((($AN70*$AH70+$AI70)*(1+$AP70)*(1+$AQ70)+($AS70*IF($G$1="鸣金",$AJ70,$AH70)+IF($G$1="鸣金",$AK70*1.5,0))*(1+$AU70)*(1+$AV70)+($AW70*IF($G$1="裂石",$AJ70,$AH70)+IF($G$1="裂石",$AK70*1.5,0))*(1+$AY70)*(1+$AZ70)+($BA70*IF($G$1="牵丝",$AJ70,$AH70)+IF($G$1="牵丝",$AK70*1.5,0))*(1+$BC70)*(1+$BD70)+($BE70*IF($G$1="破竹",$AJ70,$AH70)+IF($G$1="破竹",$AK70*1.5,0))*(1+$BG70)*(1+$BH70))*(1+$AL70))*$P70*(1+IF(VLOOKUP($Q70,武学奇术!$A:$ZZ,30,FALSE)="回旋伞",$B$21,0))*(1+$BQ70)</f>
        <v>54322.7475495452</v>
      </c>
      <c r="P70" s="42">
        <v>4</v>
      </c>
      <c r="Q70" s="43" t="s">
        <v>120</v>
      </c>
      <c r="R70" s="43" t="s">
        <v>105</v>
      </c>
      <c r="S70" s="43" t="s">
        <v>91</v>
      </c>
      <c r="T70" s="43" t="s">
        <v>72</v>
      </c>
      <c r="U70" s="43" t="s">
        <v>79</v>
      </c>
      <c r="V70" s="43" t="s">
        <v>167</v>
      </c>
      <c r="W70" s="43" t="s">
        <v>95</v>
      </c>
      <c r="X70" s="43" t="s">
        <v>82</v>
      </c>
      <c r="Y70" s="43" t="s">
        <v>177</v>
      </c>
      <c r="Z70" s="43" t="s">
        <v>178</v>
      </c>
      <c r="AA70" s="43" t="s">
        <v>116</v>
      </c>
      <c r="AB70" s="43" t="s">
        <v>179</v>
      </c>
      <c r="AC70" s="43" t="s">
        <v>71</v>
      </c>
      <c r="AD70" s="43" t="s">
        <v>71</v>
      </c>
      <c r="AE70" s="43" t="s">
        <v>71</v>
      </c>
      <c r="AF70" s="43" t="s">
        <v>76</v>
      </c>
      <c r="AG70" t="str">
        <f>VLOOKUP($Q70,武学奇术!$A:$ZZ,25,FALSE)</f>
        <v>伞</v>
      </c>
      <c r="AH70" s="30">
        <f>VLOOKUP($Q70,武学奇术!$A:$ZZ,26,FALSE)</f>
        <v>0.54</v>
      </c>
      <c r="AI70" s="31">
        <f>VLOOKUP($Q70,武学奇术!$A:$ZZ,27,FALSE)*(1+IF(OR($AG70=$F$4,$AG70=$F$5),$B$22,0))</f>
        <v>0</v>
      </c>
      <c r="AJ70" s="30">
        <f>VLOOKUP($Q70,武学奇术!$A:$ZZ,28,FALSE)</f>
        <v>0.81</v>
      </c>
      <c r="AK70" s="31">
        <f>VLOOKUP($Q70,武学奇术!$A:$ZZ,29,FALSE)*(1+IF(OR($AG70=$F$4,$AG70=$F$5),$B$22,0))</f>
        <v>0</v>
      </c>
      <c r="AL70" s="30" cm="1">
        <f t="array" ref="AL70">$G$3+IFERROR(VLOOKUP($AG70,$F$4:$G$7,2,FALSE),0)+VLOOKUP($Q70,武学奇术!$A:$ZZ,2,FALSE)+SUM(_xlfn.XLOOKUP($R70:$AF70,增益!$A:$A,增益!$B:$B,0))</f>
        <v>1.0541</v>
      </c>
      <c r="AM70" s="30" cm="1">
        <f t="array" ref="AM70">VLOOKUP($Q70,武学奇术!$A:$ZZ,5,FALSE)+SUM(_xlfn.XLOOKUP($R70:$AF70,增益!$A:$A,增益!$E:$E,0))</f>
        <v>0</v>
      </c>
      <c r="AN70" cm="1">
        <f t="array" ref="AN70">$D$10*(1+$AM70)+VLOOKUP($Q70,武学奇术!$A:$ZZ,3,FALSE)+SUM(_xlfn.XLOOKUP($R70:$AF70,增益!$A:$A,增益!$C:$C,0))-$I$2</f>
        <v>3545.8</v>
      </c>
      <c r="AO70" cm="1">
        <f t="array" ref="AO70">$E$10*(1+$AM70)+VLOOKUP($Q70,武学奇术!$A:$ZZ,4,FALSE)+SUM(_xlfn.XLOOKUP($R70:$AF70,增益!$A:$A,增益!$D:$D,0))-$I$2</f>
        <v>3545.8</v>
      </c>
      <c r="AP70" s="35" cm="1">
        <f t="array" ref="AP70">IF($F$10-$I$3+VLOOKUP($Q70,武学奇术!$A:$ZZ,6,FALSE)+SUM(_xlfn.XLOOKUP(R70:AF70,增益!$A:$A,增益!$F:$F,0))&gt;0,($F$10-$I$3+VLOOKUP($Q70,武学奇术!$A:$ZZ,6,FALSE)+SUM(_xlfn.XLOOKUP(R70:AF70,增益!$A:$A,增益!$F:$F,0)))/200,($F$10-$I$3+VLOOKUP($Q70,武学奇术!$A:$ZZ,6,FALSE)+SUM(_xlfn.XLOOKUP(R70:AF70,增益!$A:$A,增益!$F:$F,0)))/100)</f>
        <v>0.4675</v>
      </c>
      <c r="AQ70" s="35" cm="1">
        <f t="array" ref="AQ70">$G$10+VLOOKUP($Q70,武学奇术!$A:$ZZ,7,FALSE)+SUM(_xlfn.XLOOKUP(R70:AF70,增益!$A:$A,增益!$G:$G,0))</f>
        <v>0.148</v>
      </c>
      <c r="AR70" s="30" cm="1">
        <f t="array" ref="AR70">VLOOKUP($Q70,武学奇术!$A:$ZZ,8,FALSE)+SUM(_xlfn.XLOOKUP(R70:AF70,增益!$A:$A,增益!$H:$H,0))</f>
        <v>0</v>
      </c>
      <c r="AS70">
        <f t="shared" si="23"/>
        <v>0</v>
      </c>
      <c r="AT70">
        <f t="shared" si="24"/>
        <v>0</v>
      </c>
      <c r="AU70" s="35" cm="1">
        <f t="array" ref="AU70">IF($F$11-$I$4+VLOOKUP($Q70,武学奇术!$A:$ZZ,9,FALSE)+SUM(_xlfn.XLOOKUP(R70:AF70,增益!$A:$A,增益!$I:$I,0))&gt;0,($F$11-$I$4+VLOOKUP($Q70,武学奇术!$A:$ZZ,9,FALSE)+SUM(_xlfn.XLOOKUP(R70:AF70,增益!$A:$A,增益!$I:$I,0)))/200,($F$11-$I$4+VLOOKUP($Q70,武学奇术!$A:$ZZ,9,FALSE)+SUM(_xlfn.XLOOKUP(R70:AF70,增益!$A:$A,增益!$I:$I,0)))/100)</f>
        <v>-0.14</v>
      </c>
      <c r="AV70" s="35" cm="1">
        <f t="array" ref="AV70">$G$11+VLOOKUP($Q70,武学奇术!$A:$ZZ,10,FALSE)+SUM(_xlfn.XLOOKUP(R70:AF70,增益!$A:$A,增益!$J:$J,0))</f>
        <v>0.1</v>
      </c>
      <c r="AW70">
        <f t="shared" si="25"/>
        <v>0</v>
      </c>
      <c r="AX70">
        <f t="shared" si="26"/>
        <v>0</v>
      </c>
      <c r="AY70" s="35" cm="1">
        <f t="array" ref="AY70">IF($F$12-$I$4+VLOOKUP($Q70,武学奇术!$A:$ZZ,11,FALSE)+SUM(_xlfn.XLOOKUP(R70:AF70,增益!$A:$A,增益!$K:$K,0))&gt;0,($F$12-$I$4+VLOOKUP($Q70,武学奇术!$A:$ZZ,11,FALSE)+SUM(_xlfn.XLOOKUP(R70:AF70,增益!$A:$A,增益!$K:$K,0)))/200,($F$12-$I$4+VLOOKUP($Q70,武学奇术!$A:$ZZ,11,FALSE)+SUM(_xlfn.XLOOKUP(R70:AF70,增益!$A:$A,增益!$K:$K,0)))/100)</f>
        <v>-0.14</v>
      </c>
      <c r="AZ70" s="35" cm="1">
        <f t="array" ref="AZ70">$G$12+VLOOKUP($Q70,武学奇术!$A:$ZZ,12,FALSE)+SUM(_xlfn.XLOOKUP(R70:AF70,增益!$A:$A,增益!$L:$L,0))</f>
        <v>0</v>
      </c>
      <c r="BA70">
        <f t="shared" si="27"/>
        <v>0</v>
      </c>
      <c r="BB70">
        <f t="shared" si="28"/>
        <v>0</v>
      </c>
      <c r="BC70" s="35" cm="1">
        <f t="array" ref="BC70">IF($F$13-$I$4+VLOOKUP($Q70,武学奇术!$A:$ZZ,13,FALSE)+SUM(_xlfn.XLOOKUP(R70:AF70,增益!$A:$A,增益!$M:$M,0))&gt;0,($F$13-$I$4+VLOOKUP($Q70,武学奇术!$A:$ZZ,13,FALSE)+SUM(_xlfn.XLOOKUP(R70:AF70,增益!$A:$A,增益!$K:$K,0)))/200,($F$13-$I$4+VLOOKUP($Q70,武学奇术!$A:$ZZ,13,FALSE)+SUM(_xlfn.XLOOKUP(R70:AF70,增益!$A:$A,增益!$M:$M,0)))/100)</f>
        <v>-0.14</v>
      </c>
      <c r="BD70" s="35" cm="1">
        <f t="array" ref="BD70">$G$13+VLOOKUP($Q70,武学奇术!$A:$ZZ,14,FALSE)+SUM(_xlfn.XLOOKUP(R70:AF70,增益!$A:$A,增益!$N:$N,0))</f>
        <v>0</v>
      </c>
      <c r="BE70">
        <f t="shared" si="29"/>
        <v>538</v>
      </c>
      <c r="BF70">
        <f t="shared" si="30"/>
        <v>1561.4</v>
      </c>
      <c r="BG70" s="35" cm="1">
        <f t="array" ref="BG70">IF($F$14-$I$4+VLOOKUP($Q70,武学奇术!$A:$ZZ,15,FALSE)+SUM(_xlfn.XLOOKUP(R70:AF70,增益!$A:$A,增益!$O:$O,0))&gt;0,($F$14-$I$4+VLOOKUP($Q70,武学奇术!$A:$ZZ,15,FALSE)+SUM(_xlfn.XLOOKUP(R70:AF70,增益!$A:$A,增益!$O:$O,0)))/200,($F$14-$I$4+VLOOKUP($Q70,武学奇术!$A:$ZZ,15,FALSE)+SUM(_xlfn.XLOOKUP(R70:AF70,增益!$A:$A,增益!$O:$O,0)))/100)</f>
        <v>0.08</v>
      </c>
      <c r="BH70" s="35" cm="1">
        <f t="array" ref="BH70">$G$14+VLOOKUP($Q70,武学奇术!$A:$ZZ,16,FALSE)+SUM(_xlfn.XLOOKUP(R70:AF70,增益!$A:$A,增益!$P:$P,0))</f>
        <v>0.27</v>
      </c>
      <c r="BI70" s="30">
        <f>MIN(IF(VLOOKUP($Q70,武学奇术!$A:$ZZ,23,FALSE)=1,100%,$B$8),100%)</f>
        <v>0.9712</v>
      </c>
      <c r="BJ70" s="30" cm="1">
        <f t="array" ref="BJ70">IF(VLOOKUP($Q70,武学奇术!$A:$ZZ,23,FALSE)=1,100%,MIN(80%,$B$9+VLOOKUP($Q70,武学奇术!$A:$ZZ,17,FALSE)+SUM(_xlfn.XLOOKUP(R70:AF70,增益!$A:$A,增益!$Q:$Q,0)))+$B$11+SUM(_xlfn.XLOOKUP(R70:AF70,增益!$A:$A,增益!$U:$U,0)))*IF(VLOOKUP($Q70,武学奇术!$A:$ZZ,24,FALSE)=1,0,1)</f>
        <v>0.8773</v>
      </c>
      <c r="BK70" s="30" cm="1">
        <f t="array" ref="BK70">1+$B$13+VLOOKUP($Q70,武学奇术!$A:$ZZ,18,FALSE)+SUM(_xlfn.XLOOKUP(R70:AF70,增益!$A:$A,增益!$R:$R,0))</f>
        <v>2.12</v>
      </c>
      <c r="BL70" s="30" cm="1">
        <f t="array" ref="BL70">IF(VLOOKUP($Q70,武学奇术!$A:$ZZ,24,FALSE)=1,100%,MIN(40%,$B$10+VLOOKUP($Q70,武学奇术!$A:$ZZ,19,FALSE)+SUM(_xlfn.XLOOKUP(R70:AF70,增益!$A:$A,增益!$S:$S,0)))+$B$12+SUM(_xlfn.XLOOKUP(R70:AF70,增益!$A:$A,增益!$V:$V,0)))*IF(VLOOKUP($Q70,武学奇术!$A:$ZZ,23,FALSE)=1,0,1)</f>
        <v>0.0895</v>
      </c>
      <c r="BM70" s="30" cm="1">
        <f t="array" ref="BM70">1+$B$14+VLOOKUP($Q70,武学奇术!$A:$ZZ,20,FALSE)+SUM(_xlfn.XLOOKUP(R70:AF70,增益!$A:$A,增益!$T:$T,0))</f>
        <v>1.35</v>
      </c>
      <c r="BN70" s="30">
        <f t="shared" si="22"/>
        <v>0.85203376</v>
      </c>
      <c r="BO70" s="30">
        <f t="shared" si="32"/>
        <v>0.03224384</v>
      </c>
      <c r="BP70" s="30">
        <f>IF(VLOOKUP($Q70,武学奇术!$A:$ZZ,22,FALSE)=1,0,(1-$BI70))*(1-$BL70)</f>
        <v>0.0262224</v>
      </c>
      <c r="BQ70" s="30" cm="1">
        <f t="array" ref="BQ70">SUM(_xlfn.XLOOKUP(R70:AF70,增益!$A:$A,增益!$W:$W,0))+$I$5</f>
        <v>0.31</v>
      </c>
    </row>
    <row r="71" spans="1:69">
      <c r="A71" s="4" t="s">
        <v>150</v>
      </c>
      <c r="B71" s="4">
        <v>1</v>
      </c>
      <c r="C71"/>
      <c r="D71"/>
      <c r="E71" s="42"/>
      <c r="K71" s="41">
        <f t="shared" si="31"/>
        <v>68060.5262520038</v>
      </c>
      <c r="L71" s="41">
        <f>((($AN71+$AO71)/2*$AH71+$AI71)*(1+$AP71)*(1+$AQ71)+(($AS71+$AT71)/2*IF($G$1="鸣金",$AJ71,$AH71)+IF($G$1="鸣金",$AK71*1.5,0))*(1+$AU71)*(1+$AV71)+(($AW71+$AX71)/2*IF($G$1="裂石",$AJ71,$AH71)+IF($G$1="裂石",$AK71*1.5,0))*(1+$AY71)*(1+$AZ71)+(($BA71+$BB71)/2*IF($G$1="牵丝",$AJ71,$AH71)+IF($G$1="牵丝",$AK71*1.5,0))*(1+$BC71)*(1+$BD71)+(($BE71+$BF71)/2*IF($G$1="破竹",$AJ71,$AH71)+IF($G$1="破竹",$AK71*1.5,0))*(1+$BG71)*(1+$BH71))*(1+$AL71)*$BK71*$P71*(1+IF(VLOOKUP($Q71,武学奇术!$A:$ZZ,30,FALSE)="回旋伞",$B$21,0))*(1+$BQ71)</f>
        <v>68060.5262520038</v>
      </c>
      <c r="M71" s="41">
        <f>(($AO71*$AH71+$AI71)*(1+$AP71)*(1+$AQ71)+($AT71*IF($G$1="鸣金",$AJ71,$AH71)+IF($G$1="鸣金",$AK71*1.5,0))*(1+$AU71)*(1+$AV71)+($AX71*IF($G$1="裂石",$AJ71,$AH71)+IF($G$1="裂石",$AK71*1.5,0))*(1+$AY71)*(1+$AZ71)+($BB71*IF($G$1="牵丝",$AJ71,$AH71)+IF($G$1="牵丝",$AK71*1.5,0))*(1+$BC71)*(1+$BD71)+($BF71*IF($G$1="破竹",$AJ71,$AH71)+IF($G$1="破竹",$AK71*1.5,0))*(1+$BG71)*(1+$BH71))*(1+$AL71)*$BM71*$P71*(1+IF(VLOOKUP($Q71,武学奇术!$A:$ZZ,30,FALSE)="回旋伞",$B$21,0))*(1+$BQ71)</f>
        <v>48328.0131805981</v>
      </c>
      <c r="N71" s="41">
        <f>((($AN71+$AO71)/2*$AH71+$AI71)*(1+$AP71)*(1+$AQ71)+(($AS71+$AT71)/2*IF($G$1="鸣金",$AJ71,$AH71)+IF($G$1="鸣金",$AK71*1.5,0))*(1+$AU71)*(1+$AV71)+(($AW71+$AX71)/2*IF($G$1="裂石",$AJ71,$AH71)+IF($G$1="裂石",$AK71*1.5,0))*(1+$AY71)*(1+$AZ71)+(($BA71+$BB71)/2*IF($G$1="牵丝",$AJ71,$AH71)+IF($G$1="牵丝",$AK71*1.5,0))*(1+$BC71)*(1+$BD71)+(($BE71+$BF71)/2*IF($G$1="破竹",$AJ71,$AH71)+IF($G$1="破竹",$AK71*1.5,0))*(1+$BG71)*(1+$BH71))*(1+$AL71)*$P71*(1+IF(VLOOKUP($Q71,武学奇术!$A:$ZZ,30,FALSE)="回旋伞",$B$21,0))*(1+$BQ71)</f>
        <v>32104.0218169829</v>
      </c>
      <c r="O71" s="41">
        <f>((($AN71*$AH71+$AI71)*(1+$AP71)*(1+$AQ71)+($AS71*IF($G$1="鸣金",$AJ71,$AH71)+IF($G$1="鸣金",$AK71*1.5,0))*(1+$AU71)*(1+$AV71)+($AW71*IF($G$1="裂石",$AJ71,$AH71)+IF($G$1="裂石",$AK71*1.5,0))*(1+$AY71)*(1+$AZ71)+($BA71*IF($G$1="牵丝",$AJ71,$AH71)+IF($G$1="牵丝",$AK71*1.5,0))*(1+$BC71)*(1+$BD71)+($BE71*IF($G$1="破竹",$AJ71,$AH71)+IF($G$1="破竹",$AK71*1.5,0))*(1+$BG71)*(1+$BH71))*(1+$AL71))*$P71*(1+IF(VLOOKUP($Q71,武学奇术!$A:$ZZ,30,FALSE)="回旋伞",$B$21,0))*(1+$BQ71)</f>
        <v>28409.5153520413</v>
      </c>
      <c r="P71" s="42">
        <v>1</v>
      </c>
      <c r="Q71" s="43" t="s">
        <v>150</v>
      </c>
      <c r="R71" s="43" t="s">
        <v>71</v>
      </c>
      <c r="S71" s="43" t="s">
        <v>91</v>
      </c>
      <c r="T71" s="43" t="s">
        <v>72</v>
      </c>
      <c r="U71" s="43" t="s">
        <v>71</v>
      </c>
      <c r="V71" s="43" t="s">
        <v>167</v>
      </c>
      <c r="W71" s="43" t="s">
        <v>95</v>
      </c>
      <c r="X71" s="43" t="s">
        <v>82</v>
      </c>
      <c r="Y71" s="43" t="s">
        <v>71</v>
      </c>
      <c r="Z71" s="43" t="s">
        <v>71</v>
      </c>
      <c r="AA71" s="43" t="s">
        <v>71</v>
      </c>
      <c r="AB71" s="43" t="s">
        <v>179</v>
      </c>
      <c r="AC71" s="43" t="s">
        <v>71</v>
      </c>
      <c r="AD71" s="43" t="s">
        <v>71</v>
      </c>
      <c r="AE71" s="43" t="s">
        <v>71</v>
      </c>
      <c r="AF71" s="43" t="s">
        <v>76</v>
      </c>
      <c r="AG71" t="str">
        <f>VLOOKUP($Q71,武学奇术!$A:$ZZ,25,FALSE)</f>
        <v>绳镖</v>
      </c>
      <c r="AH71" s="30">
        <f>VLOOKUP($Q71,武学奇术!$A:$ZZ,26,FALSE)</f>
        <v>2.2987</v>
      </c>
      <c r="AI71" s="31">
        <f>VLOOKUP($Q71,武学奇术!$A:$ZZ,27,FALSE)*(1+IF(OR($AG71=$F$4,$AG71=$F$5),$B$22,0))</f>
        <v>891.8</v>
      </c>
      <c r="AJ71" s="30">
        <f>VLOOKUP($Q71,武学奇术!$A:$ZZ,28,FALSE)</f>
        <v>3.448</v>
      </c>
      <c r="AK71" s="31">
        <f>VLOOKUP($Q71,武学奇术!$A:$ZZ,29,FALSE)*(1+IF(OR($AG71=$F$4,$AG71=$F$5),$B$22,0))</f>
        <v>485.8</v>
      </c>
      <c r="AL71" s="30" cm="1">
        <f t="array" ref="AL71">$G$3+IFERROR(VLOOKUP($AG71,$F$4:$G$7,2,FALSE),0)+VLOOKUP($Q71,武学奇术!$A:$ZZ,2,FALSE)+SUM(_xlfn.XLOOKUP($R71:$AF71,增益!$A:$A,增益!$B:$B,0))</f>
        <v>0.5189</v>
      </c>
      <c r="AM71" s="30" cm="1">
        <f t="array" ref="AM71">VLOOKUP($Q71,武学奇术!$A:$ZZ,5,FALSE)+SUM(_xlfn.XLOOKUP($R71:$AF71,增益!$A:$A,增益!$E:$E,0))</f>
        <v>0</v>
      </c>
      <c r="AN71" cm="1">
        <f t="array" ref="AN71">$D$10*(1+$AM71)+VLOOKUP($Q71,武学奇术!$A:$ZZ,3,FALSE)+SUM(_xlfn.XLOOKUP($R71:$AF71,增益!$A:$A,增益!$C:$C,0))-$I$2</f>
        <v>3545.8</v>
      </c>
      <c r="AO71" cm="1">
        <f t="array" ref="AO71">$E$10*(1+$AM71)+VLOOKUP($Q71,武学奇术!$A:$ZZ,4,FALSE)+SUM(_xlfn.XLOOKUP($R71:$AF71,增益!$A:$A,增益!$D:$D,0))-$I$2</f>
        <v>3545.8</v>
      </c>
      <c r="AP71" s="35" cm="1">
        <f t="array" ref="AP71">IF($F$10-$I$3+VLOOKUP($Q71,武学奇术!$A:$ZZ,6,FALSE)+SUM(_xlfn.XLOOKUP(R71:AF71,增益!$A:$A,增益!$F:$F,0))&gt;0,($F$10-$I$3+VLOOKUP($Q71,武学奇术!$A:$ZZ,6,FALSE)+SUM(_xlfn.XLOOKUP(R71:AF71,增益!$A:$A,增益!$F:$F,0)))/200,($F$10-$I$3+VLOOKUP($Q71,武学奇术!$A:$ZZ,6,FALSE)+SUM(_xlfn.XLOOKUP(R71:AF71,增益!$A:$A,增益!$F:$F,0)))/100)</f>
        <v>0.4675</v>
      </c>
      <c r="AQ71" s="35" cm="1">
        <f t="array" ref="AQ71">$G$10+VLOOKUP($Q71,武学奇术!$A:$ZZ,7,FALSE)+SUM(_xlfn.XLOOKUP(R71:AF71,增益!$A:$A,增益!$G:$G,0))</f>
        <v>0.028</v>
      </c>
      <c r="AR71" s="30" cm="1">
        <f t="array" ref="AR71">VLOOKUP($Q71,武学奇术!$A:$ZZ,8,FALSE)+SUM(_xlfn.XLOOKUP(R71:AF71,增益!$A:$A,增益!$H:$H,0))</f>
        <v>0</v>
      </c>
      <c r="AS71">
        <f t="shared" si="23"/>
        <v>0</v>
      </c>
      <c r="AT71">
        <f t="shared" si="24"/>
        <v>0</v>
      </c>
      <c r="AU71" s="35" cm="1">
        <f t="array" ref="AU71">IF($F$11-$I$4+VLOOKUP($Q71,武学奇术!$A:$ZZ,9,FALSE)+SUM(_xlfn.XLOOKUP(R71:AF71,增益!$A:$A,增益!$I:$I,0))&gt;0,($F$11-$I$4+VLOOKUP($Q71,武学奇术!$A:$ZZ,9,FALSE)+SUM(_xlfn.XLOOKUP(R71:AF71,增益!$A:$A,增益!$I:$I,0)))/200,($F$11-$I$4+VLOOKUP($Q71,武学奇术!$A:$ZZ,9,FALSE)+SUM(_xlfn.XLOOKUP(R71:AF71,增益!$A:$A,增益!$I:$I,0)))/100)</f>
        <v>-0.14</v>
      </c>
      <c r="AV71" s="35" cm="1">
        <f t="array" ref="AV71">$G$11+VLOOKUP($Q71,武学奇术!$A:$ZZ,10,FALSE)+SUM(_xlfn.XLOOKUP(R71:AF71,增益!$A:$A,增益!$J:$J,0))</f>
        <v>0</v>
      </c>
      <c r="AW71">
        <f t="shared" si="25"/>
        <v>0</v>
      </c>
      <c r="AX71">
        <f t="shared" si="26"/>
        <v>0</v>
      </c>
      <c r="AY71" s="35" cm="1">
        <f t="array" ref="AY71">IF($F$12-$I$4+VLOOKUP($Q71,武学奇术!$A:$ZZ,11,FALSE)+SUM(_xlfn.XLOOKUP(R71:AF71,增益!$A:$A,增益!$K:$K,0))&gt;0,($F$12-$I$4+VLOOKUP($Q71,武学奇术!$A:$ZZ,11,FALSE)+SUM(_xlfn.XLOOKUP(R71:AF71,增益!$A:$A,增益!$K:$K,0)))/200,($F$12-$I$4+VLOOKUP($Q71,武学奇术!$A:$ZZ,11,FALSE)+SUM(_xlfn.XLOOKUP(R71:AF71,增益!$A:$A,增益!$K:$K,0)))/100)</f>
        <v>-0.14</v>
      </c>
      <c r="AZ71" s="35" cm="1">
        <f t="array" ref="AZ71">$G$12+VLOOKUP($Q71,武学奇术!$A:$ZZ,12,FALSE)+SUM(_xlfn.XLOOKUP(R71:AF71,增益!$A:$A,增益!$L:$L,0))</f>
        <v>0</v>
      </c>
      <c r="BA71">
        <f t="shared" si="27"/>
        <v>0</v>
      </c>
      <c r="BB71">
        <f t="shared" si="28"/>
        <v>0</v>
      </c>
      <c r="BC71" s="35" cm="1">
        <f t="array" ref="BC71">IF($F$13-$I$4+VLOOKUP($Q71,武学奇术!$A:$ZZ,13,FALSE)+SUM(_xlfn.XLOOKUP(R71:AF71,增益!$A:$A,增益!$M:$M,0))&gt;0,($F$13-$I$4+VLOOKUP($Q71,武学奇术!$A:$ZZ,13,FALSE)+SUM(_xlfn.XLOOKUP(R71:AF71,增益!$A:$A,增益!$K:$K,0)))/200,($F$13-$I$4+VLOOKUP($Q71,武学奇术!$A:$ZZ,13,FALSE)+SUM(_xlfn.XLOOKUP(R71:AF71,增益!$A:$A,增益!$M:$M,0)))/100)</f>
        <v>-0.14</v>
      </c>
      <c r="BD71" s="35" cm="1">
        <f t="array" ref="BD71">$G$13+VLOOKUP($Q71,武学奇术!$A:$ZZ,14,FALSE)+SUM(_xlfn.XLOOKUP(R71:AF71,增益!$A:$A,增益!$N:$N,0))</f>
        <v>0</v>
      </c>
      <c r="BE71">
        <f t="shared" si="29"/>
        <v>538</v>
      </c>
      <c r="BF71">
        <f t="shared" si="30"/>
        <v>1561.4</v>
      </c>
      <c r="BG71" s="35" cm="1">
        <f t="array" ref="BG71">IF($F$14-$I$4+VLOOKUP($Q71,武学奇术!$A:$ZZ,15,FALSE)+SUM(_xlfn.XLOOKUP(R71:AF71,增益!$A:$A,增益!$O:$O,0))&gt;0,($F$14-$I$4+VLOOKUP($Q71,武学奇术!$A:$ZZ,15,FALSE)+SUM(_xlfn.XLOOKUP(R71:AF71,增益!$A:$A,增益!$O:$O,0)))/200,($F$14-$I$4+VLOOKUP($Q71,武学奇术!$A:$ZZ,15,FALSE)+SUM(_xlfn.XLOOKUP(R71:AF71,增益!$A:$A,增益!$O:$O,0)))/100)</f>
        <v>0.08</v>
      </c>
      <c r="BH71" s="35" cm="1">
        <f t="array" ref="BH71">$G$14+VLOOKUP($Q71,武学奇术!$A:$ZZ,16,FALSE)+SUM(_xlfn.XLOOKUP(R71:AF71,增益!$A:$A,增益!$P:$P,0))</f>
        <v>0.15</v>
      </c>
      <c r="BI71" s="30">
        <f>MIN(IF(VLOOKUP($Q71,武学奇术!$A:$ZZ,23,FALSE)=1,100%,$B$8),100%)</f>
        <v>1</v>
      </c>
      <c r="BJ71" s="30" cm="1">
        <f t="array" ref="BJ71">IF(VLOOKUP($Q71,武学奇术!$A:$ZZ,23,FALSE)=1,100%,MIN(80%,$B$9+VLOOKUP($Q71,武学奇术!$A:$ZZ,17,FALSE)+SUM(_xlfn.XLOOKUP(R71:AF71,增益!$A:$A,增益!$Q:$Q,0)))+$B$11+SUM(_xlfn.XLOOKUP(R71:AF71,增益!$A:$A,增益!$U:$U,0)))*IF(VLOOKUP($Q71,武学奇术!$A:$ZZ,24,FALSE)=1,0,1)</f>
        <v>1</v>
      </c>
      <c r="BK71" s="30" cm="1">
        <f t="array" ref="BK71">1+$B$13+VLOOKUP($Q71,武学奇术!$A:$ZZ,18,FALSE)+SUM(_xlfn.XLOOKUP(R71:AF71,增益!$A:$A,增益!$R:$R,0))</f>
        <v>2.12</v>
      </c>
      <c r="BL71" s="30" cm="1">
        <f t="array" ref="BL71">IF(VLOOKUP($Q71,武学奇术!$A:$ZZ,24,FALSE)=1,100%,MIN(40%,$B$10+VLOOKUP($Q71,武学奇术!$A:$ZZ,19,FALSE)+SUM(_xlfn.XLOOKUP(R71:AF71,增益!$A:$A,增益!$S:$S,0)))+$B$12+SUM(_xlfn.XLOOKUP(R71:AF71,增益!$A:$A,增益!$V:$V,0)))*IF(VLOOKUP($Q71,武学奇术!$A:$ZZ,23,FALSE)=1,0,1)</f>
        <v>0</v>
      </c>
      <c r="BM71" s="30" cm="1">
        <f t="array" ref="BM71">1+$B$14+VLOOKUP($Q71,武学奇术!$A:$ZZ,20,FALSE)+SUM(_xlfn.XLOOKUP(R71:AF71,增益!$A:$A,增益!$T:$T,0))</f>
        <v>1.35</v>
      </c>
      <c r="BN71" s="30">
        <f t="shared" si="22"/>
        <v>1</v>
      </c>
      <c r="BO71" s="30">
        <f t="shared" si="32"/>
        <v>0</v>
      </c>
      <c r="BP71" s="30">
        <f>IF(VLOOKUP($Q71,武学奇术!$A:$ZZ,22,FALSE)=1,0,(1-$BI71))*(1-$BL71)</f>
        <v>0</v>
      </c>
      <c r="BQ71" s="30" cm="1">
        <f t="array" ref="BQ71">SUM(_xlfn.XLOOKUP(R71:AF71,增益!$A:$A,增益!$W:$W,0))+$I$5</f>
        <v>0.11</v>
      </c>
    </row>
    <row r="72" spans="1:69">
      <c r="A72" s="4" t="s">
        <v>160</v>
      </c>
      <c r="B72" s="90">
        <v>0.1</v>
      </c>
      <c r="C72"/>
      <c r="D72"/>
      <c r="E72" s="42"/>
      <c r="G72">
        <v>-15</v>
      </c>
      <c r="K72" s="89">
        <f>(SUM(K50:K71)+K144+K145)*10%</f>
        <v>269649.302074099</v>
      </c>
      <c r="L72" s="41">
        <f>((($AN72+$AO72)/2*$AH72+$AI72)*(1+$AP72)*(1+$AQ72)+(($AS72+$AT72)/2*IF($G$1="鸣金",$AJ72,$AH72)+IF($G$1="鸣金",$AK72*1.5,0))*(1+$AU72)*(1+$AV72)+(($AW72+$AX72)/2*IF($G$1="裂石",$AJ72,$AH72)+IF($G$1="裂石",$AK72*1.5,0))*(1+$AY72)*(1+$AZ72)+(($BA72+$BB72)/2*IF($G$1="牵丝",$AJ72,$AH72)+IF($G$1="牵丝",$AK72*1.5,0))*(1+$BC72)*(1+$BD72)+(($BE72+$BF72)/2*IF($G$1="破竹",$AJ72,$AH72)+IF($G$1="破竹",$AK72*1.5,0))*(1+$BG72)*(1+$BH72))*(1+$AL72)*$BK72*$P72*(1+IF(VLOOKUP($Q72,武学奇术!$A:$ZZ,30,FALSE)="回旋伞",$B$21,0))*(1+$BQ72)</f>
        <v>0</v>
      </c>
      <c r="M72" s="41">
        <f>(($AO72*$AH72+$AI72)*(1+$AP72)*(1+$AQ72)+($AT72*IF($G$1="鸣金",$AJ72,$AH72)+IF($G$1="鸣金",$AK72*1.5,0))*(1+$AU72)*(1+$AV72)+($AX72*IF($G$1="裂石",$AJ72,$AH72)+IF($G$1="裂石",$AK72*1.5,0))*(1+$AY72)*(1+$AZ72)+($BB72*IF($G$1="牵丝",$AJ72,$AH72)+IF($G$1="牵丝",$AK72*1.5,0))*(1+$BC72)*(1+$BD72)+($BF72*IF($G$1="破竹",$AJ72,$AH72)+IF($G$1="破竹",$AK72*1.5,0))*(1+$BG72)*(1+$BH72))*(1+$AL72)*$BM72*$P72*(1+IF(VLOOKUP($Q72,武学奇术!$A:$ZZ,30,FALSE)="回旋伞",$B$21,0))*(1+$BQ72)</f>
        <v>0</v>
      </c>
      <c r="N72" s="41">
        <f>((($AN72+$AO72)/2*$AH72+$AI72)*(1+$AP72)*(1+$AQ72)+(($AS72+$AT72)/2*IF($G$1="鸣金",$AJ72,$AH72)+IF($G$1="鸣金",$AK72*1.5,0))*(1+$AU72)*(1+$AV72)+(($AW72+$AX72)/2*IF($G$1="裂石",$AJ72,$AH72)+IF($G$1="裂石",$AK72*1.5,0))*(1+$AY72)*(1+$AZ72)+(($BA72+$BB72)/2*IF($G$1="牵丝",$AJ72,$AH72)+IF($G$1="牵丝",$AK72*1.5,0))*(1+$BC72)*(1+$BD72)+(($BE72+$BF72)/2*IF($G$1="破竹",$AJ72,$AH72)+IF($G$1="破竹",$AK72*1.5,0))*(1+$BG72)*(1+$BH72))*(1+$AL72)*$P72*(1+IF(VLOOKUP($Q72,武学奇术!$A:$ZZ,30,FALSE)="回旋伞",$B$21,0))*(1+$BQ72)</f>
        <v>0</v>
      </c>
      <c r="O72" s="41">
        <f>((($AN72*$AH72+$AI72)*(1+$AP72)*(1+$AQ72)+($AS72*IF($G$1="鸣金",$AJ72,$AH72)+IF($G$1="鸣金",$AK72*1.5,0))*(1+$AU72)*(1+$AV72)+($AW72*IF($G$1="裂石",$AJ72,$AH72)+IF($G$1="裂石",$AK72*1.5,0))*(1+$AY72)*(1+$AZ72)+($BA72*IF($G$1="牵丝",$AJ72,$AH72)+IF($G$1="牵丝",$AK72*1.5,0))*(1+$BC72)*(1+$BD72)+($BE72*IF($G$1="破竹",$AJ72,$AH72)+IF($G$1="破竹",$AK72*1.5,0))*(1+$BG72)*(1+$BH72))*(1+$AL72))*$P72*(1+IF(VLOOKUP($Q72,武学奇术!$A:$ZZ,30,FALSE)="回旋伞",$B$21,0))*(1+$BQ72)</f>
        <v>0</v>
      </c>
      <c r="P72" s="42">
        <v>1</v>
      </c>
      <c r="Q72" s="43" t="s">
        <v>152</v>
      </c>
      <c r="R72" s="43" t="s">
        <v>71</v>
      </c>
      <c r="S72" s="43" t="s">
        <v>71</v>
      </c>
      <c r="T72" s="43" t="s">
        <v>71</v>
      </c>
      <c r="U72" s="43" t="s">
        <v>71</v>
      </c>
      <c r="V72" s="43" t="s">
        <v>71</v>
      </c>
      <c r="W72" s="43" t="s">
        <v>71</v>
      </c>
      <c r="X72" s="43" t="s">
        <v>71</v>
      </c>
      <c r="Y72" s="43" t="s">
        <v>71</v>
      </c>
      <c r="Z72" s="43" t="s">
        <v>71</v>
      </c>
      <c r="AA72" s="43" t="s">
        <v>71</v>
      </c>
      <c r="AB72" s="43" t="s">
        <v>71</v>
      </c>
      <c r="AC72" s="43" t="s">
        <v>71</v>
      </c>
      <c r="AD72" s="43" t="s">
        <v>71</v>
      </c>
      <c r="AE72" s="43" t="s">
        <v>71</v>
      </c>
      <c r="AF72" s="43" t="s">
        <v>76</v>
      </c>
      <c r="AG72" t="str">
        <f>VLOOKUP($Q72,武学奇术!$A:$ZZ,25,FALSE)</f>
        <v>心法</v>
      </c>
      <c r="AH72" s="30">
        <f>VLOOKUP($Q72,武学奇术!$A:$ZZ,26,FALSE)</f>
        <v>0</v>
      </c>
      <c r="AI72" s="31">
        <f>VLOOKUP($Q72,武学奇术!$A:$ZZ,27,FALSE)*(1+IF(OR($AG72=$F$4,$AG72=$F$5),$B$22,0))</f>
        <v>0</v>
      </c>
      <c r="AJ72" s="30">
        <f>VLOOKUP($Q72,武学奇术!$A:$ZZ,28,FALSE)</f>
        <v>0</v>
      </c>
      <c r="AK72" s="31">
        <f>VLOOKUP($Q72,武学奇术!$A:$ZZ,29,FALSE)*(1+IF(OR($AG72=$F$4,$AG72=$F$5),$B$22,0))</f>
        <v>0</v>
      </c>
      <c r="AL72" s="30" cm="1">
        <f t="array" ref="AL72">$G$3+IFERROR(VLOOKUP($AG72,$F$4:$G$7,2,FALSE),0)+VLOOKUP($Q72,武学奇术!$A:$ZZ,2,FALSE)+SUM(_xlfn.XLOOKUP($R72:$AF72,增益!$A:$A,增益!$B:$B,0))</f>
        <v>0.1837</v>
      </c>
      <c r="AM72" s="30" cm="1">
        <f t="array" ref="AM72">VLOOKUP($Q72,武学奇术!$A:$ZZ,5,FALSE)+SUM(_xlfn.XLOOKUP($R72:$AF72,增益!$A:$A,增益!$E:$E,0))</f>
        <v>0</v>
      </c>
      <c r="AN72" cm="1">
        <f t="array" ref="AN72">$D$10*(1+$AM72)+VLOOKUP($Q72,武学奇术!$A:$ZZ,3,FALSE)+SUM(_xlfn.XLOOKUP($R72:$AF72,增益!$A:$A,增益!$C:$C,0))-$I$2</f>
        <v>3545.8</v>
      </c>
      <c r="AO72" cm="1">
        <f t="array" ref="AO72">$E$10*(1+$AM72)+VLOOKUP($Q72,武学奇术!$A:$ZZ,4,FALSE)+SUM(_xlfn.XLOOKUP($R72:$AF72,增益!$A:$A,增益!$D:$D,0))-$I$2</f>
        <v>3545.8</v>
      </c>
      <c r="AP72" s="35" cm="1">
        <f t="array" ref="AP72">IF($F$10-$I$3+VLOOKUP($Q72,武学奇术!$A:$ZZ,6,FALSE)+SUM(_xlfn.XLOOKUP(R72:AF72,增益!$A:$A,增益!$F:$F,0))&gt;0,($F$10-$I$3+VLOOKUP($Q72,武学奇术!$A:$ZZ,6,FALSE)+SUM(_xlfn.XLOOKUP(R72:AF72,增益!$A:$A,增益!$F:$F,0)))/200,($F$10-$I$3+VLOOKUP($Q72,武学奇术!$A:$ZZ,6,FALSE)+SUM(_xlfn.XLOOKUP(R72:AF72,增益!$A:$A,增益!$F:$F,0)))/100)</f>
        <v>0.2425</v>
      </c>
      <c r="AQ72" s="35" cm="1">
        <f t="array" ref="AQ72">$G$10+VLOOKUP($Q72,武学奇术!$A:$ZZ,7,FALSE)+SUM(_xlfn.XLOOKUP(R72:AF72,增益!$A:$A,增益!$G:$G,0))</f>
        <v>0.028</v>
      </c>
      <c r="AR72" s="30" cm="1">
        <f t="array" ref="AR72">VLOOKUP($Q72,武学奇术!$A:$ZZ,8,FALSE)+SUM(_xlfn.XLOOKUP(R72:AF72,增益!$A:$A,增益!$H:$H,0))</f>
        <v>0</v>
      </c>
      <c r="AS72">
        <f t="shared" si="23"/>
        <v>0</v>
      </c>
      <c r="AT72">
        <f t="shared" si="24"/>
        <v>0</v>
      </c>
      <c r="AU72" s="35" cm="1">
        <f t="array" ref="AU72">IF($F$11-$I$4+VLOOKUP($Q72,武学奇术!$A:$ZZ,9,FALSE)+SUM(_xlfn.XLOOKUP(R72:AF72,增益!$A:$A,增益!$I:$I,0))&gt;0,($F$11-$I$4+VLOOKUP($Q72,武学奇术!$A:$ZZ,9,FALSE)+SUM(_xlfn.XLOOKUP(R72:AF72,增益!$A:$A,增益!$I:$I,0)))/200,($F$11-$I$4+VLOOKUP($Q72,武学奇术!$A:$ZZ,9,FALSE)+SUM(_xlfn.XLOOKUP(R72:AF72,增益!$A:$A,增益!$I:$I,0)))/100)</f>
        <v>-0.3</v>
      </c>
      <c r="AV72" s="35" cm="1">
        <f t="array" ref="AV72">$G$11+VLOOKUP($Q72,武学奇术!$A:$ZZ,10,FALSE)+SUM(_xlfn.XLOOKUP(R72:AF72,增益!$A:$A,增益!$J:$J,0))</f>
        <v>0</v>
      </c>
      <c r="AW72">
        <f t="shared" si="25"/>
        <v>0</v>
      </c>
      <c r="AX72">
        <f t="shared" si="26"/>
        <v>0</v>
      </c>
      <c r="AY72" s="35" cm="1">
        <f t="array" ref="AY72">IF($F$12-$I$4+VLOOKUP($Q72,武学奇术!$A:$ZZ,11,FALSE)+SUM(_xlfn.XLOOKUP(R72:AF72,增益!$A:$A,增益!$K:$K,0))&gt;0,($F$12-$I$4+VLOOKUP($Q72,武学奇术!$A:$ZZ,11,FALSE)+SUM(_xlfn.XLOOKUP(R72:AF72,增益!$A:$A,增益!$K:$K,0)))/200,($F$12-$I$4+VLOOKUP($Q72,武学奇术!$A:$ZZ,11,FALSE)+SUM(_xlfn.XLOOKUP(R72:AF72,增益!$A:$A,增益!$K:$K,0)))/100)</f>
        <v>-0.3</v>
      </c>
      <c r="AZ72" s="35" cm="1">
        <f t="array" ref="AZ72">$G$12+VLOOKUP($Q72,武学奇术!$A:$ZZ,12,FALSE)+SUM(_xlfn.XLOOKUP(R72:AF72,增益!$A:$A,增益!$L:$L,0))</f>
        <v>0</v>
      </c>
      <c r="BA72">
        <f t="shared" si="27"/>
        <v>0</v>
      </c>
      <c r="BB72">
        <f t="shared" si="28"/>
        <v>0</v>
      </c>
      <c r="BC72" s="35" cm="1">
        <f t="array" ref="BC72">IF($F$13-$I$4+VLOOKUP($Q72,武学奇术!$A:$ZZ,13,FALSE)+SUM(_xlfn.XLOOKUP(R72:AF72,增益!$A:$A,增益!$M:$M,0))&gt;0,($F$13-$I$4+VLOOKUP($Q72,武学奇术!$A:$ZZ,13,FALSE)+SUM(_xlfn.XLOOKUP(R72:AF72,增益!$A:$A,增益!$K:$K,0)))/200,($F$13-$I$4+VLOOKUP($Q72,武学奇术!$A:$ZZ,13,FALSE)+SUM(_xlfn.XLOOKUP(R72:AF72,增益!$A:$A,增益!$M:$M,0)))/100)</f>
        <v>-0.3</v>
      </c>
      <c r="BD72" s="35" cm="1">
        <f t="array" ref="BD72">$G$13+VLOOKUP($Q72,武学奇术!$A:$ZZ,14,FALSE)+SUM(_xlfn.XLOOKUP(R72:AF72,增益!$A:$A,增益!$N:$N,0))</f>
        <v>0</v>
      </c>
      <c r="BE72">
        <f t="shared" si="29"/>
        <v>538</v>
      </c>
      <c r="BF72">
        <f t="shared" si="30"/>
        <v>1561.4</v>
      </c>
      <c r="BG72" s="35" cm="1">
        <f t="array" ref="BG72">IF($F$14-$I$4+VLOOKUP($Q72,武学奇术!$A:$ZZ,15,FALSE)+SUM(_xlfn.XLOOKUP(R72:AF72,增益!$A:$A,增益!$O:$O,0))&gt;0,($F$14-$I$4+VLOOKUP($Q72,武学奇术!$A:$ZZ,15,FALSE)+SUM(_xlfn.XLOOKUP(R72:AF72,增益!$A:$A,增益!$O:$O,0)))/200,($F$14-$I$4+VLOOKUP($Q72,武学奇术!$A:$ZZ,15,FALSE)+SUM(_xlfn.XLOOKUP(R72:AF72,增益!$A:$A,增益!$O:$O,0)))/100)</f>
        <v>0</v>
      </c>
      <c r="BH72" s="35" cm="1">
        <f t="array" ref="BH72">$G$14+VLOOKUP($Q72,武学奇术!$A:$ZZ,16,FALSE)+SUM(_xlfn.XLOOKUP(R72:AF72,增益!$A:$A,增益!$P:$P,0))</f>
        <v>0.15</v>
      </c>
      <c r="BI72" s="30">
        <f>MIN(IF(VLOOKUP($Q72,武学奇术!$A:$ZZ,23,FALSE)=1,100%,$B$8),100%)</f>
        <v>0.9712</v>
      </c>
      <c r="BJ72" s="30" cm="1">
        <f t="array" ref="BJ72">IF(VLOOKUP($Q72,武学奇术!$A:$ZZ,23,FALSE)=1,100%,MIN(80%,$B$9+VLOOKUP($Q72,武学奇术!$A:$ZZ,17,FALSE)+SUM(_xlfn.XLOOKUP(R72:AF72,增益!$A:$A,增益!$Q:$Q,0)))+$B$11+SUM(_xlfn.XLOOKUP(R72:AF72,增益!$A:$A,增益!$U:$U,0)))*IF(VLOOKUP($Q72,武学奇术!$A:$ZZ,24,FALSE)=1,0,1)</f>
        <v>0.8773</v>
      </c>
      <c r="BK72" s="30" cm="1">
        <f t="array" ref="BK72">1+$B$13+VLOOKUP($Q72,武学奇术!$A:$ZZ,18,FALSE)+SUM(_xlfn.XLOOKUP(R72:AF72,增益!$A:$A,增益!$R:$R,0))</f>
        <v>1.5</v>
      </c>
      <c r="BL72" s="30" cm="1">
        <f t="array" ref="BL72">IF(VLOOKUP($Q72,武学奇术!$A:$ZZ,24,FALSE)=1,100%,MIN(40%,$B$10+VLOOKUP($Q72,武学奇术!$A:$ZZ,19,FALSE)+SUM(_xlfn.XLOOKUP(R72:AF72,增益!$A:$A,增益!$S:$S,0)))+$B$12+SUM(_xlfn.XLOOKUP(R72:AF72,增益!$A:$A,增益!$V:$V,0)))*IF(VLOOKUP($Q72,武学奇术!$A:$ZZ,23,FALSE)=1,0,1)</f>
        <v>0.0895</v>
      </c>
      <c r="BM72" s="30" cm="1">
        <f t="array" ref="BM72">1+$B$14+VLOOKUP($Q72,武学奇术!$A:$ZZ,20,FALSE)+SUM(_xlfn.XLOOKUP(R72:AF72,增益!$A:$A,增益!$T:$T,0))</f>
        <v>1.35</v>
      </c>
      <c r="BN72" s="30">
        <f t="shared" si="22"/>
        <v>0.85203376</v>
      </c>
      <c r="BO72" s="30">
        <f t="shared" si="32"/>
        <v>0.03224384</v>
      </c>
      <c r="BP72" s="30">
        <f>IF(VLOOKUP($Q72,武学奇术!$A:$ZZ,22,FALSE)=1,0,(1-$BI72))*(1-$BL72)</f>
        <v>0.0262224</v>
      </c>
      <c r="BQ72" s="30" cm="1">
        <f t="array" ref="BQ72">SUM(_xlfn.XLOOKUP(R72:AF72,增益!$A:$A,增益!$W:$W,0))+$I$5</f>
        <v>0.11</v>
      </c>
    </row>
    <row r="73" spans="1:69">
      <c r="A73" s="4" t="s">
        <v>163</v>
      </c>
      <c r="B73" s="90">
        <v>2</v>
      </c>
      <c r="C73"/>
      <c r="D73"/>
      <c r="E73" s="42"/>
      <c r="K73" s="41">
        <f t="shared" si="31"/>
        <v>96979.7374287159</v>
      </c>
      <c r="L73" s="41">
        <f>((($AN73+$AO73)/2*$AH73+$AI73)*(1+$AP73)*(1+$AQ73)+(($AS73+$AT73)/2*IF($G$1="鸣金",$AJ73,$AH73)+IF($G$1="鸣金",$AK73*1.5,0))*(1+$AU73)*(1+$AV73)+(($AW73+$AX73)/2*IF($G$1="裂石",$AJ73,$AH73)+IF($G$1="裂石",$AK73*1.5,0))*(1+$AY73)*(1+$AZ73)+(($BA73+$BB73)/2*IF($G$1="牵丝",$AJ73,$AH73)+IF($G$1="牵丝",$AK73*1.5,0))*(1+$BC73)*(1+$BD73)+(($BE73+$BF73)/2*IF($G$1="破竹",$AJ73,$AH73)+IF($G$1="破竹",$AK73*1.5,0))*(1+$BG73)*(1+$BH73))*(1+$AL73)*$BK73*$P73*(1+IF(VLOOKUP($Q73,武学奇术!$A:$ZZ,30,FALSE)="回旋伞",$B$21,0))*(1+$BQ73)</f>
        <v>102481.140462367</v>
      </c>
      <c r="M73" s="41">
        <f>(($AO73*$AH73+$AI73)*(1+$AP73)*(1+$AQ73)+($AT73*IF($G$1="鸣金",$AJ73,$AH73)+IF($G$1="鸣金",$AK73*1.5,0))*(1+$AU73)*(1+$AV73)+($AX73*IF($G$1="裂石",$AJ73,$AH73)+IF($G$1="裂石",$AK73*1.5,0))*(1+$AY73)*(1+$AZ73)+($BB73*IF($G$1="牵丝",$AJ73,$AH73)+IF($G$1="牵丝",$AK73*1.5,0))*(1+$BC73)*(1+$BD73)+($BF73*IF($G$1="破竹",$AJ73,$AH73)+IF($G$1="破竹",$AK73*1.5,0))*(1+$BG73)*(1+$BH73))*(1+$AL73)*$BM73*$P73*(1+IF(VLOOKUP($Q73,武学奇术!$A:$ZZ,30,FALSE)="回旋伞",$B$21,0))*(1+$BQ73)</f>
        <v>76571.3949845799</v>
      </c>
      <c r="N73" s="41">
        <f>((($AN73+$AO73)/2*$AH73+$AI73)*(1+$AP73)*(1+$AQ73)+(($AS73+$AT73)/2*IF($G$1="鸣金",$AJ73,$AH73)+IF($G$1="鸣金",$AK73*1.5,0))*(1+$AU73)*(1+$AV73)+(($AW73+$AX73)/2*IF($G$1="裂石",$AJ73,$AH73)+IF($G$1="裂石",$AK73*1.5,0))*(1+$AY73)*(1+$AZ73)+(($BA73+$BB73)/2*IF($G$1="牵丝",$AJ73,$AH73)+IF($G$1="牵丝",$AK73*1.5,0))*(1+$BC73)*(1+$BD73)+(($BE73+$BF73)/2*IF($G$1="破竹",$AJ73,$AH73)+IF($G$1="破竹",$AK73*1.5,0))*(1+$BG73)*(1+$BH73))*(1+$AL73)*$P73*(1+IF(VLOOKUP($Q73,武学奇术!$A:$ZZ,30,FALSE)="回旋伞",$B$21,0))*(1+$BQ73)</f>
        <v>50733.2378526568</v>
      </c>
      <c r="O73" s="41">
        <f>((($AN73*$AH73+$AI73)*(1+$AP73)*(1+$AQ73)+($AS73*IF($G$1="鸣金",$AJ73,$AH73)+IF($G$1="鸣金",$AK73*1.5,0))*(1+$AU73)*(1+$AV73)+($AW73*IF($G$1="裂石",$AJ73,$AH73)+IF($G$1="裂石",$AK73*1.5,0))*(1+$AY73)*(1+$AZ73)+($BA73*IF($G$1="牵丝",$AJ73,$AH73)+IF($G$1="牵丝",$AK73*1.5,0))*(1+$BC73)*(1+$BD73)+($BE73*IF($G$1="破竹",$AJ73,$AH73)+IF($G$1="破竹",$AK73*1.5,0))*(1+$BG73)*(1+$BH73))*(1+$AL73))*$P73*(1+IF(VLOOKUP($Q73,武学奇术!$A:$ZZ,30,FALSE)="回旋伞",$B$21,0))*(1+$BQ73)</f>
        <v>44746.923864884</v>
      </c>
      <c r="P73" s="42">
        <v>2</v>
      </c>
      <c r="Q73" s="43" t="s">
        <v>140</v>
      </c>
      <c r="R73" s="43" t="s">
        <v>71</v>
      </c>
      <c r="S73" s="43" t="s">
        <v>91</v>
      </c>
      <c r="T73" s="43" t="s">
        <v>72</v>
      </c>
      <c r="U73" s="43" t="s">
        <v>71</v>
      </c>
      <c r="V73" s="43" t="s">
        <v>71</v>
      </c>
      <c r="W73" s="43" t="s">
        <v>71</v>
      </c>
      <c r="X73" s="43" t="s">
        <v>82</v>
      </c>
      <c r="Y73" s="43" t="s">
        <v>71</v>
      </c>
      <c r="Z73" s="43" t="s">
        <v>71</v>
      </c>
      <c r="AA73" s="43" t="s">
        <v>71</v>
      </c>
      <c r="AB73" s="43" t="s">
        <v>179</v>
      </c>
      <c r="AC73" s="43" t="s">
        <v>71</v>
      </c>
      <c r="AD73" s="43" t="s">
        <v>71</v>
      </c>
      <c r="AE73" s="43" t="s">
        <v>71</v>
      </c>
      <c r="AF73" s="43" t="s">
        <v>76</v>
      </c>
      <c r="AG73" t="str">
        <f>VLOOKUP($Q73,武学奇术!$A:$ZZ,25,FALSE)</f>
        <v>伞</v>
      </c>
      <c r="AH73" s="30">
        <f>VLOOKUP($Q73,武学奇术!$A:$ZZ,26,FALSE)</f>
        <v>2.01456</v>
      </c>
      <c r="AI73" s="31">
        <f>VLOOKUP($Q73,武学奇术!$A:$ZZ,27,FALSE)*(1+IF(OR($AG73=$F$4,$AG73=$F$5),$B$22,0))</f>
        <v>781.2</v>
      </c>
      <c r="AJ73" s="30">
        <f>VLOOKUP($Q73,武学奇术!$A:$ZZ,28,FALSE)</f>
        <v>3.02184</v>
      </c>
      <c r="AK73" s="31">
        <f>VLOOKUP($Q73,武学奇术!$A:$ZZ,29,FALSE)*(1+IF(OR($AG73=$F$4,$AG73=$F$5),$B$22,0))</f>
        <v>423.36</v>
      </c>
      <c r="AL73" s="30" cm="1">
        <f t="array" ref="AL73">$G$3+IFERROR(VLOOKUP($AG73,$F$4:$G$7,2,FALSE),0)+VLOOKUP($Q73,武学奇术!$A:$ZZ,2,FALSE)+SUM(_xlfn.XLOOKUP($R73:$AF73,增益!$A:$A,增益!$B:$B,0))</f>
        <v>0.4041</v>
      </c>
      <c r="AM73" s="30" cm="1">
        <f t="array" ref="AM73">VLOOKUP($Q73,武学奇术!$A:$ZZ,5,FALSE)+SUM(_xlfn.XLOOKUP($R73:$AF73,增益!$A:$A,增益!$E:$E,0))</f>
        <v>0</v>
      </c>
      <c r="AN73" cm="1">
        <f t="array" ref="AN73">$D$10*(1+$AM73)+VLOOKUP($Q73,武学奇术!$A:$ZZ,3,FALSE)+SUM(_xlfn.XLOOKUP($R73:$AF73,增益!$A:$A,增益!$C:$C,0))-$I$2</f>
        <v>3545.8</v>
      </c>
      <c r="AO73" cm="1">
        <f t="array" ref="AO73">$E$10*(1+$AM73)+VLOOKUP($Q73,武学奇术!$A:$ZZ,4,FALSE)+SUM(_xlfn.XLOOKUP($R73:$AF73,增益!$A:$A,增益!$D:$D,0))-$I$2</f>
        <v>3545.8</v>
      </c>
      <c r="AP73" s="35" cm="1">
        <f t="array" ref="AP73">IF($F$10-$I$3+VLOOKUP($Q73,武学奇术!$A:$ZZ,6,FALSE)+SUM(_xlfn.XLOOKUP(R73:AF73,增益!$A:$A,增益!$F:$F,0))&gt;0,($F$10-$I$3+VLOOKUP($Q73,武学奇术!$A:$ZZ,6,FALSE)+SUM(_xlfn.XLOOKUP(R73:AF73,增益!$A:$A,增益!$F:$F,0)))/200,($F$10-$I$3+VLOOKUP($Q73,武学奇术!$A:$ZZ,6,FALSE)+SUM(_xlfn.XLOOKUP(R73:AF73,增益!$A:$A,增益!$F:$F,0)))/100)</f>
        <v>0.4175</v>
      </c>
      <c r="AQ73" s="35" cm="1">
        <f t="array" ref="AQ73">$G$10+VLOOKUP($Q73,武学奇术!$A:$ZZ,7,FALSE)+SUM(_xlfn.XLOOKUP(R73:AF73,增益!$A:$A,增益!$G:$G,0))</f>
        <v>0.028</v>
      </c>
      <c r="AR73" s="30" cm="1">
        <f t="array" ref="AR73">VLOOKUP($Q73,武学奇术!$A:$ZZ,8,FALSE)+SUM(_xlfn.XLOOKUP(R73:AF73,增益!$A:$A,增益!$H:$H,0))</f>
        <v>0</v>
      </c>
      <c r="AS73">
        <f t="shared" si="23"/>
        <v>0</v>
      </c>
      <c r="AT73">
        <f t="shared" si="24"/>
        <v>0</v>
      </c>
      <c r="AU73" s="35" cm="1">
        <f t="array" ref="AU73">IF($F$11-$I$4+VLOOKUP($Q73,武学奇术!$A:$ZZ,9,FALSE)+SUM(_xlfn.XLOOKUP(R73:AF73,增益!$A:$A,增益!$I:$I,0))&gt;0,($F$11-$I$4+VLOOKUP($Q73,武学奇术!$A:$ZZ,9,FALSE)+SUM(_xlfn.XLOOKUP(R73:AF73,增益!$A:$A,增益!$I:$I,0)))/200,($F$11-$I$4+VLOOKUP($Q73,武学奇术!$A:$ZZ,9,FALSE)+SUM(_xlfn.XLOOKUP(R73:AF73,增益!$A:$A,增益!$I:$I,0)))/100)</f>
        <v>-0.14</v>
      </c>
      <c r="AV73" s="35" cm="1">
        <f t="array" ref="AV73">$G$11+VLOOKUP($Q73,武学奇术!$A:$ZZ,10,FALSE)+SUM(_xlfn.XLOOKUP(R73:AF73,增益!$A:$A,增益!$J:$J,0))</f>
        <v>0</v>
      </c>
      <c r="AW73">
        <f t="shared" si="25"/>
        <v>0</v>
      </c>
      <c r="AX73">
        <f t="shared" si="26"/>
        <v>0</v>
      </c>
      <c r="AY73" s="35" cm="1">
        <f t="array" ref="AY73">IF($F$12-$I$4+VLOOKUP($Q73,武学奇术!$A:$ZZ,11,FALSE)+SUM(_xlfn.XLOOKUP(R73:AF73,增益!$A:$A,增益!$K:$K,0))&gt;0,($F$12-$I$4+VLOOKUP($Q73,武学奇术!$A:$ZZ,11,FALSE)+SUM(_xlfn.XLOOKUP(R73:AF73,增益!$A:$A,增益!$K:$K,0)))/200,($F$12-$I$4+VLOOKUP($Q73,武学奇术!$A:$ZZ,11,FALSE)+SUM(_xlfn.XLOOKUP(R73:AF73,增益!$A:$A,增益!$K:$K,0)))/100)</f>
        <v>-0.14</v>
      </c>
      <c r="AZ73" s="35" cm="1">
        <f t="array" ref="AZ73">$G$12+VLOOKUP($Q73,武学奇术!$A:$ZZ,12,FALSE)+SUM(_xlfn.XLOOKUP(R73:AF73,增益!$A:$A,增益!$L:$L,0))</f>
        <v>0</v>
      </c>
      <c r="BA73">
        <f t="shared" si="27"/>
        <v>0</v>
      </c>
      <c r="BB73">
        <f t="shared" si="28"/>
        <v>0</v>
      </c>
      <c r="BC73" s="35" cm="1">
        <f t="array" ref="BC73">IF($F$13-$I$4+VLOOKUP($Q73,武学奇术!$A:$ZZ,13,FALSE)+SUM(_xlfn.XLOOKUP(R73:AF73,增益!$A:$A,增益!$M:$M,0))&gt;0,($F$13-$I$4+VLOOKUP($Q73,武学奇术!$A:$ZZ,13,FALSE)+SUM(_xlfn.XLOOKUP(R73:AF73,增益!$A:$A,增益!$K:$K,0)))/200,($F$13-$I$4+VLOOKUP($Q73,武学奇术!$A:$ZZ,13,FALSE)+SUM(_xlfn.XLOOKUP(R73:AF73,增益!$A:$A,增益!$M:$M,0)))/100)</f>
        <v>-0.14</v>
      </c>
      <c r="BD73" s="35" cm="1">
        <f t="array" ref="BD73">$G$13+VLOOKUP($Q73,武学奇术!$A:$ZZ,14,FALSE)+SUM(_xlfn.XLOOKUP(R73:AF73,增益!$A:$A,增益!$N:$N,0))</f>
        <v>0</v>
      </c>
      <c r="BE73">
        <f t="shared" si="29"/>
        <v>538</v>
      </c>
      <c r="BF73">
        <f t="shared" si="30"/>
        <v>1561.4</v>
      </c>
      <c r="BG73" s="35" cm="1">
        <f t="array" ref="BG73">IF($F$14-$I$4+VLOOKUP($Q73,武学奇术!$A:$ZZ,15,FALSE)+SUM(_xlfn.XLOOKUP(R73:AF73,增益!$A:$A,增益!$O:$O,0))&gt;0,($F$14-$I$4+VLOOKUP($Q73,武学奇术!$A:$ZZ,15,FALSE)+SUM(_xlfn.XLOOKUP(R73:AF73,增益!$A:$A,增益!$O:$O,0)))/200,($F$14-$I$4+VLOOKUP($Q73,武学奇术!$A:$ZZ,15,FALSE)+SUM(_xlfn.XLOOKUP(R73:AF73,增益!$A:$A,增益!$O:$O,0)))/100)</f>
        <v>0.08</v>
      </c>
      <c r="BH73" s="35" cm="1">
        <f t="array" ref="BH73">$G$14+VLOOKUP($Q73,武学奇术!$A:$ZZ,16,FALSE)+SUM(_xlfn.XLOOKUP(R73:AF73,增益!$A:$A,增益!$P:$P,0))</f>
        <v>0.15</v>
      </c>
      <c r="BI73" s="30">
        <f>MIN(IF(VLOOKUP($Q73,武学奇术!$A:$ZZ,23,FALSE)=1,100%,$B$8),100%)</f>
        <v>0.9712</v>
      </c>
      <c r="BJ73" s="30" cm="1">
        <f t="array" ref="BJ73">IF(VLOOKUP($Q73,武学奇术!$A:$ZZ,23,FALSE)=1,100%,MIN(80%,$B$9+VLOOKUP($Q73,武学奇术!$A:$ZZ,17,FALSE)+SUM(_xlfn.XLOOKUP(R73:AF73,增益!$A:$A,增益!$Q:$Q,0)))+$B$11+SUM(_xlfn.XLOOKUP(R73:AF73,增益!$A:$A,增益!$U:$U,0)))*IF(VLOOKUP($Q73,武学奇术!$A:$ZZ,24,FALSE)=1,0,1)</f>
        <v>0.8773</v>
      </c>
      <c r="BK73" s="30" cm="1">
        <f t="array" ref="BK73">1+$B$13+VLOOKUP($Q73,武学奇术!$A:$ZZ,18,FALSE)+SUM(_xlfn.XLOOKUP(R73:AF73,增益!$A:$A,增益!$R:$R,0))</f>
        <v>2.02</v>
      </c>
      <c r="BL73" s="30" cm="1">
        <f t="array" ref="BL73">IF(VLOOKUP($Q73,武学奇术!$A:$ZZ,24,FALSE)=1,100%,MIN(40%,$B$10+VLOOKUP($Q73,武学奇术!$A:$ZZ,19,FALSE)+SUM(_xlfn.XLOOKUP(R73:AF73,增益!$A:$A,增益!$S:$S,0)))+$B$12+SUM(_xlfn.XLOOKUP(R73:AF73,增益!$A:$A,增益!$V:$V,0)))*IF(VLOOKUP($Q73,武学奇术!$A:$ZZ,23,FALSE)=1,0,1)</f>
        <v>0.0895</v>
      </c>
      <c r="BM73" s="30" cm="1">
        <f t="array" ref="BM73">1+$B$14+VLOOKUP($Q73,武学奇术!$A:$ZZ,20,FALSE)+SUM(_xlfn.XLOOKUP(R73:AF73,增益!$A:$A,增益!$T:$T,0))</f>
        <v>1.35</v>
      </c>
      <c r="BN73" s="30">
        <f t="shared" si="22"/>
        <v>0.85203376</v>
      </c>
      <c r="BO73" s="30">
        <f t="shared" si="32"/>
        <v>0.03224384</v>
      </c>
      <c r="BP73" s="30">
        <f>IF(VLOOKUP($Q73,武学奇术!$A:$ZZ,22,FALSE)=1,0,(1-$BI73))*(1-$BL73)</f>
        <v>0.0262224</v>
      </c>
      <c r="BQ73" s="30" cm="1">
        <f t="array" ref="BQ73">SUM(_xlfn.XLOOKUP(R73:AF73,增益!$A:$A,增益!$W:$W,0))+$I$5</f>
        <v>0.11</v>
      </c>
    </row>
    <row r="74" spans="1:69">
      <c r="A74" s="4" t="s">
        <v>185</v>
      </c>
      <c r="B74" s="4">
        <v>2.6</v>
      </c>
      <c r="C74"/>
      <c r="D74"/>
      <c r="E74"/>
      <c r="G74">
        <v>25</v>
      </c>
      <c r="K74" s="41">
        <f t="shared" ref="K74:K89" si="33">($L74*$BN74+$M74*$BL74+$N74*$BO74+$O74*$BP74)</f>
        <v>26202.2898700218</v>
      </c>
      <c r="L74" s="41">
        <f>((($AN74+$AO74)/2*$AH74+$AI74)*(1+$AP74)*(1+$AQ74)+(($AS74+$AT74)/2*IF($G$1="鸣金",$AJ74,$AH74)+IF($G$1="鸣金",$AK74*1.5,0))*(1+$AU74)*(1+$AV74)+(($AW74+$AX74)/2*IF($G$1="裂石",$AJ74,$AH74)+IF($G$1="裂石",$AK74*1.5,0))*(1+$AY74)*(1+$AZ74)+(($BA74+$BB74)/2*IF($G$1="牵丝",$AJ74,$AH74)+IF($G$1="牵丝",$AK74*1.5,0))*(1+$BC74)*(1+$BD74)+(($BE74+$BF74)/2*IF($G$1="破竹",$AJ74,$AH74)+IF($G$1="破竹",$AK74*1.5,0))*(1+$BG74)*(1+$BH74))*(1+$AL74)*$BK74*$P74*(1+IF(VLOOKUP($Q74,武学奇术!$A:$ZZ,30,FALSE)="回旋伞",$B$21,0))*(1+$BQ74)</f>
        <v>27666.9777030446</v>
      </c>
      <c r="M74" s="41">
        <f>(($AO74*$AH74+$AI74)*(1+$AP74)*(1+$AQ74)+($AT74*IF($G$1="鸣金",$AJ74,$AH74)+IF($G$1="鸣金",$AK74*1.5,0))*(1+$AU74)*(1+$AV74)+($AX74*IF($G$1="裂石",$AJ74,$AH74)+IF($G$1="裂石",$AK74*1.5,0))*(1+$AY74)*(1+$AZ74)+($BB74*IF($G$1="牵丝",$AJ74,$AH74)+IF($G$1="牵丝",$AK74*1.5,0))*(1+$BC74)*(1+$BD74)+($BF74*IF($G$1="破竹",$AJ74,$AH74)+IF($G$1="破竹",$AK74*1.5,0))*(1+$BG74)*(1+$BH74))*(1+$AL74)*$BM74*$P74*(1+IF(VLOOKUP($Q74,武学奇术!$A:$ZZ,30,FALSE)="回旋伞",$B$21,0))*(1+$BQ74)</f>
        <v>20965.1074854033</v>
      </c>
      <c r="N74" s="41">
        <f>((($AN74+$AO74)/2*$AH74+$AI74)*(1+$AP74)*(1+$AQ74)+(($AS74+$AT74)/2*IF($G$1="鸣金",$AJ74,$AH74)+IF($G$1="鸣金",$AK74*1.5,0))*(1+$AU74)*(1+$AV74)+(($AW74+$AX74)/2*IF($G$1="裂石",$AJ74,$AH74)+IF($G$1="裂石",$AK74*1.5,0))*(1+$AY74)*(1+$AZ74)+(($BA74+$BB74)/2*IF($G$1="牵丝",$AJ74,$AH74)+IF($G$1="牵丝",$AK74*1.5,0))*(1+$BC74)*(1+$BD74)+(($BE74+$BF74)/2*IF($G$1="破竹",$AJ74,$AH74)+IF($G$1="破竹",$AK74*1.5,0))*(1+$BG74)*(1+$BH74))*(1+$AL74)*$P74*(1+IF(VLOOKUP($Q74,武学奇术!$A:$ZZ,30,FALSE)="回旋伞",$B$21,0))*(1+$BQ74)</f>
        <v>13696.5236153686</v>
      </c>
      <c r="O74" s="41">
        <f>((($AN74*$AH74+$AI74)*(1+$AP74)*(1+$AQ74)+($AS74*IF($G$1="鸣金",$AJ74,$AH74)+IF($G$1="鸣金",$AK74*1.5,0))*(1+$AU74)*(1+$AV74)+($AW74*IF($G$1="裂石",$AJ74,$AH74)+IF($G$1="裂石",$AK74*1.5,0))*(1+$AY74)*(1+$AZ74)+($BA74*IF($G$1="牵丝",$AJ74,$AH74)+IF($G$1="牵丝",$AK74*1.5,0))*(1+$BC74)*(1+$BD74)+($BE74*IF($G$1="破竹",$AJ74,$AH74)+IF($G$1="破竹",$AK74*1.5,0))*(1+$BG74)*(1+$BH74))*(1+$AL74))*$P74*(1+IF(VLOOKUP($Q74,武学奇术!$A:$ZZ,30,FALSE)="回旋伞",$B$21,0))*(1+$BQ74)</f>
        <v>11863.3379822904</v>
      </c>
      <c r="P74" s="42">
        <v>2</v>
      </c>
      <c r="Q74" s="43" t="s">
        <v>143</v>
      </c>
      <c r="R74" s="43" t="s">
        <v>71</v>
      </c>
      <c r="S74" s="43" t="s">
        <v>91</v>
      </c>
      <c r="T74" s="43" t="s">
        <v>72</v>
      </c>
      <c r="U74" s="43" t="s">
        <v>71</v>
      </c>
      <c r="V74" s="43" t="s">
        <v>71</v>
      </c>
      <c r="W74" s="43" t="s">
        <v>71</v>
      </c>
      <c r="X74" s="43" t="s">
        <v>82</v>
      </c>
      <c r="Y74" s="43" t="s">
        <v>71</v>
      </c>
      <c r="Z74" s="43" t="s">
        <v>71</v>
      </c>
      <c r="AA74" s="43" t="s">
        <v>71</v>
      </c>
      <c r="AB74" s="43" t="s">
        <v>179</v>
      </c>
      <c r="AC74" s="43" t="s">
        <v>71</v>
      </c>
      <c r="AD74" s="43" t="s">
        <v>71</v>
      </c>
      <c r="AE74" s="43" t="s">
        <v>71</v>
      </c>
      <c r="AF74" s="43" t="s">
        <v>76</v>
      </c>
      <c r="AG74" t="str">
        <f>VLOOKUP($Q74,武学奇术!$A:$ZZ,25,FALSE)</f>
        <v>伞</v>
      </c>
      <c r="AH74" s="30">
        <f>VLOOKUP($Q74,武学奇术!$A:$ZZ,26,FALSE)</f>
        <v>0.54</v>
      </c>
      <c r="AI74" s="31">
        <f>VLOOKUP($Q74,武学奇术!$A:$ZZ,27,FALSE)*(1+IF(OR($AG74=$F$4,$AG74=$F$5),$B$22,0))</f>
        <v>0</v>
      </c>
      <c r="AJ74" s="30">
        <f>VLOOKUP($Q74,武学奇术!$A:$ZZ,28,FALSE)</f>
        <v>0.81</v>
      </c>
      <c r="AK74" s="31">
        <f>VLOOKUP($Q74,武学奇术!$A:$ZZ,29,FALSE)*(1+IF(OR($AG74=$F$4,$AG74=$F$5),$B$22,0))</f>
        <v>0</v>
      </c>
      <c r="AL74" s="30" cm="1">
        <f t="array" ref="AL74">$G$3+IFERROR(VLOOKUP($AG74,$F$4:$G$7,2,FALSE),0)+VLOOKUP($Q74,武学奇术!$A:$ZZ,2,FALSE)+SUM(_xlfn.XLOOKUP($R74:$AF74,增益!$A:$A,增益!$B:$B,0))</f>
        <v>0.6041</v>
      </c>
      <c r="AM74" s="30" cm="1">
        <f t="array" ref="AM74">VLOOKUP($Q74,武学奇术!$A:$ZZ,5,FALSE)+SUM(_xlfn.XLOOKUP($R74:$AF74,增益!$A:$A,增益!$E:$E,0))</f>
        <v>0</v>
      </c>
      <c r="AN74" cm="1">
        <f t="array" ref="AN74">$D$10*(1+$AM74)+VLOOKUP($Q74,武学奇术!$A:$ZZ,3,FALSE)+SUM(_xlfn.XLOOKUP($R74:$AF74,增益!$A:$A,增益!$C:$C,0))-$I$2</f>
        <v>3545.8</v>
      </c>
      <c r="AO74" cm="1">
        <f t="array" ref="AO74">$E$10*(1+$AM74)+VLOOKUP($Q74,武学奇术!$A:$ZZ,4,FALSE)+SUM(_xlfn.XLOOKUP($R74:$AF74,增益!$A:$A,增益!$D:$D,0))-$I$2</f>
        <v>3545.8</v>
      </c>
      <c r="AP74" s="35" cm="1">
        <f t="array" ref="AP74">IF($F$10-$I$3+VLOOKUP($Q74,武学奇术!$A:$ZZ,6,FALSE)+SUM(_xlfn.XLOOKUP(R74:AF74,增益!$A:$A,增益!$F:$F,0))&gt;0,($F$10-$I$3+VLOOKUP($Q74,武学奇术!$A:$ZZ,6,FALSE)+SUM(_xlfn.XLOOKUP(R74:AF74,增益!$A:$A,增益!$F:$F,0)))/200,($F$10-$I$3+VLOOKUP($Q74,武学奇术!$A:$ZZ,6,FALSE)+SUM(_xlfn.XLOOKUP(R74:AF74,增益!$A:$A,增益!$F:$F,0)))/100)</f>
        <v>0.4175</v>
      </c>
      <c r="AQ74" s="35" cm="1">
        <f t="array" ref="AQ74">$G$10+VLOOKUP($Q74,武学奇术!$A:$ZZ,7,FALSE)+SUM(_xlfn.XLOOKUP(R74:AF74,增益!$A:$A,增益!$G:$G,0))</f>
        <v>0.028</v>
      </c>
      <c r="AR74" s="30" cm="1">
        <f t="array" ref="AR74">VLOOKUP($Q74,武学奇术!$A:$ZZ,8,FALSE)+SUM(_xlfn.XLOOKUP(R74:AF74,增益!$A:$A,增益!$H:$H,0))</f>
        <v>0</v>
      </c>
      <c r="AS74">
        <f t="shared" ref="AS74:AS86" si="34">$D$11*(1+$AR74)</f>
        <v>0</v>
      </c>
      <c r="AT74">
        <f t="shared" ref="AT74:AT86" si="35">$E$11*(1+$AR74)</f>
        <v>0</v>
      </c>
      <c r="AU74" s="35" cm="1">
        <f t="array" ref="AU74">IF($F$11-$I$4+VLOOKUP($Q74,武学奇术!$A:$ZZ,9,FALSE)+SUM(_xlfn.XLOOKUP(R74:AF74,增益!$A:$A,增益!$I:$I,0))&gt;0,($F$11-$I$4+VLOOKUP($Q74,武学奇术!$A:$ZZ,9,FALSE)+SUM(_xlfn.XLOOKUP(R74:AF74,增益!$A:$A,增益!$I:$I,0)))/200,($F$11-$I$4+VLOOKUP($Q74,武学奇术!$A:$ZZ,9,FALSE)+SUM(_xlfn.XLOOKUP(R74:AF74,增益!$A:$A,增益!$I:$I,0)))/100)</f>
        <v>-0.14</v>
      </c>
      <c r="AV74" s="35" cm="1">
        <f t="array" ref="AV74">$G$11+VLOOKUP($Q74,武学奇术!$A:$ZZ,10,FALSE)+SUM(_xlfn.XLOOKUP(R74:AF74,增益!$A:$A,增益!$J:$J,0))</f>
        <v>0</v>
      </c>
      <c r="AW74">
        <f t="shared" ref="AW74:AW86" si="36">$D$12*(1+$AR74)</f>
        <v>0</v>
      </c>
      <c r="AX74">
        <f t="shared" ref="AX74:AX86" si="37">$E$12*(1+$AR74)</f>
        <v>0</v>
      </c>
      <c r="AY74" s="35" cm="1">
        <f t="array" ref="AY74">IF($F$12-$I$4+VLOOKUP($Q74,武学奇术!$A:$ZZ,11,FALSE)+SUM(_xlfn.XLOOKUP(R74:AF74,增益!$A:$A,增益!$K:$K,0))&gt;0,($F$12-$I$4+VLOOKUP($Q74,武学奇术!$A:$ZZ,11,FALSE)+SUM(_xlfn.XLOOKUP(R74:AF74,增益!$A:$A,增益!$K:$K,0)))/200,($F$12-$I$4+VLOOKUP($Q74,武学奇术!$A:$ZZ,11,FALSE)+SUM(_xlfn.XLOOKUP(R74:AF74,增益!$A:$A,增益!$K:$K,0)))/100)</f>
        <v>-0.14</v>
      </c>
      <c r="AZ74" s="35" cm="1">
        <f t="array" ref="AZ74">$G$12+VLOOKUP($Q74,武学奇术!$A:$ZZ,12,FALSE)+SUM(_xlfn.XLOOKUP(R74:AF74,增益!$A:$A,增益!$L:$L,0))</f>
        <v>0</v>
      </c>
      <c r="BA74">
        <f t="shared" ref="BA74:BA86" si="38">$D$13*(1+$AR74)</f>
        <v>0</v>
      </c>
      <c r="BB74">
        <f t="shared" ref="BB74:BB86" si="39">$E$13*(1+$AR74)</f>
        <v>0</v>
      </c>
      <c r="BC74" s="35" cm="1">
        <f t="array" ref="BC74">IF($F$13-$I$4+VLOOKUP($Q74,武学奇术!$A:$ZZ,13,FALSE)+SUM(_xlfn.XLOOKUP(R74:AF74,增益!$A:$A,增益!$M:$M,0))&gt;0,($F$13-$I$4+VLOOKUP($Q74,武学奇术!$A:$ZZ,13,FALSE)+SUM(_xlfn.XLOOKUP(R74:AF74,增益!$A:$A,增益!$K:$K,0)))/200,($F$13-$I$4+VLOOKUP($Q74,武学奇术!$A:$ZZ,13,FALSE)+SUM(_xlfn.XLOOKUP(R74:AF74,增益!$A:$A,增益!$M:$M,0)))/100)</f>
        <v>-0.14</v>
      </c>
      <c r="BD74" s="35" cm="1">
        <f t="array" ref="BD74">$G$13+VLOOKUP($Q74,武学奇术!$A:$ZZ,14,FALSE)+SUM(_xlfn.XLOOKUP(R74:AF74,增益!$A:$A,增益!$N:$N,0))</f>
        <v>0</v>
      </c>
      <c r="BE74">
        <f t="shared" ref="BE74:BE86" si="40">$D$14*(1+$AR74)</f>
        <v>538</v>
      </c>
      <c r="BF74">
        <f t="shared" ref="BF74:BF86" si="41">$E$14*(1+$AR74)</f>
        <v>1561.4</v>
      </c>
      <c r="BG74" s="35" cm="1">
        <f t="array" ref="BG74">IF($F$14-$I$4+VLOOKUP($Q74,武学奇术!$A:$ZZ,15,FALSE)+SUM(_xlfn.XLOOKUP(R74:AF74,增益!$A:$A,增益!$O:$O,0))&gt;0,($F$14-$I$4+VLOOKUP($Q74,武学奇术!$A:$ZZ,15,FALSE)+SUM(_xlfn.XLOOKUP(R74:AF74,增益!$A:$A,增益!$O:$O,0)))/200,($F$14-$I$4+VLOOKUP($Q74,武学奇术!$A:$ZZ,15,FALSE)+SUM(_xlfn.XLOOKUP(R74:AF74,增益!$A:$A,增益!$O:$O,0)))/100)</f>
        <v>0.08</v>
      </c>
      <c r="BH74" s="35" cm="1">
        <f t="array" ref="BH74">$G$14+VLOOKUP($Q74,武学奇术!$A:$ZZ,16,FALSE)+SUM(_xlfn.XLOOKUP(R74:AF74,增益!$A:$A,增益!$P:$P,0))</f>
        <v>0.15</v>
      </c>
      <c r="BI74" s="30">
        <f>MIN(IF(VLOOKUP($Q74,武学奇术!$A:$ZZ,23,FALSE)=1,100%,$B$8),100%)</f>
        <v>0.9712</v>
      </c>
      <c r="BJ74" s="30" cm="1">
        <f t="array" ref="BJ74">IF(VLOOKUP($Q74,武学奇术!$A:$ZZ,23,FALSE)=1,100%,MIN(80%,$B$9+VLOOKUP($Q74,武学奇术!$A:$ZZ,17,FALSE)+SUM(_xlfn.XLOOKUP(R74:AF74,增益!$A:$A,增益!$Q:$Q,0)))+$B$11+SUM(_xlfn.XLOOKUP(R74:AF74,增益!$A:$A,增益!$U:$U,0)))*IF(VLOOKUP($Q74,武学奇术!$A:$ZZ,24,FALSE)=1,0,1)</f>
        <v>0.8773</v>
      </c>
      <c r="BK74" s="30" cm="1">
        <f t="array" ref="BK74">1+$B$13+VLOOKUP($Q74,武学奇术!$A:$ZZ,18,FALSE)+SUM(_xlfn.XLOOKUP(R74:AF74,增益!$A:$A,增益!$R:$R,0))</f>
        <v>2.02</v>
      </c>
      <c r="BL74" s="30" cm="1">
        <f t="array" ref="BL74">IF(VLOOKUP($Q74,武学奇术!$A:$ZZ,24,FALSE)=1,100%,MIN(40%,$B$10+VLOOKUP($Q74,武学奇术!$A:$ZZ,19,FALSE)+SUM(_xlfn.XLOOKUP(R74:AF74,增益!$A:$A,增益!$S:$S,0)))+$B$12+SUM(_xlfn.XLOOKUP(R74:AF74,增益!$A:$A,增益!$V:$V,0)))*IF(VLOOKUP($Q74,武学奇术!$A:$ZZ,23,FALSE)=1,0,1)</f>
        <v>0.0895</v>
      </c>
      <c r="BM74" s="30" cm="1">
        <f t="array" ref="BM74">1+$B$14+VLOOKUP($Q74,武学奇术!$A:$ZZ,20,FALSE)+SUM(_xlfn.XLOOKUP(R74:AF74,增益!$A:$A,增益!$T:$T,0))</f>
        <v>1.35</v>
      </c>
      <c r="BN74" s="30">
        <f t="shared" si="22"/>
        <v>0.85203376</v>
      </c>
      <c r="BO74" s="30">
        <f t="shared" si="32"/>
        <v>0.03224384</v>
      </c>
      <c r="BP74" s="30">
        <f>IF(VLOOKUP($Q74,武学奇术!$A:$ZZ,22,FALSE)=1,0,(1-$BI74))*(1-$BL74)</f>
        <v>0.0262224</v>
      </c>
      <c r="BQ74" s="30" cm="1">
        <f t="array" ref="BQ74">SUM(_xlfn.XLOOKUP(R74:AF74,增益!$A:$A,增益!$W:$W,0))+$I$5</f>
        <v>0.11</v>
      </c>
    </row>
    <row r="75" spans="1:69">
      <c r="A75" t="s">
        <v>183</v>
      </c>
      <c r="B75">
        <v>0.4</v>
      </c>
      <c r="C75"/>
      <c r="D75"/>
      <c r="E75"/>
      <c r="K75" s="41">
        <f t="shared" si="33"/>
        <v>80817.1645900743</v>
      </c>
      <c r="L75" s="41">
        <f>((($AN75+$AO75)/2*$AH75+$AI75)*(1+$AP75)*(1+$AQ75)+(($AS75+$AT75)/2*IF($G$1="鸣金",$AJ75,$AH75)+IF($G$1="鸣金",$AK75*1.5,0))*(1+$AU75)*(1+$AV75)+(($AW75+$AX75)/2*IF($G$1="裂石",$AJ75,$AH75)+IF($G$1="裂石",$AK75*1.5,0))*(1+$AY75)*(1+$AZ75)+(($BA75+$BB75)/2*IF($G$1="牵丝",$AJ75,$AH75)+IF($G$1="牵丝",$AK75*1.5,0))*(1+$BC75)*(1+$BD75)+(($BE75+$BF75)/2*IF($G$1="破竹",$AJ75,$AH75)+IF($G$1="破竹",$AK75*1.5,0))*(1+$BG75)*(1+$BH75))*(1+$AL75)*$BK75*$P75*(1+IF(VLOOKUP($Q75,武学奇术!$A:$ZZ,30,FALSE)="回旋伞",$B$21,0))*(1+$BQ75)</f>
        <v>84179.6559260636</v>
      </c>
      <c r="M75" s="41">
        <f>(($AO75*$AH75+$AI75)*(1+$AP75)*(1+$AQ75)+($AT75*IF($G$1="鸣金",$AJ75,$AH75)+IF($G$1="鸣金",$AK75*1.5,0))*(1+$AU75)*(1+$AV75)+($AX75*IF($G$1="裂石",$AJ75,$AH75)+IF($G$1="裂石",$AK75*1.5,0))*(1+$AY75)*(1+$AZ75)+($BB75*IF($G$1="牵丝",$AJ75,$AH75)+IF($G$1="牵丝",$AK75*1.5,0))*(1+$BC75)*(1+$BD75)+($BF75*IF($G$1="破竹",$AJ75,$AH75)+IF($G$1="破竹",$AK75*1.5,0))*(1+$BG75)*(1+$BH75))*(1+$AL75)*$BM75*$P75*(1+IF(VLOOKUP($Q75,武学奇术!$A:$ZZ,30,FALSE)="回旋伞",$B$21,0))*(1+$BQ75)</f>
        <v>72286.3461999824</v>
      </c>
      <c r="N75" s="41">
        <f>((($AN75+$AO75)/2*$AH75+$AI75)*(1+$AP75)*(1+$AQ75)+(($AS75+$AT75)/2*IF($G$1="鸣金",$AJ75,$AH75)+IF($G$1="鸣金",$AK75*1.5,0))*(1+$AU75)*(1+$AV75)+(($AW75+$AX75)/2*IF($G$1="裂石",$AJ75,$AH75)+IF($G$1="裂石",$AK75*1.5,0))*(1+$AY75)*(1+$AZ75)+(($BA75+$BB75)/2*IF($G$1="牵丝",$AJ75,$AH75)+IF($G$1="牵丝",$AK75*1.5,0))*(1+$BC75)*(1+$BD75)+(($BE75+$BF75)/2*IF($G$1="破竹",$AJ75,$AH75)+IF($G$1="破竹",$AK75*1.5,0))*(1+$BG75)*(1+$BH75))*(1+$AL75)*$P75*(1+IF(VLOOKUP($Q75,武学奇术!$A:$ZZ,30,FALSE)="回旋伞",$B$21,0))*(1+$BQ75)</f>
        <v>47559.1276418438</v>
      </c>
      <c r="O75" s="41">
        <f>((($AN75*$AH75+$AI75)*(1+$AP75)*(1+$AQ75)+($AS75*IF($G$1="鸣金",$AJ75,$AH75)+IF($G$1="鸣金",$AK75*1.5,0))*(1+$AU75)*(1+$AV75)+($AW75*IF($G$1="裂石",$AJ75,$AH75)+IF($G$1="裂石",$AK75*1.5,0))*(1+$AY75)*(1+$AZ75)+($BA75*IF($G$1="牵丝",$AJ75,$AH75)+IF($G$1="牵丝",$AK75*1.5,0))*(1+$BC75)*(1+$BD75)+($BE75*IF($G$1="破竹",$AJ75,$AH75)+IF($G$1="破竹",$AK75*1.5,0))*(1+$BG75)*(1+$BH75))*(1+$AL75))*$P75*(1+IF(VLOOKUP($Q75,武学奇术!$A:$ZZ,30,FALSE)="回旋伞",$B$21,0))*(1+$BQ75)</f>
        <v>41572.813654071</v>
      </c>
      <c r="P75" s="42">
        <v>2</v>
      </c>
      <c r="Q75" s="43" t="s">
        <v>140</v>
      </c>
      <c r="R75" s="43" t="s">
        <v>71</v>
      </c>
      <c r="S75" s="43" t="s">
        <v>91</v>
      </c>
      <c r="T75" s="43" t="s">
        <v>72</v>
      </c>
      <c r="U75" s="43" t="s">
        <v>71</v>
      </c>
      <c r="V75" s="43" t="s">
        <v>71</v>
      </c>
      <c r="W75" s="43" t="s">
        <v>71</v>
      </c>
      <c r="X75" s="43" t="s">
        <v>82</v>
      </c>
      <c r="Y75" s="43" t="s">
        <v>71</v>
      </c>
      <c r="Z75" s="43" t="s">
        <v>71</v>
      </c>
      <c r="AA75" s="43" t="s">
        <v>71</v>
      </c>
      <c r="AB75" s="43" t="s">
        <v>71</v>
      </c>
      <c r="AC75" s="43" t="s">
        <v>71</v>
      </c>
      <c r="AD75" s="43" t="s">
        <v>71</v>
      </c>
      <c r="AE75" s="43" t="s">
        <v>71</v>
      </c>
      <c r="AF75" s="43" t="s">
        <v>76</v>
      </c>
      <c r="AG75" t="str">
        <f>VLOOKUP($Q75,武学奇术!$A:$ZZ,25,FALSE)</f>
        <v>伞</v>
      </c>
      <c r="AH75" s="30">
        <f>VLOOKUP($Q75,武学奇术!$A:$ZZ,26,FALSE)</f>
        <v>2.01456</v>
      </c>
      <c r="AI75" s="31">
        <f>VLOOKUP($Q75,武学奇术!$A:$ZZ,27,FALSE)*(1+IF(OR($AG75=$F$4,$AG75=$F$5),$B$22,0))</f>
        <v>781.2</v>
      </c>
      <c r="AJ75" s="30">
        <f>VLOOKUP($Q75,武学奇术!$A:$ZZ,28,FALSE)</f>
        <v>3.02184</v>
      </c>
      <c r="AK75" s="31">
        <f>VLOOKUP($Q75,武学奇术!$A:$ZZ,29,FALSE)*(1+IF(OR($AG75=$F$4,$AG75=$F$5),$B$22,0))</f>
        <v>423.36</v>
      </c>
      <c r="AL75" s="30" cm="1">
        <f t="array" ref="AL75">$G$3+IFERROR(VLOOKUP($AG75,$F$4:$G$7,2,FALSE),0)+VLOOKUP($Q75,武学奇术!$A:$ZZ,2,FALSE)+SUM(_xlfn.XLOOKUP($R75:$AF75,增益!$A:$A,增益!$B:$B,0))</f>
        <v>0.4041</v>
      </c>
      <c r="AM75" s="30" cm="1">
        <f t="array" ref="AM75">VLOOKUP($Q75,武学奇术!$A:$ZZ,5,FALSE)+SUM(_xlfn.XLOOKUP($R75:$AF75,增益!$A:$A,增益!$E:$E,0))</f>
        <v>0</v>
      </c>
      <c r="AN75" cm="1">
        <f t="array" ref="AN75">$D$10*(1+$AM75)+VLOOKUP($Q75,武学奇术!$A:$ZZ,3,FALSE)+SUM(_xlfn.XLOOKUP($R75:$AF75,增益!$A:$A,增益!$C:$C,0))-$I$2</f>
        <v>3545.8</v>
      </c>
      <c r="AO75" cm="1">
        <f t="array" ref="AO75">$E$10*(1+$AM75)+VLOOKUP($Q75,武学奇术!$A:$ZZ,4,FALSE)+SUM(_xlfn.XLOOKUP($R75:$AF75,增益!$A:$A,增益!$D:$D,0))-$I$2</f>
        <v>3545.8</v>
      </c>
      <c r="AP75" s="35" cm="1">
        <f t="array" ref="AP75">IF($F$10-$I$3+VLOOKUP($Q75,武学奇术!$A:$ZZ,6,FALSE)+SUM(_xlfn.XLOOKUP(R75:AF75,增益!$A:$A,增益!$F:$F,0))&gt;0,($F$10-$I$3+VLOOKUP($Q75,武学奇术!$A:$ZZ,6,FALSE)+SUM(_xlfn.XLOOKUP(R75:AF75,增益!$A:$A,增益!$F:$F,0)))/200,($F$10-$I$3+VLOOKUP($Q75,武学奇术!$A:$ZZ,6,FALSE)+SUM(_xlfn.XLOOKUP(R75:AF75,增益!$A:$A,增益!$F:$F,0)))/100)</f>
        <v>0.2925</v>
      </c>
      <c r="AQ75" s="35" cm="1">
        <f t="array" ref="AQ75">$G$10+VLOOKUP($Q75,武学奇术!$A:$ZZ,7,FALSE)+SUM(_xlfn.XLOOKUP(R75:AF75,增益!$A:$A,增益!$G:$G,0))</f>
        <v>0.028</v>
      </c>
      <c r="AR75" s="30" cm="1">
        <f t="array" ref="AR75">VLOOKUP($Q75,武学奇术!$A:$ZZ,8,FALSE)+SUM(_xlfn.XLOOKUP(R75:AF75,增益!$A:$A,增益!$H:$H,0))</f>
        <v>0</v>
      </c>
      <c r="AS75">
        <f t="shared" si="34"/>
        <v>0</v>
      </c>
      <c r="AT75">
        <f t="shared" si="35"/>
        <v>0</v>
      </c>
      <c r="AU75" s="35" cm="1">
        <f t="array" ref="AU75">IF($F$11-$I$4+VLOOKUP($Q75,武学奇术!$A:$ZZ,9,FALSE)+SUM(_xlfn.XLOOKUP(R75:AF75,增益!$A:$A,增益!$I:$I,0))&gt;0,($F$11-$I$4+VLOOKUP($Q75,武学奇术!$A:$ZZ,9,FALSE)+SUM(_xlfn.XLOOKUP(R75:AF75,增益!$A:$A,增益!$I:$I,0)))/200,($F$11-$I$4+VLOOKUP($Q75,武学奇术!$A:$ZZ,9,FALSE)+SUM(_xlfn.XLOOKUP(R75:AF75,增益!$A:$A,增益!$I:$I,0)))/100)</f>
        <v>-0.14</v>
      </c>
      <c r="AV75" s="35" cm="1">
        <f t="array" ref="AV75">$G$11+VLOOKUP($Q75,武学奇术!$A:$ZZ,10,FALSE)+SUM(_xlfn.XLOOKUP(R75:AF75,增益!$A:$A,增益!$J:$J,0))</f>
        <v>0</v>
      </c>
      <c r="AW75">
        <f t="shared" si="36"/>
        <v>0</v>
      </c>
      <c r="AX75">
        <f t="shared" si="37"/>
        <v>0</v>
      </c>
      <c r="AY75" s="35" cm="1">
        <f t="array" ref="AY75">IF($F$12-$I$4+VLOOKUP($Q75,武学奇术!$A:$ZZ,11,FALSE)+SUM(_xlfn.XLOOKUP(R75:AF75,增益!$A:$A,增益!$K:$K,0))&gt;0,($F$12-$I$4+VLOOKUP($Q75,武学奇术!$A:$ZZ,11,FALSE)+SUM(_xlfn.XLOOKUP(R75:AF75,增益!$A:$A,增益!$K:$K,0)))/200,($F$12-$I$4+VLOOKUP($Q75,武学奇术!$A:$ZZ,11,FALSE)+SUM(_xlfn.XLOOKUP(R75:AF75,增益!$A:$A,增益!$K:$K,0)))/100)</f>
        <v>-0.14</v>
      </c>
      <c r="AZ75" s="35" cm="1">
        <f t="array" ref="AZ75">$G$12+VLOOKUP($Q75,武学奇术!$A:$ZZ,12,FALSE)+SUM(_xlfn.XLOOKUP(R75:AF75,增益!$A:$A,增益!$L:$L,0))</f>
        <v>0</v>
      </c>
      <c r="BA75">
        <f t="shared" si="38"/>
        <v>0</v>
      </c>
      <c r="BB75">
        <f t="shared" si="39"/>
        <v>0</v>
      </c>
      <c r="BC75" s="35" cm="1">
        <f t="array" ref="BC75">IF($F$13-$I$4+VLOOKUP($Q75,武学奇术!$A:$ZZ,13,FALSE)+SUM(_xlfn.XLOOKUP(R75:AF75,增益!$A:$A,增益!$M:$M,0))&gt;0,($F$13-$I$4+VLOOKUP($Q75,武学奇术!$A:$ZZ,13,FALSE)+SUM(_xlfn.XLOOKUP(R75:AF75,增益!$A:$A,增益!$K:$K,0)))/200,($F$13-$I$4+VLOOKUP($Q75,武学奇术!$A:$ZZ,13,FALSE)+SUM(_xlfn.XLOOKUP(R75:AF75,增益!$A:$A,增益!$M:$M,0)))/100)</f>
        <v>-0.14</v>
      </c>
      <c r="BD75" s="35" cm="1">
        <f t="array" ref="BD75">$G$13+VLOOKUP($Q75,武学奇术!$A:$ZZ,14,FALSE)+SUM(_xlfn.XLOOKUP(R75:AF75,增益!$A:$A,增益!$N:$N,0))</f>
        <v>0</v>
      </c>
      <c r="BE75">
        <f t="shared" si="40"/>
        <v>538</v>
      </c>
      <c r="BF75">
        <f t="shared" si="41"/>
        <v>1561.4</v>
      </c>
      <c r="BG75" s="35" cm="1">
        <f t="array" ref="BG75">IF($F$14-$I$4+VLOOKUP($Q75,武学奇术!$A:$ZZ,15,FALSE)+SUM(_xlfn.XLOOKUP(R75:AF75,增益!$A:$A,增益!$O:$O,0))&gt;0,($F$14-$I$4+VLOOKUP($Q75,武学奇术!$A:$ZZ,15,FALSE)+SUM(_xlfn.XLOOKUP(R75:AF75,增益!$A:$A,增益!$O:$O,0)))/200,($F$14-$I$4+VLOOKUP($Q75,武学奇术!$A:$ZZ,15,FALSE)+SUM(_xlfn.XLOOKUP(R75:AF75,增益!$A:$A,增益!$O:$O,0)))/100)</f>
        <v>0.08</v>
      </c>
      <c r="BH75" s="35" cm="1">
        <f t="array" ref="BH75">$G$14+VLOOKUP($Q75,武学奇术!$A:$ZZ,16,FALSE)+SUM(_xlfn.XLOOKUP(R75:AF75,增益!$A:$A,增益!$P:$P,0))</f>
        <v>0.15</v>
      </c>
      <c r="BI75" s="30">
        <f>MIN(IF(VLOOKUP($Q75,武学奇术!$A:$ZZ,23,FALSE)=1,100%,$B$8),100%)</f>
        <v>0.9712</v>
      </c>
      <c r="BJ75" s="30" cm="1">
        <f t="array" ref="BJ75">IF(VLOOKUP($Q75,武学奇术!$A:$ZZ,23,FALSE)=1,100%,MIN(80%,$B$9+VLOOKUP($Q75,武学奇术!$A:$ZZ,17,FALSE)+SUM(_xlfn.XLOOKUP(R75:AF75,增益!$A:$A,增益!$Q:$Q,0)))+$B$11+SUM(_xlfn.XLOOKUP(R75:AF75,增益!$A:$A,增益!$U:$U,0)))*IF(VLOOKUP($Q75,武学奇术!$A:$ZZ,24,FALSE)=1,0,1)</f>
        <v>0.8773</v>
      </c>
      <c r="BK75" s="30" cm="1">
        <f t="array" ref="BK75">1+$B$13+VLOOKUP($Q75,武学奇术!$A:$ZZ,18,FALSE)+SUM(_xlfn.XLOOKUP(R75:AF75,增益!$A:$A,增益!$R:$R,0))</f>
        <v>1.77</v>
      </c>
      <c r="BL75" s="30" cm="1">
        <f t="array" ref="BL75">IF(VLOOKUP($Q75,武学奇术!$A:$ZZ,24,FALSE)=1,100%,MIN(40%,$B$10+VLOOKUP($Q75,武学奇术!$A:$ZZ,19,FALSE)+SUM(_xlfn.XLOOKUP(R75:AF75,增益!$A:$A,增益!$S:$S,0)))+$B$12+SUM(_xlfn.XLOOKUP(R75:AF75,增益!$A:$A,增益!$V:$V,0)))*IF(VLOOKUP($Q75,武学奇术!$A:$ZZ,23,FALSE)=1,0,1)</f>
        <v>0.0895</v>
      </c>
      <c r="BM75" s="30" cm="1">
        <f t="array" ref="BM75">1+$B$14+VLOOKUP($Q75,武学奇术!$A:$ZZ,20,FALSE)+SUM(_xlfn.XLOOKUP(R75:AF75,增益!$A:$A,增益!$T:$T,0))</f>
        <v>1.35</v>
      </c>
      <c r="BN75" s="30">
        <f t="shared" si="22"/>
        <v>0.85203376</v>
      </c>
      <c r="BO75" s="30">
        <f t="shared" si="32"/>
        <v>0.03224384</v>
      </c>
      <c r="BP75" s="30">
        <f>IF(VLOOKUP($Q75,武学奇术!$A:$ZZ,22,FALSE)=1,0,(1-$BI75))*(1-$BL75)</f>
        <v>0.0262224</v>
      </c>
      <c r="BQ75" s="30" cm="1">
        <f t="array" ref="BQ75">SUM(_xlfn.XLOOKUP(R75:AF75,增益!$A:$A,增益!$W:$W,0))+$I$5</f>
        <v>0.11</v>
      </c>
    </row>
    <row r="76" spans="1:69">
      <c r="A76" t="s">
        <v>154</v>
      </c>
      <c r="B76">
        <v>1.3</v>
      </c>
      <c r="C76"/>
      <c r="D76"/>
      <c r="E76">
        <v>95</v>
      </c>
      <c r="K76" s="41">
        <f t="shared" si="33"/>
        <v>21806.3490068045</v>
      </c>
      <c r="L76" s="41">
        <f>((($AN76+$AO76)/2*$AH76+$AI76)*(1+$AP76)*(1+$AQ76)+(($AS76+$AT76)/2*IF($G$1="鸣金",$AJ76,$AH76)+IF($G$1="鸣金",$AK76*1.5,0))*(1+$AU76)*(1+$AV76)+(($AW76+$AX76)/2*IF($G$1="裂石",$AJ76,$AH76)+IF($G$1="裂石",$AK76*1.5,0))*(1+$AY76)*(1+$AZ76)+(($BA76+$BB76)/2*IF($G$1="牵丝",$AJ76,$AH76)+IF($G$1="牵丝",$AK76*1.5,0))*(1+$BC76)*(1+$BD76)+(($BE76+$BF76)/2*IF($G$1="破竹",$AJ76,$AH76)+IF($G$1="破竹",$AK76*1.5,0))*(1+$BG76)*(1+$BH76))*(1+$AL76)*$BK76*$P76*(1+IF(VLOOKUP($Q76,武学奇术!$A:$ZZ,30,FALSE)="回旋伞",$B$21,0))*(1+$BQ76)</f>
        <v>22692.0003400939</v>
      </c>
      <c r="M76" s="41">
        <f>(($AO76*$AH76+$AI76)*(1+$AP76)*(1+$AQ76)+($AT76*IF($G$1="鸣金",$AJ76,$AH76)+IF($G$1="鸣金",$AK76*1.5,0))*(1+$AU76)*(1+$AV76)+($AX76*IF($G$1="裂石",$AJ76,$AH76)+IF($G$1="裂石",$AK76*1.5,0))*(1+$AY76)*(1+$AZ76)+($BB76*IF($G$1="牵丝",$AJ76,$AH76)+IF($G$1="牵丝",$AK76*1.5,0))*(1+$BC76)*(1+$BD76)+($BF76*IF($G$1="破竹",$AJ76,$AH76)+IF($G$1="破竹",$AK76*1.5,0))*(1+$BG76)*(1+$BH76))*(1+$AL76)*$BM76*$P76*(1+IF(VLOOKUP($Q76,武学奇术!$A:$ZZ,30,FALSE)="回旋伞",$B$21,0))*(1+$BQ76)</f>
        <v>19782.258491168</v>
      </c>
      <c r="N76" s="41">
        <f>((($AN76+$AO76)/2*$AH76+$AI76)*(1+$AP76)*(1+$AQ76)+(($AS76+$AT76)/2*IF($G$1="鸣金",$AJ76,$AH76)+IF($G$1="鸣金",$AK76*1.5,0))*(1+$AU76)*(1+$AV76)+(($AW76+$AX76)/2*IF($G$1="裂石",$AJ76,$AH76)+IF($G$1="裂石",$AK76*1.5,0))*(1+$AY76)*(1+$AZ76)+(($BA76+$BB76)/2*IF($G$1="牵丝",$AJ76,$AH76)+IF($G$1="牵丝",$AK76*1.5,0))*(1+$BC76)*(1+$BD76)+(($BE76+$BF76)/2*IF($G$1="破竹",$AJ76,$AH76)+IF($G$1="破竹",$AK76*1.5,0))*(1+$BG76)*(1+$BH76))*(1+$AL76)*$P76*(1+IF(VLOOKUP($Q76,武学奇术!$A:$ZZ,30,FALSE)="回旋伞",$B$21,0))*(1+$BQ76)</f>
        <v>12820.3391751943</v>
      </c>
      <c r="O76" s="41">
        <f>((($AN76*$AH76+$AI76)*(1+$AP76)*(1+$AQ76)+($AS76*IF($G$1="鸣金",$AJ76,$AH76)+IF($G$1="鸣金",$AK76*1.5,0))*(1+$AU76)*(1+$AV76)+($AW76*IF($G$1="裂石",$AJ76,$AH76)+IF($G$1="裂石",$AK76*1.5,0))*(1+$AY76)*(1+$AZ76)+($BA76*IF($G$1="牵丝",$AJ76,$AH76)+IF($G$1="牵丝",$AK76*1.5,0))*(1+$BC76)*(1+$BD76)+($BE76*IF($G$1="破竹",$AJ76,$AH76)+IF($G$1="破竹",$AK76*1.5,0))*(1+$BG76)*(1+$BH76))*(1+$AL76))*$P76*(1+IF(VLOOKUP($Q76,武学奇术!$A:$ZZ,30,FALSE)="回旋伞",$B$21,0))*(1+$BQ76)</f>
        <v>10987.153542116</v>
      </c>
      <c r="P76" s="42">
        <v>2</v>
      </c>
      <c r="Q76" s="43" t="s">
        <v>143</v>
      </c>
      <c r="R76" s="43" t="s">
        <v>71</v>
      </c>
      <c r="S76" s="43" t="s">
        <v>91</v>
      </c>
      <c r="T76" s="43" t="s">
        <v>72</v>
      </c>
      <c r="U76" s="43" t="s">
        <v>71</v>
      </c>
      <c r="V76" s="43" t="s">
        <v>71</v>
      </c>
      <c r="W76" s="43" t="s">
        <v>71</v>
      </c>
      <c r="X76" s="43" t="s">
        <v>82</v>
      </c>
      <c r="Y76" s="43" t="s">
        <v>71</v>
      </c>
      <c r="Z76" s="43" t="s">
        <v>71</v>
      </c>
      <c r="AA76" s="43" t="s">
        <v>71</v>
      </c>
      <c r="AB76" s="43" t="s">
        <v>71</v>
      </c>
      <c r="AC76" s="43" t="s">
        <v>71</v>
      </c>
      <c r="AD76" s="43" t="s">
        <v>71</v>
      </c>
      <c r="AE76" s="43" t="s">
        <v>71</v>
      </c>
      <c r="AF76" s="43" t="s">
        <v>76</v>
      </c>
      <c r="AG76" t="str">
        <f>VLOOKUP($Q76,武学奇术!$A:$ZZ,25,FALSE)</f>
        <v>伞</v>
      </c>
      <c r="AH76" s="30">
        <f>VLOOKUP($Q76,武学奇术!$A:$ZZ,26,FALSE)</f>
        <v>0.54</v>
      </c>
      <c r="AI76" s="31">
        <f>VLOOKUP($Q76,武学奇术!$A:$ZZ,27,FALSE)*(1+IF(OR($AG76=$F$4,$AG76=$F$5),$B$22,0))</f>
        <v>0</v>
      </c>
      <c r="AJ76" s="30">
        <f>VLOOKUP($Q76,武学奇术!$A:$ZZ,28,FALSE)</f>
        <v>0.81</v>
      </c>
      <c r="AK76" s="31">
        <f>VLOOKUP($Q76,武学奇术!$A:$ZZ,29,FALSE)*(1+IF(OR($AG76=$F$4,$AG76=$F$5),$B$22,0))</f>
        <v>0</v>
      </c>
      <c r="AL76" s="30" cm="1">
        <f t="array" ref="AL76">$G$3+IFERROR(VLOOKUP($AG76,$F$4:$G$7,2,FALSE),0)+VLOOKUP($Q76,武学奇术!$A:$ZZ,2,FALSE)+SUM(_xlfn.XLOOKUP($R76:$AF76,增益!$A:$A,增益!$B:$B,0))</f>
        <v>0.6041</v>
      </c>
      <c r="AM76" s="30" cm="1">
        <f t="array" ref="AM76">VLOOKUP($Q76,武学奇术!$A:$ZZ,5,FALSE)+SUM(_xlfn.XLOOKUP($R76:$AF76,增益!$A:$A,增益!$E:$E,0))</f>
        <v>0</v>
      </c>
      <c r="AN76" cm="1">
        <f t="array" ref="AN76">$D$10*(1+$AM76)+VLOOKUP($Q76,武学奇术!$A:$ZZ,3,FALSE)+SUM(_xlfn.XLOOKUP($R76:$AF76,增益!$A:$A,增益!$C:$C,0))-$I$2</f>
        <v>3545.8</v>
      </c>
      <c r="AO76" cm="1">
        <f t="array" ref="AO76">$E$10*(1+$AM76)+VLOOKUP($Q76,武学奇术!$A:$ZZ,4,FALSE)+SUM(_xlfn.XLOOKUP($R76:$AF76,增益!$A:$A,增益!$D:$D,0))-$I$2</f>
        <v>3545.8</v>
      </c>
      <c r="AP76" s="35" cm="1">
        <f t="array" ref="AP76">IF($F$10-$I$3+VLOOKUP($Q76,武学奇术!$A:$ZZ,6,FALSE)+SUM(_xlfn.XLOOKUP(R76:AF76,增益!$A:$A,增益!$F:$F,0))&gt;0,($F$10-$I$3+VLOOKUP($Q76,武学奇术!$A:$ZZ,6,FALSE)+SUM(_xlfn.XLOOKUP(R76:AF76,增益!$A:$A,增益!$F:$F,0)))/200,($F$10-$I$3+VLOOKUP($Q76,武学奇术!$A:$ZZ,6,FALSE)+SUM(_xlfn.XLOOKUP(R76:AF76,增益!$A:$A,增益!$F:$F,0)))/100)</f>
        <v>0.2925</v>
      </c>
      <c r="AQ76" s="35" cm="1">
        <f t="array" ref="AQ76">$G$10+VLOOKUP($Q76,武学奇术!$A:$ZZ,7,FALSE)+SUM(_xlfn.XLOOKUP(R76:AF76,增益!$A:$A,增益!$G:$G,0))</f>
        <v>0.028</v>
      </c>
      <c r="AR76" s="30" cm="1">
        <f t="array" ref="AR76">VLOOKUP($Q76,武学奇术!$A:$ZZ,8,FALSE)+SUM(_xlfn.XLOOKUP(R76:AF76,增益!$A:$A,增益!$H:$H,0))</f>
        <v>0</v>
      </c>
      <c r="AS76">
        <f t="shared" si="34"/>
        <v>0</v>
      </c>
      <c r="AT76">
        <f t="shared" si="35"/>
        <v>0</v>
      </c>
      <c r="AU76" s="35" cm="1">
        <f t="array" ref="AU76">IF($F$11-$I$4+VLOOKUP($Q76,武学奇术!$A:$ZZ,9,FALSE)+SUM(_xlfn.XLOOKUP(R76:AF76,增益!$A:$A,增益!$I:$I,0))&gt;0,($F$11-$I$4+VLOOKUP($Q76,武学奇术!$A:$ZZ,9,FALSE)+SUM(_xlfn.XLOOKUP(R76:AF76,增益!$A:$A,增益!$I:$I,0)))/200,($F$11-$I$4+VLOOKUP($Q76,武学奇术!$A:$ZZ,9,FALSE)+SUM(_xlfn.XLOOKUP(R76:AF76,增益!$A:$A,增益!$I:$I,0)))/100)</f>
        <v>-0.14</v>
      </c>
      <c r="AV76" s="35" cm="1">
        <f t="array" ref="AV76">$G$11+VLOOKUP($Q76,武学奇术!$A:$ZZ,10,FALSE)+SUM(_xlfn.XLOOKUP(R76:AF76,增益!$A:$A,增益!$J:$J,0))</f>
        <v>0</v>
      </c>
      <c r="AW76">
        <f t="shared" si="36"/>
        <v>0</v>
      </c>
      <c r="AX76">
        <f t="shared" si="37"/>
        <v>0</v>
      </c>
      <c r="AY76" s="35" cm="1">
        <f t="array" ref="AY76">IF($F$12-$I$4+VLOOKUP($Q76,武学奇术!$A:$ZZ,11,FALSE)+SUM(_xlfn.XLOOKUP(R76:AF76,增益!$A:$A,增益!$K:$K,0))&gt;0,($F$12-$I$4+VLOOKUP($Q76,武学奇术!$A:$ZZ,11,FALSE)+SUM(_xlfn.XLOOKUP(R76:AF76,增益!$A:$A,增益!$K:$K,0)))/200,($F$12-$I$4+VLOOKUP($Q76,武学奇术!$A:$ZZ,11,FALSE)+SUM(_xlfn.XLOOKUP(R76:AF76,增益!$A:$A,增益!$K:$K,0)))/100)</f>
        <v>-0.14</v>
      </c>
      <c r="AZ76" s="35" cm="1">
        <f t="array" ref="AZ76">$G$12+VLOOKUP($Q76,武学奇术!$A:$ZZ,12,FALSE)+SUM(_xlfn.XLOOKUP(R76:AF76,增益!$A:$A,增益!$L:$L,0))</f>
        <v>0</v>
      </c>
      <c r="BA76">
        <f t="shared" si="38"/>
        <v>0</v>
      </c>
      <c r="BB76">
        <f t="shared" si="39"/>
        <v>0</v>
      </c>
      <c r="BC76" s="35" cm="1">
        <f t="array" ref="BC76">IF($F$13-$I$4+VLOOKUP($Q76,武学奇术!$A:$ZZ,13,FALSE)+SUM(_xlfn.XLOOKUP(R76:AF76,增益!$A:$A,增益!$M:$M,0))&gt;0,($F$13-$I$4+VLOOKUP($Q76,武学奇术!$A:$ZZ,13,FALSE)+SUM(_xlfn.XLOOKUP(R76:AF76,增益!$A:$A,增益!$K:$K,0)))/200,($F$13-$I$4+VLOOKUP($Q76,武学奇术!$A:$ZZ,13,FALSE)+SUM(_xlfn.XLOOKUP(R76:AF76,增益!$A:$A,增益!$M:$M,0)))/100)</f>
        <v>-0.14</v>
      </c>
      <c r="BD76" s="35" cm="1">
        <f t="array" ref="BD76">$G$13+VLOOKUP($Q76,武学奇术!$A:$ZZ,14,FALSE)+SUM(_xlfn.XLOOKUP(R76:AF76,增益!$A:$A,增益!$N:$N,0))</f>
        <v>0</v>
      </c>
      <c r="BE76">
        <f t="shared" si="40"/>
        <v>538</v>
      </c>
      <c r="BF76">
        <f t="shared" si="41"/>
        <v>1561.4</v>
      </c>
      <c r="BG76" s="35" cm="1">
        <f t="array" ref="BG76">IF($F$14-$I$4+VLOOKUP($Q76,武学奇术!$A:$ZZ,15,FALSE)+SUM(_xlfn.XLOOKUP(R76:AF76,增益!$A:$A,增益!$O:$O,0))&gt;0,($F$14-$I$4+VLOOKUP($Q76,武学奇术!$A:$ZZ,15,FALSE)+SUM(_xlfn.XLOOKUP(R76:AF76,增益!$A:$A,增益!$O:$O,0)))/200,($F$14-$I$4+VLOOKUP($Q76,武学奇术!$A:$ZZ,15,FALSE)+SUM(_xlfn.XLOOKUP(R76:AF76,增益!$A:$A,增益!$O:$O,0)))/100)</f>
        <v>0.08</v>
      </c>
      <c r="BH76" s="35" cm="1">
        <f t="array" ref="BH76">$G$14+VLOOKUP($Q76,武学奇术!$A:$ZZ,16,FALSE)+SUM(_xlfn.XLOOKUP(R76:AF76,增益!$A:$A,增益!$P:$P,0))</f>
        <v>0.15</v>
      </c>
      <c r="BI76" s="30">
        <f>MIN(IF(VLOOKUP($Q76,武学奇术!$A:$ZZ,23,FALSE)=1,100%,$B$8),100%)</f>
        <v>0.9712</v>
      </c>
      <c r="BJ76" s="30" cm="1">
        <f t="array" ref="BJ76">IF(VLOOKUP($Q76,武学奇术!$A:$ZZ,23,FALSE)=1,100%,MIN(80%,$B$9+VLOOKUP($Q76,武学奇术!$A:$ZZ,17,FALSE)+SUM(_xlfn.XLOOKUP(R76:AF76,增益!$A:$A,增益!$Q:$Q,0)))+$B$11+SUM(_xlfn.XLOOKUP(R76:AF76,增益!$A:$A,增益!$U:$U,0)))*IF(VLOOKUP($Q76,武学奇术!$A:$ZZ,24,FALSE)=1,0,1)</f>
        <v>0.8773</v>
      </c>
      <c r="BK76" s="30" cm="1">
        <f t="array" ref="BK76">1+$B$13+VLOOKUP($Q76,武学奇术!$A:$ZZ,18,FALSE)+SUM(_xlfn.XLOOKUP(R76:AF76,增益!$A:$A,增益!$R:$R,0))</f>
        <v>1.77</v>
      </c>
      <c r="BL76" s="30" cm="1">
        <f t="array" ref="BL76">IF(VLOOKUP($Q76,武学奇术!$A:$ZZ,24,FALSE)=1,100%,MIN(40%,$B$10+VLOOKUP($Q76,武学奇术!$A:$ZZ,19,FALSE)+SUM(_xlfn.XLOOKUP(R76:AF76,增益!$A:$A,增益!$S:$S,0)))+$B$12+SUM(_xlfn.XLOOKUP(R76:AF76,增益!$A:$A,增益!$V:$V,0)))*IF(VLOOKUP($Q76,武学奇术!$A:$ZZ,23,FALSE)=1,0,1)</f>
        <v>0.0895</v>
      </c>
      <c r="BM76" s="30" cm="1">
        <f t="array" ref="BM76">1+$B$14+VLOOKUP($Q76,武学奇术!$A:$ZZ,20,FALSE)+SUM(_xlfn.XLOOKUP(R76:AF76,增益!$A:$A,增益!$T:$T,0))</f>
        <v>1.35</v>
      </c>
      <c r="BN76" s="30">
        <f t="shared" si="22"/>
        <v>0.85203376</v>
      </c>
      <c r="BO76" s="30">
        <f t="shared" si="32"/>
        <v>0.03224384</v>
      </c>
      <c r="BP76" s="30">
        <f>IF(VLOOKUP($Q76,武学奇术!$A:$ZZ,22,FALSE)=1,0,(1-$BI76))*(1-$BL76)</f>
        <v>0.0262224</v>
      </c>
      <c r="BQ76" s="30" cm="1">
        <f t="array" ref="BQ76">SUM(_xlfn.XLOOKUP(R76:AF76,增益!$A:$A,增益!$W:$W,0))+$I$5</f>
        <v>0.11</v>
      </c>
    </row>
    <row r="77" spans="1:69">
      <c r="A77" t="s">
        <v>172</v>
      </c>
      <c r="B77">
        <v>2</v>
      </c>
      <c r="C77"/>
      <c r="D77"/>
      <c r="E77"/>
      <c r="G77">
        <v>13</v>
      </c>
      <c r="K77" s="41">
        <f t="shared" si="33"/>
        <v>67670.6215449684</v>
      </c>
      <c r="L77" s="41">
        <f>((($AN77+$AO77)/2*$AH77+$AI77)*(1+$AP77)*(1+$AQ77)+(($AS77+$AT77)/2*IF($G$1="鸣金",$AJ77,$AH77)+IF($G$1="鸣金",$AK77*1.5,0))*(1+$AU77)*(1+$AV77)+(($AW77+$AX77)/2*IF($G$1="裂石",$AJ77,$AH77)+IF($G$1="裂石",$AK77*1.5,0))*(1+$AY77)*(1+$AZ77)+(($BA77+$BB77)/2*IF($G$1="牵丝",$AJ77,$AH77)+IF($G$1="牵丝",$AK77*1.5,0))*(1+$BC77)*(1+$BD77)+(($BE77+$BF77)/2*IF($G$1="破竹",$AJ77,$AH77)+IF($G$1="破竹",$AK77*1.5,0))*(1+$BG77)*(1+$BH77))*(1+$AL77)*$BK77*$P77*(1+IF(VLOOKUP($Q77,武学奇术!$A:$ZZ,30,FALSE)="回旋伞",$B$21,0))*(1+$BQ77)</f>
        <v>70928.6894840212</v>
      </c>
      <c r="M77" s="41">
        <f>(($AO77*$AH77+$AI77)*(1+$AP77)*(1+$AQ77)+($AT77*IF($G$1="鸣金",$AJ77,$AH77)+IF($G$1="鸣金",$AK77*1.5,0))*(1+$AU77)*(1+$AV77)+($AX77*IF($G$1="裂石",$AJ77,$AH77)+IF($G$1="裂石",$AK77*1.5,0))*(1+$AY77)*(1+$AZ77)+($BB77*IF($G$1="牵丝",$AJ77,$AH77)+IF($G$1="牵丝",$AK77*1.5,0))*(1+$BC77)*(1+$BD77)+($BF77*IF($G$1="破竹",$AJ77,$AH77)+IF($G$1="破竹",$AK77*1.5,0))*(1+$BG77)*(1+$BH77))*(1+$AL77)*$BM77*$P77*(1+IF(VLOOKUP($Q77,武学奇术!$A:$ZZ,30,FALSE)="回旋伞",$B$21,0))*(1+$BQ77)</f>
        <v>57434.2432257912</v>
      </c>
      <c r="N77" s="41">
        <f>((($AN77+$AO77)/2*$AH77+$AI77)*(1+$AP77)*(1+$AQ77)+(($AS77+$AT77)/2*IF($G$1="鸣金",$AJ77,$AH77)+IF($G$1="鸣金",$AK77*1.5,0))*(1+$AU77)*(1+$AV77)+(($AW77+$AX77)/2*IF($G$1="裂石",$AJ77,$AH77)+IF($G$1="裂石",$AK77*1.5,0))*(1+$AY77)*(1+$AZ77)+(($BA77+$BB77)/2*IF($G$1="牵丝",$AJ77,$AH77)+IF($G$1="牵丝",$AK77*1.5,0))*(1+$BC77)*(1+$BD77)+(($BE77+$BF77)/2*IF($G$1="破竹",$AJ77,$AH77)+IF($G$1="破竹",$AK77*1.5,0))*(1+$BG77)*(1+$BH77))*(1+$AL77)*$P77*(1+IF(VLOOKUP($Q77,武学奇术!$A:$ZZ,30,FALSE)="回旋伞",$B$21,0))*(1+$BQ77)</f>
        <v>37929.7804727386</v>
      </c>
      <c r="O77" s="41">
        <f>((($AN77*$AH77+$AI77)*(1+$AP77)*(1+$AQ77)+($AS77*IF($G$1="鸣金",$AJ77,$AH77)+IF($G$1="鸣金",$AK77*1.5,0))*(1+$AU77)*(1+$AV77)+($AW77*IF($G$1="裂石",$AJ77,$AH77)+IF($G$1="裂石",$AK77*1.5,0))*(1+$AY77)*(1+$AZ77)+($BA77*IF($G$1="牵丝",$AJ77,$AH77)+IF($G$1="牵丝",$AK77*1.5,0))*(1+$BC77)*(1+$BD77)+($BE77*IF($G$1="破竹",$AJ77,$AH77)+IF($G$1="破竹",$AK77*1.5,0))*(1+$BG77)*(1+$BH77))*(1+$AL77))*$P77*(1+IF(VLOOKUP($Q77,武学奇术!$A:$ZZ,30,FALSE)="回旋伞",$B$21,0))*(1+$BQ77)</f>
        <v>33315.6770745207</v>
      </c>
      <c r="P77" s="42">
        <v>1</v>
      </c>
      <c r="Q77" s="43" t="s">
        <v>104</v>
      </c>
      <c r="R77" s="43" t="s">
        <v>105</v>
      </c>
      <c r="S77" s="43" t="s">
        <v>91</v>
      </c>
      <c r="T77" s="43" t="s">
        <v>72</v>
      </c>
      <c r="U77" s="43" t="s">
        <v>71</v>
      </c>
      <c r="V77" s="43" t="s">
        <v>167</v>
      </c>
      <c r="W77" s="43" t="s">
        <v>95</v>
      </c>
      <c r="X77" s="43" t="s">
        <v>82</v>
      </c>
      <c r="Y77" s="43" t="s">
        <v>71</v>
      </c>
      <c r="Z77" s="43" t="s">
        <v>71</v>
      </c>
      <c r="AA77" s="43" t="s">
        <v>71</v>
      </c>
      <c r="AB77" s="43" t="s">
        <v>71</v>
      </c>
      <c r="AC77" s="43" t="s">
        <v>71</v>
      </c>
      <c r="AD77" s="43" t="s">
        <v>71</v>
      </c>
      <c r="AE77" s="43" t="s">
        <v>71</v>
      </c>
      <c r="AF77" s="43" t="s">
        <v>76</v>
      </c>
      <c r="AG77" t="str">
        <f>VLOOKUP($Q77,武学奇术!$A:$ZZ,25,FALSE)</f>
        <v>伞</v>
      </c>
      <c r="AH77" s="30">
        <f>VLOOKUP($Q77,武学奇术!$A:$ZZ,26,FALSE)</f>
        <v>1.8084</v>
      </c>
      <c r="AI77" s="31">
        <f>VLOOKUP($Q77,武学奇术!$A:$ZZ,27,FALSE)*(1+IF(OR($AG77=$F$4,$AG77=$F$5),$B$22,0))</f>
        <v>700</v>
      </c>
      <c r="AJ77" s="30">
        <f>VLOOKUP($Q77,武学奇术!$A:$ZZ,28,FALSE)</f>
        <v>2.7126</v>
      </c>
      <c r="AK77" s="31">
        <f>VLOOKUP($Q77,武学奇术!$A:$ZZ,29,FALSE)*(1+IF(OR($AG77=$F$4,$AG77=$F$5),$B$22,0))</f>
        <v>380.8</v>
      </c>
      <c r="AL77" s="30" cm="1">
        <f t="array" ref="AL77">$G$3+IFERROR(VLOOKUP($AG77,$F$4:$G$7,2,FALSE),0)+VLOOKUP($Q77,武学奇术!$A:$ZZ,2,FALSE)+SUM(_xlfn.XLOOKUP($R77:$AF77,增益!$A:$A,增益!$B:$B,0))</f>
        <v>0.6541</v>
      </c>
      <c r="AM77" s="30" cm="1">
        <f t="array" ref="AM77">VLOOKUP($Q77,武学奇术!$A:$ZZ,5,FALSE)+SUM(_xlfn.XLOOKUP($R77:$AF77,增益!$A:$A,增益!$E:$E,0))</f>
        <v>0</v>
      </c>
      <c r="AN77" cm="1">
        <f t="array" ref="AN77">$D$10*(1+$AM77)+VLOOKUP($Q77,武学奇术!$A:$ZZ,3,FALSE)+SUM(_xlfn.XLOOKUP($R77:$AF77,增益!$A:$A,增益!$C:$C,0))-$I$2</f>
        <v>3545.8</v>
      </c>
      <c r="AO77" cm="1">
        <f t="array" ref="AO77">$E$10*(1+$AM77)+VLOOKUP($Q77,武学奇术!$A:$ZZ,4,FALSE)+SUM(_xlfn.XLOOKUP($R77:$AF77,增益!$A:$A,增益!$D:$D,0))-$I$2</f>
        <v>3545.8</v>
      </c>
      <c r="AP77" s="35" cm="1">
        <f t="array" ref="AP77">IF($F$10-$I$3+VLOOKUP($Q77,武学奇术!$A:$ZZ,6,FALSE)+SUM(_xlfn.XLOOKUP(R77:AF77,增益!$A:$A,增益!$F:$F,0))&gt;0,($F$10-$I$3+VLOOKUP($Q77,武学奇术!$A:$ZZ,6,FALSE)+SUM(_xlfn.XLOOKUP(R77:AF77,增益!$A:$A,增益!$F:$F,0)))/200,($F$10-$I$3+VLOOKUP($Q77,武学奇术!$A:$ZZ,6,FALSE)+SUM(_xlfn.XLOOKUP(R77:AF77,增益!$A:$A,增益!$F:$F,0)))/100)</f>
        <v>0.3425</v>
      </c>
      <c r="AQ77" s="35" cm="1">
        <f t="array" ref="AQ77">$G$10+VLOOKUP($Q77,武学奇术!$A:$ZZ,7,FALSE)+SUM(_xlfn.XLOOKUP(R77:AF77,增益!$A:$A,增益!$G:$G,0))</f>
        <v>0.148</v>
      </c>
      <c r="AR77" s="30" cm="1">
        <f t="array" ref="AR77">VLOOKUP($Q77,武学奇术!$A:$ZZ,8,FALSE)+SUM(_xlfn.XLOOKUP(R77:AF77,增益!$A:$A,增益!$H:$H,0))</f>
        <v>0</v>
      </c>
      <c r="AS77">
        <f t="shared" si="34"/>
        <v>0</v>
      </c>
      <c r="AT77">
        <f t="shared" si="35"/>
        <v>0</v>
      </c>
      <c r="AU77" s="35" cm="1">
        <f t="array" ref="AU77">IF($F$11-$I$4+VLOOKUP($Q77,武学奇术!$A:$ZZ,9,FALSE)+SUM(_xlfn.XLOOKUP(R77:AF77,增益!$A:$A,增益!$I:$I,0))&gt;0,($F$11-$I$4+VLOOKUP($Q77,武学奇术!$A:$ZZ,9,FALSE)+SUM(_xlfn.XLOOKUP(R77:AF77,增益!$A:$A,增益!$I:$I,0)))/200,($F$11-$I$4+VLOOKUP($Q77,武学奇术!$A:$ZZ,9,FALSE)+SUM(_xlfn.XLOOKUP(R77:AF77,增益!$A:$A,增益!$I:$I,0)))/100)</f>
        <v>-0.14</v>
      </c>
      <c r="AV77" s="35" cm="1">
        <f t="array" ref="AV77">$G$11+VLOOKUP($Q77,武学奇术!$A:$ZZ,10,FALSE)+SUM(_xlfn.XLOOKUP(R77:AF77,增益!$A:$A,增益!$J:$J,0))</f>
        <v>0</v>
      </c>
      <c r="AW77">
        <f t="shared" si="36"/>
        <v>0</v>
      </c>
      <c r="AX77">
        <f t="shared" si="37"/>
        <v>0</v>
      </c>
      <c r="AY77" s="35" cm="1">
        <f t="array" ref="AY77">IF($F$12-$I$4+VLOOKUP($Q77,武学奇术!$A:$ZZ,11,FALSE)+SUM(_xlfn.XLOOKUP(R77:AF77,增益!$A:$A,增益!$K:$K,0))&gt;0,($F$12-$I$4+VLOOKUP($Q77,武学奇术!$A:$ZZ,11,FALSE)+SUM(_xlfn.XLOOKUP(R77:AF77,增益!$A:$A,增益!$K:$K,0)))/200,($F$12-$I$4+VLOOKUP($Q77,武学奇术!$A:$ZZ,11,FALSE)+SUM(_xlfn.XLOOKUP(R77:AF77,增益!$A:$A,增益!$K:$K,0)))/100)</f>
        <v>-0.14</v>
      </c>
      <c r="AZ77" s="35" cm="1">
        <f t="array" ref="AZ77">$G$12+VLOOKUP($Q77,武学奇术!$A:$ZZ,12,FALSE)+SUM(_xlfn.XLOOKUP(R77:AF77,增益!$A:$A,增益!$L:$L,0))</f>
        <v>0</v>
      </c>
      <c r="BA77">
        <f t="shared" si="38"/>
        <v>0</v>
      </c>
      <c r="BB77">
        <f t="shared" si="39"/>
        <v>0</v>
      </c>
      <c r="BC77" s="35" cm="1">
        <f t="array" ref="BC77">IF($F$13-$I$4+VLOOKUP($Q77,武学奇术!$A:$ZZ,13,FALSE)+SUM(_xlfn.XLOOKUP(R77:AF77,增益!$A:$A,增益!$M:$M,0))&gt;0,($F$13-$I$4+VLOOKUP($Q77,武学奇术!$A:$ZZ,13,FALSE)+SUM(_xlfn.XLOOKUP(R77:AF77,增益!$A:$A,增益!$K:$K,0)))/200,($F$13-$I$4+VLOOKUP($Q77,武学奇术!$A:$ZZ,13,FALSE)+SUM(_xlfn.XLOOKUP(R77:AF77,增益!$A:$A,增益!$M:$M,0)))/100)</f>
        <v>-0.14</v>
      </c>
      <c r="BD77" s="35" cm="1">
        <f t="array" ref="BD77">$G$13+VLOOKUP($Q77,武学奇术!$A:$ZZ,14,FALSE)+SUM(_xlfn.XLOOKUP(R77:AF77,增益!$A:$A,增益!$N:$N,0))</f>
        <v>0</v>
      </c>
      <c r="BE77">
        <f t="shared" si="40"/>
        <v>538</v>
      </c>
      <c r="BF77">
        <f t="shared" si="41"/>
        <v>1561.4</v>
      </c>
      <c r="BG77" s="35" cm="1">
        <f t="array" ref="BG77">IF($F$14-$I$4+VLOOKUP($Q77,武学奇术!$A:$ZZ,15,FALSE)+SUM(_xlfn.XLOOKUP(R77:AF77,增益!$A:$A,增益!$O:$O,0))&gt;0,($F$14-$I$4+VLOOKUP($Q77,武学奇术!$A:$ZZ,15,FALSE)+SUM(_xlfn.XLOOKUP(R77:AF77,增益!$A:$A,增益!$O:$O,0)))/200,($F$14-$I$4+VLOOKUP($Q77,武学奇术!$A:$ZZ,15,FALSE)+SUM(_xlfn.XLOOKUP(R77:AF77,增益!$A:$A,增益!$O:$O,0)))/100)</f>
        <v>0.08</v>
      </c>
      <c r="BH77" s="35" cm="1">
        <f t="array" ref="BH77">$G$14+VLOOKUP($Q77,武学奇术!$A:$ZZ,16,FALSE)+SUM(_xlfn.XLOOKUP(R77:AF77,增益!$A:$A,增益!$P:$P,0))</f>
        <v>0.27</v>
      </c>
      <c r="BI77" s="30">
        <f>MIN(IF(VLOOKUP($Q77,武学奇术!$A:$ZZ,23,FALSE)=1,100%,$B$8),100%)</f>
        <v>0.9712</v>
      </c>
      <c r="BJ77" s="30" cm="1">
        <f t="array" ref="BJ77">IF(VLOOKUP($Q77,武学奇术!$A:$ZZ,23,FALSE)=1,100%,MIN(80%,$B$9+VLOOKUP($Q77,武学奇术!$A:$ZZ,17,FALSE)+SUM(_xlfn.XLOOKUP(R77:AF77,增益!$A:$A,增益!$Q:$Q,0)))+$B$11+SUM(_xlfn.XLOOKUP(R77:AF77,增益!$A:$A,增益!$U:$U,0)))*IF(VLOOKUP($Q77,武学奇术!$A:$ZZ,24,FALSE)=1,0,1)</f>
        <v>0.8773</v>
      </c>
      <c r="BK77" s="30" cm="1">
        <f t="array" ref="BK77">1+$B$13+VLOOKUP($Q77,武学奇术!$A:$ZZ,18,FALSE)+SUM(_xlfn.XLOOKUP(R77:AF77,增益!$A:$A,增益!$R:$R,0))</f>
        <v>1.87</v>
      </c>
      <c r="BL77" s="30" cm="1">
        <f t="array" ref="BL77">IF(VLOOKUP($Q77,武学奇术!$A:$ZZ,24,FALSE)=1,100%,MIN(40%,$B$10+VLOOKUP($Q77,武学奇术!$A:$ZZ,19,FALSE)+SUM(_xlfn.XLOOKUP(R77:AF77,增益!$A:$A,增益!$S:$S,0)))+$B$12+SUM(_xlfn.XLOOKUP(R77:AF77,增益!$A:$A,增益!$V:$V,0)))*IF(VLOOKUP($Q77,武学奇术!$A:$ZZ,23,FALSE)=1,0,1)</f>
        <v>0.0895</v>
      </c>
      <c r="BM77" s="30" cm="1">
        <f t="array" ref="BM77">1+$B$14+VLOOKUP($Q77,武学奇术!$A:$ZZ,20,FALSE)+SUM(_xlfn.XLOOKUP(R77:AF77,增益!$A:$A,增益!$T:$T,0))</f>
        <v>1.35</v>
      </c>
      <c r="BN77" s="30">
        <f t="shared" si="22"/>
        <v>0.85203376</v>
      </c>
      <c r="BO77" s="30">
        <f t="shared" si="32"/>
        <v>0.03224384</v>
      </c>
      <c r="BP77" s="30">
        <f>IF(VLOOKUP($Q77,武学奇术!$A:$ZZ,22,FALSE)=1,0,(1-$BI77))*(1-$BL77)</f>
        <v>0.0262224</v>
      </c>
      <c r="BQ77" s="30" cm="1">
        <f t="array" ref="BQ77">SUM(_xlfn.XLOOKUP(R77:AF77,增益!$A:$A,增益!$W:$W,0))+$I$5</f>
        <v>0.11</v>
      </c>
    </row>
    <row r="78" spans="1:69">
      <c r="A78" t="s">
        <v>186</v>
      </c>
      <c r="B78">
        <v>10.5</v>
      </c>
      <c r="C78" s="42" t="s">
        <v>174</v>
      </c>
      <c r="D78" s="42" t="s">
        <v>154</v>
      </c>
      <c r="E78" s="42" t="s">
        <v>162</v>
      </c>
      <c r="G78">
        <v>-15</v>
      </c>
      <c r="K78" s="41">
        <f t="shared" si="33"/>
        <v>67670.6215449684</v>
      </c>
      <c r="L78" s="41">
        <f>((($AN78+$AO78)/2*$AH78+$AI78)*(1+$AP78)*(1+$AQ78)+(($AS78+$AT78)/2*IF($G$1="鸣金",$AJ78,$AH78)+IF($G$1="鸣金",$AK78*1.5,0))*(1+$AU78)*(1+$AV78)+(($AW78+$AX78)/2*IF($G$1="裂石",$AJ78,$AH78)+IF($G$1="裂石",$AK78*1.5,0))*(1+$AY78)*(1+$AZ78)+(($BA78+$BB78)/2*IF($G$1="牵丝",$AJ78,$AH78)+IF($G$1="牵丝",$AK78*1.5,0))*(1+$BC78)*(1+$BD78)+(($BE78+$BF78)/2*IF($G$1="破竹",$AJ78,$AH78)+IF($G$1="破竹",$AK78*1.5,0))*(1+$BG78)*(1+$BH78))*(1+$AL78)*$BK78*$P78*(1+IF(VLOOKUP($Q78,武学奇术!$A:$ZZ,30,FALSE)="回旋伞",$B$21,0))*(1+$BQ78)</f>
        <v>70928.6894840212</v>
      </c>
      <c r="M78" s="41">
        <f>(($AO78*$AH78+$AI78)*(1+$AP78)*(1+$AQ78)+($AT78*IF($G$1="鸣金",$AJ78,$AH78)+IF($G$1="鸣金",$AK78*1.5,0))*(1+$AU78)*(1+$AV78)+($AX78*IF($G$1="裂石",$AJ78,$AH78)+IF($G$1="裂石",$AK78*1.5,0))*(1+$AY78)*(1+$AZ78)+($BB78*IF($G$1="牵丝",$AJ78,$AH78)+IF($G$1="牵丝",$AK78*1.5,0))*(1+$BC78)*(1+$BD78)+($BF78*IF($G$1="破竹",$AJ78,$AH78)+IF($G$1="破竹",$AK78*1.5,0))*(1+$BG78)*(1+$BH78))*(1+$AL78)*$BM78*$P78*(1+IF(VLOOKUP($Q78,武学奇术!$A:$ZZ,30,FALSE)="回旋伞",$B$21,0))*(1+$BQ78)</f>
        <v>57434.2432257912</v>
      </c>
      <c r="N78" s="41">
        <f>((($AN78+$AO78)/2*$AH78+$AI78)*(1+$AP78)*(1+$AQ78)+(($AS78+$AT78)/2*IF($G$1="鸣金",$AJ78,$AH78)+IF($G$1="鸣金",$AK78*1.5,0))*(1+$AU78)*(1+$AV78)+(($AW78+$AX78)/2*IF($G$1="裂石",$AJ78,$AH78)+IF($G$1="裂石",$AK78*1.5,0))*(1+$AY78)*(1+$AZ78)+(($BA78+$BB78)/2*IF($G$1="牵丝",$AJ78,$AH78)+IF($G$1="牵丝",$AK78*1.5,0))*(1+$BC78)*(1+$BD78)+(($BE78+$BF78)/2*IF($G$1="破竹",$AJ78,$AH78)+IF($G$1="破竹",$AK78*1.5,0))*(1+$BG78)*(1+$BH78))*(1+$AL78)*$P78*(1+IF(VLOOKUP($Q78,武学奇术!$A:$ZZ,30,FALSE)="回旋伞",$B$21,0))*(1+$BQ78)</f>
        <v>37929.7804727386</v>
      </c>
      <c r="O78" s="41">
        <f>((($AN78*$AH78+$AI78)*(1+$AP78)*(1+$AQ78)+($AS78*IF($G$1="鸣金",$AJ78,$AH78)+IF($G$1="鸣金",$AK78*1.5,0))*(1+$AU78)*(1+$AV78)+($AW78*IF($G$1="裂石",$AJ78,$AH78)+IF($G$1="裂石",$AK78*1.5,0))*(1+$AY78)*(1+$AZ78)+($BA78*IF($G$1="牵丝",$AJ78,$AH78)+IF($G$1="牵丝",$AK78*1.5,0))*(1+$BC78)*(1+$BD78)+($BE78*IF($G$1="破竹",$AJ78,$AH78)+IF($G$1="破竹",$AK78*1.5,0))*(1+$BG78)*(1+$BH78))*(1+$AL78))*$P78*(1+IF(VLOOKUP($Q78,武学奇术!$A:$ZZ,30,FALSE)="回旋伞",$B$21,0))*(1+$BQ78)</f>
        <v>33315.6770745207</v>
      </c>
      <c r="P78" s="42">
        <v>1</v>
      </c>
      <c r="Q78" s="43" t="s">
        <v>104</v>
      </c>
      <c r="R78" s="43" t="s">
        <v>105</v>
      </c>
      <c r="S78" s="43" t="s">
        <v>91</v>
      </c>
      <c r="T78" s="43" t="s">
        <v>72</v>
      </c>
      <c r="U78" s="43" t="s">
        <v>71</v>
      </c>
      <c r="V78" s="43" t="s">
        <v>167</v>
      </c>
      <c r="W78" s="43" t="s">
        <v>95</v>
      </c>
      <c r="X78" s="43" t="s">
        <v>82</v>
      </c>
      <c r="Y78" s="43" t="s">
        <v>71</v>
      </c>
      <c r="Z78" s="43" t="s">
        <v>71</v>
      </c>
      <c r="AA78" s="43" t="s">
        <v>109</v>
      </c>
      <c r="AB78" s="43" t="s">
        <v>71</v>
      </c>
      <c r="AC78" s="43" t="s">
        <v>71</v>
      </c>
      <c r="AD78" s="43" t="s">
        <v>71</v>
      </c>
      <c r="AE78" s="43" t="s">
        <v>71</v>
      </c>
      <c r="AF78" s="43" t="s">
        <v>76</v>
      </c>
      <c r="AG78" t="str">
        <f>VLOOKUP($Q78,武学奇术!$A:$ZZ,25,FALSE)</f>
        <v>伞</v>
      </c>
      <c r="AH78" s="30">
        <f>VLOOKUP($Q78,武学奇术!$A:$ZZ,26,FALSE)</f>
        <v>1.8084</v>
      </c>
      <c r="AI78" s="31">
        <f>VLOOKUP($Q78,武学奇术!$A:$ZZ,27,FALSE)*(1+IF(OR($AG78=$F$4,$AG78=$F$5),$B$22,0))</f>
        <v>700</v>
      </c>
      <c r="AJ78" s="30">
        <f>VLOOKUP($Q78,武学奇术!$A:$ZZ,28,FALSE)</f>
        <v>2.7126</v>
      </c>
      <c r="AK78" s="31">
        <f>VLOOKUP($Q78,武学奇术!$A:$ZZ,29,FALSE)*(1+IF(OR($AG78=$F$4,$AG78=$F$5),$B$22,0))</f>
        <v>380.8</v>
      </c>
      <c r="AL78" s="30" cm="1">
        <f t="array" ref="AL78">$G$3+IFERROR(VLOOKUP($AG78,$F$4:$G$7,2,FALSE),0)+VLOOKUP($Q78,武学奇术!$A:$ZZ,2,FALSE)+SUM(_xlfn.XLOOKUP($R78:$AF78,增益!$A:$A,增益!$B:$B,0))</f>
        <v>0.6541</v>
      </c>
      <c r="AM78" s="30" cm="1">
        <f t="array" ref="AM78">VLOOKUP($Q78,武学奇术!$A:$ZZ,5,FALSE)+SUM(_xlfn.XLOOKUP($R78:$AF78,增益!$A:$A,增益!$E:$E,0))</f>
        <v>0</v>
      </c>
      <c r="AN78" cm="1">
        <f t="array" ref="AN78">$D$10*(1+$AM78)+VLOOKUP($Q78,武学奇术!$A:$ZZ,3,FALSE)+SUM(_xlfn.XLOOKUP($R78:$AF78,增益!$A:$A,增益!$C:$C,0))-$I$2</f>
        <v>3545.8</v>
      </c>
      <c r="AO78" cm="1">
        <f t="array" ref="AO78">$E$10*(1+$AM78)+VLOOKUP($Q78,武学奇术!$A:$ZZ,4,FALSE)+SUM(_xlfn.XLOOKUP($R78:$AF78,增益!$A:$A,增益!$D:$D,0))-$I$2</f>
        <v>3545.8</v>
      </c>
      <c r="AP78" s="35" cm="1">
        <f t="array" ref="AP78">IF($F$10-$I$3+VLOOKUP($Q78,武学奇术!$A:$ZZ,6,FALSE)+SUM(_xlfn.XLOOKUP(R78:AF78,增益!$A:$A,增益!$F:$F,0))&gt;0,($F$10-$I$3+VLOOKUP($Q78,武学奇术!$A:$ZZ,6,FALSE)+SUM(_xlfn.XLOOKUP(R78:AF78,增益!$A:$A,增益!$F:$F,0)))/200,($F$10-$I$3+VLOOKUP($Q78,武学奇术!$A:$ZZ,6,FALSE)+SUM(_xlfn.XLOOKUP(R78:AF78,增益!$A:$A,增益!$F:$F,0)))/100)</f>
        <v>0.3425</v>
      </c>
      <c r="AQ78" s="35" cm="1">
        <f t="array" ref="AQ78">$G$10+VLOOKUP($Q78,武学奇术!$A:$ZZ,7,FALSE)+SUM(_xlfn.XLOOKUP(R78:AF78,增益!$A:$A,增益!$G:$G,0))</f>
        <v>0.148</v>
      </c>
      <c r="AR78" s="30" cm="1">
        <f t="array" ref="AR78">VLOOKUP($Q78,武学奇术!$A:$ZZ,8,FALSE)+SUM(_xlfn.XLOOKUP(R78:AF78,增益!$A:$A,增益!$H:$H,0))</f>
        <v>0</v>
      </c>
      <c r="AS78">
        <f t="shared" si="34"/>
        <v>0</v>
      </c>
      <c r="AT78">
        <f t="shared" si="35"/>
        <v>0</v>
      </c>
      <c r="AU78" s="35" cm="1">
        <f t="array" ref="AU78">IF($F$11-$I$4+VLOOKUP($Q78,武学奇术!$A:$ZZ,9,FALSE)+SUM(_xlfn.XLOOKUP(R78:AF78,增益!$A:$A,增益!$I:$I,0))&gt;0,($F$11-$I$4+VLOOKUP($Q78,武学奇术!$A:$ZZ,9,FALSE)+SUM(_xlfn.XLOOKUP(R78:AF78,增益!$A:$A,增益!$I:$I,0)))/200,($F$11-$I$4+VLOOKUP($Q78,武学奇术!$A:$ZZ,9,FALSE)+SUM(_xlfn.XLOOKUP(R78:AF78,增益!$A:$A,增益!$I:$I,0)))/100)</f>
        <v>-0.14</v>
      </c>
      <c r="AV78" s="35" cm="1">
        <f t="array" ref="AV78">$G$11+VLOOKUP($Q78,武学奇术!$A:$ZZ,10,FALSE)+SUM(_xlfn.XLOOKUP(R78:AF78,增益!$A:$A,增益!$J:$J,0))</f>
        <v>0</v>
      </c>
      <c r="AW78">
        <f t="shared" si="36"/>
        <v>0</v>
      </c>
      <c r="AX78">
        <f t="shared" si="37"/>
        <v>0</v>
      </c>
      <c r="AY78" s="35" cm="1">
        <f t="array" ref="AY78">IF($F$12-$I$4+VLOOKUP($Q78,武学奇术!$A:$ZZ,11,FALSE)+SUM(_xlfn.XLOOKUP(R78:AF78,增益!$A:$A,增益!$K:$K,0))&gt;0,($F$12-$I$4+VLOOKUP($Q78,武学奇术!$A:$ZZ,11,FALSE)+SUM(_xlfn.XLOOKUP(R78:AF78,增益!$A:$A,增益!$K:$K,0)))/200,($F$12-$I$4+VLOOKUP($Q78,武学奇术!$A:$ZZ,11,FALSE)+SUM(_xlfn.XLOOKUP(R78:AF78,增益!$A:$A,增益!$K:$K,0)))/100)</f>
        <v>-0.14</v>
      </c>
      <c r="AZ78" s="35" cm="1">
        <f t="array" ref="AZ78">$G$12+VLOOKUP($Q78,武学奇术!$A:$ZZ,12,FALSE)+SUM(_xlfn.XLOOKUP(R78:AF78,增益!$A:$A,增益!$L:$L,0))</f>
        <v>0</v>
      </c>
      <c r="BA78">
        <f t="shared" si="38"/>
        <v>0</v>
      </c>
      <c r="BB78">
        <f t="shared" si="39"/>
        <v>0</v>
      </c>
      <c r="BC78" s="35" cm="1">
        <f t="array" ref="BC78">IF($F$13-$I$4+VLOOKUP($Q78,武学奇术!$A:$ZZ,13,FALSE)+SUM(_xlfn.XLOOKUP(R78:AF78,增益!$A:$A,增益!$M:$M,0))&gt;0,($F$13-$I$4+VLOOKUP($Q78,武学奇术!$A:$ZZ,13,FALSE)+SUM(_xlfn.XLOOKUP(R78:AF78,增益!$A:$A,增益!$K:$K,0)))/200,($F$13-$I$4+VLOOKUP($Q78,武学奇术!$A:$ZZ,13,FALSE)+SUM(_xlfn.XLOOKUP(R78:AF78,增益!$A:$A,增益!$M:$M,0)))/100)</f>
        <v>-0.14</v>
      </c>
      <c r="BD78" s="35" cm="1">
        <f t="array" ref="BD78">$G$13+VLOOKUP($Q78,武学奇术!$A:$ZZ,14,FALSE)+SUM(_xlfn.XLOOKUP(R78:AF78,增益!$A:$A,增益!$N:$N,0))</f>
        <v>0</v>
      </c>
      <c r="BE78">
        <f t="shared" si="40"/>
        <v>538</v>
      </c>
      <c r="BF78">
        <f t="shared" si="41"/>
        <v>1561.4</v>
      </c>
      <c r="BG78" s="35" cm="1">
        <f t="array" ref="BG78">IF($F$14-$I$4+VLOOKUP($Q78,武学奇术!$A:$ZZ,15,FALSE)+SUM(_xlfn.XLOOKUP(R78:AF78,增益!$A:$A,增益!$O:$O,0))&gt;0,($F$14-$I$4+VLOOKUP($Q78,武学奇术!$A:$ZZ,15,FALSE)+SUM(_xlfn.XLOOKUP(R78:AF78,增益!$A:$A,增益!$O:$O,0)))/200,($F$14-$I$4+VLOOKUP($Q78,武学奇术!$A:$ZZ,15,FALSE)+SUM(_xlfn.XLOOKUP(R78:AF78,增益!$A:$A,增益!$O:$O,0)))/100)</f>
        <v>0.08</v>
      </c>
      <c r="BH78" s="35" cm="1">
        <f t="array" ref="BH78">$G$14+VLOOKUP($Q78,武学奇术!$A:$ZZ,16,FALSE)+SUM(_xlfn.XLOOKUP(R78:AF78,增益!$A:$A,增益!$P:$P,0))</f>
        <v>0.27</v>
      </c>
      <c r="BI78" s="30">
        <f>MIN(IF(VLOOKUP($Q78,武学奇术!$A:$ZZ,23,FALSE)=1,100%,$B$8),100%)</f>
        <v>0.9712</v>
      </c>
      <c r="BJ78" s="30" cm="1">
        <f t="array" ref="BJ78">IF(VLOOKUP($Q78,武学奇术!$A:$ZZ,23,FALSE)=1,100%,MIN(80%,$B$9+VLOOKUP($Q78,武学奇术!$A:$ZZ,17,FALSE)+SUM(_xlfn.XLOOKUP(R78:AF78,增益!$A:$A,增益!$Q:$Q,0)))+$B$11+SUM(_xlfn.XLOOKUP(R78:AF78,增益!$A:$A,增益!$U:$U,0)))*IF(VLOOKUP($Q78,武学奇术!$A:$ZZ,24,FALSE)=1,0,1)</f>
        <v>0.8773</v>
      </c>
      <c r="BK78" s="30" cm="1">
        <f t="array" ref="BK78">1+$B$13+VLOOKUP($Q78,武学奇术!$A:$ZZ,18,FALSE)+SUM(_xlfn.XLOOKUP(R78:AF78,增益!$A:$A,增益!$R:$R,0))</f>
        <v>1.87</v>
      </c>
      <c r="BL78" s="30" cm="1">
        <f t="array" ref="BL78">IF(VLOOKUP($Q78,武学奇术!$A:$ZZ,24,FALSE)=1,100%,MIN(40%,$B$10+VLOOKUP($Q78,武学奇术!$A:$ZZ,19,FALSE)+SUM(_xlfn.XLOOKUP(R78:AF78,增益!$A:$A,增益!$S:$S,0)))+$B$12+SUM(_xlfn.XLOOKUP(R78:AF78,增益!$A:$A,增益!$V:$V,0)))*IF(VLOOKUP($Q78,武学奇术!$A:$ZZ,23,FALSE)=1,0,1)</f>
        <v>0.0895</v>
      </c>
      <c r="BM78" s="30" cm="1">
        <f t="array" ref="BM78">1+$B$14+VLOOKUP($Q78,武学奇术!$A:$ZZ,20,FALSE)+SUM(_xlfn.XLOOKUP(R78:AF78,增益!$A:$A,增益!$T:$T,0))</f>
        <v>1.35</v>
      </c>
      <c r="BN78" s="30">
        <f t="shared" si="22"/>
        <v>0.85203376</v>
      </c>
      <c r="BO78" s="30">
        <f t="shared" si="32"/>
        <v>0.03224384</v>
      </c>
      <c r="BP78" s="30">
        <f>IF(VLOOKUP($Q78,武学奇术!$A:$ZZ,22,FALSE)=1,0,(1-$BI78))*(1-$BL78)</f>
        <v>0.0262224</v>
      </c>
      <c r="BQ78" s="30" cm="1">
        <f t="array" ref="BQ78">SUM(_xlfn.XLOOKUP(R78:AF78,增益!$A:$A,增益!$W:$W,0))+$I$5</f>
        <v>0.11</v>
      </c>
    </row>
    <row r="79" spans="1:69">
      <c r="A79" s="4"/>
      <c r="B79" s="90"/>
      <c r="C79" s="42"/>
      <c r="D79" s="42"/>
      <c r="E79" s="42"/>
      <c r="K79" s="41">
        <f t="shared" si="33"/>
        <v>67670.6215449684</v>
      </c>
      <c r="L79" s="41">
        <f>((($AN79+$AO79)/2*$AH79+$AI79)*(1+$AP79)*(1+$AQ79)+(($AS79+$AT79)/2*IF($G$1="鸣金",$AJ79,$AH79)+IF($G$1="鸣金",$AK79*1.5,0))*(1+$AU79)*(1+$AV79)+(($AW79+$AX79)/2*IF($G$1="裂石",$AJ79,$AH79)+IF($G$1="裂石",$AK79*1.5,0))*(1+$AY79)*(1+$AZ79)+(($BA79+$BB79)/2*IF($G$1="牵丝",$AJ79,$AH79)+IF($G$1="牵丝",$AK79*1.5,0))*(1+$BC79)*(1+$BD79)+(($BE79+$BF79)/2*IF($G$1="破竹",$AJ79,$AH79)+IF($G$1="破竹",$AK79*1.5,0))*(1+$BG79)*(1+$BH79))*(1+$AL79)*$BK79*$P79*(1+IF(VLOOKUP($Q79,武学奇术!$A:$ZZ,30,FALSE)="回旋伞",$B$21,0))*(1+$BQ79)</f>
        <v>70928.6894840212</v>
      </c>
      <c r="M79" s="41">
        <f>(($AO79*$AH79+$AI79)*(1+$AP79)*(1+$AQ79)+($AT79*IF($G$1="鸣金",$AJ79,$AH79)+IF($G$1="鸣金",$AK79*1.5,0))*(1+$AU79)*(1+$AV79)+($AX79*IF($G$1="裂石",$AJ79,$AH79)+IF($G$1="裂石",$AK79*1.5,0))*(1+$AY79)*(1+$AZ79)+($BB79*IF($G$1="牵丝",$AJ79,$AH79)+IF($G$1="牵丝",$AK79*1.5,0))*(1+$BC79)*(1+$BD79)+($BF79*IF($G$1="破竹",$AJ79,$AH79)+IF($G$1="破竹",$AK79*1.5,0))*(1+$BG79)*(1+$BH79))*(1+$AL79)*$BM79*$P79*(1+IF(VLOOKUP($Q79,武学奇术!$A:$ZZ,30,FALSE)="回旋伞",$B$21,0))*(1+$BQ79)</f>
        <v>57434.2432257912</v>
      </c>
      <c r="N79" s="41">
        <f>((($AN79+$AO79)/2*$AH79+$AI79)*(1+$AP79)*(1+$AQ79)+(($AS79+$AT79)/2*IF($G$1="鸣金",$AJ79,$AH79)+IF($G$1="鸣金",$AK79*1.5,0))*(1+$AU79)*(1+$AV79)+(($AW79+$AX79)/2*IF($G$1="裂石",$AJ79,$AH79)+IF($G$1="裂石",$AK79*1.5,0))*(1+$AY79)*(1+$AZ79)+(($BA79+$BB79)/2*IF($G$1="牵丝",$AJ79,$AH79)+IF($G$1="牵丝",$AK79*1.5,0))*(1+$BC79)*(1+$BD79)+(($BE79+$BF79)/2*IF($G$1="破竹",$AJ79,$AH79)+IF($G$1="破竹",$AK79*1.5,0))*(1+$BG79)*(1+$BH79))*(1+$AL79)*$P79*(1+IF(VLOOKUP($Q79,武学奇术!$A:$ZZ,30,FALSE)="回旋伞",$B$21,0))*(1+$BQ79)</f>
        <v>37929.7804727386</v>
      </c>
      <c r="O79" s="41">
        <f>((($AN79*$AH79+$AI79)*(1+$AP79)*(1+$AQ79)+($AS79*IF($G$1="鸣金",$AJ79,$AH79)+IF($G$1="鸣金",$AK79*1.5,0))*(1+$AU79)*(1+$AV79)+($AW79*IF($G$1="裂石",$AJ79,$AH79)+IF($G$1="裂石",$AK79*1.5,0))*(1+$AY79)*(1+$AZ79)+($BA79*IF($G$1="牵丝",$AJ79,$AH79)+IF($G$1="牵丝",$AK79*1.5,0))*(1+$BC79)*(1+$BD79)+($BE79*IF($G$1="破竹",$AJ79,$AH79)+IF($G$1="破竹",$AK79*1.5,0))*(1+$BG79)*(1+$BH79))*(1+$AL79))*$P79*(1+IF(VLOOKUP($Q79,武学奇术!$A:$ZZ,30,FALSE)="回旋伞",$B$21,0))*(1+$BQ79)</f>
        <v>33315.6770745207</v>
      </c>
      <c r="P79" s="42">
        <v>1</v>
      </c>
      <c r="Q79" s="43" t="s">
        <v>104</v>
      </c>
      <c r="R79" s="43" t="s">
        <v>105</v>
      </c>
      <c r="S79" s="43" t="s">
        <v>91</v>
      </c>
      <c r="T79" s="43" t="s">
        <v>72</v>
      </c>
      <c r="U79" s="43" t="s">
        <v>71</v>
      </c>
      <c r="V79" s="43" t="s">
        <v>167</v>
      </c>
      <c r="W79" s="43" t="s">
        <v>95</v>
      </c>
      <c r="X79" s="43" t="s">
        <v>82</v>
      </c>
      <c r="Y79" s="43" t="s">
        <v>71</v>
      </c>
      <c r="Z79" s="43" t="s">
        <v>71</v>
      </c>
      <c r="AA79" s="43" t="s">
        <v>112</v>
      </c>
      <c r="AB79" s="43" t="s">
        <v>71</v>
      </c>
      <c r="AC79" s="43" t="s">
        <v>71</v>
      </c>
      <c r="AD79" s="43" t="s">
        <v>71</v>
      </c>
      <c r="AE79" s="43" t="s">
        <v>71</v>
      </c>
      <c r="AF79" s="43" t="s">
        <v>76</v>
      </c>
      <c r="AG79" t="str">
        <f>VLOOKUP($Q79,武学奇术!$A:$ZZ,25,FALSE)</f>
        <v>伞</v>
      </c>
      <c r="AH79" s="30">
        <f>VLOOKUP($Q79,武学奇术!$A:$ZZ,26,FALSE)</f>
        <v>1.8084</v>
      </c>
      <c r="AI79" s="31">
        <f>VLOOKUP($Q79,武学奇术!$A:$ZZ,27,FALSE)*(1+IF(OR($AG79=$F$4,$AG79=$F$5),$B$22,0))</f>
        <v>700</v>
      </c>
      <c r="AJ79" s="30">
        <f>VLOOKUP($Q79,武学奇术!$A:$ZZ,28,FALSE)</f>
        <v>2.7126</v>
      </c>
      <c r="AK79" s="31">
        <f>VLOOKUP($Q79,武学奇术!$A:$ZZ,29,FALSE)*(1+IF(OR($AG79=$F$4,$AG79=$F$5),$B$22,0))</f>
        <v>380.8</v>
      </c>
      <c r="AL79" s="30" cm="1">
        <f t="array" ref="AL79">$G$3+IFERROR(VLOOKUP($AG79,$F$4:$G$7,2,FALSE),0)+VLOOKUP($Q79,武学奇术!$A:$ZZ,2,FALSE)+SUM(_xlfn.XLOOKUP($R79:$AF79,增益!$A:$A,增益!$B:$B,0))</f>
        <v>0.6541</v>
      </c>
      <c r="AM79" s="30" cm="1">
        <f t="array" ref="AM79">VLOOKUP($Q79,武学奇术!$A:$ZZ,5,FALSE)+SUM(_xlfn.XLOOKUP($R79:$AF79,增益!$A:$A,增益!$E:$E,0))</f>
        <v>0</v>
      </c>
      <c r="AN79" cm="1">
        <f t="array" ref="AN79">$D$10*(1+$AM79)+VLOOKUP($Q79,武学奇术!$A:$ZZ,3,FALSE)+SUM(_xlfn.XLOOKUP($R79:$AF79,增益!$A:$A,增益!$C:$C,0))-$I$2</f>
        <v>3545.8</v>
      </c>
      <c r="AO79" cm="1">
        <f t="array" ref="AO79">$E$10*(1+$AM79)+VLOOKUP($Q79,武学奇术!$A:$ZZ,4,FALSE)+SUM(_xlfn.XLOOKUP($R79:$AF79,增益!$A:$A,增益!$D:$D,0))-$I$2</f>
        <v>3545.8</v>
      </c>
      <c r="AP79" s="35" cm="1">
        <f t="array" ref="AP79">IF($F$10-$I$3+VLOOKUP($Q79,武学奇术!$A:$ZZ,6,FALSE)+SUM(_xlfn.XLOOKUP(R79:AF79,增益!$A:$A,增益!$F:$F,0))&gt;0,($F$10-$I$3+VLOOKUP($Q79,武学奇术!$A:$ZZ,6,FALSE)+SUM(_xlfn.XLOOKUP(R79:AF79,增益!$A:$A,增益!$F:$F,0)))/200,($F$10-$I$3+VLOOKUP($Q79,武学奇术!$A:$ZZ,6,FALSE)+SUM(_xlfn.XLOOKUP(R79:AF79,增益!$A:$A,增益!$F:$F,0)))/100)</f>
        <v>0.3425</v>
      </c>
      <c r="AQ79" s="35" cm="1">
        <f t="array" ref="AQ79">$G$10+VLOOKUP($Q79,武学奇术!$A:$ZZ,7,FALSE)+SUM(_xlfn.XLOOKUP(R79:AF79,增益!$A:$A,增益!$G:$G,0))</f>
        <v>0.148</v>
      </c>
      <c r="AR79" s="30" cm="1">
        <f t="array" ref="AR79">VLOOKUP($Q79,武学奇术!$A:$ZZ,8,FALSE)+SUM(_xlfn.XLOOKUP(R79:AF79,增益!$A:$A,增益!$H:$H,0))</f>
        <v>0</v>
      </c>
      <c r="AS79">
        <f t="shared" si="34"/>
        <v>0</v>
      </c>
      <c r="AT79">
        <f t="shared" si="35"/>
        <v>0</v>
      </c>
      <c r="AU79" s="35" cm="1">
        <f t="array" ref="AU79">IF($F$11-$I$4+VLOOKUP($Q79,武学奇术!$A:$ZZ,9,FALSE)+SUM(_xlfn.XLOOKUP(R79:AF79,增益!$A:$A,增益!$I:$I,0))&gt;0,($F$11-$I$4+VLOOKUP($Q79,武学奇术!$A:$ZZ,9,FALSE)+SUM(_xlfn.XLOOKUP(R79:AF79,增益!$A:$A,增益!$I:$I,0)))/200,($F$11-$I$4+VLOOKUP($Q79,武学奇术!$A:$ZZ,9,FALSE)+SUM(_xlfn.XLOOKUP(R79:AF79,增益!$A:$A,增益!$I:$I,0)))/100)</f>
        <v>-0.14</v>
      </c>
      <c r="AV79" s="35" cm="1">
        <f t="array" ref="AV79">$G$11+VLOOKUP($Q79,武学奇术!$A:$ZZ,10,FALSE)+SUM(_xlfn.XLOOKUP(R79:AF79,增益!$A:$A,增益!$J:$J,0))</f>
        <v>0</v>
      </c>
      <c r="AW79">
        <f t="shared" si="36"/>
        <v>0</v>
      </c>
      <c r="AX79">
        <f t="shared" si="37"/>
        <v>0</v>
      </c>
      <c r="AY79" s="35" cm="1">
        <f t="array" ref="AY79">IF($F$12-$I$4+VLOOKUP($Q79,武学奇术!$A:$ZZ,11,FALSE)+SUM(_xlfn.XLOOKUP(R79:AF79,增益!$A:$A,增益!$K:$K,0))&gt;0,($F$12-$I$4+VLOOKUP($Q79,武学奇术!$A:$ZZ,11,FALSE)+SUM(_xlfn.XLOOKUP(R79:AF79,增益!$A:$A,增益!$K:$K,0)))/200,($F$12-$I$4+VLOOKUP($Q79,武学奇术!$A:$ZZ,11,FALSE)+SUM(_xlfn.XLOOKUP(R79:AF79,增益!$A:$A,增益!$K:$K,0)))/100)</f>
        <v>-0.14</v>
      </c>
      <c r="AZ79" s="35" cm="1">
        <f t="array" ref="AZ79">$G$12+VLOOKUP($Q79,武学奇术!$A:$ZZ,12,FALSE)+SUM(_xlfn.XLOOKUP(R79:AF79,增益!$A:$A,增益!$L:$L,0))</f>
        <v>0</v>
      </c>
      <c r="BA79">
        <f t="shared" si="38"/>
        <v>0</v>
      </c>
      <c r="BB79">
        <f t="shared" si="39"/>
        <v>0</v>
      </c>
      <c r="BC79" s="35" cm="1">
        <f t="array" ref="BC79">IF($F$13-$I$4+VLOOKUP($Q79,武学奇术!$A:$ZZ,13,FALSE)+SUM(_xlfn.XLOOKUP(R79:AF79,增益!$A:$A,增益!$M:$M,0))&gt;0,($F$13-$I$4+VLOOKUP($Q79,武学奇术!$A:$ZZ,13,FALSE)+SUM(_xlfn.XLOOKUP(R79:AF79,增益!$A:$A,增益!$K:$K,0)))/200,($F$13-$I$4+VLOOKUP($Q79,武学奇术!$A:$ZZ,13,FALSE)+SUM(_xlfn.XLOOKUP(R79:AF79,增益!$A:$A,增益!$M:$M,0)))/100)</f>
        <v>-0.14</v>
      </c>
      <c r="BD79" s="35" cm="1">
        <f t="array" ref="BD79">$G$13+VLOOKUP($Q79,武学奇术!$A:$ZZ,14,FALSE)+SUM(_xlfn.XLOOKUP(R79:AF79,增益!$A:$A,增益!$N:$N,0))</f>
        <v>0</v>
      </c>
      <c r="BE79">
        <f t="shared" si="40"/>
        <v>538</v>
      </c>
      <c r="BF79">
        <f t="shared" si="41"/>
        <v>1561.4</v>
      </c>
      <c r="BG79" s="35" cm="1">
        <f t="array" ref="BG79">IF($F$14-$I$4+VLOOKUP($Q79,武学奇术!$A:$ZZ,15,FALSE)+SUM(_xlfn.XLOOKUP(R79:AF79,增益!$A:$A,增益!$O:$O,0))&gt;0,($F$14-$I$4+VLOOKUP($Q79,武学奇术!$A:$ZZ,15,FALSE)+SUM(_xlfn.XLOOKUP(R79:AF79,增益!$A:$A,增益!$O:$O,0)))/200,($F$14-$I$4+VLOOKUP($Q79,武学奇术!$A:$ZZ,15,FALSE)+SUM(_xlfn.XLOOKUP(R79:AF79,增益!$A:$A,增益!$O:$O,0)))/100)</f>
        <v>0.08</v>
      </c>
      <c r="BH79" s="35" cm="1">
        <f t="array" ref="BH79">$G$14+VLOOKUP($Q79,武学奇术!$A:$ZZ,16,FALSE)+SUM(_xlfn.XLOOKUP(R79:AF79,增益!$A:$A,增益!$P:$P,0))</f>
        <v>0.27</v>
      </c>
      <c r="BI79" s="30">
        <f>MIN(IF(VLOOKUP($Q79,武学奇术!$A:$ZZ,23,FALSE)=1,100%,$B$8),100%)</f>
        <v>0.9712</v>
      </c>
      <c r="BJ79" s="30" cm="1">
        <f t="array" ref="BJ79">IF(VLOOKUP($Q79,武学奇术!$A:$ZZ,23,FALSE)=1,100%,MIN(80%,$B$9+VLOOKUP($Q79,武学奇术!$A:$ZZ,17,FALSE)+SUM(_xlfn.XLOOKUP(R79:AF79,增益!$A:$A,增益!$Q:$Q,0)))+$B$11+SUM(_xlfn.XLOOKUP(R79:AF79,增益!$A:$A,增益!$U:$U,0)))*IF(VLOOKUP($Q79,武学奇术!$A:$ZZ,24,FALSE)=1,0,1)</f>
        <v>0.8773</v>
      </c>
      <c r="BK79" s="30" cm="1">
        <f t="array" ref="BK79">1+$B$13+VLOOKUP($Q79,武学奇术!$A:$ZZ,18,FALSE)+SUM(_xlfn.XLOOKUP(R79:AF79,增益!$A:$A,增益!$R:$R,0))</f>
        <v>1.87</v>
      </c>
      <c r="BL79" s="30" cm="1">
        <f t="array" ref="BL79">IF(VLOOKUP($Q79,武学奇术!$A:$ZZ,24,FALSE)=1,100%,MIN(40%,$B$10+VLOOKUP($Q79,武学奇术!$A:$ZZ,19,FALSE)+SUM(_xlfn.XLOOKUP(R79:AF79,增益!$A:$A,增益!$S:$S,0)))+$B$12+SUM(_xlfn.XLOOKUP(R79:AF79,增益!$A:$A,增益!$V:$V,0)))*IF(VLOOKUP($Q79,武学奇术!$A:$ZZ,23,FALSE)=1,0,1)</f>
        <v>0.0895</v>
      </c>
      <c r="BM79" s="30" cm="1">
        <f t="array" ref="BM79">1+$B$14+VLOOKUP($Q79,武学奇术!$A:$ZZ,20,FALSE)+SUM(_xlfn.XLOOKUP(R79:AF79,增益!$A:$A,增益!$T:$T,0))</f>
        <v>1.35</v>
      </c>
      <c r="BN79" s="30">
        <f t="shared" si="22"/>
        <v>0.85203376</v>
      </c>
      <c r="BO79" s="30">
        <f t="shared" si="32"/>
        <v>0.03224384</v>
      </c>
      <c r="BP79" s="30">
        <f>IF(VLOOKUP($Q79,武学奇术!$A:$ZZ,22,FALSE)=1,0,(1-$BI79))*(1-$BL79)</f>
        <v>0.0262224</v>
      </c>
      <c r="BQ79" s="30" cm="1">
        <f t="array" ref="BQ79">SUM(_xlfn.XLOOKUP(R79:AF79,增益!$A:$A,增益!$W:$W,0))+$I$5</f>
        <v>0.11</v>
      </c>
    </row>
    <row r="80" spans="1:69">
      <c r="A80" s="4" t="s">
        <v>160</v>
      </c>
      <c r="B80" s="90">
        <v>0.1</v>
      </c>
      <c r="C80" s="42"/>
      <c r="D80" s="42"/>
      <c r="E80" s="42"/>
      <c r="K80" s="41">
        <f t="shared" si="33"/>
        <v>79504.7960657298</v>
      </c>
      <c r="L80" s="41">
        <f>((($AN80+$AO80)/2*$AH80+$AI80)*(1+$AP80)*(1+$AQ80)+(($AS80+$AT80)/2*IF($G$1="鸣金",$AJ80,$AH80)+IF($G$1="鸣金",$AK80*1.5,0))*(1+$AU80)*(1+$AV80)+(($AW80+$AX80)/2*IF($G$1="裂石",$AJ80,$AH80)+IF($G$1="裂石",$AK80*1.5,0))*(1+$AY80)*(1+$AZ80)+(($BA80+$BB80)/2*IF($G$1="牵丝",$AJ80,$AH80)+IF($G$1="牵丝",$AK80*1.5,0))*(1+$BC80)*(1+$BD80)+(($BE80+$BF80)/2*IF($G$1="破竹",$AJ80,$AH80)+IF($G$1="破竹",$AK80*1.5,0))*(1+$BG80)*(1+$BH80))*(1+$AL80)*$BK80*$P80*(1+IF(VLOOKUP($Q80,武学奇术!$A:$ZZ,30,FALSE)="回旋伞",$B$21,0))*(1+$BQ80)</f>
        <v>79504.7960657298</v>
      </c>
      <c r="M80" s="41">
        <f>(($AO80*$AH80+$AI80)*(1+$AP80)*(1+$AQ80)+($AT80*IF($G$1="鸣金",$AJ80,$AH80)+IF($G$1="鸣金",$AK80*1.5,0))*(1+$AU80)*(1+$AV80)+($AX80*IF($G$1="裂石",$AJ80,$AH80)+IF($G$1="裂石",$AK80*1.5,0))*(1+$AY80)*(1+$AZ80)+($BB80*IF($G$1="牵丝",$AJ80,$AH80)+IF($G$1="牵丝",$AK80*1.5,0))*(1+$BC80)*(1+$BD80)+($BF80*IF($G$1="破竹",$AJ80,$AH80)+IF($G$1="破竹",$AK80*1.5,0))*(1+$BG80)*(1+$BH80))*(1+$AL80)*$BM80*$P80*(1+IF(VLOOKUP($Q80,武学奇术!$A:$ZZ,30,FALSE)="回旋伞",$B$21,0))*(1+$BQ80)</f>
        <v>64378.7137204157</v>
      </c>
      <c r="N80" s="41">
        <f>((($AN80+$AO80)/2*$AH80+$AI80)*(1+$AP80)*(1+$AQ80)+(($AS80+$AT80)/2*IF($G$1="鸣金",$AJ80,$AH80)+IF($G$1="鸣金",$AK80*1.5,0))*(1+$AU80)*(1+$AV80)+(($AW80+$AX80)/2*IF($G$1="裂石",$AJ80,$AH80)+IF($G$1="裂石",$AK80*1.5,0))*(1+$AY80)*(1+$AZ80)+(($BA80+$BB80)/2*IF($G$1="牵丝",$AJ80,$AH80)+IF($G$1="牵丝",$AK80*1.5,0))*(1+$BC80)*(1+$BD80)+(($BE80+$BF80)/2*IF($G$1="破竹",$AJ80,$AH80)+IF($G$1="破竹",$AK80*1.5,0))*(1+$BG80)*(1+$BH80))*(1+$AL80)*$P80*(1+IF(VLOOKUP($Q80,武学奇术!$A:$ZZ,30,FALSE)="回旋伞",$B$21,0))*(1+$BQ80)</f>
        <v>42515.9337249892</v>
      </c>
      <c r="O80" s="41">
        <f>((($AN80*$AH80+$AI80)*(1+$AP80)*(1+$AQ80)+($AS80*IF($G$1="鸣金",$AJ80,$AH80)+IF($G$1="鸣金",$AK80*1.5,0))*(1+$AU80)*(1+$AV80)+($AW80*IF($G$1="裂石",$AJ80,$AH80)+IF($G$1="裂石",$AK80*1.5,0))*(1+$AY80)*(1+$AZ80)+($BA80*IF($G$1="牵丝",$AJ80,$AH80)+IF($G$1="牵丝",$AK80*1.5,0))*(1+$BC80)*(1+$BD80)+($BE80*IF($G$1="破竹",$AJ80,$AH80)+IF($G$1="破竹",$AK80*1.5,0))*(1+$BG80)*(1+$BH80))*(1+$AL80))*$P80*(1+IF(VLOOKUP($Q80,武学奇术!$A:$ZZ,30,FALSE)="回旋伞",$B$21,0))*(1+$BQ80)</f>
        <v>37343.9313607816</v>
      </c>
      <c r="P80" s="42">
        <v>1</v>
      </c>
      <c r="Q80" s="43" t="s">
        <v>115</v>
      </c>
      <c r="R80" s="43" t="s">
        <v>105</v>
      </c>
      <c r="S80" s="43" t="s">
        <v>91</v>
      </c>
      <c r="T80" s="43" t="s">
        <v>72</v>
      </c>
      <c r="U80" s="43" t="s">
        <v>71</v>
      </c>
      <c r="V80" s="43" t="s">
        <v>167</v>
      </c>
      <c r="W80" s="43" t="s">
        <v>95</v>
      </c>
      <c r="X80" s="43" t="s">
        <v>82</v>
      </c>
      <c r="Y80" s="43" t="s">
        <v>71</v>
      </c>
      <c r="Z80" s="43" t="s">
        <v>71</v>
      </c>
      <c r="AA80" s="43" t="s">
        <v>116</v>
      </c>
      <c r="AB80" s="43" t="s">
        <v>71</v>
      </c>
      <c r="AC80" s="43" t="s">
        <v>71</v>
      </c>
      <c r="AD80" s="43" t="s">
        <v>71</v>
      </c>
      <c r="AE80" s="43" t="s">
        <v>71</v>
      </c>
      <c r="AF80" s="43" t="s">
        <v>76</v>
      </c>
      <c r="AG80" t="str">
        <f>VLOOKUP($Q80,武学奇术!$A:$ZZ,25,FALSE)</f>
        <v>伞</v>
      </c>
      <c r="AH80" s="30">
        <f>VLOOKUP($Q80,武学奇术!$A:$ZZ,26,FALSE)</f>
        <v>1.8084</v>
      </c>
      <c r="AI80" s="31">
        <f>VLOOKUP($Q80,武学奇术!$A:$ZZ,27,FALSE)*(1+IF(OR($AG80=$F$4,$AG80=$F$5),$B$22,0))</f>
        <v>700</v>
      </c>
      <c r="AJ80" s="30">
        <f>VLOOKUP($Q80,武学奇术!$A:$ZZ,28,FALSE)</f>
        <v>2.7126</v>
      </c>
      <c r="AK80" s="31">
        <f>VLOOKUP($Q80,武学奇术!$A:$ZZ,29,FALSE)*(1+IF(OR($AG80=$F$4,$AG80=$F$5),$B$22,0))</f>
        <v>380.8</v>
      </c>
      <c r="AL80" s="30" cm="1">
        <f t="array" ref="AL80">$G$3+IFERROR(VLOOKUP($AG80,$F$4:$G$7,2,FALSE),0)+VLOOKUP($Q80,武学奇术!$A:$ZZ,2,FALSE)+SUM(_xlfn.XLOOKUP($R80:$AF80,增益!$A:$A,增益!$B:$B,0))</f>
        <v>0.8541</v>
      </c>
      <c r="AM80" s="30" cm="1">
        <f t="array" ref="AM80">VLOOKUP($Q80,武学奇术!$A:$ZZ,5,FALSE)+SUM(_xlfn.XLOOKUP($R80:$AF80,增益!$A:$A,增益!$E:$E,0))</f>
        <v>0</v>
      </c>
      <c r="AN80" cm="1">
        <f t="array" ref="AN80">$D$10*(1+$AM80)+VLOOKUP($Q80,武学奇术!$A:$ZZ,3,FALSE)+SUM(_xlfn.XLOOKUP($R80:$AF80,增益!$A:$A,增益!$C:$C,0))-$I$2</f>
        <v>3545.8</v>
      </c>
      <c r="AO80" cm="1">
        <f t="array" ref="AO80">$E$10*(1+$AM80)+VLOOKUP($Q80,武学奇术!$A:$ZZ,4,FALSE)+SUM(_xlfn.XLOOKUP($R80:$AF80,增益!$A:$A,增益!$D:$D,0))-$I$2</f>
        <v>3545.8</v>
      </c>
      <c r="AP80" s="35" cm="1">
        <f t="array" ref="AP80">IF($F$10-$I$3+VLOOKUP($Q80,武学奇术!$A:$ZZ,6,FALSE)+SUM(_xlfn.XLOOKUP(R80:AF80,增益!$A:$A,增益!$F:$F,0))&gt;0,($F$10-$I$3+VLOOKUP($Q80,武学奇术!$A:$ZZ,6,FALSE)+SUM(_xlfn.XLOOKUP(R80:AF80,增益!$A:$A,增益!$F:$F,0)))/200,($F$10-$I$3+VLOOKUP($Q80,武学奇术!$A:$ZZ,6,FALSE)+SUM(_xlfn.XLOOKUP(R80:AF80,增益!$A:$A,增益!$F:$F,0)))/100)</f>
        <v>0.3425</v>
      </c>
      <c r="AQ80" s="35" cm="1">
        <f t="array" ref="AQ80">$G$10+VLOOKUP($Q80,武学奇术!$A:$ZZ,7,FALSE)+SUM(_xlfn.XLOOKUP(R80:AF80,增益!$A:$A,增益!$G:$G,0))</f>
        <v>0.148</v>
      </c>
      <c r="AR80" s="30" cm="1">
        <f t="array" ref="AR80">VLOOKUP($Q80,武学奇术!$A:$ZZ,8,FALSE)+SUM(_xlfn.XLOOKUP(R80:AF80,增益!$A:$A,增益!$H:$H,0))</f>
        <v>0</v>
      </c>
      <c r="AS80">
        <f t="shared" si="34"/>
        <v>0</v>
      </c>
      <c r="AT80">
        <f t="shared" si="35"/>
        <v>0</v>
      </c>
      <c r="AU80" s="35" cm="1">
        <f t="array" ref="AU80">IF($F$11-$I$4+VLOOKUP($Q80,武学奇术!$A:$ZZ,9,FALSE)+SUM(_xlfn.XLOOKUP(R80:AF80,增益!$A:$A,增益!$I:$I,0))&gt;0,($F$11-$I$4+VLOOKUP($Q80,武学奇术!$A:$ZZ,9,FALSE)+SUM(_xlfn.XLOOKUP(R80:AF80,增益!$A:$A,增益!$I:$I,0)))/200,($F$11-$I$4+VLOOKUP($Q80,武学奇术!$A:$ZZ,9,FALSE)+SUM(_xlfn.XLOOKUP(R80:AF80,增益!$A:$A,增益!$I:$I,0)))/100)</f>
        <v>-0.14</v>
      </c>
      <c r="AV80" s="35" cm="1">
        <f t="array" ref="AV80">$G$11+VLOOKUP($Q80,武学奇术!$A:$ZZ,10,FALSE)+SUM(_xlfn.XLOOKUP(R80:AF80,增益!$A:$A,增益!$J:$J,0))</f>
        <v>0</v>
      </c>
      <c r="AW80">
        <f t="shared" si="36"/>
        <v>0</v>
      </c>
      <c r="AX80">
        <f t="shared" si="37"/>
        <v>0</v>
      </c>
      <c r="AY80" s="35" cm="1">
        <f t="array" ref="AY80">IF($F$12-$I$4+VLOOKUP($Q80,武学奇术!$A:$ZZ,11,FALSE)+SUM(_xlfn.XLOOKUP(R80:AF80,增益!$A:$A,增益!$K:$K,0))&gt;0,($F$12-$I$4+VLOOKUP($Q80,武学奇术!$A:$ZZ,11,FALSE)+SUM(_xlfn.XLOOKUP(R80:AF80,增益!$A:$A,增益!$K:$K,0)))/200,($F$12-$I$4+VLOOKUP($Q80,武学奇术!$A:$ZZ,11,FALSE)+SUM(_xlfn.XLOOKUP(R80:AF80,增益!$A:$A,增益!$K:$K,0)))/100)</f>
        <v>-0.14</v>
      </c>
      <c r="AZ80" s="35" cm="1">
        <f t="array" ref="AZ80">$G$12+VLOOKUP($Q80,武学奇术!$A:$ZZ,12,FALSE)+SUM(_xlfn.XLOOKUP(R80:AF80,增益!$A:$A,增益!$L:$L,0))</f>
        <v>0</v>
      </c>
      <c r="BA80">
        <f t="shared" si="38"/>
        <v>0</v>
      </c>
      <c r="BB80">
        <f t="shared" si="39"/>
        <v>0</v>
      </c>
      <c r="BC80" s="35" cm="1">
        <f t="array" ref="BC80">IF($F$13-$I$4+VLOOKUP($Q80,武学奇术!$A:$ZZ,13,FALSE)+SUM(_xlfn.XLOOKUP(R80:AF80,增益!$A:$A,增益!$M:$M,0))&gt;0,($F$13-$I$4+VLOOKUP($Q80,武学奇术!$A:$ZZ,13,FALSE)+SUM(_xlfn.XLOOKUP(R80:AF80,增益!$A:$A,增益!$K:$K,0)))/200,($F$13-$I$4+VLOOKUP($Q80,武学奇术!$A:$ZZ,13,FALSE)+SUM(_xlfn.XLOOKUP(R80:AF80,增益!$A:$A,增益!$M:$M,0)))/100)</f>
        <v>-0.14</v>
      </c>
      <c r="BD80" s="35" cm="1">
        <f t="array" ref="BD80">$G$13+VLOOKUP($Q80,武学奇术!$A:$ZZ,14,FALSE)+SUM(_xlfn.XLOOKUP(R80:AF80,增益!$A:$A,增益!$N:$N,0))</f>
        <v>0</v>
      </c>
      <c r="BE80">
        <f t="shared" si="40"/>
        <v>538</v>
      </c>
      <c r="BF80">
        <f t="shared" si="41"/>
        <v>1561.4</v>
      </c>
      <c r="BG80" s="35" cm="1">
        <f t="array" ref="BG80">IF($F$14-$I$4+VLOOKUP($Q80,武学奇术!$A:$ZZ,15,FALSE)+SUM(_xlfn.XLOOKUP(R80:AF80,增益!$A:$A,增益!$O:$O,0))&gt;0,($F$14-$I$4+VLOOKUP($Q80,武学奇术!$A:$ZZ,15,FALSE)+SUM(_xlfn.XLOOKUP(R80:AF80,增益!$A:$A,增益!$O:$O,0)))/200,($F$14-$I$4+VLOOKUP($Q80,武学奇术!$A:$ZZ,15,FALSE)+SUM(_xlfn.XLOOKUP(R80:AF80,增益!$A:$A,增益!$O:$O,0)))/100)</f>
        <v>0.08</v>
      </c>
      <c r="BH80" s="35" cm="1">
        <f t="array" ref="BH80">$G$14+VLOOKUP($Q80,武学奇术!$A:$ZZ,16,FALSE)+SUM(_xlfn.XLOOKUP(R80:AF80,增益!$A:$A,增益!$P:$P,0))</f>
        <v>0.27</v>
      </c>
      <c r="BI80" s="30">
        <f>MIN(IF(VLOOKUP($Q80,武学奇术!$A:$ZZ,23,FALSE)=1,100%,$B$8),100%)</f>
        <v>1</v>
      </c>
      <c r="BJ80" s="30" cm="1">
        <f t="array" ref="BJ80">IF(VLOOKUP($Q80,武学奇术!$A:$ZZ,23,FALSE)=1,100%,MIN(80%,$B$9+VLOOKUP($Q80,武学奇术!$A:$ZZ,17,FALSE)+SUM(_xlfn.XLOOKUP(R80:AF80,增益!$A:$A,增益!$Q:$Q,0)))+$B$11+SUM(_xlfn.XLOOKUP(R80:AF80,增益!$A:$A,增益!$U:$U,0)))*IF(VLOOKUP($Q80,武学奇术!$A:$ZZ,24,FALSE)=1,0,1)</f>
        <v>1</v>
      </c>
      <c r="BK80" s="30" cm="1">
        <f t="array" ref="BK80">1+$B$13+VLOOKUP($Q80,武学奇术!$A:$ZZ,18,FALSE)+SUM(_xlfn.XLOOKUP(R80:AF80,增益!$A:$A,增益!$R:$R,0))</f>
        <v>1.87</v>
      </c>
      <c r="BL80" s="30" cm="1">
        <f t="array" ref="BL80">IF(VLOOKUP($Q80,武学奇术!$A:$ZZ,24,FALSE)=1,100%,MIN(40%,$B$10+VLOOKUP($Q80,武学奇术!$A:$ZZ,19,FALSE)+SUM(_xlfn.XLOOKUP(R80:AF80,增益!$A:$A,增益!$S:$S,0)))+$B$12+SUM(_xlfn.XLOOKUP(R80:AF80,增益!$A:$A,增益!$V:$V,0)))*IF(VLOOKUP($Q80,武学奇术!$A:$ZZ,23,FALSE)=1,0,1)</f>
        <v>0</v>
      </c>
      <c r="BM80" s="30" cm="1">
        <f t="array" ref="BM80">1+$B$14+VLOOKUP($Q80,武学奇术!$A:$ZZ,20,FALSE)+SUM(_xlfn.XLOOKUP(R80:AF80,增益!$A:$A,增益!$T:$T,0))</f>
        <v>1.35</v>
      </c>
      <c r="BN80" s="30">
        <f t="shared" si="22"/>
        <v>1</v>
      </c>
      <c r="BO80" s="30">
        <f t="shared" si="32"/>
        <v>0</v>
      </c>
      <c r="BP80" s="30">
        <f>IF(VLOOKUP($Q80,武学奇术!$A:$ZZ,22,FALSE)=1,0,(1-$BI80))*(1-$BL80)</f>
        <v>0</v>
      </c>
      <c r="BQ80" s="30" cm="1">
        <f t="array" ref="BQ80">SUM(_xlfn.XLOOKUP(R80:AF80,增益!$A:$A,增益!$W:$W,0))+$I$5</f>
        <v>0.11</v>
      </c>
    </row>
    <row r="81" spans="1:69">
      <c r="A81" s="4" t="s">
        <v>150</v>
      </c>
      <c r="B81" s="4">
        <v>1</v>
      </c>
      <c r="E81" s="42"/>
      <c r="K81" s="41">
        <f t="shared" si="33"/>
        <v>396876.834541653</v>
      </c>
      <c r="L81" s="41">
        <f>((($AN81+$AO81)/2*$AH81+$AI81)*(1+$AP81)*(1+$AQ81)+(($AS81+$AT81)/2*IF($G$1="鸣金",$AJ81,$AH81)+IF($G$1="鸣金",$AK81*1.5,0))*(1+$AU81)*(1+$AV81)+(($AW81+$AX81)/2*IF($G$1="裂石",$AJ81,$AH81)+IF($G$1="裂石",$AK81*1.5,0))*(1+$AY81)*(1+$AZ81)+(($BA81+$BB81)/2*IF($G$1="牵丝",$AJ81,$AH81)+IF($G$1="牵丝",$AK81*1.5,0))*(1+$BC81)*(1+$BD81)+(($BE81+$BF81)/2*IF($G$1="破竹",$AJ81,$AH81)+IF($G$1="破竹",$AK81*1.5,0))*(1+$BG81)*(1+$BH81))*(1+$AL81)*$BK81*$P81*(1+IF(VLOOKUP($Q81,武学奇术!$A:$ZZ,30,FALSE)="回旋伞",$B$21,0))*(1+$BQ81)</f>
        <v>416127.275587322</v>
      </c>
      <c r="M81" s="41">
        <f>(($AO81*$AH81+$AI81)*(1+$AP81)*(1+$AQ81)+($AT81*IF($G$1="鸣金",$AJ81,$AH81)+IF($G$1="鸣金",$AK81*1.5,0))*(1+$AU81)*(1+$AV81)+($AX81*IF($G$1="裂石",$AJ81,$AH81)+IF($G$1="裂石",$AK81*1.5,0))*(1+$AY81)*(1+$AZ81)+($BB81*IF($G$1="牵丝",$AJ81,$AH81)+IF($G$1="牵丝",$AK81*1.5,0))*(1+$BC81)*(1+$BD81)+($BF81*IF($G$1="破竹",$AJ81,$AH81)+IF($G$1="破竹",$AK81*1.5,0))*(1+$BG81)*(1+$BH81))*(1+$AL81)*$BM81*$P81*(1+IF(VLOOKUP($Q81,武学奇术!$A:$ZZ,30,FALSE)="回旋伞",$B$21,0))*(1+$BQ81)</f>
        <v>335018.514547</v>
      </c>
      <c r="N81" s="41">
        <f>((($AN81+$AO81)/2*$AH81+$AI81)*(1+$AP81)*(1+$AQ81)+(($AS81+$AT81)/2*IF($G$1="鸣金",$AJ81,$AH81)+IF($G$1="鸣金",$AK81*1.5,0))*(1+$AU81)*(1+$AV81)+(($AW81+$AX81)/2*IF($G$1="裂石",$AJ81,$AH81)+IF($G$1="裂石",$AK81*1.5,0))*(1+$AY81)*(1+$AZ81)+(($BA81+$BB81)/2*IF($G$1="牵丝",$AJ81,$AH81)+IF($G$1="牵丝",$AK81*1.5,0))*(1+$BC81)*(1+$BD81)+(($BE81+$BF81)/2*IF($G$1="破竹",$AJ81,$AH81)+IF($G$1="破竹",$AK81*1.5,0))*(1+$BG81)*(1+$BH81))*(1+$AL81)*$P81*(1+IF(VLOOKUP($Q81,武学奇术!$A:$ZZ,30,FALSE)="回旋伞",$B$21,0))*(1+$BQ81)</f>
        <v>222527.95485953</v>
      </c>
      <c r="O81" s="41">
        <f>((($AN81*$AH81+$AI81)*(1+$AP81)*(1+$AQ81)+($AS81*IF($G$1="鸣金",$AJ81,$AH81)+IF($G$1="鸣金",$AK81*1.5,0))*(1+$AU81)*(1+$AV81)+($AW81*IF($G$1="裂石",$AJ81,$AH81)+IF($G$1="裂石",$AK81*1.5,0))*(1+$AY81)*(1+$AZ81)+($BA81*IF($G$1="牵丝",$AJ81,$AH81)+IF($G$1="牵丝",$AK81*1.5,0))*(1+$BC81)*(1+$BD81)+($BE81*IF($G$1="破竹",$AJ81,$AH81)+IF($G$1="破竹",$AK81*1.5,0))*(1+$BG81)*(1+$BH81))*(1+$AL81))*$P81*(1+IF(VLOOKUP($Q81,武学奇术!$A:$ZZ,30,FALSE)="回旋伞",$B$21,0))*(1+$BQ81)</f>
        <v>196894.047091653</v>
      </c>
      <c r="P81" s="42">
        <v>6</v>
      </c>
      <c r="Q81" s="43" t="s">
        <v>104</v>
      </c>
      <c r="R81" s="43" t="s">
        <v>105</v>
      </c>
      <c r="S81" s="43" t="s">
        <v>91</v>
      </c>
      <c r="T81" s="43" t="s">
        <v>72</v>
      </c>
      <c r="U81" s="43" t="s">
        <v>71</v>
      </c>
      <c r="V81" s="43" t="s">
        <v>167</v>
      </c>
      <c r="W81" s="43" t="s">
        <v>95</v>
      </c>
      <c r="X81" s="43" t="s">
        <v>71</v>
      </c>
      <c r="Y81" s="43" t="s">
        <v>71</v>
      </c>
      <c r="Z81" s="43" t="s">
        <v>71</v>
      </c>
      <c r="AA81" s="43" t="s">
        <v>116</v>
      </c>
      <c r="AB81" s="43" t="s">
        <v>71</v>
      </c>
      <c r="AC81" s="43" t="s">
        <v>71</v>
      </c>
      <c r="AD81" s="43" t="s">
        <v>71</v>
      </c>
      <c r="AE81" s="43" t="s">
        <v>71</v>
      </c>
      <c r="AF81" s="43" t="s">
        <v>76</v>
      </c>
      <c r="AG81" t="str">
        <f>VLOOKUP($Q81,武学奇术!$A:$ZZ,25,FALSE)</f>
        <v>伞</v>
      </c>
      <c r="AH81" s="30">
        <f>VLOOKUP($Q81,武学奇术!$A:$ZZ,26,FALSE)</f>
        <v>1.8084</v>
      </c>
      <c r="AI81" s="31">
        <f>VLOOKUP($Q81,武学奇术!$A:$ZZ,27,FALSE)*(1+IF(OR($AG81=$F$4,$AG81=$F$5),$B$22,0))</f>
        <v>700</v>
      </c>
      <c r="AJ81" s="30">
        <f>VLOOKUP($Q81,武学奇术!$A:$ZZ,28,FALSE)</f>
        <v>2.7126</v>
      </c>
      <c r="AK81" s="31">
        <f>VLOOKUP($Q81,武学奇术!$A:$ZZ,29,FALSE)*(1+IF(OR($AG81=$F$4,$AG81=$F$5),$B$22,0))</f>
        <v>380.8</v>
      </c>
      <c r="AL81" s="30" cm="1">
        <f t="array" ref="AL81">$G$3+IFERROR(VLOOKUP($AG81,$F$4:$G$7,2,FALSE),0)+VLOOKUP($Q81,武学奇术!$A:$ZZ,2,FALSE)+SUM(_xlfn.XLOOKUP($R81:$AF81,增益!$A:$A,增益!$B:$B,0))</f>
        <v>0.6541</v>
      </c>
      <c r="AM81" s="30" cm="1">
        <f t="array" ref="AM81">VLOOKUP($Q81,武学奇术!$A:$ZZ,5,FALSE)+SUM(_xlfn.XLOOKUP($R81:$AF81,增益!$A:$A,增益!$E:$E,0))</f>
        <v>0</v>
      </c>
      <c r="AN81" cm="1">
        <f t="array" ref="AN81">$D$10*(1+$AM81)+VLOOKUP($Q81,武学奇术!$A:$ZZ,3,FALSE)+SUM(_xlfn.XLOOKUP($R81:$AF81,增益!$A:$A,增益!$C:$C,0))-$I$2</f>
        <v>3545.8</v>
      </c>
      <c r="AO81" cm="1">
        <f t="array" ref="AO81">$E$10*(1+$AM81)+VLOOKUP($Q81,武学奇术!$A:$ZZ,4,FALSE)+SUM(_xlfn.XLOOKUP($R81:$AF81,增益!$A:$A,增益!$D:$D,0))-$I$2</f>
        <v>3545.8</v>
      </c>
      <c r="AP81" s="35" cm="1">
        <f t="array" ref="AP81">IF($F$10-$I$3+VLOOKUP($Q81,武学奇术!$A:$ZZ,6,FALSE)+SUM(_xlfn.XLOOKUP(R81:AF81,增益!$A:$A,增益!$F:$F,0))&gt;0,($F$10-$I$3+VLOOKUP($Q81,武学奇术!$A:$ZZ,6,FALSE)+SUM(_xlfn.XLOOKUP(R81:AF81,增益!$A:$A,增益!$F:$F,0)))/200,($F$10-$I$3+VLOOKUP($Q81,武学奇术!$A:$ZZ,6,FALSE)+SUM(_xlfn.XLOOKUP(R81:AF81,增益!$A:$A,增益!$F:$F,0)))/100)</f>
        <v>0.3425</v>
      </c>
      <c r="AQ81" s="35" cm="1">
        <f t="array" ref="AQ81">$G$10+VLOOKUP($Q81,武学奇术!$A:$ZZ,7,FALSE)+SUM(_xlfn.XLOOKUP(R81:AF81,增益!$A:$A,增益!$G:$G,0))</f>
        <v>0.148</v>
      </c>
      <c r="AR81" s="30" cm="1">
        <f t="array" ref="AR81">VLOOKUP($Q81,武学奇术!$A:$ZZ,8,FALSE)+SUM(_xlfn.XLOOKUP(R81:AF81,增益!$A:$A,增益!$H:$H,0))</f>
        <v>0</v>
      </c>
      <c r="AS81">
        <f t="shared" si="34"/>
        <v>0</v>
      </c>
      <c r="AT81">
        <f t="shared" si="35"/>
        <v>0</v>
      </c>
      <c r="AU81" s="35" cm="1">
        <f t="array" ref="AU81">IF($F$11-$I$4+VLOOKUP($Q81,武学奇术!$A:$ZZ,9,FALSE)+SUM(_xlfn.XLOOKUP(R81:AF81,增益!$A:$A,增益!$I:$I,0))&gt;0,($F$11-$I$4+VLOOKUP($Q81,武学奇术!$A:$ZZ,9,FALSE)+SUM(_xlfn.XLOOKUP(R81:AF81,增益!$A:$A,增益!$I:$I,0)))/200,($F$11-$I$4+VLOOKUP($Q81,武学奇术!$A:$ZZ,9,FALSE)+SUM(_xlfn.XLOOKUP(R81:AF81,增益!$A:$A,增益!$I:$I,0)))/100)</f>
        <v>-0.3</v>
      </c>
      <c r="AV81" s="35" cm="1">
        <f t="array" ref="AV81">$G$11+VLOOKUP($Q81,武学奇术!$A:$ZZ,10,FALSE)+SUM(_xlfn.XLOOKUP(R81:AF81,增益!$A:$A,增益!$J:$J,0))</f>
        <v>0</v>
      </c>
      <c r="AW81">
        <f t="shared" si="36"/>
        <v>0</v>
      </c>
      <c r="AX81">
        <f t="shared" si="37"/>
        <v>0</v>
      </c>
      <c r="AY81" s="35" cm="1">
        <f t="array" ref="AY81">IF($F$12-$I$4+VLOOKUP($Q81,武学奇术!$A:$ZZ,11,FALSE)+SUM(_xlfn.XLOOKUP(R81:AF81,增益!$A:$A,增益!$K:$K,0))&gt;0,($F$12-$I$4+VLOOKUP($Q81,武学奇术!$A:$ZZ,11,FALSE)+SUM(_xlfn.XLOOKUP(R81:AF81,增益!$A:$A,增益!$K:$K,0)))/200,($F$12-$I$4+VLOOKUP($Q81,武学奇术!$A:$ZZ,11,FALSE)+SUM(_xlfn.XLOOKUP(R81:AF81,增益!$A:$A,增益!$K:$K,0)))/100)</f>
        <v>-0.3</v>
      </c>
      <c r="AZ81" s="35" cm="1">
        <f t="array" ref="AZ81">$G$12+VLOOKUP($Q81,武学奇术!$A:$ZZ,12,FALSE)+SUM(_xlfn.XLOOKUP(R81:AF81,增益!$A:$A,增益!$L:$L,0))</f>
        <v>0</v>
      </c>
      <c r="BA81">
        <f t="shared" si="38"/>
        <v>0</v>
      </c>
      <c r="BB81">
        <f t="shared" si="39"/>
        <v>0</v>
      </c>
      <c r="BC81" s="35" cm="1">
        <f t="array" ref="BC81">IF($F$13-$I$4+VLOOKUP($Q81,武学奇术!$A:$ZZ,13,FALSE)+SUM(_xlfn.XLOOKUP(R81:AF81,增益!$A:$A,增益!$M:$M,0))&gt;0,($F$13-$I$4+VLOOKUP($Q81,武学奇术!$A:$ZZ,13,FALSE)+SUM(_xlfn.XLOOKUP(R81:AF81,增益!$A:$A,增益!$K:$K,0)))/200,($F$13-$I$4+VLOOKUP($Q81,武学奇术!$A:$ZZ,13,FALSE)+SUM(_xlfn.XLOOKUP(R81:AF81,增益!$A:$A,增益!$M:$M,0)))/100)</f>
        <v>-0.3</v>
      </c>
      <c r="BD81" s="35" cm="1">
        <f t="array" ref="BD81">$G$13+VLOOKUP($Q81,武学奇术!$A:$ZZ,14,FALSE)+SUM(_xlfn.XLOOKUP(R81:AF81,增益!$A:$A,增益!$N:$N,0))</f>
        <v>0</v>
      </c>
      <c r="BE81">
        <f t="shared" si="40"/>
        <v>538</v>
      </c>
      <c r="BF81">
        <f t="shared" si="41"/>
        <v>1561.4</v>
      </c>
      <c r="BG81" s="35" cm="1">
        <f t="array" ref="BG81">IF($F$14-$I$4+VLOOKUP($Q81,武学奇术!$A:$ZZ,15,FALSE)+SUM(_xlfn.XLOOKUP(R81:AF81,增益!$A:$A,增益!$O:$O,0))&gt;0,($F$14-$I$4+VLOOKUP($Q81,武学奇术!$A:$ZZ,15,FALSE)+SUM(_xlfn.XLOOKUP(R81:AF81,增益!$A:$A,增益!$O:$O,0)))/200,($F$14-$I$4+VLOOKUP($Q81,武学奇术!$A:$ZZ,15,FALSE)+SUM(_xlfn.XLOOKUP(R81:AF81,增益!$A:$A,增益!$O:$O,0)))/100)</f>
        <v>0</v>
      </c>
      <c r="BH81" s="35" cm="1">
        <f t="array" ref="BH81">$G$14+VLOOKUP($Q81,武学奇术!$A:$ZZ,16,FALSE)+SUM(_xlfn.XLOOKUP(R81:AF81,增益!$A:$A,增益!$P:$P,0))</f>
        <v>0.27</v>
      </c>
      <c r="BI81" s="30">
        <f>MIN(IF(VLOOKUP($Q81,武学奇术!$A:$ZZ,23,FALSE)=1,100%,$B$8),100%)</f>
        <v>0.9712</v>
      </c>
      <c r="BJ81" s="30" cm="1">
        <f t="array" ref="BJ81">IF(VLOOKUP($Q81,武学奇术!$A:$ZZ,23,FALSE)=1,100%,MIN(80%,$B$9+VLOOKUP($Q81,武学奇术!$A:$ZZ,17,FALSE)+SUM(_xlfn.XLOOKUP(R81:AF81,增益!$A:$A,增益!$Q:$Q,0)))+$B$11+SUM(_xlfn.XLOOKUP(R81:AF81,增益!$A:$A,增益!$U:$U,0)))*IF(VLOOKUP($Q81,武学奇术!$A:$ZZ,24,FALSE)=1,0,1)</f>
        <v>0.8773</v>
      </c>
      <c r="BK81" s="30" cm="1">
        <f t="array" ref="BK81">1+$B$13+VLOOKUP($Q81,武学奇术!$A:$ZZ,18,FALSE)+SUM(_xlfn.XLOOKUP(R81:AF81,增益!$A:$A,增益!$R:$R,0))</f>
        <v>1.87</v>
      </c>
      <c r="BL81" s="30" cm="1">
        <f t="array" ref="BL81">IF(VLOOKUP($Q81,武学奇术!$A:$ZZ,24,FALSE)=1,100%,MIN(40%,$B$10+VLOOKUP($Q81,武学奇术!$A:$ZZ,19,FALSE)+SUM(_xlfn.XLOOKUP(R81:AF81,增益!$A:$A,增益!$S:$S,0)))+$B$12+SUM(_xlfn.XLOOKUP(R81:AF81,增益!$A:$A,增益!$V:$V,0)))*IF(VLOOKUP($Q81,武学奇术!$A:$ZZ,23,FALSE)=1,0,1)</f>
        <v>0.0895</v>
      </c>
      <c r="BM81" s="30" cm="1">
        <f t="array" ref="BM81">1+$B$14+VLOOKUP($Q81,武学奇术!$A:$ZZ,20,FALSE)+SUM(_xlfn.XLOOKUP(R81:AF81,增益!$A:$A,增益!$T:$T,0))</f>
        <v>1.35</v>
      </c>
      <c r="BN81" s="30">
        <f t="shared" si="22"/>
        <v>0.85203376</v>
      </c>
      <c r="BO81" s="30">
        <f t="shared" si="32"/>
        <v>0.03224384</v>
      </c>
      <c r="BP81" s="30">
        <f>IF(VLOOKUP($Q81,武学奇术!$A:$ZZ,22,FALSE)=1,0,(1-$BI81))*(1-$BL81)</f>
        <v>0.0262224</v>
      </c>
      <c r="BQ81" s="30" cm="1">
        <f t="array" ref="BQ81">SUM(_xlfn.XLOOKUP(R81:AF81,增益!$A:$A,增益!$W:$W,0))+$I$5</f>
        <v>0.11</v>
      </c>
    </row>
    <row r="82" spans="1:69">
      <c r="A82" s="4" t="s">
        <v>163</v>
      </c>
      <c r="B82" s="90">
        <v>2</v>
      </c>
      <c r="C82"/>
      <c r="D82"/>
      <c r="E82" s="42"/>
      <c r="K82" s="41">
        <f t="shared" si="33"/>
        <v>233220.960542426</v>
      </c>
      <c r="L82" s="41">
        <f>((($AN82+$AO82)/2*$AH82+$AI82)*(1+$AP82)*(1+$AQ82)+(($AS82+$AT82)/2*IF($G$1="鸣金",$AJ82,$AH82)+IF($G$1="鸣金",$AK82*1.5,0))*(1+$AU82)*(1+$AV82)+(($AW82+$AX82)/2*IF($G$1="裂石",$AJ82,$AH82)+IF($G$1="裂石",$AK82*1.5,0))*(1+$AY82)*(1+$AZ82)+(($BA82+$BB82)/2*IF($G$1="牵丝",$AJ82,$AH82)+IF($G$1="牵丝",$AK82*1.5,0))*(1+$BC82)*(1+$BD82)+(($BE82+$BF82)/2*IF($G$1="破竹",$AJ82,$AH82)+IF($G$1="破竹",$AK82*1.5,0))*(1+$BG82)*(1+$BH82))*(1+$AL82)*$BK82*$P82*(1+IF(VLOOKUP($Q82,武学奇术!$A:$ZZ,30,FALSE)="回旋伞",$B$21,0))*(1+$BQ82)</f>
        <v>233220.960542426</v>
      </c>
      <c r="M82" s="41">
        <f>(($AO82*$AH82+$AI82)*(1+$AP82)*(1+$AQ82)+($AT82*IF($G$1="鸣金",$AJ82,$AH82)+IF($G$1="鸣金",$AK82*1.5,0))*(1+$AU82)*(1+$AV82)+($AX82*IF($G$1="裂石",$AJ82,$AH82)+IF($G$1="裂石",$AK82*1.5,0))*(1+$AY82)*(1+$AZ82)+($BB82*IF($G$1="牵丝",$AJ82,$AH82)+IF($G$1="牵丝",$AK82*1.5,0))*(1+$BC82)*(1+$BD82)+($BF82*IF($G$1="破竹",$AJ82,$AH82)+IF($G$1="破竹",$AK82*1.5,0))*(1+$BG82)*(1+$BH82))*(1+$AL82)*$BM82*$P82*(1+IF(VLOOKUP($Q82,武学奇术!$A:$ZZ,30,FALSE)="回旋伞",$B$21,0))*(1+$BQ82)</f>
        <v>187763.081984642</v>
      </c>
      <c r="N82" s="41">
        <f>((($AN82+$AO82)/2*$AH82+$AI82)*(1+$AP82)*(1+$AQ82)+(($AS82+$AT82)/2*IF($G$1="鸣金",$AJ82,$AH82)+IF($G$1="鸣金",$AK82*1.5,0))*(1+$AU82)*(1+$AV82)+(($AW82+$AX82)/2*IF($G$1="裂石",$AJ82,$AH82)+IF($G$1="裂石",$AK82*1.5,0))*(1+$AY82)*(1+$AZ82)+(($BA82+$BB82)/2*IF($G$1="牵丝",$AJ82,$AH82)+IF($G$1="牵丝",$AK82*1.5,0))*(1+$BC82)*(1+$BD82)+(($BE82+$BF82)/2*IF($G$1="破竹",$AJ82,$AH82)+IF($G$1="破竹",$AK82*1.5,0))*(1+$BG82)*(1+$BH82))*(1+$AL82)*$P82*(1+IF(VLOOKUP($Q82,武学奇术!$A:$ZZ,30,FALSE)="回旋伞",$B$21,0))*(1+$BQ82)</f>
        <v>124717.091199158</v>
      </c>
      <c r="O82" s="41">
        <f>((($AN82*$AH82+$AI82)*(1+$AP82)*(1+$AQ82)+($AS82*IF($G$1="鸣金",$AJ82,$AH82)+IF($G$1="鸣金",$AK82*1.5,0))*(1+$AU82)*(1+$AV82)+($AW82*IF($G$1="裂石",$AJ82,$AH82)+IF($G$1="裂石",$AK82*1.5,0))*(1+$AY82)*(1+$AZ82)+($BA82*IF($G$1="牵丝",$AJ82,$AH82)+IF($G$1="牵丝",$AK82*1.5,0))*(1+$BC82)*(1+$BD82)+($BE82*IF($G$1="破竹",$AJ82,$AH82)+IF($G$1="破竹",$AK82*1.5,0))*(1+$BG82)*(1+$BH82))*(1+$AL82))*$P82*(1+IF(VLOOKUP($Q82,武学奇术!$A:$ZZ,30,FALSE)="回旋伞",$B$21,0))*(1+$BQ82)</f>
        <v>110350.417965248</v>
      </c>
      <c r="P82" s="42">
        <v>3</v>
      </c>
      <c r="Q82" s="43" t="s">
        <v>115</v>
      </c>
      <c r="R82" s="43" t="s">
        <v>105</v>
      </c>
      <c r="S82" s="43" t="s">
        <v>91</v>
      </c>
      <c r="T82" s="43" t="s">
        <v>72</v>
      </c>
      <c r="U82" s="43" t="s">
        <v>71</v>
      </c>
      <c r="V82" s="43" t="s">
        <v>167</v>
      </c>
      <c r="W82" s="43" t="s">
        <v>95</v>
      </c>
      <c r="X82" s="43" t="s">
        <v>71</v>
      </c>
      <c r="Y82" s="43" t="s">
        <v>71</v>
      </c>
      <c r="Z82" s="43" t="s">
        <v>71</v>
      </c>
      <c r="AA82" s="43" t="s">
        <v>116</v>
      </c>
      <c r="AB82" s="43" t="s">
        <v>71</v>
      </c>
      <c r="AC82" s="43" t="s">
        <v>71</v>
      </c>
      <c r="AD82" s="43" t="s">
        <v>71</v>
      </c>
      <c r="AE82" s="43" t="s">
        <v>71</v>
      </c>
      <c r="AF82" s="43" t="s">
        <v>76</v>
      </c>
      <c r="AG82" t="str">
        <f>VLOOKUP($Q82,武学奇术!$A:$ZZ,25,FALSE)</f>
        <v>伞</v>
      </c>
      <c r="AH82" s="30">
        <f>VLOOKUP($Q82,武学奇术!$A:$ZZ,26,FALSE)</f>
        <v>1.8084</v>
      </c>
      <c r="AI82" s="31">
        <f>VLOOKUP($Q82,武学奇术!$A:$ZZ,27,FALSE)*(1+IF(OR($AG82=$F$4,$AG82=$F$5),$B$22,0))</f>
        <v>700</v>
      </c>
      <c r="AJ82" s="30">
        <f>VLOOKUP($Q82,武学奇术!$A:$ZZ,28,FALSE)</f>
        <v>2.7126</v>
      </c>
      <c r="AK82" s="31">
        <f>VLOOKUP($Q82,武学奇术!$A:$ZZ,29,FALSE)*(1+IF(OR($AG82=$F$4,$AG82=$F$5),$B$22,0))</f>
        <v>380.8</v>
      </c>
      <c r="AL82" s="30" cm="1">
        <f t="array" ref="AL82">$G$3+IFERROR(VLOOKUP($AG82,$F$4:$G$7,2,FALSE),0)+VLOOKUP($Q82,武学奇术!$A:$ZZ,2,FALSE)+SUM(_xlfn.XLOOKUP($R82:$AF82,增益!$A:$A,增益!$B:$B,0))</f>
        <v>0.8541</v>
      </c>
      <c r="AM82" s="30" cm="1">
        <f t="array" ref="AM82">VLOOKUP($Q82,武学奇术!$A:$ZZ,5,FALSE)+SUM(_xlfn.XLOOKUP($R82:$AF82,增益!$A:$A,增益!$E:$E,0))</f>
        <v>0</v>
      </c>
      <c r="AN82" cm="1">
        <f t="array" ref="AN82">$D$10*(1+$AM82)+VLOOKUP($Q82,武学奇术!$A:$ZZ,3,FALSE)+SUM(_xlfn.XLOOKUP($R82:$AF82,增益!$A:$A,增益!$C:$C,0))-$I$2</f>
        <v>3545.8</v>
      </c>
      <c r="AO82" cm="1">
        <f t="array" ref="AO82">$E$10*(1+$AM82)+VLOOKUP($Q82,武学奇术!$A:$ZZ,4,FALSE)+SUM(_xlfn.XLOOKUP($R82:$AF82,增益!$A:$A,增益!$D:$D,0))-$I$2</f>
        <v>3545.8</v>
      </c>
      <c r="AP82" s="35" cm="1">
        <f t="array" ref="AP82">IF($F$10-$I$3+VLOOKUP($Q82,武学奇术!$A:$ZZ,6,FALSE)+SUM(_xlfn.XLOOKUP(R82:AF82,增益!$A:$A,增益!$F:$F,0))&gt;0,($F$10-$I$3+VLOOKUP($Q82,武学奇术!$A:$ZZ,6,FALSE)+SUM(_xlfn.XLOOKUP(R82:AF82,增益!$A:$A,增益!$F:$F,0)))/200,($F$10-$I$3+VLOOKUP($Q82,武学奇术!$A:$ZZ,6,FALSE)+SUM(_xlfn.XLOOKUP(R82:AF82,增益!$A:$A,增益!$F:$F,0)))/100)</f>
        <v>0.3425</v>
      </c>
      <c r="AQ82" s="35" cm="1">
        <f t="array" ref="AQ82">$G$10+VLOOKUP($Q82,武学奇术!$A:$ZZ,7,FALSE)+SUM(_xlfn.XLOOKUP(R82:AF82,增益!$A:$A,增益!$G:$G,0))</f>
        <v>0.148</v>
      </c>
      <c r="AR82" s="30" cm="1">
        <f t="array" ref="AR82">VLOOKUP($Q82,武学奇术!$A:$ZZ,8,FALSE)+SUM(_xlfn.XLOOKUP(R82:AF82,增益!$A:$A,增益!$H:$H,0))</f>
        <v>0</v>
      </c>
      <c r="AS82">
        <f t="shared" si="34"/>
        <v>0</v>
      </c>
      <c r="AT82">
        <f t="shared" si="35"/>
        <v>0</v>
      </c>
      <c r="AU82" s="35" cm="1">
        <f t="array" ref="AU82">IF($F$11-$I$4+VLOOKUP($Q82,武学奇术!$A:$ZZ,9,FALSE)+SUM(_xlfn.XLOOKUP(R82:AF82,增益!$A:$A,增益!$I:$I,0))&gt;0,($F$11-$I$4+VLOOKUP($Q82,武学奇术!$A:$ZZ,9,FALSE)+SUM(_xlfn.XLOOKUP(R82:AF82,增益!$A:$A,增益!$I:$I,0)))/200,($F$11-$I$4+VLOOKUP($Q82,武学奇术!$A:$ZZ,9,FALSE)+SUM(_xlfn.XLOOKUP(R82:AF82,增益!$A:$A,增益!$I:$I,0)))/100)</f>
        <v>-0.3</v>
      </c>
      <c r="AV82" s="35" cm="1">
        <f t="array" ref="AV82">$G$11+VLOOKUP($Q82,武学奇术!$A:$ZZ,10,FALSE)+SUM(_xlfn.XLOOKUP(R82:AF82,增益!$A:$A,增益!$J:$J,0))</f>
        <v>0</v>
      </c>
      <c r="AW82">
        <f t="shared" si="36"/>
        <v>0</v>
      </c>
      <c r="AX82">
        <f t="shared" si="37"/>
        <v>0</v>
      </c>
      <c r="AY82" s="35" cm="1">
        <f t="array" ref="AY82">IF($F$12-$I$4+VLOOKUP($Q82,武学奇术!$A:$ZZ,11,FALSE)+SUM(_xlfn.XLOOKUP(R82:AF82,增益!$A:$A,增益!$K:$K,0))&gt;0,($F$12-$I$4+VLOOKUP($Q82,武学奇术!$A:$ZZ,11,FALSE)+SUM(_xlfn.XLOOKUP(R82:AF82,增益!$A:$A,增益!$K:$K,0)))/200,($F$12-$I$4+VLOOKUP($Q82,武学奇术!$A:$ZZ,11,FALSE)+SUM(_xlfn.XLOOKUP(R82:AF82,增益!$A:$A,增益!$K:$K,0)))/100)</f>
        <v>-0.3</v>
      </c>
      <c r="AZ82" s="35" cm="1">
        <f t="array" ref="AZ82">$G$12+VLOOKUP($Q82,武学奇术!$A:$ZZ,12,FALSE)+SUM(_xlfn.XLOOKUP(R82:AF82,增益!$A:$A,增益!$L:$L,0))</f>
        <v>0</v>
      </c>
      <c r="BA82">
        <f t="shared" si="38"/>
        <v>0</v>
      </c>
      <c r="BB82">
        <f t="shared" si="39"/>
        <v>0</v>
      </c>
      <c r="BC82" s="35" cm="1">
        <f t="array" ref="BC82">IF($F$13-$I$4+VLOOKUP($Q82,武学奇术!$A:$ZZ,13,FALSE)+SUM(_xlfn.XLOOKUP(R82:AF82,增益!$A:$A,增益!$M:$M,0))&gt;0,($F$13-$I$4+VLOOKUP($Q82,武学奇术!$A:$ZZ,13,FALSE)+SUM(_xlfn.XLOOKUP(R82:AF82,增益!$A:$A,增益!$K:$K,0)))/200,($F$13-$I$4+VLOOKUP($Q82,武学奇术!$A:$ZZ,13,FALSE)+SUM(_xlfn.XLOOKUP(R82:AF82,增益!$A:$A,增益!$M:$M,0)))/100)</f>
        <v>-0.3</v>
      </c>
      <c r="BD82" s="35" cm="1">
        <f t="array" ref="BD82">$G$13+VLOOKUP($Q82,武学奇术!$A:$ZZ,14,FALSE)+SUM(_xlfn.XLOOKUP(R82:AF82,增益!$A:$A,增益!$N:$N,0))</f>
        <v>0</v>
      </c>
      <c r="BE82">
        <f t="shared" si="40"/>
        <v>538</v>
      </c>
      <c r="BF82">
        <f t="shared" si="41"/>
        <v>1561.4</v>
      </c>
      <c r="BG82" s="35" cm="1">
        <f t="array" ref="BG82">IF($F$14-$I$4+VLOOKUP($Q82,武学奇术!$A:$ZZ,15,FALSE)+SUM(_xlfn.XLOOKUP(R82:AF82,增益!$A:$A,增益!$O:$O,0))&gt;0,($F$14-$I$4+VLOOKUP($Q82,武学奇术!$A:$ZZ,15,FALSE)+SUM(_xlfn.XLOOKUP(R82:AF82,增益!$A:$A,增益!$O:$O,0)))/200,($F$14-$I$4+VLOOKUP($Q82,武学奇术!$A:$ZZ,15,FALSE)+SUM(_xlfn.XLOOKUP(R82:AF82,增益!$A:$A,增益!$O:$O,0)))/100)</f>
        <v>0</v>
      </c>
      <c r="BH82" s="35" cm="1">
        <f t="array" ref="BH82">$G$14+VLOOKUP($Q82,武学奇术!$A:$ZZ,16,FALSE)+SUM(_xlfn.XLOOKUP(R82:AF82,增益!$A:$A,增益!$P:$P,0))</f>
        <v>0.27</v>
      </c>
      <c r="BI82" s="30">
        <f>MIN(IF(VLOOKUP($Q82,武学奇术!$A:$ZZ,23,FALSE)=1,100%,$B$8),100%)</f>
        <v>1</v>
      </c>
      <c r="BJ82" s="30" cm="1">
        <f t="array" ref="BJ82">IF(VLOOKUP($Q82,武学奇术!$A:$ZZ,23,FALSE)=1,100%,MIN(80%,$B$9+VLOOKUP($Q82,武学奇术!$A:$ZZ,17,FALSE)+SUM(_xlfn.XLOOKUP(R82:AF82,增益!$A:$A,增益!$Q:$Q,0)))+$B$11+SUM(_xlfn.XLOOKUP(R82:AF82,增益!$A:$A,增益!$U:$U,0)))*IF(VLOOKUP($Q82,武学奇术!$A:$ZZ,24,FALSE)=1,0,1)</f>
        <v>1</v>
      </c>
      <c r="BK82" s="30" cm="1">
        <f t="array" ref="BK82">1+$B$13+VLOOKUP($Q82,武学奇术!$A:$ZZ,18,FALSE)+SUM(_xlfn.XLOOKUP(R82:AF82,增益!$A:$A,增益!$R:$R,0))</f>
        <v>1.87</v>
      </c>
      <c r="BL82" s="30" cm="1">
        <f t="array" ref="BL82">IF(VLOOKUP($Q82,武学奇术!$A:$ZZ,24,FALSE)=1,100%,MIN(40%,$B$10+VLOOKUP($Q82,武学奇术!$A:$ZZ,19,FALSE)+SUM(_xlfn.XLOOKUP(R82:AF82,增益!$A:$A,增益!$S:$S,0)))+$B$12+SUM(_xlfn.XLOOKUP(R82:AF82,增益!$A:$A,增益!$V:$V,0)))*IF(VLOOKUP($Q82,武学奇术!$A:$ZZ,23,FALSE)=1,0,1)</f>
        <v>0</v>
      </c>
      <c r="BM82" s="30" cm="1">
        <f t="array" ref="BM82">1+$B$14+VLOOKUP($Q82,武学奇术!$A:$ZZ,20,FALSE)+SUM(_xlfn.XLOOKUP(R82:AF82,增益!$A:$A,增益!$T:$T,0))</f>
        <v>1.35</v>
      </c>
      <c r="BN82" s="30">
        <f t="shared" si="22"/>
        <v>1</v>
      </c>
      <c r="BO82" s="30">
        <f t="shared" si="32"/>
        <v>0</v>
      </c>
      <c r="BP82" s="30">
        <f>IF(VLOOKUP($Q82,武学奇术!$A:$ZZ,22,FALSE)=1,0,(1-$BI82))*(1-$BL82)</f>
        <v>0</v>
      </c>
      <c r="BQ82" s="30" cm="1">
        <f t="array" ref="BQ82">SUM(_xlfn.XLOOKUP(R82:AF82,增益!$A:$A,增益!$W:$W,0))+$I$5</f>
        <v>0.11</v>
      </c>
    </row>
    <row r="83" spans="1:69">
      <c r="A83" s="4"/>
      <c r="B83" s="90"/>
      <c r="C83"/>
      <c r="D83"/>
      <c r="K83" s="41">
        <f t="shared" si="33"/>
        <v>39944.5728962555</v>
      </c>
      <c r="L83" s="41">
        <f>((($AN83+$AO83)/2*$AH83+$AI83)*(1+$AP83)*(1+$AQ83)+(($AS83+$AT83)/2*IF($G$1="鸣金",$AJ83,$AH83)+IF($G$1="鸣金",$AK83*1.5,0))*(1+$AU83)*(1+$AV83)+(($AW83+$AX83)/2*IF($G$1="裂石",$AJ83,$AH83)+IF($G$1="裂石",$AK83*1.5,0))*(1+$AY83)*(1+$AZ83)+(($BA83+$BB83)/2*IF($G$1="牵丝",$AJ83,$AH83)+IF($G$1="牵丝",$AK83*1.5,0))*(1+$BC83)*(1+$BD83)+(($BE83+$BF83)/2*IF($G$1="破竹",$AJ83,$AH83)+IF($G$1="破竹",$AK83*1.5,0))*(1+$BG83)*(1+$BH83))*(1+$AL83)*$BK83*$P83*(1+IF(VLOOKUP($Q83,武学奇术!$A:$ZZ,30,FALSE)="回旋伞",$B$21,0))*(1+$BQ83)</f>
        <v>41831.298175848</v>
      </c>
      <c r="M83" s="41">
        <f>(($AO83*$AH83+$AI83)*(1+$AP83)*(1+$AQ83)+($AT83*IF($G$1="鸣金",$AJ83,$AH83)+IF($G$1="鸣金",$AK83*1.5,0))*(1+$AU83)*(1+$AV83)+($AX83*IF($G$1="裂石",$AJ83,$AH83)+IF($G$1="裂石",$AK83*1.5,0))*(1+$AY83)*(1+$AZ83)+($BB83*IF($G$1="牵丝",$AJ83,$AH83)+IF($G$1="牵丝",$AK83*1.5,0))*(1+$BC83)*(1+$BD83)+($BF83*IF($G$1="破竹",$AJ83,$AH83)+IF($G$1="破竹",$AK83*1.5,0))*(1+$BG83)*(1+$BH83))*(1+$AL83)*$BM83*$P83*(1+IF(VLOOKUP($Q83,武学奇术!$A:$ZZ,30,FALSE)="回旋伞",$B$21,0))*(1+$BQ83)</f>
        <v>34368.9280844302</v>
      </c>
      <c r="N83" s="41">
        <f>((($AN83+$AO83)/2*$AH83+$AI83)*(1+$AP83)*(1+$AQ83)+(($AS83+$AT83)/2*IF($G$1="鸣金",$AJ83,$AH83)+IF($G$1="鸣金",$AK83*1.5,0))*(1+$AU83)*(1+$AV83)+(($AW83+$AX83)/2*IF($G$1="裂石",$AJ83,$AH83)+IF($G$1="裂石",$AK83*1.5,0))*(1+$AY83)*(1+$AZ83)+(($BA83+$BB83)/2*IF($G$1="牵丝",$AJ83,$AH83)+IF($G$1="牵丝",$AK83*1.5,0))*(1+$BC83)*(1+$BD83)+(($BE83+$BF83)/2*IF($G$1="破竹",$AJ83,$AH83)+IF($G$1="破竹",$AK83*1.5,0))*(1+$BG83)*(1+$BH83))*(1+$AL83)*$P83*(1+IF(VLOOKUP($Q83,武学奇术!$A:$ZZ,30,FALSE)="回旋伞",$B$21,0))*(1+$BQ83)</f>
        <v>22369.6781689027</v>
      </c>
      <c r="O83" s="41">
        <f>((($AN83*$AH83+$AI83)*(1+$AP83)*(1+$AQ83)+($AS83*IF($G$1="鸣金",$AJ83,$AH83)+IF($G$1="鸣金",$AK83*1.5,0))*(1+$AU83)*(1+$AV83)+($AW83*IF($G$1="裂石",$AJ83,$AH83)+IF($G$1="裂石",$AK83*1.5,0))*(1+$AY83)*(1+$AZ83)+($BA83*IF($G$1="牵丝",$AJ83,$AH83)+IF($G$1="牵丝",$AK83*1.5,0))*(1+$BC83)*(1+$BD83)+($BE83*IF($G$1="破竹",$AJ83,$AH83)+IF($G$1="破竹",$AK83*1.5,0))*(1+$BG83)*(1+$BH83))*(1+$AL83))*$P83*(1+IF(VLOOKUP($Q83,武学奇术!$A:$ZZ,30,FALSE)="回旋伞",$B$21,0))*(1+$BQ83)</f>
        <v>19280.8910900793</v>
      </c>
      <c r="P83" s="42">
        <v>2</v>
      </c>
      <c r="Q83" s="43" t="s">
        <v>120</v>
      </c>
      <c r="R83" s="43" t="s">
        <v>105</v>
      </c>
      <c r="S83" s="43" t="s">
        <v>91</v>
      </c>
      <c r="T83" s="43" t="s">
        <v>72</v>
      </c>
      <c r="U83" s="43" t="s">
        <v>71</v>
      </c>
      <c r="V83" s="43" t="s">
        <v>167</v>
      </c>
      <c r="W83" s="43" t="s">
        <v>95</v>
      </c>
      <c r="X83" s="43" t="s">
        <v>82</v>
      </c>
      <c r="Y83" s="43" t="s">
        <v>71</v>
      </c>
      <c r="Z83" s="43" t="s">
        <v>71</v>
      </c>
      <c r="AA83" s="43" t="s">
        <v>71</v>
      </c>
      <c r="AB83" s="43" t="s">
        <v>71</v>
      </c>
      <c r="AC83" s="43" t="s">
        <v>71</v>
      </c>
      <c r="AD83" s="43" t="s">
        <v>71</v>
      </c>
      <c r="AE83" s="43" t="s">
        <v>71</v>
      </c>
      <c r="AF83" s="43" t="s">
        <v>76</v>
      </c>
      <c r="AG83" t="str">
        <f>VLOOKUP($Q83,武学奇术!$A:$ZZ,25,FALSE)</f>
        <v>伞</v>
      </c>
      <c r="AH83" s="30">
        <f>VLOOKUP($Q83,武学奇术!$A:$ZZ,26,FALSE)</f>
        <v>0.54</v>
      </c>
      <c r="AI83" s="31">
        <f>VLOOKUP($Q83,武学奇术!$A:$ZZ,27,FALSE)*(1+IF(OR($AG83=$F$4,$AG83=$F$5),$B$22,0))</f>
        <v>0</v>
      </c>
      <c r="AJ83" s="30">
        <f>VLOOKUP($Q83,武学奇术!$A:$ZZ,28,FALSE)</f>
        <v>0.81</v>
      </c>
      <c r="AK83" s="31">
        <f>VLOOKUP($Q83,武学奇术!$A:$ZZ,29,FALSE)*(1+IF(OR($AG83=$F$4,$AG83=$F$5),$B$22,0))</f>
        <v>0</v>
      </c>
      <c r="AL83" s="30" cm="1">
        <f t="array" ref="AL83">$G$3+IFERROR(VLOOKUP($AG83,$F$4:$G$7,2,FALSE),0)+VLOOKUP($Q83,武学奇术!$A:$ZZ,2,FALSE)+SUM(_xlfn.XLOOKUP($R83:$AF83,增益!$A:$A,增益!$B:$B,0))</f>
        <v>0.8541</v>
      </c>
      <c r="AM83" s="30" cm="1">
        <f t="array" ref="AM83">VLOOKUP($Q83,武学奇术!$A:$ZZ,5,FALSE)+SUM(_xlfn.XLOOKUP($R83:$AF83,增益!$A:$A,增益!$E:$E,0))</f>
        <v>0</v>
      </c>
      <c r="AN83" cm="1">
        <f t="array" ref="AN83">$D$10*(1+$AM83)+VLOOKUP($Q83,武学奇术!$A:$ZZ,3,FALSE)+SUM(_xlfn.XLOOKUP($R83:$AF83,增益!$A:$A,增益!$C:$C,0))-$I$2</f>
        <v>3545.8</v>
      </c>
      <c r="AO83" cm="1">
        <f t="array" ref="AO83">$E$10*(1+$AM83)+VLOOKUP($Q83,武学奇术!$A:$ZZ,4,FALSE)+SUM(_xlfn.XLOOKUP($R83:$AF83,增益!$A:$A,增益!$D:$D,0))-$I$2</f>
        <v>3545.8</v>
      </c>
      <c r="AP83" s="35" cm="1">
        <f t="array" ref="AP83">IF($F$10-$I$3+VLOOKUP($Q83,武学奇术!$A:$ZZ,6,FALSE)+SUM(_xlfn.XLOOKUP(R83:AF83,增益!$A:$A,增益!$F:$F,0))&gt;0,($F$10-$I$3+VLOOKUP($Q83,武学奇术!$A:$ZZ,6,FALSE)+SUM(_xlfn.XLOOKUP(R83:AF83,增益!$A:$A,增益!$F:$F,0)))/200,($F$10-$I$3+VLOOKUP($Q83,武学奇术!$A:$ZZ,6,FALSE)+SUM(_xlfn.XLOOKUP(R83:AF83,增益!$A:$A,增益!$F:$F,0)))/100)</f>
        <v>0.3425</v>
      </c>
      <c r="AQ83" s="35" cm="1">
        <f t="array" ref="AQ83">$G$10+VLOOKUP($Q83,武学奇术!$A:$ZZ,7,FALSE)+SUM(_xlfn.XLOOKUP(R83:AF83,增益!$A:$A,增益!$G:$G,0))</f>
        <v>0.148</v>
      </c>
      <c r="AR83" s="30" cm="1">
        <f t="array" ref="AR83">VLOOKUP($Q83,武学奇术!$A:$ZZ,8,FALSE)+SUM(_xlfn.XLOOKUP(R83:AF83,增益!$A:$A,增益!$H:$H,0))</f>
        <v>0</v>
      </c>
      <c r="AS83">
        <f t="shared" si="34"/>
        <v>0</v>
      </c>
      <c r="AT83">
        <f t="shared" si="35"/>
        <v>0</v>
      </c>
      <c r="AU83" s="35" cm="1">
        <f t="array" ref="AU83">IF($F$11-$I$4+VLOOKUP($Q83,武学奇术!$A:$ZZ,9,FALSE)+SUM(_xlfn.XLOOKUP(R83:AF83,增益!$A:$A,增益!$I:$I,0))&gt;0,($F$11-$I$4+VLOOKUP($Q83,武学奇术!$A:$ZZ,9,FALSE)+SUM(_xlfn.XLOOKUP(R83:AF83,增益!$A:$A,增益!$I:$I,0)))/200,($F$11-$I$4+VLOOKUP($Q83,武学奇术!$A:$ZZ,9,FALSE)+SUM(_xlfn.XLOOKUP(R83:AF83,增益!$A:$A,增益!$I:$I,0)))/100)</f>
        <v>-0.14</v>
      </c>
      <c r="AV83" s="35" cm="1">
        <f t="array" ref="AV83">$G$11+VLOOKUP($Q83,武学奇术!$A:$ZZ,10,FALSE)+SUM(_xlfn.XLOOKUP(R83:AF83,增益!$A:$A,增益!$J:$J,0))</f>
        <v>0</v>
      </c>
      <c r="AW83">
        <f t="shared" si="36"/>
        <v>0</v>
      </c>
      <c r="AX83">
        <f t="shared" si="37"/>
        <v>0</v>
      </c>
      <c r="AY83" s="35" cm="1">
        <f t="array" ref="AY83">IF($F$12-$I$4+VLOOKUP($Q83,武学奇术!$A:$ZZ,11,FALSE)+SUM(_xlfn.XLOOKUP(R83:AF83,增益!$A:$A,增益!$K:$K,0))&gt;0,($F$12-$I$4+VLOOKUP($Q83,武学奇术!$A:$ZZ,11,FALSE)+SUM(_xlfn.XLOOKUP(R83:AF83,增益!$A:$A,增益!$K:$K,0)))/200,($F$12-$I$4+VLOOKUP($Q83,武学奇术!$A:$ZZ,11,FALSE)+SUM(_xlfn.XLOOKUP(R83:AF83,增益!$A:$A,增益!$K:$K,0)))/100)</f>
        <v>-0.14</v>
      </c>
      <c r="AZ83" s="35" cm="1">
        <f t="array" ref="AZ83">$G$12+VLOOKUP($Q83,武学奇术!$A:$ZZ,12,FALSE)+SUM(_xlfn.XLOOKUP(R83:AF83,增益!$A:$A,增益!$L:$L,0))</f>
        <v>0</v>
      </c>
      <c r="BA83">
        <f t="shared" si="38"/>
        <v>0</v>
      </c>
      <c r="BB83">
        <f t="shared" si="39"/>
        <v>0</v>
      </c>
      <c r="BC83" s="35" cm="1">
        <f t="array" ref="BC83">IF($F$13-$I$4+VLOOKUP($Q83,武学奇术!$A:$ZZ,13,FALSE)+SUM(_xlfn.XLOOKUP(R83:AF83,增益!$A:$A,增益!$M:$M,0))&gt;0,($F$13-$I$4+VLOOKUP($Q83,武学奇术!$A:$ZZ,13,FALSE)+SUM(_xlfn.XLOOKUP(R83:AF83,增益!$A:$A,增益!$K:$K,0)))/200,($F$13-$I$4+VLOOKUP($Q83,武学奇术!$A:$ZZ,13,FALSE)+SUM(_xlfn.XLOOKUP(R83:AF83,增益!$A:$A,增益!$M:$M,0)))/100)</f>
        <v>-0.14</v>
      </c>
      <c r="BD83" s="35" cm="1">
        <f t="array" ref="BD83">$G$13+VLOOKUP($Q83,武学奇术!$A:$ZZ,14,FALSE)+SUM(_xlfn.XLOOKUP(R83:AF83,增益!$A:$A,增益!$N:$N,0))</f>
        <v>0</v>
      </c>
      <c r="BE83">
        <f t="shared" si="40"/>
        <v>538</v>
      </c>
      <c r="BF83">
        <f t="shared" si="41"/>
        <v>1561.4</v>
      </c>
      <c r="BG83" s="35" cm="1">
        <f t="array" ref="BG83">IF($F$14-$I$4+VLOOKUP($Q83,武学奇术!$A:$ZZ,15,FALSE)+SUM(_xlfn.XLOOKUP(R83:AF83,增益!$A:$A,增益!$O:$O,0))&gt;0,($F$14-$I$4+VLOOKUP($Q83,武学奇术!$A:$ZZ,15,FALSE)+SUM(_xlfn.XLOOKUP(R83:AF83,增益!$A:$A,增益!$O:$O,0)))/200,($F$14-$I$4+VLOOKUP($Q83,武学奇术!$A:$ZZ,15,FALSE)+SUM(_xlfn.XLOOKUP(R83:AF83,增益!$A:$A,增益!$O:$O,0)))/100)</f>
        <v>0.08</v>
      </c>
      <c r="BH83" s="35" cm="1">
        <f t="array" ref="BH83">$G$14+VLOOKUP($Q83,武学奇术!$A:$ZZ,16,FALSE)+SUM(_xlfn.XLOOKUP(R83:AF83,增益!$A:$A,增益!$P:$P,0))</f>
        <v>0.27</v>
      </c>
      <c r="BI83" s="30">
        <f>MIN(IF(VLOOKUP($Q83,武学奇术!$A:$ZZ,23,FALSE)=1,100%,$B$8),100%)</f>
        <v>0.9712</v>
      </c>
      <c r="BJ83" s="30" cm="1">
        <f t="array" ref="BJ83">IF(VLOOKUP($Q83,武学奇术!$A:$ZZ,23,FALSE)=1,100%,MIN(80%,$B$9+VLOOKUP($Q83,武学奇术!$A:$ZZ,17,FALSE)+SUM(_xlfn.XLOOKUP(R83:AF83,增益!$A:$A,增益!$Q:$Q,0)))+$B$11+SUM(_xlfn.XLOOKUP(R83:AF83,增益!$A:$A,增益!$U:$U,0)))*IF(VLOOKUP($Q83,武学奇术!$A:$ZZ,24,FALSE)=1,0,1)</f>
        <v>0.8773</v>
      </c>
      <c r="BK83" s="30" cm="1">
        <f t="array" ref="BK83">1+$B$13+VLOOKUP($Q83,武学奇术!$A:$ZZ,18,FALSE)+SUM(_xlfn.XLOOKUP(R83:AF83,增益!$A:$A,增益!$R:$R,0))</f>
        <v>1.87</v>
      </c>
      <c r="BL83" s="30" cm="1">
        <f t="array" ref="BL83">IF(VLOOKUP($Q83,武学奇术!$A:$ZZ,24,FALSE)=1,100%,MIN(40%,$B$10+VLOOKUP($Q83,武学奇术!$A:$ZZ,19,FALSE)+SUM(_xlfn.XLOOKUP(R83:AF83,增益!$A:$A,增益!$S:$S,0)))+$B$12+SUM(_xlfn.XLOOKUP(R83:AF83,增益!$A:$A,增益!$V:$V,0)))*IF(VLOOKUP($Q83,武学奇术!$A:$ZZ,23,FALSE)=1,0,1)</f>
        <v>0.0895</v>
      </c>
      <c r="BM83" s="30" cm="1">
        <f t="array" ref="BM83">1+$B$14+VLOOKUP($Q83,武学奇术!$A:$ZZ,20,FALSE)+SUM(_xlfn.XLOOKUP(R83:AF83,增益!$A:$A,增益!$T:$T,0))</f>
        <v>1.35</v>
      </c>
      <c r="BN83" s="30">
        <f t="shared" si="22"/>
        <v>0.85203376</v>
      </c>
      <c r="BO83" s="30">
        <f t="shared" si="32"/>
        <v>0.03224384</v>
      </c>
      <c r="BP83" s="30">
        <f>IF(VLOOKUP($Q83,武学奇术!$A:$ZZ,22,FALSE)=1,0,(1-$BI83))*(1-$BL83)</f>
        <v>0.0262224</v>
      </c>
      <c r="BQ83" s="30" cm="1">
        <f t="array" ref="BQ83">SUM(_xlfn.XLOOKUP(R83:AF83,增益!$A:$A,增益!$W:$W,0))+$I$5</f>
        <v>0.11</v>
      </c>
    </row>
    <row r="84" spans="1:69">
      <c r="A84" s="4"/>
      <c r="B84" s="90"/>
      <c r="K84" s="41">
        <f t="shared" si="33"/>
        <v>39944.5728962555</v>
      </c>
      <c r="L84" s="41">
        <f>((($AN84+$AO84)/2*$AH84+$AI84)*(1+$AP84)*(1+$AQ84)+(($AS84+$AT84)/2*IF($G$1="鸣金",$AJ84,$AH84)+IF($G$1="鸣金",$AK84*1.5,0))*(1+$AU84)*(1+$AV84)+(($AW84+$AX84)/2*IF($G$1="裂石",$AJ84,$AH84)+IF($G$1="裂石",$AK84*1.5,0))*(1+$AY84)*(1+$AZ84)+(($BA84+$BB84)/2*IF($G$1="牵丝",$AJ84,$AH84)+IF($G$1="牵丝",$AK84*1.5,0))*(1+$BC84)*(1+$BD84)+(($BE84+$BF84)/2*IF($G$1="破竹",$AJ84,$AH84)+IF($G$1="破竹",$AK84*1.5,0))*(1+$BG84)*(1+$BH84))*(1+$AL84)*$BK84*$P84*(1+IF(VLOOKUP($Q84,武学奇术!$A:$ZZ,30,FALSE)="回旋伞",$B$21,0))*(1+$BQ84)</f>
        <v>41831.298175848</v>
      </c>
      <c r="M84" s="41">
        <f>(($AO84*$AH84+$AI84)*(1+$AP84)*(1+$AQ84)+($AT84*IF($G$1="鸣金",$AJ84,$AH84)+IF($G$1="鸣金",$AK84*1.5,0))*(1+$AU84)*(1+$AV84)+($AX84*IF($G$1="裂石",$AJ84,$AH84)+IF($G$1="裂石",$AK84*1.5,0))*(1+$AY84)*(1+$AZ84)+($BB84*IF($G$1="牵丝",$AJ84,$AH84)+IF($G$1="牵丝",$AK84*1.5,0))*(1+$BC84)*(1+$BD84)+($BF84*IF($G$1="破竹",$AJ84,$AH84)+IF($G$1="破竹",$AK84*1.5,0))*(1+$BG84)*(1+$BH84))*(1+$AL84)*$BM84*$P84*(1+IF(VLOOKUP($Q84,武学奇术!$A:$ZZ,30,FALSE)="回旋伞",$B$21,0))*(1+$BQ84)</f>
        <v>34368.9280844302</v>
      </c>
      <c r="N84" s="41">
        <f>((($AN84+$AO84)/2*$AH84+$AI84)*(1+$AP84)*(1+$AQ84)+(($AS84+$AT84)/2*IF($G$1="鸣金",$AJ84,$AH84)+IF($G$1="鸣金",$AK84*1.5,0))*(1+$AU84)*(1+$AV84)+(($AW84+$AX84)/2*IF($G$1="裂石",$AJ84,$AH84)+IF($G$1="裂石",$AK84*1.5,0))*(1+$AY84)*(1+$AZ84)+(($BA84+$BB84)/2*IF($G$1="牵丝",$AJ84,$AH84)+IF($G$1="牵丝",$AK84*1.5,0))*(1+$BC84)*(1+$BD84)+(($BE84+$BF84)/2*IF($G$1="破竹",$AJ84,$AH84)+IF($G$1="破竹",$AK84*1.5,0))*(1+$BG84)*(1+$BH84))*(1+$AL84)*$P84*(1+IF(VLOOKUP($Q84,武学奇术!$A:$ZZ,30,FALSE)="回旋伞",$B$21,0))*(1+$BQ84)</f>
        <v>22369.6781689027</v>
      </c>
      <c r="O84" s="41">
        <f>((($AN84*$AH84+$AI84)*(1+$AP84)*(1+$AQ84)+($AS84*IF($G$1="鸣金",$AJ84,$AH84)+IF($G$1="鸣金",$AK84*1.5,0))*(1+$AU84)*(1+$AV84)+($AW84*IF($G$1="裂石",$AJ84,$AH84)+IF($G$1="裂石",$AK84*1.5,0))*(1+$AY84)*(1+$AZ84)+($BA84*IF($G$1="牵丝",$AJ84,$AH84)+IF($G$1="牵丝",$AK84*1.5,0))*(1+$BC84)*(1+$BD84)+($BE84*IF($G$1="破竹",$AJ84,$AH84)+IF($G$1="破竹",$AK84*1.5,0))*(1+$BG84)*(1+$BH84))*(1+$AL84))*$P84*(1+IF(VLOOKUP($Q84,武学奇术!$A:$ZZ,30,FALSE)="回旋伞",$B$21,0))*(1+$BQ84)</f>
        <v>19280.8910900793</v>
      </c>
      <c r="P84" s="42">
        <v>2</v>
      </c>
      <c r="Q84" s="43" t="s">
        <v>120</v>
      </c>
      <c r="R84" s="43" t="s">
        <v>105</v>
      </c>
      <c r="S84" s="43" t="s">
        <v>91</v>
      </c>
      <c r="T84" s="43" t="s">
        <v>72</v>
      </c>
      <c r="U84" s="43" t="s">
        <v>71</v>
      </c>
      <c r="V84" s="43" t="s">
        <v>167</v>
      </c>
      <c r="W84" s="43" t="s">
        <v>95</v>
      </c>
      <c r="X84" s="43" t="s">
        <v>82</v>
      </c>
      <c r="Y84" s="43" t="s">
        <v>71</v>
      </c>
      <c r="Z84" s="43" t="s">
        <v>71</v>
      </c>
      <c r="AA84" s="43" t="s">
        <v>109</v>
      </c>
      <c r="AB84" s="43" t="s">
        <v>71</v>
      </c>
      <c r="AC84" s="43" t="s">
        <v>71</v>
      </c>
      <c r="AD84" s="43" t="s">
        <v>71</v>
      </c>
      <c r="AE84" s="43" t="s">
        <v>71</v>
      </c>
      <c r="AF84" s="43" t="s">
        <v>76</v>
      </c>
      <c r="AG84" t="str">
        <f>VLOOKUP($Q84,武学奇术!$A:$ZZ,25,FALSE)</f>
        <v>伞</v>
      </c>
      <c r="AH84" s="30">
        <f>VLOOKUP($Q84,武学奇术!$A:$ZZ,26,FALSE)</f>
        <v>0.54</v>
      </c>
      <c r="AI84" s="31">
        <f>VLOOKUP($Q84,武学奇术!$A:$ZZ,27,FALSE)*(1+IF(OR($AG84=$F$4,$AG84=$F$5),$B$22,0))</f>
        <v>0</v>
      </c>
      <c r="AJ84" s="30">
        <f>VLOOKUP($Q84,武学奇术!$A:$ZZ,28,FALSE)</f>
        <v>0.81</v>
      </c>
      <c r="AK84" s="31">
        <f>VLOOKUP($Q84,武学奇术!$A:$ZZ,29,FALSE)*(1+IF(OR($AG84=$F$4,$AG84=$F$5),$B$22,0))</f>
        <v>0</v>
      </c>
      <c r="AL84" s="30" cm="1">
        <f t="array" ref="AL84">$G$3+IFERROR(VLOOKUP($AG84,$F$4:$G$7,2,FALSE),0)+VLOOKUP($Q84,武学奇术!$A:$ZZ,2,FALSE)+SUM(_xlfn.XLOOKUP($R84:$AF84,增益!$A:$A,增益!$B:$B,0))</f>
        <v>0.8541</v>
      </c>
      <c r="AM84" s="30" cm="1">
        <f t="array" ref="AM84">VLOOKUP($Q84,武学奇术!$A:$ZZ,5,FALSE)+SUM(_xlfn.XLOOKUP($R84:$AF84,增益!$A:$A,增益!$E:$E,0))</f>
        <v>0</v>
      </c>
      <c r="AN84" cm="1">
        <f t="array" ref="AN84">$D$10*(1+$AM84)+VLOOKUP($Q84,武学奇术!$A:$ZZ,3,FALSE)+SUM(_xlfn.XLOOKUP($R84:$AF84,增益!$A:$A,增益!$C:$C,0))-$I$2</f>
        <v>3545.8</v>
      </c>
      <c r="AO84" cm="1">
        <f t="array" ref="AO84">$E$10*(1+$AM84)+VLOOKUP($Q84,武学奇术!$A:$ZZ,4,FALSE)+SUM(_xlfn.XLOOKUP($R84:$AF84,增益!$A:$A,增益!$D:$D,0))-$I$2</f>
        <v>3545.8</v>
      </c>
      <c r="AP84" s="35" cm="1">
        <f t="array" ref="AP84">IF($F$10-$I$3+VLOOKUP($Q84,武学奇术!$A:$ZZ,6,FALSE)+SUM(_xlfn.XLOOKUP(R84:AF84,增益!$A:$A,增益!$F:$F,0))&gt;0,($F$10-$I$3+VLOOKUP($Q84,武学奇术!$A:$ZZ,6,FALSE)+SUM(_xlfn.XLOOKUP(R84:AF84,增益!$A:$A,增益!$F:$F,0)))/200,($F$10-$I$3+VLOOKUP($Q84,武学奇术!$A:$ZZ,6,FALSE)+SUM(_xlfn.XLOOKUP(R84:AF84,增益!$A:$A,增益!$F:$F,0)))/100)</f>
        <v>0.3425</v>
      </c>
      <c r="AQ84" s="35" cm="1">
        <f t="array" ref="AQ84">$G$10+VLOOKUP($Q84,武学奇术!$A:$ZZ,7,FALSE)+SUM(_xlfn.XLOOKUP(R84:AF84,增益!$A:$A,增益!$G:$G,0))</f>
        <v>0.148</v>
      </c>
      <c r="AR84" s="30" cm="1">
        <f t="array" ref="AR84">VLOOKUP($Q84,武学奇术!$A:$ZZ,8,FALSE)+SUM(_xlfn.XLOOKUP(R84:AF84,增益!$A:$A,增益!$H:$H,0))</f>
        <v>0</v>
      </c>
      <c r="AS84">
        <f t="shared" si="34"/>
        <v>0</v>
      </c>
      <c r="AT84">
        <f t="shared" si="35"/>
        <v>0</v>
      </c>
      <c r="AU84" s="35" cm="1">
        <f t="array" ref="AU84">IF($F$11-$I$4+VLOOKUP($Q84,武学奇术!$A:$ZZ,9,FALSE)+SUM(_xlfn.XLOOKUP(R84:AF84,增益!$A:$A,增益!$I:$I,0))&gt;0,($F$11-$I$4+VLOOKUP($Q84,武学奇术!$A:$ZZ,9,FALSE)+SUM(_xlfn.XLOOKUP(R84:AF84,增益!$A:$A,增益!$I:$I,0)))/200,($F$11-$I$4+VLOOKUP($Q84,武学奇术!$A:$ZZ,9,FALSE)+SUM(_xlfn.XLOOKUP(R84:AF84,增益!$A:$A,增益!$I:$I,0)))/100)</f>
        <v>-0.14</v>
      </c>
      <c r="AV84" s="35" cm="1">
        <f t="array" ref="AV84">$G$11+VLOOKUP($Q84,武学奇术!$A:$ZZ,10,FALSE)+SUM(_xlfn.XLOOKUP(R84:AF84,增益!$A:$A,增益!$J:$J,0))</f>
        <v>0</v>
      </c>
      <c r="AW84">
        <f t="shared" si="36"/>
        <v>0</v>
      </c>
      <c r="AX84">
        <f t="shared" si="37"/>
        <v>0</v>
      </c>
      <c r="AY84" s="35" cm="1">
        <f t="array" ref="AY84">IF($F$12-$I$4+VLOOKUP($Q84,武学奇术!$A:$ZZ,11,FALSE)+SUM(_xlfn.XLOOKUP(R84:AF84,增益!$A:$A,增益!$K:$K,0))&gt;0,($F$12-$I$4+VLOOKUP($Q84,武学奇术!$A:$ZZ,11,FALSE)+SUM(_xlfn.XLOOKUP(R84:AF84,增益!$A:$A,增益!$K:$K,0)))/200,($F$12-$I$4+VLOOKUP($Q84,武学奇术!$A:$ZZ,11,FALSE)+SUM(_xlfn.XLOOKUP(R84:AF84,增益!$A:$A,增益!$K:$K,0)))/100)</f>
        <v>-0.14</v>
      </c>
      <c r="AZ84" s="35" cm="1">
        <f t="array" ref="AZ84">$G$12+VLOOKUP($Q84,武学奇术!$A:$ZZ,12,FALSE)+SUM(_xlfn.XLOOKUP(R84:AF84,增益!$A:$A,增益!$L:$L,0))</f>
        <v>0</v>
      </c>
      <c r="BA84">
        <f t="shared" si="38"/>
        <v>0</v>
      </c>
      <c r="BB84">
        <f t="shared" si="39"/>
        <v>0</v>
      </c>
      <c r="BC84" s="35" cm="1">
        <f t="array" ref="BC84">IF($F$13-$I$4+VLOOKUP($Q84,武学奇术!$A:$ZZ,13,FALSE)+SUM(_xlfn.XLOOKUP(R84:AF84,增益!$A:$A,增益!$M:$M,0))&gt;0,($F$13-$I$4+VLOOKUP($Q84,武学奇术!$A:$ZZ,13,FALSE)+SUM(_xlfn.XLOOKUP(R84:AF84,增益!$A:$A,增益!$K:$K,0)))/200,($F$13-$I$4+VLOOKUP($Q84,武学奇术!$A:$ZZ,13,FALSE)+SUM(_xlfn.XLOOKUP(R84:AF84,增益!$A:$A,增益!$M:$M,0)))/100)</f>
        <v>-0.14</v>
      </c>
      <c r="BD84" s="35" cm="1">
        <f t="array" ref="BD84">$G$13+VLOOKUP($Q84,武学奇术!$A:$ZZ,14,FALSE)+SUM(_xlfn.XLOOKUP(R84:AF84,增益!$A:$A,增益!$N:$N,0))</f>
        <v>0</v>
      </c>
      <c r="BE84">
        <f t="shared" si="40"/>
        <v>538</v>
      </c>
      <c r="BF84">
        <f t="shared" si="41"/>
        <v>1561.4</v>
      </c>
      <c r="BG84" s="35" cm="1">
        <f t="array" ref="BG84">IF($F$14-$I$4+VLOOKUP($Q84,武学奇术!$A:$ZZ,15,FALSE)+SUM(_xlfn.XLOOKUP(R84:AF84,增益!$A:$A,增益!$O:$O,0))&gt;0,($F$14-$I$4+VLOOKUP($Q84,武学奇术!$A:$ZZ,15,FALSE)+SUM(_xlfn.XLOOKUP(R84:AF84,增益!$A:$A,增益!$O:$O,0)))/200,($F$14-$I$4+VLOOKUP($Q84,武学奇术!$A:$ZZ,15,FALSE)+SUM(_xlfn.XLOOKUP(R84:AF84,增益!$A:$A,增益!$O:$O,0)))/100)</f>
        <v>0.08</v>
      </c>
      <c r="BH84" s="35" cm="1">
        <f t="array" ref="BH84">$G$14+VLOOKUP($Q84,武学奇术!$A:$ZZ,16,FALSE)+SUM(_xlfn.XLOOKUP(R84:AF84,增益!$A:$A,增益!$P:$P,0))</f>
        <v>0.27</v>
      </c>
      <c r="BI84" s="30">
        <f>MIN(IF(VLOOKUP($Q84,武学奇术!$A:$ZZ,23,FALSE)=1,100%,$B$8),100%)</f>
        <v>0.9712</v>
      </c>
      <c r="BJ84" s="30" cm="1">
        <f t="array" ref="BJ84">IF(VLOOKUP($Q84,武学奇术!$A:$ZZ,23,FALSE)=1,100%,MIN(80%,$B$9+VLOOKUP($Q84,武学奇术!$A:$ZZ,17,FALSE)+SUM(_xlfn.XLOOKUP(R84:AF84,增益!$A:$A,增益!$Q:$Q,0)))+$B$11+SUM(_xlfn.XLOOKUP(R84:AF84,增益!$A:$A,增益!$U:$U,0)))*IF(VLOOKUP($Q84,武学奇术!$A:$ZZ,24,FALSE)=1,0,1)</f>
        <v>0.8773</v>
      </c>
      <c r="BK84" s="30" cm="1">
        <f t="array" ref="BK84">1+$B$13+VLOOKUP($Q84,武学奇术!$A:$ZZ,18,FALSE)+SUM(_xlfn.XLOOKUP(R84:AF84,增益!$A:$A,增益!$R:$R,0))</f>
        <v>1.87</v>
      </c>
      <c r="BL84" s="30" cm="1">
        <f t="array" ref="BL84">IF(VLOOKUP($Q84,武学奇术!$A:$ZZ,24,FALSE)=1,100%,MIN(40%,$B$10+VLOOKUP($Q84,武学奇术!$A:$ZZ,19,FALSE)+SUM(_xlfn.XLOOKUP(R84:AF84,增益!$A:$A,增益!$S:$S,0)))+$B$12+SUM(_xlfn.XLOOKUP(R84:AF84,增益!$A:$A,增益!$V:$V,0)))*IF(VLOOKUP($Q84,武学奇术!$A:$ZZ,23,FALSE)=1,0,1)</f>
        <v>0.0895</v>
      </c>
      <c r="BM84" s="30" cm="1">
        <f t="array" ref="BM84">1+$B$14+VLOOKUP($Q84,武学奇术!$A:$ZZ,20,FALSE)+SUM(_xlfn.XLOOKUP(R84:AF84,增益!$A:$A,增益!$T:$T,0))</f>
        <v>1.35</v>
      </c>
      <c r="BN84" s="30">
        <f t="shared" si="22"/>
        <v>0.85203376</v>
      </c>
      <c r="BO84" s="30">
        <f t="shared" si="32"/>
        <v>0.03224384</v>
      </c>
      <c r="BP84" s="30">
        <f>IF(VLOOKUP($Q84,武学奇术!$A:$ZZ,22,FALSE)=1,0,(1-$BI84))*(1-$BL84)</f>
        <v>0.0262224</v>
      </c>
      <c r="BQ84" s="30" cm="1">
        <f t="array" ref="BQ84">SUM(_xlfn.XLOOKUP(R84:AF84,增益!$A:$A,增益!$W:$W,0))+$I$5</f>
        <v>0.11</v>
      </c>
    </row>
    <row r="85" spans="1:69">
      <c r="A85" s="4"/>
      <c r="B85" s="4"/>
      <c r="K85" s="41">
        <f t="shared" si="33"/>
        <v>39944.5728962555</v>
      </c>
      <c r="L85" s="41">
        <f>((($AN85+$AO85)/2*$AH85+$AI85)*(1+$AP85)*(1+$AQ85)+(($AS85+$AT85)/2*IF($G$1="鸣金",$AJ85,$AH85)+IF($G$1="鸣金",$AK85*1.5,0))*(1+$AU85)*(1+$AV85)+(($AW85+$AX85)/2*IF($G$1="裂石",$AJ85,$AH85)+IF($G$1="裂石",$AK85*1.5,0))*(1+$AY85)*(1+$AZ85)+(($BA85+$BB85)/2*IF($G$1="牵丝",$AJ85,$AH85)+IF($G$1="牵丝",$AK85*1.5,0))*(1+$BC85)*(1+$BD85)+(($BE85+$BF85)/2*IF($G$1="破竹",$AJ85,$AH85)+IF($G$1="破竹",$AK85*1.5,0))*(1+$BG85)*(1+$BH85))*(1+$AL85)*$BK85*$P85*(1+IF(VLOOKUP($Q85,武学奇术!$A:$ZZ,30,FALSE)="回旋伞",$B$21,0))*(1+$BQ85)</f>
        <v>41831.298175848</v>
      </c>
      <c r="M85" s="41">
        <f>(($AO85*$AH85+$AI85)*(1+$AP85)*(1+$AQ85)+($AT85*IF($G$1="鸣金",$AJ85,$AH85)+IF($G$1="鸣金",$AK85*1.5,0))*(1+$AU85)*(1+$AV85)+($AX85*IF($G$1="裂石",$AJ85,$AH85)+IF($G$1="裂石",$AK85*1.5,0))*(1+$AY85)*(1+$AZ85)+($BB85*IF($G$1="牵丝",$AJ85,$AH85)+IF($G$1="牵丝",$AK85*1.5,0))*(1+$BC85)*(1+$BD85)+($BF85*IF($G$1="破竹",$AJ85,$AH85)+IF($G$1="破竹",$AK85*1.5,0))*(1+$BG85)*(1+$BH85))*(1+$AL85)*$BM85*$P85*(1+IF(VLOOKUP($Q85,武学奇术!$A:$ZZ,30,FALSE)="回旋伞",$B$21,0))*(1+$BQ85)</f>
        <v>34368.9280844302</v>
      </c>
      <c r="N85" s="41">
        <f>((($AN85+$AO85)/2*$AH85+$AI85)*(1+$AP85)*(1+$AQ85)+(($AS85+$AT85)/2*IF($G$1="鸣金",$AJ85,$AH85)+IF($G$1="鸣金",$AK85*1.5,0))*(1+$AU85)*(1+$AV85)+(($AW85+$AX85)/2*IF($G$1="裂石",$AJ85,$AH85)+IF($G$1="裂石",$AK85*1.5,0))*(1+$AY85)*(1+$AZ85)+(($BA85+$BB85)/2*IF($G$1="牵丝",$AJ85,$AH85)+IF($G$1="牵丝",$AK85*1.5,0))*(1+$BC85)*(1+$BD85)+(($BE85+$BF85)/2*IF($G$1="破竹",$AJ85,$AH85)+IF($G$1="破竹",$AK85*1.5,0))*(1+$BG85)*(1+$BH85))*(1+$AL85)*$P85*(1+IF(VLOOKUP($Q85,武学奇术!$A:$ZZ,30,FALSE)="回旋伞",$B$21,0))*(1+$BQ85)</f>
        <v>22369.6781689027</v>
      </c>
      <c r="O85" s="41">
        <f>((($AN85*$AH85+$AI85)*(1+$AP85)*(1+$AQ85)+($AS85*IF($G$1="鸣金",$AJ85,$AH85)+IF($G$1="鸣金",$AK85*1.5,0))*(1+$AU85)*(1+$AV85)+($AW85*IF($G$1="裂石",$AJ85,$AH85)+IF($G$1="裂石",$AK85*1.5,0))*(1+$AY85)*(1+$AZ85)+($BA85*IF($G$1="牵丝",$AJ85,$AH85)+IF($G$1="牵丝",$AK85*1.5,0))*(1+$BC85)*(1+$BD85)+($BE85*IF($G$1="破竹",$AJ85,$AH85)+IF($G$1="破竹",$AK85*1.5,0))*(1+$BG85)*(1+$BH85))*(1+$AL85))*$P85*(1+IF(VLOOKUP($Q85,武学奇术!$A:$ZZ,30,FALSE)="回旋伞",$B$21,0))*(1+$BQ85)</f>
        <v>19280.8910900793</v>
      </c>
      <c r="P85" s="42">
        <v>2</v>
      </c>
      <c r="Q85" s="43" t="s">
        <v>120</v>
      </c>
      <c r="R85" s="43" t="s">
        <v>105</v>
      </c>
      <c r="S85" s="43" t="s">
        <v>91</v>
      </c>
      <c r="T85" s="43" t="s">
        <v>72</v>
      </c>
      <c r="U85" s="43" t="s">
        <v>71</v>
      </c>
      <c r="V85" s="43" t="s">
        <v>167</v>
      </c>
      <c r="W85" s="43" t="s">
        <v>95</v>
      </c>
      <c r="X85" s="43" t="s">
        <v>82</v>
      </c>
      <c r="Y85" s="43" t="s">
        <v>71</v>
      </c>
      <c r="Z85" s="43" t="s">
        <v>71</v>
      </c>
      <c r="AA85" s="43" t="s">
        <v>112</v>
      </c>
      <c r="AB85" s="43" t="s">
        <v>71</v>
      </c>
      <c r="AC85" s="43" t="s">
        <v>71</v>
      </c>
      <c r="AD85" s="43" t="s">
        <v>71</v>
      </c>
      <c r="AE85" s="43" t="s">
        <v>71</v>
      </c>
      <c r="AF85" s="43" t="s">
        <v>76</v>
      </c>
      <c r="AG85" t="str">
        <f>VLOOKUP($Q85,武学奇术!$A:$ZZ,25,FALSE)</f>
        <v>伞</v>
      </c>
      <c r="AH85" s="30">
        <f>VLOOKUP($Q85,武学奇术!$A:$ZZ,26,FALSE)</f>
        <v>0.54</v>
      </c>
      <c r="AI85" s="31">
        <f>VLOOKUP($Q85,武学奇术!$A:$ZZ,27,FALSE)*(1+IF(OR($AG85=$F$4,$AG85=$F$5),$B$22,0))</f>
        <v>0</v>
      </c>
      <c r="AJ85" s="30">
        <f>VLOOKUP($Q85,武学奇术!$A:$ZZ,28,FALSE)</f>
        <v>0.81</v>
      </c>
      <c r="AK85" s="31">
        <f>VLOOKUP($Q85,武学奇术!$A:$ZZ,29,FALSE)*(1+IF(OR($AG85=$F$4,$AG85=$F$5),$B$22,0))</f>
        <v>0</v>
      </c>
      <c r="AL85" s="30" cm="1">
        <f t="array" ref="AL85">$G$3+IFERROR(VLOOKUP($AG85,$F$4:$G$7,2,FALSE),0)+VLOOKUP($Q85,武学奇术!$A:$ZZ,2,FALSE)+SUM(_xlfn.XLOOKUP($R85:$AF85,增益!$A:$A,增益!$B:$B,0))</f>
        <v>0.8541</v>
      </c>
      <c r="AM85" s="30" cm="1">
        <f t="array" ref="AM85">VLOOKUP($Q85,武学奇术!$A:$ZZ,5,FALSE)+SUM(_xlfn.XLOOKUP($R85:$AF85,增益!$A:$A,增益!$E:$E,0))</f>
        <v>0</v>
      </c>
      <c r="AN85" cm="1">
        <f t="array" ref="AN85">$D$10*(1+$AM85)+VLOOKUP($Q85,武学奇术!$A:$ZZ,3,FALSE)+SUM(_xlfn.XLOOKUP($R85:$AF85,增益!$A:$A,增益!$C:$C,0))-$I$2</f>
        <v>3545.8</v>
      </c>
      <c r="AO85" cm="1">
        <f t="array" ref="AO85">$E$10*(1+$AM85)+VLOOKUP($Q85,武学奇术!$A:$ZZ,4,FALSE)+SUM(_xlfn.XLOOKUP($R85:$AF85,增益!$A:$A,增益!$D:$D,0))-$I$2</f>
        <v>3545.8</v>
      </c>
      <c r="AP85" s="35" cm="1">
        <f t="array" ref="AP85">IF($F$10-$I$3+VLOOKUP($Q85,武学奇术!$A:$ZZ,6,FALSE)+SUM(_xlfn.XLOOKUP(R85:AF85,增益!$A:$A,增益!$F:$F,0))&gt;0,($F$10-$I$3+VLOOKUP($Q85,武学奇术!$A:$ZZ,6,FALSE)+SUM(_xlfn.XLOOKUP(R85:AF85,增益!$A:$A,增益!$F:$F,0)))/200,($F$10-$I$3+VLOOKUP($Q85,武学奇术!$A:$ZZ,6,FALSE)+SUM(_xlfn.XLOOKUP(R85:AF85,增益!$A:$A,增益!$F:$F,0)))/100)</f>
        <v>0.3425</v>
      </c>
      <c r="AQ85" s="35" cm="1">
        <f t="array" ref="AQ85">$G$10+VLOOKUP($Q85,武学奇术!$A:$ZZ,7,FALSE)+SUM(_xlfn.XLOOKUP(R85:AF85,增益!$A:$A,增益!$G:$G,0))</f>
        <v>0.148</v>
      </c>
      <c r="AR85" s="30" cm="1">
        <f t="array" ref="AR85">VLOOKUP($Q85,武学奇术!$A:$ZZ,8,FALSE)+SUM(_xlfn.XLOOKUP(R85:AF85,增益!$A:$A,增益!$H:$H,0))</f>
        <v>0</v>
      </c>
      <c r="AS85">
        <f t="shared" si="34"/>
        <v>0</v>
      </c>
      <c r="AT85">
        <f t="shared" si="35"/>
        <v>0</v>
      </c>
      <c r="AU85" s="35" cm="1">
        <f t="array" ref="AU85">IF($F$11-$I$4+VLOOKUP($Q85,武学奇术!$A:$ZZ,9,FALSE)+SUM(_xlfn.XLOOKUP(R85:AF85,增益!$A:$A,增益!$I:$I,0))&gt;0,($F$11-$I$4+VLOOKUP($Q85,武学奇术!$A:$ZZ,9,FALSE)+SUM(_xlfn.XLOOKUP(R85:AF85,增益!$A:$A,增益!$I:$I,0)))/200,($F$11-$I$4+VLOOKUP($Q85,武学奇术!$A:$ZZ,9,FALSE)+SUM(_xlfn.XLOOKUP(R85:AF85,增益!$A:$A,增益!$I:$I,0)))/100)</f>
        <v>-0.14</v>
      </c>
      <c r="AV85" s="35" cm="1">
        <f t="array" ref="AV85">$G$11+VLOOKUP($Q85,武学奇术!$A:$ZZ,10,FALSE)+SUM(_xlfn.XLOOKUP(R85:AF85,增益!$A:$A,增益!$J:$J,0))</f>
        <v>0</v>
      </c>
      <c r="AW85">
        <f t="shared" si="36"/>
        <v>0</v>
      </c>
      <c r="AX85">
        <f t="shared" si="37"/>
        <v>0</v>
      </c>
      <c r="AY85" s="35" cm="1">
        <f t="array" ref="AY85">IF($F$12-$I$4+VLOOKUP($Q85,武学奇术!$A:$ZZ,11,FALSE)+SUM(_xlfn.XLOOKUP(R85:AF85,增益!$A:$A,增益!$K:$K,0))&gt;0,($F$12-$I$4+VLOOKUP($Q85,武学奇术!$A:$ZZ,11,FALSE)+SUM(_xlfn.XLOOKUP(R85:AF85,增益!$A:$A,增益!$K:$K,0)))/200,($F$12-$I$4+VLOOKUP($Q85,武学奇术!$A:$ZZ,11,FALSE)+SUM(_xlfn.XLOOKUP(R85:AF85,增益!$A:$A,增益!$K:$K,0)))/100)</f>
        <v>-0.14</v>
      </c>
      <c r="AZ85" s="35" cm="1">
        <f t="array" ref="AZ85">$G$12+VLOOKUP($Q85,武学奇术!$A:$ZZ,12,FALSE)+SUM(_xlfn.XLOOKUP(R85:AF85,增益!$A:$A,增益!$L:$L,0))</f>
        <v>0</v>
      </c>
      <c r="BA85">
        <f t="shared" si="38"/>
        <v>0</v>
      </c>
      <c r="BB85">
        <f t="shared" si="39"/>
        <v>0</v>
      </c>
      <c r="BC85" s="35" cm="1">
        <f t="array" ref="BC85">IF($F$13-$I$4+VLOOKUP($Q85,武学奇术!$A:$ZZ,13,FALSE)+SUM(_xlfn.XLOOKUP(R85:AF85,增益!$A:$A,增益!$M:$M,0))&gt;0,($F$13-$I$4+VLOOKUP($Q85,武学奇术!$A:$ZZ,13,FALSE)+SUM(_xlfn.XLOOKUP(R85:AF85,增益!$A:$A,增益!$K:$K,0)))/200,($F$13-$I$4+VLOOKUP($Q85,武学奇术!$A:$ZZ,13,FALSE)+SUM(_xlfn.XLOOKUP(R85:AF85,增益!$A:$A,增益!$M:$M,0)))/100)</f>
        <v>-0.14</v>
      </c>
      <c r="BD85" s="35" cm="1">
        <f t="array" ref="BD85">$G$13+VLOOKUP($Q85,武学奇术!$A:$ZZ,14,FALSE)+SUM(_xlfn.XLOOKUP(R85:AF85,增益!$A:$A,增益!$N:$N,0))</f>
        <v>0</v>
      </c>
      <c r="BE85">
        <f t="shared" si="40"/>
        <v>538</v>
      </c>
      <c r="BF85">
        <f t="shared" si="41"/>
        <v>1561.4</v>
      </c>
      <c r="BG85" s="35" cm="1">
        <f t="array" ref="BG85">IF($F$14-$I$4+VLOOKUP($Q85,武学奇术!$A:$ZZ,15,FALSE)+SUM(_xlfn.XLOOKUP(R85:AF85,增益!$A:$A,增益!$O:$O,0))&gt;0,($F$14-$I$4+VLOOKUP($Q85,武学奇术!$A:$ZZ,15,FALSE)+SUM(_xlfn.XLOOKUP(R85:AF85,增益!$A:$A,增益!$O:$O,0)))/200,($F$14-$I$4+VLOOKUP($Q85,武学奇术!$A:$ZZ,15,FALSE)+SUM(_xlfn.XLOOKUP(R85:AF85,增益!$A:$A,增益!$O:$O,0)))/100)</f>
        <v>0.08</v>
      </c>
      <c r="BH85" s="35" cm="1">
        <f t="array" ref="BH85">$G$14+VLOOKUP($Q85,武学奇术!$A:$ZZ,16,FALSE)+SUM(_xlfn.XLOOKUP(R85:AF85,增益!$A:$A,增益!$P:$P,0))</f>
        <v>0.27</v>
      </c>
      <c r="BI85" s="30">
        <f>MIN(IF(VLOOKUP($Q85,武学奇术!$A:$ZZ,23,FALSE)=1,100%,$B$8),100%)</f>
        <v>0.9712</v>
      </c>
      <c r="BJ85" s="30" cm="1">
        <f t="array" ref="BJ85">IF(VLOOKUP($Q85,武学奇术!$A:$ZZ,23,FALSE)=1,100%,MIN(80%,$B$9+VLOOKUP($Q85,武学奇术!$A:$ZZ,17,FALSE)+SUM(_xlfn.XLOOKUP(R85:AF85,增益!$A:$A,增益!$Q:$Q,0)))+$B$11+SUM(_xlfn.XLOOKUP(R85:AF85,增益!$A:$A,增益!$U:$U,0)))*IF(VLOOKUP($Q85,武学奇术!$A:$ZZ,24,FALSE)=1,0,1)</f>
        <v>0.8773</v>
      </c>
      <c r="BK85" s="30" cm="1">
        <f t="array" ref="BK85">1+$B$13+VLOOKUP($Q85,武学奇术!$A:$ZZ,18,FALSE)+SUM(_xlfn.XLOOKUP(R85:AF85,增益!$A:$A,增益!$R:$R,0))</f>
        <v>1.87</v>
      </c>
      <c r="BL85" s="30" cm="1">
        <f t="array" ref="BL85">IF(VLOOKUP($Q85,武学奇术!$A:$ZZ,24,FALSE)=1,100%,MIN(40%,$B$10+VLOOKUP($Q85,武学奇术!$A:$ZZ,19,FALSE)+SUM(_xlfn.XLOOKUP(R85:AF85,增益!$A:$A,增益!$S:$S,0)))+$B$12+SUM(_xlfn.XLOOKUP(R85:AF85,增益!$A:$A,增益!$V:$V,0)))*IF(VLOOKUP($Q85,武学奇术!$A:$ZZ,23,FALSE)=1,0,1)</f>
        <v>0.0895</v>
      </c>
      <c r="BM85" s="30" cm="1">
        <f t="array" ref="BM85">1+$B$14+VLOOKUP($Q85,武学奇术!$A:$ZZ,20,FALSE)+SUM(_xlfn.XLOOKUP(R85:AF85,增益!$A:$A,增益!$T:$T,0))</f>
        <v>1.35</v>
      </c>
      <c r="BN85" s="30">
        <f t="shared" si="22"/>
        <v>0.85203376</v>
      </c>
      <c r="BO85" s="30">
        <f t="shared" si="32"/>
        <v>0.03224384</v>
      </c>
      <c r="BP85" s="30">
        <f>IF(VLOOKUP($Q85,武学奇术!$A:$ZZ,22,FALSE)=1,0,(1-$BI85))*(1-$BL85)</f>
        <v>0.0262224</v>
      </c>
      <c r="BQ85" s="30" cm="1">
        <f t="array" ref="BQ85">SUM(_xlfn.XLOOKUP(R85:AF85,增益!$A:$A,增益!$W:$W,0))+$I$5</f>
        <v>0.11</v>
      </c>
    </row>
    <row r="86" spans="1:69">
      <c r="A86" s="4"/>
      <c r="B86" s="90"/>
      <c r="K86" s="41">
        <f t="shared" si="33"/>
        <v>46343.6004438862</v>
      </c>
      <c r="L86" s="41">
        <f>((($AN86+$AO86)/2*$AH86+$AI86)*(1+$AP86)*(1+$AQ86)+(($AS86+$AT86)/2*IF($G$1="鸣金",$AJ86,$AH86)+IF($G$1="鸣金",$AK86*1.5,0))*(1+$AU86)*(1+$AV86)+(($AW86+$AX86)/2*IF($G$1="裂石",$AJ86,$AH86)+IF($G$1="裂石",$AK86*1.5,0))*(1+$AY86)*(1+$AZ86)+(($BA86+$BB86)/2*IF($G$1="牵丝",$AJ86,$AH86)+IF($G$1="牵丝",$AK86*1.5,0))*(1+$BC86)*(1+$BD86)+(($BE86+$BF86)/2*IF($G$1="破竹",$AJ86,$AH86)+IF($G$1="破竹",$AK86*1.5,0))*(1+$BG86)*(1+$BH86))*(1+$AL86)*$BK86*$P86*(1+IF(VLOOKUP($Q86,武学奇术!$A:$ZZ,30,FALSE)="回旋伞",$B$21,0))*(1+$BQ86)</f>
        <v>46343.6004438862</v>
      </c>
      <c r="M86" s="41">
        <f>(($AO86*$AH86+$AI86)*(1+$AP86)*(1+$AQ86)+($AT86*IF($G$1="鸣金",$AJ86,$AH86)+IF($G$1="鸣金",$AK86*1.5,0))*(1+$AU86)*(1+$AV86)+($AX86*IF($G$1="裂石",$AJ86,$AH86)+IF($G$1="裂石",$AK86*1.5,0))*(1+$AY86)*(1+$AZ86)+($BB86*IF($G$1="牵丝",$AJ86,$AH86)+IF($G$1="牵丝",$AK86*1.5,0))*(1+$BC86)*(1+$BD86)+($BF86*IF($G$1="破竹",$AJ86,$AH86)+IF($G$1="破竹",$AK86*1.5,0))*(1+$BG86)*(1+$BH86))*(1+$AL86)*$BM86*$P86*(1+IF(VLOOKUP($Q86,武学奇术!$A:$ZZ,30,FALSE)="回旋伞",$B$21,0))*(1+$BQ86)</f>
        <v>38076.2716025177</v>
      </c>
      <c r="N86" s="41">
        <f>((($AN86+$AO86)/2*$AH86+$AI86)*(1+$AP86)*(1+$AQ86)+(($AS86+$AT86)/2*IF($G$1="鸣金",$AJ86,$AH86)+IF($G$1="鸣金",$AK86*1.5,0))*(1+$AU86)*(1+$AV86)+(($AW86+$AX86)/2*IF($G$1="裂石",$AJ86,$AH86)+IF($G$1="裂石",$AK86*1.5,0))*(1+$AY86)*(1+$AZ86)+(($BA86+$BB86)/2*IF($G$1="牵丝",$AJ86,$AH86)+IF($G$1="牵丝",$AK86*1.5,0))*(1+$BC86)*(1+$BD86)+(($BE86+$BF86)/2*IF($G$1="破竹",$AJ86,$AH86)+IF($G$1="破竹",$AK86*1.5,0))*(1+$BG86)*(1+$BH86))*(1+$AL86)*$P86*(1+IF(VLOOKUP($Q86,武学奇术!$A:$ZZ,30,FALSE)="回旋伞",$B$21,0))*(1+$BQ86)</f>
        <v>24782.6740341638</v>
      </c>
      <c r="O86" s="41">
        <f>((($AN86*$AH86+$AI86)*(1+$AP86)*(1+$AQ86)+($AS86*IF($G$1="鸣金",$AJ86,$AH86)+IF($G$1="鸣金",$AK86*1.5,0))*(1+$AU86)*(1+$AV86)+($AW86*IF($G$1="裂石",$AJ86,$AH86)+IF($G$1="裂石",$AK86*1.5,0))*(1+$AY86)*(1+$AZ86)+($BA86*IF($G$1="牵丝",$AJ86,$AH86)+IF($G$1="牵丝",$AK86*1.5,0))*(1+$BC86)*(1+$BD86)+($BE86*IF($G$1="破竹",$AJ86,$AH86)+IF($G$1="破竹",$AK86*1.5,0))*(1+$BG86)*(1+$BH86))*(1+$AL86))*$P86*(1+IF(VLOOKUP($Q86,武学奇术!$A:$ZZ,30,FALSE)="回旋伞",$B$21,0))*(1+$BQ86)</f>
        <v>21360.7024368329</v>
      </c>
      <c r="P86" s="42">
        <v>2</v>
      </c>
      <c r="Q86" s="43" t="s">
        <v>130</v>
      </c>
      <c r="R86" s="43" t="s">
        <v>105</v>
      </c>
      <c r="S86" s="43" t="s">
        <v>91</v>
      </c>
      <c r="T86" s="43" t="s">
        <v>72</v>
      </c>
      <c r="U86" s="43" t="s">
        <v>71</v>
      </c>
      <c r="V86" s="43" t="s">
        <v>167</v>
      </c>
      <c r="W86" s="43" t="s">
        <v>95</v>
      </c>
      <c r="X86" s="43" t="s">
        <v>82</v>
      </c>
      <c r="Y86" s="43" t="s">
        <v>71</v>
      </c>
      <c r="Z86" s="43" t="s">
        <v>71</v>
      </c>
      <c r="AA86" s="43" t="s">
        <v>116</v>
      </c>
      <c r="AB86" s="43" t="s">
        <v>71</v>
      </c>
      <c r="AC86" s="43" t="s">
        <v>71</v>
      </c>
      <c r="AD86" s="43" t="s">
        <v>71</v>
      </c>
      <c r="AE86" s="43" t="s">
        <v>71</v>
      </c>
      <c r="AF86" s="43" t="s">
        <v>76</v>
      </c>
      <c r="AG86" t="str">
        <f>VLOOKUP($Q86,武学奇术!$A:$ZZ,25,FALSE)</f>
        <v>伞</v>
      </c>
      <c r="AH86" s="30">
        <f>VLOOKUP($Q86,武学奇术!$A:$ZZ,26,FALSE)</f>
        <v>0.54</v>
      </c>
      <c r="AI86" s="31">
        <f>VLOOKUP($Q86,武学奇术!$A:$ZZ,27,FALSE)*(1+IF(OR($AG86=$F$4,$AG86=$F$5),$B$22,0))</f>
        <v>0</v>
      </c>
      <c r="AJ86" s="30">
        <f>VLOOKUP($Q86,武学奇术!$A:$ZZ,28,FALSE)</f>
        <v>0.81</v>
      </c>
      <c r="AK86" s="31">
        <f>VLOOKUP($Q86,武学奇术!$A:$ZZ,29,FALSE)*(1+IF(OR($AG86=$F$4,$AG86=$F$5),$B$22,0))</f>
        <v>0</v>
      </c>
      <c r="AL86" s="30" cm="1">
        <f t="array" ref="AL86">$G$3+IFERROR(VLOOKUP($AG86,$F$4:$G$7,2,FALSE),0)+VLOOKUP($Q86,武学奇术!$A:$ZZ,2,FALSE)+SUM(_xlfn.XLOOKUP($R86:$AF86,增益!$A:$A,增益!$B:$B,0))</f>
        <v>1.0541</v>
      </c>
      <c r="AM86" s="30" cm="1">
        <f t="array" ref="AM86">VLOOKUP($Q86,武学奇术!$A:$ZZ,5,FALSE)+SUM(_xlfn.XLOOKUP($R86:$AF86,增益!$A:$A,增益!$E:$E,0))</f>
        <v>0</v>
      </c>
      <c r="AN86" cm="1">
        <f t="array" ref="AN86">$D$10*(1+$AM86)+VLOOKUP($Q86,武学奇术!$A:$ZZ,3,FALSE)+SUM(_xlfn.XLOOKUP($R86:$AF86,增益!$A:$A,增益!$C:$C,0))-$I$2</f>
        <v>3545.8</v>
      </c>
      <c r="AO86" cm="1">
        <f t="array" ref="AO86">$E$10*(1+$AM86)+VLOOKUP($Q86,武学奇术!$A:$ZZ,4,FALSE)+SUM(_xlfn.XLOOKUP($R86:$AF86,增益!$A:$A,增益!$D:$D,0))-$I$2</f>
        <v>3545.8</v>
      </c>
      <c r="AP86" s="35" cm="1">
        <f t="array" ref="AP86">IF($F$10-$I$3+VLOOKUP($Q86,武学奇术!$A:$ZZ,6,FALSE)+SUM(_xlfn.XLOOKUP(R86:AF86,增益!$A:$A,增益!$F:$F,0))&gt;0,($F$10-$I$3+VLOOKUP($Q86,武学奇术!$A:$ZZ,6,FALSE)+SUM(_xlfn.XLOOKUP(R86:AF86,增益!$A:$A,增益!$F:$F,0)))/200,($F$10-$I$3+VLOOKUP($Q86,武学奇术!$A:$ZZ,6,FALSE)+SUM(_xlfn.XLOOKUP(R86:AF86,增益!$A:$A,增益!$F:$F,0)))/100)</f>
        <v>0.3425</v>
      </c>
      <c r="AQ86" s="35" cm="1">
        <f t="array" ref="AQ86">$G$10+VLOOKUP($Q86,武学奇术!$A:$ZZ,7,FALSE)+SUM(_xlfn.XLOOKUP(R86:AF86,增益!$A:$A,增益!$G:$G,0))</f>
        <v>0.148</v>
      </c>
      <c r="AR86" s="30" cm="1">
        <f t="array" ref="AR86">VLOOKUP($Q86,武学奇术!$A:$ZZ,8,FALSE)+SUM(_xlfn.XLOOKUP(R86:AF86,增益!$A:$A,增益!$H:$H,0))</f>
        <v>0</v>
      </c>
      <c r="AS86">
        <f t="shared" si="34"/>
        <v>0</v>
      </c>
      <c r="AT86">
        <f t="shared" si="35"/>
        <v>0</v>
      </c>
      <c r="AU86" s="35" cm="1">
        <f t="array" ref="AU86">IF($F$11-$I$4+VLOOKUP($Q86,武学奇术!$A:$ZZ,9,FALSE)+SUM(_xlfn.XLOOKUP(R86:AF86,增益!$A:$A,增益!$I:$I,0))&gt;0,($F$11-$I$4+VLOOKUP($Q86,武学奇术!$A:$ZZ,9,FALSE)+SUM(_xlfn.XLOOKUP(R86:AF86,增益!$A:$A,增益!$I:$I,0)))/200,($F$11-$I$4+VLOOKUP($Q86,武学奇术!$A:$ZZ,9,FALSE)+SUM(_xlfn.XLOOKUP(R86:AF86,增益!$A:$A,增益!$I:$I,0)))/100)</f>
        <v>-0.14</v>
      </c>
      <c r="AV86" s="35" cm="1">
        <f t="array" ref="AV86">$G$11+VLOOKUP($Q86,武学奇术!$A:$ZZ,10,FALSE)+SUM(_xlfn.XLOOKUP(R86:AF86,增益!$A:$A,增益!$J:$J,0))</f>
        <v>0</v>
      </c>
      <c r="AW86">
        <f t="shared" si="36"/>
        <v>0</v>
      </c>
      <c r="AX86">
        <f t="shared" si="37"/>
        <v>0</v>
      </c>
      <c r="AY86" s="35" cm="1">
        <f t="array" ref="AY86">IF($F$12-$I$4+VLOOKUP($Q86,武学奇术!$A:$ZZ,11,FALSE)+SUM(_xlfn.XLOOKUP(R86:AF86,增益!$A:$A,增益!$K:$K,0))&gt;0,($F$12-$I$4+VLOOKUP($Q86,武学奇术!$A:$ZZ,11,FALSE)+SUM(_xlfn.XLOOKUP(R86:AF86,增益!$A:$A,增益!$K:$K,0)))/200,($F$12-$I$4+VLOOKUP($Q86,武学奇术!$A:$ZZ,11,FALSE)+SUM(_xlfn.XLOOKUP(R86:AF86,增益!$A:$A,增益!$K:$K,0)))/100)</f>
        <v>-0.14</v>
      </c>
      <c r="AZ86" s="35" cm="1">
        <f t="array" ref="AZ86">$G$12+VLOOKUP($Q86,武学奇术!$A:$ZZ,12,FALSE)+SUM(_xlfn.XLOOKUP(R86:AF86,增益!$A:$A,增益!$L:$L,0))</f>
        <v>0</v>
      </c>
      <c r="BA86">
        <f t="shared" si="38"/>
        <v>0</v>
      </c>
      <c r="BB86">
        <f t="shared" si="39"/>
        <v>0</v>
      </c>
      <c r="BC86" s="35" cm="1">
        <f t="array" ref="BC86">IF($F$13-$I$4+VLOOKUP($Q86,武学奇术!$A:$ZZ,13,FALSE)+SUM(_xlfn.XLOOKUP(R86:AF86,增益!$A:$A,增益!$M:$M,0))&gt;0,($F$13-$I$4+VLOOKUP($Q86,武学奇术!$A:$ZZ,13,FALSE)+SUM(_xlfn.XLOOKUP(R86:AF86,增益!$A:$A,增益!$K:$K,0)))/200,($F$13-$I$4+VLOOKUP($Q86,武学奇术!$A:$ZZ,13,FALSE)+SUM(_xlfn.XLOOKUP(R86:AF86,增益!$A:$A,增益!$M:$M,0)))/100)</f>
        <v>-0.14</v>
      </c>
      <c r="BD86" s="35" cm="1">
        <f t="array" ref="BD86">$G$13+VLOOKUP($Q86,武学奇术!$A:$ZZ,14,FALSE)+SUM(_xlfn.XLOOKUP(R86:AF86,增益!$A:$A,增益!$N:$N,0))</f>
        <v>0</v>
      </c>
      <c r="BE86">
        <f t="shared" si="40"/>
        <v>538</v>
      </c>
      <c r="BF86">
        <f t="shared" si="41"/>
        <v>1561.4</v>
      </c>
      <c r="BG86" s="35" cm="1">
        <f t="array" ref="BG86">IF($F$14-$I$4+VLOOKUP($Q86,武学奇术!$A:$ZZ,15,FALSE)+SUM(_xlfn.XLOOKUP(R86:AF86,增益!$A:$A,增益!$O:$O,0))&gt;0,($F$14-$I$4+VLOOKUP($Q86,武学奇术!$A:$ZZ,15,FALSE)+SUM(_xlfn.XLOOKUP(R86:AF86,增益!$A:$A,增益!$O:$O,0)))/200,($F$14-$I$4+VLOOKUP($Q86,武学奇术!$A:$ZZ,15,FALSE)+SUM(_xlfn.XLOOKUP(R86:AF86,增益!$A:$A,增益!$O:$O,0)))/100)</f>
        <v>0.08</v>
      </c>
      <c r="BH86" s="35" cm="1">
        <f t="array" ref="BH86">$G$14+VLOOKUP($Q86,武学奇术!$A:$ZZ,16,FALSE)+SUM(_xlfn.XLOOKUP(R86:AF86,增益!$A:$A,增益!$P:$P,0))</f>
        <v>0.27</v>
      </c>
      <c r="BI86" s="30">
        <f>MIN(IF(VLOOKUP($Q86,武学奇术!$A:$ZZ,23,FALSE)=1,100%,$B$8),100%)</f>
        <v>1</v>
      </c>
      <c r="BJ86" s="30" cm="1">
        <f t="array" ref="BJ86">IF(VLOOKUP($Q86,武学奇术!$A:$ZZ,23,FALSE)=1,100%,MIN(80%,$B$9+VLOOKUP($Q86,武学奇术!$A:$ZZ,17,FALSE)+SUM(_xlfn.XLOOKUP(R86:AF86,增益!$A:$A,增益!$Q:$Q,0)))+$B$11+SUM(_xlfn.XLOOKUP(R86:AF86,增益!$A:$A,增益!$U:$U,0)))*IF(VLOOKUP($Q86,武学奇术!$A:$ZZ,24,FALSE)=1,0,1)</f>
        <v>1</v>
      </c>
      <c r="BK86" s="30" cm="1">
        <f t="array" ref="BK86">1+$B$13+VLOOKUP($Q86,武学奇术!$A:$ZZ,18,FALSE)+SUM(_xlfn.XLOOKUP(R86:AF86,增益!$A:$A,增益!$R:$R,0))</f>
        <v>1.87</v>
      </c>
      <c r="BL86" s="30" cm="1">
        <f t="array" ref="BL86">IF(VLOOKUP($Q86,武学奇术!$A:$ZZ,24,FALSE)=1,100%,MIN(40%,$B$10+VLOOKUP($Q86,武学奇术!$A:$ZZ,19,FALSE)+SUM(_xlfn.XLOOKUP(R86:AF86,增益!$A:$A,增益!$S:$S,0)))+$B$12+SUM(_xlfn.XLOOKUP(R86:AF86,增益!$A:$A,增益!$V:$V,0)))*IF(VLOOKUP($Q86,武学奇术!$A:$ZZ,23,FALSE)=1,0,1)</f>
        <v>0</v>
      </c>
      <c r="BM86" s="30" cm="1">
        <f t="array" ref="BM86">1+$B$14+VLOOKUP($Q86,武学奇术!$A:$ZZ,20,FALSE)+SUM(_xlfn.XLOOKUP(R86:AF86,增益!$A:$A,增益!$T:$T,0))</f>
        <v>1.35</v>
      </c>
      <c r="BN86" s="30">
        <f t="shared" si="22"/>
        <v>1</v>
      </c>
      <c r="BO86" s="30">
        <f t="shared" si="32"/>
        <v>0</v>
      </c>
      <c r="BP86" s="30">
        <f>IF(VLOOKUP($Q86,武学奇术!$A:$ZZ,22,FALSE)=1,0,(1-$BI86))*(1-$BL86)</f>
        <v>0</v>
      </c>
      <c r="BQ86" s="30" cm="1">
        <f t="array" ref="BQ86">SUM(_xlfn.XLOOKUP(R86:AF86,增益!$A:$A,增益!$W:$W,0))+$I$5</f>
        <v>0.11</v>
      </c>
    </row>
    <row r="87" spans="1:69">
      <c r="A87" s="4"/>
      <c r="B87" s="90"/>
      <c r="K87" s="41">
        <f t="shared" si="33"/>
        <v>234545.682148735</v>
      </c>
      <c r="L87" s="41">
        <f>((($AN87+$AO87)/2*$AH87+$AI87)*(1+$AP87)*(1+$AQ87)+(($AS87+$AT87)/2*IF($G$1="鸣金",$AJ87,$AH87)+IF($G$1="鸣金",$AK87*1.5,0))*(1+$AU87)*(1+$AV87)+(($AW87+$AX87)/2*IF($G$1="裂石",$AJ87,$AH87)+IF($G$1="裂石",$AK87*1.5,0))*(1+$AY87)*(1+$AZ87)+(($BA87+$BB87)/2*IF($G$1="牵丝",$AJ87,$AH87)+IF($G$1="牵丝",$AK87*1.5,0))*(1+$BC87)*(1+$BD87)+(($BE87+$BF87)/2*IF($G$1="破竹",$AJ87,$AH87)+IF($G$1="破竹",$AK87*1.5,0))*(1+$BG87)*(1+$BH87))*(1+$AL87)*$BK87*$P87*(1+IF(VLOOKUP($Q87,武学奇术!$A:$ZZ,30,FALSE)="回旋伞",$B$21,0))*(1+$BQ87)</f>
        <v>245721.595217798</v>
      </c>
      <c r="M87" s="41">
        <f>(($AO87*$AH87+$AI87)*(1+$AP87)*(1+$AQ87)+($AT87*IF($G$1="鸣金",$AJ87,$AH87)+IF($G$1="鸣金",$AK87*1.5,0))*(1+$AU87)*(1+$AV87)+($AX87*IF($G$1="裂石",$AJ87,$AH87)+IF($G$1="裂石",$AK87*1.5,0))*(1+$AY87)*(1+$AZ87)+($BB87*IF($G$1="牵丝",$AJ87,$AH87)+IF($G$1="牵丝",$AK87*1.5,0))*(1+$BC87)*(1+$BD87)+($BF87*IF($G$1="破竹",$AJ87,$AH87)+IF($G$1="破竹",$AK87*1.5,0))*(1+$BG87)*(1+$BH87))*(1+$AL87)*$BM87*$P87*(1+IF(VLOOKUP($Q87,武学奇术!$A:$ZZ,30,FALSE)="回旋伞",$B$21,0))*(1+$BQ87)</f>
        <v>200558.498569264</v>
      </c>
      <c r="N87" s="41">
        <f>((($AN87+$AO87)/2*$AH87+$AI87)*(1+$AP87)*(1+$AQ87)+(($AS87+$AT87)/2*IF($G$1="鸣金",$AJ87,$AH87)+IF($G$1="鸣金",$AK87*1.5,0))*(1+$AU87)*(1+$AV87)+(($AW87+$AX87)/2*IF($G$1="裂石",$AJ87,$AH87)+IF($G$1="裂石",$AK87*1.5,0))*(1+$AY87)*(1+$AZ87)+(($BA87+$BB87)/2*IF($G$1="牵丝",$AJ87,$AH87)+IF($G$1="牵丝",$AK87*1.5,0))*(1+$BC87)*(1+$BD87)+(($BE87+$BF87)/2*IF($G$1="破竹",$AJ87,$AH87)+IF($G$1="破竹",$AK87*1.5,0))*(1+$BG87)*(1+$BH87))*(1+$AL87)*$P87*(1+IF(VLOOKUP($Q87,武学奇术!$A:$ZZ,30,FALSE)="回旋伞",$B$21,0))*(1+$BQ87)</f>
        <v>131401.922576362</v>
      </c>
      <c r="O87" s="41">
        <f>((($AN87*$AH87+$AI87)*(1+$AP87)*(1+$AQ87)+($AS87*IF($G$1="鸣金",$AJ87,$AH87)+IF($G$1="鸣金",$AK87*1.5,0))*(1+$AU87)*(1+$AV87)+($AW87*IF($G$1="裂石",$AJ87,$AH87)+IF($G$1="裂石",$AK87*1.5,0))*(1+$AY87)*(1+$AZ87)+($BA87*IF($G$1="牵丝",$AJ87,$AH87)+IF($G$1="牵丝",$AK87*1.5,0))*(1+$BC87)*(1+$BD87)+($BE87*IF($G$1="破竹",$AJ87,$AH87)+IF($G$1="破竹",$AK87*1.5,0))*(1+$BG87)*(1+$BH87))*(1+$AL87))*$P87*(1+IF(VLOOKUP($Q87,武学奇术!$A:$ZZ,30,FALSE)="回旋伞",$B$21,0))*(1+$BQ87)</f>
        <v>114241.994360677</v>
      </c>
      <c r="P87" s="42">
        <v>12</v>
      </c>
      <c r="Q87" s="43" t="s">
        <v>120</v>
      </c>
      <c r="R87" s="43" t="s">
        <v>105</v>
      </c>
      <c r="S87" s="43" t="s">
        <v>91</v>
      </c>
      <c r="T87" s="43" t="s">
        <v>72</v>
      </c>
      <c r="U87" s="43" t="s">
        <v>71</v>
      </c>
      <c r="V87" s="43" t="s">
        <v>167</v>
      </c>
      <c r="W87" s="43" t="s">
        <v>95</v>
      </c>
      <c r="X87" s="43" t="s">
        <v>71</v>
      </c>
      <c r="Y87" s="43" t="s">
        <v>71</v>
      </c>
      <c r="Z87" s="43" t="s">
        <v>71</v>
      </c>
      <c r="AA87" s="43" t="s">
        <v>116</v>
      </c>
      <c r="AB87" s="43" t="s">
        <v>71</v>
      </c>
      <c r="AC87" s="43" t="s">
        <v>71</v>
      </c>
      <c r="AD87" s="43" t="s">
        <v>71</v>
      </c>
      <c r="AE87" s="43" t="s">
        <v>71</v>
      </c>
      <c r="AF87" s="43" t="s">
        <v>76</v>
      </c>
      <c r="AG87" t="str">
        <f>VLOOKUP($Q87,武学奇术!$A:$ZZ,25,FALSE)</f>
        <v>伞</v>
      </c>
      <c r="AH87" s="30">
        <f>VLOOKUP($Q87,武学奇术!$A:$ZZ,26,FALSE)</f>
        <v>0.54</v>
      </c>
      <c r="AI87" s="31">
        <f>VLOOKUP($Q87,武学奇术!$A:$ZZ,27,FALSE)*(1+IF(OR($AG87=$F$4,$AG87=$F$5),$B$22,0))</f>
        <v>0</v>
      </c>
      <c r="AJ87" s="30">
        <f>VLOOKUP($Q87,武学奇术!$A:$ZZ,28,FALSE)</f>
        <v>0.81</v>
      </c>
      <c r="AK87" s="31">
        <f>VLOOKUP($Q87,武学奇术!$A:$ZZ,29,FALSE)*(1+IF(OR($AG87=$F$4,$AG87=$F$5),$B$22,0))</f>
        <v>0</v>
      </c>
      <c r="AL87" s="30" cm="1">
        <f t="array" ref="AL87">$G$3+IFERROR(VLOOKUP($AG87,$F$4:$G$7,2,FALSE),0)+VLOOKUP($Q87,武学奇术!$A:$ZZ,2,FALSE)+SUM(_xlfn.XLOOKUP($R87:$AF87,增益!$A:$A,增益!$B:$B,0))</f>
        <v>0.8541</v>
      </c>
      <c r="AM87" s="30" cm="1">
        <f t="array" ref="AM87">VLOOKUP($Q87,武学奇术!$A:$ZZ,5,FALSE)+SUM(_xlfn.XLOOKUP($R87:$AF87,增益!$A:$A,增益!$E:$E,0))</f>
        <v>0</v>
      </c>
      <c r="AN87" cm="1">
        <f t="array" ref="AN87">$D$10*(1+$AM87)+VLOOKUP($Q87,武学奇术!$A:$ZZ,3,FALSE)+SUM(_xlfn.XLOOKUP($R87:$AF87,增益!$A:$A,增益!$C:$C,0))-$I$2</f>
        <v>3545.8</v>
      </c>
      <c r="AO87" cm="1">
        <f t="array" ref="AO87">$E$10*(1+$AM87)+VLOOKUP($Q87,武学奇术!$A:$ZZ,4,FALSE)+SUM(_xlfn.XLOOKUP($R87:$AF87,增益!$A:$A,增益!$D:$D,0))-$I$2</f>
        <v>3545.8</v>
      </c>
      <c r="AP87" s="35" cm="1">
        <f t="array" ref="AP87">IF($F$10-$I$3+VLOOKUP($Q87,武学奇术!$A:$ZZ,6,FALSE)+SUM(_xlfn.XLOOKUP(R87:AF87,增益!$A:$A,增益!$F:$F,0))&gt;0,($F$10-$I$3+VLOOKUP($Q87,武学奇术!$A:$ZZ,6,FALSE)+SUM(_xlfn.XLOOKUP(R87:AF87,增益!$A:$A,增益!$F:$F,0)))/200,($F$10-$I$3+VLOOKUP($Q87,武学奇术!$A:$ZZ,6,FALSE)+SUM(_xlfn.XLOOKUP(R87:AF87,增益!$A:$A,增益!$F:$F,0)))/100)</f>
        <v>0.3425</v>
      </c>
      <c r="AQ87" s="35" cm="1">
        <f t="array" ref="AQ87">$G$10+VLOOKUP($Q87,武学奇术!$A:$ZZ,7,FALSE)+SUM(_xlfn.XLOOKUP(R87:AF87,增益!$A:$A,增益!$G:$G,0))</f>
        <v>0.148</v>
      </c>
      <c r="AR87" s="30" cm="1">
        <f t="array" ref="AR87">VLOOKUP($Q87,武学奇术!$A:$ZZ,8,FALSE)+SUM(_xlfn.XLOOKUP(R87:AF87,增益!$A:$A,增益!$H:$H,0))</f>
        <v>0</v>
      </c>
      <c r="AS87">
        <f t="shared" ref="AS87:AS101" si="42">$D$11*(1+$AR87)</f>
        <v>0</v>
      </c>
      <c r="AT87">
        <f t="shared" ref="AT87:AT101" si="43">$E$11*(1+$AR87)</f>
        <v>0</v>
      </c>
      <c r="AU87" s="35" cm="1">
        <f t="array" ref="AU87">IF($F$11-$I$4+VLOOKUP($Q87,武学奇术!$A:$ZZ,9,FALSE)+SUM(_xlfn.XLOOKUP(R87:AF87,增益!$A:$A,增益!$I:$I,0))&gt;0,($F$11-$I$4+VLOOKUP($Q87,武学奇术!$A:$ZZ,9,FALSE)+SUM(_xlfn.XLOOKUP(R87:AF87,增益!$A:$A,增益!$I:$I,0)))/200,($F$11-$I$4+VLOOKUP($Q87,武学奇术!$A:$ZZ,9,FALSE)+SUM(_xlfn.XLOOKUP(R87:AF87,增益!$A:$A,增益!$I:$I,0)))/100)</f>
        <v>-0.3</v>
      </c>
      <c r="AV87" s="35" cm="1">
        <f t="array" ref="AV87">$G$11+VLOOKUP($Q87,武学奇术!$A:$ZZ,10,FALSE)+SUM(_xlfn.XLOOKUP(R87:AF87,增益!$A:$A,增益!$J:$J,0))</f>
        <v>0</v>
      </c>
      <c r="AW87">
        <f t="shared" ref="AW87:AW101" si="44">$D$12*(1+$AR87)</f>
        <v>0</v>
      </c>
      <c r="AX87">
        <f t="shared" ref="AX87:AX101" si="45">$E$12*(1+$AR87)</f>
        <v>0</v>
      </c>
      <c r="AY87" s="35" cm="1">
        <f t="array" ref="AY87">IF($F$12-$I$4+VLOOKUP($Q87,武学奇术!$A:$ZZ,11,FALSE)+SUM(_xlfn.XLOOKUP(R87:AF87,增益!$A:$A,增益!$K:$K,0))&gt;0,($F$12-$I$4+VLOOKUP($Q87,武学奇术!$A:$ZZ,11,FALSE)+SUM(_xlfn.XLOOKUP(R87:AF87,增益!$A:$A,增益!$K:$K,0)))/200,($F$12-$I$4+VLOOKUP($Q87,武学奇术!$A:$ZZ,11,FALSE)+SUM(_xlfn.XLOOKUP(R87:AF87,增益!$A:$A,增益!$K:$K,0)))/100)</f>
        <v>-0.3</v>
      </c>
      <c r="AZ87" s="35" cm="1">
        <f t="array" ref="AZ87">$G$12+VLOOKUP($Q87,武学奇术!$A:$ZZ,12,FALSE)+SUM(_xlfn.XLOOKUP(R87:AF87,增益!$A:$A,增益!$L:$L,0))</f>
        <v>0</v>
      </c>
      <c r="BA87">
        <f t="shared" ref="BA87:BA101" si="46">$D$13*(1+$AR87)</f>
        <v>0</v>
      </c>
      <c r="BB87">
        <f t="shared" ref="BB87:BB101" si="47">$E$13*(1+$AR87)</f>
        <v>0</v>
      </c>
      <c r="BC87" s="35" cm="1">
        <f t="array" ref="BC87">IF($F$13-$I$4+VLOOKUP($Q87,武学奇术!$A:$ZZ,13,FALSE)+SUM(_xlfn.XLOOKUP(R87:AF87,增益!$A:$A,增益!$M:$M,0))&gt;0,($F$13-$I$4+VLOOKUP($Q87,武学奇术!$A:$ZZ,13,FALSE)+SUM(_xlfn.XLOOKUP(R87:AF87,增益!$A:$A,增益!$K:$K,0)))/200,($F$13-$I$4+VLOOKUP($Q87,武学奇术!$A:$ZZ,13,FALSE)+SUM(_xlfn.XLOOKUP(R87:AF87,增益!$A:$A,增益!$M:$M,0)))/100)</f>
        <v>-0.3</v>
      </c>
      <c r="BD87" s="35" cm="1">
        <f t="array" ref="BD87">$G$13+VLOOKUP($Q87,武学奇术!$A:$ZZ,14,FALSE)+SUM(_xlfn.XLOOKUP(R87:AF87,增益!$A:$A,增益!$N:$N,0))</f>
        <v>0</v>
      </c>
      <c r="BE87">
        <f t="shared" ref="BE87:BE101" si="48">$D$14*(1+$AR87)</f>
        <v>538</v>
      </c>
      <c r="BF87">
        <f t="shared" ref="BF87:BF101" si="49">$E$14*(1+$AR87)</f>
        <v>1561.4</v>
      </c>
      <c r="BG87" s="35" cm="1">
        <f t="array" ref="BG87">IF($F$14-$I$4+VLOOKUP($Q87,武学奇术!$A:$ZZ,15,FALSE)+SUM(_xlfn.XLOOKUP(R87:AF87,增益!$A:$A,增益!$O:$O,0))&gt;0,($F$14-$I$4+VLOOKUP($Q87,武学奇术!$A:$ZZ,15,FALSE)+SUM(_xlfn.XLOOKUP(R87:AF87,增益!$A:$A,增益!$O:$O,0)))/200,($F$14-$I$4+VLOOKUP($Q87,武学奇术!$A:$ZZ,15,FALSE)+SUM(_xlfn.XLOOKUP(R87:AF87,增益!$A:$A,增益!$O:$O,0)))/100)</f>
        <v>0</v>
      </c>
      <c r="BH87" s="35" cm="1">
        <f t="array" ref="BH87">$G$14+VLOOKUP($Q87,武学奇术!$A:$ZZ,16,FALSE)+SUM(_xlfn.XLOOKUP(R87:AF87,增益!$A:$A,增益!$P:$P,0))</f>
        <v>0.27</v>
      </c>
      <c r="BI87" s="30">
        <f>MIN(IF(VLOOKUP($Q87,武学奇术!$A:$ZZ,23,FALSE)=1,100%,$B$8),100%)</f>
        <v>0.9712</v>
      </c>
      <c r="BJ87" s="30" cm="1">
        <f t="array" ref="BJ87">IF(VLOOKUP($Q87,武学奇术!$A:$ZZ,23,FALSE)=1,100%,MIN(80%,$B$9+VLOOKUP($Q87,武学奇术!$A:$ZZ,17,FALSE)+SUM(_xlfn.XLOOKUP(R87:AF87,增益!$A:$A,增益!$Q:$Q,0)))+$B$11+SUM(_xlfn.XLOOKUP(R87:AF87,增益!$A:$A,增益!$U:$U,0)))*IF(VLOOKUP($Q87,武学奇术!$A:$ZZ,24,FALSE)=1,0,1)</f>
        <v>0.8773</v>
      </c>
      <c r="BK87" s="30" cm="1">
        <f t="array" ref="BK87">1+$B$13+VLOOKUP($Q87,武学奇术!$A:$ZZ,18,FALSE)+SUM(_xlfn.XLOOKUP(R87:AF87,增益!$A:$A,增益!$R:$R,0))</f>
        <v>1.87</v>
      </c>
      <c r="BL87" s="30" cm="1">
        <f t="array" ref="BL87">IF(VLOOKUP($Q87,武学奇术!$A:$ZZ,24,FALSE)=1,100%,MIN(40%,$B$10+VLOOKUP($Q87,武学奇术!$A:$ZZ,19,FALSE)+SUM(_xlfn.XLOOKUP(R87:AF87,增益!$A:$A,增益!$S:$S,0)))+$B$12+SUM(_xlfn.XLOOKUP(R87:AF87,增益!$A:$A,增益!$V:$V,0)))*IF(VLOOKUP($Q87,武学奇术!$A:$ZZ,23,FALSE)=1,0,1)</f>
        <v>0.0895</v>
      </c>
      <c r="BM87" s="30" cm="1">
        <f t="array" ref="BM87">1+$B$14+VLOOKUP($Q87,武学奇术!$A:$ZZ,20,FALSE)+SUM(_xlfn.XLOOKUP(R87:AF87,增益!$A:$A,增益!$T:$T,0))</f>
        <v>1.35</v>
      </c>
      <c r="BN87" s="30">
        <f t="shared" si="22"/>
        <v>0.85203376</v>
      </c>
      <c r="BO87" s="30">
        <f t="shared" si="32"/>
        <v>0.03224384</v>
      </c>
      <c r="BP87" s="30">
        <f>IF(VLOOKUP($Q87,武学奇术!$A:$ZZ,22,FALSE)=1,0,(1-$BI87))*(1-$BL87)</f>
        <v>0.0262224</v>
      </c>
      <c r="BQ87" s="30" cm="1">
        <f t="array" ref="BQ87">SUM(_xlfn.XLOOKUP(R87:AF87,增益!$A:$A,增益!$W:$W,0))+$I$5</f>
        <v>0.11</v>
      </c>
    </row>
    <row r="88" spans="1:69">
      <c r="A88" s="4"/>
      <c r="B88" s="4"/>
      <c r="K88" s="41">
        <f t="shared" si="33"/>
        <v>113428.062298168</v>
      </c>
      <c r="L88" s="41">
        <f>((($AN88+$AO88)/2*$AH88+$AI88)*(1+$AP88)*(1+$AQ88)+(($AS88+$AT88)/2*IF($G$1="鸣金",$AJ88,$AH88)+IF($G$1="鸣金",$AK88*1.5,0))*(1+$AU88)*(1+$AV88)+(($AW88+$AX88)/2*IF($G$1="裂石",$AJ88,$AH88)+IF($G$1="裂石",$AK88*1.5,0))*(1+$AY88)*(1+$AZ88)+(($BA88+$BB88)/2*IF($G$1="牵丝",$AJ88,$AH88)+IF($G$1="牵丝",$AK88*1.5,0))*(1+$BC88)*(1+$BD88)+(($BE88+$BF88)/2*IF($G$1="破竹",$AJ88,$AH88)+IF($G$1="破竹",$AK88*1.5,0))*(1+$BG88)*(1+$BH88))*(1+$AL88)*$BK88*$P88*(1+IF(VLOOKUP($Q88,武学奇术!$A:$ZZ,30,FALSE)="回旋伞",$B$21,0))*(1+$BQ88)</f>
        <v>113428.062298168</v>
      </c>
      <c r="M88" s="41">
        <f>(($AO88*$AH88+$AI88)*(1+$AP88)*(1+$AQ88)+($AT88*IF($G$1="鸣金",$AJ88,$AH88)+IF($G$1="鸣金",$AK88*1.5,0))*(1+$AU88)*(1+$AV88)+($AX88*IF($G$1="裂石",$AJ88,$AH88)+IF($G$1="裂石",$AK88*1.5,0))*(1+$AY88)*(1+$AZ88)+($BB88*IF($G$1="牵丝",$AJ88,$AH88)+IF($G$1="牵丝",$AK88*1.5,0))*(1+$BC88)*(1+$BD88)+($BF88*IF($G$1="破竹",$AJ88,$AH88)+IF($G$1="破竹",$AK88*1.5,0))*(1+$BG88)*(1+$BH88))*(1+$AL88)*$BM88*$P88*(1+IF(VLOOKUP($Q88,武学奇术!$A:$ZZ,30,FALSE)="回旋伞",$B$21,0))*(1+$BQ88)</f>
        <v>92580.2302804429</v>
      </c>
      <c r="N88" s="41">
        <f>((($AN88+$AO88)/2*$AH88+$AI88)*(1+$AP88)*(1+$AQ88)+(($AS88+$AT88)/2*IF($G$1="鸣金",$AJ88,$AH88)+IF($G$1="鸣金",$AK88*1.5,0))*(1+$AU88)*(1+$AV88)+(($AW88+$AX88)/2*IF($G$1="裂石",$AJ88,$AH88)+IF($G$1="裂石",$AK88*1.5,0))*(1+$AY88)*(1+$AZ88)+(($BA88+$BB88)/2*IF($G$1="牵丝",$AJ88,$AH88)+IF($G$1="牵丝",$AK88*1.5,0))*(1+$BC88)*(1+$BD88)+(($BE88+$BF88)/2*IF($G$1="破竹",$AJ88,$AH88)+IF($G$1="破竹",$AK88*1.5,0))*(1+$BG88)*(1+$BH88))*(1+$AL88)*$P88*(1+IF(VLOOKUP($Q88,武学奇术!$A:$ZZ,30,FALSE)="回旋伞",$B$21,0))*(1+$BQ88)</f>
        <v>60656.7178065067</v>
      </c>
      <c r="O88" s="41">
        <f>((($AN88*$AH88+$AI88)*(1+$AP88)*(1+$AQ88)+($AS88*IF($G$1="鸣金",$AJ88,$AH88)+IF($G$1="鸣金",$AK88*1.5,0))*(1+$AU88)*(1+$AV88)+($AW88*IF($G$1="裂石",$AJ88,$AH88)+IF($G$1="裂石",$AK88*1.5,0))*(1+$AY88)*(1+$AZ88)+($BA88*IF($G$1="牵丝",$AJ88,$AH88)+IF($G$1="牵丝",$AK88*1.5,0))*(1+$BC88)*(1+$BD88)+($BE88*IF($G$1="破竹",$AJ88,$AH88)+IF($G$1="破竹",$AK88*1.5,0))*(1+$BG88)*(1+$BH88))*(1+$AL88))*$P88*(1+IF(VLOOKUP($Q88,武学奇术!$A:$ZZ,30,FALSE)="回旋伞",$B$21,0))*(1+$BQ88)</f>
        <v>52735.4872571298</v>
      </c>
      <c r="P88" s="42">
        <v>5</v>
      </c>
      <c r="Q88" s="43" t="s">
        <v>130</v>
      </c>
      <c r="R88" s="43" t="s">
        <v>105</v>
      </c>
      <c r="S88" s="43" t="s">
        <v>91</v>
      </c>
      <c r="T88" s="43" t="s">
        <v>72</v>
      </c>
      <c r="U88" s="43" t="s">
        <v>71</v>
      </c>
      <c r="V88" s="43" t="s">
        <v>167</v>
      </c>
      <c r="W88" s="43" t="s">
        <v>95</v>
      </c>
      <c r="X88" s="43" t="s">
        <v>71</v>
      </c>
      <c r="Y88" s="43" t="s">
        <v>71</v>
      </c>
      <c r="Z88" s="43" t="s">
        <v>71</v>
      </c>
      <c r="AA88" s="43" t="s">
        <v>116</v>
      </c>
      <c r="AB88" s="43" t="s">
        <v>71</v>
      </c>
      <c r="AC88" s="43" t="s">
        <v>71</v>
      </c>
      <c r="AD88" s="43" t="s">
        <v>71</v>
      </c>
      <c r="AE88" s="43" t="s">
        <v>71</v>
      </c>
      <c r="AF88" s="43" t="s">
        <v>76</v>
      </c>
      <c r="AG88" t="str">
        <f>VLOOKUP($Q88,武学奇术!$A:$ZZ,25,FALSE)</f>
        <v>伞</v>
      </c>
      <c r="AH88" s="30">
        <f>VLOOKUP($Q88,武学奇术!$A:$ZZ,26,FALSE)</f>
        <v>0.54</v>
      </c>
      <c r="AI88" s="31">
        <f>VLOOKUP($Q88,武学奇术!$A:$ZZ,27,FALSE)*(1+IF(OR($AG88=$F$4,$AG88=$F$5),$B$22,0))</f>
        <v>0</v>
      </c>
      <c r="AJ88" s="30">
        <f>VLOOKUP($Q88,武学奇术!$A:$ZZ,28,FALSE)</f>
        <v>0.81</v>
      </c>
      <c r="AK88" s="31">
        <f>VLOOKUP($Q88,武学奇术!$A:$ZZ,29,FALSE)*(1+IF(OR($AG88=$F$4,$AG88=$F$5),$B$22,0))</f>
        <v>0</v>
      </c>
      <c r="AL88" s="30" cm="1">
        <f t="array" ref="AL88">$G$3+IFERROR(VLOOKUP($AG88,$F$4:$G$7,2,FALSE),0)+VLOOKUP($Q88,武学奇术!$A:$ZZ,2,FALSE)+SUM(_xlfn.XLOOKUP($R88:$AF88,增益!$A:$A,增益!$B:$B,0))</f>
        <v>1.0541</v>
      </c>
      <c r="AM88" s="30" cm="1">
        <f t="array" ref="AM88">VLOOKUP($Q88,武学奇术!$A:$ZZ,5,FALSE)+SUM(_xlfn.XLOOKUP($R88:$AF88,增益!$A:$A,增益!$E:$E,0))</f>
        <v>0</v>
      </c>
      <c r="AN88" cm="1">
        <f t="array" ref="AN88">$D$10*(1+$AM88)+VLOOKUP($Q88,武学奇术!$A:$ZZ,3,FALSE)+SUM(_xlfn.XLOOKUP($R88:$AF88,增益!$A:$A,增益!$C:$C,0))-$I$2</f>
        <v>3545.8</v>
      </c>
      <c r="AO88" cm="1">
        <f t="array" ref="AO88">$E$10*(1+$AM88)+VLOOKUP($Q88,武学奇术!$A:$ZZ,4,FALSE)+SUM(_xlfn.XLOOKUP($R88:$AF88,增益!$A:$A,增益!$D:$D,0))-$I$2</f>
        <v>3545.8</v>
      </c>
      <c r="AP88" s="35" cm="1">
        <f t="array" ref="AP88">IF($F$10-$I$3+VLOOKUP($Q88,武学奇术!$A:$ZZ,6,FALSE)+SUM(_xlfn.XLOOKUP(R88:AF88,增益!$A:$A,增益!$F:$F,0))&gt;0,($F$10-$I$3+VLOOKUP($Q88,武学奇术!$A:$ZZ,6,FALSE)+SUM(_xlfn.XLOOKUP(R88:AF88,增益!$A:$A,增益!$F:$F,0)))/200,($F$10-$I$3+VLOOKUP($Q88,武学奇术!$A:$ZZ,6,FALSE)+SUM(_xlfn.XLOOKUP(R88:AF88,增益!$A:$A,增益!$F:$F,0)))/100)</f>
        <v>0.3425</v>
      </c>
      <c r="AQ88" s="35" cm="1">
        <f t="array" ref="AQ88">$G$10+VLOOKUP($Q88,武学奇术!$A:$ZZ,7,FALSE)+SUM(_xlfn.XLOOKUP(R88:AF88,增益!$A:$A,增益!$G:$G,0))</f>
        <v>0.148</v>
      </c>
      <c r="AR88" s="30" cm="1">
        <f t="array" ref="AR88">VLOOKUP($Q88,武学奇术!$A:$ZZ,8,FALSE)+SUM(_xlfn.XLOOKUP(R88:AF88,增益!$A:$A,增益!$H:$H,0))</f>
        <v>0</v>
      </c>
      <c r="AS88">
        <f t="shared" si="42"/>
        <v>0</v>
      </c>
      <c r="AT88">
        <f t="shared" si="43"/>
        <v>0</v>
      </c>
      <c r="AU88" s="35" cm="1">
        <f t="array" ref="AU88">IF($F$11-$I$4+VLOOKUP($Q88,武学奇术!$A:$ZZ,9,FALSE)+SUM(_xlfn.XLOOKUP(R88:AF88,增益!$A:$A,增益!$I:$I,0))&gt;0,($F$11-$I$4+VLOOKUP($Q88,武学奇术!$A:$ZZ,9,FALSE)+SUM(_xlfn.XLOOKUP(R88:AF88,增益!$A:$A,增益!$I:$I,0)))/200,($F$11-$I$4+VLOOKUP($Q88,武学奇术!$A:$ZZ,9,FALSE)+SUM(_xlfn.XLOOKUP(R88:AF88,增益!$A:$A,增益!$I:$I,0)))/100)</f>
        <v>-0.3</v>
      </c>
      <c r="AV88" s="35" cm="1">
        <f t="array" ref="AV88">$G$11+VLOOKUP($Q88,武学奇术!$A:$ZZ,10,FALSE)+SUM(_xlfn.XLOOKUP(R88:AF88,增益!$A:$A,增益!$J:$J,0))</f>
        <v>0</v>
      </c>
      <c r="AW88">
        <f t="shared" si="44"/>
        <v>0</v>
      </c>
      <c r="AX88">
        <f t="shared" si="45"/>
        <v>0</v>
      </c>
      <c r="AY88" s="35" cm="1">
        <f t="array" ref="AY88">IF($F$12-$I$4+VLOOKUP($Q88,武学奇术!$A:$ZZ,11,FALSE)+SUM(_xlfn.XLOOKUP(R88:AF88,增益!$A:$A,增益!$K:$K,0))&gt;0,($F$12-$I$4+VLOOKUP($Q88,武学奇术!$A:$ZZ,11,FALSE)+SUM(_xlfn.XLOOKUP(R88:AF88,增益!$A:$A,增益!$K:$K,0)))/200,($F$12-$I$4+VLOOKUP($Q88,武学奇术!$A:$ZZ,11,FALSE)+SUM(_xlfn.XLOOKUP(R88:AF88,增益!$A:$A,增益!$K:$K,0)))/100)</f>
        <v>-0.3</v>
      </c>
      <c r="AZ88" s="35" cm="1">
        <f t="array" ref="AZ88">$G$12+VLOOKUP($Q88,武学奇术!$A:$ZZ,12,FALSE)+SUM(_xlfn.XLOOKUP(R88:AF88,增益!$A:$A,增益!$L:$L,0))</f>
        <v>0</v>
      </c>
      <c r="BA88">
        <f t="shared" si="46"/>
        <v>0</v>
      </c>
      <c r="BB88">
        <f t="shared" si="47"/>
        <v>0</v>
      </c>
      <c r="BC88" s="35" cm="1">
        <f t="array" ref="BC88">IF($F$13-$I$4+VLOOKUP($Q88,武学奇术!$A:$ZZ,13,FALSE)+SUM(_xlfn.XLOOKUP(R88:AF88,增益!$A:$A,增益!$M:$M,0))&gt;0,($F$13-$I$4+VLOOKUP($Q88,武学奇术!$A:$ZZ,13,FALSE)+SUM(_xlfn.XLOOKUP(R88:AF88,增益!$A:$A,增益!$K:$K,0)))/200,($F$13-$I$4+VLOOKUP($Q88,武学奇术!$A:$ZZ,13,FALSE)+SUM(_xlfn.XLOOKUP(R88:AF88,增益!$A:$A,增益!$M:$M,0)))/100)</f>
        <v>-0.3</v>
      </c>
      <c r="BD88" s="35" cm="1">
        <f t="array" ref="BD88">$G$13+VLOOKUP($Q88,武学奇术!$A:$ZZ,14,FALSE)+SUM(_xlfn.XLOOKUP(R88:AF88,增益!$A:$A,增益!$N:$N,0))</f>
        <v>0</v>
      </c>
      <c r="BE88">
        <f t="shared" si="48"/>
        <v>538</v>
      </c>
      <c r="BF88">
        <f t="shared" si="49"/>
        <v>1561.4</v>
      </c>
      <c r="BG88" s="35" cm="1">
        <f t="array" ref="BG88">IF($F$14-$I$4+VLOOKUP($Q88,武学奇术!$A:$ZZ,15,FALSE)+SUM(_xlfn.XLOOKUP(R88:AF88,增益!$A:$A,增益!$O:$O,0))&gt;0,($F$14-$I$4+VLOOKUP($Q88,武学奇术!$A:$ZZ,15,FALSE)+SUM(_xlfn.XLOOKUP(R88:AF88,增益!$A:$A,增益!$O:$O,0)))/200,($F$14-$I$4+VLOOKUP($Q88,武学奇术!$A:$ZZ,15,FALSE)+SUM(_xlfn.XLOOKUP(R88:AF88,增益!$A:$A,增益!$O:$O,0)))/100)</f>
        <v>0</v>
      </c>
      <c r="BH88" s="35" cm="1">
        <f t="array" ref="BH88">$G$14+VLOOKUP($Q88,武学奇术!$A:$ZZ,16,FALSE)+SUM(_xlfn.XLOOKUP(R88:AF88,增益!$A:$A,增益!$P:$P,0))</f>
        <v>0.27</v>
      </c>
      <c r="BI88" s="30">
        <f>MIN(IF(VLOOKUP($Q88,武学奇术!$A:$ZZ,23,FALSE)=1,100%,$B$8),100%)</f>
        <v>1</v>
      </c>
      <c r="BJ88" s="30" cm="1">
        <f t="array" ref="BJ88">IF(VLOOKUP($Q88,武学奇术!$A:$ZZ,23,FALSE)=1,100%,MIN(80%,$B$9+VLOOKUP($Q88,武学奇术!$A:$ZZ,17,FALSE)+SUM(_xlfn.XLOOKUP(R88:AF88,增益!$A:$A,增益!$Q:$Q,0)))+$B$11+SUM(_xlfn.XLOOKUP(R88:AF88,增益!$A:$A,增益!$U:$U,0)))*IF(VLOOKUP($Q88,武学奇术!$A:$ZZ,24,FALSE)=1,0,1)</f>
        <v>1</v>
      </c>
      <c r="BK88" s="30" cm="1">
        <f t="array" ref="BK88">1+$B$13+VLOOKUP($Q88,武学奇术!$A:$ZZ,18,FALSE)+SUM(_xlfn.XLOOKUP(R88:AF88,增益!$A:$A,增益!$R:$R,0))</f>
        <v>1.87</v>
      </c>
      <c r="BL88" s="30" cm="1">
        <f t="array" ref="BL88">IF(VLOOKUP($Q88,武学奇术!$A:$ZZ,24,FALSE)=1,100%,MIN(40%,$B$10+VLOOKUP($Q88,武学奇术!$A:$ZZ,19,FALSE)+SUM(_xlfn.XLOOKUP(R88:AF88,增益!$A:$A,增益!$S:$S,0)))+$B$12+SUM(_xlfn.XLOOKUP(R88:AF88,增益!$A:$A,增益!$V:$V,0)))*IF(VLOOKUP($Q88,武学奇术!$A:$ZZ,23,FALSE)=1,0,1)</f>
        <v>0</v>
      </c>
      <c r="BM88" s="30" cm="1">
        <f t="array" ref="BM88">1+$B$14+VLOOKUP($Q88,武学奇术!$A:$ZZ,20,FALSE)+SUM(_xlfn.XLOOKUP(R88:AF88,增益!$A:$A,增益!$T:$T,0))</f>
        <v>1.35</v>
      </c>
      <c r="BN88" s="30">
        <f t="shared" si="22"/>
        <v>1</v>
      </c>
      <c r="BO88" s="30">
        <f t="shared" si="32"/>
        <v>0</v>
      </c>
      <c r="BP88" s="30">
        <f>IF(VLOOKUP($Q88,武学奇术!$A:$ZZ,22,FALSE)=1,0,(1-$BI88))*(1-$BL88)</f>
        <v>0</v>
      </c>
      <c r="BQ88" s="30" cm="1">
        <f t="array" ref="BQ88">SUM(_xlfn.XLOOKUP(R88:AF88,增益!$A:$A,增益!$W:$W,0))+$I$5</f>
        <v>0.11</v>
      </c>
    </row>
    <row r="89" spans="1:69">
      <c r="A89" s="4"/>
      <c r="B89" s="4"/>
      <c r="D89" s="4"/>
      <c r="E89" s="90"/>
      <c r="F89" s="4"/>
      <c r="G89" s="4"/>
      <c r="K89" s="41">
        <f t="shared" si="33"/>
        <v>55109.9176552668</v>
      </c>
      <c r="L89" s="41">
        <f>((($AN89+$AO89)/2*$AH89+$AI89)*(1+$AP89)*(1+$AQ89)+(($AS89+$AT89)/2*IF($G$1="鸣金",$AJ89,$AH89)+IF($G$1="鸣金",$AK89*1.5,0))*(1+$AU89)*(1+$AV89)+(($AW89+$AX89)/2*IF($G$1="裂石",$AJ89,$AH89)+IF($G$1="裂石",$AK89*1.5,0))*(1+$AY89)*(1+$AZ89)+(($BA89+$BB89)/2*IF($G$1="牵丝",$AJ89,$AH89)+IF($G$1="牵丝",$AK89*1.5,0))*(1+$BC89)*(1+$BD89)+(($BE89+$BF89)/2*IF($G$1="破竹",$AJ89,$AH89)+IF($G$1="破竹",$AK89*1.5,0))*(1+$BG89)*(1+$BH89))*(1+$AL89)*$BK89*$P89*(1+IF(VLOOKUP($Q89,武学奇术!$A:$ZZ,30,FALSE)="回旋伞",$B$21,0))*(1+$BQ89)</f>
        <v>55109.9176552668</v>
      </c>
      <c r="M89" s="41">
        <f>(($AO89*$AH89+$AI89)*(1+$AP89)*(1+$AQ89)+($AT89*IF($G$1="鸣金",$AJ89,$AH89)+IF($G$1="鸣金",$AK89*1.5,0))*(1+$AU89)*(1+$AV89)+($AX89*IF($G$1="裂石",$AJ89,$AH89)+IF($G$1="裂石",$AK89*1.5,0))*(1+$AY89)*(1+$AZ89)+($BB89*IF($G$1="牵丝",$AJ89,$AH89)+IF($G$1="牵丝",$AK89*1.5,0))*(1+$BC89)*(1+$BD89)+($BF89*IF($G$1="破竹",$AJ89,$AH89)+IF($G$1="破竹",$AK89*1.5,0))*(1+$BG89)*(1+$BH89))*(1+$AL89)*$BM89*$P89*(1+IF(VLOOKUP($Q89,武学奇术!$A:$ZZ,30,FALSE)="回旋伞",$B$21,0))*(1+$BQ89)</f>
        <v>44403.3677520915</v>
      </c>
      <c r="N89" s="41">
        <f>((($AN89+$AO89)/2*$AH89+$AI89)*(1+$AP89)*(1+$AQ89)+(($AS89+$AT89)/2*IF($G$1="鸣金",$AJ89,$AH89)+IF($G$1="鸣金",$AK89*1.5,0))*(1+$AU89)*(1+$AV89)+(($AW89+$AX89)/2*IF($G$1="裂石",$AJ89,$AH89)+IF($G$1="裂石",$AK89*1.5,0))*(1+$AY89)*(1+$AZ89)+(($BA89+$BB89)/2*IF($G$1="牵丝",$AJ89,$AH89)+IF($G$1="牵丝",$AK89*1.5,0))*(1+$BC89)*(1+$BD89)+(($BE89+$BF89)/2*IF($G$1="破竹",$AJ89,$AH89)+IF($G$1="破竹",$AK89*1.5,0))*(1+$BG89)*(1+$BH89))*(1+$AL89)*$P89*(1+IF(VLOOKUP($Q89,武学奇术!$A:$ZZ,30,FALSE)="回旋伞",$B$21,0))*(1+$BQ89)</f>
        <v>29470.5442006774</v>
      </c>
      <c r="O89" s="41">
        <f>((($AN89*$AH89+$AI89)*(1+$AP89)*(1+$AQ89)+($AS89*IF($G$1="鸣金",$AJ89,$AH89)+IF($G$1="鸣金",$AK89*1.5,0))*(1+$AU89)*(1+$AV89)+($AW89*IF($G$1="裂石",$AJ89,$AH89)+IF($G$1="裂石",$AK89*1.5,0))*(1+$AY89)*(1+$AZ89)+($BA89*IF($G$1="牵丝",$AJ89,$AH89)+IF($G$1="牵丝",$AK89*1.5,0))*(1+$BC89)*(1+$BD89)+($BE89*IF($G$1="破竹",$AJ89,$AH89)+IF($G$1="破竹",$AK89*1.5,0))*(1+$BG89)*(1+$BH89))*(1+$AL89))*$P89*(1+IF(VLOOKUP($Q89,武学奇术!$A:$ZZ,30,FALSE)="回旋伞",$B$21,0))*(1+$BQ89)</f>
        <v>26049.7048812871</v>
      </c>
      <c r="P89" s="42">
        <v>1</v>
      </c>
      <c r="Q89" s="43" t="s">
        <v>150</v>
      </c>
      <c r="R89" s="43" t="s">
        <v>71</v>
      </c>
      <c r="S89" s="43" t="s">
        <v>91</v>
      </c>
      <c r="T89" s="43" t="s">
        <v>72</v>
      </c>
      <c r="U89" s="43" t="s">
        <v>71</v>
      </c>
      <c r="V89" s="43" t="s">
        <v>167</v>
      </c>
      <c r="W89" s="43" t="s">
        <v>95</v>
      </c>
      <c r="X89" s="43" t="s">
        <v>71</v>
      </c>
      <c r="Y89" s="43" t="s">
        <v>71</v>
      </c>
      <c r="Z89" s="43" t="s">
        <v>71</v>
      </c>
      <c r="AA89" s="43" t="s">
        <v>71</v>
      </c>
      <c r="AB89" s="43" t="s">
        <v>71</v>
      </c>
      <c r="AC89" s="43" t="s">
        <v>71</v>
      </c>
      <c r="AD89" s="43" t="s">
        <v>71</v>
      </c>
      <c r="AE89" s="43" t="s">
        <v>71</v>
      </c>
      <c r="AF89" s="43" t="s">
        <v>76</v>
      </c>
      <c r="AG89" t="str">
        <f>VLOOKUP($Q89,武学奇术!$A:$ZZ,25,FALSE)</f>
        <v>绳镖</v>
      </c>
      <c r="AH89" s="30">
        <f>VLOOKUP($Q89,武学奇术!$A:$ZZ,26,FALSE)</f>
        <v>2.2987</v>
      </c>
      <c r="AI89" s="31">
        <f>VLOOKUP($Q89,武学奇术!$A:$ZZ,27,FALSE)*(1+IF(OR($AG89=$F$4,$AG89=$F$5),$B$22,0))</f>
        <v>891.8</v>
      </c>
      <c r="AJ89" s="30">
        <f>VLOOKUP($Q89,武学奇术!$A:$ZZ,28,FALSE)</f>
        <v>3.448</v>
      </c>
      <c r="AK89" s="31">
        <f>VLOOKUP($Q89,武学奇术!$A:$ZZ,29,FALSE)*(1+IF(OR($AG89=$F$4,$AG89=$F$5),$B$22,0))</f>
        <v>485.8</v>
      </c>
      <c r="AL89" s="30" cm="1">
        <f t="array" ref="AL89">$G$3+IFERROR(VLOOKUP($AG89,$F$4:$G$7,2,FALSE),0)+VLOOKUP($Q89,武学奇术!$A:$ZZ,2,FALSE)+SUM(_xlfn.XLOOKUP($R89:$AF89,增益!$A:$A,增益!$B:$B,0))</f>
        <v>0.5189</v>
      </c>
      <c r="AM89" s="30" cm="1">
        <f t="array" ref="AM89">VLOOKUP($Q89,武学奇术!$A:$ZZ,5,FALSE)+SUM(_xlfn.XLOOKUP($R89:$AF89,增益!$A:$A,增益!$E:$E,0))</f>
        <v>0</v>
      </c>
      <c r="AN89" cm="1">
        <f t="array" ref="AN89">$D$10*(1+$AM89)+VLOOKUP($Q89,武学奇术!$A:$ZZ,3,FALSE)+SUM(_xlfn.XLOOKUP($R89:$AF89,增益!$A:$A,增益!$C:$C,0))-$I$2</f>
        <v>3545.8</v>
      </c>
      <c r="AO89" cm="1">
        <f t="array" ref="AO89">$E$10*(1+$AM89)+VLOOKUP($Q89,武学奇术!$A:$ZZ,4,FALSE)+SUM(_xlfn.XLOOKUP($R89:$AF89,增益!$A:$A,增益!$D:$D,0))-$I$2</f>
        <v>3545.8</v>
      </c>
      <c r="AP89" s="35" cm="1">
        <f t="array" ref="AP89">IF($F$10-$I$3+VLOOKUP($Q89,武学奇术!$A:$ZZ,6,FALSE)+SUM(_xlfn.XLOOKUP(R89:AF89,增益!$A:$A,增益!$F:$F,0))&gt;0,($F$10-$I$3+VLOOKUP($Q89,武学奇术!$A:$ZZ,6,FALSE)+SUM(_xlfn.XLOOKUP(R89:AF89,增益!$A:$A,增益!$F:$F,0)))/200,($F$10-$I$3+VLOOKUP($Q89,武学奇术!$A:$ZZ,6,FALSE)+SUM(_xlfn.XLOOKUP(R89:AF89,增益!$A:$A,增益!$F:$F,0)))/100)</f>
        <v>0.3425</v>
      </c>
      <c r="AQ89" s="35" cm="1">
        <f t="array" ref="AQ89">$G$10+VLOOKUP($Q89,武学奇术!$A:$ZZ,7,FALSE)+SUM(_xlfn.XLOOKUP(R89:AF89,增益!$A:$A,增益!$G:$G,0))</f>
        <v>0.028</v>
      </c>
      <c r="AR89" s="30" cm="1">
        <f t="array" ref="AR89">VLOOKUP($Q89,武学奇术!$A:$ZZ,8,FALSE)+SUM(_xlfn.XLOOKUP(R89:AF89,增益!$A:$A,增益!$H:$H,0))</f>
        <v>0</v>
      </c>
      <c r="AS89">
        <f t="shared" si="42"/>
        <v>0</v>
      </c>
      <c r="AT89">
        <f t="shared" si="43"/>
        <v>0</v>
      </c>
      <c r="AU89" s="35" cm="1">
        <f t="array" ref="AU89">IF($F$11-$I$4+VLOOKUP($Q89,武学奇术!$A:$ZZ,9,FALSE)+SUM(_xlfn.XLOOKUP(R89:AF89,增益!$A:$A,增益!$I:$I,0))&gt;0,($F$11-$I$4+VLOOKUP($Q89,武学奇术!$A:$ZZ,9,FALSE)+SUM(_xlfn.XLOOKUP(R89:AF89,增益!$A:$A,增益!$I:$I,0)))/200,($F$11-$I$4+VLOOKUP($Q89,武学奇术!$A:$ZZ,9,FALSE)+SUM(_xlfn.XLOOKUP(R89:AF89,增益!$A:$A,增益!$I:$I,0)))/100)</f>
        <v>-0.3</v>
      </c>
      <c r="AV89" s="35" cm="1">
        <f t="array" ref="AV89">$G$11+VLOOKUP($Q89,武学奇术!$A:$ZZ,10,FALSE)+SUM(_xlfn.XLOOKUP(R89:AF89,增益!$A:$A,增益!$J:$J,0))</f>
        <v>0</v>
      </c>
      <c r="AW89">
        <f t="shared" si="44"/>
        <v>0</v>
      </c>
      <c r="AX89">
        <f t="shared" si="45"/>
        <v>0</v>
      </c>
      <c r="AY89" s="35" cm="1">
        <f t="array" ref="AY89">IF($F$12-$I$4+VLOOKUP($Q89,武学奇术!$A:$ZZ,11,FALSE)+SUM(_xlfn.XLOOKUP(R89:AF89,增益!$A:$A,增益!$K:$K,0))&gt;0,($F$12-$I$4+VLOOKUP($Q89,武学奇术!$A:$ZZ,11,FALSE)+SUM(_xlfn.XLOOKUP(R89:AF89,增益!$A:$A,增益!$K:$K,0)))/200,($F$12-$I$4+VLOOKUP($Q89,武学奇术!$A:$ZZ,11,FALSE)+SUM(_xlfn.XLOOKUP(R89:AF89,增益!$A:$A,增益!$K:$K,0)))/100)</f>
        <v>-0.3</v>
      </c>
      <c r="AZ89" s="35" cm="1">
        <f t="array" ref="AZ89">$G$12+VLOOKUP($Q89,武学奇术!$A:$ZZ,12,FALSE)+SUM(_xlfn.XLOOKUP(R89:AF89,增益!$A:$A,增益!$L:$L,0))</f>
        <v>0</v>
      </c>
      <c r="BA89">
        <f t="shared" si="46"/>
        <v>0</v>
      </c>
      <c r="BB89">
        <f t="shared" si="47"/>
        <v>0</v>
      </c>
      <c r="BC89" s="35" cm="1">
        <f t="array" ref="BC89">IF($F$13-$I$4+VLOOKUP($Q89,武学奇术!$A:$ZZ,13,FALSE)+SUM(_xlfn.XLOOKUP(R89:AF89,增益!$A:$A,增益!$M:$M,0))&gt;0,($F$13-$I$4+VLOOKUP($Q89,武学奇术!$A:$ZZ,13,FALSE)+SUM(_xlfn.XLOOKUP(R89:AF89,增益!$A:$A,增益!$K:$K,0)))/200,($F$13-$I$4+VLOOKUP($Q89,武学奇术!$A:$ZZ,13,FALSE)+SUM(_xlfn.XLOOKUP(R89:AF89,增益!$A:$A,增益!$M:$M,0)))/100)</f>
        <v>-0.3</v>
      </c>
      <c r="BD89" s="35" cm="1">
        <f t="array" ref="BD89">$G$13+VLOOKUP($Q89,武学奇术!$A:$ZZ,14,FALSE)+SUM(_xlfn.XLOOKUP(R89:AF89,增益!$A:$A,增益!$N:$N,0))</f>
        <v>0</v>
      </c>
      <c r="BE89">
        <f t="shared" si="48"/>
        <v>538</v>
      </c>
      <c r="BF89">
        <f t="shared" si="49"/>
        <v>1561.4</v>
      </c>
      <c r="BG89" s="35" cm="1">
        <f t="array" ref="BG89">IF($F$14-$I$4+VLOOKUP($Q89,武学奇术!$A:$ZZ,15,FALSE)+SUM(_xlfn.XLOOKUP(R89:AF89,增益!$A:$A,增益!$O:$O,0))&gt;0,($F$14-$I$4+VLOOKUP($Q89,武学奇术!$A:$ZZ,15,FALSE)+SUM(_xlfn.XLOOKUP(R89:AF89,增益!$A:$A,增益!$O:$O,0)))/200,($F$14-$I$4+VLOOKUP($Q89,武学奇术!$A:$ZZ,15,FALSE)+SUM(_xlfn.XLOOKUP(R89:AF89,增益!$A:$A,增益!$O:$O,0)))/100)</f>
        <v>0</v>
      </c>
      <c r="BH89" s="35" cm="1">
        <f t="array" ref="BH89">$G$14+VLOOKUP($Q89,武学奇术!$A:$ZZ,16,FALSE)+SUM(_xlfn.XLOOKUP(R89:AF89,增益!$A:$A,增益!$P:$P,0))</f>
        <v>0.15</v>
      </c>
      <c r="BI89" s="30">
        <f>MIN(IF(VLOOKUP($Q89,武学奇术!$A:$ZZ,23,FALSE)=1,100%,$B$8),100%)</f>
        <v>1</v>
      </c>
      <c r="BJ89" s="30" cm="1">
        <f t="array" ref="BJ89">IF(VLOOKUP($Q89,武学奇术!$A:$ZZ,23,FALSE)=1,100%,MIN(80%,$B$9+VLOOKUP($Q89,武学奇术!$A:$ZZ,17,FALSE)+SUM(_xlfn.XLOOKUP(R89:AF89,增益!$A:$A,增益!$Q:$Q,0)))+$B$11+SUM(_xlfn.XLOOKUP(R89:AF89,增益!$A:$A,增益!$U:$U,0)))*IF(VLOOKUP($Q89,武学奇术!$A:$ZZ,24,FALSE)=1,0,1)</f>
        <v>1</v>
      </c>
      <c r="BK89" s="30" cm="1">
        <f t="array" ref="BK89">1+$B$13+VLOOKUP($Q89,武学奇术!$A:$ZZ,18,FALSE)+SUM(_xlfn.XLOOKUP(R89:AF89,增益!$A:$A,增益!$R:$R,0))</f>
        <v>1.87</v>
      </c>
      <c r="BL89" s="30" cm="1">
        <f t="array" ref="BL89">IF(VLOOKUP($Q89,武学奇术!$A:$ZZ,24,FALSE)=1,100%,MIN(40%,$B$10+VLOOKUP($Q89,武学奇术!$A:$ZZ,19,FALSE)+SUM(_xlfn.XLOOKUP(R89:AF89,增益!$A:$A,增益!$S:$S,0)))+$B$12+SUM(_xlfn.XLOOKUP(R89:AF89,增益!$A:$A,增益!$V:$V,0)))*IF(VLOOKUP($Q89,武学奇术!$A:$ZZ,23,FALSE)=1,0,1)</f>
        <v>0</v>
      </c>
      <c r="BM89" s="30" cm="1">
        <f t="array" ref="BM89">1+$B$14+VLOOKUP($Q89,武学奇术!$A:$ZZ,20,FALSE)+SUM(_xlfn.XLOOKUP(R89:AF89,增益!$A:$A,增益!$T:$T,0))</f>
        <v>1.35</v>
      </c>
      <c r="BN89" s="30">
        <f t="shared" si="22"/>
        <v>1</v>
      </c>
      <c r="BO89" s="30">
        <f t="shared" si="32"/>
        <v>0</v>
      </c>
      <c r="BP89" s="30">
        <f>IF(VLOOKUP($Q89,武学奇术!$A:$ZZ,22,FALSE)=1,0,(1-$BI89))*(1-$BL89)</f>
        <v>0</v>
      </c>
      <c r="BQ89" s="30" cm="1">
        <f t="array" ref="BQ89">SUM(_xlfn.XLOOKUP(R89:AF89,增益!$A:$A,增益!$W:$W,0))+$I$5</f>
        <v>0.11</v>
      </c>
    </row>
    <row r="90" spans="1:69">
      <c r="A90" s="4"/>
      <c r="B90" s="4"/>
      <c r="K90" s="89">
        <f>(SUM(K73:K89)+K146+K147)*10%</f>
        <v>173890.785954453</v>
      </c>
      <c r="L90" s="41">
        <f>((($AN90+$AO90)/2*$AH90+$AI90)*(1+$AP90)*(1+$AQ90)+(($AS90+$AT90)/2*IF($G$1="鸣金",$AJ90,$AH90)+IF($G$1="鸣金",$AK90*1.5,0))*(1+$AU90)*(1+$AV90)+(($AW90+$AX90)/2*IF($G$1="裂石",$AJ90,$AH90)+IF($G$1="裂石",$AK90*1.5,0))*(1+$AY90)*(1+$AZ90)+(($BA90+$BB90)/2*IF($G$1="牵丝",$AJ90,$AH90)+IF($G$1="牵丝",$AK90*1.5,0))*(1+$BC90)*(1+$BD90)+(($BE90+$BF90)/2*IF($G$1="破竹",$AJ90,$AH90)+IF($G$1="破竹",$AK90*1.5,0))*(1+$BG90)*(1+$BH90))*(1+$AL90)*$BK90*$P90*(1+IF(VLOOKUP($Q90,武学奇术!$A:$ZZ,30,FALSE)="回旋伞",$B$21,0))*(1+$BQ90)</f>
        <v>0</v>
      </c>
      <c r="M90" s="41">
        <f>(($AO90*$AH90+$AI90)*(1+$AP90)*(1+$AQ90)+($AT90*IF($G$1="鸣金",$AJ90,$AH90)+IF($G$1="鸣金",$AK90*1.5,0))*(1+$AU90)*(1+$AV90)+($AX90*IF($G$1="裂石",$AJ90,$AH90)+IF($G$1="裂石",$AK90*1.5,0))*(1+$AY90)*(1+$AZ90)+($BB90*IF($G$1="牵丝",$AJ90,$AH90)+IF($G$1="牵丝",$AK90*1.5,0))*(1+$BC90)*(1+$BD90)+($BF90*IF($G$1="破竹",$AJ90,$AH90)+IF($G$1="破竹",$AK90*1.5,0))*(1+$BG90)*(1+$BH90))*(1+$AL90)*$BM90*$P90*(1+IF(VLOOKUP($Q90,武学奇术!$A:$ZZ,30,FALSE)="回旋伞",$B$21,0))*(1+$BQ90)</f>
        <v>0</v>
      </c>
      <c r="N90" s="41">
        <f>((($AN90+$AO90)/2*$AH90+$AI90)*(1+$AP90)*(1+$AQ90)+(($AS90+$AT90)/2*IF($G$1="鸣金",$AJ90,$AH90)+IF($G$1="鸣金",$AK90*1.5,0))*(1+$AU90)*(1+$AV90)+(($AW90+$AX90)/2*IF($G$1="裂石",$AJ90,$AH90)+IF($G$1="裂石",$AK90*1.5,0))*(1+$AY90)*(1+$AZ90)+(($BA90+$BB90)/2*IF($G$1="牵丝",$AJ90,$AH90)+IF($G$1="牵丝",$AK90*1.5,0))*(1+$BC90)*(1+$BD90)+(($BE90+$BF90)/2*IF($G$1="破竹",$AJ90,$AH90)+IF($G$1="破竹",$AK90*1.5,0))*(1+$BG90)*(1+$BH90))*(1+$AL90)*$P90*(1+IF(VLOOKUP($Q90,武学奇术!$A:$ZZ,30,FALSE)="回旋伞",$B$21,0))*(1+$BQ90)</f>
        <v>0</v>
      </c>
      <c r="O90" s="41">
        <f>((($AN90*$AH90+$AI90)*(1+$AP90)*(1+$AQ90)+($AS90*IF($G$1="鸣金",$AJ90,$AH90)+IF($G$1="鸣金",$AK90*1.5,0))*(1+$AU90)*(1+$AV90)+($AW90*IF($G$1="裂石",$AJ90,$AH90)+IF($G$1="裂石",$AK90*1.5,0))*(1+$AY90)*(1+$AZ90)+($BA90*IF($G$1="牵丝",$AJ90,$AH90)+IF($G$1="牵丝",$AK90*1.5,0))*(1+$BC90)*(1+$BD90)+($BE90*IF($G$1="破竹",$AJ90,$AH90)+IF($G$1="破竹",$AK90*1.5,0))*(1+$BG90)*(1+$BH90))*(1+$AL90))*$P90*(1+IF(VLOOKUP($Q90,武学奇术!$A:$ZZ,30,FALSE)="回旋伞",$B$21,0))*(1+$BQ90)</f>
        <v>0</v>
      </c>
      <c r="P90" s="42">
        <v>1</v>
      </c>
      <c r="Q90" s="43" t="s">
        <v>152</v>
      </c>
      <c r="R90" s="43" t="s">
        <v>71</v>
      </c>
      <c r="S90" s="43" t="s">
        <v>71</v>
      </c>
      <c r="T90" s="43" t="s">
        <v>71</v>
      </c>
      <c r="U90" s="43" t="s">
        <v>71</v>
      </c>
      <c r="V90" s="43" t="s">
        <v>71</v>
      </c>
      <c r="W90" s="43" t="s">
        <v>71</v>
      </c>
      <c r="X90" s="43" t="s">
        <v>71</v>
      </c>
      <c r="Y90" s="43" t="s">
        <v>71</v>
      </c>
      <c r="Z90" s="43" t="s">
        <v>71</v>
      </c>
      <c r="AA90" s="43" t="s">
        <v>71</v>
      </c>
      <c r="AB90" s="43" t="s">
        <v>71</v>
      </c>
      <c r="AC90" s="43" t="s">
        <v>71</v>
      </c>
      <c r="AD90" s="43" t="s">
        <v>71</v>
      </c>
      <c r="AE90" s="43" t="s">
        <v>71</v>
      </c>
      <c r="AF90" s="43" t="s">
        <v>76</v>
      </c>
      <c r="AG90" t="str">
        <f>VLOOKUP($Q90,武学奇术!$A:$ZZ,25,FALSE)</f>
        <v>心法</v>
      </c>
      <c r="AH90" s="30">
        <f>VLOOKUP($Q90,武学奇术!$A:$ZZ,26,FALSE)</f>
        <v>0</v>
      </c>
      <c r="AI90" s="31">
        <f>VLOOKUP($Q90,武学奇术!$A:$ZZ,27,FALSE)*(1+IF(OR($AG90=$F$4,$AG90=$F$5),$B$22,0))</f>
        <v>0</v>
      </c>
      <c r="AJ90" s="30">
        <f>VLOOKUP($Q90,武学奇术!$A:$ZZ,28,FALSE)</f>
        <v>0</v>
      </c>
      <c r="AK90" s="31">
        <f>VLOOKUP($Q90,武学奇术!$A:$ZZ,29,FALSE)*(1+IF(OR($AG90=$F$4,$AG90=$F$5),$B$22,0))</f>
        <v>0</v>
      </c>
      <c r="AL90" s="30" cm="1">
        <f t="array" ref="AL90">$G$3+IFERROR(VLOOKUP($AG90,$F$4:$G$7,2,FALSE),0)+VLOOKUP($Q90,武学奇术!$A:$ZZ,2,FALSE)+SUM(_xlfn.XLOOKUP($R90:$AF90,增益!$A:$A,增益!$B:$B,0))</f>
        <v>0.1837</v>
      </c>
      <c r="AM90" s="30" cm="1">
        <f t="array" ref="AM90">VLOOKUP($Q90,武学奇术!$A:$ZZ,5,FALSE)+SUM(_xlfn.XLOOKUP($R90:$AF90,增益!$A:$A,增益!$E:$E,0))</f>
        <v>0</v>
      </c>
      <c r="AN90" cm="1">
        <f t="array" ref="AN90">$D$10*(1+$AM90)+VLOOKUP($Q90,武学奇术!$A:$ZZ,3,FALSE)+SUM(_xlfn.XLOOKUP($R90:$AF90,增益!$A:$A,增益!$C:$C,0))-$I$2</f>
        <v>3545.8</v>
      </c>
      <c r="AO90" cm="1">
        <f t="array" ref="AO90">$E$10*(1+$AM90)+VLOOKUP($Q90,武学奇术!$A:$ZZ,4,FALSE)+SUM(_xlfn.XLOOKUP($R90:$AF90,增益!$A:$A,增益!$D:$D,0))-$I$2</f>
        <v>3545.8</v>
      </c>
      <c r="AP90" s="35" cm="1">
        <f t="array" ref="AP90">IF($F$10-$I$3+VLOOKUP($Q90,武学奇术!$A:$ZZ,6,FALSE)+SUM(_xlfn.XLOOKUP(R90:AF90,增益!$A:$A,增益!$F:$F,0))&gt;0,($F$10-$I$3+VLOOKUP($Q90,武学奇术!$A:$ZZ,6,FALSE)+SUM(_xlfn.XLOOKUP(R90:AF90,增益!$A:$A,增益!$F:$F,0)))/200,($F$10-$I$3+VLOOKUP($Q90,武学奇术!$A:$ZZ,6,FALSE)+SUM(_xlfn.XLOOKUP(R90:AF90,增益!$A:$A,增益!$F:$F,0)))/100)</f>
        <v>0.2425</v>
      </c>
      <c r="AQ90" s="35" cm="1">
        <f t="array" ref="AQ90">$G$10+VLOOKUP($Q90,武学奇术!$A:$ZZ,7,FALSE)+SUM(_xlfn.XLOOKUP(R90:AF90,增益!$A:$A,增益!$G:$G,0))</f>
        <v>0.028</v>
      </c>
      <c r="AR90" s="30" cm="1">
        <f t="array" ref="AR90">VLOOKUP($Q90,武学奇术!$A:$ZZ,8,FALSE)+SUM(_xlfn.XLOOKUP(R90:AF90,增益!$A:$A,增益!$H:$H,0))</f>
        <v>0</v>
      </c>
      <c r="AS90">
        <f t="shared" si="42"/>
        <v>0</v>
      </c>
      <c r="AT90">
        <f t="shared" si="43"/>
        <v>0</v>
      </c>
      <c r="AU90" s="35" cm="1">
        <f t="array" ref="AU90">IF($F$11-$I$4+VLOOKUP($Q90,武学奇术!$A:$ZZ,9,FALSE)+SUM(_xlfn.XLOOKUP(R90:AF90,增益!$A:$A,增益!$I:$I,0))&gt;0,($F$11-$I$4+VLOOKUP($Q90,武学奇术!$A:$ZZ,9,FALSE)+SUM(_xlfn.XLOOKUP(R90:AF90,增益!$A:$A,增益!$I:$I,0)))/200,($F$11-$I$4+VLOOKUP($Q90,武学奇术!$A:$ZZ,9,FALSE)+SUM(_xlfn.XLOOKUP(R90:AF90,增益!$A:$A,增益!$I:$I,0)))/100)</f>
        <v>-0.3</v>
      </c>
      <c r="AV90" s="35" cm="1">
        <f t="array" ref="AV90">$G$11+VLOOKUP($Q90,武学奇术!$A:$ZZ,10,FALSE)+SUM(_xlfn.XLOOKUP(R90:AF90,增益!$A:$A,增益!$J:$J,0))</f>
        <v>0</v>
      </c>
      <c r="AW90">
        <f t="shared" si="44"/>
        <v>0</v>
      </c>
      <c r="AX90">
        <f t="shared" si="45"/>
        <v>0</v>
      </c>
      <c r="AY90" s="35" cm="1">
        <f t="array" ref="AY90">IF($F$12-$I$4+VLOOKUP($Q90,武学奇术!$A:$ZZ,11,FALSE)+SUM(_xlfn.XLOOKUP(R90:AF90,增益!$A:$A,增益!$K:$K,0))&gt;0,($F$12-$I$4+VLOOKUP($Q90,武学奇术!$A:$ZZ,11,FALSE)+SUM(_xlfn.XLOOKUP(R90:AF90,增益!$A:$A,增益!$K:$K,0)))/200,($F$12-$I$4+VLOOKUP($Q90,武学奇术!$A:$ZZ,11,FALSE)+SUM(_xlfn.XLOOKUP(R90:AF90,增益!$A:$A,增益!$K:$K,0)))/100)</f>
        <v>-0.3</v>
      </c>
      <c r="AZ90" s="35" cm="1">
        <f t="array" ref="AZ90">$G$12+VLOOKUP($Q90,武学奇术!$A:$ZZ,12,FALSE)+SUM(_xlfn.XLOOKUP(R90:AF90,增益!$A:$A,增益!$L:$L,0))</f>
        <v>0</v>
      </c>
      <c r="BA90">
        <f t="shared" si="46"/>
        <v>0</v>
      </c>
      <c r="BB90">
        <f t="shared" si="47"/>
        <v>0</v>
      </c>
      <c r="BC90" s="35" cm="1">
        <f t="array" ref="BC90">IF($F$13-$I$4+VLOOKUP($Q90,武学奇术!$A:$ZZ,13,FALSE)+SUM(_xlfn.XLOOKUP(R90:AF90,增益!$A:$A,增益!$M:$M,0))&gt;0,($F$13-$I$4+VLOOKUP($Q90,武学奇术!$A:$ZZ,13,FALSE)+SUM(_xlfn.XLOOKUP(R90:AF90,增益!$A:$A,增益!$K:$K,0)))/200,($F$13-$I$4+VLOOKUP($Q90,武学奇术!$A:$ZZ,13,FALSE)+SUM(_xlfn.XLOOKUP(R90:AF90,增益!$A:$A,增益!$M:$M,0)))/100)</f>
        <v>-0.3</v>
      </c>
      <c r="BD90" s="35" cm="1">
        <f t="array" ref="BD90">$G$13+VLOOKUP($Q90,武学奇术!$A:$ZZ,14,FALSE)+SUM(_xlfn.XLOOKUP(R90:AF90,增益!$A:$A,增益!$N:$N,0))</f>
        <v>0</v>
      </c>
      <c r="BE90">
        <f t="shared" si="48"/>
        <v>538</v>
      </c>
      <c r="BF90">
        <f t="shared" si="49"/>
        <v>1561.4</v>
      </c>
      <c r="BG90" s="35" cm="1">
        <f t="array" ref="BG90">IF($F$14-$I$4+VLOOKUP($Q90,武学奇术!$A:$ZZ,15,FALSE)+SUM(_xlfn.XLOOKUP(R90:AF90,增益!$A:$A,增益!$O:$O,0))&gt;0,($F$14-$I$4+VLOOKUP($Q90,武学奇术!$A:$ZZ,15,FALSE)+SUM(_xlfn.XLOOKUP(R90:AF90,增益!$A:$A,增益!$O:$O,0)))/200,($F$14-$I$4+VLOOKUP($Q90,武学奇术!$A:$ZZ,15,FALSE)+SUM(_xlfn.XLOOKUP(R90:AF90,增益!$A:$A,增益!$O:$O,0)))/100)</f>
        <v>0</v>
      </c>
      <c r="BH90" s="35" cm="1">
        <f t="array" ref="BH90">$G$14+VLOOKUP($Q90,武学奇术!$A:$ZZ,16,FALSE)+SUM(_xlfn.XLOOKUP(R90:AF90,增益!$A:$A,增益!$P:$P,0))</f>
        <v>0.15</v>
      </c>
      <c r="BI90" s="30">
        <f>MIN(IF(VLOOKUP($Q90,武学奇术!$A:$ZZ,23,FALSE)=1,100%,$B$8),100%)</f>
        <v>0.9712</v>
      </c>
      <c r="BJ90" s="30" cm="1">
        <f t="array" ref="BJ90">IF(VLOOKUP($Q90,武学奇术!$A:$ZZ,23,FALSE)=1,100%,MIN(80%,$B$9+VLOOKUP($Q90,武学奇术!$A:$ZZ,17,FALSE)+SUM(_xlfn.XLOOKUP(R90:AF90,增益!$A:$A,增益!$Q:$Q,0)))+$B$11+SUM(_xlfn.XLOOKUP(R90:AF90,增益!$A:$A,增益!$U:$U,0)))*IF(VLOOKUP($Q90,武学奇术!$A:$ZZ,24,FALSE)=1,0,1)</f>
        <v>0.8773</v>
      </c>
      <c r="BK90" s="30" cm="1">
        <f t="array" ref="BK90">1+$B$13+VLOOKUP($Q90,武学奇术!$A:$ZZ,18,FALSE)+SUM(_xlfn.XLOOKUP(R90:AF90,增益!$A:$A,增益!$R:$R,0))</f>
        <v>1.5</v>
      </c>
      <c r="BL90" s="30" cm="1">
        <f t="array" ref="BL90">IF(VLOOKUP($Q90,武学奇术!$A:$ZZ,24,FALSE)=1,100%,MIN(40%,$B$10+VLOOKUP($Q90,武学奇术!$A:$ZZ,19,FALSE)+SUM(_xlfn.XLOOKUP(R90:AF90,增益!$A:$A,增益!$S:$S,0)))+$B$12+SUM(_xlfn.XLOOKUP(R90:AF90,增益!$A:$A,增益!$V:$V,0)))*IF(VLOOKUP($Q90,武学奇术!$A:$ZZ,23,FALSE)=1,0,1)</f>
        <v>0.0895</v>
      </c>
      <c r="BM90" s="30" cm="1">
        <f t="array" ref="BM90">1+$B$14+VLOOKUP($Q90,武学奇术!$A:$ZZ,20,FALSE)+SUM(_xlfn.XLOOKUP(R90:AF90,增益!$A:$A,增益!$T:$T,0))</f>
        <v>1.35</v>
      </c>
      <c r="BN90" s="30">
        <f t="shared" si="22"/>
        <v>0.85203376</v>
      </c>
      <c r="BO90" s="30">
        <f t="shared" si="32"/>
        <v>0.03224384</v>
      </c>
      <c r="BP90" s="30">
        <f>IF(VLOOKUP($Q90,武学奇术!$A:$ZZ,22,FALSE)=1,0,(1-$BI90))*(1-$BL90)</f>
        <v>0.0262224</v>
      </c>
      <c r="BQ90" s="30" cm="1">
        <f t="array" ref="BQ90">SUM(_xlfn.XLOOKUP(R90:AF90,增益!$A:$A,增益!$W:$W,0))+$I$5</f>
        <v>0.11</v>
      </c>
    </row>
    <row r="91" spans="1:69">
      <c r="A91" s="4"/>
      <c r="B91"/>
      <c r="K91" s="41">
        <f t="shared" ref="K91:K111" si="50">($L91*$BN91+$M91*$BL91+$N91*$BO91+$O91*$BP91)</f>
        <v>82287.7085167288</v>
      </c>
      <c r="L91" s="41">
        <f>((($AN91+$AO91)/2*$AH91+$AI91)*(1+$AP91)*(1+$AQ91)+(($AS91+$AT91)/2*IF($G$1="鸣金",$AJ91,$AH91)+IF($G$1="鸣金",$AK91*1.5,0))*(1+$AU91)*(1+$AV91)+(($AW91+$AX91)/2*IF($G$1="裂石",$AJ91,$AH91)+IF($G$1="裂石",$AK91*1.5,0))*(1+$AY91)*(1+$AZ91)+(($BA91+$BB91)/2*IF($G$1="牵丝",$AJ91,$AH91)+IF($G$1="牵丝",$AK91*1.5,0))*(1+$BC91)*(1+$BD91)+(($BE91+$BF91)/2*IF($G$1="破竹",$AJ91,$AH91)+IF($G$1="破竹",$AK91*1.5,0))*(1+$BG91)*(1+$BH91))*(1+$AL91)*$BK91*$P91*(1+IF(VLOOKUP($Q91,武学奇术!$A:$ZZ,30,FALSE)="回旋伞",$B$21,0))*(1+$BQ91)</f>
        <v>86232.9121555049</v>
      </c>
      <c r="M91" s="41">
        <f>(($AO91*$AH91+$AI91)*(1+$AP91)*(1+$AQ91)+($AT91*IF($G$1="鸣金",$AJ91,$AH91)+IF($G$1="鸣金",$AK91*1.5,0))*(1+$AU91)*(1+$AV91)+($AX91*IF($G$1="裂石",$AJ91,$AH91)+IF($G$1="裂石",$AK91*1.5,0))*(1+$AY91)*(1+$AZ91)+($BB91*IF($G$1="牵丝",$AJ91,$AH91)+IF($G$1="牵丝",$AK91*1.5,0))*(1+$BC91)*(1+$BD91)+($BF91*IF($G$1="破竹",$AJ91,$AH91)+IF($G$1="破竹",$AK91*1.5,0))*(1+$BG91)*(1+$BH91))*(1+$AL91)*$BM91*$P91*(1+IF(VLOOKUP($Q91,武学奇术!$A:$ZZ,30,FALSE)="回旋伞",$B$21,0))*(1+$BQ91)</f>
        <v>70053.0327404126</v>
      </c>
      <c r="N91" s="41">
        <f>((($AN91+$AO91)/2*$AH91+$AI91)*(1+$AP91)*(1+$AQ91)+(($AS91+$AT91)/2*IF($G$1="鸣金",$AJ91,$AH91)+IF($G$1="鸣金",$AK91*1.5,0))*(1+$AU91)*(1+$AV91)+(($AW91+$AX91)/2*IF($G$1="裂石",$AJ91,$AH91)+IF($G$1="裂石",$AK91*1.5,0))*(1+$AY91)*(1+$AZ91)+(($BA91+$BB91)/2*IF($G$1="牵丝",$AJ91,$AH91)+IF($G$1="牵丝",$AK91*1.5,0))*(1+$BC91)*(1+$BD91)+(($BE91+$BF91)/2*IF($G$1="破竹",$AJ91,$AH91)+IF($G$1="破竹",$AK91*1.5,0))*(1+$BG91)*(1+$BH91))*(1+$AL91)*$P91*(1+IF(VLOOKUP($Q91,武学奇术!$A:$ZZ,30,FALSE)="回旋伞",$B$21,0))*(1+$BQ91)</f>
        <v>46113.8567676497</v>
      </c>
      <c r="O91" s="41">
        <f>((($AN91*$AH91+$AI91)*(1+$AP91)*(1+$AQ91)+($AS91*IF($G$1="鸣金",$AJ91,$AH91)+IF($G$1="鸣金",$AK91*1.5,0))*(1+$AU91)*(1+$AV91)+($AW91*IF($G$1="裂石",$AJ91,$AH91)+IF($G$1="裂石",$AK91*1.5,0))*(1+$AY91)*(1+$AZ91)+($BA91*IF($G$1="牵丝",$AJ91,$AH91)+IF($G$1="牵丝",$AK91*1.5,0))*(1+$BC91)*(1+$BD91)+($BE91*IF($G$1="破竹",$AJ91,$AH91)+IF($G$1="破竹",$AK91*1.5,0))*(1+$BG91)*(1+$BH91))*(1+$AL91))*$P91*(1+IF(VLOOKUP($Q91,武学奇术!$A:$ZZ,30,FALSE)="回旋伞",$B$21,0))*(1+$BQ91)</f>
        <v>40336.5781720308</v>
      </c>
      <c r="P91" s="42">
        <v>1</v>
      </c>
      <c r="Q91" s="43" t="s">
        <v>176</v>
      </c>
      <c r="R91" s="43" t="s">
        <v>71</v>
      </c>
      <c r="S91" s="43" t="s">
        <v>91</v>
      </c>
      <c r="T91" s="43" t="s">
        <v>72</v>
      </c>
      <c r="U91" s="43" t="s">
        <v>79</v>
      </c>
      <c r="V91" s="43" t="s">
        <v>167</v>
      </c>
      <c r="W91" s="43" t="s">
        <v>95</v>
      </c>
      <c r="X91" s="43" t="s">
        <v>71</v>
      </c>
      <c r="Y91" s="43" t="s">
        <v>71</v>
      </c>
      <c r="Z91" s="43" t="s">
        <v>71</v>
      </c>
      <c r="AA91" s="43" t="s">
        <v>71</v>
      </c>
      <c r="AB91" s="43" t="s">
        <v>71</v>
      </c>
      <c r="AC91" s="43" t="s">
        <v>71</v>
      </c>
      <c r="AD91" s="43" t="s">
        <v>71</v>
      </c>
      <c r="AE91" s="43" t="s">
        <v>71</v>
      </c>
      <c r="AF91" s="43" t="s">
        <v>76</v>
      </c>
      <c r="AG91" t="str">
        <f>VLOOKUP($Q91,武学奇术!$A:$ZZ,25,FALSE)</f>
        <v>群体奇术</v>
      </c>
      <c r="AH91" s="30">
        <f>VLOOKUP($Q91,武学奇术!$A:$ZZ,26,FALSE)</f>
        <v>3.9744</v>
      </c>
      <c r="AI91" s="31">
        <f>VLOOKUP($Q91,武学奇术!$A:$ZZ,27,FALSE)*(1+IF(OR($AG91=$F$4,$AG91=$F$5),$B$22,0))</f>
        <v>982</v>
      </c>
      <c r="AJ91" s="30">
        <f>VLOOKUP($Q91,武学奇术!$A:$ZZ,28,FALSE)</f>
        <v>5.9613</v>
      </c>
      <c r="AK91" s="31">
        <f>VLOOKUP($Q91,武学奇术!$A:$ZZ,29,FALSE)*(1+IF(OR($AG91=$F$4,$AG91=$F$5),$B$22,0))</f>
        <v>0</v>
      </c>
      <c r="AL91" s="30" cm="1">
        <f t="array" ref="AL91">$G$3+IFERROR(VLOOKUP($AG91,$F$4:$G$7,2,FALSE),0)+VLOOKUP($Q91,武学奇术!$A:$ZZ,2,FALSE)+SUM(_xlfn.XLOOKUP($R91:$AF91,增益!$A:$A,增益!$B:$B,0))</f>
        <v>0.4837</v>
      </c>
      <c r="AM91" s="30" cm="1">
        <f t="array" ref="AM91">VLOOKUP($Q91,武学奇术!$A:$ZZ,5,FALSE)+SUM(_xlfn.XLOOKUP($R91:$AF91,增益!$A:$A,增益!$E:$E,0))</f>
        <v>0</v>
      </c>
      <c r="AN91" cm="1">
        <f t="array" ref="AN91">$D$10*(1+$AM91)+VLOOKUP($Q91,武学奇术!$A:$ZZ,3,FALSE)+SUM(_xlfn.XLOOKUP($R91:$AF91,增益!$A:$A,增益!$C:$C,0))-$I$2</f>
        <v>3545.8</v>
      </c>
      <c r="AO91" cm="1">
        <f t="array" ref="AO91">$E$10*(1+$AM91)+VLOOKUP($Q91,武学奇术!$A:$ZZ,4,FALSE)+SUM(_xlfn.XLOOKUP($R91:$AF91,增益!$A:$A,增益!$D:$D,0))-$I$2</f>
        <v>3545.8</v>
      </c>
      <c r="AP91" s="35" cm="1">
        <f t="array" ref="AP91">IF($F$10-$I$3+VLOOKUP($Q91,武学奇术!$A:$ZZ,6,FALSE)+SUM(_xlfn.XLOOKUP(R91:AF91,增益!$A:$A,增益!$F:$F,0))&gt;0,($F$10-$I$3+VLOOKUP($Q91,武学奇术!$A:$ZZ,6,FALSE)+SUM(_xlfn.XLOOKUP(R91:AF91,增益!$A:$A,增益!$F:$F,0)))/200,($F$10-$I$3+VLOOKUP($Q91,武学奇术!$A:$ZZ,6,FALSE)+SUM(_xlfn.XLOOKUP(R91:AF91,增益!$A:$A,增益!$F:$F,0)))/100)</f>
        <v>0.3425</v>
      </c>
      <c r="AQ91" s="35" cm="1">
        <f t="array" ref="AQ91">$G$10+VLOOKUP($Q91,武学奇术!$A:$ZZ,7,FALSE)+SUM(_xlfn.XLOOKUP(R91:AF91,增益!$A:$A,增益!$G:$G,0))</f>
        <v>0.028</v>
      </c>
      <c r="AR91" s="30" cm="1">
        <f t="array" ref="AR91">VLOOKUP($Q91,武学奇术!$A:$ZZ,8,FALSE)+SUM(_xlfn.XLOOKUP(R91:AF91,增益!$A:$A,增益!$H:$H,0))</f>
        <v>0</v>
      </c>
      <c r="AS91">
        <f t="shared" si="42"/>
        <v>0</v>
      </c>
      <c r="AT91">
        <f t="shared" si="43"/>
        <v>0</v>
      </c>
      <c r="AU91" s="35" cm="1">
        <f t="array" ref="AU91">IF($F$11-$I$4+VLOOKUP($Q91,武学奇术!$A:$ZZ,9,FALSE)+SUM(_xlfn.XLOOKUP(R91:AF91,增益!$A:$A,增益!$I:$I,0))&gt;0,($F$11-$I$4+VLOOKUP($Q91,武学奇术!$A:$ZZ,9,FALSE)+SUM(_xlfn.XLOOKUP(R91:AF91,增益!$A:$A,增益!$I:$I,0)))/200,($F$11-$I$4+VLOOKUP($Q91,武学奇术!$A:$ZZ,9,FALSE)+SUM(_xlfn.XLOOKUP(R91:AF91,增益!$A:$A,增益!$I:$I,0)))/100)</f>
        <v>-0.3</v>
      </c>
      <c r="AV91" s="35" cm="1">
        <f t="array" ref="AV91">$G$11+VLOOKUP($Q91,武学奇术!$A:$ZZ,10,FALSE)+SUM(_xlfn.XLOOKUP(R91:AF91,增益!$A:$A,增益!$J:$J,0))</f>
        <v>0</v>
      </c>
      <c r="AW91">
        <f t="shared" si="44"/>
        <v>0</v>
      </c>
      <c r="AX91">
        <f t="shared" si="45"/>
        <v>0</v>
      </c>
      <c r="AY91" s="35" cm="1">
        <f t="array" ref="AY91">IF($F$12-$I$4+VLOOKUP($Q91,武学奇术!$A:$ZZ,11,FALSE)+SUM(_xlfn.XLOOKUP(R91:AF91,增益!$A:$A,增益!$K:$K,0))&gt;0,($F$12-$I$4+VLOOKUP($Q91,武学奇术!$A:$ZZ,11,FALSE)+SUM(_xlfn.XLOOKUP(R91:AF91,增益!$A:$A,增益!$K:$K,0)))/200,($F$12-$I$4+VLOOKUP($Q91,武学奇术!$A:$ZZ,11,FALSE)+SUM(_xlfn.XLOOKUP(R91:AF91,增益!$A:$A,增益!$K:$K,0)))/100)</f>
        <v>-0.3</v>
      </c>
      <c r="AZ91" s="35" cm="1">
        <f t="array" ref="AZ91">$G$12+VLOOKUP($Q91,武学奇术!$A:$ZZ,12,FALSE)+SUM(_xlfn.XLOOKUP(R91:AF91,增益!$A:$A,增益!$L:$L,0))</f>
        <v>0</v>
      </c>
      <c r="BA91">
        <f t="shared" si="46"/>
        <v>0</v>
      </c>
      <c r="BB91">
        <f t="shared" si="47"/>
        <v>0</v>
      </c>
      <c r="BC91" s="35" cm="1">
        <f t="array" ref="BC91">IF($F$13-$I$4+VLOOKUP($Q91,武学奇术!$A:$ZZ,13,FALSE)+SUM(_xlfn.XLOOKUP(R91:AF91,增益!$A:$A,增益!$M:$M,0))&gt;0,($F$13-$I$4+VLOOKUP($Q91,武学奇术!$A:$ZZ,13,FALSE)+SUM(_xlfn.XLOOKUP(R91:AF91,增益!$A:$A,增益!$K:$K,0)))/200,($F$13-$I$4+VLOOKUP($Q91,武学奇术!$A:$ZZ,13,FALSE)+SUM(_xlfn.XLOOKUP(R91:AF91,增益!$A:$A,增益!$M:$M,0)))/100)</f>
        <v>-0.3</v>
      </c>
      <c r="BD91" s="35" cm="1">
        <f t="array" ref="BD91">$G$13+VLOOKUP($Q91,武学奇术!$A:$ZZ,14,FALSE)+SUM(_xlfn.XLOOKUP(R91:AF91,增益!$A:$A,增益!$N:$N,0))</f>
        <v>0</v>
      </c>
      <c r="BE91">
        <f t="shared" si="48"/>
        <v>538</v>
      </c>
      <c r="BF91">
        <f t="shared" si="49"/>
        <v>1561.4</v>
      </c>
      <c r="BG91" s="35" cm="1">
        <f t="array" ref="BG91">IF($F$14-$I$4+VLOOKUP($Q91,武学奇术!$A:$ZZ,15,FALSE)+SUM(_xlfn.XLOOKUP(R91:AF91,增益!$A:$A,增益!$O:$O,0))&gt;0,($F$14-$I$4+VLOOKUP($Q91,武学奇术!$A:$ZZ,15,FALSE)+SUM(_xlfn.XLOOKUP(R91:AF91,增益!$A:$A,增益!$O:$O,0)))/200,($F$14-$I$4+VLOOKUP($Q91,武学奇术!$A:$ZZ,15,FALSE)+SUM(_xlfn.XLOOKUP(R91:AF91,增益!$A:$A,增益!$O:$O,0)))/100)</f>
        <v>0</v>
      </c>
      <c r="BH91" s="35" cm="1">
        <f t="array" ref="BH91">$G$14+VLOOKUP($Q91,武学奇术!$A:$ZZ,16,FALSE)+SUM(_xlfn.XLOOKUP(R91:AF91,增益!$A:$A,增益!$P:$P,0))</f>
        <v>0.15</v>
      </c>
      <c r="BI91" s="30">
        <f>MIN(IF(VLOOKUP($Q91,武学奇术!$A:$ZZ,23,FALSE)=1,100%,$B$8),100%)</f>
        <v>0.9712</v>
      </c>
      <c r="BJ91" s="30" cm="1">
        <f t="array" ref="BJ91">IF(VLOOKUP($Q91,武学奇术!$A:$ZZ,23,FALSE)=1,100%,MIN(80%,$B$9+VLOOKUP($Q91,武学奇术!$A:$ZZ,17,FALSE)+SUM(_xlfn.XLOOKUP(R91:AF91,增益!$A:$A,增益!$Q:$Q,0)))+$B$11+SUM(_xlfn.XLOOKUP(R91:AF91,增益!$A:$A,增益!$U:$U,0)))*IF(VLOOKUP($Q91,武学奇术!$A:$ZZ,24,FALSE)=1,0,1)</f>
        <v>0.8773</v>
      </c>
      <c r="BK91" s="30" cm="1">
        <f t="array" ref="BK91">1+$B$13+VLOOKUP($Q91,武学奇术!$A:$ZZ,18,FALSE)+SUM(_xlfn.XLOOKUP(R91:AF91,增益!$A:$A,增益!$R:$R,0))</f>
        <v>1.87</v>
      </c>
      <c r="BL91" s="30" cm="1">
        <f t="array" ref="BL91">IF(VLOOKUP($Q91,武学奇术!$A:$ZZ,24,FALSE)=1,100%,MIN(40%,$B$10+VLOOKUP($Q91,武学奇术!$A:$ZZ,19,FALSE)+SUM(_xlfn.XLOOKUP(R91:AF91,增益!$A:$A,增益!$S:$S,0)))+$B$12+SUM(_xlfn.XLOOKUP(R91:AF91,增益!$A:$A,增益!$V:$V,0)))*IF(VLOOKUP($Q91,武学奇术!$A:$ZZ,23,FALSE)=1,0,1)</f>
        <v>0.0895</v>
      </c>
      <c r="BM91" s="30" cm="1">
        <f t="array" ref="BM91">1+$B$14+VLOOKUP($Q91,武学奇术!$A:$ZZ,20,FALSE)+SUM(_xlfn.XLOOKUP(R91:AF91,增益!$A:$A,增益!$T:$T,0))</f>
        <v>1.35</v>
      </c>
      <c r="BN91" s="30">
        <f t="shared" si="22"/>
        <v>0.85203376</v>
      </c>
      <c r="BO91" s="30">
        <f t="shared" si="32"/>
        <v>0.03224384</v>
      </c>
      <c r="BP91" s="30">
        <f>IF(VLOOKUP($Q91,武学奇术!$A:$ZZ,22,FALSE)=1,0,(1-$BI91))*(1-$BL91)</f>
        <v>0.0262224</v>
      </c>
      <c r="BQ91" s="30" cm="1">
        <f t="array" ref="BQ91">SUM(_xlfn.XLOOKUP(R91:AF91,增益!$A:$A,增益!$W:$W,0))+$I$5</f>
        <v>0.11</v>
      </c>
    </row>
    <row r="92" spans="1:69">
      <c r="A92" s="4"/>
      <c r="B92" s="4"/>
      <c r="K92" s="41">
        <f t="shared" si="50"/>
        <v>26696.8464162158</v>
      </c>
      <c r="L92" s="41">
        <f>((($AN92+$AO92)/2*$AH92+$AI92)*(1+$AP92)*(1+$AQ92)+(($AS92+$AT92)/2*IF($G$1="鸣金",$AJ92,$AH92)+IF($G$1="鸣金",$AK92*1.5,0))*(1+$AU92)*(1+$AV92)+(($AW92+$AX92)/2*IF($G$1="裂石",$AJ92,$AH92)+IF($G$1="裂石",$AK92*1.5,0))*(1+$AY92)*(1+$AZ92)+(($BA92+$BB92)/2*IF($G$1="牵丝",$AJ92,$AH92)+IF($G$1="牵丝",$AK92*1.5,0))*(1+$BC92)*(1+$BD92)+(($BE92+$BF92)/2*IF($G$1="破竹",$AJ92,$AH92)+IF($G$1="破竹",$AK92*1.5,0))*(1+$BG92)*(1+$BH92))*(1+$AL92)*$BK92*$P92*(1+IF(VLOOKUP($Q92,武学奇术!$A:$ZZ,30,FALSE)="回旋伞",$B$21,0))*(1+$BQ92)</f>
        <v>27976.806060221</v>
      </c>
      <c r="M92" s="41">
        <f>(($AO92*$AH92+$AI92)*(1+$AP92)*(1+$AQ92)+($AT92*IF($G$1="鸣金",$AJ92,$AH92)+IF($G$1="鸣金",$AK92*1.5,0))*(1+$AU92)*(1+$AV92)+($AX92*IF($G$1="裂石",$AJ92,$AH92)+IF($G$1="裂石",$AK92*1.5,0))*(1+$AY92)*(1+$AZ92)+($BB92*IF($G$1="牵丝",$AJ92,$AH92)+IF($G$1="牵丝",$AK92*1.5,0))*(1+$BC92)*(1+$BD92)+($BF92*IF($G$1="破竹",$AJ92,$AH92)+IF($G$1="破竹",$AK92*1.5,0))*(1+$BG92)*(1+$BH92))*(1+$AL92)*$BM92*$P92*(1+IF(VLOOKUP($Q92,武学奇术!$A:$ZZ,30,FALSE)="回旋伞",$B$21,0))*(1+$BQ92)</f>
        <v>22727.4440066623</v>
      </c>
      <c r="N92" s="41">
        <f>((($AN92+$AO92)/2*$AH92+$AI92)*(1+$AP92)*(1+$AQ92)+(($AS92+$AT92)/2*IF($G$1="鸣金",$AJ92,$AH92)+IF($G$1="鸣金",$AK92*1.5,0))*(1+$AU92)*(1+$AV92)+(($AW92+$AX92)/2*IF($G$1="裂石",$AJ92,$AH92)+IF($G$1="裂石",$AK92*1.5,0))*(1+$AY92)*(1+$AZ92)+(($BA92+$BB92)/2*IF($G$1="牵丝",$AJ92,$AH92)+IF($G$1="牵丝",$AK92*1.5,0))*(1+$BC92)*(1+$BD92)+(($BE92+$BF92)/2*IF($G$1="破竹",$AJ92,$AH92)+IF($G$1="破竹",$AK92*1.5,0))*(1+$BG92)*(1+$BH92))*(1+$AL92)*$P92*(1+IF(VLOOKUP($Q92,武学奇术!$A:$ZZ,30,FALSE)="回旋伞",$B$21,0))*(1+$BQ92)</f>
        <v>14960.8588557332</v>
      </c>
      <c r="O92" s="41">
        <f>((($AN92*$AH92+$AI92)*(1+$AP92)*(1+$AQ92)+($AS92*IF($G$1="鸣金",$AJ92,$AH92)+IF($G$1="鸣金",$AK92*1.5,0))*(1+$AU92)*(1+$AV92)+($AW92*IF($G$1="裂石",$AJ92,$AH92)+IF($G$1="裂石",$AK92*1.5,0))*(1+$AY92)*(1+$AZ92)+($BA92*IF($G$1="牵丝",$AJ92,$AH92)+IF($G$1="牵丝",$AK92*1.5,0))*(1+$BC92)*(1+$BD92)+($BE92*IF($G$1="破竹",$AJ92,$AH92)+IF($G$1="破竹",$AK92*1.5,0))*(1+$BG92)*(1+$BH92))*(1+$AL92))*$P92*(1+IF(VLOOKUP($Q92,武学奇术!$A:$ZZ,30,FALSE)="回旋伞",$B$21,0))*(1+$BQ92)</f>
        <v>13086.5740028276</v>
      </c>
      <c r="P92" s="42">
        <v>1</v>
      </c>
      <c r="Q92" s="43" t="s">
        <v>70</v>
      </c>
      <c r="R92" s="43" t="s">
        <v>71</v>
      </c>
      <c r="S92" s="43" t="s">
        <v>91</v>
      </c>
      <c r="T92" s="43" t="s">
        <v>72</v>
      </c>
      <c r="U92" s="43" t="s">
        <v>71</v>
      </c>
      <c r="V92" s="43" t="s">
        <v>167</v>
      </c>
      <c r="W92" s="43" t="s">
        <v>95</v>
      </c>
      <c r="X92" s="43" t="s">
        <v>71</v>
      </c>
      <c r="Y92" s="43" t="s">
        <v>71</v>
      </c>
      <c r="Z92" s="43" t="s">
        <v>71</v>
      </c>
      <c r="AA92" s="43" t="s">
        <v>71</v>
      </c>
      <c r="AB92" s="43" t="s">
        <v>71</v>
      </c>
      <c r="AC92" s="43" t="s">
        <v>71</v>
      </c>
      <c r="AD92" s="43" t="s">
        <v>71</v>
      </c>
      <c r="AE92" s="43" t="s">
        <v>71</v>
      </c>
      <c r="AF92" s="43" t="s">
        <v>76</v>
      </c>
      <c r="AG92" t="str">
        <f>VLOOKUP($Q92,武学奇术!$A:$ZZ,25,FALSE)</f>
        <v>群体奇术</v>
      </c>
      <c r="AH92" s="30">
        <f>VLOOKUP($Q92,武学奇术!$A:$ZZ,26,FALSE)</f>
        <v>1.4904</v>
      </c>
      <c r="AI92" s="31">
        <f>VLOOKUP($Q92,武学奇术!$A:$ZZ,27,FALSE)*(1+IF(OR($AG92=$F$4,$AG92=$F$5),$B$22,0))</f>
        <v>368</v>
      </c>
      <c r="AJ92" s="30">
        <f>VLOOKUP($Q92,武学奇术!$A:$ZZ,28,FALSE)</f>
        <v>2.2353</v>
      </c>
      <c r="AK92" s="31">
        <f>VLOOKUP($Q92,武学奇术!$A:$ZZ,29,FALSE)*(1+IF(OR($AG92=$F$4,$AG92=$F$5),$B$22,0))</f>
        <v>0</v>
      </c>
      <c r="AL92" s="30" cm="1">
        <f t="array" ref="AL92">$G$3+IFERROR(VLOOKUP($AG92,$F$4:$G$7,2,FALSE),0)+VLOOKUP($Q92,武学奇术!$A:$ZZ,2,FALSE)+SUM(_xlfn.XLOOKUP($R92:$AF92,增益!$A:$A,增益!$B:$B,0))</f>
        <v>0.2837</v>
      </c>
      <c r="AM92" s="30" cm="1">
        <f t="array" ref="AM92">VLOOKUP($Q92,武学奇术!$A:$ZZ,5,FALSE)+SUM(_xlfn.XLOOKUP($R92:$AF92,增益!$A:$A,增益!$E:$E,0))</f>
        <v>0</v>
      </c>
      <c r="AN92" cm="1">
        <f t="array" ref="AN92">$D$10*(1+$AM92)+VLOOKUP($Q92,武学奇术!$A:$ZZ,3,FALSE)+SUM(_xlfn.XLOOKUP($R92:$AF92,增益!$A:$A,增益!$C:$C,0))-$I$2</f>
        <v>3545.8</v>
      </c>
      <c r="AO92" cm="1">
        <f t="array" ref="AO92">$E$10*(1+$AM92)+VLOOKUP($Q92,武学奇术!$A:$ZZ,4,FALSE)+SUM(_xlfn.XLOOKUP($R92:$AF92,增益!$A:$A,增益!$D:$D,0))-$I$2</f>
        <v>3545.8</v>
      </c>
      <c r="AP92" s="35" cm="1">
        <f t="array" ref="AP92">IF($F$10-$I$3+VLOOKUP($Q92,武学奇术!$A:$ZZ,6,FALSE)+SUM(_xlfn.XLOOKUP(R92:AF92,增益!$A:$A,增益!$F:$F,0))&gt;0,($F$10-$I$3+VLOOKUP($Q92,武学奇术!$A:$ZZ,6,FALSE)+SUM(_xlfn.XLOOKUP(R92:AF92,增益!$A:$A,增益!$F:$F,0)))/200,($F$10-$I$3+VLOOKUP($Q92,武学奇术!$A:$ZZ,6,FALSE)+SUM(_xlfn.XLOOKUP(R92:AF92,增益!$A:$A,增益!$F:$F,0)))/100)</f>
        <v>0.3425</v>
      </c>
      <c r="AQ92" s="35" cm="1">
        <f t="array" ref="AQ92">$G$10+VLOOKUP($Q92,武学奇术!$A:$ZZ,7,FALSE)+SUM(_xlfn.XLOOKUP(R92:AF92,增益!$A:$A,增益!$G:$G,0))</f>
        <v>0.028</v>
      </c>
      <c r="AR92" s="30" cm="1">
        <f t="array" ref="AR92">VLOOKUP($Q92,武学奇术!$A:$ZZ,8,FALSE)+SUM(_xlfn.XLOOKUP(R92:AF92,增益!$A:$A,增益!$H:$H,0))</f>
        <v>0</v>
      </c>
      <c r="AS92">
        <f t="shared" si="42"/>
        <v>0</v>
      </c>
      <c r="AT92">
        <f t="shared" si="43"/>
        <v>0</v>
      </c>
      <c r="AU92" s="35" cm="1">
        <f t="array" ref="AU92">IF($F$11-$I$4+VLOOKUP($Q92,武学奇术!$A:$ZZ,9,FALSE)+SUM(_xlfn.XLOOKUP(R92:AF92,增益!$A:$A,增益!$I:$I,0))&gt;0,($F$11-$I$4+VLOOKUP($Q92,武学奇术!$A:$ZZ,9,FALSE)+SUM(_xlfn.XLOOKUP(R92:AF92,增益!$A:$A,增益!$I:$I,0)))/200,($F$11-$I$4+VLOOKUP($Q92,武学奇术!$A:$ZZ,9,FALSE)+SUM(_xlfn.XLOOKUP(R92:AF92,增益!$A:$A,增益!$I:$I,0)))/100)</f>
        <v>-0.3</v>
      </c>
      <c r="AV92" s="35" cm="1">
        <f t="array" ref="AV92">$G$11+VLOOKUP($Q92,武学奇术!$A:$ZZ,10,FALSE)+SUM(_xlfn.XLOOKUP(R92:AF92,增益!$A:$A,增益!$J:$J,0))</f>
        <v>0</v>
      </c>
      <c r="AW92">
        <f t="shared" si="44"/>
        <v>0</v>
      </c>
      <c r="AX92">
        <f t="shared" si="45"/>
        <v>0</v>
      </c>
      <c r="AY92" s="35" cm="1">
        <f t="array" ref="AY92">IF($F$12-$I$4+VLOOKUP($Q92,武学奇术!$A:$ZZ,11,FALSE)+SUM(_xlfn.XLOOKUP(R92:AF92,增益!$A:$A,增益!$K:$K,0))&gt;0,($F$12-$I$4+VLOOKUP($Q92,武学奇术!$A:$ZZ,11,FALSE)+SUM(_xlfn.XLOOKUP(R92:AF92,增益!$A:$A,增益!$K:$K,0)))/200,($F$12-$I$4+VLOOKUP($Q92,武学奇术!$A:$ZZ,11,FALSE)+SUM(_xlfn.XLOOKUP(R92:AF92,增益!$A:$A,增益!$K:$K,0)))/100)</f>
        <v>-0.3</v>
      </c>
      <c r="AZ92" s="35" cm="1">
        <f t="array" ref="AZ92">$G$12+VLOOKUP($Q92,武学奇术!$A:$ZZ,12,FALSE)+SUM(_xlfn.XLOOKUP(R92:AF92,增益!$A:$A,增益!$L:$L,0))</f>
        <v>0</v>
      </c>
      <c r="BA92">
        <f t="shared" si="46"/>
        <v>0</v>
      </c>
      <c r="BB92">
        <f t="shared" si="47"/>
        <v>0</v>
      </c>
      <c r="BC92" s="35" cm="1">
        <f t="array" ref="BC92">IF($F$13-$I$4+VLOOKUP($Q92,武学奇术!$A:$ZZ,13,FALSE)+SUM(_xlfn.XLOOKUP(R92:AF92,增益!$A:$A,增益!$M:$M,0))&gt;0,($F$13-$I$4+VLOOKUP($Q92,武学奇术!$A:$ZZ,13,FALSE)+SUM(_xlfn.XLOOKUP(R92:AF92,增益!$A:$A,增益!$K:$K,0)))/200,($F$13-$I$4+VLOOKUP($Q92,武学奇术!$A:$ZZ,13,FALSE)+SUM(_xlfn.XLOOKUP(R92:AF92,增益!$A:$A,增益!$M:$M,0)))/100)</f>
        <v>-0.3</v>
      </c>
      <c r="BD92" s="35" cm="1">
        <f t="array" ref="BD92">$G$13+VLOOKUP($Q92,武学奇术!$A:$ZZ,14,FALSE)+SUM(_xlfn.XLOOKUP(R92:AF92,增益!$A:$A,增益!$N:$N,0))</f>
        <v>0</v>
      </c>
      <c r="BE92">
        <f t="shared" si="48"/>
        <v>538</v>
      </c>
      <c r="BF92">
        <f t="shared" si="49"/>
        <v>1561.4</v>
      </c>
      <c r="BG92" s="35" cm="1">
        <f t="array" ref="BG92">IF($F$14-$I$4+VLOOKUP($Q92,武学奇术!$A:$ZZ,15,FALSE)+SUM(_xlfn.XLOOKUP(R92:AF92,增益!$A:$A,增益!$O:$O,0))&gt;0,($F$14-$I$4+VLOOKUP($Q92,武学奇术!$A:$ZZ,15,FALSE)+SUM(_xlfn.XLOOKUP(R92:AF92,增益!$A:$A,增益!$O:$O,0)))/200,($F$14-$I$4+VLOOKUP($Q92,武学奇术!$A:$ZZ,15,FALSE)+SUM(_xlfn.XLOOKUP(R92:AF92,增益!$A:$A,增益!$O:$O,0)))/100)</f>
        <v>0</v>
      </c>
      <c r="BH92" s="35" cm="1">
        <f t="array" ref="BH92">$G$14+VLOOKUP($Q92,武学奇术!$A:$ZZ,16,FALSE)+SUM(_xlfn.XLOOKUP(R92:AF92,增益!$A:$A,增益!$P:$P,0))</f>
        <v>0.15</v>
      </c>
      <c r="BI92" s="30">
        <f>MIN(IF(VLOOKUP($Q92,武学奇术!$A:$ZZ,23,FALSE)=1,100%,$B$8),100%)</f>
        <v>0.9712</v>
      </c>
      <c r="BJ92" s="30" cm="1">
        <f t="array" ref="BJ92">IF(VLOOKUP($Q92,武学奇术!$A:$ZZ,23,FALSE)=1,100%,MIN(80%,$B$9+VLOOKUP($Q92,武学奇术!$A:$ZZ,17,FALSE)+SUM(_xlfn.XLOOKUP(R92:AF92,增益!$A:$A,增益!$Q:$Q,0)))+$B$11+SUM(_xlfn.XLOOKUP(R92:AF92,增益!$A:$A,增益!$U:$U,0)))*IF(VLOOKUP($Q92,武学奇术!$A:$ZZ,24,FALSE)=1,0,1)</f>
        <v>0.8773</v>
      </c>
      <c r="BK92" s="30" cm="1">
        <f t="array" ref="BK92">1+$B$13+VLOOKUP($Q92,武学奇术!$A:$ZZ,18,FALSE)+SUM(_xlfn.XLOOKUP(R92:AF92,增益!$A:$A,增益!$R:$R,0))</f>
        <v>1.87</v>
      </c>
      <c r="BL92" s="30" cm="1">
        <f t="array" ref="BL92">IF(VLOOKUP($Q92,武学奇术!$A:$ZZ,24,FALSE)=1,100%,MIN(40%,$B$10+VLOOKUP($Q92,武学奇术!$A:$ZZ,19,FALSE)+SUM(_xlfn.XLOOKUP(R92:AF92,增益!$A:$A,增益!$S:$S,0)))+$B$12+SUM(_xlfn.XLOOKUP(R92:AF92,增益!$A:$A,增益!$V:$V,0)))*IF(VLOOKUP($Q92,武学奇术!$A:$ZZ,23,FALSE)=1,0,1)</f>
        <v>0.0895</v>
      </c>
      <c r="BM92" s="30" cm="1">
        <f t="array" ref="BM92">1+$B$14+VLOOKUP($Q92,武学奇术!$A:$ZZ,20,FALSE)+SUM(_xlfn.XLOOKUP(R92:AF92,增益!$A:$A,增益!$T:$T,0))</f>
        <v>1.35</v>
      </c>
      <c r="BN92" s="30">
        <f t="shared" si="22"/>
        <v>0.85203376</v>
      </c>
      <c r="BO92" s="30">
        <f t="shared" si="32"/>
        <v>0.03224384</v>
      </c>
      <c r="BP92" s="30">
        <f>IF(VLOOKUP($Q92,武学奇术!$A:$ZZ,22,FALSE)=1,0,(1-$BI92))*(1-$BL92)</f>
        <v>0.0262224</v>
      </c>
      <c r="BQ92" s="30" cm="1">
        <f t="array" ref="BQ92">SUM(_xlfn.XLOOKUP(R92:AF92,增益!$A:$A,增益!$W:$W,0))+$I$5</f>
        <v>0.11</v>
      </c>
    </row>
    <row r="93" spans="1:69">
      <c r="A93" s="4"/>
      <c r="B93"/>
      <c r="K93" s="41">
        <f t="shared" si="50"/>
        <v>92568.6165640087</v>
      </c>
      <c r="L93" s="41">
        <f>((($AN93+$AO93)/2*$AH93+$AI93)*(1+$AP93)*(1+$AQ93)+(($AS93+$AT93)/2*IF($G$1="鸣金",$AJ93,$AH93)+IF($G$1="鸣金",$AK93*1.5,0))*(1+$AU93)*(1+$AV93)+(($AW93+$AX93)/2*IF($G$1="裂石",$AJ93,$AH93)+IF($G$1="裂石",$AK93*1.5,0))*(1+$AY93)*(1+$AZ93)+(($BA93+$BB93)/2*IF($G$1="牵丝",$AJ93,$AH93)+IF($G$1="牵丝",$AK93*1.5,0))*(1+$BC93)*(1+$BD93)+(($BE93+$BF93)/2*IF($G$1="破竹",$AJ93,$AH93)+IF($G$1="破竹",$AK93*1.5,0))*(1+$BG93)*(1+$BH93))*(1+$AL93)*$BK93*$P93*(1+IF(VLOOKUP($Q93,武学奇术!$A:$ZZ,30,FALSE)="回旋伞",$B$21,0))*(1+$BQ93)</f>
        <v>97006.7472576534</v>
      </c>
      <c r="M93" s="41">
        <f>(($AO93*$AH93+$AI93)*(1+$AP93)*(1+$AQ93)+($AT93*IF($G$1="鸣金",$AJ93,$AH93)+IF($G$1="鸣金",$AK93*1.5,0))*(1+$AU93)*(1+$AV93)+($AX93*IF($G$1="裂石",$AJ93,$AH93)+IF($G$1="裂石",$AK93*1.5,0))*(1+$AY93)*(1+$AZ93)+($BB93*IF($G$1="牵丝",$AJ93,$AH93)+IF($G$1="牵丝",$AK93*1.5,0))*(1+$BC93)*(1+$BD93)+($BF93*IF($G$1="破竹",$AJ93,$AH93)+IF($G$1="破竹",$AK93*1.5,0))*(1+$BG93)*(1+$BH93))*(1+$AL93)*$BM93*$P93*(1+IF(VLOOKUP($Q93,武学奇术!$A:$ZZ,30,FALSE)="回旋伞",$B$21,0))*(1+$BQ93)</f>
        <v>78805.1149163002</v>
      </c>
      <c r="N93" s="41">
        <f>((($AN93+$AO93)/2*$AH93+$AI93)*(1+$AP93)*(1+$AQ93)+(($AS93+$AT93)/2*IF($G$1="鸣金",$AJ93,$AH93)+IF($G$1="鸣金",$AK93*1.5,0))*(1+$AU93)*(1+$AV93)+(($AW93+$AX93)/2*IF($G$1="裂石",$AJ93,$AH93)+IF($G$1="裂石",$AK93*1.5,0))*(1+$AY93)*(1+$AZ93)+(($BA93+$BB93)/2*IF($G$1="牵丝",$AJ93,$AH93)+IF($G$1="牵丝",$AK93*1.5,0))*(1+$BC93)*(1+$BD93)+(($BE93+$BF93)/2*IF($G$1="破竹",$AJ93,$AH93)+IF($G$1="破竹",$AK93*1.5,0))*(1+$BG93)*(1+$BH93))*(1+$AL93)*$P93*(1+IF(VLOOKUP($Q93,武学奇术!$A:$ZZ,30,FALSE)="回旋伞",$B$21,0))*(1+$BQ93)</f>
        <v>51875.2659131837</v>
      </c>
      <c r="O93" s="41">
        <f>((($AN93*$AH93+$AI93)*(1+$AP93)*(1+$AQ93)+($AS93*IF($G$1="鸣金",$AJ93,$AH93)+IF($G$1="鸣金",$AK93*1.5,0))*(1+$AU93)*(1+$AV93)+($AW93*IF($G$1="裂石",$AJ93,$AH93)+IF($G$1="裂石",$AK93*1.5,0))*(1+$AY93)*(1+$AZ93)+($BA93*IF($G$1="牵丝",$AJ93,$AH93)+IF($G$1="牵丝",$AK93*1.5,0))*(1+$BC93)*(1+$BD93)+($BE93*IF($G$1="破竹",$AJ93,$AH93)+IF($G$1="破竹",$AK93*1.5,0))*(1+$BG93)*(1+$BH93))*(1+$AL93))*$P93*(1+IF(VLOOKUP($Q93,武学奇术!$A:$ZZ,30,FALSE)="回旋伞",$B$21,0))*(1+$BQ93)</f>
        <v>45376.3726291079</v>
      </c>
      <c r="P93" s="42">
        <v>3</v>
      </c>
      <c r="Q93" s="43" t="s">
        <v>70</v>
      </c>
      <c r="R93" s="43" t="s">
        <v>71</v>
      </c>
      <c r="S93" s="43" t="s">
        <v>91</v>
      </c>
      <c r="T93" s="43" t="s">
        <v>72</v>
      </c>
      <c r="U93" s="43" t="s">
        <v>79</v>
      </c>
      <c r="V93" s="43" t="s">
        <v>167</v>
      </c>
      <c r="W93" s="43" t="s">
        <v>95</v>
      </c>
      <c r="X93" s="43" t="s">
        <v>71</v>
      </c>
      <c r="Y93" s="43" t="s">
        <v>71</v>
      </c>
      <c r="Z93" s="43" t="s">
        <v>71</v>
      </c>
      <c r="AA93" s="43" t="s">
        <v>71</v>
      </c>
      <c r="AB93" s="43" t="s">
        <v>71</v>
      </c>
      <c r="AC93" s="43" t="s">
        <v>71</v>
      </c>
      <c r="AD93" s="43" t="s">
        <v>71</v>
      </c>
      <c r="AE93" s="43" t="s">
        <v>71</v>
      </c>
      <c r="AF93" s="43" t="s">
        <v>76</v>
      </c>
      <c r="AG93" t="str">
        <f>VLOOKUP($Q93,武学奇术!$A:$ZZ,25,FALSE)</f>
        <v>群体奇术</v>
      </c>
      <c r="AH93" s="30">
        <f>VLOOKUP($Q93,武学奇术!$A:$ZZ,26,FALSE)</f>
        <v>1.4904</v>
      </c>
      <c r="AI93" s="31">
        <f>VLOOKUP($Q93,武学奇术!$A:$ZZ,27,FALSE)*(1+IF(OR($AG93=$F$4,$AG93=$F$5),$B$22,0))</f>
        <v>368</v>
      </c>
      <c r="AJ93" s="30">
        <f>VLOOKUP($Q93,武学奇术!$A:$ZZ,28,FALSE)</f>
        <v>2.2353</v>
      </c>
      <c r="AK93" s="31">
        <f>VLOOKUP($Q93,武学奇术!$A:$ZZ,29,FALSE)*(1+IF(OR($AG93=$F$4,$AG93=$F$5),$B$22,0))</f>
        <v>0</v>
      </c>
      <c r="AL93" s="30" cm="1">
        <f t="array" ref="AL93">$G$3+IFERROR(VLOOKUP($AG93,$F$4:$G$7,2,FALSE),0)+VLOOKUP($Q93,武学奇术!$A:$ZZ,2,FALSE)+SUM(_xlfn.XLOOKUP($R93:$AF93,增益!$A:$A,增益!$B:$B,0))</f>
        <v>0.4837</v>
      </c>
      <c r="AM93" s="30" cm="1">
        <f t="array" ref="AM93">VLOOKUP($Q93,武学奇术!$A:$ZZ,5,FALSE)+SUM(_xlfn.XLOOKUP($R93:$AF93,增益!$A:$A,增益!$E:$E,0))</f>
        <v>0</v>
      </c>
      <c r="AN93" cm="1">
        <f t="array" ref="AN93">$D$10*(1+$AM93)+VLOOKUP($Q93,武学奇术!$A:$ZZ,3,FALSE)+SUM(_xlfn.XLOOKUP($R93:$AF93,增益!$A:$A,增益!$C:$C,0))-$I$2</f>
        <v>3545.8</v>
      </c>
      <c r="AO93" cm="1">
        <f t="array" ref="AO93">$E$10*(1+$AM93)+VLOOKUP($Q93,武学奇术!$A:$ZZ,4,FALSE)+SUM(_xlfn.XLOOKUP($R93:$AF93,增益!$A:$A,增益!$D:$D,0))-$I$2</f>
        <v>3545.8</v>
      </c>
      <c r="AP93" s="35" cm="1">
        <f t="array" ref="AP93">IF($F$10-$I$3+VLOOKUP($Q93,武学奇术!$A:$ZZ,6,FALSE)+SUM(_xlfn.XLOOKUP(R93:AF93,增益!$A:$A,增益!$F:$F,0))&gt;0,($F$10-$I$3+VLOOKUP($Q93,武学奇术!$A:$ZZ,6,FALSE)+SUM(_xlfn.XLOOKUP(R93:AF93,增益!$A:$A,增益!$F:$F,0)))/200,($F$10-$I$3+VLOOKUP($Q93,武学奇术!$A:$ZZ,6,FALSE)+SUM(_xlfn.XLOOKUP(R93:AF93,增益!$A:$A,增益!$F:$F,0)))/100)</f>
        <v>0.3425</v>
      </c>
      <c r="AQ93" s="35" cm="1">
        <f t="array" ref="AQ93">$G$10+VLOOKUP($Q93,武学奇术!$A:$ZZ,7,FALSE)+SUM(_xlfn.XLOOKUP(R93:AF93,增益!$A:$A,增益!$G:$G,0))</f>
        <v>0.028</v>
      </c>
      <c r="AR93" s="30" cm="1">
        <f t="array" ref="AR93">VLOOKUP($Q93,武学奇术!$A:$ZZ,8,FALSE)+SUM(_xlfn.XLOOKUP(R93:AF93,增益!$A:$A,增益!$H:$H,0))</f>
        <v>0</v>
      </c>
      <c r="AS93">
        <f t="shared" si="42"/>
        <v>0</v>
      </c>
      <c r="AT93">
        <f t="shared" si="43"/>
        <v>0</v>
      </c>
      <c r="AU93" s="35" cm="1">
        <f t="array" ref="AU93">IF($F$11-$I$4+VLOOKUP($Q93,武学奇术!$A:$ZZ,9,FALSE)+SUM(_xlfn.XLOOKUP(R93:AF93,增益!$A:$A,增益!$I:$I,0))&gt;0,($F$11-$I$4+VLOOKUP($Q93,武学奇术!$A:$ZZ,9,FALSE)+SUM(_xlfn.XLOOKUP(R93:AF93,增益!$A:$A,增益!$I:$I,0)))/200,($F$11-$I$4+VLOOKUP($Q93,武学奇术!$A:$ZZ,9,FALSE)+SUM(_xlfn.XLOOKUP(R93:AF93,增益!$A:$A,增益!$I:$I,0)))/100)</f>
        <v>-0.3</v>
      </c>
      <c r="AV93" s="35" cm="1">
        <f t="array" ref="AV93">$G$11+VLOOKUP($Q93,武学奇术!$A:$ZZ,10,FALSE)+SUM(_xlfn.XLOOKUP(R93:AF93,增益!$A:$A,增益!$J:$J,0))</f>
        <v>0</v>
      </c>
      <c r="AW93">
        <f t="shared" si="44"/>
        <v>0</v>
      </c>
      <c r="AX93">
        <f t="shared" si="45"/>
        <v>0</v>
      </c>
      <c r="AY93" s="35" cm="1">
        <f t="array" ref="AY93">IF($F$12-$I$4+VLOOKUP($Q93,武学奇术!$A:$ZZ,11,FALSE)+SUM(_xlfn.XLOOKUP(R93:AF93,增益!$A:$A,增益!$K:$K,0))&gt;0,($F$12-$I$4+VLOOKUP($Q93,武学奇术!$A:$ZZ,11,FALSE)+SUM(_xlfn.XLOOKUP(R93:AF93,增益!$A:$A,增益!$K:$K,0)))/200,($F$12-$I$4+VLOOKUP($Q93,武学奇术!$A:$ZZ,11,FALSE)+SUM(_xlfn.XLOOKUP(R93:AF93,增益!$A:$A,增益!$K:$K,0)))/100)</f>
        <v>-0.3</v>
      </c>
      <c r="AZ93" s="35" cm="1">
        <f t="array" ref="AZ93">$G$12+VLOOKUP($Q93,武学奇术!$A:$ZZ,12,FALSE)+SUM(_xlfn.XLOOKUP(R93:AF93,增益!$A:$A,增益!$L:$L,0))</f>
        <v>0</v>
      </c>
      <c r="BA93">
        <f t="shared" si="46"/>
        <v>0</v>
      </c>
      <c r="BB93">
        <f t="shared" si="47"/>
        <v>0</v>
      </c>
      <c r="BC93" s="35" cm="1">
        <f t="array" ref="BC93">IF($F$13-$I$4+VLOOKUP($Q93,武学奇术!$A:$ZZ,13,FALSE)+SUM(_xlfn.XLOOKUP(R93:AF93,增益!$A:$A,增益!$M:$M,0))&gt;0,($F$13-$I$4+VLOOKUP($Q93,武学奇术!$A:$ZZ,13,FALSE)+SUM(_xlfn.XLOOKUP(R93:AF93,增益!$A:$A,增益!$K:$K,0)))/200,($F$13-$I$4+VLOOKUP($Q93,武学奇术!$A:$ZZ,13,FALSE)+SUM(_xlfn.XLOOKUP(R93:AF93,增益!$A:$A,增益!$M:$M,0)))/100)</f>
        <v>-0.3</v>
      </c>
      <c r="BD93" s="35" cm="1">
        <f t="array" ref="BD93">$G$13+VLOOKUP($Q93,武学奇术!$A:$ZZ,14,FALSE)+SUM(_xlfn.XLOOKUP(R93:AF93,增益!$A:$A,增益!$N:$N,0))</f>
        <v>0</v>
      </c>
      <c r="BE93">
        <f t="shared" si="48"/>
        <v>538</v>
      </c>
      <c r="BF93">
        <f t="shared" si="49"/>
        <v>1561.4</v>
      </c>
      <c r="BG93" s="35" cm="1">
        <f t="array" ref="BG93">IF($F$14-$I$4+VLOOKUP($Q93,武学奇术!$A:$ZZ,15,FALSE)+SUM(_xlfn.XLOOKUP(R93:AF93,增益!$A:$A,增益!$O:$O,0))&gt;0,($F$14-$I$4+VLOOKUP($Q93,武学奇术!$A:$ZZ,15,FALSE)+SUM(_xlfn.XLOOKUP(R93:AF93,增益!$A:$A,增益!$O:$O,0)))/200,($F$14-$I$4+VLOOKUP($Q93,武学奇术!$A:$ZZ,15,FALSE)+SUM(_xlfn.XLOOKUP(R93:AF93,增益!$A:$A,增益!$O:$O,0)))/100)</f>
        <v>0</v>
      </c>
      <c r="BH93" s="35" cm="1">
        <f t="array" ref="BH93">$G$14+VLOOKUP($Q93,武学奇术!$A:$ZZ,16,FALSE)+SUM(_xlfn.XLOOKUP(R93:AF93,增益!$A:$A,增益!$P:$P,0))</f>
        <v>0.15</v>
      </c>
      <c r="BI93" s="30">
        <f>MIN(IF(VLOOKUP($Q93,武学奇术!$A:$ZZ,23,FALSE)=1,100%,$B$8),100%)</f>
        <v>0.9712</v>
      </c>
      <c r="BJ93" s="30" cm="1">
        <f t="array" ref="BJ93">IF(VLOOKUP($Q93,武学奇术!$A:$ZZ,23,FALSE)=1,100%,MIN(80%,$B$9+VLOOKUP($Q93,武学奇术!$A:$ZZ,17,FALSE)+SUM(_xlfn.XLOOKUP(R93:AF93,增益!$A:$A,增益!$Q:$Q,0)))+$B$11+SUM(_xlfn.XLOOKUP(R93:AF93,增益!$A:$A,增益!$U:$U,0)))*IF(VLOOKUP($Q93,武学奇术!$A:$ZZ,24,FALSE)=1,0,1)</f>
        <v>0.8773</v>
      </c>
      <c r="BK93" s="30" cm="1">
        <f t="array" ref="BK93">1+$B$13+VLOOKUP($Q93,武学奇术!$A:$ZZ,18,FALSE)+SUM(_xlfn.XLOOKUP(R93:AF93,增益!$A:$A,增益!$R:$R,0))</f>
        <v>1.87</v>
      </c>
      <c r="BL93" s="30" cm="1">
        <f t="array" ref="BL93">IF(VLOOKUP($Q93,武学奇术!$A:$ZZ,24,FALSE)=1,100%,MIN(40%,$B$10+VLOOKUP($Q93,武学奇术!$A:$ZZ,19,FALSE)+SUM(_xlfn.XLOOKUP(R93:AF93,增益!$A:$A,增益!$S:$S,0)))+$B$12+SUM(_xlfn.XLOOKUP(R93:AF93,增益!$A:$A,增益!$V:$V,0)))*IF(VLOOKUP($Q93,武学奇术!$A:$ZZ,23,FALSE)=1,0,1)</f>
        <v>0.0895</v>
      </c>
      <c r="BM93" s="30" cm="1">
        <f t="array" ref="BM93">1+$B$14+VLOOKUP($Q93,武学奇术!$A:$ZZ,20,FALSE)+SUM(_xlfn.XLOOKUP(R93:AF93,增益!$A:$A,增益!$T:$T,0))</f>
        <v>1.35</v>
      </c>
      <c r="BN93" s="30">
        <f t="shared" si="22"/>
        <v>0.85203376</v>
      </c>
      <c r="BO93" s="30">
        <f t="shared" si="32"/>
        <v>0.03224384</v>
      </c>
      <c r="BP93" s="30">
        <f>IF(VLOOKUP($Q93,武学奇术!$A:$ZZ,22,FALSE)=1,0,(1-$BI93))*(1-$BL93)</f>
        <v>0.0262224</v>
      </c>
      <c r="BQ93" s="30" cm="1">
        <f t="array" ref="BQ93">SUM(_xlfn.XLOOKUP(R93:AF93,增益!$A:$A,增益!$W:$W,0))+$I$5</f>
        <v>0.11</v>
      </c>
    </row>
    <row r="94" spans="1:69">
      <c r="K94" s="41">
        <f t="shared" si="50"/>
        <v>63005.5687700141</v>
      </c>
      <c r="L94" s="41">
        <f>((($AN94+$AO94)/2*$AH94+$AI94)*(1+$AP94)*(1+$AQ94)+(($AS94+$AT94)/2*IF($G$1="鸣金",$AJ94,$AH94)+IF($G$1="鸣金",$AK94*1.5,0))*(1+$AU94)*(1+$AV94)+(($AW94+$AX94)/2*IF($G$1="裂石",$AJ94,$AH94)+IF($G$1="裂石",$AK94*1.5,0))*(1+$AY94)*(1+$AZ94)+(($BA94+$BB94)/2*IF($G$1="牵丝",$AJ94,$AH94)+IF($G$1="牵丝",$AK94*1.5,0))*(1+$BC94)*(1+$BD94)+(($BE94+$BF94)/2*IF($G$1="破竹",$AJ94,$AH94)+IF($G$1="破竹",$AK94*1.5,0))*(1+$BG94)*(1+$BH94))*(1+$AL94)*$BK94*$P94*(1+IF(VLOOKUP($Q94,武学奇术!$A:$ZZ,30,FALSE)="回旋伞",$B$21,0))*(1+$BQ94)</f>
        <v>66000.7909041408</v>
      </c>
      <c r="M94" s="41">
        <f>(($AO94*$AH94+$AI94)*(1+$AP94)*(1+$AQ94)+($AT94*IF($G$1="鸣金",$AJ94,$AH94)+IF($G$1="鸣金",$AK94*1.5,0))*(1+$AU94)*(1+$AV94)+($AX94*IF($G$1="裂石",$AJ94,$AH94)+IF($G$1="裂石",$AK94*1.5,0))*(1+$AY94)*(1+$AZ94)+($BB94*IF($G$1="牵丝",$AJ94,$AH94)+IF($G$1="牵丝",$AK94*1.5,0))*(1+$BC94)*(1+$BD94)+($BF94*IF($G$1="破竹",$AJ94,$AH94)+IF($G$1="破竹",$AK94*1.5,0))*(1+$BG94)*(1+$BH94))*(1+$AL94)*$BM94*$P94*(1+IF(VLOOKUP($Q94,武学奇术!$A:$ZZ,30,FALSE)="回旋伞",$B$21,0))*(1+$BQ94)</f>
        <v>53964.5540692286</v>
      </c>
      <c r="N94" s="41">
        <f>((($AN94+$AO94)/2*$AH94+$AI94)*(1+$AP94)*(1+$AQ94)+(($AS94+$AT94)/2*IF($G$1="鸣金",$AJ94,$AH94)+IF($G$1="鸣金",$AK94*1.5,0))*(1+$AU94)*(1+$AV94)+(($AW94+$AX94)/2*IF($G$1="裂石",$AJ94,$AH94)+IF($G$1="裂石",$AK94*1.5,0))*(1+$AY94)*(1+$AZ94)+(($BA94+$BB94)/2*IF($G$1="牵丝",$AJ94,$AH94)+IF($G$1="牵丝",$AK94*1.5,0))*(1+$BC94)*(1+$BD94)+(($BE94+$BF94)/2*IF($G$1="破竹",$AJ94,$AH94)+IF($G$1="破竹",$AK94*1.5,0))*(1+$BG94)*(1+$BH94))*(1+$AL94)*$P94*(1+IF(VLOOKUP($Q94,武学奇术!$A:$ZZ,30,FALSE)="回旋伞",$B$21,0))*(1+$BQ94)</f>
        <v>35294.5405904496</v>
      </c>
      <c r="O94" s="41">
        <f>((($AN94*$AH94+$AI94)*(1+$AP94)*(1+$AQ94)+($AS94*IF($G$1="鸣金",$AJ94,$AH94)+IF($G$1="鸣金",$AK94*1.5,0))*(1+$AU94)*(1+$AV94)+($AW94*IF($G$1="裂石",$AJ94,$AH94)+IF($G$1="裂石",$AK94*1.5,0))*(1+$AY94)*(1+$AZ94)+($BA94*IF($G$1="牵丝",$AJ94,$AH94)+IF($G$1="牵丝",$AK94*1.5,0))*(1+$BC94)*(1+$BD94)+($BE94*IF($G$1="破竹",$AJ94,$AH94)+IF($G$1="破竹",$AK94*1.5,0))*(1+$BG94)*(1+$BH94))*(1+$AL94))*$P94*(1+IF(VLOOKUP($Q94,武学奇术!$A:$ZZ,30,FALSE)="回旋伞",$B$21,0))*(1+$BQ94)</f>
        <v>30615.3374259151</v>
      </c>
      <c r="P94" s="42">
        <v>2</v>
      </c>
      <c r="Q94" s="43" t="s">
        <v>70</v>
      </c>
      <c r="R94" s="43" t="s">
        <v>71</v>
      </c>
      <c r="S94" s="43" t="s">
        <v>91</v>
      </c>
      <c r="T94" s="43" t="s">
        <v>72</v>
      </c>
      <c r="U94" s="43" t="s">
        <v>79</v>
      </c>
      <c r="V94" s="43" t="s">
        <v>167</v>
      </c>
      <c r="W94" s="43" t="s">
        <v>95</v>
      </c>
      <c r="X94" s="43" t="s">
        <v>82</v>
      </c>
      <c r="Y94" s="43" t="s">
        <v>71</v>
      </c>
      <c r="Z94" s="43" t="s">
        <v>71</v>
      </c>
      <c r="AA94" s="43" t="s">
        <v>71</v>
      </c>
      <c r="AB94" s="43" t="s">
        <v>71</v>
      </c>
      <c r="AC94" s="43" t="s">
        <v>71</v>
      </c>
      <c r="AD94" s="43" t="s">
        <v>71</v>
      </c>
      <c r="AE94" s="43" t="s">
        <v>71</v>
      </c>
      <c r="AF94" s="43" t="s">
        <v>76</v>
      </c>
      <c r="AG94" t="str">
        <f>VLOOKUP($Q94,武学奇术!$A:$ZZ,25,FALSE)</f>
        <v>群体奇术</v>
      </c>
      <c r="AH94" s="30">
        <f>VLOOKUP($Q94,武学奇术!$A:$ZZ,26,FALSE)</f>
        <v>1.4904</v>
      </c>
      <c r="AI94" s="31">
        <f>VLOOKUP($Q94,武学奇术!$A:$ZZ,27,FALSE)*(1+IF(OR($AG94=$F$4,$AG94=$F$5),$B$22,0))</f>
        <v>368</v>
      </c>
      <c r="AJ94" s="30">
        <f>VLOOKUP($Q94,武学奇术!$A:$ZZ,28,FALSE)</f>
        <v>2.2353</v>
      </c>
      <c r="AK94" s="31">
        <f>VLOOKUP($Q94,武学奇术!$A:$ZZ,29,FALSE)*(1+IF(OR($AG94=$F$4,$AG94=$F$5),$B$22,0))</f>
        <v>0</v>
      </c>
      <c r="AL94" s="30" cm="1">
        <f t="array" ref="AL94">$G$3+IFERROR(VLOOKUP($AG94,$F$4:$G$7,2,FALSE),0)+VLOOKUP($Q94,武学奇术!$A:$ZZ,2,FALSE)+SUM(_xlfn.XLOOKUP($R94:$AF94,增益!$A:$A,增益!$B:$B,0))</f>
        <v>0.4837</v>
      </c>
      <c r="AM94" s="30" cm="1">
        <f t="array" ref="AM94">VLOOKUP($Q94,武学奇术!$A:$ZZ,5,FALSE)+SUM(_xlfn.XLOOKUP($R94:$AF94,增益!$A:$A,增益!$E:$E,0))</f>
        <v>0</v>
      </c>
      <c r="AN94" cm="1">
        <f t="array" ref="AN94">$D$10*(1+$AM94)+VLOOKUP($Q94,武学奇术!$A:$ZZ,3,FALSE)+SUM(_xlfn.XLOOKUP($R94:$AF94,增益!$A:$A,增益!$C:$C,0))-$I$2</f>
        <v>3545.8</v>
      </c>
      <c r="AO94" cm="1">
        <f t="array" ref="AO94">$E$10*(1+$AM94)+VLOOKUP($Q94,武学奇术!$A:$ZZ,4,FALSE)+SUM(_xlfn.XLOOKUP($R94:$AF94,增益!$A:$A,增益!$D:$D,0))-$I$2</f>
        <v>3545.8</v>
      </c>
      <c r="AP94" s="35" cm="1">
        <f t="array" ref="AP94">IF($F$10-$I$3+VLOOKUP($Q94,武学奇术!$A:$ZZ,6,FALSE)+SUM(_xlfn.XLOOKUP(R94:AF94,增益!$A:$A,增益!$F:$F,0))&gt;0,($F$10-$I$3+VLOOKUP($Q94,武学奇术!$A:$ZZ,6,FALSE)+SUM(_xlfn.XLOOKUP(R94:AF94,增益!$A:$A,增益!$F:$F,0)))/200,($F$10-$I$3+VLOOKUP($Q94,武学奇术!$A:$ZZ,6,FALSE)+SUM(_xlfn.XLOOKUP(R94:AF94,增益!$A:$A,增益!$F:$F,0)))/100)</f>
        <v>0.3425</v>
      </c>
      <c r="AQ94" s="35" cm="1">
        <f t="array" ref="AQ94">$G$10+VLOOKUP($Q94,武学奇术!$A:$ZZ,7,FALSE)+SUM(_xlfn.XLOOKUP(R94:AF94,增益!$A:$A,增益!$G:$G,0))</f>
        <v>0.028</v>
      </c>
      <c r="AR94" s="30" cm="1">
        <f t="array" ref="AR94">VLOOKUP($Q94,武学奇术!$A:$ZZ,8,FALSE)+SUM(_xlfn.XLOOKUP(R94:AF94,增益!$A:$A,增益!$H:$H,0))</f>
        <v>0</v>
      </c>
      <c r="AS94">
        <f t="shared" si="42"/>
        <v>0</v>
      </c>
      <c r="AT94">
        <f t="shared" si="43"/>
        <v>0</v>
      </c>
      <c r="AU94" s="35" cm="1">
        <f t="array" ref="AU94">IF($F$11-$I$4+VLOOKUP($Q94,武学奇术!$A:$ZZ,9,FALSE)+SUM(_xlfn.XLOOKUP(R94:AF94,增益!$A:$A,增益!$I:$I,0))&gt;0,($F$11-$I$4+VLOOKUP($Q94,武学奇术!$A:$ZZ,9,FALSE)+SUM(_xlfn.XLOOKUP(R94:AF94,增益!$A:$A,增益!$I:$I,0)))/200,($F$11-$I$4+VLOOKUP($Q94,武学奇术!$A:$ZZ,9,FALSE)+SUM(_xlfn.XLOOKUP(R94:AF94,增益!$A:$A,增益!$I:$I,0)))/100)</f>
        <v>-0.14</v>
      </c>
      <c r="AV94" s="35" cm="1">
        <f t="array" ref="AV94">$G$11+VLOOKUP($Q94,武学奇术!$A:$ZZ,10,FALSE)+SUM(_xlfn.XLOOKUP(R94:AF94,增益!$A:$A,增益!$J:$J,0))</f>
        <v>0</v>
      </c>
      <c r="AW94">
        <f t="shared" si="44"/>
        <v>0</v>
      </c>
      <c r="AX94">
        <f t="shared" si="45"/>
        <v>0</v>
      </c>
      <c r="AY94" s="35" cm="1">
        <f t="array" ref="AY94">IF($F$12-$I$4+VLOOKUP($Q94,武学奇术!$A:$ZZ,11,FALSE)+SUM(_xlfn.XLOOKUP(R94:AF94,增益!$A:$A,增益!$K:$K,0))&gt;0,($F$12-$I$4+VLOOKUP($Q94,武学奇术!$A:$ZZ,11,FALSE)+SUM(_xlfn.XLOOKUP(R94:AF94,增益!$A:$A,增益!$K:$K,0)))/200,($F$12-$I$4+VLOOKUP($Q94,武学奇术!$A:$ZZ,11,FALSE)+SUM(_xlfn.XLOOKUP(R94:AF94,增益!$A:$A,增益!$K:$K,0)))/100)</f>
        <v>-0.14</v>
      </c>
      <c r="AZ94" s="35" cm="1">
        <f t="array" ref="AZ94">$G$12+VLOOKUP($Q94,武学奇术!$A:$ZZ,12,FALSE)+SUM(_xlfn.XLOOKUP(R94:AF94,增益!$A:$A,增益!$L:$L,0))</f>
        <v>0</v>
      </c>
      <c r="BA94">
        <f t="shared" si="46"/>
        <v>0</v>
      </c>
      <c r="BB94">
        <f t="shared" si="47"/>
        <v>0</v>
      </c>
      <c r="BC94" s="35" cm="1">
        <f t="array" ref="BC94">IF($F$13-$I$4+VLOOKUP($Q94,武学奇术!$A:$ZZ,13,FALSE)+SUM(_xlfn.XLOOKUP(R94:AF94,增益!$A:$A,增益!$M:$M,0))&gt;0,($F$13-$I$4+VLOOKUP($Q94,武学奇术!$A:$ZZ,13,FALSE)+SUM(_xlfn.XLOOKUP(R94:AF94,增益!$A:$A,增益!$K:$K,0)))/200,($F$13-$I$4+VLOOKUP($Q94,武学奇术!$A:$ZZ,13,FALSE)+SUM(_xlfn.XLOOKUP(R94:AF94,增益!$A:$A,增益!$M:$M,0)))/100)</f>
        <v>-0.14</v>
      </c>
      <c r="BD94" s="35" cm="1">
        <f t="array" ref="BD94">$G$13+VLOOKUP($Q94,武学奇术!$A:$ZZ,14,FALSE)+SUM(_xlfn.XLOOKUP(R94:AF94,增益!$A:$A,增益!$N:$N,0))</f>
        <v>0</v>
      </c>
      <c r="BE94">
        <f t="shared" si="48"/>
        <v>538</v>
      </c>
      <c r="BF94">
        <f t="shared" si="49"/>
        <v>1561.4</v>
      </c>
      <c r="BG94" s="35" cm="1">
        <f t="array" ref="BG94">IF($F$14-$I$4+VLOOKUP($Q94,武学奇术!$A:$ZZ,15,FALSE)+SUM(_xlfn.XLOOKUP(R94:AF94,增益!$A:$A,增益!$O:$O,0))&gt;0,($F$14-$I$4+VLOOKUP($Q94,武学奇术!$A:$ZZ,15,FALSE)+SUM(_xlfn.XLOOKUP(R94:AF94,增益!$A:$A,增益!$O:$O,0)))/200,($F$14-$I$4+VLOOKUP($Q94,武学奇术!$A:$ZZ,15,FALSE)+SUM(_xlfn.XLOOKUP(R94:AF94,增益!$A:$A,增益!$O:$O,0)))/100)</f>
        <v>0.08</v>
      </c>
      <c r="BH94" s="35" cm="1">
        <f t="array" ref="BH94">$G$14+VLOOKUP($Q94,武学奇术!$A:$ZZ,16,FALSE)+SUM(_xlfn.XLOOKUP(R94:AF94,增益!$A:$A,增益!$P:$P,0))</f>
        <v>0.15</v>
      </c>
      <c r="BI94" s="30">
        <f>MIN(IF(VLOOKUP($Q94,武学奇术!$A:$ZZ,23,FALSE)=1,100%,$B$8),100%)</f>
        <v>0.9712</v>
      </c>
      <c r="BJ94" s="30" cm="1">
        <f t="array" ref="BJ94">IF(VLOOKUP($Q94,武学奇术!$A:$ZZ,23,FALSE)=1,100%,MIN(80%,$B$9+VLOOKUP($Q94,武学奇术!$A:$ZZ,17,FALSE)+SUM(_xlfn.XLOOKUP(R94:AF94,增益!$A:$A,增益!$Q:$Q,0)))+$B$11+SUM(_xlfn.XLOOKUP(R94:AF94,增益!$A:$A,增益!$U:$U,0)))*IF(VLOOKUP($Q94,武学奇术!$A:$ZZ,24,FALSE)=1,0,1)</f>
        <v>0.8773</v>
      </c>
      <c r="BK94" s="30" cm="1">
        <f t="array" ref="BK94">1+$B$13+VLOOKUP($Q94,武学奇术!$A:$ZZ,18,FALSE)+SUM(_xlfn.XLOOKUP(R94:AF94,增益!$A:$A,增益!$R:$R,0))</f>
        <v>1.87</v>
      </c>
      <c r="BL94" s="30" cm="1">
        <f t="array" ref="BL94">IF(VLOOKUP($Q94,武学奇术!$A:$ZZ,24,FALSE)=1,100%,MIN(40%,$B$10+VLOOKUP($Q94,武学奇术!$A:$ZZ,19,FALSE)+SUM(_xlfn.XLOOKUP(R94:AF94,增益!$A:$A,增益!$S:$S,0)))+$B$12+SUM(_xlfn.XLOOKUP(R94:AF94,增益!$A:$A,增益!$V:$V,0)))*IF(VLOOKUP($Q94,武学奇术!$A:$ZZ,23,FALSE)=1,0,1)</f>
        <v>0.0895</v>
      </c>
      <c r="BM94" s="30" cm="1">
        <f t="array" ref="BM94">1+$B$14+VLOOKUP($Q94,武学奇术!$A:$ZZ,20,FALSE)+SUM(_xlfn.XLOOKUP(R94:AF94,增益!$A:$A,增益!$T:$T,0))</f>
        <v>1.35</v>
      </c>
      <c r="BN94" s="30">
        <f t="shared" si="22"/>
        <v>0.85203376</v>
      </c>
      <c r="BO94" s="30">
        <f t="shared" si="32"/>
        <v>0.03224384</v>
      </c>
      <c r="BP94" s="30">
        <f>IF(VLOOKUP($Q94,武学奇术!$A:$ZZ,22,FALSE)=1,0,(1-$BI94))*(1-$BL94)</f>
        <v>0.0262224</v>
      </c>
      <c r="BQ94" s="30" cm="1">
        <f t="array" ref="BQ94">SUM(_xlfn.XLOOKUP(R94:AF94,增益!$A:$A,增益!$W:$W,0))+$I$5</f>
        <v>0.11</v>
      </c>
    </row>
    <row r="95" spans="1:69">
      <c r="A95" s="4"/>
      <c r="B95" s="4"/>
      <c r="K95" s="41">
        <f t="shared" si="50"/>
        <v>100302.381606224</v>
      </c>
      <c r="L95" s="41">
        <f>((($AN95+$AO95)/2*$AH95+$AI95)*(1+$AP95)*(1+$AQ95)+(($AS95+$AT95)/2*IF($G$1="鸣金",$AJ95,$AH95)+IF($G$1="鸣金",$AK95*1.5,0))*(1+$AU95)*(1+$AV95)+(($AW95+$AX95)/2*IF($G$1="裂石",$AJ95,$AH95)+IF($G$1="裂石",$AK95*1.5,0))*(1+$AY95)*(1+$AZ95)+(($BA95+$BB95)/2*IF($G$1="牵丝",$AJ95,$AH95)+IF($G$1="牵丝",$AK95*1.5,0))*(1+$BC95)*(1+$BD95)+(($BE95+$BF95)/2*IF($G$1="破竹",$AJ95,$AH95)+IF($G$1="破竹",$AK95*1.5,0))*(1+$BG95)*(1+$BH95))*(1+$AL95)*$BK95*$P95*(1+IF(VLOOKUP($Q95,武学奇术!$A:$ZZ,30,FALSE)="回旋伞",$B$21,0))*(1+$BQ95)</f>
        <v>105162.405637339</v>
      </c>
      <c r="M95" s="41">
        <f>(($AO95*$AH95+$AI95)*(1+$AP95)*(1+$AQ95)+($AT95*IF($G$1="鸣金",$AJ95,$AH95)+IF($G$1="鸣金",$AK95*1.5,0))*(1+$AU95)*(1+$AV95)+($AX95*IF($G$1="裂石",$AJ95,$AH95)+IF($G$1="裂石",$AK95*1.5,0))*(1+$AY95)*(1+$AZ95)+($BB95*IF($G$1="牵丝",$AJ95,$AH95)+IF($G$1="牵丝",$AK95*1.5,0))*(1+$BC95)*(1+$BD95)+($BF95*IF($G$1="破竹",$AJ95,$AH95)+IF($G$1="破竹",$AK95*1.5,0))*(1+$BG95)*(1+$BH95))*(1+$AL95)*$BM95*$P95*(1+IF(VLOOKUP($Q95,武学奇术!$A:$ZZ,30,FALSE)="回旋伞",$B$21,0))*(1+$BQ95)</f>
        <v>84734.6052138543</v>
      </c>
      <c r="N95" s="41">
        <f>((($AN95+$AO95)/2*$AH95+$AI95)*(1+$AP95)*(1+$AQ95)+(($AS95+$AT95)/2*IF($G$1="鸣金",$AJ95,$AH95)+IF($G$1="鸣金",$AK95*1.5,0))*(1+$AU95)*(1+$AV95)+(($AW95+$AX95)/2*IF($G$1="裂石",$AJ95,$AH95)+IF($G$1="裂石",$AK95*1.5,0))*(1+$AY95)*(1+$AZ95)+(($BA95+$BB95)/2*IF($G$1="牵丝",$AJ95,$AH95)+IF($G$1="牵丝",$AK95*1.5,0))*(1+$BC95)*(1+$BD95)+(($BE95+$BF95)/2*IF($G$1="破竹",$AJ95,$AH95)+IF($G$1="破竹",$AK95*1.5,0))*(1+$BG95)*(1+$BH95))*(1+$AL95)*$P95*(1+IF(VLOOKUP($Q95,武学奇术!$A:$ZZ,30,FALSE)="回旋伞",$B$21,0))*(1+$BQ95)</f>
        <v>56236.5805547268</v>
      </c>
      <c r="O95" s="41">
        <f>((($AN95*$AH95+$AI95)*(1+$AP95)*(1+$AQ95)+($AS95*IF($G$1="鸣金",$AJ95,$AH95)+IF($G$1="鸣金",$AK95*1.5,0))*(1+$AU95)*(1+$AV95)+($AW95*IF($G$1="裂石",$AJ95,$AH95)+IF($G$1="裂石",$AK95*1.5,0))*(1+$AY95)*(1+$AZ95)+($BA95*IF($G$1="牵丝",$AJ95,$AH95)+IF($G$1="牵丝",$AK95*1.5,0))*(1+$BC95)*(1+$BD95)+($BE95*IF($G$1="破竹",$AJ95,$AH95)+IF($G$1="破竹",$AK95*1.5,0))*(1+$BG95)*(1+$BH95))*(1+$AL95))*$P95*(1+IF(VLOOKUP($Q95,武学奇术!$A:$ZZ,30,FALSE)="回旋伞",$B$21,0))*(1+$BQ95)</f>
        <v>49706.786876969</v>
      </c>
      <c r="P95" s="42">
        <v>2</v>
      </c>
      <c r="Q95" s="43" t="s">
        <v>140</v>
      </c>
      <c r="R95" s="43" t="s">
        <v>71</v>
      </c>
      <c r="S95" s="43" t="s">
        <v>91</v>
      </c>
      <c r="T95" s="43" t="s">
        <v>72</v>
      </c>
      <c r="U95" s="43" t="s">
        <v>79</v>
      </c>
      <c r="V95" s="43" t="s">
        <v>167</v>
      </c>
      <c r="W95" s="43" t="s">
        <v>95</v>
      </c>
      <c r="X95" s="43" t="s">
        <v>71</v>
      </c>
      <c r="Y95" s="43" t="s">
        <v>71</v>
      </c>
      <c r="Z95" s="43" t="s">
        <v>71</v>
      </c>
      <c r="AA95" s="43" t="s">
        <v>71</v>
      </c>
      <c r="AB95" s="43" t="s">
        <v>71</v>
      </c>
      <c r="AC95" s="43" t="s">
        <v>71</v>
      </c>
      <c r="AD95" s="43" t="s">
        <v>71</v>
      </c>
      <c r="AE95" s="43" t="s">
        <v>71</v>
      </c>
      <c r="AF95" s="43" t="s">
        <v>76</v>
      </c>
      <c r="AG95" t="str">
        <f>VLOOKUP($Q95,武学奇术!$A:$ZZ,25,FALSE)</f>
        <v>伞</v>
      </c>
      <c r="AH95" s="30">
        <f>VLOOKUP($Q95,武学奇术!$A:$ZZ,26,FALSE)</f>
        <v>2.01456</v>
      </c>
      <c r="AI95" s="31">
        <f>VLOOKUP($Q95,武学奇术!$A:$ZZ,27,FALSE)*(1+IF(OR($AG95=$F$4,$AG95=$F$5),$B$22,0))</f>
        <v>781.2</v>
      </c>
      <c r="AJ95" s="30">
        <f>VLOOKUP($Q95,武学奇术!$A:$ZZ,28,FALSE)</f>
        <v>3.02184</v>
      </c>
      <c r="AK95" s="31">
        <f>VLOOKUP($Q95,武学奇术!$A:$ZZ,29,FALSE)*(1+IF(OR($AG95=$F$4,$AG95=$F$5),$B$22,0))</f>
        <v>423.36</v>
      </c>
      <c r="AL95" s="30" cm="1">
        <f t="array" ref="AL95">$G$3+IFERROR(VLOOKUP($AG95,$F$4:$G$7,2,FALSE),0)+VLOOKUP($Q95,武学奇术!$A:$ZZ,2,FALSE)+SUM(_xlfn.XLOOKUP($R95:$AF95,增益!$A:$A,增益!$B:$B,0))</f>
        <v>0.6541</v>
      </c>
      <c r="AM95" s="30" cm="1">
        <f t="array" ref="AM95">VLOOKUP($Q95,武学奇术!$A:$ZZ,5,FALSE)+SUM(_xlfn.XLOOKUP($R95:$AF95,增益!$A:$A,增益!$E:$E,0))</f>
        <v>0</v>
      </c>
      <c r="AN95" cm="1">
        <f t="array" ref="AN95">$D$10*(1+$AM95)+VLOOKUP($Q95,武学奇术!$A:$ZZ,3,FALSE)+SUM(_xlfn.XLOOKUP($R95:$AF95,增益!$A:$A,增益!$C:$C,0))-$I$2</f>
        <v>3545.8</v>
      </c>
      <c r="AO95" cm="1">
        <f t="array" ref="AO95">$E$10*(1+$AM95)+VLOOKUP($Q95,武学奇术!$A:$ZZ,4,FALSE)+SUM(_xlfn.XLOOKUP($R95:$AF95,增益!$A:$A,增益!$D:$D,0))-$I$2</f>
        <v>3545.8</v>
      </c>
      <c r="AP95" s="35" cm="1">
        <f t="array" ref="AP95">IF($F$10-$I$3+VLOOKUP($Q95,武学奇术!$A:$ZZ,6,FALSE)+SUM(_xlfn.XLOOKUP(R95:AF95,增益!$A:$A,增益!$F:$F,0))&gt;0,($F$10-$I$3+VLOOKUP($Q95,武学奇术!$A:$ZZ,6,FALSE)+SUM(_xlfn.XLOOKUP(R95:AF95,增益!$A:$A,增益!$F:$F,0)))/200,($F$10-$I$3+VLOOKUP($Q95,武学奇术!$A:$ZZ,6,FALSE)+SUM(_xlfn.XLOOKUP(R95:AF95,增益!$A:$A,增益!$F:$F,0)))/100)</f>
        <v>0.3425</v>
      </c>
      <c r="AQ95" s="35" cm="1">
        <f t="array" ref="AQ95">$G$10+VLOOKUP($Q95,武学奇术!$A:$ZZ,7,FALSE)+SUM(_xlfn.XLOOKUP(R95:AF95,增益!$A:$A,增益!$G:$G,0))</f>
        <v>0.028</v>
      </c>
      <c r="AR95" s="30" cm="1">
        <f t="array" ref="AR95">VLOOKUP($Q95,武学奇术!$A:$ZZ,8,FALSE)+SUM(_xlfn.XLOOKUP(R95:AF95,增益!$A:$A,增益!$H:$H,0))</f>
        <v>0</v>
      </c>
      <c r="AS95">
        <f t="shared" si="42"/>
        <v>0</v>
      </c>
      <c r="AT95">
        <f t="shared" si="43"/>
        <v>0</v>
      </c>
      <c r="AU95" s="35" cm="1">
        <f t="array" ref="AU95">IF($F$11-$I$4+VLOOKUP($Q95,武学奇术!$A:$ZZ,9,FALSE)+SUM(_xlfn.XLOOKUP(R95:AF95,增益!$A:$A,增益!$I:$I,0))&gt;0,($F$11-$I$4+VLOOKUP($Q95,武学奇术!$A:$ZZ,9,FALSE)+SUM(_xlfn.XLOOKUP(R95:AF95,增益!$A:$A,增益!$I:$I,0)))/200,($F$11-$I$4+VLOOKUP($Q95,武学奇术!$A:$ZZ,9,FALSE)+SUM(_xlfn.XLOOKUP(R95:AF95,增益!$A:$A,增益!$I:$I,0)))/100)</f>
        <v>-0.3</v>
      </c>
      <c r="AV95" s="35" cm="1">
        <f t="array" ref="AV95">$G$11+VLOOKUP($Q95,武学奇术!$A:$ZZ,10,FALSE)+SUM(_xlfn.XLOOKUP(R95:AF95,增益!$A:$A,增益!$J:$J,0))</f>
        <v>0</v>
      </c>
      <c r="AW95">
        <f t="shared" si="44"/>
        <v>0</v>
      </c>
      <c r="AX95">
        <f t="shared" si="45"/>
        <v>0</v>
      </c>
      <c r="AY95" s="35" cm="1">
        <f t="array" ref="AY95">IF($F$12-$I$4+VLOOKUP($Q95,武学奇术!$A:$ZZ,11,FALSE)+SUM(_xlfn.XLOOKUP(R95:AF95,增益!$A:$A,增益!$K:$K,0))&gt;0,($F$12-$I$4+VLOOKUP($Q95,武学奇术!$A:$ZZ,11,FALSE)+SUM(_xlfn.XLOOKUP(R95:AF95,增益!$A:$A,增益!$K:$K,0)))/200,($F$12-$I$4+VLOOKUP($Q95,武学奇术!$A:$ZZ,11,FALSE)+SUM(_xlfn.XLOOKUP(R95:AF95,增益!$A:$A,增益!$K:$K,0)))/100)</f>
        <v>-0.3</v>
      </c>
      <c r="AZ95" s="35" cm="1">
        <f t="array" ref="AZ95">$G$12+VLOOKUP($Q95,武学奇术!$A:$ZZ,12,FALSE)+SUM(_xlfn.XLOOKUP(R95:AF95,增益!$A:$A,增益!$L:$L,0))</f>
        <v>0</v>
      </c>
      <c r="BA95">
        <f t="shared" si="46"/>
        <v>0</v>
      </c>
      <c r="BB95">
        <f t="shared" si="47"/>
        <v>0</v>
      </c>
      <c r="BC95" s="35" cm="1">
        <f t="array" ref="BC95">IF($F$13-$I$4+VLOOKUP($Q95,武学奇术!$A:$ZZ,13,FALSE)+SUM(_xlfn.XLOOKUP(R95:AF95,增益!$A:$A,增益!$M:$M,0))&gt;0,($F$13-$I$4+VLOOKUP($Q95,武学奇术!$A:$ZZ,13,FALSE)+SUM(_xlfn.XLOOKUP(R95:AF95,增益!$A:$A,增益!$K:$K,0)))/200,($F$13-$I$4+VLOOKUP($Q95,武学奇术!$A:$ZZ,13,FALSE)+SUM(_xlfn.XLOOKUP(R95:AF95,增益!$A:$A,增益!$M:$M,0)))/100)</f>
        <v>-0.3</v>
      </c>
      <c r="BD95" s="35" cm="1">
        <f t="array" ref="BD95">$G$13+VLOOKUP($Q95,武学奇术!$A:$ZZ,14,FALSE)+SUM(_xlfn.XLOOKUP(R95:AF95,增益!$A:$A,增益!$N:$N,0))</f>
        <v>0</v>
      </c>
      <c r="BE95">
        <f t="shared" si="48"/>
        <v>538</v>
      </c>
      <c r="BF95">
        <f t="shared" si="49"/>
        <v>1561.4</v>
      </c>
      <c r="BG95" s="35" cm="1">
        <f t="array" ref="BG95">IF($F$14-$I$4+VLOOKUP($Q95,武学奇术!$A:$ZZ,15,FALSE)+SUM(_xlfn.XLOOKUP(R95:AF95,增益!$A:$A,增益!$O:$O,0))&gt;0,($F$14-$I$4+VLOOKUP($Q95,武学奇术!$A:$ZZ,15,FALSE)+SUM(_xlfn.XLOOKUP(R95:AF95,增益!$A:$A,增益!$O:$O,0)))/200,($F$14-$I$4+VLOOKUP($Q95,武学奇术!$A:$ZZ,15,FALSE)+SUM(_xlfn.XLOOKUP(R95:AF95,增益!$A:$A,增益!$O:$O,0)))/100)</f>
        <v>0</v>
      </c>
      <c r="BH95" s="35" cm="1">
        <f t="array" ref="BH95">$G$14+VLOOKUP($Q95,武学奇术!$A:$ZZ,16,FALSE)+SUM(_xlfn.XLOOKUP(R95:AF95,增益!$A:$A,增益!$P:$P,0))</f>
        <v>0.15</v>
      </c>
      <c r="BI95" s="30">
        <f>MIN(IF(VLOOKUP($Q95,武学奇术!$A:$ZZ,23,FALSE)=1,100%,$B$8),100%)</f>
        <v>0.9712</v>
      </c>
      <c r="BJ95" s="30" cm="1">
        <f t="array" ref="BJ95">IF(VLOOKUP($Q95,武学奇术!$A:$ZZ,23,FALSE)=1,100%,MIN(80%,$B$9+VLOOKUP($Q95,武学奇术!$A:$ZZ,17,FALSE)+SUM(_xlfn.XLOOKUP(R95:AF95,增益!$A:$A,增益!$Q:$Q,0)))+$B$11+SUM(_xlfn.XLOOKUP(R95:AF95,增益!$A:$A,增益!$U:$U,0)))*IF(VLOOKUP($Q95,武学奇术!$A:$ZZ,24,FALSE)=1,0,1)</f>
        <v>0.8773</v>
      </c>
      <c r="BK95" s="30" cm="1">
        <f t="array" ref="BK95">1+$B$13+VLOOKUP($Q95,武学奇术!$A:$ZZ,18,FALSE)+SUM(_xlfn.XLOOKUP(R95:AF95,增益!$A:$A,增益!$R:$R,0))</f>
        <v>1.87</v>
      </c>
      <c r="BL95" s="30" cm="1">
        <f t="array" ref="BL95">IF(VLOOKUP($Q95,武学奇术!$A:$ZZ,24,FALSE)=1,100%,MIN(40%,$B$10+VLOOKUP($Q95,武学奇术!$A:$ZZ,19,FALSE)+SUM(_xlfn.XLOOKUP(R95:AF95,增益!$A:$A,增益!$S:$S,0)))+$B$12+SUM(_xlfn.XLOOKUP(R95:AF95,增益!$A:$A,增益!$V:$V,0)))*IF(VLOOKUP($Q95,武学奇术!$A:$ZZ,23,FALSE)=1,0,1)</f>
        <v>0.0895</v>
      </c>
      <c r="BM95" s="30" cm="1">
        <f t="array" ref="BM95">1+$B$14+VLOOKUP($Q95,武学奇术!$A:$ZZ,20,FALSE)+SUM(_xlfn.XLOOKUP(R95:AF95,增益!$A:$A,增益!$T:$T,0))</f>
        <v>1.35</v>
      </c>
      <c r="BN95" s="30">
        <f t="shared" si="22"/>
        <v>0.85203376</v>
      </c>
      <c r="BO95" s="30">
        <f t="shared" si="32"/>
        <v>0.03224384</v>
      </c>
      <c r="BP95" s="30">
        <f>IF(VLOOKUP($Q95,武学奇术!$A:$ZZ,22,FALSE)=1,0,(1-$BI95))*(1-$BL95)</f>
        <v>0.0262224</v>
      </c>
      <c r="BQ95" s="30" cm="1">
        <f t="array" ref="BQ95">SUM(_xlfn.XLOOKUP(R95:AF95,增益!$A:$A,增益!$W:$W,0))+$I$5</f>
        <v>0.11</v>
      </c>
    </row>
    <row r="96" spans="1:69">
      <c r="A96" s="4"/>
      <c r="B96" s="4"/>
      <c r="K96" s="41">
        <f t="shared" si="50"/>
        <v>26599.9474214293</v>
      </c>
      <c r="L96" s="41">
        <f>((($AN96+$AO96)/2*$AH96+$AI96)*(1+$AP96)*(1+$AQ96)+(($AS96+$AT96)/2*IF($G$1="鸣金",$AJ96,$AH96)+IF($G$1="鸣金",$AK96*1.5,0))*(1+$AU96)*(1+$AV96)+(($AW96+$AX96)/2*IF($G$1="裂石",$AJ96,$AH96)+IF($G$1="裂石",$AK96*1.5,0))*(1+$AY96)*(1+$AZ96)+(($BA96+$BB96)/2*IF($G$1="牵丝",$AJ96,$AH96)+IF($G$1="牵丝",$AK96*1.5,0))*(1+$BC96)*(1+$BD96)+(($BE96+$BF96)/2*IF($G$1="破竹",$AJ96,$AH96)+IF($G$1="破竹",$AK96*1.5,0))*(1+$BG96)*(1+$BH96))*(1+$AL96)*$BK96*$P96*(1+IF(VLOOKUP($Q96,武学奇术!$A:$ZZ,30,FALSE)="回旋伞",$B$21,0))*(1+$BQ96)</f>
        <v>27865.8348939729</v>
      </c>
      <c r="M96" s="41">
        <f>(($AO96*$AH96+$AI96)*(1+$AP96)*(1+$AQ96)+($AT96*IF($G$1="鸣金",$AJ96,$AH96)+IF($G$1="鸣金",$AK96*1.5,0))*(1+$AU96)*(1+$AV96)+($AX96*IF($G$1="裂石",$AJ96,$AH96)+IF($G$1="裂石",$AK96*1.5,0))*(1+$AY96)*(1+$AZ96)+($BB96*IF($G$1="牵丝",$AJ96,$AH96)+IF($G$1="牵丝",$AK96*1.5,0))*(1+$BC96)*(1+$BD96)+($BF96*IF($G$1="破竹",$AJ96,$AH96)+IF($G$1="破竹",$AK96*1.5,0))*(1+$BG96)*(1+$BH96))*(1+$AL96)*$BM96*$P96*(1+IF(VLOOKUP($Q96,武学奇术!$A:$ZZ,30,FALSE)="回旋伞",$B$21,0))*(1+$BQ96)</f>
        <v>22765.6575486457</v>
      </c>
      <c r="N96" s="41">
        <f>((($AN96+$AO96)/2*$AH96+$AI96)*(1+$AP96)*(1+$AQ96)+(($AS96+$AT96)/2*IF($G$1="鸣金",$AJ96,$AH96)+IF($G$1="鸣金",$AK96*1.5,0))*(1+$AU96)*(1+$AV96)+(($AW96+$AX96)/2*IF($G$1="裂石",$AJ96,$AH96)+IF($G$1="裂石",$AK96*1.5,0))*(1+$AY96)*(1+$AZ96)+(($BA96+$BB96)/2*IF($G$1="牵丝",$AJ96,$AH96)+IF($G$1="牵丝",$AK96*1.5,0))*(1+$BC96)*(1+$BD96)+(($BE96+$BF96)/2*IF($G$1="破竹",$AJ96,$AH96)+IF($G$1="破竹",$AK96*1.5,0))*(1+$BG96)*(1+$BH96))*(1+$AL96)*$P96*(1+IF(VLOOKUP($Q96,武学奇术!$A:$ZZ,30,FALSE)="回旋伞",$B$21,0))*(1+$BQ96)</f>
        <v>14901.5159860817</v>
      </c>
      <c r="O96" s="41">
        <f>((($AN96*$AH96+$AI96)*(1+$AP96)*(1+$AQ96)+($AS96*IF($G$1="鸣金",$AJ96,$AH96)+IF($G$1="鸣金",$AK96*1.5,0))*(1+$AU96)*(1+$AV96)+($AW96*IF($G$1="裂石",$AJ96,$AH96)+IF($G$1="裂石",$AK96*1.5,0))*(1+$AY96)*(1+$AZ96)+($BA96*IF($G$1="牵丝",$AJ96,$AH96)+IF($G$1="牵丝",$AK96*1.5,0))*(1+$BC96)*(1+$BD96)+($BE96*IF($G$1="破竹",$AJ96,$AH96)+IF($G$1="破竹",$AK96*1.5,0))*(1+$BG96)*(1+$BH96))*(1+$AL96))*$P96*(1+IF(VLOOKUP($Q96,武学奇术!$A:$ZZ,30,FALSE)="回旋伞",$B$21,0))*(1+$BQ96)</f>
        <v>12939.5819361296</v>
      </c>
      <c r="P96" s="42">
        <v>2</v>
      </c>
      <c r="Q96" s="43" t="s">
        <v>143</v>
      </c>
      <c r="R96" s="43" t="s">
        <v>71</v>
      </c>
      <c r="S96" s="43" t="s">
        <v>91</v>
      </c>
      <c r="T96" s="43" t="s">
        <v>72</v>
      </c>
      <c r="U96" s="43" t="s">
        <v>79</v>
      </c>
      <c r="V96" s="43" t="s">
        <v>167</v>
      </c>
      <c r="W96" s="43" t="s">
        <v>95</v>
      </c>
      <c r="X96" s="43" t="s">
        <v>71</v>
      </c>
      <c r="Y96" s="43" t="s">
        <v>71</v>
      </c>
      <c r="Z96" s="43" t="s">
        <v>71</v>
      </c>
      <c r="AA96" s="43" t="s">
        <v>71</v>
      </c>
      <c r="AB96" s="43" t="s">
        <v>71</v>
      </c>
      <c r="AC96" s="43" t="s">
        <v>71</v>
      </c>
      <c r="AD96" s="43" t="s">
        <v>71</v>
      </c>
      <c r="AE96" s="43" t="s">
        <v>71</v>
      </c>
      <c r="AF96" s="43" t="s">
        <v>76</v>
      </c>
      <c r="AG96" t="str">
        <f>VLOOKUP($Q96,武学奇术!$A:$ZZ,25,FALSE)</f>
        <v>伞</v>
      </c>
      <c r="AH96" s="30">
        <f>VLOOKUP($Q96,武学奇术!$A:$ZZ,26,FALSE)</f>
        <v>0.54</v>
      </c>
      <c r="AI96" s="31">
        <f>VLOOKUP($Q96,武学奇术!$A:$ZZ,27,FALSE)*(1+IF(OR($AG96=$F$4,$AG96=$F$5),$B$22,0))</f>
        <v>0</v>
      </c>
      <c r="AJ96" s="30">
        <f>VLOOKUP($Q96,武学奇术!$A:$ZZ,28,FALSE)</f>
        <v>0.81</v>
      </c>
      <c r="AK96" s="31">
        <f>VLOOKUP($Q96,武学奇术!$A:$ZZ,29,FALSE)*(1+IF(OR($AG96=$F$4,$AG96=$F$5),$B$22,0))</f>
        <v>0</v>
      </c>
      <c r="AL96" s="30" cm="1">
        <f t="array" ref="AL96">$G$3+IFERROR(VLOOKUP($AG96,$F$4:$G$7,2,FALSE),0)+VLOOKUP($Q96,武学奇术!$A:$ZZ,2,FALSE)+SUM(_xlfn.XLOOKUP($R96:$AF96,增益!$A:$A,增益!$B:$B,0))</f>
        <v>0.8541</v>
      </c>
      <c r="AM96" s="30" cm="1">
        <f t="array" ref="AM96">VLOOKUP($Q96,武学奇术!$A:$ZZ,5,FALSE)+SUM(_xlfn.XLOOKUP($R96:$AF96,增益!$A:$A,增益!$E:$E,0))</f>
        <v>0</v>
      </c>
      <c r="AN96" cm="1">
        <f t="array" ref="AN96">$D$10*(1+$AM96)+VLOOKUP($Q96,武学奇术!$A:$ZZ,3,FALSE)+SUM(_xlfn.XLOOKUP($R96:$AF96,增益!$A:$A,增益!$C:$C,0))-$I$2</f>
        <v>3545.8</v>
      </c>
      <c r="AO96" cm="1">
        <f t="array" ref="AO96">$E$10*(1+$AM96)+VLOOKUP($Q96,武学奇术!$A:$ZZ,4,FALSE)+SUM(_xlfn.XLOOKUP($R96:$AF96,增益!$A:$A,增益!$D:$D,0))-$I$2</f>
        <v>3545.8</v>
      </c>
      <c r="AP96" s="35" cm="1">
        <f t="array" ref="AP96">IF($F$10-$I$3+VLOOKUP($Q96,武学奇术!$A:$ZZ,6,FALSE)+SUM(_xlfn.XLOOKUP(R96:AF96,增益!$A:$A,增益!$F:$F,0))&gt;0,($F$10-$I$3+VLOOKUP($Q96,武学奇术!$A:$ZZ,6,FALSE)+SUM(_xlfn.XLOOKUP(R96:AF96,增益!$A:$A,增益!$F:$F,0)))/200,($F$10-$I$3+VLOOKUP($Q96,武学奇术!$A:$ZZ,6,FALSE)+SUM(_xlfn.XLOOKUP(R96:AF96,增益!$A:$A,增益!$F:$F,0)))/100)</f>
        <v>0.3425</v>
      </c>
      <c r="AQ96" s="35" cm="1">
        <f t="array" ref="AQ96">$G$10+VLOOKUP($Q96,武学奇术!$A:$ZZ,7,FALSE)+SUM(_xlfn.XLOOKUP(R96:AF96,增益!$A:$A,增益!$G:$G,0))</f>
        <v>0.028</v>
      </c>
      <c r="AR96" s="30" cm="1">
        <f t="array" ref="AR96">VLOOKUP($Q96,武学奇术!$A:$ZZ,8,FALSE)+SUM(_xlfn.XLOOKUP(R96:AF96,增益!$A:$A,增益!$H:$H,0))</f>
        <v>0</v>
      </c>
      <c r="AS96">
        <f t="shared" si="42"/>
        <v>0</v>
      </c>
      <c r="AT96">
        <f t="shared" si="43"/>
        <v>0</v>
      </c>
      <c r="AU96" s="35" cm="1">
        <f t="array" ref="AU96">IF($F$11-$I$4+VLOOKUP($Q96,武学奇术!$A:$ZZ,9,FALSE)+SUM(_xlfn.XLOOKUP(R96:AF96,增益!$A:$A,增益!$I:$I,0))&gt;0,($F$11-$I$4+VLOOKUP($Q96,武学奇术!$A:$ZZ,9,FALSE)+SUM(_xlfn.XLOOKUP(R96:AF96,增益!$A:$A,增益!$I:$I,0)))/200,($F$11-$I$4+VLOOKUP($Q96,武学奇术!$A:$ZZ,9,FALSE)+SUM(_xlfn.XLOOKUP(R96:AF96,增益!$A:$A,增益!$I:$I,0)))/100)</f>
        <v>-0.3</v>
      </c>
      <c r="AV96" s="35" cm="1">
        <f t="array" ref="AV96">$G$11+VLOOKUP($Q96,武学奇术!$A:$ZZ,10,FALSE)+SUM(_xlfn.XLOOKUP(R96:AF96,增益!$A:$A,增益!$J:$J,0))</f>
        <v>0</v>
      </c>
      <c r="AW96">
        <f t="shared" si="44"/>
        <v>0</v>
      </c>
      <c r="AX96">
        <f t="shared" si="45"/>
        <v>0</v>
      </c>
      <c r="AY96" s="35" cm="1">
        <f t="array" ref="AY96">IF($F$12-$I$4+VLOOKUP($Q96,武学奇术!$A:$ZZ,11,FALSE)+SUM(_xlfn.XLOOKUP(R96:AF96,增益!$A:$A,增益!$K:$K,0))&gt;0,($F$12-$I$4+VLOOKUP($Q96,武学奇术!$A:$ZZ,11,FALSE)+SUM(_xlfn.XLOOKUP(R96:AF96,增益!$A:$A,增益!$K:$K,0)))/200,($F$12-$I$4+VLOOKUP($Q96,武学奇术!$A:$ZZ,11,FALSE)+SUM(_xlfn.XLOOKUP(R96:AF96,增益!$A:$A,增益!$K:$K,0)))/100)</f>
        <v>-0.3</v>
      </c>
      <c r="AZ96" s="35" cm="1">
        <f t="array" ref="AZ96">$G$12+VLOOKUP($Q96,武学奇术!$A:$ZZ,12,FALSE)+SUM(_xlfn.XLOOKUP(R96:AF96,增益!$A:$A,增益!$L:$L,0))</f>
        <v>0</v>
      </c>
      <c r="BA96">
        <f t="shared" si="46"/>
        <v>0</v>
      </c>
      <c r="BB96">
        <f t="shared" si="47"/>
        <v>0</v>
      </c>
      <c r="BC96" s="35" cm="1">
        <f t="array" ref="BC96">IF($F$13-$I$4+VLOOKUP($Q96,武学奇术!$A:$ZZ,13,FALSE)+SUM(_xlfn.XLOOKUP(R96:AF96,增益!$A:$A,增益!$M:$M,0))&gt;0,($F$13-$I$4+VLOOKUP($Q96,武学奇术!$A:$ZZ,13,FALSE)+SUM(_xlfn.XLOOKUP(R96:AF96,增益!$A:$A,增益!$K:$K,0)))/200,($F$13-$I$4+VLOOKUP($Q96,武学奇术!$A:$ZZ,13,FALSE)+SUM(_xlfn.XLOOKUP(R96:AF96,增益!$A:$A,增益!$M:$M,0)))/100)</f>
        <v>-0.3</v>
      </c>
      <c r="BD96" s="35" cm="1">
        <f t="array" ref="BD96">$G$13+VLOOKUP($Q96,武学奇术!$A:$ZZ,14,FALSE)+SUM(_xlfn.XLOOKUP(R96:AF96,增益!$A:$A,增益!$N:$N,0))</f>
        <v>0</v>
      </c>
      <c r="BE96">
        <f t="shared" si="48"/>
        <v>538</v>
      </c>
      <c r="BF96">
        <f t="shared" si="49"/>
        <v>1561.4</v>
      </c>
      <c r="BG96" s="35" cm="1">
        <f t="array" ref="BG96">IF($F$14-$I$4+VLOOKUP($Q96,武学奇术!$A:$ZZ,15,FALSE)+SUM(_xlfn.XLOOKUP(R96:AF96,增益!$A:$A,增益!$O:$O,0))&gt;0,($F$14-$I$4+VLOOKUP($Q96,武学奇术!$A:$ZZ,15,FALSE)+SUM(_xlfn.XLOOKUP(R96:AF96,增益!$A:$A,增益!$O:$O,0)))/200,($F$14-$I$4+VLOOKUP($Q96,武学奇术!$A:$ZZ,15,FALSE)+SUM(_xlfn.XLOOKUP(R96:AF96,增益!$A:$A,增益!$O:$O,0)))/100)</f>
        <v>0</v>
      </c>
      <c r="BH96" s="35" cm="1">
        <f t="array" ref="BH96">$G$14+VLOOKUP($Q96,武学奇术!$A:$ZZ,16,FALSE)+SUM(_xlfn.XLOOKUP(R96:AF96,增益!$A:$A,增益!$P:$P,0))</f>
        <v>0.15</v>
      </c>
      <c r="BI96" s="30">
        <f>MIN(IF(VLOOKUP($Q96,武学奇术!$A:$ZZ,23,FALSE)=1,100%,$B$8),100%)</f>
        <v>0.9712</v>
      </c>
      <c r="BJ96" s="30" cm="1">
        <f t="array" ref="BJ96">IF(VLOOKUP($Q96,武学奇术!$A:$ZZ,23,FALSE)=1,100%,MIN(80%,$B$9+VLOOKUP($Q96,武学奇术!$A:$ZZ,17,FALSE)+SUM(_xlfn.XLOOKUP(R96:AF96,增益!$A:$A,增益!$Q:$Q,0)))+$B$11+SUM(_xlfn.XLOOKUP(R96:AF96,增益!$A:$A,增益!$U:$U,0)))*IF(VLOOKUP($Q96,武学奇术!$A:$ZZ,24,FALSE)=1,0,1)</f>
        <v>0.8773</v>
      </c>
      <c r="BK96" s="30" cm="1">
        <f t="array" ref="BK96">1+$B$13+VLOOKUP($Q96,武学奇术!$A:$ZZ,18,FALSE)+SUM(_xlfn.XLOOKUP(R96:AF96,增益!$A:$A,增益!$R:$R,0))</f>
        <v>1.87</v>
      </c>
      <c r="BL96" s="30" cm="1">
        <f t="array" ref="BL96">IF(VLOOKUP($Q96,武学奇术!$A:$ZZ,24,FALSE)=1,100%,MIN(40%,$B$10+VLOOKUP($Q96,武学奇术!$A:$ZZ,19,FALSE)+SUM(_xlfn.XLOOKUP(R96:AF96,增益!$A:$A,增益!$S:$S,0)))+$B$12+SUM(_xlfn.XLOOKUP(R96:AF96,增益!$A:$A,增益!$V:$V,0)))*IF(VLOOKUP($Q96,武学奇术!$A:$ZZ,23,FALSE)=1,0,1)</f>
        <v>0.0895</v>
      </c>
      <c r="BM96" s="30" cm="1">
        <f t="array" ref="BM96">1+$B$14+VLOOKUP($Q96,武学奇术!$A:$ZZ,20,FALSE)+SUM(_xlfn.XLOOKUP(R96:AF96,增益!$A:$A,增益!$T:$T,0))</f>
        <v>1.35</v>
      </c>
      <c r="BN96" s="30">
        <f t="shared" si="22"/>
        <v>0.85203376</v>
      </c>
      <c r="BO96" s="30">
        <f t="shared" si="32"/>
        <v>0.03224384</v>
      </c>
      <c r="BP96" s="30">
        <f>IF(VLOOKUP($Q96,武学奇术!$A:$ZZ,22,FALSE)=1,0,(1-$BI96))*(1-$BL96)</f>
        <v>0.0262224</v>
      </c>
      <c r="BQ96" s="30" cm="1">
        <f t="array" ref="BQ96">SUM(_xlfn.XLOOKUP(R96:AF96,增益!$A:$A,增益!$W:$W,0))+$I$5</f>
        <v>0.11</v>
      </c>
    </row>
    <row r="97" spans="1:69">
      <c r="A97" s="4"/>
      <c r="B97" s="4"/>
      <c r="K97" s="41">
        <f t="shared" si="50"/>
        <v>74143.979497781</v>
      </c>
      <c r="L97" s="41">
        <f>((($AN97+$AO97)/2*$AH97+$AI97)*(1+$AP97)*(1+$AQ97)+(($AS97+$AT97)/2*IF($G$1="鸣金",$AJ97,$AH97)+IF($G$1="鸣金",$AK97*1.5,0))*(1+$AU97)*(1+$AV97)+(($AW97+$AX97)/2*IF($G$1="裂石",$AJ97,$AH97)+IF($G$1="裂石",$AK97*1.5,0))*(1+$AY97)*(1+$AZ97)+(($BA97+$BB97)/2*IF($G$1="牵丝",$AJ97,$AH97)+IF($G$1="牵丝",$AK97*1.5,0))*(1+$BC97)*(1+$BD97)+(($BE97+$BF97)/2*IF($G$1="破竹",$AJ97,$AH97)+IF($G$1="破竹",$AK97*1.5,0))*(1+$BG97)*(1+$BH97))*(1+$AL97)*$BK97*$P97*(1+IF(VLOOKUP($Q97,武学奇术!$A:$ZZ,30,FALSE)="回旋伞",$B$21,0))*(1+$BQ97)</f>
        <v>77740.3201808086</v>
      </c>
      <c r="M97" s="41">
        <f>(($AO97*$AH97+$AI97)*(1+$AP97)*(1+$AQ97)+($AT97*IF($G$1="鸣金",$AJ97,$AH97)+IF($G$1="鸣金",$AK97*1.5,0))*(1+$AU97)*(1+$AV97)+($AX97*IF($G$1="裂石",$AJ97,$AH97)+IF($G$1="裂石",$AK97*1.5,0))*(1+$AY97)*(1+$AZ97)+($BB97*IF($G$1="牵丝",$AJ97,$AH97)+IF($G$1="牵丝",$AK97*1.5,0))*(1+$BC97)*(1+$BD97)+($BF97*IF($G$1="破竹",$AJ97,$AH97)+IF($G$1="破竹",$AK97*1.5,0))*(1+$BG97)*(1+$BH97))*(1+$AL97)*$BM97*$P97*(1+IF(VLOOKUP($Q97,武学奇术!$A:$ZZ,30,FALSE)="回旋伞",$B$21,0))*(1+$BQ97)</f>
        <v>62587.6939948807</v>
      </c>
      <c r="N97" s="41">
        <f>((($AN97+$AO97)/2*$AH97+$AI97)*(1+$AP97)*(1+$AQ97)+(($AS97+$AT97)/2*IF($G$1="鸣金",$AJ97,$AH97)+IF($G$1="鸣金",$AK97*1.5,0))*(1+$AU97)*(1+$AV97)+(($AW97+$AX97)/2*IF($G$1="裂石",$AJ97,$AH97)+IF($G$1="裂石",$AK97*1.5,0))*(1+$AY97)*(1+$AZ97)+(($BA97+$BB97)/2*IF($G$1="牵丝",$AJ97,$AH97)+IF($G$1="牵丝",$AK97*1.5,0))*(1+$BC97)*(1+$BD97)+(($BE97+$BF97)/2*IF($G$1="破竹",$AJ97,$AH97)+IF($G$1="破竹",$AK97*1.5,0))*(1+$BG97)*(1+$BH97))*(1+$AL97)*$P97*(1+IF(VLOOKUP($Q97,武学奇术!$A:$ZZ,30,FALSE)="回旋伞",$B$21,0))*(1+$BQ97)</f>
        <v>41572.3637330527</v>
      </c>
      <c r="O97" s="41">
        <f>((($AN97*$AH97+$AI97)*(1+$AP97)*(1+$AQ97)+($AS97*IF($G$1="鸣金",$AJ97,$AH97)+IF($G$1="鸣金",$AK97*1.5,0))*(1+$AU97)*(1+$AV97)+($AW97*IF($G$1="裂石",$AJ97,$AH97)+IF($G$1="裂石",$AK97*1.5,0))*(1+$AY97)*(1+$AZ97)+($BA97*IF($G$1="牵丝",$AJ97,$AH97)+IF($G$1="牵丝",$AK97*1.5,0))*(1+$BC97)*(1+$BD97)+($BE97*IF($G$1="破竹",$AJ97,$AH97)+IF($G$1="破竹",$AK97*1.5,0))*(1+$BG97)*(1+$BH97))*(1+$AL97))*$P97*(1+IF(VLOOKUP($Q97,武学奇术!$A:$ZZ,30,FALSE)="回旋伞",$B$21,0))*(1+$BQ97)</f>
        <v>36783.4726550828</v>
      </c>
      <c r="P97" s="42">
        <v>1</v>
      </c>
      <c r="Q97" s="43" t="s">
        <v>104</v>
      </c>
      <c r="R97" s="43" t="s">
        <v>105</v>
      </c>
      <c r="S97" s="43" t="s">
        <v>91</v>
      </c>
      <c r="T97" s="43" t="s">
        <v>72</v>
      </c>
      <c r="U97" s="43" t="s">
        <v>79</v>
      </c>
      <c r="V97" s="43" t="s">
        <v>167</v>
      </c>
      <c r="W97" s="43" t="s">
        <v>95</v>
      </c>
      <c r="X97" s="43" t="s">
        <v>71</v>
      </c>
      <c r="Y97" s="43" t="s">
        <v>71</v>
      </c>
      <c r="Z97" s="43" t="s">
        <v>71</v>
      </c>
      <c r="AA97" s="43" t="s">
        <v>71</v>
      </c>
      <c r="AB97" s="43" t="s">
        <v>71</v>
      </c>
      <c r="AC97" s="43" t="s">
        <v>71</v>
      </c>
      <c r="AD97" s="43" t="s">
        <v>71</v>
      </c>
      <c r="AE97" s="43" t="s">
        <v>71</v>
      </c>
      <c r="AF97" s="43" t="s">
        <v>76</v>
      </c>
      <c r="AG97" t="str">
        <f>VLOOKUP($Q97,武学奇术!$A:$ZZ,25,FALSE)</f>
        <v>伞</v>
      </c>
      <c r="AH97" s="30">
        <f>VLOOKUP($Q97,武学奇术!$A:$ZZ,26,FALSE)</f>
        <v>1.8084</v>
      </c>
      <c r="AI97" s="31">
        <f>VLOOKUP($Q97,武学奇术!$A:$ZZ,27,FALSE)*(1+IF(OR($AG97=$F$4,$AG97=$F$5),$B$22,0))</f>
        <v>700</v>
      </c>
      <c r="AJ97" s="30">
        <f>VLOOKUP($Q97,武学奇术!$A:$ZZ,28,FALSE)</f>
        <v>2.7126</v>
      </c>
      <c r="AK97" s="31">
        <f>VLOOKUP($Q97,武学奇术!$A:$ZZ,29,FALSE)*(1+IF(OR($AG97=$F$4,$AG97=$F$5),$B$22,0))</f>
        <v>380.8</v>
      </c>
      <c r="AL97" s="30" cm="1">
        <f t="array" ref="AL97">$G$3+IFERROR(VLOOKUP($AG97,$F$4:$G$7,2,FALSE),0)+VLOOKUP($Q97,武学奇术!$A:$ZZ,2,FALSE)+SUM(_xlfn.XLOOKUP($R97:$AF97,增益!$A:$A,增益!$B:$B,0))</f>
        <v>0.8541</v>
      </c>
      <c r="AM97" s="30" cm="1">
        <f t="array" ref="AM97">VLOOKUP($Q97,武学奇术!$A:$ZZ,5,FALSE)+SUM(_xlfn.XLOOKUP($R97:$AF97,增益!$A:$A,增益!$E:$E,0))</f>
        <v>0</v>
      </c>
      <c r="AN97" cm="1">
        <f t="array" ref="AN97">$D$10*(1+$AM97)+VLOOKUP($Q97,武学奇术!$A:$ZZ,3,FALSE)+SUM(_xlfn.XLOOKUP($R97:$AF97,增益!$A:$A,增益!$C:$C,0))-$I$2</f>
        <v>3545.8</v>
      </c>
      <c r="AO97" cm="1">
        <f t="array" ref="AO97">$E$10*(1+$AM97)+VLOOKUP($Q97,武学奇术!$A:$ZZ,4,FALSE)+SUM(_xlfn.XLOOKUP($R97:$AF97,增益!$A:$A,增益!$D:$D,0))-$I$2</f>
        <v>3545.8</v>
      </c>
      <c r="AP97" s="35" cm="1">
        <f t="array" ref="AP97">IF($F$10-$I$3+VLOOKUP($Q97,武学奇术!$A:$ZZ,6,FALSE)+SUM(_xlfn.XLOOKUP(R97:AF97,增益!$A:$A,增益!$F:$F,0))&gt;0,($F$10-$I$3+VLOOKUP($Q97,武学奇术!$A:$ZZ,6,FALSE)+SUM(_xlfn.XLOOKUP(R97:AF97,增益!$A:$A,增益!$F:$F,0)))/200,($F$10-$I$3+VLOOKUP($Q97,武学奇术!$A:$ZZ,6,FALSE)+SUM(_xlfn.XLOOKUP(R97:AF97,增益!$A:$A,增益!$F:$F,0)))/100)</f>
        <v>0.3425</v>
      </c>
      <c r="AQ97" s="35" cm="1">
        <f t="array" ref="AQ97">$G$10+VLOOKUP($Q97,武学奇术!$A:$ZZ,7,FALSE)+SUM(_xlfn.XLOOKUP(R97:AF97,增益!$A:$A,增益!$G:$G,0))</f>
        <v>0.148</v>
      </c>
      <c r="AR97" s="30" cm="1">
        <f t="array" ref="AR97">VLOOKUP($Q97,武学奇术!$A:$ZZ,8,FALSE)+SUM(_xlfn.XLOOKUP(R97:AF97,增益!$A:$A,增益!$H:$H,0))</f>
        <v>0</v>
      </c>
      <c r="AS97">
        <f t="shared" si="42"/>
        <v>0</v>
      </c>
      <c r="AT97">
        <f t="shared" si="43"/>
        <v>0</v>
      </c>
      <c r="AU97" s="35" cm="1">
        <f t="array" ref="AU97">IF($F$11-$I$4+VLOOKUP($Q97,武学奇术!$A:$ZZ,9,FALSE)+SUM(_xlfn.XLOOKUP(R97:AF97,增益!$A:$A,增益!$I:$I,0))&gt;0,($F$11-$I$4+VLOOKUP($Q97,武学奇术!$A:$ZZ,9,FALSE)+SUM(_xlfn.XLOOKUP(R97:AF97,增益!$A:$A,增益!$I:$I,0)))/200,($F$11-$I$4+VLOOKUP($Q97,武学奇术!$A:$ZZ,9,FALSE)+SUM(_xlfn.XLOOKUP(R97:AF97,增益!$A:$A,增益!$I:$I,0)))/100)</f>
        <v>-0.3</v>
      </c>
      <c r="AV97" s="35" cm="1">
        <f t="array" ref="AV97">$G$11+VLOOKUP($Q97,武学奇术!$A:$ZZ,10,FALSE)+SUM(_xlfn.XLOOKUP(R97:AF97,增益!$A:$A,增益!$J:$J,0))</f>
        <v>0</v>
      </c>
      <c r="AW97">
        <f t="shared" si="44"/>
        <v>0</v>
      </c>
      <c r="AX97">
        <f t="shared" si="45"/>
        <v>0</v>
      </c>
      <c r="AY97" s="35" cm="1">
        <f t="array" ref="AY97">IF($F$12-$I$4+VLOOKUP($Q97,武学奇术!$A:$ZZ,11,FALSE)+SUM(_xlfn.XLOOKUP(R97:AF97,增益!$A:$A,增益!$K:$K,0))&gt;0,($F$12-$I$4+VLOOKUP($Q97,武学奇术!$A:$ZZ,11,FALSE)+SUM(_xlfn.XLOOKUP(R97:AF97,增益!$A:$A,增益!$K:$K,0)))/200,($F$12-$I$4+VLOOKUP($Q97,武学奇术!$A:$ZZ,11,FALSE)+SUM(_xlfn.XLOOKUP(R97:AF97,增益!$A:$A,增益!$K:$K,0)))/100)</f>
        <v>-0.3</v>
      </c>
      <c r="AZ97" s="35" cm="1">
        <f t="array" ref="AZ97">$G$12+VLOOKUP($Q97,武学奇术!$A:$ZZ,12,FALSE)+SUM(_xlfn.XLOOKUP(R97:AF97,增益!$A:$A,增益!$L:$L,0))</f>
        <v>0</v>
      </c>
      <c r="BA97">
        <f t="shared" si="46"/>
        <v>0</v>
      </c>
      <c r="BB97">
        <f t="shared" si="47"/>
        <v>0</v>
      </c>
      <c r="BC97" s="35" cm="1">
        <f t="array" ref="BC97">IF($F$13-$I$4+VLOOKUP($Q97,武学奇术!$A:$ZZ,13,FALSE)+SUM(_xlfn.XLOOKUP(R97:AF97,增益!$A:$A,增益!$M:$M,0))&gt;0,($F$13-$I$4+VLOOKUP($Q97,武学奇术!$A:$ZZ,13,FALSE)+SUM(_xlfn.XLOOKUP(R97:AF97,增益!$A:$A,增益!$K:$K,0)))/200,($F$13-$I$4+VLOOKUP($Q97,武学奇术!$A:$ZZ,13,FALSE)+SUM(_xlfn.XLOOKUP(R97:AF97,增益!$A:$A,增益!$M:$M,0)))/100)</f>
        <v>-0.3</v>
      </c>
      <c r="BD97" s="35" cm="1">
        <f t="array" ref="BD97">$G$13+VLOOKUP($Q97,武学奇术!$A:$ZZ,14,FALSE)+SUM(_xlfn.XLOOKUP(R97:AF97,增益!$A:$A,增益!$N:$N,0))</f>
        <v>0</v>
      </c>
      <c r="BE97">
        <f t="shared" si="48"/>
        <v>538</v>
      </c>
      <c r="BF97">
        <f t="shared" si="49"/>
        <v>1561.4</v>
      </c>
      <c r="BG97" s="35" cm="1">
        <f t="array" ref="BG97">IF($F$14-$I$4+VLOOKUP($Q97,武学奇术!$A:$ZZ,15,FALSE)+SUM(_xlfn.XLOOKUP(R97:AF97,增益!$A:$A,增益!$O:$O,0))&gt;0,($F$14-$I$4+VLOOKUP($Q97,武学奇术!$A:$ZZ,15,FALSE)+SUM(_xlfn.XLOOKUP(R97:AF97,增益!$A:$A,增益!$O:$O,0)))/200,($F$14-$I$4+VLOOKUP($Q97,武学奇术!$A:$ZZ,15,FALSE)+SUM(_xlfn.XLOOKUP(R97:AF97,增益!$A:$A,增益!$O:$O,0)))/100)</f>
        <v>0</v>
      </c>
      <c r="BH97" s="35" cm="1">
        <f t="array" ref="BH97">$G$14+VLOOKUP($Q97,武学奇术!$A:$ZZ,16,FALSE)+SUM(_xlfn.XLOOKUP(R97:AF97,增益!$A:$A,增益!$P:$P,0))</f>
        <v>0.27</v>
      </c>
      <c r="BI97" s="30">
        <f>MIN(IF(VLOOKUP($Q97,武学奇术!$A:$ZZ,23,FALSE)=1,100%,$B$8),100%)</f>
        <v>0.9712</v>
      </c>
      <c r="BJ97" s="30" cm="1">
        <f t="array" ref="BJ97">IF(VLOOKUP($Q97,武学奇术!$A:$ZZ,23,FALSE)=1,100%,MIN(80%,$B$9+VLOOKUP($Q97,武学奇术!$A:$ZZ,17,FALSE)+SUM(_xlfn.XLOOKUP(R97:AF97,增益!$A:$A,增益!$Q:$Q,0)))+$B$11+SUM(_xlfn.XLOOKUP(R97:AF97,增益!$A:$A,增益!$U:$U,0)))*IF(VLOOKUP($Q97,武学奇术!$A:$ZZ,24,FALSE)=1,0,1)</f>
        <v>0.8773</v>
      </c>
      <c r="BK97" s="30" cm="1">
        <f t="array" ref="BK97">1+$B$13+VLOOKUP($Q97,武学奇术!$A:$ZZ,18,FALSE)+SUM(_xlfn.XLOOKUP(R97:AF97,增益!$A:$A,增益!$R:$R,0))</f>
        <v>1.87</v>
      </c>
      <c r="BL97" s="30" cm="1">
        <f t="array" ref="BL97">IF(VLOOKUP($Q97,武学奇术!$A:$ZZ,24,FALSE)=1,100%,MIN(40%,$B$10+VLOOKUP($Q97,武学奇术!$A:$ZZ,19,FALSE)+SUM(_xlfn.XLOOKUP(R97:AF97,增益!$A:$A,增益!$S:$S,0)))+$B$12+SUM(_xlfn.XLOOKUP(R97:AF97,增益!$A:$A,增益!$V:$V,0)))*IF(VLOOKUP($Q97,武学奇术!$A:$ZZ,23,FALSE)=1,0,1)</f>
        <v>0.0895</v>
      </c>
      <c r="BM97" s="30" cm="1">
        <f t="array" ref="BM97">1+$B$14+VLOOKUP($Q97,武学奇术!$A:$ZZ,20,FALSE)+SUM(_xlfn.XLOOKUP(R97:AF97,增益!$A:$A,增益!$T:$T,0))</f>
        <v>1.35</v>
      </c>
      <c r="BN97" s="30">
        <f t="shared" si="22"/>
        <v>0.85203376</v>
      </c>
      <c r="BO97" s="30">
        <f t="shared" si="32"/>
        <v>0.03224384</v>
      </c>
      <c r="BP97" s="30">
        <f>IF(VLOOKUP($Q97,武学奇术!$A:$ZZ,22,FALSE)=1,0,(1-$BI97))*(1-$BL97)</f>
        <v>0.0262224</v>
      </c>
      <c r="BQ97" s="30" cm="1">
        <f t="array" ref="BQ97">SUM(_xlfn.XLOOKUP(R97:AF97,增益!$A:$A,增益!$W:$W,0))+$I$5</f>
        <v>0.11</v>
      </c>
    </row>
    <row r="98" spans="1:69">
      <c r="A98" s="4"/>
      <c r="B98" s="90"/>
      <c r="K98" s="41">
        <f t="shared" si="50"/>
        <v>75852.7896780883</v>
      </c>
      <c r="L98" s="41">
        <f>((($AN98+$AO98)/2*$AH98+$AI98)*(1+$AP98)*(1+$AQ98)+(($AS98+$AT98)/2*IF($G$1="鸣金",$AJ98,$AH98)+IF($G$1="鸣金",$AK98*1.5,0))*(1+$AU98)*(1+$AV98)+(($AW98+$AX98)/2*IF($G$1="裂石",$AJ98,$AH98)+IF($G$1="裂石",$AK98*1.5,0))*(1+$AY98)*(1+$AZ98)+(($BA98+$BB98)/2*IF($G$1="牵丝",$AJ98,$AH98)+IF($G$1="牵丝",$AK98*1.5,0))*(1+$BC98)*(1+$BD98)+(($BE98+$BF98)/2*IF($G$1="破竹",$AJ98,$AH98)+IF($G$1="破竹",$AK98*1.5,0))*(1+$BG98)*(1+$BH98))*(1+$AL98)*$BK98*$P98*(1+IF(VLOOKUP($Q98,武学奇术!$A:$ZZ,30,FALSE)="回旋伞",$B$21,0))*(1+$BQ98)</f>
        <v>79504.7960657298</v>
      </c>
      <c r="M98" s="41">
        <f>(($AO98*$AH98+$AI98)*(1+$AP98)*(1+$AQ98)+($AT98*IF($G$1="鸣金",$AJ98,$AH98)+IF($G$1="鸣金",$AK98*1.5,0))*(1+$AU98)*(1+$AV98)+($AX98*IF($G$1="裂石",$AJ98,$AH98)+IF($G$1="裂石",$AK98*1.5,0))*(1+$AY98)*(1+$AZ98)+($BB98*IF($G$1="牵丝",$AJ98,$AH98)+IF($G$1="牵丝",$AK98*1.5,0))*(1+$BC98)*(1+$BD98)+($BF98*IF($G$1="破竹",$AJ98,$AH98)+IF($G$1="破竹",$AK98*1.5,0))*(1+$BG98)*(1+$BH98))*(1+$AL98)*$BM98*$P98*(1+IF(VLOOKUP($Q98,武学奇术!$A:$ZZ,30,FALSE)="回旋伞",$B$21,0))*(1+$BQ98)</f>
        <v>64378.7137204157</v>
      </c>
      <c r="N98" s="41">
        <f>((($AN98+$AO98)/2*$AH98+$AI98)*(1+$AP98)*(1+$AQ98)+(($AS98+$AT98)/2*IF($G$1="鸣金",$AJ98,$AH98)+IF($G$1="鸣金",$AK98*1.5,0))*(1+$AU98)*(1+$AV98)+(($AW98+$AX98)/2*IF($G$1="裂石",$AJ98,$AH98)+IF($G$1="裂石",$AK98*1.5,0))*(1+$AY98)*(1+$AZ98)+(($BA98+$BB98)/2*IF($G$1="牵丝",$AJ98,$AH98)+IF($G$1="牵丝",$AK98*1.5,0))*(1+$BC98)*(1+$BD98)+(($BE98+$BF98)/2*IF($G$1="破竹",$AJ98,$AH98)+IF($G$1="破竹",$AK98*1.5,0))*(1+$BG98)*(1+$BH98))*(1+$AL98)*$P98*(1+IF(VLOOKUP($Q98,武学奇术!$A:$ZZ,30,FALSE)="回旋伞",$B$21,0))*(1+$BQ98)</f>
        <v>42515.9337249892</v>
      </c>
      <c r="O98" s="41">
        <f>((($AN98*$AH98+$AI98)*(1+$AP98)*(1+$AQ98)+($AS98*IF($G$1="鸣金",$AJ98,$AH98)+IF($G$1="鸣金",$AK98*1.5,0))*(1+$AU98)*(1+$AV98)+($AW98*IF($G$1="裂石",$AJ98,$AH98)+IF($G$1="裂石",$AK98*1.5,0))*(1+$AY98)*(1+$AZ98)+($BA98*IF($G$1="牵丝",$AJ98,$AH98)+IF($G$1="牵丝",$AK98*1.5,0))*(1+$BC98)*(1+$BD98)+($BE98*IF($G$1="破竹",$AJ98,$AH98)+IF($G$1="破竹",$AK98*1.5,0))*(1+$BG98)*(1+$BH98))*(1+$AL98))*$P98*(1+IF(VLOOKUP($Q98,武学奇术!$A:$ZZ,30,FALSE)="回旋伞",$B$21,0))*(1+$BQ98)</f>
        <v>37343.9313607816</v>
      </c>
      <c r="P98" s="42">
        <v>1</v>
      </c>
      <c r="Q98" s="43" t="s">
        <v>104</v>
      </c>
      <c r="R98" s="43" t="s">
        <v>105</v>
      </c>
      <c r="S98" s="43" t="s">
        <v>91</v>
      </c>
      <c r="T98" s="43" t="s">
        <v>72</v>
      </c>
      <c r="U98" s="43" t="s">
        <v>79</v>
      </c>
      <c r="V98" s="43" t="s">
        <v>167</v>
      </c>
      <c r="W98" s="43" t="s">
        <v>95</v>
      </c>
      <c r="X98" s="43" t="s">
        <v>82</v>
      </c>
      <c r="Y98" s="43" t="s">
        <v>71</v>
      </c>
      <c r="Z98" s="43" t="s">
        <v>71</v>
      </c>
      <c r="AA98" s="43" t="s">
        <v>109</v>
      </c>
      <c r="AB98" s="43" t="s">
        <v>71</v>
      </c>
      <c r="AC98" s="43" t="s">
        <v>71</v>
      </c>
      <c r="AD98" s="43" t="s">
        <v>71</v>
      </c>
      <c r="AE98" s="43" t="s">
        <v>71</v>
      </c>
      <c r="AF98" s="43" t="s">
        <v>76</v>
      </c>
      <c r="AG98" t="str">
        <f>VLOOKUP($Q98,武学奇术!$A:$ZZ,25,FALSE)</f>
        <v>伞</v>
      </c>
      <c r="AH98" s="30">
        <f>VLOOKUP($Q98,武学奇术!$A:$ZZ,26,FALSE)</f>
        <v>1.8084</v>
      </c>
      <c r="AI98" s="31">
        <f>VLOOKUP($Q98,武学奇术!$A:$ZZ,27,FALSE)*(1+IF(OR($AG98=$F$4,$AG98=$F$5),$B$22,0))</f>
        <v>700</v>
      </c>
      <c r="AJ98" s="30">
        <f>VLOOKUP($Q98,武学奇术!$A:$ZZ,28,FALSE)</f>
        <v>2.7126</v>
      </c>
      <c r="AK98" s="31">
        <f>VLOOKUP($Q98,武学奇术!$A:$ZZ,29,FALSE)*(1+IF(OR($AG98=$F$4,$AG98=$F$5),$B$22,0))</f>
        <v>380.8</v>
      </c>
      <c r="AL98" s="30" cm="1">
        <f t="array" ref="AL98">$G$3+IFERROR(VLOOKUP($AG98,$F$4:$G$7,2,FALSE),0)+VLOOKUP($Q98,武学奇术!$A:$ZZ,2,FALSE)+SUM(_xlfn.XLOOKUP($R98:$AF98,增益!$A:$A,增益!$B:$B,0))</f>
        <v>0.8541</v>
      </c>
      <c r="AM98" s="30" cm="1">
        <f t="array" ref="AM98">VLOOKUP($Q98,武学奇术!$A:$ZZ,5,FALSE)+SUM(_xlfn.XLOOKUP($R98:$AF98,增益!$A:$A,增益!$E:$E,0))</f>
        <v>0</v>
      </c>
      <c r="AN98" cm="1">
        <f t="array" ref="AN98">$D$10*(1+$AM98)+VLOOKUP($Q98,武学奇术!$A:$ZZ,3,FALSE)+SUM(_xlfn.XLOOKUP($R98:$AF98,增益!$A:$A,增益!$C:$C,0))-$I$2</f>
        <v>3545.8</v>
      </c>
      <c r="AO98" cm="1">
        <f t="array" ref="AO98">$E$10*(1+$AM98)+VLOOKUP($Q98,武学奇术!$A:$ZZ,4,FALSE)+SUM(_xlfn.XLOOKUP($R98:$AF98,增益!$A:$A,增益!$D:$D,0))-$I$2</f>
        <v>3545.8</v>
      </c>
      <c r="AP98" s="35" cm="1">
        <f t="array" ref="AP98">IF($F$10-$I$3+VLOOKUP($Q98,武学奇术!$A:$ZZ,6,FALSE)+SUM(_xlfn.XLOOKUP(R98:AF98,增益!$A:$A,增益!$F:$F,0))&gt;0,($F$10-$I$3+VLOOKUP($Q98,武学奇术!$A:$ZZ,6,FALSE)+SUM(_xlfn.XLOOKUP(R98:AF98,增益!$A:$A,增益!$F:$F,0)))/200,($F$10-$I$3+VLOOKUP($Q98,武学奇术!$A:$ZZ,6,FALSE)+SUM(_xlfn.XLOOKUP(R98:AF98,增益!$A:$A,增益!$F:$F,0)))/100)</f>
        <v>0.3425</v>
      </c>
      <c r="AQ98" s="35" cm="1">
        <f t="array" ref="AQ98">$G$10+VLOOKUP($Q98,武学奇术!$A:$ZZ,7,FALSE)+SUM(_xlfn.XLOOKUP(R98:AF98,增益!$A:$A,增益!$G:$G,0))</f>
        <v>0.148</v>
      </c>
      <c r="AR98" s="30" cm="1">
        <f t="array" ref="AR98">VLOOKUP($Q98,武学奇术!$A:$ZZ,8,FALSE)+SUM(_xlfn.XLOOKUP(R98:AF98,增益!$A:$A,增益!$H:$H,0))</f>
        <v>0</v>
      </c>
      <c r="AS98">
        <f t="shared" si="42"/>
        <v>0</v>
      </c>
      <c r="AT98">
        <f t="shared" si="43"/>
        <v>0</v>
      </c>
      <c r="AU98" s="35" cm="1">
        <f t="array" ref="AU98">IF($F$11-$I$4+VLOOKUP($Q98,武学奇术!$A:$ZZ,9,FALSE)+SUM(_xlfn.XLOOKUP(R98:AF98,增益!$A:$A,增益!$I:$I,0))&gt;0,($F$11-$I$4+VLOOKUP($Q98,武学奇术!$A:$ZZ,9,FALSE)+SUM(_xlfn.XLOOKUP(R98:AF98,增益!$A:$A,增益!$I:$I,0)))/200,($F$11-$I$4+VLOOKUP($Q98,武学奇术!$A:$ZZ,9,FALSE)+SUM(_xlfn.XLOOKUP(R98:AF98,增益!$A:$A,增益!$I:$I,0)))/100)</f>
        <v>-0.14</v>
      </c>
      <c r="AV98" s="35" cm="1">
        <f t="array" ref="AV98">$G$11+VLOOKUP($Q98,武学奇术!$A:$ZZ,10,FALSE)+SUM(_xlfn.XLOOKUP(R98:AF98,增益!$A:$A,增益!$J:$J,0))</f>
        <v>0</v>
      </c>
      <c r="AW98">
        <f t="shared" si="44"/>
        <v>0</v>
      </c>
      <c r="AX98">
        <f t="shared" si="45"/>
        <v>0</v>
      </c>
      <c r="AY98" s="35" cm="1">
        <f t="array" ref="AY98">IF($F$12-$I$4+VLOOKUP($Q98,武学奇术!$A:$ZZ,11,FALSE)+SUM(_xlfn.XLOOKUP(R98:AF98,增益!$A:$A,增益!$K:$K,0))&gt;0,($F$12-$I$4+VLOOKUP($Q98,武学奇术!$A:$ZZ,11,FALSE)+SUM(_xlfn.XLOOKUP(R98:AF98,增益!$A:$A,增益!$K:$K,0)))/200,($F$12-$I$4+VLOOKUP($Q98,武学奇术!$A:$ZZ,11,FALSE)+SUM(_xlfn.XLOOKUP(R98:AF98,增益!$A:$A,增益!$K:$K,0)))/100)</f>
        <v>-0.14</v>
      </c>
      <c r="AZ98" s="35" cm="1">
        <f t="array" ref="AZ98">$G$12+VLOOKUP($Q98,武学奇术!$A:$ZZ,12,FALSE)+SUM(_xlfn.XLOOKUP(R98:AF98,增益!$A:$A,增益!$L:$L,0))</f>
        <v>0</v>
      </c>
      <c r="BA98">
        <f t="shared" si="46"/>
        <v>0</v>
      </c>
      <c r="BB98">
        <f t="shared" si="47"/>
        <v>0</v>
      </c>
      <c r="BC98" s="35" cm="1">
        <f t="array" ref="BC98">IF($F$13-$I$4+VLOOKUP($Q98,武学奇术!$A:$ZZ,13,FALSE)+SUM(_xlfn.XLOOKUP(R98:AF98,增益!$A:$A,增益!$M:$M,0))&gt;0,($F$13-$I$4+VLOOKUP($Q98,武学奇术!$A:$ZZ,13,FALSE)+SUM(_xlfn.XLOOKUP(R98:AF98,增益!$A:$A,增益!$K:$K,0)))/200,($F$13-$I$4+VLOOKUP($Q98,武学奇术!$A:$ZZ,13,FALSE)+SUM(_xlfn.XLOOKUP(R98:AF98,增益!$A:$A,增益!$M:$M,0)))/100)</f>
        <v>-0.14</v>
      </c>
      <c r="BD98" s="35" cm="1">
        <f t="array" ref="BD98">$G$13+VLOOKUP($Q98,武学奇术!$A:$ZZ,14,FALSE)+SUM(_xlfn.XLOOKUP(R98:AF98,增益!$A:$A,增益!$N:$N,0))</f>
        <v>0</v>
      </c>
      <c r="BE98">
        <f t="shared" si="48"/>
        <v>538</v>
      </c>
      <c r="BF98">
        <f t="shared" si="49"/>
        <v>1561.4</v>
      </c>
      <c r="BG98" s="35" cm="1">
        <f t="array" ref="BG98">IF($F$14-$I$4+VLOOKUP($Q98,武学奇术!$A:$ZZ,15,FALSE)+SUM(_xlfn.XLOOKUP(R98:AF98,增益!$A:$A,增益!$O:$O,0))&gt;0,($F$14-$I$4+VLOOKUP($Q98,武学奇术!$A:$ZZ,15,FALSE)+SUM(_xlfn.XLOOKUP(R98:AF98,增益!$A:$A,增益!$O:$O,0)))/200,($F$14-$I$4+VLOOKUP($Q98,武学奇术!$A:$ZZ,15,FALSE)+SUM(_xlfn.XLOOKUP(R98:AF98,增益!$A:$A,增益!$O:$O,0)))/100)</f>
        <v>0.08</v>
      </c>
      <c r="BH98" s="35" cm="1">
        <f t="array" ref="BH98">$G$14+VLOOKUP($Q98,武学奇术!$A:$ZZ,16,FALSE)+SUM(_xlfn.XLOOKUP(R98:AF98,增益!$A:$A,增益!$P:$P,0))</f>
        <v>0.27</v>
      </c>
      <c r="BI98" s="30">
        <f>MIN(IF(VLOOKUP($Q98,武学奇术!$A:$ZZ,23,FALSE)=1,100%,$B$8),100%)</f>
        <v>0.9712</v>
      </c>
      <c r="BJ98" s="30" cm="1">
        <f t="array" ref="BJ98">IF(VLOOKUP($Q98,武学奇术!$A:$ZZ,23,FALSE)=1,100%,MIN(80%,$B$9+VLOOKUP($Q98,武学奇术!$A:$ZZ,17,FALSE)+SUM(_xlfn.XLOOKUP(R98:AF98,增益!$A:$A,增益!$Q:$Q,0)))+$B$11+SUM(_xlfn.XLOOKUP(R98:AF98,增益!$A:$A,增益!$U:$U,0)))*IF(VLOOKUP($Q98,武学奇术!$A:$ZZ,24,FALSE)=1,0,1)</f>
        <v>0.8773</v>
      </c>
      <c r="BK98" s="30" cm="1">
        <f t="array" ref="BK98">1+$B$13+VLOOKUP($Q98,武学奇术!$A:$ZZ,18,FALSE)+SUM(_xlfn.XLOOKUP(R98:AF98,增益!$A:$A,增益!$R:$R,0))</f>
        <v>1.87</v>
      </c>
      <c r="BL98" s="30" cm="1">
        <f t="array" ref="BL98">IF(VLOOKUP($Q98,武学奇术!$A:$ZZ,24,FALSE)=1,100%,MIN(40%,$B$10+VLOOKUP($Q98,武学奇术!$A:$ZZ,19,FALSE)+SUM(_xlfn.XLOOKUP(R98:AF98,增益!$A:$A,增益!$S:$S,0)))+$B$12+SUM(_xlfn.XLOOKUP(R98:AF98,增益!$A:$A,增益!$V:$V,0)))*IF(VLOOKUP($Q98,武学奇术!$A:$ZZ,23,FALSE)=1,0,1)</f>
        <v>0.0895</v>
      </c>
      <c r="BM98" s="30" cm="1">
        <f t="array" ref="BM98">1+$B$14+VLOOKUP($Q98,武学奇术!$A:$ZZ,20,FALSE)+SUM(_xlfn.XLOOKUP(R98:AF98,增益!$A:$A,增益!$T:$T,0))</f>
        <v>1.35</v>
      </c>
      <c r="BN98" s="30">
        <f t="shared" si="22"/>
        <v>0.85203376</v>
      </c>
      <c r="BO98" s="30">
        <f t="shared" si="32"/>
        <v>0.03224384</v>
      </c>
      <c r="BP98" s="30">
        <f>IF(VLOOKUP($Q98,武学奇术!$A:$ZZ,22,FALSE)=1,0,(1-$BI98))*(1-$BL98)</f>
        <v>0.0262224</v>
      </c>
      <c r="BQ98" s="30" cm="1">
        <f t="array" ref="BQ98">SUM(_xlfn.XLOOKUP(R98:AF98,增益!$A:$A,增益!$W:$W,0))+$I$5</f>
        <v>0.11</v>
      </c>
    </row>
    <row r="99" spans="1:69">
      <c r="A99" s="4"/>
      <c r="B99" s="4"/>
      <c r="K99" s="41">
        <f t="shared" si="50"/>
        <v>75852.7896780883</v>
      </c>
      <c r="L99" s="41">
        <f>((($AN99+$AO99)/2*$AH99+$AI99)*(1+$AP99)*(1+$AQ99)+(($AS99+$AT99)/2*IF($G$1="鸣金",$AJ99,$AH99)+IF($G$1="鸣金",$AK99*1.5,0))*(1+$AU99)*(1+$AV99)+(($AW99+$AX99)/2*IF($G$1="裂石",$AJ99,$AH99)+IF($G$1="裂石",$AK99*1.5,0))*(1+$AY99)*(1+$AZ99)+(($BA99+$BB99)/2*IF($G$1="牵丝",$AJ99,$AH99)+IF($G$1="牵丝",$AK99*1.5,0))*(1+$BC99)*(1+$BD99)+(($BE99+$BF99)/2*IF($G$1="破竹",$AJ99,$AH99)+IF($G$1="破竹",$AK99*1.5,0))*(1+$BG99)*(1+$BH99))*(1+$AL99)*$BK99*$P99*(1+IF(VLOOKUP($Q99,武学奇术!$A:$ZZ,30,FALSE)="回旋伞",$B$21,0))*(1+$BQ99)</f>
        <v>79504.7960657298</v>
      </c>
      <c r="M99" s="41">
        <f>(($AO99*$AH99+$AI99)*(1+$AP99)*(1+$AQ99)+($AT99*IF($G$1="鸣金",$AJ99,$AH99)+IF($G$1="鸣金",$AK99*1.5,0))*(1+$AU99)*(1+$AV99)+($AX99*IF($G$1="裂石",$AJ99,$AH99)+IF($G$1="裂石",$AK99*1.5,0))*(1+$AY99)*(1+$AZ99)+($BB99*IF($G$1="牵丝",$AJ99,$AH99)+IF($G$1="牵丝",$AK99*1.5,0))*(1+$BC99)*(1+$BD99)+($BF99*IF($G$1="破竹",$AJ99,$AH99)+IF($G$1="破竹",$AK99*1.5,0))*(1+$BG99)*(1+$BH99))*(1+$AL99)*$BM99*$P99*(1+IF(VLOOKUP($Q99,武学奇术!$A:$ZZ,30,FALSE)="回旋伞",$B$21,0))*(1+$BQ99)</f>
        <v>64378.7137204157</v>
      </c>
      <c r="N99" s="41">
        <f>((($AN99+$AO99)/2*$AH99+$AI99)*(1+$AP99)*(1+$AQ99)+(($AS99+$AT99)/2*IF($G$1="鸣金",$AJ99,$AH99)+IF($G$1="鸣金",$AK99*1.5,0))*(1+$AU99)*(1+$AV99)+(($AW99+$AX99)/2*IF($G$1="裂石",$AJ99,$AH99)+IF($G$1="裂石",$AK99*1.5,0))*(1+$AY99)*(1+$AZ99)+(($BA99+$BB99)/2*IF($G$1="牵丝",$AJ99,$AH99)+IF($G$1="牵丝",$AK99*1.5,0))*(1+$BC99)*(1+$BD99)+(($BE99+$BF99)/2*IF($G$1="破竹",$AJ99,$AH99)+IF($G$1="破竹",$AK99*1.5,0))*(1+$BG99)*(1+$BH99))*(1+$AL99)*$P99*(1+IF(VLOOKUP($Q99,武学奇术!$A:$ZZ,30,FALSE)="回旋伞",$B$21,0))*(1+$BQ99)</f>
        <v>42515.9337249892</v>
      </c>
      <c r="O99" s="41">
        <f>((($AN99*$AH99+$AI99)*(1+$AP99)*(1+$AQ99)+($AS99*IF($G$1="鸣金",$AJ99,$AH99)+IF($G$1="鸣金",$AK99*1.5,0))*(1+$AU99)*(1+$AV99)+($AW99*IF($G$1="裂石",$AJ99,$AH99)+IF($G$1="裂石",$AK99*1.5,0))*(1+$AY99)*(1+$AZ99)+($BA99*IF($G$1="牵丝",$AJ99,$AH99)+IF($G$1="牵丝",$AK99*1.5,0))*(1+$BC99)*(1+$BD99)+($BE99*IF($G$1="破竹",$AJ99,$AH99)+IF($G$1="破竹",$AK99*1.5,0))*(1+$BG99)*(1+$BH99))*(1+$AL99))*$P99*(1+IF(VLOOKUP($Q99,武学奇术!$A:$ZZ,30,FALSE)="回旋伞",$B$21,0))*(1+$BQ99)</f>
        <v>37343.9313607816</v>
      </c>
      <c r="P99" s="42">
        <v>1</v>
      </c>
      <c r="Q99" s="43" t="s">
        <v>104</v>
      </c>
      <c r="R99" s="43" t="s">
        <v>105</v>
      </c>
      <c r="S99" s="43" t="s">
        <v>91</v>
      </c>
      <c r="T99" s="43" t="s">
        <v>72</v>
      </c>
      <c r="U99" s="43" t="s">
        <v>79</v>
      </c>
      <c r="V99" s="43" t="s">
        <v>167</v>
      </c>
      <c r="W99" s="43" t="s">
        <v>95</v>
      </c>
      <c r="X99" s="43" t="s">
        <v>82</v>
      </c>
      <c r="Y99" s="43" t="s">
        <v>71</v>
      </c>
      <c r="Z99" s="43" t="s">
        <v>71</v>
      </c>
      <c r="AA99" s="43" t="s">
        <v>112</v>
      </c>
      <c r="AB99" s="43" t="s">
        <v>71</v>
      </c>
      <c r="AC99" s="43" t="s">
        <v>71</v>
      </c>
      <c r="AD99" s="43" t="s">
        <v>71</v>
      </c>
      <c r="AE99" s="43" t="s">
        <v>71</v>
      </c>
      <c r="AF99" s="43" t="s">
        <v>76</v>
      </c>
      <c r="AG99" t="str">
        <f>VLOOKUP($Q99,武学奇术!$A:$ZZ,25,FALSE)</f>
        <v>伞</v>
      </c>
      <c r="AH99" s="30">
        <f>VLOOKUP($Q99,武学奇术!$A:$ZZ,26,FALSE)</f>
        <v>1.8084</v>
      </c>
      <c r="AI99" s="31">
        <f>VLOOKUP($Q99,武学奇术!$A:$ZZ,27,FALSE)*(1+IF(OR($AG99=$F$4,$AG99=$F$5),$B$22,0))</f>
        <v>700</v>
      </c>
      <c r="AJ99" s="30">
        <f>VLOOKUP($Q99,武学奇术!$A:$ZZ,28,FALSE)</f>
        <v>2.7126</v>
      </c>
      <c r="AK99" s="31">
        <f>VLOOKUP($Q99,武学奇术!$A:$ZZ,29,FALSE)*(1+IF(OR($AG99=$F$4,$AG99=$F$5),$B$22,0))</f>
        <v>380.8</v>
      </c>
      <c r="AL99" s="30" cm="1">
        <f t="array" ref="AL99">$G$3+IFERROR(VLOOKUP($AG99,$F$4:$G$7,2,FALSE),0)+VLOOKUP($Q99,武学奇术!$A:$ZZ,2,FALSE)+SUM(_xlfn.XLOOKUP($R99:$AF99,增益!$A:$A,增益!$B:$B,0))</f>
        <v>0.8541</v>
      </c>
      <c r="AM99" s="30" cm="1">
        <f t="array" ref="AM99">VLOOKUP($Q99,武学奇术!$A:$ZZ,5,FALSE)+SUM(_xlfn.XLOOKUP($R99:$AF99,增益!$A:$A,增益!$E:$E,0))</f>
        <v>0</v>
      </c>
      <c r="AN99" cm="1">
        <f t="array" ref="AN99">$D$10*(1+$AM99)+VLOOKUP($Q99,武学奇术!$A:$ZZ,3,FALSE)+SUM(_xlfn.XLOOKUP($R99:$AF99,增益!$A:$A,增益!$C:$C,0))-$I$2</f>
        <v>3545.8</v>
      </c>
      <c r="AO99" cm="1">
        <f t="array" ref="AO99">$E$10*(1+$AM99)+VLOOKUP($Q99,武学奇术!$A:$ZZ,4,FALSE)+SUM(_xlfn.XLOOKUP($R99:$AF99,增益!$A:$A,增益!$D:$D,0))-$I$2</f>
        <v>3545.8</v>
      </c>
      <c r="AP99" s="35" cm="1">
        <f t="array" ref="AP99">IF($F$10-$I$3+VLOOKUP($Q99,武学奇术!$A:$ZZ,6,FALSE)+SUM(_xlfn.XLOOKUP(R99:AF99,增益!$A:$A,增益!$F:$F,0))&gt;0,($F$10-$I$3+VLOOKUP($Q99,武学奇术!$A:$ZZ,6,FALSE)+SUM(_xlfn.XLOOKUP(R99:AF99,增益!$A:$A,增益!$F:$F,0)))/200,($F$10-$I$3+VLOOKUP($Q99,武学奇术!$A:$ZZ,6,FALSE)+SUM(_xlfn.XLOOKUP(R99:AF99,增益!$A:$A,增益!$F:$F,0)))/100)</f>
        <v>0.3425</v>
      </c>
      <c r="AQ99" s="35" cm="1">
        <f t="array" ref="AQ99">$G$10+VLOOKUP($Q99,武学奇术!$A:$ZZ,7,FALSE)+SUM(_xlfn.XLOOKUP(R99:AF99,增益!$A:$A,增益!$G:$G,0))</f>
        <v>0.148</v>
      </c>
      <c r="AR99" s="30" cm="1">
        <f t="array" ref="AR99">VLOOKUP($Q99,武学奇术!$A:$ZZ,8,FALSE)+SUM(_xlfn.XLOOKUP(R99:AF99,增益!$A:$A,增益!$H:$H,0))</f>
        <v>0</v>
      </c>
      <c r="AS99">
        <f t="shared" si="42"/>
        <v>0</v>
      </c>
      <c r="AT99">
        <f t="shared" si="43"/>
        <v>0</v>
      </c>
      <c r="AU99" s="35" cm="1">
        <f t="array" ref="AU99">IF($F$11-$I$4+VLOOKUP($Q99,武学奇术!$A:$ZZ,9,FALSE)+SUM(_xlfn.XLOOKUP(R99:AF99,增益!$A:$A,增益!$I:$I,0))&gt;0,($F$11-$I$4+VLOOKUP($Q99,武学奇术!$A:$ZZ,9,FALSE)+SUM(_xlfn.XLOOKUP(R99:AF99,增益!$A:$A,增益!$I:$I,0)))/200,($F$11-$I$4+VLOOKUP($Q99,武学奇术!$A:$ZZ,9,FALSE)+SUM(_xlfn.XLOOKUP(R99:AF99,增益!$A:$A,增益!$I:$I,0)))/100)</f>
        <v>-0.14</v>
      </c>
      <c r="AV99" s="35" cm="1">
        <f t="array" ref="AV99">$G$11+VLOOKUP($Q99,武学奇术!$A:$ZZ,10,FALSE)+SUM(_xlfn.XLOOKUP(R99:AF99,增益!$A:$A,增益!$J:$J,0))</f>
        <v>0</v>
      </c>
      <c r="AW99">
        <f t="shared" si="44"/>
        <v>0</v>
      </c>
      <c r="AX99">
        <f t="shared" si="45"/>
        <v>0</v>
      </c>
      <c r="AY99" s="35" cm="1">
        <f t="array" ref="AY99">IF($F$12-$I$4+VLOOKUP($Q99,武学奇术!$A:$ZZ,11,FALSE)+SUM(_xlfn.XLOOKUP(R99:AF99,增益!$A:$A,增益!$K:$K,0))&gt;0,($F$12-$I$4+VLOOKUP($Q99,武学奇术!$A:$ZZ,11,FALSE)+SUM(_xlfn.XLOOKUP(R99:AF99,增益!$A:$A,增益!$K:$K,0)))/200,($F$12-$I$4+VLOOKUP($Q99,武学奇术!$A:$ZZ,11,FALSE)+SUM(_xlfn.XLOOKUP(R99:AF99,增益!$A:$A,增益!$K:$K,0)))/100)</f>
        <v>-0.14</v>
      </c>
      <c r="AZ99" s="35" cm="1">
        <f t="array" ref="AZ99">$G$12+VLOOKUP($Q99,武学奇术!$A:$ZZ,12,FALSE)+SUM(_xlfn.XLOOKUP(R99:AF99,增益!$A:$A,增益!$L:$L,0))</f>
        <v>0</v>
      </c>
      <c r="BA99">
        <f t="shared" si="46"/>
        <v>0</v>
      </c>
      <c r="BB99">
        <f t="shared" si="47"/>
        <v>0</v>
      </c>
      <c r="BC99" s="35" cm="1">
        <f t="array" ref="BC99">IF($F$13-$I$4+VLOOKUP($Q99,武学奇术!$A:$ZZ,13,FALSE)+SUM(_xlfn.XLOOKUP(R99:AF99,增益!$A:$A,增益!$M:$M,0))&gt;0,($F$13-$I$4+VLOOKUP($Q99,武学奇术!$A:$ZZ,13,FALSE)+SUM(_xlfn.XLOOKUP(R99:AF99,增益!$A:$A,增益!$K:$K,0)))/200,($F$13-$I$4+VLOOKUP($Q99,武学奇术!$A:$ZZ,13,FALSE)+SUM(_xlfn.XLOOKUP(R99:AF99,增益!$A:$A,增益!$M:$M,0)))/100)</f>
        <v>-0.14</v>
      </c>
      <c r="BD99" s="35" cm="1">
        <f t="array" ref="BD99">$G$13+VLOOKUP($Q99,武学奇术!$A:$ZZ,14,FALSE)+SUM(_xlfn.XLOOKUP(R99:AF99,增益!$A:$A,增益!$N:$N,0))</f>
        <v>0</v>
      </c>
      <c r="BE99">
        <f t="shared" si="48"/>
        <v>538</v>
      </c>
      <c r="BF99">
        <f t="shared" si="49"/>
        <v>1561.4</v>
      </c>
      <c r="BG99" s="35" cm="1">
        <f t="array" ref="BG99">IF($F$14-$I$4+VLOOKUP($Q99,武学奇术!$A:$ZZ,15,FALSE)+SUM(_xlfn.XLOOKUP(R99:AF99,增益!$A:$A,增益!$O:$O,0))&gt;0,($F$14-$I$4+VLOOKUP($Q99,武学奇术!$A:$ZZ,15,FALSE)+SUM(_xlfn.XLOOKUP(R99:AF99,增益!$A:$A,增益!$O:$O,0)))/200,($F$14-$I$4+VLOOKUP($Q99,武学奇术!$A:$ZZ,15,FALSE)+SUM(_xlfn.XLOOKUP(R99:AF99,增益!$A:$A,增益!$O:$O,0)))/100)</f>
        <v>0.08</v>
      </c>
      <c r="BH99" s="35" cm="1">
        <f t="array" ref="BH99">$G$14+VLOOKUP($Q99,武学奇术!$A:$ZZ,16,FALSE)+SUM(_xlfn.XLOOKUP(R99:AF99,增益!$A:$A,增益!$P:$P,0))</f>
        <v>0.27</v>
      </c>
      <c r="BI99" s="30">
        <f>MIN(IF(VLOOKUP($Q99,武学奇术!$A:$ZZ,23,FALSE)=1,100%,$B$8),100%)</f>
        <v>0.9712</v>
      </c>
      <c r="BJ99" s="30" cm="1">
        <f t="array" ref="BJ99">IF(VLOOKUP($Q99,武学奇术!$A:$ZZ,23,FALSE)=1,100%,MIN(80%,$B$9+VLOOKUP($Q99,武学奇术!$A:$ZZ,17,FALSE)+SUM(_xlfn.XLOOKUP(R99:AF99,增益!$A:$A,增益!$Q:$Q,0)))+$B$11+SUM(_xlfn.XLOOKUP(R99:AF99,增益!$A:$A,增益!$U:$U,0)))*IF(VLOOKUP($Q99,武学奇术!$A:$ZZ,24,FALSE)=1,0,1)</f>
        <v>0.8773</v>
      </c>
      <c r="BK99" s="30" cm="1">
        <f t="array" ref="BK99">1+$B$13+VLOOKUP($Q99,武学奇术!$A:$ZZ,18,FALSE)+SUM(_xlfn.XLOOKUP(R99:AF99,增益!$A:$A,增益!$R:$R,0))</f>
        <v>1.87</v>
      </c>
      <c r="BL99" s="30" cm="1">
        <f t="array" ref="BL99">IF(VLOOKUP($Q99,武学奇术!$A:$ZZ,24,FALSE)=1,100%,MIN(40%,$B$10+VLOOKUP($Q99,武学奇术!$A:$ZZ,19,FALSE)+SUM(_xlfn.XLOOKUP(R99:AF99,增益!$A:$A,增益!$S:$S,0)))+$B$12+SUM(_xlfn.XLOOKUP(R99:AF99,增益!$A:$A,增益!$V:$V,0)))*IF(VLOOKUP($Q99,武学奇术!$A:$ZZ,23,FALSE)=1,0,1)</f>
        <v>0.0895</v>
      </c>
      <c r="BM99" s="30" cm="1">
        <f t="array" ref="BM99">1+$B$14+VLOOKUP($Q99,武学奇术!$A:$ZZ,20,FALSE)+SUM(_xlfn.XLOOKUP(R99:AF99,增益!$A:$A,增益!$T:$T,0))</f>
        <v>1.35</v>
      </c>
      <c r="BN99" s="30">
        <f t="shared" si="22"/>
        <v>0.85203376</v>
      </c>
      <c r="BO99" s="30">
        <f t="shared" si="32"/>
        <v>0.03224384</v>
      </c>
      <c r="BP99" s="30">
        <f>IF(VLOOKUP($Q99,武学奇术!$A:$ZZ,22,FALSE)=1,0,(1-$BI99))*(1-$BL99)</f>
        <v>0.0262224</v>
      </c>
      <c r="BQ99" s="30" cm="1">
        <f t="array" ref="BQ99">SUM(_xlfn.XLOOKUP(R99:AF99,增益!$A:$A,增益!$W:$W,0))+$I$5</f>
        <v>0.11</v>
      </c>
    </row>
    <row r="100" spans="1:69">
      <c r="A100" s="4"/>
      <c r="B100" s="90"/>
      <c r="K100" s="41">
        <f t="shared" si="50"/>
        <v>176161.805294877</v>
      </c>
      <c r="L100" s="41">
        <f>((($AN100+$AO100)/2*$AH100+$AI100)*(1+$AP100)*(1+$AQ100)+(($AS100+$AT100)/2*IF($G$1="鸣金",$AJ100,$AH100)+IF($G$1="鸣金",$AK100*1.5,0))*(1+$AU100)*(1+$AV100)+(($AW100+$AX100)/2*IF($G$1="裂石",$AJ100,$AH100)+IF($G$1="裂石",$AK100*1.5,0))*(1+$AY100)*(1+$AZ100)+(($BA100+$BB100)/2*IF($G$1="牵丝",$AJ100,$AH100)+IF($G$1="牵丝",$AK100*1.5,0))*(1+$BC100)*(1+$BD100)+(($BE100+$BF100)/2*IF($G$1="破竹",$AJ100,$AH100)+IF($G$1="破竹",$AK100*1.5,0))*(1+$BG100)*(1+$BH100))*(1+$AL100)*$BK100*$P100*(1+IF(VLOOKUP($Q100,武学奇术!$A:$ZZ,30,FALSE)="回旋伞",$B$21,0))*(1+$BQ100)</f>
        <v>176161.805294877</v>
      </c>
      <c r="M100" s="41">
        <f>(($AO100*$AH100+$AI100)*(1+$AP100)*(1+$AQ100)+($AT100*IF($G$1="鸣金",$AJ100,$AH100)+IF($G$1="鸣金",$AK100*1.5,0))*(1+$AU100)*(1+$AV100)+($AX100*IF($G$1="裂石",$AJ100,$AH100)+IF($G$1="裂石",$AK100*1.5,0))*(1+$AY100)*(1+$AZ100)+($BB100*IF($G$1="牵丝",$AJ100,$AH100)+IF($G$1="牵丝",$AK100*1.5,0))*(1+$BC100)*(1+$BD100)+($BF100*IF($G$1="破竹",$AJ100,$AH100)+IF($G$1="破竹",$AK100*1.5,0))*(1+$BG100)*(1+$BH100))*(1+$AL100)*$BM100*$P100*(1+IF(VLOOKUP($Q100,武学奇术!$A:$ZZ,30,FALSE)="回旋伞",$B$21,0))*(1+$BQ100)</f>
        <v>142646.36843008</v>
      </c>
      <c r="N100" s="41">
        <f>((($AN100+$AO100)/2*$AH100+$AI100)*(1+$AP100)*(1+$AQ100)+(($AS100+$AT100)/2*IF($G$1="鸣金",$AJ100,$AH100)+IF($G$1="鸣金",$AK100*1.5,0))*(1+$AU100)*(1+$AV100)+(($AW100+$AX100)/2*IF($G$1="裂石",$AJ100,$AH100)+IF($G$1="裂石",$AK100*1.5,0))*(1+$AY100)*(1+$AZ100)+(($BA100+$BB100)/2*IF($G$1="牵丝",$AJ100,$AH100)+IF($G$1="牵丝",$AK100*1.5,0))*(1+$BC100)*(1+$BD100)+(($BE100+$BF100)/2*IF($G$1="破竹",$AJ100,$AH100)+IF($G$1="破竹",$AK100*1.5,0))*(1+$BG100)*(1+$BH100))*(1+$AL100)*$P100*(1+IF(VLOOKUP($Q100,武学奇术!$A:$ZZ,30,FALSE)="回旋伞",$B$21,0))*(1+$BQ100)</f>
        <v>94204.1739544796</v>
      </c>
      <c r="O100" s="41">
        <f>((($AN100*$AH100+$AI100)*(1+$AP100)*(1+$AQ100)+($AS100*IF($G$1="鸣金",$AJ100,$AH100)+IF($G$1="鸣金",$AK100*1.5,0))*(1+$AU100)*(1+$AV100)+($AW100*IF($G$1="裂石",$AJ100,$AH100)+IF($G$1="裂石",$AK100*1.5,0))*(1+$AY100)*(1+$AZ100)+($BA100*IF($G$1="牵丝",$AJ100,$AH100)+IF($G$1="牵丝",$AK100*1.5,0))*(1+$BC100)*(1+$BD100)+($BE100*IF($G$1="破竹",$AJ100,$AH100)+IF($G$1="破竹",$AK100*1.5,0))*(1+$BG100)*(1+$BH100))*(1+$AL100))*$P100*(1+IF(VLOOKUP($Q100,武学奇术!$A:$ZZ,30,FALSE)="回旋伞",$B$21,0))*(1+$BQ100)</f>
        <v>82744.371294085</v>
      </c>
      <c r="P100" s="42">
        <v>2</v>
      </c>
      <c r="Q100" s="43" t="s">
        <v>115</v>
      </c>
      <c r="R100" s="43" t="s">
        <v>105</v>
      </c>
      <c r="S100" s="43" t="s">
        <v>91</v>
      </c>
      <c r="T100" s="43" t="s">
        <v>72</v>
      </c>
      <c r="U100" s="43" t="s">
        <v>79</v>
      </c>
      <c r="V100" s="43" t="s">
        <v>167</v>
      </c>
      <c r="W100" s="43" t="s">
        <v>95</v>
      </c>
      <c r="X100" s="43" t="s">
        <v>82</v>
      </c>
      <c r="Y100" s="43" t="s">
        <v>71</v>
      </c>
      <c r="Z100" s="43" t="s">
        <v>71</v>
      </c>
      <c r="AA100" s="43" t="s">
        <v>116</v>
      </c>
      <c r="AB100" s="43" t="s">
        <v>71</v>
      </c>
      <c r="AC100" s="43" t="s">
        <v>71</v>
      </c>
      <c r="AD100" s="43" t="s">
        <v>71</v>
      </c>
      <c r="AE100" s="43" t="s">
        <v>71</v>
      </c>
      <c r="AF100" s="43" t="s">
        <v>76</v>
      </c>
      <c r="AG100" t="str">
        <f>VLOOKUP($Q100,武学奇术!$A:$ZZ,25,FALSE)</f>
        <v>伞</v>
      </c>
      <c r="AH100" s="30">
        <f>VLOOKUP($Q100,武学奇术!$A:$ZZ,26,FALSE)</f>
        <v>1.8084</v>
      </c>
      <c r="AI100" s="31">
        <f>VLOOKUP($Q100,武学奇术!$A:$ZZ,27,FALSE)*(1+IF(OR($AG100=$F$4,$AG100=$F$5),$B$22,0))</f>
        <v>700</v>
      </c>
      <c r="AJ100" s="30">
        <f>VLOOKUP($Q100,武学奇术!$A:$ZZ,28,FALSE)</f>
        <v>2.7126</v>
      </c>
      <c r="AK100" s="31">
        <f>VLOOKUP($Q100,武学奇术!$A:$ZZ,29,FALSE)*(1+IF(OR($AG100=$F$4,$AG100=$F$5),$B$22,0))</f>
        <v>380.8</v>
      </c>
      <c r="AL100" s="30" cm="1">
        <f t="array" ref="AL100">$G$3+IFERROR(VLOOKUP($AG100,$F$4:$G$7,2,FALSE),0)+VLOOKUP($Q100,武学奇术!$A:$ZZ,2,FALSE)+SUM(_xlfn.XLOOKUP($R100:$AF100,增益!$A:$A,增益!$B:$B,0))</f>
        <v>1.0541</v>
      </c>
      <c r="AM100" s="30" cm="1">
        <f t="array" ref="AM100">VLOOKUP($Q100,武学奇术!$A:$ZZ,5,FALSE)+SUM(_xlfn.XLOOKUP($R100:$AF100,增益!$A:$A,增益!$E:$E,0))</f>
        <v>0</v>
      </c>
      <c r="AN100" cm="1">
        <f t="array" ref="AN100">$D$10*(1+$AM100)+VLOOKUP($Q100,武学奇术!$A:$ZZ,3,FALSE)+SUM(_xlfn.XLOOKUP($R100:$AF100,增益!$A:$A,增益!$C:$C,0))-$I$2</f>
        <v>3545.8</v>
      </c>
      <c r="AO100" cm="1">
        <f t="array" ref="AO100">$E$10*(1+$AM100)+VLOOKUP($Q100,武学奇术!$A:$ZZ,4,FALSE)+SUM(_xlfn.XLOOKUP($R100:$AF100,增益!$A:$A,增益!$D:$D,0))-$I$2</f>
        <v>3545.8</v>
      </c>
      <c r="AP100" s="35" cm="1">
        <f t="array" ref="AP100">IF($F$10-$I$3+VLOOKUP($Q100,武学奇术!$A:$ZZ,6,FALSE)+SUM(_xlfn.XLOOKUP(R100:AF100,增益!$A:$A,增益!$F:$F,0))&gt;0,($F$10-$I$3+VLOOKUP($Q100,武学奇术!$A:$ZZ,6,FALSE)+SUM(_xlfn.XLOOKUP(R100:AF100,增益!$A:$A,增益!$F:$F,0)))/200,($F$10-$I$3+VLOOKUP($Q100,武学奇术!$A:$ZZ,6,FALSE)+SUM(_xlfn.XLOOKUP(R100:AF100,增益!$A:$A,增益!$F:$F,0)))/100)</f>
        <v>0.3425</v>
      </c>
      <c r="AQ100" s="35" cm="1">
        <f t="array" ref="AQ100">$G$10+VLOOKUP($Q100,武学奇术!$A:$ZZ,7,FALSE)+SUM(_xlfn.XLOOKUP(R100:AF100,增益!$A:$A,增益!$G:$G,0))</f>
        <v>0.148</v>
      </c>
      <c r="AR100" s="30" cm="1">
        <f t="array" ref="AR100">VLOOKUP($Q100,武学奇术!$A:$ZZ,8,FALSE)+SUM(_xlfn.XLOOKUP(R100:AF100,增益!$A:$A,增益!$H:$H,0))</f>
        <v>0</v>
      </c>
      <c r="AS100">
        <f t="shared" si="42"/>
        <v>0</v>
      </c>
      <c r="AT100">
        <f t="shared" si="43"/>
        <v>0</v>
      </c>
      <c r="AU100" s="35" cm="1">
        <f t="array" ref="AU100">IF($F$11-$I$4+VLOOKUP($Q100,武学奇术!$A:$ZZ,9,FALSE)+SUM(_xlfn.XLOOKUP(R100:AF100,增益!$A:$A,增益!$I:$I,0))&gt;0,($F$11-$I$4+VLOOKUP($Q100,武学奇术!$A:$ZZ,9,FALSE)+SUM(_xlfn.XLOOKUP(R100:AF100,增益!$A:$A,增益!$I:$I,0)))/200,($F$11-$I$4+VLOOKUP($Q100,武学奇术!$A:$ZZ,9,FALSE)+SUM(_xlfn.XLOOKUP(R100:AF100,增益!$A:$A,增益!$I:$I,0)))/100)</f>
        <v>-0.14</v>
      </c>
      <c r="AV100" s="35" cm="1">
        <f t="array" ref="AV100">$G$11+VLOOKUP($Q100,武学奇术!$A:$ZZ,10,FALSE)+SUM(_xlfn.XLOOKUP(R100:AF100,增益!$A:$A,增益!$J:$J,0))</f>
        <v>0</v>
      </c>
      <c r="AW100">
        <f t="shared" si="44"/>
        <v>0</v>
      </c>
      <c r="AX100">
        <f t="shared" si="45"/>
        <v>0</v>
      </c>
      <c r="AY100" s="35" cm="1">
        <f t="array" ref="AY100">IF($F$12-$I$4+VLOOKUP($Q100,武学奇术!$A:$ZZ,11,FALSE)+SUM(_xlfn.XLOOKUP(R100:AF100,增益!$A:$A,增益!$K:$K,0))&gt;0,($F$12-$I$4+VLOOKUP($Q100,武学奇术!$A:$ZZ,11,FALSE)+SUM(_xlfn.XLOOKUP(R100:AF100,增益!$A:$A,增益!$K:$K,0)))/200,($F$12-$I$4+VLOOKUP($Q100,武学奇术!$A:$ZZ,11,FALSE)+SUM(_xlfn.XLOOKUP(R100:AF100,增益!$A:$A,增益!$K:$K,0)))/100)</f>
        <v>-0.14</v>
      </c>
      <c r="AZ100" s="35" cm="1">
        <f t="array" ref="AZ100">$G$12+VLOOKUP($Q100,武学奇术!$A:$ZZ,12,FALSE)+SUM(_xlfn.XLOOKUP(R100:AF100,增益!$A:$A,增益!$L:$L,0))</f>
        <v>0</v>
      </c>
      <c r="BA100">
        <f t="shared" si="46"/>
        <v>0</v>
      </c>
      <c r="BB100">
        <f t="shared" si="47"/>
        <v>0</v>
      </c>
      <c r="BC100" s="35" cm="1">
        <f t="array" ref="BC100">IF($F$13-$I$4+VLOOKUP($Q100,武学奇术!$A:$ZZ,13,FALSE)+SUM(_xlfn.XLOOKUP(R100:AF100,增益!$A:$A,增益!$M:$M,0))&gt;0,($F$13-$I$4+VLOOKUP($Q100,武学奇术!$A:$ZZ,13,FALSE)+SUM(_xlfn.XLOOKUP(R100:AF100,增益!$A:$A,增益!$K:$K,0)))/200,($F$13-$I$4+VLOOKUP($Q100,武学奇术!$A:$ZZ,13,FALSE)+SUM(_xlfn.XLOOKUP(R100:AF100,增益!$A:$A,增益!$M:$M,0)))/100)</f>
        <v>-0.14</v>
      </c>
      <c r="BD100" s="35" cm="1">
        <f t="array" ref="BD100">$G$13+VLOOKUP($Q100,武学奇术!$A:$ZZ,14,FALSE)+SUM(_xlfn.XLOOKUP(R100:AF100,增益!$A:$A,增益!$N:$N,0))</f>
        <v>0</v>
      </c>
      <c r="BE100">
        <f t="shared" si="48"/>
        <v>538</v>
      </c>
      <c r="BF100">
        <f t="shared" si="49"/>
        <v>1561.4</v>
      </c>
      <c r="BG100" s="35" cm="1">
        <f t="array" ref="BG100">IF($F$14-$I$4+VLOOKUP($Q100,武学奇术!$A:$ZZ,15,FALSE)+SUM(_xlfn.XLOOKUP(R100:AF100,增益!$A:$A,增益!$O:$O,0))&gt;0,($F$14-$I$4+VLOOKUP($Q100,武学奇术!$A:$ZZ,15,FALSE)+SUM(_xlfn.XLOOKUP(R100:AF100,增益!$A:$A,增益!$O:$O,0)))/200,($F$14-$I$4+VLOOKUP($Q100,武学奇术!$A:$ZZ,15,FALSE)+SUM(_xlfn.XLOOKUP(R100:AF100,增益!$A:$A,增益!$O:$O,0)))/100)</f>
        <v>0.08</v>
      </c>
      <c r="BH100" s="35" cm="1">
        <f t="array" ref="BH100">$G$14+VLOOKUP($Q100,武学奇术!$A:$ZZ,16,FALSE)+SUM(_xlfn.XLOOKUP(R100:AF100,增益!$A:$A,增益!$P:$P,0))</f>
        <v>0.27</v>
      </c>
      <c r="BI100" s="30">
        <f>MIN(IF(VLOOKUP($Q100,武学奇术!$A:$ZZ,23,FALSE)=1,100%,$B$8),100%)</f>
        <v>1</v>
      </c>
      <c r="BJ100" s="30" cm="1">
        <f t="array" ref="BJ100">IF(VLOOKUP($Q100,武学奇术!$A:$ZZ,23,FALSE)=1,100%,MIN(80%,$B$9+VLOOKUP($Q100,武学奇术!$A:$ZZ,17,FALSE)+SUM(_xlfn.XLOOKUP(R100:AF100,增益!$A:$A,增益!$Q:$Q,0)))+$B$11+SUM(_xlfn.XLOOKUP(R100:AF100,增益!$A:$A,增益!$U:$U,0)))*IF(VLOOKUP($Q100,武学奇术!$A:$ZZ,24,FALSE)=1,0,1)</f>
        <v>1</v>
      </c>
      <c r="BK100" s="30" cm="1">
        <f t="array" ref="BK100">1+$B$13+VLOOKUP($Q100,武学奇术!$A:$ZZ,18,FALSE)+SUM(_xlfn.XLOOKUP(R100:AF100,增益!$A:$A,增益!$R:$R,0))</f>
        <v>1.87</v>
      </c>
      <c r="BL100" s="30" cm="1">
        <f t="array" ref="BL100">IF(VLOOKUP($Q100,武学奇术!$A:$ZZ,24,FALSE)=1,100%,MIN(40%,$B$10+VLOOKUP($Q100,武学奇术!$A:$ZZ,19,FALSE)+SUM(_xlfn.XLOOKUP(R100:AF100,增益!$A:$A,增益!$S:$S,0)))+$B$12+SUM(_xlfn.XLOOKUP(R100:AF100,增益!$A:$A,增益!$V:$V,0)))*IF(VLOOKUP($Q100,武学奇术!$A:$ZZ,23,FALSE)=1,0,1)</f>
        <v>0</v>
      </c>
      <c r="BM100" s="30" cm="1">
        <f t="array" ref="BM100">1+$B$14+VLOOKUP($Q100,武学奇术!$A:$ZZ,20,FALSE)+SUM(_xlfn.XLOOKUP(R100:AF100,增益!$A:$A,增益!$T:$T,0))</f>
        <v>1.35</v>
      </c>
      <c r="BN100" s="30">
        <f t="shared" si="22"/>
        <v>1</v>
      </c>
      <c r="BO100" s="30">
        <f t="shared" si="32"/>
        <v>0</v>
      </c>
      <c r="BP100" s="30">
        <f>IF(VLOOKUP($Q100,武学奇术!$A:$ZZ,22,FALSE)=1,0,(1-$BI100))*(1-$BL100)</f>
        <v>0</v>
      </c>
      <c r="BQ100" s="30" cm="1">
        <f t="array" ref="BQ100">SUM(_xlfn.XLOOKUP(R100:AF100,增益!$A:$A,增益!$W:$W,0))+$I$5</f>
        <v>0.11</v>
      </c>
    </row>
    <row r="101" spans="1:69">
      <c r="A101" s="4"/>
      <c r="B101" s="90"/>
      <c r="K101" s="41">
        <f t="shared" si="50"/>
        <v>379263.948390441</v>
      </c>
      <c r="L101" s="41">
        <f>((($AN101+$AO101)/2*$AH101+$AI101)*(1+$AP101)*(1+$AQ101)+(($AS101+$AT101)/2*IF($G$1="鸣金",$AJ101,$AH101)+IF($G$1="鸣金",$AK101*1.5,0))*(1+$AU101)*(1+$AV101)+(($AW101+$AX101)/2*IF($G$1="裂石",$AJ101,$AH101)+IF($G$1="裂石",$AK101*1.5,0))*(1+$AY101)*(1+$AZ101)+(($BA101+$BB101)/2*IF($G$1="牵丝",$AJ101,$AH101)+IF($G$1="牵丝",$AK101*1.5,0))*(1+$BC101)*(1+$BD101)+(($BE101+$BF101)/2*IF($G$1="破竹",$AJ101,$AH101)+IF($G$1="破竹",$AK101*1.5,0))*(1+$BG101)*(1+$BH101))*(1+$AL101)*$BK101*$P101*(1+IF(VLOOKUP($Q101,武学奇术!$A:$ZZ,30,FALSE)="回旋伞",$B$21,0))*(1+$BQ101)</f>
        <v>397523.980328649</v>
      </c>
      <c r="M101" s="41">
        <f>(($AO101*$AH101+$AI101)*(1+$AP101)*(1+$AQ101)+($AT101*IF($G$1="鸣金",$AJ101,$AH101)+IF($G$1="鸣金",$AK101*1.5,0))*(1+$AU101)*(1+$AV101)+($AX101*IF($G$1="裂石",$AJ101,$AH101)+IF($G$1="裂石",$AK101*1.5,0))*(1+$AY101)*(1+$AZ101)+($BB101*IF($G$1="牵丝",$AJ101,$AH101)+IF($G$1="牵丝",$AK101*1.5,0))*(1+$BC101)*(1+$BD101)+($BF101*IF($G$1="破竹",$AJ101,$AH101)+IF($G$1="破竹",$AK101*1.5,0))*(1+$BG101)*(1+$BH101))*(1+$AL101)*$BM101*$P101*(1+IF(VLOOKUP($Q101,武学奇术!$A:$ZZ,30,FALSE)="回旋伞",$B$21,0))*(1+$BQ101)</f>
        <v>321893.568602078</v>
      </c>
      <c r="N101" s="41">
        <f>((($AN101+$AO101)/2*$AH101+$AI101)*(1+$AP101)*(1+$AQ101)+(($AS101+$AT101)/2*IF($G$1="鸣金",$AJ101,$AH101)+IF($G$1="鸣金",$AK101*1.5,0))*(1+$AU101)*(1+$AV101)+(($AW101+$AX101)/2*IF($G$1="裂石",$AJ101,$AH101)+IF($G$1="裂石",$AK101*1.5,0))*(1+$AY101)*(1+$AZ101)+(($BA101+$BB101)/2*IF($G$1="牵丝",$AJ101,$AH101)+IF($G$1="牵丝",$AK101*1.5,0))*(1+$BC101)*(1+$BD101)+(($BE101+$BF101)/2*IF($G$1="破竹",$AJ101,$AH101)+IF($G$1="破竹",$AK101*1.5,0))*(1+$BG101)*(1+$BH101))*(1+$AL101)*$P101*(1+IF(VLOOKUP($Q101,武学奇术!$A:$ZZ,30,FALSE)="回旋伞",$B$21,0))*(1+$BQ101)</f>
        <v>212579.668624946</v>
      </c>
      <c r="O101" s="41">
        <f>((($AN101*$AH101+$AI101)*(1+$AP101)*(1+$AQ101)+($AS101*IF($G$1="鸣金",$AJ101,$AH101)+IF($G$1="鸣金",$AK101*1.5,0))*(1+$AU101)*(1+$AV101)+($AW101*IF($G$1="裂石",$AJ101,$AH101)+IF($G$1="裂石",$AK101*1.5,0))*(1+$AY101)*(1+$AZ101)+($BA101*IF($G$1="牵丝",$AJ101,$AH101)+IF($G$1="牵丝",$AK101*1.5,0))*(1+$BC101)*(1+$BD101)+($BE101*IF($G$1="破竹",$AJ101,$AH101)+IF($G$1="破竹",$AK101*1.5,0))*(1+$BG101)*(1+$BH101))*(1+$AL101))*$P101*(1+IF(VLOOKUP($Q101,武学奇术!$A:$ZZ,30,FALSE)="回旋伞",$B$21,0))*(1+$BQ101)</f>
        <v>186719.656803908</v>
      </c>
      <c r="P101" s="42">
        <v>5</v>
      </c>
      <c r="Q101" s="43" t="s">
        <v>104</v>
      </c>
      <c r="R101" s="43" t="s">
        <v>105</v>
      </c>
      <c r="S101" s="43" t="s">
        <v>91</v>
      </c>
      <c r="T101" s="43" t="s">
        <v>72</v>
      </c>
      <c r="U101" s="43" t="s">
        <v>79</v>
      </c>
      <c r="V101" s="43" t="s">
        <v>167</v>
      </c>
      <c r="W101" s="43" t="s">
        <v>95</v>
      </c>
      <c r="X101" s="43" t="s">
        <v>82</v>
      </c>
      <c r="Y101" s="43" t="s">
        <v>71</v>
      </c>
      <c r="Z101" s="43" t="s">
        <v>71</v>
      </c>
      <c r="AA101" s="43" t="s">
        <v>116</v>
      </c>
      <c r="AB101" s="43" t="s">
        <v>71</v>
      </c>
      <c r="AC101" s="43" t="s">
        <v>71</v>
      </c>
      <c r="AD101" s="43" t="s">
        <v>71</v>
      </c>
      <c r="AE101" s="43" t="s">
        <v>71</v>
      </c>
      <c r="AF101" s="43" t="s">
        <v>76</v>
      </c>
      <c r="AG101" t="str">
        <f>VLOOKUP($Q101,武学奇术!$A:$ZZ,25,FALSE)</f>
        <v>伞</v>
      </c>
      <c r="AH101" s="30">
        <f>VLOOKUP($Q101,武学奇术!$A:$ZZ,26,FALSE)</f>
        <v>1.8084</v>
      </c>
      <c r="AI101" s="31">
        <f>VLOOKUP($Q101,武学奇术!$A:$ZZ,27,FALSE)*(1+IF(OR($AG101=$F$4,$AG101=$F$5),$B$22,0))</f>
        <v>700</v>
      </c>
      <c r="AJ101" s="30">
        <f>VLOOKUP($Q101,武学奇术!$A:$ZZ,28,FALSE)</f>
        <v>2.7126</v>
      </c>
      <c r="AK101" s="31">
        <f>VLOOKUP($Q101,武学奇术!$A:$ZZ,29,FALSE)*(1+IF(OR($AG101=$F$4,$AG101=$F$5),$B$22,0))</f>
        <v>380.8</v>
      </c>
      <c r="AL101" s="30" cm="1">
        <f t="array" ref="AL101">$G$3+IFERROR(VLOOKUP($AG101,$F$4:$G$7,2,FALSE),0)+VLOOKUP($Q101,武学奇术!$A:$ZZ,2,FALSE)+SUM(_xlfn.XLOOKUP($R101:$AF101,增益!$A:$A,增益!$B:$B,0))</f>
        <v>0.8541</v>
      </c>
      <c r="AM101" s="30" cm="1">
        <f t="array" ref="AM101">VLOOKUP($Q101,武学奇术!$A:$ZZ,5,FALSE)+SUM(_xlfn.XLOOKUP($R101:$AF101,增益!$A:$A,增益!$E:$E,0))</f>
        <v>0</v>
      </c>
      <c r="AN101" cm="1">
        <f t="array" ref="AN101">$D$10*(1+$AM101)+VLOOKUP($Q101,武学奇术!$A:$ZZ,3,FALSE)+SUM(_xlfn.XLOOKUP($R101:$AF101,增益!$A:$A,增益!$C:$C,0))-$I$2</f>
        <v>3545.8</v>
      </c>
      <c r="AO101" cm="1">
        <f t="array" ref="AO101">$E$10*(1+$AM101)+VLOOKUP($Q101,武学奇术!$A:$ZZ,4,FALSE)+SUM(_xlfn.XLOOKUP($R101:$AF101,增益!$A:$A,增益!$D:$D,0))-$I$2</f>
        <v>3545.8</v>
      </c>
      <c r="AP101" s="35" cm="1">
        <f t="array" ref="AP101">IF($F$10-$I$3+VLOOKUP($Q101,武学奇术!$A:$ZZ,6,FALSE)+SUM(_xlfn.XLOOKUP(R101:AF101,增益!$A:$A,增益!$F:$F,0))&gt;0,($F$10-$I$3+VLOOKUP($Q101,武学奇术!$A:$ZZ,6,FALSE)+SUM(_xlfn.XLOOKUP(R101:AF101,增益!$A:$A,增益!$F:$F,0)))/200,($F$10-$I$3+VLOOKUP($Q101,武学奇术!$A:$ZZ,6,FALSE)+SUM(_xlfn.XLOOKUP(R101:AF101,增益!$A:$A,增益!$F:$F,0)))/100)</f>
        <v>0.3425</v>
      </c>
      <c r="AQ101" s="35" cm="1">
        <f t="array" ref="AQ101">$G$10+VLOOKUP($Q101,武学奇术!$A:$ZZ,7,FALSE)+SUM(_xlfn.XLOOKUP(R101:AF101,增益!$A:$A,增益!$G:$G,0))</f>
        <v>0.148</v>
      </c>
      <c r="AR101" s="30" cm="1">
        <f t="array" ref="AR101">VLOOKUP($Q101,武学奇术!$A:$ZZ,8,FALSE)+SUM(_xlfn.XLOOKUP(R101:AF101,增益!$A:$A,增益!$H:$H,0))</f>
        <v>0</v>
      </c>
      <c r="AS101">
        <f t="shared" si="42"/>
        <v>0</v>
      </c>
      <c r="AT101">
        <f t="shared" si="43"/>
        <v>0</v>
      </c>
      <c r="AU101" s="35" cm="1">
        <f t="array" ref="AU101">IF($F$11-$I$4+VLOOKUP($Q101,武学奇术!$A:$ZZ,9,FALSE)+SUM(_xlfn.XLOOKUP(R101:AF101,增益!$A:$A,增益!$I:$I,0))&gt;0,($F$11-$I$4+VLOOKUP($Q101,武学奇术!$A:$ZZ,9,FALSE)+SUM(_xlfn.XLOOKUP(R101:AF101,增益!$A:$A,增益!$I:$I,0)))/200,($F$11-$I$4+VLOOKUP($Q101,武学奇术!$A:$ZZ,9,FALSE)+SUM(_xlfn.XLOOKUP(R101:AF101,增益!$A:$A,增益!$I:$I,0)))/100)</f>
        <v>-0.14</v>
      </c>
      <c r="AV101" s="35" cm="1">
        <f t="array" ref="AV101">$G$11+VLOOKUP($Q101,武学奇术!$A:$ZZ,10,FALSE)+SUM(_xlfn.XLOOKUP(R101:AF101,增益!$A:$A,增益!$J:$J,0))</f>
        <v>0</v>
      </c>
      <c r="AW101">
        <f t="shared" si="44"/>
        <v>0</v>
      </c>
      <c r="AX101">
        <f t="shared" si="45"/>
        <v>0</v>
      </c>
      <c r="AY101" s="35" cm="1">
        <f t="array" ref="AY101">IF($F$12-$I$4+VLOOKUP($Q101,武学奇术!$A:$ZZ,11,FALSE)+SUM(_xlfn.XLOOKUP(R101:AF101,增益!$A:$A,增益!$K:$K,0))&gt;0,($F$12-$I$4+VLOOKUP($Q101,武学奇术!$A:$ZZ,11,FALSE)+SUM(_xlfn.XLOOKUP(R101:AF101,增益!$A:$A,增益!$K:$K,0)))/200,($F$12-$I$4+VLOOKUP($Q101,武学奇术!$A:$ZZ,11,FALSE)+SUM(_xlfn.XLOOKUP(R101:AF101,增益!$A:$A,增益!$K:$K,0)))/100)</f>
        <v>-0.14</v>
      </c>
      <c r="AZ101" s="35" cm="1">
        <f t="array" ref="AZ101">$G$12+VLOOKUP($Q101,武学奇术!$A:$ZZ,12,FALSE)+SUM(_xlfn.XLOOKUP(R101:AF101,增益!$A:$A,增益!$L:$L,0))</f>
        <v>0</v>
      </c>
      <c r="BA101">
        <f t="shared" si="46"/>
        <v>0</v>
      </c>
      <c r="BB101">
        <f t="shared" si="47"/>
        <v>0</v>
      </c>
      <c r="BC101" s="35" cm="1">
        <f t="array" ref="BC101">IF($F$13-$I$4+VLOOKUP($Q101,武学奇术!$A:$ZZ,13,FALSE)+SUM(_xlfn.XLOOKUP(R101:AF101,增益!$A:$A,增益!$M:$M,0))&gt;0,($F$13-$I$4+VLOOKUP($Q101,武学奇术!$A:$ZZ,13,FALSE)+SUM(_xlfn.XLOOKUP(R101:AF101,增益!$A:$A,增益!$K:$K,0)))/200,($F$13-$I$4+VLOOKUP($Q101,武学奇术!$A:$ZZ,13,FALSE)+SUM(_xlfn.XLOOKUP(R101:AF101,增益!$A:$A,增益!$M:$M,0)))/100)</f>
        <v>-0.14</v>
      </c>
      <c r="BD101" s="35" cm="1">
        <f t="array" ref="BD101">$G$13+VLOOKUP($Q101,武学奇术!$A:$ZZ,14,FALSE)+SUM(_xlfn.XLOOKUP(R101:AF101,增益!$A:$A,增益!$N:$N,0))</f>
        <v>0</v>
      </c>
      <c r="BE101">
        <f t="shared" si="48"/>
        <v>538</v>
      </c>
      <c r="BF101">
        <f t="shared" si="49"/>
        <v>1561.4</v>
      </c>
      <c r="BG101" s="35" cm="1">
        <f t="array" ref="BG101">IF($F$14-$I$4+VLOOKUP($Q101,武学奇术!$A:$ZZ,15,FALSE)+SUM(_xlfn.XLOOKUP(R101:AF101,增益!$A:$A,增益!$O:$O,0))&gt;0,($F$14-$I$4+VLOOKUP($Q101,武学奇术!$A:$ZZ,15,FALSE)+SUM(_xlfn.XLOOKUP(R101:AF101,增益!$A:$A,增益!$O:$O,0)))/200,($F$14-$I$4+VLOOKUP($Q101,武学奇术!$A:$ZZ,15,FALSE)+SUM(_xlfn.XLOOKUP(R101:AF101,增益!$A:$A,增益!$O:$O,0)))/100)</f>
        <v>0.08</v>
      </c>
      <c r="BH101" s="35" cm="1">
        <f t="array" ref="BH101">$G$14+VLOOKUP($Q101,武学奇术!$A:$ZZ,16,FALSE)+SUM(_xlfn.XLOOKUP(R101:AF101,增益!$A:$A,增益!$P:$P,0))</f>
        <v>0.27</v>
      </c>
      <c r="BI101" s="30">
        <f>MIN(IF(VLOOKUP($Q101,武学奇术!$A:$ZZ,23,FALSE)=1,100%,$B$8),100%)</f>
        <v>0.9712</v>
      </c>
      <c r="BJ101" s="30" cm="1">
        <f t="array" ref="BJ101">IF(VLOOKUP($Q101,武学奇术!$A:$ZZ,23,FALSE)=1,100%,MIN(80%,$B$9+VLOOKUP($Q101,武学奇术!$A:$ZZ,17,FALSE)+SUM(_xlfn.XLOOKUP(R101:AF101,增益!$A:$A,增益!$Q:$Q,0)))+$B$11+SUM(_xlfn.XLOOKUP(R101:AF101,增益!$A:$A,增益!$U:$U,0)))*IF(VLOOKUP($Q101,武学奇术!$A:$ZZ,24,FALSE)=1,0,1)</f>
        <v>0.8773</v>
      </c>
      <c r="BK101" s="30" cm="1">
        <f t="array" ref="BK101">1+$B$13+VLOOKUP($Q101,武学奇术!$A:$ZZ,18,FALSE)+SUM(_xlfn.XLOOKUP(R101:AF101,增益!$A:$A,增益!$R:$R,0))</f>
        <v>1.87</v>
      </c>
      <c r="BL101" s="30" cm="1">
        <f t="array" ref="BL101">IF(VLOOKUP($Q101,武学奇术!$A:$ZZ,24,FALSE)=1,100%,MIN(40%,$B$10+VLOOKUP($Q101,武学奇术!$A:$ZZ,19,FALSE)+SUM(_xlfn.XLOOKUP(R101:AF101,增益!$A:$A,增益!$S:$S,0)))+$B$12+SUM(_xlfn.XLOOKUP(R101:AF101,增益!$A:$A,增益!$V:$V,0)))*IF(VLOOKUP($Q101,武学奇术!$A:$ZZ,23,FALSE)=1,0,1)</f>
        <v>0.0895</v>
      </c>
      <c r="BM101" s="30" cm="1">
        <f t="array" ref="BM101">1+$B$14+VLOOKUP($Q101,武学奇术!$A:$ZZ,20,FALSE)+SUM(_xlfn.XLOOKUP(R101:AF101,增益!$A:$A,增益!$T:$T,0))</f>
        <v>1.35</v>
      </c>
      <c r="BN101" s="30">
        <f t="shared" si="22"/>
        <v>0.85203376</v>
      </c>
      <c r="BO101" s="30">
        <f t="shared" si="32"/>
        <v>0.03224384</v>
      </c>
      <c r="BP101" s="30">
        <f>IF(VLOOKUP($Q101,武学奇术!$A:$ZZ,22,FALSE)=1,0,(1-$BI101))*(1-$BL101)</f>
        <v>0.0262224</v>
      </c>
      <c r="BQ101" s="30" cm="1">
        <f t="array" ref="BQ101">SUM(_xlfn.XLOOKUP(R101:AF101,增益!$A:$A,增益!$W:$W,0))+$I$5</f>
        <v>0.11</v>
      </c>
    </row>
    <row r="102" spans="1:69">
      <c r="A102" s="4"/>
      <c r="B102" s="4"/>
      <c r="K102" s="41">
        <f t="shared" si="50"/>
        <v>79504.7960657298</v>
      </c>
      <c r="L102" s="41">
        <f>((($AN102+$AO102)/2*$AH102+$AI102)*(1+$AP102)*(1+$AQ102)+(($AS102+$AT102)/2*IF($G$1="鸣金",$AJ102,$AH102)+IF($G$1="鸣金",$AK102*1.5,0))*(1+$AU102)*(1+$AV102)+(($AW102+$AX102)/2*IF($G$1="裂石",$AJ102,$AH102)+IF($G$1="裂石",$AK102*1.5,0))*(1+$AY102)*(1+$AZ102)+(($BA102+$BB102)/2*IF($G$1="牵丝",$AJ102,$AH102)+IF($G$1="牵丝",$AK102*1.5,0))*(1+$BC102)*(1+$BD102)+(($BE102+$BF102)/2*IF($G$1="破竹",$AJ102,$AH102)+IF($G$1="破竹",$AK102*1.5,0))*(1+$BG102)*(1+$BH102))*(1+$AL102)*$BK102*$P102*(1+IF(VLOOKUP($Q102,武学奇术!$A:$ZZ,30,FALSE)="回旋伞",$B$21,0))*(1+$BQ102)</f>
        <v>79504.7960657298</v>
      </c>
      <c r="M102" s="41">
        <f>(($AO102*$AH102+$AI102)*(1+$AP102)*(1+$AQ102)+($AT102*IF($G$1="鸣金",$AJ102,$AH102)+IF($G$1="鸣金",$AK102*1.5,0))*(1+$AU102)*(1+$AV102)+($AX102*IF($G$1="裂石",$AJ102,$AH102)+IF($G$1="裂石",$AK102*1.5,0))*(1+$AY102)*(1+$AZ102)+($BB102*IF($G$1="牵丝",$AJ102,$AH102)+IF($G$1="牵丝",$AK102*1.5,0))*(1+$BC102)*(1+$BD102)+($BF102*IF($G$1="破竹",$AJ102,$AH102)+IF($G$1="破竹",$AK102*1.5,0))*(1+$BG102)*(1+$BH102))*(1+$AL102)*$BM102*$P102*(1+IF(VLOOKUP($Q102,武学奇术!$A:$ZZ,30,FALSE)="回旋伞",$B$21,0))*(1+$BQ102)</f>
        <v>64378.7137204157</v>
      </c>
      <c r="N102" s="41">
        <f>((($AN102+$AO102)/2*$AH102+$AI102)*(1+$AP102)*(1+$AQ102)+(($AS102+$AT102)/2*IF($G$1="鸣金",$AJ102,$AH102)+IF($G$1="鸣金",$AK102*1.5,0))*(1+$AU102)*(1+$AV102)+(($AW102+$AX102)/2*IF($G$1="裂石",$AJ102,$AH102)+IF($G$1="裂石",$AK102*1.5,0))*(1+$AY102)*(1+$AZ102)+(($BA102+$BB102)/2*IF($G$1="牵丝",$AJ102,$AH102)+IF($G$1="牵丝",$AK102*1.5,0))*(1+$BC102)*(1+$BD102)+(($BE102+$BF102)/2*IF($G$1="破竹",$AJ102,$AH102)+IF($G$1="破竹",$AK102*1.5,0))*(1+$BG102)*(1+$BH102))*(1+$AL102)*$P102*(1+IF(VLOOKUP($Q102,武学奇术!$A:$ZZ,30,FALSE)="回旋伞",$B$21,0))*(1+$BQ102)</f>
        <v>42515.9337249892</v>
      </c>
      <c r="O102" s="41">
        <f>((($AN102*$AH102+$AI102)*(1+$AP102)*(1+$AQ102)+($AS102*IF($G$1="鸣金",$AJ102,$AH102)+IF($G$1="鸣金",$AK102*1.5,0))*(1+$AU102)*(1+$AV102)+($AW102*IF($G$1="裂石",$AJ102,$AH102)+IF($G$1="裂石",$AK102*1.5,0))*(1+$AY102)*(1+$AZ102)+($BA102*IF($G$1="牵丝",$AJ102,$AH102)+IF($G$1="牵丝",$AK102*1.5,0))*(1+$BC102)*(1+$BD102)+($BE102*IF($G$1="破竹",$AJ102,$AH102)+IF($G$1="破竹",$AK102*1.5,0))*(1+$BG102)*(1+$BH102))*(1+$AL102))*$P102*(1+IF(VLOOKUP($Q102,武学奇术!$A:$ZZ,30,FALSE)="回旋伞",$B$21,0))*(1+$BQ102)</f>
        <v>37343.9313607816</v>
      </c>
      <c r="P102" s="42">
        <v>1</v>
      </c>
      <c r="Q102" s="43" t="s">
        <v>115</v>
      </c>
      <c r="R102" s="43" t="s">
        <v>105</v>
      </c>
      <c r="S102" s="43" t="s">
        <v>91</v>
      </c>
      <c r="T102" s="43" t="s">
        <v>72</v>
      </c>
      <c r="U102" s="43" t="s">
        <v>71</v>
      </c>
      <c r="V102" s="43" t="s">
        <v>167</v>
      </c>
      <c r="W102" s="43" t="s">
        <v>95</v>
      </c>
      <c r="X102" s="43" t="s">
        <v>82</v>
      </c>
      <c r="Y102" s="43" t="s">
        <v>71</v>
      </c>
      <c r="Z102" s="43" t="s">
        <v>71</v>
      </c>
      <c r="AA102" s="43" t="s">
        <v>116</v>
      </c>
      <c r="AB102" s="43" t="s">
        <v>71</v>
      </c>
      <c r="AC102" s="43" t="s">
        <v>71</v>
      </c>
      <c r="AD102" s="43" t="s">
        <v>71</v>
      </c>
      <c r="AE102" s="43" t="s">
        <v>71</v>
      </c>
      <c r="AF102" s="43" t="s">
        <v>76</v>
      </c>
      <c r="AG102" t="str">
        <f>VLOOKUP($Q102,武学奇术!$A:$ZZ,25,FALSE)</f>
        <v>伞</v>
      </c>
      <c r="AH102" s="30">
        <f>VLOOKUP($Q102,武学奇术!$A:$ZZ,26,FALSE)</f>
        <v>1.8084</v>
      </c>
      <c r="AI102" s="31">
        <f>VLOOKUP($Q102,武学奇术!$A:$ZZ,27,FALSE)*(1+IF(OR($AG102=$F$4,$AG102=$F$5),$B$22,0))</f>
        <v>700</v>
      </c>
      <c r="AJ102" s="30">
        <f>VLOOKUP($Q102,武学奇术!$A:$ZZ,28,FALSE)</f>
        <v>2.7126</v>
      </c>
      <c r="AK102" s="31">
        <f>VLOOKUP($Q102,武学奇术!$A:$ZZ,29,FALSE)*(1+IF(OR($AG102=$F$4,$AG102=$F$5),$B$22,0))</f>
        <v>380.8</v>
      </c>
      <c r="AL102" s="30" cm="1">
        <f t="array" ref="AL102">$G$3+IFERROR(VLOOKUP($AG102,$F$4:$G$7,2,FALSE),0)+VLOOKUP($Q102,武学奇术!$A:$ZZ,2,FALSE)+SUM(_xlfn.XLOOKUP($R102:$AF102,增益!$A:$A,增益!$B:$B,0))</f>
        <v>0.8541</v>
      </c>
      <c r="AM102" s="30" cm="1">
        <f t="array" ref="AM102">VLOOKUP($Q102,武学奇术!$A:$ZZ,5,FALSE)+SUM(_xlfn.XLOOKUP($R102:$AF102,增益!$A:$A,增益!$E:$E,0))</f>
        <v>0</v>
      </c>
      <c r="AN102" cm="1">
        <f t="array" ref="AN102">$D$10*(1+$AM102)+VLOOKUP($Q102,武学奇术!$A:$ZZ,3,FALSE)+SUM(_xlfn.XLOOKUP($R102:$AF102,增益!$A:$A,增益!$C:$C,0))-$I$2</f>
        <v>3545.8</v>
      </c>
      <c r="AO102" cm="1">
        <f t="array" ref="AO102">$E$10*(1+$AM102)+VLOOKUP($Q102,武学奇术!$A:$ZZ,4,FALSE)+SUM(_xlfn.XLOOKUP($R102:$AF102,增益!$A:$A,增益!$D:$D,0))-$I$2</f>
        <v>3545.8</v>
      </c>
      <c r="AP102" s="35" cm="1">
        <f t="array" ref="AP102">IF($F$10-$I$3+VLOOKUP($Q102,武学奇术!$A:$ZZ,6,FALSE)+SUM(_xlfn.XLOOKUP(R102:AF102,增益!$A:$A,增益!$F:$F,0))&gt;0,($F$10-$I$3+VLOOKUP($Q102,武学奇术!$A:$ZZ,6,FALSE)+SUM(_xlfn.XLOOKUP(R102:AF102,增益!$A:$A,增益!$F:$F,0)))/200,($F$10-$I$3+VLOOKUP($Q102,武学奇术!$A:$ZZ,6,FALSE)+SUM(_xlfn.XLOOKUP(R102:AF102,增益!$A:$A,增益!$F:$F,0)))/100)</f>
        <v>0.3425</v>
      </c>
      <c r="AQ102" s="35" cm="1">
        <f t="array" ref="AQ102">$G$10+VLOOKUP($Q102,武学奇术!$A:$ZZ,7,FALSE)+SUM(_xlfn.XLOOKUP(R102:AF102,增益!$A:$A,增益!$G:$G,0))</f>
        <v>0.148</v>
      </c>
      <c r="AR102" s="30" cm="1">
        <f t="array" ref="AR102">VLOOKUP($Q102,武学奇术!$A:$ZZ,8,FALSE)+SUM(_xlfn.XLOOKUP(R102:AF102,增益!$A:$A,增益!$H:$H,0))</f>
        <v>0</v>
      </c>
      <c r="AS102">
        <f>$D$11*(1+$AR102)</f>
        <v>0</v>
      </c>
      <c r="AT102">
        <f>$E$11*(1+$AR102)</f>
        <v>0</v>
      </c>
      <c r="AU102" s="35" cm="1">
        <f t="array" ref="AU102">IF($F$11-$I$4+VLOOKUP($Q102,武学奇术!$A:$ZZ,9,FALSE)+SUM(_xlfn.XLOOKUP(R102:AF102,增益!$A:$A,增益!$I:$I,0))&gt;0,($F$11-$I$4+VLOOKUP($Q102,武学奇术!$A:$ZZ,9,FALSE)+SUM(_xlfn.XLOOKUP(R102:AF102,增益!$A:$A,增益!$I:$I,0)))/200,($F$11-$I$4+VLOOKUP($Q102,武学奇术!$A:$ZZ,9,FALSE)+SUM(_xlfn.XLOOKUP(R102:AF102,增益!$A:$A,增益!$I:$I,0)))/100)</f>
        <v>-0.14</v>
      </c>
      <c r="AV102" s="35" cm="1">
        <f t="array" ref="AV102">$G$11+VLOOKUP($Q102,武学奇术!$A:$ZZ,10,FALSE)+SUM(_xlfn.XLOOKUP(R102:AF102,增益!$A:$A,增益!$J:$J,0))</f>
        <v>0</v>
      </c>
      <c r="AW102">
        <f>$D$12*(1+$AR102)</f>
        <v>0</v>
      </c>
      <c r="AX102">
        <f>$E$12*(1+$AR102)</f>
        <v>0</v>
      </c>
      <c r="AY102" s="35" cm="1">
        <f t="array" ref="AY102">IF($F$12-$I$4+VLOOKUP($Q102,武学奇术!$A:$ZZ,11,FALSE)+SUM(_xlfn.XLOOKUP(R102:AF102,增益!$A:$A,增益!$K:$K,0))&gt;0,($F$12-$I$4+VLOOKUP($Q102,武学奇术!$A:$ZZ,11,FALSE)+SUM(_xlfn.XLOOKUP(R102:AF102,增益!$A:$A,增益!$K:$K,0)))/200,($F$12-$I$4+VLOOKUP($Q102,武学奇术!$A:$ZZ,11,FALSE)+SUM(_xlfn.XLOOKUP(R102:AF102,增益!$A:$A,增益!$K:$K,0)))/100)</f>
        <v>-0.14</v>
      </c>
      <c r="AZ102" s="35" cm="1">
        <f t="array" ref="AZ102">$G$12+VLOOKUP($Q102,武学奇术!$A:$ZZ,12,FALSE)+SUM(_xlfn.XLOOKUP(R102:AF102,增益!$A:$A,增益!$L:$L,0))</f>
        <v>0</v>
      </c>
      <c r="BA102">
        <f>$D$13*(1+$AR102)</f>
        <v>0</v>
      </c>
      <c r="BB102">
        <f>$E$13*(1+$AR102)</f>
        <v>0</v>
      </c>
      <c r="BC102" s="35" cm="1">
        <f t="array" ref="BC102">IF($F$13-$I$4+VLOOKUP($Q102,武学奇术!$A:$ZZ,13,FALSE)+SUM(_xlfn.XLOOKUP(R102:AF102,增益!$A:$A,增益!$M:$M,0))&gt;0,($F$13-$I$4+VLOOKUP($Q102,武学奇术!$A:$ZZ,13,FALSE)+SUM(_xlfn.XLOOKUP(R102:AF102,增益!$A:$A,增益!$K:$K,0)))/200,($F$13-$I$4+VLOOKUP($Q102,武学奇术!$A:$ZZ,13,FALSE)+SUM(_xlfn.XLOOKUP(R102:AF102,增益!$A:$A,增益!$M:$M,0)))/100)</f>
        <v>-0.14</v>
      </c>
      <c r="BD102" s="35" cm="1">
        <f t="array" ref="BD102">$G$13+VLOOKUP($Q102,武学奇术!$A:$ZZ,14,FALSE)+SUM(_xlfn.XLOOKUP(R102:AF102,增益!$A:$A,增益!$N:$N,0))</f>
        <v>0</v>
      </c>
      <c r="BE102">
        <f>$D$14*(1+$AR102)</f>
        <v>538</v>
      </c>
      <c r="BF102">
        <f>$E$14*(1+$AR102)</f>
        <v>1561.4</v>
      </c>
      <c r="BG102" s="35" cm="1">
        <f t="array" ref="BG102">IF($F$14-$I$4+VLOOKUP($Q102,武学奇术!$A:$ZZ,15,FALSE)+SUM(_xlfn.XLOOKUP(R102:AF102,增益!$A:$A,增益!$O:$O,0))&gt;0,($F$14-$I$4+VLOOKUP($Q102,武学奇术!$A:$ZZ,15,FALSE)+SUM(_xlfn.XLOOKUP(R102:AF102,增益!$A:$A,增益!$O:$O,0)))/200,($F$14-$I$4+VLOOKUP($Q102,武学奇术!$A:$ZZ,15,FALSE)+SUM(_xlfn.XLOOKUP(R102:AF102,增益!$A:$A,增益!$O:$O,0)))/100)</f>
        <v>0.08</v>
      </c>
      <c r="BH102" s="35" cm="1">
        <f t="array" ref="BH102">$G$14+VLOOKUP($Q102,武学奇术!$A:$ZZ,16,FALSE)+SUM(_xlfn.XLOOKUP(R102:AF102,增益!$A:$A,增益!$P:$P,0))</f>
        <v>0.27</v>
      </c>
      <c r="BI102" s="30">
        <f>MIN(IF(VLOOKUP($Q102,武学奇术!$A:$ZZ,23,FALSE)=1,100%,$B$8),100%)</f>
        <v>1</v>
      </c>
      <c r="BJ102" s="30" cm="1">
        <f t="array" ref="BJ102">IF(VLOOKUP($Q102,武学奇术!$A:$ZZ,23,FALSE)=1,100%,MIN(80%,$B$9+VLOOKUP($Q102,武学奇术!$A:$ZZ,17,FALSE)+SUM(_xlfn.XLOOKUP(R102:AF102,增益!$A:$A,增益!$Q:$Q,0)))+$B$11+SUM(_xlfn.XLOOKUP(R102:AF102,增益!$A:$A,增益!$U:$U,0)))*IF(VLOOKUP($Q102,武学奇术!$A:$ZZ,24,FALSE)=1,0,1)</f>
        <v>1</v>
      </c>
      <c r="BK102" s="30" cm="1">
        <f t="array" ref="BK102">1+$B$13+VLOOKUP($Q102,武学奇术!$A:$ZZ,18,FALSE)+SUM(_xlfn.XLOOKUP(R102:AF102,增益!$A:$A,增益!$R:$R,0))</f>
        <v>1.87</v>
      </c>
      <c r="BL102" s="30" cm="1">
        <f t="array" ref="BL102">IF(VLOOKUP($Q102,武学奇术!$A:$ZZ,24,FALSE)=1,100%,MIN(40%,$B$10+VLOOKUP($Q102,武学奇术!$A:$ZZ,19,FALSE)+SUM(_xlfn.XLOOKUP(R102:AF102,增益!$A:$A,增益!$S:$S,0)))+$B$12+SUM(_xlfn.XLOOKUP(R102:AF102,增益!$A:$A,增益!$V:$V,0)))*IF(VLOOKUP($Q102,武学奇术!$A:$ZZ,23,FALSE)=1,0,1)</f>
        <v>0</v>
      </c>
      <c r="BM102" s="30" cm="1">
        <f t="array" ref="BM102">1+$B$14+VLOOKUP($Q102,武学奇术!$A:$ZZ,20,FALSE)+SUM(_xlfn.XLOOKUP(R102:AF102,增益!$A:$A,增益!$T:$T,0))</f>
        <v>1.35</v>
      </c>
      <c r="BN102" s="30">
        <f>MIN((1-BL102)*BI102,BI102*BJ102)</f>
        <v>1</v>
      </c>
      <c r="BO102" s="30">
        <f>1-BL102-BN102-BP102</f>
        <v>0</v>
      </c>
      <c r="BP102" s="30">
        <f>IF(VLOOKUP($Q102,武学奇术!$A:$ZZ,22,FALSE)=1,0,(1-$BI102))*(1-$BL102)</f>
        <v>0</v>
      </c>
      <c r="BQ102" s="30" cm="1">
        <f t="array" ref="BQ102">SUM(_xlfn.XLOOKUP(R102:AF102,增益!$A:$A,增益!$W:$W,0))+$I$5</f>
        <v>0.11</v>
      </c>
    </row>
    <row r="103" spans="1:69">
      <c r="K103" s="41">
        <f t="shared" si="50"/>
        <v>135341.243089937</v>
      </c>
      <c r="L103" s="41">
        <f>((($AN103+$AO103)/2*$AH103+$AI103)*(1+$AP103)*(1+$AQ103)+(($AS103+$AT103)/2*IF($G$1="鸣金",$AJ103,$AH103)+IF($G$1="鸣金",$AK103*1.5,0))*(1+$AU103)*(1+$AV103)+(($AW103+$AX103)/2*IF($G$1="裂石",$AJ103,$AH103)+IF($G$1="裂石",$AK103*1.5,0))*(1+$AY103)*(1+$AZ103)+(($BA103+$BB103)/2*IF($G$1="牵丝",$AJ103,$AH103)+IF($G$1="牵丝",$AK103*1.5,0))*(1+$BC103)*(1+$BD103)+(($BE103+$BF103)/2*IF($G$1="破竹",$AJ103,$AH103)+IF($G$1="破竹",$AK103*1.5,0))*(1+$BG103)*(1+$BH103))*(1+$AL103)*$BK103*$P103*(1+IF(VLOOKUP($Q103,武学奇术!$A:$ZZ,30,FALSE)="回旋伞",$B$21,0))*(1+$BQ103)</f>
        <v>141857.378968042</v>
      </c>
      <c r="M103" s="41">
        <f>(($AO103*$AH103+$AI103)*(1+$AP103)*(1+$AQ103)+($AT103*IF($G$1="鸣金",$AJ103,$AH103)+IF($G$1="鸣金",$AK103*1.5,0))*(1+$AU103)*(1+$AV103)+($AX103*IF($G$1="裂石",$AJ103,$AH103)+IF($G$1="裂石",$AK103*1.5,0))*(1+$AY103)*(1+$AZ103)+($BB103*IF($G$1="牵丝",$AJ103,$AH103)+IF($G$1="牵丝",$AK103*1.5,0))*(1+$BC103)*(1+$BD103)+($BF103*IF($G$1="破竹",$AJ103,$AH103)+IF($G$1="破竹",$AK103*1.5,0))*(1+$BG103)*(1+$BH103))*(1+$AL103)*$BM103*$P103*(1+IF(VLOOKUP($Q103,武学奇术!$A:$ZZ,30,FALSE)="回旋伞",$B$21,0))*(1+$BQ103)</f>
        <v>114868.486451582</v>
      </c>
      <c r="N103" s="41">
        <f>((($AN103+$AO103)/2*$AH103+$AI103)*(1+$AP103)*(1+$AQ103)+(($AS103+$AT103)/2*IF($G$1="鸣金",$AJ103,$AH103)+IF($G$1="鸣金",$AK103*1.5,0))*(1+$AU103)*(1+$AV103)+(($AW103+$AX103)/2*IF($G$1="裂石",$AJ103,$AH103)+IF($G$1="裂石",$AK103*1.5,0))*(1+$AY103)*(1+$AZ103)+(($BA103+$BB103)/2*IF($G$1="牵丝",$AJ103,$AH103)+IF($G$1="牵丝",$AK103*1.5,0))*(1+$BC103)*(1+$BD103)+(($BE103+$BF103)/2*IF($G$1="破竹",$AJ103,$AH103)+IF($G$1="破竹",$AK103*1.5,0))*(1+$BG103)*(1+$BH103))*(1+$AL103)*$P103*(1+IF(VLOOKUP($Q103,武学奇术!$A:$ZZ,30,FALSE)="回旋伞",$B$21,0))*(1+$BQ103)</f>
        <v>75859.5609454772</v>
      </c>
      <c r="O103" s="41">
        <f>((($AN103*$AH103+$AI103)*(1+$AP103)*(1+$AQ103)+($AS103*IF($G$1="鸣金",$AJ103,$AH103)+IF($G$1="鸣金",$AK103*1.5,0))*(1+$AU103)*(1+$AV103)+($AW103*IF($G$1="裂石",$AJ103,$AH103)+IF($G$1="裂石",$AK103*1.5,0))*(1+$AY103)*(1+$AZ103)+($BA103*IF($G$1="牵丝",$AJ103,$AH103)+IF($G$1="牵丝",$AK103*1.5,0))*(1+$BC103)*(1+$BD103)+($BE103*IF($G$1="破竹",$AJ103,$AH103)+IF($G$1="破竹",$AK103*1.5,0))*(1+$BG103)*(1+$BH103))*(1+$AL103))*$P103*(1+IF(VLOOKUP($Q103,武学奇术!$A:$ZZ,30,FALSE)="回旋伞",$B$21,0))*(1+$BQ103)</f>
        <v>66631.3541490414</v>
      </c>
      <c r="P103" s="42">
        <v>2</v>
      </c>
      <c r="Q103" s="43" t="s">
        <v>104</v>
      </c>
      <c r="R103" s="43" t="s">
        <v>105</v>
      </c>
      <c r="S103" s="43" t="s">
        <v>91</v>
      </c>
      <c r="T103" s="43" t="s">
        <v>72</v>
      </c>
      <c r="U103" s="43" t="s">
        <v>71</v>
      </c>
      <c r="V103" s="43" t="s">
        <v>167</v>
      </c>
      <c r="W103" s="43" t="s">
        <v>95</v>
      </c>
      <c r="X103" s="43" t="s">
        <v>82</v>
      </c>
      <c r="Y103" s="43" t="s">
        <v>71</v>
      </c>
      <c r="Z103" s="43" t="s">
        <v>71</v>
      </c>
      <c r="AA103" s="43" t="s">
        <v>116</v>
      </c>
      <c r="AB103" s="43" t="s">
        <v>71</v>
      </c>
      <c r="AC103" s="43" t="s">
        <v>71</v>
      </c>
      <c r="AD103" s="43" t="s">
        <v>71</v>
      </c>
      <c r="AE103" s="43" t="s">
        <v>71</v>
      </c>
      <c r="AF103" s="43" t="s">
        <v>76</v>
      </c>
      <c r="AG103" t="str">
        <f>VLOOKUP($Q103,武学奇术!$A:$ZZ,25,FALSE)</f>
        <v>伞</v>
      </c>
      <c r="AH103" s="30">
        <f>VLOOKUP($Q103,武学奇术!$A:$ZZ,26,FALSE)</f>
        <v>1.8084</v>
      </c>
      <c r="AI103" s="31">
        <f>VLOOKUP($Q103,武学奇术!$A:$ZZ,27,FALSE)*(1+IF(OR($AG103=$F$4,$AG103=$F$5),$B$22,0))</f>
        <v>700</v>
      </c>
      <c r="AJ103" s="30">
        <f>VLOOKUP($Q103,武学奇术!$A:$ZZ,28,FALSE)</f>
        <v>2.7126</v>
      </c>
      <c r="AK103" s="31">
        <f>VLOOKUP($Q103,武学奇术!$A:$ZZ,29,FALSE)*(1+IF(OR($AG103=$F$4,$AG103=$F$5),$B$22,0))</f>
        <v>380.8</v>
      </c>
      <c r="AL103" s="30" cm="1">
        <f t="array" ref="AL103">$G$3+IFERROR(VLOOKUP($AG103,$F$4:$G$7,2,FALSE),0)+VLOOKUP($Q103,武学奇术!$A:$ZZ,2,FALSE)+SUM(_xlfn.XLOOKUP($R103:$AF103,增益!$A:$A,增益!$B:$B,0))</f>
        <v>0.6541</v>
      </c>
      <c r="AM103" s="30" cm="1">
        <f t="array" ref="AM103">VLOOKUP($Q103,武学奇术!$A:$ZZ,5,FALSE)+SUM(_xlfn.XLOOKUP($R103:$AF103,增益!$A:$A,增益!$E:$E,0))</f>
        <v>0</v>
      </c>
      <c r="AN103" cm="1">
        <f t="array" ref="AN103">$D$10*(1+$AM103)+VLOOKUP($Q103,武学奇术!$A:$ZZ,3,FALSE)+SUM(_xlfn.XLOOKUP($R103:$AF103,增益!$A:$A,增益!$C:$C,0))-$I$2</f>
        <v>3545.8</v>
      </c>
      <c r="AO103" cm="1">
        <f t="array" ref="AO103">$E$10*(1+$AM103)+VLOOKUP($Q103,武学奇术!$A:$ZZ,4,FALSE)+SUM(_xlfn.XLOOKUP($R103:$AF103,增益!$A:$A,增益!$D:$D,0))-$I$2</f>
        <v>3545.8</v>
      </c>
      <c r="AP103" s="35" cm="1">
        <f t="array" ref="AP103">IF($F$10-$I$3+VLOOKUP($Q103,武学奇术!$A:$ZZ,6,FALSE)+SUM(_xlfn.XLOOKUP(R103:AF103,增益!$A:$A,增益!$F:$F,0))&gt;0,($F$10-$I$3+VLOOKUP($Q103,武学奇术!$A:$ZZ,6,FALSE)+SUM(_xlfn.XLOOKUP(R103:AF103,增益!$A:$A,增益!$F:$F,0)))/200,($F$10-$I$3+VLOOKUP($Q103,武学奇术!$A:$ZZ,6,FALSE)+SUM(_xlfn.XLOOKUP(R103:AF103,增益!$A:$A,增益!$F:$F,0)))/100)</f>
        <v>0.3425</v>
      </c>
      <c r="AQ103" s="35" cm="1">
        <f t="array" ref="AQ103">$G$10+VLOOKUP($Q103,武学奇术!$A:$ZZ,7,FALSE)+SUM(_xlfn.XLOOKUP(R103:AF103,增益!$A:$A,增益!$G:$G,0))</f>
        <v>0.148</v>
      </c>
      <c r="AR103" s="30" cm="1">
        <f t="array" ref="AR103">VLOOKUP($Q103,武学奇术!$A:$ZZ,8,FALSE)+SUM(_xlfn.XLOOKUP(R103:AF103,增益!$A:$A,增益!$H:$H,0))</f>
        <v>0</v>
      </c>
      <c r="AS103">
        <f>$D$11*(1+$AR103)</f>
        <v>0</v>
      </c>
      <c r="AT103">
        <f>$E$11*(1+$AR103)</f>
        <v>0</v>
      </c>
      <c r="AU103" s="35" cm="1">
        <f t="array" ref="AU103">IF($F$11-$I$4+VLOOKUP($Q103,武学奇术!$A:$ZZ,9,FALSE)+SUM(_xlfn.XLOOKUP(R103:AF103,增益!$A:$A,增益!$I:$I,0))&gt;0,($F$11-$I$4+VLOOKUP($Q103,武学奇术!$A:$ZZ,9,FALSE)+SUM(_xlfn.XLOOKUP(R103:AF103,增益!$A:$A,增益!$I:$I,0)))/200,($F$11-$I$4+VLOOKUP($Q103,武学奇术!$A:$ZZ,9,FALSE)+SUM(_xlfn.XLOOKUP(R103:AF103,增益!$A:$A,增益!$I:$I,0)))/100)</f>
        <v>-0.14</v>
      </c>
      <c r="AV103" s="35" cm="1">
        <f t="array" ref="AV103">$G$11+VLOOKUP($Q103,武学奇术!$A:$ZZ,10,FALSE)+SUM(_xlfn.XLOOKUP(R103:AF103,增益!$A:$A,增益!$J:$J,0))</f>
        <v>0</v>
      </c>
      <c r="AW103">
        <f>$D$12*(1+$AR103)</f>
        <v>0</v>
      </c>
      <c r="AX103">
        <f>$E$12*(1+$AR103)</f>
        <v>0</v>
      </c>
      <c r="AY103" s="35" cm="1">
        <f t="array" ref="AY103">IF($F$12-$I$4+VLOOKUP($Q103,武学奇术!$A:$ZZ,11,FALSE)+SUM(_xlfn.XLOOKUP(R103:AF103,增益!$A:$A,增益!$K:$K,0))&gt;0,($F$12-$I$4+VLOOKUP($Q103,武学奇术!$A:$ZZ,11,FALSE)+SUM(_xlfn.XLOOKUP(R103:AF103,增益!$A:$A,增益!$K:$K,0)))/200,($F$12-$I$4+VLOOKUP($Q103,武学奇术!$A:$ZZ,11,FALSE)+SUM(_xlfn.XLOOKUP(R103:AF103,增益!$A:$A,增益!$K:$K,0)))/100)</f>
        <v>-0.14</v>
      </c>
      <c r="AZ103" s="35" cm="1">
        <f t="array" ref="AZ103">$G$12+VLOOKUP($Q103,武学奇术!$A:$ZZ,12,FALSE)+SUM(_xlfn.XLOOKUP(R103:AF103,增益!$A:$A,增益!$L:$L,0))</f>
        <v>0</v>
      </c>
      <c r="BA103">
        <f>$D$13*(1+$AR103)</f>
        <v>0</v>
      </c>
      <c r="BB103">
        <f>$E$13*(1+$AR103)</f>
        <v>0</v>
      </c>
      <c r="BC103" s="35" cm="1">
        <f t="array" ref="BC103">IF($F$13-$I$4+VLOOKUP($Q103,武学奇术!$A:$ZZ,13,FALSE)+SUM(_xlfn.XLOOKUP(R103:AF103,增益!$A:$A,增益!$M:$M,0))&gt;0,($F$13-$I$4+VLOOKUP($Q103,武学奇术!$A:$ZZ,13,FALSE)+SUM(_xlfn.XLOOKUP(R103:AF103,增益!$A:$A,增益!$K:$K,0)))/200,($F$13-$I$4+VLOOKUP($Q103,武学奇术!$A:$ZZ,13,FALSE)+SUM(_xlfn.XLOOKUP(R103:AF103,增益!$A:$A,增益!$M:$M,0)))/100)</f>
        <v>-0.14</v>
      </c>
      <c r="BD103" s="35" cm="1">
        <f t="array" ref="BD103">$G$13+VLOOKUP($Q103,武学奇术!$A:$ZZ,14,FALSE)+SUM(_xlfn.XLOOKUP(R103:AF103,增益!$A:$A,增益!$N:$N,0))</f>
        <v>0</v>
      </c>
      <c r="BE103">
        <f>$D$14*(1+$AR103)</f>
        <v>538</v>
      </c>
      <c r="BF103">
        <f>$E$14*(1+$AR103)</f>
        <v>1561.4</v>
      </c>
      <c r="BG103" s="35" cm="1">
        <f t="array" ref="BG103">IF($F$14-$I$4+VLOOKUP($Q103,武学奇术!$A:$ZZ,15,FALSE)+SUM(_xlfn.XLOOKUP(R103:AF103,增益!$A:$A,增益!$O:$O,0))&gt;0,($F$14-$I$4+VLOOKUP($Q103,武学奇术!$A:$ZZ,15,FALSE)+SUM(_xlfn.XLOOKUP(R103:AF103,增益!$A:$A,增益!$O:$O,0)))/200,($F$14-$I$4+VLOOKUP($Q103,武学奇术!$A:$ZZ,15,FALSE)+SUM(_xlfn.XLOOKUP(R103:AF103,增益!$A:$A,增益!$O:$O,0)))/100)</f>
        <v>0.08</v>
      </c>
      <c r="BH103" s="35" cm="1">
        <f t="array" ref="BH103">$G$14+VLOOKUP($Q103,武学奇术!$A:$ZZ,16,FALSE)+SUM(_xlfn.XLOOKUP(R103:AF103,增益!$A:$A,增益!$P:$P,0))</f>
        <v>0.27</v>
      </c>
      <c r="BI103" s="30">
        <f>MIN(IF(VLOOKUP($Q103,武学奇术!$A:$ZZ,23,FALSE)=1,100%,$B$8),100%)</f>
        <v>0.9712</v>
      </c>
      <c r="BJ103" s="30" cm="1">
        <f t="array" ref="BJ103">IF(VLOOKUP($Q103,武学奇术!$A:$ZZ,23,FALSE)=1,100%,MIN(80%,$B$9+VLOOKUP($Q103,武学奇术!$A:$ZZ,17,FALSE)+SUM(_xlfn.XLOOKUP(R103:AF103,增益!$A:$A,增益!$Q:$Q,0)))+$B$11+SUM(_xlfn.XLOOKUP(R103:AF103,增益!$A:$A,增益!$U:$U,0)))*IF(VLOOKUP($Q103,武学奇术!$A:$ZZ,24,FALSE)=1,0,1)</f>
        <v>0.8773</v>
      </c>
      <c r="BK103" s="30" cm="1">
        <f t="array" ref="BK103">1+$B$13+VLOOKUP($Q103,武学奇术!$A:$ZZ,18,FALSE)+SUM(_xlfn.XLOOKUP(R103:AF103,增益!$A:$A,增益!$R:$R,0))</f>
        <v>1.87</v>
      </c>
      <c r="BL103" s="30" cm="1">
        <f t="array" ref="BL103">IF(VLOOKUP($Q103,武学奇术!$A:$ZZ,24,FALSE)=1,100%,MIN(40%,$B$10+VLOOKUP($Q103,武学奇术!$A:$ZZ,19,FALSE)+SUM(_xlfn.XLOOKUP(R103:AF103,增益!$A:$A,增益!$S:$S,0)))+$B$12+SUM(_xlfn.XLOOKUP(R103:AF103,增益!$A:$A,增益!$V:$V,0)))*IF(VLOOKUP($Q103,武学奇术!$A:$ZZ,23,FALSE)=1,0,1)</f>
        <v>0.0895</v>
      </c>
      <c r="BM103" s="30" cm="1">
        <f t="array" ref="BM103">1+$B$14+VLOOKUP($Q103,武学奇术!$A:$ZZ,20,FALSE)+SUM(_xlfn.XLOOKUP(R103:AF103,增益!$A:$A,增益!$T:$T,0))</f>
        <v>1.35</v>
      </c>
      <c r="BN103" s="30">
        <f>MIN((1-BL103)*BI103,BI103*BJ103)</f>
        <v>0.85203376</v>
      </c>
      <c r="BO103" s="30">
        <f>1-BL103-BN103-BP103</f>
        <v>0.03224384</v>
      </c>
      <c r="BP103" s="30">
        <f>IF(VLOOKUP($Q103,武学奇术!$A:$ZZ,22,FALSE)=1,0,(1-$BI103))*(1-$BL103)</f>
        <v>0.0262224</v>
      </c>
      <c r="BQ103" s="30" cm="1">
        <f t="array" ref="BQ103">SUM(_xlfn.XLOOKUP(R103:AF103,增益!$A:$A,增益!$W:$W,0))+$I$5</f>
        <v>0.11</v>
      </c>
    </row>
    <row r="104" spans="1:69">
      <c r="K104" s="41">
        <f t="shared" si="50"/>
        <v>43307.6502257805</v>
      </c>
      <c r="L104" s="41">
        <f>((($AN104+$AO104)/2*$AH104+$AI104)*(1+$AP104)*(1+$AQ104)+(($AS104+$AT104)/2*IF($G$1="鸣金",$AJ104,$AH104)+IF($G$1="鸣金",$AK104*1.5,0))*(1+$AU104)*(1+$AV104)+(($AW104+$AX104)/2*IF($G$1="裂石",$AJ104,$AH104)+IF($G$1="裂石",$AK104*1.5,0))*(1+$AY104)*(1+$AZ104)+(($BA104+$BB104)/2*IF($G$1="牵丝",$AJ104,$AH104)+IF($G$1="牵丝",$AK104*1.5,0))*(1+$BC104)*(1+$BD104)+(($BE104+$BF104)/2*IF($G$1="破竹",$AJ104,$AH104)+IF($G$1="破竹",$AK104*1.5,0))*(1+$BG104)*(1+$BH104))*(1+$AL104)*$BK104*$P104*(1+IF(VLOOKUP($Q104,武学奇术!$A:$ZZ,30,FALSE)="回旋伞",$B$21,0))*(1+$BQ104)</f>
        <v>45371.224919267</v>
      </c>
      <c r="M104" s="41">
        <f>(($AO104*$AH104+$AI104)*(1+$AP104)*(1+$AQ104)+($AT104*IF($G$1="鸣金",$AJ104,$AH104)+IF($G$1="鸣金",$AK104*1.5,0))*(1+$AU104)*(1+$AV104)+($AX104*IF($G$1="裂石",$AJ104,$AH104)+IF($G$1="裂石",$AK104*1.5,0))*(1+$AY104)*(1+$AZ104)+($BB104*IF($G$1="牵丝",$AJ104,$AH104)+IF($G$1="牵丝",$AK104*1.5,0))*(1+$BC104)*(1+$BD104)+($BF104*IF($G$1="破竹",$AJ104,$AH104)+IF($G$1="破竹",$AK104*1.5,0))*(1+$BG104)*(1+$BH104))*(1+$AL104)*$BM104*$P104*(1+IF(VLOOKUP($Q104,武学奇术!$A:$ZZ,30,FALSE)="回旋伞",$B$21,0))*(1+$BQ104)</f>
        <v>37032.0921121772</v>
      </c>
      <c r="N104" s="41">
        <f>((($AN104+$AO104)/2*$AH104+$AI104)*(1+$AP104)*(1+$AQ104)+(($AS104+$AT104)/2*IF($G$1="鸣金",$AJ104,$AH104)+IF($G$1="鸣金",$AK104*1.5,0))*(1+$AU104)*(1+$AV104)+(($AW104+$AX104)/2*IF($G$1="裂石",$AJ104,$AH104)+IF($G$1="裂石",$AK104*1.5,0))*(1+$AY104)*(1+$AZ104)+(($BA104+$BB104)/2*IF($G$1="牵丝",$AJ104,$AH104)+IF($G$1="牵丝",$AK104*1.5,0))*(1+$BC104)*(1+$BD104)+(($BE104+$BF104)/2*IF($G$1="破竹",$AJ104,$AH104)+IF($G$1="破竹",$AK104*1.5,0))*(1+$BG104)*(1+$BH104))*(1+$AL104)*$P104*(1+IF(VLOOKUP($Q104,武学奇术!$A:$ZZ,30,FALSE)="回旋伞",$B$21,0))*(1+$BQ104)</f>
        <v>24262.6871226027</v>
      </c>
      <c r="O104" s="41">
        <f>((($AN104*$AH104+$AI104)*(1+$AP104)*(1+$AQ104)+($AS104*IF($G$1="鸣金",$AJ104,$AH104)+IF($G$1="鸣金",$AK104*1.5,0))*(1+$AU104)*(1+$AV104)+($AW104*IF($G$1="裂石",$AJ104,$AH104)+IF($G$1="裂石",$AK104*1.5,0))*(1+$AY104)*(1+$AZ104)+($BA104*IF($G$1="牵丝",$AJ104,$AH104)+IF($G$1="牵丝",$AK104*1.5,0))*(1+$BC104)*(1+$BD104)+($BE104*IF($G$1="破竹",$AJ104,$AH104)+IF($G$1="破竹",$AK104*1.5,0))*(1+$BG104)*(1+$BH104))*(1+$AL104))*$P104*(1+IF(VLOOKUP($Q104,武学奇术!$A:$ZZ,30,FALSE)="回旋伞",$B$21,0))*(1+$BQ104)</f>
        <v>21094.1949028519</v>
      </c>
      <c r="P104" s="42">
        <v>2</v>
      </c>
      <c r="Q104" s="43" t="s">
        <v>120</v>
      </c>
      <c r="R104" s="43" t="s">
        <v>105</v>
      </c>
      <c r="S104" s="43" t="s">
        <v>91</v>
      </c>
      <c r="T104" s="43" t="s">
        <v>72</v>
      </c>
      <c r="U104" s="43" t="s">
        <v>79</v>
      </c>
      <c r="V104" s="43" t="s">
        <v>167</v>
      </c>
      <c r="W104" s="43" t="s">
        <v>95</v>
      </c>
      <c r="X104" s="43" t="s">
        <v>71</v>
      </c>
      <c r="Y104" s="43" t="s">
        <v>71</v>
      </c>
      <c r="Z104" s="43" t="s">
        <v>71</v>
      </c>
      <c r="AA104" s="43" t="s">
        <v>71</v>
      </c>
      <c r="AB104" s="43" t="s">
        <v>71</v>
      </c>
      <c r="AC104" s="43" t="s">
        <v>71</v>
      </c>
      <c r="AD104" s="43" t="s">
        <v>71</v>
      </c>
      <c r="AE104" s="43" t="s">
        <v>71</v>
      </c>
      <c r="AF104" s="43" t="s">
        <v>76</v>
      </c>
      <c r="AG104" t="str">
        <f>VLOOKUP($Q104,武学奇术!$A:$ZZ,25,FALSE)</f>
        <v>伞</v>
      </c>
      <c r="AH104" s="30">
        <f>VLOOKUP($Q104,武学奇术!$A:$ZZ,26,FALSE)</f>
        <v>0.54</v>
      </c>
      <c r="AI104" s="31">
        <f>VLOOKUP($Q104,武学奇术!$A:$ZZ,27,FALSE)*(1+IF(OR($AG104=$F$4,$AG104=$F$5),$B$22,0))</f>
        <v>0</v>
      </c>
      <c r="AJ104" s="30">
        <f>VLOOKUP($Q104,武学奇术!$A:$ZZ,28,FALSE)</f>
        <v>0.81</v>
      </c>
      <c r="AK104" s="31">
        <f>VLOOKUP($Q104,武学奇术!$A:$ZZ,29,FALSE)*(1+IF(OR($AG104=$F$4,$AG104=$F$5),$B$22,0))</f>
        <v>0</v>
      </c>
      <c r="AL104" s="30" cm="1">
        <f t="array" ref="AL104">$G$3+IFERROR(VLOOKUP($AG104,$F$4:$G$7,2,FALSE),0)+VLOOKUP($Q104,武学奇术!$A:$ZZ,2,FALSE)+SUM(_xlfn.XLOOKUP($R104:$AF104,增益!$A:$A,增益!$B:$B,0))</f>
        <v>1.0541</v>
      </c>
      <c r="AM104" s="30" cm="1">
        <f t="array" ref="AM104">VLOOKUP($Q104,武学奇术!$A:$ZZ,5,FALSE)+SUM(_xlfn.XLOOKUP($R104:$AF104,增益!$A:$A,增益!$E:$E,0))</f>
        <v>0</v>
      </c>
      <c r="AN104" cm="1">
        <f t="array" ref="AN104">$D$10*(1+$AM104)+VLOOKUP($Q104,武学奇术!$A:$ZZ,3,FALSE)+SUM(_xlfn.XLOOKUP($R104:$AF104,增益!$A:$A,增益!$C:$C,0))-$I$2</f>
        <v>3545.8</v>
      </c>
      <c r="AO104" cm="1">
        <f t="array" ref="AO104">$E$10*(1+$AM104)+VLOOKUP($Q104,武学奇术!$A:$ZZ,4,FALSE)+SUM(_xlfn.XLOOKUP($R104:$AF104,增益!$A:$A,增益!$D:$D,0))-$I$2</f>
        <v>3545.8</v>
      </c>
      <c r="AP104" s="35" cm="1">
        <f t="array" ref="AP104">IF($F$10-$I$3+VLOOKUP($Q104,武学奇术!$A:$ZZ,6,FALSE)+SUM(_xlfn.XLOOKUP(R104:AF104,增益!$A:$A,增益!$F:$F,0))&gt;0,($F$10-$I$3+VLOOKUP($Q104,武学奇术!$A:$ZZ,6,FALSE)+SUM(_xlfn.XLOOKUP(R104:AF104,增益!$A:$A,增益!$F:$F,0)))/200,($F$10-$I$3+VLOOKUP($Q104,武学奇术!$A:$ZZ,6,FALSE)+SUM(_xlfn.XLOOKUP(R104:AF104,增益!$A:$A,增益!$F:$F,0)))/100)</f>
        <v>0.3425</v>
      </c>
      <c r="AQ104" s="35" cm="1">
        <f t="array" ref="AQ104">$G$10+VLOOKUP($Q104,武学奇术!$A:$ZZ,7,FALSE)+SUM(_xlfn.XLOOKUP(R104:AF104,增益!$A:$A,增益!$G:$G,0))</f>
        <v>0.148</v>
      </c>
      <c r="AR104" s="30" cm="1">
        <f t="array" ref="AR104">VLOOKUP($Q104,武学奇术!$A:$ZZ,8,FALSE)+SUM(_xlfn.XLOOKUP(R104:AF104,增益!$A:$A,增益!$H:$H,0))</f>
        <v>0</v>
      </c>
      <c r="AS104">
        <f>$D$11*(1+$AR104)</f>
        <v>0</v>
      </c>
      <c r="AT104">
        <f>$E$11*(1+$AR104)</f>
        <v>0</v>
      </c>
      <c r="AU104" s="35" cm="1">
        <f t="array" ref="AU104">IF($F$11-$I$4+VLOOKUP($Q104,武学奇术!$A:$ZZ,9,FALSE)+SUM(_xlfn.XLOOKUP(R104:AF104,增益!$A:$A,增益!$I:$I,0))&gt;0,($F$11-$I$4+VLOOKUP($Q104,武学奇术!$A:$ZZ,9,FALSE)+SUM(_xlfn.XLOOKUP(R104:AF104,增益!$A:$A,增益!$I:$I,0)))/200,($F$11-$I$4+VLOOKUP($Q104,武学奇术!$A:$ZZ,9,FALSE)+SUM(_xlfn.XLOOKUP(R104:AF104,增益!$A:$A,增益!$I:$I,0)))/100)</f>
        <v>-0.3</v>
      </c>
      <c r="AV104" s="35" cm="1">
        <f t="array" ref="AV104">$G$11+VLOOKUP($Q104,武学奇术!$A:$ZZ,10,FALSE)+SUM(_xlfn.XLOOKUP(R104:AF104,增益!$A:$A,增益!$J:$J,0))</f>
        <v>0</v>
      </c>
      <c r="AW104">
        <f>$D$12*(1+$AR104)</f>
        <v>0</v>
      </c>
      <c r="AX104">
        <f>$E$12*(1+$AR104)</f>
        <v>0</v>
      </c>
      <c r="AY104" s="35" cm="1">
        <f t="array" ref="AY104">IF($F$12-$I$4+VLOOKUP($Q104,武学奇术!$A:$ZZ,11,FALSE)+SUM(_xlfn.XLOOKUP(R104:AF104,增益!$A:$A,增益!$K:$K,0))&gt;0,($F$12-$I$4+VLOOKUP($Q104,武学奇术!$A:$ZZ,11,FALSE)+SUM(_xlfn.XLOOKUP(R104:AF104,增益!$A:$A,增益!$K:$K,0)))/200,($F$12-$I$4+VLOOKUP($Q104,武学奇术!$A:$ZZ,11,FALSE)+SUM(_xlfn.XLOOKUP(R104:AF104,增益!$A:$A,增益!$K:$K,0)))/100)</f>
        <v>-0.3</v>
      </c>
      <c r="AZ104" s="35" cm="1">
        <f t="array" ref="AZ104">$G$12+VLOOKUP($Q104,武学奇术!$A:$ZZ,12,FALSE)+SUM(_xlfn.XLOOKUP(R104:AF104,增益!$A:$A,增益!$L:$L,0))</f>
        <v>0</v>
      </c>
      <c r="BA104">
        <f>$D$13*(1+$AR104)</f>
        <v>0</v>
      </c>
      <c r="BB104">
        <f>$E$13*(1+$AR104)</f>
        <v>0</v>
      </c>
      <c r="BC104" s="35" cm="1">
        <f t="array" ref="BC104">IF($F$13-$I$4+VLOOKUP($Q104,武学奇术!$A:$ZZ,13,FALSE)+SUM(_xlfn.XLOOKUP(R104:AF104,增益!$A:$A,增益!$M:$M,0))&gt;0,($F$13-$I$4+VLOOKUP($Q104,武学奇术!$A:$ZZ,13,FALSE)+SUM(_xlfn.XLOOKUP(R104:AF104,增益!$A:$A,增益!$K:$K,0)))/200,($F$13-$I$4+VLOOKUP($Q104,武学奇术!$A:$ZZ,13,FALSE)+SUM(_xlfn.XLOOKUP(R104:AF104,增益!$A:$A,增益!$M:$M,0)))/100)</f>
        <v>-0.3</v>
      </c>
      <c r="BD104" s="35" cm="1">
        <f t="array" ref="BD104">$G$13+VLOOKUP($Q104,武学奇术!$A:$ZZ,14,FALSE)+SUM(_xlfn.XLOOKUP(R104:AF104,增益!$A:$A,增益!$N:$N,0))</f>
        <v>0</v>
      </c>
      <c r="BE104">
        <f>$D$14*(1+$AR104)</f>
        <v>538</v>
      </c>
      <c r="BF104">
        <f>$E$14*(1+$AR104)</f>
        <v>1561.4</v>
      </c>
      <c r="BG104" s="35" cm="1">
        <f t="array" ref="BG104">IF($F$14-$I$4+VLOOKUP($Q104,武学奇术!$A:$ZZ,15,FALSE)+SUM(_xlfn.XLOOKUP(R104:AF104,增益!$A:$A,增益!$O:$O,0))&gt;0,($F$14-$I$4+VLOOKUP($Q104,武学奇术!$A:$ZZ,15,FALSE)+SUM(_xlfn.XLOOKUP(R104:AF104,增益!$A:$A,增益!$O:$O,0)))/200,($F$14-$I$4+VLOOKUP($Q104,武学奇术!$A:$ZZ,15,FALSE)+SUM(_xlfn.XLOOKUP(R104:AF104,增益!$A:$A,增益!$O:$O,0)))/100)</f>
        <v>0</v>
      </c>
      <c r="BH104" s="35" cm="1">
        <f t="array" ref="BH104">$G$14+VLOOKUP($Q104,武学奇术!$A:$ZZ,16,FALSE)+SUM(_xlfn.XLOOKUP(R104:AF104,增益!$A:$A,增益!$P:$P,0))</f>
        <v>0.27</v>
      </c>
      <c r="BI104" s="30">
        <f>MIN(IF(VLOOKUP($Q104,武学奇术!$A:$ZZ,23,FALSE)=1,100%,$B$8),100%)</f>
        <v>0.9712</v>
      </c>
      <c r="BJ104" s="30" cm="1">
        <f t="array" ref="BJ104">IF(VLOOKUP($Q104,武学奇术!$A:$ZZ,23,FALSE)=1,100%,MIN(80%,$B$9+VLOOKUP($Q104,武学奇术!$A:$ZZ,17,FALSE)+SUM(_xlfn.XLOOKUP(R104:AF104,增益!$A:$A,增益!$Q:$Q,0)))+$B$11+SUM(_xlfn.XLOOKUP(R104:AF104,增益!$A:$A,增益!$U:$U,0)))*IF(VLOOKUP($Q104,武学奇术!$A:$ZZ,24,FALSE)=1,0,1)</f>
        <v>0.8773</v>
      </c>
      <c r="BK104" s="30" cm="1">
        <f t="array" ref="BK104">1+$B$13+VLOOKUP($Q104,武学奇术!$A:$ZZ,18,FALSE)+SUM(_xlfn.XLOOKUP(R104:AF104,增益!$A:$A,增益!$R:$R,0))</f>
        <v>1.87</v>
      </c>
      <c r="BL104" s="30" cm="1">
        <f t="array" ref="BL104">IF(VLOOKUP($Q104,武学奇术!$A:$ZZ,24,FALSE)=1,100%,MIN(40%,$B$10+VLOOKUP($Q104,武学奇术!$A:$ZZ,19,FALSE)+SUM(_xlfn.XLOOKUP(R104:AF104,增益!$A:$A,增益!$S:$S,0)))+$B$12+SUM(_xlfn.XLOOKUP(R104:AF104,增益!$A:$A,增益!$V:$V,0)))*IF(VLOOKUP($Q104,武学奇术!$A:$ZZ,23,FALSE)=1,0,1)</f>
        <v>0.0895</v>
      </c>
      <c r="BM104" s="30" cm="1">
        <f t="array" ref="BM104">1+$B$14+VLOOKUP($Q104,武学奇术!$A:$ZZ,20,FALSE)+SUM(_xlfn.XLOOKUP(R104:AF104,增益!$A:$A,增益!$T:$T,0))</f>
        <v>1.35</v>
      </c>
      <c r="BN104" s="30">
        <f>MIN((1-BL104)*BI104,BI104*BJ104)</f>
        <v>0.85203376</v>
      </c>
      <c r="BO104" s="30">
        <f>1-BL104-BN104-BP104</f>
        <v>0.03224384</v>
      </c>
      <c r="BP104" s="30">
        <f>IF(VLOOKUP($Q104,武学奇术!$A:$ZZ,22,FALSE)=1,0,(1-$BI104))*(1-$BL104)</f>
        <v>0.0262224</v>
      </c>
      <c r="BQ104" s="30" cm="1">
        <f t="array" ref="BQ104">SUM(_xlfn.XLOOKUP(R104:AF104,增益!$A:$A,增益!$W:$W,0))+$I$5</f>
        <v>0.11</v>
      </c>
    </row>
    <row r="105" spans="1:69">
      <c r="K105" s="41">
        <f t="shared" si="50"/>
        <v>44253.3559064767</v>
      </c>
      <c r="L105" s="41">
        <f>((($AN105+$AO105)/2*$AH105+$AI105)*(1+$AP105)*(1+$AQ105)+(($AS105+$AT105)/2*IF($G$1="鸣金",$AJ105,$AH105)+IF($G$1="鸣金",$AK105*1.5,0))*(1+$AU105)*(1+$AV105)+(($AW105+$AX105)/2*IF($G$1="裂石",$AJ105,$AH105)+IF($G$1="裂石",$AK105*1.5,0))*(1+$AY105)*(1+$AZ105)+(($BA105+$BB105)/2*IF($G$1="牵丝",$AJ105,$AH105)+IF($G$1="牵丝",$AK105*1.5,0))*(1+$BC105)*(1+$BD105)+(($BE105+$BF105)/2*IF($G$1="破竹",$AJ105,$AH105)+IF($G$1="破竹",$AK105*1.5,0))*(1+$BG105)*(1+$BH105))*(1+$AL105)*$BK105*$P105*(1+IF(VLOOKUP($Q105,武学奇术!$A:$ZZ,30,FALSE)="回旋伞",$B$21,0))*(1+$BQ105)</f>
        <v>46343.6004438862</v>
      </c>
      <c r="M105" s="41">
        <f>(($AO105*$AH105+$AI105)*(1+$AP105)*(1+$AQ105)+($AT105*IF($G$1="鸣金",$AJ105,$AH105)+IF($G$1="鸣金",$AK105*1.5,0))*(1+$AU105)*(1+$AV105)+($AX105*IF($G$1="裂石",$AJ105,$AH105)+IF($G$1="裂石",$AK105*1.5,0))*(1+$AY105)*(1+$AZ105)+($BB105*IF($G$1="牵丝",$AJ105,$AH105)+IF($G$1="牵丝",$AK105*1.5,0))*(1+$BC105)*(1+$BD105)+($BF105*IF($G$1="破竹",$AJ105,$AH105)+IF($G$1="破竹",$AK105*1.5,0))*(1+$BG105)*(1+$BH105))*(1+$AL105)*$BM105*$P105*(1+IF(VLOOKUP($Q105,武学奇术!$A:$ZZ,30,FALSE)="回旋伞",$B$21,0))*(1+$BQ105)</f>
        <v>38076.2716025177</v>
      </c>
      <c r="N105" s="41">
        <f>((($AN105+$AO105)/2*$AH105+$AI105)*(1+$AP105)*(1+$AQ105)+(($AS105+$AT105)/2*IF($G$1="鸣金",$AJ105,$AH105)+IF($G$1="鸣金",$AK105*1.5,0))*(1+$AU105)*(1+$AV105)+(($AW105+$AX105)/2*IF($G$1="裂石",$AJ105,$AH105)+IF($G$1="裂石",$AK105*1.5,0))*(1+$AY105)*(1+$AZ105)+(($BA105+$BB105)/2*IF($G$1="牵丝",$AJ105,$AH105)+IF($G$1="牵丝",$AK105*1.5,0))*(1+$BC105)*(1+$BD105)+(($BE105+$BF105)/2*IF($G$1="破竹",$AJ105,$AH105)+IF($G$1="破竹",$AK105*1.5,0))*(1+$BG105)*(1+$BH105))*(1+$AL105)*$P105*(1+IF(VLOOKUP($Q105,武学奇术!$A:$ZZ,30,FALSE)="回旋伞",$B$21,0))*(1+$BQ105)</f>
        <v>24782.6740341638</v>
      </c>
      <c r="O105" s="41">
        <f>((($AN105*$AH105+$AI105)*(1+$AP105)*(1+$AQ105)+($AS105*IF($G$1="鸣金",$AJ105,$AH105)+IF($G$1="鸣金",$AK105*1.5,0))*(1+$AU105)*(1+$AV105)+($AW105*IF($G$1="裂石",$AJ105,$AH105)+IF($G$1="裂石",$AK105*1.5,0))*(1+$AY105)*(1+$AZ105)+($BA105*IF($G$1="牵丝",$AJ105,$AH105)+IF($G$1="牵丝",$AK105*1.5,0))*(1+$BC105)*(1+$BD105)+($BE105*IF($G$1="破竹",$AJ105,$AH105)+IF($G$1="破竹",$AK105*1.5,0))*(1+$BG105)*(1+$BH105))*(1+$AL105))*$P105*(1+IF(VLOOKUP($Q105,武学奇术!$A:$ZZ,30,FALSE)="回旋伞",$B$21,0))*(1+$BQ105)</f>
        <v>21360.7024368329</v>
      </c>
      <c r="P105" s="42">
        <v>2</v>
      </c>
      <c r="Q105" s="43" t="s">
        <v>120</v>
      </c>
      <c r="R105" s="43" t="s">
        <v>105</v>
      </c>
      <c r="S105" s="43" t="s">
        <v>91</v>
      </c>
      <c r="T105" s="43" t="s">
        <v>72</v>
      </c>
      <c r="U105" s="43" t="s">
        <v>79</v>
      </c>
      <c r="V105" s="43" t="s">
        <v>167</v>
      </c>
      <c r="W105" s="43" t="s">
        <v>95</v>
      </c>
      <c r="X105" s="43" t="s">
        <v>82</v>
      </c>
      <c r="Y105" s="43" t="s">
        <v>71</v>
      </c>
      <c r="Z105" s="43" t="s">
        <v>71</v>
      </c>
      <c r="AA105" s="43" t="s">
        <v>109</v>
      </c>
      <c r="AB105" s="43" t="s">
        <v>71</v>
      </c>
      <c r="AC105" s="43" t="s">
        <v>71</v>
      </c>
      <c r="AD105" s="43" t="s">
        <v>71</v>
      </c>
      <c r="AE105" s="43" t="s">
        <v>71</v>
      </c>
      <c r="AF105" s="43" t="s">
        <v>76</v>
      </c>
      <c r="AG105" t="str">
        <f>VLOOKUP($Q105,武学奇术!$A:$ZZ,25,FALSE)</f>
        <v>伞</v>
      </c>
      <c r="AH105" s="30">
        <f>VLOOKUP($Q105,武学奇术!$A:$ZZ,26,FALSE)</f>
        <v>0.54</v>
      </c>
      <c r="AI105" s="31">
        <f>VLOOKUP($Q105,武学奇术!$A:$ZZ,27,FALSE)*(1+IF(OR($AG105=$F$4,$AG105=$F$5),$B$22,0))</f>
        <v>0</v>
      </c>
      <c r="AJ105" s="30">
        <f>VLOOKUP($Q105,武学奇术!$A:$ZZ,28,FALSE)</f>
        <v>0.81</v>
      </c>
      <c r="AK105" s="31">
        <f>VLOOKUP($Q105,武学奇术!$A:$ZZ,29,FALSE)*(1+IF(OR($AG105=$F$4,$AG105=$F$5),$B$22,0))</f>
        <v>0</v>
      </c>
      <c r="AL105" s="30" cm="1">
        <f t="array" ref="AL105">$G$3+IFERROR(VLOOKUP($AG105,$F$4:$G$7,2,FALSE),0)+VLOOKUP($Q105,武学奇术!$A:$ZZ,2,FALSE)+SUM(_xlfn.XLOOKUP($R105:$AF105,增益!$A:$A,增益!$B:$B,0))</f>
        <v>1.0541</v>
      </c>
      <c r="AM105" s="30" cm="1">
        <f t="array" ref="AM105">VLOOKUP($Q105,武学奇术!$A:$ZZ,5,FALSE)+SUM(_xlfn.XLOOKUP($R105:$AF105,增益!$A:$A,增益!$E:$E,0))</f>
        <v>0</v>
      </c>
      <c r="AN105" cm="1">
        <f t="array" ref="AN105">$D$10*(1+$AM105)+VLOOKUP($Q105,武学奇术!$A:$ZZ,3,FALSE)+SUM(_xlfn.XLOOKUP($R105:$AF105,增益!$A:$A,增益!$C:$C,0))-$I$2</f>
        <v>3545.8</v>
      </c>
      <c r="AO105" cm="1">
        <f t="array" ref="AO105">$E$10*(1+$AM105)+VLOOKUP($Q105,武学奇术!$A:$ZZ,4,FALSE)+SUM(_xlfn.XLOOKUP($R105:$AF105,增益!$A:$A,增益!$D:$D,0))-$I$2</f>
        <v>3545.8</v>
      </c>
      <c r="AP105" s="35" cm="1">
        <f t="array" ref="AP105">IF($F$10-$I$3+VLOOKUP($Q105,武学奇术!$A:$ZZ,6,FALSE)+SUM(_xlfn.XLOOKUP(R105:AF105,增益!$A:$A,增益!$F:$F,0))&gt;0,($F$10-$I$3+VLOOKUP($Q105,武学奇术!$A:$ZZ,6,FALSE)+SUM(_xlfn.XLOOKUP(R105:AF105,增益!$A:$A,增益!$F:$F,0)))/200,($F$10-$I$3+VLOOKUP($Q105,武学奇术!$A:$ZZ,6,FALSE)+SUM(_xlfn.XLOOKUP(R105:AF105,增益!$A:$A,增益!$F:$F,0)))/100)</f>
        <v>0.3425</v>
      </c>
      <c r="AQ105" s="35" cm="1">
        <f t="array" ref="AQ105">$G$10+VLOOKUP($Q105,武学奇术!$A:$ZZ,7,FALSE)+SUM(_xlfn.XLOOKUP(R105:AF105,增益!$A:$A,增益!$G:$G,0))</f>
        <v>0.148</v>
      </c>
      <c r="AR105" s="30" cm="1">
        <f t="array" ref="AR105">VLOOKUP($Q105,武学奇术!$A:$ZZ,8,FALSE)+SUM(_xlfn.XLOOKUP(R105:AF105,增益!$A:$A,增益!$H:$H,0))</f>
        <v>0</v>
      </c>
      <c r="AS105">
        <f>$D$11*(1+$AR105)</f>
        <v>0</v>
      </c>
      <c r="AT105">
        <f>$E$11*(1+$AR105)</f>
        <v>0</v>
      </c>
      <c r="AU105" s="35" cm="1">
        <f t="array" ref="AU105">IF($F$11-$I$4+VLOOKUP($Q105,武学奇术!$A:$ZZ,9,FALSE)+SUM(_xlfn.XLOOKUP(R105:AF105,增益!$A:$A,增益!$I:$I,0))&gt;0,($F$11-$I$4+VLOOKUP($Q105,武学奇术!$A:$ZZ,9,FALSE)+SUM(_xlfn.XLOOKUP(R105:AF105,增益!$A:$A,增益!$I:$I,0)))/200,($F$11-$I$4+VLOOKUP($Q105,武学奇术!$A:$ZZ,9,FALSE)+SUM(_xlfn.XLOOKUP(R105:AF105,增益!$A:$A,增益!$I:$I,0)))/100)</f>
        <v>-0.14</v>
      </c>
      <c r="AV105" s="35" cm="1">
        <f t="array" ref="AV105">$G$11+VLOOKUP($Q105,武学奇术!$A:$ZZ,10,FALSE)+SUM(_xlfn.XLOOKUP(R105:AF105,增益!$A:$A,增益!$J:$J,0))</f>
        <v>0</v>
      </c>
      <c r="AW105">
        <f>$D$12*(1+$AR105)</f>
        <v>0</v>
      </c>
      <c r="AX105">
        <f>$E$12*(1+$AR105)</f>
        <v>0</v>
      </c>
      <c r="AY105" s="35" cm="1">
        <f t="array" ref="AY105">IF($F$12-$I$4+VLOOKUP($Q105,武学奇术!$A:$ZZ,11,FALSE)+SUM(_xlfn.XLOOKUP(R105:AF105,增益!$A:$A,增益!$K:$K,0))&gt;0,($F$12-$I$4+VLOOKUP($Q105,武学奇术!$A:$ZZ,11,FALSE)+SUM(_xlfn.XLOOKUP(R105:AF105,增益!$A:$A,增益!$K:$K,0)))/200,($F$12-$I$4+VLOOKUP($Q105,武学奇术!$A:$ZZ,11,FALSE)+SUM(_xlfn.XLOOKUP(R105:AF105,增益!$A:$A,增益!$K:$K,0)))/100)</f>
        <v>-0.14</v>
      </c>
      <c r="AZ105" s="35" cm="1">
        <f t="array" ref="AZ105">$G$12+VLOOKUP($Q105,武学奇术!$A:$ZZ,12,FALSE)+SUM(_xlfn.XLOOKUP(R105:AF105,增益!$A:$A,增益!$L:$L,0))</f>
        <v>0</v>
      </c>
      <c r="BA105">
        <f>$D$13*(1+$AR105)</f>
        <v>0</v>
      </c>
      <c r="BB105">
        <f>$E$13*(1+$AR105)</f>
        <v>0</v>
      </c>
      <c r="BC105" s="35" cm="1">
        <f t="array" ref="BC105">IF($F$13-$I$4+VLOOKUP($Q105,武学奇术!$A:$ZZ,13,FALSE)+SUM(_xlfn.XLOOKUP(R105:AF105,增益!$A:$A,增益!$M:$M,0))&gt;0,($F$13-$I$4+VLOOKUP($Q105,武学奇术!$A:$ZZ,13,FALSE)+SUM(_xlfn.XLOOKUP(R105:AF105,增益!$A:$A,增益!$K:$K,0)))/200,($F$13-$I$4+VLOOKUP($Q105,武学奇术!$A:$ZZ,13,FALSE)+SUM(_xlfn.XLOOKUP(R105:AF105,增益!$A:$A,增益!$M:$M,0)))/100)</f>
        <v>-0.14</v>
      </c>
      <c r="BD105" s="35" cm="1">
        <f t="array" ref="BD105">$G$13+VLOOKUP($Q105,武学奇术!$A:$ZZ,14,FALSE)+SUM(_xlfn.XLOOKUP(R105:AF105,增益!$A:$A,增益!$N:$N,0))</f>
        <v>0</v>
      </c>
      <c r="BE105">
        <f>$D$14*(1+$AR105)</f>
        <v>538</v>
      </c>
      <c r="BF105">
        <f>$E$14*(1+$AR105)</f>
        <v>1561.4</v>
      </c>
      <c r="BG105" s="35" cm="1">
        <f t="array" ref="BG105">IF($F$14-$I$4+VLOOKUP($Q105,武学奇术!$A:$ZZ,15,FALSE)+SUM(_xlfn.XLOOKUP(R105:AF105,增益!$A:$A,增益!$O:$O,0))&gt;0,($F$14-$I$4+VLOOKUP($Q105,武学奇术!$A:$ZZ,15,FALSE)+SUM(_xlfn.XLOOKUP(R105:AF105,增益!$A:$A,增益!$O:$O,0)))/200,($F$14-$I$4+VLOOKUP($Q105,武学奇术!$A:$ZZ,15,FALSE)+SUM(_xlfn.XLOOKUP(R105:AF105,增益!$A:$A,增益!$O:$O,0)))/100)</f>
        <v>0.08</v>
      </c>
      <c r="BH105" s="35" cm="1">
        <f t="array" ref="BH105">$G$14+VLOOKUP($Q105,武学奇术!$A:$ZZ,16,FALSE)+SUM(_xlfn.XLOOKUP(R105:AF105,增益!$A:$A,增益!$P:$P,0))</f>
        <v>0.27</v>
      </c>
      <c r="BI105" s="30">
        <f>MIN(IF(VLOOKUP($Q105,武学奇术!$A:$ZZ,23,FALSE)=1,100%,$B$8),100%)</f>
        <v>0.9712</v>
      </c>
      <c r="BJ105" s="30" cm="1">
        <f t="array" ref="BJ105">IF(VLOOKUP($Q105,武学奇术!$A:$ZZ,23,FALSE)=1,100%,MIN(80%,$B$9+VLOOKUP($Q105,武学奇术!$A:$ZZ,17,FALSE)+SUM(_xlfn.XLOOKUP(R105:AF105,增益!$A:$A,增益!$Q:$Q,0)))+$B$11+SUM(_xlfn.XLOOKUP(R105:AF105,增益!$A:$A,增益!$U:$U,0)))*IF(VLOOKUP($Q105,武学奇术!$A:$ZZ,24,FALSE)=1,0,1)</f>
        <v>0.8773</v>
      </c>
      <c r="BK105" s="30" cm="1">
        <f t="array" ref="BK105">1+$B$13+VLOOKUP($Q105,武学奇术!$A:$ZZ,18,FALSE)+SUM(_xlfn.XLOOKUP(R105:AF105,增益!$A:$A,增益!$R:$R,0))</f>
        <v>1.87</v>
      </c>
      <c r="BL105" s="30" cm="1">
        <f t="array" ref="BL105">IF(VLOOKUP($Q105,武学奇术!$A:$ZZ,24,FALSE)=1,100%,MIN(40%,$B$10+VLOOKUP($Q105,武学奇术!$A:$ZZ,19,FALSE)+SUM(_xlfn.XLOOKUP(R105:AF105,增益!$A:$A,增益!$S:$S,0)))+$B$12+SUM(_xlfn.XLOOKUP(R105:AF105,增益!$A:$A,增益!$V:$V,0)))*IF(VLOOKUP($Q105,武学奇术!$A:$ZZ,23,FALSE)=1,0,1)</f>
        <v>0.0895</v>
      </c>
      <c r="BM105" s="30" cm="1">
        <f t="array" ref="BM105">1+$B$14+VLOOKUP($Q105,武学奇术!$A:$ZZ,20,FALSE)+SUM(_xlfn.XLOOKUP(R105:AF105,增益!$A:$A,增益!$T:$T,0))</f>
        <v>1.35</v>
      </c>
      <c r="BN105" s="30">
        <f>MIN((1-BL105)*BI105,BI105*BJ105)</f>
        <v>0.85203376</v>
      </c>
      <c r="BO105" s="30">
        <f>1-BL105-BN105-BP105</f>
        <v>0.03224384</v>
      </c>
      <c r="BP105" s="30">
        <f>IF(VLOOKUP($Q105,武学奇术!$A:$ZZ,22,FALSE)=1,0,(1-$BI105))*(1-$BL105)</f>
        <v>0.0262224</v>
      </c>
      <c r="BQ105" s="30" cm="1">
        <f t="array" ref="BQ105">SUM(_xlfn.XLOOKUP(R105:AF105,增益!$A:$A,增益!$W:$W,0))+$I$5</f>
        <v>0.11</v>
      </c>
    </row>
    <row r="106" spans="1:69">
      <c r="A106" s="4"/>
      <c r="B106" s="90"/>
      <c r="K106" s="41">
        <f t="shared" si="50"/>
        <v>44253.3559064767</v>
      </c>
      <c r="L106" s="41">
        <f>((($AN106+$AO106)/2*$AH106+$AI106)*(1+$AP106)*(1+$AQ106)+(($AS106+$AT106)/2*IF($G$1="鸣金",$AJ106,$AH106)+IF($G$1="鸣金",$AK106*1.5,0))*(1+$AU106)*(1+$AV106)+(($AW106+$AX106)/2*IF($G$1="裂石",$AJ106,$AH106)+IF($G$1="裂石",$AK106*1.5,0))*(1+$AY106)*(1+$AZ106)+(($BA106+$BB106)/2*IF($G$1="牵丝",$AJ106,$AH106)+IF($G$1="牵丝",$AK106*1.5,0))*(1+$BC106)*(1+$BD106)+(($BE106+$BF106)/2*IF($G$1="破竹",$AJ106,$AH106)+IF($G$1="破竹",$AK106*1.5,0))*(1+$BG106)*(1+$BH106))*(1+$AL106)*$BK106*$P106*(1+IF(VLOOKUP($Q106,武学奇术!$A:$ZZ,30,FALSE)="回旋伞",$B$21,0))*(1+$BQ106)</f>
        <v>46343.6004438862</v>
      </c>
      <c r="M106" s="41">
        <f>(($AO106*$AH106+$AI106)*(1+$AP106)*(1+$AQ106)+($AT106*IF($G$1="鸣金",$AJ106,$AH106)+IF($G$1="鸣金",$AK106*1.5,0))*(1+$AU106)*(1+$AV106)+($AX106*IF($G$1="裂石",$AJ106,$AH106)+IF($G$1="裂石",$AK106*1.5,0))*(1+$AY106)*(1+$AZ106)+($BB106*IF($G$1="牵丝",$AJ106,$AH106)+IF($G$1="牵丝",$AK106*1.5,0))*(1+$BC106)*(1+$BD106)+($BF106*IF($G$1="破竹",$AJ106,$AH106)+IF($G$1="破竹",$AK106*1.5,0))*(1+$BG106)*(1+$BH106))*(1+$AL106)*$BM106*$P106*(1+IF(VLOOKUP($Q106,武学奇术!$A:$ZZ,30,FALSE)="回旋伞",$B$21,0))*(1+$BQ106)</f>
        <v>38076.2716025177</v>
      </c>
      <c r="N106" s="41">
        <f>((($AN106+$AO106)/2*$AH106+$AI106)*(1+$AP106)*(1+$AQ106)+(($AS106+$AT106)/2*IF($G$1="鸣金",$AJ106,$AH106)+IF($G$1="鸣金",$AK106*1.5,0))*(1+$AU106)*(1+$AV106)+(($AW106+$AX106)/2*IF($G$1="裂石",$AJ106,$AH106)+IF($G$1="裂石",$AK106*1.5,0))*(1+$AY106)*(1+$AZ106)+(($BA106+$BB106)/2*IF($G$1="牵丝",$AJ106,$AH106)+IF($G$1="牵丝",$AK106*1.5,0))*(1+$BC106)*(1+$BD106)+(($BE106+$BF106)/2*IF($G$1="破竹",$AJ106,$AH106)+IF($G$1="破竹",$AK106*1.5,0))*(1+$BG106)*(1+$BH106))*(1+$AL106)*$P106*(1+IF(VLOOKUP($Q106,武学奇术!$A:$ZZ,30,FALSE)="回旋伞",$B$21,0))*(1+$BQ106)</f>
        <v>24782.6740341638</v>
      </c>
      <c r="O106" s="41">
        <f>((($AN106*$AH106+$AI106)*(1+$AP106)*(1+$AQ106)+($AS106*IF($G$1="鸣金",$AJ106,$AH106)+IF($G$1="鸣金",$AK106*1.5,0))*(1+$AU106)*(1+$AV106)+($AW106*IF($G$1="裂石",$AJ106,$AH106)+IF($G$1="裂石",$AK106*1.5,0))*(1+$AY106)*(1+$AZ106)+($BA106*IF($G$1="牵丝",$AJ106,$AH106)+IF($G$1="牵丝",$AK106*1.5,0))*(1+$BC106)*(1+$BD106)+($BE106*IF($G$1="破竹",$AJ106,$AH106)+IF($G$1="破竹",$AK106*1.5,0))*(1+$BG106)*(1+$BH106))*(1+$AL106))*$P106*(1+IF(VLOOKUP($Q106,武学奇术!$A:$ZZ,30,FALSE)="回旋伞",$B$21,0))*(1+$BQ106)</f>
        <v>21360.7024368329</v>
      </c>
      <c r="P106" s="42">
        <v>2</v>
      </c>
      <c r="Q106" s="43" t="s">
        <v>120</v>
      </c>
      <c r="R106" s="43" t="s">
        <v>105</v>
      </c>
      <c r="S106" s="43" t="s">
        <v>91</v>
      </c>
      <c r="T106" s="43" t="s">
        <v>72</v>
      </c>
      <c r="U106" s="43" t="s">
        <v>79</v>
      </c>
      <c r="V106" s="43" t="s">
        <v>167</v>
      </c>
      <c r="W106" s="43" t="s">
        <v>95</v>
      </c>
      <c r="X106" s="43" t="s">
        <v>82</v>
      </c>
      <c r="Y106" s="43" t="s">
        <v>71</v>
      </c>
      <c r="Z106" s="43" t="s">
        <v>71</v>
      </c>
      <c r="AA106" s="43" t="s">
        <v>112</v>
      </c>
      <c r="AB106" s="43" t="s">
        <v>71</v>
      </c>
      <c r="AC106" s="43" t="s">
        <v>71</v>
      </c>
      <c r="AD106" s="43" t="s">
        <v>71</v>
      </c>
      <c r="AE106" s="43" t="s">
        <v>71</v>
      </c>
      <c r="AF106" s="43" t="s">
        <v>76</v>
      </c>
      <c r="AG106" t="str">
        <f>VLOOKUP($Q106,武学奇术!$A:$ZZ,25,FALSE)</f>
        <v>伞</v>
      </c>
      <c r="AH106" s="30">
        <f>VLOOKUP($Q106,武学奇术!$A:$ZZ,26,FALSE)</f>
        <v>0.54</v>
      </c>
      <c r="AI106" s="31">
        <f>VLOOKUP($Q106,武学奇术!$A:$ZZ,27,FALSE)*(1+IF(OR($AG106=$F$4,$AG106=$F$5),$B$22,0))</f>
        <v>0</v>
      </c>
      <c r="AJ106" s="30">
        <f>VLOOKUP($Q106,武学奇术!$A:$ZZ,28,FALSE)</f>
        <v>0.81</v>
      </c>
      <c r="AK106" s="31">
        <f>VLOOKUP($Q106,武学奇术!$A:$ZZ,29,FALSE)*(1+IF(OR($AG106=$F$4,$AG106=$F$5),$B$22,0))</f>
        <v>0</v>
      </c>
      <c r="AL106" s="30" cm="1">
        <f t="array" ref="AL106">$G$3+IFERROR(VLOOKUP($AG106,$F$4:$G$7,2,FALSE),0)+VLOOKUP($Q106,武学奇术!$A:$ZZ,2,FALSE)+SUM(_xlfn.XLOOKUP($R106:$AF106,增益!$A:$A,增益!$B:$B,0))</f>
        <v>1.0541</v>
      </c>
      <c r="AM106" s="30" cm="1">
        <f t="array" ref="AM106">VLOOKUP($Q106,武学奇术!$A:$ZZ,5,FALSE)+SUM(_xlfn.XLOOKUP($R106:$AF106,增益!$A:$A,增益!$E:$E,0))</f>
        <v>0</v>
      </c>
      <c r="AN106" cm="1">
        <f t="array" ref="AN106">$D$10*(1+$AM106)+VLOOKUP($Q106,武学奇术!$A:$ZZ,3,FALSE)+SUM(_xlfn.XLOOKUP($R106:$AF106,增益!$A:$A,增益!$C:$C,0))-$I$2</f>
        <v>3545.8</v>
      </c>
      <c r="AO106" cm="1">
        <f t="array" ref="AO106">$E$10*(1+$AM106)+VLOOKUP($Q106,武学奇术!$A:$ZZ,4,FALSE)+SUM(_xlfn.XLOOKUP($R106:$AF106,增益!$A:$A,增益!$D:$D,0))-$I$2</f>
        <v>3545.8</v>
      </c>
      <c r="AP106" s="35" cm="1">
        <f t="array" ref="AP106">IF($F$10-$I$3+VLOOKUP($Q106,武学奇术!$A:$ZZ,6,FALSE)+SUM(_xlfn.XLOOKUP(R106:AF106,增益!$A:$A,增益!$F:$F,0))&gt;0,($F$10-$I$3+VLOOKUP($Q106,武学奇术!$A:$ZZ,6,FALSE)+SUM(_xlfn.XLOOKUP(R106:AF106,增益!$A:$A,增益!$F:$F,0)))/200,($F$10-$I$3+VLOOKUP($Q106,武学奇术!$A:$ZZ,6,FALSE)+SUM(_xlfn.XLOOKUP(R106:AF106,增益!$A:$A,增益!$F:$F,0)))/100)</f>
        <v>0.3425</v>
      </c>
      <c r="AQ106" s="35" cm="1">
        <f t="array" ref="AQ106">$G$10+VLOOKUP($Q106,武学奇术!$A:$ZZ,7,FALSE)+SUM(_xlfn.XLOOKUP(R106:AF106,增益!$A:$A,增益!$G:$G,0))</f>
        <v>0.148</v>
      </c>
      <c r="AR106" s="30" cm="1">
        <f t="array" ref="AR106">VLOOKUP($Q106,武学奇术!$A:$ZZ,8,FALSE)+SUM(_xlfn.XLOOKUP(R106:AF106,增益!$A:$A,增益!$H:$H,0))</f>
        <v>0</v>
      </c>
      <c r="AS106">
        <f>$D$11*(1+$AR106)</f>
        <v>0</v>
      </c>
      <c r="AT106">
        <f>$E$11*(1+$AR106)</f>
        <v>0</v>
      </c>
      <c r="AU106" s="35" cm="1">
        <f t="array" ref="AU106">IF($F$11-$I$4+VLOOKUP($Q106,武学奇术!$A:$ZZ,9,FALSE)+SUM(_xlfn.XLOOKUP(R106:AF106,增益!$A:$A,增益!$I:$I,0))&gt;0,($F$11-$I$4+VLOOKUP($Q106,武学奇术!$A:$ZZ,9,FALSE)+SUM(_xlfn.XLOOKUP(R106:AF106,增益!$A:$A,增益!$I:$I,0)))/200,($F$11-$I$4+VLOOKUP($Q106,武学奇术!$A:$ZZ,9,FALSE)+SUM(_xlfn.XLOOKUP(R106:AF106,增益!$A:$A,增益!$I:$I,0)))/100)</f>
        <v>-0.14</v>
      </c>
      <c r="AV106" s="35" cm="1">
        <f t="array" ref="AV106">$G$11+VLOOKUP($Q106,武学奇术!$A:$ZZ,10,FALSE)+SUM(_xlfn.XLOOKUP(R106:AF106,增益!$A:$A,增益!$J:$J,0))</f>
        <v>0</v>
      </c>
      <c r="AW106">
        <f>$D$12*(1+$AR106)</f>
        <v>0</v>
      </c>
      <c r="AX106">
        <f>$E$12*(1+$AR106)</f>
        <v>0</v>
      </c>
      <c r="AY106" s="35" cm="1">
        <f t="array" ref="AY106">IF($F$12-$I$4+VLOOKUP($Q106,武学奇术!$A:$ZZ,11,FALSE)+SUM(_xlfn.XLOOKUP(R106:AF106,增益!$A:$A,增益!$K:$K,0))&gt;0,($F$12-$I$4+VLOOKUP($Q106,武学奇术!$A:$ZZ,11,FALSE)+SUM(_xlfn.XLOOKUP(R106:AF106,增益!$A:$A,增益!$K:$K,0)))/200,($F$12-$I$4+VLOOKUP($Q106,武学奇术!$A:$ZZ,11,FALSE)+SUM(_xlfn.XLOOKUP(R106:AF106,增益!$A:$A,增益!$K:$K,0)))/100)</f>
        <v>-0.14</v>
      </c>
      <c r="AZ106" s="35" cm="1">
        <f t="array" ref="AZ106">$G$12+VLOOKUP($Q106,武学奇术!$A:$ZZ,12,FALSE)+SUM(_xlfn.XLOOKUP(R106:AF106,增益!$A:$A,增益!$L:$L,0))</f>
        <v>0</v>
      </c>
      <c r="BA106">
        <f>$D$13*(1+$AR106)</f>
        <v>0</v>
      </c>
      <c r="BB106">
        <f>$E$13*(1+$AR106)</f>
        <v>0</v>
      </c>
      <c r="BC106" s="35" cm="1">
        <f t="array" ref="BC106">IF($F$13-$I$4+VLOOKUP($Q106,武学奇术!$A:$ZZ,13,FALSE)+SUM(_xlfn.XLOOKUP(R106:AF106,增益!$A:$A,增益!$M:$M,0))&gt;0,($F$13-$I$4+VLOOKUP($Q106,武学奇术!$A:$ZZ,13,FALSE)+SUM(_xlfn.XLOOKUP(R106:AF106,增益!$A:$A,增益!$K:$K,0)))/200,($F$13-$I$4+VLOOKUP($Q106,武学奇术!$A:$ZZ,13,FALSE)+SUM(_xlfn.XLOOKUP(R106:AF106,增益!$A:$A,增益!$M:$M,0)))/100)</f>
        <v>-0.14</v>
      </c>
      <c r="BD106" s="35" cm="1">
        <f t="array" ref="BD106">$G$13+VLOOKUP($Q106,武学奇术!$A:$ZZ,14,FALSE)+SUM(_xlfn.XLOOKUP(R106:AF106,增益!$A:$A,增益!$N:$N,0))</f>
        <v>0</v>
      </c>
      <c r="BE106">
        <f>$D$14*(1+$AR106)</f>
        <v>538</v>
      </c>
      <c r="BF106">
        <f>$E$14*(1+$AR106)</f>
        <v>1561.4</v>
      </c>
      <c r="BG106" s="35" cm="1">
        <f t="array" ref="BG106">IF($F$14-$I$4+VLOOKUP($Q106,武学奇术!$A:$ZZ,15,FALSE)+SUM(_xlfn.XLOOKUP(R106:AF106,增益!$A:$A,增益!$O:$O,0))&gt;0,($F$14-$I$4+VLOOKUP($Q106,武学奇术!$A:$ZZ,15,FALSE)+SUM(_xlfn.XLOOKUP(R106:AF106,增益!$A:$A,增益!$O:$O,0)))/200,($F$14-$I$4+VLOOKUP($Q106,武学奇术!$A:$ZZ,15,FALSE)+SUM(_xlfn.XLOOKUP(R106:AF106,增益!$A:$A,增益!$O:$O,0)))/100)</f>
        <v>0.08</v>
      </c>
      <c r="BH106" s="35" cm="1">
        <f t="array" ref="BH106">$G$14+VLOOKUP($Q106,武学奇术!$A:$ZZ,16,FALSE)+SUM(_xlfn.XLOOKUP(R106:AF106,增益!$A:$A,增益!$P:$P,0))</f>
        <v>0.27</v>
      </c>
      <c r="BI106" s="30">
        <f>MIN(IF(VLOOKUP($Q106,武学奇术!$A:$ZZ,23,FALSE)=1,100%,$B$8),100%)</f>
        <v>0.9712</v>
      </c>
      <c r="BJ106" s="30" cm="1">
        <f t="array" ref="BJ106">IF(VLOOKUP($Q106,武学奇术!$A:$ZZ,23,FALSE)=1,100%,MIN(80%,$B$9+VLOOKUP($Q106,武学奇术!$A:$ZZ,17,FALSE)+SUM(_xlfn.XLOOKUP(R106:AF106,增益!$A:$A,增益!$Q:$Q,0)))+$B$11+SUM(_xlfn.XLOOKUP(R106:AF106,增益!$A:$A,增益!$U:$U,0)))*IF(VLOOKUP($Q106,武学奇术!$A:$ZZ,24,FALSE)=1,0,1)</f>
        <v>0.8773</v>
      </c>
      <c r="BK106" s="30" cm="1">
        <f t="array" ref="BK106">1+$B$13+VLOOKUP($Q106,武学奇术!$A:$ZZ,18,FALSE)+SUM(_xlfn.XLOOKUP(R106:AF106,增益!$A:$A,增益!$R:$R,0))</f>
        <v>1.87</v>
      </c>
      <c r="BL106" s="30" cm="1">
        <f t="array" ref="BL106">IF(VLOOKUP($Q106,武学奇术!$A:$ZZ,24,FALSE)=1,100%,MIN(40%,$B$10+VLOOKUP($Q106,武学奇术!$A:$ZZ,19,FALSE)+SUM(_xlfn.XLOOKUP(R106:AF106,增益!$A:$A,增益!$S:$S,0)))+$B$12+SUM(_xlfn.XLOOKUP(R106:AF106,增益!$A:$A,增益!$V:$V,0)))*IF(VLOOKUP($Q106,武学奇术!$A:$ZZ,23,FALSE)=1,0,1)</f>
        <v>0.0895</v>
      </c>
      <c r="BM106" s="30" cm="1">
        <f t="array" ref="BM106">1+$B$14+VLOOKUP($Q106,武学奇术!$A:$ZZ,20,FALSE)+SUM(_xlfn.XLOOKUP(R106:AF106,增益!$A:$A,增益!$T:$T,0))</f>
        <v>1.35</v>
      </c>
      <c r="BN106" s="30">
        <f>MIN((1-BL106)*BI106,BI106*BJ106)</f>
        <v>0.85203376</v>
      </c>
      <c r="BO106" s="30">
        <f>1-BL106-BN106-BP106</f>
        <v>0.03224384</v>
      </c>
      <c r="BP106" s="30">
        <f>IF(VLOOKUP($Q106,武学奇术!$A:$ZZ,22,FALSE)=1,0,(1-$BI106))*(1-$BL106)</f>
        <v>0.0262224</v>
      </c>
      <c r="BQ106" s="30" cm="1">
        <f t="array" ref="BQ106">SUM(_xlfn.XLOOKUP(R106:AF106,增益!$A:$A,增益!$W:$W,0))+$I$5</f>
        <v>0.11</v>
      </c>
    </row>
    <row r="107" spans="1:69">
      <c r="K107" s="41">
        <f t="shared" si="50"/>
        <v>101711.805423849</v>
      </c>
      <c r="L107" s="41">
        <f>((($AN107+$AO107)/2*$AH107+$AI107)*(1+$AP107)*(1+$AQ107)+(($AS107+$AT107)/2*IF($G$1="鸣金",$AJ107,$AH107)+IF($G$1="鸣金",$AK107*1.5,0))*(1+$AU107)*(1+$AV107)+(($AW107+$AX107)/2*IF($G$1="裂石",$AJ107,$AH107)+IF($G$1="裂石",$AK107*1.5,0))*(1+$AY107)*(1+$AZ107)+(($BA107+$BB107)/2*IF($G$1="牵丝",$AJ107,$AH107)+IF($G$1="牵丝",$AK107*1.5,0))*(1+$BC107)*(1+$BD107)+(($BE107+$BF107)/2*IF($G$1="破竹",$AJ107,$AH107)+IF($G$1="破竹",$AK107*1.5,0))*(1+$BG107)*(1+$BH107))*(1+$AL107)*$BK107*$P107*(1+IF(VLOOKUP($Q107,武学奇术!$A:$ZZ,30,FALSE)="回旋伞",$B$21,0))*(1+$BQ107)</f>
        <v>101711.805423849</v>
      </c>
      <c r="M107" s="41">
        <f>(($AO107*$AH107+$AI107)*(1+$AP107)*(1+$AQ107)+($AT107*IF($G$1="鸣金",$AJ107,$AH107)+IF($G$1="鸣金",$AK107*1.5,0))*(1+$AU107)*(1+$AV107)+($AX107*IF($G$1="裂石",$AJ107,$AH107)+IF($G$1="裂石",$AK107*1.5,0))*(1+$AY107)*(1+$AZ107)+($BB107*IF($G$1="牵丝",$AJ107,$AH107)+IF($G$1="牵丝",$AK107*1.5,0))*(1+$BC107)*(1+$BD107)+($BF107*IF($G$1="破竹",$AJ107,$AH107)+IF($G$1="破竹",$AK107*1.5,0))*(1+$BG107)*(1+$BH107))*(1+$AL107)*$BM107*$P107*(1+IF(VLOOKUP($Q107,武学奇术!$A:$ZZ,30,FALSE)="回旋伞",$B$21,0))*(1+$BQ107)</f>
        <v>83567.2302412104</v>
      </c>
      <c r="N107" s="41">
        <f>((($AN107+$AO107)/2*$AH107+$AI107)*(1+$AP107)*(1+$AQ107)+(($AS107+$AT107)/2*IF($G$1="鸣金",$AJ107,$AH107)+IF($G$1="鸣金",$AK107*1.5,0))*(1+$AU107)*(1+$AV107)+(($AW107+$AX107)/2*IF($G$1="裂石",$AJ107,$AH107)+IF($G$1="裂石",$AK107*1.5,0))*(1+$AY107)*(1+$AZ107)+(($BA107+$BB107)/2*IF($G$1="牵丝",$AJ107,$AH107)+IF($G$1="牵丝",$AK107*1.5,0))*(1+$BC107)*(1+$BD107)+(($BE107+$BF107)/2*IF($G$1="破竹",$AJ107,$AH107)+IF($G$1="破竹",$AK107*1.5,0))*(1+$BG107)*(1+$BH107))*(1+$AL107)*$P107*(1+IF(VLOOKUP($Q107,武学奇术!$A:$ZZ,30,FALSE)="回旋伞",$B$21,0))*(1+$BQ107)</f>
        <v>54391.3397988496</v>
      </c>
      <c r="O107" s="41">
        <f>((($AN107*$AH107+$AI107)*(1+$AP107)*(1+$AQ107)+($AS107*IF($G$1="鸣金",$AJ107,$AH107)+IF($G$1="鸣金",$AK107*1.5,0))*(1+$AU107)*(1+$AV107)+($AW107*IF($G$1="裂石",$AJ107,$AH107)+IF($G$1="裂石",$AK107*1.5,0))*(1+$AY107)*(1+$AZ107)+($BA107*IF($G$1="牵丝",$AJ107,$AH107)+IF($G$1="牵丝",$AK107*1.5,0))*(1+$BC107)*(1+$BD107)+($BE107*IF($G$1="破竹",$AJ107,$AH107)+IF($G$1="破竹",$AK107*1.5,0))*(1+$BG107)*(1+$BH107))*(1+$AL107))*$P107*(1+IF(VLOOKUP($Q107,武学奇术!$A:$ZZ,30,FALSE)="回旋伞",$B$21,0))*(1+$BQ107)</f>
        <v>46881.027567173</v>
      </c>
      <c r="P107" s="42">
        <v>4</v>
      </c>
      <c r="Q107" s="43" t="s">
        <v>130</v>
      </c>
      <c r="R107" s="43" t="s">
        <v>105</v>
      </c>
      <c r="S107" s="43" t="s">
        <v>91</v>
      </c>
      <c r="T107" s="43" t="s">
        <v>72</v>
      </c>
      <c r="U107" s="43" t="s">
        <v>79</v>
      </c>
      <c r="V107" s="43" t="s">
        <v>167</v>
      </c>
      <c r="W107" s="43" t="s">
        <v>95</v>
      </c>
      <c r="X107" s="43" t="s">
        <v>82</v>
      </c>
      <c r="Y107" s="43" t="s">
        <v>71</v>
      </c>
      <c r="Z107" s="43" t="s">
        <v>71</v>
      </c>
      <c r="AA107" s="43" t="s">
        <v>116</v>
      </c>
      <c r="AB107" s="43" t="s">
        <v>71</v>
      </c>
      <c r="AC107" s="43" t="s">
        <v>71</v>
      </c>
      <c r="AD107" s="43" t="s">
        <v>71</v>
      </c>
      <c r="AE107" s="43" t="s">
        <v>71</v>
      </c>
      <c r="AF107" s="43" t="s">
        <v>76</v>
      </c>
      <c r="AG107" t="str">
        <f>VLOOKUP($Q107,武学奇术!$A:$ZZ,25,FALSE)</f>
        <v>伞</v>
      </c>
      <c r="AH107" s="30">
        <f>VLOOKUP($Q107,武学奇术!$A:$ZZ,26,FALSE)</f>
        <v>0.54</v>
      </c>
      <c r="AI107" s="31">
        <f>VLOOKUP($Q107,武学奇术!$A:$ZZ,27,FALSE)*(1+IF(OR($AG107=$F$4,$AG107=$F$5),$B$22,0))</f>
        <v>0</v>
      </c>
      <c r="AJ107" s="30">
        <f>VLOOKUP($Q107,武学奇术!$A:$ZZ,28,FALSE)</f>
        <v>0.81</v>
      </c>
      <c r="AK107" s="31">
        <f>VLOOKUP($Q107,武学奇术!$A:$ZZ,29,FALSE)*(1+IF(OR($AG107=$F$4,$AG107=$F$5),$B$22,0))</f>
        <v>0</v>
      </c>
      <c r="AL107" s="30" cm="1">
        <f t="array" ref="AL107">$G$3+IFERROR(VLOOKUP($AG107,$F$4:$G$7,2,FALSE),0)+VLOOKUP($Q107,武学奇术!$A:$ZZ,2,FALSE)+SUM(_xlfn.XLOOKUP($R107:$AF107,增益!$A:$A,增益!$B:$B,0))</f>
        <v>1.2541</v>
      </c>
      <c r="AM107" s="30" cm="1">
        <f t="array" ref="AM107">VLOOKUP($Q107,武学奇术!$A:$ZZ,5,FALSE)+SUM(_xlfn.XLOOKUP($R107:$AF107,增益!$A:$A,增益!$E:$E,0))</f>
        <v>0</v>
      </c>
      <c r="AN107" cm="1">
        <f t="array" ref="AN107">$D$10*(1+$AM107)+VLOOKUP($Q107,武学奇术!$A:$ZZ,3,FALSE)+SUM(_xlfn.XLOOKUP($R107:$AF107,增益!$A:$A,增益!$C:$C,0))-$I$2</f>
        <v>3545.8</v>
      </c>
      <c r="AO107" cm="1">
        <f t="array" ref="AO107">$E$10*(1+$AM107)+VLOOKUP($Q107,武学奇术!$A:$ZZ,4,FALSE)+SUM(_xlfn.XLOOKUP($R107:$AF107,增益!$A:$A,增益!$D:$D,0))-$I$2</f>
        <v>3545.8</v>
      </c>
      <c r="AP107" s="35" cm="1">
        <f t="array" ref="AP107">IF($F$10-$I$3+VLOOKUP($Q107,武学奇术!$A:$ZZ,6,FALSE)+SUM(_xlfn.XLOOKUP(R107:AF107,增益!$A:$A,增益!$F:$F,0))&gt;0,($F$10-$I$3+VLOOKUP($Q107,武学奇术!$A:$ZZ,6,FALSE)+SUM(_xlfn.XLOOKUP(R107:AF107,增益!$A:$A,增益!$F:$F,0)))/200,($F$10-$I$3+VLOOKUP($Q107,武学奇术!$A:$ZZ,6,FALSE)+SUM(_xlfn.XLOOKUP(R107:AF107,增益!$A:$A,增益!$F:$F,0)))/100)</f>
        <v>0.3425</v>
      </c>
      <c r="AQ107" s="35" cm="1">
        <f t="array" ref="AQ107">$G$10+VLOOKUP($Q107,武学奇术!$A:$ZZ,7,FALSE)+SUM(_xlfn.XLOOKUP(R107:AF107,增益!$A:$A,增益!$G:$G,0))</f>
        <v>0.148</v>
      </c>
      <c r="AR107" s="30" cm="1">
        <f t="array" ref="AR107">VLOOKUP($Q107,武学奇术!$A:$ZZ,8,FALSE)+SUM(_xlfn.XLOOKUP(R107:AF107,增益!$A:$A,增益!$H:$H,0))</f>
        <v>0</v>
      </c>
      <c r="AS107">
        <f t="shared" ref="AS107:AS119" si="51">$D$11*(1+$AR107)</f>
        <v>0</v>
      </c>
      <c r="AT107">
        <f t="shared" ref="AT107:AT119" si="52">$E$11*(1+$AR107)</f>
        <v>0</v>
      </c>
      <c r="AU107" s="35" cm="1">
        <f t="array" ref="AU107">IF($F$11-$I$4+VLOOKUP($Q107,武学奇术!$A:$ZZ,9,FALSE)+SUM(_xlfn.XLOOKUP(R107:AF107,增益!$A:$A,增益!$I:$I,0))&gt;0,($F$11-$I$4+VLOOKUP($Q107,武学奇术!$A:$ZZ,9,FALSE)+SUM(_xlfn.XLOOKUP(R107:AF107,增益!$A:$A,增益!$I:$I,0)))/200,($F$11-$I$4+VLOOKUP($Q107,武学奇术!$A:$ZZ,9,FALSE)+SUM(_xlfn.XLOOKUP(R107:AF107,增益!$A:$A,增益!$I:$I,0)))/100)</f>
        <v>-0.14</v>
      </c>
      <c r="AV107" s="35" cm="1">
        <f t="array" ref="AV107">$G$11+VLOOKUP($Q107,武学奇术!$A:$ZZ,10,FALSE)+SUM(_xlfn.XLOOKUP(R107:AF107,增益!$A:$A,增益!$J:$J,0))</f>
        <v>0</v>
      </c>
      <c r="AW107">
        <f t="shared" ref="AW107:AW119" si="53">$D$12*(1+$AR107)</f>
        <v>0</v>
      </c>
      <c r="AX107">
        <f t="shared" ref="AX107:AX119" si="54">$E$12*(1+$AR107)</f>
        <v>0</v>
      </c>
      <c r="AY107" s="35" cm="1">
        <f t="array" ref="AY107">IF($F$12-$I$4+VLOOKUP($Q107,武学奇术!$A:$ZZ,11,FALSE)+SUM(_xlfn.XLOOKUP(R107:AF107,增益!$A:$A,增益!$K:$K,0))&gt;0,($F$12-$I$4+VLOOKUP($Q107,武学奇术!$A:$ZZ,11,FALSE)+SUM(_xlfn.XLOOKUP(R107:AF107,增益!$A:$A,增益!$K:$K,0)))/200,($F$12-$I$4+VLOOKUP($Q107,武学奇术!$A:$ZZ,11,FALSE)+SUM(_xlfn.XLOOKUP(R107:AF107,增益!$A:$A,增益!$K:$K,0)))/100)</f>
        <v>-0.14</v>
      </c>
      <c r="AZ107" s="35" cm="1">
        <f t="array" ref="AZ107">$G$12+VLOOKUP($Q107,武学奇术!$A:$ZZ,12,FALSE)+SUM(_xlfn.XLOOKUP(R107:AF107,增益!$A:$A,增益!$L:$L,0))</f>
        <v>0</v>
      </c>
      <c r="BA107">
        <f t="shared" ref="BA107:BA119" si="55">$D$13*(1+$AR107)</f>
        <v>0</v>
      </c>
      <c r="BB107">
        <f t="shared" ref="BB107:BB119" si="56">$E$13*(1+$AR107)</f>
        <v>0</v>
      </c>
      <c r="BC107" s="35" cm="1">
        <f t="array" ref="BC107">IF($F$13-$I$4+VLOOKUP($Q107,武学奇术!$A:$ZZ,13,FALSE)+SUM(_xlfn.XLOOKUP(R107:AF107,增益!$A:$A,增益!$M:$M,0))&gt;0,($F$13-$I$4+VLOOKUP($Q107,武学奇术!$A:$ZZ,13,FALSE)+SUM(_xlfn.XLOOKUP(R107:AF107,增益!$A:$A,增益!$K:$K,0)))/200,($F$13-$I$4+VLOOKUP($Q107,武学奇术!$A:$ZZ,13,FALSE)+SUM(_xlfn.XLOOKUP(R107:AF107,增益!$A:$A,增益!$M:$M,0)))/100)</f>
        <v>-0.14</v>
      </c>
      <c r="BD107" s="35" cm="1">
        <f t="array" ref="BD107">$G$13+VLOOKUP($Q107,武学奇术!$A:$ZZ,14,FALSE)+SUM(_xlfn.XLOOKUP(R107:AF107,增益!$A:$A,增益!$N:$N,0))</f>
        <v>0</v>
      </c>
      <c r="BE107">
        <f t="shared" ref="BE107:BE119" si="57">$D$14*(1+$AR107)</f>
        <v>538</v>
      </c>
      <c r="BF107">
        <f t="shared" ref="BF107:BF119" si="58">$E$14*(1+$AR107)</f>
        <v>1561.4</v>
      </c>
      <c r="BG107" s="35" cm="1">
        <f t="array" ref="BG107">IF($F$14-$I$4+VLOOKUP($Q107,武学奇术!$A:$ZZ,15,FALSE)+SUM(_xlfn.XLOOKUP(R107:AF107,增益!$A:$A,增益!$O:$O,0))&gt;0,($F$14-$I$4+VLOOKUP($Q107,武学奇术!$A:$ZZ,15,FALSE)+SUM(_xlfn.XLOOKUP(R107:AF107,增益!$A:$A,增益!$O:$O,0)))/200,($F$14-$I$4+VLOOKUP($Q107,武学奇术!$A:$ZZ,15,FALSE)+SUM(_xlfn.XLOOKUP(R107:AF107,增益!$A:$A,增益!$O:$O,0)))/100)</f>
        <v>0.08</v>
      </c>
      <c r="BH107" s="35" cm="1">
        <f t="array" ref="BH107">$G$14+VLOOKUP($Q107,武学奇术!$A:$ZZ,16,FALSE)+SUM(_xlfn.XLOOKUP(R107:AF107,增益!$A:$A,增益!$P:$P,0))</f>
        <v>0.27</v>
      </c>
      <c r="BI107" s="30">
        <f>MIN(IF(VLOOKUP($Q107,武学奇术!$A:$ZZ,23,FALSE)=1,100%,$B$8),100%)</f>
        <v>1</v>
      </c>
      <c r="BJ107" s="30" cm="1">
        <f t="array" ref="BJ107">IF(VLOOKUP($Q107,武学奇术!$A:$ZZ,23,FALSE)=1,100%,MIN(80%,$B$9+VLOOKUP($Q107,武学奇术!$A:$ZZ,17,FALSE)+SUM(_xlfn.XLOOKUP(R107:AF107,增益!$A:$A,增益!$Q:$Q,0)))+$B$11+SUM(_xlfn.XLOOKUP(R107:AF107,增益!$A:$A,增益!$U:$U,0)))*IF(VLOOKUP($Q107,武学奇术!$A:$ZZ,24,FALSE)=1,0,1)</f>
        <v>1</v>
      </c>
      <c r="BK107" s="30" cm="1">
        <f t="array" ref="BK107">1+$B$13+VLOOKUP($Q107,武学奇术!$A:$ZZ,18,FALSE)+SUM(_xlfn.XLOOKUP(R107:AF107,增益!$A:$A,增益!$R:$R,0))</f>
        <v>1.87</v>
      </c>
      <c r="BL107" s="30" cm="1">
        <f t="array" ref="BL107">IF(VLOOKUP($Q107,武学奇术!$A:$ZZ,24,FALSE)=1,100%,MIN(40%,$B$10+VLOOKUP($Q107,武学奇术!$A:$ZZ,19,FALSE)+SUM(_xlfn.XLOOKUP(R107:AF107,增益!$A:$A,增益!$S:$S,0)))+$B$12+SUM(_xlfn.XLOOKUP(R107:AF107,增益!$A:$A,增益!$V:$V,0)))*IF(VLOOKUP($Q107,武学奇术!$A:$ZZ,23,FALSE)=1,0,1)</f>
        <v>0</v>
      </c>
      <c r="BM107" s="30" cm="1">
        <f t="array" ref="BM107">1+$B$14+VLOOKUP($Q107,武学奇术!$A:$ZZ,20,FALSE)+SUM(_xlfn.XLOOKUP(R107:AF107,增益!$A:$A,增益!$T:$T,0))</f>
        <v>1.35</v>
      </c>
      <c r="BN107" s="30">
        <f t="shared" ref="BN107:BN119" si="59">MIN((1-BL107)*BI107,BI107*BJ107)</f>
        <v>1</v>
      </c>
      <c r="BO107" s="30">
        <f t="shared" ref="BO107:BO119" si="60">1-BL107-BN107-BP107</f>
        <v>0</v>
      </c>
      <c r="BP107" s="30">
        <f>IF(VLOOKUP($Q107,武学奇术!$A:$ZZ,22,FALSE)=1,0,(1-$BI107))*(1-$BL107)</f>
        <v>0</v>
      </c>
      <c r="BQ107" s="30" cm="1">
        <f t="array" ref="BQ107">SUM(_xlfn.XLOOKUP(R107:AF107,增益!$A:$A,增益!$W:$W,0))+$I$5</f>
        <v>0.11</v>
      </c>
    </row>
    <row r="108" spans="1:69">
      <c r="K108" s="41">
        <f t="shared" si="50"/>
        <v>221266.779532384</v>
      </c>
      <c r="L108" s="41">
        <f>((($AN108+$AO108)/2*$AH108+$AI108)*(1+$AP108)*(1+$AQ108)+(($AS108+$AT108)/2*IF($G$1="鸣金",$AJ108,$AH108)+IF($G$1="鸣金",$AK108*1.5,0))*(1+$AU108)*(1+$AV108)+(($AW108+$AX108)/2*IF($G$1="裂石",$AJ108,$AH108)+IF($G$1="裂石",$AK108*1.5,0))*(1+$AY108)*(1+$AZ108)+(($BA108+$BB108)/2*IF($G$1="牵丝",$AJ108,$AH108)+IF($G$1="牵丝",$AK108*1.5,0))*(1+$BC108)*(1+$BD108)+(($BE108+$BF108)/2*IF($G$1="破竹",$AJ108,$AH108)+IF($G$1="破竹",$AK108*1.5,0))*(1+$BG108)*(1+$BH108))*(1+$AL108)*$BK108*$P108*(1+IF(VLOOKUP($Q108,武学奇术!$A:$ZZ,30,FALSE)="回旋伞",$B$21,0))*(1+$BQ108)</f>
        <v>231718.002219431</v>
      </c>
      <c r="M108" s="41">
        <f>(($AO108*$AH108+$AI108)*(1+$AP108)*(1+$AQ108)+($AT108*IF($G$1="鸣金",$AJ108,$AH108)+IF($G$1="鸣金",$AK108*1.5,0))*(1+$AU108)*(1+$AV108)+($AX108*IF($G$1="裂石",$AJ108,$AH108)+IF($G$1="裂石",$AK108*1.5,0))*(1+$AY108)*(1+$AZ108)+($BB108*IF($G$1="牵丝",$AJ108,$AH108)+IF($G$1="牵丝",$AK108*1.5,0))*(1+$BC108)*(1+$BD108)+($BF108*IF($G$1="破竹",$AJ108,$AH108)+IF($G$1="破竹",$AK108*1.5,0))*(1+$BG108)*(1+$BH108))*(1+$AL108)*$BM108*$P108*(1+IF(VLOOKUP($Q108,武学奇术!$A:$ZZ,30,FALSE)="回旋伞",$B$21,0))*(1+$BQ108)</f>
        <v>190381.358012588</v>
      </c>
      <c r="N108" s="41">
        <f>((($AN108+$AO108)/2*$AH108+$AI108)*(1+$AP108)*(1+$AQ108)+(($AS108+$AT108)/2*IF($G$1="鸣金",$AJ108,$AH108)+IF($G$1="鸣金",$AK108*1.5,0))*(1+$AU108)*(1+$AV108)+(($AW108+$AX108)/2*IF($G$1="裂石",$AJ108,$AH108)+IF($G$1="裂石",$AK108*1.5,0))*(1+$AY108)*(1+$AZ108)+(($BA108+$BB108)/2*IF($G$1="牵丝",$AJ108,$AH108)+IF($G$1="牵丝",$AK108*1.5,0))*(1+$BC108)*(1+$BD108)+(($BE108+$BF108)/2*IF($G$1="破竹",$AJ108,$AH108)+IF($G$1="破竹",$AK108*1.5,0))*(1+$BG108)*(1+$BH108))*(1+$AL108)*$P108*(1+IF(VLOOKUP($Q108,武学奇术!$A:$ZZ,30,FALSE)="回旋伞",$B$21,0))*(1+$BQ108)</f>
        <v>123913.370170819</v>
      </c>
      <c r="O108" s="41">
        <f>((($AN108*$AH108+$AI108)*(1+$AP108)*(1+$AQ108)+($AS108*IF($G$1="鸣金",$AJ108,$AH108)+IF($G$1="鸣金",$AK108*1.5,0))*(1+$AU108)*(1+$AV108)+($AW108*IF($G$1="裂石",$AJ108,$AH108)+IF($G$1="裂石",$AK108*1.5,0))*(1+$AY108)*(1+$AZ108)+($BA108*IF($G$1="牵丝",$AJ108,$AH108)+IF($G$1="牵丝",$AK108*1.5,0))*(1+$BC108)*(1+$BD108)+($BE108*IF($G$1="破竹",$AJ108,$AH108)+IF($G$1="破竹",$AK108*1.5,0))*(1+$BG108)*(1+$BH108))*(1+$AL108))*$P108*(1+IF(VLOOKUP($Q108,武学奇术!$A:$ZZ,30,FALSE)="回旋伞",$B$21,0))*(1+$BQ108)</f>
        <v>106803.512184165</v>
      </c>
      <c r="P108" s="42">
        <v>10</v>
      </c>
      <c r="Q108" s="43" t="s">
        <v>120</v>
      </c>
      <c r="R108" s="43" t="s">
        <v>105</v>
      </c>
      <c r="S108" s="43" t="s">
        <v>91</v>
      </c>
      <c r="T108" s="43" t="s">
        <v>72</v>
      </c>
      <c r="U108" s="43" t="s">
        <v>79</v>
      </c>
      <c r="V108" s="43" t="s">
        <v>167</v>
      </c>
      <c r="W108" s="43" t="s">
        <v>95</v>
      </c>
      <c r="X108" s="43" t="s">
        <v>82</v>
      </c>
      <c r="Y108" s="43" t="s">
        <v>71</v>
      </c>
      <c r="Z108" s="43" t="s">
        <v>71</v>
      </c>
      <c r="AA108" s="43" t="s">
        <v>116</v>
      </c>
      <c r="AB108" s="43" t="s">
        <v>71</v>
      </c>
      <c r="AC108" s="43" t="s">
        <v>71</v>
      </c>
      <c r="AD108" s="43" t="s">
        <v>71</v>
      </c>
      <c r="AE108" s="43" t="s">
        <v>71</v>
      </c>
      <c r="AF108" s="43" t="s">
        <v>76</v>
      </c>
      <c r="AG108" t="str">
        <f>VLOOKUP($Q108,武学奇术!$A:$ZZ,25,FALSE)</f>
        <v>伞</v>
      </c>
      <c r="AH108" s="30">
        <f>VLOOKUP($Q108,武学奇术!$A:$ZZ,26,FALSE)</f>
        <v>0.54</v>
      </c>
      <c r="AI108" s="31">
        <f>VLOOKUP($Q108,武学奇术!$A:$ZZ,27,FALSE)*(1+IF(OR($AG108=$F$4,$AG108=$F$5),$B$22,0))</f>
        <v>0</v>
      </c>
      <c r="AJ108" s="30">
        <f>VLOOKUP($Q108,武学奇术!$A:$ZZ,28,FALSE)</f>
        <v>0.81</v>
      </c>
      <c r="AK108" s="31">
        <f>VLOOKUP($Q108,武学奇术!$A:$ZZ,29,FALSE)*(1+IF(OR($AG108=$F$4,$AG108=$F$5),$B$22,0))</f>
        <v>0</v>
      </c>
      <c r="AL108" s="30" cm="1">
        <f t="array" ref="AL108">$G$3+IFERROR(VLOOKUP($AG108,$F$4:$G$7,2,FALSE),0)+VLOOKUP($Q108,武学奇术!$A:$ZZ,2,FALSE)+SUM(_xlfn.XLOOKUP($R108:$AF108,增益!$A:$A,增益!$B:$B,0))</f>
        <v>1.0541</v>
      </c>
      <c r="AM108" s="30" cm="1">
        <f t="array" ref="AM108">VLOOKUP($Q108,武学奇术!$A:$ZZ,5,FALSE)+SUM(_xlfn.XLOOKUP($R108:$AF108,增益!$A:$A,增益!$E:$E,0))</f>
        <v>0</v>
      </c>
      <c r="AN108" cm="1">
        <f t="array" ref="AN108">$D$10*(1+$AM108)+VLOOKUP($Q108,武学奇术!$A:$ZZ,3,FALSE)+SUM(_xlfn.XLOOKUP($R108:$AF108,增益!$A:$A,增益!$C:$C,0))-$I$2</f>
        <v>3545.8</v>
      </c>
      <c r="AO108" cm="1">
        <f t="array" ref="AO108">$E$10*(1+$AM108)+VLOOKUP($Q108,武学奇术!$A:$ZZ,4,FALSE)+SUM(_xlfn.XLOOKUP($R108:$AF108,增益!$A:$A,增益!$D:$D,0))-$I$2</f>
        <v>3545.8</v>
      </c>
      <c r="AP108" s="35" cm="1">
        <f t="array" ref="AP108">IF($F$10-$I$3+VLOOKUP($Q108,武学奇术!$A:$ZZ,6,FALSE)+SUM(_xlfn.XLOOKUP(R108:AF108,增益!$A:$A,增益!$F:$F,0))&gt;0,($F$10-$I$3+VLOOKUP($Q108,武学奇术!$A:$ZZ,6,FALSE)+SUM(_xlfn.XLOOKUP(R108:AF108,增益!$A:$A,增益!$F:$F,0)))/200,($F$10-$I$3+VLOOKUP($Q108,武学奇术!$A:$ZZ,6,FALSE)+SUM(_xlfn.XLOOKUP(R108:AF108,增益!$A:$A,增益!$F:$F,0)))/100)</f>
        <v>0.3425</v>
      </c>
      <c r="AQ108" s="35" cm="1">
        <f t="array" ref="AQ108">$G$10+VLOOKUP($Q108,武学奇术!$A:$ZZ,7,FALSE)+SUM(_xlfn.XLOOKUP(R108:AF108,增益!$A:$A,增益!$G:$G,0))</f>
        <v>0.148</v>
      </c>
      <c r="AR108" s="30" cm="1">
        <f t="array" ref="AR108">VLOOKUP($Q108,武学奇术!$A:$ZZ,8,FALSE)+SUM(_xlfn.XLOOKUP(R108:AF108,增益!$A:$A,增益!$H:$H,0))</f>
        <v>0</v>
      </c>
      <c r="AS108">
        <f t="shared" si="51"/>
        <v>0</v>
      </c>
      <c r="AT108">
        <f t="shared" si="52"/>
        <v>0</v>
      </c>
      <c r="AU108" s="35" cm="1">
        <f t="array" ref="AU108">IF($F$11-$I$4+VLOOKUP($Q108,武学奇术!$A:$ZZ,9,FALSE)+SUM(_xlfn.XLOOKUP(R108:AF108,增益!$A:$A,增益!$I:$I,0))&gt;0,($F$11-$I$4+VLOOKUP($Q108,武学奇术!$A:$ZZ,9,FALSE)+SUM(_xlfn.XLOOKUP(R108:AF108,增益!$A:$A,增益!$I:$I,0)))/200,($F$11-$I$4+VLOOKUP($Q108,武学奇术!$A:$ZZ,9,FALSE)+SUM(_xlfn.XLOOKUP(R108:AF108,增益!$A:$A,增益!$I:$I,0)))/100)</f>
        <v>-0.14</v>
      </c>
      <c r="AV108" s="35" cm="1">
        <f t="array" ref="AV108">$G$11+VLOOKUP($Q108,武学奇术!$A:$ZZ,10,FALSE)+SUM(_xlfn.XLOOKUP(R108:AF108,增益!$A:$A,增益!$J:$J,0))</f>
        <v>0</v>
      </c>
      <c r="AW108">
        <f t="shared" si="53"/>
        <v>0</v>
      </c>
      <c r="AX108">
        <f t="shared" si="54"/>
        <v>0</v>
      </c>
      <c r="AY108" s="35" cm="1">
        <f t="array" ref="AY108">IF($F$12-$I$4+VLOOKUP($Q108,武学奇术!$A:$ZZ,11,FALSE)+SUM(_xlfn.XLOOKUP(R108:AF108,增益!$A:$A,增益!$K:$K,0))&gt;0,($F$12-$I$4+VLOOKUP($Q108,武学奇术!$A:$ZZ,11,FALSE)+SUM(_xlfn.XLOOKUP(R108:AF108,增益!$A:$A,增益!$K:$K,0)))/200,($F$12-$I$4+VLOOKUP($Q108,武学奇术!$A:$ZZ,11,FALSE)+SUM(_xlfn.XLOOKUP(R108:AF108,增益!$A:$A,增益!$K:$K,0)))/100)</f>
        <v>-0.14</v>
      </c>
      <c r="AZ108" s="35" cm="1">
        <f t="array" ref="AZ108">$G$12+VLOOKUP($Q108,武学奇术!$A:$ZZ,12,FALSE)+SUM(_xlfn.XLOOKUP(R108:AF108,增益!$A:$A,增益!$L:$L,0))</f>
        <v>0</v>
      </c>
      <c r="BA108">
        <f t="shared" si="55"/>
        <v>0</v>
      </c>
      <c r="BB108">
        <f t="shared" si="56"/>
        <v>0</v>
      </c>
      <c r="BC108" s="35" cm="1">
        <f t="array" ref="BC108">IF($F$13-$I$4+VLOOKUP($Q108,武学奇术!$A:$ZZ,13,FALSE)+SUM(_xlfn.XLOOKUP(R108:AF108,增益!$A:$A,增益!$M:$M,0))&gt;0,($F$13-$I$4+VLOOKUP($Q108,武学奇术!$A:$ZZ,13,FALSE)+SUM(_xlfn.XLOOKUP(R108:AF108,增益!$A:$A,增益!$K:$K,0)))/200,($F$13-$I$4+VLOOKUP($Q108,武学奇术!$A:$ZZ,13,FALSE)+SUM(_xlfn.XLOOKUP(R108:AF108,增益!$A:$A,增益!$M:$M,0)))/100)</f>
        <v>-0.14</v>
      </c>
      <c r="BD108" s="35" cm="1">
        <f t="array" ref="BD108">$G$13+VLOOKUP($Q108,武学奇术!$A:$ZZ,14,FALSE)+SUM(_xlfn.XLOOKUP(R108:AF108,增益!$A:$A,增益!$N:$N,0))</f>
        <v>0</v>
      </c>
      <c r="BE108">
        <f t="shared" si="57"/>
        <v>538</v>
      </c>
      <c r="BF108">
        <f t="shared" si="58"/>
        <v>1561.4</v>
      </c>
      <c r="BG108" s="35" cm="1">
        <f t="array" ref="BG108">IF($F$14-$I$4+VLOOKUP($Q108,武学奇术!$A:$ZZ,15,FALSE)+SUM(_xlfn.XLOOKUP(R108:AF108,增益!$A:$A,增益!$O:$O,0))&gt;0,($F$14-$I$4+VLOOKUP($Q108,武学奇术!$A:$ZZ,15,FALSE)+SUM(_xlfn.XLOOKUP(R108:AF108,增益!$A:$A,增益!$O:$O,0)))/200,($F$14-$I$4+VLOOKUP($Q108,武学奇术!$A:$ZZ,15,FALSE)+SUM(_xlfn.XLOOKUP(R108:AF108,增益!$A:$A,增益!$O:$O,0)))/100)</f>
        <v>0.08</v>
      </c>
      <c r="BH108" s="35" cm="1">
        <f t="array" ref="BH108">$G$14+VLOOKUP($Q108,武学奇术!$A:$ZZ,16,FALSE)+SUM(_xlfn.XLOOKUP(R108:AF108,增益!$A:$A,增益!$P:$P,0))</f>
        <v>0.27</v>
      </c>
      <c r="BI108" s="30">
        <f>MIN(IF(VLOOKUP($Q108,武学奇术!$A:$ZZ,23,FALSE)=1,100%,$B$8),100%)</f>
        <v>0.9712</v>
      </c>
      <c r="BJ108" s="30" cm="1">
        <f t="array" ref="BJ108">IF(VLOOKUP($Q108,武学奇术!$A:$ZZ,23,FALSE)=1,100%,MIN(80%,$B$9+VLOOKUP($Q108,武学奇术!$A:$ZZ,17,FALSE)+SUM(_xlfn.XLOOKUP(R108:AF108,增益!$A:$A,增益!$Q:$Q,0)))+$B$11+SUM(_xlfn.XLOOKUP(R108:AF108,增益!$A:$A,增益!$U:$U,0)))*IF(VLOOKUP($Q108,武学奇术!$A:$ZZ,24,FALSE)=1,0,1)</f>
        <v>0.8773</v>
      </c>
      <c r="BK108" s="30" cm="1">
        <f t="array" ref="BK108">1+$B$13+VLOOKUP($Q108,武学奇术!$A:$ZZ,18,FALSE)+SUM(_xlfn.XLOOKUP(R108:AF108,增益!$A:$A,增益!$R:$R,0))</f>
        <v>1.87</v>
      </c>
      <c r="BL108" s="30" cm="1">
        <f t="array" ref="BL108">IF(VLOOKUP($Q108,武学奇术!$A:$ZZ,24,FALSE)=1,100%,MIN(40%,$B$10+VLOOKUP($Q108,武学奇术!$A:$ZZ,19,FALSE)+SUM(_xlfn.XLOOKUP(R108:AF108,增益!$A:$A,增益!$S:$S,0)))+$B$12+SUM(_xlfn.XLOOKUP(R108:AF108,增益!$A:$A,增益!$V:$V,0)))*IF(VLOOKUP($Q108,武学奇术!$A:$ZZ,23,FALSE)=1,0,1)</f>
        <v>0.0895</v>
      </c>
      <c r="BM108" s="30" cm="1">
        <f t="array" ref="BM108">1+$B$14+VLOOKUP($Q108,武学奇术!$A:$ZZ,20,FALSE)+SUM(_xlfn.XLOOKUP(R108:AF108,增益!$A:$A,增益!$T:$T,0))</f>
        <v>1.35</v>
      </c>
      <c r="BN108" s="30">
        <f t="shared" si="59"/>
        <v>0.85203376</v>
      </c>
      <c r="BO108" s="30">
        <f t="shared" si="60"/>
        <v>0.03224384</v>
      </c>
      <c r="BP108" s="30">
        <f>IF(VLOOKUP($Q108,武学奇术!$A:$ZZ,22,FALSE)=1,0,(1-$BI108))*(1-$BL108)</f>
        <v>0.0262224</v>
      </c>
      <c r="BQ108" s="30" cm="1">
        <f t="array" ref="BQ108">SUM(_xlfn.XLOOKUP(R108:AF108,增益!$A:$A,增益!$W:$W,0))+$I$5</f>
        <v>0.11</v>
      </c>
    </row>
    <row r="109" spans="1:69">
      <c r="K109" s="41">
        <f t="shared" si="50"/>
        <v>23171.8002219431</v>
      </c>
      <c r="L109" s="41">
        <f>((($AN109+$AO109)/2*$AH109+$AI109)*(1+$AP109)*(1+$AQ109)+(($AS109+$AT109)/2*IF($G$1="鸣金",$AJ109,$AH109)+IF($G$1="鸣金",$AK109*1.5,0))*(1+$AU109)*(1+$AV109)+(($AW109+$AX109)/2*IF($G$1="裂石",$AJ109,$AH109)+IF($G$1="裂石",$AK109*1.5,0))*(1+$AY109)*(1+$AZ109)+(($BA109+$BB109)/2*IF($G$1="牵丝",$AJ109,$AH109)+IF($G$1="牵丝",$AK109*1.5,0))*(1+$BC109)*(1+$BD109)+(($BE109+$BF109)/2*IF($G$1="破竹",$AJ109,$AH109)+IF($G$1="破竹",$AK109*1.5,0))*(1+$BG109)*(1+$BH109))*(1+$AL109)*$BK109*$P109*(1+IF(VLOOKUP($Q109,武学奇术!$A:$ZZ,30,FALSE)="回旋伞",$B$21,0))*(1+$BQ109)</f>
        <v>23171.8002219431</v>
      </c>
      <c r="M109" s="41">
        <f>(($AO109*$AH109+$AI109)*(1+$AP109)*(1+$AQ109)+($AT109*IF($G$1="鸣金",$AJ109,$AH109)+IF($G$1="鸣金",$AK109*1.5,0))*(1+$AU109)*(1+$AV109)+($AX109*IF($G$1="裂石",$AJ109,$AH109)+IF($G$1="裂石",$AK109*1.5,0))*(1+$AY109)*(1+$AZ109)+($BB109*IF($G$1="牵丝",$AJ109,$AH109)+IF($G$1="牵丝",$AK109*1.5,0))*(1+$BC109)*(1+$BD109)+($BF109*IF($G$1="破竹",$AJ109,$AH109)+IF($G$1="破竹",$AK109*1.5,0))*(1+$BG109)*(1+$BH109))*(1+$AL109)*$BM109*$P109*(1+IF(VLOOKUP($Q109,武学奇术!$A:$ZZ,30,FALSE)="回旋伞",$B$21,0))*(1+$BQ109)</f>
        <v>19038.1358012588</v>
      </c>
      <c r="N109" s="41">
        <f>((($AN109+$AO109)/2*$AH109+$AI109)*(1+$AP109)*(1+$AQ109)+(($AS109+$AT109)/2*IF($G$1="鸣金",$AJ109,$AH109)+IF($G$1="鸣金",$AK109*1.5,0))*(1+$AU109)*(1+$AV109)+(($AW109+$AX109)/2*IF($G$1="裂石",$AJ109,$AH109)+IF($G$1="裂石",$AK109*1.5,0))*(1+$AY109)*(1+$AZ109)+(($BA109+$BB109)/2*IF($G$1="牵丝",$AJ109,$AH109)+IF($G$1="牵丝",$AK109*1.5,0))*(1+$BC109)*(1+$BD109)+(($BE109+$BF109)/2*IF($G$1="破竹",$AJ109,$AH109)+IF($G$1="破竹",$AK109*1.5,0))*(1+$BG109)*(1+$BH109))*(1+$AL109)*$P109*(1+IF(VLOOKUP($Q109,武学奇术!$A:$ZZ,30,FALSE)="回旋伞",$B$21,0))*(1+$BQ109)</f>
        <v>12391.3370170819</v>
      </c>
      <c r="O109" s="41">
        <f>((($AN109*$AH109+$AI109)*(1+$AP109)*(1+$AQ109)+($AS109*IF($G$1="鸣金",$AJ109,$AH109)+IF($G$1="鸣金",$AK109*1.5,0))*(1+$AU109)*(1+$AV109)+($AW109*IF($G$1="裂石",$AJ109,$AH109)+IF($G$1="裂石",$AK109*1.5,0))*(1+$AY109)*(1+$AZ109)+($BA109*IF($G$1="牵丝",$AJ109,$AH109)+IF($G$1="牵丝",$AK109*1.5,0))*(1+$BC109)*(1+$BD109)+($BE109*IF($G$1="破竹",$AJ109,$AH109)+IF($G$1="破竹",$AK109*1.5,0))*(1+$BG109)*(1+$BH109))*(1+$AL109))*$P109*(1+IF(VLOOKUP($Q109,武学奇术!$A:$ZZ,30,FALSE)="回旋伞",$B$21,0))*(1+$BQ109)</f>
        <v>10680.3512184165</v>
      </c>
      <c r="P109" s="42">
        <v>1</v>
      </c>
      <c r="Q109" s="43" t="s">
        <v>130</v>
      </c>
      <c r="R109" s="43" t="s">
        <v>105</v>
      </c>
      <c r="S109" s="43" t="s">
        <v>91</v>
      </c>
      <c r="T109" s="43" t="s">
        <v>72</v>
      </c>
      <c r="U109" s="43" t="s">
        <v>71</v>
      </c>
      <c r="V109" s="43" t="s">
        <v>167</v>
      </c>
      <c r="W109" s="43" t="s">
        <v>95</v>
      </c>
      <c r="X109" s="43" t="s">
        <v>82</v>
      </c>
      <c r="Y109" s="43" t="s">
        <v>71</v>
      </c>
      <c r="Z109" s="43" t="s">
        <v>71</v>
      </c>
      <c r="AA109" s="43" t="s">
        <v>116</v>
      </c>
      <c r="AB109" s="43" t="s">
        <v>71</v>
      </c>
      <c r="AC109" s="43" t="s">
        <v>71</v>
      </c>
      <c r="AD109" s="43" t="s">
        <v>71</v>
      </c>
      <c r="AE109" s="43" t="s">
        <v>71</v>
      </c>
      <c r="AF109" s="43" t="s">
        <v>76</v>
      </c>
      <c r="AG109" t="str">
        <f>VLOOKUP($Q109,武学奇术!$A:$ZZ,25,FALSE)</f>
        <v>伞</v>
      </c>
      <c r="AH109" s="30">
        <f>VLOOKUP($Q109,武学奇术!$A:$ZZ,26,FALSE)</f>
        <v>0.54</v>
      </c>
      <c r="AI109" s="31">
        <f>VLOOKUP($Q109,武学奇术!$A:$ZZ,27,FALSE)*(1+IF(OR($AG109=$F$4,$AG109=$F$5),$B$22,0))</f>
        <v>0</v>
      </c>
      <c r="AJ109" s="30">
        <f>VLOOKUP($Q109,武学奇术!$A:$ZZ,28,FALSE)</f>
        <v>0.81</v>
      </c>
      <c r="AK109" s="31">
        <f>VLOOKUP($Q109,武学奇术!$A:$ZZ,29,FALSE)*(1+IF(OR($AG109=$F$4,$AG109=$F$5),$B$22,0))</f>
        <v>0</v>
      </c>
      <c r="AL109" s="30" cm="1">
        <f t="array" ref="AL109">$G$3+IFERROR(VLOOKUP($AG109,$F$4:$G$7,2,FALSE),0)+VLOOKUP($Q109,武学奇术!$A:$ZZ,2,FALSE)+SUM(_xlfn.XLOOKUP($R109:$AF109,增益!$A:$A,增益!$B:$B,0))</f>
        <v>1.0541</v>
      </c>
      <c r="AM109" s="30" cm="1">
        <f t="array" ref="AM109">VLOOKUP($Q109,武学奇术!$A:$ZZ,5,FALSE)+SUM(_xlfn.XLOOKUP($R109:$AF109,增益!$A:$A,增益!$E:$E,0))</f>
        <v>0</v>
      </c>
      <c r="AN109" cm="1">
        <f t="array" ref="AN109">$D$10*(1+$AM109)+VLOOKUP($Q109,武学奇术!$A:$ZZ,3,FALSE)+SUM(_xlfn.XLOOKUP($R109:$AF109,增益!$A:$A,增益!$C:$C,0))-$I$2</f>
        <v>3545.8</v>
      </c>
      <c r="AO109" cm="1">
        <f t="array" ref="AO109">$E$10*(1+$AM109)+VLOOKUP($Q109,武学奇术!$A:$ZZ,4,FALSE)+SUM(_xlfn.XLOOKUP($R109:$AF109,增益!$A:$A,增益!$D:$D,0))-$I$2</f>
        <v>3545.8</v>
      </c>
      <c r="AP109" s="35" cm="1">
        <f t="array" ref="AP109">IF($F$10-$I$3+VLOOKUP($Q109,武学奇术!$A:$ZZ,6,FALSE)+SUM(_xlfn.XLOOKUP(R109:AF109,增益!$A:$A,增益!$F:$F,0))&gt;0,($F$10-$I$3+VLOOKUP($Q109,武学奇术!$A:$ZZ,6,FALSE)+SUM(_xlfn.XLOOKUP(R109:AF109,增益!$A:$A,增益!$F:$F,0)))/200,($F$10-$I$3+VLOOKUP($Q109,武学奇术!$A:$ZZ,6,FALSE)+SUM(_xlfn.XLOOKUP(R109:AF109,增益!$A:$A,增益!$F:$F,0)))/100)</f>
        <v>0.3425</v>
      </c>
      <c r="AQ109" s="35" cm="1">
        <f t="array" ref="AQ109">$G$10+VLOOKUP($Q109,武学奇术!$A:$ZZ,7,FALSE)+SUM(_xlfn.XLOOKUP(R109:AF109,增益!$A:$A,增益!$G:$G,0))</f>
        <v>0.148</v>
      </c>
      <c r="AR109" s="30" cm="1">
        <f t="array" ref="AR109">VLOOKUP($Q109,武学奇术!$A:$ZZ,8,FALSE)+SUM(_xlfn.XLOOKUP(R109:AF109,增益!$A:$A,增益!$H:$H,0))</f>
        <v>0</v>
      </c>
      <c r="AS109">
        <f t="shared" si="51"/>
        <v>0</v>
      </c>
      <c r="AT109">
        <f t="shared" si="52"/>
        <v>0</v>
      </c>
      <c r="AU109" s="35" cm="1">
        <f t="array" ref="AU109">IF($F$11-$I$4+VLOOKUP($Q109,武学奇术!$A:$ZZ,9,FALSE)+SUM(_xlfn.XLOOKUP(R109:AF109,增益!$A:$A,增益!$I:$I,0))&gt;0,($F$11-$I$4+VLOOKUP($Q109,武学奇术!$A:$ZZ,9,FALSE)+SUM(_xlfn.XLOOKUP(R109:AF109,增益!$A:$A,增益!$I:$I,0)))/200,($F$11-$I$4+VLOOKUP($Q109,武学奇术!$A:$ZZ,9,FALSE)+SUM(_xlfn.XLOOKUP(R109:AF109,增益!$A:$A,增益!$I:$I,0)))/100)</f>
        <v>-0.14</v>
      </c>
      <c r="AV109" s="35" cm="1">
        <f t="array" ref="AV109">$G$11+VLOOKUP($Q109,武学奇术!$A:$ZZ,10,FALSE)+SUM(_xlfn.XLOOKUP(R109:AF109,增益!$A:$A,增益!$J:$J,0))</f>
        <v>0</v>
      </c>
      <c r="AW109">
        <f t="shared" si="53"/>
        <v>0</v>
      </c>
      <c r="AX109">
        <f t="shared" si="54"/>
        <v>0</v>
      </c>
      <c r="AY109" s="35" cm="1">
        <f t="array" ref="AY109">IF($F$12-$I$4+VLOOKUP($Q109,武学奇术!$A:$ZZ,11,FALSE)+SUM(_xlfn.XLOOKUP(R109:AF109,增益!$A:$A,增益!$K:$K,0))&gt;0,($F$12-$I$4+VLOOKUP($Q109,武学奇术!$A:$ZZ,11,FALSE)+SUM(_xlfn.XLOOKUP(R109:AF109,增益!$A:$A,增益!$K:$K,0)))/200,($F$12-$I$4+VLOOKUP($Q109,武学奇术!$A:$ZZ,11,FALSE)+SUM(_xlfn.XLOOKUP(R109:AF109,增益!$A:$A,增益!$K:$K,0)))/100)</f>
        <v>-0.14</v>
      </c>
      <c r="AZ109" s="35" cm="1">
        <f t="array" ref="AZ109">$G$12+VLOOKUP($Q109,武学奇术!$A:$ZZ,12,FALSE)+SUM(_xlfn.XLOOKUP(R109:AF109,增益!$A:$A,增益!$L:$L,0))</f>
        <v>0</v>
      </c>
      <c r="BA109">
        <f t="shared" si="55"/>
        <v>0</v>
      </c>
      <c r="BB109">
        <f t="shared" si="56"/>
        <v>0</v>
      </c>
      <c r="BC109" s="35" cm="1">
        <f t="array" ref="BC109">IF($F$13-$I$4+VLOOKUP($Q109,武学奇术!$A:$ZZ,13,FALSE)+SUM(_xlfn.XLOOKUP(R109:AF109,增益!$A:$A,增益!$M:$M,0))&gt;0,($F$13-$I$4+VLOOKUP($Q109,武学奇术!$A:$ZZ,13,FALSE)+SUM(_xlfn.XLOOKUP(R109:AF109,增益!$A:$A,增益!$K:$K,0)))/200,($F$13-$I$4+VLOOKUP($Q109,武学奇术!$A:$ZZ,13,FALSE)+SUM(_xlfn.XLOOKUP(R109:AF109,增益!$A:$A,增益!$M:$M,0)))/100)</f>
        <v>-0.14</v>
      </c>
      <c r="BD109" s="35" cm="1">
        <f t="array" ref="BD109">$G$13+VLOOKUP($Q109,武学奇术!$A:$ZZ,14,FALSE)+SUM(_xlfn.XLOOKUP(R109:AF109,增益!$A:$A,增益!$N:$N,0))</f>
        <v>0</v>
      </c>
      <c r="BE109">
        <f t="shared" si="57"/>
        <v>538</v>
      </c>
      <c r="BF109">
        <f t="shared" si="58"/>
        <v>1561.4</v>
      </c>
      <c r="BG109" s="35" cm="1">
        <f t="array" ref="BG109">IF($F$14-$I$4+VLOOKUP($Q109,武学奇术!$A:$ZZ,15,FALSE)+SUM(_xlfn.XLOOKUP(R109:AF109,增益!$A:$A,增益!$O:$O,0))&gt;0,($F$14-$I$4+VLOOKUP($Q109,武学奇术!$A:$ZZ,15,FALSE)+SUM(_xlfn.XLOOKUP(R109:AF109,增益!$A:$A,增益!$O:$O,0)))/200,($F$14-$I$4+VLOOKUP($Q109,武学奇术!$A:$ZZ,15,FALSE)+SUM(_xlfn.XLOOKUP(R109:AF109,增益!$A:$A,增益!$O:$O,0)))/100)</f>
        <v>0.08</v>
      </c>
      <c r="BH109" s="35" cm="1">
        <f t="array" ref="BH109">$G$14+VLOOKUP($Q109,武学奇术!$A:$ZZ,16,FALSE)+SUM(_xlfn.XLOOKUP(R109:AF109,增益!$A:$A,增益!$P:$P,0))</f>
        <v>0.27</v>
      </c>
      <c r="BI109" s="30">
        <f>MIN(IF(VLOOKUP($Q109,武学奇术!$A:$ZZ,23,FALSE)=1,100%,$B$8),100%)</f>
        <v>1</v>
      </c>
      <c r="BJ109" s="30" cm="1">
        <f t="array" ref="BJ109">IF(VLOOKUP($Q109,武学奇术!$A:$ZZ,23,FALSE)=1,100%,MIN(80%,$B$9+VLOOKUP($Q109,武学奇术!$A:$ZZ,17,FALSE)+SUM(_xlfn.XLOOKUP(R109:AF109,增益!$A:$A,增益!$Q:$Q,0)))+$B$11+SUM(_xlfn.XLOOKUP(R109:AF109,增益!$A:$A,增益!$U:$U,0)))*IF(VLOOKUP($Q109,武学奇术!$A:$ZZ,24,FALSE)=1,0,1)</f>
        <v>1</v>
      </c>
      <c r="BK109" s="30" cm="1">
        <f t="array" ref="BK109">1+$B$13+VLOOKUP($Q109,武学奇术!$A:$ZZ,18,FALSE)+SUM(_xlfn.XLOOKUP(R109:AF109,增益!$A:$A,增益!$R:$R,0))</f>
        <v>1.87</v>
      </c>
      <c r="BL109" s="30" cm="1">
        <f t="array" ref="BL109">IF(VLOOKUP($Q109,武学奇术!$A:$ZZ,24,FALSE)=1,100%,MIN(40%,$B$10+VLOOKUP($Q109,武学奇术!$A:$ZZ,19,FALSE)+SUM(_xlfn.XLOOKUP(R109:AF109,增益!$A:$A,增益!$S:$S,0)))+$B$12+SUM(_xlfn.XLOOKUP(R109:AF109,增益!$A:$A,增益!$V:$V,0)))*IF(VLOOKUP($Q109,武学奇术!$A:$ZZ,23,FALSE)=1,0,1)</f>
        <v>0</v>
      </c>
      <c r="BM109" s="30" cm="1">
        <f t="array" ref="BM109">1+$B$14+VLOOKUP($Q109,武学奇术!$A:$ZZ,20,FALSE)+SUM(_xlfn.XLOOKUP(R109:AF109,增益!$A:$A,增益!$T:$T,0))</f>
        <v>1.35</v>
      </c>
      <c r="BN109" s="30">
        <f t="shared" si="59"/>
        <v>1</v>
      </c>
      <c r="BO109" s="30">
        <f t="shared" si="60"/>
        <v>0</v>
      </c>
      <c r="BP109" s="30">
        <f>IF(VLOOKUP($Q109,武学奇术!$A:$ZZ,22,FALSE)=1,0,(1-$BI109))*(1-$BL109)</f>
        <v>0</v>
      </c>
      <c r="BQ109" s="30" cm="1">
        <f t="array" ref="BQ109">SUM(_xlfn.XLOOKUP(R109:AF109,增益!$A:$A,增益!$W:$W,0))+$I$5</f>
        <v>0.11</v>
      </c>
    </row>
    <row r="110" spans="1:69">
      <c r="K110" s="41">
        <f t="shared" si="50"/>
        <v>79889.145792511</v>
      </c>
      <c r="L110" s="41">
        <f>((($AN110+$AO110)/2*$AH110+$AI110)*(1+$AP110)*(1+$AQ110)+(($AS110+$AT110)/2*IF($G$1="鸣金",$AJ110,$AH110)+IF($G$1="鸣金",$AK110*1.5,0))*(1+$AU110)*(1+$AV110)+(($AW110+$AX110)/2*IF($G$1="裂石",$AJ110,$AH110)+IF($G$1="裂石",$AK110*1.5,0))*(1+$AY110)*(1+$AZ110)+(($BA110+$BB110)/2*IF($G$1="牵丝",$AJ110,$AH110)+IF($G$1="牵丝",$AK110*1.5,0))*(1+$BC110)*(1+$BD110)+(($BE110+$BF110)/2*IF($G$1="破竹",$AJ110,$AH110)+IF($G$1="破竹",$AK110*1.5,0))*(1+$BG110)*(1+$BH110))*(1+$AL110)*$BK110*$P110*(1+IF(VLOOKUP($Q110,武学奇术!$A:$ZZ,30,FALSE)="回旋伞",$B$21,0))*(1+$BQ110)</f>
        <v>83662.596351696</v>
      </c>
      <c r="M110" s="41">
        <f>(($AO110*$AH110+$AI110)*(1+$AP110)*(1+$AQ110)+($AT110*IF($G$1="鸣金",$AJ110,$AH110)+IF($G$1="鸣金",$AK110*1.5,0))*(1+$AU110)*(1+$AV110)+($AX110*IF($G$1="裂石",$AJ110,$AH110)+IF($G$1="裂石",$AK110*1.5,0))*(1+$AY110)*(1+$AZ110)+($BB110*IF($G$1="牵丝",$AJ110,$AH110)+IF($G$1="牵丝",$AK110*1.5,0))*(1+$BC110)*(1+$BD110)+($BF110*IF($G$1="破竹",$AJ110,$AH110)+IF($G$1="破竹",$AK110*1.5,0))*(1+$BG110)*(1+$BH110))*(1+$AL110)*$BM110*$P110*(1+IF(VLOOKUP($Q110,武学奇术!$A:$ZZ,30,FALSE)="回旋伞",$B$21,0))*(1+$BQ110)</f>
        <v>68737.8561688604</v>
      </c>
      <c r="N110" s="41">
        <f>((($AN110+$AO110)/2*$AH110+$AI110)*(1+$AP110)*(1+$AQ110)+(($AS110+$AT110)/2*IF($G$1="鸣金",$AJ110,$AH110)+IF($G$1="鸣金",$AK110*1.5,0))*(1+$AU110)*(1+$AV110)+(($AW110+$AX110)/2*IF($G$1="裂石",$AJ110,$AH110)+IF($G$1="裂石",$AK110*1.5,0))*(1+$AY110)*(1+$AZ110)+(($BA110+$BB110)/2*IF($G$1="牵丝",$AJ110,$AH110)+IF($G$1="牵丝",$AK110*1.5,0))*(1+$BC110)*(1+$BD110)+(($BE110+$BF110)/2*IF($G$1="破竹",$AJ110,$AH110)+IF($G$1="破竹",$AK110*1.5,0))*(1+$BG110)*(1+$BH110))*(1+$AL110)*$P110*(1+IF(VLOOKUP($Q110,武学奇术!$A:$ZZ,30,FALSE)="回旋伞",$B$21,0))*(1+$BQ110)</f>
        <v>44739.3563378054</v>
      </c>
      <c r="O110" s="41">
        <f>((($AN110*$AH110+$AI110)*(1+$AP110)*(1+$AQ110)+($AS110*IF($G$1="鸣金",$AJ110,$AH110)+IF($G$1="鸣金",$AK110*1.5,0))*(1+$AU110)*(1+$AV110)+($AW110*IF($G$1="裂石",$AJ110,$AH110)+IF($G$1="裂石",$AK110*1.5,0))*(1+$AY110)*(1+$AZ110)+($BA110*IF($G$1="牵丝",$AJ110,$AH110)+IF($G$1="牵丝",$AK110*1.5,0))*(1+$BC110)*(1+$BD110)+($BE110*IF($G$1="破竹",$AJ110,$AH110)+IF($G$1="破竹",$AK110*1.5,0))*(1+$BG110)*(1+$BH110))*(1+$AL110))*$P110*(1+IF(VLOOKUP($Q110,武学奇术!$A:$ZZ,30,FALSE)="回旋伞",$B$21,0))*(1+$BQ110)</f>
        <v>38561.7821801586</v>
      </c>
      <c r="P110" s="42">
        <v>4</v>
      </c>
      <c r="Q110" s="43" t="s">
        <v>120</v>
      </c>
      <c r="R110" s="43" t="s">
        <v>105</v>
      </c>
      <c r="S110" s="43" t="s">
        <v>91</v>
      </c>
      <c r="T110" s="43" t="s">
        <v>72</v>
      </c>
      <c r="U110" s="43" t="s">
        <v>71</v>
      </c>
      <c r="V110" s="43" t="s">
        <v>167</v>
      </c>
      <c r="W110" s="43" t="s">
        <v>95</v>
      </c>
      <c r="X110" s="43" t="s">
        <v>82</v>
      </c>
      <c r="Y110" s="43" t="s">
        <v>71</v>
      </c>
      <c r="Z110" s="43" t="s">
        <v>71</v>
      </c>
      <c r="AA110" s="43" t="s">
        <v>116</v>
      </c>
      <c r="AB110" s="43" t="s">
        <v>71</v>
      </c>
      <c r="AC110" s="43" t="s">
        <v>71</v>
      </c>
      <c r="AD110" s="43" t="s">
        <v>71</v>
      </c>
      <c r="AE110" s="43" t="s">
        <v>71</v>
      </c>
      <c r="AF110" s="43" t="s">
        <v>76</v>
      </c>
      <c r="AG110" t="str">
        <f>VLOOKUP($Q110,武学奇术!$A:$ZZ,25,FALSE)</f>
        <v>伞</v>
      </c>
      <c r="AH110" s="30">
        <f>VLOOKUP($Q110,武学奇术!$A:$ZZ,26,FALSE)</f>
        <v>0.54</v>
      </c>
      <c r="AI110" s="31">
        <f>VLOOKUP($Q110,武学奇术!$A:$ZZ,27,FALSE)*(1+IF(OR($AG110=$F$4,$AG110=$F$5),$B$22,0))</f>
        <v>0</v>
      </c>
      <c r="AJ110" s="30">
        <f>VLOOKUP($Q110,武学奇术!$A:$ZZ,28,FALSE)</f>
        <v>0.81</v>
      </c>
      <c r="AK110" s="31">
        <f>VLOOKUP($Q110,武学奇术!$A:$ZZ,29,FALSE)*(1+IF(OR($AG110=$F$4,$AG110=$F$5),$B$22,0))</f>
        <v>0</v>
      </c>
      <c r="AL110" s="30" cm="1">
        <f t="array" ref="AL110">$G$3+IFERROR(VLOOKUP($AG110,$F$4:$G$7,2,FALSE),0)+VLOOKUP($Q110,武学奇术!$A:$ZZ,2,FALSE)+SUM(_xlfn.XLOOKUP($R110:$AF110,增益!$A:$A,增益!$B:$B,0))</f>
        <v>0.8541</v>
      </c>
      <c r="AM110" s="30" cm="1">
        <f t="array" ref="AM110">VLOOKUP($Q110,武学奇术!$A:$ZZ,5,FALSE)+SUM(_xlfn.XLOOKUP($R110:$AF110,增益!$A:$A,增益!$E:$E,0))</f>
        <v>0</v>
      </c>
      <c r="AN110" cm="1">
        <f t="array" ref="AN110">$D$10*(1+$AM110)+VLOOKUP($Q110,武学奇术!$A:$ZZ,3,FALSE)+SUM(_xlfn.XLOOKUP($R110:$AF110,增益!$A:$A,增益!$C:$C,0))-$I$2</f>
        <v>3545.8</v>
      </c>
      <c r="AO110" cm="1">
        <f t="array" ref="AO110">$E$10*(1+$AM110)+VLOOKUP($Q110,武学奇术!$A:$ZZ,4,FALSE)+SUM(_xlfn.XLOOKUP($R110:$AF110,增益!$A:$A,增益!$D:$D,0))-$I$2</f>
        <v>3545.8</v>
      </c>
      <c r="AP110" s="35" cm="1">
        <f t="array" ref="AP110">IF($F$10-$I$3+VLOOKUP($Q110,武学奇术!$A:$ZZ,6,FALSE)+SUM(_xlfn.XLOOKUP(R110:AF110,增益!$A:$A,增益!$F:$F,0))&gt;0,($F$10-$I$3+VLOOKUP($Q110,武学奇术!$A:$ZZ,6,FALSE)+SUM(_xlfn.XLOOKUP(R110:AF110,增益!$A:$A,增益!$F:$F,0)))/200,($F$10-$I$3+VLOOKUP($Q110,武学奇术!$A:$ZZ,6,FALSE)+SUM(_xlfn.XLOOKUP(R110:AF110,增益!$A:$A,增益!$F:$F,0)))/100)</f>
        <v>0.3425</v>
      </c>
      <c r="AQ110" s="35" cm="1">
        <f t="array" ref="AQ110">$G$10+VLOOKUP($Q110,武学奇术!$A:$ZZ,7,FALSE)+SUM(_xlfn.XLOOKUP(R110:AF110,增益!$A:$A,增益!$G:$G,0))</f>
        <v>0.148</v>
      </c>
      <c r="AR110" s="30" cm="1">
        <f t="array" ref="AR110">VLOOKUP($Q110,武学奇术!$A:$ZZ,8,FALSE)+SUM(_xlfn.XLOOKUP(R110:AF110,增益!$A:$A,增益!$H:$H,0))</f>
        <v>0</v>
      </c>
      <c r="AS110">
        <f t="shared" si="51"/>
        <v>0</v>
      </c>
      <c r="AT110">
        <f t="shared" si="52"/>
        <v>0</v>
      </c>
      <c r="AU110" s="35" cm="1">
        <f t="array" ref="AU110">IF($F$11-$I$4+VLOOKUP($Q110,武学奇术!$A:$ZZ,9,FALSE)+SUM(_xlfn.XLOOKUP(R110:AF110,增益!$A:$A,增益!$I:$I,0))&gt;0,($F$11-$I$4+VLOOKUP($Q110,武学奇术!$A:$ZZ,9,FALSE)+SUM(_xlfn.XLOOKUP(R110:AF110,增益!$A:$A,增益!$I:$I,0)))/200,($F$11-$I$4+VLOOKUP($Q110,武学奇术!$A:$ZZ,9,FALSE)+SUM(_xlfn.XLOOKUP(R110:AF110,增益!$A:$A,增益!$I:$I,0)))/100)</f>
        <v>-0.14</v>
      </c>
      <c r="AV110" s="35" cm="1">
        <f t="array" ref="AV110">$G$11+VLOOKUP($Q110,武学奇术!$A:$ZZ,10,FALSE)+SUM(_xlfn.XLOOKUP(R110:AF110,增益!$A:$A,增益!$J:$J,0))</f>
        <v>0</v>
      </c>
      <c r="AW110">
        <f t="shared" si="53"/>
        <v>0</v>
      </c>
      <c r="AX110">
        <f t="shared" si="54"/>
        <v>0</v>
      </c>
      <c r="AY110" s="35" cm="1">
        <f t="array" ref="AY110">IF($F$12-$I$4+VLOOKUP($Q110,武学奇术!$A:$ZZ,11,FALSE)+SUM(_xlfn.XLOOKUP(R110:AF110,增益!$A:$A,增益!$K:$K,0))&gt;0,($F$12-$I$4+VLOOKUP($Q110,武学奇术!$A:$ZZ,11,FALSE)+SUM(_xlfn.XLOOKUP(R110:AF110,增益!$A:$A,增益!$K:$K,0)))/200,($F$12-$I$4+VLOOKUP($Q110,武学奇术!$A:$ZZ,11,FALSE)+SUM(_xlfn.XLOOKUP(R110:AF110,增益!$A:$A,增益!$K:$K,0)))/100)</f>
        <v>-0.14</v>
      </c>
      <c r="AZ110" s="35" cm="1">
        <f t="array" ref="AZ110">$G$12+VLOOKUP($Q110,武学奇术!$A:$ZZ,12,FALSE)+SUM(_xlfn.XLOOKUP(R110:AF110,增益!$A:$A,增益!$L:$L,0))</f>
        <v>0</v>
      </c>
      <c r="BA110">
        <f t="shared" si="55"/>
        <v>0</v>
      </c>
      <c r="BB110">
        <f t="shared" si="56"/>
        <v>0</v>
      </c>
      <c r="BC110" s="35" cm="1">
        <f t="array" ref="BC110">IF($F$13-$I$4+VLOOKUP($Q110,武学奇术!$A:$ZZ,13,FALSE)+SUM(_xlfn.XLOOKUP(R110:AF110,增益!$A:$A,增益!$M:$M,0))&gt;0,($F$13-$I$4+VLOOKUP($Q110,武学奇术!$A:$ZZ,13,FALSE)+SUM(_xlfn.XLOOKUP(R110:AF110,增益!$A:$A,增益!$K:$K,0)))/200,($F$13-$I$4+VLOOKUP($Q110,武学奇术!$A:$ZZ,13,FALSE)+SUM(_xlfn.XLOOKUP(R110:AF110,增益!$A:$A,增益!$M:$M,0)))/100)</f>
        <v>-0.14</v>
      </c>
      <c r="BD110" s="35" cm="1">
        <f t="array" ref="BD110">$G$13+VLOOKUP($Q110,武学奇术!$A:$ZZ,14,FALSE)+SUM(_xlfn.XLOOKUP(R110:AF110,增益!$A:$A,增益!$N:$N,0))</f>
        <v>0</v>
      </c>
      <c r="BE110">
        <f t="shared" si="57"/>
        <v>538</v>
      </c>
      <c r="BF110">
        <f t="shared" si="58"/>
        <v>1561.4</v>
      </c>
      <c r="BG110" s="35" cm="1">
        <f t="array" ref="BG110">IF($F$14-$I$4+VLOOKUP($Q110,武学奇术!$A:$ZZ,15,FALSE)+SUM(_xlfn.XLOOKUP(R110:AF110,增益!$A:$A,增益!$O:$O,0))&gt;0,($F$14-$I$4+VLOOKUP($Q110,武学奇术!$A:$ZZ,15,FALSE)+SUM(_xlfn.XLOOKUP(R110:AF110,增益!$A:$A,增益!$O:$O,0)))/200,($F$14-$I$4+VLOOKUP($Q110,武学奇术!$A:$ZZ,15,FALSE)+SUM(_xlfn.XLOOKUP(R110:AF110,增益!$A:$A,增益!$O:$O,0)))/100)</f>
        <v>0.08</v>
      </c>
      <c r="BH110" s="35" cm="1">
        <f t="array" ref="BH110">$G$14+VLOOKUP($Q110,武学奇术!$A:$ZZ,16,FALSE)+SUM(_xlfn.XLOOKUP(R110:AF110,增益!$A:$A,增益!$P:$P,0))</f>
        <v>0.27</v>
      </c>
      <c r="BI110" s="30">
        <f>MIN(IF(VLOOKUP($Q110,武学奇术!$A:$ZZ,23,FALSE)=1,100%,$B$8),100%)</f>
        <v>0.9712</v>
      </c>
      <c r="BJ110" s="30" cm="1">
        <f t="array" ref="BJ110">IF(VLOOKUP($Q110,武学奇术!$A:$ZZ,23,FALSE)=1,100%,MIN(80%,$B$9+VLOOKUP($Q110,武学奇术!$A:$ZZ,17,FALSE)+SUM(_xlfn.XLOOKUP(R110:AF110,增益!$A:$A,增益!$Q:$Q,0)))+$B$11+SUM(_xlfn.XLOOKUP(R110:AF110,增益!$A:$A,增益!$U:$U,0)))*IF(VLOOKUP($Q110,武学奇术!$A:$ZZ,24,FALSE)=1,0,1)</f>
        <v>0.8773</v>
      </c>
      <c r="BK110" s="30" cm="1">
        <f t="array" ref="BK110">1+$B$13+VLOOKUP($Q110,武学奇术!$A:$ZZ,18,FALSE)+SUM(_xlfn.XLOOKUP(R110:AF110,增益!$A:$A,增益!$R:$R,0))</f>
        <v>1.87</v>
      </c>
      <c r="BL110" s="30" cm="1">
        <f t="array" ref="BL110">IF(VLOOKUP($Q110,武学奇术!$A:$ZZ,24,FALSE)=1,100%,MIN(40%,$B$10+VLOOKUP($Q110,武学奇术!$A:$ZZ,19,FALSE)+SUM(_xlfn.XLOOKUP(R110:AF110,增益!$A:$A,增益!$S:$S,0)))+$B$12+SUM(_xlfn.XLOOKUP(R110:AF110,增益!$A:$A,增益!$V:$V,0)))*IF(VLOOKUP($Q110,武学奇术!$A:$ZZ,23,FALSE)=1,0,1)</f>
        <v>0.0895</v>
      </c>
      <c r="BM110" s="30" cm="1">
        <f t="array" ref="BM110">1+$B$14+VLOOKUP($Q110,武学奇术!$A:$ZZ,20,FALSE)+SUM(_xlfn.XLOOKUP(R110:AF110,增益!$A:$A,增益!$T:$T,0))</f>
        <v>1.35</v>
      </c>
      <c r="BN110" s="30">
        <f t="shared" si="59"/>
        <v>0.85203376</v>
      </c>
      <c r="BO110" s="30">
        <f t="shared" si="60"/>
        <v>0.03224384</v>
      </c>
      <c r="BP110" s="30">
        <f>IF(VLOOKUP($Q110,武学奇术!$A:$ZZ,22,FALSE)=1,0,(1-$BI110))*(1-$BL110)</f>
        <v>0.0262224</v>
      </c>
      <c r="BQ110" s="30" cm="1">
        <f t="array" ref="BQ110">SUM(_xlfn.XLOOKUP(R110:AF110,增益!$A:$A,增益!$W:$W,0))+$I$5</f>
        <v>0.11</v>
      </c>
    </row>
    <row r="111" spans="1:69">
      <c r="K111" s="41">
        <f t="shared" si="50"/>
        <v>56371.0994194208</v>
      </c>
      <c r="L111" s="41">
        <f>((($AN111+$AO111)/2*$AH111+$AI111)*(1+$AP111)*(1+$AQ111)+(($AS111+$AT111)/2*IF($G$1="鸣金",$AJ111,$AH111)+IF($G$1="鸣金",$AK111*1.5,0))*(1+$AU111)*(1+$AV111)+(($AW111+$AX111)/2*IF($G$1="裂石",$AJ111,$AH111)+IF($G$1="裂石",$AK111*1.5,0))*(1+$AY111)*(1+$AZ111)+(($BA111+$BB111)/2*IF($G$1="牵丝",$AJ111,$AH111)+IF($G$1="牵丝",$AK111*1.5,0))*(1+$BC111)*(1+$BD111)+(($BE111+$BF111)/2*IF($G$1="破竹",$AJ111,$AH111)+IF($G$1="破竹",$AK111*1.5,0))*(1+$BG111)*(1+$BH111))*(1+$AL111)*$BK111*$P111*(1+IF(VLOOKUP($Q111,武学奇术!$A:$ZZ,30,FALSE)="回旋伞",$B$21,0))*(1+$BQ111)</f>
        <v>56371.0994194208</v>
      </c>
      <c r="M111" s="41">
        <f>(($AO111*$AH111+$AI111)*(1+$AP111)*(1+$AQ111)+($AT111*IF($G$1="鸣金",$AJ111,$AH111)+IF($G$1="鸣金",$AK111*1.5,0))*(1+$AU111)*(1+$AV111)+($AX111*IF($G$1="裂石",$AJ111,$AH111)+IF($G$1="裂石",$AK111*1.5,0))*(1+$AY111)*(1+$AZ111)+($BB111*IF($G$1="牵丝",$AJ111,$AH111)+IF($G$1="牵丝",$AK111*1.5,0))*(1+$BC111)*(1+$BD111)+($BF111*IF($G$1="破竹",$AJ111,$AH111)+IF($G$1="破竹",$AK111*1.5,0))*(1+$BG111)*(1+$BH111))*(1+$AL111)*$BM111*$P111*(1+IF(VLOOKUP($Q111,武学奇术!$A:$ZZ,30,FALSE)="回旋伞",$B$21,0))*(1+$BQ111)</f>
        <v>45683.2972122797</v>
      </c>
      <c r="N111" s="41">
        <f>((($AN111+$AO111)/2*$AH111+$AI111)*(1+$AP111)*(1+$AQ111)+(($AS111+$AT111)/2*IF($G$1="鸣金",$AJ111,$AH111)+IF($G$1="鸣金",$AK111*1.5,0))*(1+$AU111)*(1+$AV111)+(($AW111+$AX111)/2*IF($G$1="裂石",$AJ111,$AH111)+IF($G$1="裂石",$AK111*1.5,0))*(1+$AY111)*(1+$AZ111)+(($BA111+$BB111)/2*IF($G$1="牵丝",$AJ111,$AH111)+IF($G$1="牵丝",$AK111*1.5,0))*(1+$BC111)*(1+$BD111)+(($BE111+$BF111)/2*IF($G$1="破竹",$AJ111,$AH111)+IF($G$1="破竹",$AK111*1.5,0))*(1+$BG111)*(1+$BH111))*(1+$AL111)*$P111*(1+IF(VLOOKUP($Q111,武学奇术!$A:$ZZ,30,FALSE)="回旋伞",$B$21,0))*(1+$BQ111)</f>
        <v>30144.9729515619</v>
      </c>
      <c r="O111" s="41">
        <f>((($AN111*$AH111+$AI111)*(1+$AP111)*(1+$AQ111)+($AS111*IF($G$1="鸣金",$AJ111,$AH111)+IF($G$1="鸣金",$AK111*1.5,0))*(1+$AU111)*(1+$AV111)+($AW111*IF($G$1="裂石",$AJ111,$AH111)+IF($G$1="裂石",$AK111*1.5,0))*(1+$AY111)*(1+$AZ111)+($BA111*IF($G$1="牵丝",$AJ111,$AH111)+IF($G$1="牵丝",$AK111*1.5,0))*(1+$BC111)*(1+$BD111)+($BE111*IF($G$1="破竹",$AJ111,$AH111)+IF($G$1="破竹",$AK111*1.5,0))*(1+$BG111)*(1+$BH111))*(1+$AL111))*$P111*(1+IF(VLOOKUP($Q111,武学奇术!$A:$ZZ,30,FALSE)="回旋伞",$B$21,0))*(1+$BQ111)</f>
        <v>26450.4664866203</v>
      </c>
      <c r="P111" s="42">
        <v>1</v>
      </c>
      <c r="Q111" s="43" t="s">
        <v>150</v>
      </c>
      <c r="R111" s="43" t="s">
        <v>71</v>
      </c>
      <c r="S111" s="43" t="s">
        <v>91</v>
      </c>
      <c r="T111" s="43" t="s">
        <v>72</v>
      </c>
      <c r="U111" s="43" t="s">
        <v>71</v>
      </c>
      <c r="V111" s="43" t="s">
        <v>167</v>
      </c>
      <c r="W111" s="43" t="s">
        <v>95</v>
      </c>
      <c r="X111" s="43" t="s">
        <v>82</v>
      </c>
      <c r="Y111" s="43" t="s">
        <v>71</v>
      </c>
      <c r="Z111" s="43" t="s">
        <v>71</v>
      </c>
      <c r="AA111" s="43" t="s">
        <v>71</v>
      </c>
      <c r="AB111" s="43" t="s">
        <v>71</v>
      </c>
      <c r="AC111" s="43" t="s">
        <v>71</v>
      </c>
      <c r="AD111" s="43" t="s">
        <v>71</v>
      </c>
      <c r="AE111" s="43" t="s">
        <v>71</v>
      </c>
      <c r="AF111" s="43" t="s">
        <v>76</v>
      </c>
      <c r="AG111" t="str">
        <f>VLOOKUP($Q111,武学奇术!$A:$ZZ,25,FALSE)</f>
        <v>绳镖</v>
      </c>
      <c r="AH111" s="30">
        <f>VLOOKUP($Q111,武学奇术!$A:$ZZ,26,FALSE)</f>
        <v>2.2987</v>
      </c>
      <c r="AI111" s="31">
        <f>VLOOKUP($Q111,武学奇术!$A:$ZZ,27,FALSE)*(1+IF(OR($AG111=$F$4,$AG111=$F$5),$B$22,0))</f>
        <v>891.8</v>
      </c>
      <c r="AJ111" s="30">
        <f>VLOOKUP($Q111,武学奇术!$A:$ZZ,28,FALSE)</f>
        <v>3.448</v>
      </c>
      <c r="AK111" s="31">
        <f>VLOOKUP($Q111,武学奇术!$A:$ZZ,29,FALSE)*(1+IF(OR($AG111=$F$4,$AG111=$F$5),$B$22,0))</f>
        <v>485.8</v>
      </c>
      <c r="AL111" s="30" cm="1">
        <f t="array" ref="AL111">$G$3+IFERROR(VLOOKUP($AG111,$F$4:$G$7,2,FALSE),0)+VLOOKUP($Q111,武学奇术!$A:$ZZ,2,FALSE)+SUM(_xlfn.XLOOKUP($R111:$AF111,增益!$A:$A,增益!$B:$B,0))</f>
        <v>0.5189</v>
      </c>
      <c r="AM111" s="30" cm="1">
        <f t="array" ref="AM111">VLOOKUP($Q111,武学奇术!$A:$ZZ,5,FALSE)+SUM(_xlfn.XLOOKUP($R111:$AF111,增益!$A:$A,增益!$E:$E,0))</f>
        <v>0</v>
      </c>
      <c r="AN111" cm="1">
        <f t="array" ref="AN111">$D$10*(1+$AM111)+VLOOKUP($Q111,武学奇术!$A:$ZZ,3,FALSE)+SUM(_xlfn.XLOOKUP($R111:$AF111,增益!$A:$A,增益!$C:$C,0))-$I$2</f>
        <v>3545.8</v>
      </c>
      <c r="AO111" cm="1">
        <f t="array" ref="AO111">$E$10*(1+$AM111)+VLOOKUP($Q111,武学奇术!$A:$ZZ,4,FALSE)+SUM(_xlfn.XLOOKUP($R111:$AF111,增益!$A:$A,增益!$D:$D,0))-$I$2</f>
        <v>3545.8</v>
      </c>
      <c r="AP111" s="35" cm="1">
        <f t="array" ref="AP111">IF($F$10-$I$3+VLOOKUP($Q111,武学奇术!$A:$ZZ,6,FALSE)+SUM(_xlfn.XLOOKUP(R111:AF111,增益!$A:$A,增益!$F:$F,0))&gt;0,($F$10-$I$3+VLOOKUP($Q111,武学奇术!$A:$ZZ,6,FALSE)+SUM(_xlfn.XLOOKUP(R111:AF111,增益!$A:$A,增益!$F:$F,0)))/200,($F$10-$I$3+VLOOKUP($Q111,武学奇术!$A:$ZZ,6,FALSE)+SUM(_xlfn.XLOOKUP(R111:AF111,增益!$A:$A,增益!$F:$F,0)))/100)</f>
        <v>0.3425</v>
      </c>
      <c r="AQ111" s="35" cm="1">
        <f t="array" ref="AQ111">$G$10+VLOOKUP($Q111,武学奇术!$A:$ZZ,7,FALSE)+SUM(_xlfn.XLOOKUP(R111:AF111,增益!$A:$A,增益!$G:$G,0))</f>
        <v>0.028</v>
      </c>
      <c r="AR111" s="30" cm="1">
        <f t="array" ref="AR111">VLOOKUP($Q111,武学奇术!$A:$ZZ,8,FALSE)+SUM(_xlfn.XLOOKUP(R111:AF111,增益!$A:$A,增益!$H:$H,0))</f>
        <v>0</v>
      </c>
      <c r="AS111">
        <f t="shared" si="51"/>
        <v>0</v>
      </c>
      <c r="AT111">
        <f t="shared" si="52"/>
        <v>0</v>
      </c>
      <c r="AU111" s="35" cm="1">
        <f t="array" ref="AU111">IF($F$11-$I$4+VLOOKUP($Q111,武学奇术!$A:$ZZ,9,FALSE)+SUM(_xlfn.XLOOKUP(R111:AF111,增益!$A:$A,增益!$I:$I,0))&gt;0,($F$11-$I$4+VLOOKUP($Q111,武学奇术!$A:$ZZ,9,FALSE)+SUM(_xlfn.XLOOKUP(R111:AF111,增益!$A:$A,增益!$I:$I,0)))/200,($F$11-$I$4+VLOOKUP($Q111,武学奇术!$A:$ZZ,9,FALSE)+SUM(_xlfn.XLOOKUP(R111:AF111,增益!$A:$A,增益!$I:$I,0)))/100)</f>
        <v>-0.14</v>
      </c>
      <c r="AV111" s="35" cm="1">
        <f t="array" ref="AV111">$G$11+VLOOKUP($Q111,武学奇术!$A:$ZZ,10,FALSE)+SUM(_xlfn.XLOOKUP(R111:AF111,增益!$A:$A,增益!$J:$J,0))</f>
        <v>0</v>
      </c>
      <c r="AW111">
        <f t="shared" si="53"/>
        <v>0</v>
      </c>
      <c r="AX111">
        <f t="shared" si="54"/>
        <v>0</v>
      </c>
      <c r="AY111" s="35" cm="1">
        <f t="array" ref="AY111">IF($F$12-$I$4+VLOOKUP($Q111,武学奇术!$A:$ZZ,11,FALSE)+SUM(_xlfn.XLOOKUP(R111:AF111,增益!$A:$A,增益!$K:$K,0))&gt;0,($F$12-$I$4+VLOOKUP($Q111,武学奇术!$A:$ZZ,11,FALSE)+SUM(_xlfn.XLOOKUP(R111:AF111,增益!$A:$A,增益!$K:$K,0)))/200,($F$12-$I$4+VLOOKUP($Q111,武学奇术!$A:$ZZ,11,FALSE)+SUM(_xlfn.XLOOKUP(R111:AF111,增益!$A:$A,增益!$K:$K,0)))/100)</f>
        <v>-0.14</v>
      </c>
      <c r="AZ111" s="35" cm="1">
        <f t="array" ref="AZ111">$G$12+VLOOKUP($Q111,武学奇术!$A:$ZZ,12,FALSE)+SUM(_xlfn.XLOOKUP(R111:AF111,增益!$A:$A,增益!$L:$L,0))</f>
        <v>0</v>
      </c>
      <c r="BA111">
        <f t="shared" si="55"/>
        <v>0</v>
      </c>
      <c r="BB111">
        <f t="shared" si="56"/>
        <v>0</v>
      </c>
      <c r="BC111" s="35" cm="1">
        <f t="array" ref="BC111">IF($F$13-$I$4+VLOOKUP($Q111,武学奇术!$A:$ZZ,13,FALSE)+SUM(_xlfn.XLOOKUP(R111:AF111,增益!$A:$A,增益!$M:$M,0))&gt;0,($F$13-$I$4+VLOOKUP($Q111,武学奇术!$A:$ZZ,13,FALSE)+SUM(_xlfn.XLOOKUP(R111:AF111,增益!$A:$A,增益!$K:$K,0)))/200,($F$13-$I$4+VLOOKUP($Q111,武学奇术!$A:$ZZ,13,FALSE)+SUM(_xlfn.XLOOKUP(R111:AF111,增益!$A:$A,增益!$M:$M,0)))/100)</f>
        <v>-0.14</v>
      </c>
      <c r="BD111" s="35" cm="1">
        <f t="array" ref="BD111">$G$13+VLOOKUP($Q111,武学奇术!$A:$ZZ,14,FALSE)+SUM(_xlfn.XLOOKUP(R111:AF111,增益!$A:$A,增益!$N:$N,0))</f>
        <v>0</v>
      </c>
      <c r="BE111">
        <f t="shared" si="57"/>
        <v>538</v>
      </c>
      <c r="BF111">
        <f t="shared" si="58"/>
        <v>1561.4</v>
      </c>
      <c r="BG111" s="35" cm="1">
        <f t="array" ref="BG111">IF($F$14-$I$4+VLOOKUP($Q111,武学奇术!$A:$ZZ,15,FALSE)+SUM(_xlfn.XLOOKUP(R111:AF111,增益!$A:$A,增益!$O:$O,0))&gt;0,($F$14-$I$4+VLOOKUP($Q111,武学奇术!$A:$ZZ,15,FALSE)+SUM(_xlfn.XLOOKUP(R111:AF111,增益!$A:$A,增益!$O:$O,0)))/200,($F$14-$I$4+VLOOKUP($Q111,武学奇术!$A:$ZZ,15,FALSE)+SUM(_xlfn.XLOOKUP(R111:AF111,增益!$A:$A,增益!$O:$O,0)))/100)</f>
        <v>0.08</v>
      </c>
      <c r="BH111" s="35" cm="1">
        <f t="array" ref="BH111">$G$14+VLOOKUP($Q111,武学奇术!$A:$ZZ,16,FALSE)+SUM(_xlfn.XLOOKUP(R111:AF111,增益!$A:$A,增益!$P:$P,0))</f>
        <v>0.15</v>
      </c>
      <c r="BI111" s="30">
        <f>MIN(IF(VLOOKUP($Q111,武学奇术!$A:$ZZ,23,FALSE)=1,100%,$B$8),100%)</f>
        <v>1</v>
      </c>
      <c r="BJ111" s="30" cm="1">
        <f t="array" ref="BJ111">IF(VLOOKUP($Q111,武学奇术!$A:$ZZ,23,FALSE)=1,100%,MIN(80%,$B$9+VLOOKUP($Q111,武学奇术!$A:$ZZ,17,FALSE)+SUM(_xlfn.XLOOKUP(R111:AF111,增益!$A:$A,增益!$Q:$Q,0)))+$B$11+SUM(_xlfn.XLOOKUP(R111:AF111,增益!$A:$A,增益!$U:$U,0)))*IF(VLOOKUP($Q111,武学奇术!$A:$ZZ,24,FALSE)=1,0,1)</f>
        <v>1</v>
      </c>
      <c r="BK111" s="30" cm="1">
        <f t="array" ref="BK111">1+$B$13+VLOOKUP($Q111,武学奇术!$A:$ZZ,18,FALSE)+SUM(_xlfn.XLOOKUP(R111:AF111,增益!$A:$A,增益!$R:$R,0))</f>
        <v>1.87</v>
      </c>
      <c r="BL111" s="30" cm="1">
        <f t="array" ref="BL111">IF(VLOOKUP($Q111,武学奇术!$A:$ZZ,24,FALSE)=1,100%,MIN(40%,$B$10+VLOOKUP($Q111,武学奇术!$A:$ZZ,19,FALSE)+SUM(_xlfn.XLOOKUP(R111:AF111,增益!$A:$A,增益!$S:$S,0)))+$B$12+SUM(_xlfn.XLOOKUP(R111:AF111,增益!$A:$A,增益!$V:$V,0)))*IF(VLOOKUP($Q111,武学奇术!$A:$ZZ,23,FALSE)=1,0,1)</f>
        <v>0</v>
      </c>
      <c r="BM111" s="30" cm="1">
        <f t="array" ref="BM111">1+$B$14+VLOOKUP($Q111,武学奇术!$A:$ZZ,20,FALSE)+SUM(_xlfn.XLOOKUP(R111:AF111,增益!$A:$A,增益!$T:$T,0))</f>
        <v>1.35</v>
      </c>
      <c r="BN111" s="30">
        <f t="shared" si="59"/>
        <v>1</v>
      </c>
      <c r="BO111" s="30">
        <f t="shared" si="60"/>
        <v>0</v>
      </c>
      <c r="BP111" s="30">
        <f>IF(VLOOKUP($Q111,武学奇术!$A:$ZZ,22,FALSE)=1,0,(1-$BI111))*(1-$BL111)</f>
        <v>0</v>
      </c>
      <c r="BQ111" s="30" cm="1">
        <f t="array" ref="BQ111">SUM(_xlfn.XLOOKUP(R111:AF111,增益!$A:$A,增益!$W:$W,0))+$I$5</f>
        <v>0.11</v>
      </c>
    </row>
    <row r="112" spans="1:69">
      <c r="K112" s="89">
        <f>(SUM(K91:K111)+K148+K149)*10%</f>
        <v>203573.662600201</v>
      </c>
      <c r="L112" s="41">
        <f>((($AN112+$AO112)/2*$AH112+$AI112)*(1+$AP112)*(1+$AQ112)+(($AS112+$AT112)/2*IF($G$1="鸣金",$AJ112,$AH112)+IF($G$1="鸣金",$AK112*1.5,0))*(1+$AU112)*(1+$AV112)+(($AW112+$AX112)/2*IF($G$1="裂石",$AJ112,$AH112)+IF($G$1="裂石",$AK112*1.5,0))*(1+$AY112)*(1+$AZ112)+(($BA112+$BB112)/2*IF($G$1="牵丝",$AJ112,$AH112)+IF($G$1="牵丝",$AK112*1.5,0))*(1+$BC112)*(1+$BD112)+(($BE112+$BF112)/2*IF($G$1="破竹",$AJ112,$AH112)+IF($G$1="破竹",$AK112*1.5,0))*(1+$BG112)*(1+$BH112))*(1+$AL112)*$BK112*$P112*(1+IF(VLOOKUP($Q112,武学奇术!$A:$ZZ,30,FALSE)="回旋伞",$B$21,0))*(1+$BQ112)</f>
        <v>0</v>
      </c>
      <c r="M112" s="41">
        <f>(($AO112*$AH112+$AI112)*(1+$AP112)*(1+$AQ112)+($AT112*IF($G$1="鸣金",$AJ112,$AH112)+IF($G$1="鸣金",$AK112*1.5,0))*(1+$AU112)*(1+$AV112)+($AX112*IF($G$1="裂石",$AJ112,$AH112)+IF($G$1="裂石",$AK112*1.5,0))*(1+$AY112)*(1+$AZ112)+($BB112*IF($G$1="牵丝",$AJ112,$AH112)+IF($G$1="牵丝",$AK112*1.5,0))*(1+$BC112)*(1+$BD112)+($BF112*IF($G$1="破竹",$AJ112,$AH112)+IF($G$1="破竹",$AK112*1.5,0))*(1+$BG112)*(1+$BH112))*(1+$AL112)*$BM112*$P112*(1+IF(VLOOKUP($Q112,武学奇术!$A:$ZZ,30,FALSE)="回旋伞",$B$21,0))*(1+$BQ112)</f>
        <v>0</v>
      </c>
      <c r="N112" s="41">
        <f>((($AN112+$AO112)/2*$AH112+$AI112)*(1+$AP112)*(1+$AQ112)+(($AS112+$AT112)/2*IF($G$1="鸣金",$AJ112,$AH112)+IF($G$1="鸣金",$AK112*1.5,0))*(1+$AU112)*(1+$AV112)+(($AW112+$AX112)/2*IF($G$1="裂石",$AJ112,$AH112)+IF($G$1="裂石",$AK112*1.5,0))*(1+$AY112)*(1+$AZ112)+(($BA112+$BB112)/2*IF($G$1="牵丝",$AJ112,$AH112)+IF($G$1="牵丝",$AK112*1.5,0))*(1+$BC112)*(1+$BD112)+(($BE112+$BF112)/2*IF($G$1="破竹",$AJ112,$AH112)+IF($G$1="破竹",$AK112*1.5,0))*(1+$BG112)*(1+$BH112))*(1+$AL112)*$P112*(1+IF(VLOOKUP($Q112,武学奇术!$A:$ZZ,30,FALSE)="回旋伞",$B$21,0))*(1+$BQ112)</f>
        <v>0</v>
      </c>
      <c r="O112" s="41">
        <f>((($AN112*$AH112+$AI112)*(1+$AP112)*(1+$AQ112)+($AS112*IF($G$1="鸣金",$AJ112,$AH112)+IF($G$1="鸣金",$AK112*1.5,0))*(1+$AU112)*(1+$AV112)+($AW112*IF($G$1="裂石",$AJ112,$AH112)+IF($G$1="裂石",$AK112*1.5,0))*(1+$AY112)*(1+$AZ112)+($BA112*IF($G$1="牵丝",$AJ112,$AH112)+IF($G$1="牵丝",$AK112*1.5,0))*(1+$BC112)*(1+$BD112)+($BE112*IF($G$1="破竹",$AJ112,$AH112)+IF($G$1="破竹",$AK112*1.5,0))*(1+$BG112)*(1+$BH112))*(1+$AL112))*$P112*(1+IF(VLOOKUP($Q112,武学奇术!$A:$ZZ,30,FALSE)="回旋伞",$B$21,0))*(1+$BQ112)</f>
        <v>0</v>
      </c>
      <c r="P112" s="42">
        <v>1</v>
      </c>
      <c r="Q112" s="43" t="s">
        <v>152</v>
      </c>
      <c r="R112" s="43" t="s">
        <v>71</v>
      </c>
      <c r="S112" s="43" t="s">
        <v>71</v>
      </c>
      <c r="T112" s="43" t="s">
        <v>71</v>
      </c>
      <c r="U112" s="43" t="s">
        <v>71</v>
      </c>
      <c r="V112" s="43" t="s">
        <v>71</v>
      </c>
      <c r="W112" s="43" t="s">
        <v>71</v>
      </c>
      <c r="X112" s="43" t="s">
        <v>71</v>
      </c>
      <c r="Y112" s="43" t="s">
        <v>71</v>
      </c>
      <c r="Z112" s="43" t="s">
        <v>71</v>
      </c>
      <c r="AA112" s="43" t="s">
        <v>71</v>
      </c>
      <c r="AB112" s="43" t="s">
        <v>71</v>
      </c>
      <c r="AC112" s="43" t="s">
        <v>71</v>
      </c>
      <c r="AD112" s="43" t="s">
        <v>71</v>
      </c>
      <c r="AE112" s="43" t="s">
        <v>71</v>
      </c>
      <c r="AF112" s="43" t="s">
        <v>76</v>
      </c>
      <c r="AG112" t="str">
        <f>VLOOKUP($Q112,武学奇术!$A:$ZZ,25,FALSE)</f>
        <v>心法</v>
      </c>
      <c r="AH112" s="30">
        <f>VLOOKUP($Q112,武学奇术!$A:$ZZ,26,FALSE)</f>
        <v>0</v>
      </c>
      <c r="AI112" s="31">
        <f>VLOOKUP($Q112,武学奇术!$A:$ZZ,27,FALSE)*(1+IF(OR($AG112=$F$4,$AG112=$F$5),$B$22,0))</f>
        <v>0</v>
      </c>
      <c r="AJ112" s="30">
        <f>VLOOKUP($Q112,武学奇术!$A:$ZZ,28,FALSE)</f>
        <v>0</v>
      </c>
      <c r="AK112" s="31">
        <f>VLOOKUP($Q112,武学奇术!$A:$ZZ,29,FALSE)*(1+IF(OR($AG112=$F$4,$AG112=$F$5),$B$22,0))</f>
        <v>0</v>
      </c>
      <c r="AL112" s="30" cm="1">
        <f t="array" ref="AL112">$G$3+IFERROR(VLOOKUP($AG112,$F$4:$G$7,2,FALSE),0)+VLOOKUP($Q112,武学奇术!$A:$ZZ,2,FALSE)+SUM(_xlfn.XLOOKUP($R112:$AF112,增益!$A:$A,增益!$B:$B,0))</f>
        <v>0.1837</v>
      </c>
      <c r="AM112" s="30" cm="1">
        <f t="array" ref="AM112">VLOOKUP($Q112,武学奇术!$A:$ZZ,5,FALSE)+SUM(_xlfn.XLOOKUP($R112:$AF112,增益!$A:$A,增益!$E:$E,0))</f>
        <v>0</v>
      </c>
      <c r="AN112" cm="1">
        <f t="array" ref="AN112">$D$10*(1+$AM112)+VLOOKUP($Q112,武学奇术!$A:$ZZ,3,FALSE)+SUM(_xlfn.XLOOKUP($R112:$AF112,增益!$A:$A,增益!$C:$C,0))-$I$2</f>
        <v>3545.8</v>
      </c>
      <c r="AO112" cm="1">
        <f t="array" ref="AO112">$E$10*(1+$AM112)+VLOOKUP($Q112,武学奇术!$A:$ZZ,4,FALSE)+SUM(_xlfn.XLOOKUP($R112:$AF112,增益!$A:$A,增益!$D:$D,0))-$I$2</f>
        <v>3545.8</v>
      </c>
      <c r="AP112" s="35" cm="1">
        <f t="array" ref="AP112">IF($F$10-$I$3+VLOOKUP($Q112,武学奇术!$A:$ZZ,6,FALSE)+SUM(_xlfn.XLOOKUP(R112:AF112,增益!$A:$A,增益!$F:$F,0))&gt;0,($F$10-$I$3+VLOOKUP($Q112,武学奇术!$A:$ZZ,6,FALSE)+SUM(_xlfn.XLOOKUP(R112:AF112,增益!$A:$A,增益!$F:$F,0)))/200,($F$10-$I$3+VLOOKUP($Q112,武学奇术!$A:$ZZ,6,FALSE)+SUM(_xlfn.XLOOKUP(R112:AF112,增益!$A:$A,增益!$F:$F,0)))/100)</f>
        <v>0.2425</v>
      </c>
      <c r="AQ112" s="35" cm="1">
        <f t="array" ref="AQ112">$G$10+VLOOKUP($Q112,武学奇术!$A:$ZZ,7,FALSE)+SUM(_xlfn.XLOOKUP(R112:AF112,增益!$A:$A,增益!$G:$G,0))</f>
        <v>0.028</v>
      </c>
      <c r="AR112" s="30" cm="1">
        <f t="array" ref="AR112">VLOOKUP($Q112,武学奇术!$A:$ZZ,8,FALSE)+SUM(_xlfn.XLOOKUP(R112:AF112,增益!$A:$A,增益!$H:$H,0))</f>
        <v>0</v>
      </c>
      <c r="AS112">
        <f t="shared" si="51"/>
        <v>0</v>
      </c>
      <c r="AT112">
        <f t="shared" si="52"/>
        <v>0</v>
      </c>
      <c r="AU112" s="35" cm="1">
        <f t="array" ref="AU112">IF($F$11-$I$4+VLOOKUP($Q112,武学奇术!$A:$ZZ,9,FALSE)+SUM(_xlfn.XLOOKUP(R112:AF112,增益!$A:$A,增益!$I:$I,0))&gt;0,($F$11-$I$4+VLOOKUP($Q112,武学奇术!$A:$ZZ,9,FALSE)+SUM(_xlfn.XLOOKUP(R112:AF112,增益!$A:$A,增益!$I:$I,0)))/200,($F$11-$I$4+VLOOKUP($Q112,武学奇术!$A:$ZZ,9,FALSE)+SUM(_xlfn.XLOOKUP(R112:AF112,增益!$A:$A,增益!$I:$I,0)))/100)</f>
        <v>-0.3</v>
      </c>
      <c r="AV112" s="35" cm="1">
        <f t="array" ref="AV112">$G$11+VLOOKUP($Q112,武学奇术!$A:$ZZ,10,FALSE)+SUM(_xlfn.XLOOKUP(R112:AF112,增益!$A:$A,增益!$J:$J,0))</f>
        <v>0</v>
      </c>
      <c r="AW112">
        <f t="shared" si="53"/>
        <v>0</v>
      </c>
      <c r="AX112">
        <f t="shared" si="54"/>
        <v>0</v>
      </c>
      <c r="AY112" s="35" cm="1">
        <f t="array" ref="AY112">IF($F$12-$I$4+VLOOKUP($Q112,武学奇术!$A:$ZZ,11,FALSE)+SUM(_xlfn.XLOOKUP(R112:AF112,增益!$A:$A,增益!$K:$K,0))&gt;0,($F$12-$I$4+VLOOKUP($Q112,武学奇术!$A:$ZZ,11,FALSE)+SUM(_xlfn.XLOOKUP(R112:AF112,增益!$A:$A,增益!$K:$K,0)))/200,($F$12-$I$4+VLOOKUP($Q112,武学奇术!$A:$ZZ,11,FALSE)+SUM(_xlfn.XLOOKUP(R112:AF112,增益!$A:$A,增益!$K:$K,0)))/100)</f>
        <v>-0.3</v>
      </c>
      <c r="AZ112" s="35" cm="1">
        <f t="array" ref="AZ112">$G$12+VLOOKUP($Q112,武学奇术!$A:$ZZ,12,FALSE)+SUM(_xlfn.XLOOKUP(R112:AF112,增益!$A:$A,增益!$L:$L,0))</f>
        <v>0</v>
      </c>
      <c r="BA112">
        <f t="shared" si="55"/>
        <v>0</v>
      </c>
      <c r="BB112">
        <f t="shared" si="56"/>
        <v>0</v>
      </c>
      <c r="BC112" s="35" cm="1">
        <f t="array" ref="BC112">IF($F$13-$I$4+VLOOKUP($Q112,武学奇术!$A:$ZZ,13,FALSE)+SUM(_xlfn.XLOOKUP(R112:AF112,增益!$A:$A,增益!$M:$M,0))&gt;0,($F$13-$I$4+VLOOKUP($Q112,武学奇术!$A:$ZZ,13,FALSE)+SUM(_xlfn.XLOOKUP(R112:AF112,增益!$A:$A,增益!$K:$K,0)))/200,($F$13-$I$4+VLOOKUP($Q112,武学奇术!$A:$ZZ,13,FALSE)+SUM(_xlfn.XLOOKUP(R112:AF112,增益!$A:$A,增益!$M:$M,0)))/100)</f>
        <v>-0.3</v>
      </c>
      <c r="BD112" s="35" cm="1">
        <f t="array" ref="BD112">$G$13+VLOOKUP($Q112,武学奇术!$A:$ZZ,14,FALSE)+SUM(_xlfn.XLOOKUP(R112:AF112,增益!$A:$A,增益!$N:$N,0))</f>
        <v>0</v>
      </c>
      <c r="BE112">
        <f t="shared" si="57"/>
        <v>538</v>
      </c>
      <c r="BF112">
        <f t="shared" si="58"/>
        <v>1561.4</v>
      </c>
      <c r="BG112" s="35" cm="1">
        <f t="array" ref="BG112">IF($F$14-$I$4+VLOOKUP($Q112,武学奇术!$A:$ZZ,15,FALSE)+SUM(_xlfn.XLOOKUP(R112:AF112,增益!$A:$A,增益!$O:$O,0))&gt;0,($F$14-$I$4+VLOOKUP($Q112,武学奇术!$A:$ZZ,15,FALSE)+SUM(_xlfn.XLOOKUP(R112:AF112,增益!$A:$A,增益!$O:$O,0)))/200,($F$14-$I$4+VLOOKUP($Q112,武学奇术!$A:$ZZ,15,FALSE)+SUM(_xlfn.XLOOKUP(R112:AF112,增益!$A:$A,增益!$O:$O,0)))/100)</f>
        <v>0</v>
      </c>
      <c r="BH112" s="35" cm="1">
        <f t="array" ref="BH112">$G$14+VLOOKUP($Q112,武学奇术!$A:$ZZ,16,FALSE)+SUM(_xlfn.XLOOKUP(R112:AF112,增益!$A:$A,增益!$P:$P,0))</f>
        <v>0.15</v>
      </c>
      <c r="BI112" s="30">
        <f>MIN(IF(VLOOKUP($Q112,武学奇术!$A:$ZZ,23,FALSE)=1,100%,$B$8),100%)</f>
        <v>0.9712</v>
      </c>
      <c r="BJ112" s="30" cm="1">
        <f t="array" ref="BJ112">IF(VLOOKUP($Q112,武学奇术!$A:$ZZ,23,FALSE)=1,100%,MIN(80%,$B$9+VLOOKUP($Q112,武学奇术!$A:$ZZ,17,FALSE)+SUM(_xlfn.XLOOKUP(R112:AF112,增益!$A:$A,增益!$Q:$Q,0)))+$B$11+SUM(_xlfn.XLOOKUP(R112:AF112,增益!$A:$A,增益!$U:$U,0)))*IF(VLOOKUP($Q112,武学奇术!$A:$ZZ,24,FALSE)=1,0,1)</f>
        <v>0.8773</v>
      </c>
      <c r="BK112" s="30" cm="1">
        <f t="array" ref="BK112">1+$B$13+VLOOKUP($Q112,武学奇术!$A:$ZZ,18,FALSE)+SUM(_xlfn.XLOOKUP(R112:AF112,增益!$A:$A,增益!$R:$R,0))</f>
        <v>1.5</v>
      </c>
      <c r="BL112" s="30" cm="1">
        <f t="array" ref="BL112">IF(VLOOKUP($Q112,武学奇术!$A:$ZZ,24,FALSE)=1,100%,MIN(40%,$B$10+VLOOKUP($Q112,武学奇术!$A:$ZZ,19,FALSE)+SUM(_xlfn.XLOOKUP(R112:AF112,增益!$A:$A,增益!$S:$S,0)))+$B$12+SUM(_xlfn.XLOOKUP(R112:AF112,增益!$A:$A,增益!$V:$V,0)))*IF(VLOOKUP($Q112,武学奇术!$A:$ZZ,23,FALSE)=1,0,1)</f>
        <v>0.0895</v>
      </c>
      <c r="BM112" s="30" cm="1">
        <f t="array" ref="BM112">1+$B$14+VLOOKUP($Q112,武学奇术!$A:$ZZ,20,FALSE)+SUM(_xlfn.XLOOKUP(R112:AF112,增益!$A:$A,增益!$T:$T,0))</f>
        <v>1.35</v>
      </c>
      <c r="BN112" s="30">
        <f t="shared" si="59"/>
        <v>0.85203376</v>
      </c>
      <c r="BO112" s="30">
        <f t="shared" si="60"/>
        <v>0.03224384</v>
      </c>
      <c r="BP112" s="30">
        <f>IF(VLOOKUP($Q112,武学奇术!$A:$ZZ,22,FALSE)=1,0,(1-$BI112))*(1-$BL112)</f>
        <v>0.0262224</v>
      </c>
      <c r="BQ112" s="30" cm="1">
        <f t="array" ref="BQ112">SUM(_xlfn.XLOOKUP(R112:AF112,增益!$A:$A,增益!$W:$W,0))+$I$5</f>
        <v>0.11</v>
      </c>
    </row>
    <row r="113" spans="11:69">
      <c r="K113" s="41">
        <f t="shared" ref="K113:K129" si="61">($L113*$BN113+$M113*$BL113+$N113*$BO113+$O113*$BP113)</f>
        <v>128463.07319242</v>
      </c>
      <c r="L113" s="41">
        <f>((($AN113+$AO113)/2*$AH113+$AI113)*(1+$AP113)*(1+$AQ113)+(($AS113+$AT113)/2*IF($G$1="鸣金",$AJ113,$AH113)+IF($G$1="鸣金",$AK113*1.5,0))*(1+$AU113)*(1+$AV113)+(($AW113+$AX113)/2*IF($G$1="裂石",$AJ113,$AH113)+IF($G$1="裂石",$AK113*1.5,0))*(1+$AY113)*(1+$AZ113)+(($BA113+$BB113)/2*IF($G$1="牵丝",$AJ113,$AH113)+IF($G$1="牵丝",$AK113*1.5,0))*(1+$BC113)*(1+$BD113)+(($BE113+$BF113)/2*IF($G$1="破竹",$AJ113,$AH113)+IF($G$1="破竹",$AK113*1.5,0))*(1+$BG113)*(1+$BH113))*(1+$AL113)*$BK113*$P113*(1+IF(VLOOKUP($Q113,武学奇术!$A:$ZZ,30,FALSE)="回旋伞",$B$21,0))*(1+$BQ113)</f>
        <v>134558.847986953</v>
      </c>
      <c r="M113" s="41">
        <f>(($AO113*$AH113+$AI113)*(1+$AP113)*(1+$AQ113)+($AT113*IF($G$1="鸣金",$AJ113,$AH113)+IF($G$1="鸣金",$AK113*1.5,0))*(1+$AU113)*(1+$AV113)+($AX113*IF($G$1="裂石",$AJ113,$AH113)+IF($G$1="裂石",$AK113*1.5,0))*(1+$AY113)*(1+$AZ113)+($BB113*IF($G$1="牵丝",$AJ113,$AH113)+IF($G$1="牵丝",$AK113*1.5,0))*(1+$BC113)*(1+$BD113)+($BF113*IF($G$1="破竹",$AJ113,$AH113)+IF($G$1="破竹",$AK113*1.5,0))*(1+$BG113)*(1+$BH113))*(1+$AL113)*$BM113*$P113*(1+IF(VLOOKUP($Q113,武学奇术!$A:$ZZ,30,FALSE)="回旋伞",$B$21,0))*(1+$BQ113)</f>
        <v>110173.02837872</v>
      </c>
      <c r="N113" s="41">
        <f>((($AN113+$AO113)/2*$AH113+$AI113)*(1+$AP113)*(1+$AQ113)+(($AS113+$AT113)/2*IF($G$1="鸣金",$AJ113,$AH113)+IF($G$1="鸣金",$AK113*1.5,0))*(1+$AU113)*(1+$AV113)+(($AW113+$AX113)/2*IF($G$1="裂石",$AJ113,$AH113)+IF($G$1="裂石",$AK113*1.5,0))*(1+$AY113)*(1+$AZ113)+(($BA113+$BB113)/2*IF($G$1="牵丝",$AJ113,$AH113)+IF($G$1="牵丝",$AK113*1.5,0))*(1+$BC113)*(1+$BD113)+(($BE113+$BF113)/2*IF($G$1="破竹",$AJ113,$AH113)+IF($G$1="破竹",$AK113*1.5,0))*(1+$BG113)*(1+$BH113))*(1+$AL113)*$P113*(1+IF(VLOOKUP($Q113,武学奇术!$A:$ZZ,30,FALSE)="回旋伞",$B$21,0))*(1+$BQ113)</f>
        <v>71956.6032015789</v>
      </c>
      <c r="O113" s="41">
        <f>((($AN113*$AH113+$AI113)*(1+$AP113)*(1+$AQ113)+($AS113*IF($G$1="鸣金",$AJ113,$AH113)+IF($G$1="鸣金",$AK113*1.5,0))*(1+$AU113)*(1+$AV113)+($AW113*IF($G$1="裂石",$AJ113,$AH113)+IF($G$1="裂石",$AK113*1.5,0))*(1+$AY113)*(1+$AZ113)+($BA113*IF($G$1="牵丝",$AJ113,$AH113)+IF($G$1="牵丝",$AK113*1.5,0))*(1+$BC113)*(1+$BD113)+($BE113*IF($G$1="破竹",$AJ113,$AH113)+IF($G$1="破竹",$AK113*1.5,0))*(1+$BG113)*(1+$BH113))*(1+$AL113))*$P113*(1+IF(VLOOKUP($Q113,武学奇术!$A:$ZZ,30,FALSE)="回旋伞",$B$21,0))*(1+$BQ113)</f>
        <v>62303.5557522544</v>
      </c>
      <c r="P113" s="42">
        <v>1</v>
      </c>
      <c r="Q113" s="43" t="s">
        <v>136</v>
      </c>
      <c r="R113" s="43" t="s">
        <v>71</v>
      </c>
      <c r="S113" s="43" t="s">
        <v>91</v>
      </c>
      <c r="T113" s="43" t="s">
        <v>72</v>
      </c>
      <c r="U113" s="43" t="s">
        <v>71</v>
      </c>
      <c r="V113" s="43" t="s">
        <v>167</v>
      </c>
      <c r="W113" s="43" t="s">
        <v>95</v>
      </c>
      <c r="X113" s="43" t="s">
        <v>82</v>
      </c>
      <c r="Y113" s="43" t="s">
        <v>71</v>
      </c>
      <c r="Z113" s="43" t="s">
        <v>71</v>
      </c>
      <c r="AA113" s="43" t="s">
        <v>71</v>
      </c>
      <c r="AB113" s="43" t="s">
        <v>71</v>
      </c>
      <c r="AC113" s="43" t="s">
        <v>71</v>
      </c>
      <c r="AD113" s="43" t="s">
        <v>71</v>
      </c>
      <c r="AE113" s="43" t="s">
        <v>71</v>
      </c>
      <c r="AF113" s="43" t="s">
        <v>76</v>
      </c>
      <c r="AG113" t="str">
        <f>VLOOKUP($Q113,武学奇术!$A:$ZZ,25,FALSE)</f>
        <v>单体奇术</v>
      </c>
      <c r="AH113" s="30">
        <f>VLOOKUP($Q113,武学奇术!$A:$ZZ,26,FALSE)</f>
        <v>7.1074</v>
      </c>
      <c r="AI113" s="31">
        <f>VLOOKUP($Q113,武学奇术!$A:$ZZ,27,FALSE)*(1+IF(OR($AG113=$F$4,$AG113=$F$5),$B$22,0))</f>
        <v>1320</v>
      </c>
      <c r="AJ113" s="30">
        <f>VLOOKUP($Q113,武学奇术!$A:$ZZ,28,FALSE)</f>
        <v>10.6596</v>
      </c>
      <c r="AK113" s="31">
        <f>VLOOKUP($Q113,武学奇术!$A:$ZZ,29,FALSE)*(1+IF(OR($AG113=$F$4,$AG113=$F$5),$B$22,0))</f>
        <v>0</v>
      </c>
      <c r="AL113" s="30" cm="1">
        <f t="array" ref="AL113">$G$3+IFERROR(VLOOKUP($AG113,$F$4:$G$7,2,FALSE),0)+VLOOKUP($Q113,武学奇术!$A:$ZZ,2,FALSE)+SUM(_xlfn.XLOOKUP($R113:$AF113,增益!$A:$A,增益!$B:$B,0))</f>
        <v>0.2837</v>
      </c>
      <c r="AM113" s="30" cm="1">
        <f t="array" ref="AM113">VLOOKUP($Q113,武学奇术!$A:$ZZ,5,FALSE)+SUM(_xlfn.XLOOKUP($R113:$AF113,增益!$A:$A,增益!$E:$E,0))</f>
        <v>0</v>
      </c>
      <c r="AN113" cm="1">
        <f t="array" ref="AN113">$D$10*(1+$AM113)+VLOOKUP($Q113,武学奇术!$A:$ZZ,3,FALSE)+SUM(_xlfn.XLOOKUP($R113:$AF113,增益!$A:$A,增益!$C:$C,0))-$I$2</f>
        <v>3545.8</v>
      </c>
      <c r="AO113" cm="1">
        <f t="array" ref="AO113">$E$10*(1+$AM113)+VLOOKUP($Q113,武学奇术!$A:$ZZ,4,FALSE)+SUM(_xlfn.XLOOKUP($R113:$AF113,增益!$A:$A,增益!$D:$D,0))-$I$2</f>
        <v>3545.8</v>
      </c>
      <c r="AP113" s="35" cm="1">
        <f t="array" ref="AP113">IF($F$10-$I$3+VLOOKUP($Q113,武学奇术!$A:$ZZ,6,FALSE)+SUM(_xlfn.XLOOKUP(R113:AF113,增益!$A:$A,增益!$F:$F,0))&gt;0,($F$10-$I$3+VLOOKUP($Q113,武学奇术!$A:$ZZ,6,FALSE)+SUM(_xlfn.XLOOKUP(R113:AF113,增益!$A:$A,增益!$F:$F,0)))/200,($F$10-$I$3+VLOOKUP($Q113,武学奇术!$A:$ZZ,6,FALSE)+SUM(_xlfn.XLOOKUP(R113:AF113,增益!$A:$A,增益!$F:$F,0)))/100)</f>
        <v>0.3425</v>
      </c>
      <c r="AQ113" s="35" cm="1">
        <f t="array" ref="AQ113">$G$10+VLOOKUP($Q113,武学奇术!$A:$ZZ,7,FALSE)+SUM(_xlfn.XLOOKUP(R113:AF113,增益!$A:$A,增益!$G:$G,0))</f>
        <v>0.028</v>
      </c>
      <c r="AR113" s="30" cm="1">
        <f t="array" ref="AR113">VLOOKUP($Q113,武学奇术!$A:$ZZ,8,FALSE)+SUM(_xlfn.XLOOKUP(R113:AF113,增益!$A:$A,增益!$H:$H,0))</f>
        <v>0</v>
      </c>
      <c r="AS113">
        <f t="shared" si="51"/>
        <v>0</v>
      </c>
      <c r="AT113">
        <f t="shared" si="52"/>
        <v>0</v>
      </c>
      <c r="AU113" s="35" cm="1">
        <f t="array" ref="AU113">IF($F$11-$I$4+VLOOKUP($Q113,武学奇术!$A:$ZZ,9,FALSE)+SUM(_xlfn.XLOOKUP(R113:AF113,增益!$A:$A,增益!$I:$I,0))&gt;0,($F$11-$I$4+VLOOKUP($Q113,武学奇术!$A:$ZZ,9,FALSE)+SUM(_xlfn.XLOOKUP(R113:AF113,增益!$A:$A,增益!$I:$I,0)))/200,($F$11-$I$4+VLOOKUP($Q113,武学奇术!$A:$ZZ,9,FALSE)+SUM(_xlfn.XLOOKUP(R113:AF113,增益!$A:$A,增益!$I:$I,0)))/100)</f>
        <v>-0.14</v>
      </c>
      <c r="AV113" s="35" cm="1">
        <f t="array" ref="AV113">$G$11+VLOOKUP($Q113,武学奇术!$A:$ZZ,10,FALSE)+SUM(_xlfn.XLOOKUP(R113:AF113,增益!$A:$A,增益!$J:$J,0))</f>
        <v>0</v>
      </c>
      <c r="AW113">
        <f t="shared" si="53"/>
        <v>0</v>
      </c>
      <c r="AX113">
        <f t="shared" si="54"/>
        <v>0</v>
      </c>
      <c r="AY113" s="35" cm="1">
        <f t="array" ref="AY113">IF($F$12-$I$4+VLOOKUP($Q113,武学奇术!$A:$ZZ,11,FALSE)+SUM(_xlfn.XLOOKUP(R113:AF113,增益!$A:$A,增益!$K:$K,0))&gt;0,($F$12-$I$4+VLOOKUP($Q113,武学奇术!$A:$ZZ,11,FALSE)+SUM(_xlfn.XLOOKUP(R113:AF113,增益!$A:$A,增益!$K:$K,0)))/200,($F$12-$I$4+VLOOKUP($Q113,武学奇术!$A:$ZZ,11,FALSE)+SUM(_xlfn.XLOOKUP(R113:AF113,增益!$A:$A,增益!$K:$K,0)))/100)</f>
        <v>-0.14</v>
      </c>
      <c r="AZ113" s="35" cm="1">
        <f t="array" ref="AZ113">$G$12+VLOOKUP($Q113,武学奇术!$A:$ZZ,12,FALSE)+SUM(_xlfn.XLOOKUP(R113:AF113,增益!$A:$A,增益!$L:$L,0))</f>
        <v>0</v>
      </c>
      <c r="BA113">
        <f t="shared" si="55"/>
        <v>0</v>
      </c>
      <c r="BB113">
        <f t="shared" si="56"/>
        <v>0</v>
      </c>
      <c r="BC113" s="35" cm="1">
        <f t="array" ref="BC113">IF($F$13-$I$4+VLOOKUP($Q113,武学奇术!$A:$ZZ,13,FALSE)+SUM(_xlfn.XLOOKUP(R113:AF113,增益!$A:$A,增益!$M:$M,0))&gt;0,($F$13-$I$4+VLOOKUP($Q113,武学奇术!$A:$ZZ,13,FALSE)+SUM(_xlfn.XLOOKUP(R113:AF113,增益!$A:$A,增益!$K:$K,0)))/200,($F$13-$I$4+VLOOKUP($Q113,武学奇术!$A:$ZZ,13,FALSE)+SUM(_xlfn.XLOOKUP(R113:AF113,增益!$A:$A,增益!$M:$M,0)))/100)</f>
        <v>-0.14</v>
      </c>
      <c r="BD113" s="35" cm="1">
        <f t="array" ref="BD113">$G$13+VLOOKUP($Q113,武学奇术!$A:$ZZ,14,FALSE)+SUM(_xlfn.XLOOKUP(R113:AF113,增益!$A:$A,增益!$N:$N,0))</f>
        <v>0</v>
      </c>
      <c r="BE113">
        <f t="shared" si="57"/>
        <v>538</v>
      </c>
      <c r="BF113">
        <f t="shared" si="58"/>
        <v>1561.4</v>
      </c>
      <c r="BG113" s="35" cm="1">
        <f t="array" ref="BG113">IF($F$14-$I$4+VLOOKUP($Q113,武学奇术!$A:$ZZ,15,FALSE)+SUM(_xlfn.XLOOKUP(R113:AF113,增益!$A:$A,增益!$O:$O,0))&gt;0,($F$14-$I$4+VLOOKUP($Q113,武学奇术!$A:$ZZ,15,FALSE)+SUM(_xlfn.XLOOKUP(R113:AF113,增益!$A:$A,增益!$O:$O,0)))/200,($F$14-$I$4+VLOOKUP($Q113,武学奇术!$A:$ZZ,15,FALSE)+SUM(_xlfn.XLOOKUP(R113:AF113,增益!$A:$A,增益!$O:$O,0)))/100)</f>
        <v>0.08</v>
      </c>
      <c r="BH113" s="35" cm="1">
        <f t="array" ref="BH113">$G$14+VLOOKUP($Q113,武学奇术!$A:$ZZ,16,FALSE)+SUM(_xlfn.XLOOKUP(R113:AF113,增益!$A:$A,增益!$P:$P,0))</f>
        <v>0.15</v>
      </c>
      <c r="BI113" s="30">
        <f>MIN(IF(VLOOKUP($Q113,武学奇术!$A:$ZZ,23,FALSE)=1,100%,$B$8),100%)</f>
        <v>0.9712</v>
      </c>
      <c r="BJ113" s="30" cm="1">
        <f t="array" ref="BJ113">IF(VLOOKUP($Q113,武学奇术!$A:$ZZ,23,FALSE)=1,100%,MIN(80%,$B$9+VLOOKUP($Q113,武学奇术!$A:$ZZ,17,FALSE)+SUM(_xlfn.XLOOKUP(R113:AF113,增益!$A:$A,增益!$Q:$Q,0)))+$B$11+SUM(_xlfn.XLOOKUP(R113:AF113,增益!$A:$A,增益!$U:$U,0)))*IF(VLOOKUP($Q113,武学奇术!$A:$ZZ,24,FALSE)=1,0,1)</f>
        <v>0.8773</v>
      </c>
      <c r="BK113" s="30" cm="1">
        <f t="array" ref="BK113">1+$B$13+VLOOKUP($Q113,武学奇术!$A:$ZZ,18,FALSE)+SUM(_xlfn.XLOOKUP(R113:AF113,增益!$A:$A,增益!$R:$R,0))</f>
        <v>1.87</v>
      </c>
      <c r="BL113" s="30" cm="1">
        <f t="array" ref="BL113">IF(VLOOKUP($Q113,武学奇术!$A:$ZZ,24,FALSE)=1,100%,MIN(40%,$B$10+VLOOKUP($Q113,武学奇术!$A:$ZZ,19,FALSE)+SUM(_xlfn.XLOOKUP(R113:AF113,增益!$A:$A,增益!$S:$S,0)))+$B$12+SUM(_xlfn.XLOOKUP(R113:AF113,增益!$A:$A,增益!$V:$V,0)))*IF(VLOOKUP($Q113,武学奇术!$A:$ZZ,23,FALSE)=1,0,1)</f>
        <v>0.0895</v>
      </c>
      <c r="BM113" s="30" cm="1">
        <f t="array" ref="BM113">1+$B$14+VLOOKUP($Q113,武学奇术!$A:$ZZ,20,FALSE)+SUM(_xlfn.XLOOKUP(R113:AF113,增益!$A:$A,增益!$T:$T,0))</f>
        <v>1.35</v>
      </c>
      <c r="BN113" s="30">
        <f t="shared" si="59"/>
        <v>0.85203376</v>
      </c>
      <c r="BO113" s="30">
        <f t="shared" si="60"/>
        <v>0.03224384</v>
      </c>
      <c r="BP113" s="30">
        <f>IF(VLOOKUP($Q113,武学奇术!$A:$ZZ,22,FALSE)=1,0,(1-$BI113))*(1-$BL113)</f>
        <v>0.0262224</v>
      </c>
      <c r="BQ113" s="30" cm="1">
        <f t="array" ref="BQ113">SUM(_xlfn.XLOOKUP(R113:AF113,增益!$A:$A,增益!$W:$W,0))+$I$5</f>
        <v>0.11</v>
      </c>
    </row>
    <row r="114" spans="11:69">
      <c r="K114" s="41">
        <f t="shared" si="61"/>
        <v>132261.979106713</v>
      </c>
      <c r="L114" s="41">
        <f>((($AN114+$AO114)/2*$AH114+$AI114)*(1+$AP114)*(1+$AQ114)+(($AS114+$AT114)/2*IF($G$1="鸣金",$AJ114,$AH114)+IF($G$1="鸣金",$AK114*1.5,0))*(1+$AU114)*(1+$AV114)+(($AW114+$AX114)/2*IF($G$1="裂石",$AJ114,$AH114)+IF($G$1="裂石",$AK114*1.5,0))*(1+$AY114)*(1+$AZ114)+(($BA114+$BB114)/2*IF($G$1="牵丝",$AJ114,$AH114)+IF($G$1="牵丝",$AK114*1.5,0))*(1+$BC114)*(1+$BD114)+(($BE114+$BF114)/2*IF($G$1="破竹",$AJ114,$AH114)+IF($G$1="破竹",$AK114*1.5,0))*(1+$BG114)*(1+$BH114))*(1+$AL114)*$BK114*$P114*(1+IF(VLOOKUP($Q114,武学奇术!$A:$ZZ,30,FALSE)="回旋伞",$B$21,0))*(1+$BQ114)</f>
        <v>138670.564691302</v>
      </c>
      <c r="M114" s="41">
        <f>(($AO114*$AH114+$AI114)*(1+$AP114)*(1+$AQ114)+($AT114*IF($G$1="鸣金",$AJ114,$AH114)+IF($G$1="鸣金",$AK114*1.5,0))*(1+$AU114)*(1+$AV114)+($AX114*IF($G$1="裂石",$AJ114,$AH114)+IF($G$1="裂石",$AK114*1.5,0))*(1+$AY114)*(1+$AZ114)+($BB114*IF($G$1="牵丝",$AJ114,$AH114)+IF($G$1="牵丝",$AK114*1.5,0))*(1+$BC114)*(1+$BD114)+($BF114*IF($G$1="破竹",$AJ114,$AH114)+IF($G$1="破竹",$AK114*1.5,0))*(1+$BG114)*(1+$BH114))*(1+$AL114)*$BM114*$P114*(1+IF(VLOOKUP($Q114,武学奇术!$A:$ZZ,30,FALSE)="回旋伞",$B$21,0))*(1+$BQ114)</f>
        <v>111733.803374765</v>
      </c>
      <c r="N114" s="41">
        <f>((($AN114+$AO114)/2*$AH114+$AI114)*(1+$AP114)*(1+$AQ114)+(($AS114+$AT114)/2*IF($G$1="鸣金",$AJ114,$AH114)+IF($G$1="鸣金",$AK114*1.5,0))*(1+$AU114)*(1+$AV114)+(($AW114+$AX114)/2*IF($G$1="裂石",$AJ114,$AH114)+IF($G$1="裂石",$AK114*1.5,0))*(1+$AY114)*(1+$AZ114)+(($BA114+$BB114)/2*IF($G$1="牵丝",$AJ114,$AH114)+IF($G$1="牵丝",$AK114*1.5,0))*(1+$BC114)*(1+$BD114)+(($BE114+$BF114)/2*IF($G$1="破竹",$AJ114,$AH114)+IF($G$1="破竹",$AK114*1.5,0))*(1+$BG114)*(1+$BH114))*(1+$AL114)*$P114*(1+IF(VLOOKUP($Q114,武学奇术!$A:$ZZ,30,FALSE)="回旋伞",$B$21,0))*(1+$BQ114)</f>
        <v>74155.3821878619</v>
      </c>
      <c r="O114" s="41">
        <f>((($AN114*$AH114+$AI114)*(1+$AP114)*(1+$AQ114)+($AS114*IF($G$1="鸣金",$AJ114,$AH114)+IF($G$1="鸣金",$AK114*1.5,0))*(1+$AU114)*(1+$AV114)+($AW114*IF($G$1="裂石",$AJ114,$AH114)+IF($G$1="裂石",$AK114*1.5,0))*(1+$AY114)*(1+$AZ114)+($BA114*IF($G$1="牵丝",$AJ114,$AH114)+IF($G$1="牵丝",$AK114*1.5,0))*(1+$BC114)*(1+$BD114)+($BE114*IF($G$1="破竹",$AJ114,$AH114)+IF($G$1="破竹",$AK114*1.5,0))*(1+$BG114)*(1+$BH114))*(1+$AL114))*$P114*(1+IF(VLOOKUP($Q114,武学奇术!$A:$ZZ,30,FALSE)="回旋伞",$B$21,0))*(1+$BQ114)</f>
        <v>65544.9840981204</v>
      </c>
      <c r="P114" s="42">
        <v>3</v>
      </c>
      <c r="Q114" s="43" t="s">
        <v>140</v>
      </c>
      <c r="R114" s="43" t="s">
        <v>71</v>
      </c>
      <c r="S114" s="43" t="s">
        <v>91</v>
      </c>
      <c r="T114" s="43" t="s">
        <v>72</v>
      </c>
      <c r="U114" s="43" t="s">
        <v>71</v>
      </c>
      <c r="V114" s="43" t="s">
        <v>167</v>
      </c>
      <c r="W114" s="43" t="s">
        <v>95</v>
      </c>
      <c r="X114" s="43" t="s">
        <v>71</v>
      </c>
      <c r="Y114" s="43" t="s">
        <v>71</v>
      </c>
      <c r="Z114" s="43" t="s">
        <v>71</v>
      </c>
      <c r="AA114" s="43" t="s">
        <v>71</v>
      </c>
      <c r="AB114" s="43" t="s">
        <v>71</v>
      </c>
      <c r="AC114" s="43" t="s">
        <v>71</v>
      </c>
      <c r="AD114" s="43" t="s">
        <v>71</v>
      </c>
      <c r="AE114" s="43" t="s">
        <v>71</v>
      </c>
      <c r="AF114" s="43" t="s">
        <v>76</v>
      </c>
      <c r="AG114" t="str">
        <f>VLOOKUP($Q114,武学奇术!$A:$ZZ,25,FALSE)</f>
        <v>伞</v>
      </c>
      <c r="AH114" s="30">
        <f>VLOOKUP($Q114,武学奇术!$A:$ZZ,26,FALSE)</f>
        <v>2.01456</v>
      </c>
      <c r="AI114" s="31">
        <f>VLOOKUP($Q114,武学奇术!$A:$ZZ,27,FALSE)*(1+IF(OR($AG114=$F$4,$AG114=$F$5),$B$22,0))</f>
        <v>781.2</v>
      </c>
      <c r="AJ114" s="30">
        <f>VLOOKUP($Q114,武学奇术!$A:$ZZ,28,FALSE)</f>
        <v>3.02184</v>
      </c>
      <c r="AK114" s="31">
        <f>VLOOKUP($Q114,武学奇术!$A:$ZZ,29,FALSE)*(1+IF(OR($AG114=$F$4,$AG114=$F$5),$B$22,0))</f>
        <v>423.36</v>
      </c>
      <c r="AL114" s="30" cm="1">
        <f t="array" ref="AL114">$G$3+IFERROR(VLOOKUP($AG114,$F$4:$G$7,2,FALSE),0)+VLOOKUP($Q114,武学奇术!$A:$ZZ,2,FALSE)+SUM(_xlfn.XLOOKUP($R114:$AF114,增益!$A:$A,增益!$B:$B,0))</f>
        <v>0.4541</v>
      </c>
      <c r="AM114" s="30" cm="1">
        <f t="array" ref="AM114">VLOOKUP($Q114,武学奇术!$A:$ZZ,5,FALSE)+SUM(_xlfn.XLOOKUP($R114:$AF114,增益!$A:$A,增益!$E:$E,0))</f>
        <v>0</v>
      </c>
      <c r="AN114" cm="1">
        <f t="array" ref="AN114">$D$10*(1+$AM114)+VLOOKUP($Q114,武学奇术!$A:$ZZ,3,FALSE)+SUM(_xlfn.XLOOKUP($R114:$AF114,增益!$A:$A,增益!$C:$C,0))-$I$2</f>
        <v>3545.8</v>
      </c>
      <c r="AO114" cm="1">
        <f t="array" ref="AO114">$E$10*(1+$AM114)+VLOOKUP($Q114,武学奇术!$A:$ZZ,4,FALSE)+SUM(_xlfn.XLOOKUP($R114:$AF114,增益!$A:$A,增益!$D:$D,0))-$I$2</f>
        <v>3545.8</v>
      </c>
      <c r="AP114" s="35" cm="1">
        <f t="array" ref="AP114">IF($F$10-$I$3+VLOOKUP($Q114,武学奇术!$A:$ZZ,6,FALSE)+SUM(_xlfn.XLOOKUP(R114:AF114,增益!$A:$A,增益!$F:$F,0))&gt;0,($F$10-$I$3+VLOOKUP($Q114,武学奇术!$A:$ZZ,6,FALSE)+SUM(_xlfn.XLOOKUP(R114:AF114,增益!$A:$A,增益!$F:$F,0)))/200,($F$10-$I$3+VLOOKUP($Q114,武学奇术!$A:$ZZ,6,FALSE)+SUM(_xlfn.XLOOKUP(R114:AF114,增益!$A:$A,增益!$F:$F,0)))/100)</f>
        <v>0.3425</v>
      </c>
      <c r="AQ114" s="35" cm="1">
        <f t="array" ref="AQ114">$G$10+VLOOKUP($Q114,武学奇术!$A:$ZZ,7,FALSE)+SUM(_xlfn.XLOOKUP(R114:AF114,增益!$A:$A,增益!$G:$G,0))</f>
        <v>0.028</v>
      </c>
      <c r="AR114" s="30" cm="1">
        <f t="array" ref="AR114">VLOOKUP($Q114,武学奇术!$A:$ZZ,8,FALSE)+SUM(_xlfn.XLOOKUP(R114:AF114,增益!$A:$A,增益!$H:$H,0))</f>
        <v>0</v>
      </c>
      <c r="AS114">
        <f t="shared" si="51"/>
        <v>0</v>
      </c>
      <c r="AT114">
        <f t="shared" si="52"/>
        <v>0</v>
      </c>
      <c r="AU114" s="35" cm="1">
        <f t="array" ref="AU114">IF($F$11-$I$4+VLOOKUP($Q114,武学奇术!$A:$ZZ,9,FALSE)+SUM(_xlfn.XLOOKUP(R114:AF114,增益!$A:$A,增益!$I:$I,0))&gt;0,($F$11-$I$4+VLOOKUP($Q114,武学奇术!$A:$ZZ,9,FALSE)+SUM(_xlfn.XLOOKUP(R114:AF114,增益!$A:$A,增益!$I:$I,0)))/200,($F$11-$I$4+VLOOKUP($Q114,武学奇术!$A:$ZZ,9,FALSE)+SUM(_xlfn.XLOOKUP(R114:AF114,增益!$A:$A,增益!$I:$I,0)))/100)</f>
        <v>-0.3</v>
      </c>
      <c r="AV114" s="35" cm="1">
        <f t="array" ref="AV114">$G$11+VLOOKUP($Q114,武学奇术!$A:$ZZ,10,FALSE)+SUM(_xlfn.XLOOKUP(R114:AF114,增益!$A:$A,增益!$J:$J,0))</f>
        <v>0</v>
      </c>
      <c r="AW114">
        <f t="shared" si="53"/>
        <v>0</v>
      </c>
      <c r="AX114">
        <f t="shared" si="54"/>
        <v>0</v>
      </c>
      <c r="AY114" s="35" cm="1">
        <f t="array" ref="AY114">IF($F$12-$I$4+VLOOKUP($Q114,武学奇术!$A:$ZZ,11,FALSE)+SUM(_xlfn.XLOOKUP(R114:AF114,增益!$A:$A,增益!$K:$K,0))&gt;0,($F$12-$I$4+VLOOKUP($Q114,武学奇术!$A:$ZZ,11,FALSE)+SUM(_xlfn.XLOOKUP(R114:AF114,增益!$A:$A,增益!$K:$K,0)))/200,($F$12-$I$4+VLOOKUP($Q114,武学奇术!$A:$ZZ,11,FALSE)+SUM(_xlfn.XLOOKUP(R114:AF114,增益!$A:$A,增益!$K:$K,0)))/100)</f>
        <v>-0.3</v>
      </c>
      <c r="AZ114" s="35" cm="1">
        <f t="array" ref="AZ114">$G$12+VLOOKUP($Q114,武学奇术!$A:$ZZ,12,FALSE)+SUM(_xlfn.XLOOKUP(R114:AF114,增益!$A:$A,增益!$L:$L,0))</f>
        <v>0</v>
      </c>
      <c r="BA114">
        <f t="shared" si="55"/>
        <v>0</v>
      </c>
      <c r="BB114">
        <f t="shared" si="56"/>
        <v>0</v>
      </c>
      <c r="BC114" s="35" cm="1">
        <f t="array" ref="BC114">IF($F$13-$I$4+VLOOKUP($Q114,武学奇术!$A:$ZZ,13,FALSE)+SUM(_xlfn.XLOOKUP(R114:AF114,增益!$A:$A,增益!$M:$M,0))&gt;0,($F$13-$I$4+VLOOKUP($Q114,武学奇术!$A:$ZZ,13,FALSE)+SUM(_xlfn.XLOOKUP(R114:AF114,增益!$A:$A,增益!$K:$K,0)))/200,($F$13-$I$4+VLOOKUP($Q114,武学奇术!$A:$ZZ,13,FALSE)+SUM(_xlfn.XLOOKUP(R114:AF114,增益!$A:$A,增益!$M:$M,0)))/100)</f>
        <v>-0.3</v>
      </c>
      <c r="BD114" s="35" cm="1">
        <f t="array" ref="BD114">$G$13+VLOOKUP($Q114,武学奇术!$A:$ZZ,14,FALSE)+SUM(_xlfn.XLOOKUP(R114:AF114,增益!$A:$A,增益!$N:$N,0))</f>
        <v>0</v>
      </c>
      <c r="BE114">
        <f t="shared" si="57"/>
        <v>538</v>
      </c>
      <c r="BF114">
        <f t="shared" si="58"/>
        <v>1561.4</v>
      </c>
      <c r="BG114" s="35" cm="1">
        <f t="array" ref="BG114">IF($F$14-$I$4+VLOOKUP($Q114,武学奇术!$A:$ZZ,15,FALSE)+SUM(_xlfn.XLOOKUP(R114:AF114,增益!$A:$A,增益!$O:$O,0))&gt;0,($F$14-$I$4+VLOOKUP($Q114,武学奇术!$A:$ZZ,15,FALSE)+SUM(_xlfn.XLOOKUP(R114:AF114,增益!$A:$A,增益!$O:$O,0)))/200,($F$14-$I$4+VLOOKUP($Q114,武学奇术!$A:$ZZ,15,FALSE)+SUM(_xlfn.XLOOKUP(R114:AF114,增益!$A:$A,增益!$O:$O,0)))/100)</f>
        <v>0</v>
      </c>
      <c r="BH114" s="35" cm="1">
        <f t="array" ref="BH114">$G$14+VLOOKUP($Q114,武学奇术!$A:$ZZ,16,FALSE)+SUM(_xlfn.XLOOKUP(R114:AF114,增益!$A:$A,增益!$P:$P,0))</f>
        <v>0.15</v>
      </c>
      <c r="BI114" s="30">
        <f>MIN(IF(VLOOKUP($Q114,武学奇术!$A:$ZZ,23,FALSE)=1,100%,$B$8),100%)</f>
        <v>0.9712</v>
      </c>
      <c r="BJ114" s="30" cm="1">
        <f t="array" ref="BJ114">IF(VLOOKUP($Q114,武学奇术!$A:$ZZ,23,FALSE)=1,100%,MIN(80%,$B$9+VLOOKUP($Q114,武学奇术!$A:$ZZ,17,FALSE)+SUM(_xlfn.XLOOKUP(R114:AF114,增益!$A:$A,增益!$Q:$Q,0)))+$B$11+SUM(_xlfn.XLOOKUP(R114:AF114,增益!$A:$A,增益!$U:$U,0)))*IF(VLOOKUP($Q114,武学奇术!$A:$ZZ,24,FALSE)=1,0,1)</f>
        <v>0.8773</v>
      </c>
      <c r="BK114" s="30" cm="1">
        <f t="array" ref="BK114">1+$B$13+VLOOKUP($Q114,武学奇术!$A:$ZZ,18,FALSE)+SUM(_xlfn.XLOOKUP(R114:AF114,增益!$A:$A,增益!$R:$R,0))</f>
        <v>1.87</v>
      </c>
      <c r="BL114" s="30" cm="1">
        <f t="array" ref="BL114">IF(VLOOKUP($Q114,武学奇术!$A:$ZZ,24,FALSE)=1,100%,MIN(40%,$B$10+VLOOKUP($Q114,武学奇术!$A:$ZZ,19,FALSE)+SUM(_xlfn.XLOOKUP(R114:AF114,增益!$A:$A,增益!$S:$S,0)))+$B$12+SUM(_xlfn.XLOOKUP(R114:AF114,增益!$A:$A,增益!$V:$V,0)))*IF(VLOOKUP($Q114,武学奇术!$A:$ZZ,23,FALSE)=1,0,1)</f>
        <v>0.0895</v>
      </c>
      <c r="BM114" s="30" cm="1">
        <f t="array" ref="BM114">1+$B$14+VLOOKUP($Q114,武学奇术!$A:$ZZ,20,FALSE)+SUM(_xlfn.XLOOKUP(R114:AF114,增益!$A:$A,增益!$T:$T,0))</f>
        <v>1.35</v>
      </c>
      <c r="BN114" s="30">
        <f t="shared" si="59"/>
        <v>0.85203376</v>
      </c>
      <c r="BO114" s="30">
        <f t="shared" si="60"/>
        <v>0.03224384</v>
      </c>
      <c r="BP114" s="30">
        <f>IF(VLOOKUP($Q114,武学奇术!$A:$ZZ,22,FALSE)=1,0,(1-$BI114))*(1-$BL114)</f>
        <v>0.0262224</v>
      </c>
      <c r="BQ114" s="30" cm="1">
        <f t="array" ref="BQ114">SUM(_xlfn.XLOOKUP(R114:AF114,增益!$A:$A,增益!$W:$W,0))+$I$5</f>
        <v>0.11</v>
      </c>
    </row>
    <row r="115" spans="11:69">
      <c r="K115" s="41">
        <f t="shared" si="61"/>
        <v>35595.9546651633</v>
      </c>
      <c r="L115" s="41">
        <f>((($AN115+$AO115)/2*$AH115+$AI115)*(1+$AP115)*(1+$AQ115)+(($AS115+$AT115)/2*IF($G$1="鸣金",$AJ115,$AH115)+IF($G$1="鸣金",$AK115*1.5,0))*(1+$AU115)*(1+$AV115)+(($AW115+$AX115)/2*IF($G$1="裂石",$AJ115,$AH115)+IF($G$1="裂石",$AK115*1.5,0))*(1+$AY115)*(1+$AZ115)+(($BA115+$BB115)/2*IF($G$1="牵丝",$AJ115,$AH115)+IF($G$1="牵丝",$AK115*1.5,0))*(1+$BC115)*(1+$BD115)+(($BE115+$BF115)/2*IF($G$1="破竹",$AJ115,$AH115)+IF($G$1="破竹",$AK115*1.5,0))*(1+$BG115)*(1+$BH115))*(1+$AL115)*$BK115*$P115*(1+IF(VLOOKUP($Q115,武学奇术!$A:$ZZ,30,FALSE)="回旋伞",$B$21,0))*(1+$BQ115)</f>
        <v>37289.9607611136</v>
      </c>
      <c r="M115" s="41">
        <f>(($AO115*$AH115+$AI115)*(1+$AP115)*(1+$AQ115)+($AT115*IF($G$1="鸣金",$AJ115,$AH115)+IF($G$1="鸣金",$AK115*1.5,0))*(1+$AU115)*(1+$AV115)+($AX115*IF($G$1="裂石",$AJ115,$AH115)+IF($G$1="裂石",$AK115*1.5,0))*(1+$AY115)*(1+$AZ115)+($BB115*IF($G$1="牵丝",$AJ115,$AH115)+IF($G$1="牵丝",$AK115*1.5,0))*(1+$BC115)*(1+$BD115)+($BF115*IF($G$1="破竹",$AJ115,$AH115)+IF($G$1="破竹",$AK115*1.5,0))*(1+$BG115)*(1+$BH115))*(1+$AL115)*$BM115*$P115*(1+IF(VLOOKUP($Q115,武学奇术!$A:$ZZ,30,FALSE)="回旋伞",$B$21,0))*(1+$BQ115)</f>
        <v>30464.9216476038</v>
      </c>
      <c r="N115" s="41">
        <f>((($AN115+$AO115)/2*$AH115+$AI115)*(1+$AP115)*(1+$AQ115)+(($AS115+$AT115)/2*IF($G$1="鸣金",$AJ115,$AH115)+IF($G$1="鸣金",$AK115*1.5,0))*(1+$AU115)*(1+$AV115)+(($AW115+$AX115)/2*IF($G$1="裂石",$AJ115,$AH115)+IF($G$1="裂石",$AK115*1.5,0))*(1+$AY115)*(1+$AZ115)+(($BA115+$BB115)/2*IF($G$1="牵丝",$AJ115,$AH115)+IF($G$1="牵丝",$AK115*1.5,0))*(1+$BC115)*(1+$BD115)+(($BE115+$BF115)/2*IF($G$1="破竹",$AJ115,$AH115)+IF($G$1="破竹",$AK115*1.5,0))*(1+$BG115)*(1+$BH115))*(1+$AL115)*$P115*(1+IF(VLOOKUP($Q115,武学奇术!$A:$ZZ,30,FALSE)="回旋伞",$B$21,0))*(1+$BQ115)</f>
        <v>19941.1554872265</v>
      </c>
      <c r="O115" s="41">
        <f>((($AN115*$AH115+$AI115)*(1+$AP115)*(1+$AQ115)+($AS115*IF($G$1="鸣金",$AJ115,$AH115)+IF($G$1="鸣金",$AK115*1.5,0))*(1+$AU115)*(1+$AV115)+($AW115*IF($G$1="裂石",$AJ115,$AH115)+IF($G$1="裂石",$AK115*1.5,0))*(1+$AY115)*(1+$AZ115)+($BA115*IF($G$1="牵丝",$AJ115,$AH115)+IF($G$1="牵丝",$AK115*1.5,0))*(1+$BC115)*(1+$BD115)+($BE115*IF($G$1="破竹",$AJ115,$AH115)+IF($G$1="破竹",$AK115*1.5,0))*(1+$BG115)*(1+$BH115))*(1+$AL115))*$P115*(1+IF(VLOOKUP($Q115,武学奇术!$A:$ZZ,30,FALSE)="回旋伞",$B$21,0))*(1+$BQ115)</f>
        <v>17315.7023465984</v>
      </c>
      <c r="P115" s="42">
        <v>3</v>
      </c>
      <c r="Q115" s="43" t="s">
        <v>143</v>
      </c>
      <c r="R115" s="43" t="s">
        <v>71</v>
      </c>
      <c r="S115" s="43" t="s">
        <v>91</v>
      </c>
      <c r="T115" s="43" t="s">
        <v>72</v>
      </c>
      <c r="U115" s="43" t="s">
        <v>71</v>
      </c>
      <c r="V115" s="43" t="s">
        <v>167</v>
      </c>
      <c r="W115" s="43" t="s">
        <v>95</v>
      </c>
      <c r="X115" s="43" t="s">
        <v>71</v>
      </c>
      <c r="Y115" s="43" t="s">
        <v>71</v>
      </c>
      <c r="Z115" s="43" t="s">
        <v>71</v>
      </c>
      <c r="AA115" s="43" t="s">
        <v>71</v>
      </c>
      <c r="AB115" s="43" t="s">
        <v>71</v>
      </c>
      <c r="AC115" s="43" t="s">
        <v>71</v>
      </c>
      <c r="AD115" s="43" t="s">
        <v>71</v>
      </c>
      <c r="AE115" s="43" t="s">
        <v>71</v>
      </c>
      <c r="AF115" s="43" t="s">
        <v>76</v>
      </c>
      <c r="AG115" t="str">
        <f>VLOOKUP($Q115,武学奇术!$A:$ZZ,25,FALSE)</f>
        <v>伞</v>
      </c>
      <c r="AH115" s="30">
        <f>VLOOKUP($Q115,武学奇术!$A:$ZZ,26,FALSE)</f>
        <v>0.54</v>
      </c>
      <c r="AI115" s="31">
        <f>VLOOKUP($Q115,武学奇术!$A:$ZZ,27,FALSE)*(1+IF(OR($AG115=$F$4,$AG115=$F$5),$B$22,0))</f>
        <v>0</v>
      </c>
      <c r="AJ115" s="30">
        <f>VLOOKUP($Q115,武学奇术!$A:$ZZ,28,FALSE)</f>
        <v>0.81</v>
      </c>
      <c r="AK115" s="31">
        <f>VLOOKUP($Q115,武学奇术!$A:$ZZ,29,FALSE)*(1+IF(OR($AG115=$F$4,$AG115=$F$5),$B$22,0))</f>
        <v>0</v>
      </c>
      <c r="AL115" s="30" cm="1">
        <f t="array" ref="AL115">$G$3+IFERROR(VLOOKUP($AG115,$F$4:$G$7,2,FALSE),0)+VLOOKUP($Q115,武学奇术!$A:$ZZ,2,FALSE)+SUM(_xlfn.XLOOKUP($R115:$AF115,增益!$A:$A,增益!$B:$B,0))</f>
        <v>0.6541</v>
      </c>
      <c r="AM115" s="30" cm="1">
        <f t="array" ref="AM115">VLOOKUP($Q115,武学奇术!$A:$ZZ,5,FALSE)+SUM(_xlfn.XLOOKUP($R115:$AF115,增益!$A:$A,增益!$E:$E,0))</f>
        <v>0</v>
      </c>
      <c r="AN115" cm="1">
        <f t="array" ref="AN115">$D$10*(1+$AM115)+VLOOKUP($Q115,武学奇术!$A:$ZZ,3,FALSE)+SUM(_xlfn.XLOOKUP($R115:$AF115,增益!$A:$A,增益!$C:$C,0))-$I$2</f>
        <v>3545.8</v>
      </c>
      <c r="AO115" cm="1">
        <f t="array" ref="AO115">$E$10*(1+$AM115)+VLOOKUP($Q115,武学奇术!$A:$ZZ,4,FALSE)+SUM(_xlfn.XLOOKUP($R115:$AF115,增益!$A:$A,增益!$D:$D,0))-$I$2</f>
        <v>3545.8</v>
      </c>
      <c r="AP115" s="35" cm="1">
        <f t="array" ref="AP115">IF($F$10-$I$3+VLOOKUP($Q115,武学奇术!$A:$ZZ,6,FALSE)+SUM(_xlfn.XLOOKUP(R115:AF115,增益!$A:$A,增益!$F:$F,0))&gt;0,($F$10-$I$3+VLOOKUP($Q115,武学奇术!$A:$ZZ,6,FALSE)+SUM(_xlfn.XLOOKUP(R115:AF115,增益!$A:$A,增益!$F:$F,0)))/200,($F$10-$I$3+VLOOKUP($Q115,武学奇术!$A:$ZZ,6,FALSE)+SUM(_xlfn.XLOOKUP(R115:AF115,增益!$A:$A,增益!$F:$F,0)))/100)</f>
        <v>0.3425</v>
      </c>
      <c r="AQ115" s="35" cm="1">
        <f t="array" ref="AQ115">$G$10+VLOOKUP($Q115,武学奇术!$A:$ZZ,7,FALSE)+SUM(_xlfn.XLOOKUP(R115:AF115,增益!$A:$A,增益!$G:$G,0))</f>
        <v>0.028</v>
      </c>
      <c r="AR115" s="30" cm="1">
        <f t="array" ref="AR115">VLOOKUP($Q115,武学奇术!$A:$ZZ,8,FALSE)+SUM(_xlfn.XLOOKUP(R115:AF115,增益!$A:$A,增益!$H:$H,0))</f>
        <v>0</v>
      </c>
      <c r="AS115">
        <f t="shared" si="51"/>
        <v>0</v>
      </c>
      <c r="AT115">
        <f t="shared" si="52"/>
        <v>0</v>
      </c>
      <c r="AU115" s="35" cm="1">
        <f t="array" ref="AU115">IF($F$11-$I$4+VLOOKUP($Q115,武学奇术!$A:$ZZ,9,FALSE)+SUM(_xlfn.XLOOKUP(R115:AF115,增益!$A:$A,增益!$I:$I,0))&gt;0,($F$11-$I$4+VLOOKUP($Q115,武学奇术!$A:$ZZ,9,FALSE)+SUM(_xlfn.XLOOKUP(R115:AF115,增益!$A:$A,增益!$I:$I,0)))/200,($F$11-$I$4+VLOOKUP($Q115,武学奇术!$A:$ZZ,9,FALSE)+SUM(_xlfn.XLOOKUP(R115:AF115,增益!$A:$A,增益!$I:$I,0)))/100)</f>
        <v>-0.3</v>
      </c>
      <c r="AV115" s="35" cm="1">
        <f t="array" ref="AV115">$G$11+VLOOKUP($Q115,武学奇术!$A:$ZZ,10,FALSE)+SUM(_xlfn.XLOOKUP(R115:AF115,增益!$A:$A,增益!$J:$J,0))</f>
        <v>0</v>
      </c>
      <c r="AW115">
        <f t="shared" si="53"/>
        <v>0</v>
      </c>
      <c r="AX115">
        <f t="shared" si="54"/>
        <v>0</v>
      </c>
      <c r="AY115" s="35" cm="1">
        <f t="array" ref="AY115">IF($F$12-$I$4+VLOOKUP($Q115,武学奇术!$A:$ZZ,11,FALSE)+SUM(_xlfn.XLOOKUP(R115:AF115,增益!$A:$A,增益!$K:$K,0))&gt;0,($F$12-$I$4+VLOOKUP($Q115,武学奇术!$A:$ZZ,11,FALSE)+SUM(_xlfn.XLOOKUP(R115:AF115,增益!$A:$A,增益!$K:$K,0)))/200,($F$12-$I$4+VLOOKUP($Q115,武学奇术!$A:$ZZ,11,FALSE)+SUM(_xlfn.XLOOKUP(R115:AF115,增益!$A:$A,增益!$K:$K,0)))/100)</f>
        <v>-0.3</v>
      </c>
      <c r="AZ115" s="35" cm="1">
        <f t="array" ref="AZ115">$G$12+VLOOKUP($Q115,武学奇术!$A:$ZZ,12,FALSE)+SUM(_xlfn.XLOOKUP(R115:AF115,增益!$A:$A,增益!$L:$L,0))</f>
        <v>0</v>
      </c>
      <c r="BA115">
        <f t="shared" si="55"/>
        <v>0</v>
      </c>
      <c r="BB115">
        <f t="shared" si="56"/>
        <v>0</v>
      </c>
      <c r="BC115" s="35" cm="1">
        <f t="array" ref="BC115">IF($F$13-$I$4+VLOOKUP($Q115,武学奇术!$A:$ZZ,13,FALSE)+SUM(_xlfn.XLOOKUP(R115:AF115,增益!$A:$A,增益!$M:$M,0))&gt;0,($F$13-$I$4+VLOOKUP($Q115,武学奇术!$A:$ZZ,13,FALSE)+SUM(_xlfn.XLOOKUP(R115:AF115,增益!$A:$A,增益!$K:$K,0)))/200,($F$13-$I$4+VLOOKUP($Q115,武学奇术!$A:$ZZ,13,FALSE)+SUM(_xlfn.XLOOKUP(R115:AF115,增益!$A:$A,增益!$M:$M,0)))/100)</f>
        <v>-0.3</v>
      </c>
      <c r="BD115" s="35" cm="1">
        <f t="array" ref="BD115">$G$13+VLOOKUP($Q115,武学奇术!$A:$ZZ,14,FALSE)+SUM(_xlfn.XLOOKUP(R115:AF115,增益!$A:$A,增益!$N:$N,0))</f>
        <v>0</v>
      </c>
      <c r="BE115">
        <f t="shared" si="57"/>
        <v>538</v>
      </c>
      <c r="BF115">
        <f t="shared" si="58"/>
        <v>1561.4</v>
      </c>
      <c r="BG115" s="35" cm="1">
        <f t="array" ref="BG115">IF($F$14-$I$4+VLOOKUP($Q115,武学奇术!$A:$ZZ,15,FALSE)+SUM(_xlfn.XLOOKUP(R115:AF115,增益!$A:$A,增益!$O:$O,0))&gt;0,($F$14-$I$4+VLOOKUP($Q115,武学奇术!$A:$ZZ,15,FALSE)+SUM(_xlfn.XLOOKUP(R115:AF115,增益!$A:$A,增益!$O:$O,0)))/200,($F$14-$I$4+VLOOKUP($Q115,武学奇术!$A:$ZZ,15,FALSE)+SUM(_xlfn.XLOOKUP(R115:AF115,增益!$A:$A,增益!$O:$O,0)))/100)</f>
        <v>0</v>
      </c>
      <c r="BH115" s="35" cm="1">
        <f t="array" ref="BH115">$G$14+VLOOKUP($Q115,武学奇术!$A:$ZZ,16,FALSE)+SUM(_xlfn.XLOOKUP(R115:AF115,增益!$A:$A,增益!$P:$P,0))</f>
        <v>0.15</v>
      </c>
      <c r="BI115" s="30">
        <f>MIN(IF(VLOOKUP($Q115,武学奇术!$A:$ZZ,23,FALSE)=1,100%,$B$8),100%)</f>
        <v>0.9712</v>
      </c>
      <c r="BJ115" s="30" cm="1">
        <f t="array" ref="BJ115">IF(VLOOKUP($Q115,武学奇术!$A:$ZZ,23,FALSE)=1,100%,MIN(80%,$B$9+VLOOKUP($Q115,武学奇术!$A:$ZZ,17,FALSE)+SUM(_xlfn.XLOOKUP(R115:AF115,增益!$A:$A,增益!$Q:$Q,0)))+$B$11+SUM(_xlfn.XLOOKUP(R115:AF115,增益!$A:$A,增益!$U:$U,0)))*IF(VLOOKUP($Q115,武学奇术!$A:$ZZ,24,FALSE)=1,0,1)</f>
        <v>0.8773</v>
      </c>
      <c r="BK115" s="30" cm="1">
        <f t="array" ref="BK115">1+$B$13+VLOOKUP($Q115,武学奇术!$A:$ZZ,18,FALSE)+SUM(_xlfn.XLOOKUP(R115:AF115,增益!$A:$A,增益!$R:$R,0))</f>
        <v>1.87</v>
      </c>
      <c r="BL115" s="30" cm="1">
        <f t="array" ref="BL115">IF(VLOOKUP($Q115,武学奇术!$A:$ZZ,24,FALSE)=1,100%,MIN(40%,$B$10+VLOOKUP($Q115,武学奇术!$A:$ZZ,19,FALSE)+SUM(_xlfn.XLOOKUP(R115:AF115,增益!$A:$A,增益!$S:$S,0)))+$B$12+SUM(_xlfn.XLOOKUP(R115:AF115,增益!$A:$A,增益!$V:$V,0)))*IF(VLOOKUP($Q115,武学奇术!$A:$ZZ,23,FALSE)=1,0,1)</f>
        <v>0.0895</v>
      </c>
      <c r="BM115" s="30" cm="1">
        <f t="array" ref="BM115">1+$B$14+VLOOKUP($Q115,武学奇术!$A:$ZZ,20,FALSE)+SUM(_xlfn.XLOOKUP(R115:AF115,增益!$A:$A,增益!$T:$T,0))</f>
        <v>1.35</v>
      </c>
      <c r="BN115" s="30">
        <f t="shared" si="59"/>
        <v>0.85203376</v>
      </c>
      <c r="BO115" s="30">
        <f t="shared" si="60"/>
        <v>0.03224384</v>
      </c>
      <c r="BP115" s="30">
        <f>IF(VLOOKUP($Q115,武学奇术!$A:$ZZ,22,FALSE)=1,0,(1-$BI115))*(1-$BL115)</f>
        <v>0.0262224</v>
      </c>
      <c r="BQ115" s="30" cm="1">
        <f t="array" ref="BQ115">SUM(_xlfn.XLOOKUP(R115:AF115,增益!$A:$A,增益!$W:$W,0))+$I$5</f>
        <v>0.11</v>
      </c>
    </row>
    <row r="116" spans="11:69">
      <c r="K116" s="41">
        <f t="shared" si="61"/>
        <v>177674.221044083</v>
      </c>
      <c r="L116" s="41">
        <f>((($AN116+$AO116)/2*$AH116+$AI116)*(1+$AP116)*(1+$AQ116)+(($AS116+$AT116)/2*IF($G$1="鸣金",$AJ116,$AH116)+IF($G$1="鸣金",$AK116*1.5,0))*(1+$AU116)*(1+$AV116)+(($AW116+$AX116)/2*IF($G$1="裂石",$AJ116,$AH116)+IF($G$1="裂石",$AK116*1.5,0))*(1+$AY116)*(1+$AZ116)+(($BA116+$BB116)/2*IF($G$1="牵丝",$AJ116,$AH116)+IF($G$1="牵丝",$AK116*1.5,0))*(1+$BC116)*(1+$BD116)+(($BE116+$BF116)/2*IF($G$1="破竹",$AJ116,$AH116)+IF($G$1="破竹",$AK116*1.5,0))*(1+$BG116)*(1+$BH116))*(1+$AL116)*$BK116*$P116*(1+IF(VLOOKUP($Q116,武学奇术!$A:$ZZ,30,FALSE)="回旋伞",$B$21,0))*(1+$BQ116)</f>
        <v>188584.679608422</v>
      </c>
      <c r="M116" s="41">
        <f>(($AO116*$AH116+$AI116)*(1+$AP116)*(1+$AQ116)+($AT116*IF($G$1="鸣金",$AJ116,$AH116)+IF($G$1="鸣金",$AK116*1.5,0))*(1+$AU116)*(1+$AV116)+($AX116*IF($G$1="裂石",$AJ116,$AH116)+IF($G$1="裂石",$AK116*1.5,0))*(1+$AY116)*(1+$AZ116)+($BB116*IF($G$1="牵丝",$AJ116,$AH116)+IF($G$1="牵丝",$AK116*1.5,0))*(1+$BC116)*(1+$BD116)+($BF116*IF($G$1="破竹",$AJ116,$AH116)+IF($G$1="破竹",$AK116*1.5,0))*(1+$BG116)*(1+$BH116))*(1+$AL116)*$BM116*$P116*(1+IF(VLOOKUP($Q116,武学奇术!$A:$ZZ,30,FALSE)="回旋伞",$B$21,0))*(1+$BQ116)</f>
        <v>134999.518345356</v>
      </c>
      <c r="N116" s="41">
        <f>((($AN116+$AO116)/2*$AH116+$AI116)*(1+$AP116)*(1+$AQ116)+(($AS116+$AT116)/2*IF($G$1="鸣金",$AJ116,$AH116)+IF($G$1="鸣金",$AK116*1.5,0))*(1+$AU116)*(1+$AV116)+(($AW116+$AX116)/2*IF($G$1="裂石",$AJ116,$AH116)+IF($G$1="裂石",$AK116*1.5,0))*(1+$AY116)*(1+$AZ116)+(($BA116+$BB116)/2*IF($G$1="牵丝",$AJ116,$AH116)+IF($G$1="牵丝",$AK116*1.5,0))*(1+$BC116)*(1+$BD116)+(($BE116+$BF116)/2*IF($G$1="破竹",$AJ116,$AH116)+IF($G$1="破竹",$AK116*1.5,0))*(1+$BG116)*(1+$BH116))*(1+$AL116)*$P116*(1+IF(VLOOKUP($Q116,武学奇术!$A:$ZZ,30,FALSE)="回旋伞",$B$21,0))*(1+$BQ116)</f>
        <v>88955.0375511424</v>
      </c>
      <c r="O116" s="41">
        <f>((($AN116*$AH116+$AI116)*(1+$AP116)*(1+$AQ116)+($AS116*IF($G$1="鸣金",$AJ116,$AH116)+IF($G$1="鸣金",$AK116*1.5,0))*(1+$AU116)*(1+$AV116)+($AW116*IF($G$1="裂石",$AJ116,$AH116)+IF($G$1="裂石",$AK116*1.5,0))*(1+$AY116)*(1+$AZ116)+($BA116*IF($G$1="牵丝",$AJ116,$AH116)+IF($G$1="牵丝",$AK116*1.5,0))*(1+$BC116)*(1+$BD116)+($BE116*IF($G$1="破竹",$AJ116,$AH116)+IF($G$1="破竹",$AK116*1.5,0))*(1+$BG116)*(1+$BH116))*(1+$AL116))*$P116*(1+IF(VLOOKUP($Q116,武学奇术!$A:$ZZ,30,FALSE)="回旋伞",$B$21,0))*(1+$BQ116)</f>
        <v>77910.4318835023</v>
      </c>
      <c r="P116" s="42">
        <v>4</v>
      </c>
      <c r="Q116" s="43" t="s">
        <v>70</v>
      </c>
      <c r="R116" s="43" t="s">
        <v>71</v>
      </c>
      <c r="S116" s="43" t="s">
        <v>91</v>
      </c>
      <c r="T116" s="43" t="s">
        <v>72</v>
      </c>
      <c r="U116" s="43" t="s">
        <v>79</v>
      </c>
      <c r="V116" s="43" t="s">
        <v>167</v>
      </c>
      <c r="W116" s="43" t="s">
        <v>95</v>
      </c>
      <c r="X116" s="43" t="s">
        <v>82</v>
      </c>
      <c r="Y116" s="43" t="s">
        <v>177</v>
      </c>
      <c r="Z116" s="43" t="s">
        <v>178</v>
      </c>
      <c r="AA116" s="43" t="s">
        <v>71</v>
      </c>
      <c r="AB116" s="43" t="s">
        <v>179</v>
      </c>
      <c r="AC116" s="43" t="s">
        <v>71</v>
      </c>
      <c r="AD116" s="43" t="s">
        <v>71</v>
      </c>
      <c r="AE116" s="43" t="s">
        <v>71</v>
      </c>
      <c r="AF116" s="43" t="s">
        <v>76</v>
      </c>
      <c r="AG116" t="str">
        <f>VLOOKUP($Q116,武学奇术!$A:$ZZ,25,FALSE)</f>
        <v>群体奇术</v>
      </c>
      <c r="AH116" s="30">
        <f>VLOOKUP($Q116,武学奇术!$A:$ZZ,26,FALSE)</f>
        <v>1.4904</v>
      </c>
      <c r="AI116" s="31">
        <f>VLOOKUP($Q116,武学奇术!$A:$ZZ,27,FALSE)*(1+IF(OR($AG116=$F$4,$AG116=$F$5),$B$22,0))</f>
        <v>368</v>
      </c>
      <c r="AJ116" s="30">
        <f>VLOOKUP($Q116,武学奇术!$A:$ZZ,28,FALSE)</f>
        <v>2.2353</v>
      </c>
      <c r="AK116" s="31">
        <f>VLOOKUP($Q116,武学奇术!$A:$ZZ,29,FALSE)*(1+IF(OR($AG116=$F$4,$AG116=$F$5),$B$22,0))</f>
        <v>0</v>
      </c>
      <c r="AL116" s="30" cm="1">
        <f t="array" ref="AL116">$G$3+IFERROR(VLOOKUP($AG116,$F$4:$G$7,2,FALSE),0)+VLOOKUP($Q116,武学奇术!$A:$ZZ,2,FALSE)+SUM(_xlfn.XLOOKUP($R116:$AF116,增益!$A:$A,增益!$B:$B,0))</f>
        <v>0.4837</v>
      </c>
      <c r="AM116" s="30" cm="1">
        <f t="array" ref="AM116">VLOOKUP($Q116,武学奇术!$A:$ZZ,5,FALSE)+SUM(_xlfn.XLOOKUP($R116:$AF116,增益!$A:$A,增益!$E:$E,0))</f>
        <v>0</v>
      </c>
      <c r="AN116" cm="1">
        <f t="array" ref="AN116">$D$10*(1+$AM116)+VLOOKUP($Q116,武学奇术!$A:$ZZ,3,FALSE)+SUM(_xlfn.XLOOKUP($R116:$AF116,增益!$A:$A,增益!$C:$C,0))-$I$2</f>
        <v>3545.8</v>
      </c>
      <c r="AO116" cm="1">
        <f t="array" ref="AO116">$E$10*(1+$AM116)+VLOOKUP($Q116,武学奇术!$A:$ZZ,4,FALSE)+SUM(_xlfn.XLOOKUP($R116:$AF116,增益!$A:$A,增益!$D:$D,0))-$I$2</f>
        <v>3545.8</v>
      </c>
      <c r="AP116" s="35" cm="1">
        <f t="array" ref="AP116">IF($F$10-$I$3+VLOOKUP($Q116,武学奇术!$A:$ZZ,6,FALSE)+SUM(_xlfn.XLOOKUP(R116:AF116,增益!$A:$A,增益!$F:$F,0))&gt;0,($F$10-$I$3+VLOOKUP($Q116,武学奇术!$A:$ZZ,6,FALSE)+SUM(_xlfn.XLOOKUP(R116:AF116,增益!$A:$A,增益!$F:$F,0)))/200,($F$10-$I$3+VLOOKUP($Q116,武学奇术!$A:$ZZ,6,FALSE)+SUM(_xlfn.XLOOKUP(R116:AF116,增益!$A:$A,增益!$F:$F,0)))/100)</f>
        <v>0.4675</v>
      </c>
      <c r="AQ116" s="35" cm="1">
        <f t="array" ref="AQ116">$G$10+VLOOKUP($Q116,武学奇术!$A:$ZZ,7,FALSE)+SUM(_xlfn.XLOOKUP(R116:AF116,增益!$A:$A,增益!$G:$G,0))</f>
        <v>0.028</v>
      </c>
      <c r="AR116" s="30" cm="1">
        <f t="array" ref="AR116">VLOOKUP($Q116,武学奇术!$A:$ZZ,8,FALSE)+SUM(_xlfn.XLOOKUP(R116:AF116,增益!$A:$A,增益!$H:$H,0))</f>
        <v>0</v>
      </c>
      <c r="AS116">
        <f t="shared" si="51"/>
        <v>0</v>
      </c>
      <c r="AT116">
        <f t="shared" si="52"/>
        <v>0</v>
      </c>
      <c r="AU116" s="35" cm="1">
        <f t="array" ref="AU116">IF($F$11-$I$4+VLOOKUP($Q116,武学奇术!$A:$ZZ,9,FALSE)+SUM(_xlfn.XLOOKUP(R116:AF116,增益!$A:$A,增益!$I:$I,0))&gt;0,($F$11-$I$4+VLOOKUP($Q116,武学奇术!$A:$ZZ,9,FALSE)+SUM(_xlfn.XLOOKUP(R116:AF116,增益!$A:$A,增益!$I:$I,0)))/200,($F$11-$I$4+VLOOKUP($Q116,武学奇术!$A:$ZZ,9,FALSE)+SUM(_xlfn.XLOOKUP(R116:AF116,增益!$A:$A,增益!$I:$I,0)))/100)</f>
        <v>-0.14</v>
      </c>
      <c r="AV116" s="35" cm="1">
        <f t="array" ref="AV116">$G$11+VLOOKUP($Q116,武学奇术!$A:$ZZ,10,FALSE)+SUM(_xlfn.XLOOKUP(R116:AF116,增益!$A:$A,增益!$J:$J,0))</f>
        <v>0.1</v>
      </c>
      <c r="AW116">
        <f t="shared" si="53"/>
        <v>0</v>
      </c>
      <c r="AX116">
        <f t="shared" si="54"/>
        <v>0</v>
      </c>
      <c r="AY116" s="35" cm="1">
        <f t="array" ref="AY116">IF($F$12-$I$4+VLOOKUP($Q116,武学奇术!$A:$ZZ,11,FALSE)+SUM(_xlfn.XLOOKUP(R116:AF116,增益!$A:$A,增益!$K:$K,0))&gt;0,($F$12-$I$4+VLOOKUP($Q116,武学奇术!$A:$ZZ,11,FALSE)+SUM(_xlfn.XLOOKUP(R116:AF116,增益!$A:$A,增益!$K:$K,0)))/200,($F$12-$I$4+VLOOKUP($Q116,武学奇术!$A:$ZZ,11,FALSE)+SUM(_xlfn.XLOOKUP(R116:AF116,增益!$A:$A,增益!$K:$K,0)))/100)</f>
        <v>-0.14</v>
      </c>
      <c r="AZ116" s="35" cm="1">
        <f t="array" ref="AZ116">$G$12+VLOOKUP($Q116,武学奇术!$A:$ZZ,12,FALSE)+SUM(_xlfn.XLOOKUP(R116:AF116,增益!$A:$A,增益!$L:$L,0))</f>
        <v>0</v>
      </c>
      <c r="BA116">
        <f t="shared" si="55"/>
        <v>0</v>
      </c>
      <c r="BB116">
        <f t="shared" si="56"/>
        <v>0</v>
      </c>
      <c r="BC116" s="35" cm="1">
        <f t="array" ref="BC116">IF($F$13-$I$4+VLOOKUP($Q116,武学奇术!$A:$ZZ,13,FALSE)+SUM(_xlfn.XLOOKUP(R116:AF116,增益!$A:$A,增益!$M:$M,0))&gt;0,($F$13-$I$4+VLOOKUP($Q116,武学奇术!$A:$ZZ,13,FALSE)+SUM(_xlfn.XLOOKUP(R116:AF116,增益!$A:$A,增益!$K:$K,0)))/200,($F$13-$I$4+VLOOKUP($Q116,武学奇术!$A:$ZZ,13,FALSE)+SUM(_xlfn.XLOOKUP(R116:AF116,增益!$A:$A,增益!$M:$M,0)))/100)</f>
        <v>-0.14</v>
      </c>
      <c r="BD116" s="35" cm="1">
        <f t="array" ref="BD116">$G$13+VLOOKUP($Q116,武学奇术!$A:$ZZ,14,FALSE)+SUM(_xlfn.XLOOKUP(R116:AF116,增益!$A:$A,增益!$N:$N,0))</f>
        <v>0</v>
      </c>
      <c r="BE116">
        <f t="shared" si="57"/>
        <v>538</v>
      </c>
      <c r="BF116">
        <f t="shared" si="58"/>
        <v>1561.4</v>
      </c>
      <c r="BG116" s="35" cm="1">
        <f t="array" ref="BG116">IF($F$14-$I$4+VLOOKUP($Q116,武学奇术!$A:$ZZ,15,FALSE)+SUM(_xlfn.XLOOKUP(R116:AF116,增益!$A:$A,增益!$O:$O,0))&gt;0,($F$14-$I$4+VLOOKUP($Q116,武学奇术!$A:$ZZ,15,FALSE)+SUM(_xlfn.XLOOKUP(R116:AF116,增益!$A:$A,增益!$O:$O,0)))/200,($F$14-$I$4+VLOOKUP($Q116,武学奇术!$A:$ZZ,15,FALSE)+SUM(_xlfn.XLOOKUP(R116:AF116,增益!$A:$A,增益!$O:$O,0)))/100)</f>
        <v>0.08</v>
      </c>
      <c r="BH116" s="35" cm="1">
        <f t="array" ref="BH116">$G$14+VLOOKUP($Q116,武学奇术!$A:$ZZ,16,FALSE)+SUM(_xlfn.XLOOKUP(R116:AF116,增益!$A:$A,增益!$P:$P,0))</f>
        <v>0.15</v>
      </c>
      <c r="BI116" s="30">
        <f>MIN(IF(VLOOKUP($Q116,武学奇术!$A:$ZZ,23,FALSE)=1,100%,$B$8),100%)</f>
        <v>0.9712</v>
      </c>
      <c r="BJ116" s="30" cm="1">
        <f t="array" ref="BJ116">IF(VLOOKUP($Q116,武学奇术!$A:$ZZ,23,FALSE)=1,100%,MIN(80%,$B$9+VLOOKUP($Q116,武学奇术!$A:$ZZ,17,FALSE)+SUM(_xlfn.XLOOKUP(R116:AF116,增益!$A:$A,增益!$Q:$Q,0)))+$B$11+SUM(_xlfn.XLOOKUP(R116:AF116,增益!$A:$A,增益!$U:$U,0)))*IF(VLOOKUP($Q116,武学奇术!$A:$ZZ,24,FALSE)=1,0,1)</f>
        <v>0.8773</v>
      </c>
      <c r="BK116" s="30" cm="1">
        <f t="array" ref="BK116">1+$B$13+VLOOKUP($Q116,武学奇术!$A:$ZZ,18,FALSE)+SUM(_xlfn.XLOOKUP(R116:AF116,增益!$A:$A,增益!$R:$R,0))</f>
        <v>2.12</v>
      </c>
      <c r="BL116" s="30" cm="1">
        <f t="array" ref="BL116">IF(VLOOKUP($Q116,武学奇术!$A:$ZZ,24,FALSE)=1,100%,MIN(40%,$B$10+VLOOKUP($Q116,武学奇术!$A:$ZZ,19,FALSE)+SUM(_xlfn.XLOOKUP(R116:AF116,增益!$A:$A,增益!$S:$S,0)))+$B$12+SUM(_xlfn.XLOOKUP(R116:AF116,增益!$A:$A,增益!$V:$V,0)))*IF(VLOOKUP($Q116,武学奇术!$A:$ZZ,23,FALSE)=1,0,1)</f>
        <v>0.0895</v>
      </c>
      <c r="BM116" s="30" cm="1">
        <f t="array" ref="BM116">1+$B$14+VLOOKUP($Q116,武学奇术!$A:$ZZ,20,FALSE)+SUM(_xlfn.XLOOKUP(R116:AF116,增益!$A:$A,增益!$T:$T,0))</f>
        <v>1.35</v>
      </c>
      <c r="BN116" s="30">
        <f t="shared" si="59"/>
        <v>0.85203376</v>
      </c>
      <c r="BO116" s="30">
        <f t="shared" si="60"/>
        <v>0.03224384</v>
      </c>
      <c r="BP116" s="30">
        <f>IF(VLOOKUP($Q116,武学奇术!$A:$ZZ,22,FALSE)=1,0,(1-$BI116))*(1-$BL116)</f>
        <v>0.0262224</v>
      </c>
      <c r="BQ116" s="30" cm="1">
        <f t="array" ref="BQ116">SUM(_xlfn.XLOOKUP(R116:AF116,增益!$A:$A,增益!$W:$W,0))+$I$5</f>
        <v>0.31</v>
      </c>
    </row>
    <row r="117" spans="11:69">
      <c r="K117" s="41">
        <f t="shared" si="61"/>
        <v>31502.7843850071</v>
      </c>
      <c r="L117" s="41">
        <f>((($AN117+$AO117)/2*$AH117+$AI117)*(1+$AP117)*(1+$AQ117)+(($AS117+$AT117)/2*IF($G$1="鸣金",$AJ117,$AH117)+IF($G$1="鸣金",$AK117*1.5,0))*(1+$AU117)*(1+$AV117)+(($AW117+$AX117)/2*IF($G$1="裂石",$AJ117,$AH117)+IF($G$1="裂石",$AK117*1.5,0))*(1+$AY117)*(1+$AZ117)+(($BA117+$BB117)/2*IF($G$1="牵丝",$AJ117,$AH117)+IF($G$1="牵丝",$AK117*1.5,0))*(1+$BC117)*(1+$BD117)+(($BE117+$BF117)/2*IF($G$1="破竹",$AJ117,$AH117)+IF($G$1="破竹",$AK117*1.5,0))*(1+$BG117)*(1+$BH117))*(1+$AL117)*$BK117*$P117*(1+IF(VLOOKUP($Q117,武学奇术!$A:$ZZ,30,FALSE)="回旋伞",$B$21,0))*(1+$BQ117)</f>
        <v>33000.3954520704</v>
      </c>
      <c r="M117" s="41">
        <f>(($AO117*$AH117+$AI117)*(1+$AP117)*(1+$AQ117)+($AT117*IF($G$1="鸣金",$AJ117,$AH117)+IF($G$1="鸣金",$AK117*1.5,0))*(1+$AU117)*(1+$AV117)+($AX117*IF($G$1="裂石",$AJ117,$AH117)+IF($G$1="裂石",$AK117*1.5,0))*(1+$AY117)*(1+$AZ117)+($BB117*IF($G$1="牵丝",$AJ117,$AH117)+IF($G$1="牵丝",$AK117*1.5,0))*(1+$BC117)*(1+$BD117)+($BF117*IF($G$1="破竹",$AJ117,$AH117)+IF($G$1="破竹",$AK117*1.5,0))*(1+$BG117)*(1+$BH117))*(1+$AL117)*$BM117*$P117*(1+IF(VLOOKUP($Q117,武学奇术!$A:$ZZ,30,FALSE)="回旋伞",$B$21,0))*(1+$BQ117)</f>
        <v>26982.2770346143</v>
      </c>
      <c r="N117" s="41">
        <f>((($AN117+$AO117)/2*$AH117+$AI117)*(1+$AP117)*(1+$AQ117)+(($AS117+$AT117)/2*IF($G$1="鸣金",$AJ117,$AH117)+IF($G$1="鸣金",$AK117*1.5,0))*(1+$AU117)*(1+$AV117)+(($AW117+$AX117)/2*IF($G$1="裂石",$AJ117,$AH117)+IF($G$1="裂石",$AK117*1.5,0))*(1+$AY117)*(1+$AZ117)+(($BA117+$BB117)/2*IF($G$1="牵丝",$AJ117,$AH117)+IF($G$1="牵丝",$AK117*1.5,0))*(1+$BC117)*(1+$BD117)+(($BE117+$BF117)/2*IF($G$1="破竹",$AJ117,$AH117)+IF($G$1="破竹",$AK117*1.5,0))*(1+$BG117)*(1+$BH117))*(1+$AL117)*$P117*(1+IF(VLOOKUP($Q117,武学奇术!$A:$ZZ,30,FALSE)="回旋伞",$B$21,0))*(1+$BQ117)</f>
        <v>17647.2702952248</v>
      </c>
      <c r="O117" s="41">
        <f>((($AN117*$AH117+$AI117)*(1+$AP117)*(1+$AQ117)+($AS117*IF($G$1="鸣金",$AJ117,$AH117)+IF($G$1="鸣金",$AK117*1.5,0))*(1+$AU117)*(1+$AV117)+($AW117*IF($G$1="裂石",$AJ117,$AH117)+IF($G$1="裂石",$AK117*1.5,0))*(1+$AY117)*(1+$AZ117)+($BA117*IF($G$1="牵丝",$AJ117,$AH117)+IF($G$1="牵丝",$AK117*1.5,0))*(1+$BC117)*(1+$BD117)+($BE117*IF($G$1="破竹",$AJ117,$AH117)+IF($G$1="破竹",$AK117*1.5,0))*(1+$BG117)*(1+$BH117))*(1+$AL117))*$P117*(1+IF(VLOOKUP($Q117,武学奇术!$A:$ZZ,30,FALSE)="回旋伞",$B$21,0))*(1+$BQ117)</f>
        <v>15307.6687129576</v>
      </c>
      <c r="P117" s="42">
        <v>1</v>
      </c>
      <c r="Q117" s="43" t="s">
        <v>70</v>
      </c>
      <c r="R117" s="43" t="s">
        <v>71</v>
      </c>
      <c r="S117" s="43" t="s">
        <v>91</v>
      </c>
      <c r="T117" s="43" t="s">
        <v>72</v>
      </c>
      <c r="U117" s="43" t="s">
        <v>79</v>
      </c>
      <c r="V117" s="43" t="s">
        <v>167</v>
      </c>
      <c r="W117" s="43" t="s">
        <v>95</v>
      </c>
      <c r="X117" s="43" t="s">
        <v>82</v>
      </c>
      <c r="Y117" s="43" t="s">
        <v>71</v>
      </c>
      <c r="Z117" s="43" t="s">
        <v>71</v>
      </c>
      <c r="AA117" s="43" t="s">
        <v>71</v>
      </c>
      <c r="AB117" s="43" t="s">
        <v>71</v>
      </c>
      <c r="AC117" s="43" t="s">
        <v>71</v>
      </c>
      <c r="AD117" s="43" t="s">
        <v>71</v>
      </c>
      <c r="AE117" s="43" t="s">
        <v>71</v>
      </c>
      <c r="AF117" s="43" t="s">
        <v>76</v>
      </c>
      <c r="AG117" t="str">
        <f>VLOOKUP($Q117,武学奇术!$A:$ZZ,25,FALSE)</f>
        <v>群体奇术</v>
      </c>
      <c r="AH117" s="30">
        <f>VLOOKUP($Q117,武学奇术!$A:$ZZ,26,FALSE)</f>
        <v>1.4904</v>
      </c>
      <c r="AI117" s="31">
        <f>VLOOKUP($Q117,武学奇术!$A:$ZZ,27,FALSE)*(1+IF(OR($AG117=$F$4,$AG117=$F$5),$B$22,0))</f>
        <v>368</v>
      </c>
      <c r="AJ117" s="30">
        <f>VLOOKUP($Q117,武学奇术!$A:$ZZ,28,FALSE)</f>
        <v>2.2353</v>
      </c>
      <c r="AK117" s="31">
        <f>VLOOKUP($Q117,武学奇术!$A:$ZZ,29,FALSE)*(1+IF(OR($AG117=$F$4,$AG117=$F$5),$B$22,0))</f>
        <v>0</v>
      </c>
      <c r="AL117" s="30" cm="1">
        <f t="array" ref="AL117">$G$3+IFERROR(VLOOKUP($AG117,$F$4:$G$7,2,FALSE),0)+VLOOKUP($Q117,武学奇术!$A:$ZZ,2,FALSE)+SUM(_xlfn.XLOOKUP($R117:$AF117,增益!$A:$A,增益!$B:$B,0))</f>
        <v>0.4837</v>
      </c>
      <c r="AM117" s="30" cm="1">
        <f t="array" ref="AM117">VLOOKUP($Q117,武学奇术!$A:$ZZ,5,FALSE)+SUM(_xlfn.XLOOKUP($R117:$AF117,增益!$A:$A,增益!$E:$E,0))</f>
        <v>0</v>
      </c>
      <c r="AN117" cm="1">
        <f t="array" ref="AN117">$D$10*(1+$AM117)+VLOOKUP($Q117,武学奇术!$A:$ZZ,3,FALSE)+SUM(_xlfn.XLOOKUP($R117:$AF117,增益!$A:$A,增益!$C:$C,0))-$I$2</f>
        <v>3545.8</v>
      </c>
      <c r="AO117" cm="1">
        <f t="array" ref="AO117">$E$10*(1+$AM117)+VLOOKUP($Q117,武学奇术!$A:$ZZ,4,FALSE)+SUM(_xlfn.XLOOKUP($R117:$AF117,增益!$A:$A,增益!$D:$D,0))-$I$2</f>
        <v>3545.8</v>
      </c>
      <c r="AP117" s="35" cm="1">
        <f t="array" ref="AP117">IF($F$10-$I$3+VLOOKUP($Q117,武学奇术!$A:$ZZ,6,FALSE)+SUM(_xlfn.XLOOKUP(R117:AF117,增益!$A:$A,增益!$F:$F,0))&gt;0,($F$10-$I$3+VLOOKUP($Q117,武学奇术!$A:$ZZ,6,FALSE)+SUM(_xlfn.XLOOKUP(R117:AF117,增益!$A:$A,增益!$F:$F,0)))/200,($F$10-$I$3+VLOOKUP($Q117,武学奇术!$A:$ZZ,6,FALSE)+SUM(_xlfn.XLOOKUP(R117:AF117,增益!$A:$A,增益!$F:$F,0)))/100)</f>
        <v>0.3425</v>
      </c>
      <c r="AQ117" s="35" cm="1">
        <f t="array" ref="AQ117">$G$10+VLOOKUP($Q117,武学奇术!$A:$ZZ,7,FALSE)+SUM(_xlfn.XLOOKUP(R117:AF117,增益!$A:$A,增益!$G:$G,0))</f>
        <v>0.028</v>
      </c>
      <c r="AR117" s="30" cm="1">
        <f t="array" ref="AR117">VLOOKUP($Q117,武学奇术!$A:$ZZ,8,FALSE)+SUM(_xlfn.XLOOKUP(R117:AF117,增益!$A:$A,增益!$H:$H,0))</f>
        <v>0</v>
      </c>
      <c r="AS117">
        <f t="shared" si="51"/>
        <v>0</v>
      </c>
      <c r="AT117">
        <f t="shared" si="52"/>
        <v>0</v>
      </c>
      <c r="AU117" s="35" cm="1">
        <f t="array" ref="AU117">IF($F$11-$I$4+VLOOKUP($Q117,武学奇术!$A:$ZZ,9,FALSE)+SUM(_xlfn.XLOOKUP(R117:AF117,增益!$A:$A,增益!$I:$I,0))&gt;0,($F$11-$I$4+VLOOKUP($Q117,武学奇术!$A:$ZZ,9,FALSE)+SUM(_xlfn.XLOOKUP(R117:AF117,增益!$A:$A,增益!$I:$I,0)))/200,($F$11-$I$4+VLOOKUP($Q117,武学奇术!$A:$ZZ,9,FALSE)+SUM(_xlfn.XLOOKUP(R117:AF117,增益!$A:$A,增益!$I:$I,0)))/100)</f>
        <v>-0.14</v>
      </c>
      <c r="AV117" s="35" cm="1">
        <f t="array" ref="AV117">$G$11+VLOOKUP($Q117,武学奇术!$A:$ZZ,10,FALSE)+SUM(_xlfn.XLOOKUP(R117:AF117,增益!$A:$A,增益!$J:$J,0))</f>
        <v>0</v>
      </c>
      <c r="AW117">
        <f t="shared" si="53"/>
        <v>0</v>
      </c>
      <c r="AX117">
        <f t="shared" si="54"/>
        <v>0</v>
      </c>
      <c r="AY117" s="35" cm="1">
        <f t="array" ref="AY117">IF($F$12-$I$4+VLOOKUP($Q117,武学奇术!$A:$ZZ,11,FALSE)+SUM(_xlfn.XLOOKUP(R117:AF117,增益!$A:$A,增益!$K:$K,0))&gt;0,($F$12-$I$4+VLOOKUP($Q117,武学奇术!$A:$ZZ,11,FALSE)+SUM(_xlfn.XLOOKUP(R117:AF117,增益!$A:$A,增益!$K:$K,0)))/200,($F$12-$I$4+VLOOKUP($Q117,武学奇术!$A:$ZZ,11,FALSE)+SUM(_xlfn.XLOOKUP(R117:AF117,增益!$A:$A,增益!$K:$K,0)))/100)</f>
        <v>-0.14</v>
      </c>
      <c r="AZ117" s="35" cm="1">
        <f t="array" ref="AZ117">$G$12+VLOOKUP($Q117,武学奇术!$A:$ZZ,12,FALSE)+SUM(_xlfn.XLOOKUP(R117:AF117,增益!$A:$A,增益!$L:$L,0))</f>
        <v>0</v>
      </c>
      <c r="BA117">
        <f t="shared" si="55"/>
        <v>0</v>
      </c>
      <c r="BB117">
        <f t="shared" si="56"/>
        <v>0</v>
      </c>
      <c r="BC117" s="35" cm="1">
        <f t="array" ref="BC117">IF($F$13-$I$4+VLOOKUP($Q117,武学奇术!$A:$ZZ,13,FALSE)+SUM(_xlfn.XLOOKUP(R117:AF117,增益!$A:$A,增益!$M:$M,0))&gt;0,($F$13-$I$4+VLOOKUP($Q117,武学奇术!$A:$ZZ,13,FALSE)+SUM(_xlfn.XLOOKUP(R117:AF117,增益!$A:$A,增益!$K:$K,0)))/200,($F$13-$I$4+VLOOKUP($Q117,武学奇术!$A:$ZZ,13,FALSE)+SUM(_xlfn.XLOOKUP(R117:AF117,增益!$A:$A,增益!$M:$M,0)))/100)</f>
        <v>-0.14</v>
      </c>
      <c r="BD117" s="35" cm="1">
        <f t="array" ref="BD117">$G$13+VLOOKUP($Q117,武学奇术!$A:$ZZ,14,FALSE)+SUM(_xlfn.XLOOKUP(R117:AF117,增益!$A:$A,增益!$N:$N,0))</f>
        <v>0</v>
      </c>
      <c r="BE117">
        <f t="shared" si="57"/>
        <v>538</v>
      </c>
      <c r="BF117">
        <f t="shared" si="58"/>
        <v>1561.4</v>
      </c>
      <c r="BG117" s="35" cm="1">
        <f t="array" ref="BG117">IF($F$14-$I$4+VLOOKUP($Q117,武学奇术!$A:$ZZ,15,FALSE)+SUM(_xlfn.XLOOKUP(R117:AF117,增益!$A:$A,增益!$O:$O,0))&gt;0,($F$14-$I$4+VLOOKUP($Q117,武学奇术!$A:$ZZ,15,FALSE)+SUM(_xlfn.XLOOKUP(R117:AF117,增益!$A:$A,增益!$O:$O,0)))/200,($F$14-$I$4+VLOOKUP($Q117,武学奇术!$A:$ZZ,15,FALSE)+SUM(_xlfn.XLOOKUP(R117:AF117,增益!$A:$A,增益!$O:$O,0)))/100)</f>
        <v>0.08</v>
      </c>
      <c r="BH117" s="35" cm="1">
        <f t="array" ref="BH117">$G$14+VLOOKUP($Q117,武学奇术!$A:$ZZ,16,FALSE)+SUM(_xlfn.XLOOKUP(R117:AF117,增益!$A:$A,增益!$P:$P,0))</f>
        <v>0.15</v>
      </c>
      <c r="BI117" s="30">
        <f>MIN(IF(VLOOKUP($Q117,武学奇术!$A:$ZZ,23,FALSE)=1,100%,$B$8),100%)</f>
        <v>0.9712</v>
      </c>
      <c r="BJ117" s="30" cm="1">
        <f t="array" ref="BJ117">IF(VLOOKUP($Q117,武学奇术!$A:$ZZ,23,FALSE)=1,100%,MIN(80%,$B$9+VLOOKUP($Q117,武学奇术!$A:$ZZ,17,FALSE)+SUM(_xlfn.XLOOKUP(R117:AF117,增益!$A:$A,增益!$Q:$Q,0)))+$B$11+SUM(_xlfn.XLOOKUP(R117:AF117,增益!$A:$A,增益!$U:$U,0)))*IF(VLOOKUP($Q117,武学奇术!$A:$ZZ,24,FALSE)=1,0,1)</f>
        <v>0.8773</v>
      </c>
      <c r="BK117" s="30" cm="1">
        <f t="array" ref="BK117">1+$B$13+VLOOKUP($Q117,武学奇术!$A:$ZZ,18,FALSE)+SUM(_xlfn.XLOOKUP(R117:AF117,增益!$A:$A,增益!$R:$R,0))</f>
        <v>1.87</v>
      </c>
      <c r="BL117" s="30" cm="1">
        <f t="array" ref="BL117">IF(VLOOKUP($Q117,武学奇术!$A:$ZZ,24,FALSE)=1,100%,MIN(40%,$B$10+VLOOKUP($Q117,武学奇术!$A:$ZZ,19,FALSE)+SUM(_xlfn.XLOOKUP(R117:AF117,增益!$A:$A,增益!$S:$S,0)))+$B$12+SUM(_xlfn.XLOOKUP(R117:AF117,增益!$A:$A,增益!$V:$V,0)))*IF(VLOOKUP($Q117,武学奇术!$A:$ZZ,23,FALSE)=1,0,1)</f>
        <v>0.0895</v>
      </c>
      <c r="BM117" s="30" cm="1">
        <f t="array" ref="BM117">1+$B$14+VLOOKUP($Q117,武学奇术!$A:$ZZ,20,FALSE)+SUM(_xlfn.XLOOKUP(R117:AF117,增益!$A:$A,增益!$T:$T,0))</f>
        <v>1.35</v>
      </c>
      <c r="BN117" s="30">
        <f t="shared" si="59"/>
        <v>0.85203376</v>
      </c>
      <c r="BO117" s="30">
        <f t="shared" si="60"/>
        <v>0.03224384</v>
      </c>
      <c r="BP117" s="30">
        <f>IF(VLOOKUP($Q117,武学奇术!$A:$ZZ,22,FALSE)=1,0,(1-$BI117))*(1-$BL117)</f>
        <v>0.0262224</v>
      </c>
      <c r="BQ117" s="30" cm="1">
        <f t="array" ref="BQ117">SUM(_xlfn.XLOOKUP(R117:AF117,增益!$A:$A,增益!$W:$W,0))+$I$5</f>
        <v>0.11</v>
      </c>
    </row>
    <row r="118" spans="11:69">
      <c r="K118" s="41">
        <f t="shared" si="61"/>
        <v>74143.979497781</v>
      </c>
      <c r="L118" s="41">
        <f>((($AN118+$AO118)/2*$AH118+$AI118)*(1+$AP118)*(1+$AQ118)+(($AS118+$AT118)/2*IF($G$1="鸣金",$AJ118,$AH118)+IF($G$1="鸣金",$AK118*1.5,0))*(1+$AU118)*(1+$AV118)+(($AW118+$AX118)/2*IF($G$1="裂石",$AJ118,$AH118)+IF($G$1="裂石",$AK118*1.5,0))*(1+$AY118)*(1+$AZ118)+(($BA118+$BB118)/2*IF($G$1="牵丝",$AJ118,$AH118)+IF($G$1="牵丝",$AK118*1.5,0))*(1+$BC118)*(1+$BD118)+(($BE118+$BF118)/2*IF($G$1="破竹",$AJ118,$AH118)+IF($G$1="破竹",$AK118*1.5,0))*(1+$BG118)*(1+$BH118))*(1+$AL118)*$BK118*$P118*(1+IF(VLOOKUP($Q118,武学奇术!$A:$ZZ,30,FALSE)="回旋伞",$B$21,0))*(1+$BQ118)</f>
        <v>77740.3201808086</v>
      </c>
      <c r="M118" s="41">
        <f>(($AO118*$AH118+$AI118)*(1+$AP118)*(1+$AQ118)+($AT118*IF($G$1="鸣金",$AJ118,$AH118)+IF($G$1="鸣金",$AK118*1.5,0))*(1+$AU118)*(1+$AV118)+($AX118*IF($G$1="裂石",$AJ118,$AH118)+IF($G$1="裂石",$AK118*1.5,0))*(1+$AY118)*(1+$AZ118)+($BB118*IF($G$1="牵丝",$AJ118,$AH118)+IF($G$1="牵丝",$AK118*1.5,0))*(1+$BC118)*(1+$BD118)+($BF118*IF($G$1="破竹",$AJ118,$AH118)+IF($G$1="破竹",$AK118*1.5,0))*(1+$BG118)*(1+$BH118))*(1+$AL118)*$BM118*$P118*(1+IF(VLOOKUP($Q118,武学奇术!$A:$ZZ,30,FALSE)="回旋伞",$B$21,0))*(1+$BQ118)</f>
        <v>62587.6939948807</v>
      </c>
      <c r="N118" s="41">
        <f>((($AN118+$AO118)/2*$AH118+$AI118)*(1+$AP118)*(1+$AQ118)+(($AS118+$AT118)/2*IF($G$1="鸣金",$AJ118,$AH118)+IF($G$1="鸣金",$AK118*1.5,0))*(1+$AU118)*(1+$AV118)+(($AW118+$AX118)/2*IF($G$1="裂石",$AJ118,$AH118)+IF($G$1="裂石",$AK118*1.5,0))*(1+$AY118)*(1+$AZ118)+(($BA118+$BB118)/2*IF($G$1="牵丝",$AJ118,$AH118)+IF($G$1="牵丝",$AK118*1.5,0))*(1+$BC118)*(1+$BD118)+(($BE118+$BF118)/2*IF($G$1="破竹",$AJ118,$AH118)+IF($G$1="破竹",$AK118*1.5,0))*(1+$BG118)*(1+$BH118))*(1+$AL118)*$P118*(1+IF(VLOOKUP($Q118,武学奇术!$A:$ZZ,30,FALSE)="回旋伞",$B$21,0))*(1+$BQ118)</f>
        <v>41572.3637330527</v>
      </c>
      <c r="O118" s="41">
        <f>((($AN118*$AH118+$AI118)*(1+$AP118)*(1+$AQ118)+($AS118*IF($G$1="鸣金",$AJ118,$AH118)+IF($G$1="鸣金",$AK118*1.5,0))*(1+$AU118)*(1+$AV118)+($AW118*IF($G$1="裂石",$AJ118,$AH118)+IF($G$1="裂石",$AK118*1.5,0))*(1+$AY118)*(1+$AZ118)+($BA118*IF($G$1="牵丝",$AJ118,$AH118)+IF($G$1="牵丝",$AK118*1.5,0))*(1+$BC118)*(1+$BD118)+($BE118*IF($G$1="破竹",$AJ118,$AH118)+IF($G$1="破竹",$AK118*1.5,0))*(1+$BG118)*(1+$BH118))*(1+$AL118))*$P118*(1+IF(VLOOKUP($Q118,武学奇术!$A:$ZZ,30,FALSE)="回旋伞",$B$21,0))*(1+$BQ118)</f>
        <v>36783.4726550828</v>
      </c>
      <c r="P118" s="42">
        <v>1</v>
      </c>
      <c r="Q118" s="43" t="s">
        <v>104</v>
      </c>
      <c r="R118" s="43" t="s">
        <v>105</v>
      </c>
      <c r="S118" s="43" t="s">
        <v>91</v>
      </c>
      <c r="T118" s="43" t="s">
        <v>72</v>
      </c>
      <c r="U118" s="43" t="s">
        <v>79</v>
      </c>
      <c r="V118" s="43" t="s">
        <v>167</v>
      </c>
      <c r="W118" s="43" t="s">
        <v>95</v>
      </c>
      <c r="X118" s="43" t="s">
        <v>71</v>
      </c>
      <c r="Y118" s="43" t="s">
        <v>71</v>
      </c>
      <c r="Z118" s="43" t="s">
        <v>71</v>
      </c>
      <c r="AA118" s="43" t="s">
        <v>71</v>
      </c>
      <c r="AB118" s="43" t="s">
        <v>71</v>
      </c>
      <c r="AC118" s="43" t="s">
        <v>71</v>
      </c>
      <c r="AD118" s="43" t="s">
        <v>71</v>
      </c>
      <c r="AE118" s="43" t="s">
        <v>71</v>
      </c>
      <c r="AF118" s="43" t="s">
        <v>76</v>
      </c>
      <c r="AG118" t="str">
        <f>VLOOKUP($Q118,武学奇术!$A:$ZZ,25,FALSE)</f>
        <v>伞</v>
      </c>
      <c r="AH118" s="30">
        <f>VLOOKUP($Q118,武学奇术!$A:$ZZ,26,FALSE)</f>
        <v>1.8084</v>
      </c>
      <c r="AI118" s="31">
        <f>VLOOKUP($Q118,武学奇术!$A:$ZZ,27,FALSE)*(1+IF(OR($AG118=$F$4,$AG118=$F$5),$B$22,0))</f>
        <v>700</v>
      </c>
      <c r="AJ118" s="30">
        <f>VLOOKUP($Q118,武学奇术!$A:$ZZ,28,FALSE)</f>
        <v>2.7126</v>
      </c>
      <c r="AK118" s="31">
        <f>VLOOKUP($Q118,武学奇术!$A:$ZZ,29,FALSE)*(1+IF(OR($AG118=$F$4,$AG118=$F$5),$B$22,0))</f>
        <v>380.8</v>
      </c>
      <c r="AL118" s="30" cm="1">
        <f t="array" ref="AL118">$G$3+IFERROR(VLOOKUP($AG118,$F$4:$G$7,2,FALSE),0)+VLOOKUP($Q118,武学奇术!$A:$ZZ,2,FALSE)+SUM(_xlfn.XLOOKUP($R118:$AF118,增益!$A:$A,增益!$B:$B,0))</f>
        <v>0.8541</v>
      </c>
      <c r="AM118" s="30" cm="1">
        <f t="array" ref="AM118">VLOOKUP($Q118,武学奇术!$A:$ZZ,5,FALSE)+SUM(_xlfn.XLOOKUP($R118:$AF118,增益!$A:$A,增益!$E:$E,0))</f>
        <v>0</v>
      </c>
      <c r="AN118" cm="1">
        <f t="array" ref="AN118">$D$10*(1+$AM118)+VLOOKUP($Q118,武学奇术!$A:$ZZ,3,FALSE)+SUM(_xlfn.XLOOKUP($R118:$AF118,增益!$A:$A,增益!$C:$C,0))-$I$2</f>
        <v>3545.8</v>
      </c>
      <c r="AO118" cm="1">
        <f t="array" ref="AO118">$E$10*(1+$AM118)+VLOOKUP($Q118,武学奇术!$A:$ZZ,4,FALSE)+SUM(_xlfn.XLOOKUP($R118:$AF118,增益!$A:$A,增益!$D:$D,0))-$I$2</f>
        <v>3545.8</v>
      </c>
      <c r="AP118" s="35" cm="1">
        <f t="array" ref="AP118">IF($F$10-$I$3+VLOOKUP($Q118,武学奇术!$A:$ZZ,6,FALSE)+SUM(_xlfn.XLOOKUP(R118:AF118,增益!$A:$A,增益!$F:$F,0))&gt;0,($F$10-$I$3+VLOOKUP($Q118,武学奇术!$A:$ZZ,6,FALSE)+SUM(_xlfn.XLOOKUP(R118:AF118,增益!$A:$A,增益!$F:$F,0)))/200,($F$10-$I$3+VLOOKUP($Q118,武学奇术!$A:$ZZ,6,FALSE)+SUM(_xlfn.XLOOKUP(R118:AF118,增益!$A:$A,增益!$F:$F,0)))/100)</f>
        <v>0.3425</v>
      </c>
      <c r="AQ118" s="35" cm="1">
        <f t="array" ref="AQ118">$G$10+VLOOKUP($Q118,武学奇术!$A:$ZZ,7,FALSE)+SUM(_xlfn.XLOOKUP(R118:AF118,增益!$A:$A,增益!$G:$G,0))</f>
        <v>0.148</v>
      </c>
      <c r="AR118" s="30" cm="1">
        <f t="array" ref="AR118">VLOOKUP($Q118,武学奇术!$A:$ZZ,8,FALSE)+SUM(_xlfn.XLOOKUP(R118:AF118,增益!$A:$A,增益!$H:$H,0))</f>
        <v>0</v>
      </c>
      <c r="AS118">
        <f t="shared" si="51"/>
        <v>0</v>
      </c>
      <c r="AT118">
        <f t="shared" si="52"/>
        <v>0</v>
      </c>
      <c r="AU118" s="35" cm="1">
        <f t="array" ref="AU118">IF($F$11-$I$4+VLOOKUP($Q118,武学奇术!$A:$ZZ,9,FALSE)+SUM(_xlfn.XLOOKUP(R118:AF118,增益!$A:$A,增益!$I:$I,0))&gt;0,($F$11-$I$4+VLOOKUP($Q118,武学奇术!$A:$ZZ,9,FALSE)+SUM(_xlfn.XLOOKUP(R118:AF118,增益!$A:$A,增益!$I:$I,0)))/200,($F$11-$I$4+VLOOKUP($Q118,武学奇术!$A:$ZZ,9,FALSE)+SUM(_xlfn.XLOOKUP(R118:AF118,增益!$A:$A,增益!$I:$I,0)))/100)</f>
        <v>-0.3</v>
      </c>
      <c r="AV118" s="35" cm="1">
        <f t="array" ref="AV118">$G$11+VLOOKUP($Q118,武学奇术!$A:$ZZ,10,FALSE)+SUM(_xlfn.XLOOKUP(R118:AF118,增益!$A:$A,增益!$J:$J,0))</f>
        <v>0</v>
      </c>
      <c r="AW118">
        <f t="shared" si="53"/>
        <v>0</v>
      </c>
      <c r="AX118">
        <f t="shared" si="54"/>
        <v>0</v>
      </c>
      <c r="AY118" s="35" cm="1">
        <f t="array" ref="AY118">IF($F$12-$I$4+VLOOKUP($Q118,武学奇术!$A:$ZZ,11,FALSE)+SUM(_xlfn.XLOOKUP(R118:AF118,增益!$A:$A,增益!$K:$K,0))&gt;0,($F$12-$I$4+VLOOKUP($Q118,武学奇术!$A:$ZZ,11,FALSE)+SUM(_xlfn.XLOOKUP(R118:AF118,增益!$A:$A,增益!$K:$K,0)))/200,($F$12-$I$4+VLOOKUP($Q118,武学奇术!$A:$ZZ,11,FALSE)+SUM(_xlfn.XLOOKUP(R118:AF118,增益!$A:$A,增益!$K:$K,0)))/100)</f>
        <v>-0.3</v>
      </c>
      <c r="AZ118" s="35" cm="1">
        <f t="array" ref="AZ118">$G$12+VLOOKUP($Q118,武学奇术!$A:$ZZ,12,FALSE)+SUM(_xlfn.XLOOKUP(R118:AF118,增益!$A:$A,增益!$L:$L,0))</f>
        <v>0</v>
      </c>
      <c r="BA118">
        <f t="shared" si="55"/>
        <v>0</v>
      </c>
      <c r="BB118">
        <f t="shared" si="56"/>
        <v>0</v>
      </c>
      <c r="BC118" s="35" cm="1">
        <f t="array" ref="BC118">IF($F$13-$I$4+VLOOKUP($Q118,武学奇术!$A:$ZZ,13,FALSE)+SUM(_xlfn.XLOOKUP(R118:AF118,增益!$A:$A,增益!$M:$M,0))&gt;0,($F$13-$I$4+VLOOKUP($Q118,武学奇术!$A:$ZZ,13,FALSE)+SUM(_xlfn.XLOOKUP(R118:AF118,增益!$A:$A,增益!$K:$K,0)))/200,($F$13-$I$4+VLOOKUP($Q118,武学奇术!$A:$ZZ,13,FALSE)+SUM(_xlfn.XLOOKUP(R118:AF118,增益!$A:$A,增益!$M:$M,0)))/100)</f>
        <v>-0.3</v>
      </c>
      <c r="BD118" s="35" cm="1">
        <f t="array" ref="BD118">$G$13+VLOOKUP($Q118,武学奇术!$A:$ZZ,14,FALSE)+SUM(_xlfn.XLOOKUP(R118:AF118,增益!$A:$A,增益!$N:$N,0))</f>
        <v>0</v>
      </c>
      <c r="BE118">
        <f t="shared" si="57"/>
        <v>538</v>
      </c>
      <c r="BF118">
        <f t="shared" si="58"/>
        <v>1561.4</v>
      </c>
      <c r="BG118" s="35" cm="1">
        <f t="array" ref="BG118">IF($F$14-$I$4+VLOOKUP($Q118,武学奇术!$A:$ZZ,15,FALSE)+SUM(_xlfn.XLOOKUP(R118:AF118,增益!$A:$A,增益!$O:$O,0))&gt;0,($F$14-$I$4+VLOOKUP($Q118,武学奇术!$A:$ZZ,15,FALSE)+SUM(_xlfn.XLOOKUP(R118:AF118,增益!$A:$A,增益!$O:$O,0)))/200,($F$14-$I$4+VLOOKUP($Q118,武学奇术!$A:$ZZ,15,FALSE)+SUM(_xlfn.XLOOKUP(R118:AF118,增益!$A:$A,增益!$O:$O,0)))/100)</f>
        <v>0</v>
      </c>
      <c r="BH118" s="35" cm="1">
        <f t="array" ref="BH118">$G$14+VLOOKUP($Q118,武学奇术!$A:$ZZ,16,FALSE)+SUM(_xlfn.XLOOKUP(R118:AF118,增益!$A:$A,增益!$P:$P,0))</f>
        <v>0.27</v>
      </c>
      <c r="BI118" s="30">
        <f>MIN(IF(VLOOKUP($Q118,武学奇术!$A:$ZZ,23,FALSE)=1,100%,$B$8),100%)</f>
        <v>0.9712</v>
      </c>
      <c r="BJ118" s="30" cm="1">
        <f t="array" ref="BJ118">IF(VLOOKUP($Q118,武学奇术!$A:$ZZ,23,FALSE)=1,100%,MIN(80%,$B$9+VLOOKUP($Q118,武学奇术!$A:$ZZ,17,FALSE)+SUM(_xlfn.XLOOKUP(R118:AF118,增益!$A:$A,增益!$Q:$Q,0)))+$B$11+SUM(_xlfn.XLOOKUP(R118:AF118,增益!$A:$A,增益!$U:$U,0)))*IF(VLOOKUP($Q118,武学奇术!$A:$ZZ,24,FALSE)=1,0,1)</f>
        <v>0.8773</v>
      </c>
      <c r="BK118" s="30" cm="1">
        <f t="array" ref="BK118">1+$B$13+VLOOKUP($Q118,武学奇术!$A:$ZZ,18,FALSE)+SUM(_xlfn.XLOOKUP(R118:AF118,增益!$A:$A,增益!$R:$R,0))</f>
        <v>1.87</v>
      </c>
      <c r="BL118" s="30" cm="1">
        <f t="array" ref="BL118">IF(VLOOKUP($Q118,武学奇术!$A:$ZZ,24,FALSE)=1,100%,MIN(40%,$B$10+VLOOKUP($Q118,武学奇术!$A:$ZZ,19,FALSE)+SUM(_xlfn.XLOOKUP(R118:AF118,增益!$A:$A,增益!$S:$S,0)))+$B$12+SUM(_xlfn.XLOOKUP(R118:AF118,增益!$A:$A,增益!$V:$V,0)))*IF(VLOOKUP($Q118,武学奇术!$A:$ZZ,23,FALSE)=1,0,1)</f>
        <v>0.0895</v>
      </c>
      <c r="BM118" s="30" cm="1">
        <f t="array" ref="BM118">1+$B$14+VLOOKUP($Q118,武学奇术!$A:$ZZ,20,FALSE)+SUM(_xlfn.XLOOKUP(R118:AF118,增益!$A:$A,增益!$T:$T,0))</f>
        <v>1.35</v>
      </c>
      <c r="BN118" s="30">
        <f t="shared" si="59"/>
        <v>0.85203376</v>
      </c>
      <c r="BO118" s="30">
        <f t="shared" si="60"/>
        <v>0.03224384</v>
      </c>
      <c r="BP118" s="30">
        <f>IF(VLOOKUP($Q118,武学奇术!$A:$ZZ,22,FALSE)=1,0,(1-$BI118))*(1-$BL118)</f>
        <v>0.0262224</v>
      </c>
      <c r="BQ118" s="30" cm="1">
        <f t="array" ref="BQ118">SUM(_xlfn.XLOOKUP(R118:AF118,增益!$A:$A,增益!$W:$W,0))+$I$5</f>
        <v>0.11</v>
      </c>
    </row>
    <row r="119" spans="11:69">
      <c r="K119" s="41">
        <f t="shared" si="61"/>
        <v>74143.979497781</v>
      </c>
      <c r="L119" s="41">
        <f>((($AN119+$AO119)/2*$AH119+$AI119)*(1+$AP119)*(1+$AQ119)+(($AS119+$AT119)/2*IF($G$1="鸣金",$AJ119,$AH119)+IF($G$1="鸣金",$AK119*1.5,0))*(1+$AU119)*(1+$AV119)+(($AW119+$AX119)/2*IF($G$1="裂石",$AJ119,$AH119)+IF($G$1="裂石",$AK119*1.5,0))*(1+$AY119)*(1+$AZ119)+(($BA119+$BB119)/2*IF($G$1="牵丝",$AJ119,$AH119)+IF($G$1="牵丝",$AK119*1.5,0))*(1+$BC119)*(1+$BD119)+(($BE119+$BF119)/2*IF($G$1="破竹",$AJ119,$AH119)+IF($G$1="破竹",$AK119*1.5,0))*(1+$BG119)*(1+$BH119))*(1+$AL119)*$BK119*$P119*(1+IF(VLOOKUP($Q119,武学奇术!$A:$ZZ,30,FALSE)="回旋伞",$B$21,0))*(1+$BQ119)</f>
        <v>77740.3201808086</v>
      </c>
      <c r="M119" s="41">
        <f>(($AO119*$AH119+$AI119)*(1+$AP119)*(1+$AQ119)+($AT119*IF($G$1="鸣金",$AJ119,$AH119)+IF($G$1="鸣金",$AK119*1.5,0))*(1+$AU119)*(1+$AV119)+($AX119*IF($G$1="裂石",$AJ119,$AH119)+IF($G$1="裂石",$AK119*1.5,0))*(1+$AY119)*(1+$AZ119)+($BB119*IF($G$1="牵丝",$AJ119,$AH119)+IF($G$1="牵丝",$AK119*1.5,0))*(1+$BC119)*(1+$BD119)+($BF119*IF($G$1="破竹",$AJ119,$AH119)+IF($G$1="破竹",$AK119*1.5,0))*(1+$BG119)*(1+$BH119))*(1+$AL119)*$BM119*$P119*(1+IF(VLOOKUP($Q119,武学奇术!$A:$ZZ,30,FALSE)="回旋伞",$B$21,0))*(1+$BQ119)</f>
        <v>62587.6939948807</v>
      </c>
      <c r="N119" s="41">
        <f>((($AN119+$AO119)/2*$AH119+$AI119)*(1+$AP119)*(1+$AQ119)+(($AS119+$AT119)/2*IF($G$1="鸣金",$AJ119,$AH119)+IF($G$1="鸣金",$AK119*1.5,0))*(1+$AU119)*(1+$AV119)+(($AW119+$AX119)/2*IF($G$1="裂石",$AJ119,$AH119)+IF($G$1="裂石",$AK119*1.5,0))*(1+$AY119)*(1+$AZ119)+(($BA119+$BB119)/2*IF($G$1="牵丝",$AJ119,$AH119)+IF($G$1="牵丝",$AK119*1.5,0))*(1+$BC119)*(1+$BD119)+(($BE119+$BF119)/2*IF($G$1="破竹",$AJ119,$AH119)+IF($G$1="破竹",$AK119*1.5,0))*(1+$BG119)*(1+$BH119))*(1+$AL119)*$P119*(1+IF(VLOOKUP($Q119,武学奇术!$A:$ZZ,30,FALSE)="回旋伞",$B$21,0))*(1+$BQ119)</f>
        <v>41572.3637330527</v>
      </c>
      <c r="O119" s="41">
        <f>((($AN119*$AH119+$AI119)*(1+$AP119)*(1+$AQ119)+($AS119*IF($G$1="鸣金",$AJ119,$AH119)+IF($G$1="鸣金",$AK119*1.5,0))*(1+$AU119)*(1+$AV119)+($AW119*IF($G$1="裂石",$AJ119,$AH119)+IF($G$1="裂石",$AK119*1.5,0))*(1+$AY119)*(1+$AZ119)+($BA119*IF($G$1="牵丝",$AJ119,$AH119)+IF($G$1="牵丝",$AK119*1.5,0))*(1+$BC119)*(1+$BD119)+($BE119*IF($G$1="破竹",$AJ119,$AH119)+IF($G$1="破竹",$AK119*1.5,0))*(1+$BG119)*(1+$BH119))*(1+$AL119))*$P119*(1+IF(VLOOKUP($Q119,武学奇术!$A:$ZZ,30,FALSE)="回旋伞",$B$21,0))*(1+$BQ119)</f>
        <v>36783.4726550828</v>
      </c>
      <c r="P119" s="42">
        <v>1</v>
      </c>
      <c r="Q119" s="43" t="s">
        <v>104</v>
      </c>
      <c r="R119" s="43" t="s">
        <v>105</v>
      </c>
      <c r="S119" s="43" t="s">
        <v>91</v>
      </c>
      <c r="T119" s="43" t="s">
        <v>72</v>
      </c>
      <c r="U119" s="43" t="s">
        <v>79</v>
      </c>
      <c r="V119" s="43" t="s">
        <v>167</v>
      </c>
      <c r="W119" s="43" t="s">
        <v>95</v>
      </c>
      <c r="X119" s="43" t="s">
        <v>71</v>
      </c>
      <c r="Y119" s="43" t="s">
        <v>71</v>
      </c>
      <c r="Z119" s="43" t="s">
        <v>71</v>
      </c>
      <c r="AA119" s="43" t="s">
        <v>109</v>
      </c>
      <c r="AB119" s="43" t="s">
        <v>71</v>
      </c>
      <c r="AC119" s="43" t="s">
        <v>71</v>
      </c>
      <c r="AD119" s="43" t="s">
        <v>71</v>
      </c>
      <c r="AE119" s="43" t="s">
        <v>71</v>
      </c>
      <c r="AF119" s="43" t="s">
        <v>76</v>
      </c>
      <c r="AG119" t="str">
        <f>VLOOKUP($Q119,武学奇术!$A:$ZZ,25,FALSE)</f>
        <v>伞</v>
      </c>
      <c r="AH119" s="30">
        <f>VLOOKUP($Q119,武学奇术!$A:$ZZ,26,FALSE)</f>
        <v>1.8084</v>
      </c>
      <c r="AI119" s="31">
        <f>VLOOKUP($Q119,武学奇术!$A:$ZZ,27,FALSE)*(1+IF(OR($AG119=$F$4,$AG119=$F$5),$B$22,0))</f>
        <v>700</v>
      </c>
      <c r="AJ119" s="30">
        <f>VLOOKUP($Q119,武学奇术!$A:$ZZ,28,FALSE)</f>
        <v>2.7126</v>
      </c>
      <c r="AK119" s="31">
        <f>VLOOKUP($Q119,武学奇术!$A:$ZZ,29,FALSE)*(1+IF(OR($AG119=$F$4,$AG119=$F$5),$B$22,0))</f>
        <v>380.8</v>
      </c>
      <c r="AL119" s="30" cm="1">
        <f t="array" ref="AL119">$G$3+IFERROR(VLOOKUP($AG119,$F$4:$G$7,2,FALSE),0)+VLOOKUP($Q119,武学奇术!$A:$ZZ,2,FALSE)+SUM(_xlfn.XLOOKUP($R119:$AF119,增益!$A:$A,增益!$B:$B,0))</f>
        <v>0.8541</v>
      </c>
      <c r="AM119" s="30" cm="1">
        <f t="array" ref="AM119">VLOOKUP($Q119,武学奇术!$A:$ZZ,5,FALSE)+SUM(_xlfn.XLOOKUP($R119:$AF119,增益!$A:$A,增益!$E:$E,0))</f>
        <v>0</v>
      </c>
      <c r="AN119" cm="1">
        <f t="array" ref="AN119">$D$10*(1+$AM119)+VLOOKUP($Q119,武学奇术!$A:$ZZ,3,FALSE)+SUM(_xlfn.XLOOKUP($R119:$AF119,增益!$A:$A,增益!$C:$C,0))-$I$2</f>
        <v>3545.8</v>
      </c>
      <c r="AO119" cm="1">
        <f t="array" ref="AO119">$E$10*(1+$AM119)+VLOOKUP($Q119,武学奇术!$A:$ZZ,4,FALSE)+SUM(_xlfn.XLOOKUP($R119:$AF119,增益!$A:$A,增益!$D:$D,0))-$I$2</f>
        <v>3545.8</v>
      </c>
      <c r="AP119" s="35" cm="1">
        <f t="array" ref="AP119">IF($F$10-$I$3+VLOOKUP($Q119,武学奇术!$A:$ZZ,6,FALSE)+SUM(_xlfn.XLOOKUP(R119:AF119,增益!$A:$A,增益!$F:$F,0))&gt;0,($F$10-$I$3+VLOOKUP($Q119,武学奇术!$A:$ZZ,6,FALSE)+SUM(_xlfn.XLOOKUP(R119:AF119,增益!$A:$A,增益!$F:$F,0)))/200,($F$10-$I$3+VLOOKUP($Q119,武学奇术!$A:$ZZ,6,FALSE)+SUM(_xlfn.XLOOKUP(R119:AF119,增益!$A:$A,增益!$F:$F,0)))/100)</f>
        <v>0.3425</v>
      </c>
      <c r="AQ119" s="35" cm="1">
        <f t="array" ref="AQ119">$G$10+VLOOKUP($Q119,武学奇术!$A:$ZZ,7,FALSE)+SUM(_xlfn.XLOOKUP(R119:AF119,增益!$A:$A,增益!$G:$G,0))</f>
        <v>0.148</v>
      </c>
      <c r="AR119" s="30" cm="1">
        <f t="array" ref="AR119">VLOOKUP($Q119,武学奇术!$A:$ZZ,8,FALSE)+SUM(_xlfn.XLOOKUP(R119:AF119,增益!$A:$A,增益!$H:$H,0))</f>
        <v>0</v>
      </c>
      <c r="AS119">
        <f t="shared" si="51"/>
        <v>0</v>
      </c>
      <c r="AT119">
        <f t="shared" si="52"/>
        <v>0</v>
      </c>
      <c r="AU119" s="35" cm="1">
        <f t="array" ref="AU119">IF($F$11-$I$4+VLOOKUP($Q119,武学奇术!$A:$ZZ,9,FALSE)+SUM(_xlfn.XLOOKUP(R119:AF119,增益!$A:$A,增益!$I:$I,0))&gt;0,($F$11-$I$4+VLOOKUP($Q119,武学奇术!$A:$ZZ,9,FALSE)+SUM(_xlfn.XLOOKUP(R119:AF119,增益!$A:$A,增益!$I:$I,0)))/200,($F$11-$I$4+VLOOKUP($Q119,武学奇术!$A:$ZZ,9,FALSE)+SUM(_xlfn.XLOOKUP(R119:AF119,增益!$A:$A,增益!$I:$I,0)))/100)</f>
        <v>-0.3</v>
      </c>
      <c r="AV119" s="35" cm="1">
        <f t="array" ref="AV119">$G$11+VLOOKUP($Q119,武学奇术!$A:$ZZ,10,FALSE)+SUM(_xlfn.XLOOKUP(R119:AF119,增益!$A:$A,增益!$J:$J,0))</f>
        <v>0</v>
      </c>
      <c r="AW119">
        <f t="shared" si="53"/>
        <v>0</v>
      </c>
      <c r="AX119">
        <f t="shared" si="54"/>
        <v>0</v>
      </c>
      <c r="AY119" s="35" cm="1">
        <f t="array" ref="AY119">IF($F$12-$I$4+VLOOKUP($Q119,武学奇术!$A:$ZZ,11,FALSE)+SUM(_xlfn.XLOOKUP(R119:AF119,增益!$A:$A,增益!$K:$K,0))&gt;0,($F$12-$I$4+VLOOKUP($Q119,武学奇术!$A:$ZZ,11,FALSE)+SUM(_xlfn.XLOOKUP(R119:AF119,增益!$A:$A,增益!$K:$K,0)))/200,($F$12-$I$4+VLOOKUP($Q119,武学奇术!$A:$ZZ,11,FALSE)+SUM(_xlfn.XLOOKUP(R119:AF119,增益!$A:$A,增益!$K:$K,0)))/100)</f>
        <v>-0.3</v>
      </c>
      <c r="AZ119" s="35" cm="1">
        <f t="array" ref="AZ119">$G$12+VLOOKUP($Q119,武学奇术!$A:$ZZ,12,FALSE)+SUM(_xlfn.XLOOKUP(R119:AF119,增益!$A:$A,增益!$L:$L,0))</f>
        <v>0</v>
      </c>
      <c r="BA119">
        <f t="shared" si="55"/>
        <v>0</v>
      </c>
      <c r="BB119">
        <f t="shared" si="56"/>
        <v>0</v>
      </c>
      <c r="BC119" s="35" cm="1">
        <f t="array" ref="BC119">IF($F$13-$I$4+VLOOKUP($Q119,武学奇术!$A:$ZZ,13,FALSE)+SUM(_xlfn.XLOOKUP(R119:AF119,增益!$A:$A,增益!$M:$M,0))&gt;0,($F$13-$I$4+VLOOKUP($Q119,武学奇术!$A:$ZZ,13,FALSE)+SUM(_xlfn.XLOOKUP(R119:AF119,增益!$A:$A,增益!$K:$K,0)))/200,($F$13-$I$4+VLOOKUP($Q119,武学奇术!$A:$ZZ,13,FALSE)+SUM(_xlfn.XLOOKUP(R119:AF119,增益!$A:$A,增益!$M:$M,0)))/100)</f>
        <v>-0.3</v>
      </c>
      <c r="BD119" s="35" cm="1">
        <f t="array" ref="BD119">$G$13+VLOOKUP($Q119,武学奇术!$A:$ZZ,14,FALSE)+SUM(_xlfn.XLOOKUP(R119:AF119,增益!$A:$A,增益!$N:$N,0))</f>
        <v>0</v>
      </c>
      <c r="BE119">
        <f t="shared" si="57"/>
        <v>538</v>
      </c>
      <c r="BF119">
        <f t="shared" si="58"/>
        <v>1561.4</v>
      </c>
      <c r="BG119" s="35" cm="1">
        <f t="array" ref="BG119">IF($F$14-$I$4+VLOOKUP($Q119,武学奇术!$A:$ZZ,15,FALSE)+SUM(_xlfn.XLOOKUP(R119:AF119,增益!$A:$A,增益!$O:$O,0))&gt;0,($F$14-$I$4+VLOOKUP($Q119,武学奇术!$A:$ZZ,15,FALSE)+SUM(_xlfn.XLOOKUP(R119:AF119,增益!$A:$A,增益!$O:$O,0)))/200,($F$14-$I$4+VLOOKUP($Q119,武学奇术!$A:$ZZ,15,FALSE)+SUM(_xlfn.XLOOKUP(R119:AF119,增益!$A:$A,增益!$O:$O,0)))/100)</f>
        <v>0</v>
      </c>
      <c r="BH119" s="35" cm="1">
        <f t="array" ref="BH119">$G$14+VLOOKUP($Q119,武学奇术!$A:$ZZ,16,FALSE)+SUM(_xlfn.XLOOKUP(R119:AF119,增益!$A:$A,增益!$P:$P,0))</f>
        <v>0.27</v>
      </c>
      <c r="BI119" s="30">
        <f>MIN(IF(VLOOKUP($Q119,武学奇术!$A:$ZZ,23,FALSE)=1,100%,$B$8),100%)</f>
        <v>0.9712</v>
      </c>
      <c r="BJ119" s="30" cm="1">
        <f t="array" ref="BJ119">IF(VLOOKUP($Q119,武学奇术!$A:$ZZ,23,FALSE)=1,100%,MIN(80%,$B$9+VLOOKUP($Q119,武学奇术!$A:$ZZ,17,FALSE)+SUM(_xlfn.XLOOKUP(R119:AF119,增益!$A:$A,增益!$Q:$Q,0)))+$B$11+SUM(_xlfn.XLOOKUP(R119:AF119,增益!$A:$A,增益!$U:$U,0)))*IF(VLOOKUP($Q119,武学奇术!$A:$ZZ,24,FALSE)=1,0,1)</f>
        <v>0.8773</v>
      </c>
      <c r="BK119" s="30" cm="1">
        <f t="array" ref="BK119">1+$B$13+VLOOKUP($Q119,武学奇术!$A:$ZZ,18,FALSE)+SUM(_xlfn.XLOOKUP(R119:AF119,增益!$A:$A,增益!$R:$R,0))</f>
        <v>1.87</v>
      </c>
      <c r="BL119" s="30" cm="1">
        <f t="array" ref="BL119">IF(VLOOKUP($Q119,武学奇术!$A:$ZZ,24,FALSE)=1,100%,MIN(40%,$B$10+VLOOKUP($Q119,武学奇术!$A:$ZZ,19,FALSE)+SUM(_xlfn.XLOOKUP(R119:AF119,增益!$A:$A,增益!$S:$S,0)))+$B$12+SUM(_xlfn.XLOOKUP(R119:AF119,增益!$A:$A,增益!$V:$V,0)))*IF(VLOOKUP($Q119,武学奇术!$A:$ZZ,23,FALSE)=1,0,1)</f>
        <v>0.0895</v>
      </c>
      <c r="BM119" s="30" cm="1">
        <f t="array" ref="BM119">1+$B$14+VLOOKUP($Q119,武学奇术!$A:$ZZ,20,FALSE)+SUM(_xlfn.XLOOKUP(R119:AF119,增益!$A:$A,增益!$T:$T,0))</f>
        <v>1.35</v>
      </c>
      <c r="BN119" s="30">
        <f t="shared" si="59"/>
        <v>0.85203376</v>
      </c>
      <c r="BO119" s="30">
        <f t="shared" si="60"/>
        <v>0.03224384</v>
      </c>
      <c r="BP119" s="30">
        <f>IF(VLOOKUP($Q119,武学奇术!$A:$ZZ,22,FALSE)=1,0,(1-$BI119))*(1-$BL119)</f>
        <v>0.0262224</v>
      </c>
      <c r="BQ119" s="30" cm="1">
        <f t="array" ref="BQ119">SUM(_xlfn.XLOOKUP(R119:AF119,增益!$A:$A,增益!$W:$W,0))+$I$5</f>
        <v>0.11</v>
      </c>
    </row>
    <row r="120" spans="11:69">
      <c r="K120" s="41">
        <f t="shared" si="61"/>
        <v>106705.197311316</v>
      </c>
      <c r="L120" s="41">
        <f>((($AN120+$AO120)/2*$AH120+$AI120)*(1+$AP120)*(1+$AQ120)+(($AS120+$AT120)/2*IF($G$1="鸣金",$AJ120,$AH120)+IF($G$1="鸣金",$AK120*1.5,0))*(1+$AU120)*(1+$AV120)+(($AW120+$AX120)/2*IF($G$1="裂石",$AJ120,$AH120)+IF($G$1="裂石",$AK120*1.5,0))*(1+$AY120)*(1+$AZ120)+(($BA120+$BB120)/2*IF($G$1="牵丝",$AJ120,$AH120)+IF($G$1="牵丝",$AK120*1.5,0))*(1+$BC120)*(1+$BD120)+(($BE120+$BF120)/2*IF($G$1="破竹",$AJ120,$AH120)+IF($G$1="破竹",$AK120*1.5,0))*(1+$BG120)*(1+$BH120))*(1+$AL120)*$BK120*$P120*(1+IF(VLOOKUP($Q120,武学奇术!$A:$ZZ,30,FALSE)="回旋伞",$B$21,0))*(1+$BQ120)</f>
        <v>113311.098825988</v>
      </c>
      <c r="M120" s="41">
        <f>(($AO120*$AH120+$AI120)*(1+$AP120)*(1+$AQ120)+($AT120*IF($G$1="鸣金",$AJ120,$AH120)+IF($G$1="鸣金",$AK120*1.5,0))*(1+$AU120)*(1+$AV120)+($AX120*IF($G$1="裂石",$AJ120,$AH120)+IF($G$1="裂石",$AK120*1.5,0))*(1+$AY120)*(1+$AZ120)+($BB120*IF($G$1="牵丝",$AJ120,$AH120)+IF($G$1="牵丝",$AK120*1.5,0))*(1+$BC120)*(1+$BD120)+($BF120*IF($G$1="破竹",$AJ120,$AH120)+IF($G$1="破竹",$AK120*1.5,0))*(1+$BG120)*(1+$BH120))*(1+$AL120)*$BM120*$P120*(1+IF(VLOOKUP($Q120,武学奇术!$A:$ZZ,30,FALSE)="回旋伞",$B$21,0))*(1+$BQ120)</f>
        <v>80395.9103750964</v>
      </c>
      <c r="N120" s="41">
        <f>((($AN120+$AO120)/2*$AH120+$AI120)*(1+$AP120)*(1+$AQ120)+(($AS120+$AT120)/2*IF($G$1="鸣金",$AJ120,$AH120)+IF($G$1="鸣金",$AK120*1.5,0))*(1+$AU120)*(1+$AV120)+(($AW120+$AX120)/2*IF($G$1="裂石",$AJ120,$AH120)+IF($G$1="裂石",$AK120*1.5,0))*(1+$AY120)*(1+$AZ120)+(($BA120+$BB120)/2*IF($G$1="牵丝",$AJ120,$AH120)+IF($G$1="牵丝",$AK120*1.5,0))*(1+$BC120)*(1+$BD120)+(($BE120+$BF120)/2*IF($G$1="破竹",$AJ120,$AH120)+IF($G$1="破竹",$AK120*1.5,0))*(1+$BG120)*(1+$BH120))*(1+$AL120)*$P120*(1+IF(VLOOKUP($Q120,武学奇术!$A:$ZZ,30,FALSE)="回旋伞",$B$21,0))*(1+$BQ120)</f>
        <v>53448.6315216923</v>
      </c>
      <c r="O120" s="41">
        <f>((($AN120*$AH120+$AI120)*(1+$AP120)*(1+$AQ120)+($AS120*IF($G$1="鸣金",$AJ120,$AH120)+IF($G$1="鸣金",$AK120*1.5,0))*(1+$AU120)*(1+$AV120)+($AW120*IF($G$1="裂石",$AJ120,$AH120)+IF($G$1="裂石",$AK120*1.5,0))*(1+$AY120)*(1+$AZ120)+($BA120*IF($G$1="牵丝",$AJ120,$AH120)+IF($G$1="牵丝",$AK120*1.5,0))*(1+$BC120)*(1+$BD120)+($BE120*IF($G$1="破竹",$AJ120,$AH120)+IF($G$1="破竹",$AK120*1.5,0))*(1+$BG120)*(1+$BH120))*(1+$AL120))*$P120*(1+IF(VLOOKUP($Q120,武学奇术!$A:$ZZ,30,FALSE)="回旋伞",$B$21,0))*(1+$BQ120)</f>
        <v>47344.7368396095</v>
      </c>
      <c r="P120" s="42">
        <v>1</v>
      </c>
      <c r="Q120" s="43" t="s">
        <v>104</v>
      </c>
      <c r="R120" s="43" t="s">
        <v>105</v>
      </c>
      <c r="S120" s="43" t="s">
        <v>91</v>
      </c>
      <c r="T120" s="43" t="s">
        <v>72</v>
      </c>
      <c r="U120" s="43" t="s">
        <v>79</v>
      </c>
      <c r="V120" s="43" t="s">
        <v>167</v>
      </c>
      <c r="W120" s="43" t="s">
        <v>95</v>
      </c>
      <c r="X120" s="43" t="s">
        <v>82</v>
      </c>
      <c r="Y120" s="43" t="s">
        <v>177</v>
      </c>
      <c r="Z120" s="43" t="s">
        <v>178</v>
      </c>
      <c r="AA120" s="43" t="s">
        <v>112</v>
      </c>
      <c r="AB120" s="43" t="s">
        <v>179</v>
      </c>
      <c r="AC120" s="43" t="s">
        <v>71</v>
      </c>
      <c r="AD120" s="43" t="s">
        <v>71</v>
      </c>
      <c r="AE120" s="43" t="s">
        <v>71</v>
      </c>
      <c r="AF120" s="43" t="s">
        <v>76</v>
      </c>
      <c r="AG120" t="str">
        <f>VLOOKUP($Q120,武学奇术!$A:$ZZ,25,FALSE)</f>
        <v>伞</v>
      </c>
      <c r="AH120" s="30">
        <f>VLOOKUP($Q120,武学奇术!$A:$ZZ,26,FALSE)</f>
        <v>1.8084</v>
      </c>
      <c r="AI120" s="31">
        <f>VLOOKUP($Q120,武学奇术!$A:$ZZ,27,FALSE)*(1+IF(OR($AG120=$F$4,$AG120=$F$5),$B$22,0))</f>
        <v>700</v>
      </c>
      <c r="AJ120" s="30">
        <f>VLOOKUP($Q120,武学奇术!$A:$ZZ,28,FALSE)</f>
        <v>2.7126</v>
      </c>
      <c r="AK120" s="31">
        <f>VLOOKUP($Q120,武学奇术!$A:$ZZ,29,FALSE)*(1+IF(OR($AG120=$F$4,$AG120=$F$5),$B$22,0))</f>
        <v>380.8</v>
      </c>
      <c r="AL120" s="30" cm="1">
        <f t="array" ref="AL120">$G$3+IFERROR(VLOOKUP($AG120,$F$4:$G$7,2,FALSE),0)+VLOOKUP($Q120,武学奇术!$A:$ZZ,2,FALSE)+SUM(_xlfn.XLOOKUP($R120:$AF120,增益!$A:$A,增益!$B:$B,0))</f>
        <v>0.8541</v>
      </c>
      <c r="AM120" s="30" cm="1">
        <f t="array" ref="AM120">VLOOKUP($Q120,武学奇术!$A:$ZZ,5,FALSE)+SUM(_xlfn.XLOOKUP($R120:$AF120,增益!$A:$A,增益!$E:$E,0))</f>
        <v>0</v>
      </c>
      <c r="AN120" cm="1">
        <f t="array" ref="AN120">$D$10*(1+$AM120)+VLOOKUP($Q120,武学奇术!$A:$ZZ,3,FALSE)+SUM(_xlfn.XLOOKUP($R120:$AF120,增益!$A:$A,增益!$C:$C,0))-$I$2</f>
        <v>3545.8</v>
      </c>
      <c r="AO120" cm="1">
        <f t="array" ref="AO120">$E$10*(1+$AM120)+VLOOKUP($Q120,武学奇术!$A:$ZZ,4,FALSE)+SUM(_xlfn.XLOOKUP($R120:$AF120,增益!$A:$A,增益!$D:$D,0))-$I$2</f>
        <v>3545.8</v>
      </c>
      <c r="AP120" s="35" cm="1">
        <f t="array" ref="AP120">IF($F$10-$I$3+VLOOKUP($Q120,武学奇术!$A:$ZZ,6,FALSE)+SUM(_xlfn.XLOOKUP(R120:AF120,增益!$A:$A,增益!$F:$F,0))&gt;0,($F$10-$I$3+VLOOKUP($Q120,武学奇术!$A:$ZZ,6,FALSE)+SUM(_xlfn.XLOOKUP(R120:AF120,增益!$A:$A,增益!$F:$F,0)))/200,($F$10-$I$3+VLOOKUP($Q120,武学奇术!$A:$ZZ,6,FALSE)+SUM(_xlfn.XLOOKUP(R120:AF120,增益!$A:$A,增益!$F:$F,0)))/100)</f>
        <v>0.4675</v>
      </c>
      <c r="AQ120" s="35" cm="1">
        <f t="array" ref="AQ120">$G$10+VLOOKUP($Q120,武学奇术!$A:$ZZ,7,FALSE)+SUM(_xlfn.XLOOKUP(R120:AF120,增益!$A:$A,增益!$G:$G,0))</f>
        <v>0.148</v>
      </c>
      <c r="AR120" s="30" cm="1">
        <f t="array" ref="AR120">VLOOKUP($Q120,武学奇术!$A:$ZZ,8,FALSE)+SUM(_xlfn.XLOOKUP(R120:AF120,增益!$A:$A,增益!$H:$H,0))</f>
        <v>0</v>
      </c>
      <c r="AS120">
        <f t="shared" ref="AS120:AS126" si="62">$D$11*(1+$AR120)</f>
        <v>0</v>
      </c>
      <c r="AT120">
        <f t="shared" ref="AT120:AT126" si="63">$E$11*(1+$AR120)</f>
        <v>0</v>
      </c>
      <c r="AU120" s="35" cm="1">
        <f t="array" ref="AU120">IF($F$11-$I$4+VLOOKUP($Q120,武学奇术!$A:$ZZ,9,FALSE)+SUM(_xlfn.XLOOKUP(R120:AF120,增益!$A:$A,增益!$I:$I,0))&gt;0,($F$11-$I$4+VLOOKUP($Q120,武学奇术!$A:$ZZ,9,FALSE)+SUM(_xlfn.XLOOKUP(R120:AF120,增益!$A:$A,增益!$I:$I,0)))/200,($F$11-$I$4+VLOOKUP($Q120,武学奇术!$A:$ZZ,9,FALSE)+SUM(_xlfn.XLOOKUP(R120:AF120,增益!$A:$A,增益!$I:$I,0)))/100)</f>
        <v>-0.14</v>
      </c>
      <c r="AV120" s="35" cm="1">
        <f t="array" ref="AV120">$G$11+VLOOKUP($Q120,武学奇术!$A:$ZZ,10,FALSE)+SUM(_xlfn.XLOOKUP(R120:AF120,增益!$A:$A,增益!$J:$J,0))</f>
        <v>0.1</v>
      </c>
      <c r="AW120">
        <f t="shared" ref="AW120:AW126" si="64">$D$12*(1+$AR120)</f>
        <v>0</v>
      </c>
      <c r="AX120">
        <f t="shared" ref="AX120:AX126" si="65">$E$12*(1+$AR120)</f>
        <v>0</v>
      </c>
      <c r="AY120" s="35" cm="1">
        <f t="array" ref="AY120">IF($F$12-$I$4+VLOOKUP($Q120,武学奇术!$A:$ZZ,11,FALSE)+SUM(_xlfn.XLOOKUP(R120:AF120,增益!$A:$A,增益!$K:$K,0))&gt;0,($F$12-$I$4+VLOOKUP($Q120,武学奇术!$A:$ZZ,11,FALSE)+SUM(_xlfn.XLOOKUP(R120:AF120,增益!$A:$A,增益!$K:$K,0)))/200,($F$12-$I$4+VLOOKUP($Q120,武学奇术!$A:$ZZ,11,FALSE)+SUM(_xlfn.XLOOKUP(R120:AF120,增益!$A:$A,增益!$K:$K,0)))/100)</f>
        <v>-0.14</v>
      </c>
      <c r="AZ120" s="35" cm="1">
        <f t="array" ref="AZ120">$G$12+VLOOKUP($Q120,武学奇术!$A:$ZZ,12,FALSE)+SUM(_xlfn.XLOOKUP(R120:AF120,增益!$A:$A,增益!$L:$L,0))</f>
        <v>0</v>
      </c>
      <c r="BA120">
        <f t="shared" ref="BA120:BA126" si="66">$D$13*(1+$AR120)</f>
        <v>0</v>
      </c>
      <c r="BB120">
        <f t="shared" ref="BB120:BB126" si="67">$E$13*(1+$AR120)</f>
        <v>0</v>
      </c>
      <c r="BC120" s="35" cm="1">
        <f t="array" ref="BC120">IF($F$13-$I$4+VLOOKUP($Q120,武学奇术!$A:$ZZ,13,FALSE)+SUM(_xlfn.XLOOKUP(R120:AF120,增益!$A:$A,增益!$M:$M,0))&gt;0,($F$13-$I$4+VLOOKUP($Q120,武学奇术!$A:$ZZ,13,FALSE)+SUM(_xlfn.XLOOKUP(R120:AF120,增益!$A:$A,增益!$K:$K,0)))/200,($F$13-$I$4+VLOOKUP($Q120,武学奇术!$A:$ZZ,13,FALSE)+SUM(_xlfn.XLOOKUP(R120:AF120,增益!$A:$A,增益!$M:$M,0)))/100)</f>
        <v>-0.14</v>
      </c>
      <c r="BD120" s="35" cm="1">
        <f t="array" ref="BD120">$G$13+VLOOKUP($Q120,武学奇术!$A:$ZZ,14,FALSE)+SUM(_xlfn.XLOOKUP(R120:AF120,增益!$A:$A,增益!$N:$N,0))</f>
        <v>0</v>
      </c>
      <c r="BE120">
        <f t="shared" ref="BE120:BE126" si="68">$D$14*(1+$AR120)</f>
        <v>538</v>
      </c>
      <c r="BF120">
        <f t="shared" ref="BF120:BF126" si="69">$E$14*(1+$AR120)</f>
        <v>1561.4</v>
      </c>
      <c r="BG120" s="35" cm="1">
        <f t="array" ref="BG120">IF($F$14-$I$4+VLOOKUP($Q120,武学奇术!$A:$ZZ,15,FALSE)+SUM(_xlfn.XLOOKUP(R120:AF120,增益!$A:$A,增益!$O:$O,0))&gt;0,($F$14-$I$4+VLOOKUP($Q120,武学奇术!$A:$ZZ,15,FALSE)+SUM(_xlfn.XLOOKUP(R120:AF120,增益!$A:$A,增益!$O:$O,0)))/200,($F$14-$I$4+VLOOKUP($Q120,武学奇术!$A:$ZZ,15,FALSE)+SUM(_xlfn.XLOOKUP(R120:AF120,增益!$A:$A,增益!$O:$O,0)))/100)</f>
        <v>0.08</v>
      </c>
      <c r="BH120" s="35" cm="1">
        <f t="array" ref="BH120">$G$14+VLOOKUP($Q120,武学奇术!$A:$ZZ,16,FALSE)+SUM(_xlfn.XLOOKUP(R120:AF120,增益!$A:$A,增益!$P:$P,0))</f>
        <v>0.27</v>
      </c>
      <c r="BI120" s="30">
        <f>MIN(IF(VLOOKUP($Q120,武学奇术!$A:$ZZ,23,FALSE)=1,100%,$B$8),100%)</f>
        <v>0.9712</v>
      </c>
      <c r="BJ120" s="30" cm="1">
        <f t="array" ref="BJ120">IF(VLOOKUP($Q120,武学奇术!$A:$ZZ,23,FALSE)=1,100%,MIN(80%,$B$9+VLOOKUP($Q120,武学奇术!$A:$ZZ,17,FALSE)+SUM(_xlfn.XLOOKUP(R120:AF120,增益!$A:$A,增益!$Q:$Q,0)))+$B$11+SUM(_xlfn.XLOOKUP(R120:AF120,增益!$A:$A,增益!$U:$U,0)))*IF(VLOOKUP($Q120,武学奇术!$A:$ZZ,24,FALSE)=1,0,1)</f>
        <v>0.8773</v>
      </c>
      <c r="BK120" s="30" cm="1">
        <f t="array" ref="BK120">1+$B$13+VLOOKUP($Q120,武学奇术!$A:$ZZ,18,FALSE)+SUM(_xlfn.XLOOKUP(R120:AF120,增益!$A:$A,增益!$R:$R,0))</f>
        <v>2.12</v>
      </c>
      <c r="BL120" s="30" cm="1">
        <f t="array" ref="BL120">IF(VLOOKUP($Q120,武学奇术!$A:$ZZ,24,FALSE)=1,100%,MIN(40%,$B$10+VLOOKUP($Q120,武学奇术!$A:$ZZ,19,FALSE)+SUM(_xlfn.XLOOKUP(R120:AF120,增益!$A:$A,增益!$S:$S,0)))+$B$12+SUM(_xlfn.XLOOKUP(R120:AF120,增益!$A:$A,增益!$V:$V,0)))*IF(VLOOKUP($Q120,武学奇术!$A:$ZZ,23,FALSE)=1,0,1)</f>
        <v>0.0895</v>
      </c>
      <c r="BM120" s="30" cm="1">
        <f t="array" ref="BM120">1+$B$14+VLOOKUP($Q120,武学奇术!$A:$ZZ,20,FALSE)+SUM(_xlfn.XLOOKUP(R120:AF120,增益!$A:$A,增益!$T:$T,0))</f>
        <v>1.35</v>
      </c>
      <c r="BN120" s="30">
        <f t="shared" ref="BN120:BN126" si="70">MIN((1-BL120)*BI120,BI120*BJ120)</f>
        <v>0.85203376</v>
      </c>
      <c r="BO120" s="30">
        <f t="shared" ref="BO120:BO126" si="71">1-BL120-BN120-BP120</f>
        <v>0.03224384</v>
      </c>
      <c r="BP120" s="30">
        <f>IF(VLOOKUP($Q120,武学奇术!$A:$ZZ,22,FALSE)=1,0,(1-$BI120))*(1-$BL120)</f>
        <v>0.0262224</v>
      </c>
      <c r="BQ120" s="30" cm="1">
        <f t="array" ref="BQ120">SUM(_xlfn.XLOOKUP(R120:AF120,增益!$A:$A,增益!$W:$W,0))+$I$5</f>
        <v>0.31</v>
      </c>
    </row>
    <row r="121" spans="11:69">
      <c r="K121" s="41">
        <f t="shared" si="61"/>
        <v>502135.436273041</v>
      </c>
      <c r="L121" s="41">
        <f>((($AN121+$AO121)/2*$AH121+$AI121)*(1+$AP121)*(1+$AQ121)+(($AS121+$AT121)/2*IF($G$1="鸣金",$AJ121,$AH121)+IF($G$1="鸣金",$AK121*1.5,0))*(1+$AU121)*(1+$AV121)+(($AW121+$AX121)/2*IF($G$1="裂石",$AJ121,$AH121)+IF($G$1="裂石",$AK121*1.5,0))*(1+$AY121)*(1+$AZ121)+(($BA121+$BB121)/2*IF($G$1="牵丝",$AJ121,$AH121)+IF($G$1="牵丝",$AK121*1.5,0))*(1+$BC121)*(1+$BD121)+(($BE121+$BF121)/2*IF($G$1="破竹",$AJ121,$AH121)+IF($G$1="破竹",$AK121*1.5,0))*(1+$BG121)*(1+$BH121))*(1+$AL121)*$BK121*$P121*(1+IF(VLOOKUP($Q121,武学奇术!$A:$ZZ,30,FALSE)="回旋伞",$B$21,0))*(1+$BQ121)</f>
        <v>502135.436273041</v>
      </c>
      <c r="M121" s="41">
        <f>(($AO121*$AH121+$AI121)*(1+$AP121)*(1+$AQ121)+($AT121*IF($G$1="鸣金",$AJ121,$AH121)+IF($G$1="鸣金",$AK121*1.5,0))*(1+$AU121)*(1+$AV121)+($AX121*IF($G$1="裂石",$AJ121,$AH121)+IF($G$1="裂石",$AK121*1.5,0))*(1+$AY121)*(1+$AZ121)+($BB121*IF($G$1="牵丝",$AJ121,$AH121)+IF($G$1="牵丝",$AK121*1.5,0))*(1+$BC121)*(1+$BD121)+($BF121*IF($G$1="破竹",$AJ121,$AH121)+IF($G$1="破竹",$AK121*1.5,0))*(1+$BG121)*(1+$BH121))*(1+$AL121)*$BM121*$P121*(1+IF(VLOOKUP($Q121,武学奇术!$A:$ZZ,30,FALSE)="回旋伞",$B$21,0))*(1+$BQ121)</f>
        <v>356272.562432416</v>
      </c>
      <c r="N121" s="41">
        <f>((($AN121+$AO121)/2*$AH121+$AI121)*(1+$AP121)*(1+$AQ121)+(($AS121+$AT121)/2*IF($G$1="鸣金",$AJ121,$AH121)+IF($G$1="鸣金",$AK121*1.5,0))*(1+$AU121)*(1+$AV121)+(($AW121+$AX121)/2*IF($G$1="裂石",$AJ121,$AH121)+IF($G$1="裂石",$AK121*1.5,0))*(1+$AY121)*(1+$AZ121)+(($BA121+$BB121)/2*IF($G$1="牵丝",$AJ121,$AH121)+IF($G$1="牵丝",$AK121*1.5,0))*(1+$BC121)*(1+$BD121)+(($BE121+$BF121)/2*IF($G$1="破竹",$AJ121,$AH121)+IF($G$1="破竹",$AK121*1.5,0))*(1+$BG121)*(1+$BH121))*(1+$AL121)*$P121*(1+IF(VLOOKUP($Q121,武学奇术!$A:$ZZ,30,FALSE)="回旋伞",$B$21,0))*(1+$BQ121)</f>
        <v>236856.337864642</v>
      </c>
      <c r="O121" s="41">
        <f>((($AN121*$AH121+$AI121)*(1+$AP121)*(1+$AQ121)+($AS121*IF($G$1="鸣金",$AJ121,$AH121)+IF($G$1="鸣金",$AK121*1.5,0))*(1+$AU121)*(1+$AV121)+($AW121*IF($G$1="裂石",$AJ121,$AH121)+IF($G$1="裂石",$AK121*1.5,0))*(1+$AY121)*(1+$AZ121)+($BA121*IF($G$1="牵丝",$AJ121,$AH121)+IF($G$1="牵丝",$AK121*1.5,0))*(1+$BC121)*(1+$BD121)+($BE121*IF($G$1="破竹",$AJ121,$AH121)+IF($G$1="破竹",$AK121*1.5,0))*(1+$BG121)*(1+$BH121))*(1+$AL121))*$P121*(1+IF(VLOOKUP($Q121,武学奇术!$A:$ZZ,30,FALSE)="回旋伞",$B$21,0))*(1+$BQ121)</f>
        <v>209807.073927494</v>
      </c>
      <c r="P121" s="42">
        <v>4</v>
      </c>
      <c r="Q121" s="43" t="s">
        <v>115</v>
      </c>
      <c r="R121" s="43" t="s">
        <v>105</v>
      </c>
      <c r="S121" s="43" t="s">
        <v>91</v>
      </c>
      <c r="T121" s="43" t="s">
        <v>72</v>
      </c>
      <c r="U121" s="43" t="s">
        <v>79</v>
      </c>
      <c r="V121" s="43" t="s">
        <v>167</v>
      </c>
      <c r="W121" s="43" t="s">
        <v>95</v>
      </c>
      <c r="X121" s="43" t="s">
        <v>82</v>
      </c>
      <c r="Y121" s="43" t="s">
        <v>177</v>
      </c>
      <c r="Z121" s="43" t="s">
        <v>178</v>
      </c>
      <c r="AA121" s="43" t="s">
        <v>116</v>
      </c>
      <c r="AB121" s="43" t="s">
        <v>179</v>
      </c>
      <c r="AC121" s="43" t="s">
        <v>71</v>
      </c>
      <c r="AD121" s="43" t="s">
        <v>71</v>
      </c>
      <c r="AE121" s="43" t="s">
        <v>71</v>
      </c>
      <c r="AF121" s="43" t="s">
        <v>76</v>
      </c>
      <c r="AG121" t="str">
        <f>VLOOKUP($Q121,武学奇术!$A:$ZZ,25,FALSE)</f>
        <v>伞</v>
      </c>
      <c r="AH121" s="30">
        <f>VLOOKUP($Q121,武学奇术!$A:$ZZ,26,FALSE)</f>
        <v>1.8084</v>
      </c>
      <c r="AI121" s="31">
        <f>VLOOKUP($Q121,武学奇术!$A:$ZZ,27,FALSE)*(1+IF(OR($AG121=$F$4,$AG121=$F$5),$B$22,0))</f>
        <v>700</v>
      </c>
      <c r="AJ121" s="30">
        <f>VLOOKUP($Q121,武学奇术!$A:$ZZ,28,FALSE)</f>
        <v>2.7126</v>
      </c>
      <c r="AK121" s="31">
        <f>VLOOKUP($Q121,武学奇术!$A:$ZZ,29,FALSE)*(1+IF(OR($AG121=$F$4,$AG121=$F$5),$B$22,0))</f>
        <v>380.8</v>
      </c>
      <c r="AL121" s="30" cm="1">
        <f t="array" ref="AL121">$G$3+IFERROR(VLOOKUP($AG121,$F$4:$G$7,2,FALSE),0)+VLOOKUP($Q121,武学奇术!$A:$ZZ,2,FALSE)+SUM(_xlfn.XLOOKUP($R121:$AF121,增益!$A:$A,增益!$B:$B,0))</f>
        <v>1.0541</v>
      </c>
      <c r="AM121" s="30" cm="1">
        <f t="array" ref="AM121">VLOOKUP($Q121,武学奇术!$A:$ZZ,5,FALSE)+SUM(_xlfn.XLOOKUP($R121:$AF121,增益!$A:$A,增益!$E:$E,0))</f>
        <v>0</v>
      </c>
      <c r="AN121" cm="1">
        <f t="array" ref="AN121">$D$10*(1+$AM121)+VLOOKUP($Q121,武学奇术!$A:$ZZ,3,FALSE)+SUM(_xlfn.XLOOKUP($R121:$AF121,增益!$A:$A,增益!$C:$C,0))-$I$2</f>
        <v>3545.8</v>
      </c>
      <c r="AO121" cm="1">
        <f t="array" ref="AO121">$E$10*(1+$AM121)+VLOOKUP($Q121,武学奇术!$A:$ZZ,4,FALSE)+SUM(_xlfn.XLOOKUP($R121:$AF121,增益!$A:$A,增益!$D:$D,0))-$I$2</f>
        <v>3545.8</v>
      </c>
      <c r="AP121" s="35" cm="1">
        <f t="array" ref="AP121">IF($F$10-$I$3+VLOOKUP($Q121,武学奇术!$A:$ZZ,6,FALSE)+SUM(_xlfn.XLOOKUP(R121:AF121,增益!$A:$A,增益!$F:$F,0))&gt;0,($F$10-$I$3+VLOOKUP($Q121,武学奇术!$A:$ZZ,6,FALSE)+SUM(_xlfn.XLOOKUP(R121:AF121,增益!$A:$A,增益!$F:$F,0)))/200,($F$10-$I$3+VLOOKUP($Q121,武学奇术!$A:$ZZ,6,FALSE)+SUM(_xlfn.XLOOKUP(R121:AF121,增益!$A:$A,增益!$F:$F,0)))/100)</f>
        <v>0.4675</v>
      </c>
      <c r="AQ121" s="35" cm="1">
        <f t="array" ref="AQ121">$G$10+VLOOKUP($Q121,武学奇术!$A:$ZZ,7,FALSE)+SUM(_xlfn.XLOOKUP(R121:AF121,增益!$A:$A,增益!$G:$G,0))</f>
        <v>0.148</v>
      </c>
      <c r="AR121" s="30" cm="1">
        <f t="array" ref="AR121">VLOOKUP($Q121,武学奇术!$A:$ZZ,8,FALSE)+SUM(_xlfn.XLOOKUP(R121:AF121,增益!$A:$A,增益!$H:$H,0))</f>
        <v>0</v>
      </c>
      <c r="AS121">
        <f t="shared" si="62"/>
        <v>0</v>
      </c>
      <c r="AT121">
        <f t="shared" si="63"/>
        <v>0</v>
      </c>
      <c r="AU121" s="35" cm="1">
        <f t="array" ref="AU121">IF($F$11-$I$4+VLOOKUP($Q121,武学奇术!$A:$ZZ,9,FALSE)+SUM(_xlfn.XLOOKUP(R121:AF121,增益!$A:$A,增益!$I:$I,0))&gt;0,($F$11-$I$4+VLOOKUP($Q121,武学奇术!$A:$ZZ,9,FALSE)+SUM(_xlfn.XLOOKUP(R121:AF121,增益!$A:$A,增益!$I:$I,0)))/200,($F$11-$I$4+VLOOKUP($Q121,武学奇术!$A:$ZZ,9,FALSE)+SUM(_xlfn.XLOOKUP(R121:AF121,增益!$A:$A,增益!$I:$I,0)))/100)</f>
        <v>-0.14</v>
      </c>
      <c r="AV121" s="35" cm="1">
        <f t="array" ref="AV121">$G$11+VLOOKUP($Q121,武学奇术!$A:$ZZ,10,FALSE)+SUM(_xlfn.XLOOKUP(R121:AF121,增益!$A:$A,增益!$J:$J,0))</f>
        <v>0.1</v>
      </c>
      <c r="AW121">
        <f t="shared" si="64"/>
        <v>0</v>
      </c>
      <c r="AX121">
        <f t="shared" si="65"/>
        <v>0</v>
      </c>
      <c r="AY121" s="35" cm="1">
        <f t="array" ref="AY121">IF($F$12-$I$4+VLOOKUP($Q121,武学奇术!$A:$ZZ,11,FALSE)+SUM(_xlfn.XLOOKUP(R121:AF121,增益!$A:$A,增益!$K:$K,0))&gt;0,($F$12-$I$4+VLOOKUP($Q121,武学奇术!$A:$ZZ,11,FALSE)+SUM(_xlfn.XLOOKUP(R121:AF121,增益!$A:$A,增益!$K:$K,0)))/200,($F$12-$I$4+VLOOKUP($Q121,武学奇术!$A:$ZZ,11,FALSE)+SUM(_xlfn.XLOOKUP(R121:AF121,增益!$A:$A,增益!$K:$K,0)))/100)</f>
        <v>-0.14</v>
      </c>
      <c r="AZ121" s="35" cm="1">
        <f t="array" ref="AZ121">$G$12+VLOOKUP($Q121,武学奇术!$A:$ZZ,12,FALSE)+SUM(_xlfn.XLOOKUP(R121:AF121,增益!$A:$A,增益!$L:$L,0))</f>
        <v>0</v>
      </c>
      <c r="BA121">
        <f t="shared" si="66"/>
        <v>0</v>
      </c>
      <c r="BB121">
        <f t="shared" si="67"/>
        <v>0</v>
      </c>
      <c r="BC121" s="35" cm="1">
        <f t="array" ref="BC121">IF($F$13-$I$4+VLOOKUP($Q121,武学奇术!$A:$ZZ,13,FALSE)+SUM(_xlfn.XLOOKUP(R121:AF121,增益!$A:$A,增益!$M:$M,0))&gt;0,($F$13-$I$4+VLOOKUP($Q121,武学奇术!$A:$ZZ,13,FALSE)+SUM(_xlfn.XLOOKUP(R121:AF121,增益!$A:$A,增益!$K:$K,0)))/200,($F$13-$I$4+VLOOKUP($Q121,武学奇术!$A:$ZZ,13,FALSE)+SUM(_xlfn.XLOOKUP(R121:AF121,增益!$A:$A,增益!$M:$M,0)))/100)</f>
        <v>-0.14</v>
      </c>
      <c r="BD121" s="35" cm="1">
        <f t="array" ref="BD121">$G$13+VLOOKUP($Q121,武学奇术!$A:$ZZ,14,FALSE)+SUM(_xlfn.XLOOKUP(R121:AF121,增益!$A:$A,增益!$N:$N,0))</f>
        <v>0</v>
      </c>
      <c r="BE121">
        <f t="shared" si="68"/>
        <v>538</v>
      </c>
      <c r="BF121">
        <f t="shared" si="69"/>
        <v>1561.4</v>
      </c>
      <c r="BG121" s="35" cm="1">
        <f t="array" ref="BG121">IF($F$14-$I$4+VLOOKUP($Q121,武学奇术!$A:$ZZ,15,FALSE)+SUM(_xlfn.XLOOKUP(R121:AF121,增益!$A:$A,增益!$O:$O,0))&gt;0,($F$14-$I$4+VLOOKUP($Q121,武学奇术!$A:$ZZ,15,FALSE)+SUM(_xlfn.XLOOKUP(R121:AF121,增益!$A:$A,增益!$O:$O,0)))/200,($F$14-$I$4+VLOOKUP($Q121,武学奇术!$A:$ZZ,15,FALSE)+SUM(_xlfn.XLOOKUP(R121:AF121,增益!$A:$A,增益!$O:$O,0)))/100)</f>
        <v>0.08</v>
      </c>
      <c r="BH121" s="35" cm="1">
        <f t="array" ref="BH121">$G$14+VLOOKUP($Q121,武学奇术!$A:$ZZ,16,FALSE)+SUM(_xlfn.XLOOKUP(R121:AF121,增益!$A:$A,增益!$P:$P,0))</f>
        <v>0.27</v>
      </c>
      <c r="BI121" s="30">
        <f>MIN(IF(VLOOKUP($Q121,武学奇术!$A:$ZZ,23,FALSE)=1,100%,$B$8),100%)</f>
        <v>1</v>
      </c>
      <c r="BJ121" s="30" cm="1">
        <f t="array" ref="BJ121">IF(VLOOKUP($Q121,武学奇术!$A:$ZZ,23,FALSE)=1,100%,MIN(80%,$B$9+VLOOKUP($Q121,武学奇术!$A:$ZZ,17,FALSE)+SUM(_xlfn.XLOOKUP(R121:AF121,增益!$A:$A,增益!$Q:$Q,0)))+$B$11+SUM(_xlfn.XLOOKUP(R121:AF121,增益!$A:$A,增益!$U:$U,0)))*IF(VLOOKUP($Q121,武学奇术!$A:$ZZ,24,FALSE)=1,0,1)</f>
        <v>1</v>
      </c>
      <c r="BK121" s="30" cm="1">
        <f t="array" ref="BK121">1+$B$13+VLOOKUP($Q121,武学奇术!$A:$ZZ,18,FALSE)+SUM(_xlfn.XLOOKUP(R121:AF121,增益!$A:$A,增益!$R:$R,0))</f>
        <v>2.12</v>
      </c>
      <c r="BL121" s="30" cm="1">
        <f t="array" ref="BL121">IF(VLOOKUP($Q121,武学奇术!$A:$ZZ,24,FALSE)=1,100%,MIN(40%,$B$10+VLOOKUP($Q121,武学奇术!$A:$ZZ,19,FALSE)+SUM(_xlfn.XLOOKUP(R121:AF121,增益!$A:$A,增益!$S:$S,0)))+$B$12+SUM(_xlfn.XLOOKUP(R121:AF121,增益!$A:$A,增益!$V:$V,0)))*IF(VLOOKUP($Q121,武学奇术!$A:$ZZ,23,FALSE)=1,0,1)</f>
        <v>0</v>
      </c>
      <c r="BM121" s="30" cm="1">
        <f t="array" ref="BM121">1+$B$14+VLOOKUP($Q121,武学奇术!$A:$ZZ,20,FALSE)+SUM(_xlfn.XLOOKUP(R121:AF121,增益!$A:$A,增益!$T:$T,0))</f>
        <v>1.35</v>
      </c>
      <c r="BN121" s="30">
        <f t="shared" si="70"/>
        <v>1</v>
      </c>
      <c r="BO121" s="30">
        <f t="shared" si="71"/>
        <v>0</v>
      </c>
      <c r="BP121" s="30">
        <f>IF(VLOOKUP($Q121,武学奇术!$A:$ZZ,22,FALSE)=1,0,(1-$BI121))*(1-$BL121)</f>
        <v>0</v>
      </c>
      <c r="BQ121" s="30" cm="1">
        <f t="array" ref="BQ121">SUM(_xlfn.XLOOKUP(R121:AF121,增益!$A:$A,增益!$W:$W,0))+$I$5</f>
        <v>0.31</v>
      </c>
    </row>
    <row r="122" spans="11:69">
      <c r="K122" s="41">
        <f t="shared" si="61"/>
        <v>640231.183867898</v>
      </c>
      <c r="L122" s="41">
        <f>((($AN122+$AO122)/2*$AH122+$AI122)*(1+$AP122)*(1+$AQ122)+(($AS122+$AT122)/2*IF($G$1="鸣金",$AJ122,$AH122)+IF($G$1="鸣金",$AK122*1.5,0))*(1+$AU122)*(1+$AV122)+(($AW122+$AX122)/2*IF($G$1="裂石",$AJ122,$AH122)+IF($G$1="裂石",$AK122*1.5,0))*(1+$AY122)*(1+$AZ122)+(($BA122+$BB122)/2*IF($G$1="牵丝",$AJ122,$AH122)+IF($G$1="牵丝",$AK122*1.5,0))*(1+$BC122)*(1+$BD122)+(($BE122+$BF122)/2*IF($G$1="破竹",$AJ122,$AH122)+IF($G$1="破竹",$AK122*1.5,0))*(1+$BG122)*(1+$BH122))*(1+$AL122)*$BK122*$P122*(1+IF(VLOOKUP($Q122,武学奇术!$A:$ZZ,30,FALSE)="回旋伞",$B$21,0))*(1+$BQ122)</f>
        <v>679866.592955926</v>
      </c>
      <c r="M122" s="41">
        <f>(($AO122*$AH122+$AI122)*(1+$AP122)*(1+$AQ122)+($AT122*IF($G$1="鸣金",$AJ122,$AH122)+IF($G$1="鸣金",$AK122*1.5,0))*(1+$AU122)*(1+$AV122)+($AX122*IF($G$1="裂石",$AJ122,$AH122)+IF($G$1="裂石",$AK122*1.5,0))*(1+$AY122)*(1+$AZ122)+($BB122*IF($G$1="牵丝",$AJ122,$AH122)+IF($G$1="牵丝",$AK122*1.5,0))*(1+$BC122)*(1+$BD122)+($BF122*IF($G$1="破竹",$AJ122,$AH122)+IF($G$1="破竹",$AK122*1.5,0))*(1+$BG122)*(1+$BH122))*(1+$AL122)*$BM122*$P122*(1+IF(VLOOKUP($Q122,武学奇术!$A:$ZZ,30,FALSE)="回旋伞",$B$21,0))*(1+$BQ122)</f>
        <v>482375.462250579</v>
      </c>
      <c r="N122" s="41">
        <f>((($AN122+$AO122)/2*$AH122+$AI122)*(1+$AP122)*(1+$AQ122)+(($AS122+$AT122)/2*IF($G$1="鸣金",$AJ122,$AH122)+IF($G$1="鸣金",$AK122*1.5,0))*(1+$AU122)*(1+$AV122)+(($AW122+$AX122)/2*IF($G$1="裂石",$AJ122,$AH122)+IF($G$1="裂石",$AK122*1.5,0))*(1+$AY122)*(1+$AZ122)+(($BA122+$BB122)/2*IF($G$1="牵丝",$AJ122,$AH122)+IF($G$1="牵丝",$AK122*1.5,0))*(1+$BC122)*(1+$BD122)+(($BE122+$BF122)/2*IF($G$1="破竹",$AJ122,$AH122)+IF($G$1="破竹",$AK122*1.5,0))*(1+$BG122)*(1+$BH122))*(1+$AL122)*$P122*(1+IF(VLOOKUP($Q122,武学奇术!$A:$ZZ,30,FALSE)="回旋伞",$B$21,0))*(1+$BQ122)</f>
        <v>320691.789130154</v>
      </c>
      <c r="O122" s="41">
        <f>((($AN122*$AH122+$AI122)*(1+$AP122)*(1+$AQ122)+($AS122*IF($G$1="鸣金",$AJ122,$AH122)+IF($G$1="鸣金",$AK122*1.5,0))*(1+$AU122)*(1+$AV122)+($AW122*IF($G$1="裂石",$AJ122,$AH122)+IF($G$1="裂石",$AK122*1.5,0))*(1+$AY122)*(1+$AZ122)+($BA122*IF($G$1="牵丝",$AJ122,$AH122)+IF($G$1="牵丝",$AK122*1.5,0))*(1+$BC122)*(1+$BD122)+($BE122*IF($G$1="破竹",$AJ122,$AH122)+IF($G$1="破竹",$AK122*1.5,0))*(1+$BG122)*(1+$BH122))*(1+$AL122))*$P122*(1+IF(VLOOKUP($Q122,武学奇术!$A:$ZZ,30,FALSE)="回旋伞",$B$21,0))*(1+$BQ122)</f>
        <v>284068.421037657</v>
      </c>
      <c r="P122" s="42">
        <v>6</v>
      </c>
      <c r="Q122" s="43" t="s">
        <v>104</v>
      </c>
      <c r="R122" s="43" t="s">
        <v>105</v>
      </c>
      <c r="S122" s="43" t="s">
        <v>91</v>
      </c>
      <c r="T122" s="43" t="s">
        <v>72</v>
      </c>
      <c r="U122" s="43" t="s">
        <v>79</v>
      </c>
      <c r="V122" s="43" t="s">
        <v>167</v>
      </c>
      <c r="W122" s="43" t="s">
        <v>95</v>
      </c>
      <c r="X122" s="43" t="s">
        <v>82</v>
      </c>
      <c r="Y122" s="43" t="s">
        <v>177</v>
      </c>
      <c r="Z122" s="43" t="s">
        <v>178</v>
      </c>
      <c r="AA122" s="43" t="s">
        <v>116</v>
      </c>
      <c r="AB122" s="43" t="s">
        <v>179</v>
      </c>
      <c r="AC122" s="43" t="s">
        <v>71</v>
      </c>
      <c r="AD122" s="43" t="s">
        <v>71</v>
      </c>
      <c r="AE122" s="43" t="s">
        <v>71</v>
      </c>
      <c r="AF122" s="43" t="s">
        <v>76</v>
      </c>
      <c r="AG122" t="str">
        <f>VLOOKUP($Q122,武学奇术!$A:$ZZ,25,FALSE)</f>
        <v>伞</v>
      </c>
      <c r="AH122" s="30">
        <f>VLOOKUP($Q122,武学奇术!$A:$ZZ,26,FALSE)</f>
        <v>1.8084</v>
      </c>
      <c r="AI122" s="31">
        <f>VLOOKUP($Q122,武学奇术!$A:$ZZ,27,FALSE)*(1+IF(OR($AG122=$F$4,$AG122=$F$5),$B$22,0))</f>
        <v>700</v>
      </c>
      <c r="AJ122" s="30">
        <f>VLOOKUP($Q122,武学奇术!$A:$ZZ,28,FALSE)</f>
        <v>2.7126</v>
      </c>
      <c r="AK122" s="31">
        <f>VLOOKUP($Q122,武学奇术!$A:$ZZ,29,FALSE)*(1+IF(OR($AG122=$F$4,$AG122=$F$5),$B$22,0))</f>
        <v>380.8</v>
      </c>
      <c r="AL122" s="30" cm="1">
        <f t="array" ref="AL122">$G$3+IFERROR(VLOOKUP($AG122,$F$4:$G$7,2,FALSE),0)+VLOOKUP($Q122,武学奇术!$A:$ZZ,2,FALSE)+SUM(_xlfn.XLOOKUP($R122:$AF122,增益!$A:$A,增益!$B:$B,0))</f>
        <v>0.8541</v>
      </c>
      <c r="AM122" s="30" cm="1">
        <f t="array" ref="AM122">VLOOKUP($Q122,武学奇术!$A:$ZZ,5,FALSE)+SUM(_xlfn.XLOOKUP($R122:$AF122,增益!$A:$A,增益!$E:$E,0))</f>
        <v>0</v>
      </c>
      <c r="AN122" cm="1">
        <f t="array" ref="AN122">$D$10*(1+$AM122)+VLOOKUP($Q122,武学奇术!$A:$ZZ,3,FALSE)+SUM(_xlfn.XLOOKUP($R122:$AF122,增益!$A:$A,增益!$C:$C,0))-$I$2</f>
        <v>3545.8</v>
      </c>
      <c r="AO122" cm="1">
        <f t="array" ref="AO122">$E$10*(1+$AM122)+VLOOKUP($Q122,武学奇术!$A:$ZZ,4,FALSE)+SUM(_xlfn.XLOOKUP($R122:$AF122,增益!$A:$A,增益!$D:$D,0))-$I$2</f>
        <v>3545.8</v>
      </c>
      <c r="AP122" s="35" cm="1">
        <f t="array" ref="AP122">IF($F$10-$I$3+VLOOKUP($Q122,武学奇术!$A:$ZZ,6,FALSE)+SUM(_xlfn.XLOOKUP(R122:AF122,增益!$A:$A,增益!$F:$F,0))&gt;0,($F$10-$I$3+VLOOKUP($Q122,武学奇术!$A:$ZZ,6,FALSE)+SUM(_xlfn.XLOOKUP(R122:AF122,增益!$A:$A,增益!$F:$F,0)))/200,($F$10-$I$3+VLOOKUP($Q122,武学奇术!$A:$ZZ,6,FALSE)+SUM(_xlfn.XLOOKUP(R122:AF122,增益!$A:$A,增益!$F:$F,0)))/100)</f>
        <v>0.4675</v>
      </c>
      <c r="AQ122" s="35" cm="1">
        <f t="array" ref="AQ122">$G$10+VLOOKUP($Q122,武学奇术!$A:$ZZ,7,FALSE)+SUM(_xlfn.XLOOKUP(R122:AF122,增益!$A:$A,增益!$G:$G,0))</f>
        <v>0.148</v>
      </c>
      <c r="AR122" s="30" cm="1">
        <f t="array" ref="AR122">VLOOKUP($Q122,武学奇术!$A:$ZZ,8,FALSE)+SUM(_xlfn.XLOOKUP(R122:AF122,增益!$A:$A,增益!$H:$H,0))</f>
        <v>0</v>
      </c>
      <c r="AS122">
        <f t="shared" si="62"/>
        <v>0</v>
      </c>
      <c r="AT122">
        <f t="shared" si="63"/>
        <v>0</v>
      </c>
      <c r="AU122" s="35" cm="1">
        <f t="array" ref="AU122">IF($F$11-$I$4+VLOOKUP($Q122,武学奇术!$A:$ZZ,9,FALSE)+SUM(_xlfn.XLOOKUP(R122:AF122,增益!$A:$A,增益!$I:$I,0))&gt;0,($F$11-$I$4+VLOOKUP($Q122,武学奇术!$A:$ZZ,9,FALSE)+SUM(_xlfn.XLOOKUP(R122:AF122,增益!$A:$A,增益!$I:$I,0)))/200,($F$11-$I$4+VLOOKUP($Q122,武学奇术!$A:$ZZ,9,FALSE)+SUM(_xlfn.XLOOKUP(R122:AF122,增益!$A:$A,增益!$I:$I,0)))/100)</f>
        <v>-0.14</v>
      </c>
      <c r="AV122" s="35" cm="1">
        <f t="array" ref="AV122">$G$11+VLOOKUP($Q122,武学奇术!$A:$ZZ,10,FALSE)+SUM(_xlfn.XLOOKUP(R122:AF122,增益!$A:$A,增益!$J:$J,0))</f>
        <v>0.1</v>
      </c>
      <c r="AW122">
        <f t="shared" si="64"/>
        <v>0</v>
      </c>
      <c r="AX122">
        <f t="shared" si="65"/>
        <v>0</v>
      </c>
      <c r="AY122" s="35" cm="1">
        <f t="array" ref="AY122">IF($F$12-$I$4+VLOOKUP($Q122,武学奇术!$A:$ZZ,11,FALSE)+SUM(_xlfn.XLOOKUP(R122:AF122,增益!$A:$A,增益!$K:$K,0))&gt;0,($F$12-$I$4+VLOOKUP($Q122,武学奇术!$A:$ZZ,11,FALSE)+SUM(_xlfn.XLOOKUP(R122:AF122,增益!$A:$A,增益!$K:$K,0)))/200,($F$12-$I$4+VLOOKUP($Q122,武学奇术!$A:$ZZ,11,FALSE)+SUM(_xlfn.XLOOKUP(R122:AF122,增益!$A:$A,增益!$K:$K,0)))/100)</f>
        <v>-0.14</v>
      </c>
      <c r="AZ122" s="35" cm="1">
        <f t="array" ref="AZ122">$G$12+VLOOKUP($Q122,武学奇术!$A:$ZZ,12,FALSE)+SUM(_xlfn.XLOOKUP(R122:AF122,增益!$A:$A,增益!$L:$L,0))</f>
        <v>0</v>
      </c>
      <c r="BA122">
        <f t="shared" si="66"/>
        <v>0</v>
      </c>
      <c r="BB122">
        <f t="shared" si="67"/>
        <v>0</v>
      </c>
      <c r="BC122" s="35" cm="1">
        <f t="array" ref="BC122">IF($F$13-$I$4+VLOOKUP($Q122,武学奇术!$A:$ZZ,13,FALSE)+SUM(_xlfn.XLOOKUP(R122:AF122,增益!$A:$A,增益!$M:$M,0))&gt;0,($F$13-$I$4+VLOOKUP($Q122,武学奇术!$A:$ZZ,13,FALSE)+SUM(_xlfn.XLOOKUP(R122:AF122,增益!$A:$A,增益!$K:$K,0)))/200,($F$13-$I$4+VLOOKUP($Q122,武学奇术!$A:$ZZ,13,FALSE)+SUM(_xlfn.XLOOKUP(R122:AF122,增益!$A:$A,增益!$M:$M,0)))/100)</f>
        <v>-0.14</v>
      </c>
      <c r="BD122" s="35" cm="1">
        <f t="array" ref="BD122">$G$13+VLOOKUP($Q122,武学奇术!$A:$ZZ,14,FALSE)+SUM(_xlfn.XLOOKUP(R122:AF122,增益!$A:$A,增益!$N:$N,0))</f>
        <v>0</v>
      </c>
      <c r="BE122">
        <f t="shared" si="68"/>
        <v>538</v>
      </c>
      <c r="BF122">
        <f t="shared" si="69"/>
        <v>1561.4</v>
      </c>
      <c r="BG122" s="35" cm="1">
        <f t="array" ref="BG122">IF($F$14-$I$4+VLOOKUP($Q122,武学奇术!$A:$ZZ,15,FALSE)+SUM(_xlfn.XLOOKUP(R122:AF122,增益!$A:$A,增益!$O:$O,0))&gt;0,($F$14-$I$4+VLOOKUP($Q122,武学奇术!$A:$ZZ,15,FALSE)+SUM(_xlfn.XLOOKUP(R122:AF122,增益!$A:$A,增益!$O:$O,0)))/200,($F$14-$I$4+VLOOKUP($Q122,武学奇术!$A:$ZZ,15,FALSE)+SUM(_xlfn.XLOOKUP(R122:AF122,增益!$A:$A,增益!$O:$O,0)))/100)</f>
        <v>0.08</v>
      </c>
      <c r="BH122" s="35" cm="1">
        <f t="array" ref="BH122">$G$14+VLOOKUP($Q122,武学奇术!$A:$ZZ,16,FALSE)+SUM(_xlfn.XLOOKUP(R122:AF122,增益!$A:$A,增益!$P:$P,0))</f>
        <v>0.27</v>
      </c>
      <c r="BI122" s="30">
        <f>MIN(IF(VLOOKUP($Q122,武学奇术!$A:$ZZ,23,FALSE)=1,100%,$B$8),100%)</f>
        <v>0.9712</v>
      </c>
      <c r="BJ122" s="30" cm="1">
        <f t="array" ref="BJ122">IF(VLOOKUP($Q122,武学奇术!$A:$ZZ,23,FALSE)=1,100%,MIN(80%,$B$9+VLOOKUP($Q122,武学奇术!$A:$ZZ,17,FALSE)+SUM(_xlfn.XLOOKUP(R122:AF122,增益!$A:$A,增益!$Q:$Q,0)))+$B$11+SUM(_xlfn.XLOOKUP(R122:AF122,增益!$A:$A,增益!$U:$U,0)))*IF(VLOOKUP($Q122,武学奇术!$A:$ZZ,24,FALSE)=1,0,1)</f>
        <v>0.8773</v>
      </c>
      <c r="BK122" s="30" cm="1">
        <f t="array" ref="BK122">1+$B$13+VLOOKUP($Q122,武学奇术!$A:$ZZ,18,FALSE)+SUM(_xlfn.XLOOKUP(R122:AF122,增益!$A:$A,增益!$R:$R,0))</f>
        <v>2.12</v>
      </c>
      <c r="BL122" s="30" cm="1">
        <f t="array" ref="BL122">IF(VLOOKUP($Q122,武学奇术!$A:$ZZ,24,FALSE)=1,100%,MIN(40%,$B$10+VLOOKUP($Q122,武学奇术!$A:$ZZ,19,FALSE)+SUM(_xlfn.XLOOKUP(R122:AF122,增益!$A:$A,增益!$S:$S,0)))+$B$12+SUM(_xlfn.XLOOKUP(R122:AF122,增益!$A:$A,增益!$V:$V,0)))*IF(VLOOKUP($Q122,武学奇术!$A:$ZZ,23,FALSE)=1,0,1)</f>
        <v>0.0895</v>
      </c>
      <c r="BM122" s="30" cm="1">
        <f t="array" ref="BM122">1+$B$14+VLOOKUP($Q122,武学奇术!$A:$ZZ,20,FALSE)+SUM(_xlfn.XLOOKUP(R122:AF122,增益!$A:$A,增益!$T:$T,0))</f>
        <v>1.35</v>
      </c>
      <c r="BN122" s="30">
        <f t="shared" si="70"/>
        <v>0.85203376</v>
      </c>
      <c r="BO122" s="30">
        <f t="shared" si="71"/>
        <v>0.03224384</v>
      </c>
      <c r="BP122" s="30">
        <f>IF(VLOOKUP($Q122,武学奇术!$A:$ZZ,22,FALSE)=1,0,(1-$BI122))*(1-$BL122)</f>
        <v>0.0262224</v>
      </c>
      <c r="BQ122" s="30" cm="1">
        <f t="array" ref="BQ122">SUM(_xlfn.XLOOKUP(R122:AF122,增益!$A:$A,增益!$W:$W,0))+$I$5</f>
        <v>0.31</v>
      </c>
    </row>
    <row r="123" spans="11:69">
      <c r="K123" s="41">
        <f t="shared" si="61"/>
        <v>43307.6502257805</v>
      </c>
      <c r="L123" s="41">
        <f>((($AN123+$AO123)/2*$AH123+$AI123)*(1+$AP123)*(1+$AQ123)+(($AS123+$AT123)/2*IF($G$1="鸣金",$AJ123,$AH123)+IF($G$1="鸣金",$AK123*1.5,0))*(1+$AU123)*(1+$AV123)+(($AW123+$AX123)/2*IF($G$1="裂石",$AJ123,$AH123)+IF($G$1="裂石",$AK123*1.5,0))*(1+$AY123)*(1+$AZ123)+(($BA123+$BB123)/2*IF($G$1="牵丝",$AJ123,$AH123)+IF($G$1="牵丝",$AK123*1.5,0))*(1+$BC123)*(1+$BD123)+(($BE123+$BF123)/2*IF($G$1="破竹",$AJ123,$AH123)+IF($G$1="破竹",$AK123*1.5,0))*(1+$BG123)*(1+$BH123))*(1+$AL123)*$BK123*$P123*(1+IF(VLOOKUP($Q123,武学奇术!$A:$ZZ,30,FALSE)="回旋伞",$B$21,0))*(1+$BQ123)</f>
        <v>45371.224919267</v>
      </c>
      <c r="M123" s="41">
        <f>(($AO123*$AH123+$AI123)*(1+$AP123)*(1+$AQ123)+($AT123*IF($G$1="鸣金",$AJ123,$AH123)+IF($G$1="鸣金",$AK123*1.5,0))*(1+$AU123)*(1+$AV123)+($AX123*IF($G$1="裂石",$AJ123,$AH123)+IF($G$1="裂石",$AK123*1.5,0))*(1+$AY123)*(1+$AZ123)+($BB123*IF($G$1="牵丝",$AJ123,$AH123)+IF($G$1="牵丝",$AK123*1.5,0))*(1+$BC123)*(1+$BD123)+($BF123*IF($G$1="破竹",$AJ123,$AH123)+IF($G$1="破竹",$AK123*1.5,0))*(1+$BG123)*(1+$BH123))*(1+$AL123)*$BM123*$P123*(1+IF(VLOOKUP($Q123,武学奇术!$A:$ZZ,30,FALSE)="回旋伞",$B$21,0))*(1+$BQ123)</f>
        <v>37032.0921121772</v>
      </c>
      <c r="N123" s="41">
        <f>((($AN123+$AO123)/2*$AH123+$AI123)*(1+$AP123)*(1+$AQ123)+(($AS123+$AT123)/2*IF($G$1="鸣金",$AJ123,$AH123)+IF($G$1="鸣金",$AK123*1.5,0))*(1+$AU123)*(1+$AV123)+(($AW123+$AX123)/2*IF($G$1="裂石",$AJ123,$AH123)+IF($G$1="裂石",$AK123*1.5,0))*(1+$AY123)*(1+$AZ123)+(($BA123+$BB123)/2*IF($G$1="牵丝",$AJ123,$AH123)+IF($G$1="牵丝",$AK123*1.5,0))*(1+$BC123)*(1+$BD123)+(($BE123+$BF123)/2*IF($G$1="破竹",$AJ123,$AH123)+IF($G$1="破竹",$AK123*1.5,0))*(1+$BG123)*(1+$BH123))*(1+$AL123)*$P123*(1+IF(VLOOKUP($Q123,武学奇术!$A:$ZZ,30,FALSE)="回旋伞",$B$21,0))*(1+$BQ123)</f>
        <v>24262.6871226027</v>
      </c>
      <c r="O123" s="41">
        <f>((($AN123*$AH123+$AI123)*(1+$AP123)*(1+$AQ123)+($AS123*IF($G$1="鸣金",$AJ123,$AH123)+IF($G$1="鸣金",$AK123*1.5,0))*(1+$AU123)*(1+$AV123)+($AW123*IF($G$1="裂石",$AJ123,$AH123)+IF($G$1="裂石",$AK123*1.5,0))*(1+$AY123)*(1+$AZ123)+($BA123*IF($G$1="牵丝",$AJ123,$AH123)+IF($G$1="牵丝",$AK123*1.5,0))*(1+$BC123)*(1+$BD123)+($BE123*IF($G$1="破竹",$AJ123,$AH123)+IF($G$1="破竹",$AK123*1.5,0))*(1+$BG123)*(1+$BH123))*(1+$AL123))*$P123*(1+IF(VLOOKUP($Q123,武学奇术!$A:$ZZ,30,FALSE)="回旋伞",$B$21,0))*(1+$BQ123)</f>
        <v>21094.1949028519</v>
      </c>
      <c r="P123" s="42">
        <v>2</v>
      </c>
      <c r="Q123" s="43" t="s">
        <v>120</v>
      </c>
      <c r="R123" s="43" t="s">
        <v>105</v>
      </c>
      <c r="S123" s="43" t="s">
        <v>91</v>
      </c>
      <c r="T123" s="43" t="s">
        <v>72</v>
      </c>
      <c r="U123" s="43" t="s">
        <v>79</v>
      </c>
      <c r="V123" s="43" t="s">
        <v>167</v>
      </c>
      <c r="W123" s="43" t="s">
        <v>95</v>
      </c>
      <c r="X123" s="43" t="s">
        <v>71</v>
      </c>
      <c r="Y123" s="43" t="s">
        <v>71</v>
      </c>
      <c r="Z123" s="43" t="s">
        <v>71</v>
      </c>
      <c r="AA123" s="43" t="s">
        <v>71</v>
      </c>
      <c r="AB123" s="43" t="s">
        <v>71</v>
      </c>
      <c r="AC123" s="43" t="s">
        <v>71</v>
      </c>
      <c r="AD123" s="43" t="s">
        <v>71</v>
      </c>
      <c r="AE123" s="43" t="s">
        <v>71</v>
      </c>
      <c r="AF123" s="43" t="s">
        <v>76</v>
      </c>
      <c r="AG123" t="str">
        <f>VLOOKUP($Q123,武学奇术!$A:$ZZ,25,FALSE)</f>
        <v>伞</v>
      </c>
      <c r="AH123" s="30">
        <f>VLOOKUP($Q123,武学奇术!$A:$ZZ,26,FALSE)</f>
        <v>0.54</v>
      </c>
      <c r="AI123" s="31">
        <f>VLOOKUP($Q123,武学奇术!$A:$ZZ,27,FALSE)*(1+IF(OR($AG123=$F$4,$AG123=$F$5),$B$22,0))</f>
        <v>0</v>
      </c>
      <c r="AJ123" s="30">
        <f>VLOOKUP($Q123,武学奇术!$A:$ZZ,28,FALSE)</f>
        <v>0.81</v>
      </c>
      <c r="AK123" s="31">
        <f>VLOOKUP($Q123,武学奇术!$A:$ZZ,29,FALSE)*(1+IF(OR($AG123=$F$4,$AG123=$F$5),$B$22,0))</f>
        <v>0</v>
      </c>
      <c r="AL123" s="30" cm="1">
        <f t="array" ref="AL123">$G$3+IFERROR(VLOOKUP($AG123,$F$4:$G$7,2,FALSE),0)+VLOOKUP($Q123,武学奇术!$A:$ZZ,2,FALSE)+SUM(_xlfn.XLOOKUP($R123:$AF123,增益!$A:$A,增益!$B:$B,0))</f>
        <v>1.0541</v>
      </c>
      <c r="AM123" s="30" cm="1">
        <f t="array" ref="AM123">VLOOKUP($Q123,武学奇术!$A:$ZZ,5,FALSE)+SUM(_xlfn.XLOOKUP($R123:$AF123,增益!$A:$A,增益!$E:$E,0))</f>
        <v>0</v>
      </c>
      <c r="AN123" cm="1">
        <f t="array" ref="AN123">$D$10*(1+$AM123)+VLOOKUP($Q123,武学奇术!$A:$ZZ,3,FALSE)+SUM(_xlfn.XLOOKUP($R123:$AF123,增益!$A:$A,增益!$C:$C,0))-$I$2</f>
        <v>3545.8</v>
      </c>
      <c r="AO123" cm="1">
        <f t="array" ref="AO123">$E$10*(1+$AM123)+VLOOKUP($Q123,武学奇术!$A:$ZZ,4,FALSE)+SUM(_xlfn.XLOOKUP($R123:$AF123,增益!$A:$A,增益!$D:$D,0))-$I$2</f>
        <v>3545.8</v>
      </c>
      <c r="AP123" s="35" cm="1">
        <f t="array" ref="AP123">IF($F$10-$I$3+VLOOKUP($Q123,武学奇术!$A:$ZZ,6,FALSE)+SUM(_xlfn.XLOOKUP(R123:AF123,增益!$A:$A,增益!$F:$F,0))&gt;0,($F$10-$I$3+VLOOKUP($Q123,武学奇术!$A:$ZZ,6,FALSE)+SUM(_xlfn.XLOOKUP(R123:AF123,增益!$A:$A,增益!$F:$F,0)))/200,($F$10-$I$3+VLOOKUP($Q123,武学奇术!$A:$ZZ,6,FALSE)+SUM(_xlfn.XLOOKUP(R123:AF123,增益!$A:$A,增益!$F:$F,0)))/100)</f>
        <v>0.3425</v>
      </c>
      <c r="AQ123" s="35" cm="1">
        <f t="array" ref="AQ123">$G$10+VLOOKUP($Q123,武学奇术!$A:$ZZ,7,FALSE)+SUM(_xlfn.XLOOKUP(R123:AF123,增益!$A:$A,增益!$G:$G,0))</f>
        <v>0.148</v>
      </c>
      <c r="AR123" s="30" cm="1">
        <f t="array" ref="AR123">VLOOKUP($Q123,武学奇术!$A:$ZZ,8,FALSE)+SUM(_xlfn.XLOOKUP(R123:AF123,增益!$A:$A,增益!$H:$H,0))</f>
        <v>0</v>
      </c>
      <c r="AS123">
        <f t="shared" si="62"/>
        <v>0</v>
      </c>
      <c r="AT123">
        <f t="shared" si="63"/>
        <v>0</v>
      </c>
      <c r="AU123" s="35" cm="1">
        <f t="array" ref="AU123">IF($F$11-$I$4+VLOOKUP($Q123,武学奇术!$A:$ZZ,9,FALSE)+SUM(_xlfn.XLOOKUP(R123:AF123,增益!$A:$A,增益!$I:$I,0))&gt;0,($F$11-$I$4+VLOOKUP($Q123,武学奇术!$A:$ZZ,9,FALSE)+SUM(_xlfn.XLOOKUP(R123:AF123,增益!$A:$A,增益!$I:$I,0)))/200,($F$11-$I$4+VLOOKUP($Q123,武学奇术!$A:$ZZ,9,FALSE)+SUM(_xlfn.XLOOKUP(R123:AF123,增益!$A:$A,增益!$I:$I,0)))/100)</f>
        <v>-0.3</v>
      </c>
      <c r="AV123" s="35" cm="1">
        <f t="array" ref="AV123">$G$11+VLOOKUP($Q123,武学奇术!$A:$ZZ,10,FALSE)+SUM(_xlfn.XLOOKUP(R123:AF123,增益!$A:$A,增益!$J:$J,0))</f>
        <v>0</v>
      </c>
      <c r="AW123">
        <f t="shared" si="64"/>
        <v>0</v>
      </c>
      <c r="AX123">
        <f t="shared" si="65"/>
        <v>0</v>
      </c>
      <c r="AY123" s="35" cm="1">
        <f t="array" ref="AY123">IF($F$12-$I$4+VLOOKUP($Q123,武学奇术!$A:$ZZ,11,FALSE)+SUM(_xlfn.XLOOKUP(R123:AF123,增益!$A:$A,增益!$K:$K,0))&gt;0,($F$12-$I$4+VLOOKUP($Q123,武学奇术!$A:$ZZ,11,FALSE)+SUM(_xlfn.XLOOKUP(R123:AF123,增益!$A:$A,增益!$K:$K,0)))/200,($F$12-$I$4+VLOOKUP($Q123,武学奇术!$A:$ZZ,11,FALSE)+SUM(_xlfn.XLOOKUP(R123:AF123,增益!$A:$A,增益!$K:$K,0)))/100)</f>
        <v>-0.3</v>
      </c>
      <c r="AZ123" s="35" cm="1">
        <f t="array" ref="AZ123">$G$12+VLOOKUP($Q123,武学奇术!$A:$ZZ,12,FALSE)+SUM(_xlfn.XLOOKUP(R123:AF123,增益!$A:$A,增益!$L:$L,0))</f>
        <v>0</v>
      </c>
      <c r="BA123">
        <f t="shared" si="66"/>
        <v>0</v>
      </c>
      <c r="BB123">
        <f t="shared" si="67"/>
        <v>0</v>
      </c>
      <c r="BC123" s="35" cm="1">
        <f t="array" ref="BC123">IF($F$13-$I$4+VLOOKUP($Q123,武学奇术!$A:$ZZ,13,FALSE)+SUM(_xlfn.XLOOKUP(R123:AF123,增益!$A:$A,增益!$M:$M,0))&gt;0,($F$13-$I$4+VLOOKUP($Q123,武学奇术!$A:$ZZ,13,FALSE)+SUM(_xlfn.XLOOKUP(R123:AF123,增益!$A:$A,增益!$K:$K,0)))/200,($F$13-$I$4+VLOOKUP($Q123,武学奇术!$A:$ZZ,13,FALSE)+SUM(_xlfn.XLOOKUP(R123:AF123,增益!$A:$A,增益!$M:$M,0)))/100)</f>
        <v>-0.3</v>
      </c>
      <c r="BD123" s="35" cm="1">
        <f t="array" ref="BD123">$G$13+VLOOKUP($Q123,武学奇术!$A:$ZZ,14,FALSE)+SUM(_xlfn.XLOOKUP(R123:AF123,增益!$A:$A,增益!$N:$N,0))</f>
        <v>0</v>
      </c>
      <c r="BE123">
        <f t="shared" si="68"/>
        <v>538</v>
      </c>
      <c r="BF123">
        <f t="shared" si="69"/>
        <v>1561.4</v>
      </c>
      <c r="BG123" s="35" cm="1">
        <f t="array" ref="BG123">IF($F$14-$I$4+VLOOKUP($Q123,武学奇术!$A:$ZZ,15,FALSE)+SUM(_xlfn.XLOOKUP(R123:AF123,增益!$A:$A,增益!$O:$O,0))&gt;0,($F$14-$I$4+VLOOKUP($Q123,武学奇术!$A:$ZZ,15,FALSE)+SUM(_xlfn.XLOOKUP(R123:AF123,增益!$A:$A,增益!$O:$O,0)))/200,($F$14-$I$4+VLOOKUP($Q123,武学奇术!$A:$ZZ,15,FALSE)+SUM(_xlfn.XLOOKUP(R123:AF123,增益!$A:$A,增益!$O:$O,0)))/100)</f>
        <v>0</v>
      </c>
      <c r="BH123" s="35" cm="1">
        <f t="array" ref="BH123">$G$14+VLOOKUP($Q123,武学奇术!$A:$ZZ,16,FALSE)+SUM(_xlfn.XLOOKUP(R123:AF123,增益!$A:$A,增益!$P:$P,0))</f>
        <v>0.27</v>
      </c>
      <c r="BI123" s="30">
        <f>MIN(IF(VLOOKUP($Q123,武学奇术!$A:$ZZ,23,FALSE)=1,100%,$B$8),100%)</f>
        <v>0.9712</v>
      </c>
      <c r="BJ123" s="30" cm="1">
        <f t="array" ref="BJ123">IF(VLOOKUP($Q123,武学奇术!$A:$ZZ,23,FALSE)=1,100%,MIN(80%,$B$9+VLOOKUP($Q123,武学奇术!$A:$ZZ,17,FALSE)+SUM(_xlfn.XLOOKUP(R123:AF123,增益!$A:$A,增益!$Q:$Q,0)))+$B$11+SUM(_xlfn.XLOOKUP(R123:AF123,增益!$A:$A,增益!$U:$U,0)))*IF(VLOOKUP($Q123,武学奇术!$A:$ZZ,24,FALSE)=1,0,1)</f>
        <v>0.8773</v>
      </c>
      <c r="BK123" s="30" cm="1">
        <f t="array" ref="BK123">1+$B$13+VLOOKUP($Q123,武学奇术!$A:$ZZ,18,FALSE)+SUM(_xlfn.XLOOKUP(R123:AF123,增益!$A:$A,增益!$R:$R,0))</f>
        <v>1.87</v>
      </c>
      <c r="BL123" s="30" cm="1">
        <f t="array" ref="BL123">IF(VLOOKUP($Q123,武学奇术!$A:$ZZ,24,FALSE)=1,100%,MIN(40%,$B$10+VLOOKUP($Q123,武学奇术!$A:$ZZ,19,FALSE)+SUM(_xlfn.XLOOKUP(R123:AF123,增益!$A:$A,增益!$S:$S,0)))+$B$12+SUM(_xlfn.XLOOKUP(R123:AF123,增益!$A:$A,增益!$V:$V,0)))*IF(VLOOKUP($Q123,武学奇术!$A:$ZZ,23,FALSE)=1,0,1)</f>
        <v>0.0895</v>
      </c>
      <c r="BM123" s="30" cm="1">
        <f t="array" ref="BM123">1+$B$14+VLOOKUP($Q123,武学奇术!$A:$ZZ,20,FALSE)+SUM(_xlfn.XLOOKUP(R123:AF123,增益!$A:$A,增益!$T:$T,0))</f>
        <v>1.35</v>
      </c>
      <c r="BN123" s="30">
        <f t="shared" si="70"/>
        <v>0.85203376</v>
      </c>
      <c r="BO123" s="30">
        <f t="shared" si="71"/>
        <v>0.03224384</v>
      </c>
      <c r="BP123" s="30">
        <f>IF(VLOOKUP($Q123,武学奇术!$A:$ZZ,22,FALSE)=1,0,(1-$BI123))*(1-$BL123)</f>
        <v>0.0262224</v>
      </c>
      <c r="BQ123" s="30" cm="1">
        <f t="array" ref="BQ123">SUM(_xlfn.XLOOKUP(R123:AF123,增益!$A:$A,增益!$W:$W,0))+$I$5</f>
        <v>0.11</v>
      </c>
    </row>
    <row r="124" spans="11:69">
      <c r="K124" s="41">
        <f t="shared" si="61"/>
        <v>43307.6502257805</v>
      </c>
      <c r="L124" s="41">
        <f>((($AN124+$AO124)/2*$AH124+$AI124)*(1+$AP124)*(1+$AQ124)+(($AS124+$AT124)/2*IF($G$1="鸣金",$AJ124,$AH124)+IF($G$1="鸣金",$AK124*1.5,0))*(1+$AU124)*(1+$AV124)+(($AW124+$AX124)/2*IF($G$1="裂石",$AJ124,$AH124)+IF($G$1="裂石",$AK124*1.5,0))*(1+$AY124)*(1+$AZ124)+(($BA124+$BB124)/2*IF($G$1="牵丝",$AJ124,$AH124)+IF($G$1="牵丝",$AK124*1.5,0))*(1+$BC124)*(1+$BD124)+(($BE124+$BF124)/2*IF($G$1="破竹",$AJ124,$AH124)+IF($G$1="破竹",$AK124*1.5,0))*(1+$BG124)*(1+$BH124))*(1+$AL124)*$BK124*$P124*(1+IF(VLOOKUP($Q124,武学奇术!$A:$ZZ,30,FALSE)="回旋伞",$B$21,0))*(1+$BQ124)</f>
        <v>45371.224919267</v>
      </c>
      <c r="M124" s="41">
        <f>(($AO124*$AH124+$AI124)*(1+$AP124)*(1+$AQ124)+($AT124*IF($G$1="鸣金",$AJ124,$AH124)+IF($G$1="鸣金",$AK124*1.5,0))*(1+$AU124)*(1+$AV124)+($AX124*IF($G$1="裂石",$AJ124,$AH124)+IF($G$1="裂石",$AK124*1.5,0))*(1+$AY124)*(1+$AZ124)+($BB124*IF($G$1="牵丝",$AJ124,$AH124)+IF($G$1="牵丝",$AK124*1.5,0))*(1+$BC124)*(1+$BD124)+($BF124*IF($G$1="破竹",$AJ124,$AH124)+IF($G$1="破竹",$AK124*1.5,0))*(1+$BG124)*(1+$BH124))*(1+$AL124)*$BM124*$P124*(1+IF(VLOOKUP($Q124,武学奇术!$A:$ZZ,30,FALSE)="回旋伞",$B$21,0))*(1+$BQ124)</f>
        <v>37032.0921121772</v>
      </c>
      <c r="N124" s="41">
        <f>((($AN124+$AO124)/2*$AH124+$AI124)*(1+$AP124)*(1+$AQ124)+(($AS124+$AT124)/2*IF($G$1="鸣金",$AJ124,$AH124)+IF($G$1="鸣金",$AK124*1.5,0))*(1+$AU124)*(1+$AV124)+(($AW124+$AX124)/2*IF($G$1="裂石",$AJ124,$AH124)+IF($G$1="裂石",$AK124*1.5,0))*(1+$AY124)*(1+$AZ124)+(($BA124+$BB124)/2*IF($G$1="牵丝",$AJ124,$AH124)+IF($G$1="牵丝",$AK124*1.5,0))*(1+$BC124)*(1+$BD124)+(($BE124+$BF124)/2*IF($G$1="破竹",$AJ124,$AH124)+IF($G$1="破竹",$AK124*1.5,0))*(1+$BG124)*(1+$BH124))*(1+$AL124)*$P124*(1+IF(VLOOKUP($Q124,武学奇术!$A:$ZZ,30,FALSE)="回旋伞",$B$21,0))*(1+$BQ124)</f>
        <v>24262.6871226027</v>
      </c>
      <c r="O124" s="41">
        <f>((($AN124*$AH124+$AI124)*(1+$AP124)*(1+$AQ124)+($AS124*IF($G$1="鸣金",$AJ124,$AH124)+IF($G$1="鸣金",$AK124*1.5,0))*(1+$AU124)*(1+$AV124)+($AW124*IF($G$1="裂石",$AJ124,$AH124)+IF($G$1="裂石",$AK124*1.5,0))*(1+$AY124)*(1+$AZ124)+($BA124*IF($G$1="牵丝",$AJ124,$AH124)+IF($G$1="牵丝",$AK124*1.5,0))*(1+$BC124)*(1+$BD124)+($BE124*IF($G$1="破竹",$AJ124,$AH124)+IF($G$1="破竹",$AK124*1.5,0))*(1+$BG124)*(1+$BH124))*(1+$AL124))*$P124*(1+IF(VLOOKUP($Q124,武学奇术!$A:$ZZ,30,FALSE)="回旋伞",$B$21,0))*(1+$BQ124)</f>
        <v>21094.1949028519</v>
      </c>
      <c r="P124" s="42">
        <v>2</v>
      </c>
      <c r="Q124" s="43" t="s">
        <v>120</v>
      </c>
      <c r="R124" s="43" t="s">
        <v>105</v>
      </c>
      <c r="S124" s="43" t="s">
        <v>91</v>
      </c>
      <c r="T124" s="43" t="s">
        <v>72</v>
      </c>
      <c r="U124" s="43" t="s">
        <v>79</v>
      </c>
      <c r="V124" s="43" t="s">
        <v>167</v>
      </c>
      <c r="W124" s="43" t="s">
        <v>95</v>
      </c>
      <c r="X124" s="43" t="s">
        <v>71</v>
      </c>
      <c r="Y124" s="43" t="s">
        <v>71</v>
      </c>
      <c r="Z124" s="43" t="s">
        <v>71</v>
      </c>
      <c r="AA124" s="43" t="s">
        <v>109</v>
      </c>
      <c r="AB124" s="43" t="s">
        <v>71</v>
      </c>
      <c r="AC124" s="43" t="s">
        <v>71</v>
      </c>
      <c r="AD124" s="43" t="s">
        <v>71</v>
      </c>
      <c r="AE124" s="43" t="s">
        <v>71</v>
      </c>
      <c r="AF124" s="43" t="s">
        <v>76</v>
      </c>
      <c r="AG124" t="str">
        <f>VLOOKUP($Q124,武学奇术!$A:$ZZ,25,FALSE)</f>
        <v>伞</v>
      </c>
      <c r="AH124" s="30">
        <f>VLOOKUP($Q124,武学奇术!$A:$ZZ,26,FALSE)</f>
        <v>0.54</v>
      </c>
      <c r="AI124" s="31">
        <f>VLOOKUP($Q124,武学奇术!$A:$ZZ,27,FALSE)*(1+IF(OR($AG124=$F$4,$AG124=$F$5),$B$22,0))</f>
        <v>0</v>
      </c>
      <c r="AJ124" s="30">
        <f>VLOOKUP($Q124,武学奇术!$A:$ZZ,28,FALSE)</f>
        <v>0.81</v>
      </c>
      <c r="AK124" s="31">
        <f>VLOOKUP($Q124,武学奇术!$A:$ZZ,29,FALSE)*(1+IF(OR($AG124=$F$4,$AG124=$F$5),$B$22,0))</f>
        <v>0</v>
      </c>
      <c r="AL124" s="30" cm="1">
        <f t="array" ref="AL124">$G$3+IFERROR(VLOOKUP($AG124,$F$4:$G$7,2,FALSE),0)+VLOOKUP($Q124,武学奇术!$A:$ZZ,2,FALSE)+SUM(_xlfn.XLOOKUP($R124:$AF124,增益!$A:$A,增益!$B:$B,0))</f>
        <v>1.0541</v>
      </c>
      <c r="AM124" s="30" cm="1">
        <f t="array" ref="AM124">VLOOKUP($Q124,武学奇术!$A:$ZZ,5,FALSE)+SUM(_xlfn.XLOOKUP($R124:$AF124,增益!$A:$A,增益!$E:$E,0))</f>
        <v>0</v>
      </c>
      <c r="AN124" cm="1">
        <f t="array" ref="AN124">$D$10*(1+$AM124)+VLOOKUP($Q124,武学奇术!$A:$ZZ,3,FALSE)+SUM(_xlfn.XLOOKUP($R124:$AF124,增益!$A:$A,增益!$C:$C,0))-$I$2</f>
        <v>3545.8</v>
      </c>
      <c r="AO124" cm="1">
        <f t="array" ref="AO124">$E$10*(1+$AM124)+VLOOKUP($Q124,武学奇术!$A:$ZZ,4,FALSE)+SUM(_xlfn.XLOOKUP($R124:$AF124,增益!$A:$A,增益!$D:$D,0))-$I$2</f>
        <v>3545.8</v>
      </c>
      <c r="AP124" s="35" cm="1">
        <f t="array" ref="AP124">IF($F$10-$I$3+VLOOKUP($Q124,武学奇术!$A:$ZZ,6,FALSE)+SUM(_xlfn.XLOOKUP(R124:AF124,增益!$A:$A,增益!$F:$F,0))&gt;0,($F$10-$I$3+VLOOKUP($Q124,武学奇术!$A:$ZZ,6,FALSE)+SUM(_xlfn.XLOOKUP(R124:AF124,增益!$A:$A,增益!$F:$F,0)))/200,($F$10-$I$3+VLOOKUP($Q124,武学奇术!$A:$ZZ,6,FALSE)+SUM(_xlfn.XLOOKUP(R124:AF124,增益!$A:$A,增益!$F:$F,0)))/100)</f>
        <v>0.3425</v>
      </c>
      <c r="AQ124" s="35" cm="1">
        <f t="array" ref="AQ124">$G$10+VLOOKUP($Q124,武学奇术!$A:$ZZ,7,FALSE)+SUM(_xlfn.XLOOKUP(R124:AF124,增益!$A:$A,增益!$G:$G,0))</f>
        <v>0.148</v>
      </c>
      <c r="AR124" s="30" cm="1">
        <f t="array" ref="AR124">VLOOKUP($Q124,武学奇术!$A:$ZZ,8,FALSE)+SUM(_xlfn.XLOOKUP(R124:AF124,增益!$A:$A,增益!$H:$H,0))</f>
        <v>0</v>
      </c>
      <c r="AS124">
        <f t="shared" si="62"/>
        <v>0</v>
      </c>
      <c r="AT124">
        <f t="shared" si="63"/>
        <v>0</v>
      </c>
      <c r="AU124" s="35" cm="1">
        <f t="array" ref="AU124">IF($F$11-$I$4+VLOOKUP($Q124,武学奇术!$A:$ZZ,9,FALSE)+SUM(_xlfn.XLOOKUP(R124:AF124,增益!$A:$A,增益!$I:$I,0))&gt;0,($F$11-$I$4+VLOOKUP($Q124,武学奇术!$A:$ZZ,9,FALSE)+SUM(_xlfn.XLOOKUP(R124:AF124,增益!$A:$A,增益!$I:$I,0)))/200,($F$11-$I$4+VLOOKUP($Q124,武学奇术!$A:$ZZ,9,FALSE)+SUM(_xlfn.XLOOKUP(R124:AF124,增益!$A:$A,增益!$I:$I,0)))/100)</f>
        <v>-0.3</v>
      </c>
      <c r="AV124" s="35" cm="1">
        <f t="array" ref="AV124">$G$11+VLOOKUP($Q124,武学奇术!$A:$ZZ,10,FALSE)+SUM(_xlfn.XLOOKUP(R124:AF124,增益!$A:$A,增益!$J:$J,0))</f>
        <v>0</v>
      </c>
      <c r="AW124">
        <f t="shared" si="64"/>
        <v>0</v>
      </c>
      <c r="AX124">
        <f t="shared" si="65"/>
        <v>0</v>
      </c>
      <c r="AY124" s="35" cm="1">
        <f t="array" ref="AY124">IF($F$12-$I$4+VLOOKUP($Q124,武学奇术!$A:$ZZ,11,FALSE)+SUM(_xlfn.XLOOKUP(R124:AF124,增益!$A:$A,增益!$K:$K,0))&gt;0,($F$12-$I$4+VLOOKUP($Q124,武学奇术!$A:$ZZ,11,FALSE)+SUM(_xlfn.XLOOKUP(R124:AF124,增益!$A:$A,增益!$K:$K,0)))/200,($F$12-$I$4+VLOOKUP($Q124,武学奇术!$A:$ZZ,11,FALSE)+SUM(_xlfn.XLOOKUP(R124:AF124,增益!$A:$A,增益!$K:$K,0)))/100)</f>
        <v>-0.3</v>
      </c>
      <c r="AZ124" s="35" cm="1">
        <f t="array" ref="AZ124">$G$12+VLOOKUP($Q124,武学奇术!$A:$ZZ,12,FALSE)+SUM(_xlfn.XLOOKUP(R124:AF124,增益!$A:$A,增益!$L:$L,0))</f>
        <v>0</v>
      </c>
      <c r="BA124">
        <f t="shared" si="66"/>
        <v>0</v>
      </c>
      <c r="BB124">
        <f t="shared" si="67"/>
        <v>0</v>
      </c>
      <c r="BC124" s="35" cm="1">
        <f t="array" ref="BC124">IF($F$13-$I$4+VLOOKUP($Q124,武学奇术!$A:$ZZ,13,FALSE)+SUM(_xlfn.XLOOKUP(R124:AF124,增益!$A:$A,增益!$M:$M,0))&gt;0,($F$13-$I$4+VLOOKUP($Q124,武学奇术!$A:$ZZ,13,FALSE)+SUM(_xlfn.XLOOKUP(R124:AF124,增益!$A:$A,增益!$K:$K,0)))/200,($F$13-$I$4+VLOOKUP($Q124,武学奇术!$A:$ZZ,13,FALSE)+SUM(_xlfn.XLOOKUP(R124:AF124,增益!$A:$A,增益!$M:$M,0)))/100)</f>
        <v>-0.3</v>
      </c>
      <c r="BD124" s="35" cm="1">
        <f t="array" ref="BD124">$G$13+VLOOKUP($Q124,武学奇术!$A:$ZZ,14,FALSE)+SUM(_xlfn.XLOOKUP(R124:AF124,增益!$A:$A,增益!$N:$N,0))</f>
        <v>0</v>
      </c>
      <c r="BE124">
        <f t="shared" si="68"/>
        <v>538</v>
      </c>
      <c r="BF124">
        <f t="shared" si="69"/>
        <v>1561.4</v>
      </c>
      <c r="BG124" s="35" cm="1">
        <f t="array" ref="BG124">IF($F$14-$I$4+VLOOKUP($Q124,武学奇术!$A:$ZZ,15,FALSE)+SUM(_xlfn.XLOOKUP(R124:AF124,增益!$A:$A,增益!$O:$O,0))&gt;0,($F$14-$I$4+VLOOKUP($Q124,武学奇术!$A:$ZZ,15,FALSE)+SUM(_xlfn.XLOOKUP(R124:AF124,增益!$A:$A,增益!$O:$O,0)))/200,($F$14-$I$4+VLOOKUP($Q124,武学奇术!$A:$ZZ,15,FALSE)+SUM(_xlfn.XLOOKUP(R124:AF124,增益!$A:$A,增益!$O:$O,0)))/100)</f>
        <v>0</v>
      </c>
      <c r="BH124" s="35" cm="1">
        <f t="array" ref="BH124">$G$14+VLOOKUP($Q124,武学奇术!$A:$ZZ,16,FALSE)+SUM(_xlfn.XLOOKUP(R124:AF124,增益!$A:$A,增益!$P:$P,0))</f>
        <v>0.27</v>
      </c>
      <c r="BI124" s="30">
        <f>MIN(IF(VLOOKUP($Q124,武学奇术!$A:$ZZ,23,FALSE)=1,100%,$B$8),100%)</f>
        <v>0.9712</v>
      </c>
      <c r="BJ124" s="30" cm="1">
        <f t="array" ref="BJ124">IF(VLOOKUP($Q124,武学奇术!$A:$ZZ,23,FALSE)=1,100%,MIN(80%,$B$9+VLOOKUP($Q124,武学奇术!$A:$ZZ,17,FALSE)+SUM(_xlfn.XLOOKUP(R124:AF124,增益!$A:$A,增益!$Q:$Q,0)))+$B$11+SUM(_xlfn.XLOOKUP(R124:AF124,增益!$A:$A,增益!$U:$U,0)))*IF(VLOOKUP($Q124,武学奇术!$A:$ZZ,24,FALSE)=1,0,1)</f>
        <v>0.8773</v>
      </c>
      <c r="BK124" s="30" cm="1">
        <f t="array" ref="BK124">1+$B$13+VLOOKUP($Q124,武学奇术!$A:$ZZ,18,FALSE)+SUM(_xlfn.XLOOKUP(R124:AF124,增益!$A:$A,增益!$R:$R,0))</f>
        <v>1.87</v>
      </c>
      <c r="BL124" s="30" cm="1">
        <f t="array" ref="BL124">IF(VLOOKUP($Q124,武学奇术!$A:$ZZ,24,FALSE)=1,100%,MIN(40%,$B$10+VLOOKUP($Q124,武学奇术!$A:$ZZ,19,FALSE)+SUM(_xlfn.XLOOKUP(R124:AF124,增益!$A:$A,增益!$S:$S,0)))+$B$12+SUM(_xlfn.XLOOKUP(R124:AF124,增益!$A:$A,增益!$V:$V,0)))*IF(VLOOKUP($Q124,武学奇术!$A:$ZZ,23,FALSE)=1,0,1)</f>
        <v>0.0895</v>
      </c>
      <c r="BM124" s="30" cm="1">
        <f t="array" ref="BM124">1+$B$14+VLOOKUP($Q124,武学奇术!$A:$ZZ,20,FALSE)+SUM(_xlfn.XLOOKUP(R124:AF124,增益!$A:$A,增益!$T:$T,0))</f>
        <v>1.35</v>
      </c>
      <c r="BN124" s="30">
        <f t="shared" si="70"/>
        <v>0.85203376</v>
      </c>
      <c r="BO124" s="30">
        <f t="shared" si="71"/>
        <v>0.03224384</v>
      </c>
      <c r="BP124" s="30">
        <f>IF(VLOOKUP($Q124,武学奇术!$A:$ZZ,22,FALSE)=1,0,(1-$BI124))*(1-$BL124)</f>
        <v>0.0262224</v>
      </c>
      <c r="BQ124" s="30" cm="1">
        <f t="array" ref="BQ124">SUM(_xlfn.XLOOKUP(R124:AF124,增益!$A:$A,增益!$W:$W,0))+$I$5</f>
        <v>0.11</v>
      </c>
    </row>
    <row r="125" spans="11:69">
      <c r="K125" s="41">
        <f t="shared" si="61"/>
        <v>62332.6992423414</v>
      </c>
      <c r="L125" s="41">
        <f>((($AN125+$AO125)/2*$AH125+$AI125)*(1+$AP125)*(1+$AQ125)+(($AS125+$AT125)/2*IF($G$1="鸣金",$AJ125,$AH125)+IF($G$1="鸣金",$AK125*1.5,0))*(1+$AU125)*(1+$AV125)+(($AW125+$AX125)/2*IF($G$1="裂石",$AJ125,$AH125)+IF($G$1="裂石",$AK125*1.5,0))*(1+$AY125)*(1+$AZ125)+(($BA125+$BB125)/2*IF($G$1="牵丝",$AJ125,$AH125)+IF($G$1="牵丝",$AK125*1.5,0))*(1+$BC125)*(1+$BD125)+(($BE125+$BF125)/2*IF($G$1="破竹",$AJ125,$AH125)+IF($G$1="破竹",$AK125*1.5,0))*(1+$BG125)*(1+$BH125))*(1+$AL125)*$BK125*$P125*(1+IF(VLOOKUP($Q125,武学奇术!$A:$ZZ,30,FALSE)="回旋伞",$B$21,0))*(1+$BQ125)</f>
        <v>66143.8236818938</v>
      </c>
      <c r="M125" s="41">
        <f>(($AO125*$AH125+$AI125)*(1+$AP125)*(1+$AQ125)+($AT125*IF($G$1="鸣金",$AJ125,$AH125)+IF($G$1="鸣金",$AK125*1.5,0))*(1+$AU125)*(1+$AV125)+($AX125*IF($G$1="裂石",$AJ125,$AH125)+IF($G$1="裂石",$AK125*1.5,0))*(1+$AY125)*(1+$AZ125)+($BB125*IF($G$1="牵丝",$AJ125,$AH125)+IF($G$1="牵丝",$AK125*1.5,0))*(1+$BC125)*(1+$BD125)+($BF125*IF($G$1="破竹",$AJ125,$AH125)+IF($G$1="破竹",$AK125*1.5,0))*(1+$BG125)*(1+$BH125))*(1+$AL125)*$BM125*$P125*(1+IF(VLOOKUP($Q125,武学奇术!$A:$ZZ,30,FALSE)="回旋伞",$B$21,0))*(1+$BQ125)</f>
        <v>47571.9208479783</v>
      </c>
      <c r="N125" s="41">
        <f>((($AN125+$AO125)/2*$AH125+$AI125)*(1+$AP125)*(1+$AQ125)+(($AS125+$AT125)/2*IF($G$1="鸣金",$AJ125,$AH125)+IF($G$1="鸣金",$AK125*1.5,0))*(1+$AU125)*(1+$AV125)+(($AW125+$AX125)/2*IF($G$1="裂石",$AJ125,$AH125)+IF($G$1="裂石",$AK125*1.5,0))*(1+$AY125)*(1+$AZ125)+(($BA125+$BB125)/2*IF($G$1="牵丝",$AJ125,$AH125)+IF($G$1="牵丝",$AK125*1.5,0))*(1+$BC125)*(1+$BD125)+(($BE125+$BF125)/2*IF($G$1="破竹",$AJ125,$AH125)+IF($G$1="破竹",$AK125*1.5,0))*(1+$BG125)*(1+$BH125))*(1+$AL125)*$P125*(1+IF(VLOOKUP($Q125,武学奇术!$A:$ZZ,30,FALSE)="回旋伞",$B$21,0))*(1+$BQ125)</f>
        <v>31199.916831082</v>
      </c>
      <c r="O125" s="41">
        <f>((($AN125*$AH125+$AI125)*(1+$AP125)*(1+$AQ125)+($AS125*IF($G$1="鸣金",$AJ125,$AH125)+IF($G$1="鸣金",$AK125*1.5,0))*(1+$AU125)*(1+$AV125)+($AW125*IF($G$1="裂石",$AJ125,$AH125)+IF($G$1="裂石",$AK125*1.5,0))*(1+$AY125)*(1+$AZ125)+($BA125*IF($G$1="牵丝",$AJ125,$AH125)+IF($G$1="牵丝",$AK125*1.5,0))*(1+$BC125)*(1+$BD125)+($BE125*IF($G$1="破竹",$AJ125,$AH125)+IF($G$1="破竹",$AK125*1.5,0))*(1+$BG125)*(1+$BH125))*(1+$AL125))*$P125*(1+IF(VLOOKUP($Q125,武学奇术!$A:$ZZ,30,FALSE)="回旋伞",$B$21,0))*(1+$BQ125)</f>
        <v>27161.3737747726</v>
      </c>
      <c r="P125" s="42">
        <v>2</v>
      </c>
      <c r="Q125" s="43" t="s">
        <v>120</v>
      </c>
      <c r="R125" s="43" t="s">
        <v>105</v>
      </c>
      <c r="S125" s="43" t="s">
        <v>91</v>
      </c>
      <c r="T125" s="43" t="s">
        <v>72</v>
      </c>
      <c r="U125" s="43" t="s">
        <v>79</v>
      </c>
      <c r="V125" s="43" t="s">
        <v>167</v>
      </c>
      <c r="W125" s="43" t="s">
        <v>95</v>
      </c>
      <c r="X125" s="43" t="s">
        <v>82</v>
      </c>
      <c r="Y125" s="43" t="s">
        <v>177</v>
      </c>
      <c r="Z125" s="43" t="s">
        <v>178</v>
      </c>
      <c r="AA125" s="43" t="s">
        <v>112</v>
      </c>
      <c r="AB125" s="43" t="s">
        <v>179</v>
      </c>
      <c r="AC125" s="43" t="s">
        <v>71</v>
      </c>
      <c r="AD125" s="43" t="s">
        <v>71</v>
      </c>
      <c r="AE125" s="43" t="s">
        <v>71</v>
      </c>
      <c r="AF125" s="43" t="s">
        <v>76</v>
      </c>
      <c r="AG125" t="str">
        <f>VLOOKUP($Q125,武学奇术!$A:$ZZ,25,FALSE)</f>
        <v>伞</v>
      </c>
      <c r="AH125" s="30">
        <f>VLOOKUP($Q125,武学奇术!$A:$ZZ,26,FALSE)</f>
        <v>0.54</v>
      </c>
      <c r="AI125" s="31">
        <f>VLOOKUP($Q125,武学奇术!$A:$ZZ,27,FALSE)*(1+IF(OR($AG125=$F$4,$AG125=$F$5),$B$22,0))</f>
        <v>0</v>
      </c>
      <c r="AJ125" s="30">
        <f>VLOOKUP($Q125,武学奇术!$A:$ZZ,28,FALSE)</f>
        <v>0.81</v>
      </c>
      <c r="AK125" s="31">
        <f>VLOOKUP($Q125,武学奇术!$A:$ZZ,29,FALSE)*(1+IF(OR($AG125=$F$4,$AG125=$F$5),$B$22,0))</f>
        <v>0</v>
      </c>
      <c r="AL125" s="30" cm="1">
        <f t="array" ref="AL125">$G$3+IFERROR(VLOOKUP($AG125,$F$4:$G$7,2,FALSE),0)+VLOOKUP($Q125,武学奇术!$A:$ZZ,2,FALSE)+SUM(_xlfn.XLOOKUP($R125:$AF125,增益!$A:$A,增益!$B:$B,0))</f>
        <v>1.0541</v>
      </c>
      <c r="AM125" s="30" cm="1">
        <f t="array" ref="AM125">VLOOKUP($Q125,武学奇术!$A:$ZZ,5,FALSE)+SUM(_xlfn.XLOOKUP($R125:$AF125,增益!$A:$A,增益!$E:$E,0))</f>
        <v>0</v>
      </c>
      <c r="AN125" cm="1">
        <f t="array" ref="AN125">$D$10*(1+$AM125)+VLOOKUP($Q125,武学奇术!$A:$ZZ,3,FALSE)+SUM(_xlfn.XLOOKUP($R125:$AF125,增益!$A:$A,增益!$C:$C,0))-$I$2</f>
        <v>3545.8</v>
      </c>
      <c r="AO125" cm="1">
        <f t="array" ref="AO125">$E$10*(1+$AM125)+VLOOKUP($Q125,武学奇术!$A:$ZZ,4,FALSE)+SUM(_xlfn.XLOOKUP($R125:$AF125,增益!$A:$A,增益!$D:$D,0))-$I$2</f>
        <v>3545.8</v>
      </c>
      <c r="AP125" s="35" cm="1">
        <f t="array" ref="AP125">IF($F$10-$I$3+VLOOKUP($Q125,武学奇术!$A:$ZZ,6,FALSE)+SUM(_xlfn.XLOOKUP(R125:AF125,增益!$A:$A,增益!$F:$F,0))&gt;0,($F$10-$I$3+VLOOKUP($Q125,武学奇术!$A:$ZZ,6,FALSE)+SUM(_xlfn.XLOOKUP(R125:AF125,增益!$A:$A,增益!$F:$F,0)))/200,($F$10-$I$3+VLOOKUP($Q125,武学奇术!$A:$ZZ,6,FALSE)+SUM(_xlfn.XLOOKUP(R125:AF125,增益!$A:$A,增益!$F:$F,0)))/100)</f>
        <v>0.4675</v>
      </c>
      <c r="AQ125" s="35" cm="1">
        <f t="array" ref="AQ125">$G$10+VLOOKUP($Q125,武学奇术!$A:$ZZ,7,FALSE)+SUM(_xlfn.XLOOKUP(R125:AF125,增益!$A:$A,增益!$G:$G,0))</f>
        <v>0.148</v>
      </c>
      <c r="AR125" s="30" cm="1">
        <f t="array" ref="AR125">VLOOKUP($Q125,武学奇术!$A:$ZZ,8,FALSE)+SUM(_xlfn.XLOOKUP(R125:AF125,增益!$A:$A,增益!$H:$H,0))</f>
        <v>0</v>
      </c>
      <c r="AS125">
        <f t="shared" si="62"/>
        <v>0</v>
      </c>
      <c r="AT125">
        <f t="shared" si="63"/>
        <v>0</v>
      </c>
      <c r="AU125" s="35" cm="1">
        <f t="array" ref="AU125">IF($F$11-$I$4+VLOOKUP($Q125,武学奇术!$A:$ZZ,9,FALSE)+SUM(_xlfn.XLOOKUP(R125:AF125,增益!$A:$A,增益!$I:$I,0))&gt;0,($F$11-$I$4+VLOOKUP($Q125,武学奇术!$A:$ZZ,9,FALSE)+SUM(_xlfn.XLOOKUP(R125:AF125,增益!$A:$A,增益!$I:$I,0)))/200,($F$11-$I$4+VLOOKUP($Q125,武学奇术!$A:$ZZ,9,FALSE)+SUM(_xlfn.XLOOKUP(R125:AF125,增益!$A:$A,增益!$I:$I,0)))/100)</f>
        <v>-0.14</v>
      </c>
      <c r="AV125" s="35" cm="1">
        <f t="array" ref="AV125">$G$11+VLOOKUP($Q125,武学奇术!$A:$ZZ,10,FALSE)+SUM(_xlfn.XLOOKUP(R125:AF125,增益!$A:$A,增益!$J:$J,0))</f>
        <v>0.1</v>
      </c>
      <c r="AW125">
        <f t="shared" si="64"/>
        <v>0</v>
      </c>
      <c r="AX125">
        <f t="shared" si="65"/>
        <v>0</v>
      </c>
      <c r="AY125" s="35" cm="1">
        <f t="array" ref="AY125">IF($F$12-$I$4+VLOOKUP($Q125,武学奇术!$A:$ZZ,11,FALSE)+SUM(_xlfn.XLOOKUP(R125:AF125,增益!$A:$A,增益!$K:$K,0))&gt;0,($F$12-$I$4+VLOOKUP($Q125,武学奇术!$A:$ZZ,11,FALSE)+SUM(_xlfn.XLOOKUP(R125:AF125,增益!$A:$A,增益!$K:$K,0)))/200,($F$12-$I$4+VLOOKUP($Q125,武学奇术!$A:$ZZ,11,FALSE)+SUM(_xlfn.XLOOKUP(R125:AF125,增益!$A:$A,增益!$K:$K,0)))/100)</f>
        <v>-0.14</v>
      </c>
      <c r="AZ125" s="35" cm="1">
        <f t="array" ref="AZ125">$G$12+VLOOKUP($Q125,武学奇术!$A:$ZZ,12,FALSE)+SUM(_xlfn.XLOOKUP(R125:AF125,增益!$A:$A,增益!$L:$L,0))</f>
        <v>0</v>
      </c>
      <c r="BA125">
        <f t="shared" si="66"/>
        <v>0</v>
      </c>
      <c r="BB125">
        <f t="shared" si="67"/>
        <v>0</v>
      </c>
      <c r="BC125" s="35" cm="1">
        <f t="array" ref="BC125">IF($F$13-$I$4+VLOOKUP($Q125,武学奇术!$A:$ZZ,13,FALSE)+SUM(_xlfn.XLOOKUP(R125:AF125,增益!$A:$A,增益!$M:$M,0))&gt;0,($F$13-$I$4+VLOOKUP($Q125,武学奇术!$A:$ZZ,13,FALSE)+SUM(_xlfn.XLOOKUP(R125:AF125,增益!$A:$A,增益!$K:$K,0)))/200,($F$13-$I$4+VLOOKUP($Q125,武学奇术!$A:$ZZ,13,FALSE)+SUM(_xlfn.XLOOKUP(R125:AF125,增益!$A:$A,增益!$M:$M,0)))/100)</f>
        <v>-0.14</v>
      </c>
      <c r="BD125" s="35" cm="1">
        <f t="array" ref="BD125">$G$13+VLOOKUP($Q125,武学奇术!$A:$ZZ,14,FALSE)+SUM(_xlfn.XLOOKUP(R125:AF125,增益!$A:$A,增益!$N:$N,0))</f>
        <v>0</v>
      </c>
      <c r="BE125">
        <f t="shared" si="68"/>
        <v>538</v>
      </c>
      <c r="BF125">
        <f t="shared" si="69"/>
        <v>1561.4</v>
      </c>
      <c r="BG125" s="35" cm="1">
        <f t="array" ref="BG125">IF($F$14-$I$4+VLOOKUP($Q125,武学奇术!$A:$ZZ,15,FALSE)+SUM(_xlfn.XLOOKUP(R125:AF125,增益!$A:$A,增益!$O:$O,0))&gt;0,($F$14-$I$4+VLOOKUP($Q125,武学奇术!$A:$ZZ,15,FALSE)+SUM(_xlfn.XLOOKUP(R125:AF125,增益!$A:$A,增益!$O:$O,0)))/200,($F$14-$I$4+VLOOKUP($Q125,武学奇术!$A:$ZZ,15,FALSE)+SUM(_xlfn.XLOOKUP(R125:AF125,增益!$A:$A,增益!$O:$O,0)))/100)</f>
        <v>0.08</v>
      </c>
      <c r="BH125" s="35" cm="1">
        <f t="array" ref="BH125">$G$14+VLOOKUP($Q125,武学奇术!$A:$ZZ,16,FALSE)+SUM(_xlfn.XLOOKUP(R125:AF125,增益!$A:$A,增益!$P:$P,0))</f>
        <v>0.27</v>
      </c>
      <c r="BI125" s="30">
        <f>MIN(IF(VLOOKUP($Q125,武学奇术!$A:$ZZ,23,FALSE)=1,100%,$B$8),100%)</f>
        <v>0.9712</v>
      </c>
      <c r="BJ125" s="30" cm="1">
        <f t="array" ref="BJ125">IF(VLOOKUP($Q125,武学奇术!$A:$ZZ,23,FALSE)=1,100%,MIN(80%,$B$9+VLOOKUP($Q125,武学奇术!$A:$ZZ,17,FALSE)+SUM(_xlfn.XLOOKUP(R125:AF125,增益!$A:$A,增益!$Q:$Q,0)))+$B$11+SUM(_xlfn.XLOOKUP(R125:AF125,增益!$A:$A,增益!$U:$U,0)))*IF(VLOOKUP($Q125,武学奇术!$A:$ZZ,24,FALSE)=1,0,1)</f>
        <v>0.8773</v>
      </c>
      <c r="BK125" s="30" cm="1">
        <f t="array" ref="BK125">1+$B$13+VLOOKUP($Q125,武学奇术!$A:$ZZ,18,FALSE)+SUM(_xlfn.XLOOKUP(R125:AF125,增益!$A:$A,增益!$R:$R,0))</f>
        <v>2.12</v>
      </c>
      <c r="BL125" s="30" cm="1">
        <f t="array" ref="BL125">IF(VLOOKUP($Q125,武学奇术!$A:$ZZ,24,FALSE)=1,100%,MIN(40%,$B$10+VLOOKUP($Q125,武学奇术!$A:$ZZ,19,FALSE)+SUM(_xlfn.XLOOKUP(R125:AF125,增益!$A:$A,增益!$S:$S,0)))+$B$12+SUM(_xlfn.XLOOKUP(R125:AF125,增益!$A:$A,增益!$V:$V,0)))*IF(VLOOKUP($Q125,武学奇术!$A:$ZZ,23,FALSE)=1,0,1)</f>
        <v>0.0895</v>
      </c>
      <c r="BM125" s="30" cm="1">
        <f t="array" ref="BM125">1+$B$14+VLOOKUP($Q125,武学奇术!$A:$ZZ,20,FALSE)+SUM(_xlfn.XLOOKUP(R125:AF125,增益!$A:$A,增益!$T:$T,0))</f>
        <v>1.35</v>
      </c>
      <c r="BN125" s="30">
        <f t="shared" si="70"/>
        <v>0.85203376</v>
      </c>
      <c r="BO125" s="30">
        <f t="shared" si="71"/>
        <v>0.03224384</v>
      </c>
      <c r="BP125" s="30">
        <f>IF(VLOOKUP($Q125,武学奇术!$A:$ZZ,22,FALSE)=1,0,(1-$BI125))*(1-$BL125)</f>
        <v>0.0262224</v>
      </c>
      <c r="BQ125" s="30" cm="1">
        <f t="array" ref="BQ125">SUM(_xlfn.XLOOKUP(R125:AF125,增益!$A:$A,增益!$W:$W,0))+$I$5</f>
        <v>0.31</v>
      </c>
    </row>
    <row r="126" spans="11:69">
      <c r="K126" s="41">
        <f t="shared" si="61"/>
        <v>254043.997548683</v>
      </c>
      <c r="L126" s="41">
        <f>((($AN126+$AO126)/2*$AH126+$AI126)*(1+$AP126)*(1+$AQ126)+(($AS126+$AT126)/2*IF($G$1="鸣金",$AJ126,$AH126)+IF($G$1="鸣金",$AK126*1.5,0))*(1+$AU126)*(1+$AV126)+(($AW126+$AX126)/2*IF($G$1="裂石",$AJ126,$AH126)+IF($G$1="裂石",$AK126*1.5,0))*(1+$AY126)*(1+$AZ126)+(($BA126+$BB126)/2*IF($G$1="牵丝",$AJ126,$AH126)+IF($G$1="牵丝",$AK126*1.5,0))*(1+$BC126)*(1+$BD126)+(($BE126+$BF126)/2*IF($G$1="破竹",$AJ126,$AH126)+IF($G$1="破竹",$AK126*1.5,0))*(1+$BG126)*(1+$BH126))*(1+$AL126)*$BK126*$P126*(1+IF(VLOOKUP($Q126,武学奇术!$A:$ZZ,30,FALSE)="回旋伞",$B$21,0))*(1+$BQ126)</f>
        <v>254043.997548683</v>
      </c>
      <c r="M126" s="41">
        <f>(($AO126*$AH126+$AI126)*(1+$AP126)*(1+$AQ126)+($AT126*IF($G$1="鸣金",$AJ126,$AH126)+IF($G$1="鸣金",$AK126*1.5,0))*(1+$AU126)*(1+$AV126)+($AX126*IF($G$1="裂石",$AJ126,$AH126)+IF($G$1="裂石",$AK126*1.5,0))*(1+$AY126)*(1+$AZ126)+($BB126*IF($G$1="牵丝",$AJ126,$AH126)+IF($G$1="牵丝",$AK126*1.5,0))*(1+$BC126)*(1+$BD126)+($BF126*IF($G$1="破竹",$AJ126,$AH126)+IF($G$1="破竹",$AK126*1.5,0))*(1+$BG126)*(1+$BH126))*(1+$AL126)*$BM126*$P126*(1+IF(VLOOKUP($Q126,武学奇术!$A:$ZZ,30,FALSE)="回旋伞",$B$21,0))*(1+$BQ126)</f>
        <v>182713.370206902</v>
      </c>
      <c r="N126" s="41">
        <f>((($AN126+$AO126)/2*$AH126+$AI126)*(1+$AP126)*(1+$AQ126)+(($AS126+$AT126)/2*IF($G$1="鸣金",$AJ126,$AH126)+IF($G$1="鸣金",$AK126*1.5,0))*(1+$AU126)*(1+$AV126)+(($AW126+$AX126)/2*IF($G$1="裂石",$AJ126,$AH126)+IF($G$1="裂石",$AK126*1.5,0))*(1+$AY126)*(1+$AZ126)+(($BA126+$BB126)/2*IF($G$1="牵丝",$AJ126,$AH126)+IF($G$1="牵丝",$AK126*1.5,0))*(1+$BC126)*(1+$BD126)+(($BE126+$BF126)/2*IF($G$1="破竹",$AJ126,$AH126)+IF($G$1="破竹",$AK126*1.5,0))*(1+$BG126)*(1+$BH126))*(1+$AL126)*$P126*(1+IF(VLOOKUP($Q126,武学奇术!$A:$ZZ,30,FALSE)="回旋伞",$B$21,0))*(1+$BQ126)</f>
        <v>119832.074315416</v>
      </c>
      <c r="O126" s="41">
        <f>((($AN126*$AH126+$AI126)*(1+$AP126)*(1+$AQ126)+($AS126*IF($G$1="鸣金",$AJ126,$AH126)+IF($G$1="鸣金",$AK126*1.5,0))*(1+$AU126)*(1+$AV126)+($AW126*IF($G$1="裂石",$AJ126,$AH126)+IF($G$1="裂石",$AK126*1.5,0))*(1+$AY126)*(1+$AZ126)+($BA126*IF($G$1="牵丝",$AJ126,$AH126)+IF($G$1="牵丝",$AK126*1.5,0))*(1+$BC126)*(1+$BD126)+($BE126*IF($G$1="破竹",$AJ126,$AH126)+IF($G$1="破竹",$AK126*1.5,0))*(1+$BG126)*(1+$BH126))*(1+$AL126))*$P126*(1+IF(VLOOKUP($Q126,武学奇术!$A:$ZZ,30,FALSE)="回旋伞",$B$21,0))*(1+$BQ126)</f>
        <v>104320.911440535</v>
      </c>
      <c r="P126" s="42">
        <v>7</v>
      </c>
      <c r="Q126" s="43" t="s">
        <v>130</v>
      </c>
      <c r="R126" s="43" t="s">
        <v>105</v>
      </c>
      <c r="S126" s="43" t="s">
        <v>91</v>
      </c>
      <c r="T126" s="43" t="s">
        <v>72</v>
      </c>
      <c r="U126" s="43" t="s">
        <v>79</v>
      </c>
      <c r="V126" s="43" t="s">
        <v>167</v>
      </c>
      <c r="W126" s="43" t="s">
        <v>95</v>
      </c>
      <c r="X126" s="43" t="s">
        <v>82</v>
      </c>
      <c r="Y126" s="43" t="s">
        <v>177</v>
      </c>
      <c r="Z126" s="43" t="s">
        <v>178</v>
      </c>
      <c r="AA126" s="43" t="s">
        <v>116</v>
      </c>
      <c r="AB126" s="43" t="s">
        <v>179</v>
      </c>
      <c r="AC126" s="43" t="s">
        <v>71</v>
      </c>
      <c r="AD126" s="43" t="s">
        <v>71</v>
      </c>
      <c r="AE126" s="43" t="s">
        <v>71</v>
      </c>
      <c r="AF126" s="43" t="s">
        <v>76</v>
      </c>
      <c r="AG126" t="str">
        <f>VLOOKUP($Q126,武学奇术!$A:$ZZ,25,FALSE)</f>
        <v>伞</v>
      </c>
      <c r="AH126" s="30">
        <f>VLOOKUP($Q126,武学奇术!$A:$ZZ,26,FALSE)</f>
        <v>0.54</v>
      </c>
      <c r="AI126" s="31">
        <f>VLOOKUP($Q126,武学奇术!$A:$ZZ,27,FALSE)*(1+IF(OR($AG126=$F$4,$AG126=$F$5),$B$22,0))</f>
        <v>0</v>
      </c>
      <c r="AJ126" s="30">
        <f>VLOOKUP($Q126,武学奇术!$A:$ZZ,28,FALSE)</f>
        <v>0.81</v>
      </c>
      <c r="AK126" s="31">
        <f>VLOOKUP($Q126,武学奇术!$A:$ZZ,29,FALSE)*(1+IF(OR($AG126=$F$4,$AG126=$F$5),$B$22,0))</f>
        <v>0</v>
      </c>
      <c r="AL126" s="30" cm="1">
        <f t="array" ref="AL126">$G$3+IFERROR(VLOOKUP($AG126,$F$4:$G$7,2,FALSE),0)+VLOOKUP($Q126,武学奇术!$A:$ZZ,2,FALSE)+SUM(_xlfn.XLOOKUP($R126:$AF126,增益!$A:$A,增益!$B:$B,0))</f>
        <v>1.2541</v>
      </c>
      <c r="AM126" s="30" cm="1">
        <f t="array" ref="AM126">VLOOKUP($Q126,武学奇术!$A:$ZZ,5,FALSE)+SUM(_xlfn.XLOOKUP($R126:$AF126,增益!$A:$A,增益!$E:$E,0))</f>
        <v>0</v>
      </c>
      <c r="AN126" cm="1">
        <f t="array" ref="AN126">$D$10*(1+$AM126)+VLOOKUP($Q126,武学奇术!$A:$ZZ,3,FALSE)+SUM(_xlfn.XLOOKUP($R126:$AF126,增益!$A:$A,增益!$C:$C,0))-$I$2</f>
        <v>3545.8</v>
      </c>
      <c r="AO126" cm="1">
        <f t="array" ref="AO126">$E$10*(1+$AM126)+VLOOKUP($Q126,武学奇术!$A:$ZZ,4,FALSE)+SUM(_xlfn.XLOOKUP($R126:$AF126,增益!$A:$A,增益!$D:$D,0))-$I$2</f>
        <v>3545.8</v>
      </c>
      <c r="AP126" s="35" cm="1">
        <f t="array" ref="AP126">IF($F$10-$I$3+VLOOKUP($Q126,武学奇术!$A:$ZZ,6,FALSE)+SUM(_xlfn.XLOOKUP(R126:AF126,增益!$A:$A,增益!$F:$F,0))&gt;0,($F$10-$I$3+VLOOKUP($Q126,武学奇术!$A:$ZZ,6,FALSE)+SUM(_xlfn.XLOOKUP(R126:AF126,增益!$A:$A,增益!$F:$F,0)))/200,($F$10-$I$3+VLOOKUP($Q126,武学奇术!$A:$ZZ,6,FALSE)+SUM(_xlfn.XLOOKUP(R126:AF126,增益!$A:$A,增益!$F:$F,0)))/100)</f>
        <v>0.4675</v>
      </c>
      <c r="AQ126" s="35" cm="1">
        <f t="array" ref="AQ126">$G$10+VLOOKUP($Q126,武学奇术!$A:$ZZ,7,FALSE)+SUM(_xlfn.XLOOKUP(R126:AF126,增益!$A:$A,增益!$G:$G,0))</f>
        <v>0.148</v>
      </c>
      <c r="AR126" s="30" cm="1">
        <f t="array" ref="AR126">VLOOKUP($Q126,武学奇术!$A:$ZZ,8,FALSE)+SUM(_xlfn.XLOOKUP(R126:AF126,增益!$A:$A,增益!$H:$H,0))</f>
        <v>0</v>
      </c>
      <c r="AS126">
        <f t="shared" si="62"/>
        <v>0</v>
      </c>
      <c r="AT126">
        <f t="shared" si="63"/>
        <v>0</v>
      </c>
      <c r="AU126" s="35" cm="1">
        <f t="array" ref="AU126">IF($F$11-$I$4+VLOOKUP($Q126,武学奇术!$A:$ZZ,9,FALSE)+SUM(_xlfn.XLOOKUP(R126:AF126,增益!$A:$A,增益!$I:$I,0))&gt;0,($F$11-$I$4+VLOOKUP($Q126,武学奇术!$A:$ZZ,9,FALSE)+SUM(_xlfn.XLOOKUP(R126:AF126,增益!$A:$A,增益!$I:$I,0)))/200,($F$11-$I$4+VLOOKUP($Q126,武学奇术!$A:$ZZ,9,FALSE)+SUM(_xlfn.XLOOKUP(R126:AF126,增益!$A:$A,增益!$I:$I,0)))/100)</f>
        <v>-0.14</v>
      </c>
      <c r="AV126" s="35" cm="1">
        <f t="array" ref="AV126">$G$11+VLOOKUP($Q126,武学奇术!$A:$ZZ,10,FALSE)+SUM(_xlfn.XLOOKUP(R126:AF126,增益!$A:$A,增益!$J:$J,0))</f>
        <v>0.1</v>
      </c>
      <c r="AW126">
        <f t="shared" si="64"/>
        <v>0</v>
      </c>
      <c r="AX126">
        <f t="shared" si="65"/>
        <v>0</v>
      </c>
      <c r="AY126" s="35" cm="1">
        <f t="array" ref="AY126">IF($F$12-$I$4+VLOOKUP($Q126,武学奇术!$A:$ZZ,11,FALSE)+SUM(_xlfn.XLOOKUP(R126:AF126,增益!$A:$A,增益!$K:$K,0))&gt;0,($F$12-$I$4+VLOOKUP($Q126,武学奇术!$A:$ZZ,11,FALSE)+SUM(_xlfn.XLOOKUP(R126:AF126,增益!$A:$A,增益!$K:$K,0)))/200,($F$12-$I$4+VLOOKUP($Q126,武学奇术!$A:$ZZ,11,FALSE)+SUM(_xlfn.XLOOKUP(R126:AF126,增益!$A:$A,增益!$K:$K,0)))/100)</f>
        <v>-0.14</v>
      </c>
      <c r="AZ126" s="35" cm="1">
        <f t="array" ref="AZ126">$G$12+VLOOKUP($Q126,武学奇术!$A:$ZZ,12,FALSE)+SUM(_xlfn.XLOOKUP(R126:AF126,增益!$A:$A,增益!$L:$L,0))</f>
        <v>0</v>
      </c>
      <c r="BA126">
        <f t="shared" si="66"/>
        <v>0</v>
      </c>
      <c r="BB126">
        <f t="shared" si="67"/>
        <v>0</v>
      </c>
      <c r="BC126" s="35" cm="1">
        <f t="array" ref="BC126">IF($F$13-$I$4+VLOOKUP($Q126,武学奇术!$A:$ZZ,13,FALSE)+SUM(_xlfn.XLOOKUP(R126:AF126,增益!$A:$A,增益!$M:$M,0))&gt;0,($F$13-$I$4+VLOOKUP($Q126,武学奇术!$A:$ZZ,13,FALSE)+SUM(_xlfn.XLOOKUP(R126:AF126,增益!$A:$A,增益!$K:$K,0)))/200,($F$13-$I$4+VLOOKUP($Q126,武学奇术!$A:$ZZ,13,FALSE)+SUM(_xlfn.XLOOKUP(R126:AF126,增益!$A:$A,增益!$M:$M,0)))/100)</f>
        <v>-0.14</v>
      </c>
      <c r="BD126" s="35" cm="1">
        <f t="array" ref="BD126">$G$13+VLOOKUP($Q126,武学奇术!$A:$ZZ,14,FALSE)+SUM(_xlfn.XLOOKUP(R126:AF126,增益!$A:$A,增益!$N:$N,0))</f>
        <v>0</v>
      </c>
      <c r="BE126">
        <f t="shared" si="68"/>
        <v>538</v>
      </c>
      <c r="BF126">
        <f t="shared" si="69"/>
        <v>1561.4</v>
      </c>
      <c r="BG126" s="35" cm="1">
        <f t="array" ref="BG126">IF($F$14-$I$4+VLOOKUP($Q126,武学奇术!$A:$ZZ,15,FALSE)+SUM(_xlfn.XLOOKUP(R126:AF126,增益!$A:$A,增益!$O:$O,0))&gt;0,($F$14-$I$4+VLOOKUP($Q126,武学奇术!$A:$ZZ,15,FALSE)+SUM(_xlfn.XLOOKUP(R126:AF126,增益!$A:$A,增益!$O:$O,0)))/200,($F$14-$I$4+VLOOKUP($Q126,武学奇术!$A:$ZZ,15,FALSE)+SUM(_xlfn.XLOOKUP(R126:AF126,增益!$A:$A,增益!$O:$O,0)))/100)</f>
        <v>0.08</v>
      </c>
      <c r="BH126" s="35" cm="1">
        <f t="array" ref="BH126">$G$14+VLOOKUP($Q126,武学奇术!$A:$ZZ,16,FALSE)+SUM(_xlfn.XLOOKUP(R126:AF126,增益!$A:$A,增益!$P:$P,0))</f>
        <v>0.27</v>
      </c>
      <c r="BI126" s="30">
        <f>MIN(IF(VLOOKUP($Q126,武学奇术!$A:$ZZ,23,FALSE)=1,100%,$B$8),100%)</f>
        <v>1</v>
      </c>
      <c r="BJ126" s="30" cm="1">
        <f t="array" ref="BJ126">IF(VLOOKUP($Q126,武学奇术!$A:$ZZ,23,FALSE)=1,100%,MIN(80%,$B$9+VLOOKUP($Q126,武学奇术!$A:$ZZ,17,FALSE)+SUM(_xlfn.XLOOKUP(R126:AF126,增益!$A:$A,增益!$Q:$Q,0)))+$B$11+SUM(_xlfn.XLOOKUP(R126:AF126,增益!$A:$A,增益!$U:$U,0)))*IF(VLOOKUP($Q126,武学奇术!$A:$ZZ,24,FALSE)=1,0,1)</f>
        <v>1</v>
      </c>
      <c r="BK126" s="30" cm="1">
        <f t="array" ref="BK126">1+$B$13+VLOOKUP($Q126,武学奇术!$A:$ZZ,18,FALSE)+SUM(_xlfn.XLOOKUP(R126:AF126,增益!$A:$A,增益!$R:$R,0))</f>
        <v>2.12</v>
      </c>
      <c r="BL126" s="30" cm="1">
        <f t="array" ref="BL126">IF(VLOOKUP($Q126,武学奇术!$A:$ZZ,24,FALSE)=1,100%,MIN(40%,$B$10+VLOOKUP($Q126,武学奇术!$A:$ZZ,19,FALSE)+SUM(_xlfn.XLOOKUP(R126:AF126,增益!$A:$A,增益!$S:$S,0)))+$B$12+SUM(_xlfn.XLOOKUP(R126:AF126,增益!$A:$A,增益!$V:$V,0)))*IF(VLOOKUP($Q126,武学奇术!$A:$ZZ,23,FALSE)=1,0,1)</f>
        <v>0</v>
      </c>
      <c r="BM126" s="30" cm="1">
        <f t="array" ref="BM126">1+$B$14+VLOOKUP($Q126,武学奇术!$A:$ZZ,20,FALSE)+SUM(_xlfn.XLOOKUP(R126:AF126,增益!$A:$A,增益!$T:$T,0))</f>
        <v>1.35</v>
      </c>
      <c r="BN126" s="30">
        <f t="shared" si="70"/>
        <v>1</v>
      </c>
      <c r="BO126" s="30">
        <f t="shared" si="71"/>
        <v>0</v>
      </c>
      <c r="BP126" s="30">
        <f>IF(VLOOKUP($Q126,武学奇术!$A:$ZZ,22,FALSE)=1,0,(1-$BI126))*(1-$BL126)</f>
        <v>0</v>
      </c>
      <c r="BQ126" s="30" cm="1">
        <f t="array" ref="BQ126">SUM(_xlfn.XLOOKUP(R126:AF126,增益!$A:$A,增益!$W:$W,0))+$I$5</f>
        <v>0.31</v>
      </c>
    </row>
    <row r="127" spans="11:69">
      <c r="K127" s="41">
        <f t="shared" si="61"/>
        <v>373996.195454048</v>
      </c>
      <c r="L127" s="41">
        <f>((($AN127+$AO127)/2*$AH127+$AI127)*(1+$AP127)*(1+$AQ127)+(($AS127+$AT127)/2*IF($G$1="鸣金",$AJ127,$AH127)+IF($G$1="鸣金",$AK127*1.5,0))*(1+$AU127)*(1+$AV127)+(($AW127+$AX127)/2*IF($G$1="裂石",$AJ127,$AH127)+IF($G$1="裂石",$AK127*1.5,0))*(1+$AY127)*(1+$AZ127)+(($BA127+$BB127)/2*IF($G$1="牵丝",$AJ127,$AH127)+IF($G$1="牵丝",$AK127*1.5,0))*(1+$BC127)*(1+$BD127)+(($BE127+$BF127)/2*IF($G$1="破竹",$AJ127,$AH127)+IF($G$1="破竹",$AK127*1.5,0))*(1+$BG127)*(1+$BH127))*(1+$AL127)*$BK127*$P127*(1+IF(VLOOKUP($Q127,武学奇术!$A:$ZZ,30,FALSE)="回旋伞",$B$21,0))*(1+$BQ127)</f>
        <v>396862.942091363</v>
      </c>
      <c r="M127" s="41">
        <f>(($AO127*$AH127+$AI127)*(1+$AP127)*(1+$AQ127)+($AT127*IF($G$1="鸣金",$AJ127,$AH127)+IF($G$1="鸣金",$AK127*1.5,0))*(1+$AU127)*(1+$AV127)+($AX127*IF($G$1="裂石",$AJ127,$AH127)+IF($G$1="裂石",$AK127*1.5,0))*(1+$AY127)*(1+$AZ127)+($BB127*IF($G$1="牵丝",$AJ127,$AH127)+IF($G$1="牵丝",$AK127*1.5,0))*(1+$BC127)*(1+$BD127)+($BF127*IF($G$1="破竹",$AJ127,$AH127)+IF($G$1="破竹",$AK127*1.5,0))*(1+$BG127)*(1+$BH127))*(1+$AL127)*$BM127*$P127*(1+IF(VLOOKUP($Q127,武学奇术!$A:$ZZ,30,FALSE)="回旋伞",$B$21,0))*(1+$BQ127)</f>
        <v>285431.52508787</v>
      </c>
      <c r="N127" s="41">
        <f>((($AN127+$AO127)/2*$AH127+$AI127)*(1+$AP127)*(1+$AQ127)+(($AS127+$AT127)/2*IF($G$1="鸣金",$AJ127,$AH127)+IF($G$1="鸣金",$AK127*1.5,0))*(1+$AU127)*(1+$AV127)+(($AW127+$AX127)/2*IF($G$1="裂石",$AJ127,$AH127)+IF($G$1="裂石",$AK127*1.5,0))*(1+$AY127)*(1+$AZ127)+(($BA127+$BB127)/2*IF($G$1="牵丝",$AJ127,$AH127)+IF($G$1="牵丝",$AK127*1.5,0))*(1+$BC127)*(1+$BD127)+(($BE127+$BF127)/2*IF($G$1="破竹",$AJ127,$AH127)+IF($G$1="破竹",$AK127*1.5,0))*(1+$BG127)*(1+$BH127))*(1+$AL127)*$P127*(1+IF(VLOOKUP($Q127,武学奇术!$A:$ZZ,30,FALSE)="回旋伞",$B$21,0))*(1+$BQ127)</f>
        <v>187199.500986492</v>
      </c>
      <c r="O127" s="41">
        <f>((($AN127*$AH127+$AI127)*(1+$AP127)*(1+$AQ127)+($AS127*IF($G$1="鸣金",$AJ127,$AH127)+IF($G$1="鸣金",$AK127*1.5,0))*(1+$AU127)*(1+$AV127)+($AW127*IF($G$1="裂石",$AJ127,$AH127)+IF($G$1="裂石",$AK127*1.5,0))*(1+$AY127)*(1+$AZ127)+($BA127*IF($G$1="牵丝",$AJ127,$AH127)+IF($G$1="牵丝",$AK127*1.5,0))*(1+$BC127)*(1+$BD127)+($BE127*IF($G$1="破竹",$AJ127,$AH127)+IF($G$1="破竹",$AK127*1.5,0))*(1+$BG127)*(1+$BH127))*(1+$AL127))*$P127*(1+IF(VLOOKUP($Q127,武学奇术!$A:$ZZ,30,FALSE)="回旋伞",$B$21,0))*(1+$BQ127)</f>
        <v>162968.242648636</v>
      </c>
      <c r="P127" s="42">
        <v>12</v>
      </c>
      <c r="Q127" s="43" t="s">
        <v>120</v>
      </c>
      <c r="R127" s="43" t="s">
        <v>105</v>
      </c>
      <c r="S127" s="43" t="s">
        <v>91</v>
      </c>
      <c r="T127" s="43" t="s">
        <v>72</v>
      </c>
      <c r="U127" s="43" t="s">
        <v>79</v>
      </c>
      <c r="V127" s="43" t="s">
        <v>167</v>
      </c>
      <c r="W127" s="43" t="s">
        <v>95</v>
      </c>
      <c r="X127" s="43" t="s">
        <v>82</v>
      </c>
      <c r="Y127" s="43" t="s">
        <v>177</v>
      </c>
      <c r="Z127" s="43" t="s">
        <v>178</v>
      </c>
      <c r="AA127" s="43" t="s">
        <v>116</v>
      </c>
      <c r="AB127" s="43" t="s">
        <v>179</v>
      </c>
      <c r="AC127" s="43" t="s">
        <v>71</v>
      </c>
      <c r="AD127" s="43" t="s">
        <v>71</v>
      </c>
      <c r="AE127" s="43" t="s">
        <v>71</v>
      </c>
      <c r="AF127" s="43" t="s">
        <v>76</v>
      </c>
      <c r="AG127" t="str">
        <f>VLOOKUP($Q127,武学奇术!$A:$ZZ,25,FALSE)</f>
        <v>伞</v>
      </c>
      <c r="AH127" s="30">
        <f>VLOOKUP($Q127,武学奇术!$A:$ZZ,26,FALSE)</f>
        <v>0.54</v>
      </c>
      <c r="AI127" s="31">
        <f>VLOOKUP($Q127,武学奇术!$A:$ZZ,27,FALSE)*(1+IF(OR($AG127=$F$4,$AG127=$F$5),$B$22,0))</f>
        <v>0</v>
      </c>
      <c r="AJ127" s="30">
        <f>VLOOKUP($Q127,武学奇术!$A:$ZZ,28,FALSE)</f>
        <v>0.81</v>
      </c>
      <c r="AK127" s="31">
        <f>VLOOKUP($Q127,武学奇术!$A:$ZZ,29,FALSE)*(1+IF(OR($AG127=$F$4,$AG127=$F$5),$B$22,0))</f>
        <v>0</v>
      </c>
      <c r="AL127" s="30" cm="1">
        <f t="array" ref="AL127">$G$3+IFERROR(VLOOKUP($AG127,$F$4:$G$7,2,FALSE),0)+VLOOKUP($Q127,武学奇术!$A:$ZZ,2,FALSE)+SUM(_xlfn.XLOOKUP($R127:$AF127,增益!$A:$A,增益!$B:$B,0))</f>
        <v>1.0541</v>
      </c>
      <c r="AM127" s="30" cm="1">
        <f t="array" ref="AM127">VLOOKUP($Q127,武学奇术!$A:$ZZ,5,FALSE)+SUM(_xlfn.XLOOKUP($R127:$AF127,增益!$A:$A,增益!$E:$E,0))</f>
        <v>0</v>
      </c>
      <c r="AN127" cm="1">
        <f t="array" ref="AN127">$D$10*(1+$AM127)+VLOOKUP($Q127,武学奇术!$A:$ZZ,3,FALSE)+SUM(_xlfn.XLOOKUP($R127:$AF127,增益!$A:$A,增益!$C:$C,0))-$I$2</f>
        <v>3545.8</v>
      </c>
      <c r="AO127" cm="1">
        <f t="array" ref="AO127">$E$10*(1+$AM127)+VLOOKUP($Q127,武学奇术!$A:$ZZ,4,FALSE)+SUM(_xlfn.XLOOKUP($R127:$AF127,增益!$A:$A,增益!$D:$D,0))-$I$2</f>
        <v>3545.8</v>
      </c>
      <c r="AP127" s="35" cm="1">
        <f t="array" ref="AP127">IF($F$10-$I$3+VLOOKUP($Q127,武学奇术!$A:$ZZ,6,FALSE)+SUM(_xlfn.XLOOKUP(R127:AF127,增益!$A:$A,增益!$F:$F,0))&gt;0,($F$10-$I$3+VLOOKUP($Q127,武学奇术!$A:$ZZ,6,FALSE)+SUM(_xlfn.XLOOKUP(R127:AF127,增益!$A:$A,增益!$F:$F,0)))/200,($F$10-$I$3+VLOOKUP($Q127,武学奇术!$A:$ZZ,6,FALSE)+SUM(_xlfn.XLOOKUP(R127:AF127,增益!$A:$A,增益!$F:$F,0)))/100)</f>
        <v>0.4675</v>
      </c>
      <c r="AQ127" s="35" cm="1">
        <f t="array" ref="AQ127">$G$10+VLOOKUP($Q127,武学奇术!$A:$ZZ,7,FALSE)+SUM(_xlfn.XLOOKUP(R127:AF127,增益!$A:$A,增益!$G:$G,0))</f>
        <v>0.148</v>
      </c>
      <c r="AR127" s="30" cm="1">
        <f t="array" ref="AR127">VLOOKUP($Q127,武学奇术!$A:$ZZ,8,FALSE)+SUM(_xlfn.XLOOKUP(R127:AF127,增益!$A:$A,增益!$H:$H,0))</f>
        <v>0</v>
      </c>
      <c r="AS127">
        <f t="shared" ref="AS127:AS138" si="72">$D$11*(1+$AR127)</f>
        <v>0</v>
      </c>
      <c r="AT127">
        <f t="shared" ref="AT127:AT138" si="73">$E$11*(1+$AR127)</f>
        <v>0</v>
      </c>
      <c r="AU127" s="35" cm="1">
        <f t="array" ref="AU127">IF($F$11-$I$4+VLOOKUP($Q127,武学奇术!$A:$ZZ,9,FALSE)+SUM(_xlfn.XLOOKUP(R127:AF127,增益!$A:$A,增益!$I:$I,0))&gt;0,($F$11-$I$4+VLOOKUP($Q127,武学奇术!$A:$ZZ,9,FALSE)+SUM(_xlfn.XLOOKUP(R127:AF127,增益!$A:$A,增益!$I:$I,0)))/200,($F$11-$I$4+VLOOKUP($Q127,武学奇术!$A:$ZZ,9,FALSE)+SUM(_xlfn.XLOOKUP(R127:AF127,增益!$A:$A,增益!$I:$I,0)))/100)</f>
        <v>-0.14</v>
      </c>
      <c r="AV127" s="35" cm="1">
        <f t="array" ref="AV127">$G$11+VLOOKUP($Q127,武学奇术!$A:$ZZ,10,FALSE)+SUM(_xlfn.XLOOKUP(R127:AF127,增益!$A:$A,增益!$J:$J,0))</f>
        <v>0.1</v>
      </c>
      <c r="AW127">
        <f t="shared" ref="AW127:AW138" si="74">$D$12*(1+$AR127)</f>
        <v>0</v>
      </c>
      <c r="AX127">
        <f t="shared" ref="AX127:AX138" si="75">$E$12*(1+$AR127)</f>
        <v>0</v>
      </c>
      <c r="AY127" s="35" cm="1">
        <f t="array" ref="AY127">IF($F$12-$I$4+VLOOKUP($Q127,武学奇术!$A:$ZZ,11,FALSE)+SUM(_xlfn.XLOOKUP(R127:AF127,增益!$A:$A,增益!$K:$K,0))&gt;0,($F$12-$I$4+VLOOKUP($Q127,武学奇术!$A:$ZZ,11,FALSE)+SUM(_xlfn.XLOOKUP(R127:AF127,增益!$A:$A,增益!$K:$K,0)))/200,($F$12-$I$4+VLOOKUP($Q127,武学奇术!$A:$ZZ,11,FALSE)+SUM(_xlfn.XLOOKUP(R127:AF127,增益!$A:$A,增益!$K:$K,0)))/100)</f>
        <v>-0.14</v>
      </c>
      <c r="AZ127" s="35" cm="1">
        <f t="array" ref="AZ127">$G$12+VLOOKUP($Q127,武学奇术!$A:$ZZ,12,FALSE)+SUM(_xlfn.XLOOKUP(R127:AF127,增益!$A:$A,增益!$L:$L,0))</f>
        <v>0</v>
      </c>
      <c r="BA127">
        <f t="shared" ref="BA127:BA138" si="76">$D$13*(1+$AR127)</f>
        <v>0</v>
      </c>
      <c r="BB127">
        <f t="shared" ref="BB127:BB138" si="77">$E$13*(1+$AR127)</f>
        <v>0</v>
      </c>
      <c r="BC127" s="35" cm="1">
        <f t="array" ref="BC127">IF($F$13-$I$4+VLOOKUP($Q127,武学奇术!$A:$ZZ,13,FALSE)+SUM(_xlfn.XLOOKUP(R127:AF127,增益!$A:$A,增益!$M:$M,0))&gt;0,($F$13-$I$4+VLOOKUP($Q127,武学奇术!$A:$ZZ,13,FALSE)+SUM(_xlfn.XLOOKUP(R127:AF127,增益!$A:$A,增益!$K:$K,0)))/200,($F$13-$I$4+VLOOKUP($Q127,武学奇术!$A:$ZZ,13,FALSE)+SUM(_xlfn.XLOOKUP(R127:AF127,增益!$A:$A,增益!$M:$M,0)))/100)</f>
        <v>-0.14</v>
      </c>
      <c r="BD127" s="35" cm="1">
        <f t="array" ref="BD127">$G$13+VLOOKUP($Q127,武学奇术!$A:$ZZ,14,FALSE)+SUM(_xlfn.XLOOKUP(R127:AF127,增益!$A:$A,增益!$N:$N,0))</f>
        <v>0</v>
      </c>
      <c r="BE127">
        <f t="shared" ref="BE127:BE138" si="78">$D$14*(1+$AR127)</f>
        <v>538</v>
      </c>
      <c r="BF127">
        <f t="shared" ref="BF127:BF138" si="79">$E$14*(1+$AR127)</f>
        <v>1561.4</v>
      </c>
      <c r="BG127" s="35" cm="1">
        <f t="array" ref="BG127">IF($F$14-$I$4+VLOOKUP($Q127,武学奇术!$A:$ZZ,15,FALSE)+SUM(_xlfn.XLOOKUP(R127:AF127,增益!$A:$A,增益!$O:$O,0))&gt;0,($F$14-$I$4+VLOOKUP($Q127,武学奇术!$A:$ZZ,15,FALSE)+SUM(_xlfn.XLOOKUP(R127:AF127,增益!$A:$A,增益!$O:$O,0)))/200,($F$14-$I$4+VLOOKUP($Q127,武学奇术!$A:$ZZ,15,FALSE)+SUM(_xlfn.XLOOKUP(R127:AF127,增益!$A:$A,增益!$O:$O,0)))/100)</f>
        <v>0.08</v>
      </c>
      <c r="BH127" s="35" cm="1">
        <f t="array" ref="BH127">$G$14+VLOOKUP($Q127,武学奇术!$A:$ZZ,16,FALSE)+SUM(_xlfn.XLOOKUP(R127:AF127,增益!$A:$A,增益!$P:$P,0))</f>
        <v>0.27</v>
      </c>
      <c r="BI127" s="30">
        <f>MIN(IF(VLOOKUP($Q127,武学奇术!$A:$ZZ,23,FALSE)=1,100%,$B$8),100%)</f>
        <v>0.9712</v>
      </c>
      <c r="BJ127" s="30" cm="1">
        <f t="array" ref="BJ127">IF(VLOOKUP($Q127,武学奇术!$A:$ZZ,23,FALSE)=1,100%,MIN(80%,$B$9+VLOOKUP($Q127,武学奇术!$A:$ZZ,17,FALSE)+SUM(_xlfn.XLOOKUP(R127:AF127,增益!$A:$A,增益!$Q:$Q,0)))+$B$11+SUM(_xlfn.XLOOKUP(R127:AF127,增益!$A:$A,增益!$U:$U,0)))*IF(VLOOKUP($Q127,武学奇术!$A:$ZZ,24,FALSE)=1,0,1)</f>
        <v>0.8773</v>
      </c>
      <c r="BK127" s="30" cm="1">
        <f t="array" ref="BK127">1+$B$13+VLOOKUP($Q127,武学奇术!$A:$ZZ,18,FALSE)+SUM(_xlfn.XLOOKUP(R127:AF127,增益!$A:$A,增益!$R:$R,0))</f>
        <v>2.12</v>
      </c>
      <c r="BL127" s="30" cm="1">
        <f t="array" ref="BL127">IF(VLOOKUP($Q127,武学奇术!$A:$ZZ,24,FALSE)=1,100%,MIN(40%,$B$10+VLOOKUP($Q127,武学奇术!$A:$ZZ,19,FALSE)+SUM(_xlfn.XLOOKUP(R127:AF127,增益!$A:$A,增益!$S:$S,0)))+$B$12+SUM(_xlfn.XLOOKUP(R127:AF127,增益!$A:$A,增益!$V:$V,0)))*IF(VLOOKUP($Q127,武学奇术!$A:$ZZ,23,FALSE)=1,0,1)</f>
        <v>0.0895</v>
      </c>
      <c r="BM127" s="30" cm="1">
        <f t="array" ref="BM127">1+$B$14+VLOOKUP($Q127,武学奇术!$A:$ZZ,20,FALSE)+SUM(_xlfn.XLOOKUP(R127:AF127,增益!$A:$A,增益!$T:$T,0))</f>
        <v>1.35</v>
      </c>
      <c r="BN127" s="30">
        <f t="shared" ref="BN127:BN138" si="80">MIN((1-BL127)*BI127,BI127*BJ127)</f>
        <v>0.85203376</v>
      </c>
      <c r="BO127" s="30">
        <f t="shared" ref="BO127:BO138" si="81">1-BL127-BN127-BP127</f>
        <v>0.03224384</v>
      </c>
      <c r="BP127" s="30">
        <f>IF(VLOOKUP($Q127,武学奇术!$A:$ZZ,22,FALSE)=1,0,(1-$BI127))*(1-$BL127)</f>
        <v>0.0262224</v>
      </c>
      <c r="BQ127" s="30" cm="1">
        <f t="array" ref="BQ127">SUM(_xlfn.XLOOKUP(R127:AF127,增益!$A:$A,增益!$W:$W,0))+$I$5</f>
        <v>0.31</v>
      </c>
    </row>
    <row r="128" spans="11:69">
      <c r="K128" s="41">
        <f t="shared" si="61"/>
        <v>68060.5262520038</v>
      </c>
      <c r="L128" s="41">
        <f>((($AN128+$AO128)/2*$AH128+$AI128)*(1+$AP128)*(1+$AQ128)+(($AS128+$AT128)/2*IF($G$1="鸣金",$AJ128,$AH128)+IF($G$1="鸣金",$AK128*1.5,0))*(1+$AU128)*(1+$AV128)+(($AW128+$AX128)/2*IF($G$1="裂石",$AJ128,$AH128)+IF($G$1="裂石",$AK128*1.5,0))*(1+$AY128)*(1+$AZ128)+(($BA128+$BB128)/2*IF($G$1="牵丝",$AJ128,$AH128)+IF($G$1="牵丝",$AK128*1.5,0))*(1+$BC128)*(1+$BD128)+(($BE128+$BF128)/2*IF($G$1="破竹",$AJ128,$AH128)+IF($G$1="破竹",$AK128*1.5,0))*(1+$BG128)*(1+$BH128))*(1+$AL128)*$BK128*$P128*(1+IF(VLOOKUP($Q128,武学奇术!$A:$ZZ,30,FALSE)="回旋伞",$B$21,0))*(1+$BQ128)</f>
        <v>68060.5262520038</v>
      </c>
      <c r="M128" s="41">
        <f>(($AO128*$AH128+$AI128)*(1+$AP128)*(1+$AQ128)+($AT128*IF($G$1="鸣金",$AJ128,$AH128)+IF($G$1="鸣金",$AK128*1.5,0))*(1+$AU128)*(1+$AV128)+($AX128*IF($G$1="裂石",$AJ128,$AH128)+IF($G$1="裂石",$AK128*1.5,0))*(1+$AY128)*(1+$AZ128)+($BB128*IF($G$1="牵丝",$AJ128,$AH128)+IF($G$1="牵丝",$AK128*1.5,0))*(1+$BC128)*(1+$BD128)+($BF128*IF($G$1="破竹",$AJ128,$AH128)+IF($G$1="破竹",$AK128*1.5,0))*(1+$BG128)*(1+$BH128))*(1+$AL128)*$BM128*$P128*(1+IF(VLOOKUP($Q128,武学奇术!$A:$ZZ,30,FALSE)="回旋伞",$B$21,0))*(1+$BQ128)</f>
        <v>48328.0131805981</v>
      </c>
      <c r="N128" s="41">
        <f>((($AN128+$AO128)/2*$AH128+$AI128)*(1+$AP128)*(1+$AQ128)+(($AS128+$AT128)/2*IF($G$1="鸣金",$AJ128,$AH128)+IF($G$1="鸣金",$AK128*1.5,0))*(1+$AU128)*(1+$AV128)+(($AW128+$AX128)/2*IF($G$1="裂石",$AJ128,$AH128)+IF($G$1="裂石",$AK128*1.5,0))*(1+$AY128)*(1+$AZ128)+(($BA128+$BB128)/2*IF($G$1="牵丝",$AJ128,$AH128)+IF($G$1="牵丝",$AK128*1.5,0))*(1+$BC128)*(1+$BD128)+(($BE128+$BF128)/2*IF($G$1="破竹",$AJ128,$AH128)+IF($G$1="破竹",$AK128*1.5,0))*(1+$BG128)*(1+$BH128))*(1+$AL128)*$P128*(1+IF(VLOOKUP($Q128,武学奇术!$A:$ZZ,30,FALSE)="回旋伞",$B$21,0))*(1+$BQ128)</f>
        <v>32104.0218169829</v>
      </c>
      <c r="O128" s="41">
        <f>((($AN128*$AH128+$AI128)*(1+$AP128)*(1+$AQ128)+($AS128*IF($G$1="鸣金",$AJ128,$AH128)+IF($G$1="鸣金",$AK128*1.5,0))*(1+$AU128)*(1+$AV128)+($AW128*IF($G$1="裂石",$AJ128,$AH128)+IF($G$1="裂石",$AK128*1.5,0))*(1+$AY128)*(1+$AZ128)+($BA128*IF($G$1="牵丝",$AJ128,$AH128)+IF($G$1="牵丝",$AK128*1.5,0))*(1+$BC128)*(1+$BD128)+($BE128*IF($G$1="破竹",$AJ128,$AH128)+IF($G$1="破竹",$AK128*1.5,0))*(1+$BG128)*(1+$BH128))*(1+$AL128))*$P128*(1+IF(VLOOKUP($Q128,武学奇术!$A:$ZZ,30,FALSE)="回旋伞",$B$21,0))*(1+$BQ128)</f>
        <v>28409.5153520413</v>
      </c>
      <c r="P128" s="42">
        <v>1</v>
      </c>
      <c r="Q128" s="43" t="s">
        <v>150</v>
      </c>
      <c r="R128" s="43" t="s">
        <v>71</v>
      </c>
      <c r="S128" s="43" t="s">
        <v>91</v>
      </c>
      <c r="T128" s="43" t="s">
        <v>72</v>
      </c>
      <c r="U128" s="43" t="s">
        <v>71</v>
      </c>
      <c r="V128" s="43" t="s">
        <v>167</v>
      </c>
      <c r="W128" s="43" t="s">
        <v>95</v>
      </c>
      <c r="X128" s="43" t="s">
        <v>82</v>
      </c>
      <c r="Y128" s="43" t="s">
        <v>71</v>
      </c>
      <c r="Z128" s="43" t="s">
        <v>71</v>
      </c>
      <c r="AA128" s="43" t="s">
        <v>71</v>
      </c>
      <c r="AB128" s="43" t="s">
        <v>179</v>
      </c>
      <c r="AC128" s="43" t="s">
        <v>71</v>
      </c>
      <c r="AD128" s="43" t="s">
        <v>71</v>
      </c>
      <c r="AE128" s="43" t="s">
        <v>71</v>
      </c>
      <c r="AF128" s="43" t="s">
        <v>76</v>
      </c>
      <c r="AG128" t="str">
        <f>VLOOKUP($Q128,武学奇术!$A:$ZZ,25,FALSE)</f>
        <v>绳镖</v>
      </c>
      <c r="AH128" s="30">
        <f>VLOOKUP($Q128,武学奇术!$A:$ZZ,26,FALSE)</f>
        <v>2.2987</v>
      </c>
      <c r="AI128" s="31">
        <f>VLOOKUP($Q128,武学奇术!$A:$ZZ,27,FALSE)*(1+IF(OR($AG128=$F$4,$AG128=$F$5),$B$22,0))</f>
        <v>891.8</v>
      </c>
      <c r="AJ128" s="30">
        <f>VLOOKUP($Q128,武学奇术!$A:$ZZ,28,FALSE)</f>
        <v>3.448</v>
      </c>
      <c r="AK128" s="31">
        <f>VLOOKUP($Q128,武学奇术!$A:$ZZ,29,FALSE)*(1+IF(OR($AG128=$F$4,$AG128=$F$5),$B$22,0))</f>
        <v>485.8</v>
      </c>
      <c r="AL128" s="30" cm="1">
        <f t="array" ref="AL128">$G$3+IFERROR(VLOOKUP($AG128,$F$4:$G$7,2,FALSE),0)+VLOOKUP($Q128,武学奇术!$A:$ZZ,2,FALSE)+SUM(_xlfn.XLOOKUP($R128:$AF128,增益!$A:$A,增益!$B:$B,0))</f>
        <v>0.5189</v>
      </c>
      <c r="AM128" s="30" cm="1">
        <f t="array" ref="AM128">VLOOKUP($Q128,武学奇术!$A:$ZZ,5,FALSE)+SUM(_xlfn.XLOOKUP($R128:$AF128,增益!$A:$A,增益!$E:$E,0))</f>
        <v>0</v>
      </c>
      <c r="AN128" cm="1">
        <f t="array" ref="AN128">$D$10*(1+$AM128)+VLOOKUP($Q128,武学奇术!$A:$ZZ,3,FALSE)+SUM(_xlfn.XLOOKUP($R128:$AF128,增益!$A:$A,增益!$C:$C,0))-$I$2</f>
        <v>3545.8</v>
      </c>
      <c r="AO128" cm="1">
        <f t="array" ref="AO128">$E$10*(1+$AM128)+VLOOKUP($Q128,武学奇术!$A:$ZZ,4,FALSE)+SUM(_xlfn.XLOOKUP($R128:$AF128,增益!$A:$A,增益!$D:$D,0))-$I$2</f>
        <v>3545.8</v>
      </c>
      <c r="AP128" s="35" cm="1">
        <f t="array" ref="AP128">IF($F$10-$I$3+VLOOKUP($Q128,武学奇术!$A:$ZZ,6,FALSE)+SUM(_xlfn.XLOOKUP(R128:AF128,增益!$A:$A,增益!$F:$F,0))&gt;0,($F$10-$I$3+VLOOKUP($Q128,武学奇术!$A:$ZZ,6,FALSE)+SUM(_xlfn.XLOOKUP(R128:AF128,增益!$A:$A,增益!$F:$F,0)))/200,($F$10-$I$3+VLOOKUP($Q128,武学奇术!$A:$ZZ,6,FALSE)+SUM(_xlfn.XLOOKUP(R128:AF128,增益!$A:$A,增益!$F:$F,0)))/100)</f>
        <v>0.4675</v>
      </c>
      <c r="AQ128" s="35" cm="1">
        <f t="array" ref="AQ128">$G$10+VLOOKUP($Q128,武学奇术!$A:$ZZ,7,FALSE)+SUM(_xlfn.XLOOKUP(R128:AF128,增益!$A:$A,增益!$G:$G,0))</f>
        <v>0.028</v>
      </c>
      <c r="AR128" s="30" cm="1">
        <f t="array" ref="AR128">VLOOKUP($Q128,武学奇术!$A:$ZZ,8,FALSE)+SUM(_xlfn.XLOOKUP(R128:AF128,增益!$A:$A,增益!$H:$H,0))</f>
        <v>0</v>
      </c>
      <c r="AS128">
        <f t="shared" si="72"/>
        <v>0</v>
      </c>
      <c r="AT128">
        <f t="shared" si="73"/>
        <v>0</v>
      </c>
      <c r="AU128" s="35" cm="1">
        <f t="array" ref="AU128">IF($F$11-$I$4+VLOOKUP($Q128,武学奇术!$A:$ZZ,9,FALSE)+SUM(_xlfn.XLOOKUP(R128:AF128,增益!$A:$A,增益!$I:$I,0))&gt;0,($F$11-$I$4+VLOOKUP($Q128,武学奇术!$A:$ZZ,9,FALSE)+SUM(_xlfn.XLOOKUP(R128:AF128,增益!$A:$A,增益!$I:$I,0)))/200,($F$11-$I$4+VLOOKUP($Q128,武学奇术!$A:$ZZ,9,FALSE)+SUM(_xlfn.XLOOKUP(R128:AF128,增益!$A:$A,增益!$I:$I,0)))/100)</f>
        <v>-0.14</v>
      </c>
      <c r="AV128" s="35" cm="1">
        <f t="array" ref="AV128">$G$11+VLOOKUP($Q128,武学奇术!$A:$ZZ,10,FALSE)+SUM(_xlfn.XLOOKUP(R128:AF128,增益!$A:$A,增益!$J:$J,0))</f>
        <v>0</v>
      </c>
      <c r="AW128">
        <f t="shared" si="74"/>
        <v>0</v>
      </c>
      <c r="AX128">
        <f t="shared" si="75"/>
        <v>0</v>
      </c>
      <c r="AY128" s="35" cm="1">
        <f t="array" ref="AY128">IF($F$12-$I$4+VLOOKUP($Q128,武学奇术!$A:$ZZ,11,FALSE)+SUM(_xlfn.XLOOKUP(R128:AF128,增益!$A:$A,增益!$K:$K,0))&gt;0,($F$12-$I$4+VLOOKUP($Q128,武学奇术!$A:$ZZ,11,FALSE)+SUM(_xlfn.XLOOKUP(R128:AF128,增益!$A:$A,增益!$K:$K,0)))/200,($F$12-$I$4+VLOOKUP($Q128,武学奇术!$A:$ZZ,11,FALSE)+SUM(_xlfn.XLOOKUP(R128:AF128,增益!$A:$A,增益!$K:$K,0)))/100)</f>
        <v>-0.14</v>
      </c>
      <c r="AZ128" s="35" cm="1">
        <f t="array" ref="AZ128">$G$12+VLOOKUP($Q128,武学奇术!$A:$ZZ,12,FALSE)+SUM(_xlfn.XLOOKUP(R128:AF128,增益!$A:$A,增益!$L:$L,0))</f>
        <v>0</v>
      </c>
      <c r="BA128">
        <f t="shared" si="76"/>
        <v>0</v>
      </c>
      <c r="BB128">
        <f t="shared" si="77"/>
        <v>0</v>
      </c>
      <c r="BC128" s="35" cm="1">
        <f t="array" ref="BC128">IF($F$13-$I$4+VLOOKUP($Q128,武学奇术!$A:$ZZ,13,FALSE)+SUM(_xlfn.XLOOKUP(R128:AF128,增益!$A:$A,增益!$M:$M,0))&gt;0,($F$13-$I$4+VLOOKUP($Q128,武学奇术!$A:$ZZ,13,FALSE)+SUM(_xlfn.XLOOKUP(R128:AF128,增益!$A:$A,增益!$K:$K,0)))/200,($F$13-$I$4+VLOOKUP($Q128,武学奇术!$A:$ZZ,13,FALSE)+SUM(_xlfn.XLOOKUP(R128:AF128,增益!$A:$A,增益!$M:$M,0)))/100)</f>
        <v>-0.14</v>
      </c>
      <c r="BD128" s="35" cm="1">
        <f t="array" ref="BD128">$G$13+VLOOKUP($Q128,武学奇术!$A:$ZZ,14,FALSE)+SUM(_xlfn.XLOOKUP(R128:AF128,增益!$A:$A,增益!$N:$N,0))</f>
        <v>0</v>
      </c>
      <c r="BE128">
        <f t="shared" si="78"/>
        <v>538</v>
      </c>
      <c r="BF128">
        <f t="shared" si="79"/>
        <v>1561.4</v>
      </c>
      <c r="BG128" s="35" cm="1">
        <f t="array" ref="BG128">IF($F$14-$I$4+VLOOKUP($Q128,武学奇术!$A:$ZZ,15,FALSE)+SUM(_xlfn.XLOOKUP(R128:AF128,增益!$A:$A,增益!$O:$O,0))&gt;0,($F$14-$I$4+VLOOKUP($Q128,武学奇术!$A:$ZZ,15,FALSE)+SUM(_xlfn.XLOOKUP(R128:AF128,增益!$A:$A,增益!$O:$O,0)))/200,($F$14-$I$4+VLOOKUP($Q128,武学奇术!$A:$ZZ,15,FALSE)+SUM(_xlfn.XLOOKUP(R128:AF128,增益!$A:$A,增益!$O:$O,0)))/100)</f>
        <v>0.08</v>
      </c>
      <c r="BH128" s="35" cm="1">
        <f t="array" ref="BH128">$G$14+VLOOKUP($Q128,武学奇术!$A:$ZZ,16,FALSE)+SUM(_xlfn.XLOOKUP(R128:AF128,增益!$A:$A,增益!$P:$P,0))</f>
        <v>0.15</v>
      </c>
      <c r="BI128" s="30">
        <f>MIN(IF(VLOOKUP($Q128,武学奇术!$A:$ZZ,23,FALSE)=1,100%,$B$8),100%)</f>
        <v>1</v>
      </c>
      <c r="BJ128" s="30" cm="1">
        <f t="array" ref="BJ128">IF(VLOOKUP($Q128,武学奇术!$A:$ZZ,23,FALSE)=1,100%,MIN(80%,$B$9+VLOOKUP($Q128,武学奇术!$A:$ZZ,17,FALSE)+SUM(_xlfn.XLOOKUP(R128:AF128,增益!$A:$A,增益!$Q:$Q,0)))+$B$11+SUM(_xlfn.XLOOKUP(R128:AF128,增益!$A:$A,增益!$U:$U,0)))*IF(VLOOKUP($Q128,武学奇术!$A:$ZZ,24,FALSE)=1,0,1)</f>
        <v>1</v>
      </c>
      <c r="BK128" s="30" cm="1">
        <f t="array" ref="BK128">1+$B$13+VLOOKUP($Q128,武学奇术!$A:$ZZ,18,FALSE)+SUM(_xlfn.XLOOKUP(R128:AF128,增益!$A:$A,增益!$R:$R,0))</f>
        <v>2.12</v>
      </c>
      <c r="BL128" s="30" cm="1">
        <f t="array" ref="BL128">IF(VLOOKUP($Q128,武学奇术!$A:$ZZ,24,FALSE)=1,100%,MIN(40%,$B$10+VLOOKUP($Q128,武学奇术!$A:$ZZ,19,FALSE)+SUM(_xlfn.XLOOKUP(R128:AF128,增益!$A:$A,增益!$S:$S,0)))+$B$12+SUM(_xlfn.XLOOKUP(R128:AF128,增益!$A:$A,增益!$V:$V,0)))*IF(VLOOKUP($Q128,武学奇术!$A:$ZZ,23,FALSE)=1,0,1)</f>
        <v>0</v>
      </c>
      <c r="BM128" s="30" cm="1">
        <f t="array" ref="BM128">1+$B$14+VLOOKUP($Q128,武学奇术!$A:$ZZ,20,FALSE)+SUM(_xlfn.XLOOKUP(R128:AF128,增益!$A:$A,增益!$T:$T,0))</f>
        <v>1.35</v>
      </c>
      <c r="BN128" s="30">
        <f t="shared" si="80"/>
        <v>1</v>
      </c>
      <c r="BO128" s="30">
        <f t="shared" si="81"/>
        <v>0</v>
      </c>
      <c r="BP128" s="30">
        <f>IF(VLOOKUP($Q128,武学奇术!$A:$ZZ,22,FALSE)=1,0,(1-$BI128))*(1-$BL128)</f>
        <v>0</v>
      </c>
      <c r="BQ128" s="30" cm="1">
        <f t="array" ref="BQ128">SUM(_xlfn.XLOOKUP(R128:AF128,增益!$A:$A,增益!$W:$W,0))+$I$5</f>
        <v>0.11</v>
      </c>
    </row>
    <row r="129" spans="1:69">
      <c r="A129" s="4"/>
      <c r="B129" s="4"/>
      <c r="K129" s="89">
        <f>(SUM(K113:K128)+K150+K151)*10%</f>
        <v>278943.749479443</v>
      </c>
      <c r="L129" s="41">
        <f>((($AN129+$AO129)/2*$AH129+$AI129)*(1+$AP129)*(1+$AQ129)+(($AS129+$AT129)/2*IF($G$1="鸣金",$AJ129,$AH129)+IF($G$1="鸣金",$AK129*1.5,0))*(1+$AU129)*(1+$AV129)+(($AW129+$AX129)/2*IF($G$1="裂石",$AJ129,$AH129)+IF($G$1="裂石",$AK129*1.5,0))*(1+$AY129)*(1+$AZ129)+(($BA129+$BB129)/2*IF($G$1="牵丝",$AJ129,$AH129)+IF($G$1="牵丝",$AK129*1.5,0))*(1+$BC129)*(1+$BD129)+(($BE129+$BF129)/2*IF($G$1="破竹",$AJ129,$AH129)+IF($G$1="破竹",$AK129*1.5,0))*(1+$BG129)*(1+$BH129))*(1+$AL129)*$BK129*$P129*(1+IF(VLOOKUP($Q129,武学奇术!$A:$ZZ,30,FALSE)="回旋伞",$B$21,0))*(1+$BQ129)</f>
        <v>0</v>
      </c>
      <c r="M129" s="41">
        <f>(($AO129*$AH129+$AI129)*(1+$AP129)*(1+$AQ129)+($AT129*IF($G$1="鸣金",$AJ129,$AH129)+IF($G$1="鸣金",$AK129*1.5,0))*(1+$AU129)*(1+$AV129)+($AX129*IF($G$1="裂石",$AJ129,$AH129)+IF($G$1="裂石",$AK129*1.5,0))*(1+$AY129)*(1+$AZ129)+($BB129*IF($G$1="牵丝",$AJ129,$AH129)+IF($G$1="牵丝",$AK129*1.5,0))*(1+$BC129)*(1+$BD129)+($BF129*IF($G$1="破竹",$AJ129,$AH129)+IF($G$1="破竹",$AK129*1.5,0))*(1+$BG129)*(1+$BH129))*(1+$AL129)*$BM129*$P129*(1+IF(VLOOKUP($Q129,武学奇术!$A:$ZZ,30,FALSE)="回旋伞",$B$21,0))*(1+$BQ129)</f>
        <v>0</v>
      </c>
      <c r="N129" s="41">
        <f>((($AN129+$AO129)/2*$AH129+$AI129)*(1+$AP129)*(1+$AQ129)+(($AS129+$AT129)/2*IF($G$1="鸣金",$AJ129,$AH129)+IF($G$1="鸣金",$AK129*1.5,0))*(1+$AU129)*(1+$AV129)+(($AW129+$AX129)/2*IF($G$1="裂石",$AJ129,$AH129)+IF($G$1="裂石",$AK129*1.5,0))*(1+$AY129)*(1+$AZ129)+(($BA129+$BB129)/2*IF($G$1="牵丝",$AJ129,$AH129)+IF($G$1="牵丝",$AK129*1.5,0))*(1+$BC129)*(1+$BD129)+(($BE129+$BF129)/2*IF($G$1="破竹",$AJ129,$AH129)+IF($G$1="破竹",$AK129*1.5,0))*(1+$BG129)*(1+$BH129))*(1+$AL129)*$P129*(1+IF(VLOOKUP($Q129,武学奇术!$A:$ZZ,30,FALSE)="回旋伞",$B$21,0))*(1+$BQ129)</f>
        <v>0</v>
      </c>
      <c r="O129" s="41">
        <f>((($AN129*$AH129+$AI129)*(1+$AP129)*(1+$AQ129)+($AS129*IF($G$1="鸣金",$AJ129,$AH129)+IF($G$1="鸣金",$AK129*1.5,0))*(1+$AU129)*(1+$AV129)+($AW129*IF($G$1="裂石",$AJ129,$AH129)+IF($G$1="裂石",$AK129*1.5,0))*(1+$AY129)*(1+$AZ129)+($BA129*IF($G$1="牵丝",$AJ129,$AH129)+IF($G$1="牵丝",$AK129*1.5,0))*(1+$BC129)*(1+$BD129)+($BE129*IF($G$1="破竹",$AJ129,$AH129)+IF($G$1="破竹",$AK129*1.5,0))*(1+$BG129)*(1+$BH129))*(1+$AL129))*$P129*(1+IF(VLOOKUP($Q129,武学奇术!$A:$ZZ,30,FALSE)="回旋伞",$B$21,0))*(1+$BQ129)</f>
        <v>0</v>
      </c>
      <c r="P129" s="42">
        <v>1</v>
      </c>
      <c r="Q129" s="43" t="s">
        <v>152</v>
      </c>
      <c r="R129" s="43" t="s">
        <v>71</v>
      </c>
      <c r="S129" s="43" t="s">
        <v>71</v>
      </c>
      <c r="T129" s="43" t="s">
        <v>71</v>
      </c>
      <c r="U129" s="43" t="s">
        <v>71</v>
      </c>
      <c r="V129" s="43" t="s">
        <v>71</v>
      </c>
      <c r="W129" s="43" t="s">
        <v>71</v>
      </c>
      <c r="X129" s="43" t="s">
        <v>71</v>
      </c>
      <c r="Y129" s="43" t="s">
        <v>71</v>
      </c>
      <c r="Z129" s="43" t="s">
        <v>71</v>
      </c>
      <c r="AA129" s="43" t="s">
        <v>71</v>
      </c>
      <c r="AB129" s="43" t="s">
        <v>71</v>
      </c>
      <c r="AC129" s="43" t="s">
        <v>71</v>
      </c>
      <c r="AD129" s="43" t="s">
        <v>71</v>
      </c>
      <c r="AE129" s="43" t="s">
        <v>71</v>
      </c>
      <c r="AF129" s="43" t="s">
        <v>76</v>
      </c>
      <c r="AG129" t="str">
        <f>VLOOKUP($Q129,武学奇术!$A:$ZZ,25,FALSE)</f>
        <v>心法</v>
      </c>
      <c r="AH129" s="30">
        <f>VLOOKUP($Q129,武学奇术!$A:$ZZ,26,FALSE)</f>
        <v>0</v>
      </c>
      <c r="AI129" s="31">
        <f>VLOOKUP($Q129,武学奇术!$A:$ZZ,27,FALSE)*(1+IF(OR($AG129=$F$4,$AG129=$F$5),$B$22,0))</f>
        <v>0</v>
      </c>
      <c r="AJ129" s="30">
        <f>VLOOKUP($Q129,武学奇术!$A:$ZZ,28,FALSE)</f>
        <v>0</v>
      </c>
      <c r="AK129" s="31">
        <f>VLOOKUP($Q129,武学奇术!$A:$ZZ,29,FALSE)*(1+IF(OR($AG129=$F$4,$AG129=$F$5),$B$22,0))</f>
        <v>0</v>
      </c>
      <c r="AL129" s="30" cm="1">
        <f t="array" ref="AL129">$G$3+IFERROR(VLOOKUP($AG129,$F$4:$G$7,2,FALSE),0)+VLOOKUP($Q129,武学奇术!$A:$ZZ,2,FALSE)+SUM(_xlfn.XLOOKUP($R129:$AF129,增益!$A:$A,增益!$B:$B,0))</f>
        <v>0.1837</v>
      </c>
      <c r="AM129" s="30" cm="1">
        <f t="array" ref="AM129">VLOOKUP($Q129,武学奇术!$A:$ZZ,5,FALSE)+SUM(_xlfn.XLOOKUP($R129:$AF129,增益!$A:$A,增益!$E:$E,0))</f>
        <v>0</v>
      </c>
      <c r="AN129" cm="1">
        <f t="array" ref="AN129">$D$10*(1+$AM129)+VLOOKUP($Q129,武学奇术!$A:$ZZ,3,FALSE)+SUM(_xlfn.XLOOKUP($R129:$AF129,增益!$A:$A,增益!$C:$C,0))-$I$2</f>
        <v>3545.8</v>
      </c>
      <c r="AO129" cm="1">
        <f t="array" ref="AO129">$E$10*(1+$AM129)+VLOOKUP($Q129,武学奇术!$A:$ZZ,4,FALSE)+SUM(_xlfn.XLOOKUP($R129:$AF129,增益!$A:$A,增益!$D:$D,0))-$I$2</f>
        <v>3545.8</v>
      </c>
      <c r="AP129" s="35" cm="1">
        <f t="array" ref="AP129">IF($F$10-$I$3+VLOOKUP($Q129,武学奇术!$A:$ZZ,6,FALSE)+SUM(_xlfn.XLOOKUP(R129:AF129,增益!$A:$A,增益!$F:$F,0))&gt;0,($F$10-$I$3+VLOOKUP($Q129,武学奇术!$A:$ZZ,6,FALSE)+SUM(_xlfn.XLOOKUP(R129:AF129,增益!$A:$A,增益!$F:$F,0)))/200,($F$10-$I$3+VLOOKUP($Q129,武学奇术!$A:$ZZ,6,FALSE)+SUM(_xlfn.XLOOKUP(R129:AF129,增益!$A:$A,增益!$F:$F,0)))/100)</f>
        <v>0.2425</v>
      </c>
      <c r="AQ129" s="35" cm="1">
        <f t="array" ref="AQ129">$G$10+VLOOKUP($Q129,武学奇术!$A:$ZZ,7,FALSE)+SUM(_xlfn.XLOOKUP(R129:AF129,增益!$A:$A,增益!$G:$G,0))</f>
        <v>0.028</v>
      </c>
      <c r="AR129" s="30" cm="1">
        <f t="array" ref="AR129">VLOOKUP($Q129,武学奇术!$A:$ZZ,8,FALSE)+SUM(_xlfn.XLOOKUP(R129:AF129,增益!$A:$A,增益!$H:$H,0))</f>
        <v>0</v>
      </c>
      <c r="AS129">
        <f t="shared" si="72"/>
        <v>0</v>
      </c>
      <c r="AT129">
        <f t="shared" si="73"/>
        <v>0</v>
      </c>
      <c r="AU129" s="35" cm="1">
        <f t="array" ref="AU129">IF($F$11-$I$4+VLOOKUP($Q129,武学奇术!$A:$ZZ,9,FALSE)+SUM(_xlfn.XLOOKUP(R129:AF129,增益!$A:$A,增益!$I:$I,0))&gt;0,($F$11-$I$4+VLOOKUP($Q129,武学奇术!$A:$ZZ,9,FALSE)+SUM(_xlfn.XLOOKUP(R129:AF129,增益!$A:$A,增益!$I:$I,0)))/200,($F$11-$I$4+VLOOKUP($Q129,武学奇术!$A:$ZZ,9,FALSE)+SUM(_xlfn.XLOOKUP(R129:AF129,增益!$A:$A,增益!$I:$I,0)))/100)</f>
        <v>-0.3</v>
      </c>
      <c r="AV129" s="35" cm="1">
        <f t="array" ref="AV129">$G$11+VLOOKUP($Q129,武学奇术!$A:$ZZ,10,FALSE)+SUM(_xlfn.XLOOKUP(R129:AF129,增益!$A:$A,增益!$J:$J,0))</f>
        <v>0</v>
      </c>
      <c r="AW129">
        <f t="shared" si="74"/>
        <v>0</v>
      </c>
      <c r="AX129">
        <f t="shared" si="75"/>
        <v>0</v>
      </c>
      <c r="AY129" s="35" cm="1">
        <f t="array" ref="AY129">IF($F$12-$I$4+VLOOKUP($Q129,武学奇术!$A:$ZZ,11,FALSE)+SUM(_xlfn.XLOOKUP(R129:AF129,增益!$A:$A,增益!$K:$K,0))&gt;0,($F$12-$I$4+VLOOKUP($Q129,武学奇术!$A:$ZZ,11,FALSE)+SUM(_xlfn.XLOOKUP(R129:AF129,增益!$A:$A,增益!$K:$K,0)))/200,($F$12-$I$4+VLOOKUP($Q129,武学奇术!$A:$ZZ,11,FALSE)+SUM(_xlfn.XLOOKUP(R129:AF129,增益!$A:$A,增益!$K:$K,0)))/100)</f>
        <v>-0.3</v>
      </c>
      <c r="AZ129" s="35" cm="1">
        <f t="array" ref="AZ129">$G$12+VLOOKUP($Q129,武学奇术!$A:$ZZ,12,FALSE)+SUM(_xlfn.XLOOKUP(R129:AF129,增益!$A:$A,增益!$L:$L,0))</f>
        <v>0</v>
      </c>
      <c r="BA129">
        <f t="shared" si="76"/>
        <v>0</v>
      </c>
      <c r="BB129">
        <f t="shared" si="77"/>
        <v>0</v>
      </c>
      <c r="BC129" s="35" cm="1">
        <f t="array" ref="BC129">IF($F$13-$I$4+VLOOKUP($Q129,武学奇术!$A:$ZZ,13,FALSE)+SUM(_xlfn.XLOOKUP(R129:AF129,增益!$A:$A,增益!$M:$M,0))&gt;0,($F$13-$I$4+VLOOKUP($Q129,武学奇术!$A:$ZZ,13,FALSE)+SUM(_xlfn.XLOOKUP(R129:AF129,增益!$A:$A,增益!$K:$K,0)))/200,($F$13-$I$4+VLOOKUP($Q129,武学奇术!$A:$ZZ,13,FALSE)+SUM(_xlfn.XLOOKUP(R129:AF129,增益!$A:$A,增益!$M:$M,0)))/100)</f>
        <v>-0.3</v>
      </c>
      <c r="BD129" s="35" cm="1">
        <f t="array" ref="BD129">$G$13+VLOOKUP($Q129,武学奇术!$A:$ZZ,14,FALSE)+SUM(_xlfn.XLOOKUP(R129:AF129,增益!$A:$A,增益!$N:$N,0))</f>
        <v>0</v>
      </c>
      <c r="BE129">
        <f t="shared" si="78"/>
        <v>538</v>
      </c>
      <c r="BF129">
        <f t="shared" si="79"/>
        <v>1561.4</v>
      </c>
      <c r="BG129" s="35" cm="1">
        <f t="array" ref="BG129">IF($F$14-$I$4+VLOOKUP($Q129,武学奇术!$A:$ZZ,15,FALSE)+SUM(_xlfn.XLOOKUP(R129:AF129,增益!$A:$A,增益!$O:$O,0))&gt;0,($F$14-$I$4+VLOOKUP($Q129,武学奇术!$A:$ZZ,15,FALSE)+SUM(_xlfn.XLOOKUP(R129:AF129,增益!$A:$A,增益!$O:$O,0)))/200,($F$14-$I$4+VLOOKUP($Q129,武学奇术!$A:$ZZ,15,FALSE)+SUM(_xlfn.XLOOKUP(R129:AF129,增益!$A:$A,增益!$O:$O,0)))/100)</f>
        <v>0</v>
      </c>
      <c r="BH129" s="35" cm="1">
        <f t="array" ref="BH129">$G$14+VLOOKUP($Q129,武学奇术!$A:$ZZ,16,FALSE)+SUM(_xlfn.XLOOKUP(R129:AF129,增益!$A:$A,增益!$P:$P,0))</f>
        <v>0.15</v>
      </c>
      <c r="BI129" s="30">
        <f>MIN(IF(VLOOKUP($Q129,武学奇术!$A:$ZZ,23,FALSE)=1,100%,$B$8),100%)</f>
        <v>0.9712</v>
      </c>
      <c r="BJ129" s="30" cm="1">
        <f t="array" ref="BJ129">IF(VLOOKUP($Q129,武学奇术!$A:$ZZ,23,FALSE)=1,100%,MIN(80%,$B$9+VLOOKUP($Q129,武学奇术!$A:$ZZ,17,FALSE)+SUM(_xlfn.XLOOKUP(R129:AF129,增益!$A:$A,增益!$Q:$Q,0)))+$B$11+SUM(_xlfn.XLOOKUP(R129:AF129,增益!$A:$A,增益!$U:$U,0)))*IF(VLOOKUP($Q129,武学奇术!$A:$ZZ,24,FALSE)=1,0,1)</f>
        <v>0.8773</v>
      </c>
      <c r="BK129" s="30" cm="1">
        <f t="array" ref="BK129">1+$B$13+VLOOKUP($Q129,武学奇术!$A:$ZZ,18,FALSE)+SUM(_xlfn.XLOOKUP(R129:AF129,增益!$A:$A,增益!$R:$R,0))</f>
        <v>1.5</v>
      </c>
      <c r="BL129" s="30" cm="1">
        <f t="array" ref="BL129">IF(VLOOKUP($Q129,武学奇术!$A:$ZZ,24,FALSE)=1,100%,MIN(40%,$B$10+VLOOKUP($Q129,武学奇术!$A:$ZZ,19,FALSE)+SUM(_xlfn.XLOOKUP(R129:AF129,增益!$A:$A,增益!$S:$S,0)))+$B$12+SUM(_xlfn.XLOOKUP(R129:AF129,增益!$A:$A,增益!$V:$V,0)))*IF(VLOOKUP($Q129,武学奇术!$A:$ZZ,23,FALSE)=1,0,1)</f>
        <v>0.0895</v>
      </c>
      <c r="BM129" s="30" cm="1">
        <f t="array" ref="BM129">1+$B$14+VLOOKUP($Q129,武学奇术!$A:$ZZ,20,FALSE)+SUM(_xlfn.XLOOKUP(R129:AF129,增益!$A:$A,增益!$T:$T,0))</f>
        <v>1.35</v>
      </c>
      <c r="BN129" s="30">
        <f t="shared" si="80"/>
        <v>0.85203376</v>
      </c>
      <c r="BO129" s="30">
        <f t="shared" si="81"/>
        <v>0.03224384</v>
      </c>
      <c r="BP129" s="30">
        <f>IF(VLOOKUP($Q129,武学奇术!$A:$ZZ,22,FALSE)=1,0,(1-$BI129))*(1-$BL129)</f>
        <v>0.0262224</v>
      </c>
      <c r="BQ129" s="30" cm="1">
        <f t="array" ref="BQ129">SUM(_xlfn.XLOOKUP(R129:AF129,增益!$A:$A,增益!$W:$W,0))+$I$5</f>
        <v>0.11</v>
      </c>
    </row>
    <row r="130" spans="1:69">
      <c r="K130" s="41">
        <f>($L130*$BN130+$M130*$BL130+$N130*$BO130+$O130*$BP130)</f>
        <v>155823.17165293</v>
      </c>
      <c r="L130" s="41">
        <f>((($AN130+$AO130)/2*$AH130+$AI130)*(1+$AP130)*(1+$AQ130)+(($AS130+$AT130)/2*IF($G$1="鸣金",$AJ130,$AH130)+IF($G$1="鸣金",$AK130*1.5,0))*(1+$AU130)*(1+$AV130)+(($AW130+$AX130)/2*IF($G$1="裂石",$AJ130,$AH130)+IF($G$1="裂石",$AK130*1.5,0))*(1+$AY130)*(1+$AZ130)+(($BA130+$BB130)/2*IF($G$1="牵丝",$AJ130,$AH130)+IF($G$1="牵丝",$AK130*1.5,0))*(1+$BC130)*(1+$BD130)+(($BE130+$BF130)/2*IF($G$1="破竹",$AJ130,$AH130)+IF($G$1="破竹",$AK130*1.5,0))*(1+$BG130)*(1+$BH130))*(1+$AL130)*$BK130*$P130*(1+IF(VLOOKUP($Q130,武学奇术!$A:$ZZ,30,FALSE)="回旋伞",$B$21,0))*(1+$BQ130)</f>
        <v>165379.988484654</v>
      </c>
      <c r="M130" s="41">
        <f>(($AO130*$AH130+$AI130)*(1+$AP130)*(1+$AQ130)+($AT130*IF($G$1="鸣金",$AJ130,$AH130)+IF($G$1="鸣金",$AK130*1.5,0))*(1+$AU130)*(1+$AV130)+($AX130*IF($G$1="裂石",$AJ130,$AH130)+IF($G$1="裂石",$AK130*1.5,0))*(1+$AY130)*(1+$AZ130)+($BB130*IF($G$1="牵丝",$AJ130,$AH130)+IF($G$1="牵丝",$AK130*1.5,0))*(1+$BC130)*(1+$BD130)+($BF130*IF($G$1="破竹",$AJ130,$AH130)+IF($G$1="破竹",$AK130*1.5,0))*(1+$BG130)*(1+$BH130))*(1+$AL130)*$BM130*$P130*(1+IF(VLOOKUP($Q130,武学奇术!$A:$ZZ,30,FALSE)="回旋伞",$B$21,0))*(1+$BQ130)</f>
        <v>118547.374652787</v>
      </c>
      <c r="N130" s="41">
        <f>((($AN130+$AO130)/2*$AH130+$AI130)*(1+$AP130)*(1+$AQ130)+(($AS130+$AT130)/2*IF($G$1="鸣金",$AJ130,$AH130)+IF($G$1="鸣金",$AK130*1.5,0))*(1+$AU130)*(1+$AV130)+(($AW130+$AX130)/2*IF($G$1="裂石",$AJ130,$AH130)+IF($G$1="裂石",$AK130*1.5,0))*(1+$AY130)*(1+$AZ130)+(($BA130+$BB130)/2*IF($G$1="牵丝",$AJ130,$AH130)+IF($G$1="牵丝",$AK130*1.5,0))*(1+$BC130)*(1+$BD130)+(($BE130+$BF130)/2*IF($G$1="破竹",$AJ130,$AH130)+IF($G$1="破竹",$AK130*1.5,0))*(1+$BG130)*(1+$BH130))*(1+$AL130)*$P130*(1+IF(VLOOKUP($Q130,武学奇术!$A:$ZZ,30,FALSE)="回旋伞",$B$21,0))*(1+$BQ130)</f>
        <v>78009.4285304973</v>
      </c>
      <c r="O130" s="41">
        <f>((($AN130*$AH130+$AI130)*(1+$AP130)*(1+$AQ130)+($AS130*IF($G$1="鸣金",$AJ130,$AH130)+IF($G$1="鸣金",$AK130*1.5,0))*(1+$AU130)*(1+$AV130)+($AW130*IF($G$1="裂石",$AJ130,$AH130)+IF($G$1="裂石",$AK130*1.5,0))*(1+$AY130)*(1+$AZ130)+($BA130*IF($G$1="牵丝",$AJ130,$AH130)+IF($G$1="牵丝",$AK130*1.5,0))*(1+$BC130)*(1+$BD130)+($BE130*IF($G$1="破竹",$AJ130,$AH130)+IF($G$1="破竹",$AK130*1.5,0))*(1+$BG130)*(1+$BH130))*(1+$AL130))*$P130*(1+IF(VLOOKUP($Q130,武学奇术!$A:$ZZ,30,FALSE)="回旋伞",$B$21,0))*(1+$BQ130)</f>
        <v>68205.9869478189</v>
      </c>
      <c r="P130" s="42">
        <v>1</v>
      </c>
      <c r="Q130" s="43" t="s">
        <v>136</v>
      </c>
      <c r="R130" s="43" t="s">
        <v>71</v>
      </c>
      <c r="S130" s="43" t="s">
        <v>91</v>
      </c>
      <c r="T130" s="43" t="s">
        <v>72</v>
      </c>
      <c r="U130" s="43" t="s">
        <v>73</v>
      </c>
      <c r="V130" s="43" t="s">
        <v>167</v>
      </c>
      <c r="W130" s="43" t="s">
        <v>95</v>
      </c>
      <c r="X130" s="43" t="s">
        <v>82</v>
      </c>
      <c r="Y130" s="43" t="s">
        <v>71</v>
      </c>
      <c r="Z130" s="43" t="s">
        <v>71</v>
      </c>
      <c r="AA130" s="43" t="s">
        <v>71</v>
      </c>
      <c r="AB130" s="43" t="s">
        <v>179</v>
      </c>
      <c r="AC130" s="43" t="s">
        <v>71</v>
      </c>
      <c r="AD130" s="43" t="s">
        <v>71</v>
      </c>
      <c r="AE130" s="43" t="s">
        <v>71</v>
      </c>
      <c r="AF130" s="43" t="s">
        <v>76</v>
      </c>
      <c r="AG130" t="str">
        <f>VLOOKUP($Q130,武学奇术!$A:$ZZ,25,FALSE)</f>
        <v>单体奇术</v>
      </c>
      <c r="AH130" s="30">
        <f>VLOOKUP($Q130,武学奇术!$A:$ZZ,26,FALSE)</f>
        <v>7.1074</v>
      </c>
      <c r="AI130" s="31">
        <f>VLOOKUP($Q130,武学奇术!$A:$ZZ,27,FALSE)*(1+IF(OR($AG130=$F$4,$AG130=$F$5),$B$22,0))</f>
        <v>1320</v>
      </c>
      <c r="AJ130" s="30">
        <f>VLOOKUP($Q130,武学奇术!$A:$ZZ,28,FALSE)</f>
        <v>10.6596</v>
      </c>
      <c r="AK130" s="31">
        <f>VLOOKUP($Q130,武学奇术!$A:$ZZ,29,FALSE)*(1+IF(OR($AG130=$F$4,$AG130=$F$5),$B$22,0))</f>
        <v>0</v>
      </c>
      <c r="AL130" s="30" cm="1">
        <f t="array" ref="AL130">$G$3+IFERROR(VLOOKUP($AG130,$F$4:$G$7,2,FALSE),0)+VLOOKUP($Q130,武学奇术!$A:$ZZ,2,FALSE)+SUM(_xlfn.XLOOKUP($R130:$AF130,增益!$A:$A,增益!$B:$B,0))</f>
        <v>0.3037</v>
      </c>
      <c r="AM130" s="30" cm="1">
        <f t="array" ref="AM130">VLOOKUP($Q130,武学奇术!$A:$ZZ,5,FALSE)+SUM(_xlfn.XLOOKUP($R130:$AF130,增益!$A:$A,增益!$E:$E,0))</f>
        <v>0</v>
      </c>
      <c r="AN130" cm="1">
        <f t="array" ref="AN130">$D$10*(1+$AM130)+VLOOKUP($Q130,武学奇术!$A:$ZZ,3,FALSE)+SUM(_xlfn.XLOOKUP($R130:$AF130,增益!$A:$A,增益!$C:$C,0))-$I$2</f>
        <v>3545.8</v>
      </c>
      <c r="AO130" cm="1">
        <f t="array" ref="AO130">$E$10*(1+$AM130)+VLOOKUP($Q130,武学奇术!$A:$ZZ,4,FALSE)+SUM(_xlfn.XLOOKUP($R130:$AF130,增益!$A:$A,增益!$D:$D,0))-$I$2</f>
        <v>3545.8</v>
      </c>
      <c r="AP130" s="35" cm="1">
        <f t="array" ref="AP130">IF($F$10-$I$3+VLOOKUP($Q130,武学奇术!$A:$ZZ,6,FALSE)+SUM(_xlfn.XLOOKUP(R130:AF130,增益!$A:$A,增益!$F:$F,0))&gt;0,($F$10-$I$3+VLOOKUP($Q130,武学奇术!$A:$ZZ,6,FALSE)+SUM(_xlfn.XLOOKUP(R130:AF130,增益!$A:$A,增益!$F:$F,0)))/200,($F$10-$I$3+VLOOKUP($Q130,武学奇术!$A:$ZZ,6,FALSE)+SUM(_xlfn.XLOOKUP(R130:AF130,增益!$A:$A,增益!$F:$F,0)))/100)</f>
        <v>0.4675</v>
      </c>
      <c r="AQ130" s="35" cm="1">
        <f t="array" ref="AQ130">$G$10+VLOOKUP($Q130,武学奇术!$A:$ZZ,7,FALSE)+SUM(_xlfn.XLOOKUP(R130:AF130,增益!$A:$A,增益!$G:$G,0))</f>
        <v>0.028</v>
      </c>
      <c r="AR130" s="30" cm="1">
        <f t="array" ref="AR130">VLOOKUP($Q130,武学奇术!$A:$ZZ,8,FALSE)+SUM(_xlfn.XLOOKUP(R130:AF130,增益!$A:$A,增益!$H:$H,0))</f>
        <v>0</v>
      </c>
      <c r="AS130">
        <f t="shared" si="72"/>
        <v>0</v>
      </c>
      <c r="AT130">
        <f t="shared" si="73"/>
        <v>0</v>
      </c>
      <c r="AU130" s="35" cm="1">
        <f t="array" ref="AU130">IF($F$11-$I$4+VLOOKUP($Q130,武学奇术!$A:$ZZ,9,FALSE)+SUM(_xlfn.XLOOKUP(R130:AF130,增益!$A:$A,增益!$I:$I,0))&gt;0,($F$11-$I$4+VLOOKUP($Q130,武学奇术!$A:$ZZ,9,FALSE)+SUM(_xlfn.XLOOKUP(R130:AF130,增益!$A:$A,增益!$I:$I,0)))/200,($F$11-$I$4+VLOOKUP($Q130,武学奇术!$A:$ZZ,9,FALSE)+SUM(_xlfn.XLOOKUP(R130:AF130,增益!$A:$A,增益!$I:$I,0)))/100)</f>
        <v>-0.14</v>
      </c>
      <c r="AV130" s="35" cm="1">
        <f t="array" ref="AV130">$G$11+VLOOKUP($Q130,武学奇术!$A:$ZZ,10,FALSE)+SUM(_xlfn.XLOOKUP(R130:AF130,增益!$A:$A,增益!$J:$J,0))</f>
        <v>0</v>
      </c>
      <c r="AW130">
        <f t="shared" si="74"/>
        <v>0</v>
      </c>
      <c r="AX130">
        <f t="shared" si="75"/>
        <v>0</v>
      </c>
      <c r="AY130" s="35" cm="1">
        <f t="array" ref="AY130">IF($F$12-$I$4+VLOOKUP($Q130,武学奇术!$A:$ZZ,11,FALSE)+SUM(_xlfn.XLOOKUP(R130:AF130,增益!$A:$A,增益!$K:$K,0))&gt;0,($F$12-$I$4+VLOOKUP($Q130,武学奇术!$A:$ZZ,11,FALSE)+SUM(_xlfn.XLOOKUP(R130:AF130,增益!$A:$A,增益!$K:$K,0)))/200,($F$12-$I$4+VLOOKUP($Q130,武学奇术!$A:$ZZ,11,FALSE)+SUM(_xlfn.XLOOKUP(R130:AF130,增益!$A:$A,增益!$K:$K,0)))/100)</f>
        <v>-0.14</v>
      </c>
      <c r="AZ130" s="35" cm="1">
        <f t="array" ref="AZ130">$G$12+VLOOKUP($Q130,武学奇术!$A:$ZZ,12,FALSE)+SUM(_xlfn.XLOOKUP(R130:AF130,增益!$A:$A,增益!$L:$L,0))</f>
        <v>0</v>
      </c>
      <c r="BA130">
        <f t="shared" si="76"/>
        <v>0</v>
      </c>
      <c r="BB130">
        <f t="shared" si="77"/>
        <v>0</v>
      </c>
      <c r="BC130" s="35" cm="1">
        <f t="array" ref="BC130">IF($F$13-$I$4+VLOOKUP($Q130,武学奇术!$A:$ZZ,13,FALSE)+SUM(_xlfn.XLOOKUP(R130:AF130,增益!$A:$A,增益!$M:$M,0))&gt;0,($F$13-$I$4+VLOOKUP($Q130,武学奇术!$A:$ZZ,13,FALSE)+SUM(_xlfn.XLOOKUP(R130:AF130,增益!$A:$A,增益!$K:$K,0)))/200,($F$13-$I$4+VLOOKUP($Q130,武学奇术!$A:$ZZ,13,FALSE)+SUM(_xlfn.XLOOKUP(R130:AF130,增益!$A:$A,增益!$M:$M,0)))/100)</f>
        <v>-0.14</v>
      </c>
      <c r="BD130" s="35" cm="1">
        <f t="array" ref="BD130">$G$13+VLOOKUP($Q130,武学奇术!$A:$ZZ,14,FALSE)+SUM(_xlfn.XLOOKUP(R130:AF130,增益!$A:$A,增益!$N:$N,0))</f>
        <v>0</v>
      </c>
      <c r="BE130">
        <f t="shared" si="78"/>
        <v>538</v>
      </c>
      <c r="BF130">
        <f t="shared" si="79"/>
        <v>1561.4</v>
      </c>
      <c r="BG130" s="35" cm="1">
        <f t="array" ref="BG130">IF($F$14-$I$4+VLOOKUP($Q130,武学奇术!$A:$ZZ,15,FALSE)+SUM(_xlfn.XLOOKUP(R130:AF130,增益!$A:$A,增益!$O:$O,0))&gt;0,($F$14-$I$4+VLOOKUP($Q130,武学奇术!$A:$ZZ,15,FALSE)+SUM(_xlfn.XLOOKUP(R130:AF130,增益!$A:$A,增益!$O:$O,0)))/200,($F$14-$I$4+VLOOKUP($Q130,武学奇术!$A:$ZZ,15,FALSE)+SUM(_xlfn.XLOOKUP(R130:AF130,增益!$A:$A,增益!$O:$O,0)))/100)</f>
        <v>0.08</v>
      </c>
      <c r="BH130" s="35" cm="1">
        <f t="array" ref="BH130">$G$14+VLOOKUP($Q130,武学奇术!$A:$ZZ,16,FALSE)+SUM(_xlfn.XLOOKUP(R130:AF130,增益!$A:$A,增益!$P:$P,0))</f>
        <v>0.15</v>
      </c>
      <c r="BI130" s="30">
        <f>MIN(IF(VLOOKUP($Q130,武学奇术!$A:$ZZ,23,FALSE)=1,100%,$B$8),100%)</f>
        <v>0.9712</v>
      </c>
      <c r="BJ130" s="30" cm="1">
        <f t="array" ref="BJ130">IF(VLOOKUP($Q130,武学奇术!$A:$ZZ,23,FALSE)=1,100%,MIN(80%,$B$9+VLOOKUP($Q130,武学奇术!$A:$ZZ,17,FALSE)+SUM(_xlfn.XLOOKUP(R130:AF130,增益!$A:$A,增益!$Q:$Q,0)))+$B$11+SUM(_xlfn.XLOOKUP(R130:AF130,增益!$A:$A,增益!$U:$U,0)))*IF(VLOOKUP($Q130,武学奇术!$A:$ZZ,24,FALSE)=1,0,1)</f>
        <v>0.8773</v>
      </c>
      <c r="BK130" s="30" cm="1">
        <f t="array" ref="BK130">1+$B$13+VLOOKUP($Q130,武学奇术!$A:$ZZ,18,FALSE)+SUM(_xlfn.XLOOKUP(R130:AF130,增益!$A:$A,增益!$R:$R,0))</f>
        <v>2.12</v>
      </c>
      <c r="BL130" s="30" cm="1">
        <f t="array" ref="BL130">IF(VLOOKUP($Q130,武学奇术!$A:$ZZ,24,FALSE)=1,100%,MIN(40%,$B$10+VLOOKUP($Q130,武学奇术!$A:$ZZ,19,FALSE)+SUM(_xlfn.XLOOKUP(R130:AF130,增益!$A:$A,增益!$S:$S,0)))+$B$12+SUM(_xlfn.XLOOKUP(R130:AF130,增益!$A:$A,增益!$V:$V,0)))*IF(VLOOKUP($Q130,武学奇术!$A:$ZZ,23,FALSE)=1,0,1)</f>
        <v>0.0895</v>
      </c>
      <c r="BM130" s="30" cm="1">
        <f t="array" ref="BM130">1+$B$14+VLOOKUP($Q130,武学奇术!$A:$ZZ,20,FALSE)+SUM(_xlfn.XLOOKUP(R130:AF130,增益!$A:$A,增益!$T:$T,0))</f>
        <v>1.35</v>
      </c>
      <c r="BN130" s="30">
        <f t="shared" si="80"/>
        <v>0.85203376</v>
      </c>
      <c r="BO130" s="30">
        <f t="shared" si="81"/>
        <v>0.03224384</v>
      </c>
      <c r="BP130" s="30">
        <f>IF(VLOOKUP($Q130,武学奇术!$A:$ZZ,22,FALSE)=1,0,(1-$BI130))*(1-$BL130)</f>
        <v>0.0262224</v>
      </c>
      <c r="BQ130" s="30" cm="1">
        <f t="array" ref="BQ130">SUM(_xlfn.XLOOKUP(R130:AF130,增益!$A:$A,增益!$W:$W,0))+$I$5</f>
        <v>0.11</v>
      </c>
    </row>
    <row r="131" spans="1:69">
      <c r="K131" s="41">
        <f>($L131*$BN131+$M131*$BL131+$N131*$BO131+$O131*$BP131)</f>
        <v>0</v>
      </c>
      <c r="L131" s="41">
        <f>((($AN131+$AO131)/2*$AH131+$AI131)*(1+$AP131)*(1+$AQ131)+(($AS131+$AT131)/2*IF($G$1="鸣金",$AJ131,$AH131)+IF($G$1="鸣金",$AK131*1.5,0))*(1+$AU131)*(1+$AV131)+(($AW131+$AX131)/2*IF($G$1="裂石",$AJ131,$AH131)+IF($G$1="裂石",$AK131*1.5,0))*(1+$AY131)*(1+$AZ131)+(($BA131+$BB131)/2*IF($G$1="牵丝",$AJ131,$AH131)+IF($G$1="牵丝",$AK131*1.5,0))*(1+$BC131)*(1+$BD131)+(($BE131+$BF131)/2*IF($G$1="破竹",$AJ131,$AH131)+IF($G$1="破竹",$AK131*1.5,0))*(1+$BG131)*(1+$BH131))*(1+$AL131)*$BK131*$P131*(1+IF(VLOOKUP($Q131,武学奇术!$A:$ZZ,30,FALSE)="回旋伞",$B$21,0))*(1+$BQ131)</f>
        <v>0</v>
      </c>
      <c r="M131" s="41">
        <f>(($AO131*$AH131+$AI131)*(1+$AP131)*(1+$AQ131)+($AT131*IF($G$1="鸣金",$AJ131,$AH131)+IF($G$1="鸣金",$AK131*1.5,0))*(1+$AU131)*(1+$AV131)+($AX131*IF($G$1="裂石",$AJ131,$AH131)+IF($G$1="裂石",$AK131*1.5,0))*(1+$AY131)*(1+$AZ131)+($BB131*IF($G$1="牵丝",$AJ131,$AH131)+IF($G$1="牵丝",$AK131*1.5,0))*(1+$BC131)*(1+$BD131)+($BF131*IF($G$1="破竹",$AJ131,$AH131)+IF($G$1="破竹",$AK131*1.5,0))*(1+$BG131)*(1+$BH131))*(1+$AL131)*$BM131*$P131*(1+IF(VLOOKUP($Q131,武学奇术!$A:$ZZ,30,FALSE)="回旋伞",$B$21,0))*(1+$BQ131)</f>
        <v>0</v>
      </c>
      <c r="N131" s="41">
        <f>((($AN131+$AO131)/2*$AH131+$AI131)*(1+$AP131)*(1+$AQ131)+(($AS131+$AT131)/2*IF($G$1="鸣金",$AJ131,$AH131)+IF($G$1="鸣金",$AK131*1.5,0))*(1+$AU131)*(1+$AV131)+(($AW131+$AX131)/2*IF($G$1="裂石",$AJ131,$AH131)+IF($G$1="裂石",$AK131*1.5,0))*(1+$AY131)*(1+$AZ131)+(($BA131+$BB131)/2*IF($G$1="牵丝",$AJ131,$AH131)+IF($G$1="牵丝",$AK131*1.5,0))*(1+$BC131)*(1+$BD131)+(($BE131+$BF131)/2*IF($G$1="破竹",$AJ131,$AH131)+IF($G$1="破竹",$AK131*1.5,0))*(1+$BG131)*(1+$BH131))*(1+$AL131)*$P131*(1+IF(VLOOKUP($Q131,武学奇术!$A:$ZZ,30,FALSE)="回旋伞",$B$21,0))*(1+$BQ131)</f>
        <v>0</v>
      </c>
      <c r="O131" s="41">
        <f>((($AN131*$AH131+$AI131)*(1+$AP131)*(1+$AQ131)+($AS131*IF($G$1="鸣金",$AJ131,$AH131)+IF($G$1="鸣金",$AK131*1.5,0))*(1+$AU131)*(1+$AV131)+($AW131*IF($G$1="裂石",$AJ131,$AH131)+IF($G$1="裂石",$AK131*1.5,0))*(1+$AY131)*(1+$AZ131)+($BA131*IF($G$1="牵丝",$AJ131,$AH131)+IF($G$1="牵丝",$AK131*1.5,0))*(1+$BC131)*(1+$BD131)+($BE131*IF($G$1="破竹",$AJ131,$AH131)+IF($G$1="破竹",$AK131*1.5,0))*(1+$BG131)*(1+$BH131))*(1+$AL131))*$P131*(1+IF(VLOOKUP($Q131,武学奇术!$A:$ZZ,30,FALSE)="回旋伞",$B$21,0))*(1+$BQ131)</f>
        <v>0</v>
      </c>
      <c r="P131" s="42">
        <v>0</v>
      </c>
      <c r="Q131" s="43" t="s">
        <v>71</v>
      </c>
      <c r="R131" s="43" t="s">
        <v>71</v>
      </c>
      <c r="S131" s="43" t="s">
        <v>71</v>
      </c>
      <c r="T131" s="43" t="s">
        <v>71</v>
      </c>
      <c r="U131" s="43" t="s">
        <v>71</v>
      </c>
      <c r="V131" s="43" t="s">
        <v>71</v>
      </c>
      <c r="W131" s="43" t="s">
        <v>71</v>
      </c>
      <c r="X131" s="43" t="s">
        <v>71</v>
      </c>
      <c r="Y131" s="43" t="s">
        <v>71</v>
      </c>
      <c r="Z131" s="43" t="s">
        <v>71</v>
      </c>
      <c r="AA131" s="43" t="s">
        <v>71</v>
      </c>
      <c r="AB131" s="43" t="s">
        <v>71</v>
      </c>
      <c r="AC131" s="43" t="s">
        <v>71</v>
      </c>
      <c r="AD131" s="43" t="s">
        <v>71</v>
      </c>
      <c r="AE131" s="43" t="s">
        <v>71</v>
      </c>
      <c r="AF131" s="43" t="s">
        <v>76</v>
      </c>
      <c r="AG131" t="str">
        <f>VLOOKUP($Q131,武学奇术!$A:$ZZ,25,FALSE)</f>
        <v>心法</v>
      </c>
      <c r="AH131" s="30">
        <f>VLOOKUP($Q131,武学奇术!$A:$ZZ,26,FALSE)</f>
        <v>0</v>
      </c>
      <c r="AI131" s="31">
        <f>VLOOKUP($Q131,武学奇术!$A:$ZZ,27,FALSE)*(1+IF(OR($AG131=$F$4,$AG131=$F$5),$B$22,0))</f>
        <v>0</v>
      </c>
      <c r="AJ131" s="30">
        <f>VLOOKUP($Q131,武学奇术!$A:$ZZ,28,FALSE)</f>
        <v>0</v>
      </c>
      <c r="AK131" s="31">
        <f>VLOOKUP($Q131,武学奇术!$A:$ZZ,29,FALSE)*(1+IF(OR($AG131=$F$4,$AG131=$F$5),$B$22,0))</f>
        <v>0</v>
      </c>
      <c r="AL131" s="30" cm="1">
        <f t="array" ref="AL131">$G$3+IFERROR(VLOOKUP($AG131,$F$4:$G$7,2,FALSE),0)+VLOOKUP($Q131,武学奇术!$A:$ZZ,2,FALSE)+SUM(_xlfn.XLOOKUP($R131:$AF131,增益!$A:$A,增益!$B:$B,0))</f>
        <v>0.1837</v>
      </c>
      <c r="AM131" s="30" cm="1">
        <f t="array" ref="AM131">VLOOKUP($Q131,武学奇术!$A:$ZZ,5,FALSE)+SUM(_xlfn.XLOOKUP($R131:$AF131,增益!$A:$A,增益!$E:$E,0))</f>
        <v>0</v>
      </c>
      <c r="AN131" cm="1">
        <f t="array" ref="AN131">$D$10*(1+$AM131)+VLOOKUP($Q131,武学奇术!$A:$ZZ,3,FALSE)+SUM(_xlfn.XLOOKUP($R131:$AF131,增益!$A:$A,增益!$C:$C,0))-$I$2</f>
        <v>3545.8</v>
      </c>
      <c r="AO131" cm="1">
        <f t="array" ref="AO131">$E$10*(1+$AM131)+VLOOKUP($Q131,武学奇术!$A:$ZZ,4,FALSE)+SUM(_xlfn.XLOOKUP($R131:$AF131,增益!$A:$A,增益!$D:$D,0))-$I$2</f>
        <v>3545.8</v>
      </c>
      <c r="AP131" s="35" cm="1">
        <f t="array" ref="AP131">IF($F$10-$I$3+VLOOKUP($Q131,武学奇术!$A:$ZZ,6,FALSE)+SUM(_xlfn.XLOOKUP(R131:AF131,增益!$A:$A,增益!$F:$F,0))&gt;0,($F$10-$I$3+VLOOKUP($Q131,武学奇术!$A:$ZZ,6,FALSE)+SUM(_xlfn.XLOOKUP(R131:AF131,增益!$A:$A,增益!$F:$F,0)))/200,($F$10-$I$3+VLOOKUP($Q131,武学奇术!$A:$ZZ,6,FALSE)+SUM(_xlfn.XLOOKUP(R131:AF131,增益!$A:$A,增益!$F:$F,0)))/100)</f>
        <v>0.2425</v>
      </c>
      <c r="AQ131" s="35" cm="1">
        <f t="array" ref="AQ131">$G$10+VLOOKUP($Q131,武学奇术!$A:$ZZ,7,FALSE)+SUM(_xlfn.XLOOKUP(R131:AF131,增益!$A:$A,增益!$G:$G,0))</f>
        <v>0.028</v>
      </c>
      <c r="AR131" s="30" cm="1">
        <f t="array" ref="AR131">VLOOKUP($Q131,武学奇术!$A:$ZZ,8,FALSE)+SUM(_xlfn.XLOOKUP(R131:AF131,增益!$A:$A,增益!$H:$H,0))</f>
        <v>0</v>
      </c>
      <c r="AS131">
        <f t="shared" si="72"/>
        <v>0</v>
      </c>
      <c r="AT131">
        <f t="shared" si="73"/>
        <v>0</v>
      </c>
      <c r="AU131" s="35" cm="1">
        <f t="array" ref="AU131">IF($F$11-$I$4+VLOOKUP($Q131,武学奇术!$A:$ZZ,9,FALSE)+SUM(_xlfn.XLOOKUP(R131:AF131,增益!$A:$A,增益!$I:$I,0))&gt;0,($F$11-$I$4+VLOOKUP($Q131,武学奇术!$A:$ZZ,9,FALSE)+SUM(_xlfn.XLOOKUP(R131:AF131,增益!$A:$A,增益!$I:$I,0)))/200,($F$11-$I$4+VLOOKUP($Q131,武学奇术!$A:$ZZ,9,FALSE)+SUM(_xlfn.XLOOKUP(R131:AF131,增益!$A:$A,增益!$I:$I,0)))/100)</f>
        <v>-0.3</v>
      </c>
      <c r="AV131" s="35" cm="1">
        <f t="array" ref="AV131">$G$11+VLOOKUP($Q131,武学奇术!$A:$ZZ,10,FALSE)+SUM(_xlfn.XLOOKUP(R131:AF131,增益!$A:$A,增益!$J:$J,0))</f>
        <v>0</v>
      </c>
      <c r="AW131">
        <f t="shared" si="74"/>
        <v>0</v>
      </c>
      <c r="AX131">
        <f t="shared" si="75"/>
        <v>0</v>
      </c>
      <c r="AY131" s="35" cm="1">
        <f t="array" ref="AY131">IF($F$12-$I$4+VLOOKUP($Q131,武学奇术!$A:$ZZ,11,FALSE)+SUM(_xlfn.XLOOKUP(R131:AF131,增益!$A:$A,增益!$K:$K,0))&gt;0,($F$12-$I$4+VLOOKUP($Q131,武学奇术!$A:$ZZ,11,FALSE)+SUM(_xlfn.XLOOKUP(R131:AF131,增益!$A:$A,增益!$K:$K,0)))/200,($F$12-$I$4+VLOOKUP($Q131,武学奇术!$A:$ZZ,11,FALSE)+SUM(_xlfn.XLOOKUP(R131:AF131,增益!$A:$A,增益!$K:$K,0)))/100)</f>
        <v>-0.3</v>
      </c>
      <c r="AZ131" s="35" cm="1">
        <f t="array" ref="AZ131">$G$12+VLOOKUP($Q131,武学奇术!$A:$ZZ,12,FALSE)+SUM(_xlfn.XLOOKUP(R131:AF131,增益!$A:$A,增益!$L:$L,0))</f>
        <v>0</v>
      </c>
      <c r="BA131">
        <f t="shared" si="76"/>
        <v>0</v>
      </c>
      <c r="BB131">
        <f t="shared" si="77"/>
        <v>0</v>
      </c>
      <c r="BC131" s="35" cm="1">
        <f t="array" ref="BC131">IF($F$13-$I$4+VLOOKUP($Q131,武学奇术!$A:$ZZ,13,FALSE)+SUM(_xlfn.XLOOKUP(R131:AF131,增益!$A:$A,增益!$M:$M,0))&gt;0,($F$13-$I$4+VLOOKUP($Q131,武学奇术!$A:$ZZ,13,FALSE)+SUM(_xlfn.XLOOKUP(R131:AF131,增益!$A:$A,增益!$K:$K,0)))/200,($F$13-$I$4+VLOOKUP($Q131,武学奇术!$A:$ZZ,13,FALSE)+SUM(_xlfn.XLOOKUP(R131:AF131,增益!$A:$A,增益!$M:$M,0)))/100)</f>
        <v>-0.3</v>
      </c>
      <c r="BD131" s="35" cm="1">
        <f t="array" ref="BD131">$G$13+VLOOKUP($Q131,武学奇术!$A:$ZZ,14,FALSE)+SUM(_xlfn.XLOOKUP(R131:AF131,增益!$A:$A,增益!$N:$N,0))</f>
        <v>0</v>
      </c>
      <c r="BE131">
        <f t="shared" si="78"/>
        <v>538</v>
      </c>
      <c r="BF131">
        <f t="shared" si="79"/>
        <v>1561.4</v>
      </c>
      <c r="BG131" s="35" cm="1">
        <f t="array" ref="BG131">IF($F$14-$I$4+VLOOKUP($Q131,武学奇术!$A:$ZZ,15,FALSE)+SUM(_xlfn.XLOOKUP(R131:AF131,增益!$A:$A,增益!$O:$O,0))&gt;0,($F$14-$I$4+VLOOKUP($Q131,武学奇术!$A:$ZZ,15,FALSE)+SUM(_xlfn.XLOOKUP(R131:AF131,增益!$A:$A,增益!$O:$O,0)))/200,($F$14-$I$4+VLOOKUP($Q131,武学奇术!$A:$ZZ,15,FALSE)+SUM(_xlfn.XLOOKUP(R131:AF131,增益!$A:$A,增益!$O:$O,0)))/100)</f>
        <v>0</v>
      </c>
      <c r="BH131" s="35" cm="1">
        <f t="array" ref="BH131">$G$14+VLOOKUP($Q131,武学奇术!$A:$ZZ,16,FALSE)+SUM(_xlfn.XLOOKUP(R131:AF131,增益!$A:$A,增益!$P:$P,0))</f>
        <v>0.15</v>
      </c>
      <c r="BI131" s="30">
        <f>MIN(IF(VLOOKUP($Q131,武学奇术!$A:$ZZ,23,FALSE)=1,100%,$B$8),100%)</f>
        <v>0.9712</v>
      </c>
      <c r="BJ131" s="30" cm="1">
        <f t="array" ref="BJ131">IF(VLOOKUP($Q131,武学奇术!$A:$ZZ,23,FALSE)=1,100%,MIN(80%,$B$9+VLOOKUP($Q131,武学奇术!$A:$ZZ,17,FALSE)+SUM(_xlfn.XLOOKUP(R131:AF131,增益!$A:$A,增益!$Q:$Q,0)))+$B$11+SUM(_xlfn.XLOOKUP(R131:AF131,增益!$A:$A,增益!$U:$U,0)))*IF(VLOOKUP($Q131,武学奇术!$A:$ZZ,24,FALSE)=1,0,1)</f>
        <v>0.8773</v>
      </c>
      <c r="BK131" s="30" cm="1">
        <f t="array" ref="BK131">1+$B$13+VLOOKUP($Q131,武学奇术!$A:$ZZ,18,FALSE)+SUM(_xlfn.XLOOKUP(R131:AF131,增益!$A:$A,增益!$R:$R,0))</f>
        <v>1.5</v>
      </c>
      <c r="BL131" s="30" cm="1">
        <f t="array" ref="BL131">IF(VLOOKUP($Q131,武学奇术!$A:$ZZ,24,FALSE)=1,100%,MIN(40%,$B$10+VLOOKUP($Q131,武学奇术!$A:$ZZ,19,FALSE)+SUM(_xlfn.XLOOKUP(R131:AF131,增益!$A:$A,增益!$S:$S,0)))+$B$12+SUM(_xlfn.XLOOKUP(R131:AF131,增益!$A:$A,增益!$V:$V,0)))*IF(VLOOKUP($Q131,武学奇术!$A:$ZZ,23,FALSE)=1,0,1)</f>
        <v>0.0895</v>
      </c>
      <c r="BM131" s="30" cm="1">
        <f t="array" ref="BM131">1+$B$14+VLOOKUP($Q131,武学奇术!$A:$ZZ,20,FALSE)+SUM(_xlfn.XLOOKUP(R131:AF131,增益!$A:$A,增益!$T:$T,0))</f>
        <v>1.35</v>
      </c>
      <c r="BN131" s="30">
        <f t="shared" si="80"/>
        <v>0.85203376</v>
      </c>
      <c r="BO131" s="30">
        <f t="shared" si="81"/>
        <v>0.03224384</v>
      </c>
      <c r="BP131" s="30">
        <f>IF(VLOOKUP($Q131,武学奇术!$A:$ZZ,22,FALSE)=1,0,(1-$BI131))*(1-$BL131)</f>
        <v>0.0262224</v>
      </c>
      <c r="BQ131" s="30" cm="1">
        <f t="array" ref="BQ131">SUM(_xlfn.XLOOKUP(R131:AF131,增益!$A:$A,增益!$W:$W,0))+$I$5</f>
        <v>0.11</v>
      </c>
    </row>
    <row r="132" spans="1:69">
      <c r="K132" s="41">
        <f t="shared" ref="K127:K138" si="82">($L132*$BN132+$M132*$BL132+$N132*$BO132+$O132*$BP132)</f>
        <v>0</v>
      </c>
      <c r="L132" s="41">
        <f>((($AN132+$AO132)/2*$AH132+$AI132)*(1+$AP132)*(1+$AQ132)+(($AS132+$AT132)/2*IF($G$1="鸣金",$AJ132,$AH132)+IF($G$1="鸣金",$AK132*1.5,0))*(1+$AU132)*(1+$AV132)+(($AW132+$AX132)/2*IF($G$1="裂石",$AJ132,$AH132)+IF($G$1="裂石",$AK132*1.5,0))*(1+$AY132)*(1+$AZ132)+(($BA132+$BB132)/2*IF($G$1="牵丝",$AJ132,$AH132)+IF($G$1="牵丝",$AK132*1.5,0))*(1+$BC132)*(1+$BD132)+(($BE132+$BF132)/2*IF($G$1="破竹",$AJ132,$AH132)+IF($G$1="破竹",$AK132*1.5,0))*(1+$BG132)*(1+$BH132))*(1+$AL132)*$BK132*$P132*(1+IF(VLOOKUP($Q132,武学奇术!$A:$ZZ,30,FALSE)="回旋伞",$B$21,0))*(1+$BQ132)</f>
        <v>0</v>
      </c>
      <c r="M132" s="41">
        <f>(($AO132*$AH132+$AI132)*(1+$AP132)*(1+$AQ132)+($AT132*IF($G$1="鸣金",$AJ132,$AH132)+IF($G$1="鸣金",$AK132*1.5,0))*(1+$AU132)*(1+$AV132)+($AX132*IF($G$1="裂石",$AJ132,$AH132)+IF($G$1="裂石",$AK132*1.5,0))*(1+$AY132)*(1+$AZ132)+($BB132*IF($G$1="牵丝",$AJ132,$AH132)+IF($G$1="牵丝",$AK132*1.5,0))*(1+$BC132)*(1+$BD132)+($BF132*IF($G$1="破竹",$AJ132,$AH132)+IF($G$1="破竹",$AK132*1.5,0))*(1+$BG132)*(1+$BH132))*(1+$AL132)*$BM132*$P132*(1+IF(VLOOKUP($Q132,武学奇术!$A:$ZZ,30,FALSE)="回旋伞",$B$21,0))*(1+$BQ132)</f>
        <v>0</v>
      </c>
      <c r="N132" s="41">
        <f>((($AN132+$AO132)/2*$AH132+$AI132)*(1+$AP132)*(1+$AQ132)+(($AS132+$AT132)/2*IF($G$1="鸣金",$AJ132,$AH132)+IF($G$1="鸣金",$AK132*1.5,0))*(1+$AU132)*(1+$AV132)+(($AW132+$AX132)/2*IF($G$1="裂石",$AJ132,$AH132)+IF($G$1="裂石",$AK132*1.5,0))*(1+$AY132)*(1+$AZ132)+(($BA132+$BB132)/2*IF($G$1="牵丝",$AJ132,$AH132)+IF($G$1="牵丝",$AK132*1.5,0))*(1+$BC132)*(1+$BD132)+(($BE132+$BF132)/2*IF($G$1="破竹",$AJ132,$AH132)+IF($G$1="破竹",$AK132*1.5,0))*(1+$BG132)*(1+$BH132))*(1+$AL132)*$P132*(1+IF(VLOOKUP($Q132,武学奇术!$A:$ZZ,30,FALSE)="回旋伞",$B$21,0))*(1+$BQ132)</f>
        <v>0</v>
      </c>
      <c r="O132" s="41">
        <f>((($AN132*$AH132+$AI132)*(1+$AP132)*(1+$AQ132)+($AS132*IF($G$1="鸣金",$AJ132,$AH132)+IF($G$1="鸣金",$AK132*1.5,0))*(1+$AU132)*(1+$AV132)+($AW132*IF($G$1="裂石",$AJ132,$AH132)+IF($G$1="裂石",$AK132*1.5,0))*(1+$AY132)*(1+$AZ132)+($BA132*IF($G$1="牵丝",$AJ132,$AH132)+IF($G$1="牵丝",$AK132*1.5,0))*(1+$BC132)*(1+$BD132)+($BE132*IF($G$1="破竹",$AJ132,$AH132)+IF($G$1="破竹",$AK132*1.5,0))*(1+$BG132)*(1+$BH132))*(1+$AL132))*$P132*(1+IF(VLOOKUP($Q132,武学奇术!$A:$ZZ,30,FALSE)="回旋伞",$B$21,0))*(1+$BQ132)</f>
        <v>0</v>
      </c>
      <c r="P132" s="42">
        <v>1</v>
      </c>
      <c r="Q132" s="43" t="s">
        <v>71</v>
      </c>
      <c r="R132" s="43" t="s">
        <v>71</v>
      </c>
      <c r="S132" s="43" t="s">
        <v>71</v>
      </c>
      <c r="T132" s="43" t="s">
        <v>71</v>
      </c>
      <c r="U132" s="43" t="s">
        <v>71</v>
      </c>
      <c r="V132" s="43" t="s">
        <v>71</v>
      </c>
      <c r="W132" s="43" t="s">
        <v>71</v>
      </c>
      <c r="X132" s="43" t="s">
        <v>71</v>
      </c>
      <c r="Y132" s="43" t="s">
        <v>71</v>
      </c>
      <c r="Z132" s="43" t="s">
        <v>71</v>
      </c>
      <c r="AA132" s="43" t="s">
        <v>71</v>
      </c>
      <c r="AB132" s="43" t="s">
        <v>71</v>
      </c>
      <c r="AC132" s="43" t="s">
        <v>71</v>
      </c>
      <c r="AD132" s="43" t="s">
        <v>71</v>
      </c>
      <c r="AE132" s="43" t="s">
        <v>71</v>
      </c>
      <c r="AF132" s="43" t="s">
        <v>76</v>
      </c>
      <c r="AG132" t="str">
        <f>VLOOKUP($Q132,武学奇术!$A:$ZZ,25,FALSE)</f>
        <v>心法</v>
      </c>
      <c r="AH132" s="30">
        <f>VLOOKUP($Q132,武学奇术!$A:$ZZ,26,FALSE)</f>
        <v>0</v>
      </c>
      <c r="AI132" s="31">
        <f>VLOOKUP($Q132,武学奇术!$A:$ZZ,27,FALSE)*(1+IF(OR($AG132=$F$4,$AG132=$F$5),$B$22,0))</f>
        <v>0</v>
      </c>
      <c r="AJ132" s="30">
        <f>VLOOKUP($Q132,武学奇术!$A:$ZZ,28,FALSE)</f>
        <v>0</v>
      </c>
      <c r="AK132" s="31">
        <f>VLOOKUP($Q132,武学奇术!$A:$ZZ,29,FALSE)*(1+IF(OR($AG132=$F$4,$AG132=$F$5),$B$22,0))</f>
        <v>0</v>
      </c>
      <c r="AL132" s="30" cm="1">
        <f t="array" ref="AL132">$G$3+IFERROR(VLOOKUP($AG132,$F$4:$G$7,2,FALSE),0)+VLOOKUP($Q132,武学奇术!$A:$ZZ,2,FALSE)+SUM(_xlfn.XLOOKUP($R132:$AF132,增益!$A:$A,增益!$B:$B,0))</f>
        <v>0.1837</v>
      </c>
      <c r="AM132" s="30" cm="1">
        <f t="array" ref="AM132">VLOOKUP($Q132,武学奇术!$A:$ZZ,5,FALSE)+SUM(_xlfn.XLOOKUP($R132:$AF132,增益!$A:$A,增益!$E:$E,0))</f>
        <v>0</v>
      </c>
      <c r="AN132" cm="1">
        <f t="array" ref="AN132">$D$10*(1+$AM132)+VLOOKUP($Q132,武学奇术!$A:$ZZ,3,FALSE)+SUM(_xlfn.XLOOKUP($R132:$AF132,增益!$A:$A,增益!$C:$C,0))-$I$2</f>
        <v>3545.8</v>
      </c>
      <c r="AO132" cm="1">
        <f t="array" ref="AO132">$E$10*(1+$AM132)+VLOOKUP($Q132,武学奇术!$A:$ZZ,4,FALSE)+SUM(_xlfn.XLOOKUP($R132:$AF132,增益!$A:$A,增益!$D:$D,0))-$I$2</f>
        <v>3545.8</v>
      </c>
      <c r="AP132" s="35" cm="1">
        <f t="array" ref="AP132">IF($F$10-$I$3+VLOOKUP($Q132,武学奇术!$A:$ZZ,6,FALSE)+SUM(_xlfn.XLOOKUP(R132:AF132,增益!$A:$A,增益!$F:$F,0))&gt;0,($F$10-$I$3+VLOOKUP($Q132,武学奇术!$A:$ZZ,6,FALSE)+SUM(_xlfn.XLOOKUP(R132:AF132,增益!$A:$A,增益!$F:$F,0)))/200,($F$10-$I$3+VLOOKUP($Q132,武学奇术!$A:$ZZ,6,FALSE)+SUM(_xlfn.XLOOKUP(R132:AF132,增益!$A:$A,增益!$F:$F,0)))/100)</f>
        <v>0.2425</v>
      </c>
      <c r="AQ132" s="35" cm="1">
        <f t="array" ref="AQ132">$G$10+VLOOKUP($Q132,武学奇术!$A:$ZZ,7,FALSE)+SUM(_xlfn.XLOOKUP(R132:AF132,增益!$A:$A,增益!$G:$G,0))</f>
        <v>0.028</v>
      </c>
      <c r="AR132" s="30" cm="1">
        <f t="array" ref="AR132">VLOOKUP($Q132,武学奇术!$A:$ZZ,8,FALSE)+SUM(_xlfn.XLOOKUP(R132:AF132,增益!$A:$A,增益!$H:$H,0))</f>
        <v>0</v>
      </c>
      <c r="AS132">
        <f t="shared" si="72"/>
        <v>0</v>
      </c>
      <c r="AT132">
        <f t="shared" si="73"/>
        <v>0</v>
      </c>
      <c r="AU132" s="35" cm="1">
        <f t="array" ref="AU132">IF($F$11-$I$4+VLOOKUP($Q132,武学奇术!$A:$ZZ,9,FALSE)+SUM(_xlfn.XLOOKUP(R132:AF132,增益!$A:$A,增益!$I:$I,0))&gt;0,($F$11-$I$4+VLOOKUP($Q132,武学奇术!$A:$ZZ,9,FALSE)+SUM(_xlfn.XLOOKUP(R132:AF132,增益!$A:$A,增益!$I:$I,0)))/200,($F$11-$I$4+VLOOKUP($Q132,武学奇术!$A:$ZZ,9,FALSE)+SUM(_xlfn.XLOOKUP(R132:AF132,增益!$A:$A,增益!$I:$I,0)))/100)</f>
        <v>-0.3</v>
      </c>
      <c r="AV132" s="35" cm="1">
        <f t="array" ref="AV132">$G$11+VLOOKUP($Q132,武学奇术!$A:$ZZ,10,FALSE)+SUM(_xlfn.XLOOKUP(R132:AF132,增益!$A:$A,增益!$J:$J,0))</f>
        <v>0</v>
      </c>
      <c r="AW132">
        <f t="shared" si="74"/>
        <v>0</v>
      </c>
      <c r="AX132">
        <f t="shared" si="75"/>
        <v>0</v>
      </c>
      <c r="AY132" s="35" cm="1">
        <f t="array" ref="AY132">IF($F$12-$I$4+VLOOKUP($Q132,武学奇术!$A:$ZZ,11,FALSE)+SUM(_xlfn.XLOOKUP(R132:AF132,增益!$A:$A,增益!$K:$K,0))&gt;0,($F$12-$I$4+VLOOKUP($Q132,武学奇术!$A:$ZZ,11,FALSE)+SUM(_xlfn.XLOOKUP(R132:AF132,增益!$A:$A,增益!$K:$K,0)))/200,($F$12-$I$4+VLOOKUP($Q132,武学奇术!$A:$ZZ,11,FALSE)+SUM(_xlfn.XLOOKUP(R132:AF132,增益!$A:$A,增益!$K:$K,0)))/100)</f>
        <v>-0.3</v>
      </c>
      <c r="AZ132" s="35" cm="1">
        <f t="array" ref="AZ132">$G$12+VLOOKUP($Q132,武学奇术!$A:$ZZ,12,FALSE)+SUM(_xlfn.XLOOKUP(R132:AF132,增益!$A:$A,增益!$L:$L,0))</f>
        <v>0</v>
      </c>
      <c r="BA132">
        <f t="shared" si="76"/>
        <v>0</v>
      </c>
      <c r="BB132">
        <f t="shared" si="77"/>
        <v>0</v>
      </c>
      <c r="BC132" s="35" cm="1">
        <f t="array" ref="BC132">IF($F$13-$I$4+VLOOKUP($Q132,武学奇术!$A:$ZZ,13,FALSE)+SUM(_xlfn.XLOOKUP(R132:AF132,增益!$A:$A,增益!$M:$M,0))&gt;0,($F$13-$I$4+VLOOKUP($Q132,武学奇术!$A:$ZZ,13,FALSE)+SUM(_xlfn.XLOOKUP(R132:AF132,增益!$A:$A,增益!$K:$K,0)))/200,($F$13-$I$4+VLOOKUP($Q132,武学奇术!$A:$ZZ,13,FALSE)+SUM(_xlfn.XLOOKUP(R132:AF132,增益!$A:$A,增益!$M:$M,0)))/100)</f>
        <v>-0.3</v>
      </c>
      <c r="BD132" s="35" cm="1">
        <f t="array" ref="BD132">$G$13+VLOOKUP($Q132,武学奇术!$A:$ZZ,14,FALSE)+SUM(_xlfn.XLOOKUP(R132:AF132,增益!$A:$A,增益!$N:$N,0))</f>
        <v>0</v>
      </c>
      <c r="BE132">
        <f t="shared" si="78"/>
        <v>538</v>
      </c>
      <c r="BF132">
        <f t="shared" si="79"/>
        <v>1561.4</v>
      </c>
      <c r="BG132" s="35" cm="1">
        <f t="array" ref="BG132">IF($F$14-$I$4+VLOOKUP($Q132,武学奇术!$A:$ZZ,15,FALSE)+SUM(_xlfn.XLOOKUP(R132:AF132,增益!$A:$A,增益!$O:$O,0))&gt;0,($F$14-$I$4+VLOOKUP($Q132,武学奇术!$A:$ZZ,15,FALSE)+SUM(_xlfn.XLOOKUP(R132:AF132,增益!$A:$A,增益!$O:$O,0)))/200,($F$14-$I$4+VLOOKUP($Q132,武学奇术!$A:$ZZ,15,FALSE)+SUM(_xlfn.XLOOKUP(R132:AF132,增益!$A:$A,增益!$O:$O,0)))/100)</f>
        <v>0</v>
      </c>
      <c r="BH132" s="35" cm="1">
        <f t="array" ref="BH132">$G$14+VLOOKUP($Q132,武学奇术!$A:$ZZ,16,FALSE)+SUM(_xlfn.XLOOKUP(R132:AF132,增益!$A:$A,增益!$P:$P,0))</f>
        <v>0.15</v>
      </c>
      <c r="BI132" s="30">
        <f>MIN(IF(VLOOKUP($Q132,武学奇术!$A:$ZZ,23,FALSE)=1,100%,$B$8),100%)</f>
        <v>0.9712</v>
      </c>
      <c r="BJ132" s="30" cm="1">
        <f t="array" ref="BJ132">IF(VLOOKUP($Q132,武学奇术!$A:$ZZ,23,FALSE)=1,100%,MIN(80%,$B$9+VLOOKUP($Q132,武学奇术!$A:$ZZ,17,FALSE)+SUM(_xlfn.XLOOKUP(R132:AF132,增益!$A:$A,增益!$Q:$Q,0)))+$B$11+SUM(_xlfn.XLOOKUP(R132:AF132,增益!$A:$A,增益!$U:$U,0)))*IF(VLOOKUP($Q132,武学奇术!$A:$ZZ,24,FALSE)=1,0,1)</f>
        <v>0.8773</v>
      </c>
      <c r="BK132" s="30" cm="1">
        <f t="array" ref="BK132">1+$B$13+VLOOKUP($Q132,武学奇术!$A:$ZZ,18,FALSE)+SUM(_xlfn.XLOOKUP(R132:AF132,增益!$A:$A,增益!$R:$R,0))</f>
        <v>1.5</v>
      </c>
      <c r="BL132" s="30" cm="1">
        <f t="array" ref="BL132">IF(VLOOKUP($Q132,武学奇术!$A:$ZZ,24,FALSE)=1,100%,MIN(40%,$B$10+VLOOKUP($Q132,武学奇术!$A:$ZZ,19,FALSE)+SUM(_xlfn.XLOOKUP(R132:AF132,增益!$A:$A,增益!$S:$S,0)))+$B$12+SUM(_xlfn.XLOOKUP(R132:AF132,增益!$A:$A,增益!$V:$V,0)))*IF(VLOOKUP($Q132,武学奇术!$A:$ZZ,23,FALSE)=1,0,1)</f>
        <v>0.0895</v>
      </c>
      <c r="BM132" s="30" cm="1">
        <f t="array" ref="BM132">1+$B$14+VLOOKUP($Q132,武学奇术!$A:$ZZ,20,FALSE)+SUM(_xlfn.XLOOKUP(R132:AF132,增益!$A:$A,增益!$T:$T,0))</f>
        <v>1.35</v>
      </c>
      <c r="BN132" s="30">
        <f t="shared" si="80"/>
        <v>0.85203376</v>
      </c>
      <c r="BO132" s="30">
        <f t="shared" si="81"/>
        <v>0.03224384</v>
      </c>
      <c r="BP132" s="30">
        <f>IF(VLOOKUP($Q132,武学奇术!$A:$ZZ,22,FALSE)=1,0,(1-$BI132))*(1-$BL132)</f>
        <v>0.0262224</v>
      </c>
      <c r="BQ132" s="30" cm="1">
        <f t="array" ref="BQ132">SUM(_xlfn.XLOOKUP(R132:AF132,增益!$A:$A,增益!$W:$W,0))+$I$5</f>
        <v>0.11</v>
      </c>
    </row>
    <row r="133" spans="1:69">
      <c r="K133" s="41">
        <f t="shared" si="82"/>
        <v>0</v>
      </c>
      <c r="L133" s="41">
        <f>((($AN133+$AO133)/2*$AH133+$AI133)*(1+$AP133)*(1+$AQ133)+(($AS133+$AT133)/2*IF($G$1="鸣金",$AJ133,$AH133)+IF($G$1="鸣金",$AK133*1.5,0))*(1+$AU133)*(1+$AV133)+(($AW133+$AX133)/2*IF($G$1="裂石",$AJ133,$AH133)+IF($G$1="裂石",$AK133*1.5,0))*(1+$AY133)*(1+$AZ133)+(($BA133+$BB133)/2*IF($G$1="牵丝",$AJ133,$AH133)+IF($G$1="牵丝",$AK133*1.5,0))*(1+$BC133)*(1+$BD133)+(($BE133+$BF133)/2*IF($G$1="破竹",$AJ133,$AH133)+IF($G$1="破竹",$AK133*1.5,0))*(1+$BG133)*(1+$BH133))*(1+$AL133)*$BK133*$P133*(1+IF(VLOOKUP($Q133,武学奇术!$A:$ZZ,30,FALSE)="回旋伞",$B$21,0))*(1+$BQ133)</f>
        <v>0</v>
      </c>
      <c r="M133" s="41">
        <f>(($AO133*$AH133+$AI133)*(1+$AP133)*(1+$AQ133)+($AT133*IF($G$1="鸣金",$AJ133,$AH133)+IF($G$1="鸣金",$AK133*1.5,0))*(1+$AU133)*(1+$AV133)+($AX133*IF($G$1="裂石",$AJ133,$AH133)+IF($G$1="裂石",$AK133*1.5,0))*(1+$AY133)*(1+$AZ133)+($BB133*IF($G$1="牵丝",$AJ133,$AH133)+IF($G$1="牵丝",$AK133*1.5,0))*(1+$BC133)*(1+$BD133)+($BF133*IF($G$1="破竹",$AJ133,$AH133)+IF($G$1="破竹",$AK133*1.5,0))*(1+$BG133)*(1+$BH133))*(1+$AL133)*$BM133*$P133*(1+IF(VLOOKUP($Q133,武学奇术!$A:$ZZ,30,FALSE)="回旋伞",$B$21,0))*(1+$BQ133)</f>
        <v>0</v>
      </c>
      <c r="N133" s="41">
        <f>((($AN133+$AO133)/2*$AH133+$AI133)*(1+$AP133)*(1+$AQ133)+(($AS133+$AT133)/2*IF($G$1="鸣金",$AJ133,$AH133)+IF($G$1="鸣金",$AK133*1.5,0))*(1+$AU133)*(1+$AV133)+(($AW133+$AX133)/2*IF($G$1="裂石",$AJ133,$AH133)+IF($G$1="裂石",$AK133*1.5,0))*(1+$AY133)*(1+$AZ133)+(($BA133+$BB133)/2*IF($G$1="牵丝",$AJ133,$AH133)+IF($G$1="牵丝",$AK133*1.5,0))*(1+$BC133)*(1+$BD133)+(($BE133+$BF133)/2*IF($G$1="破竹",$AJ133,$AH133)+IF($G$1="破竹",$AK133*1.5,0))*(1+$BG133)*(1+$BH133))*(1+$AL133)*$P133*(1+IF(VLOOKUP($Q133,武学奇术!$A:$ZZ,30,FALSE)="回旋伞",$B$21,0))*(1+$BQ133)</f>
        <v>0</v>
      </c>
      <c r="O133" s="41">
        <f>((($AN133*$AH133+$AI133)*(1+$AP133)*(1+$AQ133)+($AS133*IF($G$1="鸣金",$AJ133,$AH133)+IF($G$1="鸣金",$AK133*1.5,0))*(1+$AU133)*(1+$AV133)+($AW133*IF($G$1="裂石",$AJ133,$AH133)+IF($G$1="裂石",$AK133*1.5,0))*(1+$AY133)*(1+$AZ133)+($BA133*IF($G$1="牵丝",$AJ133,$AH133)+IF($G$1="牵丝",$AK133*1.5,0))*(1+$BC133)*(1+$BD133)+($BE133*IF($G$1="破竹",$AJ133,$AH133)+IF($G$1="破竹",$AK133*1.5,0))*(1+$BG133)*(1+$BH133))*(1+$AL133))*$P133*(1+IF(VLOOKUP($Q133,武学奇术!$A:$ZZ,30,FALSE)="回旋伞",$B$21,0))*(1+$BQ133)</f>
        <v>0</v>
      </c>
      <c r="P133" s="42">
        <v>1</v>
      </c>
      <c r="Q133" s="43" t="s">
        <v>71</v>
      </c>
      <c r="R133" s="43" t="s">
        <v>71</v>
      </c>
      <c r="S133" s="43" t="s">
        <v>71</v>
      </c>
      <c r="T133" s="43" t="s">
        <v>71</v>
      </c>
      <c r="U133" s="43" t="s">
        <v>71</v>
      </c>
      <c r="V133" s="43" t="s">
        <v>71</v>
      </c>
      <c r="W133" s="43" t="s">
        <v>71</v>
      </c>
      <c r="X133" s="43" t="s">
        <v>71</v>
      </c>
      <c r="Y133" s="43" t="s">
        <v>71</v>
      </c>
      <c r="Z133" s="43" t="s">
        <v>71</v>
      </c>
      <c r="AA133" s="43" t="s">
        <v>71</v>
      </c>
      <c r="AB133" s="43" t="s">
        <v>71</v>
      </c>
      <c r="AC133" s="43" t="s">
        <v>71</v>
      </c>
      <c r="AD133" s="43" t="s">
        <v>71</v>
      </c>
      <c r="AE133" s="43" t="s">
        <v>71</v>
      </c>
      <c r="AF133" s="43" t="s">
        <v>76</v>
      </c>
      <c r="AG133" t="str">
        <f>VLOOKUP($Q133,武学奇术!$A:$ZZ,25,FALSE)</f>
        <v>心法</v>
      </c>
      <c r="AH133" s="30">
        <f>VLOOKUP($Q133,武学奇术!$A:$ZZ,26,FALSE)</f>
        <v>0</v>
      </c>
      <c r="AI133" s="31">
        <f>VLOOKUP($Q133,武学奇术!$A:$ZZ,27,FALSE)*(1+IF(OR($AG133=$F$4,$AG133=$F$5),$B$22,0))</f>
        <v>0</v>
      </c>
      <c r="AJ133" s="30">
        <f>VLOOKUP($Q133,武学奇术!$A:$ZZ,28,FALSE)</f>
        <v>0</v>
      </c>
      <c r="AK133" s="31">
        <f>VLOOKUP($Q133,武学奇术!$A:$ZZ,29,FALSE)*(1+IF(OR($AG133=$F$4,$AG133=$F$5),$B$22,0))</f>
        <v>0</v>
      </c>
      <c r="AL133" s="30" cm="1">
        <f t="array" ref="AL133">$G$3+IFERROR(VLOOKUP($AG133,$F$4:$G$7,2,FALSE),0)+VLOOKUP($Q133,武学奇术!$A:$ZZ,2,FALSE)+SUM(_xlfn.XLOOKUP($R133:$AF133,增益!$A:$A,增益!$B:$B,0))</f>
        <v>0.1837</v>
      </c>
      <c r="AM133" s="30" cm="1">
        <f t="array" ref="AM133">VLOOKUP($Q133,武学奇术!$A:$ZZ,5,FALSE)+SUM(_xlfn.XLOOKUP($R133:$AF133,增益!$A:$A,增益!$E:$E,0))</f>
        <v>0</v>
      </c>
      <c r="AN133" cm="1">
        <f t="array" ref="AN133">$D$10*(1+$AM133)+VLOOKUP($Q133,武学奇术!$A:$ZZ,3,FALSE)+SUM(_xlfn.XLOOKUP($R133:$AF133,增益!$A:$A,增益!$C:$C,0))-$I$2</f>
        <v>3545.8</v>
      </c>
      <c r="AO133" cm="1">
        <f t="array" ref="AO133">$E$10*(1+$AM133)+VLOOKUP($Q133,武学奇术!$A:$ZZ,4,FALSE)+SUM(_xlfn.XLOOKUP($R133:$AF133,增益!$A:$A,增益!$D:$D,0))-$I$2</f>
        <v>3545.8</v>
      </c>
      <c r="AP133" s="35" cm="1">
        <f t="array" ref="AP133">IF($F$10-$I$3+VLOOKUP($Q133,武学奇术!$A:$ZZ,6,FALSE)+SUM(_xlfn.XLOOKUP(R133:AF133,增益!$A:$A,增益!$F:$F,0))&gt;0,($F$10-$I$3+VLOOKUP($Q133,武学奇术!$A:$ZZ,6,FALSE)+SUM(_xlfn.XLOOKUP(R133:AF133,增益!$A:$A,增益!$F:$F,0)))/200,($F$10-$I$3+VLOOKUP($Q133,武学奇术!$A:$ZZ,6,FALSE)+SUM(_xlfn.XLOOKUP(R133:AF133,增益!$A:$A,增益!$F:$F,0)))/100)</f>
        <v>0.2425</v>
      </c>
      <c r="AQ133" s="35" cm="1">
        <f t="array" ref="AQ133">$G$10+VLOOKUP($Q133,武学奇术!$A:$ZZ,7,FALSE)+SUM(_xlfn.XLOOKUP(R133:AF133,增益!$A:$A,增益!$G:$G,0))</f>
        <v>0.028</v>
      </c>
      <c r="AR133" s="30" cm="1">
        <f t="array" ref="AR133">VLOOKUP($Q133,武学奇术!$A:$ZZ,8,FALSE)+SUM(_xlfn.XLOOKUP(R133:AF133,增益!$A:$A,增益!$H:$H,0))</f>
        <v>0</v>
      </c>
      <c r="AS133">
        <f t="shared" si="72"/>
        <v>0</v>
      </c>
      <c r="AT133">
        <f t="shared" si="73"/>
        <v>0</v>
      </c>
      <c r="AU133" s="35" cm="1">
        <f t="array" ref="AU133">IF($F$11-$I$4+VLOOKUP($Q133,武学奇术!$A:$ZZ,9,FALSE)+SUM(_xlfn.XLOOKUP(R133:AF133,增益!$A:$A,增益!$I:$I,0))&gt;0,($F$11-$I$4+VLOOKUP($Q133,武学奇术!$A:$ZZ,9,FALSE)+SUM(_xlfn.XLOOKUP(R133:AF133,增益!$A:$A,增益!$I:$I,0)))/200,($F$11-$I$4+VLOOKUP($Q133,武学奇术!$A:$ZZ,9,FALSE)+SUM(_xlfn.XLOOKUP(R133:AF133,增益!$A:$A,增益!$I:$I,0)))/100)</f>
        <v>-0.3</v>
      </c>
      <c r="AV133" s="35" cm="1">
        <f t="array" ref="AV133">$G$11+VLOOKUP($Q133,武学奇术!$A:$ZZ,10,FALSE)+SUM(_xlfn.XLOOKUP(R133:AF133,增益!$A:$A,增益!$J:$J,0))</f>
        <v>0</v>
      </c>
      <c r="AW133">
        <f t="shared" si="74"/>
        <v>0</v>
      </c>
      <c r="AX133">
        <f t="shared" si="75"/>
        <v>0</v>
      </c>
      <c r="AY133" s="35" cm="1">
        <f t="array" ref="AY133">IF($F$12-$I$4+VLOOKUP($Q133,武学奇术!$A:$ZZ,11,FALSE)+SUM(_xlfn.XLOOKUP(R133:AF133,增益!$A:$A,增益!$K:$K,0))&gt;0,($F$12-$I$4+VLOOKUP($Q133,武学奇术!$A:$ZZ,11,FALSE)+SUM(_xlfn.XLOOKUP(R133:AF133,增益!$A:$A,增益!$K:$K,0)))/200,($F$12-$I$4+VLOOKUP($Q133,武学奇术!$A:$ZZ,11,FALSE)+SUM(_xlfn.XLOOKUP(R133:AF133,增益!$A:$A,增益!$K:$K,0)))/100)</f>
        <v>-0.3</v>
      </c>
      <c r="AZ133" s="35" cm="1">
        <f t="array" ref="AZ133">$G$12+VLOOKUP($Q133,武学奇术!$A:$ZZ,12,FALSE)+SUM(_xlfn.XLOOKUP(R133:AF133,增益!$A:$A,增益!$L:$L,0))</f>
        <v>0</v>
      </c>
      <c r="BA133">
        <f t="shared" si="76"/>
        <v>0</v>
      </c>
      <c r="BB133">
        <f t="shared" si="77"/>
        <v>0</v>
      </c>
      <c r="BC133" s="35" cm="1">
        <f t="array" ref="BC133">IF($F$13-$I$4+VLOOKUP($Q133,武学奇术!$A:$ZZ,13,FALSE)+SUM(_xlfn.XLOOKUP(R133:AF133,增益!$A:$A,增益!$M:$M,0))&gt;0,($F$13-$I$4+VLOOKUP($Q133,武学奇术!$A:$ZZ,13,FALSE)+SUM(_xlfn.XLOOKUP(R133:AF133,增益!$A:$A,增益!$K:$K,0)))/200,($F$13-$I$4+VLOOKUP($Q133,武学奇术!$A:$ZZ,13,FALSE)+SUM(_xlfn.XLOOKUP(R133:AF133,增益!$A:$A,增益!$M:$M,0)))/100)</f>
        <v>-0.3</v>
      </c>
      <c r="BD133" s="35" cm="1">
        <f t="array" ref="BD133">$G$13+VLOOKUP($Q133,武学奇术!$A:$ZZ,14,FALSE)+SUM(_xlfn.XLOOKUP(R133:AF133,增益!$A:$A,增益!$N:$N,0))</f>
        <v>0</v>
      </c>
      <c r="BE133">
        <f t="shared" si="78"/>
        <v>538</v>
      </c>
      <c r="BF133">
        <f t="shared" si="79"/>
        <v>1561.4</v>
      </c>
      <c r="BG133" s="35" cm="1">
        <f t="array" ref="BG133">IF($F$14-$I$4+VLOOKUP($Q133,武学奇术!$A:$ZZ,15,FALSE)+SUM(_xlfn.XLOOKUP(R133:AF133,增益!$A:$A,增益!$O:$O,0))&gt;0,($F$14-$I$4+VLOOKUP($Q133,武学奇术!$A:$ZZ,15,FALSE)+SUM(_xlfn.XLOOKUP(R133:AF133,增益!$A:$A,增益!$O:$O,0)))/200,($F$14-$I$4+VLOOKUP($Q133,武学奇术!$A:$ZZ,15,FALSE)+SUM(_xlfn.XLOOKUP(R133:AF133,增益!$A:$A,增益!$O:$O,0)))/100)</f>
        <v>0</v>
      </c>
      <c r="BH133" s="35" cm="1">
        <f t="array" ref="BH133">$G$14+VLOOKUP($Q133,武学奇术!$A:$ZZ,16,FALSE)+SUM(_xlfn.XLOOKUP(R133:AF133,增益!$A:$A,增益!$P:$P,0))</f>
        <v>0.15</v>
      </c>
      <c r="BI133" s="30">
        <f>MIN(IF(VLOOKUP($Q133,武学奇术!$A:$ZZ,23,FALSE)=1,100%,$B$8),100%)</f>
        <v>0.9712</v>
      </c>
      <c r="BJ133" s="30" cm="1">
        <f t="array" ref="BJ133">IF(VLOOKUP($Q133,武学奇术!$A:$ZZ,23,FALSE)=1,100%,MIN(80%,$B$9+VLOOKUP($Q133,武学奇术!$A:$ZZ,17,FALSE)+SUM(_xlfn.XLOOKUP(R133:AF133,增益!$A:$A,增益!$Q:$Q,0)))+$B$11+SUM(_xlfn.XLOOKUP(R133:AF133,增益!$A:$A,增益!$U:$U,0)))*IF(VLOOKUP($Q133,武学奇术!$A:$ZZ,24,FALSE)=1,0,1)</f>
        <v>0.8773</v>
      </c>
      <c r="BK133" s="30" cm="1">
        <f t="array" ref="BK133">1+$B$13+VLOOKUP($Q133,武学奇术!$A:$ZZ,18,FALSE)+SUM(_xlfn.XLOOKUP(R133:AF133,增益!$A:$A,增益!$R:$R,0))</f>
        <v>1.5</v>
      </c>
      <c r="BL133" s="30" cm="1">
        <f t="array" ref="BL133">IF(VLOOKUP($Q133,武学奇术!$A:$ZZ,24,FALSE)=1,100%,MIN(40%,$B$10+VLOOKUP($Q133,武学奇术!$A:$ZZ,19,FALSE)+SUM(_xlfn.XLOOKUP(R133:AF133,增益!$A:$A,增益!$S:$S,0)))+$B$12+SUM(_xlfn.XLOOKUP(R133:AF133,增益!$A:$A,增益!$V:$V,0)))*IF(VLOOKUP($Q133,武学奇术!$A:$ZZ,23,FALSE)=1,0,1)</f>
        <v>0.0895</v>
      </c>
      <c r="BM133" s="30" cm="1">
        <f t="array" ref="BM133">1+$B$14+VLOOKUP($Q133,武学奇术!$A:$ZZ,20,FALSE)+SUM(_xlfn.XLOOKUP(R133:AF133,增益!$A:$A,增益!$T:$T,0))</f>
        <v>1.35</v>
      </c>
      <c r="BN133" s="30">
        <f t="shared" si="80"/>
        <v>0.85203376</v>
      </c>
      <c r="BO133" s="30">
        <f t="shared" si="81"/>
        <v>0.03224384</v>
      </c>
      <c r="BP133" s="30">
        <f>IF(VLOOKUP($Q133,武学奇术!$A:$ZZ,22,FALSE)=1,0,(1-$BI133))*(1-$BL133)</f>
        <v>0.0262224</v>
      </c>
      <c r="BQ133" s="30" cm="1">
        <f t="array" ref="BQ133">SUM(_xlfn.XLOOKUP(R133:AF133,增益!$A:$A,增益!$W:$W,0))+$I$5</f>
        <v>0.11</v>
      </c>
    </row>
    <row r="134" spans="1:69">
      <c r="K134" s="41">
        <f t="shared" si="82"/>
        <v>0</v>
      </c>
      <c r="L134" s="41">
        <f>((($AN134+$AO134)/2*$AH134+$AI134)*(1+$AP134)*(1+$AQ134)+(($AS134+$AT134)/2*IF($G$1="鸣金",$AJ134,$AH134)+IF($G$1="鸣金",$AK134*1.5,0))*(1+$AU134)*(1+$AV134)+(($AW134+$AX134)/2*IF($G$1="裂石",$AJ134,$AH134)+IF($G$1="裂石",$AK134*1.5,0))*(1+$AY134)*(1+$AZ134)+(($BA134+$BB134)/2*IF($G$1="牵丝",$AJ134,$AH134)+IF($G$1="牵丝",$AK134*1.5,0))*(1+$BC134)*(1+$BD134)+(($BE134+$BF134)/2*IF($G$1="破竹",$AJ134,$AH134)+IF($G$1="破竹",$AK134*1.5,0))*(1+$BG134)*(1+$BH134))*(1+$AL134)*$BK134*$P134*(1+IF(VLOOKUP($Q134,武学奇术!$A:$ZZ,30,FALSE)="回旋伞",$B$21,0))*(1+$BQ134)</f>
        <v>0</v>
      </c>
      <c r="M134" s="41">
        <f>(($AO134*$AH134+$AI134)*(1+$AP134)*(1+$AQ134)+($AT134*IF($G$1="鸣金",$AJ134,$AH134)+IF($G$1="鸣金",$AK134*1.5,0))*(1+$AU134)*(1+$AV134)+($AX134*IF($G$1="裂石",$AJ134,$AH134)+IF($G$1="裂石",$AK134*1.5,0))*(1+$AY134)*(1+$AZ134)+($BB134*IF($G$1="牵丝",$AJ134,$AH134)+IF($G$1="牵丝",$AK134*1.5,0))*(1+$BC134)*(1+$BD134)+($BF134*IF($G$1="破竹",$AJ134,$AH134)+IF($G$1="破竹",$AK134*1.5,0))*(1+$BG134)*(1+$BH134))*(1+$AL134)*$BM134*$P134*(1+IF(VLOOKUP($Q134,武学奇术!$A:$ZZ,30,FALSE)="回旋伞",$B$21,0))*(1+$BQ134)</f>
        <v>0</v>
      </c>
      <c r="N134" s="41">
        <f>((($AN134+$AO134)/2*$AH134+$AI134)*(1+$AP134)*(1+$AQ134)+(($AS134+$AT134)/2*IF($G$1="鸣金",$AJ134,$AH134)+IF($G$1="鸣金",$AK134*1.5,0))*(1+$AU134)*(1+$AV134)+(($AW134+$AX134)/2*IF($G$1="裂石",$AJ134,$AH134)+IF($G$1="裂石",$AK134*1.5,0))*(1+$AY134)*(1+$AZ134)+(($BA134+$BB134)/2*IF($G$1="牵丝",$AJ134,$AH134)+IF($G$1="牵丝",$AK134*1.5,0))*(1+$BC134)*(1+$BD134)+(($BE134+$BF134)/2*IF($G$1="破竹",$AJ134,$AH134)+IF($G$1="破竹",$AK134*1.5,0))*(1+$BG134)*(1+$BH134))*(1+$AL134)*$P134*(1+IF(VLOOKUP($Q134,武学奇术!$A:$ZZ,30,FALSE)="回旋伞",$B$21,0))*(1+$BQ134)</f>
        <v>0</v>
      </c>
      <c r="O134" s="41">
        <f>((($AN134*$AH134+$AI134)*(1+$AP134)*(1+$AQ134)+($AS134*IF($G$1="鸣金",$AJ134,$AH134)+IF($G$1="鸣金",$AK134*1.5,0))*(1+$AU134)*(1+$AV134)+($AW134*IF($G$1="裂石",$AJ134,$AH134)+IF($G$1="裂石",$AK134*1.5,0))*(1+$AY134)*(1+$AZ134)+($BA134*IF($G$1="牵丝",$AJ134,$AH134)+IF($G$1="牵丝",$AK134*1.5,0))*(1+$BC134)*(1+$BD134)+($BE134*IF($G$1="破竹",$AJ134,$AH134)+IF($G$1="破竹",$AK134*1.5,0))*(1+$BG134)*(1+$BH134))*(1+$AL134))*$P134*(1+IF(VLOOKUP($Q134,武学奇术!$A:$ZZ,30,FALSE)="回旋伞",$B$21,0))*(1+$BQ134)</f>
        <v>0</v>
      </c>
      <c r="P134" s="42">
        <v>1</v>
      </c>
      <c r="Q134" s="43" t="s">
        <v>71</v>
      </c>
      <c r="R134" s="43" t="s">
        <v>71</v>
      </c>
      <c r="S134" s="43" t="s">
        <v>71</v>
      </c>
      <c r="T134" s="43" t="s">
        <v>71</v>
      </c>
      <c r="U134" s="43" t="s">
        <v>71</v>
      </c>
      <c r="V134" s="43" t="s">
        <v>71</v>
      </c>
      <c r="W134" s="43" t="s">
        <v>71</v>
      </c>
      <c r="X134" s="43" t="s">
        <v>71</v>
      </c>
      <c r="Y134" s="43" t="s">
        <v>71</v>
      </c>
      <c r="Z134" s="43" t="s">
        <v>71</v>
      </c>
      <c r="AA134" s="43" t="s">
        <v>71</v>
      </c>
      <c r="AB134" s="43" t="s">
        <v>71</v>
      </c>
      <c r="AC134" s="43" t="s">
        <v>71</v>
      </c>
      <c r="AD134" s="43" t="s">
        <v>71</v>
      </c>
      <c r="AE134" s="43" t="s">
        <v>71</v>
      </c>
      <c r="AF134" s="43" t="s">
        <v>76</v>
      </c>
      <c r="AG134" t="str">
        <f>VLOOKUP($Q134,武学奇术!$A:$ZZ,25,FALSE)</f>
        <v>心法</v>
      </c>
      <c r="AH134" s="30">
        <f>VLOOKUP($Q134,武学奇术!$A:$ZZ,26,FALSE)</f>
        <v>0</v>
      </c>
      <c r="AI134" s="31">
        <f>VLOOKUP($Q134,武学奇术!$A:$ZZ,27,FALSE)*(1+IF(OR($AG134=$F$4,$AG134=$F$5),$B$22,0))</f>
        <v>0</v>
      </c>
      <c r="AJ134" s="30">
        <f>VLOOKUP($Q134,武学奇术!$A:$ZZ,28,FALSE)</f>
        <v>0</v>
      </c>
      <c r="AK134" s="31">
        <f>VLOOKUP($Q134,武学奇术!$A:$ZZ,29,FALSE)*(1+IF(OR($AG134=$F$4,$AG134=$F$5),$B$22,0))</f>
        <v>0</v>
      </c>
      <c r="AL134" s="30" cm="1">
        <f t="array" ref="AL134">$G$3+IFERROR(VLOOKUP($AG134,$F$4:$G$7,2,FALSE),0)+VLOOKUP($Q134,武学奇术!$A:$ZZ,2,FALSE)+SUM(_xlfn.XLOOKUP($R134:$AF134,增益!$A:$A,增益!$B:$B,0))</f>
        <v>0.1837</v>
      </c>
      <c r="AM134" s="30" cm="1">
        <f t="array" ref="AM134">VLOOKUP($Q134,武学奇术!$A:$ZZ,5,FALSE)+SUM(_xlfn.XLOOKUP($R134:$AF134,增益!$A:$A,增益!$E:$E,0))</f>
        <v>0</v>
      </c>
      <c r="AN134" cm="1">
        <f t="array" ref="AN134">$D$10*(1+$AM134)+VLOOKUP($Q134,武学奇术!$A:$ZZ,3,FALSE)+SUM(_xlfn.XLOOKUP($R134:$AF134,增益!$A:$A,增益!$C:$C,0))-$I$2</f>
        <v>3545.8</v>
      </c>
      <c r="AO134" cm="1">
        <f t="array" ref="AO134">$E$10*(1+$AM134)+VLOOKUP($Q134,武学奇术!$A:$ZZ,4,FALSE)+SUM(_xlfn.XLOOKUP($R134:$AF134,增益!$A:$A,增益!$D:$D,0))-$I$2</f>
        <v>3545.8</v>
      </c>
      <c r="AP134" s="35" cm="1">
        <f t="array" ref="AP134">IF($F$10-$I$3+VLOOKUP($Q134,武学奇术!$A:$ZZ,6,FALSE)+SUM(_xlfn.XLOOKUP(R134:AF134,增益!$A:$A,增益!$F:$F,0))&gt;0,($F$10-$I$3+VLOOKUP($Q134,武学奇术!$A:$ZZ,6,FALSE)+SUM(_xlfn.XLOOKUP(R134:AF134,增益!$A:$A,增益!$F:$F,0)))/200,($F$10-$I$3+VLOOKUP($Q134,武学奇术!$A:$ZZ,6,FALSE)+SUM(_xlfn.XLOOKUP(R134:AF134,增益!$A:$A,增益!$F:$F,0)))/100)</f>
        <v>0.2425</v>
      </c>
      <c r="AQ134" s="35" cm="1">
        <f t="array" ref="AQ134">$G$10+VLOOKUP($Q134,武学奇术!$A:$ZZ,7,FALSE)+SUM(_xlfn.XLOOKUP(R134:AF134,增益!$A:$A,增益!$G:$G,0))</f>
        <v>0.028</v>
      </c>
      <c r="AR134" s="30" cm="1">
        <f t="array" ref="AR134">VLOOKUP($Q134,武学奇术!$A:$ZZ,8,FALSE)+SUM(_xlfn.XLOOKUP(R134:AF134,增益!$A:$A,增益!$H:$H,0))</f>
        <v>0</v>
      </c>
      <c r="AS134">
        <f t="shared" si="72"/>
        <v>0</v>
      </c>
      <c r="AT134">
        <f t="shared" si="73"/>
        <v>0</v>
      </c>
      <c r="AU134" s="35" cm="1">
        <f t="array" ref="AU134">IF($F$11-$I$4+VLOOKUP($Q134,武学奇术!$A:$ZZ,9,FALSE)+SUM(_xlfn.XLOOKUP(R134:AF134,增益!$A:$A,增益!$I:$I,0))&gt;0,($F$11-$I$4+VLOOKUP($Q134,武学奇术!$A:$ZZ,9,FALSE)+SUM(_xlfn.XLOOKUP(R134:AF134,增益!$A:$A,增益!$I:$I,0)))/200,($F$11-$I$4+VLOOKUP($Q134,武学奇术!$A:$ZZ,9,FALSE)+SUM(_xlfn.XLOOKUP(R134:AF134,增益!$A:$A,增益!$I:$I,0)))/100)</f>
        <v>-0.3</v>
      </c>
      <c r="AV134" s="35" cm="1">
        <f t="array" ref="AV134">$G$11+VLOOKUP($Q134,武学奇术!$A:$ZZ,10,FALSE)+SUM(_xlfn.XLOOKUP(R134:AF134,增益!$A:$A,增益!$J:$J,0))</f>
        <v>0</v>
      </c>
      <c r="AW134">
        <f t="shared" si="74"/>
        <v>0</v>
      </c>
      <c r="AX134">
        <f t="shared" si="75"/>
        <v>0</v>
      </c>
      <c r="AY134" s="35" cm="1">
        <f t="array" ref="AY134">IF($F$12-$I$4+VLOOKUP($Q134,武学奇术!$A:$ZZ,11,FALSE)+SUM(_xlfn.XLOOKUP(R134:AF134,增益!$A:$A,增益!$K:$K,0))&gt;0,($F$12-$I$4+VLOOKUP($Q134,武学奇术!$A:$ZZ,11,FALSE)+SUM(_xlfn.XLOOKUP(R134:AF134,增益!$A:$A,增益!$K:$K,0)))/200,($F$12-$I$4+VLOOKUP($Q134,武学奇术!$A:$ZZ,11,FALSE)+SUM(_xlfn.XLOOKUP(R134:AF134,增益!$A:$A,增益!$K:$K,0)))/100)</f>
        <v>-0.3</v>
      </c>
      <c r="AZ134" s="35" cm="1">
        <f t="array" ref="AZ134">$G$12+VLOOKUP($Q134,武学奇术!$A:$ZZ,12,FALSE)+SUM(_xlfn.XLOOKUP(R134:AF134,增益!$A:$A,增益!$L:$L,0))</f>
        <v>0</v>
      </c>
      <c r="BA134">
        <f t="shared" si="76"/>
        <v>0</v>
      </c>
      <c r="BB134">
        <f t="shared" si="77"/>
        <v>0</v>
      </c>
      <c r="BC134" s="35" cm="1">
        <f t="array" ref="BC134">IF($F$13-$I$4+VLOOKUP($Q134,武学奇术!$A:$ZZ,13,FALSE)+SUM(_xlfn.XLOOKUP(R134:AF134,增益!$A:$A,增益!$M:$M,0))&gt;0,($F$13-$I$4+VLOOKUP($Q134,武学奇术!$A:$ZZ,13,FALSE)+SUM(_xlfn.XLOOKUP(R134:AF134,增益!$A:$A,增益!$K:$K,0)))/200,($F$13-$I$4+VLOOKUP($Q134,武学奇术!$A:$ZZ,13,FALSE)+SUM(_xlfn.XLOOKUP(R134:AF134,增益!$A:$A,增益!$M:$M,0)))/100)</f>
        <v>-0.3</v>
      </c>
      <c r="BD134" s="35" cm="1">
        <f t="array" ref="BD134">$G$13+VLOOKUP($Q134,武学奇术!$A:$ZZ,14,FALSE)+SUM(_xlfn.XLOOKUP(R134:AF134,增益!$A:$A,增益!$N:$N,0))</f>
        <v>0</v>
      </c>
      <c r="BE134">
        <f t="shared" si="78"/>
        <v>538</v>
      </c>
      <c r="BF134">
        <f t="shared" si="79"/>
        <v>1561.4</v>
      </c>
      <c r="BG134" s="35" cm="1">
        <f t="array" ref="BG134">IF($F$14-$I$4+VLOOKUP($Q134,武学奇术!$A:$ZZ,15,FALSE)+SUM(_xlfn.XLOOKUP(R134:AF134,增益!$A:$A,增益!$O:$O,0))&gt;0,($F$14-$I$4+VLOOKUP($Q134,武学奇术!$A:$ZZ,15,FALSE)+SUM(_xlfn.XLOOKUP(R134:AF134,增益!$A:$A,增益!$O:$O,0)))/200,($F$14-$I$4+VLOOKUP($Q134,武学奇术!$A:$ZZ,15,FALSE)+SUM(_xlfn.XLOOKUP(R134:AF134,增益!$A:$A,增益!$O:$O,0)))/100)</f>
        <v>0</v>
      </c>
      <c r="BH134" s="35" cm="1">
        <f t="array" ref="BH134">$G$14+VLOOKUP($Q134,武学奇术!$A:$ZZ,16,FALSE)+SUM(_xlfn.XLOOKUP(R134:AF134,增益!$A:$A,增益!$P:$P,0))</f>
        <v>0.15</v>
      </c>
      <c r="BI134" s="30">
        <f>MIN(IF(VLOOKUP($Q134,武学奇术!$A:$ZZ,23,FALSE)=1,100%,$B$8),100%)</f>
        <v>0.9712</v>
      </c>
      <c r="BJ134" s="30" cm="1">
        <f t="array" ref="BJ134">IF(VLOOKUP($Q134,武学奇术!$A:$ZZ,23,FALSE)=1,100%,MIN(80%,$B$9+VLOOKUP($Q134,武学奇术!$A:$ZZ,17,FALSE)+SUM(_xlfn.XLOOKUP(R134:AF134,增益!$A:$A,增益!$Q:$Q,0)))+$B$11+SUM(_xlfn.XLOOKUP(R134:AF134,增益!$A:$A,增益!$U:$U,0)))*IF(VLOOKUP($Q134,武学奇术!$A:$ZZ,24,FALSE)=1,0,1)</f>
        <v>0.8773</v>
      </c>
      <c r="BK134" s="30" cm="1">
        <f t="array" ref="BK134">1+$B$13+VLOOKUP($Q134,武学奇术!$A:$ZZ,18,FALSE)+SUM(_xlfn.XLOOKUP(R134:AF134,增益!$A:$A,增益!$R:$R,0))</f>
        <v>1.5</v>
      </c>
      <c r="BL134" s="30" cm="1">
        <f t="array" ref="BL134">IF(VLOOKUP($Q134,武学奇术!$A:$ZZ,24,FALSE)=1,100%,MIN(40%,$B$10+VLOOKUP($Q134,武学奇术!$A:$ZZ,19,FALSE)+SUM(_xlfn.XLOOKUP(R134:AF134,增益!$A:$A,增益!$S:$S,0)))+$B$12+SUM(_xlfn.XLOOKUP(R134:AF134,增益!$A:$A,增益!$V:$V,0)))*IF(VLOOKUP($Q134,武学奇术!$A:$ZZ,23,FALSE)=1,0,1)</f>
        <v>0.0895</v>
      </c>
      <c r="BM134" s="30" cm="1">
        <f t="array" ref="BM134">1+$B$14+VLOOKUP($Q134,武学奇术!$A:$ZZ,20,FALSE)+SUM(_xlfn.XLOOKUP(R134:AF134,增益!$A:$A,增益!$T:$T,0))</f>
        <v>1.35</v>
      </c>
      <c r="BN134" s="30">
        <f t="shared" si="80"/>
        <v>0.85203376</v>
      </c>
      <c r="BO134" s="30">
        <f t="shared" si="81"/>
        <v>0.03224384</v>
      </c>
      <c r="BP134" s="30">
        <f>IF(VLOOKUP($Q134,武学奇术!$A:$ZZ,22,FALSE)=1,0,(1-$BI134))*(1-$BL134)</f>
        <v>0.0262224</v>
      </c>
      <c r="BQ134" s="30" cm="1">
        <f t="array" ref="BQ134">SUM(_xlfn.XLOOKUP(R134:AF134,增益!$A:$A,增益!$W:$W,0))+$I$5</f>
        <v>0.11</v>
      </c>
    </row>
    <row r="135" spans="1:69">
      <c r="K135" s="41">
        <f>($L135*$BN135+$M135*$BL135+$N135*$BO135+$O135*$BP135)</f>
        <v>0</v>
      </c>
      <c r="L135" s="41">
        <f>((($AN135+$AO135)/2*$AH135+$AI135)*(1+$AP135)*(1+$AQ135)+(($AS135+$AT135)/2*IF($G$1="鸣金",$AJ135,$AH135)+IF($G$1="鸣金",$AK135*1.5,0))*(1+$AU135)*(1+$AV135)+(($AW135+$AX135)/2*IF($G$1="裂石",$AJ135,$AH135)+IF($G$1="裂石",$AK135*1.5,0))*(1+$AY135)*(1+$AZ135)+(($BA135+$BB135)/2*IF($G$1="牵丝",$AJ135,$AH135)+IF($G$1="牵丝",$AK135*1.5,0))*(1+$BC135)*(1+$BD135)+(($BE135+$BF135)/2*IF($G$1="破竹",$AJ135,$AH135)+IF($G$1="破竹",$AK135*1.5,0))*(1+$BG135)*(1+$BH135))*(1+$AL135)*$BK135*$P135*(1+IF(VLOOKUP($Q135,武学奇术!$A:$ZZ,30,FALSE)="回旋伞",$B$21,0))*(1+$BQ135)</f>
        <v>0</v>
      </c>
      <c r="M135" s="41">
        <f>(($AO135*$AH135+$AI135)*(1+$AP135)*(1+$AQ135)+($AT135*IF($G$1="鸣金",$AJ135,$AH135)+IF($G$1="鸣金",$AK135*1.5,0))*(1+$AU135)*(1+$AV135)+($AX135*IF($G$1="裂石",$AJ135,$AH135)+IF($G$1="裂石",$AK135*1.5,0))*(1+$AY135)*(1+$AZ135)+($BB135*IF($G$1="牵丝",$AJ135,$AH135)+IF($G$1="牵丝",$AK135*1.5,0))*(1+$BC135)*(1+$BD135)+($BF135*IF($G$1="破竹",$AJ135,$AH135)+IF($G$1="破竹",$AK135*1.5,0))*(1+$BG135)*(1+$BH135))*(1+$AL135)*$BM135*$P135*(1+IF(VLOOKUP($Q135,武学奇术!$A:$ZZ,30,FALSE)="回旋伞",$B$21,0))*(1+$BQ135)</f>
        <v>0</v>
      </c>
      <c r="N135" s="41">
        <f>((($AN135+$AO135)/2*$AH135+$AI135)*(1+$AP135)*(1+$AQ135)+(($AS135+$AT135)/2*IF($G$1="鸣金",$AJ135,$AH135)+IF($G$1="鸣金",$AK135*1.5,0))*(1+$AU135)*(1+$AV135)+(($AW135+$AX135)/2*IF($G$1="裂石",$AJ135,$AH135)+IF($G$1="裂石",$AK135*1.5,0))*(1+$AY135)*(1+$AZ135)+(($BA135+$BB135)/2*IF($G$1="牵丝",$AJ135,$AH135)+IF($G$1="牵丝",$AK135*1.5,0))*(1+$BC135)*(1+$BD135)+(($BE135+$BF135)/2*IF($G$1="破竹",$AJ135,$AH135)+IF($G$1="破竹",$AK135*1.5,0))*(1+$BG135)*(1+$BH135))*(1+$AL135)*$P135*(1+IF(VLOOKUP($Q135,武学奇术!$A:$ZZ,30,FALSE)="回旋伞",$B$21,0))*(1+$BQ135)</f>
        <v>0</v>
      </c>
      <c r="O135" s="41">
        <f>((($AN135*$AH135+$AI135)*(1+$AP135)*(1+$AQ135)+($AS135*IF($G$1="鸣金",$AJ135,$AH135)+IF($G$1="鸣金",$AK135*1.5,0))*(1+$AU135)*(1+$AV135)+($AW135*IF($G$1="裂石",$AJ135,$AH135)+IF($G$1="裂石",$AK135*1.5,0))*(1+$AY135)*(1+$AZ135)+($BA135*IF($G$1="牵丝",$AJ135,$AH135)+IF($G$1="牵丝",$AK135*1.5,0))*(1+$BC135)*(1+$BD135)+($BE135*IF($G$1="破竹",$AJ135,$AH135)+IF($G$1="破竹",$AK135*1.5,0))*(1+$BG135)*(1+$BH135))*(1+$AL135))*$P135*(1+IF(VLOOKUP($Q135,武学奇术!$A:$ZZ,30,FALSE)="回旋伞",$B$21,0))*(1+$BQ135)</f>
        <v>0</v>
      </c>
      <c r="P135" s="42">
        <v>1</v>
      </c>
      <c r="Q135" s="43" t="s">
        <v>71</v>
      </c>
      <c r="R135" s="43" t="s">
        <v>71</v>
      </c>
      <c r="S135" s="43" t="s">
        <v>71</v>
      </c>
      <c r="T135" s="43" t="s">
        <v>71</v>
      </c>
      <c r="U135" s="43" t="s">
        <v>71</v>
      </c>
      <c r="V135" s="43" t="s">
        <v>71</v>
      </c>
      <c r="W135" s="43" t="s">
        <v>71</v>
      </c>
      <c r="X135" s="43" t="s">
        <v>71</v>
      </c>
      <c r="Y135" s="43" t="s">
        <v>71</v>
      </c>
      <c r="Z135" s="43" t="s">
        <v>71</v>
      </c>
      <c r="AA135" s="43" t="s">
        <v>71</v>
      </c>
      <c r="AB135" s="43" t="s">
        <v>71</v>
      </c>
      <c r="AC135" s="43" t="s">
        <v>71</v>
      </c>
      <c r="AD135" s="43" t="s">
        <v>71</v>
      </c>
      <c r="AE135" s="43" t="s">
        <v>71</v>
      </c>
      <c r="AF135" s="43" t="s">
        <v>76</v>
      </c>
      <c r="AG135" t="str">
        <f>VLOOKUP($Q135,武学奇术!$A:$ZZ,25,FALSE)</f>
        <v>心法</v>
      </c>
      <c r="AH135" s="30">
        <f>VLOOKUP($Q135,武学奇术!$A:$ZZ,26,FALSE)</f>
        <v>0</v>
      </c>
      <c r="AI135" s="31">
        <f>VLOOKUP($Q135,武学奇术!$A:$ZZ,27,FALSE)*(1+IF(OR($AG135=$F$4,$AG135=$F$5),$B$22,0))</f>
        <v>0</v>
      </c>
      <c r="AJ135" s="30">
        <f>VLOOKUP($Q135,武学奇术!$A:$ZZ,28,FALSE)</f>
        <v>0</v>
      </c>
      <c r="AK135" s="31">
        <f>VLOOKUP($Q135,武学奇术!$A:$ZZ,29,FALSE)*(1+IF(OR($AG135=$F$4,$AG135=$F$5),$B$22,0))</f>
        <v>0</v>
      </c>
      <c r="AL135" s="30" cm="1">
        <f t="array" ref="AL135">$G$3+IFERROR(VLOOKUP($AG135,$F$4:$G$7,2,FALSE),0)+VLOOKUP($Q135,武学奇术!$A:$ZZ,2,FALSE)+SUM(_xlfn.XLOOKUP($R135:$AF135,增益!$A:$A,增益!$B:$B,0))</f>
        <v>0.1837</v>
      </c>
      <c r="AM135" s="30" cm="1">
        <f t="array" ref="AM135">VLOOKUP($Q135,武学奇术!$A:$ZZ,5,FALSE)+SUM(_xlfn.XLOOKUP($R135:$AF135,增益!$A:$A,增益!$E:$E,0))</f>
        <v>0</v>
      </c>
      <c r="AN135" cm="1">
        <f t="array" ref="AN135">$D$10*(1+$AM135)+VLOOKUP($Q135,武学奇术!$A:$ZZ,3,FALSE)+SUM(_xlfn.XLOOKUP($R135:$AF135,增益!$A:$A,增益!$C:$C,0))-$I$2</f>
        <v>3545.8</v>
      </c>
      <c r="AO135" cm="1">
        <f t="array" ref="AO135">$E$10*(1+$AM135)+VLOOKUP($Q135,武学奇术!$A:$ZZ,4,FALSE)+SUM(_xlfn.XLOOKUP($R135:$AF135,增益!$A:$A,增益!$D:$D,0))-$I$2</f>
        <v>3545.8</v>
      </c>
      <c r="AP135" s="35" cm="1">
        <f t="array" ref="AP135">IF($F$10-$I$3+VLOOKUP($Q135,武学奇术!$A:$ZZ,6,FALSE)+SUM(_xlfn.XLOOKUP(R135:AF135,增益!$A:$A,增益!$F:$F,0))&gt;0,($F$10-$I$3+VLOOKUP($Q135,武学奇术!$A:$ZZ,6,FALSE)+SUM(_xlfn.XLOOKUP(R135:AF135,增益!$A:$A,增益!$F:$F,0)))/200,($F$10-$I$3+VLOOKUP($Q135,武学奇术!$A:$ZZ,6,FALSE)+SUM(_xlfn.XLOOKUP(R135:AF135,增益!$A:$A,增益!$F:$F,0)))/100)</f>
        <v>0.2425</v>
      </c>
      <c r="AQ135" s="35" cm="1">
        <f t="array" ref="AQ135">$G$10+VLOOKUP($Q135,武学奇术!$A:$ZZ,7,FALSE)+SUM(_xlfn.XLOOKUP(R135:AF135,增益!$A:$A,增益!$G:$G,0))</f>
        <v>0.028</v>
      </c>
      <c r="AR135" s="30" cm="1">
        <f t="array" ref="AR135">VLOOKUP($Q135,武学奇术!$A:$ZZ,8,FALSE)+SUM(_xlfn.XLOOKUP(R135:AF135,增益!$A:$A,增益!$H:$H,0))</f>
        <v>0</v>
      </c>
      <c r="AS135">
        <f t="shared" si="72"/>
        <v>0</v>
      </c>
      <c r="AT135">
        <f t="shared" si="73"/>
        <v>0</v>
      </c>
      <c r="AU135" s="35" cm="1">
        <f t="array" ref="AU135">IF($F$11-$I$4+VLOOKUP($Q135,武学奇术!$A:$ZZ,9,FALSE)+SUM(_xlfn.XLOOKUP(R135:AF135,增益!$A:$A,增益!$I:$I,0))&gt;0,($F$11-$I$4+VLOOKUP($Q135,武学奇术!$A:$ZZ,9,FALSE)+SUM(_xlfn.XLOOKUP(R135:AF135,增益!$A:$A,增益!$I:$I,0)))/200,($F$11-$I$4+VLOOKUP($Q135,武学奇术!$A:$ZZ,9,FALSE)+SUM(_xlfn.XLOOKUP(R135:AF135,增益!$A:$A,增益!$I:$I,0)))/100)</f>
        <v>-0.3</v>
      </c>
      <c r="AV135" s="35" cm="1">
        <f t="array" ref="AV135">$G$11+VLOOKUP($Q135,武学奇术!$A:$ZZ,10,FALSE)+SUM(_xlfn.XLOOKUP(R135:AF135,增益!$A:$A,增益!$J:$J,0))</f>
        <v>0</v>
      </c>
      <c r="AW135">
        <f t="shared" si="74"/>
        <v>0</v>
      </c>
      <c r="AX135">
        <f t="shared" si="75"/>
        <v>0</v>
      </c>
      <c r="AY135" s="35" cm="1">
        <f t="array" ref="AY135">IF($F$12-$I$4+VLOOKUP($Q135,武学奇术!$A:$ZZ,11,FALSE)+SUM(_xlfn.XLOOKUP(R135:AF135,增益!$A:$A,增益!$K:$K,0))&gt;0,($F$12-$I$4+VLOOKUP($Q135,武学奇术!$A:$ZZ,11,FALSE)+SUM(_xlfn.XLOOKUP(R135:AF135,增益!$A:$A,增益!$K:$K,0)))/200,($F$12-$I$4+VLOOKUP($Q135,武学奇术!$A:$ZZ,11,FALSE)+SUM(_xlfn.XLOOKUP(R135:AF135,增益!$A:$A,增益!$K:$K,0)))/100)</f>
        <v>-0.3</v>
      </c>
      <c r="AZ135" s="35" cm="1">
        <f t="array" ref="AZ135">$G$12+VLOOKUP($Q135,武学奇术!$A:$ZZ,12,FALSE)+SUM(_xlfn.XLOOKUP(R135:AF135,增益!$A:$A,增益!$L:$L,0))</f>
        <v>0</v>
      </c>
      <c r="BA135">
        <f t="shared" si="76"/>
        <v>0</v>
      </c>
      <c r="BB135">
        <f t="shared" si="77"/>
        <v>0</v>
      </c>
      <c r="BC135" s="35" cm="1">
        <f t="array" ref="BC135">IF($F$13-$I$4+VLOOKUP($Q135,武学奇术!$A:$ZZ,13,FALSE)+SUM(_xlfn.XLOOKUP(R135:AF135,增益!$A:$A,增益!$M:$M,0))&gt;0,($F$13-$I$4+VLOOKUP($Q135,武学奇术!$A:$ZZ,13,FALSE)+SUM(_xlfn.XLOOKUP(R135:AF135,增益!$A:$A,增益!$K:$K,0)))/200,($F$13-$I$4+VLOOKUP($Q135,武学奇术!$A:$ZZ,13,FALSE)+SUM(_xlfn.XLOOKUP(R135:AF135,增益!$A:$A,增益!$M:$M,0)))/100)</f>
        <v>-0.3</v>
      </c>
      <c r="BD135" s="35" cm="1">
        <f t="array" ref="BD135">$G$13+VLOOKUP($Q135,武学奇术!$A:$ZZ,14,FALSE)+SUM(_xlfn.XLOOKUP(R135:AF135,增益!$A:$A,增益!$N:$N,0))</f>
        <v>0</v>
      </c>
      <c r="BE135">
        <f t="shared" si="78"/>
        <v>538</v>
      </c>
      <c r="BF135">
        <f t="shared" si="79"/>
        <v>1561.4</v>
      </c>
      <c r="BG135" s="35" cm="1">
        <f t="array" ref="BG135">IF($F$14-$I$4+VLOOKUP($Q135,武学奇术!$A:$ZZ,15,FALSE)+SUM(_xlfn.XLOOKUP(R135:AF135,增益!$A:$A,增益!$O:$O,0))&gt;0,($F$14-$I$4+VLOOKUP($Q135,武学奇术!$A:$ZZ,15,FALSE)+SUM(_xlfn.XLOOKUP(R135:AF135,增益!$A:$A,增益!$O:$O,0)))/200,($F$14-$I$4+VLOOKUP($Q135,武学奇术!$A:$ZZ,15,FALSE)+SUM(_xlfn.XLOOKUP(R135:AF135,增益!$A:$A,增益!$O:$O,0)))/100)</f>
        <v>0</v>
      </c>
      <c r="BH135" s="35" cm="1">
        <f t="array" ref="BH135">$G$14+VLOOKUP($Q135,武学奇术!$A:$ZZ,16,FALSE)+SUM(_xlfn.XLOOKUP(R135:AF135,增益!$A:$A,增益!$P:$P,0))</f>
        <v>0.15</v>
      </c>
      <c r="BI135" s="30">
        <f>MIN(IF(VLOOKUP($Q135,武学奇术!$A:$ZZ,23,FALSE)=1,100%,$B$8),100%)</f>
        <v>0.9712</v>
      </c>
      <c r="BJ135" s="30" cm="1">
        <f t="array" ref="BJ135">IF(VLOOKUP($Q135,武学奇术!$A:$ZZ,23,FALSE)=1,100%,MIN(80%,$B$9+VLOOKUP($Q135,武学奇术!$A:$ZZ,17,FALSE)+SUM(_xlfn.XLOOKUP(R135:AF135,增益!$A:$A,增益!$Q:$Q,0)))+$B$11+SUM(_xlfn.XLOOKUP(R135:AF135,增益!$A:$A,增益!$U:$U,0)))*IF(VLOOKUP($Q135,武学奇术!$A:$ZZ,24,FALSE)=1,0,1)</f>
        <v>0.8773</v>
      </c>
      <c r="BK135" s="30" cm="1">
        <f t="array" ref="BK135">1+$B$13+VLOOKUP($Q135,武学奇术!$A:$ZZ,18,FALSE)+SUM(_xlfn.XLOOKUP(R135:AF135,增益!$A:$A,增益!$R:$R,0))</f>
        <v>1.5</v>
      </c>
      <c r="BL135" s="30" cm="1">
        <f t="array" ref="BL135">IF(VLOOKUP($Q135,武学奇术!$A:$ZZ,24,FALSE)=1,100%,MIN(40%,$B$10+VLOOKUP($Q135,武学奇术!$A:$ZZ,19,FALSE)+SUM(_xlfn.XLOOKUP(R135:AF135,增益!$A:$A,增益!$S:$S,0)))+$B$12+SUM(_xlfn.XLOOKUP(R135:AF135,增益!$A:$A,增益!$V:$V,0)))*IF(VLOOKUP($Q135,武学奇术!$A:$ZZ,23,FALSE)=1,0,1)</f>
        <v>0.0895</v>
      </c>
      <c r="BM135" s="30" cm="1">
        <f t="array" ref="BM135">1+$B$14+VLOOKUP($Q135,武学奇术!$A:$ZZ,20,FALSE)+SUM(_xlfn.XLOOKUP(R135:AF135,增益!$A:$A,增益!$T:$T,0))</f>
        <v>1.35</v>
      </c>
      <c r="BN135" s="30">
        <f t="shared" si="80"/>
        <v>0.85203376</v>
      </c>
      <c r="BO135" s="30">
        <f t="shared" si="81"/>
        <v>0.03224384</v>
      </c>
      <c r="BP135" s="30">
        <f>IF(VLOOKUP($Q135,武学奇术!$A:$ZZ,22,FALSE)=1,0,(1-$BI135))*(1-$BL135)</f>
        <v>0.0262224</v>
      </c>
      <c r="BQ135" s="30" cm="1">
        <f t="array" ref="BQ135">SUM(_xlfn.XLOOKUP(R135:AF135,增益!$A:$A,增益!$W:$W,0))+$I$5</f>
        <v>0.11</v>
      </c>
    </row>
    <row r="136" spans="1:69">
      <c r="K136" s="41">
        <f t="shared" si="82"/>
        <v>0</v>
      </c>
      <c r="L136" s="41">
        <f>((($AN136+$AO136)/2*$AH136+$AI136)*(1+$AP136)*(1+$AQ136)+(($AS136+$AT136)/2*IF($G$1="鸣金",$AJ136,$AH136)+IF($G$1="鸣金",$AK136*1.5,0))*(1+$AU136)*(1+$AV136)+(($AW136+$AX136)/2*IF($G$1="裂石",$AJ136,$AH136)+IF($G$1="裂石",$AK136*1.5,0))*(1+$AY136)*(1+$AZ136)+(($BA136+$BB136)/2*IF($G$1="牵丝",$AJ136,$AH136)+IF($G$1="牵丝",$AK136*1.5,0))*(1+$BC136)*(1+$BD136)+(($BE136+$BF136)/2*IF($G$1="破竹",$AJ136,$AH136)+IF($G$1="破竹",$AK136*1.5,0))*(1+$BG136)*(1+$BH136))*(1+$AL136)*$BK136*$P136*(1+IF(VLOOKUP($Q136,武学奇术!$A:$ZZ,30,FALSE)="回旋伞",$B$21,0))*(1+$BQ136)</f>
        <v>0</v>
      </c>
      <c r="M136" s="41">
        <f>(($AO136*$AH136+$AI136)*(1+$AP136)*(1+$AQ136)+($AT136*IF($G$1="鸣金",$AJ136,$AH136)+IF($G$1="鸣金",$AK136*1.5,0))*(1+$AU136)*(1+$AV136)+($AX136*IF($G$1="裂石",$AJ136,$AH136)+IF($G$1="裂石",$AK136*1.5,0))*(1+$AY136)*(1+$AZ136)+($BB136*IF($G$1="牵丝",$AJ136,$AH136)+IF($G$1="牵丝",$AK136*1.5,0))*(1+$BC136)*(1+$BD136)+($BF136*IF($G$1="破竹",$AJ136,$AH136)+IF($G$1="破竹",$AK136*1.5,0))*(1+$BG136)*(1+$BH136))*(1+$AL136)*$BM136*$P136*(1+IF(VLOOKUP($Q136,武学奇术!$A:$ZZ,30,FALSE)="回旋伞",$B$21,0))*(1+$BQ136)</f>
        <v>0</v>
      </c>
      <c r="N136" s="41">
        <f>((($AN136+$AO136)/2*$AH136+$AI136)*(1+$AP136)*(1+$AQ136)+(($AS136+$AT136)/2*IF($G$1="鸣金",$AJ136,$AH136)+IF($G$1="鸣金",$AK136*1.5,0))*(1+$AU136)*(1+$AV136)+(($AW136+$AX136)/2*IF($G$1="裂石",$AJ136,$AH136)+IF($G$1="裂石",$AK136*1.5,0))*(1+$AY136)*(1+$AZ136)+(($BA136+$BB136)/2*IF($G$1="牵丝",$AJ136,$AH136)+IF($G$1="牵丝",$AK136*1.5,0))*(1+$BC136)*(1+$BD136)+(($BE136+$BF136)/2*IF($G$1="破竹",$AJ136,$AH136)+IF($G$1="破竹",$AK136*1.5,0))*(1+$BG136)*(1+$BH136))*(1+$AL136)*$P136*(1+IF(VLOOKUP($Q136,武学奇术!$A:$ZZ,30,FALSE)="回旋伞",$B$21,0))*(1+$BQ136)</f>
        <v>0</v>
      </c>
      <c r="O136" s="41">
        <f>((($AN136*$AH136+$AI136)*(1+$AP136)*(1+$AQ136)+($AS136*IF($G$1="鸣金",$AJ136,$AH136)+IF($G$1="鸣金",$AK136*1.5,0))*(1+$AU136)*(1+$AV136)+($AW136*IF($G$1="裂石",$AJ136,$AH136)+IF($G$1="裂石",$AK136*1.5,0))*(1+$AY136)*(1+$AZ136)+($BA136*IF($G$1="牵丝",$AJ136,$AH136)+IF($G$1="牵丝",$AK136*1.5,0))*(1+$BC136)*(1+$BD136)+($BE136*IF($G$1="破竹",$AJ136,$AH136)+IF($G$1="破竹",$AK136*1.5,0))*(1+$BG136)*(1+$BH136))*(1+$AL136))*$P136*(1+IF(VLOOKUP($Q136,武学奇术!$A:$ZZ,30,FALSE)="回旋伞",$B$21,0))*(1+$BQ136)</f>
        <v>0</v>
      </c>
      <c r="P136" s="42">
        <v>1</v>
      </c>
      <c r="Q136" s="43" t="s">
        <v>71</v>
      </c>
      <c r="R136" s="43" t="s">
        <v>71</v>
      </c>
      <c r="S136" s="43" t="s">
        <v>71</v>
      </c>
      <c r="T136" s="43" t="s">
        <v>71</v>
      </c>
      <c r="U136" s="43" t="s">
        <v>71</v>
      </c>
      <c r="V136" s="43" t="s">
        <v>71</v>
      </c>
      <c r="W136" s="43" t="s">
        <v>71</v>
      </c>
      <c r="X136" s="43" t="s">
        <v>71</v>
      </c>
      <c r="Y136" s="43" t="s">
        <v>71</v>
      </c>
      <c r="Z136" s="43" t="s">
        <v>71</v>
      </c>
      <c r="AA136" s="43" t="s">
        <v>71</v>
      </c>
      <c r="AB136" s="43" t="s">
        <v>71</v>
      </c>
      <c r="AC136" s="43" t="s">
        <v>71</v>
      </c>
      <c r="AD136" s="43" t="s">
        <v>71</v>
      </c>
      <c r="AE136" s="43" t="s">
        <v>71</v>
      </c>
      <c r="AF136" s="43" t="s">
        <v>76</v>
      </c>
      <c r="AG136" t="str">
        <f>VLOOKUP($Q136,武学奇术!$A:$ZZ,25,FALSE)</f>
        <v>心法</v>
      </c>
      <c r="AH136" s="30">
        <f>VLOOKUP($Q136,武学奇术!$A:$ZZ,26,FALSE)</f>
        <v>0</v>
      </c>
      <c r="AI136" s="31">
        <f>VLOOKUP($Q136,武学奇术!$A:$ZZ,27,FALSE)*(1+IF(OR($AG136=$F$4,$AG136=$F$5),$B$22,0))</f>
        <v>0</v>
      </c>
      <c r="AJ136" s="30">
        <f>VLOOKUP($Q136,武学奇术!$A:$ZZ,28,FALSE)</f>
        <v>0</v>
      </c>
      <c r="AK136" s="31">
        <f>VLOOKUP($Q136,武学奇术!$A:$ZZ,29,FALSE)*(1+IF(OR($AG136=$F$4,$AG136=$F$5),$B$22,0))</f>
        <v>0</v>
      </c>
      <c r="AL136" s="30" cm="1">
        <f t="array" ref="AL136">$G$3+IFERROR(VLOOKUP($AG136,$F$4:$G$7,2,FALSE),0)+VLOOKUP($Q136,武学奇术!$A:$ZZ,2,FALSE)+SUM(_xlfn.XLOOKUP($R136:$AF136,增益!$A:$A,增益!$B:$B,0))</f>
        <v>0.1837</v>
      </c>
      <c r="AM136" s="30" cm="1">
        <f t="array" ref="AM136">VLOOKUP($Q136,武学奇术!$A:$ZZ,5,FALSE)+SUM(_xlfn.XLOOKUP($R136:$AF136,增益!$A:$A,增益!$E:$E,0))</f>
        <v>0</v>
      </c>
      <c r="AN136" cm="1">
        <f t="array" ref="AN136">$D$10*(1+$AM136)+VLOOKUP($Q136,武学奇术!$A:$ZZ,3,FALSE)+SUM(_xlfn.XLOOKUP($R136:$AF136,增益!$A:$A,增益!$C:$C,0))-$I$2</f>
        <v>3545.8</v>
      </c>
      <c r="AO136" cm="1">
        <f t="array" ref="AO136">$E$10*(1+$AM136)+VLOOKUP($Q136,武学奇术!$A:$ZZ,4,FALSE)+SUM(_xlfn.XLOOKUP($R136:$AF136,增益!$A:$A,增益!$D:$D,0))-$I$2</f>
        <v>3545.8</v>
      </c>
      <c r="AP136" s="35" cm="1">
        <f t="array" ref="AP136">IF($F$10-$I$3+VLOOKUP($Q136,武学奇术!$A:$ZZ,6,FALSE)+SUM(_xlfn.XLOOKUP(R136:AF136,增益!$A:$A,增益!$F:$F,0))&gt;0,($F$10-$I$3+VLOOKUP($Q136,武学奇术!$A:$ZZ,6,FALSE)+SUM(_xlfn.XLOOKUP(R136:AF136,增益!$A:$A,增益!$F:$F,0)))/200,($F$10-$I$3+VLOOKUP($Q136,武学奇术!$A:$ZZ,6,FALSE)+SUM(_xlfn.XLOOKUP(R136:AF136,增益!$A:$A,增益!$F:$F,0)))/100)</f>
        <v>0.2425</v>
      </c>
      <c r="AQ136" s="35" cm="1">
        <f t="array" ref="AQ136">$G$10+VLOOKUP($Q136,武学奇术!$A:$ZZ,7,FALSE)+SUM(_xlfn.XLOOKUP(R136:AF136,增益!$A:$A,增益!$G:$G,0))</f>
        <v>0.028</v>
      </c>
      <c r="AR136" s="30" cm="1">
        <f t="array" ref="AR136">VLOOKUP($Q136,武学奇术!$A:$ZZ,8,FALSE)+SUM(_xlfn.XLOOKUP(R136:AF136,增益!$A:$A,增益!$H:$H,0))</f>
        <v>0</v>
      </c>
      <c r="AS136">
        <f t="shared" si="72"/>
        <v>0</v>
      </c>
      <c r="AT136">
        <f t="shared" si="73"/>
        <v>0</v>
      </c>
      <c r="AU136" s="35" cm="1">
        <f t="array" ref="AU136">IF($F$11-$I$4+VLOOKUP($Q136,武学奇术!$A:$ZZ,9,FALSE)+SUM(_xlfn.XLOOKUP(R136:AF136,增益!$A:$A,增益!$I:$I,0))&gt;0,($F$11-$I$4+VLOOKUP($Q136,武学奇术!$A:$ZZ,9,FALSE)+SUM(_xlfn.XLOOKUP(R136:AF136,增益!$A:$A,增益!$I:$I,0)))/200,($F$11-$I$4+VLOOKUP($Q136,武学奇术!$A:$ZZ,9,FALSE)+SUM(_xlfn.XLOOKUP(R136:AF136,增益!$A:$A,增益!$I:$I,0)))/100)</f>
        <v>-0.3</v>
      </c>
      <c r="AV136" s="35" cm="1">
        <f t="array" ref="AV136">$G$11+VLOOKUP($Q136,武学奇术!$A:$ZZ,10,FALSE)+SUM(_xlfn.XLOOKUP(R136:AF136,增益!$A:$A,增益!$J:$J,0))</f>
        <v>0</v>
      </c>
      <c r="AW136">
        <f t="shared" si="74"/>
        <v>0</v>
      </c>
      <c r="AX136">
        <f t="shared" si="75"/>
        <v>0</v>
      </c>
      <c r="AY136" s="35" cm="1">
        <f t="array" ref="AY136">IF($F$12-$I$4+VLOOKUP($Q136,武学奇术!$A:$ZZ,11,FALSE)+SUM(_xlfn.XLOOKUP(R136:AF136,增益!$A:$A,增益!$K:$K,0))&gt;0,($F$12-$I$4+VLOOKUP($Q136,武学奇术!$A:$ZZ,11,FALSE)+SUM(_xlfn.XLOOKUP(R136:AF136,增益!$A:$A,增益!$K:$K,0)))/200,($F$12-$I$4+VLOOKUP($Q136,武学奇术!$A:$ZZ,11,FALSE)+SUM(_xlfn.XLOOKUP(R136:AF136,增益!$A:$A,增益!$K:$K,0)))/100)</f>
        <v>-0.3</v>
      </c>
      <c r="AZ136" s="35" cm="1">
        <f t="array" ref="AZ136">$G$12+VLOOKUP($Q136,武学奇术!$A:$ZZ,12,FALSE)+SUM(_xlfn.XLOOKUP(R136:AF136,增益!$A:$A,增益!$L:$L,0))</f>
        <v>0</v>
      </c>
      <c r="BA136">
        <f t="shared" si="76"/>
        <v>0</v>
      </c>
      <c r="BB136">
        <f t="shared" si="77"/>
        <v>0</v>
      </c>
      <c r="BC136" s="35" cm="1">
        <f t="array" ref="BC136">IF($F$13-$I$4+VLOOKUP($Q136,武学奇术!$A:$ZZ,13,FALSE)+SUM(_xlfn.XLOOKUP(R136:AF136,增益!$A:$A,增益!$M:$M,0))&gt;0,($F$13-$I$4+VLOOKUP($Q136,武学奇术!$A:$ZZ,13,FALSE)+SUM(_xlfn.XLOOKUP(R136:AF136,增益!$A:$A,增益!$K:$K,0)))/200,($F$13-$I$4+VLOOKUP($Q136,武学奇术!$A:$ZZ,13,FALSE)+SUM(_xlfn.XLOOKUP(R136:AF136,增益!$A:$A,增益!$M:$M,0)))/100)</f>
        <v>-0.3</v>
      </c>
      <c r="BD136" s="35" cm="1">
        <f t="array" ref="BD136">$G$13+VLOOKUP($Q136,武学奇术!$A:$ZZ,14,FALSE)+SUM(_xlfn.XLOOKUP(R136:AF136,增益!$A:$A,增益!$N:$N,0))</f>
        <v>0</v>
      </c>
      <c r="BE136">
        <f t="shared" si="78"/>
        <v>538</v>
      </c>
      <c r="BF136">
        <f t="shared" si="79"/>
        <v>1561.4</v>
      </c>
      <c r="BG136" s="35" cm="1">
        <f t="array" ref="BG136">IF($F$14-$I$4+VLOOKUP($Q136,武学奇术!$A:$ZZ,15,FALSE)+SUM(_xlfn.XLOOKUP(R136:AF136,增益!$A:$A,增益!$O:$O,0))&gt;0,($F$14-$I$4+VLOOKUP($Q136,武学奇术!$A:$ZZ,15,FALSE)+SUM(_xlfn.XLOOKUP(R136:AF136,增益!$A:$A,增益!$O:$O,0)))/200,($F$14-$I$4+VLOOKUP($Q136,武学奇术!$A:$ZZ,15,FALSE)+SUM(_xlfn.XLOOKUP(R136:AF136,增益!$A:$A,增益!$O:$O,0)))/100)</f>
        <v>0</v>
      </c>
      <c r="BH136" s="35" cm="1">
        <f t="array" ref="BH136">$G$14+VLOOKUP($Q136,武学奇术!$A:$ZZ,16,FALSE)+SUM(_xlfn.XLOOKUP(R136:AF136,增益!$A:$A,增益!$P:$P,0))</f>
        <v>0.15</v>
      </c>
      <c r="BI136" s="30">
        <f>MIN(IF(VLOOKUP($Q136,武学奇术!$A:$ZZ,23,FALSE)=1,100%,$B$8),100%)</f>
        <v>0.9712</v>
      </c>
      <c r="BJ136" s="30" cm="1">
        <f t="array" ref="BJ136">IF(VLOOKUP($Q136,武学奇术!$A:$ZZ,23,FALSE)=1,100%,MIN(80%,$B$9+VLOOKUP($Q136,武学奇术!$A:$ZZ,17,FALSE)+SUM(_xlfn.XLOOKUP(R136:AF136,增益!$A:$A,增益!$Q:$Q,0)))+$B$11+SUM(_xlfn.XLOOKUP(R136:AF136,增益!$A:$A,增益!$U:$U,0)))*IF(VLOOKUP($Q136,武学奇术!$A:$ZZ,24,FALSE)=1,0,1)</f>
        <v>0.8773</v>
      </c>
      <c r="BK136" s="30" cm="1">
        <f t="array" ref="BK136">1+$B$13+VLOOKUP($Q136,武学奇术!$A:$ZZ,18,FALSE)+SUM(_xlfn.XLOOKUP(R136:AF136,增益!$A:$A,增益!$R:$R,0))</f>
        <v>1.5</v>
      </c>
      <c r="BL136" s="30" cm="1">
        <f t="array" ref="BL136">IF(VLOOKUP($Q136,武学奇术!$A:$ZZ,24,FALSE)=1,100%,MIN(40%,$B$10+VLOOKUP($Q136,武学奇术!$A:$ZZ,19,FALSE)+SUM(_xlfn.XLOOKUP(R136:AF136,增益!$A:$A,增益!$S:$S,0)))+$B$12+SUM(_xlfn.XLOOKUP(R136:AF136,增益!$A:$A,增益!$V:$V,0)))*IF(VLOOKUP($Q136,武学奇术!$A:$ZZ,23,FALSE)=1,0,1)</f>
        <v>0.0895</v>
      </c>
      <c r="BM136" s="30" cm="1">
        <f t="array" ref="BM136">1+$B$14+VLOOKUP($Q136,武学奇术!$A:$ZZ,20,FALSE)+SUM(_xlfn.XLOOKUP(R136:AF136,增益!$A:$A,增益!$T:$T,0))</f>
        <v>1.35</v>
      </c>
      <c r="BN136" s="30">
        <f t="shared" si="80"/>
        <v>0.85203376</v>
      </c>
      <c r="BO136" s="30">
        <f t="shared" si="81"/>
        <v>0.03224384</v>
      </c>
      <c r="BP136" s="30">
        <f>IF(VLOOKUP($Q136,武学奇术!$A:$ZZ,22,FALSE)=1,0,(1-$BI136))*(1-$BL136)</f>
        <v>0.0262224</v>
      </c>
      <c r="BQ136" s="30" cm="1">
        <f t="array" ref="BQ136">SUM(_xlfn.XLOOKUP(R136:AF136,增益!$A:$A,增益!$W:$W,0))+$I$5</f>
        <v>0.11</v>
      </c>
    </row>
    <row r="137" spans="1:69">
      <c r="K137" s="41">
        <f t="shared" si="82"/>
        <v>0</v>
      </c>
      <c r="L137" s="41">
        <f>((($AN137+$AO137)/2*$AH137+$AI137)*(1+$AP137)*(1+$AQ137)+(($AS137+$AT137)/2*IF($G$1="鸣金",$AJ137,$AH137)+IF($G$1="鸣金",$AK137*1.5,0))*(1+$AU137)*(1+$AV137)+(($AW137+$AX137)/2*IF($G$1="裂石",$AJ137,$AH137)+IF($G$1="裂石",$AK137*1.5,0))*(1+$AY137)*(1+$AZ137)+(($BA137+$BB137)/2*IF($G$1="牵丝",$AJ137,$AH137)+IF($G$1="牵丝",$AK137*1.5,0))*(1+$BC137)*(1+$BD137)+(($BE137+$BF137)/2*IF($G$1="破竹",$AJ137,$AH137)+IF($G$1="破竹",$AK137*1.5,0))*(1+$BG137)*(1+$BH137))*(1+$AL137)*$BK137*$P137*(1+IF(VLOOKUP($Q137,武学奇术!$A:$ZZ,30,FALSE)="回旋伞",$B$21,0))*(1+$BQ137)</f>
        <v>0</v>
      </c>
      <c r="M137" s="41">
        <f>(($AO137*$AH137+$AI137)*(1+$AP137)*(1+$AQ137)+($AT137*IF($G$1="鸣金",$AJ137,$AH137)+IF($G$1="鸣金",$AK137*1.5,0))*(1+$AU137)*(1+$AV137)+($AX137*IF($G$1="裂石",$AJ137,$AH137)+IF($G$1="裂石",$AK137*1.5,0))*(1+$AY137)*(1+$AZ137)+($BB137*IF($G$1="牵丝",$AJ137,$AH137)+IF($G$1="牵丝",$AK137*1.5,0))*(1+$BC137)*(1+$BD137)+($BF137*IF($G$1="破竹",$AJ137,$AH137)+IF($G$1="破竹",$AK137*1.5,0))*(1+$BG137)*(1+$BH137))*(1+$AL137)*$BM137*$P137*(1+IF(VLOOKUP($Q137,武学奇术!$A:$ZZ,30,FALSE)="回旋伞",$B$21,0))*(1+$BQ137)</f>
        <v>0</v>
      </c>
      <c r="N137" s="41">
        <f>((($AN137+$AO137)/2*$AH137+$AI137)*(1+$AP137)*(1+$AQ137)+(($AS137+$AT137)/2*IF($G$1="鸣金",$AJ137,$AH137)+IF($G$1="鸣金",$AK137*1.5,0))*(1+$AU137)*(1+$AV137)+(($AW137+$AX137)/2*IF($G$1="裂石",$AJ137,$AH137)+IF($G$1="裂石",$AK137*1.5,0))*(1+$AY137)*(1+$AZ137)+(($BA137+$BB137)/2*IF($G$1="牵丝",$AJ137,$AH137)+IF($G$1="牵丝",$AK137*1.5,0))*(1+$BC137)*(1+$BD137)+(($BE137+$BF137)/2*IF($G$1="破竹",$AJ137,$AH137)+IF($G$1="破竹",$AK137*1.5,0))*(1+$BG137)*(1+$BH137))*(1+$AL137)*$P137*(1+IF(VLOOKUP($Q137,武学奇术!$A:$ZZ,30,FALSE)="回旋伞",$B$21,0))*(1+$BQ137)</f>
        <v>0</v>
      </c>
      <c r="O137" s="41">
        <f>((($AN137*$AH137+$AI137)*(1+$AP137)*(1+$AQ137)+($AS137*IF($G$1="鸣金",$AJ137,$AH137)+IF($G$1="鸣金",$AK137*1.5,0))*(1+$AU137)*(1+$AV137)+($AW137*IF($G$1="裂石",$AJ137,$AH137)+IF($G$1="裂石",$AK137*1.5,0))*(1+$AY137)*(1+$AZ137)+($BA137*IF($G$1="牵丝",$AJ137,$AH137)+IF($G$1="牵丝",$AK137*1.5,0))*(1+$BC137)*(1+$BD137)+($BE137*IF($G$1="破竹",$AJ137,$AH137)+IF($G$1="破竹",$AK137*1.5,0))*(1+$BG137)*(1+$BH137))*(1+$AL137))*$P137*(1+IF(VLOOKUP($Q137,武学奇术!$A:$ZZ,30,FALSE)="回旋伞",$B$21,0))*(1+$BQ137)</f>
        <v>0</v>
      </c>
      <c r="P137" s="42">
        <v>1</v>
      </c>
      <c r="Q137" s="43" t="s">
        <v>71</v>
      </c>
      <c r="R137" s="43" t="s">
        <v>71</v>
      </c>
      <c r="S137" s="43" t="s">
        <v>71</v>
      </c>
      <c r="T137" s="43" t="s">
        <v>71</v>
      </c>
      <c r="U137" s="43" t="s">
        <v>71</v>
      </c>
      <c r="V137" s="43" t="s">
        <v>71</v>
      </c>
      <c r="W137" s="43" t="s">
        <v>71</v>
      </c>
      <c r="X137" s="43" t="s">
        <v>71</v>
      </c>
      <c r="Y137" s="43" t="s">
        <v>71</v>
      </c>
      <c r="Z137" s="43" t="s">
        <v>71</v>
      </c>
      <c r="AA137" s="43" t="s">
        <v>71</v>
      </c>
      <c r="AB137" s="43" t="s">
        <v>71</v>
      </c>
      <c r="AC137" s="43" t="s">
        <v>71</v>
      </c>
      <c r="AD137" s="43" t="s">
        <v>71</v>
      </c>
      <c r="AE137" s="43" t="s">
        <v>71</v>
      </c>
      <c r="AF137" s="43" t="s">
        <v>76</v>
      </c>
      <c r="AG137" t="str">
        <f>VLOOKUP($Q137,武学奇术!$A:$ZZ,25,FALSE)</f>
        <v>心法</v>
      </c>
      <c r="AH137" s="30">
        <f>VLOOKUP($Q137,武学奇术!$A:$ZZ,26,FALSE)</f>
        <v>0</v>
      </c>
      <c r="AI137" s="31">
        <f>VLOOKUP($Q137,武学奇术!$A:$ZZ,27,FALSE)*(1+IF(OR($AG137=$F$4,$AG137=$F$5),$B$22,0))</f>
        <v>0</v>
      </c>
      <c r="AJ137" s="30">
        <f>VLOOKUP($Q137,武学奇术!$A:$ZZ,28,FALSE)</f>
        <v>0</v>
      </c>
      <c r="AK137" s="31">
        <f>VLOOKUP($Q137,武学奇术!$A:$ZZ,29,FALSE)*(1+IF(OR($AG137=$F$4,$AG137=$F$5),$B$22,0))</f>
        <v>0</v>
      </c>
      <c r="AL137" s="30" cm="1">
        <f t="array" ref="AL137">$G$3+IFERROR(VLOOKUP($AG137,$F$4:$G$7,2,FALSE),0)+VLOOKUP($Q137,武学奇术!$A:$ZZ,2,FALSE)+SUM(_xlfn.XLOOKUP($R137:$AF137,增益!$A:$A,增益!$B:$B,0))</f>
        <v>0.1837</v>
      </c>
      <c r="AM137" s="30" cm="1">
        <f t="array" ref="AM137">VLOOKUP($Q137,武学奇术!$A:$ZZ,5,FALSE)+SUM(_xlfn.XLOOKUP($R137:$AF137,增益!$A:$A,增益!$E:$E,0))</f>
        <v>0</v>
      </c>
      <c r="AN137" cm="1">
        <f t="array" ref="AN137">$D$10*(1+$AM137)+VLOOKUP($Q137,武学奇术!$A:$ZZ,3,FALSE)+SUM(_xlfn.XLOOKUP($R137:$AF137,增益!$A:$A,增益!$C:$C,0))-$I$2</f>
        <v>3545.8</v>
      </c>
      <c r="AO137" cm="1">
        <f t="array" ref="AO137">$E$10*(1+$AM137)+VLOOKUP($Q137,武学奇术!$A:$ZZ,4,FALSE)+SUM(_xlfn.XLOOKUP($R137:$AF137,增益!$A:$A,增益!$D:$D,0))-$I$2</f>
        <v>3545.8</v>
      </c>
      <c r="AP137" s="35" cm="1">
        <f t="array" ref="AP137">IF($F$10-$I$3+VLOOKUP($Q137,武学奇术!$A:$ZZ,6,FALSE)+SUM(_xlfn.XLOOKUP(R137:AF137,增益!$A:$A,增益!$F:$F,0))&gt;0,($F$10-$I$3+VLOOKUP($Q137,武学奇术!$A:$ZZ,6,FALSE)+SUM(_xlfn.XLOOKUP(R137:AF137,增益!$A:$A,增益!$F:$F,0)))/200,($F$10-$I$3+VLOOKUP($Q137,武学奇术!$A:$ZZ,6,FALSE)+SUM(_xlfn.XLOOKUP(R137:AF137,增益!$A:$A,增益!$F:$F,0)))/100)</f>
        <v>0.2425</v>
      </c>
      <c r="AQ137" s="35" cm="1">
        <f t="array" ref="AQ137">$G$10+VLOOKUP($Q137,武学奇术!$A:$ZZ,7,FALSE)+SUM(_xlfn.XLOOKUP(R137:AF137,增益!$A:$A,增益!$G:$G,0))</f>
        <v>0.028</v>
      </c>
      <c r="AR137" s="30" cm="1">
        <f t="array" ref="AR137">VLOOKUP($Q137,武学奇术!$A:$ZZ,8,FALSE)+SUM(_xlfn.XLOOKUP(R137:AF137,增益!$A:$A,增益!$H:$H,0))</f>
        <v>0</v>
      </c>
      <c r="AS137">
        <f t="shared" si="72"/>
        <v>0</v>
      </c>
      <c r="AT137">
        <f t="shared" si="73"/>
        <v>0</v>
      </c>
      <c r="AU137" s="35" cm="1">
        <f t="array" ref="AU137">IF($F$11-$I$4+VLOOKUP($Q137,武学奇术!$A:$ZZ,9,FALSE)+SUM(_xlfn.XLOOKUP(R137:AF137,增益!$A:$A,增益!$I:$I,0))&gt;0,($F$11-$I$4+VLOOKUP($Q137,武学奇术!$A:$ZZ,9,FALSE)+SUM(_xlfn.XLOOKUP(R137:AF137,增益!$A:$A,增益!$I:$I,0)))/200,($F$11-$I$4+VLOOKUP($Q137,武学奇术!$A:$ZZ,9,FALSE)+SUM(_xlfn.XLOOKUP(R137:AF137,增益!$A:$A,增益!$I:$I,0)))/100)</f>
        <v>-0.3</v>
      </c>
      <c r="AV137" s="35" cm="1">
        <f t="array" ref="AV137">$G$11+VLOOKUP($Q137,武学奇术!$A:$ZZ,10,FALSE)+SUM(_xlfn.XLOOKUP(R137:AF137,增益!$A:$A,增益!$J:$J,0))</f>
        <v>0</v>
      </c>
      <c r="AW137">
        <f t="shared" si="74"/>
        <v>0</v>
      </c>
      <c r="AX137">
        <f t="shared" si="75"/>
        <v>0</v>
      </c>
      <c r="AY137" s="35" cm="1">
        <f t="array" ref="AY137">IF($F$12-$I$4+VLOOKUP($Q137,武学奇术!$A:$ZZ,11,FALSE)+SUM(_xlfn.XLOOKUP(R137:AF137,增益!$A:$A,增益!$K:$K,0))&gt;0,($F$12-$I$4+VLOOKUP($Q137,武学奇术!$A:$ZZ,11,FALSE)+SUM(_xlfn.XLOOKUP(R137:AF137,增益!$A:$A,增益!$K:$K,0)))/200,($F$12-$I$4+VLOOKUP($Q137,武学奇术!$A:$ZZ,11,FALSE)+SUM(_xlfn.XLOOKUP(R137:AF137,增益!$A:$A,增益!$K:$K,0)))/100)</f>
        <v>-0.3</v>
      </c>
      <c r="AZ137" s="35" cm="1">
        <f t="array" ref="AZ137">$G$12+VLOOKUP($Q137,武学奇术!$A:$ZZ,12,FALSE)+SUM(_xlfn.XLOOKUP(R137:AF137,增益!$A:$A,增益!$L:$L,0))</f>
        <v>0</v>
      </c>
      <c r="BA137">
        <f t="shared" si="76"/>
        <v>0</v>
      </c>
      <c r="BB137">
        <f t="shared" si="77"/>
        <v>0</v>
      </c>
      <c r="BC137" s="35" cm="1">
        <f t="array" ref="BC137">IF($F$13-$I$4+VLOOKUP($Q137,武学奇术!$A:$ZZ,13,FALSE)+SUM(_xlfn.XLOOKUP(R137:AF137,增益!$A:$A,增益!$M:$M,0))&gt;0,($F$13-$I$4+VLOOKUP($Q137,武学奇术!$A:$ZZ,13,FALSE)+SUM(_xlfn.XLOOKUP(R137:AF137,增益!$A:$A,增益!$K:$K,0)))/200,($F$13-$I$4+VLOOKUP($Q137,武学奇术!$A:$ZZ,13,FALSE)+SUM(_xlfn.XLOOKUP(R137:AF137,增益!$A:$A,增益!$M:$M,0)))/100)</f>
        <v>-0.3</v>
      </c>
      <c r="BD137" s="35" cm="1">
        <f t="array" ref="BD137">$G$13+VLOOKUP($Q137,武学奇术!$A:$ZZ,14,FALSE)+SUM(_xlfn.XLOOKUP(R137:AF137,增益!$A:$A,增益!$N:$N,0))</f>
        <v>0</v>
      </c>
      <c r="BE137">
        <f t="shared" si="78"/>
        <v>538</v>
      </c>
      <c r="BF137">
        <f t="shared" si="79"/>
        <v>1561.4</v>
      </c>
      <c r="BG137" s="35" cm="1">
        <f t="array" ref="BG137">IF($F$14-$I$4+VLOOKUP($Q137,武学奇术!$A:$ZZ,15,FALSE)+SUM(_xlfn.XLOOKUP(R137:AF137,增益!$A:$A,增益!$O:$O,0))&gt;0,($F$14-$I$4+VLOOKUP($Q137,武学奇术!$A:$ZZ,15,FALSE)+SUM(_xlfn.XLOOKUP(R137:AF137,增益!$A:$A,增益!$O:$O,0)))/200,($F$14-$I$4+VLOOKUP($Q137,武学奇术!$A:$ZZ,15,FALSE)+SUM(_xlfn.XLOOKUP(R137:AF137,增益!$A:$A,增益!$O:$O,0)))/100)</f>
        <v>0</v>
      </c>
      <c r="BH137" s="35" cm="1">
        <f t="array" ref="BH137">$G$14+VLOOKUP($Q137,武学奇术!$A:$ZZ,16,FALSE)+SUM(_xlfn.XLOOKUP(R137:AF137,增益!$A:$A,增益!$P:$P,0))</f>
        <v>0.15</v>
      </c>
      <c r="BI137" s="30">
        <f>MIN(IF(VLOOKUP($Q137,武学奇术!$A:$ZZ,23,FALSE)=1,100%,$B$8),100%)</f>
        <v>0.9712</v>
      </c>
      <c r="BJ137" s="30" cm="1">
        <f t="array" ref="BJ137">IF(VLOOKUP($Q137,武学奇术!$A:$ZZ,23,FALSE)=1,100%,MIN(80%,$B$9+VLOOKUP($Q137,武学奇术!$A:$ZZ,17,FALSE)+SUM(_xlfn.XLOOKUP(R137:AF137,增益!$A:$A,增益!$Q:$Q,0)))+$B$11+SUM(_xlfn.XLOOKUP(R137:AF137,增益!$A:$A,增益!$U:$U,0)))*IF(VLOOKUP($Q137,武学奇术!$A:$ZZ,24,FALSE)=1,0,1)</f>
        <v>0.8773</v>
      </c>
      <c r="BK137" s="30" cm="1">
        <f t="array" ref="BK137">1+$B$13+VLOOKUP($Q137,武学奇术!$A:$ZZ,18,FALSE)+SUM(_xlfn.XLOOKUP(R137:AF137,增益!$A:$A,增益!$R:$R,0))</f>
        <v>1.5</v>
      </c>
      <c r="BL137" s="30" cm="1">
        <f t="array" ref="BL137">IF(VLOOKUP($Q137,武学奇术!$A:$ZZ,24,FALSE)=1,100%,MIN(40%,$B$10+VLOOKUP($Q137,武学奇术!$A:$ZZ,19,FALSE)+SUM(_xlfn.XLOOKUP(R137:AF137,增益!$A:$A,增益!$S:$S,0)))+$B$12+SUM(_xlfn.XLOOKUP(R137:AF137,增益!$A:$A,增益!$V:$V,0)))*IF(VLOOKUP($Q137,武学奇术!$A:$ZZ,23,FALSE)=1,0,1)</f>
        <v>0.0895</v>
      </c>
      <c r="BM137" s="30" cm="1">
        <f t="array" ref="BM137">1+$B$14+VLOOKUP($Q137,武学奇术!$A:$ZZ,20,FALSE)+SUM(_xlfn.XLOOKUP(R137:AF137,增益!$A:$A,增益!$T:$T,0))</f>
        <v>1.35</v>
      </c>
      <c r="BN137" s="30">
        <f t="shared" si="80"/>
        <v>0.85203376</v>
      </c>
      <c r="BO137" s="30">
        <f t="shared" si="81"/>
        <v>0.03224384</v>
      </c>
      <c r="BP137" s="30">
        <f>IF(VLOOKUP($Q137,武学奇术!$A:$ZZ,22,FALSE)=1,0,(1-$BI137))*(1-$BL137)</f>
        <v>0.0262224</v>
      </c>
      <c r="BQ137" s="30" cm="1">
        <f t="array" ref="BQ137">SUM(_xlfn.XLOOKUP(R137:AF137,增益!$A:$A,增益!$W:$W,0))+$I$5</f>
        <v>0.11</v>
      </c>
    </row>
    <row r="138" spans="1:69">
      <c r="K138" s="41">
        <f t="shared" si="82"/>
        <v>0</v>
      </c>
      <c r="L138" s="41">
        <f>((($AN138+$AO138)/2*$AH138+$AI138)*(1+$AP138)*(1+$AQ138)+(($AS138+$AT138)/2*IF($G$1="鸣金",$AJ138,$AH138)+IF($G$1="鸣金",$AK138*1.5,0))*(1+$AU138)*(1+$AV138)+(($AW138+$AX138)/2*IF($G$1="裂石",$AJ138,$AH138)+IF($G$1="裂石",$AK138*1.5,0))*(1+$AY138)*(1+$AZ138)+(($BA138+$BB138)/2*IF($G$1="牵丝",$AJ138,$AH138)+IF($G$1="牵丝",$AK138*1.5,0))*(1+$BC138)*(1+$BD138)+(($BE138+$BF138)/2*IF($G$1="破竹",$AJ138,$AH138)+IF($G$1="破竹",$AK138*1.5,0))*(1+$BG138)*(1+$BH138))*(1+$AL138)*$BK138*$P138*(1+IF(VLOOKUP($Q138,武学奇术!$A:$ZZ,30,FALSE)="回旋伞",$B$21,0))*(1+$BQ138)</f>
        <v>0</v>
      </c>
      <c r="M138" s="41">
        <f>(($AO138*$AH138+$AI138)*(1+$AP138)*(1+$AQ138)+($AT138*IF($G$1="鸣金",$AJ138,$AH138)+IF($G$1="鸣金",$AK138*1.5,0))*(1+$AU138)*(1+$AV138)+($AX138*IF($G$1="裂石",$AJ138,$AH138)+IF($G$1="裂石",$AK138*1.5,0))*(1+$AY138)*(1+$AZ138)+($BB138*IF($G$1="牵丝",$AJ138,$AH138)+IF($G$1="牵丝",$AK138*1.5,0))*(1+$BC138)*(1+$BD138)+($BF138*IF($G$1="破竹",$AJ138,$AH138)+IF($G$1="破竹",$AK138*1.5,0))*(1+$BG138)*(1+$BH138))*(1+$AL138)*$BM138*$P138*(1+IF(VLOOKUP($Q138,武学奇术!$A:$ZZ,30,FALSE)="回旋伞",$B$21,0))*(1+$BQ138)</f>
        <v>0</v>
      </c>
      <c r="N138" s="41">
        <f>((($AN138+$AO138)/2*$AH138+$AI138)*(1+$AP138)*(1+$AQ138)+(($AS138+$AT138)/2*IF($G$1="鸣金",$AJ138,$AH138)+IF($G$1="鸣金",$AK138*1.5,0))*(1+$AU138)*(1+$AV138)+(($AW138+$AX138)/2*IF($G$1="裂石",$AJ138,$AH138)+IF($G$1="裂石",$AK138*1.5,0))*(1+$AY138)*(1+$AZ138)+(($BA138+$BB138)/2*IF($G$1="牵丝",$AJ138,$AH138)+IF($G$1="牵丝",$AK138*1.5,0))*(1+$BC138)*(1+$BD138)+(($BE138+$BF138)/2*IF($G$1="破竹",$AJ138,$AH138)+IF($G$1="破竹",$AK138*1.5,0))*(1+$BG138)*(1+$BH138))*(1+$AL138)*$P138*(1+IF(VLOOKUP($Q138,武学奇术!$A:$ZZ,30,FALSE)="回旋伞",$B$21,0))*(1+$BQ138)</f>
        <v>0</v>
      </c>
      <c r="O138" s="41">
        <f>((($AN138*$AH138+$AI138)*(1+$AP138)*(1+$AQ138)+($AS138*IF($G$1="鸣金",$AJ138,$AH138)+IF($G$1="鸣金",$AK138*1.5,0))*(1+$AU138)*(1+$AV138)+($AW138*IF($G$1="裂石",$AJ138,$AH138)+IF($G$1="裂石",$AK138*1.5,0))*(1+$AY138)*(1+$AZ138)+($BA138*IF($G$1="牵丝",$AJ138,$AH138)+IF($G$1="牵丝",$AK138*1.5,0))*(1+$BC138)*(1+$BD138)+($BE138*IF($G$1="破竹",$AJ138,$AH138)+IF($G$1="破竹",$AK138*1.5,0))*(1+$BG138)*(1+$BH138))*(1+$AL138))*$P138*(1+IF(VLOOKUP($Q138,武学奇术!$A:$ZZ,30,FALSE)="回旋伞",$B$21,0))*(1+$BQ138)</f>
        <v>0</v>
      </c>
      <c r="P138" s="42">
        <v>1</v>
      </c>
      <c r="Q138" s="43" t="s">
        <v>71</v>
      </c>
      <c r="R138" s="43" t="s">
        <v>71</v>
      </c>
      <c r="S138" s="43" t="s">
        <v>71</v>
      </c>
      <c r="T138" s="43" t="s">
        <v>71</v>
      </c>
      <c r="U138" s="43" t="s">
        <v>71</v>
      </c>
      <c r="V138" s="43" t="s">
        <v>71</v>
      </c>
      <c r="W138" s="43" t="s">
        <v>71</v>
      </c>
      <c r="X138" s="43" t="s">
        <v>71</v>
      </c>
      <c r="Y138" s="43" t="s">
        <v>71</v>
      </c>
      <c r="Z138" s="43" t="s">
        <v>71</v>
      </c>
      <c r="AA138" s="43" t="s">
        <v>71</v>
      </c>
      <c r="AB138" s="43" t="s">
        <v>71</v>
      </c>
      <c r="AC138" s="43" t="s">
        <v>71</v>
      </c>
      <c r="AD138" s="43" t="s">
        <v>71</v>
      </c>
      <c r="AE138" s="43" t="s">
        <v>71</v>
      </c>
      <c r="AF138" s="43" t="s">
        <v>76</v>
      </c>
      <c r="AG138" t="str">
        <f>VLOOKUP($Q138,武学奇术!$A:$ZZ,25,FALSE)</f>
        <v>心法</v>
      </c>
      <c r="AH138" s="30">
        <f>VLOOKUP($Q138,武学奇术!$A:$ZZ,26,FALSE)</f>
        <v>0</v>
      </c>
      <c r="AI138" s="31">
        <f>VLOOKUP($Q138,武学奇术!$A:$ZZ,27,FALSE)*(1+IF(OR($AG138=$F$4,$AG138=$F$5),$B$22,0))</f>
        <v>0</v>
      </c>
      <c r="AJ138" s="30">
        <f>VLOOKUP($Q138,武学奇术!$A:$ZZ,28,FALSE)</f>
        <v>0</v>
      </c>
      <c r="AK138" s="31">
        <f>VLOOKUP($Q138,武学奇术!$A:$ZZ,29,FALSE)*(1+IF(OR($AG138=$F$4,$AG138=$F$5),$B$22,0))</f>
        <v>0</v>
      </c>
      <c r="AL138" s="30" cm="1">
        <f t="array" ref="AL138">$G$3+IFERROR(VLOOKUP($AG138,$F$4:$G$7,2,FALSE),0)+VLOOKUP($Q138,武学奇术!$A:$ZZ,2,FALSE)+SUM(_xlfn.XLOOKUP($R138:$AF138,增益!$A:$A,增益!$B:$B,0))</f>
        <v>0.1837</v>
      </c>
      <c r="AM138" s="30" cm="1">
        <f t="array" ref="AM138">VLOOKUP($Q138,武学奇术!$A:$ZZ,5,FALSE)+SUM(_xlfn.XLOOKUP($R138:$AF138,增益!$A:$A,增益!$E:$E,0))</f>
        <v>0</v>
      </c>
      <c r="AN138" cm="1">
        <f t="array" ref="AN138">$D$10*(1+$AM138)+VLOOKUP($Q138,武学奇术!$A:$ZZ,3,FALSE)+SUM(_xlfn.XLOOKUP($R138:$AF138,增益!$A:$A,增益!$C:$C,0))-$I$2</f>
        <v>3545.8</v>
      </c>
      <c r="AO138" cm="1">
        <f t="array" ref="AO138">$E$10*(1+$AM138)+VLOOKUP($Q138,武学奇术!$A:$ZZ,4,FALSE)+SUM(_xlfn.XLOOKUP($R138:$AF138,增益!$A:$A,增益!$D:$D,0))-$I$2</f>
        <v>3545.8</v>
      </c>
      <c r="AP138" s="35" cm="1">
        <f t="array" ref="AP138">IF($F$10-$I$3+VLOOKUP($Q138,武学奇术!$A:$ZZ,6,FALSE)+SUM(_xlfn.XLOOKUP(R138:AF138,增益!$A:$A,增益!$F:$F,0))&gt;0,($F$10-$I$3+VLOOKUP($Q138,武学奇术!$A:$ZZ,6,FALSE)+SUM(_xlfn.XLOOKUP(R138:AF138,增益!$A:$A,增益!$F:$F,0)))/200,($F$10-$I$3+VLOOKUP($Q138,武学奇术!$A:$ZZ,6,FALSE)+SUM(_xlfn.XLOOKUP(R138:AF138,增益!$A:$A,增益!$F:$F,0)))/100)</f>
        <v>0.2425</v>
      </c>
      <c r="AQ138" s="35" cm="1">
        <f t="array" ref="AQ138">$G$10+VLOOKUP($Q138,武学奇术!$A:$ZZ,7,FALSE)+SUM(_xlfn.XLOOKUP(R138:AF138,增益!$A:$A,增益!$G:$G,0))</f>
        <v>0.028</v>
      </c>
      <c r="AR138" s="30" cm="1">
        <f t="array" ref="AR138">VLOOKUP($Q138,武学奇术!$A:$ZZ,8,FALSE)+SUM(_xlfn.XLOOKUP(R138:AF138,增益!$A:$A,增益!$H:$H,0))</f>
        <v>0</v>
      </c>
      <c r="AS138">
        <f t="shared" si="72"/>
        <v>0</v>
      </c>
      <c r="AT138">
        <f t="shared" si="73"/>
        <v>0</v>
      </c>
      <c r="AU138" s="35" cm="1">
        <f t="array" ref="AU138">IF($F$11-$I$4+VLOOKUP($Q138,武学奇术!$A:$ZZ,9,FALSE)+SUM(_xlfn.XLOOKUP(R138:AF138,增益!$A:$A,增益!$I:$I,0))&gt;0,($F$11-$I$4+VLOOKUP($Q138,武学奇术!$A:$ZZ,9,FALSE)+SUM(_xlfn.XLOOKUP(R138:AF138,增益!$A:$A,增益!$I:$I,0)))/200,($F$11-$I$4+VLOOKUP($Q138,武学奇术!$A:$ZZ,9,FALSE)+SUM(_xlfn.XLOOKUP(R138:AF138,增益!$A:$A,增益!$I:$I,0)))/100)</f>
        <v>-0.3</v>
      </c>
      <c r="AV138" s="35" cm="1">
        <f t="array" ref="AV138">$G$11+VLOOKUP($Q138,武学奇术!$A:$ZZ,10,FALSE)+SUM(_xlfn.XLOOKUP(R138:AF138,增益!$A:$A,增益!$J:$J,0))</f>
        <v>0</v>
      </c>
      <c r="AW138">
        <f t="shared" si="74"/>
        <v>0</v>
      </c>
      <c r="AX138">
        <f t="shared" si="75"/>
        <v>0</v>
      </c>
      <c r="AY138" s="35" cm="1">
        <f t="array" ref="AY138">IF($F$12-$I$4+VLOOKUP($Q138,武学奇术!$A:$ZZ,11,FALSE)+SUM(_xlfn.XLOOKUP(R138:AF138,增益!$A:$A,增益!$K:$K,0))&gt;0,($F$12-$I$4+VLOOKUP($Q138,武学奇术!$A:$ZZ,11,FALSE)+SUM(_xlfn.XLOOKUP(R138:AF138,增益!$A:$A,增益!$K:$K,0)))/200,($F$12-$I$4+VLOOKUP($Q138,武学奇术!$A:$ZZ,11,FALSE)+SUM(_xlfn.XLOOKUP(R138:AF138,增益!$A:$A,增益!$K:$K,0)))/100)</f>
        <v>-0.3</v>
      </c>
      <c r="AZ138" s="35" cm="1">
        <f t="array" ref="AZ138">$G$12+VLOOKUP($Q138,武学奇术!$A:$ZZ,12,FALSE)+SUM(_xlfn.XLOOKUP(R138:AF138,增益!$A:$A,增益!$L:$L,0))</f>
        <v>0</v>
      </c>
      <c r="BA138">
        <f t="shared" si="76"/>
        <v>0</v>
      </c>
      <c r="BB138">
        <f t="shared" si="77"/>
        <v>0</v>
      </c>
      <c r="BC138" s="35" cm="1">
        <f t="array" ref="BC138">IF($F$13-$I$4+VLOOKUP($Q138,武学奇术!$A:$ZZ,13,FALSE)+SUM(_xlfn.XLOOKUP(R138:AF138,增益!$A:$A,增益!$M:$M,0))&gt;0,($F$13-$I$4+VLOOKUP($Q138,武学奇术!$A:$ZZ,13,FALSE)+SUM(_xlfn.XLOOKUP(R138:AF138,增益!$A:$A,增益!$K:$K,0)))/200,($F$13-$I$4+VLOOKUP($Q138,武学奇术!$A:$ZZ,13,FALSE)+SUM(_xlfn.XLOOKUP(R138:AF138,增益!$A:$A,增益!$M:$M,0)))/100)</f>
        <v>-0.3</v>
      </c>
      <c r="BD138" s="35" cm="1">
        <f t="array" ref="BD138">$G$13+VLOOKUP($Q138,武学奇术!$A:$ZZ,14,FALSE)+SUM(_xlfn.XLOOKUP(R138:AF138,增益!$A:$A,增益!$N:$N,0))</f>
        <v>0</v>
      </c>
      <c r="BE138">
        <f t="shared" si="78"/>
        <v>538</v>
      </c>
      <c r="BF138">
        <f t="shared" si="79"/>
        <v>1561.4</v>
      </c>
      <c r="BG138" s="35" cm="1">
        <f t="array" ref="BG138">IF($F$14-$I$4+VLOOKUP($Q138,武学奇术!$A:$ZZ,15,FALSE)+SUM(_xlfn.XLOOKUP(R138:AF138,增益!$A:$A,增益!$O:$O,0))&gt;0,($F$14-$I$4+VLOOKUP($Q138,武学奇术!$A:$ZZ,15,FALSE)+SUM(_xlfn.XLOOKUP(R138:AF138,增益!$A:$A,增益!$O:$O,0)))/200,($F$14-$I$4+VLOOKUP($Q138,武学奇术!$A:$ZZ,15,FALSE)+SUM(_xlfn.XLOOKUP(R138:AF138,增益!$A:$A,增益!$O:$O,0)))/100)</f>
        <v>0</v>
      </c>
      <c r="BH138" s="35" cm="1">
        <f t="array" ref="BH138">$G$14+VLOOKUP($Q138,武学奇术!$A:$ZZ,16,FALSE)+SUM(_xlfn.XLOOKUP(R138:AF138,增益!$A:$A,增益!$P:$P,0))</f>
        <v>0.15</v>
      </c>
      <c r="BI138" s="30">
        <f>MIN(IF(VLOOKUP($Q138,武学奇术!$A:$ZZ,23,FALSE)=1,100%,$B$8),100%)</f>
        <v>0.9712</v>
      </c>
      <c r="BJ138" s="30" cm="1">
        <f t="array" ref="BJ138">IF(VLOOKUP($Q138,武学奇术!$A:$ZZ,23,FALSE)=1,100%,MIN(80%,$B$9+VLOOKUP($Q138,武学奇术!$A:$ZZ,17,FALSE)+SUM(_xlfn.XLOOKUP(R138:AF138,增益!$A:$A,增益!$Q:$Q,0)))+$B$11+SUM(_xlfn.XLOOKUP(R138:AF138,增益!$A:$A,增益!$U:$U,0)))*IF(VLOOKUP($Q138,武学奇术!$A:$ZZ,24,FALSE)=1,0,1)</f>
        <v>0.8773</v>
      </c>
      <c r="BK138" s="30" cm="1">
        <f t="array" ref="BK138">1+$B$13+VLOOKUP($Q138,武学奇术!$A:$ZZ,18,FALSE)+SUM(_xlfn.XLOOKUP(R138:AF138,增益!$A:$A,增益!$R:$R,0))</f>
        <v>1.5</v>
      </c>
      <c r="BL138" s="30" cm="1">
        <f t="array" ref="BL138">IF(VLOOKUP($Q138,武学奇术!$A:$ZZ,24,FALSE)=1,100%,MIN(40%,$B$10+VLOOKUP($Q138,武学奇术!$A:$ZZ,19,FALSE)+SUM(_xlfn.XLOOKUP(R138:AF138,增益!$A:$A,增益!$S:$S,0)))+$B$12+SUM(_xlfn.XLOOKUP(R138:AF138,增益!$A:$A,增益!$V:$V,0)))*IF(VLOOKUP($Q138,武学奇术!$A:$ZZ,23,FALSE)=1,0,1)</f>
        <v>0.0895</v>
      </c>
      <c r="BM138" s="30" cm="1">
        <f t="array" ref="BM138">1+$B$14+VLOOKUP($Q138,武学奇术!$A:$ZZ,20,FALSE)+SUM(_xlfn.XLOOKUP(R138:AF138,增益!$A:$A,增益!$T:$T,0))</f>
        <v>1.35</v>
      </c>
      <c r="BN138" s="30">
        <f t="shared" si="80"/>
        <v>0.85203376</v>
      </c>
      <c r="BO138" s="30">
        <f t="shared" si="81"/>
        <v>0.03224384</v>
      </c>
      <c r="BP138" s="30">
        <f>IF(VLOOKUP($Q138,武学奇术!$A:$ZZ,22,FALSE)=1,0,(1-$BI138))*(1-$BL138)</f>
        <v>0.0262224</v>
      </c>
      <c r="BQ138" s="30" cm="1">
        <f t="array" ref="BQ138">SUM(_xlfn.XLOOKUP(R138:AF138,增益!$A:$A,增益!$W:$W,0))+$I$5</f>
        <v>0.11</v>
      </c>
    </row>
    <row r="139" spans="1:69">
      <c r="K139" s="41">
        <f t="shared" ref="K139:K149" si="83">($L139*$BN139+$M139*$BL139+$N139*$BO139+$O139*$BP139)</f>
        <v>0</v>
      </c>
      <c r="L139" s="41">
        <f>((($AN139+$AO139)/2*$AH139+$AI139)*(1+$AP139)*(1+$AQ139)+(($AS139+$AT139)/2*IF($G$1="鸣金",$AJ139,$AH139)+IF($G$1="鸣金",$AK139*1.5,0))*(1+$AU139)*(1+$AV139)+(($AW139+$AX139)/2*IF($G$1="裂石",$AJ139,$AH139)+IF($G$1="裂石",$AK139*1.5,0))*(1+$AY139)*(1+$AZ139)+(($BA139+$BB139)/2*IF($G$1="牵丝",$AJ139,$AH139)+IF($G$1="牵丝",$AK139*1.5,0))*(1+$BC139)*(1+$BD139)+(($BE139+$BF139)/2*IF($G$1="破竹",$AJ139,$AH139)+IF($G$1="破竹",$AK139*1.5,0))*(1+$BG139)*(1+$BH139))*(1+$AL139)*$BK139*$P139*(1+IF(VLOOKUP($Q139,武学奇术!$A:$ZZ,30,FALSE)="回旋伞",$B$21,0))*(1+$BQ139)</f>
        <v>0</v>
      </c>
      <c r="M139" s="41">
        <f>(($AO139*$AH139+$AI139)*(1+$AP139)*(1+$AQ139)+($AT139*IF($G$1="鸣金",$AJ139,$AH139)+IF($G$1="鸣金",$AK139*1.5,0))*(1+$AU139)*(1+$AV139)+($AX139*IF($G$1="裂石",$AJ139,$AH139)+IF($G$1="裂石",$AK139*1.5,0))*(1+$AY139)*(1+$AZ139)+($BB139*IF($G$1="牵丝",$AJ139,$AH139)+IF($G$1="牵丝",$AK139*1.5,0))*(1+$BC139)*(1+$BD139)+($BF139*IF($G$1="破竹",$AJ139,$AH139)+IF($G$1="破竹",$AK139*1.5,0))*(1+$BG139)*(1+$BH139))*(1+$AL139)*$BM139*$P139*(1+IF(VLOOKUP($Q139,武学奇术!$A:$ZZ,30,FALSE)="回旋伞",$B$21,0))*(1+$BQ139)</f>
        <v>0</v>
      </c>
      <c r="N139" s="41">
        <f>((($AN139+$AO139)/2*$AH139+$AI139)*(1+$AP139)*(1+$AQ139)+(($AS139+$AT139)/2*IF($G$1="鸣金",$AJ139,$AH139)+IF($G$1="鸣金",$AK139*1.5,0))*(1+$AU139)*(1+$AV139)+(($AW139+$AX139)/2*IF($G$1="裂石",$AJ139,$AH139)+IF($G$1="裂石",$AK139*1.5,0))*(1+$AY139)*(1+$AZ139)+(($BA139+$BB139)/2*IF($G$1="牵丝",$AJ139,$AH139)+IF($G$1="牵丝",$AK139*1.5,0))*(1+$BC139)*(1+$BD139)+(($BE139+$BF139)/2*IF($G$1="破竹",$AJ139,$AH139)+IF($G$1="破竹",$AK139*1.5,0))*(1+$BG139)*(1+$BH139))*(1+$AL139)*$P139*(1+IF(VLOOKUP($Q139,武学奇术!$A:$ZZ,30,FALSE)="回旋伞",$B$21,0))*(1+$BQ139)</f>
        <v>0</v>
      </c>
      <c r="O139" s="41">
        <f>((($AN139*$AH139+$AI139)*(1+$AP139)*(1+$AQ139)+($AS139*IF($G$1="鸣金",$AJ139,$AH139)+IF($G$1="鸣金",$AK139*1.5,0))*(1+$AU139)*(1+$AV139)+($AW139*IF($G$1="裂石",$AJ139,$AH139)+IF($G$1="裂石",$AK139*1.5,0))*(1+$AY139)*(1+$AZ139)+($BA139*IF($G$1="牵丝",$AJ139,$AH139)+IF($G$1="牵丝",$AK139*1.5,0))*(1+$BC139)*(1+$BD139)+($BE139*IF($G$1="破竹",$AJ139,$AH139)+IF($G$1="破竹",$AK139*1.5,0))*(1+$BG139)*(1+$BH139))*(1+$AL139))*$P139*(1+IF(VLOOKUP($Q139,武学奇术!$A:$ZZ,30,FALSE)="回旋伞",$B$21,0))*(1+$BQ139)</f>
        <v>0</v>
      </c>
      <c r="P139" s="42">
        <v>1</v>
      </c>
      <c r="Q139" s="43" t="s">
        <v>71</v>
      </c>
      <c r="R139" s="43" t="s">
        <v>71</v>
      </c>
      <c r="S139" s="43" t="s">
        <v>71</v>
      </c>
      <c r="T139" s="43" t="s">
        <v>71</v>
      </c>
      <c r="U139" s="43" t="s">
        <v>71</v>
      </c>
      <c r="V139" s="43" t="s">
        <v>71</v>
      </c>
      <c r="W139" s="43" t="s">
        <v>71</v>
      </c>
      <c r="X139" s="43" t="s">
        <v>71</v>
      </c>
      <c r="Y139" s="43" t="s">
        <v>71</v>
      </c>
      <c r="Z139" s="43" t="s">
        <v>71</v>
      </c>
      <c r="AA139" s="43" t="s">
        <v>71</v>
      </c>
      <c r="AB139" s="43" t="s">
        <v>71</v>
      </c>
      <c r="AC139" s="43" t="s">
        <v>71</v>
      </c>
      <c r="AD139" s="43" t="s">
        <v>71</v>
      </c>
      <c r="AE139" s="43" t="s">
        <v>71</v>
      </c>
      <c r="AF139" s="43" t="s">
        <v>76</v>
      </c>
      <c r="AG139" t="str">
        <f>VLOOKUP($Q139,武学奇术!$A:$ZZ,25,FALSE)</f>
        <v>心法</v>
      </c>
      <c r="AH139" s="30">
        <f>VLOOKUP($Q139,武学奇术!$A:$ZZ,26,FALSE)</f>
        <v>0</v>
      </c>
      <c r="AI139" s="31">
        <f>VLOOKUP($Q139,武学奇术!$A:$ZZ,27,FALSE)*(1+IF(OR($AG139=$F$4,$AG139=$F$5),$B$22,0))</f>
        <v>0</v>
      </c>
      <c r="AJ139" s="30">
        <f>VLOOKUP($Q139,武学奇术!$A:$ZZ,28,FALSE)</f>
        <v>0</v>
      </c>
      <c r="AK139" s="31">
        <f>VLOOKUP($Q139,武学奇术!$A:$ZZ,29,FALSE)*(1+IF(OR($AG139=$F$4,$AG139=$F$5),$B$22,0))</f>
        <v>0</v>
      </c>
      <c r="AL139" s="30" cm="1">
        <f t="array" ref="AL139">$G$3+IFERROR(VLOOKUP($AG139,$F$4:$G$7,2,FALSE),0)+VLOOKUP($Q139,武学奇术!$A:$ZZ,2,FALSE)+SUM(_xlfn.XLOOKUP($R139:$AF139,增益!$A:$A,增益!$B:$B,0))</f>
        <v>0.1837</v>
      </c>
      <c r="AM139" s="30" cm="1">
        <f t="array" ref="AM139">VLOOKUP($Q139,武学奇术!$A:$ZZ,5,FALSE)+SUM(_xlfn.XLOOKUP($R139:$AF139,增益!$A:$A,增益!$E:$E,0))</f>
        <v>0</v>
      </c>
      <c r="AN139" cm="1">
        <f t="array" ref="AN139">$D$10*(1+$AM139)+VLOOKUP($Q139,武学奇术!$A:$ZZ,3,FALSE)+SUM(_xlfn.XLOOKUP($R139:$AF139,增益!$A:$A,增益!$C:$C,0))-$I$2</f>
        <v>3545.8</v>
      </c>
      <c r="AO139" cm="1">
        <f t="array" ref="AO139">$E$10*(1+$AM139)+VLOOKUP($Q139,武学奇术!$A:$ZZ,4,FALSE)+SUM(_xlfn.XLOOKUP($R139:$AF139,增益!$A:$A,增益!$D:$D,0))-$I$2</f>
        <v>3545.8</v>
      </c>
      <c r="AP139" s="35" cm="1">
        <f t="array" ref="AP139">IF($F$10-$I$3+VLOOKUP($Q139,武学奇术!$A:$ZZ,6,FALSE)+SUM(_xlfn.XLOOKUP(R139:AF139,增益!$A:$A,增益!$F:$F,0))&gt;0,($F$10-$I$3+VLOOKUP($Q139,武学奇术!$A:$ZZ,6,FALSE)+SUM(_xlfn.XLOOKUP(R139:AF139,增益!$A:$A,增益!$F:$F,0)))/200,($F$10-$I$3+VLOOKUP($Q139,武学奇术!$A:$ZZ,6,FALSE)+SUM(_xlfn.XLOOKUP(R139:AF139,增益!$A:$A,增益!$F:$F,0)))/100)</f>
        <v>0.2425</v>
      </c>
      <c r="AQ139" s="35" cm="1">
        <f t="array" ref="AQ139">$G$10+VLOOKUP($Q139,武学奇术!$A:$ZZ,7,FALSE)+SUM(_xlfn.XLOOKUP(R139:AF139,增益!$A:$A,增益!$G:$G,0))</f>
        <v>0.028</v>
      </c>
      <c r="AR139" s="30" cm="1">
        <f t="array" ref="AR139">VLOOKUP($Q139,武学奇术!$A:$ZZ,8,FALSE)+SUM(_xlfn.XLOOKUP(R139:AF139,增益!$A:$A,增益!$H:$H,0))</f>
        <v>0</v>
      </c>
      <c r="AS139">
        <f t="shared" ref="AS139:AS149" si="84">$D$11*(1+$AR139)</f>
        <v>0</v>
      </c>
      <c r="AT139">
        <f t="shared" ref="AT139:AT149" si="85">$E$11*(1+$AR139)</f>
        <v>0</v>
      </c>
      <c r="AU139" s="35" cm="1">
        <f t="array" ref="AU139">IF($F$11-$I$4+VLOOKUP($Q139,武学奇术!$A:$ZZ,9,FALSE)+SUM(_xlfn.XLOOKUP(R139:AF139,增益!$A:$A,增益!$I:$I,0))&gt;0,($F$11-$I$4+VLOOKUP($Q139,武学奇术!$A:$ZZ,9,FALSE)+SUM(_xlfn.XLOOKUP(R139:AF139,增益!$A:$A,增益!$I:$I,0)))/200,($F$11-$I$4+VLOOKUP($Q139,武学奇术!$A:$ZZ,9,FALSE)+SUM(_xlfn.XLOOKUP(R139:AF139,增益!$A:$A,增益!$I:$I,0)))/100)</f>
        <v>-0.3</v>
      </c>
      <c r="AV139" s="35" cm="1">
        <f t="array" ref="AV139">$G$11+VLOOKUP($Q139,武学奇术!$A:$ZZ,10,FALSE)+SUM(_xlfn.XLOOKUP(R139:AF139,增益!$A:$A,增益!$J:$J,0))</f>
        <v>0</v>
      </c>
      <c r="AW139">
        <f t="shared" ref="AW139:AW149" si="86">$D$12*(1+$AR139)</f>
        <v>0</v>
      </c>
      <c r="AX139">
        <f t="shared" ref="AX139:AX149" si="87">$E$12*(1+$AR139)</f>
        <v>0</v>
      </c>
      <c r="AY139" s="35" cm="1">
        <f t="array" ref="AY139">IF($F$12-$I$4+VLOOKUP($Q139,武学奇术!$A:$ZZ,11,FALSE)+SUM(_xlfn.XLOOKUP(R139:AF139,增益!$A:$A,增益!$K:$K,0))&gt;0,($F$12-$I$4+VLOOKUP($Q139,武学奇术!$A:$ZZ,11,FALSE)+SUM(_xlfn.XLOOKUP(R139:AF139,增益!$A:$A,增益!$K:$K,0)))/200,($F$12-$I$4+VLOOKUP($Q139,武学奇术!$A:$ZZ,11,FALSE)+SUM(_xlfn.XLOOKUP(R139:AF139,增益!$A:$A,增益!$K:$K,0)))/100)</f>
        <v>-0.3</v>
      </c>
      <c r="AZ139" s="35" cm="1">
        <f t="array" ref="AZ139">$G$12+VLOOKUP($Q139,武学奇术!$A:$ZZ,12,FALSE)+SUM(_xlfn.XLOOKUP(R139:AF139,增益!$A:$A,增益!$L:$L,0))</f>
        <v>0</v>
      </c>
      <c r="BA139">
        <f t="shared" ref="BA139:BA149" si="88">$D$13*(1+$AR139)</f>
        <v>0</v>
      </c>
      <c r="BB139">
        <f t="shared" ref="BB139:BB149" si="89">$E$13*(1+$AR139)</f>
        <v>0</v>
      </c>
      <c r="BC139" s="35" cm="1">
        <f t="array" ref="BC139">IF($F$13-$I$4+VLOOKUP($Q139,武学奇术!$A:$ZZ,13,FALSE)+SUM(_xlfn.XLOOKUP(R139:AF139,增益!$A:$A,增益!$M:$M,0))&gt;0,($F$13-$I$4+VLOOKUP($Q139,武学奇术!$A:$ZZ,13,FALSE)+SUM(_xlfn.XLOOKUP(R139:AF139,增益!$A:$A,增益!$K:$K,0)))/200,($F$13-$I$4+VLOOKUP($Q139,武学奇术!$A:$ZZ,13,FALSE)+SUM(_xlfn.XLOOKUP(R139:AF139,增益!$A:$A,增益!$M:$M,0)))/100)</f>
        <v>-0.3</v>
      </c>
      <c r="BD139" s="35" cm="1">
        <f t="array" ref="BD139">$G$13+VLOOKUP($Q139,武学奇术!$A:$ZZ,14,FALSE)+SUM(_xlfn.XLOOKUP(R139:AF139,增益!$A:$A,增益!$N:$N,0))</f>
        <v>0</v>
      </c>
      <c r="BE139">
        <f t="shared" ref="BE139:BE149" si="90">$D$14*(1+$AR139)</f>
        <v>538</v>
      </c>
      <c r="BF139">
        <f t="shared" ref="BF139:BF149" si="91">$E$14*(1+$AR139)</f>
        <v>1561.4</v>
      </c>
      <c r="BG139" s="35" cm="1">
        <f t="array" ref="BG139">IF($F$14-$I$4+VLOOKUP($Q139,武学奇术!$A:$ZZ,15,FALSE)+SUM(_xlfn.XLOOKUP(R139:AF139,增益!$A:$A,增益!$O:$O,0))&gt;0,($F$14-$I$4+VLOOKUP($Q139,武学奇术!$A:$ZZ,15,FALSE)+SUM(_xlfn.XLOOKUP(R139:AF139,增益!$A:$A,增益!$O:$O,0)))/200,($F$14-$I$4+VLOOKUP($Q139,武学奇术!$A:$ZZ,15,FALSE)+SUM(_xlfn.XLOOKUP(R139:AF139,增益!$A:$A,增益!$O:$O,0)))/100)</f>
        <v>0</v>
      </c>
      <c r="BH139" s="35" cm="1">
        <f t="array" ref="BH139">$G$14+VLOOKUP($Q139,武学奇术!$A:$ZZ,16,FALSE)+SUM(_xlfn.XLOOKUP(R139:AF139,增益!$A:$A,增益!$P:$P,0))</f>
        <v>0.15</v>
      </c>
      <c r="BI139" s="30">
        <f>MIN(IF(VLOOKUP($Q139,武学奇术!$A:$ZZ,23,FALSE)=1,100%,$B$8),100%)</f>
        <v>0.9712</v>
      </c>
      <c r="BJ139" s="30" cm="1">
        <f t="array" ref="BJ139">IF(VLOOKUP($Q139,武学奇术!$A:$ZZ,23,FALSE)=1,100%,MIN(80%,$B$9+VLOOKUP($Q139,武学奇术!$A:$ZZ,17,FALSE)+SUM(_xlfn.XLOOKUP(R139:AF139,增益!$A:$A,增益!$Q:$Q,0)))+$B$11+SUM(_xlfn.XLOOKUP(R139:AF139,增益!$A:$A,增益!$U:$U,0)))*IF(VLOOKUP($Q139,武学奇术!$A:$ZZ,24,FALSE)=1,0,1)</f>
        <v>0.8773</v>
      </c>
      <c r="BK139" s="30" cm="1">
        <f t="array" ref="BK139">1+$B$13+VLOOKUP($Q139,武学奇术!$A:$ZZ,18,FALSE)+SUM(_xlfn.XLOOKUP(R139:AF139,增益!$A:$A,增益!$R:$R,0))</f>
        <v>1.5</v>
      </c>
      <c r="BL139" s="30" cm="1">
        <f t="array" ref="BL139">IF(VLOOKUP($Q139,武学奇术!$A:$ZZ,24,FALSE)=1,100%,MIN(40%,$B$10+VLOOKUP($Q139,武学奇术!$A:$ZZ,19,FALSE)+SUM(_xlfn.XLOOKUP(R139:AF139,增益!$A:$A,增益!$S:$S,0)))+$B$12+SUM(_xlfn.XLOOKUP(R139:AF139,增益!$A:$A,增益!$V:$V,0)))*IF(VLOOKUP($Q139,武学奇术!$A:$ZZ,23,FALSE)=1,0,1)</f>
        <v>0.0895</v>
      </c>
      <c r="BM139" s="30" cm="1">
        <f t="array" ref="BM139">1+$B$14+VLOOKUP($Q139,武学奇术!$A:$ZZ,20,FALSE)+SUM(_xlfn.XLOOKUP(R139:AF139,增益!$A:$A,增益!$T:$T,0))</f>
        <v>1.35</v>
      </c>
      <c r="BN139" s="30">
        <f t="shared" ref="BN139:BN149" si="92">MIN((1-BL139)*BI139,BI139*BJ139)</f>
        <v>0.85203376</v>
      </c>
      <c r="BO139" s="30">
        <f t="shared" ref="BO139:BO149" si="93">1-BL139-BN139-BP139</f>
        <v>0.03224384</v>
      </c>
      <c r="BP139" s="30">
        <f>IF(VLOOKUP($Q139,武学奇术!$A:$ZZ,22,FALSE)=1,0,(1-$BI139))*(1-$BL139)</f>
        <v>0.0262224</v>
      </c>
      <c r="BQ139" s="30" cm="1">
        <f t="array" ref="BQ139">SUM(_xlfn.XLOOKUP(R139:AF139,增益!$A:$A,增益!$W:$W,0))+$I$5</f>
        <v>0.11</v>
      </c>
    </row>
    <row r="140" spans="1:69">
      <c r="K140" s="41">
        <f t="shared" si="83"/>
        <v>0</v>
      </c>
      <c r="L140" s="41">
        <f>((($AN140+$AO140)/2*$AH140+$AI140)*(1+$AP140)*(1+$AQ140)+(($AS140+$AT140)/2*IF($G$1="鸣金",$AJ140,$AH140)+IF($G$1="鸣金",$AK140*1.5,0))*(1+$AU140)*(1+$AV140)+(($AW140+$AX140)/2*IF($G$1="裂石",$AJ140,$AH140)+IF($G$1="裂石",$AK140*1.5,0))*(1+$AY140)*(1+$AZ140)+(($BA140+$BB140)/2*IF($G$1="牵丝",$AJ140,$AH140)+IF($G$1="牵丝",$AK140*1.5,0))*(1+$BC140)*(1+$BD140)+(($BE140+$BF140)/2*IF($G$1="破竹",$AJ140,$AH140)+IF($G$1="破竹",$AK140*1.5,0))*(1+$BG140)*(1+$BH140))*(1+$AL140)*$BK140*$P140*(1+IF(VLOOKUP($Q140,武学奇术!$A:$ZZ,30,FALSE)="回旋伞",$B$21,0))*(1+$BQ140)</f>
        <v>0</v>
      </c>
      <c r="M140" s="41">
        <f>(($AO140*$AH140+$AI140)*(1+$AP140)*(1+$AQ140)+($AT140*IF($G$1="鸣金",$AJ140,$AH140)+IF($G$1="鸣金",$AK140*1.5,0))*(1+$AU140)*(1+$AV140)+($AX140*IF($G$1="裂石",$AJ140,$AH140)+IF($G$1="裂石",$AK140*1.5,0))*(1+$AY140)*(1+$AZ140)+($BB140*IF($G$1="牵丝",$AJ140,$AH140)+IF($G$1="牵丝",$AK140*1.5,0))*(1+$BC140)*(1+$BD140)+($BF140*IF($G$1="破竹",$AJ140,$AH140)+IF($G$1="破竹",$AK140*1.5,0))*(1+$BG140)*(1+$BH140))*(1+$AL140)*$BM140*$P140*(1+IF(VLOOKUP($Q140,武学奇术!$A:$ZZ,30,FALSE)="回旋伞",$B$21,0))*(1+$BQ140)</f>
        <v>0</v>
      </c>
      <c r="N140" s="41">
        <f>((($AN140+$AO140)/2*$AH140+$AI140)*(1+$AP140)*(1+$AQ140)+(($AS140+$AT140)/2*IF($G$1="鸣金",$AJ140,$AH140)+IF($G$1="鸣金",$AK140*1.5,0))*(1+$AU140)*(1+$AV140)+(($AW140+$AX140)/2*IF($G$1="裂石",$AJ140,$AH140)+IF($G$1="裂石",$AK140*1.5,0))*(1+$AY140)*(1+$AZ140)+(($BA140+$BB140)/2*IF($G$1="牵丝",$AJ140,$AH140)+IF($G$1="牵丝",$AK140*1.5,0))*(1+$BC140)*(1+$BD140)+(($BE140+$BF140)/2*IF($G$1="破竹",$AJ140,$AH140)+IF($G$1="破竹",$AK140*1.5,0))*(1+$BG140)*(1+$BH140))*(1+$AL140)*$P140*(1+IF(VLOOKUP($Q140,武学奇术!$A:$ZZ,30,FALSE)="回旋伞",$B$21,0))*(1+$BQ140)</f>
        <v>0</v>
      </c>
      <c r="O140" s="41">
        <f>((($AN140*$AH140+$AI140)*(1+$AP140)*(1+$AQ140)+($AS140*IF($G$1="鸣金",$AJ140,$AH140)+IF($G$1="鸣金",$AK140*1.5,0))*(1+$AU140)*(1+$AV140)+($AW140*IF($G$1="裂石",$AJ140,$AH140)+IF($G$1="裂石",$AK140*1.5,0))*(1+$AY140)*(1+$AZ140)+($BA140*IF($G$1="牵丝",$AJ140,$AH140)+IF($G$1="牵丝",$AK140*1.5,0))*(1+$BC140)*(1+$BD140)+($BE140*IF($G$1="破竹",$AJ140,$AH140)+IF($G$1="破竹",$AK140*1.5,0))*(1+$BG140)*(1+$BH140))*(1+$AL140))*$P140*(1+IF(VLOOKUP($Q140,武学奇术!$A:$ZZ,30,FALSE)="回旋伞",$B$21,0))*(1+$BQ140)</f>
        <v>0</v>
      </c>
      <c r="P140" s="42">
        <v>1</v>
      </c>
      <c r="Q140" s="43" t="s">
        <v>71</v>
      </c>
      <c r="R140" s="43" t="s">
        <v>71</v>
      </c>
      <c r="S140" s="43" t="s">
        <v>71</v>
      </c>
      <c r="T140" s="43" t="s">
        <v>71</v>
      </c>
      <c r="U140" s="43" t="s">
        <v>71</v>
      </c>
      <c r="V140" s="43" t="s">
        <v>71</v>
      </c>
      <c r="W140" s="43" t="s">
        <v>71</v>
      </c>
      <c r="X140" s="43" t="s">
        <v>71</v>
      </c>
      <c r="Y140" s="43" t="s">
        <v>71</v>
      </c>
      <c r="Z140" s="43" t="s">
        <v>71</v>
      </c>
      <c r="AA140" s="43" t="s">
        <v>71</v>
      </c>
      <c r="AB140" s="43" t="s">
        <v>71</v>
      </c>
      <c r="AC140" s="43" t="s">
        <v>71</v>
      </c>
      <c r="AD140" s="43" t="s">
        <v>71</v>
      </c>
      <c r="AE140" s="43" t="s">
        <v>71</v>
      </c>
      <c r="AF140" s="43" t="s">
        <v>76</v>
      </c>
      <c r="AG140" t="str">
        <f>VLOOKUP($Q140,武学奇术!$A:$ZZ,25,FALSE)</f>
        <v>心法</v>
      </c>
      <c r="AH140" s="30">
        <f>VLOOKUP($Q140,武学奇术!$A:$ZZ,26,FALSE)</f>
        <v>0</v>
      </c>
      <c r="AI140" s="31">
        <f>VLOOKUP($Q140,武学奇术!$A:$ZZ,27,FALSE)*(1+IF(OR($AG140=$F$4,$AG140=$F$5),$B$22,0))</f>
        <v>0</v>
      </c>
      <c r="AJ140" s="30">
        <f>VLOOKUP($Q140,武学奇术!$A:$ZZ,28,FALSE)</f>
        <v>0</v>
      </c>
      <c r="AK140" s="31">
        <f>VLOOKUP($Q140,武学奇术!$A:$ZZ,29,FALSE)*(1+IF(OR($AG140=$F$4,$AG140=$F$5),$B$22,0))</f>
        <v>0</v>
      </c>
      <c r="AL140" s="30" cm="1">
        <f t="array" ref="AL140">$G$3+IFERROR(VLOOKUP($AG140,$F$4:$G$7,2,FALSE),0)+VLOOKUP($Q140,武学奇术!$A:$ZZ,2,FALSE)+SUM(_xlfn.XLOOKUP($R140:$AF140,增益!$A:$A,增益!$B:$B,0))</f>
        <v>0.1837</v>
      </c>
      <c r="AM140" s="30" cm="1">
        <f t="array" ref="AM140">VLOOKUP($Q140,武学奇术!$A:$ZZ,5,FALSE)+SUM(_xlfn.XLOOKUP($R140:$AF140,增益!$A:$A,增益!$E:$E,0))</f>
        <v>0</v>
      </c>
      <c r="AN140" cm="1">
        <f t="array" ref="AN140">$D$10*(1+$AM140)+VLOOKUP($Q140,武学奇术!$A:$ZZ,3,FALSE)+SUM(_xlfn.XLOOKUP($R140:$AF140,增益!$A:$A,增益!$C:$C,0))-$I$2</f>
        <v>3545.8</v>
      </c>
      <c r="AO140" cm="1">
        <f t="array" ref="AO140">$E$10*(1+$AM140)+VLOOKUP($Q140,武学奇术!$A:$ZZ,4,FALSE)+SUM(_xlfn.XLOOKUP($R140:$AF140,增益!$A:$A,增益!$D:$D,0))-$I$2</f>
        <v>3545.8</v>
      </c>
      <c r="AP140" s="35" cm="1">
        <f t="array" ref="AP140">IF($F$10-$I$3+VLOOKUP($Q140,武学奇术!$A:$ZZ,6,FALSE)+SUM(_xlfn.XLOOKUP(R140:AF140,增益!$A:$A,增益!$F:$F,0))&gt;0,($F$10-$I$3+VLOOKUP($Q140,武学奇术!$A:$ZZ,6,FALSE)+SUM(_xlfn.XLOOKUP(R140:AF140,增益!$A:$A,增益!$F:$F,0)))/200,($F$10-$I$3+VLOOKUP($Q140,武学奇术!$A:$ZZ,6,FALSE)+SUM(_xlfn.XLOOKUP(R140:AF140,增益!$A:$A,增益!$F:$F,0)))/100)</f>
        <v>0.2425</v>
      </c>
      <c r="AQ140" s="35" cm="1">
        <f t="array" ref="AQ140">$G$10+VLOOKUP($Q140,武学奇术!$A:$ZZ,7,FALSE)+SUM(_xlfn.XLOOKUP(R140:AF140,增益!$A:$A,增益!$G:$G,0))</f>
        <v>0.028</v>
      </c>
      <c r="AR140" s="30" cm="1">
        <f t="array" ref="AR140">VLOOKUP($Q140,武学奇术!$A:$ZZ,8,FALSE)+SUM(_xlfn.XLOOKUP(R140:AF140,增益!$A:$A,增益!$H:$H,0))</f>
        <v>0</v>
      </c>
      <c r="AS140">
        <f t="shared" si="84"/>
        <v>0</v>
      </c>
      <c r="AT140">
        <f t="shared" si="85"/>
        <v>0</v>
      </c>
      <c r="AU140" s="35" cm="1">
        <f t="array" ref="AU140">IF($F$11-$I$4+VLOOKUP($Q140,武学奇术!$A:$ZZ,9,FALSE)+SUM(_xlfn.XLOOKUP(R140:AF140,增益!$A:$A,增益!$I:$I,0))&gt;0,($F$11-$I$4+VLOOKUP($Q140,武学奇术!$A:$ZZ,9,FALSE)+SUM(_xlfn.XLOOKUP(R140:AF140,增益!$A:$A,增益!$I:$I,0)))/200,($F$11-$I$4+VLOOKUP($Q140,武学奇术!$A:$ZZ,9,FALSE)+SUM(_xlfn.XLOOKUP(R140:AF140,增益!$A:$A,增益!$I:$I,0)))/100)</f>
        <v>-0.3</v>
      </c>
      <c r="AV140" s="35" cm="1">
        <f t="array" ref="AV140">$G$11+VLOOKUP($Q140,武学奇术!$A:$ZZ,10,FALSE)+SUM(_xlfn.XLOOKUP(R140:AF140,增益!$A:$A,增益!$J:$J,0))</f>
        <v>0</v>
      </c>
      <c r="AW140">
        <f t="shared" si="86"/>
        <v>0</v>
      </c>
      <c r="AX140">
        <f t="shared" si="87"/>
        <v>0</v>
      </c>
      <c r="AY140" s="35" cm="1">
        <f t="array" ref="AY140">IF($F$12-$I$4+VLOOKUP($Q140,武学奇术!$A:$ZZ,11,FALSE)+SUM(_xlfn.XLOOKUP(R140:AF140,增益!$A:$A,增益!$K:$K,0))&gt;0,($F$12-$I$4+VLOOKUP($Q140,武学奇术!$A:$ZZ,11,FALSE)+SUM(_xlfn.XLOOKUP(R140:AF140,增益!$A:$A,增益!$K:$K,0)))/200,($F$12-$I$4+VLOOKUP($Q140,武学奇术!$A:$ZZ,11,FALSE)+SUM(_xlfn.XLOOKUP(R140:AF140,增益!$A:$A,增益!$K:$K,0)))/100)</f>
        <v>-0.3</v>
      </c>
      <c r="AZ140" s="35" cm="1">
        <f t="array" ref="AZ140">$G$12+VLOOKUP($Q140,武学奇术!$A:$ZZ,12,FALSE)+SUM(_xlfn.XLOOKUP(R140:AF140,增益!$A:$A,增益!$L:$L,0))</f>
        <v>0</v>
      </c>
      <c r="BA140">
        <f t="shared" si="88"/>
        <v>0</v>
      </c>
      <c r="BB140">
        <f t="shared" si="89"/>
        <v>0</v>
      </c>
      <c r="BC140" s="35" cm="1">
        <f t="array" ref="BC140">IF($F$13-$I$4+VLOOKUP($Q140,武学奇术!$A:$ZZ,13,FALSE)+SUM(_xlfn.XLOOKUP(R140:AF140,增益!$A:$A,增益!$M:$M,0))&gt;0,($F$13-$I$4+VLOOKUP($Q140,武学奇术!$A:$ZZ,13,FALSE)+SUM(_xlfn.XLOOKUP(R140:AF140,增益!$A:$A,增益!$K:$K,0)))/200,($F$13-$I$4+VLOOKUP($Q140,武学奇术!$A:$ZZ,13,FALSE)+SUM(_xlfn.XLOOKUP(R140:AF140,增益!$A:$A,增益!$M:$M,0)))/100)</f>
        <v>-0.3</v>
      </c>
      <c r="BD140" s="35" cm="1">
        <f t="array" ref="BD140">$G$13+VLOOKUP($Q140,武学奇术!$A:$ZZ,14,FALSE)+SUM(_xlfn.XLOOKUP(R140:AF140,增益!$A:$A,增益!$N:$N,0))</f>
        <v>0</v>
      </c>
      <c r="BE140">
        <f t="shared" si="90"/>
        <v>538</v>
      </c>
      <c r="BF140">
        <f t="shared" si="91"/>
        <v>1561.4</v>
      </c>
      <c r="BG140" s="35" cm="1">
        <f t="array" ref="BG140">IF($F$14-$I$4+VLOOKUP($Q140,武学奇术!$A:$ZZ,15,FALSE)+SUM(_xlfn.XLOOKUP(R140:AF140,增益!$A:$A,增益!$O:$O,0))&gt;0,($F$14-$I$4+VLOOKUP($Q140,武学奇术!$A:$ZZ,15,FALSE)+SUM(_xlfn.XLOOKUP(R140:AF140,增益!$A:$A,增益!$O:$O,0)))/200,($F$14-$I$4+VLOOKUP($Q140,武学奇术!$A:$ZZ,15,FALSE)+SUM(_xlfn.XLOOKUP(R140:AF140,增益!$A:$A,增益!$O:$O,0)))/100)</f>
        <v>0</v>
      </c>
      <c r="BH140" s="35" cm="1">
        <f t="array" ref="BH140">$G$14+VLOOKUP($Q140,武学奇术!$A:$ZZ,16,FALSE)+SUM(_xlfn.XLOOKUP(R140:AF140,增益!$A:$A,增益!$P:$P,0))</f>
        <v>0.15</v>
      </c>
      <c r="BI140" s="30">
        <f>MIN(IF(VLOOKUP($Q140,武学奇术!$A:$ZZ,23,FALSE)=1,100%,$B$8),100%)</f>
        <v>0.9712</v>
      </c>
      <c r="BJ140" s="30" cm="1">
        <f t="array" ref="BJ140">IF(VLOOKUP($Q140,武学奇术!$A:$ZZ,23,FALSE)=1,100%,MIN(80%,$B$9+VLOOKUP($Q140,武学奇术!$A:$ZZ,17,FALSE)+SUM(_xlfn.XLOOKUP(R140:AF140,增益!$A:$A,增益!$Q:$Q,0)))+$B$11+SUM(_xlfn.XLOOKUP(R140:AF140,增益!$A:$A,增益!$U:$U,0)))*IF(VLOOKUP($Q140,武学奇术!$A:$ZZ,24,FALSE)=1,0,1)</f>
        <v>0.8773</v>
      </c>
      <c r="BK140" s="30" cm="1">
        <f t="array" ref="BK140">1+$B$13+VLOOKUP($Q140,武学奇术!$A:$ZZ,18,FALSE)+SUM(_xlfn.XLOOKUP(R140:AF140,增益!$A:$A,增益!$R:$R,0))</f>
        <v>1.5</v>
      </c>
      <c r="BL140" s="30" cm="1">
        <f t="array" ref="BL140">IF(VLOOKUP($Q140,武学奇术!$A:$ZZ,24,FALSE)=1,100%,MIN(40%,$B$10+VLOOKUP($Q140,武学奇术!$A:$ZZ,19,FALSE)+SUM(_xlfn.XLOOKUP(R140:AF140,增益!$A:$A,增益!$S:$S,0)))+$B$12+SUM(_xlfn.XLOOKUP(R140:AF140,增益!$A:$A,增益!$V:$V,0)))*IF(VLOOKUP($Q140,武学奇术!$A:$ZZ,23,FALSE)=1,0,1)</f>
        <v>0.0895</v>
      </c>
      <c r="BM140" s="30" cm="1">
        <f t="array" ref="BM140">1+$B$14+VLOOKUP($Q140,武学奇术!$A:$ZZ,20,FALSE)+SUM(_xlfn.XLOOKUP(R140:AF140,增益!$A:$A,增益!$T:$T,0))</f>
        <v>1.35</v>
      </c>
      <c r="BN140" s="30">
        <f t="shared" si="92"/>
        <v>0.85203376</v>
      </c>
      <c r="BO140" s="30">
        <f t="shared" si="93"/>
        <v>0.03224384</v>
      </c>
      <c r="BP140" s="30">
        <f>IF(VLOOKUP($Q140,武学奇术!$A:$ZZ,22,FALSE)=1,0,(1-$BI140))*(1-$BL140)</f>
        <v>0.0262224</v>
      </c>
      <c r="BQ140" s="30" cm="1">
        <f t="array" ref="BQ140">SUM(_xlfn.XLOOKUP(R140:AF140,增益!$A:$A,增益!$W:$W,0))+$I$5</f>
        <v>0.11</v>
      </c>
    </row>
    <row r="141" spans="1:69">
      <c r="K141" s="41">
        <f t="shared" si="83"/>
        <v>17581.910831624</v>
      </c>
      <c r="L141" s="41">
        <f>((($AN141+$AO141)/2*$AH141+$AI141)*(1+$AP141)*(1+$AQ141)+(($AS141+$AT141)/2*IF($G$1="鸣金",$AJ141,$AH141)+IF($G$1="鸣金",$AK141*1.5,0))*(1+$AU141)*(1+$AV141)+(($AW141+$AX141)/2*IF($G$1="裂石",$AJ141,$AH141)+IF($G$1="裂石",$AK141*1.5,0))*(1+$AY141)*(1+$AZ141)+(($BA141+$BB141)/2*IF($G$1="牵丝",$AJ141,$AH141)+IF($G$1="牵丝",$AK141*1.5,0))*(1+$BC141)*(1+$BD141)+(($BE141+$BF141)/2*IF($G$1="破竹",$AJ141,$AH141)+IF($G$1="破竹",$AK141*1.5,0))*(1+$BG141)*(1+$BH141))*(1+$AL141)*$BK141*$P141*(1+IF(VLOOKUP($Q141,武学奇术!$A:$ZZ,30,FALSE)="回旋伞",$B$21,0))*(1+$BQ141)</f>
        <v>18371.3314777838</v>
      </c>
      <c r="M141" s="41">
        <f>(($AO141*$AH141+$AI141)*(1+$AP141)*(1+$AQ141)+($AT141*IF($G$1="鸣金",$AJ141,$AH141)+IF($G$1="鸣金",$AK141*1.5,0))*(1+$AU141)*(1+$AV141)+($AX141*IF($G$1="裂石",$AJ141,$AH141)+IF($G$1="裂石",$AK141*1.5,0))*(1+$AY141)*(1+$AZ141)+($BB141*IF($G$1="牵丝",$AJ141,$AH141)+IF($G$1="牵丝",$AK141*1.5,0))*(1+$BC141)*(1+$BD141)+($BF141*IF($G$1="破竹",$AJ141,$AH141)+IF($G$1="破竹",$AK141*1.5,0))*(1+$BG141)*(1+$BH141))*(1+$AL141)*$BM141*$P141*(1+IF(VLOOKUP($Q141,武学奇术!$A:$ZZ,30,FALSE)="回旋伞",$B$21,0))*(1+$BQ141)</f>
        <v>15191.4911087006</v>
      </c>
      <c r="N141" s="41">
        <f>((($AN141+$AO141)/2*$AH141+$AI141)*(1+$AP141)*(1+$AQ141)+(($AS141+$AT141)/2*IF($G$1="鸣金",$AJ141,$AH141)+IF($G$1="鸣金",$AK141*1.5,0))*(1+$AU141)*(1+$AV141)+(($AW141+$AX141)/2*IF($G$1="裂石",$AJ141,$AH141)+IF($G$1="裂石",$AK141*1.5,0))*(1+$AY141)*(1+$AZ141)+(($BA141+$BB141)/2*IF($G$1="牵丝",$AJ141,$AH141)+IF($G$1="牵丝",$AK141*1.5,0))*(1+$BC141)*(1+$BD141)+(($BE141+$BF141)/2*IF($G$1="破竹",$AJ141,$AH141)+IF($G$1="破竹",$AK141*1.5,0))*(1+$BG141)*(1+$BH141))*(1+$AL141)*$P141*(1+IF(VLOOKUP($Q141,武学奇术!$A:$ZZ,30,FALSE)="回旋伞",$B$21,0))*(1+$BQ141)</f>
        <v>10206.2952654355</v>
      </c>
      <c r="O141" s="41">
        <f>((($AN141*$AH141+$AI141)*(1+$AP141)*(1+$AQ141)+($AS141*IF($G$1="鸣金",$AJ141,$AH141)+IF($G$1="鸣金",$AK141*1.5,0))*(1+$AU141)*(1+$AV141)+($AW141*IF($G$1="裂石",$AJ141,$AH141)+IF($G$1="裂石",$AK141*1.5,0))*(1+$AY141)*(1+$AZ141)+($BA141*IF($G$1="牵丝",$AJ141,$AH141)+IF($G$1="牵丝",$AK141*1.5,0))*(1+$BC141)*(1+$BD141)+($BE141*IF($G$1="破竹",$AJ141,$AH141)+IF($G$1="破竹",$AK141*1.5,0))*(1+$BG141)*(1+$BH141))*(1+$AL141))*$P141*(1+IF(VLOOKUP($Q141,武学奇术!$A:$ZZ,30,FALSE)="回旋伞",$B$21,0))*(1+$BQ141)</f>
        <v>9159.63415405565</v>
      </c>
      <c r="P141" s="42">
        <f>IF($C$24="易水歌",1,0)</f>
        <v>1</v>
      </c>
      <c r="Q141" s="43" t="s">
        <v>187</v>
      </c>
      <c r="R141" s="43" t="s">
        <v>71</v>
      </c>
      <c r="S141" s="43" t="s">
        <v>91</v>
      </c>
      <c r="T141" s="43" t="s">
        <v>72</v>
      </c>
      <c r="U141" s="43" t="s">
        <v>79</v>
      </c>
      <c r="V141" s="43" t="s">
        <v>86</v>
      </c>
      <c r="W141" s="43" t="s">
        <v>95</v>
      </c>
      <c r="X141" s="43" t="s">
        <v>82</v>
      </c>
      <c r="Y141" s="43" t="s">
        <v>71</v>
      </c>
      <c r="Z141" s="43" t="s">
        <v>71</v>
      </c>
      <c r="AA141" s="43" t="s">
        <v>71</v>
      </c>
      <c r="AB141" s="43" t="s">
        <v>71</v>
      </c>
      <c r="AC141" s="43" t="s">
        <v>71</v>
      </c>
      <c r="AD141" s="43" t="s">
        <v>71</v>
      </c>
      <c r="AE141" s="43" t="s">
        <v>71</v>
      </c>
      <c r="AF141" s="43" t="s">
        <v>76</v>
      </c>
      <c r="AG141" t="str">
        <f>VLOOKUP($Q141,武学奇术!$A:$ZZ,25,FALSE)</f>
        <v>心法</v>
      </c>
      <c r="AH141" s="30">
        <f>VLOOKUP($Q141,武学奇术!$A:$ZZ,26,FALSE)</f>
        <v>1</v>
      </c>
      <c r="AI141" s="31">
        <f>VLOOKUP($Q141,武学奇术!$A:$ZZ,27,FALSE)*(1+IF(OR($AG141=$F$4,$AG141=$F$5),$B$22,0))</f>
        <v>0</v>
      </c>
      <c r="AJ141" s="30">
        <f>VLOOKUP($Q141,武学奇术!$A:$ZZ,28,FALSE)</f>
        <v>1</v>
      </c>
      <c r="AK141" s="31">
        <f>VLOOKUP($Q141,武学奇术!$A:$ZZ,29,FALSE)*(1+IF(OR($AG141=$F$4,$AG141=$F$5),$B$22,0))</f>
        <v>0</v>
      </c>
      <c r="AL141" s="30" cm="1">
        <f t="array" ref="AL141">$G$3+IFERROR(VLOOKUP($AG141,$F$4:$G$7,2,FALSE),0)+VLOOKUP($Q141,武学奇术!$A:$ZZ,2,FALSE)+SUM(_xlfn.XLOOKUP($R141:$AF141,增益!$A:$A,增益!$B:$B,0))</f>
        <v>0.4837</v>
      </c>
      <c r="AM141" s="30" cm="1">
        <f t="array" ref="AM141">VLOOKUP($Q141,武学奇术!$A:$ZZ,5,FALSE)+SUM(_xlfn.XLOOKUP($R141:$AF141,增益!$A:$A,增益!$E:$E,0))</f>
        <v>0</v>
      </c>
      <c r="AN141" cm="1">
        <f t="array" ref="AN141">$D$10*(1+$AM141)+VLOOKUP($Q141,武学奇术!$A:$ZZ,3,FALSE)+SUM(_xlfn.XLOOKUP($R141:$AF141,增益!$A:$A,增益!$C:$C,0))-$I$2</f>
        <v>3545.8</v>
      </c>
      <c r="AO141" cm="1">
        <f t="array" ref="AO141">$E$10*(1+$AM141)+VLOOKUP($Q141,武学奇术!$A:$ZZ,4,FALSE)+SUM(_xlfn.XLOOKUP($R141:$AF141,增益!$A:$A,增益!$D:$D,0))-$I$2</f>
        <v>3545.8</v>
      </c>
      <c r="AP141" s="35" cm="1">
        <f t="array" ref="AP141">IF($F$10-$I$3+VLOOKUP($Q141,武学奇术!$A:$ZZ,6,FALSE)+SUM(_xlfn.XLOOKUP(R141:AF141,增益!$A:$A,增益!$F:$F,0))&gt;0,($F$10-$I$3+VLOOKUP($Q141,武学奇术!$A:$ZZ,6,FALSE)+SUM(_xlfn.XLOOKUP(R141:AF141,增益!$A:$A,增益!$F:$F,0)))/200,($F$10-$I$3+VLOOKUP($Q141,武学奇术!$A:$ZZ,6,FALSE)+SUM(_xlfn.XLOOKUP(R141:AF141,增益!$A:$A,增益!$F:$F,0)))/100)</f>
        <v>0.3425</v>
      </c>
      <c r="AQ141" s="35" cm="1">
        <f t="array" ref="AQ141">$G$10+VLOOKUP($Q141,武学奇术!$A:$ZZ,7,FALSE)+SUM(_xlfn.XLOOKUP(R141:AF141,增益!$A:$A,增益!$G:$G,0))</f>
        <v>0.028</v>
      </c>
      <c r="AR141" s="30" cm="1">
        <f t="array" ref="AR141">VLOOKUP($Q141,武学奇术!$A:$ZZ,8,FALSE)+SUM(_xlfn.XLOOKUP(R141:AF141,增益!$A:$A,增益!$H:$H,0))</f>
        <v>0</v>
      </c>
      <c r="AS141">
        <f t="shared" si="84"/>
        <v>0</v>
      </c>
      <c r="AT141">
        <f t="shared" si="85"/>
        <v>0</v>
      </c>
      <c r="AU141" s="35" cm="1">
        <f t="array" ref="AU141">IF($F$11-$I$4+VLOOKUP($Q141,武学奇术!$A:$ZZ,9,FALSE)+SUM(_xlfn.XLOOKUP(R141:AF141,增益!$A:$A,增益!$I:$I,0))&gt;0,($F$11-$I$4+VLOOKUP($Q141,武学奇术!$A:$ZZ,9,FALSE)+SUM(_xlfn.XLOOKUP(R141:AF141,增益!$A:$A,增益!$I:$I,0)))/200,($F$11-$I$4+VLOOKUP($Q141,武学奇术!$A:$ZZ,9,FALSE)+SUM(_xlfn.XLOOKUP(R141:AF141,增益!$A:$A,增益!$I:$I,0)))/100)</f>
        <v>-0.14</v>
      </c>
      <c r="AV141" s="35" cm="1">
        <f t="array" ref="AV141">$G$11+VLOOKUP($Q141,武学奇术!$A:$ZZ,10,FALSE)+SUM(_xlfn.XLOOKUP(R141:AF141,增益!$A:$A,增益!$J:$J,0))</f>
        <v>0</v>
      </c>
      <c r="AW141">
        <f t="shared" si="86"/>
        <v>0</v>
      </c>
      <c r="AX141">
        <f t="shared" si="87"/>
        <v>0</v>
      </c>
      <c r="AY141" s="35" cm="1">
        <f t="array" ref="AY141">IF($F$12-$I$4+VLOOKUP($Q141,武学奇术!$A:$ZZ,11,FALSE)+SUM(_xlfn.XLOOKUP(R141:AF141,增益!$A:$A,增益!$K:$K,0))&gt;0,($F$12-$I$4+VLOOKUP($Q141,武学奇术!$A:$ZZ,11,FALSE)+SUM(_xlfn.XLOOKUP(R141:AF141,增益!$A:$A,增益!$K:$K,0)))/200,($F$12-$I$4+VLOOKUP($Q141,武学奇术!$A:$ZZ,11,FALSE)+SUM(_xlfn.XLOOKUP(R141:AF141,增益!$A:$A,增益!$K:$K,0)))/100)</f>
        <v>-0.14</v>
      </c>
      <c r="AZ141" s="35" cm="1">
        <f t="array" ref="AZ141">$G$12+VLOOKUP($Q141,武学奇术!$A:$ZZ,12,FALSE)+SUM(_xlfn.XLOOKUP(R141:AF141,增益!$A:$A,增益!$L:$L,0))</f>
        <v>0</v>
      </c>
      <c r="BA141">
        <f t="shared" si="88"/>
        <v>0</v>
      </c>
      <c r="BB141">
        <f t="shared" si="89"/>
        <v>0</v>
      </c>
      <c r="BC141" s="35" cm="1">
        <f t="array" ref="BC141">IF($F$13-$I$4+VLOOKUP($Q141,武学奇术!$A:$ZZ,13,FALSE)+SUM(_xlfn.XLOOKUP(R141:AF141,增益!$A:$A,增益!$M:$M,0))&gt;0,($F$13-$I$4+VLOOKUP($Q141,武学奇术!$A:$ZZ,13,FALSE)+SUM(_xlfn.XLOOKUP(R141:AF141,增益!$A:$A,增益!$K:$K,0)))/200,($F$13-$I$4+VLOOKUP($Q141,武学奇术!$A:$ZZ,13,FALSE)+SUM(_xlfn.XLOOKUP(R141:AF141,增益!$A:$A,增益!$M:$M,0)))/100)</f>
        <v>-0.14</v>
      </c>
      <c r="BD141" s="35" cm="1">
        <f t="array" ref="BD141">$G$13+VLOOKUP($Q141,武学奇术!$A:$ZZ,14,FALSE)+SUM(_xlfn.XLOOKUP(R141:AF141,增益!$A:$A,增益!$N:$N,0))</f>
        <v>0</v>
      </c>
      <c r="BE141">
        <f t="shared" si="90"/>
        <v>538</v>
      </c>
      <c r="BF141">
        <f t="shared" si="91"/>
        <v>1561.4</v>
      </c>
      <c r="BG141" s="35" cm="1">
        <f t="array" ref="BG141">IF($F$14-$I$4+VLOOKUP($Q141,武学奇术!$A:$ZZ,15,FALSE)+SUM(_xlfn.XLOOKUP(R141:AF141,增益!$A:$A,增益!$O:$O,0))&gt;0,($F$14-$I$4+VLOOKUP($Q141,武学奇术!$A:$ZZ,15,FALSE)+SUM(_xlfn.XLOOKUP(R141:AF141,增益!$A:$A,增益!$O:$O,0)))/200,($F$14-$I$4+VLOOKUP($Q141,武学奇术!$A:$ZZ,15,FALSE)+SUM(_xlfn.XLOOKUP(R141:AF141,增益!$A:$A,增益!$O:$O,0)))/100)</f>
        <v>0.08</v>
      </c>
      <c r="BH141" s="35" cm="1">
        <f t="array" ref="BH141">$G$14+VLOOKUP($Q141,武学奇术!$A:$ZZ,16,FALSE)+SUM(_xlfn.XLOOKUP(R141:AF141,增益!$A:$A,增益!$P:$P,0))</f>
        <v>0.15</v>
      </c>
      <c r="BI141" s="30">
        <f>MIN(IF(VLOOKUP($Q141,武学奇术!$A:$ZZ,23,FALSE)=1,100%,$B$8),100%)</f>
        <v>0.9712</v>
      </c>
      <c r="BJ141" s="30" cm="1">
        <f t="array" ref="BJ141">IF(VLOOKUP($Q141,武学奇术!$A:$ZZ,23,FALSE)=1,100%,MIN(80%,$B$9+VLOOKUP($Q141,武学奇术!$A:$ZZ,17,FALSE)+SUM(_xlfn.XLOOKUP(R141:AF141,增益!$A:$A,增益!$Q:$Q,0)))+$B$11+SUM(_xlfn.XLOOKUP(R141:AF141,增益!$A:$A,增益!$U:$U,0)))*IF(VLOOKUP($Q141,武学奇术!$A:$ZZ,24,FALSE)=1,0,1)</f>
        <v>0.8773</v>
      </c>
      <c r="BK141" s="30" cm="1">
        <f t="array" ref="BK141">1+$B$13+VLOOKUP($Q141,武学奇术!$A:$ZZ,18,FALSE)+SUM(_xlfn.XLOOKUP(R141:AF141,增益!$A:$A,增益!$R:$R,0))</f>
        <v>1.8</v>
      </c>
      <c r="BL141" s="30" cm="1">
        <f t="array" ref="BL141">IF(VLOOKUP($Q141,武学奇术!$A:$ZZ,24,FALSE)=1,100%,MIN(40%,$B$10+VLOOKUP($Q141,武学奇术!$A:$ZZ,19,FALSE)+SUM(_xlfn.XLOOKUP(R141:AF141,增益!$A:$A,增益!$S:$S,0)))+$B$12+SUM(_xlfn.XLOOKUP(R141:AF141,增益!$A:$A,增益!$V:$V,0)))*IF(VLOOKUP($Q141,武学奇术!$A:$ZZ,23,FALSE)=1,0,1)</f>
        <v>0.0895</v>
      </c>
      <c r="BM141" s="30" cm="1">
        <f t="array" ref="BM141">1+$B$14+VLOOKUP($Q141,武学奇术!$A:$ZZ,20,FALSE)+SUM(_xlfn.XLOOKUP(R141:AF141,增益!$A:$A,增益!$T:$T,0))</f>
        <v>1.35</v>
      </c>
      <c r="BN141" s="30">
        <f t="shared" si="92"/>
        <v>0.85203376</v>
      </c>
      <c r="BO141" s="30">
        <f t="shared" si="93"/>
        <v>0.03224384</v>
      </c>
      <c r="BP141" s="30">
        <f>IF(VLOOKUP($Q141,武学奇术!$A:$ZZ,22,FALSE)=1,0,(1-$BI141))*(1-$BL141)</f>
        <v>0.0262224</v>
      </c>
      <c r="BQ141" s="30" cm="1">
        <f t="array" ref="BQ141">SUM(_xlfn.XLOOKUP(R141:AF141,增益!$A:$A,增益!$W:$W,0))+$I$5</f>
        <v>0.11</v>
      </c>
    </row>
    <row r="142" spans="1:69">
      <c r="K142" s="41">
        <f t="shared" si="83"/>
        <v>15266.1081449406</v>
      </c>
      <c r="L142" s="41">
        <f>((($AN142+$AO142)/2*$AH142+$AI142)*(1+$AP142)*(1+$AQ142)+(($AS142+$AT142)/2*IF($G$1="鸣金",$AJ142,$AH142)+IF($G$1="鸣金",$AK142*1.5,0))*(1+$AU142)*(1+$AV142)+(($AW142+$AX142)/2*IF($G$1="裂石",$AJ142,$AH142)+IF($G$1="裂石",$AK142*1.5,0))*(1+$AY142)*(1+$AZ142)+(($BA142+$BB142)/2*IF($G$1="牵丝",$AJ142,$AH142)+IF($G$1="牵丝",$AK142*1.5,0))*(1+$BC142)*(1+$BD142)+(($BE142+$BF142)/2*IF($G$1="破竹",$AJ142,$AH142)+IF($G$1="破竹",$AK142*1.5,0))*(1+$BG142)*(1+$BH142))*(1+$AL142)*$BK142*$P142*(1+IF(VLOOKUP($Q142,武学奇术!$A:$ZZ,30,FALSE)="回旋伞",$B$21,0))*(1+$BQ142)</f>
        <v>15994.9340878438</v>
      </c>
      <c r="M142" s="41">
        <f>(($AO142*$AH142+$AI142)*(1+$AP142)*(1+$AQ142)+($AT142*IF($G$1="鸣金",$AJ142,$AH142)+IF($G$1="鸣金",$AK142*1.5,0))*(1+$AU142)*(1+$AV142)+($AX142*IF($G$1="裂石",$AJ142,$AH142)+IF($G$1="裂石",$AK142*1.5,0))*(1+$AY142)*(1+$AZ142)+($BB142*IF($G$1="牵丝",$AJ142,$AH142)+IF($G$1="牵丝",$AK142*1.5,0))*(1+$BC142)*(1+$BD142)+($BF142*IF($G$1="破竹",$AJ142,$AH142)+IF($G$1="破竹",$AK142*1.5,0))*(1+$BG142)*(1+$BH142))*(1+$AL142)*$BM142*$P142*(1+IF(VLOOKUP($Q142,武学奇术!$A:$ZZ,30,FALSE)="回旋伞",$B$21,0))*(1+$BQ142)</f>
        <v>12867.380022784</v>
      </c>
      <c r="N142" s="41">
        <f>((($AN142+$AO142)/2*$AH142+$AI142)*(1+$AP142)*(1+$AQ142)+(($AS142+$AT142)/2*IF($G$1="鸣金",$AJ142,$AH142)+IF($G$1="鸣金",$AK142*1.5,0))*(1+$AU142)*(1+$AV142)+(($AW142+$AX142)/2*IF($G$1="裂石",$AJ142,$AH142)+IF($G$1="裂石",$AK142*1.5,0))*(1+$AY142)*(1+$AZ142)+(($BA142+$BB142)/2*IF($G$1="牵丝",$AJ142,$AH142)+IF($G$1="牵丝",$AK142*1.5,0))*(1+$BC142)*(1+$BD142)+(($BE142+$BF142)/2*IF($G$1="破竹",$AJ142,$AH142)+IF($G$1="破竹",$AK142*1.5,0))*(1+$BG142)*(1+$BH142))*(1+$AL142)*$P142*(1+IF(VLOOKUP($Q142,武学奇术!$A:$ZZ,30,FALSE)="回旋伞",$B$21,0))*(1+$BQ142)</f>
        <v>8692.89896078466</v>
      </c>
      <c r="O142" s="41">
        <f>((($AN142*$AH142+$AI142)*(1+$AP142)*(1+$AQ142)+($AS142*IF($G$1="鸣金",$AJ142,$AH142)+IF($G$1="鸣金",$AK142*1.5,0))*(1+$AU142)*(1+$AV142)+($AW142*IF($G$1="裂石",$AJ142,$AH142)+IF($G$1="裂石",$AK142*1.5,0))*(1+$AY142)*(1+$AZ142)+($BA142*IF($G$1="牵丝",$AJ142,$AH142)+IF($G$1="牵丝",$AK142*1.5,0))*(1+$BC142)*(1+$BD142)+($BE142*IF($G$1="破竹",$AJ142,$AH142)+IF($G$1="破竹",$AK142*1.5,0))*(1+$BG142)*(1+$BH142))*(1+$AL142))*$P142*(1+IF(VLOOKUP($Q142,武学奇术!$A:$ZZ,30,FALSE)="回旋伞",$B$21,0))*(1+$BQ142)</f>
        <v>7854.40531209966</v>
      </c>
      <c r="P142" s="42">
        <f t="shared" ref="P142:P149" si="94">IF($C$24="易水歌",1,0)</f>
        <v>1</v>
      </c>
      <c r="Q142" s="43" t="s">
        <v>187</v>
      </c>
      <c r="R142" s="43" t="s">
        <v>71</v>
      </c>
      <c r="S142" s="43" t="s">
        <v>91</v>
      </c>
      <c r="T142" s="43" t="s">
        <v>72</v>
      </c>
      <c r="U142" s="43" t="s">
        <v>71</v>
      </c>
      <c r="V142" s="43" t="s">
        <v>156</v>
      </c>
      <c r="W142" s="43" t="s">
        <v>95</v>
      </c>
      <c r="X142" s="43" t="s">
        <v>71</v>
      </c>
      <c r="Y142" s="43" t="s">
        <v>71</v>
      </c>
      <c r="Z142" s="43" t="s">
        <v>71</v>
      </c>
      <c r="AA142" s="43" t="s">
        <v>71</v>
      </c>
      <c r="AB142" s="43" t="s">
        <v>71</v>
      </c>
      <c r="AC142" s="43" t="s">
        <v>71</v>
      </c>
      <c r="AD142" s="43" t="s">
        <v>71</v>
      </c>
      <c r="AE142" s="43" t="s">
        <v>71</v>
      </c>
      <c r="AF142" s="43" t="s">
        <v>76</v>
      </c>
      <c r="AG142" t="str">
        <f>VLOOKUP($Q142,武学奇术!$A:$ZZ,25,FALSE)</f>
        <v>心法</v>
      </c>
      <c r="AH142" s="30">
        <f>VLOOKUP($Q142,武学奇术!$A:$ZZ,26,FALSE)</f>
        <v>1</v>
      </c>
      <c r="AI142" s="31">
        <f>VLOOKUP($Q142,武学奇术!$A:$ZZ,27,FALSE)*(1+IF(OR($AG142=$F$4,$AG142=$F$5),$B$22,0))</f>
        <v>0</v>
      </c>
      <c r="AJ142" s="30">
        <f>VLOOKUP($Q142,武学奇术!$A:$ZZ,28,FALSE)</f>
        <v>1</v>
      </c>
      <c r="AK142" s="31">
        <f>VLOOKUP($Q142,武学奇术!$A:$ZZ,29,FALSE)*(1+IF(OR($AG142=$F$4,$AG142=$F$5),$B$22,0))</f>
        <v>0</v>
      </c>
      <c r="AL142" s="30" cm="1">
        <f t="array" ref="AL142">$G$3+IFERROR(VLOOKUP($AG142,$F$4:$G$7,2,FALSE),0)+VLOOKUP($Q142,武学奇术!$A:$ZZ,2,FALSE)+SUM(_xlfn.XLOOKUP($R142:$AF142,增益!$A:$A,增益!$B:$B,0))</f>
        <v>0.2837</v>
      </c>
      <c r="AM142" s="30" cm="1">
        <f t="array" ref="AM142">VLOOKUP($Q142,武学奇术!$A:$ZZ,5,FALSE)+SUM(_xlfn.XLOOKUP($R142:$AF142,增益!$A:$A,增益!$E:$E,0))</f>
        <v>0</v>
      </c>
      <c r="AN142" cm="1">
        <f t="array" ref="AN142">$D$10*(1+$AM142)+VLOOKUP($Q142,武学奇术!$A:$ZZ,3,FALSE)+SUM(_xlfn.XLOOKUP($R142:$AF142,增益!$A:$A,增益!$C:$C,0))-$I$2</f>
        <v>3545.8</v>
      </c>
      <c r="AO142" cm="1">
        <f t="array" ref="AO142">$E$10*(1+$AM142)+VLOOKUP($Q142,武学奇术!$A:$ZZ,4,FALSE)+SUM(_xlfn.XLOOKUP($R142:$AF142,增益!$A:$A,增益!$D:$D,0))-$I$2</f>
        <v>3545.8</v>
      </c>
      <c r="AP142" s="35" cm="1">
        <f t="array" ref="AP142">IF($F$10-$I$3+VLOOKUP($Q142,武学奇术!$A:$ZZ,6,FALSE)+SUM(_xlfn.XLOOKUP(R142:AF142,增益!$A:$A,增益!$F:$F,0))&gt;0,($F$10-$I$3+VLOOKUP($Q142,武学奇术!$A:$ZZ,6,FALSE)+SUM(_xlfn.XLOOKUP(R142:AF142,增益!$A:$A,增益!$F:$F,0)))/200,($F$10-$I$3+VLOOKUP($Q142,武学奇术!$A:$ZZ,6,FALSE)+SUM(_xlfn.XLOOKUP(R142:AF142,增益!$A:$A,增益!$F:$F,0)))/100)</f>
        <v>0.3425</v>
      </c>
      <c r="AQ142" s="35" cm="1">
        <f t="array" ref="AQ142">$G$10+VLOOKUP($Q142,武学奇术!$A:$ZZ,7,FALSE)+SUM(_xlfn.XLOOKUP(R142:AF142,增益!$A:$A,增益!$G:$G,0))</f>
        <v>0.028</v>
      </c>
      <c r="AR142" s="30" cm="1">
        <f t="array" ref="AR142">VLOOKUP($Q142,武学奇术!$A:$ZZ,8,FALSE)+SUM(_xlfn.XLOOKUP(R142:AF142,增益!$A:$A,增益!$H:$H,0))</f>
        <v>0</v>
      </c>
      <c r="AS142">
        <f t="shared" si="84"/>
        <v>0</v>
      </c>
      <c r="AT142">
        <f t="shared" si="85"/>
        <v>0</v>
      </c>
      <c r="AU142" s="35" cm="1">
        <f t="array" ref="AU142">IF($F$11-$I$4+VLOOKUP($Q142,武学奇术!$A:$ZZ,9,FALSE)+SUM(_xlfn.XLOOKUP(R142:AF142,增益!$A:$A,增益!$I:$I,0))&gt;0,($F$11-$I$4+VLOOKUP($Q142,武学奇术!$A:$ZZ,9,FALSE)+SUM(_xlfn.XLOOKUP(R142:AF142,增益!$A:$A,增益!$I:$I,0)))/200,($F$11-$I$4+VLOOKUP($Q142,武学奇术!$A:$ZZ,9,FALSE)+SUM(_xlfn.XLOOKUP(R142:AF142,增益!$A:$A,增益!$I:$I,0)))/100)</f>
        <v>-0.3</v>
      </c>
      <c r="AV142" s="35" cm="1">
        <f t="array" ref="AV142">$G$11+VLOOKUP($Q142,武学奇术!$A:$ZZ,10,FALSE)+SUM(_xlfn.XLOOKUP(R142:AF142,增益!$A:$A,增益!$J:$J,0))</f>
        <v>0</v>
      </c>
      <c r="AW142">
        <f t="shared" si="86"/>
        <v>0</v>
      </c>
      <c r="AX142">
        <f t="shared" si="87"/>
        <v>0</v>
      </c>
      <c r="AY142" s="35" cm="1">
        <f t="array" ref="AY142">IF($F$12-$I$4+VLOOKUP($Q142,武学奇术!$A:$ZZ,11,FALSE)+SUM(_xlfn.XLOOKUP(R142:AF142,增益!$A:$A,增益!$K:$K,0))&gt;0,($F$12-$I$4+VLOOKUP($Q142,武学奇术!$A:$ZZ,11,FALSE)+SUM(_xlfn.XLOOKUP(R142:AF142,增益!$A:$A,增益!$K:$K,0)))/200,($F$12-$I$4+VLOOKUP($Q142,武学奇术!$A:$ZZ,11,FALSE)+SUM(_xlfn.XLOOKUP(R142:AF142,增益!$A:$A,增益!$K:$K,0)))/100)</f>
        <v>-0.3</v>
      </c>
      <c r="AZ142" s="35" cm="1">
        <f t="array" ref="AZ142">$G$12+VLOOKUP($Q142,武学奇术!$A:$ZZ,12,FALSE)+SUM(_xlfn.XLOOKUP(R142:AF142,增益!$A:$A,增益!$L:$L,0))</f>
        <v>0</v>
      </c>
      <c r="BA142">
        <f t="shared" si="88"/>
        <v>0</v>
      </c>
      <c r="BB142">
        <f t="shared" si="89"/>
        <v>0</v>
      </c>
      <c r="BC142" s="35" cm="1">
        <f t="array" ref="BC142">IF($F$13-$I$4+VLOOKUP($Q142,武学奇术!$A:$ZZ,13,FALSE)+SUM(_xlfn.XLOOKUP(R142:AF142,增益!$A:$A,增益!$M:$M,0))&gt;0,($F$13-$I$4+VLOOKUP($Q142,武学奇术!$A:$ZZ,13,FALSE)+SUM(_xlfn.XLOOKUP(R142:AF142,增益!$A:$A,增益!$K:$K,0)))/200,($F$13-$I$4+VLOOKUP($Q142,武学奇术!$A:$ZZ,13,FALSE)+SUM(_xlfn.XLOOKUP(R142:AF142,增益!$A:$A,增益!$M:$M,0)))/100)</f>
        <v>-0.3</v>
      </c>
      <c r="BD142" s="35" cm="1">
        <f t="array" ref="BD142">$G$13+VLOOKUP($Q142,武学奇术!$A:$ZZ,14,FALSE)+SUM(_xlfn.XLOOKUP(R142:AF142,增益!$A:$A,增益!$N:$N,0))</f>
        <v>0</v>
      </c>
      <c r="BE142">
        <f t="shared" si="90"/>
        <v>538</v>
      </c>
      <c r="BF142">
        <f t="shared" si="91"/>
        <v>1561.4</v>
      </c>
      <c r="BG142" s="35" cm="1">
        <f t="array" ref="BG142">IF($F$14-$I$4+VLOOKUP($Q142,武学奇术!$A:$ZZ,15,FALSE)+SUM(_xlfn.XLOOKUP(R142:AF142,增益!$A:$A,增益!$O:$O,0))&gt;0,($F$14-$I$4+VLOOKUP($Q142,武学奇术!$A:$ZZ,15,FALSE)+SUM(_xlfn.XLOOKUP(R142:AF142,增益!$A:$A,增益!$O:$O,0)))/200,($F$14-$I$4+VLOOKUP($Q142,武学奇术!$A:$ZZ,15,FALSE)+SUM(_xlfn.XLOOKUP(R142:AF142,增益!$A:$A,增益!$O:$O,0)))/100)</f>
        <v>0</v>
      </c>
      <c r="BH142" s="35" cm="1">
        <f t="array" ref="BH142">$G$14+VLOOKUP($Q142,武学奇术!$A:$ZZ,16,FALSE)+SUM(_xlfn.XLOOKUP(R142:AF142,增益!$A:$A,增益!$P:$P,0))</f>
        <v>0.15</v>
      </c>
      <c r="BI142" s="30">
        <f>MIN(IF(VLOOKUP($Q142,武学奇术!$A:$ZZ,23,FALSE)=1,100%,$B$8),100%)</f>
        <v>0.9712</v>
      </c>
      <c r="BJ142" s="30" cm="1">
        <f t="array" ref="BJ142">IF(VLOOKUP($Q142,武学奇术!$A:$ZZ,23,FALSE)=1,100%,MIN(80%,$B$9+VLOOKUP($Q142,武学奇术!$A:$ZZ,17,FALSE)+SUM(_xlfn.XLOOKUP(R142:AF142,增益!$A:$A,增益!$Q:$Q,0)))+$B$11+SUM(_xlfn.XLOOKUP(R142:AF142,增益!$A:$A,增益!$U:$U,0)))*IF(VLOOKUP($Q142,武学奇术!$A:$ZZ,24,FALSE)=1,0,1)</f>
        <v>0.8773</v>
      </c>
      <c r="BK142" s="30" cm="1">
        <f t="array" ref="BK142">1+$B$13+VLOOKUP($Q142,武学奇术!$A:$ZZ,18,FALSE)+SUM(_xlfn.XLOOKUP(R142:AF142,增益!$A:$A,增益!$R:$R,0))</f>
        <v>1.84</v>
      </c>
      <c r="BL142" s="30" cm="1">
        <f t="array" ref="BL142">IF(VLOOKUP($Q142,武学奇术!$A:$ZZ,24,FALSE)=1,100%,MIN(40%,$B$10+VLOOKUP($Q142,武学奇术!$A:$ZZ,19,FALSE)+SUM(_xlfn.XLOOKUP(R142:AF142,增益!$A:$A,增益!$S:$S,0)))+$B$12+SUM(_xlfn.XLOOKUP(R142:AF142,增益!$A:$A,增益!$V:$V,0)))*IF(VLOOKUP($Q142,武学奇术!$A:$ZZ,23,FALSE)=1,0,1)</f>
        <v>0.0895</v>
      </c>
      <c r="BM142" s="30" cm="1">
        <f t="array" ref="BM142">1+$B$14+VLOOKUP($Q142,武学奇术!$A:$ZZ,20,FALSE)+SUM(_xlfn.XLOOKUP(R142:AF142,增益!$A:$A,增益!$T:$T,0))</f>
        <v>1.35</v>
      </c>
      <c r="BN142" s="30">
        <f t="shared" si="92"/>
        <v>0.85203376</v>
      </c>
      <c r="BO142" s="30">
        <f t="shared" si="93"/>
        <v>0.03224384</v>
      </c>
      <c r="BP142" s="30">
        <f>IF(VLOOKUP($Q142,武学奇术!$A:$ZZ,22,FALSE)=1,0,(1-$BI142))*(1-$BL142)</f>
        <v>0.0262224</v>
      </c>
      <c r="BQ142" s="30" cm="1">
        <f t="array" ref="BQ142">SUM(_xlfn.XLOOKUP(R142:AF142,增益!$A:$A,增益!$W:$W,0))+$I$5</f>
        <v>0.11</v>
      </c>
    </row>
    <row r="143" spans="1:69">
      <c r="K143" s="41">
        <f t="shared" si="83"/>
        <v>15738.5741828337</v>
      </c>
      <c r="L143" s="41">
        <f>((($AN143+$AO143)/2*$AH143+$AI143)*(1+$AP143)*(1+$AQ143)+(($AS143+$AT143)/2*IF($G$1="鸣金",$AJ143,$AH143)+IF($G$1="鸣金",$AK143*1.5,0))*(1+$AU143)*(1+$AV143)+(($AW143+$AX143)/2*IF($G$1="裂石",$AJ143,$AH143)+IF($G$1="裂石",$AK143*1.5,0))*(1+$AY143)*(1+$AZ143)+(($BA143+$BB143)/2*IF($G$1="牵丝",$AJ143,$AH143)+IF($G$1="牵丝",$AK143*1.5,0))*(1+$BC143)*(1+$BD143)+(($BE143+$BF143)/2*IF($G$1="破竹",$AJ143,$AH143)+IF($G$1="破竹",$AK143*1.5,0))*(1+$BG143)*(1+$BH143))*(1+$AL143)*$BK143*$P143*(1+IF(VLOOKUP($Q143,武学奇术!$A:$ZZ,30,FALSE)="回旋伞",$B$21,0))*(1+$BQ143)</f>
        <v>16513.0455646612</v>
      </c>
      <c r="M143" s="41">
        <f>(($AO143*$AH143+$AI143)*(1+$AP143)*(1+$AQ143)+($AT143*IF($G$1="鸣金",$AJ143,$AH143)+IF($G$1="鸣金",$AK143*1.5,0))*(1+$AU143)*(1+$AV143)+($AX143*IF($G$1="裂石",$AJ143,$AH143)+IF($G$1="裂石",$AK143*1.5,0))*(1+$AY143)*(1+$AZ143)+($BB143*IF($G$1="牵丝",$AJ143,$AH143)+IF($G$1="牵丝",$AK143*1.5,0))*(1+$BC143)*(1+$BD143)+($BF143*IF($G$1="破竹",$AJ143,$AH143)+IF($G$1="破竹",$AK143*1.5,0))*(1+$BG143)*(1+$BH143))*(1+$AL143)*$BM143*$P143*(1+IF(VLOOKUP($Q143,武学奇术!$A:$ZZ,30,FALSE)="回旋伞",$B$21,0))*(1+$BQ143)</f>
        <v>13143.7063666772</v>
      </c>
      <c r="N143" s="41">
        <f>((($AN143+$AO143)/2*$AH143+$AI143)*(1+$AP143)*(1+$AQ143)+(($AS143+$AT143)/2*IF($G$1="鸣金",$AJ143,$AH143)+IF($G$1="鸣金",$AK143*1.5,0))*(1+$AU143)*(1+$AV143)+(($AW143+$AX143)/2*IF($G$1="裂石",$AJ143,$AH143)+IF($G$1="裂石",$AK143*1.5,0))*(1+$AY143)*(1+$AZ143)+(($BA143+$BB143)/2*IF($G$1="牵丝",$AJ143,$AH143)+IF($G$1="牵丝",$AK143*1.5,0))*(1+$BC143)*(1+$BD143)+(($BE143+$BF143)/2*IF($G$1="破竹",$AJ143,$AH143)+IF($G$1="破竹",$AK143*1.5,0))*(1+$BG143)*(1+$BH143))*(1+$AL143)*$P143*(1+IF(VLOOKUP($Q143,武学奇术!$A:$ZZ,30,FALSE)="回旋伞",$B$21,0))*(1+$BQ143)</f>
        <v>8830.50564955146</v>
      </c>
      <c r="O143" s="41">
        <f>((($AN143*$AH143+$AI143)*(1+$AP143)*(1+$AQ143)+($AS143*IF($G$1="鸣金",$AJ143,$AH143)+IF($G$1="鸣金",$AK143*1.5,0))*(1+$AU143)*(1+$AV143)+($AW143*IF($G$1="裂石",$AJ143,$AH143)+IF($G$1="裂石",$AK143*1.5,0))*(1+$AY143)*(1+$AZ143)+($BA143*IF($G$1="牵丝",$AJ143,$AH143)+IF($G$1="牵丝",$AK143*1.5,0))*(1+$BC143)*(1+$BD143)+($BE143*IF($G$1="破竹",$AJ143,$AH143)+IF($G$1="破竹",$AK143*1.5,0))*(1+$BG143)*(1+$BH143))*(1+$AL143))*$P143*(1+IF(VLOOKUP($Q143,武学奇术!$A:$ZZ,30,FALSE)="回旋伞",$B$21,0))*(1+$BQ143)</f>
        <v>7924.93250897166</v>
      </c>
      <c r="P143" s="42">
        <f t="shared" si="94"/>
        <v>1</v>
      </c>
      <c r="Q143" s="43" t="s">
        <v>187</v>
      </c>
      <c r="R143" s="43" t="s">
        <v>71</v>
      </c>
      <c r="S143" s="43" t="s">
        <v>91</v>
      </c>
      <c r="T143" s="43" t="s">
        <v>72</v>
      </c>
      <c r="U143" s="43" t="s">
        <v>71</v>
      </c>
      <c r="V143" s="43" t="s">
        <v>167</v>
      </c>
      <c r="W143" s="43" t="s">
        <v>95</v>
      </c>
      <c r="X143" s="43" t="s">
        <v>82</v>
      </c>
      <c r="Y143" s="43" t="s">
        <v>71</v>
      </c>
      <c r="Z143" s="43" t="s">
        <v>71</v>
      </c>
      <c r="AA143" s="43" t="s">
        <v>71</v>
      </c>
      <c r="AB143" s="43" t="s">
        <v>71</v>
      </c>
      <c r="AC143" s="43" t="s">
        <v>71</v>
      </c>
      <c r="AD143" s="43" t="s">
        <v>71</v>
      </c>
      <c r="AE143" s="43" t="s">
        <v>71</v>
      </c>
      <c r="AF143" s="43" t="s">
        <v>76</v>
      </c>
      <c r="AG143" t="str">
        <f>VLOOKUP($Q143,武学奇术!$A:$ZZ,25,FALSE)</f>
        <v>心法</v>
      </c>
      <c r="AH143" s="30">
        <f>VLOOKUP($Q143,武学奇术!$A:$ZZ,26,FALSE)</f>
        <v>1</v>
      </c>
      <c r="AI143" s="31">
        <f>VLOOKUP($Q143,武学奇术!$A:$ZZ,27,FALSE)*(1+IF(OR($AG143=$F$4,$AG143=$F$5),$B$22,0))</f>
        <v>0</v>
      </c>
      <c r="AJ143" s="30">
        <f>VLOOKUP($Q143,武学奇术!$A:$ZZ,28,FALSE)</f>
        <v>1</v>
      </c>
      <c r="AK143" s="31">
        <f>VLOOKUP($Q143,武学奇术!$A:$ZZ,29,FALSE)*(1+IF(OR($AG143=$F$4,$AG143=$F$5),$B$22,0))</f>
        <v>0</v>
      </c>
      <c r="AL143" s="30" cm="1">
        <f t="array" ref="AL143">$G$3+IFERROR(VLOOKUP($AG143,$F$4:$G$7,2,FALSE),0)+VLOOKUP($Q143,武学奇术!$A:$ZZ,2,FALSE)+SUM(_xlfn.XLOOKUP($R143:$AF143,增益!$A:$A,增益!$B:$B,0))</f>
        <v>0.2837</v>
      </c>
      <c r="AM143" s="30" cm="1">
        <f t="array" ref="AM143">VLOOKUP($Q143,武学奇术!$A:$ZZ,5,FALSE)+SUM(_xlfn.XLOOKUP($R143:$AF143,增益!$A:$A,增益!$E:$E,0))</f>
        <v>0</v>
      </c>
      <c r="AN143" cm="1">
        <f t="array" ref="AN143">$D$10*(1+$AM143)+VLOOKUP($Q143,武学奇术!$A:$ZZ,3,FALSE)+SUM(_xlfn.XLOOKUP($R143:$AF143,增益!$A:$A,增益!$C:$C,0))-$I$2</f>
        <v>3545.8</v>
      </c>
      <c r="AO143" cm="1">
        <f t="array" ref="AO143">$E$10*(1+$AM143)+VLOOKUP($Q143,武学奇术!$A:$ZZ,4,FALSE)+SUM(_xlfn.XLOOKUP($R143:$AF143,增益!$A:$A,增益!$D:$D,0))-$I$2</f>
        <v>3545.8</v>
      </c>
      <c r="AP143" s="35" cm="1">
        <f t="array" ref="AP143">IF($F$10-$I$3+VLOOKUP($Q143,武学奇术!$A:$ZZ,6,FALSE)+SUM(_xlfn.XLOOKUP(R143:AF143,增益!$A:$A,增益!$F:$F,0))&gt;0,($F$10-$I$3+VLOOKUP($Q143,武学奇术!$A:$ZZ,6,FALSE)+SUM(_xlfn.XLOOKUP(R143:AF143,增益!$A:$A,增益!$F:$F,0)))/200,($F$10-$I$3+VLOOKUP($Q143,武学奇术!$A:$ZZ,6,FALSE)+SUM(_xlfn.XLOOKUP(R143:AF143,增益!$A:$A,增益!$F:$F,0)))/100)</f>
        <v>0.3425</v>
      </c>
      <c r="AQ143" s="35" cm="1">
        <f t="array" ref="AQ143">$G$10+VLOOKUP($Q143,武学奇术!$A:$ZZ,7,FALSE)+SUM(_xlfn.XLOOKUP(R143:AF143,增益!$A:$A,增益!$G:$G,0))</f>
        <v>0.028</v>
      </c>
      <c r="AR143" s="30" cm="1">
        <f t="array" ref="AR143">VLOOKUP($Q143,武学奇术!$A:$ZZ,8,FALSE)+SUM(_xlfn.XLOOKUP(R143:AF143,增益!$A:$A,增益!$H:$H,0))</f>
        <v>0</v>
      </c>
      <c r="AS143">
        <f t="shared" si="84"/>
        <v>0</v>
      </c>
      <c r="AT143">
        <f t="shared" si="85"/>
        <v>0</v>
      </c>
      <c r="AU143" s="35" cm="1">
        <f t="array" ref="AU143">IF($F$11-$I$4+VLOOKUP($Q143,武学奇术!$A:$ZZ,9,FALSE)+SUM(_xlfn.XLOOKUP(R143:AF143,增益!$A:$A,增益!$I:$I,0))&gt;0,($F$11-$I$4+VLOOKUP($Q143,武学奇术!$A:$ZZ,9,FALSE)+SUM(_xlfn.XLOOKUP(R143:AF143,增益!$A:$A,增益!$I:$I,0)))/200,($F$11-$I$4+VLOOKUP($Q143,武学奇术!$A:$ZZ,9,FALSE)+SUM(_xlfn.XLOOKUP(R143:AF143,增益!$A:$A,增益!$I:$I,0)))/100)</f>
        <v>-0.14</v>
      </c>
      <c r="AV143" s="35" cm="1">
        <f t="array" ref="AV143">$G$11+VLOOKUP($Q143,武学奇术!$A:$ZZ,10,FALSE)+SUM(_xlfn.XLOOKUP(R143:AF143,增益!$A:$A,增益!$J:$J,0))</f>
        <v>0</v>
      </c>
      <c r="AW143">
        <f t="shared" si="86"/>
        <v>0</v>
      </c>
      <c r="AX143">
        <f t="shared" si="87"/>
        <v>0</v>
      </c>
      <c r="AY143" s="35" cm="1">
        <f t="array" ref="AY143">IF($F$12-$I$4+VLOOKUP($Q143,武学奇术!$A:$ZZ,11,FALSE)+SUM(_xlfn.XLOOKUP(R143:AF143,增益!$A:$A,增益!$K:$K,0))&gt;0,($F$12-$I$4+VLOOKUP($Q143,武学奇术!$A:$ZZ,11,FALSE)+SUM(_xlfn.XLOOKUP(R143:AF143,增益!$A:$A,增益!$K:$K,0)))/200,($F$12-$I$4+VLOOKUP($Q143,武学奇术!$A:$ZZ,11,FALSE)+SUM(_xlfn.XLOOKUP(R143:AF143,增益!$A:$A,增益!$K:$K,0)))/100)</f>
        <v>-0.14</v>
      </c>
      <c r="AZ143" s="35" cm="1">
        <f t="array" ref="AZ143">$G$12+VLOOKUP($Q143,武学奇术!$A:$ZZ,12,FALSE)+SUM(_xlfn.XLOOKUP(R143:AF143,增益!$A:$A,增益!$L:$L,0))</f>
        <v>0</v>
      </c>
      <c r="BA143">
        <f t="shared" si="88"/>
        <v>0</v>
      </c>
      <c r="BB143">
        <f t="shared" si="89"/>
        <v>0</v>
      </c>
      <c r="BC143" s="35" cm="1">
        <f t="array" ref="BC143">IF($F$13-$I$4+VLOOKUP($Q143,武学奇术!$A:$ZZ,13,FALSE)+SUM(_xlfn.XLOOKUP(R143:AF143,增益!$A:$A,增益!$M:$M,0))&gt;0,($F$13-$I$4+VLOOKUP($Q143,武学奇术!$A:$ZZ,13,FALSE)+SUM(_xlfn.XLOOKUP(R143:AF143,增益!$A:$A,增益!$K:$K,0)))/200,($F$13-$I$4+VLOOKUP($Q143,武学奇术!$A:$ZZ,13,FALSE)+SUM(_xlfn.XLOOKUP(R143:AF143,增益!$A:$A,增益!$M:$M,0)))/100)</f>
        <v>-0.14</v>
      </c>
      <c r="BD143" s="35" cm="1">
        <f t="array" ref="BD143">$G$13+VLOOKUP($Q143,武学奇术!$A:$ZZ,14,FALSE)+SUM(_xlfn.XLOOKUP(R143:AF143,增益!$A:$A,增益!$N:$N,0))</f>
        <v>0</v>
      </c>
      <c r="BE143">
        <f t="shared" si="90"/>
        <v>538</v>
      </c>
      <c r="BF143">
        <f t="shared" si="91"/>
        <v>1561.4</v>
      </c>
      <c r="BG143" s="35" cm="1">
        <f t="array" ref="BG143">IF($F$14-$I$4+VLOOKUP($Q143,武学奇术!$A:$ZZ,15,FALSE)+SUM(_xlfn.XLOOKUP(R143:AF143,增益!$A:$A,增益!$O:$O,0))&gt;0,($F$14-$I$4+VLOOKUP($Q143,武学奇术!$A:$ZZ,15,FALSE)+SUM(_xlfn.XLOOKUP(R143:AF143,增益!$A:$A,增益!$O:$O,0)))/200,($F$14-$I$4+VLOOKUP($Q143,武学奇术!$A:$ZZ,15,FALSE)+SUM(_xlfn.XLOOKUP(R143:AF143,增益!$A:$A,增益!$O:$O,0)))/100)</f>
        <v>0.08</v>
      </c>
      <c r="BH143" s="35" cm="1">
        <f t="array" ref="BH143">$G$14+VLOOKUP($Q143,武学奇术!$A:$ZZ,16,FALSE)+SUM(_xlfn.XLOOKUP(R143:AF143,增益!$A:$A,增益!$P:$P,0))</f>
        <v>0.15</v>
      </c>
      <c r="BI143" s="30">
        <f>MIN(IF(VLOOKUP($Q143,武学奇术!$A:$ZZ,23,FALSE)=1,100%,$B$8),100%)</f>
        <v>0.9712</v>
      </c>
      <c r="BJ143" s="30" cm="1">
        <f t="array" ref="BJ143">IF(VLOOKUP($Q143,武学奇术!$A:$ZZ,23,FALSE)=1,100%,MIN(80%,$B$9+VLOOKUP($Q143,武学奇术!$A:$ZZ,17,FALSE)+SUM(_xlfn.XLOOKUP(R143:AF143,增益!$A:$A,增益!$Q:$Q,0)))+$B$11+SUM(_xlfn.XLOOKUP(R143:AF143,增益!$A:$A,增益!$U:$U,0)))*IF(VLOOKUP($Q143,武学奇术!$A:$ZZ,24,FALSE)=1,0,1)</f>
        <v>0.8773</v>
      </c>
      <c r="BK143" s="30" cm="1">
        <f t="array" ref="BK143">1+$B$13+VLOOKUP($Q143,武学奇术!$A:$ZZ,18,FALSE)+SUM(_xlfn.XLOOKUP(R143:AF143,增益!$A:$A,增益!$R:$R,0))</f>
        <v>1.87</v>
      </c>
      <c r="BL143" s="30" cm="1">
        <f t="array" ref="BL143">IF(VLOOKUP($Q143,武学奇术!$A:$ZZ,24,FALSE)=1,100%,MIN(40%,$B$10+VLOOKUP($Q143,武学奇术!$A:$ZZ,19,FALSE)+SUM(_xlfn.XLOOKUP(R143:AF143,增益!$A:$A,增益!$S:$S,0)))+$B$12+SUM(_xlfn.XLOOKUP(R143:AF143,增益!$A:$A,增益!$V:$V,0)))*IF(VLOOKUP($Q143,武学奇术!$A:$ZZ,23,FALSE)=1,0,1)</f>
        <v>0.0895</v>
      </c>
      <c r="BM143" s="30" cm="1">
        <f t="array" ref="BM143">1+$B$14+VLOOKUP($Q143,武学奇术!$A:$ZZ,20,FALSE)+SUM(_xlfn.XLOOKUP(R143:AF143,增益!$A:$A,增益!$T:$T,0))</f>
        <v>1.35</v>
      </c>
      <c r="BN143" s="30">
        <f t="shared" si="92"/>
        <v>0.85203376</v>
      </c>
      <c r="BO143" s="30">
        <f t="shared" si="93"/>
        <v>0.03224384</v>
      </c>
      <c r="BP143" s="30">
        <f>IF(VLOOKUP($Q143,武学奇术!$A:$ZZ,22,FALSE)=1,0,(1-$BI143))*(1-$BL143)</f>
        <v>0.0262224</v>
      </c>
      <c r="BQ143" s="30" cm="1">
        <f t="array" ref="BQ143">SUM(_xlfn.XLOOKUP(R143:AF143,增益!$A:$A,增益!$W:$W,0))+$I$5</f>
        <v>0.11</v>
      </c>
    </row>
    <row r="144" spans="1:69">
      <c r="K144" s="41">
        <f t="shared" si="83"/>
        <v>25411.053772461</v>
      </c>
      <c r="L144" s="41">
        <f>((($AN144+$AO144)/2*$AH144+$AI144)*(1+$AP144)*(1+$AQ144)+(($AS144+$AT144)/2*IF($G$1="鸣金",$AJ144,$AH144)+IF($G$1="鸣金",$AK144*1.5,0))*(1+$AU144)*(1+$AV144)+(($AW144+$AX144)/2*IF($G$1="裂石",$AJ144,$AH144)+IF($G$1="裂石",$AK144*1.5,0))*(1+$AY144)*(1+$AZ144)+(($BA144+$BB144)/2*IF($G$1="牵丝",$AJ144,$AH144)+IF($G$1="牵丝",$AK144*1.5,0))*(1+$BC144)*(1+$BD144)+(($BE144+$BF144)/2*IF($G$1="破竹",$AJ144,$AH144)+IF($G$1="破竹",$AK144*1.5,0))*(1+$BG144)*(1+$BH144))*(1+$AL144)*$BK144*$P144*(1+IF(VLOOKUP($Q144,武学奇术!$A:$ZZ,30,FALSE)="回旋伞",$B$21,0))*(1+$BQ144)</f>
        <v>27015.4968971077</v>
      </c>
      <c r="M144" s="41">
        <f>(($AO144*$AH144+$AI144)*(1+$AP144)*(1+$AQ144)+($AT144*IF($G$1="鸣金",$AJ144,$AH144)+IF($G$1="鸣金",$AK144*1.5,0))*(1+$AU144)*(1+$AV144)+($AX144*IF($G$1="裂石",$AJ144,$AH144)+IF($G$1="裂石",$AK144*1.5,0))*(1+$AY144)*(1+$AZ144)+($BB144*IF($G$1="牵丝",$AJ144,$AH144)+IF($G$1="牵丝",$AK144*1.5,0))*(1+$BC144)*(1+$BD144)+($BF144*IF($G$1="破竹",$AJ144,$AH144)+IF($G$1="破竹",$AK144*1.5,0))*(1+$BG144)*(1+$BH144))*(1+$AL144)*$BM144*$P144*(1+IF(VLOOKUP($Q144,武学奇术!$A:$ZZ,30,FALSE)="回旋伞",$B$21,0))*(1+$BQ144)</f>
        <v>18747.3254073053</v>
      </c>
      <c r="N144" s="41">
        <f>((($AN144+$AO144)/2*$AH144+$AI144)*(1+$AP144)*(1+$AQ144)+(($AS144+$AT144)/2*IF($G$1="鸣金",$AJ144,$AH144)+IF($G$1="鸣金",$AK144*1.5,0))*(1+$AU144)*(1+$AV144)+(($AW144+$AX144)/2*IF($G$1="裂石",$AJ144,$AH144)+IF($G$1="裂石",$AK144*1.5,0))*(1+$AY144)*(1+$AZ144)+(($BA144+$BB144)/2*IF($G$1="牵丝",$AJ144,$AH144)+IF($G$1="牵丝",$AK144*1.5,0))*(1+$BC144)*(1+$BD144)+(($BE144+$BF144)/2*IF($G$1="破竹",$AJ144,$AH144)+IF($G$1="破竹",$AK144*1.5,0))*(1+$BG144)*(1+$BH144))*(1+$AL144)*$P144*(1+IF(VLOOKUP($Q144,武学奇术!$A:$ZZ,30,FALSE)="回旋伞",$B$21,0))*(1+$BQ144)</f>
        <v>12743.15891373</v>
      </c>
      <c r="O144" s="41">
        <f>((($AN144*$AH144+$AI144)*(1+$AP144)*(1+$AQ144)+($AS144*IF($G$1="鸣金",$AJ144,$AH144)+IF($G$1="鸣金",$AK144*1.5,0))*(1+$AU144)*(1+$AV144)+($AW144*IF($G$1="裂石",$AJ144,$AH144)+IF($G$1="裂石",$AK144*1.5,0))*(1+$AY144)*(1+$AZ144)+($BA144*IF($G$1="牵丝",$AJ144,$AH144)+IF($G$1="牵丝",$AK144*1.5,0))*(1+$BC144)*(1+$BD144)+($BE144*IF($G$1="破竹",$AJ144,$AH144)+IF($G$1="破竹",$AK144*1.5,0))*(1+$BG144)*(1+$BH144))*(1+$AL144))*$P144*(1+IF(VLOOKUP($Q144,武学奇术!$A:$ZZ,30,FALSE)="回旋伞",$B$21,0))*(1+$BQ144)</f>
        <v>11599.410118345</v>
      </c>
      <c r="P144" s="42">
        <f t="shared" si="94"/>
        <v>1</v>
      </c>
      <c r="Q144" s="43" t="s">
        <v>187</v>
      </c>
      <c r="R144" s="43" t="s">
        <v>71</v>
      </c>
      <c r="S144" s="43" t="s">
        <v>91</v>
      </c>
      <c r="T144" s="43" t="s">
        <v>72</v>
      </c>
      <c r="U144" s="43" t="s">
        <v>79</v>
      </c>
      <c r="V144" s="43" t="s">
        <v>167</v>
      </c>
      <c r="W144" s="43" t="s">
        <v>95</v>
      </c>
      <c r="X144" s="43" t="s">
        <v>71</v>
      </c>
      <c r="Y144" s="43" t="s">
        <v>177</v>
      </c>
      <c r="Z144" s="43" t="s">
        <v>178</v>
      </c>
      <c r="AA144" s="43" t="s">
        <v>71</v>
      </c>
      <c r="AB144" s="43" t="s">
        <v>179</v>
      </c>
      <c r="AC144" s="43" t="s">
        <v>71</v>
      </c>
      <c r="AD144" s="43" t="s">
        <v>71</v>
      </c>
      <c r="AE144" s="43" t="s">
        <v>71</v>
      </c>
      <c r="AF144" s="43" t="s">
        <v>76</v>
      </c>
      <c r="AG144" t="str">
        <f>VLOOKUP($Q144,武学奇术!$A:$ZZ,25,FALSE)</f>
        <v>心法</v>
      </c>
      <c r="AH144" s="30">
        <f>VLOOKUP($Q144,武学奇术!$A:$ZZ,26,FALSE)</f>
        <v>1</v>
      </c>
      <c r="AI144" s="31">
        <f>VLOOKUP($Q144,武学奇术!$A:$ZZ,27,FALSE)*(1+IF(OR($AG144=$F$4,$AG144=$F$5),$B$22,0))</f>
        <v>0</v>
      </c>
      <c r="AJ144" s="30">
        <f>VLOOKUP($Q144,武学奇术!$A:$ZZ,28,FALSE)</f>
        <v>1</v>
      </c>
      <c r="AK144" s="31">
        <f>VLOOKUP($Q144,武学奇术!$A:$ZZ,29,FALSE)*(1+IF(OR($AG144=$F$4,$AG144=$F$5),$B$22,0))</f>
        <v>0</v>
      </c>
      <c r="AL144" s="30" cm="1">
        <f t="array" ref="AL144">$G$3+IFERROR(VLOOKUP($AG144,$F$4:$G$7,2,FALSE),0)+VLOOKUP($Q144,武学奇术!$A:$ZZ,2,FALSE)+SUM(_xlfn.XLOOKUP($R144:$AF144,增益!$A:$A,增益!$B:$B,0))</f>
        <v>0.4837</v>
      </c>
      <c r="AM144" s="30" cm="1">
        <f t="array" ref="AM144">VLOOKUP($Q144,武学奇术!$A:$ZZ,5,FALSE)+SUM(_xlfn.XLOOKUP($R144:$AF144,增益!$A:$A,增益!$E:$E,0))</f>
        <v>0</v>
      </c>
      <c r="AN144" cm="1">
        <f t="array" ref="AN144">$D$10*(1+$AM144)+VLOOKUP($Q144,武学奇术!$A:$ZZ,3,FALSE)+SUM(_xlfn.XLOOKUP($R144:$AF144,增益!$A:$A,增益!$C:$C,0))-$I$2</f>
        <v>3545.8</v>
      </c>
      <c r="AO144" cm="1">
        <f t="array" ref="AO144">$E$10*(1+$AM144)+VLOOKUP($Q144,武学奇术!$A:$ZZ,4,FALSE)+SUM(_xlfn.XLOOKUP($R144:$AF144,增益!$A:$A,增益!$D:$D,0))-$I$2</f>
        <v>3545.8</v>
      </c>
      <c r="AP144" s="35" cm="1">
        <f t="array" ref="AP144">IF($F$10-$I$3+VLOOKUP($Q144,武学奇术!$A:$ZZ,6,FALSE)+SUM(_xlfn.XLOOKUP(R144:AF144,增益!$A:$A,增益!$F:$F,0))&gt;0,($F$10-$I$3+VLOOKUP($Q144,武学奇术!$A:$ZZ,6,FALSE)+SUM(_xlfn.XLOOKUP(R144:AF144,增益!$A:$A,增益!$F:$F,0)))/200,($F$10-$I$3+VLOOKUP($Q144,武学奇术!$A:$ZZ,6,FALSE)+SUM(_xlfn.XLOOKUP(R144:AF144,增益!$A:$A,增益!$F:$F,0)))/100)</f>
        <v>0.4675</v>
      </c>
      <c r="AQ144" s="35" cm="1">
        <f t="array" ref="AQ144">$G$10+VLOOKUP($Q144,武学奇术!$A:$ZZ,7,FALSE)+SUM(_xlfn.XLOOKUP(R144:AF144,增益!$A:$A,增益!$G:$G,0))</f>
        <v>0.028</v>
      </c>
      <c r="AR144" s="30" cm="1">
        <f t="array" ref="AR144">VLOOKUP($Q144,武学奇术!$A:$ZZ,8,FALSE)+SUM(_xlfn.XLOOKUP(R144:AF144,增益!$A:$A,增益!$H:$H,0))</f>
        <v>0</v>
      </c>
      <c r="AS144">
        <f t="shared" si="84"/>
        <v>0</v>
      </c>
      <c r="AT144">
        <f t="shared" si="85"/>
        <v>0</v>
      </c>
      <c r="AU144" s="35" cm="1">
        <f t="array" ref="AU144">IF($F$11-$I$4+VLOOKUP($Q144,武学奇术!$A:$ZZ,9,FALSE)+SUM(_xlfn.XLOOKUP(R144:AF144,增益!$A:$A,增益!$I:$I,0))&gt;0,($F$11-$I$4+VLOOKUP($Q144,武学奇术!$A:$ZZ,9,FALSE)+SUM(_xlfn.XLOOKUP(R144:AF144,增益!$A:$A,增益!$I:$I,0)))/200,($F$11-$I$4+VLOOKUP($Q144,武学奇术!$A:$ZZ,9,FALSE)+SUM(_xlfn.XLOOKUP(R144:AF144,增益!$A:$A,增益!$I:$I,0)))/100)</f>
        <v>-0.3</v>
      </c>
      <c r="AV144" s="35" cm="1">
        <f t="array" ref="AV144">$G$11+VLOOKUP($Q144,武学奇术!$A:$ZZ,10,FALSE)+SUM(_xlfn.XLOOKUP(R144:AF144,增益!$A:$A,增益!$J:$J,0))</f>
        <v>0.1</v>
      </c>
      <c r="AW144">
        <f t="shared" si="86"/>
        <v>0</v>
      </c>
      <c r="AX144">
        <f t="shared" si="87"/>
        <v>0</v>
      </c>
      <c r="AY144" s="35" cm="1">
        <f t="array" ref="AY144">IF($F$12-$I$4+VLOOKUP($Q144,武学奇术!$A:$ZZ,11,FALSE)+SUM(_xlfn.XLOOKUP(R144:AF144,增益!$A:$A,增益!$K:$K,0))&gt;0,($F$12-$I$4+VLOOKUP($Q144,武学奇术!$A:$ZZ,11,FALSE)+SUM(_xlfn.XLOOKUP(R144:AF144,增益!$A:$A,增益!$K:$K,0)))/200,($F$12-$I$4+VLOOKUP($Q144,武学奇术!$A:$ZZ,11,FALSE)+SUM(_xlfn.XLOOKUP(R144:AF144,增益!$A:$A,增益!$K:$K,0)))/100)</f>
        <v>-0.3</v>
      </c>
      <c r="AZ144" s="35" cm="1">
        <f t="array" ref="AZ144">$G$12+VLOOKUP($Q144,武学奇术!$A:$ZZ,12,FALSE)+SUM(_xlfn.XLOOKUP(R144:AF144,增益!$A:$A,增益!$L:$L,0))</f>
        <v>0</v>
      </c>
      <c r="BA144">
        <f t="shared" si="88"/>
        <v>0</v>
      </c>
      <c r="BB144">
        <f t="shared" si="89"/>
        <v>0</v>
      </c>
      <c r="BC144" s="35" cm="1">
        <f t="array" ref="BC144">IF($F$13-$I$4+VLOOKUP($Q144,武学奇术!$A:$ZZ,13,FALSE)+SUM(_xlfn.XLOOKUP(R144:AF144,增益!$A:$A,增益!$M:$M,0))&gt;0,($F$13-$I$4+VLOOKUP($Q144,武学奇术!$A:$ZZ,13,FALSE)+SUM(_xlfn.XLOOKUP(R144:AF144,增益!$A:$A,增益!$K:$K,0)))/200,($F$13-$I$4+VLOOKUP($Q144,武学奇术!$A:$ZZ,13,FALSE)+SUM(_xlfn.XLOOKUP(R144:AF144,增益!$A:$A,增益!$M:$M,0)))/100)</f>
        <v>-0.3</v>
      </c>
      <c r="BD144" s="35" cm="1">
        <f t="array" ref="BD144">$G$13+VLOOKUP($Q144,武学奇术!$A:$ZZ,14,FALSE)+SUM(_xlfn.XLOOKUP(R144:AF144,增益!$A:$A,增益!$N:$N,0))</f>
        <v>0</v>
      </c>
      <c r="BE144">
        <f t="shared" si="90"/>
        <v>538</v>
      </c>
      <c r="BF144">
        <f t="shared" si="91"/>
        <v>1561.4</v>
      </c>
      <c r="BG144" s="35" cm="1">
        <f t="array" ref="BG144">IF($F$14-$I$4+VLOOKUP($Q144,武学奇术!$A:$ZZ,15,FALSE)+SUM(_xlfn.XLOOKUP(R144:AF144,增益!$A:$A,增益!$O:$O,0))&gt;0,($F$14-$I$4+VLOOKUP($Q144,武学奇术!$A:$ZZ,15,FALSE)+SUM(_xlfn.XLOOKUP(R144:AF144,增益!$A:$A,增益!$O:$O,0)))/200,($F$14-$I$4+VLOOKUP($Q144,武学奇术!$A:$ZZ,15,FALSE)+SUM(_xlfn.XLOOKUP(R144:AF144,增益!$A:$A,增益!$O:$O,0)))/100)</f>
        <v>0</v>
      </c>
      <c r="BH144" s="35" cm="1">
        <f t="array" ref="BH144">$G$14+VLOOKUP($Q144,武学奇术!$A:$ZZ,16,FALSE)+SUM(_xlfn.XLOOKUP(R144:AF144,增益!$A:$A,增益!$P:$P,0))</f>
        <v>0.15</v>
      </c>
      <c r="BI144" s="30">
        <f>MIN(IF(VLOOKUP($Q144,武学奇术!$A:$ZZ,23,FALSE)=1,100%,$B$8),100%)</f>
        <v>0.9712</v>
      </c>
      <c r="BJ144" s="30" cm="1">
        <f t="array" ref="BJ144">IF(VLOOKUP($Q144,武学奇术!$A:$ZZ,23,FALSE)=1,100%,MIN(80%,$B$9+VLOOKUP($Q144,武学奇术!$A:$ZZ,17,FALSE)+SUM(_xlfn.XLOOKUP(R144:AF144,增益!$A:$A,增益!$Q:$Q,0)))+$B$11+SUM(_xlfn.XLOOKUP(R144:AF144,增益!$A:$A,增益!$U:$U,0)))*IF(VLOOKUP($Q144,武学奇术!$A:$ZZ,24,FALSE)=1,0,1)</f>
        <v>0.8773</v>
      </c>
      <c r="BK144" s="30" cm="1">
        <f t="array" ref="BK144">1+$B$13+VLOOKUP($Q144,武学奇术!$A:$ZZ,18,FALSE)+SUM(_xlfn.XLOOKUP(R144:AF144,增益!$A:$A,增益!$R:$R,0))</f>
        <v>2.12</v>
      </c>
      <c r="BL144" s="30" cm="1">
        <f t="array" ref="BL144">IF(VLOOKUP($Q144,武学奇术!$A:$ZZ,24,FALSE)=1,100%,MIN(40%,$B$10+VLOOKUP($Q144,武学奇术!$A:$ZZ,19,FALSE)+SUM(_xlfn.XLOOKUP(R144:AF144,增益!$A:$A,增益!$S:$S,0)))+$B$12+SUM(_xlfn.XLOOKUP(R144:AF144,增益!$A:$A,增益!$V:$V,0)))*IF(VLOOKUP($Q144,武学奇术!$A:$ZZ,23,FALSE)=1,0,1)</f>
        <v>0.0895</v>
      </c>
      <c r="BM144" s="30" cm="1">
        <f t="array" ref="BM144">1+$B$14+VLOOKUP($Q144,武学奇术!$A:$ZZ,20,FALSE)+SUM(_xlfn.XLOOKUP(R144:AF144,增益!$A:$A,增益!$T:$T,0))</f>
        <v>1.35</v>
      </c>
      <c r="BN144" s="30">
        <f t="shared" si="92"/>
        <v>0.85203376</v>
      </c>
      <c r="BO144" s="30">
        <f t="shared" si="93"/>
        <v>0.03224384</v>
      </c>
      <c r="BP144" s="30">
        <f>IF(VLOOKUP($Q144,武学奇术!$A:$ZZ,22,FALSE)=1,0,(1-$BI144))*(1-$BL144)</f>
        <v>0.0262224</v>
      </c>
      <c r="BQ144" s="30" cm="1">
        <f t="array" ref="BQ144">SUM(_xlfn.XLOOKUP(R144:AF144,增益!$A:$A,增益!$W:$W,0))+$I$5</f>
        <v>0.31</v>
      </c>
    </row>
    <row r="145" spans="11:69">
      <c r="K145" s="41">
        <f t="shared" si="83"/>
        <v>15738.5741828337</v>
      </c>
      <c r="L145" s="41">
        <f>((($AN145+$AO145)/2*$AH145+$AI145)*(1+$AP145)*(1+$AQ145)+(($AS145+$AT145)/2*IF($G$1="鸣金",$AJ145,$AH145)+IF($G$1="鸣金",$AK145*1.5,0))*(1+$AU145)*(1+$AV145)+(($AW145+$AX145)/2*IF($G$1="裂石",$AJ145,$AH145)+IF($G$1="裂石",$AK145*1.5,0))*(1+$AY145)*(1+$AZ145)+(($BA145+$BB145)/2*IF($G$1="牵丝",$AJ145,$AH145)+IF($G$1="牵丝",$AK145*1.5,0))*(1+$BC145)*(1+$BD145)+(($BE145+$BF145)/2*IF($G$1="破竹",$AJ145,$AH145)+IF($G$1="破竹",$AK145*1.5,0))*(1+$BG145)*(1+$BH145))*(1+$AL145)*$BK145*$P145*(1+IF(VLOOKUP($Q145,武学奇术!$A:$ZZ,30,FALSE)="回旋伞",$B$21,0))*(1+$BQ145)</f>
        <v>16513.0455646612</v>
      </c>
      <c r="M145" s="41">
        <f>(($AO145*$AH145+$AI145)*(1+$AP145)*(1+$AQ145)+($AT145*IF($G$1="鸣金",$AJ145,$AH145)+IF($G$1="鸣金",$AK145*1.5,0))*(1+$AU145)*(1+$AV145)+($AX145*IF($G$1="裂石",$AJ145,$AH145)+IF($G$1="裂石",$AK145*1.5,0))*(1+$AY145)*(1+$AZ145)+($BB145*IF($G$1="牵丝",$AJ145,$AH145)+IF($G$1="牵丝",$AK145*1.5,0))*(1+$BC145)*(1+$BD145)+($BF145*IF($G$1="破竹",$AJ145,$AH145)+IF($G$1="破竹",$AK145*1.5,0))*(1+$BG145)*(1+$BH145))*(1+$AL145)*$BM145*$P145*(1+IF(VLOOKUP($Q145,武学奇术!$A:$ZZ,30,FALSE)="回旋伞",$B$21,0))*(1+$BQ145)</f>
        <v>13143.7063666772</v>
      </c>
      <c r="N145" s="41">
        <f>((($AN145+$AO145)/2*$AH145+$AI145)*(1+$AP145)*(1+$AQ145)+(($AS145+$AT145)/2*IF($G$1="鸣金",$AJ145,$AH145)+IF($G$1="鸣金",$AK145*1.5,0))*(1+$AU145)*(1+$AV145)+(($AW145+$AX145)/2*IF($G$1="裂石",$AJ145,$AH145)+IF($G$1="裂石",$AK145*1.5,0))*(1+$AY145)*(1+$AZ145)+(($BA145+$BB145)/2*IF($G$1="牵丝",$AJ145,$AH145)+IF($G$1="牵丝",$AK145*1.5,0))*(1+$BC145)*(1+$BD145)+(($BE145+$BF145)/2*IF($G$1="破竹",$AJ145,$AH145)+IF($G$1="破竹",$AK145*1.5,0))*(1+$BG145)*(1+$BH145))*(1+$AL145)*$P145*(1+IF(VLOOKUP($Q145,武学奇术!$A:$ZZ,30,FALSE)="回旋伞",$B$21,0))*(1+$BQ145)</f>
        <v>8830.50564955146</v>
      </c>
      <c r="O145" s="41">
        <f>((($AN145*$AH145+$AI145)*(1+$AP145)*(1+$AQ145)+($AS145*IF($G$1="鸣金",$AJ145,$AH145)+IF($G$1="鸣金",$AK145*1.5,0))*(1+$AU145)*(1+$AV145)+($AW145*IF($G$1="裂石",$AJ145,$AH145)+IF($G$1="裂石",$AK145*1.5,0))*(1+$AY145)*(1+$AZ145)+($BA145*IF($G$1="牵丝",$AJ145,$AH145)+IF($G$1="牵丝",$AK145*1.5,0))*(1+$BC145)*(1+$BD145)+($BE145*IF($G$1="破竹",$AJ145,$AH145)+IF($G$1="破竹",$AK145*1.5,0))*(1+$BG145)*(1+$BH145))*(1+$AL145))*$P145*(1+IF(VLOOKUP($Q145,武学奇术!$A:$ZZ,30,FALSE)="回旋伞",$B$21,0))*(1+$BQ145)</f>
        <v>7924.93250897166</v>
      </c>
      <c r="P145" s="42">
        <f t="shared" si="94"/>
        <v>1</v>
      </c>
      <c r="Q145" s="43" t="s">
        <v>187</v>
      </c>
      <c r="R145" s="43" t="s">
        <v>71</v>
      </c>
      <c r="S145" s="43" t="s">
        <v>91</v>
      </c>
      <c r="T145" s="43" t="s">
        <v>72</v>
      </c>
      <c r="U145" s="43" t="s">
        <v>71</v>
      </c>
      <c r="V145" s="43" t="s">
        <v>167</v>
      </c>
      <c r="W145" s="43" t="s">
        <v>95</v>
      </c>
      <c r="X145" s="43" t="s">
        <v>82</v>
      </c>
      <c r="Y145" s="43" t="s">
        <v>71</v>
      </c>
      <c r="Z145" s="43" t="s">
        <v>71</v>
      </c>
      <c r="AA145" s="43" t="s">
        <v>71</v>
      </c>
      <c r="AB145" s="43" t="s">
        <v>71</v>
      </c>
      <c r="AC145" s="43" t="s">
        <v>71</v>
      </c>
      <c r="AD145" s="43" t="s">
        <v>71</v>
      </c>
      <c r="AE145" s="43" t="s">
        <v>71</v>
      </c>
      <c r="AF145" s="43" t="s">
        <v>76</v>
      </c>
      <c r="AG145" t="str">
        <f>VLOOKUP($Q145,武学奇术!$A:$ZZ,25,FALSE)</f>
        <v>心法</v>
      </c>
      <c r="AH145" s="30">
        <f>VLOOKUP($Q145,武学奇术!$A:$ZZ,26,FALSE)</f>
        <v>1</v>
      </c>
      <c r="AI145" s="31">
        <f>VLOOKUP($Q145,武学奇术!$A:$ZZ,27,FALSE)*(1+IF(OR($AG145=$F$4,$AG145=$F$5),$B$22,0))</f>
        <v>0</v>
      </c>
      <c r="AJ145" s="30">
        <f>VLOOKUP($Q145,武学奇术!$A:$ZZ,28,FALSE)</f>
        <v>1</v>
      </c>
      <c r="AK145" s="31">
        <f>VLOOKUP($Q145,武学奇术!$A:$ZZ,29,FALSE)*(1+IF(OR($AG145=$F$4,$AG145=$F$5),$B$22,0))</f>
        <v>0</v>
      </c>
      <c r="AL145" s="30" cm="1">
        <f t="array" ref="AL145">$G$3+IFERROR(VLOOKUP($AG145,$F$4:$G$7,2,FALSE),0)+VLOOKUP($Q145,武学奇术!$A:$ZZ,2,FALSE)+SUM(_xlfn.XLOOKUP($R145:$AF145,增益!$A:$A,增益!$B:$B,0))</f>
        <v>0.2837</v>
      </c>
      <c r="AM145" s="30" cm="1">
        <f t="array" ref="AM145">VLOOKUP($Q145,武学奇术!$A:$ZZ,5,FALSE)+SUM(_xlfn.XLOOKUP($R145:$AF145,增益!$A:$A,增益!$E:$E,0))</f>
        <v>0</v>
      </c>
      <c r="AN145" cm="1">
        <f t="array" ref="AN145">$D$10*(1+$AM145)+VLOOKUP($Q145,武学奇术!$A:$ZZ,3,FALSE)+SUM(_xlfn.XLOOKUP($R145:$AF145,增益!$A:$A,增益!$C:$C,0))-$I$2</f>
        <v>3545.8</v>
      </c>
      <c r="AO145" cm="1">
        <f t="array" ref="AO145">$E$10*(1+$AM145)+VLOOKUP($Q145,武学奇术!$A:$ZZ,4,FALSE)+SUM(_xlfn.XLOOKUP($R145:$AF145,增益!$A:$A,增益!$D:$D,0))-$I$2</f>
        <v>3545.8</v>
      </c>
      <c r="AP145" s="35" cm="1">
        <f t="array" ref="AP145">IF($F$10-$I$3+VLOOKUP($Q145,武学奇术!$A:$ZZ,6,FALSE)+SUM(_xlfn.XLOOKUP(R145:AF145,增益!$A:$A,增益!$F:$F,0))&gt;0,($F$10-$I$3+VLOOKUP($Q145,武学奇术!$A:$ZZ,6,FALSE)+SUM(_xlfn.XLOOKUP(R145:AF145,增益!$A:$A,增益!$F:$F,0)))/200,($F$10-$I$3+VLOOKUP($Q145,武学奇术!$A:$ZZ,6,FALSE)+SUM(_xlfn.XLOOKUP(R145:AF145,增益!$A:$A,增益!$F:$F,0)))/100)</f>
        <v>0.3425</v>
      </c>
      <c r="AQ145" s="35" cm="1">
        <f t="array" ref="AQ145">$G$10+VLOOKUP($Q145,武学奇术!$A:$ZZ,7,FALSE)+SUM(_xlfn.XLOOKUP(R145:AF145,增益!$A:$A,增益!$G:$G,0))</f>
        <v>0.028</v>
      </c>
      <c r="AR145" s="30" cm="1">
        <f t="array" ref="AR145">VLOOKUP($Q145,武学奇术!$A:$ZZ,8,FALSE)+SUM(_xlfn.XLOOKUP(R145:AF145,增益!$A:$A,增益!$H:$H,0))</f>
        <v>0</v>
      </c>
      <c r="AS145">
        <f t="shared" si="84"/>
        <v>0</v>
      </c>
      <c r="AT145">
        <f t="shared" si="85"/>
        <v>0</v>
      </c>
      <c r="AU145" s="35" cm="1">
        <f t="array" ref="AU145">IF($F$11-$I$4+VLOOKUP($Q145,武学奇术!$A:$ZZ,9,FALSE)+SUM(_xlfn.XLOOKUP(R145:AF145,增益!$A:$A,增益!$I:$I,0))&gt;0,($F$11-$I$4+VLOOKUP($Q145,武学奇术!$A:$ZZ,9,FALSE)+SUM(_xlfn.XLOOKUP(R145:AF145,增益!$A:$A,增益!$I:$I,0)))/200,($F$11-$I$4+VLOOKUP($Q145,武学奇术!$A:$ZZ,9,FALSE)+SUM(_xlfn.XLOOKUP(R145:AF145,增益!$A:$A,增益!$I:$I,0)))/100)</f>
        <v>-0.14</v>
      </c>
      <c r="AV145" s="35" cm="1">
        <f t="array" ref="AV145">$G$11+VLOOKUP($Q145,武学奇术!$A:$ZZ,10,FALSE)+SUM(_xlfn.XLOOKUP(R145:AF145,增益!$A:$A,增益!$J:$J,0))</f>
        <v>0</v>
      </c>
      <c r="AW145">
        <f t="shared" si="86"/>
        <v>0</v>
      </c>
      <c r="AX145">
        <f t="shared" si="87"/>
        <v>0</v>
      </c>
      <c r="AY145" s="35" cm="1">
        <f t="array" ref="AY145">IF($F$12-$I$4+VLOOKUP($Q145,武学奇术!$A:$ZZ,11,FALSE)+SUM(_xlfn.XLOOKUP(R145:AF145,增益!$A:$A,增益!$K:$K,0))&gt;0,($F$12-$I$4+VLOOKUP($Q145,武学奇术!$A:$ZZ,11,FALSE)+SUM(_xlfn.XLOOKUP(R145:AF145,增益!$A:$A,增益!$K:$K,0)))/200,($F$12-$I$4+VLOOKUP($Q145,武学奇术!$A:$ZZ,11,FALSE)+SUM(_xlfn.XLOOKUP(R145:AF145,增益!$A:$A,增益!$K:$K,0)))/100)</f>
        <v>-0.14</v>
      </c>
      <c r="AZ145" s="35" cm="1">
        <f t="array" ref="AZ145">$G$12+VLOOKUP($Q145,武学奇术!$A:$ZZ,12,FALSE)+SUM(_xlfn.XLOOKUP(R145:AF145,增益!$A:$A,增益!$L:$L,0))</f>
        <v>0</v>
      </c>
      <c r="BA145">
        <f t="shared" si="88"/>
        <v>0</v>
      </c>
      <c r="BB145">
        <f t="shared" si="89"/>
        <v>0</v>
      </c>
      <c r="BC145" s="35" cm="1">
        <f t="array" ref="BC145">IF($F$13-$I$4+VLOOKUP($Q145,武学奇术!$A:$ZZ,13,FALSE)+SUM(_xlfn.XLOOKUP(R145:AF145,增益!$A:$A,增益!$M:$M,0))&gt;0,($F$13-$I$4+VLOOKUP($Q145,武学奇术!$A:$ZZ,13,FALSE)+SUM(_xlfn.XLOOKUP(R145:AF145,增益!$A:$A,增益!$K:$K,0)))/200,($F$13-$I$4+VLOOKUP($Q145,武学奇术!$A:$ZZ,13,FALSE)+SUM(_xlfn.XLOOKUP(R145:AF145,增益!$A:$A,增益!$M:$M,0)))/100)</f>
        <v>-0.14</v>
      </c>
      <c r="BD145" s="35" cm="1">
        <f t="array" ref="BD145">$G$13+VLOOKUP($Q145,武学奇术!$A:$ZZ,14,FALSE)+SUM(_xlfn.XLOOKUP(R145:AF145,增益!$A:$A,增益!$N:$N,0))</f>
        <v>0</v>
      </c>
      <c r="BE145">
        <f t="shared" si="90"/>
        <v>538</v>
      </c>
      <c r="BF145">
        <f t="shared" si="91"/>
        <v>1561.4</v>
      </c>
      <c r="BG145" s="35" cm="1">
        <f t="array" ref="BG145">IF($F$14-$I$4+VLOOKUP($Q145,武学奇术!$A:$ZZ,15,FALSE)+SUM(_xlfn.XLOOKUP(R145:AF145,增益!$A:$A,增益!$O:$O,0))&gt;0,($F$14-$I$4+VLOOKUP($Q145,武学奇术!$A:$ZZ,15,FALSE)+SUM(_xlfn.XLOOKUP(R145:AF145,增益!$A:$A,增益!$O:$O,0)))/200,($F$14-$I$4+VLOOKUP($Q145,武学奇术!$A:$ZZ,15,FALSE)+SUM(_xlfn.XLOOKUP(R145:AF145,增益!$A:$A,增益!$O:$O,0)))/100)</f>
        <v>0.08</v>
      </c>
      <c r="BH145" s="35" cm="1">
        <f t="array" ref="BH145">$G$14+VLOOKUP($Q145,武学奇术!$A:$ZZ,16,FALSE)+SUM(_xlfn.XLOOKUP(R145:AF145,增益!$A:$A,增益!$P:$P,0))</f>
        <v>0.15</v>
      </c>
      <c r="BI145" s="30">
        <f>MIN(IF(VLOOKUP($Q145,武学奇术!$A:$ZZ,23,FALSE)=1,100%,$B$8),100%)</f>
        <v>0.9712</v>
      </c>
      <c r="BJ145" s="30" cm="1">
        <f t="array" ref="BJ145">IF(VLOOKUP($Q145,武学奇术!$A:$ZZ,23,FALSE)=1,100%,MIN(80%,$B$9+VLOOKUP($Q145,武学奇术!$A:$ZZ,17,FALSE)+SUM(_xlfn.XLOOKUP(R145:AF145,增益!$A:$A,增益!$Q:$Q,0)))+$B$11+SUM(_xlfn.XLOOKUP(R145:AF145,增益!$A:$A,增益!$U:$U,0)))*IF(VLOOKUP($Q145,武学奇术!$A:$ZZ,24,FALSE)=1,0,1)</f>
        <v>0.8773</v>
      </c>
      <c r="BK145" s="30" cm="1">
        <f t="array" ref="BK145">1+$B$13+VLOOKUP($Q145,武学奇术!$A:$ZZ,18,FALSE)+SUM(_xlfn.XLOOKUP(R145:AF145,增益!$A:$A,增益!$R:$R,0))</f>
        <v>1.87</v>
      </c>
      <c r="BL145" s="30" cm="1">
        <f t="array" ref="BL145">IF(VLOOKUP($Q145,武学奇术!$A:$ZZ,24,FALSE)=1,100%,MIN(40%,$B$10+VLOOKUP($Q145,武学奇术!$A:$ZZ,19,FALSE)+SUM(_xlfn.XLOOKUP(R145:AF145,增益!$A:$A,增益!$S:$S,0)))+$B$12+SUM(_xlfn.XLOOKUP(R145:AF145,增益!$A:$A,增益!$V:$V,0)))*IF(VLOOKUP($Q145,武学奇术!$A:$ZZ,23,FALSE)=1,0,1)</f>
        <v>0.0895</v>
      </c>
      <c r="BM145" s="30" cm="1">
        <f t="array" ref="BM145">1+$B$14+VLOOKUP($Q145,武学奇术!$A:$ZZ,20,FALSE)+SUM(_xlfn.XLOOKUP(R145:AF145,增益!$A:$A,增益!$T:$T,0))</f>
        <v>1.35</v>
      </c>
      <c r="BN145" s="30">
        <f t="shared" si="92"/>
        <v>0.85203376</v>
      </c>
      <c r="BO145" s="30">
        <f t="shared" si="93"/>
        <v>0.03224384</v>
      </c>
      <c r="BP145" s="30">
        <f>IF(VLOOKUP($Q145,武学奇术!$A:$ZZ,22,FALSE)=1,0,(1-$BI145))*(1-$BL145)</f>
        <v>0.0262224</v>
      </c>
      <c r="BQ145" s="30" cm="1">
        <f t="array" ref="BQ145">SUM(_xlfn.XLOOKUP(R145:AF145,增益!$A:$A,增益!$W:$W,0))+$I$5</f>
        <v>0.11</v>
      </c>
    </row>
    <row r="146" spans="11:69">
      <c r="K146" s="41">
        <f t="shared" si="83"/>
        <v>15738.5741828337</v>
      </c>
      <c r="L146" s="41">
        <f>((($AN146+$AO146)/2*$AH146+$AI146)*(1+$AP146)*(1+$AQ146)+(($AS146+$AT146)/2*IF($G$1="鸣金",$AJ146,$AH146)+IF($G$1="鸣金",$AK146*1.5,0))*(1+$AU146)*(1+$AV146)+(($AW146+$AX146)/2*IF($G$1="裂石",$AJ146,$AH146)+IF($G$1="裂石",$AK146*1.5,0))*(1+$AY146)*(1+$AZ146)+(($BA146+$BB146)/2*IF($G$1="牵丝",$AJ146,$AH146)+IF($G$1="牵丝",$AK146*1.5,0))*(1+$BC146)*(1+$BD146)+(($BE146+$BF146)/2*IF($G$1="破竹",$AJ146,$AH146)+IF($G$1="破竹",$AK146*1.5,0))*(1+$BG146)*(1+$BH146))*(1+$AL146)*$BK146*$P146*(1+IF(VLOOKUP($Q146,武学奇术!$A:$ZZ,30,FALSE)="回旋伞",$B$21,0))*(1+$BQ146)</f>
        <v>16513.0455646612</v>
      </c>
      <c r="M146" s="41">
        <f>(($AO146*$AH146+$AI146)*(1+$AP146)*(1+$AQ146)+($AT146*IF($G$1="鸣金",$AJ146,$AH146)+IF($G$1="鸣金",$AK146*1.5,0))*(1+$AU146)*(1+$AV146)+($AX146*IF($G$1="裂石",$AJ146,$AH146)+IF($G$1="裂石",$AK146*1.5,0))*(1+$AY146)*(1+$AZ146)+($BB146*IF($G$1="牵丝",$AJ146,$AH146)+IF($G$1="牵丝",$AK146*1.5,0))*(1+$BC146)*(1+$BD146)+($BF146*IF($G$1="破竹",$AJ146,$AH146)+IF($G$1="破竹",$AK146*1.5,0))*(1+$BG146)*(1+$BH146))*(1+$AL146)*$BM146*$P146*(1+IF(VLOOKUP($Q146,武学奇术!$A:$ZZ,30,FALSE)="回旋伞",$B$21,0))*(1+$BQ146)</f>
        <v>13143.7063666772</v>
      </c>
      <c r="N146" s="41">
        <f>((($AN146+$AO146)/2*$AH146+$AI146)*(1+$AP146)*(1+$AQ146)+(($AS146+$AT146)/2*IF($G$1="鸣金",$AJ146,$AH146)+IF($G$1="鸣金",$AK146*1.5,0))*(1+$AU146)*(1+$AV146)+(($AW146+$AX146)/2*IF($G$1="裂石",$AJ146,$AH146)+IF($G$1="裂石",$AK146*1.5,0))*(1+$AY146)*(1+$AZ146)+(($BA146+$BB146)/2*IF($G$1="牵丝",$AJ146,$AH146)+IF($G$1="牵丝",$AK146*1.5,0))*(1+$BC146)*(1+$BD146)+(($BE146+$BF146)/2*IF($G$1="破竹",$AJ146,$AH146)+IF($G$1="破竹",$AK146*1.5,0))*(1+$BG146)*(1+$BH146))*(1+$AL146)*$P146*(1+IF(VLOOKUP($Q146,武学奇术!$A:$ZZ,30,FALSE)="回旋伞",$B$21,0))*(1+$BQ146)</f>
        <v>8830.50564955146</v>
      </c>
      <c r="O146" s="41">
        <f>((($AN146*$AH146+$AI146)*(1+$AP146)*(1+$AQ146)+($AS146*IF($G$1="鸣金",$AJ146,$AH146)+IF($G$1="鸣金",$AK146*1.5,0))*(1+$AU146)*(1+$AV146)+($AW146*IF($G$1="裂石",$AJ146,$AH146)+IF($G$1="裂石",$AK146*1.5,0))*(1+$AY146)*(1+$AZ146)+($BA146*IF($G$1="牵丝",$AJ146,$AH146)+IF($G$1="牵丝",$AK146*1.5,0))*(1+$BC146)*(1+$BD146)+($BE146*IF($G$1="破竹",$AJ146,$AH146)+IF($G$1="破竹",$AK146*1.5,0))*(1+$BG146)*(1+$BH146))*(1+$AL146))*$P146*(1+IF(VLOOKUP($Q146,武学奇术!$A:$ZZ,30,FALSE)="回旋伞",$B$21,0))*(1+$BQ146)</f>
        <v>7924.93250897166</v>
      </c>
      <c r="P146" s="42">
        <f t="shared" si="94"/>
        <v>1</v>
      </c>
      <c r="Q146" s="43" t="s">
        <v>187</v>
      </c>
      <c r="R146" s="43" t="s">
        <v>71</v>
      </c>
      <c r="S146" s="43" t="s">
        <v>91</v>
      </c>
      <c r="T146" s="43" t="s">
        <v>72</v>
      </c>
      <c r="U146" s="43" t="s">
        <v>71</v>
      </c>
      <c r="V146" s="43" t="s">
        <v>167</v>
      </c>
      <c r="W146" s="43" t="s">
        <v>95</v>
      </c>
      <c r="X146" s="43" t="s">
        <v>82</v>
      </c>
      <c r="Y146" s="43" t="s">
        <v>71</v>
      </c>
      <c r="Z146" s="43" t="s">
        <v>71</v>
      </c>
      <c r="AA146" s="43" t="s">
        <v>71</v>
      </c>
      <c r="AB146" s="43" t="s">
        <v>71</v>
      </c>
      <c r="AC146" s="43" t="s">
        <v>71</v>
      </c>
      <c r="AD146" s="43" t="s">
        <v>71</v>
      </c>
      <c r="AE146" s="43" t="s">
        <v>71</v>
      </c>
      <c r="AF146" s="43" t="s">
        <v>76</v>
      </c>
      <c r="AG146" t="str">
        <f>VLOOKUP($Q146,武学奇术!$A:$ZZ,25,FALSE)</f>
        <v>心法</v>
      </c>
      <c r="AH146" s="30">
        <f>VLOOKUP($Q146,武学奇术!$A:$ZZ,26,FALSE)</f>
        <v>1</v>
      </c>
      <c r="AI146" s="31">
        <f>VLOOKUP($Q146,武学奇术!$A:$ZZ,27,FALSE)*(1+IF(OR($AG146=$F$4,$AG146=$F$5),$B$22,0))</f>
        <v>0</v>
      </c>
      <c r="AJ146" s="30">
        <f>VLOOKUP($Q146,武学奇术!$A:$ZZ,28,FALSE)</f>
        <v>1</v>
      </c>
      <c r="AK146" s="31">
        <f>VLOOKUP($Q146,武学奇术!$A:$ZZ,29,FALSE)*(1+IF(OR($AG146=$F$4,$AG146=$F$5),$B$22,0))</f>
        <v>0</v>
      </c>
      <c r="AL146" s="30" cm="1">
        <f t="array" ref="AL146">$G$3+IFERROR(VLOOKUP($AG146,$F$4:$G$7,2,FALSE),0)+VLOOKUP($Q146,武学奇术!$A:$ZZ,2,FALSE)+SUM(_xlfn.XLOOKUP($R146:$AF146,增益!$A:$A,增益!$B:$B,0))</f>
        <v>0.2837</v>
      </c>
      <c r="AM146" s="30" cm="1">
        <f t="array" ref="AM146">VLOOKUP($Q146,武学奇术!$A:$ZZ,5,FALSE)+SUM(_xlfn.XLOOKUP($R146:$AF146,增益!$A:$A,增益!$E:$E,0))</f>
        <v>0</v>
      </c>
      <c r="AN146" cm="1">
        <f t="array" ref="AN146">$D$10*(1+$AM146)+VLOOKUP($Q146,武学奇术!$A:$ZZ,3,FALSE)+SUM(_xlfn.XLOOKUP($R146:$AF146,增益!$A:$A,增益!$C:$C,0))-$I$2</f>
        <v>3545.8</v>
      </c>
      <c r="AO146" cm="1">
        <f t="array" ref="AO146">$E$10*(1+$AM146)+VLOOKUP($Q146,武学奇术!$A:$ZZ,4,FALSE)+SUM(_xlfn.XLOOKUP($R146:$AF146,增益!$A:$A,增益!$D:$D,0))-$I$2</f>
        <v>3545.8</v>
      </c>
      <c r="AP146" s="35" cm="1">
        <f t="array" ref="AP146">IF($F$10-$I$3+VLOOKUP($Q146,武学奇术!$A:$ZZ,6,FALSE)+SUM(_xlfn.XLOOKUP(R146:AF146,增益!$A:$A,增益!$F:$F,0))&gt;0,($F$10-$I$3+VLOOKUP($Q146,武学奇术!$A:$ZZ,6,FALSE)+SUM(_xlfn.XLOOKUP(R146:AF146,增益!$A:$A,增益!$F:$F,0)))/200,($F$10-$I$3+VLOOKUP($Q146,武学奇术!$A:$ZZ,6,FALSE)+SUM(_xlfn.XLOOKUP(R146:AF146,增益!$A:$A,增益!$F:$F,0)))/100)</f>
        <v>0.3425</v>
      </c>
      <c r="AQ146" s="35" cm="1">
        <f t="array" ref="AQ146">$G$10+VLOOKUP($Q146,武学奇术!$A:$ZZ,7,FALSE)+SUM(_xlfn.XLOOKUP(R146:AF146,增益!$A:$A,增益!$G:$G,0))</f>
        <v>0.028</v>
      </c>
      <c r="AR146" s="30" cm="1">
        <f t="array" ref="AR146">VLOOKUP($Q146,武学奇术!$A:$ZZ,8,FALSE)+SUM(_xlfn.XLOOKUP(R146:AF146,增益!$A:$A,增益!$H:$H,0))</f>
        <v>0</v>
      </c>
      <c r="AS146">
        <f t="shared" si="84"/>
        <v>0</v>
      </c>
      <c r="AT146">
        <f t="shared" si="85"/>
        <v>0</v>
      </c>
      <c r="AU146" s="35" cm="1">
        <f t="array" ref="AU146">IF($F$11-$I$4+VLOOKUP($Q146,武学奇术!$A:$ZZ,9,FALSE)+SUM(_xlfn.XLOOKUP(R146:AF146,增益!$A:$A,增益!$I:$I,0))&gt;0,($F$11-$I$4+VLOOKUP($Q146,武学奇术!$A:$ZZ,9,FALSE)+SUM(_xlfn.XLOOKUP(R146:AF146,增益!$A:$A,增益!$I:$I,0)))/200,($F$11-$I$4+VLOOKUP($Q146,武学奇术!$A:$ZZ,9,FALSE)+SUM(_xlfn.XLOOKUP(R146:AF146,增益!$A:$A,增益!$I:$I,0)))/100)</f>
        <v>-0.14</v>
      </c>
      <c r="AV146" s="35" cm="1">
        <f t="array" ref="AV146">$G$11+VLOOKUP($Q146,武学奇术!$A:$ZZ,10,FALSE)+SUM(_xlfn.XLOOKUP(R146:AF146,增益!$A:$A,增益!$J:$J,0))</f>
        <v>0</v>
      </c>
      <c r="AW146">
        <f t="shared" si="86"/>
        <v>0</v>
      </c>
      <c r="AX146">
        <f t="shared" si="87"/>
        <v>0</v>
      </c>
      <c r="AY146" s="35" cm="1">
        <f t="array" ref="AY146">IF($F$12-$I$4+VLOOKUP($Q146,武学奇术!$A:$ZZ,11,FALSE)+SUM(_xlfn.XLOOKUP(R146:AF146,增益!$A:$A,增益!$K:$K,0))&gt;0,($F$12-$I$4+VLOOKUP($Q146,武学奇术!$A:$ZZ,11,FALSE)+SUM(_xlfn.XLOOKUP(R146:AF146,增益!$A:$A,增益!$K:$K,0)))/200,($F$12-$I$4+VLOOKUP($Q146,武学奇术!$A:$ZZ,11,FALSE)+SUM(_xlfn.XLOOKUP(R146:AF146,增益!$A:$A,增益!$K:$K,0)))/100)</f>
        <v>-0.14</v>
      </c>
      <c r="AZ146" s="35" cm="1">
        <f t="array" ref="AZ146">$G$12+VLOOKUP($Q146,武学奇术!$A:$ZZ,12,FALSE)+SUM(_xlfn.XLOOKUP(R146:AF146,增益!$A:$A,增益!$L:$L,0))</f>
        <v>0</v>
      </c>
      <c r="BA146">
        <f t="shared" si="88"/>
        <v>0</v>
      </c>
      <c r="BB146">
        <f t="shared" si="89"/>
        <v>0</v>
      </c>
      <c r="BC146" s="35" cm="1">
        <f t="array" ref="BC146">IF($F$13-$I$4+VLOOKUP($Q146,武学奇术!$A:$ZZ,13,FALSE)+SUM(_xlfn.XLOOKUP(R146:AF146,增益!$A:$A,增益!$M:$M,0))&gt;0,($F$13-$I$4+VLOOKUP($Q146,武学奇术!$A:$ZZ,13,FALSE)+SUM(_xlfn.XLOOKUP(R146:AF146,增益!$A:$A,增益!$K:$K,0)))/200,($F$13-$I$4+VLOOKUP($Q146,武学奇术!$A:$ZZ,13,FALSE)+SUM(_xlfn.XLOOKUP(R146:AF146,增益!$A:$A,增益!$M:$M,0)))/100)</f>
        <v>-0.14</v>
      </c>
      <c r="BD146" s="35" cm="1">
        <f t="array" ref="BD146">$G$13+VLOOKUP($Q146,武学奇术!$A:$ZZ,14,FALSE)+SUM(_xlfn.XLOOKUP(R146:AF146,增益!$A:$A,增益!$N:$N,0))</f>
        <v>0</v>
      </c>
      <c r="BE146">
        <f t="shared" si="90"/>
        <v>538</v>
      </c>
      <c r="BF146">
        <f t="shared" si="91"/>
        <v>1561.4</v>
      </c>
      <c r="BG146" s="35" cm="1">
        <f t="array" ref="BG146">IF($F$14-$I$4+VLOOKUP($Q146,武学奇术!$A:$ZZ,15,FALSE)+SUM(_xlfn.XLOOKUP(R146:AF146,增益!$A:$A,增益!$O:$O,0))&gt;0,($F$14-$I$4+VLOOKUP($Q146,武学奇术!$A:$ZZ,15,FALSE)+SUM(_xlfn.XLOOKUP(R146:AF146,增益!$A:$A,增益!$O:$O,0)))/200,($F$14-$I$4+VLOOKUP($Q146,武学奇术!$A:$ZZ,15,FALSE)+SUM(_xlfn.XLOOKUP(R146:AF146,增益!$A:$A,增益!$O:$O,0)))/100)</f>
        <v>0.08</v>
      </c>
      <c r="BH146" s="35" cm="1">
        <f t="array" ref="BH146">$G$14+VLOOKUP($Q146,武学奇术!$A:$ZZ,16,FALSE)+SUM(_xlfn.XLOOKUP(R146:AF146,增益!$A:$A,增益!$P:$P,0))</f>
        <v>0.15</v>
      </c>
      <c r="BI146" s="30">
        <f>MIN(IF(VLOOKUP($Q146,武学奇术!$A:$ZZ,23,FALSE)=1,100%,$B$8),100%)</f>
        <v>0.9712</v>
      </c>
      <c r="BJ146" s="30" cm="1">
        <f t="array" ref="BJ146">IF(VLOOKUP($Q146,武学奇术!$A:$ZZ,23,FALSE)=1,100%,MIN(80%,$B$9+VLOOKUP($Q146,武学奇术!$A:$ZZ,17,FALSE)+SUM(_xlfn.XLOOKUP(R146:AF146,增益!$A:$A,增益!$Q:$Q,0)))+$B$11+SUM(_xlfn.XLOOKUP(R146:AF146,增益!$A:$A,增益!$U:$U,0)))*IF(VLOOKUP($Q146,武学奇术!$A:$ZZ,24,FALSE)=1,0,1)</f>
        <v>0.8773</v>
      </c>
      <c r="BK146" s="30" cm="1">
        <f t="array" ref="BK146">1+$B$13+VLOOKUP($Q146,武学奇术!$A:$ZZ,18,FALSE)+SUM(_xlfn.XLOOKUP(R146:AF146,增益!$A:$A,增益!$R:$R,0))</f>
        <v>1.87</v>
      </c>
      <c r="BL146" s="30" cm="1">
        <f t="array" ref="BL146">IF(VLOOKUP($Q146,武学奇术!$A:$ZZ,24,FALSE)=1,100%,MIN(40%,$B$10+VLOOKUP($Q146,武学奇术!$A:$ZZ,19,FALSE)+SUM(_xlfn.XLOOKUP(R146:AF146,增益!$A:$A,增益!$S:$S,0)))+$B$12+SUM(_xlfn.XLOOKUP(R146:AF146,增益!$A:$A,增益!$V:$V,0)))*IF(VLOOKUP($Q146,武学奇术!$A:$ZZ,23,FALSE)=1,0,1)</f>
        <v>0.0895</v>
      </c>
      <c r="BM146" s="30" cm="1">
        <f t="array" ref="BM146">1+$B$14+VLOOKUP($Q146,武学奇术!$A:$ZZ,20,FALSE)+SUM(_xlfn.XLOOKUP(R146:AF146,增益!$A:$A,增益!$T:$T,0))</f>
        <v>1.35</v>
      </c>
      <c r="BN146" s="30">
        <f t="shared" si="92"/>
        <v>0.85203376</v>
      </c>
      <c r="BO146" s="30">
        <f t="shared" si="93"/>
        <v>0.03224384</v>
      </c>
      <c r="BP146" s="30">
        <f>IF(VLOOKUP($Q146,武学奇术!$A:$ZZ,22,FALSE)=1,0,(1-$BI146))*(1-$BL146)</f>
        <v>0.0262224</v>
      </c>
      <c r="BQ146" s="30" cm="1">
        <f t="array" ref="BQ146">SUM(_xlfn.XLOOKUP(R146:AF146,增益!$A:$A,增益!$W:$W,0))+$I$5</f>
        <v>0.11</v>
      </c>
    </row>
    <row r="147" spans="11:69">
      <c r="K147" s="41">
        <f t="shared" si="83"/>
        <v>15488.3074465463</v>
      </c>
      <c r="L147" s="41">
        <f>((($AN147+$AO147)/2*$AH147+$AI147)*(1+$AP147)*(1+$AQ147)+(($AS147+$AT147)/2*IF($G$1="鸣金",$AJ147,$AH147)+IF($G$1="鸣金",$AK147*1.5,0))*(1+$AU147)*(1+$AV147)+(($AW147+$AX147)/2*IF($G$1="裂石",$AJ147,$AH147)+IF($G$1="裂石",$AK147*1.5,0))*(1+$AY147)*(1+$AZ147)+(($BA147+$BB147)/2*IF($G$1="牵丝",$AJ147,$AH147)+IF($G$1="牵丝",$AK147*1.5,0))*(1+$BC147)*(1+$BD147)+(($BE147+$BF147)/2*IF($G$1="破竹",$AJ147,$AH147)+IF($G$1="破竹",$AK147*1.5,0))*(1+$BG147)*(1+$BH147))*(1+$AL147)*$BK147*$P147*(1+IF(VLOOKUP($Q147,武学奇术!$A:$ZZ,30,FALSE)="回旋伞",$B$21,0))*(1+$BQ147)</f>
        <v>16255.7210566673</v>
      </c>
      <c r="M147" s="41">
        <f>(($AO147*$AH147+$AI147)*(1+$AP147)*(1+$AQ147)+($AT147*IF($G$1="鸣金",$AJ147,$AH147)+IF($G$1="鸣金",$AK147*1.5,0))*(1+$AU147)*(1+$AV147)+($AX147*IF($G$1="裂石",$AJ147,$AH147)+IF($G$1="裂石",$AK147*1.5,0))*(1+$AY147)*(1+$AZ147)+($BB147*IF($G$1="牵丝",$AJ147,$AH147)+IF($G$1="牵丝",$AK147*1.5,0))*(1+$BC147)*(1+$BD147)+($BF147*IF($G$1="破竹",$AJ147,$AH147)+IF($G$1="破竹",$AK147*1.5,0))*(1+$BG147)*(1+$BH147))*(1+$AL147)*$BM147*$P147*(1+IF(VLOOKUP($Q147,武学奇术!$A:$ZZ,30,FALSE)="回旋伞",$B$21,0))*(1+$BQ147)</f>
        <v>12867.380022784</v>
      </c>
      <c r="N147" s="41">
        <f>((($AN147+$AO147)/2*$AH147+$AI147)*(1+$AP147)*(1+$AQ147)+(($AS147+$AT147)/2*IF($G$1="鸣金",$AJ147,$AH147)+IF($G$1="鸣金",$AK147*1.5,0))*(1+$AU147)*(1+$AV147)+(($AW147+$AX147)/2*IF($G$1="裂石",$AJ147,$AH147)+IF($G$1="裂石",$AK147*1.5,0))*(1+$AY147)*(1+$AZ147)+(($BA147+$BB147)/2*IF($G$1="牵丝",$AJ147,$AH147)+IF($G$1="牵丝",$AK147*1.5,0))*(1+$BC147)*(1+$BD147)+(($BE147+$BF147)/2*IF($G$1="破竹",$AJ147,$AH147)+IF($G$1="破竹",$AK147*1.5,0))*(1+$BG147)*(1+$BH147))*(1+$AL147)*$P147*(1+IF(VLOOKUP($Q147,武学奇术!$A:$ZZ,30,FALSE)="回旋伞",$B$21,0))*(1+$BQ147)</f>
        <v>8692.89896078466</v>
      </c>
      <c r="O147" s="41">
        <f>((($AN147*$AH147+$AI147)*(1+$AP147)*(1+$AQ147)+($AS147*IF($G$1="鸣金",$AJ147,$AH147)+IF($G$1="鸣金",$AK147*1.5,0))*(1+$AU147)*(1+$AV147)+($AW147*IF($G$1="裂石",$AJ147,$AH147)+IF($G$1="裂石",$AK147*1.5,0))*(1+$AY147)*(1+$AZ147)+($BA147*IF($G$1="牵丝",$AJ147,$AH147)+IF($G$1="牵丝",$AK147*1.5,0))*(1+$BC147)*(1+$BD147)+($BE147*IF($G$1="破竹",$AJ147,$AH147)+IF($G$1="破竹",$AK147*1.5,0))*(1+$BG147)*(1+$BH147))*(1+$AL147))*$P147*(1+IF(VLOOKUP($Q147,武学奇术!$A:$ZZ,30,FALSE)="回旋伞",$B$21,0))*(1+$BQ147)</f>
        <v>7854.40531209966</v>
      </c>
      <c r="P147" s="42">
        <f t="shared" si="94"/>
        <v>1</v>
      </c>
      <c r="Q147" s="43" t="s">
        <v>187</v>
      </c>
      <c r="R147" s="43" t="s">
        <v>71</v>
      </c>
      <c r="S147" s="43" t="s">
        <v>91</v>
      </c>
      <c r="T147" s="43" t="s">
        <v>72</v>
      </c>
      <c r="U147" s="43" t="s">
        <v>71</v>
      </c>
      <c r="V147" s="43" t="s">
        <v>167</v>
      </c>
      <c r="W147" s="43" t="s">
        <v>95</v>
      </c>
      <c r="X147" s="43" t="s">
        <v>71</v>
      </c>
      <c r="Y147" s="43" t="s">
        <v>71</v>
      </c>
      <c r="Z147" s="43" t="s">
        <v>71</v>
      </c>
      <c r="AA147" s="43" t="s">
        <v>71</v>
      </c>
      <c r="AB147" s="43" t="s">
        <v>71</v>
      </c>
      <c r="AC147" s="43" t="s">
        <v>71</v>
      </c>
      <c r="AD147" s="43" t="s">
        <v>71</v>
      </c>
      <c r="AE147" s="43" t="s">
        <v>71</v>
      </c>
      <c r="AF147" s="43" t="s">
        <v>76</v>
      </c>
      <c r="AG147" t="str">
        <f>VLOOKUP($Q147,武学奇术!$A:$ZZ,25,FALSE)</f>
        <v>心法</v>
      </c>
      <c r="AH147" s="30">
        <f>VLOOKUP($Q147,武学奇术!$A:$ZZ,26,FALSE)</f>
        <v>1</v>
      </c>
      <c r="AI147" s="31">
        <f>VLOOKUP($Q147,武学奇术!$A:$ZZ,27,FALSE)*(1+IF(OR($AG147=$F$4,$AG147=$F$5),$B$22,0))</f>
        <v>0</v>
      </c>
      <c r="AJ147" s="30">
        <f>VLOOKUP($Q147,武学奇术!$A:$ZZ,28,FALSE)</f>
        <v>1</v>
      </c>
      <c r="AK147" s="31">
        <f>VLOOKUP($Q147,武学奇术!$A:$ZZ,29,FALSE)*(1+IF(OR($AG147=$F$4,$AG147=$F$5),$B$22,0))</f>
        <v>0</v>
      </c>
      <c r="AL147" s="30" cm="1">
        <f t="array" ref="AL147">$G$3+IFERROR(VLOOKUP($AG147,$F$4:$G$7,2,FALSE),0)+VLOOKUP($Q147,武学奇术!$A:$ZZ,2,FALSE)+SUM(_xlfn.XLOOKUP($R147:$AF147,增益!$A:$A,增益!$B:$B,0))</f>
        <v>0.2837</v>
      </c>
      <c r="AM147" s="30" cm="1">
        <f t="array" ref="AM147">VLOOKUP($Q147,武学奇术!$A:$ZZ,5,FALSE)+SUM(_xlfn.XLOOKUP($R147:$AF147,增益!$A:$A,增益!$E:$E,0))</f>
        <v>0</v>
      </c>
      <c r="AN147" cm="1">
        <f t="array" ref="AN147">$D$10*(1+$AM147)+VLOOKUP($Q147,武学奇术!$A:$ZZ,3,FALSE)+SUM(_xlfn.XLOOKUP($R147:$AF147,增益!$A:$A,增益!$C:$C,0))-$I$2</f>
        <v>3545.8</v>
      </c>
      <c r="AO147" cm="1">
        <f t="array" ref="AO147">$E$10*(1+$AM147)+VLOOKUP($Q147,武学奇术!$A:$ZZ,4,FALSE)+SUM(_xlfn.XLOOKUP($R147:$AF147,增益!$A:$A,增益!$D:$D,0))-$I$2</f>
        <v>3545.8</v>
      </c>
      <c r="AP147" s="35" cm="1">
        <f t="array" ref="AP147">IF($F$10-$I$3+VLOOKUP($Q147,武学奇术!$A:$ZZ,6,FALSE)+SUM(_xlfn.XLOOKUP(R147:AF147,增益!$A:$A,增益!$F:$F,0))&gt;0,($F$10-$I$3+VLOOKUP($Q147,武学奇术!$A:$ZZ,6,FALSE)+SUM(_xlfn.XLOOKUP(R147:AF147,增益!$A:$A,增益!$F:$F,0)))/200,($F$10-$I$3+VLOOKUP($Q147,武学奇术!$A:$ZZ,6,FALSE)+SUM(_xlfn.XLOOKUP(R147:AF147,增益!$A:$A,增益!$F:$F,0)))/100)</f>
        <v>0.3425</v>
      </c>
      <c r="AQ147" s="35" cm="1">
        <f t="array" ref="AQ147">$G$10+VLOOKUP($Q147,武学奇术!$A:$ZZ,7,FALSE)+SUM(_xlfn.XLOOKUP(R147:AF147,增益!$A:$A,增益!$G:$G,0))</f>
        <v>0.028</v>
      </c>
      <c r="AR147" s="30" cm="1">
        <f t="array" ref="AR147">VLOOKUP($Q147,武学奇术!$A:$ZZ,8,FALSE)+SUM(_xlfn.XLOOKUP(R147:AF147,增益!$A:$A,增益!$H:$H,0))</f>
        <v>0</v>
      </c>
      <c r="AS147">
        <f t="shared" si="84"/>
        <v>0</v>
      </c>
      <c r="AT147">
        <f t="shared" si="85"/>
        <v>0</v>
      </c>
      <c r="AU147" s="35" cm="1">
        <f t="array" ref="AU147">IF($F$11-$I$4+VLOOKUP($Q147,武学奇术!$A:$ZZ,9,FALSE)+SUM(_xlfn.XLOOKUP(R147:AF147,增益!$A:$A,增益!$I:$I,0))&gt;0,($F$11-$I$4+VLOOKUP($Q147,武学奇术!$A:$ZZ,9,FALSE)+SUM(_xlfn.XLOOKUP(R147:AF147,增益!$A:$A,增益!$I:$I,0)))/200,($F$11-$I$4+VLOOKUP($Q147,武学奇术!$A:$ZZ,9,FALSE)+SUM(_xlfn.XLOOKUP(R147:AF147,增益!$A:$A,增益!$I:$I,0)))/100)</f>
        <v>-0.3</v>
      </c>
      <c r="AV147" s="35" cm="1">
        <f t="array" ref="AV147">$G$11+VLOOKUP($Q147,武学奇术!$A:$ZZ,10,FALSE)+SUM(_xlfn.XLOOKUP(R147:AF147,增益!$A:$A,增益!$J:$J,0))</f>
        <v>0</v>
      </c>
      <c r="AW147">
        <f t="shared" si="86"/>
        <v>0</v>
      </c>
      <c r="AX147">
        <f t="shared" si="87"/>
        <v>0</v>
      </c>
      <c r="AY147" s="35" cm="1">
        <f t="array" ref="AY147">IF($F$12-$I$4+VLOOKUP($Q147,武学奇术!$A:$ZZ,11,FALSE)+SUM(_xlfn.XLOOKUP(R147:AF147,增益!$A:$A,增益!$K:$K,0))&gt;0,($F$12-$I$4+VLOOKUP($Q147,武学奇术!$A:$ZZ,11,FALSE)+SUM(_xlfn.XLOOKUP(R147:AF147,增益!$A:$A,增益!$K:$K,0)))/200,($F$12-$I$4+VLOOKUP($Q147,武学奇术!$A:$ZZ,11,FALSE)+SUM(_xlfn.XLOOKUP(R147:AF147,增益!$A:$A,增益!$K:$K,0)))/100)</f>
        <v>-0.3</v>
      </c>
      <c r="AZ147" s="35" cm="1">
        <f t="array" ref="AZ147">$G$12+VLOOKUP($Q147,武学奇术!$A:$ZZ,12,FALSE)+SUM(_xlfn.XLOOKUP(R147:AF147,增益!$A:$A,增益!$L:$L,0))</f>
        <v>0</v>
      </c>
      <c r="BA147">
        <f t="shared" si="88"/>
        <v>0</v>
      </c>
      <c r="BB147">
        <f t="shared" si="89"/>
        <v>0</v>
      </c>
      <c r="BC147" s="35" cm="1">
        <f t="array" ref="BC147">IF($F$13-$I$4+VLOOKUP($Q147,武学奇术!$A:$ZZ,13,FALSE)+SUM(_xlfn.XLOOKUP(R147:AF147,增益!$A:$A,增益!$M:$M,0))&gt;0,($F$13-$I$4+VLOOKUP($Q147,武学奇术!$A:$ZZ,13,FALSE)+SUM(_xlfn.XLOOKUP(R147:AF147,增益!$A:$A,增益!$K:$K,0)))/200,($F$13-$I$4+VLOOKUP($Q147,武学奇术!$A:$ZZ,13,FALSE)+SUM(_xlfn.XLOOKUP(R147:AF147,增益!$A:$A,增益!$M:$M,0)))/100)</f>
        <v>-0.3</v>
      </c>
      <c r="BD147" s="35" cm="1">
        <f t="array" ref="BD147">$G$13+VLOOKUP($Q147,武学奇术!$A:$ZZ,14,FALSE)+SUM(_xlfn.XLOOKUP(R147:AF147,增益!$A:$A,增益!$N:$N,0))</f>
        <v>0</v>
      </c>
      <c r="BE147">
        <f t="shared" si="90"/>
        <v>538</v>
      </c>
      <c r="BF147">
        <f t="shared" si="91"/>
        <v>1561.4</v>
      </c>
      <c r="BG147" s="35" cm="1">
        <f t="array" ref="BG147">IF($F$14-$I$4+VLOOKUP($Q147,武学奇术!$A:$ZZ,15,FALSE)+SUM(_xlfn.XLOOKUP(R147:AF147,增益!$A:$A,增益!$O:$O,0))&gt;0,($F$14-$I$4+VLOOKUP($Q147,武学奇术!$A:$ZZ,15,FALSE)+SUM(_xlfn.XLOOKUP(R147:AF147,增益!$A:$A,增益!$O:$O,0)))/200,($F$14-$I$4+VLOOKUP($Q147,武学奇术!$A:$ZZ,15,FALSE)+SUM(_xlfn.XLOOKUP(R147:AF147,增益!$A:$A,增益!$O:$O,0)))/100)</f>
        <v>0</v>
      </c>
      <c r="BH147" s="35" cm="1">
        <f t="array" ref="BH147">$G$14+VLOOKUP($Q147,武学奇术!$A:$ZZ,16,FALSE)+SUM(_xlfn.XLOOKUP(R147:AF147,增益!$A:$A,增益!$P:$P,0))</f>
        <v>0.15</v>
      </c>
      <c r="BI147" s="30">
        <f>MIN(IF(VLOOKUP($Q147,武学奇术!$A:$ZZ,23,FALSE)=1,100%,$B$8),100%)</f>
        <v>0.9712</v>
      </c>
      <c r="BJ147" s="30" cm="1">
        <f t="array" ref="BJ147">IF(VLOOKUP($Q147,武学奇术!$A:$ZZ,23,FALSE)=1,100%,MIN(80%,$B$9+VLOOKUP($Q147,武学奇术!$A:$ZZ,17,FALSE)+SUM(_xlfn.XLOOKUP(R147:AF147,增益!$A:$A,增益!$Q:$Q,0)))+$B$11+SUM(_xlfn.XLOOKUP(R147:AF147,增益!$A:$A,增益!$U:$U,0)))*IF(VLOOKUP($Q147,武学奇术!$A:$ZZ,24,FALSE)=1,0,1)</f>
        <v>0.8773</v>
      </c>
      <c r="BK147" s="30" cm="1">
        <f t="array" ref="BK147">1+$B$13+VLOOKUP($Q147,武学奇术!$A:$ZZ,18,FALSE)+SUM(_xlfn.XLOOKUP(R147:AF147,增益!$A:$A,增益!$R:$R,0))</f>
        <v>1.87</v>
      </c>
      <c r="BL147" s="30" cm="1">
        <f t="array" ref="BL147">IF(VLOOKUP($Q147,武学奇术!$A:$ZZ,24,FALSE)=1,100%,MIN(40%,$B$10+VLOOKUP($Q147,武学奇术!$A:$ZZ,19,FALSE)+SUM(_xlfn.XLOOKUP(R147:AF147,增益!$A:$A,增益!$S:$S,0)))+$B$12+SUM(_xlfn.XLOOKUP(R147:AF147,增益!$A:$A,增益!$V:$V,0)))*IF(VLOOKUP($Q147,武学奇术!$A:$ZZ,23,FALSE)=1,0,1)</f>
        <v>0.0895</v>
      </c>
      <c r="BM147" s="30" cm="1">
        <f t="array" ref="BM147">1+$B$14+VLOOKUP($Q147,武学奇术!$A:$ZZ,20,FALSE)+SUM(_xlfn.XLOOKUP(R147:AF147,增益!$A:$A,增益!$T:$T,0))</f>
        <v>1.35</v>
      </c>
      <c r="BN147" s="30">
        <f t="shared" si="92"/>
        <v>0.85203376</v>
      </c>
      <c r="BO147" s="30">
        <f t="shared" si="93"/>
        <v>0.03224384</v>
      </c>
      <c r="BP147" s="30">
        <f>IF(VLOOKUP($Q147,武学奇术!$A:$ZZ,22,FALSE)=1,0,(1-$BI147))*(1-$BL147)</f>
        <v>0.0262224</v>
      </c>
      <c r="BQ147" s="30" cm="1">
        <f t="array" ref="BQ147">SUM(_xlfn.XLOOKUP(R147:AF147,增益!$A:$A,增益!$W:$W,0))+$I$5</f>
        <v>0.11</v>
      </c>
    </row>
    <row r="148" spans="11:69">
      <c r="K148" s="41">
        <f t="shared" si="83"/>
        <v>18190.6384007715</v>
      </c>
      <c r="L148" s="41">
        <f>((($AN148+$AO148)/2*$AH148+$AI148)*(1+$AP148)*(1+$AQ148)+(($AS148+$AT148)/2*IF($G$1="鸣金",$AJ148,$AH148)+IF($G$1="鸣金",$AK148*1.5,0))*(1+$AU148)*(1+$AV148)+(($AW148+$AX148)/2*IF($G$1="裂石",$AJ148,$AH148)+IF($G$1="裂石",$AK148*1.5,0))*(1+$AY148)*(1+$AZ148)+(($BA148+$BB148)/2*IF($G$1="牵丝",$AJ148,$AH148)+IF($G$1="牵丝",$AK148*1.5,0))*(1+$BC148)*(1+$BD148)+(($BE148+$BF148)/2*IF($G$1="破竹",$AJ148,$AH148)+IF($G$1="破竹",$AK148*1.5,0))*(1+$BG148)*(1+$BH148))*(1+$AL148)*$BK148*$P148*(1+IF(VLOOKUP($Q148,武学奇术!$A:$ZZ,30,FALSE)="回旋伞",$B$21,0))*(1+$BQ148)</f>
        <v>19085.7721463643</v>
      </c>
      <c r="M148" s="41">
        <f>(($AO148*$AH148+$AI148)*(1+$AP148)*(1+$AQ148)+($AT148*IF($G$1="鸣金",$AJ148,$AH148)+IF($G$1="鸣金",$AK148*1.5,0))*(1+$AU148)*(1+$AV148)+($AX148*IF($G$1="裂石",$AJ148,$AH148)+IF($G$1="裂石",$AK148*1.5,0))*(1+$AY148)*(1+$AZ148)+($BB148*IF($G$1="牵丝",$AJ148,$AH148)+IF($G$1="牵丝",$AK148*1.5,0))*(1+$BC148)*(1+$BD148)+($BF148*IF($G$1="破竹",$AJ148,$AH148)+IF($G$1="破竹",$AK148*1.5,0))*(1+$BG148)*(1+$BH148))*(1+$AL148)*$BM148*$P148*(1+IF(VLOOKUP($Q148,武学奇术!$A:$ZZ,30,FALSE)="回旋伞",$B$21,0))*(1+$BQ148)</f>
        <v>15191.4911087006</v>
      </c>
      <c r="N148" s="41">
        <f>((($AN148+$AO148)/2*$AH148+$AI148)*(1+$AP148)*(1+$AQ148)+(($AS148+$AT148)/2*IF($G$1="鸣金",$AJ148,$AH148)+IF($G$1="鸣金",$AK148*1.5,0))*(1+$AU148)*(1+$AV148)+(($AW148+$AX148)/2*IF($G$1="裂石",$AJ148,$AH148)+IF($G$1="裂石",$AK148*1.5,0))*(1+$AY148)*(1+$AZ148)+(($BA148+$BB148)/2*IF($G$1="牵丝",$AJ148,$AH148)+IF($G$1="牵丝",$AK148*1.5,0))*(1+$BC148)*(1+$BD148)+(($BE148+$BF148)/2*IF($G$1="破竹",$AJ148,$AH148)+IF($G$1="破竹",$AK148*1.5,0))*(1+$BG148)*(1+$BH148))*(1+$AL148)*$P148*(1+IF(VLOOKUP($Q148,武学奇术!$A:$ZZ,30,FALSE)="回旋伞",$B$21,0))*(1+$BQ148)</f>
        <v>10206.2952654355</v>
      </c>
      <c r="O148" s="41">
        <f>((($AN148*$AH148+$AI148)*(1+$AP148)*(1+$AQ148)+($AS148*IF($G$1="鸣金",$AJ148,$AH148)+IF($G$1="鸣金",$AK148*1.5,0))*(1+$AU148)*(1+$AV148)+($AW148*IF($G$1="裂石",$AJ148,$AH148)+IF($G$1="裂石",$AK148*1.5,0))*(1+$AY148)*(1+$AZ148)+($BA148*IF($G$1="牵丝",$AJ148,$AH148)+IF($G$1="牵丝",$AK148*1.5,0))*(1+$BC148)*(1+$BD148)+($BE148*IF($G$1="破竹",$AJ148,$AH148)+IF($G$1="破竹",$AK148*1.5,0))*(1+$BG148)*(1+$BH148))*(1+$AL148))*$P148*(1+IF(VLOOKUP($Q148,武学奇术!$A:$ZZ,30,FALSE)="回旋伞",$B$21,0))*(1+$BQ148)</f>
        <v>9159.63415405565</v>
      </c>
      <c r="P148" s="42">
        <f t="shared" si="94"/>
        <v>1</v>
      </c>
      <c r="Q148" s="43" t="s">
        <v>187</v>
      </c>
      <c r="R148" s="43" t="s">
        <v>71</v>
      </c>
      <c r="S148" s="43" t="s">
        <v>91</v>
      </c>
      <c r="T148" s="43" t="s">
        <v>72</v>
      </c>
      <c r="U148" s="43" t="s">
        <v>79</v>
      </c>
      <c r="V148" s="43" t="s">
        <v>167</v>
      </c>
      <c r="W148" s="43" t="s">
        <v>95</v>
      </c>
      <c r="X148" s="43" t="s">
        <v>82</v>
      </c>
      <c r="Y148" s="43" t="s">
        <v>71</v>
      </c>
      <c r="Z148" s="43" t="s">
        <v>71</v>
      </c>
      <c r="AA148" s="43" t="s">
        <v>71</v>
      </c>
      <c r="AB148" s="43" t="s">
        <v>71</v>
      </c>
      <c r="AC148" s="43" t="s">
        <v>71</v>
      </c>
      <c r="AD148" s="43" t="s">
        <v>71</v>
      </c>
      <c r="AE148" s="43" t="s">
        <v>71</v>
      </c>
      <c r="AF148" s="43" t="s">
        <v>76</v>
      </c>
      <c r="AG148" t="str">
        <f>VLOOKUP($Q148,武学奇术!$A:$ZZ,25,FALSE)</f>
        <v>心法</v>
      </c>
      <c r="AH148" s="30">
        <f>VLOOKUP($Q148,武学奇术!$A:$ZZ,26,FALSE)</f>
        <v>1</v>
      </c>
      <c r="AI148" s="31">
        <f>VLOOKUP($Q148,武学奇术!$A:$ZZ,27,FALSE)*(1+IF(OR($AG148=$F$4,$AG148=$F$5),$B$22,0))</f>
        <v>0</v>
      </c>
      <c r="AJ148" s="30">
        <f>VLOOKUP($Q148,武学奇术!$A:$ZZ,28,FALSE)</f>
        <v>1</v>
      </c>
      <c r="AK148" s="31">
        <f>VLOOKUP($Q148,武学奇术!$A:$ZZ,29,FALSE)*(1+IF(OR($AG148=$F$4,$AG148=$F$5),$B$22,0))</f>
        <v>0</v>
      </c>
      <c r="AL148" s="30" cm="1">
        <f t="array" ref="AL148">$G$3+IFERROR(VLOOKUP($AG148,$F$4:$G$7,2,FALSE),0)+VLOOKUP($Q148,武学奇术!$A:$ZZ,2,FALSE)+SUM(_xlfn.XLOOKUP($R148:$AF148,增益!$A:$A,增益!$B:$B,0))</f>
        <v>0.4837</v>
      </c>
      <c r="AM148" s="30" cm="1">
        <f t="array" ref="AM148">VLOOKUP($Q148,武学奇术!$A:$ZZ,5,FALSE)+SUM(_xlfn.XLOOKUP($R148:$AF148,增益!$A:$A,增益!$E:$E,0))</f>
        <v>0</v>
      </c>
      <c r="AN148" cm="1">
        <f t="array" ref="AN148">$D$10*(1+$AM148)+VLOOKUP($Q148,武学奇术!$A:$ZZ,3,FALSE)+SUM(_xlfn.XLOOKUP($R148:$AF148,增益!$A:$A,增益!$C:$C,0))-$I$2</f>
        <v>3545.8</v>
      </c>
      <c r="AO148" cm="1">
        <f t="array" ref="AO148">$E$10*(1+$AM148)+VLOOKUP($Q148,武学奇术!$A:$ZZ,4,FALSE)+SUM(_xlfn.XLOOKUP($R148:$AF148,增益!$A:$A,增益!$D:$D,0))-$I$2</f>
        <v>3545.8</v>
      </c>
      <c r="AP148" s="35" cm="1">
        <f t="array" ref="AP148">IF($F$10-$I$3+VLOOKUP($Q148,武学奇术!$A:$ZZ,6,FALSE)+SUM(_xlfn.XLOOKUP(R148:AF148,增益!$A:$A,增益!$F:$F,0))&gt;0,($F$10-$I$3+VLOOKUP($Q148,武学奇术!$A:$ZZ,6,FALSE)+SUM(_xlfn.XLOOKUP(R148:AF148,增益!$A:$A,增益!$F:$F,0)))/200,($F$10-$I$3+VLOOKUP($Q148,武学奇术!$A:$ZZ,6,FALSE)+SUM(_xlfn.XLOOKUP(R148:AF148,增益!$A:$A,增益!$F:$F,0)))/100)</f>
        <v>0.3425</v>
      </c>
      <c r="AQ148" s="35" cm="1">
        <f t="array" ref="AQ148">$G$10+VLOOKUP($Q148,武学奇术!$A:$ZZ,7,FALSE)+SUM(_xlfn.XLOOKUP(R148:AF148,增益!$A:$A,增益!$G:$G,0))</f>
        <v>0.028</v>
      </c>
      <c r="AR148" s="30" cm="1">
        <f t="array" ref="AR148">VLOOKUP($Q148,武学奇术!$A:$ZZ,8,FALSE)+SUM(_xlfn.XLOOKUP(R148:AF148,增益!$A:$A,增益!$H:$H,0))</f>
        <v>0</v>
      </c>
      <c r="AS148">
        <f t="shared" si="84"/>
        <v>0</v>
      </c>
      <c r="AT148">
        <f t="shared" si="85"/>
        <v>0</v>
      </c>
      <c r="AU148" s="35" cm="1">
        <f t="array" ref="AU148">IF($F$11-$I$4+VLOOKUP($Q148,武学奇术!$A:$ZZ,9,FALSE)+SUM(_xlfn.XLOOKUP(R148:AF148,增益!$A:$A,增益!$I:$I,0))&gt;0,($F$11-$I$4+VLOOKUP($Q148,武学奇术!$A:$ZZ,9,FALSE)+SUM(_xlfn.XLOOKUP(R148:AF148,增益!$A:$A,增益!$I:$I,0)))/200,($F$11-$I$4+VLOOKUP($Q148,武学奇术!$A:$ZZ,9,FALSE)+SUM(_xlfn.XLOOKUP(R148:AF148,增益!$A:$A,增益!$I:$I,0)))/100)</f>
        <v>-0.14</v>
      </c>
      <c r="AV148" s="35" cm="1">
        <f t="array" ref="AV148">$G$11+VLOOKUP($Q148,武学奇术!$A:$ZZ,10,FALSE)+SUM(_xlfn.XLOOKUP(R148:AF148,增益!$A:$A,增益!$J:$J,0))</f>
        <v>0</v>
      </c>
      <c r="AW148">
        <f t="shared" si="86"/>
        <v>0</v>
      </c>
      <c r="AX148">
        <f t="shared" si="87"/>
        <v>0</v>
      </c>
      <c r="AY148" s="35" cm="1">
        <f t="array" ref="AY148">IF($F$12-$I$4+VLOOKUP($Q148,武学奇术!$A:$ZZ,11,FALSE)+SUM(_xlfn.XLOOKUP(R148:AF148,增益!$A:$A,增益!$K:$K,0))&gt;0,($F$12-$I$4+VLOOKUP($Q148,武学奇术!$A:$ZZ,11,FALSE)+SUM(_xlfn.XLOOKUP(R148:AF148,增益!$A:$A,增益!$K:$K,0)))/200,($F$12-$I$4+VLOOKUP($Q148,武学奇术!$A:$ZZ,11,FALSE)+SUM(_xlfn.XLOOKUP(R148:AF148,增益!$A:$A,增益!$K:$K,0)))/100)</f>
        <v>-0.14</v>
      </c>
      <c r="AZ148" s="35" cm="1">
        <f t="array" ref="AZ148">$G$12+VLOOKUP($Q148,武学奇术!$A:$ZZ,12,FALSE)+SUM(_xlfn.XLOOKUP(R148:AF148,增益!$A:$A,增益!$L:$L,0))</f>
        <v>0</v>
      </c>
      <c r="BA148">
        <f t="shared" si="88"/>
        <v>0</v>
      </c>
      <c r="BB148">
        <f t="shared" si="89"/>
        <v>0</v>
      </c>
      <c r="BC148" s="35" cm="1">
        <f t="array" ref="BC148">IF($F$13-$I$4+VLOOKUP($Q148,武学奇术!$A:$ZZ,13,FALSE)+SUM(_xlfn.XLOOKUP(R148:AF148,增益!$A:$A,增益!$M:$M,0))&gt;0,($F$13-$I$4+VLOOKUP($Q148,武学奇术!$A:$ZZ,13,FALSE)+SUM(_xlfn.XLOOKUP(R148:AF148,增益!$A:$A,增益!$K:$K,0)))/200,($F$13-$I$4+VLOOKUP($Q148,武学奇术!$A:$ZZ,13,FALSE)+SUM(_xlfn.XLOOKUP(R148:AF148,增益!$A:$A,增益!$M:$M,0)))/100)</f>
        <v>-0.14</v>
      </c>
      <c r="BD148" s="35" cm="1">
        <f t="array" ref="BD148">$G$13+VLOOKUP($Q148,武学奇术!$A:$ZZ,14,FALSE)+SUM(_xlfn.XLOOKUP(R148:AF148,增益!$A:$A,增益!$N:$N,0))</f>
        <v>0</v>
      </c>
      <c r="BE148">
        <f t="shared" si="90"/>
        <v>538</v>
      </c>
      <c r="BF148">
        <f t="shared" si="91"/>
        <v>1561.4</v>
      </c>
      <c r="BG148" s="35" cm="1">
        <f t="array" ref="BG148">IF($F$14-$I$4+VLOOKUP($Q148,武学奇术!$A:$ZZ,15,FALSE)+SUM(_xlfn.XLOOKUP(R148:AF148,增益!$A:$A,增益!$O:$O,0))&gt;0,($F$14-$I$4+VLOOKUP($Q148,武学奇术!$A:$ZZ,15,FALSE)+SUM(_xlfn.XLOOKUP(R148:AF148,增益!$A:$A,增益!$O:$O,0)))/200,($F$14-$I$4+VLOOKUP($Q148,武学奇术!$A:$ZZ,15,FALSE)+SUM(_xlfn.XLOOKUP(R148:AF148,增益!$A:$A,增益!$O:$O,0)))/100)</f>
        <v>0.08</v>
      </c>
      <c r="BH148" s="35" cm="1">
        <f t="array" ref="BH148">$G$14+VLOOKUP($Q148,武学奇术!$A:$ZZ,16,FALSE)+SUM(_xlfn.XLOOKUP(R148:AF148,增益!$A:$A,增益!$P:$P,0))</f>
        <v>0.15</v>
      </c>
      <c r="BI148" s="30">
        <f>MIN(IF(VLOOKUP($Q148,武学奇术!$A:$ZZ,23,FALSE)=1,100%,$B$8),100%)</f>
        <v>0.9712</v>
      </c>
      <c r="BJ148" s="30" cm="1">
        <f t="array" ref="BJ148">IF(VLOOKUP($Q148,武学奇术!$A:$ZZ,23,FALSE)=1,100%,MIN(80%,$B$9+VLOOKUP($Q148,武学奇术!$A:$ZZ,17,FALSE)+SUM(_xlfn.XLOOKUP(R148:AF148,增益!$A:$A,增益!$Q:$Q,0)))+$B$11+SUM(_xlfn.XLOOKUP(R148:AF148,增益!$A:$A,增益!$U:$U,0)))*IF(VLOOKUP($Q148,武学奇术!$A:$ZZ,24,FALSE)=1,0,1)</f>
        <v>0.8773</v>
      </c>
      <c r="BK148" s="30" cm="1">
        <f t="array" ref="BK148">1+$B$13+VLOOKUP($Q148,武学奇术!$A:$ZZ,18,FALSE)+SUM(_xlfn.XLOOKUP(R148:AF148,增益!$A:$A,增益!$R:$R,0))</f>
        <v>1.87</v>
      </c>
      <c r="BL148" s="30" cm="1">
        <f t="array" ref="BL148">IF(VLOOKUP($Q148,武学奇术!$A:$ZZ,24,FALSE)=1,100%,MIN(40%,$B$10+VLOOKUP($Q148,武学奇术!$A:$ZZ,19,FALSE)+SUM(_xlfn.XLOOKUP(R148:AF148,增益!$A:$A,增益!$S:$S,0)))+$B$12+SUM(_xlfn.XLOOKUP(R148:AF148,增益!$A:$A,增益!$V:$V,0)))*IF(VLOOKUP($Q148,武学奇术!$A:$ZZ,23,FALSE)=1,0,1)</f>
        <v>0.0895</v>
      </c>
      <c r="BM148" s="30" cm="1">
        <f t="array" ref="BM148">1+$B$14+VLOOKUP($Q148,武学奇术!$A:$ZZ,20,FALSE)+SUM(_xlfn.XLOOKUP(R148:AF148,增益!$A:$A,增益!$T:$T,0))</f>
        <v>1.35</v>
      </c>
      <c r="BN148" s="30">
        <f t="shared" si="92"/>
        <v>0.85203376</v>
      </c>
      <c r="BO148" s="30">
        <f t="shared" si="93"/>
        <v>0.03224384</v>
      </c>
      <c r="BP148" s="30">
        <f>IF(VLOOKUP($Q148,武学奇术!$A:$ZZ,22,FALSE)=1,0,(1-$BI148))*(1-$BL148)</f>
        <v>0.0262224</v>
      </c>
      <c r="BQ148" s="30" cm="1">
        <f t="array" ref="BQ148">SUM(_xlfn.XLOOKUP(R148:AF148,增益!$A:$A,增益!$W:$W,0))+$I$5</f>
        <v>0.11</v>
      </c>
    </row>
    <row r="149" spans="11:69">
      <c r="K149" s="41">
        <f t="shared" si="83"/>
        <v>15738.5741828337</v>
      </c>
      <c r="L149" s="41">
        <f>((($AN149+$AO149)/2*$AH149+$AI149)*(1+$AP149)*(1+$AQ149)+(($AS149+$AT149)/2*IF($G$1="鸣金",$AJ149,$AH149)+IF($G$1="鸣金",$AK149*1.5,0))*(1+$AU149)*(1+$AV149)+(($AW149+$AX149)/2*IF($G$1="裂石",$AJ149,$AH149)+IF($G$1="裂石",$AK149*1.5,0))*(1+$AY149)*(1+$AZ149)+(($BA149+$BB149)/2*IF($G$1="牵丝",$AJ149,$AH149)+IF($G$1="牵丝",$AK149*1.5,0))*(1+$BC149)*(1+$BD149)+(($BE149+$BF149)/2*IF($G$1="破竹",$AJ149,$AH149)+IF($G$1="破竹",$AK149*1.5,0))*(1+$BG149)*(1+$BH149))*(1+$AL149)*$BK149*$P149*(1+IF(VLOOKUP($Q149,武学奇术!$A:$ZZ,30,FALSE)="回旋伞",$B$21,0))*(1+$BQ149)</f>
        <v>16513.0455646612</v>
      </c>
      <c r="M149" s="41">
        <f>(($AO149*$AH149+$AI149)*(1+$AP149)*(1+$AQ149)+($AT149*IF($G$1="鸣金",$AJ149,$AH149)+IF($G$1="鸣金",$AK149*1.5,0))*(1+$AU149)*(1+$AV149)+($AX149*IF($G$1="裂石",$AJ149,$AH149)+IF($G$1="裂石",$AK149*1.5,0))*(1+$AY149)*(1+$AZ149)+($BB149*IF($G$1="牵丝",$AJ149,$AH149)+IF($G$1="牵丝",$AK149*1.5,0))*(1+$BC149)*(1+$BD149)+($BF149*IF($G$1="破竹",$AJ149,$AH149)+IF($G$1="破竹",$AK149*1.5,0))*(1+$BG149)*(1+$BH149))*(1+$AL149)*$BM149*$P149*(1+IF(VLOOKUP($Q149,武学奇术!$A:$ZZ,30,FALSE)="回旋伞",$B$21,0))*(1+$BQ149)</f>
        <v>13143.7063666772</v>
      </c>
      <c r="N149" s="41">
        <f>((($AN149+$AO149)/2*$AH149+$AI149)*(1+$AP149)*(1+$AQ149)+(($AS149+$AT149)/2*IF($G$1="鸣金",$AJ149,$AH149)+IF($G$1="鸣金",$AK149*1.5,0))*(1+$AU149)*(1+$AV149)+(($AW149+$AX149)/2*IF($G$1="裂石",$AJ149,$AH149)+IF($G$1="裂石",$AK149*1.5,0))*(1+$AY149)*(1+$AZ149)+(($BA149+$BB149)/2*IF($G$1="牵丝",$AJ149,$AH149)+IF($G$1="牵丝",$AK149*1.5,0))*(1+$BC149)*(1+$BD149)+(($BE149+$BF149)/2*IF($G$1="破竹",$AJ149,$AH149)+IF($G$1="破竹",$AK149*1.5,0))*(1+$BG149)*(1+$BH149))*(1+$AL149)*$P149*(1+IF(VLOOKUP($Q149,武学奇术!$A:$ZZ,30,FALSE)="回旋伞",$B$21,0))*(1+$BQ149)</f>
        <v>8830.50564955146</v>
      </c>
      <c r="O149" s="41">
        <f>((($AN149*$AH149+$AI149)*(1+$AP149)*(1+$AQ149)+($AS149*IF($G$1="鸣金",$AJ149,$AH149)+IF($G$1="鸣金",$AK149*1.5,0))*(1+$AU149)*(1+$AV149)+($AW149*IF($G$1="裂石",$AJ149,$AH149)+IF($G$1="裂石",$AK149*1.5,0))*(1+$AY149)*(1+$AZ149)+($BA149*IF($G$1="牵丝",$AJ149,$AH149)+IF($G$1="牵丝",$AK149*1.5,0))*(1+$BC149)*(1+$BD149)+($BE149*IF($G$1="破竹",$AJ149,$AH149)+IF($G$1="破竹",$AK149*1.5,0))*(1+$BG149)*(1+$BH149))*(1+$AL149))*$P149*(1+IF(VLOOKUP($Q149,武学奇术!$A:$ZZ,30,FALSE)="回旋伞",$B$21,0))*(1+$BQ149)</f>
        <v>7924.93250897166</v>
      </c>
      <c r="P149" s="42">
        <f t="shared" si="94"/>
        <v>1</v>
      </c>
      <c r="Q149" s="43" t="s">
        <v>187</v>
      </c>
      <c r="R149" s="43" t="s">
        <v>71</v>
      </c>
      <c r="S149" s="43" t="s">
        <v>91</v>
      </c>
      <c r="T149" s="43" t="s">
        <v>72</v>
      </c>
      <c r="U149" s="43" t="s">
        <v>71</v>
      </c>
      <c r="V149" s="43" t="s">
        <v>167</v>
      </c>
      <c r="W149" s="43" t="s">
        <v>95</v>
      </c>
      <c r="X149" s="43" t="s">
        <v>82</v>
      </c>
      <c r="Y149" s="43" t="s">
        <v>71</v>
      </c>
      <c r="Z149" s="43" t="s">
        <v>71</v>
      </c>
      <c r="AA149" s="43" t="s">
        <v>71</v>
      </c>
      <c r="AB149" s="43" t="s">
        <v>71</v>
      </c>
      <c r="AC149" s="43" t="s">
        <v>71</v>
      </c>
      <c r="AD149" s="43" t="s">
        <v>71</v>
      </c>
      <c r="AE149" s="43" t="s">
        <v>71</v>
      </c>
      <c r="AF149" s="43" t="s">
        <v>76</v>
      </c>
      <c r="AG149" t="str">
        <f>VLOOKUP($Q149,武学奇术!$A:$ZZ,25,FALSE)</f>
        <v>心法</v>
      </c>
      <c r="AH149" s="30">
        <f>VLOOKUP($Q149,武学奇术!$A:$ZZ,26,FALSE)</f>
        <v>1</v>
      </c>
      <c r="AI149" s="31">
        <f>VLOOKUP($Q149,武学奇术!$A:$ZZ,27,FALSE)*(1+IF(OR($AG149=$F$4,$AG149=$F$5),$B$22,0))</f>
        <v>0</v>
      </c>
      <c r="AJ149" s="30">
        <f>VLOOKUP($Q149,武学奇术!$A:$ZZ,28,FALSE)</f>
        <v>1</v>
      </c>
      <c r="AK149" s="31">
        <f>VLOOKUP($Q149,武学奇术!$A:$ZZ,29,FALSE)*(1+IF(OR($AG149=$F$4,$AG149=$F$5),$B$22,0))</f>
        <v>0</v>
      </c>
      <c r="AL149" s="30" cm="1">
        <f t="array" ref="AL149">$G$3+IFERROR(VLOOKUP($AG149,$F$4:$G$7,2,FALSE),0)+VLOOKUP($Q149,武学奇术!$A:$ZZ,2,FALSE)+SUM(_xlfn.XLOOKUP($R149:$AF149,增益!$A:$A,增益!$B:$B,0))</f>
        <v>0.2837</v>
      </c>
      <c r="AM149" s="30" cm="1">
        <f t="array" ref="AM149">VLOOKUP($Q149,武学奇术!$A:$ZZ,5,FALSE)+SUM(_xlfn.XLOOKUP($R149:$AF149,增益!$A:$A,增益!$E:$E,0))</f>
        <v>0</v>
      </c>
      <c r="AN149" cm="1">
        <f t="array" ref="AN149">$D$10*(1+$AM149)+VLOOKUP($Q149,武学奇术!$A:$ZZ,3,FALSE)+SUM(_xlfn.XLOOKUP($R149:$AF149,增益!$A:$A,增益!$C:$C,0))-$I$2</f>
        <v>3545.8</v>
      </c>
      <c r="AO149" cm="1">
        <f t="array" ref="AO149">$E$10*(1+$AM149)+VLOOKUP($Q149,武学奇术!$A:$ZZ,4,FALSE)+SUM(_xlfn.XLOOKUP($R149:$AF149,增益!$A:$A,增益!$D:$D,0))-$I$2</f>
        <v>3545.8</v>
      </c>
      <c r="AP149" s="35" cm="1">
        <f t="array" ref="AP149">IF($F$10-$I$3+VLOOKUP($Q149,武学奇术!$A:$ZZ,6,FALSE)+SUM(_xlfn.XLOOKUP(R149:AF149,增益!$A:$A,增益!$F:$F,0))&gt;0,($F$10-$I$3+VLOOKUP($Q149,武学奇术!$A:$ZZ,6,FALSE)+SUM(_xlfn.XLOOKUP(R149:AF149,增益!$A:$A,增益!$F:$F,0)))/200,($F$10-$I$3+VLOOKUP($Q149,武学奇术!$A:$ZZ,6,FALSE)+SUM(_xlfn.XLOOKUP(R149:AF149,增益!$A:$A,增益!$F:$F,0)))/100)</f>
        <v>0.3425</v>
      </c>
      <c r="AQ149" s="35" cm="1">
        <f t="array" ref="AQ149">$G$10+VLOOKUP($Q149,武学奇术!$A:$ZZ,7,FALSE)+SUM(_xlfn.XLOOKUP(R149:AF149,增益!$A:$A,增益!$G:$G,0))</f>
        <v>0.028</v>
      </c>
      <c r="AR149" s="30" cm="1">
        <f t="array" ref="AR149">VLOOKUP($Q149,武学奇术!$A:$ZZ,8,FALSE)+SUM(_xlfn.XLOOKUP(R149:AF149,增益!$A:$A,增益!$H:$H,0))</f>
        <v>0</v>
      </c>
      <c r="AS149">
        <f t="shared" si="84"/>
        <v>0</v>
      </c>
      <c r="AT149">
        <f t="shared" si="85"/>
        <v>0</v>
      </c>
      <c r="AU149" s="35" cm="1">
        <f t="array" ref="AU149">IF($F$11-$I$4+VLOOKUP($Q149,武学奇术!$A:$ZZ,9,FALSE)+SUM(_xlfn.XLOOKUP(R149:AF149,增益!$A:$A,增益!$I:$I,0))&gt;0,($F$11-$I$4+VLOOKUP($Q149,武学奇术!$A:$ZZ,9,FALSE)+SUM(_xlfn.XLOOKUP(R149:AF149,增益!$A:$A,增益!$I:$I,0)))/200,($F$11-$I$4+VLOOKUP($Q149,武学奇术!$A:$ZZ,9,FALSE)+SUM(_xlfn.XLOOKUP(R149:AF149,增益!$A:$A,增益!$I:$I,0)))/100)</f>
        <v>-0.14</v>
      </c>
      <c r="AV149" s="35" cm="1">
        <f t="array" ref="AV149">$G$11+VLOOKUP($Q149,武学奇术!$A:$ZZ,10,FALSE)+SUM(_xlfn.XLOOKUP(R149:AF149,增益!$A:$A,增益!$J:$J,0))</f>
        <v>0</v>
      </c>
      <c r="AW149">
        <f t="shared" si="86"/>
        <v>0</v>
      </c>
      <c r="AX149">
        <f t="shared" si="87"/>
        <v>0</v>
      </c>
      <c r="AY149" s="35" cm="1">
        <f t="array" ref="AY149">IF($F$12-$I$4+VLOOKUP($Q149,武学奇术!$A:$ZZ,11,FALSE)+SUM(_xlfn.XLOOKUP(R149:AF149,增益!$A:$A,增益!$K:$K,0))&gt;0,($F$12-$I$4+VLOOKUP($Q149,武学奇术!$A:$ZZ,11,FALSE)+SUM(_xlfn.XLOOKUP(R149:AF149,增益!$A:$A,增益!$K:$K,0)))/200,($F$12-$I$4+VLOOKUP($Q149,武学奇术!$A:$ZZ,11,FALSE)+SUM(_xlfn.XLOOKUP(R149:AF149,增益!$A:$A,增益!$K:$K,0)))/100)</f>
        <v>-0.14</v>
      </c>
      <c r="AZ149" s="35" cm="1">
        <f t="array" ref="AZ149">$G$12+VLOOKUP($Q149,武学奇术!$A:$ZZ,12,FALSE)+SUM(_xlfn.XLOOKUP(R149:AF149,增益!$A:$A,增益!$L:$L,0))</f>
        <v>0</v>
      </c>
      <c r="BA149">
        <f t="shared" si="88"/>
        <v>0</v>
      </c>
      <c r="BB149">
        <f t="shared" si="89"/>
        <v>0</v>
      </c>
      <c r="BC149" s="35" cm="1">
        <f t="array" ref="BC149">IF($F$13-$I$4+VLOOKUP($Q149,武学奇术!$A:$ZZ,13,FALSE)+SUM(_xlfn.XLOOKUP(R149:AF149,增益!$A:$A,增益!$M:$M,0))&gt;0,($F$13-$I$4+VLOOKUP($Q149,武学奇术!$A:$ZZ,13,FALSE)+SUM(_xlfn.XLOOKUP(R149:AF149,增益!$A:$A,增益!$K:$K,0)))/200,($F$13-$I$4+VLOOKUP($Q149,武学奇术!$A:$ZZ,13,FALSE)+SUM(_xlfn.XLOOKUP(R149:AF149,增益!$A:$A,增益!$M:$M,0)))/100)</f>
        <v>-0.14</v>
      </c>
      <c r="BD149" s="35" cm="1">
        <f t="array" ref="BD149">$G$13+VLOOKUP($Q149,武学奇术!$A:$ZZ,14,FALSE)+SUM(_xlfn.XLOOKUP(R149:AF149,增益!$A:$A,增益!$N:$N,0))</f>
        <v>0</v>
      </c>
      <c r="BE149">
        <f t="shared" si="90"/>
        <v>538</v>
      </c>
      <c r="BF149">
        <f t="shared" si="91"/>
        <v>1561.4</v>
      </c>
      <c r="BG149" s="35" cm="1">
        <f t="array" ref="BG149">IF($F$14-$I$4+VLOOKUP($Q149,武学奇术!$A:$ZZ,15,FALSE)+SUM(_xlfn.XLOOKUP(R149:AF149,增益!$A:$A,增益!$O:$O,0))&gt;0,($F$14-$I$4+VLOOKUP($Q149,武学奇术!$A:$ZZ,15,FALSE)+SUM(_xlfn.XLOOKUP(R149:AF149,增益!$A:$A,增益!$O:$O,0)))/200,($F$14-$I$4+VLOOKUP($Q149,武学奇术!$A:$ZZ,15,FALSE)+SUM(_xlfn.XLOOKUP(R149:AF149,增益!$A:$A,增益!$O:$O,0)))/100)</f>
        <v>0.08</v>
      </c>
      <c r="BH149" s="35" cm="1">
        <f t="array" ref="BH149">$G$14+VLOOKUP($Q149,武学奇术!$A:$ZZ,16,FALSE)+SUM(_xlfn.XLOOKUP(R149:AF149,增益!$A:$A,增益!$P:$P,0))</f>
        <v>0.15</v>
      </c>
      <c r="BI149" s="30">
        <f>MIN(IF(VLOOKUP($Q149,武学奇术!$A:$ZZ,23,FALSE)=1,100%,$B$8),100%)</f>
        <v>0.9712</v>
      </c>
      <c r="BJ149" s="30" cm="1">
        <f t="array" ref="BJ149">IF(VLOOKUP($Q149,武学奇术!$A:$ZZ,23,FALSE)=1,100%,MIN(80%,$B$9+VLOOKUP($Q149,武学奇术!$A:$ZZ,17,FALSE)+SUM(_xlfn.XLOOKUP(R149:AF149,增益!$A:$A,增益!$Q:$Q,0)))+$B$11+SUM(_xlfn.XLOOKUP(R149:AF149,增益!$A:$A,增益!$U:$U,0)))*IF(VLOOKUP($Q149,武学奇术!$A:$ZZ,24,FALSE)=1,0,1)</f>
        <v>0.8773</v>
      </c>
      <c r="BK149" s="30" cm="1">
        <f t="array" ref="BK149">1+$B$13+VLOOKUP($Q149,武学奇术!$A:$ZZ,18,FALSE)+SUM(_xlfn.XLOOKUP(R149:AF149,增益!$A:$A,增益!$R:$R,0))</f>
        <v>1.87</v>
      </c>
      <c r="BL149" s="30" cm="1">
        <f t="array" ref="BL149">IF(VLOOKUP($Q149,武学奇术!$A:$ZZ,24,FALSE)=1,100%,MIN(40%,$B$10+VLOOKUP($Q149,武学奇术!$A:$ZZ,19,FALSE)+SUM(_xlfn.XLOOKUP(R149:AF149,增益!$A:$A,增益!$S:$S,0)))+$B$12+SUM(_xlfn.XLOOKUP(R149:AF149,增益!$A:$A,增益!$V:$V,0)))*IF(VLOOKUP($Q149,武学奇术!$A:$ZZ,23,FALSE)=1,0,1)</f>
        <v>0.0895</v>
      </c>
      <c r="BM149" s="30" cm="1">
        <f t="array" ref="BM149">1+$B$14+VLOOKUP($Q149,武学奇术!$A:$ZZ,20,FALSE)+SUM(_xlfn.XLOOKUP(R149:AF149,增益!$A:$A,增益!$T:$T,0))</f>
        <v>1.35</v>
      </c>
      <c r="BN149" s="30">
        <f t="shared" si="92"/>
        <v>0.85203376</v>
      </c>
      <c r="BO149" s="30">
        <f t="shared" si="93"/>
        <v>0.03224384</v>
      </c>
      <c r="BP149" s="30">
        <f>IF(VLOOKUP($Q149,武学奇术!$A:$ZZ,22,FALSE)=1,0,(1-$BI149))*(1-$BL149)</f>
        <v>0.0262224</v>
      </c>
      <c r="BQ149" s="30" cm="1">
        <f t="array" ref="BQ149">SUM(_xlfn.XLOOKUP(R149:AF149,增益!$A:$A,增益!$W:$W,0))+$I$5</f>
        <v>0.11</v>
      </c>
    </row>
    <row r="150" spans="11:69">
      <c r="K150" s="41">
        <f>($L150*$BN150+$M150*$BL150+$N150*$BO150+$O150*$BP150)</f>
        <v>25792.4128217597</v>
      </c>
      <c r="L150" s="41">
        <f>((($AN150+$AO150)/2*$AH150+$AI150)*(1+$AP150)*(1+$AQ150)+(($AS150+$AT150)/2*IF($G$1="鸣金",$AJ150,$AH150)+IF($G$1="鸣金",$AK150*1.5,0))*(1+$AU150)*(1+$AV150)+(($AW150+$AX150)/2*IF($G$1="裂石",$AJ150,$AH150)+IF($G$1="裂石",$AK150*1.5,0))*(1+$AY150)*(1+$AZ150)+(($BA150+$BB150)/2*IF($G$1="牵丝",$AJ150,$AH150)+IF($G$1="牵丝",$AK150*1.5,0))*(1+$BC150)*(1+$BD150)+(($BE150+$BF150)/2*IF($G$1="破竹",$AJ150,$AH150)+IF($G$1="破竹",$AK150*1.5,0))*(1+$BG150)*(1+$BH150))*(1+$AL150)*$BK150*$P150*(1+IF(VLOOKUP($Q150,武学奇术!$A:$ZZ,30,FALSE)="回旋伞",$B$21,0))*(1+$BQ150)</f>
        <v>27413.4265268584</v>
      </c>
      <c r="M150" s="41">
        <f>(($AO150*$AH150+$AI150)*(1+$AP150)*(1+$AQ150)+($AT150*IF($G$1="鸣金",$AJ150,$AH150)+IF($G$1="鸣金",$AK150*1.5,0))*(1+$AU150)*(1+$AV150)+($AX150*IF($G$1="裂石",$AJ150,$AH150)+IF($G$1="裂石",$AK150*1.5,0))*(1+$AY150)*(1+$AZ150)+($BB150*IF($G$1="牵丝",$AJ150,$AH150)+IF($G$1="牵丝",$AK150*1.5,0))*(1+$BC150)*(1+$BD150)+($BF150*IF($G$1="破竹",$AJ150,$AH150)+IF($G$1="破竹",$AK150*1.5,0))*(1+$BG150)*(1+$BH150))*(1+$AL150)*$BM150*$P150*(1+IF(VLOOKUP($Q150,武学奇术!$A:$ZZ,30,FALSE)="回旋伞",$B$21,0))*(1+$BQ150)</f>
        <v>19124.2488621897</v>
      </c>
      <c r="N150" s="41">
        <f>((($AN150+$AO150)/2*$AH150+$AI150)*(1+$AP150)*(1+$AQ150)+(($AS150+$AT150)/2*IF($G$1="鸣金",$AJ150,$AH150)+IF($G$1="鸣金",$AK150*1.5,0))*(1+$AU150)*(1+$AV150)+(($AW150+$AX150)/2*IF($G$1="裂石",$AJ150,$AH150)+IF($G$1="裂石",$AK150*1.5,0))*(1+$AY150)*(1+$AZ150)+(($BA150+$BB150)/2*IF($G$1="牵丝",$AJ150,$AH150)+IF($G$1="牵丝",$AK150*1.5,0))*(1+$BC150)*(1+$BD150)+(($BE150+$BF150)/2*IF($G$1="破竹",$AJ150,$AH150)+IF($G$1="破竹",$AK150*1.5,0))*(1+$BG150)*(1+$BH150))*(1+$AL150)*$P150*(1+IF(VLOOKUP($Q150,武学奇术!$A:$ZZ,30,FALSE)="回旋伞",$B$21,0))*(1+$BQ150)</f>
        <v>12930.8615692728</v>
      </c>
      <c r="O150" s="41">
        <f>((($AN150*$AH150+$AI150)*(1+$AP150)*(1+$AQ150)+($AS150*IF($G$1="鸣金",$AJ150,$AH150)+IF($G$1="鸣金",$AK150*1.5,0))*(1+$AU150)*(1+$AV150)+($AW150*IF($G$1="裂石",$AJ150,$AH150)+IF($G$1="裂石",$AK150*1.5,0))*(1+$AY150)*(1+$AZ150)+($BA150*IF($G$1="牵丝",$AJ150,$AH150)+IF($G$1="牵丝",$AK150*1.5,0))*(1+$BC150)*(1+$BD150)+($BE150*IF($G$1="破竹",$AJ150,$AH150)+IF($G$1="破竹",$AK150*1.5,0))*(1+$BG150)*(1+$BH150))*(1+$AL150))*$P150*(1+IF(VLOOKUP($Q150,武学奇术!$A:$ZZ,30,FALSE)="回旋伞",$B$21,0))*(1+$BQ150)</f>
        <v>11695.612870257</v>
      </c>
      <c r="P150" s="42">
        <f>IF($C$24="易水歌",1,0)</f>
        <v>1</v>
      </c>
      <c r="Q150" s="43" t="s">
        <v>187</v>
      </c>
      <c r="R150" s="43" t="s">
        <v>71</v>
      </c>
      <c r="S150" s="43" t="s">
        <v>91</v>
      </c>
      <c r="T150" s="43" t="s">
        <v>72</v>
      </c>
      <c r="U150" s="43" t="s">
        <v>79</v>
      </c>
      <c r="V150" s="43" t="s">
        <v>167</v>
      </c>
      <c r="W150" s="43" t="s">
        <v>95</v>
      </c>
      <c r="X150" s="43" t="s">
        <v>82</v>
      </c>
      <c r="Y150" s="43" t="s">
        <v>177</v>
      </c>
      <c r="Z150" s="43" t="s">
        <v>178</v>
      </c>
      <c r="AA150" s="43" t="s">
        <v>71</v>
      </c>
      <c r="AB150" s="43" t="s">
        <v>179</v>
      </c>
      <c r="AC150" s="43" t="s">
        <v>71</v>
      </c>
      <c r="AD150" s="43" t="s">
        <v>71</v>
      </c>
      <c r="AE150" s="43" t="s">
        <v>71</v>
      </c>
      <c r="AF150" s="43" t="s">
        <v>76</v>
      </c>
      <c r="AG150" t="str">
        <f>VLOOKUP($Q150,武学奇术!$A:$ZZ,25,FALSE)</f>
        <v>心法</v>
      </c>
      <c r="AH150" s="30">
        <f>VLOOKUP($Q150,武学奇术!$A:$ZZ,26,FALSE)</f>
        <v>1</v>
      </c>
      <c r="AI150" s="31">
        <f>VLOOKUP($Q150,武学奇术!$A:$ZZ,27,FALSE)*(1+IF(OR($AG150=$F$4,$AG150=$F$5),$B$22,0))</f>
        <v>0</v>
      </c>
      <c r="AJ150" s="30">
        <f>VLOOKUP($Q150,武学奇术!$A:$ZZ,28,FALSE)</f>
        <v>1</v>
      </c>
      <c r="AK150" s="31">
        <f>VLOOKUP($Q150,武学奇术!$A:$ZZ,29,FALSE)*(1+IF(OR($AG150=$F$4,$AG150=$F$5),$B$22,0))</f>
        <v>0</v>
      </c>
      <c r="AL150" s="30" cm="1">
        <f t="array" ref="AL150">$G$3+IFERROR(VLOOKUP($AG150,$F$4:$G$7,2,FALSE),0)+VLOOKUP($Q150,武学奇术!$A:$ZZ,2,FALSE)+SUM(_xlfn.XLOOKUP($R150:$AF150,增益!$A:$A,增益!$B:$B,0))</f>
        <v>0.4837</v>
      </c>
      <c r="AM150" s="30" cm="1">
        <f t="array" ref="AM150">VLOOKUP($Q150,武学奇术!$A:$ZZ,5,FALSE)+SUM(_xlfn.XLOOKUP($R150:$AF150,增益!$A:$A,增益!$E:$E,0))</f>
        <v>0</v>
      </c>
      <c r="AN150" cm="1">
        <f t="array" ref="AN150">$D$10*(1+$AM150)+VLOOKUP($Q150,武学奇术!$A:$ZZ,3,FALSE)+SUM(_xlfn.XLOOKUP($R150:$AF150,增益!$A:$A,增益!$C:$C,0))-$I$2</f>
        <v>3545.8</v>
      </c>
      <c r="AO150" cm="1">
        <f t="array" ref="AO150">$E$10*(1+$AM150)+VLOOKUP($Q150,武学奇术!$A:$ZZ,4,FALSE)+SUM(_xlfn.XLOOKUP($R150:$AF150,增益!$A:$A,增益!$D:$D,0))-$I$2</f>
        <v>3545.8</v>
      </c>
      <c r="AP150" s="35" cm="1">
        <f t="array" ref="AP150">IF($F$10-$I$3+VLOOKUP($Q150,武学奇术!$A:$ZZ,6,FALSE)+SUM(_xlfn.XLOOKUP(R150:AF150,增益!$A:$A,增益!$F:$F,0))&gt;0,($F$10-$I$3+VLOOKUP($Q150,武学奇术!$A:$ZZ,6,FALSE)+SUM(_xlfn.XLOOKUP(R150:AF150,增益!$A:$A,增益!$F:$F,0)))/200,($F$10-$I$3+VLOOKUP($Q150,武学奇术!$A:$ZZ,6,FALSE)+SUM(_xlfn.XLOOKUP(R150:AF150,增益!$A:$A,增益!$F:$F,0)))/100)</f>
        <v>0.4675</v>
      </c>
      <c r="AQ150" s="35" cm="1">
        <f t="array" ref="AQ150">$G$10+VLOOKUP($Q150,武学奇术!$A:$ZZ,7,FALSE)+SUM(_xlfn.XLOOKUP(R150:AF150,增益!$A:$A,增益!$G:$G,0))</f>
        <v>0.028</v>
      </c>
      <c r="AR150" s="30" cm="1">
        <f t="array" ref="AR150">VLOOKUP($Q150,武学奇术!$A:$ZZ,8,FALSE)+SUM(_xlfn.XLOOKUP(R150:AF150,增益!$A:$A,增益!$H:$H,0))</f>
        <v>0</v>
      </c>
      <c r="AS150">
        <f>$D$11*(1+$AR150)</f>
        <v>0</v>
      </c>
      <c r="AT150">
        <f>$E$11*(1+$AR150)</f>
        <v>0</v>
      </c>
      <c r="AU150" s="35" cm="1">
        <f t="array" ref="AU150">IF($F$11-$I$4+VLOOKUP($Q150,武学奇术!$A:$ZZ,9,FALSE)+SUM(_xlfn.XLOOKUP(R150:AF150,增益!$A:$A,增益!$I:$I,0))&gt;0,($F$11-$I$4+VLOOKUP($Q150,武学奇术!$A:$ZZ,9,FALSE)+SUM(_xlfn.XLOOKUP(R150:AF150,增益!$A:$A,增益!$I:$I,0)))/200,($F$11-$I$4+VLOOKUP($Q150,武学奇术!$A:$ZZ,9,FALSE)+SUM(_xlfn.XLOOKUP(R150:AF150,增益!$A:$A,增益!$I:$I,0)))/100)</f>
        <v>-0.14</v>
      </c>
      <c r="AV150" s="35" cm="1">
        <f t="array" ref="AV150">$G$11+VLOOKUP($Q150,武学奇术!$A:$ZZ,10,FALSE)+SUM(_xlfn.XLOOKUP(R150:AF150,增益!$A:$A,增益!$J:$J,0))</f>
        <v>0.1</v>
      </c>
      <c r="AW150">
        <f>$D$12*(1+$AR150)</f>
        <v>0</v>
      </c>
      <c r="AX150">
        <f>$E$12*(1+$AR150)</f>
        <v>0</v>
      </c>
      <c r="AY150" s="35" cm="1">
        <f t="array" ref="AY150">IF($F$12-$I$4+VLOOKUP($Q150,武学奇术!$A:$ZZ,11,FALSE)+SUM(_xlfn.XLOOKUP(R150:AF150,增益!$A:$A,增益!$K:$K,0))&gt;0,($F$12-$I$4+VLOOKUP($Q150,武学奇术!$A:$ZZ,11,FALSE)+SUM(_xlfn.XLOOKUP(R150:AF150,增益!$A:$A,增益!$K:$K,0)))/200,($F$12-$I$4+VLOOKUP($Q150,武学奇术!$A:$ZZ,11,FALSE)+SUM(_xlfn.XLOOKUP(R150:AF150,增益!$A:$A,增益!$K:$K,0)))/100)</f>
        <v>-0.14</v>
      </c>
      <c r="AZ150" s="35" cm="1">
        <f t="array" ref="AZ150">$G$12+VLOOKUP($Q150,武学奇术!$A:$ZZ,12,FALSE)+SUM(_xlfn.XLOOKUP(R150:AF150,增益!$A:$A,增益!$L:$L,0))</f>
        <v>0</v>
      </c>
      <c r="BA150">
        <f>$D$13*(1+$AR150)</f>
        <v>0</v>
      </c>
      <c r="BB150">
        <f>$E$13*(1+$AR150)</f>
        <v>0</v>
      </c>
      <c r="BC150" s="35" cm="1">
        <f t="array" ref="BC150">IF($F$13-$I$4+VLOOKUP($Q150,武学奇术!$A:$ZZ,13,FALSE)+SUM(_xlfn.XLOOKUP(R150:AF150,增益!$A:$A,增益!$M:$M,0))&gt;0,($F$13-$I$4+VLOOKUP($Q150,武学奇术!$A:$ZZ,13,FALSE)+SUM(_xlfn.XLOOKUP(R150:AF150,增益!$A:$A,增益!$K:$K,0)))/200,($F$13-$I$4+VLOOKUP($Q150,武学奇术!$A:$ZZ,13,FALSE)+SUM(_xlfn.XLOOKUP(R150:AF150,增益!$A:$A,增益!$M:$M,0)))/100)</f>
        <v>-0.14</v>
      </c>
      <c r="BD150" s="35" cm="1">
        <f t="array" ref="BD150">$G$13+VLOOKUP($Q150,武学奇术!$A:$ZZ,14,FALSE)+SUM(_xlfn.XLOOKUP(R150:AF150,增益!$A:$A,增益!$N:$N,0))</f>
        <v>0</v>
      </c>
      <c r="BE150">
        <f>$D$14*(1+$AR150)</f>
        <v>538</v>
      </c>
      <c r="BF150">
        <f>$E$14*(1+$AR150)</f>
        <v>1561.4</v>
      </c>
      <c r="BG150" s="35" cm="1">
        <f t="array" ref="BG150">IF($F$14-$I$4+VLOOKUP($Q150,武学奇术!$A:$ZZ,15,FALSE)+SUM(_xlfn.XLOOKUP(R150:AF150,增益!$A:$A,增益!$O:$O,0))&gt;0,($F$14-$I$4+VLOOKUP($Q150,武学奇术!$A:$ZZ,15,FALSE)+SUM(_xlfn.XLOOKUP(R150:AF150,增益!$A:$A,增益!$O:$O,0)))/200,($F$14-$I$4+VLOOKUP($Q150,武学奇术!$A:$ZZ,15,FALSE)+SUM(_xlfn.XLOOKUP(R150:AF150,增益!$A:$A,增益!$O:$O,0)))/100)</f>
        <v>0.08</v>
      </c>
      <c r="BH150" s="35" cm="1">
        <f t="array" ref="BH150">$G$14+VLOOKUP($Q150,武学奇术!$A:$ZZ,16,FALSE)+SUM(_xlfn.XLOOKUP(R150:AF150,增益!$A:$A,增益!$P:$P,0))</f>
        <v>0.15</v>
      </c>
      <c r="BI150" s="30">
        <f>MIN(IF(VLOOKUP($Q150,武学奇术!$A:$ZZ,23,FALSE)=1,100%,$B$8),100%)</f>
        <v>0.9712</v>
      </c>
      <c r="BJ150" s="30" cm="1">
        <f t="array" ref="BJ150">IF(VLOOKUP($Q150,武学奇术!$A:$ZZ,23,FALSE)=1,100%,MIN(80%,$B$9+VLOOKUP($Q150,武学奇术!$A:$ZZ,17,FALSE)+SUM(_xlfn.XLOOKUP(R150:AF150,增益!$A:$A,增益!$Q:$Q,0)))+$B$11+SUM(_xlfn.XLOOKUP(R150:AF150,增益!$A:$A,增益!$U:$U,0)))*IF(VLOOKUP($Q150,武学奇术!$A:$ZZ,24,FALSE)=1,0,1)</f>
        <v>0.8773</v>
      </c>
      <c r="BK150" s="30" cm="1">
        <f t="array" ref="BK150">1+$B$13+VLOOKUP($Q150,武学奇术!$A:$ZZ,18,FALSE)+SUM(_xlfn.XLOOKUP(R150:AF150,增益!$A:$A,增益!$R:$R,0))</f>
        <v>2.12</v>
      </c>
      <c r="BL150" s="30" cm="1">
        <f t="array" ref="BL150">IF(VLOOKUP($Q150,武学奇术!$A:$ZZ,24,FALSE)=1,100%,MIN(40%,$B$10+VLOOKUP($Q150,武学奇术!$A:$ZZ,19,FALSE)+SUM(_xlfn.XLOOKUP(R150:AF150,增益!$A:$A,增益!$S:$S,0)))+$B$12+SUM(_xlfn.XLOOKUP(R150:AF150,增益!$A:$A,增益!$V:$V,0)))*IF(VLOOKUP($Q150,武学奇术!$A:$ZZ,23,FALSE)=1,0,1)</f>
        <v>0.0895</v>
      </c>
      <c r="BM150" s="30" cm="1">
        <f t="array" ref="BM150">1+$B$14+VLOOKUP($Q150,武学奇术!$A:$ZZ,20,FALSE)+SUM(_xlfn.XLOOKUP(R150:AF150,增益!$A:$A,增益!$T:$T,0))</f>
        <v>1.35</v>
      </c>
      <c r="BN150" s="30">
        <f>MIN((1-BL150)*BI150,BI150*BJ150)</f>
        <v>0.85203376</v>
      </c>
      <c r="BO150" s="30">
        <f>1-BL150-BN150-BP150</f>
        <v>0.03224384</v>
      </c>
      <c r="BP150" s="30">
        <f>IF(VLOOKUP($Q150,武学奇术!$A:$ZZ,22,FALSE)=1,0,(1-$BI150))*(1-$BL150)</f>
        <v>0.0262224</v>
      </c>
      <c r="BQ150" s="30" cm="1">
        <f t="array" ref="BQ150">SUM(_xlfn.XLOOKUP(R150:AF150,增益!$A:$A,增益!$W:$W,0))+$I$5</f>
        <v>0.31</v>
      </c>
    </row>
    <row r="151" spans="11:69">
      <c r="K151" s="41">
        <f>($L151*$BN151+$M151*$BL151+$N151*$BO151+$O151*$BP151)</f>
        <v>15738.5741828337</v>
      </c>
      <c r="L151" s="41">
        <f>((($AN151+$AO151)/2*$AH151+$AI151)*(1+$AP151)*(1+$AQ151)+(($AS151+$AT151)/2*IF($G$1="鸣金",$AJ151,$AH151)+IF($G$1="鸣金",$AK151*1.5,0))*(1+$AU151)*(1+$AV151)+(($AW151+$AX151)/2*IF($G$1="裂石",$AJ151,$AH151)+IF($G$1="裂石",$AK151*1.5,0))*(1+$AY151)*(1+$AZ151)+(($BA151+$BB151)/2*IF($G$1="牵丝",$AJ151,$AH151)+IF($G$1="牵丝",$AK151*1.5,0))*(1+$BC151)*(1+$BD151)+(($BE151+$BF151)/2*IF($G$1="破竹",$AJ151,$AH151)+IF($G$1="破竹",$AK151*1.5,0))*(1+$BG151)*(1+$BH151))*(1+$AL151)*$BK151*$P151*(1+IF(VLOOKUP($Q151,武学奇术!$A:$ZZ,30,FALSE)="回旋伞",$B$21,0))*(1+$BQ151)</f>
        <v>16513.0455646612</v>
      </c>
      <c r="M151" s="41">
        <f>(($AO151*$AH151+$AI151)*(1+$AP151)*(1+$AQ151)+($AT151*IF($G$1="鸣金",$AJ151,$AH151)+IF($G$1="鸣金",$AK151*1.5,0))*(1+$AU151)*(1+$AV151)+($AX151*IF($G$1="裂石",$AJ151,$AH151)+IF($G$1="裂石",$AK151*1.5,0))*(1+$AY151)*(1+$AZ151)+($BB151*IF($G$1="牵丝",$AJ151,$AH151)+IF($G$1="牵丝",$AK151*1.5,0))*(1+$BC151)*(1+$BD151)+($BF151*IF($G$1="破竹",$AJ151,$AH151)+IF($G$1="破竹",$AK151*1.5,0))*(1+$BG151)*(1+$BH151))*(1+$AL151)*$BM151*$P151*(1+IF(VLOOKUP($Q151,武学奇术!$A:$ZZ,30,FALSE)="回旋伞",$B$21,0))*(1+$BQ151)</f>
        <v>13143.7063666772</v>
      </c>
      <c r="N151" s="41">
        <f>((($AN151+$AO151)/2*$AH151+$AI151)*(1+$AP151)*(1+$AQ151)+(($AS151+$AT151)/2*IF($G$1="鸣金",$AJ151,$AH151)+IF($G$1="鸣金",$AK151*1.5,0))*(1+$AU151)*(1+$AV151)+(($AW151+$AX151)/2*IF($G$1="裂石",$AJ151,$AH151)+IF($G$1="裂石",$AK151*1.5,0))*(1+$AY151)*(1+$AZ151)+(($BA151+$BB151)/2*IF($G$1="牵丝",$AJ151,$AH151)+IF($G$1="牵丝",$AK151*1.5,0))*(1+$BC151)*(1+$BD151)+(($BE151+$BF151)/2*IF($G$1="破竹",$AJ151,$AH151)+IF($G$1="破竹",$AK151*1.5,0))*(1+$BG151)*(1+$BH151))*(1+$AL151)*$P151*(1+IF(VLOOKUP($Q151,武学奇术!$A:$ZZ,30,FALSE)="回旋伞",$B$21,0))*(1+$BQ151)</f>
        <v>8830.50564955146</v>
      </c>
      <c r="O151" s="41">
        <f>((($AN151*$AH151+$AI151)*(1+$AP151)*(1+$AQ151)+($AS151*IF($G$1="鸣金",$AJ151,$AH151)+IF($G$1="鸣金",$AK151*1.5,0))*(1+$AU151)*(1+$AV151)+($AW151*IF($G$1="裂石",$AJ151,$AH151)+IF($G$1="裂石",$AK151*1.5,0))*(1+$AY151)*(1+$AZ151)+($BA151*IF($G$1="牵丝",$AJ151,$AH151)+IF($G$1="牵丝",$AK151*1.5,0))*(1+$BC151)*(1+$BD151)+($BE151*IF($G$1="破竹",$AJ151,$AH151)+IF($G$1="破竹",$AK151*1.5,0))*(1+$BG151)*(1+$BH151))*(1+$AL151))*$P151*(1+IF(VLOOKUP($Q151,武学奇术!$A:$ZZ,30,FALSE)="回旋伞",$B$21,0))*(1+$BQ151)</f>
        <v>7924.93250897166</v>
      </c>
      <c r="P151" s="42">
        <f>IF($C$24="易水歌",1,0)</f>
        <v>1</v>
      </c>
      <c r="Q151" s="43" t="s">
        <v>187</v>
      </c>
      <c r="R151" s="43" t="s">
        <v>71</v>
      </c>
      <c r="S151" s="43" t="s">
        <v>91</v>
      </c>
      <c r="T151" s="43" t="s">
        <v>72</v>
      </c>
      <c r="U151" s="43" t="s">
        <v>71</v>
      </c>
      <c r="V151" s="43" t="s">
        <v>167</v>
      </c>
      <c r="W151" s="43" t="s">
        <v>95</v>
      </c>
      <c r="X151" s="43" t="s">
        <v>82</v>
      </c>
      <c r="Y151" s="43" t="s">
        <v>71</v>
      </c>
      <c r="Z151" s="43" t="s">
        <v>71</v>
      </c>
      <c r="AA151" s="43" t="s">
        <v>71</v>
      </c>
      <c r="AB151" s="43" t="s">
        <v>71</v>
      </c>
      <c r="AC151" s="43" t="s">
        <v>71</v>
      </c>
      <c r="AD151" s="43" t="s">
        <v>71</v>
      </c>
      <c r="AE151" s="43" t="s">
        <v>71</v>
      </c>
      <c r="AF151" s="43" t="s">
        <v>76</v>
      </c>
      <c r="AG151" t="str">
        <f>VLOOKUP($Q151,武学奇术!$A:$ZZ,25,FALSE)</f>
        <v>心法</v>
      </c>
      <c r="AH151" s="30">
        <f>VLOOKUP($Q151,武学奇术!$A:$ZZ,26,FALSE)</f>
        <v>1</v>
      </c>
      <c r="AI151" s="31">
        <f>VLOOKUP($Q151,武学奇术!$A:$ZZ,27,FALSE)*(1+IF(OR($AG151=$F$4,$AG151=$F$5),$B$22,0))</f>
        <v>0</v>
      </c>
      <c r="AJ151" s="30">
        <f>VLOOKUP($Q151,武学奇术!$A:$ZZ,28,FALSE)</f>
        <v>1</v>
      </c>
      <c r="AK151" s="31">
        <f>VLOOKUP($Q151,武学奇术!$A:$ZZ,29,FALSE)*(1+IF(OR($AG151=$F$4,$AG151=$F$5),$B$22,0))</f>
        <v>0</v>
      </c>
      <c r="AL151" s="30" cm="1">
        <f t="array" ref="AL151">$G$3+IFERROR(VLOOKUP($AG151,$F$4:$G$7,2,FALSE),0)+VLOOKUP($Q151,武学奇术!$A:$ZZ,2,FALSE)+SUM(_xlfn.XLOOKUP($R151:$AF151,增益!$A:$A,增益!$B:$B,0))</f>
        <v>0.2837</v>
      </c>
      <c r="AM151" s="30" cm="1">
        <f t="array" ref="AM151">VLOOKUP($Q151,武学奇术!$A:$ZZ,5,FALSE)+SUM(_xlfn.XLOOKUP($R151:$AF151,增益!$A:$A,增益!$E:$E,0))</f>
        <v>0</v>
      </c>
      <c r="AN151" cm="1">
        <f t="array" ref="AN151">$D$10*(1+$AM151)+VLOOKUP($Q151,武学奇术!$A:$ZZ,3,FALSE)+SUM(_xlfn.XLOOKUP($R151:$AF151,增益!$A:$A,增益!$C:$C,0))-$I$2</f>
        <v>3545.8</v>
      </c>
      <c r="AO151" cm="1">
        <f t="array" ref="AO151">$E$10*(1+$AM151)+VLOOKUP($Q151,武学奇术!$A:$ZZ,4,FALSE)+SUM(_xlfn.XLOOKUP($R151:$AF151,增益!$A:$A,增益!$D:$D,0))-$I$2</f>
        <v>3545.8</v>
      </c>
      <c r="AP151" s="35" cm="1">
        <f t="array" ref="AP151">IF($F$10-$I$3+VLOOKUP($Q151,武学奇术!$A:$ZZ,6,FALSE)+SUM(_xlfn.XLOOKUP(R151:AF151,增益!$A:$A,增益!$F:$F,0))&gt;0,($F$10-$I$3+VLOOKUP($Q151,武学奇术!$A:$ZZ,6,FALSE)+SUM(_xlfn.XLOOKUP(R151:AF151,增益!$A:$A,增益!$F:$F,0)))/200,($F$10-$I$3+VLOOKUP($Q151,武学奇术!$A:$ZZ,6,FALSE)+SUM(_xlfn.XLOOKUP(R151:AF151,增益!$A:$A,增益!$F:$F,0)))/100)</f>
        <v>0.3425</v>
      </c>
      <c r="AQ151" s="35" cm="1">
        <f t="array" ref="AQ151">$G$10+VLOOKUP($Q151,武学奇术!$A:$ZZ,7,FALSE)+SUM(_xlfn.XLOOKUP(R151:AF151,增益!$A:$A,增益!$G:$G,0))</f>
        <v>0.028</v>
      </c>
      <c r="AR151" s="30" cm="1">
        <f t="array" ref="AR151">VLOOKUP($Q151,武学奇术!$A:$ZZ,8,FALSE)+SUM(_xlfn.XLOOKUP(R151:AF151,增益!$A:$A,增益!$H:$H,0))</f>
        <v>0</v>
      </c>
      <c r="AS151">
        <f>$D$11*(1+$AR151)</f>
        <v>0</v>
      </c>
      <c r="AT151">
        <f>$E$11*(1+$AR151)</f>
        <v>0</v>
      </c>
      <c r="AU151" s="35" cm="1">
        <f t="array" ref="AU151">IF($F$11-$I$4+VLOOKUP($Q151,武学奇术!$A:$ZZ,9,FALSE)+SUM(_xlfn.XLOOKUP(R151:AF151,增益!$A:$A,增益!$I:$I,0))&gt;0,($F$11-$I$4+VLOOKUP($Q151,武学奇术!$A:$ZZ,9,FALSE)+SUM(_xlfn.XLOOKUP(R151:AF151,增益!$A:$A,增益!$I:$I,0)))/200,($F$11-$I$4+VLOOKUP($Q151,武学奇术!$A:$ZZ,9,FALSE)+SUM(_xlfn.XLOOKUP(R151:AF151,增益!$A:$A,增益!$I:$I,0)))/100)</f>
        <v>-0.14</v>
      </c>
      <c r="AV151" s="35" cm="1">
        <f t="array" ref="AV151">$G$11+VLOOKUP($Q151,武学奇术!$A:$ZZ,10,FALSE)+SUM(_xlfn.XLOOKUP(R151:AF151,增益!$A:$A,增益!$J:$J,0))</f>
        <v>0</v>
      </c>
      <c r="AW151">
        <f>$D$12*(1+$AR151)</f>
        <v>0</v>
      </c>
      <c r="AX151">
        <f>$E$12*(1+$AR151)</f>
        <v>0</v>
      </c>
      <c r="AY151" s="35" cm="1">
        <f t="array" ref="AY151">IF($F$12-$I$4+VLOOKUP($Q151,武学奇术!$A:$ZZ,11,FALSE)+SUM(_xlfn.XLOOKUP(R151:AF151,增益!$A:$A,增益!$K:$K,0))&gt;0,($F$12-$I$4+VLOOKUP($Q151,武学奇术!$A:$ZZ,11,FALSE)+SUM(_xlfn.XLOOKUP(R151:AF151,增益!$A:$A,增益!$K:$K,0)))/200,($F$12-$I$4+VLOOKUP($Q151,武学奇术!$A:$ZZ,11,FALSE)+SUM(_xlfn.XLOOKUP(R151:AF151,增益!$A:$A,增益!$K:$K,0)))/100)</f>
        <v>-0.14</v>
      </c>
      <c r="AZ151" s="35" cm="1">
        <f t="array" ref="AZ151">$G$12+VLOOKUP($Q151,武学奇术!$A:$ZZ,12,FALSE)+SUM(_xlfn.XLOOKUP(R151:AF151,增益!$A:$A,增益!$L:$L,0))</f>
        <v>0</v>
      </c>
      <c r="BA151">
        <f>$D$13*(1+$AR151)</f>
        <v>0</v>
      </c>
      <c r="BB151">
        <f>$E$13*(1+$AR151)</f>
        <v>0</v>
      </c>
      <c r="BC151" s="35" cm="1">
        <f t="array" ref="BC151">IF($F$13-$I$4+VLOOKUP($Q151,武学奇术!$A:$ZZ,13,FALSE)+SUM(_xlfn.XLOOKUP(R151:AF151,增益!$A:$A,增益!$M:$M,0))&gt;0,($F$13-$I$4+VLOOKUP($Q151,武学奇术!$A:$ZZ,13,FALSE)+SUM(_xlfn.XLOOKUP(R151:AF151,增益!$A:$A,增益!$K:$K,0)))/200,($F$13-$I$4+VLOOKUP($Q151,武学奇术!$A:$ZZ,13,FALSE)+SUM(_xlfn.XLOOKUP(R151:AF151,增益!$A:$A,增益!$M:$M,0)))/100)</f>
        <v>-0.14</v>
      </c>
      <c r="BD151" s="35" cm="1">
        <f t="array" ref="BD151">$G$13+VLOOKUP($Q151,武学奇术!$A:$ZZ,14,FALSE)+SUM(_xlfn.XLOOKUP(R151:AF151,增益!$A:$A,增益!$N:$N,0))</f>
        <v>0</v>
      </c>
      <c r="BE151">
        <f>$D$14*(1+$AR151)</f>
        <v>538</v>
      </c>
      <c r="BF151">
        <f>$E$14*(1+$AR151)</f>
        <v>1561.4</v>
      </c>
      <c r="BG151" s="35" cm="1">
        <f t="array" ref="BG151">IF($F$14-$I$4+VLOOKUP($Q151,武学奇术!$A:$ZZ,15,FALSE)+SUM(_xlfn.XLOOKUP(R151:AF151,增益!$A:$A,增益!$O:$O,0))&gt;0,($F$14-$I$4+VLOOKUP($Q151,武学奇术!$A:$ZZ,15,FALSE)+SUM(_xlfn.XLOOKUP(R151:AF151,增益!$A:$A,增益!$O:$O,0)))/200,($F$14-$I$4+VLOOKUP($Q151,武学奇术!$A:$ZZ,15,FALSE)+SUM(_xlfn.XLOOKUP(R151:AF151,增益!$A:$A,增益!$O:$O,0)))/100)</f>
        <v>0.08</v>
      </c>
      <c r="BH151" s="35" cm="1">
        <f t="array" ref="BH151">$G$14+VLOOKUP($Q151,武学奇术!$A:$ZZ,16,FALSE)+SUM(_xlfn.XLOOKUP(R151:AF151,增益!$A:$A,增益!$P:$P,0))</f>
        <v>0.15</v>
      </c>
      <c r="BI151" s="30">
        <f>MIN(IF(VLOOKUP($Q151,武学奇术!$A:$ZZ,23,FALSE)=1,100%,$B$8),100%)</f>
        <v>0.9712</v>
      </c>
      <c r="BJ151" s="30" cm="1">
        <f t="array" ref="BJ151">IF(VLOOKUP($Q151,武学奇术!$A:$ZZ,23,FALSE)=1,100%,MIN(80%,$B$9+VLOOKUP($Q151,武学奇术!$A:$ZZ,17,FALSE)+SUM(_xlfn.XLOOKUP(R151:AF151,增益!$A:$A,增益!$Q:$Q,0)))+$B$11+SUM(_xlfn.XLOOKUP(R151:AF151,增益!$A:$A,增益!$U:$U,0)))*IF(VLOOKUP($Q151,武学奇术!$A:$ZZ,24,FALSE)=1,0,1)</f>
        <v>0.8773</v>
      </c>
      <c r="BK151" s="30" cm="1">
        <f t="array" ref="BK151">1+$B$13+VLOOKUP($Q151,武学奇术!$A:$ZZ,18,FALSE)+SUM(_xlfn.XLOOKUP(R151:AF151,增益!$A:$A,增益!$R:$R,0))</f>
        <v>1.87</v>
      </c>
      <c r="BL151" s="30" cm="1">
        <f t="array" ref="BL151">IF(VLOOKUP($Q151,武学奇术!$A:$ZZ,24,FALSE)=1,100%,MIN(40%,$B$10+VLOOKUP($Q151,武学奇术!$A:$ZZ,19,FALSE)+SUM(_xlfn.XLOOKUP(R151:AF151,增益!$A:$A,增益!$S:$S,0)))+$B$12+SUM(_xlfn.XLOOKUP(R151:AF151,增益!$A:$A,增益!$V:$V,0)))*IF(VLOOKUP($Q151,武学奇术!$A:$ZZ,23,FALSE)=1,0,1)</f>
        <v>0.0895</v>
      </c>
      <c r="BM151" s="30" cm="1">
        <f t="array" ref="BM151">1+$B$14+VLOOKUP($Q151,武学奇术!$A:$ZZ,20,FALSE)+SUM(_xlfn.XLOOKUP(R151:AF151,增益!$A:$A,增益!$T:$T,0))</f>
        <v>1.35</v>
      </c>
      <c r="BN151" s="30">
        <f>MIN((1-BL151)*BI151,BI151*BJ151)</f>
        <v>0.85203376</v>
      </c>
      <c r="BO151" s="30">
        <f>1-BL151-BN151-BP151</f>
        <v>0.03224384</v>
      </c>
      <c r="BP151" s="30">
        <f>IF(VLOOKUP($Q151,武学奇术!$A:$ZZ,22,FALSE)=1,0,(1-$BI151))*(1-$BL151)</f>
        <v>0.0262224</v>
      </c>
      <c r="BQ151" s="30" cm="1">
        <f t="array" ref="BQ151">SUM(_xlfn.XLOOKUP(R151:AF151,增益!$A:$A,增益!$W:$W,0))+$I$5</f>
        <v>0.11</v>
      </c>
    </row>
  </sheetData>
  <mergeCells count="33">
    <mergeCell ref="H1:I1"/>
    <mergeCell ref="C8:G8"/>
    <mergeCell ref="C15:D15"/>
    <mergeCell ref="C21:D21"/>
    <mergeCell ref="C22:D22"/>
    <mergeCell ref="C23:D23"/>
    <mergeCell ref="C24:D24"/>
    <mergeCell ref="A23:A24"/>
    <mergeCell ref="C51:C52"/>
    <mergeCell ref="C78:C79"/>
    <mergeCell ref="D31:D37"/>
    <mergeCell ref="D50:D52"/>
    <mergeCell ref="D64:D68"/>
    <mergeCell ref="D78:D80"/>
    <mergeCell ref="E33:E41"/>
    <mergeCell ref="E43:E50"/>
    <mergeCell ref="E52:E59"/>
    <mergeCell ref="E68:E73"/>
    <mergeCell ref="E78:E82"/>
    <mergeCell ref="H8:H9"/>
    <mergeCell ref="H10:H11"/>
    <mergeCell ref="H12:H13"/>
    <mergeCell ref="H14:H15"/>
    <mergeCell ref="H16:H17"/>
    <mergeCell ref="H18:H19"/>
    <mergeCell ref="H20:H21"/>
    <mergeCell ref="I10:J11"/>
    <mergeCell ref="I8:J9"/>
    <mergeCell ref="I12:J13"/>
    <mergeCell ref="I14:J15"/>
    <mergeCell ref="I16:J17"/>
    <mergeCell ref="I18:J19"/>
    <mergeCell ref="I20:J21"/>
  </mergeCells>
  <dataValidations count="7">
    <dataValidation type="list" allowBlank="1" showInputMessage="1" showErrorMessage="1" sqref="G1">
      <formula1>"鸣金,裂石,牵丝,破竹"</formula1>
    </dataValidation>
    <dataValidation type="list" allowBlank="1" showInputMessage="1" showErrorMessage="1" sqref="G2">
      <formula1>"连星"</formula1>
    </dataValidation>
    <dataValidation type="list" allowBlank="1" showInputMessage="1" showErrorMessage="1" sqref="R9:U9 W9:AB9 R10:U10 X10:AB10 R11:U11 V11 X11:AB11 AC11:AF11 R12:U12 V12 W12 X12:AB12 AC12:AF12 R13:AB13 AC13:AF13 S14 W14 AA14 AC14:AF14 S15 AA15 AC15:AF15 R16 S16 T16 V16 AA16 R17 S17 T17 V17 W17 AA17 R18 S18 T18 V18:W18 Y18:Z18 AA18 V19 V20 R21 V21 W21 V22 W22 S23 T23 W23 X23 S24:T24 W24 X24 S25 T25 W25 X25 X26 AA26 X27 AA27 X28 AA28 U29 V29 W29 X29 AA29 V30 W30 V31 W31 V32 V33 V34 X37 AA37 X38 AA38 X39 AA39 U40 V40 W40 X40 AA40 V41 W41 AB41:AF41 V42 W42 AB42:AF42 V43 AB43:AF43 V44 AB44:AF44 V45 AB45:AF45 V46 AB46:AF46 V47 AB47:AF47 R48 S48:T48 U48 V48 W48 X48 Y48 Z48 AA48 AB48:AF48 R49 S49 T49 U49 V49 W49 X49 Y49 Z49 AA49 AB49:AF49 R50 U50 V50 W50 X50 Y50 Z50 AA50 AB50:AF50 R51 U51 V51 W51 X51 Y51 Z51 AA51 AB51:AF51 R52 U52 V52 W52 X52 Y52 Z52 AA52 AB52:AF52 R53 U53 V53 W53 X53 Y53 Z53 AA53 AB53:AF53 R54 S54:T54 U54 W54 X54 Y54 Z54 AA54 AB54:AF54 R55 S55:T55 U55 W55 X55 Y55 Z55 AA55 AB55:AF55 R56 S56:T56 U56 W56 X56 Y56 Z56 AA56 AB56 AC56:AF56 U57 X57 AA57 AB57:AF57 U58 X58 AA58 AB58:AF58 U59 X59 AA59 AC59:AF59 U60 X60 AA60 AC60:AF60 U61 X61 AA61 AC61:AF61 U62 X62 AA62 AC62:AF62 R63:T63 U63 W63 X63 AA63 AC63:AF63 U64 X64 AA64 AB64:AF64 U65 X65 AA65 AB65:AF65 U66 X66 AA66 AC66:AF66 U67 X67 AA67 AC67:AF67 R68:T68 U68 X68 AA68 AC68:AF68 R69 U69 X69 AA69 AC69:AF69 R70 U70 V70 W70 X70 AA70 AC70:AF70 R71 U71 V71 W71 X71 Y71 Z71 AA71 AB71 AC71:AF71 R72 S72 T72 U72 V72 W72 X72 Y72 Z72 AA72 AB72:AF72 R73 S73:T73 U73 V73 W73 X73 Y73 Z73 AA73 AB73 AC73:AF73 R74 S74:T74 U74 V74 W74 X74 Y74 Z74 AA74 AB74 AC74:AF74 S75:T75 U75 X75 AB75 S76:T76 X76 W77 X77 W78 AA78 AA79 AA80 AA81 AA82 AA83 AA84 AA85 AA86 AA87 AA88 S89:T89 U89 V89 W89 X89 AA89 S90 T90 U90 V90 W90 Y90 Z90 AA90 R91 U91 V91 W91 Y91 Z91 AA91 R92 U92 V92 W92 Y92 Z92 AA92 R93 S93:T93 U93 V93 W93 Y93 Z93 AA93 R94 S94:T94 U94 V94 W94 X94 Y94 Z94 AA94 R95 S95:T95 U95 V95 W95 X95 Y95 Z95 AA95 R96 S96:T96 U96 V96 W96 X96 AA96 U97 X97 AA97 U98 AA98 U99 AA99 U100 AA100 AC100:AF100 U101 AA101 AB101 AC101:AF101 U102 AA102 AB102 AC102:AF102 R103:T103 U103 W103 AA103 AB103 AC103 AD103 AE103 AF103 U104 X104 Y104 Z104 AA104 AB104 AC104 AD104 AE104 AF104 U105 AA105 AB105 AC105 AD105 AE105 AF105 U106 AA106 AB106 AC106 AD106 AE106 AF106 U107 AA107 AB107 AC107 AD107 AE107 AF107 R108:T108 U108 AA108 AB108 AC108 AD108 AE108 AF108 R109 S109:T109 U109 AA109 AB109 AC109 AD109 AE109 AF109 R110:T110 U110 V110 W110 AA110 AB110 AC110 AD110 AE110 AF110 R111 S111:T111 U111 V111 W111 X111 Y111 Z111 AA111 AB111 AC111 AD111 AE111 AF111 R112 S112 T112 U112 V112 W112 X112 Y112 Z112 AA112 AB112 AC112 AD112 AE112 AF112 R113 S113:T113 U113 V113 W113 X113 Y113 Z113 AA113 AB113 AC113 AD113 AE113 AF113 R114 S114:T114 V114 W114 X114 Y114 Z114 AA114 AB114 AC114 AD114 AE114 AF114 R115 S115:T115 V115 W115 X115 Y115 Z115 AA115 AB115 AC115 AD115 AE115 AF115 R116 S116:T116 U116 V116 W116 X116 Y116:Z116 AA116 AB116 AC116 AD116 AE116 AF116 R117 S117:T117 U117 V117 W117 X117 Y117:Z117 AA117 AB117 AC117 AD117 AE117 AF117 U118 X118 AA118 AB118 AC118 AD118 AE118 AF118 U119 X119 AA119 AB119 AC119 AD119 AE119 AF119 R120:T120 U120 V120 W120 X120 AA120 AB120 AC120 AD120 AE120 AF120 R121:T121 U121 V121 W121 X121 AA121 AB121 AC121 AD121 AE121 AF121 R122:T122 U122 V122 W122 X122 AA122 AB122 AC122 AD122 AE122 AF122 U123 X123 AA123 AB123 AC123 AD123 AE123 AF123 U124 X124 AA124 AB124 AC124 AD124 AE124 AF124 R125:T125 U125 V125 W125 X125 AA125 AB125 AC125 AD125 AE125 AF125 R126:T126 U126 V126 W126 X126 AA126 AB126 AC126 AD126 AE126 AF126 R127:T127 U127 V127 W127 X127 AA127 AB127 AC127:AF127 R128 S128:T128 U128 V128 W128 X128 Y128 Z128 AA128 AB128 AC128:AF128 R129 S129 T129 U129 V129 W129 X129 Y129 Z129 AA129 AB129 AC129:AF129 R130 S130:T130 U130 V130 W130 X130 Y130 Z130 AA130 AB130 AC130:AF130 AC131:AF131 AC132:AF132 R133 S133 T133 U133 V133 W133 X133 Y133 Z133 AA133 AB133:AF133 R134 S134 T134 U134 V134 W134 X134 Y134 Z134 AA134 AB134:AF134 R135 S135 T135 U135 V135 W135 X135 Y135 Z135 AA135 AB135:AF135 R136 S136 T136 U136 V136 W136 X136 Y136 Z136 AA136 AB136:AF136 R142:X142 AA142:AF142 R143:X143 AA143:AF143 R144:X144 Y144:Z144 AA144 AB144 AC144:AF144 R145:AF145 R146:W146 X146 Y146:AF146 R147:W147 X147 Y147:AF147 R148 S148 T148 U148 V148 W148 X148 Y148 Z148 AA148 AB148 AC148 AD148 AE148 AF148 R149 S149 T149 U149 V149 W149 X149 Y149 Z149 AA149 AB149 AC149 AD149 AE149 AF149 R150 S150 T150 U150 V150 W150 X150 Y150:Z150 AA150 AB150 AC150 AD150 AE150 AF150 R151 S151 T151 U151 V151 W151 X151 Y151 Z151 AA151 AB151 AC151 AD151 AE151 AF151 R14:R15 R19:R20 R22:R25 R75:R76 R89:R90 R131:R132 S131:S132 T131:T132 U16:U18 U23:U25 U26:U28 U30:U36 U37:U39 U41:U47 U76:U88 U114:U115 U131:U132 V9:V10 V14:V15 V23:V25 V35:V36 V54:V69 V75:V76 V77:V88 V97:V103 V104:V109 V118:V119 V123:V124 V131:V132 W10:W11 W15:W16 W19:W20 W32:W36 W43:W44 W45:W47 W57:W58 W59:W60 W61:W62 W64:W65 W66:W67 W68:W69 W75:W76 W79:W80 W81:W82 W83:W84 W85:W86 W87:W88 W97:W98 W99:W100 W101:W102 W104:W105 W106:W107 W108:W109 W118:W119 W123:W124 W131:W132 X18:X22 X30:X32 X33:X36 X41:X43 X44:X47 X78:X80 X81:X82 X83:X86 X87:X88 X90:X93 X98:X103 X105:X110 X131:X132 Y19:Y25 Y26:Y29 Y30:Y36 Y37:Y40 Y41:Y47 Y57:Y58 Y64:Y65 Y75:Y89 Y131:Y132 Z19:Z25 Z26:Z29 Z30:Z36 Z37:Z40 Z41:Z47 Z57:Z58 Z64:Z65 Z75:Z89 Z131:Z132 AA19:AA25 AA30:AA31 AA32:AA36 AA41:AA42 AA43:AA47 AA75:AA77 AA131:AA132 AB14:AB18 AB19:AB25 AB59:AB63 AB66:AB70 AB76:AB90 AB91:AB100 AB131:AB132 AC16:AF20 AC21:AF25 S69:T71 Y120:Z122 R137:AF141 AB26:AF30 R2:AF8 AC9:AF10 T14:U15 S19:U22 X14:Z17 R26:T28 R29:T31 AB31:AF40 V26:W28 R37:T39 R40:T42 R32:T36 S50:T51 S52:T53 Y118:Z119 Y142:Z143 R57:T58 R59:T60 R61:T62 R77:T78 R79:T80 R81:T82 R83:T84 R85:T86 R87:T88 R97:T98 R99:T100 R101:T102 R123:T124 V37:W39 R64:T65 R66:T67 R104:T105 R106:T107 R118:T119 R43:T47 Y59:Z63 Y66:Z70 AC75:AF89 AC90:AF99 S91:T92 Y123:Z124 Y96:Z103 Y105:Z110 Y125:Z127">
      <formula1>增益!$A:$A</formula1>
    </dataValidation>
    <dataValidation type="list" allowBlank="1" showInputMessage="1" showErrorMessage="1" sqref="D19 D20 D16:D18 F15:F17">
      <formula1>"√,×"</formula1>
    </dataValidation>
    <dataValidation type="list" allowBlank="1" showInputMessage="1" showErrorMessage="1" sqref="Q19 Q20 Q21 Q28 Q29 Q30 Q31 Q32 Q33 Q34 Q35 Q36 Q40 Q41 Q42 Q43 Q44 Q45 Q46 Q47 Q48 Q49 Q50 Q51 Q52 Q53 Q54 Q55 Q56 Q59 Q60 Q61 Q62 Q63 Q67 Q68 Q69 Q70 Q71 Q72 Q73 Q74 Q75 Q76 Q79 Q80 Q81 Q82 Q86 Q87 Q88 Q89 Q90 Q91 Q92 Q93 Q94 Q95 Q96 Q99 Q100 Q101 Q102 Q103 Q107 Q108 Q109 Q110 Q111 Q112 Q113 Q114 Q115 Q116 Q117 Q120 Q121 Q122 Q126 Q127 Q128 Q129 Q130 Q133 Q134 Q135 Q136 Q148 Q149 Q150 Q151 Q2:Q8 Q9:Q13 Q14:Q18 Q22:Q23 Q24:Q25 Q26:Q27 Q37:Q39 Q57:Q58 Q64:Q66 Q77:Q78 Q83:Q85 Q97:Q98 Q104:Q106 Q118:Q119 Q123:Q125 Q131:Q132 Q137:Q147">
      <formula1>武学奇术!$A:$A</formula1>
    </dataValidation>
    <dataValidation type="list" allowBlank="1" showInputMessage="1" showErrorMessage="1" sqref="C22:D22">
      <formula1>"大唐歌,断石之构"</formula1>
    </dataValidation>
    <dataValidation type="list" allowBlank="1" showInputMessage="1" showErrorMessage="1" sqref="C24:D24">
      <formula1>"易水歌"</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Q151"/>
  <sheetViews>
    <sheetView workbookViewId="0">
      <selection activeCell="F33" sqref="F33"/>
    </sheetView>
  </sheetViews>
  <sheetFormatPr defaultColWidth="9" defaultRowHeight="13.5"/>
  <cols>
    <col min="1" max="1" width="12.875" customWidth="1"/>
    <col min="4" max="4" width="9.375"/>
    <col min="11" max="15" width="12.625" style="31" customWidth="1"/>
    <col min="17" max="17" width="24.625" style="34" customWidth="1"/>
    <col min="18" max="32" width="9" style="34"/>
    <col min="34" max="34" width="9" style="30"/>
    <col min="35" max="35" width="9" style="31"/>
    <col min="36" max="36" width="9" style="30"/>
    <col min="37" max="37" width="9" style="31"/>
    <col min="38" max="39" width="9" style="30"/>
    <col min="42" max="44" width="9" style="35"/>
    <col min="47" max="48" width="9" style="35"/>
    <col min="61" max="65" width="9" style="30"/>
    <col min="66" max="67" width="9.00833333333333" style="30" customWidth="1"/>
    <col min="68" max="69" width="9" style="30"/>
  </cols>
  <sheetData>
    <row r="1" spans="1:69">
      <c r="A1" s="36"/>
      <c r="B1" s="37" t="s">
        <v>0</v>
      </c>
      <c r="C1" s="37" t="s">
        <v>1</v>
      </c>
      <c r="D1" s="37" t="s">
        <v>2</v>
      </c>
      <c r="E1" s="38" t="s">
        <v>3</v>
      </c>
      <c r="F1" s="39" t="s">
        <v>4</v>
      </c>
      <c r="G1" s="40" t="s">
        <v>5</v>
      </c>
      <c r="H1" s="39" t="s">
        <v>6</v>
      </c>
      <c r="I1" s="40"/>
      <c r="K1" s="41" t="s">
        <v>7</v>
      </c>
      <c r="L1" s="41" t="s">
        <v>8</v>
      </c>
      <c r="M1" s="41" t="s">
        <v>9</v>
      </c>
      <c r="N1" s="41" t="s">
        <v>10</v>
      </c>
      <c r="O1" s="41" t="s">
        <v>11</v>
      </c>
      <c r="P1" s="42" t="s">
        <v>12</v>
      </c>
      <c r="Q1" s="43" t="s">
        <v>13</v>
      </c>
      <c r="R1" s="43" t="s">
        <v>14</v>
      </c>
      <c r="S1" s="43" t="s">
        <v>15</v>
      </c>
      <c r="T1" s="43" t="s">
        <v>16</v>
      </c>
      <c r="U1" s="43" t="s">
        <v>17</v>
      </c>
      <c r="V1" s="43" t="s">
        <v>18</v>
      </c>
      <c r="W1" s="43" t="s">
        <v>19</v>
      </c>
      <c r="X1" s="43" t="s">
        <v>20</v>
      </c>
      <c r="Y1" s="43" t="s">
        <v>21</v>
      </c>
      <c r="Z1" s="43" t="s">
        <v>22</v>
      </c>
      <c r="AA1" s="43" t="s">
        <v>23</v>
      </c>
      <c r="AB1" s="43" t="s">
        <v>24</v>
      </c>
      <c r="AC1" s="43" t="s">
        <v>25</v>
      </c>
      <c r="AD1" s="43" t="s">
        <v>26</v>
      </c>
      <c r="AE1" s="43" t="s">
        <v>27</v>
      </c>
      <c r="AF1" s="43" t="s">
        <v>28</v>
      </c>
      <c r="AG1" t="s">
        <v>29</v>
      </c>
      <c r="AH1" s="30" t="s">
        <v>30</v>
      </c>
      <c r="AI1" s="31" t="s">
        <v>31</v>
      </c>
      <c r="AJ1" s="30" t="s">
        <v>32</v>
      </c>
      <c r="AK1" s="31" t="s">
        <v>33</v>
      </c>
      <c r="AL1" s="30" t="s">
        <v>34</v>
      </c>
      <c r="AM1" s="30" t="s">
        <v>35</v>
      </c>
      <c r="AN1" t="s">
        <v>36</v>
      </c>
      <c r="AO1" t="s">
        <v>37</v>
      </c>
      <c r="AP1" s="35" t="s">
        <v>38</v>
      </c>
      <c r="AQ1" s="35" t="s">
        <v>39</v>
      </c>
      <c r="AR1" s="35" t="s">
        <v>40</v>
      </c>
      <c r="AS1" t="s">
        <v>41</v>
      </c>
      <c r="AT1" t="s">
        <v>42</v>
      </c>
      <c r="AU1" s="35" t="s">
        <v>43</v>
      </c>
      <c r="AV1" s="35" t="s">
        <v>44</v>
      </c>
      <c r="AW1" t="s">
        <v>45</v>
      </c>
      <c r="AX1" t="s">
        <v>46</v>
      </c>
      <c r="AY1" s="35" t="s">
        <v>47</v>
      </c>
      <c r="AZ1" s="35" t="s">
        <v>48</v>
      </c>
      <c r="BA1" t="s">
        <v>49</v>
      </c>
      <c r="BB1" t="s">
        <v>50</v>
      </c>
      <c r="BC1" s="35" t="s">
        <v>51</v>
      </c>
      <c r="BD1" s="35" t="s">
        <v>52</v>
      </c>
      <c r="BE1" t="s">
        <v>53</v>
      </c>
      <c r="BF1" t="s">
        <v>54</v>
      </c>
      <c r="BG1" s="35" t="s">
        <v>55</v>
      </c>
      <c r="BH1" s="35" t="s">
        <v>56</v>
      </c>
      <c r="BI1" s="30" t="s">
        <v>57</v>
      </c>
      <c r="BJ1" s="30" t="s">
        <v>58</v>
      </c>
      <c r="BK1" s="30" t="s">
        <v>59</v>
      </c>
      <c r="BL1" s="30" t="s">
        <v>60</v>
      </c>
      <c r="BM1" s="30" t="s">
        <v>61</v>
      </c>
      <c r="BN1" s="30" t="s">
        <v>62</v>
      </c>
      <c r="BO1" s="30" t="s">
        <v>63</v>
      </c>
      <c r="BP1" s="30" t="s">
        <v>64</v>
      </c>
      <c r="BQ1" s="30" t="s">
        <v>65</v>
      </c>
    </row>
    <row r="2" spans="1:69">
      <c r="A2" s="44" t="s">
        <v>66</v>
      </c>
      <c r="B2" s="34"/>
      <c r="C2" s="34"/>
      <c r="D2" s="34"/>
      <c r="E2" s="45"/>
      <c r="F2" s="46" t="s">
        <v>67</v>
      </c>
      <c r="G2" s="47" t="s">
        <v>68</v>
      </c>
      <c r="H2" s="48" t="s">
        <v>69</v>
      </c>
      <c r="I2" s="11">
        <f>620*(1-IF(F17="√",0.06,0)-IF(D20="√",0.04,0))</f>
        <v>620</v>
      </c>
      <c r="K2" s="41">
        <f t="shared" ref="K2:K24" si="0">($L2*$BN2+$M2*$BL2+$N2*$BO2+$O2*$BP2)</f>
        <v>21491.9957151766</v>
      </c>
      <c r="L2" s="41">
        <f>((($AN2+$AO2)/2*$AH2+$AI2)*(1+$AP2)*(1+$AQ2)+(($AS2+$AT2)/2*IF($G$1="鸣金",$AJ2,$AH2)+IF($G$1="鸣金",$AK2*1.5,0))*(1+$AU2)*(1+$AV2)+(($AW2+$AX2)/2*IF($G$1="裂石",$AJ2,$AH2)+IF($G$1="裂石",$AK2*1.5,0))*(1+$AY2)*(1+$AZ2)+(($BA2+$BB2)/2*IF($G$1="牵丝",$AJ2,$AH2)+IF($G$1="牵丝",$AK2*1.5,0))*(1+$BC2)*(1+$BD2)+(($BE2+$BF2)/2*IF($G$1="破竹",$AJ2,$AH2)+IF($G$1="破竹",$AK2*1.5,0))*(1+$BG2)*(1+$BH2))*(1+$AL2)*$BK2*$P2*(1+IF(VLOOKUP($Q2,武学奇术!$A:$ZZ,30,FALSE)="回旋伞",$B$21,0))*(1+$BQ2)</f>
        <v>22386.0306239385</v>
      </c>
      <c r="M2" s="41">
        <f>(($AO2*$AH2+$AI2)*(1+$AP2)*(1+$AQ2)+($AT2*IF($G$1="鸣金",$AJ2,$AH2)+IF($G$1="鸣金",$AK2*1.5,0))*(1+$AU2)*(1+$AV2)+($AX2*IF($G$1="裂石",$AJ2,$AH2)+IF($G$1="裂石",$AK2*1.5,0))*(1+$AY2)*(1+$AZ2)+($BB2*IF($G$1="牵丝",$AJ2,$AH2)+IF($G$1="牵丝",$AK2*1.5,0))*(1+$BC2)*(1+$BD2)+($BF2*IF($G$1="破竹",$AJ2,$AH2)+IF($G$1="破竹",$AK2*1.5,0))*(1+$BG2)*(1+$BH2))*(1+$AL2)*$BM2*$P2*(1+IF(VLOOKUP($Q2,武学奇术!$A:$ZZ,30,FALSE)="回旋伞",$B$21,0))*(1+$BQ2)</f>
        <v>19311.3451316532</v>
      </c>
      <c r="N2" s="41">
        <f>((($AN2+$AO2)/2*$AH2+$AI2)*(1+$AP2)*(1+$AQ2)+(($AS2+$AT2)/2*IF($G$1="鸣金",$AJ2,$AH2)+IF($G$1="鸣金",$AK2*1.5,0))*(1+$AU2)*(1+$AV2)+(($AW2+$AX2)/2*IF($G$1="裂石",$AJ2,$AH2)+IF($G$1="裂石",$AK2*1.5,0))*(1+$AY2)*(1+$AZ2)+(($BA2+$BB2)/2*IF($G$1="牵丝",$AJ2,$AH2)+IF($G$1="牵丝",$AK2*1.5,0))*(1+$BC2)*(1+$BD2)+(($BE2+$BF2)/2*IF($G$1="破竹",$AJ2,$AH2)+IF($G$1="破竹",$AK2*1.5,0))*(1+$BG2)*(1+$BH2))*(1+$AL2)*$P2*(1+IF(VLOOKUP($Q2,武学奇术!$A:$ZZ,30,FALSE)="回旋伞",$B$21,0))*(1+$BQ2)</f>
        <v>12576.4216988418</v>
      </c>
      <c r="O2" s="41">
        <f>((($AN2*$AH2+$AI2)*(1+$AP2)*(1+$AQ2)+($AS2*IF($G$1="鸣金",$AJ2,$AH2)+IF($G$1="鸣金",$AK2*1.5,0))*(1+$AU2)*(1+$AV2)+($AW2*IF($G$1="裂石",$AJ2,$AH2)+IF($G$1="裂石",$AK2*1.5,0))*(1+$AY2)*(1+$AZ2)+($BA2*IF($G$1="牵丝",$AJ2,$AH2)+IF($G$1="牵丝",$AK2*1.5,0))*(1+$BC2)*(1+$BD2)+($BE2*IF($G$1="破竹",$AJ2,$AH2)+IF($G$1="破竹",$AK2*1.5,0))*(1+$BG2)*(1+$BH2))*(1+$AL2))*$P2*(1+IF(VLOOKUP($Q2,武学奇术!$A:$ZZ,30,FALSE)="回旋伞",$B$21,0))*(1+$BQ2)</f>
        <v>10848.1433001628</v>
      </c>
      <c r="P2" s="42">
        <v>1</v>
      </c>
      <c r="Q2" s="43" t="s">
        <v>70</v>
      </c>
      <c r="R2" s="43" t="s">
        <v>71</v>
      </c>
      <c r="S2" s="43" t="s">
        <v>71</v>
      </c>
      <c r="T2" s="43" t="s">
        <v>72</v>
      </c>
      <c r="U2" s="43" t="s">
        <v>73</v>
      </c>
      <c r="V2" s="43" t="s">
        <v>74</v>
      </c>
      <c r="W2" s="43" t="s">
        <v>75</v>
      </c>
      <c r="X2" s="43" t="s">
        <v>71</v>
      </c>
      <c r="Y2" s="43" t="s">
        <v>71</v>
      </c>
      <c r="Z2" s="43" t="s">
        <v>71</v>
      </c>
      <c r="AA2" s="43" t="s">
        <v>71</v>
      </c>
      <c r="AB2" s="43" t="s">
        <v>71</v>
      </c>
      <c r="AC2" s="43" t="s">
        <v>71</v>
      </c>
      <c r="AD2" s="43" t="s">
        <v>71</v>
      </c>
      <c r="AE2" s="43" t="s">
        <v>71</v>
      </c>
      <c r="AF2" s="43" t="s">
        <v>76</v>
      </c>
      <c r="AG2" t="str">
        <f>VLOOKUP($Q2,武学奇术!$A:$ZZ,25,FALSE)</f>
        <v>群体奇术</v>
      </c>
      <c r="AH2" s="30">
        <f>VLOOKUP($Q2,武学奇术!$A:$ZZ,26,FALSE)</f>
        <v>1.4904</v>
      </c>
      <c r="AI2" s="31">
        <f>VLOOKUP($Q2,武学奇术!$A:$ZZ,27,FALSE)*(1+IF(OR($AG2=$F$4,$AG2=$F$5),$B$22,0))</f>
        <v>368</v>
      </c>
      <c r="AJ2" s="30">
        <f>VLOOKUP($Q2,武学奇术!$A:$ZZ,28,FALSE)</f>
        <v>2.2353</v>
      </c>
      <c r="AK2" s="31">
        <f>VLOOKUP($Q2,武学奇术!$A:$ZZ,29,FALSE)*(1+IF(OR($AG2=$F$4,$AG2=$F$5),$B$22,0))</f>
        <v>0</v>
      </c>
      <c r="AL2" s="30" cm="1">
        <f t="array" ref="AL2">$G$3+IFERROR(VLOOKUP($AG2,$F$4:$G$7,2,FALSE),0)+VLOOKUP($Q2,武学奇术!$A:$ZZ,2,FALSE)+SUM(_xlfn.XLOOKUP($R2:$AF2,增益!$A:$A,增益!$B:$B,0))</f>
        <v>0.1837</v>
      </c>
      <c r="AM2" s="30" cm="1">
        <f t="array" ref="AM2">VLOOKUP($Q2,武学奇术!$A:$ZZ,5,FALSE)+SUM(_xlfn.XLOOKUP($R2:$AF2,增益!$A:$A,增益!$E:$E,0))</f>
        <v>0</v>
      </c>
      <c r="AN2" cm="1">
        <f t="array" ref="AN2">$D$10*(1+$AM2)+VLOOKUP($Q2,武学奇术!$A:$ZZ,3,FALSE)+SUM(_xlfn.XLOOKUP($R2:$AF2,增益!$A:$A,增益!$C:$C,0))-$I$2</f>
        <v>3483.8</v>
      </c>
      <c r="AO2" cm="1">
        <f t="array" ref="AO2">$E$10*(1+$AM2)+VLOOKUP($Q2,武学奇术!$A:$ZZ,4,FALSE)+SUM(_xlfn.XLOOKUP($R2:$AF2,增益!$A:$A,增益!$D:$D,0))-$I$2</f>
        <v>3483.8</v>
      </c>
      <c r="AP2" s="35" cm="1">
        <f t="array" ref="AP2">IF($F$10-$I$3+VLOOKUP($Q2,武学奇术!$A:$ZZ,6,FALSE)+SUM(_xlfn.XLOOKUP(R2:AF2,增益!$A:$A,增益!$F:$F,0))&gt;0,($F$10-$I$3+VLOOKUP($Q2,武学奇术!$A:$ZZ,6,FALSE)+SUM(_xlfn.XLOOKUP(R2:AF2,增益!$A:$A,增益!$F:$F,0)))/200,($F$10-$I$3+VLOOKUP($Q2,武学奇术!$A:$ZZ,6,FALSE)+SUM(_xlfn.XLOOKUP(R2:AF2,增益!$A:$A,增益!$F:$F,0)))/100)</f>
        <v>0.2025</v>
      </c>
      <c r="AQ2" s="35" cm="1">
        <f t="array" ref="AQ2">$G$10+VLOOKUP($Q2,武学奇术!$A:$ZZ,7,FALSE)+SUM(_xlfn.XLOOKUP(R2:AF2,增益!$A:$A,增益!$G:$G,0))</f>
        <v>0.028</v>
      </c>
      <c r="AR2" s="30" cm="1">
        <f t="array" ref="AR2">VLOOKUP($Q2,武学奇术!$A:$ZZ,8,FALSE)+SUM(_xlfn.XLOOKUP(R2:AF2,增益!$A:$A,增益!$H:$H,0))</f>
        <v>0</v>
      </c>
      <c r="AS2">
        <f t="shared" ref="AS2:AS65" si="1">$D$11*(1+$AR2)</f>
        <v>0</v>
      </c>
      <c r="AT2">
        <f t="shared" ref="AT2:AT65" si="2">$E$11*(1+$AR2)</f>
        <v>0</v>
      </c>
      <c r="AU2" s="35" cm="1">
        <f t="array" ref="AU2">IF($F$11-$I$4+VLOOKUP($Q2,武学奇术!$A:$ZZ,9,FALSE)+SUM(_xlfn.XLOOKUP(R2:AF2,增益!$A:$A,增益!$I:$I,0))&gt;0,($F$11-$I$4+VLOOKUP($Q2,武学奇术!$A:$ZZ,9,FALSE)+SUM(_xlfn.XLOOKUP(R2:AF2,增益!$A:$A,增益!$I:$I,0)))/200,($F$11-$I$4+VLOOKUP($Q2,武学奇术!$A:$ZZ,9,FALSE)+SUM(_xlfn.XLOOKUP(R2:AF2,增益!$A:$A,增益!$I:$I,0)))/100)</f>
        <v>-0.3</v>
      </c>
      <c r="AV2" s="35" cm="1">
        <f t="array" ref="AV2">$G$11+VLOOKUP($Q2,武学奇术!$A:$ZZ,10,FALSE)+SUM(_xlfn.XLOOKUP(R2:AF2,增益!$A:$A,增益!$J:$J,0))</f>
        <v>0</v>
      </c>
      <c r="AW2">
        <f t="shared" ref="AW2:AW65" si="3">$D$12*(1+$AR2)</f>
        <v>0</v>
      </c>
      <c r="AX2">
        <f t="shared" ref="AX2:AX65" si="4">$E$12*(1+$AR2)</f>
        <v>0</v>
      </c>
      <c r="AY2" s="35" cm="1">
        <f t="array" ref="AY2">IF($F$12-$I$4+VLOOKUP($Q2,武学奇术!$A:$ZZ,11,FALSE)+SUM(_xlfn.XLOOKUP(R2:AF2,增益!$A:$A,增益!$K:$K,0))&gt;0,($F$12-$I$4+VLOOKUP($Q2,武学奇术!$A:$ZZ,11,FALSE)+SUM(_xlfn.XLOOKUP(R2:AF2,增益!$A:$A,增益!$K:$K,0)))/200,($F$12-$I$4+VLOOKUP($Q2,武学奇术!$A:$ZZ,11,FALSE)+SUM(_xlfn.XLOOKUP(R2:AF2,增益!$A:$A,增益!$K:$K,0)))/100)</f>
        <v>-0.3</v>
      </c>
      <c r="AZ2" s="35" cm="1">
        <f t="array" ref="AZ2">$G$12+VLOOKUP($Q2,武学奇术!$A:$ZZ,12,FALSE)+SUM(_xlfn.XLOOKUP(R2:AF2,增益!$A:$A,增益!$L:$L,0))</f>
        <v>0</v>
      </c>
      <c r="BA2">
        <f t="shared" ref="BA2:BA65" si="5">$D$13*(1+$AR2)</f>
        <v>0</v>
      </c>
      <c r="BB2">
        <f t="shared" ref="BB2:BB65" si="6">$E$13*(1+$AR2)</f>
        <v>0</v>
      </c>
      <c r="BC2" s="35" cm="1">
        <f t="array" ref="BC2">IF($F$13-$I$4+VLOOKUP($Q2,武学奇术!$A:$ZZ,13,FALSE)+SUM(_xlfn.XLOOKUP(R2:AF2,增益!$A:$A,增益!$M:$M,0))&gt;0,($F$13-$I$4+VLOOKUP($Q2,武学奇术!$A:$ZZ,13,FALSE)+SUM(_xlfn.XLOOKUP(R2:AF2,增益!$A:$A,增益!$K:$K,0)))/200,($F$13-$I$4+VLOOKUP($Q2,武学奇术!$A:$ZZ,13,FALSE)+SUM(_xlfn.XLOOKUP(R2:AF2,增益!$A:$A,增益!$M:$M,0)))/100)</f>
        <v>-0.3</v>
      </c>
      <c r="BD2" s="35" cm="1">
        <f t="array" ref="BD2">$G$13+VLOOKUP($Q2,武学奇术!$A:$ZZ,14,FALSE)+SUM(_xlfn.XLOOKUP(R2:AF2,增益!$A:$A,增益!$N:$N,0))</f>
        <v>0</v>
      </c>
      <c r="BE2">
        <f t="shared" ref="BE2:BE65" si="7">$D$14*(1+$AR2)</f>
        <v>538</v>
      </c>
      <c r="BF2">
        <f t="shared" ref="BF2:BF65" si="8">$E$14*(1+$AR2)</f>
        <v>1561.4</v>
      </c>
      <c r="BG2" s="35" cm="1">
        <f t="array" ref="BG2">IF($F$14-$I$4+VLOOKUP($Q2,武学奇术!$A:$ZZ,15,FALSE)+SUM(_xlfn.XLOOKUP(R2:AF2,增益!$A:$A,增益!$O:$O,0))&gt;0,($F$14-$I$4+VLOOKUP($Q2,武学奇术!$A:$ZZ,15,FALSE)+SUM(_xlfn.XLOOKUP(R2:AF2,增益!$A:$A,增益!$O:$O,0)))/200,($F$14-$I$4+VLOOKUP($Q2,武学奇术!$A:$ZZ,15,FALSE)+SUM(_xlfn.XLOOKUP(R2:AF2,增益!$A:$A,增益!$O:$O,0)))/100)</f>
        <v>0</v>
      </c>
      <c r="BH2" s="35" cm="1">
        <f t="array" ref="BH2">$G$14+VLOOKUP($Q2,武学奇术!$A:$ZZ,16,FALSE)+SUM(_xlfn.XLOOKUP(R2:AF2,增益!$A:$A,增益!$P:$P,0))</f>
        <v>0.15</v>
      </c>
      <c r="BI2" s="30">
        <f>MIN(IF(VLOOKUP($Q2,武学奇术!$A:$ZZ,23,FALSE)=1,100%,$B$8),100%)</f>
        <v>0.9712</v>
      </c>
      <c r="BJ2" s="30" cm="1">
        <f t="array" ref="BJ2">IF(VLOOKUP($Q2,武学奇术!$A:$ZZ,23,FALSE)=1,100%,MIN(80%,$B$9+VLOOKUP($Q2,武学奇术!$A:$ZZ,17,FALSE)+SUM(_xlfn.XLOOKUP(R2:AF2,增益!$A:$A,增益!$Q:$Q,0)))+$B$11+SUM(_xlfn.XLOOKUP(R2:AF2,增益!$A:$A,增益!$U:$U,0)))*IF(VLOOKUP($Q2,武学奇术!$A:$ZZ,24,FALSE)=1,0,1)</f>
        <v>0.8773</v>
      </c>
      <c r="BK2" s="30" cm="1">
        <f t="array" ref="BK2">1+$B$13+VLOOKUP($Q2,武学奇术!$A:$ZZ,18,FALSE)+SUM(_xlfn.XLOOKUP(R2:AF2,增益!$A:$A,增益!$R:$R,0))</f>
        <v>1.78</v>
      </c>
      <c r="BL2" s="30" cm="1">
        <f t="array" ref="BL2">IF(VLOOKUP($Q2,武学奇术!$A:$ZZ,24,FALSE)=1,100%,MIN(40%,$B$10+VLOOKUP($Q2,武学奇术!$A:$ZZ,19,FALSE)+SUM(_xlfn.XLOOKUP(R2:AF2,增益!$A:$A,增益!$S:$S,0)))+$B$12+SUM(_xlfn.XLOOKUP(R2:AF2,增益!$A:$A,增益!$V:$V,0)))*IF(VLOOKUP($Q2,武学奇术!$A:$ZZ,23,FALSE)=1,0,1)</f>
        <v>0.0895</v>
      </c>
      <c r="BM2" s="30" cm="1">
        <f t="array" ref="BM2">1+$B$14+VLOOKUP($Q2,武学奇术!$A:$ZZ,20,FALSE)+SUM(_xlfn.XLOOKUP(R2:AF2,增益!$A:$A,增益!$T:$T,0))</f>
        <v>1.35</v>
      </c>
      <c r="BN2" s="30">
        <f t="shared" ref="BN2:BN65" si="9">MIN((1-BL2)*BI2,BI2*BJ2)</f>
        <v>0.85203376</v>
      </c>
      <c r="BO2" s="30">
        <f t="shared" ref="BO2:BO65" si="10">1-BL2-BN2-BP2</f>
        <v>0.03224384</v>
      </c>
      <c r="BP2" s="30">
        <f>IF(VLOOKUP($Q2,武学奇术!$A:$ZZ,22,FALSE)=1,0,(1-$BI2))*(1-$BL2)</f>
        <v>0.0262224</v>
      </c>
      <c r="BQ2" s="30" cm="1">
        <f t="array" ref="BQ2">SUM(_xlfn.XLOOKUP(R2:AF2,增益!$A:$A,增益!$W:$W,0))+$I$5</f>
        <v>0.11</v>
      </c>
    </row>
    <row r="3" spans="1:69">
      <c r="A3" s="49" t="s">
        <v>77</v>
      </c>
      <c r="B3" s="50"/>
      <c r="C3" s="50"/>
      <c r="D3" s="50"/>
      <c r="E3" s="51"/>
      <c r="F3" s="48" t="s">
        <v>34</v>
      </c>
      <c r="G3" s="52">
        <f>B16+1.5%+IF($D$16="√",8%,0)+IF($C$24="征人归",8%,0)</f>
        <v>0.1037</v>
      </c>
      <c r="H3" s="48" t="s">
        <v>78</v>
      </c>
      <c r="I3" s="11">
        <f>25-IF(F17="√",10,0)</f>
        <v>25</v>
      </c>
      <c r="K3" s="41">
        <f t="shared" si="0"/>
        <v>25214.6628240148</v>
      </c>
      <c r="L3" s="41">
        <f>((($AN3+$AO3)/2*$AH3+$AI3)*(1+$AP3)*(1+$AQ3)+(($AS3+$AT3)/2*IF($G$1="鸣金",$AJ3,$AH3)+IF($G$1="鸣金",$AK3*1.5,0))*(1+$AU3)*(1+$AV3)+(($AW3+$AX3)/2*IF($G$1="裂石",$AJ3,$AH3)+IF($G$1="裂石",$AK3*1.5,0))*(1+$AY3)*(1+$AZ3)+(($BA3+$BB3)/2*IF($G$1="牵丝",$AJ3,$AH3)+IF($G$1="牵丝",$AK3*1.5,0))*(1+$BC3)*(1+$BD3)+(($BE3+$BF3)/2*IF($G$1="破竹",$AJ3,$AH3)+IF($G$1="破竹",$AK3*1.5,0))*(1+$BG3)*(1+$BH3))*(1+$AL3)*$BK3*$P3*(1+IF(VLOOKUP($Q3,武学奇术!$A:$ZZ,30,FALSE)="回旋伞",$B$21,0))*(1+$BQ3)</f>
        <v>26281.2562544556</v>
      </c>
      <c r="M3" s="41">
        <f>(($AO3*$AH3+$AI3)*(1+$AP3)*(1+$AQ3)+($AT3*IF($G$1="鸣金",$AJ3,$AH3)+IF($G$1="鸣金",$AK3*1.5,0))*(1+$AU3)*(1+$AV3)+($AX3*IF($G$1="裂石",$AJ3,$AH3)+IF($G$1="裂石",$AK3*1.5,0))*(1+$AY3)*(1+$AZ3)+($BB3*IF($G$1="牵丝",$AJ3,$AH3)+IF($G$1="牵丝",$AK3*1.5,0))*(1+$BC3)*(1+$BD3)+($BF3*IF($G$1="破竹",$AJ3,$AH3)+IF($G$1="破竹",$AK3*1.5,0))*(1+$BG3)*(1+$BH3))*(1+$AL3)*$BM3*$P3*(1+IF(VLOOKUP($Q3,武学奇术!$A:$ZZ,30,FALSE)="回旋伞",$B$21,0))*(1+$BQ3)</f>
        <v>22528.741579629</v>
      </c>
      <c r="N3" s="41">
        <f>((($AN3+$AO3)/2*$AH3+$AI3)*(1+$AP3)*(1+$AQ3)+(($AS3+$AT3)/2*IF($G$1="鸣金",$AJ3,$AH3)+IF($G$1="鸣金",$AK3*1.5,0))*(1+$AU3)*(1+$AV3)+(($AW3+$AX3)/2*IF($G$1="裂石",$AJ3,$AH3)+IF($G$1="裂石",$AK3*1.5,0))*(1+$AY3)*(1+$AZ3)+(($BA3+$BB3)/2*IF($G$1="牵丝",$AJ3,$AH3)+IF($G$1="牵丝",$AK3*1.5,0))*(1+$BC3)*(1+$BD3)+(($BE3+$BF3)/2*IF($G$1="破竹",$AJ3,$AH3)+IF($G$1="破竹",$AK3*1.5,0))*(1+$BG3)*(1+$BH3))*(1+$AL3)*$P3*(1+IF(VLOOKUP($Q3,武学奇术!$A:$ZZ,30,FALSE)="回旋伞",$B$21,0))*(1+$BQ3)</f>
        <v>14682.2660639417</v>
      </c>
      <c r="O3" s="41">
        <f>((($AN3*$AH3+$AI3)*(1+$AP3)*(1+$AQ3)+($AS3*IF($G$1="鸣金",$AJ3,$AH3)+IF($G$1="鸣金",$AK3*1.5,0))*(1+$AU3)*(1+$AV3)+($AW3*IF($G$1="裂石",$AJ3,$AH3)+IF($G$1="裂石",$AK3*1.5,0))*(1+$AY3)*(1+$AZ3)+($BA3*IF($G$1="牵丝",$AJ3,$AH3)+IF($G$1="牵丝",$AK3*1.5,0))*(1+$BC3)*(1+$BD3)+($BE3*IF($G$1="破竹",$AJ3,$AH3)+IF($G$1="破竹",$AK3*1.5,0))*(1+$BG3)*(1+$BH3))*(1+$AL3))*$P3*(1+IF(VLOOKUP($Q3,武学奇术!$A:$ZZ,30,FALSE)="回旋伞",$B$21,0))*(1+$BQ3)</f>
        <v>12676.5754022322</v>
      </c>
      <c r="P3" s="42">
        <v>1</v>
      </c>
      <c r="Q3" s="43" t="s">
        <v>70</v>
      </c>
      <c r="R3" s="43" t="s">
        <v>71</v>
      </c>
      <c r="S3" s="43" t="s">
        <v>71</v>
      </c>
      <c r="T3" s="43" t="s">
        <v>72</v>
      </c>
      <c r="U3" s="43" t="s">
        <v>79</v>
      </c>
      <c r="V3" s="43" t="s">
        <v>80</v>
      </c>
      <c r="W3" s="43" t="s">
        <v>81</v>
      </c>
      <c r="X3" s="43" t="s">
        <v>71</v>
      </c>
      <c r="Y3" s="43" t="s">
        <v>71</v>
      </c>
      <c r="Z3" s="43" t="s">
        <v>71</v>
      </c>
      <c r="AA3" s="43" t="s">
        <v>71</v>
      </c>
      <c r="AB3" s="43" t="s">
        <v>71</v>
      </c>
      <c r="AC3" s="43" t="s">
        <v>71</v>
      </c>
      <c r="AD3" s="43" t="s">
        <v>71</v>
      </c>
      <c r="AE3" s="43" t="s">
        <v>71</v>
      </c>
      <c r="AF3" s="43" t="s">
        <v>76</v>
      </c>
      <c r="AG3" t="str">
        <f>VLOOKUP($Q3,武学奇术!$A:$ZZ,25,FALSE)</f>
        <v>群体奇术</v>
      </c>
      <c r="AH3" s="30">
        <f>VLOOKUP($Q3,武学奇术!$A:$ZZ,26,FALSE)</f>
        <v>1.4904</v>
      </c>
      <c r="AI3" s="31">
        <f>VLOOKUP($Q3,武学奇术!$A:$ZZ,27,FALSE)*(1+IF(OR($AG3=$F$4,$AG3=$F$5),$B$22,0))</f>
        <v>368</v>
      </c>
      <c r="AJ3" s="30">
        <f>VLOOKUP($Q3,武学奇术!$A:$ZZ,28,FALSE)</f>
        <v>2.2353</v>
      </c>
      <c r="AK3" s="31">
        <f>VLOOKUP($Q3,武学奇术!$A:$ZZ,29,FALSE)*(1+IF(OR($AG3=$F$4,$AG3=$F$5),$B$22,0))</f>
        <v>0</v>
      </c>
      <c r="AL3" s="30" cm="1">
        <f t="array" ref="AL3">$G$3+IFERROR(VLOOKUP($AG3,$F$4:$G$7,2,FALSE),0)+VLOOKUP($Q3,武学奇术!$A:$ZZ,2,FALSE)+SUM(_xlfn.XLOOKUP($R3:$AF3,增益!$A:$A,增益!$B:$B,0))</f>
        <v>0.3737</v>
      </c>
      <c r="AM3" s="30" cm="1">
        <f t="array" ref="AM3">VLOOKUP($Q3,武学奇术!$A:$ZZ,5,FALSE)+SUM(_xlfn.XLOOKUP($R3:$AF3,增益!$A:$A,增益!$E:$E,0))</f>
        <v>0</v>
      </c>
      <c r="AN3" cm="1">
        <f t="array" ref="AN3">$D$10*(1+$AM3)+VLOOKUP($Q3,武学奇术!$A:$ZZ,3,FALSE)+SUM(_xlfn.XLOOKUP($R3:$AF3,增益!$A:$A,增益!$C:$C,0))-$I$2</f>
        <v>3483.8</v>
      </c>
      <c r="AO3" cm="1">
        <f t="array" ref="AO3">$E$10*(1+$AM3)+VLOOKUP($Q3,武学奇术!$A:$ZZ,4,FALSE)+SUM(_xlfn.XLOOKUP($R3:$AF3,增益!$A:$A,增益!$D:$D,0))-$I$2</f>
        <v>3483.8</v>
      </c>
      <c r="AP3" s="35" cm="1">
        <f t="array" ref="AP3">IF($F$10-$I$3+VLOOKUP($Q3,武学奇术!$A:$ZZ,6,FALSE)+SUM(_xlfn.XLOOKUP(R3:AF3,增益!$A:$A,增益!$F:$F,0))&gt;0,($F$10-$I$3+VLOOKUP($Q3,武学奇术!$A:$ZZ,6,FALSE)+SUM(_xlfn.XLOOKUP(R3:AF3,增益!$A:$A,增益!$F:$F,0)))/200,($F$10-$I$3+VLOOKUP($Q3,武学奇术!$A:$ZZ,6,FALSE)+SUM(_xlfn.XLOOKUP(R3:AF3,增益!$A:$A,增益!$F:$F,0)))/100)</f>
        <v>0.2125</v>
      </c>
      <c r="AQ3" s="35" cm="1">
        <f t="array" ref="AQ3">$G$10+VLOOKUP($Q3,武学奇术!$A:$ZZ,7,FALSE)+SUM(_xlfn.XLOOKUP(R3:AF3,增益!$A:$A,增益!$G:$G,0))</f>
        <v>0.028</v>
      </c>
      <c r="AR3" s="30" cm="1">
        <f t="array" ref="AR3">VLOOKUP($Q3,武学奇术!$A:$ZZ,8,FALSE)+SUM(_xlfn.XLOOKUP(R3:AF3,增益!$A:$A,增益!$H:$H,0))</f>
        <v>0</v>
      </c>
      <c r="AS3">
        <f t="shared" si="1"/>
        <v>0</v>
      </c>
      <c r="AT3">
        <f t="shared" si="2"/>
        <v>0</v>
      </c>
      <c r="AU3" s="35" cm="1">
        <f t="array" ref="AU3">IF($F$11-$I$4+VLOOKUP($Q3,武学奇术!$A:$ZZ,9,FALSE)+SUM(_xlfn.XLOOKUP(R3:AF3,增益!$A:$A,增益!$I:$I,0))&gt;0,($F$11-$I$4+VLOOKUP($Q3,武学奇术!$A:$ZZ,9,FALSE)+SUM(_xlfn.XLOOKUP(R3:AF3,增益!$A:$A,增益!$I:$I,0)))/200,($F$11-$I$4+VLOOKUP($Q3,武学奇术!$A:$ZZ,9,FALSE)+SUM(_xlfn.XLOOKUP(R3:AF3,增益!$A:$A,增益!$I:$I,0)))/100)</f>
        <v>-0.3</v>
      </c>
      <c r="AV3" s="35" cm="1">
        <f t="array" ref="AV3">$G$11+VLOOKUP($Q3,武学奇术!$A:$ZZ,10,FALSE)+SUM(_xlfn.XLOOKUP(R3:AF3,增益!$A:$A,增益!$J:$J,0))</f>
        <v>0</v>
      </c>
      <c r="AW3">
        <f t="shared" si="3"/>
        <v>0</v>
      </c>
      <c r="AX3">
        <f t="shared" si="4"/>
        <v>0</v>
      </c>
      <c r="AY3" s="35" cm="1">
        <f t="array" ref="AY3">IF($F$12-$I$4+VLOOKUP($Q3,武学奇术!$A:$ZZ,11,FALSE)+SUM(_xlfn.XLOOKUP(R3:AF3,增益!$A:$A,增益!$K:$K,0))&gt;0,($F$12-$I$4+VLOOKUP($Q3,武学奇术!$A:$ZZ,11,FALSE)+SUM(_xlfn.XLOOKUP(R3:AF3,增益!$A:$A,增益!$K:$K,0)))/200,($F$12-$I$4+VLOOKUP($Q3,武学奇术!$A:$ZZ,11,FALSE)+SUM(_xlfn.XLOOKUP(R3:AF3,增益!$A:$A,增益!$K:$K,0)))/100)</f>
        <v>-0.3</v>
      </c>
      <c r="AZ3" s="35" cm="1">
        <f t="array" ref="AZ3">$G$12+VLOOKUP($Q3,武学奇术!$A:$ZZ,12,FALSE)+SUM(_xlfn.XLOOKUP(R3:AF3,增益!$A:$A,增益!$L:$L,0))</f>
        <v>0</v>
      </c>
      <c r="BA3">
        <f t="shared" si="5"/>
        <v>0</v>
      </c>
      <c r="BB3">
        <f t="shared" si="6"/>
        <v>0</v>
      </c>
      <c r="BC3" s="35" cm="1">
        <f t="array" ref="BC3">IF($F$13-$I$4+VLOOKUP($Q3,武学奇术!$A:$ZZ,13,FALSE)+SUM(_xlfn.XLOOKUP(R3:AF3,增益!$A:$A,增益!$M:$M,0))&gt;0,($F$13-$I$4+VLOOKUP($Q3,武学奇术!$A:$ZZ,13,FALSE)+SUM(_xlfn.XLOOKUP(R3:AF3,增益!$A:$A,增益!$K:$K,0)))/200,($F$13-$I$4+VLOOKUP($Q3,武学奇术!$A:$ZZ,13,FALSE)+SUM(_xlfn.XLOOKUP(R3:AF3,增益!$A:$A,增益!$M:$M,0)))/100)</f>
        <v>-0.3</v>
      </c>
      <c r="BD3" s="35" cm="1">
        <f t="array" ref="BD3">$G$13+VLOOKUP($Q3,武学奇术!$A:$ZZ,14,FALSE)+SUM(_xlfn.XLOOKUP(R3:AF3,增益!$A:$A,增益!$N:$N,0))</f>
        <v>0</v>
      </c>
      <c r="BE3">
        <f t="shared" si="7"/>
        <v>538</v>
      </c>
      <c r="BF3">
        <f t="shared" si="8"/>
        <v>1561.4</v>
      </c>
      <c r="BG3" s="35" cm="1">
        <f t="array" ref="BG3">IF($F$14-$I$4+VLOOKUP($Q3,武学奇术!$A:$ZZ,15,FALSE)+SUM(_xlfn.XLOOKUP(R3:AF3,增益!$A:$A,增益!$O:$O,0))&gt;0,($F$14-$I$4+VLOOKUP($Q3,武学奇术!$A:$ZZ,15,FALSE)+SUM(_xlfn.XLOOKUP(R3:AF3,增益!$A:$A,增益!$O:$O,0)))/200,($F$14-$I$4+VLOOKUP($Q3,武学奇术!$A:$ZZ,15,FALSE)+SUM(_xlfn.XLOOKUP(R3:AF3,增益!$A:$A,增益!$O:$O,0)))/100)</f>
        <v>0</v>
      </c>
      <c r="BH3" s="35" cm="1">
        <f t="array" ref="BH3">$G$14+VLOOKUP($Q3,武学奇术!$A:$ZZ,16,FALSE)+SUM(_xlfn.XLOOKUP(R3:AF3,增益!$A:$A,增益!$P:$P,0))</f>
        <v>0.15</v>
      </c>
      <c r="BI3" s="30">
        <f>MIN(IF(VLOOKUP($Q3,武学奇术!$A:$ZZ,23,FALSE)=1,100%,$B$8),100%)</f>
        <v>0.9712</v>
      </c>
      <c r="BJ3" s="30" cm="1">
        <f t="array" ref="BJ3">IF(VLOOKUP($Q3,武学奇术!$A:$ZZ,23,FALSE)=1,100%,MIN(80%,$B$9+VLOOKUP($Q3,武学奇术!$A:$ZZ,17,FALSE)+SUM(_xlfn.XLOOKUP(R3:AF3,增益!$A:$A,增益!$Q:$Q,0)))+$B$11+SUM(_xlfn.XLOOKUP(R3:AF3,增益!$A:$A,增益!$U:$U,0)))*IF(VLOOKUP($Q3,武学奇术!$A:$ZZ,24,FALSE)=1,0,1)</f>
        <v>0.8773</v>
      </c>
      <c r="BK3" s="30" cm="1">
        <f t="array" ref="BK3">1+$B$13+VLOOKUP($Q3,武学奇术!$A:$ZZ,18,FALSE)+SUM(_xlfn.XLOOKUP(R3:AF3,增益!$A:$A,增益!$R:$R,0))</f>
        <v>1.79</v>
      </c>
      <c r="BL3" s="30" cm="1">
        <f t="array" ref="BL3">IF(VLOOKUP($Q3,武学奇术!$A:$ZZ,24,FALSE)=1,100%,MIN(40%,$B$10+VLOOKUP($Q3,武学奇术!$A:$ZZ,19,FALSE)+SUM(_xlfn.XLOOKUP(R3:AF3,增益!$A:$A,增益!$S:$S,0)))+$B$12+SUM(_xlfn.XLOOKUP(R3:AF3,增益!$A:$A,增益!$V:$V,0)))*IF(VLOOKUP($Q3,武学奇术!$A:$ZZ,23,FALSE)=1,0,1)</f>
        <v>0.0895</v>
      </c>
      <c r="BM3" s="30" cm="1">
        <f t="array" ref="BM3">1+$B$14+VLOOKUP($Q3,武学奇术!$A:$ZZ,20,FALSE)+SUM(_xlfn.XLOOKUP(R3:AF3,增益!$A:$A,增益!$T:$T,0))</f>
        <v>1.35</v>
      </c>
      <c r="BN3" s="30">
        <f t="shared" si="9"/>
        <v>0.85203376</v>
      </c>
      <c r="BO3" s="30">
        <f t="shared" si="10"/>
        <v>0.03224384</v>
      </c>
      <c r="BP3" s="30">
        <f>IF(VLOOKUP($Q3,武学奇术!$A:$ZZ,22,FALSE)=1,0,(1-$BI3))*(1-$BL3)</f>
        <v>0.0262224</v>
      </c>
      <c r="BQ3" s="30" cm="1">
        <f t="array" ref="BQ3">SUM(_xlfn.XLOOKUP(R3:AF3,增益!$A:$A,增益!$W:$W,0))+$I$5</f>
        <v>0.11</v>
      </c>
    </row>
    <row r="4" ht="14.25" spans="1:69">
      <c r="A4" s="53" t="s">
        <v>83</v>
      </c>
      <c r="B4" s="54"/>
      <c r="C4" s="54"/>
      <c r="D4" s="54"/>
      <c r="E4" s="55"/>
      <c r="F4" s="48" t="s">
        <v>84</v>
      </c>
      <c r="G4" s="52">
        <f>B15+B17</f>
        <v>0.1704</v>
      </c>
      <c r="H4" s="56" t="s">
        <v>85</v>
      </c>
      <c r="I4" s="14">
        <f>30</f>
        <v>30</v>
      </c>
      <c r="K4" s="41">
        <f t="shared" si="0"/>
        <v>25674.6069934185</v>
      </c>
      <c r="L4" s="41">
        <f>((($AN4+$AO4)/2*$AH4+$AI4)*(1+$AP4)*(1+$AQ4)+(($AS4+$AT4)/2*IF($G$1="鸣金",$AJ4,$AH4)+IF($G$1="鸣金",$AK4*1.5,0))*(1+$AU4)*(1+$AV4)+(($AW4+$AX4)/2*IF($G$1="裂石",$AJ4,$AH4)+IF($G$1="裂石",$AK4*1.5,0))*(1+$AY4)*(1+$AZ4)+(($BA4+$BB4)/2*IF($G$1="牵丝",$AJ4,$AH4)+IF($G$1="牵丝",$AK4*1.5,0))*(1+$BC4)*(1+$BD4)+(($BE4+$BF4)/2*IF($G$1="破竹",$AJ4,$AH4)+IF($G$1="破竹",$AK4*1.5,0))*(1+$BG4)*(1+$BH4))*(1+$AL4)*$BK4*$P4*(1+IF(VLOOKUP($Q4,武学奇术!$A:$ZZ,30,FALSE)="回旋伞",$B$21,0))*(1+$BQ4)</f>
        <v>26778.48983228</v>
      </c>
      <c r="M4" s="41">
        <f>(($AO4*$AH4+$AI4)*(1+$AP4)*(1+$AQ4)+($AT4*IF($G$1="鸣金",$AJ4,$AH4)+IF($G$1="鸣金",$AK4*1.5,0))*(1+$AU4)*(1+$AV4)+($AX4*IF($G$1="裂石",$AJ4,$AH4)+IF($G$1="裂石",$AK4*1.5,0))*(1+$AY4)*(1+$AZ4)+($BB4*IF($G$1="牵丝",$AJ4,$AH4)+IF($G$1="牵丝",$AK4*1.5,0))*(1+$BC4)*(1+$BD4)+($BF4*IF($G$1="破竹",$AJ4,$AH4)+IF($G$1="破竹",$AK4*1.5,0))*(1+$BG4)*(1+$BH4))*(1+$AL4)*$BM4*$P4*(1+IF(VLOOKUP($Q4,武学奇术!$A:$ZZ,30,FALSE)="回旋伞",$B$21,0))*(1+$BQ4)</f>
        <v>22811.2606388383</v>
      </c>
      <c r="N4" s="41">
        <f>((($AN4+$AO4)/2*$AH4+$AI4)*(1+$AP4)*(1+$AQ4)+(($AS4+$AT4)/2*IF($G$1="鸣金",$AJ4,$AH4)+IF($G$1="鸣金",$AK4*1.5,0))*(1+$AU4)*(1+$AV4)+(($AW4+$AX4)/2*IF($G$1="裂石",$AJ4,$AH4)+IF($G$1="裂石",$AK4*1.5,0))*(1+$AY4)*(1+$AZ4)+(($BA4+$BB4)/2*IF($G$1="牵丝",$AJ4,$AH4)+IF($G$1="牵丝",$AK4*1.5,0))*(1+$BC4)*(1+$BD4)+(($BE4+$BF4)/2*IF($G$1="破竹",$AJ4,$AH4)+IF($G$1="破竹",$AK4*1.5,0))*(1+$BG4)*(1+$BH4))*(1+$AL4)*$P4*(1+IF(VLOOKUP($Q4,武学奇术!$A:$ZZ,30,FALSE)="回旋伞",$B$21,0))*(1+$BQ4)</f>
        <v>14876.9387957111</v>
      </c>
      <c r="O4" s="41">
        <f>((($AN4*$AH4+$AI4)*(1+$AP4)*(1+$AQ4)+($AS4*IF($G$1="鸣金",$AJ4,$AH4)+IF($G$1="鸣金",$AK4*1.5,0))*(1+$AU4)*(1+$AV4)+($AW4*IF($G$1="裂石",$AJ4,$AH4)+IF($G$1="裂石",$AK4*1.5,0))*(1+$AY4)*(1+$AZ4)+($BA4*IF($G$1="牵丝",$AJ4,$AH4)+IF($G$1="牵丝",$AK4*1.5,0))*(1+$BC4)*(1+$BD4)+($BE4*IF($G$1="破竹",$AJ4,$AH4)+IF($G$1="破竹",$AK4*1.5,0))*(1+$BG4)*(1+$BH4))*(1+$AL4))*$P4*(1+IF(VLOOKUP($Q4,武学奇术!$A:$ZZ,30,FALSE)="回旋伞",$B$21,0))*(1+$BQ4)</f>
        <v>12856.647488579</v>
      </c>
      <c r="P4" s="42">
        <v>1</v>
      </c>
      <c r="Q4" s="43" t="s">
        <v>70</v>
      </c>
      <c r="R4" s="43" t="s">
        <v>71</v>
      </c>
      <c r="S4" s="43" t="s">
        <v>71</v>
      </c>
      <c r="T4" s="43" t="s">
        <v>72</v>
      </c>
      <c r="U4" s="43" t="s">
        <v>79</v>
      </c>
      <c r="V4" s="43" t="s">
        <v>86</v>
      </c>
      <c r="W4" s="43" t="s">
        <v>87</v>
      </c>
      <c r="X4" s="43" t="s">
        <v>71</v>
      </c>
      <c r="Y4" s="43" t="s">
        <v>71</v>
      </c>
      <c r="Z4" s="43" t="s">
        <v>71</v>
      </c>
      <c r="AA4" s="43" t="s">
        <v>71</v>
      </c>
      <c r="AB4" s="43" t="s">
        <v>71</v>
      </c>
      <c r="AC4" s="43" t="s">
        <v>71</v>
      </c>
      <c r="AD4" s="43" t="s">
        <v>71</v>
      </c>
      <c r="AE4" s="43" t="s">
        <v>71</v>
      </c>
      <c r="AF4" s="43" t="s">
        <v>76</v>
      </c>
      <c r="AG4" t="str">
        <f>VLOOKUP($Q4,武学奇术!$A:$ZZ,25,FALSE)</f>
        <v>群体奇术</v>
      </c>
      <c r="AH4" s="30">
        <f>VLOOKUP($Q4,武学奇术!$A:$ZZ,26,FALSE)</f>
        <v>1.4904</v>
      </c>
      <c r="AI4" s="31">
        <f>VLOOKUP($Q4,武学奇术!$A:$ZZ,27,FALSE)*(1+IF(OR($AG4=$F$4,$AG4=$F$5),$B$22,0))</f>
        <v>368</v>
      </c>
      <c r="AJ4" s="30">
        <f>VLOOKUP($Q4,武学奇术!$A:$ZZ,28,FALSE)</f>
        <v>2.2353</v>
      </c>
      <c r="AK4" s="31">
        <f>VLOOKUP($Q4,武学奇术!$A:$ZZ,29,FALSE)*(1+IF(OR($AG4=$F$4,$AG4=$F$5),$B$22,0))</f>
        <v>0</v>
      </c>
      <c r="AL4" s="30" cm="1">
        <f t="array" ref="AL4">$G$3+IFERROR(VLOOKUP($AG4,$F$4:$G$7,2,FALSE),0)+VLOOKUP($Q4,武学奇术!$A:$ZZ,2,FALSE)+SUM(_xlfn.XLOOKUP($R4:$AF4,增益!$A:$A,增益!$B:$B,0))</f>
        <v>0.3837</v>
      </c>
      <c r="AM4" s="30" cm="1">
        <f t="array" ref="AM4">VLOOKUP($Q4,武学奇术!$A:$ZZ,5,FALSE)+SUM(_xlfn.XLOOKUP($R4:$AF4,增益!$A:$A,增益!$E:$E,0))</f>
        <v>0</v>
      </c>
      <c r="AN4" cm="1">
        <f t="array" ref="AN4">$D$10*(1+$AM4)+VLOOKUP($Q4,武学奇术!$A:$ZZ,3,FALSE)+SUM(_xlfn.XLOOKUP($R4:$AF4,增益!$A:$A,增益!$C:$C,0))-$I$2</f>
        <v>3483.8</v>
      </c>
      <c r="AO4" cm="1">
        <f t="array" ref="AO4">$E$10*(1+$AM4)+VLOOKUP($Q4,武学奇术!$A:$ZZ,4,FALSE)+SUM(_xlfn.XLOOKUP($R4:$AF4,增益!$A:$A,增益!$D:$D,0))-$I$2</f>
        <v>3483.8</v>
      </c>
      <c r="AP4" s="35" cm="1">
        <f t="array" ref="AP4">IF($F$10-$I$3+VLOOKUP($Q4,武学奇术!$A:$ZZ,6,FALSE)+SUM(_xlfn.XLOOKUP(R4:AF4,增益!$A:$A,增益!$F:$F,0))&gt;0,($F$10-$I$3+VLOOKUP($Q4,武学奇术!$A:$ZZ,6,FALSE)+SUM(_xlfn.XLOOKUP(R4:AF4,增益!$A:$A,增益!$F:$F,0)))/200,($F$10-$I$3+VLOOKUP($Q4,武学奇术!$A:$ZZ,6,FALSE)+SUM(_xlfn.XLOOKUP(R4:AF4,增益!$A:$A,增益!$F:$F,0)))/100)</f>
        <v>0.2225</v>
      </c>
      <c r="AQ4" s="35" cm="1">
        <f t="array" ref="AQ4">$G$10+VLOOKUP($Q4,武学奇术!$A:$ZZ,7,FALSE)+SUM(_xlfn.XLOOKUP(R4:AF4,增益!$A:$A,增益!$G:$G,0))</f>
        <v>0.028</v>
      </c>
      <c r="AR4" s="30" cm="1">
        <f t="array" ref="AR4">VLOOKUP($Q4,武学奇术!$A:$ZZ,8,FALSE)+SUM(_xlfn.XLOOKUP(R4:AF4,增益!$A:$A,增益!$H:$H,0))</f>
        <v>0</v>
      </c>
      <c r="AS4">
        <f t="shared" si="1"/>
        <v>0</v>
      </c>
      <c r="AT4">
        <f t="shared" si="2"/>
        <v>0</v>
      </c>
      <c r="AU4" s="35" cm="1">
        <f t="array" ref="AU4">IF($F$11-$I$4+VLOOKUP($Q4,武学奇术!$A:$ZZ,9,FALSE)+SUM(_xlfn.XLOOKUP(R4:AF4,增益!$A:$A,增益!$I:$I,0))&gt;0,($F$11-$I$4+VLOOKUP($Q4,武学奇术!$A:$ZZ,9,FALSE)+SUM(_xlfn.XLOOKUP(R4:AF4,增益!$A:$A,增益!$I:$I,0)))/200,($F$11-$I$4+VLOOKUP($Q4,武学奇术!$A:$ZZ,9,FALSE)+SUM(_xlfn.XLOOKUP(R4:AF4,增益!$A:$A,增益!$I:$I,0)))/100)</f>
        <v>-0.3</v>
      </c>
      <c r="AV4" s="35" cm="1">
        <f t="array" ref="AV4">$G$11+VLOOKUP($Q4,武学奇术!$A:$ZZ,10,FALSE)+SUM(_xlfn.XLOOKUP(R4:AF4,增益!$A:$A,增益!$J:$J,0))</f>
        <v>0</v>
      </c>
      <c r="AW4">
        <f t="shared" si="3"/>
        <v>0</v>
      </c>
      <c r="AX4">
        <f t="shared" si="4"/>
        <v>0</v>
      </c>
      <c r="AY4" s="35" cm="1">
        <f t="array" ref="AY4">IF($F$12-$I$4+VLOOKUP($Q4,武学奇术!$A:$ZZ,11,FALSE)+SUM(_xlfn.XLOOKUP(R4:AF4,增益!$A:$A,增益!$K:$K,0))&gt;0,($F$12-$I$4+VLOOKUP($Q4,武学奇术!$A:$ZZ,11,FALSE)+SUM(_xlfn.XLOOKUP(R4:AF4,增益!$A:$A,增益!$K:$K,0)))/200,($F$12-$I$4+VLOOKUP($Q4,武学奇术!$A:$ZZ,11,FALSE)+SUM(_xlfn.XLOOKUP(R4:AF4,增益!$A:$A,增益!$K:$K,0)))/100)</f>
        <v>-0.3</v>
      </c>
      <c r="AZ4" s="35" cm="1">
        <f t="array" ref="AZ4">$G$12+VLOOKUP($Q4,武学奇术!$A:$ZZ,12,FALSE)+SUM(_xlfn.XLOOKUP(R4:AF4,增益!$A:$A,增益!$L:$L,0))</f>
        <v>0</v>
      </c>
      <c r="BA4">
        <f t="shared" si="5"/>
        <v>0</v>
      </c>
      <c r="BB4">
        <f t="shared" si="6"/>
        <v>0</v>
      </c>
      <c r="BC4" s="35" cm="1">
        <f t="array" ref="BC4">IF($F$13-$I$4+VLOOKUP($Q4,武学奇术!$A:$ZZ,13,FALSE)+SUM(_xlfn.XLOOKUP(R4:AF4,增益!$A:$A,增益!$M:$M,0))&gt;0,($F$13-$I$4+VLOOKUP($Q4,武学奇术!$A:$ZZ,13,FALSE)+SUM(_xlfn.XLOOKUP(R4:AF4,增益!$A:$A,增益!$K:$K,0)))/200,($F$13-$I$4+VLOOKUP($Q4,武学奇术!$A:$ZZ,13,FALSE)+SUM(_xlfn.XLOOKUP(R4:AF4,增益!$A:$A,增益!$M:$M,0)))/100)</f>
        <v>-0.3</v>
      </c>
      <c r="BD4" s="35" cm="1">
        <f t="array" ref="BD4">$G$13+VLOOKUP($Q4,武学奇术!$A:$ZZ,14,FALSE)+SUM(_xlfn.XLOOKUP(R4:AF4,增益!$A:$A,增益!$N:$N,0))</f>
        <v>0</v>
      </c>
      <c r="BE4">
        <f t="shared" si="7"/>
        <v>538</v>
      </c>
      <c r="BF4">
        <f t="shared" si="8"/>
        <v>1561.4</v>
      </c>
      <c r="BG4" s="35" cm="1">
        <f t="array" ref="BG4">IF($F$14-$I$4+VLOOKUP($Q4,武学奇术!$A:$ZZ,15,FALSE)+SUM(_xlfn.XLOOKUP(R4:AF4,增益!$A:$A,增益!$O:$O,0))&gt;0,($F$14-$I$4+VLOOKUP($Q4,武学奇术!$A:$ZZ,15,FALSE)+SUM(_xlfn.XLOOKUP(R4:AF4,增益!$A:$A,增益!$O:$O,0)))/200,($F$14-$I$4+VLOOKUP($Q4,武学奇术!$A:$ZZ,15,FALSE)+SUM(_xlfn.XLOOKUP(R4:AF4,增益!$A:$A,增益!$O:$O,0)))/100)</f>
        <v>0</v>
      </c>
      <c r="BH4" s="35" cm="1">
        <f t="array" ref="BH4">$G$14+VLOOKUP($Q4,武学奇术!$A:$ZZ,16,FALSE)+SUM(_xlfn.XLOOKUP(R4:AF4,增益!$A:$A,增益!$P:$P,0))</f>
        <v>0.15</v>
      </c>
      <c r="BI4" s="30">
        <f>MIN(IF(VLOOKUP($Q4,武学奇术!$A:$ZZ,23,FALSE)=1,100%,$B$8),100%)</f>
        <v>0.9712</v>
      </c>
      <c r="BJ4" s="30" cm="1">
        <f t="array" ref="BJ4">IF(VLOOKUP($Q4,武学奇术!$A:$ZZ,23,FALSE)=1,100%,MIN(80%,$B$9+VLOOKUP($Q4,武学奇术!$A:$ZZ,17,FALSE)+SUM(_xlfn.XLOOKUP(R4:AF4,增益!$A:$A,增益!$Q:$Q,0)))+$B$11+SUM(_xlfn.XLOOKUP(R4:AF4,增益!$A:$A,增益!$U:$U,0)))*IF(VLOOKUP($Q4,武学奇术!$A:$ZZ,24,FALSE)=1,0,1)</f>
        <v>0.8773</v>
      </c>
      <c r="BK4" s="30" cm="1">
        <f t="array" ref="BK4">1+$B$13+VLOOKUP($Q4,武学奇术!$A:$ZZ,18,FALSE)+SUM(_xlfn.XLOOKUP(R4:AF4,增益!$A:$A,增益!$R:$R,0))</f>
        <v>1.8</v>
      </c>
      <c r="BL4" s="30" cm="1">
        <f t="array" ref="BL4">IF(VLOOKUP($Q4,武学奇术!$A:$ZZ,24,FALSE)=1,100%,MIN(40%,$B$10+VLOOKUP($Q4,武学奇术!$A:$ZZ,19,FALSE)+SUM(_xlfn.XLOOKUP(R4:AF4,增益!$A:$A,增益!$S:$S,0)))+$B$12+SUM(_xlfn.XLOOKUP(R4:AF4,增益!$A:$A,增益!$V:$V,0)))*IF(VLOOKUP($Q4,武学奇术!$A:$ZZ,23,FALSE)=1,0,1)</f>
        <v>0.0895</v>
      </c>
      <c r="BM4" s="30" cm="1">
        <f t="array" ref="BM4">1+$B$14+VLOOKUP($Q4,武学奇术!$A:$ZZ,20,FALSE)+SUM(_xlfn.XLOOKUP(R4:AF4,增益!$A:$A,增益!$T:$T,0))</f>
        <v>1.35</v>
      </c>
      <c r="BN4" s="30">
        <f t="shared" si="9"/>
        <v>0.85203376</v>
      </c>
      <c r="BO4" s="30">
        <f t="shared" si="10"/>
        <v>0.03224384</v>
      </c>
      <c r="BP4" s="30">
        <f>IF(VLOOKUP($Q4,武学奇术!$A:$ZZ,22,FALSE)=1,0,(1-$BI4))*(1-$BL4)</f>
        <v>0.0262224</v>
      </c>
      <c r="BQ4" s="30" cm="1">
        <f t="array" ref="BQ4">SUM(_xlfn.XLOOKUP(R4:AF4,增益!$A:$A,增益!$W:$W,0))+$I$5</f>
        <v>0.11</v>
      </c>
    </row>
    <row r="5" spans="1:69">
      <c r="A5" s="57" t="s">
        <v>88</v>
      </c>
      <c r="B5" s="58"/>
      <c r="C5" s="58"/>
      <c r="D5" s="58"/>
      <c r="E5" s="59"/>
      <c r="F5" s="48" t="s">
        <v>89</v>
      </c>
      <c r="G5" s="52">
        <f>B15+B18</f>
        <v>0.0852</v>
      </c>
      <c r="H5" t="s">
        <v>90</v>
      </c>
      <c r="I5" s="32">
        <v>0.06</v>
      </c>
      <c r="K5" s="41">
        <f t="shared" si="0"/>
        <v>26901.1678161942</v>
      </c>
      <c r="L5" s="41">
        <f>((($AN5+$AO5)/2*$AH5+$AI5)*(1+$AP5)*(1+$AQ5)+(($AS5+$AT5)/2*IF($G$1="鸣金",$AJ5,$AH5)+IF($G$1="鸣金",$AK5*1.5,0))*(1+$AU5)*(1+$AV5)+(($AW5+$AX5)/2*IF($G$1="裂石",$AJ5,$AH5)+IF($G$1="裂石",$AK5*1.5,0))*(1+$AY5)*(1+$AZ5)+(($BA5+$BB5)/2*IF($G$1="牵丝",$AJ5,$AH5)+IF($G$1="牵丝",$AK5*1.5,0))*(1+$BC5)*(1+$BD5)+(($BE5+$BF5)/2*IF($G$1="破竹",$AJ5,$AH5)+IF($G$1="破竹",$AK5*1.5,0))*(1+$BG5)*(1+$BH5))*(1+$AL5)*$BK5*$P5*(1+IF(VLOOKUP($Q5,武学奇术!$A:$ZZ,30,FALSE)="回旋伞",$B$21,0))*(1+$BQ5)</f>
        <v>28082.1692461127</v>
      </c>
      <c r="M5" s="41">
        <f>(($AO5*$AH5+$AI5)*(1+$AP5)*(1+$AQ5)+($AT5*IF($G$1="鸣金",$AJ5,$AH5)+IF($G$1="鸣金",$AK5*1.5,0))*(1+$AU5)*(1+$AV5)+($AX5*IF($G$1="裂石",$AJ5,$AH5)+IF($G$1="裂石",$AK5*1.5,0))*(1+$AY5)*(1+$AZ5)+($BB5*IF($G$1="牵丝",$AJ5,$AH5)+IF($G$1="牵丝",$AK5*1.5,0))*(1+$BC5)*(1+$BD5)+($BF5*IF($G$1="破竹",$AJ5,$AH5)+IF($G$1="破竹",$AK5*1.5,0))*(1+$BG5)*(1+$BH5))*(1+$AL5)*$BM5*$P5*(1+IF(VLOOKUP($Q5,武学奇术!$A:$ZZ,30,FALSE)="回旋伞",$B$21,0))*(1+$BQ5)</f>
        <v>23692.3684907843</v>
      </c>
      <c r="N5" s="41">
        <f>((($AN5+$AO5)/2*$AH5+$AI5)*(1+$AP5)*(1+$AQ5)+(($AS5+$AT5)/2*IF($G$1="鸣金",$AJ5,$AH5)+IF($G$1="鸣金",$AK5*1.5,0))*(1+$AU5)*(1+$AV5)+(($AW5+$AX5)/2*IF($G$1="裂石",$AJ5,$AH5)+IF($G$1="裂石",$AK5*1.5,0))*(1+$AY5)*(1+$AZ5)+(($BA5+$BB5)/2*IF($G$1="牵丝",$AJ5,$AH5)+IF($G$1="牵丝",$AK5*1.5,0))*(1+$BC5)*(1+$BD5)+(($BE5+$BF5)/2*IF($G$1="破竹",$AJ5,$AH5)+IF($G$1="破竹",$AK5*1.5,0))*(1+$BG5)*(1+$BH5))*(1+$AL5)*$P5*(1+IF(VLOOKUP($Q5,武学奇术!$A:$ZZ,30,FALSE)="回旋伞",$B$21,0))*(1+$BQ5)</f>
        <v>15515.0106332115</v>
      </c>
      <c r="O5" s="41">
        <f>((($AN5*$AH5+$AI5)*(1+$AP5)*(1+$AQ5)+($AS5*IF($G$1="鸣金",$AJ5,$AH5)+IF($G$1="鸣金",$AK5*1.5,0))*(1+$AU5)*(1+$AV5)+($AW5*IF($G$1="裂石",$AJ5,$AH5)+IF($G$1="裂石",$AK5*1.5,0))*(1+$AY5)*(1+$AZ5)+($BA5*IF($G$1="牵丝",$AJ5,$AH5)+IF($G$1="牵丝",$AK5*1.5,0))*(1+$BC5)*(1+$BD5)+($BE5*IF($G$1="破竹",$AJ5,$AH5)+IF($G$1="破竹",$AK5*1.5,0))*(1+$BG5)*(1+$BH5))*(1+$AL5))*$P5*(1+IF(VLOOKUP($Q5,武学奇术!$A:$ZZ,30,FALSE)="回旋伞",$B$21,0))*(1+$BQ5)</f>
        <v>13480.1186806567</v>
      </c>
      <c r="P5" s="42">
        <v>1</v>
      </c>
      <c r="Q5" s="43" t="s">
        <v>70</v>
      </c>
      <c r="R5" s="43" t="s">
        <v>71</v>
      </c>
      <c r="S5" s="43" t="s">
        <v>91</v>
      </c>
      <c r="T5" s="43" t="s">
        <v>72</v>
      </c>
      <c r="U5" s="43" t="s">
        <v>79</v>
      </c>
      <c r="V5" s="43" t="s">
        <v>92</v>
      </c>
      <c r="W5" s="43" t="s">
        <v>93</v>
      </c>
      <c r="X5" s="43" t="s">
        <v>71</v>
      </c>
      <c r="Y5" s="43" t="s">
        <v>71</v>
      </c>
      <c r="Z5" s="43" t="s">
        <v>71</v>
      </c>
      <c r="AA5" s="43" t="s">
        <v>71</v>
      </c>
      <c r="AB5" s="43" t="s">
        <v>71</v>
      </c>
      <c r="AC5" s="43" t="s">
        <v>71</v>
      </c>
      <c r="AD5" s="43" t="s">
        <v>71</v>
      </c>
      <c r="AE5" s="43" t="s">
        <v>71</v>
      </c>
      <c r="AF5" s="43" t="s">
        <v>76</v>
      </c>
      <c r="AG5" t="str">
        <f>VLOOKUP($Q5,武学奇术!$A:$ZZ,25,FALSE)</f>
        <v>群体奇术</v>
      </c>
      <c r="AH5" s="30">
        <f>VLOOKUP($Q5,武学奇术!$A:$ZZ,26,FALSE)</f>
        <v>1.4904</v>
      </c>
      <c r="AI5" s="31">
        <f>VLOOKUP($Q5,武学奇术!$A:$ZZ,27,FALSE)*(1+IF(OR($AG5=$F$4,$AG5=$F$5),$B$22,0))</f>
        <v>368</v>
      </c>
      <c r="AJ5" s="30">
        <f>VLOOKUP($Q5,武学奇术!$A:$ZZ,28,FALSE)</f>
        <v>2.2353</v>
      </c>
      <c r="AK5" s="31">
        <f>VLOOKUP($Q5,武学奇术!$A:$ZZ,29,FALSE)*(1+IF(OR($AG5=$F$4,$AG5=$F$5),$B$22,0))</f>
        <v>0</v>
      </c>
      <c r="AL5" s="30" cm="1">
        <f t="array" ref="AL5">$G$3+IFERROR(VLOOKUP($AG5,$F$4:$G$7,2,FALSE),0)+VLOOKUP($Q5,武学奇术!$A:$ZZ,2,FALSE)+SUM(_xlfn.XLOOKUP($R5:$AF5,增益!$A:$A,增益!$B:$B,0))</f>
        <v>0.3937</v>
      </c>
      <c r="AM5" s="30" cm="1">
        <f t="array" ref="AM5">VLOOKUP($Q5,武学奇术!$A:$ZZ,5,FALSE)+SUM(_xlfn.XLOOKUP($R5:$AF5,增益!$A:$A,增益!$E:$E,0))</f>
        <v>0</v>
      </c>
      <c r="AN5" cm="1">
        <f t="array" ref="AN5">$D$10*(1+$AM5)+VLOOKUP($Q5,武学奇术!$A:$ZZ,3,FALSE)+SUM(_xlfn.XLOOKUP($R5:$AF5,增益!$A:$A,增益!$C:$C,0))-$I$2</f>
        <v>3483.8</v>
      </c>
      <c r="AO5" cm="1">
        <f t="array" ref="AO5">$E$10*(1+$AM5)+VLOOKUP($Q5,武学奇术!$A:$ZZ,4,FALSE)+SUM(_xlfn.XLOOKUP($R5:$AF5,增益!$A:$A,增益!$D:$D,0))-$I$2</f>
        <v>3483.8</v>
      </c>
      <c r="AP5" s="35" cm="1">
        <f t="array" ref="AP5">IF($F$10-$I$3+VLOOKUP($Q5,武学奇术!$A:$ZZ,6,FALSE)+SUM(_xlfn.XLOOKUP(R5:AF5,增益!$A:$A,增益!$F:$F,0))&gt;0,($F$10-$I$3+VLOOKUP($Q5,武学奇术!$A:$ZZ,6,FALSE)+SUM(_xlfn.XLOOKUP(R5:AF5,增益!$A:$A,增益!$F:$F,0)))/200,($F$10-$I$3+VLOOKUP($Q5,武学奇术!$A:$ZZ,6,FALSE)+SUM(_xlfn.XLOOKUP(R5:AF5,增益!$A:$A,增益!$F:$F,0)))/100)</f>
        <v>0.2825</v>
      </c>
      <c r="AQ5" s="35" cm="1">
        <f t="array" ref="AQ5">$G$10+VLOOKUP($Q5,武学奇术!$A:$ZZ,7,FALSE)+SUM(_xlfn.XLOOKUP(R5:AF5,增益!$A:$A,增益!$G:$G,0))</f>
        <v>0.028</v>
      </c>
      <c r="AR5" s="30" cm="1">
        <f t="array" ref="AR5">VLOOKUP($Q5,武学奇术!$A:$ZZ,8,FALSE)+SUM(_xlfn.XLOOKUP(R5:AF5,增益!$A:$A,增益!$H:$H,0))</f>
        <v>0</v>
      </c>
      <c r="AS5">
        <f t="shared" si="1"/>
        <v>0</v>
      </c>
      <c r="AT5">
        <f t="shared" si="2"/>
        <v>0</v>
      </c>
      <c r="AU5" s="35" cm="1">
        <f t="array" ref="AU5">IF($F$11-$I$4+VLOOKUP($Q5,武学奇术!$A:$ZZ,9,FALSE)+SUM(_xlfn.XLOOKUP(R5:AF5,增益!$A:$A,增益!$I:$I,0))&gt;0,($F$11-$I$4+VLOOKUP($Q5,武学奇术!$A:$ZZ,9,FALSE)+SUM(_xlfn.XLOOKUP(R5:AF5,增益!$A:$A,增益!$I:$I,0)))/200,($F$11-$I$4+VLOOKUP($Q5,武学奇术!$A:$ZZ,9,FALSE)+SUM(_xlfn.XLOOKUP(R5:AF5,增益!$A:$A,增益!$I:$I,0)))/100)</f>
        <v>-0.3</v>
      </c>
      <c r="AV5" s="35" cm="1">
        <f t="array" ref="AV5">$G$11+VLOOKUP($Q5,武学奇术!$A:$ZZ,10,FALSE)+SUM(_xlfn.XLOOKUP(R5:AF5,增益!$A:$A,增益!$J:$J,0))</f>
        <v>0</v>
      </c>
      <c r="AW5">
        <f t="shared" si="3"/>
        <v>0</v>
      </c>
      <c r="AX5">
        <f t="shared" si="4"/>
        <v>0</v>
      </c>
      <c r="AY5" s="35" cm="1">
        <f t="array" ref="AY5">IF($F$12-$I$4+VLOOKUP($Q5,武学奇术!$A:$ZZ,11,FALSE)+SUM(_xlfn.XLOOKUP(R5:AF5,增益!$A:$A,增益!$K:$K,0))&gt;0,($F$12-$I$4+VLOOKUP($Q5,武学奇术!$A:$ZZ,11,FALSE)+SUM(_xlfn.XLOOKUP(R5:AF5,增益!$A:$A,增益!$K:$K,0)))/200,($F$12-$I$4+VLOOKUP($Q5,武学奇术!$A:$ZZ,11,FALSE)+SUM(_xlfn.XLOOKUP(R5:AF5,增益!$A:$A,增益!$K:$K,0)))/100)</f>
        <v>-0.3</v>
      </c>
      <c r="AZ5" s="35" cm="1">
        <f t="array" ref="AZ5">$G$12+VLOOKUP($Q5,武学奇术!$A:$ZZ,12,FALSE)+SUM(_xlfn.XLOOKUP(R5:AF5,增益!$A:$A,增益!$L:$L,0))</f>
        <v>0</v>
      </c>
      <c r="BA5">
        <f t="shared" si="5"/>
        <v>0</v>
      </c>
      <c r="BB5">
        <f t="shared" si="6"/>
        <v>0</v>
      </c>
      <c r="BC5" s="35" cm="1">
        <f t="array" ref="BC5">IF($F$13-$I$4+VLOOKUP($Q5,武学奇术!$A:$ZZ,13,FALSE)+SUM(_xlfn.XLOOKUP(R5:AF5,增益!$A:$A,增益!$M:$M,0))&gt;0,($F$13-$I$4+VLOOKUP($Q5,武学奇术!$A:$ZZ,13,FALSE)+SUM(_xlfn.XLOOKUP(R5:AF5,增益!$A:$A,增益!$K:$K,0)))/200,($F$13-$I$4+VLOOKUP($Q5,武学奇术!$A:$ZZ,13,FALSE)+SUM(_xlfn.XLOOKUP(R5:AF5,增益!$A:$A,增益!$M:$M,0)))/100)</f>
        <v>-0.3</v>
      </c>
      <c r="BD5" s="35" cm="1">
        <f t="array" ref="BD5">$G$13+VLOOKUP($Q5,武学奇术!$A:$ZZ,14,FALSE)+SUM(_xlfn.XLOOKUP(R5:AF5,增益!$A:$A,增益!$N:$N,0))</f>
        <v>0</v>
      </c>
      <c r="BE5">
        <f t="shared" si="7"/>
        <v>538</v>
      </c>
      <c r="BF5">
        <f t="shared" si="8"/>
        <v>1561.4</v>
      </c>
      <c r="BG5" s="35" cm="1">
        <f t="array" ref="BG5">IF($F$14-$I$4+VLOOKUP($Q5,武学奇术!$A:$ZZ,15,FALSE)+SUM(_xlfn.XLOOKUP(R5:AF5,增益!$A:$A,增益!$O:$O,0))&gt;0,($F$14-$I$4+VLOOKUP($Q5,武学奇术!$A:$ZZ,15,FALSE)+SUM(_xlfn.XLOOKUP(R5:AF5,增益!$A:$A,增益!$O:$O,0)))/200,($F$14-$I$4+VLOOKUP($Q5,武学奇术!$A:$ZZ,15,FALSE)+SUM(_xlfn.XLOOKUP(R5:AF5,增益!$A:$A,增益!$O:$O,0)))/100)</f>
        <v>0</v>
      </c>
      <c r="BH5" s="35" cm="1">
        <f t="array" ref="BH5">$G$14+VLOOKUP($Q5,武学奇术!$A:$ZZ,16,FALSE)+SUM(_xlfn.XLOOKUP(R5:AF5,增益!$A:$A,增益!$P:$P,0))</f>
        <v>0.15</v>
      </c>
      <c r="BI5" s="30">
        <f>MIN(IF(VLOOKUP($Q5,武学奇术!$A:$ZZ,23,FALSE)=1,100%,$B$8),100%)</f>
        <v>0.9712</v>
      </c>
      <c r="BJ5" s="30" cm="1">
        <f t="array" ref="BJ5">IF(VLOOKUP($Q5,武学奇术!$A:$ZZ,23,FALSE)=1,100%,MIN(80%,$B$9+VLOOKUP($Q5,武学奇术!$A:$ZZ,17,FALSE)+SUM(_xlfn.XLOOKUP(R5:AF5,增益!$A:$A,增益!$Q:$Q,0)))+$B$11+SUM(_xlfn.XLOOKUP(R5:AF5,增益!$A:$A,增益!$U:$U,0)))*IF(VLOOKUP($Q5,武学奇术!$A:$ZZ,24,FALSE)=1,0,1)</f>
        <v>0.8773</v>
      </c>
      <c r="BK5" s="30" cm="1">
        <f t="array" ref="BK5">1+$B$13+VLOOKUP($Q5,武学奇术!$A:$ZZ,18,FALSE)+SUM(_xlfn.XLOOKUP(R5:AF5,增益!$A:$A,增益!$R:$R,0))</f>
        <v>1.81</v>
      </c>
      <c r="BL5" s="30" cm="1">
        <f t="array" ref="BL5">IF(VLOOKUP($Q5,武学奇术!$A:$ZZ,24,FALSE)=1,100%,MIN(40%,$B$10+VLOOKUP($Q5,武学奇术!$A:$ZZ,19,FALSE)+SUM(_xlfn.XLOOKUP(R5:AF5,增益!$A:$A,增益!$S:$S,0)))+$B$12+SUM(_xlfn.XLOOKUP(R5:AF5,增益!$A:$A,增益!$V:$V,0)))*IF(VLOOKUP($Q5,武学奇术!$A:$ZZ,23,FALSE)=1,0,1)</f>
        <v>0.0895</v>
      </c>
      <c r="BM5" s="30" cm="1">
        <f t="array" ref="BM5">1+$B$14+VLOOKUP($Q5,武学奇术!$A:$ZZ,20,FALSE)+SUM(_xlfn.XLOOKUP(R5:AF5,增益!$A:$A,增益!$T:$T,0))</f>
        <v>1.35</v>
      </c>
      <c r="BN5" s="30">
        <f t="shared" si="9"/>
        <v>0.85203376</v>
      </c>
      <c r="BO5" s="30">
        <f t="shared" si="10"/>
        <v>0.03224384</v>
      </c>
      <c r="BP5" s="30">
        <f>IF(VLOOKUP($Q5,武学奇术!$A:$ZZ,22,FALSE)=1,0,(1-$BI5))*(1-$BL5)</f>
        <v>0.0262224</v>
      </c>
      <c r="BQ5" s="30" cm="1">
        <f t="array" ref="BQ5">SUM(_xlfn.XLOOKUP(R5:AF5,增益!$A:$A,增益!$W:$W,0))+$I$5</f>
        <v>0.11</v>
      </c>
    </row>
    <row r="6" spans="1:69">
      <c r="A6" s="60" t="s">
        <v>5</v>
      </c>
      <c r="B6" s="61"/>
      <c r="C6" s="61"/>
      <c r="D6" s="61"/>
      <c r="E6" s="62"/>
      <c r="F6" s="48" t="s">
        <v>94</v>
      </c>
      <c r="G6" s="52">
        <f>B19</f>
        <v>0</v>
      </c>
      <c r="K6" s="41">
        <f t="shared" si="0"/>
        <v>27247.5027968024</v>
      </c>
      <c r="L6" s="41">
        <f>((($AN6+$AO6)/2*$AH6+$AI6)*(1+$AP6)*(1+$AQ6)+(($AS6+$AT6)/2*IF($G$1="鸣金",$AJ6,$AH6)+IF($G$1="鸣金",$AK6*1.5,0))*(1+$AU6)*(1+$AV6)+(($AW6+$AX6)/2*IF($G$1="裂石",$AJ6,$AH6)+IF($G$1="裂石",$AK6*1.5,0))*(1+$AY6)*(1+$AZ6)+(($BA6+$BB6)/2*IF($G$1="牵丝",$AJ6,$AH6)+IF($G$1="牵丝",$AK6*1.5,0))*(1+$BC6)*(1+$BD6)+(($BE6+$BF6)/2*IF($G$1="破竹",$AJ6,$AH6)+IF($G$1="破竹",$AK6*1.5,0))*(1+$BG6)*(1+$BH6))*(1+$AL6)*$BK6*$P6*(1+IF(VLOOKUP($Q6,武学奇术!$A:$ZZ,30,FALSE)="回旋伞",$B$21,0))*(1+$BQ6)</f>
        <v>28444.8624010001</v>
      </c>
      <c r="M6" s="41">
        <f>(($AO6*$AH6+$AI6)*(1+$AP6)*(1+$AQ6)+($AT6*IF($G$1="鸣金",$AJ6,$AH6)+IF($G$1="鸣金",$AK6*1.5,0))*(1+$AU6)*(1+$AV6)+($AX6*IF($G$1="裂石",$AJ6,$AH6)+IF($G$1="裂石",$AK6*1.5,0))*(1+$AY6)*(1+$AZ6)+($BB6*IF($G$1="牵丝",$AJ6,$AH6)+IF($G$1="牵丝",$AK6*1.5,0))*(1+$BC6)*(1+$BD6)+($BF6*IF($G$1="破竹",$AJ6,$AH6)+IF($G$1="破竹",$AK6*1.5,0))*(1+$BG6)*(1+$BH6))*(1+$AL6)*$BM6*$P6*(1+IF(VLOOKUP($Q6,武学奇术!$A:$ZZ,30,FALSE)="回旋伞",$B$21,0))*(1+$BQ6)</f>
        <v>23982.5963560817</v>
      </c>
      <c r="N6" s="41">
        <f>((($AN6+$AO6)/2*$AH6+$AI6)*(1+$AP6)*(1+$AQ6)+(($AS6+$AT6)/2*IF($G$1="鸣金",$AJ6,$AH6)+IF($G$1="鸣金",$AK6*1.5,0))*(1+$AU6)*(1+$AV6)+(($AW6+$AX6)/2*IF($G$1="裂石",$AJ6,$AH6)+IF($G$1="裂石",$AK6*1.5,0))*(1+$AY6)*(1+$AZ6)+(($BA6+$BB6)/2*IF($G$1="牵丝",$AJ6,$AH6)+IF($G$1="牵丝",$AK6*1.5,0))*(1+$BC6)*(1+$BD6)+(($BE6+$BF6)/2*IF($G$1="破竹",$AJ6,$AH6)+IF($G$1="破竹",$AK6*1.5,0))*(1+$BG6)*(1+$BH6))*(1+$AL6)*$P6*(1+IF(VLOOKUP($Q6,武学奇术!$A:$ZZ,30,FALSE)="回旋伞",$B$21,0))*(1+$BQ6)</f>
        <v>15715.3935917128</v>
      </c>
      <c r="O6" s="41">
        <f>((($AN6*$AH6+$AI6)*(1+$AP6)*(1+$AQ6)+($AS6*IF($G$1="鸣金",$AJ6,$AH6)+IF($G$1="鸣金",$AK6*1.5,0))*(1+$AU6)*(1+$AV6)+($AW6*IF($G$1="裂石",$AJ6,$AH6)+IF($G$1="裂石",$AK6*1.5,0))*(1+$AY6)*(1+$AZ6)+($BA6*IF($G$1="牵丝",$AJ6,$AH6)+IF($G$1="牵丝",$AK6*1.5,0))*(1+$BC6)*(1+$BD6)+($BE6*IF($G$1="破竹",$AJ6,$AH6)+IF($G$1="破竹",$AK6*1.5,0))*(1+$BG6)*(1+$BH6))*(1+$AL6))*$P6*(1+IF(VLOOKUP($Q6,武学奇术!$A:$ZZ,30,FALSE)="回旋伞",$B$21,0))*(1+$BQ6)</f>
        <v>13665.9009937354</v>
      </c>
      <c r="P6" s="42">
        <v>1</v>
      </c>
      <c r="Q6" s="43" t="s">
        <v>70</v>
      </c>
      <c r="R6" s="43" t="s">
        <v>71</v>
      </c>
      <c r="S6" s="43" t="s">
        <v>91</v>
      </c>
      <c r="T6" s="43" t="s">
        <v>72</v>
      </c>
      <c r="U6" s="43" t="s">
        <v>79</v>
      </c>
      <c r="V6" s="43" t="s">
        <v>92</v>
      </c>
      <c r="W6" s="43" t="s">
        <v>95</v>
      </c>
      <c r="X6" s="43" t="s">
        <v>71</v>
      </c>
      <c r="Y6" s="43" t="s">
        <v>71</v>
      </c>
      <c r="Z6" s="43" t="s">
        <v>71</v>
      </c>
      <c r="AA6" s="43" t="s">
        <v>71</v>
      </c>
      <c r="AB6" s="43" t="s">
        <v>71</v>
      </c>
      <c r="AC6" s="43" t="s">
        <v>71</v>
      </c>
      <c r="AD6" s="43" t="s">
        <v>71</v>
      </c>
      <c r="AE6" s="43" t="s">
        <v>71</v>
      </c>
      <c r="AF6" s="43" t="s">
        <v>76</v>
      </c>
      <c r="AG6" t="str">
        <f>VLOOKUP($Q6,武学奇术!$A:$ZZ,25,FALSE)</f>
        <v>群体奇术</v>
      </c>
      <c r="AH6" s="30">
        <f>VLOOKUP($Q6,武学奇术!$A:$ZZ,26,FALSE)</f>
        <v>1.4904</v>
      </c>
      <c r="AI6" s="31">
        <f>VLOOKUP($Q6,武学奇术!$A:$ZZ,27,FALSE)*(1+IF(OR($AG6=$F$4,$AG6=$F$5),$B$22,0))</f>
        <v>368</v>
      </c>
      <c r="AJ6" s="30">
        <f>VLOOKUP($Q6,武学奇术!$A:$ZZ,28,FALSE)</f>
        <v>2.2353</v>
      </c>
      <c r="AK6" s="31">
        <f>VLOOKUP($Q6,武学奇术!$A:$ZZ,29,FALSE)*(1+IF(OR($AG6=$F$4,$AG6=$F$5),$B$22,0))</f>
        <v>0</v>
      </c>
      <c r="AL6" s="30" cm="1">
        <f t="array" ref="AL6">$G$3+IFERROR(VLOOKUP($AG6,$F$4:$G$7,2,FALSE),0)+VLOOKUP($Q6,武学奇术!$A:$ZZ,2,FALSE)+SUM(_xlfn.XLOOKUP($R6:$AF6,增益!$A:$A,增益!$B:$B,0))</f>
        <v>0.4037</v>
      </c>
      <c r="AM6" s="30" cm="1">
        <f t="array" ref="AM6">VLOOKUP($Q6,武学奇术!$A:$ZZ,5,FALSE)+SUM(_xlfn.XLOOKUP($R6:$AF6,增益!$A:$A,增益!$E:$E,0))</f>
        <v>0</v>
      </c>
      <c r="AN6" cm="1">
        <f t="array" ref="AN6">$D$10*(1+$AM6)+VLOOKUP($Q6,武学奇术!$A:$ZZ,3,FALSE)+SUM(_xlfn.XLOOKUP($R6:$AF6,增益!$A:$A,增益!$C:$C,0))-$I$2</f>
        <v>3483.8</v>
      </c>
      <c r="AO6" cm="1">
        <f t="array" ref="AO6">$E$10*(1+$AM6)+VLOOKUP($Q6,武学奇术!$A:$ZZ,4,FALSE)+SUM(_xlfn.XLOOKUP($R6:$AF6,增益!$A:$A,增益!$D:$D,0))-$I$2</f>
        <v>3483.8</v>
      </c>
      <c r="AP6" s="35" cm="1">
        <f t="array" ref="AP6">IF($F$10-$I$3+VLOOKUP($Q6,武学奇术!$A:$ZZ,6,FALSE)+SUM(_xlfn.XLOOKUP(R6:AF6,增益!$A:$A,增益!$F:$F,0))&gt;0,($F$10-$I$3+VLOOKUP($Q6,武学奇术!$A:$ZZ,6,FALSE)+SUM(_xlfn.XLOOKUP(R6:AF6,增益!$A:$A,增益!$F:$F,0)))/200,($F$10-$I$3+VLOOKUP($Q6,武学奇术!$A:$ZZ,6,FALSE)+SUM(_xlfn.XLOOKUP(R6:AF6,增益!$A:$A,增益!$F:$F,0)))/100)</f>
        <v>0.2925</v>
      </c>
      <c r="AQ6" s="35" cm="1">
        <f t="array" ref="AQ6">$G$10+VLOOKUP($Q6,武学奇术!$A:$ZZ,7,FALSE)+SUM(_xlfn.XLOOKUP(R6:AF6,增益!$A:$A,增益!$G:$G,0))</f>
        <v>0.028</v>
      </c>
      <c r="AR6" s="30" cm="1">
        <f t="array" ref="AR6">VLOOKUP($Q6,武学奇术!$A:$ZZ,8,FALSE)+SUM(_xlfn.XLOOKUP(R6:AF6,增益!$A:$A,增益!$H:$H,0))</f>
        <v>0</v>
      </c>
      <c r="AS6">
        <f t="shared" si="1"/>
        <v>0</v>
      </c>
      <c r="AT6">
        <f t="shared" si="2"/>
        <v>0</v>
      </c>
      <c r="AU6" s="35" cm="1">
        <f t="array" ref="AU6">IF($F$11-$I$4+VLOOKUP($Q6,武学奇术!$A:$ZZ,9,FALSE)+SUM(_xlfn.XLOOKUP(R6:AF6,增益!$A:$A,增益!$I:$I,0))&gt;0,($F$11-$I$4+VLOOKUP($Q6,武学奇术!$A:$ZZ,9,FALSE)+SUM(_xlfn.XLOOKUP(R6:AF6,增益!$A:$A,增益!$I:$I,0)))/200,($F$11-$I$4+VLOOKUP($Q6,武学奇术!$A:$ZZ,9,FALSE)+SUM(_xlfn.XLOOKUP(R6:AF6,增益!$A:$A,增益!$I:$I,0)))/100)</f>
        <v>-0.3</v>
      </c>
      <c r="AV6" s="35" cm="1">
        <f t="array" ref="AV6">$G$11+VLOOKUP($Q6,武学奇术!$A:$ZZ,10,FALSE)+SUM(_xlfn.XLOOKUP(R6:AF6,增益!$A:$A,增益!$J:$J,0))</f>
        <v>0</v>
      </c>
      <c r="AW6">
        <f t="shared" si="3"/>
        <v>0</v>
      </c>
      <c r="AX6">
        <f t="shared" si="4"/>
        <v>0</v>
      </c>
      <c r="AY6" s="35" cm="1">
        <f t="array" ref="AY6">IF($F$12-$I$4+VLOOKUP($Q6,武学奇术!$A:$ZZ,11,FALSE)+SUM(_xlfn.XLOOKUP(R6:AF6,增益!$A:$A,增益!$K:$K,0))&gt;0,($F$12-$I$4+VLOOKUP($Q6,武学奇术!$A:$ZZ,11,FALSE)+SUM(_xlfn.XLOOKUP(R6:AF6,增益!$A:$A,增益!$K:$K,0)))/200,($F$12-$I$4+VLOOKUP($Q6,武学奇术!$A:$ZZ,11,FALSE)+SUM(_xlfn.XLOOKUP(R6:AF6,增益!$A:$A,增益!$K:$K,0)))/100)</f>
        <v>-0.3</v>
      </c>
      <c r="AZ6" s="35" cm="1">
        <f t="array" ref="AZ6">$G$12+VLOOKUP($Q6,武学奇术!$A:$ZZ,12,FALSE)+SUM(_xlfn.XLOOKUP(R6:AF6,增益!$A:$A,增益!$L:$L,0))</f>
        <v>0</v>
      </c>
      <c r="BA6">
        <f t="shared" si="5"/>
        <v>0</v>
      </c>
      <c r="BB6">
        <f t="shared" si="6"/>
        <v>0</v>
      </c>
      <c r="BC6" s="35" cm="1">
        <f t="array" ref="BC6">IF($F$13-$I$4+VLOOKUP($Q6,武学奇术!$A:$ZZ,13,FALSE)+SUM(_xlfn.XLOOKUP(R6:AF6,增益!$A:$A,增益!$M:$M,0))&gt;0,($F$13-$I$4+VLOOKUP($Q6,武学奇术!$A:$ZZ,13,FALSE)+SUM(_xlfn.XLOOKUP(R6:AF6,增益!$A:$A,增益!$K:$K,0)))/200,($F$13-$I$4+VLOOKUP($Q6,武学奇术!$A:$ZZ,13,FALSE)+SUM(_xlfn.XLOOKUP(R6:AF6,增益!$A:$A,增益!$M:$M,0)))/100)</f>
        <v>-0.3</v>
      </c>
      <c r="BD6" s="35" cm="1">
        <f t="array" ref="BD6">$G$13+VLOOKUP($Q6,武学奇术!$A:$ZZ,14,FALSE)+SUM(_xlfn.XLOOKUP(R6:AF6,增益!$A:$A,增益!$N:$N,0))</f>
        <v>0</v>
      </c>
      <c r="BE6">
        <f t="shared" si="7"/>
        <v>538</v>
      </c>
      <c r="BF6">
        <f t="shared" si="8"/>
        <v>1561.4</v>
      </c>
      <c r="BG6" s="35" cm="1">
        <f t="array" ref="BG6">IF($F$14-$I$4+VLOOKUP($Q6,武学奇术!$A:$ZZ,15,FALSE)+SUM(_xlfn.XLOOKUP(R6:AF6,增益!$A:$A,增益!$O:$O,0))&gt;0,($F$14-$I$4+VLOOKUP($Q6,武学奇术!$A:$ZZ,15,FALSE)+SUM(_xlfn.XLOOKUP(R6:AF6,增益!$A:$A,增益!$O:$O,0)))/200,($F$14-$I$4+VLOOKUP($Q6,武学奇术!$A:$ZZ,15,FALSE)+SUM(_xlfn.XLOOKUP(R6:AF6,增益!$A:$A,增益!$O:$O,0)))/100)</f>
        <v>0</v>
      </c>
      <c r="BH6" s="35" cm="1">
        <f t="array" ref="BH6">$G$14+VLOOKUP($Q6,武学奇术!$A:$ZZ,16,FALSE)+SUM(_xlfn.XLOOKUP(R6:AF6,增益!$A:$A,增益!$P:$P,0))</f>
        <v>0.15</v>
      </c>
      <c r="BI6" s="30">
        <f>MIN(IF(VLOOKUP($Q6,武学奇术!$A:$ZZ,23,FALSE)=1,100%,$B$8),100%)</f>
        <v>0.9712</v>
      </c>
      <c r="BJ6" s="30" cm="1">
        <f t="array" ref="BJ6">IF(VLOOKUP($Q6,武学奇术!$A:$ZZ,23,FALSE)=1,100%,MIN(80%,$B$9+VLOOKUP($Q6,武学奇术!$A:$ZZ,17,FALSE)+SUM(_xlfn.XLOOKUP(R6:AF6,增益!$A:$A,增益!$Q:$Q,0)))+$B$11+SUM(_xlfn.XLOOKUP(R6:AF6,增益!$A:$A,增益!$U:$U,0)))*IF(VLOOKUP($Q6,武学奇术!$A:$ZZ,24,FALSE)=1,0,1)</f>
        <v>0.8773</v>
      </c>
      <c r="BK6" s="30" cm="1">
        <f t="array" ref="BK6">1+$B$13+VLOOKUP($Q6,武学奇术!$A:$ZZ,18,FALSE)+SUM(_xlfn.XLOOKUP(R6:AF6,增益!$A:$A,增益!$R:$R,0))</f>
        <v>1.81</v>
      </c>
      <c r="BL6" s="30" cm="1">
        <f t="array" ref="BL6">IF(VLOOKUP($Q6,武学奇术!$A:$ZZ,24,FALSE)=1,100%,MIN(40%,$B$10+VLOOKUP($Q6,武学奇术!$A:$ZZ,19,FALSE)+SUM(_xlfn.XLOOKUP(R6:AF6,增益!$A:$A,增益!$S:$S,0)))+$B$12+SUM(_xlfn.XLOOKUP(R6:AF6,增益!$A:$A,增益!$V:$V,0)))*IF(VLOOKUP($Q6,武学奇术!$A:$ZZ,23,FALSE)=1,0,1)</f>
        <v>0.0895</v>
      </c>
      <c r="BM6" s="30" cm="1">
        <f t="array" ref="BM6">1+$B$14+VLOOKUP($Q6,武学奇术!$A:$ZZ,20,FALSE)+SUM(_xlfn.XLOOKUP(R6:AF6,增益!$A:$A,增益!$T:$T,0))</f>
        <v>1.35</v>
      </c>
      <c r="BN6" s="30">
        <f t="shared" si="9"/>
        <v>0.85203376</v>
      </c>
      <c r="BO6" s="30">
        <f t="shared" si="10"/>
        <v>0.03224384</v>
      </c>
      <c r="BP6" s="30">
        <f>IF(VLOOKUP($Q6,武学奇术!$A:$ZZ,22,FALSE)=1,0,(1-$BI6))*(1-$BL6)</f>
        <v>0.0262224</v>
      </c>
      <c r="BQ6" s="30" cm="1">
        <f t="array" ref="BQ6">SUM(_xlfn.XLOOKUP(R6:AF6,增益!$A:$A,增益!$W:$W,0))+$I$5</f>
        <v>0.11</v>
      </c>
    </row>
    <row r="7" ht="14.25" spans="1:69">
      <c r="A7" s="44" t="s">
        <v>96</v>
      </c>
      <c r="B7" s="63"/>
      <c r="C7" s="63"/>
      <c r="D7" s="64"/>
      <c r="E7" s="65"/>
      <c r="F7" s="56" t="s">
        <v>97</v>
      </c>
      <c r="G7" s="66">
        <f>B20</f>
        <v>0</v>
      </c>
      <c r="K7" s="41">
        <f t="shared" si="0"/>
        <v>15884.535397831</v>
      </c>
      <c r="L7" s="41">
        <f>((($AN7+$AO7)/2*$AH7+$AI7)*(1+$AP7)*(1+$AQ7)+(($AS7+$AT7)/2*IF($G$1="鸣金",$AJ7,$AH7)+IF($G$1="鸣金",$AK7*1.5,0))*(1+$AU7)*(1+$AV7)+(($AW7+$AX7)/2*IF($G$1="裂石",$AJ7,$AH7)+IF($G$1="裂石",$AK7*1.5,0))*(1+$AY7)*(1+$AZ7)+(($BA7+$BB7)/2*IF($G$1="牵丝",$AJ7,$AH7)+IF($G$1="牵丝",$AK7*1.5,0))*(1+$BC7)*(1+$BD7)+(($BE7+$BF7)/2*IF($G$1="破竹",$AJ7,$AH7)+IF($G$1="破竹",$AK7*1.5,0))*(1+$BG7)*(1+$BH7))*(1+$AL7)*$BK7*$P7*(1+IF(VLOOKUP($Q7,武学奇术!$A:$ZZ,30,FALSE)="回旋伞",$B$21,0))*(1+$BQ7)</f>
        <v>16230.0183326058</v>
      </c>
      <c r="M7" s="41">
        <f>(($AO7*$AH7+$AI7)*(1+$AP7)*(1+$AQ7)+($AT7*IF($G$1="鸣金",$AJ7,$AH7)+IF($G$1="鸣金",$AK7*1.5,0))*(1+$AU7)*(1+$AV7)+($AX7*IF($G$1="裂石",$AJ7,$AH7)+IF($G$1="裂石",$AK7*1.5,0))*(1+$AY7)*(1+$AZ7)+($BB7*IF($G$1="牵丝",$AJ7,$AH7)+IF($G$1="牵丝",$AK7*1.5,0))*(1+$BC7)*(1+$BD7)+($BF7*IF($G$1="破竹",$AJ7,$AH7)+IF($G$1="破竹",$AK7*1.5,0))*(1+$BG7)*(1+$BH7))*(1+$AL7)*$BM7*$P7*(1+IF(VLOOKUP($Q7,武学奇术!$A:$ZZ,30,FALSE)="回旋伞",$B$21,0))*(1+$BQ7)</f>
        <v>16350.079311382</v>
      </c>
      <c r="N7" s="41">
        <f>((($AN7+$AO7)/2*$AH7+$AI7)*(1+$AP7)*(1+$AQ7)+(($AS7+$AT7)/2*IF($G$1="鸣金",$AJ7,$AH7)+IF($G$1="鸣金",$AK7*1.5,0))*(1+$AU7)*(1+$AV7)+(($AW7+$AX7)/2*IF($G$1="裂石",$AJ7,$AH7)+IF($G$1="裂石",$AK7*1.5,0))*(1+$AY7)*(1+$AZ7)+(($BA7+$BB7)/2*IF($G$1="牵丝",$AJ7,$AH7)+IF($G$1="牵丝",$AK7*1.5,0))*(1+$BC7)*(1+$BD7)+(($BE7+$BF7)/2*IF($G$1="破竹",$AJ7,$AH7)+IF($G$1="破竹",$AK7*1.5,0))*(1+$BG7)*(1+$BH7))*(1+$AL7)*$P7*(1+IF(VLOOKUP($Q7,武学奇术!$A:$ZZ,30,FALSE)="回旋伞",$B$21,0))*(1+$BQ7)</f>
        <v>10748.3565116595</v>
      </c>
      <c r="O7" s="41">
        <f>((($AN7*$AH7+$AI7)*(1+$AP7)*(1+$AQ7)+($AS7*IF($G$1="鸣金",$AJ7,$AH7)+IF($G$1="鸣金",$AK7*1.5,0))*(1+$AU7)*(1+$AV7)+($AW7*IF($G$1="裂石",$AJ7,$AH7)+IF($G$1="裂石",$AK7*1.5,0))*(1+$AY7)*(1+$AZ7)+($BA7*IF($G$1="牵丝",$AJ7,$AH7)+IF($G$1="牵丝",$AK7*1.5,0))*(1+$BC7)*(1+$BD7)+($BE7*IF($G$1="破竹",$AJ7,$AH7)+IF($G$1="破竹",$AK7*1.5,0))*(1+$BG7)*(1+$BH7))*(1+$AL7))*$P7*(1+IF(VLOOKUP($Q7,武学奇术!$A:$ZZ,30,FALSE)="回旋伞",$B$21,0))*(1+$BQ7)</f>
        <v>9385.54316303594</v>
      </c>
      <c r="P7" s="42">
        <v>1</v>
      </c>
      <c r="Q7" s="43" t="s">
        <v>98</v>
      </c>
      <c r="R7" s="43" t="s">
        <v>71</v>
      </c>
      <c r="S7" s="43" t="s">
        <v>71</v>
      </c>
      <c r="T7" s="43" t="s">
        <v>71</v>
      </c>
      <c r="U7" s="43" t="s">
        <v>71</v>
      </c>
      <c r="V7" s="43" t="s">
        <v>74</v>
      </c>
      <c r="W7" s="43" t="s">
        <v>75</v>
      </c>
      <c r="X7" s="43" t="s">
        <v>71</v>
      </c>
      <c r="Y7" s="43" t="s">
        <v>71</v>
      </c>
      <c r="Z7" s="43" t="s">
        <v>71</v>
      </c>
      <c r="AA7" s="43" t="s">
        <v>71</v>
      </c>
      <c r="AB7" s="43" t="s">
        <v>71</v>
      </c>
      <c r="AC7" s="43" t="s">
        <v>71</v>
      </c>
      <c r="AD7" s="43" t="s">
        <v>71</v>
      </c>
      <c r="AE7" s="43" t="s">
        <v>71</v>
      </c>
      <c r="AF7" s="43" t="s">
        <v>76</v>
      </c>
      <c r="AG7" t="str">
        <f>VLOOKUP($Q7,武学奇术!$A:$ZZ,25,FALSE)</f>
        <v>绳镖</v>
      </c>
      <c r="AH7" s="30">
        <f>VLOOKUP($Q7,武学奇术!$A:$ZZ,26,FALSE)</f>
        <v>1.1137</v>
      </c>
      <c r="AI7" s="31">
        <f>VLOOKUP($Q7,武学奇术!$A:$ZZ,27,FALSE)*(1+IF(OR($AG7=$F$4,$AG7=$F$5),$B$22,0))</f>
        <v>432.6</v>
      </c>
      <c r="AJ7" s="30">
        <f>VLOOKUP($Q7,武学奇术!$A:$ZZ,28,FALSE)</f>
        <v>1.6706</v>
      </c>
      <c r="AK7" s="31">
        <f>VLOOKUP($Q7,武学奇术!$A:$ZZ,29,FALSE)*(1+IF(OR($AG7=$F$4,$AG7=$F$5),$B$22,0))</f>
        <v>235.2</v>
      </c>
      <c r="AL7" s="30" cm="1">
        <f t="array" ref="AL7">$G$3+IFERROR(VLOOKUP($AG7,$F$4:$G$7,2,FALSE),0)+VLOOKUP($Q7,武学奇术!$A:$ZZ,2,FALSE)+SUM(_xlfn.XLOOKUP($R7:$AF7,增益!$A:$A,增益!$B:$B,0))</f>
        <v>0.2489</v>
      </c>
      <c r="AM7" s="30" cm="1">
        <f t="array" ref="AM7">VLOOKUP($Q7,武学奇术!$A:$ZZ,5,FALSE)+SUM(_xlfn.XLOOKUP($R7:$AF7,增益!$A:$A,增益!$E:$E,0))</f>
        <v>0</v>
      </c>
      <c r="AN7" cm="1">
        <f t="array" ref="AN7">$D$10*(1+$AM7)+VLOOKUP($Q7,武学奇术!$A:$ZZ,3,FALSE)+SUM(_xlfn.XLOOKUP($R7:$AF7,增益!$A:$A,增益!$C:$C,0))-$I$2</f>
        <v>3483.8</v>
      </c>
      <c r="AO7" cm="1">
        <f t="array" ref="AO7">$E$10*(1+$AM7)+VLOOKUP($Q7,武学奇术!$A:$ZZ,4,FALSE)+SUM(_xlfn.XLOOKUP($R7:$AF7,增益!$A:$A,增益!$D:$D,0))-$I$2</f>
        <v>3483.8</v>
      </c>
      <c r="AP7" s="35" cm="1">
        <f t="array" ref="AP7">IF($F$10-$I$3+VLOOKUP($Q7,武学奇术!$A:$ZZ,6,FALSE)+SUM(_xlfn.XLOOKUP(R7:AF7,增益!$A:$A,增益!$F:$F,0))&gt;0,($F$10-$I$3+VLOOKUP($Q7,武学奇术!$A:$ZZ,6,FALSE)+SUM(_xlfn.XLOOKUP(R7:AF7,增益!$A:$A,增益!$F:$F,0)))/200,($F$10-$I$3+VLOOKUP($Q7,武学奇术!$A:$ZZ,6,FALSE)+SUM(_xlfn.XLOOKUP(R7:AF7,增益!$A:$A,增益!$F:$F,0)))/100)</f>
        <v>0.2025</v>
      </c>
      <c r="AQ7" s="35" cm="1">
        <f t="array" ref="AQ7">$G$10+VLOOKUP($Q7,武学奇术!$A:$ZZ,7,FALSE)+SUM(_xlfn.XLOOKUP(R7:AF7,增益!$A:$A,增益!$G:$G,0))</f>
        <v>0.028</v>
      </c>
      <c r="AR7" s="30" cm="1">
        <f t="array" ref="AR7">VLOOKUP($Q7,武学奇术!$A:$ZZ,8,FALSE)+SUM(_xlfn.XLOOKUP(R7:AF7,增益!$A:$A,增益!$H:$H,0))</f>
        <v>0</v>
      </c>
      <c r="AS7">
        <f t="shared" si="1"/>
        <v>0</v>
      </c>
      <c r="AT7">
        <f t="shared" si="2"/>
        <v>0</v>
      </c>
      <c r="AU7" s="35" cm="1">
        <f t="array" ref="AU7">IF($F$11-$I$4+VLOOKUP($Q7,武学奇术!$A:$ZZ,9,FALSE)+SUM(_xlfn.XLOOKUP(R7:AF7,增益!$A:$A,增益!$I:$I,0))&gt;0,($F$11-$I$4+VLOOKUP($Q7,武学奇术!$A:$ZZ,9,FALSE)+SUM(_xlfn.XLOOKUP(R7:AF7,增益!$A:$A,增益!$I:$I,0)))/200,($F$11-$I$4+VLOOKUP($Q7,武学奇术!$A:$ZZ,9,FALSE)+SUM(_xlfn.XLOOKUP(R7:AF7,增益!$A:$A,增益!$I:$I,0)))/100)</f>
        <v>-0.3</v>
      </c>
      <c r="AV7" s="35" cm="1">
        <f t="array" ref="AV7">$G$11+VLOOKUP($Q7,武学奇术!$A:$ZZ,10,FALSE)+SUM(_xlfn.XLOOKUP(R7:AF7,增益!$A:$A,增益!$J:$J,0))</f>
        <v>0</v>
      </c>
      <c r="AW7">
        <f t="shared" si="3"/>
        <v>0</v>
      </c>
      <c r="AX7">
        <f t="shared" si="4"/>
        <v>0</v>
      </c>
      <c r="AY7" s="35" cm="1">
        <f t="array" ref="AY7">IF($F$12-$I$4+VLOOKUP($Q7,武学奇术!$A:$ZZ,11,FALSE)+SUM(_xlfn.XLOOKUP(R7:AF7,增益!$A:$A,增益!$K:$K,0))&gt;0,($F$12-$I$4+VLOOKUP($Q7,武学奇术!$A:$ZZ,11,FALSE)+SUM(_xlfn.XLOOKUP(R7:AF7,增益!$A:$A,增益!$K:$K,0)))/200,($F$12-$I$4+VLOOKUP($Q7,武学奇术!$A:$ZZ,11,FALSE)+SUM(_xlfn.XLOOKUP(R7:AF7,增益!$A:$A,增益!$K:$K,0)))/100)</f>
        <v>-0.3</v>
      </c>
      <c r="AZ7" s="35" cm="1">
        <f t="array" ref="AZ7">$G$12+VLOOKUP($Q7,武学奇术!$A:$ZZ,12,FALSE)+SUM(_xlfn.XLOOKUP(R7:AF7,增益!$A:$A,增益!$L:$L,0))</f>
        <v>0</v>
      </c>
      <c r="BA7">
        <f t="shared" si="5"/>
        <v>0</v>
      </c>
      <c r="BB7">
        <f t="shared" si="6"/>
        <v>0</v>
      </c>
      <c r="BC7" s="35" cm="1">
        <f t="array" ref="BC7">IF($F$13-$I$4+VLOOKUP($Q7,武学奇术!$A:$ZZ,13,FALSE)+SUM(_xlfn.XLOOKUP(R7:AF7,增益!$A:$A,增益!$M:$M,0))&gt;0,($F$13-$I$4+VLOOKUP($Q7,武学奇术!$A:$ZZ,13,FALSE)+SUM(_xlfn.XLOOKUP(R7:AF7,增益!$A:$A,增益!$K:$K,0)))/200,($F$13-$I$4+VLOOKUP($Q7,武学奇术!$A:$ZZ,13,FALSE)+SUM(_xlfn.XLOOKUP(R7:AF7,增益!$A:$A,增益!$M:$M,0)))/100)</f>
        <v>-0.3</v>
      </c>
      <c r="BD7" s="35" cm="1">
        <f t="array" ref="BD7">$G$13+VLOOKUP($Q7,武学奇术!$A:$ZZ,14,FALSE)+SUM(_xlfn.XLOOKUP(R7:AF7,增益!$A:$A,增益!$N:$N,0))</f>
        <v>0</v>
      </c>
      <c r="BE7">
        <f t="shared" si="7"/>
        <v>538</v>
      </c>
      <c r="BF7">
        <f t="shared" si="8"/>
        <v>1561.4</v>
      </c>
      <c r="BG7" s="35" cm="1">
        <f t="array" ref="BG7">IF($F$14-$I$4+VLOOKUP($Q7,武学奇术!$A:$ZZ,15,FALSE)+SUM(_xlfn.XLOOKUP(R7:AF7,增益!$A:$A,增益!$O:$O,0))&gt;0,($F$14-$I$4+VLOOKUP($Q7,武学奇术!$A:$ZZ,15,FALSE)+SUM(_xlfn.XLOOKUP(R7:AF7,增益!$A:$A,增益!$O:$O,0)))/200,($F$14-$I$4+VLOOKUP($Q7,武学奇术!$A:$ZZ,15,FALSE)+SUM(_xlfn.XLOOKUP(R7:AF7,增益!$A:$A,增益!$O:$O,0)))/100)</f>
        <v>0</v>
      </c>
      <c r="BH7" s="35" cm="1">
        <f t="array" ref="BH7">$G$14+VLOOKUP($Q7,武学奇术!$A:$ZZ,16,FALSE)+SUM(_xlfn.XLOOKUP(R7:AF7,增益!$A:$A,增益!$P:$P,0))</f>
        <v>0.15</v>
      </c>
      <c r="BI7" s="30">
        <f>MIN(IF(VLOOKUP($Q7,武学奇术!$A:$ZZ,23,FALSE)=1,100%,$B$8),100%)</f>
        <v>0.9712</v>
      </c>
      <c r="BJ7" s="30" cm="1">
        <f t="array" ref="BJ7">IF(VLOOKUP($Q7,武学奇术!$A:$ZZ,23,FALSE)=1,100%,MIN(80%,$B$9+VLOOKUP($Q7,武学奇术!$A:$ZZ,17,FALSE)+SUM(_xlfn.XLOOKUP(R7:AF7,增益!$A:$A,增益!$Q:$Q,0)))+$B$11+SUM(_xlfn.XLOOKUP(R7:AF7,增益!$A:$A,增益!$U:$U,0)))*IF(VLOOKUP($Q7,武学奇术!$A:$ZZ,24,FALSE)=1,0,1)</f>
        <v>0.8773</v>
      </c>
      <c r="BK7" s="30" cm="1">
        <f t="array" ref="BK7">1+$B$13+VLOOKUP($Q7,武学奇术!$A:$ZZ,18,FALSE)+SUM(_xlfn.XLOOKUP(R7:AF7,增益!$A:$A,增益!$R:$R,0))</f>
        <v>1.51</v>
      </c>
      <c r="BL7" s="30" cm="1">
        <f t="array" ref="BL7">IF(VLOOKUP($Q7,武学奇术!$A:$ZZ,24,FALSE)=1,100%,MIN(40%,$B$10+VLOOKUP($Q7,武学奇术!$A:$ZZ,19,FALSE)+SUM(_xlfn.XLOOKUP(R7:AF7,增益!$A:$A,增益!$S:$S,0)))+$B$12+SUM(_xlfn.XLOOKUP(R7:AF7,增益!$A:$A,增益!$V:$V,0)))*IF(VLOOKUP($Q7,武学奇术!$A:$ZZ,23,FALSE)=1,0,1)</f>
        <v>0.0895</v>
      </c>
      <c r="BM7" s="30" cm="1">
        <f t="array" ref="BM7">1+$B$14+VLOOKUP($Q7,武学奇术!$A:$ZZ,20,FALSE)+SUM(_xlfn.XLOOKUP(R7:AF7,增益!$A:$A,增益!$T:$T,0))</f>
        <v>1.35</v>
      </c>
      <c r="BN7" s="30">
        <f t="shared" si="9"/>
        <v>0.85203376</v>
      </c>
      <c r="BO7" s="30">
        <f t="shared" si="10"/>
        <v>0.03224384</v>
      </c>
      <c r="BP7" s="30">
        <f>IF(VLOOKUP($Q7,武学奇术!$A:$ZZ,22,FALSE)=1,0,(1-$BI7))*(1-$BL7)</f>
        <v>0.0262224</v>
      </c>
      <c r="BQ7" s="30" cm="1">
        <f t="array" ref="BQ7">SUM(_xlfn.XLOOKUP(R7:AF7,增益!$A:$A,增益!$W:$W,0))+$I$5</f>
        <v>0.11</v>
      </c>
    </row>
    <row r="8" spans="1:69">
      <c r="A8" s="67" t="s">
        <v>99</v>
      </c>
      <c r="B8" s="68">
        <f>期望!B8</f>
        <v>0.9712</v>
      </c>
      <c r="C8" s="69" t="s">
        <v>100</v>
      </c>
      <c r="D8" s="69"/>
      <c r="E8" s="69"/>
      <c r="F8" s="69"/>
      <c r="G8" s="40"/>
      <c r="H8" s="70" t="s">
        <v>101</v>
      </c>
      <c r="I8" s="18">
        <f>期望!I8</f>
        <v>110.2</v>
      </c>
      <c r="J8" s="71"/>
      <c r="K8" s="41">
        <f t="shared" si="0"/>
        <v>11633.9776975287</v>
      </c>
      <c r="L8" s="41">
        <f>((($AN8+$AO8)/2*$AH8+$AI8)*(1+$AP8)*(1+$AQ8)+(($AS8+$AT8)/2*IF($G$1="鸣金",$AJ8,$AH8)+IF($G$1="鸣金",$AK8*1.5,0))*(1+$AU8)*(1+$AV8)+(($AW8+$AX8)/2*IF($G$1="裂石",$AJ8,$AH8)+IF($G$1="裂石",$AK8*1.5,0))*(1+$AY8)*(1+$AZ8)+(($BA8+$BB8)/2*IF($G$1="牵丝",$AJ8,$AH8)+IF($G$1="牵丝",$AK8*1.5,0))*(1+$BC8)*(1+$BD8)+(($BE8+$BF8)/2*IF($G$1="破竹",$AJ8,$AH8)+IF($G$1="破竹",$AK8*1.5,0))*(1+$BG8)*(1+$BH8))*(1+$AL8)*$BK8*$P8*(1+IF(VLOOKUP($Q8,武学奇术!$A:$ZZ,30,FALSE)="回旋伞",$B$21,0))*(1+$BQ8)</f>
        <v>11887.0590482615</v>
      </c>
      <c r="M8" s="41">
        <f>(($AO8*$AH8+$AI8)*(1+$AP8)*(1+$AQ8)+($AT8*IF($G$1="鸣金",$AJ8,$AH8)+IF($G$1="鸣金",$AK8*1.5,0))*(1+$AU8)*(1+$AV8)+($AX8*IF($G$1="裂石",$AJ8,$AH8)+IF($G$1="裂石",$AK8*1.5,0))*(1+$AY8)*(1+$AZ8)+($BB8*IF($G$1="牵丝",$AJ8,$AH8)+IF($G$1="牵丝",$AK8*1.5,0))*(1+$BC8)*(1+$BD8)+($BF8*IF($G$1="破竹",$AJ8,$AH8)+IF($G$1="破竹",$AK8*1.5,0))*(1+$BG8)*(1+$BH8))*(1+$AL8)*$BM8*$P8*(1+IF(VLOOKUP($Q8,武学奇术!$A:$ZZ,30,FALSE)="回旋伞",$B$21,0))*(1+$BQ8)</f>
        <v>11974.3434503897</v>
      </c>
      <c r="N8" s="41">
        <f>((($AN8+$AO8)/2*$AH8+$AI8)*(1+$AP8)*(1+$AQ8)+(($AS8+$AT8)/2*IF($G$1="鸣金",$AJ8,$AH8)+IF($G$1="鸣金",$AK8*1.5,0))*(1+$AU8)*(1+$AV8)+(($AW8+$AX8)/2*IF($G$1="裂石",$AJ8,$AH8)+IF($G$1="裂石",$AK8*1.5,0))*(1+$AY8)*(1+$AZ8)+(($BA8+$BB8)/2*IF($G$1="牵丝",$AJ8,$AH8)+IF($G$1="牵丝",$AK8*1.5,0))*(1+$BC8)*(1+$BD8)+(($BE8+$BF8)/2*IF($G$1="破竹",$AJ8,$AH8)+IF($G$1="破竹",$AK8*1.5,0))*(1+$BG8)*(1+$BH8))*(1+$AL8)*$P8*(1+IF(VLOOKUP($Q8,武学奇术!$A:$ZZ,30,FALSE)="回旋伞",$B$21,0))*(1+$BQ8)</f>
        <v>7872.22453527253</v>
      </c>
      <c r="O8" s="41">
        <f>((($AN8*$AH8+$AI8)*(1+$AP8)*(1+$AQ8)+($AS8*IF($G$1="鸣金",$AJ8,$AH8)+IF($G$1="鸣金",$AK8*1.5,0))*(1+$AU8)*(1+$AV8)+($AW8*IF($G$1="裂石",$AJ8,$AH8)+IF($G$1="裂石",$AK8*1.5,0))*(1+$AY8)*(1+$AZ8)+($BA8*IF($G$1="牵丝",$AJ8,$AH8)+IF($G$1="牵丝",$AK8*1.5,0))*(1+$BC8)*(1+$BD8)+($BE8*IF($G$1="破竹",$AJ8,$AH8)+IF($G$1="破竹",$AK8*1.5,0))*(1+$BG8)*(1+$BH8))*(1+$AL8))*$P8*(1+IF(VLOOKUP($Q8,武学奇术!$A:$ZZ,30,FALSE)="回旋伞",$B$21,0))*(1+$BQ8)</f>
        <v>6874.56503321935</v>
      </c>
      <c r="P8" s="42">
        <v>1</v>
      </c>
      <c r="Q8" s="43" t="s">
        <v>102</v>
      </c>
      <c r="R8" s="43" t="s">
        <v>71</v>
      </c>
      <c r="S8" s="43" t="s">
        <v>71</v>
      </c>
      <c r="T8" s="43" t="s">
        <v>71</v>
      </c>
      <c r="U8" s="43" t="s">
        <v>71</v>
      </c>
      <c r="V8" s="43" t="s">
        <v>74</v>
      </c>
      <c r="W8" s="43" t="s">
        <v>75</v>
      </c>
      <c r="X8" s="43" t="s">
        <v>71</v>
      </c>
      <c r="Y8" s="43" t="s">
        <v>71</v>
      </c>
      <c r="Z8" s="43" t="s">
        <v>71</v>
      </c>
      <c r="AA8" s="43" t="s">
        <v>71</v>
      </c>
      <c r="AB8" s="43" t="s">
        <v>71</v>
      </c>
      <c r="AC8" s="43" t="s">
        <v>71</v>
      </c>
      <c r="AD8" s="43" t="s">
        <v>71</v>
      </c>
      <c r="AE8" s="43" t="s">
        <v>71</v>
      </c>
      <c r="AF8" s="43" t="s">
        <v>76</v>
      </c>
      <c r="AG8" t="str">
        <f>VLOOKUP($Q8,武学奇术!$A:$ZZ,25,FALSE)</f>
        <v>绳镖</v>
      </c>
      <c r="AH8" s="30">
        <f>VLOOKUP($Q8,武学奇术!$A:$ZZ,26,FALSE)</f>
        <v>0.7839</v>
      </c>
      <c r="AI8" s="31">
        <f>VLOOKUP($Q8,武学奇术!$A:$ZZ,27,FALSE)*(1+IF(OR($AG8=$F$4,$AG8=$F$5),$B$22,0))</f>
        <v>305.2</v>
      </c>
      <c r="AJ8" s="30">
        <f>VLOOKUP($Q8,武学奇术!$A:$ZZ,28,FALSE)</f>
        <v>1.1759</v>
      </c>
      <c r="AK8" s="31">
        <f>VLOOKUP($Q8,武学奇术!$A:$ZZ,29,FALSE)*(1+IF(OR($AG8=$F$4,$AG8=$F$5),$B$22,0))</f>
        <v>166.6</v>
      </c>
      <c r="AL8" s="30" cm="1">
        <f t="array" ref="AL8">$G$3+IFERROR(VLOOKUP($AG8,$F$4:$G$7,2,FALSE),0)+VLOOKUP($Q8,武学奇术!$A:$ZZ,2,FALSE)+SUM(_xlfn.XLOOKUP($R8:$AF8,增益!$A:$A,增益!$B:$B,0))</f>
        <v>0.2989</v>
      </c>
      <c r="AM8" s="30" cm="1">
        <f t="array" ref="AM8">VLOOKUP($Q8,武学奇术!$A:$ZZ,5,FALSE)+SUM(_xlfn.XLOOKUP($R8:$AF8,增益!$A:$A,增益!$E:$E,0))</f>
        <v>0</v>
      </c>
      <c r="AN8" cm="1">
        <f t="array" ref="AN8">$D$10*(1+$AM8)+VLOOKUP($Q8,武学奇术!$A:$ZZ,3,FALSE)+SUM(_xlfn.XLOOKUP($R8:$AF8,增益!$A:$A,增益!$C:$C,0))-$I$2</f>
        <v>3483.8</v>
      </c>
      <c r="AO8" cm="1">
        <f t="array" ref="AO8">$E$10*(1+$AM8)+VLOOKUP($Q8,武学奇术!$A:$ZZ,4,FALSE)+SUM(_xlfn.XLOOKUP($R8:$AF8,增益!$A:$A,增益!$D:$D,0))-$I$2</f>
        <v>3483.8</v>
      </c>
      <c r="AP8" s="35" cm="1">
        <f t="array" ref="AP8">IF($F$10-$I$3+VLOOKUP($Q8,武学奇术!$A:$ZZ,6,FALSE)+SUM(_xlfn.XLOOKUP(R8:AF8,增益!$A:$A,增益!$F:$F,0))&gt;0,($F$10-$I$3+VLOOKUP($Q8,武学奇术!$A:$ZZ,6,FALSE)+SUM(_xlfn.XLOOKUP(R8:AF8,增益!$A:$A,增益!$F:$F,0)))/200,($F$10-$I$3+VLOOKUP($Q8,武学奇术!$A:$ZZ,6,FALSE)+SUM(_xlfn.XLOOKUP(R8:AF8,增益!$A:$A,增益!$F:$F,0)))/100)</f>
        <v>0.2025</v>
      </c>
      <c r="AQ8" s="35" cm="1">
        <f t="array" ref="AQ8">$G$10+VLOOKUP($Q8,武学奇术!$A:$ZZ,7,FALSE)+SUM(_xlfn.XLOOKUP(R8:AF8,增益!$A:$A,增益!$G:$G,0))</f>
        <v>0.028</v>
      </c>
      <c r="AR8" s="30" cm="1">
        <f t="array" ref="AR8">VLOOKUP($Q8,武学奇术!$A:$ZZ,8,FALSE)+SUM(_xlfn.XLOOKUP(R8:AF8,增益!$A:$A,增益!$H:$H,0))</f>
        <v>0</v>
      </c>
      <c r="AS8">
        <f t="shared" si="1"/>
        <v>0</v>
      </c>
      <c r="AT8">
        <f t="shared" si="2"/>
        <v>0</v>
      </c>
      <c r="AU8" s="35" cm="1">
        <f t="array" ref="AU8">IF($F$11-$I$4+VLOOKUP($Q8,武学奇术!$A:$ZZ,9,FALSE)+SUM(_xlfn.XLOOKUP(R8:AF8,增益!$A:$A,增益!$I:$I,0))&gt;0,($F$11-$I$4+VLOOKUP($Q8,武学奇术!$A:$ZZ,9,FALSE)+SUM(_xlfn.XLOOKUP(R8:AF8,增益!$A:$A,增益!$I:$I,0)))/200,($F$11-$I$4+VLOOKUP($Q8,武学奇术!$A:$ZZ,9,FALSE)+SUM(_xlfn.XLOOKUP(R8:AF8,增益!$A:$A,增益!$I:$I,0)))/100)</f>
        <v>-0.3</v>
      </c>
      <c r="AV8" s="35" cm="1">
        <f t="array" ref="AV8">$G$11+VLOOKUP($Q8,武学奇术!$A:$ZZ,10,FALSE)+SUM(_xlfn.XLOOKUP(R8:AF8,增益!$A:$A,增益!$J:$J,0))</f>
        <v>0</v>
      </c>
      <c r="AW8">
        <f t="shared" si="3"/>
        <v>0</v>
      </c>
      <c r="AX8">
        <f t="shared" si="4"/>
        <v>0</v>
      </c>
      <c r="AY8" s="35" cm="1">
        <f t="array" ref="AY8">IF($F$12-$I$4+VLOOKUP($Q8,武学奇术!$A:$ZZ,11,FALSE)+SUM(_xlfn.XLOOKUP(R8:AF8,增益!$A:$A,增益!$K:$K,0))&gt;0,($F$12-$I$4+VLOOKUP($Q8,武学奇术!$A:$ZZ,11,FALSE)+SUM(_xlfn.XLOOKUP(R8:AF8,增益!$A:$A,增益!$K:$K,0)))/200,($F$12-$I$4+VLOOKUP($Q8,武学奇术!$A:$ZZ,11,FALSE)+SUM(_xlfn.XLOOKUP(R8:AF8,增益!$A:$A,增益!$K:$K,0)))/100)</f>
        <v>-0.3</v>
      </c>
      <c r="AZ8" s="35" cm="1">
        <f t="array" ref="AZ8">$G$12+VLOOKUP($Q8,武学奇术!$A:$ZZ,12,FALSE)+SUM(_xlfn.XLOOKUP(R8:AF8,增益!$A:$A,增益!$L:$L,0))</f>
        <v>0</v>
      </c>
      <c r="BA8">
        <f t="shared" si="5"/>
        <v>0</v>
      </c>
      <c r="BB8">
        <f t="shared" si="6"/>
        <v>0</v>
      </c>
      <c r="BC8" s="35" cm="1">
        <f t="array" ref="BC8">IF($F$13-$I$4+VLOOKUP($Q8,武学奇术!$A:$ZZ,13,FALSE)+SUM(_xlfn.XLOOKUP(R8:AF8,增益!$A:$A,增益!$M:$M,0))&gt;0,($F$13-$I$4+VLOOKUP($Q8,武学奇术!$A:$ZZ,13,FALSE)+SUM(_xlfn.XLOOKUP(R8:AF8,增益!$A:$A,增益!$K:$K,0)))/200,($F$13-$I$4+VLOOKUP($Q8,武学奇术!$A:$ZZ,13,FALSE)+SUM(_xlfn.XLOOKUP(R8:AF8,增益!$A:$A,增益!$M:$M,0)))/100)</f>
        <v>-0.3</v>
      </c>
      <c r="BD8" s="35" cm="1">
        <f t="array" ref="BD8">$G$13+VLOOKUP($Q8,武学奇术!$A:$ZZ,14,FALSE)+SUM(_xlfn.XLOOKUP(R8:AF8,增益!$A:$A,增益!$N:$N,0))</f>
        <v>0</v>
      </c>
      <c r="BE8">
        <f t="shared" si="7"/>
        <v>538</v>
      </c>
      <c r="BF8">
        <f t="shared" si="8"/>
        <v>1561.4</v>
      </c>
      <c r="BG8" s="35" cm="1">
        <f t="array" ref="BG8">IF($F$14-$I$4+VLOOKUP($Q8,武学奇术!$A:$ZZ,15,FALSE)+SUM(_xlfn.XLOOKUP(R8:AF8,增益!$A:$A,增益!$O:$O,0))&gt;0,($F$14-$I$4+VLOOKUP($Q8,武学奇术!$A:$ZZ,15,FALSE)+SUM(_xlfn.XLOOKUP(R8:AF8,增益!$A:$A,增益!$O:$O,0)))/200,($F$14-$I$4+VLOOKUP($Q8,武学奇术!$A:$ZZ,15,FALSE)+SUM(_xlfn.XLOOKUP(R8:AF8,增益!$A:$A,增益!$O:$O,0)))/100)</f>
        <v>0</v>
      </c>
      <c r="BH8" s="35" cm="1">
        <f t="array" ref="BH8">$G$14+VLOOKUP($Q8,武学奇术!$A:$ZZ,16,FALSE)+SUM(_xlfn.XLOOKUP(R8:AF8,增益!$A:$A,增益!$P:$P,0))</f>
        <v>0.15</v>
      </c>
      <c r="BI8" s="30">
        <f>MIN(IF(VLOOKUP($Q8,武学奇术!$A:$ZZ,23,FALSE)=1,100%,$B$8),100%)</f>
        <v>0.9712</v>
      </c>
      <c r="BJ8" s="30" cm="1">
        <f t="array" ref="BJ8">IF(VLOOKUP($Q8,武学奇术!$A:$ZZ,23,FALSE)=1,100%,MIN(80%,$B$9+VLOOKUP($Q8,武学奇术!$A:$ZZ,17,FALSE)+SUM(_xlfn.XLOOKUP(R8:AF8,增益!$A:$A,增益!$Q:$Q,0)))+$B$11+SUM(_xlfn.XLOOKUP(R8:AF8,增益!$A:$A,增益!$U:$U,0)))*IF(VLOOKUP($Q8,武学奇术!$A:$ZZ,24,FALSE)=1,0,1)</f>
        <v>0.8773</v>
      </c>
      <c r="BK8" s="30" cm="1">
        <f t="array" ref="BK8">1+$B$13+VLOOKUP($Q8,武学奇术!$A:$ZZ,18,FALSE)+SUM(_xlfn.XLOOKUP(R8:AF8,增益!$A:$A,增益!$R:$R,0))</f>
        <v>1.51</v>
      </c>
      <c r="BL8" s="30" cm="1">
        <f t="array" ref="BL8">IF(VLOOKUP($Q8,武学奇术!$A:$ZZ,24,FALSE)=1,100%,MIN(40%,$B$10+VLOOKUP($Q8,武学奇术!$A:$ZZ,19,FALSE)+SUM(_xlfn.XLOOKUP(R8:AF8,增益!$A:$A,增益!$S:$S,0)))+$B$12+SUM(_xlfn.XLOOKUP(R8:AF8,增益!$A:$A,增益!$V:$V,0)))*IF(VLOOKUP($Q8,武学奇术!$A:$ZZ,23,FALSE)=1,0,1)</f>
        <v>0.0895</v>
      </c>
      <c r="BM8" s="30" cm="1">
        <f t="array" ref="BM8">1+$B$14+VLOOKUP($Q8,武学奇术!$A:$ZZ,20,FALSE)+SUM(_xlfn.XLOOKUP(R8:AF8,增益!$A:$A,增益!$T:$T,0))</f>
        <v>1.35</v>
      </c>
      <c r="BN8" s="30">
        <f t="shared" si="9"/>
        <v>0.85203376</v>
      </c>
      <c r="BO8" s="30">
        <f t="shared" si="10"/>
        <v>0.03224384</v>
      </c>
      <c r="BP8" s="30">
        <f>IF(VLOOKUP($Q8,武学奇术!$A:$ZZ,22,FALSE)=1,0,(1-$BI8))*(1-$BL8)</f>
        <v>0.0262224</v>
      </c>
      <c r="BQ8" s="30" cm="1">
        <f t="array" ref="BQ8">SUM(_xlfn.XLOOKUP(R8:AF8,增益!$A:$A,增益!$W:$W,0))+$I$5</f>
        <v>0.11</v>
      </c>
    </row>
    <row r="9" ht="14.25" spans="1:69">
      <c r="A9" s="44" t="s">
        <v>103</v>
      </c>
      <c r="B9" s="72">
        <f>期望!B9</f>
        <v>0.7903</v>
      </c>
      <c r="C9" s="21"/>
      <c r="D9" t="s">
        <v>0</v>
      </c>
      <c r="E9" t="s">
        <v>1</v>
      </c>
      <c r="F9" s="42" t="s">
        <v>2</v>
      </c>
      <c r="G9" s="47" t="s">
        <v>3</v>
      </c>
      <c r="H9" s="73"/>
      <c r="I9" s="22"/>
      <c r="J9" s="74"/>
      <c r="K9" s="41">
        <f t="shared" si="0"/>
        <v>61469.9925843805</v>
      </c>
      <c r="L9" s="41">
        <f>((($AN9+$AO9)/2*$AH9+$AI9)*(1+$AP9)*(1+$AQ9)+(($AS9+$AT9)/2*IF($G$1="鸣金",$AJ9,$AH9)+IF($G$1="鸣金",$AK9*1.5,0))*(1+$AU9)*(1+$AV9)+(($AW9+$AX9)/2*IF($G$1="裂石",$AJ9,$AH9)+IF($G$1="裂石",$AK9*1.5,0))*(1+$AY9)*(1+$AZ9)+(($BA9+$BB9)/2*IF($G$1="牵丝",$AJ9,$AH9)+IF($G$1="牵丝",$AK9*1.5,0))*(1+$BC9)*(1+$BD9)+(($BE9+$BF9)/2*IF($G$1="破竹",$AJ9,$AH9)+IF($G$1="破竹",$AK9*1.5,0))*(1+$BG9)*(1+$BH9))*(1+$AL9)*$BK9*$P9*(1+IF(VLOOKUP($Q9,武学奇术!$A:$ZZ,30,FALSE)="回旋伞",$B$21,0))*(1+$BQ9)</f>
        <v>64070.5758918079</v>
      </c>
      <c r="M9" s="41">
        <f>(($AO9*$AH9+$AI9)*(1+$AP9)*(1+$AQ9)+($AT9*IF($G$1="鸣金",$AJ9,$AH9)+IF($G$1="鸣金",$AK9*1.5,0))*(1+$AU9)*(1+$AV9)+($AX9*IF($G$1="裂石",$AJ9,$AH9)+IF($G$1="裂石",$AK9*1.5,0))*(1+$AY9)*(1+$AZ9)+($BB9*IF($G$1="牵丝",$AJ9,$AH9)+IF($G$1="牵丝",$AK9*1.5,0))*(1+$BC9)*(1+$BD9)+($BF9*IF($G$1="破竹",$AJ9,$AH9)+IF($G$1="破竹",$AK9*1.5,0))*(1+$BG9)*(1+$BH9))*(1+$AL9)*$BM9*$P9*(1+IF(VLOOKUP($Q9,武学奇术!$A:$ZZ,30,FALSE)="回旋伞",$B$21,0))*(1+$BQ9)</f>
        <v>54674.2999183555</v>
      </c>
      <c r="N9" s="41">
        <f>((($AN9+$AO9)/2*$AH9+$AI9)*(1+$AP9)*(1+$AQ9)+(($AS9+$AT9)/2*IF($G$1="鸣金",$AJ9,$AH9)+IF($G$1="鸣金",$AK9*1.5,0))*(1+$AU9)*(1+$AV9)+(($AW9+$AX9)/2*IF($G$1="裂石",$AJ9,$AH9)+IF($G$1="裂石",$AK9*1.5,0))*(1+$AY9)*(1+$AZ9)+(($BA9+$BB9)/2*IF($G$1="牵丝",$AJ9,$AH9)+IF($G$1="牵丝",$AK9*1.5,0))*(1+$BC9)*(1+$BD9)+(($BE9+$BF9)/2*IF($G$1="破竹",$AJ9,$AH9)+IF($G$1="破竹",$AK9*1.5,0))*(1+$BG9)*(1+$BH9))*(1+$AL9)*$P9*(1+IF(VLOOKUP($Q9,武学奇术!$A:$ZZ,30,FALSE)="回旋伞",$B$21,0))*(1+$BQ9)</f>
        <v>35994.7055571955</v>
      </c>
      <c r="O9" s="41">
        <f>((($AN9*$AH9+$AI9)*(1+$AP9)*(1+$AQ9)+($AS9*IF($G$1="鸣金",$AJ9,$AH9)+IF($G$1="鸣金",$AK9*1.5,0))*(1+$AU9)*(1+$AV9)+($AW9*IF($G$1="裂石",$AJ9,$AH9)+IF($G$1="裂石",$AK9*1.5,0))*(1+$AY9)*(1+$AZ9)+($BA9*IF($G$1="牵丝",$AJ9,$AH9)+IF($G$1="牵丝",$AK9*1.5,0))*(1+$BC9)*(1+$BD9)+($BE9*IF($G$1="破竹",$AJ9,$AH9)+IF($G$1="破竹",$AK9*1.5,0))*(1+$BG9)*(1+$BH9))*(1+$AL9))*$P9*(1+IF(VLOOKUP($Q9,武学奇术!$A:$ZZ,30,FALSE)="回旋伞",$B$21,0))*(1+$BQ9)</f>
        <v>31489.9296933869</v>
      </c>
      <c r="P9" s="42">
        <v>1</v>
      </c>
      <c r="Q9" s="43" t="s">
        <v>104</v>
      </c>
      <c r="R9" s="43" t="s">
        <v>105</v>
      </c>
      <c r="S9" s="43" t="s">
        <v>71</v>
      </c>
      <c r="T9" s="43" t="s">
        <v>72</v>
      </c>
      <c r="U9" s="43" t="s">
        <v>79</v>
      </c>
      <c r="V9" s="43" t="s">
        <v>74</v>
      </c>
      <c r="W9" s="43" t="s">
        <v>81</v>
      </c>
      <c r="X9" s="43" t="s">
        <v>71</v>
      </c>
      <c r="Y9" s="43" t="s">
        <v>71</v>
      </c>
      <c r="Z9" s="43" t="s">
        <v>71</v>
      </c>
      <c r="AA9" s="43" t="s">
        <v>71</v>
      </c>
      <c r="AB9" s="43" t="s">
        <v>71</v>
      </c>
      <c r="AC9" s="43" t="s">
        <v>71</v>
      </c>
      <c r="AD9" s="43" t="s">
        <v>71</v>
      </c>
      <c r="AE9" s="43" t="s">
        <v>71</v>
      </c>
      <c r="AF9" s="43" t="s">
        <v>76</v>
      </c>
      <c r="AG9" t="str">
        <f>VLOOKUP($Q9,武学奇术!$A:$ZZ,25,FALSE)</f>
        <v>伞</v>
      </c>
      <c r="AH9" s="30">
        <f>VLOOKUP($Q9,武学奇术!$A:$ZZ,26,FALSE)</f>
        <v>1.8084</v>
      </c>
      <c r="AI9" s="31">
        <f>VLOOKUP($Q9,武学奇术!$A:$ZZ,27,FALSE)*(1+IF(OR($AG9=$F$4,$AG9=$F$5),$B$22,0))</f>
        <v>700</v>
      </c>
      <c r="AJ9" s="30">
        <f>VLOOKUP($Q9,武学奇术!$A:$ZZ,28,FALSE)</f>
        <v>2.7126</v>
      </c>
      <c r="AK9" s="31">
        <f>VLOOKUP($Q9,武学奇术!$A:$ZZ,29,FALSE)*(1+IF(OR($AG9=$F$4,$AG9=$F$5),$B$22,0))</f>
        <v>380.8</v>
      </c>
      <c r="AL9" s="30" cm="1">
        <f t="array" ref="AL9">$G$3+IFERROR(VLOOKUP($AG9,$F$4:$G$7,2,FALSE),0)+VLOOKUP($Q9,武学奇术!$A:$ZZ,2,FALSE)+SUM(_xlfn.XLOOKUP($R9:$AF9,增益!$A:$A,增益!$B:$B,0))</f>
        <v>0.7441</v>
      </c>
      <c r="AM9" s="30" cm="1">
        <f t="array" ref="AM9">VLOOKUP($Q9,武学奇术!$A:$ZZ,5,FALSE)+SUM(_xlfn.XLOOKUP($R9:$AF9,增益!$A:$A,增益!$E:$E,0))</f>
        <v>0</v>
      </c>
      <c r="AN9" cm="1">
        <f t="array" ref="AN9">$D$10*(1+$AM9)+VLOOKUP($Q9,武学奇术!$A:$ZZ,3,FALSE)+SUM(_xlfn.XLOOKUP($R9:$AF9,增益!$A:$A,增益!$C:$C,0))-$I$2</f>
        <v>3483.8</v>
      </c>
      <c r="AO9" cm="1">
        <f t="array" ref="AO9">$E$10*(1+$AM9)+VLOOKUP($Q9,武学奇术!$A:$ZZ,4,FALSE)+SUM(_xlfn.XLOOKUP($R9:$AF9,增益!$A:$A,增益!$D:$D,0))-$I$2</f>
        <v>3483.8</v>
      </c>
      <c r="AP9" s="35" cm="1">
        <f t="array" ref="AP9">IF($F$10-$I$3+VLOOKUP($Q9,武学奇术!$A:$ZZ,6,FALSE)+SUM(_xlfn.XLOOKUP(R9:AF9,增益!$A:$A,增益!$F:$F,0))&gt;0,($F$10-$I$3+VLOOKUP($Q9,武学奇术!$A:$ZZ,6,FALSE)+SUM(_xlfn.XLOOKUP(R9:AF9,增益!$A:$A,增益!$F:$F,0)))/200,($F$10-$I$3+VLOOKUP($Q9,武学奇术!$A:$ZZ,6,FALSE)+SUM(_xlfn.XLOOKUP(R9:AF9,增益!$A:$A,增益!$F:$F,0)))/100)</f>
        <v>0.2125</v>
      </c>
      <c r="AQ9" s="35" cm="1">
        <f t="array" ref="AQ9">$G$10+VLOOKUP($Q9,武学奇术!$A:$ZZ,7,FALSE)+SUM(_xlfn.XLOOKUP(R9:AF9,增益!$A:$A,增益!$G:$G,0))</f>
        <v>0.148</v>
      </c>
      <c r="AR9" s="30" cm="1">
        <f t="array" ref="AR9">VLOOKUP($Q9,武学奇术!$A:$ZZ,8,FALSE)+SUM(_xlfn.XLOOKUP(R9:AF9,增益!$A:$A,增益!$H:$H,0))</f>
        <v>0</v>
      </c>
      <c r="AS9">
        <f t="shared" si="1"/>
        <v>0</v>
      </c>
      <c r="AT9">
        <f t="shared" si="2"/>
        <v>0</v>
      </c>
      <c r="AU9" s="35" cm="1">
        <f t="array" ref="AU9">IF($F$11-$I$4+VLOOKUP($Q9,武学奇术!$A:$ZZ,9,FALSE)+SUM(_xlfn.XLOOKUP(R9:AF9,增益!$A:$A,增益!$I:$I,0))&gt;0,($F$11-$I$4+VLOOKUP($Q9,武学奇术!$A:$ZZ,9,FALSE)+SUM(_xlfn.XLOOKUP(R9:AF9,增益!$A:$A,增益!$I:$I,0)))/200,($F$11-$I$4+VLOOKUP($Q9,武学奇术!$A:$ZZ,9,FALSE)+SUM(_xlfn.XLOOKUP(R9:AF9,增益!$A:$A,增益!$I:$I,0)))/100)</f>
        <v>-0.3</v>
      </c>
      <c r="AV9" s="35" cm="1">
        <f t="array" ref="AV9">$G$11+VLOOKUP($Q9,武学奇术!$A:$ZZ,10,FALSE)+SUM(_xlfn.XLOOKUP(R9:AF9,增益!$A:$A,增益!$J:$J,0))</f>
        <v>0</v>
      </c>
      <c r="AW9">
        <f t="shared" si="3"/>
        <v>0</v>
      </c>
      <c r="AX9">
        <f t="shared" si="4"/>
        <v>0</v>
      </c>
      <c r="AY9" s="35" cm="1">
        <f t="array" ref="AY9">IF($F$12-$I$4+VLOOKUP($Q9,武学奇术!$A:$ZZ,11,FALSE)+SUM(_xlfn.XLOOKUP(R9:AF9,增益!$A:$A,增益!$K:$K,0))&gt;0,($F$12-$I$4+VLOOKUP($Q9,武学奇术!$A:$ZZ,11,FALSE)+SUM(_xlfn.XLOOKUP(R9:AF9,增益!$A:$A,增益!$K:$K,0)))/200,($F$12-$I$4+VLOOKUP($Q9,武学奇术!$A:$ZZ,11,FALSE)+SUM(_xlfn.XLOOKUP(R9:AF9,增益!$A:$A,增益!$K:$K,0)))/100)</f>
        <v>-0.3</v>
      </c>
      <c r="AZ9" s="35" cm="1">
        <f t="array" ref="AZ9">$G$12+VLOOKUP($Q9,武学奇术!$A:$ZZ,12,FALSE)+SUM(_xlfn.XLOOKUP(R9:AF9,增益!$A:$A,增益!$L:$L,0))</f>
        <v>0</v>
      </c>
      <c r="BA9">
        <f t="shared" si="5"/>
        <v>0</v>
      </c>
      <c r="BB9">
        <f t="shared" si="6"/>
        <v>0</v>
      </c>
      <c r="BC9" s="35" cm="1">
        <f t="array" ref="BC9">IF($F$13-$I$4+VLOOKUP($Q9,武学奇术!$A:$ZZ,13,FALSE)+SUM(_xlfn.XLOOKUP(R9:AF9,增益!$A:$A,增益!$M:$M,0))&gt;0,($F$13-$I$4+VLOOKUP($Q9,武学奇术!$A:$ZZ,13,FALSE)+SUM(_xlfn.XLOOKUP(R9:AF9,增益!$A:$A,增益!$K:$K,0)))/200,($F$13-$I$4+VLOOKUP($Q9,武学奇术!$A:$ZZ,13,FALSE)+SUM(_xlfn.XLOOKUP(R9:AF9,增益!$A:$A,增益!$M:$M,0)))/100)</f>
        <v>-0.3</v>
      </c>
      <c r="BD9" s="35" cm="1">
        <f t="array" ref="BD9">$G$13+VLOOKUP($Q9,武学奇术!$A:$ZZ,14,FALSE)+SUM(_xlfn.XLOOKUP(R9:AF9,增益!$A:$A,增益!$N:$N,0))</f>
        <v>0</v>
      </c>
      <c r="BE9">
        <f t="shared" si="7"/>
        <v>538</v>
      </c>
      <c r="BF9">
        <f t="shared" si="8"/>
        <v>1561.4</v>
      </c>
      <c r="BG9" s="35" cm="1">
        <f t="array" ref="BG9">IF($F$14-$I$4+VLOOKUP($Q9,武学奇术!$A:$ZZ,15,FALSE)+SUM(_xlfn.XLOOKUP(R9:AF9,增益!$A:$A,增益!$O:$O,0))&gt;0,($F$14-$I$4+VLOOKUP($Q9,武学奇术!$A:$ZZ,15,FALSE)+SUM(_xlfn.XLOOKUP(R9:AF9,增益!$A:$A,增益!$O:$O,0)))/200,($F$14-$I$4+VLOOKUP($Q9,武学奇术!$A:$ZZ,15,FALSE)+SUM(_xlfn.XLOOKUP(R9:AF9,增益!$A:$A,增益!$O:$O,0)))/100)</f>
        <v>0</v>
      </c>
      <c r="BH9" s="35" cm="1">
        <f t="array" ref="BH9">$G$14+VLOOKUP($Q9,武学奇术!$A:$ZZ,16,FALSE)+SUM(_xlfn.XLOOKUP(R9:AF9,增益!$A:$A,增益!$P:$P,0))</f>
        <v>0.27</v>
      </c>
      <c r="BI9" s="30">
        <f>MIN(IF(VLOOKUP($Q9,武学奇术!$A:$ZZ,23,FALSE)=1,100%,$B$8),100%)</f>
        <v>0.9712</v>
      </c>
      <c r="BJ9" s="30" cm="1">
        <f t="array" ref="BJ9">IF(VLOOKUP($Q9,武学奇术!$A:$ZZ,23,FALSE)=1,100%,MIN(80%,$B$9+VLOOKUP($Q9,武学奇术!$A:$ZZ,17,FALSE)+SUM(_xlfn.XLOOKUP(R9:AF9,增益!$A:$A,增益!$Q:$Q,0)))+$B$11+SUM(_xlfn.XLOOKUP(R9:AF9,增益!$A:$A,增益!$U:$U,0)))*IF(VLOOKUP($Q9,武学奇术!$A:$ZZ,24,FALSE)=1,0,1)</f>
        <v>0.8773</v>
      </c>
      <c r="BK9" s="30" cm="1">
        <f t="array" ref="BK9">1+$B$13+VLOOKUP($Q9,武学奇术!$A:$ZZ,18,FALSE)+SUM(_xlfn.XLOOKUP(R9:AF9,增益!$A:$A,增益!$R:$R,0))</f>
        <v>1.78</v>
      </c>
      <c r="BL9" s="30" cm="1">
        <f t="array" ref="BL9">IF(VLOOKUP($Q9,武学奇术!$A:$ZZ,24,FALSE)=1,100%,MIN(40%,$B$10+VLOOKUP($Q9,武学奇术!$A:$ZZ,19,FALSE)+SUM(_xlfn.XLOOKUP(R9:AF9,增益!$A:$A,增益!$S:$S,0)))+$B$12+SUM(_xlfn.XLOOKUP(R9:AF9,增益!$A:$A,增益!$V:$V,0)))*IF(VLOOKUP($Q9,武学奇术!$A:$ZZ,23,FALSE)=1,0,1)</f>
        <v>0.0895</v>
      </c>
      <c r="BM9" s="30" cm="1">
        <f t="array" ref="BM9">1+$B$14+VLOOKUP($Q9,武学奇术!$A:$ZZ,20,FALSE)+SUM(_xlfn.XLOOKUP(R9:AF9,增益!$A:$A,增益!$T:$T,0))</f>
        <v>1.35</v>
      </c>
      <c r="BN9" s="30">
        <f t="shared" si="9"/>
        <v>0.85203376</v>
      </c>
      <c r="BO9" s="30">
        <f t="shared" si="10"/>
        <v>0.03224384</v>
      </c>
      <c r="BP9" s="30">
        <f>IF(VLOOKUP($Q9,武学奇术!$A:$ZZ,22,FALSE)=1,0,(1-$BI9))*(1-$BL9)</f>
        <v>0.0262224</v>
      </c>
      <c r="BQ9" s="30" cm="1">
        <f t="array" ref="BQ9">SUM(_xlfn.XLOOKUP(R9:AF9,增益!$A:$A,增益!$W:$W,0))+$I$5</f>
        <v>0.11</v>
      </c>
    </row>
    <row r="10" spans="1:69">
      <c r="A10" s="44" t="s">
        <v>106</v>
      </c>
      <c r="B10" s="72">
        <f>期望!B10</f>
        <v>0.0895</v>
      </c>
      <c r="C10" s="21" t="s">
        <v>66</v>
      </c>
      <c r="D10">
        <f>期望!D10</f>
        <v>4103.8</v>
      </c>
      <c r="E10">
        <f>期望!E10</f>
        <v>4103.8</v>
      </c>
      <c r="F10">
        <f>期望!F10</f>
        <v>63.5</v>
      </c>
      <c r="G10" s="52">
        <f>期望!G10</f>
        <v>0.028</v>
      </c>
      <c r="H10" s="70" t="s">
        <v>107</v>
      </c>
      <c r="I10" s="75">
        <f>SUM(K:K)</f>
        <v>11697636.1698278</v>
      </c>
      <c r="J10" s="76"/>
      <c r="K10" s="41">
        <f t="shared" si="0"/>
        <v>62476.7218880309</v>
      </c>
      <c r="L10" s="41">
        <f>((($AN10+$AO10)/2*$AH10+$AI10)*(1+$AP10)*(1+$AQ10)+(($AS10+$AT10)/2*IF($G$1="鸣金",$AJ10,$AH10)+IF($G$1="鸣金",$AK10*1.5,0))*(1+$AU10)*(1+$AV10)+(($AW10+$AX10)/2*IF($G$1="裂石",$AJ10,$AH10)+IF($G$1="裂石",$AK10*1.5,0))*(1+$AY10)*(1+$AZ10)+(($BA10+$BB10)/2*IF($G$1="牵丝",$AJ10,$AH10)+IF($G$1="牵丝",$AK10*1.5,0))*(1+$BC10)*(1+$BD10)+(($BE10+$BF10)/2*IF($G$1="破竹",$AJ10,$AH10)+IF($G$1="破竹",$AK10*1.5,0))*(1+$BG10)*(1+$BH10))*(1+$AL10)*$BK10*$P10*(1+IF(VLOOKUP($Q10,武学奇术!$A:$ZZ,30,FALSE)="回旋伞",$B$21,0))*(1+$BQ10)</f>
        <v>65165.7097360553</v>
      </c>
      <c r="M10" s="41">
        <f>(($AO10*$AH10+$AI10)*(1+$AP10)*(1+$AQ10)+($AT10*IF($G$1="鸣金",$AJ10,$AH10)+IF($G$1="鸣金",$AK10*1.5,0))*(1+$AU10)*(1+$AV10)+($AX10*IF($G$1="裂石",$AJ10,$AH10)+IF($G$1="裂石",$AK10*1.5,0))*(1+$AY10)*(1+$AZ10)+($BB10*IF($G$1="牵丝",$AJ10,$AH10)+IF($G$1="牵丝",$AK10*1.5,0))*(1+$BC10)*(1+$BD10)+($BF10*IF($G$1="破竹",$AJ10,$AH10)+IF($G$1="破竹",$AK10*1.5,0))*(1+$BG10)*(1+$BH10))*(1+$AL10)*$BM10*$P10*(1+IF(VLOOKUP($Q10,武学奇术!$A:$ZZ,30,FALSE)="回旋伞",$B$21,0))*(1+$BQ10)</f>
        <v>55228.7704014347</v>
      </c>
      <c r="N10" s="41">
        <f>((($AN10+$AO10)/2*$AH10+$AI10)*(1+$AP10)*(1+$AQ10)+(($AS10+$AT10)/2*IF($G$1="鸣金",$AJ10,$AH10)+IF($G$1="鸣金",$AK10*1.5,0))*(1+$AU10)*(1+$AV10)+(($AW10+$AX10)/2*IF($G$1="裂石",$AJ10,$AH10)+IF($G$1="裂石",$AK10*1.5,0))*(1+$AY10)*(1+$AZ10)+(($BA10+$BB10)/2*IF($G$1="牵丝",$AJ10,$AH10)+IF($G$1="牵丝",$AK10*1.5,0))*(1+$BC10)*(1+$BD10)+(($BE10+$BF10)/2*IF($G$1="破竹",$AJ10,$AH10)+IF($G$1="破竹",$AK10*1.5,0))*(1+$BG10)*(1+$BH10))*(1+$AL10)*$P10*(1+IF(VLOOKUP($Q10,武学奇术!$A:$ZZ,30,FALSE)="回旋伞",$B$21,0))*(1+$BQ10)</f>
        <v>36405.4244335504</v>
      </c>
      <c r="O10" s="41">
        <f>((($AN10*$AH10+$AI10)*(1+$AP10)*(1+$AQ10)+($AS10*IF($G$1="鸣金",$AJ10,$AH10)+IF($G$1="鸣金",$AK10*1.5,0))*(1+$AU10)*(1+$AV10)+($AW10*IF($G$1="裂石",$AJ10,$AH10)+IF($G$1="裂石",$AK10*1.5,0))*(1+$AY10)*(1+$AZ10)+($BA10*IF($G$1="牵丝",$AJ10,$AH10)+IF($G$1="牵丝",$AK10*1.5,0))*(1+$BC10)*(1+$BD10)+($BE10*IF($G$1="破竹",$AJ10,$AH10)+IF($G$1="破竹",$AK10*1.5,0))*(1+$BG10)*(1+$BH10))*(1+$AL10))*$P10*(1+IF(VLOOKUP($Q10,武学奇术!$A:$ZZ,30,FALSE)="回旋伞",$B$21,0))*(1+$BQ10)</f>
        <v>31900.6485697419</v>
      </c>
      <c r="P10" s="42">
        <v>1</v>
      </c>
      <c r="Q10" s="43" t="s">
        <v>104</v>
      </c>
      <c r="R10" s="43" t="s">
        <v>105</v>
      </c>
      <c r="S10" s="43" t="s">
        <v>108</v>
      </c>
      <c r="T10" s="43" t="s">
        <v>72</v>
      </c>
      <c r="U10" s="43" t="s">
        <v>79</v>
      </c>
      <c r="V10" s="43" t="s">
        <v>80</v>
      </c>
      <c r="W10" s="43" t="s">
        <v>81</v>
      </c>
      <c r="X10" s="43" t="s">
        <v>71</v>
      </c>
      <c r="Y10" s="43" t="s">
        <v>71</v>
      </c>
      <c r="Z10" s="43" t="s">
        <v>71</v>
      </c>
      <c r="AA10" s="43" t="s">
        <v>109</v>
      </c>
      <c r="AB10" s="43" t="s">
        <v>71</v>
      </c>
      <c r="AC10" s="43" t="s">
        <v>71</v>
      </c>
      <c r="AD10" s="43" t="s">
        <v>71</v>
      </c>
      <c r="AE10" s="43" t="s">
        <v>71</v>
      </c>
      <c r="AF10" s="43" t="s">
        <v>76</v>
      </c>
      <c r="AG10" t="str">
        <f>VLOOKUP($Q10,武学奇术!$A:$ZZ,25,FALSE)</f>
        <v>伞</v>
      </c>
      <c r="AH10" s="30">
        <f>VLOOKUP($Q10,武学奇术!$A:$ZZ,26,FALSE)</f>
        <v>1.8084</v>
      </c>
      <c r="AI10" s="31">
        <f>VLOOKUP($Q10,武学奇术!$A:$ZZ,27,FALSE)*(1+IF(OR($AG10=$F$4,$AG10=$F$5),$B$22,0))</f>
        <v>700</v>
      </c>
      <c r="AJ10" s="30">
        <f>VLOOKUP($Q10,武学奇术!$A:$ZZ,28,FALSE)</f>
        <v>2.7126</v>
      </c>
      <c r="AK10" s="31">
        <f>VLOOKUP($Q10,武学奇术!$A:$ZZ,29,FALSE)*(1+IF(OR($AG10=$F$4,$AG10=$F$5),$B$22,0))</f>
        <v>380.8</v>
      </c>
      <c r="AL10" s="30" cm="1">
        <f t="array" ref="AL10">$G$3+IFERROR(VLOOKUP($AG10,$F$4:$G$7,2,FALSE),0)+VLOOKUP($Q10,武学奇术!$A:$ZZ,2,FALSE)+SUM(_xlfn.XLOOKUP($R10:$AF10,增益!$A:$A,增益!$B:$B,0))</f>
        <v>0.7441</v>
      </c>
      <c r="AM10" s="30" cm="1">
        <f t="array" ref="AM10">VLOOKUP($Q10,武学奇术!$A:$ZZ,5,FALSE)+SUM(_xlfn.XLOOKUP($R10:$AF10,增益!$A:$A,增益!$E:$E,0))</f>
        <v>0</v>
      </c>
      <c r="AN10" cm="1">
        <f t="array" ref="AN10">$D$10*(1+$AM10)+VLOOKUP($Q10,武学奇术!$A:$ZZ,3,FALSE)+SUM(_xlfn.XLOOKUP($R10:$AF10,增益!$A:$A,增益!$C:$C,0))-$I$2</f>
        <v>3483.8</v>
      </c>
      <c r="AO10" cm="1">
        <f t="array" ref="AO10">$E$10*(1+$AM10)+VLOOKUP($Q10,武学奇术!$A:$ZZ,4,FALSE)+SUM(_xlfn.XLOOKUP($R10:$AF10,增益!$A:$A,增益!$D:$D,0))-$I$2</f>
        <v>3483.8</v>
      </c>
      <c r="AP10" s="35" cm="1">
        <f t="array" ref="AP10">IF($F$10-$I$3+VLOOKUP($Q10,武学奇术!$A:$ZZ,6,FALSE)+SUM(_xlfn.XLOOKUP(R10:AF10,增益!$A:$A,增益!$F:$F,0))&gt;0,($F$10-$I$3+VLOOKUP($Q10,武学奇术!$A:$ZZ,6,FALSE)+SUM(_xlfn.XLOOKUP(R10:AF10,增益!$A:$A,增益!$F:$F,0)))/200,($F$10-$I$3+VLOOKUP($Q10,武学奇术!$A:$ZZ,6,FALSE)+SUM(_xlfn.XLOOKUP(R10:AF10,增益!$A:$A,增益!$F:$F,0)))/100)</f>
        <v>0.2325</v>
      </c>
      <c r="AQ10" s="35" cm="1">
        <f t="array" ref="AQ10">$G$10+VLOOKUP($Q10,武学奇术!$A:$ZZ,7,FALSE)+SUM(_xlfn.XLOOKUP(R10:AF10,增益!$A:$A,增益!$G:$G,0))</f>
        <v>0.148</v>
      </c>
      <c r="AR10" s="30" cm="1">
        <f t="array" ref="AR10">VLOOKUP($Q10,武学奇术!$A:$ZZ,8,FALSE)+SUM(_xlfn.XLOOKUP(R10:AF10,增益!$A:$A,增益!$H:$H,0))</f>
        <v>0</v>
      </c>
      <c r="AS10">
        <f t="shared" si="1"/>
        <v>0</v>
      </c>
      <c r="AT10">
        <f t="shared" si="2"/>
        <v>0</v>
      </c>
      <c r="AU10" s="35" cm="1">
        <f t="array" ref="AU10">IF($F$11-$I$4+VLOOKUP($Q10,武学奇术!$A:$ZZ,9,FALSE)+SUM(_xlfn.XLOOKUP(R10:AF10,增益!$A:$A,增益!$I:$I,0))&gt;0,($F$11-$I$4+VLOOKUP($Q10,武学奇术!$A:$ZZ,9,FALSE)+SUM(_xlfn.XLOOKUP(R10:AF10,增益!$A:$A,增益!$I:$I,0)))/200,($F$11-$I$4+VLOOKUP($Q10,武学奇术!$A:$ZZ,9,FALSE)+SUM(_xlfn.XLOOKUP(R10:AF10,增益!$A:$A,增益!$I:$I,0)))/100)</f>
        <v>-0.3</v>
      </c>
      <c r="AV10" s="35" cm="1">
        <f t="array" ref="AV10">$G$11+VLOOKUP($Q10,武学奇术!$A:$ZZ,10,FALSE)+SUM(_xlfn.XLOOKUP(R10:AF10,增益!$A:$A,增益!$J:$J,0))</f>
        <v>0</v>
      </c>
      <c r="AW10">
        <f t="shared" si="3"/>
        <v>0</v>
      </c>
      <c r="AX10">
        <f t="shared" si="4"/>
        <v>0</v>
      </c>
      <c r="AY10" s="35" cm="1">
        <f t="array" ref="AY10">IF($F$12-$I$4+VLOOKUP($Q10,武学奇术!$A:$ZZ,11,FALSE)+SUM(_xlfn.XLOOKUP(R10:AF10,增益!$A:$A,增益!$K:$K,0))&gt;0,($F$12-$I$4+VLOOKUP($Q10,武学奇术!$A:$ZZ,11,FALSE)+SUM(_xlfn.XLOOKUP(R10:AF10,增益!$A:$A,增益!$K:$K,0)))/200,($F$12-$I$4+VLOOKUP($Q10,武学奇术!$A:$ZZ,11,FALSE)+SUM(_xlfn.XLOOKUP(R10:AF10,增益!$A:$A,增益!$K:$K,0)))/100)</f>
        <v>-0.3</v>
      </c>
      <c r="AZ10" s="35" cm="1">
        <f t="array" ref="AZ10">$G$12+VLOOKUP($Q10,武学奇术!$A:$ZZ,12,FALSE)+SUM(_xlfn.XLOOKUP(R10:AF10,增益!$A:$A,增益!$L:$L,0))</f>
        <v>0</v>
      </c>
      <c r="BA10">
        <f t="shared" si="5"/>
        <v>0</v>
      </c>
      <c r="BB10">
        <f t="shared" si="6"/>
        <v>0</v>
      </c>
      <c r="BC10" s="35" cm="1">
        <f t="array" ref="BC10">IF($F$13-$I$4+VLOOKUP($Q10,武学奇术!$A:$ZZ,13,FALSE)+SUM(_xlfn.XLOOKUP(R10:AF10,增益!$A:$A,增益!$M:$M,0))&gt;0,($F$13-$I$4+VLOOKUP($Q10,武学奇术!$A:$ZZ,13,FALSE)+SUM(_xlfn.XLOOKUP(R10:AF10,增益!$A:$A,增益!$K:$K,0)))/200,($F$13-$I$4+VLOOKUP($Q10,武学奇术!$A:$ZZ,13,FALSE)+SUM(_xlfn.XLOOKUP(R10:AF10,增益!$A:$A,增益!$M:$M,0)))/100)</f>
        <v>-0.3</v>
      </c>
      <c r="BD10" s="35" cm="1">
        <f t="array" ref="BD10">$G$13+VLOOKUP($Q10,武学奇术!$A:$ZZ,14,FALSE)+SUM(_xlfn.XLOOKUP(R10:AF10,增益!$A:$A,增益!$N:$N,0))</f>
        <v>0</v>
      </c>
      <c r="BE10">
        <f t="shared" si="7"/>
        <v>538</v>
      </c>
      <c r="BF10">
        <f t="shared" si="8"/>
        <v>1561.4</v>
      </c>
      <c r="BG10" s="35" cm="1">
        <f t="array" ref="BG10">IF($F$14-$I$4+VLOOKUP($Q10,武学奇术!$A:$ZZ,15,FALSE)+SUM(_xlfn.XLOOKUP(R10:AF10,增益!$A:$A,增益!$O:$O,0))&gt;0,($F$14-$I$4+VLOOKUP($Q10,武学奇术!$A:$ZZ,15,FALSE)+SUM(_xlfn.XLOOKUP(R10:AF10,增益!$A:$A,增益!$O:$O,0)))/200,($F$14-$I$4+VLOOKUP($Q10,武学奇术!$A:$ZZ,15,FALSE)+SUM(_xlfn.XLOOKUP(R10:AF10,增益!$A:$A,增益!$O:$O,0)))/100)</f>
        <v>0</v>
      </c>
      <c r="BH10" s="35" cm="1">
        <f t="array" ref="BH10">$G$14+VLOOKUP($Q10,武学奇术!$A:$ZZ,16,FALSE)+SUM(_xlfn.XLOOKUP(R10:AF10,增益!$A:$A,增益!$P:$P,0))</f>
        <v>0.27</v>
      </c>
      <c r="BI10" s="30">
        <f>MIN(IF(VLOOKUP($Q10,武学奇术!$A:$ZZ,23,FALSE)=1,100%,$B$8),100%)</f>
        <v>0.9712</v>
      </c>
      <c r="BJ10" s="30" cm="1">
        <f t="array" ref="BJ10">IF(VLOOKUP($Q10,武学奇术!$A:$ZZ,23,FALSE)=1,100%,MIN(80%,$B$9+VLOOKUP($Q10,武学奇术!$A:$ZZ,17,FALSE)+SUM(_xlfn.XLOOKUP(R10:AF10,增益!$A:$A,增益!$Q:$Q,0)))+$B$11+SUM(_xlfn.XLOOKUP(R10:AF10,增益!$A:$A,增益!$U:$U,0)))*IF(VLOOKUP($Q10,武学奇术!$A:$ZZ,24,FALSE)=1,0,1)</f>
        <v>0.8773</v>
      </c>
      <c r="BK10" s="30" cm="1">
        <f t="array" ref="BK10">1+$B$13+VLOOKUP($Q10,武学奇术!$A:$ZZ,18,FALSE)+SUM(_xlfn.XLOOKUP(R10:AF10,增益!$A:$A,增益!$R:$R,0))</f>
        <v>1.79</v>
      </c>
      <c r="BL10" s="30" cm="1">
        <f t="array" ref="BL10">IF(VLOOKUP($Q10,武学奇术!$A:$ZZ,24,FALSE)=1,100%,MIN(40%,$B$10+VLOOKUP($Q10,武学奇术!$A:$ZZ,19,FALSE)+SUM(_xlfn.XLOOKUP(R10:AF10,增益!$A:$A,增益!$S:$S,0)))+$B$12+SUM(_xlfn.XLOOKUP(R10:AF10,增益!$A:$A,增益!$V:$V,0)))*IF(VLOOKUP($Q10,武学奇术!$A:$ZZ,23,FALSE)=1,0,1)</f>
        <v>0.0895</v>
      </c>
      <c r="BM10" s="30" cm="1">
        <f t="array" ref="BM10">1+$B$14+VLOOKUP($Q10,武学奇术!$A:$ZZ,20,FALSE)+SUM(_xlfn.XLOOKUP(R10:AF10,增益!$A:$A,增益!$T:$T,0))</f>
        <v>1.35</v>
      </c>
      <c r="BN10" s="30">
        <f t="shared" si="9"/>
        <v>0.85203376</v>
      </c>
      <c r="BO10" s="30">
        <f t="shared" si="10"/>
        <v>0.03224384</v>
      </c>
      <c r="BP10" s="30">
        <f>IF(VLOOKUP($Q10,武学奇术!$A:$ZZ,22,FALSE)=1,0,(1-$BI10))*(1-$BL10)</f>
        <v>0.0262224</v>
      </c>
      <c r="BQ10" s="30" cm="1">
        <f t="array" ref="BQ10">SUM(_xlfn.XLOOKUP(R10:AF10,增益!$A:$A,增益!$W:$W,0))+$I$5</f>
        <v>0.11</v>
      </c>
    </row>
    <row r="11" ht="14.25" spans="1:69">
      <c r="A11" s="44" t="s">
        <v>110</v>
      </c>
      <c r="B11" s="72">
        <f>期望!B11</f>
        <v>0.087</v>
      </c>
      <c r="C11" s="21" t="s">
        <v>77</v>
      </c>
      <c r="D11">
        <f>期望!D11</f>
        <v>0</v>
      </c>
      <c r="E11">
        <f>期望!E11</f>
        <v>0</v>
      </c>
      <c r="F11">
        <f>期望!F11</f>
        <v>0</v>
      </c>
      <c r="G11" s="52">
        <f>期望!G11</f>
        <v>0</v>
      </c>
      <c r="H11" s="73"/>
      <c r="I11" s="77"/>
      <c r="J11" s="78"/>
      <c r="K11" s="41">
        <f t="shared" si="0"/>
        <v>63891.0234834497</v>
      </c>
      <c r="L11" s="41">
        <f>((($AN11+$AO11)/2*$AH11+$AI11)*(1+$AP11)*(1+$AQ11)+(($AS11+$AT11)/2*IF($G$1="鸣金",$AJ11,$AH11)+IF($G$1="鸣金",$AK11*1.5,0))*(1+$AU11)*(1+$AV11)+(($AW11+$AX11)/2*IF($G$1="裂石",$AJ11,$AH11)+IF($G$1="裂石",$AK11*1.5,0))*(1+$AY11)*(1+$AZ11)+(($BA11+$BB11)/2*IF($G$1="牵丝",$AJ11,$AH11)+IF($G$1="牵丝",$AK11*1.5,0))*(1+$BC11)*(1+$BD11)+(($BE11+$BF11)/2*IF($G$1="破竹",$AJ11,$AH11)+IF($G$1="破竹",$AK11*1.5,0))*(1+$BG11)*(1+$BH11))*(1+$AL11)*$BK11*$P11*(1+IF(VLOOKUP($Q11,武学奇术!$A:$ZZ,30,FALSE)="回旋伞",$B$21,0))*(1+$BQ11)</f>
        <v>66648.44800587</v>
      </c>
      <c r="M11" s="41">
        <f>(($AO11*$AH11+$AI11)*(1+$AP11)*(1+$AQ11)+($AT11*IF($G$1="鸣金",$AJ11,$AH11)+IF($G$1="鸣金",$AK11*1.5,0))*(1+$AU11)*(1+$AV11)+($AX11*IF($G$1="裂石",$AJ11,$AH11)+IF($G$1="裂石",$AK11*1.5,0))*(1+$AY11)*(1+$AZ11)+($BB11*IF($G$1="牵丝",$AJ11,$AH11)+IF($G$1="牵丝",$AK11*1.5,0))*(1+$BC11)*(1+$BD11)+($BF11*IF($G$1="破竹",$AJ11,$AH11)+IF($G$1="破竹",$AK11*1.5,0))*(1+$BG11)*(1+$BH11))*(1+$AL11)*$BM11*$P11*(1+IF(VLOOKUP($Q11,武学奇术!$A:$ZZ,30,FALSE)="回旋伞",$B$21,0))*(1+$BQ11)</f>
        <v>56381.905379686</v>
      </c>
      <c r="N11" s="41">
        <f>((($AN11+$AO11)/2*$AH11+$AI11)*(1+$AP11)*(1+$AQ11)+(($AS11+$AT11)/2*IF($G$1="鸣金",$AJ11,$AH11)+IF($G$1="鸣金",$AK11*1.5,0))*(1+$AU11)*(1+$AV11)+(($AW11+$AX11)/2*IF($G$1="裂石",$AJ11,$AH11)+IF($G$1="裂石",$AK11*1.5,0))*(1+$AY11)*(1+$AZ11)+(($BA11+$BB11)/2*IF($G$1="牵丝",$AJ11,$AH11)+IF($G$1="牵丝",$AK11*1.5,0))*(1+$BC11)*(1+$BD11)+(($BE11+$BF11)/2*IF($G$1="破竹",$AJ11,$AH11)+IF($G$1="破竹",$AK11*1.5,0))*(1+$BG11)*(1+$BH11))*(1+$AL11)*$P11*(1+IF(VLOOKUP($Q11,武学奇术!$A:$ZZ,30,FALSE)="回旋伞",$B$21,0))*(1+$BQ11)</f>
        <v>37233.7698356816</v>
      </c>
      <c r="O11" s="41">
        <f>((($AN11*$AH11+$AI11)*(1+$AP11)*(1+$AQ11)+($AS11*IF($G$1="鸣金",$AJ11,$AH11)+IF($G$1="鸣金",$AK11*1.5,0))*(1+$AU11)*(1+$AV11)+($AW11*IF($G$1="裂石",$AJ11,$AH11)+IF($G$1="裂石",$AK11*1.5,0))*(1+$AY11)*(1+$AZ11)+($BA11*IF($G$1="牵丝",$AJ11,$AH11)+IF($G$1="牵丝",$AK11*1.5,0))*(1+$BC11)*(1+$BD11)+($BE11*IF($G$1="破竹",$AJ11,$AH11)+IF($G$1="破竹",$AK11*1.5,0))*(1+$BG11)*(1+$BH11))*(1+$AL11))*$P11*(1+IF(VLOOKUP($Q11,武学奇术!$A:$ZZ,30,FALSE)="回旋伞",$B$21,0))*(1+$BQ11)</f>
        <v>32703.1653160402</v>
      </c>
      <c r="P11" s="42">
        <v>1</v>
      </c>
      <c r="Q11" s="43" t="s">
        <v>104</v>
      </c>
      <c r="R11" s="43" t="s">
        <v>105</v>
      </c>
      <c r="S11" s="43" t="s">
        <v>111</v>
      </c>
      <c r="T11" s="43" t="s">
        <v>72</v>
      </c>
      <c r="U11" s="43" t="s">
        <v>79</v>
      </c>
      <c r="V11" s="43" t="s">
        <v>80</v>
      </c>
      <c r="W11" s="43" t="s">
        <v>87</v>
      </c>
      <c r="X11" s="43" t="s">
        <v>71</v>
      </c>
      <c r="Y11" s="43" t="s">
        <v>71</v>
      </c>
      <c r="Z11" s="43" t="s">
        <v>71</v>
      </c>
      <c r="AA11" s="43" t="s">
        <v>112</v>
      </c>
      <c r="AB11" s="43" t="s">
        <v>71</v>
      </c>
      <c r="AC11" s="43" t="s">
        <v>71</v>
      </c>
      <c r="AD11" s="43" t="s">
        <v>71</v>
      </c>
      <c r="AE11" s="43" t="s">
        <v>71</v>
      </c>
      <c r="AF11" s="43" t="s">
        <v>76</v>
      </c>
      <c r="AG11" t="str">
        <f>VLOOKUP($Q11,武学奇术!$A:$ZZ,25,FALSE)</f>
        <v>伞</v>
      </c>
      <c r="AH11" s="30">
        <f>VLOOKUP($Q11,武学奇术!$A:$ZZ,26,FALSE)</f>
        <v>1.8084</v>
      </c>
      <c r="AI11" s="31">
        <f>VLOOKUP($Q11,武学奇术!$A:$ZZ,27,FALSE)*(1+IF(OR($AG11=$F$4,$AG11=$F$5),$B$22,0))</f>
        <v>700</v>
      </c>
      <c r="AJ11" s="30">
        <f>VLOOKUP($Q11,武学奇术!$A:$ZZ,28,FALSE)</f>
        <v>2.7126</v>
      </c>
      <c r="AK11" s="31">
        <f>VLOOKUP($Q11,武学奇术!$A:$ZZ,29,FALSE)*(1+IF(OR($AG11=$F$4,$AG11=$F$5),$B$22,0))</f>
        <v>380.8</v>
      </c>
      <c r="AL11" s="30" cm="1">
        <f t="array" ref="AL11">$G$3+IFERROR(VLOOKUP($AG11,$F$4:$G$7,2,FALSE),0)+VLOOKUP($Q11,武学奇术!$A:$ZZ,2,FALSE)+SUM(_xlfn.XLOOKUP($R11:$AF11,增益!$A:$A,增益!$B:$B,0))</f>
        <v>0.7541</v>
      </c>
      <c r="AM11" s="30" cm="1">
        <f t="array" ref="AM11">VLOOKUP($Q11,武学奇术!$A:$ZZ,5,FALSE)+SUM(_xlfn.XLOOKUP($R11:$AF11,增益!$A:$A,增益!$E:$E,0))</f>
        <v>0</v>
      </c>
      <c r="AN11" cm="1">
        <f t="array" ref="AN11">$D$10*(1+$AM11)+VLOOKUP($Q11,武学奇术!$A:$ZZ,3,FALSE)+SUM(_xlfn.XLOOKUP($R11:$AF11,增益!$A:$A,增益!$C:$C,0))-$I$2</f>
        <v>3483.8</v>
      </c>
      <c r="AO11" cm="1">
        <f t="array" ref="AO11">$E$10*(1+$AM11)+VLOOKUP($Q11,武学奇术!$A:$ZZ,4,FALSE)+SUM(_xlfn.XLOOKUP($R11:$AF11,增益!$A:$A,增益!$D:$D,0))-$I$2</f>
        <v>3483.8</v>
      </c>
      <c r="AP11" s="35" cm="1">
        <f t="array" ref="AP11">IF($F$10-$I$3+VLOOKUP($Q11,武学奇术!$A:$ZZ,6,FALSE)+SUM(_xlfn.XLOOKUP(R11:AF11,增益!$A:$A,增益!$F:$F,0))&gt;0,($F$10-$I$3+VLOOKUP($Q11,武学奇术!$A:$ZZ,6,FALSE)+SUM(_xlfn.XLOOKUP(R11:AF11,增益!$A:$A,增益!$F:$F,0)))/200,($F$10-$I$3+VLOOKUP($Q11,武学奇术!$A:$ZZ,6,FALSE)+SUM(_xlfn.XLOOKUP(R11:AF11,增益!$A:$A,增益!$F:$F,0)))/100)</f>
        <v>0.2625</v>
      </c>
      <c r="AQ11" s="35" cm="1">
        <f t="array" ref="AQ11">$G$10+VLOOKUP($Q11,武学奇术!$A:$ZZ,7,FALSE)+SUM(_xlfn.XLOOKUP(R11:AF11,增益!$A:$A,增益!$G:$G,0))</f>
        <v>0.148</v>
      </c>
      <c r="AR11" s="30" cm="1">
        <f t="array" ref="AR11">VLOOKUP($Q11,武学奇术!$A:$ZZ,8,FALSE)+SUM(_xlfn.XLOOKUP(R11:AF11,增益!$A:$A,增益!$H:$H,0))</f>
        <v>0</v>
      </c>
      <c r="AS11">
        <f t="shared" si="1"/>
        <v>0</v>
      </c>
      <c r="AT11">
        <f t="shared" si="2"/>
        <v>0</v>
      </c>
      <c r="AU11" s="35" cm="1">
        <f t="array" ref="AU11">IF($F$11-$I$4+VLOOKUP($Q11,武学奇术!$A:$ZZ,9,FALSE)+SUM(_xlfn.XLOOKUP(R11:AF11,增益!$A:$A,增益!$I:$I,0))&gt;0,($F$11-$I$4+VLOOKUP($Q11,武学奇术!$A:$ZZ,9,FALSE)+SUM(_xlfn.XLOOKUP(R11:AF11,增益!$A:$A,增益!$I:$I,0)))/200,($F$11-$I$4+VLOOKUP($Q11,武学奇术!$A:$ZZ,9,FALSE)+SUM(_xlfn.XLOOKUP(R11:AF11,增益!$A:$A,增益!$I:$I,0)))/100)</f>
        <v>-0.3</v>
      </c>
      <c r="AV11" s="35" cm="1">
        <f t="array" ref="AV11">$G$11+VLOOKUP($Q11,武学奇术!$A:$ZZ,10,FALSE)+SUM(_xlfn.XLOOKUP(R11:AF11,增益!$A:$A,增益!$J:$J,0))</f>
        <v>0</v>
      </c>
      <c r="AW11">
        <f t="shared" si="3"/>
        <v>0</v>
      </c>
      <c r="AX11">
        <f t="shared" si="4"/>
        <v>0</v>
      </c>
      <c r="AY11" s="35" cm="1">
        <f t="array" ref="AY11">IF($F$12-$I$4+VLOOKUP($Q11,武学奇术!$A:$ZZ,11,FALSE)+SUM(_xlfn.XLOOKUP(R11:AF11,增益!$A:$A,增益!$K:$K,0))&gt;0,($F$12-$I$4+VLOOKUP($Q11,武学奇术!$A:$ZZ,11,FALSE)+SUM(_xlfn.XLOOKUP(R11:AF11,增益!$A:$A,增益!$K:$K,0)))/200,($F$12-$I$4+VLOOKUP($Q11,武学奇术!$A:$ZZ,11,FALSE)+SUM(_xlfn.XLOOKUP(R11:AF11,增益!$A:$A,增益!$K:$K,0)))/100)</f>
        <v>-0.3</v>
      </c>
      <c r="AZ11" s="35" cm="1">
        <f t="array" ref="AZ11">$G$12+VLOOKUP($Q11,武学奇术!$A:$ZZ,12,FALSE)+SUM(_xlfn.XLOOKUP(R11:AF11,增益!$A:$A,增益!$L:$L,0))</f>
        <v>0</v>
      </c>
      <c r="BA11">
        <f t="shared" si="5"/>
        <v>0</v>
      </c>
      <c r="BB11">
        <f t="shared" si="6"/>
        <v>0</v>
      </c>
      <c r="BC11" s="35" cm="1">
        <f t="array" ref="BC11">IF($F$13-$I$4+VLOOKUP($Q11,武学奇术!$A:$ZZ,13,FALSE)+SUM(_xlfn.XLOOKUP(R11:AF11,增益!$A:$A,增益!$M:$M,0))&gt;0,($F$13-$I$4+VLOOKUP($Q11,武学奇术!$A:$ZZ,13,FALSE)+SUM(_xlfn.XLOOKUP(R11:AF11,增益!$A:$A,增益!$K:$K,0)))/200,($F$13-$I$4+VLOOKUP($Q11,武学奇术!$A:$ZZ,13,FALSE)+SUM(_xlfn.XLOOKUP(R11:AF11,增益!$A:$A,增益!$M:$M,0)))/100)</f>
        <v>-0.3</v>
      </c>
      <c r="BD11" s="35" cm="1">
        <f t="array" ref="BD11">$G$13+VLOOKUP($Q11,武学奇术!$A:$ZZ,14,FALSE)+SUM(_xlfn.XLOOKUP(R11:AF11,增益!$A:$A,增益!$N:$N,0))</f>
        <v>0</v>
      </c>
      <c r="BE11">
        <f t="shared" si="7"/>
        <v>538</v>
      </c>
      <c r="BF11">
        <f t="shared" si="8"/>
        <v>1561.4</v>
      </c>
      <c r="BG11" s="35" cm="1">
        <f t="array" ref="BG11">IF($F$14-$I$4+VLOOKUP($Q11,武学奇术!$A:$ZZ,15,FALSE)+SUM(_xlfn.XLOOKUP(R11:AF11,增益!$A:$A,增益!$O:$O,0))&gt;0,($F$14-$I$4+VLOOKUP($Q11,武学奇术!$A:$ZZ,15,FALSE)+SUM(_xlfn.XLOOKUP(R11:AF11,增益!$A:$A,增益!$O:$O,0)))/200,($F$14-$I$4+VLOOKUP($Q11,武学奇术!$A:$ZZ,15,FALSE)+SUM(_xlfn.XLOOKUP(R11:AF11,增益!$A:$A,增益!$O:$O,0)))/100)</f>
        <v>0</v>
      </c>
      <c r="BH11" s="35" cm="1">
        <f t="array" ref="BH11">$G$14+VLOOKUP($Q11,武学奇术!$A:$ZZ,16,FALSE)+SUM(_xlfn.XLOOKUP(R11:AF11,增益!$A:$A,增益!$P:$P,0))</f>
        <v>0.27</v>
      </c>
      <c r="BI11" s="30">
        <f>MIN(IF(VLOOKUP($Q11,武学奇术!$A:$ZZ,23,FALSE)=1,100%,$B$8),100%)</f>
        <v>0.9712</v>
      </c>
      <c r="BJ11" s="30" cm="1">
        <f t="array" ref="BJ11">IF(VLOOKUP($Q11,武学奇术!$A:$ZZ,23,FALSE)=1,100%,MIN(80%,$B$9+VLOOKUP($Q11,武学奇术!$A:$ZZ,17,FALSE)+SUM(_xlfn.XLOOKUP(R11:AF11,增益!$A:$A,增益!$Q:$Q,0)))+$B$11+SUM(_xlfn.XLOOKUP(R11:AF11,增益!$A:$A,增益!$U:$U,0)))*IF(VLOOKUP($Q11,武学奇术!$A:$ZZ,24,FALSE)=1,0,1)</f>
        <v>0.8773</v>
      </c>
      <c r="BK11" s="30" cm="1">
        <f t="array" ref="BK11">1+$B$13+VLOOKUP($Q11,武学奇术!$A:$ZZ,18,FALSE)+SUM(_xlfn.XLOOKUP(R11:AF11,增益!$A:$A,增益!$R:$R,0))</f>
        <v>1.79</v>
      </c>
      <c r="BL11" s="30" cm="1">
        <f t="array" ref="BL11">IF(VLOOKUP($Q11,武学奇术!$A:$ZZ,24,FALSE)=1,100%,MIN(40%,$B$10+VLOOKUP($Q11,武学奇术!$A:$ZZ,19,FALSE)+SUM(_xlfn.XLOOKUP(R11:AF11,增益!$A:$A,增益!$S:$S,0)))+$B$12+SUM(_xlfn.XLOOKUP(R11:AF11,增益!$A:$A,增益!$V:$V,0)))*IF(VLOOKUP($Q11,武学奇术!$A:$ZZ,23,FALSE)=1,0,1)</f>
        <v>0.0895</v>
      </c>
      <c r="BM11" s="30" cm="1">
        <f t="array" ref="BM11">1+$B$14+VLOOKUP($Q11,武学奇术!$A:$ZZ,20,FALSE)+SUM(_xlfn.XLOOKUP(R11:AF11,增益!$A:$A,增益!$T:$T,0))</f>
        <v>1.35</v>
      </c>
      <c r="BN11" s="30">
        <f t="shared" si="9"/>
        <v>0.85203376</v>
      </c>
      <c r="BO11" s="30">
        <f t="shared" si="10"/>
        <v>0.03224384</v>
      </c>
      <c r="BP11" s="30">
        <f>IF(VLOOKUP($Q11,武学奇术!$A:$ZZ,22,FALSE)=1,0,(1-$BI11))*(1-$BL11)</f>
        <v>0.0262224</v>
      </c>
      <c r="BQ11" s="30" cm="1">
        <f t="array" ref="BQ11">SUM(_xlfn.XLOOKUP(R11:AF11,增益!$A:$A,增益!$W:$W,0))+$I$5</f>
        <v>0.11</v>
      </c>
    </row>
    <row r="12" spans="1:69">
      <c r="A12" s="44" t="s">
        <v>113</v>
      </c>
      <c r="B12" s="72">
        <f>期望!B12</f>
        <v>0</v>
      </c>
      <c r="C12" s="21" t="s">
        <v>83</v>
      </c>
      <c r="D12">
        <f>期望!D12</f>
        <v>0</v>
      </c>
      <c r="E12">
        <f>期望!E12</f>
        <v>0</v>
      </c>
      <c r="F12">
        <f>期望!F12</f>
        <v>0</v>
      </c>
      <c r="G12" s="52">
        <f>期望!G12</f>
        <v>0</v>
      </c>
      <c r="H12" s="70" t="s">
        <v>188</v>
      </c>
      <c r="I12" s="41">
        <f>I10/I8</f>
        <v>106149.148546532</v>
      </c>
      <c r="J12" s="79"/>
      <c r="K12" s="41">
        <f t="shared" si="0"/>
        <v>74659.4635644326</v>
      </c>
      <c r="L12" s="41">
        <f>((($AN12+$AO12)/2*$AH12+$AI12)*(1+$AP12)*(1+$AQ12)+(($AS12+$AT12)/2*IF($G$1="鸣金",$AJ12,$AH12)+IF($G$1="鸣金",$AK12*1.5,0))*(1+$AU12)*(1+$AV12)+(($AW12+$AX12)/2*IF($G$1="裂石",$AJ12,$AH12)+IF($G$1="裂石",$AK12*1.5,0))*(1+$AY12)*(1+$AZ12)+(($BA12+$BB12)/2*IF($G$1="牵丝",$AJ12,$AH12)+IF($G$1="牵丝",$AK12*1.5,0))*(1+$BC12)*(1+$BD12)+(($BE12+$BF12)/2*IF($G$1="破竹",$AJ12,$AH12)+IF($G$1="破竹",$AK12*1.5,0))*(1+$BG12)*(1+$BH12))*(1+$AL12)*$BK12*$P12*(1+IF(VLOOKUP($Q12,武学奇术!$A:$ZZ,30,FALSE)="回旋伞",$B$21,0))*(1+$BQ12)</f>
        <v>74659.4635644326</v>
      </c>
      <c r="M12" s="41">
        <f>(($AO12*$AH12+$AI12)*(1+$AP12)*(1+$AQ12)+($AT12*IF($G$1="鸣金",$AJ12,$AH12)+IF($G$1="鸣金",$AK12*1.5,0))*(1+$AU12)*(1+$AV12)+($AX12*IF($G$1="裂石",$AJ12,$AH12)+IF($G$1="裂石",$AK12*1.5,0))*(1+$AY12)*(1+$AZ12)+($BB12*IF($G$1="牵丝",$AJ12,$AH12)+IF($G$1="牵丝",$AK12*1.5,0))*(1+$BC12)*(1+$BD12)+($BF12*IF($G$1="破竹",$AJ12,$AH12)+IF($G$1="破竹",$AK12*1.5,0))*(1+$BG12)*(1+$BH12))*(1+$AL12)*$BM12*$P12*(1+IF(VLOOKUP($Q12,武学奇术!$A:$ZZ,30,FALSE)="回旋伞",$B$21,0))*(1+$BQ12)</f>
        <v>63121.1064637427</v>
      </c>
      <c r="N12" s="41">
        <f>((($AN12+$AO12)/2*$AH12+$AI12)*(1+$AP12)*(1+$AQ12)+(($AS12+$AT12)/2*IF($G$1="鸣金",$AJ12,$AH12)+IF($G$1="鸣金",$AK12*1.5,0))*(1+$AU12)*(1+$AV12)+(($AW12+$AX12)/2*IF($G$1="裂石",$AJ12,$AH12)+IF($G$1="裂石",$AK12*1.5,0))*(1+$AY12)*(1+$AZ12)+(($BA12+$BB12)/2*IF($G$1="牵丝",$AJ12,$AH12)+IF($G$1="牵丝",$AK12*1.5,0))*(1+$BC12)*(1+$BD12)+(($BE12+$BF12)/2*IF($G$1="破竹",$AJ12,$AH12)+IF($G$1="破竹",$AK12*1.5,0))*(1+$BG12)*(1+$BH12))*(1+$AL12)*$P12*(1+IF(VLOOKUP($Q12,武学奇术!$A:$ZZ,30,FALSE)="回旋伞",$B$21,0))*(1+$BQ12)</f>
        <v>41709.1975220294</v>
      </c>
      <c r="O12" s="41">
        <f>((($AN12*$AH12+$AI12)*(1+$AP12)*(1+$AQ12)+($AS12*IF($G$1="鸣金",$AJ12,$AH12)+IF($G$1="鸣金",$AK12*1.5,0))*(1+$AU12)*(1+$AV12)+($AW12*IF($G$1="裂石",$AJ12,$AH12)+IF($G$1="裂石",$AK12*1.5,0))*(1+$AY12)*(1+$AZ12)+($BA12*IF($G$1="牵丝",$AJ12,$AH12)+IF($G$1="牵丝",$AK12*1.5,0))*(1+$BC12)*(1+$BD12)+($BE12*IF($G$1="破竹",$AJ12,$AH12)+IF($G$1="破竹",$AK12*1.5,0))*(1+$BG12)*(1+$BH12))*(1+$AL12))*$P12*(1+IF(VLOOKUP($Q12,武学奇术!$A:$ZZ,30,FALSE)="回旋伞",$B$21,0))*(1+$BQ12)</f>
        <v>36662.0198857308</v>
      </c>
      <c r="P12" s="42">
        <v>1</v>
      </c>
      <c r="Q12" s="43" t="s">
        <v>115</v>
      </c>
      <c r="R12" s="43" t="s">
        <v>105</v>
      </c>
      <c r="S12" s="43" t="s">
        <v>91</v>
      </c>
      <c r="T12" s="43" t="s">
        <v>72</v>
      </c>
      <c r="U12" s="43" t="s">
        <v>79</v>
      </c>
      <c r="V12" s="43" t="s">
        <v>80</v>
      </c>
      <c r="W12" s="43" t="s">
        <v>87</v>
      </c>
      <c r="X12" s="43" t="s">
        <v>71</v>
      </c>
      <c r="Y12" s="43" t="s">
        <v>71</v>
      </c>
      <c r="Z12" s="43" t="s">
        <v>71</v>
      </c>
      <c r="AA12" s="43" t="s">
        <v>116</v>
      </c>
      <c r="AB12" s="43" t="s">
        <v>71</v>
      </c>
      <c r="AC12" s="43" t="s">
        <v>71</v>
      </c>
      <c r="AD12" s="43" t="s">
        <v>71</v>
      </c>
      <c r="AE12" s="43" t="s">
        <v>71</v>
      </c>
      <c r="AF12" s="43" t="s">
        <v>76</v>
      </c>
      <c r="AG12" t="str">
        <f>VLOOKUP($Q12,武学奇术!$A:$ZZ,25,FALSE)</f>
        <v>伞</v>
      </c>
      <c r="AH12" s="30">
        <f>VLOOKUP($Q12,武学奇术!$A:$ZZ,26,FALSE)</f>
        <v>1.8084</v>
      </c>
      <c r="AI12" s="31">
        <f>VLOOKUP($Q12,武学奇术!$A:$ZZ,27,FALSE)*(1+IF(OR($AG12=$F$4,$AG12=$F$5),$B$22,0))</f>
        <v>700</v>
      </c>
      <c r="AJ12" s="30">
        <f>VLOOKUP($Q12,武学奇术!$A:$ZZ,28,FALSE)</f>
        <v>2.7126</v>
      </c>
      <c r="AK12" s="31">
        <f>VLOOKUP($Q12,武学奇术!$A:$ZZ,29,FALSE)*(1+IF(OR($AG12=$F$4,$AG12=$F$5),$B$22,0))</f>
        <v>380.8</v>
      </c>
      <c r="AL12" s="30" cm="1">
        <f t="array" ref="AL12">$G$3+IFERROR(VLOOKUP($AG12,$F$4:$G$7,2,FALSE),0)+VLOOKUP($Q12,武学奇术!$A:$ZZ,2,FALSE)+SUM(_xlfn.XLOOKUP($R12:$AF12,增益!$A:$A,增益!$B:$B,0))</f>
        <v>0.9541</v>
      </c>
      <c r="AM12" s="30" cm="1">
        <f t="array" ref="AM12">VLOOKUP($Q12,武学奇术!$A:$ZZ,5,FALSE)+SUM(_xlfn.XLOOKUP($R12:$AF12,增益!$A:$A,增益!$E:$E,0))</f>
        <v>0</v>
      </c>
      <c r="AN12" cm="1">
        <f t="array" ref="AN12">$D$10*(1+$AM12)+VLOOKUP($Q12,武学奇术!$A:$ZZ,3,FALSE)+SUM(_xlfn.XLOOKUP($R12:$AF12,增益!$A:$A,增益!$C:$C,0))-$I$2</f>
        <v>3483.8</v>
      </c>
      <c r="AO12" cm="1">
        <f t="array" ref="AO12">$E$10*(1+$AM12)+VLOOKUP($Q12,武学奇术!$A:$ZZ,4,FALSE)+SUM(_xlfn.XLOOKUP($R12:$AF12,增益!$A:$A,增益!$D:$D,0))-$I$2</f>
        <v>3483.8</v>
      </c>
      <c r="AP12" s="35" cm="1">
        <f t="array" ref="AP12">IF($F$10-$I$3+VLOOKUP($Q12,武学奇术!$A:$ZZ,6,FALSE)+SUM(_xlfn.XLOOKUP(R12:AF12,增益!$A:$A,增益!$F:$F,0))&gt;0,($F$10-$I$3+VLOOKUP($Q12,武学奇术!$A:$ZZ,6,FALSE)+SUM(_xlfn.XLOOKUP(R12:AF12,增益!$A:$A,增益!$F:$F,0)))/200,($F$10-$I$3+VLOOKUP($Q12,武学奇术!$A:$ZZ,6,FALSE)+SUM(_xlfn.XLOOKUP(R12:AF12,增益!$A:$A,增益!$F:$F,0)))/100)</f>
        <v>0.2725</v>
      </c>
      <c r="AQ12" s="35" cm="1">
        <f t="array" ref="AQ12">$G$10+VLOOKUP($Q12,武学奇术!$A:$ZZ,7,FALSE)+SUM(_xlfn.XLOOKUP(R12:AF12,增益!$A:$A,增益!$G:$G,0))</f>
        <v>0.148</v>
      </c>
      <c r="AR12" s="30" cm="1">
        <f t="array" ref="AR12">VLOOKUP($Q12,武学奇术!$A:$ZZ,8,FALSE)+SUM(_xlfn.XLOOKUP(R12:AF12,增益!$A:$A,增益!$H:$H,0))</f>
        <v>0</v>
      </c>
      <c r="AS12">
        <f t="shared" si="1"/>
        <v>0</v>
      </c>
      <c r="AT12">
        <f t="shared" si="2"/>
        <v>0</v>
      </c>
      <c r="AU12" s="35" cm="1">
        <f t="array" ref="AU12">IF($F$11-$I$4+VLOOKUP($Q12,武学奇术!$A:$ZZ,9,FALSE)+SUM(_xlfn.XLOOKUP(R12:AF12,增益!$A:$A,增益!$I:$I,0))&gt;0,($F$11-$I$4+VLOOKUP($Q12,武学奇术!$A:$ZZ,9,FALSE)+SUM(_xlfn.XLOOKUP(R12:AF12,增益!$A:$A,增益!$I:$I,0)))/200,($F$11-$I$4+VLOOKUP($Q12,武学奇术!$A:$ZZ,9,FALSE)+SUM(_xlfn.XLOOKUP(R12:AF12,增益!$A:$A,增益!$I:$I,0)))/100)</f>
        <v>-0.3</v>
      </c>
      <c r="AV12" s="35" cm="1">
        <f t="array" ref="AV12">$G$11+VLOOKUP($Q12,武学奇术!$A:$ZZ,10,FALSE)+SUM(_xlfn.XLOOKUP(R12:AF12,增益!$A:$A,增益!$J:$J,0))</f>
        <v>0</v>
      </c>
      <c r="AW12">
        <f t="shared" si="3"/>
        <v>0</v>
      </c>
      <c r="AX12">
        <f t="shared" si="4"/>
        <v>0</v>
      </c>
      <c r="AY12" s="35" cm="1">
        <f t="array" ref="AY12">IF($F$12-$I$4+VLOOKUP($Q12,武学奇术!$A:$ZZ,11,FALSE)+SUM(_xlfn.XLOOKUP(R12:AF12,增益!$A:$A,增益!$K:$K,0))&gt;0,($F$12-$I$4+VLOOKUP($Q12,武学奇术!$A:$ZZ,11,FALSE)+SUM(_xlfn.XLOOKUP(R12:AF12,增益!$A:$A,增益!$K:$K,0)))/200,($F$12-$I$4+VLOOKUP($Q12,武学奇术!$A:$ZZ,11,FALSE)+SUM(_xlfn.XLOOKUP(R12:AF12,增益!$A:$A,增益!$K:$K,0)))/100)</f>
        <v>-0.3</v>
      </c>
      <c r="AZ12" s="35" cm="1">
        <f t="array" ref="AZ12">$G$12+VLOOKUP($Q12,武学奇术!$A:$ZZ,12,FALSE)+SUM(_xlfn.XLOOKUP(R12:AF12,增益!$A:$A,增益!$L:$L,0))</f>
        <v>0</v>
      </c>
      <c r="BA12">
        <f t="shared" si="5"/>
        <v>0</v>
      </c>
      <c r="BB12">
        <f t="shared" si="6"/>
        <v>0</v>
      </c>
      <c r="BC12" s="35" cm="1">
        <f t="array" ref="BC12">IF($F$13-$I$4+VLOOKUP($Q12,武学奇术!$A:$ZZ,13,FALSE)+SUM(_xlfn.XLOOKUP(R12:AF12,增益!$A:$A,增益!$M:$M,0))&gt;0,($F$13-$I$4+VLOOKUP($Q12,武学奇术!$A:$ZZ,13,FALSE)+SUM(_xlfn.XLOOKUP(R12:AF12,增益!$A:$A,增益!$K:$K,0)))/200,($F$13-$I$4+VLOOKUP($Q12,武学奇术!$A:$ZZ,13,FALSE)+SUM(_xlfn.XLOOKUP(R12:AF12,增益!$A:$A,增益!$M:$M,0)))/100)</f>
        <v>-0.3</v>
      </c>
      <c r="BD12" s="35" cm="1">
        <f t="array" ref="BD12">$G$13+VLOOKUP($Q12,武学奇术!$A:$ZZ,14,FALSE)+SUM(_xlfn.XLOOKUP(R12:AF12,增益!$A:$A,增益!$N:$N,0))</f>
        <v>0</v>
      </c>
      <c r="BE12">
        <f t="shared" si="7"/>
        <v>538</v>
      </c>
      <c r="BF12">
        <f t="shared" si="8"/>
        <v>1561.4</v>
      </c>
      <c r="BG12" s="35" cm="1">
        <f t="array" ref="BG12">IF($F$14-$I$4+VLOOKUP($Q12,武学奇术!$A:$ZZ,15,FALSE)+SUM(_xlfn.XLOOKUP(R12:AF12,增益!$A:$A,增益!$O:$O,0))&gt;0,($F$14-$I$4+VLOOKUP($Q12,武学奇术!$A:$ZZ,15,FALSE)+SUM(_xlfn.XLOOKUP(R12:AF12,增益!$A:$A,增益!$O:$O,0)))/200,($F$14-$I$4+VLOOKUP($Q12,武学奇术!$A:$ZZ,15,FALSE)+SUM(_xlfn.XLOOKUP(R12:AF12,增益!$A:$A,增益!$O:$O,0)))/100)</f>
        <v>0</v>
      </c>
      <c r="BH12" s="35" cm="1">
        <f t="array" ref="BH12">$G$14+VLOOKUP($Q12,武学奇术!$A:$ZZ,16,FALSE)+SUM(_xlfn.XLOOKUP(R12:AF12,增益!$A:$A,增益!$P:$P,0))</f>
        <v>0.27</v>
      </c>
      <c r="BI12" s="30">
        <f>MIN(IF(VLOOKUP($Q12,武学奇术!$A:$ZZ,23,FALSE)=1,100%,$B$8),100%)</f>
        <v>1</v>
      </c>
      <c r="BJ12" s="30" cm="1">
        <f t="array" ref="BJ12">IF(VLOOKUP($Q12,武学奇术!$A:$ZZ,23,FALSE)=1,100%,MIN(80%,$B$9+VLOOKUP($Q12,武学奇术!$A:$ZZ,17,FALSE)+SUM(_xlfn.XLOOKUP(R12:AF12,增益!$A:$A,增益!$Q:$Q,0)))+$B$11+SUM(_xlfn.XLOOKUP(R12:AF12,增益!$A:$A,增益!$U:$U,0)))*IF(VLOOKUP($Q12,武学奇术!$A:$ZZ,24,FALSE)=1,0,1)</f>
        <v>1</v>
      </c>
      <c r="BK12" s="30" cm="1">
        <f t="array" ref="BK12">1+$B$13+VLOOKUP($Q12,武学奇术!$A:$ZZ,18,FALSE)+SUM(_xlfn.XLOOKUP(R12:AF12,增益!$A:$A,增益!$R:$R,0))</f>
        <v>1.79</v>
      </c>
      <c r="BL12" s="30" cm="1">
        <f t="array" ref="BL12">IF(VLOOKUP($Q12,武学奇术!$A:$ZZ,24,FALSE)=1,100%,MIN(40%,$B$10+VLOOKUP($Q12,武学奇术!$A:$ZZ,19,FALSE)+SUM(_xlfn.XLOOKUP(R12:AF12,增益!$A:$A,增益!$S:$S,0)))+$B$12+SUM(_xlfn.XLOOKUP(R12:AF12,增益!$A:$A,增益!$V:$V,0)))*IF(VLOOKUP($Q12,武学奇术!$A:$ZZ,23,FALSE)=1,0,1)</f>
        <v>0</v>
      </c>
      <c r="BM12" s="30" cm="1">
        <f t="array" ref="BM12">1+$B$14+VLOOKUP($Q12,武学奇术!$A:$ZZ,20,FALSE)+SUM(_xlfn.XLOOKUP(R12:AF12,增益!$A:$A,增益!$T:$T,0))</f>
        <v>1.35</v>
      </c>
      <c r="BN12" s="30">
        <f t="shared" si="9"/>
        <v>1</v>
      </c>
      <c r="BO12" s="30">
        <f t="shared" si="10"/>
        <v>0</v>
      </c>
      <c r="BP12" s="30">
        <f>IF(VLOOKUP($Q12,武学奇术!$A:$ZZ,22,FALSE)=1,0,(1-$BI12))*(1-$BL12)</f>
        <v>0</v>
      </c>
      <c r="BQ12" s="30" cm="1">
        <f t="array" ref="BQ12">SUM(_xlfn.XLOOKUP(R12:AF12,增益!$A:$A,增益!$W:$W,0))+$I$5</f>
        <v>0.11</v>
      </c>
    </row>
    <row r="13" ht="14.25" spans="1:69">
      <c r="A13" s="44" t="s">
        <v>117</v>
      </c>
      <c r="B13" s="72">
        <f>期望!B13</f>
        <v>0.5</v>
      </c>
      <c r="C13" s="21" t="s">
        <v>88</v>
      </c>
      <c r="D13">
        <f>期望!D13</f>
        <v>0</v>
      </c>
      <c r="E13">
        <f>期望!E13</f>
        <v>0</v>
      </c>
      <c r="F13">
        <f>期望!F13</f>
        <v>0</v>
      </c>
      <c r="G13" s="52">
        <f>期望!G13</f>
        <v>0</v>
      </c>
      <c r="H13" s="73"/>
      <c r="I13" s="80"/>
      <c r="J13" s="78"/>
      <c r="K13" s="41">
        <f t="shared" si="0"/>
        <v>65285.9239649172</v>
      </c>
      <c r="L13" s="41">
        <f>((($AN13+$AO13)/2*$AH13+$AI13)*(1+$AP13)*(1+$AQ13)+(($AS13+$AT13)/2*IF($G$1="鸣金",$AJ13,$AH13)+IF($G$1="鸣金",$AK13*1.5,0))*(1+$AU13)*(1+$AV13)+(($AW13+$AX13)/2*IF($G$1="裂石",$AJ13,$AH13)+IF($G$1="裂石",$AK13*1.5,0))*(1+$AY13)*(1+$AZ13)+(($BA13+$BB13)/2*IF($G$1="牵丝",$AJ13,$AH13)+IF($G$1="牵丝",$AK13*1.5,0))*(1+$BC13)*(1+$BD13)+(($BE13+$BF13)/2*IF($G$1="破竹",$AJ13,$AH13)+IF($G$1="破竹",$AK13*1.5,0))*(1+$BG13)*(1+$BH13))*(1+$AL13)*$BK13*$P13*(1+IF(VLOOKUP($Q13,武学奇术!$A:$ZZ,30,FALSE)="回旋伞",$B$21,0))*(1+$BQ13)</f>
        <v>68150.6380951824</v>
      </c>
      <c r="M13" s="41">
        <f>(($AO13*$AH13+$AI13)*(1+$AP13)*(1+$AQ13)+($AT13*IF($G$1="鸣金",$AJ13,$AH13)+IF($G$1="鸣金",$AK13*1.5,0))*(1+$AU13)*(1+$AV13)+($AX13*IF($G$1="裂石",$AJ13,$AH13)+IF($G$1="裂石",$AK13*1.5,0))*(1+$AY13)*(1+$AZ13)+($BB13*IF($G$1="牵丝",$AJ13,$AH13)+IF($G$1="牵丝",$AK13*1.5,0))*(1+$BC13)*(1+$BD13)+($BF13*IF($G$1="破竹",$AJ13,$AH13)+IF($G$1="破竹",$AK13*1.5,0))*(1+$BG13)*(1+$BH13))*(1+$AL13)*$BM13*$P13*(1+IF(VLOOKUP($Q13,武学奇术!$A:$ZZ,30,FALSE)="回旋伞",$B$21,0))*(1+$BQ13)</f>
        <v>57264.163358277</v>
      </c>
      <c r="N13" s="41">
        <f>((($AN13+$AO13)/2*$AH13+$AI13)*(1+$AP13)*(1+$AQ13)+(($AS13+$AT13)/2*IF($G$1="鸣金",$AJ13,$AH13)+IF($G$1="鸣金",$AK13*1.5,0))*(1+$AU13)*(1+$AV13)+(($AW13+$AX13)/2*IF($G$1="裂石",$AJ13,$AH13)+IF($G$1="裂石",$AK13*1.5,0))*(1+$AY13)*(1+$AZ13)+(($BA13+$BB13)/2*IF($G$1="牵丝",$AJ13,$AH13)+IF($G$1="牵丝",$AK13*1.5,0))*(1+$BC13)*(1+$BD13)+(($BE13+$BF13)/2*IF($G$1="破竹",$AJ13,$AH13)+IF($G$1="破竹",$AK13*1.5,0))*(1+$BG13)*(1+$BH13))*(1+$AL13)*$P13*(1+IF(VLOOKUP($Q13,武学奇术!$A:$ZZ,30,FALSE)="回旋伞",$B$21,0))*(1+$BQ13)</f>
        <v>37861.4656084346</v>
      </c>
      <c r="O13" s="41">
        <f>((($AN13*$AH13+$AI13)*(1+$AP13)*(1+$AQ13)+($AS13*IF($G$1="鸣金",$AJ13,$AH13)+IF($G$1="鸣金",$AK13*1.5,0))*(1+$AU13)*(1+$AV13)+($AW13*IF($G$1="裂石",$AJ13,$AH13)+IF($G$1="裂石",$AK13*1.5,0))*(1+$AY13)*(1+$AZ13)+($BA13*IF($G$1="牵丝",$AJ13,$AH13)+IF($G$1="牵丝",$AK13*1.5,0))*(1+$BC13)*(1+$BD13)+($BE13*IF($G$1="破竹",$AJ13,$AH13)+IF($G$1="破竹",$AK13*1.5,0))*(1+$BG13)*(1+$BH13))*(1+$AL13))*$P13*(1+IF(VLOOKUP($Q13,武学奇术!$A:$ZZ,30,FALSE)="回旋伞",$B$21,0))*(1+$BQ13)</f>
        <v>33305.0324329604</v>
      </c>
      <c r="P13" s="42">
        <v>1</v>
      </c>
      <c r="Q13" s="43" t="s">
        <v>104</v>
      </c>
      <c r="R13" s="43" t="s">
        <v>105</v>
      </c>
      <c r="S13" s="43" t="s">
        <v>91</v>
      </c>
      <c r="T13" s="43" t="s">
        <v>72</v>
      </c>
      <c r="U13" s="43" t="s">
        <v>79</v>
      </c>
      <c r="V13" s="43" t="s">
        <v>86</v>
      </c>
      <c r="W13" s="43" t="s">
        <v>93</v>
      </c>
      <c r="X13" s="43" t="s">
        <v>71</v>
      </c>
      <c r="Y13" s="43" t="s">
        <v>71</v>
      </c>
      <c r="Z13" s="43" t="s">
        <v>71</v>
      </c>
      <c r="AA13" s="43" t="s">
        <v>116</v>
      </c>
      <c r="AB13" s="43" t="s">
        <v>71</v>
      </c>
      <c r="AC13" s="43" t="s">
        <v>71</v>
      </c>
      <c r="AD13" s="43" t="s">
        <v>71</v>
      </c>
      <c r="AE13" s="43" t="s">
        <v>71</v>
      </c>
      <c r="AF13" s="43" t="s">
        <v>76</v>
      </c>
      <c r="AG13" t="str">
        <f>VLOOKUP($Q13,武学奇术!$A:$ZZ,25,FALSE)</f>
        <v>伞</v>
      </c>
      <c r="AH13" s="30">
        <f>VLOOKUP($Q13,武学奇术!$A:$ZZ,26,FALSE)</f>
        <v>1.8084</v>
      </c>
      <c r="AI13" s="31">
        <f>VLOOKUP($Q13,武学奇术!$A:$ZZ,27,FALSE)*(1+IF(OR($AG13=$F$4,$AG13=$F$5),$B$22,0))</f>
        <v>700</v>
      </c>
      <c r="AJ13" s="30">
        <f>VLOOKUP($Q13,武学奇术!$A:$ZZ,28,FALSE)</f>
        <v>2.7126</v>
      </c>
      <c r="AK13" s="31">
        <f>VLOOKUP($Q13,武学奇术!$A:$ZZ,29,FALSE)*(1+IF(OR($AG13=$F$4,$AG13=$F$5),$B$22,0))</f>
        <v>380.8</v>
      </c>
      <c r="AL13" s="30" cm="1">
        <f t="array" ref="AL13">$G$3+IFERROR(VLOOKUP($AG13,$F$4:$G$7,2,FALSE),0)+VLOOKUP($Q13,武学奇术!$A:$ZZ,2,FALSE)+SUM(_xlfn.XLOOKUP($R13:$AF13,增益!$A:$A,增益!$B:$B,0))</f>
        <v>0.7641</v>
      </c>
      <c r="AM13" s="30" cm="1">
        <f t="array" ref="AM13">VLOOKUP($Q13,武学奇术!$A:$ZZ,5,FALSE)+SUM(_xlfn.XLOOKUP($R13:$AF13,增益!$A:$A,增益!$E:$E,0))</f>
        <v>0</v>
      </c>
      <c r="AN13" cm="1">
        <f t="array" ref="AN13">$D$10*(1+$AM13)+VLOOKUP($Q13,武学奇术!$A:$ZZ,3,FALSE)+SUM(_xlfn.XLOOKUP($R13:$AF13,增益!$A:$A,增益!$C:$C,0))-$I$2</f>
        <v>3483.8</v>
      </c>
      <c r="AO13" cm="1">
        <f t="array" ref="AO13">$E$10*(1+$AM13)+VLOOKUP($Q13,武学奇术!$A:$ZZ,4,FALSE)+SUM(_xlfn.XLOOKUP($R13:$AF13,增益!$A:$A,增益!$D:$D,0))-$I$2</f>
        <v>3483.8</v>
      </c>
      <c r="AP13" s="35" cm="1">
        <f t="array" ref="AP13">IF($F$10-$I$3+VLOOKUP($Q13,武学奇术!$A:$ZZ,6,FALSE)+SUM(_xlfn.XLOOKUP(R13:AF13,增益!$A:$A,增益!$F:$F,0))&gt;0,($F$10-$I$3+VLOOKUP($Q13,武学奇术!$A:$ZZ,6,FALSE)+SUM(_xlfn.XLOOKUP(R13:AF13,增益!$A:$A,增益!$F:$F,0)))/200,($F$10-$I$3+VLOOKUP($Q13,武学奇术!$A:$ZZ,6,FALSE)+SUM(_xlfn.XLOOKUP(R13:AF13,增益!$A:$A,增益!$F:$F,0)))/100)</f>
        <v>0.2825</v>
      </c>
      <c r="AQ13" s="35" cm="1">
        <f t="array" ref="AQ13">$G$10+VLOOKUP($Q13,武学奇术!$A:$ZZ,7,FALSE)+SUM(_xlfn.XLOOKUP(R13:AF13,增益!$A:$A,增益!$G:$G,0))</f>
        <v>0.148</v>
      </c>
      <c r="AR13" s="30" cm="1">
        <f t="array" ref="AR13">VLOOKUP($Q13,武学奇术!$A:$ZZ,8,FALSE)+SUM(_xlfn.XLOOKUP(R13:AF13,增益!$A:$A,增益!$H:$H,0))</f>
        <v>0</v>
      </c>
      <c r="AS13">
        <f t="shared" si="1"/>
        <v>0</v>
      </c>
      <c r="AT13">
        <f t="shared" si="2"/>
        <v>0</v>
      </c>
      <c r="AU13" s="35" cm="1">
        <f t="array" ref="AU13">IF($F$11-$I$4+VLOOKUP($Q13,武学奇术!$A:$ZZ,9,FALSE)+SUM(_xlfn.XLOOKUP(R13:AF13,增益!$A:$A,增益!$I:$I,0))&gt;0,($F$11-$I$4+VLOOKUP($Q13,武学奇术!$A:$ZZ,9,FALSE)+SUM(_xlfn.XLOOKUP(R13:AF13,增益!$A:$A,增益!$I:$I,0)))/200,($F$11-$I$4+VLOOKUP($Q13,武学奇术!$A:$ZZ,9,FALSE)+SUM(_xlfn.XLOOKUP(R13:AF13,增益!$A:$A,增益!$I:$I,0)))/100)</f>
        <v>-0.3</v>
      </c>
      <c r="AV13" s="35" cm="1">
        <f t="array" ref="AV13">$G$11+VLOOKUP($Q13,武学奇术!$A:$ZZ,10,FALSE)+SUM(_xlfn.XLOOKUP(R13:AF13,增益!$A:$A,增益!$J:$J,0))</f>
        <v>0</v>
      </c>
      <c r="AW13">
        <f t="shared" si="3"/>
        <v>0</v>
      </c>
      <c r="AX13">
        <f t="shared" si="4"/>
        <v>0</v>
      </c>
      <c r="AY13" s="35" cm="1">
        <f t="array" ref="AY13">IF($F$12-$I$4+VLOOKUP($Q13,武学奇术!$A:$ZZ,11,FALSE)+SUM(_xlfn.XLOOKUP(R13:AF13,增益!$A:$A,增益!$K:$K,0))&gt;0,($F$12-$I$4+VLOOKUP($Q13,武学奇术!$A:$ZZ,11,FALSE)+SUM(_xlfn.XLOOKUP(R13:AF13,增益!$A:$A,增益!$K:$K,0)))/200,($F$12-$I$4+VLOOKUP($Q13,武学奇术!$A:$ZZ,11,FALSE)+SUM(_xlfn.XLOOKUP(R13:AF13,增益!$A:$A,增益!$K:$K,0)))/100)</f>
        <v>-0.3</v>
      </c>
      <c r="AZ13" s="35" cm="1">
        <f t="array" ref="AZ13">$G$12+VLOOKUP($Q13,武学奇术!$A:$ZZ,12,FALSE)+SUM(_xlfn.XLOOKUP(R13:AF13,增益!$A:$A,增益!$L:$L,0))</f>
        <v>0</v>
      </c>
      <c r="BA13">
        <f t="shared" si="5"/>
        <v>0</v>
      </c>
      <c r="BB13">
        <f t="shared" si="6"/>
        <v>0</v>
      </c>
      <c r="BC13" s="35" cm="1">
        <f t="array" ref="BC13">IF($F$13-$I$4+VLOOKUP($Q13,武学奇术!$A:$ZZ,13,FALSE)+SUM(_xlfn.XLOOKUP(R13:AF13,增益!$A:$A,增益!$M:$M,0))&gt;0,($F$13-$I$4+VLOOKUP($Q13,武学奇术!$A:$ZZ,13,FALSE)+SUM(_xlfn.XLOOKUP(R13:AF13,增益!$A:$A,增益!$K:$K,0)))/200,($F$13-$I$4+VLOOKUP($Q13,武学奇术!$A:$ZZ,13,FALSE)+SUM(_xlfn.XLOOKUP(R13:AF13,增益!$A:$A,增益!$M:$M,0)))/100)</f>
        <v>-0.3</v>
      </c>
      <c r="BD13" s="35" cm="1">
        <f t="array" ref="BD13">$G$13+VLOOKUP($Q13,武学奇术!$A:$ZZ,14,FALSE)+SUM(_xlfn.XLOOKUP(R13:AF13,增益!$A:$A,增益!$N:$N,0))</f>
        <v>0</v>
      </c>
      <c r="BE13">
        <f t="shared" si="7"/>
        <v>538</v>
      </c>
      <c r="BF13">
        <f t="shared" si="8"/>
        <v>1561.4</v>
      </c>
      <c r="BG13" s="35" cm="1">
        <f t="array" ref="BG13">IF($F$14-$I$4+VLOOKUP($Q13,武学奇术!$A:$ZZ,15,FALSE)+SUM(_xlfn.XLOOKUP(R13:AF13,增益!$A:$A,增益!$O:$O,0))&gt;0,($F$14-$I$4+VLOOKUP($Q13,武学奇术!$A:$ZZ,15,FALSE)+SUM(_xlfn.XLOOKUP(R13:AF13,增益!$A:$A,增益!$O:$O,0)))/200,($F$14-$I$4+VLOOKUP($Q13,武学奇术!$A:$ZZ,15,FALSE)+SUM(_xlfn.XLOOKUP(R13:AF13,增益!$A:$A,增益!$O:$O,0)))/100)</f>
        <v>0</v>
      </c>
      <c r="BH13" s="35" cm="1">
        <f t="array" ref="BH13">$G$14+VLOOKUP($Q13,武学奇术!$A:$ZZ,16,FALSE)+SUM(_xlfn.XLOOKUP(R13:AF13,增益!$A:$A,增益!$P:$P,0))</f>
        <v>0.27</v>
      </c>
      <c r="BI13" s="30">
        <f>MIN(IF(VLOOKUP($Q13,武学奇术!$A:$ZZ,23,FALSE)=1,100%,$B$8),100%)</f>
        <v>0.9712</v>
      </c>
      <c r="BJ13" s="30" cm="1">
        <f t="array" ref="BJ13">IF(VLOOKUP($Q13,武学奇术!$A:$ZZ,23,FALSE)=1,100%,MIN(80%,$B$9+VLOOKUP($Q13,武学奇术!$A:$ZZ,17,FALSE)+SUM(_xlfn.XLOOKUP(R13:AF13,增益!$A:$A,增益!$Q:$Q,0)))+$B$11+SUM(_xlfn.XLOOKUP(R13:AF13,增益!$A:$A,增益!$U:$U,0)))*IF(VLOOKUP($Q13,武学奇术!$A:$ZZ,24,FALSE)=1,0,1)</f>
        <v>0.8773</v>
      </c>
      <c r="BK13" s="30" cm="1">
        <f t="array" ref="BK13">1+$B$13+VLOOKUP($Q13,武学奇术!$A:$ZZ,18,FALSE)+SUM(_xlfn.XLOOKUP(R13:AF13,增益!$A:$A,增益!$R:$R,0))</f>
        <v>1.8</v>
      </c>
      <c r="BL13" s="30" cm="1">
        <f t="array" ref="BL13">IF(VLOOKUP($Q13,武学奇术!$A:$ZZ,24,FALSE)=1,100%,MIN(40%,$B$10+VLOOKUP($Q13,武学奇术!$A:$ZZ,19,FALSE)+SUM(_xlfn.XLOOKUP(R13:AF13,增益!$A:$A,增益!$S:$S,0)))+$B$12+SUM(_xlfn.XLOOKUP(R13:AF13,增益!$A:$A,增益!$V:$V,0)))*IF(VLOOKUP($Q13,武学奇术!$A:$ZZ,23,FALSE)=1,0,1)</f>
        <v>0.0895</v>
      </c>
      <c r="BM13" s="30" cm="1">
        <f t="array" ref="BM13">1+$B$14+VLOOKUP($Q13,武学奇术!$A:$ZZ,20,FALSE)+SUM(_xlfn.XLOOKUP(R13:AF13,增益!$A:$A,增益!$T:$T,0))</f>
        <v>1.35</v>
      </c>
      <c r="BN13" s="30">
        <f t="shared" si="9"/>
        <v>0.85203376</v>
      </c>
      <c r="BO13" s="30">
        <f t="shared" si="10"/>
        <v>0.03224384</v>
      </c>
      <c r="BP13" s="30">
        <f>IF(VLOOKUP($Q13,武学奇术!$A:$ZZ,22,FALSE)=1,0,(1-$BI13))*(1-$BL13)</f>
        <v>0.0262224</v>
      </c>
      <c r="BQ13" s="30" cm="1">
        <f t="array" ref="BQ13">SUM(_xlfn.XLOOKUP(R13:AF13,增益!$A:$A,增益!$W:$W,0))+$I$5</f>
        <v>0.11</v>
      </c>
    </row>
    <row r="14" ht="14.25" spans="1:69">
      <c r="A14" s="44" t="s">
        <v>118</v>
      </c>
      <c r="B14" s="72">
        <f>期望!B14</f>
        <v>0.35</v>
      </c>
      <c r="C14" s="23" t="s">
        <v>5</v>
      </c>
      <c r="D14" s="23">
        <f>期望!D14</f>
        <v>538</v>
      </c>
      <c r="E14" s="23">
        <f>期望!E14</f>
        <v>1561.4</v>
      </c>
      <c r="F14" s="23">
        <f>期望!F14</f>
        <v>30</v>
      </c>
      <c r="G14" s="66">
        <f>期望!G14</f>
        <v>0.15</v>
      </c>
      <c r="H14" s="39" t="s">
        <v>119</v>
      </c>
      <c r="I14" s="75">
        <f>I12+110000*10%</f>
        <v>117149.148546532</v>
      </c>
      <c r="J14" s="76"/>
      <c r="K14" s="41">
        <f t="shared" si="0"/>
        <v>36016.4630347837</v>
      </c>
      <c r="L14" s="41">
        <f>((($AN14+$AO14)/2*$AH14+$AI14)*(1+$AP14)*(1+$AQ14)+(($AS14+$AT14)/2*IF($G$1="鸣金",$AJ14,$AH14)+IF($G$1="鸣金",$AK14*1.5,0))*(1+$AU14)*(1+$AV14)+(($AW14+$AX14)/2*IF($G$1="裂石",$AJ14,$AH14)+IF($G$1="裂石",$AK14*1.5,0))*(1+$AY14)*(1+$AZ14)+(($BA14+$BB14)/2*IF($G$1="牵丝",$AJ14,$AH14)+IF($G$1="牵丝",$AK14*1.5,0))*(1+$BC14)*(1+$BD14)+(($BE14+$BF14)/2*IF($G$1="破竹",$AJ14,$AH14)+IF($G$1="破竹",$AK14*1.5,0))*(1+$BG14)*(1+$BH14))*(1+$AL14)*$BK14*$P14*(1+IF(VLOOKUP($Q14,武学奇术!$A:$ZZ,30,FALSE)="回旋伞",$B$21,0))*(1+$BQ14)</f>
        <v>37504.5113778818</v>
      </c>
      <c r="M14" s="41">
        <f>(($AO14*$AH14+$AI14)*(1+$AP14)*(1+$AQ14)+($AT14*IF($G$1="鸣金",$AJ14,$AH14)+IF($G$1="鸣金",$AK14*1.5,0))*(1+$AU14)*(1+$AV14)+($AX14*IF($G$1="裂石",$AJ14,$AH14)+IF($G$1="裂石",$AK14*1.5,0))*(1+$AY14)*(1+$AZ14)+($BB14*IF($G$1="牵丝",$AJ14,$AH14)+IF($G$1="牵丝",$AK14*1.5,0))*(1+$BC14)*(1+$BD14)+($BF14*IF($G$1="破竹",$AJ14,$AH14)+IF($G$1="破竹",$AK14*1.5,0))*(1+$BG14)*(1+$BH14))*(1+$AL14)*$BM14*$P14*(1+IF(VLOOKUP($Q14,武学奇术!$A:$ZZ,30,FALSE)="回旋伞",$B$21,0))*(1+$BQ14)</f>
        <v>32492.8329267854</v>
      </c>
      <c r="N14" s="41">
        <f>((($AN14+$AO14)/2*$AH14+$AI14)*(1+$AP14)*(1+$AQ14)+(($AS14+$AT14)/2*IF($G$1="鸣金",$AJ14,$AH14)+IF($G$1="鸣金",$AK14*1.5,0))*(1+$AU14)*(1+$AV14)+(($AW14+$AX14)/2*IF($G$1="裂石",$AJ14,$AH14)+IF($G$1="裂石",$AK14*1.5,0))*(1+$AY14)*(1+$AZ14)+(($BA14+$BB14)/2*IF($G$1="牵丝",$AJ14,$AH14)+IF($G$1="牵丝",$AK14*1.5,0))*(1+$BC14)*(1+$BD14)+(($BE14+$BF14)/2*IF($G$1="破竹",$AJ14,$AH14)+IF($G$1="破竹",$AK14*1.5,0))*(1+$BG14)*(1+$BH14))*(1+$AL14)*$P14*(1+IF(VLOOKUP($Q14,武学奇术!$A:$ZZ,30,FALSE)="回旋伞",$B$21,0))*(1+$BQ14)</f>
        <v>21069.9502122932</v>
      </c>
      <c r="O14" s="41">
        <f>((($AN14*$AH14+$AI14)*(1+$AP14)*(1+$AQ14)+($AS14*IF($G$1="鸣金",$AJ14,$AH14)+IF($G$1="鸣金",$AK14*1.5,0))*(1+$AU14)*(1+$AV14)+($AW14*IF($G$1="裂石",$AJ14,$AH14)+IF($G$1="裂石",$AK14*1.5,0))*(1+$AY14)*(1+$AZ14)+($BA14*IF($G$1="牵丝",$AJ14,$AH14)+IF($G$1="牵丝",$AK14*1.5,0))*(1+$BC14)*(1+$BD14)+($BE14*IF($G$1="破竹",$AJ14,$AH14)+IF($G$1="破竹",$AK14*1.5,0))*(1+$BG14)*(1+$BH14))*(1+$AL14))*$P14*(1+IF(VLOOKUP($Q14,武学奇术!$A:$ZZ,30,FALSE)="回旋伞",$B$21,0))*(1+$BQ14)</f>
        <v>18071.1352936342</v>
      </c>
      <c r="P14" s="42">
        <v>2</v>
      </c>
      <c r="Q14" s="43" t="s">
        <v>120</v>
      </c>
      <c r="R14" s="43" t="s">
        <v>105</v>
      </c>
      <c r="S14" s="43" t="s">
        <v>71</v>
      </c>
      <c r="T14" s="43" t="s">
        <v>72</v>
      </c>
      <c r="U14" s="43" t="s">
        <v>79</v>
      </c>
      <c r="V14" s="43" t="s">
        <v>74</v>
      </c>
      <c r="W14" s="43" t="s">
        <v>81</v>
      </c>
      <c r="X14" s="43" t="s">
        <v>71</v>
      </c>
      <c r="Y14" s="43" t="s">
        <v>71</v>
      </c>
      <c r="Z14" s="43" t="s">
        <v>71</v>
      </c>
      <c r="AA14" s="43" t="s">
        <v>71</v>
      </c>
      <c r="AB14" s="43" t="s">
        <v>71</v>
      </c>
      <c r="AC14" s="43" t="s">
        <v>71</v>
      </c>
      <c r="AD14" s="43" t="s">
        <v>71</v>
      </c>
      <c r="AE14" s="43" t="s">
        <v>71</v>
      </c>
      <c r="AF14" s="43" t="s">
        <v>76</v>
      </c>
      <c r="AG14" t="str">
        <f>VLOOKUP($Q14,武学奇术!$A:$ZZ,25,FALSE)</f>
        <v>伞</v>
      </c>
      <c r="AH14" s="30">
        <f>VLOOKUP($Q14,武学奇术!$A:$ZZ,26,FALSE)</f>
        <v>0.54</v>
      </c>
      <c r="AI14" s="31">
        <f>VLOOKUP($Q14,武学奇术!$A:$ZZ,27,FALSE)*(1+IF(OR($AG14=$F$4,$AG14=$F$5),$B$22,0))</f>
        <v>0</v>
      </c>
      <c r="AJ14" s="30">
        <f>VLOOKUP($Q14,武学奇术!$A:$ZZ,28,FALSE)</f>
        <v>0.81</v>
      </c>
      <c r="AK14" s="31">
        <f>VLOOKUP($Q14,武学奇术!$A:$ZZ,29,FALSE)*(1+IF(OR($AG14=$F$4,$AG14=$F$5),$B$22,0))</f>
        <v>0</v>
      </c>
      <c r="AL14" s="30" cm="1">
        <f t="array" ref="AL14">$G$3+IFERROR(VLOOKUP($AG14,$F$4:$G$7,2,FALSE),0)+VLOOKUP($Q14,武学奇术!$A:$ZZ,2,FALSE)+SUM(_xlfn.XLOOKUP($R14:$AF14,增益!$A:$A,增益!$B:$B,0))</f>
        <v>0.9441</v>
      </c>
      <c r="AM14" s="30" cm="1">
        <f t="array" ref="AM14">VLOOKUP($Q14,武学奇术!$A:$ZZ,5,FALSE)+SUM(_xlfn.XLOOKUP($R14:$AF14,增益!$A:$A,增益!$E:$E,0))</f>
        <v>0</v>
      </c>
      <c r="AN14" cm="1">
        <f t="array" ref="AN14">$D$10*(1+$AM14)+VLOOKUP($Q14,武学奇术!$A:$ZZ,3,FALSE)+SUM(_xlfn.XLOOKUP($R14:$AF14,增益!$A:$A,增益!$C:$C,0))-$I$2</f>
        <v>3483.8</v>
      </c>
      <c r="AO14" cm="1">
        <f t="array" ref="AO14">$E$10*(1+$AM14)+VLOOKUP($Q14,武学奇术!$A:$ZZ,4,FALSE)+SUM(_xlfn.XLOOKUP($R14:$AF14,增益!$A:$A,增益!$D:$D,0))-$I$2</f>
        <v>3483.8</v>
      </c>
      <c r="AP14" s="35" cm="1">
        <f t="array" ref="AP14">IF($F$10-$I$3+VLOOKUP($Q14,武学奇术!$A:$ZZ,6,FALSE)+SUM(_xlfn.XLOOKUP(R14:AF14,增益!$A:$A,增益!$F:$F,0))&gt;0,($F$10-$I$3+VLOOKUP($Q14,武学奇术!$A:$ZZ,6,FALSE)+SUM(_xlfn.XLOOKUP(R14:AF14,增益!$A:$A,增益!$F:$F,0)))/200,($F$10-$I$3+VLOOKUP($Q14,武学奇术!$A:$ZZ,6,FALSE)+SUM(_xlfn.XLOOKUP(R14:AF14,增益!$A:$A,增益!$F:$F,0)))/100)</f>
        <v>0.2125</v>
      </c>
      <c r="AQ14" s="35" cm="1">
        <f t="array" ref="AQ14">$G$10+VLOOKUP($Q14,武学奇术!$A:$ZZ,7,FALSE)+SUM(_xlfn.XLOOKUP(R14:AF14,增益!$A:$A,增益!$G:$G,0))</f>
        <v>0.148</v>
      </c>
      <c r="AR14" s="30" cm="1">
        <f t="array" ref="AR14">VLOOKUP($Q14,武学奇术!$A:$ZZ,8,FALSE)+SUM(_xlfn.XLOOKUP(R14:AF14,增益!$A:$A,增益!$H:$H,0))</f>
        <v>0</v>
      </c>
      <c r="AS14">
        <f t="shared" si="1"/>
        <v>0</v>
      </c>
      <c r="AT14">
        <f t="shared" si="2"/>
        <v>0</v>
      </c>
      <c r="AU14" s="35" cm="1">
        <f t="array" ref="AU14">IF($F$11-$I$4+VLOOKUP($Q14,武学奇术!$A:$ZZ,9,FALSE)+SUM(_xlfn.XLOOKUP(R14:AF14,增益!$A:$A,增益!$I:$I,0))&gt;0,($F$11-$I$4+VLOOKUP($Q14,武学奇术!$A:$ZZ,9,FALSE)+SUM(_xlfn.XLOOKUP(R14:AF14,增益!$A:$A,增益!$I:$I,0)))/200,($F$11-$I$4+VLOOKUP($Q14,武学奇术!$A:$ZZ,9,FALSE)+SUM(_xlfn.XLOOKUP(R14:AF14,增益!$A:$A,增益!$I:$I,0)))/100)</f>
        <v>-0.3</v>
      </c>
      <c r="AV14" s="35" cm="1">
        <f t="array" ref="AV14">$G$11+VLOOKUP($Q14,武学奇术!$A:$ZZ,10,FALSE)+SUM(_xlfn.XLOOKUP(R14:AF14,增益!$A:$A,增益!$J:$J,0))</f>
        <v>0</v>
      </c>
      <c r="AW14">
        <f t="shared" si="3"/>
        <v>0</v>
      </c>
      <c r="AX14">
        <f t="shared" si="4"/>
        <v>0</v>
      </c>
      <c r="AY14" s="35" cm="1">
        <f t="array" ref="AY14">IF($F$12-$I$4+VLOOKUP($Q14,武学奇术!$A:$ZZ,11,FALSE)+SUM(_xlfn.XLOOKUP(R14:AF14,增益!$A:$A,增益!$K:$K,0))&gt;0,($F$12-$I$4+VLOOKUP($Q14,武学奇术!$A:$ZZ,11,FALSE)+SUM(_xlfn.XLOOKUP(R14:AF14,增益!$A:$A,增益!$K:$K,0)))/200,($F$12-$I$4+VLOOKUP($Q14,武学奇术!$A:$ZZ,11,FALSE)+SUM(_xlfn.XLOOKUP(R14:AF14,增益!$A:$A,增益!$K:$K,0)))/100)</f>
        <v>-0.3</v>
      </c>
      <c r="AZ14" s="35" cm="1">
        <f t="array" ref="AZ14">$G$12+VLOOKUP($Q14,武学奇术!$A:$ZZ,12,FALSE)+SUM(_xlfn.XLOOKUP(R14:AF14,增益!$A:$A,增益!$L:$L,0))</f>
        <v>0</v>
      </c>
      <c r="BA14">
        <f t="shared" si="5"/>
        <v>0</v>
      </c>
      <c r="BB14">
        <f t="shared" si="6"/>
        <v>0</v>
      </c>
      <c r="BC14" s="35" cm="1">
        <f t="array" ref="BC14">IF($F$13-$I$4+VLOOKUP($Q14,武学奇术!$A:$ZZ,13,FALSE)+SUM(_xlfn.XLOOKUP(R14:AF14,增益!$A:$A,增益!$M:$M,0))&gt;0,($F$13-$I$4+VLOOKUP($Q14,武学奇术!$A:$ZZ,13,FALSE)+SUM(_xlfn.XLOOKUP(R14:AF14,增益!$A:$A,增益!$K:$K,0)))/200,($F$13-$I$4+VLOOKUP($Q14,武学奇术!$A:$ZZ,13,FALSE)+SUM(_xlfn.XLOOKUP(R14:AF14,增益!$A:$A,增益!$M:$M,0)))/100)</f>
        <v>-0.3</v>
      </c>
      <c r="BD14" s="35" cm="1">
        <f t="array" ref="BD14">$G$13+VLOOKUP($Q14,武学奇术!$A:$ZZ,14,FALSE)+SUM(_xlfn.XLOOKUP(R14:AF14,增益!$A:$A,增益!$N:$N,0))</f>
        <v>0</v>
      </c>
      <c r="BE14">
        <f t="shared" si="7"/>
        <v>538</v>
      </c>
      <c r="BF14">
        <f t="shared" si="8"/>
        <v>1561.4</v>
      </c>
      <c r="BG14" s="35" cm="1">
        <f t="array" ref="BG14">IF($F$14-$I$4+VLOOKUP($Q14,武学奇术!$A:$ZZ,15,FALSE)+SUM(_xlfn.XLOOKUP(R14:AF14,增益!$A:$A,增益!$O:$O,0))&gt;0,($F$14-$I$4+VLOOKUP($Q14,武学奇术!$A:$ZZ,15,FALSE)+SUM(_xlfn.XLOOKUP(R14:AF14,增益!$A:$A,增益!$O:$O,0)))/200,($F$14-$I$4+VLOOKUP($Q14,武学奇术!$A:$ZZ,15,FALSE)+SUM(_xlfn.XLOOKUP(R14:AF14,增益!$A:$A,增益!$O:$O,0)))/100)</f>
        <v>0</v>
      </c>
      <c r="BH14" s="35" cm="1">
        <f t="array" ref="BH14">$G$14+VLOOKUP($Q14,武学奇术!$A:$ZZ,16,FALSE)+SUM(_xlfn.XLOOKUP(R14:AF14,增益!$A:$A,增益!$P:$P,0))</f>
        <v>0.27</v>
      </c>
      <c r="BI14" s="30">
        <f>MIN(IF(VLOOKUP($Q14,武学奇术!$A:$ZZ,23,FALSE)=1,100%,$B$8),100%)</f>
        <v>0.9712</v>
      </c>
      <c r="BJ14" s="30" cm="1">
        <f t="array" ref="BJ14">IF(VLOOKUP($Q14,武学奇术!$A:$ZZ,23,FALSE)=1,100%,MIN(80%,$B$9+VLOOKUP($Q14,武学奇术!$A:$ZZ,17,FALSE)+SUM(_xlfn.XLOOKUP(R14:AF14,增益!$A:$A,增益!$Q:$Q,0)))+$B$11+SUM(_xlfn.XLOOKUP(R14:AF14,增益!$A:$A,增益!$U:$U,0)))*IF(VLOOKUP($Q14,武学奇术!$A:$ZZ,24,FALSE)=1,0,1)</f>
        <v>0.8773</v>
      </c>
      <c r="BK14" s="30" cm="1">
        <f t="array" ref="BK14">1+$B$13+VLOOKUP($Q14,武学奇术!$A:$ZZ,18,FALSE)+SUM(_xlfn.XLOOKUP(R14:AF14,增益!$A:$A,增益!$R:$R,0))</f>
        <v>1.78</v>
      </c>
      <c r="BL14" s="30" cm="1">
        <f t="array" ref="BL14">IF(VLOOKUP($Q14,武学奇术!$A:$ZZ,24,FALSE)=1,100%,MIN(40%,$B$10+VLOOKUP($Q14,武学奇术!$A:$ZZ,19,FALSE)+SUM(_xlfn.XLOOKUP(R14:AF14,增益!$A:$A,增益!$S:$S,0)))+$B$12+SUM(_xlfn.XLOOKUP(R14:AF14,增益!$A:$A,增益!$V:$V,0)))*IF(VLOOKUP($Q14,武学奇术!$A:$ZZ,23,FALSE)=1,0,1)</f>
        <v>0.0895</v>
      </c>
      <c r="BM14" s="30" cm="1">
        <f t="array" ref="BM14">1+$B$14+VLOOKUP($Q14,武学奇术!$A:$ZZ,20,FALSE)+SUM(_xlfn.XLOOKUP(R14:AF14,增益!$A:$A,增益!$T:$T,0))</f>
        <v>1.35</v>
      </c>
      <c r="BN14" s="30">
        <f t="shared" si="9"/>
        <v>0.85203376</v>
      </c>
      <c r="BO14" s="30">
        <f t="shared" si="10"/>
        <v>0.03224384</v>
      </c>
      <c r="BP14" s="30">
        <f>IF(VLOOKUP($Q14,武学奇术!$A:$ZZ,22,FALSE)=1,0,(1-$BI14))*(1-$BL14)</f>
        <v>0.0262224</v>
      </c>
      <c r="BQ14" s="30" cm="1">
        <f t="array" ref="BQ14">SUM(_xlfn.XLOOKUP(R14:AF14,增益!$A:$A,增益!$W:$W,0))+$I$5</f>
        <v>0.11</v>
      </c>
    </row>
    <row r="15" ht="14.25" spans="1:69">
      <c r="A15" s="44" t="s">
        <v>121</v>
      </c>
      <c r="B15" s="72">
        <f>期望!B15</f>
        <v>0.0852</v>
      </c>
      <c r="C15" s="42" t="s">
        <v>122</v>
      </c>
      <c r="D15" s="42"/>
      <c r="F15" s="81"/>
      <c r="H15" s="82"/>
      <c r="I15" s="77"/>
      <c r="J15" s="78"/>
      <c r="K15" s="41">
        <f t="shared" si="0"/>
        <v>36615.401124828</v>
      </c>
      <c r="L15" s="41">
        <f>((($AN15+$AO15)/2*$AH15+$AI15)*(1+$AP15)*(1+$AQ15)+(($AS15+$AT15)/2*IF($G$1="鸣金",$AJ15,$AH15)+IF($G$1="鸣金",$AK15*1.5,0))*(1+$AU15)*(1+$AV15)+(($AW15+$AX15)/2*IF($G$1="裂石",$AJ15,$AH15)+IF($G$1="裂石",$AK15*1.5,0))*(1+$AY15)*(1+$AZ15)+(($BA15+$BB15)/2*IF($G$1="牵丝",$AJ15,$AH15)+IF($G$1="牵丝",$AK15*1.5,0))*(1+$BC15)*(1+$BD15)+(($BE15+$BF15)/2*IF($G$1="破竹",$AJ15,$AH15)+IF($G$1="破竹",$AK15*1.5,0))*(1+$BG15)*(1+$BH15))*(1+$AL15)*$BK15*$P15*(1+IF(VLOOKUP($Q15,武学奇术!$A:$ZZ,30,FALSE)="回旋伞",$B$21,0))*(1+$BQ15)</f>
        <v>38155.681956003</v>
      </c>
      <c r="M15" s="41">
        <f>(($AO15*$AH15+$AI15)*(1+$AP15)*(1+$AQ15)+($AT15*IF($G$1="鸣金",$AJ15,$AH15)+IF($G$1="鸣金",$AK15*1.5,0))*(1+$AU15)*(1+$AV15)+($AX15*IF($G$1="裂石",$AJ15,$AH15)+IF($G$1="裂石",$AK15*1.5,0))*(1+$AY15)*(1+$AZ15)+($BB15*IF($G$1="牵丝",$AJ15,$AH15)+IF($G$1="牵丝",$AK15*1.5,0))*(1+$BC15)*(1+$BD15)+($BF15*IF($G$1="破竹",$AJ15,$AH15)+IF($G$1="破竹",$AK15*1.5,0))*(1+$BG15)*(1+$BH15))*(1+$AL15)*$BM15*$P15*(1+IF(VLOOKUP($Q15,武学奇术!$A:$ZZ,30,FALSE)="回旋伞",$B$21,0))*(1+$BQ15)</f>
        <v>32825.0317829852</v>
      </c>
      <c r="N15" s="41">
        <f>((($AN15+$AO15)/2*$AH15+$AI15)*(1+$AP15)*(1+$AQ15)+(($AS15+$AT15)/2*IF($G$1="鸣金",$AJ15,$AH15)+IF($G$1="鸣金",$AK15*1.5,0))*(1+$AU15)*(1+$AV15)+(($AW15+$AX15)/2*IF($G$1="裂石",$AJ15,$AH15)+IF($G$1="裂石",$AK15*1.5,0))*(1+$AY15)*(1+$AZ15)+(($BA15+$BB15)/2*IF($G$1="牵丝",$AJ15,$AH15)+IF($G$1="牵丝",$AK15*1.5,0))*(1+$BC15)*(1+$BD15)+(($BE15+$BF15)/2*IF($G$1="破竹",$AJ15,$AH15)+IF($G$1="破竹",$AK15*1.5,0))*(1+$BG15)*(1+$BH15))*(1+$AL15)*$P15*(1+IF(VLOOKUP($Q15,武学奇术!$A:$ZZ,30,FALSE)="回旋伞",$B$21,0))*(1+$BQ15)</f>
        <v>21316.0234391078</v>
      </c>
      <c r="O15" s="41">
        <f>((($AN15*$AH15+$AI15)*(1+$AP15)*(1+$AQ15)+($AS15*IF($G$1="鸣金",$AJ15,$AH15)+IF($G$1="鸣金",$AK15*1.5,0))*(1+$AU15)*(1+$AV15)+($AW15*IF($G$1="裂石",$AJ15,$AH15)+IF($G$1="裂石",$AK15*1.5,0))*(1+$AY15)*(1+$AZ15)+($BA15*IF($G$1="牵丝",$AJ15,$AH15)+IF($G$1="牵丝",$AK15*1.5,0))*(1+$BC15)*(1+$BD15)+($BE15*IF($G$1="破竹",$AJ15,$AH15)+IF($G$1="破竹",$AK15*1.5,0))*(1+$BG15)*(1+$BH15))*(1+$AL15))*$P15*(1+IF(VLOOKUP($Q15,武学奇术!$A:$ZZ,30,FALSE)="回旋伞",$B$21,0))*(1+$BQ15)</f>
        <v>18317.2085204488</v>
      </c>
      <c r="P15" s="42">
        <v>2</v>
      </c>
      <c r="Q15" s="43" t="s">
        <v>120</v>
      </c>
      <c r="R15" s="43" t="s">
        <v>105</v>
      </c>
      <c r="S15" s="43" t="s">
        <v>108</v>
      </c>
      <c r="T15" s="43" t="s">
        <v>72</v>
      </c>
      <c r="U15" s="43" t="s">
        <v>79</v>
      </c>
      <c r="V15" s="43" t="s">
        <v>80</v>
      </c>
      <c r="W15" s="43" t="s">
        <v>81</v>
      </c>
      <c r="X15" s="43" t="s">
        <v>71</v>
      </c>
      <c r="Y15" s="43" t="s">
        <v>71</v>
      </c>
      <c r="Z15" s="43" t="s">
        <v>71</v>
      </c>
      <c r="AA15" s="43" t="s">
        <v>109</v>
      </c>
      <c r="AB15" s="43" t="s">
        <v>71</v>
      </c>
      <c r="AC15" s="43" t="s">
        <v>71</v>
      </c>
      <c r="AD15" s="43" t="s">
        <v>71</v>
      </c>
      <c r="AE15" s="43" t="s">
        <v>71</v>
      </c>
      <c r="AF15" s="43" t="s">
        <v>76</v>
      </c>
      <c r="AG15" t="str">
        <f>VLOOKUP($Q15,武学奇术!$A:$ZZ,25,FALSE)</f>
        <v>伞</v>
      </c>
      <c r="AH15" s="30">
        <f>VLOOKUP($Q15,武学奇术!$A:$ZZ,26,FALSE)</f>
        <v>0.54</v>
      </c>
      <c r="AI15" s="31">
        <f>VLOOKUP($Q15,武学奇术!$A:$ZZ,27,FALSE)*(1+IF(OR($AG15=$F$4,$AG15=$F$5),$B$22,0))</f>
        <v>0</v>
      </c>
      <c r="AJ15" s="30">
        <f>VLOOKUP($Q15,武学奇术!$A:$ZZ,28,FALSE)</f>
        <v>0.81</v>
      </c>
      <c r="AK15" s="31">
        <f>VLOOKUP($Q15,武学奇术!$A:$ZZ,29,FALSE)*(1+IF(OR($AG15=$F$4,$AG15=$F$5),$B$22,0))</f>
        <v>0</v>
      </c>
      <c r="AL15" s="30" cm="1">
        <f t="array" ref="AL15">$G$3+IFERROR(VLOOKUP($AG15,$F$4:$G$7,2,FALSE),0)+VLOOKUP($Q15,武学奇术!$A:$ZZ,2,FALSE)+SUM(_xlfn.XLOOKUP($R15:$AF15,增益!$A:$A,增益!$B:$B,0))</f>
        <v>0.9441</v>
      </c>
      <c r="AM15" s="30" cm="1">
        <f t="array" ref="AM15">VLOOKUP($Q15,武学奇术!$A:$ZZ,5,FALSE)+SUM(_xlfn.XLOOKUP($R15:$AF15,增益!$A:$A,增益!$E:$E,0))</f>
        <v>0</v>
      </c>
      <c r="AN15" cm="1">
        <f t="array" ref="AN15">$D$10*(1+$AM15)+VLOOKUP($Q15,武学奇术!$A:$ZZ,3,FALSE)+SUM(_xlfn.XLOOKUP($R15:$AF15,增益!$A:$A,增益!$C:$C,0))-$I$2</f>
        <v>3483.8</v>
      </c>
      <c r="AO15" cm="1">
        <f t="array" ref="AO15">$E$10*(1+$AM15)+VLOOKUP($Q15,武学奇术!$A:$ZZ,4,FALSE)+SUM(_xlfn.XLOOKUP($R15:$AF15,增益!$A:$A,增益!$D:$D,0))-$I$2</f>
        <v>3483.8</v>
      </c>
      <c r="AP15" s="35" cm="1">
        <f t="array" ref="AP15">IF($F$10-$I$3+VLOOKUP($Q15,武学奇术!$A:$ZZ,6,FALSE)+SUM(_xlfn.XLOOKUP(R15:AF15,增益!$A:$A,增益!$F:$F,0))&gt;0,($F$10-$I$3+VLOOKUP($Q15,武学奇术!$A:$ZZ,6,FALSE)+SUM(_xlfn.XLOOKUP(R15:AF15,增益!$A:$A,增益!$F:$F,0)))/200,($F$10-$I$3+VLOOKUP($Q15,武学奇术!$A:$ZZ,6,FALSE)+SUM(_xlfn.XLOOKUP(R15:AF15,增益!$A:$A,增益!$F:$F,0)))/100)</f>
        <v>0.2325</v>
      </c>
      <c r="AQ15" s="35" cm="1">
        <f t="array" ref="AQ15">$G$10+VLOOKUP($Q15,武学奇术!$A:$ZZ,7,FALSE)+SUM(_xlfn.XLOOKUP(R15:AF15,增益!$A:$A,增益!$G:$G,0))</f>
        <v>0.148</v>
      </c>
      <c r="AR15" s="30" cm="1">
        <f t="array" ref="AR15">VLOOKUP($Q15,武学奇术!$A:$ZZ,8,FALSE)+SUM(_xlfn.XLOOKUP(R15:AF15,增益!$A:$A,增益!$H:$H,0))</f>
        <v>0</v>
      </c>
      <c r="AS15">
        <f t="shared" si="1"/>
        <v>0</v>
      </c>
      <c r="AT15">
        <f t="shared" si="2"/>
        <v>0</v>
      </c>
      <c r="AU15" s="35" cm="1">
        <f t="array" ref="AU15">IF($F$11-$I$4+VLOOKUP($Q15,武学奇术!$A:$ZZ,9,FALSE)+SUM(_xlfn.XLOOKUP(R15:AF15,增益!$A:$A,增益!$I:$I,0))&gt;0,($F$11-$I$4+VLOOKUP($Q15,武学奇术!$A:$ZZ,9,FALSE)+SUM(_xlfn.XLOOKUP(R15:AF15,增益!$A:$A,增益!$I:$I,0)))/200,($F$11-$I$4+VLOOKUP($Q15,武学奇术!$A:$ZZ,9,FALSE)+SUM(_xlfn.XLOOKUP(R15:AF15,增益!$A:$A,增益!$I:$I,0)))/100)</f>
        <v>-0.3</v>
      </c>
      <c r="AV15" s="35" cm="1">
        <f t="array" ref="AV15">$G$11+VLOOKUP($Q15,武学奇术!$A:$ZZ,10,FALSE)+SUM(_xlfn.XLOOKUP(R15:AF15,增益!$A:$A,增益!$J:$J,0))</f>
        <v>0</v>
      </c>
      <c r="AW15">
        <f t="shared" si="3"/>
        <v>0</v>
      </c>
      <c r="AX15">
        <f t="shared" si="4"/>
        <v>0</v>
      </c>
      <c r="AY15" s="35" cm="1">
        <f t="array" ref="AY15">IF($F$12-$I$4+VLOOKUP($Q15,武学奇术!$A:$ZZ,11,FALSE)+SUM(_xlfn.XLOOKUP(R15:AF15,增益!$A:$A,增益!$K:$K,0))&gt;0,($F$12-$I$4+VLOOKUP($Q15,武学奇术!$A:$ZZ,11,FALSE)+SUM(_xlfn.XLOOKUP(R15:AF15,增益!$A:$A,增益!$K:$K,0)))/200,($F$12-$I$4+VLOOKUP($Q15,武学奇术!$A:$ZZ,11,FALSE)+SUM(_xlfn.XLOOKUP(R15:AF15,增益!$A:$A,增益!$K:$K,0)))/100)</f>
        <v>-0.3</v>
      </c>
      <c r="AZ15" s="35" cm="1">
        <f t="array" ref="AZ15">$G$12+VLOOKUP($Q15,武学奇术!$A:$ZZ,12,FALSE)+SUM(_xlfn.XLOOKUP(R15:AF15,增益!$A:$A,增益!$L:$L,0))</f>
        <v>0</v>
      </c>
      <c r="BA15">
        <f t="shared" si="5"/>
        <v>0</v>
      </c>
      <c r="BB15">
        <f t="shared" si="6"/>
        <v>0</v>
      </c>
      <c r="BC15" s="35" cm="1">
        <f t="array" ref="BC15">IF($F$13-$I$4+VLOOKUP($Q15,武学奇术!$A:$ZZ,13,FALSE)+SUM(_xlfn.XLOOKUP(R15:AF15,增益!$A:$A,增益!$M:$M,0))&gt;0,($F$13-$I$4+VLOOKUP($Q15,武学奇术!$A:$ZZ,13,FALSE)+SUM(_xlfn.XLOOKUP(R15:AF15,增益!$A:$A,增益!$K:$K,0)))/200,($F$13-$I$4+VLOOKUP($Q15,武学奇术!$A:$ZZ,13,FALSE)+SUM(_xlfn.XLOOKUP(R15:AF15,增益!$A:$A,增益!$M:$M,0)))/100)</f>
        <v>-0.3</v>
      </c>
      <c r="BD15" s="35" cm="1">
        <f t="array" ref="BD15">$G$13+VLOOKUP($Q15,武学奇术!$A:$ZZ,14,FALSE)+SUM(_xlfn.XLOOKUP(R15:AF15,增益!$A:$A,增益!$N:$N,0))</f>
        <v>0</v>
      </c>
      <c r="BE15">
        <f t="shared" si="7"/>
        <v>538</v>
      </c>
      <c r="BF15">
        <f t="shared" si="8"/>
        <v>1561.4</v>
      </c>
      <c r="BG15" s="35" cm="1">
        <f t="array" ref="BG15">IF($F$14-$I$4+VLOOKUP($Q15,武学奇术!$A:$ZZ,15,FALSE)+SUM(_xlfn.XLOOKUP(R15:AF15,增益!$A:$A,增益!$O:$O,0))&gt;0,($F$14-$I$4+VLOOKUP($Q15,武学奇术!$A:$ZZ,15,FALSE)+SUM(_xlfn.XLOOKUP(R15:AF15,增益!$A:$A,增益!$O:$O,0)))/200,($F$14-$I$4+VLOOKUP($Q15,武学奇术!$A:$ZZ,15,FALSE)+SUM(_xlfn.XLOOKUP(R15:AF15,增益!$A:$A,增益!$O:$O,0)))/100)</f>
        <v>0</v>
      </c>
      <c r="BH15" s="35" cm="1">
        <f t="array" ref="BH15">$G$14+VLOOKUP($Q15,武学奇术!$A:$ZZ,16,FALSE)+SUM(_xlfn.XLOOKUP(R15:AF15,增益!$A:$A,增益!$P:$P,0))</f>
        <v>0.27</v>
      </c>
      <c r="BI15" s="30">
        <f>MIN(IF(VLOOKUP($Q15,武学奇术!$A:$ZZ,23,FALSE)=1,100%,$B$8),100%)</f>
        <v>0.9712</v>
      </c>
      <c r="BJ15" s="30" cm="1">
        <f t="array" ref="BJ15">IF(VLOOKUP($Q15,武学奇术!$A:$ZZ,23,FALSE)=1,100%,MIN(80%,$B$9+VLOOKUP($Q15,武学奇术!$A:$ZZ,17,FALSE)+SUM(_xlfn.XLOOKUP(R15:AF15,增益!$A:$A,增益!$Q:$Q,0)))+$B$11+SUM(_xlfn.XLOOKUP(R15:AF15,增益!$A:$A,增益!$U:$U,0)))*IF(VLOOKUP($Q15,武学奇术!$A:$ZZ,24,FALSE)=1,0,1)</f>
        <v>0.8773</v>
      </c>
      <c r="BK15" s="30" cm="1">
        <f t="array" ref="BK15">1+$B$13+VLOOKUP($Q15,武学奇术!$A:$ZZ,18,FALSE)+SUM(_xlfn.XLOOKUP(R15:AF15,增益!$A:$A,增益!$R:$R,0))</f>
        <v>1.79</v>
      </c>
      <c r="BL15" s="30" cm="1">
        <f t="array" ref="BL15">IF(VLOOKUP($Q15,武学奇术!$A:$ZZ,24,FALSE)=1,100%,MIN(40%,$B$10+VLOOKUP($Q15,武学奇术!$A:$ZZ,19,FALSE)+SUM(_xlfn.XLOOKUP(R15:AF15,增益!$A:$A,增益!$S:$S,0)))+$B$12+SUM(_xlfn.XLOOKUP(R15:AF15,增益!$A:$A,增益!$V:$V,0)))*IF(VLOOKUP($Q15,武学奇术!$A:$ZZ,23,FALSE)=1,0,1)</f>
        <v>0.0895</v>
      </c>
      <c r="BM15" s="30" cm="1">
        <f t="array" ref="BM15">1+$B$14+VLOOKUP($Q15,武学奇术!$A:$ZZ,20,FALSE)+SUM(_xlfn.XLOOKUP(R15:AF15,增益!$A:$A,增益!$T:$T,0))</f>
        <v>1.35</v>
      </c>
      <c r="BN15" s="30">
        <f t="shared" si="9"/>
        <v>0.85203376</v>
      </c>
      <c r="BO15" s="30">
        <f t="shared" si="10"/>
        <v>0.03224384</v>
      </c>
      <c r="BP15" s="30">
        <f>IF(VLOOKUP($Q15,武学奇术!$A:$ZZ,22,FALSE)=1,0,(1-$BI15))*(1-$BL15)</f>
        <v>0.0262224</v>
      </c>
      <c r="BQ15" s="30" cm="1">
        <f t="array" ref="BQ15">SUM(_xlfn.XLOOKUP(R15:AF15,增益!$A:$A,增益!$W:$W,0))+$I$5</f>
        <v>0.11</v>
      </c>
    </row>
    <row r="16" spans="1:69">
      <c r="A16" s="44" t="s">
        <v>123</v>
      </c>
      <c r="B16" s="72">
        <f>期望!B16</f>
        <v>0.0887</v>
      </c>
      <c r="C16" s="42" t="s">
        <v>124</v>
      </c>
      <c r="D16" s="81" t="s">
        <v>189</v>
      </c>
      <c r="E16" s="42" t="s">
        <v>126</v>
      </c>
      <c r="F16" s="81" t="s">
        <v>125</v>
      </c>
      <c r="H16" s="70" t="s">
        <v>127</v>
      </c>
      <c r="I16" s="83"/>
      <c r="J16" s="84"/>
      <c r="K16" s="41">
        <f t="shared" si="0"/>
        <v>37436.1008272555</v>
      </c>
      <c r="L16" s="41">
        <f>((($AN16+$AO16)/2*$AH16+$AI16)*(1+$AP16)*(1+$AQ16)+(($AS16+$AT16)/2*IF($G$1="鸣金",$AJ16,$AH16)+IF($G$1="鸣金",$AK16*1.5,0))*(1+$AU16)*(1+$AV16)+(($AW16+$AX16)/2*IF($G$1="裂石",$AJ16,$AH16)+IF($G$1="裂石",$AK16*1.5,0))*(1+$AY16)*(1+$AZ16)+(($BA16+$BB16)/2*IF($G$1="牵丝",$AJ16,$AH16)+IF($G$1="牵丝",$AK16*1.5,0))*(1+$BC16)*(1+$BD16)+(($BE16+$BF16)/2*IF($G$1="破竹",$AJ16,$AH16)+IF($G$1="破竹",$AK16*1.5,0))*(1+$BG16)*(1+$BH16))*(1+$AL16)*$BK16*$P16*(1+IF(VLOOKUP($Q16,武学奇术!$A:$ZZ,30,FALSE)="回旋伞",$B$21,0))*(1+$BQ16)</f>
        <v>39016.051080005</v>
      </c>
      <c r="M16" s="41">
        <f>(($AO16*$AH16+$AI16)*(1+$AP16)*(1+$AQ16)+($AT16*IF($G$1="鸣金",$AJ16,$AH16)+IF($G$1="鸣金",$AK16*1.5,0))*(1+$AU16)*(1+$AV16)+($AX16*IF($G$1="裂石",$AJ16,$AH16)+IF($G$1="裂石",$AK16*1.5,0))*(1+$AY16)*(1+$AZ16)+($BB16*IF($G$1="牵丝",$AJ16,$AH16)+IF($G$1="牵丝",$AK16*1.5,0))*(1+$BC16)*(1+$BD16)+($BF16*IF($G$1="破竹",$AJ16,$AH16)+IF($G$1="破竹",$AK16*1.5,0))*(1+$BG16)*(1+$BH16))*(1+$AL16)*$BM16*$P16*(1+IF(VLOOKUP($Q16,武学奇术!$A:$ZZ,30,FALSE)="回旋伞",$B$21,0))*(1+$BQ16)</f>
        <v>33494.7375569577</v>
      </c>
      <c r="N16" s="41">
        <f>((($AN16+$AO16)/2*$AH16+$AI16)*(1+$AP16)*(1+$AQ16)+(($AS16+$AT16)/2*IF($G$1="鸣金",$AJ16,$AH16)+IF($G$1="鸣金",$AK16*1.5,0))*(1+$AU16)*(1+$AV16)+(($AW16+$AX16)/2*IF($G$1="裂石",$AJ16,$AH16)+IF($G$1="裂石",$AK16*1.5,0))*(1+$AY16)*(1+$AZ16)+(($BA16+$BB16)/2*IF($G$1="牵丝",$AJ16,$AH16)+IF($G$1="牵丝",$AK16*1.5,0))*(1+$BC16)*(1+$BD16)+(($BE16+$BF16)/2*IF($G$1="破竹",$AJ16,$AH16)+IF($G$1="破竹",$AK16*1.5,0))*(1+$BG16)*(1+$BH16))*(1+$AL16)*$P16*(1+IF(VLOOKUP($Q16,武学奇术!$A:$ZZ,30,FALSE)="回旋伞",$B$21,0))*(1+$BQ16)</f>
        <v>21796.6765810084</v>
      </c>
      <c r="O16" s="41">
        <f>((($AN16*$AH16+$AI16)*(1+$AP16)*(1+$AQ16)+($AS16*IF($G$1="鸣金",$AJ16,$AH16)+IF($G$1="鸣金",$AK16*1.5,0))*(1+$AU16)*(1+$AV16)+($AW16*IF($G$1="裂石",$AJ16,$AH16)+IF($G$1="裂石",$AK16*1.5,0))*(1+$AY16)*(1+$AZ16)+($BA16*IF($G$1="牵丝",$AJ16,$AH16)+IF($G$1="牵丝",$AK16*1.5,0))*(1+$BC16)*(1+$BD16)+($BE16*IF($G$1="破竹",$AJ16,$AH16)+IF($G$1="破竹",$AK16*1.5,0))*(1+$BG16)*(1+$BH16))*(1+$AL16))*$P16*(1+IF(VLOOKUP($Q16,武学奇术!$A:$ZZ,30,FALSE)="回旋伞",$B$21,0))*(1+$BQ16)</f>
        <v>18782.4364531592</v>
      </c>
      <c r="P16" s="42">
        <v>2</v>
      </c>
      <c r="Q16" s="43" t="s">
        <v>120</v>
      </c>
      <c r="R16" s="43" t="s">
        <v>105</v>
      </c>
      <c r="S16" s="43" t="s">
        <v>111</v>
      </c>
      <c r="T16" s="43" t="s">
        <v>72</v>
      </c>
      <c r="U16" s="43" t="s">
        <v>79</v>
      </c>
      <c r="V16" s="43" t="s">
        <v>80</v>
      </c>
      <c r="W16" s="43" t="s">
        <v>87</v>
      </c>
      <c r="X16" s="43" t="s">
        <v>71</v>
      </c>
      <c r="Y16" s="43" t="s">
        <v>71</v>
      </c>
      <c r="Z16" s="43" t="s">
        <v>71</v>
      </c>
      <c r="AA16" s="43" t="s">
        <v>112</v>
      </c>
      <c r="AB16" s="43" t="s">
        <v>71</v>
      </c>
      <c r="AC16" s="43" t="s">
        <v>71</v>
      </c>
      <c r="AD16" s="43" t="s">
        <v>71</v>
      </c>
      <c r="AE16" s="43" t="s">
        <v>71</v>
      </c>
      <c r="AF16" s="43" t="s">
        <v>76</v>
      </c>
      <c r="AG16" t="str">
        <f>VLOOKUP($Q16,武学奇术!$A:$ZZ,25,FALSE)</f>
        <v>伞</v>
      </c>
      <c r="AH16" s="30">
        <f>VLOOKUP($Q16,武学奇术!$A:$ZZ,26,FALSE)</f>
        <v>0.54</v>
      </c>
      <c r="AI16" s="31">
        <f>VLOOKUP($Q16,武学奇术!$A:$ZZ,27,FALSE)*(1+IF(OR($AG16=$F$4,$AG16=$F$5),$B$22,0))</f>
        <v>0</v>
      </c>
      <c r="AJ16" s="30">
        <f>VLOOKUP($Q16,武学奇术!$A:$ZZ,28,FALSE)</f>
        <v>0.81</v>
      </c>
      <c r="AK16" s="31">
        <f>VLOOKUP($Q16,武学奇术!$A:$ZZ,29,FALSE)*(1+IF(OR($AG16=$F$4,$AG16=$F$5),$B$22,0))</f>
        <v>0</v>
      </c>
      <c r="AL16" s="30" cm="1">
        <f t="array" ref="AL16">$G$3+IFERROR(VLOOKUP($AG16,$F$4:$G$7,2,FALSE),0)+VLOOKUP($Q16,武学奇术!$A:$ZZ,2,FALSE)+SUM(_xlfn.XLOOKUP($R16:$AF16,增益!$A:$A,增益!$B:$B,0))</f>
        <v>0.9541</v>
      </c>
      <c r="AM16" s="30" cm="1">
        <f t="array" ref="AM16">VLOOKUP($Q16,武学奇术!$A:$ZZ,5,FALSE)+SUM(_xlfn.XLOOKUP($R16:$AF16,增益!$A:$A,增益!$E:$E,0))</f>
        <v>0</v>
      </c>
      <c r="AN16" cm="1">
        <f t="array" ref="AN16">$D$10*(1+$AM16)+VLOOKUP($Q16,武学奇术!$A:$ZZ,3,FALSE)+SUM(_xlfn.XLOOKUP($R16:$AF16,增益!$A:$A,增益!$C:$C,0))-$I$2</f>
        <v>3483.8</v>
      </c>
      <c r="AO16" cm="1">
        <f t="array" ref="AO16">$E$10*(1+$AM16)+VLOOKUP($Q16,武学奇术!$A:$ZZ,4,FALSE)+SUM(_xlfn.XLOOKUP($R16:$AF16,增益!$A:$A,增益!$D:$D,0))-$I$2</f>
        <v>3483.8</v>
      </c>
      <c r="AP16" s="35" cm="1">
        <f t="array" ref="AP16">IF($F$10-$I$3+VLOOKUP($Q16,武学奇术!$A:$ZZ,6,FALSE)+SUM(_xlfn.XLOOKUP(R16:AF16,增益!$A:$A,增益!$F:$F,0))&gt;0,($F$10-$I$3+VLOOKUP($Q16,武学奇术!$A:$ZZ,6,FALSE)+SUM(_xlfn.XLOOKUP(R16:AF16,增益!$A:$A,增益!$F:$F,0)))/200,($F$10-$I$3+VLOOKUP($Q16,武学奇术!$A:$ZZ,6,FALSE)+SUM(_xlfn.XLOOKUP(R16:AF16,增益!$A:$A,增益!$F:$F,0)))/100)</f>
        <v>0.2625</v>
      </c>
      <c r="AQ16" s="35" cm="1">
        <f t="array" ref="AQ16">$G$10+VLOOKUP($Q16,武学奇术!$A:$ZZ,7,FALSE)+SUM(_xlfn.XLOOKUP(R16:AF16,增益!$A:$A,增益!$G:$G,0))</f>
        <v>0.148</v>
      </c>
      <c r="AR16" s="30" cm="1">
        <f t="array" ref="AR16">VLOOKUP($Q16,武学奇术!$A:$ZZ,8,FALSE)+SUM(_xlfn.XLOOKUP(R16:AF16,增益!$A:$A,增益!$H:$H,0))</f>
        <v>0</v>
      </c>
      <c r="AS16">
        <f t="shared" si="1"/>
        <v>0</v>
      </c>
      <c r="AT16">
        <f t="shared" si="2"/>
        <v>0</v>
      </c>
      <c r="AU16" s="35" cm="1">
        <f t="array" ref="AU16">IF($F$11-$I$4+VLOOKUP($Q16,武学奇术!$A:$ZZ,9,FALSE)+SUM(_xlfn.XLOOKUP(R16:AF16,增益!$A:$A,增益!$I:$I,0))&gt;0,($F$11-$I$4+VLOOKUP($Q16,武学奇术!$A:$ZZ,9,FALSE)+SUM(_xlfn.XLOOKUP(R16:AF16,增益!$A:$A,增益!$I:$I,0)))/200,($F$11-$I$4+VLOOKUP($Q16,武学奇术!$A:$ZZ,9,FALSE)+SUM(_xlfn.XLOOKUP(R16:AF16,增益!$A:$A,增益!$I:$I,0)))/100)</f>
        <v>-0.3</v>
      </c>
      <c r="AV16" s="35" cm="1">
        <f t="array" ref="AV16">$G$11+VLOOKUP($Q16,武学奇术!$A:$ZZ,10,FALSE)+SUM(_xlfn.XLOOKUP(R16:AF16,增益!$A:$A,增益!$J:$J,0))</f>
        <v>0</v>
      </c>
      <c r="AW16">
        <f t="shared" si="3"/>
        <v>0</v>
      </c>
      <c r="AX16">
        <f t="shared" si="4"/>
        <v>0</v>
      </c>
      <c r="AY16" s="35" cm="1">
        <f t="array" ref="AY16">IF($F$12-$I$4+VLOOKUP($Q16,武学奇术!$A:$ZZ,11,FALSE)+SUM(_xlfn.XLOOKUP(R16:AF16,增益!$A:$A,增益!$K:$K,0))&gt;0,($F$12-$I$4+VLOOKUP($Q16,武学奇术!$A:$ZZ,11,FALSE)+SUM(_xlfn.XLOOKUP(R16:AF16,增益!$A:$A,增益!$K:$K,0)))/200,($F$12-$I$4+VLOOKUP($Q16,武学奇术!$A:$ZZ,11,FALSE)+SUM(_xlfn.XLOOKUP(R16:AF16,增益!$A:$A,增益!$K:$K,0)))/100)</f>
        <v>-0.3</v>
      </c>
      <c r="AZ16" s="35" cm="1">
        <f t="array" ref="AZ16">$G$12+VLOOKUP($Q16,武学奇术!$A:$ZZ,12,FALSE)+SUM(_xlfn.XLOOKUP(R16:AF16,增益!$A:$A,增益!$L:$L,0))</f>
        <v>0</v>
      </c>
      <c r="BA16">
        <f t="shared" si="5"/>
        <v>0</v>
      </c>
      <c r="BB16">
        <f t="shared" si="6"/>
        <v>0</v>
      </c>
      <c r="BC16" s="35" cm="1">
        <f t="array" ref="BC16">IF($F$13-$I$4+VLOOKUP($Q16,武学奇术!$A:$ZZ,13,FALSE)+SUM(_xlfn.XLOOKUP(R16:AF16,增益!$A:$A,增益!$M:$M,0))&gt;0,($F$13-$I$4+VLOOKUP($Q16,武学奇术!$A:$ZZ,13,FALSE)+SUM(_xlfn.XLOOKUP(R16:AF16,增益!$A:$A,增益!$K:$K,0)))/200,($F$13-$I$4+VLOOKUP($Q16,武学奇术!$A:$ZZ,13,FALSE)+SUM(_xlfn.XLOOKUP(R16:AF16,增益!$A:$A,增益!$M:$M,0)))/100)</f>
        <v>-0.3</v>
      </c>
      <c r="BD16" s="35" cm="1">
        <f t="array" ref="BD16">$G$13+VLOOKUP($Q16,武学奇术!$A:$ZZ,14,FALSE)+SUM(_xlfn.XLOOKUP(R16:AF16,增益!$A:$A,增益!$N:$N,0))</f>
        <v>0</v>
      </c>
      <c r="BE16">
        <f t="shared" si="7"/>
        <v>538</v>
      </c>
      <c r="BF16">
        <f t="shared" si="8"/>
        <v>1561.4</v>
      </c>
      <c r="BG16" s="35" cm="1">
        <f t="array" ref="BG16">IF($F$14-$I$4+VLOOKUP($Q16,武学奇术!$A:$ZZ,15,FALSE)+SUM(_xlfn.XLOOKUP(R16:AF16,增益!$A:$A,增益!$O:$O,0))&gt;0,($F$14-$I$4+VLOOKUP($Q16,武学奇术!$A:$ZZ,15,FALSE)+SUM(_xlfn.XLOOKUP(R16:AF16,增益!$A:$A,增益!$O:$O,0)))/200,($F$14-$I$4+VLOOKUP($Q16,武学奇术!$A:$ZZ,15,FALSE)+SUM(_xlfn.XLOOKUP(R16:AF16,增益!$A:$A,增益!$O:$O,0)))/100)</f>
        <v>0</v>
      </c>
      <c r="BH16" s="35" cm="1">
        <f t="array" ref="BH16">$G$14+VLOOKUP($Q16,武学奇术!$A:$ZZ,16,FALSE)+SUM(_xlfn.XLOOKUP(R16:AF16,增益!$A:$A,增益!$P:$P,0))</f>
        <v>0.27</v>
      </c>
      <c r="BI16" s="30">
        <f>MIN(IF(VLOOKUP($Q16,武学奇术!$A:$ZZ,23,FALSE)=1,100%,$B$8),100%)</f>
        <v>0.9712</v>
      </c>
      <c r="BJ16" s="30" cm="1">
        <f t="array" ref="BJ16">IF(VLOOKUP($Q16,武学奇术!$A:$ZZ,23,FALSE)=1,100%,MIN(80%,$B$9+VLOOKUP($Q16,武学奇术!$A:$ZZ,17,FALSE)+SUM(_xlfn.XLOOKUP(R16:AF16,增益!$A:$A,增益!$Q:$Q,0)))+$B$11+SUM(_xlfn.XLOOKUP(R16:AF16,增益!$A:$A,增益!$U:$U,0)))*IF(VLOOKUP($Q16,武学奇术!$A:$ZZ,24,FALSE)=1,0,1)</f>
        <v>0.8773</v>
      </c>
      <c r="BK16" s="30" cm="1">
        <f t="array" ref="BK16">1+$B$13+VLOOKUP($Q16,武学奇术!$A:$ZZ,18,FALSE)+SUM(_xlfn.XLOOKUP(R16:AF16,增益!$A:$A,增益!$R:$R,0))</f>
        <v>1.79</v>
      </c>
      <c r="BL16" s="30" cm="1">
        <f t="array" ref="BL16">IF(VLOOKUP($Q16,武学奇术!$A:$ZZ,24,FALSE)=1,100%,MIN(40%,$B$10+VLOOKUP($Q16,武学奇术!$A:$ZZ,19,FALSE)+SUM(_xlfn.XLOOKUP(R16:AF16,增益!$A:$A,增益!$S:$S,0)))+$B$12+SUM(_xlfn.XLOOKUP(R16:AF16,增益!$A:$A,增益!$V:$V,0)))*IF(VLOOKUP($Q16,武学奇术!$A:$ZZ,23,FALSE)=1,0,1)</f>
        <v>0.0895</v>
      </c>
      <c r="BM16" s="30" cm="1">
        <f t="array" ref="BM16">1+$B$14+VLOOKUP($Q16,武学奇术!$A:$ZZ,20,FALSE)+SUM(_xlfn.XLOOKUP(R16:AF16,增益!$A:$A,增益!$T:$T,0))</f>
        <v>1.35</v>
      </c>
      <c r="BN16" s="30">
        <f t="shared" si="9"/>
        <v>0.85203376</v>
      </c>
      <c r="BO16" s="30">
        <f t="shared" si="10"/>
        <v>0.03224384</v>
      </c>
      <c r="BP16" s="30">
        <f>IF(VLOOKUP($Q16,武学奇术!$A:$ZZ,22,FALSE)=1,0,(1-$BI16))*(1-$BL16)</f>
        <v>0.0262224</v>
      </c>
      <c r="BQ16" s="30" cm="1">
        <f t="array" ref="BQ16">SUM(_xlfn.XLOOKUP(R16:AF16,增益!$A:$A,增益!$W:$W,0))+$I$5</f>
        <v>0.11</v>
      </c>
    </row>
    <row r="17" ht="14.25" spans="1:69">
      <c r="A17" s="44" t="s">
        <v>128</v>
      </c>
      <c r="B17" s="72">
        <f>期望!B17</f>
        <v>0.0852</v>
      </c>
      <c r="C17" s="42"/>
      <c r="D17" s="81"/>
      <c r="E17" s="42" t="s">
        <v>129</v>
      </c>
      <c r="F17" s="81" t="str">
        <f>IF(C24="所恨年年","√","×")</f>
        <v>×</v>
      </c>
      <c r="H17" s="73"/>
      <c r="I17" s="85"/>
      <c r="J17" s="86"/>
      <c r="K17" s="41">
        <f t="shared" si="0"/>
        <v>43253.3264703676</v>
      </c>
      <c r="L17" s="41">
        <f>((($AN17+$AO17)/2*$AH17+$AI17)*(1+$AP17)*(1+$AQ17)+(($AS17+$AT17)/2*IF($G$1="鸣金",$AJ17,$AH17)+IF($G$1="鸣金",$AK17*1.5,0))*(1+$AU17)*(1+$AV17)+(($AW17+$AX17)/2*IF($G$1="裂石",$AJ17,$AH17)+IF($G$1="裂石",$AK17*1.5,0))*(1+$AY17)*(1+$AZ17)+(($BA17+$BB17)/2*IF($G$1="牵丝",$AJ17,$AH17)+IF($G$1="牵丝",$AK17*1.5,0))*(1+$BC17)*(1+$BD17)+(($BE17+$BF17)/2*IF($G$1="破竹",$AJ17,$AH17)+IF($G$1="破竹",$AK17*1.5,0))*(1+$BG17)*(1+$BH17))*(1+$AL17)*$BK17*$P17*(1+IF(VLOOKUP($Q17,武学奇术!$A:$ZZ,30,FALSE)="回旋伞",$B$21,0))*(1+$BQ17)</f>
        <v>43253.3264703676</v>
      </c>
      <c r="M17" s="41">
        <f>(($AO17*$AH17+$AI17)*(1+$AP17)*(1+$AQ17)+($AT17*IF($G$1="鸣金",$AJ17,$AH17)+IF($G$1="鸣金",$AK17*1.5,0))*(1+$AU17)*(1+$AV17)+($AX17*IF($G$1="裂石",$AJ17,$AH17)+IF($G$1="裂石",$AK17*1.5,0))*(1+$AY17)*(1+$AZ17)+($BB17*IF($G$1="牵丝",$AJ17,$AH17)+IF($G$1="牵丝",$AK17*1.5,0))*(1+$BC17)*(1+$BD17)+($BF17*IF($G$1="破竹",$AJ17,$AH17)+IF($G$1="破竹",$AK17*1.5,0))*(1+$BG17)*(1+$BH17))*(1+$AL17)*$BM17*$P17*(1+IF(VLOOKUP($Q17,武学奇术!$A:$ZZ,30,FALSE)="回旋伞",$B$21,0))*(1+$BQ17)</f>
        <v>37106.9286950303</v>
      </c>
      <c r="N17" s="41">
        <f>((($AN17+$AO17)/2*$AH17+$AI17)*(1+$AP17)*(1+$AQ17)+(($AS17+$AT17)/2*IF($G$1="鸣金",$AJ17,$AH17)+IF($G$1="鸣金",$AK17*1.5,0))*(1+$AU17)*(1+$AV17)+(($AW17+$AX17)/2*IF($G$1="裂石",$AJ17,$AH17)+IF($G$1="裂石",$AK17*1.5,0))*(1+$AY17)*(1+$AZ17)+(($BA17+$BB17)/2*IF($G$1="牵丝",$AJ17,$AH17)+IF($G$1="牵丝",$AK17*1.5,0))*(1+$BC17)*(1+$BD17)+(($BE17+$BF17)/2*IF($G$1="破竹",$AJ17,$AH17)+IF($G$1="破竹",$AK17*1.5,0))*(1+$BG17)*(1+$BH17))*(1+$AL17)*$P17*(1+IF(VLOOKUP($Q17,武学奇术!$A:$ZZ,30,FALSE)="回旋伞",$B$21,0))*(1+$BQ17)</f>
        <v>24163.8695365182</v>
      </c>
      <c r="O17" s="41">
        <f>((($AN17*$AH17+$AI17)*(1+$AP17)*(1+$AQ17)+($AS17*IF($G$1="鸣金",$AJ17,$AH17)+IF($G$1="鸣金",$AK17*1.5,0))*(1+$AU17)*(1+$AV17)+($AW17*IF($G$1="裂石",$AJ17,$AH17)+IF($G$1="裂石",$AK17*1.5,0))*(1+$AY17)*(1+$AZ17)+($BA17*IF($G$1="牵丝",$AJ17,$AH17)+IF($G$1="牵丝",$AK17*1.5,0))*(1+$BC17)*(1+$BD17)+($BE17*IF($G$1="破竹",$AJ17,$AH17)+IF($G$1="破竹",$AK17*1.5,0))*(1+$BG17)*(1+$BH17))*(1+$AL17))*$P17*(1+IF(VLOOKUP($Q17,武学奇术!$A:$ZZ,30,FALSE)="回旋伞",$B$21,0))*(1+$BQ17)</f>
        <v>20841.1252248658</v>
      </c>
      <c r="P17" s="42">
        <v>2</v>
      </c>
      <c r="Q17" s="43" t="s">
        <v>130</v>
      </c>
      <c r="R17" s="43" t="s">
        <v>105</v>
      </c>
      <c r="S17" s="43" t="s">
        <v>91</v>
      </c>
      <c r="T17" s="43" t="s">
        <v>72</v>
      </c>
      <c r="U17" s="43" t="s">
        <v>79</v>
      </c>
      <c r="V17" s="43" t="s">
        <v>80</v>
      </c>
      <c r="W17" s="43" t="s">
        <v>87</v>
      </c>
      <c r="X17" s="43" t="s">
        <v>71</v>
      </c>
      <c r="Y17" s="43" t="s">
        <v>71</v>
      </c>
      <c r="Z17" s="43" t="s">
        <v>71</v>
      </c>
      <c r="AA17" s="43" t="s">
        <v>116</v>
      </c>
      <c r="AB17" s="43" t="s">
        <v>71</v>
      </c>
      <c r="AC17" s="43" t="s">
        <v>71</v>
      </c>
      <c r="AD17" s="43" t="s">
        <v>71</v>
      </c>
      <c r="AE17" s="43" t="s">
        <v>71</v>
      </c>
      <c r="AF17" s="43" t="s">
        <v>76</v>
      </c>
      <c r="AG17" t="str">
        <f>VLOOKUP($Q17,武学奇术!$A:$ZZ,25,FALSE)</f>
        <v>伞</v>
      </c>
      <c r="AH17" s="30">
        <f>VLOOKUP($Q17,武学奇术!$A:$ZZ,26,FALSE)</f>
        <v>0.54</v>
      </c>
      <c r="AI17" s="31">
        <f>VLOOKUP($Q17,武学奇术!$A:$ZZ,27,FALSE)*(1+IF(OR($AG17=$F$4,$AG17=$F$5),$B$22,0))</f>
        <v>0</v>
      </c>
      <c r="AJ17" s="30">
        <f>VLOOKUP($Q17,武学奇术!$A:$ZZ,28,FALSE)</f>
        <v>0.81</v>
      </c>
      <c r="AK17" s="31">
        <f>VLOOKUP($Q17,武学奇术!$A:$ZZ,29,FALSE)*(1+IF(OR($AG17=$F$4,$AG17=$F$5),$B$22,0))</f>
        <v>0</v>
      </c>
      <c r="AL17" s="30" cm="1">
        <f t="array" ref="AL17">$G$3+IFERROR(VLOOKUP($AG17,$F$4:$G$7,2,FALSE),0)+VLOOKUP($Q17,武学奇术!$A:$ZZ,2,FALSE)+SUM(_xlfn.XLOOKUP($R17:$AF17,增益!$A:$A,增益!$B:$B,0))</f>
        <v>1.1541</v>
      </c>
      <c r="AM17" s="30" cm="1">
        <f t="array" ref="AM17">VLOOKUP($Q17,武学奇术!$A:$ZZ,5,FALSE)+SUM(_xlfn.XLOOKUP($R17:$AF17,增益!$A:$A,增益!$E:$E,0))</f>
        <v>0</v>
      </c>
      <c r="AN17" cm="1">
        <f t="array" ref="AN17">$D$10*(1+$AM17)+VLOOKUP($Q17,武学奇术!$A:$ZZ,3,FALSE)+SUM(_xlfn.XLOOKUP($R17:$AF17,增益!$A:$A,增益!$C:$C,0))-$I$2</f>
        <v>3483.8</v>
      </c>
      <c r="AO17" cm="1">
        <f t="array" ref="AO17">$E$10*(1+$AM17)+VLOOKUP($Q17,武学奇术!$A:$ZZ,4,FALSE)+SUM(_xlfn.XLOOKUP($R17:$AF17,增益!$A:$A,增益!$D:$D,0))-$I$2</f>
        <v>3483.8</v>
      </c>
      <c r="AP17" s="35" cm="1">
        <f t="array" ref="AP17">IF($F$10-$I$3+VLOOKUP($Q17,武学奇术!$A:$ZZ,6,FALSE)+SUM(_xlfn.XLOOKUP(R17:AF17,增益!$A:$A,增益!$F:$F,0))&gt;0,($F$10-$I$3+VLOOKUP($Q17,武学奇术!$A:$ZZ,6,FALSE)+SUM(_xlfn.XLOOKUP(R17:AF17,增益!$A:$A,增益!$F:$F,0)))/200,($F$10-$I$3+VLOOKUP($Q17,武学奇术!$A:$ZZ,6,FALSE)+SUM(_xlfn.XLOOKUP(R17:AF17,增益!$A:$A,增益!$F:$F,0)))/100)</f>
        <v>0.2725</v>
      </c>
      <c r="AQ17" s="35" cm="1">
        <f t="array" ref="AQ17">$G$10+VLOOKUP($Q17,武学奇术!$A:$ZZ,7,FALSE)+SUM(_xlfn.XLOOKUP(R17:AF17,增益!$A:$A,增益!$G:$G,0))</f>
        <v>0.148</v>
      </c>
      <c r="AR17" s="30" cm="1">
        <f t="array" ref="AR17">VLOOKUP($Q17,武学奇术!$A:$ZZ,8,FALSE)+SUM(_xlfn.XLOOKUP(R17:AF17,增益!$A:$A,增益!$H:$H,0))</f>
        <v>0</v>
      </c>
      <c r="AS17">
        <f t="shared" si="1"/>
        <v>0</v>
      </c>
      <c r="AT17">
        <f t="shared" si="2"/>
        <v>0</v>
      </c>
      <c r="AU17" s="35" cm="1">
        <f t="array" ref="AU17">IF($F$11-$I$4+VLOOKUP($Q17,武学奇术!$A:$ZZ,9,FALSE)+SUM(_xlfn.XLOOKUP(R17:AF17,增益!$A:$A,增益!$I:$I,0))&gt;0,($F$11-$I$4+VLOOKUP($Q17,武学奇术!$A:$ZZ,9,FALSE)+SUM(_xlfn.XLOOKUP(R17:AF17,增益!$A:$A,增益!$I:$I,0)))/200,($F$11-$I$4+VLOOKUP($Q17,武学奇术!$A:$ZZ,9,FALSE)+SUM(_xlfn.XLOOKUP(R17:AF17,增益!$A:$A,增益!$I:$I,0)))/100)</f>
        <v>-0.3</v>
      </c>
      <c r="AV17" s="35" cm="1">
        <f t="array" ref="AV17">$G$11+VLOOKUP($Q17,武学奇术!$A:$ZZ,10,FALSE)+SUM(_xlfn.XLOOKUP(R17:AF17,增益!$A:$A,增益!$J:$J,0))</f>
        <v>0</v>
      </c>
      <c r="AW17">
        <f t="shared" si="3"/>
        <v>0</v>
      </c>
      <c r="AX17">
        <f t="shared" si="4"/>
        <v>0</v>
      </c>
      <c r="AY17" s="35" cm="1">
        <f t="array" ref="AY17">IF($F$12-$I$4+VLOOKUP($Q17,武学奇术!$A:$ZZ,11,FALSE)+SUM(_xlfn.XLOOKUP(R17:AF17,增益!$A:$A,增益!$K:$K,0))&gt;0,($F$12-$I$4+VLOOKUP($Q17,武学奇术!$A:$ZZ,11,FALSE)+SUM(_xlfn.XLOOKUP(R17:AF17,增益!$A:$A,增益!$K:$K,0)))/200,($F$12-$I$4+VLOOKUP($Q17,武学奇术!$A:$ZZ,11,FALSE)+SUM(_xlfn.XLOOKUP(R17:AF17,增益!$A:$A,增益!$K:$K,0)))/100)</f>
        <v>-0.3</v>
      </c>
      <c r="AZ17" s="35" cm="1">
        <f t="array" ref="AZ17">$G$12+VLOOKUP($Q17,武学奇术!$A:$ZZ,12,FALSE)+SUM(_xlfn.XLOOKUP(R17:AF17,增益!$A:$A,增益!$L:$L,0))</f>
        <v>0</v>
      </c>
      <c r="BA17">
        <f t="shared" si="5"/>
        <v>0</v>
      </c>
      <c r="BB17">
        <f t="shared" si="6"/>
        <v>0</v>
      </c>
      <c r="BC17" s="35" cm="1">
        <f t="array" ref="BC17">IF($F$13-$I$4+VLOOKUP($Q17,武学奇术!$A:$ZZ,13,FALSE)+SUM(_xlfn.XLOOKUP(R17:AF17,增益!$A:$A,增益!$M:$M,0))&gt;0,($F$13-$I$4+VLOOKUP($Q17,武学奇术!$A:$ZZ,13,FALSE)+SUM(_xlfn.XLOOKUP(R17:AF17,增益!$A:$A,增益!$K:$K,0)))/200,($F$13-$I$4+VLOOKUP($Q17,武学奇术!$A:$ZZ,13,FALSE)+SUM(_xlfn.XLOOKUP(R17:AF17,增益!$A:$A,增益!$M:$M,0)))/100)</f>
        <v>-0.3</v>
      </c>
      <c r="BD17" s="35" cm="1">
        <f t="array" ref="BD17">$G$13+VLOOKUP($Q17,武学奇术!$A:$ZZ,14,FALSE)+SUM(_xlfn.XLOOKUP(R17:AF17,增益!$A:$A,增益!$N:$N,0))</f>
        <v>0</v>
      </c>
      <c r="BE17">
        <f t="shared" si="7"/>
        <v>538</v>
      </c>
      <c r="BF17">
        <f t="shared" si="8"/>
        <v>1561.4</v>
      </c>
      <c r="BG17" s="35" cm="1">
        <f t="array" ref="BG17">IF($F$14-$I$4+VLOOKUP($Q17,武学奇术!$A:$ZZ,15,FALSE)+SUM(_xlfn.XLOOKUP(R17:AF17,增益!$A:$A,增益!$O:$O,0))&gt;0,($F$14-$I$4+VLOOKUP($Q17,武学奇术!$A:$ZZ,15,FALSE)+SUM(_xlfn.XLOOKUP(R17:AF17,增益!$A:$A,增益!$O:$O,0)))/200,($F$14-$I$4+VLOOKUP($Q17,武学奇术!$A:$ZZ,15,FALSE)+SUM(_xlfn.XLOOKUP(R17:AF17,增益!$A:$A,增益!$O:$O,0)))/100)</f>
        <v>0</v>
      </c>
      <c r="BH17" s="35" cm="1">
        <f t="array" ref="BH17">$G$14+VLOOKUP($Q17,武学奇术!$A:$ZZ,16,FALSE)+SUM(_xlfn.XLOOKUP(R17:AF17,增益!$A:$A,增益!$P:$P,0))</f>
        <v>0.27</v>
      </c>
      <c r="BI17" s="30">
        <f>MIN(IF(VLOOKUP($Q17,武学奇术!$A:$ZZ,23,FALSE)=1,100%,$B$8),100%)</f>
        <v>1</v>
      </c>
      <c r="BJ17" s="30" cm="1">
        <f t="array" ref="BJ17">IF(VLOOKUP($Q17,武学奇术!$A:$ZZ,23,FALSE)=1,100%,MIN(80%,$B$9+VLOOKUP($Q17,武学奇术!$A:$ZZ,17,FALSE)+SUM(_xlfn.XLOOKUP(R17:AF17,增益!$A:$A,增益!$Q:$Q,0)))+$B$11+SUM(_xlfn.XLOOKUP(R17:AF17,增益!$A:$A,增益!$U:$U,0)))*IF(VLOOKUP($Q17,武学奇术!$A:$ZZ,24,FALSE)=1,0,1)</f>
        <v>1</v>
      </c>
      <c r="BK17" s="30" cm="1">
        <f t="array" ref="BK17">1+$B$13+VLOOKUP($Q17,武学奇术!$A:$ZZ,18,FALSE)+SUM(_xlfn.XLOOKUP(R17:AF17,增益!$A:$A,增益!$R:$R,0))</f>
        <v>1.79</v>
      </c>
      <c r="BL17" s="30" cm="1">
        <f t="array" ref="BL17">IF(VLOOKUP($Q17,武学奇术!$A:$ZZ,24,FALSE)=1,100%,MIN(40%,$B$10+VLOOKUP($Q17,武学奇术!$A:$ZZ,19,FALSE)+SUM(_xlfn.XLOOKUP(R17:AF17,增益!$A:$A,增益!$S:$S,0)))+$B$12+SUM(_xlfn.XLOOKUP(R17:AF17,增益!$A:$A,增益!$V:$V,0)))*IF(VLOOKUP($Q17,武学奇术!$A:$ZZ,23,FALSE)=1,0,1)</f>
        <v>0</v>
      </c>
      <c r="BM17" s="30" cm="1">
        <f t="array" ref="BM17">1+$B$14+VLOOKUP($Q17,武学奇术!$A:$ZZ,20,FALSE)+SUM(_xlfn.XLOOKUP(R17:AF17,增益!$A:$A,增益!$T:$T,0))</f>
        <v>1.35</v>
      </c>
      <c r="BN17" s="30">
        <f t="shared" si="9"/>
        <v>1</v>
      </c>
      <c r="BO17" s="30">
        <f t="shared" si="10"/>
        <v>0</v>
      </c>
      <c r="BP17" s="30">
        <f>IF(VLOOKUP($Q17,武学奇术!$A:$ZZ,22,FALSE)=1,0,(1-$BI17))*(1-$BL17)</f>
        <v>0</v>
      </c>
      <c r="BQ17" s="30" cm="1">
        <f t="array" ref="BQ17">SUM(_xlfn.XLOOKUP(R17:AF17,增益!$A:$A,增益!$W:$W,0))+$I$5</f>
        <v>0.11</v>
      </c>
    </row>
    <row r="18" spans="1:69">
      <c r="A18" s="44" t="s">
        <v>131</v>
      </c>
      <c r="B18" s="72">
        <f>期望!B18</f>
        <v>0</v>
      </c>
      <c r="C18" s="42" t="s">
        <v>132</v>
      </c>
      <c r="D18" s="81" t="s">
        <v>189</v>
      </c>
      <c r="K18" s="41">
        <f t="shared" si="0"/>
        <v>19120.0957010381</v>
      </c>
      <c r="L18" s="41">
        <f>((($AN18+$AO18)/2*$AH18+$AI18)*(1+$AP18)*(1+$AQ18)+(($AS18+$AT18)/2*IF($G$1="鸣金",$AJ18,$AH18)+IF($G$1="鸣金",$AK18*1.5,0))*(1+$AU18)*(1+$AV18)+(($AW18+$AX18)/2*IF($G$1="裂石",$AJ18,$AH18)+IF($G$1="裂石",$AK18*1.5,0))*(1+$AY18)*(1+$AZ18)+(($BA18+$BB18)/2*IF($G$1="牵丝",$AJ18,$AH18)+IF($G$1="牵丝",$AK18*1.5,0))*(1+$BC18)*(1+$BD18)+(($BE18+$BF18)/2*IF($G$1="破竹",$AJ18,$AH18)+IF($G$1="破竹",$AK18*1.5,0))*(1+$BG18)*(1+$BH18))*(1+$AL18)*$BK18*$P18*(1+IF(VLOOKUP($Q18,武学奇术!$A:$ZZ,30,FALSE)="回旋伞",$B$21,0))*(1+$BQ18)</f>
        <v>19941.1421371568</v>
      </c>
      <c r="M18" s="41">
        <f>(($AO18*$AH18+$AI18)*(1+$AP18)*(1+$AQ18)+($AT18*IF($G$1="鸣金",$AJ18,$AH18)+IF($G$1="鸣金",$AK18*1.5,0))*(1+$AU18)*(1+$AV18)+($AX18*IF($G$1="裂石",$AJ18,$AH18)+IF($G$1="裂石",$AK18*1.5,0))*(1+$AY18)*(1+$AZ18)+($BB18*IF($G$1="牵丝",$AJ18,$AH18)+IF($G$1="牵丝",$AK18*1.5,0))*(1+$BC18)*(1+$BD18)+($BF18*IF($G$1="破竹",$AJ18,$AH18)+IF($G$1="破竹",$AK18*1.5,0))*(1+$BG18)*(1+$BH18))*(1+$AL18)*$BM18*$P18*(1+IF(VLOOKUP($Q18,武学奇术!$A:$ZZ,30,FALSE)="回旋伞",$B$21,0))*(1+$BQ18)</f>
        <v>17000.8807053691</v>
      </c>
      <c r="N18" s="41">
        <f>((($AN18+$AO18)/2*$AH18+$AI18)*(1+$AP18)*(1+$AQ18)+(($AS18+$AT18)/2*IF($G$1="鸣金",$AJ18,$AH18)+IF($G$1="鸣金",$AK18*1.5,0))*(1+$AU18)*(1+$AV18)+(($AW18+$AX18)/2*IF($G$1="裂石",$AJ18,$AH18)+IF($G$1="裂石",$AK18*1.5,0))*(1+$AY18)*(1+$AZ18)+(($BA18+$BB18)/2*IF($G$1="牵丝",$AJ18,$AH18)+IF($G$1="牵丝",$AK18*1.5,0))*(1+$BC18)*(1+$BD18)+(($BE18+$BF18)/2*IF($G$1="破竹",$AJ18,$AH18)+IF($G$1="破竹",$AK18*1.5,0))*(1+$BG18)*(1+$BH18))*(1+$AL18)*$P18*(1+IF(VLOOKUP($Q18,武学奇术!$A:$ZZ,30,FALSE)="回旋伞",$B$21,0))*(1+$BQ18)</f>
        <v>11078.4122984204</v>
      </c>
      <c r="O18" s="41">
        <f>((($AN18*$AH18+$AI18)*(1+$AP18)*(1+$AQ18)+($AS18*IF($G$1="鸣金",$AJ18,$AH18)+IF($G$1="鸣金",$AK18*1.5,0))*(1+$AU18)*(1+$AV18)+($AW18*IF($G$1="裂石",$AJ18,$AH18)+IF($G$1="裂石",$AK18*1.5,0))*(1+$AY18)*(1+$AZ18)+($BA18*IF($G$1="牵丝",$AJ18,$AH18)+IF($G$1="牵丝",$AK18*1.5,0))*(1+$BC18)*(1+$BD18)+($BE18*IF($G$1="破竹",$AJ18,$AH18)+IF($G$1="破竹",$AK18*1.5,0))*(1+$BG18)*(1+$BH18))*(1+$AL18))*$P18*(1+IF(VLOOKUP($Q18,武学奇术!$A:$ZZ,30,FALSE)="回旋伞",$B$21,0))*(1+$BQ18)</f>
        <v>9563.57962990076</v>
      </c>
      <c r="P18" s="42">
        <v>1</v>
      </c>
      <c r="Q18" s="43" t="s">
        <v>120</v>
      </c>
      <c r="R18" s="43" t="s">
        <v>105</v>
      </c>
      <c r="S18" s="43" t="s">
        <v>91</v>
      </c>
      <c r="T18" s="43" t="s">
        <v>72</v>
      </c>
      <c r="U18" s="43" t="s">
        <v>79</v>
      </c>
      <c r="V18" s="43" t="s">
        <v>86</v>
      </c>
      <c r="W18" s="43" t="s">
        <v>93</v>
      </c>
      <c r="X18" s="43" t="s">
        <v>71</v>
      </c>
      <c r="Y18" s="43" t="s">
        <v>71</v>
      </c>
      <c r="Z18" s="43" t="s">
        <v>71</v>
      </c>
      <c r="AA18" s="43" t="s">
        <v>116</v>
      </c>
      <c r="AB18" s="43" t="s">
        <v>71</v>
      </c>
      <c r="AC18" s="43" t="s">
        <v>71</v>
      </c>
      <c r="AD18" s="43" t="s">
        <v>71</v>
      </c>
      <c r="AE18" s="43" t="s">
        <v>71</v>
      </c>
      <c r="AF18" s="43" t="s">
        <v>76</v>
      </c>
      <c r="AG18" t="str">
        <f>VLOOKUP($Q18,武学奇术!$A:$ZZ,25,FALSE)</f>
        <v>伞</v>
      </c>
      <c r="AH18" s="30">
        <f>VLOOKUP($Q18,武学奇术!$A:$ZZ,26,FALSE)</f>
        <v>0.54</v>
      </c>
      <c r="AI18" s="31">
        <f>VLOOKUP($Q18,武学奇术!$A:$ZZ,27,FALSE)*(1+IF(OR($AG18=$F$4,$AG18=$F$5),$B$22,0))</f>
        <v>0</v>
      </c>
      <c r="AJ18" s="30">
        <f>VLOOKUP($Q18,武学奇术!$A:$ZZ,28,FALSE)</f>
        <v>0.81</v>
      </c>
      <c r="AK18" s="31">
        <f>VLOOKUP($Q18,武学奇术!$A:$ZZ,29,FALSE)*(1+IF(OR($AG18=$F$4,$AG18=$F$5),$B$22,0))</f>
        <v>0</v>
      </c>
      <c r="AL18" s="30" cm="1">
        <f t="array" ref="AL18">$G$3+IFERROR(VLOOKUP($AG18,$F$4:$G$7,2,FALSE),0)+VLOOKUP($Q18,武学奇术!$A:$ZZ,2,FALSE)+SUM(_xlfn.XLOOKUP($R18:$AF18,增益!$A:$A,增益!$B:$B,0))</f>
        <v>0.9641</v>
      </c>
      <c r="AM18" s="30" cm="1">
        <f t="array" ref="AM18">VLOOKUP($Q18,武学奇术!$A:$ZZ,5,FALSE)+SUM(_xlfn.XLOOKUP($R18:$AF18,增益!$A:$A,增益!$E:$E,0))</f>
        <v>0</v>
      </c>
      <c r="AN18" cm="1">
        <f t="array" ref="AN18">$D$10*(1+$AM18)+VLOOKUP($Q18,武学奇术!$A:$ZZ,3,FALSE)+SUM(_xlfn.XLOOKUP($R18:$AF18,增益!$A:$A,增益!$C:$C,0))-$I$2</f>
        <v>3483.8</v>
      </c>
      <c r="AO18" cm="1">
        <f t="array" ref="AO18">$E$10*(1+$AM18)+VLOOKUP($Q18,武学奇术!$A:$ZZ,4,FALSE)+SUM(_xlfn.XLOOKUP($R18:$AF18,增益!$A:$A,增益!$D:$D,0))-$I$2</f>
        <v>3483.8</v>
      </c>
      <c r="AP18" s="35" cm="1">
        <f t="array" ref="AP18">IF($F$10-$I$3+VLOOKUP($Q18,武学奇术!$A:$ZZ,6,FALSE)+SUM(_xlfn.XLOOKUP(R18:AF18,增益!$A:$A,增益!$F:$F,0))&gt;0,($F$10-$I$3+VLOOKUP($Q18,武学奇术!$A:$ZZ,6,FALSE)+SUM(_xlfn.XLOOKUP(R18:AF18,增益!$A:$A,增益!$F:$F,0)))/200,($F$10-$I$3+VLOOKUP($Q18,武学奇术!$A:$ZZ,6,FALSE)+SUM(_xlfn.XLOOKUP(R18:AF18,增益!$A:$A,增益!$F:$F,0)))/100)</f>
        <v>0.2825</v>
      </c>
      <c r="AQ18" s="35" cm="1">
        <f t="array" ref="AQ18">$G$10+VLOOKUP($Q18,武学奇术!$A:$ZZ,7,FALSE)+SUM(_xlfn.XLOOKUP(R18:AF18,增益!$A:$A,增益!$G:$G,0))</f>
        <v>0.148</v>
      </c>
      <c r="AR18" s="30" cm="1">
        <f t="array" ref="AR18">VLOOKUP($Q18,武学奇术!$A:$ZZ,8,FALSE)+SUM(_xlfn.XLOOKUP(R18:AF18,增益!$A:$A,增益!$H:$H,0))</f>
        <v>0</v>
      </c>
      <c r="AS18">
        <f t="shared" si="1"/>
        <v>0</v>
      </c>
      <c r="AT18">
        <f t="shared" si="2"/>
        <v>0</v>
      </c>
      <c r="AU18" s="35" cm="1">
        <f t="array" ref="AU18">IF($F$11-$I$4+VLOOKUP($Q18,武学奇术!$A:$ZZ,9,FALSE)+SUM(_xlfn.XLOOKUP(R18:AF18,增益!$A:$A,增益!$I:$I,0))&gt;0,($F$11-$I$4+VLOOKUP($Q18,武学奇术!$A:$ZZ,9,FALSE)+SUM(_xlfn.XLOOKUP(R18:AF18,增益!$A:$A,增益!$I:$I,0)))/200,($F$11-$I$4+VLOOKUP($Q18,武学奇术!$A:$ZZ,9,FALSE)+SUM(_xlfn.XLOOKUP(R18:AF18,增益!$A:$A,增益!$I:$I,0)))/100)</f>
        <v>-0.3</v>
      </c>
      <c r="AV18" s="35" cm="1">
        <f t="array" ref="AV18">$G$11+VLOOKUP($Q18,武学奇术!$A:$ZZ,10,FALSE)+SUM(_xlfn.XLOOKUP(R18:AF18,增益!$A:$A,增益!$J:$J,0))</f>
        <v>0</v>
      </c>
      <c r="AW18">
        <f t="shared" si="3"/>
        <v>0</v>
      </c>
      <c r="AX18">
        <f t="shared" si="4"/>
        <v>0</v>
      </c>
      <c r="AY18" s="35" cm="1">
        <f t="array" ref="AY18">IF($F$12-$I$4+VLOOKUP($Q18,武学奇术!$A:$ZZ,11,FALSE)+SUM(_xlfn.XLOOKUP(R18:AF18,增益!$A:$A,增益!$K:$K,0))&gt;0,($F$12-$I$4+VLOOKUP($Q18,武学奇术!$A:$ZZ,11,FALSE)+SUM(_xlfn.XLOOKUP(R18:AF18,增益!$A:$A,增益!$K:$K,0)))/200,($F$12-$I$4+VLOOKUP($Q18,武学奇术!$A:$ZZ,11,FALSE)+SUM(_xlfn.XLOOKUP(R18:AF18,增益!$A:$A,增益!$K:$K,0)))/100)</f>
        <v>-0.3</v>
      </c>
      <c r="AZ18" s="35" cm="1">
        <f t="array" ref="AZ18">$G$12+VLOOKUP($Q18,武学奇术!$A:$ZZ,12,FALSE)+SUM(_xlfn.XLOOKUP(R18:AF18,增益!$A:$A,增益!$L:$L,0))</f>
        <v>0</v>
      </c>
      <c r="BA18">
        <f t="shared" si="5"/>
        <v>0</v>
      </c>
      <c r="BB18">
        <f t="shared" si="6"/>
        <v>0</v>
      </c>
      <c r="BC18" s="35" cm="1">
        <f t="array" ref="BC18">IF($F$13-$I$4+VLOOKUP($Q18,武学奇术!$A:$ZZ,13,FALSE)+SUM(_xlfn.XLOOKUP(R18:AF18,增益!$A:$A,增益!$M:$M,0))&gt;0,($F$13-$I$4+VLOOKUP($Q18,武学奇术!$A:$ZZ,13,FALSE)+SUM(_xlfn.XLOOKUP(R18:AF18,增益!$A:$A,增益!$K:$K,0)))/200,($F$13-$I$4+VLOOKUP($Q18,武学奇术!$A:$ZZ,13,FALSE)+SUM(_xlfn.XLOOKUP(R18:AF18,增益!$A:$A,增益!$M:$M,0)))/100)</f>
        <v>-0.3</v>
      </c>
      <c r="BD18" s="35" cm="1">
        <f t="array" ref="BD18">$G$13+VLOOKUP($Q18,武学奇术!$A:$ZZ,14,FALSE)+SUM(_xlfn.XLOOKUP(R18:AF18,增益!$A:$A,增益!$N:$N,0))</f>
        <v>0</v>
      </c>
      <c r="BE18">
        <f t="shared" si="7"/>
        <v>538</v>
      </c>
      <c r="BF18">
        <f t="shared" si="8"/>
        <v>1561.4</v>
      </c>
      <c r="BG18" s="35" cm="1">
        <f t="array" ref="BG18">IF($F$14-$I$4+VLOOKUP($Q18,武学奇术!$A:$ZZ,15,FALSE)+SUM(_xlfn.XLOOKUP(R18:AF18,增益!$A:$A,增益!$O:$O,0))&gt;0,($F$14-$I$4+VLOOKUP($Q18,武学奇术!$A:$ZZ,15,FALSE)+SUM(_xlfn.XLOOKUP(R18:AF18,增益!$A:$A,增益!$O:$O,0)))/200,($F$14-$I$4+VLOOKUP($Q18,武学奇术!$A:$ZZ,15,FALSE)+SUM(_xlfn.XLOOKUP(R18:AF18,增益!$A:$A,增益!$O:$O,0)))/100)</f>
        <v>0</v>
      </c>
      <c r="BH18" s="35" cm="1">
        <f t="array" ref="BH18">$G$14+VLOOKUP($Q18,武学奇术!$A:$ZZ,16,FALSE)+SUM(_xlfn.XLOOKUP(R18:AF18,增益!$A:$A,增益!$P:$P,0))</f>
        <v>0.27</v>
      </c>
      <c r="BI18" s="30">
        <f>MIN(IF(VLOOKUP($Q18,武学奇术!$A:$ZZ,23,FALSE)=1,100%,$B$8),100%)</f>
        <v>0.9712</v>
      </c>
      <c r="BJ18" s="30" cm="1">
        <f t="array" ref="BJ18">IF(VLOOKUP($Q18,武学奇术!$A:$ZZ,23,FALSE)=1,100%,MIN(80%,$B$9+VLOOKUP($Q18,武学奇术!$A:$ZZ,17,FALSE)+SUM(_xlfn.XLOOKUP(R18:AF18,增益!$A:$A,增益!$Q:$Q,0)))+$B$11+SUM(_xlfn.XLOOKUP(R18:AF18,增益!$A:$A,增益!$U:$U,0)))*IF(VLOOKUP($Q18,武学奇术!$A:$ZZ,24,FALSE)=1,0,1)</f>
        <v>0.8773</v>
      </c>
      <c r="BK18" s="30" cm="1">
        <f t="array" ref="BK18">1+$B$13+VLOOKUP($Q18,武学奇术!$A:$ZZ,18,FALSE)+SUM(_xlfn.XLOOKUP(R18:AF18,增益!$A:$A,增益!$R:$R,0))</f>
        <v>1.8</v>
      </c>
      <c r="BL18" s="30" cm="1">
        <f t="array" ref="BL18">IF(VLOOKUP($Q18,武学奇术!$A:$ZZ,24,FALSE)=1,100%,MIN(40%,$B$10+VLOOKUP($Q18,武学奇术!$A:$ZZ,19,FALSE)+SUM(_xlfn.XLOOKUP(R18:AF18,增益!$A:$A,增益!$S:$S,0)))+$B$12+SUM(_xlfn.XLOOKUP(R18:AF18,增益!$A:$A,增益!$V:$V,0)))*IF(VLOOKUP($Q18,武学奇术!$A:$ZZ,23,FALSE)=1,0,1)</f>
        <v>0.0895</v>
      </c>
      <c r="BM18" s="30" cm="1">
        <f t="array" ref="BM18">1+$B$14+VLOOKUP($Q18,武学奇术!$A:$ZZ,20,FALSE)+SUM(_xlfn.XLOOKUP(R18:AF18,增益!$A:$A,增益!$T:$T,0))</f>
        <v>1.35</v>
      </c>
      <c r="BN18" s="30">
        <f t="shared" si="9"/>
        <v>0.85203376</v>
      </c>
      <c r="BO18" s="30">
        <f t="shared" si="10"/>
        <v>0.03224384</v>
      </c>
      <c r="BP18" s="30">
        <f>IF(VLOOKUP($Q18,武学奇术!$A:$ZZ,22,FALSE)=1,0,(1-$BI18))*(1-$BL18)</f>
        <v>0.0262224</v>
      </c>
      <c r="BQ18" s="30" cm="1">
        <f t="array" ref="BQ18">SUM(_xlfn.XLOOKUP(R18:AF18,增益!$A:$A,增益!$W:$W,0))+$I$5</f>
        <v>0.11</v>
      </c>
    </row>
    <row r="19" spans="1:69">
      <c r="A19" s="44" t="s">
        <v>134</v>
      </c>
      <c r="B19" s="72">
        <f>期望!B19</f>
        <v>0</v>
      </c>
      <c r="C19" s="42" t="s">
        <v>135</v>
      </c>
      <c r="D19" s="81" t="s">
        <v>189</v>
      </c>
      <c r="K19" s="41">
        <f t="shared" si="0"/>
        <v>109845.068312937</v>
      </c>
      <c r="L19" s="41">
        <f>((($AN19+$AO19)/2*$AH19+$AI19)*(1+$AP19)*(1+$AQ19)+(($AS19+$AT19)/2*IF($G$1="鸣金",$AJ19,$AH19)+IF($G$1="鸣金",$AK19*1.5,0))*(1+$AU19)*(1+$AV19)+(($AW19+$AX19)/2*IF($G$1="裂石",$AJ19,$AH19)+IF($G$1="裂石",$AK19*1.5,0))*(1+$AY19)*(1+$AZ19)+(($BA19+$BB19)/2*IF($G$1="牵丝",$AJ19,$AH19)+IF($G$1="牵丝",$AK19*1.5,0))*(1+$BC19)*(1+$BD19)+(($BE19+$BF19)/2*IF($G$1="破竹",$AJ19,$AH19)+IF($G$1="破竹",$AK19*1.5,0))*(1+$BG19)*(1+$BH19))*(1+$AL19)*$BK19*$P19*(1+IF(VLOOKUP($Q19,武学奇术!$A:$ZZ,30,FALSE)="回旋伞",$B$21,0))*(1+$BQ19)</f>
        <v>114587.046910309</v>
      </c>
      <c r="M19" s="41">
        <f>(($AO19*$AH19+$AI19)*(1+$AP19)*(1+$AQ19)+($AT19*IF($G$1="鸣金",$AJ19,$AH19)+IF($G$1="鸣金",$AK19*1.5,0))*(1+$AU19)*(1+$AV19)+($AX19*IF($G$1="裂石",$AJ19,$AH19)+IF($G$1="裂石",$AK19*1.5,0))*(1+$AY19)*(1+$AZ19)+($BB19*IF($G$1="牵丝",$AJ19,$AH19)+IF($G$1="牵丝",$AK19*1.5,0))*(1+$BC19)*(1+$BD19)+($BF19*IF($G$1="破竹",$AJ19,$AH19)+IF($G$1="破竹",$AK19*1.5,0))*(1+$BG19)*(1+$BH19))*(1+$AL19)*$BM19*$P19*(1+IF(VLOOKUP($Q19,武学奇术!$A:$ZZ,30,FALSE)="回旋伞",$B$21,0))*(1+$BQ19)</f>
        <v>97348.6201609638</v>
      </c>
      <c r="N19" s="41">
        <f>((($AN19+$AO19)/2*$AH19+$AI19)*(1+$AP19)*(1+$AQ19)+(($AS19+$AT19)/2*IF($G$1="鸣金",$AJ19,$AH19)+IF($G$1="鸣金",$AK19*1.5,0))*(1+$AU19)*(1+$AV19)+(($AW19+$AX19)/2*IF($G$1="裂石",$AJ19,$AH19)+IF($G$1="裂石",$AK19*1.5,0))*(1+$AY19)*(1+$AZ19)+(($BA19+$BB19)/2*IF($G$1="牵丝",$AJ19,$AH19)+IF($G$1="牵丝",$AK19*1.5,0))*(1+$BC19)*(1+$BD19)+(($BE19+$BF19)/2*IF($G$1="破竹",$AJ19,$AH19)+IF($G$1="破竹",$AK19*1.5,0))*(1+$BG19)*(1+$BH19))*(1+$AL19)*$P19*(1+IF(VLOOKUP($Q19,武学奇术!$A:$ZZ,30,FALSE)="回旋伞",$B$21,0))*(1+$BQ19)</f>
        <v>63659.4705057273</v>
      </c>
      <c r="O19" s="41">
        <f>((($AN19*$AH19+$AI19)*(1+$AP19)*(1+$AQ19)+($AS19*IF($G$1="鸣金",$AJ19,$AH19)+IF($G$1="鸣金",$AK19*1.5,0))*(1+$AU19)*(1+$AV19)+($AW19*IF($G$1="裂石",$AJ19,$AH19)+IF($G$1="裂石",$AK19*1.5,0))*(1+$AY19)*(1+$AZ19)+($BA19*IF($G$1="牵丝",$AJ19,$AH19)+IF($G$1="牵丝",$AK19*1.5,0))*(1+$BC19)*(1+$BD19)+($BE19*IF($G$1="破竹",$AJ19,$AH19)+IF($G$1="破竹",$AK19*1.5,0))*(1+$BG19)*(1+$BH19))*(1+$AL19))*$P19*(1+IF(VLOOKUP($Q19,武学奇术!$A:$ZZ,30,FALSE)="回旋伞",$B$21,0))*(1+$BQ19)</f>
        <v>55208.8520033333</v>
      </c>
      <c r="P19" s="42">
        <v>1</v>
      </c>
      <c r="Q19" s="43" t="s">
        <v>136</v>
      </c>
      <c r="R19" s="43" t="s">
        <v>71</v>
      </c>
      <c r="S19" s="43" t="s">
        <v>91</v>
      </c>
      <c r="T19" s="43" t="s">
        <v>72</v>
      </c>
      <c r="U19" s="43" t="s">
        <v>73</v>
      </c>
      <c r="V19" s="43" t="s">
        <v>86</v>
      </c>
      <c r="W19" s="43" t="s">
        <v>93</v>
      </c>
      <c r="X19" s="43" t="s">
        <v>71</v>
      </c>
      <c r="Y19" s="43" t="s">
        <v>71</v>
      </c>
      <c r="Z19" s="43" t="s">
        <v>71</v>
      </c>
      <c r="AA19" s="43" t="s">
        <v>71</v>
      </c>
      <c r="AB19" s="43" t="s">
        <v>71</v>
      </c>
      <c r="AC19" s="43" t="s">
        <v>71</v>
      </c>
      <c r="AD19" s="43" t="s">
        <v>71</v>
      </c>
      <c r="AE19" s="43" t="s">
        <v>71</v>
      </c>
      <c r="AF19" s="43" t="s">
        <v>76</v>
      </c>
      <c r="AG19" t="str">
        <f>VLOOKUP($Q19,武学奇术!$A:$ZZ,25,FALSE)</f>
        <v>单体奇术</v>
      </c>
      <c r="AH19" s="30">
        <f>VLOOKUP($Q19,武学奇术!$A:$ZZ,26,FALSE)</f>
        <v>7.1074</v>
      </c>
      <c r="AI19" s="31">
        <f>VLOOKUP($Q19,武学奇术!$A:$ZZ,27,FALSE)*(1+IF(OR($AG19=$F$4,$AG19=$F$5),$B$22,0))</f>
        <v>1320</v>
      </c>
      <c r="AJ19" s="30">
        <f>VLOOKUP($Q19,武学奇术!$A:$ZZ,28,FALSE)</f>
        <v>10.6596</v>
      </c>
      <c r="AK19" s="31">
        <f>VLOOKUP($Q19,武学奇术!$A:$ZZ,29,FALSE)*(1+IF(OR($AG19=$F$4,$AG19=$F$5),$B$22,0))</f>
        <v>0</v>
      </c>
      <c r="AL19" s="30" cm="1">
        <f t="array" ref="AL19">$G$3+IFERROR(VLOOKUP($AG19,$F$4:$G$7,2,FALSE),0)+VLOOKUP($Q19,武学奇术!$A:$ZZ,2,FALSE)+SUM(_xlfn.XLOOKUP($R19:$AF19,增益!$A:$A,增益!$B:$B,0))</f>
        <v>0.2137</v>
      </c>
      <c r="AM19" s="30" cm="1">
        <f t="array" ref="AM19">VLOOKUP($Q19,武学奇术!$A:$ZZ,5,FALSE)+SUM(_xlfn.XLOOKUP($R19:$AF19,增益!$A:$A,增益!$E:$E,0))</f>
        <v>0</v>
      </c>
      <c r="AN19" cm="1">
        <f t="array" ref="AN19">$D$10*(1+$AM19)+VLOOKUP($Q19,武学奇术!$A:$ZZ,3,FALSE)+SUM(_xlfn.XLOOKUP($R19:$AF19,增益!$A:$A,增益!$C:$C,0))-$I$2</f>
        <v>3483.8</v>
      </c>
      <c r="AO19" cm="1">
        <f t="array" ref="AO19">$E$10*(1+$AM19)+VLOOKUP($Q19,武学奇术!$A:$ZZ,4,FALSE)+SUM(_xlfn.XLOOKUP($R19:$AF19,增益!$A:$A,增益!$D:$D,0))-$I$2</f>
        <v>3483.8</v>
      </c>
      <c r="AP19" s="35" cm="1">
        <f t="array" ref="AP19">IF($F$10-$I$3+VLOOKUP($Q19,武学奇术!$A:$ZZ,6,FALSE)+SUM(_xlfn.XLOOKUP(R19:AF19,增益!$A:$A,增益!$F:$F,0))&gt;0,($F$10-$I$3+VLOOKUP($Q19,武学奇术!$A:$ZZ,6,FALSE)+SUM(_xlfn.XLOOKUP(R19:AF19,增益!$A:$A,增益!$F:$F,0)))/200,($F$10-$I$3+VLOOKUP($Q19,武学奇术!$A:$ZZ,6,FALSE)+SUM(_xlfn.XLOOKUP(R19:AF19,增益!$A:$A,增益!$F:$F,0)))/100)</f>
        <v>0.2825</v>
      </c>
      <c r="AQ19" s="35" cm="1">
        <f t="array" ref="AQ19">$G$10+VLOOKUP($Q19,武学奇术!$A:$ZZ,7,FALSE)+SUM(_xlfn.XLOOKUP(R19:AF19,增益!$A:$A,增益!$G:$G,0))</f>
        <v>0.028</v>
      </c>
      <c r="AR19" s="30" cm="1">
        <f t="array" ref="AR19">VLOOKUP($Q19,武学奇术!$A:$ZZ,8,FALSE)+SUM(_xlfn.XLOOKUP(R19:AF19,增益!$A:$A,增益!$H:$H,0))</f>
        <v>0</v>
      </c>
      <c r="AS19">
        <f t="shared" si="1"/>
        <v>0</v>
      </c>
      <c r="AT19">
        <f t="shared" si="2"/>
        <v>0</v>
      </c>
      <c r="AU19" s="35" cm="1">
        <f t="array" ref="AU19">IF($F$11-$I$4+VLOOKUP($Q19,武学奇术!$A:$ZZ,9,FALSE)+SUM(_xlfn.XLOOKUP(R19:AF19,增益!$A:$A,增益!$I:$I,0))&gt;0,($F$11-$I$4+VLOOKUP($Q19,武学奇术!$A:$ZZ,9,FALSE)+SUM(_xlfn.XLOOKUP(R19:AF19,增益!$A:$A,增益!$I:$I,0)))/200,($F$11-$I$4+VLOOKUP($Q19,武学奇术!$A:$ZZ,9,FALSE)+SUM(_xlfn.XLOOKUP(R19:AF19,增益!$A:$A,增益!$I:$I,0)))/100)</f>
        <v>-0.3</v>
      </c>
      <c r="AV19" s="35" cm="1">
        <f t="array" ref="AV19">$G$11+VLOOKUP($Q19,武学奇术!$A:$ZZ,10,FALSE)+SUM(_xlfn.XLOOKUP(R19:AF19,增益!$A:$A,增益!$J:$J,0))</f>
        <v>0</v>
      </c>
      <c r="AW19">
        <f t="shared" si="3"/>
        <v>0</v>
      </c>
      <c r="AX19">
        <f t="shared" si="4"/>
        <v>0</v>
      </c>
      <c r="AY19" s="35" cm="1">
        <f t="array" ref="AY19">IF($F$12-$I$4+VLOOKUP($Q19,武学奇术!$A:$ZZ,11,FALSE)+SUM(_xlfn.XLOOKUP(R19:AF19,增益!$A:$A,增益!$K:$K,0))&gt;0,($F$12-$I$4+VLOOKUP($Q19,武学奇术!$A:$ZZ,11,FALSE)+SUM(_xlfn.XLOOKUP(R19:AF19,增益!$A:$A,增益!$K:$K,0)))/200,($F$12-$I$4+VLOOKUP($Q19,武学奇术!$A:$ZZ,11,FALSE)+SUM(_xlfn.XLOOKUP(R19:AF19,增益!$A:$A,增益!$K:$K,0)))/100)</f>
        <v>-0.3</v>
      </c>
      <c r="AZ19" s="35" cm="1">
        <f t="array" ref="AZ19">$G$12+VLOOKUP($Q19,武学奇术!$A:$ZZ,12,FALSE)+SUM(_xlfn.XLOOKUP(R19:AF19,增益!$A:$A,增益!$L:$L,0))</f>
        <v>0</v>
      </c>
      <c r="BA19">
        <f t="shared" si="5"/>
        <v>0</v>
      </c>
      <c r="BB19">
        <f t="shared" si="6"/>
        <v>0</v>
      </c>
      <c r="BC19" s="35" cm="1">
        <f t="array" ref="BC19">IF($F$13-$I$4+VLOOKUP($Q19,武学奇术!$A:$ZZ,13,FALSE)+SUM(_xlfn.XLOOKUP(R19:AF19,增益!$A:$A,增益!$M:$M,0))&gt;0,($F$13-$I$4+VLOOKUP($Q19,武学奇术!$A:$ZZ,13,FALSE)+SUM(_xlfn.XLOOKUP(R19:AF19,增益!$A:$A,增益!$K:$K,0)))/200,($F$13-$I$4+VLOOKUP($Q19,武学奇术!$A:$ZZ,13,FALSE)+SUM(_xlfn.XLOOKUP(R19:AF19,增益!$A:$A,增益!$M:$M,0)))/100)</f>
        <v>-0.3</v>
      </c>
      <c r="BD19" s="35" cm="1">
        <f t="array" ref="BD19">$G$13+VLOOKUP($Q19,武学奇术!$A:$ZZ,14,FALSE)+SUM(_xlfn.XLOOKUP(R19:AF19,增益!$A:$A,增益!$N:$N,0))</f>
        <v>0</v>
      </c>
      <c r="BE19">
        <f t="shared" si="7"/>
        <v>538</v>
      </c>
      <c r="BF19">
        <f t="shared" si="8"/>
        <v>1561.4</v>
      </c>
      <c r="BG19" s="35" cm="1">
        <f t="array" ref="BG19">IF($F$14-$I$4+VLOOKUP($Q19,武学奇术!$A:$ZZ,15,FALSE)+SUM(_xlfn.XLOOKUP(R19:AF19,增益!$A:$A,增益!$O:$O,0))&gt;0,($F$14-$I$4+VLOOKUP($Q19,武学奇术!$A:$ZZ,15,FALSE)+SUM(_xlfn.XLOOKUP(R19:AF19,增益!$A:$A,增益!$O:$O,0)))/200,($F$14-$I$4+VLOOKUP($Q19,武学奇术!$A:$ZZ,15,FALSE)+SUM(_xlfn.XLOOKUP(R19:AF19,增益!$A:$A,增益!$O:$O,0)))/100)</f>
        <v>0</v>
      </c>
      <c r="BH19" s="35" cm="1">
        <f t="array" ref="BH19">$G$14+VLOOKUP($Q19,武学奇术!$A:$ZZ,16,FALSE)+SUM(_xlfn.XLOOKUP(R19:AF19,增益!$A:$A,增益!$P:$P,0))</f>
        <v>0.15</v>
      </c>
      <c r="BI19" s="30">
        <f>MIN(IF(VLOOKUP($Q19,武学奇术!$A:$ZZ,23,FALSE)=1,100%,$B$8),100%)</f>
        <v>0.9712</v>
      </c>
      <c r="BJ19" s="30" cm="1">
        <f t="array" ref="BJ19">IF(VLOOKUP($Q19,武学奇术!$A:$ZZ,23,FALSE)=1,100%,MIN(80%,$B$9+VLOOKUP($Q19,武学奇术!$A:$ZZ,17,FALSE)+SUM(_xlfn.XLOOKUP(R19:AF19,增益!$A:$A,增益!$Q:$Q,0)))+$B$11+SUM(_xlfn.XLOOKUP(R19:AF19,增益!$A:$A,增益!$U:$U,0)))*IF(VLOOKUP($Q19,武学奇术!$A:$ZZ,24,FALSE)=1,0,1)</f>
        <v>0.8773</v>
      </c>
      <c r="BK19" s="30" cm="1">
        <f t="array" ref="BK19">1+$B$13+VLOOKUP($Q19,武学奇术!$A:$ZZ,18,FALSE)+SUM(_xlfn.XLOOKUP(R19:AF19,增益!$A:$A,增益!$R:$R,0))</f>
        <v>1.8</v>
      </c>
      <c r="BL19" s="30" cm="1">
        <f t="array" ref="BL19">IF(VLOOKUP($Q19,武学奇术!$A:$ZZ,24,FALSE)=1,100%,MIN(40%,$B$10+VLOOKUP($Q19,武学奇术!$A:$ZZ,19,FALSE)+SUM(_xlfn.XLOOKUP(R19:AF19,增益!$A:$A,增益!$S:$S,0)))+$B$12+SUM(_xlfn.XLOOKUP(R19:AF19,增益!$A:$A,增益!$V:$V,0)))*IF(VLOOKUP($Q19,武学奇术!$A:$ZZ,23,FALSE)=1,0,1)</f>
        <v>0.0895</v>
      </c>
      <c r="BM19" s="30" cm="1">
        <f t="array" ref="BM19">1+$B$14+VLOOKUP($Q19,武学奇术!$A:$ZZ,20,FALSE)+SUM(_xlfn.XLOOKUP(R19:AF19,增益!$A:$A,增益!$T:$T,0))</f>
        <v>1.35</v>
      </c>
      <c r="BN19" s="30">
        <f t="shared" si="9"/>
        <v>0.85203376</v>
      </c>
      <c r="BO19" s="30">
        <f t="shared" si="10"/>
        <v>0.03224384</v>
      </c>
      <c r="BP19" s="30">
        <f>IF(VLOOKUP($Q19,武学奇术!$A:$ZZ,22,FALSE)=1,0,(1-$BI19))*(1-$BL19)</f>
        <v>0.0262224</v>
      </c>
      <c r="BQ19" s="30" cm="1">
        <f t="array" ref="BQ19">SUM(_xlfn.XLOOKUP(R19:AF19,增益!$A:$A,增益!$W:$W,0))+$I$5</f>
        <v>0.11</v>
      </c>
    </row>
    <row r="20" spans="1:69">
      <c r="A20" s="44" t="s">
        <v>137</v>
      </c>
      <c r="B20" s="72">
        <f>期望!B20</f>
        <v>0</v>
      </c>
      <c r="C20" s="42" t="s">
        <v>138</v>
      </c>
      <c r="D20" s="81" t="s">
        <v>189</v>
      </c>
      <c r="K20" s="41">
        <f t="shared" si="0"/>
        <v>39529.513783131</v>
      </c>
      <c r="L20" s="41">
        <f>((($AN20+$AO20)/2*$AH20+$AI20)*(1+$AP20)*(1+$AQ20)+(($AS20+$AT20)/2*IF($G$1="鸣金",$AJ20,$AH20)+IF($G$1="鸣金",$AK20*1.5,0))*(1+$AU20)*(1+$AV20)+(($AW20+$AX20)/2*IF($G$1="裂石",$AJ20,$AH20)+IF($G$1="裂石",$AK20*1.5,0))*(1+$AY20)*(1+$AZ20)+(($BA20+$BB20)/2*IF($G$1="牵丝",$AJ20,$AH20)+IF($G$1="牵丝",$AK20*1.5,0))*(1+$BC20)*(1+$BD20)+(($BE20+$BF20)/2*IF($G$1="破竹",$AJ20,$AH20)+IF($G$1="破竹",$AK20*1.5,0))*(1+$BG20)*(1+$BH20))*(1+$AL20)*$BK20*$P20*(1+IF(VLOOKUP($Q20,武学奇术!$A:$ZZ,30,FALSE)="回旋伞",$B$21,0))*(1+$BQ20)</f>
        <v>41288.635280157</v>
      </c>
      <c r="M20" s="41">
        <f>(($AO20*$AH20+$AI20)*(1+$AP20)*(1+$AQ20)+($AT20*IF($G$1="鸣金",$AJ20,$AH20)+IF($G$1="鸣金",$AK20*1.5,0))*(1+$AU20)*(1+$AV20)+($AX20*IF($G$1="裂石",$AJ20,$AH20)+IF($G$1="裂石",$AK20*1.5,0))*(1+$AY20)*(1+$AZ20)+($BB20*IF($G$1="牵丝",$AJ20,$AH20)+IF($G$1="牵丝",$AK20*1.5,0))*(1+$BC20)*(1+$BD20)+($BF20*IF($G$1="破竹",$AJ20,$AH20)+IF($G$1="破竹",$AK20*1.5,0))*(1+$BG20)*(1+$BH20))*(1+$AL20)*$BM20*$P20*(1+IF(VLOOKUP($Q20,武学奇术!$A:$ZZ,30,FALSE)="回旋伞",$B$21,0))*(1+$BQ20)</f>
        <v>34510.1906175661</v>
      </c>
      <c r="N20" s="41">
        <f>((($AN20+$AO20)/2*$AH20+$AI20)*(1+$AP20)*(1+$AQ20)+(($AS20+$AT20)/2*IF($G$1="鸣金",$AJ20,$AH20)+IF($G$1="鸣金",$AK20*1.5,0))*(1+$AU20)*(1+$AV20)+(($AW20+$AX20)/2*IF($G$1="裂石",$AJ20,$AH20)+IF($G$1="裂石",$AK20*1.5,0))*(1+$AY20)*(1+$AZ20)+(($BA20+$BB20)/2*IF($G$1="牵丝",$AJ20,$AH20)+IF($G$1="牵丝",$AK20*1.5,0))*(1+$BC20)*(1+$BD20)+(($BE20+$BF20)/2*IF($G$1="破竹",$AJ20,$AH20)+IF($G$1="破竹",$AK20*1.5,0))*(1+$BG20)*(1+$BH20))*(1+$AL20)*$P20*(1+IF(VLOOKUP($Q20,武学奇术!$A:$ZZ,30,FALSE)="回旋伞",$B$21,0))*(1+$BQ20)</f>
        <v>22811.4007072691</v>
      </c>
      <c r="O20" s="41">
        <f>((($AN20*$AH20+$AI20)*(1+$AP20)*(1+$AQ20)+($AS20*IF($G$1="鸣金",$AJ20,$AH20)+IF($G$1="鸣金",$AK20*1.5,0))*(1+$AU20)*(1+$AV20)+($AW20*IF($G$1="裂石",$AJ20,$AH20)+IF($G$1="裂石",$AK20*1.5,0))*(1+$AY20)*(1+$AZ20)+($BA20*IF($G$1="牵丝",$AJ20,$AH20)+IF($G$1="牵丝",$AK20*1.5,0))*(1+$BC20)*(1+$BD20)+($BE20*IF($G$1="破竹",$AJ20,$AH20)+IF($G$1="破竹",$AK20*1.5,0))*(1+$BG20)*(1+$BH20))*(1+$AL20))*$P20*(1+IF(VLOOKUP($Q20,武学奇术!$A:$ZZ,30,FALSE)="回旋伞",$B$21,0))*(1+$BQ20)</f>
        <v>20059.6972533781</v>
      </c>
      <c r="P20" s="42">
        <v>1</v>
      </c>
      <c r="Q20" s="43" t="s">
        <v>140</v>
      </c>
      <c r="R20" s="43" t="s">
        <v>71</v>
      </c>
      <c r="S20" s="43" t="s">
        <v>91</v>
      </c>
      <c r="T20" s="43" t="s">
        <v>72</v>
      </c>
      <c r="U20" s="43" t="s">
        <v>73</v>
      </c>
      <c r="V20" s="43" t="s">
        <v>92</v>
      </c>
      <c r="W20" s="43" t="s">
        <v>95</v>
      </c>
      <c r="X20" s="43" t="s">
        <v>71</v>
      </c>
      <c r="Y20" s="43" t="s">
        <v>71</v>
      </c>
      <c r="Z20" s="43" t="s">
        <v>71</v>
      </c>
      <c r="AA20" s="43" t="s">
        <v>71</v>
      </c>
      <c r="AB20" s="43" t="s">
        <v>71</v>
      </c>
      <c r="AC20" s="43" t="s">
        <v>71</v>
      </c>
      <c r="AD20" s="43" t="s">
        <v>71</v>
      </c>
      <c r="AE20" s="43" t="s">
        <v>71</v>
      </c>
      <c r="AF20" s="43" t="s">
        <v>76</v>
      </c>
      <c r="AG20" t="str">
        <f>VLOOKUP($Q20,武学奇术!$A:$ZZ,25,FALSE)</f>
        <v>伞</v>
      </c>
      <c r="AH20" s="30">
        <f>VLOOKUP($Q20,武学奇术!$A:$ZZ,26,FALSE)</f>
        <v>2.01456</v>
      </c>
      <c r="AI20" s="31">
        <f>VLOOKUP($Q20,武学奇术!$A:$ZZ,27,FALSE)*(1+IF(OR($AG20=$F$4,$AG20=$F$5),$B$22,0))</f>
        <v>781.2</v>
      </c>
      <c r="AJ20" s="30">
        <f>VLOOKUP($Q20,武学奇术!$A:$ZZ,28,FALSE)</f>
        <v>3.02184</v>
      </c>
      <c r="AK20" s="31">
        <f>VLOOKUP($Q20,武学奇术!$A:$ZZ,29,FALSE)*(1+IF(OR($AG20=$F$4,$AG20=$F$5),$B$22,0))</f>
        <v>423.36</v>
      </c>
      <c r="AL20" s="30" cm="1">
        <f t="array" ref="AL20">$G$3+IFERROR(VLOOKUP($AG20,$F$4:$G$7,2,FALSE),0)+VLOOKUP($Q20,武学奇术!$A:$ZZ,2,FALSE)+SUM(_xlfn.XLOOKUP($R20:$AF20,增益!$A:$A,增益!$B:$B,0))</f>
        <v>0.3941</v>
      </c>
      <c r="AM20" s="30" cm="1">
        <f t="array" ref="AM20">VLOOKUP($Q20,武学奇术!$A:$ZZ,5,FALSE)+SUM(_xlfn.XLOOKUP($R20:$AF20,增益!$A:$A,增益!$E:$E,0))</f>
        <v>0</v>
      </c>
      <c r="AN20" cm="1">
        <f t="array" ref="AN20">$D$10*(1+$AM20)+VLOOKUP($Q20,武学奇术!$A:$ZZ,3,FALSE)+SUM(_xlfn.XLOOKUP($R20:$AF20,增益!$A:$A,增益!$C:$C,0))-$I$2</f>
        <v>3483.8</v>
      </c>
      <c r="AO20" cm="1">
        <f t="array" ref="AO20">$E$10*(1+$AM20)+VLOOKUP($Q20,武学奇术!$A:$ZZ,4,FALSE)+SUM(_xlfn.XLOOKUP($R20:$AF20,增益!$A:$A,增益!$D:$D,0))-$I$2</f>
        <v>3483.8</v>
      </c>
      <c r="AP20" s="35" cm="1">
        <f t="array" ref="AP20">IF($F$10-$I$3+VLOOKUP($Q20,武学奇术!$A:$ZZ,6,FALSE)+SUM(_xlfn.XLOOKUP(R20:AF20,增益!$A:$A,增益!$F:$F,0))&gt;0,($F$10-$I$3+VLOOKUP($Q20,武学奇术!$A:$ZZ,6,FALSE)+SUM(_xlfn.XLOOKUP(R20:AF20,增益!$A:$A,增益!$F:$F,0)))/200,($F$10-$I$3+VLOOKUP($Q20,武学奇术!$A:$ZZ,6,FALSE)+SUM(_xlfn.XLOOKUP(R20:AF20,增益!$A:$A,增益!$F:$F,0)))/100)</f>
        <v>0.2925</v>
      </c>
      <c r="AQ20" s="35" cm="1">
        <f t="array" ref="AQ20">$G$10+VLOOKUP($Q20,武学奇术!$A:$ZZ,7,FALSE)+SUM(_xlfn.XLOOKUP(R20:AF20,增益!$A:$A,增益!$G:$G,0))</f>
        <v>0.028</v>
      </c>
      <c r="AR20" s="30" cm="1">
        <f t="array" ref="AR20">VLOOKUP($Q20,武学奇术!$A:$ZZ,8,FALSE)+SUM(_xlfn.XLOOKUP(R20:AF20,增益!$A:$A,增益!$H:$H,0))</f>
        <v>0</v>
      </c>
      <c r="AS20">
        <f t="shared" si="1"/>
        <v>0</v>
      </c>
      <c r="AT20">
        <f t="shared" si="2"/>
        <v>0</v>
      </c>
      <c r="AU20" s="35" cm="1">
        <f t="array" ref="AU20">IF($F$11-$I$4+VLOOKUP($Q20,武学奇术!$A:$ZZ,9,FALSE)+SUM(_xlfn.XLOOKUP(R20:AF20,增益!$A:$A,增益!$I:$I,0))&gt;0,($F$11-$I$4+VLOOKUP($Q20,武学奇术!$A:$ZZ,9,FALSE)+SUM(_xlfn.XLOOKUP(R20:AF20,增益!$A:$A,增益!$I:$I,0)))/200,($F$11-$I$4+VLOOKUP($Q20,武学奇术!$A:$ZZ,9,FALSE)+SUM(_xlfn.XLOOKUP(R20:AF20,增益!$A:$A,增益!$I:$I,0)))/100)</f>
        <v>-0.3</v>
      </c>
      <c r="AV20" s="35" cm="1">
        <f t="array" ref="AV20">$G$11+VLOOKUP($Q20,武学奇术!$A:$ZZ,10,FALSE)+SUM(_xlfn.XLOOKUP(R20:AF20,增益!$A:$A,增益!$J:$J,0))</f>
        <v>0</v>
      </c>
      <c r="AW20">
        <f t="shared" si="3"/>
        <v>0</v>
      </c>
      <c r="AX20">
        <f t="shared" si="4"/>
        <v>0</v>
      </c>
      <c r="AY20" s="35" cm="1">
        <f t="array" ref="AY20">IF($F$12-$I$4+VLOOKUP($Q20,武学奇术!$A:$ZZ,11,FALSE)+SUM(_xlfn.XLOOKUP(R20:AF20,增益!$A:$A,增益!$K:$K,0))&gt;0,($F$12-$I$4+VLOOKUP($Q20,武学奇术!$A:$ZZ,11,FALSE)+SUM(_xlfn.XLOOKUP(R20:AF20,增益!$A:$A,增益!$K:$K,0)))/200,($F$12-$I$4+VLOOKUP($Q20,武学奇术!$A:$ZZ,11,FALSE)+SUM(_xlfn.XLOOKUP(R20:AF20,增益!$A:$A,增益!$K:$K,0)))/100)</f>
        <v>-0.3</v>
      </c>
      <c r="AZ20" s="35" cm="1">
        <f t="array" ref="AZ20">$G$12+VLOOKUP($Q20,武学奇术!$A:$ZZ,12,FALSE)+SUM(_xlfn.XLOOKUP(R20:AF20,增益!$A:$A,增益!$L:$L,0))</f>
        <v>0</v>
      </c>
      <c r="BA20">
        <f t="shared" si="5"/>
        <v>0</v>
      </c>
      <c r="BB20">
        <f t="shared" si="6"/>
        <v>0</v>
      </c>
      <c r="BC20" s="35" cm="1">
        <f t="array" ref="BC20">IF($F$13-$I$4+VLOOKUP($Q20,武学奇术!$A:$ZZ,13,FALSE)+SUM(_xlfn.XLOOKUP(R20:AF20,增益!$A:$A,增益!$M:$M,0))&gt;0,($F$13-$I$4+VLOOKUP($Q20,武学奇术!$A:$ZZ,13,FALSE)+SUM(_xlfn.XLOOKUP(R20:AF20,增益!$A:$A,增益!$K:$K,0)))/200,($F$13-$I$4+VLOOKUP($Q20,武学奇术!$A:$ZZ,13,FALSE)+SUM(_xlfn.XLOOKUP(R20:AF20,增益!$A:$A,增益!$M:$M,0)))/100)</f>
        <v>-0.3</v>
      </c>
      <c r="BD20" s="35" cm="1">
        <f t="array" ref="BD20">$G$13+VLOOKUP($Q20,武学奇术!$A:$ZZ,14,FALSE)+SUM(_xlfn.XLOOKUP(R20:AF20,增益!$A:$A,增益!$N:$N,0))</f>
        <v>0</v>
      </c>
      <c r="BE20">
        <f t="shared" si="7"/>
        <v>538</v>
      </c>
      <c r="BF20">
        <f t="shared" si="8"/>
        <v>1561.4</v>
      </c>
      <c r="BG20" s="35" cm="1">
        <f t="array" ref="BG20">IF($F$14-$I$4+VLOOKUP($Q20,武学奇术!$A:$ZZ,15,FALSE)+SUM(_xlfn.XLOOKUP(R20:AF20,增益!$A:$A,增益!$O:$O,0))&gt;0,($F$14-$I$4+VLOOKUP($Q20,武学奇术!$A:$ZZ,15,FALSE)+SUM(_xlfn.XLOOKUP(R20:AF20,增益!$A:$A,增益!$O:$O,0)))/200,($F$14-$I$4+VLOOKUP($Q20,武学奇术!$A:$ZZ,15,FALSE)+SUM(_xlfn.XLOOKUP(R20:AF20,增益!$A:$A,增益!$O:$O,0)))/100)</f>
        <v>0</v>
      </c>
      <c r="BH20" s="35" cm="1">
        <f t="array" ref="BH20">$G$14+VLOOKUP($Q20,武学奇术!$A:$ZZ,16,FALSE)+SUM(_xlfn.XLOOKUP(R20:AF20,增益!$A:$A,增益!$P:$P,0))</f>
        <v>0.15</v>
      </c>
      <c r="BI20" s="30">
        <f>MIN(IF(VLOOKUP($Q20,武学奇术!$A:$ZZ,23,FALSE)=1,100%,$B$8),100%)</f>
        <v>0.9712</v>
      </c>
      <c r="BJ20" s="30" cm="1">
        <f t="array" ref="BJ20">IF(VLOOKUP($Q20,武学奇术!$A:$ZZ,23,FALSE)=1,100%,MIN(80%,$B$9+VLOOKUP($Q20,武学奇术!$A:$ZZ,17,FALSE)+SUM(_xlfn.XLOOKUP(R20:AF20,增益!$A:$A,增益!$Q:$Q,0)))+$B$11+SUM(_xlfn.XLOOKUP(R20:AF20,增益!$A:$A,增益!$U:$U,0)))*IF(VLOOKUP($Q20,武学奇术!$A:$ZZ,24,FALSE)=1,0,1)</f>
        <v>0.8773</v>
      </c>
      <c r="BK20" s="30" cm="1">
        <f t="array" ref="BK20">1+$B$13+VLOOKUP($Q20,武学奇术!$A:$ZZ,18,FALSE)+SUM(_xlfn.XLOOKUP(R20:AF20,增益!$A:$A,增益!$R:$R,0))</f>
        <v>1.81</v>
      </c>
      <c r="BL20" s="30" cm="1">
        <f t="array" ref="BL20">IF(VLOOKUP($Q20,武学奇术!$A:$ZZ,24,FALSE)=1,100%,MIN(40%,$B$10+VLOOKUP($Q20,武学奇术!$A:$ZZ,19,FALSE)+SUM(_xlfn.XLOOKUP(R20:AF20,增益!$A:$A,增益!$S:$S,0)))+$B$12+SUM(_xlfn.XLOOKUP(R20:AF20,增益!$A:$A,增益!$V:$V,0)))*IF(VLOOKUP($Q20,武学奇术!$A:$ZZ,23,FALSE)=1,0,1)</f>
        <v>0.0895</v>
      </c>
      <c r="BM20" s="30" cm="1">
        <f t="array" ref="BM20">1+$B$14+VLOOKUP($Q20,武学奇术!$A:$ZZ,20,FALSE)+SUM(_xlfn.XLOOKUP(R20:AF20,增益!$A:$A,增益!$T:$T,0))</f>
        <v>1.35</v>
      </c>
      <c r="BN20" s="30">
        <f t="shared" si="9"/>
        <v>0.85203376</v>
      </c>
      <c r="BO20" s="30">
        <f t="shared" si="10"/>
        <v>0.03224384</v>
      </c>
      <c r="BP20" s="30">
        <f>IF(VLOOKUP($Q20,武学奇术!$A:$ZZ,22,FALSE)=1,0,(1-$BI20))*(1-$BL20)</f>
        <v>0.0262224</v>
      </c>
      <c r="BQ20" s="30" cm="1">
        <f t="array" ref="BQ20">SUM(_xlfn.XLOOKUP(R20:AF20,增益!$A:$A,增益!$W:$W,0))+$I$5</f>
        <v>0.11</v>
      </c>
    </row>
    <row r="21" ht="14.25" spans="1:69">
      <c r="A21" s="87" t="s">
        <v>141</v>
      </c>
      <c r="B21" s="88">
        <f>期望!B21</f>
        <v>0.32</v>
      </c>
      <c r="C21" s="42" t="s">
        <v>142</v>
      </c>
      <c r="D21" s="42"/>
      <c r="F21" s="42"/>
      <c r="K21" s="41">
        <f t="shared" si="0"/>
        <v>10672.1494563666</v>
      </c>
      <c r="L21" s="41">
        <f>((($AN21+$AO21)/2*$AH21+$AI21)*(1+$AP21)*(1+$AQ21)+(($AS21+$AT21)/2*IF($G$1="鸣金",$AJ21,$AH21)+IF($G$1="鸣金",$AK21*1.5,0))*(1+$AU21)*(1+$AV21)+(($AW21+$AX21)/2*IF($G$1="裂石",$AJ21,$AH21)+IF($G$1="裂石",$AK21*1.5,0))*(1+$AY21)*(1+$AZ21)+(($BA21+$BB21)/2*IF($G$1="牵丝",$AJ21,$AH21)+IF($G$1="牵丝",$AK21*1.5,0))*(1+$BC21)*(1+$BD21)+(($BE21+$BF21)/2*IF($G$1="破竹",$AJ21,$AH21)+IF($G$1="破竹",$AK21*1.5,0))*(1+$BG21)*(1+$BH21))*(1+$AL21)*$BK21*$P21*(1+IF(VLOOKUP($Q21,武学奇术!$A:$ZZ,30,FALSE)="回旋伞",$B$21,0))*(1+$BQ21)</f>
        <v>11137.0789759151</v>
      </c>
      <c r="M21" s="41">
        <f>(($AO21*$AH21+$AI21)*(1+$AP21)*(1+$AQ21)+($AT21*IF($G$1="鸣金",$AJ21,$AH21)+IF($G$1="鸣金",$AK21*1.5,0))*(1+$AU21)*(1+$AV21)+($AX21*IF($G$1="裂石",$AJ21,$AH21)+IF($G$1="裂石",$AK21*1.5,0))*(1+$AY21)*(1+$AZ21)+($BB21*IF($G$1="牵丝",$AJ21,$AH21)+IF($G$1="牵丝",$AK21*1.5,0))*(1+$BC21)*(1+$BD21)+($BF21*IF($G$1="破竹",$AJ21,$AH21)+IF($G$1="破竹",$AK21*1.5,0))*(1+$BG21)*(1+$BH21))*(1+$AL21)*$BM21*$P21*(1+IF(VLOOKUP($Q21,武学奇术!$A:$ZZ,30,FALSE)="回旋伞",$B$21,0))*(1+$BQ21)</f>
        <v>9445.25955678501</v>
      </c>
      <c r="N21" s="41">
        <f>((($AN21+$AO21)/2*$AH21+$AI21)*(1+$AP21)*(1+$AQ21)+(($AS21+$AT21)/2*IF($G$1="鸣金",$AJ21,$AH21)+IF($G$1="鸣金",$AK21*1.5,0))*(1+$AU21)*(1+$AV21)+(($AW21+$AX21)/2*IF($G$1="裂石",$AJ21,$AH21)+IF($G$1="裂石",$AK21*1.5,0))*(1+$AY21)*(1+$AZ21)+(($BA21+$BB21)/2*IF($G$1="牵丝",$AJ21,$AH21)+IF($G$1="牵丝",$AK21*1.5,0))*(1+$BC21)*(1+$BD21)+(($BE21+$BF21)/2*IF($G$1="破竹",$AJ21,$AH21)+IF($G$1="破竹",$AK21*1.5,0))*(1+$BG21)*(1+$BH21))*(1+$AL21)*$P21*(1+IF(VLOOKUP($Q21,武学奇术!$A:$ZZ,30,FALSE)="回旋伞",$B$21,0))*(1+$BQ21)</f>
        <v>6153.08230713544</v>
      </c>
      <c r="O21" s="41">
        <f>((($AN21*$AH21+$AI21)*(1+$AP21)*(1+$AQ21)+($AS21*IF($G$1="鸣金",$AJ21,$AH21)+IF($G$1="鸣金",$AK21*1.5,0))*(1+$AU21)*(1+$AV21)+($AW21*IF($G$1="裂石",$AJ21,$AH21)+IF($G$1="裂石",$AK21*1.5,0))*(1+$AY21)*(1+$AZ21)+($BA21*IF($G$1="牵丝",$AJ21,$AH21)+IF($G$1="牵丝",$AK21*1.5,0))*(1+$BC21)*(1+$BD21)+($BE21*IF($G$1="破竹",$AJ21,$AH21)+IF($G$1="破竹",$AK21*1.5,0))*(1+$BG21)*(1+$BH21))*(1+$AL21))*$P21*(1+IF(VLOOKUP($Q21,武学奇术!$A:$ZZ,30,FALSE)="回旋伞",$B$21,0))*(1+$BQ21)</f>
        <v>5309.67605368939</v>
      </c>
      <c r="P21" s="42">
        <v>1</v>
      </c>
      <c r="Q21" s="43" t="s">
        <v>143</v>
      </c>
      <c r="R21" s="43" t="s">
        <v>71</v>
      </c>
      <c r="S21" s="43" t="s">
        <v>91</v>
      </c>
      <c r="T21" s="43" t="s">
        <v>72</v>
      </c>
      <c r="U21" s="43" t="s">
        <v>73</v>
      </c>
      <c r="V21" s="43" t="s">
        <v>92</v>
      </c>
      <c r="W21" s="43" t="s">
        <v>95</v>
      </c>
      <c r="X21" s="43" t="s">
        <v>71</v>
      </c>
      <c r="Y21" s="43" t="s">
        <v>71</v>
      </c>
      <c r="Z21" s="43" t="s">
        <v>71</v>
      </c>
      <c r="AA21" s="43" t="s">
        <v>71</v>
      </c>
      <c r="AB21" s="43" t="s">
        <v>71</v>
      </c>
      <c r="AC21" s="43" t="s">
        <v>71</v>
      </c>
      <c r="AD21" s="43" t="s">
        <v>71</v>
      </c>
      <c r="AE21" s="43" t="s">
        <v>71</v>
      </c>
      <c r="AF21" s="43" t="s">
        <v>76</v>
      </c>
      <c r="AG21" t="str">
        <f>VLOOKUP($Q21,武学奇术!$A:$ZZ,25,FALSE)</f>
        <v>伞</v>
      </c>
      <c r="AH21" s="30">
        <f>VLOOKUP($Q21,武学奇术!$A:$ZZ,26,FALSE)</f>
        <v>0.54</v>
      </c>
      <c r="AI21" s="31">
        <f>VLOOKUP($Q21,武学奇术!$A:$ZZ,27,FALSE)*(1+IF(OR($AG21=$F$4,$AG21=$F$5),$B$22,0))</f>
        <v>0</v>
      </c>
      <c r="AJ21" s="30">
        <f>VLOOKUP($Q21,武学奇术!$A:$ZZ,28,FALSE)</f>
        <v>0.81</v>
      </c>
      <c r="AK21" s="31">
        <f>VLOOKUP($Q21,武学奇术!$A:$ZZ,29,FALSE)*(1+IF(OR($AG21=$F$4,$AG21=$F$5),$B$22,0))</f>
        <v>0</v>
      </c>
      <c r="AL21" s="30" cm="1">
        <f t="array" ref="AL21">$G$3+IFERROR(VLOOKUP($AG21,$F$4:$G$7,2,FALSE),0)+VLOOKUP($Q21,武学奇术!$A:$ZZ,2,FALSE)+SUM(_xlfn.XLOOKUP($R21:$AF21,增益!$A:$A,增益!$B:$B,0))</f>
        <v>0.5941</v>
      </c>
      <c r="AM21" s="30" cm="1">
        <f t="array" ref="AM21">VLOOKUP($Q21,武学奇术!$A:$ZZ,5,FALSE)+SUM(_xlfn.XLOOKUP($R21:$AF21,增益!$A:$A,增益!$E:$E,0))</f>
        <v>0</v>
      </c>
      <c r="AN21" cm="1">
        <f t="array" ref="AN21">$D$10*(1+$AM21)+VLOOKUP($Q21,武学奇术!$A:$ZZ,3,FALSE)+SUM(_xlfn.XLOOKUP($R21:$AF21,增益!$A:$A,增益!$C:$C,0))-$I$2</f>
        <v>3483.8</v>
      </c>
      <c r="AO21" cm="1">
        <f t="array" ref="AO21">$E$10*(1+$AM21)+VLOOKUP($Q21,武学奇术!$A:$ZZ,4,FALSE)+SUM(_xlfn.XLOOKUP($R21:$AF21,增益!$A:$A,增益!$D:$D,0))-$I$2</f>
        <v>3483.8</v>
      </c>
      <c r="AP21" s="35" cm="1">
        <f t="array" ref="AP21">IF($F$10-$I$3+VLOOKUP($Q21,武学奇术!$A:$ZZ,6,FALSE)+SUM(_xlfn.XLOOKUP(R21:AF21,增益!$A:$A,增益!$F:$F,0))&gt;0,($F$10-$I$3+VLOOKUP($Q21,武学奇术!$A:$ZZ,6,FALSE)+SUM(_xlfn.XLOOKUP(R21:AF21,增益!$A:$A,增益!$F:$F,0)))/200,($F$10-$I$3+VLOOKUP($Q21,武学奇术!$A:$ZZ,6,FALSE)+SUM(_xlfn.XLOOKUP(R21:AF21,增益!$A:$A,增益!$F:$F,0)))/100)</f>
        <v>0.2925</v>
      </c>
      <c r="AQ21" s="35" cm="1">
        <f t="array" ref="AQ21">$G$10+VLOOKUP($Q21,武学奇术!$A:$ZZ,7,FALSE)+SUM(_xlfn.XLOOKUP(R21:AF21,增益!$A:$A,增益!$G:$G,0))</f>
        <v>0.028</v>
      </c>
      <c r="AR21" s="30" cm="1">
        <f t="array" ref="AR21">VLOOKUP($Q21,武学奇术!$A:$ZZ,8,FALSE)+SUM(_xlfn.XLOOKUP(R21:AF21,增益!$A:$A,增益!$H:$H,0))</f>
        <v>0</v>
      </c>
      <c r="AS21">
        <f t="shared" si="1"/>
        <v>0</v>
      </c>
      <c r="AT21">
        <f t="shared" si="2"/>
        <v>0</v>
      </c>
      <c r="AU21" s="35" cm="1">
        <f t="array" ref="AU21">IF($F$11-$I$4+VLOOKUP($Q21,武学奇术!$A:$ZZ,9,FALSE)+SUM(_xlfn.XLOOKUP(R21:AF21,增益!$A:$A,增益!$I:$I,0))&gt;0,($F$11-$I$4+VLOOKUP($Q21,武学奇术!$A:$ZZ,9,FALSE)+SUM(_xlfn.XLOOKUP(R21:AF21,增益!$A:$A,增益!$I:$I,0)))/200,($F$11-$I$4+VLOOKUP($Q21,武学奇术!$A:$ZZ,9,FALSE)+SUM(_xlfn.XLOOKUP(R21:AF21,增益!$A:$A,增益!$I:$I,0)))/100)</f>
        <v>-0.3</v>
      </c>
      <c r="AV21" s="35" cm="1">
        <f t="array" ref="AV21">$G$11+VLOOKUP($Q21,武学奇术!$A:$ZZ,10,FALSE)+SUM(_xlfn.XLOOKUP(R21:AF21,增益!$A:$A,增益!$J:$J,0))</f>
        <v>0</v>
      </c>
      <c r="AW21">
        <f t="shared" si="3"/>
        <v>0</v>
      </c>
      <c r="AX21">
        <f t="shared" si="4"/>
        <v>0</v>
      </c>
      <c r="AY21" s="35" cm="1">
        <f t="array" ref="AY21">IF($F$12-$I$4+VLOOKUP($Q21,武学奇术!$A:$ZZ,11,FALSE)+SUM(_xlfn.XLOOKUP(R21:AF21,增益!$A:$A,增益!$K:$K,0))&gt;0,($F$12-$I$4+VLOOKUP($Q21,武学奇术!$A:$ZZ,11,FALSE)+SUM(_xlfn.XLOOKUP(R21:AF21,增益!$A:$A,增益!$K:$K,0)))/200,($F$12-$I$4+VLOOKUP($Q21,武学奇术!$A:$ZZ,11,FALSE)+SUM(_xlfn.XLOOKUP(R21:AF21,增益!$A:$A,增益!$K:$K,0)))/100)</f>
        <v>-0.3</v>
      </c>
      <c r="AZ21" s="35" cm="1">
        <f t="array" ref="AZ21">$G$12+VLOOKUP($Q21,武学奇术!$A:$ZZ,12,FALSE)+SUM(_xlfn.XLOOKUP(R21:AF21,增益!$A:$A,增益!$L:$L,0))</f>
        <v>0</v>
      </c>
      <c r="BA21">
        <f t="shared" si="5"/>
        <v>0</v>
      </c>
      <c r="BB21">
        <f t="shared" si="6"/>
        <v>0</v>
      </c>
      <c r="BC21" s="35" cm="1">
        <f t="array" ref="BC21">IF($F$13-$I$4+VLOOKUP($Q21,武学奇术!$A:$ZZ,13,FALSE)+SUM(_xlfn.XLOOKUP(R21:AF21,增益!$A:$A,增益!$M:$M,0))&gt;0,($F$13-$I$4+VLOOKUP($Q21,武学奇术!$A:$ZZ,13,FALSE)+SUM(_xlfn.XLOOKUP(R21:AF21,增益!$A:$A,增益!$K:$K,0)))/200,($F$13-$I$4+VLOOKUP($Q21,武学奇术!$A:$ZZ,13,FALSE)+SUM(_xlfn.XLOOKUP(R21:AF21,增益!$A:$A,增益!$M:$M,0)))/100)</f>
        <v>-0.3</v>
      </c>
      <c r="BD21" s="35" cm="1">
        <f t="array" ref="BD21">$G$13+VLOOKUP($Q21,武学奇术!$A:$ZZ,14,FALSE)+SUM(_xlfn.XLOOKUP(R21:AF21,增益!$A:$A,增益!$N:$N,0))</f>
        <v>0</v>
      </c>
      <c r="BE21">
        <f t="shared" si="7"/>
        <v>538</v>
      </c>
      <c r="BF21">
        <f t="shared" si="8"/>
        <v>1561.4</v>
      </c>
      <c r="BG21" s="35" cm="1">
        <f t="array" ref="BG21">IF($F$14-$I$4+VLOOKUP($Q21,武学奇术!$A:$ZZ,15,FALSE)+SUM(_xlfn.XLOOKUP(R21:AF21,增益!$A:$A,增益!$O:$O,0))&gt;0,($F$14-$I$4+VLOOKUP($Q21,武学奇术!$A:$ZZ,15,FALSE)+SUM(_xlfn.XLOOKUP(R21:AF21,增益!$A:$A,增益!$O:$O,0)))/200,($F$14-$I$4+VLOOKUP($Q21,武学奇术!$A:$ZZ,15,FALSE)+SUM(_xlfn.XLOOKUP(R21:AF21,增益!$A:$A,增益!$O:$O,0)))/100)</f>
        <v>0</v>
      </c>
      <c r="BH21" s="35" cm="1">
        <f t="array" ref="BH21">$G$14+VLOOKUP($Q21,武学奇术!$A:$ZZ,16,FALSE)+SUM(_xlfn.XLOOKUP(R21:AF21,增益!$A:$A,增益!$P:$P,0))</f>
        <v>0.15</v>
      </c>
      <c r="BI21" s="30">
        <f>MIN(IF(VLOOKUP($Q21,武学奇术!$A:$ZZ,23,FALSE)=1,100%,$B$8),100%)</f>
        <v>0.9712</v>
      </c>
      <c r="BJ21" s="30" cm="1">
        <f t="array" ref="BJ21">IF(VLOOKUP($Q21,武学奇术!$A:$ZZ,23,FALSE)=1,100%,MIN(80%,$B$9+VLOOKUP($Q21,武学奇术!$A:$ZZ,17,FALSE)+SUM(_xlfn.XLOOKUP(R21:AF21,增益!$A:$A,增益!$Q:$Q,0)))+$B$11+SUM(_xlfn.XLOOKUP(R21:AF21,增益!$A:$A,增益!$U:$U,0)))*IF(VLOOKUP($Q21,武学奇术!$A:$ZZ,24,FALSE)=1,0,1)</f>
        <v>0.8773</v>
      </c>
      <c r="BK21" s="30" cm="1">
        <f t="array" ref="BK21">1+$B$13+VLOOKUP($Q21,武学奇术!$A:$ZZ,18,FALSE)+SUM(_xlfn.XLOOKUP(R21:AF21,增益!$A:$A,增益!$R:$R,0))</f>
        <v>1.81</v>
      </c>
      <c r="BL21" s="30" cm="1">
        <f t="array" ref="BL21">IF(VLOOKUP($Q21,武学奇术!$A:$ZZ,24,FALSE)=1,100%,MIN(40%,$B$10+VLOOKUP($Q21,武学奇术!$A:$ZZ,19,FALSE)+SUM(_xlfn.XLOOKUP(R21:AF21,增益!$A:$A,增益!$S:$S,0)))+$B$12+SUM(_xlfn.XLOOKUP(R21:AF21,增益!$A:$A,增益!$V:$V,0)))*IF(VLOOKUP($Q21,武学奇术!$A:$ZZ,23,FALSE)=1,0,1)</f>
        <v>0.0895</v>
      </c>
      <c r="BM21" s="30" cm="1">
        <f t="array" ref="BM21">1+$B$14+VLOOKUP($Q21,武学奇术!$A:$ZZ,20,FALSE)+SUM(_xlfn.XLOOKUP(R21:AF21,增益!$A:$A,增益!$T:$T,0))</f>
        <v>1.35</v>
      </c>
      <c r="BN21" s="30">
        <f t="shared" si="9"/>
        <v>0.85203376</v>
      </c>
      <c r="BO21" s="30">
        <f t="shared" si="10"/>
        <v>0.03224384</v>
      </c>
      <c r="BP21" s="30">
        <f>IF(VLOOKUP($Q21,武学奇术!$A:$ZZ,22,FALSE)=1,0,(1-$BI21))*(1-$BL21)</f>
        <v>0.0262224</v>
      </c>
      <c r="BQ21" s="30" cm="1">
        <f t="array" ref="BQ21">SUM(_xlfn.XLOOKUP(R21:AF21,增益!$A:$A,增益!$W:$W,0))+$I$5</f>
        <v>0.11</v>
      </c>
    </row>
    <row r="22" spans="1:69">
      <c r="A22" t="s">
        <v>144</v>
      </c>
      <c r="B22" s="32">
        <v>0.4</v>
      </c>
      <c r="C22" s="43" t="str">
        <f>期望!C22</f>
        <v>断石之构</v>
      </c>
      <c r="D22" s="43"/>
      <c r="K22" s="41">
        <f t="shared" si="0"/>
        <v>162440.885995276</v>
      </c>
      <c r="L22" s="41">
        <f>((($AN22+$AO22)/2*$AH22+$AI22)*(1+$AP22)*(1+$AQ22)+(($AS22+$AT22)/2*IF($G$1="鸣金",$AJ22,$AH22)+IF($G$1="鸣金",$AK22*1.5,0))*(1+$AU22)*(1+$AV22)+(($AW22+$AX22)/2*IF($G$1="裂石",$AJ22,$AH22)+IF($G$1="裂石",$AK22*1.5,0))*(1+$AY22)*(1+$AZ22)+(($BA22+$BB22)/2*IF($G$1="牵丝",$AJ22,$AH22)+IF($G$1="牵丝",$AK22*1.5,0))*(1+$BC22)*(1+$BD22)+(($BE22+$BF22)/2*IF($G$1="破竹",$AJ22,$AH22)+IF($G$1="破竹",$AK22*1.5,0))*(1+$BG22)*(1+$BH22))*(1+$AL22)*$BK22*$P22*(1+IF(VLOOKUP($Q22,武学奇术!$A:$ZZ,30,FALSE)="回旋伞",$B$21,0))*(1+$BQ22)</f>
        <v>169564.367282782</v>
      </c>
      <c r="M22" s="41">
        <f>(($AO22*$AH22+$AI22)*(1+$AP22)*(1+$AQ22)+($AT22*IF($G$1="鸣金",$AJ22,$AH22)+IF($G$1="鸣金",$AK22*1.5,0))*(1+$AU22)*(1+$AV22)+($AX22*IF($G$1="裂石",$AJ22,$AH22)+IF($G$1="裂石",$AK22*1.5,0))*(1+$AY22)*(1+$AZ22)+($BB22*IF($G$1="牵丝",$AJ22,$AH22)+IF($G$1="牵丝",$AK22*1.5,0))*(1+$BC22)*(1+$BD22)+($BF22*IF($G$1="破竹",$AJ22,$AH22)+IF($G$1="破竹",$AK22*1.5,0))*(1+$BG22)*(1+$BH22))*(1+$AL22)*$BM22*$P22*(1+IF(VLOOKUP($Q22,武学奇术!$A:$ZZ,30,FALSE)="回旋伞",$B$21,0))*(1+$BQ22)</f>
        <v>143166.303319657</v>
      </c>
      <c r="N22" s="41">
        <f>((($AN22+$AO22)/2*$AH22+$AI22)*(1+$AP22)*(1+$AQ22)+(($AS22+$AT22)/2*IF($G$1="鸣金",$AJ22,$AH22)+IF($G$1="鸣金",$AK22*1.5,0))*(1+$AU22)*(1+$AV22)+(($AW22+$AX22)/2*IF($G$1="裂石",$AJ22,$AH22)+IF($G$1="裂石",$AK22*1.5,0))*(1+$AY22)*(1+$AZ22)+(($BA22+$BB22)/2*IF($G$1="牵丝",$AJ22,$AH22)+IF($G$1="牵丝",$AK22*1.5,0))*(1+$BC22)*(1+$BD22)+(($BE22+$BF22)/2*IF($G$1="破竹",$AJ22,$AH22)+IF($G$1="破竹",$AK22*1.5,0))*(1+$BG22)*(1+$BH22))*(1+$AL22)*$P22*(1+IF(VLOOKUP($Q22,武学奇术!$A:$ZZ,30,FALSE)="回旋伞",$B$21,0))*(1+$BQ22)</f>
        <v>93681.9708744652</v>
      </c>
      <c r="O22" s="41">
        <f>((($AN22*$AH22+$AI22)*(1+$AP22)*(1+$AQ22)+($AS22*IF($G$1="鸣金",$AJ22,$AH22)+IF($G$1="鸣金",$AK22*1.5,0))*(1+$AU22)*(1+$AV22)+($AW22*IF($G$1="裂石",$AJ22,$AH22)+IF($G$1="裂石",$AK22*1.5,0))*(1+$AY22)*(1+$AZ22)+($BA22*IF($G$1="牵丝",$AJ22,$AH22)+IF($G$1="牵丝",$AK22*1.5,0))*(1+$BC22)*(1+$BD22)+($BE22*IF($G$1="破竹",$AJ22,$AH22)+IF($G$1="破竹",$AK22*1.5,0))*(1+$BG22)*(1+$BH22))*(1+$AL22))*$P22*(1+IF(VLOOKUP($Q22,武学奇术!$A:$ZZ,30,FALSE)="回旋伞",$B$21,0))*(1+$BQ22)</f>
        <v>81314.8281788141</v>
      </c>
      <c r="P22" s="42">
        <v>1</v>
      </c>
      <c r="Q22" s="43" t="s">
        <v>146</v>
      </c>
      <c r="R22" s="43" t="s">
        <v>71</v>
      </c>
      <c r="S22" s="43" t="s">
        <v>91</v>
      </c>
      <c r="T22" s="43" t="s">
        <v>72</v>
      </c>
      <c r="U22" s="43" t="s">
        <v>73</v>
      </c>
      <c r="V22" s="43" t="s">
        <v>92</v>
      </c>
      <c r="W22" s="43" t="s">
        <v>95</v>
      </c>
      <c r="X22" s="43" t="s">
        <v>71</v>
      </c>
      <c r="Y22" s="43" t="s">
        <v>71</v>
      </c>
      <c r="Z22" s="43" t="s">
        <v>71</v>
      </c>
      <c r="AA22" s="43" t="s">
        <v>71</v>
      </c>
      <c r="AB22" s="43" t="s">
        <v>71</v>
      </c>
      <c r="AC22" s="43" t="s">
        <v>71</v>
      </c>
      <c r="AD22" s="43" t="s">
        <v>71</v>
      </c>
      <c r="AE22" s="43" t="s">
        <v>71</v>
      </c>
      <c r="AF22" s="43" t="s">
        <v>76</v>
      </c>
      <c r="AG22" t="str">
        <f>VLOOKUP($Q22,武学奇术!$A:$ZZ,25,FALSE)</f>
        <v>群体奇术</v>
      </c>
      <c r="AH22" s="30">
        <f>VLOOKUP($Q22,武学奇术!$A:$ZZ,26,FALSE)</f>
        <v>10.314945</v>
      </c>
      <c r="AI22" s="31">
        <f>VLOOKUP($Q22,武学奇术!$A:$ZZ,27,FALSE)*(1+IF(OR($AG22=$F$4,$AG22=$F$5),$B$22,0))</f>
        <v>1915.65</v>
      </c>
      <c r="AJ22" s="30">
        <f>VLOOKUP($Q22,武学奇术!$A:$ZZ,28,FALSE)</f>
        <v>15.4724175</v>
      </c>
      <c r="AK22" s="31">
        <f>VLOOKUP($Q22,武学奇术!$A:$ZZ,29,FALSE)*(1+IF(OR($AG22=$F$4,$AG22=$F$5),$B$22,0))</f>
        <v>0</v>
      </c>
      <c r="AL22" s="30" cm="1">
        <f t="array" ref="AL22">$G$3+IFERROR(VLOOKUP($AG22,$F$4:$G$7,2,FALSE),0)+VLOOKUP($Q22,武学奇术!$A:$ZZ,2,FALSE)+SUM(_xlfn.XLOOKUP($R22:$AF22,增益!$A:$A,增益!$B:$B,0))</f>
        <v>0.2237</v>
      </c>
      <c r="AM22" s="30" cm="1">
        <f t="array" ref="AM22">VLOOKUP($Q22,武学奇术!$A:$ZZ,5,FALSE)+SUM(_xlfn.XLOOKUP($R22:$AF22,增益!$A:$A,增益!$E:$E,0))</f>
        <v>0</v>
      </c>
      <c r="AN22" cm="1">
        <f t="array" ref="AN22">$D$10*(1+$AM22)+VLOOKUP($Q22,武学奇术!$A:$ZZ,3,FALSE)+SUM(_xlfn.XLOOKUP($R22:$AF22,增益!$A:$A,增益!$C:$C,0))-$I$2</f>
        <v>3483.8</v>
      </c>
      <c r="AO22" cm="1">
        <f t="array" ref="AO22">$E$10*(1+$AM22)+VLOOKUP($Q22,武学奇术!$A:$ZZ,4,FALSE)+SUM(_xlfn.XLOOKUP($R22:$AF22,增益!$A:$A,增益!$D:$D,0))-$I$2</f>
        <v>3483.8</v>
      </c>
      <c r="AP22" s="35" cm="1">
        <f t="array" ref="AP22">IF($F$10-$I$3+VLOOKUP($Q22,武学奇术!$A:$ZZ,6,FALSE)+SUM(_xlfn.XLOOKUP(R22:AF22,增益!$A:$A,增益!$F:$F,0))&gt;0,($F$10-$I$3+VLOOKUP($Q22,武学奇术!$A:$ZZ,6,FALSE)+SUM(_xlfn.XLOOKUP(R22:AF22,增益!$A:$A,增益!$F:$F,0)))/200,($F$10-$I$3+VLOOKUP($Q22,武学奇术!$A:$ZZ,6,FALSE)+SUM(_xlfn.XLOOKUP(R22:AF22,增益!$A:$A,增益!$F:$F,0)))/100)</f>
        <v>0.2925</v>
      </c>
      <c r="AQ22" s="35" cm="1">
        <f t="array" ref="AQ22">$G$10+VLOOKUP($Q22,武学奇术!$A:$ZZ,7,FALSE)+SUM(_xlfn.XLOOKUP(R22:AF22,增益!$A:$A,增益!$G:$G,0))</f>
        <v>0.028</v>
      </c>
      <c r="AR22" s="30" cm="1">
        <f t="array" ref="AR22">VLOOKUP($Q22,武学奇术!$A:$ZZ,8,FALSE)+SUM(_xlfn.XLOOKUP(R22:AF22,增益!$A:$A,增益!$H:$H,0))</f>
        <v>0</v>
      </c>
      <c r="AS22">
        <f t="shared" si="1"/>
        <v>0</v>
      </c>
      <c r="AT22">
        <f t="shared" si="2"/>
        <v>0</v>
      </c>
      <c r="AU22" s="35" cm="1">
        <f t="array" ref="AU22">IF($F$11-$I$4+VLOOKUP($Q22,武学奇术!$A:$ZZ,9,FALSE)+SUM(_xlfn.XLOOKUP(R22:AF22,增益!$A:$A,增益!$I:$I,0))&gt;0,($F$11-$I$4+VLOOKUP($Q22,武学奇术!$A:$ZZ,9,FALSE)+SUM(_xlfn.XLOOKUP(R22:AF22,增益!$A:$A,增益!$I:$I,0)))/200,($F$11-$I$4+VLOOKUP($Q22,武学奇术!$A:$ZZ,9,FALSE)+SUM(_xlfn.XLOOKUP(R22:AF22,增益!$A:$A,增益!$I:$I,0)))/100)</f>
        <v>-0.3</v>
      </c>
      <c r="AV22" s="35" cm="1">
        <f t="array" ref="AV22">$G$11+VLOOKUP($Q22,武学奇术!$A:$ZZ,10,FALSE)+SUM(_xlfn.XLOOKUP(R22:AF22,增益!$A:$A,增益!$J:$J,0))</f>
        <v>0</v>
      </c>
      <c r="AW22">
        <f t="shared" si="3"/>
        <v>0</v>
      </c>
      <c r="AX22">
        <f t="shared" si="4"/>
        <v>0</v>
      </c>
      <c r="AY22" s="35" cm="1">
        <f t="array" ref="AY22">IF($F$12-$I$4+VLOOKUP($Q22,武学奇术!$A:$ZZ,11,FALSE)+SUM(_xlfn.XLOOKUP(R22:AF22,增益!$A:$A,增益!$K:$K,0))&gt;0,($F$12-$I$4+VLOOKUP($Q22,武学奇术!$A:$ZZ,11,FALSE)+SUM(_xlfn.XLOOKUP(R22:AF22,增益!$A:$A,增益!$K:$K,0)))/200,($F$12-$I$4+VLOOKUP($Q22,武学奇术!$A:$ZZ,11,FALSE)+SUM(_xlfn.XLOOKUP(R22:AF22,增益!$A:$A,增益!$K:$K,0)))/100)</f>
        <v>-0.3</v>
      </c>
      <c r="AZ22" s="35" cm="1">
        <f t="array" ref="AZ22">$G$12+VLOOKUP($Q22,武学奇术!$A:$ZZ,12,FALSE)+SUM(_xlfn.XLOOKUP(R22:AF22,增益!$A:$A,增益!$L:$L,0))</f>
        <v>0</v>
      </c>
      <c r="BA22">
        <f t="shared" si="5"/>
        <v>0</v>
      </c>
      <c r="BB22">
        <f t="shared" si="6"/>
        <v>0</v>
      </c>
      <c r="BC22" s="35" cm="1">
        <f t="array" ref="BC22">IF($F$13-$I$4+VLOOKUP($Q22,武学奇术!$A:$ZZ,13,FALSE)+SUM(_xlfn.XLOOKUP(R22:AF22,增益!$A:$A,增益!$M:$M,0))&gt;0,($F$13-$I$4+VLOOKUP($Q22,武学奇术!$A:$ZZ,13,FALSE)+SUM(_xlfn.XLOOKUP(R22:AF22,增益!$A:$A,增益!$K:$K,0)))/200,($F$13-$I$4+VLOOKUP($Q22,武学奇术!$A:$ZZ,13,FALSE)+SUM(_xlfn.XLOOKUP(R22:AF22,增益!$A:$A,增益!$M:$M,0)))/100)</f>
        <v>-0.3</v>
      </c>
      <c r="BD22" s="35" cm="1">
        <f t="array" ref="BD22">$G$13+VLOOKUP($Q22,武学奇术!$A:$ZZ,14,FALSE)+SUM(_xlfn.XLOOKUP(R22:AF22,增益!$A:$A,增益!$N:$N,0))</f>
        <v>0</v>
      </c>
      <c r="BE22">
        <f t="shared" si="7"/>
        <v>538</v>
      </c>
      <c r="BF22">
        <f t="shared" si="8"/>
        <v>1561.4</v>
      </c>
      <c r="BG22" s="35" cm="1">
        <f t="array" ref="BG22">IF($F$14-$I$4+VLOOKUP($Q22,武学奇术!$A:$ZZ,15,FALSE)+SUM(_xlfn.XLOOKUP(R22:AF22,增益!$A:$A,增益!$O:$O,0))&gt;0,($F$14-$I$4+VLOOKUP($Q22,武学奇术!$A:$ZZ,15,FALSE)+SUM(_xlfn.XLOOKUP(R22:AF22,增益!$A:$A,增益!$O:$O,0)))/200,($F$14-$I$4+VLOOKUP($Q22,武学奇术!$A:$ZZ,15,FALSE)+SUM(_xlfn.XLOOKUP(R22:AF22,增益!$A:$A,增益!$O:$O,0)))/100)</f>
        <v>0</v>
      </c>
      <c r="BH22" s="35" cm="1">
        <f t="array" ref="BH22">$G$14+VLOOKUP($Q22,武学奇术!$A:$ZZ,16,FALSE)+SUM(_xlfn.XLOOKUP(R22:AF22,增益!$A:$A,增益!$P:$P,0))</f>
        <v>0.15</v>
      </c>
      <c r="BI22" s="30">
        <f>MIN(IF(VLOOKUP($Q22,武学奇术!$A:$ZZ,23,FALSE)=1,100%,$B$8),100%)</f>
        <v>0.9712</v>
      </c>
      <c r="BJ22" s="30" cm="1">
        <f t="array" ref="BJ22">IF(VLOOKUP($Q22,武学奇术!$A:$ZZ,23,FALSE)=1,100%,MIN(80%,$B$9+VLOOKUP($Q22,武学奇术!$A:$ZZ,17,FALSE)+SUM(_xlfn.XLOOKUP(R22:AF22,增益!$A:$A,增益!$Q:$Q,0)))+$B$11+SUM(_xlfn.XLOOKUP(R22:AF22,增益!$A:$A,增益!$U:$U,0)))*IF(VLOOKUP($Q22,武学奇术!$A:$ZZ,24,FALSE)=1,0,1)</f>
        <v>0.8773</v>
      </c>
      <c r="BK22" s="30" cm="1">
        <f t="array" ref="BK22">1+$B$13+VLOOKUP($Q22,武学奇术!$A:$ZZ,18,FALSE)+SUM(_xlfn.XLOOKUP(R22:AF22,增益!$A:$A,增益!$R:$R,0))</f>
        <v>1.81</v>
      </c>
      <c r="BL22" s="30" cm="1">
        <f t="array" ref="BL22">IF(VLOOKUP($Q22,武学奇术!$A:$ZZ,24,FALSE)=1,100%,MIN(40%,$B$10+VLOOKUP($Q22,武学奇术!$A:$ZZ,19,FALSE)+SUM(_xlfn.XLOOKUP(R22:AF22,增益!$A:$A,增益!$S:$S,0)))+$B$12+SUM(_xlfn.XLOOKUP(R22:AF22,增益!$A:$A,增益!$V:$V,0)))*IF(VLOOKUP($Q22,武学奇术!$A:$ZZ,23,FALSE)=1,0,1)</f>
        <v>0.0895</v>
      </c>
      <c r="BM22" s="30" cm="1">
        <f t="array" ref="BM22">1+$B$14+VLOOKUP($Q22,武学奇术!$A:$ZZ,20,FALSE)+SUM(_xlfn.XLOOKUP(R22:AF22,增益!$A:$A,增益!$T:$T,0))</f>
        <v>1.35</v>
      </c>
      <c r="BN22" s="30">
        <f t="shared" si="9"/>
        <v>0.85203376</v>
      </c>
      <c r="BO22" s="30">
        <f t="shared" si="10"/>
        <v>0.03224384</v>
      </c>
      <c r="BP22" s="30">
        <f>IF(VLOOKUP($Q22,武学奇术!$A:$ZZ,22,FALSE)=1,0,(1-$BI22))*(1-$BL22)</f>
        <v>0.0262224</v>
      </c>
      <c r="BQ22" s="30" cm="1">
        <f t="array" ref="BQ22">SUM(_xlfn.XLOOKUP(R22:AF22,增益!$A:$A,增益!$W:$W,0))+$I$5</f>
        <v>0.11</v>
      </c>
    </row>
    <row r="23" spans="1:69">
      <c r="A23" s="42" t="s">
        <v>147</v>
      </c>
      <c r="B23">
        <v>200</v>
      </c>
      <c r="C23" s="42" t="s">
        <v>148</v>
      </c>
      <c r="D23" s="42"/>
      <c r="K23" s="41">
        <f t="shared" si="0"/>
        <v>0</v>
      </c>
      <c r="L23" s="41">
        <f>((($AN23+$AO23)/2*$AH23+$AI23)*(1+$AP23)*(1+$AQ23)+(($AS23+$AT23)/2*IF($G$1="鸣金",$AJ23,$AH23)+IF($G$1="鸣金",$AK23*1.5,0))*(1+$AU23)*(1+$AV23)+(($AW23+$AX23)/2*IF($G$1="裂石",$AJ23,$AH23)+IF($G$1="裂石",$AK23*1.5,0))*(1+$AY23)*(1+$AZ23)+(($BA23+$BB23)/2*IF($G$1="牵丝",$AJ23,$AH23)+IF($G$1="牵丝",$AK23*1.5,0))*(1+$BC23)*(1+$BD23)+(($BE23+$BF23)/2*IF($G$1="破竹",$AJ23,$AH23)+IF($G$1="破竹",$AK23*1.5,0))*(1+$BG23)*(1+$BH23))*(1+$AL23)*$BK23*$P23*(1+IF(VLOOKUP($Q23,武学奇术!$A:$ZZ,30,FALSE)="回旋伞",$B$21,0))*(1+$BQ23)</f>
        <v>0</v>
      </c>
      <c r="M23" s="41">
        <f>(($AO23*$AH23+$AI23)*(1+$AP23)*(1+$AQ23)+($AT23*IF($G$1="鸣金",$AJ23,$AH23)+IF($G$1="鸣金",$AK23*1.5,0))*(1+$AU23)*(1+$AV23)+($AX23*IF($G$1="裂石",$AJ23,$AH23)+IF($G$1="裂石",$AK23*1.5,0))*(1+$AY23)*(1+$AZ23)+($BB23*IF($G$1="牵丝",$AJ23,$AH23)+IF($G$1="牵丝",$AK23*1.5,0))*(1+$BC23)*(1+$BD23)+($BF23*IF($G$1="破竹",$AJ23,$AH23)+IF($G$1="破竹",$AK23*1.5,0))*(1+$BG23)*(1+$BH23))*(1+$AL23)*$BM23*$P23*(1+IF(VLOOKUP($Q23,武学奇术!$A:$ZZ,30,FALSE)="回旋伞",$B$21,0))*(1+$BQ23)</f>
        <v>0</v>
      </c>
      <c r="N23" s="41">
        <f>((($AN23+$AO23)/2*$AH23+$AI23)*(1+$AP23)*(1+$AQ23)+(($AS23+$AT23)/2*IF($G$1="鸣金",$AJ23,$AH23)+IF($G$1="鸣金",$AK23*1.5,0))*(1+$AU23)*(1+$AV23)+(($AW23+$AX23)/2*IF($G$1="裂石",$AJ23,$AH23)+IF($G$1="裂石",$AK23*1.5,0))*(1+$AY23)*(1+$AZ23)+(($BA23+$BB23)/2*IF($G$1="牵丝",$AJ23,$AH23)+IF($G$1="牵丝",$AK23*1.5,0))*(1+$BC23)*(1+$BD23)+(($BE23+$BF23)/2*IF($G$1="破竹",$AJ23,$AH23)+IF($G$1="破竹",$AK23*1.5,0))*(1+$BG23)*(1+$BH23))*(1+$AL23)*$P23*(1+IF(VLOOKUP($Q23,武学奇术!$A:$ZZ,30,FALSE)="回旋伞",$B$21,0))*(1+$BQ23)</f>
        <v>0</v>
      </c>
      <c r="O23" s="41">
        <f>((($AN23*$AH23+$AI23)*(1+$AP23)*(1+$AQ23)+($AS23*IF($G$1="鸣金",$AJ23,$AH23)+IF($G$1="鸣金",$AK23*1.5,0))*(1+$AU23)*(1+$AV23)+($AW23*IF($G$1="裂石",$AJ23,$AH23)+IF($G$1="裂石",$AK23*1.5,0))*(1+$AY23)*(1+$AZ23)+($BA23*IF($G$1="牵丝",$AJ23,$AH23)+IF($G$1="牵丝",$AK23*1.5,0))*(1+$BC23)*(1+$BD23)+($BE23*IF($G$1="破竹",$AJ23,$AH23)+IF($G$1="破竹",$AK23*1.5,0))*(1+$BG23)*(1+$BH23))*(1+$AL23))*$P23*(1+IF(VLOOKUP($Q23,武学奇术!$A:$ZZ,30,FALSE)="回旋伞",$B$21,0))*(1+$BQ23)</f>
        <v>0</v>
      </c>
      <c r="P23" s="42">
        <v>1</v>
      </c>
      <c r="Q23" s="43" t="s">
        <v>71</v>
      </c>
      <c r="R23" s="43" t="s">
        <v>71</v>
      </c>
      <c r="S23" s="43" t="s">
        <v>71</v>
      </c>
      <c r="T23" s="43" t="s">
        <v>71</v>
      </c>
      <c r="U23" s="43" t="s">
        <v>71</v>
      </c>
      <c r="V23" s="43" t="s">
        <v>71</v>
      </c>
      <c r="W23" s="43" t="s">
        <v>71</v>
      </c>
      <c r="X23" s="43" t="s">
        <v>71</v>
      </c>
      <c r="Y23" s="43" t="s">
        <v>71</v>
      </c>
      <c r="Z23" s="43" t="s">
        <v>71</v>
      </c>
      <c r="AA23" s="43" t="s">
        <v>71</v>
      </c>
      <c r="AB23" s="43" t="s">
        <v>71</v>
      </c>
      <c r="AC23" s="43" t="s">
        <v>71</v>
      </c>
      <c r="AD23" s="43" t="s">
        <v>71</v>
      </c>
      <c r="AE23" s="43" t="s">
        <v>71</v>
      </c>
      <c r="AF23" s="43" t="s">
        <v>76</v>
      </c>
      <c r="AG23" t="str">
        <f>VLOOKUP($Q23,武学奇术!$A:$ZZ,25,FALSE)</f>
        <v>心法</v>
      </c>
      <c r="AH23" s="30">
        <f>VLOOKUP($Q23,武学奇术!$A:$ZZ,26,FALSE)</f>
        <v>0</v>
      </c>
      <c r="AI23" s="31">
        <f>VLOOKUP($Q23,武学奇术!$A:$ZZ,27,FALSE)*(1+IF(OR($AG23=$F$4,$AG23=$F$5),$B$22,0))</f>
        <v>0</v>
      </c>
      <c r="AJ23" s="30">
        <f>VLOOKUP($Q23,武学奇术!$A:$ZZ,28,FALSE)</f>
        <v>0</v>
      </c>
      <c r="AK23" s="31">
        <f>VLOOKUP($Q23,武学奇术!$A:$ZZ,29,FALSE)*(1+IF(OR($AG23=$F$4,$AG23=$F$5),$B$22,0))</f>
        <v>0</v>
      </c>
      <c r="AL23" s="30" cm="1">
        <f t="array" ref="AL23">$G$3+IFERROR(VLOOKUP($AG23,$F$4:$G$7,2,FALSE),0)+VLOOKUP($Q23,武学奇术!$A:$ZZ,2,FALSE)+SUM(_xlfn.XLOOKUP($R23:$AF23,增益!$A:$A,增益!$B:$B,0))</f>
        <v>0.1037</v>
      </c>
      <c r="AM23" s="30" cm="1">
        <f t="array" ref="AM23">VLOOKUP($Q23,武学奇术!$A:$ZZ,5,FALSE)+SUM(_xlfn.XLOOKUP($R23:$AF23,增益!$A:$A,增益!$E:$E,0))</f>
        <v>0</v>
      </c>
      <c r="AN23" cm="1">
        <f t="array" ref="AN23">$D$10*(1+$AM23)+VLOOKUP($Q23,武学奇术!$A:$ZZ,3,FALSE)+SUM(_xlfn.XLOOKUP($R23:$AF23,增益!$A:$A,增益!$C:$C,0))-$I$2</f>
        <v>3483.8</v>
      </c>
      <c r="AO23" cm="1">
        <f t="array" ref="AO23">$E$10*(1+$AM23)+VLOOKUP($Q23,武学奇术!$A:$ZZ,4,FALSE)+SUM(_xlfn.XLOOKUP($R23:$AF23,增益!$A:$A,增益!$D:$D,0))-$I$2</f>
        <v>3483.8</v>
      </c>
      <c r="AP23" s="35" cm="1">
        <f t="array" ref="AP23">IF($F$10-$I$3+VLOOKUP($Q23,武学奇术!$A:$ZZ,6,FALSE)+SUM(_xlfn.XLOOKUP(R23:AF23,增益!$A:$A,增益!$F:$F,0))&gt;0,($F$10-$I$3+VLOOKUP($Q23,武学奇术!$A:$ZZ,6,FALSE)+SUM(_xlfn.XLOOKUP(R23:AF23,增益!$A:$A,增益!$F:$F,0)))/200,($F$10-$I$3+VLOOKUP($Q23,武学奇术!$A:$ZZ,6,FALSE)+SUM(_xlfn.XLOOKUP(R23:AF23,增益!$A:$A,增益!$F:$F,0)))/100)</f>
        <v>0.1925</v>
      </c>
      <c r="AQ23" s="35" cm="1">
        <f t="array" ref="AQ23">$G$10+VLOOKUP($Q23,武学奇术!$A:$ZZ,7,FALSE)+SUM(_xlfn.XLOOKUP(R23:AF23,增益!$A:$A,增益!$G:$G,0))</f>
        <v>0.028</v>
      </c>
      <c r="AR23" s="30" cm="1">
        <f t="array" ref="AR23">VLOOKUP($Q23,武学奇术!$A:$ZZ,8,FALSE)+SUM(_xlfn.XLOOKUP(R23:AF23,增益!$A:$A,增益!$H:$H,0))</f>
        <v>0</v>
      </c>
      <c r="AS23">
        <f t="shared" si="1"/>
        <v>0</v>
      </c>
      <c r="AT23">
        <f t="shared" si="2"/>
        <v>0</v>
      </c>
      <c r="AU23" s="35" cm="1">
        <f t="array" ref="AU23">IF($F$11-$I$4+VLOOKUP($Q23,武学奇术!$A:$ZZ,9,FALSE)+SUM(_xlfn.XLOOKUP(R23:AF23,增益!$A:$A,增益!$I:$I,0))&gt;0,($F$11-$I$4+VLOOKUP($Q23,武学奇术!$A:$ZZ,9,FALSE)+SUM(_xlfn.XLOOKUP(R23:AF23,增益!$A:$A,增益!$I:$I,0)))/200,($F$11-$I$4+VLOOKUP($Q23,武学奇术!$A:$ZZ,9,FALSE)+SUM(_xlfn.XLOOKUP(R23:AF23,增益!$A:$A,增益!$I:$I,0)))/100)</f>
        <v>-0.3</v>
      </c>
      <c r="AV23" s="35" cm="1">
        <f t="array" ref="AV23">$G$11+VLOOKUP($Q23,武学奇术!$A:$ZZ,10,FALSE)+SUM(_xlfn.XLOOKUP(R23:AF23,增益!$A:$A,增益!$J:$J,0))</f>
        <v>0</v>
      </c>
      <c r="AW23">
        <f t="shared" si="3"/>
        <v>0</v>
      </c>
      <c r="AX23">
        <f t="shared" si="4"/>
        <v>0</v>
      </c>
      <c r="AY23" s="35" cm="1">
        <f t="array" ref="AY23">IF($F$12-$I$4+VLOOKUP($Q23,武学奇术!$A:$ZZ,11,FALSE)+SUM(_xlfn.XLOOKUP(R23:AF23,增益!$A:$A,增益!$K:$K,0))&gt;0,($F$12-$I$4+VLOOKUP($Q23,武学奇术!$A:$ZZ,11,FALSE)+SUM(_xlfn.XLOOKUP(R23:AF23,增益!$A:$A,增益!$K:$K,0)))/200,($F$12-$I$4+VLOOKUP($Q23,武学奇术!$A:$ZZ,11,FALSE)+SUM(_xlfn.XLOOKUP(R23:AF23,增益!$A:$A,增益!$K:$K,0)))/100)</f>
        <v>-0.3</v>
      </c>
      <c r="AZ23" s="35" cm="1">
        <f t="array" ref="AZ23">$G$12+VLOOKUP($Q23,武学奇术!$A:$ZZ,12,FALSE)+SUM(_xlfn.XLOOKUP(R23:AF23,增益!$A:$A,增益!$L:$L,0))</f>
        <v>0</v>
      </c>
      <c r="BA23">
        <f t="shared" si="5"/>
        <v>0</v>
      </c>
      <c r="BB23">
        <f t="shared" si="6"/>
        <v>0</v>
      </c>
      <c r="BC23" s="35" cm="1">
        <f t="array" ref="BC23">IF($F$13-$I$4+VLOOKUP($Q23,武学奇术!$A:$ZZ,13,FALSE)+SUM(_xlfn.XLOOKUP(R23:AF23,增益!$A:$A,增益!$M:$M,0))&gt;0,($F$13-$I$4+VLOOKUP($Q23,武学奇术!$A:$ZZ,13,FALSE)+SUM(_xlfn.XLOOKUP(R23:AF23,增益!$A:$A,增益!$K:$K,0)))/200,($F$13-$I$4+VLOOKUP($Q23,武学奇术!$A:$ZZ,13,FALSE)+SUM(_xlfn.XLOOKUP(R23:AF23,增益!$A:$A,增益!$M:$M,0)))/100)</f>
        <v>-0.3</v>
      </c>
      <c r="BD23" s="35" cm="1">
        <f t="array" ref="BD23">$G$13+VLOOKUP($Q23,武学奇术!$A:$ZZ,14,FALSE)+SUM(_xlfn.XLOOKUP(R23:AF23,增益!$A:$A,增益!$N:$N,0))</f>
        <v>0</v>
      </c>
      <c r="BE23">
        <f t="shared" si="7"/>
        <v>538</v>
      </c>
      <c r="BF23">
        <f t="shared" si="8"/>
        <v>1561.4</v>
      </c>
      <c r="BG23" s="35" cm="1">
        <f t="array" ref="BG23">IF($F$14-$I$4+VLOOKUP($Q23,武学奇术!$A:$ZZ,15,FALSE)+SUM(_xlfn.XLOOKUP(R23:AF23,增益!$A:$A,增益!$O:$O,0))&gt;0,($F$14-$I$4+VLOOKUP($Q23,武学奇术!$A:$ZZ,15,FALSE)+SUM(_xlfn.XLOOKUP(R23:AF23,增益!$A:$A,增益!$O:$O,0)))/200,($F$14-$I$4+VLOOKUP($Q23,武学奇术!$A:$ZZ,15,FALSE)+SUM(_xlfn.XLOOKUP(R23:AF23,增益!$A:$A,增益!$O:$O,0)))/100)</f>
        <v>0</v>
      </c>
      <c r="BH23" s="35" cm="1">
        <f t="array" ref="BH23">$G$14+VLOOKUP($Q23,武学奇术!$A:$ZZ,16,FALSE)+SUM(_xlfn.XLOOKUP(R23:AF23,增益!$A:$A,增益!$P:$P,0))</f>
        <v>0.15</v>
      </c>
      <c r="BI23" s="30">
        <f>MIN(IF(VLOOKUP($Q23,武学奇术!$A:$ZZ,23,FALSE)=1,100%,$B$8),100%)</f>
        <v>0.9712</v>
      </c>
      <c r="BJ23" s="30" cm="1">
        <f t="array" ref="BJ23">IF(VLOOKUP($Q23,武学奇术!$A:$ZZ,23,FALSE)=1,100%,MIN(80%,$B$9+VLOOKUP($Q23,武学奇术!$A:$ZZ,17,FALSE)+SUM(_xlfn.XLOOKUP(R23:AF23,增益!$A:$A,增益!$Q:$Q,0)))+$B$11+SUM(_xlfn.XLOOKUP(R23:AF23,增益!$A:$A,增益!$U:$U,0)))*IF(VLOOKUP($Q23,武学奇术!$A:$ZZ,24,FALSE)=1,0,1)</f>
        <v>0.8773</v>
      </c>
      <c r="BK23" s="30" cm="1">
        <f t="array" ref="BK23">1+$B$13+VLOOKUP($Q23,武学奇术!$A:$ZZ,18,FALSE)+SUM(_xlfn.XLOOKUP(R23:AF23,增益!$A:$A,增益!$R:$R,0))</f>
        <v>1.5</v>
      </c>
      <c r="BL23" s="30" cm="1">
        <f t="array" ref="BL23">IF(VLOOKUP($Q23,武学奇术!$A:$ZZ,24,FALSE)=1,100%,MIN(40%,$B$10+VLOOKUP($Q23,武学奇术!$A:$ZZ,19,FALSE)+SUM(_xlfn.XLOOKUP(R23:AF23,增益!$A:$A,增益!$S:$S,0)))+$B$12+SUM(_xlfn.XLOOKUP(R23:AF23,增益!$A:$A,增益!$V:$V,0)))*IF(VLOOKUP($Q23,武学奇术!$A:$ZZ,23,FALSE)=1,0,1)</f>
        <v>0.0895</v>
      </c>
      <c r="BM23" s="30" cm="1">
        <f t="array" ref="BM23">1+$B$14+VLOOKUP($Q23,武学奇术!$A:$ZZ,20,FALSE)+SUM(_xlfn.XLOOKUP(R23:AF23,增益!$A:$A,增益!$T:$T,0))</f>
        <v>1.35</v>
      </c>
      <c r="BN23" s="30">
        <f t="shared" si="9"/>
        <v>0.85203376</v>
      </c>
      <c r="BO23" s="30">
        <f t="shared" si="10"/>
        <v>0.03224384</v>
      </c>
      <c r="BP23" s="30">
        <f>IF(VLOOKUP($Q23,武学奇术!$A:$ZZ,22,FALSE)=1,0,(1-$BI23))*(1-$BL23)</f>
        <v>0.0262224</v>
      </c>
      <c r="BQ23" s="30" cm="1">
        <f t="array" ref="BQ23">SUM(_xlfn.XLOOKUP(R23:AF23,增益!$A:$A,增益!$W:$W,0))+$I$5</f>
        <v>0.11</v>
      </c>
    </row>
    <row r="24" spans="1:69">
      <c r="A24" s="42"/>
      <c r="B24">
        <v>400</v>
      </c>
      <c r="C24" s="43" t="str">
        <f>期望!C24</f>
        <v>易水歌</v>
      </c>
      <c r="D24" s="43"/>
      <c r="K24" s="41">
        <f t="shared" si="0"/>
        <v>48909.8513741393</v>
      </c>
      <c r="L24" s="41">
        <f>((($AN24+$AO24)/2*$AH24+$AI24)*(1+$AP24)*(1+$AQ24)+(($AS24+$AT24)/2*IF($G$1="鸣金",$AJ24,$AH24)+IF($G$1="鸣金",$AK24*1.5,0))*(1+$AU24)*(1+$AV24)+(($AW24+$AX24)/2*IF($G$1="裂石",$AJ24,$AH24)+IF($G$1="裂石",$AK24*1.5,0))*(1+$AY24)*(1+$AZ24)+(($BA24+$BB24)/2*IF($G$1="牵丝",$AJ24,$AH24)+IF($G$1="牵丝",$AK24*1.5,0))*(1+$BC24)*(1+$BD24)+(($BE24+$BF24)/2*IF($G$1="破竹",$AJ24,$AH24)+IF($G$1="破竹",$AK24*1.5,0))*(1+$BG24)*(1+$BH24))*(1+$AL24)*$BK24*$P24*(1+IF(VLOOKUP($Q24,武学奇术!$A:$ZZ,30,FALSE)="回旋伞",$B$21,0))*(1+$BQ24)</f>
        <v>48909.8513741393</v>
      </c>
      <c r="M24" s="41">
        <f>(($AO24*$AH24+$AI24)*(1+$AP24)*(1+$AQ24)+($AT24*IF($G$1="鸣金",$AJ24,$AH24)+IF($G$1="鸣金",$AK24*1.5,0))*(1+$AU24)*(1+$AV24)+($AX24*IF($G$1="裂石",$AJ24,$AH24)+IF($G$1="裂石",$AK24*1.5,0))*(1+$AY24)*(1+$AZ24)+($BB24*IF($G$1="牵丝",$AJ24,$AH24)+IF($G$1="牵丝",$AK24*1.5,0))*(1+$BC24)*(1+$BD24)+($BF24*IF($G$1="破竹",$AJ24,$AH24)+IF($G$1="破竹",$AK24*1.5,0))*(1+$BG24)*(1+$BH24))*(1+$AL24)*$BM24*$P24*(1+IF(VLOOKUP($Q24,武学奇术!$A:$ZZ,30,FALSE)="回旋伞",$B$21,0))*(1+$BQ24)</f>
        <v>40654.1827794562</v>
      </c>
      <c r="N24" s="41">
        <f>((($AN24+$AO24)/2*$AH24+$AI24)*(1+$AP24)*(1+$AQ24)+(($AS24+$AT24)/2*IF($G$1="鸣金",$AJ24,$AH24)+IF($G$1="鸣金",$AK24*1.5,0))*(1+$AU24)*(1+$AV24)+(($AW24+$AX24)/2*IF($G$1="裂石",$AJ24,$AH24)+IF($G$1="裂石",$AK24*1.5,0))*(1+$AY24)*(1+$AZ24)+(($BA24+$BB24)/2*IF($G$1="牵丝",$AJ24,$AH24)+IF($G$1="牵丝",$AK24*1.5,0))*(1+$BC24)*(1+$BD24)+(($BE24+$BF24)/2*IF($G$1="破竹",$AJ24,$AH24)+IF($G$1="破竹",$AK24*1.5,0))*(1+$BG24)*(1+$BH24))*(1+$AL24)*$P24*(1+IF(VLOOKUP($Q24,武学奇术!$A:$ZZ,30,FALSE)="回旋伞",$B$21,0))*(1+$BQ24)</f>
        <v>26873.5447110655</v>
      </c>
      <c r="O24" s="41">
        <f>((($AN24*$AH24+$AI24)*(1+$AP24)*(1+$AQ24)+($AS24*IF($G$1="鸣金",$AJ24,$AH24)+IF($G$1="鸣金",$AK24*1.5,0))*(1+$AU24)*(1+$AV24)+($AW24*IF($G$1="裂石",$AJ24,$AH24)+IF($G$1="裂石",$AK24*1.5,0))*(1+$AY24)*(1+$AZ24)+($BA24*IF($G$1="牵丝",$AJ24,$AH24)+IF($G$1="牵丝",$AK24*1.5,0))*(1+$BC24)*(1+$BD24)+($BE24*IF($G$1="破竹",$AJ24,$AH24)+IF($G$1="破竹",$AK24*1.5,0))*(1+$BG24)*(1+$BH24))*(1+$AL24))*$P24*(1+IF(VLOOKUP($Q24,武学奇术!$A:$ZZ,30,FALSE)="回旋伞",$B$21,0))*(1+$BQ24)</f>
        <v>23632.8799558672</v>
      </c>
      <c r="P24" s="42">
        <v>1</v>
      </c>
      <c r="Q24" s="43" t="s">
        <v>150</v>
      </c>
      <c r="R24" s="43" t="s">
        <v>71</v>
      </c>
      <c r="S24" s="43" t="s">
        <v>91</v>
      </c>
      <c r="T24" s="43" t="s">
        <v>72</v>
      </c>
      <c r="U24" s="43" t="s">
        <v>71</v>
      </c>
      <c r="V24" s="43" t="s">
        <v>151</v>
      </c>
      <c r="W24" s="43" t="s">
        <v>95</v>
      </c>
      <c r="X24" s="43" t="s">
        <v>71</v>
      </c>
      <c r="Y24" s="43" t="s">
        <v>71</v>
      </c>
      <c r="Z24" s="43" t="s">
        <v>71</v>
      </c>
      <c r="AA24" s="43" t="s">
        <v>71</v>
      </c>
      <c r="AB24" s="43" t="s">
        <v>71</v>
      </c>
      <c r="AC24" s="43" t="s">
        <v>71</v>
      </c>
      <c r="AD24" s="43" t="s">
        <v>71</v>
      </c>
      <c r="AE24" s="43" t="s">
        <v>71</v>
      </c>
      <c r="AF24" s="43" t="s">
        <v>76</v>
      </c>
      <c r="AG24" t="str">
        <f>VLOOKUP($Q24,武学奇术!$A:$ZZ,25,FALSE)</f>
        <v>绳镖</v>
      </c>
      <c r="AH24" s="30">
        <f>VLOOKUP($Q24,武学奇术!$A:$ZZ,26,FALSE)</f>
        <v>2.2987</v>
      </c>
      <c r="AI24" s="31">
        <f>VLOOKUP($Q24,武学奇术!$A:$ZZ,27,FALSE)*(1+IF(OR($AG24=$F$4,$AG24=$F$5),$B$22,0))</f>
        <v>891.8</v>
      </c>
      <c r="AJ24" s="30">
        <f>VLOOKUP($Q24,武学奇术!$A:$ZZ,28,FALSE)</f>
        <v>3.448</v>
      </c>
      <c r="AK24" s="31">
        <f>VLOOKUP($Q24,武学奇术!$A:$ZZ,29,FALSE)*(1+IF(OR($AG24=$F$4,$AG24=$F$5),$B$22,0))</f>
        <v>485.8</v>
      </c>
      <c r="AL24" s="30" cm="1">
        <f t="array" ref="AL24">$G$3+IFERROR(VLOOKUP($AG24,$F$4:$G$7,2,FALSE),0)+VLOOKUP($Q24,武学奇术!$A:$ZZ,2,FALSE)+SUM(_xlfn.XLOOKUP($R24:$AF24,增益!$A:$A,增益!$B:$B,0))</f>
        <v>0.4389</v>
      </c>
      <c r="AM24" s="30" cm="1">
        <f t="array" ref="AM24">VLOOKUP($Q24,武学奇术!$A:$ZZ,5,FALSE)+SUM(_xlfn.XLOOKUP($R24:$AF24,增益!$A:$A,增益!$E:$E,0))</f>
        <v>0</v>
      </c>
      <c r="AN24" cm="1">
        <f t="array" ref="AN24">$D$10*(1+$AM24)+VLOOKUP($Q24,武学奇术!$A:$ZZ,3,FALSE)+SUM(_xlfn.XLOOKUP($R24:$AF24,增益!$A:$A,增益!$C:$C,0))-$I$2</f>
        <v>3483.8</v>
      </c>
      <c r="AO24" cm="1">
        <f t="array" ref="AO24">$E$10*(1+$AM24)+VLOOKUP($Q24,武学奇术!$A:$ZZ,4,FALSE)+SUM(_xlfn.XLOOKUP($R24:$AF24,增益!$A:$A,增益!$D:$D,0))-$I$2</f>
        <v>3483.8</v>
      </c>
      <c r="AP24" s="35" cm="1">
        <f t="array" ref="AP24">IF($F$10-$I$3+VLOOKUP($Q24,武学奇术!$A:$ZZ,6,FALSE)+SUM(_xlfn.XLOOKUP(R24:AF24,增益!$A:$A,增益!$F:$F,0))&gt;0,($F$10-$I$3+VLOOKUP($Q24,武学奇术!$A:$ZZ,6,FALSE)+SUM(_xlfn.XLOOKUP(R24:AF24,增益!$A:$A,增益!$F:$F,0)))/200,($F$10-$I$3+VLOOKUP($Q24,武学奇术!$A:$ZZ,6,FALSE)+SUM(_xlfn.XLOOKUP(R24:AF24,增益!$A:$A,增益!$F:$F,0)))/100)</f>
        <v>0.2925</v>
      </c>
      <c r="AQ24" s="35" cm="1">
        <f t="array" ref="AQ24">$G$10+VLOOKUP($Q24,武学奇术!$A:$ZZ,7,FALSE)+SUM(_xlfn.XLOOKUP(R24:AF24,增益!$A:$A,增益!$G:$G,0))</f>
        <v>0.028</v>
      </c>
      <c r="AR24" s="30" cm="1">
        <f t="array" ref="AR24">VLOOKUP($Q24,武学奇术!$A:$ZZ,8,FALSE)+SUM(_xlfn.XLOOKUP(R24:AF24,增益!$A:$A,增益!$H:$H,0))</f>
        <v>0</v>
      </c>
      <c r="AS24">
        <f t="shared" si="1"/>
        <v>0</v>
      </c>
      <c r="AT24">
        <f t="shared" si="2"/>
        <v>0</v>
      </c>
      <c r="AU24" s="35" cm="1">
        <f t="array" ref="AU24">IF($F$11-$I$4+VLOOKUP($Q24,武学奇术!$A:$ZZ,9,FALSE)+SUM(_xlfn.XLOOKUP(R24:AF24,增益!$A:$A,增益!$I:$I,0))&gt;0,($F$11-$I$4+VLOOKUP($Q24,武学奇术!$A:$ZZ,9,FALSE)+SUM(_xlfn.XLOOKUP(R24:AF24,增益!$A:$A,增益!$I:$I,0)))/200,($F$11-$I$4+VLOOKUP($Q24,武学奇术!$A:$ZZ,9,FALSE)+SUM(_xlfn.XLOOKUP(R24:AF24,增益!$A:$A,增益!$I:$I,0)))/100)</f>
        <v>-0.3</v>
      </c>
      <c r="AV24" s="35" cm="1">
        <f t="array" ref="AV24">$G$11+VLOOKUP($Q24,武学奇术!$A:$ZZ,10,FALSE)+SUM(_xlfn.XLOOKUP(R24:AF24,增益!$A:$A,增益!$J:$J,0))</f>
        <v>0</v>
      </c>
      <c r="AW24">
        <f t="shared" si="3"/>
        <v>0</v>
      </c>
      <c r="AX24">
        <f t="shared" si="4"/>
        <v>0</v>
      </c>
      <c r="AY24" s="35" cm="1">
        <f t="array" ref="AY24">IF($F$12-$I$4+VLOOKUP($Q24,武学奇术!$A:$ZZ,11,FALSE)+SUM(_xlfn.XLOOKUP(R24:AF24,增益!$A:$A,增益!$K:$K,0))&gt;0,($F$12-$I$4+VLOOKUP($Q24,武学奇术!$A:$ZZ,11,FALSE)+SUM(_xlfn.XLOOKUP(R24:AF24,增益!$A:$A,增益!$K:$K,0)))/200,($F$12-$I$4+VLOOKUP($Q24,武学奇术!$A:$ZZ,11,FALSE)+SUM(_xlfn.XLOOKUP(R24:AF24,增益!$A:$A,增益!$K:$K,0)))/100)</f>
        <v>-0.3</v>
      </c>
      <c r="AZ24" s="35" cm="1">
        <f t="array" ref="AZ24">$G$12+VLOOKUP($Q24,武学奇术!$A:$ZZ,12,FALSE)+SUM(_xlfn.XLOOKUP(R24:AF24,增益!$A:$A,增益!$L:$L,0))</f>
        <v>0</v>
      </c>
      <c r="BA24">
        <f t="shared" si="5"/>
        <v>0</v>
      </c>
      <c r="BB24">
        <f t="shared" si="6"/>
        <v>0</v>
      </c>
      <c r="BC24" s="35" cm="1">
        <f t="array" ref="BC24">IF($F$13-$I$4+VLOOKUP($Q24,武学奇术!$A:$ZZ,13,FALSE)+SUM(_xlfn.XLOOKUP(R24:AF24,增益!$A:$A,增益!$M:$M,0))&gt;0,($F$13-$I$4+VLOOKUP($Q24,武学奇术!$A:$ZZ,13,FALSE)+SUM(_xlfn.XLOOKUP(R24:AF24,增益!$A:$A,增益!$K:$K,0)))/200,($F$13-$I$4+VLOOKUP($Q24,武学奇术!$A:$ZZ,13,FALSE)+SUM(_xlfn.XLOOKUP(R24:AF24,增益!$A:$A,增益!$M:$M,0)))/100)</f>
        <v>-0.3</v>
      </c>
      <c r="BD24" s="35" cm="1">
        <f t="array" ref="BD24">$G$13+VLOOKUP($Q24,武学奇术!$A:$ZZ,14,FALSE)+SUM(_xlfn.XLOOKUP(R24:AF24,增益!$A:$A,增益!$N:$N,0))</f>
        <v>0</v>
      </c>
      <c r="BE24">
        <f t="shared" si="7"/>
        <v>538</v>
      </c>
      <c r="BF24">
        <f t="shared" si="8"/>
        <v>1561.4</v>
      </c>
      <c r="BG24" s="35" cm="1">
        <f t="array" ref="BG24">IF($F$14-$I$4+VLOOKUP($Q24,武学奇术!$A:$ZZ,15,FALSE)+SUM(_xlfn.XLOOKUP(R24:AF24,增益!$A:$A,增益!$O:$O,0))&gt;0,($F$14-$I$4+VLOOKUP($Q24,武学奇术!$A:$ZZ,15,FALSE)+SUM(_xlfn.XLOOKUP(R24:AF24,增益!$A:$A,增益!$O:$O,0)))/200,($F$14-$I$4+VLOOKUP($Q24,武学奇术!$A:$ZZ,15,FALSE)+SUM(_xlfn.XLOOKUP(R24:AF24,增益!$A:$A,增益!$O:$O,0)))/100)</f>
        <v>0</v>
      </c>
      <c r="BH24" s="35" cm="1">
        <f t="array" ref="BH24">$G$14+VLOOKUP($Q24,武学奇术!$A:$ZZ,16,FALSE)+SUM(_xlfn.XLOOKUP(R24:AF24,增益!$A:$A,增益!$P:$P,0))</f>
        <v>0.15</v>
      </c>
      <c r="BI24" s="30">
        <f>MIN(IF(VLOOKUP($Q24,武学奇术!$A:$ZZ,23,FALSE)=1,100%,$B$8),100%)</f>
        <v>1</v>
      </c>
      <c r="BJ24" s="30" cm="1">
        <f t="array" ref="BJ24">IF(VLOOKUP($Q24,武学奇术!$A:$ZZ,23,FALSE)=1,100%,MIN(80%,$B$9+VLOOKUP($Q24,武学奇术!$A:$ZZ,17,FALSE)+SUM(_xlfn.XLOOKUP(R24:AF24,增益!$A:$A,增益!$Q:$Q,0)))+$B$11+SUM(_xlfn.XLOOKUP(R24:AF24,增益!$A:$A,增益!$U:$U,0)))*IF(VLOOKUP($Q24,武学奇术!$A:$ZZ,24,FALSE)=1,0,1)</f>
        <v>1</v>
      </c>
      <c r="BK24" s="30" cm="1">
        <f t="array" ref="BK24">1+$B$13+VLOOKUP($Q24,武学奇术!$A:$ZZ,18,FALSE)+SUM(_xlfn.XLOOKUP(R24:AF24,增益!$A:$A,增益!$R:$R,0))</f>
        <v>1.82</v>
      </c>
      <c r="BL24" s="30" cm="1">
        <f t="array" ref="BL24">IF(VLOOKUP($Q24,武学奇术!$A:$ZZ,24,FALSE)=1,100%,MIN(40%,$B$10+VLOOKUP($Q24,武学奇术!$A:$ZZ,19,FALSE)+SUM(_xlfn.XLOOKUP(R24:AF24,增益!$A:$A,增益!$S:$S,0)))+$B$12+SUM(_xlfn.XLOOKUP(R24:AF24,增益!$A:$A,增益!$V:$V,0)))*IF(VLOOKUP($Q24,武学奇术!$A:$ZZ,23,FALSE)=1,0,1)</f>
        <v>0</v>
      </c>
      <c r="BM24" s="30" cm="1">
        <f t="array" ref="BM24">1+$B$14+VLOOKUP($Q24,武学奇术!$A:$ZZ,20,FALSE)+SUM(_xlfn.XLOOKUP(R24:AF24,增益!$A:$A,增益!$T:$T,0))</f>
        <v>1.35</v>
      </c>
      <c r="BN24" s="30">
        <f t="shared" si="9"/>
        <v>1</v>
      </c>
      <c r="BO24" s="30">
        <f t="shared" si="10"/>
        <v>0</v>
      </c>
      <c r="BP24" s="30">
        <f>IF(VLOOKUP($Q24,武学奇术!$A:$ZZ,22,FALSE)=1,0,(1-$BI24))*(1-$BL24)</f>
        <v>0</v>
      </c>
      <c r="BQ24" s="30" cm="1">
        <f t="array" ref="BQ24">SUM(_xlfn.XLOOKUP(R24:AF24,增益!$A:$A,增益!$W:$W,0))+$I$5</f>
        <v>0.11</v>
      </c>
    </row>
    <row r="25" spans="1:69">
      <c r="K25" s="89">
        <f>(SUM(K4:K6)+SUM(K9:K24)+K141)*10%</f>
        <v>96710.8183940925</v>
      </c>
      <c r="L25" s="41">
        <f>((($AN25+$AO25)/2*$AH25+$AI25)*(1+$AP25)*(1+$AQ25)+(($AS25+$AT25)/2*IF($G$1="鸣金",$AJ25,$AH25)+IF($G$1="鸣金",$AK25*1.5,0))*(1+$AU25)*(1+$AV25)+(($AW25+$AX25)/2*IF($G$1="裂石",$AJ25,$AH25)+IF($G$1="裂石",$AK25*1.5,0))*(1+$AY25)*(1+$AZ25)+(($BA25+$BB25)/2*IF($G$1="牵丝",$AJ25,$AH25)+IF($G$1="牵丝",$AK25*1.5,0))*(1+$BC25)*(1+$BD25)+(($BE25+$BF25)/2*IF($G$1="破竹",$AJ25,$AH25)+IF($G$1="破竹",$AK25*1.5,0))*(1+$BG25)*(1+$BH25))*(1+$AL25)*$BK25*$P25*(1+IF(VLOOKUP($Q25,武学奇术!$A:$ZZ,30,FALSE)="回旋伞",$B$21,0))*(1+$BQ25)</f>
        <v>0</v>
      </c>
      <c r="M25" s="41">
        <f>(($AO25*$AH25+$AI25)*(1+$AP25)*(1+$AQ25)+($AT25*IF($G$1="鸣金",$AJ25,$AH25)+IF($G$1="鸣金",$AK25*1.5,0))*(1+$AU25)*(1+$AV25)+($AX25*IF($G$1="裂石",$AJ25,$AH25)+IF($G$1="裂石",$AK25*1.5,0))*(1+$AY25)*(1+$AZ25)+($BB25*IF($G$1="牵丝",$AJ25,$AH25)+IF($G$1="牵丝",$AK25*1.5,0))*(1+$BC25)*(1+$BD25)+($BF25*IF($G$1="破竹",$AJ25,$AH25)+IF($G$1="破竹",$AK25*1.5,0))*(1+$BG25)*(1+$BH25))*(1+$AL25)*$BM25*$P25*(1+IF(VLOOKUP($Q25,武学奇术!$A:$ZZ,30,FALSE)="回旋伞",$B$21,0))*(1+$BQ25)</f>
        <v>0</v>
      </c>
      <c r="N25" s="41">
        <f>((($AN25+$AO25)/2*$AH25+$AI25)*(1+$AP25)*(1+$AQ25)+(($AS25+$AT25)/2*IF($G$1="鸣金",$AJ25,$AH25)+IF($G$1="鸣金",$AK25*1.5,0))*(1+$AU25)*(1+$AV25)+(($AW25+$AX25)/2*IF($G$1="裂石",$AJ25,$AH25)+IF($G$1="裂石",$AK25*1.5,0))*(1+$AY25)*(1+$AZ25)+(($BA25+$BB25)/2*IF($G$1="牵丝",$AJ25,$AH25)+IF($G$1="牵丝",$AK25*1.5,0))*(1+$BC25)*(1+$BD25)+(($BE25+$BF25)/2*IF($G$1="破竹",$AJ25,$AH25)+IF($G$1="破竹",$AK25*1.5,0))*(1+$BG25)*(1+$BH25))*(1+$AL25)*$P25*(1+IF(VLOOKUP($Q25,武学奇术!$A:$ZZ,30,FALSE)="回旋伞",$B$21,0))*(1+$BQ25)</f>
        <v>0</v>
      </c>
      <c r="O25" s="41">
        <f>((($AN25*$AH25+$AI25)*(1+$AP25)*(1+$AQ25)+($AS25*IF($G$1="鸣金",$AJ25,$AH25)+IF($G$1="鸣金",$AK25*1.5,0))*(1+$AU25)*(1+$AV25)+($AW25*IF($G$1="裂石",$AJ25,$AH25)+IF($G$1="裂石",$AK25*1.5,0))*(1+$AY25)*(1+$AZ25)+($BA25*IF($G$1="牵丝",$AJ25,$AH25)+IF($G$1="牵丝",$AK25*1.5,0))*(1+$BC25)*(1+$BD25)+($BE25*IF($G$1="破竹",$AJ25,$AH25)+IF($G$1="破竹",$AK25*1.5,0))*(1+$BG25)*(1+$BH25))*(1+$AL25))*$P25*(1+IF(VLOOKUP($Q25,武学奇术!$A:$ZZ,30,FALSE)="回旋伞",$B$21,0))*(1+$BQ25)</f>
        <v>0</v>
      </c>
      <c r="P25" s="42">
        <v>1</v>
      </c>
      <c r="Q25" s="43" t="s">
        <v>152</v>
      </c>
      <c r="R25" s="43" t="s">
        <v>71</v>
      </c>
      <c r="S25" s="43" t="s">
        <v>71</v>
      </c>
      <c r="T25" s="43" t="s">
        <v>71</v>
      </c>
      <c r="U25" s="43" t="s">
        <v>71</v>
      </c>
      <c r="V25" s="43" t="s">
        <v>71</v>
      </c>
      <c r="W25" s="43" t="s">
        <v>71</v>
      </c>
      <c r="X25" s="43" t="s">
        <v>71</v>
      </c>
      <c r="Y25" s="43" t="s">
        <v>71</v>
      </c>
      <c r="Z25" s="43" t="s">
        <v>71</v>
      </c>
      <c r="AA25" s="43" t="s">
        <v>71</v>
      </c>
      <c r="AB25" s="43" t="s">
        <v>71</v>
      </c>
      <c r="AC25" s="43" t="s">
        <v>71</v>
      </c>
      <c r="AD25" s="43" t="s">
        <v>71</v>
      </c>
      <c r="AE25" s="43" t="s">
        <v>71</v>
      </c>
      <c r="AF25" s="43" t="s">
        <v>76</v>
      </c>
      <c r="AG25" t="str">
        <f>VLOOKUP($Q25,武学奇术!$A:$ZZ,25,FALSE)</f>
        <v>心法</v>
      </c>
      <c r="AH25" s="30">
        <f>VLOOKUP($Q25,武学奇术!$A:$ZZ,26,FALSE)</f>
        <v>0</v>
      </c>
      <c r="AI25" s="31">
        <f>VLOOKUP($Q25,武学奇术!$A:$ZZ,27,FALSE)*(1+IF(OR($AG25=$F$4,$AG25=$F$5),$B$22,0))</f>
        <v>0</v>
      </c>
      <c r="AJ25" s="30">
        <f>VLOOKUP($Q25,武学奇术!$A:$ZZ,28,FALSE)</f>
        <v>0</v>
      </c>
      <c r="AK25" s="31">
        <f>VLOOKUP($Q25,武学奇术!$A:$ZZ,29,FALSE)*(1+IF(OR($AG25=$F$4,$AG25=$F$5),$B$22,0))</f>
        <v>0</v>
      </c>
      <c r="AL25" s="30" cm="1">
        <f t="array" ref="AL25">$G$3+IFERROR(VLOOKUP($AG25,$F$4:$G$7,2,FALSE),0)+VLOOKUP($Q25,武学奇术!$A:$ZZ,2,FALSE)+SUM(_xlfn.XLOOKUP($R25:$AF25,增益!$A:$A,增益!$B:$B,0))</f>
        <v>0.1037</v>
      </c>
      <c r="AM25" s="30" cm="1">
        <f t="array" ref="AM25">VLOOKUP($Q25,武学奇术!$A:$ZZ,5,FALSE)+SUM(_xlfn.XLOOKUP($R25:$AF25,增益!$A:$A,增益!$E:$E,0))</f>
        <v>0</v>
      </c>
      <c r="AN25" cm="1">
        <f t="array" ref="AN25">$D$10*(1+$AM25)+VLOOKUP($Q25,武学奇术!$A:$ZZ,3,FALSE)+SUM(_xlfn.XLOOKUP($R25:$AF25,增益!$A:$A,增益!$C:$C,0))-$I$2</f>
        <v>3483.8</v>
      </c>
      <c r="AO25" cm="1">
        <f t="array" ref="AO25">$E$10*(1+$AM25)+VLOOKUP($Q25,武学奇术!$A:$ZZ,4,FALSE)+SUM(_xlfn.XLOOKUP($R25:$AF25,增益!$A:$A,增益!$D:$D,0))-$I$2</f>
        <v>3483.8</v>
      </c>
      <c r="AP25" s="35" cm="1">
        <f t="array" ref="AP25">IF($F$10-$I$3+VLOOKUP($Q25,武学奇术!$A:$ZZ,6,FALSE)+SUM(_xlfn.XLOOKUP(R25:AF25,增益!$A:$A,增益!$F:$F,0))&gt;0,($F$10-$I$3+VLOOKUP($Q25,武学奇术!$A:$ZZ,6,FALSE)+SUM(_xlfn.XLOOKUP(R25:AF25,增益!$A:$A,增益!$F:$F,0)))/200,($F$10-$I$3+VLOOKUP($Q25,武学奇术!$A:$ZZ,6,FALSE)+SUM(_xlfn.XLOOKUP(R25:AF25,增益!$A:$A,增益!$F:$F,0)))/100)</f>
        <v>0.1925</v>
      </c>
      <c r="AQ25" s="35" cm="1">
        <f t="array" ref="AQ25">$G$10+VLOOKUP($Q25,武学奇术!$A:$ZZ,7,FALSE)+SUM(_xlfn.XLOOKUP(R25:AF25,增益!$A:$A,增益!$G:$G,0))</f>
        <v>0.028</v>
      </c>
      <c r="AR25" s="30" cm="1">
        <f t="array" ref="AR25">VLOOKUP($Q25,武学奇术!$A:$ZZ,8,FALSE)+SUM(_xlfn.XLOOKUP(R25:AF25,增益!$A:$A,增益!$H:$H,0))</f>
        <v>0</v>
      </c>
      <c r="AS25">
        <f t="shared" si="1"/>
        <v>0</v>
      </c>
      <c r="AT25">
        <f t="shared" si="2"/>
        <v>0</v>
      </c>
      <c r="AU25" s="35" cm="1">
        <f t="array" ref="AU25">IF($F$11-$I$4+VLOOKUP($Q25,武学奇术!$A:$ZZ,9,FALSE)+SUM(_xlfn.XLOOKUP(R25:AF25,增益!$A:$A,增益!$I:$I,0))&gt;0,($F$11-$I$4+VLOOKUP($Q25,武学奇术!$A:$ZZ,9,FALSE)+SUM(_xlfn.XLOOKUP(R25:AF25,增益!$A:$A,增益!$I:$I,0)))/200,($F$11-$I$4+VLOOKUP($Q25,武学奇术!$A:$ZZ,9,FALSE)+SUM(_xlfn.XLOOKUP(R25:AF25,增益!$A:$A,增益!$I:$I,0)))/100)</f>
        <v>-0.3</v>
      </c>
      <c r="AV25" s="35" cm="1">
        <f t="array" ref="AV25">$G$11+VLOOKUP($Q25,武学奇术!$A:$ZZ,10,FALSE)+SUM(_xlfn.XLOOKUP(R25:AF25,增益!$A:$A,增益!$J:$J,0))</f>
        <v>0</v>
      </c>
      <c r="AW25">
        <f t="shared" si="3"/>
        <v>0</v>
      </c>
      <c r="AX25">
        <f t="shared" si="4"/>
        <v>0</v>
      </c>
      <c r="AY25" s="35" cm="1">
        <f t="array" ref="AY25">IF($F$12-$I$4+VLOOKUP($Q25,武学奇术!$A:$ZZ,11,FALSE)+SUM(_xlfn.XLOOKUP(R25:AF25,增益!$A:$A,增益!$K:$K,0))&gt;0,($F$12-$I$4+VLOOKUP($Q25,武学奇术!$A:$ZZ,11,FALSE)+SUM(_xlfn.XLOOKUP(R25:AF25,增益!$A:$A,增益!$K:$K,0)))/200,($F$12-$I$4+VLOOKUP($Q25,武学奇术!$A:$ZZ,11,FALSE)+SUM(_xlfn.XLOOKUP(R25:AF25,增益!$A:$A,增益!$K:$K,0)))/100)</f>
        <v>-0.3</v>
      </c>
      <c r="AZ25" s="35" cm="1">
        <f t="array" ref="AZ25">$G$12+VLOOKUP($Q25,武学奇术!$A:$ZZ,12,FALSE)+SUM(_xlfn.XLOOKUP(R25:AF25,增益!$A:$A,增益!$L:$L,0))</f>
        <v>0</v>
      </c>
      <c r="BA25">
        <f t="shared" si="5"/>
        <v>0</v>
      </c>
      <c r="BB25">
        <f t="shared" si="6"/>
        <v>0</v>
      </c>
      <c r="BC25" s="35" cm="1">
        <f t="array" ref="BC25">IF($F$13-$I$4+VLOOKUP($Q25,武学奇术!$A:$ZZ,13,FALSE)+SUM(_xlfn.XLOOKUP(R25:AF25,增益!$A:$A,增益!$M:$M,0))&gt;0,($F$13-$I$4+VLOOKUP($Q25,武学奇术!$A:$ZZ,13,FALSE)+SUM(_xlfn.XLOOKUP(R25:AF25,增益!$A:$A,增益!$K:$K,0)))/200,($F$13-$I$4+VLOOKUP($Q25,武学奇术!$A:$ZZ,13,FALSE)+SUM(_xlfn.XLOOKUP(R25:AF25,增益!$A:$A,增益!$M:$M,0)))/100)</f>
        <v>-0.3</v>
      </c>
      <c r="BD25" s="35" cm="1">
        <f t="array" ref="BD25">$G$13+VLOOKUP($Q25,武学奇术!$A:$ZZ,14,FALSE)+SUM(_xlfn.XLOOKUP(R25:AF25,增益!$A:$A,增益!$N:$N,0))</f>
        <v>0</v>
      </c>
      <c r="BE25">
        <f t="shared" si="7"/>
        <v>538</v>
      </c>
      <c r="BF25">
        <f t="shared" si="8"/>
        <v>1561.4</v>
      </c>
      <c r="BG25" s="35" cm="1">
        <f t="array" ref="BG25">IF($F$14-$I$4+VLOOKUP($Q25,武学奇术!$A:$ZZ,15,FALSE)+SUM(_xlfn.XLOOKUP(R25:AF25,增益!$A:$A,增益!$O:$O,0))&gt;0,($F$14-$I$4+VLOOKUP($Q25,武学奇术!$A:$ZZ,15,FALSE)+SUM(_xlfn.XLOOKUP(R25:AF25,增益!$A:$A,增益!$O:$O,0)))/200,($F$14-$I$4+VLOOKUP($Q25,武学奇术!$A:$ZZ,15,FALSE)+SUM(_xlfn.XLOOKUP(R25:AF25,增益!$A:$A,增益!$O:$O,0)))/100)</f>
        <v>0</v>
      </c>
      <c r="BH25" s="35" cm="1">
        <f t="array" ref="BH25">$G$14+VLOOKUP($Q25,武学奇术!$A:$ZZ,16,FALSE)+SUM(_xlfn.XLOOKUP(R25:AF25,增益!$A:$A,增益!$P:$P,0))</f>
        <v>0.15</v>
      </c>
      <c r="BI25" s="30">
        <f>MIN(IF(VLOOKUP($Q25,武学奇术!$A:$ZZ,23,FALSE)=1,100%,$B$8),100%)</f>
        <v>0.9712</v>
      </c>
      <c r="BJ25" s="30" cm="1">
        <f t="array" ref="BJ25">IF(VLOOKUP($Q25,武学奇术!$A:$ZZ,23,FALSE)=1,100%,MIN(80%,$B$9+VLOOKUP($Q25,武学奇术!$A:$ZZ,17,FALSE)+SUM(_xlfn.XLOOKUP(R25:AF25,增益!$A:$A,增益!$Q:$Q,0)))+$B$11+SUM(_xlfn.XLOOKUP(R25:AF25,增益!$A:$A,增益!$U:$U,0)))*IF(VLOOKUP($Q25,武学奇术!$A:$ZZ,24,FALSE)=1,0,1)</f>
        <v>0.8773</v>
      </c>
      <c r="BK25" s="30" cm="1">
        <f t="array" ref="BK25">1+$B$13+VLOOKUP($Q25,武学奇术!$A:$ZZ,18,FALSE)+SUM(_xlfn.XLOOKUP(R25:AF25,增益!$A:$A,增益!$R:$R,0))</f>
        <v>1.5</v>
      </c>
      <c r="BL25" s="30" cm="1">
        <f t="array" ref="BL25">IF(VLOOKUP($Q25,武学奇术!$A:$ZZ,24,FALSE)=1,100%,MIN(40%,$B$10+VLOOKUP($Q25,武学奇术!$A:$ZZ,19,FALSE)+SUM(_xlfn.XLOOKUP(R25:AF25,增益!$A:$A,增益!$S:$S,0)))+$B$12+SUM(_xlfn.XLOOKUP(R25:AF25,增益!$A:$A,增益!$V:$V,0)))*IF(VLOOKUP($Q25,武学奇术!$A:$ZZ,23,FALSE)=1,0,1)</f>
        <v>0.0895</v>
      </c>
      <c r="BM25" s="30" cm="1">
        <f t="array" ref="BM25">1+$B$14+VLOOKUP($Q25,武学奇术!$A:$ZZ,20,FALSE)+SUM(_xlfn.XLOOKUP(R25:AF25,增益!$A:$A,增益!$T:$T,0))</f>
        <v>1.35</v>
      </c>
      <c r="BN25" s="30">
        <f t="shared" si="9"/>
        <v>0.85203376</v>
      </c>
      <c r="BO25" s="30">
        <f t="shared" si="10"/>
        <v>0.03224384</v>
      </c>
      <c r="BP25" s="30">
        <f>IF(VLOOKUP($Q25,武学奇术!$A:$ZZ,22,FALSE)=1,0,(1-$BI25))*(1-$BL25)</f>
        <v>0.0262224</v>
      </c>
      <c r="BQ25" s="30" cm="1">
        <f t="array" ref="BQ25">SUM(_xlfn.XLOOKUP(R25:AF25,增益!$A:$A,增益!$W:$W,0))+$I$5</f>
        <v>0.11</v>
      </c>
    </row>
    <row r="26" spans="1:69">
      <c r="K26" s="41">
        <f t="shared" ref="K26:K48" si="11">($L26*$BN26+$M26*$BL26+$N26*$BO26+$O26*$BP26)</f>
        <v>59440.1570304281</v>
      </c>
      <c r="L26" s="41">
        <f>((($AN26+$AO26)/2*$AH26+$AI26)*(1+$AP26)*(1+$AQ26)+(($AS26+$AT26)/2*IF($G$1="鸣金",$AJ26,$AH26)+IF($G$1="鸣金",$AK26*1.5,0))*(1+$AU26)*(1+$AV26)+(($AW26+$AX26)/2*IF($G$1="裂石",$AJ26,$AH26)+IF($G$1="裂石",$AK26*1.5,0))*(1+$AY26)*(1+$AZ26)+(($BA26+$BB26)/2*IF($G$1="牵丝",$AJ26,$AH26)+IF($G$1="牵丝",$AK26*1.5,0))*(1+$BC26)*(1+$BD26)+(($BE26+$BF26)/2*IF($G$1="破竹",$AJ26,$AH26)+IF($G$1="破竹",$AK26*1.5,0))*(1+$BG26)*(1+$BH26))*(1+$AL26)*$BK26*$P26*(1+IF(VLOOKUP($Q26,武学奇术!$A:$ZZ,30,FALSE)="回旋伞",$B$21,0))*(1+$BQ26)</f>
        <v>62163.2526355788</v>
      </c>
      <c r="M26" s="41">
        <f>(($AO26*$AH26+$AI26)*(1+$AP26)*(1+$AQ26)+($AT26*IF($G$1="鸣金",$AJ26,$AH26)+IF($G$1="鸣金",$AK26*1.5,0))*(1+$AU26)*(1+$AV26)+($AX26*IF($G$1="裂石",$AJ26,$AH26)+IF($G$1="裂石",$AK26*1.5,0))*(1+$AY26)*(1+$AZ26)+($BB26*IF($G$1="牵丝",$AJ26,$AH26)+IF($G$1="牵丝",$AK26*1.5,0))*(1+$BC26)*(1+$BD26)+($BF26*IF($G$1="破竹",$AJ26,$AH26)+IF($G$1="破竹",$AK26*1.5,0))*(1+$BG26)*(1+$BH26))*(1+$AL26)*$BM26*$P26*(1+IF(VLOOKUP($Q26,武学奇术!$A:$ZZ,30,FALSE)="回旋伞",$B$21,0))*(1+$BQ26)</f>
        <v>51346.8169549586</v>
      </c>
      <c r="N26" s="41">
        <f>((($AN26+$AO26)/2*$AH26+$AI26)*(1+$AP26)*(1+$AQ26)+(($AS26+$AT26)/2*IF($G$1="鸣金",$AJ26,$AH26)+IF($G$1="鸣金",$AK26*1.5,0))*(1+$AU26)*(1+$AV26)+(($AW26+$AX26)/2*IF($G$1="裂石",$AJ26,$AH26)+IF($G$1="裂石",$AK26*1.5,0))*(1+$AY26)*(1+$AZ26)+(($BA26+$BB26)/2*IF($G$1="牵丝",$AJ26,$AH26)+IF($G$1="牵丝",$AK26*1.5,0))*(1+$BC26)*(1+$BD26)+(($BE26+$BF26)/2*IF($G$1="破竹",$AJ26,$AH26)+IF($G$1="破竹",$AK26*1.5,0))*(1+$BG26)*(1+$BH26))*(1+$AL26)*$P26*(1+IF(VLOOKUP($Q26,武学奇术!$A:$ZZ,30,FALSE)="回旋伞",$B$21,0))*(1+$BQ26)</f>
        <v>33968.9905112452</v>
      </c>
      <c r="O26" s="41">
        <f>((($AN26*$AH26+$AI26)*(1+$AP26)*(1+$AQ26)+($AS26*IF($G$1="鸣金",$AJ26,$AH26)+IF($G$1="鸣金",$AK26*1.5,0))*(1+$AU26)*(1+$AV26)+($AW26*IF($G$1="裂石",$AJ26,$AH26)+IF($G$1="裂石",$AK26*1.5,0))*(1+$AY26)*(1+$AZ26)+($BA26*IF($G$1="牵丝",$AJ26,$AH26)+IF($G$1="牵丝",$AK26*1.5,0))*(1+$BC26)*(1+$BD26)+($BE26*IF($G$1="破竹",$AJ26,$AH26)+IF($G$1="破竹",$AK26*1.5,0))*(1+$BG26)*(1+$BH26))*(1+$AL26))*$P26*(1+IF(VLOOKUP($Q26,武学奇术!$A:$ZZ,30,FALSE)="回旋伞",$B$21,0))*(1+$BQ26)</f>
        <v>29903.3017965953</v>
      </c>
      <c r="P26" s="42">
        <v>1</v>
      </c>
      <c r="Q26" s="43" t="s">
        <v>104</v>
      </c>
      <c r="R26" s="43" t="s">
        <v>105</v>
      </c>
      <c r="S26" s="43" t="s">
        <v>91</v>
      </c>
      <c r="T26" s="43" t="s">
        <v>72</v>
      </c>
      <c r="U26" s="43" t="s">
        <v>71</v>
      </c>
      <c r="V26" s="43" t="s">
        <v>153</v>
      </c>
      <c r="W26" s="43" t="s">
        <v>95</v>
      </c>
      <c r="X26" s="43" t="s">
        <v>71</v>
      </c>
      <c r="Y26" s="43" t="s">
        <v>71</v>
      </c>
      <c r="Z26" s="43" t="s">
        <v>71</v>
      </c>
      <c r="AA26" s="43" t="s">
        <v>71</v>
      </c>
      <c r="AB26" s="43" t="s">
        <v>71</v>
      </c>
      <c r="AC26" s="43" t="s">
        <v>71</v>
      </c>
      <c r="AD26" s="43" t="s">
        <v>71</v>
      </c>
      <c r="AE26" s="43" t="s">
        <v>71</v>
      </c>
      <c r="AF26" s="43" t="s">
        <v>76</v>
      </c>
      <c r="AG26" t="str">
        <f>VLOOKUP($Q26,武学奇术!$A:$ZZ,25,FALSE)</f>
        <v>伞</v>
      </c>
      <c r="AH26" s="30">
        <f>VLOOKUP($Q26,武学奇术!$A:$ZZ,26,FALSE)</f>
        <v>1.8084</v>
      </c>
      <c r="AI26" s="31">
        <f>VLOOKUP($Q26,武学奇术!$A:$ZZ,27,FALSE)*(1+IF(OR($AG26=$F$4,$AG26=$F$5),$B$22,0))</f>
        <v>700</v>
      </c>
      <c r="AJ26" s="30">
        <f>VLOOKUP($Q26,武学奇术!$A:$ZZ,28,FALSE)</f>
        <v>2.7126</v>
      </c>
      <c r="AK26" s="31">
        <f>VLOOKUP($Q26,武学奇术!$A:$ZZ,29,FALSE)*(1+IF(OR($AG26=$F$4,$AG26=$F$5),$B$22,0))</f>
        <v>380.8</v>
      </c>
      <c r="AL26" s="30" cm="1">
        <f t="array" ref="AL26">$G$3+IFERROR(VLOOKUP($AG26,$F$4:$G$7,2,FALSE),0)+VLOOKUP($Q26,武学奇术!$A:$ZZ,2,FALSE)+SUM(_xlfn.XLOOKUP($R26:$AF26,增益!$A:$A,增益!$B:$B,0))</f>
        <v>0.5741</v>
      </c>
      <c r="AM26" s="30" cm="1">
        <f t="array" ref="AM26">VLOOKUP($Q26,武学奇术!$A:$ZZ,5,FALSE)+SUM(_xlfn.XLOOKUP($R26:$AF26,增益!$A:$A,增益!$E:$E,0))</f>
        <v>0</v>
      </c>
      <c r="AN26" cm="1">
        <f t="array" ref="AN26">$D$10*(1+$AM26)+VLOOKUP($Q26,武学奇术!$A:$ZZ,3,FALSE)+SUM(_xlfn.XLOOKUP($R26:$AF26,增益!$A:$A,增益!$C:$C,0))-$I$2</f>
        <v>3483.8</v>
      </c>
      <c r="AO26" cm="1">
        <f t="array" ref="AO26">$E$10*(1+$AM26)+VLOOKUP($Q26,武学奇术!$A:$ZZ,4,FALSE)+SUM(_xlfn.XLOOKUP($R26:$AF26,增益!$A:$A,增益!$D:$D,0))-$I$2</f>
        <v>3483.8</v>
      </c>
      <c r="AP26" s="35" cm="1">
        <f t="array" ref="AP26">IF($F$10-$I$3+VLOOKUP($Q26,武学奇术!$A:$ZZ,6,FALSE)+SUM(_xlfn.XLOOKUP(R26:AF26,增益!$A:$A,增益!$F:$F,0))&gt;0,($F$10-$I$3+VLOOKUP($Q26,武学奇术!$A:$ZZ,6,FALSE)+SUM(_xlfn.XLOOKUP(R26:AF26,增益!$A:$A,增益!$F:$F,0)))/200,($F$10-$I$3+VLOOKUP($Q26,武学奇术!$A:$ZZ,6,FALSE)+SUM(_xlfn.XLOOKUP(R26:AF26,增益!$A:$A,增益!$F:$F,0)))/100)</f>
        <v>0.2925</v>
      </c>
      <c r="AQ26" s="35" cm="1">
        <f t="array" ref="AQ26">$G$10+VLOOKUP($Q26,武学奇术!$A:$ZZ,7,FALSE)+SUM(_xlfn.XLOOKUP(R26:AF26,增益!$A:$A,增益!$G:$G,0))</f>
        <v>0.148</v>
      </c>
      <c r="AR26" s="30" cm="1">
        <f t="array" ref="AR26">VLOOKUP($Q26,武学奇术!$A:$ZZ,8,FALSE)+SUM(_xlfn.XLOOKUP(R26:AF26,增益!$A:$A,增益!$H:$H,0))</f>
        <v>0</v>
      </c>
      <c r="AS26">
        <f t="shared" si="1"/>
        <v>0</v>
      </c>
      <c r="AT26">
        <f t="shared" si="2"/>
        <v>0</v>
      </c>
      <c r="AU26" s="35" cm="1">
        <f t="array" ref="AU26">IF($F$11-$I$4+VLOOKUP($Q26,武学奇术!$A:$ZZ,9,FALSE)+SUM(_xlfn.XLOOKUP(R26:AF26,增益!$A:$A,增益!$I:$I,0))&gt;0,($F$11-$I$4+VLOOKUP($Q26,武学奇术!$A:$ZZ,9,FALSE)+SUM(_xlfn.XLOOKUP(R26:AF26,增益!$A:$A,增益!$I:$I,0)))/200,($F$11-$I$4+VLOOKUP($Q26,武学奇术!$A:$ZZ,9,FALSE)+SUM(_xlfn.XLOOKUP(R26:AF26,增益!$A:$A,增益!$I:$I,0)))/100)</f>
        <v>-0.3</v>
      </c>
      <c r="AV26" s="35" cm="1">
        <f t="array" ref="AV26">$G$11+VLOOKUP($Q26,武学奇术!$A:$ZZ,10,FALSE)+SUM(_xlfn.XLOOKUP(R26:AF26,增益!$A:$A,增益!$J:$J,0))</f>
        <v>0</v>
      </c>
      <c r="AW26">
        <f t="shared" si="3"/>
        <v>0</v>
      </c>
      <c r="AX26">
        <f t="shared" si="4"/>
        <v>0</v>
      </c>
      <c r="AY26" s="35" cm="1">
        <f t="array" ref="AY26">IF($F$12-$I$4+VLOOKUP($Q26,武学奇术!$A:$ZZ,11,FALSE)+SUM(_xlfn.XLOOKUP(R26:AF26,增益!$A:$A,增益!$K:$K,0))&gt;0,($F$12-$I$4+VLOOKUP($Q26,武学奇术!$A:$ZZ,11,FALSE)+SUM(_xlfn.XLOOKUP(R26:AF26,增益!$A:$A,增益!$K:$K,0)))/200,($F$12-$I$4+VLOOKUP($Q26,武学奇术!$A:$ZZ,11,FALSE)+SUM(_xlfn.XLOOKUP(R26:AF26,增益!$A:$A,增益!$K:$K,0)))/100)</f>
        <v>-0.3</v>
      </c>
      <c r="AZ26" s="35" cm="1">
        <f t="array" ref="AZ26">$G$12+VLOOKUP($Q26,武学奇术!$A:$ZZ,12,FALSE)+SUM(_xlfn.XLOOKUP(R26:AF26,增益!$A:$A,增益!$L:$L,0))</f>
        <v>0</v>
      </c>
      <c r="BA26">
        <f t="shared" si="5"/>
        <v>0</v>
      </c>
      <c r="BB26">
        <f t="shared" si="6"/>
        <v>0</v>
      </c>
      <c r="BC26" s="35" cm="1">
        <f t="array" ref="BC26">IF($F$13-$I$4+VLOOKUP($Q26,武学奇术!$A:$ZZ,13,FALSE)+SUM(_xlfn.XLOOKUP(R26:AF26,增益!$A:$A,增益!$M:$M,0))&gt;0,($F$13-$I$4+VLOOKUP($Q26,武学奇术!$A:$ZZ,13,FALSE)+SUM(_xlfn.XLOOKUP(R26:AF26,增益!$A:$A,增益!$K:$K,0)))/200,($F$13-$I$4+VLOOKUP($Q26,武学奇术!$A:$ZZ,13,FALSE)+SUM(_xlfn.XLOOKUP(R26:AF26,增益!$A:$A,增益!$M:$M,0)))/100)</f>
        <v>-0.3</v>
      </c>
      <c r="BD26" s="35" cm="1">
        <f t="array" ref="BD26">$G$13+VLOOKUP($Q26,武学奇术!$A:$ZZ,14,FALSE)+SUM(_xlfn.XLOOKUP(R26:AF26,增益!$A:$A,增益!$N:$N,0))</f>
        <v>0</v>
      </c>
      <c r="BE26">
        <f t="shared" si="7"/>
        <v>538</v>
      </c>
      <c r="BF26">
        <f t="shared" si="8"/>
        <v>1561.4</v>
      </c>
      <c r="BG26" s="35" cm="1">
        <f t="array" ref="BG26">IF($F$14-$I$4+VLOOKUP($Q26,武学奇术!$A:$ZZ,15,FALSE)+SUM(_xlfn.XLOOKUP(R26:AF26,增益!$A:$A,增益!$O:$O,0))&gt;0,($F$14-$I$4+VLOOKUP($Q26,武学奇术!$A:$ZZ,15,FALSE)+SUM(_xlfn.XLOOKUP(R26:AF26,增益!$A:$A,增益!$O:$O,0)))/200,($F$14-$I$4+VLOOKUP($Q26,武学奇术!$A:$ZZ,15,FALSE)+SUM(_xlfn.XLOOKUP(R26:AF26,增益!$A:$A,增益!$O:$O,0)))/100)</f>
        <v>0</v>
      </c>
      <c r="BH26" s="35" cm="1">
        <f t="array" ref="BH26">$G$14+VLOOKUP($Q26,武学奇术!$A:$ZZ,16,FALSE)+SUM(_xlfn.XLOOKUP(R26:AF26,增益!$A:$A,增益!$P:$P,0))</f>
        <v>0.27</v>
      </c>
      <c r="BI26" s="30">
        <f>MIN(IF(VLOOKUP($Q26,武学奇术!$A:$ZZ,23,FALSE)=1,100%,$B$8),100%)</f>
        <v>0.9712</v>
      </c>
      <c r="BJ26" s="30" cm="1">
        <f t="array" ref="BJ26">IF(VLOOKUP($Q26,武学奇术!$A:$ZZ,23,FALSE)=1,100%,MIN(80%,$B$9+VLOOKUP($Q26,武学奇术!$A:$ZZ,17,FALSE)+SUM(_xlfn.XLOOKUP(R26:AF26,增益!$A:$A,增益!$Q:$Q,0)))+$B$11+SUM(_xlfn.XLOOKUP(R26:AF26,增益!$A:$A,增益!$U:$U,0)))*IF(VLOOKUP($Q26,武学奇术!$A:$ZZ,24,FALSE)=1,0,1)</f>
        <v>0.8773</v>
      </c>
      <c r="BK26" s="30" cm="1">
        <f t="array" ref="BK26">1+$B$13+VLOOKUP($Q26,武学奇术!$A:$ZZ,18,FALSE)+SUM(_xlfn.XLOOKUP(R26:AF26,增益!$A:$A,增益!$R:$R,0))</f>
        <v>1.83</v>
      </c>
      <c r="BL26" s="30" cm="1">
        <f t="array" ref="BL26">IF(VLOOKUP($Q26,武学奇术!$A:$ZZ,24,FALSE)=1,100%,MIN(40%,$B$10+VLOOKUP($Q26,武学奇术!$A:$ZZ,19,FALSE)+SUM(_xlfn.XLOOKUP(R26:AF26,增益!$A:$A,增益!$S:$S,0)))+$B$12+SUM(_xlfn.XLOOKUP(R26:AF26,增益!$A:$A,增益!$V:$V,0)))*IF(VLOOKUP($Q26,武学奇术!$A:$ZZ,23,FALSE)=1,0,1)</f>
        <v>0.0895</v>
      </c>
      <c r="BM26" s="30" cm="1">
        <f t="array" ref="BM26">1+$B$14+VLOOKUP($Q26,武学奇术!$A:$ZZ,20,FALSE)+SUM(_xlfn.XLOOKUP(R26:AF26,增益!$A:$A,增益!$T:$T,0))</f>
        <v>1.35</v>
      </c>
      <c r="BN26" s="30">
        <f t="shared" si="9"/>
        <v>0.85203376</v>
      </c>
      <c r="BO26" s="30">
        <f t="shared" si="10"/>
        <v>0.03224384</v>
      </c>
      <c r="BP26" s="30">
        <f>IF(VLOOKUP($Q26,武学奇术!$A:$ZZ,22,FALSE)=1,0,(1-$BI26))*(1-$BL26)</f>
        <v>0.0262224</v>
      </c>
      <c r="BQ26" s="30" cm="1">
        <f t="array" ref="BQ26">SUM(_xlfn.XLOOKUP(R26:AF26,增益!$A:$A,增益!$W:$W,0))+$I$5</f>
        <v>0.11</v>
      </c>
    </row>
    <row r="27" spans="1:69">
      <c r="K27" s="41">
        <f t="shared" si="11"/>
        <v>59440.1570304281</v>
      </c>
      <c r="L27" s="41">
        <f>((($AN27+$AO27)/2*$AH27+$AI27)*(1+$AP27)*(1+$AQ27)+(($AS27+$AT27)/2*IF($G$1="鸣金",$AJ27,$AH27)+IF($G$1="鸣金",$AK27*1.5,0))*(1+$AU27)*(1+$AV27)+(($AW27+$AX27)/2*IF($G$1="裂石",$AJ27,$AH27)+IF($G$1="裂石",$AK27*1.5,0))*(1+$AY27)*(1+$AZ27)+(($BA27+$BB27)/2*IF($G$1="牵丝",$AJ27,$AH27)+IF($G$1="牵丝",$AK27*1.5,0))*(1+$BC27)*(1+$BD27)+(($BE27+$BF27)/2*IF($G$1="破竹",$AJ27,$AH27)+IF($G$1="破竹",$AK27*1.5,0))*(1+$BG27)*(1+$BH27))*(1+$AL27)*$BK27*$P27*(1+IF(VLOOKUP($Q27,武学奇术!$A:$ZZ,30,FALSE)="回旋伞",$B$21,0))*(1+$BQ27)</f>
        <v>62163.2526355788</v>
      </c>
      <c r="M27" s="41">
        <f>(($AO27*$AH27+$AI27)*(1+$AP27)*(1+$AQ27)+($AT27*IF($G$1="鸣金",$AJ27,$AH27)+IF($G$1="鸣金",$AK27*1.5,0))*(1+$AU27)*(1+$AV27)+($AX27*IF($G$1="裂石",$AJ27,$AH27)+IF($G$1="裂石",$AK27*1.5,0))*(1+$AY27)*(1+$AZ27)+($BB27*IF($G$1="牵丝",$AJ27,$AH27)+IF($G$1="牵丝",$AK27*1.5,0))*(1+$BC27)*(1+$BD27)+($BF27*IF($G$1="破竹",$AJ27,$AH27)+IF($G$1="破竹",$AK27*1.5,0))*(1+$BG27)*(1+$BH27))*(1+$AL27)*$BM27*$P27*(1+IF(VLOOKUP($Q27,武学奇术!$A:$ZZ,30,FALSE)="回旋伞",$B$21,0))*(1+$BQ27)</f>
        <v>51346.8169549586</v>
      </c>
      <c r="N27" s="41">
        <f>((($AN27+$AO27)/2*$AH27+$AI27)*(1+$AP27)*(1+$AQ27)+(($AS27+$AT27)/2*IF($G$1="鸣金",$AJ27,$AH27)+IF($G$1="鸣金",$AK27*1.5,0))*(1+$AU27)*(1+$AV27)+(($AW27+$AX27)/2*IF($G$1="裂石",$AJ27,$AH27)+IF($G$1="裂石",$AK27*1.5,0))*(1+$AY27)*(1+$AZ27)+(($BA27+$BB27)/2*IF($G$1="牵丝",$AJ27,$AH27)+IF($G$1="牵丝",$AK27*1.5,0))*(1+$BC27)*(1+$BD27)+(($BE27+$BF27)/2*IF($G$1="破竹",$AJ27,$AH27)+IF($G$1="破竹",$AK27*1.5,0))*(1+$BG27)*(1+$BH27))*(1+$AL27)*$P27*(1+IF(VLOOKUP($Q27,武学奇术!$A:$ZZ,30,FALSE)="回旋伞",$B$21,0))*(1+$BQ27)</f>
        <v>33968.9905112452</v>
      </c>
      <c r="O27" s="41">
        <f>((($AN27*$AH27+$AI27)*(1+$AP27)*(1+$AQ27)+($AS27*IF($G$1="鸣金",$AJ27,$AH27)+IF($G$1="鸣金",$AK27*1.5,0))*(1+$AU27)*(1+$AV27)+($AW27*IF($G$1="裂石",$AJ27,$AH27)+IF($G$1="裂石",$AK27*1.5,0))*(1+$AY27)*(1+$AZ27)+($BA27*IF($G$1="牵丝",$AJ27,$AH27)+IF($G$1="牵丝",$AK27*1.5,0))*(1+$BC27)*(1+$BD27)+($BE27*IF($G$1="破竹",$AJ27,$AH27)+IF($G$1="破竹",$AK27*1.5,0))*(1+$BG27)*(1+$BH27))*(1+$AL27))*$P27*(1+IF(VLOOKUP($Q27,武学奇术!$A:$ZZ,30,FALSE)="回旋伞",$B$21,0))*(1+$BQ27)</f>
        <v>29903.3017965953</v>
      </c>
      <c r="P27" s="42">
        <v>1</v>
      </c>
      <c r="Q27" s="43" t="s">
        <v>104</v>
      </c>
      <c r="R27" s="43" t="s">
        <v>105</v>
      </c>
      <c r="S27" s="43" t="s">
        <v>91</v>
      </c>
      <c r="T27" s="43" t="s">
        <v>72</v>
      </c>
      <c r="U27" s="43" t="s">
        <v>71</v>
      </c>
      <c r="V27" s="43" t="s">
        <v>153</v>
      </c>
      <c r="W27" s="43" t="s">
        <v>95</v>
      </c>
      <c r="X27" s="43" t="s">
        <v>71</v>
      </c>
      <c r="Y27" s="43" t="s">
        <v>71</v>
      </c>
      <c r="Z27" s="43" t="s">
        <v>71</v>
      </c>
      <c r="AA27" s="43" t="s">
        <v>109</v>
      </c>
      <c r="AB27" s="43" t="s">
        <v>71</v>
      </c>
      <c r="AC27" s="43" t="s">
        <v>71</v>
      </c>
      <c r="AD27" s="43" t="s">
        <v>71</v>
      </c>
      <c r="AE27" s="43" t="s">
        <v>71</v>
      </c>
      <c r="AF27" s="43" t="s">
        <v>76</v>
      </c>
      <c r="AG27" t="str">
        <f>VLOOKUP($Q27,武学奇术!$A:$ZZ,25,FALSE)</f>
        <v>伞</v>
      </c>
      <c r="AH27" s="30">
        <f>VLOOKUP($Q27,武学奇术!$A:$ZZ,26,FALSE)</f>
        <v>1.8084</v>
      </c>
      <c r="AI27" s="31">
        <f>VLOOKUP($Q27,武学奇术!$A:$ZZ,27,FALSE)*(1+IF(OR($AG27=$F$4,$AG27=$F$5),$B$22,0))</f>
        <v>700</v>
      </c>
      <c r="AJ27" s="30">
        <f>VLOOKUP($Q27,武学奇术!$A:$ZZ,28,FALSE)</f>
        <v>2.7126</v>
      </c>
      <c r="AK27" s="31">
        <f>VLOOKUP($Q27,武学奇术!$A:$ZZ,29,FALSE)*(1+IF(OR($AG27=$F$4,$AG27=$F$5),$B$22,0))</f>
        <v>380.8</v>
      </c>
      <c r="AL27" s="30" cm="1">
        <f t="array" ref="AL27">$G$3+IFERROR(VLOOKUP($AG27,$F$4:$G$7,2,FALSE),0)+VLOOKUP($Q27,武学奇术!$A:$ZZ,2,FALSE)+SUM(_xlfn.XLOOKUP($R27:$AF27,增益!$A:$A,增益!$B:$B,0))</f>
        <v>0.5741</v>
      </c>
      <c r="AM27" s="30" cm="1">
        <f t="array" ref="AM27">VLOOKUP($Q27,武学奇术!$A:$ZZ,5,FALSE)+SUM(_xlfn.XLOOKUP($R27:$AF27,增益!$A:$A,增益!$E:$E,0))</f>
        <v>0</v>
      </c>
      <c r="AN27" cm="1">
        <f t="array" ref="AN27">$D$10*(1+$AM27)+VLOOKUP($Q27,武学奇术!$A:$ZZ,3,FALSE)+SUM(_xlfn.XLOOKUP($R27:$AF27,增益!$A:$A,增益!$C:$C,0))-$I$2</f>
        <v>3483.8</v>
      </c>
      <c r="AO27" cm="1">
        <f t="array" ref="AO27">$E$10*(1+$AM27)+VLOOKUP($Q27,武学奇术!$A:$ZZ,4,FALSE)+SUM(_xlfn.XLOOKUP($R27:$AF27,增益!$A:$A,增益!$D:$D,0))-$I$2</f>
        <v>3483.8</v>
      </c>
      <c r="AP27" s="35" cm="1">
        <f t="array" ref="AP27">IF($F$10-$I$3+VLOOKUP($Q27,武学奇术!$A:$ZZ,6,FALSE)+SUM(_xlfn.XLOOKUP(R27:AF27,增益!$A:$A,增益!$F:$F,0))&gt;0,($F$10-$I$3+VLOOKUP($Q27,武学奇术!$A:$ZZ,6,FALSE)+SUM(_xlfn.XLOOKUP(R27:AF27,增益!$A:$A,增益!$F:$F,0)))/200,($F$10-$I$3+VLOOKUP($Q27,武学奇术!$A:$ZZ,6,FALSE)+SUM(_xlfn.XLOOKUP(R27:AF27,增益!$A:$A,增益!$F:$F,0)))/100)</f>
        <v>0.2925</v>
      </c>
      <c r="AQ27" s="35" cm="1">
        <f t="array" ref="AQ27">$G$10+VLOOKUP($Q27,武学奇术!$A:$ZZ,7,FALSE)+SUM(_xlfn.XLOOKUP(R27:AF27,增益!$A:$A,增益!$G:$G,0))</f>
        <v>0.148</v>
      </c>
      <c r="AR27" s="30" cm="1">
        <f t="array" ref="AR27">VLOOKUP($Q27,武学奇术!$A:$ZZ,8,FALSE)+SUM(_xlfn.XLOOKUP(R27:AF27,增益!$A:$A,增益!$H:$H,0))</f>
        <v>0</v>
      </c>
      <c r="AS27">
        <f t="shared" si="1"/>
        <v>0</v>
      </c>
      <c r="AT27">
        <f t="shared" si="2"/>
        <v>0</v>
      </c>
      <c r="AU27" s="35" cm="1">
        <f t="array" ref="AU27">IF($F$11-$I$4+VLOOKUP($Q27,武学奇术!$A:$ZZ,9,FALSE)+SUM(_xlfn.XLOOKUP(R27:AF27,增益!$A:$A,增益!$I:$I,0))&gt;0,($F$11-$I$4+VLOOKUP($Q27,武学奇术!$A:$ZZ,9,FALSE)+SUM(_xlfn.XLOOKUP(R27:AF27,增益!$A:$A,增益!$I:$I,0)))/200,($F$11-$I$4+VLOOKUP($Q27,武学奇术!$A:$ZZ,9,FALSE)+SUM(_xlfn.XLOOKUP(R27:AF27,增益!$A:$A,增益!$I:$I,0)))/100)</f>
        <v>-0.3</v>
      </c>
      <c r="AV27" s="35" cm="1">
        <f t="array" ref="AV27">$G$11+VLOOKUP($Q27,武学奇术!$A:$ZZ,10,FALSE)+SUM(_xlfn.XLOOKUP(R27:AF27,增益!$A:$A,增益!$J:$J,0))</f>
        <v>0</v>
      </c>
      <c r="AW27">
        <f t="shared" si="3"/>
        <v>0</v>
      </c>
      <c r="AX27">
        <f t="shared" si="4"/>
        <v>0</v>
      </c>
      <c r="AY27" s="35" cm="1">
        <f t="array" ref="AY27">IF($F$12-$I$4+VLOOKUP($Q27,武学奇术!$A:$ZZ,11,FALSE)+SUM(_xlfn.XLOOKUP(R27:AF27,增益!$A:$A,增益!$K:$K,0))&gt;0,($F$12-$I$4+VLOOKUP($Q27,武学奇术!$A:$ZZ,11,FALSE)+SUM(_xlfn.XLOOKUP(R27:AF27,增益!$A:$A,增益!$K:$K,0)))/200,($F$12-$I$4+VLOOKUP($Q27,武学奇术!$A:$ZZ,11,FALSE)+SUM(_xlfn.XLOOKUP(R27:AF27,增益!$A:$A,增益!$K:$K,0)))/100)</f>
        <v>-0.3</v>
      </c>
      <c r="AZ27" s="35" cm="1">
        <f t="array" ref="AZ27">$G$12+VLOOKUP($Q27,武学奇术!$A:$ZZ,12,FALSE)+SUM(_xlfn.XLOOKUP(R27:AF27,增益!$A:$A,增益!$L:$L,0))</f>
        <v>0</v>
      </c>
      <c r="BA27">
        <f t="shared" si="5"/>
        <v>0</v>
      </c>
      <c r="BB27">
        <f t="shared" si="6"/>
        <v>0</v>
      </c>
      <c r="BC27" s="35" cm="1">
        <f t="array" ref="BC27">IF($F$13-$I$4+VLOOKUP($Q27,武学奇术!$A:$ZZ,13,FALSE)+SUM(_xlfn.XLOOKUP(R27:AF27,增益!$A:$A,增益!$M:$M,0))&gt;0,($F$13-$I$4+VLOOKUP($Q27,武学奇术!$A:$ZZ,13,FALSE)+SUM(_xlfn.XLOOKUP(R27:AF27,增益!$A:$A,增益!$K:$K,0)))/200,($F$13-$I$4+VLOOKUP($Q27,武学奇术!$A:$ZZ,13,FALSE)+SUM(_xlfn.XLOOKUP(R27:AF27,增益!$A:$A,增益!$M:$M,0)))/100)</f>
        <v>-0.3</v>
      </c>
      <c r="BD27" s="35" cm="1">
        <f t="array" ref="BD27">$G$13+VLOOKUP($Q27,武学奇术!$A:$ZZ,14,FALSE)+SUM(_xlfn.XLOOKUP(R27:AF27,增益!$A:$A,增益!$N:$N,0))</f>
        <v>0</v>
      </c>
      <c r="BE27">
        <f t="shared" si="7"/>
        <v>538</v>
      </c>
      <c r="BF27">
        <f t="shared" si="8"/>
        <v>1561.4</v>
      </c>
      <c r="BG27" s="35" cm="1">
        <f t="array" ref="BG27">IF($F$14-$I$4+VLOOKUP($Q27,武学奇术!$A:$ZZ,15,FALSE)+SUM(_xlfn.XLOOKUP(R27:AF27,增益!$A:$A,增益!$O:$O,0))&gt;0,($F$14-$I$4+VLOOKUP($Q27,武学奇术!$A:$ZZ,15,FALSE)+SUM(_xlfn.XLOOKUP(R27:AF27,增益!$A:$A,增益!$O:$O,0)))/200,($F$14-$I$4+VLOOKUP($Q27,武学奇术!$A:$ZZ,15,FALSE)+SUM(_xlfn.XLOOKUP(R27:AF27,增益!$A:$A,增益!$O:$O,0)))/100)</f>
        <v>0</v>
      </c>
      <c r="BH27" s="35" cm="1">
        <f t="array" ref="BH27">$G$14+VLOOKUP($Q27,武学奇术!$A:$ZZ,16,FALSE)+SUM(_xlfn.XLOOKUP(R27:AF27,增益!$A:$A,增益!$P:$P,0))</f>
        <v>0.27</v>
      </c>
      <c r="BI27" s="30">
        <f>MIN(IF(VLOOKUP($Q27,武学奇术!$A:$ZZ,23,FALSE)=1,100%,$B$8),100%)</f>
        <v>0.9712</v>
      </c>
      <c r="BJ27" s="30" cm="1">
        <f t="array" ref="BJ27">IF(VLOOKUP($Q27,武学奇术!$A:$ZZ,23,FALSE)=1,100%,MIN(80%,$B$9+VLOOKUP($Q27,武学奇术!$A:$ZZ,17,FALSE)+SUM(_xlfn.XLOOKUP(R27:AF27,增益!$A:$A,增益!$Q:$Q,0)))+$B$11+SUM(_xlfn.XLOOKUP(R27:AF27,增益!$A:$A,增益!$U:$U,0)))*IF(VLOOKUP($Q27,武学奇术!$A:$ZZ,24,FALSE)=1,0,1)</f>
        <v>0.8773</v>
      </c>
      <c r="BK27" s="30" cm="1">
        <f t="array" ref="BK27">1+$B$13+VLOOKUP($Q27,武学奇术!$A:$ZZ,18,FALSE)+SUM(_xlfn.XLOOKUP(R27:AF27,增益!$A:$A,增益!$R:$R,0))</f>
        <v>1.83</v>
      </c>
      <c r="BL27" s="30" cm="1">
        <f t="array" ref="BL27">IF(VLOOKUP($Q27,武学奇术!$A:$ZZ,24,FALSE)=1,100%,MIN(40%,$B$10+VLOOKUP($Q27,武学奇术!$A:$ZZ,19,FALSE)+SUM(_xlfn.XLOOKUP(R27:AF27,增益!$A:$A,增益!$S:$S,0)))+$B$12+SUM(_xlfn.XLOOKUP(R27:AF27,增益!$A:$A,增益!$V:$V,0)))*IF(VLOOKUP($Q27,武学奇术!$A:$ZZ,23,FALSE)=1,0,1)</f>
        <v>0.0895</v>
      </c>
      <c r="BM27" s="30" cm="1">
        <f t="array" ref="BM27">1+$B$14+VLOOKUP($Q27,武学奇术!$A:$ZZ,20,FALSE)+SUM(_xlfn.XLOOKUP(R27:AF27,增益!$A:$A,增益!$T:$T,0))</f>
        <v>1.35</v>
      </c>
      <c r="BN27" s="30">
        <f t="shared" si="9"/>
        <v>0.85203376</v>
      </c>
      <c r="BO27" s="30">
        <f t="shared" si="10"/>
        <v>0.03224384</v>
      </c>
      <c r="BP27" s="30">
        <f>IF(VLOOKUP($Q27,武学奇术!$A:$ZZ,22,FALSE)=1,0,(1-$BI27))*(1-$BL27)</f>
        <v>0.0262224</v>
      </c>
      <c r="BQ27" s="30" cm="1">
        <f t="array" ref="BQ27">SUM(_xlfn.XLOOKUP(R27:AF27,增益!$A:$A,增益!$W:$W,0))+$I$5</f>
        <v>0.11</v>
      </c>
    </row>
    <row r="28" spans="1:69">
      <c r="A28" s="4"/>
      <c r="B28" s="90"/>
      <c r="K28" s="41">
        <f t="shared" si="11"/>
        <v>59440.1570304281</v>
      </c>
      <c r="L28" s="41">
        <f>((($AN28+$AO28)/2*$AH28+$AI28)*(1+$AP28)*(1+$AQ28)+(($AS28+$AT28)/2*IF($G$1="鸣金",$AJ28,$AH28)+IF($G$1="鸣金",$AK28*1.5,0))*(1+$AU28)*(1+$AV28)+(($AW28+$AX28)/2*IF($G$1="裂石",$AJ28,$AH28)+IF($G$1="裂石",$AK28*1.5,0))*(1+$AY28)*(1+$AZ28)+(($BA28+$BB28)/2*IF($G$1="牵丝",$AJ28,$AH28)+IF($G$1="牵丝",$AK28*1.5,0))*(1+$BC28)*(1+$BD28)+(($BE28+$BF28)/2*IF($G$1="破竹",$AJ28,$AH28)+IF($G$1="破竹",$AK28*1.5,0))*(1+$BG28)*(1+$BH28))*(1+$AL28)*$BK28*$P28*(1+IF(VLOOKUP($Q28,武学奇术!$A:$ZZ,30,FALSE)="回旋伞",$B$21,0))*(1+$BQ28)</f>
        <v>62163.2526355788</v>
      </c>
      <c r="M28" s="41">
        <f>(($AO28*$AH28+$AI28)*(1+$AP28)*(1+$AQ28)+($AT28*IF($G$1="鸣金",$AJ28,$AH28)+IF($G$1="鸣金",$AK28*1.5,0))*(1+$AU28)*(1+$AV28)+($AX28*IF($G$1="裂石",$AJ28,$AH28)+IF($G$1="裂石",$AK28*1.5,0))*(1+$AY28)*(1+$AZ28)+($BB28*IF($G$1="牵丝",$AJ28,$AH28)+IF($G$1="牵丝",$AK28*1.5,0))*(1+$BC28)*(1+$BD28)+($BF28*IF($G$1="破竹",$AJ28,$AH28)+IF($G$1="破竹",$AK28*1.5,0))*(1+$BG28)*(1+$BH28))*(1+$AL28)*$BM28*$P28*(1+IF(VLOOKUP($Q28,武学奇术!$A:$ZZ,30,FALSE)="回旋伞",$B$21,0))*(1+$BQ28)</f>
        <v>51346.8169549586</v>
      </c>
      <c r="N28" s="41">
        <f>((($AN28+$AO28)/2*$AH28+$AI28)*(1+$AP28)*(1+$AQ28)+(($AS28+$AT28)/2*IF($G$1="鸣金",$AJ28,$AH28)+IF($G$1="鸣金",$AK28*1.5,0))*(1+$AU28)*(1+$AV28)+(($AW28+$AX28)/2*IF($G$1="裂石",$AJ28,$AH28)+IF($G$1="裂石",$AK28*1.5,0))*(1+$AY28)*(1+$AZ28)+(($BA28+$BB28)/2*IF($G$1="牵丝",$AJ28,$AH28)+IF($G$1="牵丝",$AK28*1.5,0))*(1+$BC28)*(1+$BD28)+(($BE28+$BF28)/2*IF($G$1="破竹",$AJ28,$AH28)+IF($G$1="破竹",$AK28*1.5,0))*(1+$BG28)*(1+$BH28))*(1+$AL28)*$P28*(1+IF(VLOOKUP($Q28,武学奇术!$A:$ZZ,30,FALSE)="回旋伞",$B$21,0))*(1+$BQ28)</f>
        <v>33968.9905112452</v>
      </c>
      <c r="O28" s="41">
        <f>((($AN28*$AH28+$AI28)*(1+$AP28)*(1+$AQ28)+($AS28*IF($G$1="鸣金",$AJ28,$AH28)+IF($G$1="鸣金",$AK28*1.5,0))*(1+$AU28)*(1+$AV28)+($AW28*IF($G$1="裂石",$AJ28,$AH28)+IF($G$1="裂石",$AK28*1.5,0))*(1+$AY28)*(1+$AZ28)+($BA28*IF($G$1="牵丝",$AJ28,$AH28)+IF($G$1="牵丝",$AK28*1.5,0))*(1+$BC28)*(1+$BD28)+($BE28*IF($G$1="破竹",$AJ28,$AH28)+IF($G$1="破竹",$AK28*1.5,0))*(1+$BG28)*(1+$BH28))*(1+$AL28))*$P28*(1+IF(VLOOKUP($Q28,武学奇术!$A:$ZZ,30,FALSE)="回旋伞",$B$21,0))*(1+$BQ28)</f>
        <v>29903.3017965953</v>
      </c>
      <c r="P28" s="42">
        <v>1</v>
      </c>
      <c r="Q28" s="43" t="s">
        <v>104</v>
      </c>
      <c r="R28" s="43" t="s">
        <v>105</v>
      </c>
      <c r="S28" s="43" t="s">
        <v>91</v>
      </c>
      <c r="T28" s="43" t="s">
        <v>72</v>
      </c>
      <c r="U28" s="43" t="s">
        <v>71</v>
      </c>
      <c r="V28" s="43" t="s">
        <v>153</v>
      </c>
      <c r="W28" s="43" t="s">
        <v>95</v>
      </c>
      <c r="X28" s="43" t="s">
        <v>71</v>
      </c>
      <c r="Y28" s="43" t="s">
        <v>71</v>
      </c>
      <c r="Z28" s="43" t="s">
        <v>71</v>
      </c>
      <c r="AA28" s="43" t="s">
        <v>112</v>
      </c>
      <c r="AB28" s="43" t="s">
        <v>71</v>
      </c>
      <c r="AC28" s="43" t="s">
        <v>71</v>
      </c>
      <c r="AD28" s="43" t="s">
        <v>71</v>
      </c>
      <c r="AE28" s="43" t="s">
        <v>71</v>
      </c>
      <c r="AF28" s="43" t="s">
        <v>76</v>
      </c>
      <c r="AG28" t="str">
        <f>VLOOKUP($Q28,武学奇术!$A:$ZZ,25,FALSE)</f>
        <v>伞</v>
      </c>
      <c r="AH28" s="30">
        <f>VLOOKUP($Q28,武学奇术!$A:$ZZ,26,FALSE)</f>
        <v>1.8084</v>
      </c>
      <c r="AI28" s="31">
        <f>VLOOKUP($Q28,武学奇术!$A:$ZZ,27,FALSE)*(1+IF(OR($AG28=$F$4,$AG28=$F$5),$B$22,0))</f>
        <v>700</v>
      </c>
      <c r="AJ28" s="30">
        <f>VLOOKUP($Q28,武学奇术!$A:$ZZ,28,FALSE)</f>
        <v>2.7126</v>
      </c>
      <c r="AK28" s="31">
        <f>VLOOKUP($Q28,武学奇术!$A:$ZZ,29,FALSE)*(1+IF(OR($AG28=$F$4,$AG28=$F$5),$B$22,0))</f>
        <v>380.8</v>
      </c>
      <c r="AL28" s="30" cm="1">
        <f t="array" ref="AL28">$G$3+IFERROR(VLOOKUP($AG28,$F$4:$G$7,2,FALSE),0)+VLOOKUP($Q28,武学奇术!$A:$ZZ,2,FALSE)+SUM(_xlfn.XLOOKUP($R28:$AF28,增益!$A:$A,增益!$B:$B,0))</f>
        <v>0.5741</v>
      </c>
      <c r="AM28" s="30" cm="1">
        <f t="array" ref="AM28">VLOOKUP($Q28,武学奇术!$A:$ZZ,5,FALSE)+SUM(_xlfn.XLOOKUP($R28:$AF28,增益!$A:$A,增益!$E:$E,0))</f>
        <v>0</v>
      </c>
      <c r="AN28" cm="1">
        <f t="array" ref="AN28">$D$10*(1+$AM28)+VLOOKUP($Q28,武学奇术!$A:$ZZ,3,FALSE)+SUM(_xlfn.XLOOKUP($R28:$AF28,增益!$A:$A,增益!$C:$C,0))-$I$2</f>
        <v>3483.8</v>
      </c>
      <c r="AO28" cm="1">
        <f t="array" ref="AO28">$E$10*(1+$AM28)+VLOOKUP($Q28,武学奇术!$A:$ZZ,4,FALSE)+SUM(_xlfn.XLOOKUP($R28:$AF28,增益!$A:$A,增益!$D:$D,0))-$I$2</f>
        <v>3483.8</v>
      </c>
      <c r="AP28" s="35" cm="1">
        <f t="array" ref="AP28">IF($F$10-$I$3+VLOOKUP($Q28,武学奇术!$A:$ZZ,6,FALSE)+SUM(_xlfn.XLOOKUP(R28:AF28,增益!$A:$A,增益!$F:$F,0))&gt;0,($F$10-$I$3+VLOOKUP($Q28,武学奇术!$A:$ZZ,6,FALSE)+SUM(_xlfn.XLOOKUP(R28:AF28,增益!$A:$A,增益!$F:$F,0)))/200,($F$10-$I$3+VLOOKUP($Q28,武学奇术!$A:$ZZ,6,FALSE)+SUM(_xlfn.XLOOKUP(R28:AF28,增益!$A:$A,增益!$F:$F,0)))/100)</f>
        <v>0.2925</v>
      </c>
      <c r="AQ28" s="35" cm="1">
        <f t="array" ref="AQ28">$G$10+VLOOKUP($Q28,武学奇术!$A:$ZZ,7,FALSE)+SUM(_xlfn.XLOOKUP(R28:AF28,增益!$A:$A,增益!$G:$G,0))</f>
        <v>0.148</v>
      </c>
      <c r="AR28" s="30" cm="1">
        <f t="array" ref="AR28">VLOOKUP($Q28,武学奇术!$A:$ZZ,8,FALSE)+SUM(_xlfn.XLOOKUP(R28:AF28,增益!$A:$A,增益!$H:$H,0))</f>
        <v>0</v>
      </c>
      <c r="AS28">
        <f t="shared" si="1"/>
        <v>0</v>
      </c>
      <c r="AT28">
        <f t="shared" si="2"/>
        <v>0</v>
      </c>
      <c r="AU28" s="35" cm="1">
        <f t="array" ref="AU28">IF($F$11-$I$4+VLOOKUP($Q28,武学奇术!$A:$ZZ,9,FALSE)+SUM(_xlfn.XLOOKUP(R28:AF28,增益!$A:$A,增益!$I:$I,0))&gt;0,($F$11-$I$4+VLOOKUP($Q28,武学奇术!$A:$ZZ,9,FALSE)+SUM(_xlfn.XLOOKUP(R28:AF28,增益!$A:$A,增益!$I:$I,0)))/200,($F$11-$I$4+VLOOKUP($Q28,武学奇术!$A:$ZZ,9,FALSE)+SUM(_xlfn.XLOOKUP(R28:AF28,增益!$A:$A,增益!$I:$I,0)))/100)</f>
        <v>-0.3</v>
      </c>
      <c r="AV28" s="35" cm="1">
        <f t="array" ref="AV28">$G$11+VLOOKUP($Q28,武学奇术!$A:$ZZ,10,FALSE)+SUM(_xlfn.XLOOKUP(R28:AF28,增益!$A:$A,增益!$J:$J,0))</f>
        <v>0</v>
      </c>
      <c r="AW28">
        <f t="shared" si="3"/>
        <v>0</v>
      </c>
      <c r="AX28">
        <f t="shared" si="4"/>
        <v>0</v>
      </c>
      <c r="AY28" s="35" cm="1">
        <f t="array" ref="AY28">IF($F$12-$I$4+VLOOKUP($Q28,武学奇术!$A:$ZZ,11,FALSE)+SUM(_xlfn.XLOOKUP(R28:AF28,增益!$A:$A,增益!$K:$K,0))&gt;0,($F$12-$I$4+VLOOKUP($Q28,武学奇术!$A:$ZZ,11,FALSE)+SUM(_xlfn.XLOOKUP(R28:AF28,增益!$A:$A,增益!$K:$K,0)))/200,($F$12-$I$4+VLOOKUP($Q28,武学奇术!$A:$ZZ,11,FALSE)+SUM(_xlfn.XLOOKUP(R28:AF28,增益!$A:$A,增益!$K:$K,0)))/100)</f>
        <v>-0.3</v>
      </c>
      <c r="AZ28" s="35" cm="1">
        <f t="array" ref="AZ28">$G$12+VLOOKUP($Q28,武学奇术!$A:$ZZ,12,FALSE)+SUM(_xlfn.XLOOKUP(R28:AF28,增益!$A:$A,增益!$L:$L,0))</f>
        <v>0</v>
      </c>
      <c r="BA28">
        <f t="shared" si="5"/>
        <v>0</v>
      </c>
      <c r="BB28">
        <f t="shared" si="6"/>
        <v>0</v>
      </c>
      <c r="BC28" s="35" cm="1">
        <f t="array" ref="BC28">IF($F$13-$I$4+VLOOKUP($Q28,武学奇术!$A:$ZZ,13,FALSE)+SUM(_xlfn.XLOOKUP(R28:AF28,增益!$A:$A,增益!$M:$M,0))&gt;0,($F$13-$I$4+VLOOKUP($Q28,武学奇术!$A:$ZZ,13,FALSE)+SUM(_xlfn.XLOOKUP(R28:AF28,增益!$A:$A,增益!$K:$K,0)))/200,($F$13-$I$4+VLOOKUP($Q28,武学奇术!$A:$ZZ,13,FALSE)+SUM(_xlfn.XLOOKUP(R28:AF28,增益!$A:$A,增益!$M:$M,0)))/100)</f>
        <v>-0.3</v>
      </c>
      <c r="BD28" s="35" cm="1">
        <f t="array" ref="BD28">$G$13+VLOOKUP($Q28,武学奇术!$A:$ZZ,14,FALSE)+SUM(_xlfn.XLOOKUP(R28:AF28,增益!$A:$A,增益!$N:$N,0))</f>
        <v>0</v>
      </c>
      <c r="BE28">
        <f t="shared" si="7"/>
        <v>538</v>
      </c>
      <c r="BF28">
        <f t="shared" si="8"/>
        <v>1561.4</v>
      </c>
      <c r="BG28" s="35" cm="1">
        <f t="array" ref="BG28">IF($F$14-$I$4+VLOOKUP($Q28,武学奇术!$A:$ZZ,15,FALSE)+SUM(_xlfn.XLOOKUP(R28:AF28,增益!$A:$A,增益!$O:$O,0))&gt;0,($F$14-$I$4+VLOOKUP($Q28,武学奇术!$A:$ZZ,15,FALSE)+SUM(_xlfn.XLOOKUP(R28:AF28,增益!$A:$A,增益!$O:$O,0)))/200,($F$14-$I$4+VLOOKUP($Q28,武学奇术!$A:$ZZ,15,FALSE)+SUM(_xlfn.XLOOKUP(R28:AF28,增益!$A:$A,增益!$O:$O,0)))/100)</f>
        <v>0</v>
      </c>
      <c r="BH28" s="35" cm="1">
        <f t="array" ref="BH28">$G$14+VLOOKUP($Q28,武学奇术!$A:$ZZ,16,FALSE)+SUM(_xlfn.XLOOKUP(R28:AF28,增益!$A:$A,增益!$P:$P,0))</f>
        <v>0.27</v>
      </c>
      <c r="BI28" s="30">
        <f>MIN(IF(VLOOKUP($Q28,武学奇术!$A:$ZZ,23,FALSE)=1,100%,$B$8),100%)</f>
        <v>0.9712</v>
      </c>
      <c r="BJ28" s="30" cm="1">
        <f t="array" ref="BJ28">IF(VLOOKUP($Q28,武学奇术!$A:$ZZ,23,FALSE)=1,100%,MIN(80%,$B$9+VLOOKUP($Q28,武学奇术!$A:$ZZ,17,FALSE)+SUM(_xlfn.XLOOKUP(R28:AF28,增益!$A:$A,增益!$Q:$Q,0)))+$B$11+SUM(_xlfn.XLOOKUP(R28:AF28,增益!$A:$A,增益!$U:$U,0)))*IF(VLOOKUP($Q28,武学奇术!$A:$ZZ,24,FALSE)=1,0,1)</f>
        <v>0.8773</v>
      </c>
      <c r="BK28" s="30" cm="1">
        <f t="array" ref="BK28">1+$B$13+VLOOKUP($Q28,武学奇术!$A:$ZZ,18,FALSE)+SUM(_xlfn.XLOOKUP(R28:AF28,增益!$A:$A,增益!$R:$R,0))</f>
        <v>1.83</v>
      </c>
      <c r="BL28" s="30" cm="1">
        <f t="array" ref="BL28">IF(VLOOKUP($Q28,武学奇术!$A:$ZZ,24,FALSE)=1,100%,MIN(40%,$B$10+VLOOKUP($Q28,武学奇术!$A:$ZZ,19,FALSE)+SUM(_xlfn.XLOOKUP(R28:AF28,增益!$A:$A,增益!$S:$S,0)))+$B$12+SUM(_xlfn.XLOOKUP(R28:AF28,增益!$A:$A,增益!$V:$V,0)))*IF(VLOOKUP($Q28,武学奇术!$A:$ZZ,23,FALSE)=1,0,1)</f>
        <v>0.0895</v>
      </c>
      <c r="BM28" s="30" cm="1">
        <f t="array" ref="BM28">1+$B$14+VLOOKUP($Q28,武学奇术!$A:$ZZ,20,FALSE)+SUM(_xlfn.XLOOKUP(R28:AF28,增益!$A:$A,增益!$T:$T,0))</f>
        <v>1.35</v>
      </c>
      <c r="BN28" s="30">
        <f t="shared" si="9"/>
        <v>0.85203376</v>
      </c>
      <c r="BO28" s="30">
        <f t="shared" si="10"/>
        <v>0.03224384</v>
      </c>
      <c r="BP28" s="30">
        <f>IF(VLOOKUP($Q28,武学奇术!$A:$ZZ,22,FALSE)=1,0,(1-$BI28))*(1-$BL28)</f>
        <v>0.0262224</v>
      </c>
      <c r="BQ28" s="30" cm="1">
        <f t="array" ref="BQ28">SUM(_xlfn.XLOOKUP(R28:AF28,增益!$A:$A,增益!$W:$W,0))+$I$5</f>
        <v>0.11</v>
      </c>
    </row>
    <row r="29" spans="1:69">
      <c r="A29" s="4"/>
      <c r="B29" s="90"/>
      <c r="K29" s="41">
        <f t="shared" si="11"/>
        <v>70444.3620871866</v>
      </c>
      <c r="L29" s="41">
        <f>((($AN29+$AO29)/2*$AH29+$AI29)*(1+$AP29)*(1+$AQ29)+(($AS29+$AT29)/2*IF($G$1="鸣金",$AJ29,$AH29)+IF($G$1="鸣金",$AK29*1.5,0))*(1+$AU29)*(1+$AV29)+(($AW29+$AX29)/2*IF($G$1="裂石",$AJ29,$AH29)+IF($G$1="裂石",$AK29*1.5,0))*(1+$AY29)*(1+$AZ29)+(($BA29+$BB29)/2*IF($G$1="牵丝",$AJ29,$AH29)+IF($G$1="牵丝",$AK29*1.5,0))*(1+$BC29)*(1+$BD29)+(($BE29+$BF29)/2*IF($G$1="破竹",$AJ29,$AH29)+IF($G$1="破竹",$AK29*1.5,0))*(1+$BG29)*(1+$BH29))*(1+$AL29)*$BK29*$P29*(1+IF(VLOOKUP($Q29,武学奇术!$A:$ZZ,30,FALSE)="回旋伞",$B$21,0))*(1+$BQ29)</f>
        <v>70444.3620871866</v>
      </c>
      <c r="M29" s="41">
        <f>(($AO29*$AH29+$AI29)*(1+$AP29)*(1+$AQ29)+($AT29*IF($G$1="鸣金",$AJ29,$AH29)+IF($G$1="鸣金",$AK29*1.5,0))*(1+$AU29)*(1+$AV29)+($AX29*IF($G$1="裂石",$AJ29,$AH29)+IF($G$1="裂石",$AK29*1.5,0))*(1+$AY29)*(1+$AZ29)+($BB29*IF($G$1="牵丝",$AJ29,$AH29)+IF($G$1="牵丝",$AK29*1.5,0))*(1+$BC29)*(1+$BD29)+($BF29*IF($G$1="破竹",$AJ29,$AH29)+IF($G$1="破竹",$AK29*1.5,0))*(1+$BG29)*(1+$BH29))*(1+$AL29)*$BM29*$P29*(1+IF(VLOOKUP($Q29,武学奇术!$A:$ZZ,30,FALSE)="回旋伞",$B$21,0))*(1+$BQ29)</f>
        <v>57870.7756557982</v>
      </c>
      <c r="N29" s="41">
        <f>((($AN29+$AO29)/2*$AH29+$AI29)*(1+$AP29)*(1+$AQ29)+(($AS29+$AT29)/2*IF($G$1="鸣金",$AJ29,$AH29)+IF($G$1="鸣金",$AK29*1.5,0))*(1+$AU29)*(1+$AV29)+(($AW29+$AX29)/2*IF($G$1="裂石",$AJ29,$AH29)+IF($G$1="裂石",$AK29*1.5,0))*(1+$AY29)*(1+$AZ29)+(($BA29+$BB29)/2*IF($G$1="牵丝",$AJ29,$AH29)+IF($G$1="牵丝",$AK29*1.5,0))*(1+$BC29)*(1+$BD29)+(($BE29+$BF29)/2*IF($G$1="破竹",$AJ29,$AH29)+IF($G$1="破竹",$AK29*1.5,0))*(1+$BG29)*(1+$BH29))*(1+$AL29)*$P29*(1+IF(VLOOKUP($Q29,武学奇术!$A:$ZZ,30,FALSE)="回旋伞",$B$21,0))*(1+$BQ29)</f>
        <v>38284.9793952101</v>
      </c>
      <c r="O29" s="41">
        <f>((($AN29*$AH29+$AI29)*(1+$AP29)*(1+$AQ29)+($AS29*IF($G$1="鸣金",$AJ29,$AH29)+IF($G$1="鸣金",$AK29*1.5,0))*(1+$AU29)*(1+$AV29)+($AW29*IF($G$1="裂石",$AJ29,$AH29)+IF($G$1="裂石",$AK29*1.5,0))*(1+$AY29)*(1+$AZ29)+($BA29*IF($G$1="牵丝",$AJ29,$AH29)+IF($G$1="牵丝",$AK29*1.5,0))*(1+$BC29)*(1+$BD29)+($BE29*IF($G$1="破竹",$AJ29,$AH29)+IF($G$1="破竹",$AK29*1.5,0))*(1+$BG29)*(1+$BH29))*(1+$AL29))*$P29*(1+IF(VLOOKUP($Q29,武学奇术!$A:$ZZ,30,FALSE)="回旋伞",$B$21,0))*(1+$BQ29)</f>
        <v>33702.717563903</v>
      </c>
      <c r="P29" s="42">
        <v>1</v>
      </c>
      <c r="Q29" s="43" t="s">
        <v>115</v>
      </c>
      <c r="R29" s="43" t="s">
        <v>105</v>
      </c>
      <c r="S29" s="43" t="s">
        <v>91</v>
      </c>
      <c r="T29" s="43" t="s">
        <v>72</v>
      </c>
      <c r="U29" s="43" t="s">
        <v>71</v>
      </c>
      <c r="V29" s="43" t="s">
        <v>156</v>
      </c>
      <c r="W29" s="43" t="s">
        <v>95</v>
      </c>
      <c r="X29" s="43" t="s">
        <v>71</v>
      </c>
      <c r="Y29" s="43" t="s">
        <v>71</v>
      </c>
      <c r="Z29" s="43" t="s">
        <v>71</v>
      </c>
      <c r="AA29" s="43" t="s">
        <v>116</v>
      </c>
      <c r="AB29" s="43" t="s">
        <v>71</v>
      </c>
      <c r="AC29" s="43" t="s">
        <v>71</v>
      </c>
      <c r="AD29" s="43" t="s">
        <v>71</v>
      </c>
      <c r="AE29" s="43" t="s">
        <v>71</v>
      </c>
      <c r="AF29" s="43" t="s">
        <v>76</v>
      </c>
      <c r="AG29" t="str">
        <f>VLOOKUP($Q29,武学奇术!$A:$ZZ,25,FALSE)</f>
        <v>伞</v>
      </c>
      <c r="AH29" s="30">
        <f>VLOOKUP($Q29,武学奇术!$A:$ZZ,26,FALSE)</f>
        <v>1.8084</v>
      </c>
      <c r="AI29" s="31">
        <f>VLOOKUP($Q29,武学奇术!$A:$ZZ,27,FALSE)*(1+IF(OR($AG29=$F$4,$AG29=$F$5),$B$22,0))</f>
        <v>700</v>
      </c>
      <c r="AJ29" s="30">
        <f>VLOOKUP($Q29,武学奇术!$A:$ZZ,28,FALSE)</f>
        <v>2.7126</v>
      </c>
      <c r="AK29" s="31">
        <f>VLOOKUP($Q29,武学奇术!$A:$ZZ,29,FALSE)*(1+IF(OR($AG29=$F$4,$AG29=$F$5),$B$22,0))</f>
        <v>380.8</v>
      </c>
      <c r="AL29" s="30" cm="1">
        <f t="array" ref="AL29">$G$3+IFERROR(VLOOKUP($AG29,$F$4:$G$7,2,FALSE),0)+VLOOKUP($Q29,武学奇术!$A:$ZZ,2,FALSE)+SUM(_xlfn.XLOOKUP($R29:$AF29,增益!$A:$A,增益!$B:$B,0))</f>
        <v>0.7741</v>
      </c>
      <c r="AM29" s="30" cm="1">
        <f t="array" ref="AM29">VLOOKUP($Q29,武学奇术!$A:$ZZ,5,FALSE)+SUM(_xlfn.XLOOKUP($R29:$AF29,增益!$A:$A,增益!$E:$E,0))</f>
        <v>0</v>
      </c>
      <c r="AN29" cm="1">
        <f t="array" ref="AN29">$D$10*(1+$AM29)+VLOOKUP($Q29,武学奇术!$A:$ZZ,3,FALSE)+SUM(_xlfn.XLOOKUP($R29:$AF29,增益!$A:$A,增益!$C:$C,0))-$I$2</f>
        <v>3483.8</v>
      </c>
      <c r="AO29" cm="1">
        <f t="array" ref="AO29">$E$10*(1+$AM29)+VLOOKUP($Q29,武学奇术!$A:$ZZ,4,FALSE)+SUM(_xlfn.XLOOKUP($R29:$AF29,增益!$A:$A,增益!$D:$D,0))-$I$2</f>
        <v>3483.8</v>
      </c>
      <c r="AP29" s="35" cm="1">
        <f t="array" ref="AP29">IF($F$10-$I$3+VLOOKUP($Q29,武学奇术!$A:$ZZ,6,FALSE)+SUM(_xlfn.XLOOKUP(R29:AF29,增益!$A:$A,增益!$F:$F,0))&gt;0,($F$10-$I$3+VLOOKUP($Q29,武学奇术!$A:$ZZ,6,FALSE)+SUM(_xlfn.XLOOKUP(R29:AF29,增益!$A:$A,增益!$F:$F,0)))/200,($F$10-$I$3+VLOOKUP($Q29,武学奇术!$A:$ZZ,6,FALSE)+SUM(_xlfn.XLOOKUP(R29:AF29,增益!$A:$A,增益!$F:$F,0)))/100)</f>
        <v>0.2925</v>
      </c>
      <c r="AQ29" s="35" cm="1">
        <f t="array" ref="AQ29">$G$10+VLOOKUP($Q29,武学奇术!$A:$ZZ,7,FALSE)+SUM(_xlfn.XLOOKUP(R29:AF29,增益!$A:$A,增益!$G:$G,0))</f>
        <v>0.148</v>
      </c>
      <c r="AR29" s="30" cm="1">
        <f t="array" ref="AR29">VLOOKUP($Q29,武学奇术!$A:$ZZ,8,FALSE)+SUM(_xlfn.XLOOKUP(R29:AF29,增益!$A:$A,增益!$H:$H,0))</f>
        <v>0</v>
      </c>
      <c r="AS29">
        <f t="shared" si="1"/>
        <v>0</v>
      </c>
      <c r="AT29">
        <f t="shared" si="2"/>
        <v>0</v>
      </c>
      <c r="AU29" s="35" cm="1">
        <f t="array" ref="AU29">IF($F$11-$I$4+VLOOKUP($Q29,武学奇术!$A:$ZZ,9,FALSE)+SUM(_xlfn.XLOOKUP(R29:AF29,增益!$A:$A,增益!$I:$I,0))&gt;0,($F$11-$I$4+VLOOKUP($Q29,武学奇术!$A:$ZZ,9,FALSE)+SUM(_xlfn.XLOOKUP(R29:AF29,增益!$A:$A,增益!$I:$I,0)))/200,($F$11-$I$4+VLOOKUP($Q29,武学奇术!$A:$ZZ,9,FALSE)+SUM(_xlfn.XLOOKUP(R29:AF29,增益!$A:$A,增益!$I:$I,0)))/100)</f>
        <v>-0.3</v>
      </c>
      <c r="AV29" s="35" cm="1">
        <f t="array" ref="AV29">$G$11+VLOOKUP($Q29,武学奇术!$A:$ZZ,10,FALSE)+SUM(_xlfn.XLOOKUP(R29:AF29,增益!$A:$A,增益!$J:$J,0))</f>
        <v>0</v>
      </c>
      <c r="AW29">
        <f t="shared" si="3"/>
        <v>0</v>
      </c>
      <c r="AX29">
        <f t="shared" si="4"/>
        <v>0</v>
      </c>
      <c r="AY29" s="35" cm="1">
        <f t="array" ref="AY29">IF($F$12-$I$4+VLOOKUP($Q29,武学奇术!$A:$ZZ,11,FALSE)+SUM(_xlfn.XLOOKUP(R29:AF29,增益!$A:$A,增益!$K:$K,0))&gt;0,($F$12-$I$4+VLOOKUP($Q29,武学奇术!$A:$ZZ,11,FALSE)+SUM(_xlfn.XLOOKUP(R29:AF29,增益!$A:$A,增益!$K:$K,0)))/200,($F$12-$I$4+VLOOKUP($Q29,武学奇术!$A:$ZZ,11,FALSE)+SUM(_xlfn.XLOOKUP(R29:AF29,增益!$A:$A,增益!$K:$K,0)))/100)</f>
        <v>-0.3</v>
      </c>
      <c r="AZ29" s="35" cm="1">
        <f t="array" ref="AZ29">$G$12+VLOOKUP($Q29,武学奇术!$A:$ZZ,12,FALSE)+SUM(_xlfn.XLOOKUP(R29:AF29,增益!$A:$A,增益!$L:$L,0))</f>
        <v>0</v>
      </c>
      <c r="BA29">
        <f t="shared" si="5"/>
        <v>0</v>
      </c>
      <c r="BB29">
        <f t="shared" si="6"/>
        <v>0</v>
      </c>
      <c r="BC29" s="35" cm="1">
        <f t="array" ref="BC29">IF($F$13-$I$4+VLOOKUP($Q29,武学奇术!$A:$ZZ,13,FALSE)+SUM(_xlfn.XLOOKUP(R29:AF29,增益!$A:$A,增益!$M:$M,0))&gt;0,($F$13-$I$4+VLOOKUP($Q29,武学奇术!$A:$ZZ,13,FALSE)+SUM(_xlfn.XLOOKUP(R29:AF29,增益!$A:$A,增益!$K:$K,0)))/200,($F$13-$I$4+VLOOKUP($Q29,武学奇术!$A:$ZZ,13,FALSE)+SUM(_xlfn.XLOOKUP(R29:AF29,增益!$A:$A,增益!$M:$M,0)))/100)</f>
        <v>-0.3</v>
      </c>
      <c r="BD29" s="35" cm="1">
        <f t="array" ref="BD29">$G$13+VLOOKUP($Q29,武学奇术!$A:$ZZ,14,FALSE)+SUM(_xlfn.XLOOKUP(R29:AF29,增益!$A:$A,增益!$N:$N,0))</f>
        <v>0</v>
      </c>
      <c r="BE29">
        <f t="shared" si="7"/>
        <v>538</v>
      </c>
      <c r="BF29">
        <f t="shared" si="8"/>
        <v>1561.4</v>
      </c>
      <c r="BG29" s="35" cm="1">
        <f t="array" ref="BG29">IF($F$14-$I$4+VLOOKUP($Q29,武学奇术!$A:$ZZ,15,FALSE)+SUM(_xlfn.XLOOKUP(R29:AF29,增益!$A:$A,增益!$O:$O,0))&gt;0,($F$14-$I$4+VLOOKUP($Q29,武学奇术!$A:$ZZ,15,FALSE)+SUM(_xlfn.XLOOKUP(R29:AF29,增益!$A:$A,增益!$O:$O,0)))/200,($F$14-$I$4+VLOOKUP($Q29,武学奇术!$A:$ZZ,15,FALSE)+SUM(_xlfn.XLOOKUP(R29:AF29,增益!$A:$A,增益!$O:$O,0)))/100)</f>
        <v>0</v>
      </c>
      <c r="BH29" s="35" cm="1">
        <f t="array" ref="BH29">$G$14+VLOOKUP($Q29,武学奇术!$A:$ZZ,16,FALSE)+SUM(_xlfn.XLOOKUP(R29:AF29,增益!$A:$A,增益!$P:$P,0))</f>
        <v>0.27</v>
      </c>
      <c r="BI29" s="30">
        <f>MIN(IF(VLOOKUP($Q29,武学奇术!$A:$ZZ,23,FALSE)=1,100%,$B$8),100%)</f>
        <v>1</v>
      </c>
      <c r="BJ29" s="30" cm="1">
        <f t="array" ref="BJ29">IF(VLOOKUP($Q29,武学奇术!$A:$ZZ,23,FALSE)=1,100%,MIN(80%,$B$9+VLOOKUP($Q29,武学奇术!$A:$ZZ,17,FALSE)+SUM(_xlfn.XLOOKUP(R29:AF29,增益!$A:$A,增益!$Q:$Q,0)))+$B$11+SUM(_xlfn.XLOOKUP(R29:AF29,增益!$A:$A,增益!$U:$U,0)))*IF(VLOOKUP($Q29,武学奇术!$A:$ZZ,24,FALSE)=1,0,1)</f>
        <v>1</v>
      </c>
      <c r="BK29" s="30" cm="1">
        <f t="array" ref="BK29">1+$B$13+VLOOKUP($Q29,武学奇术!$A:$ZZ,18,FALSE)+SUM(_xlfn.XLOOKUP(R29:AF29,增益!$A:$A,增益!$R:$R,0))</f>
        <v>1.84</v>
      </c>
      <c r="BL29" s="30" cm="1">
        <f t="array" ref="BL29">IF(VLOOKUP($Q29,武学奇术!$A:$ZZ,24,FALSE)=1,100%,MIN(40%,$B$10+VLOOKUP($Q29,武学奇术!$A:$ZZ,19,FALSE)+SUM(_xlfn.XLOOKUP(R29:AF29,增益!$A:$A,增益!$S:$S,0)))+$B$12+SUM(_xlfn.XLOOKUP(R29:AF29,增益!$A:$A,增益!$V:$V,0)))*IF(VLOOKUP($Q29,武学奇术!$A:$ZZ,23,FALSE)=1,0,1)</f>
        <v>0</v>
      </c>
      <c r="BM29" s="30" cm="1">
        <f t="array" ref="BM29">1+$B$14+VLOOKUP($Q29,武学奇术!$A:$ZZ,20,FALSE)+SUM(_xlfn.XLOOKUP(R29:AF29,增益!$A:$A,增益!$T:$T,0))</f>
        <v>1.35</v>
      </c>
      <c r="BN29" s="30">
        <f t="shared" si="9"/>
        <v>1</v>
      </c>
      <c r="BO29" s="30">
        <f t="shared" si="10"/>
        <v>0</v>
      </c>
      <c r="BP29" s="30">
        <f>IF(VLOOKUP($Q29,武学奇术!$A:$ZZ,22,FALSE)=1,0,(1-$BI29))*(1-$BL29)</f>
        <v>0</v>
      </c>
      <c r="BQ29" s="30" cm="1">
        <f t="array" ref="BQ29">SUM(_xlfn.XLOOKUP(R29:AF29,增益!$A:$A,增益!$W:$W,0))+$I$5</f>
        <v>0.11</v>
      </c>
    </row>
    <row r="30" spans="1:69">
      <c r="A30" s="4"/>
      <c r="B30" s="90"/>
      <c r="K30" s="41">
        <f t="shared" si="11"/>
        <v>119459.16859503</v>
      </c>
      <c r="L30" s="41">
        <f>((($AN30+$AO30)/2*$AH30+$AI30)*(1+$AP30)*(1+$AQ30)+(($AS30+$AT30)/2*IF($G$1="鸣金",$AJ30,$AH30)+IF($G$1="鸣金",$AK30*1.5,0))*(1+$AU30)*(1+$AV30)+(($AW30+$AX30)/2*IF($G$1="裂石",$AJ30,$AH30)+IF($G$1="裂石",$AK30*1.5,0))*(1+$AY30)*(1+$AZ30)+(($BA30+$BB30)/2*IF($G$1="牵丝",$AJ30,$AH30)+IF($G$1="牵丝",$AK30*1.5,0))*(1+$BC30)*(1+$BD30)+(($BE30+$BF30)/2*IF($G$1="破竹",$AJ30,$AH30)+IF($G$1="破竹",$AK30*1.5,0))*(1+$BG30)*(1+$BH30))*(1+$AL30)*$BK30*$P30*(1+IF(VLOOKUP($Q30,武学奇术!$A:$ZZ,30,FALSE)="回旋伞",$B$21,0))*(1+$BQ30)</f>
        <v>125005.885081383</v>
      </c>
      <c r="M30" s="41">
        <f>(($AO30*$AH30+$AI30)*(1+$AP30)*(1+$AQ30)+($AT30*IF($G$1="鸣金",$AJ30,$AH30)+IF($G$1="鸣金",$AK30*1.5,0))*(1+$AU30)*(1+$AV30)+($AX30*IF($G$1="裂石",$AJ30,$AH30)+IF($G$1="裂石",$AK30*1.5,0))*(1+$AY30)*(1+$AZ30)+($BB30*IF($G$1="牵丝",$AJ30,$AH30)+IF($G$1="牵丝",$AK30*1.5,0))*(1+$BC30)*(1+$BD30)+($BF30*IF($G$1="破竹",$AJ30,$AH30)+IF($G$1="破竹",$AK30*1.5,0))*(1+$BG30)*(1+$BH30))*(1+$AL30)*$BM30*$P30*(1+IF(VLOOKUP($Q30,武学奇术!$A:$ZZ,30,FALSE)="回旋伞",$B$21,0))*(1+$BQ30)</f>
        <v>102693.633909917</v>
      </c>
      <c r="N30" s="41">
        <f>((($AN30+$AO30)/2*$AH30+$AI30)*(1+$AP30)*(1+$AQ30)+(($AS30+$AT30)/2*IF($G$1="鸣金",$AJ30,$AH30)+IF($G$1="鸣金",$AK30*1.5,0))*(1+$AU30)*(1+$AV30)+(($AW30+$AX30)/2*IF($G$1="裂石",$AJ30,$AH30)+IF($G$1="裂石",$AK30*1.5,0))*(1+$AY30)*(1+$AZ30)+(($BA30+$BB30)/2*IF($G$1="牵丝",$AJ30,$AH30)+IF($G$1="牵丝",$AK30*1.5,0))*(1+$BC30)*(1+$BD30)+(($BE30+$BF30)/2*IF($G$1="破竹",$AJ30,$AH30)+IF($G$1="破竹",$AK30*1.5,0))*(1+$BG30)*(1+$BH30))*(1+$AL30)*$P30*(1+IF(VLOOKUP($Q30,武学奇术!$A:$ZZ,30,FALSE)="回旋伞",$B$21,0))*(1+$BQ30)</f>
        <v>67937.9810224905</v>
      </c>
      <c r="O30" s="41">
        <f>((($AN30*$AH30+$AI30)*(1+$AP30)*(1+$AQ30)+($AS30*IF($G$1="鸣金",$AJ30,$AH30)+IF($G$1="鸣金",$AK30*1.5,0))*(1+$AU30)*(1+$AV30)+($AW30*IF($G$1="裂石",$AJ30,$AH30)+IF($G$1="裂石",$AK30*1.5,0))*(1+$AY30)*(1+$AZ30)+($BA30*IF($G$1="牵丝",$AJ30,$AH30)+IF($G$1="牵丝",$AK30*1.5,0))*(1+$BC30)*(1+$BD30)+($BE30*IF($G$1="破竹",$AJ30,$AH30)+IF($G$1="破竹",$AK30*1.5,0))*(1+$BG30)*(1+$BH30))*(1+$AL30))*$P30*(1+IF(VLOOKUP($Q30,武学奇术!$A:$ZZ,30,FALSE)="回旋伞",$B$21,0))*(1+$BQ30)</f>
        <v>59806.6035931905</v>
      </c>
      <c r="P30" s="42">
        <v>2</v>
      </c>
      <c r="Q30" s="43" t="s">
        <v>104</v>
      </c>
      <c r="R30" s="43" t="s">
        <v>105</v>
      </c>
      <c r="S30" s="43" t="s">
        <v>91</v>
      </c>
      <c r="T30" s="43" t="s">
        <v>72</v>
      </c>
      <c r="U30" s="43" t="s">
        <v>71</v>
      </c>
      <c r="V30" s="43" t="s">
        <v>156</v>
      </c>
      <c r="W30" s="43" t="s">
        <v>95</v>
      </c>
      <c r="X30" s="43" t="s">
        <v>71</v>
      </c>
      <c r="Y30" s="43" t="s">
        <v>71</v>
      </c>
      <c r="Z30" s="43" t="s">
        <v>71</v>
      </c>
      <c r="AA30" s="43" t="s">
        <v>116</v>
      </c>
      <c r="AB30" s="43" t="s">
        <v>71</v>
      </c>
      <c r="AC30" s="43" t="s">
        <v>71</v>
      </c>
      <c r="AD30" s="43" t="s">
        <v>71</v>
      </c>
      <c r="AE30" s="43" t="s">
        <v>71</v>
      </c>
      <c r="AF30" s="43" t="s">
        <v>76</v>
      </c>
      <c r="AG30" t="str">
        <f>VLOOKUP($Q30,武学奇术!$A:$ZZ,25,FALSE)</f>
        <v>伞</v>
      </c>
      <c r="AH30" s="30">
        <f>VLOOKUP($Q30,武学奇术!$A:$ZZ,26,FALSE)</f>
        <v>1.8084</v>
      </c>
      <c r="AI30" s="31">
        <f>VLOOKUP($Q30,武学奇术!$A:$ZZ,27,FALSE)*(1+IF(OR($AG30=$F$4,$AG30=$F$5),$B$22,0))</f>
        <v>700</v>
      </c>
      <c r="AJ30" s="30">
        <f>VLOOKUP($Q30,武学奇术!$A:$ZZ,28,FALSE)</f>
        <v>2.7126</v>
      </c>
      <c r="AK30" s="31">
        <f>VLOOKUP($Q30,武学奇术!$A:$ZZ,29,FALSE)*(1+IF(OR($AG30=$F$4,$AG30=$F$5),$B$22,0))</f>
        <v>380.8</v>
      </c>
      <c r="AL30" s="30" cm="1">
        <f t="array" ref="AL30">$G$3+IFERROR(VLOOKUP($AG30,$F$4:$G$7,2,FALSE),0)+VLOOKUP($Q30,武学奇术!$A:$ZZ,2,FALSE)+SUM(_xlfn.XLOOKUP($R30:$AF30,增益!$A:$A,增益!$B:$B,0))</f>
        <v>0.5741</v>
      </c>
      <c r="AM30" s="30" cm="1">
        <f t="array" ref="AM30">VLOOKUP($Q30,武学奇术!$A:$ZZ,5,FALSE)+SUM(_xlfn.XLOOKUP($R30:$AF30,增益!$A:$A,增益!$E:$E,0))</f>
        <v>0</v>
      </c>
      <c r="AN30" cm="1">
        <f t="array" ref="AN30">$D$10*(1+$AM30)+VLOOKUP($Q30,武学奇术!$A:$ZZ,3,FALSE)+SUM(_xlfn.XLOOKUP($R30:$AF30,增益!$A:$A,增益!$C:$C,0))-$I$2</f>
        <v>3483.8</v>
      </c>
      <c r="AO30" cm="1">
        <f t="array" ref="AO30">$E$10*(1+$AM30)+VLOOKUP($Q30,武学奇术!$A:$ZZ,4,FALSE)+SUM(_xlfn.XLOOKUP($R30:$AF30,增益!$A:$A,增益!$D:$D,0))-$I$2</f>
        <v>3483.8</v>
      </c>
      <c r="AP30" s="35" cm="1">
        <f t="array" ref="AP30">IF($F$10-$I$3+VLOOKUP($Q30,武学奇术!$A:$ZZ,6,FALSE)+SUM(_xlfn.XLOOKUP(R30:AF30,增益!$A:$A,增益!$F:$F,0))&gt;0,($F$10-$I$3+VLOOKUP($Q30,武学奇术!$A:$ZZ,6,FALSE)+SUM(_xlfn.XLOOKUP(R30:AF30,增益!$A:$A,增益!$F:$F,0)))/200,($F$10-$I$3+VLOOKUP($Q30,武学奇术!$A:$ZZ,6,FALSE)+SUM(_xlfn.XLOOKUP(R30:AF30,增益!$A:$A,增益!$F:$F,0)))/100)</f>
        <v>0.2925</v>
      </c>
      <c r="AQ30" s="35" cm="1">
        <f t="array" ref="AQ30">$G$10+VLOOKUP($Q30,武学奇术!$A:$ZZ,7,FALSE)+SUM(_xlfn.XLOOKUP(R30:AF30,增益!$A:$A,增益!$G:$G,0))</f>
        <v>0.148</v>
      </c>
      <c r="AR30" s="30" cm="1">
        <f t="array" ref="AR30">VLOOKUP($Q30,武学奇术!$A:$ZZ,8,FALSE)+SUM(_xlfn.XLOOKUP(R30:AF30,增益!$A:$A,增益!$H:$H,0))</f>
        <v>0</v>
      </c>
      <c r="AS30">
        <f t="shared" si="1"/>
        <v>0</v>
      </c>
      <c r="AT30">
        <f t="shared" si="2"/>
        <v>0</v>
      </c>
      <c r="AU30" s="35" cm="1">
        <f t="array" ref="AU30">IF($F$11-$I$4+VLOOKUP($Q30,武学奇术!$A:$ZZ,9,FALSE)+SUM(_xlfn.XLOOKUP(R30:AF30,增益!$A:$A,增益!$I:$I,0))&gt;0,($F$11-$I$4+VLOOKUP($Q30,武学奇术!$A:$ZZ,9,FALSE)+SUM(_xlfn.XLOOKUP(R30:AF30,增益!$A:$A,增益!$I:$I,0)))/200,($F$11-$I$4+VLOOKUP($Q30,武学奇术!$A:$ZZ,9,FALSE)+SUM(_xlfn.XLOOKUP(R30:AF30,增益!$A:$A,增益!$I:$I,0)))/100)</f>
        <v>-0.3</v>
      </c>
      <c r="AV30" s="35" cm="1">
        <f t="array" ref="AV30">$G$11+VLOOKUP($Q30,武学奇术!$A:$ZZ,10,FALSE)+SUM(_xlfn.XLOOKUP(R30:AF30,增益!$A:$A,增益!$J:$J,0))</f>
        <v>0</v>
      </c>
      <c r="AW30">
        <f t="shared" si="3"/>
        <v>0</v>
      </c>
      <c r="AX30">
        <f t="shared" si="4"/>
        <v>0</v>
      </c>
      <c r="AY30" s="35" cm="1">
        <f t="array" ref="AY30">IF($F$12-$I$4+VLOOKUP($Q30,武学奇术!$A:$ZZ,11,FALSE)+SUM(_xlfn.XLOOKUP(R30:AF30,增益!$A:$A,增益!$K:$K,0))&gt;0,($F$12-$I$4+VLOOKUP($Q30,武学奇术!$A:$ZZ,11,FALSE)+SUM(_xlfn.XLOOKUP(R30:AF30,增益!$A:$A,增益!$K:$K,0)))/200,($F$12-$I$4+VLOOKUP($Q30,武学奇术!$A:$ZZ,11,FALSE)+SUM(_xlfn.XLOOKUP(R30:AF30,增益!$A:$A,增益!$K:$K,0)))/100)</f>
        <v>-0.3</v>
      </c>
      <c r="AZ30" s="35" cm="1">
        <f t="array" ref="AZ30">$G$12+VLOOKUP($Q30,武学奇术!$A:$ZZ,12,FALSE)+SUM(_xlfn.XLOOKUP(R30:AF30,增益!$A:$A,增益!$L:$L,0))</f>
        <v>0</v>
      </c>
      <c r="BA30">
        <f t="shared" si="5"/>
        <v>0</v>
      </c>
      <c r="BB30">
        <f t="shared" si="6"/>
        <v>0</v>
      </c>
      <c r="BC30" s="35" cm="1">
        <f t="array" ref="BC30">IF($F$13-$I$4+VLOOKUP($Q30,武学奇术!$A:$ZZ,13,FALSE)+SUM(_xlfn.XLOOKUP(R30:AF30,增益!$A:$A,增益!$M:$M,0))&gt;0,($F$13-$I$4+VLOOKUP($Q30,武学奇术!$A:$ZZ,13,FALSE)+SUM(_xlfn.XLOOKUP(R30:AF30,增益!$A:$A,增益!$K:$K,0)))/200,($F$13-$I$4+VLOOKUP($Q30,武学奇术!$A:$ZZ,13,FALSE)+SUM(_xlfn.XLOOKUP(R30:AF30,增益!$A:$A,增益!$M:$M,0)))/100)</f>
        <v>-0.3</v>
      </c>
      <c r="BD30" s="35" cm="1">
        <f t="array" ref="BD30">$G$13+VLOOKUP($Q30,武学奇术!$A:$ZZ,14,FALSE)+SUM(_xlfn.XLOOKUP(R30:AF30,增益!$A:$A,增益!$N:$N,0))</f>
        <v>0</v>
      </c>
      <c r="BE30">
        <f t="shared" si="7"/>
        <v>538</v>
      </c>
      <c r="BF30">
        <f t="shared" si="8"/>
        <v>1561.4</v>
      </c>
      <c r="BG30" s="35" cm="1">
        <f t="array" ref="BG30">IF($F$14-$I$4+VLOOKUP($Q30,武学奇术!$A:$ZZ,15,FALSE)+SUM(_xlfn.XLOOKUP(R30:AF30,增益!$A:$A,增益!$O:$O,0))&gt;0,($F$14-$I$4+VLOOKUP($Q30,武学奇术!$A:$ZZ,15,FALSE)+SUM(_xlfn.XLOOKUP(R30:AF30,增益!$A:$A,增益!$O:$O,0)))/200,($F$14-$I$4+VLOOKUP($Q30,武学奇术!$A:$ZZ,15,FALSE)+SUM(_xlfn.XLOOKUP(R30:AF30,增益!$A:$A,增益!$O:$O,0)))/100)</f>
        <v>0</v>
      </c>
      <c r="BH30" s="35" cm="1">
        <f t="array" ref="BH30">$G$14+VLOOKUP($Q30,武学奇术!$A:$ZZ,16,FALSE)+SUM(_xlfn.XLOOKUP(R30:AF30,增益!$A:$A,增益!$P:$P,0))</f>
        <v>0.27</v>
      </c>
      <c r="BI30" s="30">
        <f>MIN(IF(VLOOKUP($Q30,武学奇术!$A:$ZZ,23,FALSE)=1,100%,$B$8),100%)</f>
        <v>0.9712</v>
      </c>
      <c r="BJ30" s="30" cm="1">
        <f t="array" ref="BJ30">IF(VLOOKUP($Q30,武学奇术!$A:$ZZ,23,FALSE)=1,100%,MIN(80%,$B$9+VLOOKUP($Q30,武学奇术!$A:$ZZ,17,FALSE)+SUM(_xlfn.XLOOKUP(R30:AF30,增益!$A:$A,增益!$Q:$Q,0)))+$B$11+SUM(_xlfn.XLOOKUP(R30:AF30,增益!$A:$A,增益!$U:$U,0)))*IF(VLOOKUP($Q30,武学奇术!$A:$ZZ,24,FALSE)=1,0,1)</f>
        <v>0.8773</v>
      </c>
      <c r="BK30" s="30" cm="1">
        <f t="array" ref="BK30">1+$B$13+VLOOKUP($Q30,武学奇术!$A:$ZZ,18,FALSE)+SUM(_xlfn.XLOOKUP(R30:AF30,增益!$A:$A,增益!$R:$R,0))</f>
        <v>1.84</v>
      </c>
      <c r="BL30" s="30" cm="1">
        <f t="array" ref="BL30">IF(VLOOKUP($Q30,武学奇术!$A:$ZZ,24,FALSE)=1,100%,MIN(40%,$B$10+VLOOKUP($Q30,武学奇术!$A:$ZZ,19,FALSE)+SUM(_xlfn.XLOOKUP(R30:AF30,增益!$A:$A,增益!$S:$S,0)))+$B$12+SUM(_xlfn.XLOOKUP(R30:AF30,增益!$A:$A,增益!$V:$V,0)))*IF(VLOOKUP($Q30,武学奇术!$A:$ZZ,23,FALSE)=1,0,1)</f>
        <v>0.0895</v>
      </c>
      <c r="BM30" s="30" cm="1">
        <f t="array" ref="BM30">1+$B$14+VLOOKUP($Q30,武学奇术!$A:$ZZ,20,FALSE)+SUM(_xlfn.XLOOKUP(R30:AF30,增益!$A:$A,增益!$T:$T,0))</f>
        <v>1.35</v>
      </c>
      <c r="BN30" s="30">
        <f t="shared" si="9"/>
        <v>0.85203376</v>
      </c>
      <c r="BO30" s="30">
        <f t="shared" si="10"/>
        <v>0.03224384</v>
      </c>
      <c r="BP30" s="30">
        <f>IF(VLOOKUP($Q30,武学奇术!$A:$ZZ,22,FALSE)=1,0,(1-$BI30))*(1-$BL30)</f>
        <v>0.0262224</v>
      </c>
      <c r="BQ30" s="30" cm="1">
        <f t="array" ref="BQ30">SUM(_xlfn.XLOOKUP(R30:AF30,增益!$A:$A,增益!$W:$W,0))+$I$5</f>
        <v>0.11</v>
      </c>
    </row>
    <row r="31" spans="1:69">
      <c r="A31" s="4"/>
      <c r="B31" s="4"/>
      <c r="K31" s="41">
        <f t="shared" si="11"/>
        <v>70827.2118811387</v>
      </c>
      <c r="L31" s="41">
        <f>((($AN31+$AO31)/2*$AH31+$AI31)*(1+$AP31)*(1+$AQ31)+(($AS31+$AT31)/2*IF($G$1="鸣金",$AJ31,$AH31)+IF($G$1="鸣金",$AK31*1.5,0))*(1+$AU31)*(1+$AV31)+(($AW31+$AX31)/2*IF($G$1="裂石",$AJ31,$AH31)+IF($G$1="裂石",$AK31*1.5,0))*(1+$AY31)*(1+$AZ31)+(($BA31+$BB31)/2*IF($G$1="牵丝",$AJ31,$AH31)+IF($G$1="牵丝",$AK31*1.5,0))*(1+$BC31)*(1+$BD31)+(($BE31+$BF31)/2*IF($G$1="破竹",$AJ31,$AH31)+IF($G$1="破竹",$AK31*1.5,0))*(1+$BG31)*(1+$BH31))*(1+$AL31)*$BK31*$P31*(1+IF(VLOOKUP($Q31,武学奇术!$A:$ZZ,30,FALSE)="回旋伞",$B$21,0))*(1+$BQ31)</f>
        <v>70827.2118811387</v>
      </c>
      <c r="M31" s="41">
        <f>(($AO31*$AH31+$AI31)*(1+$AP31)*(1+$AQ31)+($AT31*IF($G$1="鸣金",$AJ31,$AH31)+IF($G$1="鸣金",$AK31*1.5,0))*(1+$AU31)*(1+$AV31)+($AX31*IF($G$1="裂石",$AJ31,$AH31)+IF($G$1="裂石",$AK31*1.5,0))*(1+$AY31)*(1+$AZ31)+($BB31*IF($G$1="牵丝",$AJ31,$AH31)+IF($G$1="牵丝",$AK31*1.5,0))*(1+$BC31)*(1+$BD31)+($BF31*IF($G$1="破竹",$AJ31,$AH31)+IF($G$1="破竹",$AK31*1.5,0))*(1+$BG31)*(1+$BH31))*(1+$AL31)*$BM31*$P31*(1+IF(VLOOKUP($Q31,武学奇术!$A:$ZZ,30,FALSE)="回旋伞",$B$21,0))*(1+$BQ31)</f>
        <v>57870.7756557982</v>
      </c>
      <c r="N31" s="41">
        <f>((($AN31+$AO31)/2*$AH31+$AI31)*(1+$AP31)*(1+$AQ31)+(($AS31+$AT31)/2*IF($G$1="鸣金",$AJ31,$AH31)+IF($G$1="鸣金",$AK31*1.5,0))*(1+$AU31)*(1+$AV31)+(($AW31+$AX31)/2*IF($G$1="裂石",$AJ31,$AH31)+IF($G$1="裂石",$AK31*1.5,0))*(1+$AY31)*(1+$AZ31)+(($BA31+$BB31)/2*IF($G$1="牵丝",$AJ31,$AH31)+IF($G$1="牵丝",$AK31*1.5,0))*(1+$BC31)*(1+$BD31)+(($BE31+$BF31)/2*IF($G$1="破竹",$AJ31,$AH31)+IF($G$1="破竹",$AK31*1.5,0))*(1+$BG31)*(1+$BH31))*(1+$AL31)*$P31*(1+IF(VLOOKUP($Q31,武学奇术!$A:$ZZ,30,FALSE)="回旋伞",$B$21,0))*(1+$BQ31)</f>
        <v>38284.9793952101</v>
      </c>
      <c r="O31" s="41">
        <f>((($AN31*$AH31+$AI31)*(1+$AP31)*(1+$AQ31)+($AS31*IF($G$1="鸣金",$AJ31,$AH31)+IF($G$1="鸣金",$AK31*1.5,0))*(1+$AU31)*(1+$AV31)+($AW31*IF($G$1="裂石",$AJ31,$AH31)+IF($G$1="裂石",$AK31*1.5,0))*(1+$AY31)*(1+$AZ31)+($BA31*IF($G$1="牵丝",$AJ31,$AH31)+IF($G$1="牵丝",$AK31*1.5,0))*(1+$BC31)*(1+$BD31)+($BE31*IF($G$1="破竹",$AJ31,$AH31)+IF($G$1="破竹",$AK31*1.5,0))*(1+$BG31)*(1+$BH31))*(1+$AL31))*$P31*(1+IF(VLOOKUP($Q31,武学奇术!$A:$ZZ,30,FALSE)="回旋伞",$B$21,0))*(1+$BQ31)</f>
        <v>33702.717563903</v>
      </c>
      <c r="P31" s="42">
        <v>1</v>
      </c>
      <c r="Q31" s="43" t="s">
        <v>115</v>
      </c>
      <c r="R31" s="43" t="s">
        <v>105</v>
      </c>
      <c r="S31" s="43" t="s">
        <v>91</v>
      </c>
      <c r="T31" s="43" t="s">
        <v>72</v>
      </c>
      <c r="U31" s="43" t="s">
        <v>71</v>
      </c>
      <c r="V31" s="43" t="s">
        <v>159</v>
      </c>
      <c r="W31" s="43" t="s">
        <v>95</v>
      </c>
      <c r="X31" s="43" t="s">
        <v>71</v>
      </c>
      <c r="Y31" s="43" t="s">
        <v>71</v>
      </c>
      <c r="Z31" s="43" t="s">
        <v>71</v>
      </c>
      <c r="AA31" s="43" t="s">
        <v>116</v>
      </c>
      <c r="AB31" s="43" t="s">
        <v>71</v>
      </c>
      <c r="AC31" s="43" t="s">
        <v>71</v>
      </c>
      <c r="AD31" s="43" t="s">
        <v>71</v>
      </c>
      <c r="AE31" s="43" t="s">
        <v>71</v>
      </c>
      <c r="AF31" s="43" t="s">
        <v>76</v>
      </c>
      <c r="AG31" t="str">
        <f>VLOOKUP($Q31,武学奇术!$A:$ZZ,25,FALSE)</f>
        <v>伞</v>
      </c>
      <c r="AH31" s="30">
        <f>VLOOKUP($Q31,武学奇术!$A:$ZZ,26,FALSE)</f>
        <v>1.8084</v>
      </c>
      <c r="AI31" s="31">
        <f>VLOOKUP($Q31,武学奇术!$A:$ZZ,27,FALSE)*(1+IF(OR($AG31=$F$4,$AG31=$F$5),$B$22,0))</f>
        <v>700</v>
      </c>
      <c r="AJ31" s="30">
        <f>VLOOKUP($Q31,武学奇术!$A:$ZZ,28,FALSE)</f>
        <v>2.7126</v>
      </c>
      <c r="AK31" s="31">
        <f>VLOOKUP($Q31,武学奇术!$A:$ZZ,29,FALSE)*(1+IF(OR($AG31=$F$4,$AG31=$F$5),$B$22,0))</f>
        <v>380.8</v>
      </c>
      <c r="AL31" s="30" cm="1">
        <f t="array" ref="AL31">$G$3+IFERROR(VLOOKUP($AG31,$F$4:$G$7,2,FALSE),0)+VLOOKUP($Q31,武学奇术!$A:$ZZ,2,FALSE)+SUM(_xlfn.XLOOKUP($R31:$AF31,增益!$A:$A,增益!$B:$B,0))</f>
        <v>0.7741</v>
      </c>
      <c r="AM31" s="30" cm="1">
        <f t="array" ref="AM31">VLOOKUP($Q31,武学奇术!$A:$ZZ,5,FALSE)+SUM(_xlfn.XLOOKUP($R31:$AF31,增益!$A:$A,增益!$E:$E,0))</f>
        <v>0</v>
      </c>
      <c r="AN31" cm="1">
        <f t="array" ref="AN31">$D$10*(1+$AM31)+VLOOKUP($Q31,武学奇术!$A:$ZZ,3,FALSE)+SUM(_xlfn.XLOOKUP($R31:$AF31,增益!$A:$A,增益!$C:$C,0))-$I$2</f>
        <v>3483.8</v>
      </c>
      <c r="AO31" cm="1">
        <f t="array" ref="AO31">$E$10*(1+$AM31)+VLOOKUP($Q31,武学奇术!$A:$ZZ,4,FALSE)+SUM(_xlfn.XLOOKUP($R31:$AF31,增益!$A:$A,增益!$D:$D,0))-$I$2</f>
        <v>3483.8</v>
      </c>
      <c r="AP31" s="35" cm="1">
        <f t="array" ref="AP31">IF($F$10-$I$3+VLOOKUP($Q31,武学奇术!$A:$ZZ,6,FALSE)+SUM(_xlfn.XLOOKUP(R31:AF31,增益!$A:$A,增益!$F:$F,0))&gt;0,($F$10-$I$3+VLOOKUP($Q31,武学奇术!$A:$ZZ,6,FALSE)+SUM(_xlfn.XLOOKUP(R31:AF31,增益!$A:$A,增益!$F:$F,0)))/200,($F$10-$I$3+VLOOKUP($Q31,武学奇术!$A:$ZZ,6,FALSE)+SUM(_xlfn.XLOOKUP(R31:AF31,增益!$A:$A,增益!$F:$F,0)))/100)</f>
        <v>0.2925</v>
      </c>
      <c r="AQ31" s="35" cm="1">
        <f t="array" ref="AQ31">$G$10+VLOOKUP($Q31,武学奇术!$A:$ZZ,7,FALSE)+SUM(_xlfn.XLOOKUP(R31:AF31,增益!$A:$A,增益!$G:$G,0))</f>
        <v>0.148</v>
      </c>
      <c r="AR31" s="30" cm="1">
        <f t="array" ref="AR31">VLOOKUP($Q31,武学奇术!$A:$ZZ,8,FALSE)+SUM(_xlfn.XLOOKUP(R31:AF31,增益!$A:$A,增益!$H:$H,0))</f>
        <v>0</v>
      </c>
      <c r="AS31">
        <f t="shared" si="1"/>
        <v>0</v>
      </c>
      <c r="AT31">
        <f t="shared" si="2"/>
        <v>0</v>
      </c>
      <c r="AU31" s="35" cm="1">
        <f t="array" ref="AU31">IF($F$11-$I$4+VLOOKUP($Q31,武学奇术!$A:$ZZ,9,FALSE)+SUM(_xlfn.XLOOKUP(R31:AF31,增益!$A:$A,增益!$I:$I,0))&gt;0,($F$11-$I$4+VLOOKUP($Q31,武学奇术!$A:$ZZ,9,FALSE)+SUM(_xlfn.XLOOKUP(R31:AF31,增益!$A:$A,增益!$I:$I,0)))/200,($F$11-$I$4+VLOOKUP($Q31,武学奇术!$A:$ZZ,9,FALSE)+SUM(_xlfn.XLOOKUP(R31:AF31,增益!$A:$A,增益!$I:$I,0)))/100)</f>
        <v>-0.3</v>
      </c>
      <c r="AV31" s="35" cm="1">
        <f t="array" ref="AV31">$G$11+VLOOKUP($Q31,武学奇术!$A:$ZZ,10,FALSE)+SUM(_xlfn.XLOOKUP(R31:AF31,增益!$A:$A,增益!$J:$J,0))</f>
        <v>0</v>
      </c>
      <c r="AW31">
        <f t="shared" si="3"/>
        <v>0</v>
      </c>
      <c r="AX31">
        <f t="shared" si="4"/>
        <v>0</v>
      </c>
      <c r="AY31" s="35" cm="1">
        <f t="array" ref="AY31">IF($F$12-$I$4+VLOOKUP($Q31,武学奇术!$A:$ZZ,11,FALSE)+SUM(_xlfn.XLOOKUP(R31:AF31,增益!$A:$A,增益!$K:$K,0))&gt;0,($F$12-$I$4+VLOOKUP($Q31,武学奇术!$A:$ZZ,11,FALSE)+SUM(_xlfn.XLOOKUP(R31:AF31,增益!$A:$A,增益!$K:$K,0)))/200,($F$12-$I$4+VLOOKUP($Q31,武学奇术!$A:$ZZ,11,FALSE)+SUM(_xlfn.XLOOKUP(R31:AF31,增益!$A:$A,增益!$K:$K,0)))/100)</f>
        <v>-0.3</v>
      </c>
      <c r="AZ31" s="35" cm="1">
        <f t="array" ref="AZ31">$G$12+VLOOKUP($Q31,武学奇术!$A:$ZZ,12,FALSE)+SUM(_xlfn.XLOOKUP(R31:AF31,增益!$A:$A,增益!$L:$L,0))</f>
        <v>0</v>
      </c>
      <c r="BA31">
        <f t="shared" si="5"/>
        <v>0</v>
      </c>
      <c r="BB31">
        <f t="shared" si="6"/>
        <v>0</v>
      </c>
      <c r="BC31" s="35" cm="1">
        <f t="array" ref="BC31">IF($F$13-$I$4+VLOOKUP($Q31,武学奇术!$A:$ZZ,13,FALSE)+SUM(_xlfn.XLOOKUP(R31:AF31,增益!$A:$A,增益!$M:$M,0))&gt;0,($F$13-$I$4+VLOOKUP($Q31,武学奇术!$A:$ZZ,13,FALSE)+SUM(_xlfn.XLOOKUP(R31:AF31,增益!$A:$A,增益!$K:$K,0)))/200,($F$13-$I$4+VLOOKUP($Q31,武学奇术!$A:$ZZ,13,FALSE)+SUM(_xlfn.XLOOKUP(R31:AF31,增益!$A:$A,增益!$M:$M,0)))/100)</f>
        <v>-0.3</v>
      </c>
      <c r="BD31" s="35" cm="1">
        <f t="array" ref="BD31">$G$13+VLOOKUP($Q31,武学奇术!$A:$ZZ,14,FALSE)+SUM(_xlfn.XLOOKUP(R31:AF31,增益!$A:$A,增益!$N:$N,0))</f>
        <v>0</v>
      </c>
      <c r="BE31">
        <f t="shared" si="7"/>
        <v>538</v>
      </c>
      <c r="BF31">
        <f t="shared" si="8"/>
        <v>1561.4</v>
      </c>
      <c r="BG31" s="35" cm="1">
        <f t="array" ref="BG31">IF($F$14-$I$4+VLOOKUP($Q31,武学奇术!$A:$ZZ,15,FALSE)+SUM(_xlfn.XLOOKUP(R31:AF31,增益!$A:$A,增益!$O:$O,0))&gt;0,($F$14-$I$4+VLOOKUP($Q31,武学奇术!$A:$ZZ,15,FALSE)+SUM(_xlfn.XLOOKUP(R31:AF31,增益!$A:$A,增益!$O:$O,0)))/200,($F$14-$I$4+VLOOKUP($Q31,武学奇术!$A:$ZZ,15,FALSE)+SUM(_xlfn.XLOOKUP(R31:AF31,增益!$A:$A,增益!$O:$O,0)))/100)</f>
        <v>0</v>
      </c>
      <c r="BH31" s="35" cm="1">
        <f t="array" ref="BH31">$G$14+VLOOKUP($Q31,武学奇术!$A:$ZZ,16,FALSE)+SUM(_xlfn.XLOOKUP(R31:AF31,增益!$A:$A,增益!$P:$P,0))</f>
        <v>0.27</v>
      </c>
      <c r="BI31" s="30">
        <f>MIN(IF(VLOOKUP($Q31,武学奇术!$A:$ZZ,23,FALSE)=1,100%,$B$8),100%)</f>
        <v>1</v>
      </c>
      <c r="BJ31" s="30" cm="1">
        <f t="array" ref="BJ31">IF(VLOOKUP($Q31,武学奇术!$A:$ZZ,23,FALSE)=1,100%,MIN(80%,$B$9+VLOOKUP($Q31,武学奇术!$A:$ZZ,17,FALSE)+SUM(_xlfn.XLOOKUP(R31:AF31,增益!$A:$A,增益!$Q:$Q,0)))+$B$11+SUM(_xlfn.XLOOKUP(R31:AF31,增益!$A:$A,增益!$U:$U,0)))*IF(VLOOKUP($Q31,武学奇术!$A:$ZZ,24,FALSE)=1,0,1)</f>
        <v>1</v>
      </c>
      <c r="BK31" s="30" cm="1">
        <f t="array" ref="BK31">1+$B$13+VLOOKUP($Q31,武学奇术!$A:$ZZ,18,FALSE)+SUM(_xlfn.XLOOKUP(R31:AF31,增益!$A:$A,增益!$R:$R,0))</f>
        <v>1.85</v>
      </c>
      <c r="BL31" s="30" cm="1">
        <f t="array" ref="BL31">IF(VLOOKUP($Q31,武学奇术!$A:$ZZ,24,FALSE)=1,100%,MIN(40%,$B$10+VLOOKUP($Q31,武学奇术!$A:$ZZ,19,FALSE)+SUM(_xlfn.XLOOKUP(R31:AF31,增益!$A:$A,增益!$S:$S,0)))+$B$12+SUM(_xlfn.XLOOKUP(R31:AF31,增益!$A:$A,增益!$V:$V,0)))*IF(VLOOKUP($Q31,武学奇术!$A:$ZZ,23,FALSE)=1,0,1)</f>
        <v>0</v>
      </c>
      <c r="BM31" s="30" cm="1">
        <f t="array" ref="BM31">1+$B$14+VLOOKUP($Q31,武学奇术!$A:$ZZ,20,FALSE)+SUM(_xlfn.XLOOKUP(R31:AF31,增益!$A:$A,增益!$T:$T,0))</f>
        <v>1.35</v>
      </c>
      <c r="BN31" s="30">
        <f t="shared" si="9"/>
        <v>1</v>
      </c>
      <c r="BO31" s="30">
        <f t="shared" si="10"/>
        <v>0</v>
      </c>
      <c r="BP31" s="30">
        <f>IF(VLOOKUP($Q31,武学奇术!$A:$ZZ,22,FALSE)=1,0,(1-$BI31))*(1-$BL31)</f>
        <v>0</v>
      </c>
      <c r="BQ31" s="30" cm="1">
        <f t="array" ref="BQ31">SUM(_xlfn.XLOOKUP(R31:AF31,增益!$A:$A,增益!$W:$W,0))+$I$5</f>
        <v>0.11</v>
      </c>
    </row>
    <row r="32" spans="1:69">
      <c r="A32" s="4"/>
      <c r="B32" s="90"/>
      <c r="K32" s="41">
        <f t="shared" si="11"/>
        <v>60019.0115646021</v>
      </c>
      <c r="L32" s="41">
        <f>((($AN32+$AO32)/2*$AH32+$AI32)*(1+$AP32)*(1+$AQ32)+(($AS32+$AT32)/2*IF($G$1="鸣金",$AJ32,$AH32)+IF($G$1="鸣金",$AK32*1.5,0))*(1+$AU32)*(1+$AV32)+(($AW32+$AX32)/2*IF($G$1="裂石",$AJ32,$AH32)+IF($G$1="裂石",$AK32*1.5,0))*(1+$AY32)*(1+$AZ32)+(($BA32+$BB32)/2*IF($G$1="牵丝",$AJ32,$AH32)+IF($G$1="牵丝",$AK32*1.5,0))*(1+$BC32)*(1+$BD32)+(($BE32+$BF32)/2*IF($G$1="破竹",$AJ32,$AH32)+IF($G$1="破竹",$AK32*1.5,0))*(1+$BG32)*(1+$BH32))*(1+$AL32)*$BK32*$P32*(1+IF(VLOOKUP($Q32,武学奇术!$A:$ZZ,30,FALSE)="回旋伞",$B$21,0))*(1+$BQ32)</f>
        <v>62842.6324458037</v>
      </c>
      <c r="M32" s="41">
        <f>(($AO32*$AH32+$AI32)*(1+$AP32)*(1+$AQ32)+($AT32*IF($G$1="鸣金",$AJ32,$AH32)+IF($G$1="鸣金",$AK32*1.5,0))*(1+$AU32)*(1+$AV32)+($AX32*IF($G$1="裂石",$AJ32,$AH32)+IF($G$1="裂石",$AK32*1.5,0))*(1+$AY32)*(1+$AZ32)+($BB32*IF($G$1="牵丝",$AJ32,$AH32)+IF($G$1="牵丝",$AK32*1.5,0))*(1+$BC32)*(1+$BD32)+($BF32*IF($G$1="破竹",$AJ32,$AH32)+IF($G$1="破竹",$AK32*1.5,0))*(1+$BG32)*(1+$BH32))*(1+$AL32)*$BM32*$P32*(1+IF(VLOOKUP($Q32,武学奇术!$A:$ZZ,30,FALSE)="回旋伞",$B$21,0))*(1+$BQ32)</f>
        <v>51346.8169549586</v>
      </c>
      <c r="N32" s="41">
        <f>((($AN32+$AO32)/2*$AH32+$AI32)*(1+$AP32)*(1+$AQ32)+(($AS32+$AT32)/2*IF($G$1="鸣金",$AJ32,$AH32)+IF($G$1="鸣金",$AK32*1.5,0))*(1+$AU32)*(1+$AV32)+(($AW32+$AX32)/2*IF($G$1="裂石",$AJ32,$AH32)+IF($G$1="裂石",$AK32*1.5,0))*(1+$AY32)*(1+$AZ32)+(($BA32+$BB32)/2*IF($G$1="牵丝",$AJ32,$AH32)+IF($G$1="牵丝",$AK32*1.5,0))*(1+$BC32)*(1+$BD32)+(($BE32+$BF32)/2*IF($G$1="破竹",$AJ32,$AH32)+IF($G$1="破竹",$AK32*1.5,0))*(1+$BG32)*(1+$BH32))*(1+$AL32)*$P32*(1+IF(VLOOKUP($Q32,武学奇术!$A:$ZZ,30,FALSE)="回旋伞",$B$21,0))*(1+$BQ32)</f>
        <v>33968.9905112452</v>
      </c>
      <c r="O32" s="41">
        <f>((($AN32*$AH32+$AI32)*(1+$AP32)*(1+$AQ32)+($AS32*IF($G$1="鸣金",$AJ32,$AH32)+IF($G$1="鸣金",$AK32*1.5,0))*(1+$AU32)*(1+$AV32)+($AW32*IF($G$1="裂石",$AJ32,$AH32)+IF($G$1="裂石",$AK32*1.5,0))*(1+$AY32)*(1+$AZ32)+($BA32*IF($G$1="牵丝",$AJ32,$AH32)+IF($G$1="牵丝",$AK32*1.5,0))*(1+$BC32)*(1+$BD32)+($BE32*IF($G$1="破竹",$AJ32,$AH32)+IF($G$1="破竹",$AK32*1.5,0))*(1+$BG32)*(1+$BH32))*(1+$AL32))*$P32*(1+IF(VLOOKUP($Q32,武学奇术!$A:$ZZ,30,FALSE)="回旋伞",$B$21,0))*(1+$BQ32)</f>
        <v>29903.3017965953</v>
      </c>
      <c r="P32" s="42">
        <v>1</v>
      </c>
      <c r="Q32" s="43" t="s">
        <v>104</v>
      </c>
      <c r="R32" s="43" t="s">
        <v>105</v>
      </c>
      <c r="S32" s="43" t="s">
        <v>91</v>
      </c>
      <c r="T32" s="43" t="s">
        <v>72</v>
      </c>
      <c r="U32" s="43" t="s">
        <v>71</v>
      </c>
      <c r="V32" s="43" t="s">
        <v>159</v>
      </c>
      <c r="W32" s="43" t="s">
        <v>95</v>
      </c>
      <c r="X32" s="43" t="s">
        <v>71</v>
      </c>
      <c r="Y32" s="43" t="s">
        <v>71</v>
      </c>
      <c r="Z32" s="43" t="s">
        <v>71</v>
      </c>
      <c r="AA32" s="43" t="s">
        <v>116</v>
      </c>
      <c r="AB32" s="43" t="s">
        <v>71</v>
      </c>
      <c r="AC32" s="43" t="s">
        <v>71</v>
      </c>
      <c r="AD32" s="43" t="s">
        <v>71</v>
      </c>
      <c r="AE32" s="43" t="s">
        <v>71</v>
      </c>
      <c r="AF32" s="43" t="s">
        <v>76</v>
      </c>
      <c r="AG32" t="str">
        <f>VLOOKUP($Q32,武学奇术!$A:$ZZ,25,FALSE)</f>
        <v>伞</v>
      </c>
      <c r="AH32" s="30">
        <f>VLOOKUP($Q32,武学奇术!$A:$ZZ,26,FALSE)</f>
        <v>1.8084</v>
      </c>
      <c r="AI32" s="31">
        <f>VLOOKUP($Q32,武学奇术!$A:$ZZ,27,FALSE)*(1+IF(OR($AG32=$F$4,$AG32=$F$5),$B$22,0))</f>
        <v>700</v>
      </c>
      <c r="AJ32" s="30">
        <f>VLOOKUP($Q32,武学奇术!$A:$ZZ,28,FALSE)</f>
        <v>2.7126</v>
      </c>
      <c r="AK32" s="31">
        <f>VLOOKUP($Q32,武学奇术!$A:$ZZ,29,FALSE)*(1+IF(OR($AG32=$F$4,$AG32=$F$5),$B$22,0))</f>
        <v>380.8</v>
      </c>
      <c r="AL32" s="30" cm="1">
        <f t="array" ref="AL32">$G$3+IFERROR(VLOOKUP($AG32,$F$4:$G$7,2,FALSE),0)+VLOOKUP($Q32,武学奇术!$A:$ZZ,2,FALSE)+SUM(_xlfn.XLOOKUP($R32:$AF32,增益!$A:$A,增益!$B:$B,0))</f>
        <v>0.5741</v>
      </c>
      <c r="AM32" s="30" cm="1">
        <f t="array" ref="AM32">VLOOKUP($Q32,武学奇术!$A:$ZZ,5,FALSE)+SUM(_xlfn.XLOOKUP($R32:$AF32,增益!$A:$A,增益!$E:$E,0))</f>
        <v>0</v>
      </c>
      <c r="AN32" cm="1">
        <f t="array" ref="AN32">$D$10*(1+$AM32)+VLOOKUP($Q32,武学奇术!$A:$ZZ,3,FALSE)+SUM(_xlfn.XLOOKUP($R32:$AF32,增益!$A:$A,增益!$C:$C,0))-$I$2</f>
        <v>3483.8</v>
      </c>
      <c r="AO32" cm="1">
        <f t="array" ref="AO32">$E$10*(1+$AM32)+VLOOKUP($Q32,武学奇术!$A:$ZZ,4,FALSE)+SUM(_xlfn.XLOOKUP($R32:$AF32,增益!$A:$A,增益!$D:$D,0))-$I$2</f>
        <v>3483.8</v>
      </c>
      <c r="AP32" s="35" cm="1">
        <f t="array" ref="AP32">IF($F$10-$I$3+VLOOKUP($Q32,武学奇术!$A:$ZZ,6,FALSE)+SUM(_xlfn.XLOOKUP(R32:AF32,增益!$A:$A,增益!$F:$F,0))&gt;0,($F$10-$I$3+VLOOKUP($Q32,武学奇术!$A:$ZZ,6,FALSE)+SUM(_xlfn.XLOOKUP(R32:AF32,增益!$A:$A,增益!$F:$F,0)))/200,($F$10-$I$3+VLOOKUP($Q32,武学奇术!$A:$ZZ,6,FALSE)+SUM(_xlfn.XLOOKUP(R32:AF32,增益!$A:$A,增益!$F:$F,0)))/100)</f>
        <v>0.2925</v>
      </c>
      <c r="AQ32" s="35" cm="1">
        <f t="array" ref="AQ32">$G$10+VLOOKUP($Q32,武学奇术!$A:$ZZ,7,FALSE)+SUM(_xlfn.XLOOKUP(R32:AF32,增益!$A:$A,增益!$G:$G,0))</f>
        <v>0.148</v>
      </c>
      <c r="AR32" s="30" cm="1">
        <f t="array" ref="AR32">VLOOKUP($Q32,武学奇术!$A:$ZZ,8,FALSE)+SUM(_xlfn.XLOOKUP(R32:AF32,增益!$A:$A,增益!$H:$H,0))</f>
        <v>0</v>
      </c>
      <c r="AS32">
        <f t="shared" si="1"/>
        <v>0</v>
      </c>
      <c r="AT32">
        <f t="shared" si="2"/>
        <v>0</v>
      </c>
      <c r="AU32" s="35" cm="1">
        <f t="array" ref="AU32">IF($F$11-$I$4+VLOOKUP($Q32,武学奇术!$A:$ZZ,9,FALSE)+SUM(_xlfn.XLOOKUP(R32:AF32,增益!$A:$A,增益!$I:$I,0))&gt;0,($F$11-$I$4+VLOOKUP($Q32,武学奇术!$A:$ZZ,9,FALSE)+SUM(_xlfn.XLOOKUP(R32:AF32,增益!$A:$A,增益!$I:$I,0)))/200,($F$11-$I$4+VLOOKUP($Q32,武学奇术!$A:$ZZ,9,FALSE)+SUM(_xlfn.XLOOKUP(R32:AF32,增益!$A:$A,增益!$I:$I,0)))/100)</f>
        <v>-0.3</v>
      </c>
      <c r="AV32" s="35" cm="1">
        <f t="array" ref="AV32">$G$11+VLOOKUP($Q32,武学奇术!$A:$ZZ,10,FALSE)+SUM(_xlfn.XLOOKUP(R32:AF32,增益!$A:$A,增益!$J:$J,0))</f>
        <v>0</v>
      </c>
      <c r="AW32">
        <f t="shared" si="3"/>
        <v>0</v>
      </c>
      <c r="AX32">
        <f t="shared" si="4"/>
        <v>0</v>
      </c>
      <c r="AY32" s="35" cm="1">
        <f t="array" ref="AY32">IF($F$12-$I$4+VLOOKUP($Q32,武学奇术!$A:$ZZ,11,FALSE)+SUM(_xlfn.XLOOKUP(R32:AF32,增益!$A:$A,增益!$K:$K,0))&gt;0,($F$12-$I$4+VLOOKUP($Q32,武学奇术!$A:$ZZ,11,FALSE)+SUM(_xlfn.XLOOKUP(R32:AF32,增益!$A:$A,增益!$K:$K,0)))/200,($F$12-$I$4+VLOOKUP($Q32,武学奇术!$A:$ZZ,11,FALSE)+SUM(_xlfn.XLOOKUP(R32:AF32,增益!$A:$A,增益!$K:$K,0)))/100)</f>
        <v>-0.3</v>
      </c>
      <c r="AZ32" s="35" cm="1">
        <f t="array" ref="AZ32">$G$12+VLOOKUP($Q32,武学奇术!$A:$ZZ,12,FALSE)+SUM(_xlfn.XLOOKUP(R32:AF32,增益!$A:$A,增益!$L:$L,0))</f>
        <v>0</v>
      </c>
      <c r="BA32">
        <f t="shared" si="5"/>
        <v>0</v>
      </c>
      <c r="BB32">
        <f t="shared" si="6"/>
        <v>0</v>
      </c>
      <c r="BC32" s="35" cm="1">
        <f t="array" ref="BC32">IF($F$13-$I$4+VLOOKUP($Q32,武学奇术!$A:$ZZ,13,FALSE)+SUM(_xlfn.XLOOKUP(R32:AF32,增益!$A:$A,增益!$M:$M,0))&gt;0,($F$13-$I$4+VLOOKUP($Q32,武学奇术!$A:$ZZ,13,FALSE)+SUM(_xlfn.XLOOKUP(R32:AF32,增益!$A:$A,增益!$K:$K,0)))/200,($F$13-$I$4+VLOOKUP($Q32,武学奇术!$A:$ZZ,13,FALSE)+SUM(_xlfn.XLOOKUP(R32:AF32,增益!$A:$A,增益!$M:$M,0)))/100)</f>
        <v>-0.3</v>
      </c>
      <c r="BD32" s="35" cm="1">
        <f t="array" ref="BD32">$G$13+VLOOKUP($Q32,武学奇术!$A:$ZZ,14,FALSE)+SUM(_xlfn.XLOOKUP(R32:AF32,增益!$A:$A,增益!$N:$N,0))</f>
        <v>0</v>
      </c>
      <c r="BE32">
        <f t="shared" si="7"/>
        <v>538</v>
      </c>
      <c r="BF32">
        <f t="shared" si="8"/>
        <v>1561.4</v>
      </c>
      <c r="BG32" s="35" cm="1">
        <f t="array" ref="BG32">IF($F$14-$I$4+VLOOKUP($Q32,武学奇术!$A:$ZZ,15,FALSE)+SUM(_xlfn.XLOOKUP(R32:AF32,增益!$A:$A,增益!$O:$O,0))&gt;0,($F$14-$I$4+VLOOKUP($Q32,武学奇术!$A:$ZZ,15,FALSE)+SUM(_xlfn.XLOOKUP(R32:AF32,增益!$A:$A,增益!$O:$O,0)))/200,($F$14-$I$4+VLOOKUP($Q32,武学奇术!$A:$ZZ,15,FALSE)+SUM(_xlfn.XLOOKUP(R32:AF32,增益!$A:$A,增益!$O:$O,0)))/100)</f>
        <v>0</v>
      </c>
      <c r="BH32" s="35" cm="1">
        <f t="array" ref="BH32">$G$14+VLOOKUP($Q32,武学奇术!$A:$ZZ,16,FALSE)+SUM(_xlfn.XLOOKUP(R32:AF32,增益!$A:$A,增益!$P:$P,0))</f>
        <v>0.27</v>
      </c>
      <c r="BI32" s="30">
        <f>MIN(IF(VLOOKUP($Q32,武学奇术!$A:$ZZ,23,FALSE)=1,100%,$B$8),100%)</f>
        <v>0.9712</v>
      </c>
      <c r="BJ32" s="30" cm="1">
        <f t="array" ref="BJ32">IF(VLOOKUP($Q32,武学奇术!$A:$ZZ,23,FALSE)=1,100%,MIN(80%,$B$9+VLOOKUP($Q32,武学奇术!$A:$ZZ,17,FALSE)+SUM(_xlfn.XLOOKUP(R32:AF32,增益!$A:$A,增益!$Q:$Q,0)))+$B$11+SUM(_xlfn.XLOOKUP(R32:AF32,增益!$A:$A,增益!$U:$U,0)))*IF(VLOOKUP($Q32,武学奇术!$A:$ZZ,24,FALSE)=1,0,1)</f>
        <v>0.8773</v>
      </c>
      <c r="BK32" s="30" cm="1">
        <f t="array" ref="BK32">1+$B$13+VLOOKUP($Q32,武学奇术!$A:$ZZ,18,FALSE)+SUM(_xlfn.XLOOKUP(R32:AF32,增益!$A:$A,增益!$R:$R,0))</f>
        <v>1.85</v>
      </c>
      <c r="BL32" s="30" cm="1">
        <f t="array" ref="BL32">IF(VLOOKUP($Q32,武学奇术!$A:$ZZ,24,FALSE)=1,100%,MIN(40%,$B$10+VLOOKUP($Q32,武学奇术!$A:$ZZ,19,FALSE)+SUM(_xlfn.XLOOKUP(R32:AF32,增益!$A:$A,增益!$S:$S,0)))+$B$12+SUM(_xlfn.XLOOKUP(R32:AF32,增益!$A:$A,增益!$V:$V,0)))*IF(VLOOKUP($Q32,武学奇术!$A:$ZZ,23,FALSE)=1,0,1)</f>
        <v>0.0895</v>
      </c>
      <c r="BM32" s="30" cm="1">
        <f t="array" ref="BM32">1+$B$14+VLOOKUP($Q32,武学奇术!$A:$ZZ,20,FALSE)+SUM(_xlfn.XLOOKUP(R32:AF32,增益!$A:$A,增益!$T:$T,0))</f>
        <v>1.35</v>
      </c>
      <c r="BN32" s="30">
        <f t="shared" si="9"/>
        <v>0.85203376</v>
      </c>
      <c r="BO32" s="30">
        <f t="shared" si="10"/>
        <v>0.03224384</v>
      </c>
      <c r="BP32" s="30">
        <f>IF(VLOOKUP($Q32,武学奇术!$A:$ZZ,22,FALSE)=1,0,(1-$BI32))*(1-$BL32)</f>
        <v>0.0262224</v>
      </c>
      <c r="BQ32" s="30" cm="1">
        <f t="array" ref="BQ32">SUM(_xlfn.XLOOKUP(R32:AF32,增益!$A:$A,增益!$W:$W,0))+$I$5</f>
        <v>0.11</v>
      </c>
    </row>
    <row r="33" spans="1:69">
      <c r="A33" s="4"/>
      <c r="B33" s="90"/>
      <c r="K33" s="41">
        <f t="shared" si="11"/>
        <v>60019.0115646021</v>
      </c>
      <c r="L33" s="41">
        <f>((($AN33+$AO33)/2*$AH33+$AI33)*(1+$AP33)*(1+$AQ33)+(($AS33+$AT33)/2*IF($G$1="鸣金",$AJ33,$AH33)+IF($G$1="鸣金",$AK33*1.5,0))*(1+$AU33)*(1+$AV33)+(($AW33+$AX33)/2*IF($G$1="裂石",$AJ33,$AH33)+IF($G$1="裂石",$AK33*1.5,0))*(1+$AY33)*(1+$AZ33)+(($BA33+$BB33)/2*IF($G$1="牵丝",$AJ33,$AH33)+IF($G$1="牵丝",$AK33*1.5,0))*(1+$BC33)*(1+$BD33)+(($BE33+$BF33)/2*IF($G$1="破竹",$AJ33,$AH33)+IF($G$1="破竹",$AK33*1.5,0))*(1+$BG33)*(1+$BH33))*(1+$AL33)*$BK33*$P33*(1+IF(VLOOKUP($Q33,武学奇术!$A:$ZZ,30,FALSE)="回旋伞",$B$21,0))*(1+$BQ33)</f>
        <v>62842.6324458037</v>
      </c>
      <c r="M33" s="41">
        <f>(($AO33*$AH33+$AI33)*(1+$AP33)*(1+$AQ33)+($AT33*IF($G$1="鸣金",$AJ33,$AH33)+IF($G$1="鸣金",$AK33*1.5,0))*(1+$AU33)*(1+$AV33)+($AX33*IF($G$1="裂石",$AJ33,$AH33)+IF($G$1="裂石",$AK33*1.5,0))*(1+$AY33)*(1+$AZ33)+($BB33*IF($G$1="牵丝",$AJ33,$AH33)+IF($G$1="牵丝",$AK33*1.5,0))*(1+$BC33)*(1+$BD33)+($BF33*IF($G$1="破竹",$AJ33,$AH33)+IF($G$1="破竹",$AK33*1.5,0))*(1+$BG33)*(1+$BH33))*(1+$AL33)*$BM33*$P33*(1+IF(VLOOKUP($Q33,武学奇术!$A:$ZZ,30,FALSE)="回旋伞",$B$21,0))*(1+$BQ33)</f>
        <v>51346.8169549586</v>
      </c>
      <c r="N33" s="41">
        <f>((($AN33+$AO33)/2*$AH33+$AI33)*(1+$AP33)*(1+$AQ33)+(($AS33+$AT33)/2*IF($G$1="鸣金",$AJ33,$AH33)+IF($G$1="鸣金",$AK33*1.5,0))*(1+$AU33)*(1+$AV33)+(($AW33+$AX33)/2*IF($G$1="裂石",$AJ33,$AH33)+IF($G$1="裂石",$AK33*1.5,0))*(1+$AY33)*(1+$AZ33)+(($BA33+$BB33)/2*IF($G$1="牵丝",$AJ33,$AH33)+IF($G$1="牵丝",$AK33*1.5,0))*(1+$BC33)*(1+$BD33)+(($BE33+$BF33)/2*IF($G$1="破竹",$AJ33,$AH33)+IF($G$1="破竹",$AK33*1.5,0))*(1+$BG33)*(1+$BH33))*(1+$AL33)*$P33*(1+IF(VLOOKUP($Q33,武学奇术!$A:$ZZ,30,FALSE)="回旋伞",$B$21,0))*(1+$BQ33)</f>
        <v>33968.9905112452</v>
      </c>
      <c r="O33" s="41">
        <f>((($AN33*$AH33+$AI33)*(1+$AP33)*(1+$AQ33)+($AS33*IF($G$1="鸣金",$AJ33,$AH33)+IF($G$1="鸣金",$AK33*1.5,0))*(1+$AU33)*(1+$AV33)+($AW33*IF($G$1="裂石",$AJ33,$AH33)+IF($G$1="裂石",$AK33*1.5,0))*(1+$AY33)*(1+$AZ33)+($BA33*IF($G$1="牵丝",$AJ33,$AH33)+IF($G$1="牵丝",$AK33*1.5,0))*(1+$BC33)*(1+$BD33)+($BE33*IF($G$1="破竹",$AJ33,$AH33)+IF($G$1="破竹",$AK33*1.5,0))*(1+$BG33)*(1+$BH33))*(1+$AL33))*$P33*(1+IF(VLOOKUP($Q33,武学奇术!$A:$ZZ,30,FALSE)="回旋伞",$B$21,0))*(1+$BQ33)</f>
        <v>29903.3017965953</v>
      </c>
      <c r="P33" s="42">
        <v>1</v>
      </c>
      <c r="Q33" s="43" t="s">
        <v>104</v>
      </c>
      <c r="R33" s="43" t="s">
        <v>105</v>
      </c>
      <c r="S33" s="43" t="s">
        <v>91</v>
      </c>
      <c r="T33" s="43" t="s">
        <v>72</v>
      </c>
      <c r="U33" s="43" t="s">
        <v>71</v>
      </c>
      <c r="V33" s="43" t="s">
        <v>159</v>
      </c>
      <c r="W33" s="43" t="s">
        <v>95</v>
      </c>
      <c r="X33" s="43" t="s">
        <v>71</v>
      </c>
      <c r="Y33" s="43" t="s">
        <v>71</v>
      </c>
      <c r="Z33" s="43" t="s">
        <v>71</v>
      </c>
      <c r="AA33" s="43" t="s">
        <v>116</v>
      </c>
      <c r="AB33" s="43" t="s">
        <v>71</v>
      </c>
      <c r="AC33" s="43" t="s">
        <v>71</v>
      </c>
      <c r="AD33" s="43" t="s">
        <v>71</v>
      </c>
      <c r="AE33" s="43" t="s">
        <v>71</v>
      </c>
      <c r="AF33" s="43" t="s">
        <v>76</v>
      </c>
      <c r="AG33" t="str">
        <f>VLOOKUP($Q33,武学奇术!$A:$ZZ,25,FALSE)</f>
        <v>伞</v>
      </c>
      <c r="AH33" s="30">
        <f>VLOOKUP($Q33,武学奇术!$A:$ZZ,26,FALSE)</f>
        <v>1.8084</v>
      </c>
      <c r="AI33" s="31">
        <f>VLOOKUP($Q33,武学奇术!$A:$ZZ,27,FALSE)*(1+IF(OR($AG33=$F$4,$AG33=$F$5),$B$22,0))</f>
        <v>700</v>
      </c>
      <c r="AJ33" s="30">
        <f>VLOOKUP($Q33,武学奇术!$A:$ZZ,28,FALSE)</f>
        <v>2.7126</v>
      </c>
      <c r="AK33" s="31">
        <f>VLOOKUP($Q33,武学奇术!$A:$ZZ,29,FALSE)*(1+IF(OR($AG33=$F$4,$AG33=$F$5),$B$22,0))</f>
        <v>380.8</v>
      </c>
      <c r="AL33" s="30" cm="1">
        <f t="array" ref="AL33">$G$3+IFERROR(VLOOKUP($AG33,$F$4:$G$7,2,FALSE),0)+VLOOKUP($Q33,武学奇术!$A:$ZZ,2,FALSE)+SUM(_xlfn.XLOOKUP($R33:$AF33,增益!$A:$A,增益!$B:$B,0))</f>
        <v>0.5741</v>
      </c>
      <c r="AM33" s="30" cm="1">
        <f t="array" ref="AM33">VLOOKUP($Q33,武学奇术!$A:$ZZ,5,FALSE)+SUM(_xlfn.XLOOKUP($R33:$AF33,增益!$A:$A,增益!$E:$E,0))</f>
        <v>0</v>
      </c>
      <c r="AN33" cm="1">
        <f t="array" ref="AN33">$D$10*(1+$AM33)+VLOOKUP($Q33,武学奇术!$A:$ZZ,3,FALSE)+SUM(_xlfn.XLOOKUP($R33:$AF33,增益!$A:$A,增益!$C:$C,0))-$I$2</f>
        <v>3483.8</v>
      </c>
      <c r="AO33" cm="1">
        <f t="array" ref="AO33">$E$10*(1+$AM33)+VLOOKUP($Q33,武学奇术!$A:$ZZ,4,FALSE)+SUM(_xlfn.XLOOKUP($R33:$AF33,增益!$A:$A,增益!$D:$D,0))-$I$2</f>
        <v>3483.8</v>
      </c>
      <c r="AP33" s="35" cm="1">
        <f t="array" ref="AP33">IF($F$10-$I$3+VLOOKUP($Q33,武学奇术!$A:$ZZ,6,FALSE)+SUM(_xlfn.XLOOKUP(R33:AF33,增益!$A:$A,增益!$F:$F,0))&gt;0,($F$10-$I$3+VLOOKUP($Q33,武学奇术!$A:$ZZ,6,FALSE)+SUM(_xlfn.XLOOKUP(R33:AF33,增益!$A:$A,增益!$F:$F,0)))/200,($F$10-$I$3+VLOOKUP($Q33,武学奇术!$A:$ZZ,6,FALSE)+SUM(_xlfn.XLOOKUP(R33:AF33,增益!$A:$A,增益!$F:$F,0)))/100)</f>
        <v>0.2925</v>
      </c>
      <c r="AQ33" s="35" cm="1">
        <f t="array" ref="AQ33">$G$10+VLOOKUP($Q33,武学奇术!$A:$ZZ,7,FALSE)+SUM(_xlfn.XLOOKUP(R33:AF33,增益!$A:$A,增益!$G:$G,0))</f>
        <v>0.148</v>
      </c>
      <c r="AR33" s="30" cm="1">
        <f t="array" ref="AR33">VLOOKUP($Q33,武学奇术!$A:$ZZ,8,FALSE)+SUM(_xlfn.XLOOKUP(R33:AF33,增益!$A:$A,增益!$H:$H,0))</f>
        <v>0</v>
      </c>
      <c r="AS33">
        <f t="shared" si="1"/>
        <v>0</v>
      </c>
      <c r="AT33">
        <f t="shared" si="2"/>
        <v>0</v>
      </c>
      <c r="AU33" s="35" cm="1">
        <f t="array" ref="AU33">IF($F$11-$I$4+VLOOKUP($Q33,武学奇术!$A:$ZZ,9,FALSE)+SUM(_xlfn.XLOOKUP(R33:AF33,增益!$A:$A,增益!$I:$I,0))&gt;0,($F$11-$I$4+VLOOKUP($Q33,武学奇术!$A:$ZZ,9,FALSE)+SUM(_xlfn.XLOOKUP(R33:AF33,增益!$A:$A,增益!$I:$I,0)))/200,($F$11-$I$4+VLOOKUP($Q33,武学奇术!$A:$ZZ,9,FALSE)+SUM(_xlfn.XLOOKUP(R33:AF33,增益!$A:$A,增益!$I:$I,0)))/100)</f>
        <v>-0.3</v>
      </c>
      <c r="AV33" s="35" cm="1">
        <f t="array" ref="AV33">$G$11+VLOOKUP($Q33,武学奇术!$A:$ZZ,10,FALSE)+SUM(_xlfn.XLOOKUP(R33:AF33,增益!$A:$A,增益!$J:$J,0))</f>
        <v>0</v>
      </c>
      <c r="AW33">
        <f t="shared" si="3"/>
        <v>0</v>
      </c>
      <c r="AX33">
        <f t="shared" si="4"/>
        <v>0</v>
      </c>
      <c r="AY33" s="35" cm="1">
        <f t="array" ref="AY33">IF($F$12-$I$4+VLOOKUP($Q33,武学奇术!$A:$ZZ,11,FALSE)+SUM(_xlfn.XLOOKUP(R33:AF33,增益!$A:$A,增益!$K:$K,0))&gt;0,($F$12-$I$4+VLOOKUP($Q33,武学奇术!$A:$ZZ,11,FALSE)+SUM(_xlfn.XLOOKUP(R33:AF33,增益!$A:$A,增益!$K:$K,0)))/200,($F$12-$I$4+VLOOKUP($Q33,武学奇术!$A:$ZZ,11,FALSE)+SUM(_xlfn.XLOOKUP(R33:AF33,增益!$A:$A,增益!$K:$K,0)))/100)</f>
        <v>-0.3</v>
      </c>
      <c r="AZ33" s="35" cm="1">
        <f t="array" ref="AZ33">$G$12+VLOOKUP($Q33,武学奇术!$A:$ZZ,12,FALSE)+SUM(_xlfn.XLOOKUP(R33:AF33,增益!$A:$A,增益!$L:$L,0))</f>
        <v>0</v>
      </c>
      <c r="BA33">
        <f t="shared" si="5"/>
        <v>0</v>
      </c>
      <c r="BB33">
        <f t="shared" si="6"/>
        <v>0</v>
      </c>
      <c r="BC33" s="35" cm="1">
        <f t="array" ref="BC33">IF($F$13-$I$4+VLOOKUP($Q33,武学奇术!$A:$ZZ,13,FALSE)+SUM(_xlfn.XLOOKUP(R33:AF33,增益!$A:$A,增益!$M:$M,0))&gt;0,($F$13-$I$4+VLOOKUP($Q33,武学奇术!$A:$ZZ,13,FALSE)+SUM(_xlfn.XLOOKUP(R33:AF33,增益!$A:$A,增益!$K:$K,0)))/200,($F$13-$I$4+VLOOKUP($Q33,武学奇术!$A:$ZZ,13,FALSE)+SUM(_xlfn.XLOOKUP(R33:AF33,增益!$A:$A,增益!$M:$M,0)))/100)</f>
        <v>-0.3</v>
      </c>
      <c r="BD33" s="35" cm="1">
        <f t="array" ref="BD33">$G$13+VLOOKUP($Q33,武学奇术!$A:$ZZ,14,FALSE)+SUM(_xlfn.XLOOKUP(R33:AF33,增益!$A:$A,增益!$N:$N,0))</f>
        <v>0</v>
      </c>
      <c r="BE33">
        <f t="shared" si="7"/>
        <v>538</v>
      </c>
      <c r="BF33">
        <f t="shared" si="8"/>
        <v>1561.4</v>
      </c>
      <c r="BG33" s="35" cm="1">
        <f t="array" ref="BG33">IF($F$14-$I$4+VLOOKUP($Q33,武学奇术!$A:$ZZ,15,FALSE)+SUM(_xlfn.XLOOKUP(R33:AF33,增益!$A:$A,增益!$O:$O,0))&gt;0,($F$14-$I$4+VLOOKUP($Q33,武学奇术!$A:$ZZ,15,FALSE)+SUM(_xlfn.XLOOKUP(R33:AF33,增益!$A:$A,增益!$O:$O,0)))/200,($F$14-$I$4+VLOOKUP($Q33,武学奇术!$A:$ZZ,15,FALSE)+SUM(_xlfn.XLOOKUP(R33:AF33,增益!$A:$A,增益!$O:$O,0)))/100)</f>
        <v>0</v>
      </c>
      <c r="BH33" s="35" cm="1">
        <f t="array" ref="BH33">$G$14+VLOOKUP($Q33,武学奇术!$A:$ZZ,16,FALSE)+SUM(_xlfn.XLOOKUP(R33:AF33,增益!$A:$A,增益!$P:$P,0))</f>
        <v>0.27</v>
      </c>
      <c r="BI33" s="30">
        <f>MIN(IF(VLOOKUP($Q33,武学奇术!$A:$ZZ,23,FALSE)=1,100%,$B$8),100%)</f>
        <v>0.9712</v>
      </c>
      <c r="BJ33" s="30" cm="1">
        <f t="array" ref="BJ33">IF(VLOOKUP($Q33,武学奇术!$A:$ZZ,23,FALSE)=1,100%,MIN(80%,$B$9+VLOOKUP($Q33,武学奇术!$A:$ZZ,17,FALSE)+SUM(_xlfn.XLOOKUP(R33:AF33,增益!$A:$A,增益!$Q:$Q,0)))+$B$11+SUM(_xlfn.XLOOKUP(R33:AF33,增益!$A:$A,增益!$U:$U,0)))*IF(VLOOKUP($Q33,武学奇术!$A:$ZZ,24,FALSE)=1,0,1)</f>
        <v>0.8773</v>
      </c>
      <c r="BK33" s="30" cm="1">
        <f t="array" ref="BK33">1+$B$13+VLOOKUP($Q33,武学奇术!$A:$ZZ,18,FALSE)+SUM(_xlfn.XLOOKUP(R33:AF33,增益!$A:$A,增益!$R:$R,0))</f>
        <v>1.85</v>
      </c>
      <c r="BL33" s="30" cm="1">
        <f t="array" ref="BL33">IF(VLOOKUP($Q33,武学奇术!$A:$ZZ,24,FALSE)=1,100%,MIN(40%,$B$10+VLOOKUP($Q33,武学奇术!$A:$ZZ,19,FALSE)+SUM(_xlfn.XLOOKUP(R33:AF33,增益!$A:$A,增益!$S:$S,0)))+$B$12+SUM(_xlfn.XLOOKUP(R33:AF33,增益!$A:$A,增益!$V:$V,0)))*IF(VLOOKUP($Q33,武学奇术!$A:$ZZ,23,FALSE)=1,0,1)</f>
        <v>0.0895</v>
      </c>
      <c r="BM33" s="30" cm="1">
        <f t="array" ref="BM33">1+$B$14+VLOOKUP($Q33,武学奇术!$A:$ZZ,20,FALSE)+SUM(_xlfn.XLOOKUP(R33:AF33,增益!$A:$A,增益!$T:$T,0))</f>
        <v>1.35</v>
      </c>
      <c r="BN33" s="30">
        <f t="shared" si="9"/>
        <v>0.85203376</v>
      </c>
      <c r="BO33" s="30">
        <f t="shared" si="10"/>
        <v>0.03224384</v>
      </c>
      <c r="BP33" s="30">
        <f>IF(VLOOKUP($Q33,武学奇术!$A:$ZZ,22,FALSE)=1,0,(1-$BI33))*(1-$BL33)</f>
        <v>0.0262224</v>
      </c>
      <c r="BQ33" s="30" cm="1">
        <f t="array" ref="BQ33">SUM(_xlfn.XLOOKUP(R33:AF33,增益!$A:$A,增益!$W:$W,0))+$I$5</f>
        <v>0.11</v>
      </c>
    </row>
    <row r="34" spans="1:69">
      <c r="A34" s="4"/>
      <c r="B34" s="4"/>
      <c r="K34" s="41">
        <f t="shared" si="11"/>
        <v>71210.0616750908</v>
      </c>
      <c r="L34" s="41">
        <f>((($AN34+$AO34)/2*$AH34+$AI34)*(1+$AP34)*(1+$AQ34)+(($AS34+$AT34)/2*IF($G$1="鸣金",$AJ34,$AH34)+IF($G$1="鸣金",$AK34*1.5,0))*(1+$AU34)*(1+$AV34)+(($AW34+$AX34)/2*IF($G$1="裂石",$AJ34,$AH34)+IF($G$1="裂石",$AK34*1.5,0))*(1+$AY34)*(1+$AZ34)+(($BA34+$BB34)/2*IF($G$1="牵丝",$AJ34,$AH34)+IF($G$1="牵丝",$AK34*1.5,0))*(1+$BC34)*(1+$BD34)+(($BE34+$BF34)/2*IF($G$1="破竹",$AJ34,$AH34)+IF($G$1="破竹",$AK34*1.5,0))*(1+$BG34)*(1+$BH34))*(1+$AL34)*$BK34*$P34*(1+IF(VLOOKUP($Q34,武学奇术!$A:$ZZ,30,FALSE)="回旋伞",$B$21,0))*(1+$BQ34)</f>
        <v>71210.0616750908</v>
      </c>
      <c r="M34" s="41">
        <f>(($AO34*$AH34+$AI34)*(1+$AP34)*(1+$AQ34)+($AT34*IF($G$1="鸣金",$AJ34,$AH34)+IF($G$1="鸣金",$AK34*1.5,0))*(1+$AU34)*(1+$AV34)+($AX34*IF($G$1="裂石",$AJ34,$AH34)+IF($G$1="裂石",$AK34*1.5,0))*(1+$AY34)*(1+$AZ34)+($BB34*IF($G$1="牵丝",$AJ34,$AH34)+IF($G$1="牵丝",$AK34*1.5,0))*(1+$BC34)*(1+$BD34)+($BF34*IF($G$1="破竹",$AJ34,$AH34)+IF($G$1="破竹",$AK34*1.5,0))*(1+$BG34)*(1+$BH34))*(1+$AL34)*$BM34*$P34*(1+IF(VLOOKUP($Q34,武学奇术!$A:$ZZ,30,FALSE)="回旋伞",$B$21,0))*(1+$BQ34)</f>
        <v>57870.7756557982</v>
      </c>
      <c r="N34" s="41">
        <f>((($AN34+$AO34)/2*$AH34+$AI34)*(1+$AP34)*(1+$AQ34)+(($AS34+$AT34)/2*IF($G$1="鸣金",$AJ34,$AH34)+IF($G$1="鸣金",$AK34*1.5,0))*(1+$AU34)*(1+$AV34)+(($AW34+$AX34)/2*IF($G$1="裂石",$AJ34,$AH34)+IF($G$1="裂石",$AK34*1.5,0))*(1+$AY34)*(1+$AZ34)+(($BA34+$BB34)/2*IF($G$1="牵丝",$AJ34,$AH34)+IF($G$1="牵丝",$AK34*1.5,0))*(1+$BC34)*(1+$BD34)+(($BE34+$BF34)/2*IF($G$1="破竹",$AJ34,$AH34)+IF($G$1="破竹",$AK34*1.5,0))*(1+$BG34)*(1+$BH34))*(1+$AL34)*$P34*(1+IF(VLOOKUP($Q34,武学奇术!$A:$ZZ,30,FALSE)="回旋伞",$B$21,0))*(1+$BQ34)</f>
        <v>38284.9793952101</v>
      </c>
      <c r="O34" s="41">
        <f>((($AN34*$AH34+$AI34)*(1+$AP34)*(1+$AQ34)+($AS34*IF($G$1="鸣金",$AJ34,$AH34)+IF($G$1="鸣金",$AK34*1.5,0))*(1+$AU34)*(1+$AV34)+($AW34*IF($G$1="裂石",$AJ34,$AH34)+IF($G$1="裂石",$AK34*1.5,0))*(1+$AY34)*(1+$AZ34)+($BA34*IF($G$1="牵丝",$AJ34,$AH34)+IF($G$1="牵丝",$AK34*1.5,0))*(1+$BC34)*(1+$BD34)+($BE34*IF($G$1="破竹",$AJ34,$AH34)+IF($G$1="破竹",$AK34*1.5,0))*(1+$BG34)*(1+$BH34))*(1+$AL34))*$P34*(1+IF(VLOOKUP($Q34,武学奇术!$A:$ZZ,30,FALSE)="回旋伞",$B$21,0))*(1+$BQ34)</f>
        <v>33702.717563903</v>
      </c>
      <c r="P34" s="42">
        <v>1</v>
      </c>
      <c r="Q34" s="43" t="s">
        <v>115</v>
      </c>
      <c r="R34" s="43" t="s">
        <v>105</v>
      </c>
      <c r="S34" s="43" t="s">
        <v>91</v>
      </c>
      <c r="T34" s="43" t="s">
        <v>72</v>
      </c>
      <c r="U34" s="43" t="s">
        <v>71</v>
      </c>
      <c r="V34" s="43" t="s">
        <v>164</v>
      </c>
      <c r="W34" s="43" t="s">
        <v>95</v>
      </c>
      <c r="X34" s="43" t="s">
        <v>71</v>
      </c>
      <c r="Y34" s="43" t="s">
        <v>71</v>
      </c>
      <c r="Z34" s="43" t="s">
        <v>71</v>
      </c>
      <c r="AA34" s="43" t="s">
        <v>116</v>
      </c>
      <c r="AB34" s="43" t="s">
        <v>71</v>
      </c>
      <c r="AC34" s="43" t="s">
        <v>71</v>
      </c>
      <c r="AD34" s="43" t="s">
        <v>71</v>
      </c>
      <c r="AE34" s="43" t="s">
        <v>71</v>
      </c>
      <c r="AF34" s="43" t="s">
        <v>76</v>
      </c>
      <c r="AG34" t="str">
        <f>VLOOKUP($Q34,武学奇术!$A:$ZZ,25,FALSE)</f>
        <v>伞</v>
      </c>
      <c r="AH34" s="30">
        <f>VLOOKUP($Q34,武学奇术!$A:$ZZ,26,FALSE)</f>
        <v>1.8084</v>
      </c>
      <c r="AI34" s="31">
        <f>VLOOKUP($Q34,武学奇术!$A:$ZZ,27,FALSE)*(1+IF(OR($AG34=$F$4,$AG34=$F$5),$B$22,0))</f>
        <v>700</v>
      </c>
      <c r="AJ34" s="30">
        <f>VLOOKUP($Q34,武学奇术!$A:$ZZ,28,FALSE)</f>
        <v>2.7126</v>
      </c>
      <c r="AK34" s="31">
        <f>VLOOKUP($Q34,武学奇术!$A:$ZZ,29,FALSE)*(1+IF(OR($AG34=$F$4,$AG34=$F$5),$B$22,0))</f>
        <v>380.8</v>
      </c>
      <c r="AL34" s="30" cm="1">
        <f t="array" ref="AL34">$G$3+IFERROR(VLOOKUP($AG34,$F$4:$G$7,2,FALSE),0)+VLOOKUP($Q34,武学奇术!$A:$ZZ,2,FALSE)+SUM(_xlfn.XLOOKUP($R34:$AF34,增益!$A:$A,增益!$B:$B,0))</f>
        <v>0.7741</v>
      </c>
      <c r="AM34" s="30" cm="1">
        <f t="array" ref="AM34">VLOOKUP($Q34,武学奇术!$A:$ZZ,5,FALSE)+SUM(_xlfn.XLOOKUP($R34:$AF34,增益!$A:$A,增益!$E:$E,0))</f>
        <v>0</v>
      </c>
      <c r="AN34" cm="1">
        <f t="array" ref="AN34">$D$10*(1+$AM34)+VLOOKUP($Q34,武学奇术!$A:$ZZ,3,FALSE)+SUM(_xlfn.XLOOKUP($R34:$AF34,增益!$A:$A,增益!$C:$C,0))-$I$2</f>
        <v>3483.8</v>
      </c>
      <c r="AO34" cm="1">
        <f t="array" ref="AO34">$E$10*(1+$AM34)+VLOOKUP($Q34,武学奇术!$A:$ZZ,4,FALSE)+SUM(_xlfn.XLOOKUP($R34:$AF34,增益!$A:$A,增益!$D:$D,0))-$I$2</f>
        <v>3483.8</v>
      </c>
      <c r="AP34" s="35" cm="1">
        <f t="array" ref="AP34">IF($F$10-$I$3+VLOOKUP($Q34,武学奇术!$A:$ZZ,6,FALSE)+SUM(_xlfn.XLOOKUP(R34:AF34,增益!$A:$A,增益!$F:$F,0))&gt;0,($F$10-$I$3+VLOOKUP($Q34,武学奇术!$A:$ZZ,6,FALSE)+SUM(_xlfn.XLOOKUP(R34:AF34,增益!$A:$A,增益!$F:$F,0)))/200,($F$10-$I$3+VLOOKUP($Q34,武学奇术!$A:$ZZ,6,FALSE)+SUM(_xlfn.XLOOKUP(R34:AF34,增益!$A:$A,增益!$F:$F,0)))/100)</f>
        <v>0.2925</v>
      </c>
      <c r="AQ34" s="35" cm="1">
        <f t="array" ref="AQ34">$G$10+VLOOKUP($Q34,武学奇术!$A:$ZZ,7,FALSE)+SUM(_xlfn.XLOOKUP(R34:AF34,增益!$A:$A,增益!$G:$G,0))</f>
        <v>0.148</v>
      </c>
      <c r="AR34" s="30" cm="1">
        <f t="array" ref="AR34">VLOOKUP($Q34,武学奇术!$A:$ZZ,8,FALSE)+SUM(_xlfn.XLOOKUP(R34:AF34,增益!$A:$A,增益!$H:$H,0))</f>
        <v>0</v>
      </c>
      <c r="AS34">
        <f t="shared" si="1"/>
        <v>0</v>
      </c>
      <c r="AT34">
        <f t="shared" si="2"/>
        <v>0</v>
      </c>
      <c r="AU34" s="35" cm="1">
        <f t="array" ref="AU34">IF($F$11-$I$4+VLOOKUP($Q34,武学奇术!$A:$ZZ,9,FALSE)+SUM(_xlfn.XLOOKUP(R34:AF34,增益!$A:$A,增益!$I:$I,0))&gt;0,($F$11-$I$4+VLOOKUP($Q34,武学奇术!$A:$ZZ,9,FALSE)+SUM(_xlfn.XLOOKUP(R34:AF34,增益!$A:$A,增益!$I:$I,0)))/200,($F$11-$I$4+VLOOKUP($Q34,武学奇术!$A:$ZZ,9,FALSE)+SUM(_xlfn.XLOOKUP(R34:AF34,增益!$A:$A,增益!$I:$I,0)))/100)</f>
        <v>-0.3</v>
      </c>
      <c r="AV34" s="35" cm="1">
        <f t="array" ref="AV34">$G$11+VLOOKUP($Q34,武学奇术!$A:$ZZ,10,FALSE)+SUM(_xlfn.XLOOKUP(R34:AF34,增益!$A:$A,增益!$J:$J,0))</f>
        <v>0</v>
      </c>
      <c r="AW34">
        <f t="shared" si="3"/>
        <v>0</v>
      </c>
      <c r="AX34">
        <f t="shared" si="4"/>
        <v>0</v>
      </c>
      <c r="AY34" s="35" cm="1">
        <f t="array" ref="AY34">IF($F$12-$I$4+VLOOKUP($Q34,武学奇术!$A:$ZZ,11,FALSE)+SUM(_xlfn.XLOOKUP(R34:AF34,增益!$A:$A,增益!$K:$K,0))&gt;0,($F$12-$I$4+VLOOKUP($Q34,武学奇术!$A:$ZZ,11,FALSE)+SUM(_xlfn.XLOOKUP(R34:AF34,增益!$A:$A,增益!$K:$K,0)))/200,($F$12-$I$4+VLOOKUP($Q34,武学奇术!$A:$ZZ,11,FALSE)+SUM(_xlfn.XLOOKUP(R34:AF34,增益!$A:$A,增益!$K:$K,0)))/100)</f>
        <v>-0.3</v>
      </c>
      <c r="AZ34" s="35" cm="1">
        <f t="array" ref="AZ34">$G$12+VLOOKUP($Q34,武学奇术!$A:$ZZ,12,FALSE)+SUM(_xlfn.XLOOKUP(R34:AF34,增益!$A:$A,增益!$L:$L,0))</f>
        <v>0</v>
      </c>
      <c r="BA34">
        <f t="shared" si="5"/>
        <v>0</v>
      </c>
      <c r="BB34">
        <f t="shared" si="6"/>
        <v>0</v>
      </c>
      <c r="BC34" s="35" cm="1">
        <f t="array" ref="BC34">IF($F$13-$I$4+VLOOKUP($Q34,武学奇术!$A:$ZZ,13,FALSE)+SUM(_xlfn.XLOOKUP(R34:AF34,增益!$A:$A,增益!$M:$M,0))&gt;0,($F$13-$I$4+VLOOKUP($Q34,武学奇术!$A:$ZZ,13,FALSE)+SUM(_xlfn.XLOOKUP(R34:AF34,增益!$A:$A,增益!$K:$K,0)))/200,($F$13-$I$4+VLOOKUP($Q34,武学奇术!$A:$ZZ,13,FALSE)+SUM(_xlfn.XLOOKUP(R34:AF34,增益!$A:$A,增益!$M:$M,0)))/100)</f>
        <v>-0.3</v>
      </c>
      <c r="BD34" s="35" cm="1">
        <f t="array" ref="BD34">$G$13+VLOOKUP($Q34,武学奇术!$A:$ZZ,14,FALSE)+SUM(_xlfn.XLOOKUP(R34:AF34,增益!$A:$A,增益!$N:$N,0))</f>
        <v>0</v>
      </c>
      <c r="BE34">
        <f t="shared" si="7"/>
        <v>538</v>
      </c>
      <c r="BF34">
        <f t="shared" si="8"/>
        <v>1561.4</v>
      </c>
      <c r="BG34" s="35" cm="1">
        <f t="array" ref="BG34">IF($F$14-$I$4+VLOOKUP($Q34,武学奇术!$A:$ZZ,15,FALSE)+SUM(_xlfn.XLOOKUP(R34:AF34,增益!$A:$A,增益!$O:$O,0))&gt;0,($F$14-$I$4+VLOOKUP($Q34,武学奇术!$A:$ZZ,15,FALSE)+SUM(_xlfn.XLOOKUP(R34:AF34,增益!$A:$A,增益!$O:$O,0)))/200,($F$14-$I$4+VLOOKUP($Q34,武学奇术!$A:$ZZ,15,FALSE)+SUM(_xlfn.XLOOKUP(R34:AF34,增益!$A:$A,增益!$O:$O,0)))/100)</f>
        <v>0</v>
      </c>
      <c r="BH34" s="35" cm="1">
        <f t="array" ref="BH34">$G$14+VLOOKUP($Q34,武学奇术!$A:$ZZ,16,FALSE)+SUM(_xlfn.XLOOKUP(R34:AF34,增益!$A:$A,增益!$P:$P,0))</f>
        <v>0.27</v>
      </c>
      <c r="BI34" s="30">
        <f>MIN(IF(VLOOKUP($Q34,武学奇术!$A:$ZZ,23,FALSE)=1,100%,$B$8),100%)</f>
        <v>1</v>
      </c>
      <c r="BJ34" s="30" cm="1">
        <f t="array" ref="BJ34">IF(VLOOKUP($Q34,武学奇术!$A:$ZZ,23,FALSE)=1,100%,MIN(80%,$B$9+VLOOKUP($Q34,武学奇术!$A:$ZZ,17,FALSE)+SUM(_xlfn.XLOOKUP(R34:AF34,增益!$A:$A,增益!$Q:$Q,0)))+$B$11+SUM(_xlfn.XLOOKUP(R34:AF34,增益!$A:$A,增益!$U:$U,0)))*IF(VLOOKUP($Q34,武学奇术!$A:$ZZ,24,FALSE)=1,0,1)</f>
        <v>1</v>
      </c>
      <c r="BK34" s="30" cm="1">
        <f t="array" ref="BK34">1+$B$13+VLOOKUP($Q34,武学奇术!$A:$ZZ,18,FALSE)+SUM(_xlfn.XLOOKUP(R34:AF34,增益!$A:$A,增益!$R:$R,0))</f>
        <v>1.86</v>
      </c>
      <c r="BL34" s="30" cm="1">
        <f t="array" ref="BL34">IF(VLOOKUP($Q34,武学奇术!$A:$ZZ,24,FALSE)=1,100%,MIN(40%,$B$10+VLOOKUP($Q34,武学奇术!$A:$ZZ,19,FALSE)+SUM(_xlfn.XLOOKUP(R34:AF34,增益!$A:$A,增益!$S:$S,0)))+$B$12+SUM(_xlfn.XLOOKUP(R34:AF34,增益!$A:$A,增益!$V:$V,0)))*IF(VLOOKUP($Q34,武学奇术!$A:$ZZ,23,FALSE)=1,0,1)</f>
        <v>0</v>
      </c>
      <c r="BM34" s="30" cm="1">
        <f t="array" ref="BM34">1+$B$14+VLOOKUP($Q34,武学奇术!$A:$ZZ,20,FALSE)+SUM(_xlfn.XLOOKUP(R34:AF34,增益!$A:$A,增益!$T:$T,0))</f>
        <v>1.35</v>
      </c>
      <c r="BN34" s="30">
        <f t="shared" si="9"/>
        <v>1</v>
      </c>
      <c r="BO34" s="30">
        <f t="shared" si="10"/>
        <v>0</v>
      </c>
      <c r="BP34" s="30">
        <f>IF(VLOOKUP($Q34,武学奇术!$A:$ZZ,22,FALSE)=1,0,(1-$BI34))*(1-$BL34)</f>
        <v>0</v>
      </c>
      <c r="BQ34" s="30" cm="1">
        <f t="array" ref="BQ34">SUM(_xlfn.XLOOKUP(R34:AF34,增益!$A:$A,增益!$W:$W,0))+$I$5</f>
        <v>0.11</v>
      </c>
    </row>
    <row r="35" spans="1:69">
      <c r="A35" s="4"/>
      <c r="B35" s="90"/>
      <c r="K35" s="41">
        <f t="shared" si="11"/>
        <v>120616.877663378</v>
      </c>
      <c r="L35" s="41">
        <f>((($AN35+$AO35)/2*$AH35+$AI35)*(1+$AP35)*(1+$AQ35)+(($AS35+$AT35)/2*IF($G$1="鸣金",$AJ35,$AH35)+IF($G$1="鸣金",$AK35*1.5,0))*(1+$AU35)*(1+$AV35)+(($AW35+$AX35)/2*IF($G$1="裂石",$AJ35,$AH35)+IF($G$1="裂石",$AK35*1.5,0))*(1+$AY35)*(1+$AZ35)+(($BA35+$BB35)/2*IF($G$1="牵丝",$AJ35,$AH35)+IF($G$1="牵丝",$AK35*1.5,0))*(1+$BC35)*(1+$BD35)+(($BE35+$BF35)/2*IF($G$1="破竹",$AJ35,$AH35)+IF($G$1="破竹",$AK35*1.5,0))*(1+$BG35)*(1+$BH35))*(1+$AL35)*$BK35*$P35*(1+IF(VLOOKUP($Q35,武学奇术!$A:$ZZ,30,FALSE)="回旋伞",$B$21,0))*(1+$BQ35)</f>
        <v>126364.644701832</v>
      </c>
      <c r="M35" s="41">
        <f>(($AO35*$AH35+$AI35)*(1+$AP35)*(1+$AQ35)+($AT35*IF($G$1="鸣金",$AJ35,$AH35)+IF($G$1="鸣金",$AK35*1.5,0))*(1+$AU35)*(1+$AV35)+($AX35*IF($G$1="裂石",$AJ35,$AH35)+IF($G$1="裂石",$AK35*1.5,0))*(1+$AY35)*(1+$AZ35)+($BB35*IF($G$1="牵丝",$AJ35,$AH35)+IF($G$1="牵丝",$AK35*1.5,0))*(1+$BC35)*(1+$BD35)+($BF35*IF($G$1="破竹",$AJ35,$AH35)+IF($G$1="破竹",$AK35*1.5,0))*(1+$BG35)*(1+$BH35))*(1+$AL35)*$BM35*$P35*(1+IF(VLOOKUP($Q35,武学奇术!$A:$ZZ,30,FALSE)="回旋伞",$B$21,0))*(1+$BQ35)</f>
        <v>102693.633909917</v>
      </c>
      <c r="N35" s="41">
        <f>((($AN35+$AO35)/2*$AH35+$AI35)*(1+$AP35)*(1+$AQ35)+(($AS35+$AT35)/2*IF($G$1="鸣金",$AJ35,$AH35)+IF($G$1="鸣金",$AK35*1.5,0))*(1+$AU35)*(1+$AV35)+(($AW35+$AX35)/2*IF($G$1="裂石",$AJ35,$AH35)+IF($G$1="裂石",$AK35*1.5,0))*(1+$AY35)*(1+$AZ35)+(($BA35+$BB35)/2*IF($G$1="牵丝",$AJ35,$AH35)+IF($G$1="牵丝",$AK35*1.5,0))*(1+$BC35)*(1+$BD35)+(($BE35+$BF35)/2*IF($G$1="破竹",$AJ35,$AH35)+IF($G$1="破竹",$AK35*1.5,0))*(1+$BG35)*(1+$BH35))*(1+$AL35)*$P35*(1+IF(VLOOKUP($Q35,武学奇术!$A:$ZZ,30,FALSE)="回旋伞",$B$21,0))*(1+$BQ35)</f>
        <v>67937.9810224905</v>
      </c>
      <c r="O35" s="41">
        <f>((($AN35*$AH35+$AI35)*(1+$AP35)*(1+$AQ35)+($AS35*IF($G$1="鸣金",$AJ35,$AH35)+IF($G$1="鸣金",$AK35*1.5,0))*(1+$AU35)*(1+$AV35)+($AW35*IF($G$1="裂石",$AJ35,$AH35)+IF($G$1="裂石",$AK35*1.5,0))*(1+$AY35)*(1+$AZ35)+($BA35*IF($G$1="牵丝",$AJ35,$AH35)+IF($G$1="牵丝",$AK35*1.5,0))*(1+$BC35)*(1+$BD35)+($BE35*IF($G$1="破竹",$AJ35,$AH35)+IF($G$1="破竹",$AK35*1.5,0))*(1+$BG35)*(1+$BH35))*(1+$AL35))*$P35*(1+IF(VLOOKUP($Q35,武学奇术!$A:$ZZ,30,FALSE)="回旋伞",$B$21,0))*(1+$BQ35)</f>
        <v>59806.6035931905</v>
      </c>
      <c r="P35" s="42">
        <v>2</v>
      </c>
      <c r="Q35" s="43" t="s">
        <v>104</v>
      </c>
      <c r="R35" s="43" t="s">
        <v>105</v>
      </c>
      <c r="S35" s="43" t="s">
        <v>91</v>
      </c>
      <c r="T35" s="43" t="s">
        <v>72</v>
      </c>
      <c r="U35" s="43" t="s">
        <v>71</v>
      </c>
      <c r="V35" s="43" t="s">
        <v>164</v>
      </c>
      <c r="W35" s="43" t="s">
        <v>95</v>
      </c>
      <c r="X35" s="43" t="s">
        <v>71</v>
      </c>
      <c r="Y35" s="43" t="s">
        <v>71</v>
      </c>
      <c r="Z35" s="43" t="s">
        <v>71</v>
      </c>
      <c r="AA35" s="43" t="s">
        <v>116</v>
      </c>
      <c r="AB35" s="43" t="s">
        <v>71</v>
      </c>
      <c r="AC35" s="43" t="s">
        <v>71</v>
      </c>
      <c r="AD35" s="43" t="s">
        <v>71</v>
      </c>
      <c r="AE35" s="43" t="s">
        <v>71</v>
      </c>
      <c r="AF35" s="43" t="s">
        <v>76</v>
      </c>
      <c r="AG35" t="str">
        <f>VLOOKUP($Q35,武学奇术!$A:$ZZ,25,FALSE)</f>
        <v>伞</v>
      </c>
      <c r="AH35" s="30">
        <f>VLOOKUP($Q35,武学奇术!$A:$ZZ,26,FALSE)</f>
        <v>1.8084</v>
      </c>
      <c r="AI35" s="31">
        <f>VLOOKUP($Q35,武学奇术!$A:$ZZ,27,FALSE)*(1+IF(OR($AG35=$F$4,$AG35=$F$5),$B$22,0))</f>
        <v>700</v>
      </c>
      <c r="AJ35" s="30">
        <f>VLOOKUP($Q35,武学奇术!$A:$ZZ,28,FALSE)</f>
        <v>2.7126</v>
      </c>
      <c r="AK35" s="31">
        <f>VLOOKUP($Q35,武学奇术!$A:$ZZ,29,FALSE)*(1+IF(OR($AG35=$F$4,$AG35=$F$5),$B$22,0))</f>
        <v>380.8</v>
      </c>
      <c r="AL35" s="30" cm="1">
        <f t="array" ref="AL35">$G$3+IFERROR(VLOOKUP($AG35,$F$4:$G$7,2,FALSE),0)+VLOOKUP($Q35,武学奇术!$A:$ZZ,2,FALSE)+SUM(_xlfn.XLOOKUP($R35:$AF35,增益!$A:$A,增益!$B:$B,0))</f>
        <v>0.5741</v>
      </c>
      <c r="AM35" s="30" cm="1">
        <f t="array" ref="AM35">VLOOKUP($Q35,武学奇术!$A:$ZZ,5,FALSE)+SUM(_xlfn.XLOOKUP($R35:$AF35,增益!$A:$A,增益!$E:$E,0))</f>
        <v>0</v>
      </c>
      <c r="AN35" cm="1">
        <f t="array" ref="AN35">$D$10*(1+$AM35)+VLOOKUP($Q35,武学奇术!$A:$ZZ,3,FALSE)+SUM(_xlfn.XLOOKUP($R35:$AF35,增益!$A:$A,增益!$C:$C,0))-$I$2</f>
        <v>3483.8</v>
      </c>
      <c r="AO35" cm="1">
        <f t="array" ref="AO35">$E$10*(1+$AM35)+VLOOKUP($Q35,武学奇术!$A:$ZZ,4,FALSE)+SUM(_xlfn.XLOOKUP($R35:$AF35,增益!$A:$A,增益!$D:$D,0))-$I$2</f>
        <v>3483.8</v>
      </c>
      <c r="AP35" s="35" cm="1">
        <f t="array" ref="AP35">IF($F$10-$I$3+VLOOKUP($Q35,武学奇术!$A:$ZZ,6,FALSE)+SUM(_xlfn.XLOOKUP(R35:AF35,增益!$A:$A,增益!$F:$F,0))&gt;0,($F$10-$I$3+VLOOKUP($Q35,武学奇术!$A:$ZZ,6,FALSE)+SUM(_xlfn.XLOOKUP(R35:AF35,增益!$A:$A,增益!$F:$F,0)))/200,($F$10-$I$3+VLOOKUP($Q35,武学奇术!$A:$ZZ,6,FALSE)+SUM(_xlfn.XLOOKUP(R35:AF35,增益!$A:$A,增益!$F:$F,0)))/100)</f>
        <v>0.2925</v>
      </c>
      <c r="AQ35" s="35" cm="1">
        <f t="array" ref="AQ35">$G$10+VLOOKUP($Q35,武学奇术!$A:$ZZ,7,FALSE)+SUM(_xlfn.XLOOKUP(R35:AF35,增益!$A:$A,增益!$G:$G,0))</f>
        <v>0.148</v>
      </c>
      <c r="AR35" s="30" cm="1">
        <f t="array" ref="AR35">VLOOKUP($Q35,武学奇术!$A:$ZZ,8,FALSE)+SUM(_xlfn.XLOOKUP(R35:AF35,增益!$A:$A,增益!$H:$H,0))</f>
        <v>0</v>
      </c>
      <c r="AS35">
        <f t="shared" si="1"/>
        <v>0</v>
      </c>
      <c r="AT35">
        <f t="shared" si="2"/>
        <v>0</v>
      </c>
      <c r="AU35" s="35" cm="1">
        <f t="array" ref="AU35">IF($F$11-$I$4+VLOOKUP($Q35,武学奇术!$A:$ZZ,9,FALSE)+SUM(_xlfn.XLOOKUP(R35:AF35,增益!$A:$A,增益!$I:$I,0))&gt;0,($F$11-$I$4+VLOOKUP($Q35,武学奇术!$A:$ZZ,9,FALSE)+SUM(_xlfn.XLOOKUP(R35:AF35,增益!$A:$A,增益!$I:$I,0)))/200,($F$11-$I$4+VLOOKUP($Q35,武学奇术!$A:$ZZ,9,FALSE)+SUM(_xlfn.XLOOKUP(R35:AF35,增益!$A:$A,增益!$I:$I,0)))/100)</f>
        <v>-0.3</v>
      </c>
      <c r="AV35" s="35" cm="1">
        <f t="array" ref="AV35">$G$11+VLOOKUP($Q35,武学奇术!$A:$ZZ,10,FALSE)+SUM(_xlfn.XLOOKUP(R35:AF35,增益!$A:$A,增益!$J:$J,0))</f>
        <v>0</v>
      </c>
      <c r="AW35">
        <f t="shared" si="3"/>
        <v>0</v>
      </c>
      <c r="AX35">
        <f t="shared" si="4"/>
        <v>0</v>
      </c>
      <c r="AY35" s="35" cm="1">
        <f t="array" ref="AY35">IF($F$12-$I$4+VLOOKUP($Q35,武学奇术!$A:$ZZ,11,FALSE)+SUM(_xlfn.XLOOKUP(R35:AF35,增益!$A:$A,增益!$K:$K,0))&gt;0,($F$12-$I$4+VLOOKUP($Q35,武学奇术!$A:$ZZ,11,FALSE)+SUM(_xlfn.XLOOKUP(R35:AF35,增益!$A:$A,增益!$K:$K,0)))/200,($F$12-$I$4+VLOOKUP($Q35,武学奇术!$A:$ZZ,11,FALSE)+SUM(_xlfn.XLOOKUP(R35:AF35,增益!$A:$A,增益!$K:$K,0)))/100)</f>
        <v>-0.3</v>
      </c>
      <c r="AZ35" s="35" cm="1">
        <f t="array" ref="AZ35">$G$12+VLOOKUP($Q35,武学奇术!$A:$ZZ,12,FALSE)+SUM(_xlfn.XLOOKUP(R35:AF35,增益!$A:$A,增益!$L:$L,0))</f>
        <v>0</v>
      </c>
      <c r="BA35">
        <f t="shared" si="5"/>
        <v>0</v>
      </c>
      <c r="BB35">
        <f t="shared" si="6"/>
        <v>0</v>
      </c>
      <c r="BC35" s="35" cm="1">
        <f t="array" ref="BC35">IF($F$13-$I$4+VLOOKUP($Q35,武学奇术!$A:$ZZ,13,FALSE)+SUM(_xlfn.XLOOKUP(R35:AF35,增益!$A:$A,增益!$M:$M,0))&gt;0,($F$13-$I$4+VLOOKUP($Q35,武学奇术!$A:$ZZ,13,FALSE)+SUM(_xlfn.XLOOKUP(R35:AF35,增益!$A:$A,增益!$K:$K,0)))/200,($F$13-$I$4+VLOOKUP($Q35,武学奇术!$A:$ZZ,13,FALSE)+SUM(_xlfn.XLOOKUP(R35:AF35,增益!$A:$A,增益!$M:$M,0)))/100)</f>
        <v>-0.3</v>
      </c>
      <c r="BD35" s="35" cm="1">
        <f t="array" ref="BD35">$G$13+VLOOKUP($Q35,武学奇术!$A:$ZZ,14,FALSE)+SUM(_xlfn.XLOOKUP(R35:AF35,增益!$A:$A,增益!$N:$N,0))</f>
        <v>0</v>
      </c>
      <c r="BE35">
        <f t="shared" si="7"/>
        <v>538</v>
      </c>
      <c r="BF35">
        <f t="shared" si="8"/>
        <v>1561.4</v>
      </c>
      <c r="BG35" s="35" cm="1">
        <f t="array" ref="BG35">IF($F$14-$I$4+VLOOKUP($Q35,武学奇术!$A:$ZZ,15,FALSE)+SUM(_xlfn.XLOOKUP(R35:AF35,增益!$A:$A,增益!$O:$O,0))&gt;0,($F$14-$I$4+VLOOKUP($Q35,武学奇术!$A:$ZZ,15,FALSE)+SUM(_xlfn.XLOOKUP(R35:AF35,增益!$A:$A,增益!$O:$O,0)))/200,($F$14-$I$4+VLOOKUP($Q35,武学奇术!$A:$ZZ,15,FALSE)+SUM(_xlfn.XLOOKUP(R35:AF35,增益!$A:$A,增益!$O:$O,0)))/100)</f>
        <v>0</v>
      </c>
      <c r="BH35" s="35" cm="1">
        <f t="array" ref="BH35">$G$14+VLOOKUP($Q35,武学奇术!$A:$ZZ,16,FALSE)+SUM(_xlfn.XLOOKUP(R35:AF35,增益!$A:$A,增益!$P:$P,0))</f>
        <v>0.27</v>
      </c>
      <c r="BI35" s="30">
        <f>MIN(IF(VLOOKUP($Q35,武学奇术!$A:$ZZ,23,FALSE)=1,100%,$B$8),100%)</f>
        <v>0.9712</v>
      </c>
      <c r="BJ35" s="30" cm="1">
        <f t="array" ref="BJ35">IF(VLOOKUP($Q35,武学奇术!$A:$ZZ,23,FALSE)=1,100%,MIN(80%,$B$9+VLOOKUP($Q35,武学奇术!$A:$ZZ,17,FALSE)+SUM(_xlfn.XLOOKUP(R35:AF35,增益!$A:$A,增益!$Q:$Q,0)))+$B$11+SUM(_xlfn.XLOOKUP(R35:AF35,增益!$A:$A,增益!$U:$U,0)))*IF(VLOOKUP($Q35,武学奇术!$A:$ZZ,24,FALSE)=1,0,1)</f>
        <v>0.8773</v>
      </c>
      <c r="BK35" s="30" cm="1">
        <f t="array" ref="BK35">1+$B$13+VLOOKUP($Q35,武学奇术!$A:$ZZ,18,FALSE)+SUM(_xlfn.XLOOKUP(R35:AF35,增益!$A:$A,增益!$R:$R,0))</f>
        <v>1.86</v>
      </c>
      <c r="BL35" s="30" cm="1">
        <f t="array" ref="BL35">IF(VLOOKUP($Q35,武学奇术!$A:$ZZ,24,FALSE)=1,100%,MIN(40%,$B$10+VLOOKUP($Q35,武学奇术!$A:$ZZ,19,FALSE)+SUM(_xlfn.XLOOKUP(R35:AF35,增益!$A:$A,增益!$S:$S,0)))+$B$12+SUM(_xlfn.XLOOKUP(R35:AF35,增益!$A:$A,增益!$V:$V,0)))*IF(VLOOKUP($Q35,武学奇术!$A:$ZZ,23,FALSE)=1,0,1)</f>
        <v>0.0895</v>
      </c>
      <c r="BM35" s="30" cm="1">
        <f t="array" ref="BM35">1+$B$14+VLOOKUP($Q35,武学奇术!$A:$ZZ,20,FALSE)+SUM(_xlfn.XLOOKUP(R35:AF35,增益!$A:$A,增益!$T:$T,0))</f>
        <v>1.35</v>
      </c>
      <c r="BN35" s="30">
        <f t="shared" si="9"/>
        <v>0.85203376</v>
      </c>
      <c r="BO35" s="30">
        <f t="shared" si="10"/>
        <v>0.03224384</v>
      </c>
      <c r="BP35" s="30">
        <f>IF(VLOOKUP($Q35,武学奇术!$A:$ZZ,22,FALSE)=1,0,(1-$BI35))*(1-$BL35)</f>
        <v>0.0262224</v>
      </c>
      <c r="BQ35" s="30" cm="1">
        <f t="array" ref="BQ35">SUM(_xlfn.XLOOKUP(R35:AF35,增益!$A:$A,增益!$W:$W,0))+$I$5</f>
        <v>0.11</v>
      </c>
    </row>
    <row r="36" spans="1:69">
      <c r="A36" s="4"/>
      <c r="B36" s="4"/>
      <c r="K36" s="41">
        <f t="shared" si="11"/>
        <v>71592.9114690429</v>
      </c>
      <c r="L36" s="41">
        <f>((($AN36+$AO36)/2*$AH36+$AI36)*(1+$AP36)*(1+$AQ36)+(($AS36+$AT36)/2*IF($G$1="鸣金",$AJ36,$AH36)+IF($G$1="鸣金",$AK36*1.5,0))*(1+$AU36)*(1+$AV36)+(($AW36+$AX36)/2*IF($G$1="裂石",$AJ36,$AH36)+IF($G$1="裂石",$AK36*1.5,0))*(1+$AY36)*(1+$AZ36)+(($BA36+$BB36)/2*IF($G$1="牵丝",$AJ36,$AH36)+IF($G$1="牵丝",$AK36*1.5,0))*(1+$BC36)*(1+$BD36)+(($BE36+$BF36)/2*IF($G$1="破竹",$AJ36,$AH36)+IF($G$1="破竹",$AK36*1.5,0))*(1+$BG36)*(1+$BH36))*(1+$AL36)*$BK36*$P36*(1+IF(VLOOKUP($Q36,武学奇术!$A:$ZZ,30,FALSE)="回旋伞",$B$21,0))*(1+$BQ36)</f>
        <v>71592.9114690429</v>
      </c>
      <c r="M36" s="41">
        <f>(($AO36*$AH36+$AI36)*(1+$AP36)*(1+$AQ36)+($AT36*IF($G$1="鸣金",$AJ36,$AH36)+IF($G$1="鸣金",$AK36*1.5,0))*(1+$AU36)*(1+$AV36)+($AX36*IF($G$1="裂石",$AJ36,$AH36)+IF($G$1="裂石",$AK36*1.5,0))*(1+$AY36)*(1+$AZ36)+($BB36*IF($G$1="牵丝",$AJ36,$AH36)+IF($G$1="牵丝",$AK36*1.5,0))*(1+$BC36)*(1+$BD36)+($BF36*IF($G$1="破竹",$AJ36,$AH36)+IF($G$1="破竹",$AK36*1.5,0))*(1+$BG36)*(1+$BH36))*(1+$AL36)*$BM36*$P36*(1+IF(VLOOKUP($Q36,武学奇术!$A:$ZZ,30,FALSE)="回旋伞",$B$21,0))*(1+$BQ36)</f>
        <v>57870.7756557982</v>
      </c>
      <c r="N36" s="41">
        <f>((($AN36+$AO36)/2*$AH36+$AI36)*(1+$AP36)*(1+$AQ36)+(($AS36+$AT36)/2*IF($G$1="鸣金",$AJ36,$AH36)+IF($G$1="鸣金",$AK36*1.5,0))*(1+$AU36)*(1+$AV36)+(($AW36+$AX36)/2*IF($G$1="裂石",$AJ36,$AH36)+IF($G$1="裂石",$AK36*1.5,0))*(1+$AY36)*(1+$AZ36)+(($BA36+$BB36)/2*IF($G$1="牵丝",$AJ36,$AH36)+IF($G$1="牵丝",$AK36*1.5,0))*(1+$BC36)*(1+$BD36)+(($BE36+$BF36)/2*IF($G$1="破竹",$AJ36,$AH36)+IF($G$1="破竹",$AK36*1.5,0))*(1+$BG36)*(1+$BH36))*(1+$AL36)*$P36*(1+IF(VLOOKUP($Q36,武学奇术!$A:$ZZ,30,FALSE)="回旋伞",$B$21,0))*(1+$BQ36)</f>
        <v>38284.9793952101</v>
      </c>
      <c r="O36" s="41">
        <f>((($AN36*$AH36+$AI36)*(1+$AP36)*(1+$AQ36)+($AS36*IF($G$1="鸣金",$AJ36,$AH36)+IF($G$1="鸣金",$AK36*1.5,0))*(1+$AU36)*(1+$AV36)+($AW36*IF($G$1="裂石",$AJ36,$AH36)+IF($G$1="裂石",$AK36*1.5,0))*(1+$AY36)*(1+$AZ36)+($BA36*IF($G$1="牵丝",$AJ36,$AH36)+IF($G$1="牵丝",$AK36*1.5,0))*(1+$BC36)*(1+$BD36)+($BE36*IF($G$1="破竹",$AJ36,$AH36)+IF($G$1="破竹",$AK36*1.5,0))*(1+$BG36)*(1+$BH36))*(1+$AL36))*$P36*(1+IF(VLOOKUP($Q36,武学奇术!$A:$ZZ,30,FALSE)="回旋伞",$B$21,0))*(1+$BQ36)</f>
        <v>33702.717563903</v>
      </c>
      <c r="P36" s="42">
        <v>1</v>
      </c>
      <c r="Q36" s="43" t="s">
        <v>115</v>
      </c>
      <c r="R36" s="43" t="s">
        <v>105</v>
      </c>
      <c r="S36" s="43" t="s">
        <v>91</v>
      </c>
      <c r="T36" s="43" t="s">
        <v>72</v>
      </c>
      <c r="U36" s="43" t="s">
        <v>71</v>
      </c>
      <c r="V36" s="43" t="s">
        <v>167</v>
      </c>
      <c r="W36" s="43" t="s">
        <v>95</v>
      </c>
      <c r="X36" s="43" t="s">
        <v>71</v>
      </c>
      <c r="Y36" s="43" t="s">
        <v>71</v>
      </c>
      <c r="Z36" s="43" t="s">
        <v>71</v>
      </c>
      <c r="AA36" s="43" t="s">
        <v>116</v>
      </c>
      <c r="AB36" s="43" t="s">
        <v>71</v>
      </c>
      <c r="AC36" s="43" t="s">
        <v>71</v>
      </c>
      <c r="AD36" s="43" t="s">
        <v>71</v>
      </c>
      <c r="AE36" s="43" t="s">
        <v>71</v>
      </c>
      <c r="AF36" s="43" t="s">
        <v>76</v>
      </c>
      <c r="AG36" t="str">
        <f>VLOOKUP($Q36,武学奇术!$A:$ZZ,25,FALSE)</f>
        <v>伞</v>
      </c>
      <c r="AH36" s="30">
        <f>VLOOKUP($Q36,武学奇术!$A:$ZZ,26,FALSE)</f>
        <v>1.8084</v>
      </c>
      <c r="AI36" s="31">
        <f>VLOOKUP($Q36,武学奇术!$A:$ZZ,27,FALSE)*(1+IF(OR($AG36=$F$4,$AG36=$F$5),$B$22,0))</f>
        <v>700</v>
      </c>
      <c r="AJ36" s="30">
        <f>VLOOKUP($Q36,武学奇术!$A:$ZZ,28,FALSE)</f>
        <v>2.7126</v>
      </c>
      <c r="AK36" s="31">
        <f>VLOOKUP($Q36,武学奇术!$A:$ZZ,29,FALSE)*(1+IF(OR($AG36=$F$4,$AG36=$F$5),$B$22,0))</f>
        <v>380.8</v>
      </c>
      <c r="AL36" s="30" cm="1">
        <f t="array" ref="AL36">$G$3+IFERROR(VLOOKUP($AG36,$F$4:$G$7,2,FALSE),0)+VLOOKUP($Q36,武学奇术!$A:$ZZ,2,FALSE)+SUM(_xlfn.XLOOKUP($R36:$AF36,增益!$A:$A,增益!$B:$B,0))</f>
        <v>0.7741</v>
      </c>
      <c r="AM36" s="30" cm="1">
        <f t="array" ref="AM36">VLOOKUP($Q36,武学奇术!$A:$ZZ,5,FALSE)+SUM(_xlfn.XLOOKUP($R36:$AF36,增益!$A:$A,增益!$E:$E,0))</f>
        <v>0</v>
      </c>
      <c r="AN36" cm="1">
        <f t="array" ref="AN36">$D$10*(1+$AM36)+VLOOKUP($Q36,武学奇术!$A:$ZZ,3,FALSE)+SUM(_xlfn.XLOOKUP($R36:$AF36,增益!$A:$A,增益!$C:$C,0))-$I$2</f>
        <v>3483.8</v>
      </c>
      <c r="AO36" cm="1">
        <f t="array" ref="AO36">$E$10*(1+$AM36)+VLOOKUP($Q36,武学奇术!$A:$ZZ,4,FALSE)+SUM(_xlfn.XLOOKUP($R36:$AF36,增益!$A:$A,增益!$D:$D,0))-$I$2</f>
        <v>3483.8</v>
      </c>
      <c r="AP36" s="35" cm="1">
        <f t="array" ref="AP36">IF($F$10-$I$3+VLOOKUP($Q36,武学奇术!$A:$ZZ,6,FALSE)+SUM(_xlfn.XLOOKUP(R36:AF36,增益!$A:$A,增益!$F:$F,0))&gt;0,($F$10-$I$3+VLOOKUP($Q36,武学奇术!$A:$ZZ,6,FALSE)+SUM(_xlfn.XLOOKUP(R36:AF36,增益!$A:$A,增益!$F:$F,0)))/200,($F$10-$I$3+VLOOKUP($Q36,武学奇术!$A:$ZZ,6,FALSE)+SUM(_xlfn.XLOOKUP(R36:AF36,增益!$A:$A,增益!$F:$F,0)))/100)</f>
        <v>0.2925</v>
      </c>
      <c r="AQ36" s="35" cm="1">
        <f t="array" ref="AQ36">$G$10+VLOOKUP($Q36,武学奇术!$A:$ZZ,7,FALSE)+SUM(_xlfn.XLOOKUP(R36:AF36,增益!$A:$A,增益!$G:$G,0))</f>
        <v>0.148</v>
      </c>
      <c r="AR36" s="30" cm="1">
        <f t="array" ref="AR36">VLOOKUP($Q36,武学奇术!$A:$ZZ,8,FALSE)+SUM(_xlfn.XLOOKUP(R36:AF36,增益!$A:$A,增益!$H:$H,0))</f>
        <v>0</v>
      </c>
      <c r="AS36">
        <f t="shared" si="1"/>
        <v>0</v>
      </c>
      <c r="AT36">
        <f t="shared" si="2"/>
        <v>0</v>
      </c>
      <c r="AU36" s="35" cm="1">
        <f t="array" ref="AU36">IF($F$11-$I$4+VLOOKUP($Q36,武学奇术!$A:$ZZ,9,FALSE)+SUM(_xlfn.XLOOKUP(R36:AF36,增益!$A:$A,增益!$I:$I,0))&gt;0,($F$11-$I$4+VLOOKUP($Q36,武学奇术!$A:$ZZ,9,FALSE)+SUM(_xlfn.XLOOKUP(R36:AF36,增益!$A:$A,增益!$I:$I,0)))/200,($F$11-$I$4+VLOOKUP($Q36,武学奇术!$A:$ZZ,9,FALSE)+SUM(_xlfn.XLOOKUP(R36:AF36,增益!$A:$A,增益!$I:$I,0)))/100)</f>
        <v>-0.3</v>
      </c>
      <c r="AV36" s="35" cm="1">
        <f t="array" ref="AV36">$G$11+VLOOKUP($Q36,武学奇术!$A:$ZZ,10,FALSE)+SUM(_xlfn.XLOOKUP(R36:AF36,增益!$A:$A,增益!$J:$J,0))</f>
        <v>0</v>
      </c>
      <c r="AW36">
        <f t="shared" si="3"/>
        <v>0</v>
      </c>
      <c r="AX36">
        <f t="shared" si="4"/>
        <v>0</v>
      </c>
      <c r="AY36" s="35" cm="1">
        <f t="array" ref="AY36">IF($F$12-$I$4+VLOOKUP($Q36,武学奇术!$A:$ZZ,11,FALSE)+SUM(_xlfn.XLOOKUP(R36:AF36,增益!$A:$A,增益!$K:$K,0))&gt;0,($F$12-$I$4+VLOOKUP($Q36,武学奇术!$A:$ZZ,11,FALSE)+SUM(_xlfn.XLOOKUP(R36:AF36,增益!$A:$A,增益!$K:$K,0)))/200,($F$12-$I$4+VLOOKUP($Q36,武学奇术!$A:$ZZ,11,FALSE)+SUM(_xlfn.XLOOKUP(R36:AF36,增益!$A:$A,增益!$K:$K,0)))/100)</f>
        <v>-0.3</v>
      </c>
      <c r="AZ36" s="35" cm="1">
        <f t="array" ref="AZ36">$G$12+VLOOKUP($Q36,武学奇术!$A:$ZZ,12,FALSE)+SUM(_xlfn.XLOOKUP(R36:AF36,增益!$A:$A,增益!$L:$L,0))</f>
        <v>0</v>
      </c>
      <c r="BA36">
        <f t="shared" si="5"/>
        <v>0</v>
      </c>
      <c r="BB36">
        <f t="shared" si="6"/>
        <v>0</v>
      </c>
      <c r="BC36" s="35" cm="1">
        <f t="array" ref="BC36">IF($F$13-$I$4+VLOOKUP($Q36,武学奇术!$A:$ZZ,13,FALSE)+SUM(_xlfn.XLOOKUP(R36:AF36,增益!$A:$A,增益!$M:$M,0))&gt;0,($F$13-$I$4+VLOOKUP($Q36,武学奇术!$A:$ZZ,13,FALSE)+SUM(_xlfn.XLOOKUP(R36:AF36,增益!$A:$A,增益!$K:$K,0)))/200,($F$13-$I$4+VLOOKUP($Q36,武学奇术!$A:$ZZ,13,FALSE)+SUM(_xlfn.XLOOKUP(R36:AF36,增益!$A:$A,增益!$M:$M,0)))/100)</f>
        <v>-0.3</v>
      </c>
      <c r="BD36" s="35" cm="1">
        <f t="array" ref="BD36">$G$13+VLOOKUP($Q36,武学奇术!$A:$ZZ,14,FALSE)+SUM(_xlfn.XLOOKUP(R36:AF36,增益!$A:$A,增益!$N:$N,0))</f>
        <v>0</v>
      </c>
      <c r="BE36">
        <f t="shared" si="7"/>
        <v>538</v>
      </c>
      <c r="BF36">
        <f t="shared" si="8"/>
        <v>1561.4</v>
      </c>
      <c r="BG36" s="35" cm="1">
        <f t="array" ref="BG36">IF($F$14-$I$4+VLOOKUP($Q36,武学奇术!$A:$ZZ,15,FALSE)+SUM(_xlfn.XLOOKUP(R36:AF36,增益!$A:$A,增益!$O:$O,0))&gt;0,($F$14-$I$4+VLOOKUP($Q36,武学奇术!$A:$ZZ,15,FALSE)+SUM(_xlfn.XLOOKUP(R36:AF36,增益!$A:$A,增益!$O:$O,0)))/200,($F$14-$I$4+VLOOKUP($Q36,武学奇术!$A:$ZZ,15,FALSE)+SUM(_xlfn.XLOOKUP(R36:AF36,增益!$A:$A,增益!$O:$O,0)))/100)</f>
        <v>0</v>
      </c>
      <c r="BH36" s="35" cm="1">
        <f t="array" ref="BH36">$G$14+VLOOKUP($Q36,武学奇术!$A:$ZZ,16,FALSE)+SUM(_xlfn.XLOOKUP(R36:AF36,增益!$A:$A,增益!$P:$P,0))</f>
        <v>0.27</v>
      </c>
      <c r="BI36" s="30">
        <f>MIN(IF(VLOOKUP($Q36,武学奇术!$A:$ZZ,23,FALSE)=1,100%,$B$8),100%)</f>
        <v>1</v>
      </c>
      <c r="BJ36" s="30" cm="1">
        <f t="array" ref="BJ36">IF(VLOOKUP($Q36,武学奇术!$A:$ZZ,23,FALSE)=1,100%,MIN(80%,$B$9+VLOOKUP($Q36,武学奇术!$A:$ZZ,17,FALSE)+SUM(_xlfn.XLOOKUP(R36:AF36,增益!$A:$A,增益!$Q:$Q,0)))+$B$11+SUM(_xlfn.XLOOKUP(R36:AF36,增益!$A:$A,增益!$U:$U,0)))*IF(VLOOKUP($Q36,武学奇术!$A:$ZZ,24,FALSE)=1,0,1)</f>
        <v>1</v>
      </c>
      <c r="BK36" s="30" cm="1">
        <f t="array" ref="BK36">1+$B$13+VLOOKUP($Q36,武学奇术!$A:$ZZ,18,FALSE)+SUM(_xlfn.XLOOKUP(R36:AF36,增益!$A:$A,增益!$R:$R,0))</f>
        <v>1.87</v>
      </c>
      <c r="BL36" s="30" cm="1">
        <f t="array" ref="BL36">IF(VLOOKUP($Q36,武学奇术!$A:$ZZ,24,FALSE)=1,100%,MIN(40%,$B$10+VLOOKUP($Q36,武学奇术!$A:$ZZ,19,FALSE)+SUM(_xlfn.XLOOKUP(R36:AF36,增益!$A:$A,增益!$S:$S,0)))+$B$12+SUM(_xlfn.XLOOKUP(R36:AF36,增益!$A:$A,增益!$V:$V,0)))*IF(VLOOKUP($Q36,武学奇术!$A:$ZZ,23,FALSE)=1,0,1)</f>
        <v>0</v>
      </c>
      <c r="BM36" s="30" cm="1">
        <f t="array" ref="BM36">1+$B$14+VLOOKUP($Q36,武学奇术!$A:$ZZ,20,FALSE)+SUM(_xlfn.XLOOKUP(R36:AF36,增益!$A:$A,增益!$T:$T,0))</f>
        <v>1.35</v>
      </c>
      <c r="BN36" s="30">
        <f t="shared" si="9"/>
        <v>1</v>
      </c>
      <c r="BO36" s="30">
        <f t="shared" si="10"/>
        <v>0</v>
      </c>
      <c r="BP36" s="30">
        <f>IF(VLOOKUP($Q36,武学奇术!$A:$ZZ,22,FALSE)=1,0,(1-$BI36))*(1-$BL36)</f>
        <v>0</v>
      </c>
      <c r="BQ36" s="30" cm="1">
        <f t="array" ref="BQ36">SUM(_xlfn.XLOOKUP(R36:AF36,增益!$A:$A,增益!$W:$W,0))+$I$5</f>
        <v>0.11</v>
      </c>
    </row>
    <row r="37" spans="1:69">
      <c r="A37" s="4"/>
      <c r="B37" s="4"/>
      <c r="K37" s="41">
        <f t="shared" si="11"/>
        <v>35247.7327600772</v>
      </c>
      <c r="L37" s="41">
        <f>((($AN37+$AO37)/2*$AH37+$AI37)*(1+$AP37)*(1+$AQ37)+(($AS37+$AT37)/2*IF($G$1="鸣金",$AJ37,$AH37)+IF($G$1="鸣金",$AK37*1.5,0))*(1+$AU37)*(1+$AV37)+(($AW37+$AX37)/2*IF($G$1="裂石",$AJ37,$AH37)+IF($G$1="裂石",$AK37*1.5,0))*(1+$AY37)*(1+$AZ37)+(($BA37+$BB37)/2*IF($G$1="牵丝",$AJ37,$AH37)+IF($G$1="牵丝",$AK37*1.5,0))*(1+$BC37)*(1+$BD37)+(($BE37+$BF37)/2*IF($G$1="破竹",$AJ37,$AH37)+IF($G$1="破竹",$AK37*1.5,0))*(1+$BG37)*(1+$BH37))*(1+$AL37)*$BK37*$P37*(1+IF(VLOOKUP($Q37,武学奇术!$A:$ZZ,30,FALSE)="回旋伞",$B$21,0))*(1+$BQ37)</f>
        <v>36830.0868652158</v>
      </c>
      <c r="M37" s="41">
        <f>(($AO37*$AH37+$AI37)*(1+$AP37)*(1+$AQ37)+($AT37*IF($G$1="鸣金",$AJ37,$AH37)+IF($G$1="鸣金",$AK37*1.5,0))*(1+$AU37)*(1+$AV37)+($AX37*IF($G$1="裂石",$AJ37,$AH37)+IF($G$1="裂石",$AK37*1.5,0))*(1+$AY37)*(1+$AZ37)+($BB37*IF($G$1="牵丝",$AJ37,$AH37)+IF($G$1="牵丝",$AK37*1.5,0))*(1+$BC37)*(1+$BD37)+($BF37*IF($G$1="破竹",$AJ37,$AH37)+IF($G$1="破竹",$AK37*1.5,0))*(1+$BG37)*(1+$BH37))*(1+$AL37)*$BM37*$P37*(1+IF(VLOOKUP($Q37,武学奇术!$A:$ZZ,30,FALSE)="回旋伞",$B$21,0))*(1+$BQ37)</f>
        <v>30864.12780132</v>
      </c>
      <c r="N37" s="41">
        <f>((($AN37+$AO37)/2*$AH37+$AI37)*(1+$AP37)*(1+$AQ37)+(($AS37+$AT37)/2*IF($G$1="鸣金",$AJ37,$AH37)+IF($G$1="鸣金",$AK37*1.5,0))*(1+$AU37)*(1+$AV37)+(($AW37+$AX37)/2*IF($G$1="裂石",$AJ37,$AH37)+IF($G$1="裂石",$AK37*1.5,0))*(1+$AY37)*(1+$AZ37)+(($BA37+$BB37)/2*IF($G$1="牵丝",$AJ37,$AH37)+IF($G$1="牵丝",$AK37*1.5,0))*(1+$BC37)*(1+$BD37)+(($BE37+$BF37)/2*IF($G$1="破竹",$AJ37,$AH37)+IF($G$1="破竹",$AK37*1.5,0))*(1+$BG37)*(1+$BH37))*(1+$AL37)*$P37*(1+IF(VLOOKUP($Q37,武学奇术!$A:$ZZ,30,FALSE)="回旋伞",$B$21,0))*(1+$BQ37)</f>
        <v>20125.7305274403</v>
      </c>
      <c r="O37" s="41">
        <f>((($AN37*$AH37+$AI37)*(1+$AP37)*(1+$AQ37)+($AS37*IF($G$1="鸣金",$AJ37,$AH37)+IF($G$1="鸣金",$AK37*1.5,0))*(1+$AU37)*(1+$AV37)+($AW37*IF($G$1="裂石",$AJ37,$AH37)+IF($G$1="裂石",$AK37*1.5,0))*(1+$AY37)*(1+$AZ37)+($BA37*IF($G$1="牵丝",$AJ37,$AH37)+IF($G$1="牵丝",$AK37*1.5,0))*(1+$BC37)*(1+$BD37)+($BE37*IF($G$1="破竹",$AJ37,$AH37)+IF($G$1="破竹",$AK37*1.5,0))*(1+$BG37)*(1+$BH37))*(1+$AL37))*$P37*(1+IF(VLOOKUP($Q37,武学奇术!$A:$ZZ,30,FALSE)="回旋伞",$B$21,0))*(1+$BQ37)</f>
        <v>17389.1441650141</v>
      </c>
      <c r="P37" s="42">
        <v>2</v>
      </c>
      <c r="Q37" s="43" t="s">
        <v>120</v>
      </c>
      <c r="R37" s="43" t="s">
        <v>105</v>
      </c>
      <c r="S37" s="43" t="s">
        <v>91</v>
      </c>
      <c r="T37" s="43" t="s">
        <v>72</v>
      </c>
      <c r="U37" s="43" t="s">
        <v>71</v>
      </c>
      <c r="V37" s="43" t="s">
        <v>153</v>
      </c>
      <c r="W37" s="43" t="s">
        <v>95</v>
      </c>
      <c r="X37" s="43" t="s">
        <v>71</v>
      </c>
      <c r="Y37" s="43" t="s">
        <v>71</v>
      </c>
      <c r="Z37" s="43" t="s">
        <v>71</v>
      </c>
      <c r="AA37" s="43" t="s">
        <v>71</v>
      </c>
      <c r="AB37" s="43" t="s">
        <v>71</v>
      </c>
      <c r="AC37" s="43" t="s">
        <v>71</v>
      </c>
      <c r="AD37" s="43" t="s">
        <v>71</v>
      </c>
      <c r="AE37" s="43" t="s">
        <v>71</v>
      </c>
      <c r="AF37" s="43" t="s">
        <v>76</v>
      </c>
      <c r="AG37" t="str">
        <f>VLOOKUP($Q37,武学奇术!$A:$ZZ,25,FALSE)</f>
        <v>伞</v>
      </c>
      <c r="AH37" s="30">
        <f>VLOOKUP($Q37,武学奇术!$A:$ZZ,26,FALSE)</f>
        <v>0.54</v>
      </c>
      <c r="AI37" s="31">
        <f>VLOOKUP($Q37,武学奇术!$A:$ZZ,27,FALSE)*(1+IF(OR($AG37=$F$4,$AG37=$F$5),$B$22,0))</f>
        <v>0</v>
      </c>
      <c r="AJ37" s="30">
        <f>VLOOKUP($Q37,武学奇术!$A:$ZZ,28,FALSE)</f>
        <v>0.81</v>
      </c>
      <c r="AK37" s="31">
        <f>VLOOKUP($Q37,武学奇术!$A:$ZZ,29,FALSE)*(1+IF(OR($AG37=$F$4,$AG37=$F$5),$B$22,0))</f>
        <v>0</v>
      </c>
      <c r="AL37" s="30" cm="1">
        <f t="array" ref="AL37">$G$3+IFERROR(VLOOKUP($AG37,$F$4:$G$7,2,FALSE),0)+VLOOKUP($Q37,武学奇术!$A:$ZZ,2,FALSE)+SUM(_xlfn.XLOOKUP($R37:$AF37,增益!$A:$A,增益!$B:$B,0))</f>
        <v>0.7741</v>
      </c>
      <c r="AM37" s="30" cm="1">
        <f t="array" ref="AM37">VLOOKUP($Q37,武学奇术!$A:$ZZ,5,FALSE)+SUM(_xlfn.XLOOKUP($R37:$AF37,增益!$A:$A,增益!$E:$E,0))</f>
        <v>0</v>
      </c>
      <c r="AN37" cm="1">
        <f t="array" ref="AN37">$D$10*(1+$AM37)+VLOOKUP($Q37,武学奇术!$A:$ZZ,3,FALSE)+SUM(_xlfn.XLOOKUP($R37:$AF37,增益!$A:$A,增益!$C:$C,0))-$I$2</f>
        <v>3483.8</v>
      </c>
      <c r="AO37" cm="1">
        <f t="array" ref="AO37">$E$10*(1+$AM37)+VLOOKUP($Q37,武学奇术!$A:$ZZ,4,FALSE)+SUM(_xlfn.XLOOKUP($R37:$AF37,增益!$A:$A,增益!$D:$D,0))-$I$2</f>
        <v>3483.8</v>
      </c>
      <c r="AP37" s="35" cm="1">
        <f t="array" ref="AP37">IF($F$10-$I$3+VLOOKUP($Q37,武学奇术!$A:$ZZ,6,FALSE)+SUM(_xlfn.XLOOKUP(R37:AF37,增益!$A:$A,增益!$F:$F,0))&gt;0,($F$10-$I$3+VLOOKUP($Q37,武学奇术!$A:$ZZ,6,FALSE)+SUM(_xlfn.XLOOKUP(R37:AF37,增益!$A:$A,增益!$F:$F,0)))/200,($F$10-$I$3+VLOOKUP($Q37,武学奇术!$A:$ZZ,6,FALSE)+SUM(_xlfn.XLOOKUP(R37:AF37,增益!$A:$A,增益!$F:$F,0)))/100)</f>
        <v>0.2925</v>
      </c>
      <c r="AQ37" s="35" cm="1">
        <f t="array" ref="AQ37">$G$10+VLOOKUP($Q37,武学奇术!$A:$ZZ,7,FALSE)+SUM(_xlfn.XLOOKUP(R37:AF37,增益!$A:$A,增益!$G:$G,0))</f>
        <v>0.148</v>
      </c>
      <c r="AR37" s="30" cm="1">
        <f t="array" ref="AR37">VLOOKUP($Q37,武学奇术!$A:$ZZ,8,FALSE)+SUM(_xlfn.XLOOKUP(R37:AF37,增益!$A:$A,增益!$H:$H,0))</f>
        <v>0</v>
      </c>
      <c r="AS37">
        <f t="shared" si="1"/>
        <v>0</v>
      </c>
      <c r="AT37">
        <f t="shared" si="2"/>
        <v>0</v>
      </c>
      <c r="AU37" s="35" cm="1">
        <f t="array" ref="AU37">IF($F$11-$I$4+VLOOKUP($Q37,武学奇术!$A:$ZZ,9,FALSE)+SUM(_xlfn.XLOOKUP(R37:AF37,增益!$A:$A,增益!$I:$I,0))&gt;0,($F$11-$I$4+VLOOKUP($Q37,武学奇术!$A:$ZZ,9,FALSE)+SUM(_xlfn.XLOOKUP(R37:AF37,增益!$A:$A,增益!$I:$I,0)))/200,($F$11-$I$4+VLOOKUP($Q37,武学奇术!$A:$ZZ,9,FALSE)+SUM(_xlfn.XLOOKUP(R37:AF37,增益!$A:$A,增益!$I:$I,0)))/100)</f>
        <v>-0.3</v>
      </c>
      <c r="AV37" s="35" cm="1">
        <f t="array" ref="AV37">$G$11+VLOOKUP($Q37,武学奇术!$A:$ZZ,10,FALSE)+SUM(_xlfn.XLOOKUP(R37:AF37,增益!$A:$A,增益!$J:$J,0))</f>
        <v>0</v>
      </c>
      <c r="AW37">
        <f t="shared" si="3"/>
        <v>0</v>
      </c>
      <c r="AX37">
        <f t="shared" si="4"/>
        <v>0</v>
      </c>
      <c r="AY37" s="35" cm="1">
        <f t="array" ref="AY37">IF($F$12-$I$4+VLOOKUP($Q37,武学奇术!$A:$ZZ,11,FALSE)+SUM(_xlfn.XLOOKUP(R37:AF37,增益!$A:$A,增益!$K:$K,0))&gt;0,($F$12-$I$4+VLOOKUP($Q37,武学奇术!$A:$ZZ,11,FALSE)+SUM(_xlfn.XLOOKUP(R37:AF37,增益!$A:$A,增益!$K:$K,0)))/200,($F$12-$I$4+VLOOKUP($Q37,武学奇术!$A:$ZZ,11,FALSE)+SUM(_xlfn.XLOOKUP(R37:AF37,增益!$A:$A,增益!$K:$K,0)))/100)</f>
        <v>-0.3</v>
      </c>
      <c r="AZ37" s="35" cm="1">
        <f t="array" ref="AZ37">$G$12+VLOOKUP($Q37,武学奇术!$A:$ZZ,12,FALSE)+SUM(_xlfn.XLOOKUP(R37:AF37,增益!$A:$A,增益!$L:$L,0))</f>
        <v>0</v>
      </c>
      <c r="BA37">
        <f t="shared" si="5"/>
        <v>0</v>
      </c>
      <c r="BB37">
        <f t="shared" si="6"/>
        <v>0</v>
      </c>
      <c r="BC37" s="35" cm="1">
        <f t="array" ref="BC37">IF($F$13-$I$4+VLOOKUP($Q37,武学奇术!$A:$ZZ,13,FALSE)+SUM(_xlfn.XLOOKUP(R37:AF37,增益!$A:$A,增益!$M:$M,0))&gt;0,($F$13-$I$4+VLOOKUP($Q37,武学奇术!$A:$ZZ,13,FALSE)+SUM(_xlfn.XLOOKUP(R37:AF37,增益!$A:$A,增益!$K:$K,0)))/200,($F$13-$I$4+VLOOKUP($Q37,武学奇术!$A:$ZZ,13,FALSE)+SUM(_xlfn.XLOOKUP(R37:AF37,增益!$A:$A,增益!$M:$M,0)))/100)</f>
        <v>-0.3</v>
      </c>
      <c r="BD37" s="35" cm="1">
        <f t="array" ref="BD37">$G$13+VLOOKUP($Q37,武学奇术!$A:$ZZ,14,FALSE)+SUM(_xlfn.XLOOKUP(R37:AF37,增益!$A:$A,增益!$N:$N,0))</f>
        <v>0</v>
      </c>
      <c r="BE37">
        <f t="shared" si="7"/>
        <v>538</v>
      </c>
      <c r="BF37">
        <f t="shared" si="8"/>
        <v>1561.4</v>
      </c>
      <c r="BG37" s="35" cm="1">
        <f t="array" ref="BG37">IF($F$14-$I$4+VLOOKUP($Q37,武学奇术!$A:$ZZ,15,FALSE)+SUM(_xlfn.XLOOKUP(R37:AF37,增益!$A:$A,增益!$O:$O,0))&gt;0,($F$14-$I$4+VLOOKUP($Q37,武学奇术!$A:$ZZ,15,FALSE)+SUM(_xlfn.XLOOKUP(R37:AF37,增益!$A:$A,增益!$O:$O,0)))/200,($F$14-$I$4+VLOOKUP($Q37,武学奇术!$A:$ZZ,15,FALSE)+SUM(_xlfn.XLOOKUP(R37:AF37,增益!$A:$A,增益!$O:$O,0)))/100)</f>
        <v>0</v>
      </c>
      <c r="BH37" s="35" cm="1">
        <f t="array" ref="BH37">$G$14+VLOOKUP($Q37,武学奇术!$A:$ZZ,16,FALSE)+SUM(_xlfn.XLOOKUP(R37:AF37,增益!$A:$A,增益!$P:$P,0))</f>
        <v>0.27</v>
      </c>
      <c r="BI37" s="30">
        <f>MIN(IF(VLOOKUP($Q37,武学奇术!$A:$ZZ,23,FALSE)=1,100%,$B$8),100%)</f>
        <v>0.9712</v>
      </c>
      <c r="BJ37" s="30" cm="1">
        <f t="array" ref="BJ37">IF(VLOOKUP($Q37,武学奇术!$A:$ZZ,23,FALSE)=1,100%,MIN(80%,$B$9+VLOOKUP($Q37,武学奇术!$A:$ZZ,17,FALSE)+SUM(_xlfn.XLOOKUP(R37:AF37,增益!$A:$A,增益!$Q:$Q,0)))+$B$11+SUM(_xlfn.XLOOKUP(R37:AF37,增益!$A:$A,增益!$U:$U,0)))*IF(VLOOKUP($Q37,武学奇术!$A:$ZZ,24,FALSE)=1,0,1)</f>
        <v>0.8773</v>
      </c>
      <c r="BK37" s="30" cm="1">
        <f t="array" ref="BK37">1+$B$13+VLOOKUP($Q37,武学奇术!$A:$ZZ,18,FALSE)+SUM(_xlfn.XLOOKUP(R37:AF37,增益!$A:$A,增益!$R:$R,0))</f>
        <v>1.83</v>
      </c>
      <c r="BL37" s="30" cm="1">
        <f t="array" ref="BL37">IF(VLOOKUP($Q37,武学奇术!$A:$ZZ,24,FALSE)=1,100%,MIN(40%,$B$10+VLOOKUP($Q37,武学奇术!$A:$ZZ,19,FALSE)+SUM(_xlfn.XLOOKUP(R37:AF37,增益!$A:$A,增益!$S:$S,0)))+$B$12+SUM(_xlfn.XLOOKUP(R37:AF37,增益!$A:$A,增益!$V:$V,0)))*IF(VLOOKUP($Q37,武学奇术!$A:$ZZ,23,FALSE)=1,0,1)</f>
        <v>0.0895</v>
      </c>
      <c r="BM37" s="30" cm="1">
        <f t="array" ref="BM37">1+$B$14+VLOOKUP($Q37,武学奇术!$A:$ZZ,20,FALSE)+SUM(_xlfn.XLOOKUP(R37:AF37,增益!$A:$A,增益!$T:$T,0))</f>
        <v>1.35</v>
      </c>
      <c r="BN37" s="30">
        <f t="shared" si="9"/>
        <v>0.85203376</v>
      </c>
      <c r="BO37" s="30">
        <f t="shared" si="10"/>
        <v>0.03224384</v>
      </c>
      <c r="BP37" s="30">
        <f>IF(VLOOKUP($Q37,武学奇术!$A:$ZZ,22,FALSE)=1,0,(1-$BI37))*(1-$BL37)</f>
        <v>0.0262224</v>
      </c>
      <c r="BQ37" s="30" cm="1">
        <f t="array" ref="BQ37">SUM(_xlfn.XLOOKUP(R37:AF37,增益!$A:$A,增益!$W:$W,0))+$I$5</f>
        <v>0.11</v>
      </c>
    </row>
    <row r="38" spans="1:69">
      <c r="A38" s="4"/>
      <c r="B38" s="90"/>
      <c r="K38" s="41">
        <f t="shared" si="11"/>
        <v>35247.7327600772</v>
      </c>
      <c r="L38" s="41">
        <f>((($AN38+$AO38)/2*$AH38+$AI38)*(1+$AP38)*(1+$AQ38)+(($AS38+$AT38)/2*IF($G$1="鸣金",$AJ38,$AH38)+IF($G$1="鸣金",$AK38*1.5,0))*(1+$AU38)*(1+$AV38)+(($AW38+$AX38)/2*IF($G$1="裂石",$AJ38,$AH38)+IF($G$1="裂石",$AK38*1.5,0))*(1+$AY38)*(1+$AZ38)+(($BA38+$BB38)/2*IF($G$1="牵丝",$AJ38,$AH38)+IF($G$1="牵丝",$AK38*1.5,0))*(1+$BC38)*(1+$BD38)+(($BE38+$BF38)/2*IF($G$1="破竹",$AJ38,$AH38)+IF($G$1="破竹",$AK38*1.5,0))*(1+$BG38)*(1+$BH38))*(1+$AL38)*$BK38*$P38*(1+IF(VLOOKUP($Q38,武学奇术!$A:$ZZ,30,FALSE)="回旋伞",$B$21,0))*(1+$BQ38)</f>
        <v>36830.0868652158</v>
      </c>
      <c r="M38" s="41">
        <f>(($AO38*$AH38+$AI38)*(1+$AP38)*(1+$AQ38)+($AT38*IF($G$1="鸣金",$AJ38,$AH38)+IF($G$1="鸣金",$AK38*1.5,0))*(1+$AU38)*(1+$AV38)+($AX38*IF($G$1="裂石",$AJ38,$AH38)+IF($G$1="裂石",$AK38*1.5,0))*(1+$AY38)*(1+$AZ38)+($BB38*IF($G$1="牵丝",$AJ38,$AH38)+IF($G$1="牵丝",$AK38*1.5,0))*(1+$BC38)*(1+$BD38)+($BF38*IF($G$1="破竹",$AJ38,$AH38)+IF($G$1="破竹",$AK38*1.5,0))*(1+$BG38)*(1+$BH38))*(1+$AL38)*$BM38*$P38*(1+IF(VLOOKUP($Q38,武学奇术!$A:$ZZ,30,FALSE)="回旋伞",$B$21,0))*(1+$BQ38)</f>
        <v>30864.12780132</v>
      </c>
      <c r="N38" s="41">
        <f>((($AN38+$AO38)/2*$AH38+$AI38)*(1+$AP38)*(1+$AQ38)+(($AS38+$AT38)/2*IF($G$1="鸣金",$AJ38,$AH38)+IF($G$1="鸣金",$AK38*1.5,0))*(1+$AU38)*(1+$AV38)+(($AW38+$AX38)/2*IF($G$1="裂石",$AJ38,$AH38)+IF($G$1="裂石",$AK38*1.5,0))*(1+$AY38)*(1+$AZ38)+(($BA38+$BB38)/2*IF($G$1="牵丝",$AJ38,$AH38)+IF($G$1="牵丝",$AK38*1.5,0))*(1+$BC38)*(1+$BD38)+(($BE38+$BF38)/2*IF($G$1="破竹",$AJ38,$AH38)+IF($G$1="破竹",$AK38*1.5,0))*(1+$BG38)*(1+$BH38))*(1+$AL38)*$P38*(1+IF(VLOOKUP($Q38,武学奇术!$A:$ZZ,30,FALSE)="回旋伞",$B$21,0))*(1+$BQ38)</f>
        <v>20125.7305274403</v>
      </c>
      <c r="O38" s="41">
        <f>((($AN38*$AH38+$AI38)*(1+$AP38)*(1+$AQ38)+($AS38*IF($G$1="鸣金",$AJ38,$AH38)+IF($G$1="鸣金",$AK38*1.5,0))*(1+$AU38)*(1+$AV38)+($AW38*IF($G$1="裂石",$AJ38,$AH38)+IF($G$1="裂石",$AK38*1.5,0))*(1+$AY38)*(1+$AZ38)+($BA38*IF($G$1="牵丝",$AJ38,$AH38)+IF($G$1="牵丝",$AK38*1.5,0))*(1+$BC38)*(1+$BD38)+($BE38*IF($G$1="破竹",$AJ38,$AH38)+IF($G$1="破竹",$AK38*1.5,0))*(1+$BG38)*(1+$BH38))*(1+$AL38))*$P38*(1+IF(VLOOKUP($Q38,武学奇术!$A:$ZZ,30,FALSE)="回旋伞",$B$21,0))*(1+$BQ38)</f>
        <v>17389.1441650141</v>
      </c>
      <c r="P38" s="42">
        <v>2</v>
      </c>
      <c r="Q38" s="43" t="s">
        <v>120</v>
      </c>
      <c r="R38" s="43" t="s">
        <v>105</v>
      </c>
      <c r="S38" s="43" t="s">
        <v>91</v>
      </c>
      <c r="T38" s="43" t="s">
        <v>72</v>
      </c>
      <c r="U38" s="43" t="s">
        <v>71</v>
      </c>
      <c r="V38" s="43" t="s">
        <v>153</v>
      </c>
      <c r="W38" s="43" t="s">
        <v>95</v>
      </c>
      <c r="X38" s="43" t="s">
        <v>71</v>
      </c>
      <c r="Y38" s="43" t="s">
        <v>71</v>
      </c>
      <c r="Z38" s="43" t="s">
        <v>71</v>
      </c>
      <c r="AA38" s="43" t="s">
        <v>109</v>
      </c>
      <c r="AB38" s="43" t="s">
        <v>71</v>
      </c>
      <c r="AC38" s="43" t="s">
        <v>71</v>
      </c>
      <c r="AD38" s="43" t="s">
        <v>71</v>
      </c>
      <c r="AE38" s="43" t="s">
        <v>71</v>
      </c>
      <c r="AF38" s="43" t="s">
        <v>76</v>
      </c>
      <c r="AG38" t="str">
        <f>VLOOKUP($Q38,武学奇术!$A:$ZZ,25,FALSE)</f>
        <v>伞</v>
      </c>
      <c r="AH38" s="30">
        <f>VLOOKUP($Q38,武学奇术!$A:$ZZ,26,FALSE)</f>
        <v>0.54</v>
      </c>
      <c r="AI38" s="31">
        <f>VLOOKUP($Q38,武学奇术!$A:$ZZ,27,FALSE)*(1+IF(OR($AG38=$F$4,$AG38=$F$5),$B$22,0))</f>
        <v>0</v>
      </c>
      <c r="AJ38" s="30">
        <f>VLOOKUP($Q38,武学奇术!$A:$ZZ,28,FALSE)</f>
        <v>0.81</v>
      </c>
      <c r="AK38" s="31">
        <f>VLOOKUP($Q38,武学奇术!$A:$ZZ,29,FALSE)*(1+IF(OR($AG38=$F$4,$AG38=$F$5),$B$22,0))</f>
        <v>0</v>
      </c>
      <c r="AL38" s="30" cm="1">
        <f t="array" ref="AL38">$G$3+IFERROR(VLOOKUP($AG38,$F$4:$G$7,2,FALSE),0)+VLOOKUP($Q38,武学奇术!$A:$ZZ,2,FALSE)+SUM(_xlfn.XLOOKUP($R38:$AF38,增益!$A:$A,增益!$B:$B,0))</f>
        <v>0.7741</v>
      </c>
      <c r="AM38" s="30" cm="1">
        <f t="array" ref="AM38">VLOOKUP($Q38,武学奇术!$A:$ZZ,5,FALSE)+SUM(_xlfn.XLOOKUP($R38:$AF38,增益!$A:$A,增益!$E:$E,0))</f>
        <v>0</v>
      </c>
      <c r="AN38" cm="1">
        <f t="array" ref="AN38">$D$10*(1+$AM38)+VLOOKUP($Q38,武学奇术!$A:$ZZ,3,FALSE)+SUM(_xlfn.XLOOKUP($R38:$AF38,增益!$A:$A,增益!$C:$C,0))-$I$2</f>
        <v>3483.8</v>
      </c>
      <c r="AO38" cm="1">
        <f t="array" ref="AO38">$E$10*(1+$AM38)+VLOOKUP($Q38,武学奇术!$A:$ZZ,4,FALSE)+SUM(_xlfn.XLOOKUP($R38:$AF38,增益!$A:$A,增益!$D:$D,0))-$I$2</f>
        <v>3483.8</v>
      </c>
      <c r="AP38" s="35" cm="1">
        <f t="array" ref="AP38">IF($F$10-$I$3+VLOOKUP($Q38,武学奇术!$A:$ZZ,6,FALSE)+SUM(_xlfn.XLOOKUP(R38:AF38,增益!$A:$A,增益!$F:$F,0))&gt;0,($F$10-$I$3+VLOOKUP($Q38,武学奇术!$A:$ZZ,6,FALSE)+SUM(_xlfn.XLOOKUP(R38:AF38,增益!$A:$A,增益!$F:$F,0)))/200,($F$10-$I$3+VLOOKUP($Q38,武学奇术!$A:$ZZ,6,FALSE)+SUM(_xlfn.XLOOKUP(R38:AF38,增益!$A:$A,增益!$F:$F,0)))/100)</f>
        <v>0.2925</v>
      </c>
      <c r="AQ38" s="35" cm="1">
        <f t="array" ref="AQ38">$G$10+VLOOKUP($Q38,武学奇术!$A:$ZZ,7,FALSE)+SUM(_xlfn.XLOOKUP(R38:AF38,增益!$A:$A,增益!$G:$G,0))</f>
        <v>0.148</v>
      </c>
      <c r="AR38" s="30" cm="1">
        <f t="array" ref="AR38">VLOOKUP($Q38,武学奇术!$A:$ZZ,8,FALSE)+SUM(_xlfn.XLOOKUP(R38:AF38,增益!$A:$A,增益!$H:$H,0))</f>
        <v>0</v>
      </c>
      <c r="AS38">
        <f t="shared" si="1"/>
        <v>0</v>
      </c>
      <c r="AT38">
        <f t="shared" si="2"/>
        <v>0</v>
      </c>
      <c r="AU38" s="35" cm="1">
        <f t="array" ref="AU38">IF($F$11-$I$4+VLOOKUP($Q38,武学奇术!$A:$ZZ,9,FALSE)+SUM(_xlfn.XLOOKUP(R38:AF38,增益!$A:$A,增益!$I:$I,0))&gt;0,($F$11-$I$4+VLOOKUP($Q38,武学奇术!$A:$ZZ,9,FALSE)+SUM(_xlfn.XLOOKUP(R38:AF38,增益!$A:$A,增益!$I:$I,0)))/200,($F$11-$I$4+VLOOKUP($Q38,武学奇术!$A:$ZZ,9,FALSE)+SUM(_xlfn.XLOOKUP(R38:AF38,增益!$A:$A,增益!$I:$I,0)))/100)</f>
        <v>-0.3</v>
      </c>
      <c r="AV38" s="35" cm="1">
        <f t="array" ref="AV38">$G$11+VLOOKUP($Q38,武学奇术!$A:$ZZ,10,FALSE)+SUM(_xlfn.XLOOKUP(R38:AF38,增益!$A:$A,增益!$J:$J,0))</f>
        <v>0</v>
      </c>
      <c r="AW38">
        <f t="shared" si="3"/>
        <v>0</v>
      </c>
      <c r="AX38">
        <f t="shared" si="4"/>
        <v>0</v>
      </c>
      <c r="AY38" s="35" cm="1">
        <f t="array" ref="AY38">IF($F$12-$I$4+VLOOKUP($Q38,武学奇术!$A:$ZZ,11,FALSE)+SUM(_xlfn.XLOOKUP(R38:AF38,增益!$A:$A,增益!$K:$K,0))&gt;0,($F$12-$I$4+VLOOKUP($Q38,武学奇术!$A:$ZZ,11,FALSE)+SUM(_xlfn.XLOOKUP(R38:AF38,增益!$A:$A,增益!$K:$K,0)))/200,($F$12-$I$4+VLOOKUP($Q38,武学奇术!$A:$ZZ,11,FALSE)+SUM(_xlfn.XLOOKUP(R38:AF38,增益!$A:$A,增益!$K:$K,0)))/100)</f>
        <v>-0.3</v>
      </c>
      <c r="AZ38" s="35" cm="1">
        <f t="array" ref="AZ38">$G$12+VLOOKUP($Q38,武学奇术!$A:$ZZ,12,FALSE)+SUM(_xlfn.XLOOKUP(R38:AF38,增益!$A:$A,增益!$L:$L,0))</f>
        <v>0</v>
      </c>
      <c r="BA38">
        <f t="shared" si="5"/>
        <v>0</v>
      </c>
      <c r="BB38">
        <f t="shared" si="6"/>
        <v>0</v>
      </c>
      <c r="BC38" s="35" cm="1">
        <f t="array" ref="BC38">IF($F$13-$I$4+VLOOKUP($Q38,武学奇术!$A:$ZZ,13,FALSE)+SUM(_xlfn.XLOOKUP(R38:AF38,增益!$A:$A,增益!$M:$M,0))&gt;0,($F$13-$I$4+VLOOKUP($Q38,武学奇术!$A:$ZZ,13,FALSE)+SUM(_xlfn.XLOOKUP(R38:AF38,增益!$A:$A,增益!$K:$K,0)))/200,($F$13-$I$4+VLOOKUP($Q38,武学奇术!$A:$ZZ,13,FALSE)+SUM(_xlfn.XLOOKUP(R38:AF38,增益!$A:$A,增益!$M:$M,0)))/100)</f>
        <v>-0.3</v>
      </c>
      <c r="BD38" s="35" cm="1">
        <f t="array" ref="BD38">$G$13+VLOOKUP($Q38,武学奇术!$A:$ZZ,14,FALSE)+SUM(_xlfn.XLOOKUP(R38:AF38,增益!$A:$A,增益!$N:$N,0))</f>
        <v>0</v>
      </c>
      <c r="BE38">
        <f t="shared" si="7"/>
        <v>538</v>
      </c>
      <c r="BF38">
        <f t="shared" si="8"/>
        <v>1561.4</v>
      </c>
      <c r="BG38" s="35" cm="1">
        <f t="array" ref="BG38">IF($F$14-$I$4+VLOOKUP($Q38,武学奇术!$A:$ZZ,15,FALSE)+SUM(_xlfn.XLOOKUP(R38:AF38,增益!$A:$A,增益!$O:$O,0))&gt;0,($F$14-$I$4+VLOOKUP($Q38,武学奇术!$A:$ZZ,15,FALSE)+SUM(_xlfn.XLOOKUP(R38:AF38,增益!$A:$A,增益!$O:$O,0)))/200,($F$14-$I$4+VLOOKUP($Q38,武学奇术!$A:$ZZ,15,FALSE)+SUM(_xlfn.XLOOKUP(R38:AF38,增益!$A:$A,增益!$O:$O,0)))/100)</f>
        <v>0</v>
      </c>
      <c r="BH38" s="35" cm="1">
        <f t="array" ref="BH38">$G$14+VLOOKUP($Q38,武学奇术!$A:$ZZ,16,FALSE)+SUM(_xlfn.XLOOKUP(R38:AF38,增益!$A:$A,增益!$P:$P,0))</f>
        <v>0.27</v>
      </c>
      <c r="BI38" s="30">
        <f>MIN(IF(VLOOKUP($Q38,武学奇术!$A:$ZZ,23,FALSE)=1,100%,$B$8),100%)</f>
        <v>0.9712</v>
      </c>
      <c r="BJ38" s="30" cm="1">
        <f t="array" ref="BJ38">IF(VLOOKUP($Q38,武学奇术!$A:$ZZ,23,FALSE)=1,100%,MIN(80%,$B$9+VLOOKUP($Q38,武学奇术!$A:$ZZ,17,FALSE)+SUM(_xlfn.XLOOKUP(R38:AF38,增益!$A:$A,增益!$Q:$Q,0)))+$B$11+SUM(_xlfn.XLOOKUP(R38:AF38,增益!$A:$A,增益!$U:$U,0)))*IF(VLOOKUP($Q38,武学奇术!$A:$ZZ,24,FALSE)=1,0,1)</f>
        <v>0.8773</v>
      </c>
      <c r="BK38" s="30" cm="1">
        <f t="array" ref="BK38">1+$B$13+VLOOKUP($Q38,武学奇术!$A:$ZZ,18,FALSE)+SUM(_xlfn.XLOOKUP(R38:AF38,增益!$A:$A,增益!$R:$R,0))</f>
        <v>1.83</v>
      </c>
      <c r="BL38" s="30" cm="1">
        <f t="array" ref="BL38">IF(VLOOKUP($Q38,武学奇术!$A:$ZZ,24,FALSE)=1,100%,MIN(40%,$B$10+VLOOKUP($Q38,武学奇术!$A:$ZZ,19,FALSE)+SUM(_xlfn.XLOOKUP(R38:AF38,增益!$A:$A,增益!$S:$S,0)))+$B$12+SUM(_xlfn.XLOOKUP(R38:AF38,增益!$A:$A,增益!$V:$V,0)))*IF(VLOOKUP($Q38,武学奇术!$A:$ZZ,23,FALSE)=1,0,1)</f>
        <v>0.0895</v>
      </c>
      <c r="BM38" s="30" cm="1">
        <f t="array" ref="BM38">1+$B$14+VLOOKUP($Q38,武学奇术!$A:$ZZ,20,FALSE)+SUM(_xlfn.XLOOKUP(R38:AF38,增益!$A:$A,增益!$T:$T,0))</f>
        <v>1.35</v>
      </c>
      <c r="BN38" s="30">
        <f t="shared" si="9"/>
        <v>0.85203376</v>
      </c>
      <c r="BO38" s="30">
        <f t="shared" si="10"/>
        <v>0.03224384</v>
      </c>
      <c r="BP38" s="30">
        <f>IF(VLOOKUP($Q38,武学奇术!$A:$ZZ,22,FALSE)=1,0,(1-$BI38))*(1-$BL38)</f>
        <v>0.0262224</v>
      </c>
      <c r="BQ38" s="30" cm="1">
        <f t="array" ref="BQ38">SUM(_xlfn.XLOOKUP(R38:AF38,增益!$A:$A,增益!$W:$W,0))+$I$5</f>
        <v>0.11</v>
      </c>
    </row>
    <row r="39" spans="1:69">
      <c r="A39" s="4"/>
      <c r="B39" s="4"/>
      <c r="E39" s="4"/>
      <c r="F39" s="4"/>
      <c r="K39" s="41">
        <f t="shared" si="11"/>
        <v>35247.7327600772</v>
      </c>
      <c r="L39" s="41">
        <f>((($AN39+$AO39)/2*$AH39+$AI39)*(1+$AP39)*(1+$AQ39)+(($AS39+$AT39)/2*IF($G$1="鸣金",$AJ39,$AH39)+IF($G$1="鸣金",$AK39*1.5,0))*(1+$AU39)*(1+$AV39)+(($AW39+$AX39)/2*IF($G$1="裂石",$AJ39,$AH39)+IF($G$1="裂石",$AK39*1.5,0))*(1+$AY39)*(1+$AZ39)+(($BA39+$BB39)/2*IF($G$1="牵丝",$AJ39,$AH39)+IF($G$1="牵丝",$AK39*1.5,0))*(1+$BC39)*(1+$BD39)+(($BE39+$BF39)/2*IF($G$1="破竹",$AJ39,$AH39)+IF($G$1="破竹",$AK39*1.5,0))*(1+$BG39)*(1+$BH39))*(1+$AL39)*$BK39*$P39*(1+IF(VLOOKUP($Q39,武学奇术!$A:$ZZ,30,FALSE)="回旋伞",$B$21,0))*(1+$BQ39)</f>
        <v>36830.0868652158</v>
      </c>
      <c r="M39" s="41">
        <f>(($AO39*$AH39+$AI39)*(1+$AP39)*(1+$AQ39)+($AT39*IF($G$1="鸣金",$AJ39,$AH39)+IF($G$1="鸣金",$AK39*1.5,0))*(1+$AU39)*(1+$AV39)+($AX39*IF($G$1="裂石",$AJ39,$AH39)+IF($G$1="裂石",$AK39*1.5,0))*(1+$AY39)*(1+$AZ39)+($BB39*IF($G$1="牵丝",$AJ39,$AH39)+IF($G$1="牵丝",$AK39*1.5,0))*(1+$BC39)*(1+$BD39)+($BF39*IF($G$1="破竹",$AJ39,$AH39)+IF($G$1="破竹",$AK39*1.5,0))*(1+$BG39)*(1+$BH39))*(1+$AL39)*$BM39*$P39*(1+IF(VLOOKUP($Q39,武学奇术!$A:$ZZ,30,FALSE)="回旋伞",$B$21,0))*(1+$BQ39)</f>
        <v>30864.12780132</v>
      </c>
      <c r="N39" s="41">
        <f>((($AN39+$AO39)/2*$AH39+$AI39)*(1+$AP39)*(1+$AQ39)+(($AS39+$AT39)/2*IF($G$1="鸣金",$AJ39,$AH39)+IF($G$1="鸣金",$AK39*1.5,0))*(1+$AU39)*(1+$AV39)+(($AW39+$AX39)/2*IF($G$1="裂石",$AJ39,$AH39)+IF($G$1="裂石",$AK39*1.5,0))*(1+$AY39)*(1+$AZ39)+(($BA39+$BB39)/2*IF($G$1="牵丝",$AJ39,$AH39)+IF($G$1="牵丝",$AK39*1.5,0))*(1+$BC39)*(1+$BD39)+(($BE39+$BF39)/2*IF($G$1="破竹",$AJ39,$AH39)+IF($G$1="破竹",$AK39*1.5,0))*(1+$BG39)*(1+$BH39))*(1+$AL39)*$P39*(1+IF(VLOOKUP($Q39,武学奇术!$A:$ZZ,30,FALSE)="回旋伞",$B$21,0))*(1+$BQ39)</f>
        <v>20125.7305274403</v>
      </c>
      <c r="O39" s="41">
        <f>((($AN39*$AH39+$AI39)*(1+$AP39)*(1+$AQ39)+($AS39*IF($G$1="鸣金",$AJ39,$AH39)+IF($G$1="鸣金",$AK39*1.5,0))*(1+$AU39)*(1+$AV39)+($AW39*IF($G$1="裂石",$AJ39,$AH39)+IF($G$1="裂石",$AK39*1.5,0))*(1+$AY39)*(1+$AZ39)+($BA39*IF($G$1="牵丝",$AJ39,$AH39)+IF($G$1="牵丝",$AK39*1.5,0))*(1+$BC39)*(1+$BD39)+($BE39*IF($G$1="破竹",$AJ39,$AH39)+IF($G$1="破竹",$AK39*1.5,0))*(1+$BG39)*(1+$BH39))*(1+$AL39))*$P39*(1+IF(VLOOKUP($Q39,武学奇术!$A:$ZZ,30,FALSE)="回旋伞",$B$21,0))*(1+$BQ39)</f>
        <v>17389.1441650141</v>
      </c>
      <c r="P39" s="42">
        <v>2</v>
      </c>
      <c r="Q39" s="43" t="s">
        <v>120</v>
      </c>
      <c r="R39" s="43" t="s">
        <v>105</v>
      </c>
      <c r="S39" s="43" t="s">
        <v>91</v>
      </c>
      <c r="T39" s="43" t="s">
        <v>72</v>
      </c>
      <c r="U39" s="43" t="s">
        <v>71</v>
      </c>
      <c r="V39" s="43" t="s">
        <v>153</v>
      </c>
      <c r="W39" s="43" t="s">
        <v>95</v>
      </c>
      <c r="X39" s="43" t="s">
        <v>71</v>
      </c>
      <c r="Y39" s="43" t="s">
        <v>71</v>
      </c>
      <c r="Z39" s="43" t="s">
        <v>71</v>
      </c>
      <c r="AA39" s="43" t="s">
        <v>112</v>
      </c>
      <c r="AB39" s="43" t="s">
        <v>71</v>
      </c>
      <c r="AC39" s="43" t="s">
        <v>71</v>
      </c>
      <c r="AD39" s="43" t="s">
        <v>71</v>
      </c>
      <c r="AE39" s="43" t="s">
        <v>71</v>
      </c>
      <c r="AF39" s="43" t="s">
        <v>76</v>
      </c>
      <c r="AG39" t="str">
        <f>VLOOKUP($Q39,武学奇术!$A:$ZZ,25,FALSE)</f>
        <v>伞</v>
      </c>
      <c r="AH39" s="30">
        <f>VLOOKUP($Q39,武学奇术!$A:$ZZ,26,FALSE)</f>
        <v>0.54</v>
      </c>
      <c r="AI39" s="31">
        <f>VLOOKUP($Q39,武学奇术!$A:$ZZ,27,FALSE)*(1+IF(OR($AG39=$F$4,$AG39=$F$5),$B$22,0))</f>
        <v>0</v>
      </c>
      <c r="AJ39" s="30">
        <f>VLOOKUP($Q39,武学奇术!$A:$ZZ,28,FALSE)</f>
        <v>0.81</v>
      </c>
      <c r="AK39" s="31">
        <f>VLOOKUP($Q39,武学奇术!$A:$ZZ,29,FALSE)*(1+IF(OR($AG39=$F$4,$AG39=$F$5),$B$22,0))</f>
        <v>0</v>
      </c>
      <c r="AL39" s="30" cm="1">
        <f t="array" ref="AL39">$G$3+IFERROR(VLOOKUP($AG39,$F$4:$G$7,2,FALSE),0)+VLOOKUP($Q39,武学奇术!$A:$ZZ,2,FALSE)+SUM(_xlfn.XLOOKUP($R39:$AF39,增益!$A:$A,增益!$B:$B,0))</f>
        <v>0.7741</v>
      </c>
      <c r="AM39" s="30" cm="1">
        <f t="array" ref="AM39">VLOOKUP($Q39,武学奇术!$A:$ZZ,5,FALSE)+SUM(_xlfn.XLOOKUP($R39:$AF39,增益!$A:$A,增益!$E:$E,0))</f>
        <v>0</v>
      </c>
      <c r="AN39" cm="1">
        <f t="array" ref="AN39">$D$10*(1+$AM39)+VLOOKUP($Q39,武学奇术!$A:$ZZ,3,FALSE)+SUM(_xlfn.XLOOKUP($R39:$AF39,增益!$A:$A,增益!$C:$C,0))-$I$2</f>
        <v>3483.8</v>
      </c>
      <c r="AO39" cm="1">
        <f t="array" ref="AO39">$E$10*(1+$AM39)+VLOOKUP($Q39,武学奇术!$A:$ZZ,4,FALSE)+SUM(_xlfn.XLOOKUP($R39:$AF39,增益!$A:$A,增益!$D:$D,0))-$I$2</f>
        <v>3483.8</v>
      </c>
      <c r="AP39" s="35" cm="1">
        <f t="array" ref="AP39">IF($F$10-$I$3+VLOOKUP($Q39,武学奇术!$A:$ZZ,6,FALSE)+SUM(_xlfn.XLOOKUP(R39:AF39,增益!$A:$A,增益!$F:$F,0))&gt;0,($F$10-$I$3+VLOOKUP($Q39,武学奇术!$A:$ZZ,6,FALSE)+SUM(_xlfn.XLOOKUP(R39:AF39,增益!$A:$A,增益!$F:$F,0)))/200,($F$10-$I$3+VLOOKUP($Q39,武学奇术!$A:$ZZ,6,FALSE)+SUM(_xlfn.XLOOKUP(R39:AF39,增益!$A:$A,增益!$F:$F,0)))/100)</f>
        <v>0.2925</v>
      </c>
      <c r="AQ39" s="35" cm="1">
        <f t="array" ref="AQ39">$G$10+VLOOKUP($Q39,武学奇术!$A:$ZZ,7,FALSE)+SUM(_xlfn.XLOOKUP(R39:AF39,增益!$A:$A,增益!$G:$G,0))</f>
        <v>0.148</v>
      </c>
      <c r="AR39" s="30" cm="1">
        <f t="array" ref="AR39">VLOOKUP($Q39,武学奇术!$A:$ZZ,8,FALSE)+SUM(_xlfn.XLOOKUP(R39:AF39,增益!$A:$A,增益!$H:$H,0))</f>
        <v>0</v>
      </c>
      <c r="AS39">
        <f t="shared" si="1"/>
        <v>0</v>
      </c>
      <c r="AT39">
        <f t="shared" si="2"/>
        <v>0</v>
      </c>
      <c r="AU39" s="35" cm="1">
        <f t="array" ref="AU39">IF($F$11-$I$4+VLOOKUP($Q39,武学奇术!$A:$ZZ,9,FALSE)+SUM(_xlfn.XLOOKUP(R39:AF39,增益!$A:$A,增益!$I:$I,0))&gt;0,($F$11-$I$4+VLOOKUP($Q39,武学奇术!$A:$ZZ,9,FALSE)+SUM(_xlfn.XLOOKUP(R39:AF39,增益!$A:$A,增益!$I:$I,0)))/200,($F$11-$I$4+VLOOKUP($Q39,武学奇术!$A:$ZZ,9,FALSE)+SUM(_xlfn.XLOOKUP(R39:AF39,增益!$A:$A,增益!$I:$I,0)))/100)</f>
        <v>-0.3</v>
      </c>
      <c r="AV39" s="35" cm="1">
        <f t="array" ref="AV39">$G$11+VLOOKUP($Q39,武学奇术!$A:$ZZ,10,FALSE)+SUM(_xlfn.XLOOKUP(R39:AF39,增益!$A:$A,增益!$J:$J,0))</f>
        <v>0</v>
      </c>
      <c r="AW39">
        <f t="shared" si="3"/>
        <v>0</v>
      </c>
      <c r="AX39">
        <f t="shared" si="4"/>
        <v>0</v>
      </c>
      <c r="AY39" s="35" cm="1">
        <f t="array" ref="AY39">IF($F$12-$I$4+VLOOKUP($Q39,武学奇术!$A:$ZZ,11,FALSE)+SUM(_xlfn.XLOOKUP(R39:AF39,增益!$A:$A,增益!$K:$K,0))&gt;0,($F$12-$I$4+VLOOKUP($Q39,武学奇术!$A:$ZZ,11,FALSE)+SUM(_xlfn.XLOOKUP(R39:AF39,增益!$A:$A,增益!$K:$K,0)))/200,($F$12-$I$4+VLOOKUP($Q39,武学奇术!$A:$ZZ,11,FALSE)+SUM(_xlfn.XLOOKUP(R39:AF39,增益!$A:$A,增益!$K:$K,0)))/100)</f>
        <v>-0.3</v>
      </c>
      <c r="AZ39" s="35" cm="1">
        <f t="array" ref="AZ39">$G$12+VLOOKUP($Q39,武学奇术!$A:$ZZ,12,FALSE)+SUM(_xlfn.XLOOKUP(R39:AF39,增益!$A:$A,增益!$L:$L,0))</f>
        <v>0</v>
      </c>
      <c r="BA39">
        <f t="shared" si="5"/>
        <v>0</v>
      </c>
      <c r="BB39">
        <f t="shared" si="6"/>
        <v>0</v>
      </c>
      <c r="BC39" s="35" cm="1">
        <f t="array" ref="BC39">IF($F$13-$I$4+VLOOKUP($Q39,武学奇术!$A:$ZZ,13,FALSE)+SUM(_xlfn.XLOOKUP(R39:AF39,增益!$A:$A,增益!$M:$M,0))&gt;0,($F$13-$I$4+VLOOKUP($Q39,武学奇术!$A:$ZZ,13,FALSE)+SUM(_xlfn.XLOOKUP(R39:AF39,增益!$A:$A,增益!$K:$K,0)))/200,($F$13-$I$4+VLOOKUP($Q39,武学奇术!$A:$ZZ,13,FALSE)+SUM(_xlfn.XLOOKUP(R39:AF39,增益!$A:$A,增益!$M:$M,0)))/100)</f>
        <v>-0.3</v>
      </c>
      <c r="BD39" s="35" cm="1">
        <f t="array" ref="BD39">$G$13+VLOOKUP($Q39,武学奇术!$A:$ZZ,14,FALSE)+SUM(_xlfn.XLOOKUP(R39:AF39,增益!$A:$A,增益!$N:$N,0))</f>
        <v>0</v>
      </c>
      <c r="BE39">
        <f t="shared" si="7"/>
        <v>538</v>
      </c>
      <c r="BF39">
        <f t="shared" si="8"/>
        <v>1561.4</v>
      </c>
      <c r="BG39" s="35" cm="1">
        <f t="array" ref="BG39">IF($F$14-$I$4+VLOOKUP($Q39,武学奇术!$A:$ZZ,15,FALSE)+SUM(_xlfn.XLOOKUP(R39:AF39,增益!$A:$A,增益!$O:$O,0))&gt;0,($F$14-$I$4+VLOOKUP($Q39,武学奇术!$A:$ZZ,15,FALSE)+SUM(_xlfn.XLOOKUP(R39:AF39,增益!$A:$A,增益!$O:$O,0)))/200,($F$14-$I$4+VLOOKUP($Q39,武学奇术!$A:$ZZ,15,FALSE)+SUM(_xlfn.XLOOKUP(R39:AF39,增益!$A:$A,增益!$O:$O,0)))/100)</f>
        <v>0</v>
      </c>
      <c r="BH39" s="35" cm="1">
        <f t="array" ref="BH39">$G$14+VLOOKUP($Q39,武学奇术!$A:$ZZ,16,FALSE)+SUM(_xlfn.XLOOKUP(R39:AF39,增益!$A:$A,增益!$P:$P,0))</f>
        <v>0.27</v>
      </c>
      <c r="BI39" s="30">
        <f>MIN(IF(VLOOKUP($Q39,武学奇术!$A:$ZZ,23,FALSE)=1,100%,$B$8),100%)</f>
        <v>0.9712</v>
      </c>
      <c r="BJ39" s="30" cm="1">
        <f t="array" ref="BJ39">IF(VLOOKUP($Q39,武学奇术!$A:$ZZ,23,FALSE)=1,100%,MIN(80%,$B$9+VLOOKUP($Q39,武学奇术!$A:$ZZ,17,FALSE)+SUM(_xlfn.XLOOKUP(R39:AF39,增益!$A:$A,增益!$Q:$Q,0)))+$B$11+SUM(_xlfn.XLOOKUP(R39:AF39,增益!$A:$A,增益!$U:$U,0)))*IF(VLOOKUP($Q39,武学奇术!$A:$ZZ,24,FALSE)=1,0,1)</f>
        <v>0.8773</v>
      </c>
      <c r="BK39" s="30" cm="1">
        <f t="array" ref="BK39">1+$B$13+VLOOKUP($Q39,武学奇术!$A:$ZZ,18,FALSE)+SUM(_xlfn.XLOOKUP(R39:AF39,增益!$A:$A,增益!$R:$R,0))</f>
        <v>1.83</v>
      </c>
      <c r="BL39" s="30" cm="1">
        <f t="array" ref="BL39">IF(VLOOKUP($Q39,武学奇术!$A:$ZZ,24,FALSE)=1,100%,MIN(40%,$B$10+VLOOKUP($Q39,武学奇术!$A:$ZZ,19,FALSE)+SUM(_xlfn.XLOOKUP(R39:AF39,增益!$A:$A,增益!$S:$S,0)))+$B$12+SUM(_xlfn.XLOOKUP(R39:AF39,增益!$A:$A,增益!$V:$V,0)))*IF(VLOOKUP($Q39,武学奇术!$A:$ZZ,23,FALSE)=1,0,1)</f>
        <v>0.0895</v>
      </c>
      <c r="BM39" s="30" cm="1">
        <f t="array" ref="BM39">1+$B$14+VLOOKUP($Q39,武学奇术!$A:$ZZ,20,FALSE)+SUM(_xlfn.XLOOKUP(R39:AF39,增益!$A:$A,增益!$T:$T,0))</f>
        <v>1.35</v>
      </c>
      <c r="BN39" s="30">
        <f t="shared" si="9"/>
        <v>0.85203376</v>
      </c>
      <c r="BO39" s="30">
        <f t="shared" si="10"/>
        <v>0.03224384</v>
      </c>
      <c r="BP39" s="30">
        <f>IF(VLOOKUP($Q39,武学奇术!$A:$ZZ,22,FALSE)=1,0,(1-$BI39))*(1-$BL39)</f>
        <v>0.0262224</v>
      </c>
      <c r="BQ39" s="30" cm="1">
        <f t="array" ref="BQ39">SUM(_xlfn.XLOOKUP(R39:AF39,增益!$A:$A,增益!$W:$W,0))+$I$5</f>
        <v>0.11</v>
      </c>
    </row>
    <row r="40" spans="1:69">
      <c r="A40" s="4"/>
      <c r="B40" s="90"/>
      <c r="C40" s="4"/>
      <c r="K40" s="41">
        <f t="shared" si="11"/>
        <v>41206.0067228255</v>
      </c>
      <c r="L40" s="41">
        <f>((($AN40+$AO40)/2*$AH40+$AI40)*(1+$AP40)*(1+$AQ40)+(($AS40+$AT40)/2*IF($G$1="鸣金",$AJ40,$AH40)+IF($G$1="鸣金",$AK40*1.5,0))*(1+$AU40)*(1+$AV40)+(($AW40+$AX40)/2*IF($G$1="裂石",$AJ40,$AH40)+IF($G$1="裂石",$AK40*1.5,0))*(1+$AY40)*(1+$AZ40)+(($BA40+$BB40)/2*IF($G$1="牵丝",$AJ40,$AH40)+IF($G$1="牵丝",$AK40*1.5,0))*(1+$BC40)*(1+$BD40)+(($BE40+$BF40)/2*IF($G$1="破竹",$AJ40,$AH40)+IF($G$1="破竹",$AK40*1.5,0))*(1+$BG40)*(1+$BH40))*(1+$AL40)*$BK40*$P40*(1+IF(VLOOKUP($Q40,武学奇术!$A:$ZZ,30,FALSE)="回旋伞",$B$21,0))*(1+$BQ40)</f>
        <v>41206.0067228255</v>
      </c>
      <c r="M40" s="41">
        <f>(($AO40*$AH40+$AI40)*(1+$AP40)*(1+$AQ40)+($AT40*IF($G$1="鸣金",$AJ40,$AH40)+IF($G$1="鸣金",$AK40*1.5,0))*(1+$AU40)*(1+$AV40)+($AX40*IF($G$1="裂石",$AJ40,$AH40)+IF($G$1="裂石",$AK40*1.5,0))*(1+$AY40)*(1+$AZ40)+($BB40*IF($G$1="牵丝",$AJ40,$AH40)+IF($G$1="牵丝",$AK40*1.5,0))*(1+$BC40)*(1+$BD40)+($BF40*IF($G$1="破竹",$AJ40,$AH40)+IF($G$1="破竹",$AK40*1.5,0))*(1+$BG40)*(1+$BH40))*(1+$AL40)*$BM40*$P40*(1+IF(VLOOKUP($Q40,武学奇术!$A:$ZZ,30,FALSE)="回旋伞",$B$21,0))*(1+$BQ40)</f>
        <v>34343.5402133959</v>
      </c>
      <c r="N40" s="41">
        <f>((($AN40+$AO40)/2*$AH40+$AI40)*(1+$AP40)*(1+$AQ40)+(($AS40+$AT40)/2*IF($G$1="鸣金",$AJ40,$AH40)+IF($G$1="鸣金",$AK40*1.5,0))*(1+$AU40)*(1+$AV40)+(($AW40+$AX40)/2*IF($G$1="裂石",$AJ40,$AH40)+IF($G$1="裂石",$AK40*1.5,0))*(1+$AY40)*(1+$AZ40)+(($BA40+$BB40)/2*IF($G$1="牵丝",$AJ40,$AH40)+IF($G$1="牵丝",$AK40*1.5,0))*(1+$BC40)*(1+$BD40)+(($BE40+$BF40)/2*IF($G$1="破竹",$AJ40,$AH40)+IF($G$1="破竹",$AK40*1.5,0))*(1+$BG40)*(1+$BH40))*(1+$AL40)*$P40*(1+IF(VLOOKUP($Q40,武学奇术!$A:$ZZ,30,FALSE)="回旋伞",$B$21,0))*(1+$BQ40)</f>
        <v>22394.5688711008</v>
      </c>
      <c r="O40" s="41">
        <f>((($AN40*$AH40+$AI40)*(1+$AP40)*(1+$AQ40)+($AS40*IF($G$1="鸣金",$AJ40,$AH40)+IF($G$1="鸣金",$AK40*1.5,0))*(1+$AU40)*(1+$AV40)+($AW40*IF($G$1="裂石",$AJ40,$AH40)+IF($G$1="裂石",$AK40*1.5,0))*(1+$AY40)*(1+$AZ40)+($BA40*IF($G$1="牵丝",$AJ40,$AH40)+IF($G$1="牵丝",$AK40*1.5,0))*(1+$BC40)*(1+$BD40)+($BE40*IF($G$1="破竹",$AJ40,$AH40)+IF($G$1="破竹",$AK40*1.5,0))*(1+$BG40)*(1+$BH40))*(1+$AL40))*$P40*(1+IF(VLOOKUP($Q40,武学奇术!$A:$ZZ,30,FALSE)="回旋伞",$B$21,0))*(1+$BQ40)</f>
        <v>19349.4783248713</v>
      </c>
      <c r="P40" s="42">
        <v>2</v>
      </c>
      <c r="Q40" s="43" t="s">
        <v>130</v>
      </c>
      <c r="R40" s="43" t="s">
        <v>105</v>
      </c>
      <c r="S40" s="43" t="s">
        <v>91</v>
      </c>
      <c r="T40" s="43" t="s">
        <v>72</v>
      </c>
      <c r="U40" s="43" t="s">
        <v>71</v>
      </c>
      <c r="V40" s="43" t="s">
        <v>156</v>
      </c>
      <c r="W40" s="43" t="s">
        <v>95</v>
      </c>
      <c r="X40" s="43" t="s">
        <v>71</v>
      </c>
      <c r="Y40" s="43" t="s">
        <v>71</v>
      </c>
      <c r="Z40" s="43" t="s">
        <v>71</v>
      </c>
      <c r="AA40" s="43" t="s">
        <v>116</v>
      </c>
      <c r="AB40" s="43" t="s">
        <v>71</v>
      </c>
      <c r="AC40" s="43" t="s">
        <v>71</v>
      </c>
      <c r="AD40" s="43" t="s">
        <v>71</v>
      </c>
      <c r="AE40" s="43" t="s">
        <v>71</v>
      </c>
      <c r="AF40" s="43" t="s">
        <v>76</v>
      </c>
      <c r="AG40" t="str">
        <f>VLOOKUP($Q40,武学奇术!$A:$ZZ,25,FALSE)</f>
        <v>伞</v>
      </c>
      <c r="AH40" s="30">
        <f>VLOOKUP($Q40,武学奇术!$A:$ZZ,26,FALSE)</f>
        <v>0.54</v>
      </c>
      <c r="AI40" s="31">
        <f>VLOOKUP($Q40,武学奇术!$A:$ZZ,27,FALSE)*(1+IF(OR($AG40=$F$4,$AG40=$F$5),$B$22,0))</f>
        <v>0</v>
      </c>
      <c r="AJ40" s="30">
        <f>VLOOKUP($Q40,武学奇术!$A:$ZZ,28,FALSE)</f>
        <v>0.81</v>
      </c>
      <c r="AK40" s="31">
        <f>VLOOKUP($Q40,武学奇术!$A:$ZZ,29,FALSE)*(1+IF(OR($AG40=$F$4,$AG40=$F$5),$B$22,0))</f>
        <v>0</v>
      </c>
      <c r="AL40" s="30" cm="1">
        <f t="array" ref="AL40">$G$3+IFERROR(VLOOKUP($AG40,$F$4:$G$7,2,FALSE),0)+VLOOKUP($Q40,武学奇术!$A:$ZZ,2,FALSE)+SUM(_xlfn.XLOOKUP($R40:$AF40,增益!$A:$A,增益!$B:$B,0))</f>
        <v>0.9741</v>
      </c>
      <c r="AM40" s="30" cm="1">
        <f t="array" ref="AM40">VLOOKUP($Q40,武学奇术!$A:$ZZ,5,FALSE)+SUM(_xlfn.XLOOKUP($R40:$AF40,增益!$A:$A,增益!$E:$E,0))</f>
        <v>0</v>
      </c>
      <c r="AN40" cm="1">
        <f t="array" ref="AN40">$D$10*(1+$AM40)+VLOOKUP($Q40,武学奇术!$A:$ZZ,3,FALSE)+SUM(_xlfn.XLOOKUP($R40:$AF40,增益!$A:$A,增益!$C:$C,0))-$I$2</f>
        <v>3483.8</v>
      </c>
      <c r="AO40" cm="1">
        <f t="array" ref="AO40">$E$10*(1+$AM40)+VLOOKUP($Q40,武学奇术!$A:$ZZ,4,FALSE)+SUM(_xlfn.XLOOKUP($R40:$AF40,增益!$A:$A,增益!$D:$D,0))-$I$2</f>
        <v>3483.8</v>
      </c>
      <c r="AP40" s="35" cm="1">
        <f t="array" ref="AP40">IF($F$10-$I$3+VLOOKUP($Q40,武学奇术!$A:$ZZ,6,FALSE)+SUM(_xlfn.XLOOKUP(R40:AF40,增益!$A:$A,增益!$F:$F,0))&gt;0,($F$10-$I$3+VLOOKUP($Q40,武学奇术!$A:$ZZ,6,FALSE)+SUM(_xlfn.XLOOKUP(R40:AF40,增益!$A:$A,增益!$F:$F,0)))/200,($F$10-$I$3+VLOOKUP($Q40,武学奇术!$A:$ZZ,6,FALSE)+SUM(_xlfn.XLOOKUP(R40:AF40,增益!$A:$A,增益!$F:$F,0)))/100)</f>
        <v>0.2925</v>
      </c>
      <c r="AQ40" s="35" cm="1">
        <f t="array" ref="AQ40">$G$10+VLOOKUP($Q40,武学奇术!$A:$ZZ,7,FALSE)+SUM(_xlfn.XLOOKUP(R40:AF40,增益!$A:$A,增益!$G:$G,0))</f>
        <v>0.148</v>
      </c>
      <c r="AR40" s="30" cm="1">
        <f t="array" ref="AR40">VLOOKUP($Q40,武学奇术!$A:$ZZ,8,FALSE)+SUM(_xlfn.XLOOKUP(R40:AF40,增益!$A:$A,增益!$H:$H,0))</f>
        <v>0</v>
      </c>
      <c r="AS40">
        <f t="shared" si="1"/>
        <v>0</v>
      </c>
      <c r="AT40">
        <f t="shared" si="2"/>
        <v>0</v>
      </c>
      <c r="AU40" s="35" cm="1">
        <f t="array" ref="AU40">IF($F$11-$I$4+VLOOKUP($Q40,武学奇术!$A:$ZZ,9,FALSE)+SUM(_xlfn.XLOOKUP(R40:AF40,增益!$A:$A,增益!$I:$I,0))&gt;0,($F$11-$I$4+VLOOKUP($Q40,武学奇术!$A:$ZZ,9,FALSE)+SUM(_xlfn.XLOOKUP(R40:AF40,增益!$A:$A,增益!$I:$I,0)))/200,($F$11-$I$4+VLOOKUP($Q40,武学奇术!$A:$ZZ,9,FALSE)+SUM(_xlfn.XLOOKUP(R40:AF40,增益!$A:$A,增益!$I:$I,0)))/100)</f>
        <v>-0.3</v>
      </c>
      <c r="AV40" s="35" cm="1">
        <f t="array" ref="AV40">$G$11+VLOOKUP($Q40,武学奇术!$A:$ZZ,10,FALSE)+SUM(_xlfn.XLOOKUP(R40:AF40,增益!$A:$A,增益!$J:$J,0))</f>
        <v>0</v>
      </c>
      <c r="AW40">
        <f t="shared" si="3"/>
        <v>0</v>
      </c>
      <c r="AX40">
        <f t="shared" si="4"/>
        <v>0</v>
      </c>
      <c r="AY40" s="35" cm="1">
        <f t="array" ref="AY40">IF($F$12-$I$4+VLOOKUP($Q40,武学奇术!$A:$ZZ,11,FALSE)+SUM(_xlfn.XLOOKUP(R40:AF40,增益!$A:$A,增益!$K:$K,0))&gt;0,($F$12-$I$4+VLOOKUP($Q40,武学奇术!$A:$ZZ,11,FALSE)+SUM(_xlfn.XLOOKUP(R40:AF40,增益!$A:$A,增益!$K:$K,0)))/200,($F$12-$I$4+VLOOKUP($Q40,武学奇术!$A:$ZZ,11,FALSE)+SUM(_xlfn.XLOOKUP(R40:AF40,增益!$A:$A,增益!$K:$K,0)))/100)</f>
        <v>-0.3</v>
      </c>
      <c r="AZ40" s="35" cm="1">
        <f t="array" ref="AZ40">$G$12+VLOOKUP($Q40,武学奇术!$A:$ZZ,12,FALSE)+SUM(_xlfn.XLOOKUP(R40:AF40,增益!$A:$A,增益!$L:$L,0))</f>
        <v>0</v>
      </c>
      <c r="BA40">
        <f t="shared" si="5"/>
        <v>0</v>
      </c>
      <c r="BB40">
        <f t="shared" si="6"/>
        <v>0</v>
      </c>
      <c r="BC40" s="35" cm="1">
        <f t="array" ref="BC40">IF($F$13-$I$4+VLOOKUP($Q40,武学奇术!$A:$ZZ,13,FALSE)+SUM(_xlfn.XLOOKUP(R40:AF40,增益!$A:$A,增益!$M:$M,0))&gt;0,($F$13-$I$4+VLOOKUP($Q40,武学奇术!$A:$ZZ,13,FALSE)+SUM(_xlfn.XLOOKUP(R40:AF40,增益!$A:$A,增益!$K:$K,0)))/200,($F$13-$I$4+VLOOKUP($Q40,武学奇术!$A:$ZZ,13,FALSE)+SUM(_xlfn.XLOOKUP(R40:AF40,增益!$A:$A,增益!$M:$M,0)))/100)</f>
        <v>-0.3</v>
      </c>
      <c r="BD40" s="35" cm="1">
        <f t="array" ref="BD40">$G$13+VLOOKUP($Q40,武学奇术!$A:$ZZ,14,FALSE)+SUM(_xlfn.XLOOKUP(R40:AF40,增益!$A:$A,增益!$N:$N,0))</f>
        <v>0</v>
      </c>
      <c r="BE40">
        <f t="shared" si="7"/>
        <v>538</v>
      </c>
      <c r="BF40">
        <f t="shared" si="8"/>
        <v>1561.4</v>
      </c>
      <c r="BG40" s="35" cm="1">
        <f t="array" ref="BG40">IF($F$14-$I$4+VLOOKUP($Q40,武学奇术!$A:$ZZ,15,FALSE)+SUM(_xlfn.XLOOKUP(R40:AF40,增益!$A:$A,增益!$O:$O,0))&gt;0,($F$14-$I$4+VLOOKUP($Q40,武学奇术!$A:$ZZ,15,FALSE)+SUM(_xlfn.XLOOKUP(R40:AF40,增益!$A:$A,增益!$O:$O,0)))/200,($F$14-$I$4+VLOOKUP($Q40,武学奇术!$A:$ZZ,15,FALSE)+SUM(_xlfn.XLOOKUP(R40:AF40,增益!$A:$A,增益!$O:$O,0)))/100)</f>
        <v>0</v>
      </c>
      <c r="BH40" s="35" cm="1">
        <f t="array" ref="BH40">$G$14+VLOOKUP($Q40,武学奇术!$A:$ZZ,16,FALSE)+SUM(_xlfn.XLOOKUP(R40:AF40,增益!$A:$A,增益!$P:$P,0))</f>
        <v>0.27</v>
      </c>
      <c r="BI40" s="30">
        <f>MIN(IF(VLOOKUP($Q40,武学奇术!$A:$ZZ,23,FALSE)=1,100%,$B$8),100%)</f>
        <v>1</v>
      </c>
      <c r="BJ40" s="30" cm="1">
        <f t="array" ref="BJ40">IF(VLOOKUP($Q40,武学奇术!$A:$ZZ,23,FALSE)=1,100%,MIN(80%,$B$9+VLOOKUP($Q40,武学奇术!$A:$ZZ,17,FALSE)+SUM(_xlfn.XLOOKUP(R40:AF40,增益!$A:$A,增益!$Q:$Q,0)))+$B$11+SUM(_xlfn.XLOOKUP(R40:AF40,增益!$A:$A,增益!$U:$U,0)))*IF(VLOOKUP($Q40,武学奇术!$A:$ZZ,24,FALSE)=1,0,1)</f>
        <v>1</v>
      </c>
      <c r="BK40" s="30" cm="1">
        <f t="array" ref="BK40">1+$B$13+VLOOKUP($Q40,武学奇术!$A:$ZZ,18,FALSE)+SUM(_xlfn.XLOOKUP(R40:AF40,增益!$A:$A,增益!$R:$R,0))</f>
        <v>1.84</v>
      </c>
      <c r="BL40" s="30" cm="1">
        <f t="array" ref="BL40">IF(VLOOKUP($Q40,武学奇术!$A:$ZZ,24,FALSE)=1,100%,MIN(40%,$B$10+VLOOKUP($Q40,武学奇术!$A:$ZZ,19,FALSE)+SUM(_xlfn.XLOOKUP(R40:AF40,增益!$A:$A,增益!$S:$S,0)))+$B$12+SUM(_xlfn.XLOOKUP(R40:AF40,增益!$A:$A,增益!$V:$V,0)))*IF(VLOOKUP($Q40,武学奇术!$A:$ZZ,23,FALSE)=1,0,1)</f>
        <v>0</v>
      </c>
      <c r="BM40" s="30" cm="1">
        <f t="array" ref="BM40">1+$B$14+VLOOKUP($Q40,武学奇术!$A:$ZZ,20,FALSE)+SUM(_xlfn.XLOOKUP(R40:AF40,增益!$A:$A,增益!$T:$T,0))</f>
        <v>1.35</v>
      </c>
      <c r="BN40" s="30">
        <f t="shared" si="9"/>
        <v>1</v>
      </c>
      <c r="BO40" s="30">
        <f t="shared" si="10"/>
        <v>0</v>
      </c>
      <c r="BP40" s="30">
        <f>IF(VLOOKUP($Q40,武学奇术!$A:$ZZ,22,FALSE)=1,0,(1-$BI40))*(1-$BL40)</f>
        <v>0</v>
      </c>
      <c r="BQ40" s="30" cm="1">
        <f t="array" ref="BQ40">SUM(_xlfn.XLOOKUP(R40:AF40,增益!$A:$A,增益!$W:$W,0))+$I$5</f>
        <v>0.11</v>
      </c>
    </row>
    <row r="41" spans="1:69">
      <c r="A41" s="4"/>
      <c r="B41" s="90"/>
      <c r="C41" s="4"/>
      <c r="K41" s="41">
        <f t="shared" si="11"/>
        <v>70838.4215572352</v>
      </c>
      <c r="L41" s="41">
        <f>((($AN41+$AO41)/2*$AH41+$AI41)*(1+$AP41)*(1+$AQ41)+(($AS41+$AT41)/2*IF($G$1="鸣金",$AJ41,$AH41)+IF($G$1="鸣金",$AK41*1.5,0))*(1+$AU41)*(1+$AV41)+(($AW41+$AX41)/2*IF($G$1="裂石",$AJ41,$AH41)+IF($G$1="裂石",$AK41*1.5,0))*(1+$AY41)*(1+$AZ41)+(($BA41+$BB41)/2*IF($G$1="牵丝",$AJ41,$AH41)+IF($G$1="牵丝",$AK41*1.5,0))*(1+$BC41)*(1+$BD41)+(($BE41+$BF41)/2*IF($G$1="破竹",$AJ41,$AH41)+IF($G$1="破竹",$AK41*1.5,0))*(1+$BG41)*(1+$BH41))*(1+$AL41)*$BK41*$P41*(1+IF(VLOOKUP($Q41,武学奇术!$A:$ZZ,30,FALSE)="回旋伞",$B$21,0))*(1+$BQ41)</f>
        <v>74062.6883409805</v>
      </c>
      <c r="M41" s="41">
        <f>(($AO41*$AH41+$AI41)*(1+$AP41)*(1+$AQ41)+($AT41*IF($G$1="鸣金",$AJ41,$AH41)+IF($G$1="鸣金",$AK41*1.5,0))*(1+$AU41)*(1+$AV41)+($AX41*IF($G$1="裂石",$AJ41,$AH41)+IF($G$1="裂石",$AK41*1.5,0))*(1+$AY41)*(1+$AZ41)+($BB41*IF($G$1="牵丝",$AJ41,$AH41)+IF($G$1="牵丝",$AK41*1.5,0))*(1+$BC41)*(1+$BD41)+($BF41*IF($G$1="破竹",$AJ41,$AH41)+IF($G$1="破竹",$AK41*1.5,0))*(1+$BG41)*(1+$BH41))*(1+$AL41)*$BM41*$P41*(1+IF(VLOOKUP($Q41,武学奇术!$A:$ZZ,30,FALSE)="回旋伞",$B$21,0))*(1+$BQ41)</f>
        <v>61728.2556026399</v>
      </c>
      <c r="N41" s="41">
        <f>((($AN41+$AO41)/2*$AH41+$AI41)*(1+$AP41)*(1+$AQ41)+(($AS41+$AT41)/2*IF($G$1="鸣金",$AJ41,$AH41)+IF($G$1="鸣金",$AK41*1.5,0))*(1+$AU41)*(1+$AV41)+(($AW41+$AX41)/2*IF($G$1="裂石",$AJ41,$AH41)+IF($G$1="裂石",$AK41*1.5,0))*(1+$AY41)*(1+$AZ41)+(($BA41+$BB41)/2*IF($G$1="牵丝",$AJ41,$AH41)+IF($G$1="牵丝",$AK41*1.5,0))*(1+$BC41)*(1+$BD41)+(($BE41+$BF41)/2*IF($G$1="破竹",$AJ41,$AH41)+IF($G$1="破竹",$AK41*1.5,0))*(1+$BG41)*(1+$BH41))*(1+$AL41)*$P41*(1+IF(VLOOKUP($Q41,武学奇术!$A:$ZZ,30,FALSE)="回旋伞",$B$21,0))*(1+$BQ41)</f>
        <v>40251.4610548807</v>
      </c>
      <c r="O41" s="41">
        <f>((($AN41*$AH41+$AI41)*(1+$AP41)*(1+$AQ41)+($AS41*IF($G$1="鸣金",$AJ41,$AH41)+IF($G$1="鸣金",$AK41*1.5,0))*(1+$AU41)*(1+$AV41)+($AW41*IF($G$1="裂石",$AJ41,$AH41)+IF($G$1="裂石",$AK41*1.5,0))*(1+$AY41)*(1+$AZ41)+($BA41*IF($G$1="牵丝",$AJ41,$AH41)+IF($G$1="牵丝",$AK41*1.5,0))*(1+$BC41)*(1+$BD41)+($BE41*IF($G$1="破竹",$AJ41,$AH41)+IF($G$1="破竹",$AK41*1.5,0))*(1+$BG41)*(1+$BH41))*(1+$AL41))*$P41*(1+IF(VLOOKUP($Q41,武学奇术!$A:$ZZ,30,FALSE)="回旋伞",$B$21,0))*(1+$BQ41)</f>
        <v>34778.2883300281</v>
      </c>
      <c r="P41" s="42">
        <v>4</v>
      </c>
      <c r="Q41" s="43" t="s">
        <v>120</v>
      </c>
      <c r="R41" s="43" t="s">
        <v>105</v>
      </c>
      <c r="S41" s="43" t="s">
        <v>91</v>
      </c>
      <c r="T41" s="43" t="s">
        <v>72</v>
      </c>
      <c r="U41" s="43" t="s">
        <v>71</v>
      </c>
      <c r="V41" s="43" t="s">
        <v>156</v>
      </c>
      <c r="W41" s="43" t="s">
        <v>95</v>
      </c>
      <c r="X41" s="43" t="s">
        <v>71</v>
      </c>
      <c r="Y41" s="43" t="s">
        <v>71</v>
      </c>
      <c r="Z41" s="43" t="s">
        <v>71</v>
      </c>
      <c r="AA41" s="43" t="s">
        <v>116</v>
      </c>
      <c r="AB41" s="43" t="s">
        <v>71</v>
      </c>
      <c r="AC41" s="43" t="s">
        <v>71</v>
      </c>
      <c r="AD41" s="43" t="s">
        <v>71</v>
      </c>
      <c r="AE41" s="43" t="s">
        <v>71</v>
      </c>
      <c r="AF41" s="43" t="s">
        <v>76</v>
      </c>
      <c r="AG41" t="str">
        <f>VLOOKUP($Q41,武学奇术!$A:$ZZ,25,FALSE)</f>
        <v>伞</v>
      </c>
      <c r="AH41" s="30">
        <f>VLOOKUP($Q41,武学奇术!$A:$ZZ,26,FALSE)</f>
        <v>0.54</v>
      </c>
      <c r="AI41" s="31">
        <f>VLOOKUP($Q41,武学奇术!$A:$ZZ,27,FALSE)*(1+IF(OR($AG41=$F$4,$AG41=$F$5),$B$22,0))</f>
        <v>0</v>
      </c>
      <c r="AJ41" s="30">
        <f>VLOOKUP($Q41,武学奇术!$A:$ZZ,28,FALSE)</f>
        <v>0.81</v>
      </c>
      <c r="AK41" s="31">
        <f>VLOOKUP($Q41,武学奇术!$A:$ZZ,29,FALSE)*(1+IF(OR($AG41=$F$4,$AG41=$F$5),$B$22,0))</f>
        <v>0</v>
      </c>
      <c r="AL41" s="30" cm="1">
        <f t="array" ref="AL41">$G$3+IFERROR(VLOOKUP($AG41,$F$4:$G$7,2,FALSE),0)+VLOOKUP($Q41,武学奇术!$A:$ZZ,2,FALSE)+SUM(_xlfn.XLOOKUP($R41:$AF41,增益!$A:$A,增益!$B:$B,0))</f>
        <v>0.7741</v>
      </c>
      <c r="AM41" s="30" cm="1">
        <f t="array" ref="AM41">VLOOKUP($Q41,武学奇术!$A:$ZZ,5,FALSE)+SUM(_xlfn.XLOOKUP($R41:$AF41,增益!$A:$A,增益!$E:$E,0))</f>
        <v>0</v>
      </c>
      <c r="AN41" cm="1">
        <f t="array" ref="AN41">$D$10*(1+$AM41)+VLOOKUP($Q41,武学奇术!$A:$ZZ,3,FALSE)+SUM(_xlfn.XLOOKUP($R41:$AF41,增益!$A:$A,增益!$C:$C,0))-$I$2</f>
        <v>3483.8</v>
      </c>
      <c r="AO41" cm="1">
        <f t="array" ref="AO41">$E$10*(1+$AM41)+VLOOKUP($Q41,武学奇术!$A:$ZZ,4,FALSE)+SUM(_xlfn.XLOOKUP($R41:$AF41,增益!$A:$A,增益!$D:$D,0))-$I$2</f>
        <v>3483.8</v>
      </c>
      <c r="AP41" s="35" cm="1">
        <f t="array" ref="AP41">IF($F$10-$I$3+VLOOKUP($Q41,武学奇术!$A:$ZZ,6,FALSE)+SUM(_xlfn.XLOOKUP(R41:AF41,增益!$A:$A,增益!$F:$F,0))&gt;0,($F$10-$I$3+VLOOKUP($Q41,武学奇术!$A:$ZZ,6,FALSE)+SUM(_xlfn.XLOOKUP(R41:AF41,增益!$A:$A,增益!$F:$F,0)))/200,($F$10-$I$3+VLOOKUP($Q41,武学奇术!$A:$ZZ,6,FALSE)+SUM(_xlfn.XLOOKUP(R41:AF41,增益!$A:$A,增益!$F:$F,0)))/100)</f>
        <v>0.2925</v>
      </c>
      <c r="AQ41" s="35" cm="1">
        <f t="array" ref="AQ41">$G$10+VLOOKUP($Q41,武学奇术!$A:$ZZ,7,FALSE)+SUM(_xlfn.XLOOKUP(R41:AF41,增益!$A:$A,增益!$G:$G,0))</f>
        <v>0.148</v>
      </c>
      <c r="AR41" s="30" cm="1">
        <f t="array" ref="AR41">VLOOKUP($Q41,武学奇术!$A:$ZZ,8,FALSE)+SUM(_xlfn.XLOOKUP(R41:AF41,增益!$A:$A,增益!$H:$H,0))</f>
        <v>0</v>
      </c>
      <c r="AS41">
        <f t="shared" si="1"/>
        <v>0</v>
      </c>
      <c r="AT41">
        <f t="shared" si="2"/>
        <v>0</v>
      </c>
      <c r="AU41" s="35" cm="1">
        <f t="array" ref="AU41">IF($F$11-$I$4+VLOOKUP($Q41,武学奇术!$A:$ZZ,9,FALSE)+SUM(_xlfn.XLOOKUP(R41:AF41,增益!$A:$A,增益!$I:$I,0))&gt;0,($F$11-$I$4+VLOOKUP($Q41,武学奇术!$A:$ZZ,9,FALSE)+SUM(_xlfn.XLOOKUP(R41:AF41,增益!$A:$A,增益!$I:$I,0)))/200,($F$11-$I$4+VLOOKUP($Q41,武学奇术!$A:$ZZ,9,FALSE)+SUM(_xlfn.XLOOKUP(R41:AF41,增益!$A:$A,增益!$I:$I,0)))/100)</f>
        <v>-0.3</v>
      </c>
      <c r="AV41" s="35" cm="1">
        <f t="array" ref="AV41">$G$11+VLOOKUP($Q41,武学奇术!$A:$ZZ,10,FALSE)+SUM(_xlfn.XLOOKUP(R41:AF41,增益!$A:$A,增益!$J:$J,0))</f>
        <v>0</v>
      </c>
      <c r="AW41">
        <f t="shared" si="3"/>
        <v>0</v>
      </c>
      <c r="AX41">
        <f t="shared" si="4"/>
        <v>0</v>
      </c>
      <c r="AY41" s="35" cm="1">
        <f t="array" ref="AY41">IF($F$12-$I$4+VLOOKUP($Q41,武学奇术!$A:$ZZ,11,FALSE)+SUM(_xlfn.XLOOKUP(R41:AF41,增益!$A:$A,增益!$K:$K,0))&gt;0,($F$12-$I$4+VLOOKUP($Q41,武学奇术!$A:$ZZ,11,FALSE)+SUM(_xlfn.XLOOKUP(R41:AF41,增益!$A:$A,增益!$K:$K,0)))/200,($F$12-$I$4+VLOOKUP($Q41,武学奇术!$A:$ZZ,11,FALSE)+SUM(_xlfn.XLOOKUP(R41:AF41,增益!$A:$A,增益!$K:$K,0)))/100)</f>
        <v>-0.3</v>
      </c>
      <c r="AZ41" s="35" cm="1">
        <f t="array" ref="AZ41">$G$12+VLOOKUP($Q41,武学奇术!$A:$ZZ,12,FALSE)+SUM(_xlfn.XLOOKUP(R41:AF41,增益!$A:$A,增益!$L:$L,0))</f>
        <v>0</v>
      </c>
      <c r="BA41">
        <f t="shared" si="5"/>
        <v>0</v>
      </c>
      <c r="BB41">
        <f t="shared" si="6"/>
        <v>0</v>
      </c>
      <c r="BC41" s="35" cm="1">
        <f t="array" ref="BC41">IF($F$13-$I$4+VLOOKUP($Q41,武学奇术!$A:$ZZ,13,FALSE)+SUM(_xlfn.XLOOKUP(R41:AF41,增益!$A:$A,增益!$M:$M,0))&gt;0,($F$13-$I$4+VLOOKUP($Q41,武学奇术!$A:$ZZ,13,FALSE)+SUM(_xlfn.XLOOKUP(R41:AF41,增益!$A:$A,增益!$K:$K,0)))/200,($F$13-$I$4+VLOOKUP($Q41,武学奇术!$A:$ZZ,13,FALSE)+SUM(_xlfn.XLOOKUP(R41:AF41,增益!$A:$A,增益!$M:$M,0)))/100)</f>
        <v>-0.3</v>
      </c>
      <c r="BD41" s="35" cm="1">
        <f t="array" ref="BD41">$G$13+VLOOKUP($Q41,武学奇术!$A:$ZZ,14,FALSE)+SUM(_xlfn.XLOOKUP(R41:AF41,增益!$A:$A,增益!$N:$N,0))</f>
        <v>0</v>
      </c>
      <c r="BE41">
        <f t="shared" si="7"/>
        <v>538</v>
      </c>
      <c r="BF41">
        <f t="shared" si="8"/>
        <v>1561.4</v>
      </c>
      <c r="BG41" s="35" cm="1">
        <f t="array" ref="BG41">IF($F$14-$I$4+VLOOKUP($Q41,武学奇术!$A:$ZZ,15,FALSE)+SUM(_xlfn.XLOOKUP(R41:AF41,增益!$A:$A,增益!$O:$O,0))&gt;0,($F$14-$I$4+VLOOKUP($Q41,武学奇术!$A:$ZZ,15,FALSE)+SUM(_xlfn.XLOOKUP(R41:AF41,增益!$A:$A,增益!$O:$O,0)))/200,($F$14-$I$4+VLOOKUP($Q41,武学奇术!$A:$ZZ,15,FALSE)+SUM(_xlfn.XLOOKUP(R41:AF41,增益!$A:$A,增益!$O:$O,0)))/100)</f>
        <v>0</v>
      </c>
      <c r="BH41" s="35" cm="1">
        <f t="array" ref="BH41">$G$14+VLOOKUP($Q41,武学奇术!$A:$ZZ,16,FALSE)+SUM(_xlfn.XLOOKUP(R41:AF41,增益!$A:$A,增益!$P:$P,0))</f>
        <v>0.27</v>
      </c>
      <c r="BI41" s="30">
        <f>MIN(IF(VLOOKUP($Q41,武学奇术!$A:$ZZ,23,FALSE)=1,100%,$B$8),100%)</f>
        <v>0.9712</v>
      </c>
      <c r="BJ41" s="30" cm="1">
        <f t="array" ref="BJ41">IF(VLOOKUP($Q41,武学奇术!$A:$ZZ,23,FALSE)=1,100%,MIN(80%,$B$9+VLOOKUP($Q41,武学奇术!$A:$ZZ,17,FALSE)+SUM(_xlfn.XLOOKUP(R41:AF41,增益!$A:$A,增益!$Q:$Q,0)))+$B$11+SUM(_xlfn.XLOOKUP(R41:AF41,增益!$A:$A,增益!$U:$U,0)))*IF(VLOOKUP($Q41,武学奇术!$A:$ZZ,24,FALSE)=1,0,1)</f>
        <v>0.8773</v>
      </c>
      <c r="BK41" s="30" cm="1">
        <f t="array" ref="BK41">1+$B$13+VLOOKUP($Q41,武学奇术!$A:$ZZ,18,FALSE)+SUM(_xlfn.XLOOKUP(R41:AF41,增益!$A:$A,增益!$R:$R,0))</f>
        <v>1.84</v>
      </c>
      <c r="BL41" s="30" cm="1">
        <f t="array" ref="BL41">IF(VLOOKUP($Q41,武学奇术!$A:$ZZ,24,FALSE)=1,100%,MIN(40%,$B$10+VLOOKUP($Q41,武学奇术!$A:$ZZ,19,FALSE)+SUM(_xlfn.XLOOKUP(R41:AF41,增益!$A:$A,增益!$S:$S,0)))+$B$12+SUM(_xlfn.XLOOKUP(R41:AF41,增益!$A:$A,增益!$V:$V,0)))*IF(VLOOKUP($Q41,武学奇术!$A:$ZZ,23,FALSE)=1,0,1)</f>
        <v>0.0895</v>
      </c>
      <c r="BM41" s="30" cm="1">
        <f t="array" ref="BM41">1+$B$14+VLOOKUP($Q41,武学奇术!$A:$ZZ,20,FALSE)+SUM(_xlfn.XLOOKUP(R41:AF41,增益!$A:$A,增益!$T:$T,0))</f>
        <v>1.35</v>
      </c>
      <c r="BN41" s="30">
        <f t="shared" si="9"/>
        <v>0.85203376</v>
      </c>
      <c r="BO41" s="30">
        <f t="shared" si="10"/>
        <v>0.03224384</v>
      </c>
      <c r="BP41" s="30">
        <f>IF(VLOOKUP($Q41,武学奇术!$A:$ZZ,22,FALSE)=1,0,(1-$BI41))*(1-$BL41)</f>
        <v>0.0262224</v>
      </c>
      <c r="BQ41" s="30" cm="1">
        <f t="array" ref="BQ41">SUM(_xlfn.XLOOKUP(R41:AF41,增益!$A:$A,增益!$W:$W,0))+$I$5</f>
        <v>0.11</v>
      </c>
    </row>
    <row r="42" spans="1:69">
      <c r="A42" s="4"/>
      <c r="B42" s="90"/>
      <c r="C42" s="4"/>
      <c r="K42" s="41">
        <f t="shared" si="11"/>
        <v>41429.9524115365</v>
      </c>
      <c r="L42" s="41">
        <f>((($AN42+$AO42)/2*$AH42+$AI42)*(1+$AP42)*(1+$AQ42)+(($AS42+$AT42)/2*IF($G$1="鸣金",$AJ42,$AH42)+IF($G$1="鸣金",$AK42*1.5,0))*(1+$AU42)*(1+$AV42)+(($AW42+$AX42)/2*IF($G$1="裂石",$AJ42,$AH42)+IF($G$1="裂石",$AK42*1.5,0))*(1+$AY42)*(1+$AZ42)+(($BA42+$BB42)/2*IF($G$1="牵丝",$AJ42,$AH42)+IF($G$1="牵丝",$AK42*1.5,0))*(1+$BC42)*(1+$BD42)+(($BE42+$BF42)/2*IF($G$1="破竹",$AJ42,$AH42)+IF($G$1="破竹",$AK42*1.5,0))*(1+$BG42)*(1+$BH42))*(1+$AL42)*$BK42*$P42*(1+IF(VLOOKUP($Q42,武学奇术!$A:$ZZ,30,FALSE)="回旋伞",$B$21,0))*(1+$BQ42)</f>
        <v>41429.9524115365</v>
      </c>
      <c r="M42" s="41">
        <f>(($AO42*$AH42+$AI42)*(1+$AP42)*(1+$AQ42)+($AT42*IF($G$1="鸣金",$AJ42,$AH42)+IF($G$1="鸣金",$AK42*1.5,0))*(1+$AU42)*(1+$AV42)+($AX42*IF($G$1="裂石",$AJ42,$AH42)+IF($G$1="裂石",$AK42*1.5,0))*(1+$AY42)*(1+$AZ42)+($BB42*IF($G$1="牵丝",$AJ42,$AH42)+IF($G$1="牵丝",$AK42*1.5,0))*(1+$BC42)*(1+$BD42)+($BF42*IF($G$1="破竹",$AJ42,$AH42)+IF($G$1="破竹",$AK42*1.5,0))*(1+$BG42)*(1+$BH42))*(1+$AL42)*$BM42*$P42*(1+IF(VLOOKUP($Q42,武学奇术!$A:$ZZ,30,FALSE)="回旋伞",$B$21,0))*(1+$BQ42)</f>
        <v>34343.5402133959</v>
      </c>
      <c r="N42" s="41">
        <f>((($AN42+$AO42)/2*$AH42+$AI42)*(1+$AP42)*(1+$AQ42)+(($AS42+$AT42)/2*IF($G$1="鸣金",$AJ42,$AH42)+IF($G$1="鸣金",$AK42*1.5,0))*(1+$AU42)*(1+$AV42)+(($AW42+$AX42)/2*IF($G$1="裂石",$AJ42,$AH42)+IF($G$1="裂石",$AK42*1.5,0))*(1+$AY42)*(1+$AZ42)+(($BA42+$BB42)/2*IF($G$1="牵丝",$AJ42,$AH42)+IF($G$1="牵丝",$AK42*1.5,0))*(1+$BC42)*(1+$BD42)+(($BE42+$BF42)/2*IF($G$1="破竹",$AJ42,$AH42)+IF($G$1="破竹",$AK42*1.5,0))*(1+$BG42)*(1+$BH42))*(1+$AL42)*$P42*(1+IF(VLOOKUP($Q42,武学奇术!$A:$ZZ,30,FALSE)="回旋伞",$B$21,0))*(1+$BQ42)</f>
        <v>22394.5688711008</v>
      </c>
      <c r="O42" s="41">
        <f>((($AN42*$AH42+$AI42)*(1+$AP42)*(1+$AQ42)+($AS42*IF($G$1="鸣金",$AJ42,$AH42)+IF($G$1="鸣金",$AK42*1.5,0))*(1+$AU42)*(1+$AV42)+($AW42*IF($G$1="裂石",$AJ42,$AH42)+IF($G$1="裂石",$AK42*1.5,0))*(1+$AY42)*(1+$AZ42)+($BA42*IF($G$1="牵丝",$AJ42,$AH42)+IF($G$1="牵丝",$AK42*1.5,0))*(1+$BC42)*(1+$BD42)+($BE42*IF($G$1="破竹",$AJ42,$AH42)+IF($G$1="破竹",$AK42*1.5,0))*(1+$BG42)*(1+$BH42))*(1+$AL42))*$P42*(1+IF(VLOOKUP($Q42,武学奇术!$A:$ZZ,30,FALSE)="回旋伞",$B$21,0))*(1+$BQ42)</f>
        <v>19349.4783248713</v>
      </c>
      <c r="P42" s="42">
        <v>2</v>
      </c>
      <c r="Q42" s="43" t="s">
        <v>130</v>
      </c>
      <c r="R42" s="43" t="s">
        <v>105</v>
      </c>
      <c r="S42" s="43" t="s">
        <v>91</v>
      </c>
      <c r="T42" s="43" t="s">
        <v>72</v>
      </c>
      <c r="U42" s="43" t="s">
        <v>71</v>
      </c>
      <c r="V42" s="43" t="s">
        <v>159</v>
      </c>
      <c r="W42" s="43" t="s">
        <v>95</v>
      </c>
      <c r="X42" s="43" t="s">
        <v>71</v>
      </c>
      <c r="Y42" s="43" t="s">
        <v>71</v>
      </c>
      <c r="Z42" s="43" t="s">
        <v>71</v>
      </c>
      <c r="AA42" s="43" t="s">
        <v>116</v>
      </c>
      <c r="AB42" s="43" t="s">
        <v>71</v>
      </c>
      <c r="AC42" s="43" t="s">
        <v>71</v>
      </c>
      <c r="AD42" s="43" t="s">
        <v>71</v>
      </c>
      <c r="AE42" s="43" t="s">
        <v>71</v>
      </c>
      <c r="AF42" s="43" t="s">
        <v>76</v>
      </c>
      <c r="AG42" t="str">
        <f>VLOOKUP($Q42,武学奇术!$A:$ZZ,25,FALSE)</f>
        <v>伞</v>
      </c>
      <c r="AH42" s="30">
        <f>VLOOKUP($Q42,武学奇术!$A:$ZZ,26,FALSE)</f>
        <v>0.54</v>
      </c>
      <c r="AI42" s="31">
        <f>VLOOKUP($Q42,武学奇术!$A:$ZZ,27,FALSE)*(1+IF(OR($AG42=$F$4,$AG42=$F$5),$B$22,0))</f>
        <v>0</v>
      </c>
      <c r="AJ42" s="30">
        <f>VLOOKUP($Q42,武学奇术!$A:$ZZ,28,FALSE)</f>
        <v>0.81</v>
      </c>
      <c r="AK42" s="31">
        <f>VLOOKUP($Q42,武学奇术!$A:$ZZ,29,FALSE)*(1+IF(OR($AG42=$F$4,$AG42=$F$5),$B$22,0))</f>
        <v>0</v>
      </c>
      <c r="AL42" s="30" cm="1">
        <f t="array" ref="AL42">$G$3+IFERROR(VLOOKUP($AG42,$F$4:$G$7,2,FALSE),0)+VLOOKUP($Q42,武学奇术!$A:$ZZ,2,FALSE)+SUM(_xlfn.XLOOKUP($R42:$AF42,增益!$A:$A,增益!$B:$B,0))</f>
        <v>0.9741</v>
      </c>
      <c r="AM42" s="30" cm="1">
        <f t="array" ref="AM42">VLOOKUP($Q42,武学奇术!$A:$ZZ,5,FALSE)+SUM(_xlfn.XLOOKUP($R42:$AF42,增益!$A:$A,增益!$E:$E,0))</f>
        <v>0</v>
      </c>
      <c r="AN42" cm="1">
        <f t="array" ref="AN42">$D$10*(1+$AM42)+VLOOKUP($Q42,武学奇术!$A:$ZZ,3,FALSE)+SUM(_xlfn.XLOOKUP($R42:$AF42,增益!$A:$A,增益!$C:$C,0))-$I$2</f>
        <v>3483.8</v>
      </c>
      <c r="AO42" cm="1">
        <f t="array" ref="AO42">$E$10*(1+$AM42)+VLOOKUP($Q42,武学奇术!$A:$ZZ,4,FALSE)+SUM(_xlfn.XLOOKUP($R42:$AF42,增益!$A:$A,增益!$D:$D,0))-$I$2</f>
        <v>3483.8</v>
      </c>
      <c r="AP42" s="35" cm="1">
        <f t="array" ref="AP42">IF($F$10-$I$3+VLOOKUP($Q42,武学奇术!$A:$ZZ,6,FALSE)+SUM(_xlfn.XLOOKUP(R42:AF42,增益!$A:$A,增益!$F:$F,0))&gt;0,($F$10-$I$3+VLOOKUP($Q42,武学奇术!$A:$ZZ,6,FALSE)+SUM(_xlfn.XLOOKUP(R42:AF42,增益!$A:$A,增益!$F:$F,0)))/200,($F$10-$I$3+VLOOKUP($Q42,武学奇术!$A:$ZZ,6,FALSE)+SUM(_xlfn.XLOOKUP(R42:AF42,增益!$A:$A,增益!$F:$F,0)))/100)</f>
        <v>0.2925</v>
      </c>
      <c r="AQ42" s="35" cm="1">
        <f t="array" ref="AQ42">$G$10+VLOOKUP($Q42,武学奇术!$A:$ZZ,7,FALSE)+SUM(_xlfn.XLOOKUP(R42:AF42,增益!$A:$A,增益!$G:$G,0))</f>
        <v>0.148</v>
      </c>
      <c r="AR42" s="30" cm="1">
        <f t="array" ref="AR42">VLOOKUP($Q42,武学奇术!$A:$ZZ,8,FALSE)+SUM(_xlfn.XLOOKUP(R42:AF42,增益!$A:$A,增益!$H:$H,0))</f>
        <v>0</v>
      </c>
      <c r="AS42">
        <f t="shared" si="1"/>
        <v>0</v>
      </c>
      <c r="AT42">
        <f t="shared" si="2"/>
        <v>0</v>
      </c>
      <c r="AU42" s="35" cm="1">
        <f t="array" ref="AU42">IF($F$11-$I$4+VLOOKUP($Q42,武学奇术!$A:$ZZ,9,FALSE)+SUM(_xlfn.XLOOKUP(R42:AF42,增益!$A:$A,增益!$I:$I,0))&gt;0,($F$11-$I$4+VLOOKUP($Q42,武学奇术!$A:$ZZ,9,FALSE)+SUM(_xlfn.XLOOKUP(R42:AF42,增益!$A:$A,增益!$I:$I,0)))/200,($F$11-$I$4+VLOOKUP($Q42,武学奇术!$A:$ZZ,9,FALSE)+SUM(_xlfn.XLOOKUP(R42:AF42,增益!$A:$A,增益!$I:$I,0)))/100)</f>
        <v>-0.3</v>
      </c>
      <c r="AV42" s="35" cm="1">
        <f t="array" ref="AV42">$G$11+VLOOKUP($Q42,武学奇术!$A:$ZZ,10,FALSE)+SUM(_xlfn.XLOOKUP(R42:AF42,增益!$A:$A,增益!$J:$J,0))</f>
        <v>0</v>
      </c>
      <c r="AW42">
        <f t="shared" si="3"/>
        <v>0</v>
      </c>
      <c r="AX42">
        <f t="shared" si="4"/>
        <v>0</v>
      </c>
      <c r="AY42" s="35" cm="1">
        <f t="array" ref="AY42">IF($F$12-$I$4+VLOOKUP($Q42,武学奇术!$A:$ZZ,11,FALSE)+SUM(_xlfn.XLOOKUP(R42:AF42,增益!$A:$A,增益!$K:$K,0))&gt;0,($F$12-$I$4+VLOOKUP($Q42,武学奇术!$A:$ZZ,11,FALSE)+SUM(_xlfn.XLOOKUP(R42:AF42,增益!$A:$A,增益!$K:$K,0)))/200,($F$12-$I$4+VLOOKUP($Q42,武学奇术!$A:$ZZ,11,FALSE)+SUM(_xlfn.XLOOKUP(R42:AF42,增益!$A:$A,增益!$K:$K,0)))/100)</f>
        <v>-0.3</v>
      </c>
      <c r="AZ42" s="35" cm="1">
        <f t="array" ref="AZ42">$G$12+VLOOKUP($Q42,武学奇术!$A:$ZZ,12,FALSE)+SUM(_xlfn.XLOOKUP(R42:AF42,增益!$A:$A,增益!$L:$L,0))</f>
        <v>0</v>
      </c>
      <c r="BA42">
        <f t="shared" si="5"/>
        <v>0</v>
      </c>
      <c r="BB42">
        <f t="shared" si="6"/>
        <v>0</v>
      </c>
      <c r="BC42" s="35" cm="1">
        <f t="array" ref="BC42">IF($F$13-$I$4+VLOOKUP($Q42,武学奇术!$A:$ZZ,13,FALSE)+SUM(_xlfn.XLOOKUP(R42:AF42,增益!$A:$A,增益!$M:$M,0))&gt;0,($F$13-$I$4+VLOOKUP($Q42,武学奇术!$A:$ZZ,13,FALSE)+SUM(_xlfn.XLOOKUP(R42:AF42,增益!$A:$A,增益!$K:$K,0)))/200,($F$13-$I$4+VLOOKUP($Q42,武学奇术!$A:$ZZ,13,FALSE)+SUM(_xlfn.XLOOKUP(R42:AF42,增益!$A:$A,增益!$M:$M,0)))/100)</f>
        <v>-0.3</v>
      </c>
      <c r="BD42" s="35" cm="1">
        <f t="array" ref="BD42">$G$13+VLOOKUP($Q42,武学奇术!$A:$ZZ,14,FALSE)+SUM(_xlfn.XLOOKUP(R42:AF42,增益!$A:$A,增益!$N:$N,0))</f>
        <v>0</v>
      </c>
      <c r="BE42">
        <f t="shared" si="7"/>
        <v>538</v>
      </c>
      <c r="BF42">
        <f t="shared" si="8"/>
        <v>1561.4</v>
      </c>
      <c r="BG42" s="35" cm="1">
        <f t="array" ref="BG42">IF($F$14-$I$4+VLOOKUP($Q42,武学奇术!$A:$ZZ,15,FALSE)+SUM(_xlfn.XLOOKUP(R42:AF42,增益!$A:$A,增益!$O:$O,0))&gt;0,($F$14-$I$4+VLOOKUP($Q42,武学奇术!$A:$ZZ,15,FALSE)+SUM(_xlfn.XLOOKUP(R42:AF42,增益!$A:$A,增益!$O:$O,0)))/200,($F$14-$I$4+VLOOKUP($Q42,武学奇术!$A:$ZZ,15,FALSE)+SUM(_xlfn.XLOOKUP(R42:AF42,增益!$A:$A,增益!$O:$O,0)))/100)</f>
        <v>0</v>
      </c>
      <c r="BH42" s="35" cm="1">
        <f t="array" ref="BH42">$G$14+VLOOKUP($Q42,武学奇术!$A:$ZZ,16,FALSE)+SUM(_xlfn.XLOOKUP(R42:AF42,增益!$A:$A,增益!$P:$P,0))</f>
        <v>0.27</v>
      </c>
      <c r="BI42" s="30">
        <f>MIN(IF(VLOOKUP($Q42,武学奇术!$A:$ZZ,23,FALSE)=1,100%,$B$8),100%)</f>
        <v>1</v>
      </c>
      <c r="BJ42" s="30" cm="1">
        <f t="array" ref="BJ42">IF(VLOOKUP($Q42,武学奇术!$A:$ZZ,23,FALSE)=1,100%,MIN(80%,$B$9+VLOOKUP($Q42,武学奇术!$A:$ZZ,17,FALSE)+SUM(_xlfn.XLOOKUP(R42:AF42,增益!$A:$A,增益!$Q:$Q,0)))+$B$11+SUM(_xlfn.XLOOKUP(R42:AF42,增益!$A:$A,增益!$U:$U,0)))*IF(VLOOKUP($Q42,武学奇术!$A:$ZZ,24,FALSE)=1,0,1)</f>
        <v>1</v>
      </c>
      <c r="BK42" s="30" cm="1">
        <f t="array" ref="BK42">1+$B$13+VLOOKUP($Q42,武学奇术!$A:$ZZ,18,FALSE)+SUM(_xlfn.XLOOKUP(R42:AF42,增益!$A:$A,增益!$R:$R,0))</f>
        <v>1.85</v>
      </c>
      <c r="BL42" s="30" cm="1">
        <f t="array" ref="BL42">IF(VLOOKUP($Q42,武学奇术!$A:$ZZ,24,FALSE)=1,100%,MIN(40%,$B$10+VLOOKUP($Q42,武学奇术!$A:$ZZ,19,FALSE)+SUM(_xlfn.XLOOKUP(R42:AF42,增益!$A:$A,增益!$S:$S,0)))+$B$12+SUM(_xlfn.XLOOKUP(R42:AF42,增益!$A:$A,增益!$V:$V,0)))*IF(VLOOKUP($Q42,武学奇术!$A:$ZZ,23,FALSE)=1,0,1)</f>
        <v>0</v>
      </c>
      <c r="BM42" s="30" cm="1">
        <f t="array" ref="BM42">1+$B$14+VLOOKUP($Q42,武学奇术!$A:$ZZ,20,FALSE)+SUM(_xlfn.XLOOKUP(R42:AF42,增益!$A:$A,增益!$T:$T,0))</f>
        <v>1.35</v>
      </c>
      <c r="BN42" s="30">
        <f t="shared" si="9"/>
        <v>1</v>
      </c>
      <c r="BO42" s="30">
        <f t="shared" si="10"/>
        <v>0</v>
      </c>
      <c r="BP42" s="30">
        <f>IF(VLOOKUP($Q42,武学奇术!$A:$ZZ,22,FALSE)=1,0,(1-$BI42))*(1-$BL42)</f>
        <v>0</v>
      </c>
      <c r="BQ42" s="30" cm="1">
        <f t="array" ref="BQ42">SUM(_xlfn.XLOOKUP(R42:AF42,增益!$A:$A,增益!$W:$W,0))+$I$5</f>
        <v>0.11</v>
      </c>
    </row>
    <row r="43" spans="1:69">
      <c r="A43" s="4"/>
      <c r="B43" s="90"/>
      <c r="C43" s="4"/>
      <c r="K43" s="41">
        <f t="shared" si="11"/>
        <v>35590.688797158</v>
      </c>
      <c r="L43" s="41">
        <f>((($AN43+$AO43)/2*$AH43+$AI43)*(1+$AP43)*(1+$AQ43)+(($AS43+$AT43)/2*IF($G$1="鸣金",$AJ43,$AH43)+IF($G$1="鸣金",$AK43*1.5,0))*(1+$AU43)*(1+$AV43)+(($AW43+$AX43)/2*IF($G$1="裂石",$AJ43,$AH43)+IF($G$1="裂石",$AK43*1.5,0))*(1+$AY43)*(1+$AZ43)+(($BA43+$BB43)/2*IF($G$1="牵丝",$AJ43,$AH43)+IF($G$1="牵丝",$AK43*1.5,0))*(1+$BC43)*(1+$BD43)+(($BE43+$BF43)/2*IF($G$1="破竹",$AJ43,$AH43)+IF($G$1="破竹",$AK43*1.5,0))*(1+$BG43)*(1+$BH43))*(1+$AL43)*$BK43*$P43*(1+IF(VLOOKUP($Q43,武学奇术!$A:$ZZ,30,FALSE)="回旋伞",$B$21,0))*(1+$BQ43)</f>
        <v>37232.6014757646</v>
      </c>
      <c r="M43" s="41">
        <f>(($AO43*$AH43+$AI43)*(1+$AP43)*(1+$AQ43)+($AT43*IF($G$1="鸣金",$AJ43,$AH43)+IF($G$1="鸣金",$AK43*1.5,0))*(1+$AU43)*(1+$AV43)+($AX43*IF($G$1="裂石",$AJ43,$AH43)+IF($G$1="裂石",$AK43*1.5,0))*(1+$AY43)*(1+$AZ43)+($BB43*IF($G$1="牵丝",$AJ43,$AH43)+IF($G$1="牵丝",$AK43*1.5,0))*(1+$BC43)*(1+$BD43)+($BF43*IF($G$1="破竹",$AJ43,$AH43)+IF($G$1="破竹",$AK43*1.5,0))*(1+$BG43)*(1+$BH43))*(1+$AL43)*$BM43*$P43*(1+IF(VLOOKUP($Q43,武学奇术!$A:$ZZ,30,FALSE)="回旋伞",$B$21,0))*(1+$BQ43)</f>
        <v>30864.12780132</v>
      </c>
      <c r="N43" s="41">
        <f>((($AN43+$AO43)/2*$AH43+$AI43)*(1+$AP43)*(1+$AQ43)+(($AS43+$AT43)/2*IF($G$1="鸣金",$AJ43,$AH43)+IF($G$1="鸣金",$AK43*1.5,0))*(1+$AU43)*(1+$AV43)+(($AW43+$AX43)/2*IF($G$1="裂石",$AJ43,$AH43)+IF($G$1="裂石",$AK43*1.5,0))*(1+$AY43)*(1+$AZ43)+(($BA43+$BB43)/2*IF($G$1="牵丝",$AJ43,$AH43)+IF($G$1="牵丝",$AK43*1.5,0))*(1+$BC43)*(1+$BD43)+(($BE43+$BF43)/2*IF($G$1="破竹",$AJ43,$AH43)+IF($G$1="破竹",$AK43*1.5,0))*(1+$BG43)*(1+$BH43))*(1+$AL43)*$P43*(1+IF(VLOOKUP($Q43,武学奇术!$A:$ZZ,30,FALSE)="回旋伞",$B$21,0))*(1+$BQ43)</f>
        <v>20125.7305274403</v>
      </c>
      <c r="O43" s="41">
        <f>((($AN43*$AH43+$AI43)*(1+$AP43)*(1+$AQ43)+($AS43*IF($G$1="鸣金",$AJ43,$AH43)+IF($G$1="鸣金",$AK43*1.5,0))*(1+$AU43)*(1+$AV43)+($AW43*IF($G$1="裂石",$AJ43,$AH43)+IF($G$1="裂石",$AK43*1.5,0))*(1+$AY43)*(1+$AZ43)+($BA43*IF($G$1="牵丝",$AJ43,$AH43)+IF($G$1="牵丝",$AK43*1.5,0))*(1+$BC43)*(1+$BD43)+($BE43*IF($G$1="破竹",$AJ43,$AH43)+IF($G$1="破竹",$AK43*1.5,0))*(1+$BG43)*(1+$BH43))*(1+$AL43))*$P43*(1+IF(VLOOKUP($Q43,武学奇术!$A:$ZZ,30,FALSE)="回旋伞",$B$21,0))*(1+$BQ43)</f>
        <v>17389.1441650141</v>
      </c>
      <c r="P43" s="42">
        <v>2</v>
      </c>
      <c r="Q43" s="43" t="s">
        <v>120</v>
      </c>
      <c r="R43" s="43" t="s">
        <v>105</v>
      </c>
      <c r="S43" s="43" t="s">
        <v>91</v>
      </c>
      <c r="T43" s="43" t="s">
        <v>72</v>
      </c>
      <c r="U43" s="43" t="s">
        <v>71</v>
      </c>
      <c r="V43" s="43" t="s">
        <v>159</v>
      </c>
      <c r="W43" s="43" t="s">
        <v>95</v>
      </c>
      <c r="X43" s="43" t="s">
        <v>71</v>
      </c>
      <c r="Y43" s="43" t="s">
        <v>71</v>
      </c>
      <c r="Z43" s="43" t="s">
        <v>71</v>
      </c>
      <c r="AA43" s="43" t="s">
        <v>116</v>
      </c>
      <c r="AB43" s="43" t="s">
        <v>71</v>
      </c>
      <c r="AC43" s="43" t="s">
        <v>71</v>
      </c>
      <c r="AD43" s="43" t="s">
        <v>71</v>
      </c>
      <c r="AE43" s="43" t="s">
        <v>71</v>
      </c>
      <c r="AF43" s="43" t="s">
        <v>76</v>
      </c>
      <c r="AG43" t="str">
        <f>VLOOKUP($Q43,武学奇术!$A:$ZZ,25,FALSE)</f>
        <v>伞</v>
      </c>
      <c r="AH43" s="30">
        <f>VLOOKUP($Q43,武学奇术!$A:$ZZ,26,FALSE)</f>
        <v>0.54</v>
      </c>
      <c r="AI43" s="31">
        <f>VLOOKUP($Q43,武学奇术!$A:$ZZ,27,FALSE)*(1+IF(OR($AG43=$F$4,$AG43=$F$5),$B$22,0))</f>
        <v>0</v>
      </c>
      <c r="AJ43" s="30">
        <f>VLOOKUP($Q43,武学奇术!$A:$ZZ,28,FALSE)</f>
        <v>0.81</v>
      </c>
      <c r="AK43" s="31">
        <f>VLOOKUP($Q43,武学奇术!$A:$ZZ,29,FALSE)*(1+IF(OR($AG43=$F$4,$AG43=$F$5),$B$22,0))</f>
        <v>0</v>
      </c>
      <c r="AL43" s="30" cm="1">
        <f t="array" ref="AL43">$G$3+IFERROR(VLOOKUP($AG43,$F$4:$G$7,2,FALSE),0)+VLOOKUP($Q43,武学奇术!$A:$ZZ,2,FALSE)+SUM(_xlfn.XLOOKUP($R43:$AF43,增益!$A:$A,增益!$B:$B,0))</f>
        <v>0.7741</v>
      </c>
      <c r="AM43" s="30" cm="1">
        <f t="array" ref="AM43">VLOOKUP($Q43,武学奇术!$A:$ZZ,5,FALSE)+SUM(_xlfn.XLOOKUP($R43:$AF43,增益!$A:$A,增益!$E:$E,0))</f>
        <v>0</v>
      </c>
      <c r="AN43" cm="1">
        <f t="array" ref="AN43">$D$10*(1+$AM43)+VLOOKUP($Q43,武学奇术!$A:$ZZ,3,FALSE)+SUM(_xlfn.XLOOKUP($R43:$AF43,增益!$A:$A,增益!$C:$C,0))-$I$2</f>
        <v>3483.8</v>
      </c>
      <c r="AO43" cm="1">
        <f t="array" ref="AO43">$E$10*(1+$AM43)+VLOOKUP($Q43,武学奇术!$A:$ZZ,4,FALSE)+SUM(_xlfn.XLOOKUP($R43:$AF43,增益!$A:$A,增益!$D:$D,0))-$I$2</f>
        <v>3483.8</v>
      </c>
      <c r="AP43" s="35" cm="1">
        <f t="array" ref="AP43">IF($F$10-$I$3+VLOOKUP($Q43,武学奇术!$A:$ZZ,6,FALSE)+SUM(_xlfn.XLOOKUP(R43:AF43,增益!$A:$A,增益!$F:$F,0))&gt;0,($F$10-$I$3+VLOOKUP($Q43,武学奇术!$A:$ZZ,6,FALSE)+SUM(_xlfn.XLOOKUP(R43:AF43,增益!$A:$A,增益!$F:$F,0)))/200,($F$10-$I$3+VLOOKUP($Q43,武学奇术!$A:$ZZ,6,FALSE)+SUM(_xlfn.XLOOKUP(R43:AF43,增益!$A:$A,增益!$F:$F,0)))/100)</f>
        <v>0.2925</v>
      </c>
      <c r="AQ43" s="35" cm="1">
        <f t="array" ref="AQ43">$G$10+VLOOKUP($Q43,武学奇术!$A:$ZZ,7,FALSE)+SUM(_xlfn.XLOOKUP(R43:AF43,增益!$A:$A,增益!$G:$G,0))</f>
        <v>0.148</v>
      </c>
      <c r="AR43" s="30" cm="1">
        <f t="array" ref="AR43">VLOOKUP($Q43,武学奇术!$A:$ZZ,8,FALSE)+SUM(_xlfn.XLOOKUP(R43:AF43,增益!$A:$A,增益!$H:$H,0))</f>
        <v>0</v>
      </c>
      <c r="AS43">
        <f t="shared" si="1"/>
        <v>0</v>
      </c>
      <c r="AT43">
        <f t="shared" si="2"/>
        <v>0</v>
      </c>
      <c r="AU43" s="35" cm="1">
        <f t="array" ref="AU43">IF($F$11-$I$4+VLOOKUP($Q43,武学奇术!$A:$ZZ,9,FALSE)+SUM(_xlfn.XLOOKUP(R43:AF43,增益!$A:$A,增益!$I:$I,0))&gt;0,($F$11-$I$4+VLOOKUP($Q43,武学奇术!$A:$ZZ,9,FALSE)+SUM(_xlfn.XLOOKUP(R43:AF43,增益!$A:$A,增益!$I:$I,0)))/200,($F$11-$I$4+VLOOKUP($Q43,武学奇术!$A:$ZZ,9,FALSE)+SUM(_xlfn.XLOOKUP(R43:AF43,增益!$A:$A,增益!$I:$I,0)))/100)</f>
        <v>-0.3</v>
      </c>
      <c r="AV43" s="35" cm="1">
        <f t="array" ref="AV43">$G$11+VLOOKUP($Q43,武学奇术!$A:$ZZ,10,FALSE)+SUM(_xlfn.XLOOKUP(R43:AF43,增益!$A:$A,增益!$J:$J,0))</f>
        <v>0</v>
      </c>
      <c r="AW43">
        <f t="shared" si="3"/>
        <v>0</v>
      </c>
      <c r="AX43">
        <f t="shared" si="4"/>
        <v>0</v>
      </c>
      <c r="AY43" s="35" cm="1">
        <f t="array" ref="AY43">IF($F$12-$I$4+VLOOKUP($Q43,武学奇术!$A:$ZZ,11,FALSE)+SUM(_xlfn.XLOOKUP(R43:AF43,增益!$A:$A,增益!$K:$K,0))&gt;0,($F$12-$I$4+VLOOKUP($Q43,武学奇术!$A:$ZZ,11,FALSE)+SUM(_xlfn.XLOOKUP(R43:AF43,增益!$A:$A,增益!$K:$K,0)))/200,($F$12-$I$4+VLOOKUP($Q43,武学奇术!$A:$ZZ,11,FALSE)+SUM(_xlfn.XLOOKUP(R43:AF43,增益!$A:$A,增益!$K:$K,0)))/100)</f>
        <v>-0.3</v>
      </c>
      <c r="AZ43" s="35" cm="1">
        <f t="array" ref="AZ43">$G$12+VLOOKUP($Q43,武学奇术!$A:$ZZ,12,FALSE)+SUM(_xlfn.XLOOKUP(R43:AF43,增益!$A:$A,增益!$L:$L,0))</f>
        <v>0</v>
      </c>
      <c r="BA43">
        <f t="shared" si="5"/>
        <v>0</v>
      </c>
      <c r="BB43">
        <f t="shared" si="6"/>
        <v>0</v>
      </c>
      <c r="BC43" s="35" cm="1">
        <f t="array" ref="BC43">IF($F$13-$I$4+VLOOKUP($Q43,武学奇术!$A:$ZZ,13,FALSE)+SUM(_xlfn.XLOOKUP(R43:AF43,增益!$A:$A,增益!$M:$M,0))&gt;0,($F$13-$I$4+VLOOKUP($Q43,武学奇术!$A:$ZZ,13,FALSE)+SUM(_xlfn.XLOOKUP(R43:AF43,增益!$A:$A,增益!$K:$K,0)))/200,($F$13-$I$4+VLOOKUP($Q43,武学奇术!$A:$ZZ,13,FALSE)+SUM(_xlfn.XLOOKUP(R43:AF43,增益!$A:$A,增益!$M:$M,0)))/100)</f>
        <v>-0.3</v>
      </c>
      <c r="BD43" s="35" cm="1">
        <f t="array" ref="BD43">$G$13+VLOOKUP($Q43,武学奇术!$A:$ZZ,14,FALSE)+SUM(_xlfn.XLOOKUP(R43:AF43,增益!$A:$A,增益!$N:$N,0))</f>
        <v>0</v>
      </c>
      <c r="BE43">
        <f t="shared" si="7"/>
        <v>538</v>
      </c>
      <c r="BF43">
        <f t="shared" si="8"/>
        <v>1561.4</v>
      </c>
      <c r="BG43" s="35" cm="1">
        <f t="array" ref="BG43">IF($F$14-$I$4+VLOOKUP($Q43,武学奇术!$A:$ZZ,15,FALSE)+SUM(_xlfn.XLOOKUP(R43:AF43,增益!$A:$A,增益!$O:$O,0))&gt;0,($F$14-$I$4+VLOOKUP($Q43,武学奇术!$A:$ZZ,15,FALSE)+SUM(_xlfn.XLOOKUP(R43:AF43,增益!$A:$A,增益!$O:$O,0)))/200,($F$14-$I$4+VLOOKUP($Q43,武学奇术!$A:$ZZ,15,FALSE)+SUM(_xlfn.XLOOKUP(R43:AF43,增益!$A:$A,增益!$O:$O,0)))/100)</f>
        <v>0</v>
      </c>
      <c r="BH43" s="35" cm="1">
        <f t="array" ref="BH43">$G$14+VLOOKUP($Q43,武学奇术!$A:$ZZ,16,FALSE)+SUM(_xlfn.XLOOKUP(R43:AF43,增益!$A:$A,增益!$P:$P,0))</f>
        <v>0.27</v>
      </c>
      <c r="BI43" s="30">
        <f>MIN(IF(VLOOKUP($Q43,武学奇术!$A:$ZZ,23,FALSE)=1,100%,$B$8),100%)</f>
        <v>0.9712</v>
      </c>
      <c r="BJ43" s="30" cm="1">
        <f t="array" ref="BJ43">IF(VLOOKUP($Q43,武学奇术!$A:$ZZ,23,FALSE)=1,100%,MIN(80%,$B$9+VLOOKUP($Q43,武学奇术!$A:$ZZ,17,FALSE)+SUM(_xlfn.XLOOKUP(R43:AF43,增益!$A:$A,增益!$Q:$Q,0)))+$B$11+SUM(_xlfn.XLOOKUP(R43:AF43,增益!$A:$A,增益!$U:$U,0)))*IF(VLOOKUP($Q43,武学奇术!$A:$ZZ,24,FALSE)=1,0,1)</f>
        <v>0.8773</v>
      </c>
      <c r="BK43" s="30" cm="1">
        <f t="array" ref="BK43">1+$B$13+VLOOKUP($Q43,武学奇术!$A:$ZZ,18,FALSE)+SUM(_xlfn.XLOOKUP(R43:AF43,增益!$A:$A,增益!$R:$R,0))</f>
        <v>1.85</v>
      </c>
      <c r="BL43" s="30" cm="1">
        <f t="array" ref="BL43">IF(VLOOKUP($Q43,武学奇术!$A:$ZZ,24,FALSE)=1,100%,MIN(40%,$B$10+VLOOKUP($Q43,武学奇术!$A:$ZZ,19,FALSE)+SUM(_xlfn.XLOOKUP(R43:AF43,增益!$A:$A,增益!$S:$S,0)))+$B$12+SUM(_xlfn.XLOOKUP(R43:AF43,增益!$A:$A,增益!$V:$V,0)))*IF(VLOOKUP($Q43,武学奇术!$A:$ZZ,23,FALSE)=1,0,1)</f>
        <v>0.0895</v>
      </c>
      <c r="BM43" s="30" cm="1">
        <f t="array" ref="BM43">1+$B$14+VLOOKUP($Q43,武学奇术!$A:$ZZ,20,FALSE)+SUM(_xlfn.XLOOKUP(R43:AF43,增益!$A:$A,增益!$T:$T,0))</f>
        <v>1.35</v>
      </c>
      <c r="BN43" s="30">
        <f t="shared" si="9"/>
        <v>0.85203376</v>
      </c>
      <c r="BO43" s="30">
        <f t="shared" si="10"/>
        <v>0.03224384</v>
      </c>
      <c r="BP43" s="30">
        <f>IF(VLOOKUP($Q43,武学奇术!$A:$ZZ,22,FALSE)=1,0,(1-$BI43))*(1-$BL43)</f>
        <v>0.0262224</v>
      </c>
      <c r="BQ43" s="30" cm="1">
        <f t="array" ref="BQ43">SUM(_xlfn.XLOOKUP(R43:AF43,增益!$A:$A,增益!$W:$W,0))+$I$5</f>
        <v>0.11</v>
      </c>
    </row>
    <row r="44" spans="1:69">
      <c r="A44" s="4"/>
      <c r="B44" s="4"/>
      <c r="C44" s="4"/>
      <c r="K44" s="41">
        <f t="shared" si="11"/>
        <v>35590.688797158</v>
      </c>
      <c r="L44" s="41">
        <f>((($AN44+$AO44)/2*$AH44+$AI44)*(1+$AP44)*(1+$AQ44)+(($AS44+$AT44)/2*IF($G$1="鸣金",$AJ44,$AH44)+IF($G$1="鸣金",$AK44*1.5,0))*(1+$AU44)*(1+$AV44)+(($AW44+$AX44)/2*IF($G$1="裂石",$AJ44,$AH44)+IF($G$1="裂石",$AK44*1.5,0))*(1+$AY44)*(1+$AZ44)+(($BA44+$BB44)/2*IF($G$1="牵丝",$AJ44,$AH44)+IF($G$1="牵丝",$AK44*1.5,0))*(1+$BC44)*(1+$BD44)+(($BE44+$BF44)/2*IF($G$1="破竹",$AJ44,$AH44)+IF($G$1="破竹",$AK44*1.5,0))*(1+$BG44)*(1+$BH44))*(1+$AL44)*$BK44*$P44*(1+IF(VLOOKUP($Q44,武学奇术!$A:$ZZ,30,FALSE)="回旋伞",$B$21,0))*(1+$BQ44)</f>
        <v>37232.6014757646</v>
      </c>
      <c r="M44" s="41">
        <f>(($AO44*$AH44+$AI44)*(1+$AP44)*(1+$AQ44)+($AT44*IF($G$1="鸣金",$AJ44,$AH44)+IF($G$1="鸣金",$AK44*1.5,0))*(1+$AU44)*(1+$AV44)+($AX44*IF($G$1="裂石",$AJ44,$AH44)+IF($G$1="裂石",$AK44*1.5,0))*(1+$AY44)*(1+$AZ44)+($BB44*IF($G$1="牵丝",$AJ44,$AH44)+IF($G$1="牵丝",$AK44*1.5,0))*(1+$BC44)*(1+$BD44)+($BF44*IF($G$1="破竹",$AJ44,$AH44)+IF($G$1="破竹",$AK44*1.5,0))*(1+$BG44)*(1+$BH44))*(1+$AL44)*$BM44*$P44*(1+IF(VLOOKUP($Q44,武学奇术!$A:$ZZ,30,FALSE)="回旋伞",$B$21,0))*(1+$BQ44)</f>
        <v>30864.12780132</v>
      </c>
      <c r="N44" s="41">
        <f>((($AN44+$AO44)/2*$AH44+$AI44)*(1+$AP44)*(1+$AQ44)+(($AS44+$AT44)/2*IF($G$1="鸣金",$AJ44,$AH44)+IF($G$1="鸣金",$AK44*1.5,0))*(1+$AU44)*(1+$AV44)+(($AW44+$AX44)/2*IF($G$1="裂石",$AJ44,$AH44)+IF($G$1="裂石",$AK44*1.5,0))*(1+$AY44)*(1+$AZ44)+(($BA44+$BB44)/2*IF($G$1="牵丝",$AJ44,$AH44)+IF($G$1="牵丝",$AK44*1.5,0))*(1+$BC44)*(1+$BD44)+(($BE44+$BF44)/2*IF($G$1="破竹",$AJ44,$AH44)+IF($G$1="破竹",$AK44*1.5,0))*(1+$BG44)*(1+$BH44))*(1+$AL44)*$P44*(1+IF(VLOOKUP($Q44,武学奇术!$A:$ZZ,30,FALSE)="回旋伞",$B$21,0))*(1+$BQ44)</f>
        <v>20125.7305274403</v>
      </c>
      <c r="O44" s="41">
        <f>((($AN44*$AH44+$AI44)*(1+$AP44)*(1+$AQ44)+($AS44*IF($G$1="鸣金",$AJ44,$AH44)+IF($G$1="鸣金",$AK44*1.5,0))*(1+$AU44)*(1+$AV44)+($AW44*IF($G$1="裂石",$AJ44,$AH44)+IF($G$1="裂石",$AK44*1.5,0))*(1+$AY44)*(1+$AZ44)+($BA44*IF($G$1="牵丝",$AJ44,$AH44)+IF($G$1="牵丝",$AK44*1.5,0))*(1+$BC44)*(1+$BD44)+($BE44*IF($G$1="破竹",$AJ44,$AH44)+IF($G$1="破竹",$AK44*1.5,0))*(1+$BG44)*(1+$BH44))*(1+$AL44))*$P44*(1+IF(VLOOKUP($Q44,武学奇术!$A:$ZZ,30,FALSE)="回旋伞",$B$21,0))*(1+$BQ44)</f>
        <v>17389.1441650141</v>
      </c>
      <c r="P44" s="42">
        <v>2</v>
      </c>
      <c r="Q44" s="43" t="s">
        <v>120</v>
      </c>
      <c r="R44" s="43" t="s">
        <v>105</v>
      </c>
      <c r="S44" s="43" t="s">
        <v>91</v>
      </c>
      <c r="T44" s="43" t="s">
        <v>72</v>
      </c>
      <c r="U44" s="43" t="s">
        <v>71</v>
      </c>
      <c r="V44" s="43" t="s">
        <v>159</v>
      </c>
      <c r="W44" s="43" t="s">
        <v>95</v>
      </c>
      <c r="X44" s="43" t="s">
        <v>71</v>
      </c>
      <c r="Y44" s="43" t="s">
        <v>71</v>
      </c>
      <c r="Z44" s="43" t="s">
        <v>71</v>
      </c>
      <c r="AA44" s="43" t="s">
        <v>116</v>
      </c>
      <c r="AB44" s="43" t="s">
        <v>71</v>
      </c>
      <c r="AC44" s="43" t="s">
        <v>71</v>
      </c>
      <c r="AD44" s="43" t="s">
        <v>71</v>
      </c>
      <c r="AE44" s="43" t="s">
        <v>71</v>
      </c>
      <c r="AF44" s="43" t="s">
        <v>76</v>
      </c>
      <c r="AG44" t="str">
        <f>VLOOKUP($Q44,武学奇术!$A:$ZZ,25,FALSE)</f>
        <v>伞</v>
      </c>
      <c r="AH44" s="30">
        <f>VLOOKUP($Q44,武学奇术!$A:$ZZ,26,FALSE)</f>
        <v>0.54</v>
      </c>
      <c r="AI44" s="31">
        <f>VLOOKUP($Q44,武学奇术!$A:$ZZ,27,FALSE)*(1+IF(OR($AG44=$F$4,$AG44=$F$5),$B$22,0))</f>
        <v>0</v>
      </c>
      <c r="AJ44" s="30">
        <f>VLOOKUP($Q44,武学奇术!$A:$ZZ,28,FALSE)</f>
        <v>0.81</v>
      </c>
      <c r="AK44" s="31">
        <f>VLOOKUP($Q44,武学奇术!$A:$ZZ,29,FALSE)*(1+IF(OR($AG44=$F$4,$AG44=$F$5),$B$22,0))</f>
        <v>0</v>
      </c>
      <c r="AL44" s="30" cm="1">
        <f t="array" ref="AL44">$G$3+IFERROR(VLOOKUP($AG44,$F$4:$G$7,2,FALSE),0)+VLOOKUP($Q44,武学奇术!$A:$ZZ,2,FALSE)+SUM(_xlfn.XLOOKUP($R44:$AF44,增益!$A:$A,增益!$B:$B,0))</f>
        <v>0.7741</v>
      </c>
      <c r="AM44" s="30" cm="1">
        <f t="array" ref="AM44">VLOOKUP($Q44,武学奇术!$A:$ZZ,5,FALSE)+SUM(_xlfn.XLOOKUP($R44:$AF44,增益!$A:$A,增益!$E:$E,0))</f>
        <v>0</v>
      </c>
      <c r="AN44" cm="1">
        <f t="array" ref="AN44">$D$10*(1+$AM44)+VLOOKUP($Q44,武学奇术!$A:$ZZ,3,FALSE)+SUM(_xlfn.XLOOKUP($R44:$AF44,增益!$A:$A,增益!$C:$C,0))-$I$2</f>
        <v>3483.8</v>
      </c>
      <c r="AO44" cm="1">
        <f t="array" ref="AO44">$E$10*(1+$AM44)+VLOOKUP($Q44,武学奇术!$A:$ZZ,4,FALSE)+SUM(_xlfn.XLOOKUP($R44:$AF44,增益!$A:$A,增益!$D:$D,0))-$I$2</f>
        <v>3483.8</v>
      </c>
      <c r="AP44" s="35" cm="1">
        <f t="array" ref="AP44">IF($F$10-$I$3+VLOOKUP($Q44,武学奇术!$A:$ZZ,6,FALSE)+SUM(_xlfn.XLOOKUP(R44:AF44,增益!$A:$A,增益!$F:$F,0))&gt;0,($F$10-$I$3+VLOOKUP($Q44,武学奇术!$A:$ZZ,6,FALSE)+SUM(_xlfn.XLOOKUP(R44:AF44,增益!$A:$A,增益!$F:$F,0)))/200,($F$10-$I$3+VLOOKUP($Q44,武学奇术!$A:$ZZ,6,FALSE)+SUM(_xlfn.XLOOKUP(R44:AF44,增益!$A:$A,增益!$F:$F,0)))/100)</f>
        <v>0.2925</v>
      </c>
      <c r="AQ44" s="35" cm="1">
        <f t="array" ref="AQ44">$G$10+VLOOKUP($Q44,武学奇术!$A:$ZZ,7,FALSE)+SUM(_xlfn.XLOOKUP(R44:AF44,增益!$A:$A,增益!$G:$G,0))</f>
        <v>0.148</v>
      </c>
      <c r="AR44" s="30" cm="1">
        <f t="array" ref="AR44">VLOOKUP($Q44,武学奇术!$A:$ZZ,8,FALSE)+SUM(_xlfn.XLOOKUP(R44:AF44,增益!$A:$A,增益!$H:$H,0))</f>
        <v>0</v>
      </c>
      <c r="AS44">
        <f t="shared" si="1"/>
        <v>0</v>
      </c>
      <c r="AT44">
        <f t="shared" si="2"/>
        <v>0</v>
      </c>
      <c r="AU44" s="35" cm="1">
        <f t="array" ref="AU44">IF($F$11-$I$4+VLOOKUP($Q44,武学奇术!$A:$ZZ,9,FALSE)+SUM(_xlfn.XLOOKUP(R44:AF44,增益!$A:$A,增益!$I:$I,0))&gt;0,($F$11-$I$4+VLOOKUP($Q44,武学奇术!$A:$ZZ,9,FALSE)+SUM(_xlfn.XLOOKUP(R44:AF44,增益!$A:$A,增益!$I:$I,0)))/200,($F$11-$I$4+VLOOKUP($Q44,武学奇术!$A:$ZZ,9,FALSE)+SUM(_xlfn.XLOOKUP(R44:AF44,增益!$A:$A,增益!$I:$I,0)))/100)</f>
        <v>-0.3</v>
      </c>
      <c r="AV44" s="35" cm="1">
        <f t="array" ref="AV44">$G$11+VLOOKUP($Q44,武学奇术!$A:$ZZ,10,FALSE)+SUM(_xlfn.XLOOKUP(R44:AF44,增益!$A:$A,增益!$J:$J,0))</f>
        <v>0</v>
      </c>
      <c r="AW44">
        <f t="shared" si="3"/>
        <v>0</v>
      </c>
      <c r="AX44">
        <f t="shared" si="4"/>
        <v>0</v>
      </c>
      <c r="AY44" s="35" cm="1">
        <f t="array" ref="AY44">IF($F$12-$I$4+VLOOKUP($Q44,武学奇术!$A:$ZZ,11,FALSE)+SUM(_xlfn.XLOOKUP(R44:AF44,增益!$A:$A,增益!$K:$K,0))&gt;0,($F$12-$I$4+VLOOKUP($Q44,武学奇术!$A:$ZZ,11,FALSE)+SUM(_xlfn.XLOOKUP(R44:AF44,增益!$A:$A,增益!$K:$K,0)))/200,($F$12-$I$4+VLOOKUP($Q44,武学奇术!$A:$ZZ,11,FALSE)+SUM(_xlfn.XLOOKUP(R44:AF44,增益!$A:$A,增益!$K:$K,0)))/100)</f>
        <v>-0.3</v>
      </c>
      <c r="AZ44" s="35" cm="1">
        <f t="array" ref="AZ44">$G$12+VLOOKUP($Q44,武学奇术!$A:$ZZ,12,FALSE)+SUM(_xlfn.XLOOKUP(R44:AF44,增益!$A:$A,增益!$L:$L,0))</f>
        <v>0</v>
      </c>
      <c r="BA44">
        <f t="shared" si="5"/>
        <v>0</v>
      </c>
      <c r="BB44">
        <f t="shared" si="6"/>
        <v>0</v>
      </c>
      <c r="BC44" s="35" cm="1">
        <f t="array" ref="BC44">IF($F$13-$I$4+VLOOKUP($Q44,武学奇术!$A:$ZZ,13,FALSE)+SUM(_xlfn.XLOOKUP(R44:AF44,增益!$A:$A,增益!$M:$M,0))&gt;0,($F$13-$I$4+VLOOKUP($Q44,武学奇术!$A:$ZZ,13,FALSE)+SUM(_xlfn.XLOOKUP(R44:AF44,增益!$A:$A,增益!$K:$K,0)))/200,($F$13-$I$4+VLOOKUP($Q44,武学奇术!$A:$ZZ,13,FALSE)+SUM(_xlfn.XLOOKUP(R44:AF44,增益!$A:$A,增益!$M:$M,0)))/100)</f>
        <v>-0.3</v>
      </c>
      <c r="BD44" s="35" cm="1">
        <f t="array" ref="BD44">$G$13+VLOOKUP($Q44,武学奇术!$A:$ZZ,14,FALSE)+SUM(_xlfn.XLOOKUP(R44:AF44,增益!$A:$A,增益!$N:$N,0))</f>
        <v>0</v>
      </c>
      <c r="BE44">
        <f t="shared" si="7"/>
        <v>538</v>
      </c>
      <c r="BF44">
        <f t="shared" si="8"/>
        <v>1561.4</v>
      </c>
      <c r="BG44" s="35" cm="1">
        <f t="array" ref="BG44">IF($F$14-$I$4+VLOOKUP($Q44,武学奇术!$A:$ZZ,15,FALSE)+SUM(_xlfn.XLOOKUP(R44:AF44,增益!$A:$A,增益!$O:$O,0))&gt;0,($F$14-$I$4+VLOOKUP($Q44,武学奇术!$A:$ZZ,15,FALSE)+SUM(_xlfn.XLOOKUP(R44:AF44,增益!$A:$A,增益!$O:$O,0)))/200,($F$14-$I$4+VLOOKUP($Q44,武学奇术!$A:$ZZ,15,FALSE)+SUM(_xlfn.XLOOKUP(R44:AF44,增益!$A:$A,增益!$O:$O,0)))/100)</f>
        <v>0</v>
      </c>
      <c r="BH44" s="35" cm="1">
        <f t="array" ref="BH44">$G$14+VLOOKUP($Q44,武学奇术!$A:$ZZ,16,FALSE)+SUM(_xlfn.XLOOKUP(R44:AF44,增益!$A:$A,增益!$P:$P,0))</f>
        <v>0.27</v>
      </c>
      <c r="BI44" s="30">
        <f>MIN(IF(VLOOKUP($Q44,武学奇术!$A:$ZZ,23,FALSE)=1,100%,$B$8),100%)</f>
        <v>0.9712</v>
      </c>
      <c r="BJ44" s="30" cm="1">
        <f t="array" ref="BJ44">IF(VLOOKUP($Q44,武学奇术!$A:$ZZ,23,FALSE)=1,100%,MIN(80%,$B$9+VLOOKUP($Q44,武学奇术!$A:$ZZ,17,FALSE)+SUM(_xlfn.XLOOKUP(R44:AF44,增益!$A:$A,增益!$Q:$Q,0)))+$B$11+SUM(_xlfn.XLOOKUP(R44:AF44,增益!$A:$A,增益!$U:$U,0)))*IF(VLOOKUP($Q44,武学奇术!$A:$ZZ,24,FALSE)=1,0,1)</f>
        <v>0.8773</v>
      </c>
      <c r="BK44" s="30" cm="1">
        <f t="array" ref="BK44">1+$B$13+VLOOKUP($Q44,武学奇术!$A:$ZZ,18,FALSE)+SUM(_xlfn.XLOOKUP(R44:AF44,增益!$A:$A,增益!$R:$R,0))</f>
        <v>1.85</v>
      </c>
      <c r="BL44" s="30" cm="1">
        <f t="array" ref="BL44">IF(VLOOKUP($Q44,武学奇术!$A:$ZZ,24,FALSE)=1,100%,MIN(40%,$B$10+VLOOKUP($Q44,武学奇术!$A:$ZZ,19,FALSE)+SUM(_xlfn.XLOOKUP(R44:AF44,增益!$A:$A,增益!$S:$S,0)))+$B$12+SUM(_xlfn.XLOOKUP(R44:AF44,增益!$A:$A,增益!$V:$V,0)))*IF(VLOOKUP($Q44,武学奇术!$A:$ZZ,23,FALSE)=1,0,1)</f>
        <v>0.0895</v>
      </c>
      <c r="BM44" s="30" cm="1">
        <f t="array" ref="BM44">1+$B$14+VLOOKUP($Q44,武学奇术!$A:$ZZ,20,FALSE)+SUM(_xlfn.XLOOKUP(R44:AF44,增益!$A:$A,增益!$T:$T,0))</f>
        <v>1.35</v>
      </c>
      <c r="BN44" s="30">
        <f t="shared" si="9"/>
        <v>0.85203376</v>
      </c>
      <c r="BO44" s="30">
        <f t="shared" si="10"/>
        <v>0.03224384</v>
      </c>
      <c r="BP44" s="30">
        <f>IF(VLOOKUP($Q44,武学奇术!$A:$ZZ,22,FALSE)=1,0,(1-$BI44))*(1-$BL44)</f>
        <v>0.0262224</v>
      </c>
      <c r="BQ44" s="30" cm="1">
        <f t="array" ref="BQ44">SUM(_xlfn.XLOOKUP(R44:AF44,增益!$A:$A,增益!$W:$W,0))+$I$5</f>
        <v>0.11</v>
      </c>
    </row>
    <row r="45" spans="1:69">
      <c r="A45" s="4"/>
      <c r="B45" s="90"/>
      <c r="C45" s="4"/>
      <c r="K45" s="41">
        <f t="shared" si="11"/>
        <v>41653.8981002476</v>
      </c>
      <c r="L45" s="41">
        <f>((($AN45+$AO45)/2*$AH45+$AI45)*(1+$AP45)*(1+$AQ45)+(($AS45+$AT45)/2*IF($G$1="鸣金",$AJ45,$AH45)+IF($G$1="鸣金",$AK45*1.5,0))*(1+$AU45)*(1+$AV45)+(($AW45+$AX45)/2*IF($G$1="裂石",$AJ45,$AH45)+IF($G$1="裂石",$AK45*1.5,0))*(1+$AY45)*(1+$AZ45)+(($BA45+$BB45)/2*IF($G$1="牵丝",$AJ45,$AH45)+IF($G$1="牵丝",$AK45*1.5,0))*(1+$BC45)*(1+$BD45)+(($BE45+$BF45)/2*IF($G$1="破竹",$AJ45,$AH45)+IF($G$1="破竹",$AK45*1.5,0))*(1+$BG45)*(1+$BH45))*(1+$AL45)*$BK45*$P45*(1+IF(VLOOKUP($Q45,武学奇术!$A:$ZZ,30,FALSE)="回旋伞",$B$21,0))*(1+$BQ45)</f>
        <v>41653.8981002476</v>
      </c>
      <c r="M45" s="41">
        <f>(($AO45*$AH45+$AI45)*(1+$AP45)*(1+$AQ45)+($AT45*IF($G$1="鸣金",$AJ45,$AH45)+IF($G$1="鸣金",$AK45*1.5,0))*(1+$AU45)*(1+$AV45)+($AX45*IF($G$1="裂石",$AJ45,$AH45)+IF($G$1="裂石",$AK45*1.5,0))*(1+$AY45)*(1+$AZ45)+($BB45*IF($G$1="牵丝",$AJ45,$AH45)+IF($G$1="牵丝",$AK45*1.5,0))*(1+$BC45)*(1+$BD45)+($BF45*IF($G$1="破竹",$AJ45,$AH45)+IF($G$1="破竹",$AK45*1.5,0))*(1+$BG45)*(1+$BH45))*(1+$AL45)*$BM45*$P45*(1+IF(VLOOKUP($Q45,武学奇术!$A:$ZZ,30,FALSE)="回旋伞",$B$21,0))*(1+$BQ45)</f>
        <v>34343.5402133959</v>
      </c>
      <c r="N45" s="41">
        <f>((($AN45+$AO45)/2*$AH45+$AI45)*(1+$AP45)*(1+$AQ45)+(($AS45+$AT45)/2*IF($G$1="鸣金",$AJ45,$AH45)+IF($G$1="鸣金",$AK45*1.5,0))*(1+$AU45)*(1+$AV45)+(($AW45+$AX45)/2*IF($G$1="裂石",$AJ45,$AH45)+IF($G$1="裂石",$AK45*1.5,0))*(1+$AY45)*(1+$AZ45)+(($BA45+$BB45)/2*IF($G$1="牵丝",$AJ45,$AH45)+IF($G$1="牵丝",$AK45*1.5,0))*(1+$BC45)*(1+$BD45)+(($BE45+$BF45)/2*IF($G$1="破竹",$AJ45,$AH45)+IF($G$1="破竹",$AK45*1.5,0))*(1+$BG45)*(1+$BH45))*(1+$AL45)*$P45*(1+IF(VLOOKUP($Q45,武学奇术!$A:$ZZ,30,FALSE)="回旋伞",$B$21,0))*(1+$BQ45)</f>
        <v>22394.5688711008</v>
      </c>
      <c r="O45" s="41">
        <f>((($AN45*$AH45+$AI45)*(1+$AP45)*(1+$AQ45)+($AS45*IF($G$1="鸣金",$AJ45,$AH45)+IF($G$1="鸣金",$AK45*1.5,0))*(1+$AU45)*(1+$AV45)+($AW45*IF($G$1="裂石",$AJ45,$AH45)+IF($G$1="裂石",$AK45*1.5,0))*(1+$AY45)*(1+$AZ45)+($BA45*IF($G$1="牵丝",$AJ45,$AH45)+IF($G$1="牵丝",$AK45*1.5,0))*(1+$BC45)*(1+$BD45)+($BE45*IF($G$1="破竹",$AJ45,$AH45)+IF($G$1="破竹",$AK45*1.5,0))*(1+$BG45)*(1+$BH45))*(1+$AL45))*$P45*(1+IF(VLOOKUP($Q45,武学奇术!$A:$ZZ,30,FALSE)="回旋伞",$B$21,0))*(1+$BQ45)</f>
        <v>19349.4783248713</v>
      </c>
      <c r="P45" s="42">
        <v>2</v>
      </c>
      <c r="Q45" s="43" t="s">
        <v>130</v>
      </c>
      <c r="R45" s="43" t="s">
        <v>105</v>
      </c>
      <c r="S45" s="43" t="s">
        <v>91</v>
      </c>
      <c r="T45" s="43" t="s">
        <v>72</v>
      </c>
      <c r="U45" s="43" t="s">
        <v>71</v>
      </c>
      <c r="V45" s="43" t="s">
        <v>164</v>
      </c>
      <c r="W45" s="43" t="s">
        <v>95</v>
      </c>
      <c r="X45" s="43" t="s">
        <v>71</v>
      </c>
      <c r="Y45" s="43" t="s">
        <v>71</v>
      </c>
      <c r="Z45" s="43" t="s">
        <v>71</v>
      </c>
      <c r="AA45" s="43" t="s">
        <v>116</v>
      </c>
      <c r="AB45" s="43" t="s">
        <v>71</v>
      </c>
      <c r="AC45" s="43" t="s">
        <v>71</v>
      </c>
      <c r="AD45" s="43" t="s">
        <v>71</v>
      </c>
      <c r="AE45" s="43" t="s">
        <v>71</v>
      </c>
      <c r="AF45" s="43" t="s">
        <v>76</v>
      </c>
      <c r="AG45" t="str">
        <f>VLOOKUP($Q45,武学奇术!$A:$ZZ,25,FALSE)</f>
        <v>伞</v>
      </c>
      <c r="AH45" s="30">
        <f>VLOOKUP($Q45,武学奇术!$A:$ZZ,26,FALSE)</f>
        <v>0.54</v>
      </c>
      <c r="AI45" s="31">
        <f>VLOOKUP($Q45,武学奇术!$A:$ZZ,27,FALSE)*(1+IF(OR($AG45=$F$4,$AG45=$F$5),$B$22,0))</f>
        <v>0</v>
      </c>
      <c r="AJ45" s="30">
        <f>VLOOKUP($Q45,武学奇术!$A:$ZZ,28,FALSE)</f>
        <v>0.81</v>
      </c>
      <c r="AK45" s="31">
        <f>VLOOKUP($Q45,武学奇术!$A:$ZZ,29,FALSE)*(1+IF(OR($AG45=$F$4,$AG45=$F$5),$B$22,0))</f>
        <v>0</v>
      </c>
      <c r="AL45" s="30" cm="1">
        <f t="array" ref="AL45">$G$3+IFERROR(VLOOKUP($AG45,$F$4:$G$7,2,FALSE),0)+VLOOKUP($Q45,武学奇术!$A:$ZZ,2,FALSE)+SUM(_xlfn.XLOOKUP($R45:$AF45,增益!$A:$A,增益!$B:$B,0))</f>
        <v>0.9741</v>
      </c>
      <c r="AM45" s="30" cm="1">
        <f t="array" ref="AM45">VLOOKUP($Q45,武学奇术!$A:$ZZ,5,FALSE)+SUM(_xlfn.XLOOKUP($R45:$AF45,增益!$A:$A,增益!$E:$E,0))</f>
        <v>0</v>
      </c>
      <c r="AN45" cm="1">
        <f t="array" ref="AN45">$D$10*(1+$AM45)+VLOOKUP($Q45,武学奇术!$A:$ZZ,3,FALSE)+SUM(_xlfn.XLOOKUP($R45:$AF45,增益!$A:$A,增益!$C:$C,0))-$I$2</f>
        <v>3483.8</v>
      </c>
      <c r="AO45" cm="1">
        <f t="array" ref="AO45">$E$10*(1+$AM45)+VLOOKUP($Q45,武学奇术!$A:$ZZ,4,FALSE)+SUM(_xlfn.XLOOKUP($R45:$AF45,增益!$A:$A,增益!$D:$D,0))-$I$2</f>
        <v>3483.8</v>
      </c>
      <c r="AP45" s="35" cm="1">
        <f t="array" ref="AP45">IF($F$10-$I$3+VLOOKUP($Q45,武学奇术!$A:$ZZ,6,FALSE)+SUM(_xlfn.XLOOKUP(R45:AF45,增益!$A:$A,增益!$F:$F,0))&gt;0,($F$10-$I$3+VLOOKUP($Q45,武学奇术!$A:$ZZ,6,FALSE)+SUM(_xlfn.XLOOKUP(R45:AF45,增益!$A:$A,增益!$F:$F,0)))/200,($F$10-$I$3+VLOOKUP($Q45,武学奇术!$A:$ZZ,6,FALSE)+SUM(_xlfn.XLOOKUP(R45:AF45,增益!$A:$A,增益!$F:$F,0)))/100)</f>
        <v>0.2925</v>
      </c>
      <c r="AQ45" s="35" cm="1">
        <f t="array" ref="AQ45">$G$10+VLOOKUP($Q45,武学奇术!$A:$ZZ,7,FALSE)+SUM(_xlfn.XLOOKUP(R45:AF45,增益!$A:$A,增益!$G:$G,0))</f>
        <v>0.148</v>
      </c>
      <c r="AR45" s="30" cm="1">
        <f t="array" ref="AR45">VLOOKUP($Q45,武学奇术!$A:$ZZ,8,FALSE)+SUM(_xlfn.XLOOKUP(R45:AF45,增益!$A:$A,增益!$H:$H,0))</f>
        <v>0</v>
      </c>
      <c r="AS45">
        <f t="shared" si="1"/>
        <v>0</v>
      </c>
      <c r="AT45">
        <f t="shared" si="2"/>
        <v>0</v>
      </c>
      <c r="AU45" s="35" cm="1">
        <f t="array" ref="AU45">IF($F$11-$I$4+VLOOKUP($Q45,武学奇术!$A:$ZZ,9,FALSE)+SUM(_xlfn.XLOOKUP(R45:AF45,增益!$A:$A,增益!$I:$I,0))&gt;0,($F$11-$I$4+VLOOKUP($Q45,武学奇术!$A:$ZZ,9,FALSE)+SUM(_xlfn.XLOOKUP(R45:AF45,增益!$A:$A,增益!$I:$I,0)))/200,($F$11-$I$4+VLOOKUP($Q45,武学奇术!$A:$ZZ,9,FALSE)+SUM(_xlfn.XLOOKUP(R45:AF45,增益!$A:$A,增益!$I:$I,0)))/100)</f>
        <v>-0.3</v>
      </c>
      <c r="AV45" s="35" cm="1">
        <f t="array" ref="AV45">$G$11+VLOOKUP($Q45,武学奇术!$A:$ZZ,10,FALSE)+SUM(_xlfn.XLOOKUP(R45:AF45,增益!$A:$A,增益!$J:$J,0))</f>
        <v>0</v>
      </c>
      <c r="AW45">
        <f t="shared" si="3"/>
        <v>0</v>
      </c>
      <c r="AX45">
        <f t="shared" si="4"/>
        <v>0</v>
      </c>
      <c r="AY45" s="35" cm="1">
        <f t="array" ref="AY45">IF($F$12-$I$4+VLOOKUP($Q45,武学奇术!$A:$ZZ,11,FALSE)+SUM(_xlfn.XLOOKUP(R45:AF45,增益!$A:$A,增益!$K:$K,0))&gt;0,($F$12-$I$4+VLOOKUP($Q45,武学奇术!$A:$ZZ,11,FALSE)+SUM(_xlfn.XLOOKUP(R45:AF45,增益!$A:$A,增益!$K:$K,0)))/200,($F$12-$I$4+VLOOKUP($Q45,武学奇术!$A:$ZZ,11,FALSE)+SUM(_xlfn.XLOOKUP(R45:AF45,增益!$A:$A,增益!$K:$K,0)))/100)</f>
        <v>-0.3</v>
      </c>
      <c r="AZ45" s="35" cm="1">
        <f t="array" ref="AZ45">$G$12+VLOOKUP($Q45,武学奇术!$A:$ZZ,12,FALSE)+SUM(_xlfn.XLOOKUP(R45:AF45,增益!$A:$A,增益!$L:$L,0))</f>
        <v>0</v>
      </c>
      <c r="BA45">
        <f t="shared" si="5"/>
        <v>0</v>
      </c>
      <c r="BB45">
        <f t="shared" si="6"/>
        <v>0</v>
      </c>
      <c r="BC45" s="35" cm="1">
        <f t="array" ref="BC45">IF($F$13-$I$4+VLOOKUP($Q45,武学奇术!$A:$ZZ,13,FALSE)+SUM(_xlfn.XLOOKUP(R45:AF45,增益!$A:$A,增益!$M:$M,0))&gt;0,($F$13-$I$4+VLOOKUP($Q45,武学奇术!$A:$ZZ,13,FALSE)+SUM(_xlfn.XLOOKUP(R45:AF45,增益!$A:$A,增益!$K:$K,0)))/200,($F$13-$I$4+VLOOKUP($Q45,武学奇术!$A:$ZZ,13,FALSE)+SUM(_xlfn.XLOOKUP(R45:AF45,增益!$A:$A,增益!$M:$M,0)))/100)</f>
        <v>-0.3</v>
      </c>
      <c r="BD45" s="35" cm="1">
        <f t="array" ref="BD45">$G$13+VLOOKUP($Q45,武学奇术!$A:$ZZ,14,FALSE)+SUM(_xlfn.XLOOKUP(R45:AF45,增益!$A:$A,增益!$N:$N,0))</f>
        <v>0</v>
      </c>
      <c r="BE45">
        <f t="shared" si="7"/>
        <v>538</v>
      </c>
      <c r="BF45">
        <f t="shared" si="8"/>
        <v>1561.4</v>
      </c>
      <c r="BG45" s="35" cm="1">
        <f t="array" ref="BG45">IF($F$14-$I$4+VLOOKUP($Q45,武学奇术!$A:$ZZ,15,FALSE)+SUM(_xlfn.XLOOKUP(R45:AF45,增益!$A:$A,增益!$O:$O,0))&gt;0,($F$14-$I$4+VLOOKUP($Q45,武学奇术!$A:$ZZ,15,FALSE)+SUM(_xlfn.XLOOKUP(R45:AF45,增益!$A:$A,增益!$O:$O,0)))/200,($F$14-$I$4+VLOOKUP($Q45,武学奇术!$A:$ZZ,15,FALSE)+SUM(_xlfn.XLOOKUP(R45:AF45,增益!$A:$A,增益!$O:$O,0)))/100)</f>
        <v>0</v>
      </c>
      <c r="BH45" s="35" cm="1">
        <f t="array" ref="BH45">$G$14+VLOOKUP($Q45,武学奇术!$A:$ZZ,16,FALSE)+SUM(_xlfn.XLOOKUP(R45:AF45,增益!$A:$A,增益!$P:$P,0))</f>
        <v>0.27</v>
      </c>
      <c r="BI45" s="30">
        <f>MIN(IF(VLOOKUP($Q45,武学奇术!$A:$ZZ,23,FALSE)=1,100%,$B$8),100%)</f>
        <v>1</v>
      </c>
      <c r="BJ45" s="30" cm="1">
        <f t="array" ref="BJ45">IF(VLOOKUP($Q45,武学奇术!$A:$ZZ,23,FALSE)=1,100%,MIN(80%,$B$9+VLOOKUP($Q45,武学奇术!$A:$ZZ,17,FALSE)+SUM(_xlfn.XLOOKUP(R45:AF45,增益!$A:$A,增益!$Q:$Q,0)))+$B$11+SUM(_xlfn.XLOOKUP(R45:AF45,增益!$A:$A,增益!$U:$U,0)))*IF(VLOOKUP($Q45,武学奇术!$A:$ZZ,24,FALSE)=1,0,1)</f>
        <v>1</v>
      </c>
      <c r="BK45" s="30" cm="1">
        <f t="array" ref="BK45">1+$B$13+VLOOKUP($Q45,武学奇术!$A:$ZZ,18,FALSE)+SUM(_xlfn.XLOOKUP(R45:AF45,增益!$A:$A,增益!$R:$R,0))</f>
        <v>1.86</v>
      </c>
      <c r="BL45" s="30" cm="1">
        <f t="array" ref="BL45">IF(VLOOKUP($Q45,武学奇术!$A:$ZZ,24,FALSE)=1,100%,MIN(40%,$B$10+VLOOKUP($Q45,武学奇术!$A:$ZZ,19,FALSE)+SUM(_xlfn.XLOOKUP(R45:AF45,增益!$A:$A,增益!$S:$S,0)))+$B$12+SUM(_xlfn.XLOOKUP(R45:AF45,增益!$A:$A,增益!$V:$V,0)))*IF(VLOOKUP($Q45,武学奇术!$A:$ZZ,23,FALSE)=1,0,1)</f>
        <v>0</v>
      </c>
      <c r="BM45" s="30" cm="1">
        <f t="array" ref="BM45">1+$B$14+VLOOKUP($Q45,武学奇术!$A:$ZZ,20,FALSE)+SUM(_xlfn.XLOOKUP(R45:AF45,增益!$A:$A,增益!$T:$T,0))</f>
        <v>1.35</v>
      </c>
      <c r="BN45" s="30">
        <f t="shared" si="9"/>
        <v>1</v>
      </c>
      <c r="BO45" s="30">
        <f t="shared" si="10"/>
        <v>0</v>
      </c>
      <c r="BP45" s="30">
        <f>IF(VLOOKUP($Q45,武学奇术!$A:$ZZ,22,FALSE)=1,0,(1-$BI45))*(1-$BL45)</f>
        <v>0</v>
      </c>
      <c r="BQ45" s="30" cm="1">
        <f t="array" ref="BQ45">SUM(_xlfn.XLOOKUP(R45:AF45,增益!$A:$A,增益!$W:$W,0))+$I$5</f>
        <v>0.11</v>
      </c>
    </row>
    <row r="46" spans="1:69">
      <c r="A46" s="4"/>
      <c r="B46" s="4"/>
      <c r="C46" s="4"/>
      <c r="K46" s="41">
        <f t="shared" si="11"/>
        <v>71524.3336313968</v>
      </c>
      <c r="L46" s="41">
        <f>((($AN46+$AO46)/2*$AH46+$AI46)*(1+$AP46)*(1+$AQ46)+(($AS46+$AT46)/2*IF($G$1="鸣金",$AJ46,$AH46)+IF($G$1="鸣金",$AK46*1.5,0))*(1+$AU46)*(1+$AV46)+(($AW46+$AX46)/2*IF($G$1="裂石",$AJ46,$AH46)+IF($G$1="裂石",$AK46*1.5,0))*(1+$AY46)*(1+$AZ46)+(($BA46+$BB46)/2*IF($G$1="牵丝",$AJ46,$AH46)+IF($G$1="牵丝",$AK46*1.5,0))*(1+$BC46)*(1+$BD46)+(($BE46+$BF46)/2*IF($G$1="破竹",$AJ46,$AH46)+IF($G$1="破竹",$AK46*1.5,0))*(1+$BG46)*(1+$BH46))*(1+$AL46)*$BK46*$P46*(1+IF(VLOOKUP($Q46,武学奇术!$A:$ZZ,30,FALSE)="回旋伞",$B$21,0))*(1+$BQ46)</f>
        <v>74867.7175620781</v>
      </c>
      <c r="M46" s="41">
        <f>(($AO46*$AH46+$AI46)*(1+$AP46)*(1+$AQ46)+($AT46*IF($G$1="鸣金",$AJ46,$AH46)+IF($G$1="鸣金",$AK46*1.5,0))*(1+$AU46)*(1+$AV46)+($AX46*IF($G$1="裂石",$AJ46,$AH46)+IF($G$1="裂石",$AK46*1.5,0))*(1+$AY46)*(1+$AZ46)+($BB46*IF($G$1="牵丝",$AJ46,$AH46)+IF($G$1="牵丝",$AK46*1.5,0))*(1+$BC46)*(1+$BD46)+($BF46*IF($G$1="破竹",$AJ46,$AH46)+IF($G$1="破竹",$AK46*1.5,0))*(1+$BG46)*(1+$BH46))*(1+$AL46)*$BM46*$P46*(1+IF(VLOOKUP($Q46,武学奇术!$A:$ZZ,30,FALSE)="回旋伞",$B$21,0))*(1+$BQ46)</f>
        <v>61728.2556026399</v>
      </c>
      <c r="N46" s="41">
        <f>((($AN46+$AO46)/2*$AH46+$AI46)*(1+$AP46)*(1+$AQ46)+(($AS46+$AT46)/2*IF($G$1="鸣金",$AJ46,$AH46)+IF($G$1="鸣金",$AK46*1.5,0))*(1+$AU46)*(1+$AV46)+(($AW46+$AX46)/2*IF($G$1="裂石",$AJ46,$AH46)+IF($G$1="裂石",$AK46*1.5,0))*(1+$AY46)*(1+$AZ46)+(($BA46+$BB46)/2*IF($G$1="牵丝",$AJ46,$AH46)+IF($G$1="牵丝",$AK46*1.5,0))*(1+$BC46)*(1+$BD46)+(($BE46+$BF46)/2*IF($G$1="破竹",$AJ46,$AH46)+IF($G$1="破竹",$AK46*1.5,0))*(1+$BG46)*(1+$BH46))*(1+$AL46)*$P46*(1+IF(VLOOKUP($Q46,武学奇术!$A:$ZZ,30,FALSE)="回旋伞",$B$21,0))*(1+$BQ46)</f>
        <v>40251.4610548807</v>
      </c>
      <c r="O46" s="41">
        <f>((($AN46*$AH46+$AI46)*(1+$AP46)*(1+$AQ46)+($AS46*IF($G$1="鸣金",$AJ46,$AH46)+IF($G$1="鸣金",$AK46*1.5,0))*(1+$AU46)*(1+$AV46)+($AW46*IF($G$1="裂石",$AJ46,$AH46)+IF($G$1="裂石",$AK46*1.5,0))*(1+$AY46)*(1+$AZ46)+($BA46*IF($G$1="牵丝",$AJ46,$AH46)+IF($G$1="牵丝",$AK46*1.5,0))*(1+$BC46)*(1+$BD46)+($BE46*IF($G$1="破竹",$AJ46,$AH46)+IF($G$1="破竹",$AK46*1.5,0))*(1+$BG46)*(1+$BH46))*(1+$AL46))*$P46*(1+IF(VLOOKUP($Q46,武学奇术!$A:$ZZ,30,FALSE)="回旋伞",$B$21,0))*(1+$BQ46)</f>
        <v>34778.2883300281</v>
      </c>
      <c r="P46" s="42">
        <v>4</v>
      </c>
      <c r="Q46" s="43" t="s">
        <v>120</v>
      </c>
      <c r="R46" s="43" t="s">
        <v>105</v>
      </c>
      <c r="S46" s="43" t="s">
        <v>91</v>
      </c>
      <c r="T46" s="43" t="s">
        <v>72</v>
      </c>
      <c r="U46" s="43" t="s">
        <v>71</v>
      </c>
      <c r="V46" s="43" t="s">
        <v>164</v>
      </c>
      <c r="W46" s="43" t="s">
        <v>95</v>
      </c>
      <c r="X46" s="43" t="s">
        <v>71</v>
      </c>
      <c r="Y46" s="43" t="s">
        <v>71</v>
      </c>
      <c r="Z46" s="43" t="s">
        <v>71</v>
      </c>
      <c r="AA46" s="43" t="s">
        <v>116</v>
      </c>
      <c r="AB46" s="43" t="s">
        <v>71</v>
      </c>
      <c r="AC46" s="43" t="s">
        <v>71</v>
      </c>
      <c r="AD46" s="43" t="s">
        <v>71</v>
      </c>
      <c r="AE46" s="43" t="s">
        <v>71</v>
      </c>
      <c r="AF46" s="43" t="s">
        <v>76</v>
      </c>
      <c r="AG46" t="str">
        <f>VLOOKUP($Q46,武学奇术!$A:$ZZ,25,FALSE)</f>
        <v>伞</v>
      </c>
      <c r="AH46" s="30">
        <f>VLOOKUP($Q46,武学奇术!$A:$ZZ,26,FALSE)</f>
        <v>0.54</v>
      </c>
      <c r="AI46" s="31">
        <f>VLOOKUP($Q46,武学奇术!$A:$ZZ,27,FALSE)*(1+IF(OR($AG46=$F$4,$AG46=$F$5),$B$22,0))</f>
        <v>0</v>
      </c>
      <c r="AJ46" s="30">
        <f>VLOOKUP($Q46,武学奇术!$A:$ZZ,28,FALSE)</f>
        <v>0.81</v>
      </c>
      <c r="AK46" s="31">
        <f>VLOOKUP($Q46,武学奇术!$A:$ZZ,29,FALSE)*(1+IF(OR($AG46=$F$4,$AG46=$F$5),$B$22,0))</f>
        <v>0</v>
      </c>
      <c r="AL46" s="30" cm="1">
        <f t="array" ref="AL46">$G$3+IFERROR(VLOOKUP($AG46,$F$4:$G$7,2,FALSE),0)+VLOOKUP($Q46,武学奇术!$A:$ZZ,2,FALSE)+SUM(_xlfn.XLOOKUP($R46:$AF46,增益!$A:$A,增益!$B:$B,0))</f>
        <v>0.7741</v>
      </c>
      <c r="AM46" s="30" cm="1">
        <f t="array" ref="AM46">VLOOKUP($Q46,武学奇术!$A:$ZZ,5,FALSE)+SUM(_xlfn.XLOOKUP($R46:$AF46,增益!$A:$A,增益!$E:$E,0))</f>
        <v>0</v>
      </c>
      <c r="AN46" cm="1">
        <f t="array" ref="AN46">$D$10*(1+$AM46)+VLOOKUP($Q46,武学奇术!$A:$ZZ,3,FALSE)+SUM(_xlfn.XLOOKUP($R46:$AF46,增益!$A:$A,增益!$C:$C,0))-$I$2</f>
        <v>3483.8</v>
      </c>
      <c r="AO46" cm="1">
        <f t="array" ref="AO46">$E$10*(1+$AM46)+VLOOKUP($Q46,武学奇术!$A:$ZZ,4,FALSE)+SUM(_xlfn.XLOOKUP($R46:$AF46,增益!$A:$A,增益!$D:$D,0))-$I$2</f>
        <v>3483.8</v>
      </c>
      <c r="AP46" s="35" cm="1">
        <f t="array" ref="AP46">IF($F$10-$I$3+VLOOKUP($Q46,武学奇术!$A:$ZZ,6,FALSE)+SUM(_xlfn.XLOOKUP(R46:AF46,增益!$A:$A,增益!$F:$F,0))&gt;0,($F$10-$I$3+VLOOKUP($Q46,武学奇术!$A:$ZZ,6,FALSE)+SUM(_xlfn.XLOOKUP(R46:AF46,增益!$A:$A,增益!$F:$F,0)))/200,($F$10-$I$3+VLOOKUP($Q46,武学奇术!$A:$ZZ,6,FALSE)+SUM(_xlfn.XLOOKUP(R46:AF46,增益!$A:$A,增益!$F:$F,0)))/100)</f>
        <v>0.2925</v>
      </c>
      <c r="AQ46" s="35" cm="1">
        <f t="array" ref="AQ46">$G$10+VLOOKUP($Q46,武学奇术!$A:$ZZ,7,FALSE)+SUM(_xlfn.XLOOKUP(R46:AF46,增益!$A:$A,增益!$G:$G,0))</f>
        <v>0.148</v>
      </c>
      <c r="AR46" s="30" cm="1">
        <f t="array" ref="AR46">VLOOKUP($Q46,武学奇术!$A:$ZZ,8,FALSE)+SUM(_xlfn.XLOOKUP(R46:AF46,增益!$A:$A,增益!$H:$H,0))</f>
        <v>0</v>
      </c>
      <c r="AS46">
        <f t="shared" si="1"/>
        <v>0</v>
      </c>
      <c r="AT46">
        <f t="shared" si="2"/>
        <v>0</v>
      </c>
      <c r="AU46" s="35" cm="1">
        <f t="array" ref="AU46">IF($F$11-$I$4+VLOOKUP($Q46,武学奇术!$A:$ZZ,9,FALSE)+SUM(_xlfn.XLOOKUP(R46:AF46,增益!$A:$A,增益!$I:$I,0))&gt;0,($F$11-$I$4+VLOOKUP($Q46,武学奇术!$A:$ZZ,9,FALSE)+SUM(_xlfn.XLOOKUP(R46:AF46,增益!$A:$A,增益!$I:$I,0)))/200,($F$11-$I$4+VLOOKUP($Q46,武学奇术!$A:$ZZ,9,FALSE)+SUM(_xlfn.XLOOKUP(R46:AF46,增益!$A:$A,增益!$I:$I,0)))/100)</f>
        <v>-0.3</v>
      </c>
      <c r="AV46" s="35" cm="1">
        <f t="array" ref="AV46">$G$11+VLOOKUP($Q46,武学奇术!$A:$ZZ,10,FALSE)+SUM(_xlfn.XLOOKUP(R46:AF46,增益!$A:$A,增益!$J:$J,0))</f>
        <v>0</v>
      </c>
      <c r="AW46">
        <f t="shared" si="3"/>
        <v>0</v>
      </c>
      <c r="AX46">
        <f t="shared" si="4"/>
        <v>0</v>
      </c>
      <c r="AY46" s="35" cm="1">
        <f t="array" ref="AY46">IF($F$12-$I$4+VLOOKUP($Q46,武学奇术!$A:$ZZ,11,FALSE)+SUM(_xlfn.XLOOKUP(R46:AF46,增益!$A:$A,增益!$K:$K,0))&gt;0,($F$12-$I$4+VLOOKUP($Q46,武学奇术!$A:$ZZ,11,FALSE)+SUM(_xlfn.XLOOKUP(R46:AF46,增益!$A:$A,增益!$K:$K,0)))/200,($F$12-$I$4+VLOOKUP($Q46,武学奇术!$A:$ZZ,11,FALSE)+SUM(_xlfn.XLOOKUP(R46:AF46,增益!$A:$A,增益!$K:$K,0)))/100)</f>
        <v>-0.3</v>
      </c>
      <c r="AZ46" s="35" cm="1">
        <f t="array" ref="AZ46">$G$12+VLOOKUP($Q46,武学奇术!$A:$ZZ,12,FALSE)+SUM(_xlfn.XLOOKUP(R46:AF46,增益!$A:$A,增益!$L:$L,0))</f>
        <v>0</v>
      </c>
      <c r="BA46">
        <f t="shared" si="5"/>
        <v>0</v>
      </c>
      <c r="BB46">
        <f t="shared" si="6"/>
        <v>0</v>
      </c>
      <c r="BC46" s="35" cm="1">
        <f t="array" ref="BC46">IF($F$13-$I$4+VLOOKUP($Q46,武学奇术!$A:$ZZ,13,FALSE)+SUM(_xlfn.XLOOKUP(R46:AF46,增益!$A:$A,增益!$M:$M,0))&gt;0,($F$13-$I$4+VLOOKUP($Q46,武学奇术!$A:$ZZ,13,FALSE)+SUM(_xlfn.XLOOKUP(R46:AF46,增益!$A:$A,增益!$K:$K,0)))/200,($F$13-$I$4+VLOOKUP($Q46,武学奇术!$A:$ZZ,13,FALSE)+SUM(_xlfn.XLOOKUP(R46:AF46,增益!$A:$A,增益!$M:$M,0)))/100)</f>
        <v>-0.3</v>
      </c>
      <c r="BD46" s="35" cm="1">
        <f t="array" ref="BD46">$G$13+VLOOKUP($Q46,武学奇术!$A:$ZZ,14,FALSE)+SUM(_xlfn.XLOOKUP(R46:AF46,增益!$A:$A,增益!$N:$N,0))</f>
        <v>0</v>
      </c>
      <c r="BE46">
        <f t="shared" si="7"/>
        <v>538</v>
      </c>
      <c r="BF46">
        <f t="shared" si="8"/>
        <v>1561.4</v>
      </c>
      <c r="BG46" s="35" cm="1">
        <f t="array" ref="BG46">IF($F$14-$I$4+VLOOKUP($Q46,武学奇术!$A:$ZZ,15,FALSE)+SUM(_xlfn.XLOOKUP(R46:AF46,增益!$A:$A,增益!$O:$O,0))&gt;0,($F$14-$I$4+VLOOKUP($Q46,武学奇术!$A:$ZZ,15,FALSE)+SUM(_xlfn.XLOOKUP(R46:AF46,增益!$A:$A,增益!$O:$O,0)))/200,($F$14-$I$4+VLOOKUP($Q46,武学奇术!$A:$ZZ,15,FALSE)+SUM(_xlfn.XLOOKUP(R46:AF46,增益!$A:$A,增益!$O:$O,0)))/100)</f>
        <v>0</v>
      </c>
      <c r="BH46" s="35" cm="1">
        <f t="array" ref="BH46">$G$14+VLOOKUP($Q46,武学奇术!$A:$ZZ,16,FALSE)+SUM(_xlfn.XLOOKUP(R46:AF46,增益!$A:$A,增益!$P:$P,0))</f>
        <v>0.27</v>
      </c>
      <c r="BI46" s="30">
        <f>MIN(IF(VLOOKUP($Q46,武学奇术!$A:$ZZ,23,FALSE)=1,100%,$B$8),100%)</f>
        <v>0.9712</v>
      </c>
      <c r="BJ46" s="30" cm="1">
        <f t="array" ref="BJ46">IF(VLOOKUP($Q46,武学奇术!$A:$ZZ,23,FALSE)=1,100%,MIN(80%,$B$9+VLOOKUP($Q46,武学奇术!$A:$ZZ,17,FALSE)+SUM(_xlfn.XLOOKUP(R46:AF46,增益!$A:$A,增益!$Q:$Q,0)))+$B$11+SUM(_xlfn.XLOOKUP(R46:AF46,增益!$A:$A,增益!$U:$U,0)))*IF(VLOOKUP($Q46,武学奇术!$A:$ZZ,24,FALSE)=1,0,1)</f>
        <v>0.8773</v>
      </c>
      <c r="BK46" s="30" cm="1">
        <f t="array" ref="BK46">1+$B$13+VLOOKUP($Q46,武学奇术!$A:$ZZ,18,FALSE)+SUM(_xlfn.XLOOKUP(R46:AF46,增益!$A:$A,增益!$R:$R,0))</f>
        <v>1.86</v>
      </c>
      <c r="BL46" s="30" cm="1">
        <f t="array" ref="BL46">IF(VLOOKUP($Q46,武学奇术!$A:$ZZ,24,FALSE)=1,100%,MIN(40%,$B$10+VLOOKUP($Q46,武学奇术!$A:$ZZ,19,FALSE)+SUM(_xlfn.XLOOKUP(R46:AF46,增益!$A:$A,增益!$S:$S,0)))+$B$12+SUM(_xlfn.XLOOKUP(R46:AF46,增益!$A:$A,增益!$V:$V,0)))*IF(VLOOKUP($Q46,武学奇术!$A:$ZZ,23,FALSE)=1,0,1)</f>
        <v>0.0895</v>
      </c>
      <c r="BM46" s="30" cm="1">
        <f t="array" ref="BM46">1+$B$14+VLOOKUP($Q46,武学奇术!$A:$ZZ,20,FALSE)+SUM(_xlfn.XLOOKUP(R46:AF46,增益!$A:$A,增益!$T:$T,0))</f>
        <v>1.35</v>
      </c>
      <c r="BN46" s="30">
        <f t="shared" si="9"/>
        <v>0.85203376</v>
      </c>
      <c r="BO46" s="30">
        <f t="shared" si="10"/>
        <v>0.03224384</v>
      </c>
      <c r="BP46" s="30">
        <f>IF(VLOOKUP($Q46,武学奇术!$A:$ZZ,22,FALSE)=1,0,(1-$BI46))*(1-$BL46)</f>
        <v>0.0262224</v>
      </c>
      <c r="BQ46" s="30" cm="1">
        <f t="array" ref="BQ46">SUM(_xlfn.XLOOKUP(R46:AF46,增益!$A:$A,增益!$W:$W,0))+$I$5</f>
        <v>0.11</v>
      </c>
    </row>
    <row r="47" spans="1:69">
      <c r="A47" s="4"/>
      <c r="B47" s="4"/>
      <c r="C47" s="4"/>
      <c r="K47" s="41">
        <f t="shared" si="11"/>
        <v>20826.9490501238</v>
      </c>
      <c r="L47" s="41">
        <f>((($AN47+$AO47)/2*$AH47+$AI47)*(1+$AP47)*(1+$AQ47)+(($AS47+$AT47)/2*IF($G$1="鸣金",$AJ47,$AH47)+IF($G$1="鸣金",$AK47*1.5,0))*(1+$AU47)*(1+$AV47)+(($AW47+$AX47)/2*IF($G$1="裂石",$AJ47,$AH47)+IF($G$1="裂石",$AK47*1.5,0))*(1+$AY47)*(1+$AZ47)+(($BA47+$BB47)/2*IF($G$1="牵丝",$AJ47,$AH47)+IF($G$1="牵丝",$AK47*1.5,0))*(1+$BC47)*(1+$BD47)+(($BE47+$BF47)/2*IF($G$1="破竹",$AJ47,$AH47)+IF($G$1="破竹",$AK47*1.5,0))*(1+$BG47)*(1+$BH47))*(1+$AL47)*$BK47*$P47*(1+IF(VLOOKUP($Q47,武学奇术!$A:$ZZ,30,FALSE)="回旋伞",$B$21,0))*(1+$BQ47)</f>
        <v>20826.9490501238</v>
      </c>
      <c r="M47" s="41">
        <f>(($AO47*$AH47+$AI47)*(1+$AP47)*(1+$AQ47)+($AT47*IF($G$1="鸣金",$AJ47,$AH47)+IF($G$1="鸣金",$AK47*1.5,0))*(1+$AU47)*(1+$AV47)+($AX47*IF($G$1="裂石",$AJ47,$AH47)+IF($G$1="裂石",$AK47*1.5,0))*(1+$AY47)*(1+$AZ47)+($BB47*IF($G$1="牵丝",$AJ47,$AH47)+IF($G$1="牵丝",$AK47*1.5,0))*(1+$BC47)*(1+$BD47)+($BF47*IF($G$1="破竹",$AJ47,$AH47)+IF($G$1="破竹",$AK47*1.5,0))*(1+$BG47)*(1+$BH47))*(1+$AL47)*$BM47*$P47*(1+IF(VLOOKUP($Q47,武学奇术!$A:$ZZ,30,FALSE)="回旋伞",$B$21,0))*(1+$BQ47)</f>
        <v>17171.770106698</v>
      </c>
      <c r="N47" s="41">
        <f>((($AN47+$AO47)/2*$AH47+$AI47)*(1+$AP47)*(1+$AQ47)+(($AS47+$AT47)/2*IF($G$1="鸣金",$AJ47,$AH47)+IF($G$1="鸣金",$AK47*1.5,0))*(1+$AU47)*(1+$AV47)+(($AW47+$AX47)/2*IF($G$1="裂石",$AJ47,$AH47)+IF($G$1="裂石",$AK47*1.5,0))*(1+$AY47)*(1+$AZ47)+(($BA47+$BB47)/2*IF($G$1="牵丝",$AJ47,$AH47)+IF($G$1="牵丝",$AK47*1.5,0))*(1+$BC47)*(1+$BD47)+(($BE47+$BF47)/2*IF($G$1="破竹",$AJ47,$AH47)+IF($G$1="破竹",$AK47*1.5,0))*(1+$BG47)*(1+$BH47))*(1+$AL47)*$P47*(1+IF(VLOOKUP($Q47,武学奇术!$A:$ZZ,30,FALSE)="回旋伞",$B$21,0))*(1+$BQ47)</f>
        <v>11197.2844355504</v>
      </c>
      <c r="O47" s="41">
        <f>((($AN47*$AH47+$AI47)*(1+$AP47)*(1+$AQ47)+($AS47*IF($G$1="鸣金",$AJ47,$AH47)+IF($G$1="鸣金",$AK47*1.5,0))*(1+$AU47)*(1+$AV47)+($AW47*IF($G$1="裂石",$AJ47,$AH47)+IF($G$1="裂石",$AK47*1.5,0))*(1+$AY47)*(1+$AZ47)+($BA47*IF($G$1="牵丝",$AJ47,$AH47)+IF($G$1="牵丝",$AK47*1.5,0))*(1+$BC47)*(1+$BD47)+($BE47*IF($G$1="破竹",$AJ47,$AH47)+IF($G$1="破竹",$AK47*1.5,0))*(1+$BG47)*(1+$BH47))*(1+$AL47))*$P47*(1+IF(VLOOKUP($Q47,武学奇术!$A:$ZZ,30,FALSE)="回旋伞",$B$21,0))*(1+$BQ47)</f>
        <v>9674.73916243567</v>
      </c>
      <c r="P47" s="42">
        <v>1</v>
      </c>
      <c r="Q47" s="43" t="s">
        <v>130</v>
      </c>
      <c r="R47" s="43" t="s">
        <v>105</v>
      </c>
      <c r="S47" s="43" t="s">
        <v>91</v>
      </c>
      <c r="T47" s="43" t="s">
        <v>72</v>
      </c>
      <c r="U47" s="43" t="s">
        <v>71</v>
      </c>
      <c r="V47" s="43" t="s">
        <v>164</v>
      </c>
      <c r="W47" s="43" t="s">
        <v>95</v>
      </c>
      <c r="X47" s="43" t="s">
        <v>71</v>
      </c>
      <c r="Y47" s="43" t="s">
        <v>71</v>
      </c>
      <c r="Z47" s="43" t="s">
        <v>71</v>
      </c>
      <c r="AA47" s="43" t="s">
        <v>116</v>
      </c>
      <c r="AB47" s="43" t="s">
        <v>71</v>
      </c>
      <c r="AC47" s="43" t="s">
        <v>71</v>
      </c>
      <c r="AD47" s="43" t="s">
        <v>71</v>
      </c>
      <c r="AE47" s="43" t="s">
        <v>71</v>
      </c>
      <c r="AF47" s="43" t="s">
        <v>76</v>
      </c>
      <c r="AG47" t="str">
        <f>VLOOKUP($Q47,武学奇术!$A:$ZZ,25,FALSE)</f>
        <v>伞</v>
      </c>
      <c r="AH47" s="30">
        <f>VLOOKUP($Q47,武学奇术!$A:$ZZ,26,FALSE)</f>
        <v>0.54</v>
      </c>
      <c r="AI47" s="31">
        <f>VLOOKUP($Q47,武学奇术!$A:$ZZ,27,FALSE)*(1+IF(OR($AG47=$F$4,$AG47=$F$5),$B$22,0))</f>
        <v>0</v>
      </c>
      <c r="AJ47" s="30">
        <f>VLOOKUP($Q47,武学奇术!$A:$ZZ,28,FALSE)</f>
        <v>0.81</v>
      </c>
      <c r="AK47" s="31">
        <f>VLOOKUP($Q47,武学奇术!$A:$ZZ,29,FALSE)*(1+IF(OR($AG47=$F$4,$AG47=$F$5),$B$22,0))</f>
        <v>0</v>
      </c>
      <c r="AL47" s="30" cm="1">
        <f t="array" ref="AL47">$G$3+IFERROR(VLOOKUP($AG47,$F$4:$G$7,2,FALSE),0)+VLOOKUP($Q47,武学奇术!$A:$ZZ,2,FALSE)+SUM(_xlfn.XLOOKUP($R47:$AF47,增益!$A:$A,增益!$B:$B,0))</f>
        <v>0.9741</v>
      </c>
      <c r="AM47" s="30" cm="1">
        <f t="array" ref="AM47">VLOOKUP($Q47,武学奇术!$A:$ZZ,5,FALSE)+SUM(_xlfn.XLOOKUP($R47:$AF47,增益!$A:$A,增益!$E:$E,0))</f>
        <v>0</v>
      </c>
      <c r="AN47" cm="1">
        <f t="array" ref="AN47">$D$10*(1+$AM47)+VLOOKUP($Q47,武学奇术!$A:$ZZ,3,FALSE)+SUM(_xlfn.XLOOKUP($R47:$AF47,增益!$A:$A,增益!$C:$C,0))-$I$2</f>
        <v>3483.8</v>
      </c>
      <c r="AO47" cm="1">
        <f t="array" ref="AO47">$E$10*(1+$AM47)+VLOOKUP($Q47,武学奇术!$A:$ZZ,4,FALSE)+SUM(_xlfn.XLOOKUP($R47:$AF47,增益!$A:$A,增益!$D:$D,0))-$I$2</f>
        <v>3483.8</v>
      </c>
      <c r="AP47" s="35" cm="1">
        <f t="array" ref="AP47">IF($F$10-$I$3+VLOOKUP($Q47,武学奇术!$A:$ZZ,6,FALSE)+SUM(_xlfn.XLOOKUP(R47:AF47,增益!$A:$A,增益!$F:$F,0))&gt;0,($F$10-$I$3+VLOOKUP($Q47,武学奇术!$A:$ZZ,6,FALSE)+SUM(_xlfn.XLOOKUP(R47:AF47,增益!$A:$A,增益!$F:$F,0)))/200,($F$10-$I$3+VLOOKUP($Q47,武学奇术!$A:$ZZ,6,FALSE)+SUM(_xlfn.XLOOKUP(R47:AF47,增益!$A:$A,增益!$F:$F,0)))/100)</f>
        <v>0.2925</v>
      </c>
      <c r="AQ47" s="35" cm="1">
        <f t="array" ref="AQ47">$G$10+VLOOKUP($Q47,武学奇术!$A:$ZZ,7,FALSE)+SUM(_xlfn.XLOOKUP(R47:AF47,增益!$A:$A,增益!$G:$G,0))</f>
        <v>0.148</v>
      </c>
      <c r="AR47" s="30" cm="1">
        <f t="array" ref="AR47">VLOOKUP($Q47,武学奇术!$A:$ZZ,8,FALSE)+SUM(_xlfn.XLOOKUP(R47:AF47,增益!$A:$A,增益!$H:$H,0))</f>
        <v>0</v>
      </c>
      <c r="AS47">
        <f t="shared" si="1"/>
        <v>0</v>
      </c>
      <c r="AT47">
        <f t="shared" si="2"/>
        <v>0</v>
      </c>
      <c r="AU47" s="35" cm="1">
        <f t="array" ref="AU47">IF($F$11-$I$4+VLOOKUP($Q47,武学奇术!$A:$ZZ,9,FALSE)+SUM(_xlfn.XLOOKUP(R47:AF47,增益!$A:$A,增益!$I:$I,0))&gt;0,($F$11-$I$4+VLOOKUP($Q47,武学奇术!$A:$ZZ,9,FALSE)+SUM(_xlfn.XLOOKUP(R47:AF47,增益!$A:$A,增益!$I:$I,0)))/200,($F$11-$I$4+VLOOKUP($Q47,武学奇术!$A:$ZZ,9,FALSE)+SUM(_xlfn.XLOOKUP(R47:AF47,增益!$A:$A,增益!$I:$I,0)))/100)</f>
        <v>-0.3</v>
      </c>
      <c r="AV47" s="35" cm="1">
        <f t="array" ref="AV47">$G$11+VLOOKUP($Q47,武学奇术!$A:$ZZ,10,FALSE)+SUM(_xlfn.XLOOKUP(R47:AF47,增益!$A:$A,增益!$J:$J,0))</f>
        <v>0</v>
      </c>
      <c r="AW47">
        <f t="shared" si="3"/>
        <v>0</v>
      </c>
      <c r="AX47">
        <f t="shared" si="4"/>
        <v>0</v>
      </c>
      <c r="AY47" s="35" cm="1">
        <f t="array" ref="AY47">IF($F$12-$I$4+VLOOKUP($Q47,武学奇术!$A:$ZZ,11,FALSE)+SUM(_xlfn.XLOOKUP(R47:AF47,增益!$A:$A,增益!$K:$K,0))&gt;0,($F$12-$I$4+VLOOKUP($Q47,武学奇术!$A:$ZZ,11,FALSE)+SUM(_xlfn.XLOOKUP(R47:AF47,增益!$A:$A,增益!$K:$K,0)))/200,($F$12-$I$4+VLOOKUP($Q47,武学奇术!$A:$ZZ,11,FALSE)+SUM(_xlfn.XLOOKUP(R47:AF47,增益!$A:$A,增益!$K:$K,0)))/100)</f>
        <v>-0.3</v>
      </c>
      <c r="AZ47" s="35" cm="1">
        <f t="array" ref="AZ47">$G$12+VLOOKUP($Q47,武学奇术!$A:$ZZ,12,FALSE)+SUM(_xlfn.XLOOKUP(R47:AF47,增益!$A:$A,增益!$L:$L,0))</f>
        <v>0</v>
      </c>
      <c r="BA47">
        <f t="shared" si="5"/>
        <v>0</v>
      </c>
      <c r="BB47">
        <f t="shared" si="6"/>
        <v>0</v>
      </c>
      <c r="BC47" s="35" cm="1">
        <f t="array" ref="BC47">IF($F$13-$I$4+VLOOKUP($Q47,武学奇术!$A:$ZZ,13,FALSE)+SUM(_xlfn.XLOOKUP(R47:AF47,增益!$A:$A,增益!$M:$M,0))&gt;0,($F$13-$I$4+VLOOKUP($Q47,武学奇术!$A:$ZZ,13,FALSE)+SUM(_xlfn.XLOOKUP(R47:AF47,增益!$A:$A,增益!$K:$K,0)))/200,($F$13-$I$4+VLOOKUP($Q47,武学奇术!$A:$ZZ,13,FALSE)+SUM(_xlfn.XLOOKUP(R47:AF47,增益!$A:$A,增益!$M:$M,0)))/100)</f>
        <v>-0.3</v>
      </c>
      <c r="BD47" s="35" cm="1">
        <f t="array" ref="BD47">$G$13+VLOOKUP($Q47,武学奇术!$A:$ZZ,14,FALSE)+SUM(_xlfn.XLOOKUP(R47:AF47,增益!$A:$A,增益!$N:$N,0))</f>
        <v>0</v>
      </c>
      <c r="BE47">
        <f t="shared" si="7"/>
        <v>538</v>
      </c>
      <c r="BF47">
        <f t="shared" si="8"/>
        <v>1561.4</v>
      </c>
      <c r="BG47" s="35" cm="1">
        <f t="array" ref="BG47">IF($F$14-$I$4+VLOOKUP($Q47,武学奇术!$A:$ZZ,15,FALSE)+SUM(_xlfn.XLOOKUP(R47:AF47,增益!$A:$A,增益!$O:$O,0))&gt;0,($F$14-$I$4+VLOOKUP($Q47,武学奇术!$A:$ZZ,15,FALSE)+SUM(_xlfn.XLOOKUP(R47:AF47,增益!$A:$A,增益!$O:$O,0)))/200,($F$14-$I$4+VLOOKUP($Q47,武学奇术!$A:$ZZ,15,FALSE)+SUM(_xlfn.XLOOKUP(R47:AF47,增益!$A:$A,增益!$O:$O,0)))/100)</f>
        <v>0</v>
      </c>
      <c r="BH47" s="35" cm="1">
        <f t="array" ref="BH47">$G$14+VLOOKUP($Q47,武学奇术!$A:$ZZ,16,FALSE)+SUM(_xlfn.XLOOKUP(R47:AF47,增益!$A:$A,增益!$P:$P,0))</f>
        <v>0.27</v>
      </c>
      <c r="BI47" s="30">
        <f>MIN(IF(VLOOKUP($Q47,武学奇术!$A:$ZZ,23,FALSE)=1,100%,$B$8),100%)</f>
        <v>1</v>
      </c>
      <c r="BJ47" s="30" cm="1">
        <f t="array" ref="BJ47">IF(VLOOKUP($Q47,武学奇术!$A:$ZZ,23,FALSE)=1,100%,MIN(80%,$B$9+VLOOKUP($Q47,武学奇术!$A:$ZZ,17,FALSE)+SUM(_xlfn.XLOOKUP(R47:AF47,增益!$A:$A,增益!$Q:$Q,0)))+$B$11+SUM(_xlfn.XLOOKUP(R47:AF47,增益!$A:$A,增益!$U:$U,0)))*IF(VLOOKUP($Q47,武学奇术!$A:$ZZ,24,FALSE)=1,0,1)</f>
        <v>1</v>
      </c>
      <c r="BK47" s="30" cm="1">
        <f t="array" ref="BK47">1+$B$13+VLOOKUP($Q47,武学奇术!$A:$ZZ,18,FALSE)+SUM(_xlfn.XLOOKUP(R47:AF47,增益!$A:$A,增益!$R:$R,0))</f>
        <v>1.86</v>
      </c>
      <c r="BL47" s="30" cm="1">
        <f t="array" ref="BL47">IF(VLOOKUP($Q47,武学奇术!$A:$ZZ,24,FALSE)=1,100%,MIN(40%,$B$10+VLOOKUP($Q47,武学奇术!$A:$ZZ,19,FALSE)+SUM(_xlfn.XLOOKUP(R47:AF47,增益!$A:$A,增益!$S:$S,0)))+$B$12+SUM(_xlfn.XLOOKUP(R47:AF47,增益!$A:$A,增益!$V:$V,0)))*IF(VLOOKUP($Q47,武学奇术!$A:$ZZ,23,FALSE)=1,0,1)</f>
        <v>0</v>
      </c>
      <c r="BM47" s="30" cm="1">
        <f t="array" ref="BM47">1+$B$14+VLOOKUP($Q47,武学奇术!$A:$ZZ,20,FALSE)+SUM(_xlfn.XLOOKUP(R47:AF47,增益!$A:$A,增益!$T:$T,0))</f>
        <v>1.35</v>
      </c>
      <c r="BN47" s="30">
        <f t="shared" si="9"/>
        <v>1</v>
      </c>
      <c r="BO47" s="30">
        <f t="shared" si="10"/>
        <v>0</v>
      </c>
      <c r="BP47" s="30">
        <f>IF(VLOOKUP($Q47,武学奇术!$A:$ZZ,22,FALSE)=1,0,(1-$BI47))*(1-$BL47)</f>
        <v>0</v>
      </c>
      <c r="BQ47" s="30" cm="1">
        <f t="array" ref="BQ47">SUM(_xlfn.XLOOKUP(R47:AF47,增益!$A:$A,增益!$W:$W,0))+$I$5</f>
        <v>0.11</v>
      </c>
    </row>
    <row r="48" spans="1:69">
      <c r="A48" s="4"/>
      <c r="B48" s="90"/>
      <c r="C48" s="4"/>
      <c r="K48" s="41">
        <f t="shared" si="11"/>
        <v>50253.5286096925</v>
      </c>
      <c r="L48" s="41">
        <f>((($AN48+$AO48)/2*$AH48+$AI48)*(1+$AP48)*(1+$AQ48)+(($AS48+$AT48)/2*IF($G$1="鸣金",$AJ48,$AH48)+IF($G$1="鸣金",$AK48*1.5,0))*(1+$AU48)*(1+$AV48)+(($AW48+$AX48)/2*IF($G$1="裂石",$AJ48,$AH48)+IF($G$1="裂石",$AK48*1.5,0))*(1+$AY48)*(1+$AZ48)+(($BA48+$BB48)/2*IF($G$1="牵丝",$AJ48,$AH48)+IF($G$1="牵丝",$AK48*1.5,0))*(1+$BC48)*(1+$BD48)+(($BE48+$BF48)/2*IF($G$1="破竹",$AJ48,$AH48)+IF($G$1="破竹",$AK48*1.5,0))*(1+$BG48)*(1+$BH48))*(1+$AL48)*$BK48*$P48*(1+IF(VLOOKUP($Q48,武学奇术!$A:$ZZ,30,FALSE)="回旋伞",$B$21,0))*(1+$BQ48)</f>
        <v>50253.5286096925</v>
      </c>
      <c r="M48" s="41">
        <f>(($AO48*$AH48+$AI48)*(1+$AP48)*(1+$AQ48)+($AT48*IF($G$1="鸣金",$AJ48,$AH48)+IF($G$1="鸣金",$AK48*1.5,0))*(1+$AU48)*(1+$AV48)+($AX48*IF($G$1="裂石",$AJ48,$AH48)+IF($G$1="裂石",$AK48*1.5,0))*(1+$AY48)*(1+$AZ48)+($BB48*IF($G$1="牵丝",$AJ48,$AH48)+IF($G$1="牵丝",$AK48*1.5,0))*(1+$BC48)*(1+$BD48)+($BF48*IF($G$1="破竹",$AJ48,$AH48)+IF($G$1="破竹",$AK48*1.5,0))*(1+$BG48)*(1+$BH48))*(1+$AL48)*$BM48*$P48*(1+IF(VLOOKUP($Q48,武学奇术!$A:$ZZ,30,FALSE)="回旋伞",$B$21,0))*(1+$BQ48)</f>
        <v>40654.1827794562</v>
      </c>
      <c r="N48" s="41">
        <f>((($AN48+$AO48)/2*$AH48+$AI48)*(1+$AP48)*(1+$AQ48)+(($AS48+$AT48)/2*IF($G$1="鸣金",$AJ48,$AH48)+IF($G$1="鸣金",$AK48*1.5,0))*(1+$AU48)*(1+$AV48)+(($AW48+$AX48)/2*IF($G$1="裂石",$AJ48,$AH48)+IF($G$1="裂石",$AK48*1.5,0))*(1+$AY48)*(1+$AZ48)+(($BA48+$BB48)/2*IF($G$1="牵丝",$AJ48,$AH48)+IF($G$1="牵丝",$AK48*1.5,0))*(1+$BC48)*(1+$BD48)+(($BE48+$BF48)/2*IF($G$1="破竹",$AJ48,$AH48)+IF($G$1="破竹",$AK48*1.5,0))*(1+$BG48)*(1+$BH48))*(1+$AL48)*$P48*(1+IF(VLOOKUP($Q48,武学奇术!$A:$ZZ,30,FALSE)="回旋伞",$B$21,0))*(1+$BQ48)</f>
        <v>26873.5447110655</v>
      </c>
      <c r="O48" s="41">
        <f>((($AN48*$AH48+$AI48)*(1+$AP48)*(1+$AQ48)+($AS48*IF($G$1="鸣金",$AJ48,$AH48)+IF($G$1="鸣金",$AK48*1.5,0))*(1+$AU48)*(1+$AV48)+($AW48*IF($G$1="裂石",$AJ48,$AH48)+IF($G$1="裂石",$AK48*1.5,0))*(1+$AY48)*(1+$AZ48)+($BA48*IF($G$1="牵丝",$AJ48,$AH48)+IF($G$1="牵丝",$AK48*1.5,0))*(1+$BC48)*(1+$BD48)+($BE48*IF($G$1="破竹",$AJ48,$AH48)+IF($G$1="破竹",$AK48*1.5,0))*(1+$BG48)*(1+$BH48))*(1+$AL48))*$P48*(1+IF(VLOOKUP($Q48,武学奇术!$A:$ZZ,30,FALSE)="回旋伞",$B$21,0))*(1+$BQ48)</f>
        <v>23632.8799558672</v>
      </c>
      <c r="P48" s="42">
        <v>1</v>
      </c>
      <c r="Q48" s="43" t="s">
        <v>150</v>
      </c>
      <c r="R48" s="43" t="s">
        <v>71</v>
      </c>
      <c r="S48" s="43" t="s">
        <v>91</v>
      </c>
      <c r="T48" s="43" t="s">
        <v>72</v>
      </c>
      <c r="U48" s="43" t="s">
        <v>71</v>
      </c>
      <c r="V48" s="43" t="s">
        <v>167</v>
      </c>
      <c r="W48" s="43" t="s">
        <v>95</v>
      </c>
      <c r="X48" s="43" t="s">
        <v>71</v>
      </c>
      <c r="Y48" s="43" t="s">
        <v>71</v>
      </c>
      <c r="Z48" s="43" t="s">
        <v>71</v>
      </c>
      <c r="AA48" s="43" t="s">
        <v>71</v>
      </c>
      <c r="AB48" s="43" t="s">
        <v>71</v>
      </c>
      <c r="AC48" s="43" t="s">
        <v>71</v>
      </c>
      <c r="AD48" s="43" t="s">
        <v>71</v>
      </c>
      <c r="AE48" s="43" t="s">
        <v>71</v>
      </c>
      <c r="AF48" s="43" t="s">
        <v>76</v>
      </c>
      <c r="AG48" t="str">
        <f>VLOOKUP($Q48,武学奇术!$A:$ZZ,25,FALSE)</f>
        <v>绳镖</v>
      </c>
      <c r="AH48" s="30">
        <f>VLOOKUP($Q48,武学奇术!$A:$ZZ,26,FALSE)</f>
        <v>2.2987</v>
      </c>
      <c r="AI48" s="31">
        <f>VLOOKUP($Q48,武学奇术!$A:$ZZ,27,FALSE)*(1+IF(OR($AG48=$F$4,$AG48=$F$5),$B$22,0))</f>
        <v>891.8</v>
      </c>
      <c r="AJ48" s="30">
        <f>VLOOKUP($Q48,武学奇术!$A:$ZZ,28,FALSE)</f>
        <v>3.448</v>
      </c>
      <c r="AK48" s="31">
        <f>VLOOKUP($Q48,武学奇术!$A:$ZZ,29,FALSE)*(1+IF(OR($AG48=$F$4,$AG48=$F$5),$B$22,0))</f>
        <v>485.8</v>
      </c>
      <c r="AL48" s="30" cm="1">
        <f t="array" ref="AL48">$G$3+IFERROR(VLOOKUP($AG48,$F$4:$G$7,2,FALSE),0)+VLOOKUP($Q48,武学奇术!$A:$ZZ,2,FALSE)+SUM(_xlfn.XLOOKUP($R48:$AF48,增益!$A:$A,增益!$B:$B,0))</f>
        <v>0.4389</v>
      </c>
      <c r="AM48" s="30" cm="1">
        <f t="array" ref="AM48">VLOOKUP($Q48,武学奇术!$A:$ZZ,5,FALSE)+SUM(_xlfn.XLOOKUP($R48:$AF48,增益!$A:$A,增益!$E:$E,0))</f>
        <v>0</v>
      </c>
      <c r="AN48" cm="1">
        <f t="array" ref="AN48">$D$10*(1+$AM48)+VLOOKUP($Q48,武学奇术!$A:$ZZ,3,FALSE)+SUM(_xlfn.XLOOKUP($R48:$AF48,增益!$A:$A,增益!$C:$C,0))-$I$2</f>
        <v>3483.8</v>
      </c>
      <c r="AO48" cm="1">
        <f t="array" ref="AO48">$E$10*(1+$AM48)+VLOOKUP($Q48,武学奇术!$A:$ZZ,4,FALSE)+SUM(_xlfn.XLOOKUP($R48:$AF48,增益!$A:$A,增益!$D:$D,0))-$I$2</f>
        <v>3483.8</v>
      </c>
      <c r="AP48" s="35" cm="1">
        <f t="array" ref="AP48">IF($F$10-$I$3+VLOOKUP($Q48,武学奇术!$A:$ZZ,6,FALSE)+SUM(_xlfn.XLOOKUP(R48:AF48,增益!$A:$A,增益!$F:$F,0))&gt;0,($F$10-$I$3+VLOOKUP($Q48,武学奇术!$A:$ZZ,6,FALSE)+SUM(_xlfn.XLOOKUP(R48:AF48,增益!$A:$A,增益!$F:$F,0)))/200,($F$10-$I$3+VLOOKUP($Q48,武学奇术!$A:$ZZ,6,FALSE)+SUM(_xlfn.XLOOKUP(R48:AF48,增益!$A:$A,增益!$F:$F,0)))/100)</f>
        <v>0.2925</v>
      </c>
      <c r="AQ48" s="35" cm="1">
        <f t="array" ref="AQ48">$G$10+VLOOKUP($Q48,武学奇术!$A:$ZZ,7,FALSE)+SUM(_xlfn.XLOOKUP(R48:AF48,增益!$A:$A,增益!$G:$G,0))</f>
        <v>0.028</v>
      </c>
      <c r="AR48" s="30" cm="1">
        <f t="array" ref="AR48">VLOOKUP($Q48,武学奇术!$A:$ZZ,8,FALSE)+SUM(_xlfn.XLOOKUP(R48:AF48,增益!$A:$A,增益!$H:$H,0))</f>
        <v>0</v>
      </c>
      <c r="AS48">
        <f t="shared" si="1"/>
        <v>0</v>
      </c>
      <c r="AT48">
        <f t="shared" si="2"/>
        <v>0</v>
      </c>
      <c r="AU48" s="35" cm="1">
        <f t="array" ref="AU48">IF($F$11-$I$4+VLOOKUP($Q48,武学奇术!$A:$ZZ,9,FALSE)+SUM(_xlfn.XLOOKUP(R48:AF48,增益!$A:$A,增益!$I:$I,0))&gt;0,($F$11-$I$4+VLOOKUP($Q48,武学奇术!$A:$ZZ,9,FALSE)+SUM(_xlfn.XLOOKUP(R48:AF48,增益!$A:$A,增益!$I:$I,0)))/200,($F$11-$I$4+VLOOKUP($Q48,武学奇术!$A:$ZZ,9,FALSE)+SUM(_xlfn.XLOOKUP(R48:AF48,增益!$A:$A,增益!$I:$I,0)))/100)</f>
        <v>-0.3</v>
      </c>
      <c r="AV48" s="35" cm="1">
        <f t="array" ref="AV48">$G$11+VLOOKUP($Q48,武学奇术!$A:$ZZ,10,FALSE)+SUM(_xlfn.XLOOKUP(R48:AF48,增益!$A:$A,增益!$J:$J,0))</f>
        <v>0</v>
      </c>
      <c r="AW48">
        <f t="shared" si="3"/>
        <v>0</v>
      </c>
      <c r="AX48">
        <f t="shared" si="4"/>
        <v>0</v>
      </c>
      <c r="AY48" s="35" cm="1">
        <f t="array" ref="AY48">IF($F$12-$I$4+VLOOKUP($Q48,武学奇术!$A:$ZZ,11,FALSE)+SUM(_xlfn.XLOOKUP(R48:AF48,增益!$A:$A,增益!$K:$K,0))&gt;0,($F$12-$I$4+VLOOKUP($Q48,武学奇术!$A:$ZZ,11,FALSE)+SUM(_xlfn.XLOOKUP(R48:AF48,增益!$A:$A,增益!$K:$K,0)))/200,($F$12-$I$4+VLOOKUP($Q48,武学奇术!$A:$ZZ,11,FALSE)+SUM(_xlfn.XLOOKUP(R48:AF48,增益!$A:$A,增益!$K:$K,0)))/100)</f>
        <v>-0.3</v>
      </c>
      <c r="AZ48" s="35" cm="1">
        <f t="array" ref="AZ48">$G$12+VLOOKUP($Q48,武学奇术!$A:$ZZ,12,FALSE)+SUM(_xlfn.XLOOKUP(R48:AF48,增益!$A:$A,增益!$L:$L,0))</f>
        <v>0</v>
      </c>
      <c r="BA48">
        <f t="shared" si="5"/>
        <v>0</v>
      </c>
      <c r="BB48">
        <f t="shared" si="6"/>
        <v>0</v>
      </c>
      <c r="BC48" s="35" cm="1">
        <f t="array" ref="BC48">IF($F$13-$I$4+VLOOKUP($Q48,武学奇术!$A:$ZZ,13,FALSE)+SUM(_xlfn.XLOOKUP(R48:AF48,增益!$A:$A,增益!$M:$M,0))&gt;0,($F$13-$I$4+VLOOKUP($Q48,武学奇术!$A:$ZZ,13,FALSE)+SUM(_xlfn.XLOOKUP(R48:AF48,增益!$A:$A,增益!$K:$K,0)))/200,($F$13-$I$4+VLOOKUP($Q48,武学奇术!$A:$ZZ,13,FALSE)+SUM(_xlfn.XLOOKUP(R48:AF48,增益!$A:$A,增益!$M:$M,0)))/100)</f>
        <v>-0.3</v>
      </c>
      <c r="BD48" s="35" cm="1">
        <f t="array" ref="BD48">$G$13+VLOOKUP($Q48,武学奇术!$A:$ZZ,14,FALSE)+SUM(_xlfn.XLOOKUP(R48:AF48,增益!$A:$A,增益!$N:$N,0))</f>
        <v>0</v>
      </c>
      <c r="BE48">
        <f t="shared" si="7"/>
        <v>538</v>
      </c>
      <c r="BF48">
        <f t="shared" si="8"/>
        <v>1561.4</v>
      </c>
      <c r="BG48" s="35" cm="1">
        <f t="array" ref="BG48">IF($F$14-$I$4+VLOOKUP($Q48,武学奇术!$A:$ZZ,15,FALSE)+SUM(_xlfn.XLOOKUP(R48:AF48,增益!$A:$A,增益!$O:$O,0))&gt;0,($F$14-$I$4+VLOOKUP($Q48,武学奇术!$A:$ZZ,15,FALSE)+SUM(_xlfn.XLOOKUP(R48:AF48,增益!$A:$A,增益!$O:$O,0)))/200,($F$14-$I$4+VLOOKUP($Q48,武学奇术!$A:$ZZ,15,FALSE)+SUM(_xlfn.XLOOKUP(R48:AF48,增益!$A:$A,增益!$O:$O,0)))/100)</f>
        <v>0</v>
      </c>
      <c r="BH48" s="35" cm="1">
        <f t="array" ref="BH48">$G$14+VLOOKUP($Q48,武学奇术!$A:$ZZ,16,FALSE)+SUM(_xlfn.XLOOKUP(R48:AF48,增益!$A:$A,增益!$P:$P,0))</f>
        <v>0.15</v>
      </c>
      <c r="BI48" s="30">
        <f>MIN(IF(VLOOKUP($Q48,武学奇术!$A:$ZZ,23,FALSE)=1,100%,$B$8),100%)</f>
        <v>1</v>
      </c>
      <c r="BJ48" s="30" cm="1">
        <f t="array" ref="BJ48">IF(VLOOKUP($Q48,武学奇术!$A:$ZZ,23,FALSE)=1,100%,MIN(80%,$B$9+VLOOKUP($Q48,武学奇术!$A:$ZZ,17,FALSE)+SUM(_xlfn.XLOOKUP(R48:AF48,增益!$A:$A,增益!$Q:$Q,0)))+$B$11+SUM(_xlfn.XLOOKUP(R48:AF48,增益!$A:$A,增益!$U:$U,0)))*IF(VLOOKUP($Q48,武学奇术!$A:$ZZ,24,FALSE)=1,0,1)</f>
        <v>1</v>
      </c>
      <c r="BK48" s="30" cm="1">
        <f t="array" ref="BK48">1+$B$13+VLOOKUP($Q48,武学奇术!$A:$ZZ,18,FALSE)+SUM(_xlfn.XLOOKUP(R48:AF48,增益!$A:$A,增益!$R:$R,0))</f>
        <v>1.87</v>
      </c>
      <c r="BL48" s="30" cm="1">
        <f t="array" ref="BL48">IF(VLOOKUP($Q48,武学奇术!$A:$ZZ,24,FALSE)=1,100%,MIN(40%,$B$10+VLOOKUP($Q48,武学奇术!$A:$ZZ,19,FALSE)+SUM(_xlfn.XLOOKUP(R48:AF48,增益!$A:$A,增益!$S:$S,0)))+$B$12+SUM(_xlfn.XLOOKUP(R48:AF48,增益!$A:$A,增益!$V:$V,0)))*IF(VLOOKUP($Q48,武学奇术!$A:$ZZ,23,FALSE)=1,0,1)</f>
        <v>0</v>
      </c>
      <c r="BM48" s="30" cm="1">
        <f t="array" ref="BM48">1+$B$14+VLOOKUP($Q48,武学奇术!$A:$ZZ,20,FALSE)+SUM(_xlfn.XLOOKUP(R48:AF48,增益!$A:$A,增益!$T:$T,0))</f>
        <v>1.35</v>
      </c>
      <c r="BN48" s="30">
        <f t="shared" si="9"/>
        <v>1</v>
      </c>
      <c r="BO48" s="30">
        <f t="shared" si="10"/>
        <v>0</v>
      </c>
      <c r="BP48" s="30">
        <f>IF(VLOOKUP($Q48,武学奇术!$A:$ZZ,22,FALSE)=1,0,(1-$BI48))*(1-$BL48)</f>
        <v>0</v>
      </c>
      <c r="BQ48" s="30" cm="1">
        <f t="array" ref="BQ48">SUM(_xlfn.XLOOKUP(R48:AF48,增益!$A:$A,增益!$W:$W,0))+$I$5</f>
        <v>0.11</v>
      </c>
    </row>
    <row r="49" spans="1:69">
      <c r="A49" s="4"/>
      <c r="B49" s="90"/>
      <c r="C49" s="4"/>
      <c r="K49" s="89">
        <f>(SUM(K26:K48)+K142+K143)*10%</f>
        <v>136476.009589274</v>
      </c>
      <c r="L49" s="41">
        <f>((($AN49+$AO49)/2*$AH49+$AI49)*(1+$AP49)*(1+$AQ49)+(($AS49+$AT49)/2*IF($G$1="鸣金",$AJ49,$AH49)+IF($G$1="鸣金",$AK49*1.5,0))*(1+$AU49)*(1+$AV49)+(($AW49+$AX49)/2*IF($G$1="裂石",$AJ49,$AH49)+IF($G$1="裂石",$AK49*1.5,0))*(1+$AY49)*(1+$AZ49)+(($BA49+$BB49)/2*IF($G$1="牵丝",$AJ49,$AH49)+IF($G$1="牵丝",$AK49*1.5,0))*(1+$BC49)*(1+$BD49)+(($BE49+$BF49)/2*IF($G$1="破竹",$AJ49,$AH49)+IF($G$1="破竹",$AK49*1.5,0))*(1+$BG49)*(1+$BH49))*(1+$AL49)*$BK49*$P49*(1+IF(VLOOKUP($Q49,武学奇术!$A:$ZZ,30,FALSE)="回旋伞",$B$21,0))*(1+$BQ49)</f>
        <v>0</v>
      </c>
      <c r="M49" s="41">
        <f>(($AO49*$AH49+$AI49)*(1+$AP49)*(1+$AQ49)+($AT49*IF($G$1="鸣金",$AJ49,$AH49)+IF($G$1="鸣金",$AK49*1.5,0))*(1+$AU49)*(1+$AV49)+($AX49*IF($G$1="裂石",$AJ49,$AH49)+IF($G$1="裂石",$AK49*1.5,0))*(1+$AY49)*(1+$AZ49)+($BB49*IF($G$1="牵丝",$AJ49,$AH49)+IF($G$1="牵丝",$AK49*1.5,0))*(1+$BC49)*(1+$BD49)+($BF49*IF($G$1="破竹",$AJ49,$AH49)+IF($G$1="破竹",$AK49*1.5,0))*(1+$BG49)*(1+$BH49))*(1+$AL49)*$BM49*$P49*(1+IF(VLOOKUP($Q49,武学奇术!$A:$ZZ,30,FALSE)="回旋伞",$B$21,0))*(1+$BQ49)</f>
        <v>0</v>
      </c>
      <c r="N49" s="41">
        <f>((($AN49+$AO49)/2*$AH49+$AI49)*(1+$AP49)*(1+$AQ49)+(($AS49+$AT49)/2*IF($G$1="鸣金",$AJ49,$AH49)+IF($G$1="鸣金",$AK49*1.5,0))*(1+$AU49)*(1+$AV49)+(($AW49+$AX49)/2*IF($G$1="裂石",$AJ49,$AH49)+IF($G$1="裂石",$AK49*1.5,0))*(1+$AY49)*(1+$AZ49)+(($BA49+$BB49)/2*IF($G$1="牵丝",$AJ49,$AH49)+IF($G$1="牵丝",$AK49*1.5,0))*(1+$BC49)*(1+$BD49)+(($BE49+$BF49)/2*IF($G$1="破竹",$AJ49,$AH49)+IF($G$1="破竹",$AK49*1.5,0))*(1+$BG49)*(1+$BH49))*(1+$AL49)*$P49*(1+IF(VLOOKUP($Q49,武学奇术!$A:$ZZ,30,FALSE)="回旋伞",$B$21,0))*(1+$BQ49)</f>
        <v>0</v>
      </c>
      <c r="O49" s="41">
        <f>((($AN49*$AH49+$AI49)*(1+$AP49)*(1+$AQ49)+($AS49*IF($G$1="鸣金",$AJ49,$AH49)+IF($G$1="鸣金",$AK49*1.5,0))*(1+$AU49)*(1+$AV49)+($AW49*IF($G$1="裂石",$AJ49,$AH49)+IF($G$1="裂石",$AK49*1.5,0))*(1+$AY49)*(1+$AZ49)+($BA49*IF($G$1="牵丝",$AJ49,$AH49)+IF($G$1="牵丝",$AK49*1.5,0))*(1+$BC49)*(1+$BD49)+($BE49*IF($G$1="破竹",$AJ49,$AH49)+IF($G$1="破竹",$AK49*1.5,0))*(1+$BG49)*(1+$BH49))*(1+$AL49))*$P49*(1+IF(VLOOKUP($Q49,武学奇术!$A:$ZZ,30,FALSE)="回旋伞",$B$21,0))*(1+$BQ49)</f>
        <v>0</v>
      </c>
      <c r="P49" s="42">
        <v>1</v>
      </c>
      <c r="Q49" s="43" t="s">
        <v>152</v>
      </c>
      <c r="R49" s="43" t="s">
        <v>71</v>
      </c>
      <c r="S49" s="43" t="s">
        <v>71</v>
      </c>
      <c r="T49" s="43" t="s">
        <v>71</v>
      </c>
      <c r="U49" s="43" t="s">
        <v>71</v>
      </c>
      <c r="V49" s="43" t="s">
        <v>71</v>
      </c>
      <c r="W49" s="43" t="s">
        <v>71</v>
      </c>
      <c r="X49" s="43" t="s">
        <v>71</v>
      </c>
      <c r="Y49" s="43" t="s">
        <v>71</v>
      </c>
      <c r="Z49" s="43" t="s">
        <v>71</v>
      </c>
      <c r="AA49" s="43" t="s">
        <v>71</v>
      </c>
      <c r="AB49" s="43" t="s">
        <v>71</v>
      </c>
      <c r="AC49" s="43" t="s">
        <v>71</v>
      </c>
      <c r="AD49" s="43" t="s">
        <v>71</v>
      </c>
      <c r="AE49" s="43" t="s">
        <v>71</v>
      </c>
      <c r="AF49" s="43" t="s">
        <v>76</v>
      </c>
      <c r="AG49" t="str">
        <f>VLOOKUP($Q49,武学奇术!$A:$ZZ,25,FALSE)</f>
        <v>心法</v>
      </c>
      <c r="AH49" s="30">
        <f>VLOOKUP($Q49,武学奇术!$A:$ZZ,26,FALSE)</f>
        <v>0</v>
      </c>
      <c r="AI49" s="31">
        <f>VLOOKUP($Q49,武学奇术!$A:$ZZ,27,FALSE)*(1+IF(OR($AG49=$F$4,$AG49=$F$5),$B$22,0))</f>
        <v>0</v>
      </c>
      <c r="AJ49" s="30">
        <f>VLOOKUP($Q49,武学奇术!$A:$ZZ,28,FALSE)</f>
        <v>0</v>
      </c>
      <c r="AK49" s="31">
        <f>VLOOKUP($Q49,武学奇术!$A:$ZZ,29,FALSE)*(1+IF(OR($AG49=$F$4,$AG49=$F$5),$B$22,0))</f>
        <v>0</v>
      </c>
      <c r="AL49" s="30" cm="1">
        <f t="array" ref="AL49">$G$3+IFERROR(VLOOKUP($AG49,$F$4:$G$7,2,FALSE),0)+VLOOKUP($Q49,武学奇术!$A:$ZZ,2,FALSE)+SUM(_xlfn.XLOOKUP($R49:$AF49,增益!$A:$A,增益!$B:$B,0))</f>
        <v>0.1037</v>
      </c>
      <c r="AM49" s="30" cm="1">
        <f t="array" ref="AM49">VLOOKUP($Q49,武学奇术!$A:$ZZ,5,FALSE)+SUM(_xlfn.XLOOKUP($R49:$AF49,增益!$A:$A,增益!$E:$E,0))</f>
        <v>0</v>
      </c>
      <c r="AN49" cm="1">
        <f t="array" ref="AN49">$D$10*(1+$AM49)+VLOOKUP($Q49,武学奇术!$A:$ZZ,3,FALSE)+SUM(_xlfn.XLOOKUP($R49:$AF49,增益!$A:$A,增益!$C:$C,0))-$I$2</f>
        <v>3483.8</v>
      </c>
      <c r="AO49" cm="1">
        <f t="array" ref="AO49">$E$10*(1+$AM49)+VLOOKUP($Q49,武学奇术!$A:$ZZ,4,FALSE)+SUM(_xlfn.XLOOKUP($R49:$AF49,增益!$A:$A,增益!$D:$D,0))-$I$2</f>
        <v>3483.8</v>
      </c>
      <c r="AP49" s="35" cm="1">
        <f t="array" ref="AP49">IF($F$10-$I$3+VLOOKUP($Q49,武学奇术!$A:$ZZ,6,FALSE)+SUM(_xlfn.XLOOKUP(R49:AF49,增益!$A:$A,增益!$F:$F,0))&gt;0,($F$10-$I$3+VLOOKUP($Q49,武学奇术!$A:$ZZ,6,FALSE)+SUM(_xlfn.XLOOKUP(R49:AF49,增益!$A:$A,增益!$F:$F,0)))/200,($F$10-$I$3+VLOOKUP($Q49,武学奇术!$A:$ZZ,6,FALSE)+SUM(_xlfn.XLOOKUP(R49:AF49,增益!$A:$A,增益!$F:$F,0)))/100)</f>
        <v>0.1925</v>
      </c>
      <c r="AQ49" s="35" cm="1">
        <f t="array" ref="AQ49">$G$10+VLOOKUP($Q49,武学奇术!$A:$ZZ,7,FALSE)+SUM(_xlfn.XLOOKUP(R49:AF49,增益!$A:$A,增益!$G:$G,0))</f>
        <v>0.028</v>
      </c>
      <c r="AR49" s="30" cm="1">
        <f t="array" ref="AR49">VLOOKUP($Q49,武学奇术!$A:$ZZ,8,FALSE)+SUM(_xlfn.XLOOKUP(R49:AF49,增益!$A:$A,增益!$H:$H,0))</f>
        <v>0</v>
      </c>
      <c r="AS49">
        <f t="shared" si="1"/>
        <v>0</v>
      </c>
      <c r="AT49">
        <f t="shared" si="2"/>
        <v>0</v>
      </c>
      <c r="AU49" s="35" cm="1">
        <f t="array" ref="AU49">IF($F$11-$I$4+VLOOKUP($Q49,武学奇术!$A:$ZZ,9,FALSE)+SUM(_xlfn.XLOOKUP(R49:AF49,增益!$A:$A,增益!$I:$I,0))&gt;0,($F$11-$I$4+VLOOKUP($Q49,武学奇术!$A:$ZZ,9,FALSE)+SUM(_xlfn.XLOOKUP(R49:AF49,增益!$A:$A,增益!$I:$I,0)))/200,($F$11-$I$4+VLOOKUP($Q49,武学奇术!$A:$ZZ,9,FALSE)+SUM(_xlfn.XLOOKUP(R49:AF49,增益!$A:$A,增益!$I:$I,0)))/100)</f>
        <v>-0.3</v>
      </c>
      <c r="AV49" s="35" cm="1">
        <f t="array" ref="AV49">$G$11+VLOOKUP($Q49,武学奇术!$A:$ZZ,10,FALSE)+SUM(_xlfn.XLOOKUP(R49:AF49,增益!$A:$A,增益!$J:$J,0))</f>
        <v>0</v>
      </c>
      <c r="AW49">
        <f t="shared" si="3"/>
        <v>0</v>
      </c>
      <c r="AX49">
        <f t="shared" si="4"/>
        <v>0</v>
      </c>
      <c r="AY49" s="35" cm="1">
        <f t="array" ref="AY49">IF($F$12-$I$4+VLOOKUP($Q49,武学奇术!$A:$ZZ,11,FALSE)+SUM(_xlfn.XLOOKUP(R49:AF49,增益!$A:$A,增益!$K:$K,0))&gt;0,($F$12-$I$4+VLOOKUP($Q49,武学奇术!$A:$ZZ,11,FALSE)+SUM(_xlfn.XLOOKUP(R49:AF49,增益!$A:$A,增益!$K:$K,0)))/200,($F$12-$I$4+VLOOKUP($Q49,武学奇术!$A:$ZZ,11,FALSE)+SUM(_xlfn.XLOOKUP(R49:AF49,增益!$A:$A,增益!$K:$K,0)))/100)</f>
        <v>-0.3</v>
      </c>
      <c r="AZ49" s="35" cm="1">
        <f t="array" ref="AZ49">$G$12+VLOOKUP($Q49,武学奇术!$A:$ZZ,12,FALSE)+SUM(_xlfn.XLOOKUP(R49:AF49,增益!$A:$A,增益!$L:$L,0))</f>
        <v>0</v>
      </c>
      <c r="BA49">
        <f t="shared" si="5"/>
        <v>0</v>
      </c>
      <c r="BB49">
        <f t="shared" si="6"/>
        <v>0</v>
      </c>
      <c r="BC49" s="35" cm="1">
        <f t="array" ref="BC49">IF($F$13-$I$4+VLOOKUP($Q49,武学奇术!$A:$ZZ,13,FALSE)+SUM(_xlfn.XLOOKUP(R49:AF49,增益!$A:$A,增益!$M:$M,0))&gt;0,($F$13-$I$4+VLOOKUP($Q49,武学奇术!$A:$ZZ,13,FALSE)+SUM(_xlfn.XLOOKUP(R49:AF49,增益!$A:$A,增益!$K:$K,0)))/200,($F$13-$I$4+VLOOKUP($Q49,武学奇术!$A:$ZZ,13,FALSE)+SUM(_xlfn.XLOOKUP(R49:AF49,增益!$A:$A,增益!$M:$M,0)))/100)</f>
        <v>-0.3</v>
      </c>
      <c r="BD49" s="35" cm="1">
        <f t="array" ref="BD49">$G$13+VLOOKUP($Q49,武学奇术!$A:$ZZ,14,FALSE)+SUM(_xlfn.XLOOKUP(R49:AF49,增益!$A:$A,增益!$N:$N,0))</f>
        <v>0</v>
      </c>
      <c r="BE49">
        <f t="shared" si="7"/>
        <v>538</v>
      </c>
      <c r="BF49">
        <f t="shared" si="8"/>
        <v>1561.4</v>
      </c>
      <c r="BG49" s="35" cm="1">
        <f t="array" ref="BG49">IF($F$14-$I$4+VLOOKUP($Q49,武学奇术!$A:$ZZ,15,FALSE)+SUM(_xlfn.XLOOKUP(R49:AF49,增益!$A:$A,增益!$O:$O,0))&gt;0,($F$14-$I$4+VLOOKUP($Q49,武学奇术!$A:$ZZ,15,FALSE)+SUM(_xlfn.XLOOKUP(R49:AF49,增益!$A:$A,增益!$O:$O,0)))/200,($F$14-$I$4+VLOOKUP($Q49,武学奇术!$A:$ZZ,15,FALSE)+SUM(_xlfn.XLOOKUP(R49:AF49,增益!$A:$A,增益!$O:$O,0)))/100)</f>
        <v>0</v>
      </c>
      <c r="BH49" s="35" cm="1">
        <f t="array" ref="BH49">$G$14+VLOOKUP($Q49,武学奇术!$A:$ZZ,16,FALSE)+SUM(_xlfn.XLOOKUP(R49:AF49,增益!$A:$A,增益!$P:$P,0))</f>
        <v>0.15</v>
      </c>
      <c r="BI49" s="30">
        <f>MIN(IF(VLOOKUP($Q49,武学奇术!$A:$ZZ,23,FALSE)=1,100%,$B$8),100%)</f>
        <v>0.9712</v>
      </c>
      <c r="BJ49" s="30" cm="1">
        <f t="array" ref="BJ49">IF(VLOOKUP($Q49,武学奇术!$A:$ZZ,23,FALSE)=1,100%,MIN(80%,$B$9+VLOOKUP($Q49,武学奇术!$A:$ZZ,17,FALSE)+SUM(_xlfn.XLOOKUP(R49:AF49,增益!$A:$A,增益!$Q:$Q,0)))+$B$11+SUM(_xlfn.XLOOKUP(R49:AF49,增益!$A:$A,增益!$U:$U,0)))*IF(VLOOKUP($Q49,武学奇术!$A:$ZZ,24,FALSE)=1,0,1)</f>
        <v>0.8773</v>
      </c>
      <c r="BK49" s="30" cm="1">
        <f t="array" ref="BK49">1+$B$13+VLOOKUP($Q49,武学奇术!$A:$ZZ,18,FALSE)+SUM(_xlfn.XLOOKUP(R49:AF49,增益!$A:$A,增益!$R:$R,0))</f>
        <v>1.5</v>
      </c>
      <c r="BL49" s="30" cm="1">
        <f t="array" ref="BL49">IF(VLOOKUP($Q49,武学奇术!$A:$ZZ,24,FALSE)=1,100%,MIN(40%,$B$10+VLOOKUP($Q49,武学奇术!$A:$ZZ,19,FALSE)+SUM(_xlfn.XLOOKUP(R49:AF49,增益!$A:$A,增益!$S:$S,0)))+$B$12+SUM(_xlfn.XLOOKUP(R49:AF49,增益!$A:$A,增益!$V:$V,0)))*IF(VLOOKUP($Q49,武学奇术!$A:$ZZ,23,FALSE)=1,0,1)</f>
        <v>0.0895</v>
      </c>
      <c r="BM49" s="30" cm="1">
        <f t="array" ref="BM49">1+$B$14+VLOOKUP($Q49,武学奇术!$A:$ZZ,20,FALSE)+SUM(_xlfn.XLOOKUP(R49:AF49,增益!$A:$A,增益!$T:$T,0))</f>
        <v>1.35</v>
      </c>
      <c r="BN49" s="30">
        <f t="shared" si="9"/>
        <v>0.85203376</v>
      </c>
      <c r="BO49" s="30">
        <f t="shared" si="10"/>
        <v>0.03224384</v>
      </c>
      <c r="BP49" s="30">
        <f>IF(VLOOKUP($Q49,武学奇术!$A:$ZZ,22,FALSE)=1,0,(1-$BI49))*(1-$BL49)</f>
        <v>0.0262224</v>
      </c>
      <c r="BQ49" s="30" cm="1">
        <f t="array" ref="BQ49">SUM(_xlfn.XLOOKUP(R49:AF49,增益!$A:$A,增益!$W:$W,0))+$I$5</f>
        <v>0.11</v>
      </c>
    </row>
    <row r="50" spans="1:69">
      <c r="A50" s="4"/>
      <c r="B50" s="4"/>
      <c r="C50" s="4"/>
      <c r="K50" s="41">
        <f t="shared" ref="K50:K71" si="12">($L50*$BN50+$M50*$BL50+$N50*$BO50+$O50*$BP50)</f>
        <v>80223.7030785707</v>
      </c>
      <c r="L50" s="41">
        <f>((($AN50+$AO50)/2*$AH50+$AI50)*(1+$AP50)*(1+$AQ50)+(($AS50+$AT50)/2*IF($G$1="鸣金",$AJ50,$AH50)+IF($G$1="鸣金",$AK50*1.5,0))*(1+$AU50)*(1+$AV50)+(($AW50+$AX50)/2*IF($G$1="裂石",$AJ50,$AH50)+IF($G$1="裂石",$AK50*1.5,0))*(1+$AY50)*(1+$AZ50)+(($BA50+$BB50)/2*IF($G$1="牵丝",$AJ50,$AH50)+IF($G$1="牵丝",$AK50*1.5,0))*(1+$BC50)*(1+$BD50)+(($BE50+$BF50)/2*IF($G$1="破竹",$AJ50,$AH50)+IF($G$1="破竹",$AK50*1.5,0))*(1+$BG50)*(1+$BH50))*(1+$AL50)*$BK50*$P50*(1+IF(VLOOKUP($Q50,武学奇术!$A:$ZZ,30,FALSE)="回旋伞",$B$21,0))*(1+$BQ50)</f>
        <v>84090.7000662438</v>
      </c>
      <c r="M50" s="41">
        <f>(($AO50*$AH50+$AI50)*(1+$AP50)*(1+$AQ50)+($AT50*IF($G$1="鸣金",$AJ50,$AH50)+IF($G$1="鸣金",$AK50*1.5,0))*(1+$AU50)*(1+$AV50)+($AX50*IF($G$1="裂石",$AJ50,$AH50)+IF($G$1="裂石",$AK50*1.5,0))*(1+$AY50)*(1+$AZ50)+($BB50*IF($G$1="牵丝",$AJ50,$AH50)+IF($G$1="牵丝",$AK50*1.5,0))*(1+$BC50)*(1+$BD50)+($BF50*IF($G$1="破竹",$AJ50,$AH50)+IF($G$1="破竹",$AK50*1.5,0))*(1+$BG50)*(1+$BH50))*(1+$AL50)*$BM50*$P50*(1+IF(VLOOKUP($Q50,武学奇术!$A:$ZZ,30,FALSE)="回旋伞",$B$21,0))*(1+$BQ50)</f>
        <v>68030.2028944804</v>
      </c>
      <c r="N50" s="41">
        <f>((($AN50+$AO50)/2*$AH50+$AI50)*(1+$AP50)*(1+$AQ50)+(($AS50+$AT50)/2*IF($G$1="鸣金",$AJ50,$AH50)+IF($G$1="鸣金",$AK50*1.5,0))*(1+$AU50)*(1+$AV50)+(($AW50+$AX50)/2*IF($G$1="裂石",$AJ50,$AH50)+IF($G$1="裂石",$AK50*1.5,0))*(1+$AY50)*(1+$AZ50)+(($BA50+$BB50)/2*IF($G$1="牵丝",$AJ50,$AH50)+IF($G$1="牵丝",$AK50*1.5,0))*(1+$BC50)*(1+$BD50)+(($BE50+$BF50)/2*IF($G$1="破竹",$AJ50,$AH50)+IF($G$1="破竹",$AK50*1.5,0))*(1+$BG50)*(1+$BH50))*(1+$AL50)*$P50*(1+IF(VLOOKUP($Q50,武学奇术!$A:$ZZ,30,FALSE)="回旋伞",$B$21,0))*(1+$BQ50)</f>
        <v>44968.288805478</v>
      </c>
      <c r="O50" s="41">
        <f>((($AN50*$AH50+$AI50)*(1+$AP50)*(1+$AQ50)+($AS50*IF($G$1="鸣金",$AJ50,$AH50)+IF($G$1="鸣金",$AK50*1.5,0))*(1+$AU50)*(1+$AV50)+($AW50*IF($G$1="裂石",$AJ50,$AH50)+IF($G$1="裂石",$AK50*1.5,0))*(1+$AY50)*(1+$AZ50)+($BA50*IF($G$1="牵丝",$AJ50,$AH50)+IF($G$1="牵丝",$AK50*1.5,0))*(1+$BC50)*(1+$BD50)+($BE50*IF($G$1="破竹",$AJ50,$AH50)+IF($G$1="破竹",$AK50*1.5,0))*(1+$BG50)*(1+$BH50))*(1+$AL50))*$P50*(1+IF(VLOOKUP($Q50,武学奇术!$A:$ZZ,30,FALSE)="回旋伞",$B$21,0))*(1+$BQ50)</f>
        <v>39543.8347261556</v>
      </c>
      <c r="P50" s="42">
        <v>2</v>
      </c>
      <c r="Q50" s="43" t="s">
        <v>140</v>
      </c>
      <c r="R50" s="43" t="s">
        <v>71</v>
      </c>
      <c r="S50" s="43" t="s">
        <v>91</v>
      </c>
      <c r="T50" s="43" t="s">
        <v>72</v>
      </c>
      <c r="U50" s="43" t="s">
        <v>71</v>
      </c>
      <c r="V50" s="43" t="s">
        <v>167</v>
      </c>
      <c r="W50" s="43" t="s">
        <v>95</v>
      </c>
      <c r="X50" s="43" t="s">
        <v>71</v>
      </c>
      <c r="Y50" s="43" t="s">
        <v>71</v>
      </c>
      <c r="Z50" s="43" t="s">
        <v>71</v>
      </c>
      <c r="AA50" s="43" t="s">
        <v>71</v>
      </c>
      <c r="AB50" s="43" t="s">
        <v>71</v>
      </c>
      <c r="AC50" s="43" t="s">
        <v>71</v>
      </c>
      <c r="AD50" s="43" t="s">
        <v>71</v>
      </c>
      <c r="AE50" s="43" t="s">
        <v>71</v>
      </c>
      <c r="AF50" s="43" t="s">
        <v>76</v>
      </c>
      <c r="AG50" t="str">
        <f>VLOOKUP($Q50,武学奇术!$A:$ZZ,25,FALSE)</f>
        <v>伞</v>
      </c>
      <c r="AH50" s="30">
        <f>VLOOKUP($Q50,武学奇术!$A:$ZZ,26,FALSE)</f>
        <v>2.01456</v>
      </c>
      <c r="AI50" s="31">
        <f>VLOOKUP($Q50,武学奇术!$A:$ZZ,27,FALSE)*(1+IF(OR($AG50=$F$4,$AG50=$F$5),$B$22,0))</f>
        <v>781.2</v>
      </c>
      <c r="AJ50" s="30">
        <f>VLOOKUP($Q50,武学奇术!$A:$ZZ,28,FALSE)</f>
        <v>3.02184</v>
      </c>
      <c r="AK50" s="31">
        <f>VLOOKUP($Q50,武学奇术!$A:$ZZ,29,FALSE)*(1+IF(OR($AG50=$F$4,$AG50=$F$5),$B$22,0))</f>
        <v>423.36</v>
      </c>
      <c r="AL50" s="30" cm="1">
        <f t="array" ref="AL50">$G$3+IFERROR(VLOOKUP($AG50,$F$4:$G$7,2,FALSE),0)+VLOOKUP($Q50,武学奇术!$A:$ZZ,2,FALSE)+SUM(_xlfn.XLOOKUP($R50:$AF50,增益!$A:$A,增益!$B:$B,0))</f>
        <v>0.3741</v>
      </c>
      <c r="AM50" s="30" cm="1">
        <f t="array" ref="AM50">VLOOKUP($Q50,武学奇术!$A:$ZZ,5,FALSE)+SUM(_xlfn.XLOOKUP($R50:$AF50,增益!$A:$A,增益!$E:$E,0))</f>
        <v>0</v>
      </c>
      <c r="AN50" cm="1">
        <f t="array" ref="AN50">$D$10*(1+$AM50)+VLOOKUP($Q50,武学奇术!$A:$ZZ,3,FALSE)+SUM(_xlfn.XLOOKUP($R50:$AF50,增益!$A:$A,增益!$C:$C,0))-$I$2</f>
        <v>3483.8</v>
      </c>
      <c r="AO50" cm="1">
        <f t="array" ref="AO50">$E$10*(1+$AM50)+VLOOKUP($Q50,武学奇术!$A:$ZZ,4,FALSE)+SUM(_xlfn.XLOOKUP($R50:$AF50,增益!$A:$A,增益!$D:$D,0))-$I$2</f>
        <v>3483.8</v>
      </c>
      <c r="AP50" s="35" cm="1">
        <f t="array" ref="AP50">IF($F$10-$I$3+VLOOKUP($Q50,武学奇术!$A:$ZZ,6,FALSE)+SUM(_xlfn.XLOOKUP(R50:AF50,增益!$A:$A,增益!$F:$F,0))&gt;0,($F$10-$I$3+VLOOKUP($Q50,武学奇术!$A:$ZZ,6,FALSE)+SUM(_xlfn.XLOOKUP(R50:AF50,增益!$A:$A,增益!$F:$F,0)))/200,($F$10-$I$3+VLOOKUP($Q50,武学奇术!$A:$ZZ,6,FALSE)+SUM(_xlfn.XLOOKUP(R50:AF50,增益!$A:$A,增益!$F:$F,0)))/100)</f>
        <v>0.2925</v>
      </c>
      <c r="AQ50" s="35" cm="1">
        <f t="array" ref="AQ50">$G$10+VLOOKUP($Q50,武学奇术!$A:$ZZ,7,FALSE)+SUM(_xlfn.XLOOKUP(R50:AF50,增益!$A:$A,增益!$G:$G,0))</f>
        <v>0.028</v>
      </c>
      <c r="AR50" s="30" cm="1">
        <f t="array" ref="AR50">VLOOKUP($Q50,武学奇术!$A:$ZZ,8,FALSE)+SUM(_xlfn.XLOOKUP(R50:AF50,增益!$A:$A,增益!$H:$H,0))</f>
        <v>0</v>
      </c>
      <c r="AS50">
        <f t="shared" si="1"/>
        <v>0</v>
      </c>
      <c r="AT50">
        <f t="shared" si="2"/>
        <v>0</v>
      </c>
      <c r="AU50" s="35" cm="1">
        <f t="array" ref="AU50">IF($F$11-$I$4+VLOOKUP($Q50,武学奇术!$A:$ZZ,9,FALSE)+SUM(_xlfn.XLOOKUP(R50:AF50,增益!$A:$A,增益!$I:$I,0))&gt;0,($F$11-$I$4+VLOOKUP($Q50,武学奇术!$A:$ZZ,9,FALSE)+SUM(_xlfn.XLOOKUP(R50:AF50,增益!$A:$A,增益!$I:$I,0)))/200,($F$11-$I$4+VLOOKUP($Q50,武学奇术!$A:$ZZ,9,FALSE)+SUM(_xlfn.XLOOKUP(R50:AF50,增益!$A:$A,增益!$I:$I,0)))/100)</f>
        <v>-0.3</v>
      </c>
      <c r="AV50" s="35" cm="1">
        <f t="array" ref="AV50">$G$11+VLOOKUP($Q50,武学奇术!$A:$ZZ,10,FALSE)+SUM(_xlfn.XLOOKUP(R50:AF50,增益!$A:$A,增益!$J:$J,0))</f>
        <v>0</v>
      </c>
      <c r="AW50">
        <f t="shared" si="3"/>
        <v>0</v>
      </c>
      <c r="AX50">
        <f t="shared" si="4"/>
        <v>0</v>
      </c>
      <c r="AY50" s="35" cm="1">
        <f t="array" ref="AY50">IF($F$12-$I$4+VLOOKUP($Q50,武学奇术!$A:$ZZ,11,FALSE)+SUM(_xlfn.XLOOKUP(R50:AF50,增益!$A:$A,增益!$K:$K,0))&gt;0,($F$12-$I$4+VLOOKUP($Q50,武学奇术!$A:$ZZ,11,FALSE)+SUM(_xlfn.XLOOKUP(R50:AF50,增益!$A:$A,增益!$K:$K,0)))/200,($F$12-$I$4+VLOOKUP($Q50,武学奇术!$A:$ZZ,11,FALSE)+SUM(_xlfn.XLOOKUP(R50:AF50,增益!$A:$A,增益!$K:$K,0)))/100)</f>
        <v>-0.3</v>
      </c>
      <c r="AZ50" s="35" cm="1">
        <f t="array" ref="AZ50">$G$12+VLOOKUP($Q50,武学奇术!$A:$ZZ,12,FALSE)+SUM(_xlfn.XLOOKUP(R50:AF50,增益!$A:$A,增益!$L:$L,0))</f>
        <v>0</v>
      </c>
      <c r="BA50">
        <f t="shared" si="5"/>
        <v>0</v>
      </c>
      <c r="BB50">
        <f t="shared" si="6"/>
        <v>0</v>
      </c>
      <c r="BC50" s="35" cm="1">
        <f t="array" ref="BC50">IF($F$13-$I$4+VLOOKUP($Q50,武学奇术!$A:$ZZ,13,FALSE)+SUM(_xlfn.XLOOKUP(R50:AF50,增益!$A:$A,增益!$M:$M,0))&gt;0,($F$13-$I$4+VLOOKUP($Q50,武学奇术!$A:$ZZ,13,FALSE)+SUM(_xlfn.XLOOKUP(R50:AF50,增益!$A:$A,增益!$K:$K,0)))/200,($F$13-$I$4+VLOOKUP($Q50,武学奇术!$A:$ZZ,13,FALSE)+SUM(_xlfn.XLOOKUP(R50:AF50,增益!$A:$A,增益!$M:$M,0)))/100)</f>
        <v>-0.3</v>
      </c>
      <c r="BD50" s="35" cm="1">
        <f t="array" ref="BD50">$G$13+VLOOKUP($Q50,武学奇术!$A:$ZZ,14,FALSE)+SUM(_xlfn.XLOOKUP(R50:AF50,增益!$A:$A,增益!$N:$N,0))</f>
        <v>0</v>
      </c>
      <c r="BE50">
        <f t="shared" si="7"/>
        <v>538</v>
      </c>
      <c r="BF50">
        <f t="shared" si="8"/>
        <v>1561.4</v>
      </c>
      <c r="BG50" s="35" cm="1">
        <f t="array" ref="BG50">IF($F$14-$I$4+VLOOKUP($Q50,武学奇术!$A:$ZZ,15,FALSE)+SUM(_xlfn.XLOOKUP(R50:AF50,增益!$A:$A,增益!$O:$O,0))&gt;0,($F$14-$I$4+VLOOKUP($Q50,武学奇术!$A:$ZZ,15,FALSE)+SUM(_xlfn.XLOOKUP(R50:AF50,增益!$A:$A,增益!$O:$O,0)))/200,($F$14-$I$4+VLOOKUP($Q50,武学奇术!$A:$ZZ,15,FALSE)+SUM(_xlfn.XLOOKUP(R50:AF50,增益!$A:$A,增益!$O:$O,0)))/100)</f>
        <v>0</v>
      </c>
      <c r="BH50" s="35" cm="1">
        <f t="array" ref="BH50">$G$14+VLOOKUP($Q50,武学奇术!$A:$ZZ,16,FALSE)+SUM(_xlfn.XLOOKUP(R50:AF50,增益!$A:$A,增益!$P:$P,0))</f>
        <v>0.15</v>
      </c>
      <c r="BI50" s="30">
        <f>MIN(IF(VLOOKUP($Q50,武学奇术!$A:$ZZ,23,FALSE)=1,100%,$B$8),100%)</f>
        <v>0.9712</v>
      </c>
      <c r="BJ50" s="30" cm="1">
        <f t="array" ref="BJ50">IF(VLOOKUP($Q50,武学奇术!$A:$ZZ,23,FALSE)=1,100%,MIN(80%,$B$9+VLOOKUP($Q50,武学奇术!$A:$ZZ,17,FALSE)+SUM(_xlfn.XLOOKUP(R50:AF50,增益!$A:$A,增益!$Q:$Q,0)))+$B$11+SUM(_xlfn.XLOOKUP(R50:AF50,增益!$A:$A,增益!$U:$U,0)))*IF(VLOOKUP($Q50,武学奇术!$A:$ZZ,24,FALSE)=1,0,1)</f>
        <v>0.8773</v>
      </c>
      <c r="BK50" s="30" cm="1">
        <f t="array" ref="BK50">1+$B$13+VLOOKUP($Q50,武学奇术!$A:$ZZ,18,FALSE)+SUM(_xlfn.XLOOKUP(R50:AF50,增益!$A:$A,增益!$R:$R,0))</f>
        <v>1.87</v>
      </c>
      <c r="BL50" s="30" cm="1">
        <f t="array" ref="BL50">IF(VLOOKUP($Q50,武学奇术!$A:$ZZ,24,FALSE)=1,100%,MIN(40%,$B$10+VLOOKUP($Q50,武学奇术!$A:$ZZ,19,FALSE)+SUM(_xlfn.XLOOKUP(R50:AF50,增益!$A:$A,增益!$S:$S,0)))+$B$12+SUM(_xlfn.XLOOKUP(R50:AF50,增益!$A:$A,增益!$V:$V,0)))*IF(VLOOKUP($Q50,武学奇术!$A:$ZZ,23,FALSE)=1,0,1)</f>
        <v>0.0895</v>
      </c>
      <c r="BM50" s="30" cm="1">
        <f t="array" ref="BM50">1+$B$14+VLOOKUP($Q50,武学奇术!$A:$ZZ,20,FALSE)+SUM(_xlfn.XLOOKUP(R50:AF50,增益!$A:$A,增益!$T:$T,0))</f>
        <v>1.35</v>
      </c>
      <c r="BN50" s="30">
        <f t="shared" si="9"/>
        <v>0.85203376</v>
      </c>
      <c r="BO50" s="30">
        <f t="shared" si="10"/>
        <v>0.03224384</v>
      </c>
      <c r="BP50" s="30">
        <f>IF(VLOOKUP($Q50,武学奇术!$A:$ZZ,22,FALSE)=1,0,(1-$BI50))*(1-$BL50)</f>
        <v>0.0262224</v>
      </c>
      <c r="BQ50" s="30" cm="1">
        <f t="array" ref="BQ50">SUM(_xlfn.XLOOKUP(R50:AF50,增益!$A:$A,增益!$W:$W,0))+$I$5</f>
        <v>0.11</v>
      </c>
    </row>
    <row r="51" spans="1:69">
      <c r="A51" s="4"/>
      <c r="B51" s="4"/>
      <c r="C51" s="4"/>
      <c r="K51" s="41">
        <f t="shared" si="12"/>
        <v>21697.7307022354</v>
      </c>
      <c r="L51" s="41">
        <f>((($AN51+$AO51)/2*$AH51+$AI51)*(1+$AP51)*(1+$AQ51)+(($AS51+$AT51)/2*IF($G$1="鸣金",$AJ51,$AH51)+IF($G$1="鸣金",$AK51*1.5,0))*(1+$AU51)*(1+$AV51)+(($AW51+$AX51)/2*IF($G$1="裂石",$AJ51,$AH51)+IF($G$1="裂石",$AK51*1.5,0))*(1+$AY51)*(1+$AZ51)+(($BA51+$BB51)/2*IF($G$1="牵丝",$AJ51,$AH51)+IF($G$1="牵丝",$AK51*1.5,0))*(1+$BC51)*(1+$BD51)+(($BE51+$BF51)/2*IF($G$1="破竹",$AJ51,$AH51)+IF($G$1="破竹",$AK51*1.5,0))*(1+$BG51)*(1+$BH51))*(1+$AL51)*$BK51*$P51*(1+IF(VLOOKUP($Q51,武学奇术!$A:$ZZ,30,FALSE)="回旋伞",$B$21,0))*(1+$BQ51)</f>
        <v>22723.8065711909</v>
      </c>
      <c r="M51" s="41">
        <f>(($AO51*$AH51+$AI51)*(1+$AP51)*(1+$AQ51)+($AT51*IF($G$1="鸣金",$AJ51,$AH51)+IF($G$1="鸣金",$AK51*1.5,0))*(1+$AU51)*(1+$AV51)+($AX51*IF($G$1="裂石",$AJ51,$AH51)+IF($G$1="裂石",$AK51*1.5,0))*(1+$AY51)*(1+$AZ51)+($BB51*IF($G$1="牵丝",$AJ51,$AH51)+IF($G$1="牵丝",$AK51*1.5,0))*(1+$BC51)*(1+$BD51)+($BF51*IF($G$1="破竹",$AJ51,$AH51)+IF($G$1="破竹",$AK51*1.5,0))*(1+$BG51)*(1+$BH51))*(1+$AL51)*$BM51*$P51*(1+IF(VLOOKUP($Q51,武学奇术!$A:$ZZ,30,FALSE)="回旋伞",$B$21,0))*(1+$BQ51)</f>
        <v>18653.5136670664</v>
      </c>
      <c r="N51" s="41">
        <f>((($AN51+$AO51)/2*$AH51+$AI51)*(1+$AP51)*(1+$AQ51)+(($AS51+$AT51)/2*IF($G$1="鸣金",$AJ51,$AH51)+IF($G$1="鸣金",$AK51*1.5,0))*(1+$AU51)*(1+$AV51)+(($AW51+$AX51)/2*IF($G$1="裂石",$AJ51,$AH51)+IF($G$1="裂石",$AK51*1.5,0))*(1+$AY51)*(1+$AZ51)+(($BA51+$BB51)/2*IF($G$1="牵丝",$AJ51,$AH51)+IF($G$1="牵丝",$AK51*1.5,0))*(1+$BC51)*(1+$BD51)+(($BE51+$BF51)/2*IF($G$1="破竹",$AJ51,$AH51)+IF($G$1="破竹",$AK51*1.5,0))*(1+$BG51)*(1+$BH51))*(1+$AL51)*$P51*(1+IF(VLOOKUP($Q51,武学奇术!$A:$ZZ,30,FALSE)="回旋伞",$B$21,0))*(1+$BQ51)</f>
        <v>12151.7682198882</v>
      </c>
      <c r="O51" s="41">
        <f>((($AN51*$AH51+$AI51)*(1+$AP51)*(1+$AQ51)+($AS51*IF($G$1="鸣金",$AJ51,$AH51)+IF($G$1="鸣金",$AK51*1.5,0))*(1+$AU51)*(1+$AV51)+($AW51*IF($G$1="裂石",$AJ51,$AH51)+IF($G$1="裂石",$AK51*1.5,0))*(1+$AY51)*(1+$AZ51)+($BA51*IF($G$1="牵丝",$AJ51,$AH51)+IF($G$1="牵丝",$AK51*1.5,0))*(1+$BC51)*(1+$BD51)+($BE51*IF($G$1="破竹",$AJ51,$AH51)+IF($G$1="破竹",$AK51*1.5,0))*(1+$BG51)*(1+$BH51))*(1+$AL51))*$P51*(1+IF(VLOOKUP($Q51,武学奇术!$A:$ZZ,30,FALSE)="回旋伞",$B$21,0))*(1+$BQ51)</f>
        <v>10486.1189086161</v>
      </c>
      <c r="P51" s="42">
        <v>2</v>
      </c>
      <c r="Q51" s="43" t="s">
        <v>143</v>
      </c>
      <c r="R51" s="43" t="s">
        <v>71</v>
      </c>
      <c r="S51" s="43" t="s">
        <v>91</v>
      </c>
      <c r="T51" s="43" t="s">
        <v>72</v>
      </c>
      <c r="U51" s="43" t="s">
        <v>71</v>
      </c>
      <c r="V51" s="43" t="s">
        <v>167</v>
      </c>
      <c r="W51" s="43" t="s">
        <v>95</v>
      </c>
      <c r="X51" s="43" t="s">
        <v>71</v>
      </c>
      <c r="Y51" s="43" t="s">
        <v>71</v>
      </c>
      <c r="Z51" s="43" t="s">
        <v>71</v>
      </c>
      <c r="AA51" s="43" t="s">
        <v>71</v>
      </c>
      <c r="AB51" s="43" t="s">
        <v>71</v>
      </c>
      <c r="AC51" s="43" t="s">
        <v>71</v>
      </c>
      <c r="AD51" s="43" t="s">
        <v>71</v>
      </c>
      <c r="AE51" s="43" t="s">
        <v>71</v>
      </c>
      <c r="AF51" s="43" t="s">
        <v>76</v>
      </c>
      <c r="AG51" t="str">
        <f>VLOOKUP($Q51,武学奇术!$A:$ZZ,25,FALSE)</f>
        <v>伞</v>
      </c>
      <c r="AH51" s="30">
        <f>VLOOKUP($Q51,武学奇术!$A:$ZZ,26,FALSE)</f>
        <v>0.54</v>
      </c>
      <c r="AI51" s="31">
        <f>VLOOKUP($Q51,武学奇术!$A:$ZZ,27,FALSE)*(1+IF(OR($AG51=$F$4,$AG51=$F$5),$B$22,0))</f>
        <v>0</v>
      </c>
      <c r="AJ51" s="30">
        <f>VLOOKUP($Q51,武学奇术!$A:$ZZ,28,FALSE)</f>
        <v>0.81</v>
      </c>
      <c r="AK51" s="31">
        <f>VLOOKUP($Q51,武学奇术!$A:$ZZ,29,FALSE)*(1+IF(OR($AG51=$F$4,$AG51=$F$5),$B$22,0))</f>
        <v>0</v>
      </c>
      <c r="AL51" s="30" cm="1">
        <f t="array" ref="AL51">$G$3+IFERROR(VLOOKUP($AG51,$F$4:$G$7,2,FALSE),0)+VLOOKUP($Q51,武学奇术!$A:$ZZ,2,FALSE)+SUM(_xlfn.XLOOKUP($R51:$AF51,增益!$A:$A,增益!$B:$B,0))</f>
        <v>0.5741</v>
      </c>
      <c r="AM51" s="30" cm="1">
        <f t="array" ref="AM51">VLOOKUP($Q51,武学奇术!$A:$ZZ,5,FALSE)+SUM(_xlfn.XLOOKUP($R51:$AF51,增益!$A:$A,增益!$E:$E,0))</f>
        <v>0</v>
      </c>
      <c r="AN51" cm="1">
        <f t="array" ref="AN51">$D$10*(1+$AM51)+VLOOKUP($Q51,武学奇术!$A:$ZZ,3,FALSE)+SUM(_xlfn.XLOOKUP($R51:$AF51,增益!$A:$A,增益!$C:$C,0))-$I$2</f>
        <v>3483.8</v>
      </c>
      <c r="AO51" cm="1">
        <f t="array" ref="AO51">$E$10*(1+$AM51)+VLOOKUP($Q51,武学奇术!$A:$ZZ,4,FALSE)+SUM(_xlfn.XLOOKUP($R51:$AF51,增益!$A:$A,增益!$D:$D,0))-$I$2</f>
        <v>3483.8</v>
      </c>
      <c r="AP51" s="35" cm="1">
        <f t="array" ref="AP51">IF($F$10-$I$3+VLOOKUP($Q51,武学奇术!$A:$ZZ,6,FALSE)+SUM(_xlfn.XLOOKUP(R51:AF51,增益!$A:$A,增益!$F:$F,0))&gt;0,($F$10-$I$3+VLOOKUP($Q51,武学奇术!$A:$ZZ,6,FALSE)+SUM(_xlfn.XLOOKUP(R51:AF51,增益!$A:$A,增益!$F:$F,0)))/200,($F$10-$I$3+VLOOKUP($Q51,武学奇术!$A:$ZZ,6,FALSE)+SUM(_xlfn.XLOOKUP(R51:AF51,增益!$A:$A,增益!$F:$F,0)))/100)</f>
        <v>0.2925</v>
      </c>
      <c r="AQ51" s="35" cm="1">
        <f t="array" ref="AQ51">$G$10+VLOOKUP($Q51,武学奇术!$A:$ZZ,7,FALSE)+SUM(_xlfn.XLOOKUP(R51:AF51,增益!$A:$A,增益!$G:$G,0))</f>
        <v>0.028</v>
      </c>
      <c r="AR51" s="30" cm="1">
        <f t="array" ref="AR51">VLOOKUP($Q51,武学奇术!$A:$ZZ,8,FALSE)+SUM(_xlfn.XLOOKUP(R51:AF51,增益!$A:$A,增益!$H:$H,0))</f>
        <v>0</v>
      </c>
      <c r="AS51">
        <f t="shared" si="1"/>
        <v>0</v>
      </c>
      <c r="AT51">
        <f t="shared" si="2"/>
        <v>0</v>
      </c>
      <c r="AU51" s="35" cm="1">
        <f t="array" ref="AU51">IF($F$11-$I$4+VLOOKUP($Q51,武学奇术!$A:$ZZ,9,FALSE)+SUM(_xlfn.XLOOKUP(R51:AF51,增益!$A:$A,增益!$I:$I,0))&gt;0,($F$11-$I$4+VLOOKUP($Q51,武学奇术!$A:$ZZ,9,FALSE)+SUM(_xlfn.XLOOKUP(R51:AF51,增益!$A:$A,增益!$I:$I,0)))/200,($F$11-$I$4+VLOOKUP($Q51,武学奇术!$A:$ZZ,9,FALSE)+SUM(_xlfn.XLOOKUP(R51:AF51,增益!$A:$A,增益!$I:$I,0)))/100)</f>
        <v>-0.3</v>
      </c>
      <c r="AV51" s="35" cm="1">
        <f t="array" ref="AV51">$G$11+VLOOKUP($Q51,武学奇术!$A:$ZZ,10,FALSE)+SUM(_xlfn.XLOOKUP(R51:AF51,增益!$A:$A,增益!$J:$J,0))</f>
        <v>0</v>
      </c>
      <c r="AW51">
        <f t="shared" si="3"/>
        <v>0</v>
      </c>
      <c r="AX51">
        <f t="shared" si="4"/>
        <v>0</v>
      </c>
      <c r="AY51" s="35" cm="1">
        <f t="array" ref="AY51">IF($F$12-$I$4+VLOOKUP($Q51,武学奇术!$A:$ZZ,11,FALSE)+SUM(_xlfn.XLOOKUP(R51:AF51,增益!$A:$A,增益!$K:$K,0))&gt;0,($F$12-$I$4+VLOOKUP($Q51,武学奇术!$A:$ZZ,11,FALSE)+SUM(_xlfn.XLOOKUP(R51:AF51,增益!$A:$A,增益!$K:$K,0)))/200,($F$12-$I$4+VLOOKUP($Q51,武学奇术!$A:$ZZ,11,FALSE)+SUM(_xlfn.XLOOKUP(R51:AF51,增益!$A:$A,增益!$K:$K,0)))/100)</f>
        <v>-0.3</v>
      </c>
      <c r="AZ51" s="35" cm="1">
        <f t="array" ref="AZ51">$G$12+VLOOKUP($Q51,武学奇术!$A:$ZZ,12,FALSE)+SUM(_xlfn.XLOOKUP(R51:AF51,增益!$A:$A,增益!$L:$L,0))</f>
        <v>0</v>
      </c>
      <c r="BA51">
        <f t="shared" si="5"/>
        <v>0</v>
      </c>
      <c r="BB51">
        <f t="shared" si="6"/>
        <v>0</v>
      </c>
      <c r="BC51" s="35" cm="1">
        <f t="array" ref="BC51">IF($F$13-$I$4+VLOOKUP($Q51,武学奇术!$A:$ZZ,13,FALSE)+SUM(_xlfn.XLOOKUP(R51:AF51,增益!$A:$A,增益!$M:$M,0))&gt;0,($F$13-$I$4+VLOOKUP($Q51,武学奇术!$A:$ZZ,13,FALSE)+SUM(_xlfn.XLOOKUP(R51:AF51,增益!$A:$A,增益!$K:$K,0)))/200,($F$13-$I$4+VLOOKUP($Q51,武学奇术!$A:$ZZ,13,FALSE)+SUM(_xlfn.XLOOKUP(R51:AF51,增益!$A:$A,增益!$M:$M,0)))/100)</f>
        <v>-0.3</v>
      </c>
      <c r="BD51" s="35" cm="1">
        <f t="array" ref="BD51">$G$13+VLOOKUP($Q51,武学奇术!$A:$ZZ,14,FALSE)+SUM(_xlfn.XLOOKUP(R51:AF51,增益!$A:$A,增益!$N:$N,0))</f>
        <v>0</v>
      </c>
      <c r="BE51">
        <f t="shared" si="7"/>
        <v>538</v>
      </c>
      <c r="BF51">
        <f t="shared" si="8"/>
        <v>1561.4</v>
      </c>
      <c r="BG51" s="35" cm="1">
        <f t="array" ref="BG51">IF($F$14-$I$4+VLOOKUP($Q51,武学奇术!$A:$ZZ,15,FALSE)+SUM(_xlfn.XLOOKUP(R51:AF51,增益!$A:$A,增益!$O:$O,0))&gt;0,($F$14-$I$4+VLOOKUP($Q51,武学奇术!$A:$ZZ,15,FALSE)+SUM(_xlfn.XLOOKUP(R51:AF51,增益!$A:$A,增益!$O:$O,0)))/200,($F$14-$I$4+VLOOKUP($Q51,武学奇术!$A:$ZZ,15,FALSE)+SUM(_xlfn.XLOOKUP(R51:AF51,增益!$A:$A,增益!$O:$O,0)))/100)</f>
        <v>0</v>
      </c>
      <c r="BH51" s="35" cm="1">
        <f t="array" ref="BH51">$G$14+VLOOKUP($Q51,武学奇术!$A:$ZZ,16,FALSE)+SUM(_xlfn.XLOOKUP(R51:AF51,增益!$A:$A,增益!$P:$P,0))</f>
        <v>0.15</v>
      </c>
      <c r="BI51" s="30">
        <f>MIN(IF(VLOOKUP($Q51,武学奇术!$A:$ZZ,23,FALSE)=1,100%,$B$8),100%)</f>
        <v>0.9712</v>
      </c>
      <c r="BJ51" s="30" cm="1">
        <f t="array" ref="BJ51">IF(VLOOKUP($Q51,武学奇术!$A:$ZZ,23,FALSE)=1,100%,MIN(80%,$B$9+VLOOKUP($Q51,武学奇术!$A:$ZZ,17,FALSE)+SUM(_xlfn.XLOOKUP(R51:AF51,增益!$A:$A,增益!$Q:$Q,0)))+$B$11+SUM(_xlfn.XLOOKUP(R51:AF51,增益!$A:$A,增益!$U:$U,0)))*IF(VLOOKUP($Q51,武学奇术!$A:$ZZ,24,FALSE)=1,0,1)</f>
        <v>0.8773</v>
      </c>
      <c r="BK51" s="30" cm="1">
        <f t="array" ref="BK51">1+$B$13+VLOOKUP($Q51,武学奇术!$A:$ZZ,18,FALSE)+SUM(_xlfn.XLOOKUP(R51:AF51,增益!$A:$A,增益!$R:$R,0))</f>
        <v>1.87</v>
      </c>
      <c r="BL51" s="30" cm="1">
        <f t="array" ref="BL51">IF(VLOOKUP($Q51,武学奇术!$A:$ZZ,24,FALSE)=1,100%,MIN(40%,$B$10+VLOOKUP($Q51,武学奇术!$A:$ZZ,19,FALSE)+SUM(_xlfn.XLOOKUP(R51:AF51,增益!$A:$A,增益!$S:$S,0)))+$B$12+SUM(_xlfn.XLOOKUP(R51:AF51,增益!$A:$A,增益!$V:$V,0)))*IF(VLOOKUP($Q51,武学奇术!$A:$ZZ,23,FALSE)=1,0,1)</f>
        <v>0.0895</v>
      </c>
      <c r="BM51" s="30" cm="1">
        <f t="array" ref="BM51">1+$B$14+VLOOKUP($Q51,武学奇术!$A:$ZZ,20,FALSE)+SUM(_xlfn.XLOOKUP(R51:AF51,增益!$A:$A,增益!$T:$T,0))</f>
        <v>1.35</v>
      </c>
      <c r="BN51" s="30">
        <f t="shared" si="9"/>
        <v>0.85203376</v>
      </c>
      <c r="BO51" s="30">
        <f t="shared" si="10"/>
        <v>0.03224384</v>
      </c>
      <c r="BP51" s="30">
        <f>IF(VLOOKUP($Q51,武学奇术!$A:$ZZ,22,FALSE)=1,0,(1-$BI51))*(1-$BL51)</f>
        <v>0.0262224</v>
      </c>
      <c r="BQ51" s="30" cm="1">
        <f t="array" ref="BQ51">SUM(_xlfn.XLOOKUP(R51:AF51,增益!$A:$A,增益!$W:$W,0))+$I$5</f>
        <v>0.11</v>
      </c>
    </row>
    <row r="52" spans="1:69">
      <c r="A52" s="4"/>
      <c r="B52" s="4"/>
      <c r="C52" s="4"/>
      <c r="K52" s="41">
        <f t="shared" si="12"/>
        <v>74806.5716511917</v>
      </c>
      <c r="L52" s="41">
        <f>((($AN52+$AO52)/2*$AH52+$AI52)*(1+$AP52)*(1+$AQ52)+(($AS52+$AT52)/2*IF($G$1="鸣金",$AJ52,$AH52)+IF($G$1="鸣金",$AK52*1.5,0))*(1+$AU52)*(1+$AV52)+(($AW52+$AX52)/2*IF($G$1="裂石",$AJ52,$AH52)+IF($G$1="裂石",$AK52*1.5,0))*(1+$AY52)*(1+$AZ52)+(($BA52+$BB52)/2*IF($G$1="牵丝",$AJ52,$AH52)+IF($G$1="牵丝",$AK52*1.5,0))*(1+$BC52)*(1+$BD52)+(($BE52+$BF52)/2*IF($G$1="破竹",$AJ52,$AH52)+IF($G$1="破竹",$AK52*1.5,0))*(1+$BG52)*(1+$BH52))*(1+$AL52)*$BK52*$P52*(1+IF(VLOOKUP($Q52,武学奇术!$A:$ZZ,30,FALSE)="回旋伞",$B$21,0))*(1+$BQ52)</f>
        <v>78371.7688976974</v>
      </c>
      <c r="M52" s="41">
        <f>(($AO52*$AH52+$AI52)*(1+$AP52)*(1+$AQ52)+($AT52*IF($G$1="鸣金",$AJ52,$AH52)+IF($G$1="鸣金",$AK52*1.5,0))*(1+$AU52)*(1+$AV52)+($AX52*IF($G$1="裂石",$AJ52,$AH52)+IF($G$1="裂石",$AK52*1.5,0))*(1+$AY52)*(1+$AZ52)+($BB52*IF($G$1="牵丝",$AJ52,$AH52)+IF($G$1="牵丝",$AK52*1.5,0))*(1+$BC52)*(1+$BD52)+($BF52*IF($G$1="破竹",$AJ52,$AH52)+IF($G$1="破竹",$AK52*1.5,0))*(1+$BG52)*(1+$BH52))*(1+$AL52)*$BM52*$P52*(1+IF(VLOOKUP($Q52,武学奇术!$A:$ZZ,30,FALSE)="回旋伞",$B$21,0))*(1+$BQ52)</f>
        <v>63957.3419828998</v>
      </c>
      <c r="N52" s="41">
        <f>((($AN52+$AO52)/2*$AH52+$AI52)*(1+$AP52)*(1+$AQ52)+(($AS52+$AT52)/2*IF($G$1="鸣金",$AJ52,$AH52)+IF($G$1="鸣金",$AK52*1.5,0))*(1+$AU52)*(1+$AV52)+(($AW52+$AX52)/2*IF($G$1="裂石",$AJ52,$AH52)+IF($G$1="裂石",$AK52*1.5,0))*(1+$AY52)*(1+$AZ52)+(($BA52+$BB52)/2*IF($G$1="牵丝",$AJ52,$AH52)+IF($G$1="牵丝",$AK52*1.5,0))*(1+$BC52)*(1+$BD52)+(($BE52+$BF52)/2*IF($G$1="破竹",$AJ52,$AH52)+IF($G$1="破竹",$AK52*1.5,0))*(1+$BG52)*(1+$BH52))*(1+$AL52)*$P52*(1+IF(VLOOKUP($Q52,武学奇术!$A:$ZZ,30,FALSE)="回旋伞",$B$21,0))*(1+$BQ52)</f>
        <v>41910.0368436884</v>
      </c>
      <c r="O52" s="41">
        <f>((($AN52*$AH52+$AI52)*(1+$AP52)*(1+$AQ52)+($AS52*IF($G$1="鸣金",$AJ52,$AH52)+IF($G$1="鸣金",$AK52*1.5,0))*(1+$AU52)*(1+$AV52)+($AW52*IF($G$1="裂石",$AJ52,$AH52)+IF($G$1="裂石",$AK52*1.5,0))*(1+$AY52)*(1+$AZ52)+($BA52*IF($G$1="牵丝",$AJ52,$AH52)+IF($G$1="牵丝",$AK52*1.5,0))*(1+$BC52)*(1+$BD52)+($BE52*IF($G$1="破竹",$AJ52,$AH52)+IF($G$1="破竹",$AK52*1.5,0))*(1+$BG52)*(1+$BH52))*(1+$AL52))*$P52*(1+IF(VLOOKUP($Q52,武学奇术!$A:$ZZ,30,FALSE)="回旋伞",$B$21,0))*(1+$BQ52)</f>
        <v>36444.2648111547</v>
      </c>
      <c r="P52" s="42">
        <v>1</v>
      </c>
      <c r="Q52" s="43" t="s">
        <v>176</v>
      </c>
      <c r="R52" s="43" t="s">
        <v>71</v>
      </c>
      <c r="S52" s="43" t="s">
        <v>91</v>
      </c>
      <c r="T52" s="43" t="s">
        <v>72</v>
      </c>
      <c r="U52" s="43" t="s">
        <v>79</v>
      </c>
      <c r="V52" s="43" t="s">
        <v>167</v>
      </c>
      <c r="W52" s="43" t="s">
        <v>95</v>
      </c>
      <c r="X52" s="43" t="s">
        <v>71</v>
      </c>
      <c r="Y52" s="43" t="s">
        <v>71</v>
      </c>
      <c r="Z52" s="43" t="s">
        <v>71</v>
      </c>
      <c r="AA52" s="43" t="s">
        <v>71</v>
      </c>
      <c r="AB52" s="43" t="s">
        <v>71</v>
      </c>
      <c r="AC52" s="43" t="s">
        <v>71</v>
      </c>
      <c r="AD52" s="43" t="s">
        <v>71</v>
      </c>
      <c r="AE52" s="43" t="s">
        <v>71</v>
      </c>
      <c r="AF52" s="43" t="s">
        <v>76</v>
      </c>
      <c r="AG52" t="str">
        <f>VLOOKUP($Q52,武学奇术!$A:$ZZ,25,FALSE)</f>
        <v>群体奇术</v>
      </c>
      <c r="AH52" s="30">
        <f>VLOOKUP($Q52,武学奇术!$A:$ZZ,26,FALSE)</f>
        <v>3.9744</v>
      </c>
      <c r="AI52" s="31">
        <f>VLOOKUP($Q52,武学奇术!$A:$ZZ,27,FALSE)*(1+IF(OR($AG52=$F$4,$AG52=$F$5),$B$22,0))</f>
        <v>982</v>
      </c>
      <c r="AJ52" s="30">
        <f>VLOOKUP($Q52,武学奇术!$A:$ZZ,28,FALSE)</f>
        <v>5.9613</v>
      </c>
      <c r="AK52" s="31">
        <f>VLOOKUP($Q52,武学奇术!$A:$ZZ,29,FALSE)*(1+IF(OR($AG52=$F$4,$AG52=$F$5),$B$22,0))</f>
        <v>0</v>
      </c>
      <c r="AL52" s="30" cm="1">
        <f t="array" ref="AL52">$G$3+IFERROR(VLOOKUP($AG52,$F$4:$G$7,2,FALSE),0)+VLOOKUP($Q52,武学奇术!$A:$ZZ,2,FALSE)+SUM(_xlfn.XLOOKUP($R52:$AF52,增益!$A:$A,增益!$B:$B,0))</f>
        <v>0.4037</v>
      </c>
      <c r="AM52" s="30" cm="1">
        <f t="array" ref="AM52">VLOOKUP($Q52,武学奇术!$A:$ZZ,5,FALSE)+SUM(_xlfn.XLOOKUP($R52:$AF52,增益!$A:$A,增益!$E:$E,0))</f>
        <v>0</v>
      </c>
      <c r="AN52" cm="1">
        <f t="array" ref="AN52">$D$10*(1+$AM52)+VLOOKUP($Q52,武学奇术!$A:$ZZ,3,FALSE)+SUM(_xlfn.XLOOKUP($R52:$AF52,增益!$A:$A,增益!$C:$C,0))-$I$2</f>
        <v>3483.8</v>
      </c>
      <c r="AO52" cm="1">
        <f t="array" ref="AO52">$E$10*(1+$AM52)+VLOOKUP($Q52,武学奇术!$A:$ZZ,4,FALSE)+SUM(_xlfn.XLOOKUP($R52:$AF52,增益!$A:$A,增益!$D:$D,0))-$I$2</f>
        <v>3483.8</v>
      </c>
      <c r="AP52" s="35" cm="1">
        <f t="array" ref="AP52">IF($F$10-$I$3+VLOOKUP($Q52,武学奇术!$A:$ZZ,6,FALSE)+SUM(_xlfn.XLOOKUP(R52:AF52,增益!$A:$A,增益!$F:$F,0))&gt;0,($F$10-$I$3+VLOOKUP($Q52,武学奇术!$A:$ZZ,6,FALSE)+SUM(_xlfn.XLOOKUP(R52:AF52,增益!$A:$A,增益!$F:$F,0)))/200,($F$10-$I$3+VLOOKUP($Q52,武学奇术!$A:$ZZ,6,FALSE)+SUM(_xlfn.XLOOKUP(R52:AF52,增益!$A:$A,增益!$F:$F,0)))/100)</f>
        <v>0.2925</v>
      </c>
      <c r="AQ52" s="35" cm="1">
        <f t="array" ref="AQ52">$G$10+VLOOKUP($Q52,武学奇术!$A:$ZZ,7,FALSE)+SUM(_xlfn.XLOOKUP(R52:AF52,增益!$A:$A,增益!$G:$G,0))</f>
        <v>0.028</v>
      </c>
      <c r="AR52" s="30" cm="1">
        <f t="array" ref="AR52">VLOOKUP($Q52,武学奇术!$A:$ZZ,8,FALSE)+SUM(_xlfn.XLOOKUP(R52:AF52,增益!$A:$A,增益!$H:$H,0))</f>
        <v>0</v>
      </c>
      <c r="AS52">
        <f t="shared" si="1"/>
        <v>0</v>
      </c>
      <c r="AT52">
        <f t="shared" si="2"/>
        <v>0</v>
      </c>
      <c r="AU52" s="35" cm="1">
        <f t="array" ref="AU52">IF($F$11-$I$4+VLOOKUP($Q52,武学奇术!$A:$ZZ,9,FALSE)+SUM(_xlfn.XLOOKUP(R52:AF52,增益!$A:$A,增益!$I:$I,0))&gt;0,($F$11-$I$4+VLOOKUP($Q52,武学奇术!$A:$ZZ,9,FALSE)+SUM(_xlfn.XLOOKUP(R52:AF52,增益!$A:$A,增益!$I:$I,0)))/200,($F$11-$I$4+VLOOKUP($Q52,武学奇术!$A:$ZZ,9,FALSE)+SUM(_xlfn.XLOOKUP(R52:AF52,增益!$A:$A,增益!$I:$I,0)))/100)</f>
        <v>-0.3</v>
      </c>
      <c r="AV52" s="35" cm="1">
        <f t="array" ref="AV52">$G$11+VLOOKUP($Q52,武学奇术!$A:$ZZ,10,FALSE)+SUM(_xlfn.XLOOKUP(R52:AF52,增益!$A:$A,增益!$J:$J,0))</f>
        <v>0</v>
      </c>
      <c r="AW52">
        <f t="shared" si="3"/>
        <v>0</v>
      </c>
      <c r="AX52">
        <f t="shared" si="4"/>
        <v>0</v>
      </c>
      <c r="AY52" s="35" cm="1">
        <f t="array" ref="AY52">IF($F$12-$I$4+VLOOKUP($Q52,武学奇术!$A:$ZZ,11,FALSE)+SUM(_xlfn.XLOOKUP(R52:AF52,增益!$A:$A,增益!$K:$K,0))&gt;0,($F$12-$I$4+VLOOKUP($Q52,武学奇术!$A:$ZZ,11,FALSE)+SUM(_xlfn.XLOOKUP(R52:AF52,增益!$A:$A,增益!$K:$K,0)))/200,($F$12-$I$4+VLOOKUP($Q52,武学奇术!$A:$ZZ,11,FALSE)+SUM(_xlfn.XLOOKUP(R52:AF52,增益!$A:$A,增益!$K:$K,0)))/100)</f>
        <v>-0.3</v>
      </c>
      <c r="AZ52" s="35" cm="1">
        <f t="array" ref="AZ52">$G$12+VLOOKUP($Q52,武学奇术!$A:$ZZ,12,FALSE)+SUM(_xlfn.XLOOKUP(R52:AF52,增益!$A:$A,增益!$L:$L,0))</f>
        <v>0</v>
      </c>
      <c r="BA52">
        <f t="shared" si="5"/>
        <v>0</v>
      </c>
      <c r="BB52">
        <f t="shared" si="6"/>
        <v>0</v>
      </c>
      <c r="BC52" s="35" cm="1">
        <f t="array" ref="BC52">IF($F$13-$I$4+VLOOKUP($Q52,武学奇术!$A:$ZZ,13,FALSE)+SUM(_xlfn.XLOOKUP(R52:AF52,增益!$A:$A,增益!$M:$M,0))&gt;0,($F$13-$I$4+VLOOKUP($Q52,武学奇术!$A:$ZZ,13,FALSE)+SUM(_xlfn.XLOOKUP(R52:AF52,增益!$A:$A,增益!$K:$K,0)))/200,($F$13-$I$4+VLOOKUP($Q52,武学奇术!$A:$ZZ,13,FALSE)+SUM(_xlfn.XLOOKUP(R52:AF52,增益!$A:$A,增益!$M:$M,0)))/100)</f>
        <v>-0.3</v>
      </c>
      <c r="BD52" s="35" cm="1">
        <f t="array" ref="BD52">$G$13+VLOOKUP($Q52,武学奇术!$A:$ZZ,14,FALSE)+SUM(_xlfn.XLOOKUP(R52:AF52,增益!$A:$A,增益!$N:$N,0))</f>
        <v>0</v>
      </c>
      <c r="BE52">
        <f t="shared" si="7"/>
        <v>538</v>
      </c>
      <c r="BF52">
        <f t="shared" si="8"/>
        <v>1561.4</v>
      </c>
      <c r="BG52" s="35" cm="1">
        <f t="array" ref="BG52">IF($F$14-$I$4+VLOOKUP($Q52,武学奇术!$A:$ZZ,15,FALSE)+SUM(_xlfn.XLOOKUP(R52:AF52,增益!$A:$A,增益!$O:$O,0))&gt;0,($F$14-$I$4+VLOOKUP($Q52,武学奇术!$A:$ZZ,15,FALSE)+SUM(_xlfn.XLOOKUP(R52:AF52,增益!$A:$A,增益!$O:$O,0)))/200,($F$14-$I$4+VLOOKUP($Q52,武学奇术!$A:$ZZ,15,FALSE)+SUM(_xlfn.XLOOKUP(R52:AF52,增益!$A:$A,增益!$O:$O,0)))/100)</f>
        <v>0</v>
      </c>
      <c r="BH52" s="35" cm="1">
        <f t="array" ref="BH52">$G$14+VLOOKUP($Q52,武学奇术!$A:$ZZ,16,FALSE)+SUM(_xlfn.XLOOKUP(R52:AF52,增益!$A:$A,增益!$P:$P,0))</f>
        <v>0.15</v>
      </c>
      <c r="BI52" s="30">
        <f>MIN(IF(VLOOKUP($Q52,武学奇术!$A:$ZZ,23,FALSE)=1,100%,$B$8),100%)</f>
        <v>0.9712</v>
      </c>
      <c r="BJ52" s="30" cm="1">
        <f t="array" ref="BJ52">IF(VLOOKUP($Q52,武学奇术!$A:$ZZ,23,FALSE)=1,100%,MIN(80%,$B$9+VLOOKUP($Q52,武学奇术!$A:$ZZ,17,FALSE)+SUM(_xlfn.XLOOKUP(R52:AF52,增益!$A:$A,增益!$Q:$Q,0)))+$B$11+SUM(_xlfn.XLOOKUP(R52:AF52,增益!$A:$A,增益!$U:$U,0)))*IF(VLOOKUP($Q52,武学奇术!$A:$ZZ,24,FALSE)=1,0,1)</f>
        <v>0.8773</v>
      </c>
      <c r="BK52" s="30" cm="1">
        <f t="array" ref="BK52">1+$B$13+VLOOKUP($Q52,武学奇术!$A:$ZZ,18,FALSE)+SUM(_xlfn.XLOOKUP(R52:AF52,增益!$A:$A,增益!$R:$R,0))</f>
        <v>1.87</v>
      </c>
      <c r="BL52" s="30" cm="1">
        <f t="array" ref="BL52">IF(VLOOKUP($Q52,武学奇术!$A:$ZZ,24,FALSE)=1,100%,MIN(40%,$B$10+VLOOKUP($Q52,武学奇术!$A:$ZZ,19,FALSE)+SUM(_xlfn.XLOOKUP(R52:AF52,增益!$A:$A,增益!$S:$S,0)))+$B$12+SUM(_xlfn.XLOOKUP(R52:AF52,增益!$A:$A,增益!$V:$V,0)))*IF(VLOOKUP($Q52,武学奇术!$A:$ZZ,23,FALSE)=1,0,1)</f>
        <v>0.0895</v>
      </c>
      <c r="BM52" s="30" cm="1">
        <f t="array" ref="BM52">1+$B$14+VLOOKUP($Q52,武学奇术!$A:$ZZ,20,FALSE)+SUM(_xlfn.XLOOKUP(R52:AF52,增益!$A:$A,增益!$T:$T,0))</f>
        <v>1.35</v>
      </c>
      <c r="BN52" s="30">
        <f t="shared" si="9"/>
        <v>0.85203376</v>
      </c>
      <c r="BO52" s="30">
        <f t="shared" si="10"/>
        <v>0.03224384</v>
      </c>
      <c r="BP52" s="30">
        <f>IF(VLOOKUP($Q52,武学奇术!$A:$ZZ,22,FALSE)=1,0,(1-$BI52))*(1-$BL52)</f>
        <v>0.0262224</v>
      </c>
      <c r="BQ52" s="30" cm="1">
        <f t="array" ref="BQ52">SUM(_xlfn.XLOOKUP(R52:AF52,增益!$A:$A,增益!$W:$W,0))+$I$5</f>
        <v>0.11</v>
      </c>
    </row>
    <row r="53" spans="1:69">
      <c r="A53" s="4"/>
      <c r="B53" s="90"/>
      <c r="C53" s="4"/>
      <c r="K53" s="41">
        <f t="shared" si="12"/>
        <v>24054.1960610605</v>
      </c>
      <c r="L53" s="41">
        <f>((($AN53+$AO53)/2*$AH53+$AI53)*(1+$AP53)*(1+$AQ53)+(($AS53+$AT53)/2*IF($G$1="鸣金",$AJ53,$AH53)+IF($G$1="鸣金",$AK53*1.5,0))*(1+$AU53)*(1+$AV53)+(($AW53+$AX53)/2*IF($G$1="裂石",$AJ53,$AH53)+IF($G$1="裂石",$AK53*1.5,0))*(1+$AY53)*(1+$AZ53)+(($BA53+$BB53)/2*IF($G$1="牵丝",$AJ53,$AH53)+IF($G$1="牵丝",$AK53*1.5,0))*(1+$BC53)*(1+$BD53)+(($BE53+$BF53)/2*IF($G$1="破竹",$AJ53,$AH53)+IF($G$1="破竹",$AK53*1.5,0))*(1+$BG53)*(1+$BH53))*(1+$AL53)*$BK53*$P53*(1+IF(VLOOKUP($Q53,武学奇术!$A:$ZZ,30,FALSE)="回旋伞",$B$21,0))*(1+$BQ53)</f>
        <v>25200.5970136529</v>
      </c>
      <c r="M53" s="41">
        <f>(($AO53*$AH53+$AI53)*(1+$AP53)*(1+$AQ53)+($AT53*IF($G$1="鸣金",$AJ53,$AH53)+IF($G$1="鸣金",$AK53*1.5,0))*(1+$AU53)*(1+$AV53)+($AX53*IF($G$1="裂石",$AJ53,$AH53)+IF($G$1="裂石",$AK53*1.5,0))*(1+$AY53)*(1+$AZ53)+($BB53*IF($G$1="牵丝",$AJ53,$AH53)+IF($G$1="牵丝",$AK53*1.5,0))*(1+$BC53)*(1+$BD53)+($BF53*IF($G$1="破竹",$AJ53,$AH53)+IF($G$1="破竹",$AK53*1.5,0))*(1+$BG53)*(1+$BH53))*(1+$AL53)*$BM53*$P53*(1+IF(VLOOKUP($Q53,武学奇术!$A:$ZZ,30,FALSE)="回旋伞",$B$21,0))*(1+$BQ53)</f>
        <v>20565.541949003</v>
      </c>
      <c r="N53" s="41">
        <f>((($AN53+$AO53)/2*$AH53+$AI53)*(1+$AP53)*(1+$AQ53)+(($AS53+$AT53)/2*IF($G$1="鸣金",$AJ53,$AH53)+IF($G$1="鸣金",$AK53*1.5,0))*(1+$AU53)*(1+$AV53)+(($AW53+$AX53)/2*IF($G$1="裂石",$AJ53,$AH53)+IF($G$1="裂石",$AK53*1.5,0))*(1+$AY53)*(1+$AZ53)+(($BA53+$BB53)/2*IF($G$1="牵丝",$AJ53,$AH53)+IF($G$1="牵丝",$AK53*1.5,0))*(1+$BC53)*(1+$BD53)+(($BE53+$BF53)/2*IF($G$1="破竹",$AJ53,$AH53)+IF($G$1="破竹",$AK53*1.5,0))*(1+$BG53)*(1+$BH53))*(1+$AL53)*$P53*(1+IF(VLOOKUP($Q53,武学奇术!$A:$ZZ,30,FALSE)="回旋伞",$B$21,0))*(1+$BQ53)</f>
        <v>13476.2550875149</v>
      </c>
      <c r="O53" s="41">
        <f>((($AN53*$AH53+$AI53)*(1+$AP53)*(1+$AQ53)+($AS53*IF($G$1="鸣金",$AJ53,$AH53)+IF($G$1="鸣金",$AK53*1.5,0))*(1+$AU53)*(1+$AV53)+($AW53*IF($G$1="裂石",$AJ53,$AH53)+IF($G$1="裂石",$AK53*1.5,0))*(1+$AY53)*(1+$AZ53)+($BA53*IF($G$1="牵丝",$AJ53,$AH53)+IF($G$1="牵丝",$AK53*1.5,0))*(1+$BC53)*(1+$BD53)+($BE53*IF($G$1="破竹",$AJ53,$AH53)+IF($G$1="破竹",$AK53*1.5,0))*(1+$BG53)*(1+$BH53))*(1+$AL53))*$P53*(1+IF(VLOOKUP($Q53,武学奇术!$A:$ZZ,30,FALSE)="回旋伞",$B$21,0))*(1+$BQ53)</f>
        <v>11718.7753979905</v>
      </c>
      <c r="P53" s="42">
        <v>1</v>
      </c>
      <c r="Q53" s="43" t="s">
        <v>70</v>
      </c>
      <c r="R53" s="43" t="s">
        <v>71</v>
      </c>
      <c r="S53" s="43" t="s">
        <v>91</v>
      </c>
      <c r="T53" s="43" t="s">
        <v>72</v>
      </c>
      <c r="U53" s="43" t="s">
        <v>71</v>
      </c>
      <c r="V53" s="43" t="s">
        <v>167</v>
      </c>
      <c r="W53" s="43" t="s">
        <v>95</v>
      </c>
      <c r="X53" s="43" t="s">
        <v>71</v>
      </c>
      <c r="Y53" s="43" t="s">
        <v>71</v>
      </c>
      <c r="Z53" s="43" t="s">
        <v>71</v>
      </c>
      <c r="AA53" s="43" t="s">
        <v>71</v>
      </c>
      <c r="AB53" s="43" t="s">
        <v>71</v>
      </c>
      <c r="AC53" s="43" t="s">
        <v>71</v>
      </c>
      <c r="AD53" s="43" t="s">
        <v>71</v>
      </c>
      <c r="AE53" s="43" t="s">
        <v>71</v>
      </c>
      <c r="AF53" s="43" t="s">
        <v>76</v>
      </c>
      <c r="AG53" t="str">
        <f>VLOOKUP($Q53,武学奇术!$A:$ZZ,25,FALSE)</f>
        <v>群体奇术</v>
      </c>
      <c r="AH53" s="30">
        <f>VLOOKUP($Q53,武学奇术!$A:$ZZ,26,FALSE)</f>
        <v>1.4904</v>
      </c>
      <c r="AI53" s="31">
        <f>VLOOKUP($Q53,武学奇术!$A:$ZZ,27,FALSE)*(1+IF(OR($AG53=$F$4,$AG53=$F$5),$B$22,0))</f>
        <v>368</v>
      </c>
      <c r="AJ53" s="30">
        <f>VLOOKUP($Q53,武学奇术!$A:$ZZ,28,FALSE)</f>
        <v>2.2353</v>
      </c>
      <c r="AK53" s="31">
        <f>VLOOKUP($Q53,武学奇术!$A:$ZZ,29,FALSE)*(1+IF(OR($AG53=$F$4,$AG53=$F$5),$B$22,0))</f>
        <v>0</v>
      </c>
      <c r="AL53" s="30" cm="1">
        <f t="array" ref="AL53">$G$3+IFERROR(VLOOKUP($AG53,$F$4:$G$7,2,FALSE),0)+VLOOKUP($Q53,武学奇术!$A:$ZZ,2,FALSE)+SUM(_xlfn.XLOOKUP($R53:$AF53,增益!$A:$A,增益!$B:$B,0))</f>
        <v>0.2037</v>
      </c>
      <c r="AM53" s="30" cm="1">
        <f t="array" ref="AM53">VLOOKUP($Q53,武学奇术!$A:$ZZ,5,FALSE)+SUM(_xlfn.XLOOKUP($R53:$AF53,增益!$A:$A,增益!$E:$E,0))</f>
        <v>0</v>
      </c>
      <c r="AN53" cm="1">
        <f t="array" ref="AN53">$D$10*(1+$AM53)+VLOOKUP($Q53,武学奇术!$A:$ZZ,3,FALSE)+SUM(_xlfn.XLOOKUP($R53:$AF53,增益!$A:$A,增益!$C:$C,0))-$I$2</f>
        <v>3483.8</v>
      </c>
      <c r="AO53" cm="1">
        <f t="array" ref="AO53">$E$10*(1+$AM53)+VLOOKUP($Q53,武学奇术!$A:$ZZ,4,FALSE)+SUM(_xlfn.XLOOKUP($R53:$AF53,增益!$A:$A,增益!$D:$D,0))-$I$2</f>
        <v>3483.8</v>
      </c>
      <c r="AP53" s="35" cm="1">
        <f t="array" ref="AP53">IF($F$10-$I$3+VLOOKUP($Q53,武学奇术!$A:$ZZ,6,FALSE)+SUM(_xlfn.XLOOKUP(R53:AF53,增益!$A:$A,增益!$F:$F,0))&gt;0,($F$10-$I$3+VLOOKUP($Q53,武学奇术!$A:$ZZ,6,FALSE)+SUM(_xlfn.XLOOKUP(R53:AF53,增益!$A:$A,增益!$F:$F,0)))/200,($F$10-$I$3+VLOOKUP($Q53,武学奇术!$A:$ZZ,6,FALSE)+SUM(_xlfn.XLOOKUP(R53:AF53,增益!$A:$A,增益!$F:$F,0)))/100)</f>
        <v>0.2925</v>
      </c>
      <c r="AQ53" s="35" cm="1">
        <f t="array" ref="AQ53">$G$10+VLOOKUP($Q53,武学奇术!$A:$ZZ,7,FALSE)+SUM(_xlfn.XLOOKUP(R53:AF53,增益!$A:$A,增益!$G:$G,0))</f>
        <v>0.028</v>
      </c>
      <c r="AR53" s="30" cm="1">
        <f t="array" ref="AR53">VLOOKUP($Q53,武学奇术!$A:$ZZ,8,FALSE)+SUM(_xlfn.XLOOKUP(R53:AF53,增益!$A:$A,增益!$H:$H,0))</f>
        <v>0</v>
      </c>
      <c r="AS53">
        <f t="shared" si="1"/>
        <v>0</v>
      </c>
      <c r="AT53">
        <f t="shared" si="2"/>
        <v>0</v>
      </c>
      <c r="AU53" s="35" cm="1">
        <f t="array" ref="AU53">IF($F$11-$I$4+VLOOKUP($Q53,武学奇术!$A:$ZZ,9,FALSE)+SUM(_xlfn.XLOOKUP(R53:AF53,增益!$A:$A,增益!$I:$I,0))&gt;0,($F$11-$I$4+VLOOKUP($Q53,武学奇术!$A:$ZZ,9,FALSE)+SUM(_xlfn.XLOOKUP(R53:AF53,增益!$A:$A,增益!$I:$I,0)))/200,($F$11-$I$4+VLOOKUP($Q53,武学奇术!$A:$ZZ,9,FALSE)+SUM(_xlfn.XLOOKUP(R53:AF53,增益!$A:$A,增益!$I:$I,0)))/100)</f>
        <v>-0.3</v>
      </c>
      <c r="AV53" s="35" cm="1">
        <f t="array" ref="AV53">$G$11+VLOOKUP($Q53,武学奇术!$A:$ZZ,10,FALSE)+SUM(_xlfn.XLOOKUP(R53:AF53,增益!$A:$A,增益!$J:$J,0))</f>
        <v>0</v>
      </c>
      <c r="AW53">
        <f t="shared" si="3"/>
        <v>0</v>
      </c>
      <c r="AX53">
        <f t="shared" si="4"/>
        <v>0</v>
      </c>
      <c r="AY53" s="35" cm="1">
        <f t="array" ref="AY53">IF($F$12-$I$4+VLOOKUP($Q53,武学奇术!$A:$ZZ,11,FALSE)+SUM(_xlfn.XLOOKUP(R53:AF53,增益!$A:$A,增益!$K:$K,0))&gt;0,($F$12-$I$4+VLOOKUP($Q53,武学奇术!$A:$ZZ,11,FALSE)+SUM(_xlfn.XLOOKUP(R53:AF53,增益!$A:$A,增益!$K:$K,0)))/200,($F$12-$I$4+VLOOKUP($Q53,武学奇术!$A:$ZZ,11,FALSE)+SUM(_xlfn.XLOOKUP(R53:AF53,增益!$A:$A,增益!$K:$K,0)))/100)</f>
        <v>-0.3</v>
      </c>
      <c r="AZ53" s="35" cm="1">
        <f t="array" ref="AZ53">$G$12+VLOOKUP($Q53,武学奇术!$A:$ZZ,12,FALSE)+SUM(_xlfn.XLOOKUP(R53:AF53,增益!$A:$A,增益!$L:$L,0))</f>
        <v>0</v>
      </c>
      <c r="BA53">
        <f t="shared" si="5"/>
        <v>0</v>
      </c>
      <c r="BB53">
        <f t="shared" si="6"/>
        <v>0</v>
      </c>
      <c r="BC53" s="35" cm="1">
        <f t="array" ref="BC53">IF($F$13-$I$4+VLOOKUP($Q53,武学奇术!$A:$ZZ,13,FALSE)+SUM(_xlfn.XLOOKUP(R53:AF53,增益!$A:$A,增益!$M:$M,0))&gt;0,($F$13-$I$4+VLOOKUP($Q53,武学奇术!$A:$ZZ,13,FALSE)+SUM(_xlfn.XLOOKUP(R53:AF53,增益!$A:$A,增益!$K:$K,0)))/200,($F$13-$I$4+VLOOKUP($Q53,武学奇术!$A:$ZZ,13,FALSE)+SUM(_xlfn.XLOOKUP(R53:AF53,增益!$A:$A,增益!$M:$M,0)))/100)</f>
        <v>-0.3</v>
      </c>
      <c r="BD53" s="35" cm="1">
        <f t="array" ref="BD53">$G$13+VLOOKUP($Q53,武学奇术!$A:$ZZ,14,FALSE)+SUM(_xlfn.XLOOKUP(R53:AF53,增益!$A:$A,增益!$N:$N,0))</f>
        <v>0</v>
      </c>
      <c r="BE53">
        <f t="shared" si="7"/>
        <v>538</v>
      </c>
      <c r="BF53">
        <f t="shared" si="8"/>
        <v>1561.4</v>
      </c>
      <c r="BG53" s="35" cm="1">
        <f t="array" ref="BG53">IF($F$14-$I$4+VLOOKUP($Q53,武学奇术!$A:$ZZ,15,FALSE)+SUM(_xlfn.XLOOKUP(R53:AF53,增益!$A:$A,增益!$O:$O,0))&gt;0,($F$14-$I$4+VLOOKUP($Q53,武学奇术!$A:$ZZ,15,FALSE)+SUM(_xlfn.XLOOKUP(R53:AF53,增益!$A:$A,增益!$O:$O,0)))/200,($F$14-$I$4+VLOOKUP($Q53,武学奇术!$A:$ZZ,15,FALSE)+SUM(_xlfn.XLOOKUP(R53:AF53,增益!$A:$A,增益!$O:$O,0)))/100)</f>
        <v>0</v>
      </c>
      <c r="BH53" s="35" cm="1">
        <f t="array" ref="BH53">$G$14+VLOOKUP($Q53,武学奇术!$A:$ZZ,16,FALSE)+SUM(_xlfn.XLOOKUP(R53:AF53,增益!$A:$A,增益!$P:$P,0))</f>
        <v>0.15</v>
      </c>
      <c r="BI53" s="30">
        <f>MIN(IF(VLOOKUP($Q53,武学奇术!$A:$ZZ,23,FALSE)=1,100%,$B$8),100%)</f>
        <v>0.9712</v>
      </c>
      <c r="BJ53" s="30" cm="1">
        <f t="array" ref="BJ53">IF(VLOOKUP($Q53,武学奇术!$A:$ZZ,23,FALSE)=1,100%,MIN(80%,$B$9+VLOOKUP($Q53,武学奇术!$A:$ZZ,17,FALSE)+SUM(_xlfn.XLOOKUP(R53:AF53,增益!$A:$A,增益!$Q:$Q,0)))+$B$11+SUM(_xlfn.XLOOKUP(R53:AF53,增益!$A:$A,增益!$U:$U,0)))*IF(VLOOKUP($Q53,武学奇术!$A:$ZZ,24,FALSE)=1,0,1)</f>
        <v>0.8773</v>
      </c>
      <c r="BK53" s="30" cm="1">
        <f t="array" ref="BK53">1+$B$13+VLOOKUP($Q53,武学奇术!$A:$ZZ,18,FALSE)+SUM(_xlfn.XLOOKUP(R53:AF53,增益!$A:$A,增益!$R:$R,0))</f>
        <v>1.87</v>
      </c>
      <c r="BL53" s="30" cm="1">
        <f t="array" ref="BL53">IF(VLOOKUP($Q53,武学奇术!$A:$ZZ,24,FALSE)=1,100%,MIN(40%,$B$10+VLOOKUP($Q53,武学奇术!$A:$ZZ,19,FALSE)+SUM(_xlfn.XLOOKUP(R53:AF53,增益!$A:$A,增益!$S:$S,0)))+$B$12+SUM(_xlfn.XLOOKUP(R53:AF53,增益!$A:$A,增益!$V:$V,0)))*IF(VLOOKUP($Q53,武学奇术!$A:$ZZ,23,FALSE)=1,0,1)</f>
        <v>0.0895</v>
      </c>
      <c r="BM53" s="30" cm="1">
        <f t="array" ref="BM53">1+$B$14+VLOOKUP($Q53,武学奇术!$A:$ZZ,20,FALSE)+SUM(_xlfn.XLOOKUP(R53:AF53,增益!$A:$A,增益!$T:$T,0))</f>
        <v>1.35</v>
      </c>
      <c r="BN53" s="30">
        <f t="shared" si="9"/>
        <v>0.85203376</v>
      </c>
      <c r="BO53" s="30">
        <f t="shared" si="10"/>
        <v>0.03224384</v>
      </c>
      <c r="BP53" s="30">
        <f>IF(VLOOKUP($Q53,武学奇术!$A:$ZZ,22,FALSE)=1,0,(1-$BI53))*(1-$BL53)</f>
        <v>0.0262224</v>
      </c>
      <c r="BQ53" s="30" cm="1">
        <f t="array" ref="BQ53">SUM(_xlfn.XLOOKUP(R53:AF53,增益!$A:$A,增益!$W:$W,0))+$I$5</f>
        <v>0.11</v>
      </c>
    </row>
    <row r="54" spans="1:69">
      <c r="A54" s="4"/>
      <c r="B54" s="4"/>
      <c r="K54" s="41">
        <f t="shared" si="12"/>
        <v>28050.905550312</v>
      </c>
      <c r="L54" s="41">
        <f>((($AN54+$AO54)/2*$AH54+$AI54)*(1+$AP54)*(1+$AQ54)+(($AS54+$AT54)/2*IF($G$1="鸣金",$AJ54,$AH54)+IF($G$1="鸣金",$AK54*1.5,0))*(1+$AU54)*(1+$AV54)+(($AW54+$AX54)/2*IF($G$1="裂石",$AJ54,$AH54)+IF($G$1="裂石",$AK54*1.5,0))*(1+$AY54)*(1+$AZ54)+(($BA54+$BB54)/2*IF($G$1="牵丝",$AJ54,$AH54)+IF($G$1="牵丝",$AK54*1.5,0))*(1+$BC54)*(1+$BD54)+(($BE54+$BF54)/2*IF($G$1="破竹",$AJ54,$AH54)+IF($G$1="破竹",$AK54*1.5,0))*(1+$BG54)*(1+$BH54))*(1+$AL54)*$BK54*$P54*(1+IF(VLOOKUP($Q54,武学奇术!$A:$ZZ,30,FALSE)="回旋伞",$B$21,0))*(1+$BQ54)</f>
        <v>29387.7860165029</v>
      </c>
      <c r="M54" s="41">
        <f>(($AO54*$AH54+$AI54)*(1+$AP54)*(1+$AQ54)+($AT54*IF($G$1="鸣金",$AJ54,$AH54)+IF($G$1="鸣金",$AK54*1.5,0))*(1+$AU54)*(1+$AV54)+($AX54*IF($G$1="裂石",$AJ54,$AH54)+IF($G$1="裂石",$AK54*1.5,0))*(1+$AY54)*(1+$AZ54)+($BB54*IF($G$1="牵丝",$AJ54,$AH54)+IF($G$1="牵丝",$AK54*1.5,0))*(1+$BC54)*(1+$BD54)+($BF54*IF($G$1="破竹",$AJ54,$AH54)+IF($G$1="破竹",$AK54*1.5,0))*(1+$BG54)*(1+$BH54))*(1+$AL54)*$BM54*$P54*(1+IF(VLOOKUP($Q54,武学奇术!$A:$ZZ,30,FALSE)="回旋伞",$B$21,0))*(1+$BQ54)</f>
        <v>23982.5963560817</v>
      </c>
      <c r="N54" s="41">
        <f>((($AN54+$AO54)/2*$AH54+$AI54)*(1+$AP54)*(1+$AQ54)+(($AS54+$AT54)/2*IF($G$1="鸣金",$AJ54,$AH54)+IF($G$1="鸣金",$AK54*1.5,0))*(1+$AU54)*(1+$AV54)+(($AW54+$AX54)/2*IF($G$1="裂石",$AJ54,$AH54)+IF($G$1="裂石",$AK54*1.5,0))*(1+$AY54)*(1+$AZ54)+(($BA54+$BB54)/2*IF($G$1="牵丝",$AJ54,$AH54)+IF($G$1="牵丝",$AK54*1.5,0))*(1+$BC54)*(1+$BD54)+(($BE54+$BF54)/2*IF($G$1="破竹",$AJ54,$AH54)+IF($G$1="破竹",$AK54*1.5,0))*(1+$BG54)*(1+$BH54))*(1+$AL54)*$P54*(1+IF(VLOOKUP($Q54,武学奇术!$A:$ZZ,30,FALSE)="回旋伞",$B$21,0))*(1+$BQ54)</f>
        <v>15715.3935917128</v>
      </c>
      <c r="O54" s="41">
        <f>((($AN54*$AH54+$AI54)*(1+$AP54)*(1+$AQ54)+($AS54*IF($G$1="鸣金",$AJ54,$AH54)+IF($G$1="鸣金",$AK54*1.5,0))*(1+$AU54)*(1+$AV54)+($AW54*IF($G$1="裂石",$AJ54,$AH54)+IF($G$1="裂石",$AK54*1.5,0))*(1+$AY54)*(1+$AZ54)+($BA54*IF($G$1="牵丝",$AJ54,$AH54)+IF($G$1="牵丝",$AK54*1.5,0))*(1+$BC54)*(1+$BD54)+($BE54*IF($G$1="破竹",$AJ54,$AH54)+IF($G$1="破竹",$AK54*1.5,0))*(1+$BG54)*(1+$BH54))*(1+$AL54))*$P54*(1+IF(VLOOKUP($Q54,武学奇术!$A:$ZZ,30,FALSE)="回旋伞",$B$21,0))*(1+$BQ54)</f>
        <v>13665.9009937354</v>
      </c>
      <c r="P54" s="42">
        <v>1</v>
      </c>
      <c r="Q54" s="43" t="s">
        <v>70</v>
      </c>
      <c r="R54" s="43" t="s">
        <v>71</v>
      </c>
      <c r="S54" s="43" t="s">
        <v>91</v>
      </c>
      <c r="T54" s="43" t="s">
        <v>72</v>
      </c>
      <c r="U54" s="43" t="s">
        <v>79</v>
      </c>
      <c r="V54" s="43" t="s">
        <v>167</v>
      </c>
      <c r="W54" s="43" t="s">
        <v>95</v>
      </c>
      <c r="X54" s="43" t="s">
        <v>71</v>
      </c>
      <c r="Y54" s="43" t="s">
        <v>71</v>
      </c>
      <c r="Z54" s="43" t="s">
        <v>71</v>
      </c>
      <c r="AA54" s="43" t="s">
        <v>71</v>
      </c>
      <c r="AB54" s="43" t="s">
        <v>71</v>
      </c>
      <c r="AC54" s="43" t="s">
        <v>71</v>
      </c>
      <c r="AD54" s="43" t="s">
        <v>71</v>
      </c>
      <c r="AE54" s="43" t="s">
        <v>71</v>
      </c>
      <c r="AF54" s="43" t="s">
        <v>76</v>
      </c>
      <c r="AG54" t="str">
        <f>VLOOKUP($Q54,武学奇术!$A:$ZZ,25,FALSE)</f>
        <v>群体奇术</v>
      </c>
      <c r="AH54" s="30">
        <f>VLOOKUP($Q54,武学奇术!$A:$ZZ,26,FALSE)</f>
        <v>1.4904</v>
      </c>
      <c r="AI54" s="31">
        <f>VLOOKUP($Q54,武学奇术!$A:$ZZ,27,FALSE)*(1+IF(OR($AG54=$F$4,$AG54=$F$5),$B$22,0))</f>
        <v>368</v>
      </c>
      <c r="AJ54" s="30">
        <f>VLOOKUP($Q54,武学奇术!$A:$ZZ,28,FALSE)</f>
        <v>2.2353</v>
      </c>
      <c r="AK54" s="31">
        <f>VLOOKUP($Q54,武学奇术!$A:$ZZ,29,FALSE)*(1+IF(OR($AG54=$F$4,$AG54=$F$5),$B$22,0))</f>
        <v>0</v>
      </c>
      <c r="AL54" s="30" cm="1">
        <f t="array" ref="AL54">$G$3+IFERROR(VLOOKUP($AG54,$F$4:$G$7,2,FALSE),0)+VLOOKUP($Q54,武学奇术!$A:$ZZ,2,FALSE)+SUM(_xlfn.XLOOKUP($R54:$AF54,增益!$A:$A,增益!$B:$B,0))</f>
        <v>0.4037</v>
      </c>
      <c r="AM54" s="30" cm="1">
        <f t="array" ref="AM54">VLOOKUP($Q54,武学奇术!$A:$ZZ,5,FALSE)+SUM(_xlfn.XLOOKUP($R54:$AF54,增益!$A:$A,增益!$E:$E,0))</f>
        <v>0</v>
      </c>
      <c r="AN54" cm="1">
        <f t="array" ref="AN54">$D$10*(1+$AM54)+VLOOKUP($Q54,武学奇术!$A:$ZZ,3,FALSE)+SUM(_xlfn.XLOOKUP($R54:$AF54,增益!$A:$A,增益!$C:$C,0))-$I$2</f>
        <v>3483.8</v>
      </c>
      <c r="AO54" cm="1">
        <f t="array" ref="AO54">$E$10*(1+$AM54)+VLOOKUP($Q54,武学奇术!$A:$ZZ,4,FALSE)+SUM(_xlfn.XLOOKUP($R54:$AF54,增益!$A:$A,增益!$D:$D,0))-$I$2</f>
        <v>3483.8</v>
      </c>
      <c r="AP54" s="35" cm="1">
        <f t="array" ref="AP54">IF($F$10-$I$3+VLOOKUP($Q54,武学奇术!$A:$ZZ,6,FALSE)+SUM(_xlfn.XLOOKUP(R54:AF54,增益!$A:$A,增益!$F:$F,0))&gt;0,($F$10-$I$3+VLOOKUP($Q54,武学奇术!$A:$ZZ,6,FALSE)+SUM(_xlfn.XLOOKUP(R54:AF54,增益!$A:$A,增益!$F:$F,0)))/200,($F$10-$I$3+VLOOKUP($Q54,武学奇术!$A:$ZZ,6,FALSE)+SUM(_xlfn.XLOOKUP(R54:AF54,增益!$A:$A,增益!$F:$F,0)))/100)</f>
        <v>0.2925</v>
      </c>
      <c r="AQ54" s="35" cm="1">
        <f t="array" ref="AQ54">$G$10+VLOOKUP($Q54,武学奇术!$A:$ZZ,7,FALSE)+SUM(_xlfn.XLOOKUP(R54:AF54,增益!$A:$A,增益!$G:$G,0))</f>
        <v>0.028</v>
      </c>
      <c r="AR54" s="30" cm="1">
        <f t="array" ref="AR54">VLOOKUP($Q54,武学奇术!$A:$ZZ,8,FALSE)+SUM(_xlfn.XLOOKUP(R54:AF54,增益!$A:$A,增益!$H:$H,0))</f>
        <v>0</v>
      </c>
      <c r="AS54">
        <f t="shared" si="1"/>
        <v>0</v>
      </c>
      <c r="AT54">
        <f t="shared" si="2"/>
        <v>0</v>
      </c>
      <c r="AU54" s="35" cm="1">
        <f t="array" ref="AU54">IF($F$11-$I$4+VLOOKUP($Q54,武学奇术!$A:$ZZ,9,FALSE)+SUM(_xlfn.XLOOKUP(R54:AF54,增益!$A:$A,增益!$I:$I,0))&gt;0,($F$11-$I$4+VLOOKUP($Q54,武学奇术!$A:$ZZ,9,FALSE)+SUM(_xlfn.XLOOKUP(R54:AF54,增益!$A:$A,增益!$I:$I,0)))/200,($F$11-$I$4+VLOOKUP($Q54,武学奇术!$A:$ZZ,9,FALSE)+SUM(_xlfn.XLOOKUP(R54:AF54,增益!$A:$A,增益!$I:$I,0)))/100)</f>
        <v>-0.3</v>
      </c>
      <c r="AV54" s="35" cm="1">
        <f t="array" ref="AV54">$G$11+VLOOKUP($Q54,武学奇术!$A:$ZZ,10,FALSE)+SUM(_xlfn.XLOOKUP(R54:AF54,增益!$A:$A,增益!$J:$J,0))</f>
        <v>0</v>
      </c>
      <c r="AW54">
        <f t="shared" si="3"/>
        <v>0</v>
      </c>
      <c r="AX54">
        <f t="shared" si="4"/>
        <v>0</v>
      </c>
      <c r="AY54" s="35" cm="1">
        <f t="array" ref="AY54">IF($F$12-$I$4+VLOOKUP($Q54,武学奇术!$A:$ZZ,11,FALSE)+SUM(_xlfn.XLOOKUP(R54:AF54,增益!$A:$A,增益!$K:$K,0))&gt;0,($F$12-$I$4+VLOOKUP($Q54,武学奇术!$A:$ZZ,11,FALSE)+SUM(_xlfn.XLOOKUP(R54:AF54,增益!$A:$A,增益!$K:$K,0)))/200,($F$12-$I$4+VLOOKUP($Q54,武学奇术!$A:$ZZ,11,FALSE)+SUM(_xlfn.XLOOKUP(R54:AF54,增益!$A:$A,增益!$K:$K,0)))/100)</f>
        <v>-0.3</v>
      </c>
      <c r="AZ54" s="35" cm="1">
        <f t="array" ref="AZ54">$G$12+VLOOKUP($Q54,武学奇术!$A:$ZZ,12,FALSE)+SUM(_xlfn.XLOOKUP(R54:AF54,增益!$A:$A,增益!$L:$L,0))</f>
        <v>0</v>
      </c>
      <c r="BA54">
        <f t="shared" si="5"/>
        <v>0</v>
      </c>
      <c r="BB54">
        <f t="shared" si="6"/>
        <v>0</v>
      </c>
      <c r="BC54" s="35" cm="1">
        <f t="array" ref="BC54">IF($F$13-$I$4+VLOOKUP($Q54,武学奇术!$A:$ZZ,13,FALSE)+SUM(_xlfn.XLOOKUP(R54:AF54,增益!$A:$A,增益!$M:$M,0))&gt;0,($F$13-$I$4+VLOOKUP($Q54,武学奇术!$A:$ZZ,13,FALSE)+SUM(_xlfn.XLOOKUP(R54:AF54,增益!$A:$A,增益!$K:$K,0)))/200,($F$13-$I$4+VLOOKUP($Q54,武学奇术!$A:$ZZ,13,FALSE)+SUM(_xlfn.XLOOKUP(R54:AF54,增益!$A:$A,增益!$M:$M,0)))/100)</f>
        <v>-0.3</v>
      </c>
      <c r="BD54" s="35" cm="1">
        <f t="array" ref="BD54">$G$13+VLOOKUP($Q54,武学奇术!$A:$ZZ,14,FALSE)+SUM(_xlfn.XLOOKUP(R54:AF54,增益!$A:$A,增益!$N:$N,0))</f>
        <v>0</v>
      </c>
      <c r="BE54">
        <f t="shared" si="7"/>
        <v>538</v>
      </c>
      <c r="BF54">
        <f t="shared" si="8"/>
        <v>1561.4</v>
      </c>
      <c r="BG54" s="35" cm="1">
        <f t="array" ref="BG54">IF($F$14-$I$4+VLOOKUP($Q54,武学奇术!$A:$ZZ,15,FALSE)+SUM(_xlfn.XLOOKUP(R54:AF54,增益!$A:$A,增益!$O:$O,0))&gt;0,($F$14-$I$4+VLOOKUP($Q54,武学奇术!$A:$ZZ,15,FALSE)+SUM(_xlfn.XLOOKUP(R54:AF54,增益!$A:$A,增益!$O:$O,0)))/200,($F$14-$I$4+VLOOKUP($Q54,武学奇术!$A:$ZZ,15,FALSE)+SUM(_xlfn.XLOOKUP(R54:AF54,增益!$A:$A,增益!$O:$O,0)))/100)</f>
        <v>0</v>
      </c>
      <c r="BH54" s="35" cm="1">
        <f t="array" ref="BH54">$G$14+VLOOKUP($Q54,武学奇术!$A:$ZZ,16,FALSE)+SUM(_xlfn.XLOOKUP(R54:AF54,增益!$A:$A,增益!$P:$P,0))</f>
        <v>0.15</v>
      </c>
      <c r="BI54" s="30">
        <f>MIN(IF(VLOOKUP($Q54,武学奇术!$A:$ZZ,23,FALSE)=1,100%,$B$8),100%)</f>
        <v>0.9712</v>
      </c>
      <c r="BJ54" s="30" cm="1">
        <f t="array" ref="BJ54">IF(VLOOKUP($Q54,武学奇术!$A:$ZZ,23,FALSE)=1,100%,MIN(80%,$B$9+VLOOKUP($Q54,武学奇术!$A:$ZZ,17,FALSE)+SUM(_xlfn.XLOOKUP(R54:AF54,增益!$A:$A,增益!$Q:$Q,0)))+$B$11+SUM(_xlfn.XLOOKUP(R54:AF54,增益!$A:$A,增益!$U:$U,0)))*IF(VLOOKUP($Q54,武学奇术!$A:$ZZ,24,FALSE)=1,0,1)</f>
        <v>0.8773</v>
      </c>
      <c r="BK54" s="30" cm="1">
        <f t="array" ref="BK54">1+$B$13+VLOOKUP($Q54,武学奇术!$A:$ZZ,18,FALSE)+SUM(_xlfn.XLOOKUP(R54:AF54,增益!$A:$A,增益!$R:$R,0))</f>
        <v>1.87</v>
      </c>
      <c r="BL54" s="30" cm="1">
        <f t="array" ref="BL54">IF(VLOOKUP($Q54,武学奇术!$A:$ZZ,24,FALSE)=1,100%,MIN(40%,$B$10+VLOOKUP($Q54,武学奇术!$A:$ZZ,19,FALSE)+SUM(_xlfn.XLOOKUP(R54:AF54,增益!$A:$A,增益!$S:$S,0)))+$B$12+SUM(_xlfn.XLOOKUP(R54:AF54,增益!$A:$A,增益!$V:$V,0)))*IF(VLOOKUP($Q54,武学奇术!$A:$ZZ,23,FALSE)=1,0,1)</f>
        <v>0.0895</v>
      </c>
      <c r="BM54" s="30" cm="1">
        <f t="array" ref="BM54">1+$B$14+VLOOKUP($Q54,武学奇术!$A:$ZZ,20,FALSE)+SUM(_xlfn.XLOOKUP(R54:AF54,增益!$A:$A,增益!$T:$T,0))</f>
        <v>1.35</v>
      </c>
      <c r="BN54" s="30">
        <f t="shared" si="9"/>
        <v>0.85203376</v>
      </c>
      <c r="BO54" s="30">
        <f t="shared" si="10"/>
        <v>0.03224384</v>
      </c>
      <c r="BP54" s="30">
        <f>IF(VLOOKUP($Q54,武学奇术!$A:$ZZ,22,FALSE)=1,0,(1-$BI54))*(1-$BL54)</f>
        <v>0.0262224</v>
      </c>
      <c r="BQ54" s="30" cm="1">
        <f t="array" ref="BQ54">SUM(_xlfn.XLOOKUP(R54:AF54,增益!$A:$A,增益!$W:$W,0))+$I$5</f>
        <v>0.11</v>
      </c>
    </row>
    <row r="55" spans="1:69">
      <c r="A55" s="4"/>
      <c r="B55" s="90"/>
      <c r="K55" s="41">
        <f t="shared" si="12"/>
        <v>73273.4616594556</v>
      </c>
      <c r="L55" s="41">
        <f>((($AN55+$AO55)/2*$AH55+$AI55)*(1+$AP55)*(1+$AQ55)+(($AS55+$AT55)/2*IF($G$1="鸣金",$AJ55,$AH55)+IF($G$1="鸣金",$AK55*1.5,0))*(1+$AU55)*(1+$AV55)+(($AW55+$AX55)/2*IF($G$1="裂石",$AJ55,$AH55)+IF($G$1="裂石",$AK55*1.5,0))*(1+$AY55)*(1+$AZ55)+(($BA55+$BB55)/2*IF($G$1="牵丝",$AJ55,$AH55)+IF($G$1="牵丝",$AK55*1.5,0))*(1+$BC55)*(1+$BD55)+(($BE55+$BF55)/2*IF($G$1="破竹",$AJ55,$AH55)+IF($G$1="破竹",$AK55*1.5,0))*(1+$BG55)*(1+$BH55))*(1+$AL55)*$BK55*$P55*(1+IF(VLOOKUP($Q55,武学奇术!$A:$ZZ,30,FALSE)="回旋伞",$B$21,0))*(1+$BQ55)</f>
        <v>77781.7165186626</v>
      </c>
      <c r="M55" s="41">
        <f>(($AO55*$AH55+$AI55)*(1+$AP55)*(1+$AQ55)+($AT55*IF($G$1="鸣金",$AJ55,$AH55)+IF($G$1="鸣金",$AK55*1.5,0))*(1+$AU55)*(1+$AV55)+($AX55*IF($G$1="裂石",$AJ55,$AH55)+IF($G$1="裂石",$AK55*1.5,0))*(1+$AY55)*(1+$AZ55)+($BB55*IF($G$1="牵丝",$AJ55,$AH55)+IF($G$1="牵丝",$AK55*1.5,0))*(1+$BC55)*(1+$BD55)+($BF55*IF($G$1="破竹",$AJ55,$AH55)+IF($G$1="破竹",$AK55*1.5,0))*(1+$BG55)*(1+$BH55))*(1+$AL55)*$BM55*$P55*(1+IF(VLOOKUP($Q55,武学奇术!$A:$ZZ,30,FALSE)="回旋伞",$B$21,0))*(1+$BQ55)</f>
        <v>55562.9652883356</v>
      </c>
      <c r="N55" s="41">
        <f>((($AN55+$AO55)/2*$AH55+$AI55)*(1+$AP55)*(1+$AQ55)+(($AS55+$AT55)/2*IF($G$1="鸣金",$AJ55,$AH55)+IF($G$1="鸣金",$AK55*1.5,0))*(1+$AU55)*(1+$AV55)+(($AW55+$AX55)/2*IF($G$1="裂石",$AJ55,$AH55)+IF($G$1="裂石",$AK55*1.5,0))*(1+$AY55)*(1+$AZ55)+(($BA55+$BB55)/2*IF($G$1="牵丝",$AJ55,$AH55)+IF($G$1="牵丝",$AK55*1.5,0))*(1+$BC55)*(1+$BD55)+(($BE55+$BF55)/2*IF($G$1="破竹",$AJ55,$AH55)+IF($G$1="破竹",$AK55*1.5,0))*(1+$BG55)*(1+$BH55))*(1+$AL55)*$P55*(1+IF(VLOOKUP($Q55,武学奇术!$A:$ZZ,30,FALSE)="回旋伞",$B$21,0))*(1+$BQ55)</f>
        <v>36689.4889238975</v>
      </c>
      <c r="O55" s="41">
        <f>((($AN55*$AH55+$AI55)*(1+$AP55)*(1+$AQ55)+($AS55*IF($G$1="鸣金",$AJ55,$AH55)+IF($G$1="鸣金",$AK55*1.5,0))*(1+$AU55)*(1+$AV55)+($AW55*IF($G$1="裂石",$AJ55,$AH55)+IF($G$1="裂石",$AK55*1.5,0))*(1+$AY55)*(1+$AZ55)+($BA55*IF($G$1="牵丝",$AJ55,$AH55)+IF($G$1="牵丝",$AK55*1.5,0))*(1+$BC55)*(1+$BD55)+($BE55*IF($G$1="破竹",$AJ55,$AH55)+IF($G$1="破竹",$AK55*1.5,0))*(1+$BG55)*(1+$BH55))*(1+$AL55))*$P55*(1+IF(VLOOKUP($Q55,武学奇术!$A:$ZZ,30,FALSE)="回旋伞",$B$21,0))*(1+$BQ55)</f>
        <v>32221.2257823612</v>
      </c>
      <c r="P55" s="42">
        <v>2</v>
      </c>
      <c r="Q55" s="43" t="s">
        <v>70</v>
      </c>
      <c r="R55" s="43" t="s">
        <v>71</v>
      </c>
      <c r="S55" s="43" t="s">
        <v>91</v>
      </c>
      <c r="T55" s="43" t="s">
        <v>72</v>
      </c>
      <c r="U55" s="43" t="s">
        <v>79</v>
      </c>
      <c r="V55" s="43" t="s">
        <v>167</v>
      </c>
      <c r="W55" s="43" t="s">
        <v>95</v>
      </c>
      <c r="X55" s="43" t="s">
        <v>71</v>
      </c>
      <c r="Y55" s="43" t="s">
        <v>177</v>
      </c>
      <c r="Z55" s="43" t="s">
        <v>71</v>
      </c>
      <c r="AA55" s="43" t="s">
        <v>71</v>
      </c>
      <c r="AB55" s="43" t="s">
        <v>179</v>
      </c>
      <c r="AC55" s="43" t="s">
        <v>71</v>
      </c>
      <c r="AD55" s="43" t="s">
        <v>71</v>
      </c>
      <c r="AE55" s="43" t="s">
        <v>71</v>
      </c>
      <c r="AF55" s="43" t="s">
        <v>76</v>
      </c>
      <c r="AG55" t="str">
        <f>VLOOKUP($Q55,武学奇术!$A:$ZZ,25,FALSE)</f>
        <v>群体奇术</v>
      </c>
      <c r="AH55" s="30">
        <f>VLOOKUP($Q55,武学奇术!$A:$ZZ,26,FALSE)</f>
        <v>1.4904</v>
      </c>
      <c r="AI55" s="31">
        <f>VLOOKUP($Q55,武学奇术!$A:$ZZ,27,FALSE)*(1+IF(OR($AG55=$F$4,$AG55=$F$5),$B$22,0))</f>
        <v>368</v>
      </c>
      <c r="AJ55" s="30">
        <f>VLOOKUP($Q55,武学奇术!$A:$ZZ,28,FALSE)</f>
        <v>2.2353</v>
      </c>
      <c r="AK55" s="31">
        <f>VLOOKUP($Q55,武学奇术!$A:$ZZ,29,FALSE)*(1+IF(OR($AG55=$F$4,$AG55=$F$5),$B$22,0))</f>
        <v>0</v>
      </c>
      <c r="AL55" s="30" cm="1">
        <f t="array" ref="AL55">$G$3+IFERROR(VLOOKUP($AG55,$F$4:$G$7,2,FALSE),0)+VLOOKUP($Q55,武学奇术!$A:$ZZ,2,FALSE)+SUM(_xlfn.XLOOKUP($R55:$AF55,增益!$A:$A,增益!$B:$B,0))</f>
        <v>0.4037</v>
      </c>
      <c r="AM55" s="30" cm="1">
        <f t="array" ref="AM55">VLOOKUP($Q55,武学奇术!$A:$ZZ,5,FALSE)+SUM(_xlfn.XLOOKUP($R55:$AF55,增益!$A:$A,增益!$E:$E,0))</f>
        <v>0</v>
      </c>
      <c r="AN55" cm="1">
        <f t="array" ref="AN55">$D$10*(1+$AM55)+VLOOKUP($Q55,武学奇术!$A:$ZZ,3,FALSE)+SUM(_xlfn.XLOOKUP($R55:$AF55,增益!$A:$A,增益!$C:$C,0))-$I$2</f>
        <v>3483.8</v>
      </c>
      <c r="AO55" cm="1">
        <f t="array" ref="AO55">$E$10*(1+$AM55)+VLOOKUP($Q55,武学奇术!$A:$ZZ,4,FALSE)+SUM(_xlfn.XLOOKUP($R55:$AF55,增益!$A:$A,增益!$D:$D,0))-$I$2</f>
        <v>3483.8</v>
      </c>
      <c r="AP55" s="35" cm="1">
        <f t="array" ref="AP55">IF($F$10-$I$3+VLOOKUP($Q55,武学奇术!$A:$ZZ,6,FALSE)+SUM(_xlfn.XLOOKUP(R55:AF55,增益!$A:$A,增益!$F:$F,0))&gt;0,($F$10-$I$3+VLOOKUP($Q55,武学奇术!$A:$ZZ,6,FALSE)+SUM(_xlfn.XLOOKUP(R55:AF55,增益!$A:$A,增益!$F:$F,0)))/200,($F$10-$I$3+VLOOKUP($Q55,武学奇术!$A:$ZZ,6,FALSE)+SUM(_xlfn.XLOOKUP(R55:AF55,增益!$A:$A,增益!$F:$F,0)))/100)</f>
        <v>0.4175</v>
      </c>
      <c r="AQ55" s="35" cm="1">
        <f t="array" ref="AQ55">$G$10+VLOOKUP($Q55,武学奇术!$A:$ZZ,7,FALSE)+SUM(_xlfn.XLOOKUP(R55:AF55,增益!$A:$A,增益!$G:$G,0))</f>
        <v>0.028</v>
      </c>
      <c r="AR55" s="30" cm="1">
        <f t="array" ref="AR55">VLOOKUP($Q55,武学奇术!$A:$ZZ,8,FALSE)+SUM(_xlfn.XLOOKUP(R55:AF55,增益!$A:$A,增益!$H:$H,0))</f>
        <v>0</v>
      </c>
      <c r="AS55">
        <f t="shared" si="1"/>
        <v>0</v>
      </c>
      <c r="AT55">
        <f t="shared" si="2"/>
        <v>0</v>
      </c>
      <c r="AU55" s="35" cm="1">
        <f t="array" ref="AU55">IF($F$11-$I$4+VLOOKUP($Q55,武学奇术!$A:$ZZ,9,FALSE)+SUM(_xlfn.XLOOKUP(R55:AF55,增益!$A:$A,增益!$I:$I,0))&gt;0,($F$11-$I$4+VLOOKUP($Q55,武学奇术!$A:$ZZ,9,FALSE)+SUM(_xlfn.XLOOKUP(R55:AF55,增益!$A:$A,增益!$I:$I,0)))/200,($F$11-$I$4+VLOOKUP($Q55,武学奇术!$A:$ZZ,9,FALSE)+SUM(_xlfn.XLOOKUP(R55:AF55,增益!$A:$A,增益!$I:$I,0)))/100)</f>
        <v>-0.3</v>
      </c>
      <c r="AV55" s="35" cm="1">
        <f t="array" ref="AV55">$G$11+VLOOKUP($Q55,武学奇术!$A:$ZZ,10,FALSE)+SUM(_xlfn.XLOOKUP(R55:AF55,增益!$A:$A,增益!$J:$J,0))</f>
        <v>0</v>
      </c>
      <c r="AW55">
        <f t="shared" si="3"/>
        <v>0</v>
      </c>
      <c r="AX55">
        <f t="shared" si="4"/>
        <v>0</v>
      </c>
      <c r="AY55" s="35" cm="1">
        <f t="array" ref="AY55">IF($F$12-$I$4+VLOOKUP($Q55,武学奇术!$A:$ZZ,11,FALSE)+SUM(_xlfn.XLOOKUP(R55:AF55,增益!$A:$A,增益!$K:$K,0))&gt;0,($F$12-$I$4+VLOOKUP($Q55,武学奇术!$A:$ZZ,11,FALSE)+SUM(_xlfn.XLOOKUP(R55:AF55,增益!$A:$A,增益!$K:$K,0)))/200,($F$12-$I$4+VLOOKUP($Q55,武学奇术!$A:$ZZ,11,FALSE)+SUM(_xlfn.XLOOKUP(R55:AF55,增益!$A:$A,增益!$K:$K,0)))/100)</f>
        <v>-0.3</v>
      </c>
      <c r="AZ55" s="35" cm="1">
        <f t="array" ref="AZ55">$G$12+VLOOKUP($Q55,武学奇术!$A:$ZZ,12,FALSE)+SUM(_xlfn.XLOOKUP(R55:AF55,增益!$A:$A,增益!$L:$L,0))</f>
        <v>0</v>
      </c>
      <c r="BA55">
        <f t="shared" si="5"/>
        <v>0</v>
      </c>
      <c r="BB55">
        <f t="shared" si="6"/>
        <v>0</v>
      </c>
      <c r="BC55" s="35" cm="1">
        <f t="array" ref="BC55">IF($F$13-$I$4+VLOOKUP($Q55,武学奇术!$A:$ZZ,13,FALSE)+SUM(_xlfn.XLOOKUP(R55:AF55,增益!$A:$A,增益!$M:$M,0))&gt;0,($F$13-$I$4+VLOOKUP($Q55,武学奇术!$A:$ZZ,13,FALSE)+SUM(_xlfn.XLOOKUP(R55:AF55,增益!$A:$A,增益!$K:$K,0)))/200,($F$13-$I$4+VLOOKUP($Q55,武学奇术!$A:$ZZ,13,FALSE)+SUM(_xlfn.XLOOKUP(R55:AF55,增益!$A:$A,增益!$M:$M,0)))/100)</f>
        <v>-0.3</v>
      </c>
      <c r="BD55" s="35" cm="1">
        <f t="array" ref="BD55">$G$13+VLOOKUP($Q55,武学奇术!$A:$ZZ,14,FALSE)+SUM(_xlfn.XLOOKUP(R55:AF55,增益!$A:$A,增益!$N:$N,0))</f>
        <v>0</v>
      </c>
      <c r="BE55">
        <f t="shared" si="7"/>
        <v>538</v>
      </c>
      <c r="BF55">
        <f t="shared" si="8"/>
        <v>1561.4</v>
      </c>
      <c r="BG55" s="35" cm="1">
        <f t="array" ref="BG55">IF($F$14-$I$4+VLOOKUP($Q55,武学奇术!$A:$ZZ,15,FALSE)+SUM(_xlfn.XLOOKUP(R55:AF55,增益!$A:$A,增益!$O:$O,0))&gt;0,($F$14-$I$4+VLOOKUP($Q55,武学奇术!$A:$ZZ,15,FALSE)+SUM(_xlfn.XLOOKUP(R55:AF55,增益!$A:$A,增益!$O:$O,0)))/200,($F$14-$I$4+VLOOKUP($Q55,武学奇术!$A:$ZZ,15,FALSE)+SUM(_xlfn.XLOOKUP(R55:AF55,增益!$A:$A,增益!$O:$O,0)))/100)</f>
        <v>0</v>
      </c>
      <c r="BH55" s="35" cm="1">
        <f t="array" ref="BH55">$G$14+VLOOKUP($Q55,武学奇术!$A:$ZZ,16,FALSE)+SUM(_xlfn.XLOOKUP(R55:AF55,增益!$A:$A,增益!$P:$P,0))</f>
        <v>0.15</v>
      </c>
      <c r="BI55" s="30">
        <f>MIN(IF(VLOOKUP($Q55,武学奇术!$A:$ZZ,23,FALSE)=1,100%,$B$8),100%)</f>
        <v>0.9712</v>
      </c>
      <c r="BJ55" s="30" cm="1">
        <f t="array" ref="BJ55">IF(VLOOKUP($Q55,武学奇术!$A:$ZZ,23,FALSE)=1,100%,MIN(80%,$B$9+VLOOKUP($Q55,武学奇术!$A:$ZZ,17,FALSE)+SUM(_xlfn.XLOOKUP(R55:AF55,增益!$A:$A,增益!$Q:$Q,0)))+$B$11+SUM(_xlfn.XLOOKUP(R55:AF55,增益!$A:$A,增益!$U:$U,0)))*IF(VLOOKUP($Q55,武学奇术!$A:$ZZ,24,FALSE)=1,0,1)</f>
        <v>0.8773</v>
      </c>
      <c r="BK55" s="30" cm="1">
        <f t="array" ref="BK55">1+$B$13+VLOOKUP($Q55,武学奇术!$A:$ZZ,18,FALSE)+SUM(_xlfn.XLOOKUP(R55:AF55,增益!$A:$A,增益!$R:$R,0))</f>
        <v>2.12</v>
      </c>
      <c r="BL55" s="30" cm="1">
        <f t="array" ref="BL55">IF(VLOOKUP($Q55,武学奇术!$A:$ZZ,24,FALSE)=1,100%,MIN(40%,$B$10+VLOOKUP($Q55,武学奇术!$A:$ZZ,19,FALSE)+SUM(_xlfn.XLOOKUP(R55:AF55,增益!$A:$A,增益!$S:$S,0)))+$B$12+SUM(_xlfn.XLOOKUP(R55:AF55,增益!$A:$A,增益!$V:$V,0)))*IF(VLOOKUP($Q55,武学奇术!$A:$ZZ,23,FALSE)=1,0,1)</f>
        <v>0.0895</v>
      </c>
      <c r="BM55" s="30" cm="1">
        <f t="array" ref="BM55">1+$B$14+VLOOKUP($Q55,武学奇术!$A:$ZZ,20,FALSE)+SUM(_xlfn.XLOOKUP(R55:AF55,增益!$A:$A,增益!$T:$T,0))</f>
        <v>1.35</v>
      </c>
      <c r="BN55" s="30">
        <f t="shared" si="9"/>
        <v>0.85203376</v>
      </c>
      <c r="BO55" s="30">
        <f t="shared" si="10"/>
        <v>0.03224384</v>
      </c>
      <c r="BP55" s="30">
        <f>IF(VLOOKUP($Q55,武学奇术!$A:$ZZ,22,FALSE)=1,0,(1-$BI55))*(1-$BL55)</f>
        <v>0.0262224</v>
      </c>
      <c r="BQ55" s="30" cm="1">
        <f t="array" ref="BQ55">SUM(_xlfn.XLOOKUP(R55:AF55,增益!$A:$A,增益!$W:$W,0))+$I$5</f>
        <v>0.21</v>
      </c>
    </row>
    <row r="56" spans="1:69">
      <c r="A56" s="4"/>
      <c r="B56" s="4"/>
      <c r="K56" s="41">
        <f t="shared" si="12"/>
        <v>73273.4616594556</v>
      </c>
      <c r="L56" s="41">
        <f>((($AN56+$AO56)/2*$AH56+$AI56)*(1+$AP56)*(1+$AQ56)+(($AS56+$AT56)/2*IF($G$1="鸣金",$AJ56,$AH56)+IF($G$1="鸣金",$AK56*1.5,0))*(1+$AU56)*(1+$AV56)+(($AW56+$AX56)/2*IF($G$1="裂石",$AJ56,$AH56)+IF($G$1="裂石",$AK56*1.5,0))*(1+$AY56)*(1+$AZ56)+(($BA56+$BB56)/2*IF($G$1="牵丝",$AJ56,$AH56)+IF($G$1="牵丝",$AK56*1.5,0))*(1+$BC56)*(1+$BD56)+(($BE56+$BF56)/2*IF($G$1="破竹",$AJ56,$AH56)+IF($G$1="破竹",$AK56*1.5,0))*(1+$BG56)*(1+$BH56))*(1+$AL56)*$BK56*$P56*(1+IF(VLOOKUP($Q56,武学奇术!$A:$ZZ,30,FALSE)="回旋伞",$B$21,0))*(1+$BQ56)</f>
        <v>77781.7165186626</v>
      </c>
      <c r="M56" s="41">
        <f>(($AO56*$AH56+$AI56)*(1+$AP56)*(1+$AQ56)+($AT56*IF($G$1="鸣金",$AJ56,$AH56)+IF($G$1="鸣金",$AK56*1.5,0))*(1+$AU56)*(1+$AV56)+($AX56*IF($G$1="裂石",$AJ56,$AH56)+IF($G$1="裂石",$AK56*1.5,0))*(1+$AY56)*(1+$AZ56)+($BB56*IF($G$1="牵丝",$AJ56,$AH56)+IF($G$1="牵丝",$AK56*1.5,0))*(1+$BC56)*(1+$BD56)+($BF56*IF($G$1="破竹",$AJ56,$AH56)+IF($G$1="破竹",$AK56*1.5,0))*(1+$BG56)*(1+$BH56))*(1+$AL56)*$BM56*$P56*(1+IF(VLOOKUP($Q56,武学奇术!$A:$ZZ,30,FALSE)="回旋伞",$B$21,0))*(1+$BQ56)</f>
        <v>55562.9652883356</v>
      </c>
      <c r="N56" s="41">
        <f>((($AN56+$AO56)/2*$AH56+$AI56)*(1+$AP56)*(1+$AQ56)+(($AS56+$AT56)/2*IF($G$1="鸣金",$AJ56,$AH56)+IF($G$1="鸣金",$AK56*1.5,0))*(1+$AU56)*(1+$AV56)+(($AW56+$AX56)/2*IF($G$1="裂石",$AJ56,$AH56)+IF($G$1="裂石",$AK56*1.5,0))*(1+$AY56)*(1+$AZ56)+(($BA56+$BB56)/2*IF($G$1="牵丝",$AJ56,$AH56)+IF($G$1="牵丝",$AK56*1.5,0))*(1+$BC56)*(1+$BD56)+(($BE56+$BF56)/2*IF($G$1="破竹",$AJ56,$AH56)+IF($G$1="破竹",$AK56*1.5,0))*(1+$BG56)*(1+$BH56))*(1+$AL56)*$P56*(1+IF(VLOOKUP($Q56,武学奇术!$A:$ZZ,30,FALSE)="回旋伞",$B$21,0))*(1+$BQ56)</f>
        <v>36689.4889238975</v>
      </c>
      <c r="O56" s="41">
        <f>((($AN56*$AH56+$AI56)*(1+$AP56)*(1+$AQ56)+($AS56*IF($G$1="鸣金",$AJ56,$AH56)+IF($G$1="鸣金",$AK56*1.5,0))*(1+$AU56)*(1+$AV56)+($AW56*IF($G$1="裂石",$AJ56,$AH56)+IF($G$1="裂石",$AK56*1.5,0))*(1+$AY56)*(1+$AZ56)+($BA56*IF($G$1="牵丝",$AJ56,$AH56)+IF($G$1="牵丝",$AK56*1.5,0))*(1+$BC56)*(1+$BD56)+($BE56*IF($G$1="破竹",$AJ56,$AH56)+IF($G$1="破竹",$AK56*1.5,0))*(1+$BG56)*(1+$BH56))*(1+$AL56))*$P56*(1+IF(VLOOKUP($Q56,武学奇术!$A:$ZZ,30,FALSE)="回旋伞",$B$21,0))*(1+$BQ56)</f>
        <v>32221.2257823612</v>
      </c>
      <c r="P56" s="42">
        <v>2</v>
      </c>
      <c r="Q56" s="43" t="s">
        <v>70</v>
      </c>
      <c r="R56" s="43" t="s">
        <v>71</v>
      </c>
      <c r="S56" s="43" t="s">
        <v>91</v>
      </c>
      <c r="T56" s="43" t="s">
        <v>72</v>
      </c>
      <c r="U56" s="43" t="s">
        <v>79</v>
      </c>
      <c r="V56" s="43" t="s">
        <v>167</v>
      </c>
      <c r="W56" s="43" t="s">
        <v>95</v>
      </c>
      <c r="X56" s="43" t="s">
        <v>71</v>
      </c>
      <c r="Y56" s="43" t="s">
        <v>177</v>
      </c>
      <c r="Z56" s="43" t="s">
        <v>71</v>
      </c>
      <c r="AA56" s="43" t="s">
        <v>71</v>
      </c>
      <c r="AB56" s="43" t="s">
        <v>179</v>
      </c>
      <c r="AC56" s="43" t="s">
        <v>71</v>
      </c>
      <c r="AD56" s="43" t="s">
        <v>71</v>
      </c>
      <c r="AE56" s="43" t="s">
        <v>71</v>
      </c>
      <c r="AF56" s="43" t="s">
        <v>76</v>
      </c>
      <c r="AG56" t="str">
        <f>VLOOKUP($Q56,武学奇术!$A:$ZZ,25,FALSE)</f>
        <v>群体奇术</v>
      </c>
      <c r="AH56" s="30">
        <f>VLOOKUP($Q56,武学奇术!$A:$ZZ,26,FALSE)</f>
        <v>1.4904</v>
      </c>
      <c r="AI56" s="31">
        <f>VLOOKUP($Q56,武学奇术!$A:$ZZ,27,FALSE)*(1+IF(OR($AG56=$F$4,$AG56=$F$5),$B$22,0))</f>
        <v>368</v>
      </c>
      <c r="AJ56" s="30">
        <f>VLOOKUP($Q56,武学奇术!$A:$ZZ,28,FALSE)</f>
        <v>2.2353</v>
      </c>
      <c r="AK56" s="31">
        <f>VLOOKUP($Q56,武学奇术!$A:$ZZ,29,FALSE)*(1+IF(OR($AG56=$F$4,$AG56=$F$5),$B$22,0))</f>
        <v>0</v>
      </c>
      <c r="AL56" s="30" cm="1">
        <f t="array" ref="AL56">$G$3+IFERROR(VLOOKUP($AG56,$F$4:$G$7,2,FALSE),0)+VLOOKUP($Q56,武学奇术!$A:$ZZ,2,FALSE)+SUM(_xlfn.XLOOKUP($R56:$AF56,增益!$A:$A,增益!$B:$B,0))</f>
        <v>0.4037</v>
      </c>
      <c r="AM56" s="30" cm="1">
        <f t="array" ref="AM56">VLOOKUP($Q56,武学奇术!$A:$ZZ,5,FALSE)+SUM(_xlfn.XLOOKUP($R56:$AF56,增益!$A:$A,增益!$E:$E,0))</f>
        <v>0</v>
      </c>
      <c r="AN56" cm="1">
        <f t="array" ref="AN56">$D$10*(1+$AM56)+VLOOKUP($Q56,武学奇术!$A:$ZZ,3,FALSE)+SUM(_xlfn.XLOOKUP($R56:$AF56,增益!$A:$A,增益!$C:$C,0))-$I$2</f>
        <v>3483.8</v>
      </c>
      <c r="AO56" cm="1">
        <f t="array" ref="AO56">$E$10*(1+$AM56)+VLOOKUP($Q56,武学奇术!$A:$ZZ,4,FALSE)+SUM(_xlfn.XLOOKUP($R56:$AF56,增益!$A:$A,增益!$D:$D,0))-$I$2</f>
        <v>3483.8</v>
      </c>
      <c r="AP56" s="35" cm="1">
        <f t="array" ref="AP56">IF($F$10-$I$3+VLOOKUP($Q56,武学奇术!$A:$ZZ,6,FALSE)+SUM(_xlfn.XLOOKUP(R56:AF56,增益!$A:$A,增益!$F:$F,0))&gt;0,($F$10-$I$3+VLOOKUP($Q56,武学奇术!$A:$ZZ,6,FALSE)+SUM(_xlfn.XLOOKUP(R56:AF56,增益!$A:$A,增益!$F:$F,0)))/200,($F$10-$I$3+VLOOKUP($Q56,武学奇术!$A:$ZZ,6,FALSE)+SUM(_xlfn.XLOOKUP(R56:AF56,增益!$A:$A,增益!$F:$F,0)))/100)</f>
        <v>0.4175</v>
      </c>
      <c r="AQ56" s="35" cm="1">
        <f t="array" ref="AQ56">$G$10+VLOOKUP($Q56,武学奇术!$A:$ZZ,7,FALSE)+SUM(_xlfn.XLOOKUP(R56:AF56,增益!$A:$A,增益!$G:$G,0))</f>
        <v>0.028</v>
      </c>
      <c r="AR56" s="30" cm="1">
        <f t="array" ref="AR56">VLOOKUP($Q56,武学奇术!$A:$ZZ,8,FALSE)+SUM(_xlfn.XLOOKUP(R56:AF56,增益!$A:$A,增益!$H:$H,0))</f>
        <v>0</v>
      </c>
      <c r="AS56">
        <f t="shared" si="1"/>
        <v>0</v>
      </c>
      <c r="AT56">
        <f t="shared" si="2"/>
        <v>0</v>
      </c>
      <c r="AU56" s="35" cm="1">
        <f t="array" ref="AU56">IF($F$11-$I$4+VLOOKUP($Q56,武学奇术!$A:$ZZ,9,FALSE)+SUM(_xlfn.XLOOKUP(R56:AF56,增益!$A:$A,增益!$I:$I,0))&gt;0,($F$11-$I$4+VLOOKUP($Q56,武学奇术!$A:$ZZ,9,FALSE)+SUM(_xlfn.XLOOKUP(R56:AF56,增益!$A:$A,增益!$I:$I,0)))/200,($F$11-$I$4+VLOOKUP($Q56,武学奇术!$A:$ZZ,9,FALSE)+SUM(_xlfn.XLOOKUP(R56:AF56,增益!$A:$A,增益!$I:$I,0)))/100)</f>
        <v>-0.3</v>
      </c>
      <c r="AV56" s="35" cm="1">
        <f t="array" ref="AV56">$G$11+VLOOKUP($Q56,武学奇术!$A:$ZZ,10,FALSE)+SUM(_xlfn.XLOOKUP(R56:AF56,增益!$A:$A,增益!$J:$J,0))</f>
        <v>0</v>
      </c>
      <c r="AW56">
        <f t="shared" si="3"/>
        <v>0</v>
      </c>
      <c r="AX56">
        <f t="shared" si="4"/>
        <v>0</v>
      </c>
      <c r="AY56" s="35" cm="1">
        <f t="array" ref="AY56">IF($F$12-$I$4+VLOOKUP($Q56,武学奇术!$A:$ZZ,11,FALSE)+SUM(_xlfn.XLOOKUP(R56:AF56,增益!$A:$A,增益!$K:$K,0))&gt;0,($F$12-$I$4+VLOOKUP($Q56,武学奇术!$A:$ZZ,11,FALSE)+SUM(_xlfn.XLOOKUP(R56:AF56,增益!$A:$A,增益!$K:$K,0)))/200,($F$12-$I$4+VLOOKUP($Q56,武学奇术!$A:$ZZ,11,FALSE)+SUM(_xlfn.XLOOKUP(R56:AF56,增益!$A:$A,增益!$K:$K,0)))/100)</f>
        <v>-0.3</v>
      </c>
      <c r="AZ56" s="35" cm="1">
        <f t="array" ref="AZ56">$G$12+VLOOKUP($Q56,武学奇术!$A:$ZZ,12,FALSE)+SUM(_xlfn.XLOOKUP(R56:AF56,增益!$A:$A,增益!$L:$L,0))</f>
        <v>0</v>
      </c>
      <c r="BA56">
        <f t="shared" si="5"/>
        <v>0</v>
      </c>
      <c r="BB56">
        <f t="shared" si="6"/>
        <v>0</v>
      </c>
      <c r="BC56" s="35" cm="1">
        <f t="array" ref="BC56">IF($F$13-$I$4+VLOOKUP($Q56,武学奇术!$A:$ZZ,13,FALSE)+SUM(_xlfn.XLOOKUP(R56:AF56,增益!$A:$A,增益!$M:$M,0))&gt;0,($F$13-$I$4+VLOOKUP($Q56,武学奇术!$A:$ZZ,13,FALSE)+SUM(_xlfn.XLOOKUP(R56:AF56,增益!$A:$A,增益!$K:$K,0)))/200,($F$13-$I$4+VLOOKUP($Q56,武学奇术!$A:$ZZ,13,FALSE)+SUM(_xlfn.XLOOKUP(R56:AF56,增益!$A:$A,增益!$M:$M,0)))/100)</f>
        <v>-0.3</v>
      </c>
      <c r="BD56" s="35" cm="1">
        <f t="array" ref="BD56">$G$13+VLOOKUP($Q56,武学奇术!$A:$ZZ,14,FALSE)+SUM(_xlfn.XLOOKUP(R56:AF56,增益!$A:$A,增益!$N:$N,0))</f>
        <v>0</v>
      </c>
      <c r="BE56">
        <f t="shared" si="7"/>
        <v>538</v>
      </c>
      <c r="BF56">
        <f t="shared" si="8"/>
        <v>1561.4</v>
      </c>
      <c r="BG56" s="35" cm="1">
        <f t="array" ref="BG56">IF($F$14-$I$4+VLOOKUP($Q56,武学奇术!$A:$ZZ,15,FALSE)+SUM(_xlfn.XLOOKUP(R56:AF56,增益!$A:$A,增益!$O:$O,0))&gt;0,($F$14-$I$4+VLOOKUP($Q56,武学奇术!$A:$ZZ,15,FALSE)+SUM(_xlfn.XLOOKUP(R56:AF56,增益!$A:$A,增益!$O:$O,0)))/200,($F$14-$I$4+VLOOKUP($Q56,武学奇术!$A:$ZZ,15,FALSE)+SUM(_xlfn.XLOOKUP(R56:AF56,增益!$A:$A,增益!$O:$O,0)))/100)</f>
        <v>0</v>
      </c>
      <c r="BH56" s="35" cm="1">
        <f t="array" ref="BH56">$G$14+VLOOKUP($Q56,武学奇术!$A:$ZZ,16,FALSE)+SUM(_xlfn.XLOOKUP(R56:AF56,增益!$A:$A,增益!$P:$P,0))</f>
        <v>0.15</v>
      </c>
      <c r="BI56" s="30">
        <f>MIN(IF(VLOOKUP($Q56,武学奇术!$A:$ZZ,23,FALSE)=1,100%,$B$8),100%)</f>
        <v>0.9712</v>
      </c>
      <c r="BJ56" s="30" cm="1">
        <f t="array" ref="BJ56">IF(VLOOKUP($Q56,武学奇术!$A:$ZZ,23,FALSE)=1,100%,MIN(80%,$B$9+VLOOKUP($Q56,武学奇术!$A:$ZZ,17,FALSE)+SUM(_xlfn.XLOOKUP(R56:AF56,增益!$A:$A,增益!$Q:$Q,0)))+$B$11+SUM(_xlfn.XLOOKUP(R56:AF56,增益!$A:$A,增益!$U:$U,0)))*IF(VLOOKUP($Q56,武学奇术!$A:$ZZ,24,FALSE)=1,0,1)</f>
        <v>0.8773</v>
      </c>
      <c r="BK56" s="30" cm="1">
        <f t="array" ref="BK56">1+$B$13+VLOOKUP($Q56,武学奇术!$A:$ZZ,18,FALSE)+SUM(_xlfn.XLOOKUP(R56:AF56,增益!$A:$A,增益!$R:$R,0))</f>
        <v>2.12</v>
      </c>
      <c r="BL56" s="30" cm="1">
        <f t="array" ref="BL56">IF(VLOOKUP($Q56,武学奇术!$A:$ZZ,24,FALSE)=1,100%,MIN(40%,$B$10+VLOOKUP($Q56,武学奇术!$A:$ZZ,19,FALSE)+SUM(_xlfn.XLOOKUP(R56:AF56,增益!$A:$A,增益!$S:$S,0)))+$B$12+SUM(_xlfn.XLOOKUP(R56:AF56,增益!$A:$A,增益!$V:$V,0)))*IF(VLOOKUP($Q56,武学奇术!$A:$ZZ,23,FALSE)=1,0,1)</f>
        <v>0.0895</v>
      </c>
      <c r="BM56" s="30" cm="1">
        <f t="array" ref="BM56">1+$B$14+VLOOKUP($Q56,武学奇术!$A:$ZZ,20,FALSE)+SUM(_xlfn.XLOOKUP(R56:AF56,增益!$A:$A,增益!$T:$T,0))</f>
        <v>1.35</v>
      </c>
      <c r="BN56" s="30">
        <f t="shared" si="9"/>
        <v>0.85203376</v>
      </c>
      <c r="BO56" s="30">
        <f t="shared" si="10"/>
        <v>0.03224384</v>
      </c>
      <c r="BP56" s="30">
        <f>IF(VLOOKUP($Q56,武学奇术!$A:$ZZ,22,FALSE)=1,0,(1-$BI56))*(1-$BL56)</f>
        <v>0.0262224</v>
      </c>
      <c r="BQ56" s="30" cm="1">
        <f t="array" ref="BQ56">SUM(_xlfn.XLOOKUP(R56:AF56,增益!$A:$A,增益!$W:$W,0))+$I$5</f>
        <v>0.21</v>
      </c>
    </row>
    <row r="57" spans="1:69">
      <c r="A57" s="4"/>
      <c r="B57" s="4"/>
      <c r="D57" s="4"/>
      <c r="E57" s="4"/>
      <c r="K57" s="41">
        <f t="shared" si="12"/>
        <v>68297.2328605798</v>
      </c>
      <c r="L57" s="41">
        <f>((($AN57+$AO57)/2*$AH57+$AI57)*(1+$AP57)*(1+$AQ57)+(($AS57+$AT57)/2*IF($G$1="鸣金",$AJ57,$AH57)+IF($G$1="鸣金",$AK57*1.5,0))*(1+$AU57)*(1+$AV57)+(($AW57+$AX57)/2*IF($G$1="裂石",$AJ57,$AH57)+IF($G$1="裂石",$AK57*1.5,0))*(1+$AY57)*(1+$AZ57)+(($BA57+$BB57)/2*IF($G$1="牵丝",$AJ57,$AH57)+IF($G$1="牵丝",$AK57*1.5,0))*(1+$BC57)*(1+$BD57)+(($BE57+$BF57)/2*IF($G$1="破竹",$AJ57,$AH57)+IF($G$1="破竹",$AK57*1.5,0))*(1+$BG57)*(1+$BH57))*(1+$AL57)*$BK57*$P57*(1+IF(VLOOKUP($Q57,武学奇术!$A:$ZZ,30,FALSE)="回旋伞",$B$21,0))*(1+$BQ57)</f>
        <v>71592.9114690429</v>
      </c>
      <c r="M57" s="41">
        <f>(($AO57*$AH57+$AI57)*(1+$AP57)*(1+$AQ57)+($AT57*IF($G$1="鸣金",$AJ57,$AH57)+IF($G$1="鸣金",$AK57*1.5,0))*(1+$AU57)*(1+$AV57)+($AX57*IF($G$1="裂石",$AJ57,$AH57)+IF($G$1="裂石",$AK57*1.5,0))*(1+$AY57)*(1+$AZ57)+($BB57*IF($G$1="牵丝",$AJ57,$AH57)+IF($G$1="牵丝",$AK57*1.5,0))*(1+$BC57)*(1+$BD57)+($BF57*IF($G$1="破竹",$AJ57,$AH57)+IF($G$1="破竹",$AK57*1.5,0))*(1+$BG57)*(1+$BH57))*(1+$AL57)*$BM57*$P57*(1+IF(VLOOKUP($Q57,武学奇术!$A:$ZZ,30,FALSE)="回旋伞",$B$21,0))*(1+$BQ57)</f>
        <v>57870.7756557982</v>
      </c>
      <c r="N57" s="41">
        <f>((($AN57+$AO57)/2*$AH57+$AI57)*(1+$AP57)*(1+$AQ57)+(($AS57+$AT57)/2*IF($G$1="鸣金",$AJ57,$AH57)+IF($G$1="鸣金",$AK57*1.5,0))*(1+$AU57)*(1+$AV57)+(($AW57+$AX57)/2*IF($G$1="裂石",$AJ57,$AH57)+IF($G$1="裂石",$AK57*1.5,0))*(1+$AY57)*(1+$AZ57)+(($BA57+$BB57)/2*IF($G$1="牵丝",$AJ57,$AH57)+IF($G$1="牵丝",$AK57*1.5,0))*(1+$BC57)*(1+$BD57)+(($BE57+$BF57)/2*IF($G$1="破竹",$AJ57,$AH57)+IF($G$1="破竹",$AK57*1.5,0))*(1+$BG57)*(1+$BH57))*(1+$AL57)*$P57*(1+IF(VLOOKUP($Q57,武学奇术!$A:$ZZ,30,FALSE)="回旋伞",$B$21,0))*(1+$BQ57)</f>
        <v>38284.9793952101</v>
      </c>
      <c r="O57" s="41">
        <f>((($AN57*$AH57+$AI57)*(1+$AP57)*(1+$AQ57)+($AS57*IF($G$1="鸣金",$AJ57,$AH57)+IF($G$1="鸣金",$AK57*1.5,0))*(1+$AU57)*(1+$AV57)+($AW57*IF($G$1="裂石",$AJ57,$AH57)+IF($G$1="裂石",$AK57*1.5,0))*(1+$AY57)*(1+$AZ57)+($BA57*IF($G$1="牵丝",$AJ57,$AH57)+IF($G$1="牵丝",$AK57*1.5,0))*(1+$BC57)*(1+$BD57)+($BE57*IF($G$1="破竹",$AJ57,$AH57)+IF($G$1="破竹",$AK57*1.5,0))*(1+$BG57)*(1+$BH57))*(1+$AL57))*$P57*(1+IF(VLOOKUP($Q57,武学奇术!$A:$ZZ,30,FALSE)="回旋伞",$B$21,0))*(1+$BQ57)</f>
        <v>33702.717563903</v>
      </c>
      <c r="P57" s="42">
        <v>1</v>
      </c>
      <c r="Q57" s="43" t="s">
        <v>104</v>
      </c>
      <c r="R57" s="43" t="s">
        <v>105</v>
      </c>
      <c r="S57" s="43" t="s">
        <v>91</v>
      </c>
      <c r="T57" s="43" t="s">
        <v>72</v>
      </c>
      <c r="U57" s="43" t="s">
        <v>79</v>
      </c>
      <c r="V57" s="43" t="s">
        <v>167</v>
      </c>
      <c r="W57" s="43" t="s">
        <v>95</v>
      </c>
      <c r="X57" s="43" t="s">
        <v>71</v>
      </c>
      <c r="Y57" s="43" t="s">
        <v>71</v>
      </c>
      <c r="Z57" s="43" t="s">
        <v>71</v>
      </c>
      <c r="AA57" s="43" t="s">
        <v>71</v>
      </c>
      <c r="AB57" s="43" t="s">
        <v>71</v>
      </c>
      <c r="AC57" s="43" t="s">
        <v>71</v>
      </c>
      <c r="AD57" s="43" t="s">
        <v>71</v>
      </c>
      <c r="AE57" s="43" t="s">
        <v>71</v>
      </c>
      <c r="AF57" s="43" t="s">
        <v>76</v>
      </c>
      <c r="AG57" t="str">
        <f>VLOOKUP($Q57,武学奇术!$A:$ZZ,25,FALSE)</f>
        <v>伞</v>
      </c>
      <c r="AH57" s="30">
        <f>VLOOKUP($Q57,武学奇术!$A:$ZZ,26,FALSE)</f>
        <v>1.8084</v>
      </c>
      <c r="AI57" s="31">
        <f>VLOOKUP($Q57,武学奇术!$A:$ZZ,27,FALSE)*(1+IF(OR($AG57=$F$4,$AG57=$F$5),$B$22,0))</f>
        <v>700</v>
      </c>
      <c r="AJ57" s="30">
        <f>VLOOKUP($Q57,武学奇术!$A:$ZZ,28,FALSE)</f>
        <v>2.7126</v>
      </c>
      <c r="AK57" s="31">
        <f>VLOOKUP($Q57,武学奇术!$A:$ZZ,29,FALSE)*(1+IF(OR($AG57=$F$4,$AG57=$F$5),$B$22,0))</f>
        <v>380.8</v>
      </c>
      <c r="AL57" s="30" cm="1">
        <f t="array" ref="AL57">$G$3+IFERROR(VLOOKUP($AG57,$F$4:$G$7,2,FALSE),0)+VLOOKUP($Q57,武学奇术!$A:$ZZ,2,FALSE)+SUM(_xlfn.XLOOKUP($R57:$AF57,增益!$A:$A,增益!$B:$B,0))</f>
        <v>0.7741</v>
      </c>
      <c r="AM57" s="30" cm="1">
        <f t="array" ref="AM57">VLOOKUP($Q57,武学奇术!$A:$ZZ,5,FALSE)+SUM(_xlfn.XLOOKUP($R57:$AF57,增益!$A:$A,增益!$E:$E,0))</f>
        <v>0</v>
      </c>
      <c r="AN57" cm="1">
        <f t="array" ref="AN57">$D$10*(1+$AM57)+VLOOKUP($Q57,武学奇术!$A:$ZZ,3,FALSE)+SUM(_xlfn.XLOOKUP($R57:$AF57,增益!$A:$A,增益!$C:$C,0))-$I$2</f>
        <v>3483.8</v>
      </c>
      <c r="AO57" cm="1">
        <f t="array" ref="AO57">$E$10*(1+$AM57)+VLOOKUP($Q57,武学奇术!$A:$ZZ,4,FALSE)+SUM(_xlfn.XLOOKUP($R57:$AF57,增益!$A:$A,增益!$D:$D,0))-$I$2</f>
        <v>3483.8</v>
      </c>
      <c r="AP57" s="35" cm="1">
        <f t="array" ref="AP57">IF($F$10-$I$3+VLOOKUP($Q57,武学奇术!$A:$ZZ,6,FALSE)+SUM(_xlfn.XLOOKUP(R57:AF57,增益!$A:$A,增益!$F:$F,0))&gt;0,($F$10-$I$3+VLOOKUP($Q57,武学奇术!$A:$ZZ,6,FALSE)+SUM(_xlfn.XLOOKUP(R57:AF57,增益!$A:$A,增益!$F:$F,0)))/200,($F$10-$I$3+VLOOKUP($Q57,武学奇术!$A:$ZZ,6,FALSE)+SUM(_xlfn.XLOOKUP(R57:AF57,增益!$A:$A,增益!$F:$F,0)))/100)</f>
        <v>0.2925</v>
      </c>
      <c r="AQ57" s="35" cm="1">
        <f t="array" ref="AQ57">$G$10+VLOOKUP($Q57,武学奇术!$A:$ZZ,7,FALSE)+SUM(_xlfn.XLOOKUP(R57:AF57,增益!$A:$A,增益!$G:$G,0))</f>
        <v>0.148</v>
      </c>
      <c r="AR57" s="30" cm="1">
        <f t="array" ref="AR57">VLOOKUP($Q57,武学奇术!$A:$ZZ,8,FALSE)+SUM(_xlfn.XLOOKUP(R57:AF57,增益!$A:$A,增益!$H:$H,0))</f>
        <v>0</v>
      </c>
      <c r="AS57">
        <f t="shared" si="1"/>
        <v>0</v>
      </c>
      <c r="AT57">
        <f t="shared" si="2"/>
        <v>0</v>
      </c>
      <c r="AU57" s="35" cm="1">
        <f t="array" ref="AU57">IF($F$11-$I$4+VLOOKUP($Q57,武学奇术!$A:$ZZ,9,FALSE)+SUM(_xlfn.XLOOKUP(R57:AF57,增益!$A:$A,增益!$I:$I,0))&gt;0,($F$11-$I$4+VLOOKUP($Q57,武学奇术!$A:$ZZ,9,FALSE)+SUM(_xlfn.XLOOKUP(R57:AF57,增益!$A:$A,增益!$I:$I,0)))/200,($F$11-$I$4+VLOOKUP($Q57,武学奇术!$A:$ZZ,9,FALSE)+SUM(_xlfn.XLOOKUP(R57:AF57,增益!$A:$A,增益!$I:$I,0)))/100)</f>
        <v>-0.3</v>
      </c>
      <c r="AV57" s="35" cm="1">
        <f t="array" ref="AV57">$G$11+VLOOKUP($Q57,武学奇术!$A:$ZZ,10,FALSE)+SUM(_xlfn.XLOOKUP(R57:AF57,增益!$A:$A,增益!$J:$J,0))</f>
        <v>0</v>
      </c>
      <c r="AW57">
        <f t="shared" si="3"/>
        <v>0</v>
      </c>
      <c r="AX57">
        <f t="shared" si="4"/>
        <v>0</v>
      </c>
      <c r="AY57" s="35" cm="1">
        <f t="array" ref="AY57">IF($F$12-$I$4+VLOOKUP($Q57,武学奇术!$A:$ZZ,11,FALSE)+SUM(_xlfn.XLOOKUP(R57:AF57,增益!$A:$A,增益!$K:$K,0))&gt;0,($F$12-$I$4+VLOOKUP($Q57,武学奇术!$A:$ZZ,11,FALSE)+SUM(_xlfn.XLOOKUP(R57:AF57,增益!$A:$A,增益!$K:$K,0)))/200,($F$12-$I$4+VLOOKUP($Q57,武学奇术!$A:$ZZ,11,FALSE)+SUM(_xlfn.XLOOKUP(R57:AF57,增益!$A:$A,增益!$K:$K,0)))/100)</f>
        <v>-0.3</v>
      </c>
      <c r="AZ57" s="35" cm="1">
        <f t="array" ref="AZ57">$G$12+VLOOKUP($Q57,武学奇术!$A:$ZZ,12,FALSE)+SUM(_xlfn.XLOOKUP(R57:AF57,增益!$A:$A,增益!$L:$L,0))</f>
        <v>0</v>
      </c>
      <c r="BA57">
        <f t="shared" si="5"/>
        <v>0</v>
      </c>
      <c r="BB57">
        <f t="shared" si="6"/>
        <v>0</v>
      </c>
      <c r="BC57" s="35" cm="1">
        <f t="array" ref="BC57">IF($F$13-$I$4+VLOOKUP($Q57,武学奇术!$A:$ZZ,13,FALSE)+SUM(_xlfn.XLOOKUP(R57:AF57,增益!$A:$A,增益!$M:$M,0))&gt;0,($F$13-$I$4+VLOOKUP($Q57,武学奇术!$A:$ZZ,13,FALSE)+SUM(_xlfn.XLOOKUP(R57:AF57,增益!$A:$A,增益!$K:$K,0)))/200,($F$13-$I$4+VLOOKUP($Q57,武学奇术!$A:$ZZ,13,FALSE)+SUM(_xlfn.XLOOKUP(R57:AF57,增益!$A:$A,增益!$M:$M,0)))/100)</f>
        <v>-0.3</v>
      </c>
      <c r="BD57" s="35" cm="1">
        <f t="array" ref="BD57">$G$13+VLOOKUP($Q57,武学奇术!$A:$ZZ,14,FALSE)+SUM(_xlfn.XLOOKUP(R57:AF57,增益!$A:$A,增益!$N:$N,0))</f>
        <v>0</v>
      </c>
      <c r="BE57">
        <f t="shared" si="7"/>
        <v>538</v>
      </c>
      <c r="BF57">
        <f t="shared" si="8"/>
        <v>1561.4</v>
      </c>
      <c r="BG57" s="35" cm="1">
        <f t="array" ref="BG57">IF($F$14-$I$4+VLOOKUP($Q57,武学奇术!$A:$ZZ,15,FALSE)+SUM(_xlfn.XLOOKUP(R57:AF57,增益!$A:$A,增益!$O:$O,0))&gt;0,($F$14-$I$4+VLOOKUP($Q57,武学奇术!$A:$ZZ,15,FALSE)+SUM(_xlfn.XLOOKUP(R57:AF57,增益!$A:$A,增益!$O:$O,0)))/200,($F$14-$I$4+VLOOKUP($Q57,武学奇术!$A:$ZZ,15,FALSE)+SUM(_xlfn.XLOOKUP(R57:AF57,增益!$A:$A,增益!$O:$O,0)))/100)</f>
        <v>0</v>
      </c>
      <c r="BH57" s="35" cm="1">
        <f t="array" ref="BH57">$G$14+VLOOKUP($Q57,武学奇术!$A:$ZZ,16,FALSE)+SUM(_xlfn.XLOOKUP(R57:AF57,增益!$A:$A,增益!$P:$P,0))</f>
        <v>0.27</v>
      </c>
      <c r="BI57" s="30">
        <f>MIN(IF(VLOOKUP($Q57,武学奇术!$A:$ZZ,23,FALSE)=1,100%,$B$8),100%)</f>
        <v>0.9712</v>
      </c>
      <c r="BJ57" s="30" cm="1">
        <f t="array" ref="BJ57">IF(VLOOKUP($Q57,武学奇术!$A:$ZZ,23,FALSE)=1,100%,MIN(80%,$B$9+VLOOKUP($Q57,武学奇术!$A:$ZZ,17,FALSE)+SUM(_xlfn.XLOOKUP(R57:AF57,增益!$A:$A,增益!$Q:$Q,0)))+$B$11+SUM(_xlfn.XLOOKUP(R57:AF57,增益!$A:$A,增益!$U:$U,0)))*IF(VLOOKUP($Q57,武学奇术!$A:$ZZ,24,FALSE)=1,0,1)</f>
        <v>0.8773</v>
      </c>
      <c r="BK57" s="30" cm="1">
        <f t="array" ref="BK57">1+$B$13+VLOOKUP($Q57,武学奇术!$A:$ZZ,18,FALSE)+SUM(_xlfn.XLOOKUP(R57:AF57,增益!$A:$A,增益!$R:$R,0))</f>
        <v>1.87</v>
      </c>
      <c r="BL57" s="30" cm="1">
        <f t="array" ref="BL57">IF(VLOOKUP($Q57,武学奇术!$A:$ZZ,24,FALSE)=1,100%,MIN(40%,$B$10+VLOOKUP($Q57,武学奇术!$A:$ZZ,19,FALSE)+SUM(_xlfn.XLOOKUP(R57:AF57,增益!$A:$A,增益!$S:$S,0)))+$B$12+SUM(_xlfn.XLOOKUP(R57:AF57,增益!$A:$A,增益!$V:$V,0)))*IF(VLOOKUP($Q57,武学奇术!$A:$ZZ,23,FALSE)=1,0,1)</f>
        <v>0.0895</v>
      </c>
      <c r="BM57" s="30" cm="1">
        <f t="array" ref="BM57">1+$B$14+VLOOKUP($Q57,武学奇术!$A:$ZZ,20,FALSE)+SUM(_xlfn.XLOOKUP(R57:AF57,增益!$A:$A,增益!$T:$T,0))</f>
        <v>1.35</v>
      </c>
      <c r="BN57" s="30">
        <f t="shared" si="9"/>
        <v>0.85203376</v>
      </c>
      <c r="BO57" s="30">
        <f t="shared" si="10"/>
        <v>0.03224384</v>
      </c>
      <c r="BP57" s="30">
        <f>IF(VLOOKUP($Q57,武学奇术!$A:$ZZ,22,FALSE)=1,0,(1-$BI57))*(1-$BL57)</f>
        <v>0.0262224</v>
      </c>
      <c r="BQ57" s="30" cm="1">
        <f t="array" ref="BQ57">SUM(_xlfn.XLOOKUP(R57:AF57,增益!$A:$A,增益!$W:$W,0))+$I$5</f>
        <v>0.11</v>
      </c>
    </row>
    <row r="58" spans="1:69">
      <c r="A58" s="4"/>
      <c r="B58" s="4"/>
      <c r="K58" s="41">
        <f t="shared" si="12"/>
        <v>68297.2328605798</v>
      </c>
      <c r="L58" s="41">
        <f>((($AN58+$AO58)/2*$AH58+$AI58)*(1+$AP58)*(1+$AQ58)+(($AS58+$AT58)/2*IF($G$1="鸣金",$AJ58,$AH58)+IF($G$1="鸣金",$AK58*1.5,0))*(1+$AU58)*(1+$AV58)+(($AW58+$AX58)/2*IF($G$1="裂石",$AJ58,$AH58)+IF($G$1="裂石",$AK58*1.5,0))*(1+$AY58)*(1+$AZ58)+(($BA58+$BB58)/2*IF($G$1="牵丝",$AJ58,$AH58)+IF($G$1="牵丝",$AK58*1.5,0))*(1+$BC58)*(1+$BD58)+(($BE58+$BF58)/2*IF($G$1="破竹",$AJ58,$AH58)+IF($G$1="破竹",$AK58*1.5,0))*(1+$BG58)*(1+$BH58))*(1+$AL58)*$BK58*$P58*(1+IF(VLOOKUP($Q58,武学奇术!$A:$ZZ,30,FALSE)="回旋伞",$B$21,0))*(1+$BQ58)</f>
        <v>71592.9114690429</v>
      </c>
      <c r="M58" s="41">
        <f>(($AO58*$AH58+$AI58)*(1+$AP58)*(1+$AQ58)+($AT58*IF($G$1="鸣金",$AJ58,$AH58)+IF($G$1="鸣金",$AK58*1.5,0))*(1+$AU58)*(1+$AV58)+($AX58*IF($G$1="裂石",$AJ58,$AH58)+IF($G$1="裂石",$AK58*1.5,0))*(1+$AY58)*(1+$AZ58)+($BB58*IF($G$1="牵丝",$AJ58,$AH58)+IF($G$1="牵丝",$AK58*1.5,0))*(1+$BC58)*(1+$BD58)+($BF58*IF($G$1="破竹",$AJ58,$AH58)+IF($G$1="破竹",$AK58*1.5,0))*(1+$BG58)*(1+$BH58))*(1+$AL58)*$BM58*$P58*(1+IF(VLOOKUP($Q58,武学奇术!$A:$ZZ,30,FALSE)="回旋伞",$B$21,0))*(1+$BQ58)</f>
        <v>57870.7756557982</v>
      </c>
      <c r="N58" s="41">
        <f>((($AN58+$AO58)/2*$AH58+$AI58)*(1+$AP58)*(1+$AQ58)+(($AS58+$AT58)/2*IF($G$1="鸣金",$AJ58,$AH58)+IF($G$1="鸣金",$AK58*1.5,0))*(1+$AU58)*(1+$AV58)+(($AW58+$AX58)/2*IF($G$1="裂石",$AJ58,$AH58)+IF($G$1="裂石",$AK58*1.5,0))*(1+$AY58)*(1+$AZ58)+(($BA58+$BB58)/2*IF($G$1="牵丝",$AJ58,$AH58)+IF($G$1="牵丝",$AK58*1.5,0))*(1+$BC58)*(1+$BD58)+(($BE58+$BF58)/2*IF($G$1="破竹",$AJ58,$AH58)+IF($G$1="破竹",$AK58*1.5,0))*(1+$BG58)*(1+$BH58))*(1+$AL58)*$P58*(1+IF(VLOOKUP($Q58,武学奇术!$A:$ZZ,30,FALSE)="回旋伞",$B$21,0))*(1+$BQ58)</f>
        <v>38284.9793952101</v>
      </c>
      <c r="O58" s="41">
        <f>((($AN58*$AH58+$AI58)*(1+$AP58)*(1+$AQ58)+($AS58*IF($G$1="鸣金",$AJ58,$AH58)+IF($G$1="鸣金",$AK58*1.5,0))*(1+$AU58)*(1+$AV58)+($AW58*IF($G$1="裂石",$AJ58,$AH58)+IF($G$1="裂石",$AK58*1.5,0))*(1+$AY58)*(1+$AZ58)+($BA58*IF($G$1="牵丝",$AJ58,$AH58)+IF($G$1="牵丝",$AK58*1.5,0))*(1+$BC58)*(1+$BD58)+($BE58*IF($G$1="破竹",$AJ58,$AH58)+IF($G$1="破竹",$AK58*1.5,0))*(1+$BG58)*(1+$BH58))*(1+$AL58))*$P58*(1+IF(VLOOKUP($Q58,武学奇术!$A:$ZZ,30,FALSE)="回旋伞",$B$21,0))*(1+$BQ58)</f>
        <v>33702.717563903</v>
      </c>
      <c r="P58" s="42">
        <v>1</v>
      </c>
      <c r="Q58" s="43" t="s">
        <v>104</v>
      </c>
      <c r="R58" s="43" t="s">
        <v>105</v>
      </c>
      <c r="S58" s="43" t="s">
        <v>91</v>
      </c>
      <c r="T58" s="43" t="s">
        <v>72</v>
      </c>
      <c r="U58" s="43" t="s">
        <v>79</v>
      </c>
      <c r="V58" s="43" t="s">
        <v>167</v>
      </c>
      <c r="W58" s="43" t="s">
        <v>95</v>
      </c>
      <c r="X58" s="43" t="s">
        <v>71</v>
      </c>
      <c r="Y58" s="43" t="s">
        <v>71</v>
      </c>
      <c r="Z58" s="43" t="s">
        <v>71</v>
      </c>
      <c r="AA58" s="43" t="s">
        <v>109</v>
      </c>
      <c r="AB58" s="43" t="s">
        <v>71</v>
      </c>
      <c r="AC58" s="43" t="s">
        <v>71</v>
      </c>
      <c r="AD58" s="43" t="s">
        <v>71</v>
      </c>
      <c r="AE58" s="43" t="s">
        <v>71</v>
      </c>
      <c r="AF58" s="43" t="s">
        <v>76</v>
      </c>
      <c r="AG58" t="str">
        <f>VLOOKUP($Q58,武学奇术!$A:$ZZ,25,FALSE)</f>
        <v>伞</v>
      </c>
      <c r="AH58" s="30">
        <f>VLOOKUP($Q58,武学奇术!$A:$ZZ,26,FALSE)</f>
        <v>1.8084</v>
      </c>
      <c r="AI58" s="31">
        <f>VLOOKUP($Q58,武学奇术!$A:$ZZ,27,FALSE)*(1+IF(OR($AG58=$F$4,$AG58=$F$5),$B$22,0))</f>
        <v>700</v>
      </c>
      <c r="AJ58" s="30">
        <f>VLOOKUP($Q58,武学奇术!$A:$ZZ,28,FALSE)</f>
        <v>2.7126</v>
      </c>
      <c r="AK58" s="31">
        <f>VLOOKUP($Q58,武学奇术!$A:$ZZ,29,FALSE)*(1+IF(OR($AG58=$F$4,$AG58=$F$5),$B$22,0))</f>
        <v>380.8</v>
      </c>
      <c r="AL58" s="30" cm="1">
        <f t="array" ref="AL58">$G$3+IFERROR(VLOOKUP($AG58,$F$4:$G$7,2,FALSE),0)+VLOOKUP($Q58,武学奇术!$A:$ZZ,2,FALSE)+SUM(_xlfn.XLOOKUP($R58:$AF58,增益!$A:$A,增益!$B:$B,0))</f>
        <v>0.7741</v>
      </c>
      <c r="AM58" s="30" cm="1">
        <f t="array" ref="AM58">VLOOKUP($Q58,武学奇术!$A:$ZZ,5,FALSE)+SUM(_xlfn.XLOOKUP($R58:$AF58,增益!$A:$A,增益!$E:$E,0))</f>
        <v>0</v>
      </c>
      <c r="AN58" cm="1">
        <f t="array" ref="AN58">$D$10*(1+$AM58)+VLOOKUP($Q58,武学奇术!$A:$ZZ,3,FALSE)+SUM(_xlfn.XLOOKUP($R58:$AF58,增益!$A:$A,增益!$C:$C,0))-$I$2</f>
        <v>3483.8</v>
      </c>
      <c r="AO58" cm="1">
        <f t="array" ref="AO58">$E$10*(1+$AM58)+VLOOKUP($Q58,武学奇术!$A:$ZZ,4,FALSE)+SUM(_xlfn.XLOOKUP($R58:$AF58,增益!$A:$A,增益!$D:$D,0))-$I$2</f>
        <v>3483.8</v>
      </c>
      <c r="AP58" s="35" cm="1">
        <f t="array" ref="AP58">IF($F$10-$I$3+VLOOKUP($Q58,武学奇术!$A:$ZZ,6,FALSE)+SUM(_xlfn.XLOOKUP(R58:AF58,增益!$A:$A,增益!$F:$F,0))&gt;0,($F$10-$I$3+VLOOKUP($Q58,武学奇术!$A:$ZZ,6,FALSE)+SUM(_xlfn.XLOOKUP(R58:AF58,增益!$A:$A,增益!$F:$F,0)))/200,($F$10-$I$3+VLOOKUP($Q58,武学奇术!$A:$ZZ,6,FALSE)+SUM(_xlfn.XLOOKUP(R58:AF58,增益!$A:$A,增益!$F:$F,0)))/100)</f>
        <v>0.2925</v>
      </c>
      <c r="AQ58" s="35" cm="1">
        <f t="array" ref="AQ58">$G$10+VLOOKUP($Q58,武学奇术!$A:$ZZ,7,FALSE)+SUM(_xlfn.XLOOKUP(R58:AF58,增益!$A:$A,增益!$G:$G,0))</f>
        <v>0.148</v>
      </c>
      <c r="AR58" s="30" cm="1">
        <f t="array" ref="AR58">VLOOKUP($Q58,武学奇术!$A:$ZZ,8,FALSE)+SUM(_xlfn.XLOOKUP(R58:AF58,增益!$A:$A,增益!$H:$H,0))</f>
        <v>0</v>
      </c>
      <c r="AS58">
        <f t="shared" si="1"/>
        <v>0</v>
      </c>
      <c r="AT58">
        <f t="shared" si="2"/>
        <v>0</v>
      </c>
      <c r="AU58" s="35" cm="1">
        <f t="array" ref="AU58">IF($F$11-$I$4+VLOOKUP($Q58,武学奇术!$A:$ZZ,9,FALSE)+SUM(_xlfn.XLOOKUP(R58:AF58,增益!$A:$A,增益!$I:$I,0))&gt;0,($F$11-$I$4+VLOOKUP($Q58,武学奇术!$A:$ZZ,9,FALSE)+SUM(_xlfn.XLOOKUP(R58:AF58,增益!$A:$A,增益!$I:$I,0)))/200,($F$11-$I$4+VLOOKUP($Q58,武学奇术!$A:$ZZ,9,FALSE)+SUM(_xlfn.XLOOKUP(R58:AF58,增益!$A:$A,增益!$I:$I,0)))/100)</f>
        <v>-0.3</v>
      </c>
      <c r="AV58" s="35" cm="1">
        <f t="array" ref="AV58">$G$11+VLOOKUP($Q58,武学奇术!$A:$ZZ,10,FALSE)+SUM(_xlfn.XLOOKUP(R58:AF58,增益!$A:$A,增益!$J:$J,0))</f>
        <v>0</v>
      </c>
      <c r="AW58">
        <f t="shared" si="3"/>
        <v>0</v>
      </c>
      <c r="AX58">
        <f t="shared" si="4"/>
        <v>0</v>
      </c>
      <c r="AY58" s="35" cm="1">
        <f t="array" ref="AY58">IF($F$12-$I$4+VLOOKUP($Q58,武学奇术!$A:$ZZ,11,FALSE)+SUM(_xlfn.XLOOKUP(R58:AF58,增益!$A:$A,增益!$K:$K,0))&gt;0,($F$12-$I$4+VLOOKUP($Q58,武学奇术!$A:$ZZ,11,FALSE)+SUM(_xlfn.XLOOKUP(R58:AF58,增益!$A:$A,增益!$K:$K,0)))/200,($F$12-$I$4+VLOOKUP($Q58,武学奇术!$A:$ZZ,11,FALSE)+SUM(_xlfn.XLOOKUP(R58:AF58,增益!$A:$A,增益!$K:$K,0)))/100)</f>
        <v>-0.3</v>
      </c>
      <c r="AZ58" s="35" cm="1">
        <f t="array" ref="AZ58">$G$12+VLOOKUP($Q58,武学奇术!$A:$ZZ,12,FALSE)+SUM(_xlfn.XLOOKUP(R58:AF58,增益!$A:$A,增益!$L:$L,0))</f>
        <v>0</v>
      </c>
      <c r="BA58">
        <f t="shared" si="5"/>
        <v>0</v>
      </c>
      <c r="BB58">
        <f t="shared" si="6"/>
        <v>0</v>
      </c>
      <c r="BC58" s="35" cm="1">
        <f t="array" ref="BC58">IF($F$13-$I$4+VLOOKUP($Q58,武学奇术!$A:$ZZ,13,FALSE)+SUM(_xlfn.XLOOKUP(R58:AF58,增益!$A:$A,增益!$M:$M,0))&gt;0,($F$13-$I$4+VLOOKUP($Q58,武学奇术!$A:$ZZ,13,FALSE)+SUM(_xlfn.XLOOKUP(R58:AF58,增益!$A:$A,增益!$K:$K,0)))/200,($F$13-$I$4+VLOOKUP($Q58,武学奇术!$A:$ZZ,13,FALSE)+SUM(_xlfn.XLOOKUP(R58:AF58,增益!$A:$A,增益!$M:$M,0)))/100)</f>
        <v>-0.3</v>
      </c>
      <c r="BD58" s="35" cm="1">
        <f t="array" ref="BD58">$G$13+VLOOKUP($Q58,武学奇术!$A:$ZZ,14,FALSE)+SUM(_xlfn.XLOOKUP(R58:AF58,增益!$A:$A,增益!$N:$N,0))</f>
        <v>0</v>
      </c>
      <c r="BE58">
        <f t="shared" si="7"/>
        <v>538</v>
      </c>
      <c r="BF58">
        <f t="shared" si="8"/>
        <v>1561.4</v>
      </c>
      <c r="BG58" s="35" cm="1">
        <f t="array" ref="BG58">IF($F$14-$I$4+VLOOKUP($Q58,武学奇术!$A:$ZZ,15,FALSE)+SUM(_xlfn.XLOOKUP(R58:AF58,增益!$A:$A,增益!$O:$O,0))&gt;0,($F$14-$I$4+VLOOKUP($Q58,武学奇术!$A:$ZZ,15,FALSE)+SUM(_xlfn.XLOOKUP(R58:AF58,增益!$A:$A,增益!$O:$O,0)))/200,($F$14-$I$4+VLOOKUP($Q58,武学奇术!$A:$ZZ,15,FALSE)+SUM(_xlfn.XLOOKUP(R58:AF58,增益!$A:$A,增益!$O:$O,0)))/100)</f>
        <v>0</v>
      </c>
      <c r="BH58" s="35" cm="1">
        <f t="array" ref="BH58">$G$14+VLOOKUP($Q58,武学奇术!$A:$ZZ,16,FALSE)+SUM(_xlfn.XLOOKUP(R58:AF58,增益!$A:$A,增益!$P:$P,0))</f>
        <v>0.27</v>
      </c>
      <c r="BI58" s="30">
        <f>MIN(IF(VLOOKUP($Q58,武学奇术!$A:$ZZ,23,FALSE)=1,100%,$B$8),100%)</f>
        <v>0.9712</v>
      </c>
      <c r="BJ58" s="30" cm="1">
        <f t="array" ref="BJ58">IF(VLOOKUP($Q58,武学奇术!$A:$ZZ,23,FALSE)=1,100%,MIN(80%,$B$9+VLOOKUP($Q58,武学奇术!$A:$ZZ,17,FALSE)+SUM(_xlfn.XLOOKUP(R58:AF58,增益!$A:$A,增益!$Q:$Q,0)))+$B$11+SUM(_xlfn.XLOOKUP(R58:AF58,增益!$A:$A,增益!$U:$U,0)))*IF(VLOOKUP($Q58,武学奇术!$A:$ZZ,24,FALSE)=1,0,1)</f>
        <v>0.8773</v>
      </c>
      <c r="BK58" s="30" cm="1">
        <f t="array" ref="BK58">1+$B$13+VLOOKUP($Q58,武学奇术!$A:$ZZ,18,FALSE)+SUM(_xlfn.XLOOKUP(R58:AF58,增益!$A:$A,增益!$R:$R,0))</f>
        <v>1.87</v>
      </c>
      <c r="BL58" s="30" cm="1">
        <f t="array" ref="BL58">IF(VLOOKUP($Q58,武学奇术!$A:$ZZ,24,FALSE)=1,100%,MIN(40%,$B$10+VLOOKUP($Q58,武学奇术!$A:$ZZ,19,FALSE)+SUM(_xlfn.XLOOKUP(R58:AF58,增益!$A:$A,增益!$S:$S,0)))+$B$12+SUM(_xlfn.XLOOKUP(R58:AF58,增益!$A:$A,增益!$V:$V,0)))*IF(VLOOKUP($Q58,武学奇术!$A:$ZZ,23,FALSE)=1,0,1)</f>
        <v>0.0895</v>
      </c>
      <c r="BM58" s="30" cm="1">
        <f t="array" ref="BM58">1+$B$14+VLOOKUP($Q58,武学奇术!$A:$ZZ,20,FALSE)+SUM(_xlfn.XLOOKUP(R58:AF58,增益!$A:$A,增益!$T:$T,0))</f>
        <v>1.35</v>
      </c>
      <c r="BN58" s="30">
        <f t="shared" si="9"/>
        <v>0.85203376</v>
      </c>
      <c r="BO58" s="30">
        <f t="shared" si="10"/>
        <v>0.03224384</v>
      </c>
      <c r="BP58" s="30">
        <f>IF(VLOOKUP($Q58,武学奇术!$A:$ZZ,22,FALSE)=1,0,(1-$BI58))*(1-$BL58)</f>
        <v>0.0262224</v>
      </c>
      <c r="BQ58" s="30" cm="1">
        <f t="array" ref="BQ58">SUM(_xlfn.XLOOKUP(R58:AF58,增益!$A:$A,增益!$W:$W,0))+$I$5</f>
        <v>0.11</v>
      </c>
    </row>
    <row r="59" spans="1:69">
      <c r="K59" s="41">
        <f t="shared" si="12"/>
        <v>88991.6392102794</v>
      </c>
      <c r="L59" s="41">
        <f>((($AN59+$AO59)/2*$AH59+$AI59)*(1+$AP59)*(1+$AQ59)+(($AS59+$AT59)/2*IF($G$1="鸣金",$AJ59,$AH59)+IF($G$1="鸣金",$AK59*1.5,0))*(1+$AU59)*(1+$AV59)+(($AW59+$AX59)/2*IF($G$1="裂石",$AJ59,$AH59)+IF($G$1="裂石",$AK59*1.5,0))*(1+$AY59)*(1+$AZ59)+(($BA59+$BB59)/2*IF($G$1="牵丝",$AJ59,$AH59)+IF($G$1="牵丝",$AK59*1.5,0))*(1+$BC59)*(1+$BD59)+(($BE59+$BF59)/2*IF($G$1="破竹",$AJ59,$AH59)+IF($G$1="破竹",$AK59*1.5,0))*(1+$BG59)*(1+$BH59))*(1+$AL59)*$BK59*$P59*(1+IF(VLOOKUP($Q59,武学奇术!$A:$ZZ,30,FALSE)="回旋伞",$B$21,0))*(1+$BQ59)</f>
        <v>94510.5806703779</v>
      </c>
      <c r="M59" s="41">
        <f>(($AO59*$AH59+$AI59)*(1+$AP59)*(1+$AQ59)+($AT59*IF($G$1="鸣金",$AJ59,$AH59)+IF($G$1="鸣金",$AK59*1.5,0))*(1+$AU59)*(1+$AV59)+($AX59*IF($G$1="裂石",$AJ59,$AH59)+IF($G$1="裂石",$AK59*1.5,0))*(1+$AY59)*(1+$AZ59)+($BB59*IF($G$1="牵丝",$AJ59,$AH59)+IF($G$1="牵丝",$AK59*1.5,0))*(1+$BC59)*(1+$BD59)+($BF59*IF($G$1="破竹",$AJ59,$AH59)+IF($G$1="破竹",$AK59*1.5,0))*(1+$BG59)*(1+$BH59))*(1+$AL59)*$BM59*$P59*(1+IF(VLOOKUP($Q59,武学奇术!$A:$ZZ,30,FALSE)="回旋伞",$B$21,0))*(1+$BQ59)</f>
        <v>66926.9800703784</v>
      </c>
      <c r="N59" s="41">
        <f>((($AN59+$AO59)/2*$AH59+$AI59)*(1+$AP59)*(1+$AQ59)+(($AS59+$AT59)/2*IF($G$1="鸣金",$AJ59,$AH59)+IF($G$1="鸣金",$AK59*1.5,0))*(1+$AU59)*(1+$AV59)+(($AW59+$AX59)/2*IF($G$1="裂石",$AJ59,$AH59)+IF($G$1="裂石",$AK59*1.5,0))*(1+$AY59)*(1+$AZ59)+(($BA59+$BB59)/2*IF($G$1="牵丝",$AJ59,$AH59)+IF($G$1="牵丝",$AK59*1.5,0))*(1+$BC59)*(1+$BD59)+(($BE59+$BF59)/2*IF($G$1="破竹",$AJ59,$AH59)+IF($G$1="破竹",$AK59*1.5,0))*(1+$BG59)*(1+$BH59))*(1+$AL59)*$P59*(1+IF(VLOOKUP($Q59,武学奇术!$A:$ZZ,30,FALSE)="回旋伞",$B$21,0))*(1+$BQ59)</f>
        <v>44580.4625803669</v>
      </c>
      <c r="O59" s="41">
        <f>((($AN59*$AH59+$AI59)*(1+$AP59)*(1+$AQ59)+($AS59*IF($G$1="鸣金",$AJ59,$AH59)+IF($G$1="鸣金",$AK59*1.5,0))*(1+$AU59)*(1+$AV59)+($AW59*IF($G$1="裂石",$AJ59,$AH59)+IF($G$1="裂石",$AK59*1.5,0))*(1+$AY59)*(1+$AZ59)+($BA59*IF($G$1="牵丝",$AJ59,$AH59)+IF($G$1="牵丝",$AK59*1.5,0))*(1+$BC59)*(1+$BD59)+($BE59*IF($G$1="破竹",$AJ59,$AH59)+IF($G$1="破竹",$AK59*1.5,0))*(1+$BG59)*(1+$BH59))*(1+$AL59))*$P59*(1+IF(VLOOKUP($Q59,武学奇术!$A:$ZZ,30,FALSE)="回旋伞",$B$21,0))*(1+$BQ59)</f>
        <v>39585.384367861</v>
      </c>
      <c r="P59" s="42">
        <v>1</v>
      </c>
      <c r="Q59" s="43" t="s">
        <v>104</v>
      </c>
      <c r="R59" s="43" t="s">
        <v>105</v>
      </c>
      <c r="S59" s="43" t="s">
        <v>91</v>
      </c>
      <c r="T59" s="43" t="s">
        <v>72</v>
      </c>
      <c r="U59" s="43" t="s">
        <v>79</v>
      </c>
      <c r="V59" s="43" t="s">
        <v>167</v>
      </c>
      <c r="W59" s="43" t="s">
        <v>95</v>
      </c>
      <c r="X59" s="43" t="s">
        <v>71</v>
      </c>
      <c r="Y59" s="43" t="s">
        <v>177</v>
      </c>
      <c r="Z59" s="43" t="s">
        <v>71</v>
      </c>
      <c r="AA59" s="43" t="s">
        <v>112</v>
      </c>
      <c r="AB59" s="43" t="s">
        <v>179</v>
      </c>
      <c r="AC59" s="43" t="s">
        <v>71</v>
      </c>
      <c r="AD59" s="43" t="s">
        <v>71</v>
      </c>
      <c r="AE59" s="43" t="s">
        <v>71</v>
      </c>
      <c r="AF59" s="43" t="s">
        <v>76</v>
      </c>
      <c r="AG59" t="str">
        <f>VLOOKUP($Q59,武学奇术!$A:$ZZ,25,FALSE)</f>
        <v>伞</v>
      </c>
      <c r="AH59" s="30">
        <f>VLOOKUP($Q59,武学奇术!$A:$ZZ,26,FALSE)</f>
        <v>1.8084</v>
      </c>
      <c r="AI59" s="31">
        <f>VLOOKUP($Q59,武学奇术!$A:$ZZ,27,FALSE)*(1+IF(OR($AG59=$F$4,$AG59=$F$5),$B$22,0))</f>
        <v>700</v>
      </c>
      <c r="AJ59" s="30">
        <f>VLOOKUP($Q59,武学奇术!$A:$ZZ,28,FALSE)</f>
        <v>2.7126</v>
      </c>
      <c r="AK59" s="31">
        <f>VLOOKUP($Q59,武学奇术!$A:$ZZ,29,FALSE)*(1+IF(OR($AG59=$F$4,$AG59=$F$5),$B$22,0))</f>
        <v>380.8</v>
      </c>
      <c r="AL59" s="30" cm="1">
        <f t="array" ref="AL59">$G$3+IFERROR(VLOOKUP($AG59,$F$4:$G$7,2,FALSE),0)+VLOOKUP($Q59,武学奇术!$A:$ZZ,2,FALSE)+SUM(_xlfn.XLOOKUP($R59:$AF59,增益!$A:$A,增益!$B:$B,0))</f>
        <v>0.7741</v>
      </c>
      <c r="AM59" s="30" cm="1">
        <f t="array" ref="AM59">VLOOKUP($Q59,武学奇术!$A:$ZZ,5,FALSE)+SUM(_xlfn.XLOOKUP($R59:$AF59,增益!$A:$A,增益!$E:$E,0))</f>
        <v>0</v>
      </c>
      <c r="AN59" cm="1">
        <f t="array" ref="AN59">$D$10*(1+$AM59)+VLOOKUP($Q59,武学奇术!$A:$ZZ,3,FALSE)+SUM(_xlfn.XLOOKUP($R59:$AF59,增益!$A:$A,增益!$C:$C,0))-$I$2</f>
        <v>3483.8</v>
      </c>
      <c r="AO59" cm="1">
        <f t="array" ref="AO59">$E$10*(1+$AM59)+VLOOKUP($Q59,武学奇术!$A:$ZZ,4,FALSE)+SUM(_xlfn.XLOOKUP($R59:$AF59,增益!$A:$A,增益!$D:$D,0))-$I$2</f>
        <v>3483.8</v>
      </c>
      <c r="AP59" s="35" cm="1">
        <f t="array" ref="AP59">IF($F$10-$I$3+VLOOKUP($Q59,武学奇术!$A:$ZZ,6,FALSE)+SUM(_xlfn.XLOOKUP(R59:AF59,增益!$A:$A,增益!$F:$F,0))&gt;0,($F$10-$I$3+VLOOKUP($Q59,武学奇术!$A:$ZZ,6,FALSE)+SUM(_xlfn.XLOOKUP(R59:AF59,增益!$A:$A,增益!$F:$F,0)))/200,($F$10-$I$3+VLOOKUP($Q59,武学奇术!$A:$ZZ,6,FALSE)+SUM(_xlfn.XLOOKUP(R59:AF59,增益!$A:$A,增益!$F:$F,0)))/100)</f>
        <v>0.4175</v>
      </c>
      <c r="AQ59" s="35" cm="1">
        <f t="array" ref="AQ59">$G$10+VLOOKUP($Q59,武学奇术!$A:$ZZ,7,FALSE)+SUM(_xlfn.XLOOKUP(R59:AF59,增益!$A:$A,增益!$G:$G,0))</f>
        <v>0.148</v>
      </c>
      <c r="AR59" s="30" cm="1">
        <f t="array" ref="AR59">VLOOKUP($Q59,武学奇术!$A:$ZZ,8,FALSE)+SUM(_xlfn.XLOOKUP(R59:AF59,增益!$A:$A,增益!$H:$H,0))</f>
        <v>0</v>
      </c>
      <c r="AS59">
        <f t="shared" si="1"/>
        <v>0</v>
      </c>
      <c r="AT59">
        <f t="shared" si="2"/>
        <v>0</v>
      </c>
      <c r="AU59" s="35" cm="1">
        <f t="array" ref="AU59">IF($F$11-$I$4+VLOOKUP($Q59,武学奇术!$A:$ZZ,9,FALSE)+SUM(_xlfn.XLOOKUP(R59:AF59,增益!$A:$A,增益!$I:$I,0))&gt;0,($F$11-$I$4+VLOOKUP($Q59,武学奇术!$A:$ZZ,9,FALSE)+SUM(_xlfn.XLOOKUP(R59:AF59,增益!$A:$A,增益!$I:$I,0)))/200,($F$11-$I$4+VLOOKUP($Q59,武学奇术!$A:$ZZ,9,FALSE)+SUM(_xlfn.XLOOKUP(R59:AF59,增益!$A:$A,增益!$I:$I,0)))/100)</f>
        <v>-0.3</v>
      </c>
      <c r="AV59" s="35" cm="1">
        <f t="array" ref="AV59">$G$11+VLOOKUP($Q59,武学奇术!$A:$ZZ,10,FALSE)+SUM(_xlfn.XLOOKUP(R59:AF59,增益!$A:$A,增益!$J:$J,0))</f>
        <v>0</v>
      </c>
      <c r="AW59">
        <f t="shared" si="3"/>
        <v>0</v>
      </c>
      <c r="AX59">
        <f t="shared" si="4"/>
        <v>0</v>
      </c>
      <c r="AY59" s="35" cm="1">
        <f t="array" ref="AY59">IF($F$12-$I$4+VLOOKUP($Q59,武学奇术!$A:$ZZ,11,FALSE)+SUM(_xlfn.XLOOKUP(R59:AF59,增益!$A:$A,增益!$K:$K,0))&gt;0,($F$12-$I$4+VLOOKUP($Q59,武学奇术!$A:$ZZ,11,FALSE)+SUM(_xlfn.XLOOKUP(R59:AF59,增益!$A:$A,增益!$K:$K,0)))/200,($F$12-$I$4+VLOOKUP($Q59,武学奇术!$A:$ZZ,11,FALSE)+SUM(_xlfn.XLOOKUP(R59:AF59,增益!$A:$A,增益!$K:$K,0)))/100)</f>
        <v>-0.3</v>
      </c>
      <c r="AZ59" s="35" cm="1">
        <f t="array" ref="AZ59">$G$12+VLOOKUP($Q59,武学奇术!$A:$ZZ,12,FALSE)+SUM(_xlfn.XLOOKUP(R59:AF59,增益!$A:$A,增益!$L:$L,0))</f>
        <v>0</v>
      </c>
      <c r="BA59">
        <f t="shared" si="5"/>
        <v>0</v>
      </c>
      <c r="BB59">
        <f t="shared" si="6"/>
        <v>0</v>
      </c>
      <c r="BC59" s="35" cm="1">
        <f t="array" ref="BC59">IF($F$13-$I$4+VLOOKUP($Q59,武学奇术!$A:$ZZ,13,FALSE)+SUM(_xlfn.XLOOKUP(R59:AF59,增益!$A:$A,增益!$M:$M,0))&gt;0,($F$13-$I$4+VLOOKUP($Q59,武学奇术!$A:$ZZ,13,FALSE)+SUM(_xlfn.XLOOKUP(R59:AF59,增益!$A:$A,增益!$K:$K,0)))/200,($F$13-$I$4+VLOOKUP($Q59,武学奇术!$A:$ZZ,13,FALSE)+SUM(_xlfn.XLOOKUP(R59:AF59,增益!$A:$A,增益!$M:$M,0)))/100)</f>
        <v>-0.3</v>
      </c>
      <c r="BD59" s="35" cm="1">
        <f t="array" ref="BD59">$G$13+VLOOKUP($Q59,武学奇术!$A:$ZZ,14,FALSE)+SUM(_xlfn.XLOOKUP(R59:AF59,增益!$A:$A,增益!$N:$N,0))</f>
        <v>0</v>
      </c>
      <c r="BE59">
        <f t="shared" si="7"/>
        <v>538</v>
      </c>
      <c r="BF59">
        <f t="shared" si="8"/>
        <v>1561.4</v>
      </c>
      <c r="BG59" s="35" cm="1">
        <f t="array" ref="BG59">IF($F$14-$I$4+VLOOKUP($Q59,武学奇术!$A:$ZZ,15,FALSE)+SUM(_xlfn.XLOOKUP(R59:AF59,增益!$A:$A,增益!$O:$O,0))&gt;0,($F$14-$I$4+VLOOKUP($Q59,武学奇术!$A:$ZZ,15,FALSE)+SUM(_xlfn.XLOOKUP(R59:AF59,增益!$A:$A,增益!$O:$O,0)))/200,($F$14-$I$4+VLOOKUP($Q59,武学奇术!$A:$ZZ,15,FALSE)+SUM(_xlfn.XLOOKUP(R59:AF59,增益!$A:$A,增益!$O:$O,0)))/100)</f>
        <v>0</v>
      </c>
      <c r="BH59" s="35" cm="1">
        <f t="array" ref="BH59">$G$14+VLOOKUP($Q59,武学奇术!$A:$ZZ,16,FALSE)+SUM(_xlfn.XLOOKUP(R59:AF59,增益!$A:$A,增益!$P:$P,0))</f>
        <v>0.27</v>
      </c>
      <c r="BI59" s="30">
        <f>MIN(IF(VLOOKUP($Q59,武学奇术!$A:$ZZ,23,FALSE)=1,100%,$B$8),100%)</f>
        <v>0.9712</v>
      </c>
      <c r="BJ59" s="30" cm="1">
        <f t="array" ref="BJ59">IF(VLOOKUP($Q59,武学奇术!$A:$ZZ,23,FALSE)=1,100%,MIN(80%,$B$9+VLOOKUP($Q59,武学奇术!$A:$ZZ,17,FALSE)+SUM(_xlfn.XLOOKUP(R59:AF59,增益!$A:$A,增益!$Q:$Q,0)))+$B$11+SUM(_xlfn.XLOOKUP(R59:AF59,增益!$A:$A,增益!$U:$U,0)))*IF(VLOOKUP($Q59,武学奇术!$A:$ZZ,24,FALSE)=1,0,1)</f>
        <v>0.8773</v>
      </c>
      <c r="BK59" s="30" cm="1">
        <f t="array" ref="BK59">1+$B$13+VLOOKUP($Q59,武学奇术!$A:$ZZ,18,FALSE)+SUM(_xlfn.XLOOKUP(R59:AF59,增益!$A:$A,增益!$R:$R,0))</f>
        <v>2.12</v>
      </c>
      <c r="BL59" s="30" cm="1">
        <f t="array" ref="BL59">IF(VLOOKUP($Q59,武学奇术!$A:$ZZ,24,FALSE)=1,100%,MIN(40%,$B$10+VLOOKUP($Q59,武学奇术!$A:$ZZ,19,FALSE)+SUM(_xlfn.XLOOKUP(R59:AF59,增益!$A:$A,增益!$S:$S,0)))+$B$12+SUM(_xlfn.XLOOKUP(R59:AF59,增益!$A:$A,增益!$V:$V,0)))*IF(VLOOKUP($Q59,武学奇术!$A:$ZZ,23,FALSE)=1,0,1)</f>
        <v>0.0895</v>
      </c>
      <c r="BM59" s="30" cm="1">
        <f t="array" ref="BM59">1+$B$14+VLOOKUP($Q59,武学奇术!$A:$ZZ,20,FALSE)+SUM(_xlfn.XLOOKUP(R59:AF59,增益!$A:$A,增益!$T:$T,0))</f>
        <v>1.35</v>
      </c>
      <c r="BN59" s="30">
        <f t="shared" si="9"/>
        <v>0.85203376</v>
      </c>
      <c r="BO59" s="30">
        <f t="shared" si="10"/>
        <v>0.03224384</v>
      </c>
      <c r="BP59" s="30">
        <f>IF(VLOOKUP($Q59,武学奇术!$A:$ZZ,22,FALSE)=1,0,(1-$BI59))*(1-$BL59)</f>
        <v>0.0262224</v>
      </c>
      <c r="BQ59" s="30" cm="1">
        <f t="array" ref="BQ59">SUM(_xlfn.XLOOKUP(R59:AF59,增益!$A:$A,增益!$W:$W,0))+$I$5</f>
        <v>0.21</v>
      </c>
    </row>
    <row r="60" spans="1:69">
      <c r="K60" s="41">
        <f t="shared" si="12"/>
        <v>210330.124909975</v>
      </c>
      <c r="L60" s="41">
        <f>((($AN60+$AO60)/2*$AH60+$AI60)*(1+$AP60)*(1+$AQ60)+(($AS60+$AT60)/2*IF($G$1="鸣金",$AJ60,$AH60)+IF($G$1="鸣金",$AK60*1.5,0))*(1+$AU60)*(1+$AV60)+(($AW60+$AX60)/2*IF($G$1="裂石",$AJ60,$AH60)+IF($G$1="裂石",$AK60*1.5,0))*(1+$AY60)*(1+$AZ60)+(($BA60+$BB60)/2*IF($G$1="牵丝",$AJ60,$AH60)+IF($G$1="牵丝",$AK60*1.5,0))*(1+$BC60)*(1+$BD60)+(($BE60+$BF60)/2*IF($G$1="破竹",$AJ60,$AH60)+IF($G$1="破竹",$AK60*1.5,0))*(1+$BG60)*(1+$BH60))*(1+$AL60)*$BK60*$P60*(1+IF(VLOOKUP($Q60,武学奇术!$A:$ZZ,30,FALSE)="回旋伞",$B$21,0))*(1+$BQ60)</f>
        <v>210330.124909975</v>
      </c>
      <c r="M60" s="41">
        <f>(($AO60*$AH60+$AI60)*(1+$AP60)*(1+$AQ60)+($AT60*IF($G$1="鸣金",$AJ60,$AH60)+IF($G$1="鸣金",$AK60*1.5,0))*(1+$AU60)*(1+$AV60)+($AX60*IF($G$1="裂石",$AJ60,$AH60)+IF($G$1="裂石",$AK60*1.5,0))*(1+$AY60)*(1+$AZ60)+($BB60*IF($G$1="牵丝",$AJ60,$AH60)+IF($G$1="牵丝",$AK60*1.5,0))*(1+$BC60)*(1+$BD60)+($BF60*IF($G$1="破竹",$AJ60,$AH60)+IF($G$1="破竹",$AK60*1.5,0))*(1+$BG60)*(1+$BH60))*(1+$AL60)*$BM60*$P60*(1+IF(VLOOKUP($Q60,武学奇术!$A:$ZZ,30,FALSE)="回旋伞",$B$21,0))*(1+$BQ60)</f>
        <v>148943.747654511</v>
      </c>
      <c r="N60" s="41">
        <f>((($AN60+$AO60)/2*$AH60+$AI60)*(1+$AP60)*(1+$AQ60)+(($AS60+$AT60)/2*IF($G$1="鸣金",$AJ60,$AH60)+IF($G$1="鸣金",$AK60*1.5,0))*(1+$AU60)*(1+$AV60)+(($AW60+$AX60)/2*IF($G$1="裂石",$AJ60,$AH60)+IF($G$1="裂石",$AK60*1.5,0))*(1+$AY60)*(1+$AZ60)+(($BA60+$BB60)/2*IF($G$1="牵丝",$AJ60,$AH60)+IF($G$1="牵丝",$AK60*1.5,0))*(1+$BC60)*(1+$BD60)+(($BE60+$BF60)/2*IF($G$1="破竹",$AJ60,$AH60)+IF($G$1="破竹",$AK60*1.5,0))*(1+$BG60)*(1+$BH60))*(1+$AL60)*$P60*(1+IF(VLOOKUP($Q60,武学奇术!$A:$ZZ,30,FALSE)="回旋伞",$B$21,0))*(1+$BQ60)</f>
        <v>99212.3230707427</v>
      </c>
      <c r="O60" s="41">
        <f>((($AN60*$AH60+$AI60)*(1+$AP60)*(1+$AQ60)+($AS60*IF($G$1="鸣金",$AJ60,$AH60)+IF($G$1="鸣金",$AK60*1.5,0))*(1+$AU60)*(1+$AV60)+($AW60*IF($G$1="裂石",$AJ60,$AH60)+IF($G$1="裂石",$AK60*1.5,0))*(1+$AY60)*(1+$AZ60)+($BA60*IF($G$1="牵丝",$AJ60,$AH60)+IF($G$1="牵丝",$AK60*1.5,0))*(1+$BC60)*(1+$BD60)+($BE60*IF($G$1="破竹",$AJ60,$AH60)+IF($G$1="破竹",$AK60*1.5,0))*(1+$BG60)*(1+$BH60))*(1+$AL60))*$P60*(1+IF(VLOOKUP($Q60,武学奇术!$A:$ZZ,30,FALSE)="回旋伞",$B$21,0))*(1+$BQ60)</f>
        <v>88095.944175181</v>
      </c>
      <c r="P60" s="42">
        <v>2</v>
      </c>
      <c r="Q60" s="43" t="s">
        <v>115</v>
      </c>
      <c r="R60" s="43" t="s">
        <v>105</v>
      </c>
      <c r="S60" s="43" t="s">
        <v>91</v>
      </c>
      <c r="T60" s="43" t="s">
        <v>72</v>
      </c>
      <c r="U60" s="43" t="s">
        <v>79</v>
      </c>
      <c r="V60" s="43" t="s">
        <v>167</v>
      </c>
      <c r="W60" s="43" t="s">
        <v>95</v>
      </c>
      <c r="X60" s="43" t="s">
        <v>71</v>
      </c>
      <c r="Y60" s="43" t="s">
        <v>177</v>
      </c>
      <c r="Z60" s="43" t="s">
        <v>71</v>
      </c>
      <c r="AA60" s="43" t="s">
        <v>116</v>
      </c>
      <c r="AB60" s="43" t="s">
        <v>179</v>
      </c>
      <c r="AC60" s="43" t="s">
        <v>71</v>
      </c>
      <c r="AD60" s="43" t="s">
        <v>71</v>
      </c>
      <c r="AE60" s="43" t="s">
        <v>71</v>
      </c>
      <c r="AF60" s="43" t="s">
        <v>76</v>
      </c>
      <c r="AG60" t="str">
        <f>VLOOKUP($Q60,武学奇术!$A:$ZZ,25,FALSE)</f>
        <v>伞</v>
      </c>
      <c r="AH60" s="30">
        <f>VLOOKUP($Q60,武学奇术!$A:$ZZ,26,FALSE)</f>
        <v>1.8084</v>
      </c>
      <c r="AI60" s="31">
        <f>VLOOKUP($Q60,武学奇术!$A:$ZZ,27,FALSE)*(1+IF(OR($AG60=$F$4,$AG60=$F$5),$B$22,0))</f>
        <v>700</v>
      </c>
      <c r="AJ60" s="30">
        <f>VLOOKUP($Q60,武学奇术!$A:$ZZ,28,FALSE)</f>
        <v>2.7126</v>
      </c>
      <c r="AK60" s="31">
        <f>VLOOKUP($Q60,武学奇术!$A:$ZZ,29,FALSE)*(1+IF(OR($AG60=$F$4,$AG60=$F$5),$B$22,0))</f>
        <v>380.8</v>
      </c>
      <c r="AL60" s="30" cm="1">
        <f t="array" ref="AL60">$G$3+IFERROR(VLOOKUP($AG60,$F$4:$G$7,2,FALSE),0)+VLOOKUP($Q60,武学奇术!$A:$ZZ,2,FALSE)+SUM(_xlfn.XLOOKUP($R60:$AF60,增益!$A:$A,增益!$B:$B,0))</f>
        <v>0.9741</v>
      </c>
      <c r="AM60" s="30" cm="1">
        <f t="array" ref="AM60">VLOOKUP($Q60,武学奇术!$A:$ZZ,5,FALSE)+SUM(_xlfn.XLOOKUP($R60:$AF60,增益!$A:$A,增益!$E:$E,0))</f>
        <v>0</v>
      </c>
      <c r="AN60" cm="1">
        <f t="array" ref="AN60">$D$10*(1+$AM60)+VLOOKUP($Q60,武学奇术!$A:$ZZ,3,FALSE)+SUM(_xlfn.XLOOKUP($R60:$AF60,增益!$A:$A,增益!$C:$C,0))-$I$2</f>
        <v>3483.8</v>
      </c>
      <c r="AO60" cm="1">
        <f t="array" ref="AO60">$E$10*(1+$AM60)+VLOOKUP($Q60,武学奇术!$A:$ZZ,4,FALSE)+SUM(_xlfn.XLOOKUP($R60:$AF60,增益!$A:$A,增益!$D:$D,0))-$I$2</f>
        <v>3483.8</v>
      </c>
      <c r="AP60" s="35" cm="1">
        <f t="array" ref="AP60">IF($F$10-$I$3+VLOOKUP($Q60,武学奇术!$A:$ZZ,6,FALSE)+SUM(_xlfn.XLOOKUP(R60:AF60,增益!$A:$A,增益!$F:$F,0))&gt;0,($F$10-$I$3+VLOOKUP($Q60,武学奇术!$A:$ZZ,6,FALSE)+SUM(_xlfn.XLOOKUP(R60:AF60,增益!$A:$A,增益!$F:$F,0)))/200,($F$10-$I$3+VLOOKUP($Q60,武学奇术!$A:$ZZ,6,FALSE)+SUM(_xlfn.XLOOKUP(R60:AF60,增益!$A:$A,增益!$F:$F,0)))/100)</f>
        <v>0.4175</v>
      </c>
      <c r="AQ60" s="35" cm="1">
        <f t="array" ref="AQ60">$G$10+VLOOKUP($Q60,武学奇术!$A:$ZZ,7,FALSE)+SUM(_xlfn.XLOOKUP(R60:AF60,增益!$A:$A,增益!$G:$G,0))</f>
        <v>0.148</v>
      </c>
      <c r="AR60" s="30" cm="1">
        <f t="array" ref="AR60">VLOOKUP($Q60,武学奇术!$A:$ZZ,8,FALSE)+SUM(_xlfn.XLOOKUP(R60:AF60,增益!$A:$A,增益!$H:$H,0))</f>
        <v>0</v>
      </c>
      <c r="AS60">
        <f t="shared" si="1"/>
        <v>0</v>
      </c>
      <c r="AT60">
        <f t="shared" si="2"/>
        <v>0</v>
      </c>
      <c r="AU60" s="35" cm="1">
        <f t="array" ref="AU60">IF($F$11-$I$4+VLOOKUP($Q60,武学奇术!$A:$ZZ,9,FALSE)+SUM(_xlfn.XLOOKUP(R60:AF60,增益!$A:$A,增益!$I:$I,0))&gt;0,($F$11-$I$4+VLOOKUP($Q60,武学奇术!$A:$ZZ,9,FALSE)+SUM(_xlfn.XLOOKUP(R60:AF60,增益!$A:$A,增益!$I:$I,0)))/200,($F$11-$I$4+VLOOKUP($Q60,武学奇术!$A:$ZZ,9,FALSE)+SUM(_xlfn.XLOOKUP(R60:AF60,增益!$A:$A,增益!$I:$I,0)))/100)</f>
        <v>-0.3</v>
      </c>
      <c r="AV60" s="35" cm="1">
        <f t="array" ref="AV60">$G$11+VLOOKUP($Q60,武学奇术!$A:$ZZ,10,FALSE)+SUM(_xlfn.XLOOKUP(R60:AF60,增益!$A:$A,增益!$J:$J,0))</f>
        <v>0</v>
      </c>
      <c r="AW60">
        <f t="shared" si="3"/>
        <v>0</v>
      </c>
      <c r="AX60">
        <f t="shared" si="4"/>
        <v>0</v>
      </c>
      <c r="AY60" s="35" cm="1">
        <f t="array" ref="AY60">IF($F$12-$I$4+VLOOKUP($Q60,武学奇术!$A:$ZZ,11,FALSE)+SUM(_xlfn.XLOOKUP(R60:AF60,增益!$A:$A,增益!$K:$K,0))&gt;0,($F$12-$I$4+VLOOKUP($Q60,武学奇术!$A:$ZZ,11,FALSE)+SUM(_xlfn.XLOOKUP(R60:AF60,增益!$A:$A,增益!$K:$K,0)))/200,($F$12-$I$4+VLOOKUP($Q60,武学奇术!$A:$ZZ,11,FALSE)+SUM(_xlfn.XLOOKUP(R60:AF60,增益!$A:$A,增益!$K:$K,0)))/100)</f>
        <v>-0.3</v>
      </c>
      <c r="AZ60" s="35" cm="1">
        <f t="array" ref="AZ60">$G$12+VLOOKUP($Q60,武学奇术!$A:$ZZ,12,FALSE)+SUM(_xlfn.XLOOKUP(R60:AF60,增益!$A:$A,增益!$L:$L,0))</f>
        <v>0</v>
      </c>
      <c r="BA60">
        <f t="shared" si="5"/>
        <v>0</v>
      </c>
      <c r="BB60">
        <f t="shared" si="6"/>
        <v>0</v>
      </c>
      <c r="BC60" s="35" cm="1">
        <f t="array" ref="BC60">IF($F$13-$I$4+VLOOKUP($Q60,武学奇术!$A:$ZZ,13,FALSE)+SUM(_xlfn.XLOOKUP(R60:AF60,增益!$A:$A,增益!$M:$M,0))&gt;0,($F$13-$I$4+VLOOKUP($Q60,武学奇术!$A:$ZZ,13,FALSE)+SUM(_xlfn.XLOOKUP(R60:AF60,增益!$A:$A,增益!$K:$K,0)))/200,($F$13-$I$4+VLOOKUP($Q60,武学奇术!$A:$ZZ,13,FALSE)+SUM(_xlfn.XLOOKUP(R60:AF60,增益!$A:$A,增益!$M:$M,0)))/100)</f>
        <v>-0.3</v>
      </c>
      <c r="BD60" s="35" cm="1">
        <f t="array" ref="BD60">$G$13+VLOOKUP($Q60,武学奇术!$A:$ZZ,14,FALSE)+SUM(_xlfn.XLOOKUP(R60:AF60,增益!$A:$A,增益!$N:$N,0))</f>
        <v>0</v>
      </c>
      <c r="BE60">
        <f t="shared" si="7"/>
        <v>538</v>
      </c>
      <c r="BF60">
        <f t="shared" si="8"/>
        <v>1561.4</v>
      </c>
      <c r="BG60" s="35" cm="1">
        <f t="array" ref="BG60">IF($F$14-$I$4+VLOOKUP($Q60,武学奇术!$A:$ZZ,15,FALSE)+SUM(_xlfn.XLOOKUP(R60:AF60,增益!$A:$A,增益!$O:$O,0))&gt;0,($F$14-$I$4+VLOOKUP($Q60,武学奇术!$A:$ZZ,15,FALSE)+SUM(_xlfn.XLOOKUP(R60:AF60,增益!$A:$A,增益!$O:$O,0)))/200,($F$14-$I$4+VLOOKUP($Q60,武学奇术!$A:$ZZ,15,FALSE)+SUM(_xlfn.XLOOKUP(R60:AF60,增益!$A:$A,增益!$O:$O,0)))/100)</f>
        <v>0</v>
      </c>
      <c r="BH60" s="35" cm="1">
        <f t="array" ref="BH60">$G$14+VLOOKUP($Q60,武学奇术!$A:$ZZ,16,FALSE)+SUM(_xlfn.XLOOKUP(R60:AF60,增益!$A:$A,增益!$P:$P,0))</f>
        <v>0.27</v>
      </c>
      <c r="BI60" s="30">
        <f>MIN(IF(VLOOKUP($Q60,武学奇术!$A:$ZZ,23,FALSE)=1,100%,$B$8),100%)</f>
        <v>1</v>
      </c>
      <c r="BJ60" s="30" cm="1">
        <f t="array" ref="BJ60">IF(VLOOKUP($Q60,武学奇术!$A:$ZZ,23,FALSE)=1,100%,MIN(80%,$B$9+VLOOKUP($Q60,武学奇术!$A:$ZZ,17,FALSE)+SUM(_xlfn.XLOOKUP(R60:AF60,增益!$A:$A,增益!$Q:$Q,0)))+$B$11+SUM(_xlfn.XLOOKUP(R60:AF60,增益!$A:$A,增益!$U:$U,0)))*IF(VLOOKUP($Q60,武学奇术!$A:$ZZ,24,FALSE)=1,0,1)</f>
        <v>1</v>
      </c>
      <c r="BK60" s="30" cm="1">
        <f t="array" ref="BK60">1+$B$13+VLOOKUP($Q60,武学奇术!$A:$ZZ,18,FALSE)+SUM(_xlfn.XLOOKUP(R60:AF60,增益!$A:$A,增益!$R:$R,0))</f>
        <v>2.12</v>
      </c>
      <c r="BL60" s="30" cm="1">
        <f t="array" ref="BL60">IF(VLOOKUP($Q60,武学奇术!$A:$ZZ,24,FALSE)=1,100%,MIN(40%,$B$10+VLOOKUP($Q60,武学奇术!$A:$ZZ,19,FALSE)+SUM(_xlfn.XLOOKUP(R60:AF60,增益!$A:$A,增益!$S:$S,0)))+$B$12+SUM(_xlfn.XLOOKUP(R60:AF60,增益!$A:$A,增益!$V:$V,0)))*IF(VLOOKUP($Q60,武学奇术!$A:$ZZ,23,FALSE)=1,0,1)</f>
        <v>0</v>
      </c>
      <c r="BM60" s="30" cm="1">
        <f t="array" ref="BM60">1+$B$14+VLOOKUP($Q60,武学奇术!$A:$ZZ,20,FALSE)+SUM(_xlfn.XLOOKUP(R60:AF60,增益!$A:$A,增益!$T:$T,0))</f>
        <v>1.35</v>
      </c>
      <c r="BN60" s="30">
        <f t="shared" si="9"/>
        <v>1</v>
      </c>
      <c r="BO60" s="30">
        <f t="shared" si="10"/>
        <v>0</v>
      </c>
      <c r="BP60" s="30">
        <f>IF(VLOOKUP($Q60,武学奇术!$A:$ZZ,22,FALSE)=1,0,(1-$BI60))*(1-$BL60)</f>
        <v>0</v>
      </c>
      <c r="BQ60" s="30" cm="1">
        <f t="array" ref="BQ60">SUM(_xlfn.XLOOKUP(R60:AF60,增益!$A:$A,增益!$W:$W,0))+$I$5</f>
        <v>0.21</v>
      </c>
    </row>
    <row r="61" spans="1:69">
      <c r="K61" s="41">
        <f t="shared" si="12"/>
        <v>355966.556841118</v>
      </c>
      <c r="L61" s="41">
        <f>((($AN61+$AO61)/2*$AH61+$AI61)*(1+$AP61)*(1+$AQ61)+(($AS61+$AT61)/2*IF($G$1="鸣金",$AJ61,$AH61)+IF($G$1="鸣金",$AK61*1.5,0))*(1+$AU61)*(1+$AV61)+(($AW61+$AX61)/2*IF($G$1="裂石",$AJ61,$AH61)+IF($G$1="裂石",$AK61*1.5,0))*(1+$AY61)*(1+$AZ61)+(($BA61+$BB61)/2*IF($G$1="牵丝",$AJ61,$AH61)+IF($G$1="牵丝",$AK61*1.5,0))*(1+$BC61)*(1+$BD61)+(($BE61+$BF61)/2*IF($G$1="破竹",$AJ61,$AH61)+IF($G$1="破竹",$AK61*1.5,0))*(1+$BG61)*(1+$BH61))*(1+$AL61)*$BK61*$P61*(1+IF(VLOOKUP($Q61,武学奇术!$A:$ZZ,30,FALSE)="回旋伞",$B$21,0))*(1+$BQ61)</f>
        <v>378042.322681512</v>
      </c>
      <c r="M61" s="41">
        <f>(($AO61*$AH61+$AI61)*(1+$AP61)*(1+$AQ61)+($AT61*IF($G$1="鸣金",$AJ61,$AH61)+IF($G$1="鸣金",$AK61*1.5,0))*(1+$AU61)*(1+$AV61)+($AX61*IF($G$1="裂石",$AJ61,$AH61)+IF($G$1="裂石",$AK61*1.5,0))*(1+$AY61)*(1+$AZ61)+($BB61*IF($G$1="牵丝",$AJ61,$AH61)+IF($G$1="牵丝",$AK61*1.5,0))*(1+$BC61)*(1+$BD61)+($BF61*IF($G$1="破竹",$AJ61,$AH61)+IF($G$1="破竹",$AK61*1.5,0))*(1+$BG61)*(1+$BH61))*(1+$AL61)*$BM61*$P61*(1+IF(VLOOKUP($Q61,武学奇术!$A:$ZZ,30,FALSE)="回旋伞",$B$21,0))*(1+$BQ61)</f>
        <v>267707.920281514</v>
      </c>
      <c r="N61" s="41">
        <f>((($AN61+$AO61)/2*$AH61+$AI61)*(1+$AP61)*(1+$AQ61)+(($AS61+$AT61)/2*IF($G$1="鸣金",$AJ61,$AH61)+IF($G$1="鸣金",$AK61*1.5,0))*(1+$AU61)*(1+$AV61)+(($AW61+$AX61)/2*IF($G$1="裂石",$AJ61,$AH61)+IF($G$1="裂石",$AK61*1.5,0))*(1+$AY61)*(1+$AZ61)+(($BA61+$BB61)/2*IF($G$1="牵丝",$AJ61,$AH61)+IF($G$1="牵丝",$AK61*1.5,0))*(1+$BC61)*(1+$BD61)+(($BE61+$BF61)/2*IF($G$1="破竹",$AJ61,$AH61)+IF($G$1="破竹",$AK61*1.5,0))*(1+$BG61)*(1+$BH61))*(1+$AL61)*$P61*(1+IF(VLOOKUP($Q61,武学奇术!$A:$ZZ,30,FALSE)="回旋伞",$B$21,0))*(1+$BQ61)</f>
        <v>178321.850321468</v>
      </c>
      <c r="O61" s="41">
        <f>((($AN61*$AH61+$AI61)*(1+$AP61)*(1+$AQ61)+($AS61*IF($G$1="鸣金",$AJ61,$AH61)+IF($G$1="鸣金",$AK61*1.5,0))*(1+$AU61)*(1+$AV61)+($AW61*IF($G$1="裂石",$AJ61,$AH61)+IF($G$1="裂石",$AK61*1.5,0))*(1+$AY61)*(1+$AZ61)+($BA61*IF($G$1="牵丝",$AJ61,$AH61)+IF($G$1="牵丝",$AK61*1.5,0))*(1+$BC61)*(1+$BD61)+($BE61*IF($G$1="破竹",$AJ61,$AH61)+IF($G$1="破竹",$AK61*1.5,0))*(1+$BG61)*(1+$BH61))*(1+$AL61))*$P61*(1+IF(VLOOKUP($Q61,武学奇术!$A:$ZZ,30,FALSE)="回旋伞",$B$21,0))*(1+$BQ61)</f>
        <v>158341.537471444</v>
      </c>
      <c r="P61" s="42">
        <v>4</v>
      </c>
      <c r="Q61" s="43" t="s">
        <v>104</v>
      </c>
      <c r="R61" s="43" t="s">
        <v>105</v>
      </c>
      <c r="S61" s="43" t="s">
        <v>91</v>
      </c>
      <c r="T61" s="43" t="s">
        <v>72</v>
      </c>
      <c r="U61" s="43" t="s">
        <v>79</v>
      </c>
      <c r="V61" s="43" t="s">
        <v>167</v>
      </c>
      <c r="W61" s="43" t="s">
        <v>95</v>
      </c>
      <c r="X61" s="43" t="s">
        <v>71</v>
      </c>
      <c r="Y61" s="43" t="s">
        <v>177</v>
      </c>
      <c r="Z61" s="43" t="s">
        <v>71</v>
      </c>
      <c r="AA61" s="43" t="s">
        <v>116</v>
      </c>
      <c r="AB61" s="43" t="s">
        <v>179</v>
      </c>
      <c r="AC61" s="43" t="s">
        <v>71</v>
      </c>
      <c r="AD61" s="43" t="s">
        <v>71</v>
      </c>
      <c r="AE61" s="43" t="s">
        <v>71</v>
      </c>
      <c r="AF61" s="43" t="s">
        <v>76</v>
      </c>
      <c r="AG61" t="str">
        <f>VLOOKUP($Q61,武学奇术!$A:$ZZ,25,FALSE)</f>
        <v>伞</v>
      </c>
      <c r="AH61" s="30">
        <f>VLOOKUP($Q61,武学奇术!$A:$ZZ,26,FALSE)</f>
        <v>1.8084</v>
      </c>
      <c r="AI61" s="31">
        <f>VLOOKUP($Q61,武学奇术!$A:$ZZ,27,FALSE)*(1+IF(OR($AG61=$F$4,$AG61=$F$5),$B$22,0))</f>
        <v>700</v>
      </c>
      <c r="AJ61" s="30">
        <f>VLOOKUP($Q61,武学奇术!$A:$ZZ,28,FALSE)</f>
        <v>2.7126</v>
      </c>
      <c r="AK61" s="31">
        <f>VLOOKUP($Q61,武学奇术!$A:$ZZ,29,FALSE)*(1+IF(OR($AG61=$F$4,$AG61=$F$5),$B$22,0))</f>
        <v>380.8</v>
      </c>
      <c r="AL61" s="30" cm="1">
        <f t="array" ref="AL61">$G$3+IFERROR(VLOOKUP($AG61,$F$4:$G$7,2,FALSE),0)+VLOOKUP($Q61,武学奇术!$A:$ZZ,2,FALSE)+SUM(_xlfn.XLOOKUP($R61:$AF61,增益!$A:$A,增益!$B:$B,0))</f>
        <v>0.7741</v>
      </c>
      <c r="AM61" s="30" cm="1">
        <f t="array" ref="AM61">VLOOKUP($Q61,武学奇术!$A:$ZZ,5,FALSE)+SUM(_xlfn.XLOOKUP($R61:$AF61,增益!$A:$A,增益!$E:$E,0))</f>
        <v>0</v>
      </c>
      <c r="AN61" cm="1">
        <f t="array" ref="AN61">$D$10*(1+$AM61)+VLOOKUP($Q61,武学奇术!$A:$ZZ,3,FALSE)+SUM(_xlfn.XLOOKUP($R61:$AF61,增益!$A:$A,增益!$C:$C,0))-$I$2</f>
        <v>3483.8</v>
      </c>
      <c r="AO61" cm="1">
        <f t="array" ref="AO61">$E$10*(1+$AM61)+VLOOKUP($Q61,武学奇术!$A:$ZZ,4,FALSE)+SUM(_xlfn.XLOOKUP($R61:$AF61,增益!$A:$A,增益!$D:$D,0))-$I$2</f>
        <v>3483.8</v>
      </c>
      <c r="AP61" s="35" cm="1">
        <f t="array" ref="AP61">IF($F$10-$I$3+VLOOKUP($Q61,武学奇术!$A:$ZZ,6,FALSE)+SUM(_xlfn.XLOOKUP(R61:AF61,增益!$A:$A,增益!$F:$F,0))&gt;0,($F$10-$I$3+VLOOKUP($Q61,武学奇术!$A:$ZZ,6,FALSE)+SUM(_xlfn.XLOOKUP(R61:AF61,增益!$A:$A,增益!$F:$F,0)))/200,($F$10-$I$3+VLOOKUP($Q61,武学奇术!$A:$ZZ,6,FALSE)+SUM(_xlfn.XLOOKUP(R61:AF61,增益!$A:$A,增益!$F:$F,0)))/100)</f>
        <v>0.4175</v>
      </c>
      <c r="AQ61" s="35" cm="1">
        <f t="array" ref="AQ61">$G$10+VLOOKUP($Q61,武学奇术!$A:$ZZ,7,FALSE)+SUM(_xlfn.XLOOKUP(R61:AF61,增益!$A:$A,增益!$G:$G,0))</f>
        <v>0.148</v>
      </c>
      <c r="AR61" s="30" cm="1">
        <f t="array" ref="AR61">VLOOKUP($Q61,武学奇术!$A:$ZZ,8,FALSE)+SUM(_xlfn.XLOOKUP(R61:AF61,增益!$A:$A,增益!$H:$H,0))</f>
        <v>0</v>
      </c>
      <c r="AS61">
        <f t="shared" si="1"/>
        <v>0</v>
      </c>
      <c r="AT61">
        <f t="shared" si="2"/>
        <v>0</v>
      </c>
      <c r="AU61" s="35" cm="1">
        <f t="array" ref="AU61">IF($F$11-$I$4+VLOOKUP($Q61,武学奇术!$A:$ZZ,9,FALSE)+SUM(_xlfn.XLOOKUP(R61:AF61,增益!$A:$A,增益!$I:$I,0))&gt;0,($F$11-$I$4+VLOOKUP($Q61,武学奇术!$A:$ZZ,9,FALSE)+SUM(_xlfn.XLOOKUP(R61:AF61,增益!$A:$A,增益!$I:$I,0)))/200,($F$11-$I$4+VLOOKUP($Q61,武学奇术!$A:$ZZ,9,FALSE)+SUM(_xlfn.XLOOKUP(R61:AF61,增益!$A:$A,增益!$I:$I,0)))/100)</f>
        <v>-0.3</v>
      </c>
      <c r="AV61" s="35" cm="1">
        <f t="array" ref="AV61">$G$11+VLOOKUP($Q61,武学奇术!$A:$ZZ,10,FALSE)+SUM(_xlfn.XLOOKUP(R61:AF61,增益!$A:$A,增益!$J:$J,0))</f>
        <v>0</v>
      </c>
      <c r="AW61">
        <f t="shared" si="3"/>
        <v>0</v>
      </c>
      <c r="AX61">
        <f t="shared" si="4"/>
        <v>0</v>
      </c>
      <c r="AY61" s="35" cm="1">
        <f t="array" ref="AY61">IF($F$12-$I$4+VLOOKUP($Q61,武学奇术!$A:$ZZ,11,FALSE)+SUM(_xlfn.XLOOKUP(R61:AF61,增益!$A:$A,增益!$K:$K,0))&gt;0,($F$12-$I$4+VLOOKUP($Q61,武学奇术!$A:$ZZ,11,FALSE)+SUM(_xlfn.XLOOKUP(R61:AF61,增益!$A:$A,增益!$K:$K,0)))/200,($F$12-$I$4+VLOOKUP($Q61,武学奇术!$A:$ZZ,11,FALSE)+SUM(_xlfn.XLOOKUP(R61:AF61,增益!$A:$A,增益!$K:$K,0)))/100)</f>
        <v>-0.3</v>
      </c>
      <c r="AZ61" s="35" cm="1">
        <f t="array" ref="AZ61">$G$12+VLOOKUP($Q61,武学奇术!$A:$ZZ,12,FALSE)+SUM(_xlfn.XLOOKUP(R61:AF61,增益!$A:$A,增益!$L:$L,0))</f>
        <v>0</v>
      </c>
      <c r="BA61">
        <f t="shared" si="5"/>
        <v>0</v>
      </c>
      <c r="BB61">
        <f t="shared" si="6"/>
        <v>0</v>
      </c>
      <c r="BC61" s="35" cm="1">
        <f t="array" ref="BC61">IF($F$13-$I$4+VLOOKUP($Q61,武学奇术!$A:$ZZ,13,FALSE)+SUM(_xlfn.XLOOKUP(R61:AF61,增益!$A:$A,增益!$M:$M,0))&gt;0,($F$13-$I$4+VLOOKUP($Q61,武学奇术!$A:$ZZ,13,FALSE)+SUM(_xlfn.XLOOKUP(R61:AF61,增益!$A:$A,增益!$K:$K,0)))/200,($F$13-$I$4+VLOOKUP($Q61,武学奇术!$A:$ZZ,13,FALSE)+SUM(_xlfn.XLOOKUP(R61:AF61,增益!$A:$A,增益!$M:$M,0)))/100)</f>
        <v>-0.3</v>
      </c>
      <c r="BD61" s="35" cm="1">
        <f t="array" ref="BD61">$G$13+VLOOKUP($Q61,武学奇术!$A:$ZZ,14,FALSE)+SUM(_xlfn.XLOOKUP(R61:AF61,增益!$A:$A,增益!$N:$N,0))</f>
        <v>0</v>
      </c>
      <c r="BE61">
        <f t="shared" si="7"/>
        <v>538</v>
      </c>
      <c r="BF61">
        <f t="shared" si="8"/>
        <v>1561.4</v>
      </c>
      <c r="BG61" s="35" cm="1">
        <f t="array" ref="BG61">IF($F$14-$I$4+VLOOKUP($Q61,武学奇术!$A:$ZZ,15,FALSE)+SUM(_xlfn.XLOOKUP(R61:AF61,增益!$A:$A,增益!$O:$O,0))&gt;0,($F$14-$I$4+VLOOKUP($Q61,武学奇术!$A:$ZZ,15,FALSE)+SUM(_xlfn.XLOOKUP(R61:AF61,增益!$A:$A,增益!$O:$O,0)))/200,($F$14-$I$4+VLOOKUP($Q61,武学奇术!$A:$ZZ,15,FALSE)+SUM(_xlfn.XLOOKUP(R61:AF61,增益!$A:$A,增益!$O:$O,0)))/100)</f>
        <v>0</v>
      </c>
      <c r="BH61" s="35" cm="1">
        <f t="array" ref="BH61">$G$14+VLOOKUP($Q61,武学奇术!$A:$ZZ,16,FALSE)+SUM(_xlfn.XLOOKUP(R61:AF61,增益!$A:$A,增益!$P:$P,0))</f>
        <v>0.27</v>
      </c>
      <c r="BI61" s="30">
        <f>MIN(IF(VLOOKUP($Q61,武学奇术!$A:$ZZ,23,FALSE)=1,100%,$B$8),100%)</f>
        <v>0.9712</v>
      </c>
      <c r="BJ61" s="30" cm="1">
        <f t="array" ref="BJ61">IF(VLOOKUP($Q61,武学奇术!$A:$ZZ,23,FALSE)=1,100%,MIN(80%,$B$9+VLOOKUP($Q61,武学奇术!$A:$ZZ,17,FALSE)+SUM(_xlfn.XLOOKUP(R61:AF61,增益!$A:$A,增益!$Q:$Q,0)))+$B$11+SUM(_xlfn.XLOOKUP(R61:AF61,增益!$A:$A,增益!$U:$U,0)))*IF(VLOOKUP($Q61,武学奇术!$A:$ZZ,24,FALSE)=1,0,1)</f>
        <v>0.8773</v>
      </c>
      <c r="BK61" s="30" cm="1">
        <f t="array" ref="BK61">1+$B$13+VLOOKUP($Q61,武学奇术!$A:$ZZ,18,FALSE)+SUM(_xlfn.XLOOKUP(R61:AF61,增益!$A:$A,增益!$R:$R,0))</f>
        <v>2.12</v>
      </c>
      <c r="BL61" s="30" cm="1">
        <f t="array" ref="BL61">IF(VLOOKUP($Q61,武学奇术!$A:$ZZ,24,FALSE)=1,100%,MIN(40%,$B$10+VLOOKUP($Q61,武学奇术!$A:$ZZ,19,FALSE)+SUM(_xlfn.XLOOKUP(R61:AF61,增益!$A:$A,增益!$S:$S,0)))+$B$12+SUM(_xlfn.XLOOKUP(R61:AF61,增益!$A:$A,增益!$V:$V,0)))*IF(VLOOKUP($Q61,武学奇术!$A:$ZZ,23,FALSE)=1,0,1)</f>
        <v>0.0895</v>
      </c>
      <c r="BM61" s="30" cm="1">
        <f t="array" ref="BM61">1+$B$14+VLOOKUP($Q61,武学奇术!$A:$ZZ,20,FALSE)+SUM(_xlfn.XLOOKUP(R61:AF61,增益!$A:$A,增益!$T:$T,0))</f>
        <v>1.35</v>
      </c>
      <c r="BN61" s="30">
        <f t="shared" si="9"/>
        <v>0.85203376</v>
      </c>
      <c r="BO61" s="30">
        <f t="shared" si="10"/>
        <v>0.03224384</v>
      </c>
      <c r="BP61" s="30">
        <f>IF(VLOOKUP($Q61,武学奇术!$A:$ZZ,22,FALSE)=1,0,(1-$BI61))*(1-$BL61)</f>
        <v>0.0262224</v>
      </c>
      <c r="BQ61" s="30" cm="1">
        <f t="array" ref="BQ61">SUM(_xlfn.XLOOKUP(R61:AF61,增益!$A:$A,增益!$W:$W,0))+$I$5</f>
        <v>0.21</v>
      </c>
    </row>
    <row r="62" spans="1:69">
      <c r="K62" s="41">
        <f t="shared" si="12"/>
        <v>210330.124909975</v>
      </c>
      <c r="L62" s="41">
        <f>((($AN62+$AO62)/2*$AH62+$AI62)*(1+$AP62)*(1+$AQ62)+(($AS62+$AT62)/2*IF($G$1="鸣金",$AJ62,$AH62)+IF($G$1="鸣金",$AK62*1.5,0))*(1+$AU62)*(1+$AV62)+(($AW62+$AX62)/2*IF($G$1="裂石",$AJ62,$AH62)+IF($G$1="裂石",$AK62*1.5,0))*(1+$AY62)*(1+$AZ62)+(($BA62+$BB62)/2*IF($G$1="牵丝",$AJ62,$AH62)+IF($G$1="牵丝",$AK62*1.5,0))*(1+$BC62)*(1+$BD62)+(($BE62+$BF62)/2*IF($G$1="破竹",$AJ62,$AH62)+IF($G$1="破竹",$AK62*1.5,0))*(1+$BG62)*(1+$BH62))*(1+$AL62)*$BK62*$P62*(1+IF(VLOOKUP($Q62,武学奇术!$A:$ZZ,30,FALSE)="回旋伞",$B$21,0))*(1+$BQ62)</f>
        <v>210330.124909975</v>
      </c>
      <c r="M62" s="41">
        <f>(($AO62*$AH62+$AI62)*(1+$AP62)*(1+$AQ62)+($AT62*IF($G$1="鸣金",$AJ62,$AH62)+IF($G$1="鸣金",$AK62*1.5,0))*(1+$AU62)*(1+$AV62)+($AX62*IF($G$1="裂石",$AJ62,$AH62)+IF($G$1="裂石",$AK62*1.5,0))*(1+$AY62)*(1+$AZ62)+($BB62*IF($G$1="牵丝",$AJ62,$AH62)+IF($G$1="牵丝",$AK62*1.5,0))*(1+$BC62)*(1+$BD62)+($BF62*IF($G$1="破竹",$AJ62,$AH62)+IF($G$1="破竹",$AK62*1.5,0))*(1+$BG62)*(1+$BH62))*(1+$AL62)*$BM62*$P62*(1+IF(VLOOKUP($Q62,武学奇术!$A:$ZZ,30,FALSE)="回旋伞",$B$21,0))*(1+$BQ62)</f>
        <v>148943.747654511</v>
      </c>
      <c r="N62" s="41">
        <f>((($AN62+$AO62)/2*$AH62+$AI62)*(1+$AP62)*(1+$AQ62)+(($AS62+$AT62)/2*IF($G$1="鸣金",$AJ62,$AH62)+IF($G$1="鸣金",$AK62*1.5,0))*(1+$AU62)*(1+$AV62)+(($AW62+$AX62)/2*IF($G$1="裂石",$AJ62,$AH62)+IF($G$1="裂石",$AK62*1.5,0))*(1+$AY62)*(1+$AZ62)+(($BA62+$BB62)/2*IF($G$1="牵丝",$AJ62,$AH62)+IF($G$1="牵丝",$AK62*1.5,0))*(1+$BC62)*(1+$BD62)+(($BE62+$BF62)/2*IF($G$1="破竹",$AJ62,$AH62)+IF($G$1="破竹",$AK62*1.5,0))*(1+$BG62)*(1+$BH62))*(1+$AL62)*$P62*(1+IF(VLOOKUP($Q62,武学奇术!$A:$ZZ,30,FALSE)="回旋伞",$B$21,0))*(1+$BQ62)</f>
        <v>99212.3230707427</v>
      </c>
      <c r="O62" s="41">
        <f>((($AN62*$AH62+$AI62)*(1+$AP62)*(1+$AQ62)+($AS62*IF($G$1="鸣金",$AJ62,$AH62)+IF($G$1="鸣金",$AK62*1.5,0))*(1+$AU62)*(1+$AV62)+($AW62*IF($G$1="裂石",$AJ62,$AH62)+IF($G$1="裂石",$AK62*1.5,0))*(1+$AY62)*(1+$AZ62)+($BA62*IF($G$1="牵丝",$AJ62,$AH62)+IF($G$1="牵丝",$AK62*1.5,0))*(1+$BC62)*(1+$BD62)+($BE62*IF($G$1="破竹",$AJ62,$AH62)+IF($G$1="破竹",$AK62*1.5,0))*(1+$BG62)*(1+$BH62))*(1+$AL62))*$P62*(1+IF(VLOOKUP($Q62,武学奇术!$A:$ZZ,30,FALSE)="回旋伞",$B$21,0))*(1+$BQ62)</f>
        <v>88095.944175181</v>
      </c>
      <c r="P62" s="42">
        <v>2</v>
      </c>
      <c r="Q62" s="43" t="s">
        <v>115</v>
      </c>
      <c r="R62" s="43" t="s">
        <v>105</v>
      </c>
      <c r="S62" s="43" t="s">
        <v>91</v>
      </c>
      <c r="T62" s="43" t="s">
        <v>72</v>
      </c>
      <c r="U62" s="43" t="s">
        <v>79</v>
      </c>
      <c r="V62" s="43" t="s">
        <v>167</v>
      </c>
      <c r="W62" s="43" t="s">
        <v>95</v>
      </c>
      <c r="X62" s="43" t="s">
        <v>71</v>
      </c>
      <c r="Y62" s="43" t="s">
        <v>177</v>
      </c>
      <c r="Z62" s="43" t="s">
        <v>71</v>
      </c>
      <c r="AA62" s="43" t="s">
        <v>116</v>
      </c>
      <c r="AB62" s="43" t="s">
        <v>179</v>
      </c>
      <c r="AC62" s="43" t="s">
        <v>71</v>
      </c>
      <c r="AD62" s="43" t="s">
        <v>71</v>
      </c>
      <c r="AE62" s="43" t="s">
        <v>71</v>
      </c>
      <c r="AF62" s="43" t="s">
        <v>76</v>
      </c>
      <c r="AG62" t="str">
        <f>VLOOKUP($Q62,武学奇术!$A:$ZZ,25,FALSE)</f>
        <v>伞</v>
      </c>
      <c r="AH62" s="30">
        <f>VLOOKUP($Q62,武学奇术!$A:$ZZ,26,FALSE)</f>
        <v>1.8084</v>
      </c>
      <c r="AI62" s="31">
        <f>VLOOKUP($Q62,武学奇术!$A:$ZZ,27,FALSE)*(1+IF(OR($AG62=$F$4,$AG62=$F$5),$B$22,0))</f>
        <v>700</v>
      </c>
      <c r="AJ62" s="30">
        <f>VLOOKUP($Q62,武学奇术!$A:$ZZ,28,FALSE)</f>
        <v>2.7126</v>
      </c>
      <c r="AK62" s="31">
        <f>VLOOKUP($Q62,武学奇术!$A:$ZZ,29,FALSE)*(1+IF(OR($AG62=$F$4,$AG62=$F$5),$B$22,0))</f>
        <v>380.8</v>
      </c>
      <c r="AL62" s="30" cm="1">
        <f t="array" ref="AL62">$G$3+IFERROR(VLOOKUP($AG62,$F$4:$G$7,2,FALSE),0)+VLOOKUP($Q62,武学奇术!$A:$ZZ,2,FALSE)+SUM(_xlfn.XLOOKUP($R62:$AF62,增益!$A:$A,增益!$B:$B,0))</f>
        <v>0.9741</v>
      </c>
      <c r="AM62" s="30" cm="1">
        <f t="array" ref="AM62">VLOOKUP($Q62,武学奇术!$A:$ZZ,5,FALSE)+SUM(_xlfn.XLOOKUP($R62:$AF62,增益!$A:$A,增益!$E:$E,0))</f>
        <v>0</v>
      </c>
      <c r="AN62" cm="1">
        <f t="array" ref="AN62">$D$10*(1+$AM62)+VLOOKUP($Q62,武学奇术!$A:$ZZ,3,FALSE)+SUM(_xlfn.XLOOKUP($R62:$AF62,增益!$A:$A,增益!$C:$C,0))-$I$2</f>
        <v>3483.8</v>
      </c>
      <c r="AO62" cm="1">
        <f t="array" ref="AO62">$E$10*(1+$AM62)+VLOOKUP($Q62,武学奇术!$A:$ZZ,4,FALSE)+SUM(_xlfn.XLOOKUP($R62:$AF62,增益!$A:$A,增益!$D:$D,0))-$I$2</f>
        <v>3483.8</v>
      </c>
      <c r="AP62" s="35" cm="1">
        <f t="array" ref="AP62">IF($F$10-$I$3+VLOOKUP($Q62,武学奇术!$A:$ZZ,6,FALSE)+SUM(_xlfn.XLOOKUP(R62:AF62,增益!$A:$A,增益!$F:$F,0))&gt;0,($F$10-$I$3+VLOOKUP($Q62,武学奇术!$A:$ZZ,6,FALSE)+SUM(_xlfn.XLOOKUP(R62:AF62,增益!$A:$A,增益!$F:$F,0)))/200,($F$10-$I$3+VLOOKUP($Q62,武学奇术!$A:$ZZ,6,FALSE)+SUM(_xlfn.XLOOKUP(R62:AF62,增益!$A:$A,增益!$F:$F,0)))/100)</f>
        <v>0.4175</v>
      </c>
      <c r="AQ62" s="35" cm="1">
        <f t="array" ref="AQ62">$G$10+VLOOKUP($Q62,武学奇术!$A:$ZZ,7,FALSE)+SUM(_xlfn.XLOOKUP(R62:AF62,增益!$A:$A,增益!$G:$G,0))</f>
        <v>0.148</v>
      </c>
      <c r="AR62" s="30" cm="1">
        <f t="array" ref="AR62">VLOOKUP($Q62,武学奇术!$A:$ZZ,8,FALSE)+SUM(_xlfn.XLOOKUP(R62:AF62,增益!$A:$A,增益!$H:$H,0))</f>
        <v>0</v>
      </c>
      <c r="AS62">
        <f t="shared" si="1"/>
        <v>0</v>
      </c>
      <c r="AT62">
        <f t="shared" si="2"/>
        <v>0</v>
      </c>
      <c r="AU62" s="35" cm="1">
        <f t="array" ref="AU62">IF($F$11-$I$4+VLOOKUP($Q62,武学奇术!$A:$ZZ,9,FALSE)+SUM(_xlfn.XLOOKUP(R62:AF62,增益!$A:$A,增益!$I:$I,0))&gt;0,($F$11-$I$4+VLOOKUP($Q62,武学奇术!$A:$ZZ,9,FALSE)+SUM(_xlfn.XLOOKUP(R62:AF62,增益!$A:$A,增益!$I:$I,0)))/200,($F$11-$I$4+VLOOKUP($Q62,武学奇术!$A:$ZZ,9,FALSE)+SUM(_xlfn.XLOOKUP(R62:AF62,增益!$A:$A,增益!$I:$I,0)))/100)</f>
        <v>-0.3</v>
      </c>
      <c r="AV62" s="35" cm="1">
        <f t="array" ref="AV62">$G$11+VLOOKUP($Q62,武学奇术!$A:$ZZ,10,FALSE)+SUM(_xlfn.XLOOKUP(R62:AF62,增益!$A:$A,增益!$J:$J,0))</f>
        <v>0</v>
      </c>
      <c r="AW62">
        <f t="shared" si="3"/>
        <v>0</v>
      </c>
      <c r="AX62">
        <f t="shared" si="4"/>
        <v>0</v>
      </c>
      <c r="AY62" s="35" cm="1">
        <f t="array" ref="AY62">IF($F$12-$I$4+VLOOKUP($Q62,武学奇术!$A:$ZZ,11,FALSE)+SUM(_xlfn.XLOOKUP(R62:AF62,增益!$A:$A,增益!$K:$K,0))&gt;0,($F$12-$I$4+VLOOKUP($Q62,武学奇术!$A:$ZZ,11,FALSE)+SUM(_xlfn.XLOOKUP(R62:AF62,增益!$A:$A,增益!$K:$K,0)))/200,($F$12-$I$4+VLOOKUP($Q62,武学奇术!$A:$ZZ,11,FALSE)+SUM(_xlfn.XLOOKUP(R62:AF62,增益!$A:$A,增益!$K:$K,0)))/100)</f>
        <v>-0.3</v>
      </c>
      <c r="AZ62" s="35" cm="1">
        <f t="array" ref="AZ62">$G$12+VLOOKUP($Q62,武学奇术!$A:$ZZ,12,FALSE)+SUM(_xlfn.XLOOKUP(R62:AF62,增益!$A:$A,增益!$L:$L,0))</f>
        <v>0</v>
      </c>
      <c r="BA62">
        <f t="shared" si="5"/>
        <v>0</v>
      </c>
      <c r="BB62">
        <f t="shared" si="6"/>
        <v>0</v>
      </c>
      <c r="BC62" s="35" cm="1">
        <f t="array" ref="BC62">IF($F$13-$I$4+VLOOKUP($Q62,武学奇术!$A:$ZZ,13,FALSE)+SUM(_xlfn.XLOOKUP(R62:AF62,增益!$A:$A,增益!$M:$M,0))&gt;0,($F$13-$I$4+VLOOKUP($Q62,武学奇术!$A:$ZZ,13,FALSE)+SUM(_xlfn.XLOOKUP(R62:AF62,增益!$A:$A,增益!$K:$K,0)))/200,($F$13-$I$4+VLOOKUP($Q62,武学奇术!$A:$ZZ,13,FALSE)+SUM(_xlfn.XLOOKUP(R62:AF62,增益!$A:$A,增益!$M:$M,0)))/100)</f>
        <v>-0.3</v>
      </c>
      <c r="BD62" s="35" cm="1">
        <f t="array" ref="BD62">$G$13+VLOOKUP($Q62,武学奇术!$A:$ZZ,14,FALSE)+SUM(_xlfn.XLOOKUP(R62:AF62,增益!$A:$A,增益!$N:$N,0))</f>
        <v>0</v>
      </c>
      <c r="BE62">
        <f t="shared" si="7"/>
        <v>538</v>
      </c>
      <c r="BF62">
        <f t="shared" si="8"/>
        <v>1561.4</v>
      </c>
      <c r="BG62" s="35" cm="1">
        <f t="array" ref="BG62">IF($F$14-$I$4+VLOOKUP($Q62,武学奇术!$A:$ZZ,15,FALSE)+SUM(_xlfn.XLOOKUP(R62:AF62,增益!$A:$A,增益!$O:$O,0))&gt;0,($F$14-$I$4+VLOOKUP($Q62,武学奇术!$A:$ZZ,15,FALSE)+SUM(_xlfn.XLOOKUP(R62:AF62,增益!$A:$A,增益!$O:$O,0)))/200,($F$14-$I$4+VLOOKUP($Q62,武学奇术!$A:$ZZ,15,FALSE)+SUM(_xlfn.XLOOKUP(R62:AF62,增益!$A:$A,增益!$O:$O,0)))/100)</f>
        <v>0</v>
      </c>
      <c r="BH62" s="35" cm="1">
        <f t="array" ref="BH62">$G$14+VLOOKUP($Q62,武学奇术!$A:$ZZ,16,FALSE)+SUM(_xlfn.XLOOKUP(R62:AF62,增益!$A:$A,增益!$P:$P,0))</f>
        <v>0.27</v>
      </c>
      <c r="BI62" s="30">
        <f>MIN(IF(VLOOKUP($Q62,武学奇术!$A:$ZZ,23,FALSE)=1,100%,$B$8),100%)</f>
        <v>1</v>
      </c>
      <c r="BJ62" s="30" cm="1">
        <f t="array" ref="BJ62">IF(VLOOKUP($Q62,武学奇术!$A:$ZZ,23,FALSE)=1,100%,MIN(80%,$B$9+VLOOKUP($Q62,武学奇术!$A:$ZZ,17,FALSE)+SUM(_xlfn.XLOOKUP(R62:AF62,增益!$A:$A,增益!$Q:$Q,0)))+$B$11+SUM(_xlfn.XLOOKUP(R62:AF62,增益!$A:$A,增益!$U:$U,0)))*IF(VLOOKUP($Q62,武学奇术!$A:$ZZ,24,FALSE)=1,0,1)</f>
        <v>1</v>
      </c>
      <c r="BK62" s="30" cm="1">
        <f t="array" ref="BK62">1+$B$13+VLOOKUP($Q62,武学奇术!$A:$ZZ,18,FALSE)+SUM(_xlfn.XLOOKUP(R62:AF62,增益!$A:$A,增益!$R:$R,0))</f>
        <v>2.12</v>
      </c>
      <c r="BL62" s="30" cm="1">
        <f t="array" ref="BL62">IF(VLOOKUP($Q62,武学奇术!$A:$ZZ,24,FALSE)=1,100%,MIN(40%,$B$10+VLOOKUP($Q62,武学奇术!$A:$ZZ,19,FALSE)+SUM(_xlfn.XLOOKUP(R62:AF62,增益!$A:$A,增益!$S:$S,0)))+$B$12+SUM(_xlfn.XLOOKUP(R62:AF62,增益!$A:$A,增益!$V:$V,0)))*IF(VLOOKUP($Q62,武学奇术!$A:$ZZ,23,FALSE)=1,0,1)</f>
        <v>0</v>
      </c>
      <c r="BM62" s="30" cm="1">
        <f t="array" ref="BM62">1+$B$14+VLOOKUP($Q62,武学奇术!$A:$ZZ,20,FALSE)+SUM(_xlfn.XLOOKUP(R62:AF62,增益!$A:$A,增益!$T:$T,0))</f>
        <v>1.35</v>
      </c>
      <c r="BN62" s="30">
        <f t="shared" si="9"/>
        <v>1</v>
      </c>
      <c r="BO62" s="30">
        <f t="shared" si="10"/>
        <v>0</v>
      </c>
      <c r="BP62" s="30">
        <f>IF(VLOOKUP($Q62,武学奇术!$A:$ZZ,22,FALSE)=1,0,(1-$BI62))*(1-$BL62)</f>
        <v>0</v>
      </c>
      <c r="BQ62" s="30" cm="1">
        <f t="array" ref="BQ62">SUM(_xlfn.XLOOKUP(R62:AF62,增益!$A:$A,增益!$W:$W,0))+$I$5</f>
        <v>0.21</v>
      </c>
    </row>
    <row r="63" spans="1:69">
      <c r="K63" s="41">
        <f t="shared" si="12"/>
        <v>177983.278420559</v>
      </c>
      <c r="L63" s="41">
        <f>((($AN63+$AO63)/2*$AH63+$AI63)*(1+$AP63)*(1+$AQ63)+(($AS63+$AT63)/2*IF($G$1="鸣金",$AJ63,$AH63)+IF($G$1="鸣金",$AK63*1.5,0))*(1+$AU63)*(1+$AV63)+(($AW63+$AX63)/2*IF($G$1="裂石",$AJ63,$AH63)+IF($G$1="裂石",$AK63*1.5,0))*(1+$AY63)*(1+$AZ63)+(($BA63+$BB63)/2*IF($G$1="牵丝",$AJ63,$AH63)+IF($G$1="牵丝",$AK63*1.5,0))*(1+$BC63)*(1+$BD63)+(($BE63+$BF63)/2*IF($G$1="破竹",$AJ63,$AH63)+IF($G$1="破竹",$AK63*1.5,0))*(1+$BG63)*(1+$BH63))*(1+$AL63)*$BK63*$P63*(1+IF(VLOOKUP($Q63,武学奇术!$A:$ZZ,30,FALSE)="回旋伞",$B$21,0))*(1+$BQ63)</f>
        <v>189021.161340756</v>
      </c>
      <c r="M63" s="41">
        <f>(($AO63*$AH63+$AI63)*(1+$AP63)*(1+$AQ63)+($AT63*IF($G$1="鸣金",$AJ63,$AH63)+IF($G$1="鸣金",$AK63*1.5,0))*(1+$AU63)*(1+$AV63)+($AX63*IF($G$1="裂石",$AJ63,$AH63)+IF($G$1="裂石",$AK63*1.5,0))*(1+$AY63)*(1+$AZ63)+($BB63*IF($G$1="牵丝",$AJ63,$AH63)+IF($G$1="牵丝",$AK63*1.5,0))*(1+$BC63)*(1+$BD63)+($BF63*IF($G$1="破竹",$AJ63,$AH63)+IF($G$1="破竹",$AK63*1.5,0))*(1+$BG63)*(1+$BH63))*(1+$AL63)*$BM63*$P63*(1+IF(VLOOKUP($Q63,武学奇术!$A:$ZZ,30,FALSE)="回旋伞",$B$21,0))*(1+$BQ63)</f>
        <v>133853.960140757</v>
      </c>
      <c r="N63" s="41">
        <f>((($AN63+$AO63)/2*$AH63+$AI63)*(1+$AP63)*(1+$AQ63)+(($AS63+$AT63)/2*IF($G$1="鸣金",$AJ63,$AH63)+IF($G$1="鸣金",$AK63*1.5,0))*(1+$AU63)*(1+$AV63)+(($AW63+$AX63)/2*IF($G$1="裂石",$AJ63,$AH63)+IF($G$1="裂石",$AK63*1.5,0))*(1+$AY63)*(1+$AZ63)+(($BA63+$BB63)/2*IF($G$1="牵丝",$AJ63,$AH63)+IF($G$1="牵丝",$AK63*1.5,0))*(1+$BC63)*(1+$BD63)+(($BE63+$BF63)/2*IF($G$1="破竹",$AJ63,$AH63)+IF($G$1="破竹",$AK63*1.5,0))*(1+$BG63)*(1+$BH63))*(1+$AL63)*$P63*(1+IF(VLOOKUP($Q63,武学奇术!$A:$ZZ,30,FALSE)="回旋伞",$B$21,0))*(1+$BQ63)</f>
        <v>89160.9251607339</v>
      </c>
      <c r="O63" s="41">
        <f>((($AN63*$AH63+$AI63)*(1+$AP63)*(1+$AQ63)+($AS63*IF($G$1="鸣金",$AJ63,$AH63)+IF($G$1="鸣金",$AK63*1.5,0))*(1+$AU63)*(1+$AV63)+($AW63*IF($G$1="裂石",$AJ63,$AH63)+IF($G$1="裂石",$AK63*1.5,0))*(1+$AY63)*(1+$AZ63)+($BA63*IF($G$1="牵丝",$AJ63,$AH63)+IF($G$1="牵丝",$AK63*1.5,0))*(1+$BC63)*(1+$BD63)+($BE63*IF($G$1="破竹",$AJ63,$AH63)+IF($G$1="破竹",$AK63*1.5,0))*(1+$BG63)*(1+$BH63))*(1+$AL63))*$P63*(1+IF(VLOOKUP($Q63,武学奇术!$A:$ZZ,30,FALSE)="回旋伞",$B$21,0))*(1+$BQ63)</f>
        <v>79170.7687357219</v>
      </c>
      <c r="P63" s="42">
        <v>2</v>
      </c>
      <c r="Q63" s="43" t="s">
        <v>104</v>
      </c>
      <c r="R63" s="43" t="s">
        <v>105</v>
      </c>
      <c r="S63" s="43" t="s">
        <v>91</v>
      </c>
      <c r="T63" s="43" t="s">
        <v>72</v>
      </c>
      <c r="U63" s="43" t="s">
        <v>79</v>
      </c>
      <c r="V63" s="43" t="s">
        <v>167</v>
      </c>
      <c r="W63" s="43" t="s">
        <v>95</v>
      </c>
      <c r="X63" s="43" t="s">
        <v>71</v>
      </c>
      <c r="Y63" s="43" t="s">
        <v>177</v>
      </c>
      <c r="Z63" s="43" t="s">
        <v>71</v>
      </c>
      <c r="AA63" s="43" t="s">
        <v>116</v>
      </c>
      <c r="AB63" s="43" t="s">
        <v>179</v>
      </c>
      <c r="AC63" s="43" t="s">
        <v>71</v>
      </c>
      <c r="AD63" s="43" t="s">
        <v>71</v>
      </c>
      <c r="AE63" s="43" t="s">
        <v>71</v>
      </c>
      <c r="AF63" s="43" t="s">
        <v>76</v>
      </c>
      <c r="AG63" t="str">
        <f>VLOOKUP($Q63,武学奇术!$A:$ZZ,25,FALSE)</f>
        <v>伞</v>
      </c>
      <c r="AH63" s="30">
        <f>VLOOKUP($Q63,武学奇术!$A:$ZZ,26,FALSE)</f>
        <v>1.8084</v>
      </c>
      <c r="AI63" s="31">
        <f>VLOOKUP($Q63,武学奇术!$A:$ZZ,27,FALSE)*(1+IF(OR($AG63=$F$4,$AG63=$F$5),$B$22,0))</f>
        <v>700</v>
      </c>
      <c r="AJ63" s="30">
        <f>VLOOKUP($Q63,武学奇术!$A:$ZZ,28,FALSE)</f>
        <v>2.7126</v>
      </c>
      <c r="AK63" s="31">
        <f>VLOOKUP($Q63,武学奇术!$A:$ZZ,29,FALSE)*(1+IF(OR($AG63=$F$4,$AG63=$F$5),$B$22,0))</f>
        <v>380.8</v>
      </c>
      <c r="AL63" s="30" cm="1">
        <f t="array" ref="AL63">$G$3+IFERROR(VLOOKUP($AG63,$F$4:$G$7,2,FALSE),0)+VLOOKUP($Q63,武学奇术!$A:$ZZ,2,FALSE)+SUM(_xlfn.XLOOKUP($R63:$AF63,增益!$A:$A,增益!$B:$B,0))</f>
        <v>0.7741</v>
      </c>
      <c r="AM63" s="30" cm="1">
        <f t="array" ref="AM63">VLOOKUP($Q63,武学奇术!$A:$ZZ,5,FALSE)+SUM(_xlfn.XLOOKUP($R63:$AF63,增益!$A:$A,增益!$E:$E,0))</f>
        <v>0</v>
      </c>
      <c r="AN63" cm="1">
        <f t="array" ref="AN63">$D$10*(1+$AM63)+VLOOKUP($Q63,武学奇术!$A:$ZZ,3,FALSE)+SUM(_xlfn.XLOOKUP($R63:$AF63,增益!$A:$A,增益!$C:$C,0))-$I$2</f>
        <v>3483.8</v>
      </c>
      <c r="AO63" cm="1">
        <f t="array" ref="AO63">$E$10*(1+$AM63)+VLOOKUP($Q63,武学奇术!$A:$ZZ,4,FALSE)+SUM(_xlfn.XLOOKUP($R63:$AF63,增益!$A:$A,增益!$D:$D,0))-$I$2</f>
        <v>3483.8</v>
      </c>
      <c r="AP63" s="35" cm="1">
        <f t="array" ref="AP63">IF($F$10-$I$3+VLOOKUP($Q63,武学奇术!$A:$ZZ,6,FALSE)+SUM(_xlfn.XLOOKUP(R63:AF63,增益!$A:$A,增益!$F:$F,0))&gt;0,($F$10-$I$3+VLOOKUP($Q63,武学奇术!$A:$ZZ,6,FALSE)+SUM(_xlfn.XLOOKUP(R63:AF63,增益!$A:$A,增益!$F:$F,0)))/200,($F$10-$I$3+VLOOKUP($Q63,武学奇术!$A:$ZZ,6,FALSE)+SUM(_xlfn.XLOOKUP(R63:AF63,增益!$A:$A,增益!$F:$F,0)))/100)</f>
        <v>0.4175</v>
      </c>
      <c r="AQ63" s="35" cm="1">
        <f t="array" ref="AQ63">$G$10+VLOOKUP($Q63,武学奇术!$A:$ZZ,7,FALSE)+SUM(_xlfn.XLOOKUP(R63:AF63,增益!$A:$A,增益!$G:$G,0))</f>
        <v>0.148</v>
      </c>
      <c r="AR63" s="30" cm="1">
        <f t="array" ref="AR63">VLOOKUP($Q63,武学奇术!$A:$ZZ,8,FALSE)+SUM(_xlfn.XLOOKUP(R63:AF63,增益!$A:$A,增益!$H:$H,0))</f>
        <v>0</v>
      </c>
      <c r="AS63">
        <f t="shared" si="1"/>
        <v>0</v>
      </c>
      <c r="AT63">
        <f t="shared" si="2"/>
        <v>0</v>
      </c>
      <c r="AU63" s="35" cm="1">
        <f t="array" ref="AU63">IF($F$11-$I$4+VLOOKUP($Q63,武学奇术!$A:$ZZ,9,FALSE)+SUM(_xlfn.XLOOKUP(R63:AF63,增益!$A:$A,增益!$I:$I,0))&gt;0,($F$11-$I$4+VLOOKUP($Q63,武学奇术!$A:$ZZ,9,FALSE)+SUM(_xlfn.XLOOKUP(R63:AF63,增益!$A:$A,增益!$I:$I,0)))/200,($F$11-$I$4+VLOOKUP($Q63,武学奇术!$A:$ZZ,9,FALSE)+SUM(_xlfn.XLOOKUP(R63:AF63,增益!$A:$A,增益!$I:$I,0)))/100)</f>
        <v>-0.3</v>
      </c>
      <c r="AV63" s="35" cm="1">
        <f t="array" ref="AV63">$G$11+VLOOKUP($Q63,武学奇术!$A:$ZZ,10,FALSE)+SUM(_xlfn.XLOOKUP(R63:AF63,增益!$A:$A,增益!$J:$J,0))</f>
        <v>0</v>
      </c>
      <c r="AW63">
        <f t="shared" si="3"/>
        <v>0</v>
      </c>
      <c r="AX63">
        <f t="shared" si="4"/>
        <v>0</v>
      </c>
      <c r="AY63" s="35" cm="1">
        <f t="array" ref="AY63">IF($F$12-$I$4+VLOOKUP($Q63,武学奇术!$A:$ZZ,11,FALSE)+SUM(_xlfn.XLOOKUP(R63:AF63,增益!$A:$A,增益!$K:$K,0))&gt;0,($F$12-$I$4+VLOOKUP($Q63,武学奇术!$A:$ZZ,11,FALSE)+SUM(_xlfn.XLOOKUP(R63:AF63,增益!$A:$A,增益!$K:$K,0)))/200,($F$12-$I$4+VLOOKUP($Q63,武学奇术!$A:$ZZ,11,FALSE)+SUM(_xlfn.XLOOKUP(R63:AF63,增益!$A:$A,增益!$K:$K,0)))/100)</f>
        <v>-0.3</v>
      </c>
      <c r="AZ63" s="35" cm="1">
        <f t="array" ref="AZ63">$G$12+VLOOKUP($Q63,武学奇术!$A:$ZZ,12,FALSE)+SUM(_xlfn.XLOOKUP(R63:AF63,增益!$A:$A,增益!$L:$L,0))</f>
        <v>0</v>
      </c>
      <c r="BA63">
        <f t="shared" si="5"/>
        <v>0</v>
      </c>
      <c r="BB63">
        <f t="shared" si="6"/>
        <v>0</v>
      </c>
      <c r="BC63" s="35" cm="1">
        <f t="array" ref="BC63">IF($F$13-$I$4+VLOOKUP($Q63,武学奇术!$A:$ZZ,13,FALSE)+SUM(_xlfn.XLOOKUP(R63:AF63,增益!$A:$A,增益!$M:$M,0))&gt;0,($F$13-$I$4+VLOOKUP($Q63,武学奇术!$A:$ZZ,13,FALSE)+SUM(_xlfn.XLOOKUP(R63:AF63,增益!$A:$A,增益!$K:$K,0)))/200,($F$13-$I$4+VLOOKUP($Q63,武学奇术!$A:$ZZ,13,FALSE)+SUM(_xlfn.XLOOKUP(R63:AF63,增益!$A:$A,增益!$M:$M,0)))/100)</f>
        <v>-0.3</v>
      </c>
      <c r="BD63" s="35" cm="1">
        <f t="array" ref="BD63">$G$13+VLOOKUP($Q63,武学奇术!$A:$ZZ,14,FALSE)+SUM(_xlfn.XLOOKUP(R63:AF63,增益!$A:$A,增益!$N:$N,0))</f>
        <v>0</v>
      </c>
      <c r="BE63">
        <f t="shared" si="7"/>
        <v>538</v>
      </c>
      <c r="BF63">
        <f t="shared" si="8"/>
        <v>1561.4</v>
      </c>
      <c r="BG63" s="35" cm="1">
        <f t="array" ref="BG63">IF($F$14-$I$4+VLOOKUP($Q63,武学奇术!$A:$ZZ,15,FALSE)+SUM(_xlfn.XLOOKUP(R63:AF63,增益!$A:$A,增益!$O:$O,0))&gt;0,($F$14-$I$4+VLOOKUP($Q63,武学奇术!$A:$ZZ,15,FALSE)+SUM(_xlfn.XLOOKUP(R63:AF63,增益!$A:$A,增益!$O:$O,0)))/200,($F$14-$I$4+VLOOKUP($Q63,武学奇术!$A:$ZZ,15,FALSE)+SUM(_xlfn.XLOOKUP(R63:AF63,增益!$A:$A,增益!$O:$O,0)))/100)</f>
        <v>0</v>
      </c>
      <c r="BH63" s="35" cm="1">
        <f t="array" ref="BH63">$G$14+VLOOKUP($Q63,武学奇术!$A:$ZZ,16,FALSE)+SUM(_xlfn.XLOOKUP(R63:AF63,增益!$A:$A,增益!$P:$P,0))</f>
        <v>0.27</v>
      </c>
      <c r="BI63" s="30">
        <f>MIN(IF(VLOOKUP($Q63,武学奇术!$A:$ZZ,23,FALSE)=1,100%,$B$8),100%)</f>
        <v>0.9712</v>
      </c>
      <c r="BJ63" s="30" cm="1">
        <f t="array" ref="BJ63">IF(VLOOKUP($Q63,武学奇术!$A:$ZZ,23,FALSE)=1,100%,MIN(80%,$B$9+VLOOKUP($Q63,武学奇术!$A:$ZZ,17,FALSE)+SUM(_xlfn.XLOOKUP(R63:AF63,增益!$A:$A,增益!$Q:$Q,0)))+$B$11+SUM(_xlfn.XLOOKUP(R63:AF63,增益!$A:$A,增益!$U:$U,0)))*IF(VLOOKUP($Q63,武学奇术!$A:$ZZ,24,FALSE)=1,0,1)</f>
        <v>0.8773</v>
      </c>
      <c r="BK63" s="30" cm="1">
        <f t="array" ref="BK63">1+$B$13+VLOOKUP($Q63,武学奇术!$A:$ZZ,18,FALSE)+SUM(_xlfn.XLOOKUP(R63:AF63,增益!$A:$A,增益!$R:$R,0))</f>
        <v>2.12</v>
      </c>
      <c r="BL63" s="30" cm="1">
        <f t="array" ref="BL63">IF(VLOOKUP($Q63,武学奇术!$A:$ZZ,24,FALSE)=1,100%,MIN(40%,$B$10+VLOOKUP($Q63,武学奇术!$A:$ZZ,19,FALSE)+SUM(_xlfn.XLOOKUP(R63:AF63,增益!$A:$A,增益!$S:$S,0)))+$B$12+SUM(_xlfn.XLOOKUP(R63:AF63,增益!$A:$A,增益!$V:$V,0)))*IF(VLOOKUP($Q63,武学奇术!$A:$ZZ,23,FALSE)=1,0,1)</f>
        <v>0.0895</v>
      </c>
      <c r="BM63" s="30" cm="1">
        <f t="array" ref="BM63">1+$B$14+VLOOKUP($Q63,武学奇术!$A:$ZZ,20,FALSE)+SUM(_xlfn.XLOOKUP(R63:AF63,增益!$A:$A,增益!$T:$T,0))</f>
        <v>1.35</v>
      </c>
      <c r="BN63" s="30">
        <f t="shared" si="9"/>
        <v>0.85203376</v>
      </c>
      <c r="BO63" s="30">
        <f t="shared" si="10"/>
        <v>0.03224384</v>
      </c>
      <c r="BP63" s="30">
        <f>IF(VLOOKUP($Q63,武学奇术!$A:$ZZ,22,FALSE)=1,0,(1-$BI63))*(1-$BL63)</f>
        <v>0.0262224</v>
      </c>
      <c r="BQ63" s="30" cm="1">
        <f t="array" ref="BQ63">SUM(_xlfn.XLOOKUP(R63:AF63,增益!$A:$A,增益!$W:$W,0))+$I$5</f>
        <v>0.21</v>
      </c>
    </row>
    <row r="64" spans="1:69">
      <c r="K64" s="41">
        <f t="shared" si="12"/>
        <v>39984.5602092728</v>
      </c>
      <c r="L64" s="41">
        <f>((($AN64+$AO64)/2*$AH64+$AI64)*(1+$AP64)*(1+$AQ64)+(($AS64+$AT64)/2*IF($G$1="鸣金",$AJ64,$AH64)+IF($G$1="鸣金",$AK64*1.5,0))*(1+$AU64)*(1+$AV64)+(($AW64+$AX64)/2*IF($G$1="裂石",$AJ64,$AH64)+IF($G$1="裂石",$AK64*1.5,0))*(1+$AY64)*(1+$AZ64)+(($BA64+$BB64)/2*IF($G$1="牵丝",$AJ64,$AH64)+IF($G$1="牵丝",$AK64*1.5,0))*(1+$BC64)*(1+$BD64)+(($BE64+$BF64)/2*IF($G$1="破竹",$AJ64,$AH64)+IF($G$1="破竹",$AK64*1.5,0))*(1+$BG64)*(1+$BH64))*(1+$AL64)*$BK64*$P64*(1+IF(VLOOKUP($Q64,武学奇术!$A:$ZZ,30,FALSE)="回旋伞",$B$21,0))*(1+$BQ64)</f>
        <v>41877.8437889586</v>
      </c>
      <c r="M64" s="41">
        <f>(($AO64*$AH64+$AI64)*(1+$AP64)*(1+$AQ64)+($AT64*IF($G$1="鸣金",$AJ64,$AH64)+IF($G$1="鸣金",$AK64*1.5,0))*(1+$AU64)*(1+$AV64)+($AX64*IF($G$1="裂石",$AJ64,$AH64)+IF($G$1="裂石",$AK64*1.5,0))*(1+$AY64)*(1+$AZ64)+($BB64*IF($G$1="牵丝",$AJ64,$AH64)+IF($G$1="牵丝",$AK64*1.5,0))*(1+$BC64)*(1+$BD64)+($BF64*IF($G$1="破竹",$AJ64,$AH64)+IF($G$1="破竹",$AK64*1.5,0))*(1+$BG64)*(1+$BH64))*(1+$AL64)*$BM64*$P64*(1+IF(VLOOKUP($Q64,武学奇术!$A:$ZZ,30,FALSE)="回旋伞",$B$21,0))*(1+$BQ64)</f>
        <v>34343.5402133959</v>
      </c>
      <c r="N64" s="41">
        <f>((($AN64+$AO64)/2*$AH64+$AI64)*(1+$AP64)*(1+$AQ64)+(($AS64+$AT64)/2*IF($G$1="鸣金",$AJ64,$AH64)+IF($G$1="鸣金",$AK64*1.5,0))*(1+$AU64)*(1+$AV64)+(($AW64+$AX64)/2*IF($G$1="裂石",$AJ64,$AH64)+IF($G$1="裂石",$AK64*1.5,0))*(1+$AY64)*(1+$AZ64)+(($BA64+$BB64)/2*IF($G$1="牵丝",$AJ64,$AH64)+IF($G$1="牵丝",$AK64*1.5,0))*(1+$BC64)*(1+$BD64)+(($BE64+$BF64)/2*IF($G$1="破竹",$AJ64,$AH64)+IF($G$1="破竹",$AK64*1.5,0))*(1+$BG64)*(1+$BH64))*(1+$AL64)*$P64*(1+IF(VLOOKUP($Q64,武学奇术!$A:$ZZ,30,FALSE)="回旋伞",$B$21,0))*(1+$BQ64)</f>
        <v>22394.5688711008</v>
      </c>
      <c r="O64" s="41">
        <f>((($AN64*$AH64+$AI64)*(1+$AP64)*(1+$AQ64)+($AS64*IF($G$1="鸣金",$AJ64,$AH64)+IF($G$1="鸣金",$AK64*1.5,0))*(1+$AU64)*(1+$AV64)+($AW64*IF($G$1="裂石",$AJ64,$AH64)+IF($G$1="裂石",$AK64*1.5,0))*(1+$AY64)*(1+$AZ64)+($BA64*IF($G$1="牵丝",$AJ64,$AH64)+IF($G$1="牵丝",$AK64*1.5,0))*(1+$BC64)*(1+$BD64)+($BE64*IF($G$1="破竹",$AJ64,$AH64)+IF($G$1="破竹",$AK64*1.5,0))*(1+$BG64)*(1+$BH64))*(1+$AL64))*$P64*(1+IF(VLOOKUP($Q64,武学奇术!$A:$ZZ,30,FALSE)="回旋伞",$B$21,0))*(1+$BQ64)</f>
        <v>19349.4783248713</v>
      </c>
      <c r="P64" s="42">
        <v>2</v>
      </c>
      <c r="Q64" s="43" t="s">
        <v>120</v>
      </c>
      <c r="R64" s="43" t="s">
        <v>105</v>
      </c>
      <c r="S64" s="43" t="s">
        <v>91</v>
      </c>
      <c r="T64" s="43" t="s">
        <v>72</v>
      </c>
      <c r="U64" s="43" t="s">
        <v>79</v>
      </c>
      <c r="V64" s="43" t="s">
        <v>167</v>
      </c>
      <c r="W64" s="43" t="s">
        <v>95</v>
      </c>
      <c r="X64" s="43" t="s">
        <v>71</v>
      </c>
      <c r="Y64" s="43" t="s">
        <v>71</v>
      </c>
      <c r="Z64" s="43" t="s">
        <v>71</v>
      </c>
      <c r="AA64" s="43" t="s">
        <v>71</v>
      </c>
      <c r="AB64" s="43" t="s">
        <v>71</v>
      </c>
      <c r="AC64" s="43" t="s">
        <v>71</v>
      </c>
      <c r="AD64" s="43" t="s">
        <v>71</v>
      </c>
      <c r="AE64" s="43" t="s">
        <v>71</v>
      </c>
      <c r="AF64" s="43" t="s">
        <v>76</v>
      </c>
      <c r="AG64" t="str">
        <f>VLOOKUP($Q64,武学奇术!$A:$ZZ,25,FALSE)</f>
        <v>伞</v>
      </c>
      <c r="AH64" s="30">
        <f>VLOOKUP($Q64,武学奇术!$A:$ZZ,26,FALSE)</f>
        <v>0.54</v>
      </c>
      <c r="AI64" s="31">
        <f>VLOOKUP($Q64,武学奇术!$A:$ZZ,27,FALSE)*(1+IF(OR($AG64=$F$4,$AG64=$F$5),$B$22,0))</f>
        <v>0</v>
      </c>
      <c r="AJ64" s="30">
        <f>VLOOKUP($Q64,武学奇术!$A:$ZZ,28,FALSE)</f>
        <v>0.81</v>
      </c>
      <c r="AK64" s="31">
        <f>VLOOKUP($Q64,武学奇术!$A:$ZZ,29,FALSE)*(1+IF(OR($AG64=$F$4,$AG64=$F$5),$B$22,0))</f>
        <v>0</v>
      </c>
      <c r="AL64" s="30" cm="1">
        <f t="array" ref="AL64">$G$3+IFERROR(VLOOKUP($AG64,$F$4:$G$7,2,FALSE),0)+VLOOKUP($Q64,武学奇术!$A:$ZZ,2,FALSE)+SUM(_xlfn.XLOOKUP($R64:$AF64,增益!$A:$A,增益!$B:$B,0))</f>
        <v>0.9741</v>
      </c>
      <c r="AM64" s="30" cm="1">
        <f t="array" ref="AM64">VLOOKUP($Q64,武学奇术!$A:$ZZ,5,FALSE)+SUM(_xlfn.XLOOKUP($R64:$AF64,增益!$A:$A,增益!$E:$E,0))</f>
        <v>0</v>
      </c>
      <c r="AN64" cm="1">
        <f t="array" ref="AN64">$D$10*(1+$AM64)+VLOOKUP($Q64,武学奇术!$A:$ZZ,3,FALSE)+SUM(_xlfn.XLOOKUP($R64:$AF64,增益!$A:$A,增益!$C:$C,0))-$I$2</f>
        <v>3483.8</v>
      </c>
      <c r="AO64" cm="1">
        <f t="array" ref="AO64">$E$10*(1+$AM64)+VLOOKUP($Q64,武学奇术!$A:$ZZ,4,FALSE)+SUM(_xlfn.XLOOKUP($R64:$AF64,增益!$A:$A,增益!$D:$D,0))-$I$2</f>
        <v>3483.8</v>
      </c>
      <c r="AP64" s="35" cm="1">
        <f t="array" ref="AP64">IF($F$10-$I$3+VLOOKUP($Q64,武学奇术!$A:$ZZ,6,FALSE)+SUM(_xlfn.XLOOKUP(R64:AF64,增益!$A:$A,增益!$F:$F,0))&gt;0,($F$10-$I$3+VLOOKUP($Q64,武学奇术!$A:$ZZ,6,FALSE)+SUM(_xlfn.XLOOKUP(R64:AF64,增益!$A:$A,增益!$F:$F,0)))/200,($F$10-$I$3+VLOOKUP($Q64,武学奇术!$A:$ZZ,6,FALSE)+SUM(_xlfn.XLOOKUP(R64:AF64,增益!$A:$A,增益!$F:$F,0)))/100)</f>
        <v>0.2925</v>
      </c>
      <c r="AQ64" s="35" cm="1">
        <f t="array" ref="AQ64">$G$10+VLOOKUP($Q64,武学奇术!$A:$ZZ,7,FALSE)+SUM(_xlfn.XLOOKUP(R64:AF64,增益!$A:$A,增益!$G:$G,0))</f>
        <v>0.148</v>
      </c>
      <c r="AR64" s="30" cm="1">
        <f t="array" ref="AR64">VLOOKUP($Q64,武学奇术!$A:$ZZ,8,FALSE)+SUM(_xlfn.XLOOKUP(R64:AF64,增益!$A:$A,增益!$H:$H,0))</f>
        <v>0</v>
      </c>
      <c r="AS64">
        <f t="shared" si="1"/>
        <v>0</v>
      </c>
      <c r="AT64">
        <f t="shared" si="2"/>
        <v>0</v>
      </c>
      <c r="AU64" s="35" cm="1">
        <f t="array" ref="AU64">IF($F$11-$I$4+VLOOKUP($Q64,武学奇术!$A:$ZZ,9,FALSE)+SUM(_xlfn.XLOOKUP(R64:AF64,增益!$A:$A,增益!$I:$I,0))&gt;0,($F$11-$I$4+VLOOKUP($Q64,武学奇术!$A:$ZZ,9,FALSE)+SUM(_xlfn.XLOOKUP(R64:AF64,增益!$A:$A,增益!$I:$I,0)))/200,($F$11-$I$4+VLOOKUP($Q64,武学奇术!$A:$ZZ,9,FALSE)+SUM(_xlfn.XLOOKUP(R64:AF64,增益!$A:$A,增益!$I:$I,0)))/100)</f>
        <v>-0.3</v>
      </c>
      <c r="AV64" s="35" cm="1">
        <f t="array" ref="AV64">$G$11+VLOOKUP($Q64,武学奇术!$A:$ZZ,10,FALSE)+SUM(_xlfn.XLOOKUP(R64:AF64,增益!$A:$A,增益!$J:$J,0))</f>
        <v>0</v>
      </c>
      <c r="AW64">
        <f t="shared" si="3"/>
        <v>0</v>
      </c>
      <c r="AX64">
        <f t="shared" si="4"/>
        <v>0</v>
      </c>
      <c r="AY64" s="35" cm="1">
        <f t="array" ref="AY64">IF($F$12-$I$4+VLOOKUP($Q64,武学奇术!$A:$ZZ,11,FALSE)+SUM(_xlfn.XLOOKUP(R64:AF64,增益!$A:$A,增益!$K:$K,0))&gt;0,($F$12-$I$4+VLOOKUP($Q64,武学奇术!$A:$ZZ,11,FALSE)+SUM(_xlfn.XLOOKUP(R64:AF64,增益!$A:$A,增益!$K:$K,0)))/200,($F$12-$I$4+VLOOKUP($Q64,武学奇术!$A:$ZZ,11,FALSE)+SUM(_xlfn.XLOOKUP(R64:AF64,增益!$A:$A,增益!$K:$K,0)))/100)</f>
        <v>-0.3</v>
      </c>
      <c r="AZ64" s="35" cm="1">
        <f t="array" ref="AZ64">$G$12+VLOOKUP($Q64,武学奇术!$A:$ZZ,12,FALSE)+SUM(_xlfn.XLOOKUP(R64:AF64,增益!$A:$A,增益!$L:$L,0))</f>
        <v>0</v>
      </c>
      <c r="BA64">
        <f t="shared" si="5"/>
        <v>0</v>
      </c>
      <c r="BB64">
        <f t="shared" si="6"/>
        <v>0</v>
      </c>
      <c r="BC64" s="35" cm="1">
        <f t="array" ref="BC64">IF($F$13-$I$4+VLOOKUP($Q64,武学奇术!$A:$ZZ,13,FALSE)+SUM(_xlfn.XLOOKUP(R64:AF64,增益!$A:$A,增益!$M:$M,0))&gt;0,($F$13-$I$4+VLOOKUP($Q64,武学奇术!$A:$ZZ,13,FALSE)+SUM(_xlfn.XLOOKUP(R64:AF64,增益!$A:$A,增益!$K:$K,0)))/200,($F$13-$I$4+VLOOKUP($Q64,武学奇术!$A:$ZZ,13,FALSE)+SUM(_xlfn.XLOOKUP(R64:AF64,增益!$A:$A,增益!$M:$M,0)))/100)</f>
        <v>-0.3</v>
      </c>
      <c r="BD64" s="35" cm="1">
        <f t="array" ref="BD64">$G$13+VLOOKUP($Q64,武学奇术!$A:$ZZ,14,FALSE)+SUM(_xlfn.XLOOKUP(R64:AF64,增益!$A:$A,增益!$N:$N,0))</f>
        <v>0</v>
      </c>
      <c r="BE64">
        <f t="shared" si="7"/>
        <v>538</v>
      </c>
      <c r="BF64">
        <f t="shared" si="8"/>
        <v>1561.4</v>
      </c>
      <c r="BG64" s="35" cm="1">
        <f t="array" ref="BG64">IF($F$14-$I$4+VLOOKUP($Q64,武学奇术!$A:$ZZ,15,FALSE)+SUM(_xlfn.XLOOKUP(R64:AF64,增益!$A:$A,增益!$O:$O,0))&gt;0,($F$14-$I$4+VLOOKUP($Q64,武学奇术!$A:$ZZ,15,FALSE)+SUM(_xlfn.XLOOKUP(R64:AF64,增益!$A:$A,增益!$O:$O,0)))/200,($F$14-$I$4+VLOOKUP($Q64,武学奇术!$A:$ZZ,15,FALSE)+SUM(_xlfn.XLOOKUP(R64:AF64,增益!$A:$A,增益!$O:$O,0)))/100)</f>
        <v>0</v>
      </c>
      <c r="BH64" s="35" cm="1">
        <f t="array" ref="BH64">$G$14+VLOOKUP($Q64,武学奇术!$A:$ZZ,16,FALSE)+SUM(_xlfn.XLOOKUP(R64:AF64,增益!$A:$A,增益!$P:$P,0))</f>
        <v>0.27</v>
      </c>
      <c r="BI64" s="30">
        <f>MIN(IF(VLOOKUP($Q64,武学奇术!$A:$ZZ,23,FALSE)=1,100%,$B$8),100%)</f>
        <v>0.9712</v>
      </c>
      <c r="BJ64" s="30" cm="1">
        <f t="array" ref="BJ64">IF(VLOOKUP($Q64,武学奇术!$A:$ZZ,23,FALSE)=1,100%,MIN(80%,$B$9+VLOOKUP($Q64,武学奇术!$A:$ZZ,17,FALSE)+SUM(_xlfn.XLOOKUP(R64:AF64,增益!$A:$A,增益!$Q:$Q,0)))+$B$11+SUM(_xlfn.XLOOKUP(R64:AF64,增益!$A:$A,增益!$U:$U,0)))*IF(VLOOKUP($Q64,武学奇术!$A:$ZZ,24,FALSE)=1,0,1)</f>
        <v>0.8773</v>
      </c>
      <c r="BK64" s="30" cm="1">
        <f t="array" ref="BK64">1+$B$13+VLOOKUP($Q64,武学奇术!$A:$ZZ,18,FALSE)+SUM(_xlfn.XLOOKUP(R64:AF64,增益!$A:$A,增益!$R:$R,0))</f>
        <v>1.87</v>
      </c>
      <c r="BL64" s="30" cm="1">
        <f t="array" ref="BL64">IF(VLOOKUP($Q64,武学奇术!$A:$ZZ,24,FALSE)=1,100%,MIN(40%,$B$10+VLOOKUP($Q64,武学奇术!$A:$ZZ,19,FALSE)+SUM(_xlfn.XLOOKUP(R64:AF64,增益!$A:$A,增益!$S:$S,0)))+$B$12+SUM(_xlfn.XLOOKUP(R64:AF64,增益!$A:$A,增益!$V:$V,0)))*IF(VLOOKUP($Q64,武学奇术!$A:$ZZ,23,FALSE)=1,0,1)</f>
        <v>0.0895</v>
      </c>
      <c r="BM64" s="30" cm="1">
        <f t="array" ref="BM64">1+$B$14+VLOOKUP($Q64,武学奇术!$A:$ZZ,20,FALSE)+SUM(_xlfn.XLOOKUP(R64:AF64,增益!$A:$A,增益!$T:$T,0))</f>
        <v>1.35</v>
      </c>
      <c r="BN64" s="30">
        <f t="shared" si="9"/>
        <v>0.85203376</v>
      </c>
      <c r="BO64" s="30">
        <f t="shared" si="10"/>
        <v>0.03224384</v>
      </c>
      <c r="BP64" s="30">
        <f>IF(VLOOKUP($Q64,武学奇术!$A:$ZZ,22,FALSE)=1,0,(1-$BI64))*(1-$BL64)</f>
        <v>0.0262224</v>
      </c>
      <c r="BQ64" s="30" cm="1">
        <f t="array" ref="BQ64">SUM(_xlfn.XLOOKUP(R64:AF64,增益!$A:$A,增益!$W:$W,0))+$I$5</f>
        <v>0.11</v>
      </c>
    </row>
    <row r="65" spans="1:69">
      <c r="K65" s="41">
        <f t="shared" si="12"/>
        <v>39984.5602092728</v>
      </c>
      <c r="L65" s="41">
        <f>((($AN65+$AO65)/2*$AH65+$AI65)*(1+$AP65)*(1+$AQ65)+(($AS65+$AT65)/2*IF($G$1="鸣金",$AJ65,$AH65)+IF($G$1="鸣金",$AK65*1.5,0))*(1+$AU65)*(1+$AV65)+(($AW65+$AX65)/2*IF($G$1="裂石",$AJ65,$AH65)+IF($G$1="裂石",$AK65*1.5,0))*(1+$AY65)*(1+$AZ65)+(($BA65+$BB65)/2*IF($G$1="牵丝",$AJ65,$AH65)+IF($G$1="牵丝",$AK65*1.5,0))*(1+$BC65)*(1+$BD65)+(($BE65+$BF65)/2*IF($G$1="破竹",$AJ65,$AH65)+IF($G$1="破竹",$AK65*1.5,0))*(1+$BG65)*(1+$BH65))*(1+$AL65)*$BK65*$P65*(1+IF(VLOOKUP($Q65,武学奇术!$A:$ZZ,30,FALSE)="回旋伞",$B$21,0))*(1+$BQ65)</f>
        <v>41877.8437889586</v>
      </c>
      <c r="M65" s="41">
        <f>(($AO65*$AH65+$AI65)*(1+$AP65)*(1+$AQ65)+($AT65*IF($G$1="鸣金",$AJ65,$AH65)+IF($G$1="鸣金",$AK65*1.5,0))*(1+$AU65)*(1+$AV65)+($AX65*IF($G$1="裂石",$AJ65,$AH65)+IF($G$1="裂石",$AK65*1.5,0))*(1+$AY65)*(1+$AZ65)+($BB65*IF($G$1="牵丝",$AJ65,$AH65)+IF($G$1="牵丝",$AK65*1.5,0))*(1+$BC65)*(1+$BD65)+($BF65*IF($G$1="破竹",$AJ65,$AH65)+IF($G$1="破竹",$AK65*1.5,0))*(1+$BG65)*(1+$BH65))*(1+$AL65)*$BM65*$P65*(1+IF(VLOOKUP($Q65,武学奇术!$A:$ZZ,30,FALSE)="回旋伞",$B$21,0))*(1+$BQ65)</f>
        <v>34343.5402133959</v>
      </c>
      <c r="N65" s="41">
        <f>((($AN65+$AO65)/2*$AH65+$AI65)*(1+$AP65)*(1+$AQ65)+(($AS65+$AT65)/2*IF($G$1="鸣金",$AJ65,$AH65)+IF($G$1="鸣金",$AK65*1.5,0))*(1+$AU65)*(1+$AV65)+(($AW65+$AX65)/2*IF($G$1="裂石",$AJ65,$AH65)+IF($G$1="裂石",$AK65*1.5,0))*(1+$AY65)*(1+$AZ65)+(($BA65+$BB65)/2*IF($G$1="牵丝",$AJ65,$AH65)+IF($G$1="牵丝",$AK65*1.5,0))*(1+$BC65)*(1+$BD65)+(($BE65+$BF65)/2*IF($G$1="破竹",$AJ65,$AH65)+IF($G$1="破竹",$AK65*1.5,0))*(1+$BG65)*(1+$BH65))*(1+$AL65)*$P65*(1+IF(VLOOKUP($Q65,武学奇术!$A:$ZZ,30,FALSE)="回旋伞",$B$21,0))*(1+$BQ65)</f>
        <v>22394.5688711008</v>
      </c>
      <c r="O65" s="41">
        <f>((($AN65*$AH65+$AI65)*(1+$AP65)*(1+$AQ65)+($AS65*IF($G$1="鸣金",$AJ65,$AH65)+IF($G$1="鸣金",$AK65*1.5,0))*(1+$AU65)*(1+$AV65)+($AW65*IF($G$1="裂石",$AJ65,$AH65)+IF($G$1="裂石",$AK65*1.5,0))*(1+$AY65)*(1+$AZ65)+($BA65*IF($G$1="牵丝",$AJ65,$AH65)+IF($G$1="牵丝",$AK65*1.5,0))*(1+$BC65)*(1+$BD65)+($BE65*IF($G$1="破竹",$AJ65,$AH65)+IF($G$1="破竹",$AK65*1.5,0))*(1+$BG65)*(1+$BH65))*(1+$AL65))*$P65*(1+IF(VLOOKUP($Q65,武学奇术!$A:$ZZ,30,FALSE)="回旋伞",$B$21,0))*(1+$BQ65)</f>
        <v>19349.4783248713</v>
      </c>
      <c r="P65" s="42">
        <v>2</v>
      </c>
      <c r="Q65" s="43" t="s">
        <v>120</v>
      </c>
      <c r="R65" s="43" t="s">
        <v>105</v>
      </c>
      <c r="S65" s="43" t="s">
        <v>91</v>
      </c>
      <c r="T65" s="43" t="s">
        <v>72</v>
      </c>
      <c r="U65" s="43" t="s">
        <v>79</v>
      </c>
      <c r="V65" s="43" t="s">
        <v>167</v>
      </c>
      <c r="W65" s="43" t="s">
        <v>95</v>
      </c>
      <c r="X65" s="43" t="s">
        <v>71</v>
      </c>
      <c r="Y65" s="43" t="s">
        <v>71</v>
      </c>
      <c r="Z65" s="43" t="s">
        <v>71</v>
      </c>
      <c r="AA65" s="43" t="s">
        <v>109</v>
      </c>
      <c r="AB65" s="43" t="s">
        <v>71</v>
      </c>
      <c r="AC65" s="43" t="s">
        <v>71</v>
      </c>
      <c r="AD65" s="43" t="s">
        <v>71</v>
      </c>
      <c r="AE65" s="43" t="s">
        <v>71</v>
      </c>
      <c r="AF65" s="43" t="s">
        <v>76</v>
      </c>
      <c r="AG65" t="str">
        <f>VLOOKUP($Q65,武学奇术!$A:$ZZ,25,FALSE)</f>
        <v>伞</v>
      </c>
      <c r="AH65" s="30">
        <f>VLOOKUP($Q65,武学奇术!$A:$ZZ,26,FALSE)</f>
        <v>0.54</v>
      </c>
      <c r="AI65" s="31">
        <f>VLOOKUP($Q65,武学奇术!$A:$ZZ,27,FALSE)*(1+IF(OR($AG65=$F$4,$AG65=$F$5),$B$22,0))</f>
        <v>0</v>
      </c>
      <c r="AJ65" s="30">
        <f>VLOOKUP($Q65,武学奇术!$A:$ZZ,28,FALSE)</f>
        <v>0.81</v>
      </c>
      <c r="AK65" s="31">
        <f>VLOOKUP($Q65,武学奇术!$A:$ZZ,29,FALSE)*(1+IF(OR($AG65=$F$4,$AG65=$F$5),$B$22,0))</f>
        <v>0</v>
      </c>
      <c r="AL65" s="30" cm="1">
        <f t="array" ref="AL65">$G$3+IFERROR(VLOOKUP($AG65,$F$4:$G$7,2,FALSE),0)+VLOOKUP($Q65,武学奇术!$A:$ZZ,2,FALSE)+SUM(_xlfn.XLOOKUP($R65:$AF65,增益!$A:$A,增益!$B:$B,0))</f>
        <v>0.9741</v>
      </c>
      <c r="AM65" s="30" cm="1">
        <f t="array" ref="AM65">VLOOKUP($Q65,武学奇术!$A:$ZZ,5,FALSE)+SUM(_xlfn.XLOOKUP($R65:$AF65,增益!$A:$A,增益!$E:$E,0))</f>
        <v>0</v>
      </c>
      <c r="AN65" cm="1">
        <f t="array" ref="AN65">$D$10*(1+$AM65)+VLOOKUP($Q65,武学奇术!$A:$ZZ,3,FALSE)+SUM(_xlfn.XLOOKUP($R65:$AF65,增益!$A:$A,增益!$C:$C,0))-$I$2</f>
        <v>3483.8</v>
      </c>
      <c r="AO65" cm="1">
        <f t="array" ref="AO65">$E$10*(1+$AM65)+VLOOKUP($Q65,武学奇术!$A:$ZZ,4,FALSE)+SUM(_xlfn.XLOOKUP($R65:$AF65,增益!$A:$A,增益!$D:$D,0))-$I$2</f>
        <v>3483.8</v>
      </c>
      <c r="AP65" s="35" cm="1">
        <f t="array" ref="AP65">IF($F$10-$I$3+VLOOKUP($Q65,武学奇术!$A:$ZZ,6,FALSE)+SUM(_xlfn.XLOOKUP(R65:AF65,增益!$A:$A,增益!$F:$F,0))&gt;0,($F$10-$I$3+VLOOKUP($Q65,武学奇术!$A:$ZZ,6,FALSE)+SUM(_xlfn.XLOOKUP(R65:AF65,增益!$A:$A,增益!$F:$F,0)))/200,($F$10-$I$3+VLOOKUP($Q65,武学奇术!$A:$ZZ,6,FALSE)+SUM(_xlfn.XLOOKUP(R65:AF65,增益!$A:$A,增益!$F:$F,0)))/100)</f>
        <v>0.2925</v>
      </c>
      <c r="AQ65" s="35" cm="1">
        <f t="array" ref="AQ65">$G$10+VLOOKUP($Q65,武学奇术!$A:$ZZ,7,FALSE)+SUM(_xlfn.XLOOKUP(R65:AF65,增益!$A:$A,增益!$G:$G,0))</f>
        <v>0.148</v>
      </c>
      <c r="AR65" s="30" cm="1">
        <f t="array" ref="AR65">VLOOKUP($Q65,武学奇术!$A:$ZZ,8,FALSE)+SUM(_xlfn.XLOOKUP(R65:AF65,增益!$A:$A,增益!$H:$H,0))</f>
        <v>0</v>
      </c>
      <c r="AS65">
        <f t="shared" si="1"/>
        <v>0</v>
      </c>
      <c r="AT65">
        <f t="shared" si="2"/>
        <v>0</v>
      </c>
      <c r="AU65" s="35" cm="1">
        <f t="array" ref="AU65">IF($F$11-$I$4+VLOOKUP($Q65,武学奇术!$A:$ZZ,9,FALSE)+SUM(_xlfn.XLOOKUP(R65:AF65,增益!$A:$A,增益!$I:$I,0))&gt;0,($F$11-$I$4+VLOOKUP($Q65,武学奇术!$A:$ZZ,9,FALSE)+SUM(_xlfn.XLOOKUP(R65:AF65,增益!$A:$A,增益!$I:$I,0)))/200,($F$11-$I$4+VLOOKUP($Q65,武学奇术!$A:$ZZ,9,FALSE)+SUM(_xlfn.XLOOKUP(R65:AF65,增益!$A:$A,增益!$I:$I,0)))/100)</f>
        <v>-0.3</v>
      </c>
      <c r="AV65" s="35" cm="1">
        <f t="array" ref="AV65">$G$11+VLOOKUP($Q65,武学奇术!$A:$ZZ,10,FALSE)+SUM(_xlfn.XLOOKUP(R65:AF65,增益!$A:$A,增益!$J:$J,0))</f>
        <v>0</v>
      </c>
      <c r="AW65">
        <f t="shared" si="3"/>
        <v>0</v>
      </c>
      <c r="AX65">
        <f t="shared" si="4"/>
        <v>0</v>
      </c>
      <c r="AY65" s="35" cm="1">
        <f t="array" ref="AY65">IF($F$12-$I$4+VLOOKUP($Q65,武学奇术!$A:$ZZ,11,FALSE)+SUM(_xlfn.XLOOKUP(R65:AF65,增益!$A:$A,增益!$K:$K,0))&gt;0,($F$12-$I$4+VLOOKUP($Q65,武学奇术!$A:$ZZ,11,FALSE)+SUM(_xlfn.XLOOKUP(R65:AF65,增益!$A:$A,增益!$K:$K,0)))/200,($F$12-$I$4+VLOOKUP($Q65,武学奇术!$A:$ZZ,11,FALSE)+SUM(_xlfn.XLOOKUP(R65:AF65,增益!$A:$A,增益!$K:$K,0)))/100)</f>
        <v>-0.3</v>
      </c>
      <c r="AZ65" s="35" cm="1">
        <f t="array" ref="AZ65">$G$12+VLOOKUP($Q65,武学奇术!$A:$ZZ,12,FALSE)+SUM(_xlfn.XLOOKUP(R65:AF65,增益!$A:$A,增益!$L:$L,0))</f>
        <v>0</v>
      </c>
      <c r="BA65">
        <f t="shared" si="5"/>
        <v>0</v>
      </c>
      <c r="BB65">
        <f t="shared" si="6"/>
        <v>0</v>
      </c>
      <c r="BC65" s="35" cm="1">
        <f t="array" ref="BC65">IF($F$13-$I$4+VLOOKUP($Q65,武学奇术!$A:$ZZ,13,FALSE)+SUM(_xlfn.XLOOKUP(R65:AF65,增益!$A:$A,增益!$M:$M,0))&gt;0,($F$13-$I$4+VLOOKUP($Q65,武学奇术!$A:$ZZ,13,FALSE)+SUM(_xlfn.XLOOKUP(R65:AF65,增益!$A:$A,增益!$K:$K,0)))/200,($F$13-$I$4+VLOOKUP($Q65,武学奇术!$A:$ZZ,13,FALSE)+SUM(_xlfn.XLOOKUP(R65:AF65,增益!$A:$A,增益!$M:$M,0)))/100)</f>
        <v>-0.3</v>
      </c>
      <c r="BD65" s="35" cm="1">
        <f t="array" ref="BD65">$G$13+VLOOKUP($Q65,武学奇术!$A:$ZZ,14,FALSE)+SUM(_xlfn.XLOOKUP(R65:AF65,增益!$A:$A,增益!$N:$N,0))</f>
        <v>0</v>
      </c>
      <c r="BE65">
        <f t="shared" si="7"/>
        <v>538</v>
      </c>
      <c r="BF65">
        <f t="shared" si="8"/>
        <v>1561.4</v>
      </c>
      <c r="BG65" s="35" cm="1">
        <f t="array" ref="BG65">IF($F$14-$I$4+VLOOKUP($Q65,武学奇术!$A:$ZZ,15,FALSE)+SUM(_xlfn.XLOOKUP(R65:AF65,增益!$A:$A,增益!$O:$O,0))&gt;0,($F$14-$I$4+VLOOKUP($Q65,武学奇术!$A:$ZZ,15,FALSE)+SUM(_xlfn.XLOOKUP(R65:AF65,增益!$A:$A,增益!$O:$O,0)))/200,($F$14-$I$4+VLOOKUP($Q65,武学奇术!$A:$ZZ,15,FALSE)+SUM(_xlfn.XLOOKUP(R65:AF65,增益!$A:$A,增益!$O:$O,0)))/100)</f>
        <v>0</v>
      </c>
      <c r="BH65" s="35" cm="1">
        <f t="array" ref="BH65">$G$14+VLOOKUP($Q65,武学奇术!$A:$ZZ,16,FALSE)+SUM(_xlfn.XLOOKUP(R65:AF65,增益!$A:$A,增益!$P:$P,0))</f>
        <v>0.27</v>
      </c>
      <c r="BI65" s="30">
        <f>MIN(IF(VLOOKUP($Q65,武学奇术!$A:$ZZ,23,FALSE)=1,100%,$B$8),100%)</f>
        <v>0.9712</v>
      </c>
      <c r="BJ65" s="30" cm="1">
        <f t="array" ref="BJ65">IF(VLOOKUP($Q65,武学奇术!$A:$ZZ,23,FALSE)=1,100%,MIN(80%,$B$9+VLOOKUP($Q65,武学奇术!$A:$ZZ,17,FALSE)+SUM(_xlfn.XLOOKUP(R65:AF65,增益!$A:$A,增益!$Q:$Q,0)))+$B$11+SUM(_xlfn.XLOOKUP(R65:AF65,增益!$A:$A,增益!$U:$U,0)))*IF(VLOOKUP($Q65,武学奇术!$A:$ZZ,24,FALSE)=1,0,1)</f>
        <v>0.8773</v>
      </c>
      <c r="BK65" s="30" cm="1">
        <f t="array" ref="BK65">1+$B$13+VLOOKUP($Q65,武学奇术!$A:$ZZ,18,FALSE)+SUM(_xlfn.XLOOKUP(R65:AF65,增益!$A:$A,增益!$R:$R,0))</f>
        <v>1.87</v>
      </c>
      <c r="BL65" s="30" cm="1">
        <f t="array" ref="BL65">IF(VLOOKUP($Q65,武学奇术!$A:$ZZ,24,FALSE)=1,100%,MIN(40%,$B$10+VLOOKUP($Q65,武学奇术!$A:$ZZ,19,FALSE)+SUM(_xlfn.XLOOKUP(R65:AF65,增益!$A:$A,增益!$S:$S,0)))+$B$12+SUM(_xlfn.XLOOKUP(R65:AF65,增益!$A:$A,增益!$V:$V,0)))*IF(VLOOKUP($Q65,武学奇术!$A:$ZZ,23,FALSE)=1,0,1)</f>
        <v>0.0895</v>
      </c>
      <c r="BM65" s="30" cm="1">
        <f t="array" ref="BM65">1+$B$14+VLOOKUP($Q65,武学奇术!$A:$ZZ,20,FALSE)+SUM(_xlfn.XLOOKUP(R65:AF65,增益!$A:$A,增益!$T:$T,0))</f>
        <v>1.35</v>
      </c>
      <c r="BN65" s="30">
        <f t="shared" si="9"/>
        <v>0.85203376</v>
      </c>
      <c r="BO65" s="30">
        <f t="shared" si="10"/>
        <v>0.03224384</v>
      </c>
      <c r="BP65" s="30">
        <f>IF(VLOOKUP($Q65,武学奇术!$A:$ZZ,22,FALSE)=1,0,(1-$BI65))*(1-$BL65)</f>
        <v>0.0262224</v>
      </c>
      <c r="BQ65" s="30" cm="1">
        <f t="array" ref="BQ65">SUM(_xlfn.XLOOKUP(R65:AF65,增益!$A:$A,增益!$W:$W,0))+$I$5</f>
        <v>0.11</v>
      </c>
    </row>
    <row r="66" spans="1:69">
      <c r="K66" s="41">
        <f t="shared" si="12"/>
        <v>52167.0125086122</v>
      </c>
      <c r="L66" s="41">
        <f>((($AN66+$AO66)/2*$AH66+$AI66)*(1+$AP66)*(1+$AQ66)+(($AS66+$AT66)/2*IF($G$1="鸣金",$AJ66,$AH66)+IF($G$1="鸣金",$AK66*1.5,0))*(1+$AU66)*(1+$AV66)+(($AW66+$AX66)/2*IF($G$1="裂石",$AJ66,$AH66)+IF($G$1="裂石",$AK66*1.5,0))*(1+$AY66)*(1+$AZ66)+(($BA66+$BB66)/2*IF($G$1="牵丝",$AJ66,$AH66)+IF($G$1="牵丝",$AK66*1.5,0))*(1+$BC66)*(1+$BD66)+(($BE66+$BF66)/2*IF($G$1="破竹",$AJ66,$AH66)+IF($G$1="破竹",$AK66*1.5,0))*(1+$BG66)*(1+$BH66))*(1+$AL66)*$BK66*$P66*(1+IF(VLOOKUP($Q66,武学奇术!$A:$ZZ,30,FALSE)="回旋伞",$B$21,0))*(1+$BQ66)</f>
        <v>55362.699264148</v>
      </c>
      <c r="M66" s="41">
        <f>(($AO66*$AH66+$AI66)*(1+$AP66)*(1+$AQ66)+($AT66*IF($G$1="鸣金",$AJ66,$AH66)+IF($G$1="鸣金",$AK66*1.5,0))*(1+$AU66)*(1+$AV66)+($AX66*IF($G$1="裂石",$AJ66,$AH66)+IF($G$1="裂石",$AK66*1.5,0))*(1+$AY66)*(1+$AZ66)+($BB66*IF($G$1="牵丝",$AJ66,$AH66)+IF($G$1="牵丝",$AK66*1.5,0))*(1+$BC66)*(1+$BD66)+($BF66*IF($G$1="破竹",$AJ66,$AH66)+IF($G$1="破竹",$AK66*1.5,0))*(1+$BG66)*(1+$BH66))*(1+$AL66)*$BM66*$P66*(1+IF(VLOOKUP($Q66,武学奇术!$A:$ZZ,30,FALSE)="回旋伞",$B$21,0))*(1+$BQ66)</f>
        <v>39735.7701473438</v>
      </c>
      <c r="N66" s="41">
        <f>((($AN66+$AO66)/2*$AH66+$AI66)*(1+$AP66)*(1+$AQ66)+(($AS66+$AT66)/2*IF($G$1="鸣金",$AJ66,$AH66)+IF($G$1="鸣金",$AK66*1.5,0))*(1+$AU66)*(1+$AV66)+(($AW66+$AX66)/2*IF($G$1="裂石",$AJ66,$AH66)+IF($G$1="裂石",$AK66*1.5,0))*(1+$AY66)*(1+$AZ66)+(($BA66+$BB66)/2*IF($G$1="牵丝",$AJ66,$AH66)+IF($G$1="牵丝",$AK66*1.5,0))*(1+$BC66)*(1+$BD66)+(($BE66+$BF66)/2*IF($G$1="破竹",$AJ66,$AH66)+IF($G$1="破竹",$AK66*1.5,0))*(1+$BG66)*(1+$BH66))*(1+$AL66)*$P66*(1+IF(VLOOKUP($Q66,武学奇术!$A:$ZZ,30,FALSE)="回旋伞",$B$21,0))*(1+$BQ66)</f>
        <v>26114.4807849755</v>
      </c>
      <c r="O66" s="41">
        <f>((($AN66*$AH66+$AI66)*(1+$AP66)*(1+$AQ66)+($AS66*IF($G$1="鸣金",$AJ66,$AH66)+IF($G$1="鸣金",$AK66*1.5,0))*(1+$AU66)*(1+$AV66)+($AW66*IF($G$1="裂石",$AJ66,$AH66)+IF($G$1="裂石",$AK66*1.5,0))*(1+$AY66)*(1+$AZ66)+($BA66*IF($G$1="牵丝",$AJ66,$AH66)+IF($G$1="牵丝",$AK66*1.5,0))*(1+$BC66)*(1+$BD66)+($BE66*IF($G$1="破竹",$AJ66,$AH66)+IF($G$1="破竹",$AK66*1.5,0))*(1+$BG66)*(1+$BH66))*(1+$AL66))*$P66*(1+IF(VLOOKUP($Q66,武学奇术!$A:$ZZ,30,FALSE)="回旋伞",$B$21,0))*(1+$BQ66)</f>
        <v>22795.0577571037</v>
      </c>
      <c r="P66" s="42">
        <v>2</v>
      </c>
      <c r="Q66" s="43" t="s">
        <v>120</v>
      </c>
      <c r="R66" s="43" t="s">
        <v>105</v>
      </c>
      <c r="S66" s="43" t="s">
        <v>91</v>
      </c>
      <c r="T66" s="43" t="s">
        <v>72</v>
      </c>
      <c r="U66" s="43" t="s">
        <v>79</v>
      </c>
      <c r="V66" s="43" t="s">
        <v>167</v>
      </c>
      <c r="W66" s="43" t="s">
        <v>95</v>
      </c>
      <c r="X66" s="43" t="s">
        <v>71</v>
      </c>
      <c r="Y66" s="43" t="s">
        <v>177</v>
      </c>
      <c r="Z66" s="43" t="s">
        <v>71</v>
      </c>
      <c r="AA66" s="43" t="s">
        <v>112</v>
      </c>
      <c r="AB66" s="43" t="s">
        <v>179</v>
      </c>
      <c r="AC66" s="43" t="s">
        <v>71</v>
      </c>
      <c r="AD66" s="43" t="s">
        <v>71</v>
      </c>
      <c r="AE66" s="43" t="s">
        <v>71</v>
      </c>
      <c r="AF66" s="43" t="s">
        <v>76</v>
      </c>
      <c r="AG66" t="str">
        <f>VLOOKUP($Q66,武学奇术!$A:$ZZ,25,FALSE)</f>
        <v>伞</v>
      </c>
      <c r="AH66" s="30">
        <f>VLOOKUP($Q66,武学奇术!$A:$ZZ,26,FALSE)</f>
        <v>0.54</v>
      </c>
      <c r="AI66" s="31">
        <f>VLOOKUP($Q66,武学奇术!$A:$ZZ,27,FALSE)*(1+IF(OR($AG66=$F$4,$AG66=$F$5),$B$22,0))</f>
        <v>0</v>
      </c>
      <c r="AJ66" s="30">
        <f>VLOOKUP($Q66,武学奇术!$A:$ZZ,28,FALSE)</f>
        <v>0.81</v>
      </c>
      <c r="AK66" s="31">
        <f>VLOOKUP($Q66,武学奇术!$A:$ZZ,29,FALSE)*(1+IF(OR($AG66=$F$4,$AG66=$F$5),$B$22,0))</f>
        <v>0</v>
      </c>
      <c r="AL66" s="30" cm="1">
        <f t="array" ref="AL66">$G$3+IFERROR(VLOOKUP($AG66,$F$4:$G$7,2,FALSE),0)+VLOOKUP($Q66,武学奇术!$A:$ZZ,2,FALSE)+SUM(_xlfn.XLOOKUP($R66:$AF66,增益!$A:$A,增益!$B:$B,0))</f>
        <v>0.9741</v>
      </c>
      <c r="AM66" s="30" cm="1">
        <f t="array" ref="AM66">VLOOKUP($Q66,武学奇术!$A:$ZZ,5,FALSE)+SUM(_xlfn.XLOOKUP($R66:$AF66,增益!$A:$A,增益!$E:$E,0))</f>
        <v>0</v>
      </c>
      <c r="AN66" cm="1">
        <f t="array" ref="AN66">$D$10*(1+$AM66)+VLOOKUP($Q66,武学奇术!$A:$ZZ,3,FALSE)+SUM(_xlfn.XLOOKUP($R66:$AF66,增益!$A:$A,增益!$C:$C,0))-$I$2</f>
        <v>3483.8</v>
      </c>
      <c r="AO66" cm="1">
        <f t="array" ref="AO66">$E$10*(1+$AM66)+VLOOKUP($Q66,武学奇术!$A:$ZZ,4,FALSE)+SUM(_xlfn.XLOOKUP($R66:$AF66,增益!$A:$A,增益!$D:$D,0))-$I$2</f>
        <v>3483.8</v>
      </c>
      <c r="AP66" s="35" cm="1">
        <f t="array" ref="AP66">IF($F$10-$I$3+VLOOKUP($Q66,武学奇术!$A:$ZZ,6,FALSE)+SUM(_xlfn.XLOOKUP(R66:AF66,增益!$A:$A,增益!$F:$F,0))&gt;0,($F$10-$I$3+VLOOKUP($Q66,武学奇术!$A:$ZZ,6,FALSE)+SUM(_xlfn.XLOOKUP(R66:AF66,增益!$A:$A,增益!$F:$F,0)))/200,($F$10-$I$3+VLOOKUP($Q66,武学奇术!$A:$ZZ,6,FALSE)+SUM(_xlfn.XLOOKUP(R66:AF66,增益!$A:$A,增益!$F:$F,0)))/100)</f>
        <v>0.4175</v>
      </c>
      <c r="AQ66" s="35" cm="1">
        <f t="array" ref="AQ66">$G$10+VLOOKUP($Q66,武学奇术!$A:$ZZ,7,FALSE)+SUM(_xlfn.XLOOKUP(R66:AF66,增益!$A:$A,增益!$G:$G,0))</f>
        <v>0.148</v>
      </c>
      <c r="AR66" s="30" cm="1">
        <f t="array" ref="AR66">VLOOKUP($Q66,武学奇术!$A:$ZZ,8,FALSE)+SUM(_xlfn.XLOOKUP(R66:AF66,增益!$A:$A,增益!$H:$H,0))</f>
        <v>0</v>
      </c>
      <c r="AS66">
        <f t="shared" ref="AS66:AS129" si="13">$D$11*(1+$AR66)</f>
        <v>0</v>
      </c>
      <c r="AT66">
        <f t="shared" ref="AT66:AT129" si="14">$E$11*(1+$AR66)</f>
        <v>0</v>
      </c>
      <c r="AU66" s="35" cm="1">
        <f t="array" ref="AU66">IF($F$11-$I$4+VLOOKUP($Q66,武学奇术!$A:$ZZ,9,FALSE)+SUM(_xlfn.XLOOKUP(R66:AF66,增益!$A:$A,增益!$I:$I,0))&gt;0,($F$11-$I$4+VLOOKUP($Q66,武学奇术!$A:$ZZ,9,FALSE)+SUM(_xlfn.XLOOKUP(R66:AF66,增益!$A:$A,增益!$I:$I,0)))/200,($F$11-$I$4+VLOOKUP($Q66,武学奇术!$A:$ZZ,9,FALSE)+SUM(_xlfn.XLOOKUP(R66:AF66,增益!$A:$A,增益!$I:$I,0)))/100)</f>
        <v>-0.3</v>
      </c>
      <c r="AV66" s="35" cm="1">
        <f t="array" ref="AV66">$G$11+VLOOKUP($Q66,武学奇术!$A:$ZZ,10,FALSE)+SUM(_xlfn.XLOOKUP(R66:AF66,增益!$A:$A,增益!$J:$J,0))</f>
        <v>0</v>
      </c>
      <c r="AW66">
        <f t="shared" ref="AW66:AW129" si="15">$D$12*(1+$AR66)</f>
        <v>0</v>
      </c>
      <c r="AX66">
        <f t="shared" ref="AX66:AX129" si="16">$E$12*(1+$AR66)</f>
        <v>0</v>
      </c>
      <c r="AY66" s="35" cm="1">
        <f t="array" ref="AY66">IF($F$12-$I$4+VLOOKUP($Q66,武学奇术!$A:$ZZ,11,FALSE)+SUM(_xlfn.XLOOKUP(R66:AF66,增益!$A:$A,增益!$K:$K,0))&gt;0,($F$12-$I$4+VLOOKUP($Q66,武学奇术!$A:$ZZ,11,FALSE)+SUM(_xlfn.XLOOKUP(R66:AF66,增益!$A:$A,增益!$K:$K,0)))/200,($F$12-$I$4+VLOOKUP($Q66,武学奇术!$A:$ZZ,11,FALSE)+SUM(_xlfn.XLOOKUP(R66:AF66,增益!$A:$A,增益!$K:$K,0)))/100)</f>
        <v>-0.3</v>
      </c>
      <c r="AZ66" s="35" cm="1">
        <f t="array" ref="AZ66">$G$12+VLOOKUP($Q66,武学奇术!$A:$ZZ,12,FALSE)+SUM(_xlfn.XLOOKUP(R66:AF66,增益!$A:$A,增益!$L:$L,0))</f>
        <v>0</v>
      </c>
      <c r="BA66">
        <f t="shared" ref="BA66:BA129" si="17">$D$13*(1+$AR66)</f>
        <v>0</v>
      </c>
      <c r="BB66">
        <f t="shared" ref="BB66:BB129" si="18">$E$13*(1+$AR66)</f>
        <v>0</v>
      </c>
      <c r="BC66" s="35" cm="1">
        <f t="array" ref="BC66">IF($F$13-$I$4+VLOOKUP($Q66,武学奇术!$A:$ZZ,13,FALSE)+SUM(_xlfn.XLOOKUP(R66:AF66,增益!$A:$A,增益!$M:$M,0))&gt;0,($F$13-$I$4+VLOOKUP($Q66,武学奇术!$A:$ZZ,13,FALSE)+SUM(_xlfn.XLOOKUP(R66:AF66,增益!$A:$A,增益!$K:$K,0)))/200,($F$13-$I$4+VLOOKUP($Q66,武学奇术!$A:$ZZ,13,FALSE)+SUM(_xlfn.XLOOKUP(R66:AF66,增益!$A:$A,增益!$M:$M,0)))/100)</f>
        <v>-0.3</v>
      </c>
      <c r="BD66" s="35" cm="1">
        <f t="array" ref="BD66">$G$13+VLOOKUP($Q66,武学奇术!$A:$ZZ,14,FALSE)+SUM(_xlfn.XLOOKUP(R66:AF66,增益!$A:$A,增益!$N:$N,0))</f>
        <v>0</v>
      </c>
      <c r="BE66">
        <f t="shared" ref="BE66:BE129" si="19">$D$14*(1+$AR66)</f>
        <v>538</v>
      </c>
      <c r="BF66">
        <f t="shared" ref="BF66:BF129" si="20">$E$14*(1+$AR66)</f>
        <v>1561.4</v>
      </c>
      <c r="BG66" s="35" cm="1">
        <f t="array" ref="BG66">IF($F$14-$I$4+VLOOKUP($Q66,武学奇术!$A:$ZZ,15,FALSE)+SUM(_xlfn.XLOOKUP(R66:AF66,增益!$A:$A,增益!$O:$O,0))&gt;0,($F$14-$I$4+VLOOKUP($Q66,武学奇术!$A:$ZZ,15,FALSE)+SUM(_xlfn.XLOOKUP(R66:AF66,增益!$A:$A,增益!$O:$O,0)))/200,($F$14-$I$4+VLOOKUP($Q66,武学奇术!$A:$ZZ,15,FALSE)+SUM(_xlfn.XLOOKUP(R66:AF66,增益!$A:$A,增益!$O:$O,0)))/100)</f>
        <v>0</v>
      </c>
      <c r="BH66" s="35" cm="1">
        <f t="array" ref="BH66">$G$14+VLOOKUP($Q66,武学奇术!$A:$ZZ,16,FALSE)+SUM(_xlfn.XLOOKUP(R66:AF66,增益!$A:$A,增益!$P:$P,0))</f>
        <v>0.27</v>
      </c>
      <c r="BI66" s="30">
        <f>MIN(IF(VLOOKUP($Q66,武学奇术!$A:$ZZ,23,FALSE)=1,100%,$B$8),100%)</f>
        <v>0.9712</v>
      </c>
      <c r="BJ66" s="30" cm="1">
        <f t="array" ref="BJ66">IF(VLOOKUP($Q66,武学奇术!$A:$ZZ,23,FALSE)=1,100%,MIN(80%,$B$9+VLOOKUP($Q66,武学奇术!$A:$ZZ,17,FALSE)+SUM(_xlfn.XLOOKUP(R66:AF66,增益!$A:$A,增益!$Q:$Q,0)))+$B$11+SUM(_xlfn.XLOOKUP(R66:AF66,增益!$A:$A,增益!$U:$U,0)))*IF(VLOOKUP($Q66,武学奇术!$A:$ZZ,24,FALSE)=1,0,1)</f>
        <v>0.8773</v>
      </c>
      <c r="BK66" s="30" cm="1">
        <f t="array" ref="BK66">1+$B$13+VLOOKUP($Q66,武学奇术!$A:$ZZ,18,FALSE)+SUM(_xlfn.XLOOKUP(R66:AF66,增益!$A:$A,增益!$R:$R,0))</f>
        <v>2.12</v>
      </c>
      <c r="BL66" s="30" cm="1">
        <f t="array" ref="BL66">IF(VLOOKUP($Q66,武学奇术!$A:$ZZ,24,FALSE)=1,100%,MIN(40%,$B$10+VLOOKUP($Q66,武学奇术!$A:$ZZ,19,FALSE)+SUM(_xlfn.XLOOKUP(R66:AF66,增益!$A:$A,增益!$S:$S,0)))+$B$12+SUM(_xlfn.XLOOKUP(R66:AF66,增益!$A:$A,增益!$V:$V,0)))*IF(VLOOKUP($Q66,武学奇术!$A:$ZZ,23,FALSE)=1,0,1)</f>
        <v>0.0895</v>
      </c>
      <c r="BM66" s="30" cm="1">
        <f t="array" ref="BM66">1+$B$14+VLOOKUP($Q66,武学奇术!$A:$ZZ,20,FALSE)+SUM(_xlfn.XLOOKUP(R66:AF66,增益!$A:$A,增益!$T:$T,0))</f>
        <v>1.35</v>
      </c>
      <c r="BN66" s="30">
        <f t="shared" ref="BN66:BN129" si="21">MIN((1-BL66)*BI66,BI66*BJ66)</f>
        <v>0.85203376</v>
      </c>
      <c r="BO66" s="30">
        <f t="shared" ref="BO66:BO129" si="22">1-BL66-BN66-BP66</f>
        <v>0.03224384</v>
      </c>
      <c r="BP66" s="30">
        <f>IF(VLOOKUP($Q66,武学奇术!$A:$ZZ,22,FALSE)=1,0,(1-$BI66))*(1-$BL66)</f>
        <v>0.0262224</v>
      </c>
      <c r="BQ66" s="30" cm="1">
        <f t="array" ref="BQ66">SUM(_xlfn.XLOOKUP(R66:AF66,增益!$A:$A,增益!$W:$W,0))+$I$5</f>
        <v>0.21</v>
      </c>
    </row>
    <row r="67" spans="1:69">
      <c r="K67" s="41">
        <f t="shared" si="12"/>
        <v>121943.209027085</v>
      </c>
      <c r="L67" s="41">
        <f>((($AN67+$AO67)/2*$AH67+$AI67)*(1+$AP67)*(1+$AQ67)+(($AS67+$AT67)/2*IF($G$1="鸣金",$AJ67,$AH67)+IF($G$1="鸣金",$AK67*1.5,0))*(1+$AU67)*(1+$AV67)+(($AW67+$AX67)/2*IF($G$1="裂石",$AJ67,$AH67)+IF($G$1="裂石",$AK67*1.5,0))*(1+$AY67)*(1+$AZ67)+(($BA67+$BB67)/2*IF($G$1="牵丝",$AJ67,$AH67)+IF($G$1="牵丝",$AK67*1.5,0))*(1+$BC67)*(1+$BD67)+(($BE67+$BF67)/2*IF($G$1="破竹",$AJ67,$AH67)+IF($G$1="破竹",$AK67*1.5,0))*(1+$BG67)*(1+$BH67))*(1+$AL67)*$BK67*$P67*(1+IF(VLOOKUP($Q67,武学奇术!$A:$ZZ,30,FALSE)="回旋伞",$B$21,0))*(1+$BQ67)</f>
        <v>121943.209027085</v>
      </c>
      <c r="M67" s="41">
        <f>(($AO67*$AH67+$AI67)*(1+$AP67)*(1+$AQ67)+($AT67*IF($G$1="鸣金",$AJ67,$AH67)+IF($G$1="鸣金",$AK67*1.5,0))*(1+$AU67)*(1+$AV67)+($AX67*IF($G$1="裂石",$AJ67,$AH67)+IF($G$1="裂石",$AK67*1.5,0))*(1+$AY67)*(1+$AZ67)+($BB67*IF($G$1="牵丝",$AJ67,$AH67)+IF($G$1="牵丝",$AK67*1.5,0))*(1+$BC67)*(1+$BD67)+($BF67*IF($G$1="破竹",$AJ67,$AH67)+IF($G$1="破竹",$AK67*1.5,0))*(1+$BG67)*(1+$BH67))*(1+$AL67)*$BM67*$P67*(1+IF(VLOOKUP($Q67,武学奇术!$A:$ZZ,30,FALSE)="回旋伞",$B$21,0))*(1+$BQ67)</f>
        <v>87522.9602120866</v>
      </c>
      <c r="N67" s="41">
        <f>((($AN67+$AO67)/2*$AH67+$AI67)*(1+$AP67)*(1+$AQ67)+(($AS67+$AT67)/2*IF($G$1="鸣金",$AJ67,$AH67)+IF($G$1="鸣金",$AK67*1.5,0))*(1+$AU67)*(1+$AV67)+(($AW67+$AX67)/2*IF($G$1="裂石",$AJ67,$AH67)+IF($G$1="裂石",$AK67*1.5,0))*(1+$AY67)*(1+$AZ67)+(($BA67+$BB67)/2*IF($G$1="牵丝",$AJ67,$AH67)+IF($G$1="牵丝",$AK67*1.5,0))*(1+$BC67)*(1+$BD67)+(($BE67+$BF67)/2*IF($G$1="破竹",$AJ67,$AH67)+IF($G$1="破竹",$AK67*1.5,0))*(1+$BG67)*(1+$BH67))*(1+$AL67)*$P67*(1+IF(VLOOKUP($Q67,武学奇术!$A:$ZZ,30,FALSE)="回旋伞",$B$21,0))*(1+$BQ67)</f>
        <v>57520.3816165495</v>
      </c>
      <c r="O67" s="41">
        <f>((($AN67*$AH67+$AI67)*(1+$AP67)*(1+$AQ67)+($AS67*IF($G$1="鸣金",$AJ67,$AH67)+IF($G$1="鸣金",$AK67*1.5,0))*(1+$AU67)*(1+$AV67)+($AW67*IF($G$1="裂石",$AJ67,$AH67)+IF($G$1="裂石",$AK67*1.5,0))*(1+$AY67)*(1+$AZ67)+($BA67*IF($G$1="牵丝",$AJ67,$AH67)+IF($G$1="牵丝",$AK67*1.5,0))*(1+$BC67)*(1+$BD67)+($BE67*IF($G$1="破竹",$AJ67,$AH67)+IF($G$1="破竹",$AK67*1.5,0))*(1+$BG67)*(1+$BH67))*(1+$AL67))*$P67*(1+IF(VLOOKUP($Q67,武学奇术!$A:$ZZ,30,FALSE)="回旋伞",$B$21,0))*(1+$BQ67)</f>
        <v>50208.9408537755</v>
      </c>
      <c r="P67" s="42">
        <v>4</v>
      </c>
      <c r="Q67" s="43" t="s">
        <v>130</v>
      </c>
      <c r="R67" s="43" t="s">
        <v>105</v>
      </c>
      <c r="S67" s="43" t="s">
        <v>91</v>
      </c>
      <c r="T67" s="43" t="s">
        <v>72</v>
      </c>
      <c r="U67" s="43" t="s">
        <v>79</v>
      </c>
      <c r="V67" s="43" t="s">
        <v>167</v>
      </c>
      <c r="W67" s="43" t="s">
        <v>95</v>
      </c>
      <c r="X67" s="43" t="s">
        <v>71</v>
      </c>
      <c r="Y67" s="43" t="s">
        <v>177</v>
      </c>
      <c r="Z67" s="43" t="s">
        <v>71</v>
      </c>
      <c r="AA67" s="43" t="s">
        <v>116</v>
      </c>
      <c r="AB67" s="43" t="s">
        <v>179</v>
      </c>
      <c r="AC67" s="43" t="s">
        <v>71</v>
      </c>
      <c r="AD67" s="43" t="s">
        <v>71</v>
      </c>
      <c r="AE67" s="43" t="s">
        <v>71</v>
      </c>
      <c r="AF67" s="43" t="s">
        <v>76</v>
      </c>
      <c r="AG67" t="str">
        <f>VLOOKUP($Q67,武学奇术!$A:$ZZ,25,FALSE)</f>
        <v>伞</v>
      </c>
      <c r="AH67" s="30">
        <f>VLOOKUP($Q67,武学奇术!$A:$ZZ,26,FALSE)</f>
        <v>0.54</v>
      </c>
      <c r="AI67" s="31">
        <f>VLOOKUP($Q67,武学奇术!$A:$ZZ,27,FALSE)*(1+IF(OR($AG67=$F$4,$AG67=$F$5),$B$22,0))</f>
        <v>0</v>
      </c>
      <c r="AJ67" s="30">
        <f>VLOOKUP($Q67,武学奇术!$A:$ZZ,28,FALSE)</f>
        <v>0.81</v>
      </c>
      <c r="AK67" s="31">
        <f>VLOOKUP($Q67,武学奇术!$A:$ZZ,29,FALSE)*(1+IF(OR($AG67=$F$4,$AG67=$F$5),$B$22,0))</f>
        <v>0</v>
      </c>
      <c r="AL67" s="30" cm="1">
        <f t="array" ref="AL67">$G$3+IFERROR(VLOOKUP($AG67,$F$4:$G$7,2,FALSE),0)+VLOOKUP($Q67,武学奇术!$A:$ZZ,2,FALSE)+SUM(_xlfn.XLOOKUP($R67:$AF67,增益!$A:$A,增益!$B:$B,0))</f>
        <v>1.1741</v>
      </c>
      <c r="AM67" s="30" cm="1">
        <f t="array" ref="AM67">VLOOKUP($Q67,武学奇术!$A:$ZZ,5,FALSE)+SUM(_xlfn.XLOOKUP($R67:$AF67,增益!$A:$A,增益!$E:$E,0))</f>
        <v>0</v>
      </c>
      <c r="AN67" cm="1">
        <f t="array" ref="AN67">$D$10*(1+$AM67)+VLOOKUP($Q67,武学奇术!$A:$ZZ,3,FALSE)+SUM(_xlfn.XLOOKUP($R67:$AF67,增益!$A:$A,增益!$C:$C,0))-$I$2</f>
        <v>3483.8</v>
      </c>
      <c r="AO67" cm="1">
        <f t="array" ref="AO67">$E$10*(1+$AM67)+VLOOKUP($Q67,武学奇术!$A:$ZZ,4,FALSE)+SUM(_xlfn.XLOOKUP($R67:$AF67,增益!$A:$A,增益!$D:$D,0))-$I$2</f>
        <v>3483.8</v>
      </c>
      <c r="AP67" s="35" cm="1">
        <f t="array" ref="AP67">IF($F$10-$I$3+VLOOKUP($Q67,武学奇术!$A:$ZZ,6,FALSE)+SUM(_xlfn.XLOOKUP(R67:AF67,增益!$A:$A,增益!$F:$F,0))&gt;0,($F$10-$I$3+VLOOKUP($Q67,武学奇术!$A:$ZZ,6,FALSE)+SUM(_xlfn.XLOOKUP(R67:AF67,增益!$A:$A,增益!$F:$F,0)))/200,($F$10-$I$3+VLOOKUP($Q67,武学奇术!$A:$ZZ,6,FALSE)+SUM(_xlfn.XLOOKUP(R67:AF67,增益!$A:$A,增益!$F:$F,0)))/100)</f>
        <v>0.4175</v>
      </c>
      <c r="AQ67" s="35" cm="1">
        <f t="array" ref="AQ67">$G$10+VLOOKUP($Q67,武学奇术!$A:$ZZ,7,FALSE)+SUM(_xlfn.XLOOKUP(R67:AF67,增益!$A:$A,增益!$G:$G,0))</f>
        <v>0.148</v>
      </c>
      <c r="AR67" s="30" cm="1">
        <f t="array" ref="AR67">VLOOKUP($Q67,武学奇术!$A:$ZZ,8,FALSE)+SUM(_xlfn.XLOOKUP(R67:AF67,增益!$A:$A,增益!$H:$H,0))</f>
        <v>0</v>
      </c>
      <c r="AS67">
        <f t="shared" si="13"/>
        <v>0</v>
      </c>
      <c r="AT67">
        <f t="shared" si="14"/>
        <v>0</v>
      </c>
      <c r="AU67" s="35" cm="1">
        <f t="array" ref="AU67">IF($F$11-$I$4+VLOOKUP($Q67,武学奇术!$A:$ZZ,9,FALSE)+SUM(_xlfn.XLOOKUP(R67:AF67,增益!$A:$A,增益!$I:$I,0))&gt;0,($F$11-$I$4+VLOOKUP($Q67,武学奇术!$A:$ZZ,9,FALSE)+SUM(_xlfn.XLOOKUP(R67:AF67,增益!$A:$A,增益!$I:$I,0)))/200,($F$11-$I$4+VLOOKUP($Q67,武学奇术!$A:$ZZ,9,FALSE)+SUM(_xlfn.XLOOKUP(R67:AF67,增益!$A:$A,增益!$I:$I,0)))/100)</f>
        <v>-0.3</v>
      </c>
      <c r="AV67" s="35" cm="1">
        <f t="array" ref="AV67">$G$11+VLOOKUP($Q67,武学奇术!$A:$ZZ,10,FALSE)+SUM(_xlfn.XLOOKUP(R67:AF67,增益!$A:$A,增益!$J:$J,0))</f>
        <v>0</v>
      </c>
      <c r="AW67">
        <f t="shared" si="15"/>
        <v>0</v>
      </c>
      <c r="AX67">
        <f t="shared" si="16"/>
        <v>0</v>
      </c>
      <c r="AY67" s="35" cm="1">
        <f t="array" ref="AY67">IF($F$12-$I$4+VLOOKUP($Q67,武学奇术!$A:$ZZ,11,FALSE)+SUM(_xlfn.XLOOKUP(R67:AF67,增益!$A:$A,增益!$K:$K,0))&gt;0,($F$12-$I$4+VLOOKUP($Q67,武学奇术!$A:$ZZ,11,FALSE)+SUM(_xlfn.XLOOKUP(R67:AF67,增益!$A:$A,增益!$K:$K,0)))/200,($F$12-$I$4+VLOOKUP($Q67,武学奇术!$A:$ZZ,11,FALSE)+SUM(_xlfn.XLOOKUP(R67:AF67,增益!$A:$A,增益!$K:$K,0)))/100)</f>
        <v>-0.3</v>
      </c>
      <c r="AZ67" s="35" cm="1">
        <f t="array" ref="AZ67">$G$12+VLOOKUP($Q67,武学奇术!$A:$ZZ,12,FALSE)+SUM(_xlfn.XLOOKUP(R67:AF67,增益!$A:$A,增益!$L:$L,0))</f>
        <v>0</v>
      </c>
      <c r="BA67">
        <f t="shared" si="17"/>
        <v>0</v>
      </c>
      <c r="BB67">
        <f t="shared" si="18"/>
        <v>0</v>
      </c>
      <c r="BC67" s="35" cm="1">
        <f t="array" ref="BC67">IF($F$13-$I$4+VLOOKUP($Q67,武学奇术!$A:$ZZ,13,FALSE)+SUM(_xlfn.XLOOKUP(R67:AF67,增益!$A:$A,增益!$M:$M,0))&gt;0,($F$13-$I$4+VLOOKUP($Q67,武学奇术!$A:$ZZ,13,FALSE)+SUM(_xlfn.XLOOKUP(R67:AF67,增益!$A:$A,增益!$K:$K,0)))/200,($F$13-$I$4+VLOOKUP($Q67,武学奇术!$A:$ZZ,13,FALSE)+SUM(_xlfn.XLOOKUP(R67:AF67,增益!$A:$A,增益!$M:$M,0)))/100)</f>
        <v>-0.3</v>
      </c>
      <c r="BD67" s="35" cm="1">
        <f t="array" ref="BD67">$G$13+VLOOKUP($Q67,武学奇术!$A:$ZZ,14,FALSE)+SUM(_xlfn.XLOOKUP(R67:AF67,增益!$A:$A,增益!$N:$N,0))</f>
        <v>0</v>
      </c>
      <c r="BE67">
        <f t="shared" si="19"/>
        <v>538</v>
      </c>
      <c r="BF67">
        <f t="shared" si="20"/>
        <v>1561.4</v>
      </c>
      <c r="BG67" s="35" cm="1">
        <f t="array" ref="BG67">IF($F$14-$I$4+VLOOKUP($Q67,武学奇术!$A:$ZZ,15,FALSE)+SUM(_xlfn.XLOOKUP(R67:AF67,增益!$A:$A,增益!$O:$O,0))&gt;0,($F$14-$I$4+VLOOKUP($Q67,武学奇术!$A:$ZZ,15,FALSE)+SUM(_xlfn.XLOOKUP(R67:AF67,增益!$A:$A,增益!$O:$O,0)))/200,($F$14-$I$4+VLOOKUP($Q67,武学奇术!$A:$ZZ,15,FALSE)+SUM(_xlfn.XLOOKUP(R67:AF67,增益!$A:$A,增益!$O:$O,0)))/100)</f>
        <v>0</v>
      </c>
      <c r="BH67" s="35" cm="1">
        <f t="array" ref="BH67">$G$14+VLOOKUP($Q67,武学奇术!$A:$ZZ,16,FALSE)+SUM(_xlfn.XLOOKUP(R67:AF67,增益!$A:$A,增益!$P:$P,0))</f>
        <v>0.27</v>
      </c>
      <c r="BI67" s="30">
        <f>MIN(IF(VLOOKUP($Q67,武学奇术!$A:$ZZ,23,FALSE)=1,100%,$B$8),100%)</f>
        <v>1</v>
      </c>
      <c r="BJ67" s="30" cm="1">
        <f t="array" ref="BJ67">IF(VLOOKUP($Q67,武学奇术!$A:$ZZ,23,FALSE)=1,100%,MIN(80%,$B$9+VLOOKUP($Q67,武学奇术!$A:$ZZ,17,FALSE)+SUM(_xlfn.XLOOKUP(R67:AF67,增益!$A:$A,增益!$Q:$Q,0)))+$B$11+SUM(_xlfn.XLOOKUP(R67:AF67,增益!$A:$A,增益!$U:$U,0)))*IF(VLOOKUP($Q67,武学奇术!$A:$ZZ,24,FALSE)=1,0,1)</f>
        <v>1</v>
      </c>
      <c r="BK67" s="30" cm="1">
        <f t="array" ref="BK67">1+$B$13+VLOOKUP($Q67,武学奇术!$A:$ZZ,18,FALSE)+SUM(_xlfn.XLOOKUP(R67:AF67,增益!$A:$A,增益!$R:$R,0))</f>
        <v>2.12</v>
      </c>
      <c r="BL67" s="30" cm="1">
        <f t="array" ref="BL67">IF(VLOOKUP($Q67,武学奇术!$A:$ZZ,24,FALSE)=1,100%,MIN(40%,$B$10+VLOOKUP($Q67,武学奇术!$A:$ZZ,19,FALSE)+SUM(_xlfn.XLOOKUP(R67:AF67,增益!$A:$A,增益!$S:$S,0)))+$B$12+SUM(_xlfn.XLOOKUP(R67:AF67,增益!$A:$A,增益!$V:$V,0)))*IF(VLOOKUP($Q67,武学奇术!$A:$ZZ,23,FALSE)=1,0,1)</f>
        <v>0</v>
      </c>
      <c r="BM67" s="30" cm="1">
        <f t="array" ref="BM67">1+$B$14+VLOOKUP($Q67,武学奇术!$A:$ZZ,20,FALSE)+SUM(_xlfn.XLOOKUP(R67:AF67,增益!$A:$A,增益!$T:$T,0))</f>
        <v>1.35</v>
      </c>
      <c r="BN67" s="30">
        <f t="shared" si="21"/>
        <v>1</v>
      </c>
      <c r="BO67" s="30">
        <f t="shared" si="22"/>
        <v>0</v>
      </c>
      <c r="BP67" s="30">
        <f>IF(VLOOKUP($Q67,武学奇术!$A:$ZZ,22,FALSE)=1,0,(1-$BI67))*(1-$BL67)</f>
        <v>0</v>
      </c>
      <c r="BQ67" s="30" cm="1">
        <f t="array" ref="BQ67">SUM(_xlfn.XLOOKUP(R67:AF67,增益!$A:$A,增益!$W:$W,0))+$I$5</f>
        <v>0.21</v>
      </c>
    </row>
    <row r="68" spans="1:69">
      <c r="K68" s="41">
        <f t="shared" si="12"/>
        <v>208668.050034449</v>
      </c>
      <c r="L68" s="41">
        <f>((($AN68+$AO68)/2*$AH68+$AI68)*(1+$AP68)*(1+$AQ68)+(($AS68+$AT68)/2*IF($G$1="鸣金",$AJ68,$AH68)+IF($G$1="鸣金",$AK68*1.5,0))*(1+$AU68)*(1+$AV68)+(($AW68+$AX68)/2*IF($G$1="裂石",$AJ68,$AH68)+IF($G$1="裂石",$AK68*1.5,0))*(1+$AY68)*(1+$AZ68)+(($BA68+$BB68)/2*IF($G$1="牵丝",$AJ68,$AH68)+IF($G$1="牵丝",$AK68*1.5,0))*(1+$BC68)*(1+$BD68)+(($BE68+$BF68)/2*IF($G$1="破竹",$AJ68,$AH68)+IF($G$1="破竹",$AK68*1.5,0))*(1+$BG68)*(1+$BH68))*(1+$AL68)*$BK68*$P68*(1+IF(VLOOKUP($Q68,武学奇术!$A:$ZZ,30,FALSE)="回旋伞",$B$21,0))*(1+$BQ68)</f>
        <v>221450.797056592</v>
      </c>
      <c r="M68" s="41">
        <f>(($AO68*$AH68+$AI68)*(1+$AP68)*(1+$AQ68)+($AT68*IF($G$1="鸣金",$AJ68,$AH68)+IF($G$1="鸣金",$AK68*1.5,0))*(1+$AU68)*(1+$AV68)+($AX68*IF($G$1="裂石",$AJ68,$AH68)+IF($G$1="裂石",$AK68*1.5,0))*(1+$AY68)*(1+$AZ68)+($BB68*IF($G$1="牵丝",$AJ68,$AH68)+IF($G$1="牵丝",$AK68*1.5,0))*(1+$BC68)*(1+$BD68)+($BF68*IF($G$1="破竹",$AJ68,$AH68)+IF($G$1="破竹",$AK68*1.5,0))*(1+$BG68)*(1+$BH68))*(1+$AL68)*$BM68*$P68*(1+IF(VLOOKUP($Q68,武学奇术!$A:$ZZ,30,FALSE)="回旋伞",$B$21,0))*(1+$BQ68)</f>
        <v>158943.080589375</v>
      </c>
      <c r="N68" s="41">
        <f>((($AN68+$AO68)/2*$AH68+$AI68)*(1+$AP68)*(1+$AQ68)+(($AS68+$AT68)/2*IF($G$1="鸣金",$AJ68,$AH68)+IF($G$1="鸣金",$AK68*1.5,0))*(1+$AU68)*(1+$AV68)+(($AW68+$AX68)/2*IF($G$1="裂石",$AJ68,$AH68)+IF($G$1="裂石",$AK68*1.5,0))*(1+$AY68)*(1+$AZ68)+(($BA68+$BB68)/2*IF($G$1="牵丝",$AJ68,$AH68)+IF($G$1="牵丝",$AK68*1.5,0))*(1+$BC68)*(1+$BD68)+(($BE68+$BF68)/2*IF($G$1="破竹",$AJ68,$AH68)+IF($G$1="破竹",$AK68*1.5,0))*(1+$BG68)*(1+$BH68))*(1+$AL68)*$P68*(1+IF(VLOOKUP($Q68,武学奇术!$A:$ZZ,30,FALSE)="回旋伞",$B$21,0))*(1+$BQ68)</f>
        <v>104457.923139902</v>
      </c>
      <c r="O68" s="41">
        <f>((($AN68*$AH68+$AI68)*(1+$AP68)*(1+$AQ68)+($AS68*IF($G$1="鸣金",$AJ68,$AH68)+IF($G$1="鸣金",$AK68*1.5,0))*(1+$AU68)*(1+$AV68)+($AW68*IF($G$1="裂石",$AJ68,$AH68)+IF($G$1="裂石",$AK68*1.5,0))*(1+$AY68)*(1+$AZ68)+($BA68*IF($G$1="牵丝",$AJ68,$AH68)+IF($G$1="牵丝",$AK68*1.5,0))*(1+$BC68)*(1+$BD68)+($BE68*IF($G$1="破竹",$AJ68,$AH68)+IF($G$1="破竹",$AK68*1.5,0))*(1+$BG68)*(1+$BH68))*(1+$AL68))*$P68*(1+IF(VLOOKUP($Q68,武学奇术!$A:$ZZ,30,FALSE)="回旋伞",$B$21,0))*(1+$BQ68)</f>
        <v>91180.2310284147</v>
      </c>
      <c r="P68" s="42">
        <v>8</v>
      </c>
      <c r="Q68" s="43" t="s">
        <v>120</v>
      </c>
      <c r="R68" s="43" t="s">
        <v>105</v>
      </c>
      <c r="S68" s="43" t="s">
        <v>91</v>
      </c>
      <c r="T68" s="43" t="s">
        <v>72</v>
      </c>
      <c r="U68" s="43" t="s">
        <v>79</v>
      </c>
      <c r="V68" s="43" t="s">
        <v>167</v>
      </c>
      <c r="W68" s="43" t="s">
        <v>95</v>
      </c>
      <c r="X68" s="43" t="s">
        <v>71</v>
      </c>
      <c r="Y68" s="43" t="s">
        <v>177</v>
      </c>
      <c r="Z68" s="43" t="s">
        <v>71</v>
      </c>
      <c r="AA68" s="43" t="s">
        <v>116</v>
      </c>
      <c r="AB68" s="43" t="s">
        <v>179</v>
      </c>
      <c r="AC68" s="43" t="s">
        <v>71</v>
      </c>
      <c r="AD68" s="43" t="s">
        <v>71</v>
      </c>
      <c r="AE68" s="43" t="s">
        <v>71</v>
      </c>
      <c r="AF68" s="43" t="s">
        <v>76</v>
      </c>
      <c r="AG68" t="str">
        <f>VLOOKUP($Q68,武学奇术!$A:$ZZ,25,FALSE)</f>
        <v>伞</v>
      </c>
      <c r="AH68" s="30">
        <f>VLOOKUP($Q68,武学奇术!$A:$ZZ,26,FALSE)</f>
        <v>0.54</v>
      </c>
      <c r="AI68" s="31">
        <f>VLOOKUP($Q68,武学奇术!$A:$ZZ,27,FALSE)*(1+IF(OR($AG68=$F$4,$AG68=$F$5),$B$22,0))</f>
        <v>0</v>
      </c>
      <c r="AJ68" s="30">
        <f>VLOOKUP($Q68,武学奇术!$A:$ZZ,28,FALSE)</f>
        <v>0.81</v>
      </c>
      <c r="AK68" s="31">
        <f>VLOOKUP($Q68,武学奇术!$A:$ZZ,29,FALSE)*(1+IF(OR($AG68=$F$4,$AG68=$F$5),$B$22,0))</f>
        <v>0</v>
      </c>
      <c r="AL68" s="30" cm="1">
        <f t="array" ref="AL68">$G$3+IFERROR(VLOOKUP($AG68,$F$4:$G$7,2,FALSE),0)+VLOOKUP($Q68,武学奇术!$A:$ZZ,2,FALSE)+SUM(_xlfn.XLOOKUP($R68:$AF68,增益!$A:$A,增益!$B:$B,0))</f>
        <v>0.9741</v>
      </c>
      <c r="AM68" s="30" cm="1">
        <f t="array" ref="AM68">VLOOKUP($Q68,武学奇术!$A:$ZZ,5,FALSE)+SUM(_xlfn.XLOOKUP($R68:$AF68,增益!$A:$A,增益!$E:$E,0))</f>
        <v>0</v>
      </c>
      <c r="AN68" cm="1">
        <f t="array" ref="AN68">$D$10*(1+$AM68)+VLOOKUP($Q68,武学奇术!$A:$ZZ,3,FALSE)+SUM(_xlfn.XLOOKUP($R68:$AF68,增益!$A:$A,增益!$C:$C,0))-$I$2</f>
        <v>3483.8</v>
      </c>
      <c r="AO68" cm="1">
        <f t="array" ref="AO68">$E$10*(1+$AM68)+VLOOKUP($Q68,武学奇术!$A:$ZZ,4,FALSE)+SUM(_xlfn.XLOOKUP($R68:$AF68,增益!$A:$A,增益!$D:$D,0))-$I$2</f>
        <v>3483.8</v>
      </c>
      <c r="AP68" s="35" cm="1">
        <f t="array" ref="AP68">IF($F$10-$I$3+VLOOKUP($Q68,武学奇术!$A:$ZZ,6,FALSE)+SUM(_xlfn.XLOOKUP(R68:AF68,增益!$A:$A,增益!$F:$F,0))&gt;0,($F$10-$I$3+VLOOKUP($Q68,武学奇术!$A:$ZZ,6,FALSE)+SUM(_xlfn.XLOOKUP(R68:AF68,增益!$A:$A,增益!$F:$F,0)))/200,($F$10-$I$3+VLOOKUP($Q68,武学奇术!$A:$ZZ,6,FALSE)+SUM(_xlfn.XLOOKUP(R68:AF68,增益!$A:$A,增益!$F:$F,0)))/100)</f>
        <v>0.4175</v>
      </c>
      <c r="AQ68" s="35" cm="1">
        <f t="array" ref="AQ68">$G$10+VLOOKUP($Q68,武学奇术!$A:$ZZ,7,FALSE)+SUM(_xlfn.XLOOKUP(R68:AF68,增益!$A:$A,增益!$G:$G,0))</f>
        <v>0.148</v>
      </c>
      <c r="AR68" s="30" cm="1">
        <f t="array" ref="AR68">VLOOKUP($Q68,武学奇术!$A:$ZZ,8,FALSE)+SUM(_xlfn.XLOOKUP(R68:AF68,增益!$A:$A,增益!$H:$H,0))</f>
        <v>0</v>
      </c>
      <c r="AS68">
        <f t="shared" si="13"/>
        <v>0</v>
      </c>
      <c r="AT68">
        <f t="shared" si="14"/>
        <v>0</v>
      </c>
      <c r="AU68" s="35" cm="1">
        <f t="array" ref="AU68">IF($F$11-$I$4+VLOOKUP($Q68,武学奇术!$A:$ZZ,9,FALSE)+SUM(_xlfn.XLOOKUP(R68:AF68,增益!$A:$A,增益!$I:$I,0))&gt;0,($F$11-$I$4+VLOOKUP($Q68,武学奇术!$A:$ZZ,9,FALSE)+SUM(_xlfn.XLOOKUP(R68:AF68,增益!$A:$A,增益!$I:$I,0)))/200,($F$11-$I$4+VLOOKUP($Q68,武学奇术!$A:$ZZ,9,FALSE)+SUM(_xlfn.XLOOKUP(R68:AF68,增益!$A:$A,增益!$I:$I,0)))/100)</f>
        <v>-0.3</v>
      </c>
      <c r="AV68" s="35" cm="1">
        <f t="array" ref="AV68">$G$11+VLOOKUP($Q68,武学奇术!$A:$ZZ,10,FALSE)+SUM(_xlfn.XLOOKUP(R68:AF68,增益!$A:$A,增益!$J:$J,0))</f>
        <v>0</v>
      </c>
      <c r="AW68">
        <f t="shared" si="15"/>
        <v>0</v>
      </c>
      <c r="AX68">
        <f t="shared" si="16"/>
        <v>0</v>
      </c>
      <c r="AY68" s="35" cm="1">
        <f t="array" ref="AY68">IF($F$12-$I$4+VLOOKUP($Q68,武学奇术!$A:$ZZ,11,FALSE)+SUM(_xlfn.XLOOKUP(R68:AF68,增益!$A:$A,增益!$K:$K,0))&gt;0,($F$12-$I$4+VLOOKUP($Q68,武学奇术!$A:$ZZ,11,FALSE)+SUM(_xlfn.XLOOKUP(R68:AF68,增益!$A:$A,增益!$K:$K,0)))/200,($F$12-$I$4+VLOOKUP($Q68,武学奇术!$A:$ZZ,11,FALSE)+SUM(_xlfn.XLOOKUP(R68:AF68,增益!$A:$A,增益!$K:$K,0)))/100)</f>
        <v>-0.3</v>
      </c>
      <c r="AZ68" s="35" cm="1">
        <f t="array" ref="AZ68">$G$12+VLOOKUP($Q68,武学奇术!$A:$ZZ,12,FALSE)+SUM(_xlfn.XLOOKUP(R68:AF68,增益!$A:$A,增益!$L:$L,0))</f>
        <v>0</v>
      </c>
      <c r="BA68">
        <f t="shared" si="17"/>
        <v>0</v>
      </c>
      <c r="BB68">
        <f t="shared" si="18"/>
        <v>0</v>
      </c>
      <c r="BC68" s="35" cm="1">
        <f t="array" ref="BC68">IF($F$13-$I$4+VLOOKUP($Q68,武学奇术!$A:$ZZ,13,FALSE)+SUM(_xlfn.XLOOKUP(R68:AF68,增益!$A:$A,增益!$M:$M,0))&gt;0,($F$13-$I$4+VLOOKUP($Q68,武学奇术!$A:$ZZ,13,FALSE)+SUM(_xlfn.XLOOKUP(R68:AF68,增益!$A:$A,增益!$K:$K,0)))/200,($F$13-$I$4+VLOOKUP($Q68,武学奇术!$A:$ZZ,13,FALSE)+SUM(_xlfn.XLOOKUP(R68:AF68,增益!$A:$A,增益!$M:$M,0)))/100)</f>
        <v>-0.3</v>
      </c>
      <c r="BD68" s="35" cm="1">
        <f t="array" ref="BD68">$G$13+VLOOKUP($Q68,武学奇术!$A:$ZZ,14,FALSE)+SUM(_xlfn.XLOOKUP(R68:AF68,增益!$A:$A,增益!$N:$N,0))</f>
        <v>0</v>
      </c>
      <c r="BE68">
        <f t="shared" si="19"/>
        <v>538</v>
      </c>
      <c r="BF68">
        <f t="shared" si="20"/>
        <v>1561.4</v>
      </c>
      <c r="BG68" s="35" cm="1">
        <f t="array" ref="BG68">IF($F$14-$I$4+VLOOKUP($Q68,武学奇术!$A:$ZZ,15,FALSE)+SUM(_xlfn.XLOOKUP(R68:AF68,增益!$A:$A,增益!$O:$O,0))&gt;0,($F$14-$I$4+VLOOKUP($Q68,武学奇术!$A:$ZZ,15,FALSE)+SUM(_xlfn.XLOOKUP(R68:AF68,增益!$A:$A,增益!$O:$O,0)))/200,($F$14-$I$4+VLOOKUP($Q68,武学奇术!$A:$ZZ,15,FALSE)+SUM(_xlfn.XLOOKUP(R68:AF68,增益!$A:$A,增益!$O:$O,0)))/100)</f>
        <v>0</v>
      </c>
      <c r="BH68" s="35" cm="1">
        <f t="array" ref="BH68">$G$14+VLOOKUP($Q68,武学奇术!$A:$ZZ,16,FALSE)+SUM(_xlfn.XLOOKUP(R68:AF68,增益!$A:$A,增益!$P:$P,0))</f>
        <v>0.27</v>
      </c>
      <c r="BI68" s="30">
        <f>MIN(IF(VLOOKUP($Q68,武学奇术!$A:$ZZ,23,FALSE)=1,100%,$B$8),100%)</f>
        <v>0.9712</v>
      </c>
      <c r="BJ68" s="30" cm="1">
        <f t="array" ref="BJ68">IF(VLOOKUP($Q68,武学奇术!$A:$ZZ,23,FALSE)=1,100%,MIN(80%,$B$9+VLOOKUP($Q68,武学奇术!$A:$ZZ,17,FALSE)+SUM(_xlfn.XLOOKUP(R68:AF68,增益!$A:$A,增益!$Q:$Q,0)))+$B$11+SUM(_xlfn.XLOOKUP(R68:AF68,增益!$A:$A,增益!$U:$U,0)))*IF(VLOOKUP($Q68,武学奇术!$A:$ZZ,24,FALSE)=1,0,1)</f>
        <v>0.8773</v>
      </c>
      <c r="BK68" s="30" cm="1">
        <f t="array" ref="BK68">1+$B$13+VLOOKUP($Q68,武学奇术!$A:$ZZ,18,FALSE)+SUM(_xlfn.XLOOKUP(R68:AF68,增益!$A:$A,增益!$R:$R,0))</f>
        <v>2.12</v>
      </c>
      <c r="BL68" s="30" cm="1">
        <f t="array" ref="BL68">IF(VLOOKUP($Q68,武学奇术!$A:$ZZ,24,FALSE)=1,100%,MIN(40%,$B$10+VLOOKUP($Q68,武学奇术!$A:$ZZ,19,FALSE)+SUM(_xlfn.XLOOKUP(R68:AF68,增益!$A:$A,增益!$S:$S,0)))+$B$12+SUM(_xlfn.XLOOKUP(R68:AF68,增益!$A:$A,增益!$V:$V,0)))*IF(VLOOKUP($Q68,武学奇术!$A:$ZZ,23,FALSE)=1,0,1)</f>
        <v>0.0895</v>
      </c>
      <c r="BM68" s="30" cm="1">
        <f t="array" ref="BM68">1+$B$14+VLOOKUP($Q68,武学奇术!$A:$ZZ,20,FALSE)+SUM(_xlfn.XLOOKUP(R68:AF68,增益!$A:$A,增益!$T:$T,0))</f>
        <v>1.35</v>
      </c>
      <c r="BN68" s="30">
        <f t="shared" si="21"/>
        <v>0.85203376</v>
      </c>
      <c r="BO68" s="30">
        <f t="shared" si="22"/>
        <v>0.03224384</v>
      </c>
      <c r="BP68" s="30">
        <f>IF(VLOOKUP($Q68,武学奇术!$A:$ZZ,22,FALSE)=1,0,(1-$BI68))*(1-$BL68)</f>
        <v>0.0262224</v>
      </c>
      <c r="BQ68" s="30" cm="1">
        <f t="array" ref="BQ68">SUM(_xlfn.XLOOKUP(R68:AF68,增益!$A:$A,增益!$W:$W,0))+$I$5</f>
        <v>0.21</v>
      </c>
    </row>
    <row r="69" spans="1:69">
      <c r="K69" s="41">
        <f t="shared" si="12"/>
        <v>91457.4067703136</v>
      </c>
      <c r="L69" s="41">
        <f>((($AN69+$AO69)/2*$AH69+$AI69)*(1+$AP69)*(1+$AQ69)+(($AS69+$AT69)/2*IF($G$1="鸣金",$AJ69,$AH69)+IF($G$1="鸣金",$AK69*1.5,0))*(1+$AU69)*(1+$AV69)+(($AW69+$AX69)/2*IF($G$1="裂石",$AJ69,$AH69)+IF($G$1="裂石",$AK69*1.5,0))*(1+$AY69)*(1+$AZ69)+(($BA69+$BB69)/2*IF($G$1="牵丝",$AJ69,$AH69)+IF($G$1="牵丝",$AK69*1.5,0))*(1+$BC69)*(1+$BD69)+(($BE69+$BF69)/2*IF($G$1="破竹",$AJ69,$AH69)+IF($G$1="破竹",$AK69*1.5,0))*(1+$BG69)*(1+$BH69))*(1+$AL69)*$BK69*$P69*(1+IF(VLOOKUP($Q69,武学奇术!$A:$ZZ,30,FALSE)="回旋伞",$B$21,0))*(1+$BQ69)</f>
        <v>91457.4067703136</v>
      </c>
      <c r="M69" s="41">
        <f>(($AO69*$AH69+$AI69)*(1+$AP69)*(1+$AQ69)+($AT69*IF($G$1="鸣金",$AJ69,$AH69)+IF($G$1="鸣金",$AK69*1.5,0))*(1+$AU69)*(1+$AV69)+($AX69*IF($G$1="裂石",$AJ69,$AH69)+IF($G$1="裂石",$AK69*1.5,0))*(1+$AY69)*(1+$AZ69)+($BB69*IF($G$1="牵丝",$AJ69,$AH69)+IF($G$1="牵丝",$AK69*1.5,0))*(1+$BC69)*(1+$BD69)+($BF69*IF($G$1="破竹",$AJ69,$AH69)+IF($G$1="破竹",$AK69*1.5,0))*(1+$BG69)*(1+$BH69))*(1+$AL69)*$BM69*$P69*(1+IF(VLOOKUP($Q69,武学奇术!$A:$ZZ,30,FALSE)="回旋伞",$B$21,0))*(1+$BQ69)</f>
        <v>65642.220159065</v>
      </c>
      <c r="N69" s="41">
        <f>((($AN69+$AO69)/2*$AH69+$AI69)*(1+$AP69)*(1+$AQ69)+(($AS69+$AT69)/2*IF($G$1="鸣金",$AJ69,$AH69)+IF($G$1="鸣金",$AK69*1.5,0))*(1+$AU69)*(1+$AV69)+(($AW69+$AX69)/2*IF($G$1="裂石",$AJ69,$AH69)+IF($G$1="裂石",$AK69*1.5,0))*(1+$AY69)*(1+$AZ69)+(($BA69+$BB69)/2*IF($G$1="牵丝",$AJ69,$AH69)+IF($G$1="牵丝",$AK69*1.5,0))*(1+$BC69)*(1+$BD69)+(($BE69+$BF69)/2*IF($G$1="破竹",$AJ69,$AH69)+IF($G$1="破竹",$AK69*1.5,0))*(1+$BG69)*(1+$BH69))*(1+$AL69)*$P69*(1+IF(VLOOKUP($Q69,武学奇术!$A:$ZZ,30,FALSE)="回旋伞",$B$21,0))*(1+$BQ69)</f>
        <v>43140.2862124121</v>
      </c>
      <c r="O69" s="41">
        <f>((($AN69*$AH69+$AI69)*(1+$AP69)*(1+$AQ69)+($AS69*IF($G$1="鸣金",$AJ69,$AH69)+IF($G$1="鸣金",$AK69*1.5,0))*(1+$AU69)*(1+$AV69)+($AW69*IF($G$1="裂石",$AJ69,$AH69)+IF($G$1="裂石",$AK69*1.5,0))*(1+$AY69)*(1+$AZ69)+($BA69*IF($G$1="牵丝",$AJ69,$AH69)+IF($G$1="牵丝",$AK69*1.5,0))*(1+$BC69)*(1+$BD69)+($BE69*IF($G$1="破竹",$AJ69,$AH69)+IF($G$1="破竹",$AK69*1.5,0))*(1+$BG69)*(1+$BH69))*(1+$AL69))*$P69*(1+IF(VLOOKUP($Q69,武学奇术!$A:$ZZ,30,FALSE)="回旋伞",$B$21,0))*(1+$BQ69)</f>
        <v>37656.7056403316</v>
      </c>
      <c r="P69" s="42">
        <v>3</v>
      </c>
      <c r="Q69" s="43" t="s">
        <v>130</v>
      </c>
      <c r="R69" s="43" t="s">
        <v>105</v>
      </c>
      <c r="S69" s="43" t="s">
        <v>91</v>
      </c>
      <c r="T69" s="43" t="s">
        <v>72</v>
      </c>
      <c r="U69" s="43" t="s">
        <v>79</v>
      </c>
      <c r="V69" s="43" t="s">
        <v>167</v>
      </c>
      <c r="W69" s="43" t="s">
        <v>95</v>
      </c>
      <c r="X69" s="43" t="s">
        <v>71</v>
      </c>
      <c r="Y69" s="43" t="s">
        <v>177</v>
      </c>
      <c r="Z69" s="43" t="s">
        <v>71</v>
      </c>
      <c r="AA69" s="43" t="s">
        <v>116</v>
      </c>
      <c r="AB69" s="43" t="s">
        <v>179</v>
      </c>
      <c r="AC69" s="43" t="s">
        <v>71</v>
      </c>
      <c r="AD69" s="43" t="s">
        <v>71</v>
      </c>
      <c r="AE69" s="43" t="s">
        <v>71</v>
      </c>
      <c r="AF69" s="43" t="s">
        <v>76</v>
      </c>
      <c r="AG69" t="str">
        <f>VLOOKUP($Q69,武学奇术!$A:$ZZ,25,FALSE)</f>
        <v>伞</v>
      </c>
      <c r="AH69" s="30">
        <f>VLOOKUP($Q69,武学奇术!$A:$ZZ,26,FALSE)</f>
        <v>0.54</v>
      </c>
      <c r="AI69" s="31">
        <f>VLOOKUP($Q69,武学奇术!$A:$ZZ,27,FALSE)*(1+IF(OR($AG69=$F$4,$AG69=$F$5),$B$22,0))</f>
        <v>0</v>
      </c>
      <c r="AJ69" s="30">
        <f>VLOOKUP($Q69,武学奇术!$A:$ZZ,28,FALSE)</f>
        <v>0.81</v>
      </c>
      <c r="AK69" s="31">
        <f>VLOOKUP($Q69,武学奇术!$A:$ZZ,29,FALSE)*(1+IF(OR($AG69=$F$4,$AG69=$F$5),$B$22,0))</f>
        <v>0</v>
      </c>
      <c r="AL69" s="30" cm="1">
        <f t="array" ref="AL69">$G$3+IFERROR(VLOOKUP($AG69,$F$4:$G$7,2,FALSE),0)+VLOOKUP($Q69,武学奇术!$A:$ZZ,2,FALSE)+SUM(_xlfn.XLOOKUP($R69:$AF69,增益!$A:$A,增益!$B:$B,0))</f>
        <v>1.1741</v>
      </c>
      <c r="AM69" s="30" cm="1">
        <f t="array" ref="AM69">VLOOKUP($Q69,武学奇术!$A:$ZZ,5,FALSE)+SUM(_xlfn.XLOOKUP($R69:$AF69,增益!$A:$A,增益!$E:$E,0))</f>
        <v>0</v>
      </c>
      <c r="AN69" cm="1">
        <f t="array" ref="AN69">$D$10*(1+$AM69)+VLOOKUP($Q69,武学奇术!$A:$ZZ,3,FALSE)+SUM(_xlfn.XLOOKUP($R69:$AF69,增益!$A:$A,增益!$C:$C,0))-$I$2</f>
        <v>3483.8</v>
      </c>
      <c r="AO69" cm="1">
        <f t="array" ref="AO69">$E$10*(1+$AM69)+VLOOKUP($Q69,武学奇术!$A:$ZZ,4,FALSE)+SUM(_xlfn.XLOOKUP($R69:$AF69,增益!$A:$A,增益!$D:$D,0))-$I$2</f>
        <v>3483.8</v>
      </c>
      <c r="AP69" s="35" cm="1">
        <f t="array" ref="AP69">IF($F$10-$I$3+VLOOKUP($Q69,武学奇术!$A:$ZZ,6,FALSE)+SUM(_xlfn.XLOOKUP(R69:AF69,增益!$A:$A,增益!$F:$F,0))&gt;0,($F$10-$I$3+VLOOKUP($Q69,武学奇术!$A:$ZZ,6,FALSE)+SUM(_xlfn.XLOOKUP(R69:AF69,增益!$A:$A,增益!$F:$F,0)))/200,($F$10-$I$3+VLOOKUP($Q69,武学奇术!$A:$ZZ,6,FALSE)+SUM(_xlfn.XLOOKUP(R69:AF69,增益!$A:$A,增益!$F:$F,0)))/100)</f>
        <v>0.4175</v>
      </c>
      <c r="AQ69" s="35" cm="1">
        <f t="array" ref="AQ69">$G$10+VLOOKUP($Q69,武学奇术!$A:$ZZ,7,FALSE)+SUM(_xlfn.XLOOKUP(R69:AF69,增益!$A:$A,增益!$G:$G,0))</f>
        <v>0.148</v>
      </c>
      <c r="AR69" s="30" cm="1">
        <f t="array" ref="AR69">VLOOKUP($Q69,武学奇术!$A:$ZZ,8,FALSE)+SUM(_xlfn.XLOOKUP(R69:AF69,增益!$A:$A,增益!$H:$H,0))</f>
        <v>0</v>
      </c>
      <c r="AS69">
        <f t="shared" si="13"/>
        <v>0</v>
      </c>
      <c r="AT69">
        <f t="shared" si="14"/>
        <v>0</v>
      </c>
      <c r="AU69" s="35" cm="1">
        <f t="array" ref="AU69">IF($F$11-$I$4+VLOOKUP($Q69,武学奇术!$A:$ZZ,9,FALSE)+SUM(_xlfn.XLOOKUP(R69:AF69,增益!$A:$A,增益!$I:$I,0))&gt;0,($F$11-$I$4+VLOOKUP($Q69,武学奇术!$A:$ZZ,9,FALSE)+SUM(_xlfn.XLOOKUP(R69:AF69,增益!$A:$A,增益!$I:$I,0)))/200,($F$11-$I$4+VLOOKUP($Q69,武学奇术!$A:$ZZ,9,FALSE)+SUM(_xlfn.XLOOKUP(R69:AF69,增益!$A:$A,增益!$I:$I,0)))/100)</f>
        <v>-0.3</v>
      </c>
      <c r="AV69" s="35" cm="1">
        <f t="array" ref="AV69">$G$11+VLOOKUP($Q69,武学奇术!$A:$ZZ,10,FALSE)+SUM(_xlfn.XLOOKUP(R69:AF69,增益!$A:$A,增益!$J:$J,0))</f>
        <v>0</v>
      </c>
      <c r="AW69">
        <f t="shared" si="15"/>
        <v>0</v>
      </c>
      <c r="AX69">
        <f t="shared" si="16"/>
        <v>0</v>
      </c>
      <c r="AY69" s="35" cm="1">
        <f t="array" ref="AY69">IF($F$12-$I$4+VLOOKUP($Q69,武学奇术!$A:$ZZ,11,FALSE)+SUM(_xlfn.XLOOKUP(R69:AF69,增益!$A:$A,增益!$K:$K,0))&gt;0,($F$12-$I$4+VLOOKUP($Q69,武学奇术!$A:$ZZ,11,FALSE)+SUM(_xlfn.XLOOKUP(R69:AF69,增益!$A:$A,增益!$K:$K,0)))/200,($F$12-$I$4+VLOOKUP($Q69,武学奇术!$A:$ZZ,11,FALSE)+SUM(_xlfn.XLOOKUP(R69:AF69,增益!$A:$A,增益!$K:$K,0)))/100)</f>
        <v>-0.3</v>
      </c>
      <c r="AZ69" s="35" cm="1">
        <f t="array" ref="AZ69">$G$12+VLOOKUP($Q69,武学奇术!$A:$ZZ,12,FALSE)+SUM(_xlfn.XLOOKUP(R69:AF69,增益!$A:$A,增益!$L:$L,0))</f>
        <v>0</v>
      </c>
      <c r="BA69">
        <f t="shared" si="17"/>
        <v>0</v>
      </c>
      <c r="BB69">
        <f t="shared" si="18"/>
        <v>0</v>
      </c>
      <c r="BC69" s="35" cm="1">
        <f t="array" ref="BC69">IF($F$13-$I$4+VLOOKUP($Q69,武学奇术!$A:$ZZ,13,FALSE)+SUM(_xlfn.XLOOKUP(R69:AF69,增益!$A:$A,增益!$M:$M,0))&gt;0,($F$13-$I$4+VLOOKUP($Q69,武学奇术!$A:$ZZ,13,FALSE)+SUM(_xlfn.XLOOKUP(R69:AF69,增益!$A:$A,增益!$K:$K,0)))/200,($F$13-$I$4+VLOOKUP($Q69,武学奇术!$A:$ZZ,13,FALSE)+SUM(_xlfn.XLOOKUP(R69:AF69,增益!$A:$A,增益!$M:$M,0)))/100)</f>
        <v>-0.3</v>
      </c>
      <c r="BD69" s="35" cm="1">
        <f t="array" ref="BD69">$G$13+VLOOKUP($Q69,武学奇术!$A:$ZZ,14,FALSE)+SUM(_xlfn.XLOOKUP(R69:AF69,增益!$A:$A,增益!$N:$N,0))</f>
        <v>0</v>
      </c>
      <c r="BE69">
        <f t="shared" si="19"/>
        <v>538</v>
      </c>
      <c r="BF69">
        <f t="shared" si="20"/>
        <v>1561.4</v>
      </c>
      <c r="BG69" s="35" cm="1">
        <f t="array" ref="BG69">IF($F$14-$I$4+VLOOKUP($Q69,武学奇术!$A:$ZZ,15,FALSE)+SUM(_xlfn.XLOOKUP(R69:AF69,增益!$A:$A,增益!$O:$O,0))&gt;0,($F$14-$I$4+VLOOKUP($Q69,武学奇术!$A:$ZZ,15,FALSE)+SUM(_xlfn.XLOOKUP(R69:AF69,增益!$A:$A,增益!$O:$O,0)))/200,($F$14-$I$4+VLOOKUP($Q69,武学奇术!$A:$ZZ,15,FALSE)+SUM(_xlfn.XLOOKUP(R69:AF69,增益!$A:$A,增益!$O:$O,0)))/100)</f>
        <v>0</v>
      </c>
      <c r="BH69" s="35" cm="1">
        <f t="array" ref="BH69">$G$14+VLOOKUP($Q69,武学奇术!$A:$ZZ,16,FALSE)+SUM(_xlfn.XLOOKUP(R69:AF69,增益!$A:$A,增益!$P:$P,0))</f>
        <v>0.27</v>
      </c>
      <c r="BI69" s="30">
        <f>MIN(IF(VLOOKUP($Q69,武学奇术!$A:$ZZ,23,FALSE)=1,100%,$B$8),100%)</f>
        <v>1</v>
      </c>
      <c r="BJ69" s="30" cm="1">
        <f t="array" ref="BJ69">IF(VLOOKUP($Q69,武学奇术!$A:$ZZ,23,FALSE)=1,100%,MIN(80%,$B$9+VLOOKUP($Q69,武学奇术!$A:$ZZ,17,FALSE)+SUM(_xlfn.XLOOKUP(R69:AF69,增益!$A:$A,增益!$Q:$Q,0)))+$B$11+SUM(_xlfn.XLOOKUP(R69:AF69,增益!$A:$A,增益!$U:$U,0)))*IF(VLOOKUP($Q69,武学奇术!$A:$ZZ,24,FALSE)=1,0,1)</f>
        <v>1</v>
      </c>
      <c r="BK69" s="30" cm="1">
        <f t="array" ref="BK69">1+$B$13+VLOOKUP($Q69,武学奇术!$A:$ZZ,18,FALSE)+SUM(_xlfn.XLOOKUP(R69:AF69,增益!$A:$A,增益!$R:$R,0))</f>
        <v>2.12</v>
      </c>
      <c r="BL69" s="30" cm="1">
        <f t="array" ref="BL69">IF(VLOOKUP($Q69,武学奇术!$A:$ZZ,24,FALSE)=1,100%,MIN(40%,$B$10+VLOOKUP($Q69,武学奇术!$A:$ZZ,19,FALSE)+SUM(_xlfn.XLOOKUP(R69:AF69,增益!$A:$A,增益!$S:$S,0)))+$B$12+SUM(_xlfn.XLOOKUP(R69:AF69,增益!$A:$A,增益!$V:$V,0)))*IF(VLOOKUP($Q69,武学奇术!$A:$ZZ,23,FALSE)=1,0,1)</f>
        <v>0</v>
      </c>
      <c r="BM69" s="30" cm="1">
        <f t="array" ref="BM69">1+$B$14+VLOOKUP($Q69,武学奇术!$A:$ZZ,20,FALSE)+SUM(_xlfn.XLOOKUP(R69:AF69,增益!$A:$A,增益!$T:$T,0))</f>
        <v>1.35</v>
      </c>
      <c r="BN69" s="30">
        <f t="shared" si="21"/>
        <v>1</v>
      </c>
      <c r="BO69" s="30">
        <f t="shared" si="22"/>
        <v>0</v>
      </c>
      <c r="BP69" s="30">
        <f>IF(VLOOKUP($Q69,武学奇术!$A:$ZZ,22,FALSE)=1,0,(1-$BI69))*(1-$BL69)</f>
        <v>0</v>
      </c>
      <c r="BQ69" s="30" cm="1">
        <f t="array" ref="BQ69">SUM(_xlfn.XLOOKUP(R69:AF69,增益!$A:$A,增益!$W:$W,0))+$I$5</f>
        <v>0.21</v>
      </c>
    </row>
    <row r="70" spans="1:69">
      <c r="K70" s="41">
        <f t="shared" si="12"/>
        <v>104334.025017224</v>
      </c>
      <c r="L70" s="41">
        <f>((($AN70+$AO70)/2*$AH70+$AI70)*(1+$AP70)*(1+$AQ70)+(($AS70+$AT70)/2*IF($G$1="鸣金",$AJ70,$AH70)+IF($G$1="鸣金",$AK70*1.5,0))*(1+$AU70)*(1+$AV70)+(($AW70+$AX70)/2*IF($G$1="裂石",$AJ70,$AH70)+IF($G$1="裂石",$AK70*1.5,0))*(1+$AY70)*(1+$AZ70)+(($BA70+$BB70)/2*IF($G$1="牵丝",$AJ70,$AH70)+IF($G$1="牵丝",$AK70*1.5,0))*(1+$BC70)*(1+$BD70)+(($BE70+$BF70)/2*IF($G$1="破竹",$AJ70,$AH70)+IF($G$1="破竹",$AK70*1.5,0))*(1+$BG70)*(1+$BH70))*(1+$AL70)*$BK70*$P70*(1+IF(VLOOKUP($Q70,武学奇术!$A:$ZZ,30,FALSE)="回旋伞",$B$21,0))*(1+$BQ70)</f>
        <v>110725.398528296</v>
      </c>
      <c r="M70" s="41">
        <f>(($AO70*$AH70+$AI70)*(1+$AP70)*(1+$AQ70)+($AT70*IF($G$1="鸣金",$AJ70,$AH70)+IF($G$1="鸣金",$AK70*1.5,0))*(1+$AU70)*(1+$AV70)+($AX70*IF($G$1="裂石",$AJ70,$AH70)+IF($G$1="裂石",$AK70*1.5,0))*(1+$AY70)*(1+$AZ70)+($BB70*IF($G$1="牵丝",$AJ70,$AH70)+IF($G$1="牵丝",$AK70*1.5,0))*(1+$BC70)*(1+$BD70)+($BF70*IF($G$1="破竹",$AJ70,$AH70)+IF($G$1="破竹",$AK70*1.5,0))*(1+$BG70)*(1+$BH70))*(1+$AL70)*$BM70*$P70*(1+IF(VLOOKUP($Q70,武学奇术!$A:$ZZ,30,FALSE)="回旋伞",$B$21,0))*(1+$BQ70)</f>
        <v>79471.5402946875</v>
      </c>
      <c r="N70" s="41">
        <f>((($AN70+$AO70)/2*$AH70+$AI70)*(1+$AP70)*(1+$AQ70)+(($AS70+$AT70)/2*IF($G$1="鸣金",$AJ70,$AH70)+IF($G$1="鸣金",$AK70*1.5,0))*(1+$AU70)*(1+$AV70)+(($AW70+$AX70)/2*IF($G$1="裂石",$AJ70,$AH70)+IF($G$1="裂石",$AK70*1.5,0))*(1+$AY70)*(1+$AZ70)+(($BA70+$BB70)/2*IF($G$1="牵丝",$AJ70,$AH70)+IF($G$1="牵丝",$AK70*1.5,0))*(1+$BC70)*(1+$BD70)+(($BE70+$BF70)/2*IF($G$1="破竹",$AJ70,$AH70)+IF($G$1="破竹",$AK70*1.5,0))*(1+$BG70)*(1+$BH70))*(1+$AL70)*$P70*(1+IF(VLOOKUP($Q70,武学奇术!$A:$ZZ,30,FALSE)="回旋伞",$B$21,0))*(1+$BQ70)</f>
        <v>52228.9615699509</v>
      </c>
      <c r="O70" s="41">
        <f>((($AN70*$AH70+$AI70)*(1+$AP70)*(1+$AQ70)+($AS70*IF($G$1="鸣金",$AJ70,$AH70)+IF($G$1="鸣金",$AK70*1.5,0))*(1+$AU70)*(1+$AV70)+($AW70*IF($G$1="裂石",$AJ70,$AH70)+IF($G$1="裂石",$AK70*1.5,0))*(1+$AY70)*(1+$AZ70)+($BA70*IF($G$1="牵丝",$AJ70,$AH70)+IF($G$1="牵丝",$AK70*1.5,0))*(1+$BC70)*(1+$BD70)+($BE70*IF($G$1="破竹",$AJ70,$AH70)+IF($G$1="破竹",$AK70*1.5,0))*(1+$BG70)*(1+$BH70))*(1+$AL70))*$P70*(1+IF(VLOOKUP($Q70,武学奇术!$A:$ZZ,30,FALSE)="回旋伞",$B$21,0))*(1+$BQ70)</f>
        <v>45590.1155142073</v>
      </c>
      <c r="P70" s="42">
        <v>4</v>
      </c>
      <c r="Q70" s="43" t="s">
        <v>120</v>
      </c>
      <c r="R70" s="43" t="s">
        <v>105</v>
      </c>
      <c r="S70" s="43" t="s">
        <v>91</v>
      </c>
      <c r="T70" s="43" t="s">
        <v>72</v>
      </c>
      <c r="U70" s="43" t="s">
        <v>79</v>
      </c>
      <c r="V70" s="43" t="s">
        <v>167</v>
      </c>
      <c r="W70" s="43" t="s">
        <v>95</v>
      </c>
      <c r="X70" s="43" t="s">
        <v>71</v>
      </c>
      <c r="Y70" s="43" t="s">
        <v>177</v>
      </c>
      <c r="Z70" s="43" t="s">
        <v>71</v>
      </c>
      <c r="AA70" s="43" t="s">
        <v>116</v>
      </c>
      <c r="AB70" s="43" t="s">
        <v>179</v>
      </c>
      <c r="AC70" s="43" t="s">
        <v>71</v>
      </c>
      <c r="AD70" s="43" t="s">
        <v>71</v>
      </c>
      <c r="AE70" s="43" t="s">
        <v>71</v>
      </c>
      <c r="AF70" s="43" t="s">
        <v>76</v>
      </c>
      <c r="AG70" t="str">
        <f>VLOOKUP($Q70,武学奇术!$A:$ZZ,25,FALSE)</f>
        <v>伞</v>
      </c>
      <c r="AH70" s="30">
        <f>VLOOKUP($Q70,武学奇术!$A:$ZZ,26,FALSE)</f>
        <v>0.54</v>
      </c>
      <c r="AI70" s="31">
        <f>VLOOKUP($Q70,武学奇术!$A:$ZZ,27,FALSE)*(1+IF(OR($AG70=$F$4,$AG70=$F$5),$B$22,0))</f>
        <v>0</v>
      </c>
      <c r="AJ70" s="30">
        <f>VLOOKUP($Q70,武学奇术!$A:$ZZ,28,FALSE)</f>
        <v>0.81</v>
      </c>
      <c r="AK70" s="31">
        <f>VLOOKUP($Q70,武学奇术!$A:$ZZ,29,FALSE)*(1+IF(OR($AG70=$F$4,$AG70=$F$5),$B$22,0))</f>
        <v>0</v>
      </c>
      <c r="AL70" s="30" cm="1">
        <f t="array" ref="AL70">$G$3+IFERROR(VLOOKUP($AG70,$F$4:$G$7,2,FALSE),0)+VLOOKUP($Q70,武学奇术!$A:$ZZ,2,FALSE)+SUM(_xlfn.XLOOKUP($R70:$AF70,增益!$A:$A,增益!$B:$B,0))</f>
        <v>0.9741</v>
      </c>
      <c r="AM70" s="30" cm="1">
        <f t="array" ref="AM70">VLOOKUP($Q70,武学奇术!$A:$ZZ,5,FALSE)+SUM(_xlfn.XLOOKUP($R70:$AF70,增益!$A:$A,增益!$E:$E,0))</f>
        <v>0</v>
      </c>
      <c r="AN70" cm="1">
        <f t="array" ref="AN70">$D$10*(1+$AM70)+VLOOKUP($Q70,武学奇术!$A:$ZZ,3,FALSE)+SUM(_xlfn.XLOOKUP($R70:$AF70,增益!$A:$A,增益!$C:$C,0))-$I$2</f>
        <v>3483.8</v>
      </c>
      <c r="AO70" cm="1">
        <f t="array" ref="AO70">$E$10*(1+$AM70)+VLOOKUP($Q70,武学奇术!$A:$ZZ,4,FALSE)+SUM(_xlfn.XLOOKUP($R70:$AF70,增益!$A:$A,增益!$D:$D,0))-$I$2</f>
        <v>3483.8</v>
      </c>
      <c r="AP70" s="35" cm="1">
        <f t="array" ref="AP70">IF($F$10-$I$3+VLOOKUP($Q70,武学奇术!$A:$ZZ,6,FALSE)+SUM(_xlfn.XLOOKUP(R70:AF70,增益!$A:$A,增益!$F:$F,0))&gt;0,($F$10-$I$3+VLOOKUP($Q70,武学奇术!$A:$ZZ,6,FALSE)+SUM(_xlfn.XLOOKUP(R70:AF70,增益!$A:$A,增益!$F:$F,0)))/200,($F$10-$I$3+VLOOKUP($Q70,武学奇术!$A:$ZZ,6,FALSE)+SUM(_xlfn.XLOOKUP(R70:AF70,增益!$A:$A,增益!$F:$F,0)))/100)</f>
        <v>0.4175</v>
      </c>
      <c r="AQ70" s="35" cm="1">
        <f t="array" ref="AQ70">$G$10+VLOOKUP($Q70,武学奇术!$A:$ZZ,7,FALSE)+SUM(_xlfn.XLOOKUP(R70:AF70,增益!$A:$A,增益!$G:$G,0))</f>
        <v>0.148</v>
      </c>
      <c r="AR70" s="30" cm="1">
        <f t="array" ref="AR70">VLOOKUP($Q70,武学奇术!$A:$ZZ,8,FALSE)+SUM(_xlfn.XLOOKUP(R70:AF70,增益!$A:$A,增益!$H:$H,0))</f>
        <v>0</v>
      </c>
      <c r="AS70">
        <f t="shared" si="13"/>
        <v>0</v>
      </c>
      <c r="AT70">
        <f t="shared" si="14"/>
        <v>0</v>
      </c>
      <c r="AU70" s="35" cm="1">
        <f t="array" ref="AU70">IF($F$11-$I$4+VLOOKUP($Q70,武学奇术!$A:$ZZ,9,FALSE)+SUM(_xlfn.XLOOKUP(R70:AF70,增益!$A:$A,增益!$I:$I,0))&gt;0,($F$11-$I$4+VLOOKUP($Q70,武学奇术!$A:$ZZ,9,FALSE)+SUM(_xlfn.XLOOKUP(R70:AF70,增益!$A:$A,增益!$I:$I,0)))/200,($F$11-$I$4+VLOOKUP($Q70,武学奇术!$A:$ZZ,9,FALSE)+SUM(_xlfn.XLOOKUP(R70:AF70,增益!$A:$A,增益!$I:$I,0)))/100)</f>
        <v>-0.3</v>
      </c>
      <c r="AV70" s="35" cm="1">
        <f t="array" ref="AV70">$G$11+VLOOKUP($Q70,武学奇术!$A:$ZZ,10,FALSE)+SUM(_xlfn.XLOOKUP(R70:AF70,增益!$A:$A,增益!$J:$J,0))</f>
        <v>0</v>
      </c>
      <c r="AW70">
        <f t="shared" si="15"/>
        <v>0</v>
      </c>
      <c r="AX70">
        <f t="shared" si="16"/>
        <v>0</v>
      </c>
      <c r="AY70" s="35" cm="1">
        <f t="array" ref="AY70">IF($F$12-$I$4+VLOOKUP($Q70,武学奇术!$A:$ZZ,11,FALSE)+SUM(_xlfn.XLOOKUP(R70:AF70,增益!$A:$A,增益!$K:$K,0))&gt;0,($F$12-$I$4+VLOOKUP($Q70,武学奇术!$A:$ZZ,11,FALSE)+SUM(_xlfn.XLOOKUP(R70:AF70,增益!$A:$A,增益!$K:$K,0)))/200,($F$12-$I$4+VLOOKUP($Q70,武学奇术!$A:$ZZ,11,FALSE)+SUM(_xlfn.XLOOKUP(R70:AF70,增益!$A:$A,增益!$K:$K,0)))/100)</f>
        <v>-0.3</v>
      </c>
      <c r="AZ70" s="35" cm="1">
        <f t="array" ref="AZ70">$G$12+VLOOKUP($Q70,武学奇术!$A:$ZZ,12,FALSE)+SUM(_xlfn.XLOOKUP(R70:AF70,增益!$A:$A,增益!$L:$L,0))</f>
        <v>0</v>
      </c>
      <c r="BA70">
        <f t="shared" si="17"/>
        <v>0</v>
      </c>
      <c r="BB70">
        <f t="shared" si="18"/>
        <v>0</v>
      </c>
      <c r="BC70" s="35" cm="1">
        <f t="array" ref="BC70">IF($F$13-$I$4+VLOOKUP($Q70,武学奇术!$A:$ZZ,13,FALSE)+SUM(_xlfn.XLOOKUP(R70:AF70,增益!$A:$A,增益!$M:$M,0))&gt;0,($F$13-$I$4+VLOOKUP($Q70,武学奇术!$A:$ZZ,13,FALSE)+SUM(_xlfn.XLOOKUP(R70:AF70,增益!$A:$A,增益!$K:$K,0)))/200,($F$13-$I$4+VLOOKUP($Q70,武学奇术!$A:$ZZ,13,FALSE)+SUM(_xlfn.XLOOKUP(R70:AF70,增益!$A:$A,增益!$M:$M,0)))/100)</f>
        <v>-0.3</v>
      </c>
      <c r="BD70" s="35" cm="1">
        <f t="array" ref="BD70">$G$13+VLOOKUP($Q70,武学奇术!$A:$ZZ,14,FALSE)+SUM(_xlfn.XLOOKUP(R70:AF70,增益!$A:$A,增益!$N:$N,0))</f>
        <v>0</v>
      </c>
      <c r="BE70">
        <f t="shared" si="19"/>
        <v>538</v>
      </c>
      <c r="BF70">
        <f t="shared" si="20"/>
        <v>1561.4</v>
      </c>
      <c r="BG70" s="35" cm="1">
        <f t="array" ref="BG70">IF($F$14-$I$4+VLOOKUP($Q70,武学奇术!$A:$ZZ,15,FALSE)+SUM(_xlfn.XLOOKUP(R70:AF70,增益!$A:$A,增益!$O:$O,0))&gt;0,($F$14-$I$4+VLOOKUP($Q70,武学奇术!$A:$ZZ,15,FALSE)+SUM(_xlfn.XLOOKUP(R70:AF70,增益!$A:$A,增益!$O:$O,0)))/200,($F$14-$I$4+VLOOKUP($Q70,武学奇术!$A:$ZZ,15,FALSE)+SUM(_xlfn.XLOOKUP(R70:AF70,增益!$A:$A,增益!$O:$O,0)))/100)</f>
        <v>0</v>
      </c>
      <c r="BH70" s="35" cm="1">
        <f t="array" ref="BH70">$G$14+VLOOKUP($Q70,武学奇术!$A:$ZZ,16,FALSE)+SUM(_xlfn.XLOOKUP(R70:AF70,增益!$A:$A,增益!$P:$P,0))</f>
        <v>0.27</v>
      </c>
      <c r="BI70" s="30">
        <f>MIN(IF(VLOOKUP($Q70,武学奇术!$A:$ZZ,23,FALSE)=1,100%,$B$8),100%)</f>
        <v>0.9712</v>
      </c>
      <c r="BJ70" s="30" cm="1">
        <f t="array" ref="BJ70">IF(VLOOKUP($Q70,武学奇术!$A:$ZZ,23,FALSE)=1,100%,MIN(80%,$B$9+VLOOKUP($Q70,武学奇术!$A:$ZZ,17,FALSE)+SUM(_xlfn.XLOOKUP(R70:AF70,增益!$A:$A,增益!$Q:$Q,0)))+$B$11+SUM(_xlfn.XLOOKUP(R70:AF70,增益!$A:$A,增益!$U:$U,0)))*IF(VLOOKUP($Q70,武学奇术!$A:$ZZ,24,FALSE)=1,0,1)</f>
        <v>0.8773</v>
      </c>
      <c r="BK70" s="30" cm="1">
        <f t="array" ref="BK70">1+$B$13+VLOOKUP($Q70,武学奇术!$A:$ZZ,18,FALSE)+SUM(_xlfn.XLOOKUP(R70:AF70,增益!$A:$A,增益!$R:$R,0))</f>
        <v>2.12</v>
      </c>
      <c r="BL70" s="30" cm="1">
        <f t="array" ref="BL70">IF(VLOOKUP($Q70,武学奇术!$A:$ZZ,24,FALSE)=1,100%,MIN(40%,$B$10+VLOOKUP($Q70,武学奇术!$A:$ZZ,19,FALSE)+SUM(_xlfn.XLOOKUP(R70:AF70,增益!$A:$A,增益!$S:$S,0)))+$B$12+SUM(_xlfn.XLOOKUP(R70:AF70,增益!$A:$A,增益!$V:$V,0)))*IF(VLOOKUP($Q70,武学奇术!$A:$ZZ,23,FALSE)=1,0,1)</f>
        <v>0.0895</v>
      </c>
      <c r="BM70" s="30" cm="1">
        <f t="array" ref="BM70">1+$B$14+VLOOKUP($Q70,武学奇术!$A:$ZZ,20,FALSE)+SUM(_xlfn.XLOOKUP(R70:AF70,增益!$A:$A,增益!$T:$T,0))</f>
        <v>1.35</v>
      </c>
      <c r="BN70" s="30">
        <f t="shared" si="21"/>
        <v>0.85203376</v>
      </c>
      <c r="BO70" s="30">
        <f t="shared" si="22"/>
        <v>0.03224384</v>
      </c>
      <c r="BP70" s="30">
        <f>IF(VLOOKUP($Q70,武学奇术!$A:$ZZ,22,FALSE)=1,0,(1-$BI70))*(1-$BL70)</f>
        <v>0.0262224</v>
      </c>
      <c r="BQ70" s="30" cm="1">
        <f t="array" ref="BQ70">SUM(_xlfn.XLOOKUP(R70:AF70,增益!$A:$A,增益!$W:$W,0))+$I$5</f>
        <v>0.21</v>
      </c>
    </row>
    <row r="71" spans="1:69">
      <c r="K71" s="41">
        <f t="shared" si="12"/>
        <v>60844.3407780057</v>
      </c>
      <c r="L71" s="41">
        <f>((($AN71+$AO71)/2*$AH71+$AI71)*(1+$AP71)*(1+$AQ71)+(($AS71+$AT71)/2*IF($G$1="鸣金",$AJ71,$AH71)+IF($G$1="鸣金",$AK71*1.5,0))*(1+$AU71)*(1+$AV71)+(($AW71+$AX71)/2*IF($G$1="裂石",$AJ71,$AH71)+IF($G$1="裂石",$AK71*1.5,0))*(1+$AY71)*(1+$AZ71)+(($BA71+$BB71)/2*IF($G$1="牵丝",$AJ71,$AH71)+IF($G$1="牵丝",$AK71*1.5,0))*(1+$BC71)*(1+$BD71)+(($BE71+$BF71)/2*IF($G$1="破竹",$AJ71,$AH71)+IF($G$1="破竹",$AK71*1.5,0))*(1+$BG71)*(1+$BH71))*(1+$AL71)*$BK71*$P71*(1+IF(VLOOKUP($Q71,武学奇术!$A:$ZZ,30,FALSE)="回旋伞",$B$21,0))*(1+$BQ71)</f>
        <v>60844.3407780057</v>
      </c>
      <c r="M71" s="41">
        <f>(($AO71*$AH71+$AI71)*(1+$AP71)*(1+$AQ71)+($AT71*IF($G$1="鸣金",$AJ71,$AH71)+IF($G$1="鸣金",$AK71*1.5,0))*(1+$AU71)*(1+$AV71)+($AX71*IF($G$1="裂石",$AJ71,$AH71)+IF($G$1="裂石",$AK71*1.5,0))*(1+$AY71)*(1+$AZ71)+($BB71*IF($G$1="牵丝",$AJ71,$AH71)+IF($G$1="牵丝",$AK71*1.5,0))*(1+$BC71)*(1+$BD71)+($BF71*IF($G$1="破竹",$AJ71,$AH71)+IF($G$1="破竹",$AK71*1.5,0))*(1+$BG71)*(1+$BH71))*(1+$AL71)*$BM71*$P71*(1+IF(VLOOKUP($Q71,武学奇术!$A:$ZZ,30,FALSE)="回旋伞",$B$21,0))*(1+$BQ71)</f>
        <v>43120.1144243799</v>
      </c>
      <c r="N71" s="41">
        <f>((($AN71+$AO71)/2*$AH71+$AI71)*(1+$AP71)*(1+$AQ71)+(($AS71+$AT71)/2*IF($G$1="鸣金",$AJ71,$AH71)+IF($G$1="鸣金",$AK71*1.5,0))*(1+$AU71)*(1+$AV71)+(($AW71+$AX71)/2*IF($G$1="裂石",$AJ71,$AH71)+IF($G$1="裂石",$AK71*1.5,0))*(1+$AY71)*(1+$AZ71)+(($BA71+$BB71)/2*IF($G$1="牵丝",$AJ71,$AH71)+IF($G$1="牵丝",$AK71*1.5,0))*(1+$BC71)*(1+$BD71)+(($BE71+$BF71)/2*IF($G$1="破竹",$AJ71,$AH71)+IF($G$1="破竹",$AK71*1.5,0))*(1+$BG71)*(1+$BH71))*(1+$AL71)*$P71*(1+IF(VLOOKUP($Q71,武学奇术!$A:$ZZ,30,FALSE)="回旋伞",$B$21,0))*(1+$BQ71)</f>
        <v>28700.1607443423</v>
      </c>
      <c r="O71" s="41">
        <f>((($AN71*$AH71+$AI71)*(1+$AP71)*(1+$AQ71)+($AS71*IF($G$1="鸣金",$AJ71,$AH71)+IF($G$1="鸣金",$AK71*1.5,0))*(1+$AU71)*(1+$AV71)+($AW71*IF($G$1="裂石",$AJ71,$AH71)+IF($G$1="裂石",$AK71*1.5,0))*(1+$AY71)*(1+$AZ71)+($BA71*IF($G$1="牵丝",$AJ71,$AH71)+IF($G$1="牵丝",$AK71*1.5,0))*(1+$BC71)*(1+$BD71)+($BE71*IF($G$1="破竹",$AJ71,$AH71)+IF($G$1="破竹",$AK71*1.5,0))*(1+$BG71)*(1+$BH71))*(1+$AL71))*$P71*(1+IF(VLOOKUP($Q71,武学奇术!$A:$ZZ,30,FALSE)="回旋伞",$B$21,0))*(1+$BQ71)</f>
        <v>25459.4959891439</v>
      </c>
      <c r="P71" s="42">
        <v>1</v>
      </c>
      <c r="Q71" s="43" t="s">
        <v>150</v>
      </c>
      <c r="R71" s="43" t="s">
        <v>71</v>
      </c>
      <c r="S71" s="43" t="s">
        <v>91</v>
      </c>
      <c r="T71" s="43" t="s">
        <v>72</v>
      </c>
      <c r="U71" s="43" t="s">
        <v>71</v>
      </c>
      <c r="V71" s="43" t="s">
        <v>167</v>
      </c>
      <c r="W71" s="43" t="s">
        <v>95</v>
      </c>
      <c r="X71" s="43" t="s">
        <v>71</v>
      </c>
      <c r="Y71" s="43" t="s">
        <v>71</v>
      </c>
      <c r="Z71" s="43" t="s">
        <v>71</v>
      </c>
      <c r="AA71" s="43" t="s">
        <v>71</v>
      </c>
      <c r="AB71" s="43" t="s">
        <v>179</v>
      </c>
      <c r="AC71" s="43" t="s">
        <v>71</v>
      </c>
      <c r="AD71" s="43" t="s">
        <v>71</v>
      </c>
      <c r="AE71" s="43" t="s">
        <v>71</v>
      </c>
      <c r="AF71" s="43" t="s">
        <v>76</v>
      </c>
      <c r="AG71" t="str">
        <f>VLOOKUP($Q71,武学奇术!$A:$ZZ,25,FALSE)</f>
        <v>绳镖</v>
      </c>
      <c r="AH71" s="30">
        <f>VLOOKUP($Q71,武学奇术!$A:$ZZ,26,FALSE)</f>
        <v>2.2987</v>
      </c>
      <c r="AI71" s="31">
        <f>VLOOKUP($Q71,武学奇术!$A:$ZZ,27,FALSE)*(1+IF(OR($AG71=$F$4,$AG71=$F$5),$B$22,0))</f>
        <v>891.8</v>
      </c>
      <c r="AJ71" s="30">
        <f>VLOOKUP($Q71,武学奇术!$A:$ZZ,28,FALSE)</f>
        <v>3.448</v>
      </c>
      <c r="AK71" s="31">
        <f>VLOOKUP($Q71,武学奇术!$A:$ZZ,29,FALSE)*(1+IF(OR($AG71=$F$4,$AG71=$F$5),$B$22,0))</f>
        <v>485.8</v>
      </c>
      <c r="AL71" s="30" cm="1">
        <f t="array" ref="AL71">$G$3+IFERROR(VLOOKUP($AG71,$F$4:$G$7,2,FALSE),0)+VLOOKUP($Q71,武学奇术!$A:$ZZ,2,FALSE)+SUM(_xlfn.XLOOKUP($R71:$AF71,增益!$A:$A,增益!$B:$B,0))</f>
        <v>0.4389</v>
      </c>
      <c r="AM71" s="30" cm="1">
        <f t="array" ref="AM71">VLOOKUP($Q71,武学奇术!$A:$ZZ,5,FALSE)+SUM(_xlfn.XLOOKUP($R71:$AF71,增益!$A:$A,增益!$E:$E,0))</f>
        <v>0</v>
      </c>
      <c r="AN71" cm="1">
        <f t="array" ref="AN71">$D$10*(1+$AM71)+VLOOKUP($Q71,武学奇术!$A:$ZZ,3,FALSE)+SUM(_xlfn.XLOOKUP($R71:$AF71,增益!$A:$A,增益!$C:$C,0))-$I$2</f>
        <v>3483.8</v>
      </c>
      <c r="AO71" cm="1">
        <f t="array" ref="AO71">$E$10*(1+$AM71)+VLOOKUP($Q71,武学奇术!$A:$ZZ,4,FALSE)+SUM(_xlfn.XLOOKUP($R71:$AF71,增益!$A:$A,增益!$D:$D,0))-$I$2</f>
        <v>3483.8</v>
      </c>
      <c r="AP71" s="35" cm="1">
        <f t="array" ref="AP71">IF($F$10-$I$3+VLOOKUP($Q71,武学奇术!$A:$ZZ,6,FALSE)+SUM(_xlfn.XLOOKUP(R71:AF71,增益!$A:$A,增益!$F:$F,0))&gt;0,($F$10-$I$3+VLOOKUP($Q71,武学奇术!$A:$ZZ,6,FALSE)+SUM(_xlfn.XLOOKUP(R71:AF71,增益!$A:$A,增益!$F:$F,0)))/200,($F$10-$I$3+VLOOKUP($Q71,武学奇术!$A:$ZZ,6,FALSE)+SUM(_xlfn.XLOOKUP(R71:AF71,增益!$A:$A,增益!$F:$F,0)))/100)</f>
        <v>0.4175</v>
      </c>
      <c r="AQ71" s="35" cm="1">
        <f t="array" ref="AQ71">$G$10+VLOOKUP($Q71,武学奇术!$A:$ZZ,7,FALSE)+SUM(_xlfn.XLOOKUP(R71:AF71,增益!$A:$A,增益!$G:$G,0))</f>
        <v>0.028</v>
      </c>
      <c r="AR71" s="30" cm="1">
        <f t="array" ref="AR71">VLOOKUP($Q71,武学奇术!$A:$ZZ,8,FALSE)+SUM(_xlfn.XLOOKUP(R71:AF71,增益!$A:$A,增益!$H:$H,0))</f>
        <v>0</v>
      </c>
      <c r="AS71">
        <f t="shared" si="13"/>
        <v>0</v>
      </c>
      <c r="AT71">
        <f t="shared" si="14"/>
        <v>0</v>
      </c>
      <c r="AU71" s="35" cm="1">
        <f t="array" ref="AU71">IF($F$11-$I$4+VLOOKUP($Q71,武学奇术!$A:$ZZ,9,FALSE)+SUM(_xlfn.XLOOKUP(R71:AF71,增益!$A:$A,增益!$I:$I,0))&gt;0,($F$11-$I$4+VLOOKUP($Q71,武学奇术!$A:$ZZ,9,FALSE)+SUM(_xlfn.XLOOKUP(R71:AF71,增益!$A:$A,增益!$I:$I,0)))/200,($F$11-$I$4+VLOOKUP($Q71,武学奇术!$A:$ZZ,9,FALSE)+SUM(_xlfn.XLOOKUP(R71:AF71,增益!$A:$A,增益!$I:$I,0)))/100)</f>
        <v>-0.3</v>
      </c>
      <c r="AV71" s="35" cm="1">
        <f t="array" ref="AV71">$G$11+VLOOKUP($Q71,武学奇术!$A:$ZZ,10,FALSE)+SUM(_xlfn.XLOOKUP(R71:AF71,增益!$A:$A,增益!$J:$J,0))</f>
        <v>0</v>
      </c>
      <c r="AW71">
        <f t="shared" si="15"/>
        <v>0</v>
      </c>
      <c r="AX71">
        <f t="shared" si="16"/>
        <v>0</v>
      </c>
      <c r="AY71" s="35" cm="1">
        <f t="array" ref="AY71">IF($F$12-$I$4+VLOOKUP($Q71,武学奇术!$A:$ZZ,11,FALSE)+SUM(_xlfn.XLOOKUP(R71:AF71,增益!$A:$A,增益!$K:$K,0))&gt;0,($F$12-$I$4+VLOOKUP($Q71,武学奇术!$A:$ZZ,11,FALSE)+SUM(_xlfn.XLOOKUP(R71:AF71,增益!$A:$A,增益!$K:$K,0)))/200,($F$12-$I$4+VLOOKUP($Q71,武学奇术!$A:$ZZ,11,FALSE)+SUM(_xlfn.XLOOKUP(R71:AF71,增益!$A:$A,增益!$K:$K,0)))/100)</f>
        <v>-0.3</v>
      </c>
      <c r="AZ71" s="35" cm="1">
        <f t="array" ref="AZ71">$G$12+VLOOKUP($Q71,武学奇术!$A:$ZZ,12,FALSE)+SUM(_xlfn.XLOOKUP(R71:AF71,增益!$A:$A,增益!$L:$L,0))</f>
        <v>0</v>
      </c>
      <c r="BA71">
        <f t="shared" si="17"/>
        <v>0</v>
      </c>
      <c r="BB71">
        <f t="shared" si="18"/>
        <v>0</v>
      </c>
      <c r="BC71" s="35" cm="1">
        <f t="array" ref="BC71">IF($F$13-$I$4+VLOOKUP($Q71,武学奇术!$A:$ZZ,13,FALSE)+SUM(_xlfn.XLOOKUP(R71:AF71,增益!$A:$A,增益!$M:$M,0))&gt;0,($F$13-$I$4+VLOOKUP($Q71,武学奇术!$A:$ZZ,13,FALSE)+SUM(_xlfn.XLOOKUP(R71:AF71,增益!$A:$A,增益!$K:$K,0)))/200,($F$13-$I$4+VLOOKUP($Q71,武学奇术!$A:$ZZ,13,FALSE)+SUM(_xlfn.XLOOKUP(R71:AF71,增益!$A:$A,增益!$M:$M,0)))/100)</f>
        <v>-0.3</v>
      </c>
      <c r="BD71" s="35" cm="1">
        <f t="array" ref="BD71">$G$13+VLOOKUP($Q71,武学奇术!$A:$ZZ,14,FALSE)+SUM(_xlfn.XLOOKUP(R71:AF71,增益!$A:$A,增益!$N:$N,0))</f>
        <v>0</v>
      </c>
      <c r="BE71">
        <f t="shared" si="19"/>
        <v>538</v>
      </c>
      <c r="BF71">
        <f t="shared" si="20"/>
        <v>1561.4</v>
      </c>
      <c r="BG71" s="35" cm="1">
        <f t="array" ref="BG71">IF($F$14-$I$4+VLOOKUP($Q71,武学奇术!$A:$ZZ,15,FALSE)+SUM(_xlfn.XLOOKUP(R71:AF71,增益!$A:$A,增益!$O:$O,0))&gt;0,($F$14-$I$4+VLOOKUP($Q71,武学奇术!$A:$ZZ,15,FALSE)+SUM(_xlfn.XLOOKUP(R71:AF71,增益!$A:$A,增益!$O:$O,0)))/200,($F$14-$I$4+VLOOKUP($Q71,武学奇术!$A:$ZZ,15,FALSE)+SUM(_xlfn.XLOOKUP(R71:AF71,增益!$A:$A,增益!$O:$O,0)))/100)</f>
        <v>0</v>
      </c>
      <c r="BH71" s="35" cm="1">
        <f t="array" ref="BH71">$G$14+VLOOKUP($Q71,武学奇术!$A:$ZZ,16,FALSE)+SUM(_xlfn.XLOOKUP(R71:AF71,增益!$A:$A,增益!$P:$P,0))</f>
        <v>0.15</v>
      </c>
      <c r="BI71" s="30">
        <f>MIN(IF(VLOOKUP($Q71,武学奇术!$A:$ZZ,23,FALSE)=1,100%,$B$8),100%)</f>
        <v>1</v>
      </c>
      <c r="BJ71" s="30" cm="1">
        <f t="array" ref="BJ71">IF(VLOOKUP($Q71,武学奇术!$A:$ZZ,23,FALSE)=1,100%,MIN(80%,$B$9+VLOOKUP($Q71,武学奇术!$A:$ZZ,17,FALSE)+SUM(_xlfn.XLOOKUP(R71:AF71,增益!$A:$A,增益!$Q:$Q,0)))+$B$11+SUM(_xlfn.XLOOKUP(R71:AF71,增益!$A:$A,增益!$U:$U,0)))*IF(VLOOKUP($Q71,武学奇术!$A:$ZZ,24,FALSE)=1,0,1)</f>
        <v>1</v>
      </c>
      <c r="BK71" s="30" cm="1">
        <f t="array" ref="BK71">1+$B$13+VLOOKUP($Q71,武学奇术!$A:$ZZ,18,FALSE)+SUM(_xlfn.XLOOKUP(R71:AF71,增益!$A:$A,增益!$R:$R,0))</f>
        <v>2.12</v>
      </c>
      <c r="BL71" s="30" cm="1">
        <f t="array" ref="BL71">IF(VLOOKUP($Q71,武学奇术!$A:$ZZ,24,FALSE)=1,100%,MIN(40%,$B$10+VLOOKUP($Q71,武学奇术!$A:$ZZ,19,FALSE)+SUM(_xlfn.XLOOKUP(R71:AF71,增益!$A:$A,增益!$S:$S,0)))+$B$12+SUM(_xlfn.XLOOKUP(R71:AF71,增益!$A:$A,增益!$V:$V,0)))*IF(VLOOKUP($Q71,武学奇术!$A:$ZZ,23,FALSE)=1,0,1)</f>
        <v>0</v>
      </c>
      <c r="BM71" s="30" cm="1">
        <f t="array" ref="BM71">1+$B$14+VLOOKUP($Q71,武学奇术!$A:$ZZ,20,FALSE)+SUM(_xlfn.XLOOKUP(R71:AF71,增益!$A:$A,增益!$T:$T,0))</f>
        <v>1.35</v>
      </c>
      <c r="BN71" s="30">
        <f t="shared" si="21"/>
        <v>1</v>
      </c>
      <c r="BO71" s="30">
        <f t="shared" si="22"/>
        <v>0</v>
      </c>
      <c r="BP71" s="30">
        <f>IF(VLOOKUP($Q71,武学奇术!$A:$ZZ,22,FALSE)=1,0,(1-$BI71))*(1-$BL71)</f>
        <v>0</v>
      </c>
      <c r="BQ71" s="30" cm="1">
        <f t="array" ref="BQ71">SUM(_xlfn.XLOOKUP(R71:AF71,增益!$A:$A,增益!$W:$W,0))+$I$5</f>
        <v>0.11</v>
      </c>
    </row>
    <row r="72" spans="1:69">
      <c r="K72" s="89">
        <f>(SUM(K50:K71)+K144+K145)*10%</f>
        <v>231014.209457233</v>
      </c>
      <c r="L72" s="41">
        <f>((($AN72+$AO72)/2*$AH72+$AI72)*(1+$AP72)*(1+$AQ72)+(($AS72+$AT72)/2*IF($G$1="鸣金",$AJ72,$AH72)+IF($G$1="鸣金",$AK72*1.5,0))*(1+$AU72)*(1+$AV72)+(($AW72+$AX72)/2*IF($G$1="裂石",$AJ72,$AH72)+IF($G$1="裂石",$AK72*1.5,0))*(1+$AY72)*(1+$AZ72)+(($BA72+$BB72)/2*IF($G$1="牵丝",$AJ72,$AH72)+IF($G$1="牵丝",$AK72*1.5,0))*(1+$BC72)*(1+$BD72)+(($BE72+$BF72)/2*IF($G$1="破竹",$AJ72,$AH72)+IF($G$1="破竹",$AK72*1.5,0))*(1+$BG72)*(1+$BH72))*(1+$AL72)*$BK72*$P72*(1+IF(VLOOKUP($Q72,武学奇术!$A:$ZZ,30,FALSE)="回旋伞",$B$21,0))*(1+$BQ72)</f>
        <v>0</v>
      </c>
      <c r="M72" s="41">
        <f>(($AO72*$AH72+$AI72)*(1+$AP72)*(1+$AQ72)+($AT72*IF($G$1="鸣金",$AJ72,$AH72)+IF($G$1="鸣金",$AK72*1.5,0))*(1+$AU72)*(1+$AV72)+($AX72*IF($G$1="裂石",$AJ72,$AH72)+IF($G$1="裂石",$AK72*1.5,0))*(1+$AY72)*(1+$AZ72)+($BB72*IF($G$1="牵丝",$AJ72,$AH72)+IF($G$1="牵丝",$AK72*1.5,0))*(1+$BC72)*(1+$BD72)+($BF72*IF($G$1="破竹",$AJ72,$AH72)+IF($G$1="破竹",$AK72*1.5,0))*(1+$BG72)*(1+$BH72))*(1+$AL72)*$BM72*$P72*(1+IF(VLOOKUP($Q72,武学奇术!$A:$ZZ,30,FALSE)="回旋伞",$B$21,0))*(1+$BQ72)</f>
        <v>0</v>
      </c>
      <c r="N72" s="41">
        <f>((($AN72+$AO72)/2*$AH72+$AI72)*(1+$AP72)*(1+$AQ72)+(($AS72+$AT72)/2*IF($G$1="鸣金",$AJ72,$AH72)+IF($G$1="鸣金",$AK72*1.5,0))*(1+$AU72)*(1+$AV72)+(($AW72+$AX72)/2*IF($G$1="裂石",$AJ72,$AH72)+IF($G$1="裂石",$AK72*1.5,0))*(1+$AY72)*(1+$AZ72)+(($BA72+$BB72)/2*IF($G$1="牵丝",$AJ72,$AH72)+IF($G$1="牵丝",$AK72*1.5,0))*(1+$BC72)*(1+$BD72)+(($BE72+$BF72)/2*IF($G$1="破竹",$AJ72,$AH72)+IF($G$1="破竹",$AK72*1.5,0))*(1+$BG72)*(1+$BH72))*(1+$AL72)*$P72*(1+IF(VLOOKUP($Q72,武学奇术!$A:$ZZ,30,FALSE)="回旋伞",$B$21,0))*(1+$BQ72)</f>
        <v>0</v>
      </c>
      <c r="O72" s="41">
        <f>((($AN72*$AH72+$AI72)*(1+$AP72)*(1+$AQ72)+($AS72*IF($G$1="鸣金",$AJ72,$AH72)+IF($G$1="鸣金",$AK72*1.5,0))*(1+$AU72)*(1+$AV72)+($AW72*IF($G$1="裂石",$AJ72,$AH72)+IF($G$1="裂石",$AK72*1.5,0))*(1+$AY72)*(1+$AZ72)+($BA72*IF($G$1="牵丝",$AJ72,$AH72)+IF($G$1="牵丝",$AK72*1.5,0))*(1+$BC72)*(1+$BD72)+($BE72*IF($G$1="破竹",$AJ72,$AH72)+IF($G$1="破竹",$AK72*1.5,0))*(1+$BG72)*(1+$BH72))*(1+$AL72))*$P72*(1+IF(VLOOKUP($Q72,武学奇术!$A:$ZZ,30,FALSE)="回旋伞",$B$21,0))*(1+$BQ72)</f>
        <v>0</v>
      </c>
      <c r="P72" s="42">
        <v>1</v>
      </c>
      <c r="Q72" s="43" t="s">
        <v>152</v>
      </c>
      <c r="R72" s="43" t="s">
        <v>71</v>
      </c>
      <c r="S72" s="43" t="s">
        <v>71</v>
      </c>
      <c r="T72" s="43" t="s">
        <v>71</v>
      </c>
      <c r="U72" s="43" t="s">
        <v>71</v>
      </c>
      <c r="V72" s="43" t="s">
        <v>71</v>
      </c>
      <c r="W72" s="43" t="s">
        <v>71</v>
      </c>
      <c r="X72" s="43" t="s">
        <v>71</v>
      </c>
      <c r="Y72" s="43" t="s">
        <v>71</v>
      </c>
      <c r="Z72" s="43" t="s">
        <v>71</v>
      </c>
      <c r="AA72" s="43" t="s">
        <v>71</v>
      </c>
      <c r="AB72" s="43" t="s">
        <v>71</v>
      </c>
      <c r="AC72" s="43" t="s">
        <v>71</v>
      </c>
      <c r="AD72" s="43" t="s">
        <v>71</v>
      </c>
      <c r="AE72" s="43" t="s">
        <v>71</v>
      </c>
      <c r="AF72" s="43" t="s">
        <v>76</v>
      </c>
      <c r="AG72" t="str">
        <f>VLOOKUP($Q72,武学奇术!$A:$ZZ,25,FALSE)</f>
        <v>心法</v>
      </c>
      <c r="AH72" s="30">
        <f>VLOOKUP($Q72,武学奇术!$A:$ZZ,26,FALSE)</f>
        <v>0</v>
      </c>
      <c r="AI72" s="31">
        <f>VLOOKUP($Q72,武学奇术!$A:$ZZ,27,FALSE)*(1+IF(OR($AG72=$F$4,$AG72=$F$5),$B$22,0))</f>
        <v>0</v>
      </c>
      <c r="AJ72" s="30">
        <f>VLOOKUP($Q72,武学奇术!$A:$ZZ,28,FALSE)</f>
        <v>0</v>
      </c>
      <c r="AK72" s="31">
        <f>VLOOKUP($Q72,武学奇术!$A:$ZZ,29,FALSE)*(1+IF(OR($AG72=$F$4,$AG72=$F$5),$B$22,0))</f>
        <v>0</v>
      </c>
      <c r="AL72" s="30" cm="1">
        <f t="array" ref="AL72">$G$3+IFERROR(VLOOKUP($AG72,$F$4:$G$7,2,FALSE),0)+VLOOKUP($Q72,武学奇术!$A:$ZZ,2,FALSE)+SUM(_xlfn.XLOOKUP($R72:$AF72,增益!$A:$A,增益!$B:$B,0))</f>
        <v>0.1037</v>
      </c>
      <c r="AM72" s="30" cm="1">
        <f t="array" ref="AM72">VLOOKUP($Q72,武学奇术!$A:$ZZ,5,FALSE)+SUM(_xlfn.XLOOKUP($R72:$AF72,增益!$A:$A,增益!$E:$E,0))</f>
        <v>0</v>
      </c>
      <c r="AN72" cm="1">
        <f t="array" ref="AN72">$D$10*(1+$AM72)+VLOOKUP($Q72,武学奇术!$A:$ZZ,3,FALSE)+SUM(_xlfn.XLOOKUP($R72:$AF72,增益!$A:$A,增益!$C:$C,0))-$I$2</f>
        <v>3483.8</v>
      </c>
      <c r="AO72" cm="1">
        <f t="array" ref="AO72">$E$10*(1+$AM72)+VLOOKUP($Q72,武学奇术!$A:$ZZ,4,FALSE)+SUM(_xlfn.XLOOKUP($R72:$AF72,增益!$A:$A,增益!$D:$D,0))-$I$2</f>
        <v>3483.8</v>
      </c>
      <c r="AP72" s="35" cm="1">
        <f t="array" ref="AP72">IF($F$10-$I$3+VLOOKUP($Q72,武学奇术!$A:$ZZ,6,FALSE)+SUM(_xlfn.XLOOKUP(R72:AF72,增益!$A:$A,增益!$F:$F,0))&gt;0,($F$10-$I$3+VLOOKUP($Q72,武学奇术!$A:$ZZ,6,FALSE)+SUM(_xlfn.XLOOKUP(R72:AF72,增益!$A:$A,增益!$F:$F,0)))/200,($F$10-$I$3+VLOOKUP($Q72,武学奇术!$A:$ZZ,6,FALSE)+SUM(_xlfn.XLOOKUP(R72:AF72,增益!$A:$A,增益!$F:$F,0)))/100)</f>
        <v>0.1925</v>
      </c>
      <c r="AQ72" s="35" cm="1">
        <f t="array" ref="AQ72">$G$10+VLOOKUP($Q72,武学奇术!$A:$ZZ,7,FALSE)+SUM(_xlfn.XLOOKUP(R72:AF72,增益!$A:$A,增益!$G:$G,0))</f>
        <v>0.028</v>
      </c>
      <c r="AR72" s="30" cm="1">
        <f t="array" ref="AR72">VLOOKUP($Q72,武学奇术!$A:$ZZ,8,FALSE)+SUM(_xlfn.XLOOKUP(R72:AF72,增益!$A:$A,增益!$H:$H,0))</f>
        <v>0</v>
      </c>
      <c r="AS72">
        <f t="shared" si="13"/>
        <v>0</v>
      </c>
      <c r="AT72">
        <f t="shared" si="14"/>
        <v>0</v>
      </c>
      <c r="AU72" s="35" cm="1">
        <f t="array" ref="AU72">IF($F$11-$I$4+VLOOKUP($Q72,武学奇术!$A:$ZZ,9,FALSE)+SUM(_xlfn.XLOOKUP(R72:AF72,增益!$A:$A,增益!$I:$I,0))&gt;0,($F$11-$I$4+VLOOKUP($Q72,武学奇术!$A:$ZZ,9,FALSE)+SUM(_xlfn.XLOOKUP(R72:AF72,增益!$A:$A,增益!$I:$I,0)))/200,($F$11-$I$4+VLOOKUP($Q72,武学奇术!$A:$ZZ,9,FALSE)+SUM(_xlfn.XLOOKUP(R72:AF72,增益!$A:$A,增益!$I:$I,0)))/100)</f>
        <v>-0.3</v>
      </c>
      <c r="AV72" s="35" cm="1">
        <f t="array" ref="AV72">$G$11+VLOOKUP($Q72,武学奇术!$A:$ZZ,10,FALSE)+SUM(_xlfn.XLOOKUP(R72:AF72,增益!$A:$A,增益!$J:$J,0))</f>
        <v>0</v>
      </c>
      <c r="AW72">
        <f t="shared" si="15"/>
        <v>0</v>
      </c>
      <c r="AX72">
        <f t="shared" si="16"/>
        <v>0</v>
      </c>
      <c r="AY72" s="35" cm="1">
        <f t="array" ref="AY72">IF($F$12-$I$4+VLOOKUP($Q72,武学奇术!$A:$ZZ,11,FALSE)+SUM(_xlfn.XLOOKUP(R72:AF72,增益!$A:$A,增益!$K:$K,0))&gt;0,($F$12-$I$4+VLOOKUP($Q72,武学奇术!$A:$ZZ,11,FALSE)+SUM(_xlfn.XLOOKUP(R72:AF72,增益!$A:$A,增益!$K:$K,0)))/200,($F$12-$I$4+VLOOKUP($Q72,武学奇术!$A:$ZZ,11,FALSE)+SUM(_xlfn.XLOOKUP(R72:AF72,增益!$A:$A,增益!$K:$K,0)))/100)</f>
        <v>-0.3</v>
      </c>
      <c r="AZ72" s="35" cm="1">
        <f t="array" ref="AZ72">$G$12+VLOOKUP($Q72,武学奇术!$A:$ZZ,12,FALSE)+SUM(_xlfn.XLOOKUP(R72:AF72,增益!$A:$A,增益!$L:$L,0))</f>
        <v>0</v>
      </c>
      <c r="BA72">
        <f t="shared" si="17"/>
        <v>0</v>
      </c>
      <c r="BB72">
        <f t="shared" si="18"/>
        <v>0</v>
      </c>
      <c r="BC72" s="35" cm="1">
        <f t="array" ref="BC72">IF($F$13-$I$4+VLOOKUP($Q72,武学奇术!$A:$ZZ,13,FALSE)+SUM(_xlfn.XLOOKUP(R72:AF72,增益!$A:$A,增益!$M:$M,0))&gt;0,($F$13-$I$4+VLOOKUP($Q72,武学奇术!$A:$ZZ,13,FALSE)+SUM(_xlfn.XLOOKUP(R72:AF72,增益!$A:$A,增益!$K:$K,0)))/200,($F$13-$I$4+VLOOKUP($Q72,武学奇术!$A:$ZZ,13,FALSE)+SUM(_xlfn.XLOOKUP(R72:AF72,增益!$A:$A,增益!$M:$M,0)))/100)</f>
        <v>-0.3</v>
      </c>
      <c r="BD72" s="35" cm="1">
        <f t="array" ref="BD72">$G$13+VLOOKUP($Q72,武学奇术!$A:$ZZ,14,FALSE)+SUM(_xlfn.XLOOKUP(R72:AF72,增益!$A:$A,增益!$N:$N,0))</f>
        <v>0</v>
      </c>
      <c r="BE72">
        <f t="shared" si="19"/>
        <v>538</v>
      </c>
      <c r="BF72">
        <f t="shared" si="20"/>
        <v>1561.4</v>
      </c>
      <c r="BG72" s="35" cm="1">
        <f t="array" ref="BG72">IF($F$14-$I$4+VLOOKUP($Q72,武学奇术!$A:$ZZ,15,FALSE)+SUM(_xlfn.XLOOKUP(R72:AF72,增益!$A:$A,增益!$O:$O,0))&gt;0,($F$14-$I$4+VLOOKUP($Q72,武学奇术!$A:$ZZ,15,FALSE)+SUM(_xlfn.XLOOKUP(R72:AF72,增益!$A:$A,增益!$O:$O,0)))/200,($F$14-$I$4+VLOOKUP($Q72,武学奇术!$A:$ZZ,15,FALSE)+SUM(_xlfn.XLOOKUP(R72:AF72,增益!$A:$A,增益!$O:$O,0)))/100)</f>
        <v>0</v>
      </c>
      <c r="BH72" s="35" cm="1">
        <f t="array" ref="BH72">$G$14+VLOOKUP($Q72,武学奇术!$A:$ZZ,16,FALSE)+SUM(_xlfn.XLOOKUP(R72:AF72,增益!$A:$A,增益!$P:$P,0))</f>
        <v>0.15</v>
      </c>
      <c r="BI72" s="30">
        <f>MIN(IF(VLOOKUP($Q72,武学奇术!$A:$ZZ,23,FALSE)=1,100%,$B$8),100%)</f>
        <v>0.9712</v>
      </c>
      <c r="BJ72" s="30" cm="1">
        <f t="array" ref="BJ72">IF(VLOOKUP($Q72,武学奇术!$A:$ZZ,23,FALSE)=1,100%,MIN(80%,$B$9+VLOOKUP($Q72,武学奇术!$A:$ZZ,17,FALSE)+SUM(_xlfn.XLOOKUP(R72:AF72,增益!$A:$A,增益!$Q:$Q,0)))+$B$11+SUM(_xlfn.XLOOKUP(R72:AF72,增益!$A:$A,增益!$U:$U,0)))*IF(VLOOKUP($Q72,武学奇术!$A:$ZZ,24,FALSE)=1,0,1)</f>
        <v>0.8773</v>
      </c>
      <c r="BK72" s="30" cm="1">
        <f t="array" ref="BK72">1+$B$13+VLOOKUP($Q72,武学奇术!$A:$ZZ,18,FALSE)+SUM(_xlfn.XLOOKUP(R72:AF72,增益!$A:$A,增益!$R:$R,0))</f>
        <v>1.5</v>
      </c>
      <c r="BL72" s="30" cm="1">
        <f t="array" ref="BL72">IF(VLOOKUP($Q72,武学奇术!$A:$ZZ,24,FALSE)=1,100%,MIN(40%,$B$10+VLOOKUP($Q72,武学奇术!$A:$ZZ,19,FALSE)+SUM(_xlfn.XLOOKUP(R72:AF72,增益!$A:$A,增益!$S:$S,0)))+$B$12+SUM(_xlfn.XLOOKUP(R72:AF72,增益!$A:$A,增益!$V:$V,0)))*IF(VLOOKUP($Q72,武学奇术!$A:$ZZ,23,FALSE)=1,0,1)</f>
        <v>0.0895</v>
      </c>
      <c r="BM72" s="30" cm="1">
        <f t="array" ref="BM72">1+$B$14+VLOOKUP($Q72,武学奇术!$A:$ZZ,20,FALSE)+SUM(_xlfn.XLOOKUP(R72:AF72,增益!$A:$A,增益!$T:$T,0))</f>
        <v>1.35</v>
      </c>
      <c r="BN72" s="30">
        <f t="shared" si="21"/>
        <v>0.85203376</v>
      </c>
      <c r="BO72" s="30">
        <f t="shared" si="22"/>
        <v>0.03224384</v>
      </c>
      <c r="BP72" s="30">
        <f>IF(VLOOKUP($Q72,武学奇术!$A:$ZZ,22,FALSE)=1,0,(1-$BI72))*(1-$BL72)</f>
        <v>0.0262224</v>
      </c>
      <c r="BQ72" s="30" cm="1">
        <f t="array" ref="BQ72">SUM(_xlfn.XLOOKUP(R72:AF72,增益!$A:$A,增益!$W:$W,0))+$I$5</f>
        <v>0.11</v>
      </c>
    </row>
    <row r="73" spans="1:69">
      <c r="K73" s="41">
        <f t="shared" ref="K73:K89" si="23">($L73*$BN73+$M73*$BL73+$N73*$BO73+$O73*$BP73)</f>
        <v>86201.8575704262</v>
      </c>
      <c r="L73" s="41">
        <f>((($AN73+$AO73)/2*$AH73+$AI73)*(1+$AP73)*(1+$AQ73)+(($AS73+$AT73)/2*IF($G$1="鸣金",$AJ73,$AH73)+IF($G$1="鸣金",$AK73*1.5,0))*(1+$AU73)*(1+$AV73)+(($AW73+$AX73)/2*IF($G$1="裂石",$AJ73,$AH73)+IF($G$1="裂石",$AK73*1.5,0))*(1+$AY73)*(1+$AZ73)+(($BA73+$BB73)/2*IF($G$1="牵丝",$AJ73,$AH73)+IF($G$1="牵丝",$AK73*1.5,0))*(1+$BC73)*(1+$BD73)+(($BE73+$BF73)/2*IF($G$1="破竹",$AJ73,$AH73)+IF($G$1="破竹",$AK73*1.5,0))*(1+$BG73)*(1+$BH73))*(1+$AL73)*$BK73*$P73*(1+IF(VLOOKUP($Q73,武学奇术!$A:$ZZ,30,FALSE)="回旋伞",$B$21,0))*(1+$BQ73)</f>
        <v>91101.3074350196</v>
      </c>
      <c r="M73" s="41">
        <f>(($AO73*$AH73+$AI73)*(1+$AP73)*(1+$AQ73)+($AT73*IF($G$1="鸣金",$AJ73,$AH73)+IF($G$1="鸣金",$AK73*1.5,0))*(1+$AU73)*(1+$AV73)+($AX73*IF($G$1="裂石",$AJ73,$AH73)+IF($G$1="裂石",$AK73*1.5,0))*(1+$AY73)*(1+$AZ73)+($BB73*IF($G$1="牵丝",$AJ73,$AH73)+IF($G$1="牵丝",$AK73*1.5,0))*(1+$BC73)*(1+$BD73)+($BF73*IF($G$1="破竹",$AJ73,$AH73)+IF($G$1="破竹",$AK73*1.5,0))*(1+$BG73)*(1+$BH73))*(1+$AL73)*$BM73*$P73*(1+IF(VLOOKUP($Q73,武学奇术!$A:$ZZ,30,FALSE)="回旋伞",$B$21,0))*(1+$BQ73)</f>
        <v>67941.0843582003</v>
      </c>
      <c r="N73" s="41">
        <f>((($AN73+$AO73)/2*$AH73+$AI73)*(1+$AP73)*(1+$AQ73)+(($AS73+$AT73)/2*IF($G$1="鸣金",$AJ73,$AH73)+IF($G$1="鸣金",$AK73*1.5,0))*(1+$AU73)*(1+$AV73)+(($AW73+$AX73)/2*IF($G$1="裂石",$AJ73,$AH73)+IF($G$1="裂石",$AK73*1.5,0))*(1+$AY73)*(1+$AZ73)+(($BA73+$BB73)/2*IF($G$1="牵丝",$AJ73,$AH73)+IF($G$1="牵丝",$AK73*1.5,0))*(1+$BC73)*(1+$BD73)+(($BE73+$BF73)/2*IF($G$1="破竹",$AJ73,$AH73)+IF($G$1="破竹",$AK73*1.5,0))*(1+$BG73)*(1+$BH73))*(1+$AL73)*$P73*(1+IF(VLOOKUP($Q73,武学奇术!$A:$ZZ,30,FALSE)="回旋伞",$B$21,0))*(1+$BQ73)</f>
        <v>45099.6571460493</v>
      </c>
      <c r="O73" s="41">
        <f>((($AN73*$AH73+$AI73)*(1+$AP73)*(1+$AQ73)+($AS73*IF($G$1="鸣金",$AJ73,$AH73)+IF($G$1="鸣金",$AK73*1.5,0))*(1+$AU73)*(1+$AV73)+($AW73*IF($G$1="裂石",$AJ73,$AH73)+IF($G$1="裂石",$AK73*1.5,0))*(1+$AY73)*(1+$AZ73)+($BA73*IF($G$1="牵丝",$AJ73,$AH73)+IF($G$1="牵丝",$AK73*1.5,0))*(1+$BC73)*(1+$BD73)+($BE73*IF($G$1="破竹",$AJ73,$AH73)+IF($G$1="破竹",$AK73*1.5,0))*(1+$BG73)*(1+$BH73))*(1+$AL73))*$P73*(1+IF(VLOOKUP($Q73,武学奇术!$A:$ZZ,30,FALSE)="回旋伞",$B$21,0))*(1+$BQ73)</f>
        <v>39872.5851378762</v>
      </c>
      <c r="P73" s="42">
        <v>2</v>
      </c>
      <c r="Q73" s="43" t="s">
        <v>140</v>
      </c>
      <c r="R73" s="43" t="s">
        <v>71</v>
      </c>
      <c r="S73" s="43" t="s">
        <v>91</v>
      </c>
      <c r="T73" s="43" t="s">
        <v>72</v>
      </c>
      <c r="U73" s="43" t="s">
        <v>71</v>
      </c>
      <c r="V73" s="43" t="s">
        <v>71</v>
      </c>
      <c r="W73" s="43" t="s">
        <v>71</v>
      </c>
      <c r="X73" s="43" t="s">
        <v>71</v>
      </c>
      <c r="Y73" s="43" t="s">
        <v>71</v>
      </c>
      <c r="Z73" s="43" t="s">
        <v>71</v>
      </c>
      <c r="AA73" s="43" t="s">
        <v>71</v>
      </c>
      <c r="AB73" s="43" t="s">
        <v>179</v>
      </c>
      <c r="AC73" s="43" t="s">
        <v>71</v>
      </c>
      <c r="AD73" s="43" t="s">
        <v>71</v>
      </c>
      <c r="AE73" s="43" t="s">
        <v>71</v>
      </c>
      <c r="AF73" s="43" t="s">
        <v>76</v>
      </c>
      <c r="AG73" t="str">
        <f>VLOOKUP($Q73,武学奇术!$A:$ZZ,25,FALSE)</f>
        <v>伞</v>
      </c>
      <c r="AH73" s="30">
        <f>VLOOKUP($Q73,武学奇术!$A:$ZZ,26,FALSE)</f>
        <v>2.01456</v>
      </c>
      <c r="AI73" s="31">
        <f>VLOOKUP($Q73,武学奇术!$A:$ZZ,27,FALSE)*(1+IF(OR($AG73=$F$4,$AG73=$F$5),$B$22,0))</f>
        <v>781.2</v>
      </c>
      <c r="AJ73" s="30">
        <f>VLOOKUP($Q73,武学奇术!$A:$ZZ,28,FALSE)</f>
        <v>3.02184</v>
      </c>
      <c r="AK73" s="31">
        <f>VLOOKUP($Q73,武学奇术!$A:$ZZ,29,FALSE)*(1+IF(OR($AG73=$F$4,$AG73=$F$5),$B$22,0))</f>
        <v>423.36</v>
      </c>
      <c r="AL73" s="30" cm="1">
        <f t="array" ref="AL73">$G$3+IFERROR(VLOOKUP($AG73,$F$4:$G$7,2,FALSE),0)+VLOOKUP($Q73,武学奇术!$A:$ZZ,2,FALSE)+SUM(_xlfn.XLOOKUP($R73:$AF73,增益!$A:$A,增益!$B:$B,0))</f>
        <v>0.3241</v>
      </c>
      <c r="AM73" s="30" cm="1">
        <f t="array" ref="AM73">VLOOKUP($Q73,武学奇术!$A:$ZZ,5,FALSE)+SUM(_xlfn.XLOOKUP($R73:$AF73,增益!$A:$A,增益!$E:$E,0))</f>
        <v>0</v>
      </c>
      <c r="AN73" cm="1">
        <f t="array" ref="AN73">$D$10*(1+$AM73)+VLOOKUP($Q73,武学奇术!$A:$ZZ,3,FALSE)+SUM(_xlfn.XLOOKUP($R73:$AF73,增益!$A:$A,增益!$C:$C,0))-$I$2</f>
        <v>3483.8</v>
      </c>
      <c r="AO73" cm="1">
        <f t="array" ref="AO73">$E$10*(1+$AM73)+VLOOKUP($Q73,武学奇术!$A:$ZZ,4,FALSE)+SUM(_xlfn.XLOOKUP($R73:$AF73,增益!$A:$A,增益!$D:$D,0))-$I$2</f>
        <v>3483.8</v>
      </c>
      <c r="AP73" s="35" cm="1">
        <f t="array" ref="AP73">IF($F$10-$I$3+VLOOKUP($Q73,武学奇术!$A:$ZZ,6,FALSE)+SUM(_xlfn.XLOOKUP(R73:AF73,增益!$A:$A,增益!$F:$F,0))&gt;0,($F$10-$I$3+VLOOKUP($Q73,武学奇术!$A:$ZZ,6,FALSE)+SUM(_xlfn.XLOOKUP(R73:AF73,增益!$A:$A,增益!$F:$F,0)))/200,($F$10-$I$3+VLOOKUP($Q73,武学奇术!$A:$ZZ,6,FALSE)+SUM(_xlfn.XLOOKUP(R73:AF73,增益!$A:$A,增益!$F:$F,0)))/100)</f>
        <v>0.3675</v>
      </c>
      <c r="AQ73" s="35" cm="1">
        <f t="array" ref="AQ73">$G$10+VLOOKUP($Q73,武学奇术!$A:$ZZ,7,FALSE)+SUM(_xlfn.XLOOKUP(R73:AF73,增益!$A:$A,增益!$G:$G,0))</f>
        <v>0.028</v>
      </c>
      <c r="AR73" s="30" cm="1">
        <f t="array" ref="AR73">VLOOKUP($Q73,武学奇术!$A:$ZZ,8,FALSE)+SUM(_xlfn.XLOOKUP(R73:AF73,增益!$A:$A,增益!$H:$H,0))</f>
        <v>0</v>
      </c>
      <c r="AS73">
        <f t="shared" si="13"/>
        <v>0</v>
      </c>
      <c r="AT73">
        <f t="shared" si="14"/>
        <v>0</v>
      </c>
      <c r="AU73" s="35" cm="1">
        <f t="array" ref="AU73">IF($F$11-$I$4+VLOOKUP($Q73,武学奇术!$A:$ZZ,9,FALSE)+SUM(_xlfn.XLOOKUP(R73:AF73,增益!$A:$A,增益!$I:$I,0))&gt;0,($F$11-$I$4+VLOOKUP($Q73,武学奇术!$A:$ZZ,9,FALSE)+SUM(_xlfn.XLOOKUP(R73:AF73,增益!$A:$A,增益!$I:$I,0)))/200,($F$11-$I$4+VLOOKUP($Q73,武学奇术!$A:$ZZ,9,FALSE)+SUM(_xlfn.XLOOKUP(R73:AF73,增益!$A:$A,增益!$I:$I,0)))/100)</f>
        <v>-0.3</v>
      </c>
      <c r="AV73" s="35" cm="1">
        <f t="array" ref="AV73">$G$11+VLOOKUP($Q73,武学奇术!$A:$ZZ,10,FALSE)+SUM(_xlfn.XLOOKUP(R73:AF73,增益!$A:$A,增益!$J:$J,0))</f>
        <v>0</v>
      </c>
      <c r="AW73">
        <f t="shared" si="15"/>
        <v>0</v>
      </c>
      <c r="AX73">
        <f t="shared" si="16"/>
        <v>0</v>
      </c>
      <c r="AY73" s="35" cm="1">
        <f t="array" ref="AY73">IF($F$12-$I$4+VLOOKUP($Q73,武学奇术!$A:$ZZ,11,FALSE)+SUM(_xlfn.XLOOKUP(R73:AF73,增益!$A:$A,增益!$K:$K,0))&gt;0,($F$12-$I$4+VLOOKUP($Q73,武学奇术!$A:$ZZ,11,FALSE)+SUM(_xlfn.XLOOKUP(R73:AF73,增益!$A:$A,增益!$K:$K,0)))/200,($F$12-$I$4+VLOOKUP($Q73,武学奇术!$A:$ZZ,11,FALSE)+SUM(_xlfn.XLOOKUP(R73:AF73,增益!$A:$A,增益!$K:$K,0)))/100)</f>
        <v>-0.3</v>
      </c>
      <c r="AZ73" s="35" cm="1">
        <f t="array" ref="AZ73">$G$12+VLOOKUP($Q73,武学奇术!$A:$ZZ,12,FALSE)+SUM(_xlfn.XLOOKUP(R73:AF73,增益!$A:$A,增益!$L:$L,0))</f>
        <v>0</v>
      </c>
      <c r="BA73">
        <f t="shared" si="17"/>
        <v>0</v>
      </c>
      <c r="BB73">
        <f t="shared" si="18"/>
        <v>0</v>
      </c>
      <c r="BC73" s="35" cm="1">
        <f t="array" ref="BC73">IF($F$13-$I$4+VLOOKUP($Q73,武学奇术!$A:$ZZ,13,FALSE)+SUM(_xlfn.XLOOKUP(R73:AF73,增益!$A:$A,增益!$M:$M,0))&gt;0,($F$13-$I$4+VLOOKUP($Q73,武学奇术!$A:$ZZ,13,FALSE)+SUM(_xlfn.XLOOKUP(R73:AF73,增益!$A:$A,增益!$K:$K,0)))/200,($F$13-$I$4+VLOOKUP($Q73,武学奇术!$A:$ZZ,13,FALSE)+SUM(_xlfn.XLOOKUP(R73:AF73,增益!$A:$A,增益!$M:$M,0)))/100)</f>
        <v>-0.3</v>
      </c>
      <c r="BD73" s="35" cm="1">
        <f t="array" ref="BD73">$G$13+VLOOKUP($Q73,武学奇术!$A:$ZZ,14,FALSE)+SUM(_xlfn.XLOOKUP(R73:AF73,增益!$A:$A,增益!$N:$N,0))</f>
        <v>0</v>
      </c>
      <c r="BE73">
        <f t="shared" si="19"/>
        <v>538</v>
      </c>
      <c r="BF73">
        <f t="shared" si="20"/>
        <v>1561.4</v>
      </c>
      <c r="BG73" s="35" cm="1">
        <f t="array" ref="BG73">IF($F$14-$I$4+VLOOKUP($Q73,武学奇术!$A:$ZZ,15,FALSE)+SUM(_xlfn.XLOOKUP(R73:AF73,增益!$A:$A,增益!$O:$O,0))&gt;0,($F$14-$I$4+VLOOKUP($Q73,武学奇术!$A:$ZZ,15,FALSE)+SUM(_xlfn.XLOOKUP(R73:AF73,增益!$A:$A,增益!$O:$O,0)))/200,($F$14-$I$4+VLOOKUP($Q73,武学奇术!$A:$ZZ,15,FALSE)+SUM(_xlfn.XLOOKUP(R73:AF73,增益!$A:$A,增益!$O:$O,0)))/100)</f>
        <v>0</v>
      </c>
      <c r="BH73" s="35" cm="1">
        <f t="array" ref="BH73">$G$14+VLOOKUP($Q73,武学奇术!$A:$ZZ,16,FALSE)+SUM(_xlfn.XLOOKUP(R73:AF73,增益!$A:$A,增益!$P:$P,0))</f>
        <v>0.15</v>
      </c>
      <c r="BI73" s="30">
        <f>MIN(IF(VLOOKUP($Q73,武学奇术!$A:$ZZ,23,FALSE)=1,100%,$B$8),100%)</f>
        <v>0.9712</v>
      </c>
      <c r="BJ73" s="30" cm="1">
        <f t="array" ref="BJ73">IF(VLOOKUP($Q73,武学奇术!$A:$ZZ,23,FALSE)=1,100%,MIN(80%,$B$9+VLOOKUP($Q73,武学奇术!$A:$ZZ,17,FALSE)+SUM(_xlfn.XLOOKUP(R73:AF73,增益!$A:$A,增益!$Q:$Q,0)))+$B$11+SUM(_xlfn.XLOOKUP(R73:AF73,增益!$A:$A,增益!$U:$U,0)))*IF(VLOOKUP($Q73,武学奇术!$A:$ZZ,24,FALSE)=1,0,1)</f>
        <v>0.8773</v>
      </c>
      <c r="BK73" s="30" cm="1">
        <f t="array" ref="BK73">1+$B$13+VLOOKUP($Q73,武学奇术!$A:$ZZ,18,FALSE)+SUM(_xlfn.XLOOKUP(R73:AF73,增益!$A:$A,增益!$R:$R,0))</f>
        <v>2.02</v>
      </c>
      <c r="BL73" s="30" cm="1">
        <f t="array" ref="BL73">IF(VLOOKUP($Q73,武学奇术!$A:$ZZ,24,FALSE)=1,100%,MIN(40%,$B$10+VLOOKUP($Q73,武学奇术!$A:$ZZ,19,FALSE)+SUM(_xlfn.XLOOKUP(R73:AF73,增益!$A:$A,增益!$S:$S,0)))+$B$12+SUM(_xlfn.XLOOKUP(R73:AF73,增益!$A:$A,增益!$V:$V,0)))*IF(VLOOKUP($Q73,武学奇术!$A:$ZZ,23,FALSE)=1,0,1)</f>
        <v>0.0895</v>
      </c>
      <c r="BM73" s="30" cm="1">
        <f t="array" ref="BM73">1+$B$14+VLOOKUP($Q73,武学奇术!$A:$ZZ,20,FALSE)+SUM(_xlfn.XLOOKUP(R73:AF73,增益!$A:$A,增益!$T:$T,0))</f>
        <v>1.35</v>
      </c>
      <c r="BN73" s="30">
        <f t="shared" si="21"/>
        <v>0.85203376</v>
      </c>
      <c r="BO73" s="30">
        <f t="shared" si="22"/>
        <v>0.03224384</v>
      </c>
      <c r="BP73" s="30">
        <f>IF(VLOOKUP($Q73,武学奇术!$A:$ZZ,22,FALSE)=1,0,(1-$BI73))*(1-$BL73)</f>
        <v>0.0262224</v>
      </c>
      <c r="BQ73" s="30" cm="1">
        <f t="array" ref="BQ73">SUM(_xlfn.XLOOKUP(R73:AF73,增益!$A:$A,增益!$W:$W,0))+$I$5</f>
        <v>0.11</v>
      </c>
    </row>
    <row r="74" spans="1:69">
      <c r="K74" s="41">
        <f t="shared" si="23"/>
        <v>23444.8830222744</v>
      </c>
      <c r="L74" s="41">
        <f>((($AN74+$AO74)/2*$AH74+$AI74)*(1+$AP74)*(1+$AQ74)+(($AS74+$AT74)/2*IF($G$1="鸣金",$AJ74,$AH74)+IF($G$1="鸣金",$AK74*1.5,0))*(1+$AU74)*(1+$AV74)+(($AW74+$AX74)/2*IF($G$1="裂石",$AJ74,$AH74)+IF($G$1="裂石",$AK74*1.5,0))*(1+$AY74)*(1+$AZ74)+(($BA74+$BB74)/2*IF($G$1="牵丝",$AJ74,$AH74)+IF($G$1="牵丝",$AK74*1.5,0))*(1+$BC74)*(1+$BD74)+(($BE74+$BF74)/2*IF($G$1="破竹",$AJ74,$AH74)+IF($G$1="破竹",$AK74*1.5,0))*(1+$BG74)*(1+$BH74))*(1+$AL74)*$BK74*$P74*(1+IF(VLOOKUP($Q74,武学奇术!$A:$ZZ,30,FALSE)="回旋伞",$B$21,0))*(1+$BQ74)</f>
        <v>24758.2020909089</v>
      </c>
      <c r="M74" s="41">
        <f>(($AO74*$AH74+$AI74)*(1+$AP74)*(1+$AQ74)+($AT74*IF($G$1="鸣金",$AJ74,$AH74)+IF($G$1="鸣金",$AK74*1.5,0))*(1+$AU74)*(1+$AV74)+($AX74*IF($G$1="裂石",$AJ74,$AH74)+IF($G$1="裂石",$AK74*1.5,0))*(1+$AY74)*(1+$AZ74)+($BB74*IF($G$1="牵丝",$AJ74,$AH74)+IF($G$1="牵丝",$AK74*1.5,0))*(1+$BC74)*(1+$BD74)+($BF74*IF($G$1="破竹",$AJ74,$AH74)+IF($G$1="破竹",$AK74*1.5,0))*(1+$BG74)*(1+$BH74))*(1+$AL74)*$BM74*$P74*(1+IF(VLOOKUP($Q74,武学奇术!$A:$ZZ,30,FALSE)="回旋伞",$B$21,0))*(1+$BQ74)</f>
        <v>18723.5239645677</v>
      </c>
      <c r="N74" s="41">
        <f>((($AN74+$AO74)/2*$AH74+$AI74)*(1+$AP74)*(1+$AQ74)+(($AS74+$AT74)/2*IF($G$1="鸣金",$AJ74,$AH74)+IF($G$1="鸣金",$AK74*1.5,0))*(1+$AU74)*(1+$AV74)+(($AW74+$AX74)/2*IF($G$1="裂石",$AJ74,$AH74)+IF($G$1="裂石",$AK74*1.5,0))*(1+$AY74)*(1+$AZ74)+(($BA74+$BB74)/2*IF($G$1="牵丝",$AJ74,$AH74)+IF($G$1="牵丝",$AK74*1.5,0))*(1+$BC74)*(1+$BD74)+(($BE74+$BF74)/2*IF($G$1="破竹",$AJ74,$AH74)+IF($G$1="破竹",$AK74*1.5,0))*(1+$BG74)*(1+$BH74))*(1+$AL74)*$P74*(1+IF(VLOOKUP($Q74,武学奇术!$A:$ZZ,30,FALSE)="回旋伞",$B$21,0))*(1+$BQ74)</f>
        <v>12256.5356885688</v>
      </c>
      <c r="O74" s="41">
        <f>((($AN74*$AH74+$AI74)*(1+$AP74)*(1+$AQ74)+($AS74*IF($G$1="鸣金",$AJ74,$AH74)+IF($G$1="鸣金",$AK74*1.5,0))*(1+$AU74)*(1+$AV74)+($AW74*IF($G$1="裂石",$AJ74,$AH74)+IF($G$1="裂石",$AK74*1.5,0))*(1+$AY74)*(1+$AZ74)+($BA74*IF($G$1="牵丝",$AJ74,$AH74)+IF($G$1="牵丝",$AK74*1.5,0))*(1+$BC74)*(1+$BD74)+($BE74*IF($G$1="破竹",$AJ74,$AH74)+IF($G$1="破竹",$AK74*1.5,0))*(1+$BG74)*(1+$BH74))*(1+$AL74))*$P74*(1+IF(VLOOKUP($Q74,武学奇术!$A:$ZZ,30,FALSE)="回旋伞",$B$21,0))*(1+$BQ74)</f>
        <v>10643.7943663467</v>
      </c>
      <c r="P74" s="42">
        <v>2</v>
      </c>
      <c r="Q74" s="43" t="s">
        <v>143</v>
      </c>
      <c r="R74" s="43" t="s">
        <v>71</v>
      </c>
      <c r="S74" s="43" t="s">
        <v>91</v>
      </c>
      <c r="T74" s="43" t="s">
        <v>72</v>
      </c>
      <c r="U74" s="43" t="s">
        <v>71</v>
      </c>
      <c r="V74" s="43" t="s">
        <v>71</v>
      </c>
      <c r="W74" s="43" t="s">
        <v>71</v>
      </c>
      <c r="X74" s="43" t="s">
        <v>71</v>
      </c>
      <c r="Y74" s="43" t="s">
        <v>71</v>
      </c>
      <c r="Z74" s="43" t="s">
        <v>71</v>
      </c>
      <c r="AA74" s="43" t="s">
        <v>71</v>
      </c>
      <c r="AB74" s="43" t="s">
        <v>179</v>
      </c>
      <c r="AC74" s="43" t="s">
        <v>71</v>
      </c>
      <c r="AD74" s="43" t="s">
        <v>71</v>
      </c>
      <c r="AE74" s="43" t="s">
        <v>71</v>
      </c>
      <c r="AF74" s="43" t="s">
        <v>76</v>
      </c>
      <c r="AG74" t="str">
        <f>VLOOKUP($Q74,武学奇术!$A:$ZZ,25,FALSE)</f>
        <v>伞</v>
      </c>
      <c r="AH74" s="30">
        <f>VLOOKUP($Q74,武学奇术!$A:$ZZ,26,FALSE)</f>
        <v>0.54</v>
      </c>
      <c r="AI74" s="31">
        <f>VLOOKUP($Q74,武学奇术!$A:$ZZ,27,FALSE)*(1+IF(OR($AG74=$F$4,$AG74=$F$5),$B$22,0))</f>
        <v>0</v>
      </c>
      <c r="AJ74" s="30">
        <f>VLOOKUP($Q74,武学奇术!$A:$ZZ,28,FALSE)</f>
        <v>0.81</v>
      </c>
      <c r="AK74" s="31">
        <f>VLOOKUP($Q74,武学奇术!$A:$ZZ,29,FALSE)*(1+IF(OR($AG74=$F$4,$AG74=$F$5),$B$22,0))</f>
        <v>0</v>
      </c>
      <c r="AL74" s="30" cm="1">
        <f t="array" ref="AL74">$G$3+IFERROR(VLOOKUP($AG74,$F$4:$G$7,2,FALSE),0)+VLOOKUP($Q74,武学奇术!$A:$ZZ,2,FALSE)+SUM(_xlfn.XLOOKUP($R74:$AF74,增益!$A:$A,增益!$B:$B,0))</f>
        <v>0.5241</v>
      </c>
      <c r="AM74" s="30" cm="1">
        <f t="array" ref="AM74">VLOOKUP($Q74,武学奇术!$A:$ZZ,5,FALSE)+SUM(_xlfn.XLOOKUP($R74:$AF74,增益!$A:$A,增益!$E:$E,0))</f>
        <v>0</v>
      </c>
      <c r="AN74" cm="1">
        <f t="array" ref="AN74">$D$10*(1+$AM74)+VLOOKUP($Q74,武学奇术!$A:$ZZ,3,FALSE)+SUM(_xlfn.XLOOKUP($R74:$AF74,增益!$A:$A,增益!$C:$C,0))-$I$2</f>
        <v>3483.8</v>
      </c>
      <c r="AO74" cm="1">
        <f t="array" ref="AO74">$E$10*(1+$AM74)+VLOOKUP($Q74,武学奇术!$A:$ZZ,4,FALSE)+SUM(_xlfn.XLOOKUP($R74:$AF74,增益!$A:$A,增益!$D:$D,0))-$I$2</f>
        <v>3483.8</v>
      </c>
      <c r="AP74" s="35" cm="1">
        <f t="array" ref="AP74">IF($F$10-$I$3+VLOOKUP($Q74,武学奇术!$A:$ZZ,6,FALSE)+SUM(_xlfn.XLOOKUP(R74:AF74,增益!$A:$A,增益!$F:$F,0))&gt;0,($F$10-$I$3+VLOOKUP($Q74,武学奇术!$A:$ZZ,6,FALSE)+SUM(_xlfn.XLOOKUP(R74:AF74,增益!$A:$A,增益!$F:$F,0)))/200,($F$10-$I$3+VLOOKUP($Q74,武学奇术!$A:$ZZ,6,FALSE)+SUM(_xlfn.XLOOKUP(R74:AF74,增益!$A:$A,增益!$F:$F,0)))/100)</f>
        <v>0.3675</v>
      </c>
      <c r="AQ74" s="35" cm="1">
        <f t="array" ref="AQ74">$G$10+VLOOKUP($Q74,武学奇术!$A:$ZZ,7,FALSE)+SUM(_xlfn.XLOOKUP(R74:AF74,增益!$A:$A,增益!$G:$G,0))</f>
        <v>0.028</v>
      </c>
      <c r="AR74" s="30" cm="1">
        <f t="array" ref="AR74">VLOOKUP($Q74,武学奇术!$A:$ZZ,8,FALSE)+SUM(_xlfn.XLOOKUP(R74:AF74,增益!$A:$A,增益!$H:$H,0))</f>
        <v>0</v>
      </c>
      <c r="AS74">
        <f t="shared" si="13"/>
        <v>0</v>
      </c>
      <c r="AT74">
        <f t="shared" si="14"/>
        <v>0</v>
      </c>
      <c r="AU74" s="35" cm="1">
        <f t="array" ref="AU74">IF($F$11-$I$4+VLOOKUP($Q74,武学奇术!$A:$ZZ,9,FALSE)+SUM(_xlfn.XLOOKUP(R74:AF74,增益!$A:$A,增益!$I:$I,0))&gt;0,($F$11-$I$4+VLOOKUP($Q74,武学奇术!$A:$ZZ,9,FALSE)+SUM(_xlfn.XLOOKUP(R74:AF74,增益!$A:$A,增益!$I:$I,0)))/200,($F$11-$I$4+VLOOKUP($Q74,武学奇术!$A:$ZZ,9,FALSE)+SUM(_xlfn.XLOOKUP(R74:AF74,增益!$A:$A,增益!$I:$I,0)))/100)</f>
        <v>-0.3</v>
      </c>
      <c r="AV74" s="35" cm="1">
        <f t="array" ref="AV74">$G$11+VLOOKUP($Q74,武学奇术!$A:$ZZ,10,FALSE)+SUM(_xlfn.XLOOKUP(R74:AF74,增益!$A:$A,增益!$J:$J,0))</f>
        <v>0</v>
      </c>
      <c r="AW74">
        <f t="shared" si="15"/>
        <v>0</v>
      </c>
      <c r="AX74">
        <f t="shared" si="16"/>
        <v>0</v>
      </c>
      <c r="AY74" s="35" cm="1">
        <f t="array" ref="AY74">IF($F$12-$I$4+VLOOKUP($Q74,武学奇术!$A:$ZZ,11,FALSE)+SUM(_xlfn.XLOOKUP(R74:AF74,增益!$A:$A,增益!$K:$K,0))&gt;0,($F$12-$I$4+VLOOKUP($Q74,武学奇术!$A:$ZZ,11,FALSE)+SUM(_xlfn.XLOOKUP(R74:AF74,增益!$A:$A,增益!$K:$K,0)))/200,($F$12-$I$4+VLOOKUP($Q74,武学奇术!$A:$ZZ,11,FALSE)+SUM(_xlfn.XLOOKUP(R74:AF74,增益!$A:$A,增益!$K:$K,0)))/100)</f>
        <v>-0.3</v>
      </c>
      <c r="AZ74" s="35" cm="1">
        <f t="array" ref="AZ74">$G$12+VLOOKUP($Q74,武学奇术!$A:$ZZ,12,FALSE)+SUM(_xlfn.XLOOKUP(R74:AF74,增益!$A:$A,增益!$L:$L,0))</f>
        <v>0</v>
      </c>
      <c r="BA74">
        <f t="shared" si="17"/>
        <v>0</v>
      </c>
      <c r="BB74">
        <f t="shared" si="18"/>
        <v>0</v>
      </c>
      <c r="BC74" s="35" cm="1">
        <f t="array" ref="BC74">IF($F$13-$I$4+VLOOKUP($Q74,武学奇术!$A:$ZZ,13,FALSE)+SUM(_xlfn.XLOOKUP(R74:AF74,增益!$A:$A,增益!$M:$M,0))&gt;0,($F$13-$I$4+VLOOKUP($Q74,武学奇术!$A:$ZZ,13,FALSE)+SUM(_xlfn.XLOOKUP(R74:AF74,增益!$A:$A,增益!$K:$K,0)))/200,($F$13-$I$4+VLOOKUP($Q74,武学奇术!$A:$ZZ,13,FALSE)+SUM(_xlfn.XLOOKUP(R74:AF74,增益!$A:$A,增益!$M:$M,0)))/100)</f>
        <v>-0.3</v>
      </c>
      <c r="BD74" s="35" cm="1">
        <f t="array" ref="BD74">$G$13+VLOOKUP($Q74,武学奇术!$A:$ZZ,14,FALSE)+SUM(_xlfn.XLOOKUP(R74:AF74,增益!$A:$A,增益!$N:$N,0))</f>
        <v>0</v>
      </c>
      <c r="BE74">
        <f t="shared" si="19"/>
        <v>538</v>
      </c>
      <c r="BF74">
        <f t="shared" si="20"/>
        <v>1561.4</v>
      </c>
      <c r="BG74" s="35" cm="1">
        <f t="array" ref="BG74">IF($F$14-$I$4+VLOOKUP($Q74,武学奇术!$A:$ZZ,15,FALSE)+SUM(_xlfn.XLOOKUP(R74:AF74,增益!$A:$A,增益!$O:$O,0))&gt;0,($F$14-$I$4+VLOOKUP($Q74,武学奇术!$A:$ZZ,15,FALSE)+SUM(_xlfn.XLOOKUP(R74:AF74,增益!$A:$A,增益!$O:$O,0)))/200,($F$14-$I$4+VLOOKUP($Q74,武学奇术!$A:$ZZ,15,FALSE)+SUM(_xlfn.XLOOKUP(R74:AF74,增益!$A:$A,增益!$O:$O,0)))/100)</f>
        <v>0</v>
      </c>
      <c r="BH74" s="35" cm="1">
        <f t="array" ref="BH74">$G$14+VLOOKUP($Q74,武学奇术!$A:$ZZ,16,FALSE)+SUM(_xlfn.XLOOKUP(R74:AF74,增益!$A:$A,增益!$P:$P,0))</f>
        <v>0.15</v>
      </c>
      <c r="BI74" s="30">
        <f>MIN(IF(VLOOKUP($Q74,武学奇术!$A:$ZZ,23,FALSE)=1,100%,$B$8),100%)</f>
        <v>0.9712</v>
      </c>
      <c r="BJ74" s="30" cm="1">
        <f t="array" ref="BJ74">IF(VLOOKUP($Q74,武学奇术!$A:$ZZ,23,FALSE)=1,100%,MIN(80%,$B$9+VLOOKUP($Q74,武学奇术!$A:$ZZ,17,FALSE)+SUM(_xlfn.XLOOKUP(R74:AF74,增益!$A:$A,增益!$Q:$Q,0)))+$B$11+SUM(_xlfn.XLOOKUP(R74:AF74,增益!$A:$A,增益!$U:$U,0)))*IF(VLOOKUP($Q74,武学奇术!$A:$ZZ,24,FALSE)=1,0,1)</f>
        <v>0.8773</v>
      </c>
      <c r="BK74" s="30" cm="1">
        <f t="array" ref="BK74">1+$B$13+VLOOKUP($Q74,武学奇术!$A:$ZZ,18,FALSE)+SUM(_xlfn.XLOOKUP(R74:AF74,增益!$A:$A,增益!$R:$R,0))</f>
        <v>2.02</v>
      </c>
      <c r="BL74" s="30" cm="1">
        <f t="array" ref="BL74">IF(VLOOKUP($Q74,武学奇术!$A:$ZZ,24,FALSE)=1,100%,MIN(40%,$B$10+VLOOKUP($Q74,武学奇术!$A:$ZZ,19,FALSE)+SUM(_xlfn.XLOOKUP(R74:AF74,增益!$A:$A,增益!$S:$S,0)))+$B$12+SUM(_xlfn.XLOOKUP(R74:AF74,增益!$A:$A,增益!$V:$V,0)))*IF(VLOOKUP($Q74,武学奇术!$A:$ZZ,23,FALSE)=1,0,1)</f>
        <v>0.0895</v>
      </c>
      <c r="BM74" s="30" cm="1">
        <f t="array" ref="BM74">1+$B$14+VLOOKUP($Q74,武学奇术!$A:$ZZ,20,FALSE)+SUM(_xlfn.XLOOKUP(R74:AF74,增益!$A:$A,增益!$T:$T,0))</f>
        <v>1.35</v>
      </c>
      <c r="BN74" s="30">
        <f t="shared" si="21"/>
        <v>0.85203376</v>
      </c>
      <c r="BO74" s="30">
        <f t="shared" si="22"/>
        <v>0.03224384</v>
      </c>
      <c r="BP74" s="30">
        <f>IF(VLOOKUP($Q74,武学奇术!$A:$ZZ,22,FALSE)=1,0,(1-$BI74))*(1-$BL74)</f>
        <v>0.0262224</v>
      </c>
      <c r="BQ74" s="30" cm="1">
        <f t="array" ref="BQ74">SUM(_xlfn.XLOOKUP(R74:AF74,增益!$A:$A,增益!$W:$W,0))+$I$5</f>
        <v>0.11</v>
      </c>
    </row>
    <row r="75" spans="1:69">
      <c r="K75" s="41">
        <f t="shared" si="23"/>
        <v>71624.0558540999</v>
      </c>
      <c r="L75" s="41">
        <f>((($AN75+$AO75)/2*$AH75+$AI75)*(1+$AP75)*(1+$AQ75)+(($AS75+$AT75)/2*IF($G$1="鸣金",$AJ75,$AH75)+IF($G$1="鸣金",$AK75*1.5,0))*(1+$AU75)*(1+$AV75)+(($AW75+$AX75)/2*IF($G$1="裂石",$AJ75,$AH75)+IF($G$1="裂石",$AK75*1.5,0))*(1+$AY75)*(1+$AZ75)+(($BA75+$BB75)/2*IF($G$1="牵丝",$AJ75,$AH75)+IF($G$1="牵丝",$AK75*1.5,0))*(1+$BC75)*(1+$BD75)+(($BE75+$BF75)/2*IF($G$1="破竹",$AJ75,$AH75)+IF($G$1="破竹",$AK75*1.5,0))*(1+$BG75)*(1+$BH75))*(1+$AL75)*$BK75*$P75*(1+IF(VLOOKUP($Q75,武学奇术!$A:$ZZ,30,FALSE)="回旋伞",$B$21,0))*(1+$BQ75)</f>
        <v>74611.8260520031</v>
      </c>
      <c r="M75" s="41">
        <f>(($AO75*$AH75+$AI75)*(1+$AP75)*(1+$AQ75)+($AT75*IF($G$1="鸣金",$AJ75,$AH75)+IF($G$1="鸣金",$AK75*1.5,0))*(1+$AU75)*(1+$AV75)+($AX75*IF($G$1="裂石",$AJ75,$AH75)+IF($G$1="裂石",$AK75*1.5,0))*(1+$AY75)*(1+$AZ75)+($BB75*IF($G$1="牵丝",$AJ75,$AH75)+IF($G$1="牵丝",$AK75*1.5,0))*(1+$BC75)*(1+$BD75)+($BF75*IF($G$1="破竹",$AJ75,$AH75)+IF($G$1="破竹",$AK75*1.5,0))*(1+$BG75)*(1+$BH75))*(1+$AL75)*$BM75*$P75*(1+IF(VLOOKUP($Q75,武学奇术!$A:$ZZ,30,FALSE)="回旋伞",$B$21,0))*(1+$BQ75)</f>
        <v>63963.8721659513</v>
      </c>
      <c r="N75" s="41">
        <f>((($AN75+$AO75)/2*$AH75+$AI75)*(1+$AP75)*(1+$AQ75)+(($AS75+$AT75)/2*IF($G$1="鸣金",$AJ75,$AH75)+IF($G$1="鸣金",$AK75*1.5,0))*(1+$AU75)*(1+$AV75)+(($AW75+$AX75)/2*IF($G$1="裂石",$AJ75,$AH75)+IF($G$1="裂石",$AK75*1.5,0))*(1+$AY75)*(1+$AZ75)+(($BA75+$BB75)/2*IF($G$1="牵丝",$AJ75,$AH75)+IF($G$1="牵丝",$AK75*1.5,0))*(1+$BC75)*(1+$BD75)+(($BE75+$BF75)/2*IF($G$1="破竹",$AJ75,$AH75)+IF($G$1="破竹",$AK75*1.5,0))*(1+$BG75)*(1+$BH75))*(1+$AL75)*$P75*(1+IF(VLOOKUP($Q75,武学奇术!$A:$ZZ,30,FALSE)="回旋伞",$B$21,0))*(1+$BQ75)</f>
        <v>42153.5740406797</v>
      </c>
      <c r="O75" s="41">
        <f>((($AN75*$AH75+$AI75)*(1+$AP75)*(1+$AQ75)+($AS75*IF($G$1="鸣金",$AJ75,$AH75)+IF($G$1="鸣金",$AK75*1.5,0))*(1+$AU75)*(1+$AV75)+($AW75*IF($G$1="裂石",$AJ75,$AH75)+IF($G$1="裂石",$AK75*1.5,0))*(1+$AY75)*(1+$AZ75)+($BA75*IF($G$1="牵丝",$AJ75,$AH75)+IF($G$1="牵丝",$AK75*1.5,0))*(1+$BC75)*(1+$BD75)+($BE75*IF($G$1="破竹",$AJ75,$AH75)+IF($G$1="破竹",$AK75*1.5,0))*(1+$BG75)*(1+$BH75))*(1+$AL75))*$P75*(1+IF(VLOOKUP($Q75,武学奇术!$A:$ZZ,30,FALSE)="回旋伞",$B$21,0))*(1+$BQ75)</f>
        <v>36926.5020325066</v>
      </c>
      <c r="P75" s="42">
        <v>2</v>
      </c>
      <c r="Q75" s="43" t="s">
        <v>140</v>
      </c>
      <c r="R75" s="43" t="s">
        <v>71</v>
      </c>
      <c r="S75" s="43" t="s">
        <v>91</v>
      </c>
      <c r="T75" s="43" t="s">
        <v>72</v>
      </c>
      <c r="U75" s="43" t="s">
        <v>71</v>
      </c>
      <c r="V75" s="43" t="s">
        <v>71</v>
      </c>
      <c r="W75" s="43" t="s">
        <v>71</v>
      </c>
      <c r="X75" s="43" t="s">
        <v>71</v>
      </c>
      <c r="Y75" s="43" t="s">
        <v>71</v>
      </c>
      <c r="Z75" s="43" t="s">
        <v>71</v>
      </c>
      <c r="AA75" s="43" t="s">
        <v>71</v>
      </c>
      <c r="AB75" s="43" t="s">
        <v>71</v>
      </c>
      <c r="AC75" s="43" t="s">
        <v>71</v>
      </c>
      <c r="AD75" s="43" t="s">
        <v>71</v>
      </c>
      <c r="AE75" s="43" t="s">
        <v>71</v>
      </c>
      <c r="AF75" s="43" t="s">
        <v>76</v>
      </c>
      <c r="AG75" t="str">
        <f>VLOOKUP($Q75,武学奇术!$A:$ZZ,25,FALSE)</f>
        <v>伞</v>
      </c>
      <c r="AH75" s="30">
        <f>VLOOKUP($Q75,武学奇术!$A:$ZZ,26,FALSE)</f>
        <v>2.01456</v>
      </c>
      <c r="AI75" s="31">
        <f>VLOOKUP($Q75,武学奇术!$A:$ZZ,27,FALSE)*(1+IF(OR($AG75=$F$4,$AG75=$F$5),$B$22,0))</f>
        <v>781.2</v>
      </c>
      <c r="AJ75" s="30">
        <f>VLOOKUP($Q75,武学奇术!$A:$ZZ,28,FALSE)</f>
        <v>3.02184</v>
      </c>
      <c r="AK75" s="31">
        <f>VLOOKUP($Q75,武学奇术!$A:$ZZ,29,FALSE)*(1+IF(OR($AG75=$F$4,$AG75=$F$5),$B$22,0))</f>
        <v>423.36</v>
      </c>
      <c r="AL75" s="30" cm="1">
        <f t="array" ref="AL75">$G$3+IFERROR(VLOOKUP($AG75,$F$4:$G$7,2,FALSE),0)+VLOOKUP($Q75,武学奇术!$A:$ZZ,2,FALSE)+SUM(_xlfn.XLOOKUP($R75:$AF75,增益!$A:$A,增益!$B:$B,0))</f>
        <v>0.3241</v>
      </c>
      <c r="AM75" s="30" cm="1">
        <f t="array" ref="AM75">VLOOKUP($Q75,武学奇术!$A:$ZZ,5,FALSE)+SUM(_xlfn.XLOOKUP($R75:$AF75,增益!$A:$A,增益!$E:$E,0))</f>
        <v>0</v>
      </c>
      <c r="AN75" cm="1">
        <f t="array" ref="AN75">$D$10*(1+$AM75)+VLOOKUP($Q75,武学奇术!$A:$ZZ,3,FALSE)+SUM(_xlfn.XLOOKUP($R75:$AF75,增益!$A:$A,增益!$C:$C,0))-$I$2</f>
        <v>3483.8</v>
      </c>
      <c r="AO75" cm="1">
        <f t="array" ref="AO75">$E$10*(1+$AM75)+VLOOKUP($Q75,武学奇术!$A:$ZZ,4,FALSE)+SUM(_xlfn.XLOOKUP($R75:$AF75,增益!$A:$A,增益!$D:$D,0))-$I$2</f>
        <v>3483.8</v>
      </c>
      <c r="AP75" s="35" cm="1">
        <f t="array" ref="AP75">IF($F$10-$I$3+VLOOKUP($Q75,武学奇术!$A:$ZZ,6,FALSE)+SUM(_xlfn.XLOOKUP(R75:AF75,增益!$A:$A,增益!$F:$F,0))&gt;0,($F$10-$I$3+VLOOKUP($Q75,武学奇术!$A:$ZZ,6,FALSE)+SUM(_xlfn.XLOOKUP(R75:AF75,增益!$A:$A,增益!$F:$F,0)))/200,($F$10-$I$3+VLOOKUP($Q75,武学奇术!$A:$ZZ,6,FALSE)+SUM(_xlfn.XLOOKUP(R75:AF75,增益!$A:$A,增益!$F:$F,0)))/100)</f>
        <v>0.2425</v>
      </c>
      <c r="AQ75" s="35" cm="1">
        <f t="array" ref="AQ75">$G$10+VLOOKUP($Q75,武学奇术!$A:$ZZ,7,FALSE)+SUM(_xlfn.XLOOKUP(R75:AF75,增益!$A:$A,增益!$G:$G,0))</f>
        <v>0.028</v>
      </c>
      <c r="AR75" s="30" cm="1">
        <f t="array" ref="AR75">VLOOKUP($Q75,武学奇术!$A:$ZZ,8,FALSE)+SUM(_xlfn.XLOOKUP(R75:AF75,增益!$A:$A,增益!$H:$H,0))</f>
        <v>0</v>
      </c>
      <c r="AS75">
        <f t="shared" si="13"/>
        <v>0</v>
      </c>
      <c r="AT75">
        <f t="shared" si="14"/>
        <v>0</v>
      </c>
      <c r="AU75" s="35" cm="1">
        <f t="array" ref="AU75">IF($F$11-$I$4+VLOOKUP($Q75,武学奇术!$A:$ZZ,9,FALSE)+SUM(_xlfn.XLOOKUP(R75:AF75,增益!$A:$A,增益!$I:$I,0))&gt;0,($F$11-$I$4+VLOOKUP($Q75,武学奇术!$A:$ZZ,9,FALSE)+SUM(_xlfn.XLOOKUP(R75:AF75,增益!$A:$A,增益!$I:$I,0)))/200,($F$11-$I$4+VLOOKUP($Q75,武学奇术!$A:$ZZ,9,FALSE)+SUM(_xlfn.XLOOKUP(R75:AF75,增益!$A:$A,增益!$I:$I,0)))/100)</f>
        <v>-0.3</v>
      </c>
      <c r="AV75" s="35" cm="1">
        <f t="array" ref="AV75">$G$11+VLOOKUP($Q75,武学奇术!$A:$ZZ,10,FALSE)+SUM(_xlfn.XLOOKUP(R75:AF75,增益!$A:$A,增益!$J:$J,0))</f>
        <v>0</v>
      </c>
      <c r="AW75">
        <f t="shared" si="15"/>
        <v>0</v>
      </c>
      <c r="AX75">
        <f t="shared" si="16"/>
        <v>0</v>
      </c>
      <c r="AY75" s="35" cm="1">
        <f t="array" ref="AY75">IF($F$12-$I$4+VLOOKUP($Q75,武学奇术!$A:$ZZ,11,FALSE)+SUM(_xlfn.XLOOKUP(R75:AF75,增益!$A:$A,增益!$K:$K,0))&gt;0,($F$12-$I$4+VLOOKUP($Q75,武学奇术!$A:$ZZ,11,FALSE)+SUM(_xlfn.XLOOKUP(R75:AF75,增益!$A:$A,增益!$K:$K,0)))/200,($F$12-$I$4+VLOOKUP($Q75,武学奇术!$A:$ZZ,11,FALSE)+SUM(_xlfn.XLOOKUP(R75:AF75,增益!$A:$A,增益!$K:$K,0)))/100)</f>
        <v>-0.3</v>
      </c>
      <c r="AZ75" s="35" cm="1">
        <f t="array" ref="AZ75">$G$12+VLOOKUP($Q75,武学奇术!$A:$ZZ,12,FALSE)+SUM(_xlfn.XLOOKUP(R75:AF75,增益!$A:$A,增益!$L:$L,0))</f>
        <v>0</v>
      </c>
      <c r="BA75">
        <f t="shared" si="17"/>
        <v>0</v>
      </c>
      <c r="BB75">
        <f t="shared" si="18"/>
        <v>0</v>
      </c>
      <c r="BC75" s="35" cm="1">
        <f t="array" ref="BC75">IF($F$13-$I$4+VLOOKUP($Q75,武学奇术!$A:$ZZ,13,FALSE)+SUM(_xlfn.XLOOKUP(R75:AF75,增益!$A:$A,增益!$M:$M,0))&gt;0,($F$13-$I$4+VLOOKUP($Q75,武学奇术!$A:$ZZ,13,FALSE)+SUM(_xlfn.XLOOKUP(R75:AF75,增益!$A:$A,增益!$K:$K,0)))/200,($F$13-$I$4+VLOOKUP($Q75,武学奇术!$A:$ZZ,13,FALSE)+SUM(_xlfn.XLOOKUP(R75:AF75,增益!$A:$A,增益!$M:$M,0)))/100)</f>
        <v>-0.3</v>
      </c>
      <c r="BD75" s="35" cm="1">
        <f t="array" ref="BD75">$G$13+VLOOKUP($Q75,武学奇术!$A:$ZZ,14,FALSE)+SUM(_xlfn.XLOOKUP(R75:AF75,增益!$A:$A,增益!$N:$N,0))</f>
        <v>0</v>
      </c>
      <c r="BE75">
        <f t="shared" si="19"/>
        <v>538</v>
      </c>
      <c r="BF75">
        <f t="shared" si="20"/>
        <v>1561.4</v>
      </c>
      <c r="BG75" s="35" cm="1">
        <f t="array" ref="BG75">IF($F$14-$I$4+VLOOKUP($Q75,武学奇术!$A:$ZZ,15,FALSE)+SUM(_xlfn.XLOOKUP(R75:AF75,增益!$A:$A,增益!$O:$O,0))&gt;0,($F$14-$I$4+VLOOKUP($Q75,武学奇术!$A:$ZZ,15,FALSE)+SUM(_xlfn.XLOOKUP(R75:AF75,增益!$A:$A,增益!$O:$O,0)))/200,($F$14-$I$4+VLOOKUP($Q75,武学奇术!$A:$ZZ,15,FALSE)+SUM(_xlfn.XLOOKUP(R75:AF75,增益!$A:$A,增益!$O:$O,0)))/100)</f>
        <v>0</v>
      </c>
      <c r="BH75" s="35" cm="1">
        <f t="array" ref="BH75">$G$14+VLOOKUP($Q75,武学奇术!$A:$ZZ,16,FALSE)+SUM(_xlfn.XLOOKUP(R75:AF75,增益!$A:$A,增益!$P:$P,0))</f>
        <v>0.15</v>
      </c>
      <c r="BI75" s="30">
        <f>MIN(IF(VLOOKUP($Q75,武学奇术!$A:$ZZ,23,FALSE)=1,100%,$B$8),100%)</f>
        <v>0.9712</v>
      </c>
      <c r="BJ75" s="30" cm="1">
        <f t="array" ref="BJ75">IF(VLOOKUP($Q75,武学奇术!$A:$ZZ,23,FALSE)=1,100%,MIN(80%,$B$9+VLOOKUP($Q75,武学奇术!$A:$ZZ,17,FALSE)+SUM(_xlfn.XLOOKUP(R75:AF75,增益!$A:$A,增益!$Q:$Q,0)))+$B$11+SUM(_xlfn.XLOOKUP(R75:AF75,增益!$A:$A,增益!$U:$U,0)))*IF(VLOOKUP($Q75,武学奇术!$A:$ZZ,24,FALSE)=1,0,1)</f>
        <v>0.8773</v>
      </c>
      <c r="BK75" s="30" cm="1">
        <f t="array" ref="BK75">1+$B$13+VLOOKUP($Q75,武学奇术!$A:$ZZ,18,FALSE)+SUM(_xlfn.XLOOKUP(R75:AF75,增益!$A:$A,增益!$R:$R,0))</f>
        <v>1.77</v>
      </c>
      <c r="BL75" s="30" cm="1">
        <f t="array" ref="BL75">IF(VLOOKUP($Q75,武学奇术!$A:$ZZ,24,FALSE)=1,100%,MIN(40%,$B$10+VLOOKUP($Q75,武学奇术!$A:$ZZ,19,FALSE)+SUM(_xlfn.XLOOKUP(R75:AF75,增益!$A:$A,增益!$S:$S,0)))+$B$12+SUM(_xlfn.XLOOKUP(R75:AF75,增益!$A:$A,增益!$V:$V,0)))*IF(VLOOKUP($Q75,武学奇术!$A:$ZZ,23,FALSE)=1,0,1)</f>
        <v>0.0895</v>
      </c>
      <c r="BM75" s="30" cm="1">
        <f t="array" ref="BM75">1+$B$14+VLOOKUP($Q75,武学奇术!$A:$ZZ,20,FALSE)+SUM(_xlfn.XLOOKUP(R75:AF75,增益!$A:$A,增益!$T:$T,0))</f>
        <v>1.35</v>
      </c>
      <c r="BN75" s="30">
        <f t="shared" si="21"/>
        <v>0.85203376</v>
      </c>
      <c r="BO75" s="30">
        <f t="shared" si="22"/>
        <v>0.03224384</v>
      </c>
      <c r="BP75" s="30">
        <f>IF(VLOOKUP($Q75,武学奇术!$A:$ZZ,22,FALSE)=1,0,(1-$BI75))*(1-$BL75)</f>
        <v>0.0262224</v>
      </c>
      <c r="BQ75" s="30" cm="1">
        <f t="array" ref="BQ75">SUM(_xlfn.XLOOKUP(R75:AF75,增益!$A:$A,增益!$W:$W,0))+$I$5</f>
        <v>0.11</v>
      </c>
    </row>
    <row r="76" spans="1:69">
      <c r="K76" s="41">
        <f t="shared" si="23"/>
        <v>19453.9684801594</v>
      </c>
      <c r="L76" s="41">
        <f>((($AN76+$AO76)/2*$AH76+$AI76)*(1+$AP76)*(1+$AQ76)+(($AS76+$AT76)/2*IF($G$1="鸣金",$AJ76,$AH76)+IF($G$1="鸣金",$AK76*1.5,0))*(1+$AU76)*(1+$AV76)+(($AW76+$AX76)/2*IF($G$1="裂石",$AJ76,$AH76)+IF($G$1="裂石",$AK76*1.5,0))*(1+$AY76)*(1+$AZ76)+(($BA76+$BB76)/2*IF($G$1="牵丝",$AJ76,$AH76)+IF($G$1="牵丝",$AK76*1.5,0))*(1+$BC76)*(1+$BD76)+(($BE76+$BF76)/2*IF($G$1="破竹",$AJ76,$AH76)+IF($G$1="破竹",$AK76*1.5,0))*(1+$BG76)*(1+$BH76))*(1+$AL76)*$BK76*$P76*(1+IF(VLOOKUP($Q76,武学奇术!$A:$ZZ,30,FALSE)="回旋伞",$B$21,0))*(1+$BQ76)</f>
        <v>20246.3307275868</v>
      </c>
      <c r="M76" s="41">
        <f>(($AO76*$AH76+$AI76)*(1+$AP76)*(1+$AQ76)+($AT76*IF($G$1="鸣金",$AJ76,$AH76)+IF($G$1="鸣金",$AK76*1.5,0))*(1+$AU76)*(1+$AV76)+($AX76*IF($G$1="裂石",$AJ76,$AH76)+IF($G$1="裂石",$AK76*1.5,0))*(1+$AY76)*(1+$AZ76)+($BB76*IF($G$1="牵丝",$AJ76,$AH76)+IF($G$1="牵丝",$AK76*1.5,0))*(1+$BC76)*(1+$BD76)+($BF76*IF($G$1="破竹",$AJ76,$AH76)+IF($G$1="破竹",$AK76*1.5,0))*(1+$BG76)*(1+$BH76))*(1+$AL76)*$BM76*$P76*(1+IF(VLOOKUP($Q76,武学奇术!$A:$ZZ,30,FALSE)="回旋伞",$B$21,0))*(1+$BQ76)</f>
        <v>17619.3174416339</v>
      </c>
      <c r="N76" s="41">
        <f>((($AN76+$AO76)/2*$AH76+$AI76)*(1+$AP76)*(1+$AQ76)+(($AS76+$AT76)/2*IF($G$1="鸣金",$AJ76,$AH76)+IF($G$1="鸣金",$AK76*1.5,0))*(1+$AU76)*(1+$AV76)+(($AW76+$AX76)/2*IF($G$1="裂石",$AJ76,$AH76)+IF($G$1="裂石",$AK76*1.5,0))*(1+$AY76)*(1+$AZ76)+(($BA76+$BB76)/2*IF($G$1="牵丝",$AJ76,$AH76)+IF($G$1="牵丝",$AK76*1.5,0))*(1+$BC76)*(1+$BD76)+(($BE76+$BF76)/2*IF($G$1="破竹",$AJ76,$AH76)+IF($G$1="破竹",$AK76*1.5,0))*(1+$BG76)*(1+$BH76))*(1+$AL76)*$P76*(1+IF(VLOOKUP($Q76,武学奇术!$A:$ZZ,30,FALSE)="回旋伞",$B$21,0))*(1+$BQ76)</f>
        <v>11438.60493084</v>
      </c>
      <c r="O76" s="41">
        <f>((($AN76*$AH76+$AI76)*(1+$AP76)*(1+$AQ76)+($AS76*IF($G$1="鸣金",$AJ76,$AH76)+IF($G$1="鸣金",$AK76*1.5,0))*(1+$AU76)*(1+$AV76)+($AW76*IF($G$1="裂石",$AJ76,$AH76)+IF($G$1="裂石",$AK76*1.5,0))*(1+$AY76)*(1+$AZ76)+($BA76*IF($G$1="牵丝",$AJ76,$AH76)+IF($G$1="牵丝",$AK76*1.5,0))*(1+$BC76)*(1+$BD76)+($BE76*IF($G$1="破竹",$AJ76,$AH76)+IF($G$1="破竹",$AK76*1.5,0))*(1+$BG76)*(1+$BH76))*(1+$AL76))*$P76*(1+IF(VLOOKUP($Q76,武学奇术!$A:$ZZ,30,FALSE)="回旋伞",$B$21,0))*(1+$BQ76)</f>
        <v>9825.86360861792</v>
      </c>
      <c r="P76" s="42">
        <v>2</v>
      </c>
      <c r="Q76" s="43" t="s">
        <v>143</v>
      </c>
      <c r="R76" s="43" t="s">
        <v>71</v>
      </c>
      <c r="S76" s="43" t="s">
        <v>91</v>
      </c>
      <c r="T76" s="43" t="s">
        <v>72</v>
      </c>
      <c r="U76" s="43" t="s">
        <v>71</v>
      </c>
      <c r="V76" s="43" t="s">
        <v>71</v>
      </c>
      <c r="W76" s="43" t="s">
        <v>71</v>
      </c>
      <c r="X76" s="43" t="s">
        <v>71</v>
      </c>
      <c r="Y76" s="43" t="s">
        <v>71</v>
      </c>
      <c r="Z76" s="43" t="s">
        <v>71</v>
      </c>
      <c r="AA76" s="43" t="s">
        <v>71</v>
      </c>
      <c r="AB76" s="43" t="s">
        <v>71</v>
      </c>
      <c r="AC76" s="43" t="s">
        <v>71</v>
      </c>
      <c r="AD76" s="43" t="s">
        <v>71</v>
      </c>
      <c r="AE76" s="43" t="s">
        <v>71</v>
      </c>
      <c r="AF76" s="43" t="s">
        <v>76</v>
      </c>
      <c r="AG76" t="str">
        <f>VLOOKUP($Q76,武学奇术!$A:$ZZ,25,FALSE)</f>
        <v>伞</v>
      </c>
      <c r="AH76" s="30">
        <f>VLOOKUP($Q76,武学奇术!$A:$ZZ,26,FALSE)</f>
        <v>0.54</v>
      </c>
      <c r="AI76" s="31">
        <f>VLOOKUP($Q76,武学奇术!$A:$ZZ,27,FALSE)*(1+IF(OR($AG76=$F$4,$AG76=$F$5),$B$22,0))</f>
        <v>0</v>
      </c>
      <c r="AJ76" s="30">
        <f>VLOOKUP($Q76,武学奇术!$A:$ZZ,28,FALSE)</f>
        <v>0.81</v>
      </c>
      <c r="AK76" s="31">
        <f>VLOOKUP($Q76,武学奇术!$A:$ZZ,29,FALSE)*(1+IF(OR($AG76=$F$4,$AG76=$F$5),$B$22,0))</f>
        <v>0</v>
      </c>
      <c r="AL76" s="30" cm="1">
        <f t="array" ref="AL76">$G$3+IFERROR(VLOOKUP($AG76,$F$4:$G$7,2,FALSE),0)+VLOOKUP($Q76,武学奇术!$A:$ZZ,2,FALSE)+SUM(_xlfn.XLOOKUP($R76:$AF76,增益!$A:$A,增益!$B:$B,0))</f>
        <v>0.5241</v>
      </c>
      <c r="AM76" s="30" cm="1">
        <f t="array" ref="AM76">VLOOKUP($Q76,武学奇术!$A:$ZZ,5,FALSE)+SUM(_xlfn.XLOOKUP($R76:$AF76,增益!$A:$A,增益!$E:$E,0))</f>
        <v>0</v>
      </c>
      <c r="AN76" cm="1">
        <f t="array" ref="AN76">$D$10*(1+$AM76)+VLOOKUP($Q76,武学奇术!$A:$ZZ,3,FALSE)+SUM(_xlfn.XLOOKUP($R76:$AF76,增益!$A:$A,增益!$C:$C,0))-$I$2</f>
        <v>3483.8</v>
      </c>
      <c r="AO76" cm="1">
        <f t="array" ref="AO76">$E$10*(1+$AM76)+VLOOKUP($Q76,武学奇术!$A:$ZZ,4,FALSE)+SUM(_xlfn.XLOOKUP($R76:$AF76,增益!$A:$A,增益!$D:$D,0))-$I$2</f>
        <v>3483.8</v>
      </c>
      <c r="AP76" s="35" cm="1">
        <f t="array" ref="AP76">IF($F$10-$I$3+VLOOKUP($Q76,武学奇术!$A:$ZZ,6,FALSE)+SUM(_xlfn.XLOOKUP(R76:AF76,增益!$A:$A,增益!$F:$F,0))&gt;0,($F$10-$I$3+VLOOKUP($Q76,武学奇术!$A:$ZZ,6,FALSE)+SUM(_xlfn.XLOOKUP(R76:AF76,增益!$A:$A,增益!$F:$F,0)))/200,($F$10-$I$3+VLOOKUP($Q76,武学奇术!$A:$ZZ,6,FALSE)+SUM(_xlfn.XLOOKUP(R76:AF76,增益!$A:$A,增益!$F:$F,0)))/100)</f>
        <v>0.2425</v>
      </c>
      <c r="AQ76" s="35" cm="1">
        <f t="array" ref="AQ76">$G$10+VLOOKUP($Q76,武学奇术!$A:$ZZ,7,FALSE)+SUM(_xlfn.XLOOKUP(R76:AF76,增益!$A:$A,增益!$G:$G,0))</f>
        <v>0.028</v>
      </c>
      <c r="AR76" s="30" cm="1">
        <f t="array" ref="AR76">VLOOKUP($Q76,武学奇术!$A:$ZZ,8,FALSE)+SUM(_xlfn.XLOOKUP(R76:AF76,增益!$A:$A,增益!$H:$H,0))</f>
        <v>0</v>
      </c>
      <c r="AS76">
        <f t="shared" si="13"/>
        <v>0</v>
      </c>
      <c r="AT76">
        <f t="shared" si="14"/>
        <v>0</v>
      </c>
      <c r="AU76" s="35" cm="1">
        <f t="array" ref="AU76">IF($F$11-$I$4+VLOOKUP($Q76,武学奇术!$A:$ZZ,9,FALSE)+SUM(_xlfn.XLOOKUP(R76:AF76,增益!$A:$A,增益!$I:$I,0))&gt;0,($F$11-$I$4+VLOOKUP($Q76,武学奇术!$A:$ZZ,9,FALSE)+SUM(_xlfn.XLOOKUP(R76:AF76,增益!$A:$A,增益!$I:$I,0)))/200,($F$11-$I$4+VLOOKUP($Q76,武学奇术!$A:$ZZ,9,FALSE)+SUM(_xlfn.XLOOKUP(R76:AF76,增益!$A:$A,增益!$I:$I,0)))/100)</f>
        <v>-0.3</v>
      </c>
      <c r="AV76" s="35" cm="1">
        <f t="array" ref="AV76">$G$11+VLOOKUP($Q76,武学奇术!$A:$ZZ,10,FALSE)+SUM(_xlfn.XLOOKUP(R76:AF76,增益!$A:$A,增益!$J:$J,0))</f>
        <v>0</v>
      </c>
      <c r="AW76">
        <f t="shared" si="15"/>
        <v>0</v>
      </c>
      <c r="AX76">
        <f t="shared" si="16"/>
        <v>0</v>
      </c>
      <c r="AY76" s="35" cm="1">
        <f t="array" ref="AY76">IF($F$12-$I$4+VLOOKUP($Q76,武学奇术!$A:$ZZ,11,FALSE)+SUM(_xlfn.XLOOKUP(R76:AF76,增益!$A:$A,增益!$K:$K,0))&gt;0,($F$12-$I$4+VLOOKUP($Q76,武学奇术!$A:$ZZ,11,FALSE)+SUM(_xlfn.XLOOKUP(R76:AF76,增益!$A:$A,增益!$K:$K,0)))/200,($F$12-$I$4+VLOOKUP($Q76,武学奇术!$A:$ZZ,11,FALSE)+SUM(_xlfn.XLOOKUP(R76:AF76,增益!$A:$A,增益!$K:$K,0)))/100)</f>
        <v>-0.3</v>
      </c>
      <c r="AZ76" s="35" cm="1">
        <f t="array" ref="AZ76">$G$12+VLOOKUP($Q76,武学奇术!$A:$ZZ,12,FALSE)+SUM(_xlfn.XLOOKUP(R76:AF76,增益!$A:$A,增益!$L:$L,0))</f>
        <v>0</v>
      </c>
      <c r="BA76">
        <f t="shared" si="17"/>
        <v>0</v>
      </c>
      <c r="BB76">
        <f t="shared" si="18"/>
        <v>0</v>
      </c>
      <c r="BC76" s="35" cm="1">
        <f t="array" ref="BC76">IF($F$13-$I$4+VLOOKUP($Q76,武学奇术!$A:$ZZ,13,FALSE)+SUM(_xlfn.XLOOKUP(R76:AF76,增益!$A:$A,增益!$M:$M,0))&gt;0,($F$13-$I$4+VLOOKUP($Q76,武学奇术!$A:$ZZ,13,FALSE)+SUM(_xlfn.XLOOKUP(R76:AF76,增益!$A:$A,增益!$K:$K,0)))/200,($F$13-$I$4+VLOOKUP($Q76,武学奇术!$A:$ZZ,13,FALSE)+SUM(_xlfn.XLOOKUP(R76:AF76,增益!$A:$A,增益!$M:$M,0)))/100)</f>
        <v>-0.3</v>
      </c>
      <c r="BD76" s="35" cm="1">
        <f t="array" ref="BD76">$G$13+VLOOKUP($Q76,武学奇术!$A:$ZZ,14,FALSE)+SUM(_xlfn.XLOOKUP(R76:AF76,增益!$A:$A,增益!$N:$N,0))</f>
        <v>0</v>
      </c>
      <c r="BE76">
        <f t="shared" si="19"/>
        <v>538</v>
      </c>
      <c r="BF76">
        <f t="shared" si="20"/>
        <v>1561.4</v>
      </c>
      <c r="BG76" s="35" cm="1">
        <f t="array" ref="BG76">IF($F$14-$I$4+VLOOKUP($Q76,武学奇术!$A:$ZZ,15,FALSE)+SUM(_xlfn.XLOOKUP(R76:AF76,增益!$A:$A,增益!$O:$O,0))&gt;0,($F$14-$I$4+VLOOKUP($Q76,武学奇术!$A:$ZZ,15,FALSE)+SUM(_xlfn.XLOOKUP(R76:AF76,增益!$A:$A,增益!$O:$O,0)))/200,($F$14-$I$4+VLOOKUP($Q76,武学奇术!$A:$ZZ,15,FALSE)+SUM(_xlfn.XLOOKUP(R76:AF76,增益!$A:$A,增益!$O:$O,0)))/100)</f>
        <v>0</v>
      </c>
      <c r="BH76" s="35" cm="1">
        <f t="array" ref="BH76">$G$14+VLOOKUP($Q76,武学奇术!$A:$ZZ,16,FALSE)+SUM(_xlfn.XLOOKUP(R76:AF76,增益!$A:$A,增益!$P:$P,0))</f>
        <v>0.15</v>
      </c>
      <c r="BI76" s="30">
        <f>MIN(IF(VLOOKUP($Q76,武学奇术!$A:$ZZ,23,FALSE)=1,100%,$B$8),100%)</f>
        <v>0.9712</v>
      </c>
      <c r="BJ76" s="30" cm="1">
        <f t="array" ref="BJ76">IF(VLOOKUP($Q76,武学奇术!$A:$ZZ,23,FALSE)=1,100%,MIN(80%,$B$9+VLOOKUP($Q76,武学奇术!$A:$ZZ,17,FALSE)+SUM(_xlfn.XLOOKUP(R76:AF76,增益!$A:$A,增益!$Q:$Q,0)))+$B$11+SUM(_xlfn.XLOOKUP(R76:AF76,增益!$A:$A,增益!$U:$U,0)))*IF(VLOOKUP($Q76,武学奇术!$A:$ZZ,24,FALSE)=1,0,1)</f>
        <v>0.8773</v>
      </c>
      <c r="BK76" s="30" cm="1">
        <f t="array" ref="BK76">1+$B$13+VLOOKUP($Q76,武学奇术!$A:$ZZ,18,FALSE)+SUM(_xlfn.XLOOKUP(R76:AF76,增益!$A:$A,增益!$R:$R,0))</f>
        <v>1.77</v>
      </c>
      <c r="BL76" s="30" cm="1">
        <f t="array" ref="BL76">IF(VLOOKUP($Q76,武学奇术!$A:$ZZ,24,FALSE)=1,100%,MIN(40%,$B$10+VLOOKUP($Q76,武学奇术!$A:$ZZ,19,FALSE)+SUM(_xlfn.XLOOKUP(R76:AF76,增益!$A:$A,增益!$S:$S,0)))+$B$12+SUM(_xlfn.XLOOKUP(R76:AF76,增益!$A:$A,增益!$V:$V,0)))*IF(VLOOKUP($Q76,武学奇术!$A:$ZZ,23,FALSE)=1,0,1)</f>
        <v>0.0895</v>
      </c>
      <c r="BM76" s="30" cm="1">
        <f t="array" ref="BM76">1+$B$14+VLOOKUP($Q76,武学奇术!$A:$ZZ,20,FALSE)+SUM(_xlfn.XLOOKUP(R76:AF76,增益!$A:$A,增益!$T:$T,0))</f>
        <v>1.35</v>
      </c>
      <c r="BN76" s="30">
        <f t="shared" si="21"/>
        <v>0.85203376</v>
      </c>
      <c r="BO76" s="30">
        <f t="shared" si="22"/>
        <v>0.03224384</v>
      </c>
      <c r="BP76" s="30">
        <f>IF(VLOOKUP($Q76,武学奇术!$A:$ZZ,22,FALSE)=1,0,(1-$BI76))*(1-$BL76)</f>
        <v>0.0262224</v>
      </c>
      <c r="BQ76" s="30" cm="1">
        <f t="array" ref="BQ76">SUM(_xlfn.XLOOKUP(R76:AF76,增益!$A:$A,增益!$W:$W,0))+$I$5</f>
        <v>0.11</v>
      </c>
    </row>
    <row r="77" spans="1:69">
      <c r="K77" s="41">
        <f t="shared" si="23"/>
        <v>60597.8660987761</v>
      </c>
      <c r="L77" s="41">
        <f>((($AN77+$AO77)/2*$AH77+$AI77)*(1+$AP77)*(1+$AQ77)+(($AS77+$AT77)/2*IF($G$1="鸣金",$AJ77,$AH77)+IF($G$1="鸣金",$AK77*1.5,0))*(1+$AU77)*(1+$AV77)+(($AW77+$AX77)/2*IF($G$1="裂石",$AJ77,$AH77)+IF($G$1="裂石",$AK77*1.5,0))*(1+$AY77)*(1+$AZ77)+(($BA77+$BB77)/2*IF($G$1="牵丝",$AJ77,$AH77)+IF($G$1="牵丝",$AK77*1.5,0))*(1+$BC77)*(1+$BD77)+(($BE77+$BF77)/2*IF($G$1="破竹",$AJ77,$AH77)+IF($G$1="破竹",$AK77*1.5,0))*(1+$BG77)*(1+$BH77))*(1+$AL77)*$BK77*$P77*(1+IF(VLOOKUP($Q77,武学奇术!$A:$ZZ,30,FALSE)="回旋伞",$B$21,0))*(1+$BQ77)</f>
        <v>63522.0122560286</v>
      </c>
      <c r="M77" s="41">
        <f>(($AO77*$AH77+$AI77)*(1+$AP77)*(1+$AQ77)+($AT77*IF($G$1="鸣金",$AJ77,$AH77)+IF($G$1="鸣金",$AK77*1.5,0))*(1+$AU77)*(1+$AV77)+($AX77*IF($G$1="裂石",$AJ77,$AH77)+IF($G$1="裂石",$AK77*1.5,0))*(1+$AY77)*(1+$AZ77)+($BB77*IF($G$1="牵丝",$AJ77,$AH77)+IF($G$1="牵丝",$AK77*1.5,0))*(1+$BC77)*(1+$BD77)+($BF77*IF($G$1="破竹",$AJ77,$AH77)+IF($G$1="破竹",$AK77*1.5,0))*(1+$BG77)*(1+$BH77))*(1+$AL77)*$BM77*$P77*(1+IF(VLOOKUP($Q77,武学奇术!$A:$ZZ,30,FALSE)="回旋伞",$B$21,0))*(1+$BQ77)</f>
        <v>51346.8169549586</v>
      </c>
      <c r="N77" s="41">
        <f>((($AN77+$AO77)/2*$AH77+$AI77)*(1+$AP77)*(1+$AQ77)+(($AS77+$AT77)/2*IF($G$1="鸣金",$AJ77,$AH77)+IF($G$1="鸣金",$AK77*1.5,0))*(1+$AU77)*(1+$AV77)+(($AW77+$AX77)/2*IF($G$1="裂石",$AJ77,$AH77)+IF($G$1="裂石",$AK77*1.5,0))*(1+$AY77)*(1+$AZ77)+(($BA77+$BB77)/2*IF($G$1="牵丝",$AJ77,$AH77)+IF($G$1="牵丝",$AK77*1.5,0))*(1+$BC77)*(1+$BD77)+(($BE77+$BF77)/2*IF($G$1="破竹",$AJ77,$AH77)+IF($G$1="破竹",$AK77*1.5,0))*(1+$BG77)*(1+$BH77))*(1+$AL77)*$P77*(1+IF(VLOOKUP($Q77,武学奇术!$A:$ZZ,30,FALSE)="回旋伞",$B$21,0))*(1+$BQ77)</f>
        <v>33968.9905112452</v>
      </c>
      <c r="O77" s="41">
        <f>((($AN77*$AH77+$AI77)*(1+$AP77)*(1+$AQ77)+($AS77*IF($G$1="鸣金",$AJ77,$AH77)+IF($G$1="鸣金",$AK77*1.5,0))*(1+$AU77)*(1+$AV77)+($AW77*IF($G$1="裂石",$AJ77,$AH77)+IF($G$1="裂石",$AK77*1.5,0))*(1+$AY77)*(1+$AZ77)+($BA77*IF($G$1="牵丝",$AJ77,$AH77)+IF($G$1="牵丝",$AK77*1.5,0))*(1+$BC77)*(1+$BD77)+($BE77*IF($G$1="破竹",$AJ77,$AH77)+IF($G$1="破竹",$AK77*1.5,0))*(1+$BG77)*(1+$BH77))*(1+$AL77))*$P77*(1+IF(VLOOKUP($Q77,武学奇术!$A:$ZZ,30,FALSE)="回旋伞",$B$21,0))*(1+$BQ77)</f>
        <v>29903.3017965953</v>
      </c>
      <c r="P77" s="42">
        <v>1</v>
      </c>
      <c r="Q77" s="43" t="s">
        <v>104</v>
      </c>
      <c r="R77" s="43" t="s">
        <v>105</v>
      </c>
      <c r="S77" s="43" t="s">
        <v>91</v>
      </c>
      <c r="T77" s="43" t="s">
        <v>72</v>
      </c>
      <c r="U77" s="43" t="s">
        <v>71</v>
      </c>
      <c r="V77" s="43" t="s">
        <v>167</v>
      </c>
      <c r="W77" s="43" t="s">
        <v>95</v>
      </c>
      <c r="X77" s="43" t="s">
        <v>71</v>
      </c>
      <c r="Y77" s="43" t="s">
        <v>71</v>
      </c>
      <c r="Z77" s="43" t="s">
        <v>71</v>
      </c>
      <c r="AA77" s="43" t="s">
        <v>71</v>
      </c>
      <c r="AB77" s="43" t="s">
        <v>71</v>
      </c>
      <c r="AC77" s="43" t="s">
        <v>71</v>
      </c>
      <c r="AD77" s="43" t="s">
        <v>71</v>
      </c>
      <c r="AE77" s="43" t="s">
        <v>71</v>
      </c>
      <c r="AF77" s="43" t="s">
        <v>76</v>
      </c>
      <c r="AG77" t="str">
        <f>VLOOKUP($Q77,武学奇术!$A:$ZZ,25,FALSE)</f>
        <v>伞</v>
      </c>
      <c r="AH77" s="30">
        <f>VLOOKUP($Q77,武学奇术!$A:$ZZ,26,FALSE)</f>
        <v>1.8084</v>
      </c>
      <c r="AI77" s="31">
        <f>VLOOKUP($Q77,武学奇术!$A:$ZZ,27,FALSE)*(1+IF(OR($AG77=$F$4,$AG77=$F$5),$B$22,0))</f>
        <v>700</v>
      </c>
      <c r="AJ77" s="30">
        <f>VLOOKUP($Q77,武学奇术!$A:$ZZ,28,FALSE)</f>
        <v>2.7126</v>
      </c>
      <c r="AK77" s="31">
        <f>VLOOKUP($Q77,武学奇术!$A:$ZZ,29,FALSE)*(1+IF(OR($AG77=$F$4,$AG77=$F$5),$B$22,0))</f>
        <v>380.8</v>
      </c>
      <c r="AL77" s="30" cm="1">
        <f t="array" ref="AL77">$G$3+IFERROR(VLOOKUP($AG77,$F$4:$G$7,2,FALSE),0)+VLOOKUP($Q77,武学奇术!$A:$ZZ,2,FALSE)+SUM(_xlfn.XLOOKUP($R77:$AF77,增益!$A:$A,增益!$B:$B,0))</f>
        <v>0.5741</v>
      </c>
      <c r="AM77" s="30" cm="1">
        <f t="array" ref="AM77">VLOOKUP($Q77,武学奇术!$A:$ZZ,5,FALSE)+SUM(_xlfn.XLOOKUP($R77:$AF77,增益!$A:$A,增益!$E:$E,0))</f>
        <v>0</v>
      </c>
      <c r="AN77" cm="1">
        <f t="array" ref="AN77">$D$10*(1+$AM77)+VLOOKUP($Q77,武学奇术!$A:$ZZ,3,FALSE)+SUM(_xlfn.XLOOKUP($R77:$AF77,增益!$A:$A,增益!$C:$C,0))-$I$2</f>
        <v>3483.8</v>
      </c>
      <c r="AO77" cm="1">
        <f t="array" ref="AO77">$E$10*(1+$AM77)+VLOOKUP($Q77,武学奇术!$A:$ZZ,4,FALSE)+SUM(_xlfn.XLOOKUP($R77:$AF77,增益!$A:$A,增益!$D:$D,0))-$I$2</f>
        <v>3483.8</v>
      </c>
      <c r="AP77" s="35" cm="1">
        <f t="array" ref="AP77">IF($F$10-$I$3+VLOOKUP($Q77,武学奇术!$A:$ZZ,6,FALSE)+SUM(_xlfn.XLOOKUP(R77:AF77,增益!$A:$A,增益!$F:$F,0))&gt;0,($F$10-$I$3+VLOOKUP($Q77,武学奇术!$A:$ZZ,6,FALSE)+SUM(_xlfn.XLOOKUP(R77:AF77,增益!$A:$A,增益!$F:$F,0)))/200,($F$10-$I$3+VLOOKUP($Q77,武学奇术!$A:$ZZ,6,FALSE)+SUM(_xlfn.XLOOKUP(R77:AF77,增益!$A:$A,增益!$F:$F,0)))/100)</f>
        <v>0.2925</v>
      </c>
      <c r="AQ77" s="35" cm="1">
        <f t="array" ref="AQ77">$G$10+VLOOKUP($Q77,武学奇术!$A:$ZZ,7,FALSE)+SUM(_xlfn.XLOOKUP(R77:AF77,增益!$A:$A,增益!$G:$G,0))</f>
        <v>0.148</v>
      </c>
      <c r="AR77" s="30" cm="1">
        <f t="array" ref="AR77">VLOOKUP($Q77,武学奇术!$A:$ZZ,8,FALSE)+SUM(_xlfn.XLOOKUP(R77:AF77,增益!$A:$A,增益!$H:$H,0))</f>
        <v>0</v>
      </c>
      <c r="AS77">
        <f t="shared" si="13"/>
        <v>0</v>
      </c>
      <c r="AT77">
        <f t="shared" si="14"/>
        <v>0</v>
      </c>
      <c r="AU77" s="35" cm="1">
        <f t="array" ref="AU77">IF($F$11-$I$4+VLOOKUP($Q77,武学奇术!$A:$ZZ,9,FALSE)+SUM(_xlfn.XLOOKUP(R77:AF77,增益!$A:$A,增益!$I:$I,0))&gt;0,($F$11-$I$4+VLOOKUP($Q77,武学奇术!$A:$ZZ,9,FALSE)+SUM(_xlfn.XLOOKUP(R77:AF77,增益!$A:$A,增益!$I:$I,0)))/200,($F$11-$I$4+VLOOKUP($Q77,武学奇术!$A:$ZZ,9,FALSE)+SUM(_xlfn.XLOOKUP(R77:AF77,增益!$A:$A,增益!$I:$I,0)))/100)</f>
        <v>-0.3</v>
      </c>
      <c r="AV77" s="35" cm="1">
        <f t="array" ref="AV77">$G$11+VLOOKUP($Q77,武学奇术!$A:$ZZ,10,FALSE)+SUM(_xlfn.XLOOKUP(R77:AF77,增益!$A:$A,增益!$J:$J,0))</f>
        <v>0</v>
      </c>
      <c r="AW77">
        <f t="shared" si="15"/>
        <v>0</v>
      </c>
      <c r="AX77">
        <f t="shared" si="16"/>
        <v>0</v>
      </c>
      <c r="AY77" s="35" cm="1">
        <f t="array" ref="AY77">IF($F$12-$I$4+VLOOKUP($Q77,武学奇术!$A:$ZZ,11,FALSE)+SUM(_xlfn.XLOOKUP(R77:AF77,增益!$A:$A,增益!$K:$K,0))&gt;0,($F$12-$I$4+VLOOKUP($Q77,武学奇术!$A:$ZZ,11,FALSE)+SUM(_xlfn.XLOOKUP(R77:AF77,增益!$A:$A,增益!$K:$K,0)))/200,($F$12-$I$4+VLOOKUP($Q77,武学奇术!$A:$ZZ,11,FALSE)+SUM(_xlfn.XLOOKUP(R77:AF77,增益!$A:$A,增益!$K:$K,0)))/100)</f>
        <v>-0.3</v>
      </c>
      <c r="AZ77" s="35" cm="1">
        <f t="array" ref="AZ77">$G$12+VLOOKUP($Q77,武学奇术!$A:$ZZ,12,FALSE)+SUM(_xlfn.XLOOKUP(R77:AF77,增益!$A:$A,增益!$L:$L,0))</f>
        <v>0</v>
      </c>
      <c r="BA77">
        <f t="shared" si="17"/>
        <v>0</v>
      </c>
      <c r="BB77">
        <f t="shared" si="18"/>
        <v>0</v>
      </c>
      <c r="BC77" s="35" cm="1">
        <f t="array" ref="BC77">IF($F$13-$I$4+VLOOKUP($Q77,武学奇术!$A:$ZZ,13,FALSE)+SUM(_xlfn.XLOOKUP(R77:AF77,增益!$A:$A,增益!$M:$M,0))&gt;0,($F$13-$I$4+VLOOKUP($Q77,武学奇术!$A:$ZZ,13,FALSE)+SUM(_xlfn.XLOOKUP(R77:AF77,增益!$A:$A,增益!$K:$K,0)))/200,($F$13-$I$4+VLOOKUP($Q77,武学奇术!$A:$ZZ,13,FALSE)+SUM(_xlfn.XLOOKUP(R77:AF77,增益!$A:$A,增益!$M:$M,0)))/100)</f>
        <v>-0.3</v>
      </c>
      <c r="BD77" s="35" cm="1">
        <f t="array" ref="BD77">$G$13+VLOOKUP($Q77,武学奇术!$A:$ZZ,14,FALSE)+SUM(_xlfn.XLOOKUP(R77:AF77,增益!$A:$A,增益!$N:$N,0))</f>
        <v>0</v>
      </c>
      <c r="BE77">
        <f t="shared" si="19"/>
        <v>538</v>
      </c>
      <c r="BF77">
        <f t="shared" si="20"/>
        <v>1561.4</v>
      </c>
      <c r="BG77" s="35" cm="1">
        <f t="array" ref="BG77">IF($F$14-$I$4+VLOOKUP($Q77,武学奇术!$A:$ZZ,15,FALSE)+SUM(_xlfn.XLOOKUP(R77:AF77,增益!$A:$A,增益!$O:$O,0))&gt;0,($F$14-$I$4+VLOOKUP($Q77,武学奇术!$A:$ZZ,15,FALSE)+SUM(_xlfn.XLOOKUP(R77:AF77,增益!$A:$A,增益!$O:$O,0)))/200,($F$14-$I$4+VLOOKUP($Q77,武学奇术!$A:$ZZ,15,FALSE)+SUM(_xlfn.XLOOKUP(R77:AF77,增益!$A:$A,增益!$O:$O,0)))/100)</f>
        <v>0</v>
      </c>
      <c r="BH77" s="35" cm="1">
        <f t="array" ref="BH77">$G$14+VLOOKUP($Q77,武学奇术!$A:$ZZ,16,FALSE)+SUM(_xlfn.XLOOKUP(R77:AF77,增益!$A:$A,增益!$P:$P,0))</f>
        <v>0.27</v>
      </c>
      <c r="BI77" s="30">
        <f>MIN(IF(VLOOKUP($Q77,武学奇术!$A:$ZZ,23,FALSE)=1,100%,$B$8),100%)</f>
        <v>0.9712</v>
      </c>
      <c r="BJ77" s="30" cm="1">
        <f t="array" ref="BJ77">IF(VLOOKUP($Q77,武学奇术!$A:$ZZ,23,FALSE)=1,100%,MIN(80%,$B$9+VLOOKUP($Q77,武学奇术!$A:$ZZ,17,FALSE)+SUM(_xlfn.XLOOKUP(R77:AF77,增益!$A:$A,增益!$Q:$Q,0)))+$B$11+SUM(_xlfn.XLOOKUP(R77:AF77,增益!$A:$A,增益!$U:$U,0)))*IF(VLOOKUP($Q77,武学奇术!$A:$ZZ,24,FALSE)=1,0,1)</f>
        <v>0.8773</v>
      </c>
      <c r="BK77" s="30" cm="1">
        <f t="array" ref="BK77">1+$B$13+VLOOKUP($Q77,武学奇术!$A:$ZZ,18,FALSE)+SUM(_xlfn.XLOOKUP(R77:AF77,增益!$A:$A,增益!$R:$R,0))</f>
        <v>1.87</v>
      </c>
      <c r="BL77" s="30" cm="1">
        <f t="array" ref="BL77">IF(VLOOKUP($Q77,武学奇术!$A:$ZZ,24,FALSE)=1,100%,MIN(40%,$B$10+VLOOKUP($Q77,武学奇术!$A:$ZZ,19,FALSE)+SUM(_xlfn.XLOOKUP(R77:AF77,增益!$A:$A,增益!$S:$S,0)))+$B$12+SUM(_xlfn.XLOOKUP(R77:AF77,增益!$A:$A,增益!$V:$V,0)))*IF(VLOOKUP($Q77,武学奇术!$A:$ZZ,23,FALSE)=1,0,1)</f>
        <v>0.0895</v>
      </c>
      <c r="BM77" s="30" cm="1">
        <f t="array" ref="BM77">1+$B$14+VLOOKUP($Q77,武学奇术!$A:$ZZ,20,FALSE)+SUM(_xlfn.XLOOKUP(R77:AF77,增益!$A:$A,增益!$T:$T,0))</f>
        <v>1.35</v>
      </c>
      <c r="BN77" s="30">
        <f t="shared" si="21"/>
        <v>0.85203376</v>
      </c>
      <c r="BO77" s="30">
        <f t="shared" si="22"/>
        <v>0.03224384</v>
      </c>
      <c r="BP77" s="30">
        <f>IF(VLOOKUP($Q77,武学奇术!$A:$ZZ,22,FALSE)=1,0,(1-$BI77))*(1-$BL77)</f>
        <v>0.0262224</v>
      </c>
      <c r="BQ77" s="30" cm="1">
        <f t="array" ref="BQ77">SUM(_xlfn.XLOOKUP(R77:AF77,增益!$A:$A,增益!$W:$W,0))+$I$5</f>
        <v>0.11</v>
      </c>
    </row>
    <row r="78" spans="1:69">
      <c r="A78" s="4"/>
      <c r="B78" s="4"/>
      <c r="K78" s="41">
        <f t="shared" si="23"/>
        <v>60597.8660987761</v>
      </c>
      <c r="L78" s="41">
        <f>((($AN78+$AO78)/2*$AH78+$AI78)*(1+$AP78)*(1+$AQ78)+(($AS78+$AT78)/2*IF($G$1="鸣金",$AJ78,$AH78)+IF($G$1="鸣金",$AK78*1.5,0))*(1+$AU78)*(1+$AV78)+(($AW78+$AX78)/2*IF($G$1="裂石",$AJ78,$AH78)+IF($G$1="裂石",$AK78*1.5,0))*(1+$AY78)*(1+$AZ78)+(($BA78+$BB78)/2*IF($G$1="牵丝",$AJ78,$AH78)+IF($G$1="牵丝",$AK78*1.5,0))*(1+$BC78)*(1+$BD78)+(($BE78+$BF78)/2*IF($G$1="破竹",$AJ78,$AH78)+IF($G$1="破竹",$AK78*1.5,0))*(1+$BG78)*(1+$BH78))*(1+$AL78)*$BK78*$P78*(1+IF(VLOOKUP($Q78,武学奇术!$A:$ZZ,30,FALSE)="回旋伞",$B$21,0))*(1+$BQ78)</f>
        <v>63522.0122560286</v>
      </c>
      <c r="M78" s="41">
        <f>(($AO78*$AH78+$AI78)*(1+$AP78)*(1+$AQ78)+($AT78*IF($G$1="鸣金",$AJ78,$AH78)+IF($G$1="鸣金",$AK78*1.5,0))*(1+$AU78)*(1+$AV78)+($AX78*IF($G$1="裂石",$AJ78,$AH78)+IF($G$1="裂石",$AK78*1.5,0))*(1+$AY78)*(1+$AZ78)+($BB78*IF($G$1="牵丝",$AJ78,$AH78)+IF($G$1="牵丝",$AK78*1.5,0))*(1+$BC78)*(1+$BD78)+($BF78*IF($G$1="破竹",$AJ78,$AH78)+IF($G$1="破竹",$AK78*1.5,0))*(1+$BG78)*(1+$BH78))*(1+$AL78)*$BM78*$P78*(1+IF(VLOOKUP($Q78,武学奇术!$A:$ZZ,30,FALSE)="回旋伞",$B$21,0))*(1+$BQ78)</f>
        <v>51346.8169549586</v>
      </c>
      <c r="N78" s="41">
        <f>((($AN78+$AO78)/2*$AH78+$AI78)*(1+$AP78)*(1+$AQ78)+(($AS78+$AT78)/2*IF($G$1="鸣金",$AJ78,$AH78)+IF($G$1="鸣金",$AK78*1.5,0))*(1+$AU78)*(1+$AV78)+(($AW78+$AX78)/2*IF($G$1="裂石",$AJ78,$AH78)+IF($G$1="裂石",$AK78*1.5,0))*(1+$AY78)*(1+$AZ78)+(($BA78+$BB78)/2*IF($G$1="牵丝",$AJ78,$AH78)+IF($G$1="牵丝",$AK78*1.5,0))*(1+$BC78)*(1+$BD78)+(($BE78+$BF78)/2*IF($G$1="破竹",$AJ78,$AH78)+IF($G$1="破竹",$AK78*1.5,0))*(1+$BG78)*(1+$BH78))*(1+$AL78)*$P78*(1+IF(VLOOKUP($Q78,武学奇术!$A:$ZZ,30,FALSE)="回旋伞",$B$21,0))*(1+$BQ78)</f>
        <v>33968.9905112452</v>
      </c>
      <c r="O78" s="41">
        <f>((($AN78*$AH78+$AI78)*(1+$AP78)*(1+$AQ78)+($AS78*IF($G$1="鸣金",$AJ78,$AH78)+IF($G$1="鸣金",$AK78*1.5,0))*(1+$AU78)*(1+$AV78)+($AW78*IF($G$1="裂石",$AJ78,$AH78)+IF($G$1="裂石",$AK78*1.5,0))*(1+$AY78)*(1+$AZ78)+($BA78*IF($G$1="牵丝",$AJ78,$AH78)+IF($G$1="牵丝",$AK78*1.5,0))*(1+$BC78)*(1+$BD78)+($BE78*IF($G$1="破竹",$AJ78,$AH78)+IF($G$1="破竹",$AK78*1.5,0))*(1+$BG78)*(1+$BH78))*(1+$AL78))*$P78*(1+IF(VLOOKUP($Q78,武学奇术!$A:$ZZ,30,FALSE)="回旋伞",$B$21,0))*(1+$BQ78)</f>
        <v>29903.3017965953</v>
      </c>
      <c r="P78" s="42">
        <v>1</v>
      </c>
      <c r="Q78" s="43" t="s">
        <v>104</v>
      </c>
      <c r="R78" s="43" t="s">
        <v>105</v>
      </c>
      <c r="S78" s="43" t="s">
        <v>91</v>
      </c>
      <c r="T78" s="43" t="s">
        <v>72</v>
      </c>
      <c r="U78" s="43" t="s">
        <v>71</v>
      </c>
      <c r="V78" s="43" t="s">
        <v>167</v>
      </c>
      <c r="W78" s="43" t="s">
        <v>95</v>
      </c>
      <c r="X78" s="43" t="s">
        <v>71</v>
      </c>
      <c r="Y78" s="43" t="s">
        <v>71</v>
      </c>
      <c r="Z78" s="43" t="s">
        <v>71</v>
      </c>
      <c r="AA78" s="43" t="s">
        <v>109</v>
      </c>
      <c r="AB78" s="43" t="s">
        <v>71</v>
      </c>
      <c r="AC78" s="43" t="s">
        <v>71</v>
      </c>
      <c r="AD78" s="43" t="s">
        <v>71</v>
      </c>
      <c r="AE78" s="43" t="s">
        <v>71</v>
      </c>
      <c r="AF78" s="43" t="s">
        <v>76</v>
      </c>
      <c r="AG78" t="str">
        <f>VLOOKUP($Q78,武学奇术!$A:$ZZ,25,FALSE)</f>
        <v>伞</v>
      </c>
      <c r="AH78" s="30">
        <f>VLOOKUP($Q78,武学奇术!$A:$ZZ,26,FALSE)</f>
        <v>1.8084</v>
      </c>
      <c r="AI78" s="31">
        <f>VLOOKUP($Q78,武学奇术!$A:$ZZ,27,FALSE)*(1+IF(OR($AG78=$F$4,$AG78=$F$5),$B$22,0))</f>
        <v>700</v>
      </c>
      <c r="AJ78" s="30">
        <f>VLOOKUP($Q78,武学奇术!$A:$ZZ,28,FALSE)</f>
        <v>2.7126</v>
      </c>
      <c r="AK78" s="31">
        <f>VLOOKUP($Q78,武学奇术!$A:$ZZ,29,FALSE)*(1+IF(OR($AG78=$F$4,$AG78=$F$5),$B$22,0))</f>
        <v>380.8</v>
      </c>
      <c r="AL78" s="30" cm="1">
        <f t="array" ref="AL78">$G$3+IFERROR(VLOOKUP($AG78,$F$4:$G$7,2,FALSE),0)+VLOOKUP($Q78,武学奇术!$A:$ZZ,2,FALSE)+SUM(_xlfn.XLOOKUP($R78:$AF78,增益!$A:$A,增益!$B:$B,0))</f>
        <v>0.5741</v>
      </c>
      <c r="AM78" s="30" cm="1">
        <f t="array" ref="AM78">VLOOKUP($Q78,武学奇术!$A:$ZZ,5,FALSE)+SUM(_xlfn.XLOOKUP($R78:$AF78,增益!$A:$A,增益!$E:$E,0))</f>
        <v>0</v>
      </c>
      <c r="AN78" cm="1">
        <f t="array" ref="AN78">$D$10*(1+$AM78)+VLOOKUP($Q78,武学奇术!$A:$ZZ,3,FALSE)+SUM(_xlfn.XLOOKUP($R78:$AF78,增益!$A:$A,增益!$C:$C,0))-$I$2</f>
        <v>3483.8</v>
      </c>
      <c r="AO78" cm="1">
        <f t="array" ref="AO78">$E$10*(1+$AM78)+VLOOKUP($Q78,武学奇术!$A:$ZZ,4,FALSE)+SUM(_xlfn.XLOOKUP($R78:$AF78,增益!$A:$A,增益!$D:$D,0))-$I$2</f>
        <v>3483.8</v>
      </c>
      <c r="AP78" s="35" cm="1">
        <f t="array" ref="AP78">IF($F$10-$I$3+VLOOKUP($Q78,武学奇术!$A:$ZZ,6,FALSE)+SUM(_xlfn.XLOOKUP(R78:AF78,增益!$A:$A,增益!$F:$F,0))&gt;0,($F$10-$I$3+VLOOKUP($Q78,武学奇术!$A:$ZZ,6,FALSE)+SUM(_xlfn.XLOOKUP(R78:AF78,增益!$A:$A,增益!$F:$F,0)))/200,($F$10-$I$3+VLOOKUP($Q78,武学奇术!$A:$ZZ,6,FALSE)+SUM(_xlfn.XLOOKUP(R78:AF78,增益!$A:$A,增益!$F:$F,0)))/100)</f>
        <v>0.2925</v>
      </c>
      <c r="AQ78" s="35" cm="1">
        <f t="array" ref="AQ78">$G$10+VLOOKUP($Q78,武学奇术!$A:$ZZ,7,FALSE)+SUM(_xlfn.XLOOKUP(R78:AF78,增益!$A:$A,增益!$G:$G,0))</f>
        <v>0.148</v>
      </c>
      <c r="AR78" s="30" cm="1">
        <f t="array" ref="AR78">VLOOKUP($Q78,武学奇术!$A:$ZZ,8,FALSE)+SUM(_xlfn.XLOOKUP(R78:AF78,增益!$A:$A,增益!$H:$H,0))</f>
        <v>0</v>
      </c>
      <c r="AS78">
        <f t="shared" si="13"/>
        <v>0</v>
      </c>
      <c r="AT78">
        <f t="shared" si="14"/>
        <v>0</v>
      </c>
      <c r="AU78" s="35" cm="1">
        <f t="array" ref="AU78">IF($F$11-$I$4+VLOOKUP($Q78,武学奇术!$A:$ZZ,9,FALSE)+SUM(_xlfn.XLOOKUP(R78:AF78,增益!$A:$A,增益!$I:$I,0))&gt;0,($F$11-$I$4+VLOOKUP($Q78,武学奇术!$A:$ZZ,9,FALSE)+SUM(_xlfn.XLOOKUP(R78:AF78,增益!$A:$A,增益!$I:$I,0)))/200,($F$11-$I$4+VLOOKUP($Q78,武学奇术!$A:$ZZ,9,FALSE)+SUM(_xlfn.XLOOKUP(R78:AF78,增益!$A:$A,增益!$I:$I,0)))/100)</f>
        <v>-0.3</v>
      </c>
      <c r="AV78" s="35" cm="1">
        <f t="array" ref="AV78">$G$11+VLOOKUP($Q78,武学奇术!$A:$ZZ,10,FALSE)+SUM(_xlfn.XLOOKUP(R78:AF78,增益!$A:$A,增益!$J:$J,0))</f>
        <v>0</v>
      </c>
      <c r="AW78">
        <f t="shared" si="15"/>
        <v>0</v>
      </c>
      <c r="AX78">
        <f t="shared" si="16"/>
        <v>0</v>
      </c>
      <c r="AY78" s="35" cm="1">
        <f t="array" ref="AY78">IF($F$12-$I$4+VLOOKUP($Q78,武学奇术!$A:$ZZ,11,FALSE)+SUM(_xlfn.XLOOKUP(R78:AF78,增益!$A:$A,增益!$K:$K,0))&gt;0,($F$12-$I$4+VLOOKUP($Q78,武学奇术!$A:$ZZ,11,FALSE)+SUM(_xlfn.XLOOKUP(R78:AF78,增益!$A:$A,增益!$K:$K,0)))/200,($F$12-$I$4+VLOOKUP($Q78,武学奇术!$A:$ZZ,11,FALSE)+SUM(_xlfn.XLOOKUP(R78:AF78,增益!$A:$A,增益!$K:$K,0)))/100)</f>
        <v>-0.3</v>
      </c>
      <c r="AZ78" s="35" cm="1">
        <f t="array" ref="AZ78">$G$12+VLOOKUP($Q78,武学奇术!$A:$ZZ,12,FALSE)+SUM(_xlfn.XLOOKUP(R78:AF78,增益!$A:$A,增益!$L:$L,0))</f>
        <v>0</v>
      </c>
      <c r="BA78">
        <f t="shared" si="17"/>
        <v>0</v>
      </c>
      <c r="BB78">
        <f t="shared" si="18"/>
        <v>0</v>
      </c>
      <c r="BC78" s="35" cm="1">
        <f t="array" ref="BC78">IF($F$13-$I$4+VLOOKUP($Q78,武学奇术!$A:$ZZ,13,FALSE)+SUM(_xlfn.XLOOKUP(R78:AF78,增益!$A:$A,增益!$M:$M,0))&gt;0,($F$13-$I$4+VLOOKUP($Q78,武学奇术!$A:$ZZ,13,FALSE)+SUM(_xlfn.XLOOKUP(R78:AF78,增益!$A:$A,增益!$K:$K,0)))/200,($F$13-$I$4+VLOOKUP($Q78,武学奇术!$A:$ZZ,13,FALSE)+SUM(_xlfn.XLOOKUP(R78:AF78,增益!$A:$A,增益!$M:$M,0)))/100)</f>
        <v>-0.3</v>
      </c>
      <c r="BD78" s="35" cm="1">
        <f t="array" ref="BD78">$G$13+VLOOKUP($Q78,武学奇术!$A:$ZZ,14,FALSE)+SUM(_xlfn.XLOOKUP(R78:AF78,增益!$A:$A,增益!$N:$N,0))</f>
        <v>0</v>
      </c>
      <c r="BE78">
        <f t="shared" si="19"/>
        <v>538</v>
      </c>
      <c r="BF78">
        <f t="shared" si="20"/>
        <v>1561.4</v>
      </c>
      <c r="BG78" s="35" cm="1">
        <f t="array" ref="BG78">IF($F$14-$I$4+VLOOKUP($Q78,武学奇术!$A:$ZZ,15,FALSE)+SUM(_xlfn.XLOOKUP(R78:AF78,增益!$A:$A,增益!$O:$O,0))&gt;0,($F$14-$I$4+VLOOKUP($Q78,武学奇术!$A:$ZZ,15,FALSE)+SUM(_xlfn.XLOOKUP(R78:AF78,增益!$A:$A,增益!$O:$O,0)))/200,($F$14-$I$4+VLOOKUP($Q78,武学奇术!$A:$ZZ,15,FALSE)+SUM(_xlfn.XLOOKUP(R78:AF78,增益!$A:$A,增益!$O:$O,0)))/100)</f>
        <v>0</v>
      </c>
      <c r="BH78" s="35" cm="1">
        <f t="array" ref="BH78">$G$14+VLOOKUP($Q78,武学奇术!$A:$ZZ,16,FALSE)+SUM(_xlfn.XLOOKUP(R78:AF78,增益!$A:$A,增益!$P:$P,0))</f>
        <v>0.27</v>
      </c>
      <c r="BI78" s="30">
        <f>MIN(IF(VLOOKUP($Q78,武学奇术!$A:$ZZ,23,FALSE)=1,100%,$B$8),100%)</f>
        <v>0.9712</v>
      </c>
      <c r="BJ78" s="30" cm="1">
        <f t="array" ref="BJ78">IF(VLOOKUP($Q78,武学奇术!$A:$ZZ,23,FALSE)=1,100%,MIN(80%,$B$9+VLOOKUP($Q78,武学奇术!$A:$ZZ,17,FALSE)+SUM(_xlfn.XLOOKUP(R78:AF78,增益!$A:$A,增益!$Q:$Q,0)))+$B$11+SUM(_xlfn.XLOOKUP(R78:AF78,增益!$A:$A,增益!$U:$U,0)))*IF(VLOOKUP($Q78,武学奇术!$A:$ZZ,24,FALSE)=1,0,1)</f>
        <v>0.8773</v>
      </c>
      <c r="BK78" s="30" cm="1">
        <f t="array" ref="BK78">1+$B$13+VLOOKUP($Q78,武学奇术!$A:$ZZ,18,FALSE)+SUM(_xlfn.XLOOKUP(R78:AF78,增益!$A:$A,增益!$R:$R,0))</f>
        <v>1.87</v>
      </c>
      <c r="BL78" s="30" cm="1">
        <f t="array" ref="BL78">IF(VLOOKUP($Q78,武学奇术!$A:$ZZ,24,FALSE)=1,100%,MIN(40%,$B$10+VLOOKUP($Q78,武学奇术!$A:$ZZ,19,FALSE)+SUM(_xlfn.XLOOKUP(R78:AF78,增益!$A:$A,增益!$S:$S,0)))+$B$12+SUM(_xlfn.XLOOKUP(R78:AF78,增益!$A:$A,增益!$V:$V,0)))*IF(VLOOKUP($Q78,武学奇术!$A:$ZZ,23,FALSE)=1,0,1)</f>
        <v>0.0895</v>
      </c>
      <c r="BM78" s="30" cm="1">
        <f t="array" ref="BM78">1+$B$14+VLOOKUP($Q78,武学奇术!$A:$ZZ,20,FALSE)+SUM(_xlfn.XLOOKUP(R78:AF78,增益!$A:$A,增益!$T:$T,0))</f>
        <v>1.35</v>
      </c>
      <c r="BN78" s="30">
        <f t="shared" si="21"/>
        <v>0.85203376</v>
      </c>
      <c r="BO78" s="30">
        <f t="shared" si="22"/>
        <v>0.03224384</v>
      </c>
      <c r="BP78" s="30">
        <f>IF(VLOOKUP($Q78,武学奇术!$A:$ZZ,22,FALSE)=1,0,(1-$BI78))*(1-$BL78)</f>
        <v>0.0262224</v>
      </c>
      <c r="BQ78" s="30" cm="1">
        <f t="array" ref="BQ78">SUM(_xlfn.XLOOKUP(R78:AF78,增益!$A:$A,增益!$W:$W,0))+$I$5</f>
        <v>0.11</v>
      </c>
    </row>
    <row r="79" spans="1:69">
      <c r="A79" s="4"/>
      <c r="B79" s="4"/>
      <c r="K79" s="41">
        <f t="shared" si="23"/>
        <v>60597.8660987761</v>
      </c>
      <c r="L79" s="41">
        <f>((($AN79+$AO79)/2*$AH79+$AI79)*(1+$AP79)*(1+$AQ79)+(($AS79+$AT79)/2*IF($G$1="鸣金",$AJ79,$AH79)+IF($G$1="鸣金",$AK79*1.5,0))*(1+$AU79)*(1+$AV79)+(($AW79+$AX79)/2*IF($G$1="裂石",$AJ79,$AH79)+IF($G$1="裂石",$AK79*1.5,0))*(1+$AY79)*(1+$AZ79)+(($BA79+$BB79)/2*IF($G$1="牵丝",$AJ79,$AH79)+IF($G$1="牵丝",$AK79*1.5,0))*(1+$BC79)*(1+$BD79)+(($BE79+$BF79)/2*IF($G$1="破竹",$AJ79,$AH79)+IF($G$1="破竹",$AK79*1.5,0))*(1+$BG79)*(1+$BH79))*(1+$AL79)*$BK79*$P79*(1+IF(VLOOKUP($Q79,武学奇术!$A:$ZZ,30,FALSE)="回旋伞",$B$21,0))*(1+$BQ79)</f>
        <v>63522.0122560286</v>
      </c>
      <c r="M79" s="41">
        <f>(($AO79*$AH79+$AI79)*(1+$AP79)*(1+$AQ79)+($AT79*IF($G$1="鸣金",$AJ79,$AH79)+IF($G$1="鸣金",$AK79*1.5,0))*(1+$AU79)*(1+$AV79)+($AX79*IF($G$1="裂石",$AJ79,$AH79)+IF($G$1="裂石",$AK79*1.5,0))*(1+$AY79)*(1+$AZ79)+($BB79*IF($G$1="牵丝",$AJ79,$AH79)+IF($G$1="牵丝",$AK79*1.5,0))*(1+$BC79)*(1+$BD79)+($BF79*IF($G$1="破竹",$AJ79,$AH79)+IF($G$1="破竹",$AK79*1.5,0))*(1+$BG79)*(1+$BH79))*(1+$AL79)*$BM79*$P79*(1+IF(VLOOKUP($Q79,武学奇术!$A:$ZZ,30,FALSE)="回旋伞",$B$21,0))*(1+$BQ79)</f>
        <v>51346.8169549586</v>
      </c>
      <c r="N79" s="41">
        <f>((($AN79+$AO79)/2*$AH79+$AI79)*(1+$AP79)*(1+$AQ79)+(($AS79+$AT79)/2*IF($G$1="鸣金",$AJ79,$AH79)+IF($G$1="鸣金",$AK79*1.5,0))*(1+$AU79)*(1+$AV79)+(($AW79+$AX79)/2*IF($G$1="裂石",$AJ79,$AH79)+IF($G$1="裂石",$AK79*1.5,0))*(1+$AY79)*(1+$AZ79)+(($BA79+$BB79)/2*IF($G$1="牵丝",$AJ79,$AH79)+IF($G$1="牵丝",$AK79*1.5,0))*(1+$BC79)*(1+$BD79)+(($BE79+$BF79)/2*IF($G$1="破竹",$AJ79,$AH79)+IF($G$1="破竹",$AK79*1.5,0))*(1+$BG79)*(1+$BH79))*(1+$AL79)*$P79*(1+IF(VLOOKUP($Q79,武学奇术!$A:$ZZ,30,FALSE)="回旋伞",$B$21,0))*(1+$BQ79)</f>
        <v>33968.9905112452</v>
      </c>
      <c r="O79" s="41">
        <f>((($AN79*$AH79+$AI79)*(1+$AP79)*(1+$AQ79)+($AS79*IF($G$1="鸣金",$AJ79,$AH79)+IF($G$1="鸣金",$AK79*1.5,0))*(1+$AU79)*(1+$AV79)+($AW79*IF($G$1="裂石",$AJ79,$AH79)+IF($G$1="裂石",$AK79*1.5,0))*(1+$AY79)*(1+$AZ79)+($BA79*IF($G$1="牵丝",$AJ79,$AH79)+IF($G$1="牵丝",$AK79*1.5,0))*(1+$BC79)*(1+$BD79)+($BE79*IF($G$1="破竹",$AJ79,$AH79)+IF($G$1="破竹",$AK79*1.5,0))*(1+$BG79)*(1+$BH79))*(1+$AL79))*$P79*(1+IF(VLOOKUP($Q79,武学奇术!$A:$ZZ,30,FALSE)="回旋伞",$B$21,0))*(1+$BQ79)</f>
        <v>29903.3017965953</v>
      </c>
      <c r="P79" s="42">
        <v>1</v>
      </c>
      <c r="Q79" s="43" t="s">
        <v>104</v>
      </c>
      <c r="R79" s="43" t="s">
        <v>105</v>
      </c>
      <c r="S79" s="43" t="s">
        <v>91</v>
      </c>
      <c r="T79" s="43" t="s">
        <v>72</v>
      </c>
      <c r="U79" s="43" t="s">
        <v>71</v>
      </c>
      <c r="V79" s="43" t="s">
        <v>167</v>
      </c>
      <c r="W79" s="43" t="s">
        <v>95</v>
      </c>
      <c r="X79" s="43" t="s">
        <v>71</v>
      </c>
      <c r="Y79" s="43" t="s">
        <v>71</v>
      </c>
      <c r="Z79" s="43" t="s">
        <v>71</v>
      </c>
      <c r="AA79" s="43" t="s">
        <v>112</v>
      </c>
      <c r="AB79" s="43" t="s">
        <v>71</v>
      </c>
      <c r="AC79" s="43" t="s">
        <v>71</v>
      </c>
      <c r="AD79" s="43" t="s">
        <v>71</v>
      </c>
      <c r="AE79" s="43" t="s">
        <v>71</v>
      </c>
      <c r="AF79" s="43" t="s">
        <v>76</v>
      </c>
      <c r="AG79" t="str">
        <f>VLOOKUP($Q79,武学奇术!$A:$ZZ,25,FALSE)</f>
        <v>伞</v>
      </c>
      <c r="AH79" s="30">
        <f>VLOOKUP($Q79,武学奇术!$A:$ZZ,26,FALSE)</f>
        <v>1.8084</v>
      </c>
      <c r="AI79" s="31">
        <f>VLOOKUP($Q79,武学奇术!$A:$ZZ,27,FALSE)*(1+IF(OR($AG79=$F$4,$AG79=$F$5),$B$22,0))</f>
        <v>700</v>
      </c>
      <c r="AJ79" s="30">
        <f>VLOOKUP($Q79,武学奇术!$A:$ZZ,28,FALSE)</f>
        <v>2.7126</v>
      </c>
      <c r="AK79" s="31">
        <f>VLOOKUP($Q79,武学奇术!$A:$ZZ,29,FALSE)*(1+IF(OR($AG79=$F$4,$AG79=$F$5),$B$22,0))</f>
        <v>380.8</v>
      </c>
      <c r="AL79" s="30" cm="1">
        <f t="array" ref="AL79">$G$3+IFERROR(VLOOKUP($AG79,$F$4:$G$7,2,FALSE),0)+VLOOKUP($Q79,武学奇术!$A:$ZZ,2,FALSE)+SUM(_xlfn.XLOOKUP($R79:$AF79,增益!$A:$A,增益!$B:$B,0))</f>
        <v>0.5741</v>
      </c>
      <c r="AM79" s="30" cm="1">
        <f t="array" ref="AM79">VLOOKUP($Q79,武学奇术!$A:$ZZ,5,FALSE)+SUM(_xlfn.XLOOKUP($R79:$AF79,增益!$A:$A,增益!$E:$E,0))</f>
        <v>0</v>
      </c>
      <c r="AN79" cm="1">
        <f t="array" ref="AN79">$D$10*(1+$AM79)+VLOOKUP($Q79,武学奇术!$A:$ZZ,3,FALSE)+SUM(_xlfn.XLOOKUP($R79:$AF79,增益!$A:$A,增益!$C:$C,0))-$I$2</f>
        <v>3483.8</v>
      </c>
      <c r="AO79" cm="1">
        <f t="array" ref="AO79">$E$10*(1+$AM79)+VLOOKUP($Q79,武学奇术!$A:$ZZ,4,FALSE)+SUM(_xlfn.XLOOKUP($R79:$AF79,增益!$A:$A,增益!$D:$D,0))-$I$2</f>
        <v>3483.8</v>
      </c>
      <c r="AP79" s="35" cm="1">
        <f t="array" ref="AP79">IF($F$10-$I$3+VLOOKUP($Q79,武学奇术!$A:$ZZ,6,FALSE)+SUM(_xlfn.XLOOKUP(R79:AF79,增益!$A:$A,增益!$F:$F,0))&gt;0,($F$10-$I$3+VLOOKUP($Q79,武学奇术!$A:$ZZ,6,FALSE)+SUM(_xlfn.XLOOKUP(R79:AF79,增益!$A:$A,增益!$F:$F,0)))/200,($F$10-$I$3+VLOOKUP($Q79,武学奇术!$A:$ZZ,6,FALSE)+SUM(_xlfn.XLOOKUP(R79:AF79,增益!$A:$A,增益!$F:$F,0)))/100)</f>
        <v>0.2925</v>
      </c>
      <c r="AQ79" s="35" cm="1">
        <f t="array" ref="AQ79">$G$10+VLOOKUP($Q79,武学奇术!$A:$ZZ,7,FALSE)+SUM(_xlfn.XLOOKUP(R79:AF79,增益!$A:$A,增益!$G:$G,0))</f>
        <v>0.148</v>
      </c>
      <c r="AR79" s="30" cm="1">
        <f t="array" ref="AR79">VLOOKUP($Q79,武学奇术!$A:$ZZ,8,FALSE)+SUM(_xlfn.XLOOKUP(R79:AF79,增益!$A:$A,增益!$H:$H,0))</f>
        <v>0</v>
      </c>
      <c r="AS79">
        <f t="shared" si="13"/>
        <v>0</v>
      </c>
      <c r="AT79">
        <f t="shared" si="14"/>
        <v>0</v>
      </c>
      <c r="AU79" s="35" cm="1">
        <f t="array" ref="AU79">IF($F$11-$I$4+VLOOKUP($Q79,武学奇术!$A:$ZZ,9,FALSE)+SUM(_xlfn.XLOOKUP(R79:AF79,增益!$A:$A,增益!$I:$I,0))&gt;0,($F$11-$I$4+VLOOKUP($Q79,武学奇术!$A:$ZZ,9,FALSE)+SUM(_xlfn.XLOOKUP(R79:AF79,增益!$A:$A,增益!$I:$I,0)))/200,($F$11-$I$4+VLOOKUP($Q79,武学奇术!$A:$ZZ,9,FALSE)+SUM(_xlfn.XLOOKUP(R79:AF79,增益!$A:$A,增益!$I:$I,0)))/100)</f>
        <v>-0.3</v>
      </c>
      <c r="AV79" s="35" cm="1">
        <f t="array" ref="AV79">$G$11+VLOOKUP($Q79,武学奇术!$A:$ZZ,10,FALSE)+SUM(_xlfn.XLOOKUP(R79:AF79,增益!$A:$A,增益!$J:$J,0))</f>
        <v>0</v>
      </c>
      <c r="AW79">
        <f t="shared" si="15"/>
        <v>0</v>
      </c>
      <c r="AX79">
        <f t="shared" si="16"/>
        <v>0</v>
      </c>
      <c r="AY79" s="35" cm="1">
        <f t="array" ref="AY79">IF($F$12-$I$4+VLOOKUP($Q79,武学奇术!$A:$ZZ,11,FALSE)+SUM(_xlfn.XLOOKUP(R79:AF79,增益!$A:$A,增益!$K:$K,0))&gt;0,($F$12-$I$4+VLOOKUP($Q79,武学奇术!$A:$ZZ,11,FALSE)+SUM(_xlfn.XLOOKUP(R79:AF79,增益!$A:$A,增益!$K:$K,0)))/200,($F$12-$I$4+VLOOKUP($Q79,武学奇术!$A:$ZZ,11,FALSE)+SUM(_xlfn.XLOOKUP(R79:AF79,增益!$A:$A,增益!$K:$K,0)))/100)</f>
        <v>-0.3</v>
      </c>
      <c r="AZ79" s="35" cm="1">
        <f t="array" ref="AZ79">$G$12+VLOOKUP($Q79,武学奇术!$A:$ZZ,12,FALSE)+SUM(_xlfn.XLOOKUP(R79:AF79,增益!$A:$A,增益!$L:$L,0))</f>
        <v>0</v>
      </c>
      <c r="BA79">
        <f t="shared" si="17"/>
        <v>0</v>
      </c>
      <c r="BB79">
        <f t="shared" si="18"/>
        <v>0</v>
      </c>
      <c r="BC79" s="35" cm="1">
        <f t="array" ref="BC79">IF($F$13-$I$4+VLOOKUP($Q79,武学奇术!$A:$ZZ,13,FALSE)+SUM(_xlfn.XLOOKUP(R79:AF79,增益!$A:$A,增益!$M:$M,0))&gt;0,($F$13-$I$4+VLOOKUP($Q79,武学奇术!$A:$ZZ,13,FALSE)+SUM(_xlfn.XLOOKUP(R79:AF79,增益!$A:$A,增益!$K:$K,0)))/200,($F$13-$I$4+VLOOKUP($Q79,武学奇术!$A:$ZZ,13,FALSE)+SUM(_xlfn.XLOOKUP(R79:AF79,增益!$A:$A,增益!$M:$M,0)))/100)</f>
        <v>-0.3</v>
      </c>
      <c r="BD79" s="35" cm="1">
        <f t="array" ref="BD79">$G$13+VLOOKUP($Q79,武学奇术!$A:$ZZ,14,FALSE)+SUM(_xlfn.XLOOKUP(R79:AF79,增益!$A:$A,增益!$N:$N,0))</f>
        <v>0</v>
      </c>
      <c r="BE79">
        <f t="shared" si="19"/>
        <v>538</v>
      </c>
      <c r="BF79">
        <f t="shared" si="20"/>
        <v>1561.4</v>
      </c>
      <c r="BG79" s="35" cm="1">
        <f t="array" ref="BG79">IF($F$14-$I$4+VLOOKUP($Q79,武学奇术!$A:$ZZ,15,FALSE)+SUM(_xlfn.XLOOKUP(R79:AF79,增益!$A:$A,增益!$O:$O,0))&gt;0,($F$14-$I$4+VLOOKUP($Q79,武学奇术!$A:$ZZ,15,FALSE)+SUM(_xlfn.XLOOKUP(R79:AF79,增益!$A:$A,增益!$O:$O,0)))/200,($F$14-$I$4+VLOOKUP($Q79,武学奇术!$A:$ZZ,15,FALSE)+SUM(_xlfn.XLOOKUP(R79:AF79,增益!$A:$A,增益!$O:$O,0)))/100)</f>
        <v>0</v>
      </c>
      <c r="BH79" s="35" cm="1">
        <f t="array" ref="BH79">$G$14+VLOOKUP($Q79,武学奇术!$A:$ZZ,16,FALSE)+SUM(_xlfn.XLOOKUP(R79:AF79,增益!$A:$A,增益!$P:$P,0))</f>
        <v>0.27</v>
      </c>
      <c r="BI79" s="30">
        <f>MIN(IF(VLOOKUP($Q79,武学奇术!$A:$ZZ,23,FALSE)=1,100%,$B$8),100%)</f>
        <v>0.9712</v>
      </c>
      <c r="BJ79" s="30" cm="1">
        <f t="array" ref="BJ79">IF(VLOOKUP($Q79,武学奇术!$A:$ZZ,23,FALSE)=1,100%,MIN(80%,$B$9+VLOOKUP($Q79,武学奇术!$A:$ZZ,17,FALSE)+SUM(_xlfn.XLOOKUP(R79:AF79,增益!$A:$A,增益!$Q:$Q,0)))+$B$11+SUM(_xlfn.XLOOKUP(R79:AF79,增益!$A:$A,增益!$U:$U,0)))*IF(VLOOKUP($Q79,武学奇术!$A:$ZZ,24,FALSE)=1,0,1)</f>
        <v>0.8773</v>
      </c>
      <c r="BK79" s="30" cm="1">
        <f t="array" ref="BK79">1+$B$13+VLOOKUP($Q79,武学奇术!$A:$ZZ,18,FALSE)+SUM(_xlfn.XLOOKUP(R79:AF79,增益!$A:$A,增益!$R:$R,0))</f>
        <v>1.87</v>
      </c>
      <c r="BL79" s="30" cm="1">
        <f t="array" ref="BL79">IF(VLOOKUP($Q79,武学奇术!$A:$ZZ,24,FALSE)=1,100%,MIN(40%,$B$10+VLOOKUP($Q79,武学奇术!$A:$ZZ,19,FALSE)+SUM(_xlfn.XLOOKUP(R79:AF79,增益!$A:$A,增益!$S:$S,0)))+$B$12+SUM(_xlfn.XLOOKUP(R79:AF79,增益!$A:$A,增益!$V:$V,0)))*IF(VLOOKUP($Q79,武学奇术!$A:$ZZ,23,FALSE)=1,0,1)</f>
        <v>0.0895</v>
      </c>
      <c r="BM79" s="30" cm="1">
        <f t="array" ref="BM79">1+$B$14+VLOOKUP($Q79,武学奇术!$A:$ZZ,20,FALSE)+SUM(_xlfn.XLOOKUP(R79:AF79,增益!$A:$A,增益!$T:$T,0))</f>
        <v>1.35</v>
      </c>
      <c r="BN79" s="30">
        <f t="shared" si="21"/>
        <v>0.85203376</v>
      </c>
      <c r="BO79" s="30">
        <f t="shared" si="22"/>
        <v>0.03224384</v>
      </c>
      <c r="BP79" s="30">
        <f>IF(VLOOKUP($Q79,武学奇术!$A:$ZZ,22,FALSE)=1,0,(1-$BI79))*(1-$BL79)</f>
        <v>0.0262224</v>
      </c>
      <c r="BQ79" s="30" cm="1">
        <f t="array" ref="BQ79">SUM(_xlfn.XLOOKUP(R79:AF79,增益!$A:$A,增益!$W:$W,0))+$I$5</f>
        <v>0.11</v>
      </c>
    </row>
    <row r="80" spans="1:69">
      <c r="A80" s="4"/>
      <c r="B80" s="4"/>
      <c r="C80" s="42"/>
      <c r="K80" s="41">
        <f t="shared" si="23"/>
        <v>71592.9114690429</v>
      </c>
      <c r="L80" s="41">
        <f>((($AN80+$AO80)/2*$AH80+$AI80)*(1+$AP80)*(1+$AQ80)+(($AS80+$AT80)/2*IF($G$1="鸣金",$AJ80,$AH80)+IF($G$1="鸣金",$AK80*1.5,0))*(1+$AU80)*(1+$AV80)+(($AW80+$AX80)/2*IF($G$1="裂石",$AJ80,$AH80)+IF($G$1="裂石",$AK80*1.5,0))*(1+$AY80)*(1+$AZ80)+(($BA80+$BB80)/2*IF($G$1="牵丝",$AJ80,$AH80)+IF($G$1="牵丝",$AK80*1.5,0))*(1+$BC80)*(1+$BD80)+(($BE80+$BF80)/2*IF($G$1="破竹",$AJ80,$AH80)+IF($G$1="破竹",$AK80*1.5,0))*(1+$BG80)*(1+$BH80))*(1+$AL80)*$BK80*$P80*(1+IF(VLOOKUP($Q80,武学奇术!$A:$ZZ,30,FALSE)="回旋伞",$B$21,0))*(1+$BQ80)</f>
        <v>71592.9114690429</v>
      </c>
      <c r="M80" s="41">
        <f>(($AO80*$AH80+$AI80)*(1+$AP80)*(1+$AQ80)+($AT80*IF($G$1="鸣金",$AJ80,$AH80)+IF($G$1="鸣金",$AK80*1.5,0))*(1+$AU80)*(1+$AV80)+($AX80*IF($G$1="裂石",$AJ80,$AH80)+IF($G$1="裂石",$AK80*1.5,0))*(1+$AY80)*(1+$AZ80)+($BB80*IF($G$1="牵丝",$AJ80,$AH80)+IF($G$1="牵丝",$AK80*1.5,0))*(1+$BC80)*(1+$BD80)+($BF80*IF($G$1="破竹",$AJ80,$AH80)+IF($G$1="破竹",$AK80*1.5,0))*(1+$BG80)*(1+$BH80))*(1+$AL80)*$BM80*$P80*(1+IF(VLOOKUP($Q80,武学奇术!$A:$ZZ,30,FALSE)="回旋伞",$B$21,0))*(1+$BQ80)</f>
        <v>57870.7756557982</v>
      </c>
      <c r="N80" s="41">
        <f>((($AN80+$AO80)/2*$AH80+$AI80)*(1+$AP80)*(1+$AQ80)+(($AS80+$AT80)/2*IF($G$1="鸣金",$AJ80,$AH80)+IF($G$1="鸣金",$AK80*1.5,0))*(1+$AU80)*(1+$AV80)+(($AW80+$AX80)/2*IF($G$1="裂石",$AJ80,$AH80)+IF($G$1="裂石",$AK80*1.5,0))*(1+$AY80)*(1+$AZ80)+(($BA80+$BB80)/2*IF($G$1="牵丝",$AJ80,$AH80)+IF($G$1="牵丝",$AK80*1.5,0))*(1+$BC80)*(1+$BD80)+(($BE80+$BF80)/2*IF($G$1="破竹",$AJ80,$AH80)+IF($G$1="破竹",$AK80*1.5,0))*(1+$BG80)*(1+$BH80))*(1+$AL80)*$P80*(1+IF(VLOOKUP($Q80,武学奇术!$A:$ZZ,30,FALSE)="回旋伞",$B$21,0))*(1+$BQ80)</f>
        <v>38284.9793952101</v>
      </c>
      <c r="O80" s="41">
        <f>((($AN80*$AH80+$AI80)*(1+$AP80)*(1+$AQ80)+($AS80*IF($G$1="鸣金",$AJ80,$AH80)+IF($G$1="鸣金",$AK80*1.5,0))*(1+$AU80)*(1+$AV80)+($AW80*IF($G$1="裂石",$AJ80,$AH80)+IF($G$1="裂石",$AK80*1.5,0))*(1+$AY80)*(1+$AZ80)+($BA80*IF($G$1="牵丝",$AJ80,$AH80)+IF($G$1="牵丝",$AK80*1.5,0))*(1+$BC80)*(1+$BD80)+($BE80*IF($G$1="破竹",$AJ80,$AH80)+IF($G$1="破竹",$AK80*1.5,0))*(1+$BG80)*(1+$BH80))*(1+$AL80))*$P80*(1+IF(VLOOKUP($Q80,武学奇术!$A:$ZZ,30,FALSE)="回旋伞",$B$21,0))*(1+$BQ80)</f>
        <v>33702.717563903</v>
      </c>
      <c r="P80" s="42">
        <v>1</v>
      </c>
      <c r="Q80" s="43" t="s">
        <v>115</v>
      </c>
      <c r="R80" s="43" t="s">
        <v>105</v>
      </c>
      <c r="S80" s="43" t="s">
        <v>91</v>
      </c>
      <c r="T80" s="43" t="s">
        <v>72</v>
      </c>
      <c r="U80" s="43" t="s">
        <v>71</v>
      </c>
      <c r="V80" s="43" t="s">
        <v>167</v>
      </c>
      <c r="W80" s="43" t="s">
        <v>95</v>
      </c>
      <c r="X80" s="43" t="s">
        <v>71</v>
      </c>
      <c r="Y80" s="43" t="s">
        <v>71</v>
      </c>
      <c r="Z80" s="43" t="s">
        <v>71</v>
      </c>
      <c r="AA80" s="43" t="s">
        <v>116</v>
      </c>
      <c r="AB80" s="43" t="s">
        <v>71</v>
      </c>
      <c r="AC80" s="43" t="s">
        <v>71</v>
      </c>
      <c r="AD80" s="43" t="s">
        <v>71</v>
      </c>
      <c r="AE80" s="43" t="s">
        <v>71</v>
      </c>
      <c r="AF80" s="43" t="s">
        <v>76</v>
      </c>
      <c r="AG80" t="str">
        <f>VLOOKUP($Q80,武学奇术!$A:$ZZ,25,FALSE)</f>
        <v>伞</v>
      </c>
      <c r="AH80" s="30">
        <f>VLOOKUP($Q80,武学奇术!$A:$ZZ,26,FALSE)</f>
        <v>1.8084</v>
      </c>
      <c r="AI80" s="31">
        <f>VLOOKUP($Q80,武学奇术!$A:$ZZ,27,FALSE)*(1+IF(OR($AG80=$F$4,$AG80=$F$5),$B$22,0))</f>
        <v>700</v>
      </c>
      <c r="AJ80" s="30">
        <f>VLOOKUP($Q80,武学奇术!$A:$ZZ,28,FALSE)</f>
        <v>2.7126</v>
      </c>
      <c r="AK80" s="31">
        <f>VLOOKUP($Q80,武学奇术!$A:$ZZ,29,FALSE)*(1+IF(OR($AG80=$F$4,$AG80=$F$5),$B$22,0))</f>
        <v>380.8</v>
      </c>
      <c r="AL80" s="30" cm="1">
        <f t="array" ref="AL80">$G$3+IFERROR(VLOOKUP($AG80,$F$4:$G$7,2,FALSE),0)+VLOOKUP($Q80,武学奇术!$A:$ZZ,2,FALSE)+SUM(_xlfn.XLOOKUP($R80:$AF80,增益!$A:$A,增益!$B:$B,0))</f>
        <v>0.7741</v>
      </c>
      <c r="AM80" s="30" cm="1">
        <f t="array" ref="AM80">VLOOKUP($Q80,武学奇术!$A:$ZZ,5,FALSE)+SUM(_xlfn.XLOOKUP($R80:$AF80,增益!$A:$A,增益!$E:$E,0))</f>
        <v>0</v>
      </c>
      <c r="AN80" cm="1">
        <f t="array" ref="AN80">$D$10*(1+$AM80)+VLOOKUP($Q80,武学奇术!$A:$ZZ,3,FALSE)+SUM(_xlfn.XLOOKUP($R80:$AF80,增益!$A:$A,增益!$C:$C,0))-$I$2</f>
        <v>3483.8</v>
      </c>
      <c r="AO80" cm="1">
        <f t="array" ref="AO80">$E$10*(1+$AM80)+VLOOKUP($Q80,武学奇术!$A:$ZZ,4,FALSE)+SUM(_xlfn.XLOOKUP($R80:$AF80,增益!$A:$A,增益!$D:$D,0))-$I$2</f>
        <v>3483.8</v>
      </c>
      <c r="AP80" s="35" cm="1">
        <f t="array" ref="AP80">IF($F$10-$I$3+VLOOKUP($Q80,武学奇术!$A:$ZZ,6,FALSE)+SUM(_xlfn.XLOOKUP(R80:AF80,增益!$A:$A,增益!$F:$F,0))&gt;0,($F$10-$I$3+VLOOKUP($Q80,武学奇术!$A:$ZZ,6,FALSE)+SUM(_xlfn.XLOOKUP(R80:AF80,增益!$A:$A,增益!$F:$F,0)))/200,($F$10-$I$3+VLOOKUP($Q80,武学奇术!$A:$ZZ,6,FALSE)+SUM(_xlfn.XLOOKUP(R80:AF80,增益!$A:$A,增益!$F:$F,0)))/100)</f>
        <v>0.2925</v>
      </c>
      <c r="AQ80" s="35" cm="1">
        <f t="array" ref="AQ80">$G$10+VLOOKUP($Q80,武学奇术!$A:$ZZ,7,FALSE)+SUM(_xlfn.XLOOKUP(R80:AF80,增益!$A:$A,增益!$G:$G,0))</f>
        <v>0.148</v>
      </c>
      <c r="AR80" s="30" cm="1">
        <f t="array" ref="AR80">VLOOKUP($Q80,武学奇术!$A:$ZZ,8,FALSE)+SUM(_xlfn.XLOOKUP(R80:AF80,增益!$A:$A,增益!$H:$H,0))</f>
        <v>0</v>
      </c>
      <c r="AS80">
        <f t="shared" si="13"/>
        <v>0</v>
      </c>
      <c r="AT80">
        <f t="shared" si="14"/>
        <v>0</v>
      </c>
      <c r="AU80" s="35" cm="1">
        <f t="array" ref="AU80">IF($F$11-$I$4+VLOOKUP($Q80,武学奇术!$A:$ZZ,9,FALSE)+SUM(_xlfn.XLOOKUP(R80:AF80,增益!$A:$A,增益!$I:$I,0))&gt;0,($F$11-$I$4+VLOOKUP($Q80,武学奇术!$A:$ZZ,9,FALSE)+SUM(_xlfn.XLOOKUP(R80:AF80,增益!$A:$A,增益!$I:$I,0)))/200,($F$11-$I$4+VLOOKUP($Q80,武学奇术!$A:$ZZ,9,FALSE)+SUM(_xlfn.XLOOKUP(R80:AF80,增益!$A:$A,增益!$I:$I,0)))/100)</f>
        <v>-0.3</v>
      </c>
      <c r="AV80" s="35" cm="1">
        <f t="array" ref="AV80">$G$11+VLOOKUP($Q80,武学奇术!$A:$ZZ,10,FALSE)+SUM(_xlfn.XLOOKUP(R80:AF80,增益!$A:$A,增益!$J:$J,0))</f>
        <v>0</v>
      </c>
      <c r="AW80">
        <f t="shared" si="15"/>
        <v>0</v>
      </c>
      <c r="AX80">
        <f t="shared" si="16"/>
        <v>0</v>
      </c>
      <c r="AY80" s="35" cm="1">
        <f t="array" ref="AY80">IF($F$12-$I$4+VLOOKUP($Q80,武学奇术!$A:$ZZ,11,FALSE)+SUM(_xlfn.XLOOKUP(R80:AF80,增益!$A:$A,增益!$K:$K,0))&gt;0,($F$12-$I$4+VLOOKUP($Q80,武学奇术!$A:$ZZ,11,FALSE)+SUM(_xlfn.XLOOKUP(R80:AF80,增益!$A:$A,增益!$K:$K,0)))/200,($F$12-$I$4+VLOOKUP($Q80,武学奇术!$A:$ZZ,11,FALSE)+SUM(_xlfn.XLOOKUP(R80:AF80,增益!$A:$A,增益!$K:$K,0)))/100)</f>
        <v>-0.3</v>
      </c>
      <c r="AZ80" s="35" cm="1">
        <f t="array" ref="AZ80">$G$12+VLOOKUP($Q80,武学奇术!$A:$ZZ,12,FALSE)+SUM(_xlfn.XLOOKUP(R80:AF80,增益!$A:$A,增益!$L:$L,0))</f>
        <v>0</v>
      </c>
      <c r="BA80">
        <f t="shared" si="17"/>
        <v>0</v>
      </c>
      <c r="BB80">
        <f t="shared" si="18"/>
        <v>0</v>
      </c>
      <c r="BC80" s="35" cm="1">
        <f t="array" ref="BC80">IF($F$13-$I$4+VLOOKUP($Q80,武学奇术!$A:$ZZ,13,FALSE)+SUM(_xlfn.XLOOKUP(R80:AF80,增益!$A:$A,增益!$M:$M,0))&gt;0,($F$13-$I$4+VLOOKUP($Q80,武学奇术!$A:$ZZ,13,FALSE)+SUM(_xlfn.XLOOKUP(R80:AF80,增益!$A:$A,增益!$K:$K,0)))/200,($F$13-$I$4+VLOOKUP($Q80,武学奇术!$A:$ZZ,13,FALSE)+SUM(_xlfn.XLOOKUP(R80:AF80,增益!$A:$A,增益!$M:$M,0)))/100)</f>
        <v>-0.3</v>
      </c>
      <c r="BD80" s="35" cm="1">
        <f t="array" ref="BD80">$G$13+VLOOKUP($Q80,武学奇术!$A:$ZZ,14,FALSE)+SUM(_xlfn.XLOOKUP(R80:AF80,增益!$A:$A,增益!$N:$N,0))</f>
        <v>0</v>
      </c>
      <c r="BE80">
        <f t="shared" si="19"/>
        <v>538</v>
      </c>
      <c r="BF80">
        <f t="shared" si="20"/>
        <v>1561.4</v>
      </c>
      <c r="BG80" s="35" cm="1">
        <f t="array" ref="BG80">IF($F$14-$I$4+VLOOKUP($Q80,武学奇术!$A:$ZZ,15,FALSE)+SUM(_xlfn.XLOOKUP(R80:AF80,增益!$A:$A,增益!$O:$O,0))&gt;0,($F$14-$I$4+VLOOKUP($Q80,武学奇术!$A:$ZZ,15,FALSE)+SUM(_xlfn.XLOOKUP(R80:AF80,增益!$A:$A,增益!$O:$O,0)))/200,($F$14-$I$4+VLOOKUP($Q80,武学奇术!$A:$ZZ,15,FALSE)+SUM(_xlfn.XLOOKUP(R80:AF80,增益!$A:$A,增益!$O:$O,0)))/100)</f>
        <v>0</v>
      </c>
      <c r="BH80" s="35" cm="1">
        <f t="array" ref="BH80">$G$14+VLOOKUP($Q80,武学奇术!$A:$ZZ,16,FALSE)+SUM(_xlfn.XLOOKUP(R80:AF80,增益!$A:$A,增益!$P:$P,0))</f>
        <v>0.27</v>
      </c>
      <c r="BI80" s="30">
        <f>MIN(IF(VLOOKUP($Q80,武学奇术!$A:$ZZ,23,FALSE)=1,100%,$B$8),100%)</f>
        <v>1</v>
      </c>
      <c r="BJ80" s="30" cm="1">
        <f t="array" ref="BJ80">IF(VLOOKUP($Q80,武学奇术!$A:$ZZ,23,FALSE)=1,100%,MIN(80%,$B$9+VLOOKUP($Q80,武学奇术!$A:$ZZ,17,FALSE)+SUM(_xlfn.XLOOKUP(R80:AF80,增益!$A:$A,增益!$Q:$Q,0)))+$B$11+SUM(_xlfn.XLOOKUP(R80:AF80,增益!$A:$A,增益!$U:$U,0)))*IF(VLOOKUP($Q80,武学奇术!$A:$ZZ,24,FALSE)=1,0,1)</f>
        <v>1</v>
      </c>
      <c r="BK80" s="30" cm="1">
        <f t="array" ref="BK80">1+$B$13+VLOOKUP($Q80,武学奇术!$A:$ZZ,18,FALSE)+SUM(_xlfn.XLOOKUP(R80:AF80,增益!$A:$A,增益!$R:$R,0))</f>
        <v>1.87</v>
      </c>
      <c r="BL80" s="30" cm="1">
        <f t="array" ref="BL80">IF(VLOOKUP($Q80,武学奇术!$A:$ZZ,24,FALSE)=1,100%,MIN(40%,$B$10+VLOOKUP($Q80,武学奇术!$A:$ZZ,19,FALSE)+SUM(_xlfn.XLOOKUP(R80:AF80,增益!$A:$A,增益!$S:$S,0)))+$B$12+SUM(_xlfn.XLOOKUP(R80:AF80,增益!$A:$A,增益!$V:$V,0)))*IF(VLOOKUP($Q80,武学奇术!$A:$ZZ,23,FALSE)=1,0,1)</f>
        <v>0</v>
      </c>
      <c r="BM80" s="30" cm="1">
        <f t="array" ref="BM80">1+$B$14+VLOOKUP($Q80,武学奇术!$A:$ZZ,20,FALSE)+SUM(_xlfn.XLOOKUP(R80:AF80,增益!$A:$A,增益!$T:$T,0))</f>
        <v>1.35</v>
      </c>
      <c r="BN80" s="30">
        <f t="shared" si="21"/>
        <v>1</v>
      </c>
      <c r="BO80" s="30">
        <f t="shared" si="22"/>
        <v>0</v>
      </c>
      <c r="BP80" s="30">
        <f>IF(VLOOKUP($Q80,武学奇术!$A:$ZZ,22,FALSE)=1,0,(1-$BI80))*(1-$BL80)</f>
        <v>0</v>
      </c>
      <c r="BQ80" s="30" cm="1">
        <f t="array" ref="BQ80">SUM(_xlfn.XLOOKUP(R80:AF80,增益!$A:$A,增益!$W:$W,0))+$I$5</f>
        <v>0.11</v>
      </c>
    </row>
    <row r="81" spans="1:69">
      <c r="K81" s="41">
        <f t="shared" si="23"/>
        <v>363587.196592657</v>
      </c>
      <c r="L81" s="41">
        <f>((($AN81+$AO81)/2*$AH81+$AI81)*(1+$AP81)*(1+$AQ81)+(($AS81+$AT81)/2*IF($G$1="鸣金",$AJ81,$AH81)+IF($G$1="鸣金",$AK81*1.5,0))*(1+$AU81)*(1+$AV81)+(($AW81+$AX81)/2*IF($G$1="裂石",$AJ81,$AH81)+IF($G$1="裂石",$AK81*1.5,0))*(1+$AY81)*(1+$AZ81)+(($BA81+$BB81)/2*IF($G$1="牵丝",$AJ81,$AH81)+IF($G$1="牵丝",$AK81*1.5,0))*(1+$BC81)*(1+$BD81)+(($BE81+$BF81)/2*IF($G$1="破竹",$AJ81,$AH81)+IF($G$1="破竹",$AK81*1.5,0))*(1+$BG81)*(1+$BH81))*(1+$AL81)*$BK81*$P81*(1+IF(VLOOKUP($Q81,武学奇术!$A:$ZZ,30,FALSE)="回旋伞",$B$21,0))*(1+$BQ81)</f>
        <v>381132.073536172</v>
      </c>
      <c r="M81" s="41">
        <f>(($AO81*$AH81+$AI81)*(1+$AP81)*(1+$AQ81)+($AT81*IF($G$1="鸣金",$AJ81,$AH81)+IF($G$1="鸣金",$AK81*1.5,0))*(1+$AU81)*(1+$AV81)+($AX81*IF($G$1="裂石",$AJ81,$AH81)+IF($G$1="裂石",$AK81*1.5,0))*(1+$AY81)*(1+$AZ81)+($BB81*IF($G$1="牵丝",$AJ81,$AH81)+IF($G$1="牵丝",$AK81*1.5,0))*(1+$BC81)*(1+$BD81)+($BF81*IF($G$1="破竹",$AJ81,$AH81)+IF($G$1="破竹",$AK81*1.5,0))*(1+$BG81)*(1+$BH81))*(1+$AL81)*$BM81*$P81*(1+IF(VLOOKUP($Q81,武学奇术!$A:$ZZ,30,FALSE)="回旋伞",$B$21,0))*(1+$BQ81)</f>
        <v>308080.901729751</v>
      </c>
      <c r="N81" s="41">
        <f>((($AN81+$AO81)/2*$AH81+$AI81)*(1+$AP81)*(1+$AQ81)+(($AS81+$AT81)/2*IF($G$1="鸣金",$AJ81,$AH81)+IF($G$1="鸣金",$AK81*1.5,0))*(1+$AU81)*(1+$AV81)+(($AW81+$AX81)/2*IF($G$1="裂石",$AJ81,$AH81)+IF($G$1="裂石",$AK81*1.5,0))*(1+$AY81)*(1+$AZ81)+(($BA81+$BB81)/2*IF($G$1="牵丝",$AJ81,$AH81)+IF($G$1="牵丝",$AK81*1.5,0))*(1+$BC81)*(1+$BD81)+(($BE81+$BF81)/2*IF($G$1="破竹",$AJ81,$AH81)+IF($G$1="破竹",$AK81*1.5,0))*(1+$BG81)*(1+$BH81))*(1+$AL81)*$P81*(1+IF(VLOOKUP($Q81,武学奇术!$A:$ZZ,30,FALSE)="回旋伞",$B$21,0))*(1+$BQ81)</f>
        <v>203813.943067472</v>
      </c>
      <c r="O81" s="41">
        <f>((($AN81*$AH81+$AI81)*(1+$AP81)*(1+$AQ81)+($AS81*IF($G$1="鸣金",$AJ81,$AH81)+IF($G$1="鸣金",$AK81*1.5,0))*(1+$AU81)*(1+$AV81)+($AW81*IF($G$1="裂石",$AJ81,$AH81)+IF($G$1="裂石",$AK81*1.5,0))*(1+$AY81)*(1+$AZ81)+($BA81*IF($G$1="牵丝",$AJ81,$AH81)+IF($G$1="牵丝",$AK81*1.5,0))*(1+$BC81)*(1+$BD81)+($BE81*IF($G$1="破竹",$AJ81,$AH81)+IF($G$1="破竹",$AK81*1.5,0))*(1+$BG81)*(1+$BH81))*(1+$AL81))*$P81*(1+IF(VLOOKUP($Q81,武学奇术!$A:$ZZ,30,FALSE)="回旋伞",$B$21,0))*(1+$BQ81)</f>
        <v>179419.810779572</v>
      </c>
      <c r="P81" s="42">
        <v>6</v>
      </c>
      <c r="Q81" s="43" t="s">
        <v>104</v>
      </c>
      <c r="R81" s="43" t="s">
        <v>105</v>
      </c>
      <c r="S81" s="43" t="s">
        <v>91</v>
      </c>
      <c r="T81" s="43" t="s">
        <v>72</v>
      </c>
      <c r="U81" s="43" t="s">
        <v>71</v>
      </c>
      <c r="V81" s="43" t="s">
        <v>167</v>
      </c>
      <c r="W81" s="43" t="s">
        <v>95</v>
      </c>
      <c r="X81" s="43" t="s">
        <v>71</v>
      </c>
      <c r="Y81" s="43" t="s">
        <v>71</v>
      </c>
      <c r="Z81" s="43" t="s">
        <v>71</v>
      </c>
      <c r="AA81" s="43" t="s">
        <v>116</v>
      </c>
      <c r="AB81" s="43" t="s">
        <v>71</v>
      </c>
      <c r="AC81" s="43" t="s">
        <v>71</v>
      </c>
      <c r="AD81" s="43" t="s">
        <v>71</v>
      </c>
      <c r="AE81" s="43" t="s">
        <v>71</v>
      </c>
      <c r="AF81" s="43" t="s">
        <v>76</v>
      </c>
      <c r="AG81" t="str">
        <f>VLOOKUP($Q81,武学奇术!$A:$ZZ,25,FALSE)</f>
        <v>伞</v>
      </c>
      <c r="AH81" s="30">
        <f>VLOOKUP($Q81,武学奇术!$A:$ZZ,26,FALSE)</f>
        <v>1.8084</v>
      </c>
      <c r="AI81" s="31">
        <f>VLOOKUP($Q81,武学奇术!$A:$ZZ,27,FALSE)*(1+IF(OR($AG81=$F$4,$AG81=$F$5),$B$22,0))</f>
        <v>700</v>
      </c>
      <c r="AJ81" s="30">
        <f>VLOOKUP($Q81,武学奇术!$A:$ZZ,28,FALSE)</f>
        <v>2.7126</v>
      </c>
      <c r="AK81" s="31">
        <f>VLOOKUP($Q81,武学奇术!$A:$ZZ,29,FALSE)*(1+IF(OR($AG81=$F$4,$AG81=$F$5),$B$22,0))</f>
        <v>380.8</v>
      </c>
      <c r="AL81" s="30" cm="1">
        <f t="array" ref="AL81">$G$3+IFERROR(VLOOKUP($AG81,$F$4:$G$7,2,FALSE),0)+VLOOKUP($Q81,武学奇术!$A:$ZZ,2,FALSE)+SUM(_xlfn.XLOOKUP($R81:$AF81,增益!$A:$A,增益!$B:$B,0))</f>
        <v>0.5741</v>
      </c>
      <c r="AM81" s="30" cm="1">
        <f t="array" ref="AM81">VLOOKUP($Q81,武学奇术!$A:$ZZ,5,FALSE)+SUM(_xlfn.XLOOKUP($R81:$AF81,增益!$A:$A,增益!$E:$E,0))</f>
        <v>0</v>
      </c>
      <c r="AN81" cm="1">
        <f t="array" ref="AN81">$D$10*(1+$AM81)+VLOOKUP($Q81,武学奇术!$A:$ZZ,3,FALSE)+SUM(_xlfn.XLOOKUP($R81:$AF81,增益!$A:$A,增益!$C:$C,0))-$I$2</f>
        <v>3483.8</v>
      </c>
      <c r="AO81" cm="1">
        <f t="array" ref="AO81">$E$10*(1+$AM81)+VLOOKUP($Q81,武学奇术!$A:$ZZ,4,FALSE)+SUM(_xlfn.XLOOKUP($R81:$AF81,增益!$A:$A,增益!$D:$D,0))-$I$2</f>
        <v>3483.8</v>
      </c>
      <c r="AP81" s="35" cm="1">
        <f t="array" ref="AP81">IF($F$10-$I$3+VLOOKUP($Q81,武学奇术!$A:$ZZ,6,FALSE)+SUM(_xlfn.XLOOKUP(R81:AF81,增益!$A:$A,增益!$F:$F,0))&gt;0,($F$10-$I$3+VLOOKUP($Q81,武学奇术!$A:$ZZ,6,FALSE)+SUM(_xlfn.XLOOKUP(R81:AF81,增益!$A:$A,增益!$F:$F,0)))/200,($F$10-$I$3+VLOOKUP($Q81,武学奇术!$A:$ZZ,6,FALSE)+SUM(_xlfn.XLOOKUP(R81:AF81,增益!$A:$A,增益!$F:$F,0)))/100)</f>
        <v>0.2925</v>
      </c>
      <c r="AQ81" s="35" cm="1">
        <f t="array" ref="AQ81">$G$10+VLOOKUP($Q81,武学奇术!$A:$ZZ,7,FALSE)+SUM(_xlfn.XLOOKUP(R81:AF81,增益!$A:$A,增益!$G:$G,0))</f>
        <v>0.148</v>
      </c>
      <c r="AR81" s="30" cm="1">
        <f t="array" ref="AR81">VLOOKUP($Q81,武学奇术!$A:$ZZ,8,FALSE)+SUM(_xlfn.XLOOKUP(R81:AF81,增益!$A:$A,增益!$H:$H,0))</f>
        <v>0</v>
      </c>
      <c r="AS81">
        <f t="shared" si="13"/>
        <v>0</v>
      </c>
      <c r="AT81">
        <f t="shared" si="14"/>
        <v>0</v>
      </c>
      <c r="AU81" s="35" cm="1">
        <f t="array" ref="AU81">IF($F$11-$I$4+VLOOKUP($Q81,武学奇术!$A:$ZZ,9,FALSE)+SUM(_xlfn.XLOOKUP(R81:AF81,增益!$A:$A,增益!$I:$I,0))&gt;0,($F$11-$I$4+VLOOKUP($Q81,武学奇术!$A:$ZZ,9,FALSE)+SUM(_xlfn.XLOOKUP(R81:AF81,增益!$A:$A,增益!$I:$I,0)))/200,($F$11-$I$4+VLOOKUP($Q81,武学奇术!$A:$ZZ,9,FALSE)+SUM(_xlfn.XLOOKUP(R81:AF81,增益!$A:$A,增益!$I:$I,0)))/100)</f>
        <v>-0.3</v>
      </c>
      <c r="AV81" s="35" cm="1">
        <f t="array" ref="AV81">$G$11+VLOOKUP($Q81,武学奇术!$A:$ZZ,10,FALSE)+SUM(_xlfn.XLOOKUP(R81:AF81,增益!$A:$A,增益!$J:$J,0))</f>
        <v>0</v>
      </c>
      <c r="AW81">
        <f t="shared" si="15"/>
        <v>0</v>
      </c>
      <c r="AX81">
        <f t="shared" si="16"/>
        <v>0</v>
      </c>
      <c r="AY81" s="35" cm="1">
        <f t="array" ref="AY81">IF($F$12-$I$4+VLOOKUP($Q81,武学奇术!$A:$ZZ,11,FALSE)+SUM(_xlfn.XLOOKUP(R81:AF81,增益!$A:$A,增益!$K:$K,0))&gt;0,($F$12-$I$4+VLOOKUP($Q81,武学奇术!$A:$ZZ,11,FALSE)+SUM(_xlfn.XLOOKUP(R81:AF81,增益!$A:$A,增益!$K:$K,0)))/200,($F$12-$I$4+VLOOKUP($Q81,武学奇术!$A:$ZZ,11,FALSE)+SUM(_xlfn.XLOOKUP(R81:AF81,增益!$A:$A,增益!$K:$K,0)))/100)</f>
        <v>-0.3</v>
      </c>
      <c r="AZ81" s="35" cm="1">
        <f t="array" ref="AZ81">$G$12+VLOOKUP($Q81,武学奇术!$A:$ZZ,12,FALSE)+SUM(_xlfn.XLOOKUP(R81:AF81,增益!$A:$A,增益!$L:$L,0))</f>
        <v>0</v>
      </c>
      <c r="BA81">
        <f t="shared" si="17"/>
        <v>0</v>
      </c>
      <c r="BB81">
        <f t="shared" si="18"/>
        <v>0</v>
      </c>
      <c r="BC81" s="35" cm="1">
        <f t="array" ref="BC81">IF($F$13-$I$4+VLOOKUP($Q81,武学奇术!$A:$ZZ,13,FALSE)+SUM(_xlfn.XLOOKUP(R81:AF81,增益!$A:$A,增益!$M:$M,0))&gt;0,($F$13-$I$4+VLOOKUP($Q81,武学奇术!$A:$ZZ,13,FALSE)+SUM(_xlfn.XLOOKUP(R81:AF81,增益!$A:$A,增益!$K:$K,0)))/200,($F$13-$I$4+VLOOKUP($Q81,武学奇术!$A:$ZZ,13,FALSE)+SUM(_xlfn.XLOOKUP(R81:AF81,增益!$A:$A,增益!$M:$M,0)))/100)</f>
        <v>-0.3</v>
      </c>
      <c r="BD81" s="35" cm="1">
        <f t="array" ref="BD81">$G$13+VLOOKUP($Q81,武学奇术!$A:$ZZ,14,FALSE)+SUM(_xlfn.XLOOKUP(R81:AF81,增益!$A:$A,增益!$N:$N,0))</f>
        <v>0</v>
      </c>
      <c r="BE81">
        <f t="shared" si="19"/>
        <v>538</v>
      </c>
      <c r="BF81">
        <f t="shared" si="20"/>
        <v>1561.4</v>
      </c>
      <c r="BG81" s="35" cm="1">
        <f t="array" ref="BG81">IF($F$14-$I$4+VLOOKUP($Q81,武学奇术!$A:$ZZ,15,FALSE)+SUM(_xlfn.XLOOKUP(R81:AF81,增益!$A:$A,增益!$O:$O,0))&gt;0,($F$14-$I$4+VLOOKUP($Q81,武学奇术!$A:$ZZ,15,FALSE)+SUM(_xlfn.XLOOKUP(R81:AF81,增益!$A:$A,增益!$O:$O,0)))/200,($F$14-$I$4+VLOOKUP($Q81,武学奇术!$A:$ZZ,15,FALSE)+SUM(_xlfn.XLOOKUP(R81:AF81,增益!$A:$A,增益!$O:$O,0)))/100)</f>
        <v>0</v>
      </c>
      <c r="BH81" s="35" cm="1">
        <f t="array" ref="BH81">$G$14+VLOOKUP($Q81,武学奇术!$A:$ZZ,16,FALSE)+SUM(_xlfn.XLOOKUP(R81:AF81,增益!$A:$A,增益!$P:$P,0))</f>
        <v>0.27</v>
      </c>
      <c r="BI81" s="30">
        <f>MIN(IF(VLOOKUP($Q81,武学奇术!$A:$ZZ,23,FALSE)=1,100%,$B$8),100%)</f>
        <v>0.9712</v>
      </c>
      <c r="BJ81" s="30" cm="1">
        <f t="array" ref="BJ81">IF(VLOOKUP($Q81,武学奇术!$A:$ZZ,23,FALSE)=1,100%,MIN(80%,$B$9+VLOOKUP($Q81,武学奇术!$A:$ZZ,17,FALSE)+SUM(_xlfn.XLOOKUP(R81:AF81,增益!$A:$A,增益!$Q:$Q,0)))+$B$11+SUM(_xlfn.XLOOKUP(R81:AF81,增益!$A:$A,增益!$U:$U,0)))*IF(VLOOKUP($Q81,武学奇术!$A:$ZZ,24,FALSE)=1,0,1)</f>
        <v>0.8773</v>
      </c>
      <c r="BK81" s="30" cm="1">
        <f t="array" ref="BK81">1+$B$13+VLOOKUP($Q81,武学奇术!$A:$ZZ,18,FALSE)+SUM(_xlfn.XLOOKUP(R81:AF81,增益!$A:$A,增益!$R:$R,0))</f>
        <v>1.87</v>
      </c>
      <c r="BL81" s="30" cm="1">
        <f t="array" ref="BL81">IF(VLOOKUP($Q81,武学奇术!$A:$ZZ,24,FALSE)=1,100%,MIN(40%,$B$10+VLOOKUP($Q81,武学奇术!$A:$ZZ,19,FALSE)+SUM(_xlfn.XLOOKUP(R81:AF81,增益!$A:$A,增益!$S:$S,0)))+$B$12+SUM(_xlfn.XLOOKUP(R81:AF81,增益!$A:$A,增益!$V:$V,0)))*IF(VLOOKUP($Q81,武学奇术!$A:$ZZ,23,FALSE)=1,0,1)</f>
        <v>0.0895</v>
      </c>
      <c r="BM81" s="30" cm="1">
        <f t="array" ref="BM81">1+$B$14+VLOOKUP($Q81,武学奇术!$A:$ZZ,20,FALSE)+SUM(_xlfn.XLOOKUP(R81:AF81,增益!$A:$A,增益!$T:$T,0))</f>
        <v>1.35</v>
      </c>
      <c r="BN81" s="30">
        <f t="shared" si="21"/>
        <v>0.85203376</v>
      </c>
      <c r="BO81" s="30">
        <f t="shared" si="22"/>
        <v>0.03224384</v>
      </c>
      <c r="BP81" s="30">
        <f>IF(VLOOKUP($Q81,武学奇术!$A:$ZZ,22,FALSE)=1,0,(1-$BI81))*(1-$BL81)</f>
        <v>0.0262224</v>
      </c>
      <c r="BQ81" s="30" cm="1">
        <f t="array" ref="BQ81">SUM(_xlfn.XLOOKUP(R81:AF81,增益!$A:$A,增益!$W:$W,0))+$I$5</f>
        <v>0.11</v>
      </c>
    </row>
    <row r="82" spans="1:69">
      <c r="A82" s="4"/>
      <c r="B82" s="4"/>
      <c r="K82" s="41">
        <f t="shared" si="23"/>
        <v>214778.734407129</v>
      </c>
      <c r="L82" s="41">
        <f>((($AN82+$AO82)/2*$AH82+$AI82)*(1+$AP82)*(1+$AQ82)+(($AS82+$AT82)/2*IF($G$1="鸣金",$AJ82,$AH82)+IF($G$1="鸣金",$AK82*1.5,0))*(1+$AU82)*(1+$AV82)+(($AW82+$AX82)/2*IF($G$1="裂石",$AJ82,$AH82)+IF($G$1="裂石",$AK82*1.5,0))*(1+$AY82)*(1+$AZ82)+(($BA82+$BB82)/2*IF($G$1="牵丝",$AJ82,$AH82)+IF($G$1="牵丝",$AK82*1.5,0))*(1+$BC82)*(1+$BD82)+(($BE82+$BF82)/2*IF($G$1="破竹",$AJ82,$AH82)+IF($G$1="破竹",$AK82*1.5,0))*(1+$BG82)*(1+$BH82))*(1+$AL82)*$BK82*$P82*(1+IF(VLOOKUP($Q82,武学奇术!$A:$ZZ,30,FALSE)="回旋伞",$B$21,0))*(1+$BQ82)</f>
        <v>214778.734407129</v>
      </c>
      <c r="M82" s="41">
        <f>(($AO82*$AH82+$AI82)*(1+$AP82)*(1+$AQ82)+($AT82*IF($G$1="鸣金",$AJ82,$AH82)+IF($G$1="鸣金",$AK82*1.5,0))*(1+$AU82)*(1+$AV82)+($AX82*IF($G$1="裂石",$AJ82,$AH82)+IF($G$1="裂石",$AK82*1.5,0))*(1+$AY82)*(1+$AZ82)+($BB82*IF($G$1="牵丝",$AJ82,$AH82)+IF($G$1="牵丝",$AK82*1.5,0))*(1+$BC82)*(1+$BD82)+($BF82*IF($G$1="破竹",$AJ82,$AH82)+IF($G$1="破竹",$AK82*1.5,0))*(1+$BG82)*(1+$BH82))*(1+$AL82)*$BM82*$P82*(1+IF(VLOOKUP($Q82,武学奇术!$A:$ZZ,30,FALSE)="回旋伞",$B$21,0))*(1+$BQ82)</f>
        <v>173612.326967395</v>
      </c>
      <c r="N82" s="41">
        <f>((($AN82+$AO82)/2*$AH82+$AI82)*(1+$AP82)*(1+$AQ82)+(($AS82+$AT82)/2*IF($G$1="鸣金",$AJ82,$AH82)+IF($G$1="鸣金",$AK82*1.5,0))*(1+$AU82)*(1+$AV82)+(($AW82+$AX82)/2*IF($G$1="裂石",$AJ82,$AH82)+IF($G$1="裂石",$AK82*1.5,0))*(1+$AY82)*(1+$AZ82)+(($BA82+$BB82)/2*IF($G$1="牵丝",$AJ82,$AH82)+IF($G$1="牵丝",$AK82*1.5,0))*(1+$BC82)*(1+$BD82)+(($BE82+$BF82)/2*IF($G$1="破竹",$AJ82,$AH82)+IF($G$1="破竹",$AK82*1.5,0))*(1+$BG82)*(1+$BH82))*(1+$AL82)*$P82*(1+IF(VLOOKUP($Q82,武学奇术!$A:$ZZ,30,FALSE)="回旋伞",$B$21,0))*(1+$BQ82)</f>
        <v>114854.93818563</v>
      </c>
      <c r="O82" s="41">
        <f>((($AN82*$AH82+$AI82)*(1+$AP82)*(1+$AQ82)+($AS82*IF($G$1="鸣金",$AJ82,$AH82)+IF($G$1="鸣金",$AK82*1.5,0))*(1+$AU82)*(1+$AV82)+($AW82*IF($G$1="裂石",$AJ82,$AH82)+IF($G$1="裂石",$AK82*1.5,0))*(1+$AY82)*(1+$AZ82)+($BA82*IF($G$1="牵丝",$AJ82,$AH82)+IF($G$1="牵丝",$AK82*1.5,0))*(1+$BC82)*(1+$BD82)+($BE82*IF($G$1="破竹",$AJ82,$AH82)+IF($G$1="破竹",$AK82*1.5,0))*(1+$BG82)*(1+$BH82))*(1+$AL82))*$P82*(1+IF(VLOOKUP($Q82,武学奇术!$A:$ZZ,30,FALSE)="回旋伞",$B$21,0))*(1+$BQ82)</f>
        <v>101108.152691709</v>
      </c>
      <c r="P82" s="42">
        <v>3</v>
      </c>
      <c r="Q82" s="43" t="s">
        <v>115</v>
      </c>
      <c r="R82" s="43" t="s">
        <v>105</v>
      </c>
      <c r="S82" s="43" t="s">
        <v>91</v>
      </c>
      <c r="T82" s="43" t="s">
        <v>72</v>
      </c>
      <c r="U82" s="43" t="s">
        <v>71</v>
      </c>
      <c r="V82" s="43" t="s">
        <v>167</v>
      </c>
      <c r="W82" s="43" t="s">
        <v>95</v>
      </c>
      <c r="X82" s="43" t="s">
        <v>71</v>
      </c>
      <c r="Y82" s="43" t="s">
        <v>71</v>
      </c>
      <c r="Z82" s="43" t="s">
        <v>71</v>
      </c>
      <c r="AA82" s="43" t="s">
        <v>116</v>
      </c>
      <c r="AB82" s="43" t="s">
        <v>71</v>
      </c>
      <c r="AC82" s="43" t="s">
        <v>71</v>
      </c>
      <c r="AD82" s="43" t="s">
        <v>71</v>
      </c>
      <c r="AE82" s="43" t="s">
        <v>71</v>
      </c>
      <c r="AF82" s="43" t="s">
        <v>76</v>
      </c>
      <c r="AG82" t="str">
        <f>VLOOKUP($Q82,武学奇术!$A:$ZZ,25,FALSE)</f>
        <v>伞</v>
      </c>
      <c r="AH82" s="30">
        <f>VLOOKUP($Q82,武学奇术!$A:$ZZ,26,FALSE)</f>
        <v>1.8084</v>
      </c>
      <c r="AI82" s="31">
        <f>VLOOKUP($Q82,武学奇术!$A:$ZZ,27,FALSE)*(1+IF(OR($AG82=$F$4,$AG82=$F$5),$B$22,0))</f>
        <v>700</v>
      </c>
      <c r="AJ82" s="30">
        <f>VLOOKUP($Q82,武学奇术!$A:$ZZ,28,FALSE)</f>
        <v>2.7126</v>
      </c>
      <c r="AK82" s="31">
        <f>VLOOKUP($Q82,武学奇术!$A:$ZZ,29,FALSE)*(1+IF(OR($AG82=$F$4,$AG82=$F$5),$B$22,0))</f>
        <v>380.8</v>
      </c>
      <c r="AL82" s="30" cm="1">
        <f t="array" ref="AL82">$G$3+IFERROR(VLOOKUP($AG82,$F$4:$G$7,2,FALSE),0)+VLOOKUP($Q82,武学奇术!$A:$ZZ,2,FALSE)+SUM(_xlfn.XLOOKUP($R82:$AF82,增益!$A:$A,增益!$B:$B,0))</f>
        <v>0.7741</v>
      </c>
      <c r="AM82" s="30" cm="1">
        <f t="array" ref="AM82">VLOOKUP($Q82,武学奇术!$A:$ZZ,5,FALSE)+SUM(_xlfn.XLOOKUP($R82:$AF82,增益!$A:$A,增益!$E:$E,0))</f>
        <v>0</v>
      </c>
      <c r="AN82" cm="1">
        <f t="array" ref="AN82">$D$10*(1+$AM82)+VLOOKUP($Q82,武学奇术!$A:$ZZ,3,FALSE)+SUM(_xlfn.XLOOKUP($R82:$AF82,增益!$A:$A,增益!$C:$C,0))-$I$2</f>
        <v>3483.8</v>
      </c>
      <c r="AO82" cm="1">
        <f t="array" ref="AO82">$E$10*(1+$AM82)+VLOOKUP($Q82,武学奇术!$A:$ZZ,4,FALSE)+SUM(_xlfn.XLOOKUP($R82:$AF82,增益!$A:$A,增益!$D:$D,0))-$I$2</f>
        <v>3483.8</v>
      </c>
      <c r="AP82" s="35" cm="1">
        <f t="array" ref="AP82">IF($F$10-$I$3+VLOOKUP($Q82,武学奇术!$A:$ZZ,6,FALSE)+SUM(_xlfn.XLOOKUP(R82:AF82,增益!$A:$A,增益!$F:$F,0))&gt;0,($F$10-$I$3+VLOOKUP($Q82,武学奇术!$A:$ZZ,6,FALSE)+SUM(_xlfn.XLOOKUP(R82:AF82,增益!$A:$A,增益!$F:$F,0)))/200,($F$10-$I$3+VLOOKUP($Q82,武学奇术!$A:$ZZ,6,FALSE)+SUM(_xlfn.XLOOKUP(R82:AF82,增益!$A:$A,增益!$F:$F,0)))/100)</f>
        <v>0.2925</v>
      </c>
      <c r="AQ82" s="35" cm="1">
        <f t="array" ref="AQ82">$G$10+VLOOKUP($Q82,武学奇术!$A:$ZZ,7,FALSE)+SUM(_xlfn.XLOOKUP(R82:AF82,增益!$A:$A,增益!$G:$G,0))</f>
        <v>0.148</v>
      </c>
      <c r="AR82" s="30" cm="1">
        <f t="array" ref="AR82">VLOOKUP($Q82,武学奇术!$A:$ZZ,8,FALSE)+SUM(_xlfn.XLOOKUP(R82:AF82,增益!$A:$A,增益!$H:$H,0))</f>
        <v>0</v>
      </c>
      <c r="AS82">
        <f t="shared" si="13"/>
        <v>0</v>
      </c>
      <c r="AT82">
        <f t="shared" si="14"/>
        <v>0</v>
      </c>
      <c r="AU82" s="35" cm="1">
        <f t="array" ref="AU82">IF($F$11-$I$4+VLOOKUP($Q82,武学奇术!$A:$ZZ,9,FALSE)+SUM(_xlfn.XLOOKUP(R82:AF82,增益!$A:$A,增益!$I:$I,0))&gt;0,($F$11-$I$4+VLOOKUP($Q82,武学奇术!$A:$ZZ,9,FALSE)+SUM(_xlfn.XLOOKUP(R82:AF82,增益!$A:$A,增益!$I:$I,0)))/200,($F$11-$I$4+VLOOKUP($Q82,武学奇术!$A:$ZZ,9,FALSE)+SUM(_xlfn.XLOOKUP(R82:AF82,增益!$A:$A,增益!$I:$I,0)))/100)</f>
        <v>-0.3</v>
      </c>
      <c r="AV82" s="35" cm="1">
        <f t="array" ref="AV82">$G$11+VLOOKUP($Q82,武学奇术!$A:$ZZ,10,FALSE)+SUM(_xlfn.XLOOKUP(R82:AF82,增益!$A:$A,增益!$J:$J,0))</f>
        <v>0</v>
      </c>
      <c r="AW82">
        <f t="shared" si="15"/>
        <v>0</v>
      </c>
      <c r="AX82">
        <f t="shared" si="16"/>
        <v>0</v>
      </c>
      <c r="AY82" s="35" cm="1">
        <f t="array" ref="AY82">IF($F$12-$I$4+VLOOKUP($Q82,武学奇术!$A:$ZZ,11,FALSE)+SUM(_xlfn.XLOOKUP(R82:AF82,增益!$A:$A,增益!$K:$K,0))&gt;0,($F$12-$I$4+VLOOKUP($Q82,武学奇术!$A:$ZZ,11,FALSE)+SUM(_xlfn.XLOOKUP(R82:AF82,增益!$A:$A,增益!$K:$K,0)))/200,($F$12-$I$4+VLOOKUP($Q82,武学奇术!$A:$ZZ,11,FALSE)+SUM(_xlfn.XLOOKUP(R82:AF82,增益!$A:$A,增益!$K:$K,0)))/100)</f>
        <v>-0.3</v>
      </c>
      <c r="AZ82" s="35" cm="1">
        <f t="array" ref="AZ82">$G$12+VLOOKUP($Q82,武学奇术!$A:$ZZ,12,FALSE)+SUM(_xlfn.XLOOKUP(R82:AF82,增益!$A:$A,增益!$L:$L,0))</f>
        <v>0</v>
      </c>
      <c r="BA82">
        <f t="shared" si="17"/>
        <v>0</v>
      </c>
      <c r="BB82">
        <f t="shared" si="18"/>
        <v>0</v>
      </c>
      <c r="BC82" s="35" cm="1">
        <f t="array" ref="BC82">IF($F$13-$I$4+VLOOKUP($Q82,武学奇术!$A:$ZZ,13,FALSE)+SUM(_xlfn.XLOOKUP(R82:AF82,增益!$A:$A,增益!$M:$M,0))&gt;0,($F$13-$I$4+VLOOKUP($Q82,武学奇术!$A:$ZZ,13,FALSE)+SUM(_xlfn.XLOOKUP(R82:AF82,增益!$A:$A,增益!$K:$K,0)))/200,($F$13-$I$4+VLOOKUP($Q82,武学奇术!$A:$ZZ,13,FALSE)+SUM(_xlfn.XLOOKUP(R82:AF82,增益!$A:$A,增益!$M:$M,0)))/100)</f>
        <v>-0.3</v>
      </c>
      <c r="BD82" s="35" cm="1">
        <f t="array" ref="BD82">$G$13+VLOOKUP($Q82,武学奇术!$A:$ZZ,14,FALSE)+SUM(_xlfn.XLOOKUP(R82:AF82,增益!$A:$A,增益!$N:$N,0))</f>
        <v>0</v>
      </c>
      <c r="BE82">
        <f t="shared" si="19"/>
        <v>538</v>
      </c>
      <c r="BF82">
        <f t="shared" si="20"/>
        <v>1561.4</v>
      </c>
      <c r="BG82" s="35" cm="1">
        <f t="array" ref="BG82">IF($F$14-$I$4+VLOOKUP($Q82,武学奇术!$A:$ZZ,15,FALSE)+SUM(_xlfn.XLOOKUP(R82:AF82,增益!$A:$A,增益!$O:$O,0))&gt;0,($F$14-$I$4+VLOOKUP($Q82,武学奇术!$A:$ZZ,15,FALSE)+SUM(_xlfn.XLOOKUP(R82:AF82,增益!$A:$A,增益!$O:$O,0)))/200,($F$14-$I$4+VLOOKUP($Q82,武学奇术!$A:$ZZ,15,FALSE)+SUM(_xlfn.XLOOKUP(R82:AF82,增益!$A:$A,增益!$O:$O,0)))/100)</f>
        <v>0</v>
      </c>
      <c r="BH82" s="35" cm="1">
        <f t="array" ref="BH82">$G$14+VLOOKUP($Q82,武学奇术!$A:$ZZ,16,FALSE)+SUM(_xlfn.XLOOKUP(R82:AF82,增益!$A:$A,增益!$P:$P,0))</f>
        <v>0.27</v>
      </c>
      <c r="BI82" s="30">
        <f>MIN(IF(VLOOKUP($Q82,武学奇术!$A:$ZZ,23,FALSE)=1,100%,$B$8),100%)</f>
        <v>1</v>
      </c>
      <c r="BJ82" s="30" cm="1">
        <f t="array" ref="BJ82">IF(VLOOKUP($Q82,武学奇术!$A:$ZZ,23,FALSE)=1,100%,MIN(80%,$B$9+VLOOKUP($Q82,武学奇术!$A:$ZZ,17,FALSE)+SUM(_xlfn.XLOOKUP(R82:AF82,增益!$A:$A,增益!$Q:$Q,0)))+$B$11+SUM(_xlfn.XLOOKUP(R82:AF82,增益!$A:$A,增益!$U:$U,0)))*IF(VLOOKUP($Q82,武学奇术!$A:$ZZ,24,FALSE)=1,0,1)</f>
        <v>1</v>
      </c>
      <c r="BK82" s="30" cm="1">
        <f t="array" ref="BK82">1+$B$13+VLOOKUP($Q82,武学奇术!$A:$ZZ,18,FALSE)+SUM(_xlfn.XLOOKUP(R82:AF82,增益!$A:$A,增益!$R:$R,0))</f>
        <v>1.87</v>
      </c>
      <c r="BL82" s="30" cm="1">
        <f t="array" ref="BL82">IF(VLOOKUP($Q82,武学奇术!$A:$ZZ,24,FALSE)=1,100%,MIN(40%,$B$10+VLOOKUP($Q82,武学奇术!$A:$ZZ,19,FALSE)+SUM(_xlfn.XLOOKUP(R82:AF82,增益!$A:$A,增益!$S:$S,0)))+$B$12+SUM(_xlfn.XLOOKUP(R82:AF82,增益!$A:$A,增益!$V:$V,0)))*IF(VLOOKUP($Q82,武学奇术!$A:$ZZ,23,FALSE)=1,0,1)</f>
        <v>0</v>
      </c>
      <c r="BM82" s="30" cm="1">
        <f t="array" ref="BM82">1+$B$14+VLOOKUP($Q82,武学奇术!$A:$ZZ,20,FALSE)+SUM(_xlfn.XLOOKUP(R82:AF82,增益!$A:$A,增益!$T:$T,0))</f>
        <v>1.35</v>
      </c>
      <c r="BN82" s="30">
        <f t="shared" si="21"/>
        <v>1</v>
      </c>
      <c r="BO82" s="30">
        <f t="shared" si="22"/>
        <v>0</v>
      </c>
      <c r="BP82" s="30">
        <f>IF(VLOOKUP($Q82,武学奇术!$A:$ZZ,22,FALSE)=1,0,(1-$BI82))*(1-$BL82)</f>
        <v>0</v>
      </c>
      <c r="BQ82" s="30" cm="1">
        <f t="array" ref="BQ82">SUM(_xlfn.XLOOKUP(R82:AF82,增益!$A:$A,增益!$W:$W,0))+$I$5</f>
        <v>0.11</v>
      </c>
    </row>
    <row r="83" spans="1:69">
      <c r="A83" s="4"/>
      <c r="B83" s="4"/>
      <c r="K83" s="41">
        <f t="shared" si="23"/>
        <v>35933.6448342388</v>
      </c>
      <c r="L83" s="41">
        <f>((($AN83+$AO83)/2*$AH83+$AI83)*(1+$AP83)*(1+$AQ83)+(($AS83+$AT83)/2*IF($G$1="鸣金",$AJ83,$AH83)+IF($G$1="鸣金",$AK83*1.5,0))*(1+$AU83)*(1+$AV83)+(($AW83+$AX83)/2*IF($G$1="裂石",$AJ83,$AH83)+IF($G$1="裂石",$AK83*1.5,0))*(1+$AY83)*(1+$AZ83)+(($BA83+$BB83)/2*IF($G$1="牵丝",$AJ83,$AH83)+IF($G$1="牵丝",$AK83*1.5,0))*(1+$BC83)*(1+$BD83)+(($BE83+$BF83)/2*IF($G$1="破竹",$AJ83,$AH83)+IF($G$1="破竹",$AK83*1.5,0))*(1+$BG83)*(1+$BH83))*(1+$AL83)*$BK83*$P83*(1+IF(VLOOKUP($Q83,武学奇术!$A:$ZZ,30,FALSE)="回旋伞",$B$21,0))*(1+$BQ83)</f>
        <v>37635.1160863135</v>
      </c>
      <c r="M83" s="41">
        <f>(($AO83*$AH83+$AI83)*(1+$AP83)*(1+$AQ83)+($AT83*IF($G$1="鸣金",$AJ83,$AH83)+IF($G$1="鸣金",$AK83*1.5,0))*(1+$AU83)*(1+$AV83)+($AX83*IF($G$1="裂石",$AJ83,$AH83)+IF($G$1="裂石",$AK83*1.5,0))*(1+$AY83)*(1+$AZ83)+($BB83*IF($G$1="牵丝",$AJ83,$AH83)+IF($G$1="牵丝",$AK83*1.5,0))*(1+$BC83)*(1+$BD83)+($BF83*IF($G$1="破竹",$AJ83,$AH83)+IF($G$1="破竹",$AK83*1.5,0))*(1+$BG83)*(1+$BH83))*(1+$AL83)*$BM83*$P83*(1+IF(VLOOKUP($Q83,武学奇术!$A:$ZZ,30,FALSE)="回旋伞",$B$21,0))*(1+$BQ83)</f>
        <v>30864.12780132</v>
      </c>
      <c r="N83" s="41">
        <f>((($AN83+$AO83)/2*$AH83+$AI83)*(1+$AP83)*(1+$AQ83)+(($AS83+$AT83)/2*IF($G$1="鸣金",$AJ83,$AH83)+IF($G$1="鸣金",$AK83*1.5,0))*(1+$AU83)*(1+$AV83)+(($AW83+$AX83)/2*IF($G$1="裂石",$AJ83,$AH83)+IF($G$1="裂石",$AK83*1.5,0))*(1+$AY83)*(1+$AZ83)+(($BA83+$BB83)/2*IF($G$1="牵丝",$AJ83,$AH83)+IF($G$1="牵丝",$AK83*1.5,0))*(1+$BC83)*(1+$BD83)+(($BE83+$BF83)/2*IF($G$1="破竹",$AJ83,$AH83)+IF($G$1="破竹",$AK83*1.5,0))*(1+$BG83)*(1+$BH83))*(1+$AL83)*$P83*(1+IF(VLOOKUP($Q83,武学奇术!$A:$ZZ,30,FALSE)="回旋伞",$B$21,0))*(1+$BQ83)</f>
        <v>20125.7305274403</v>
      </c>
      <c r="O83" s="41">
        <f>((($AN83*$AH83+$AI83)*(1+$AP83)*(1+$AQ83)+($AS83*IF($G$1="鸣金",$AJ83,$AH83)+IF($G$1="鸣金",$AK83*1.5,0))*(1+$AU83)*(1+$AV83)+($AW83*IF($G$1="裂石",$AJ83,$AH83)+IF($G$1="裂石",$AK83*1.5,0))*(1+$AY83)*(1+$AZ83)+($BA83*IF($G$1="牵丝",$AJ83,$AH83)+IF($G$1="牵丝",$AK83*1.5,0))*(1+$BC83)*(1+$BD83)+($BE83*IF($G$1="破竹",$AJ83,$AH83)+IF($G$1="破竹",$AK83*1.5,0))*(1+$BG83)*(1+$BH83))*(1+$AL83))*$P83*(1+IF(VLOOKUP($Q83,武学奇术!$A:$ZZ,30,FALSE)="回旋伞",$B$21,0))*(1+$BQ83)</f>
        <v>17389.1441650141</v>
      </c>
      <c r="P83" s="42">
        <v>2</v>
      </c>
      <c r="Q83" s="43" t="s">
        <v>120</v>
      </c>
      <c r="R83" s="43" t="s">
        <v>105</v>
      </c>
      <c r="S83" s="43" t="s">
        <v>91</v>
      </c>
      <c r="T83" s="43" t="s">
        <v>72</v>
      </c>
      <c r="U83" s="43" t="s">
        <v>71</v>
      </c>
      <c r="V83" s="43" t="s">
        <v>167</v>
      </c>
      <c r="W83" s="43" t="s">
        <v>95</v>
      </c>
      <c r="X83" s="43" t="s">
        <v>71</v>
      </c>
      <c r="Y83" s="43" t="s">
        <v>71</v>
      </c>
      <c r="Z83" s="43" t="s">
        <v>71</v>
      </c>
      <c r="AA83" s="43" t="s">
        <v>71</v>
      </c>
      <c r="AB83" s="43" t="s">
        <v>71</v>
      </c>
      <c r="AC83" s="43" t="s">
        <v>71</v>
      </c>
      <c r="AD83" s="43" t="s">
        <v>71</v>
      </c>
      <c r="AE83" s="43" t="s">
        <v>71</v>
      </c>
      <c r="AF83" s="43" t="s">
        <v>76</v>
      </c>
      <c r="AG83" t="str">
        <f>VLOOKUP($Q83,武学奇术!$A:$ZZ,25,FALSE)</f>
        <v>伞</v>
      </c>
      <c r="AH83" s="30">
        <f>VLOOKUP($Q83,武学奇术!$A:$ZZ,26,FALSE)</f>
        <v>0.54</v>
      </c>
      <c r="AI83" s="31">
        <f>VLOOKUP($Q83,武学奇术!$A:$ZZ,27,FALSE)*(1+IF(OR($AG83=$F$4,$AG83=$F$5),$B$22,0))</f>
        <v>0</v>
      </c>
      <c r="AJ83" s="30">
        <f>VLOOKUP($Q83,武学奇术!$A:$ZZ,28,FALSE)</f>
        <v>0.81</v>
      </c>
      <c r="AK83" s="31">
        <f>VLOOKUP($Q83,武学奇术!$A:$ZZ,29,FALSE)*(1+IF(OR($AG83=$F$4,$AG83=$F$5),$B$22,0))</f>
        <v>0</v>
      </c>
      <c r="AL83" s="30" cm="1">
        <f t="array" ref="AL83">$G$3+IFERROR(VLOOKUP($AG83,$F$4:$G$7,2,FALSE),0)+VLOOKUP($Q83,武学奇术!$A:$ZZ,2,FALSE)+SUM(_xlfn.XLOOKUP($R83:$AF83,增益!$A:$A,增益!$B:$B,0))</f>
        <v>0.7741</v>
      </c>
      <c r="AM83" s="30" cm="1">
        <f t="array" ref="AM83">VLOOKUP($Q83,武学奇术!$A:$ZZ,5,FALSE)+SUM(_xlfn.XLOOKUP($R83:$AF83,增益!$A:$A,增益!$E:$E,0))</f>
        <v>0</v>
      </c>
      <c r="AN83" cm="1">
        <f t="array" ref="AN83">$D$10*(1+$AM83)+VLOOKUP($Q83,武学奇术!$A:$ZZ,3,FALSE)+SUM(_xlfn.XLOOKUP($R83:$AF83,增益!$A:$A,增益!$C:$C,0))-$I$2</f>
        <v>3483.8</v>
      </c>
      <c r="AO83" cm="1">
        <f t="array" ref="AO83">$E$10*(1+$AM83)+VLOOKUP($Q83,武学奇术!$A:$ZZ,4,FALSE)+SUM(_xlfn.XLOOKUP($R83:$AF83,增益!$A:$A,增益!$D:$D,0))-$I$2</f>
        <v>3483.8</v>
      </c>
      <c r="AP83" s="35" cm="1">
        <f t="array" ref="AP83">IF($F$10-$I$3+VLOOKUP($Q83,武学奇术!$A:$ZZ,6,FALSE)+SUM(_xlfn.XLOOKUP(R83:AF83,增益!$A:$A,增益!$F:$F,0))&gt;0,($F$10-$I$3+VLOOKUP($Q83,武学奇术!$A:$ZZ,6,FALSE)+SUM(_xlfn.XLOOKUP(R83:AF83,增益!$A:$A,增益!$F:$F,0)))/200,($F$10-$I$3+VLOOKUP($Q83,武学奇术!$A:$ZZ,6,FALSE)+SUM(_xlfn.XLOOKUP(R83:AF83,增益!$A:$A,增益!$F:$F,0)))/100)</f>
        <v>0.2925</v>
      </c>
      <c r="AQ83" s="35" cm="1">
        <f t="array" ref="AQ83">$G$10+VLOOKUP($Q83,武学奇术!$A:$ZZ,7,FALSE)+SUM(_xlfn.XLOOKUP(R83:AF83,增益!$A:$A,增益!$G:$G,0))</f>
        <v>0.148</v>
      </c>
      <c r="AR83" s="30" cm="1">
        <f t="array" ref="AR83">VLOOKUP($Q83,武学奇术!$A:$ZZ,8,FALSE)+SUM(_xlfn.XLOOKUP(R83:AF83,增益!$A:$A,增益!$H:$H,0))</f>
        <v>0</v>
      </c>
      <c r="AS83">
        <f t="shared" si="13"/>
        <v>0</v>
      </c>
      <c r="AT83">
        <f t="shared" si="14"/>
        <v>0</v>
      </c>
      <c r="AU83" s="35" cm="1">
        <f t="array" ref="AU83">IF($F$11-$I$4+VLOOKUP($Q83,武学奇术!$A:$ZZ,9,FALSE)+SUM(_xlfn.XLOOKUP(R83:AF83,增益!$A:$A,增益!$I:$I,0))&gt;0,($F$11-$I$4+VLOOKUP($Q83,武学奇术!$A:$ZZ,9,FALSE)+SUM(_xlfn.XLOOKUP(R83:AF83,增益!$A:$A,增益!$I:$I,0)))/200,($F$11-$I$4+VLOOKUP($Q83,武学奇术!$A:$ZZ,9,FALSE)+SUM(_xlfn.XLOOKUP(R83:AF83,增益!$A:$A,增益!$I:$I,0)))/100)</f>
        <v>-0.3</v>
      </c>
      <c r="AV83" s="35" cm="1">
        <f t="array" ref="AV83">$G$11+VLOOKUP($Q83,武学奇术!$A:$ZZ,10,FALSE)+SUM(_xlfn.XLOOKUP(R83:AF83,增益!$A:$A,增益!$J:$J,0))</f>
        <v>0</v>
      </c>
      <c r="AW83">
        <f t="shared" si="15"/>
        <v>0</v>
      </c>
      <c r="AX83">
        <f t="shared" si="16"/>
        <v>0</v>
      </c>
      <c r="AY83" s="35" cm="1">
        <f t="array" ref="AY83">IF($F$12-$I$4+VLOOKUP($Q83,武学奇术!$A:$ZZ,11,FALSE)+SUM(_xlfn.XLOOKUP(R83:AF83,增益!$A:$A,增益!$K:$K,0))&gt;0,($F$12-$I$4+VLOOKUP($Q83,武学奇术!$A:$ZZ,11,FALSE)+SUM(_xlfn.XLOOKUP(R83:AF83,增益!$A:$A,增益!$K:$K,0)))/200,($F$12-$I$4+VLOOKUP($Q83,武学奇术!$A:$ZZ,11,FALSE)+SUM(_xlfn.XLOOKUP(R83:AF83,增益!$A:$A,增益!$K:$K,0)))/100)</f>
        <v>-0.3</v>
      </c>
      <c r="AZ83" s="35" cm="1">
        <f t="array" ref="AZ83">$G$12+VLOOKUP($Q83,武学奇术!$A:$ZZ,12,FALSE)+SUM(_xlfn.XLOOKUP(R83:AF83,增益!$A:$A,增益!$L:$L,0))</f>
        <v>0</v>
      </c>
      <c r="BA83">
        <f t="shared" si="17"/>
        <v>0</v>
      </c>
      <c r="BB83">
        <f t="shared" si="18"/>
        <v>0</v>
      </c>
      <c r="BC83" s="35" cm="1">
        <f t="array" ref="BC83">IF($F$13-$I$4+VLOOKUP($Q83,武学奇术!$A:$ZZ,13,FALSE)+SUM(_xlfn.XLOOKUP(R83:AF83,增益!$A:$A,增益!$M:$M,0))&gt;0,($F$13-$I$4+VLOOKUP($Q83,武学奇术!$A:$ZZ,13,FALSE)+SUM(_xlfn.XLOOKUP(R83:AF83,增益!$A:$A,增益!$K:$K,0)))/200,($F$13-$I$4+VLOOKUP($Q83,武学奇术!$A:$ZZ,13,FALSE)+SUM(_xlfn.XLOOKUP(R83:AF83,增益!$A:$A,增益!$M:$M,0)))/100)</f>
        <v>-0.3</v>
      </c>
      <c r="BD83" s="35" cm="1">
        <f t="array" ref="BD83">$G$13+VLOOKUP($Q83,武学奇术!$A:$ZZ,14,FALSE)+SUM(_xlfn.XLOOKUP(R83:AF83,增益!$A:$A,增益!$N:$N,0))</f>
        <v>0</v>
      </c>
      <c r="BE83">
        <f t="shared" si="19"/>
        <v>538</v>
      </c>
      <c r="BF83">
        <f t="shared" si="20"/>
        <v>1561.4</v>
      </c>
      <c r="BG83" s="35" cm="1">
        <f t="array" ref="BG83">IF($F$14-$I$4+VLOOKUP($Q83,武学奇术!$A:$ZZ,15,FALSE)+SUM(_xlfn.XLOOKUP(R83:AF83,增益!$A:$A,增益!$O:$O,0))&gt;0,($F$14-$I$4+VLOOKUP($Q83,武学奇术!$A:$ZZ,15,FALSE)+SUM(_xlfn.XLOOKUP(R83:AF83,增益!$A:$A,增益!$O:$O,0)))/200,($F$14-$I$4+VLOOKUP($Q83,武学奇术!$A:$ZZ,15,FALSE)+SUM(_xlfn.XLOOKUP(R83:AF83,增益!$A:$A,增益!$O:$O,0)))/100)</f>
        <v>0</v>
      </c>
      <c r="BH83" s="35" cm="1">
        <f t="array" ref="BH83">$G$14+VLOOKUP($Q83,武学奇术!$A:$ZZ,16,FALSE)+SUM(_xlfn.XLOOKUP(R83:AF83,增益!$A:$A,增益!$P:$P,0))</f>
        <v>0.27</v>
      </c>
      <c r="BI83" s="30">
        <f>MIN(IF(VLOOKUP($Q83,武学奇术!$A:$ZZ,23,FALSE)=1,100%,$B$8),100%)</f>
        <v>0.9712</v>
      </c>
      <c r="BJ83" s="30" cm="1">
        <f t="array" ref="BJ83">IF(VLOOKUP($Q83,武学奇术!$A:$ZZ,23,FALSE)=1,100%,MIN(80%,$B$9+VLOOKUP($Q83,武学奇术!$A:$ZZ,17,FALSE)+SUM(_xlfn.XLOOKUP(R83:AF83,增益!$A:$A,增益!$Q:$Q,0)))+$B$11+SUM(_xlfn.XLOOKUP(R83:AF83,增益!$A:$A,增益!$U:$U,0)))*IF(VLOOKUP($Q83,武学奇术!$A:$ZZ,24,FALSE)=1,0,1)</f>
        <v>0.8773</v>
      </c>
      <c r="BK83" s="30" cm="1">
        <f t="array" ref="BK83">1+$B$13+VLOOKUP($Q83,武学奇术!$A:$ZZ,18,FALSE)+SUM(_xlfn.XLOOKUP(R83:AF83,增益!$A:$A,增益!$R:$R,0))</f>
        <v>1.87</v>
      </c>
      <c r="BL83" s="30" cm="1">
        <f t="array" ref="BL83">IF(VLOOKUP($Q83,武学奇术!$A:$ZZ,24,FALSE)=1,100%,MIN(40%,$B$10+VLOOKUP($Q83,武学奇术!$A:$ZZ,19,FALSE)+SUM(_xlfn.XLOOKUP(R83:AF83,增益!$A:$A,增益!$S:$S,0)))+$B$12+SUM(_xlfn.XLOOKUP(R83:AF83,增益!$A:$A,增益!$V:$V,0)))*IF(VLOOKUP($Q83,武学奇术!$A:$ZZ,23,FALSE)=1,0,1)</f>
        <v>0.0895</v>
      </c>
      <c r="BM83" s="30" cm="1">
        <f t="array" ref="BM83">1+$B$14+VLOOKUP($Q83,武学奇术!$A:$ZZ,20,FALSE)+SUM(_xlfn.XLOOKUP(R83:AF83,增益!$A:$A,增益!$T:$T,0))</f>
        <v>1.35</v>
      </c>
      <c r="BN83" s="30">
        <f t="shared" si="21"/>
        <v>0.85203376</v>
      </c>
      <c r="BO83" s="30">
        <f t="shared" si="22"/>
        <v>0.03224384</v>
      </c>
      <c r="BP83" s="30">
        <f>IF(VLOOKUP($Q83,武学奇术!$A:$ZZ,22,FALSE)=1,0,(1-$BI83))*(1-$BL83)</f>
        <v>0.0262224</v>
      </c>
      <c r="BQ83" s="30" cm="1">
        <f t="array" ref="BQ83">SUM(_xlfn.XLOOKUP(R83:AF83,增益!$A:$A,增益!$W:$W,0))+$I$5</f>
        <v>0.11</v>
      </c>
    </row>
    <row r="84" spans="1:69">
      <c r="A84" s="4"/>
      <c r="B84" s="4"/>
      <c r="K84" s="41">
        <f t="shared" si="23"/>
        <v>35933.6448342388</v>
      </c>
      <c r="L84" s="41">
        <f>((($AN84+$AO84)/2*$AH84+$AI84)*(1+$AP84)*(1+$AQ84)+(($AS84+$AT84)/2*IF($G$1="鸣金",$AJ84,$AH84)+IF($G$1="鸣金",$AK84*1.5,0))*(1+$AU84)*(1+$AV84)+(($AW84+$AX84)/2*IF($G$1="裂石",$AJ84,$AH84)+IF($G$1="裂石",$AK84*1.5,0))*(1+$AY84)*(1+$AZ84)+(($BA84+$BB84)/2*IF($G$1="牵丝",$AJ84,$AH84)+IF($G$1="牵丝",$AK84*1.5,0))*(1+$BC84)*(1+$BD84)+(($BE84+$BF84)/2*IF($G$1="破竹",$AJ84,$AH84)+IF($G$1="破竹",$AK84*1.5,0))*(1+$BG84)*(1+$BH84))*(1+$AL84)*$BK84*$P84*(1+IF(VLOOKUP($Q84,武学奇术!$A:$ZZ,30,FALSE)="回旋伞",$B$21,0))*(1+$BQ84)</f>
        <v>37635.1160863135</v>
      </c>
      <c r="M84" s="41">
        <f>(($AO84*$AH84+$AI84)*(1+$AP84)*(1+$AQ84)+($AT84*IF($G$1="鸣金",$AJ84,$AH84)+IF($G$1="鸣金",$AK84*1.5,0))*(1+$AU84)*(1+$AV84)+($AX84*IF($G$1="裂石",$AJ84,$AH84)+IF($G$1="裂石",$AK84*1.5,0))*(1+$AY84)*(1+$AZ84)+($BB84*IF($G$1="牵丝",$AJ84,$AH84)+IF($G$1="牵丝",$AK84*1.5,0))*(1+$BC84)*(1+$BD84)+($BF84*IF($G$1="破竹",$AJ84,$AH84)+IF($G$1="破竹",$AK84*1.5,0))*(1+$BG84)*(1+$BH84))*(1+$AL84)*$BM84*$P84*(1+IF(VLOOKUP($Q84,武学奇术!$A:$ZZ,30,FALSE)="回旋伞",$B$21,0))*(1+$BQ84)</f>
        <v>30864.12780132</v>
      </c>
      <c r="N84" s="41">
        <f>((($AN84+$AO84)/2*$AH84+$AI84)*(1+$AP84)*(1+$AQ84)+(($AS84+$AT84)/2*IF($G$1="鸣金",$AJ84,$AH84)+IF($G$1="鸣金",$AK84*1.5,0))*(1+$AU84)*(1+$AV84)+(($AW84+$AX84)/2*IF($G$1="裂石",$AJ84,$AH84)+IF($G$1="裂石",$AK84*1.5,0))*(1+$AY84)*(1+$AZ84)+(($BA84+$BB84)/2*IF($G$1="牵丝",$AJ84,$AH84)+IF($G$1="牵丝",$AK84*1.5,0))*(1+$BC84)*(1+$BD84)+(($BE84+$BF84)/2*IF($G$1="破竹",$AJ84,$AH84)+IF($G$1="破竹",$AK84*1.5,0))*(1+$BG84)*(1+$BH84))*(1+$AL84)*$P84*(1+IF(VLOOKUP($Q84,武学奇术!$A:$ZZ,30,FALSE)="回旋伞",$B$21,0))*(1+$BQ84)</f>
        <v>20125.7305274403</v>
      </c>
      <c r="O84" s="41">
        <f>((($AN84*$AH84+$AI84)*(1+$AP84)*(1+$AQ84)+($AS84*IF($G$1="鸣金",$AJ84,$AH84)+IF($G$1="鸣金",$AK84*1.5,0))*(1+$AU84)*(1+$AV84)+($AW84*IF($G$1="裂石",$AJ84,$AH84)+IF($G$1="裂石",$AK84*1.5,0))*(1+$AY84)*(1+$AZ84)+($BA84*IF($G$1="牵丝",$AJ84,$AH84)+IF($G$1="牵丝",$AK84*1.5,0))*(1+$BC84)*(1+$BD84)+($BE84*IF($G$1="破竹",$AJ84,$AH84)+IF($G$1="破竹",$AK84*1.5,0))*(1+$BG84)*(1+$BH84))*(1+$AL84))*$P84*(1+IF(VLOOKUP($Q84,武学奇术!$A:$ZZ,30,FALSE)="回旋伞",$B$21,0))*(1+$BQ84)</f>
        <v>17389.1441650141</v>
      </c>
      <c r="P84" s="42">
        <v>2</v>
      </c>
      <c r="Q84" s="43" t="s">
        <v>120</v>
      </c>
      <c r="R84" s="43" t="s">
        <v>105</v>
      </c>
      <c r="S84" s="43" t="s">
        <v>91</v>
      </c>
      <c r="T84" s="43" t="s">
        <v>72</v>
      </c>
      <c r="U84" s="43" t="s">
        <v>71</v>
      </c>
      <c r="V84" s="43" t="s">
        <v>167</v>
      </c>
      <c r="W84" s="43" t="s">
        <v>95</v>
      </c>
      <c r="X84" s="43" t="s">
        <v>71</v>
      </c>
      <c r="Y84" s="43" t="s">
        <v>71</v>
      </c>
      <c r="Z84" s="43" t="s">
        <v>71</v>
      </c>
      <c r="AA84" s="43" t="s">
        <v>109</v>
      </c>
      <c r="AB84" s="43" t="s">
        <v>71</v>
      </c>
      <c r="AC84" s="43" t="s">
        <v>71</v>
      </c>
      <c r="AD84" s="43" t="s">
        <v>71</v>
      </c>
      <c r="AE84" s="43" t="s">
        <v>71</v>
      </c>
      <c r="AF84" s="43" t="s">
        <v>76</v>
      </c>
      <c r="AG84" t="str">
        <f>VLOOKUP($Q84,武学奇术!$A:$ZZ,25,FALSE)</f>
        <v>伞</v>
      </c>
      <c r="AH84" s="30">
        <f>VLOOKUP($Q84,武学奇术!$A:$ZZ,26,FALSE)</f>
        <v>0.54</v>
      </c>
      <c r="AI84" s="31">
        <f>VLOOKUP($Q84,武学奇术!$A:$ZZ,27,FALSE)*(1+IF(OR($AG84=$F$4,$AG84=$F$5),$B$22,0))</f>
        <v>0</v>
      </c>
      <c r="AJ84" s="30">
        <f>VLOOKUP($Q84,武学奇术!$A:$ZZ,28,FALSE)</f>
        <v>0.81</v>
      </c>
      <c r="AK84" s="31">
        <f>VLOOKUP($Q84,武学奇术!$A:$ZZ,29,FALSE)*(1+IF(OR($AG84=$F$4,$AG84=$F$5),$B$22,0))</f>
        <v>0</v>
      </c>
      <c r="AL84" s="30" cm="1">
        <f t="array" ref="AL84">$G$3+IFERROR(VLOOKUP($AG84,$F$4:$G$7,2,FALSE),0)+VLOOKUP($Q84,武学奇术!$A:$ZZ,2,FALSE)+SUM(_xlfn.XLOOKUP($R84:$AF84,增益!$A:$A,增益!$B:$B,0))</f>
        <v>0.7741</v>
      </c>
      <c r="AM84" s="30" cm="1">
        <f t="array" ref="AM84">VLOOKUP($Q84,武学奇术!$A:$ZZ,5,FALSE)+SUM(_xlfn.XLOOKUP($R84:$AF84,增益!$A:$A,增益!$E:$E,0))</f>
        <v>0</v>
      </c>
      <c r="AN84" cm="1">
        <f t="array" ref="AN84">$D$10*(1+$AM84)+VLOOKUP($Q84,武学奇术!$A:$ZZ,3,FALSE)+SUM(_xlfn.XLOOKUP($R84:$AF84,增益!$A:$A,增益!$C:$C,0))-$I$2</f>
        <v>3483.8</v>
      </c>
      <c r="AO84" cm="1">
        <f t="array" ref="AO84">$E$10*(1+$AM84)+VLOOKUP($Q84,武学奇术!$A:$ZZ,4,FALSE)+SUM(_xlfn.XLOOKUP($R84:$AF84,增益!$A:$A,增益!$D:$D,0))-$I$2</f>
        <v>3483.8</v>
      </c>
      <c r="AP84" s="35" cm="1">
        <f t="array" ref="AP84">IF($F$10-$I$3+VLOOKUP($Q84,武学奇术!$A:$ZZ,6,FALSE)+SUM(_xlfn.XLOOKUP(R84:AF84,增益!$A:$A,增益!$F:$F,0))&gt;0,($F$10-$I$3+VLOOKUP($Q84,武学奇术!$A:$ZZ,6,FALSE)+SUM(_xlfn.XLOOKUP(R84:AF84,增益!$A:$A,增益!$F:$F,0)))/200,($F$10-$I$3+VLOOKUP($Q84,武学奇术!$A:$ZZ,6,FALSE)+SUM(_xlfn.XLOOKUP(R84:AF84,增益!$A:$A,增益!$F:$F,0)))/100)</f>
        <v>0.2925</v>
      </c>
      <c r="AQ84" s="35" cm="1">
        <f t="array" ref="AQ84">$G$10+VLOOKUP($Q84,武学奇术!$A:$ZZ,7,FALSE)+SUM(_xlfn.XLOOKUP(R84:AF84,增益!$A:$A,增益!$G:$G,0))</f>
        <v>0.148</v>
      </c>
      <c r="AR84" s="30" cm="1">
        <f t="array" ref="AR84">VLOOKUP($Q84,武学奇术!$A:$ZZ,8,FALSE)+SUM(_xlfn.XLOOKUP(R84:AF84,增益!$A:$A,增益!$H:$H,0))</f>
        <v>0</v>
      </c>
      <c r="AS84">
        <f t="shared" si="13"/>
        <v>0</v>
      </c>
      <c r="AT84">
        <f t="shared" si="14"/>
        <v>0</v>
      </c>
      <c r="AU84" s="35" cm="1">
        <f t="array" ref="AU84">IF($F$11-$I$4+VLOOKUP($Q84,武学奇术!$A:$ZZ,9,FALSE)+SUM(_xlfn.XLOOKUP(R84:AF84,增益!$A:$A,增益!$I:$I,0))&gt;0,($F$11-$I$4+VLOOKUP($Q84,武学奇术!$A:$ZZ,9,FALSE)+SUM(_xlfn.XLOOKUP(R84:AF84,增益!$A:$A,增益!$I:$I,0)))/200,($F$11-$I$4+VLOOKUP($Q84,武学奇术!$A:$ZZ,9,FALSE)+SUM(_xlfn.XLOOKUP(R84:AF84,增益!$A:$A,增益!$I:$I,0)))/100)</f>
        <v>-0.3</v>
      </c>
      <c r="AV84" s="35" cm="1">
        <f t="array" ref="AV84">$G$11+VLOOKUP($Q84,武学奇术!$A:$ZZ,10,FALSE)+SUM(_xlfn.XLOOKUP(R84:AF84,增益!$A:$A,增益!$J:$J,0))</f>
        <v>0</v>
      </c>
      <c r="AW84">
        <f t="shared" si="15"/>
        <v>0</v>
      </c>
      <c r="AX84">
        <f t="shared" si="16"/>
        <v>0</v>
      </c>
      <c r="AY84" s="35" cm="1">
        <f t="array" ref="AY84">IF($F$12-$I$4+VLOOKUP($Q84,武学奇术!$A:$ZZ,11,FALSE)+SUM(_xlfn.XLOOKUP(R84:AF84,增益!$A:$A,增益!$K:$K,0))&gt;0,($F$12-$I$4+VLOOKUP($Q84,武学奇术!$A:$ZZ,11,FALSE)+SUM(_xlfn.XLOOKUP(R84:AF84,增益!$A:$A,增益!$K:$K,0)))/200,($F$12-$I$4+VLOOKUP($Q84,武学奇术!$A:$ZZ,11,FALSE)+SUM(_xlfn.XLOOKUP(R84:AF84,增益!$A:$A,增益!$K:$K,0)))/100)</f>
        <v>-0.3</v>
      </c>
      <c r="AZ84" s="35" cm="1">
        <f t="array" ref="AZ84">$G$12+VLOOKUP($Q84,武学奇术!$A:$ZZ,12,FALSE)+SUM(_xlfn.XLOOKUP(R84:AF84,增益!$A:$A,增益!$L:$L,0))</f>
        <v>0</v>
      </c>
      <c r="BA84">
        <f t="shared" si="17"/>
        <v>0</v>
      </c>
      <c r="BB84">
        <f t="shared" si="18"/>
        <v>0</v>
      </c>
      <c r="BC84" s="35" cm="1">
        <f t="array" ref="BC84">IF($F$13-$I$4+VLOOKUP($Q84,武学奇术!$A:$ZZ,13,FALSE)+SUM(_xlfn.XLOOKUP(R84:AF84,增益!$A:$A,增益!$M:$M,0))&gt;0,($F$13-$I$4+VLOOKUP($Q84,武学奇术!$A:$ZZ,13,FALSE)+SUM(_xlfn.XLOOKUP(R84:AF84,增益!$A:$A,增益!$K:$K,0)))/200,($F$13-$I$4+VLOOKUP($Q84,武学奇术!$A:$ZZ,13,FALSE)+SUM(_xlfn.XLOOKUP(R84:AF84,增益!$A:$A,增益!$M:$M,0)))/100)</f>
        <v>-0.3</v>
      </c>
      <c r="BD84" s="35" cm="1">
        <f t="array" ref="BD84">$G$13+VLOOKUP($Q84,武学奇术!$A:$ZZ,14,FALSE)+SUM(_xlfn.XLOOKUP(R84:AF84,增益!$A:$A,增益!$N:$N,0))</f>
        <v>0</v>
      </c>
      <c r="BE84">
        <f t="shared" si="19"/>
        <v>538</v>
      </c>
      <c r="BF84">
        <f t="shared" si="20"/>
        <v>1561.4</v>
      </c>
      <c r="BG84" s="35" cm="1">
        <f t="array" ref="BG84">IF($F$14-$I$4+VLOOKUP($Q84,武学奇术!$A:$ZZ,15,FALSE)+SUM(_xlfn.XLOOKUP(R84:AF84,增益!$A:$A,增益!$O:$O,0))&gt;0,($F$14-$I$4+VLOOKUP($Q84,武学奇术!$A:$ZZ,15,FALSE)+SUM(_xlfn.XLOOKUP(R84:AF84,增益!$A:$A,增益!$O:$O,0)))/200,($F$14-$I$4+VLOOKUP($Q84,武学奇术!$A:$ZZ,15,FALSE)+SUM(_xlfn.XLOOKUP(R84:AF84,增益!$A:$A,增益!$O:$O,0)))/100)</f>
        <v>0</v>
      </c>
      <c r="BH84" s="35" cm="1">
        <f t="array" ref="BH84">$G$14+VLOOKUP($Q84,武学奇术!$A:$ZZ,16,FALSE)+SUM(_xlfn.XLOOKUP(R84:AF84,增益!$A:$A,增益!$P:$P,0))</f>
        <v>0.27</v>
      </c>
      <c r="BI84" s="30">
        <f>MIN(IF(VLOOKUP($Q84,武学奇术!$A:$ZZ,23,FALSE)=1,100%,$B$8),100%)</f>
        <v>0.9712</v>
      </c>
      <c r="BJ84" s="30" cm="1">
        <f t="array" ref="BJ84">IF(VLOOKUP($Q84,武学奇术!$A:$ZZ,23,FALSE)=1,100%,MIN(80%,$B$9+VLOOKUP($Q84,武学奇术!$A:$ZZ,17,FALSE)+SUM(_xlfn.XLOOKUP(R84:AF84,增益!$A:$A,增益!$Q:$Q,0)))+$B$11+SUM(_xlfn.XLOOKUP(R84:AF84,增益!$A:$A,增益!$U:$U,0)))*IF(VLOOKUP($Q84,武学奇术!$A:$ZZ,24,FALSE)=1,0,1)</f>
        <v>0.8773</v>
      </c>
      <c r="BK84" s="30" cm="1">
        <f t="array" ref="BK84">1+$B$13+VLOOKUP($Q84,武学奇术!$A:$ZZ,18,FALSE)+SUM(_xlfn.XLOOKUP(R84:AF84,增益!$A:$A,增益!$R:$R,0))</f>
        <v>1.87</v>
      </c>
      <c r="BL84" s="30" cm="1">
        <f t="array" ref="BL84">IF(VLOOKUP($Q84,武学奇术!$A:$ZZ,24,FALSE)=1,100%,MIN(40%,$B$10+VLOOKUP($Q84,武学奇术!$A:$ZZ,19,FALSE)+SUM(_xlfn.XLOOKUP(R84:AF84,增益!$A:$A,增益!$S:$S,0)))+$B$12+SUM(_xlfn.XLOOKUP(R84:AF84,增益!$A:$A,增益!$V:$V,0)))*IF(VLOOKUP($Q84,武学奇术!$A:$ZZ,23,FALSE)=1,0,1)</f>
        <v>0.0895</v>
      </c>
      <c r="BM84" s="30" cm="1">
        <f t="array" ref="BM84">1+$B$14+VLOOKUP($Q84,武学奇术!$A:$ZZ,20,FALSE)+SUM(_xlfn.XLOOKUP(R84:AF84,增益!$A:$A,增益!$T:$T,0))</f>
        <v>1.35</v>
      </c>
      <c r="BN84" s="30">
        <f t="shared" si="21"/>
        <v>0.85203376</v>
      </c>
      <c r="BO84" s="30">
        <f t="shared" si="22"/>
        <v>0.03224384</v>
      </c>
      <c r="BP84" s="30">
        <f>IF(VLOOKUP($Q84,武学奇术!$A:$ZZ,22,FALSE)=1,0,(1-$BI84))*(1-$BL84)</f>
        <v>0.0262224</v>
      </c>
      <c r="BQ84" s="30" cm="1">
        <f t="array" ref="BQ84">SUM(_xlfn.XLOOKUP(R84:AF84,增益!$A:$A,增益!$W:$W,0))+$I$5</f>
        <v>0.11</v>
      </c>
    </row>
    <row r="85" spans="1:69">
      <c r="A85" s="4"/>
      <c r="B85" s="4"/>
      <c r="K85" s="41">
        <f t="shared" si="23"/>
        <v>35933.6448342388</v>
      </c>
      <c r="L85" s="41">
        <f>((($AN85+$AO85)/2*$AH85+$AI85)*(1+$AP85)*(1+$AQ85)+(($AS85+$AT85)/2*IF($G$1="鸣金",$AJ85,$AH85)+IF($G$1="鸣金",$AK85*1.5,0))*(1+$AU85)*(1+$AV85)+(($AW85+$AX85)/2*IF($G$1="裂石",$AJ85,$AH85)+IF($G$1="裂石",$AK85*1.5,0))*(1+$AY85)*(1+$AZ85)+(($BA85+$BB85)/2*IF($G$1="牵丝",$AJ85,$AH85)+IF($G$1="牵丝",$AK85*1.5,0))*(1+$BC85)*(1+$BD85)+(($BE85+$BF85)/2*IF($G$1="破竹",$AJ85,$AH85)+IF($G$1="破竹",$AK85*1.5,0))*(1+$BG85)*(1+$BH85))*(1+$AL85)*$BK85*$P85*(1+IF(VLOOKUP($Q85,武学奇术!$A:$ZZ,30,FALSE)="回旋伞",$B$21,0))*(1+$BQ85)</f>
        <v>37635.1160863135</v>
      </c>
      <c r="M85" s="41">
        <f>(($AO85*$AH85+$AI85)*(1+$AP85)*(1+$AQ85)+($AT85*IF($G$1="鸣金",$AJ85,$AH85)+IF($G$1="鸣金",$AK85*1.5,0))*(1+$AU85)*(1+$AV85)+($AX85*IF($G$1="裂石",$AJ85,$AH85)+IF($G$1="裂石",$AK85*1.5,0))*(1+$AY85)*(1+$AZ85)+($BB85*IF($G$1="牵丝",$AJ85,$AH85)+IF($G$1="牵丝",$AK85*1.5,0))*(1+$BC85)*(1+$BD85)+($BF85*IF($G$1="破竹",$AJ85,$AH85)+IF($G$1="破竹",$AK85*1.5,0))*(1+$BG85)*(1+$BH85))*(1+$AL85)*$BM85*$P85*(1+IF(VLOOKUP($Q85,武学奇术!$A:$ZZ,30,FALSE)="回旋伞",$B$21,0))*(1+$BQ85)</f>
        <v>30864.12780132</v>
      </c>
      <c r="N85" s="41">
        <f>((($AN85+$AO85)/2*$AH85+$AI85)*(1+$AP85)*(1+$AQ85)+(($AS85+$AT85)/2*IF($G$1="鸣金",$AJ85,$AH85)+IF($G$1="鸣金",$AK85*1.5,0))*(1+$AU85)*(1+$AV85)+(($AW85+$AX85)/2*IF($G$1="裂石",$AJ85,$AH85)+IF($G$1="裂石",$AK85*1.5,0))*(1+$AY85)*(1+$AZ85)+(($BA85+$BB85)/2*IF($G$1="牵丝",$AJ85,$AH85)+IF($G$1="牵丝",$AK85*1.5,0))*(1+$BC85)*(1+$BD85)+(($BE85+$BF85)/2*IF($G$1="破竹",$AJ85,$AH85)+IF($G$1="破竹",$AK85*1.5,0))*(1+$BG85)*(1+$BH85))*(1+$AL85)*$P85*(1+IF(VLOOKUP($Q85,武学奇术!$A:$ZZ,30,FALSE)="回旋伞",$B$21,0))*(1+$BQ85)</f>
        <v>20125.7305274403</v>
      </c>
      <c r="O85" s="41">
        <f>((($AN85*$AH85+$AI85)*(1+$AP85)*(1+$AQ85)+($AS85*IF($G$1="鸣金",$AJ85,$AH85)+IF($G$1="鸣金",$AK85*1.5,0))*(1+$AU85)*(1+$AV85)+($AW85*IF($G$1="裂石",$AJ85,$AH85)+IF($G$1="裂石",$AK85*1.5,0))*(1+$AY85)*(1+$AZ85)+($BA85*IF($G$1="牵丝",$AJ85,$AH85)+IF($G$1="牵丝",$AK85*1.5,0))*(1+$BC85)*(1+$BD85)+($BE85*IF($G$1="破竹",$AJ85,$AH85)+IF($G$1="破竹",$AK85*1.5,0))*(1+$BG85)*(1+$BH85))*(1+$AL85))*$P85*(1+IF(VLOOKUP($Q85,武学奇术!$A:$ZZ,30,FALSE)="回旋伞",$B$21,0))*(1+$BQ85)</f>
        <v>17389.1441650141</v>
      </c>
      <c r="P85" s="42">
        <v>2</v>
      </c>
      <c r="Q85" s="43" t="s">
        <v>120</v>
      </c>
      <c r="R85" s="43" t="s">
        <v>105</v>
      </c>
      <c r="S85" s="43" t="s">
        <v>91</v>
      </c>
      <c r="T85" s="43" t="s">
        <v>72</v>
      </c>
      <c r="U85" s="43" t="s">
        <v>71</v>
      </c>
      <c r="V85" s="43" t="s">
        <v>167</v>
      </c>
      <c r="W85" s="43" t="s">
        <v>95</v>
      </c>
      <c r="X85" s="43" t="s">
        <v>71</v>
      </c>
      <c r="Y85" s="43" t="s">
        <v>71</v>
      </c>
      <c r="Z85" s="43" t="s">
        <v>71</v>
      </c>
      <c r="AA85" s="43" t="s">
        <v>112</v>
      </c>
      <c r="AB85" s="43" t="s">
        <v>71</v>
      </c>
      <c r="AC85" s="43" t="s">
        <v>71</v>
      </c>
      <c r="AD85" s="43" t="s">
        <v>71</v>
      </c>
      <c r="AE85" s="43" t="s">
        <v>71</v>
      </c>
      <c r="AF85" s="43" t="s">
        <v>76</v>
      </c>
      <c r="AG85" t="str">
        <f>VLOOKUP($Q85,武学奇术!$A:$ZZ,25,FALSE)</f>
        <v>伞</v>
      </c>
      <c r="AH85" s="30">
        <f>VLOOKUP($Q85,武学奇术!$A:$ZZ,26,FALSE)</f>
        <v>0.54</v>
      </c>
      <c r="AI85" s="31">
        <f>VLOOKUP($Q85,武学奇术!$A:$ZZ,27,FALSE)*(1+IF(OR($AG85=$F$4,$AG85=$F$5),$B$22,0))</f>
        <v>0</v>
      </c>
      <c r="AJ85" s="30">
        <f>VLOOKUP($Q85,武学奇术!$A:$ZZ,28,FALSE)</f>
        <v>0.81</v>
      </c>
      <c r="AK85" s="31">
        <f>VLOOKUP($Q85,武学奇术!$A:$ZZ,29,FALSE)*(1+IF(OR($AG85=$F$4,$AG85=$F$5),$B$22,0))</f>
        <v>0</v>
      </c>
      <c r="AL85" s="30" cm="1">
        <f t="array" ref="AL85">$G$3+IFERROR(VLOOKUP($AG85,$F$4:$G$7,2,FALSE),0)+VLOOKUP($Q85,武学奇术!$A:$ZZ,2,FALSE)+SUM(_xlfn.XLOOKUP($R85:$AF85,增益!$A:$A,增益!$B:$B,0))</f>
        <v>0.7741</v>
      </c>
      <c r="AM85" s="30" cm="1">
        <f t="array" ref="AM85">VLOOKUP($Q85,武学奇术!$A:$ZZ,5,FALSE)+SUM(_xlfn.XLOOKUP($R85:$AF85,增益!$A:$A,增益!$E:$E,0))</f>
        <v>0</v>
      </c>
      <c r="AN85" cm="1">
        <f t="array" ref="AN85">$D$10*(1+$AM85)+VLOOKUP($Q85,武学奇术!$A:$ZZ,3,FALSE)+SUM(_xlfn.XLOOKUP($R85:$AF85,增益!$A:$A,增益!$C:$C,0))-$I$2</f>
        <v>3483.8</v>
      </c>
      <c r="AO85" cm="1">
        <f t="array" ref="AO85">$E$10*(1+$AM85)+VLOOKUP($Q85,武学奇术!$A:$ZZ,4,FALSE)+SUM(_xlfn.XLOOKUP($R85:$AF85,增益!$A:$A,增益!$D:$D,0))-$I$2</f>
        <v>3483.8</v>
      </c>
      <c r="AP85" s="35" cm="1">
        <f t="array" ref="AP85">IF($F$10-$I$3+VLOOKUP($Q85,武学奇术!$A:$ZZ,6,FALSE)+SUM(_xlfn.XLOOKUP(R85:AF85,增益!$A:$A,增益!$F:$F,0))&gt;0,($F$10-$I$3+VLOOKUP($Q85,武学奇术!$A:$ZZ,6,FALSE)+SUM(_xlfn.XLOOKUP(R85:AF85,增益!$A:$A,增益!$F:$F,0)))/200,($F$10-$I$3+VLOOKUP($Q85,武学奇术!$A:$ZZ,6,FALSE)+SUM(_xlfn.XLOOKUP(R85:AF85,增益!$A:$A,增益!$F:$F,0)))/100)</f>
        <v>0.2925</v>
      </c>
      <c r="AQ85" s="35" cm="1">
        <f t="array" ref="AQ85">$G$10+VLOOKUP($Q85,武学奇术!$A:$ZZ,7,FALSE)+SUM(_xlfn.XLOOKUP(R85:AF85,增益!$A:$A,增益!$G:$G,0))</f>
        <v>0.148</v>
      </c>
      <c r="AR85" s="30" cm="1">
        <f t="array" ref="AR85">VLOOKUP($Q85,武学奇术!$A:$ZZ,8,FALSE)+SUM(_xlfn.XLOOKUP(R85:AF85,增益!$A:$A,增益!$H:$H,0))</f>
        <v>0</v>
      </c>
      <c r="AS85">
        <f t="shared" si="13"/>
        <v>0</v>
      </c>
      <c r="AT85">
        <f t="shared" si="14"/>
        <v>0</v>
      </c>
      <c r="AU85" s="35" cm="1">
        <f t="array" ref="AU85">IF($F$11-$I$4+VLOOKUP($Q85,武学奇术!$A:$ZZ,9,FALSE)+SUM(_xlfn.XLOOKUP(R85:AF85,增益!$A:$A,增益!$I:$I,0))&gt;0,($F$11-$I$4+VLOOKUP($Q85,武学奇术!$A:$ZZ,9,FALSE)+SUM(_xlfn.XLOOKUP(R85:AF85,增益!$A:$A,增益!$I:$I,0)))/200,($F$11-$I$4+VLOOKUP($Q85,武学奇术!$A:$ZZ,9,FALSE)+SUM(_xlfn.XLOOKUP(R85:AF85,增益!$A:$A,增益!$I:$I,0)))/100)</f>
        <v>-0.3</v>
      </c>
      <c r="AV85" s="35" cm="1">
        <f t="array" ref="AV85">$G$11+VLOOKUP($Q85,武学奇术!$A:$ZZ,10,FALSE)+SUM(_xlfn.XLOOKUP(R85:AF85,增益!$A:$A,增益!$J:$J,0))</f>
        <v>0</v>
      </c>
      <c r="AW85">
        <f t="shared" si="15"/>
        <v>0</v>
      </c>
      <c r="AX85">
        <f t="shared" si="16"/>
        <v>0</v>
      </c>
      <c r="AY85" s="35" cm="1">
        <f t="array" ref="AY85">IF($F$12-$I$4+VLOOKUP($Q85,武学奇术!$A:$ZZ,11,FALSE)+SUM(_xlfn.XLOOKUP(R85:AF85,增益!$A:$A,增益!$K:$K,0))&gt;0,($F$12-$I$4+VLOOKUP($Q85,武学奇术!$A:$ZZ,11,FALSE)+SUM(_xlfn.XLOOKUP(R85:AF85,增益!$A:$A,增益!$K:$K,0)))/200,($F$12-$I$4+VLOOKUP($Q85,武学奇术!$A:$ZZ,11,FALSE)+SUM(_xlfn.XLOOKUP(R85:AF85,增益!$A:$A,增益!$K:$K,0)))/100)</f>
        <v>-0.3</v>
      </c>
      <c r="AZ85" s="35" cm="1">
        <f t="array" ref="AZ85">$G$12+VLOOKUP($Q85,武学奇术!$A:$ZZ,12,FALSE)+SUM(_xlfn.XLOOKUP(R85:AF85,增益!$A:$A,增益!$L:$L,0))</f>
        <v>0</v>
      </c>
      <c r="BA85">
        <f t="shared" si="17"/>
        <v>0</v>
      </c>
      <c r="BB85">
        <f t="shared" si="18"/>
        <v>0</v>
      </c>
      <c r="BC85" s="35" cm="1">
        <f t="array" ref="BC85">IF($F$13-$I$4+VLOOKUP($Q85,武学奇术!$A:$ZZ,13,FALSE)+SUM(_xlfn.XLOOKUP(R85:AF85,增益!$A:$A,增益!$M:$M,0))&gt;0,($F$13-$I$4+VLOOKUP($Q85,武学奇术!$A:$ZZ,13,FALSE)+SUM(_xlfn.XLOOKUP(R85:AF85,增益!$A:$A,增益!$K:$K,0)))/200,($F$13-$I$4+VLOOKUP($Q85,武学奇术!$A:$ZZ,13,FALSE)+SUM(_xlfn.XLOOKUP(R85:AF85,增益!$A:$A,增益!$M:$M,0)))/100)</f>
        <v>-0.3</v>
      </c>
      <c r="BD85" s="35" cm="1">
        <f t="array" ref="BD85">$G$13+VLOOKUP($Q85,武学奇术!$A:$ZZ,14,FALSE)+SUM(_xlfn.XLOOKUP(R85:AF85,增益!$A:$A,增益!$N:$N,0))</f>
        <v>0</v>
      </c>
      <c r="BE85">
        <f t="shared" si="19"/>
        <v>538</v>
      </c>
      <c r="BF85">
        <f t="shared" si="20"/>
        <v>1561.4</v>
      </c>
      <c r="BG85" s="35" cm="1">
        <f t="array" ref="BG85">IF($F$14-$I$4+VLOOKUP($Q85,武学奇术!$A:$ZZ,15,FALSE)+SUM(_xlfn.XLOOKUP(R85:AF85,增益!$A:$A,增益!$O:$O,0))&gt;0,($F$14-$I$4+VLOOKUP($Q85,武学奇术!$A:$ZZ,15,FALSE)+SUM(_xlfn.XLOOKUP(R85:AF85,增益!$A:$A,增益!$O:$O,0)))/200,($F$14-$I$4+VLOOKUP($Q85,武学奇术!$A:$ZZ,15,FALSE)+SUM(_xlfn.XLOOKUP(R85:AF85,增益!$A:$A,增益!$O:$O,0)))/100)</f>
        <v>0</v>
      </c>
      <c r="BH85" s="35" cm="1">
        <f t="array" ref="BH85">$G$14+VLOOKUP($Q85,武学奇术!$A:$ZZ,16,FALSE)+SUM(_xlfn.XLOOKUP(R85:AF85,增益!$A:$A,增益!$P:$P,0))</f>
        <v>0.27</v>
      </c>
      <c r="BI85" s="30">
        <f>MIN(IF(VLOOKUP($Q85,武学奇术!$A:$ZZ,23,FALSE)=1,100%,$B$8),100%)</f>
        <v>0.9712</v>
      </c>
      <c r="BJ85" s="30" cm="1">
        <f t="array" ref="BJ85">IF(VLOOKUP($Q85,武学奇术!$A:$ZZ,23,FALSE)=1,100%,MIN(80%,$B$9+VLOOKUP($Q85,武学奇术!$A:$ZZ,17,FALSE)+SUM(_xlfn.XLOOKUP(R85:AF85,增益!$A:$A,增益!$Q:$Q,0)))+$B$11+SUM(_xlfn.XLOOKUP(R85:AF85,增益!$A:$A,增益!$U:$U,0)))*IF(VLOOKUP($Q85,武学奇术!$A:$ZZ,24,FALSE)=1,0,1)</f>
        <v>0.8773</v>
      </c>
      <c r="BK85" s="30" cm="1">
        <f t="array" ref="BK85">1+$B$13+VLOOKUP($Q85,武学奇术!$A:$ZZ,18,FALSE)+SUM(_xlfn.XLOOKUP(R85:AF85,增益!$A:$A,增益!$R:$R,0))</f>
        <v>1.87</v>
      </c>
      <c r="BL85" s="30" cm="1">
        <f t="array" ref="BL85">IF(VLOOKUP($Q85,武学奇术!$A:$ZZ,24,FALSE)=1,100%,MIN(40%,$B$10+VLOOKUP($Q85,武学奇术!$A:$ZZ,19,FALSE)+SUM(_xlfn.XLOOKUP(R85:AF85,增益!$A:$A,增益!$S:$S,0)))+$B$12+SUM(_xlfn.XLOOKUP(R85:AF85,增益!$A:$A,增益!$V:$V,0)))*IF(VLOOKUP($Q85,武学奇术!$A:$ZZ,23,FALSE)=1,0,1)</f>
        <v>0.0895</v>
      </c>
      <c r="BM85" s="30" cm="1">
        <f t="array" ref="BM85">1+$B$14+VLOOKUP($Q85,武学奇术!$A:$ZZ,20,FALSE)+SUM(_xlfn.XLOOKUP(R85:AF85,增益!$A:$A,增益!$T:$T,0))</f>
        <v>1.35</v>
      </c>
      <c r="BN85" s="30">
        <f t="shared" si="21"/>
        <v>0.85203376</v>
      </c>
      <c r="BO85" s="30">
        <f t="shared" si="22"/>
        <v>0.03224384</v>
      </c>
      <c r="BP85" s="30">
        <f>IF(VLOOKUP($Q85,武学奇术!$A:$ZZ,22,FALSE)=1,0,(1-$BI85))*(1-$BL85)</f>
        <v>0.0262224</v>
      </c>
      <c r="BQ85" s="30" cm="1">
        <f t="array" ref="BQ85">SUM(_xlfn.XLOOKUP(R85:AF85,增益!$A:$A,增益!$W:$W,0))+$I$5</f>
        <v>0.11</v>
      </c>
    </row>
    <row r="86" spans="1:69">
      <c r="A86" s="4"/>
      <c r="B86" s="4"/>
      <c r="K86" s="41">
        <f t="shared" si="23"/>
        <v>41877.8437889586</v>
      </c>
      <c r="L86" s="41">
        <f>((($AN86+$AO86)/2*$AH86+$AI86)*(1+$AP86)*(1+$AQ86)+(($AS86+$AT86)/2*IF($G$1="鸣金",$AJ86,$AH86)+IF($G$1="鸣金",$AK86*1.5,0))*(1+$AU86)*(1+$AV86)+(($AW86+$AX86)/2*IF($G$1="裂石",$AJ86,$AH86)+IF($G$1="裂石",$AK86*1.5,0))*(1+$AY86)*(1+$AZ86)+(($BA86+$BB86)/2*IF($G$1="牵丝",$AJ86,$AH86)+IF($G$1="牵丝",$AK86*1.5,0))*(1+$BC86)*(1+$BD86)+(($BE86+$BF86)/2*IF($G$1="破竹",$AJ86,$AH86)+IF($G$1="破竹",$AK86*1.5,0))*(1+$BG86)*(1+$BH86))*(1+$AL86)*$BK86*$P86*(1+IF(VLOOKUP($Q86,武学奇术!$A:$ZZ,30,FALSE)="回旋伞",$B$21,0))*(1+$BQ86)</f>
        <v>41877.8437889586</v>
      </c>
      <c r="M86" s="41">
        <f>(($AO86*$AH86+$AI86)*(1+$AP86)*(1+$AQ86)+($AT86*IF($G$1="鸣金",$AJ86,$AH86)+IF($G$1="鸣金",$AK86*1.5,0))*(1+$AU86)*(1+$AV86)+($AX86*IF($G$1="裂石",$AJ86,$AH86)+IF($G$1="裂石",$AK86*1.5,0))*(1+$AY86)*(1+$AZ86)+($BB86*IF($G$1="牵丝",$AJ86,$AH86)+IF($G$1="牵丝",$AK86*1.5,0))*(1+$BC86)*(1+$BD86)+($BF86*IF($G$1="破竹",$AJ86,$AH86)+IF($G$1="破竹",$AK86*1.5,0))*(1+$BG86)*(1+$BH86))*(1+$AL86)*$BM86*$P86*(1+IF(VLOOKUP($Q86,武学奇术!$A:$ZZ,30,FALSE)="回旋伞",$B$21,0))*(1+$BQ86)</f>
        <v>34343.5402133959</v>
      </c>
      <c r="N86" s="41">
        <f>((($AN86+$AO86)/2*$AH86+$AI86)*(1+$AP86)*(1+$AQ86)+(($AS86+$AT86)/2*IF($G$1="鸣金",$AJ86,$AH86)+IF($G$1="鸣金",$AK86*1.5,0))*(1+$AU86)*(1+$AV86)+(($AW86+$AX86)/2*IF($G$1="裂石",$AJ86,$AH86)+IF($G$1="裂石",$AK86*1.5,0))*(1+$AY86)*(1+$AZ86)+(($BA86+$BB86)/2*IF($G$1="牵丝",$AJ86,$AH86)+IF($G$1="牵丝",$AK86*1.5,0))*(1+$BC86)*(1+$BD86)+(($BE86+$BF86)/2*IF($G$1="破竹",$AJ86,$AH86)+IF($G$1="破竹",$AK86*1.5,0))*(1+$BG86)*(1+$BH86))*(1+$AL86)*$P86*(1+IF(VLOOKUP($Q86,武学奇术!$A:$ZZ,30,FALSE)="回旋伞",$B$21,0))*(1+$BQ86)</f>
        <v>22394.5688711008</v>
      </c>
      <c r="O86" s="41">
        <f>((($AN86*$AH86+$AI86)*(1+$AP86)*(1+$AQ86)+($AS86*IF($G$1="鸣金",$AJ86,$AH86)+IF($G$1="鸣金",$AK86*1.5,0))*(1+$AU86)*(1+$AV86)+($AW86*IF($G$1="裂石",$AJ86,$AH86)+IF($G$1="裂石",$AK86*1.5,0))*(1+$AY86)*(1+$AZ86)+($BA86*IF($G$1="牵丝",$AJ86,$AH86)+IF($G$1="牵丝",$AK86*1.5,0))*(1+$BC86)*(1+$BD86)+($BE86*IF($G$1="破竹",$AJ86,$AH86)+IF($G$1="破竹",$AK86*1.5,0))*(1+$BG86)*(1+$BH86))*(1+$AL86))*$P86*(1+IF(VLOOKUP($Q86,武学奇术!$A:$ZZ,30,FALSE)="回旋伞",$B$21,0))*(1+$BQ86)</f>
        <v>19349.4783248713</v>
      </c>
      <c r="P86" s="42">
        <v>2</v>
      </c>
      <c r="Q86" s="43" t="s">
        <v>130</v>
      </c>
      <c r="R86" s="43" t="s">
        <v>105</v>
      </c>
      <c r="S86" s="43" t="s">
        <v>91</v>
      </c>
      <c r="T86" s="43" t="s">
        <v>72</v>
      </c>
      <c r="U86" s="43" t="s">
        <v>71</v>
      </c>
      <c r="V86" s="43" t="s">
        <v>167</v>
      </c>
      <c r="W86" s="43" t="s">
        <v>95</v>
      </c>
      <c r="X86" s="43" t="s">
        <v>71</v>
      </c>
      <c r="Y86" s="43" t="s">
        <v>71</v>
      </c>
      <c r="Z86" s="43" t="s">
        <v>71</v>
      </c>
      <c r="AA86" s="43" t="s">
        <v>116</v>
      </c>
      <c r="AB86" s="43" t="s">
        <v>71</v>
      </c>
      <c r="AC86" s="43" t="s">
        <v>71</v>
      </c>
      <c r="AD86" s="43" t="s">
        <v>71</v>
      </c>
      <c r="AE86" s="43" t="s">
        <v>71</v>
      </c>
      <c r="AF86" s="43" t="s">
        <v>76</v>
      </c>
      <c r="AG86" t="str">
        <f>VLOOKUP($Q86,武学奇术!$A:$ZZ,25,FALSE)</f>
        <v>伞</v>
      </c>
      <c r="AH86" s="30">
        <f>VLOOKUP($Q86,武学奇术!$A:$ZZ,26,FALSE)</f>
        <v>0.54</v>
      </c>
      <c r="AI86" s="31">
        <f>VLOOKUP($Q86,武学奇术!$A:$ZZ,27,FALSE)*(1+IF(OR($AG86=$F$4,$AG86=$F$5),$B$22,0))</f>
        <v>0</v>
      </c>
      <c r="AJ86" s="30">
        <f>VLOOKUP($Q86,武学奇术!$A:$ZZ,28,FALSE)</f>
        <v>0.81</v>
      </c>
      <c r="AK86" s="31">
        <f>VLOOKUP($Q86,武学奇术!$A:$ZZ,29,FALSE)*(1+IF(OR($AG86=$F$4,$AG86=$F$5),$B$22,0))</f>
        <v>0</v>
      </c>
      <c r="AL86" s="30" cm="1">
        <f t="array" ref="AL86">$G$3+IFERROR(VLOOKUP($AG86,$F$4:$G$7,2,FALSE),0)+VLOOKUP($Q86,武学奇术!$A:$ZZ,2,FALSE)+SUM(_xlfn.XLOOKUP($R86:$AF86,增益!$A:$A,增益!$B:$B,0))</f>
        <v>0.9741</v>
      </c>
      <c r="AM86" s="30" cm="1">
        <f t="array" ref="AM86">VLOOKUP($Q86,武学奇术!$A:$ZZ,5,FALSE)+SUM(_xlfn.XLOOKUP($R86:$AF86,增益!$A:$A,增益!$E:$E,0))</f>
        <v>0</v>
      </c>
      <c r="AN86" cm="1">
        <f t="array" ref="AN86">$D$10*(1+$AM86)+VLOOKUP($Q86,武学奇术!$A:$ZZ,3,FALSE)+SUM(_xlfn.XLOOKUP($R86:$AF86,增益!$A:$A,增益!$C:$C,0))-$I$2</f>
        <v>3483.8</v>
      </c>
      <c r="AO86" cm="1">
        <f t="array" ref="AO86">$E$10*(1+$AM86)+VLOOKUP($Q86,武学奇术!$A:$ZZ,4,FALSE)+SUM(_xlfn.XLOOKUP($R86:$AF86,增益!$A:$A,增益!$D:$D,0))-$I$2</f>
        <v>3483.8</v>
      </c>
      <c r="AP86" s="35" cm="1">
        <f t="array" ref="AP86">IF($F$10-$I$3+VLOOKUP($Q86,武学奇术!$A:$ZZ,6,FALSE)+SUM(_xlfn.XLOOKUP(R86:AF86,增益!$A:$A,增益!$F:$F,0))&gt;0,($F$10-$I$3+VLOOKUP($Q86,武学奇术!$A:$ZZ,6,FALSE)+SUM(_xlfn.XLOOKUP(R86:AF86,增益!$A:$A,增益!$F:$F,0)))/200,($F$10-$I$3+VLOOKUP($Q86,武学奇术!$A:$ZZ,6,FALSE)+SUM(_xlfn.XLOOKUP(R86:AF86,增益!$A:$A,增益!$F:$F,0)))/100)</f>
        <v>0.2925</v>
      </c>
      <c r="AQ86" s="35" cm="1">
        <f t="array" ref="AQ86">$G$10+VLOOKUP($Q86,武学奇术!$A:$ZZ,7,FALSE)+SUM(_xlfn.XLOOKUP(R86:AF86,增益!$A:$A,增益!$G:$G,0))</f>
        <v>0.148</v>
      </c>
      <c r="AR86" s="30" cm="1">
        <f t="array" ref="AR86">VLOOKUP($Q86,武学奇术!$A:$ZZ,8,FALSE)+SUM(_xlfn.XLOOKUP(R86:AF86,增益!$A:$A,增益!$H:$H,0))</f>
        <v>0</v>
      </c>
      <c r="AS86">
        <f t="shared" si="13"/>
        <v>0</v>
      </c>
      <c r="AT86">
        <f t="shared" si="14"/>
        <v>0</v>
      </c>
      <c r="AU86" s="35" cm="1">
        <f t="array" ref="AU86">IF($F$11-$I$4+VLOOKUP($Q86,武学奇术!$A:$ZZ,9,FALSE)+SUM(_xlfn.XLOOKUP(R86:AF86,增益!$A:$A,增益!$I:$I,0))&gt;0,($F$11-$I$4+VLOOKUP($Q86,武学奇术!$A:$ZZ,9,FALSE)+SUM(_xlfn.XLOOKUP(R86:AF86,增益!$A:$A,增益!$I:$I,0)))/200,($F$11-$I$4+VLOOKUP($Q86,武学奇术!$A:$ZZ,9,FALSE)+SUM(_xlfn.XLOOKUP(R86:AF86,增益!$A:$A,增益!$I:$I,0)))/100)</f>
        <v>-0.3</v>
      </c>
      <c r="AV86" s="35" cm="1">
        <f t="array" ref="AV86">$G$11+VLOOKUP($Q86,武学奇术!$A:$ZZ,10,FALSE)+SUM(_xlfn.XLOOKUP(R86:AF86,增益!$A:$A,增益!$J:$J,0))</f>
        <v>0</v>
      </c>
      <c r="AW86">
        <f t="shared" si="15"/>
        <v>0</v>
      </c>
      <c r="AX86">
        <f t="shared" si="16"/>
        <v>0</v>
      </c>
      <c r="AY86" s="35" cm="1">
        <f t="array" ref="AY86">IF($F$12-$I$4+VLOOKUP($Q86,武学奇术!$A:$ZZ,11,FALSE)+SUM(_xlfn.XLOOKUP(R86:AF86,增益!$A:$A,增益!$K:$K,0))&gt;0,($F$12-$I$4+VLOOKUP($Q86,武学奇术!$A:$ZZ,11,FALSE)+SUM(_xlfn.XLOOKUP(R86:AF86,增益!$A:$A,增益!$K:$K,0)))/200,($F$12-$I$4+VLOOKUP($Q86,武学奇术!$A:$ZZ,11,FALSE)+SUM(_xlfn.XLOOKUP(R86:AF86,增益!$A:$A,增益!$K:$K,0)))/100)</f>
        <v>-0.3</v>
      </c>
      <c r="AZ86" s="35" cm="1">
        <f t="array" ref="AZ86">$G$12+VLOOKUP($Q86,武学奇术!$A:$ZZ,12,FALSE)+SUM(_xlfn.XLOOKUP(R86:AF86,增益!$A:$A,增益!$L:$L,0))</f>
        <v>0</v>
      </c>
      <c r="BA86">
        <f t="shared" si="17"/>
        <v>0</v>
      </c>
      <c r="BB86">
        <f t="shared" si="18"/>
        <v>0</v>
      </c>
      <c r="BC86" s="35" cm="1">
        <f t="array" ref="BC86">IF($F$13-$I$4+VLOOKUP($Q86,武学奇术!$A:$ZZ,13,FALSE)+SUM(_xlfn.XLOOKUP(R86:AF86,增益!$A:$A,增益!$M:$M,0))&gt;0,($F$13-$I$4+VLOOKUP($Q86,武学奇术!$A:$ZZ,13,FALSE)+SUM(_xlfn.XLOOKUP(R86:AF86,增益!$A:$A,增益!$K:$K,0)))/200,($F$13-$I$4+VLOOKUP($Q86,武学奇术!$A:$ZZ,13,FALSE)+SUM(_xlfn.XLOOKUP(R86:AF86,增益!$A:$A,增益!$M:$M,0)))/100)</f>
        <v>-0.3</v>
      </c>
      <c r="BD86" s="35" cm="1">
        <f t="array" ref="BD86">$G$13+VLOOKUP($Q86,武学奇术!$A:$ZZ,14,FALSE)+SUM(_xlfn.XLOOKUP(R86:AF86,增益!$A:$A,增益!$N:$N,0))</f>
        <v>0</v>
      </c>
      <c r="BE86">
        <f t="shared" si="19"/>
        <v>538</v>
      </c>
      <c r="BF86">
        <f t="shared" si="20"/>
        <v>1561.4</v>
      </c>
      <c r="BG86" s="35" cm="1">
        <f t="array" ref="BG86">IF($F$14-$I$4+VLOOKUP($Q86,武学奇术!$A:$ZZ,15,FALSE)+SUM(_xlfn.XLOOKUP(R86:AF86,增益!$A:$A,增益!$O:$O,0))&gt;0,($F$14-$I$4+VLOOKUP($Q86,武学奇术!$A:$ZZ,15,FALSE)+SUM(_xlfn.XLOOKUP(R86:AF86,增益!$A:$A,增益!$O:$O,0)))/200,($F$14-$I$4+VLOOKUP($Q86,武学奇术!$A:$ZZ,15,FALSE)+SUM(_xlfn.XLOOKUP(R86:AF86,增益!$A:$A,增益!$O:$O,0)))/100)</f>
        <v>0</v>
      </c>
      <c r="BH86" s="35" cm="1">
        <f t="array" ref="BH86">$G$14+VLOOKUP($Q86,武学奇术!$A:$ZZ,16,FALSE)+SUM(_xlfn.XLOOKUP(R86:AF86,增益!$A:$A,增益!$P:$P,0))</f>
        <v>0.27</v>
      </c>
      <c r="BI86" s="30">
        <f>MIN(IF(VLOOKUP($Q86,武学奇术!$A:$ZZ,23,FALSE)=1,100%,$B$8),100%)</f>
        <v>1</v>
      </c>
      <c r="BJ86" s="30" cm="1">
        <f t="array" ref="BJ86">IF(VLOOKUP($Q86,武学奇术!$A:$ZZ,23,FALSE)=1,100%,MIN(80%,$B$9+VLOOKUP($Q86,武学奇术!$A:$ZZ,17,FALSE)+SUM(_xlfn.XLOOKUP(R86:AF86,增益!$A:$A,增益!$Q:$Q,0)))+$B$11+SUM(_xlfn.XLOOKUP(R86:AF86,增益!$A:$A,增益!$U:$U,0)))*IF(VLOOKUP($Q86,武学奇术!$A:$ZZ,24,FALSE)=1,0,1)</f>
        <v>1</v>
      </c>
      <c r="BK86" s="30" cm="1">
        <f t="array" ref="BK86">1+$B$13+VLOOKUP($Q86,武学奇术!$A:$ZZ,18,FALSE)+SUM(_xlfn.XLOOKUP(R86:AF86,增益!$A:$A,增益!$R:$R,0))</f>
        <v>1.87</v>
      </c>
      <c r="BL86" s="30" cm="1">
        <f t="array" ref="BL86">IF(VLOOKUP($Q86,武学奇术!$A:$ZZ,24,FALSE)=1,100%,MIN(40%,$B$10+VLOOKUP($Q86,武学奇术!$A:$ZZ,19,FALSE)+SUM(_xlfn.XLOOKUP(R86:AF86,增益!$A:$A,增益!$S:$S,0)))+$B$12+SUM(_xlfn.XLOOKUP(R86:AF86,增益!$A:$A,增益!$V:$V,0)))*IF(VLOOKUP($Q86,武学奇术!$A:$ZZ,23,FALSE)=1,0,1)</f>
        <v>0</v>
      </c>
      <c r="BM86" s="30" cm="1">
        <f t="array" ref="BM86">1+$B$14+VLOOKUP($Q86,武学奇术!$A:$ZZ,20,FALSE)+SUM(_xlfn.XLOOKUP(R86:AF86,增益!$A:$A,增益!$T:$T,0))</f>
        <v>1.35</v>
      </c>
      <c r="BN86" s="30">
        <f t="shared" si="21"/>
        <v>1</v>
      </c>
      <c r="BO86" s="30">
        <f t="shared" si="22"/>
        <v>0</v>
      </c>
      <c r="BP86" s="30">
        <f>IF(VLOOKUP($Q86,武学奇术!$A:$ZZ,22,FALSE)=1,0,(1-$BI86))*(1-$BL86)</f>
        <v>0</v>
      </c>
      <c r="BQ86" s="30" cm="1">
        <f t="array" ref="BQ86">SUM(_xlfn.XLOOKUP(R86:AF86,增益!$A:$A,增益!$W:$W,0))+$I$5</f>
        <v>0.11</v>
      </c>
    </row>
    <row r="87" spans="1:69">
      <c r="K87" s="41">
        <f t="shared" si="23"/>
        <v>215601.869005433</v>
      </c>
      <c r="L87" s="41">
        <f>((($AN87+$AO87)/2*$AH87+$AI87)*(1+$AP87)*(1+$AQ87)+(($AS87+$AT87)/2*IF($G$1="鸣金",$AJ87,$AH87)+IF($G$1="鸣金",$AK87*1.5,0))*(1+$AU87)*(1+$AV87)+(($AW87+$AX87)/2*IF($G$1="裂石",$AJ87,$AH87)+IF($G$1="裂石",$AK87*1.5,0))*(1+$AY87)*(1+$AZ87)+(($BA87+$BB87)/2*IF($G$1="牵丝",$AJ87,$AH87)+IF($G$1="牵丝",$AK87*1.5,0))*(1+$BC87)*(1+$BD87)+(($BE87+$BF87)/2*IF($G$1="破竹",$AJ87,$AH87)+IF($G$1="破竹",$AK87*1.5,0))*(1+$BG87)*(1+$BH87))*(1+$AL87)*$BK87*$P87*(1+IF(VLOOKUP($Q87,武学奇术!$A:$ZZ,30,FALSE)="回旋伞",$B$21,0))*(1+$BQ87)</f>
        <v>225810.696517881</v>
      </c>
      <c r="M87" s="41">
        <f>(($AO87*$AH87+$AI87)*(1+$AP87)*(1+$AQ87)+($AT87*IF($G$1="鸣金",$AJ87,$AH87)+IF($G$1="鸣金",$AK87*1.5,0))*(1+$AU87)*(1+$AV87)+($AX87*IF($G$1="裂石",$AJ87,$AH87)+IF($G$1="裂石",$AK87*1.5,0))*(1+$AY87)*(1+$AZ87)+($BB87*IF($G$1="牵丝",$AJ87,$AH87)+IF($G$1="牵丝",$AK87*1.5,0))*(1+$BC87)*(1+$BD87)+($BF87*IF($G$1="破竹",$AJ87,$AH87)+IF($G$1="破竹",$AK87*1.5,0))*(1+$BG87)*(1+$BH87))*(1+$AL87)*$BM87*$P87*(1+IF(VLOOKUP($Q87,武学奇术!$A:$ZZ,30,FALSE)="回旋伞",$B$21,0))*(1+$BQ87)</f>
        <v>185184.76680792</v>
      </c>
      <c r="N87" s="41">
        <f>((($AN87+$AO87)/2*$AH87+$AI87)*(1+$AP87)*(1+$AQ87)+(($AS87+$AT87)/2*IF($G$1="鸣金",$AJ87,$AH87)+IF($G$1="鸣金",$AK87*1.5,0))*(1+$AU87)*(1+$AV87)+(($AW87+$AX87)/2*IF($G$1="裂石",$AJ87,$AH87)+IF($G$1="裂石",$AK87*1.5,0))*(1+$AY87)*(1+$AZ87)+(($BA87+$BB87)/2*IF($G$1="牵丝",$AJ87,$AH87)+IF($G$1="牵丝",$AK87*1.5,0))*(1+$BC87)*(1+$BD87)+(($BE87+$BF87)/2*IF($G$1="破竹",$AJ87,$AH87)+IF($G$1="破竹",$AK87*1.5,0))*(1+$BG87)*(1+$BH87))*(1+$AL87)*$P87*(1+IF(VLOOKUP($Q87,武学奇术!$A:$ZZ,30,FALSE)="回旋伞",$B$21,0))*(1+$BQ87)</f>
        <v>120754.383164642</v>
      </c>
      <c r="O87" s="41">
        <f>((($AN87*$AH87+$AI87)*(1+$AP87)*(1+$AQ87)+($AS87*IF($G$1="鸣金",$AJ87,$AH87)+IF($G$1="鸣金",$AK87*1.5,0))*(1+$AU87)*(1+$AV87)+($AW87*IF($G$1="裂石",$AJ87,$AH87)+IF($G$1="裂石",$AK87*1.5,0))*(1+$AY87)*(1+$AZ87)+($BA87*IF($G$1="牵丝",$AJ87,$AH87)+IF($G$1="牵丝",$AK87*1.5,0))*(1+$BC87)*(1+$BD87)+($BE87*IF($G$1="破竹",$AJ87,$AH87)+IF($G$1="破竹",$AK87*1.5,0))*(1+$BG87)*(1+$BH87))*(1+$AL87))*$P87*(1+IF(VLOOKUP($Q87,武学奇术!$A:$ZZ,30,FALSE)="回旋伞",$B$21,0))*(1+$BQ87)</f>
        <v>104334.864990084</v>
      </c>
      <c r="P87" s="42">
        <v>12</v>
      </c>
      <c r="Q87" s="43" t="s">
        <v>120</v>
      </c>
      <c r="R87" s="43" t="s">
        <v>105</v>
      </c>
      <c r="S87" s="43" t="s">
        <v>91</v>
      </c>
      <c r="T87" s="43" t="s">
        <v>72</v>
      </c>
      <c r="U87" s="43" t="s">
        <v>71</v>
      </c>
      <c r="V87" s="43" t="s">
        <v>167</v>
      </c>
      <c r="W87" s="43" t="s">
        <v>95</v>
      </c>
      <c r="X87" s="43" t="s">
        <v>71</v>
      </c>
      <c r="Y87" s="43" t="s">
        <v>71</v>
      </c>
      <c r="Z87" s="43" t="s">
        <v>71</v>
      </c>
      <c r="AA87" s="43" t="s">
        <v>116</v>
      </c>
      <c r="AB87" s="43" t="s">
        <v>71</v>
      </c>
      <c r="AC87" s="43" t="s">
        <v>71</v>
      </c>
      <c r="AD87" s="43" t="s">
        <v>71</v>
      </c>
      <c r="AE87" s="43" t="s">
        <v>71</v>
      </c>
      <c r="AF87" s="43" t="s">
        <v>76</v>
      </c>
      <c r="AG87" t="str">
        <f>VLOOKUP($Q87,武学奇术!$A:$ZZ,25,FALSE)</f>
        <v>伞</v>
      </c>
      <c r="AH87" s="30">
        <f>VLOOKUP($Q87,武学奇术!$A:$ZZ,26,FALSE)</f>
        <v>0.54</v>
      </c>
      <c r="AI87" s="31">
        <f>VLOOKUP($Q87,武学奇术!$A:$ZZ,27,FALSE)*(1+IF(OR($AG87=$F$4,$AG87=$F$5),$B$22,0))</f>
        <v>0</v>
      </c>
      <c r="AJ87" s="30">
        <f>VLOOKUP($Q87,武学奇术!$A:$ZZ,28,FALSE)</f>
        <v>0.81</v>
      </c>
      <c r="AK87" s="31">
        <f>VLOOKUP($Q87,武学奇术!$A:$ZZ,29,FALSE)*(1+IF(OR($AG87=$F$4,$AG87=$F$5),$B$22,0))</f>
        <v>0</v>
      </c>
      <c r="AL87" s="30" cm="1">
        <f t="array" ref="AL87">$G$3+IFERROR(VLOOKUP($AG87,$F$4:$G$7,2,FALSE),0)+VLOOKUP($Q87,武学奇术!$A:$ZZ,2,FALSE)+SUM(_xlfn.XLOOKUP($R87:$AF87,增益!$A:$A,增益!$B:$B,0))</f>
        <v>0.7741</v>
      </c>
      <c r="AM87" s="30" cm="1">
        <f t="array" ref="AM87">VLOOKUP($Q87,武学奇术!$A:$ZZ,5,FALSE)+SUM(_xlfn.XLOOKUP($R87:$AF87,增益!$A:$A,增益!$E:$E,0))</f>
        <v>0</v>
      </c>
      <c r="AN87" cm="1">
        <f t="array" ref="AN87">$D$10*(1+$AM87)+VLOOKUP($Q87,武学奇术!$A:$ZZ,3,FALSE)+SUM(_xlfn.XLOOKUP($R87:$AF87,增益!$A:$A,增益!$C:$C,0))-$I$2</f>
        <v>3483.8</v>
      </c>
      <c r="AO87" cm="1">
        <f t="array" ref="AO87">$E$10*(1+$AM87)+VLOOKUP($Q87,武学奇术!$A:$ZZ,4,FALSE)+SUM(_xlfn.XLOOKUP($R87:$AF87,增益!$A:$A,增益!$D:$D,0))-$I$2</f>
        <v>3483.8</v>
      </c>
      <c r="AP87" s="35" cm="1">
        <f t="array" ref="AP87">IF($F$10-$I$3+VLOOKUP($Q87,武学奇术!$A:$ZZ,6,FALSE)+SUM(_xlfn.XLOOKUP(R87:AF87,增益!$A:$A,增益!$F:$F,0))&gt;0,($F$10-$I$3+VLOOKUP($Q87,武学奇术!$A:$ZZ,6,FALSE)+SUM(_xlfn.XLOOKUP(R87:AF87,增益!$A:$A,增益!$F:$F,0)))/200,($F$10-$I$3+VLOOKUP($Q87,武学奇术!$A:$ZZ,6,FALSE)+SUM(_xlfn.XLOOKUP(R87:AF87,增益!$A:$A,增益!$F:$F,0)))/100)</f>
        <v>0.2925</v>
      </c>
      <c r="AQ87" s="35" cm="1">
        <f t="array" ref="AQ87">$G$10+VLOOKUP($Q87,武学奇术!$A:$ZZ,7,FALSE)+SUM(_xlfn.XLOOKUP(R87:AF87,增益!$A:$A,增益!$G:$G,0))</f>
        <v>0.148</v>
      </c>
      <c r="AR87" s="30" cm="1">
        <f t="array" ref="AR87">VLOOKUP($Q87,武学奇术!$A:$ZZ,8,FALSE)+SUM(_xlfn.XLOOKUP(R87:AF87,增益!$A:$A,增益!$H:$H,0))</f>
        <v>0</v>
      </c>
      <c r="AS87">
        <f t="shared" si="13"/>
        <v>0</v>
      </c>
      <c r="AT87">
        <f t="shared" si="14"/>
        <v>0</v>
      </c>
      <c r="AU87" s="35" cm="1">
        <f t="array" ref="AU87">IF($F$11-$I$4+VLOOKUP($Q87,武学奇术!$A:$ZZ,9,FALSE)+SUM(_xlfn.XLOOKUP(R87:AF87,增益!$A:$A,增益!$I:$I,0))&gt;0,($F$11-$I$4+VLOOKUP($Q87,武学奇术!$A:$ZZ,9,FALSE)+SUM(_xlfn.XLOOKUP(R87:AF87,增益!$A:$A,增益!$I:$I,0)))/200,($F$11-$I$4+VLOOKUP($Q87,武学奇术!$A:$ZZ,9,FALSE)+SUM(_xlfn.XLOOKUP(R87:AF87,增益!$A:$A,增益!$I:$I,0)))/100)</f>
        <v>-0.3</v>
      </c>
      <c r="AV87" s="35" cm="1">
        <f t="array" ref="AV87">$G$11+VLOOKUP($Q87,武学奇术!$A:$ZZ,10,FALSE)+SUM(_xlfn.XLOOKUP(R87:AF87,增益!$A:$A,增益!$J:$J,0))</f>
        <v>0</v>
      </c>
      <c r="AW87">
        <f t="shared" si="15"/>
        <v>0</v>
      </c>
      <c r="AX87">
        <f t="shared" si="16"/>
        <v>0</v>
      </c>
      <c r="AY87" s="35" cm="1">
        <f t="array" ref="AY87">IF($F$12-$I$4+VLOOKUP($Q87,武学奇术!$A:$ZZ,11,FALSE)+SUM(_xlfn.XLOOKUP(R87:AF87,增益!$A:$A,增益!$K:$K,0))&gt;0,($F$12-$I$4+VLOOKUP($Q87,武学奇术!$A:$ZZ,11,FALSE)+SUM(_xlfn.XLOOKUP(R87:AF87,增益!$A:$A,增益!$K:$K,0)))/200,($F$12-$I$4+VLOOKUP($Q87,武学奇术!$A:$ZZ,11,FALSE)+SUM(_xlfn.XLOOKUP(R87:AF87,增益!$A:$A,增益!$K:$K,0)))/100)</f>
        <v>-0.3</v>
      </c>
      <c r="AZ87" s="35" cm="1">
        <f t="array" ref="AZ87">$G$12+VLOOKUP($Q87,武学奇术!$A:$ZZ,12,FALSE)+SUM(_xlfn.XLOOKUP(R87:AF87,增益!$A:$A,增益!$L:$L,0))</f>
        <v>0</v>
      </c>
      <c r="BA87">
        <f t="shared" si="17"/>
        <v>0</v>
      </c>
      <c r="BB87">
        <f t="shared" si="18"/>
        <v>0</v>
      </c>
      <c r="BC87" s="35" cm="1">
        <f t="array" ref="BC87">IF($F$13-$I$4+VLOOKUP($Q87,武学奇术!$A:$ZZ,13,FALSE)+SUM(_xlfn.XLOOKUP(R87:AF87,增益!$A:$A,增益!$M:$M,0))&gt;0,($F$13-$I$4+VLOOKUP($Q87,武学奇术!$A:$ZZ,13,FALSE)+SUM(_xlfn.XLOOKUP(R87:AF87,增益!$A:$A,增益!$K:$K,0)))/200,($F$13-$I$4+VLOOKUP($Q87,武学奇术!$A:$ZZ,13,FALSE)+SUM(_xlfn.XLOOKUP(R87:AF87,增益!$A:$A,增益!$M:$M,0)))/100)</f>
        <v>-0.3</v>
      </c>
      <c r="BD87" s="35" cm="1">
        <f t="array" ref="BD87">$G$13+VLOOKUP($Q87,武学奇术!$A:$ZZ,14,FALSE)+SUM(_xlfn.XLOOKUP(R87:AF87,增益!$A:$A,增益!$N:$N,0))</f>
        <v>0</v>
      </c>
      <c r="BE87">
        <f t="shared" si="19"/>
        <v>538</v>
      </c>
      <c r="BF87">
        <f t="shared" si="20"/>
        <v>1561.4</v>
      </c>
      <c r="BG87" s="35" cm="1">
        <f t="array" ref="BG87">IF($F$14-$I$4+VLOOKUP($Q87,武学奇术!$A:$ZZ,15,FALSE)+SUM(_xlfn.XLOOKUP(R87:AF87,增益!$A:$A,增益!$O:$O,0))&gt;0,($F$14-$I$4+VLOOKUP($Q87,武学奇术!$A:$ZZ,15,FALSE)+SUM(_xlfn.XLOOKUP(R87:AF87,增益!$A:$A,增益!$O:$O,0)))/200,($F$14-$I$4+VLOOKUP($Q87,武学奇术!$A:$ZZ,15,FALSE)+SUM(_xlfn.XLOOKUP(R87:AF87,增益!$A:$A,增益!$O:$O,0)))/100)</f>
        <v>0</v>
      </c>
      <c r="BH87" s="35" cm="1">
        <f t="array" ref="BH87">$G$14+VLOOKUP($Q87,武学奇术!$A:$ZZ,16,FALSE)+SUM(_xlfn.XLOOKUP(R87:AF87,增益!$A:$A,增益!$P:$P,0))</f>
        <v>0.27</v>
      </c>
      <c r="BI87" s="30">
        <f>MIN(IF(VLOOKUP($Q87,武学奇术!$A:$ZZ,23,FALSE)=1,100%,$B$8),100%)</f>
        <v>0.9712</v>
      </c>
      <c r="BJ87" s="30" cm="1">
        <f t="array" ref="BJ87">IF(VLOOKUP($Q87,武学奇术!$A:$ZZ,23,FALSE)=1,100%,MIN(80%,$B$9+VLOOKUP($Q87,武学奇术!$A:$ZZ,17,FALSE)+SUM(_xlfn.XLOOKUP(R87:AF87,增益!$A:$A,增益!$Q:$Q,0)))+$B$11+SUM(_xlfn.XLOOKUP(R87:AF87,增益!$A:$A,增益!$U:$U,0)))*IF(VLOOKUP($Q87,武学奇术!$A:$ZZ,24,FALSE)=1,0,1)</f>
        <v>0.8773</v>
      </c>
      <c r="BK87" s="30" cm="1">
        <f t="array" ref="BK87">1+$B$13+VLOOKUP($Q87,武学奇术!$A:$ZZ,18,FALSE)+SUM(_xlfn.XLOOKUP(R87:AF87,增益!$A:$A,增益!$R:$R,0))</f>
        <v>1.87</v>
      </c>
      <c r="BL87" s="30" cm="1">
        <f t="array" ref="BL87">IF(VLOOKUP($Q87,武学奇术!$A:$ZZ,24,FALSE)=1,100%,MIN(40%,$B$10+VLOOKUP($Q87,武学奇术!$A:$ZZ,19,FALSE)+SUM(_xlfn.XLOOKUP(R87:AF87,增益!$A:$A,增益!$S:$S,0)))+$B$12+SUM(_xlfn.XLOOKUP(R87:AF87,增益!$A:$A,增益!$V:$V,0)))*IF(VLOOKUP($Q87,武学奇术!$A:$ZZ,23,FALSE)=1,0,1)</f>
        <v>0.0895</v>
      </c>
      <c r="BM87" s="30" cm="1">
        <f t="array" ref="BM87">1+$B$14+VLOOKUP($Q87,武学奇术!$A:$ZZ,20,FALSE)+SUM(_xlfn.XLOOKUP(R87:AF87,增益!$A:$A,增益!$T:$T,0))</f>
        <v>1.35</v>
      </c>
      <c r="BN87" s="30">
        <f t="shared" si="21"/>
        <v>0.85203376</v>
      </c>
      <c r="BO87" s="30">
        <f t="shared" si="22"/>
        <v>0.03224384</v>
      </c>
      <c r="BP87" s="30">
        <f>IF(VLOOKUP($Q87,武学奇术!$A:$ZZ,22,FALSE)=1,0,(1-$BI87))*(1-$BL87)</f>
        <v>0.0262224</v>
      </c>
      <c r="BQ87" s="30" cm="1">
        <f t="array" ref="BQ87">SUM(_xlfn.XLOOKUP(R87:AF87,增益!$A:$A,增益!$W:$W,0))+$I$5</f>
        <v>0.11</v>
      </c>
    </row>
    <row r="88" spans="1:69">
      <c r="K88" s="41">
        <f t="shared" si="23"/>
        <v>104694.609472396</v>
      </c>
      <c r="L88" s="41">
        <f>((($AN88+$AO88)/2*$AH88+$AI88)*(1+$AP88)*(1+$AQ88)+(($AS88+$AT88)/2*IF($G$1="鸣金",$AJ88,$AH88)+IF($G$1="鸣金",$AK88*1.5,0))*(1+$AU88)*(1+$AV88)+(($AW88+$AX88)/2*IF($G$1="裂石",$AJ88,$AH88)+IF($G$1="裂石",$AK88*1.5,0))*(1+$AY88)*(1+$AZ88)+(($BA88+$BB88)/2*IF($G$1="牵丝",$AJ88,$AH88)+IF($G$1="牵丝",$AK88*1.5,0))*(1+$BC88)*(1+$BD88)+(($BE88+$BF88)/2*IF($G$1="破竹",$AJ88,$AH88)+IF($G$1="破竹",$AK88*1.5,0))*(1+$BG88)*(1+$BH88))*(1+$AL88)*$BK88*$P88*(1+IF(VLOOKUP($Q88,武学奇术!$A:$ZZ,30,FALSE)="回旋伞",$B$21,0))*(1+$BQ88)</f>
        <v>104694.609472396</v>
      </c>
      <c r="M88" s="41">
        <f>(($AO88*$AH88+$AI88)*(1+$AP88)*(1+$AQ88)+($AT88*IF($G$1="鸣金",$AJ88,$AH88)+IF($G$1="鸣金",$AK88*1.5,0))*(1+$AU88)*(1+$AV88)+($AX88*IF($G$1="裂石",$AJ88,$AH88)+IF($G$1="裂石",$AK88*1.5,0))*(1+$AY88)*(1+$AZ88)+($BB88*IF($G$1="牵丝",$AJ88,$AH88)+IF($G$1="牵丝",$AK88*1.5,0))*(1+$BC88)*(1+$BD88)+($BF88*IF($G$1="破竹",$AJ88,$AH88)+IF($G$1="破竹",$AK88*1.5,0))*(1+$BG88)*(1+$BH88))*(1+$AL88)*$BM88*$P88*(1+IF(VLOOKUP($Q88,武学奇术!$A:$ZZ,30,FALSE)="回旋伞",$B$21,0))*(1+$BQ88)</f>
        <v>85858.8505334898</v>
      </c>
      <c r="N88" s="41">
        <f>((($AN88+$AO88)/2*$AH88+$AI88)*(1+$AP88)*(1+$AQ88)+(($AS88+$AT88)/2*IF($G$1="鸣金",$AJ88,$AH88)+IF($G$1="鸣金",$AK88*1.5,0))*(1+$AU88)*(1+$AV88)+(($AW88+$AX88)/2*IF($G$1="裂石",$AJ88,$AH88)+IF($G$1="裂石",$AK88*1.5,0))*(1+$AY88)*(1+$AZ88)+(($BA88+$BB88)/2*IF($G$1="牵丝",$AJ88,$AH88)+IF($G$1="牵丝",$AK88*1.5,0))*(1+$BC88)*(1+$BD88)+(($BE88+$BF88)/2*IF($G$1="破竹",$AJ88,$AH88)+IF($G$1="破竹",$AK88*1.5,0))*(1+$BG88)*(1+$BH88))*(1+$AL88)*$P88*(1+IF(VLOOKUP($Q88,武学奇术!$A:$ZZ,30,FALSE)="回旋伞",$B$21,0))*(1+$BQ88)</f>
        <v>55986.4221777521</v>
      </c>
      <c r="O88" s="41">
        <f>((($AN88*$AH88+$AI88)*(1+$AP88)*(1+$AQ88)+($AS88*IF($G$1="鸣金",$AJ88,$AH88)+IF($G$1="鸣金",$AK88*1.5,0))*(1+$AU88)*(1+$AV88)+($AW88*IF($G$1="裂石",$AJ88,$AH88)+IF($G$1="裂石",$AK88*1.5,0))*(1+$AY88)*(1+$AZ88)+($BA88*IF($G$1="牵丝",$AJ88,$AH88)+IF($G$1="牵丝",$AK88*1.5,0))*(1+$BC88)*(1+$BD88)+($BE88*IF($G$1="破竹",$AJ88,$AH88)+IF($G$1="破竹",$AK88*1.5,0))*(1+$BG88)*(1+$BH88))*(1+$AL88))*$P88*(1+IF(VLOOKUP($Q88,武学奇术!$A:$ZZ,30,FALSE)="回旋伞",$B$21,0))*(1+$BQ88)</f>
        <v>48373.6958121784</v>
      </c>
      <c r="P88" s="42">
        <v>5</v>
      </c>
      <c r="Q88" s="43" t="s">
        <v>130</v>
      </c>
      <c r="R88" s="43" t="s">
        <v>105</v>
      </c>
      <c r="S88" s="43" t="s">
        <v>91</v>
      </c>
      <c r="T88" s="43" t="s">
        <v>72</v>
      </c>
      <c r="U88" s="43" t="s">
        <v>71</v>
      </c>
      <c r="V88" s="43" t="s">
        <v>167</v>
      </c>
      <c r="W88" s="43" t="s">
        <v>95</v>
      </c>
      <c r="X88" s="43" t="s">
        <v>71</v>
      </c>
      <c r="Y88" s="43" t="s">
        <v>71</v>
      </c>
      <c r="Z88" s="43" t="s">
        <v>71</v>
      </c>
      <c r="AA88" s="43" t="s">
        <v>116</v>
      </c>
      <c r="AB88" s="43" t="s">
        <v>71</v>
      </c>
      <c r="AC88" s="43" t="s">
        <v>71</v>
      </c>
      <c r="AD88" s="43" t="s">
        <v>71</v>
      </c>
      <c r="AE88" s="43" t="s">
        <v>71</v>
      </c>
      <c r="AF88" s="43" t="s">
        <v>76</v>
      </c>
      <c r="AG88" t="str">
        <f>VLOOKUP($Q88,武学奇术!$A:$ZZ,25,FALSE)</f>
        <v>伞</v>
      </c>
      <c r="AH88" s="30">
        <f>VLOOKUP($Q88,武学奇术!$A:$ZZ,26,FALSE)</f>
        <v>0.54</v>
      </c>
      <c r="AI88" s="31">
        <f>VLOOKUP($Q88,武学奇术!$A:$ZZ,27,FALSE)*(1+IF(OR($AG88=$F$4,$AG88=$F$5),$B$22,0))</f>
        <v>0</v>
      </c>
      <c r="AJ88" s="30">
        <f>VLOOKUP($Q88,武学奇术!$A:$ZZ,28,FALSE)</f>
        <v>0.81</v>
      </c>
      <c r="AK88" s="31">
        <f>VLOOKUP($Q88,武学奇术!$A:$ZZ,29,FALSE)*(1+IF(OR($AG88=$F$4,$AG88=$F$5),$B$22,0))</f>
        <v>0</v>
      </c>
      <c r="AL88" s="30" cm="1">
        <f t="array" ref="AL88">$G$3+IFERROR(VLOOKUP($AG88,$F$4:$G$7,2,FALSE),0)+VLOOKUP($Q88,武学奇术!$A:$ZZ,2,FALSE)+SUM(_xlfn.XLOOKUP($R88:$AF88,增益!$A:$A,增益!$B:$B,0))</f>
        <v>0.9741</v>
      </c>
      <c r="AM88" s="30" cm="1">
        <f t="array" ref="AM88">VLOOKUP($Q88,武学奇术!$A:$ZZ,5,FALSE)+SUM(_xlfn.XLOOKUP($R88:$AF88,增益!$A:$A,增益!$E:$E,0))</f>
        <v>0</v>
      </c>
      <c r="AN88" cm="1">
        <f t="array" ref="AN88">$D$10*(1+$AM88)+VLOOKUP($Q88,武学奇术!$A:$ZZ,3,FALSE)+SUM(_xlfn.XLOOKUP($R88:$AF88,增益!$A:$A,增益!$C:$C,0))-$I$2</f>
        <v>3483.8</v>
      </c>
      <c r="AO88" cm="1">
        <f t="array" ref="AO88">$E$10*(1+$AM88)+VLOOKUP($Q88,武学奇术!$A:$ZZ,4,FALSE)+SUM(_xlfn.XLOOKUP($R88:$AF88,增益!$A:$A,增益!$D:$D,0))-$I$2</f>
        <v>3483.8</v>
      </c>
      <c r="AP88" s="35" cm="1">
        <f t="array" ref="AP88">IF($F$10-$I$3+VLOOKUP($Q88,武学奇术!$A:$ZZ,6,FALSE)+SUM(_xlfn.XLOOKUP(R88:AF88,增益!$A:$A,增益!$F:$F,0))&gt;0,($F$10-$I$3+VLOOKUP($Q88,武学奇术!$A:$ZZ,6,FALSE)+SUM(_xlfn.XLOOKUP(R88:AF88,增益!$A:$A,增益!$F:$F,0)))/200,($F$10-$I$3+VLOOKUP($Q88,武学奇术!$A:$ZZ,6,FALSE)+SUM(_xlfn.XLOOKUP(R88:AF88,增益!$A:$A,增益!$F:$F,0)))/100)</f>
        <v>0.2925</v>
      </c>
      <c r="AQ88" s="35" cm="1">
        <f t="array" ref="AQ88">$G$10+VLOOKUP($Q88,武学奇术!$A:$ZZ,7,FALSE)+SUM(_xlfn.XLOOKUP(R88:AF88,增益!$A:$A,增益!$G:$G,0))</f>
        <v>0.148</v>
      </c>
      <c r="AR88" s="30" cm="1">
        <f t="array" ref="AR88">VLOOKUP($Q88,武学奇术!$A:$ZZ,8,FALSE)+SUM(_xlfn.XLOOKUP(R88:AF88,增益!$A:$A,增益!$H:$H,0))</f>
        <v>0</v>
      </c>
      <c r="AS88">
        <f t="shared" si="13"/>
        <v>0</v>
      </c>
      <c r="AT88">
        <f t="shared" si="14"/>
        <v>0</v>
      </c>
      <c r="AU88" s="35" cm="1">
        <f t="array" ref="AU88">IF($F$11-$I$4+VLOOKUP($Q88,武学奇术!$A:$ZZ,9,FALSE)+SUM(_xlfn.XLOOKUP(R88:AF88,增益!$A:$A,增益!$I:$I,0))&gt;0,($F$11-$I$4+VLOOKUP($Q88,武学奇术!$A:$ZZ,9,FALSE)+SUM(_xlfn.XLOOKUP(R88:AF88,增益!$A:$A,增益!$I:$I,0)))/200,($F$11-$I$4+VLOOKUP($Q88,武学奇术!$A:$ZZ,9,FALSE)+SUM(_xlfn.XLOOKUP(R88:AF88,增益!$A:$A,增益!$I:$I,0)))/100)</f>
        <v>-0.3</v>
      </c>
      <c r="AV88" s="35" cm="1">
        <f t="array" ref="AV88">$G$11+VLOOKUP($Q88,武学奇术!$A:$ZZ,10,FALSE)+SUM(_xlfn.XLOOKUP(R88:AF88,增益!$A:$A,增益!$J:$J,0))</f>
        <v>0</v>
      </c>
      <c r="AW88">
        <f t="shared" si="15"/>
        <v>0</v>
      </c>
      <c r="AX88">
        <f t="shared" si="16"/>
        <v>0</v>
      </c>
      <c r="AY88" s="35" cm="1">
        <f t="array" ref="AY88">IF($F$12-$I$4+VLOOKUP($Q88,武学奇术!$A:$ZZ,11,FALSE)+SUM(_xlfn.XLOOKUP(R88:AF88,增益!$A:$A,增益!$K:$K,0))&gt;0,($F$12-$I$4+VLOOKUP($Q88,武学奇术!$A:$ZZ,11,FALSE)+SUM(_xlfn.XLOOKUP(R88:AF88,增益!$A:$A,增益!$K:$K,0)))/200,($F$12-$I$4+VLOOKUP($Q88,武学奇术!$A:$ZZ,11,FALSE)+SUM(_xlfn.XLOOKUP(R88:AF88,增益!$A:$A,增益!$K:$K,0)))/100)</f>
        <v>-0.3</v>
      </c>
      <c r="AZ88" s="35" cm="1">
        <f t="array" ref="AZ88">$G$12+VLOOKUP($Q88,武学奇术!$A:$ZZ,12,FALSE)+SUM(_xlfn.XLOOKUP(R88:AF88,增益!$A:$A,增益!$L:$L,0))</f>
        <v>0</v>
      </c>
      <c r="BA88">
        <f t="shared" si="17"/>
        <v>0</v>
      </c>
      <c r="BB88">
        <f t="shared" si="18"/>
        <v>0</v>
      </c>
      <c r="BC88" s="35" cm="1">
        <f t="array" ref="BC88">IF($F$13-$I$4+VLOOKUP($Q88,武学奇术!$A:$ZZ,13,FALSE)+SUM(_xlfn.XLOOKUP(R88:AF88,增益!$A:$A,增益!$M:$M,0))&gt;0,($F$13-$I$4+VLOOKUP($Q88,武学奇术!$A:$ZZ,13,FALSE)+SUM(_xlfn.XLOOKUP(R88:AF88,增益!$A:$A,增益!$K:$K,0)))/200,($F$13-$I$4+VLOOKUP($Q88,武学奇术!$A:$ZZ,13,FALSE)+SUM(_xlfn.XLOOKUP(R88:AF88,增益!$A:$A,增益!$M:$M,0)))/100)</f>
        <v>-0.3</v>
      </c>
      <c r="BD88" s="35" cm="1">
        <f t="array" ref="BD88">$G$13+VLOOKUP($Q88,武学奇术!$A:$ZZ,14,FALSE)+SUM(_xlfn.XLOOKUP(R88:AF88,增益!$A:$A,增益!$N:$N,0))</f>
        <v>0</v>
      </c>
      <c r="BE88">
        <f t="shared" si="19"/>
        <v>538</v>
      </c>
      <c r="BF88">
        <f t="shared" si="20"/>
        <v>1561.4</v>
      </c>
      <c r="BG88" s="35" cm="1">
        <f t="array" ref="BG88">IF($F$14-$I$4+VLOOKUP($Q88,武学奇术!$A:$ZZ,15,FALSE)+SUM(_xlfn.XLOOKUP(R88:AF88,增益!$A:$A,增益!$O:$O,0))&gt;0,($F$14-$I$4+VLOOKUP($Q88,武学奇术!$A:$ZZ,15,FALSE)+SUM(_xlfn.XLOOKUP(R88:AF88,增益!$A:$A,增益!$O:$O,0)))/200,($F$14-$I$4+VLOOKUP($Q88,武学奇术!$A:$ZZ,15,FALSE)+SUM(_xlfn.XLOOKUP(R88:AF88,增益!$A:$A,增益!$O:$O,0)))/100)</f>
        <v>0</v>
      </c>
      <c r="BH88" s="35" cm="1">
        <f t="array" ref="BH88">$G$14+VLOOKUP($Q88,武学奇术!$A:$ZZ,16,FALSE)+SUM(_xlfn.XLOOKUP(R88:AF88,增益!$A:$A,增益!$P:$P,0))</f>
        <v>0.27</v>
      </c>
      <c r="BI88" s="30">
        <f>MIN(IF(VLOOKUP($Q88,武学奇术!$A:$ZZ,23,FALSE)=1,100%,$B$8),100%)</f>
        <v>1</v>
      </c>
      <c r="BJ88" s="30" cm="1">
        <f t="array" ref="BJ88">IF(VLOOKUP($Q88,武学奇术!$A:$ZZ,23,FALSE)=1,100%,MIN(80%,$B$9+VLOOKUP($Q88,武学奇术!$A:$ZZ,17,FALSE)+SUM(_xlfn.XLOOKUP(R88:AF88,增益!$A:$A,增益!$Q:$Q,0)))+$B$11+SUM(_xlfn.XLOOKUP(R88:AF88,增益!$A:$A,增益!$U:$U,0)))*IF(VLOOKUP($Q88,武学奇术!$A:$ZZ,24,FALSE)=1,0,1)</f>
        <v>1</v>
      </c>
      <c r="BK88" s="30" cm="1">
        <f t="array" ref="BK88">1+$B$13+VLOOKUP($Q88,武学奇术!$A:$ZZ,18,FALSE)+SUM(_xlfn.XLOOKUP(R88:AF88,增益!$A:$A,增益!$R:$R,0))</f>
        <v>1.87</v>
      </c>
      <c r="BL88" s="30" cm="1">
        <f t="array" ref="BL88">IF(VLOOKUP($Q88,武学奇术!$A:$ZZ,24,FALSE)=1,100%,MIN(40%,$B$10+VLOOKUP($Q88,武学奇术!$A:$ZZ,19,FALSE)+SUM(_xlfn.XLOOKUP(R88:AF88,增益!$A:$A,增益!$S:$S,0)))+$B$12+SUM(_xlfn.XLOOKUP(R88:AF88,增益!$A:$A,增益!$V:$V,0)))*IF(VLOOKUP($Q88,武学奇术!$A:$ZZ,23,FALSE)=1,0,1)</f>
        <v>0</v>
      </c>
      <c r="BM88" s="30" cm="1">
        <f t="array" ref="BM88">1+$B$14+VLOOKUP($Q88,武学奇术!$A:$ZZ,20,FALSE)+SUM(_xlfn.XLOOKUP(R88:AF88,增益!$A:$A,增益!$T:$T,0))</f>
        <v>1.35</v>
      </c>
      <c r="BN88" s="30">
        <f t="shared" si="21"/>
        <v>1</v>
      </c>
      <c r="BO88" s="30">
        <f t="shared" si="22"/>
        <v>0</v>
      </c>
      <c r="BP88" s="30">
        <f>IF(VLOOKUP($Q88,武学奇术!$A:$ZZ,22,FALSE)=1,0,(1-$BI88))*(1-$BL88)</f>
        <v>0</v>
      </c>
      <c r="BQ88" s="30" cm="1">
        <f t="array" ref="BQ88">SUM(_xlfn.XLOOKUP(R88:AF88,增益!$A:$A,增益!$W:$W,0))+$I$5</f>
        <v>0.11</v>
      </c>
    </row>
    <row r="89" spans="1:69">
      <c r="K89" s="41">
        <f t="shared" si="23"/>
        <v>50253.5286096925</v>
      </c>
      <c r="L89" s="41">
        <f>((($AN89+$AO89)/2*$AH89+$AI89)*(1+$AP89)*(1+$AQ89)+(($AS89+$AT89)/2*IF($G$1="鸣金",$AJ89,$AH89)+IF($G$1="鸣金",$AK89*1.5,0))*(1+$AU89)*(1+$AV89)+(($AW89+$AX89)/2*IF($G$1="裂石",$AJ89,$AH89)+IF($G$1="裂石",$AK89*1.5,0))*(1+$AY89)*(1+$AZ89)+(($BA89+$BB89)/2*IF($G$1="牵丝",$AJ89,$AH89)+IF($G$1="牵丝",$AK89*1.5,0))*(1+$BC89)*(1+$BD89)+(($BE89+$BF89)/2*IF($G$1="破竹",$AJ89,$AH89)+IF($G$1="破竹",$AK89*1.5,0))*(1+$BG89)*(1+$BH89))*(1+$AL89)*$BK89*$P89*(1+IF(VLOOKUP($Q89,武学奇术!$A:$ZZ,30,FALSE)="回旋伞",$B$21,0))*(1+$BQ89)</f>
        <v>50253.5286096925</v>
      </c>
      <c r="M89" s="41">
        <f>(($AO89*$AH89+$AI89)*(1+$AP89)*(1+$AQ89)+($AT89*IF($G$1="鸣金",$AJ89,$AH89)+IF($G$1="鸣金",$AK89*1.5,0))*(1+$AU89)*(1+$AV89)+($AX89*IF($G$1="裂石",$AJ89,$AH89)+IF($G$1="裂石",$AK89*1.5,0))*(1+$AY89)*(1+$AZ89)+($BB89*IF($G$1="牵丝",$AJ89,$AH89)+IF($G$1="牵丝",$AK89*1.5,0))*(1+$BC89)*(1+$BD89)+($BF89*IF($G$1="破竹",$AJ89,$AH89)+IF($G$1="破竹",$AK89*1.5,0))*(1+$BG89)*(1+$BH89))*(1+$AL89)*$BM89*$P89*(1+IF(VLOOKUP($Q89,武学奇术!$A:$ZZ,30,FALSE)="回旋伞",$B$21,0))*(1+$BQ89)</f>
        <v>40654.1827794562</v>
      </c>
      <c r="N89" s="41">
        <f>((($AN89+$AO89)/2*$AH89+$AI89)*(1+$AP89)*(1+$AQ89)+(($AS89+$AT89)/2*IF($G$1="鸣金",$AJ89,$AH89)+IF($G$1="鸣金",$AK89*1.5,0))*(1+$AU89)*(1+$AV89)+(($AW89+$AX89)/2*IF($G$1="裂石",$AJ89,$AH89)+IF($G$1="裂石",$AK89*1.5,0))*(1+$AY89)*(1+$AZ89)+(($BA89+$BB89)/2*IF($G$1="牵丝",$AJ89,$AH89)+IF($G$1="牵丝",$AK89*1.5,0))*(1+$BC89)*(1+$BD89)+(($BE89+$BF89)/2*IF($G$1="破竹",$AJ89,$AH89)+IF($G$1="破竹",$AK89*1.5,0))*(1+$BG89)*(1+$BH89))*(1+$AL89)*$P89*(1+IF(VLOOKUP($Q89,武学奇术!$A:$ZZ,30,FALSE)="回旋伞",$B$21,0))*(1+$BQ89)</f>
        <v>26873.5447110655</v>
      </c>
      <c r="O89" s="41">
        <f>((($AN89*$AH89+$AI89)*(1+$AP89)*(1+$AQ89)+($AS89*IF($G$1="鸣金",$AJ89,$AH89)+IF($G$1="鸣金",$AK89*1.5,0))*(1+$AU89)*(1+$AV89)+($AW89*IF($G$1="裂石",$AJ89,$AH89)+IF($G$1="裂石",$AK89*1.5,0))*(1+$AY89)*(1+$AZ89)+($BA89*IF($G$1="牵丝",$AJ89,$AH89)+IF($G$1="牵丝",$AK89*1.5,0))*(1+$BC89)*(1+$BD89)+($BE89*IF($G$1="破竹",$AJ89,$AH89)+IF($G$1="破竹",$AK89*1.5,0))*(1+$BG89)*(1+$BH89))*(1+$AL89))*$P89*(1+IF(VLOOKUP($Q89,武学奇术!$A:$ZZ,30,FALSE)="回旋伞",$B$21,0))*(1+$BQ89)</f>
        <v>23632.8799558672</v>
      </c>
      <c r="P89" s="42">
        <v>1</v>
      </c>
      <c r="Q89" s="43" t="s">
        <v>150</v>
      </c>
      <c r="R89" s="43" t="s">
        <v>71</v>
      </c>
      <c r="S89" s="43" t="s">
        <v>91</v>
      </c>
      <c r="T89" s="43" t="s">
        <v>72</v>
      </c>
      <c r="U89" s="43" t="s">
        <v>71</v>
      </c>
      <c r="V89" s="43" t="s">
        <v>167</v>
      </c>
      <c r="W89" s="43" t="s">
        <v>95</v>
      </c>
      <c r="X89" s="43" t="s">
        <v>71</v>
      </c>
      <c r="Y89" s="43" t="s">
        <v>71</v>
      </c>
      <c r="Z89" s="43" t="s">
        <v>71</v>
      </c>
      <c r="AA89" s="43" t="s">
        <v>71</v>
      </c>
      <c r="AB89" s="43" t="s">
        <v>71</v>
      </c>
      <c r="AC89" s="43" t="s">
        <v>71</v>
      </c>
      <c r="AD89" s="43" t="s">
        <v>71</v>
      </c>
      <c r="AE89" s="43" t="s">
        <v>71</v>
      </c>
      <c r="AF89" s="43" t="s">
        <v>76</v>
      </c>
      <c r="AG89" t="str">
        <f>VLOOKUP($Q89,武学奇术!$A:$ZZ,25,FALSE)</f>
        <v>绳镖</v>
      </c>
      <c r="AH89" s="30">
        <f>VLOOKUP($Q89,武学奇术!$A:$ZZ,26,FALSE)</f>
        <v>2.2987</v>
      </c>
      <c r="AI89" s="31">
        <f>VLOOKUP($Q89,武学奇术!$A:$ZZ,27,FALSE)*(1+IF(OR($AG89=$F$4,$AG89=$F$5),$B$22,0))</f>
        <v>891.8</v>
      </c>
      <c r="AJ89" s="30">
        <f>VLOOKUP($Q89,武学奇术!$A:$ZZ,28,FALSE)</f>
        <v>3.448</v>
      </c>
      <c r="AK89" s="31">
        <f>VLOOKUP($Q89,武学奇术!$A:$ZZ,29,FALSE)*(1+IF(OR($AG89=$F$4,$AG89=$F$5),$B$22,0))</f>
        <v>485.8</v>
      </c>
      <c r="AL89" s="30" cm="1">
        <f t="array" ref="AL89">$G$3+IFERROR(VLOOKUP($AG89,$F$4:$G$7,2,FALSE),0)+VLOOKUP($Q89,武学奇术!$A:$ZZ,2,FALSE)+SUM(_xlfn.XLOOKUP($R89:$AF89,增益!$A:$A,增益!$B:$B,0))</f>
        <v>0.4389</v>
      </c>
      <c r="AM89" s="30" cm="1">
        <f t="array" ref="AM89">VLOOKUP($Q89,武学奇术!$A:$ZZ,5,FALSE)+SUM(_xlfn.XLOOKUP($R89:$AF89,增益!$A:$A,增益!$E:$E,0))</f>
        <v>0</v>
      </c>
      <c r="AN89" cm="1">
        <f t="array" ref="AN89">$D$10*(1+$AM89)+VLOOKUP($Q89,武学奇术!$A:$ZZ,3,FALSE)+SUM(_xlfn.XLOOKUP($R89:$AF89,增益!$A:$A,增益!$C:$C,0))-$I$2</f>
        <v>3483.8</v>
      </c>
      <c r="AO89" cm="1">
        <f t="array" ref="AO89">$E$10*(1+$AM89)+VLOOKUP($Q89,武学奇术!$A:$ZZ,4,FALSE)+SUM(_xlfn.XLOOKUP($R89:$AF89,增益!$A:$A,增益!$D:$D,0))-$I$2</f>
        <v>3483.8</v>
      </c>
      <c r="AP89" s="35" cm="1">
        <f t="array" ref="AP89">IF($F$10-$I$3+VLOOKUP($Q89,武学奇术!$A:$ZZ,6,FALSE)+SUM(_xlfn.XLOOKUP(R89:AF89,增益!$A:$A,增益!$F:$F,0))&gt;0,($F$10-$I$3+VLOOKUP($Q89,武学奇术!$A:$ZZ,6,FALSE)+SUM(_xlfn.XLOOKUP(R89:AF89,增益!$A:$A,增益!$F:$F,0)))/200,($F$10-$I$3+VLOOKUP($Q89,武学奇术!$A:$ZZ,6,FALSE)+SUM(_xlfn.XLOOKUP(R89:AF89,增益!$A:$A,增益!$F:$F,0)))/100)</f>
        <v>0.2925</v>
      </c>
      <c r="AQ89" s="35" cm="1">
        <f t="array" ref="AQ89">$G$10+VLOOKUP($Q89,武学奇术!$A:$ZZ,7,FALSE)+SUM(_xlfn.XLOOKUP(R89:AF89,增益!$A:$A,增益!$G:$G,0))</f>
        <v>0.028</v>
      </c>
      <c r="AR89" s="30" cm="1">
        <f t="array" ref="AR89">VLOOKUP($Q89,武学奇术!$A:$ZZ,8,FALSE)+SUM(_xlfn.XLOOKUP(R89:AF89,增益!$A:$A,增益!$H:$H,0))</f>
        <v>0</v>
      </c>
      <c r="AS89">
        <f t="shared" si="13"/>
        <v>0</v>
      </c>
      <c r="AT89">
        <f t="shared" si="14"/>
        <v>0</v>
      </c>
      <c r="AU89" s="35" cm="1">
        <f t="array" ref="AU89">IF($F$11-$I$4+VLOOKUP($Q89,武学奇术!$A:$ZZ,9,FALSE)+SUM(_xlfn.XLOOKUP(R89:AF89,增益!$A:$A,增益!$I:$I,0))&gt;0,($F$11-$I$4+VLOOKUP($Q89,武学奇术!$A:$ZZ,9,FALSE)+SUM(_xlfn.XLOOKUP(R89:AF89,增益!$A:$A,增益!$I:$I,0)))/200,($F$11-$I$4+VLOOKUP($Q89,武学奇术!$A:$ZZ,9,FALSE)+SUM(_xlfn.XLOOKUP(R89:AF89,增益!$A:$A,增益!$I:$I,0)))/100)</f>
        <v>-0.3</v>
      </c>
      <c r="AV89" s="35" cm="1">
        <f t="array" ref="AV89">$G$11+VLOOKUP($Q89,武学奇术!$A:$ZZ,10,FALSE)+SUM(_xlfn.XLOOKUP(R89:AF89,增益!$A:$A,增益!$J:$J,0))</f>
        <v>0</v>
      </c>
      <c r="AW89">
        <f t="shared" si="15"/>
        <v>0</v>
      </c>
      <c r="AX89">
        <f t="shared" si="16"/>
        <v>0</v>
      </c>
      <c r="AY89" s="35" cm="1">
        <f t="array" ref="AY89">IF($F$12-$I$4+VLOOKUP($Q89,武学奇术!$A:$ZZ,11,FALSE)+SUM(_xlfn.XLOOKUP(R89:AF89,增益!$A:$A,增益!$K:$K,0))&gt;0,($F$12-$I$4+VLOOKUP($Q89,武学奇术!$A:$ZZ,11,FALSE)+SUM(_xlfn.XLOOKUP(R89:AF89,增益!$A:$A,增益!$K:$K,0)))/200,($F$12-$I$4+VLOOKUP($Q89,武学奇术!$A:$ZZ,11,FALSE)+SUM(_xlfn.XLOOKUP(R89:AF89,增益!$A:$A,增益!$K:$K,0)))/100)</f>
        <v>-0.3</v>
      </c>
      <c r="AZ89" s="35" cm="1">
        <f t="array" ref="AZ89">$G$12+VLOOKUP($Q89,武学奇术!$A:$ZZ,12,FALSE)+SUM(_xlfn.XLOOKUP(R89:AF89,增益!$A:$A,增益!$L:$L,0))</f>
        <v>0</v>
      </c>
      <c r="BA89">
        <f t="shared" si="17"/>
        <v>0</v>
      </c>
      <c r="BB89">
        <f t="shared" si="18"/>
        <v>0</v>
      </c>
      <c r="BC89" s="35" cm="1">
        <f t="array" ref="BC89">IF($F$13-$I$4+VLOOKUP($Q89,武学奇术!$A:$ZZ,13,FALSE)+SUM(_xlfn.XLOOKUP(R89:AF89,增益!$A:$A,增益!$M:$M,0))&gt;0,($F$13-$I$4+VLOOKUP($Q89,武学奇术!$A:$ZZ,13,FALSE)+SUM(_xlfn.XLOOKUP(R89:AF89,增益!$A:$A,增益!$K:$K,0)))/200,($F$13-$I$4+VLOOKUP($Q89,武学奇术!$A:$ZZ,13,FALSE)+SUM(_xlfn.XLOOKUP(R89:AF89,增益!$A:$A,增益!$M:$M,0)))/100)</f>
        <v>-0.3</v>
      </c>
      <c r="BD89" s="35" cm="1">
        <f t="array" ref="BD89">$G$13+VLOOKUP($Q89,武学奇术!$A:$ZZ,14,FALSE)+SUM(_xlfn.XLOOKUP(R89:AF89,增益!$A:$A,增益!$N:$N,0))</f>
        <v>0</v>
      </c>
      <c r="BE89">
        <f t="shared" si="19"/>
        <v>538</v>
      </c>
      <c r="BF89">
        <f t="shared" si="20"/>
        <v>1561.4</v>
      </c>
      <c r="BG89" s="35" cm="1">
        <f t="array" ref="BG89">IF($F$14-$I$4+VLOOKUP($Q89,武学奇术!$A:$ZZ,15,FALSE)+SUM(_xlfn.XLOOKUP(R89:AF89,增益!$A:$A,增益!$O:$O,0))&gt;0,($F$14-$I$4+VLOOKUP($Q89,武学奇术!$A:$ZZ,15,FALSE)+SUM(_xlfn.XLOOKUP(R89:AF89,增益!$A:$A,增益!$O:$O,0)))/200,($F$14-$I$4+VLOOKUP($Q89,武学奇术!$A:$ZZ,15,FALSE)+SUM(_xlfn.XLOOKUP(R89:AF89,增益!$A:$A,增益!$O:$O,0)))/100)</f>
        <v>0</v>
      </c>
      <c r="BH89" s="35" cm="1">
        <f t="array" ref="BH89">$G$14+VLOOKUP($Q89,武学奇术!$A:$ZZ,16,FALSE)+SUM(_xlfn.XLOOKUP(R89:AF89,增益!$A:$A,增益!$P:$P,0))</f>
        <v>0.15</v>
      </c>
      <c r="BI89" s="30">
        <f>MIN(IF(VLOOKUP($Q89,武学奇术!$A:$ZZ,23,FALSE)=1,100%,$B$8),100%)</f>
        <v>1</v>
      </c>
      <c r="BJ89" s="30" cm="1">
        <f t="array" ref="BJ89">IF(VLOOKUP($Q89,武学奇术!$A:$ZZ,23,FALSE)=1,100%,MIN(80%,$B$9+VLOOKUP($Q89,武学奇术!$A:$ZZ,17,FALSE)+SUM(_xlfn.XLOOKUP(R89:AF89,增益!$A:$A,增益!$Q:$Q,0)))+$B$11+SUM(_xlfn.XLOOKUP(R89:AF89,增益!$A:$A,增益!$U:$U,0)))*IF(VLOOKUP($Q89,武学奇术!$A:$ZZ,24,FALSE)=1,0,1)</f>
        <v>1</v>
      </c>
      <c r="BK89" s="30" cm="1">
        <f t="array" ref="BK89">1+$B$13+VLOOKUP($Q89,武学奇术!$A:$ZZ,18,FALSE)+SUM(_xlfn.XLOOKUP(R89:AF89,增益!$A:$A,增益!$R:$R,0))</f>
        <v>1.87</v>
      </c>
      <c r="BL89" s="30" cm="1">
        <f t="array" ref="BL89">IF(VLOOKUP($Q89,武学奇术!$A:$ZZ,24,FALSE)=1,100%,MIN(40%,$B$10+VLOOKUP($Q89,武学奇术!$A:$ZZ,19,FALSE)+SUM(_xlfn.XLOOKUP(R89:AF89,增益!$A:$A,增益!$S:$S,0)))+$B$12+SUM(_xlfn.XLOOKUP(R89:AF89,增益!$A:$A,增益!$V:$V,0)))*IF(VLOOKUP($Q89,武学奇术!$A:$ZZ,23,FALSE)=1,0,1)</f>
        <v>0</v>
      </c>
      <c r="BM89" s="30" cm="1">
        <f t="array" ref="BM89">1+$B$14+VLOOKUP($Q89,武学奇术!$A:$ZZ,20,FALSE)+SUM(_xlfn.XLOOKUP(R89:AF89,增益!$A:$A,增益!$T:$T,0))</f>
        <v>1.35</v>
      </c>
      <c r="BN89" s="30">
        <f t="shared" si="21"/>
        <v>1</v>
      </c>
      <c r="BO89" s="30">
        <f t="shared" si="22"/>
        <v>0</v>
      </c>
      <c r="BP89" s="30">
        <f>IF(VLOOKUP($Q89,武学奇术!$A:$ZZ,22,FALSE)=1,0,(1-$BI89))*(1-$BL89)</f>
        <v>0</v>
      </c>
      <c r="BQ89" s="30" cm="1">
        <f t="array" ref="BQ89">SUM(_xlfn.XLOOKUP(R89:AF89,增益!$A:$A,增益!$W:$W,0))+$I$5</f>
        <v>0.11</v>
      </c>
    </row>
    <row r="90" spans="1:69">
      <c r="K90" s="89">
        <f>(SUM(K73:K89)+K146+K147)*10%</f>
        <v>158049.864747961</v>
      </c>
      <c r="L90" s="41">
        <f>((($AN90+$AO90)/2*$AH90+$AI90)*(1+$AP90)*(1+$AQ90)+(($AS90+$AT90)/2*IF($G$1="鸣金",$AJ90,$AH90)+IF($G$1="鸣金",$AK90*1.5,0))*(1+$AU90)*(1+$AV90)+(($AW90+$AX90)/2*IF($G$1="裂石",$AJ90,$AH90)+IF($G$1="裂石",$AK90*1.5,0))*(1+$AY90)*(1+$AZ90)+(($BA90+$BB90)/2*IF($G$1="牵丝",$AJ90,$AH90)+IF($G$1="牵丝",$AK90*1.5,0))*(1+$BC90)*(1+$BD90)+(($BE90+$BF90)/2*IF($G$1="破竹",$AJ90,$AH90)+IF($G$1="破竹",$AK90*1.5,0))*(1+$BG90)*(1+$BH90))*(1+$AL90)*$BK90*$P90*(1+IF(VLOOKUP($Q90,武学奇术!$A:$ZZ,30,FALSE)="回旋伞",$B$21,0))*(1+$BQ90)</f>
        <v>0</v>
      </c>
      <c r="M90" s="41">
        <f>(($AO90*$AH90+$AI90)*(1+$AP90)*(1+$AQ90)+($AT90*IF($G$1="鸣金",$AJ90,$AH90)+IF($G$1="鸣金",$AK90*1.5,0))*(1+$AU90)*(1+$AV90)+($AX90*IF($G$1="裂石",$AJ90,$AH90)+IF($G$1="裂石",$AK90*1.5,0))*(1+$AY90)*(1+$AZ90)+($BB90*IF($G$1="牵丝",$AJ90,$AH90)+IF($G$1="牵丝",$AK90*1.5,0))*(1+$BC90)*(1+$BD90)+($BF90*IF($G$1="破竹",$AJ90,$AH90)+IF($G$1="破竹",$AK90*1.5,0))*(1+$BG90)*(1+$BH90))*(1+$AL90)*$BM90*$P90*(1+IF(VLOOKUP($Q90,武学奇术!$A:$ZZ,30,FALSE)="回旋伞",$B$21,0))*(1+$BQ90)</f>
        <v>0</v>
      </c>
      <c r="N90" s="41">
        <f>((($AN90+$AO90)/2*$AH90+$AI90)*(1+$AP90)*(1+$AQ90)+(($AS90+$AT90)/2*IF($G$1="鸣金",$AJ90,$AH90)+IF($G$1="鸣金",$AK90*1.5,0))*(1+$AU90)*(1+$AV90)+(($AW90+$AX90)/2*IF($G$1="裂石",$AJ90,$AH90)+IF($G$1="裂石",$AK90*1.5,0))*(1+$AY90)*(1+$AZ90)+(($BA90+$BB90)/2*IF($G$1="牵丝",$AJ90,$AH90)+IF($G$1="牵丝",$AK90*1.5,0))*(1+$BC90)*(1+$BD90)+(($BE90+$BF90)/2*IF($G$1="破竹",$AJ90,$AH90)+IF($G$1="破竹",$AK90*1.5,0))*(1+$BG90)*(1+$BH90))*(1+$AL90)*$P90*(1+IF(VLOOKUP($Q90,武学奇术!$A:$ZZ,30,FALSE)="回旋伞",$B$21,0))*(1+$BQ90)</f>
        <v>0</v>
      </c>
      <c r="O90" s="41">
        <f>((($AN90*$AH90+$AI90)*(1+$AP90)*(1+$AQ90)+($AS90*IF($G$1="鸣金",$AJ90,$AH90)+IF($G$1="鸣金",$AK90*1.5,0))*(1+$AU90)*(1+$AV90)+($AW90*IF($G$1="裂石",$AJ90,$AH90)+IF($G$1="裂石",$AK90*1.5,0))*(1+$AY90)*(1+$AZ90)+($BA90*IF($G$1="牵丝",$AJ90,$AH90)+IF($G$1="牵丝",$AK90*1.5,0))*(1+$BC90)*(1+$BD90)+($BE90*IF($G$1="破竹",$AJ90,$AH90)+IF($G$1="破竹",$AK90*1.5,0))*(1+$BG90)*(1+$BH90))*(1+$AL90))*$P90*(1+IF(VLOOKUP($Q90,武学奇术!$A:$ZZ,30,FALSE)="回旋伞",$B$21,0))*(1+$BQ90)</f>
        <v>0</v>
      </c>
      <c r="P90" s="42">
        <v>1</v>
      </c>
      <c r="Q90" s="43" t="s">
        <v>152</v>
      </c>
      <c r="R90" s="43" t="s">
        <v>71</v>
      </c>
      <c r="S90" s="43" t="s">
        <v>71</v>
      </c>
      <c r="T90" s="43" t="s">
        <v>71</v>
      </c>
      <c r="U90" s="43" t="s">
        <v>71</v>
      </c>
      <c r="V90" s="43" t="s">
        <v>71</v>
      </c>
      <c r="W90" s="43" t="s">
        <v>71</v>
      </c>
      <c r="X90" s="43" t="s">
        <v>71</v>
      </c>
      <c r="Y90" s="43" t="s">
        <v>71</v>
      </c>
      <c r="Z90" s="43" t="s">
        <v>71</v>
      </c>
      <c r="AA90" s="43" t="s">
        <v>71</v>
      </c>
      <c r="AB90" s="43" t="s">
        <v>71</v>
      </c>
      <c r="AC90" s="43" t="s">
        <v>71</v>
      </c>
      <c r="AD90" s="43" t="s">
        <v>71</v>
      </c>
      <c r="AE90" s="43" t="s">
        <v>71</v>
      </c>
      <c r="AF90" s="43" t="s">
        <v>76</v>
      </c>
      <c r="AG90" t="str">
        <f>VLOOKUP($Q90,武学奇术!$A:$ZZ,25,FALSE)</f>
        <v>心法</v>
      </c>
      <c r="AH90" s="30">
        <f>VLOOKUP($Q90,武学奇术!$A:$ZZ,26,FALSE)</f>
        <v>0</v>
      </c>
      <c r="AI90" s="31">
        <f>VLOOKUP($Q90,武学奇术!$A:$ZZ,27,FALSE)*(1+IF(OR($AG90=$F$4,$AG90=$F$5),$B$22,0))</f>
        <v>0</v>
      </c>
      <c r="AJ90" s="30">
        <f>VLOOKUP($Q90,武学奇术!$A:$ZZ,28,FALSE)</f>
        <v>0</v>
      </c>
      <c r="AK90" s="31">
        <f>VLOOKUP($Q90,武学奇术!$A:$ZZ,29,FALSE)*(1+IF(OR($AG90=$F$4,$AG90=$F$5),$B$22,0))</f>
        <v>0</v>
      </c>
      <c r="AL90" s="30" cm="1">
        <f t="array" ref="AL90">$G$3+IFERROR(VLOOKUP($AG90,$F$4:$G$7,2,FALSE),0)+VLOOKUP($Q90,武学奇术!$A:$ZZ,2,FALSE)+SUM(_xlfn.XLOOKUP($R90:$AF90,增益!$A:$A,增益!$B:$B,0))</f>
        <v>0.1037</v>
      </c>
      <c r="AM90" s="30" cm="1">
        <f t="array" ref="AM90">VLOOKUP($Q90,武学奇术!$A:$ZZ,5,FALSE)+SUM(_xlfn.XLOOKUP($R90:$AF90,增益!$A:$A,增益!$E:$E,0))</f>
        <v>0</v>
      </c>
      <c r="AN90" cm="1">
        <f t="array" ref="AN90">$D$10*(1+$AM90)+VLOOKUP($Q90,武学奇术!$A:$ZZ,3,FALSE)+SUM(_xlfn.XLOOKUP($R90:$AF90,增益!$A:$A,增益!$C:$C,0))-$I$2</f>
        <v>3483.8</v>
      </c>
      <c r="AO90" cm="1">
        <f t="array" ref="AO90">$E$10*(1+$AM90)+VLOOKUP($Q90,武学奇术!$A:$ZZ,4,FALSE)+SUM(_xlfn.XLOOKUP($R90:$AF90,增益!$A:$A,增益!$D:$D,0))-$I$2</f>
        <v>3483.8</v>
      </c>
      <c r="AP90" s="35" cm="1">
        <f t="array" ref="AP90">IF($F$10-$I$3+VLOOKUP($Q90,武学奇术!$A:$ZZ,6,FALSE)+SUM(_xlfn.XLOOKUP(R90:AF90,增益!$A:$A,增益!$F:$F,0))&gt;0,($F$10-$I$3+VLOOKUP($Q90,武学奇术!$A:$ZZ,6,FALSE)+SUM(_xlfn.XLOOKUP(R90:AF90,增益!$A:$A,增益!$F:$F,0)))/200,($F$10-$I$3+VLOOKUP($Q90,武学奇术!$A:$ZZ,6,FALSE)+SUM(_xlfn.XLOOKUP(R90:AF90,增益!$A:$A,增益!$F:$F,0)))/100)</f>
        <v>0.1925</v>
      </c>
      <c r="AQ90" s="35" cm="1">
        <f t="array" ref="AQ90">$G$10+VLOOKUP($Q90,武学奇术!$A:$ZZ,7,FALSE)+SUM(_xlfn.XLOOKUP(R90:AF90,增益!$A:$A,增益!$G:$G,0))</f>
        <v>0.028</v>
      </c>
      <c r="AR90" s="30" cm="1">
        <f t="array" ref="AR90">VLOOKUP($Q90,武学奇术!$A:$ZZ,8,FALSE)+SUM(_xlfn.XLOOKUP(R90:AF90,增益!$A:$A,增益!$H:$H,0))</f>
        <v>0</v>
      </c>
      <c r="AS90">
        <f t="shared" si="13"/>
        <v>0</v>
      </c>
      <c r="AT90">
        <f t="shared" si="14"/>
        <v>0</v>
      </c>
      <c r="AU90" s="35" cm="1">
        <f t="array" ref="AU90">IF($F$11-$I$4+VLOOKUP($Q90,武学奇术!$A:$ZZ,9,FALSE)+SUM(_xlfn.XLOOKUP(R90:AF90,增益!$A:$A,增益!$I:$I,0))&gt;0,($F$11-$I$4+VLOOKUP($Q90,武学奇术!$A:$ZZ,9,FALSE)+SUM(_xlfn.XLOOKUP(R90:AF90,增益!$A:$A,增益!$I:$I,0)))/200,($F$11-$I$4+VLOOKUP($Q90,武学奇术!$A:$ZZ,9,FALSE)+SUM(_xlfn.XLOOKUP(R90:AF90,增益!$A:$A,增益!$I:$I,0)))/100)</f>
        <v>-0.3</v>
      </c>
      <c r="AV90" s="35" cm="1">
        <f t="array" ref="AV90">$G$11+VLOOKUP($Q90,武学奇术!$A:$ZZ,10,FALSE)+SUM(_xlfn.XLOOKUP(R90:AF90,增益!$A:$A,增益!$J:$J,0))</f>
        <v>0</v>
      </c>
      <c r="AW90">
        <f t="shared" si="15"/>
        <v>0</v>
      </c>
      <c r="AX90">
        <f t="shared" si="16"/>
        <v>0</v>
      </c>
      <c r="AY90" s="35" cm="1">
        <f t="array" ref="AY90">IF($F$12-$I$4+VLOOKUP($Q90,武学奇术!$A:$ZZ,11,FALSE)+SUM(_xlfn.XLOOKUP(R90:AF90,增益!$A:$A,增益!$K:$K,0))&gt;0,($F$12-$I$4+VLOOKUP($Q90,武学奇术!$A:$ZZ,11,FALSE)+SUM(_xlfn.XLOOKUP(R90:AF90,增益!$A:$A,增益!$K:$K,0)))/200,($F$12-$I$4+VLOOKUP($Q90,武学奇术!$A:$ZZ,11,FALSE)+SUM(_xlfn.XLOOKUP(R90:AF90,增益!$A:$A,增益!$K:$K,0)))/100)</f>
        <v>-0.3</v>
      </c>
      <c r="AZ90" s="35" cm="1">
        <f t="array" ref="AZ90">$G$12+VLOOKUP($Q90,武学奇术!$A:$ZZ,12,FALSE)+SUM(_xlfn.XLOOKUP(R90:AF90,增益!$A:$A,增益!$L:$L,0))</f>
        <v>0</v>
      </c>
      <c r="BA90">
        <f t="shared" si="17"/>
        <v>0</v>
      </c>
      <c r="BB90">
        <f t="shared" si="18"/>
        <v>0</v>
      </c>
      <c r="BC90" s="35" cm="1">
        <f t="array" ref="BC90">IF($F$13-$I$4+VLOOKUP($Q90,武学奇术!$A:$ZZ,13,FALSE)+SUM(_xlfn.XLOOKUP(R90:AF90,增益!$A:$A,增益!$M:$M,0))&gt;0,($F$13-$I$4+VLOOKUP($Q90,武学奇术!$A:$ZZ,13,FALSE)+SUM(_xlfn.XLOOKUP(R90:AF90,增益!$A:$A,增益!$K:$K,0)))/200,($F$13-$I$4+VLOOKUP($Q90,武学奇术!$A:$ZZ,13,FALSE)+SUM(_xlfn.XLOOKUP(R90:AF90,增益!$A:$A,增益!$M:$M,0)))/100)</f>
        <v>-0.3</v>
      </c>
      <c r="BD90" s="35" cm="1">
        <f t="array" ref="BD90">$G$13+VLOOKUP($Q90,武学奇术!$A:$ZZ,14,FALSE)+SUM(_xlfn.XLOOKUP(R90:AF90,增益!$A:$A,增益!$N:$N,0))</f>
        <v>0</v>
      </c>
      <c r="BE90">
        <f t="shared" si="19"/>
        <v>538</v>
      </c>
      <c r="BF90">
        <f t="shared" si="20"/>
        <v>1561.4</v>
      </c>
      <c r="BG90" s="35" cm="1">
        <f t="array" ref="BG90">IF($F$14-$I$4+VLOOKUP($Q90,武学奇术!$A:$ZZ,15,FALSE)+SUM(_xlfn.XLOOKUP(R90:AF90,增益!$A:$A,增益!$O:$O,0))&gt;0,($F$14-$I$4+VLOOKUP($Q90,武学奇术!$A:$ZZ,15,FALSE)+SUM(_xlfn.XLOOKUP(R90:AF90,增益!$A:$A,增益!$O:$O,0)))/200,($F$14-$I$4+VLOOKUP($Q90,武学奇术!$A:$ZZ,15,FALSE)+SUM(_xlfn.XLOOKUP(R90:AF90,增益!$A:$A,增益!$O:$O,0)))/100)</f>
        <v>0</v>
      </c>
      <c r="BH90" s="35" cm="1">
        <f t="array" ref="BH90">$G$14+VLOOKUP($Q90,武学奇术!$A:$ZZ,16,FALSE)+SUM(_xlfn.XLOOKUP(R90:AF90,增益!$A:$A,增益!$P:$P,0))</f>
        <v>0.15</v>
      </c>
      <c r="BI90" s="30">
        <f>MIN(IF(VLOOKUP($Q90,武学奇术!$A:$ZZ,23,FALSE)=1,100%,$B$8),100%)</f>
        <v>0.9712</v>
      </c>
      <c r="BJ90" s="30" cm="1">
        <f t="array" ref="BJ90">IF(VLOOKUP($Q90,武学奇术!$A:$ZZ,23,FALSE)=1,100%,MIN(80%,$B$9+VLOOKUP($Q90,武学奇术!$A:$ZZ,17,FALSE)+SUM(_xlfn.XLOOKUP(R90:AF90,增益!$A:$A,增益!$Q:$Q,0)))+$B$11+SUM(_xlfn.XLOOKUP(R90:AF90,增益!$A:$A,增益!$U:$U,0)))*IF(VLOOKUP($Q90,武学奇术!$A:$ZZ,24,FALSE)=1,0,1)</f>
        <v>0.8773</v>
      </c>
      <c r="BK90" s="30" cm="1">
        <f t="array" ref="BK90">1+$B$13+VLOOKUP($Q90,武学奇术!$A:$ZZ,18,FALSE)+SUM(_xlfn.XLOOKUP(R90:AF90,增益!$A:$A,增益!$R:$R,0))</f>
        <v>1.5</v>
      </c>
      <c r="BL90" s="30" cm="1">
        <f t="array" ref="BL90">IF(VLOOKUP($Q90,武学奇术!$A:$ZZ,24,FALSE)=1,100%,MIN(40%,$B$10+VLOOKUP($Q90,武学奇术!$A:$ZZ,19,FALSE)+SUM(_xlfn.XLOOKUP(R90:AF90,增益!$A:$A,增益!$S:$S,0)))+$B$12+SUM(_xlfn.XLOOKUP(R90:AF90,增益!$A:$A,增益!$V:$V,0)))*IF(VLOOKUP($Q90,武学奇术!$A:$ZZ,23,FALSE)=1,0,1)</f>
        <v>0.0895</v>
      </c>
      <c r="BM90" s="30" cm="1">
        <f t="array" ref="BM90">1+$B$14+VLOOKUP($Q90,武学奇术!$A:$ZZ,20,FALSE)+SUM(_xlfn.XLOOKUP(R90:AF90,增益!$A:$A,增益!$T:$T,0))</f>
        <v>1.35</v>
      </c>
      <c r="BN90" s="30">
        <f t="shared" si="21"/>
        <v>0.85203376</v>
      </c>
      <c r="BO90" s="30">
        <f t="shared" si="22"/>
        <v>0.03224384</v>
      </c>
      <c r="BP90" s="30">
        <f>IF(VLOOKUP($Q90,武学奇术!$A:$ZZ,22,FALSE)=1,0,(1-$BI90))*(1-$BL90)</f>
        <v>0.0262224</v>
      </c>
      <c r="BQ90" s="30" cm="1">
        <f t="array" ref="BQ90">SUM(_xlfn.XLOOKUP(R90:AF90,增益!$A:$A,增益!$W:$W,0))+$I$5</f>
        <v>0.11</v>
      </c>
    </row>
    <row r="91" spans="1:69">
      <c r="K91" s="41">
        <f t="shared" ref="K91:K111" si="24">($L91*$BN91+$M91*$BL91+$N91*$BO91+$O91*$BP91)</f>
        <v>74806.5716511917</v>
      </c>
      <c r="L91" s="41">
        <f>((($AN91+$AO91)/2*$AH91+$AI91)*(1+$AP91)*(1+$AQ91)+(($AS91+$AT91)/2*IF($G$1="鸣金",$AJ91,$AH91)+IF($G$1="鸣金",$AK91*1.5,0))*(1+$AU91)*(1+$AV91)+(($AW91+$AX91)/2*IF($G$1="裂石",$AJ91,$AH91)+IF($G$1="裂石",$AK91*1.5,0))*(1+$AY91)*(1+$AZ91)+(($BA91+$BB91)/2*IF($G$1="牵丝",$AJ91,$AH91)+IF($G$1="牵丝",$AK91*1.5,0))*(1+$BC91)*(1+$BD91)+(($BE91+$BF91)/2*IF($G$1="破竹",$AJ91,$AH91)+IF($G$1="破竹",$AK91*1.5,0))*(1+$BG91)*(1+$BH91))*(1+$AL91)*$BK91*$P91*(1+IF(VLOOKUP($Q91,武学奇术!$A:$ZZ,30,FALSE)="回旋伞",$B$21,0))*(1+$BQ91)</f>
        <v>78371.7688976974</v>
      </c>
      <c r="M91" s="41">
        <f>(($AO91*$AH91+$AI91)*(1+$AP91)*(1+$AQ91)+($AT91*IF($G$1="鸣金",$AJ91,$AH91)+IF($G$1="鸣金",$AK91*1.5,0))*(1+$AU91)*(1+$AV91)+($AX91*IF($G$1="裂石",$AJ91,$AH91)+IF($G$1="裂石",$AK91*1.5,0))*(1+$AY91)*(1+$AZ91)+($BB91*IF($G$1="牵丝",$AJ91,$AH91)+IF($G$1="牵丝",$AK91*1.5,0))*(1+$BC91)*(1+$BD91)+($BF91*IF($G$1="破竹",$AJ91,$AH91)+IF($G$1="破竹",$AK91*1.5,0))*(1+$BG91)*(1+$BH91))*(1+$AL91)*$BM91*$P91*(1+IF(VLOOKUP($Q91,武学奇术!$A:$ZZ,30,FALSE)="回旋伞",$B$21,0))*(1+$BQ91)</f>
        <v>63957.3419828998</v>
      </c>
      <c r="N91" s="41">
        <f>((($AN91+$AO91)/2*$AH91+$AI91)*(1+$AP91)*(1+$AQ91)+(($AS91+$AT91)/2*IF($G$1="鸣金",$AJ91,$AH91)+IF($G$1="鸣金",$AK91*1.5,0))*(1+$AU91)*(1+$AV91)+(($AW91+$AX91)/2*IF($G$1="裂石",$AJ91,$AH91)+IF($G$1="裂石",$AK91*1.5,0))*(1+$AY91)*(1+$AZ91)+(($BA91+$BB91)/2*IF($G$1="牵丝",$AJ91,$AH91)+IF($G$1="牵丝",$AK91*1.5,0))*(1+$BC91)*(1+$BD91)+(($BE91+$BF91)/2*IF($G$1="破竹",$AJ91,$AH91)+IF($G$1="破竹",$AK91*1.5,0))*(1+$BG91)*(1+$BH91))*(1+$AL91)*$P91*(1+IF(VLOOKUP($Q91,武学奇术!$A:$ZZ,30,FALSE)="回旋伞",$B$21,0))*(1+$BQ91)</f>
        <v>41910.0368436884</v>
      </c>
      <c r="O91" s="41">
        <f>((($AN91*$AH91+$AI91)*(1+$AP91)*(1+$AQ91)+($AS91*IF($G$1="鸣金",$AJ91,$AH91)+IF($G$1="鸣金",$AK91*1.5,0))*(1+$AU91)*(1+$AV91)+($AW91*IF($G$1="裂石",$AJ91,$AH91)+IF($G$1="裂石",$AK91*1.5,0))*(1+$AY91)*(1+$AZ91)+($BA91*IF($G$1="牵丝",$AJ91,$AH91)+IF($G$1="牵丝",$AK91*1.5,0))*(1+$BC91)*(1+$BD91)+($BE91*IF($G$1="破竹",$AJ91,$AH91)+IF($G$1="破竹",$AK91*1.5,0))*(1+$BG91)*(1+$BH91))*(1+$AL91))*$P91*(1+IF(VLOOKUP($Q91,武学奇术!$A:$ZZ,30,FALSE)="回旋伞",$B$21,0))*(1+$BQ91)</f>
        <v>36444.2648111547</v>
      </c>
      <c r="P91" s="42">
        <v>1</v>
      </c>
      <c r="Q91" s="43" t="s">
        <v>176</v>
      </c>
      <c r="R91" s="43" t="s">
        <v>71</v>
      </c>
      <c r="S91" s="43" t="s">
        <v>91</v>
      </c>
      <c r="T91" s="43" t="s">
        <v>72</v>
      </c>
      <c r="U91" s="43" t="s">
        <v>79</v>
      </c>
      <c r="V91" s="43" t="s">
        <v>167</v>
      </c>
      <c r="W91" s="43" t="s">
        <v>95</v>
      </c>
      <c r="X91" s="43" t="s">
        <v>71</v>
      </c>
      <c r="Y91" s="43" t="s">
        <v>71</v>
      </c>
      <c r="Z91" s="43" t="s">
        <v>71</v>
      </c>
      <c r="AA91" s="43" t="s">
        <v>71</v>
      </c>
      <c r="AB91" s="43" t="s">
        <v>71</v>
      </c>
      <c r="AC91" s="43" t="s">
        <v>71</v>
      </c>
      <c r="AD91" s="43" t="s">
        <v>71</v>
      </c>
      <c r="AE91" s="43" t="s">
        <v>71</v>
      </c>
      <c r="AF91" s="43" t="s">
        <v>76</v>
      </c>
      <c r="AG91" t="str">
        <f>VLOOKUP($Q91,武学奇术!$A:$ZZ,25,FALSE)</f>
        <v>群体奇术</v>
      </c>
      <c r="AH91" s="30">
        <f>VLOOKUP($Q91,武学奇术!$A:$ZZ,26,FALSE)</f>
        <v>3.9744</v>
      </c>
      <c r="AI91" s="31">
        <f>VLOOKUP($Q91,武学奇术!$A:$ZZ,27,FALSE)*(1+IF(OR($AG91=$F$4,$AG91=$F$5),$B$22,0))</f>
        <v>982</v>
      </c>
      <c r="AJ91" s="30">
        <f>VLOOKUP($Q91,武学奇术!$A:$ZZ,28,FALSE)</f>
        <v>5.9613</v>
      </c>
      <c r="AK91" s="31">
        <f>VLOOKUP($Q91,武学奇术!$A:$ZZ,29,FALSE)*(1+IF(OR($AG91=$F$4,$AG91=$F$5),$B$22,0))</f>
        <v>0</v>
      </c>
      <c r="AL91" s="30" cm="1">
        <f t="array" ref="AL91">$G$3+IFERROR(VLOOKUP($AG91,$F$4:$G$7,2,FALSE),0)+VLOOKUP($Q91,武学奇术!$A:$ZZ,2,FALSE)+SUM(_xlfn.XLOOKUP($R91:$AF91,增益!$A:$A,增益!$B:$B,0))</f>
        <v>0.4037</v>
      </c>
      <c r="AM91" s="30" cm="1">
        <f t="array" ref="AM91">VLOOKUP($Q91,武学奇术!$A:$ZZ,5,FALSE)+SUM(_xlfn.XLOOKUP($R91:$AF91,增益!$A:$A,增益!$E:$E,0))</f>
        <v>0</v>
      </c>
      <c r="AN91" cm="1">
        <f t="array" ref="AN91">$D$10*(1+$AM91)+VLOOKUP($Q91,武学奇术!$A:$ZZ,3,FALSE)+SUM(_xlfn.XLOOKUP($R91:$AF91,增益!$A:$A,增益!$C:$C,0))-$I$2</f>
        <v>3483.8</v>
      </c>
      <c r="AO91" cm="1">
        <f t="array" ref="AO91">$E$10*(1+$AM91)+VLOOKUP($Q91,武学奇术!$A:$ZZ,4,FALSE)+SUM(_xlfn.XLOOKUP($R91:$AF91,增益!$A:$A,增益!$D:$D,0))-$I$2</f>
        <v>3483.8</v>
      </c>
      <c r="AP91" s="35" cm="1">
        <f t="array" ref="AP91">IF($F$10-$I$3+VLOOKUP($Q91,武学奇术!$A:$ZZ,6,FALSE)+SUM(_xlfn.XLOOKUP(R91:AF91,增益!$A:$A,增益!$F:$F,0))&gt;0,($F$10-$I$3+VLOOKUP($Q91,武学奇术!$A:$ZZ,6,FALSE)+SUM(_xlfn.XLOOKUP(R91:AF91,增益!$A:$A,增益!$F:$F,0)))/200,($F$10-$I$3+VLOOKUP($Q91,武学奇术!$A:$ZZ,6,FALSE)+SUM(_xlfn.XLOOKUP(R91:AF91,增益!$A:$A,增益!$F:$F,0)))/100)</f>
        <v>0.2925</v>
      </c>
      <c r="AQ91" s="35" cm="1">
        <f t="array" ref="AQ91">$G$10+VLOOKUP($Q91,武学奇术!$A:$ZZ,7,FALSE)+SUM(_xlfn.XLOOKUP(R91:AF91,增益!$A:$A,增益!$G:$G,0))</f>
        <v>0.028</v>
      </c>
      <c r="AR91" s="30" cm="1">
        <f t="array" ref="AR91">VLOOKUP($Q91,武学奇术!$A:$ZZ,8,FALSE)+SUM(_xlfn.XLOOKUP(R91:AF91,增益!$A:$A,增益!$H:$H,0))</f>
        <v>0</v>
      </c>
      <c r="AS91">
        <f t="shared" si="13"/>
        <v>0</v>
      </c>
      <c r="AT91">
        <f t="shared" si="14"/>
        <v>0</v>
      </c>
      <c r="AU91" s="35" cm="1">
        <f t="array" ref="AU91">IF($F$11-$I$4+VLOOKUP($Q91,武学奇术!$A:$ZZ,9,FALSE)+SUM(_xlfn.XLOOKUP(R91:AF91,增益!$A:$A,增益!$I:$I,0))&gt;0,($F$11-$I$4+VLOOKUP($Q91,武学奇术!$A:$ZZ,9,FALSE)+SUM(_xlfn.XLOOKUP(R91:AF91,增益!$A:$A,增益!$I:$I,0)))/200,($F$11-$I$4+VLOOKUP($Q91,武学奇术!$A:$ZZ,9,FALSE)+SUM(_xlfn.XLOOKUP(R91:AF91,增益!$A:$A,增益!$I:$I,0)))/100)</f>
        <v>-0.3</v>
      </c>
      <c r="AV91" s="35" cm="1">
        <f t="array" ref="AV91">$G$11+VLOOKUP($Q91,武学奇术!$A:$ZZ,10,FALSE)+SUM(_xlfn.XLOOKUP(R91:AF91,增益!$A:$A,增益!$J:$J,0))</f>
        <v>0</v>
      </c>
      <c r="AW91">
        <f t="shared" si="15"/>
        <v>0</v>
      </c>
      <c r="AX91">
        <f t="shared" si="16"/>
        <v>0</v>
      </c>
      <c r="AY91" s="35" cm="1">
        <f t="array" ref="AY91">IF($F$12-$I$4+VLOOKUP($Q91,武学奇术!$A:$ZZ,11,FALSE)+SUM(_xlfn.XLOOKUP(R91:AF91,增益!$A:$A,增益!$K:$K,0))&gt;0,($F$12-$I$4+VLOOKUP($Q91,武学奇术!$A:$ZZ,11,FALSE)+SUM(_xlfn.XLOOKUP(R91:AF91,增益!$A:$A,增益!$K:$K,0)))/200,($F$12-$I$4+VLOOKUP($Q91,武学奇术!$A:$ZZ,11,FALSE)+SUM(_xlfn.XLOOKUP(R91:AF91,增益!$A:$A,增益!$K:$K,0)))/100)</f>
        <v>-0.3</v>
      </c>
      <c r="AZ91" s="35" cm="1">
        <f t="array" ref="AZ91">$G$12+VLOOKUP($Q91,武学奇术!$A:$ZZ,12,FALSE)+SUM(_xlfn.XLOOKUP(R91:AF91,增益!$A:$A,增益!$L:$L,0))</f>
        <v>0</v>
      </c>
      <c r="BA91">
        <f t="shared" si="17"/>
        <v>0</v>
      </c>
      <c r="BB91">
        <f t="shared" si="18"/>
        <v>0</v>
      </c>
      <c r="BC91" s="35" cm="1">
        <f t="array" ref="BC91">IF($F$13-$I$4+VLOOKUP($Q91,武学奇术!$A:$ZZ,13,FALSE)+SUM(_xlfn.XLOOKUP(R91:AF91,增益!$A:$A,增益!$M:$M,0))&gt;0,($F$13-$I$4+VLOOKUP($Q91,武学奇术!$A:$ZZ,13,FALSE)+SUM(_xlfn.XLOOKUP(R91:AF91,增益!$A:$A,增益!$K:$K,0)))/200,($F$13-$I$4+VLOOKUP($Q91,武学奇术!$A:$ZZ,13,FALSE)+SUM(_xlfn.XLOOKUP(R91:AF91,增益!$A:$A,增益!$M:$M,0)))/100)</f>
        <v>-0.3</v>
      </c>
      <c r="BD91" s="35" cm="1">
        <f t="array" ref="BD91">$G$13+VLOOKUP($Q91,武学奇术!$A:$ZZ,14,FALSE)+SUM(_xlfn.XLOOKUP(R91:AF91,增益!$A:$A,增益!$N:$N,0))</f>
        <v>0</v>
      </c>
      <c r="BE91">
        <f t="shared" si="19"/>
        <v>538</v>
      </c>
      <c r="BF91">
        <f t="shared" si="20"/>
        <v>1561.4</v>
      </c>
      <c r="BG91" s="35" cm="1">
        <f t="array" ref="BG91">IF($F$14-$I$4+VLOOKUP($Q91,武学奇术!$A:$ZZ,15,FALSE)+SUM(_xlfn.XLOOKUP(R91:AF91,增益!$A:$A,增益!$O:$O,0))&gt;0,($F$14-$I$4+VLOOKUP($Q91,武学奇术!$A:$ZZ,15,FALSE)+SUM(_xlfn.XLOOKUP(R91:AF91,增益!$A:$A,增益!$O:$O,0)))/200,($F$14-$I$4+VLOOKUP($Q91,武学奇术!$A:$ZZ,15,FALSE)+SUM(_xlfn.XLOOKUP(R91:AF91,增益!$A:$A,增益!$O:$O,0)))/100)</f>
        <v>0</v>
      </c>
      <c r="BH91" s="35" cm="1">
        <f t="array" ref="BH91">$G$14+VLOOKUP($Q91,武学奇术!$A:$ZZ,16,FALSE)+SUM(_xlfn.XLOOKUP(R91:AF91,增益!$A:$A,增益!$P:$P,0))</f>
        <v>0.15</v>
      </c>
      <c r="BI91" s="30">
        <f>MIN(IF(VLOOKUP($Q91,武学奇术!$A:$ZZ,23,FALSE)=1,100%,$B$8),100%)</f>
        <v>0.9712</v>
      </c>
      <c r="BJ91" s="30" cm="1">
        <f t="array" ref="BJ91">IF(VLOOKUP($Q91,武学奇术!$A:$ZZ,23,FALSE)=1,100%,MIN(80%,$B$9+VLOOKUP($Q91,武学奇术!$A:$ZZ,17,FALSE)+SUM(_xlfn.XLOOKUP(R91:AF91,增益!$A:$A,增益!$Q:$Q,0)))+$B$11+SUM(_xlfn.XLOOKUP(R91:AF91,增益!$A:$A,增益!$U:$U,0)))*IF(VLOOKUP($Q91,武学奇术!$A:$ZZ,24,FALSE)=1,0,1)</f>
        <v>0.8773</v>
      </c>
      <c r="BK91" s="30" cm="1">
        <f t="array" ref="BK91">1+$B$13+VLOOKUP($Q91,武学奇术!$A:$ZZ,18,FALSE)+SUM(_xlfn.XLOOKUP(R91:AF91,增益!$A:$A,增益!$R:$R,0))</f>
        <v>1.87</v>
      </c>
      <c r="BL91" s="30" cm="1">
        <f t="array" ref="BL91">IF(VLOOKUP($Q91,武学奇术!$A:$ZZ,24,FALSE)=1,100%,MIN(40%,$B$10+VLOOKUP($Q91,武学奇术!$A:$ZZ,19,FALSE)+SUM(_xlfn.XLOOKUP(R91:AF91,增益!$A:$A,增益!$S:$S,0)))+$B$12+SUM(_xlfn.XLOOKUP(R91:AF91,增益!$A:$A,增益!$V:$V,0)))*IF(VLOOKUP($Q91,武学奇术!$A:$ZZ,23,FALSE)=1,0,1)</f>
        <v>0.0895</v>
      </c>
      <c r="BM91" s="30" cm="1">
        <f t="array" ref="BM91">1+$B$14+VLOOKUP($Q91,武学奇术!$A:$ZZ,20,FALSE)+SUM(_xlfn.XLOOKUP(R91:AF91,增益!$A:$A,增益!$T:$T,0))</f>
        <v>1.35</v>
      </c>
      <c r="BN91" s="30">
        <f t="shared" si="21"/>
        <v>0.85203376</v>
      </c>
      <c r="BO91" s="30">
        <f t="shared" si="22"/>
        <v>0.03224384</v>
      </c>
      <c r="BP91" s="30">
        <f>IF(VLOOKUP($Q91,武学奇术!$A:$ZZ,22,FALSE)=1,0,(1-$BI91))*(1-$BL91)</f>
        <v>0.0262224</v>
      </c>
      <c r="BQ91" s="30" cm="1">
        <f t="array" ref="BQ91">SUM(_xlfn.XLOOKUP(R91:AF91,增益!$A:$A,增益!$W:$W,0))+$I$5</f>
        <v>0.11</v>
      </c>
    </row>
    <row r="92" spans="1:69">
      <c r="K92" s="41">
        <f t="shared" si="24"/>
        <v>24054.1960610605</v>
      </c>
      <c r="L92" s="41">
        <f>((($AN92+$AO92)/2*$AH92+$AI92)*(1+$AP92)*(1+$AQ92)+(($AS92+$AT92)/2*IF($G$1="鸣金",$AJ92,$AH92)+IF($G$1="鸣金",$AK92*1.5,0))*(1+$AU92)*(1+$AV92)+(($AW92+$AX92)/2*IF($G$1="裂石",$AJ92,$AH92)+IF($G$1="裂石",$AK92*1.5,0))*(1+$AY92)*(1+$AZ92)+(($BA92+$BB92)/2*IF($G$1="牵丝",$AJ92,$AH92)+IF($G$1="牵丝",$AK92*1.5,0))*(1+$BC92)*(1+$BD92)+(($BE92+$BF92)/2*IF($G$1="破竹",$AJ92,$AH92)+IF($G$1="破竹",$AK92*1.5,0))*(1+$BG92)*(1+$BH92))*(1+$AL92)*$BK92*$P92*(1+IF(VLOOKUP($Q92,武学奇术!$A:$ZZ,30,FALSE)="回旋伞",$B$21,0))*(1+$BQ92)</f>
        <v>25200.5970136529</v>
      </c>
      <c r="M92" s="41">
        <f>(($AO92*$AH92+$AI92)*(1+$AP92)*(1+$AQ92)+($AT92*IF($G$1="鸣金",$AJ92,$AH92)+IF($G$1="鸣金",$AK92*1.5,0))*(1+$AU92)*(1+$AV92)+($AX92*IF($G$1="裂石",$AJ92,$AH92)+IF($G$1="裂石",$AK92*1.5,0))*(1+$AY92)*(1+$AZ92)+($BB92*IF($G$1="牵丝",$AJ92,$AH92)+IF($G$1="牵丝",$AK92*1.5,0))*(1+$BC92)*(1+$BD92)+($BF92*IF($G$1="破竹",$AJ92,$AH92)+IF($G$1="破竹",$AK92*1.5,0))*(1+$BG92)*(1+$BH92))*(1+$AL92)*$BM92*$P92*(1+IF(VLOOKUP($Q92,武学奇术!$A:$ZZ,30,FALSE)="回旋伞",$B$21,0))*(1+$BQ92)</f>
        <v>20565.541949003</v>
      </c>
      <c r="N92" s="41">
        <f>((($AN92+$AO92)/2*$AH92+$AI92)*(1+$AP92)*(1+$AQ92)+(($AS92+$AT92)/2*IF($G$1="鸣金",$AJ92,$AH92)+IF($G$1="鸣金",$AK92*1.5,0))*(1+$AU92)*(1+$AV92)+(($AW92+$AX92)/2*IF($G$1="裂石",$AJ92,$AH92)+IF($G$1="裂石",$AK92*1.5,0))*(1+$AY92)*(1+$AZ92)+(($BA92+$BB92)/2*IF($G$1="牵丝",$AJ92,$AH92)+IF($G$1="牵丝",$AK92*1.5,0))*(1+$BC92)*(1+$BD92)+(($BE92+$BF92)/2*IF($G$1="破竹",$AJ92,$AH92)+IF($G$1="破竹",$AK92*1.5,0))*(1+$BG92)*(1+$BH92))*(1+$AL92)*$P92*(1+IF(VLOOKUP($Q92,武学奇术!$A:$ZZ,30,FALSE)="回旋伞",$B$21,0))*(1+$BQ92)</f>
        <v>13476.2550875149</v>
      </c>
      <c r="O92" s="41">
        <f>((($AN92*$AH92+$AI92)*(1+$AP92)*(1+$AQ92)+($AS92*IF($G$1="鸣金",$AJ92,$AH92)+IF($G$1="鸣金",$AK92*1.5,0))*(1+$AU92)*(1+$AV92)+($AW92*IF($G$1="裂石",$AJ92,$AH92)+IF($G$1="裂石",$AK92*1.5,0))*(1+$AY92)*(1+$AZ92)+($BA92*IF($G$1="牵丝",$AJ92,$AH92)+IF($G$1="牵丝",$AK92*1.5,0))*(1+$BC92)*(1+$BD92)+($BE92*IF($G$1="破竹",$AJ92,$AH92)+IF($G$1="破竹",$AK92*1.5,0))*(1+$BG92)*(1+$BH92))*(1+$AL92))*$P92*(1+IF(VLOOKUP($Q92,武学奇术!$A:$ZZ,30,FALSE)="回旋伞",$B$21,0))*(1+$BQ92)</f>
        <v>11718.7753979905</v>
      </c>
      <c r="P92" s="42">
        <v>1</v>
      </c>
      <c r="Q92" s="43" t="s">
        <v>70</v>
      </c>
      <c r="R92" s="43" t="s">
        <v>71</v>
      </c>
      <c r="S92" s="43" t="s">
        <v>91</v>
      </c>
      <c r="T92" s="43" t="s">
        <v>72</v>
      </c>
      <c r="U92" s="43" t="s">
        <v>71</v>
      </c>
      <c r="V92" s="43" t="s">
        <v>167</v>
      </c>
      <c r="W92" s="43" t="s">
        <v>95</v>
      </c>
      <c r="X92" s="43" t="s">
        <v>71</v>
      </c>
      <c r="Y92" s="43" t="s">
        <v>71</v>
      </c>
      <c r="Z92" s="43" t="s">
        <v>71</v>
      </c>
      <c r="AA92" s="43" t="s">
        <v>71</v>
      </c>
      <c r="AB92" s="43" t="s">
        <v>71</v>
      </c>
      <c r="AC92" s="43" t="s">
        <v>71</v>
      </c>
      <c r="AD92" s="43" t="s">
        <v>71</v>
      </c>
      <c r="AE92" s="43" t="s">
        <v>71</v>
      </c>
      <c r="AF92" s="43" t="s">
        <v>76</v>
      </c>
      <c r="AG92" t="str">
        <f>VLOOKUP($Q92,武学奇术!$A:$ZZ,25,FALSE)</f>
        <v>群体奇术</v>
      </c>
      <c r="AH92" s="30">
        <f>VLOOKUP($Q92,武学奇术!$A:$ZZ,26,FALSE)</f>
        <v>1.4904</v>
      </c>
      <c r="AI92" s="31">
        <f>VLOOKUP($Q92,武学奇术!$A:$ZZ,27,FALSE)*(1+IF(OR($AG92=$F$4,$AG92=$F$5),$B$22,0))</f>
        <v>368</v>
      </c>
      <c r="AJ92" s="30">
        <f>VLOOKUP($Q92,武学奇术!$A:$ZZ,28,FALSE)</f>
        <v>2.2353</v>
      </c>
      <c r="AK92" s="31">
        <f>VLOOKUP($Q92,武学奇术!$A:$ZZ,29,FALSE)*(1+IF(OR($AG92=$F$4,$AG92=$F$5),$B$22,0))</f>
        <v>0</v>
      </c>
      <c r="AL92" s="30" cm="1">
        <f t="array" ref="AL92">$G$3+IFERROR(VLOOKUP($AG92,$F$4:$G$7,2,FALSE),0)+VLOOKUP($Q92,武学奇术!$A:$ZZ,2,FALSE)+SUM(_xlfn.XLOOKUP($R92:$AF92,增益!$A:$A,增益!$B:$B,0))</f>
        <v>0.2037</v>
      </c>
      <c r="AM92" s="30" cm="1">
        <f t="array" ref="AM92">VLOOKUP($Q92,武学奇术!$A:$ZZ,5,FALSE)+SUM(_xlfn.XLOOKUP($R92:$AF92,增益!$A:$A,增益!$E:$E,0))</f>
        <v>0</v>
      </c>
      <c r="AN92" cm="1">
        <f t="array" ref="AN92">$D$10*(1+$AM92)+VLOOKUP($Q92,武学奇术!$A:$ZZ,3,FALSE)+SUM(_xlfn.XLOOKUP($R92:$AF92,增益!$A:$A,增益!$C:$C,0))-$I$2</f>
        <v>3483.8</v>
      </c>
      <c r="AO92" cm="1">
        <f t="array" ref="AO92">$E$10*(1+$AM92)+VLOOKUP($Q92,武学奇术!$A:$ZZ,4,FALSE)+SUM(_xlfn.XLOOKUP($R92:$AF92,增益!$A:$A,增益!$D:$D,0))-$I$2</f>
        <v>3483.8</v>
      </c>
      <c r="AP92" s="35" cm="1">
        <f t="array" ref="AP92">IF($F$10-$I$3+VLOOKUP($Q92,武学奇术!$A:$ZZ,6,FALSE)+SUM(_xlfn.XLOOKUP(R92:AF92,增益!$A:$A,增益!$F:$F,0))&gt;0,($F$10-$I$3+VLOOKUP($Q92,武学奇术!$A:$ZZ,6,FALSE)+SUM(_xlfn.XLOOKUP(R92:AF92,增益!$A:$A,增益!$F:$F,0)))/200,($F$10-$I$3+VLOOKUP($Q92,武学奇术!$A:$ZZ,6,FALSE)+SUM(_xlfn.XLOOKUP(R92:AF92,增益!$A:$A,增益!$F:$F,0)))/100)</f>
        <v>0.2925</v>
      </c>
      <c r="AQ92" s="35" cm="1">
        <f t="array" ref="AQ92">$G$10+VLOOKUP($Q92,武学奇术!$A:$ZZ,7,FALSE)+SUM(_xlfn.XLOOKUP(R92:AF92,增益!$A:$A,增益!$G:$G,0))</f>
        <v>0.028</v>
      </c>
      <c r="AR92" s="30" cm="1">
        <f t="array" ref="AR92">VLOOKUP($Q92,武学奇术!$A:$ZZ,8,FALSE)+SUM(_xlfn.XLOOKUP(R92:AF92,增益!$A:$A,增益!$H:$H,0))</f>
        <v>0</v>
      </c>
      <c r="AS92">
        <f t="shared" si="13"/>
        <v>0</v>
      </c>
      <c r="AT92">
        <f t="shared" si="14"/>
        <v>0</v>
      </c>
      <c r="AU92" s="35" cm="1">
        <f t="array" ref="AU92">IF($F$11-$I$4+VLOOKUP($Q92,武学奇术!$A:$ZZ,9,FALSE)+SUM(_xlfn.XLOOKUP(R92:AF92,增益!$A:$A,增益!$I:$I,0))&gt;0,($F$11-$I$4+VLOOKUP($Q92,武学奇术!$A:$ZZ,9,FALSE)+SUM(_xlfn.XLOOKUP(R92:AF92,增益!$A:$A,增益!$I:$I,0)))/200,($F$11-$I$4+VLOOKUP($Q92,武学奇术!$A:$ZZ,9,FALSE)+SUM(_xlfn.XLOOKUP(R92:AF92,增益!$A:$A,增益!$I:$I,0)))/100)</f>
        <v>-0.3</v>
      </c>
      <c r="AV92" s="35" cm="1">
        <f t="array" ref="AV92">$G$11+VLOOKUP($Q92,武学奇术!$A:$ZZ,10,FALSE)+SUM(_xlfn.XLOOKUP(R92:AF92,增益!$A:$A,增益!$J:$J,0))</f>
        <v>0</v>
      </c>
      <c r="AW92">
        <f t="shared" si="15"/>
        <v>0</v>
      </c>
      <c r="AX92">
        <f t="shared" si="16"/>
        <v>0</v>
      </c>
      <c r="AY92" s="35" cm="1">
        <f t="array" ref="AY92">IF($F$12-$I$4+VLOOKUP($Q92,武学奇术!$A:$ZZ,11,FALSE)+SUM(_xlfn.XLOOKUP(R92:AF92,增益!$A:$A,增益!$K:$K,0))&gt;0,($F$12-$I$4+VLOOKUP($Q92,武学奇术!$A:$ZZ,11,FALSE)+SUM(_xlfn.XLOOKUP(R92:AF92,增益!$A:$A,增益!$K:$K,0)))/200,($F$12-$I$4+VLOOKUP($Q92,武学奇术!$A:$ZZ,11,FALSE)+SUM(_xlfn.XLOOKUP(R92:AF92,增益!$A:$A,增益!$K:$K,0)))/100)</f>
        <v>-0.3</v>
      </c>
      <c r="AZ92" s="35" cm="1">
        <f t="array" ref="AZ92">$G$12+VLOOKUP($Q92,武学奇术!$A:$ZZ,12,FALSE)+SUM(_xlfn.XLOOKUP(R92:AF92,增益!$A:$A,增益!$L:$L,0))</f>
        <v>0</v>
      </c>
      <c r="BA92">
        <f t="shared" si="17"/>
        <v>0</v>
      </c>
      <c r="BB92">
        <f t="shared" si="18"/>
        <v>0</v>
      </c>
      <c r="BC92" s="35" cm="1">
        <f t="array" ref="BC92">IF($F$13-$I$4+VLOOKUP($Q92,武学奇术!$A:$ZZ,13,FALSE)+SUM(_xlfn.XLOOKUP(R92:AF92,增益!$A:$A,增益!$M:$M,0))&gt;0,($F$13-$I$4+VLOOKUP($Q92,武学奇术!$A:$ZZ,13,FALSE)+SUM(_xlfn.XLOOKUP(R92:AF92,增益!$A:$A,增益!$K:$K,0)))/200,($F$13-$I$4+VLOOKUP($Q92,武学奇术!$A:$ZZ,13,FALSE)+SUM(_xlfn.XLOOKUP(R92:AF92,增益!$A:$A,增益!$M:$M,0)))/100)</f>
        <v>-0.3</v>
      </c>
      <c r="BD92" s="35" cm="1">
        <f t="array" ref="BD92">$G$13+VLOOKUP($Q92,武学奇术!$A:$ZZ,14,FALSE)+SUM(_xlfn.XLOOKUP(R92:AF92,增益!$A:$A,增益!$N:$N,0))</f>
        <v>0</v>
      </c>
      <c r="BE92">
        <f t="shared" si="19"/>
        <v>538</v>
      </c>
      <c r="BF92">
        <f t="shared" si="20"/>
        <v>1561.4</v>
      </c>
      <c r="BG92" s="35" cm="1">
        <f t="array" ref="BG92">IF($F$14-$I$4+VLOOKUP($Q92,武学奇术!$A:$ZZ,15,FALSE)+SUM(_xlfn.XLOOKUP(R92:AF92,增益!$A:$A,增益!$O:$O,0))&gt;0,($F$14-$I$4+VLOOKUP($Q92,武学奇术!$A:$ZZ,15,FALSE)+SUM(_xlfn.XLOOKUP(R92:AF92,增益!$A:$A,增益!$O:$O,0)))/200,($F$14-$I$4+VLOOKUP($Q92,武学奇术!$A:$ZZ,15,FALSE)+SUM(_xlfn.XLOOKUP(R92:AF92,增益!$A:$A,增益!$O:$O,0)))/100)</f>
        <v>0</v>
      </c>
      <c r="BH92" s="35" cm="1">
        <f t="array" ref="BH92">$G$14+VLOOKUP($Q92,武学奇术!$A:$ZZ,16,FALSE)+SUM(_xlfn.XLOOKUP(R92:AF92,增益!$A:$A,增益!$P:$P,0))</f>
        <v>0.15</v>
      </c>
      <c r="BI92" s="30">
        <f>MIN(IF(VLOOKUP($Q92,武学奇术!$A:$ZZ,23,FALSE)=1,100%,$B$8),100%)</f>
        <v>0.9712</v>
      </c>
      <c r="BJ92" s="30" cm="1">
        <f t="array" ref="BJ92">IF(VLOOKUP($Q92,武学奇术!$A:$ZZ,23,FALSE)=1,100%,MIN(80%,$B$9+VLOOKUP($Q92,武学奇术!$A:$ZZ,17,FALSE)+SUM(_xlfn.XLOOKUP(R92:AF92,增益!$A:$A,增益!$Q:$Q,0)))+$B$11+SUM(_xlfn.XLOOKUP(R92:AF92,增益!$A:$A,增益!$U:$U,0)))*IF(VLOOKUP($Q92,武学奇术!$A:$ZZ,24,FALSE)=1,0,1)</f>
        <v>0.8773</v>
      </c>
      <c r="BK92" s="30" cm="1">
        <f t="array" ref="BK92">1+$B$13+VLOOKUP($Q92,武学奇术!$A:$ZZ,18,FALSE)+SUM(_xlfn.XLOOKUP(R92:AF92,增益!$A:$A,增益!$R:$R,0))</f>
        <v>1.87</v>
      </c>
      <c r="BL92" s="30" cm="1">
        <f t="array" ref="BL92">IF(VLOOKUP($Q92,武学奇术!$A:$ZZ,24,FALSE)=1,100%,MIN(40%,$B$10+VLOOKUP($Q92,武学奇术!$A:$ZZ,19,FALSE)+SUM(_xlfn.XLOOKUP(R92:AF92,增益!$A:$A,增益!$S:$S,0)))+$B$12+SUM(_xlfn.XLOOKUP(R92:AF92,增益!$A:$A,增益!$V:$V,0)))*IF(VLOOKUP($Q92,武学奇术!$A:$ZZ,23,FALSE)=1,0,1)</f>
        <v>0.0895</v>
      </c>
      <c r="BM92" s="30" cm="1">
        <f t="array" ref="BM92">1+$B$14+VLOOKUP($Q92,武学奇术!$A:$ZZ,20,FALSE)+SUM(_xlfn.XLOOKUP(R92:AF92,增益!$A:$A,增益!$T:$T,0))</f>
        <v>1.35</v>
      </c>
      <c r="BN92" s="30">
        <f t="shared" si="21"/>
        <v>0.85203376</v>
      </c>
      <c r="BO92" s="30">
        <f t="shared" si="22"/>
        <v>0.03224384</v>
      </c>
      <c r="BP92" s="30">
        <f>IF(VLOOKUP($Q92,武学奇术!$A:$ZZ,22,FALSE)=1,0,(1-$BI92))*(1-$BL92)</f>
        <v>0.0262224</v>
      </c>
      <c r="BQ92" s="30" cm="1">
        <f t="array" ref="BQ92">SUM(_xlfn.XLOOKUP(R92:AF92,增益!$A:$A,增益!$W:$W,0))+$I$5</f>
        <v>0.11</v>
      </c>
    </row>
    <row r="93" spans="1:69">
      <c r="K93" s="41">
        <f t="shared" si="24"/>
        <v>84152.7166509361</v>
      </c>
      <c r="L93" s="41">
        <f>((($AN93+$AO93)/2*$AH93+$AI93)*(1+$AP93)*(1+$AQ93)+(($AS93+$AT93)/2*IF($G$1="鸣金",$AJ93,$AH93)+IF($G$1="鸣金",$AK93*1.5,0))*(1+$AU93)*(1+$AV93)+(($AW93+$AX93)/2*IF($G$1="裂石",$AJ93,$AH93)+IF($G$1="裂石",$AK93*1.5,0))*(1+$AY93)*(1+$AZ93)+(($BA93+$BB93)/2*IF($G$1="牵丝",$AJ93,$AH93)+IF($G$1="牵丝",$AK93*1.5,0))*(1+$BC93)*(1+$BD93)+(($BE93+$BF93)/2*IF($G$1="破竹",$AJ93,$AH93)+IF($G$1="破竹",$AK93*1.5,0))*(1+$BG93)*(1+$BH93))*(1+$AL93)*$BK93*$P93*(1+IF(VLOOKUP($Q93,武学奇术!$A:$ZZ,30,FALSE)="回旋伞",$B$21,0))*(1+$BQ93)</f>
        <v>88163.3580495087</v>
      </c>
      <c r="M93" s="41">
        <f>(($AO93*$AH93+$AI93)*(1+$AP93)*(1+$AQ93)+($AT93*IF($G$1="鸣金",$AJ93,$AH93)+IF($G$1="鸣金",$AK93*1.5,0))*(1+$AU93)*(1+$AV93)+($AX93*IF($G$1="裂石",$AJ93,$AH93)+IF($G$1="裂石",$AK93*1.5,0))*(1+$AY93)*(1+$AZ93)+($BB93*IF($G$1="牵丝",$AJ93,$AH93)+IF($G$1="牵丝",$AK93*1.5,0))*(1+$BC93)*(1+$BD93)+($BF93*IF($G$1="破竹",$AJ93,$AH93)+IF($G$1="破竹",$AK93*1.5,0))*(1+$BG93)*(1+$BH93))*(1+$AL93)*$BM93*$P93*(1+IF(VLOOKUP($Q93,武学奇术!$A:$ZZ,30,FALSE)="回旋伞",$B$21,0))*(1+$BQ93)</f>
        <v>71947.7890682451</v>
      </c>
      <c r="N93" s="41">
        <f>((($AN93+$AO93)/2*$AH93+$AI93)*(1+$AP93)*(1+$AQ93)+(($AS93+$AT93)/2*IF($G$1="鸣金",$AJ93,$AH93)+IF($G$1="鸣金",$AK93*1.5,0))*(1+$AU93)*(1+$AV93)+(($AW93+$AX93)/2*IF($G$1="裂石",$AJ93,$AH93)+IF($G$1="裂石",$AK93*1.5,0))*(1+$AY93)*(1+$AZ93)+(($BA93+$BB93)/2*IF($G$1="牵丝",$AJ93,$AH93)+IF($G$1="牵丝",$AK93*1.5,0))*(1+$BC93)*(1+$BD93)+(($BE93+$BF93)/2*IF($G$1="破竹",$AJ93,$AH93)+IF($G$1="破竹",$AK93*1.5,0))*(1+$BG93)*(1+$BH93))*(1+$AL93)*$P93*(1+IF(VLOOKUP($Q93,武学奇术!$A:$ZZ,30,FALSE)="回旋伞",$B$21,0))*(1+$BQ93)</f>
        <v>47146.1807751383</v>
      </c>
      <c r="O93" s="41">
        <f>((($AN93*$AH93+$AI93)*(1+$AP93)*(1+$AQ93)+($AS93*IF($G$1="鸣金",$AJ93,$AH93)+IF($G$1="鸣金",$AK93*1.5,0))*(1+$AU93)*(1+$AV93)+($AW93*IF($G$1="裂石",$AJ93,$AH93)+IF($G$1="裂石",$AK93*1.5,0))*(1+$AY93)*(1+$AZ93)+($BA93*IF($G$1="牵丝",$AJ93,$AH93)+IF($G$1="牵丝",$AK93*1.5,0))*(1+$BC93)*(1+$BD93)+($BE93*IF($G$1="破竹",$AJ93,$AH93)+IF($G$1="破竹",$AK93*1.5,0))*(1+$BG93)*(1+$BH93))*(1+$AL93))*$P93*(1+IF(VLOOKUP($Q93,武学奇术!$A:$ZZ,30,FALSE)="回旋伞",$B$21,0))*(1+$BQ93)</f>
        <v>40997.7029812062</v>
      </c>
      <c r="P93" s="42">
        <v>3</v>
      </c>
      <c r="Q93" s="43" t="s">
        <v>70</v>
      </c>
      <c r="R93" s="43" t="s">
        <v>71</v>
      </c>
      <c r="S93" s="43" t="s">
        <v>91</v>
      </c>
      <c r="T93" s="43" t="s">
        <v>72</v>
      </c>
      <c r="U93" s="43" t="s">
        <v>79</v>
      </c>
      <c r="V93" s="43" t="s">
        <v>167</v>
      </c>
      <c r="W93" s="43" t="s">
        <v>95</v>
      </c>
      <c r="X93" s="43" t="s">
        <v>71</v>
      </c>
      <c r="Y93" s="43" t="s">
        <v>71</v>
      </c>
      <c r="Z93" s="43" t="s">
        <v>71</v>
      </c>
      <c r="AA93" s="43" t="s">
        <v>71</v>
      </c>
      <c r="AB93" s="43" t="s">
        <v>71</v>
      </c>
      <c r="AC93" s="43" t="s">
        <v>71</v>
      </c>
      <c r="AD93" s="43" t="s">
        <v>71</v>
      </c>
      <c r="AE93" s="43" t="s">
        <v>71</v>
      </c>
      <c r="AF93" s="43" t="s">
        <v>76</v>
      </c>
      <c r="AG93" t="str">
        <f>VLOOKUP($Q93,武学奇术!$A:$ZZ,25,FALSE)</f>
        <v>群体奇术</v>
      </c>
      <c r="AH93" s="30">
        <f>VLOOKUP($Q93,武学奇术!$A:$ZZ,26,FALSE)</f>
        <v>1.4904</v>
      </c>
      <c r="AI93" s="31">
        <f>VLOOKUP($Q93,武学奇术!$A:$ZZ,27,FALSE)*(1+IF(OR($AG93=$F$4,$AG93=$F$5),$B$22,0))</f>
        <v>368</v>
      </c>
      <c r="AJ93" s="30">
        <f>VLOOKUP($Q93,武学奇术!$A:$ZZ,28,FALSE)</f>
        <v>2.2353</v>
      </c>
      <c r="AK93" s="31">
        <f>VLOOKUP($Q93,武学奇术!$A:$ZZ,29,FALSE)*(1+IF(OR($AG93=$F$4,$AG93=$F$5),$B$22,0))</f>
        <v>0</v>
      </c>
      <c r="AL93" s="30" cm="1">
        <f t="array" ref="AL93">$G$3+IFERROR(VLOOKUP($AG93,$F$4:$G$7,2,FALSE),0)+VLOOKUP($Q93,武学奇术!$A:$ZZ,2,FALSE)+SUM(_xlfn.XLOOKUP($R93:$AF93,增益!$A:$A,增益!$B:$B,0))</f>
        <v>0.4037</v>
      </c>
      <c r="AM93" s="30" cm="1">
        <f t="array" ref="AM93">VLOOKUP($Q93,武学奇术!$A:$ZZ,5,FALSE)+SUM(_xlfn.XLOOKUP($R93:$AF93,增益!$A:$A,增益!$E:$E,0))</f>
        <v>0</v>
      </c>
      <c r="AN93" cm="1">
        <f t="array" ref="AN93">$D$10*(1+$AM93)+VLOOKUP($Q93,武学奇术!$A:$ZZ,3,FALSE)+SUM(_xlfn.XLOOKUP($R93:$AF93,增益!$A:$A,增益!$C:$C,0))-$I$2</f>
        <v>3483.8</v>
      </c>
      <c r="AO93" cm="1">
        <f t="array" ref="AO93">$E$10*(1+$AM93)+VLOOKUP($Q93,武学奇术!$A:$ZZ,4,FALSE)+SUM(_xlfn.XLOOKUP($R93:$AF93,增益!$A:$A,增益!$D:$D,0))-$I$2</f>
        <v>3483.8</v>
      </c>
      <c r="AP93" s="35" cm="1">
        <f t="array" ref="AP93">IF($F$10-$I$3+VLOOKUP($Q93,武学奇术!$A:$ZZ,6,FALSE)+SUM(_xlfn.XLOOKUP(R93:AF93,增益!$A:$A,增益!$F:$F,0))&gt;0,($F$10-$I$3+VLOOKUP($Q93,武学奇术!$A:$ZZ,6,FALSE)+SUM(_xlfn.XLOOKUP(R93:AF93,增益!$A:$A,增益!$F:$F,0)))/200,($F$10-$I$3+VLOOKUP($Q93,武学奇术!$A:$ZZ,6,FALSE)+SUM(_xlfn.XLOOKUP(R93:AF93,增益!$A:$A,增益!$F:$F,0)))/100)</f>
        <v>0.2925</v>
      </c>
      <c r="AQ93" s="35" cm="1">
        <f t="array" ref="AQ93">$G$10+VLOOKUP($Q93,武学奇术!$A:$ZZ,7,FALSE)+SUM(_xlfn.XLOOKUP(R93:AF93,增益!$A:$A,增益!$G:$G,0))</f>
        <v>0.028</v>
      </c>
      <c r="AR93" s="30" cm="1">
        <f t="array" ref="AR93">VLOOKUP($Q93,武学奇术!$A:$ZZ,8,FALSE)+SUM(_xlfn.XLOOKUP(R93:AF93,增益!$A:$A,增益!$H:$H,0))</f>
        <v>0</v>
      </c>
      <c r="AS93">
        <f t="shared" si="13"/>
        <v>0</v>
      </c>
      <c r="AT93">
        <f t="shared" si="14"/>
        <v>0</v>
      </c>
      <c r="AU93" s="35" cm="1">
        <f t="array" ref="AU93">IF($F$11-$I$4+VLOOKUP($Q93,武学奇术!$A:$ZZ,9,FALSE)+SUM(_xlfn.XLOOKUP(R93:AF93,增益!$A:$A,增益!$I:$I,0))&gt;0,($F$11-$I$4+VLOOKUP($Q93,武学奇术!$A:$ZZ,9,FALSE)+SUM(_xlfn.XLOOKUP(R93:AF93,增益!$A:$A,增益!$I:$I,0)))/200,($F$11-$I$4+VLOOKUP($Q93,武学奇术!$A:$ZZ,9,FALSE)+SUM(_xlfn.XLOOKUP(R93:AF93,增益!$A:$A,增益!$I:$I,0)))/100)</f>
        <v>-0.3</v>
      </c>
      <c r="AV93" s="35" cm="1">
        <f t="array" ref="AV93">$G$11+VLOOKUP($Q93,武学奇术!$A:$ZZ,10,FALSE)+SUM(_xlfn.XLOOKUP(R93:AF93,增益!$A:$A,增益!$J:$J,0))</f>
        <v>0</v>
      </c>
      <c r="AW93">
        <f t="shared" si="15"/>
        <v>0</v>
      </c>
      <c r="AX93">
        <f t="shared" si="16"/>
        <v>0</v>
      </c>
      <c r="AY93" s="35" cm="1">
        <f t="array" ref="AY93">IF($F$12-$I$4+VLOOKUP($Q93,武学奇术!$A:$ZZ,11,FALSE)+SUM(_xlfn.XLOOKUP(R93:AF93,增益!$A:$A,增益!$K:$K,0))&gt;0,($F$12-$I$4+VLOOKUP($Q93,武学奇术!$A:$ZZ,11,FALSE)+SUM(_xlfn.XLOOKUP(R93:AF93,增益!$A:$A,增益!$K:$K,0)))/200,($F$12-$I$4+VLOOKUP($Q93,武学奇术!$A:$ZZ,11,FALSE)+SUM(_xlfn.XLOOKUP(R93:AF93,增益!$A:$A,增益!$K:$K,0)))/100)</f>
        <v>-0.3</v>
      </c>
      <c r="AZ93" s="35" cm="1">
        <f t="array" ref="AZ93">$G$12+VLOOKUP($Q93,武学奇术!$A:$ZZ,12,FALSE)+SUM(_xlfn.XLOOKUP(R93:AF93,增益!$A:$A,增益!$L:$L,0))</f>
        <v>0</v>
      </c>
      <c r="BA93">
        <f t="shared" si="17"/>
        <v>0</v>
      </c>
      <c r="BB93">
        <f t="shared" si="18"/>
        <v>0</v>
      </c>
      <c r="BC93" s="35" cm="1">
        <f t="array" ref="BC93">IF($F$13-$I$4+VLOOKUP($Q93,武学奇术!$A:$ZZ,13,FALSE)+SUM(_xlfn.XLOOKUP(R93:AF93,增益!$A:$A,增益!$M:$M,0))&gt;0,($F$13-$I$4+VLOOKUP($Q93,武学奇术!$A:$ZZ,13,FALSE)+SUM(_xlfn.XLOOKUP(R93:AF93,增益!$A:$A,增益!$K:$K,0)))/200,($F$13-$I$4+VLOOKUP($Q93,武学奇术!$A:$ZZ,13,FALSE)+SUM(_xlfn.XLOOKUP(R93:AF93,增益!$A:$A,增益!$M:$M,0)))/100)</f>
        <v>-0.3</v>
      </c>
      <c r="BD93" s="35" cm="1">
        <f t="array" ref="BD93">$G$13+VLOOKUP($Q93,武学奇术!$A:$ZZ,14,FALSE)+SUM(_xlfn.XLOOKUP(R93:AF93,增益!$A:$A,增益!$N:$N,0))</f>
        <v>0</v>
      </c>
      <c r="BE93">
        <f t="shared" si="19"/>
        <v>538</v>
      </c>
      <c r="BF93">
        <f t="shared" si="20"/>
        <v>1561.4</v>
      </c>
      <c r="BG93" s="35" cm="1">
        <f t="array" ref="BG93">IF($F$14-$I$4+VLOOKUP($Q93,武学奇术!$A:$ZZ,15,FALSE)+SUM(_xlfn.XLOOKUP(R93:AF93,增益!$A:$A,增益!$O:$O,0))&gt;0,($F$14-$I$4+VLOOKUP($Q93,武学奇术!$A:$ZZ,15,FALSE)+SUM(_xlfn.XLOOKUP(R93:AF93,增益!$A:$A,增益!$O:$O,0)))/200,($F$14-$I$4+VLOOKUP($Q93,武学奇术!$A:$ZZ,15,FALSE)+SUM(_xlfn.XLOOKUP(R93:AF93,增益!$A:$A,增益!$O:$O,0)))/100)</f>
        <v>0</v>
      </c>
      <c r="BH93" s="35" cm="1">
        <f t="array" ref="BH93">$G$14+VLOOKUP($Q93,武学奇术!$A:$ZZ,16,FALSE)+SUM(_xlfn.XLOOKUP(R93:AF93,增益!$A:$A,增益!$P:$P,0))</f>
        <v>0.15</v>
      </c>
      <c r="BI93" s="30">
        <f>MIN(IF(VLOOKUP($Q93,武学奇术!$A:$ZZ,23,FALSE)=1,100%,$B$8),100%)</f>
        <v>0.9712</v>
      </c>
      <c r="BJ93" s="30" cm="1">
        <f t="array" ref="BJ93">IF(VLOOKUP($Q93,武学奇术!$A:$ZZ,23,FALSE)=1,100%,MIN(80%,$B$9+VLOOKUP($Q93,武学奇术!$A:$ZZ,17,FALSE)+SUM(_xlfn.XLOOKUP(R93:AF93,增益!$A:$A,增益!$Q:$Q,0)))+$B$11+SUM(_xlfn.XLOOKUP(R93:AF93,增益!$A:$A,增益!$U:$U,0)))*IF(VLOOKUP($Q93,武学奇术!$A:$ZZ,24,FALSE)=1,0,1)</f>
        <v>0.8773</v>
      </c>
      <c r="BK93" s="30" cm="1">
        <f t="array" ref="BK93">1+$B$13+VLOOKUP($Q93,武学奇术!$A:$ZZ,18,FALSE)+SUM(_xlfn.XLOOKUP(R93:AF93,增益!$A:$A,增益!$R:$R,0))</f>
        <v>1.87</v>
      </c>
      <c r="BL93" s="30" cm="1">
        <f t="array" ref="BL93">IF(VLOOKUP($Q93,武学奇术!$A:$ZZ,24,FALSE)=1,100%,MIN(40%,$B$10+VLOOKUP($Q93,武学奇术!$A:$ZZ,19,FALSE)+SUM(_xlfn.XLOOKUP(R93:AF93,增益!$A:$A,增益!$S:$S,0)))+$B$12+SUM(_xlfn.XLOOKUP(R93:AF93,增益!$A:$A,增益!$V:$V,0)))*IF(VLOOKUP($Q93,武学奇术!$A:$ZZ,23,FALSE)=1,0,1)</f>
        <v>0.0895</v>
      </c>
      <c r="BM93" s="30" cm="1">
        <f t="array" ref="BM93">1+$B$14+VLOOKUP($Q93,武学奇术!$A:$ZZ,20,FALSE)+SUM(_xlfn.XLOOKUP(R93:AF93,增益!$A:$A,增益!$T:$T,0))</f>
        <v>1.35</v>
      </c>
      <c r="BN93" s="30">
        <f t="shared" si="21"/>
        <v>0.85203376</v>
      </c>
      <c r="BO93" s="30">
        <f t="shared" si="22"/>
        <v>0.03224384</v>
      </c>
      <c r="BP93" s="30">
        <f>IF(VLOOKUP($Q93,武学奇术!$A:$ZZ,22,FALSE)=1,0,(1-$BI93))*(1-$BL93)</f>
        <v>0.0262224</v>
      </c>
      <c r="BQ93" s="30" cm="1">
        <f t="array" ref="BQ93">SUM(_xlfn.XLOOKUP(R93:AF93,增益!$A:$A,增益!$W:$W,0))+$I$5</f>
        <v>0.11</v>
      </c>
    </row>
    <row r="94" spans="1:69">
      <c r="K94" s="41">
        <f t="shared" si="24"/>
        <v>56101.8111006241</v>
      </c>
      <c r="L94" s="41">
        <f>((($AN94+$AO94)/2*$AH94+$AI94)*(1+$AP94)*(1+$AQ94)+(($AS94+$AT94)/2*IF($G$1="鸣金",$AJ94,$AH94)+IF($G$1="鸣金",$AK94*1.5,0))*(1+$AU94)*(1+$AV94)+(($AW94+$AX94)/2*IF($G$1="裂石",$AJ94,$AH94)+IF($G$1="裂石",$AK94*1.5,0))*(1+$AY94)*(1+$AZ94)+(($BA94+$BB94)/2*IF($G$1="牵丝",$AJ94,$AH94)+IF($G$1="牵丝",$AK94*1.5,0))*(1+$BC94)*(1+$BD94)+(($BE94+$BF94)/2*IF($G$1="破竹",$AJ94,$AH94)+IF($G$1="破竹",$AK94*1.5,0))*(1+$BG94)*(1+$BH94))*(1+$AL94)*$BK94*$P94*(1+IF(VLOOKUP($Q94,武学奇术!$A:$ZZ,30,FALSE)="回旋伞",$B$21,0))*(1+$BQ94)</f>
        <v>58775.5720330058</v>
      </c>
      <c r="M94" s="41">
        <f>(($AO94*$AH94+$AI94)*(1+$AP94)*(1+$AQ94)+($AT94*IF($G$1="鸣金",$AJ94,$AH94)+IF($G$1="鸣金",$AK94*1.5,0))*(1+$AU94)*(1+$AV94)+($AX94*IF($G$1="裂石",$AJ94,$AH94)+IF($G$1="裂石",$AK94*1.5,0))*(1+$AY94)*(1+$AZ94)+($BB94*IF($G$1="牵丝",$AJ94,$AH94)+IF($G$1="牵丝",$AK94*1.5,0))*(1+$BC94)*(1+$BD94)+($BF94*IF($G$1="破竹",$AJ94,$AH94)+IF($G$1="破竹",$AK94*1.5,0))*(1+$BG94)*(1+$BH94))*(1+$AL94)*$BM94*$P94*(1+IF(VLOOKUP($Q94,武学奇术!$A:$ZZ,30,FALSE)="回旋伞",$B$21,0))*(1+$BQ94)</f>
        <v>47965.1927121634</v>
      </c>
      <c r="N94" s="41">
        <f>((($AN94+$AO94)/2*$AH94+$AI94)*(1+$AP94)*(1+$AQ94)+(($AS94+$AT94)/2*IF($G$1="鸣金",$AJ94,$AH94)+IF($G$1="鸣金",$AK94*1.5,0))*(1+$AU94)*(1+$AV94)+(($AW94+$AX94)/2*IF($G$1="裂石",$AJ94,$AH94)+IF($G$1="裂石",$AK94*1.5,0))*(1+$AY94)*(1+$AZ94)+(($BA94+$BB94)/2*IF($G$1="牵丝",$AJ94,$AH94)+IF($G$1="牵丝",$AK94*1.5,0))*(1+$BC94)*(1+$BD94)+(($BE94+$BF94)/2*IF($G$1="破竹",$AJ94,$AH94)+IF($G$1="破竹",$AK94*1.5,0))*(1+$BG94)*(1+$BH94))*(1+$AL94)*$P94*(1+IF(VLOOKUP($Q94,武学奇术!$A:$ZZ,30,FALSE)="回旋伞",$B$21,0))*(1+$BQ94)</f>
        <v>31430.7871834256</v>
      </c>
      <c r="O94" s="41">
        <f>((($AN94*$AH94+$AI94)*(1+$AP94)*(1+$AQ94)+($AS94*IF($G$1="鸣金",$AJ94,$AH94)+IF($G$1="鸣金",$AK94*1.5,0))*(1+$AU94)*(1+$AV94)+($AW94*IF($G$1="裂石",$AJ94,$AH94)+IF($G$1="裂石",$AK94*1.5,0))*(1+$AY94)*(1+$AZ94)+($BA94*IF($G$1="牵丝",$AJ94,$AH94)+IF($G$1="牵丝",$AK94*1.5,0))*(1+$BC94)*(1+$BD94)+($BE94*IF($G$1="破竹",$AJ94,$AH94)+IF($G$1="破竹",$AK94*1.5,0))*(1+$BG94)*(1+$BH94))*(1+$AL94))*$P94*(1+IF(VLOOKUP($Q94,武学奇术!$A:$ZZ,30,FALSE)="回旋伞",$B$21,0))*(1+$BQ94)</f>
        <v>27331.8019874708</v>
      </c>
      <c r="P94" s="42">
        <v>2</v>
      </c>
      <c r="Q94" s="43" t="s">
        <v>70</v>
      </c>
      <c r="R94" s="43" t="s">
        <v>71</v>
      </c>
      <c r="S94" s="43" t="s">
        <v>91</v>
      </c>
      <c r="T94" s="43" t="s">
        <v>72</v>
      </c>
      <c r="U94" s="43" t="s">
        <v>79</v>
      </c>
      <c r="V94" s="43" t="s">
        <v>167</v>
      </c>
      <c r="W94" s="43" t="s">
        <v>95</v>
      </c>
      <c r="X94" s="43" t="s">
        <v>71</v>
      </c>
      <c r="Y94" s="43" t="s">
        <v>71</v>
      </c>
      <c r="Z94" s="43" t="s">
        <v>71</v>
      </c>
      <c r="AA94" s="43" t="s">
        <v>71</v>
      </c>
      <c r="AB94" s="43" t="s">
        <v>71</v>
      </c>
      <c r="AC94" s="43" t="s">
        <v>71</v>
      </c>
      <c r="AD94" s="43" t="s">
        <v>71</v>
      </c>
      <c r="AE94" s="43" t="s">
        <v>71</v>
      </c>
      <c r="AF94" s="43" t="s">
        <v>76</v>
      </c>
      <c r="AG94" t="str">
        <f>VLOOKUP($Q94,武学奇术!$A:$ZZ,25,FALSE)</f>
        <v>群体奇术</v>
      </c>
      <c r="AH94" s="30">
        <f>VLOOKUP($Q94,武学奇术!$A:$ZZ,26,FALSE)</f>
        <v>1.4904</v>
      </c>
      <c r="AI94" s="31">
        <f>VLOOKUP($Q94,武学奇术!$A:$ZZ,27,FALSE)*(1+IF(OR($AG94=$F$4,$AG94=$F$5),$B$22,0))</f>
        <v>368</v>
      </c>
      <c r="AJ94" s="30">
        <f>VLOOKUP($Q94,武学奇术!$A:$ZZ,28,FALSE)</f>
        <v>2.2353</v>
      </c>
      <c r="AK94" s="31">
        <f>VLOOKUP($Q94,武学奇术!$A:$ZZ,29,FALSE)*(1+IF(OR($AG94=$F$4,$AG94=$F$5),$B$22,0))</f>
        <v>0</v>
      </c>
      <c r="AL94" s="30" cm="1">
        <f t="array" ref="AL94">$G$3+IFERROR(VLOOKUP($AG94,$F$4:$G$7,2,FALSE),0)+VLOOKUP($Q94,武学奇术!$A:$ZZ,2,FALSE)+SUM(_xlfn.XLOOKUP($R94:$AF94,增益!$A:$A,增益!$B:$B,0))</f>
        <v>0.4037</v>
      </c>
      <c r="AM94" s="30" cm="1">
        <f t="array" ref="AM94">VLOOKUP($Q94,武学奇术!$A:$ZZ,5,FALSE)+SUM(_xlfn.XLOOKUP($R94:$AF94,增益!$A:$A,增益!$E:$E,0))</f>
        <v>0</v>
      </c>
      <c r="AN94" cm="1">
        <f t="array" ref="AN94">$D$10*(1+$AM94)+VLOOKUP($Q94,武学奇术!$A:$ZZ,3,FALSE)+SUM(_xlfn.XLOOKUP($R94:$AF94,增益!$A:$A,增益!$C:$C,0))-$I$2</f>
        <v>3483.8</v>
      </c>
      <c r="AO94" cm="1">
        <f t="array" ref="AO94">$E$10*(1+$AM94)+VLOOKUP($Q94,武学奇术!$A:$ZZ,4,FALSE)+SUM(_xlfn.XLOOKUP($R94:$AF94,增益!$A:$A,增益!$D:$D,0))-$I$2</f>
        <v>3483.8</v>
      </c>
      <c r="AP94" s="35" cm="1">
        <f t="array" ref="AP94">IF($F$10-$I$3+VLOOKUP($Q94,武学奇术!$A:$ZZ,6,FALSE)+SUM(_xlfn.XLOOKUP(R94:AF94,增益!$A:$A,增益!$F:$F,0))&gt;0,($F$10-$I$3+VLOOKUP($Q94,武学奇术!$A:$ZZ,6,FALSE)+SUM(_xlfn.XLOOKUP(R94:AF94,增益!$A:$A,增益!$F:$F,0)))/200,($F$10-$I$3+VLOOKUP($Q94,武学奇术!$A:$ZZ,6,FALSE)+SUM(_xlfn.XLOOKUP(R94:AF94,增益!$A:$A,增益!$F:$F,0)))/100)</f>
        <v>0.2925</v>
      </c>
      <c r="AQ94" s="35" cm="1">
        <f t="array" ref="AQ94">$G$10+VLOOKUP($Q94,武学奇术!$A:$ZZ,7,FALSE)+SUM(_xlfn.XLOOKUP(R94:AF94,增益!$A:$A,增益!$G:$G,0))</f>
        <v>0.028</v>
      </c>
      <c r="AR94" s="30" cm="1">
        <f t="array" ref="AR94">VLOOKUP($Q94,武学奇术!$A:$ZZ,8,FALSE)+SUM(_xlfn.XLOOKUP(R94:AF94,增益!$A:$A,增益!$H:$H,0))</f>
        <v>0</v>
      </c>
      <c r="AS94">
        <f t="shared" si="13"/>
        <v>0</v>
      </c>
      <c r="AT94">
        <f t="shared" si="14"/>
        <v>0</v>
      </c>
      <c r="AU94" s="35" cm="1">
        <f t="array" ref="AU94">IF($F$11-$I$4+VLOOKUP($Q94,武学奇术!$A:$ZZ,9,FALSE)+SUM(_xlfn.XLOOKUP(R94:AF94,增益!$A:$A,增益!$I:$I,0))&gt;0,($F$11-$I$4+VLOOKUP($Q94,武学奇术!$A:$ZZ,9,FALSE)+SUM(_xlfn.XLOOKUP(R94:AF94,增益!$A:$A,增益!$I:$I,0)))/200,($F$11-$I$4+VLOOKUP($Q94,武学奇术!$A:$ZZ,9,FALSE)+SUM(_xlfn.XLOOKUP(R94:AF94,增益!$A:$A,增益!$I:$I,0)))/100)</f>
        <v>-0.3</v>
      </c>
      <c r="AV94" s="35" cm="1">
        <f t="array" ref="AV94">$G$11+VLOOKUP($Q94,武学奇术!$A:$ZZ,10,FALSE)+SUM(_xlfn.XLOOKUP(R94:AF94,增益!$A:$A,增益!$J:$J,0))</f>
        <v>0</v>
      </c>
      <c r="AW94">
        <f t="shared" si="15"/>
        <v>0</v>
      </c>
      <c r="AX94">
        <f t="shared" si="16"/>
        <v>0</v>
      </c>
      <c r="AY94" s="35" cm="1">
        <f t="array" ref="AY94">IF($F$12-$I$4+VLOOKUP($Q94,武学奇术!$A:$ZZ,11,FALSE)+SUM(_xlfn.XLOOKUP(R94:AF94,增益!$A:$A,增益!$K:$K,0))&gt;0,($F$12-$I$4+VLOOKUP($Q94,武学奇术!$A:$ZZ,11,FALSE)+SUM(_xlfn.XLOOKUP(R94:AF94,增益!$A:$A,增益!$K:$K,0)))/200,($F$12-$I$4+VLOOKUP($Q94,武学奇术!$A:$ZZ,11,FALSE)+SUM(_xlfn.XLOOKUP(R94:AF94,增益!$A:$A,增益!$K:$K,0)))/100)</f>
        <v>-0.3</v>
      </c>
      <c r="AZ94" s="35" cm="1">
        <f t="array" ref="AZ94">$G$12+VLOOKUP($Q94,武学奇术!$A:$ZZ,12,FALSE)+SUM(_xlfn.XLOOKUP(R94:AF94,增益!$A:$A,增益!$L:$L,0))</f>
        <v>0</v>
      </c>
      <c r="BA94">
        <f t="shared" si="17"/>
        <v>0</v>
      </c>
      <c r="BB94">
        <f t="shared" si="18"/>
        <v>0</v>
      </c>
      <c r="BC94" s="35" cm="1">
        <f t="array" ref="BC94">IF($F$13-$I$4+VLOOKUP($Q94,武学奇术!$A:$ZZ,13,FALSE)+SUM(_xlfn.XLOOKUP(R94:AF94,增益!$A:$A,增益!$M:$M,0))&gt;0,($F$13-$I$4+VLOOKUP($Q94,武学奇术!$A:$ZZ,13,FALSE)+SUM(_xlfn.XLOOKUP(R94:AF94,增益!$A:$A,增益!$K:$K,0)))/200,($F$13-$I$4+VLOOKUP($Q94,武学奇术!$A:$ZZ,13,FALSE)+SUM(_xlfn.XLOOKUP(R94:AF94,增益!$A:$A,增益!$M:$M,0)))/100)</f>
        <v>-0.3</v>
      </c>
      <c r="BD94" s="35" cm="1">
        <f t="array" ref="BD94">$G$13+VLOOKUP($Q94,武学奇术!$A:$ZZ,14,FALSE)+SUM(_xlfn.XLOOKUP(R94:AF94,增益!$A:$A,增益!$N:$N,0))</f>
        <v>0</v>
      </c>
      <c r="BE94">
        <f t="shared" si="19"/>
        <v>538</v>
      </c>
      <c r="BF94">
        <f t="shared" si="20"/>
        <v>1561.4</v>
      </c>
      <c r="BG94" s="35" cm="1">
        <f t="array" ref="BG94">IF($F$14-$I$4+VLOOKUP($Q94,武学奇术!$A:$ZZ,15,FALSE)+SUM(_xlfn.XLOOKUP(R94:AF94,增益!$A:$A,增益!$O:$O,0))&gt;0,($F$14-$I$4+VLOOKUP($Q94,武学奇术!$A:$ZZ,15,FALSE)+SUM(_xlfn.XLOOKUP(R94:AF94,增益!$A:$A,增益!$O:$O,0)))/200,($F$14-$I$4+VLOOKUP($Q94,武学奇术!$A:$ZZ,15,FALSE)+SUM(_xlfn.XLOOKUP(R94:AF94,增益!$A:$A,增益!$O:$O,0)))/100)</f>
        <v>0</v>
      </c>
      <c r="BH94" s="35" cm="1">
        <f t="array" ref="BH94">$G$14+VLOOKUP($Q94,武学奇术!$A:$ZZ,16,FALSE)+SUM(_xlfn.XLOOKUP(R94:AF94,增益!$A:$A,增益!$P:$P,0))</f>
        <v>0.15</v>
      </c>
      <c r="BI94" s="30">
        <f>MIN(IF(VLOOKUP($Q94,武学奇术!$A:$ZZ,23,FALSE)=1,100%,$B$8),100%)</f>
        <v>0.9712</v>
      </c>
      <c r="BJ94" s="30" cm="1">
        <f t="array" ref="BJ94">IF(VLOOKUP($Q94,武学奇术!$A:$ZZ,23,FALSE)=1,100%,MIN(80%,$B$9+VLOOKUP($Q94,武学奇术!$A:$ZZ,17,FALSE)+SUM(_xlfn.XLOOKUP(R94:AF94,增益!$A:$A,增益!$Q:$Q,0)))+$B$11+SUM(_xlfn.XLOOKUP(R94:AF94,增益!$A:$A,增益!$U:$U,0)))*IF(VLOOKUP($Q94,武学奇术!$A:$ZZ,24,FALSE)=1,0,1)</f>
        <v>0.8773</v>
      </c>
      <c r="BK94" s="30" cm="1">
        <f t="array" ref="BK94">1+$B$13+VLOOKUP($Q94,武学奇术!$A:$ZZ,18,FALSE)+SUM(_xlfn.XLOOKUP(R94:AF94,增益!$A:$A,增益!$R:$R,0))</f>
        <v>1.87</v>
      </c>
      <c r="BL94" s="30" cm="1">
        <f t="array" ref="BL94">IF(VLOOKUP($Q94,武学奇术!$A:$ZZ,24,FALSE)=1,100%,MIN(40%,$B$10+VLOOKUP($Q94,武学奇术!$A:$ZZ,19,FALSE)+SUM(_xlfn.XLOOKUP(R94:AF94,增益!$A:$A,增益!$S:$S,0)))+$B$12+SUM(_xlfn.XLOOKUP(R94:AF94,增益!$A:$A,增益!$V:$V,0)))*IF(VLOOKUP($Q94,武学奇术!$A:$ZZ,23,FALSE)=1,0,1)</f>
        <v>0.0895</v>
      </c>
      <c r="BM94" s="30" cm="1">
        <f t="array" ref="BM94">1+$B$14+VLOOKUP($Q94,武学奇术!$A:$ZZ,20,FALSE)+SUM(_xlfn.XLOOKUP(R94:AF94,增益!$A:$A,增益!$T:$T,0))</f>
        <v>1.35</v>
      </c>
      <c r="BN94" s="30">
        <f t="shared" si="21"/>
        <v>0.85203376</v>
      </c>
      <c r="BO94" s="30">
        <f t="shared" si="22"/>
        <v>0.03224384</v>
      </c>
      <c r="BP94" s="30">
        <f>IF(VLOOKUP($Q94,武学奇术!$A:$ZZ,22,FALSE)=1,0,(1-$BI94))*(1-$BL94)</f>
        <v>0.0262224</v>
      </c>
      <c r="BQ94" s="30" cm="1">
        <f t="array" ref="BQ94">SUM(_xlfn.XLOOKUP(R94:AF94,增益!$A:$A,增益!$W:$W,0))+$I$5</f>
        <v>0.11</v>
      </c>
    </row>
    <row r="95" spans="1:69">
      <c r="K95" s="41">
        <f t="shared" si="24"/>
        <v>91900.2481740616</v>
      </c>
      <c r="L95" s="41">
        <f>((($AN95+$AO95)/2*$AH95+$AI95)*(1+$AP95)*(1+$AQ95)+(($AS95+$AT95)/2*IF($G$1="鸣金",$AJ95,$AH95)+IF($G$1="鸣金",$AK95*1.5,0))*(1+$AU95)*(1+$AV95)+(($AW95+$AX95)/2*IF($G$1="裂石",$AJ95,$AH95)+IF($G$1="裂石",$AK95*1.5,0))*(1+$AY95)*(1+$AZ95)+(($BA95+$BB95)/2*IF($G$1="牵丝",$AJ95,$AH95)+IF($G$1="牵丝",$AK95*1.5,0))*(1+$BC95)*(1+$BD95)+(($BE95+$BF95)/2*IF($G$1="破竹",$AJ95,$AH95)+IF($G$1="破竹",$AK95*1.5,0))*(1+$BG95)*(1+$BH95))*(1+$AL95)*$BK95*$P95*(1+IF(VLOOKUP($Q95,武学奇术!$A:$ZZ,30,FALSE)="回旋伞",$B$21,0))*(1+$BQ95)</f>
        <v>96330.0858556687</v>
      </c>
      <c r="M95" s="41">
        <f>(($AO95*$AH95+$AI95)*(1+$AP95)*(1+$AQ95)+($AT95*IF($G$1="鸣金",$AJ95,$AH95)+IF($G$1="鸣金",$AK95*1.5,0))*(1+$AU95)*(1+$AV95)+($AX95*IF($G$1="裂石",$AJ95,$AH95)+IF($G$1="裂石",$AK95*1.5,0))*(1+$AY95)*(1+$AZ95)+($BB95*IF($G$1="牵丝",$AJ95,$AH95)+IF($G$1="牵丝",$AK95*1.5,0))*(1+$BC95)*(1+$BD95)+($BF95*IF($G$1="破竹",$AJ95,$AH95)+IF($G$1="破竹",$AK95*1.5,0))*(1+$BG95)*(1+$BH95))*(1+$AL95)*$BM95*$P95*(1+IF(VLOOKUP($Q95,武学奇术!$A:$ZZ,30,FALSE)="回旋伞",$B$21,0))*(1+$BQ95)</f>
        <v>77931.9863009981</v>
      </c>
      <c r="N95" s="41">
        <f>((($AN95+$AO95)/2*$AH95+$AI95)*(1+$AP95)*(1+$AQ95)+(($AS95+$AT95)/2*IF($G$1="鸣金",$AJ95,$AH95)+IF($G$1="鸣金",$AK95*1.5,0))*(1+$AU95)*(1+$AV95)+(($AW95+$AX95)/2*IF($G$1="裂石",$AJ95,$AH95)+IF($G$1="裂石",$AK95*1.5,0))*(1+$AY95)*(1+$AZ95)+(($BA95+$BB95)/2*IF($G$1="牵丝",$AJ95,$AH95)+IF($G$1="牵丝",$AK95*1.5,0))*(1+$BC95)*(1+$BD95)+(($BE95+$BF95)/2*IF($G$1="破竹",$AJ95,$AH95)+IF($G$1="破竹",$AK95*1.5,0))*(1+$BG95)*(1+$BH95))*(1+$AL95)*$P95*(1+IF(VLOOKUP($Q95,武学奇术!$A:$ZZ,30,FALSE)="回旋伞",$B$21,0))*(1+$BQ95)</f>
        <v>51513.4148960795</v>
      </c>
      <c r="O95" s="41">
        <f>((($AN95*$AH95+$AI95)*(1+$AP95)*(1+$AQ95)+($AS95*IF($G$1="鸣金",$AJ95,$AH95)+IF($G$1="鸣金",$AK95*1.5,0))*(1+$AU95)*(1+$AV95)+($AW95*IF($G$1="裂石",$AJ95,$AH95)+IF($G$1="裂石",$AK95*1.5,0))*(1+$AY95)*(1+$AZ95)+($BA95*IF($G$1="牵丝",$AJ95,$AH95)+IF($G$1="牵丝",$AK95*1.5,0))*(1+$BC95)*(1+$BD95)+($BE95*IF($G$1="破竹",$AJ95,$AH95)+IF($G$1="破竹",$AK95*1.5,0))*(1+$BG95)*(1+$BH95))*(1+$AL95))*$P95*(1+IF(VLOOKUP($Q95,武学奇术!$A:$ZZ,30,FALSE)="回旋伞",$B$21,0))*(1+$BQ95)</f>
        <v>45299.4325321604</v>
      </c>
      <c r="P95" s="42">
        <v>2</v>
      </c>
      <c r="Q95" s="43" t="s">
        <v>140</v>
      </c>
      <c r="R95" s="43" t="s">
        <v>71</v>
      </c>
      <c r="S95" s="43" t="s">
        <v>91</v>
      </c>
      <c r="T95" s="43" t="s">
        <v>72</v>
      </c>
      <c r="U95" s="43" t="s">
        <v>79</v>
      </c>
      <c r="V95" s="43" t="s">
        <v>167</v>
      </c>
      <c r="W95" s="43" t="s">
        <v>95</v>
      </c>
      <c r="X95" s="43" t="s">
        <v>71</v>
      </c>
      <c r="Y95" s="43" t="s">
        <v>71</v>
      </c>
      <c r="Z95" s="43" t="s">
        <v>71</v>
      </c>
      <c r="AA95" s="43" t="s">
        <v>71</v>
      </c>
      <c r="AB95" s="43" t="s">
        <v>71</v>
      </c>
      <c r="AC95" s="43" t="s">
        <v>71</v>
      </c>
      <c r="AD95" s="43" t="s">
        <v>71</v>
      </c>
      <c r="AE95" s="43" t="s">
        <v>71</v>
      </c>
      <c r="AF95" s="43" t="s">
        <v>76</v>
      </c>
      <c r="AG95" t="str">
        <f>VLOOKUP($Q95,武学奇术!$A:$ZZ,25,FALSE)</f>
        <v>伞</v>
      </c>
      <c r="AH95" s="30">
        <f>VLOOKUP($Q95,武学奇术!$A:$ZZ,26,FALSE)</f>
        <v>2.01456</v>
      </c>
      <c r="AI95" s="31">
        <f>VLOOKUP($Q95,武学奇术!$A:$ZZ,27,FALSE)*(1+IF(OR($AG95=$F$4,$AG95=$F$5),$B$22,0))</f>
        <v>781.2</v>
      </c>
      <c r="AJ95" s="30">
        <f>VLOOKUP($Q95,武学奇术!$A:$ZZ,28,FALSE)</f>
        <v>3.02184</v>
      </c>
      <c r="AK95" s="31">
        <f>VLOOKUP($Q95,武学奇术!$A:$ZZ,29,FALSE)*(1+IF(OR($AG95=$F$4,$AG95=$F$5),$B$22,0))</f>
        <v>423.36</v>
      </c>
      <c r="AL95" s="30" cm="1">
        <f t="array" ref="AL95">$G$3+IFERROR(VLOOKUP($AG95,$F$4:$G$7,2,FALSE),0)+VLOOKUP($Q95,武学奇术!$A:$ZZ,2,FALSE)+SUM(_xlfn.XLOOKUP($R95:$AF95,增益!$A:$A,增益!$B:$B,0))</f>
        <v>0.5741</v>
      </c>
      <c r="AM95" s="30" cm="1">
        <f t="array" ref="AM95">VLOOKUP($Q95,武学奇术!$A:$ZZ,5,FALSE)+SUM(_xlfn.XLOOKUP($R95:$AF95,增益!$A:$A,增益!$E:$E,0))</f>
        <v>0</v>
      </c>
      <c r="AN95" cm="1">
        <f t="array" ref="AN95">$D$10*(1+$AM95)+VLOOKUP($Q95,武学奇术!$A:$ZZ,3,FALSE)+SUM(_xlfn.XLOOKUP($R95:$AF95,增益!$A:$A,增益!$C:$C,0))-$I$2</f>
        <v>3483.8</v>
      </c>
      <c r="AO95" cm="1">
        <f t="array" ref="AO95">$E$10*(1+$AM95)+VLOOKUP($Q95,武学奇术!$A:$ZZ,4,FALSE)+SUM(_xlfn.XLOOKUP($R95:$AF95,增益!$A:$A,增益!$D:$D,0))-$I$2</f>
        <v>3483.8</v>
      </c>
      <c r="AP95" s="35" cm="1">
        <f t="array" ref="AP95">IF($F$10-$I$3+VLOOKUP($Q95,武学奇术!$A:$ZZ,6,FALSE)+SUM(_xlfn.XLOOKUP(R95:AF95,增益!$A:$A,增益!$F:$F,0))&gt;0,($F$10-$I$3+VLOOKUP($Q95,武学奇术!$A:$ZZ,6,FALSE)+SUM(_xlfn.XLOOKUP(R95:AF95,增益!$A:$A,增益!$F:$F,0)))/200,($F$10-$I$3+VLOOKUP($Q95,武学奇术!$A:$ZZ,6,FALSE)+SUM(_xlfn.XLOOKUP(R95:AF95,增益!$A:$A,增益!$F:$F,0)))/100)</f>
        <v>0.2925</v>
      </c>
      <c r="AQ95" s="35" cm="1">
        <f t="array" ref="AQ95">$G$10+VLOOKUP($Q95,武学奇术!$A:$ZZ,7,FALSE)+SUM(_xlfn.XLOOKUP(R95:AF95,增益!$A:$A,增益!$G:$G,0))</f>
        <v>0.028</v>
      </c>
      <c r="AR95" s="30" cm="1">
        <f t="array" ref="AR95">VLOOKUP($Q95,武学奇术!$A:$ZZ,8,FALSE)+SUM(_xlfn.XLOOKUP(R95:AF95,增益!$A:$A,增益!$H:$H,0))</f>
        <v>0</v>
      </c>
      <c r="AS95">
        <f t="shared" si="13"/>
        <v>0</v>
      </c>
      <c r="AT95">
        <f t="shared" si="14"/>
        <v>0</v>
      </c>
      <c r="AU95" s="35" cm="1">
        <f t="array" ref="AU95">IF($F$11-$I$4+VLOOKUP($Q95,武学奇术!$A:$ZZ,9,FALSE)+SUM(_xlfn.XLOOKUP(R95:AF95,增益!$A:$A,增益!$I:$I,0))&gt;0,($F$11-$I$4+VLOOKUP($Q95,武学奇术!$A:$ZZ,9,FALSE)+SUM(_xlfn.XLOOKUP(R95:AF95,增益!$A:$A,增益!$I:$I,0)))/200,($F$11-$I$4+VLOOKUP($Q95,武学奇术!$A:$ZZ,9,FALSE)+SUM(_xlfn.XLOOKUP(R95:AF95,增益!$A:$A,增益!$I:$I,0)))/100)</f>
        <v>-0.3</v>
      </c>
      <c r="AV95" s="35" cm="1">
        <f t="array" ref="AV95">$G$11+VLOOKUP($Q95,武学奇术!$A:$ZZ,10,FALSE)+SUM(_xlfn.XLOOKUP(R95:AF95,增益!$A:$A,增益!$J:$J,0))</f>
        <v>0</v>
      </c>
      <c r="AW95">
        <f t="shared" si="15"/>
        <v>0</v>
      </c>
      <c r="AX95">
        <f t="shared" si="16"/>
        <v>0</v>
      </c>
      <c r="AY95" s="35" cm="1">
        <f t="array" ref="AY95">IF($F$12-$I$4+VLOOKUP($Q95,武学奇术!$A:$ZZ,11,FALSE)+SUM(_xlfn.XLOOKUP(R95:AF95,增益!$A:$A,增益!$K:$K,0))&gt;0,($F$12-$I$4+VLOOKUP($Q95,武学奇术!$A:$ZZ,11,FALSE)+SUM(_xlfn.XLOOKUP(R95:AF95,增益!$A:$A,增益!$K:$K,0)))/200,($F$12-$I$4+VLOOKUP($Q95,武学奇术!$A:$ZZ,11,FALSE)+SUM(_xlfn.XLOOKUP(R95:AF95,增益!$A:$A,增益!$K:$K,0)))/100)</f>
        <v>-0.3</v>
      </c>
      <c r="AZ95" s="35" cm="1">
        <f t="array" ref="AZ95">$G$12+VLOOKUP($Q95,武学奇术!$A:$ZZ,12,FALSE)+SUM(_xlfn.XLOOKUP(R95:AF95,增益!$A:$A,增益!$L:$L,0))</f>
        <v>0</v>
      </c>
      <c r="BA95">
        <f t="shared" si="17"/>
        <v>0</v>
      </c>
      <c r="BB95">
        <f t="shared" si="18"/>
        <v>0</v>
      </c>
      <c r="BC95" s="35" cm="1">
        <f t="array" ref="BC95">IF($F$13-$I$4+VLOOKUP($Q95,武学奇术!$A:$ZZ,13,FALSE)+SUM(_xlfn.XLOOKUP(R95:AF95,增益!$A:$A,增益!$M:$M,0))&gt;0,($F$13-$I$4+VLOOKUP($Q95,武学奇术!$A:$ZZ,13,FALSE)+SUM(_xlfn.XLOOKUP(R95:AF95,增益!$A:$A,增益!$K:$K,0)))/200,($F$13-$I$4+VLOOKUP($Q95,武学奇术!$A:$ZZ,13,FALSE)+SUM(_xlfn.XLOOKUP(R95:AF95,增益!$A:$A,增益!$M:$M,0)))/100)</f>
        <v>-0.3</v>
      </c>
      <c r="BD95" s="35" cm="1">
        <f t="array" ref="BD95">$G$13+VLOOKUP($Q95,武学奇术!$A:$ZZ,14,FALSE)+SUM(_xlfn.XLOOKUP(R95:AF95,增益!$A:$A,增益!$N:$N,0))</f>
        <v>0</v>
      </c>
      <c r="BE95">
        <f t="shared" si="19"/>
        <v>538</v>
      </c>
      <c r="BF95">
        <f t="shared" si="20"/>
        <v>1561.4</v>
      </c>
      <c r="BG95" s="35" cm="1">
        <f t="array" ref="BG95">IF($F$14-$I$4+VLOOKUP($Q95,武学奇术!$A:$ZZ,15,FALSE)+SUM(_xlfn.XLOOKUP(R95:AF95,增益!$A:$A,增益!$O:$O,0))&gt;0,($F$14-$I$4+VLOOKUP($Q95,武学奇术!$A:$ZZ,15,FALSE)+SUM(_xlfn.XLOOKUP(R95:AF95,增益!$A:$A,增益!$O:$O,0)))/200,($F$14-$I$4+VLOOKUP($Q95,武学奇术!$A:$ZZ,15,FALSE)+SUM(_xlfn.XLOOKUP(R95:AF95,增益!$A:$A,增益!$O:$O,0)))/100)</f>
        <v>0</v>
      </c>
      <c r="BH95" s="35" cm="1">
        <f t="array" ref="BH95">$G$14+VLOOKUP($Q95,武学奇术!$A:$ZZ,16,FALSE)+SUM(_xlfn.XLOOKUP(R95:AF95,增益!$A:$A,增益!$P:$P,0))</f>
        <v>0.15</v>
      </c>
      <c r="BI95" s="30">
        <f>MIN(IF(VLOOKUP($Q95,武学奇术!$A:$ZZ,23,FALSE)=1,100%,$B$8),100%)</f>
        <v>0.9712</v>
      </c>
      <c r="BJ95" s="30" cm="1">
        <f t="array" ref="BJ95">IF(VLOOKUP($Q95,武学奇术!$A:$ZZ,23,FALSE)=1,100%,MIN(80%,$B$9+VLOOKUP($Q95,武学奇术!$A:$ZZ,17,FALSE)+SUM(_xlfn.XLOOKUP(R95:AF95,增益!$A:$A,增益!$Q:$Q,0)))+$B$11+SUM(_xlfn.XLOOKUP(R95:AF95,增益!$A:$A,增益!$U:$U,0)))*IF(VLOOKUP($Q95,武学奇术!$A:$ZZ,24,FALSE)=1,0,1)</f>
        <v>0.8773</v>
      </c>
      <c r="BK95" s="30" cm="1">
        <f t="array" ref="BK95">1+$B$13+VLOOKUP($Q95,武学奇术!$A:$ZZ,18,FALSE)+SUM(_xlfn.XLOOKUP(R95:AF95,增益!$A:$A,增益!$R:$R,0))</f>
        <v>1.87</v>
      </c>
      <c r="BL95" s="30" cm="1">
        <f t="array" ref="BL95">IF(VLOOKUP($Q95,武学奇术!$A:$ZZ,24,FALSE)=1,100%,MIN(40%,$B$10+VLOOKUP($Q95,武学奇术!$A:$ZZ,19,FALSE)+SUM(_xlfn.XLOOKUP(R95:AF95,增益!$A:$A,增益!$S:$S,0)))+$B$12+SUM(_xlfn.XLOOKUP(R95:AF95,增益!$A:$A,增益!$V:$V,0)))*IF(VLOOKUP($Q95,武学奇术!$A:$ZZ,23,FALSE)=1,0,1)</f>
        <v>0.0895</v>
      </c>
      <c r="BM95" s="30" cm="1">
        <f t="array" ref="BM95">1+$B$14+VLOOKUP($Q95,武学奇术!$A:$ZZ,20,FALSE)+SUM(_xlfn.XLOOKUP(R95:AF95,增益!$A:$A,增益!$T:$T,0))</f>
        <v>1.35</v>
      </c>
      <c r="BN95" s="30">
        <f t="shared" si="21"/>
        <v>0.85203376</v>
      </c>
      <c r="BO95" s="30">
        <f t="shared" si="22"/>
        <v>0.03224384</v>
      </c>
      <c r="BP95" s="30">
        <f>IF(VLOOKUP($Q95,武学奇术!$A:$ZZ,22,FALSE)=1,0,(1-$BI95))*(1-$BL95)</f>
        <v>0.0262224</v>
      </c>
      <c r="BQ95" s="30" cm="1">
        <f t="array" ref="BQ95">SUM(_xlfn.XLOOKUP(R95:AF95,增益!$A:$A,增益!$W:$W,0))+$I$5</f>
        <v>0.11</v>
      </c>
    </row>
    <row r="96" spans="1:69">
      <c r="K96" s="41">
        <f t="shared" si="24"/>
        <v>24454.573431698</v>
      </c>
      <c r="L96" s="41">
        <f>((($AN96+$AO96)/2*$AH96+$AI96)*(1+$AP96)*(1+$AQ96)+(($AS96+$AT96)/2*IF($G$1="鸣金",$AJ96,$AH96)+IF($G$1="鸣金",$AK96*1.5,0))*(1+$AU96)*(1+$AV96)+(($AW96+$AX96)/2*IF($G$1="裂石",$AJ96,$AH96)+IF($G$1="裂石",$AK96*1.5,0))*(1+$AY96)*(1+$AZ96)+(($BA96+$BB96)/2*IF($G$1="牵丝",$AJ96,$AH96)+IF($G$1="牵丝",$AK96*1.5,0))*(1+$BC96)*(1+$BD96)+(($BE96+$BF96)/2*IF($G$1="破竹",$AJ96,$AH96)+IF($G$1="破竹",$AK96*1.5,0))*(1+$BG96)*(1+$BH96))*(1+$AL96)*$BK96*$P96*(1+IF(VLOOKUP($Q96,武学奇术!$A:$ZZ,30,FALSE)="回旋伞",$B$21,0))*(1+$BQ96)</f>
        <v>25611.0191461469</v>
      </c>
      <c r="M96" s="41">
        <f>(($AO96*$AH96+$AI96)*(1+$AP96)*(1+$AQ96)+($AT96*IF($G$1="鸣金",$AJ96,$AH96)+IF($G$1="鸣金",$AK96*1.5,0))*(1+$AU96)*(1+$AV96)+($AX96*IF($G$1="裂石",$AJ96,$AH96)+IF($G$1="裂石",$AK96*1.5,0))*(1+$AY96)*(1+$AZ96)+($BB96*IF($G$1="牵丝",$AJ96,$AH96)+IF($G$1="牵丝",$AK96*1.5,0))*(1+$BC96)*(1+$BD96)+($BF96*IF($G$1="破竹",$AJ96,$AH96)+IF($G$1="破竹",$AK96*1.5,0))*(1+$BG96)*(1+$BH96))*(1+$AL96)*$BM96*$P96*(1+IF(VLOOKUP($Q96,武学奇术!$A:$ZZ,30,FALSE)="回旋伞",$B$21,0))*(1+$BQ96)</f>
        <v>21023.5681321025</v>
      </c>
      <c r="N96" s="41">
        <f>((($AN96+$AO96)/2*$AH96+$AI96)*(1+$AP96)*(1+$AQ96)+(($AS96+$AT96)/2*IF($G$1="鸣金",$AJ96,$AH96)+IF($G$1="鸣金",$AK96*1.5,0))*(1+$AU96)*(1+$AV96)+(($AW96+$AX96)/2*IF($G$1="裂石",$AJ96,$AH96)+IF($G$1="裂石",$AK96*1.5,0))*(1+$AY96)*(1+$AZ96)+(($BA96+$BB96)/2*IF($G$1="牵丝",$AJ96,$AH96)+IF($G$1="牵丝",$AK96*1.5,0))*(1+$BC96)*(1+$BD96)+(($BE96+$BF96)/2*IF($G$1="破竹",$AJ96,$AH96)+IF($G$1="破竹",$AK96*1.5,0))*(1+$BG96)*(1+$BH96))*(1+$AL96)*$P96*(1+IF(VLOOKUP($Q96,武学奇术!$A:$ZZ,30,FALSE)="回旋伞",$B$21,0))*(1+$BQ96)</f>
        <v>13695.7321637149</v>
      </c>
      <c r="O96" s="41">
        <f>((($AN96*$AH96+$AI96)*(1+$AP96)*(1+$AQ96)+($AS96*IF($G$1="鸣金",$AJ96,$AH96)+IF($G$1="鸣金",$AK96*1.5,0))*(1+$AU96)*(1+$AV96)+($AW96*IF($G$1="裂石",$AJ96,$AH96)+IF($G$1="裂石",$AK96*1.5,0))*(1+$AY96)*(1+$AZ96)+($BA96*IF($G$1="牵丝",$AJ96,$AH96)+IF($G$1="牵丝",$AK96*1.5,0))*(1+$BC96)*(1+$BD96)+($BE96*IF($G$1="破竹",$AJ96,$AH96)+IF($G$1="破竹",$AK96*1.5,0))*(1+$BG96)*(1+$BH96))*(1+$AL96))*$P96*(1+IF(VLOOKUP($Q96,武学奇术!$A:$ZZ,30,FALSE)="回旋伞",$B$21,0))*(1+$BQ96)</f>
        <v>11818.4508962428</v>
      </c>
      <c r="P96" s="42">
        <v>2</v>
      </c>
      <c r="Q96" s="43" t="s">
        <v>143</v>
      </c>
      <c r="R96" s="43" t="s">
        <v>71</v>
      </c>
      <c r="S96" s="43" t="s">
        <v>91</v>
      </c>
      <c r="T96" s="43" t="s">
        <v>72</v>
      </c>
      <c r="U96" s="43" t="s">
        <v>79</v>
      </c>
      <c r="V96" s="43" t="s">
        <v>167</v>
      </c>
      <c r="W96" s="43" t="s">
        <v>95</v>
      </c>
      <c r="X96" s="43" t="s">
        <v>71</v>
      </c>
      <c r="Y96" s="43" t="s">
        <v>71</v>
      </c>
      <c r="Z96" s="43" t="s">
        <v>71</v>
      </c>
      <c r="AA96" s="43" t="s">
        <v>71</v>
      </c>
      <c r="AB96" s="43" t="s">
        <v>71</v>
      </c>
      <c r="AC96" s="43" t="s">
        <v>71</v>
      </c>
      <c r="AD96" s="43" t="s">
        <v>71</v>
      </c>
      <c r="AE96" s="43" t="s">
        <v>71</v>
      </c>
      <c r="AF96" s="43" t="s">
        <v>76</v>
      </c>
      <c r="AG96" t="str">
        <f>VLOOKUP($Q96,武学奇术!$A:$ZZ,25,FALSE)</f>
        <v>伞</v>
      </c>
      <c r="AH96" s="30">
        <f>VLOOKUP($Q96,武学奇术!$A:$ZZ,26,FALSE)</f>
        <v>0.54</v>
      </c>
      <c r="AI96" s="31">
        <f>VLOOKUP($Q96,武学奇术!$A:$ZZ,27,FALSE)*(1+IF(OR($AG96=$F$4,$AG96=$F$5),$B$22,0))</f>
        <v>0</v>
      </c>
      <c r="AJ96" s="30">
        <f>VLOOKUP($Q96,武学奇术!$A:$ZZ,28,FALSE)</f>
        <v>0.81</v>
      </c>
      <c r="AK96" s="31">
        <f>VLOOKUP($Q96,武学奇术!$A:$ZZ,29,FALSE)*(1+IF(OR($AG96=$F$4,$AG96=$F$5),$B$22,0))</f>
        <v>0</v>
      </c>
      <c r="AL96" s="30" cm="1">
        <f t="array" ref="AL96">$G$3+IFERROR(VLOOKUP($AG96,$F$4:$G$7,2,FALSE),0)+VLOOKUP($Q96,武学奇术!$A:$ZZ,2,FALSE)+SUM(_xlfn.XLOOKUP($R96:$AF96,增益!$A:$A,增益!$B:$B,0))</f>
        <v>0.7741</v>
      </c>
      <c r="AM96" s="30" cm="1">
        <f t="array" ref="AM96">VLOOKUP($Q96,武学奇术!$A:$ZZ,5,FALSE)+SUM(_xlfn.XLOOKUP($R96:$AF96,增益!$A:$A,增益!$E:$E,0))</f>
        <v>0</v>
      </c>
      <c r="AN96" cm="1">
        <f t="array" ref="AN96">$D$10*(1+$AM96)+VLOOKUP($Q96,武学奇术!$A:$ZZ,3,FALSE)+SUM(_xlfn.XLOOKUP($R96:$AF96,增益!$A:$A,增益!$C:$C,0))-$I$2</f>
        <v>3483.8</v>
      </c>
      <c r="AO96" cm="1">
        <f t="array" ref="AO96">$E$10*(1+$AM96)+VLOOKUP($Q96,武学奇术!$A:$ZZ,4,FALSE)+SUM(_xlfn.XLOOKUP($R96:$AF96,增益!$A:$A,增益!$D:$D,0))-$I$2</f>
        <v>3483.8</v>
      </c>
      <c r="AP96" s="35" cm="1">
        <f t="array" ref="AP96">IF($F$10-$I$3+VLOOKUP($Q96,武学奇术!$A:$ZZ,6,FALSE)+SUM(_xlfn.XLOOKUP(R96:AF96,增益!$A:$A,增益!$F:$F,0))&gt;0,($F$10-$I$3+VLOOKUP($Q96,武学奇术!$A:$ZZ,6,FALSE)+SUM(_xlfn.XLOOKUP(R96:AF96,增益!$A:$A,增益!$F:$F,0)))/200,($F$10-$I$3+VLOOKUP($Q96,武学奇术!$A:$ZZ,6,FALSE)+SUM(_xlfn.XLOOKUP(R96:AF96,增益!$A:$A,增益!$F:$F,0)))/100)</f>
        <v>0.2925</v>
      </c>
      <c r="AQ96" s="35" cm="1">
        <f t="array" ref="AQ96">$G$10+VLOOKUP($Q96,武学奇术!$A:$ZZ,7,FALSE)+SUM(_xlfn.XLOOKUP(R96:AF96,增益!$A:$A,增益!$G:$G,0))</f>
        <v>0.028</v>
      </c>
      <c r="AR96" s="30" cm="1">
        <f t="array" ref="AR96">VLOOKUP($Q96,武学奇术!$A:$ZZ,8,FALSE)+SUM(_xlfn.XLOOKUP(R96:AF96,增益!$A:$A,增益!$H:$H,0))</f>
        <v>0</v>
      </c>
      <c r="AS96">
        <f t="shared" si="13"/>
        <v>0</v>
      </c>
      <c r="AT96">
        <f t="shared" si="14"/>
        <v>0</v>
      </c>
      <c r="AU96" s="35" cm="1">
        <f t="array" ref="AU96">IF($F$11-$I$4+VLOOKUP($Q96,武学奇术!$A:$ZZ,9,FALSE)+SUM(_xlfn.XLOOKUP(R96:AF96,增益!$A:$A,增益!$I:$I,0))&gt;0,($F$11-$I$4+VLOOKUP($Q96,武学奇术!$A:$ZZ,9,FALSE)+SUM(_xlfn.XLOOKUP(R96:AF96,增益!$A:$A,增益!$I:$I,0)))/200,($F$11-$I$4+VLOOKUP($Q96,武学奇术!$A:$ZZ,9,FALSE)+SUM(_xlfn.XLOOKUP(R96:AF96,增益!$A:$A,增益!$I:$I,0)))/100)</f>
        <v>-0.3</v>
      </c>
      <c r="AV96" s="35" cm="1">
        <f t="array" ref="AV96">$G$11+VLOOKUP($Q96,武学奇术!$A:$ZZ,10,FALSE)+SUM(_xlfn.XLOOKUP(R96:AF96,增益!$A:$A,增益!$J:$J,0))</f>
        <v>0</v>
      </c>
      <c r="AW96">
        <f t="shared" si="15"/>
        <v>0</v>
      </c>
      <c r="AX96">
        <f t="shared" si="16"/>
        <v>0</v>
      </c>
      <c r="AY96" s="35" cm="1">
        <f t="array" ref="AY96">IF($F$12-$I$4+VLOOKUP($Q96,武学奇术!$A:$ZZ,11,FALSE)+SUM(_xlfn.XLOOKUP(R96:AF96,增益!$A:$A,增益!$K:$K,0))&gt;0,($F$12-$I$4+VLOOKUP($Q96,武学奇术!$A:$ZZ,11,FALSE)+SUM(_xlfn.XLOOKUP(R96:AF96,增益!$A:$A,增益!$K:$K,0)))/200,($F$12-$I$4+VLOOKUP($Q96,武学奇术!$A:$ZZ,11,FALSE)+SUM(_xlfn.XLOOKUP(R96:AF96,增益!$A:$A,增益!$K:$K,0)))/100)</f>
        <v>-0.3</v>
      </c>
      <c r="AZ96" s="35" cm="1">
        <f t="array" ref="AZ96">$G$12+VLOOKUP($Q96,武学奇术!$A:$ZZ,12,FALSE)+SUM(_xlfn.XLOOKUP(R96:AF96,增益!$A:$A,增益!$L:$L,0))</f>
        <v>0</v>
      </c>
      <c r="BA96">
        <f t="shared" si="17"/>
        <v>0</v>
      </c>
      <c r="BB96">
        <f t="shared" si="18"/>
        <v>0</v>
      </c>
      <c r="BC96" s="35" cm="1">
        <f t="array" ref="BC96">IF($F$13-$I$4+VLOOKUP($Q96,武学奇术!$A:$ZZ,13,FALSE)+SUM(_xlfn.XLOOKUP(R96:AF96,增益!$A:$A,增益!$M:$M,0))&gt;0,($F$13-$I$4+VLOOKUP($Q96,武学奇术!$A:$ZZ,13,FALSE)+SUM(_xlfn.XLOOKUP(R96:AF96,增益!$A:$A,增益!$K:$K,0)))/200,($F$13-$I$4+VLOOKUP($Q96,武学奇术!$A:$ZZ,13,FALSE)+SUM(_xlfn.XLOOKUP(R96:AF96,增益!$A:$A,增益!$M:$M,0)))/100)</f>
        <v>-0.3</v>
      </c>
      <c r="BD96" s="35" cm="1">
        <f t="array" ref="BD96">$G$13+VLOOKUP($Q96,武学奇术!$A:$ZZ,14,FALSE)+SUM(_xlfn.XLOOKUP(R96:AF96,增益!$A:$A,增益!$N:$N,0))</f>
        <v>0</v>
      </c>
      <c r="BE96">
        <f t="shared" si="19"/>
        <v>538</v>
      </c>
      <c r="BF96">
        <f t="shared" si="20"/>
        <v>1561.4</v>
      </c>
      <c r="BG96" s="35" cm="1">
        <f t="array" ref="BG96">IF($F$14-$I$4+VLOOKUP($Q96,武学奇术!$A:$ZZ,15,FALSE)+SUM(_xlfn.XLOOKUP(R96:AF96,增益!$A:$A,增益!$O:$O,0))&gt;0,($F$14-$I$4+VLOOKUP($Q96,武学奇术!$A:$ZZ,15,FALSE)+SUM(_xlfn.XLOOKUP(R96:AF96,增益!$A:$A,增益!$O:$O,0)))/200,($F$14-$I$4+VLOOKUP($Q96,武学奇术!$A:$ZZ,15,FALSE)+SUM(_xlfn.XLOOKUP(R96:AF96,增益!$A:$A,增益!$O:$O,0)))/100)</f>
        <v>0</v>
      </c>
      <c r="BH96" s="35" cm="1">
        <f t="array" ref="BH96">$G$14+VLOOKUP($Q96,武学奇术!$A:$ZZ,16,FALSE)+SUM(_xlfn.XLOOKUP(R96:AF96,增益!$A:$A,增益!$P:$P,0))</f>
        <v>0.15</v>
      </c>
      <c r="BI96" s="30">
        <f>MIN(IF(VLOOKUP($Q96,武学奇术!$A:$ZZ,23,FALSE)=1,100%,$B$8),100%)</f>
        <v>0.9712</v>
      </c>
      <c r="BJ96" s="30" cm="1">
        <f t="array" ref="BJ96">IF(VLOOKUP($Q96,武学奇术!$A:$ZZ,23,FALSE)=1,100%,MIN(80%,$B$9+VLOOKUP($Q96,武学奇术!$A:$ZZ,17,FALSE)+SUM(_xlfn.XLOOKUP(R96:AF96,增益!$A:$A,增益!$Q:$Q,0)))+$B$11+SUM(_xlfn.XLOOKUP(R96:AF96,增益!$A:$A,增益!$U:$U,0)))*IF(VLOOKUP($Q96,武学奇术!$A:$ZZ,24,FALSE)=1,0,1)</f>
        <v>0.8773</v>
      </c>
      <c r="BK96" s="30" cm="1">
        <f t="array" ref="BK96">1+$B$13+VLOOKUP($Q96,武学奇术!$A:$ZZ,18,FALSE)+SUM(_xlfn.XLOOKUP(R96:AF96,增益!$A:$A,增益!$R:$R,0))</f>
        <v>1.87</v>
      </c>
      <c r="BL96" s="30" cm="1">
        <f t="array" ref="BL96">IF(VLOOKUP($Q96,武学奇术!$A:$ZZ,24,FALSE)=1,100%,MIN(40%,$B$10+VLOOKUP($Q96,武学奇术!$A:$ZZ,19,FALSE)+SUM(_xlfn.XLOOKUP(R96:AF96,增益!$A:$A,增益!$S:$S,0)))+$B$12+SUM(_xlfn.XLOOKUP(R96:AF96,增益!$A:$A,增益!$V:$V,0)))*IF(VLOOKUP($Q96,武学奇术!$A:$ZZ,23,FALSE)=1,0,1)</f>
        <v>0.0895</v>
      </c>
      <c r="BM96" s="30" cm="1">
        <f t="array" ref="BM96">1+$B$14+VLOOKUP($Q96,武学奇术!$A:$ZZ,20,FALSE)+SUM(_xlfn.XLOOKUP(R96:AF96,增益!$A:$A,增益!$T:$T,0))</f>
        <v>1.35</v>
      </c>
      <c r="BN96" s="30">
        <f t="shared" si="21"/>
        <v>0.85203376</v>
      </c>
      <c r="BO96" s="30">
        <f t="shared" si="22"/>
        <v>0.03224384</v>
      </c>
      <c r="BP96" s="30">
        <f>IF(VLOOKUP($Q96,武学奇术!$A:$ZZ,22,FALSE)=1,0,(1-$BI96))*(1-$BL96)</f>
        <v>0.0262224</v>
      </c>
      <c r="BQ96" s="30" cm="1">
        <f t="array" ref="BQ96">SUM(_xlfn.XLOOKUP(R96:AF96,增益!$A:$A,增益!$W:$W,0))+$I$5</f>
        <v>0.11</v>
      </c>
    </row>
    <row r="97" spans="11:69">
      <c r="K97" s="41">
        <f t="shared" si="24"/>
        <v>68297.2328605798</v>
      </c>
      <c r="L97" s="41">
        <f>((($AN97+$AO97)/2*$AH97+$AI97)*(1+$AP97)*(1+$AQ97)+(($AS97+$AT97)/2*IF($G$1="鸣金",$AJ97,$AH97)+IF($G$1="鸣金",$AK97*1.5,0))*(1+$AU97)*(1+$AV97)+(($AW97+$AX97)/2*IF($G$1="裂石",$AJ97,$AH97)+IF($G$1="裂石",$AK97*1.5,0))*(1+$AY97)*(1+$AZ97)+(($BA97+$BB97)/2*IF($G$1="牵丝",$AJ97,$AH97)+IF($G$1="牵丝",$AK97*1.5,0))*(1+$BC97)*(1+$BD97)+(($BE97+$BF97)/2*IF($G$1="破竹",$AJ97,$AH97)+IF($G$1="破竹",$AK97*1.5,0))*(1+$BG97)*(1+$BH97))*(1+$AL97)*$BK97*$P97*(1+IF(VLOOKUP($Q97,武学奇术!$A:$ZZ,30,FALSE)="回旋伞",$B$21,0))*(1+$BQ97)</f>
        <v>71592.9114690429</v>
      </c>
      <c r="M97" s="41">
        <f>(($AO97*$AH97+$AI97)*(1+$AP97)*(1+$AQ97)+($AT97*IF($G$1="鸣金",$AJ97,$AH97)+IF($G$1="鸣金",$AK97*1.5,0))*(1+$AU97)*(1+$AV97)+($AX97*IF($G$1="裂石",$AJ97,$AH97)+IF($G$1="裂石",$AK97*1.5,0))*(1+$AY97)*(1+$AZ97)+($BB97*IF($G$1="牵丝",$AJ97,$AH97)+IF($G$1="牵丝",$AK97*1.5,0))*(1+$BC97)*(1+$BD97)+($BF97*IF($G$1="破竹",$AJ97,$AH97)+IF($G$1="破竹",$AK97*1.5,0))*(1+$BG97)*(1+$BH97))*(1+$AL97)*$BM97*$P97*(1+IF(VLOOKUP($Q97,武学奇术!$A:$ZZ,30,FALSE)="回旋伞",$B$21,0))*(1+$BQ97)</f>
        <v>57870.7756557982</v>
      </c>
      <c r="N97" s="41">
        <f>((($AN97+$AO97)/2*$AH97+$AI97)*(1+$AP97)*(1+$AQ97)+(($AS97+$AT97)/2*IF($G$1="鸣金",$AJ97,$AH97)+IF($G$1="鸣金",$AK97*1.5,0))*(1+$AU97)*(1+$AV97)+(($AW97+$AX97)/2*IF($G$1="裂石",$AJ97,$AH97)+IF($G$1="裂石",$AK97*1.5,0))*(1+$AY97)*(1+$AZ97)+(($BA97+$BB97)/2*IF($G$1="牵丝",$AJ97,$AH97)+IF($G$1="牵丝",$AK97*1.5,0))*(1+$BC97)*(1+$BD97)+(($BE97+$BF97)/2*IF($G$1="破竹",$AJ97,$AH97)+IF($G$1="破竹",$AK97*1.5,0))*(1+$BG97)*(1+$BH97))*(1+$AL97)*$P97*(1+IF(VLOOKUP($Q97,武学奇术!$A:$ZZ,30,FALSE)="回旋伞",$B$21,0))*(1+$BQ97)</f>
        <v>38284.9793952101</v>
      </c>
      <c r="O97" s="41">
        <f>((($AN97*$AH97+$AI97)*(1+$AP97)*(1+$AQ97)+($AS97*IF($G$1="鸣金",$AJ97,$AH97)+IF($G$1="鸣金",$AK97*1.5,0))*(1+$AU97)*(1+$AV97)+($AW97*IF($G$1="裂石",$AJ97,$AH97)+IF($G$1="裂石",$AK97*1.5,0))*(1+$AY97)*(1+$AZ97)+($BA97*IF($G$1="牵丝",$AJ97,$AH97)+IF($G$1="牵丝",$AK97*1.5,0))*(1+$BC97)*(1+$BD97)+($BE97*IF($G$1="破竹",$AJ97,$AH97)+IF($G$1="破竹",$AK97*1.5,0))*(1+$BG97)*(1+$BH97))*(1+$AL97))*$P97*(1+IF(VLOOKUP($Q97,武学奇术!$A:$ZZ,30,FALSE)="回旋伞",$B$21,0))*(1+$BQ97)</f>
        <v>33702.717563903</v>
      </c>
      <c r="P97" s="42">
        <v>1</v>
      </c>
      <c r="Q97" s="43" t="s">
        <v>104</v>
      </c>
      <c r="R97" s="43" t="s">
        <v>105</v>
      </c>
      <c r="S97" s="43" t="s">
        <v>91</v>
      </c>
      <c r="T97" s="43" t="s">
        <v>72</v>
      </c>
      <c r="U97" s="43" t="s">
        <v>79</v>
      </c>
      <c r="V97" s="43" t="s">
        <v>167</v>
      </c>
      <c r="W97" s="43" t="s">
        <v>95</v>
      </c>
      <c r="X97" s="43" t="s">
        <v>71</v>
      </c>
      <c r="Y97" s="43" t="s">
        <v>71</v>
      </c>
      <c r="Z97" s="43" t="s">
        <v>71</v>
      </c>
      <c r="AA97" s="43" t="s">
        <v>71</v>
      </c>
      <c r="AB97" s="43" t="s">
        <v>71</v>
      </c>
      <c r="AC97" s="43" t="s">
        <v>71</v>
      </c>
      <c r="AD97" s="43" t="s">
        <v>71</v>
      </c>
      <c r="AE97" s="43" t="s">
        <v>71</v>
      </c>
      <c r="AF97" s="43" t="s">
        <v>76</v>
      </c>
      <c r="AG97" t="str">
        <f>VLOOKUP($Q97,武学奇术!$A:$ZZ,25,FALSE)</f>
        <v>伞</v>
      </c>
      <c r="AH97" s="30">
        <f>VLOOKUP($Q97,武学奇术!$A:$ZZ,26,FALSE)</f>
        <v>1.8084</v>
      </c>
      <c r="AI97" s="31">
        <f>VLOOKUP($Q97,武学奇术!$A:$ZZ,27,FALSE)*(1+IF(OR($AG97=$F$4,$AG97=$F$5),$B$22,0))</f>
        <v>700</v>
      </c>
      <c r="AJ97" s="30">
        <f>VLOOKUP($Q97,武学奇术!$A:$ZZ,28,FALSE)</f>
        <v>2.7126</v>
      </c>
      <c r="AK97" s="31">
        <f>VLOOKUP($Q97,武学奇术!$A:$ZZ,29,FALSE)*(1+IF(OR($AG97=$F$4,$AG97=$F$5),$B$22,0))</f>
        <v>380.8</v>
      </c>
      <c r="AL97" s="30" cm="1">
        <f t="array" ref="AL97">$G$3+IFERROR(VLOOKUP($AG97,$F$4:$G$7,2,FALSE),0)+VLOOKUP($Q97,武学奇术!$A:$ZZ,2,FALSE)+SUM(_xlfn.XLOOKUP($R97:$AF97,增益!$A:$A,增益!$B:$B,0))</f>
        <v>0.7741</v>
      </c>
      <c r="AM97" s="30" cm="1">
        <f t="array" ref="AM97">VLOOKUP($Q97,武学奇术!$A:$ZZ,5,FALSE)+SUM(_xlfn.XLOOKUP($R97:$AF97,增益!$A:$A,增益!$E:$E,0))</f>
        <v>0</v>
      </c>
      <c r="AN97" cm="1">
        <f t="array" ref="AN97">$D$10*(1+$AM97)+VLOOKUP($Q97,武学奇术!$A:$ZZ,3,FALSE)+SUM(_xlfn.XLOOKUP($R97:$AF97,增益!$A:$A,增益!$C:$C,0))-$I$2</f>
        <v>3483.8</v>
      </c>
      <c r="AO97" cm="1">
        <f t="array" ref="AO97">$E$10*(1+$AM97)+VLOOKUP($Q97,武学奇术!$A:$ZZ,4,FALSE)+SUM(_xlfn.XLOOKUP($R97:$AF97,增益!$A:$A,增益!$D:$D,0))-$I$2</f>
        <v>3483.8</v>
      </c>
      <c r="AP97" s="35" cm="1">
        <f t="array" ref="AP97">IF($F$10-$I$3+VLOOKUP($Q97,武学奇术!$A:$ZZ,6,FALSE)+SUM(_xlfn.XLOOKUP(R97:AF97,增益!$A:$A,增益!$F:$F,0))&gt;0,($F$10-$I$3+VLOOKUP($Q97,武学奇术!$A:$ZZ,6,FALSE)+SUM(_xlfn.XLOOKUP(R97:AF97,增益!$A:$A,增益!$F:$F,0)))/200,($F$10-$I$3+VLOOKUP($Q97,武学奇术!$A:$ZZ,6,FALSE)+SUM(_xlfn.XLOOKUP(R97:AF97,增益!$A:$A,增益!$F:$F,0)))/100)</f>
        <v>0.2925</v>
      </c>
      <c r="AQ97" s="35" cm="1">
        <f t="array" ref="AQ97">$G$10+VLOOKUP($Q97,武学奇术!$A:$ZZ,7,FALSE)+SUM(_xlfn.XLOOKUP(R97:AF97,增益!$A:$A,增益!$G:$G,0))</f>
        <v>0.148</v>
      </c>
      <c r="AR97" s="30" cm="1">
        <f t="array" ref="AR97">VLOOKUP($Q97,武学奇术!$A:$ZZ,8,FALSE)+SUM(_xlfn.XLOOKUP(R97:AF97,增益!$A:$A,增益!$H:$H,0))</f>
        <v>0</v>
      </c>
      <c r="AS97">
        <f t="shared" si="13"/>
        <v>0</v>
      </c>
      <c r="AT97">
        <f t="shared" si="14"/>
        <v>0</v>
      </c>
      <c r="AU97" s="35" cm="1">
        <f t="array" ref="AU97">IF($F$11-$I$4+VLOOKUP($Q97,武学奇术!$A:$ZZ,9,FALSE)+SUM(_xlfn.XLOOKUP(R97:AF97,增益!$A:$A,增益!$I:$I,0))&gt;0,($F$11-$I$4+VLOOKUP($Q97,武学奇术!$A:$ZZ,9,FALSE)+SUM(_xlfn.XLOOKUP(R97:AF97,增益!$A:$A,增益!$I:$I,0)))/200,($F$11-$I$4+VLOOKUP($Q97,武学奇术!$A:$ZZ,9,FALSE)+SUM(_xlfn.XLOOKUP(R97:AF97,增益!$A:$A,增益!$I:$I,0)))/100)</f>
        <v>-0.3</v>
      </c>
      <c r="AV97" s="35" cm="1">
        <f t="array" ref="AV97">$G$11+VLOOKUP($Q97,武学奇术!$A:$ZZ,10,FALSE)+SUM(_xlfn.XLOOKUP(R97:AF97,增益!$A:$A,增益!$J:$J,0))</f>
        <v>0</v>
      </c>
      <c r="AW97">
        <f t="shared" si="15"/>
        <v>0</v>
      </c>
      <c r="AX97">
        <f t="shared" si="16"/>
        <v>0</v>
      </c>
      <c r="AY97" s="35" cm="1">
        <f t="array" ref="AY97">IF($F$12-$I$4+VLOOKUP($Q97,武学奇术!$A:$ZZ,11,FALSE)+SUM(_xlfn.XLOOKUP(R97:AF97,增益!$A:$A,增益!$K:$K,0))&gt;0,($F$12-$I$4+VLOOKUP($Q97,武学奇术!$A:$ZZ,11,FALSE)+SUM(_xlfn.XLOOKUP(R97:AF97,增益!$A:$A,增益!$K:$K,0)))/200,($F$12-$I$4+VLOOKUP($Q97,武学奇术!$A:$ZZ,11,FALSE)+SUM(_xlfn.XLOOKUP(R97:AF97,增益!$A:$A,增益!$K:$K,0)))/100)</f>
        <v>-0.3</v>
      </c>
      <c r="AZ97" s="35" cm="1">
        <f t="array" ref="AZ97">$G$12+VLOOKUP($Q97,武学奇术!$A:$ZZ,12,FALSE)+SUM(_xlfn.XLOOKUP(R97:AF97,增益!$A:$A,增益!$L:$L,0))</f>
        <v>0</v>
      </c>
      <c r="BA97">
        <f t="shared" si="17"/>
        <v>0</v>
      </c>
      <c r="BB97">
        <f t="shared" si="18"/>
        <v>0</v>
      </c>
      <c r="BC97" s="35" cm="1">
        <f t="array" ref="BC97">IF($F$13-$I$4+VLOOKUP($Q97,武学奇术!$A:$ZZ,13,FALSE)+SUM(_xlfn.XLOOKUP(R97:AF97,增益!$A:$A,增益!$M:$M,0))&gt;0,($F$13-$I$4+VLOOKUP($Q97,武学奇术!$A:$ZZ,13,FALSE)+SUM(_xlfn.XLOOKUP(R97:AF97,增益!$A:$A,增益!$K:$K,0)))/200,($F$13-$I$4+VLOOKUP($Q97,武学奇术!$A:$ZZ,13,FALSE)+SUM(_xlfn.XLOOKUP(R97:AF97,增益!$A:$A,增益!$M:$M,0)))/100)</f>
        <v>-0.3</v>
      </c>
      <c r="BD97" s="35" cm="1">
        <f t="array" ref="BD97">$G$13+VLOOKUP($Q97,武学奇术!$A:$ZZ,14,FALSE)+SUM(_xlfn.XLOOKUP(R97:AF97,增益!$A:$A,增益!$N:$N,0))</f>
        <v>0</v>
      </c>
      <c r="BE97">
        <f t="shared" si="19"/>
        <v>538</v>
      </c>
      <c r="BF97">
        <f t="shared" si="20"/>
        <v>1561.4</v>
      </c>
      <c r="BG97" s="35" cm="1">
        <f t="array" ref="BG97">IF($F$14-$I$4+VLOOKUP($Q97,武学奇术!$A:$ZZ,15,FALSE)+SUM(_xlfn.XLOOKUP(R97:AF97,增益!$A:$A,增益!$O:$O,0))&gt;0,($F$14-$I$4+VLOOKUP($Q97,武学奇术!$A:$ZZ,15,FALSE)+SUM(_xlfn.XLOOKUP(R97:AF97,增益!$A:$A,增益!$O:$O,0)))/200,($F$14-$I$4+VLOOKUP($Q97,武学奇术!$A:$ZZ,15,FALSE)+SUM(_xlfn.XLOOKUP(R97:AF97,增益!$A:$A,增益!$O:$O,0)))/100)</f>
        <v>0</v>
      </c>
      <c r="BH97" s="35" cm="1">
        <f t="array" ref="BH97">$G$14+VLOOKUP($Q97,武学奇术!$A:$ZZ,16,FALSE)+SUM(_xlfn.XLOOKUP(R97:AF97,增益!$A:$A,增益!$P:$P,0))</f>
        <v>0.27</v>
      </c>
      <c r="BI97" s="30">
        <f>MIN(IF(VLOOKUP($Q97,武学奇术!$A:$ZZ,23,FALSE)=1,100%,$B$8),100%)</f>
        <v>0.9712</v>
      </c>
      <c r="BJ97" s="30" cm="1">
        <f t="array" ref="BJ97">IF(VLOOKUP($Q97,武学奇术!$A:$ZZ,23,FALSE)=1,100%,MIN(80%,$B$9+VLOOKUP($Q97,武学奇术!$A:$ZZ,17,FALSE)+SUM(_xlfn.XLOOKUP(R97:AF97,增益!$A:$A,增益!$Q:$Q,0)))+$B$11+SUM(_xlfn.XLOOKUP(R97:AF97,增益!$A:$A,增益!$U:$U,0)))*IF(VLOOKUP($Q97,武学奇术!$A:$ZZ,24,FALSE)=1,0,1)</f>
        <v>0.8773</v>
      </c>
      <c r="BK97" s="30" cm="1">
        <f t="array" ref="BK97">1+$B$13+VLOOKUP($Q97,武学奇术!$A:$ZZ,18,FALSE)+SUM(_xlfn.XLOOKUP(R97:AF97,增益!$A:$A,增益!$R:$R,0))</f>
        <v>1.87</v>
      </c>
      <c r="BL97" s="30" cm="1">
        <f t="array" ref="BL97">IF(VLOOKUP($Q97,武学奇术!$A:$ZZ,24,FALSE)=1,100%,MIN(40%,$B$10+VLOOKUP($Q97,武学奇术!$A:$ZZ,19,FALSE)+SUM(_xlfn.XLOOKUP(R97:AF97,增益!$A:$A,增益!$S:$S,0)))+$B$12+SUM(_xlfn.XLOOKUP(R97:AF97,增益!$A:$A,增益!$V:$V,0)))*IF(VLOOKUP($Q97,武学奇术!$A:$ZZ,23,FALSE)=1,0,1)</f>
        <v>0.0895</v>
      </c>
      <c r="BM97" s="30" cm="1">
        <f t="array" ref="BM97">1+$B$14+VLOOKUP($Q97,武学奇术!$A:$ZZ,20,FALSE)+SUM(_xlfn.XLOOKUP(R97:AF97,增益!$A:$A,增益!$T:$T,0))</f>
        <v>1.35</v>
      </c>
      <c r="BN97" s="30">
        <f t="shared" si="21"/>
        <v>0.85203376</v>
      </c>
      <c r="BO97" s="30">
        <f t="shared" si="22"/>
        <v>0.03224384</v>
      </c>
      <c r="BP97" s="30">
        <f>IF(VLOOKUP($Q97,武学奇术!$A:$ZZ,22,FALSE)=1,0,(1-$BI97))*(1-$BL97)</f>
        <v>0.0262224</v>
      </c>
      <c r="BQ97" s="30" cm="1">
        <f t="array" ref="BQ97">SUM(_xlfn.XLOOKUP(R97:AF97,增益!$A:$A,增益!$W:$W,0))+$I$5</f>
        <v>0.11</v>
      </c>
    </row>
    <row r="98" spans="11:69">
      <c r="K98" s="41">
        <f t="shared" si="24"/>
        <v>68297.2328605798</v>
      </c>
      <c r="L98" s="41">
        <f>((($AN98+$AO98)/2*$AH98+$AI98)*(1+$AP98)*(1+$AQ98)+(($AS98+$AT98)/2*IF($G$1="鸣金",$AJ98,$AH98)+IF($G$1="鸣金",$AK98*1.5,0))*(1+$AU98)*(1+$AV98)+(($AW98+$AX98)/2*IF($G$1="裂石",$AJ98,$AH98)+IF($G$1="裂石",$AK98*1.5,0))*(1+$AY98)*(1+$AZ98)+(($BA98+$BB98)/2*IF($G$1="牵丝",$AJ98,$AH98)+IF($G$1="牵丝",$AK98*1.5,0))*(1+$BC98)*(1+$BD98)+(($BE98+$BF98)/2*IF($G$1="破竹",$AJ98,$AH98)+IF($G$1="破竹",$AK98*1.5,0))*(1+$BG98)*(1+$BH98))*(1+$AL98)*$BK98*$P98*(1+IF(VLOOKUP($Q98,武学奇术!$A:$ZZ,30,FALSE)="回旋伞",$B$21,0))*(1+$BQ98)</f>
        <v>71592.9114690429</v>
      </c>
      <c r="M98" s="41">
        <f>(($AO98*$AH98+$AI98)*(1+$AP98)*(1+$AQ98)+($AT98*IF($G$1="鸣金",$AJ98,$AH98)+IF($G$1="鸣金",$AK98*1.5,0))*(1+$AU98)*(1+$AV98)+($AX98*IF($G$1="裂石",$AJ98,$AH98)+IF($G$1="裂石",$AK98*1.5,0))*(1+$AY98)*(1+$AZ98)+($BB98*IF($G$1="牵丝",$AJ98,$AH98)+IF($G$1="牵丝",$AK98*1.5,0))*(1+$BC98)*(1+$BD98)+($BF98*IF($G$1="破竹",$AJ98,$AH98)+IF($G$1="破竹",$AK98*1.5,0))*(1+$BG98)*(1+$BH98))*(1+$AL98)*$BM98*$P98*(1+IF(VLOOKUP($Q98,武学奇术!$A:$ZZ,30,FALSE)="回旋伞",$B$21,0))*(1+$BQ98)</f>
        <v>57870.7756557982</v>
      </c>
      <c r="N98" s="41">
        <f>((($AN98+$AO98)/2*$AH98+$AI98)*(1+$AP98)*(1+$AQ98)+(($AS98+$AT98)/2*IF($G$1="鸣金",$AJ98,$AH98)+IF($G$1="鸣金",$AK98*1.5,0))*(1+$AU98)*(1+$AV98)+(($AW98+$AX98)/2*IF($G$1="裂石",$AJ98,$AH98)+IF($G$1="裂石",$AK98*1.5,0))*(1+$AY98)*(1+$AZ98)+(($BA98+$BB98)/2*IF($G$1="牵丝",$AJ98,$AH98)+IF($G$1="牵丝",$AK98*1.5,0))*(1+$BC98)*(1+$BD98)+(($BE98+$BF98)/2*IF($G$1="破竹",$AJ98,$AH98)+IF($G$1="破竹",$AK98*1.5,0))*(1+$BG98)*(1+$BH98))*(1+$AL98)*$P98*(1+IF(VLOOKUP($Q98,武学奇术!$A:$ZZ,30,FALSE)="回旋伞",$B$21,0))*(1+$BQ98)</f>
        <v>38284.9793952101</v>
      </c>
      <c r="O98" s="41">
        <f>((($AN98*$AH98+$AI98)*(1+$AP98)*(1+$AQ98)+($AS98*IF($G$1="鸣金",$AJ98,$AH98)+IF($G$1="鸣金",$AK98*1.5,0))*(1+$AU98)*(1+$AV98)+($AW98*IF($G$1="裂石",$AJ98,$AH98)+IF($G$1="裂石",$AK98*1.5,0))*(1+$AY98)*(1+$AZ98)+($BA98*IF($G$1="牵丝",$AJ98,$AH98)+IF($G$1="牵丝",$AK98*1.5,0))*(1+$BC98)*(1+$BD98)+($BE98*IF($G$1="破竹",$AJ98,$AH98)+IF($G$1="破竹",$AK98*1.5,0))*(1+$BG98)*(1+$BH98))*(1+$AL98))*$P98*(1+IF(VLOOKUP($Q98,武学奇术!$A:$ZZ,30,FALSE)="回旋伞",$B$21,0))*(1+$BQ98)</f>
        <v>33702.717563903</v>
      </c>
      <c r="P98" s="42">
        <v>1</v>
      </c>
      <c r="Q98" s="43" t="s">
        <v>104</v>
      </c>
      <c r="R98" s="43" t="s">
        <v>105</v>
      </c>
      <c r="S98" s="43" t="s">
        <v>91</v>
      </c>
      <c r="T98" s="43" t="s">
        <v>72</v>
      </c>
      <c r="U98" s="43" t="s">
        <v>79</v>
      </c>
      <c r="V98" s="43" t="s">
        <v>167</v>
      </c>
      <c r="W98" s="43" t="s">
        <v>95</v>
      </c>
      <c r="X98" s="43" t="s">
        <v>71</v>
      </c>
      <c r="Y98" s="43" t="s">
        <v>71</v>
      </c>
      <c r="Z98" s="43" t="s">
        <v>71</v>
      </c>
      <c r="AA98" s="43" t="s">
        <v>109</v>
      </c>
      <c r="AB98" s="43" t="s">
        <v>71</v>
      </c>
      <c r="AC98" s="43" t="s">
        <v>71</v>
      </c>
      <c r="AD98" s="43" t="s">
        <v>71</v>
      </c>
      <c r="AE98" s="43" t="s">
        <v>71</v>
      </c>
      <c r="AF98" s="43" t="s">
        <v>76</v>
      </c>
      <c r="AG98" t="str">
        <f>VLOOKUP($Q98,武学奇术!$A:$ZZ,25,FALSE)</f>
        <v>伞</v>
      </c>
      <c r="AH98" s="30">
        <f>VLOOKUP($Q98,武学奇术!$A:$ZZ,26,FALSE)</f>
        <v>1.8084</v>
      </c>
      <c r="AI98" s="31">
        <f>VLOOKUP($Q98,武学奇术!$A:$ZZ,27,FALSE)*(1+IF(OR($AG98=$F$4,$AG98=$F$5),$B$22,0))</f>
        <v>700</v>
      </c>
      <c r="AJ98" s="30">
        <f>VLOOKUP($Q98,武学奇术!$A:$ZZ,28,FALSE)</f>
        <v>2.7126</v>
      </c>
      <c r="AK98" s="31">
        <f>VLOOKUP($Q98,武学奇术!$A:$ZZ,29,FALSE)*(1+IF(OR($AG98=$F$4,$AG98=$F$5),$B$22,0))</f>
        <v>380.8</v>
      </c>
      <c r="AL98" s="30" cm="1">
        <f t="array" ref="AL98">$G$3+IFERROR(VLOOKUP($AG98,$F$4:$G$7,2,FALSE),0)+VLOOKUP($Q98,武学奇术!$A:$ZZ,2,FALSE)+SUM(_xlfn.XLOOKUP($R98:$AF98,增益!$A:$A,增益!$B:$B,0))</f>
        <v>0.7741</v>
      </c>
      <c r="AM98" s="30" cm="1">
        <f t="array" ref="AM98">VLOOKUP($Q98,武学奇术!$A:$ZZ,5,FALSE)+SUM(_xlfn.XLOOKUP($R98:$AF98,增益!$A:$A,增益!$E:$E,0))</f>
        <v>0</v>
      </c>
      <c r="AN98" cm="1">
        <f t="array" ref="AN98">$D$10*(1+$AM98)+VLOOKUP($Q98,武学奇术!$A:$ZZ,3,FALSE)+SUM(_xlfn.XLOOKUP($R98:$AF98,增益!$A:$A,增益!$C:$C,0))-$I$2</f>
        <v>3483.8</v>
      </c>
      <c r="AO98" cm="1">
        <f t="array" ref="AO98">$E$10*(1+$AM98)+VLOOKUP($Q98,武学奇术!$A:$ZZ,4,FALSE)+SUM(_xlfn.XLOOKUP($R98:$AF98,增益!$A:$A,增益!$D:$D,0))-$I$2</f>
        <v>3483.8</v>
      </c>
      <c r="AP98" s="35" cm="1">
        <f t="array" ref="AP98">IF($F$10-$I$3+VLOOKUP($Q98,武学奇术!$A:$ZZ,6,FALSE)+SUM(_xlfn.XLOOKUP(R98:AF98,增益!$A:$A,增益!$F:$F,0))&gt;0,($F$10-$I$3+VLOOKUP($Q98,武学奇术!$A:$ZZ,6,FALSE)+SUM(_xlfn.XLOOKUP(R98:AF98,增益!$A:$A,增益!$F:$F,0)))/200,($F$10-$I$3+VLOOKUP($Q98,武学奇术!$A:$ZZ,6,FALSE)+SUM(_xlfn.XLOOKUP(R98:AF98,增益!$A:$A,增益!$F:$F,0)))/100)</f>
        <v>0.2925</v>
      </c>
      <c r="AQ98" s="35" cm="1">
        <f t="array" ref="AQ98">$G$10+VLOOKUP($Q98,武学奇术!$A:$ZZ,7,FALSE)+SUM(_xlfn.XLOOKUP(R98:AF98,增益!$A:$A,增益!$G:$G,0))</f>
        <v>0.148</v>
      </c>
      <c r="AR98" s="30" cm="1">
        <f t="array" ref="AR98">VLOOKUP($Q98,武学奇术!$A:$ZZ,8,FALSE)+SUM(_xlfn.XLOOKUP(R98:AF98,增益!$A:$A,增益!$H:$H,0))</f>
        <v>0</v>
      </c>
      <c r="AS98">
        <f t="shared" si="13"/>
        <v>0</v>
      </c>
      <c r="AT98">
        <f t="shared" si="14"/>
        <v>0</v>
      </c>
      <c r="AU98" s="35" cm="1">
        <f t="array" ref="AU98">IF($F$11-$I$4+VLOOKUP($Q98,武学奇术!$A:$ZZ,9,FALSE)+SUM(_xlfn.XLOOKUP(R98:AF98,增益!$A:$A,增益!$I:$I,0))&gt;0,($F$11-$I$4+VLOOKUP($Q98,武学奇术!$A:$ZZ,9,FALSE)+SUM(_xlfn.XLOOKUP(R98:AF98,增益!$A:$A,增益!$I:$I,0)))/200,($F$11-$I$4+VLOOKUP($Q98,武学奇术!$A:$ZZ,9,FALSE)+SUM(_xlfn.XLOOKUP(R98:AF98,增益!$A:$A,增益!$I:$I,0)))/100)</f>
        <v>-0.3</v>
      </c>
      <c r="AV98" s="35" cm="1">
        <f t="array" ref="AV98">$G$11+VLOOKUP($Q98,武学奇术!$A:$ZZ,10,FALSE)+SUM(_xlfn.XLOOKUP(R98:AF98,增益!$A:$A,增益!$J:$J,0))</f>
        <v>0</v>
      </c>
      <c r="AW98">
        <f t="shared" si="15"/>
        <v>0</v>
      </c>
      <c r="AX98">
        <f t="shared" si="16"/>
        <v>0</v>
      </c>
      <c r="AY98" s="35" cm="1">
        <f t="array" ref="AY98">IF($F$12-$I$4+VLOOKUP($Q98,武学奇术!$A:$ZZ,11,FALSE)+SUM(_xlfn.XLOOKUP(R98:AF98,增益!$A:$A,增益!$K:$K,0))&gt;0,($F$12-$I$4+VLOOKUP($Q98,武学奇术!$A:$ZZ,11,FALSE)+SUM(_xlfn.XLOOKUP(R98:AF98,增益!$A:$A,增益!$K:$K,0)))/200,($F$12-$I$4+VLOOKUP($Q98,武学奇术!$A:$ZZ,11,FALSE)+SUM(_xlfn.XLOOKUP(R98:AF98,增益!$A:$A,增益!$K:$K,0)))/100)</f>
        <v>-0.3</v>
      </c>
      <c r="AZ98" s="35" cm="1">
        <f t="array" ref="AZ98">$G$12+VLOOKUP($Q98,武学奇术!$A:$ZZ,12,FALSE)+SUM(_xlfn.XLOOKUP(R98:AF98,增益!$A:$A,增益!$L:$L,0))</f>
        <v>0</v>
      </c>
      <c r="BA98">
        <f t="shared" si="17"/>
        <v>0</v>
      </c>
      <c r="BB98">
        <f t="shared" si="18"/>
        <v>0</v>
      </c>
      <c r="BC98" s="35" cm="1">
        <f t="array" ref="BC98">IF($F$13-$I$4+VLOOKUP($Q98,武学奇术!$A:$ZZ,13,FALSE)+SUM(_xlfn.XLOOKUP(R98:AF98,增益!$A:$A,增益!$M:$M,0))&gt;0,($F$13-$I$4+VLOOKUP($Q98,武学奇术!$A:$ZZ,13,FALSE)+SUM(_xlfn.XLOOKUP(R98:AF98,增益!$A:$A,增益!$K:$K,0)))/200,($F$13-$I$4+VLOOKUP($Q98,武学奇术!$A:$ZZ,13,FALSE)+SUM(_xlfn.XLOOKUP(R98:AF98,增益!$A:$A,增益!$M:$M,0)))/100)</f>
        <v>-0.3</v>
      </c>
      <c r="BD98" s="35" cm="1">
        <f t="array" ref="BD98">$G$13+VLOOKUP($Q98,武学奇术!$A:$ZZ,14,FALSE)+SUM(_xlfn.XLOOKUP(R98:AF98,增益!$A:$A,增益!$N:$N,0))</f>
        <v>0</v>
      </c>
      <c r="BE98">
        <f t="shared" si="19"/>
        <v>538</v>
      </c>
      <c r="BF98">
        <f t="shared" si="20"/>
        <v>1561.4</v>
      </c>
      <c r="BG98" s="35" cm="1">
        <f t="array" ref="BG98">IF($F$14-$I$4+VLOOKUP($Q98,武学奇术!$A:$ZZ,15,FALSE)+SUM(_xlfn.XLOOKUP(R98:AF98,增益!$A:$A,增益!$O:$O,0))&gt;0,($F$14-$I$4+VLOOKUP($Q98,武学奇术!$A:$ZZ,15,FALSE)+SUM(_xlfn.XLOOKUP(R98:AF98,增益!$A:$A,增益!$O:$O,0)))/200,($F$14-$I$4+VLOOKUP($Q98,武学奇术!$A:$ZZ,15,FALSE)+SUM(_xlfn.XLOOKUP(R98:AF98,增益!$A:$A,增益!$O:$O,0)))/100)</f>
        <v>0</v>
      </c>
      <c r="BH98" s="35" cm="1">
        <f t="array" ref="BH98">$G$14+VLOOKUP($Q98,武学奇术!$A:$ZZ,16,FALSE)+SUM(_xlfn.XLOOKUP(R98:AF98,增益!$A:$A,增益!$P:$P,0))</f>
        <v>0.27</v>
      </c>
      <c r="BI98" s="30">
        <f>MIN(IF(VLOOKUP($Q98,武学奇术!$A:$ZZ,23,FALSE)=1,100%,$B$8),100%)</f>
        <v>0.9712</v>
      </c>
      <c r="BJ98" s="30" cm="1">
        <f t="array" ref="BJ98">IF(VLOOKUP($Q98,武学奇术!$A:$ZZ,23,FALSE)=1,100%,MIN(80%,$B$9+VLOOKUP($Q98,武学奇术!$A:$ZZ,17,FALSE)+SUM(_xlfn.XLOOKUP(R98:AF98,增益!$A:$A,增益!$Q:$Q,0)))+$B$11+SUM(_xlfn.XLOOKUP(R98:AF98,增益!$A:$A,增益!$U:$U,0)))*IF(VLOOKUP($Q98,武学奇术!$A:$ZZ,24,FALSE)=1,0,1)</f>
        <v>0.8773</v>
      </c>
      <c r="BK98" s="30" cm="1">
        <f t="array" ref="BK98">1+$B$13+VLOOKUP($Q98,武学奇术!$A:$ZZ,18,FALSE)+SUM(_xlfn.XLOOKUP(R98:AF98,增益!$A:$A,增益!$R:$R,0))</f>
        <v>1.87</v>
      </c>
      <c r="BL98" s="30" cm="1">
        <f t="array" ref="BL98">IF(VLOOKUP($Q98,武学奇术!$A:$ZZ,24,FALSE)=1,100%,MIN(40%,$B$10+VLOOKUP($Q98,武学奇术!$A:$ZZ,19,FALSE)+SUM(_xlfn.XLOOKUP(R98:AF98,增益!$A:$A,增益!$S:$S,0)))+$B$12+SUM(_xlfn.XLOOKUP(R98:AF98,增益!$A:$A,增益!$V:$V,0)))*IF(VLOOKUP($Q98,武学奇术!$A:$ZZ,23,FALSE)=1,0,1)</f>
        <v>0.0895</v>
      </c>
      <c r="BM98" s="30" cm="1">
        <f t="array" ref="BM98">1+$B$14+VLOOKUP($Q98,武学奇术!$A:$ZZ,20,FALSE)+SUM(_xlfn.XLOOKUP(R98:AF98,增益!$A:$A,增益!$T:$T,0))</f>
        <v>1.35</v>
      </c>
      <c r="BN98" s="30">
        <f t="shared" si="21"/>
        <v>0.85203376</v>
      </c>
      <c r="BO98" s="30">
        <f t="shared" si="22"/>
        <v>0.03224384</v>
      </c>
      <c r="BP98" s="30">
        <f>IF(VLOOKUP($Q98,武学奇术!$A:$ZZ,22,FALSE)=1,0,(1-$BI98))*(1-$BL98)</f>
        <v>0.0262224</v>
      </c>
      <c r="BQ98" s="30" cm="1">
        <f t="array" ref="BQ98">SUM(_xlfn.XLOOKUP(R98:AF98,增益!$A:$A,增益!$W:$W,0))+$I$5</f>
        <v>0.11</v>
      </c>
    </row>
    <row r="99" spans="11:69">
      <c r="K99" s="41">
        <f t="shared" si="24"/>
        <v>68297.2328605798</v>
      </c>
      <c r="L99" s="41">
        <f>((($AN99+$AO99)/2*$AH99+$AI99)*(1+$AP99)*(1+$AQ99)+(($AS99+$AT99)/2*IF($G$1="鸣金",$AJ99,$AH99)+IF($G$1="鸣金",$AK99*1.5,0))*(1+$AU99)*(1+$AV99)+(($AW99+$AX99)/2*IF($G$1="裂石",$AJ99,$AH99)+IF($G$1="裂石",$AK99*1.5,0))*(1+$AY99)*(1+$AZ99)+(($BA99+$BB99)/2*IF($G$1="牵丝",$AJ99,$AH99)+IF($G$1="牵丝",$AK99*1.5,0))*(1+$BC99)*(1+$BD99)+(($BE99+$BF99)/2*IF($G$1="破竹",$AJ99,$AH99)+IF($G$1="破竹",$AK99*1.5,0))*(1+$BG99)*(1+$BH99))*(1+$AL99)*$BK99*$P99*(1+IF(VLOOKUP($Q99,武学奇术!$A:$ZZ,30,FALSE)="回旋伞",$B$21,0))*(1+$BQ99)</f>
        <v>71592.9114690429</v>
      </c>
      <c r="M99" s="41">
        <f>(($AO99*$AH99+$AI99)*(1+$AP99)*(1+$AQ99)+($AT99*IF($G$1="鸣金",$AJ99,$AH99)+IF($G$1="鸣金",$AK99*1.5,0))*(1+$AU99)*(1+$AV99)+($AX99*IF($G$1="裂石",$AJ99,$AH99)+IF($G$1="裂石",$AK99*1.5,0))*(1+$AY99)*(1+$AZ99)+($BB99*IF($G$1="牵丝",$AJ99,$AH99)+IF($G$1="牵丝",$AK99*1.5,0))*(1+$BC99)*(1+$BD99)+($BF99*IF($G$1="破竹",$AJ99,$AH99)+IF($G$1="破竹",$AK99*1.5,0))*(1+$BG99)*(1+$BH99))*(1+$AL99)*$BM99*$P99*(1+IF(VLOOKUP($Q99,武学奇术!$A:$ZZ,30,FALSE)="回旋伞",$B$21,0))*(1+$BQ99)</f>
        <v>57870.7756557982</v>
      </c>
      <c r="N99" s="41">
        <f>((($AN99+$AO99)/2*$AH99+$AI99)*(1+$AP99)*(1+$AQ99)+(($AS99+$AT99)/2*IF($G$1="鸣金",$AJ99,$AH99)+IF($G$1="鸣金",$AK99*1.5,0))*(1+$AU99)*(1+$AV99)+(($AW99+$AX99)/2*IF($G$1="裂石",$AJ99,$AH99)+IF($G$1="裂石",$AK99*1.5,0))*(1+$AY99)*(1+$AZ99)+(($BA99+$BB99)/2*IF($G$1="牵丝",$AJ99,$AH99)+IF($G$1="牵丝",$AK99*1.5,0))*(1+$BC99)*(1+$BD99)+(($BE99+$BF99)/2*IF($G$1="破竹",$AJ99,$AH99)+IF($G$1="破竹",$AK99*1.5,0))*(1+$BG99)*(1+$BH99))*(1+$AL99)*$P99*(1+IF(VLOOKUP($Q99,武学奇术!$A:$ZZ,30,FALSE)="回旋伞",$B$21,0))*(1+$BQ99)</f>
        <v>38284.9793952101</v>
      </c>
      <c r="O99" s="41">
        <f>((($AN99*$AH99+$AI99)*(1+$AP99)*(1+$AQ99)+($AS99*IF($G$1="鸣金",$AJ99,$AH99)+IF($G$1="鸣金",$AK99*1.5,0))*(1+$AU99)*(1+$AV99)+($AW99*IF($G$1="裂石",$AJ99,$AH99)+IF($G$1="裂石",$AK99*1.5,0))*(1+$AY99)*(1+$AZ99)+($BA99*IF($G$1="牵丝",$AJ99,$AH99)+IF($G$1="牵丝",$AK99*1.5,0))*(1+$BC99)*(1+$BD99)+($BE99*IF($G$1="破竹",$AJ99,$AH99)+IF($G$1="破竹",$AK99*1.5,0))*(1+$BG99)*(1+$BH99))*(1+$AL99))*$P99*(1+IF(VLOOKUP($Q99,武学奇术!$A:$ZZ,30,FALSE)="回旋伞",$B$21,0))*(1+$BQ99)</f>
        <v>33702.717563903</v>
      </c>
      <c r="P99" s="42">
        <v>1</v>
      </c>
      <c r="Q99" s="43" t="s">
        <v>104</v>
      </c>
      <c r="R99" s="43" t="s">
        <v>105</v>
      </c>
      <c r="S99" s="43" t="s">
        <v>91</v>
      </c>
      <c r="T99" s="43" t="s">
        <v>72</v>
      </c>
      <c r="U99" s="43" t="s">
        <v>79</v>
      </c>
      <c r="V99" s="43" t="s">
        <v>167</v>
      </c>
      <c r="W99" s="43" t="s">
        <v>95</v>
      </c>
      <c r="X99" s="43" t="s">
        <v>71</v>
      </c>
      <c r="Y99" s="43" t="s">
        <v>71</v>
      </c>
      <c r="Z99" s="43" t="s">
        <v>71</v>
      </c>
      <c r="AA99" s="43" t="s">
        <v>112</v>
      </c>
      <c r="AB99" s="43" t="s">
        <v>71</v>
      </c>
      <c r="AC99" s="43" t="s">
        <v>71</v>
      </c>
      <c r="AD99" s="43" t="s">
        <v>71</v>
      </c>
      <c r="AE99" s="43" t="s">
        <v>71</v>
      </c>
      <c r="AF99" s="43" t="s">
        <v>76</v>
      </c>
      <c r="AG99" t="str">
        <f>VLOOKUP($Q99,武学奇术!$A:$ZZ,25,FALSE)</f>
        <v>伞</v>
      </c>
      <c r="AH99" s="30">
        <f>VLOOKUP($Q99,武学奇术!$A:$ZZ,26,FALSE)</f>
        <v>1.8084</v>
      </c>
      <c r="AI99" s="31">
        <f>VLOOKUP($Q99,武学奇术!$A:$ZZ,27,FALSE)*(1+IF(OR($AG99=$F$4,$AG99=$F$5),$B$22,0))</f>
        <v>700</v>
      </c>
      <c r="AJ99" s="30">
        <f>VLOOKUP($Q99,武学奇术!$A:$ZZ,28,FALSE)</f>
        <v>2.7126</v>
      </c>
      <c r="AK99" s="31">
        <f>VLOOKUP($Q99,武学奇术!$A:$ZZ,29,FALSE)*(1+IF(OR($AG99=$F$4,$AG99=$F$5),$B$22,0))</f>
        <v>380.8</v>
      </c>
      <c r="AL99" s="30" cm="1">
        <f t="array" ref="AL99">$G$3+IFERROR(VLOOKUP($AG99,$F$4:$G$7,2,FALSE),0)+VLOOKUP($Q99,武学奇术!$A:$ZZ,2,FALSE)+SUM(_xlfn.XLOOKUP($R99:$AF99,增益!$A:$A,增益!$B:$B,0))</f>
        <v>0.7741</v>
      </c>
      <c r="AM99" s="30" cm="1">
        <f t="array" ref="AM99">VLOOKUP($Q99,武学奇术!$A:$ZZ,5,FALSE)+SUM(_xlfn.XLOOKUP($R99:$AF99,增益!$A:$A,增益!$E:$E,0))</f>
        <v>0</v>
      </c>
      <c r="AN99" cm="1">
        <f t="array" ref="AN99">$D$10*(1+$AM99)+VLOOKUP($Q99,武学奇术!$A:$ZZ,3,FALSE)+SUM(_xlfn.XLOOKUP($R99:$AF99,增益!$A:$A,增益!$C:$C,0))-$I$2</f>
        <v>3483.8</v>
      </c>
      <c r="AO99" cm="1">
        <f t="array" ref="AO99">$E$10*(1+$AM99)+VLOOKUP($Q99,武学奇术!$A:$ZZ,4,FALSE)+SUM(_xlfn.XLOOKUP($R99:$AF99,增益!$A:$A,增益!$D:$D,0))-$I$2</f>
        <v>3483.8</v>
      </c>
      <c r="AP99" s="35" cm="1">
        <f t="array" ref="AP99">IF($F$10-$I$3+VLOOKUP($Q99,武学奇术!$A:$ZZ,6,FALSE)+SUM(_xlfn.XLOOKUP(R99:AF99,增益!$A:$A,增益!$F:$F,0))&gt;0,($F$10-$I$3+VLOOKUP($Q99,武学奇术!$A:$ZZ,6,FALSE)+SUM(_xlfn.XLOOKUP(R99:AF99,增益!$A:$A,增益!$F:$F,0)))/200,($F$10-$I$3+VLOOKUP($Q99,武学奇术!$A:$ZZ,6,FALSE)+SUM(_xlfn.XLOOKUP(R99:AF99,增益!$A:$A,增益!$F:$F,0)))/100)</f>
        <v>0.2925</v>
      </c>
      <c r="AQ99" s="35" cm="1">
        <f t="array" ref="AQ99">$G$10+VLOOKUP($Q99,武学奇术!$A:$ZZ,7,FALSE)+SUM(_xlfn.XLOOKUP(R99:AF99,增益!$A:$A,增益!$G:$G,0))</f>
        <v>0.148</v>
      </c>
      <c r="AR99" s="30" cm="1">
        <f t="array" ref="AR99">VLOOKUP($Q99,武学奇术!$A:$ZZ,8,FALSE)+SUM(_xlfn.XLOOKUP(R99:AF99,增益!$A:$A,增益!$H:$H,0))</f>
        <v>0</v>
      </c>
      <c r="AS99">
        <f t="shared" si="13"/>
        <v>0</v>
      </c>
      <c r="AT99">
        <f t="shared" si="14"/>
        <v>0</v>
      </c>
      <c r="AU99" s="35" cm="1">
        <f t="array" ref="AU99">IF($F$11-$I$4+VLOOKUP($Q99,武学奇术!$A:$ZZ,9,FALSE)+SUM(_xlfn.XLOOKUP(R99:AF99,增益!$A:$A,增益!$I:$I,0))&gt;0,($F$11-$I$4+VLOOKUP($Q99,武学奇术!$A:$ZZ,9,FALSE)+SUM(_xlfn.XLOOKUP(R99:AF99,增益!$A:$A,增益!$I:$I,0)))/200,($F$11-$I$4+VLOOKUP($Q99,武学奇术!$A:$ZZ,9,FALSE)+SUM(_xlfn.XLOOKUP(R99:AF99,增益!$A:$A,增益!$I:$I,0)))/100)</f>
        <v>-0.3</v>
      </c>
      <c r="AV99" s="35" cm="1">
        <f t="array" ref="AV99">$G$11+VLOOKUP($Q99,武学奇术!$A:$ZZ,10,FALSE)+SUM(_xlfn.XLOOKUP(R99:AF99,增益!$A:$A,增益!$J:$J,0))</f>
        <v>0</v>
      </c>
      <c r="AW99">
        <f t="shared" si="15"/>
        <v>0</v>
      </c>
      <c r="AX99">
        <f t="shared" si="16"/>
        <v>0</v>
      </c>
      <c r="AY99" s="35" cm="1">
        <f t="array" ref="AY99">IF($F$12-$I$4+VLOOKUP($Q99,武学奇术!$A:$ZZ,11,FALSE)+SUM(_xlfn.XLOOKUP(R99:AF99,增益!$A:$A,增益!$K:$K,0))&gt;0,($F$12-$I$4+VLOOKUP($Q99,武学奇术!$A:$ZZ,11,FALSE)+SUM(_xlfn.XLOOKUP(R99:AF99,增益!$A:$A,增益!$K:$K,0)))/200,($F$12-$I$4+VLOOKUP($Q99,武学奇术!$A:$ZZ,11,FALSE)+SUM(_xlfn.XLOOKUP(R99:AF99,增益!$A:$A,增益!$K:$K,0)))/100)</f>
        <v>-0.3</v>
      </c>
      <c r="AZ99" s="35" cm="1">
        <f t="array" ref="AZ99">$G$12+VLOOKUP($Q99,武学奇术!$A:$ZZ,12,FALSE)+SUM(_xlfn.XLOOKUP(R99:AF99,增益!$A:$A,增益!$L:$L,0))</f>
        <v>0</v>
      </c>
      <c r="BA99">
        <f t="shared" si="17"/>
        <v>0</v>
      </c>
      <c r="BB99">
        <f t="shared" si="18"/>
        <v>0</v>
      </c>
      <c r="BC99" s="35" cm="1">
        <f t="array" ref="BC99">IF($F$13-$I$4+VLOOKUP($Q99,武学奇术!$A:$ZZ,13,FALSE)+SUM(_xlfn.XLOOKUP(R99:AF99,增益!$A:$A,增益!$M:$M,0))&gt;0,($F$13-$I$4+VLOOKUP($Q99,武学奇术!$A:$ZZ,13,FALSE)+SUM(_xlfn.XLOOKUP(R99:AF99,增益!$A:$A,增益!$K:$K,0)))/200,($F$13-$I$4+VLOOKUP($Q99,武学奇术!$A:$ZZ,13,FALSE)+SUM(_xlfn.XLOOKUP(R99:AF99,增益!$A:$A,增益!$M:$M,0)))/100)</f>
        <v>-0.3</v>
      </c>
      <c r="BD99" s="35" cm="1">
        <f t="array" ref="BD99">$G$13+VLOOKUP($Q99,武学奇术!$A:$ZZ,14,FALSE)+SUM(_xlfn.XLOOKUP(R99:AF99,增益!$A:$A,增益!$N:$N,0))</f>
        <v>0</v>
      </c>
      <c r="BE99">
        <f t="shared" si="19"/>
        <v>538</v>
      </c>
      <c r="BF99">
        <f t="shared" si="20"/>
        <v>1561.4</v>
      </c>
      <c r="BG99" s="35" cm="1">
        <f t="array" ref="BG99">IF($F$14-$I$4+VLOOKUP($Q99,武学奇术!$A:$ZZ,15,FALSE)+SUM(_xlfn.XLOOKUP(R99:AF99,增益!$A:$A,增益!$O:$O,0))&gt;0,($F$14-$I$4+VLOOKUP($Q99,武学奇术!$A:$ZZ,15,FALSE)+SUM(_xlfn.XLOOKUP(R99:AF99,增益!$A:$A,增益!$O:$O,0)))/200,($F$14-$I$4+VLOOKUP($Q99,武学奇术!$A:$ZZ,15,FALSE)+SUM(_xlfn.XLOOKUP(R99:AF99,增益!$A:$A,增益!$O:$O,0)))/100)</f>
        <v>0</v>
      </c>
      <c r="BH99" s="35" cm="1">
        <f t="array" ref="BH99">$G$14+VLOOKUP($Q99,武学奇术!$A:$ZZ,16,FALSE)+SUM(_xlfn.XLOOKUP(R99:AF99,增益!$A:$A,增益!$P:$P,0))</f>
        <v>0.27</v>
      </c>
      <c r="BI99" s="30">
        <f>MIN(IF(VLOOKUP($Q99,武学奇术!$A:$ZZ,23,FALSE)=1,100%,$B$8),100%)</f>
        <v>0.9712</v>
      </c>
      <c r="BJ99" s="30" cm="1">
        <f t="array" ref="BJ99">IF(VLOOKUP($Q99,武学奇术!$A:$ZZ,23,FALSE)=1,100%,MIN(80%,$B$9+VLOOKUP($Q99,武学奇术!$A:$ZZ,17,FALSE)+SUM(_xlfn.XLOOKUP(R99:AF99,增益!$A:$A,增益!$Q:$Q,0)))+$B$11+SUM(_xlfn.XLOOKUP(R99:AF99,增益!$A:$A,增益!$U:$U,0)))*IF(VLOOKUP($Q99,武学奇术!$A:$ZZ,24,FALSE)=1,0,1)</f>
        <v>0.8773</v>
      </c>
      <c r="BK99" s="30" cm="1">
        <f t="array" ref="BK99">1+$B$13+VLOOKUP($Q99,武学奇术!$A:$ZZ,18,FALSE)+SUM(_xlfn.XLOOKUP(R99:AF99,增益!$A:$A,增益!$R:$R,0))</f>
        <v>1.87</v>
      </c>
      <c r="BL99" s="30" cm="1">
        <f t="array" ref="BL99">IF(VLOOKUP($Q99,武学奇术!$A:$ZZ,24,FALSE)=1,100%,MIN(40%,$B$10+VLOOKUP($Q99,武学奇术!$A:$ZZ,19,FALSE)+SUM(_xlfn.XLOOKUP(R99:AF99,增益!$A:$A,增益!$S:$S,0)))+$B$12+SUM(_xlfn.XLOOKUP(R99:AF99,增益!$A:$A,增益!$V:$V,0)))*IF(VLOOKUP($Q99,武学奇术!$A:$ZZ,23,FALSE)=1,0,1)</f>
        <v>0.0895</v>
      </c>
      <c r="BM99" s="30" cm="1">
        <f t="array" ref="BM99">1+$B$14+VLOOKUP($Q99,武学奇术!$A:$ZZ,20,FALSE)+SUM(_xlfn.XLOOKUP(R99:AF99,增益!$A:$A,增益!$T:$T,0))</f>
        <v>1.35</v>
      </c>
      <c r="BN99" s="30">
        <f t="shared" si="21"/>
        <v>0.85203376</v>
      </c>
      <c r="BO99" s="30">
        <f t="shared" si="22"/>
        <v>0.03224384</v>
      </c>
      <c r="BP99" s="30">
        <f>IF(VLOOKUP($Q99,武学奇术!$A:$ZZ,22,FALSE)=1,0,(1-$BI99))*(1-$BL99)</f>
        <v>0.0262224</v>
      </c>
      <c r="BQ99" s="30" cm="1">
        <f t="array" ref="BQ99">SUM(_xlfn.XLOOKUP(R99:AF99,增益!$A:$A,增益!$W:$W,0))+$I$5</f>
        <v>0.11</v>
      </c>
    </row>
    <row r="100" spans="11:69">
      <c r="K100" s="41">
        <f t="shared" si="24"/>
        <v>159327.621364114</v>
      </c>
      <c r="L100" s="41">
        <f>((($AN100+$AO100)/2*$AH100+$AI100)*(1+$AP100)*(1+$AQ100)+(($AS100+$AT100)/2*IF($G$1="鸣金",$AJ100,$AH100)+IF($G$1="鸣金",$AK100*1.5,0))*(1+$AU100)*(1+$AV100)+(($AW100+$AX100)/2*IF($G$1="裂石",$AJ100,$AH100)+IF($G$1="裂石",$AK100*1.5,0))*(1+$AY100)*(1+$AZ100)+(($BA100+$BB100)/2*IF($G$1="牵丝",$AJ100,$AH100)+IF($G$1="牵丝",$AK100*1.5,0))*(1+$BC100)*(1+$BD100)+(($BE100+$BF100)/2*IF($G$1="破竹",$AJ100,$AH100)+IF($G$1="破竹",$AK100*1.5,0))*(1+$BG100)*(1+$BH100))*(1+$AL100)*$BK100*$P100*(1+IF(VLOOKUP($Q100,武学奇术!$A:$ZZ,30,FALSE)="回旋伞",$B$21,0))*(1+$BQ100)</f>
        <v>159327.621364114</v>
      </c>
      <c r="M100" s="41">
        <f>(($AO100*$AH100+$AI100)*(1+$AP100)*(1+$AQ100)+($AT100*IF($G$1="鸣金",$AJ100,$AH100)+IF($G$1="鸣金",$AK100*1.5,0))*(1+$AU100)*(1+$AV100)+($AX100*IF($G$1="裂石",$AJ100,$AH100)+IF($G$1="裂石",$AK100*1.5,0))*(1+$AY100)*(1+$AZ100)+($BB100*IF($G$1="牵丝",$AJ100,$AH100)+IF($G$1="牵丝",$AK100*1.5,0))*(1+$BC100)*(1+$BD100)+($BF100*IF($G$1="破竹",$AJ100,$AH100)+IF($G$1="破竹",$AK100*1.5,0))*(1+$BG100)*(1+$BH100))*(1+$AL100)*$BM100*$P100*(1+IF(VLOOKUP($Q100,武学奇术!$A:$ZZ,30,FALSE)="回旋伞",$B$21,0))*(1+$BQ100)</f>
        <v>128789.468713276</v>
      </c>
      <c r="N100" s="41">
        <f>((($AN100+$AO100)/2*$AH100+$AI100)*(1+$AP100)*(1+$AQ100)+(($AS100+$AT100)/2*IF($G$1="鸣金",$AJ100,$AH100)+IF($G$1="鸣金",$AK100*1.5,0))*(1+$AU100)*(1+$AV100)+(($AW100+$AX100)/2*IF($G$1="裂石",$AJ100,$AH100)+IF($G$1="裂石",$AK100*1.5,0))*(1+$AY100)*(1+$AZ100)+(($BA100+$BB100)/2*IF($G$1="牵丝",$AJ100,$AH100)+IF($G$1="牵丝",$AK100*1.5,0))*(1+$BC100)*(1+$BD100)+(($BE100+$BF100)/2*IF($G$1="破竹",$AJ100,$AH100)+IF($G$1="破竹",$AK100*1.5,0))*(1+$BG100)*(1+$BH100))*(1+$AL100)*$P100*(1+IF(VLOOKUP($Q100,武学奇术!$A:$ZZ,30,FALSE)="回旋伞",$B$21,0))*(1+$BQ100)</f>
        <v>85201.9365583498</v>
      </c>
      <c r="O100" s="41">
        <f>((($AN100*$AH100+$AI100)*(1+$AP100)*(1+$AQ100)+($AS100*IF($G$1="鸣金",$AJ100,$AH100)+IF($G$1="鸣金",$AK100*1.5,0))*(1+$AU100)*(1+$AV100)+($AW100*IF($G$1="裂石",$AJ100,$AH100)+IF($G$1="裂石",$AK100*1.5,0))*(1+$AY100)*(1+$AZ100)+($BA100*IF($G$1="牵丝",$AJ100,$AH100)+IF($G$1="牵丝",$AK100*1.5,0))*(1+$BC100)*(1+$BD100)+($BE100*IF($G$1="破竹",$AJ100,$AH100)+IF($G$1="破竹",$AK100*1.5,0))*(1+$BG100)*(1+$BH100))*(1+$AL100))*$P100*(1+IF(VLOOKUP($Q100,武学奇术!$A:$ZZ,30,FALSE)="回旋伞",$B$21,0))*(1+$BQ100)</f>
        <v>75004.2666624213</v>
      </c>
      <c r="P100" s="42">
        <v>2</v>
      </c>
      <c r="Q100" s="43" t="s">
        <v>115</v>
      </c>
      <c r="R100" s="43" t="s">
        <v>105</v>
      </c>
      <c r="S100" s="43" t="s">
        <v>91</v>
      </c>
      <c r="T100" s="43" t="s">
        <v>72</v>
      </c>
      <c r="U100" s="43" t="s">
        <v>79</v>
      </c>
      <c r="V100" s="43" t="s">
        <v>167</v>
      </c>
      <c r="W100" s="43" t="s">
        <v>95</v>
      </c>
      <c r="X100" s="43" t="s">
        <v>71</v>
      </c>
      <c r="Y100" s="43" t="s">
        <v>71</v>
      </c>
      <c r="Z100" s="43" t="s">
        <v>71</v>
      </c>
      <c r="AA100" s="43" t="s">
        <v>116</v>
      </c>
      <c r="AB100" s="43" t="s">
        <v>71</v>
      </c>
      <c r="AC100" s="43" t="s">
        <v>71</v>
      </c>
      <c r="AD100" s="43" t="s">
        <v>71</v>
      </c>
      <c r="AE100" s="43" t="s">
        <v>71</v>
      </c>
      <c r="AF100" s="43" t="s">
        <v>76</v>
      </c>
      <c r="AG100" t="str">
        <f>VLOOKUP($Q100,武学奇术!$A:$ZZ,25,FALSE)</f>
        <v>伞</v>
      </c>
      <c r="AH100" s="30">
        <f>VLOOKUP($Q100,武学奇术!$A:$ZZ,26,FALSE)</f>
        <v>1.8084</v>
      </c>
      <c r="AI100" s="31">
        <f>VLOOKUP($Q100,武学奇术!$A:$ZZ,27,FALSE)*(1+IF(OR($AG100=$F$4,$AG100=$F$5),$B$22,0))</f>
        <v>700</v>
      </c>
      <c r="AJ100" s="30">
        <f>VLOOKUP($Q100,武学奇术!$A:$ZZ,28,FALSE)</f>
        <v>2.7126</v>
      </c>
      <c r="AK100" s="31">
        <f>VLOOKUP($Q100,武学奇术!$A:$ZZ,29,FALSE)*(1+IF(OR($AG100=$F$4,$AG100=$F$5),$B$22,0))</f>
        <v>380.8</v>
      </c>
      <c r="AL100" s="30" cm="1">
        <f t="array" ref="AL100">$G$3+IFERROR(VLOOKUP($AG100,$F$4:$G$7,2,FALSE),0)+VLOOKUP($Q100,武学奇术!$A:$ZZ,2,FALSE)+SUM(_xlfn.XLOOKUP($R100:$AF100,增益!$A:$A,增益!$B:$B,0))</f>
        <v>0.9741</v>
      </c>
      <c r="AM100" s="30" cm="1">
        <f t="array" ref="AM100">VLOOKUP($Q100,武学奇术!$A:$ZZ,5,FALSE)+SUM(_xlfn.XLOOKUP($R100:$AF100,增益!$A:$A,增益!$E:$E,0))</f>
        <v>0</v>
      </c>
      <c r="AN100" cm="1">
        <f t="array" ref="AN100">$D$10*(1+$AM100)+VLOOKUP($Q100,武学奇术!$A:$ZZ,3,FALSE)+SUM(_xlfn.XLOOKUP($R100:$AF100,增益!$A:$A,增益!$C:$C,0))-$I$2</f>
        <v>3483.8</v>
      </c>
      <c r="AO100" cm="1">
        <f t="array" ref="AO100">$E$10*(1+$AM100)+VLOOKUP($Q100,武学奇术!$A:$ZZ,4,FALSE)+SUM(_xlfn.XLOOKUP($R100:$AF100,增益!$A:$A,增益!$D:$D,0))-$I$2</f>
        <v>3483.8</v>
      </c>
      <c r="AP100" s="35" cm="1">
        <f t="array" ref="AP100">IF($F$10-$I$3+VLOOKUP($Q100,武学奇术!$A:$ZZ,6,FALSE)+SUM(_xlfn.XLOOKUP(R100:AF100,增益!$A:$A,增益!$F:$F,0))&gt;0,($F$10-$I$3+VLOOKUP($Q100,武学奇术!$A:$ZZ,6,FALSE)+SUM(_xlfn.XLOOKUP(R100:AF100,增益!$A:$A,增益!$F:$F,0)))/200,($F$10-$I$3+VLOOKUP($Q100,武学奇术!$A:$ZZ,6,FALSE)+SUM(_xlfn.XLOOKUP(R100:AF100,增益!$A:$A,增益!$F:$F,0)))/100)</f>
        <v>0.2925</v>
      </c>
      <c r="AQ100" s="35" cm="1">
        <f t="array" ref="AQ100">$G$10+VLOOKUP($Q100,武学奇术!$A:$ZZ,7,FALSE)+SUM(_xlfn.XLOOKUP(R100:AF100,增益!$A:$A,增益!$G:$G,0))</f>
        <v>0.148</v>
      </c>
      <c r="AR100" s="30" cm="1">
        <f t="array" ref="AR100">VLOOKUP($Q100,武学奇术!$A:$ZZ,8,FALSE)+SUM(_xlfn.XLOOKUP(R100:AF100,增益!$A:$A,增益!$H:$H,0))</f>
        <v>0</v>
      </c>
      <c r="AS100">
        <f t="shared" si="13"/>
        <v>0</v>
      </c>
      <c r="AT100">
        <f t="shared" si="14"/>
        <v>0</v>
      </c>
      <c r="AU100" s="35" cm="1">
        <f t="array" ref="AU100">IF($F$11-$I$4+VLOOKUP($Q100,武学奇术!$A:$ZZ,9,FALSE)+SUM(_xlfn.XLOOKUP(R100:AF100,增益!$A:$A,增益!$I:$I,0))&gt;0,($F$11-$I$4+VLOOKUP($Q100,武学奇术!$A:$ZZ,9,FALSE)+SUM(_xlfn.XLOOKUP(R100:AF100,增益!$A:$A,增益!$I:$I,0)))/200,($F$11-$I$4+VLOOKUP($Q100,武学奇术!$A:$ZZ,9,FALSE)+SUM(_xlfn.XLOOKUP(R100:AF100,增益!$A:$A,增益!$I:$I,0)))/100)</f>
        <v>-0.3</v>
      </c>
      <c r="AV100" s="35" cm="1">
        <f t="array" ref="AV100">$G$11+VLOOKUP($Q100,武学奇术!$A:$ZZ,10,FALSE)+SUM(_xlfn.XLOOKUP(R100:AF100,增益!$A:$A,增益!$J:$J,0))</f>
        <v>0</v>
      </c>
      <c r="AW100">
        <f t="shared" si="15"/>
        <v>0</v>
      </c>
      <c r="AX100">
        <f t="shared" si="16"/>
        <v>0</v>
      </c>
      <c r="AY100" s="35" cm="1">
        <f t="array" ref="AY100">IF($F$12-$I$4+VLOOKUP($Q100,武学奇术!$A:$ZZ,11,FALSE)+SUM(_xlfn.XLOOKUP(R100:AF100,增益!$A:$A,增益!$K:$K,0))&gt;0,($F$12-$I$4+VLOOKUP($Q100,武学奇术!$A:$ZZ,11,FALSE)+SUM(_xlfn.XLOOKUP(R100:AF100,增益!$A:$A,增益!$K:$K,0)))/200,($F$12-$I$4+VLOOKUP($Q100,武学奇术!$A:$ZZ,11,FALSE)+SUM(_xlfn.XLOOKUP(R100:AF100,增益!$A:$A,增益!$K:$K,0)))/100)</f>
        <v>-0.3</v>
      </c>
      <c r="AZ100" s="35" cm="1">
        <f t="array" ref="AZ100">$G$12+VLOOKUP($Q100,武学奇术!$A:$ZZ,12,FALSE)+SUM(_xlfn.XLOOKUP(R100:AF100,增益!$A:$A,增益!$L:$L,0))</f>
        <v>0</v>
      </c>
      <c r="BA100">
        <f t="shared" si="17"/>
        <v>0</v>
      </c>
      <c r="BB100">
        <f t="shared" si="18"/>
        <v>0</v>
      </c>
      <c r="BC100" s="35" cm="1">
        <f t="array" ref="BC100">IF($F$13-$I$4+VLOOKUP($Q100,武学奇术!$A:$ZZ,13,FALSE)+SUM(_xlfn.XLOOKUP(R100:AF100,增益!$A:$A,增益!$M:$M,0))&gt;0,($F$13-$I$4+VLOOKUP($Q100,武学奇术!$A:$ZZ,13,FALSE)+SUM(_xlfn.XLOOKUP(R100:AF100,增益!$A:$A,增益!$K:$K,0)))/200,($F$13-$I$4+VLOOKUP($Q100,武学奇术!$A:$ZZ,13,FALSE)+SUM(_xlfn.XLOOKUP(R100:AF100,增益!$A:$A,增益!$M:$M,0)))/100)</f>
        <v>-0.3</v>
      </c>
      <c r="BD100" s="35" cm="1">
        <f t="array" ref="BD100">$G$13+VLOOKUP($Q100,武学奇术!$A:$ZZ,14,FALSE)+SUM(_xlfn.XLOOKUP(R100:AF100,增益!$A:$A,增益!$N:$N,0))</f>
        <v>0</v>
      </c>
      <c r="BE100">
        <f t="shared" si="19"/>
        <v>538</v>
      </c>
      <c r="BF100">
        <f t="shared" si="20"/>
        <v>1561.4</v>
      </c>
      <c r="BG100" s="35" cm="1">
        <f t="array" ref="BG100">IF($F$14-$I$4+VLOOKUP($Q100,武学奇术!$A:$ZZ,15,FALSE)+SUM(_xlfn.XLOOKUP(R100:AF100,增益!$A:$A,增益!$O:$O,0))&gt;0,($F$14-$I$4+VLOOKUP($Q100,武学奇术!$A:$ZZ,15,FALSE)+SUM(_xlfn.XLOOKUP(R100:AF100,增益!$A:$A,增益!$O:$O,0)))/200,($F$14-$I$4+VLOOKUP($Q100,武学奇术!$A:$ZZ,15,FALSE)+SUM(_xlfn.XLOOKUP(R100:AF100,增益!$A:$A,增益!$O:$O,0)))/100)</f>
        <v>0</v>
      </c>
      <c r="BH100" s="35" cm="1">
        <f t="array" ref="BH100">$G$14+VLOOKUP($Q100,武学奇术!$A:$ZZ,16,FALSE)+SUM(_xlfn.XLOOKUP(R100:AF100,增益!$A:$A,增益!$P:$P,0))</f>
        <v>0.27</v>
      </c>
      <c r="BI100" s="30">
        <f>MIN(IF(VLOOKUP($Q100,武学奇术!$A:$ZZ,23,FALSE)=1,100%,$B$8),100%)</f>
        <v>1</v>
      </c>
      <c r="BJ100" s="30" cm="1">
        <f t="array" ref="BJ100">IF(VLOOKUP($Q100,武学奇术!$A:$ZZ,23,FALSE)=1,100%,MIN(80%,$B$9+VLOOKUP($Q100,武学奇术!$A:$ZZ,17,FALSE)+SUM(_xlfn.XLOOKUP(R100:AF100,增益!$A:$A,增益!$Q:$Q,0)))+$B$11+SUM(_xlfn.XLOOKUP(R100:AF100,增益!$A:$A,增益!$U:$U,0)))*IF(VLOOKUP($Q100,武学奇术!$A:$ZZ,24,FALSE)=1,0,1)</f>
        <v>1</v>
      </c>
      <c r="BK100" s="30" cm="1">
        <f t="array" ref="BK100">1+$B$13+VLOOKUP($Q100,武学奇术!$A:$ZZ,18,FALSE)+SUM(_xlfn.XLOOKUP(R100:AF100,增益!$A:$A,增益!$R:$R,0))</f>
        <v>1.87</v>
      </c>
      <c r="BL100" s="30" cm="1">
        <f t="array" ref="BL100">IF(VLOOKUP($Q100,武学奇术!$A:$ZZ,24,FALSE)=1,100%,MIN(40%,$B$10+VLOOKUP($Q100,武学奇术!$A:$ZZ,19,FALSE)+SUM(_xlfn.XLOOKUP(R100:AF100,增益!$A:$A,增益!$S:$S,0)))+$B$12+SUM(_xlfn.XLOOKUP(R100:AF100,增益!$A:$A,增益!$V:$V,0)))*IF(VLOOKUP($Q100,武学奇术!$A:$ZZ,23,FALSE)=1,0,1)</f>
        <v>0</v>
      </c>
      <c r="BM100" s="30" cm="1">
        <f t="array" ref="BM100">1+$B$14+VLOOKUP($Q100,武学奇术!$A:$ZZ,20,FALSE)+SUM(_xlfn.XLOOKUP(R100:AF100,增益!$A:$A,增益!$T:$T,0))</f>
        <v>1.35</v>
      </c>
      <c r="BN100" s="30">
        <f t="shared" si="21"/>
        <v>1</v>
      </c>
      <c r="BO100" s="30">
        <f t="shared" si="22"/>
        <v>0</v>
      </c>
      <c r="BP100" s="30">
        <f>IF(VLOOKUP($Q100,武学奇术!$A:$ZZ,22,FALSE)=1,0,(1-$BI100))*(1-$BL100)</f>
        <v>0</v>
      </c>
      <c r="BQ100" s="30" cm="1">
        <f t="array" ref="BQ100">SUM(_xlfn.XLOOKUP(R100:AF100,增益!$A:$A,增益!$W:$W,0))+$I$5</f>
        <v>0.11</v>
      </c>
    </row>
    <row r="101" spans="11:69">
      <c r="K101" s="41">
        <f t="shared" si="24"/>
        <v>341486.164302899</v>
      </c>
      <c r="L101" s="41">
        <f>((($AN101+$AO101)/2*$AH101+$AI101)*(1+$AP101)*(1+$AQ101)+(($AS101+$AT101)/2*IF($G$1="鸣金",$AJ101,$AH101)+IF($G$1="鸣金",$AK101*1.5,0))*(1+$AU101)*(1+$AV101)+(($AW101+$AX101)/2*IF($G$1="裂石",$AJ101,$AH101)+IF($G$1="裂石",$AK101*1.5,0))*(1+$AY101)*(1+$AZ101)+(($BA101+$BB101)/2*IF($G$1="牵丝",$AJ101,$AH101)+IF($G$1="牵丝",$AK101*1.5,0))*(1+$BC101)*(1+$BD101)+(($BE101+$BF101)/2*IF($G$1="破竹",$AJ101,$AH101)+IF($G$1="破竹",$AK101*1.5,0))*(1+$BG101)*(1+$BH101))*(1+$AL101)*$BK101*$P101*(1+IF(VLOOKUP($Q101,武学奇术!$A:$ZZ,30,FALSE)="回旋伞",$B$21,0))*(1+$BQ101)</f>
        <v>357964.557345214</v>
      </c>
      <c r="M101" s="41">
        <f>(($AO101*$AH101+$AI101)*(1+$AP101)*(1+$AQ101)+($AT101*IF($G$1="鸣金",$AJ101,$AH101)+IF($G$1="鸣金",$AK101*1.5,0))*(1+$AU101)*(1+$AV101)+($AX101*IF($G$1="裂石",$AJ101,$AH101)+IF($G$1="裂石",$AK101*1.5,0))*(1+$AY101)*(1+$AZ101)+($BB101*IF($G$1="牵丝",$AJ101,$AH101)+IF($G$1="牵丝",$AK101*1.5,0))*(1+$BC101)*(1+$BD101)+($BF101*IF($G$1="破竹",$AJ101,$AH101)+IF($G$1="破竹",$AK101*1.5,0))*(1+$BG101)*(1+$BH101))*(1+$AL101)*$BM101*$P101*(1+IF(VLOOKUP($Q101,武学奇术!$A:$ZZ,30,FALSE)="回旋伞",$B$21,0))*(1+$BQ101)</f>
        <v>289353.878278991</v>
      </c>
      <c r="N101" s="41">
        <f>((($AN101+$AO101)/2*$AH101+$AI101)*(1+$AP101)*(1+$AQ101)+(($AS101+$AT101)/2*IF($G$1="鸣金",$AJ101,$AH101)+IF($G$1="鸣金",$AK101*1.5,0))*(1+$AU101)*(1+$AV101)+(($AW101+$AX101)/2*IF($G$1="裂石",$AJ101,$AH101)+IF($G$1="裂石",$AK101*1.5,0))*(1+$AY101)*(1+$AZ101)+(($BA101+$BB101)/2*IF($G$1="牵丝",$AJ101,$AH101)+IF($G$1="牵丝",$AK101*1.5,0))*(1+$BC101)*(1+$BD101)+(($BE101+$BF101)/2*IF($G$1="破竹",$AJ101,$AH101)+IF($G$1="破竹",$AK101*1.5,0))*(1+$BG101)*(1+$BH101))*(1+$AL101)*$P101*(1+IF(VLOOKUP($Q101,武学奇术!$A:$ZZ,30,FALSE)="回旋伞",$B$21,0))*(1+$BQ101)</f>
        <v>191424.89697605</v>
      </c>
      <c r="O101" s="41">
        <f>((($AN101*$AH101+$AI101)*(1+$AP101)*(1+$AQ101)+($AS101*IF($G$1="鸣金",$AJ101,$AH101)+IF($G$1="鸣金",$AK101*1.5,0))*(1+$AU101)*(1+$AV101)+($AW101*IF($G$1="裂石",$AJ101,$AH101)+IF($G$1="裂石",$AK101*1.5,0))*(1+$AY101)*(1+$AZ101)+($BA101*IF($G$1="牵丝",$AJ101,$AH101)+IF($G$1="牵丝",$AK101*1.5,0))*(1+$BC101)*(1+$BD101)+($BE101*IF($G$1="破竹",$AJ101,$AH101)+IF($G$1="破竹",$AK101*1.5,0))*(1+$BG101)*(1+$BH101))*(1+$AL101))*$P101*(1+IF(VLOOKUP($Q101,武学奇术!$A:$ZZ,30,FALSE)="回旋伞",$B$21,0))*(1+$BQ101)</f>
        <v>168513.587819515</v>
      </c>
      <c r="P101" s="42">
        <v>5</v>
      </c>
      <c r="Q101" s="43" t="s">
        <v>104</v>
      </c>
      <c r="R101" s="43" t="s">
        <v>105</v>
      </c>
      <c r="S101" s="43" t="s">
        <v>91</v>
      </c>
      <c r="T101" s="43" t="s">
        <v>72</v>
      </c>
      <c r="U101" s="43" t="s">
        <v>79</v>
      </c>
      <c r="V101" s="43" t="s">
        <v>167</v>
      </c>
      <c r="W101" s="43" t="s">
        <v>95</v>
      </c>
      <c r="X101" s="43" t="s">
        <v>71</v>
      </c>
      <c r="Y101" s="43" t="s">
        <v>71</v>
      </c>
      <c r="Z101" s="43" t="s">
        <v>71</v>
      </c>
      <c r="AA101" s="43" t="s">
        <v>116</v>
      </c>
      <c r="AB101" s="43" t="s">
        <v>71</v>
      </c>
      <c r="AC101" s="43" t="s">
        <v>71</v>
      </c>
      <c r="AD101" s="43" t="s">
        <v>71</v>
      </c>
      <c r="AE101" s="43" t="s">
        <v>71</v>
      </c>
      <c r="AF101" s="43" t="s">
        <v>76</v>
      </c>
      <c r="AG101" t="str">
        <f>VLOOKUP($Q101,武学奇术!$A:$ZZ,25,FALSE)</f>
        <v>伞</v>
      </c>
      <c r="AH101" s="30">
        <f>VLOOKUP($Q101,武学奇术!$A:$ZZ,26,FALSE)</f>
        <v>1.8084</v>
      </c>
      <c r="AI101" s="31">
        <f>VLOOKUP($Q101,武学奇术!$A:$ZZ,27,FALSE)*(1+IF(OR($AG101=$F$4,$AG101=$F$5),$B$22,0))</f>
        <v>700</v>
      </c>
      <c r="AJ101" s="30">
        <f>VLOOKUP($Q101,武学奇术!$A:$ZZ,28,FALSE)</f>
        <v>2.7126</v>
      </c>
      <c r="AK101" s="31">
        <f>VLOOKUP($Q101,武学奇术!$A:$ZZ,29,FALSE)*(1+IF(OR($AG101=$F$4,$AG101=$F$5),$B$22,0))</f>
        <v>380.8</v>
      </c>
      <c r="AL101" s="30" cm="1">
        <f t="array" ref="AL101">$G$3+IFERROR(VLOOKUP($AG101,$F$4:$G$7,2,FALSE),0)+VLOOKUP($Q101,武学奇术!$A:$ZZ,2,FALSE)+SUM(_xlfn.XLOOKUP($R101:$AF101,增益!$A:$A,增益!$B:$B,0))</f>
        <v>0.7741</v>
      </c>
      <c r="AM101" s="30" cm="1">
        <f t="array" ref="AM101">VLOOKUP($Q101,武学奇术!$A:$ZZ,5,FALSE)+SUM(_xlfn.XLOOKUP($R101:$AF101,增益!$A:$A,增益!$E:$E,0))</f>
        <v>0</v>
      </c>
      <c r="AN101" cm="1">
        <f t="array" ref="AN101">$D$10*(1+$AM101)+VLOOKUP($Q101,武学奇术!$A:$ZZ,3,FALSE)+SUM(_xlfn.XLOOKUP($R101:$AF101,增益!$A:$A,增益!$C:$C,0))-$I$2</f>
        <v>3483.8</v>
      </c>
      <c r="AO101" cm="1">
        <f t="array" ref="AO101">$E$10*(1+$AM101)+VLOOKUP($Q101,武学奇术!$A:$ZZ,4,FALSE)+SUM(_xlfn.XLOOKUP($R101:$AF101,增益!$A:$A,增益!$D:$D,0))-$I$2</f>
        <v>3483.8</v>
      </c>
      <c r="AP101" s="35" cm="1">
        <f t="array" ref="AP101">IF($F$10-$I$3+VLOOKUP($Q101,武学奇术!$A:$ZZ,6,FALSE)+SUM(_xlfn.XLOOKUP(R101:AF101,增益!$A:$A,增益!$F:$F,0))&gt;0,($F$10-$I$3+VLOOKUP($Q101,武学奇术!$A:$ZZ,6,FALSE)+SUM(_xlfn.XLOOKUP(R101:AF101,增益!$A:$A,增益!$F:$F,0)))/200,($F$10-$I$3+VLOOKUP($Q101,武学奇术!$A:$ZZ,6,FALSE)+SUM(_xlfn.XLOOKUP(R101:AF101,增益!$A:$A,增益!$F:$F,0)))/100)</f>
        <v>0.2925</v>
      </c>
      <c r="AQ101" s="35" cm="1">
        <f t="array" ref="AQ101">$G$10+VLOOKUP($Q101,武学奇术!$A:$ZZ,7,FALSE)+SUM(_xlfn.XLOOKUP(R101:AF101,增益!$A:$A,增益!$G:$G,0))</f>
        <v>0.148</v>
      </c>
      <c r="AR101" s="30" cm="1">
        <f t="array" ref="AR101">VLOOKUP($Q101,武学奇术!$A:$ZZ,8,FALSE)+SUM(_xlfn.XLOOKUP(R101:AF101,增益!$A:$A,增益!$H:$H,0))</f>
        <v>0</v>
      </c>
      <c r="AS101">
        <f t="shared" si="13"/>
        <v>0</v>
      </c>
      <c r="AT101">
        <f t="shared" si="14"/>
        <v>0</v>
      </c>
      <c r="AU101" s="35" cm="1">
        <f t="array" ref="AU101">IF($F$11-$I$4+VLOOKUP($Q101,武学奇术!$A:$ZZ,9,FALSE)+SUM(_xlfn.XLOOKUP(R101:AF101,增益!$A:$A,增益!$I:$I,0))&gt;0,($F$11-$I$4+VLOOKUP($Q101,武学奇术!$A:$ZZ,9,FALSE)+SUM(_xlfn.XLOOKUP(R101:AF101,增益!$A:$A,增益!$I:$I,0)))/200,($F$11-$I$4+VLOOKUP($Q101,武学奇术!$A:$ZZ,9,FALSE)+SUM(_xlfn.XLOOKUP(R101:AF101,增益!$A:$A,增益!$I:$I,0)))/100)</f>
        <v>-0.3</v>
      </c>
      <c r="AV101" s="35" cm="1">
        <f t="array" ref="AV101">$G$11+VLOOKUP($Q101,武学奇术!$A:$ZZ,10,FALSE)+SUM(_xlfn.XLOOKUP(R101:AF101,增益!$A:$A,增益!$J:$J,0))</f>
        <v>0</v>
      </c>
      <c r="AW101">
        <f t="shared" si="15"/>
        <v>0</v>
      </c>
      <c r="AX101">
        <f t="shared" si="16"/>
        <v>0</v>
      </c>
      <c r="AY101" s="35" cm="1">
        <f t="array" ref="AY101">IF($F$12-$I$4+VLOOKUP($Q101,武学奇术!$A:$ZZ,11,FALSE)+SUM(_xlfn.XLOOKUP(R101:AF101,增益!$A:$A,增益!$K:$K,0))&gt;0,($F$12-$I$4+VLOOKUP($Q101,武学奇术!$A:$ZZ,11,FALSE)+SUM(_xlfn.XLOOKUP(R101:AF101,增益!$A:$A,增益!$K:$K,0)))/200,($F$12-$I$4+VLOOKUP($Q101,武学奇术!$A:$ZZ,11,FALSE)+SUM(_xlfn.XLOOKUP(R101:AF101,增益!$A:$A,增益!$K:$K,0)))/100)</f>
        <v>-0.3</v>
      </c>
      <c r="AZ101" s="35" cm="1">
        <f t="array" ref="AZ101">$G$12+VLOOKUP($Q101,武学奇术!$A:$ZZ,12,FALSE)+SUM(_xlfn.XLOOKUP(R101:AF101,增益!$A:$A,增益!$L:$L,0))</f>
        <v>0</v>
      </c>
      <c r="BA101">
        <f t="shared" si="17"/>
        <v>0</v>
      </c>
      <c r="BB101">
        <f t="shared" si="18"/>
        <v>0</v>
      </c>
      <c r="BC101" s="35" cm="1">
        <f t="array" ref="BC101">IF($F$13-$I$4+VLOOKUP($Q101,武学奇术!$A:$ZZ,13,FALSE)+SUM(_xlfn.XLOOKUP(R101:AF101,增益!$A:$A,增益!$M:$M,0))&gt;0,($F$13-$I$4+VLOOKUP($Q101,武学奇术!$A:$ZZ,13,FALSE)+SUM(_xlfn.XLOOKUP(R101:AF101,增益!$A:$A,增益!$K:$K,0)))/200,($F$13-$I$4+VLOOKUP($Q101,武学奇术!$A:$ZZ,13,FALSE)+SUM(_xlfn.XLOOKUP(R101:AF101,增益!$A:$A,增益!$M:$M,0)))/100)</f>
        <v>-0.3</v>
      </c>
      <c r="BD101" s="35" cm="1">
        <f t="array" ref="BD101">$G$13+VLOOKUP($Q101,武学奇术!$A:$ZZ,14,FALSE)+SUM(_xlfn.XLOOKUP(R101:AF101,增益!$A:$A,增益!$N:$N,0))</f>
        <v>0</v>
      </c>
      <c r="BE101">
        <f t="shared" si="19"/>
        <v>538</v>
      </c>
      <c r="BF101">
        <f t="shared" si="20"/>
        <v>1561.4</v>
      </c>
      <c r="BG101" s="35" cm="1">
        <f t="array" ref="BG101">IF($F$14-$I$4+VLOOKUP($Q101,武学奇术!$A:$ZZ,15,FALSE)+SUM(_xlfn.XLOOKUP(R101:AF101,增益!$A:$A,增益!$O:$O,0))&gt;0,($F$14-$I$4+VLOOKUP($Q101,武学奇术!$A:$ZZ,15,FALSE)+SUM(_xlfn.XLOOKUP(R101:AF101,增益!$A:$A,增益!$O:$O,0)))/200,($F$14-$I$4+VLOOKUP($Q101,武学奇术!$A:$ZZ,15,FALSE)+SUM(_xlfn.XLOOKUP(R101:AF101,增益!$A:$A,增益!$O:$O,0)))/100)</f>
        <v>0</v>
      </c>
      <c r="BH101" s="35" cm="1">
        <f t="array" ref="BH101">$G$14+VLOOKUP($Q101,武学奇术!$A:$ZZ,16,FALSE)+SUM(_xlfn.XLOOKUP(R101:AF101,增益!$A:$A,增益!$P:$P,0))</f>
        <v>0.27</v>
      </c>
      <c r="BI101" s="30">
        <f>MIN(IF(VLOOKUP($Q101,武学奇术!$A:$ZZ,23,FALSE)=1,100%,$B$8),100%)</f>
        <v>0.9712</v>
      </c>
      <c r="BJ101" s="30" cm="1">
        <f t="array" ref="BJ101">IF(VLOOKUP($Q101,武学奇术!$A:$ZZ,23,FALSE)=1,100%,MIN(80%,$B$9+VLOOKUP($Q101,武学奇术!$A:$ZZ,17,FALSE)+SUM(_xlfn.XLOOKUP(R101:AF101,增益!$A:$A,增益!$Q:$Q,0)))+$B$11+SUM(_xlfn.XLOOKUP(R101:AF101,增益!$A:$A,增益!$U:$U,0)))*IF(VLOOKUP($Q101,武学奇术!$A:$ZZ,24,FALSE)=1,0,1)</f>
        <v>0.8773</v>
      </c>
      <c r="BK101" s="30" cm="1">
        <f t="array" ref="BK101">1+$B$13+VLOOKUP($Q101,武学奇术!$A:$ZZ,18,FALSE)+SUM(_xlfn.XLOOKUP(R101:AF101,增益!$A:$A,增益!$R:$R,0))</f>
        <v>1.87</v>
      </c>
      <c r="BL101" s="30" cm="1">
        <f t="array" ref="BL101">IF(VLOOKUP($Q101,武学奇术!$A:$ZZ,24,FALSE)=1,100%,MIN(40%,$B$10+VLOOKUP($Q101,武学奇术!$A:$ZZ,19,FALSE)+SUM(_xlfn.XLOOKUP(R101:AF101,增益!$A:$A,增益!$S:$S,0)))+$B$12+SUM(_xlfn.XLOOKUP(R101:AF101,增益!$A:$A,增益!$V:$V,0)))*IF(VLOOKUP($Q101,武学奇术!$A:$ZZ,23,FALSE)=1,0,1)</f>
        <v>0.0895</v>
      </c>
      <c r="BM101" s="30" cm="1">
        <f t="array" ref="BM101">1+$B$14+VLOOKUP($Q101,武学奇术!$A:$ZZ,20,FALSE)+SUM(_xlfn.XLOOKUP(R101:AF101,增益!$A:$A,增益!$T:$T,0))</f>
        <v>1.35</v>
      </c>
      <c r="BN101" s="30">
        <f t="shared" si="21"/>
        <v>0.85203376</v>
      </c>
      <c r="BO101" s="30">
        <f t="shared" si="22"/>
        <v>0.03224384</v>
      </c>
      <c r="BP101" s="30">
        <f>IF(VLOOKUP($Q101,武学奇术!$A:$ZZ,22,FALSE)=1,0,(1-$BI101))*(1-$BL101)</f>
        <v>0.0262224</v>
      </c>
      <c r="BQ101" s="30" cm="1">
        <f t="array" ref="BQ101">SUM(_xlfn.XLOOKUP(R101:AF101,增益!$A:$A,增益!$W:$W,0))+$I$5</f>
        <v>0.11</v>
      </c>
    </row>
    <row r="102" spans="11:69">
      <c r="K102" s="41">
        <f t="shared" si="24"/>
        <v>71592.9114690429</v>
      </c>
      <c r="L102" s="41">
        <f>((($AN102+$AO102)/2*$AH102+$AI102)*(1+$AP102)*(1+$AQ102)+(($AS102+$AT102)/2*IF($G$1="鸣金",$AJ102,$AH102)+IF($G$1="鸣金",$AK102*1.5,0))*(1+$AU102)*(1+$AV102)+(($AW102+$AX102)/2*IF($G$1="裂石",$AJ102,$AH102)+IF($G$1="裂石",$AK102*1.5,0))*(1+$AY102)*(1+$AZ102)+(($BA102+$BB102)/2*IF($G$1="牵丝",$AJ102,$AH102)+IF($G$1="牵丝",$AK102*1.5,0))*(1+$BC102)*(1+$BD102)+(($BE102+$BF102)/2*IF($G$1="破竹",$AJ102,$AH102)+IF($G$1="破竹",$AK102*1.5,0))*(1+$BG102)*(1+$BH102))*(1+$AL102)*$BK102*$P102*(1+IF(VLOOKUP($Q102,武学奇术!$A:$ZZ,30,FALSE)="回旋伞",$B$21,0))*(1+$BQ102)</f>
        <v>71592.9114690429</v>
      </c>
      <c r="M102" s="41">
        <f>(($AO102*$AH102+$AI102)*(1+$AP102)*(1+$AQ102)+($AT102*IF($G$1="鸣金",$AJ102,$AH102)+IF($G$1="鸣金",$AK102*1.5,0))*(1+$AU102)*(1+$AV102)+($AX102*IF($G$1="裂石",$AJ102,$AH102)+IF($G$1="裂石",$AK102*1.5,0))*(1+$AY102)*(1+$AZ102)+($BB102*IF($G$1="牵丝",$AJ102,$AH102)+IF($G$1="牵丝",$AK102*1.5,0))*(1+$BC102)*(1+$BD102)+($BF102*IF($G$1="破竹",$AJ102,$AH102)+IF($G$1="破竹",$AK102*1.5,0))*(1+$BG102)*(1+$BH102))*(1+$AL102)*$BM102*$P102*(1+IF(VLOOKUP($Q102,武学奇术!$A:$ZZ,30,FALSE)="回旋伞",$B$21,0))*(1+$BQ102)</f>
        <v>57870.7756557982</v>
      </c>
      <c r="N102" s="41">
        <f>((($AN102+$AO102)/2*$AH102+$AI102)*(1+$AP102)*(1+$AQ102)+(($AS102+$AT102)/2*IF($G$1="鸣金",$AJ102,$AH102)+IF($G$1="鸣金",$AK102*1.5,0))*(1+$AU102)*(1+$AV102)+(($AW102+$AX102)/2*IF($G$1="裂石",$AJ102,$AH102)+IF($G$1="裂石",$AK102*1.5,0))*(1+$AY102)*(1+$AZ102)+(($BA102+$BB102)/2*IF($G$1="牵丝",$AJ102,$AH102)+IF($G$1="牵丝",$AK102*1.5,0))*(1+$BC102)*(1+$BD102)+(($BE102+$BF102)/2*IF($G$1="破竹",$AJ102,$AH102)+IF($G$1="破竹",$AK102*1.5,0))*(1+$BG102)*(1+$BH102))*(1+$AL102)*$P102*(1+IF(VLOOKUP($Q102,武学奇术!$A:$ZZ,30,FALSE)="回旋伞",$B$21,0))*(1+$BQ102)</f>
        <v>38284.9793952101</v>
      </c>
      <c r="O102" s="41">
        <f>((($AN102*$AH102+$AI102)*(1+$AP102)*(1+$AQ102)+($AS102*IF($G$1="鸣金",$AJ102,$AH102)+IF($G$1="鸣金",$AK102*1.5,0))*(1+$AU102)*(1+$AV102)+($AW102*IF($G$1="裂石",$AJ102,$AH102)+IF($G$1="裂石",$AK102*1.5,0))*(1+$AY102)*(1+$AZ102)+($BA102*IF($G$1="牵丝",$AJ102,$AH102)+IF($G$1="牵丝",$AK102*1.5,0))*(1+$BC102)*(1+$BD102)+($BE102*IF($G$1="破竹",$AJ102,$AH102)+IF($G$1="破竹",$AK102*1.5,0))*(1+$BG102)*(1+$BH102))*(1+$AL102))*$P102*(1+IF(VLOOKUP($Q102,武学奇术!$A:$ZZ,30,FALSE)="回旋伞",$B$21,0))*(1+$BQ102)</f>
        <v>33702.717563903</v>
      </c>
      <c r="P102" s="42">
        <v>1</v>
      </c>
      <c r="Q102" s="43" t="s">
        <v>115</v>
      </c>
      <c r="R102" s="43" t="s">
        <v>105</v>
      </c>
      <c r="S102" s="43" t="s">
        <v>91</v>
      </c>
      <c r="T102" s="43" t="s">
        <v>72</v>
      </c>
      <c r="U102" s="43" t="s">
        <v>71</v>
      </c>
      <c r="V102" s="43" t="s">
        <v>167</v>
      </c>
      <c r="W102" s="43" t="s">
        <v>95</v>
      </c>
      <c r="X102" s="43" t="s">
        <v>71</v>
      </c>
      <c r="Y102" s="43" t="s">
        <v>71</v>
      </c>
      <c r="Z102" s="43" t="s">
        <v>71</v>
      </c>
      <c r="AA102" s="43" t="s">
        <v>116</v>
      </c>
      <c r="AB102" s="43" t="s">
        <v>71</v>
      </c>
      <c r="AC102" s="43" t="s">
        <v>71</v>
      </c>
      <c r="AD102" s="43" t="s">
        <v>71</v>
      </c>
      <c r="AE102" s="43" t="s">
        <v>71</v>
      </c>
      <c r="AF102" s="43" t="s">
        <v>76</v>
      </c>
      <c r="AG102" t="str">
        <f>VLOOKUP($Q102,武学奇术!$A:$ZZ,25,FALSE)</f>
        <v>伞</v>
      </c>
      <c r="AH102" s="30">
        <f>VLOOKUP($Q102,武学奇术!$A:$ZZ,26,FALSE)</f>
        <v>1.8084</v>
      </c>
      <c r="AI102" s="31">
        <f>VLOOKUP($Q102,武学奇术!$A:$ZZ,27,FALSE)*(1+IF(OR($AG102=$F$4,$AG102=$F$5),$B$22,0))</f>
        <v>700</v>
      </c>
      <c r="AJ102" s="30">
        <f>VLOOKUP($Q102,武学奇术!$A:$ZZ,28,FALSE)</f>
        <v>2.7126</v>
      </c>
      <c r="AK102" s="31">
        <f>VLOOKUP($Q102,武学奇术!$A:$ZZ,29,FALSE)*(1+IF(OR($AG102=$F$4,$AG102=$F$5),$B$22,0))</f>
        <v>380.8</v>
      </c>
      <c r="AL102" s="30" cm="1">
        <f t="array" ref="AL102">$G$3+IFERROR(VLOOKUP($AG102,$F$4:$G$7,2,FALSE),0)+VLOOKUP($Q102,武学奇术!$A:$ZZ,2,FALSE)+SUM(_xlfn.XLOOKUP($R102:$AF102,增益!$A:$A,增益!$B:$B,0))</f>
        <v>0.7741</v>
      </c>
      <c r="AM102" s="30" cm="1">
        <f t="array" ref="AM102">VLOOKUP($Q102,武学奇术!$A:$ZZ,5,FALSE)+SUM(_xlfn.XLOOKUP($R102:$AF102,增益!$A:$A,增益!$E:$E,0))</f>
        <v>0</v>
      </c>
      <c r="AN102" cm="1">
        <f t="array" ref="AN102">$D$10*(1+$AM102)+VLOOKUP($Q102,武学奇术!$A:$ZZ,3,FALSE)+SUM(_xlfn.XLOOKUP($R102:$AF102,增益!$A:$A,增益!$C:$C,0))-$I$2</f>
        <v>3483.8</v>
      </c>
      <c r="AO102" cm="1">
        <f t="array" ref="AO102">$E$10*(1+$AM102)+VLOOKUP($Q102,武学奇术!$A:$ZZ,4,FALSE)+SUM(_xlfn.XLOOKUP($R102:$AF102,增益!$A:$A,增益!$D:$D,0))-$I$2</f>
        <v>3483.8</v>
      </c>
      <c r="AP102" s="35" cm="1">
        <f t="array" ref="AP102">IF($F$10-$I$3+VLOOKUP($Q102,武学奇术!$A:$ZZ,6,FALSE)+SUM(_xlfn.XLOOKUP(R102:AF102,增益!$A:$A,增益!$F:$F,0))&gt;0,($F$10-$I$3+VLOOKUP($Q102,武学奇术!$A:$ZZ,6,FALSE)+SUM(_xlfn.XLOOKUP(R102:AF102,增益!$A:$A,增益!$F:$F,0)))/200,($F$10-$I$3+VLOOKUP($Q102,武学奇术!$A:$ZZ,6,FALSE)+SUM(_xlfn.XLOOKUP(R102:AF102,增益!$A:$A,增益!$F:$F,0)))/100)</f>
        <v>0.2925</v>
      </c>
      <c r="AQ102" s="35" cm="1">
        <f t="array" ref="AQ102">$G$10+VLOOKUP($Q102,武学奇术!$A:$ZZ,7,FALSE)+SUM(_xlfn.XLOOKUP(R102:AF102,增益!$A:$A,增益!$G:$G,0))</f>
        <v>0.148</v>
      </c>
      <c r="AR102" s="30" cm="1">
        <f t="array" ref="AR102">VLOOKUP($Q102,武学奇术!$A:$ZZ,8,FALSE)+SUM(_xlfn.XLOOKUP(R102:AF102,增益!$A:$A,增益!$H:$H,0))</f>
        <v>0</v>
      </c>
      <c r="AS102">
        <f t="shared" si="13"/>
        <v>0</v>
      </c>
      <c r="AT102">
        <f t="shared" si="14"/>
        <v>0</v>
      </c>
      <c r="AU102" s="35" cm="1">
        <f t="array" ref="AU102">IF($F$11-$I$4+VLOOKUP($Q102,武学奇术!$A:$ZZ,9,FALSE)+SUM(_xlfn.XLOOKUP(R102:AF102,增益!$A:$A,增益!$I:$I,0))&gt;0,($F$11-$I$4+VLOOKUP($Q102,武学奇术!$A:$ZZ,9,FALSE)+SUM(_xlfn.XLOOKUP(R102:AF102,增益!$A:$A,增益!$I:$I,0)))/200,($F$11-$I$4+VLOOKUP($Q102,武学奇术!$A:$ZZ,9,FALSE)+SUM(_xlfn.XLOOKUP(R102:AF102,增益!$A:$A,增益!$I:$I,0)))/100)</f>
        <v>-0.3</v>
      </c>
      <c r="AV102" s="35" cm="1">
        <f t="array" ref="AV102">$G$11+VLOOKUP($Q102,武学奇术!$A:$ZZ,10,FALSE)+SUM(_xlfn.XLOOKUP(R102:AF102,增益!$A:$A,增益!$J:$J,0))</f>
        <v>0</v>
      </c>
      <c r="AW102">
        <f t="shared" si="15"/>
        <v>0</v>
      </c>
      <c r="AX102">
        <f t="shared" si="16"/>
        <v>0</v>
      </c>
      <c r="AY102" s="35" cm="1">
        <f t="array" ref="AY102">IF($F$12-$I$4+VLOOKUP($Q102,武学奇术!$A:$ZZ,11,FALSE)+SUM(_xlfn.XLOOKUP(R102:AF102,增益!$A:$A,增益!$K:$K,0))&gt;0,($F$12-$I$4+VLOOKUP($Q102,武学奇术!$A:$ZZ,11,FALSE)+SUM(_xlfn.XLOOKUP(R102:AF102,增益!$A:$A,增益!$K:$K,0)))/200,($F$12-$I$4+VLOOKUP($Q102,武学奇术!$A:$ZZ,11,FALSE)+SUM(_xlfn.XLOOKUP(R102:AF102,增益!$A:$A,增益!$K:$K,0)))/100)</f>
        <v>-0.3</v>
      </c>
      <c r="AZ102" s="35" cm="1">
        <f t="array" ref="AZ102">$G$12+VLOOKUP($Q102,武学奇术!$A:$ZZ,12,FALSE)+SUM(_xlfn.XLOOKUP(R102:AF102,增益!$A:$A,增益!$L:$L,0))</f>
        <v>0</v>
      </c>
      <c r="BA102">
        <f t="shared" si="17"/>
        <v>0</v>
      </c>
      <c r="BB102">
        <f t="shared" si="18"/>
        <v>0</v>
      </c>
      <c r="BC102" s="35" cm="1">
        <f t="array" ref="BC102">IF($F$13-$I$4+VLOOKUP($Q102,武学奇术!$A:$ZZ,13,FALSE)+SUM(_xlfn.XLOOKUP(R102:AF102,增益!$A:$A,增益!$M:$M,0))&gt;0,($F$13-$I$4+VLOOKUP($Q102,武学奇术!$A:$ZZ,13,FALSE)+SUM(_xlfn.XLOOKUP(R102:AF102,增益!$A:$A,增益!$K:$K,0)))/200,($F$13-$I$4+VLOOKUP($Q102,武学奇术!$A:$ZZ,13,FALSE)+SUM(_xlfn.XLOOKUP(R102:AF102,增益!$A:$A,增益!$M:$M,0)))/100)</f>
        <v>-0.3</v>
      </c>
      <c r="BD102" s="35" cm="1">
        <f t="array" ref="BD102">$G$13+VLOOKUP($Q102,武学奇术!$A:$ZZ,14,FALSE)+SUM(_xlfn.XLOOKUP(R102:AF102,增益!$A:$A,增益!$N:$N,0))</f>
        <v>0</v>
      </c>
      <c r="BE102">
        <f t="shared" si="19"/>
        <v>538</v>
      </c>
      <c r="BF102">
        <f t="shared" si="20"/>
        <v>1561.4</v>
      </c>
      <c r="BG102" s="35" cm="1">
        <f t="array" ref="BG102">IF($F$14-$I$4+VLOOKUP($Q102,武学奇术!$A:$ZZ,15,FALSE)+SUM(_xlfn.XLOOKUP(R102:AF102,增益!$A:$A,增益!$O:$O,0))&gt;0,($F$14-$I$4+VLOOKUP($Q102,武学奇术!$A:$ZZ,15,FALSE)+SUM(_xlfn.XLOOKUP(R102:AF102,增益!$A:$A,增益!$O:$O,0)))/200,($F$14-$I$4+VLOOKUP($Q102,武学奇术!$A:$ZZ,15,FALSE)+SUM(_xlfn.XLOOKUP(R102:AF102,增益!$A:$A,增益!$O:$O,0)))/100)</f>
        <v>0</v>
      </c>
      <c r="BH102" s="35" cm="1">
        <f t="array" ref="BH102">$G$14+VLOOKUP($Q102,武学奇术!$A:$ZZ,16,FALSE)+SUM(_xlfn.XLOOKUP(R102:AF102,增益!$A:$A,增益!$P:$P,0))</f>
        <v>0.27</v>
      </c>
      <c r="BI102" s="30">
        <f>MIN(IF(VLOOKUP($Q102,武学奇术!$A:$ZZ,23,FALSE)=1,100%,$B$8),100%)</f>
        <v>1</v>
      </c>
      <c r="BJ102" s="30" cm="1">
        <f t="array" ref="BJ102">IF(VLOOKUP($Q102,武学奇术!$A:$ZZ,23,FALSE)=1,100%,MIN(80%,$B$9+VLOOKUP($Q102,武学奇术!$A:$ZZ,17,FALSE)+SUM(_xlfn.XLOOKUP(R102:AF102,增益!$A:$A,增益!$Q:$Q,0)))+$B$11+SUM(_xlfn.XLOOKUP(R102:AF102,增益!$A:$A,增益!$U:$U,0)))*IF(VLOOKUP($Q102,武学奇术!$A:$ZZ,24,FALSE)=1,0,1)</f>
        <v>1</v>
      </c>
      <c r="BK102" s="30" cm="1">
        <f t="array" ref="BK102">1+$B$13+VLOOKUP($Q102,武学奇术!$A:$ZZ,18,FALSE)+SUM(_xlfn.XLOOKUP(R102:AF102,增益!$A:$A,增益!$R:$R,0))</f>
        <v>1.87</v>
      </c>
      <c r="BL102" s="30" cm="1">
        <f t="array" ref="BL102">IF(VLOOKUP($Q102,武学奇术!$A:$ZZ,24,FALSE)=1,100%,MIN(40%,$B$10+VLOOKUP($Q102,武学奇术!$A:$ZZ,19,FALSE)+SUM(_xlfn.XLOOKUP(R102:AF102,增益!$A:$A,增益!$S:$S,0)))+$B$12+SUM(_xlfn.XLOOKUP(R102:AF102,增益!$A:$A,增益!$V:$V,0)))*IF(VLOOKUP($Q102,武学奇术!$A:$ZZ,23,FALSE)=1,0,1)</f>
        <v>0</v>
      </c>
      <c r="BM102" s="30" cm="1">
        <f t="array" ref="BM102">1+$B$14+VLOOKUP($Q102,武学奇术!$A:$ZZ,20,FALSE)+SUM(_xlfn.XLOOKUP(R102:AF102,增益!$A:$A,增益!$T:$T,0))</f>
        <v>1.35</v>
      </c>
      <c r="BN102" s="30">
        <f t="shared" si="21"/>
        <v>1</v>
      </c>
      <c r="BO102" s="30">
        <f t="shared" si="22"/>
        <v>0</v>
      </c>
      <c r="BP102" s="30">
        <f>IF(VLOOKUP($Q102,武学奇术!$A:$ZZ,22,FALSE)=1,0,(1-$BI102))*(1-$BL102)</f>
        <v>0</v>
      </c>
      <c r="BQ102" s="30" cm="1">
        <f t="array" ref="BQ102">SUM(_xlfn.XLOOKUP(R102:AF102,增益!$A:$A,增益!$W:$W,0))+$I$5</f>
        <v>0.11</v>
      </c>
    </row>
    <row r="103" spans="11:69">
      <c r="K103" s="41">
        <f t="shared" si="24"/>
        <v>121195.732197552</v>
      </c>
      <c r="L103" s="41">
        <f>((($AN103+$AO103)/2*$AH103+$AI103)*(1+$AP103)*(1+$AQ103)+(($AS103+$AT103)/2*IF($G$1="鸣金",$AJ103,$AH103)+IF($G$1="鸣金",$AK103*1.5,0))*(1+$AU103)*(1+$AV103)+(($AW103+$AX103)/2*IF($G$1="裂石",$AJ103,$AH103)+IF($G$1="裂石",$AK103*1.5,0))*(1+$AY103)*(1+$AZ103)+(($BA103+$BB103)/2*IF($G$1="牵丝",$AJ103,$AH103)+IF($G$1="牵丝",$AK103*1.5,0))*(1+$BC103)*(1+$BD103)+(($BE103+$BF103)/2*IF($G$1="破竹",$AJ103,$AH103)+IF($G$1="破竹",$AK103*1.5,0))*(1+$BG103)*(1+$BH103))*(1+$AL103)*$BK103*$P103*(1+IF(VLOOKUP($Q103,武学奇术!$A:$ZZ,30,FALSE)="回旋伞",$B$21,0))*(1+$BQ103)</f>
        <v>127044.024512057</v>
      </c>
      <c r="M103" s="41">
        <f>(($AO103*$AH103+$AI103)*(1+$AP103)*(1+$AQ103)+($AT103*IF($G$1="鸣金",$AJ103,$AH103)+IF($G$1="鸣金",$AK103*1.5,0))*(1+$AU103)*(1+$AV103)+($AX103*IF($G$1="裂石",$AJ103,$AH103)+IF($G$1="裂石",$AK103*1.5,0))*(1+$AY103)*(1+$AZ103)+($BB103*IF($G$1="牵丝",$AJ103,$AH103)+IF($G$1="牵丝",$AK103*1.5,0))*(1+$BC103)*(1+$BD103)+($BF103*IF($G$1="破竹",$AJ103,$AH103)+IF($G$1="破竹",$AK103*1.5,0))*(1+$BG103)*(1+$BH103))*(1+$AL103)*$BM103*$P103*(1+IF(VLOOKUP($Q103,武学奇术!$A:$ZZ,30,FALSE)="回旋伞",$B$21,0))*(1+$BQ103)</f>
        <v>102693.633909917</v>
      </c>
      <c r="N103" s="41">
        <f>((($AN103+$AO103)/2*$AH103+$AI103)*(1+$AP103)*(1+$AQ103)+(($AS103+$AT103)/2*IF($G$1="鸣金",$AJ103,$AH103)+IF($G$1="鸣金",$AK103*1.5,0))*(1+$AU103)*(1+$AV103)+(($AW103+$AX103)/2*IF($G$1="裂石",$AJ103,$AH103)+IF($G$1="裂石",$AK103*1.5,0))*(1+$AY103)*(1+$AZ103)+(($BA103+$BB103)/2*IF($G$1="牵丝",$AJ103,$AH103)+IF($G$1="牵丝",$AK103*1.5,0))*(1+$BC103)*(1+$BD103)+(($BE103+$BF103)/2*IF($G$1="破竹",$AJ103,$AH103)+IF($G$1="破竹",$AK103*1.5,0))*(1+$BG103)*(1+$BH103))*(1+$AL103)*$P103*(1+IF(VLOOKUP($Q103,武学奇术!$A:$ZZ,30,FALSE)="回旋伞",$B$21,0))*(1+$BQ103)</f>
        <v>67937.9810224905</v>
      </c>
      <c r="O103" s="41">
        <f>((($AN103*$AH103+$AI103)*(1+$AP103)*(1+$AQ103)+($AS103*IF($G$1="鸣金",$AJ103,$AH103)+IF($G$1="鸣金",$AK103*1.5,0))*(1+$AU103)*(1+$AV103)+($AW103*IF($G$1="裂石",$AJ103,$AH103)+IF($G$1="裂石",$AK103*1.5,0))*(1+$AY103)*(1+$AZ103)+($BA103*IF($G$1="牵丝",$AJ103,$AH103)+IF($G$1="牵丝",$AK103*1.5,0))*(1+$BC103)*(1+$BD103)+($BE103*IF($G$1="破竹",$AJ103,$AH103)+IF($G$1="破竹",$AK103*1.5,0))*(1+$BG103)*(1+$BH103))*(1+$AL103))*$P103*(1+IF(VLOOKUP($Q103,武学奇术!$A:$ZZ,30,FALSE)="回旋伞",$B$21,0))*(1+$BQ103)</f>
        <v>59806.6035931905</v>
      </c>
      <c r="P103" s="42">
        <v>2</v>
      </c>
      <c r="Q103" s="43" t="s">
        <v>104</v>
      </c>
      <c r="R103" s="43" t="s">
        <v>105</v>
      </c>
      <c r="S103" s="43" t="s">
        <v>91</v>
      </c>
      <c r="T103" s="43" t="s">
        <v>72</v>
      </c>
      <c r="U103" s="43" t="s">
        <v>71</v>
      </c>
      <c r="V103" s="43" t="s">
        <v>167</v>
      </c>
      <c r="W103" s="43" t="s">
        <v>95</v>
      </c>
      <c r="X103" s="43" t="s">
        <v>71</v>
      </c>
      <c r="Y103" s="43" t="s">
        <v>71</v>
      </c>
      <c r="Z103" s="43" t="s">
        <v>71</v>
      </c>
      <c r="AA103" s="43" t="s">
        <v>116</v>
      </c>
      <c r="AB103" s="43" t="s">
        <v>71</v>
      </c>
      <c r="AC103" s="43" t="s">
        <v>71</v>
      </c>
      <c r="AD103" s="43" t="s">
        <v>71</v>
      </c>
      <c r="AE103" s="43" t="s">
        <v>71</v>
      </c>
      <c r="AF103" s="43" t="s">
        <v>76</v>
      </c>
      <c r="AG103" t="str">
        <f>VLOOKUP($Q103,武学奇术!$A:$ZZ,25,FALSE)</f>
        <v>伞</v>
      </c>
      <c r="AH103" s="30">
        <f>VLOOKUP($Q103,武学奇术!$A:$ZZ,26,FALSE)</f>
        <v>1.8084</v>
      </c>
      <c r="AI103" s="31">
        <f>VLOOKUP($Q103,武学奇术!$A:$ZZ,27,FALSE)*(1+IF(OR($AG103=$F$4,$AG103=$F$5),$B$22,0))</f>
        <v>700</v>
      </c>
      <c r="AJ103" s="30">
        <f>VLOOKUP($Q103,武学奇术!$A:$ZZ,28,FALSE)</f>
        <v>2.7126</v>
      </c>
      <c r="AK103" s="31">
        <f>VLOOKUP($Q103,武学奇术!$A:$ZZ,29,FALSE)*(1+IF(OR($AG103=$F$4,$AG103=$F$5),$B$22,0))</f>
        <v>380.8</v>
      </c>
      <c r="AL103" s="30" cm="1">
        <f t="array" ref="AL103">$G$3+IFERROR(VLOOKUP($AG103,$F$4:$G$7,2,FALSE),0)+VLOOKUP($Q103,武学奇术!$A:$ZZ,2,FALSE)+SUM(_xlfn.XLOOKUP($R103:$AF103,增益!$A:$A,增益!$B:$B,0))</f>
        <v>0.5741</v>
      </c>
      <c r="AM103" s="30" cm="1">
        <f t="array" ref="AM103">VLOOKUP($Q103,武学奇术!$A:$ZZ,5,FALSE)+SUM(_xlfn.XLOOKUP($R103:$AF103,增益!$A:$A,增益!$E:$E,0))</f>
        <v>0</v>
      </c>
      <c r="AN103" cm="1">
        <f t="array" ref="AN103">$D$10*(1+$AM103)+VLOOKUP($Q103,武学奇术!$A:$ZZ,3,FALSE)+SUM(_xlfn.XLOOKUP($R103:$AF103,增益!$A:$A,增益!$C:$C,0))-$I$2</f>
        <v>3483.8</v>
      </c>
      <c r="AO103" cm="1">
        <f t="array" ref="AO103">$E$10*(1+$AM103)+VLOOKUP($Q103,武学奇术!$A:$ZZ,4,FALSE)+SUM(_xlfn.XLOOKUP($R103:$AF103,增益!$A:$A,增益!$D:$D,0))-$I$2</f>
        <v>3483.8</v>
      </c>
      <c r="AP103" s="35" cm="1">
        <f t="array" ref="AP103">IF($F$10-$I$3+VLOOKUP($Q103,武学奇术!$A:$ZZ,6,FALSE)+SUM(_xlfn.XLOOKUP(R103:AF103,增益!$A:$A,增益!$F:$F,0))&gt;0,($F$10-$I$3+VLOOKUP($Q103,武学奇术!$A:$ZZ,6,FALSE)+SUM(_xlfn.XLOOKUP(R103:AF103,增益!$A:$A,增益!$F:$F,0)))/200,($F$10-$I$3+VLOOKUP($Q103,武学奇术!$A:$ZZ,6,FALSE)+SUM(_xlfn.XLOOKUP(R103:AF103,增益!$A:$A,增益!$F:$F,0)))/100)</f>
        <v>0.2925</v>
      </c>
      <c r="AQ103" s="35" cm="1">
        <f t="array" ref="AQ103">$G$10+VLOOKUP($Q103,武学奇术!$A:$ZZ,7,FALSE)+SUM(_xlfn.XLOOKUP(R103:AF103,增益!$A:$A,增益!$G:$G,0))</f>
        <v>0.148</v>
      </c>
      <c r="AR103" s="30" cm="1">
        <f t="array" ref="AR103">VLOOKUP($Q103,武学奇术!$A:$ZZ,8,FALSE)+SUM(_xlfn.XLOOKUP(R103:AF103,增益!$A:$A,增益!$H:$H,0))</f>
        <v>0</v>
      </c>
      <c r="AS103">
        <f t="shared" si="13"/>
        <v>0</v>
      </c>
      <c r="AT103">
        <f t="shared" si="14"/>
        <v>0</v>
      </c>
      <c r="AU103" s="35" cm="1">
        <f t="array" ref="AU103">IF($F$11-$I$4+VLOOKUP($Q103,武学奇术!$A:$ZZ,9,FALSE)+SUM(_xlfn.XLOOKUP(R103:AF103,增益!$A:$A,增益!$I:$I,0))&gt;0,($F$11-$I$4+VLOOKUP($Q103,武学奇术!$A:$ZZ,9,FALSE)+SUM(_xlfn.XLOOKUP(R103:AF103,增益!$A:$A,增益!$I:$I,0)))/200,($F$11-$I$4+VLOOKUP($Q103,武学奇术!$A:$ZZ,9,FALSE)+SUM(_xlfn.XLOOKUP(R103:AF103,增益!$A:$A,增益!$I:$I,0)))/100)</f>
        <v>-0.3</v>
      </c>
      <c r="AV103" s="35" cm="1">
        <f t="array" ref="AV103">$G$11+VLOOKUP($Q103,武学奇术!$A:$ZZ,10,FALSE)+SUM(_xlfn.XLOOKUP(R103:AF103,增益!$A:$A,增益!$J:$J,0))</f>
        <v>0</v>
      </c>
      <c r="AW103">
        <f t="shared" si="15"/>
        <v>0</v>
      </c>
      <c r="AX103">
        <f t="shared" si="16"/>
        <v>0</v>
      </c>
      <c r="AY103" s="35" cm="1">
        <f t="array" ref="AY103">IF($F$12-$I$4+VLOOKUP($Q103,武学奇术!$A:$ZZ,11,FALSE)+SUM(_xlfn.XLOOKUP(R103:AF103,增益!$A:$A,增益!$K:$K,0))&gt;0,($F$12-$I$4+VLOOKUP($Q103,武学奇术!$A:$ZZ,11,FALSE)+SUM(_xlfn.XLOOKUP(R103:AF103,增益!$A:$A,增益!$K:$K,0)))/200,($F$12-$I$4+VLOOKUP($Q103,武学奇术!$A:$ZZ,11,FALSE)+SUM(_xlfn.XLOOKUP(R103:AF103,增益!$A:$A,增益!$K:$K,0)))/100)</f>
        <v>-0.3</v>
      </c>
      <c r="AZ103" s="35" cm="1">
        <f t="array" ref="AZ103">$G$12+VLOOKUP($Q103,武学奇术!$A:$ZZ,12,FALSE)+SUM(_xlfn.XLOOKUP(R103:AF103,增益!$A:$A,增益!$L:$L,0))</f>
        <v>0</v>
      </c>
      <c r="BA103">
        <f t="shared" si="17"/>
        <v>0</v>
      </c>
      <c r="BB103">
        <f t="shared" si="18"/>
        <v>0</v>
      </c>
      <c r="BC103" s="35" cm="1">
        <f t="array" ref="BC103">IF($F$13-$I$4+VLOOKUP($Q103,武学奇术!$A:$ZZ,13,FALSE)+SUM(_xlfn.XLOOKUP(R103:AF103,增益!$A:$A,增益!$M:$M,0))&gt;0,($F$13-$I$4+VLOOKUP($Q103,武学奇术!$A:$ZZ,13,FALSE)+SUM(_xlfn.XLOOKUP(R103:AF103,增益!$A:$A,增益!$K:$K,0)))/200,($F$13-$I$4+VLOOKUP($Q103,武学奇术!$A:$ZZ,13,FALSE)+SUM(_xlfn.XLOOKUP(R103:AF103,增益!$A:$A,增益!$M:$M,0)))/100)</f>
        <v>-0.3</v>
      </c>
      <c r="BD103" s="35" cm="1">
        <f t="array" ref="BD103">$G$13+VLOOKUP($Q103,武学奇术!$A:$ZZ,14,FALSE)+SUM(_xlfn.XLOOKUP(R103:AF103,增益!$A:$A,增益!$N:$N,0))</f>
        <v>0</v>
      </c>
      <c r="BE103">
        <f t="shared" si="19"/>
        <v>538</v>
      </c>
      <c r="BF103">
        <f t="shared" si="20"/>
        <v>1561.4</v>
      </c>
      <c r="BG103" s="35" cm="1">
        <f t="array" ref="BG103">IF($F$14-$I$4+VLOOKUP($Q103,武学奇术!$A:$ZZ,15,FALSE)+SUM(_xlfn.XLOOKUP(R103:AF103,增益!$A:$A,增益!$O:$O,0))&gt;0,($F$14-$I$4+VLOOKUP($Q103,武学奇术!$A:$ZZ,15,FALSE)+SUM(_xlfn.XLOOKUP(R103:AF103,增益!$A:$A,增益!$O:$O,0)))/200,($F$14-$I$4+VLOOKUP($Q103,武学奇术!$A:$ZZ,15,FALSE)+SUM(_xlfn.XLOOKUP(R103:AF103,增益!$A:$A,增益!$O:$O,0)))/100)</f>
        <v>0</v>
      </c>
      <c r="BH103" s="35" cm="1">
        <f t="array" ref="BH103">$G$14+VLOOKUP($Q103,武学奇术!$A:$ZZ,16,FALSE)+SUM(_xlfn.XLOOKUP(R103:AF103,增益!$A:$A,增益!$P:$P,0))</f>
        <v>0.27</v>
      </c>
      <c r="BI103" s="30">
        <f>MIN(IF(VLOOKUP($Q103,武学奇术!$A:$ZZ,23,FALSE)=1,100%,$B$8),100%)</f>
        <v>0.9712</v>
      </c>
      <c r="BJ103" s="30" cm="1">
        <f t="array" ref="BJ103">IF(VLOOKUP($Q103,武学奇术!$A:$ZZ,23,FALSE)=1,100%,MIN(80%,$B$9+VLOOKUP($Q103,武学奇术!$A:$ZZ,17,FALSE)+SUM(_xlfn.XLOOKUP(R103:AF103,增益!$A:$A,增益!$Q:$Q,0)))+$B$11+SUM(_xlfn.XLOOKUP(R103:AF103,增益!$A:$A,增益!$U:$U,0)))*IF(VLOOKUP($Q103,武学奇术!$A:$ZZ,24,FALSE)=1,0,1)</f>
        <v>0.8773</v>
      </c>
      <c r="BK103" s="30" cm="1">
        <f t="array" ref="BK103">1+$B$13+VLOOKUP($Q103,武学奇术!$A:$ZZ,18,FALSE)+SUM(_xlfn.XLOOKUP(R103:AF103,增益!$A:$A,增益!$R:$R,0))</f>
        <v>1.87</v>
      </c>
      <c r="BL103" s="30" cm="1">
        <f t="array" ref="BL103">IF(VLOOKUP($Q103,武学奇术!$A:$ZZ,24,FALSE)=1,100%,MIN(40%,$B$10+VLOOKUP($Q103,武学奇术!$A:$ZZ,19,FALSE)+SUM(_xlfn.XLOOKUP(R103:AF103,增益!$A:$A,增益!$S:$S,0)))+$B$12+SUM(_xlfn.XLOOKUP(R103:AF103,增益!$A:$A,增益!$V:$V,0)))*IF(VLOOKUP($Q103,武学奇术!$A:$ZZ,23,FALSE)=1,0,1)</f>
        <v>0.0895</v>
      </c>
      <c r="BM103" s="30" cm="1">
        <f t="array" ref="BM103">1+$B$14+VLOOKUP($Q103,武学奇术!$A:$ZZ,20,FALSE)+SUM(_xlfn.XLOOKUP(R103:AF103,增益!$A:$A,增益!$T:$T,0))</f>
        <v>1.35</v>
      </c>
      <c r="BN103" s="30">
        <f t="shared" si="21"/>
        <v>0.85203376</v>
      </c>
      <c r="BO103" s="30">
        <f t="shared" si="22"/>
        <v>0.03224384</v>
      </c>
      <c r="BP103" s="30">
        <f>IF(VLOOKUP($Q103,武学奇术!$A:$ZZ,22,FALSE)=1,0,(1-$BI103))*(1-$BL103)</f>
        <v>0.0262224</v>
      </c>
      <c r="BQ103" s="30" cm="1">
        <f t="array" ref="BQ103">SUM(_xlfn.XLOOKUP(R103:AF103,增益!$A:$A,增益!$W:$W,0))+$I$5</f>
        <v>0.11</v>
      </c>
    </row>
    <row r="104" spans="11:69">
      <c r="K104" s="41">
        <f t="shared" si="24"/>
        <v>39984.5602092728</v>
      </c>
      <c r="L104" s="41">
        <f>((($AN104+$AO104)/2*$AH104+$AI104)*(1+$AP104)*(1+$AQ104)+(($AS104+$AT104)/2*IF($G$1="鸣金",$AJ104,$AH104)+IF($G$1="鸣金",$AK104*1.5,0))*(1+$AU104)*(1+$AV104)+(($AW104+$AX104)/2*IF($G$1="裂石",$AJ104,$AH104)+IF($G$1="裂石",$AK104*1.5,0))*(1+$AY104)*(1+$AZ104)+(($BA104+$BB104)/2*IF($G$1="牵丝",$AJ104,$AH104)+IF($G$1="牵丝",$AK104*1.5,0))*(1+$BC104)*(1+$BD104)+(($BE104+$BF104)/2*IF($G$1="破竹",$AJ104,$AH104)+IF($G$1="破竹",$AK104*1.5,0))*(1+$BG104)*(1+$BH104))*(1+$AL104)*$BK104*$P104*(1+IF(VLOOKUP($Q104,武学奇术!$A:$ZZ,30,FALSE)="回旋伞",$B$21,0))*(1+$BQ104)</f>
        <v>41877.8437889586</v>
      </c>
      <c r="M104" s="41">
        <f>(($AO104*$AH104+$AI104)*(1+$AP104)*(1+$AQ104)+($AT104*IF($G$1="鸣金",$AJ104,$AH104)+IF($G$1="鸣金",$AK104*1.5,0))*(1+$AU104)*(1+$AV104)+($AX104*IF($G$1="裂石",$AJ104,$AH104)+IF($G$1="裂石",$AK104*1.5,0))*(1+$AY104)*(1+$AZ104)+($BB104*IF($G$1="牵丝",$AJ104,$AH104)+IF($G$1="牵丝",$AK104*1.5,0))*(1+$BC104)*(1+$BD104)+($BF104*IF($G$1="破竹",$AJ104,$AH104)+IF($G$1="破竹",$AK104*1.5,0))*(1+$BG104)*(1+$BH104))*(1+$AL104)*$BM104*$P104*(1+IF(VLOOKUP($Q104,武学奇术!$A:$ZZ,30,FALSE)="回旋伞",$B$21,0))*(1+$BQ104)</f>
        <v>34343.5402133959</v>
      </c>
      <c r="N104" s="41">
        <f>((($AN104+$AO104)/2*$AH104+$AI104)*(1+$AP104)*(1+$AQ104)+(($AS104+$AT104)/2*IF($G$1="鸣金",$AJ104,$AH104)+IF($G$1="鸣金",$AK104*1.5,0))*(1+$AU104)*(1+$AV104)+(($AW104+$AX104)/2*IF($G$1="裂石",$AJ104,$AH104)+IF($G$1="裂石",$AK104*1.5,0))*(1+$AY104)*(1+$AZ104)+(($BA104+$BB104)/2*IF($G$1="牵丝",$AJ104,$AH104)+IF($G$1="牵丝",$AK104*1.5,0))*(1+$BC104)*(1+$BD104)+(($BE104+$BF104)/2*IF($G$1="破竹",$AJ104,$AH104)+IF($G$1="破竹",$AK104*1.5,0))*(1+$BG104)*(1+$BH104))*(1+$AL104)*$P104*(1+IF(VLOOKUP($Q104,武学奇术!$A:$ZZ,30,FALSE)="回旋伞",$B$21,0))*(1+$BQ104)</f>
        <v>22394.5688711008</v>
      </c>
      <c r="O104" s="41">
        <f>((($AN104*$AH104+$AI104)*(1+$AP104)*(1+$AQ104)+($AS104*IF($G$1="鸣金",$AJ104,$AH104)+IF($G$1="鸣金",$AK104*1.5,0))*(1+$AU104)*(1+$AV104)+($AW104*IF($G$1="裂石",$AJ104,$AH104)+IF($G$1="裂石",$AK104*1.5,0))*(1+$AY104)*(1+$AZ104)+($BA104*IF($G$1="牵丝",$AJ104,$AH104)+IF($G$1="牵丝",$AK104*1.5,0))*(1+$BC104)*(1+$BD104)+($BE104*IF($G$1="破竹",$AJ104,$AH104)+IF($G$1="破竹",$AK104*1.5,0))*(1+$BG104)*(1+$BH104))*(1+$AL104))*$P104*(1+IF(VLOOKUP($Q104,武学奇术!$A:$ZZ,30,FALSE)="回旋伞",$B$21,0))*(1+$BQ104)</f>
        <v>19349.4783248713</v>
      </c>
      <c r="P104" s="42">
        <v>2</v>
      </c>
      <c r="Q104" s="43" t="s">
        <v>120</v>
      </c>
      <c r="R104" s="43" t="s">
        <v>105</v>
      </c>
      <c r="S104" s="43" t="s">
        <v>91</v>
      </c>
      <c r="T104" s="43" t="s">
        <v>72</v>
      </c>
      <c r="U104" s="43" t="s">
        <v>79</v>
      </c>
      <c r="V104" s="43" t="s">
        <v>167</v>
      </c>
      <c r="W104" s="43" t="s">
        <v>95</v>
      </c>
      <c r="X104" s="43" t="s">
        <v>71</v>
      </c>
      <c r="Y104" s="43" t="s">
        <v>71</v>
      </c>
      <c r="Z104" s="43" t="s">
        <v>71</v>
      </c>
      <c r="AA104" s="43" t="s">
        <v>71</v>
      </c>
      <c r="AB104" s="43" t="s">
        <v>71</v>
      </c>
      <c r="AC104" s="43" t="s">
        <v>71</v>
      </c>
      <c r="AD104" s="43" t="s">
        <v>71</v>
      </c>
      <c r="AE104" s="43" t="s">
        <v>71</v>
      </c>
      <c r="AF104" s="43" t="s">
        <v>76</v>
      </c>
      <c r="AG104" t="str">
        <f>VLOOKUP($Q104,武学奇术!$A:$ZZ,25,FALSE)</f>
        <v>伞</v>
      </c>
      <c r="AH104" s="30">
        <f>VLOOKUP($Q104,武学奇术!$A:$ZZ,26,FALSE)</f>
        <v>0.54</v>
      </c>
      <c r="AI104" s="31">
        <f>VLOOKUP($Q104,武学奇术!$A:$ZZ,27,FALSE)*(1+IF(OR($AG104=$F$4,$AG104=$F$5),$B$22,0))</f>
        <v>0</v>
      </c>
      <c r="AJ104" s="30">
        <f>VLOOKUP($Q104,武学奇术!$A:$ZZ,28,FALSE)</f>
        <v>0.81</v>
      </c>
      <c r="AK104" s="31">
        <f>VLOOKUP($Q104,武学奇术!$A:$ZZ,29,FALSE)*(1+IF(OR($AG104=$F$4,$AG104=$F$5),$B$22,0))</f>
        <v>0</v>
      </c>
      <c r="AL104" s="30" cm="1">
        <f t="array" ref="AL104">$G$3+IFERROR(VLOOKUP($AG104,$F$4:$G$7,2,FALSE),0)+VLOOKUP($Q104,武学奇术!$A:$ZZ,2,FALSE)+SUM(_xlfn.XLOOKUP($R104:$AF104,增益!$A:$A,增益!$B:$B,0))</f>
        <v>0.9741</v>
      </c>
      <c r="AM104" s="30" cm="1">
        <f t="array" ref="AM104">VLOOKUP($Q104,武学奇术!$A:$ZZ,5,FALSE)+SUM(_xlfn.XLOOKUP($R104:$AF104,增益!$A:$A,增益!$E:$E,0))</f>
        <v>0</v>
      </c>
      <c r="AN104" cm="1">
        <f t="array" ref="AN104">$D$10*(1+$AM104)+VLOOKUP($Q104,武学奇术!$A:$ZZ,3,FALSE)+SUM(_xlfn.XLOOKUP($R104:$AF104,增益!$A:$A,增益!$C:$C,0))-$I$2</f>
        <v>3483.8</v>
      </c>
      <c r="AO104" cm="1">
        <f t="array" ref="AO104">$E$10*(1+$AM104)+VLOOKUP($Q104,武学奇术!$A:$ZZ,4,FALSE)+SUM(_xlfn.XLOOKUP($R104:$AF104,增益!$A:$A,增益!$D:$D,0))-$I$2</f>
        <v>3483.8</v>
      </c>
      <c r="AP104" s="35" cm="1">
        <f t="array" ref="AP104">IF($F$10-$I$3+VLOOKUP($Q104,武学奇术!$A:$ZZ,6,FALSE)+SUM(_xlfn.XLOOKUP(R104:AF104,增益!$A:$A,增益!$F:$F,0))&gt;0,($F$10-$I$3+VLOOKUP($Q104,武学奇术!$A:$ZZ,6,FALSE)+SUM(_xlfn.XLOOKUP(R104:AF104,增益!$A:$A,增益!$F:$F,0)))/200,($F$10-$I$3+VLOOKUP($Q104,武学奇术!$A:$ZZ,6,FALSE)+SUM(_xlfn.XLOOKUP(R104:AF104,增益!$A:$A,增益!$F:$F,0)))/100)</f>
        <v>0.2925</v>
      </c>
      <c r="AQ104" s="35" cm="1">
        <f t="array" ref="AQ104">$G$10+VLOOKUP($Q104,武学奇术!$A:$ZZ,7,FALSE)+SUM(_xlfn.XLOOKUP(R104:AF104,增益!$A:$A,增益!$G:$G,0))</f>
        <v>0.148</v>
      </c>
      <c r="AR104" s="30" cm="1">
        <f t="array" ref="AR104">VLOOKUP($Q104,武学奇术!$A:$ZZ,8,FALSE)+SUM(_xlfn.XLOOKUP(R104:AF104,增益!$A:$A,增益!$H:$H,0))</f>
        <v>0</v>
      </c>
      <c r="AS104">
        <f t="shared" si="13"/>
        <v>0</v>
      </c>
      <c r="AT104">
        <f t="shared" si="14"/>
        <v>0</v>
      </c>
      <c r="AU104" s="35" cm="1">
        <f t="array" ref="AU104">IF($F$11-$I$4+VLOOKUP($Q104,武学奇术!$A:$ZZ,9,FALSE)+SUM(_xlfn.XLOOKUP(R104:AF104,增益!$A:$A,增益!$I:$I,0))&gt;0,($F$11-$I$4+VLOOKUP($Q104,武学奇术!$A:$ZZ,9,FALSE)+SUM(_xlfn.XLOOKUP(R104:AF104,增益!$A:$A,增益!$I:$I,0)))/200,($F$11-$I$4+VLOOKUP($Q104,武学奇术!$A:$ZZ,9,FALSE)+SUM(_xlfn.XLOOKUP(R104:AF104,增益!$A:$A,增益!$I:$I,0)))/100)</f>
        <v>-0.3</v>
      </c>
      <c r="AV104" s="35" cm="1">
        <f t="array" ref="AV104">$G$11+VLOOKUP($Q104,武学奇术!$A:$ZZ,10,FALSE)+SUM(_xlfn.XLOOKUP(R104:AF104,增益!$A:$A,增益!$J:$J,0))</f>
        <v>0</v>
      </c>
      <c r="AW104">
        <f t="shared" si="15"/>
        <v>0</v>
      </c>
      <c r="AX104">
        <f t="shared" si="16"/>
        <v>0</v>
      </c>
      <c r="AY104" s="35" cm="1">
        <f t="array" ref="AY104">IF($F$12-$I$4+VLOOKUP($Q104,武学奇术!$A:$ZZ,11,FALSE)+SUM(_xlfn.XLOOKUP(R104:AF104,增益!$A:$A,增益!$K:$K,0))&gt;0,($F$12-$I$4+VLOOKUP($Q104,武学奇术!$A:$ZZ,11,FALSE)+SUM(_xlfn.XLOOKUP(R104:AF104,增益!$A:$A,增益!$K:$K,0)))/200,($F$12-$I$4+VLOOKUP($Q104,武学奇术!$A:$ZZ,11,FALSE)+SUM(_xlfn.XLOOKUP(R104:AF104,增益!$A:$A,增益!$K:$K,0)))/100)</f>
        <v>-0.3</v>
      </c>
      <c r="AZ104" s="35" cm="1">
        <f t="array" ref="AZ104">$G$12+VLOOKUP($Q104,武学奇术!$A:$ZZ,12,FALSE)+SUM(_xlfn.XLOOKUP(R104:AF104,增益!$A:$A,增益!$L:$L,0))</f>
        <v>0</v>
      </c>
      <c r="BA104">
        <f t="shared" si="17"/>
        <v>0</v>
      </c>
      <c r="BB104">
        <f t="shared" si="18"/>
        <v>0</v>
      </c>
      <c r="BC104" s="35" cm="1">
        <f t="array" ref="BC104">IF($F$13-$I$4+VLOOKUP($Q104,武学奇术!$A:$ZZ,13,FALSE)+SUM(_xlfn.XLOOKUP(R104:AF104,增益!$A:$A,增益!$M:$M,0))&gt;0,($F$13-$I$4+VLOOKUP($Q104,武学奇术!$A:$ZZ,13,FALSE)+SUM(_xlfn.XLOOKUP(R104:AF104,增益!$A:$A,增益!$K:$K,0)))/200,($F$13-$I$4+VLOOKUP($Q104,武学奇术!$A:$ZZ,13,FALSE)+SUM(_xlfn.XLOOKUP(R104:AF104,增益!$A:$A,增益!$M:$M,0)))/100)</f>
        <v>-0.3</v>
      </c>
      <c r="BD104" s="35" cm="1">
        <f t="array" ref="BD104">$G$13+VLOOKUP($Q104,武学奇术!$A:$ZZ,14,FALSE)+SUM(_xlfn.XLOOKUP(R104:AF104,增益!$A:$A,增益!$N:$N,0))</f>
        <v>0</v>
      </c>
      <c r="BE104">
        <f t="shared" si="19"/>
        <v>538</v>
      </c>
      <c r="BF104">
        <f t="shared" si="20"/>
        <v>1561.4</v>
      </c>
      <c r="BG104" s="35" cm="1">
        <f t="array" ref="BG104">IF($F$14-$I$4+VLOOKUP($Q104,武学奇术!$A:$ZZ,15,FALSE)+SUM(_xlfn.XLOOKUP(R104:AF104,增益!$A:$A,增益!$O:$O,0))&gt;0,($F$14-$I$4+VLOOKUP($Q104,武学奇术!$A:$ZZ,15,FALSE)+SUM(_xlfn.XLOOKUP(R104:AF104,增益!$A:$A,增益!$O:$O,0)))/200,($F$14-$I$4+VLOOKUP($Q104,武学奇术!$A:$ZZ,15,FALSE)+SUM(_xlfn.XLOOKUP(R104:AF104,增益!$A:$A,增益!$O:$O,0)))/100)</f>
        <v>0</v>
      </c>
      <c r="BH104" s="35" cm="1">
        <f t="array" ref="BH104">$G$14+VLOOKUP($Q104,武学奇术!$A:$ZZ,16,FALSE)+SUM(_xlfn.XLOOKUP(R104:AF104,增益!$A:$A,增益!$P:$P,0))</f>
        <v>0.27</v>
      </c>
      <c r="BI104" s="30">
        <f>MIN(IF(VLOOKUP($Q104,武学奇术!$A:$ZZ,23,FALSE)=1,100%,$B$8),100%)</f>
        <v>0.9712</v>
      </c>
      <c r="BJ104" s="30" cm="1">
        <f t="array" ref="BJ104">IF(VLOOKUP($Q104,武学奇术!$A:$ZZ,23,FALSE)=1,100%,MIN(80%,$B$9+VLOOKUP($Q104,武学奇术!$A:$ZZ,17,FALSE)+SUM(_xlfn.XLOOKUP(R104:AF104,增益!$A:$A,增益!$Q:$Q,0)))+$B$11+SUM(_xlfn.XLOOKUP(R104:AF104,增益!$A:$A,增益!$U:$U,0)))*IF(VLOOKUP($Q104,武学奇术!$A:$ZZ,24,FALSE)=1,0,1)</f>
        <v>0.8773</v>
      </c>
      <c r="BK104" s="30" cm="1">
        <f t="array" ref="BK104">1+$B$13+VLOOKUP($Q104,武学奇术!$A:$ZZ,18,FALSE)+SUM(_xlfn.XLOOKUP(R104:AF104,增益!$A:$A,增益!$R:$R,0))</f>
        <v>1.87</v>
      </c>
      <c r="BL104" s="30" cm="1">
        <f t="array" ref="BL104">IF(VLOOKUP($Q104,武学奇术!$A:$ZZ,24,FALSE)=1,100%,MIN(40%,$B$10+VLOOKUP($Q104,武学奇术!$A:$ZZ,19,FALSE)+SUM(_xlfn.XLOOKUP(R104:AF104,增益!$A:$A,增益!$S:$S,0)))+$B$12+SUM(_xlfn.XLOOKUP(R104:AF104,增益!$A:$A,增益!$V:$V,0)))*IF(VLOOKUP($Q104,武学奇术!$A:$ZZ,23,FALSE)=1,0,1)</f>
        <v>0.0895</v>
      </c>
      <c r="BM104" s="30" cm="1">
        <f t="array" ref="BM104">1+$B$14+VLOOKUP($Q104,武学奇术!$A:$ZZ,20,FALSE)+SUM(_xlfn.XLOOKUP(R104:AF104,增益!$A:$A,增益!$T:$T,0))</f>
        <v>1.35</v>
      </c>
      <c r="BN104" s="30">
        <f t="shared" si="21"/>
        <v>0.85203376</v>
      </c>
      <c r="BO104" s="30">
        <f t="shared" si="22"/>
        <v>0.03224384</v>
      </c>
      <c r="BP104" s="30">
        <f>IF(VLOOKUP($Q104,武学奇术!$A:$ZZ,22,FALSE)=1,0,(1-$BI104))*(1-$BL104)</f>
        <v>0.0262224</v>
      </c>
      <c r="BQ104" s="30" cm="1">
        <f t="array" ref="BQ104">SUM(_xlfn.XLOOKUP(R104:AF104,增益!$A:$A,增益!$W:$W,0))+$I$5</f>
        <v>0.11</v>
      </c>
    </row>
    <row r="105" spans="11:69">
      <c r="K105" s="41">
        <f t="shared" si="24"/>
        <v>39984.5602092728</v>
      </c>
      <c r="L105" s="41">
        <f>((($AN105+$AO105)/2*$AH105+$AI105)*(1+$AP105)*(1+$AQ105)+(($AS105+$AT105)/2*IF($G$1="鸣金",$AJ105,$AH105)+IF($G$1="鸣金",$AK105*1.5,0))*(1+$AU105)*(1+$AV105)+(($AW105+$AX105)/2*IF($G$1="裂石",$AJ105,$AH105)+IF($G$1="裂石",$AK105*1.5,0))*(1+$AY105)*(1+$AZ105)+(($BA105+$BB105)/2*IF($G$1="牵丝",$AJ105,$AH105)+IF($G$1="牵丝",$AK105*1.5,0))*(1+$BC105)*(1+$BD105)+(($BE105+$BF105)/2*IF($G$1="破竹",$AJ105,$AH105)+IF($G$1="破竹",$AK105*1.5,0))*(1+$BG105)*(1+$BH105))*(1+$AL105)*$BK105*$P105*(1+IF(VLOOKUP($Q105,武学奇术!$A:$ZZ,30,FALSE)="回旋伞",$B$21,0))*(1+$BQ105)</f>
        <v>41877.8437889586</v>
      </c>
      <c r="M105" s="41">
        <f>(($AO105*$AH105+$AI105)*(1+$AP105)*(1+$AQ105)+($AT105*IF($G$1="鸣金",$AJ105,$AH105)+IF($G$1="鸣金",$AK105*1.5,0))*(1+$AU105)*(1+$AV105)+($AX105*IF($G$1="裂石",$AJ105,$AH105)+IF($G$1="裂石",$AK105*1.5,0))*(1+$AY105)*(1+$AZ105)+($BB105*IF($G$1="牵丝",$AJ105,$AH105)+IF($G$1="牵丝",$AK105*1.5,0))*(1+$BC105)*(1+$BD105)+($BF105*IF($G$1="破竹",$AJ105,$AH105)+IF($G$1="破竹",$AK105*1.5,0))*(1+$BG105)*(1+$BH105))*(1+$AL105)*$BM105*$P105*(1+IF(VLOOKUP($Q105,武学奇术!$A:$ZZ,30,FALSE)="回旋伞",$B$21,0))*(1+$BQ105)</f>
        <v>34343.5402133959</v>
      </c>
      <c r="N105" s="41">
        <f>((($AN105+$AO105)/2*$AH105+$AI105)*(1+$AP105)*(1+$AQ105)+(($AS105+$AT105)/2*IF($G$1="鸣金",$AJ105,$AH105)+IF($G$1="鸣金",$AK105*1.5,0))*(1+$AU105)*(1+$AV105)+(($AW105+$AX105)/2*IF($G$1="裂石",$AJ105,$AH105)+IF($G$1="裂石",$AK105*1.5,0))*(1+$AY105)*(1+$AZ105)+(($BA105+$BB105)/2*IF($G$1="牵丝",$AJ105,$AH105)+IF($G$1="牵丝",$AK105*1.5,0))*(1+$BC105)*(1+$BD105)+(($BE105+$BF105)/2*IF($G$1="破竹",$AJ105,$AH105)+IF($G$1="破竹",$AK105*1.5,0))*(1+$BG105)*(1+$BH105))*(1+$AL105)*$P105*(1+IF(VLOOKUP($Q105,武学奇术!$A:$ZZ,30,FALSE)="回旋伞",$B$21,0))*(1+$BQ105)</f>
        <v>22394.5688711008</v>
      </c>
      <c r="O105" s="41">
        <f>((($AN105*$AH105+$AI105)*(1+$AP105)*(1+$AQ105)+($AS105*IF($G$1="鸣金",$AJ105,$AH105)+IF($G$1="鸣金",$AK105*1.5,0))*(1+$AU105)*(1+$AV105)+($AW105*IF($G$1="裂石",$AJ105,$AH105)+IF($G$1="裂石",$AK105*1.5,0))*(1+$AY105)*(1+$AZ105)+($BA105*IF($G$1="牵丝",$AJ105,$AH105)+IF($G$1="牵丝",$AK105*1.5,0))*(1+$BC105)*(1+$BD105)+($BE105*IF($G$1="破竹",$AJ105,$AH105)+IF($G$1="破竹",$AK105*1.5,0))*(1+$BG105)*(1+$BH105))*(1+$AL105))*$P105*(1+IF(VLOOKUP($Q105,武学奇术!$A:$ZZ,30,FALSE)="回旋伞",$B$21,0))*(1+$BQ105)</f>
        <v>19349.4783248713</v>
      </c>
      <c r="P105" s="42">
        <v>2</v>
      </c>
      <c r="Q105" s="43" t="s">
        <v>120</v>
      </c>
      <c r="R105" s="43" t="s">
        <v>105</v>
      </c>
      <c r="S105" s="43" t="s">
        <v>91</v>
      </c>
      <c r="T105" s="43" t="s">
        <v>72</v>
      </c>
      <c r="U105" s="43" t="s">
        <v>79</v>
      </c>
      <c r="V105" s="43" t="s">
        <v>167</v>
      </c>
      <c r="W105" s="43" t="s">
        <v>95</v>
      </c>
      <c r="X105" s="43" t="s">
        <v>71</v>
      </c>
      <c r="Y105" s="43" t="s">
        <v>71</v>
      </c>
      <c r="Z105" s="43" t="s">
        <v>71</v>
      </c>
      <c r="AA105" s="43" t="s">
        <v>109</v>
      </c>
      <c r="AB105" s="43" t="s">
        <v>71</v>
      </c>
      <c r="AC105" s="43" t="s">
        <v>71</v>
      </c>
      <c r="AD105" s="43" t="s">
        <v>71</v>
      </c>
      <c r="AE105" s="43" t="s">
        <v>71</v>
      </c>
      <c r="AF105" s="43" t="s">
        <v>76</v>
      </c>
      <c r="AG105" t="str">
        <f>VLOOKUP($Q105,武学奇术!$A:$ZZ,25,FALSE)</f>
        <v>伞</v>
      </c>
      <c r="AH105" s="30">
        <f>VLOOKUP($Q105,武学奇术!$A:$ZZ,26,FALSE)</f>
        <v>0.54</v>
      </c>
      <c r="AI105" s="31">
        <f>VLOOKUP($Q105,武学奇术!$A:$ZZ,27,FALSE)*(1+IF(OR($AG105=$F$4,$AG105=$F$5),$B$22,0))</f>
        <v>0</v>
      </c>
      <c r="AJ105" s="30">
        <f>VLOOKUP($Q105,武学奇术!$A:$ZZ,28,FALSE)</f>
        <v>0.81</v>
      </c>
      <c r="AK105" s="31">
        <f>VLOOKUP($Q105,武学奇术!$A:$ZZ,29,FALSE)*(1+IF(OR($AG105=$F$4,$AG105=$F$5),$B$22,0))</f>
        <v>0</v>
      </c>
      <c r="AL105" s="30" cm="1">
        <f t="array" ref="AL105">$G$3+IFERROR(VLOOKUP($AG105,$F$4:$G$7,2,FALSE),0)+VLOOKUP($Q105,武学奇术!$A:$ZZ,2,FALSE)+SUM(_xlfn.XLOOKUP($R105:$AF105,增益!$A:$A,增益!$B:$B,0))</f>
        <v>0.9741</v>
      </c>
      <c r="AM105" s="30" cm="1">
        <f t="array" ref="AM105">VLOOKUP($Q105,武学奇术!$A:$ZZ,5,FALSE)+SUM(_xlfn.XLOOKUP($R105:$AF105,增益!$A:$A,增益!$E:$E,0))</f>
        <v>0</v>
      </c>
      <c r="AN105" cm="1">
        <f t="array" ref="AN105">$D$10*(1+$AM105)+VLOOKUP($Q105,武学奇术!$A:$ZZ,3,FALSE)+SUM(_xlfn.XLOOKUP($R105:$AF105,增益!$A:$A,增益!$C:$C,0))-$I$2</f>
        <v>3483.8</v>
      </c>
      <c r="AO105" cm="1">
        <f t="array" ref="AO105">$E$10*(1+$AM105)+VLOOKUP($Q105,武学奇术!$A:$ZZ,4,FALSE)+SUM(_xlfn.XLOOKUP($R105:$AF105,增益!$A:$A,增益!$D:$D,0))-$I$2</f>
        <v>3483.8</v>
      </c>
      <c r="AP105" s="35" cm="1">
        <f t="array" ref="AP105">IF($F$10-$I$3+VLOOKUP($Q105,武学奇术!$A:$ZZ,6,FALSE)+SUM(_xlfn.XLOOKUP(R105:AF105,增益!$A:$A,增益!$F:$F,0))&gt;0,($F$10-$I$3+VLOOKUP($Q105,武学奇术!$A:$ZZ,6,FALSE)+SUM(_xlfn.XLOOKUP(R105:AF105,增益!$A:$A,增益!$F:$F,0)))/200,($F$10-$I$3+VLOOKUP($Q105,武学奇术!$A:$ZZ,6,FALSE)+SUM(_xlfn.XLOOKUP(R105:AF105,增益!$A:$A,增益!$F:$F,0)))/100)</f>
        <v>0.2925</v>
      </c>
      <c r="AQ105" s="35" cm="1">
        <f t="array" ref="AQ105">$G$10+VLOOKUP($Q105,武学奇术!$A:$ZZ,7,FALSE)+SUM(_xlfn.XLOOKUP(R105:AF105,增益!$A:$A,增益!$G:$G,0))</f>
        <v>0.148</v>
      </c>
      <c r="AR105" s="30" cm="1">
        <f t="array" ref="AR105">VLOOKUP($Q105,武学奇术!$A:$ZZ,8,FALSE)+SUM(_xlfn.XLOOKUP(R105:AF105,增益!$A:$A,增益!$H:$H,0))</f>
        <v>0</v>
      </c>
      <c r="AS105">
        <f t="shared" si="13"/>
        <v>0</v>
      </c>
      <c r="AT105">
        <f t="shared" si="14"/>
        <v>0</v>
      </c>
      <c r="AU105" s="35" cm="1">
        <f t="array" ref="AU105">IF($F$11-$I$4+VLOOKUP($Q105,武学奇术!$A:$ZZ,9,FALSE)+SUM(_xlfn.XLOOKUP(R105:AF105,增益!$A:$A,增益!$I:$I,0))&gt;0,($F$11-$I$4+VLOOKUP($Q105,武学奇术!$A:$ZZ,9,FALSE)+SUM(_xlfn.XLOOKUP(R105:AF105,增益!$A:$A,增益!$I:$I,0)))/200,($F$11-$I$4+VLOOKUP($Q105,武学奇术!$A:$ZZ,9,FALSE)+SUM(_xlfn.XLOOKUP(R105:AF105,增益!$A:$A,增益!$I:$I,0)))/100)</f>
        <v>-0.3</v>
      </c>
      <c r="AV105" s="35" cm="1">
        <f t="array" ref="AV105">$G$11+VLOOKUP($Q105,武学奇术!$A:$ZZ,10,FALSE)+SUM(_xlfn.XLOOKUP(R105:AF105,增益!$A:$A,增益!$J:$J,0))</f>
        <v>0</v>
      </c>
      <c r="AW105">
        <f t="shared" si="15"/>
        <v>0</v>
      </c>
      <c r="AX105">
        <f t="shared" si="16"/>
        <v>0</v>
      </c>
      <c r="AY105" s="35" cm="1">
        <f t="array" ref="AY105">IF($F$12-$I$4+VLOOKUP($Q105,武学奇术!$A:$ZZ,11,FALSE)+SUM(_xlfn.XLOOKUP(R105:AF105,增益!$A:$A,增益!$K:$K,0))&gt;0,($F$12-$I$4+VLOOKUP($Q105,武学奇术!$A:$ZZ,11,FALSE)+SUM(_xlfn.XLOOKUP(R105:AF105,增益!$A:$A,增益!$K:$K,0)))/200,($F$12-$I$4+VLOOKUP($Q105,武学奇术!$A:$ZZ,11,FALSE)+SUM(_xlfn.XLOOKUP(R105:AF105,增益!$A:$A,增益!$K:$K,0)))/100)</f>
        <v>-0.3</v>
      </c>
      <c r="AZ105" s="35" cm="1">
        <f t="array" ref="AZ105">$G$12+VLOOKUP($Q105,武学奇术!$A:$ZZ,12,FALSE)+SUM(_xlfn.XLOOKUP(R105:AF105,增益!$A:$A,增益!$L:$L,0))</f>
        <v>0</v>
      </c>
      <c r="BA105">
        <f t="shared" si="17"/>
        <v>0</v>
      </c>
      <c r="BB105">
        <f t="shared" si="18"/>
        <v>0</v>
      </c>
      <c r="BC105" s="35" cm="1">
        <f t="array" ref="BC105">IF($F$13-$I$4+VLOOKUP($Q105,武学奇术!$A:$ZZ,13,FALSE)+SUM(_xlfn.XLOOKUP(R105:AF105,增益!$A:$A,增益!$M:$M,0))&gt;0,($F$13-$I$4+VLOOKUP($Q105,武学奇术!$A:$ZZ,13,FALSE)+SUM(_xlfn.XLOOKUP(R105:AF105,增益!$A:$A,增益!$K:$K,0)))/200,($F$13-$I$4+VLOOKUP($Q105,武学奇术!$A:$ZZ,13,FALSE)+SUM(_xlfn.XLOOKUP(R105:AF105,增益!$A:$A,增益!$M:$M,0)))/100)</f>
        <v>-0.3</v>
      </c>
      <c r="BD105" s="35" cm="1">
        <f t="array" ref="BD105">$G$13+VLOOKUP($Q105,武学奇术!$A:$ZZ,14,FALSE)+SUM(_xlfn.XLOOKUP(R105:AF105,增益!$A:$A,增益!$N:$N,0))</f>
        <v>0</v>
      </c>
      <c r="BE105">
        <f t="shared" si="19"/>
        <v>538</v>
      </c>
      <c r="BF105">
        <f t="shared" si="20"/>
        <v>1561.4</v>
      </c>
      <c r="BG105" s="35" cm="1">
        <f t="array" ref="BG105">IF($F$14-$I$4+VLOOKUP($Q105,武学奇术!$A:$ZZ,15,FALSE)+SUM(_xlfn.XLOOKUP(R105:AF105,增益!$A:$A,增益!$O:$O,0))&gt;0,($F$14-$I$4+VLOOKUP($Q105,武学奇术!$A:$ZZ,15,FALSE)+SUM(_xlfn.XLOOKUP(R105:AF105,增益!$A:$A,增益!$O:$O,0)))/200,($F$14-$I$4+VLOOKUP($Q105,武学奇术!$A:$ZZ,15,FALSE)+SUM(_xlfn.XLOOKUP(R105:AF105,增益!$A:$A,增益!$O:$O,0)))/100)</f>
        <v>0</v>
      </c>
      <c r="BH105" s="35" cm="1">
        <f t="array" ref="BH105">$G$14+VLOOKUP($Q105,武学奇术!$A:$ZZ,16,FALSE)+SUM(_xlfn.XLOOKUP(R105:AF105,增益!$A:$A,增益!$P:$P,0))</f>
        <v>0.27</v>
      </c>
      <c r="BI105" s="30">
        <f>MIN(IF(VLOOKUP($Q105,武学奇术!$A:$ZZ,23,FALSE)=1,100%,$B$8),100%)</f>
        <v>0.9712</v>
      </c>
      <c r="BJ105" s="30" cm="1">
        <f t="array" ref="BJ105">IF(VLOOKUP($Q105,武学奇术!$A:$ZZ,23,FALSE)=1,100%,MIN(80%,$B$9+VLOOKUP($Q105,武学奇术!$A:$ZZ,17,FALSE)+SUM(_xlfn.XLOOKUP(R105:AF105,增益!$A:$A,增益!$Q:$Q,0)))+$B$11+SUM(_xlfn.XLOOKUP(R105:AF105,增益!$A:$A,增益!$U:$U,0)))*IF(VLOOKUP($Q105,武学奇术!$A:$ZZ,24,FALSE)=1,0,1)</f>
        <v>0.8773</v>
      </c>
      <c r="BK105" s="30" cm="1">
        <f t="array" ref="BK105">1+$B$13+VLOOKUP($Q105,武学奇术!$A:$ZZ,18,FALSE)+SUM(_xlfn.XLOOKUP(R105:AF105,增益!$A:$A,增益!$R:$R,0))</f>
        <v>1.87</v>
      </c>
      <c r="BL105" s="30" cm="1">
        <f t="array" ref="BL105">IF(VLOOKUP($Q105,武学奇术!$A:$ZZ,24,FALSE)=1,100%,MIN(40%,$B$10+VLOOKUP($Q105,武学奇术!$A:$ZZ,19,FALSE)+SUM(_xlfn.XLOOKUP(R105:AF105,增益!$A:$A,增益!$S:$S,0)))+$B$12+SUM(_xlfn.XLOOKUP(R105:AF105,增益!$A:$A,增益!$V:$V,0)))*IF(VLOOKUP($Q105,武学奇术!$A:$ZZ,23,FALSE)=1,0,1)</f>
        <v>0.0895</v>
      </c>
      <c r="BM105" s="30" cm="1">
        <f t="array" ref="BM105">1+$B$14+VLOOKUP($Q105,武学奇术!$A:$ZZ,20,FALSE)+SUM(_xlfn.XLOOKUP(R105:AF105,增益!$A:$A,增益!$T:$T,0))</f>
        <v>1.35</v>
      </c>
      <c r="BN105" s="30">
        <f t="shared" si="21"/>
        <v>0.85203376</v>
      </c>
      <c r="BO105" s="30">
        <f t="shared" si="22"/>
        <v>0.03224384</v>
      </c>
      <c r="BP105" s="30">
        <f>IF(VLOOKUP($Q105,武学奇术!$A:$ZZ,22,FALSE)=1,0,(1-$BI105))*(1-$BL105)</f>
        <v>0.0262224</v>
      </c>
      <c r="BQ105" s="30" cm="1">
        <f t="array" ref="BQ105">SUM(_xlfn.XLOOKUP(R105:AF105,增益!$A:$A,增益!$W:$W,0))+$I$5</f>
        <v>0.11</v>
      </c>
    </row>
    <row r="106" spans="11:69">
      <c r="K106" s="41">
        <f t="shared" si="24"/>
        <v>39984.5602092728</v>
      </c>
      <c r="L106" s="41">
        <f>((($AN106+$AO106)/2*$AH106+$AI106)*(1+$AP106)*(1+$AQ106)+(($AS106+$AT106)/2*IF($G$1="鸣金",$AJ106,$AH106)+IF($G$1="鸣金",$AK106*1.5,0))*(1+$AU106)*(1+$AV106)+(($AW106+$AX106)/2*IF($G$1="裂石",$AJ106,$AH106)+IF($G$1="裂石",$AK106*1.5,0))*(1+$AY106)*(1+$AZ106)+(($BA106+$BB106)/2*IF($G$1="牵丝",$AJ106,$AH106)+IF($G$1="牵丝",$AK106*1.5,0))*(1+$BC106)*(1+$BD106)+(($BE106+$BF106)/2*IF($G$1="破竹",$AJ106,$AH106)+IF($G$1="破竹",$AK106*1.5,0))*(1+$BG106)*(1+$BH106))*(1+$AL106)*$BK106*$P106*(1+IF(VLOOKUP($Q106,武学奇术!$A:$ZZ,30,FALSE)="回旋伞",$B$21,0))*(1+$BQ106)</f>
        <v>41877.8437889586</v>
      </c>
      <c r="M106" s="41">
        <f>(($AO106*$AH106+$AI106)*(1+$AP106)*(1+$AQ106)+($AT106*IF($G$1="鸣金",$AJ106,$AH106)+IF($G$1="鸣金",$AK106*1.5,0))*(1+$AU106)*(1+$AV106)+($AX106*IF($G$1="裂石",$AJ106,$AH106)+IF($G$1="裂石",$AK106*1.5,0))*(1+$AY106)*(1+$AZ106)+($BB106*IF($G$1="牵丝",$AJ106,$AH106)+IF($G$1="牵丝",$AK106*1.5,0))*(1+$BC106)*(1+$BD106)+($BF106*IF($G$1="破竹",$AJ106,$AH106)+IF($G$1="破竹",$AK106*1.5,0))*(1+$BG106)*(1+$BH106))*(1+$AL106)*$BM106*$P106*(1+IF(VLOOKUP($Q106,武学奇术!$A:$ZZ,30,FALSE)="回旋伞",$B$21,0))*(1+$BQ106)</f>
        <v>34343.5402133959</v>
      </c>
      <c r="N106" s="41">
        <f>((($AN106+$AO106)/2*$AH106+$AI106)*(1+$AP106)*(1+$AQ106)+(($AS106+$AT106)/2*IF($G$1="鸣金",$AJ106,$AH106)+IF($G$1="鸣金",$AK106*1.5,0))*(1+$AU106)*(1+$AV106)+(($AW106+$AX106)/2*IF($G$1="裂石",$AJ106,$AH106)+IF($G$1="裂石",$AK106*1.5,0))*(1+$AY106)*(1+$AZ106)+(($BA106+$BB106)/2*IF($G$1="牵丝",$AJ106,$AH106)+IF($G$1="牵丝",$AK106*1.5,0))*(1+$BC106)*(1+$BD106)+(($BE106+$BF106)/2*IF($G$1="破竹",$AJ106,$AH106)+IF($G$1="破竹",$AK106*1.5,0))*(1+$BG106)*(1+$BH106))*(1+$AL106)*$P106*(1+IF(VLOOKUP($Q106,武学奇术!$A:$ZZ,30,FALSE)="回旋伞",$B$21,0))*(1+$BQ106)</f>
        <v>22394.5688711008</v>
      </c>
      <c r="O106" s="41">
        <f>((($AN106*$AH106+$AI106)*(1+$AP106)*(1+$AQ106)+($AS106*IF($G$1="鸣金",$AJ106,$AH106)+IF($G$1="鸣金",$AK106*1.5,0))*(1+$AU106)*(1+$AV106)+($AW106*IF($G$1="裂石",$AJ106,$AH106)+IF($G$1="裂石",$AK106*1.5,0))*(1+$AY106)*(1+$AZ106)+($BA106*IF($G$1="牵丝",$AJ106,$AH106)+IF($G$1="牵丝",$AK106*1.5,0))*(1+$BC106)*(1+$BD106)+($BE106*IF($G$1="破竹",$AJ106,$AH106)+IF($G$1="破竹",$AK106*1.5,0))*(1+$BG106)*(1+$BH106))*(1+$AL106))*$P106*(1+IF(VLOOKUP($Q106,武学奇术!$A:$ZZ,30,FALSE)="回旋伞",$B$21,0))*(1+$BQ106)</f>
        <v>19349.4783248713</v>
      </c>
      <c r="P106" s="42">
        <v>2</v>
      </c>
      <c r="Q106" s="43" t="s">
        <v>120</v>
      </c>
      <c r="R106" s="43" t="s">
        <v>105</v>
      </c>
      <c r="S106" s="43" t="s">
        <v>91</v>
      </c>
      <c r="T106" s="43" t="s">
        <v>72</v>
      </c>
      <c r="U106" s="43" t="s">
        <v>79</v>
      </c>
      <c r="V106" s="43" t="s">
        <v>167</v>
      </c>
      <c r="W106" s="43" t="s">
        <v>95</v>
      </c>
      <c r="X106" s="43" t="s">
        <v>71</v>
      </c>
      <c r="Y106" s="43" t="s">
        <v>71</v>
      </c>
      <c r="Z106" s="43" t="s">
        <v>71</v>
      </c>
      <c r="AA106" s="43" t="s">
        <v>112</v>
      </c>
      <c r="AB106" s="43" t="s">
        <v>71</v>
      </c>
      <c r="AC106" s="43" t="s">
        <v>71</v>
      </c>
      <c r="AD106" s="43" t="s">
        <v>71</v>
      </c>
      <c r="AE106" s="43" t="s">
        <v>71</v>
      </c>
      <c r="AF106" s="43" t="s">
        <v>76</v>
      </c>
      <c r="AG106" t="str">
        <f>VLOOKUP($Q106,武学奇术!$A:$ZZ,25,FALSE)</f>
        <v>伞</v>
      </c>
      <c r="AH106" s="30">
        <f>VLOOKUP($Q106,武学奇术!$A:$ZZ,26,FALSE)</f>
        <v>0.54</v>
      </c>
      <c r="AI106" s="31">
        <f>VLOOKUP($Q106,武学奇术!$A:$ZZ,27,FALSE)*(1+IF(OR($AG106=$F$4,$AG106=$F$5),$B$22,0))</f>
        <v>0</v>
      </c>
      <c r="AJ106" s="30">
        <f>VLOOKUP($Q106,武学奇术!$A:$ZZ,28,FALSE)</f>
        <v>0.81</v>
      </c>
      <c r="AK106" s="31">
        <f>VLOOKUP($Q106,武学奇术!$A:$ZZ,29,FALSE)*(1+IF(OR($AG106=$F$4,$AG106=$F$5),$B$22,0))</f>
        <v>0</v>
      </c>
      <c r="AL106" s="30" cm="1">
        <f t="array" ref="AL106">$G$3+IFERROR(VLOOKUP($AG106,$F$4:$G$7,2,FALSE),0)+VLOOKUP($Q106,武学奇术!$A:$ZZ,2,FALSE)+SUM(_xlfn.XLOOKUP($R106:$AF106,增益!$A:$A,增益!$B:$B,0))</f>
        <v>0.9741</v>
      </c>
      <c r="AM106" s="30" cm="1">
        <f t="array" ref="AM106">VLOOKUP($Q106,武学奇术!$A:$ZZ,5,FALSE)+SUM(_xlfn.XLOOKUP($R106:$AF106,增益!$A:$A,增益!$E:$E,0))</f>
        <v>0</v>
      </c>
      <c r="AN106" cm="1">
        <f t="array" ref="AN106">$D$10*(1+$AM106)+VLOOKUP($Q106,武学奇术!$A:$ZZ,3,FALSE)+SUM(_xlfn.XLOOKUP($R106:$AF106,增益!$A:$A,增益!$C:$C,0))-$I$2</f>
        <v>3483.8</v>
      </c>
      <c r="AO106" cm="1">
        <f t="array" ref="AO106">$E$10*(1+$AM106)+VLOOKUP($Q106,武学奇术!$A:$ZZ,4,FALSE)+SUM(_xlfn.XLOOKUP($R106:$AF106,增益!$A:$A,增益!$D:$D,0))-$I$2</f>
        <v>3483.8</v>
      </c>
      <c r="AP106" s="35" cm="1">
        <f t="array" ref="AP106">IF($F$10-$I$3+VLOOKUP($Q106,武学奇术!$A:$ZZ,6,FALSE)+SUM(_xlfn.XLOOKUP(R106:AF106,增益!$A:$A,增益!$F:$F,0))&gt;0,($F$10-$I$3+VLOOKUP($Q106,武学奇术!$A:$ZZ,6,FALSE)+SUM(_xlfn.XLOOKUP(R106:AF106,增益!$A:$A,增益!$F:$F,0)))/200,($F$10-$I$3+VLOOKUP($Q106,武学奇术!$A:$ZZ,6,FALSE)+SUM(_xlfn.XLOOKUP(R106:AF106,增益!$A:$A,增益!$F:$F,0)))/100)</f>
        <v>0.2925</v>
      </c>
      <c r="AQ106" s="35" cm="1">
        <f t="array" ref="AQ106">$G$10+VLOOKUP($Q106,武学奇术!$A:$ZZ,7,FALSE)+SUM(_xlfn.XLOOKUP(R106:AF106,增益!$A:$A,增益!$G:$G,0))</f>
        <v>0.148</v>
      </c>
      <c r="AR106" s="30" cm="1">
        <f t="array" ref="AR106">VLOOKUP($Q106,武学奇术!$A:$ZZ,8,FALSE)+SUM(_xlfn.XLOOKUP(R106:AF106,增益!$A:$A,增益!$H:$H,0))</f>
        <v>0</v>
      </c>
      <c r="AS106">
        <f t="shared" si="13"/>
        <v>0</v>
      </c>
      <c r="AT106">
        <f t="shared" si="14"/>
        <v>0</v>
      </c>
      <c r="AU106" s="35" cm="1">
        <f t="array" ref="AU106">IF($F$11-$I$4+VLOOKUP($Q106,武学奇术!$A:$ZZ,9,FALSE)+SUM(_xlfn.XLOOKUP(R106:AF106,增益!$A:$A,增益!$I:$I,0))&gt;0,($F$11-$I$4+VLOOKUP($Q106,武学奇术!$A:$ZZ,9,FALSE)+SUM(_xlfn.XLOOKUP(R106:AF106,增益!$A:$A,增益!$I:$I,0)))/200,($F$11-$I$4+VLOOKUP($Q106,武学奇术!$A:$ZZ,9,FALSE)+SUM(_xlfn.XLOOKUP(R106:AF106,增益!$A:$A,增益!$I:$I,0)))/100)</f>
        <v>-0.3</v>
      </c>
      <c r="AV106" s="35" cm="1">
        <f t="array" ref="AV106">$G$11+VLOOKUP($Q106,武学奇术!$A:$ZZ,10,FALSE)+SUM(_xlfn.XLOOKUP(R106:AF106,增益!$A:$A,增益!$J:$J,0))</f>
        <v>0</v>
      </c>
      <c r="AW106">
        <f t="shared" si="15"/>
        <v>0</v>
      </c>
      <c r="AX106">
        <f t="shared" si="16"/>
        <v>0</v>
      </c>
      <c r="AY106" s="35" cm="1">
        <f t="array" ref="AY106">IF($F$12-$I$4+VLOOKUP($Q106,武学奇术!$A:$ZZ,11,FALSE)+SUM(_xlfn.XLOOKUP(R106:AF106,增益!$A:$A,增益!$K:$K,0))&gt;0,($F$12-$I$4+VLOOKUP($Q106,武学奇术!$A:$ZZ,11,FALSE)+SUM(_xlfn.XLOOKUP(R106:AF106,增益!$A:$A,增益!$K:$K,0)))/200,($F$12-$I$4+VLOOKUP($Q106,武学奇术!$A:$ZZ,11,FALSE)+SUM(_xlfn.XLOOKUP(R106:AF106,增益!$A:$A,增益!$K:$K,0)))/100)</f>
        <v>-0.3</v>
      </c>
      <c r="AZ106" s="35" cm="1">
        <f t="array" ref="AZ106">$G$12+VLOOKUP($Q106,武学奇术!$A:$ZZ,12,FALSE)+SUM(_xlfn.XLOOKUP(R106:AF106,增益!$A:$A,增益!$L:$L,0))</f>
        <v>0</v>
      </c>
      <c r="BA106">
        <f t="shared" si="17"/>
        <v>0</v>
      </c>
      <c r="BB106">
        <f t="shared" si="18"/>
        <v>0</v>
      </c>
      <c r="BC106" s="35" cm="1">
        <f t="array" ref="BC106">IF($F$13-$I$4+VLOOKUP($Q106,武学奇术!$A:$ZZ,13,FALSE)+SUM(_xlfn.XLOOKUP(R106:AF106,增益!$A:$A,增益!$M:$M,0))&gt;0,($F$13-$I$4+VLOOKUP($Q106,武学奇术!$A:$ZZ,13,FALSE)+SUM(_xlfn.XLOOKUP(R106:AF106,增益!$A:$A,增益!$K:$K,0)))/200,($F$13-$I$4+VLOOKUP($Q106,武学奇术!$A:$ZZ,13,FALSE)+SUM(_xlfn.XLOOKUP(R106:AF106,增益!$A:$A,增益!$M:$M,0)))/100)</f>
        <v>-0.3</v>
      </c>
      <c r="BD106" s="35" cm="1">
        <f t="array" ref="BD106">$G$13+VLOOKUP($Q106,武学奇术!$A:$ZZ,14,FALSE)+SUM(_xlfn.XLOOKUP(R106:AF106,增益!$A:$A,增益!$N:$N,0))</f>
        <v>0</v>
      </c>
      <c r="BE106">
        <f t="shared" si="19"/>
        <v>538</v>
      </c>
      <c r="BF106">
        <f t="shared" si="20"/>
        <v>1561.4</v>
      </c>
      <c r="BG106" s="35" cm="1">
        <f t="array" ref="BG106">IF($F$14-$I$4+VLOOKUP($Q106,武学奇术!$A:$ZZ,15,FALSE)+SUM(_xlfn.XLOOKUP(R106:AF106,增益!$A:$A,增益!$O:$O,0))&gt;0,($F$14-$I$4+VLOOKUP($Q106,武学奇术!$A:$ZZ,15,FALSE)+SUM(_xlfn.XLOOKUP(R106:AF106,增益!$A:$A,增益!$O:$O,0)))/200,($F$14-$I$4+VLOOKUP($Q106,武学奇术!$A:$ZZ,15,FALSE)+SUM(_xlfn.XLOOKUP(R106:AF106,增益!$A:$A,增益!$O:$O,0)))/100)</f>
        <v>0</v>
      </c>
      <c r="BH106" s="35" cm="1">
        <f t="array" ref="BH106">$G$14+VLOOKUP($Q106,武学奇术!$A:$ZZ,16,FALSE)+SUM(_xlfn.XLOOKUP(R106:AF106,增益!$A:$A,增益!$P:$P,0))</f>
        <v>0.27</v>
      </c>
      <c r="BI106" s="30">
        <f>MIN(IF(VLOOKUP($Q106,武学奇术!$A:$ZZ,23,FALSE)=1,100%,$B$8),100%)</f>
        <v>0.9712</v>
      </c>
      <c r="BJ106" s="30" cm="1">
        <f t="array" ref="BJ106">IF(VLOOKUP($Q106,武学奇术!$A:$ZZ,23,FALSE)=1,100%,MIN(80%,$B$9+VLOOKUP($Q106,武学奇术!$A:$ZZ,17,FALSE)+SUM(_xlfn.XLOOKUP(R106:AF106,增益!$A:$A,增益!$Q:$Q,0)))+$B$11+SUM(_xlfn.XLOOKUP(R106:AF106,增益!$A:$A,增益!$U:$U,0)))*IF(VLOOKUP($Q106,武学奇术!$A:$ZZ,24,FALSE)=1,0,1)</f>
        <v>0.8773</v>
      </c>
      <c r="BK106" s="30" cm="1">
        <f t="array" ref="BK106">1+$B$13+VLOOKUP($Q106,武学奇术!$A:$ZZ,18,FALSE)+SUM(_xlfn.XLOOKUP(R106:AF106,增益!$A:$A,增益!$R:$R,0))</f>
        <v>1.87</v>
      </c>
      <c r="BL106" s="30" cm="1">
        <f t="array" ref="BL106">IF(VLOOKUP($Q106,武学奇术!$A:$ZZ,24,FALSE)=1,100%,MIN(40%,$B$10+VLOOKUP($Q106,武学奇术!$A:$ZZ,19,FALSE)+SUM(_xlfn.XLOOKUP(R106:AF106,增益!$A:$A,增益!$S:$S,0)))+$B$12+SUM(_xlfn.XLOOKUP(R106:AF106,增益!$A:$A,增益!$V:$V,0)))*IF(VLOOKUP($Q106,武学奇术!$A:$ZZ,23,FALSE)=1,0,1)</f>
        <v>0.0895</v>
      </c>
      <c r="BM106" s="30" cm="1">
        <f t="array" ref="BM106">1+$B$14+VLOOKUP($Q106,武学奇术!$A:$ZZ,20,FALSE)+SUM(_xlfn.XLOOKUP(R106:AF106,增益!$A:$A,增益!$T:$T,0))</f>
        <v>1.35</v>
      </c>
      <c r="BN106" s="30">
        <f t="shared" si="21"/>
        <v>0.85203376</v>
      </c>
      <c r="BO106" s="30">
        <f t="shared" si="22"/>
        <v>0.03224384</v>
      </c>
      <c r="BP106" s="30">
        <f>IF(VLOOKUP($Q106,武学奇术!$A:$ZZ,22,FALSE)=1,0,(1-$BI106))*(1-$BL106)</f>
        <v>0.0262224</v>
      </c>
      <c r="BQ106" s="30" cm="1">
        <f t="array" ref="BQ106">SUM(_xlfn.XLOOKUP(R106:AF106,增益!$A:$A,增益!$W:$W,0))+$I$5</f>
        <v>0.11</v>
      </c>
    </row>
    <row r="107" spans="11:69">
      <c r="K107" s="41">
        <f t="shared" si="24"/>
        <v>92241.1429832074</v>
      </c>
      <c r="L107" s="41">
        <f>((($AN107+$AO107)/2*$AH107+$AI107)*(1+$AP107)*(1+$AQ107)+(($AS107+$AT107)/2*IF($G$1="鸣金",$AJ107,$AH107)+IF($G$1="鸣金",$AK107*1.5,0))*(1+$AU107)*(1+$AV107)+(($AW107+$AX107)/2*IF($G$1="裂石",$AJ107,$AH107)+IF($G$1="裂石",$AK107*1.5,0))*(1+$AY107)*(1+$AZ107)+(($BA107+$BB107)/2*IF($G$1="牵丝",$AJ107,$AH107)+IF($G$1="牵丝",$AK107*1.5,0))*(1+$BC107)*(1+$BD107)+(($BE107+$BF107)/2*IF($G$1="破竹",$AJ107,$AH107)+IF($G$1="破竹",$AK107*1.5,0))*(1+$BG107)*(1+$BH107))*(1+$AL107)*$BK107*$P107*(1+IF(VLOOKUP($Q107,武学奇术!$A:$ZZ,30,FALSE)="回旋伞",$B$21,0))*(1+$BQ107)</f>
        <v>92241.1429832074</v>
      </c>
      <c r="M107" s="41">
        <f>(($AO107*$AH107+$AI107)*(1+$AP107)*(1+$AQ107)+($AT107*IF($G$1="鸣金",$AJ107,$AH107)+IF($G$1="鸣金",$AK107*1.5,0))*(1+$AU107)*(1+$AV107)+($AX107*IF($G$1="裂石",$AJ107,$AH107)+IF($G$1="裂石",$AK107*1.5,0))*(1+$AY107)*(1+$AZ107)+($BB107*IF($G$1="牵丝",$AJ107,$AH107)+IF($G$1="牵丝",$AK107*1.5,0))*(1+$BC107)*(1+$BD107)+($BF107*IF($G$1="破竹",$AJ107,$AH107)+IF($G$1="破竹",$AK107*1.5,0))*(1+$BG107)*(1+$BH107))*(1+$AL107)*$BM107*$P107*(1+IF(VLOOKUP($Q107,武学奇术!$A:$ZZ,30,FALSE)="回旋伞",$B$21,0))*(1+$BQ107)</f>
        <v>75645.9052509438</v>
      </c>
      <c r="N107" s="41">
        <f>((($AN107+$AO107)/2*$AH107+$AI107)*(1+$AP107)*(1+$AQ107)+(($AS107+$AT107)/2*IF($G$1="鸣金",$AJ107,$AH107)+IF($G$1="鸣金",$AK107*1.5,0))*(1+$AU107)*(1+$AV107)+(($AW107+$AX107)/2*IF($G$1="裂石",$AJ107,$AH107)+IF($G$1="裂石",$AK107*1.5,0))*(1+$AY107)*(1+$AZ107)+(($BA107+$BB107)/2*IF($G$1="牵丝",$AJ107,$AH107)+IF($G$1="牵丝",$AK107*1.5,0))*(1+$BC107)*(1+$BD107)+(($BE107+$BF107)/2*IF($G$1="破竹",$AJ107,$AH107)+IF($G$1="破竹",$AK107*1.5,0))*(1+$BG107)*(1+$BH107))*(1+$AL107)*$P107*(1+IF(VLOOKUP($Q107,武学奇术!$A:$ZZ,30,FALSE)="回旋伞",$B$21,0))*(1+$BQ107)</f>
        <v>49326.8144295227</v>
      </c>
      <c r="O107" s="41">
        <f>((($AN107*$AH107+$AI107)*(1+$AP107)*(1+$AQ107)+($AS107*IF($G$1="鸣金",$AJ107,$AH107)+IF($G$1="鸣金",$AK107*1.5,0))*(1+$AU107)*(1+$AV107)+($AW107*IF($G$1="裂石",$AJ107,$AH107)+IF($G$1="裂石",$AK107*1.5,0))*(1+$AY107)*(1+$AZ107)+($BA107*IF($G$1="牵丝",$AJ107,$AH107)+IF($G$1="牵丝",$AK107*1.5,0))*(1+$BC107)*(1+$BD107)+($BE107*IF($G$1="破竹",$AJ107,$AH107)+IF($G$1="破竹",$AK107*1.5,0))*(1+$BG107)*(1+$BH107))*(1+$AL107))*$P107*(1+IF(VLOOKUP($Q107,武学奇术!$A:$ZZ,30,FALSE)="回旋伞",$B$21,0))*(1+$BQ107)</f>
        <v>42619.6249694573</v>
      </c>
      <c r="P107" s="42">
        <v>4</v>
      </c>
      <c r="Q107" s="43" t="s">
        <v>130</v>
      </c>
      <c r="R107" s="43" t="s">
        <v>105</v>
      </c>
      <c r="S107" s="43" t="s">
        <v>91</v>
      </c>
      <c r="T107" s="43" t="s">
        <v>72</v>
      </c>
      <c r="U107" s="43" t="s">
        <v>79</v>
      </c>
      <c r="V107" s="43" t="s">
        <v>167</v>
      </c>
      <c r="W107" s="43" t="s">
        <v>95</v>
      </c>
      <c r="X107" s="43" t="s">
        <v>71</v>
      </c>
      <c r="Y107" s="43" t="s">
        <v>71</v>
      </c>
      <c r="Z107" s="43" t="s">
        <v>71</v>
      </c>
      <c r="AA107" s="43" t="s">
        <v>116</v>
      </c>
      <c r="AB107" s="43" t="s">
        <v>71</v>
      </c>
      <c r="AC107" s="43" t="s">
        <v>71</v>
      </c>
      <c r="AD107" s="43" t="s">
        <v>71</v>
      </c>
      <c r="AE107" s="43" t="s">
        <v>71</v>
      </c>
      <c r="AF107" s="43" t="s">
        <v>76</v>
      </c>
      <c r="AG107" t="str">
        <f>VLOOKUP($Q107,武学奇术!$A:$ZZ,25,FALSE)</f>
        <v>伞</v>
      </c>
      <c r="AH107" s="30">
        <f>VLOOKUP($Q107,武学奇术!$A:$ZZ,26,FALSE)</f>
        <v>0.54</v>
      </c>
      <c r="AI107" s="31">
        <f>VLOOKUP($Q107,武学奇术!$A:$ZZ,27,FALSE)*(1+IF(OR($AG107=$F$4,$AG107=$F$5),$B$22,0))</f>
        <v>0</v>
      </c>
      <c r="AJ107" s="30">
        <f>VLOOKUP($Q107,武学奇术!$A:$ZZ,28,FALSE)</f>
        <v>0.81</v>
      </c>
      <c r="AK107" s="31">
        <f>VLOOKUP($Q107,武学奇术!$A:$ZZ,29,FALSE)*(1+IF(OR($AG107=$F$4,$AG107=$F$5),$B$22,0))</f>
        <v>0</v>
      </c>
      <c r="AL107" s="30" cm="1">
        <f t="array" ref="AL107">$G$3+IFERROR(VLOOKUP($AG107,$F$4:$G$7,2,FALSE),0)+VLOOKUP($Q107,武学奇术!$A:$ZZ,2,FALSE)+SUM(_xlfn.XLOOKUP($R107:$AF107,增益!$A:$A,增益!$B:$B,0))</f>
        <v>1.1741</v>
      </c>
      <c r="AM107" s="30" cm="1">
        <f t="array" ref="AM107">VLOOKUP($Q107,武学奇术!$A:$ZZ,5,FALSE)+SUM(_xlfn.XLOOKUP($R107:$AF107,增益!$A:$A,增益!$E:$E,0))</f>
        <v>0</v>
      </c>
      <c r="AN107" cm="1">
        <f t="array" ref="AN107">$D$10*(1+$AM107)+VLOOKUP($Q107,武学奇术!$A:$ZZ,3,FALSE)+SUM(_xlfn.XLOOKUP($R107:$AF107,增益!$A:$A,增益!$C:$C,0))-$I$2</f>
        <v>3483.8</v>
      </c>
      <c r="AO107" cm="1">
        <f t="array" ref="AO107">$E$10*(1+$AM107)+VLOOKUP($Q107,武学奇术!$A:$ZZ,4,FALSE)+SUM(_xlfn.XLOOKUP($R107:$AF107,增益!$A:$A,增益!$D:$D,0))-$I$2</f>
        <v>3483.8</v>
      </c>
      <c r="AP107" s="35" cm="1">
        <f t="array" ref="AP107">IF($F$10-$I$3+VLOOKUP($Q107,武学奇术!$A:$ZZ,6,FALSE)+SUM(_xlfn.XLOOKUP(R107:AF107,增益!$A:$A,增益!$F:$F,0))&gt;0,($F$10-$I$3+VLOOKUP($Q107,武学奇术!$A:$ZZ,6,FALSE)+SUM(_xlfn.XLOOKUP(R107:AF107,增益!$A:$A,增益!$F:$F,0)))/200,($F$10-$I$3+VLOOKUP($Q107,武学奇术!$A:$ZZ,6,FALSE)+SUM(_xlfn.XLOOKUP(R107:AF107,增益!$A:$A,增益!$F:$F,0)))/100)</f>
        <v>0.2925</v>
      </c>
      <c r="AQ107" s="35" cm="1">
        <f t="array" ref="AQ107">$G$10+VLOOKUP($Q107,武学奇术!$A:$ZZ,7,FALSE)+SUM(_xlfn.XLOOKUP(R107:AF107,增益!$A:$A,增益!$G:$G,0))</f>
        <v>0.148</v>
      </c>
      <c r="AR107" s="30" cm="1">
        <f t="array" ref="AR107">VLOOKUP($Q107,武学奇术!$A:$ZZ,8,FALSE)+SUM(_xlfn.XLOOKUP(R107:AF107,增益!$A:$A,增益!$H:$H,0))</f>
        <v>0</v>
      </c>
      <c r="AS107">
        <f t="shared" si="13"/>
        <v>0</v>
      </c>
      <c r="AT107">
        <f t="shared" si="14"/>
        <v>0</v>
      </c>
      <c r="AU107" s="35" cm="1">
        <f t="array" ref="AU107">IF($F$11-$I$4+VLOOKUP($Q107,武学奇术!$A:$ZZ,9,FALSE)+SUM(_xlfn.XLOOKUP(R107:AF107,增益!$A:$A,增益!$I:$I,0))&gt;0,($F$11-$I$4+VLOOKUP($Q107,武学奇术!$A:$ZZ,9,FALSE)+SUM(_xlfn.XLOOKUP(R107:AF107,增益!$A:$A,增益!$I:$I,0)))/200,($F$11-$I$4+VLOOKUP($Q107,武学奇术!$A:$ZZ,9,FALSE)+SUM(_xlfn.XLOOKUP(R107:AF107,增益!$A:$A,增益!$I:$I,0)))/100)</f>
        <v>-0.3</v>
      </c>
      <c r="AV107" s="35" cm="1">
        <f t="array" ref="AV107">$G$11+VLOOKUP($Q107,武学奇术!$A:$ZZ,10,FALSE)+SUM(_xlfn.XLOOKUP(R107:AF107,增益!$A:$A,增益!$J:$J,0))</f>
        <v>0</v>
      </c>
      <c r="AW107">
        <f t="shared" si="15"/>
        <v>0</v>
      </c>
      <c r="AX107">
        <f t="shared" si="16"/>
        <v>0</v>
      </c>
      <c r="AY107" s="35" cm="1">
        <f t="array" ref="AY107">IF($F$12-$I$4+VLOOKUP($Q107,武学奇术!$A:$ZZ,11,FALSE)+SUM(_xlfn.XLOOKUP(R107:AF107,增益!$A:$A,增益!$K:$K,0))&gt;0,($F$12-$I$4+VLOOKUP($Q107,武学奇术!$A:$ZZ,11,FALSE)+SUM(_xlfn.XLOOKUP(R107:AF107,增益!$A:$A,增益!$K:$K,0)))/200,($F$12-$I$4+VLOOKUP($Q107,武学奇术!$A:$ZZ,11,FALSE)+SUM(_xlfn.XLOOKUP(R107:AF107,增益!$A:$A,增益!$K:$K,0)))/100)</f>
        <v>-0.3</v>
      </c>
      <c r="AZ107" s="35" cm="1">
        <f t="array" ref="AZ107">$G$12+VLOOKUP($Q107,武学奇术!$A:$ZZ,12,FALSE)+SUM(_xlfn.XLOOKUP(R107:AF107,增益!$A:$A,增益!$L:$L,0))</f>
        <v>0</v>
      </c>
      <c r="BA107">
        <f t="shared" si="17"/>
        <v>0</v>
      </c>
      <c r="BB107">
        <f t="shared" si="18"/>
        <v>0</v>
      </c>
      <c r="BC107" s="35" cm="1">
        <f t="array" ref="BC107">IF($F$13-$I$4+VLOOKUP($Q107,武学奇术!$A:$ZZ,13,FALSE)+SUM(_xlfn.XLOOKUP(R107:AF107,增益!$A:$A,增益!$M:$M,0))&gt;0,($F$13-$I$4+VLOOKUP($Q107,武学奇术!$A:$ZZ,13,FALSE)+SUM(_xlfn.XLOOKUP(R107:AF107,增益!$A:$A,增益!$K:$K,0)))/200,($F$13-$I$4+VLOOKUP($Q107,武学奇术!$A:$ZZ,13,FALSE)+SUM(_xlfn.XLOOKUP(R107:AF107,增益!$A:$A,增益!$M:$M,0)))/100)</f>
        <v>-0.3</v>
      </c>
      <c r="BD107" s="35" cm="1">
        <f t="array" ref="BD107">$G$13+VLOOKUP($Q107,武学奇术!$A:$ZZ,14,FALSE)+SUM(_xlfn.XLOOKUP(R107:AF107,增益!$A:$A,增益!$N:$N,0))</f>
        <v>0</v>
      </c>
      <c r="BE107">
        <f t="shared" si="19"/>
        <v>538</v>
      </c>
      <c r="BF107">
        <f t="shared" si="20"/>
        <v>1561.4</v>
      </c>
      <c r="BG107" s="35" cm="1">
        <f t="array" ref="BG107">IF($F$14-$I$4+VLOOKUP($Q107,武学奇术!$A:$ZZ,15,FALSE)+SUM(_xlfn.XLOOKUP(R107:AF107,增益!$A:$A,增益!$O:$O,0))&gt;0,($F$14-$I$4+VLOOKUP($Q107,武学奇术!$A:$ZZ,15,FALSE)+SUM(_xlfn.XLOOKUP(R107:AF107,增益!$A:$A,增益!$O:$O,0)))/200,($F$14-$I$4+VLOOKUP($Q107,武学奇术!$A:$ZZ,15,FALSE)+SUM(_xlfn.XLOOKUP(R107:AF107,增益!$A:$A,增益!$O:$O,0)))/100)</f>
        <v>0</v>
      </c>
      <c r="BH107" s="35" cm="1">
        <f t="array" ref="BH107">$G$14+VLOOKUP($Q107,武学奇术!$A:$ZZ,16,FALSE)+SUM(_xlfn.XLOOKUP(R107:AF107,增益!$A:$A,增益!$P:$P,0))</f>
        <v>0.27</v>
      </c>
      <c r="BI107" s="30">
        <f>MIN(IF(VLOOKUP($Q107,武学奇术!$A:$ZZ,23,FALSE)=1,100%,$B$8),100%)</f>
        <v>1</v>
      </c>
      <c r="BJ107" s="30" cm="1">
        <f t="array" ref="BJ107">IF(VLOOKUP($Q107,武学奇术!$A:$ZZ,23,FALSE)=1,100%,MIN(80%,$B$9+VLOOKUP($Q107,武学奇术!$A:$ZZ,17,FALSE)+SUM(_xlfn.XLOOKUP(R107:AF107,增益!$A:$A,增益!$Q:$Q,0)))+$B$11+SUM(_xlfn.XLOOKUP(R107:AF107,增益!$A:$A,增益!$U:$U,0)))*IF(VLOOKUP($Q107,武学奇术!$A:$ZZ,24,FALSE)=1,0,1)</f>
        <v>1</v>
      </c>
      <c r="BK107" s="30" cm="1">
        <f t="array" ref="BK107">1+$B$13+VLOOKUP($Q107,武学奇术!$A:$ZZ,18,FALSE)+SUM(_xlfn.XLOOKUP(R107:AF107,增益!$A:$A,增益!$R:$R,0))</f>
        <v>1.87</v>
      </c>
      <c r="BL107" s="30" cm="1">
        <f t="array" ref="BL107">IF(VLOOKUP($Q107,武学奇术!$A:$ZZ,24,FALSE)=1,100%,MIN(40%,$B$10+VLOOKUP($Q107,武学奇术!$A:$ZZ,19,FALSE)+SUM(_xlfn.XLOOKUP(R107:AF107,增益!$A:$A,增益!$S:$S,0)))+$B$12+SUM(_xlfn.XLOOKUP(R107:AF107,增益!$A:$A,增益!$V:$V,0)))*IF(VLOOKUP($Q107,武学奇术!$A:$ZZ,23,FALSE)=1,0,1)</f>
        <v>0</v>
      </c>
      <c r="BM107" s="30" cm="1">
        <f t="array" ref="BM107">1+$B$14+VLOOKUP($Q107,武学奇术!$A:$ZZ,20,FALSE)+SUM(_xlfn.XLOOKUP(R107:AF107,增益!$A:$A,增益!$T:$T,0))</f>
        <v>1.35</v>
      </c>
      <c r="BN107" s="30">
        <f t="shared" si="21"/>
        <v>1</v>
      </c>
      <c r="BO107" s="30">
        <f t="shared" si="22"/>
        <v>0</v>
      </c>
      <c r="BP107" s="30">
        <f>IF(VLOOKUP($Q107,武学奇术!$A:$ZZ,22,FALSE)=1,0,(1-$BI107))*(1-$BL107)</f>
        <v>0</v>
      </c>
      <c r="BQ107" s="30" cm="1">
        <f t="array" ref="BQ107">SUM(_xlfn.XLOOKUP(R107:AF107,增益!$A:$A,增益!$W:$W,0))+$I$5</f>
        <v>0.11</v>
      </c>
    </row>
    <row r="108" spans="11:69">
      <c r="K108" s="41">
        <f t="shared" si="24"/>
        <v>199922.801046364</v>
      </c>
      <c r="L108" s="41">
        <f>((($AN108+$AO108)/2*$AH108+$AI108)*(1+$AP108)*(1+$AQ108)+(($AS108+$AT108)/2*IF($G$1="鸣金",$AJ108,$AH108)+IF($G$1="鸣金",$AK108*1.5,0))*(1+$AU108)*(1+$AV108)+(($AW108+$AX108)/2*IF($G$1="裂石",$AJ108,$AH108)+IF($G$1="裂石",$AK108*1.5,0))*(1+$AY108)*(1+$AZ108)+(($BA108+$BB108)/2*IF($G$1="牵丝",$AJ108,$AH108)+IF($G$1="牵丝",$AK108*1.5,0))*(1+$BC108)*(1+$BD108)+(($BE108+$BF108)/2*IF($G$1="破竹",$AJ108,$AH108)+IF($G$1="破竹",$AK108*1.5,0))*(1+$BG108)*(1+$BH108))*(1+$AL108)*$BK108*$P108*(1+IF(VLOOKUP($Q108,武学奇术!$A:$ZZ,30,FALSE)="回旋伞",$B$21,0))*(1+$BQ108)</f>
        <v>209389.218944793</v>
      </c>
      <c r="M108" s="41">
        <f>(($AO108*$AH108+$AI108)*(1+$AP108)*(1+$AQ108)+($AT108*IF($G$1="鸣金",$AJ108,$AH108)+IF($G$1="鸣金",$AK108*1.5,0))*(1+$AU108)*(1+$AV108)+($AX108*IF($G$1="裂石",$AJ108,$AH108)+IF($G$1="裂石",$AK108*1.5,0))*(1+$AY108)*(1+$AZ108)+($BB108*IF($G$1="牵丝",$AJ108,$AH108)+IF($G$1="牵丝",$AK108*1.5,0))*(1+$BC108)*(1+$BD108)+($BF108*IF($G$1="破竹",$AJ108,$AH108)+IF($G$1="破竹",$AK108*1.5,0))*(1+$BG108)*(1+$BH108))*(1+$AL108)*$BM108*$P108*(1+IF(VLOOKUP($Q108,武学奇术!$A:$ZZ,30,FALSE)="回旋伞",$B$21,0))*(1+$BQ108)</f>
        <v>171717.70106698</v>
      </c>
      <c r="N108" s="41">
        <f>((($AN108+$AO108)/2*$AH108+$AI108)*(1+$AP108)*(1+$AQ108)+(($AS108+$AT108)/2*IF($G$1="鸣金",$AJ108,$AH108)+IF($G$1="鸣金",$AK108*1.5,0))*(1+$AU108)*(1+$AV108)+(($AW108+$AX108)/2*IF($G$1="裂石",$AJ108,$AH108)+IF($G$1="裂石",$AK108*1.5,0))*(1+$AY108)*(1+$AZ108)+(($BA108+$BB108)/2*IF($G$1="牵丝",$AJ108,$AH108)+IF($G$1="牵丝",$AK108*1.5,0))*(1+$BC108)*(1+$BD108)+(($BE108+$BF108)/2*IF($G$1="破竹",$AJ108,$AH108)+IF($G$1="破竹",$AK108*1.5,0))*(1+$BG108)*(1+$BH108))*(1+$AL108)*$P108*(1+IF(VLOOKUP($Q108,武学奇术!$A:$ZZ,30,FALSE)="回旋伞",$B$21,0))*(1+$BQ108)</f>
        <v>111972.844355504</v>
      </c>
      <c r="O108" s="41">
        <f>((($AN108*$AH108+$AI108)*(1+$AP108)*(1+$AQ108)+($AS108*IF($G$1="鸣金",$AJ108,$AH108)+IF($G$1="鸣金",$AK108*1.5,0))*(1+$AU108)*(1+$AV108)+($AW108*IF($G$1="裂石",$AJ108,$AH108)+IF($G$1="裂石",$AK108*1.5,0))*(1+$AY108)*(1+$AZ108)+($BA108*IF($G$1="牵丝",$AJ108,$AH108)+IF($G$1="牵丝",$AK108*1.5,0))*(1+$BC108)*(1+$BD108)+($BE108*IF($G$1="破竹",$AJ108,$AH108)+IF($G$1="破竹",$AK108*1.5,0))*(1+$BG108)*(1+$BH108))*(1+$AL108))*$P108*(1+IF(VLOOKUP($Q108,武学奇术!$A:$ZZ,30,FALSE)="回旋伞",$B$21,0))*(1+$BQ108)</f>
        <v>96747.3916243567</v>
      </c>
      <c r="P108" s="42">
        <v>10</v>
      </c>
      <c r="Q108" s="43" t="s">
        <v>120</v>
      </c>
      <c r="R108" s="43" t="s">
        <v>105</v>
      </c>
      <c r="S108" s="43" t="s">
        <v>91</v>
      </c>
      <c r="T108" s="43" t="s">
        <v>72</v>
      </c>
      <c r="U108" s="43" t="s">
        <v>79</v>
      </c>
      <c r="V108" s="43" t="s">
        <v>167</v>
      </c>
      <c r="W108" s="43" t="s">
        <v>95</v>
      </c>
      <c r="X108" s="43" t="s">
        <v>71</v>
      </c>
      <c r="Y108" s="43" t="s">
        <v>71</v>
      </c>
      <c r="Z108" s="43" t="s">
        <v>71</v>
      </c>
      <c r="AA108" s="43" t="s">
        <v>116</v>
      </c>
      <c r="AB108" s="43" t="s">
        <v>71</v>
      </c>
      <c r="AC108" s="43" t="s">
        <v>71</v>
      </c>
      <c r="AD108" s="43" t="s">
        <v>71</v>
      </c>
      <c r="AE108" s="43" t="s">
        <v>71</v>
      </c>
      <c r="AF108" s="43" t="s">
        <v>76</v>
      </c>
      <c r="AG108" t="str">
        <f>VLOOKUP($Q108,武学奇术!$A:$ZZ,25,FALSE)</f>
        <v>伞</v>
      </c>
      <c r="AH108" s="30">
        <f>VLOOKUP($Q108,武学奇术!$A:$ZZ,26,FALSE)</f>
        <v>0.54</v>
      </c>
      <c r="AI108" s="31">
        <f>VLOOKUP($Q108,武学奇术!$A:$ZZ,27,FALSE)*(1+IF(OR($AG108=$F$4,$AG108=$F$5),$B$22,0))</f>
        <v>0</v>
      </c>
      <c r="AJ108" s="30">
        <f>VLOOKUP($Q108,武学奇术!$A:$ZZ,28,FALSE)</f>
        <v>0.81</v>
      </c>
      <c r="AK108" s="31">
        <f>VLOOKUP($Q108,武学奇术!$A:$ZZ,29,FALSE)*(1+IF(OR($AG108=$F$4,$AG108=$F$5),$B$22,0))</f>
        <v>0</v>
      </c>
      <c r="AL108" s="30" cm="1">
        <f t="array" ref="AL108">$G$3+IFERROR(VLOOKUP($AG108,$F$4:$G$7,2,FALSE),0)+VLOOKUP($Q108,武学奇术!$A:$ZZ,2,FALSE)+SUM(_xlfn.XLOOKUP($R108:$AF108,增益!$A:$A,增益!$B:$B,0))</f>
        <v>0.9741</v>
      </c>
      <c r="AM108" s="30" cm="1">
        <f t="array" ref="AM108">VLOOKUP($Q108,武学奇术!$A:$ZZ,5,FALSE)+SUM(_xlfn.XLOOKUP($R108:$AF108,增益!$A:$A,增益!$E:$E,0))</f>
        <v>0</v>
      </c>
      <c r="AN108" cm="1">
        <f t="array" ref="AN108">$D$10*(1+$AM108)+VLOOKUP($Q108,武学奇术!$A:$ZZ,3,FALSE)+SUM(_xlfn.XLOOKUP($R108:$AF108,增益!$A:$A,增益!$C:$C,0))-$I$2</f>
        <v>3483.8</v>
      </c>
      <c r="AO108" cm="1">
        <f t="array" ref="AO108">$E$10*(1+$AM108)+VLOOKUP($Q108,武学奇术!$A:$ZZ,4,FALSE)+SUM(_xlfn.XLOOKUP($R108:$AF108,增益!$A:$A,增益!$D:$D,0))-$I$2</f>
        <v>3483.8</v>
      </c>
      <c r="AP108" s="35" cm="1">
        <f t="array" ref="AP108">IF($F$10-$I$3+VLOOKUP($Q108,武学奇术!$A:$ZZ,6,FALSE)+SUM(_xlfn.XLOOKUP(R108:AF108,增益!$A:$A,增益!$F:$F,0))&gt;0,($F$10-$I$3+VLOOKUP($Q108,武学奇术!$A:$ZZ,6,FALSE)+SUM(_xlfn.XLOOKUP(R108:AF108,增益!$A:$A,增益!$F:$F,0)))/200,($F$10-$I$3+VLOOKUP($Q108,武学奇术!$A:$ZZ,6,FALSE)+SUM(_xlfn.XLOOKUP(R108:AF108,增益!$A:$A,增益!$F:$F,0)))/100)</f>
        <v>0.2925</v>
      </c>
      <c r="AQ108" s="35" cm="1">
        <f t="array" ref="AQ108">$G$10+VLOOKUP($Q108,武学奇术!$A:$ZZ,7,FALSE)+SUM(_xlfn.XLOOKUP(R108:AF108,增益!$A:$A,增益!$G:$G,0))</f>
        <v>0.148</v>
      </c>
      <c r="AR108" s="30" cm="1">
        <f t="array" ref="AR108">VLOOKUP($Q108,武学奇术!$A:$ZZ,8,FALSE)+SUM(_xlfn.XLOOKUP(R108:AF108,增益!$A:$A,增益!$H:$H,0))</f>
        <v>0</v>
      </c>
      <c r="AS108">
        <f t="shared" si="13"/>
        <v>0</v>
      </c>
      <c r="AT108">
        <f t="shared" si="14"/>
        <v>0</v>
      </c>
      <c r="AU108" s="35" cm="1">
        <f t="array" ref="AU108">IF($F$11-$I$4+VLOOKUP($Q108,武学奇术!$A:$ZZ,9,FALSE)+SUM(_xlfn.XLOOKUP(R108:AF108,增益!$A:$A,增益!$I:$I,0))&gt;0,($F$11-$I$4+VLOOKUP($Q108,武学奇术!$A:$ZZ,9,FALSE)+SUM(_xlfn.XLOOKUP(R108:AF108,增益!$A:$A,增益!$I:$I,0)))/200,($F$11-$I$4+VLOOKUP($Q108,武学奇术!$A:$ZZ,9,FALSE)+SUM(_xlfn.XLOOKUP(R108:AF108,增益!$A:$A,增益!$I:$I,0)))/100)</f>
        <v>-0.3</v>
      </c>
      <c r="AV108" s="35" cm="1">
        <f t="array" ref="AV108">$G$11+VLOOKUP($Q108,武学奇术!$A:$ZZ,10,FALSE)+SUM(_xlfn.XLOOKUP(R108:AF108,增益!$A:$A,增益!$J:$J,0))</f>
        <v>0</v>
      </c>
      <c r="AW108">
        <f t="shared" si="15"/>
        <v>0</v>
      </c>
      <c r="AX108">
        <f t="shared" si="16"/>
        <v>0</v>
      </c>
      <c r="AY108" s="35" cm="1">
        <f t="array" ref="AY108">IF($F$12-$I$4+VLOOKUP($Q108,武学奇术!$A:$ZZ,11,FALSE)+SUM(_xlfn.XLOOKUP(R108:AF108,增益!$A:$A,增益!$K:$K,0))&gt;0,($F$12-$I$4+VLOOKUP($Q108,武学奇术!$A:$ZZ,11,FALSE)+SUM(_xlfn.XLOOKUP(R108:AF108,增益!$A:$A,增益!$K:$K,0)))/200,($F$12-$I$4+VLOOKUP($Q108,武学奇术!$A:$ZZ,11,FALSE)+SUM(_xlfn.XLOOKUP(R108:AF108,增益!$A:$A,增益!$K:$K,0)))/100)</f>
        <v>-0.3</v>
      </c>
      <c r="AZ108" s="35" cm="1">
        <f t="array" ref="AZ108">$G$12+VLOOKUP($Q108,武学奇术!$A:$ZZ,12,FALSE)+SUM(_xlfn.XLOOKUP(R108:AF108,增益!$A:$A,增益!$L:$L,0))</f>
        <v>0</v>
      </c>
      <c r="BA108">
        <f t="shared" si="17"/>
        <v>0</v>
      </c>
      <c r="BB108">
        <f t="shared" si="18"/>
        <v>0</v>
      </c>
      <c r="BC108" s="35" cm="1">
        <f t="array" ref="BC108">IF($F$13-$I$4+VLOOKUP($Q108,武学奇术!$A:$ZZ,13,FALSE)+SUM(_xlfn.XLOOKUP(R108:AF108,增益!$A:$A,增益!$M:$M,0))&gt;0,($F$13-$I$4+VLOOKUP($Q108,武学奇术!$A:$ZZ,13,FALSE)+SUM(_xlfn.XLOOKUP(R108:AF108,增益!$A:$A,增益!$K:$K,0)))/200,($F$13-$I$4+VLOOKUP($Q108,武学奇术!$A:$ZZ,13,FALSE)+SUM(_xlfn.XLOOKUP(R108:AF108,增益!$A:$A,增益!$M:$M,0)))/100)</f>
        <v>-0.3</v>
      </c>
      <c r="BD108" s="35" cm="1">
        <f t="array" ref="BD108">$G$13+VLOOKUP($Q108,武学奇术!$A:$ZZ,14,FALSE)+SUM(_xlfn.XLOOKUP(R108:AF108,增益!$A:$A,增益!$N:$N,0))</f>
        <v>0</v>
      </c>
      <c r="BE108">
        <f t="shared" si="19"/>
        <v>538</v>
      </c>
      <c r="BF108">
        <f t="shared" si="20"/>
        <v>1561.4</v>
      </c>
      <c r="BG108" s="35" cm="1">
        <f t="array" ref="BG108">IF($F$14-$I$4+VLOOKUP($Q108,武学奇术!$A:$ZZ,15,FALSE)+SUM(_xlfn.XLOOKUP(R108:AF108,增益!$A:$A,增益!$O:$O,0))&gt;0,($F$14-$I$4+VLOOKUP($Q108,武学奇术!$A:$ZZ,15,FALSE)+SUM(_xlfn.XLOOKUP(R108:AF108,增益!$A:$A,增益!$O:$O,0)))/200,($F$14-$I$4+VLOOKUP($Q108,武学奇术!$A:$ZZ,15,FALSE)+SUM(_xlfn.XLOOKUP(R108:AF108,增益!$A:$A,增益!$O:$O,0)))/100)</f>
        <v>0</v>
      </c>
      <c r="BH108" s="35" cm="1">
        <f t="array" ref="BH108">$G$14+VLOOKUP($Q108,武学奇术!$A:$ZZ,16,FALSE)+SUM(_xlfn.XLOOKUP(R108:AF108,增益!$A:$A,增益!$P:$P,0))</f>
        <v>0.27</v>
      </c>
      <c r="BI108" s="30">
        <f>MIN(IF(VLOOKUP($Q108,武学奇术!$A:$ZZ,23,FALSE)=1,100%,$B$8),100%)</f>
        <v>0.9712</v>
      </c>
      <c r="BJ108" s="30" cm="1">
        <f t="array" ref="BJ108">IF(VLOOKUP($Q108,武学奇术!$A:$ZZ,23,FALSE)=1,100%,MIN(80%,$B$9+VLOOKUP($Q108,武学奇术!$A:$ZZ,17,FALSE)+SUM(_xlfn.XLOOKUP(R108:AF108,增益!$A:$A,增益!$Q:$Q,0)))+$B$11+SUM(_xlfn.XLOOKUP(R108:AF108,增益!$A:$A,增益!$U:$U,0)))*IF(VLOOKUP($Q108,武学奇术!$A:$ZZ,24,FALSE)=1,0,1)</f>
        <v>0.8773</v>
      </c>
      <c r="BK108" s="30" cm="1">
        <f t="array" ref="BK108">1+$B$13+VLOOKUP($Q108,武学奇术!$A:$ZZ,18,FALSE)+SUM(_xlfn.XLOOKUP(R108:AF108,增益!$A:$A,增益!$R:$R,0))</f>
        <v>1.87</v>
      </c>
      <c r="BL108" s="30" cm="1">
        <f t="array" ref="BL108">IF(VLOOKUP($Q108,武学奇术!$A:$ZZ,24,FALSE)=1,100%,MIN(40%,$B$10+VLOOKUP($Q108,武学奇术!$A:$ZZ,19,FALSE)+SUM(_xlfn.XLOOKUP(R108:AF108,增益!$A:$A,增益!$S:$S,0)))+$B$12+SUM(_xlfn.XLOOKUP(R108:AF108,增益!$A:$A,增益!$V:$V,0)))*IF(VLOOKUP($Q108,武学奇术!$A:$ZZ,23,FALSE)=1,0,1)</f>
        <v>0.0895</v>
      </c>
      <c r="BM108" s="30" cm="1">
        <f t="array" ref="BM108">1+$B$14+VLOOKUP($Q108,武学奇术!$A:$ZZ,20,FALSE)+SUM(_xlfn.XLOOKUP(R108:AF108,增益!$A:$A,增益!$T:$T,0))</f>
        <v>1.35</v>
      </c>
      <c r="BN108" s="30">
        <f t="shared" si="21"/>
        <v>0.85203376</v>
      </c>
      <c r="BO108" s="30">
        <f t="shared" si="22"/>
        <v>0.03224384</v>
      </c>
      <c r="BP108" s="30">
        <f>IF(VLOOKUP($Q108,武学奇术!$A:$ZZ,22,FALSE)=1,0,(1-$BI108))*(1-$BL108)</f>
        <v>0.0262224</v>
      </c>
      <c r="BQ108" s="30" cm="1">
        <f t="array" ref="BQ108">SUM(_xlfn.XLOOKUP(R108:AF108,增益!$A:$A,增益!$W:$W,0))+$I$5</f>
        <v>0.11</v>
      </c>
    </row>
    <row r="109" spans="11:69">
      <c r="K109" s="41">
        <f t="shared" si="24"/>
        <v>20938.9218944793</v>
      </c>
      <c r="L109" s="41">
        <f>((($AN109+$AO109)/2*$AH109+$AI109)*(1+$AP109)*(1+$AQ109)+(($AS109+$AT109)/2*IF($G$1="鸣金",$AJ109,$AH109)+IF($G$1="鸣金",$AK109*1.5,0))*(1+$AU109)*(1+$AV109)+(($AW109+$AX109)/2*IF($G$1="裂石",$AJ109,$AH109)+IF($G$1="裂石",$AK109*1.5,0))*(1+$AY109)*(1+$AZ109)+(($BA109+$BB109)/2*IF($G$1="牵丝",$AJ109,$AH109)+IF($G$1="牵丝",$AK109*1.5,0))*(1+$BC109)*(1+$BD109)+(($BE109+$BF109)/2*IF($G$1="破竹",$AJ109,$AH109)+IF($G$1="破竹",$AK109*1.5,0))*(1+$BG109)*(1+$BH109))*(1+$AL109)*$BK109*$P109*(1+IF(VLOOKUP($Q109,武学奇术!$A:$ZZ,30,FALSE)="回旋伞",$B$21,0))*(1+$BQ109)</f>
        <v>20938.9218944793</v>
      </c>
      <c r="M109" s="41">
        <f>(($AO109*$AH109+$AI109)*(1+$AP109)*(1+$AQ109)+($AT109*IF($G$1="鸣金",$AJ109,$AH109)+IF($G$1="鸣金",$AK109*1.5,0))*(1+$AU109)*(1+$AV109)+($AX109*IF($G$1="裂石",$AJ109,$AH109)+IF($G$1="裂石",$AK109*1.5,0))*(1+$AY109)*(1+$AZ109)+($BB109*IF($G$1="牵丝",$AJ109,$AH109)+IF($G$1="牵丝",$AK109*1.5,0))*(1+$BC109)*(1+$BD109)+($BF109*IF($G$1="破竹",$AJ109,$AH109)+IF($G$1="破竹",$AK109*1.5,0))*(1+$BG109)*(1+$BH109))*(1+$AL109)*$BM109*$P109*(1+IF(VLOOKUP($Q109,武学奇术!$A:$ZZ,30,FALSE)="回旋伞",$B$21,0))*(1+$BQ109)</f>
        <v>17171.770106698</v>
      </c>
      <c r="N109" s="41">
        <f>((($AN109+$AO109)/2*$AH109+$AI109)*(1+$AP109)*(1+$AQ109)+(($AS109+$AT109)/2*IF($G$1="鸣金",$AJ109,$AH109)+IF($G$1="鸣金",$AK109*1.5,0))*(1+$AU109)*(1+$AV109)+(($AW109+$AX109)/2*IF($G$1="裂石",$AJ109,$AH109)+IF($G$1="裂石",$AK109*1.5,0))*(1+$AY109)*(1+$AZ109)+(($BA109+$BB109)/2*IF($G$1="牵丝",$AJ109,$AH109)+IF($G$1="牵丝",$AK109*1.5,0))*(1+$BC109)*(1+$BD109)+(($BE109+$BF109)/2*IF($G$1="破竹",$AJ109,$AH109)+IF($G$1="破竹",$AK109*1.5,0))*(1+$BG109)*(1+$BH109))*(1+$AL109)*$P109*(1+IF(VLOOKUP($Q109,武学奇术!$A:$ZZ,30,FALSE)="回旋伞",$B$21,0))*(1+$BQ109)</f>
        <v>11197.2844355504</v>
      </c>
      <c r="O109" s="41">
        <f>((($AN109*$AH109+$AI109)*(1+$AP109)*(1+$AQ109)+($AS109*IF($G$1="鸣金",$AJ109,$AH109)+IF($G$1="鸣金",$AK109*1.5,0))*(1+$AU109)*(1+$AV109)+($AW109*IF($G$1="裂石",$AJ109,$AH109)+IF($G$1="裂石",$AK109*1.5,0))*(1+$AY109)*(1+$AZ109)+($BA109*IF($G$1="牵丝",$AJ109,$AH109)+IF($G$1="牵丝",$AK109*1.5,0))*(1+$BC109)*(1+$BD109)+($BE109*IF($G$1="破竹",$AJ109,$AH109)+IF($G$1="破竹",$AK109*1.5,0))*(1+$BG109)*(1+$BH109))*(1+$AL109))*$P109*(1+IF(VLOOKUP($Q109,武学奇术!$A:$ZZ,30,FALSE)="回旋伞",$B$21,0))*(1+$BQ109)</f>
        <v>9674.73916243567</v>
      </c>
      <c r="P109" s="42">
        <v>1</v>
      </c>
      <c r="Q109" s="43" t="s">
        <v>130</v>
      </c>
      <c r="R109" s="43" t="s">
        <v>105</v>
      </c>
      <c r="S109" s="43" t="s">
        <v>91</v>
      </c>
      <c r="T109" s="43" t="s">
        <v>72</v>
      </c>
      <c r="U109" s="43" t="s">
        <v>71</v>
      </c>
      <c r="V109" s="43" t="s">
        <v>167</v>
      </c>
      <c r="W109" s="43" t="s">
        <v>95</v>
      </c>
      <c r="X109" s="43" t="s">
        <v>71</v>
      </c>
      <c r="Y109" s="43" t="s">
        <v>71</v>
      </c>
      <c r="Z109" s="43" t="s">
        <v>71</v>
      </c>
      <c r="AA109" s="43" t="s">
        <v>116</v>
      </c>
      <c r="AB109" s="43" t="s">
        <v>71</v>
      </c>
      <c r="AC109" s="43" t="s">
        <v>71</v>
      </c>
      <c r="AD109" s="43" t="s">
        <v>71</v>
      </c>
      <c r="AE109" s="43" t="s">
        <v>71</v>
      </c>
      <c r="AF109" s="43" t="s">
        <v>76</v>
      </c>
      <c r="AG109" t="str">
        <f>VLOOKUP($Q109,武学奇术!$A:$ZZ,25,FALSE)</f>
        <v>伞</v>
      </c>
      <c r="AH109" s="30">
        <f>VLOOKUP($Q109,武学奇术!$A:$ZZ,26,FALSE)</f>
        <v>0.54</v>
      </c>
      <c r="AI109" s="31">
        <f>VLOOKUP($Q109,武学奇术!$A:$ZZ,27,FALSE)*(1+IF(OR($AG109=$F$4,$AG109=$F$5),$B$22,0))</f>
        <v>0</v>
      </c>
      <c r="AJ109" s="30">
        <f>VLOOKUP($Q109,武学奇术!$A:$ZZ,28,FALSE)</f>
        <v>0.81</v>
      </c>
      <c r="AK109" s="31">
        <f>VLOOKUP($Q109,武学奇术!$A:$ZZ,29,FALSE)*(1+IF(OR($AG109=$F$4,$AG109=$F$5),$B$22,0))</f>
        <v>0</v>
      </c>
      <c r="AL109" s="30" cm="1">
        <f t="array" ref="AL109">$G$3+IFERROR(VLOOKUP($AG109,$F$4:$G$7,2,FALSE),0)+VLOOKUP($Q109,武学奇术!$A:$ZZ,2,FALSE)+SUM(_xlfn.XLOOKUP($R109:$AF109,增益!$A:$A,增益!$B:$B,0))</f>
        <v>0.9741</v>
      </c>
      <c r="AM109" s="30" cm="1">
        <f t="array" ref="AM109">VLOOKUP($Q109,武学奇术!$A:$ZZ,5,FALSE)+SUM(_xlfn.XLOOKUP($R109:$AF109,增益!$A:$A,增益!$E:$E,0))</f>
        <v>0</v>
      </c>
      <c r="AN109" cm="1">
        <f t="array" ref="AN109">$D$10*(1+$AM109)+VLOOKUP($Q109,武学奇术!$A:$ZZ,3,FALSE)+SUM(_xlfn.XLOOKUP($R109:$AF109,增益!$A:$A,增益!$C:$C,0))-$I$2</f>
        <v>3483.8</v>
      </c>
      <c r="AO109" cm="1">
        <f t="array" ref="AO109">$E$10*(1+$AM109)+VLOOKUP($Q109,武学奇术!$A:$ZZ,4,FALSE)+SUM(_xlfn.XLOOKUP($R109:$AF109,增益!$A:$A,增益!$D:$D,0))-$I$2</f>
        <v>3483.8</v>
      </c>
      <c r="AP109" s="35" cm="1">
        <f t="array" ref="AP109">IF($F$10-$I$3+VLOOKUP($Q109,武学奇术!$A:$ZZ,6,FALSE)+SUM(_xlfn.XLOOKUP(R109:AF109,增益!$A:$A,增益!$F:$F,0))&gt;0,($F$10-$I$3+VLOOKUP($Q109,武学奇术!$A:$ZZ,6,FALSE)+SUM(_xlfn.XLOOKUP(R109:AF109,增益!$A:$A,增益!$F:$F,0)))/200,($F$10-$I$3+VLOOKUP($Q109,武学奇术!$A:$ZZ,6,FALSE)+SUM(_xlfn.XLOOKUP(R109:AF109,增益!$A:$A,增益!$F:$F,0)))/100)</f>
        <v>0.2925</v>
      </c>
      <c r="AQ109" s="35" cm="1">
        <f t="array" ref="AQ109">$G$10+VLOOKUP($Q109,武学奇术!$A:$ZZ,7,FALSE)+SUM(_xlfn.XLOOKUP(R109:AF109,增益!$A:$A,增益!$G:$G,0))</f>
        <v>0.148</v>
      </c>
      <c r="AR109" s="30" cm="1">
        <f t="array" ref="AR109">VLOOKUP($Q109,武学奇术!$A:$ZZ,8,FALSE)+SUM(_xlfn.XLOOKUP(R109:AF109,增益!$A:$A,增益!$H:$H,0))</f>
        <v>0</v>
      </c>
      <c r="AS109">
        <f t="shared" si="13"/>
        <v>0</v>
      </c>
      <c r="AT109">
        <f t="shared" si="14"/>
        <v>0</v>
      </c>
      <c r="AU109" s="35" cm="1">
        <f t="array" ref="AU109">IF($F$11-$I$4+VLOOKUP($Q109,武学奇术!$A:$ZZ,9,FALSE)+SUM(_xlfn.XLOOKUP(R109:AF109,增益!$A:$A,增益!$I:$I,0))&gt;0,($F$11-$I$4+VLOOKUP($Q109,武学奇术!$A:$ZZ,9,FALSE)+SUM(_xlfn.XLOOKUP(R109:AF109,增益!$A:$A,增益!$I:$I,0)))/200,($F$11-$I$4+VLOOKUP($Q109,武学奇术!$A:$ZZ,9,FALSE)+SUM(_xlfn.XLOOKUP(R109:AF109,增益!$A:$A,增益!$I:$I,0)))/100)</f>
        <v>-0.3</v>
      </c>
      <c r="AV109" s="35" cm="1">
        <f t="array" ref="AV109">$G$11+VLOOKUP($Q109,武学奇术!$A:$ZZ,10,FALSE)+SUM(_xlfn.XLOOKUP(R109:AF109,增益!$A:$A,增益!$J:$J,0))</f>
        <v>0</v>
      </c>
      <c r="AW109">
        <f t="shared" si="15"/>
        <v>0</v>
      </c>
      <c r="AX109">
        <f t="shared" si="16"/>
        <v>0</v>
      </c>
      <c r="AY109" s="35" cm="1">
        <f t="array" ref="AY109">IF($F$12-$I$4+VLOOKUP($Q109,武学奇术!$A:$ZZ,11,FALSE)+SUM(_xlfn.XLOOKUP(R109:AF109,增益!$A:$A,增益!$K:$K,0))&gt;0,($F$12-$I$4+VLOOKUP($Q109,武学奇术!$A:$ZZ,11,FALSE)+SUM(_xlfn.XLOOKUP(R109:AF109,增益!$A:$A,增益!$K:$K,0)))/200,($F$12-$I$4+VLOOKUP($Q109,武学奇术!$A:$ZZ,11,FALSE)+SUM(_xlfn.XLOOKUP(R109:AF109,增益!$A:$A,增益!$K:$K,0)))/100)</f>
        <v>-0.3</v>
      </c>
      <c r="AZ109" s="35" cm="1">
        <f t="array" ref="AZ109">$G$12+VLOOKUP($Q109,武学奇术!$A:$ZZ,12,FALSE)+SUM(_xlfn.XLOOKUP(R109:AF109,增益!$A:$A,增益!$L:$L,0))</f>
        <v>0</v>
      </c>
      <c r="BA109">
        <f t="shared" si="17"/>
        <v>0</v>
      </c>
      <c r="BB109">
        <f t="shared" si="18"/>
        <v>0</v>
      </c>
      <c r="BC109" s="35" cm="1">
        <f t="array" ref="BC109">IF($F$13-$I$4+VLOOKUP($Q109,武学奇术!$A:$ZZ,13,FALSE)+SUM(_xlfn.XLOOKUP(R109:AF109,增益!$A:$A,增益!$M:$M,0))&gt;0,($F$13-$I$4+VLOOKUP($Q109,武学奇术!$A:$ZZ,13,FALSE)+SUM(_xlfn.XLOOKUP(R109:AF109,增益!$A:$A,增益!$K:$K,0)))/200,($F$13-$I$4+VLOOKUP($Q109,武学奇术!$A:$ZZ,13,FALSE)+SUM(_xlfn.XLOOKUP(R109:AF109,增益!$A:$A,增益!$M:$M,0)))/100)</f>
        <v>-0.3</v>
      </c>
      <c r="BD109" s="35" cm="1">
        <f t="array" ref="BD109">$G$13+VLOOKUP($Q109,武学奇术!$A:$ZZ,14,FALSE)+SUM(_xlfn.XLOOKUP(R109:AF109,增益!$A:$A,增益!$N:$N,0))</f>
        <v>0</v>
      </c>
      <c r="BE109">
        <f t="shared" si="19"/>
        <v>538</v>
      </c>
      <c r="BF109">
        <f t="shared" si="20"/>
        <v>1561.4</v>
      </c>
      <c r="BG109" s="35" cm="1">
        <f t="array" ref="BG109">IF($F$14-$I$4+VLOOKUP($Q109,武学奇术!$A:$ZZ,15,FALSE)+SUM(_xlfn.XLOOKUP(R109:AF109,增益!$A:$A,增益!$O:$O,0))&gt;0,($F$14-$I$4+VLOOKUP($Q109,武学奇术!$A:$ZZ,15,FALSE)+SUM(_xlfn.XLOOKUP(R109:AF109,增益!$A:$A,增益!$O:$O,0)))/200,($F$14-$I$4+VLOOKUP($Q109,武学奇术!$A:$ZZ,15,FALSE)+SUM(_xlfn.XLOOKUP(R109:AF109,增益!$A:$A,增益!$O:$O,0)))/100)</f>
        <v>0</v>
      </c>
      <c r="BH109" s="35" cm="1">
        <f t="array" ref="BH109">$G$14+VLOOKUP($Q109,武学奇术!$A:$ZZ,16,FALSE)+SUM(_xlfn.XLOOKUP(R109:AF109,增益!$A:$A,增益!$P:$P,0))</f>
        <v>0.27</v>
      </c>
      <c r="BI109" s="30">
        <f>MIN(IF(VLOOKUP($Q109,武学奇术!$A:$ZZ,23,FALSE)=1,100%,$B$8),100%)</f>
        <v>1</v>
      </c>
      <c r="BJ109" s="30" cm="1">
        <f t="array" ref="BJ109">IF(VLOOKUP($Q109,武学奇术!$A:$ZZ,23,FALSE)=1,100%,MIN(80%,$B$9+VLOOKUP($Q109,武学奇术!$A:$ZZ,17,FALSE)+SUM(_xlfn.XLOOKUP(R109:AF109,增益!$A:$A,增益!$Q:$Q,0)))+$B$11+SUM(_xlfn.XLOOKUP(R109:AF109,增益!$A:$A,增益!$U:$U,0)))*IF(VLOOKUP($Q109,武学奇术!$A:$ZZ,24,FALSE)=1,0,1)</f>
        <v>1</v>
      </c>
      <c r="BK109" s="30" cm="1">
        <f t="array" ref="BK109">1+$B$13+VLOOKUP($Q109,武学奇术!$A:$ZZ,18,FALSE)+SUM(_xlfn.XLOOKUP(R109:AF109,增益!$A:$A,增益!$R:$R,0))</f>
        <v>1.87</v>
      </c>
      <c r="BL109" s="30" cm="1">
        <f t="array" ref="BL109">IF(VLOOKUP($Q109,武学奇术!$A:$ZZ,24,FALSE)=1,100%,MIN(40%,$B$10+VLOOKUP($Q109,武学奇术!$A:$ZZ,19,FALSE)+SUM(_xlfn.XLOOKUP(R109:AF109,增益!$A:$A,增益!$S:$S,0)))+$B$12+SUM(_xlfn.XLOOKUP(R109:AF109,增益!$A:$A,增益!$V:$V,0)))*IF(VLOOKUP($Q109,武学奇术!$A:$ZZ,23,FALSE)=1,0,1)</f>
        <v>0</v>
      </c>
      <c r="BM109" s="30" cm="1">
        <f t="array" ref="BM109">1+$B$14+VLOOKUP($Q109,武学奇术!$A:$ZZ,20,FALSE)+SUM(_xlfn.XLOOKUP(R109:AF109,增益!$A:$A,增益!$T:$T,0))</f>
        <v>1.35</v>
      </c>
      <c r="BN109" s="30">
        <f t="shared" si="21"/>
        <v>1</v>
      </c>
      <c r="BO109" s="30">
        <f t="shared" si="22"/>
        <v>0</v>
      </c>
      <c r="BP109" s="30">
        <f>IF(VLOOKUP($Q109,武学奇术!$A:$ZZ,22,FALSE)=1,0,(1-$BI109))*(1-$BL109)</f>
        <v>0</v>
      </c>
      <c r="BQ109" s="30" cm="1">
        <f t="array" ref="BQ109">SUM(_xlfn.XLOOKUP(R109:AF109,增益!$A:$A,增益!$W:$W,0))+$I$5</f>
        <v>0.11</v>
      </c>
    </row>
    <row r="110" spans="11:69">
      <c r="K110" s="41">
        <f t="shared" si="24"/>
        <v>71867.2896684777</v>
      </c>
      <c r="L110" s="41">
        <f>((($AN110+$AO110)/2*$AH110+$AI110)*(1+$AP110)*(1+$AQ110)+(($AS110+$AT110)/2*IF($G$1="鸣金",$AJ110,$AH110)+IF($G$1="鸣金",$AK110*1.5,0))*(1+$AU110)*(1+$AV110)+(($AW110+$AX110)/2*IF($G$1="裂石",$AJ110,$AH110)+IF($G$1="裂石",$AK110*1.5,0))*(1+$AY110)*(1+$AZ110)+(($BA110+$BB110)/2*IF($G$1="牵丝",$AJ110,$AH110)+IF($G$1="牵丝",$AK110*1.5,0))*(1+$BC110)*(1+$BD110)+(($BE110+$BF110)/2*IF($G$1="破竹",$AJ110,$AH110)+IF($G$1="破竹",$AK110*1.5,0))*(1+$BG110)*(1+$BH110))*(1+$AL110)*$BK110*$P110*(1+IF(VLOOKUP($Q110,武学奇术!$A:$ZZ,30,FALSE)="回旋伞",$B$21,0))*(1+$BQ110)</f>
        <v>75270.2321726269</v>
      </c>
      <c r="M110" s="41">
        <f>(($AO110*$AH110+$AI110)*(1+$AP110)*(1+$AQ110)+($AT110*IF($G$1="鸣金",$AJ110,$AH110)+IF($G$1="鸣金",$AK110*1.5,0))*(1+$AU110)*(1+$AV110)+($AX110*IF($G$1="裂石",$AJ110,$AH110)+IF($G$1="裂石",$AK110*1.5,0))*(1+$AY110)*(1+$AZ110)+($BB110*IF($G$1="牵丝",$AJ110,$AH110)+IF($G$1="牵丝",$AK110*1.5,0))*(1+$BC110)*(1+$BD110)+($BF110*IF($G$1="破竹",$AJ110,$AH110)+IF($G$1="破竹",$AK110*1.5,0))*(1+$BG110)*(1+$BH110))*(1+$AL110)*$BM110*$P110*(1+IF(VLOOKUP($Q110,武学奇术!$A:$ZZ,30,FALSE)="回旋伞",$B$21,0))*(1+$BQ110)</f>
        <v>61728.2556026399</v>
      </c>
      <c r="N110" s="41">
        <f>((($AN110+$AO110)/2*$AH110+$AI110)*(1+$AP110)*(1+$AQ110)+(($AS110+$AT110)/2*IF($G$1="鸣金",$AJ110,$AH110)+IF($G$1="鸣金",$AK110*1.5,0))*(1+$AU110)*(1+$AV110)+(($AW110+$AX110)/2*IF($G$1="裂石",$AJ110,$AH110)+IF($G$1="裂石",$AK110*1.5,0))*(1+$AY110)*(1+$AZ110)+(($BA110+$BB110)/2*IF($G$1="牵丝",$AJ110,$AH110)+IF($G$1="牵丝",$AK110*1.5,0))*(1+$BC110)*(1+$BD110)+(($BE110+$BF110)/2*IF($G$1="破竹",$AJ110,$AH110)+IF($G$1="破竹",$AK110*1.5,0))*(1+$BG110)*(1+$BH110))*(1+$AL110)*$P110*(1+IF(VLOOKUP($Q110,武学奇术!$A:$ZZ,30,FALSE)="回旋伞",$B$21,0))*(1+$BQ110)</f>
        <v>40251.4610548807</v>
      </c>
      <c r="O110" s="41">
        <f>((($AN110*$AH110+$AI110)*(1+$AP110)*(1+$AQ110)+($AS110*IF($G$1="鸣金",$AJ110,$AH110)+IF($G$1="鸣金",$AK110*1.5,0))*(1+$AU110)*(1+$AV110)+($AW110*IF($G$1="裂石",$AJ110,$AH110)+IF($G$1="裂石",$AK110*1.5,0))*(1+$AY110)*(1+$AZ110)+($BA110*IF($G$1="牵丝",$AJ110,$AH110)+IF($G$1="牵丝",$AK110*1.5,0))*(1+$BC110)*(1+$BD110)+($BE110*IF($G$1="破竹",$AJ110,$AH110)+IF($G$1="破竹",$AK110*1.5,0))*(1+$BG110)*(1+$BH110))*(1+$AL110))*$P110*(1+IF(VLOOKUP($Q110,武学奇术!$A:$ZZ,30,FALSE)="回旋伞",$B$21,0))*(1+$BQ110)</f>
        <v>34778.2883300281</v>
      </c>
      <c r="P110" s="42">
        <v>4</v>
      </c>
      <c r="Q110" s="43" t="s">
        <v>120</v>
      </c>
      <c r="R110" s="43" t="s">
        <v>105</v>
      </c>
      <c r="S110" s="43" t="s">
        <v>91</v>
      </c>
      <c r="T110" s="43" t="s">
        <v>72</v>
      </c>
      <c r="U110" s="43" t="s">
        <v>71</v>
      </c>
      <c r="V110" s="43" t="s">
        <v>167</v>
      </c>
      <c r="W110" s="43" t="s">
        <v>95</v>
      </c>
      <c r="X110" s="43" t="s">
        <v>71</v>
      </c>
      <c r="Y110" s="43" t="s">
        <v>71</v>
      </c>
      <c r="Z110" s="43" t="s">
        <v>71</v>
      </c>
      <c r="AA110" s="43" t="s">
        <v>116</v>
      </c>
      <c r="AB110" s="43" t="s">
        <v>71</v>
      </c>
      <c r="AC110" s="43" t="s">
        <v>71</v>
      </c>
      <c r="AD110" s="43" t="s">
        <v>71</v>
      </c>
      <c r="AE110" s="43" t="s">
        <v>71</v>
      </c>
      <c r="AF110" s="43" t="s">
        <v>76</v>
      </c>
      <c r="AG110" t="str">
        <f>VLOOKUP($Q110,武学奇术!$A:$ZZ,25,FALSE)</f>
        <v>伞</v>
      </c>
      <c r="AH110" s="30">
        <f>VLOOKUP($Q110,武学奇术!$A:$ZZ,26,FALSE)</f>
        <v>0.54</v>
      </c>
      <c r="AI110" s="31">
        <f>VLOOKUP($Q110,武学奇术!$A:$ZZ,27,FALSE)*(1+IF(OR($AG110=$F$4,$AG110=$F$5),$B$22,0))</f>
        <v>0</v>
      </c>
      <c r="AJ110" s="30">
        <f>VLOOKUP($Q110,武学奇术!$A:$ZZ,28,FALSE)</f>
        <v>0.81</v>
      </c>
      <c r="AK110" s="31">
        <f>VLOOKUP($Q110,武学奇术!$A:$ZZ,29,FALSE)*(1+IF(OR($AG110=$F$4,$AG110=$F$5),$B$22,0))</f>
        <v>0</v>
      </c>
      <c r="AL110" s="30" cm="1">
        <f t="array" ref="AL110">$G$3+IFERROR(VLOOKUP($AG110,$F$4:$G$7,2,FALSE),0)+VLOOKUP($Q110,武学奇术!$A:$ZZ,2,FALSE)+SUM(_xlfn.XLOOKUP($R110:$AF110,增益!$A:$A,增益!$B:$B,0))</f>
        <v>0.7741</v>
      </c>
      <c r="AM110" s="30" cm="1">
        <f t="array" ref="AM110">VLOOKUP($Q110,武学奇术!$A:$ZZ,5,FALSE)+SUM(_xlfn.XLOOKUP($R110:$AF110,增益!$A:$A,增益!$E:$E,0))</f>
        <v>0</v>
      </c>
      <c r="AN110" cm="1">
        <f t="array" ref="AN110">$D$10*(1+$AM110)+VLOOKUP($Q110,武学奇术!$A:$ZZ,3,FALSE)+SUM(_xlfn.XLOOKUP($R110:$AF110,增益!$A:$A,增益!$C:$C,0))-$I$2</f>
        <v>3483.8</v>
      </c>
      <c r="AO110" cm="1">
        <f t="array" ref="AO110">$E$10*(1+$AM110)+VLOOKUP($Q110,武学奇术!$A:$ZZ,4,FALSE)+SUM(_xlfn.XLOOKUP($R110:$AF110,增益!$A:$A,增益!$D:$D,0))-$I$2</f>
        <v>3483.8</v>
      </c>
      <c r="AP110" s="35" cm="1">
        <f t="array" ref="AP110">IF($F$10-$I$3+VLOOKUP($Q110,武学奇术!$A:$ZZ,6,FALSE)+SUM(_xlfn.XLOOKUP(R110:AF110,增益!$A:$A,增益!$F:$F,0))&gt;0,($F$10-$I$3+VLOOKUP($Q110,武学奇术!$A:$ZZ,6,FALSE)+SUM(_xlfn.XLOOKUP(R110:AF110,增益!$A:$A,增益!$F:$F,0)))/200,($F$10-$I$3+VLOOKUP($Q110,武学奇术!$A:$ZZ,6,FALSE)+SUM(_xlfn.XLOOKUP(R110:AF110,增益!$A:$A,增益!$F:$F,0)))/100)</f>
        <v>0.2925</v>
      </c>
      <c r="AQ110" s="35" cm="1">
        <f t="array" ref="AQ110">$G$10+VLOOKUP($Q110,武学奇术!$A:$ZZ,7,FALSE)+SUM(_xlfn.XLOOKUP(R110:AF110,增益!$A:$A,增益!$G:$G,0))</f>
        <v>0.148</v>
      </c>
      <c r="AR110" s="30" cm="1">
        <f t="array" ref="AR110">VLOOKUP($Q110,武学奇术!$A:$ZZ,8,FALSE)+SUM(_xlfn.XLOOKUP(R110:AF110,增益!$A:$A,增益!$H:$H,0))</f>
        <v>0</v>
      </c>
      <c r="AS110">
        <f t="shared" si="13"/>
        <v>0</v>
      </c>
      <c r="AT110">
        <f t="shared" si="14"/>
        <v>0</v>
      </c>
      <c r="AU110" s="35" cm="1">
        <f t="array" ref="AU110">IF($F$11-$I$4+VLOOKUP($Q110,武学奇术!$A:$ZZ,9,FALSE)+SUM(_xlfn.XLOOKUP(R110:AF110,增益!$A:$A,增益!$I:$I,0))&gt;0,($F$11-$I$4+VLOOKUP($Q110,武学奇术!$A:$ZZ,9,FALSE)+SUM(_xlfn.XLOOKUP(R110:AF110,增益!$A:$A,增益!$I:$I,0)))/200,($F$11-$I$4+VLOOKUP($Q110,武学奇术!$A:$ZZ,9,FALSE)+SUM(_xlfn.XLOOKUP(R110:AF110,增益!$A:$A,增益!$I:$I,0)))/100)</f>
        <v>-0.3</v>
      </c>
      <c r="AV110" s="35" cm="1">
        <f t="array" ref="AV110">$G$11+VLOOKUP($Q110,武学奇术!$A:$ZZ,10,FALSE)+SUM(_xlfn.XLOOKUP(R110:AF110,增益!$A:$A,增益!$J:$J,0))</f>
        <v>0</v>
      </c>
      <c r="AW110">
        <f t="shared" si="15"/>
        <v>0</v>
      </c>
      <c r="AX110">
        <f t="shared" si="16"/>
        <v>0</v>
      </c>
      <c r="AY110" s="35" cm="1">
        <f t="array" ref="AY110">IF($F$12-$I$4+VLOOKUP($Q110,武学奇术!$A:$ZZ,11,FALSE)+SUM(_xlfn.XLOOKUP(R110:AF110,增益!$A:$A,增益!$K:$K,0))&gt;0,($F$12-$I$4+VLOOKUP($Q110,武学奇术!$A:$ZZ,11,FALSE)+SUM(_xlfn.XLOOKUP(R110:AF110,增益!$A:$A,增益!$K:$K,0)))/200,($F$12-$I$4+VLOOKUP($Q110,武学奇术!$A:$ZZ,11,FALSE)+SUM(_xlfn.XLOOKUP(R110:AF110,增益!$A:$A,增益!$K:$K,0)))/100)</f>
        <v>-0.3</v>
      </c>
      <c r="AZ110" s="35" cm="1">
        <f t="array" ref="AZ110">$G$12+VLOOKUP($Q110,武学奇术!$A:$ZZ,12,FALSE)+SUM(_xlfn.XLOOKUP(R110:AF110,增益!$A:$A,增益!$L:$L,0))</f>
        <v>0</v>
      </c>
      <c r="BA110">
        <f t="shared" si="17"/>
        <v>0</v>
      </c>
      <c r="BB110">
        <f t="shared" si="18"/>
        <v>0</v>
      </c>
      <c r="BC110" s="35" cm="1">
        <f t="array" ref="BC110">IF($F$13-$I$4+VLOOKUP($Q110,武学奇术!$A:$ZZ,13,FALSE)+SUM(_xlfn.XLOOKUP(R110:AF110,增益!$A:$A,增益!$M:$M,0))&gt;0,($F$13-$I$4+VLOOKUP($Q110,武学奇术!$A:$ZZ,13,FALSE)+SUM(_xlfn.XLOOKUP(R110:AF110,增益!$A:$A,增益!$K:$K,0)))/200,($F$13-$I$4+VLOOKUP($Q110,武学奇术!$A:$ZZ,13,FALSE)+SUM(_xlfn.XLOOKUP(R110:AF110,增益!$A:$A,增益!$M:$M,0)))/100)</f>
        <v>-0.3</v>
      </c>
      <c r="BD110" s="35" cm="1">
        <f t="array" ref="BD110">$G$13+VLOOKUP($Q110,武学奇术!$A:$ZZ,14,FALSE)+SUM(_xlfn.XLOOKUP(R110:AF110,增益!$A:$A,增益!$N:$N,0))</f>
        <v>0</v>
      </c>
      <c r="BE110">
        <f t="shared" si="19"/>
        <v>538</v>
      </c>
      <c r="BF110">
        <f t="shared" si="20"/>
        <v>1561.4</v>
      </c>
      <c r="BG110" s="35" cm="1">
        <f t="array" ref="BG110">IF($F$14-$I$4+VLOOKUP($Q110,武学奇术!$A:$ZZ,15,FALSE)+SUM(_xlfn.XLOOKUP(R110:AF110,增益!$A:$A,增益!$O:$O,0))&gt;0,($F$14-$I$4+VLOOKUP($Q110,武学奇术!$A:$ZZ,15,FALSE)+SUM(_xlfn.XLOOKUP(R110:AF110,增益!$A:$A,增益!$O:$O,0)))/200,($F$14-$I$4+VLOOKUP($Q110,武学奇术!$A:$ZZ,15,FALSE)+SUM(_xlfn.XLOOKUP(R110:AF110,增益!$A:$A,增益!$O:$O,0)))/100)</f>
        <v>0</v>
      </c>
      <c r="BH110" s="35" cm="1">
        <f t="array" ref="BH110">$G$14+VLOOKUP($Q110,武学奇术!$A:$ZZ,16,FALSE)+SUM(_xlfn.XLOOKUP(R110:AF110,增益!$A:$A,增益!$P:$P,0))</f>
        <v>0.27</v>
      </c>
      <c r="BI110" s="30">
        <f>MIN(IF(VLOOKUP($Q110,武学奇术!$A:$ZZ,23,FALSE)=1,100%,$B$8),100%)</f>
        <v>0.9712</v>
      </c>
      <c r="BJ110" s="30" cm="1">
        <f t="array" ref="BJ110">IF(VLOOKUP($Q110,武学奇术!$A:$ZZ,23,FALSE)=1,100%,MIN(80%,$B$9+VLOOKUP($Q110,武学奇术!$A:$ZZ,17,FALSE)+SUM(_xlfn.XLOOKUP(R110:AF110,增益!$A:$A,增益!$Q:$Q,0)))+$B$11+SUM(_xlfn.XLOOKUP(R110:AF110,增益!$A:$A,增益!$U:$U,0)))*IF(VLOOKUP($Q110,武学奇术!$A:$ZZ,24,FALSE)=1,0,1)</f>
        <v>0.8773</v>
      </c>
      <c r="BK110" s="30" cm="1">
        <f t="array" ref="BK110">1+$B$13+VLOOKUP($Q110,武学奇术!$A:$ZZ,18,FALSE)+SUM(_xlfn.XLOOKUP(R110:AF110,增益!$A:$A,增益!$R:$R,0))</f>
        <v>1.87</v>
      </c>
      <c r="BL110" s="30" cm="1">
        <f t="array" ref="BL110">IF(VLOOKUP($Q110,武学奇术!$A:$ZZ,24,FALSE)=1,100%,MIN(40%,$B$10+VLOOKUP($Q110,武学奇术!$A:$ZZ,19,FALSE)+SUM(_xlfn.XLOOKUP(R110:AF110,增益!$A:$A,增益!$S:$S,0)))+$B$12+SUM(_xlfn.XLOOKUP(R110:AF110,增益!$A:$A,增益!$V:$V,0)))*IF(VLOOKUP($Q110,武学奇术!$A:$ZZ,23,FALSE)=1,0,1)</f>
        <v>0.0895</v>
      </c>
      <c r="BM110" s="30" cm="1">
        <f t="array" ref="BM110">1+$B$14+VLOOKUP($Q110,武学奇术!$A:$ZZ,20,FALSE)+SUM(_xlfn.XLOOKUP(R110:AF110,增益!$A:$A,增益!$T:$T,0))</f>
        <v>1.35</v>
      </c>
      <c r="BN110" s="30">
        <f t="shared" si="21"/>
        <v>0.85203376</v>
      </c>
      <c r="BO110" s="30">
        <f t="shared" si="22"/>
        <v>0.03224384</v>
      </c>
      <c r="BP110" s="30">
        <f>IF(VLOOKUP($Q110,武学奇术!$A:$ZZ,22,FALSE)=1,0,(1-$BI110))*(1-$BL110)</f>
        <v>0.0262224</v>
      </c>
      <c r="BQ110" s="30" cm="1">
        <f t="array" ref="BQ110">SUM(_xlfn.XLOOKUP(R110:AF110,增益!$A:$A,增益!$W:$W,0))+$I$5</f>
        <v>0.11</v>
      </c>
    </row>
    <row r="111" spans="11:69">
      <c r="K111" s="41">
        <f t="shared" si="24"/>
        <v>50253.5286096925</v>
      </c>
      <c r="L111" s="41">
        <f>((($AN111+$AO111)/2*$AH111+$AI111)*(1+$AP111)*(1+$AQ111)+(($AS111+$AT111)/2*IF($G$1="鸣金",$AJ111,$AH111)+IF($G$1="鸣金",$AK111*1.5,0))*(1+$AU111)*(1+$AV111)+(($AW111+$AX111)/2*IF($G$1="裂石",$AJ111,$AH111)+IF($G$1="裂石",$AK111*1.5,0))*(1+$AY111)*(1+$AZ111)+(($BA111+$BB111)/2*IF($G$1="牵丝",$AJ111,$AH111)+IF($G$1="牵丝",$AK111*1.5,0))*(1+$BC111)*(1+$BD111)+(($BE111+$BF111)/2*IF($G$1="破竹",$AJ111,$AH111)+IF($G$1="破竹",$AK111*1.5,0))*(1+$BG111)*(1+$BH111))*(1+$AL111)*$BK111*$P111*(1+IF(VLOOKUP($Q111,武学奇术!$A:$ZZ,30,FALSE)="回旋伞",$B$21,0))*(1+$BQ111)</f>
        <v>50253.5286096925</v>
      </c>
      <c r="M111" s="41">
        <f>(($AO111*$AH111+$AI111)*(1+$AP111)*(1+$AQ111)+($AT111*IF($G$1="鸣金",$AJ111,$AH111)+IF($G$1="鸣金",$AK111*1.5,0))*(1+$AU111)*(1+$AV111)+($AX111*IF($G$1="裂石",$AJ111,$AH111)+IF($G$1="裂石",$AK111*1.5,0))*(1+$AY111)*(1+$AZ111)+($BB111*IF($G$1="牵丝",$AJ111,$AH111)+IF($G$1="牵丝",$AK111*1.5,0))*(1+$BC111)*(1+$BD111)+($BF111*IF($G$1="破竹",$AJ111,$AH111)+IF($G$1="破竹",$AK111*1.5,0))*(1+$BG111)*(1+$BH111))*(1+$AL111)*$BM111*$P111*(1+IF(VLOOKUP($Q111,武学奇术!$A:$ZZ,30,FALSE)="回旋伞",$B$21,0))*(1+$BQ111)</f>
        <v>40654.1827794562</v>
      </c>
      <c r="N111" s="41">
        <f>((($AN111+$AO111)/2*$AH111+$AI111)*(1+$AP111)*(1+$AQ111)+(($AS111+$AT111)/2*IF($G$1="鸣金",$AJ111,$AH111)+IF($G$1="鸣金",$AK111*1.5,0))*(1+$AU111)*(1+$AV111)+(($AW111+$AX111)/2*IF($G$1="裂石",$AJ111,$AH111)+IF($G$1="裂石",$AK111*1.5,0))*(1+$AY111)*(1+$AZ111)+(($BA111+$BB111)/2*IF($G$1="牵丝",$AJ111,$AH111)+IF($G$1="牵丝",$AK111*1.5,0))*(1+$BC111)*(1+$BD111)+(($BE111+$BF111)/2*IF($G$1="破竹",$AJ111,$AH111)+IF($G$1="破竹",$AK111*1.5,0))*(1+$BG111)*(1+$BH111))*(1+$AL111)*$P111*(1+IF(VLOOKUP($Q111,武学奇术!$A:$ZZ,30,FALSE)="回旋伞",$B$21,0))*(1+$BQ111)</f>
        <v>26873.5447110655</v>
      </c>
      <c r="O111" s="41">
        <f>((($AN111*$AH111+$AI111)*(1+$AP111)*(1+$AQ111)+($AS111*IF($G$1="鸣金",$AJ111,$AH111)+IF($G$1="鸣金",$AK111*1.5,0))*(1+$AU111)*(1+$AV111)+($AW111*IF($G$1="裂石",$AJ111,$AH111)+IF($G$1="裂石",$AK111*1.5,0))*(1+$AY111)*(1+$AZ111)+($BA111*IF($G$1="牵丝",$AJ111,$AH111)+IF($G$1="牵丝",$AK111*1.5,0))*(1+$BC111)*(1+$BD111)+($BE111*IF($G$1="破竹",$AJ111,$AH111)+IF($G$1="破竹",$AK111*1.5,0))*(1+$BG111)*(1+$BH111))*(1+$AL111))*$P111*(1+IF(VLOOKUP($Q111,武学奇术!$A:$ZZ,30,FALSE)="回旋伞",$B$21,0))*(1+$BQ111)</f>
        <v>23632.8799558672</v>
      </c>
      <c r="P111" s="42">
        <v>1</v>
      </c>
      <c r="Q111" s="43" t="s">
        <v>150</v>
      </c>
      <c r="R111" s="43" t="s">
        <v>71</v>
      </c>
      <c r="S111" s="43" t="s">
        <v>91</v>
      </c>
      <c r="T111" s="43" t="s">
        <v>72</v>
      </c>
      <c r="U111" s="43" t="s">
        <v>71</v>
      </c>
      <c r="V111" s="43" t="s">
        <v>167</v>
      </c>
      <c r="W111" s="43" t="s">
        <v>95</v>
      </c>
      <c r="X111" s="43" t="s">
        <v>71</v>
      </c>
      <c r="Y111" s="43" t="s">
        <v>71</v>
      </c>
      <c r="Z111" s="43" t="s">
        <v>71</v>
      </c>
      <c r="AA111" s="43" t="s">
        <v>71</v>
      </c>
      <c r="AB111" s="43" t="s">
        <v>71</v>
      </c>
      <c r="AC111" s="43" t="s">
        <v>71</v>
      </c>
      <c r="AD111" s="43" t="s">
        <v>71</v>
      </c>
      <c r="AE111" s="43" t="s">
        <v>71</v>
      </c>
      <c r="AF111" s="43" t="s">
        <v>76</v>
      </c>
      <c r="AG111" t="str">
        <f>VLOOKUP($Q111,武学奇术!$A:$ZZ,25,FALSE)</f>
        <v>绳镖</v>
      </c>
      <c r="AH111" s="30">
        <f>VLOOKUP($Q111,武学奇术!$A:$ZZ,26,FALSE)</f>
        <v>2.2987</v>
      </c>
      <c r="AI111" s="31">
        <f>VLOOKUP($Q111,武学奇术!$A:$ZZ,27,FALSE)*(1+IF(OR($AG111=$F$4,$AG111=$F$5),$B$22,0))</f>
        <v>891.8</v>
      </c>
      <c r="AJ111" s="30">
        <f>VLOOKUP($Q111,武学奇术!$A:$ZZ,28,FALSE)</f>
        <v>3.448</v>
      </c>
      <c r="AK111" s="31">
        <f>VLOOKUP($Q111,武学奇术!$A:$ZZ,29,FALSE)*(1+IF(OR($AG111=$F$4,$AG111=$F$5),$B$22,0))</f>
        <v>485.8</v>
      </c>
      <c r="AL111" s="30" cm="1">
        <f t="array" ref="AL111">$G$3+IFERROR(VLOOKUP($AG111,$F$4:$G$7,2,FALSE),0)+VLOOKUP($Q111,武学奇术!$A:$ZZ,2,FALSE)+SUM(_xlfn.XLOOKUP($R111:$AF111,增益!$A:$A,增益!$B:$B,0))</f>
        <v>0.4389</v>
      </c>
      <c r="AM111" s="30" cm="1">
        <f t="array" ref="AM111">VLOOKUP($Q111,武学奇术!$A:$ZZ,5,FALSE)+SUM(_xlfn.XLOOKUP($R111:$AF111,增益!$A:$A,增益!$E:$E,0))</f>
        <v>0</v>
      </c>
      <c r="AN111" cm="1">
        <f t="array" ref="AN111">$D$10*(1+$AM111)+VLOOKUP($Q111,武学奇术!$A:$ZZ,3,FALSE)+SUM(_xlfn.XLOOKUP($R111:$AF111,增益!$A:$A,增益!$C:$C,0))-$I$2</f>
        <v>3483.8</v>
      </c>
      <c r="AO111" cm="1">
        <f t="array" ref="AO111">$E$10*(1+$AM111)+VLOOKUP($Q111,武学奇术!$A:$ZZ,4,FALSE)+SUM(_xlfn.XLOOKUP($R111:$AF111,增益!$A:$A,增益!$D:$D,0))-$I$2</f>
        <v>3483.8</v>
      </c>
      <c r="AP111" s="35" cm="1">
        <f t="array" ref="AP111">IF($F$10-$I$3+VLOOKUP($Q111,武学奇术!$A:$ZZ,6,FALSE)+SUM(_xlfn.XLOOKUP(R111:AF111,增益!$A:$A,增益!$F:$F,0))&gt;0,($F$10-$I$3+VLOOKUP($Q111,武学奇术!$A:$ZZ,6,FALSE)+SUM(_xlfn.XLOOKUP(R111:AF111,增益!$A:$A,增益!$F:$F,0)))/200,($F$10-$I$3+VLOOKUP($Q111,武学奇术!$A:$ZZ,6,FALSE)+SUM(_xlfn.XLOOKUP(R111:AF111,增益!$A:$A,增益!$F:$F,0)))/100)</f>
        <v>0.2925</v>
      </c>
      <c r="AQ111" s="35" cm="1">
        <f t="array" ref="AQ111">$G$10+VLOOKUP($Q111,武学奇术!$A:$ZZ,7,FALSE)+SUM(_xlfn.XLOOKUP(R111:AF111,增益!$A:$A,增益!$G:$G,0))</f>
        <v>0.028</v>
      </c>
      <c r="AR111" s="30" cm="1">
        <f t="array" ref="AR111">VLOOKUP($Q111,武学奇术!$A:$ZZ,8,FALSE)+SUM(_xlfn.XLOOKUP(R111:AF111,增益!$A:$A,增益!$H:$H,0))</f>
        <v>0</v>
      </c>
      <c r="AS111">
        <f t="shared" si="13"/>
        <v>0</v>
      </c>
      <c r="AT111">
        <f t="shared" si="14"/>
        <v>0</v>
      </c>
      <c r="AU111" s="35" cm="1">
        <f t="array" ref="AU111">IF($F$11-$I$4+VLOOKUP($Q111,武学奇术!$A:$ZZ,9,FALSE)+SUM(_xlfn.XLOOKUP(R111:AF111,增益!$A:$A,增益!$I:$I,0))&gt;0,($F$11-$I$4+VLOOKUP($Q111,武学奇术!$A:$ZZ,9,FALSE)+SUM(_xlfn.XLOOKUP(R111:AF111,增益!$A:$A,增益!$I:$I,0)))/200,($F$11-$I$4+VLOOKUP($Q111,武学奇术!$A:$ZZ,9,FALSE)+SUM(_xlfn.XLOOKUP(R111:AF111,增益!$A:$A,增益!$I:$I,0)))/100)</f>
        <v>-0.3</v>
      </c>
      <c r="AV111" s="35" cm="1">
        <f t="array" ref="AV111">$G$11+VLOOKUP($Q111,武学奇术!$A:$ZZ,10,FALSE)+SUM(_xlfn.XLOOKUP(R111:AF111,增益!$A:$A,增益!$J:$J,0))</f>
        <v>0</v>
      </c>
      <c r="AW111">
        <f t="shared" si="15"/>
        <v>0</v>
      </c>
      <c r="AX111">
        <f t="shared" si="16"/>
        <v>0</v>
      </c>
      <c r="AY111" s="35" cm="1">
        <f t="array" ref="AY111">IF($F$12-$I$4+VLOOKUP($Q111,武学奇术!$A:$ZZ,11,FALSE)+SUM(_xlfn.XLOOKUP(R111:AF111,增益!$A:$A,增益!$K:$K,0))&gt;0,($F$12-$I$4+VLOOKUP($Q111,武学奇术!$A:$ZZ,11,FALSE)+SUM(_xlfn.XLOOKUP(R111:AF111,增益!$A:$A,增益!$K:$K,0)))/200,($F$12-$I$4+VLOOKUP($Q111,武学奇术!$A:$ZZ,11,FALSE)+SUM(_xlfn.XLOOKUP(R111:AF111,增益!$A:$A,增益!$K:$K,0)))/100)</f>
        <v>-0.3</v>
      </c>
      <c r="AZ111" s="35" cm="1">
        <f t="array" ref="AZ111">$G$12+VLOOKUP($Q111,武学奇术!$A:$ZZ,12,FALSE)+SUM(_xlfn.XLOOKUP(R111:AF111,增益!$A:$A,增益!$L:$L,0))</f>
        <v>0</v>
      </c>
      <c r="BA111">
        <f t="shared" si="17"/>
        <v>0</v>
      </c>
      <c r="BB111">
        <f t="shared" si="18"/>
        <v>0</v>
      </c>
      <c r="BC111" s="35" cm="1">
        <f t="array" ref="BC111">IF($F$13-$I$4+VLOOKUP($Q111,武学奇术!$A:$ZZ,13,FALSE)+SUM(_xlfn.XLOOKUP(R111:AF111,增益!$A:$A,增益!$M:$M,0))&gt;0,($F$13-$I$4+VLOOKUP($Q111,武学奇术!$A:$ZZ,13,FALSE)+SUM(_xlfn.XLOOKUP(R111:AF111,增益!$A:$A,增益!$K:$K,0)))/200,($F$13-$I$4+VLOOKUP($Q111,武学奇术!$A:$ZZ,13,FALSE)+SUM(_xlfn.XLOOKUP(R111:AF111,增益!$A:$A,增益!$M:$M,0)))/100)</f>
        <v>-0.3</v>
      </c>
      <c r="BD111" s="35" cm="1">
        <f t="array" ref="BD111">$G$13+VLOOKUP($Q111,武学奇术!$A:$ZZ,14,FALSE)+SUM(_xlfn.XLOOKUP(R111:AF111,增益!$A:$A,增益!$N:$N,0))</f>
        <v>0</v>
      </c>
      <c r="BE111">
        <f t="shared" si="19"/>
        <v>538</v>
      </c>
      <c r="BF111">
        <f t="shared" si="20"/>
        <v>1561.4</v>
      </c>
      <c r="BG111" s="35" cm="1">
        <f t="array" ref="BG111">IF($F$14-$I$4+VLOOKUP($Q111,武学奇术!$A:$ZZ,15,FALSE)+SUM(_xlfn.XLOOKUP(R111:AF111,增益!$A:$A,增益!$O:$O,0))&gt;0,($F$14-$I$4+VLOOKUP($Q111,武学奇术!$A:$ZZ,15,FALSE)+SUM(_xlfn.XLOOKUP(R111:AF111,增益!$A:$A,增益!$O:$O,0)))/200,($F$14-$I$4+VLOOKUP($Q111,武学奇术!$A:$ZZ,15,FALSE)+SUM(_xlfn.XLOOKUP(R111:AF111,增益!$A:$A,增益!$O:$O,0)))/100)</f>
        <v>0</v>
      </c>
      <c r="BH111" s="35" cm="1">
        <f t="array" ref="BH111">$G$14+VLOOKUP($Q111,武学奇术!$A:$ZZ,16,FALSE)+SUM(_xlfn.XLOOKUP(R111:AF111,增益!$A:$A,增益!$P:$P,0))</f>
        <v>0.15</v>
      </c>
      <c r="BI111" s="30">
        <f>MIN(IF(VLOOKUP($Q111,武学奇术!$A:$ZZ,23,FALSE)=1,100%,$B$8),100%)</f>
        <v>1</v>
      </c>
      <c r="BJ111" s="30" cm="1">
        <f t="array" ref="BJ111">IF(VLOOKUP($Q111,武学奇术!$A:$ZZ,23,FALSE)=1,100%,MIN(80%,$B$9+VLOOKUP($Q111,武学奇术!$A:$ZZ,17,FALSE)+SUM(_xlfn.XLOOKUP(R111:AF111,增益!$A:$A,增益!$Q:$Q,0)))+$B$11+SUM(_xlfn.XLOOKUP(R111:AF111,增益!$A:$A,增益!$U:$U,0)))*IF(VLOOKUP($Q111,武学奇术!$A:$ZZ,24,FALSE)=1,0,1)</f>
        <v>1</v>
      </c>
      <c r="BK111" s="30" cm="1">
        <f t="array" ref="BK111">1+$B$13+VLOOKUP($Q111,武学奇术!$A:$ZZ,18,FALSE)+SUM(_xlfn.XLOOKUP(R111:AF111,增益!$A:$A,增益!$R:$R,0))</f>
        <v>1.87</v>
      </c>
      <c r="BL111" s="30" cm="1">
        <f t="array" ref="BL111">IF(VLOOKUP($Q111,武学奇术!$A:$ZZ,24,FALSE)=1,100%,MIN(40%,$B$10+VLOOKUP($Q111,武学奇术!$A:$ZZ,19,FALSE)+SUM(_xlfn.XLOOKUP(R111:AF111,增益!$A:$A,增益!$S:$S,0)))+$B$12+SUM(_xlfn.XLOOKUP(R111:AF111,增益!$A:$A,增益!$V:$V,0)))*IF(VLOOKUP($Q111,武学奇术!$A:$ZZ,23,FALSE)=1,0,1)</f>
        <v>0</v>
      </c>
      <c r="BM111" s="30" cm="1">
        <f t="array" ref="BM111">1+$B$14+VLOOKUP($Q111,武学奇术!$A:$ZZ,20,FALSE)+SUM(_xlfn.XLOOKUP(R111:AF111,增益!$A:$A,增益!$T:$T,0))</f>
        <v>1.35</v>
      </c>
      <c r="BN111" s="30">
        <f t="shared" si="21"/>
        <v>1</v>
      </c>
      <c r="BO111" s="30">
        <f t="shared" si="22"/>
        <v>0</v>
      </c>
      <c r="BP111" s="30">
        <f>IF(VLOOKUP($Q111,武学奇术!$A:$ZZ,22,FALSE)=1,0,(1-$BI111))*(1-$BL111)</f>
        <v>0</v>
      </c>
      <c r="BQ111" s="30" cm="1">
        <f t="array" ref="BQ111">SUM(_xlfn.XLOOKUP(R111:AF111,增益!$A:$A,增益!$W:$W,0))+$I$5</f>
        <v>0.11</v>
      </c>
    </row>
    <row r="112" spans="11:69">
      <c r="K112" s="89">
        <f>(SUM(K91:K111)+K148+K149)*10%</f>
        <v>183924.320170621</v>
      </c>
      <c r="L112" s="41">
        <f>((($AN112+$AO112)/2*$AH112+$AI112)*(1+$AP112)*(1+$AQ112)+(($AS112+$AT112)/2*IF($G$1="鸣金",$AJ112,$AH112)+IF($G$1="鸣金",$AK112*1.5,0))*(1+$AU112)*(1+$AV112)+(($AW112+$AX112)/2*IF($G$1="裂石",$AJ112,$AH112)+IF($G$1="裂石",$AK112*1.5,0))*(1+$AY112)*(1+$AZ112)+(($BA112+$BB112)/2*IF($G$1="牵丝",$AJ112,$AH112)+IF($G$1="牵丝",$AK112*1.5,0))*(1+$BC112)*(1+$BD112)+(($BE112+$BF112)/2*IF($G$1="破竹",$AJ112,$AH112)+IF($G$1="破竹",$AK112*1.5,0))*(1+$BG112)*(1+$BH112))*(1+$AL112)*$BK112*$P112*(1+IF(VLOOKUP($Q112,武学奇术!$A:$ZZ,30,FALSE)="回旋伞",$B$21,0))*(1+$BQ112)</f>
        <v>0</v>
      </c>
      <c r="M112" s="41">
        <f>(($AO112*$AH112+$AI112)*(1+$AP112)*(1+$AQ112)+($AT112*IF($G$1="鸣金",$AJ112,$AH112)+IF($G$1="鸣金",$AK112*1.5,0))*(1+$AU112)*(1+$AV112)+($AX112*IF($G$1="裂石",$AJ112,$AH112)+IF($G$1="裂石",$AK112*1.5,0))*(1+$AY112)*(1+$AZ112)+($BB112*IF($G$1="牵丝",$AJ112,$AH112)+IF($G$1="牵丝",$AK112*1.5,0))*(1+$BC112)*(1+$BD112)+($BF112*IF($G$1="破竹",$AJ112,$AH112)+IF($G$1="破竹",$AK112*1.5,0))*(1+$BG112)*(1+$BH112))*(1+$AL112)*$BM112*$P112*(1+IF(VLOOKUP($Q112,武学奇术!$A:$ZZ,30,FALSE)="回旋伞",$B$21,0))*(1+$BQ112)</f>
        <v>0</v>
      </c>
      <c r="N112" s="41">
        <f>((($AN112+$AO112)/2*$AH112+$AI112)*(1+$AP112)*(1+$AQ112)+(($AS112+$AT112)/2*IF($G$1="鸣金",$AJ112,$AH112)+IF($G$1="鸣金",$AK112*1.5,0))*(1+$AU112)*(1+$AV112)+(($AW112+$AX112)/2*IF($G$1="裂石",$AJ112,$AH112)+IF($G$1="裂石",$AK112*1.5,0))*(1+$AY112)*(1+$AZ112)+(($BA112+$BB112)/2*IF($G$1="牵丝",$AJ112,$AH112)+IF($G$1="牵丝",$AK112*1.5,0))*(1+$BC112)*(1+$BD112)+(($BE112+$BF112)/2*IF($G$1="破竹",$AJ112,$AH112)+IF($G$1="破竹",$AK112*1.5,0))*(1+$BG112)*(1+$BH112))*(1+$AL112)*$P112*(1+IF(VLOOKUP($Q112,武学奇术!$A:$ZZ,30,FALSE)="回旋伞",$B$21,0))*(1+$BQ112)</f>
        <v>0</v>
      </c>
      <c r="O112" s="41">
        <f>((($AN112*$AH112+$AI112)*(1+$AP112)*(1+$AQ112)+($AS112*IF($G$1="鸣金",$AJ112,$AH112)+IF($G$1="鸣金",$AK112*1.5,0))*(1+$AU112)*(1+$AV112)+($AW112*IF($G$1="裂石",$AJ112,$AH112)+IF($G$1="裂石",$AK112*1.5,0))*(1+$AY112)*(1+$AZ112)+($BA112*IF($G$1="牵丝",$AJ112,$AH112)+IF($G$1="牵丝",$AK112*1.5,0))*(1+$BC112)*(1+$BD112)+($BE112*IF($G$1="破竹",$AJ112,$AH112)+IF($G$1="破竹",$AK112*1.5,0))*(1+$BG112)*(1+$BH112))*(1+$AL112))*$P112*(1+IF(VLOOKUP($Q112,武学奇术!$A:$ZZ,30,FALSE)="回旋伞",$B$21,0))*(1+$BQ112)</f>
        <v>0</v>
      </c>
      <c r="P112" s="42">
        <v>1</v>
      </c>
      <c r="Q112" s="43" t="s">
        <v>152</v>
      </c>
      <c r="R112" s="43" t="s">
        <v>71</v>
      </c>
      <c r="S112" s="43" t="s">
        <v>71</v>
      </c>
      <c r="T112" s="43" t="s">
        <v>71</v>
      </c>
      <c r="U112" s="43" t="s">
        <v>71</v>
      </c>
      <c r="V112" s="43" t="s">
        <v>71</v>
      </c>
      <c r="W112" s="43" t="s">
        <v>71</v>
      </c>
      <c r="X112" s="43" t="s">
        <v>71</v>
      </c>
      <c r="Y112" s="43" t="s">
        <v>71</v>
      </c>
      <c r="Z112" s="43" t="s">
        <v>71</v>
      </c>
      <c r="AA112" s="43" t="s">
        <v>71</v>
      </c>
      <c r="AB112" s="43" t="s">
        <v>71</v>
      </c>
      <c r="AC112" s="43" t="s">
        <v>71</v>
      </c>
      <c r="AD112" s="43" t="s">
        <v>71</v>
      </c>
      <c r="AE112" s="43" t="s">
        <v>71</v>
      </c>
      <c r="AF112" s="43" t="s">
        <v>76</v>
      </c>
      <c r="AG112" t="str">
        <f>VLOOKUP($Q112,武学奇术!$A:$ZZ,25,FALSE)</f>
        <v>心法</v>
      </c>
      <c r="AH112" s="30">
        <f>VLOOKUP($Q112,武学奇术!$A:$ZZ,26,FALSE)</f>
        <v>0</v>
      </c>
      <c r="AI112" s="31">
        <f>VLOOKUP($Q112,武学奇术!$A:$ZZ,27,FALSE)*(1+IF(OR($AG112=$F$4,$AG112=$F$5),$B$22,0))</f>
        <v>0</v>
      </c>
      <c r="AJ112" s="30">
        <f>VLOOKUP($Q112,武学奇术!$A:$ZZ,28,FALSE)</f>
        <v>0</v>
      </c>
      <c r="AK112" s="31">
        <f>VLOOKUP($Q112,武学奇术!$A:$ZZ,29,FALSE)*(1+IF(OR($AG112=$F$4,$AG112=$F$5),$B$22,0))</f>
        <v>0</v>
      </c>
      <c r="AL112" s="30" cm="1">
        <f t="array" ref="AL112">$G$3+IFERROR(VLOOKUP($AG112,$F$4:$G$7,2,FALSE),0)+VLOOKUP($Q112,武学奇术!$A:$ZZ,2,FALSE)+SUM(_xlfn.XLOOKUP($R112:$AF112,增益!$A:$A,增益!$B:$B,0))</f>
        <v>0.1037</v>
      </c>
      <c r="AM112" s="30" cm="1">
        <f t="array" ref="AM112">VLOOKUP($Q112,武学奇术!$A:$ZZ,5,FALSE)+SUM(_xlfn.XLOOKUP($R112:$AF112,增益!$A:$A,增益!$E:$E,0))</f>
        <v>0</v>
      </c>
      <c r="AN112" cm="1">
        <f t="array" ref="AN112">$D$10*(1+$AM112)+VLOOKUP($Q112,武学奇术!$A:$ZZ,3,FALSE)+SUM(_xlfn.XLOOKUP($R112:$AF112,增益!$A:$A,增益!$C:$C,0))-$I$2</f>
        <v>3483.8</v>
      </c>
      <c r="AO112" cm="1">
        <f t="array" ref="AO112">$E$10*(1+$AM112)+VLOOKUP($Q112,武学奇术!$A:$ZZ,4,FALSE)+SUM(_xlfn.XLOOKUP($R112:$AF112,增益!$A:$A,增益!$D:$D,0))-$I$2</f>
        <v>3483.8</v>
      </c>
      <c r="AP112" s="35" cm="1">
        <f t="array" ref="AP112">IF($F$10-$I$3+VLOOKUP($Q112,武学奇术!$A:$ZZ,6,FALSE)+SUM(_xlfn.XLOOKUP(R112:AF112,增益!$A:$A,增益!$F:$F,0))&gt;0,($F$10-$I$3+VLOOKUP($Q112,武学奇术!$A:$ZZ,6,FALSE)+SUM(_xlfn.XLOOKUP(R112:AF112,增益!$A:$A,增益!$F:$F,0)))/200,($F$10-$I$3+VLOOKUP($Q112,武学奇术!$A:$ZZ,6,FALSE)+SUM(_xlfn.XLOOKUP(R112:AF112,增益!$A:$A,增益!$F:$F,0)))/100)</f>
        <v>0.1925</v>
      </c>
      <c r="AQ112" s="35" cm="1">
        <f t="array" ref="AQ112">$G$10+VLOOKUP($Q112,武学奇术!$A:$ZZ,7,FALSE)+SUM(_xlfn.XLOOKUP(R112:AF112,增益!$A:$A,增益!$G:$G,0))</f>
        <v>0.028</v>
      </c>
      <c r="AR112" s="30" cm="1">
        <f t="array" ref="AR112">VLOOKUP($Q112,武学奇术!$A:$ZZ,8,FALSE)+SUM(_xlfn.XLOOKUP(R112:AF112,增益!$A:$A,增益!$H:$H,0))</f>
        <v>0</v>
      </c>
      <c r="AS112">
        <f t="shared" si="13"/>
        <v>0</v>
      </c>
      <c r="AT112">
        <f t="shared" si="14"/>
        <v>0</v>
      </c>
      <c r="AU112" s="35" cm="1">
        <f t="array" ref="AU112">IF($F$11-$I$4+VLOOKUP($Q112,武学奇术!$A:$ZZ,9,FALSE)+SUM(_xlfn.XLOOKUP(R112:AF112,增益!$A:$A,增益!$I:$I,0))&gt;0,($F$11-$I$4+VLOOKUP($Q112,武学奇术!$A:$ZZ,9,FALSE)+SUM(_xlfn.XLOOKUP(R112:AF112,增益!$A:$A,增益!$I:$I,0)))/200,($F$11-$I$4+VLOOKUP($Q112,武学奇术!$A:$ZZ,9,FALSE)+SUM(_xlfn.XLOOKUP(R112:AF112,增益!$A:$A,增益!$I:$I,0)))/100)</f>
        <v>-0.3</v>
      </c>
      <c r="AV112" s="35" cm="1">
        <f t="array" ref="AV112">$G$11+VLOOKUP($Q112,武学奇术!$A:$ZZ,10,FALSE)+SUM(_xlfn.XLOOKUP(R112:AF112,增益!$A:$A,增益!$J:$J,0))</f>
        <v>0</v>
      </c>
      <c r="AW112">
        <f t="shared" si="15"/>
        <v>0</v>
      </c>
      <c r="AX112">
        <f t="shared" si="16"/>
        <v>0</v>
      </c>
      <c r="AY112" s="35" cm="1">
        <f t="array" ref="AY112">IF($F$12-$I$4+VLOOKUP($Q112,武学奇术!$A:$ZZ,11,FALSE)+SUM(_xlfn.XLOOKUP(R112:AF112,增益!$A:$A,增益!$K:$K,0))&gt;0,($F$12-$I$4+VLOOKUP($Q112,武学奇术!$A:$ZZ,11,FALSE)+SUM(_xlfn.XLOOKUP(R112:AF112,增益!$A:$A,增益!$K:$K,0)))/200,($F$12-$I$4+VLOOKUP($Q112,武学奇术!$A:$ZZ,11,FALSE)+SUM(_xlfn.XLOOKUP(R112:AF112,增益!$A:$A,增益!$K:$K,0)))/100)</f>
        <v>-0.3</v>
      </c>
      <c r="AZ112" s="35" cm="1">
        <f t="array" ref="AZ112">$G$12+VLOOKUP($Q112,武学奇术!$A:$ZZ,12,FALSE)+SUM(_xlfn.XLOOKUP(R112:AF112,增益!$A:$A,增益!$L:$L,0))</f>
        <v>0</v>
      </c>
      <c r="BA112">
        <f t="shared" si="17"/>
        <v>0</v>
      </c>
      <c r="BB112">
        <f t="shared" si="18"/>
        <v>0</v>
      </c>
      <c r="BC112" s="35" cm="1">
        <f t="array" ref="BC112">IF($F$13-$I$4+VLOOKUP($Q112,武学奇术!$A:$ZZ,13,FALSE)+SUM(_xlfn.XLOOKUP(R112:AF112,增益!$A:$A,增益!$M:$M,0))&gt;0,($F$13-$I$4+VLOOKUP($Q112,武学奇术!$A:$ZZ,13,FALSE)+SUM(_xlfn.XLOOKUP(R112:AF112,增益!$A:$A,增益!$K:$K,0)))/200,($F$13-$I$4+VLOOKUP($Q112,武学奇术!$A:$ZZ,13,FALSE)+SUM(_xlfn.XLOOKUP(R112:AF112,增益!$A:$A,增益!$M:$M,0)))/100)</f>
        <v>-0.3</v>
      </c>
      <c r="BD112" s="35" cm="1">
        <f t="array" ref="BD112">$G$13+VLOOKUP($Q112,武学奇术!$A:$ZZ,14,FALSE)+SUM(_xlfn.XLOOKUP(R112:AF112,增益!$A:$A,增益!$N:$N,0))</f>
        <v>0</v>
      </c>
      <c r="BE112">
        <f t="shared" si="19"/>
        <v>538</v>
      </c>
      <c r="BF112">
        <f t="shared" si="20"/>
        <v>1561.4</v>
      </c>
      <c r="BG112" s="35" cm="1">
        <f t="array" ref="BG112">IF($F$14-$I$4+VLOOKUP($Q112,武学奇术!$A:$ZZ,15,FALSE)+SUM(_xlfn.XLOOKUP(R112:AF112,增益!$A:$A,增益!$O:$O,0))&gt;0,($F$14-$I$4+VLOOKUP($Q112,武学奇术!$A:$ZZ,15,FALSE)+SUM(_xlfn.XLOOKUP(R112:AF112,增益!$A:$A,增益!$O:$O,0)))/200,($F$14-$I$4+VLOOKUP($Q112,武学奇术!$A:$ZZ,15,FALSE)+SUM(_xlfn.XLOOKUP(R112:AF112,增益!$A:$A,增益!$O:$O,0)))/100)</f>
        <v>0</v>
      </c>
      <c r="BH112" s="35" cm="1">
        <f t="array" ref="BH112">$G$14+VLOOKUP($Q112,武学奇术!$A:$ZZ,16,FALSE)+SUM(_xlfn.XLOOKUP(R112:AF112,增益!$A:$A,增益!$P:$P,0))</f>
        <v>0.15</v>
      </c>
      <c r="BI112" s="30">
        <f>MIN(IF(VLOOKUP($Q112,武学奇术!$A:$ZZ,23,FALSE)=1,100%,$B$8),100%)</f>
        <v>0.9712</v>
      </c>
      <c r="BJ112" s="30" cm="1">
        <f t="array" ref="BJ112">IF(VLOOKUP($Q112,武学奇术!$A:$ZZ,23,FALSE)=1,100%,MIN(80%,$B$9+VLOOKUP($Q112,武学奇术!$A:$ZZ,17,FALSE)+SUM(_xlfn.XLOOKUP(R112:AF112,增益!$A:$A,增益!$Q:$Q,0)))+$B$11+SUM(_xlfn.XLOOKUP(R112:AF112,增益!$A:$A,增益!$U:$U,0)))*IF(VLOOKUP($Q112,武学奇术!$A:$ZZ,24,FALSE)=1,0,1)</f>
        <v>0.8773</v>
      </c>
      <c r="BK112" s="30" cm="1">
        <f t="array" ref="BK112">1+$B$13+VLOOKUP($Q112,武学奇术!$A:$ZZ,18,FALSE)+SUM(_xlfn.XLOOKUP(R112:AF112,增益!$A:$A,增益!$R:$R,0))</f>
        <v>1.5</v>
      </c>
      <c r="BL112" s="30" cm="1">
        <f t="array" ref="BL112">IF(VLOOKUP($Q112,武学奇术!$A:$ZZ,24,FALSE)=1,100%,MIN(40%,$B$10+VLOOKUP($Q112,武学奇术!$A:$ZZ,19,FALSE)+SUM(_xlfn.XLOOKUP(R112:AF112,增益!$A:$A,增益!$S:$S,0)))+$B$12+SUM(_xlfn.XLOOKUP(R112:AF112,增益!$A:$A,增益!$V:$V,0)))*IF(VLOOKUP($Q112,武学奇术!$A:$ZZ,23,FALSE)=1,0,1)</f>
        <v>0.0895</v>
      </c>
      <c r="BM112" s="30" cm="1">
        <f t="array" ref="BM112">1+$B$14+VLOOKUP($Q112,武学奇术!$A:$ZZ,20,FALSE)+SUM(_xlfn.XLOOKUP(R112:AF112,增益!$A:$A,增益!$T:$T,0))</f>
        <v>1.35</v>
      </c>
      <c r="BN112" s="30">
        <f t="shared" si="21"/>
        <v>0.85203376</v>
      </c>
      <c r="BO112" s="30">
        <f t="shared" si="22"/>
        <v>0.03224384</v>
      </c>
      <c r="BP112" s="30">
        <f>IF(VLOOKUP($Q112,武学奇术!$A:$ZZ,22,FALSE)=1,0,(1-$BI112))*(1-$BL112)</f>
        <v>0.0262224</v>
      </c>
      <c r="BQ112" s="30" cm="1">
        <f t="array" ref="BQ112">SUM(_xlfn.XLOOKUP(R112:AF112,增益!$A:$A,增益!$W:$W,0))+$I$5</f>
        <v>0.11</v>
      </c>
    </row>
    <row r="113" spans="11:69">
      <c r="K113" s="41">
        <f t="shared" ref="K113:K129" si="25">($L113*$BN113+$M113*$BL113+$N113*$BO113+$O113*$BP113)</f>
        <v>113340.529442986</v>
      </c>
      <c r="L113" s="41">
        <f>((($AN113+$AO113)/2*$AH113+$AI113)*(1+$AP113)*(1+$AQ113)+(($AS113+$AT113)/2*IF($G$1="鸣金",$AJ113,$AH113)+IF($G$1="鸣金",$AK113*1.5,0))*(1+$AU113)*(1+$AV113)+(($AW113+$AX113)/2*IF($G$1="裂石",$AJ113,$AH113)+IF($G$1="裂石",$AK113*1.5,0))*(1+$AY113)*(1+$AZ113)+(($BA113+$BB113)/2*IF($G$1="牵丝",$AJ113,$AH113)+IF($G$1="牵丝",$AK113*1.5,0))*(1+$BC113)*(1+$BD113)+(($BE113+$BF113)/2*IF($G$1="破竹",$AJ113,$AH113)+IF($G$1="破竹",$AK113*1.5,0))*(1+$BG113)*(1+$BH113))*(1+$AL113)*$BK113*$P113*(1+IF(VLOOKUP($Q113,武学奇术!$A:$ZZ,30,FALSE)="回旋伞",$B$21,0))*(1+$BQ113)</f>
        <v>118732.259650289</v>
      </c>
      <c r="M113" s="41">
        <f>(($AO113*$AH113+$AI113)*(1+$AP113)*(1+$AQ113)+($AT113*IF($G$1="鸣金",$AJ113,$AH113)+IF($G$1="鸣金",$AK113*1.5,0))*(1+$AU113)*(1+$AV113)+($AX113*IF($G$1="裂石",$AJ113,$AH113)+IF($G$1="裂石",$AK113*1.5,0))*(1+$AY113)*(1+$AZ113)+($BB113*IF($G$1="牵丝",$AJ113,$AH113)+IF($G$1="牵丝",$AK113*1.5,0))*(1+$BC113)*(1+$BD113)+($BF113*IF($G$1="破竹",$AJ113,$AH113)+IF($G$1="破竹",$AK113*1.5,0))*(1+$BG113)*(1+$BH113))*(1+$AL113)*$BM113*$P113*(1+IF(VLOOKUP($Q113,武学奇术!$A:$ZZ,30,FALSE)="回旋伞",$B$21,0))*(1+$BQ113)</f>
        <v>97030.1410662176</v>
      </c>
      <c r="N113" s="41">
        <f>((($AN113+$AO113)/2*$AH113+$AI113)*(1+$AP113)*(1+$AQ113)+(($AS113+$AT113)/2*IF($G$1="鸣金",$AJ113,$AH113)+IF($G$1="鸣金",$AK113*1.5,0))*(1+$AU113)*(1+$AV113)+(($AW113+$AX113)/2*IF($G$1="裂石",$AJ113,$AH113)+IF($G$1="裂石",$AK113*1.5,0))*(1+$AY113)*(1+$AZ113)+(($BA113+$BB113)/2*IF($G$1="牵丝",$AJ113,$AH113)+IF($G$1="牵丝",$AK113*1.5,0))*(1+$BC113)*(1+$BD113)+(($BE113+$BF113)/2*IF($G$1="破竹",$AJ113,$AH113)+IF($G$1="破竹",$AK113*1.5,0))*(1+$BG113)*(1+$BH113))*(1+$AL113)*$P113*(1+IF(VLOOKUP($Q113,武学奇术!$A:$ZZ,30,FALSE)="回旋伞",$B$21,0))*(1+$BQ113)</f>
        <v>63493.1869787644</v>
      </c>
      <c r="O113" s="41">
        <f>((($AN113*$AH113+$AI113)*(1+$AP113)*(1+$AQ113)+($AS113*IF($G$1="鸣金",$AJ113,$AH113)+IF($G$1="鸣金",$AK113*1.5,0))*(1+$AU113)*(1+$AV113)+($AW113*IF($G$1="裂石",$AJ113,$AH113)+IF($G$1="裂石",$AK113*1.5,0))*(1+$AY113)*(1+$AZ113)+($BA113*IF($G$1="牵丝",$AJ113,$AH113)+IF($G$1="牵丝",$AK113*1.5,0))*(1+$BC113)*(1+$BD113)+($BE113*IF($G$1="破竹",$AJ113,$AH113)+IF($G$1="破竹",$AK113*1.5,0))*(1+$BG113)*(1+$BH113))*(1+$AL113))*$P113*(1+IF(VLOOKUP($Q113,武学奇术!$A:$ZZ,30,FALSE)="回旋伞",$B$21,0))*(1+$BQ113)</f>
        <v>55112.1953899602</v>
      </c>
      <c r="P113" s="42">
        <v>1</v>
      </c>
      <c r="Q113" s="43" t="s">
        <v>136</v>
      </c>
      <c r="R113" s="43" t="s">
        <v>71</v>
      </c>
      <c r="S113" s="43" t="s">
        <v>91</v>
      </c>
      <c r="T113" s="43" t="s">
        <v>72</v>
      </c>
      <c r="U113" s="43" t="s">
        <v>71</v>
      </c>
      <c r="V113" s="43" t="s">
        <v>167</v>
      </c>
      <c r="W113" s="43" t="s">
        <v>95</v>
      </c>
      <c r="X113" s="43" t="s">
        <v>71</v>
      </c>
      <c r="Y113" s="43" t="s">
        <v>71</v>
      </c>
      <c r="Z113" s="43" t="s">
        <v>71</v>
      </c>
      <c r="AA113" s="43" t="s">
        <v>71</v>
      </c>
      <c r="AB113" s="43" t="s">
        <v>71</v>
      </c>
      <c r="AC113" s="43" t="s">
        <v>71</v>
      </c>
      <c r="AD113" s="43" t="s">
        <v>71</v>
      </c>
      <c r="AE113" s="43" t="s">
        <v>71</v>
      </c>
      <c r="AF113" s="43" t="s">
        <v>76</v>
      </c>
      <c r="AG113" t="str">
        <f>VLOOKUP($Q113,武学奇术!$A:$ZZ,25,FALSE)</f>
        <v>单体奇术</v>
      </c>
      <c r="AH113" s="30">
        <f>VLOOKUP($Q113,武学奇术!$A:$ZZ,26,FALSE)</f>
        <v>7.1074</v>
      </c>
      <c r="AI113" s="31">
        <f>VLOOKUP($Q113,武学奇术!$A:$ZZ,27,FALSE)*(1+IF(OR($AG113=$F$4,$AG113=$F$5),$B$22,0))</f>
        <v>1320</v>
      </c>
      <c r="AJ113" s="30">
        <f>VLOOKUP($Q113,武学奇术!$A:$ZZ,28,FALSE)</f>
        <v>10.6596</v>
      </c>
      <c r="AK113" s="31">
        <f>VLOOKUP($Q113,武学奇术!$A:$ZZ,29,FALSE)*(1+IF(OR($AG113=$F$4,$AG113=$F$5),$B$22,0))</f>
        <v>0</v>
      </c>
      <c r="AL113" s="30" cm="1">
        <f t="array" ref="AL113">$G$3+IFERROR(VLOOKUP($AG113,$F$4:$G$7,2,FALSE),0)+VLOOKUP($Q113,武学奇术!$A:$ZZ,2,FALSE)+SUM(_xlfn.XLOOKUP($R113:$AF113,增益!$A:$A,增益!$B:$B,0))</f>
        <v>0.2037</v>
      </c>
      <c r="AM113" s="30" cm="1">
        <f t="array" ref="AM113">VLOOKUP($Q113,武学奇术!$A:$ZZ,5,FALSE)+SUM(_xlfn.XLOOKUP($R113:$AF113,增益!$A:$A,增益!$E:$E,0))</f>
        <v>0</v>
      </c>
      <c r="AN113" cm="1">
        <f t="array" ref="AN113">$D$10*(1+$AM113)+VLOOKUP($Q113,武学奇术!$A:$ZZ,3,FALSE)+SUM(_xlfn.XLOOKUP($R113:$AF113,增益!$A:$A,增益!$C:$C,0))-$I$2</f>
        <v>3483.8</v>
      </c>
      <c r="AO113" cm="1">
        <f t="array" ref="AO113">$E$10*(1+$AM113)+VLOOKUP($Q113,武学奇术!$A:$ZZ,4,FALSE)+SUM(_xlfn.XLOOKUP($R113:$AF113,增益!$A:$A,增益!$D:$D,0))-$I$2</f>
        <v>3483.8</v>
      </c>
      <c r="AP113" s="35" cm="1">
        <f t="array" ref="AP113">IF($F$10-$I$3+VLOOKUP($Q113,武学奇术!$A:$ZZ,6,FALSE)+SUM(_xlfn.XLOOKUP(R113:AF113,增益!$A:$A,增益!$F:$F,0))&gt;0,($F$10-$I$3+VLOOKUP($Q113,武学奇术!$A:$ZZ,6,FALSE)+SUM(_xlfn.XLOOKUP(R113:AF113,增益!$A:$A,增益!$F:$F,0)))/200,($F$10-$I$3+VLOOKUP($Q113,武学奇术!$A:$ZZ,6,FALSE)+SUM(_xlfn.XLOOKUP(R113:AF113,增益!$A:$A,增益!$F:$F,0)))/100)</f>
        <v>0.2925</v>
      </c>
      <c r="AQ113" s="35" cm="1">
        <f t="array" ref="AQ113">$G$10+VLOOKUP($Q113,武学奇术!$A:$ZZ,7,FALSE)+SUM(_xlfn.XLOOKUP(R113:AF113,增益!$A:$A,增益!$G:$G,0))</f>
        <v>0.028</v>
      </c>
      <c r="AR113" s="30" cm="1">
        <f t="array" ref="AR113">VLOOKUP($Q113,武学奇术!$A:$ZZ,8,FALSE)+SUM(_xlfn.XLOOKUP(R113:AF113,增益!$A:$A,增益!$H:$H,0))</f>
        <v>0</v>
      </c>
      <c r="AS113">
        <f t="shared" si="13"/>
        <v>0</v>
      </c>
      <c r="AT113">
        <f t="shared" si="14"/>
        <v>0</v>
      </c>
      <c r="AU113" s="35" cm="1">
        <f t="array" ref="AU113">IF($F$11-$I$4+VLOOKUP($Q113,武学奇术!$A:$ZZ,9,FALSE)+SUM(_xlfn.XLOOKUP(R113:AF113,增益!$A:$A,增益!$I:$I,0))&gt;0,($F$11-$I$4+VLOOKUP($Q113,武学奇术!$A:$ZZ,9,FALSE)+SUM(_xlfn.XLOOKUP(R113:AF113,增益!$A:$A,增益!$I:$I,0)))/200,($F$11-$I$4+VLOOKUP($Q113,武学奇术!$A:$ZZ,9,FALSE)+SUM(_xlfn.XLOOKUP(R113:AF113,增益!$A:$A,增益!$I:$I,0)))/100)</f>
        <v>-0.3</v>
      </c>
      <c r="AV113" s="35" cm="1">
        <f t="array" ref="AV113">$G$11+VLOOKUP($Q113,武学奇术!$A:$ZZ,10,FALSE)+SUM(_xlfn.XLOOKUP(R113:AF113,增益!$A:$A,增益!$J:$J,0))</f>
        <v>0</v>
      </c>
      <c r="AW113">
        <f t="shared" si="15"/>
        <v>0</v>
      </c>
      <c r="AX113">
        <f t="shared" si="16"/>
        <v>0</v>
      </c>
      <c r="AY113" s="35" cm="1">
        <f t="array" ref="AY113">IF($F$12-$I$4+VLOOKUP($Q113,武学奇术!$A:$ZZ,11,FALSE)+SUM(_xlfn.XLOOKUP(R113:AF113,增益!$A:$A,增益!$K:$K,0))&gt;0,($F$12-$I$4+VLOOKUP($Q113,武学奇术!$A:$ZZ,11,FALSE)+SUM(_xlfn.XLOOKUP(R113:AF113,增益!$A:$A,增益!$K:$K,0)))/200,($F$12-$I$4+VLOOKUP($Q113,武学奇术!$A:$ZZ,11,FALSE)+SUM(_xlfn.XLOOKUP(R113:AF113,增益!$A:$A,增益!$K:$K,0)))/100)</f>
        <v>-0.3</v>
      </c>
      <c r="AZ113" s="35" cm="1">
        <f t="array" ref="AZ113">$G$12+VLOOKUP($Q113,武学奇术!$A:$ZZ,12,FALSE)+SUM(_xlfn.XLOOKUP(R113:AF113,增益!$A:$A,增益!$L:$L,0))</f>
        <v>0</v>
      </c>
      <c r="BA113">
        <f t="shared" si="17"/>
        <v>0</v>
      </c>
      <c r="BB113">
        <f t="shared" si="18"/>
        <v>0</v>
      </c>
      <c r="BC113" s="35" cm="1">
        <f t="array" ref="BC113">IF($F$13-$I$4+VLOOKUP($Q113,武学奇术!$A:$ZZ,13,FALSE)+SUM(_xlfn.XLOOKUP(R113:AF113,增益!$A:$A,增益!$M:$M,0))&gt;0,($F$13-$I$4+VLOOKUP($Q113,武学奇术!$A:$ZZ,13,FALSE)+SUM(_xlfn.XLOOKUP(R113:AF113,增益!$A:$A,增益!$K:$K,0)))/200,($F$13-$I$4+VLOOKUP($Q113,武学奇术!$A:$ZZ,13,FALSE)+SUM(_xlfn.XLOOKUP(R113:AF113,增益!$A:$A,增益!$M:$M,0)))/100)</f>
        <v>-0.3</v>
      </c>
      <c r="BD113" s="35" cm="1">
        <f t="array" ref="BD113">$G$13+VLOOKUP($Q113,武学奇术!$A:$ZZ,14,FALSE)+SUM(_xlfn.XLOOKUP(R113:AF113,增益!$A:$A,增益!$N:$N,0))</f>
        <v>0</v>
      </c>
      <c r="BE113">
        <f t="shared" si="19"/>
        <v>538</v>
      </c>
      <c r="BF113">
        <f t="shared" si="20"/>
        <v>1561.4</v>
      </c>
      <c r="BG113" s="35" cm="1">
        <f t="array" ref="BG113">IF($F$14-$I$4+VLOOKUP($Q113,武学奇术!$A:$ZZ,15,FALSE)+SUM(_xlfn.XLOOKUP(R113:AF113,增益!$A:$A,增益!$O:$O,0))&gt;0,($F$14-$I$4+VLOOKUP($Q113,武学奇术!$A:$ZZ,15,FALSE)+SUM(_xlfn.XLOOKUP(R113:AF113,增益!$A:$A,增益!$O:$O,0)))/200,($F$14-$I$4+VLOOKUP($Q113,武学奇术!$A:$ZZ,15,FALSE)+SUM(_xlfn.XLOOKUP(R113:AF113,增益!$A:$A,增益!$O:$O,0)))/100)</f>
        <v>0</v>
      </c>
      <c r="BH113" s="35" cm="1">
        <f t="array" ref="BH113">$G$14+VLOOKUP($Q113,武学奇术!$A:$ZZ,16,FALSE)+SUM(_xlfn.XLOOKUP(R113:AF113,增益!$A:$A,增益!$P:$P,0))</f>
        <v>0.15</v>
      </c>
      <c r="BI113" s="30">
        <f>MIN(IF(VLOOKUP($Q113,武学奇术!$A:$ZZ,23,FALSE)=1,100%,$B$8),100%)</f>
        <v>0.9712</v>
      </c>
      <c r="BJ113" s="30" cm="1">
        <f t="array" ref="BJ113">IF(VLOOKUP($Q113,武学奇术!$A:$ZZ,23,FALSE)=1,100%,MIN(80%,$B$9+VLOOKUP($Q113,武学奇术!$A:$ZZ,17,FALSE)+SUM(_xlfn.XLOOKUP(R113:AF113,增益!$A:$A,增益!$Q:$Q,0)))+$B$11+SUM(_xlfn.XLOOKUP(R113:AF113,增益!$A:$A,增益!$U:$U,0)))*IF(VLOOKUP($Q113,武学奇术!$A:$ZZ,24,FALSE)=1,0,1)</f>
        <v>0.8773</v>
      </c>
      <c r="BK113" s="30" cm="1">
        <f t="array" ref="BK113">1+$B$13+VLOOKUP($Q113,武学奇术!$A:$ZZ,18,FALSE)+SUM(_xlfn.XLOOKUP(R113:AF113,增益!$A:$A,增益!$R:$R,0))</f>
        <v>1.87</v>
      </c>
      <c r="BL113" s="30" cm="1">
        <f t="array" ref="BL113">IF(VLOOKUP($Q113,武学奇术!$A:$ZZ,24,FALSE)=1,100%,MIN(40%,$B$10+VLOOKUP($Q113,武学奇术!$A:$ZZ,19,FALSE)+SUM(_xlfn.XLOOKUP(R113:AF113,增益!$A:$A,增益!$S:$S,0)))+$B$12+SUM(_xlfn.XLOOKUP(R113:AF113,增益!$A:$A,增益!$V:$V,0)))*IF(VLOOKUP($Q113,武学奇术!$A:$ZZ,23,FALSE)=1,0,1)</f>
        <v>0.0895</v>
      </c>
      <c r="BM113" s="30" cm="1">
        <f t="array" ref="BM113">1+$B$14+VLOOKUP($Q113,武学奇术!$A:$ZZ,20,FALSE)+SUM(_xlfn.XLOOKUP(R113:AF113,增益!$A:$A,增益!$T:$T,0))</f>
        <v>1.35</v>
      </c>
      <c r="BN113" s="30">
        <f t="shared" si="21"/>
        <v>0.85203376</v>
      </c>
      <c r="BO113" s="30">
        <f t="shared" si="22"/>
        <v>0.03224384</v>
      </c>
      <c r="BP113" s="30">
        <f>IF(VLOOKUP($Q113,武学奇术!$A:$ZZ,22,FALSE)=1,0,(1-$BI113))*(1-$BL113)</f>
        <v>0.0262224</v>
      </c>
      <c r="BQ113" s="30" cm="1">
        <f t="array" ref="BQ113">SUM(_xlfn.XLOOKUP(R113:AF113,增益!$A:$A,增益!$W:$W,0))+$I$5</f>
        <v>0.11</v>
      </c>
    </row>
    <row r="114" spans="11:69">
      <c r="K114" s="41">
        <f t="shared" si="25"/>
        <v>120335.554617856</v>
      </c>
      <c r="L114" s="41">
        <f>((($AN114+$AO114)/2*$AH114+$AI114)*(1+$AP114)*(1+$AQ114)+(($AS114+$AT114)/2*IF($G$1="鸣金",$AJ114,$AH114)+IF($G$1="鸣金",$AK114*1.5,0))*(1+$AU114)*(1+$AV114)+(($AW114+$AX114)/2*IF($G$1="裂石",$AJ114,$AH114)+IF($G$1="裂石",$AK114*1.5,0))*(1+$AY114)*(1+$AZ114)+(($BA114+$BB114)/2*IF($G$1="牵丝",$AJ114,$AH114)+IF($G$1="牵丝",$AK114*1.5,0))*(1+$BC114)*(1+$BD114)+(($BE114+$BF114)/2*IF($G$1="破竹",$AJ114,$AH114)+IF($G$1="破竹",$AK114*1.5,0))*(1+$BG114)*(1+$BH114))*(1+$AL114)*$BK114*$P114*(1+IF(VLOOKUP($Q114,武学奇术!$A:$ZZ,30,FALSE)="回旋伞",$B$21,0))*(1+$BQ114)</f>
        <v>126136.050099366</v>
      </c>
      <c r="M114" s="41">
        <f>(($AO114*$AH114+$AI114)*(1+$AP114)*(1+$AQ114)+($AT114*IF($G$1="鸣金",$AJ114,$AH114)+IF($G$1="鸣金",$AK114*1.5,0))*(1+$AU114)*(1+$AV114)+($AX114*IF($G$1="裂石",$AJ114,$AH114)+IF($G$1="裂石",$AK114*1.5,0))*(1+$AY114)*(1+$AZ114)+($BB114*IF($G$1="牵丝",$AJ114,$AH114)+IF($G$1="牵丝",$AK114*1.5,0))*(1+$BC114)*(1+$BD114)+($BF114*IF($G$1="破竹",$AJ114,$AH114)+IF($G$1="破竹",$AK114*1.5,0))*(1+$BG114)*(1+$BH114))*(1+$AL114)*$BM114*$P114*(1+IF(VLOOKUP($Q114,武学奇术!$A:$ZZ,30,FALSE)="回旋伞",$B$21,0))*(1+$BQ114)</f>
        <v>102045.304341721</v>
      </c>
      <c r="N114" s="41">
        <f>((($AN114+$AO114)/2*$AH114+$AI114)*(1+$AP114)*(1+$AQ114)+(($AS114+$AT114)/2*IF($G$1="鸣金",$AJ114,$AH114)+IF($G$1="鸣金",$AK114*1.5,0))*(1+$AU114)*(1+$AV114)+(($AW114+$AX114)/2*IF($G$1="裂石",$AJ114,$AH114)+IF($G$1="裂石",$AK114*1.5,0))*(1+$AY114)*(1+$AZ114)+(($BA114+$BB114)/2*IF($G$1="牵丝",$AJ114,$AH114)+IF($G$1="牵丝",$AK114*1.5,0))*(1+$BC114)*(1+$BD114)+(($BE114+$BF114)/2*IF($G$1="破竹",$AJ114,$AH114)+IF($G$1="破竹",$AK114*1.5,0))*(1+$BG114)*(1+$BH114))*(1+$AL114)*$P114*(1+IF(VLOOKUP($Q114,武学奇术!$A:$ZZ,30,FALSE)="回旋伞",$B$21,0))*(1+$BQ114)</f>
        <v>67452.4332082169</v>
      </c>
      <c r="O114" s="41">
        <f>((($AN114*$AH114+$AI114)*(1+$AP114)*(1+$AQ114)+($AS114*IF($G$1="鸣金",$AJ114,$AH114)+IF($G$1="鸣金",$AK114*1.5,0))*(1+$AU114)*(1+$AV114)+($AW114*IF($G$1="裂石",$AJ114,$AH114)+IF($G$1="裂石",$AK114*1.5,0))*(1+$AY114)*(1+$AZ114)+($BA114*IF($G$1="牵丝",$AJ114,$AH114)+IF($G$1="牵丝",$AK114*1.5,0))*(1+$BC114)*(1+$BD114)+($BE114*IF($G$1="破竹",$AJ114,$AH114)+IF($G$1="破竹",$AK114*1.5,0))*(1+$BG114)*(1+$BH114))*(1+$AL114))*$P114*(1+IF(VLOOKUP($Q114,武学奇术!$A:$ZZ,30,FALSE)="回旋伞",$B$21,0))*(1+$BQ114)</f>
        <v>59315.7520892335</v>
      </c>
      <c r="P114" s="42">
        <v>3</v>
      </c>
      <c r="Q114" s="43" t="s">
        <v>140</v>
      </c>
      <c r="R114" s="43" t="s">
        <v>71</v>
      </c>
      <c r="S114" s="43" t="s">
        <v>91</v>
      </c>
      <c r="T114" s="43" t="s">
        <v>72</v>
      </c>
      <c r="U114" s="43" t="s">
        <v>71</v>
      </c>
      <c r="V114" s="43" t="s">
        <v>167</v>
      </c>
      <c r="W114" s="43" t="s">
        <v>95</v>
      </c>
      <c r="X114" s="43" t="s">
        <v>71</v>
      </c>
      <c r="Y114" s="43" t="s">
        <v>71</v>
      </c>
      <c r="Z114" s="43" t="s">
        <v>71</v>
      </c>
      <c r="AA114" s="43" t="s">
        <v>71</v>
      </c>
      <c r="AB114" s="43" t="s">
        <v>71</v>
      </c>
      <c r="AC114" s="43" t="s">
        <v>71</v>
      </c>
      <c r="AD114" s="43" t="s">
        <v>71</v>
      </c>
      <c r="AE114" s="43" t="s">
        <v>71</v>
      </c>
      <c r="AF114" s="43" t="s">
        <v>76</v>
      </c>
      <c r="AG114" t="str">
        <f>VLOOKUP($Q114,武学奇术!$A:$ZZ,25,FALSE)</f>
        <v>伞</v>
      </c>
      <c r="AH114" s="30">
        <f>VLOOKUP($Q114,武学奇术!$A:$ZZ,26,FALSE)</f>
        <v>2.01456</v>
      </c>
      <c r="AI114" s="31">
        <f>VLOOKUP($Q114,武学奇术!$A:$ZZ,27,FALSE)*(1+IF(OR($AG114=$F$4,$AG114=$F$5),$B$22,0))</f>
        <v>781.2</v>
      </c>
      <c r="AJ114" s="30">
        <f>VLOOKUP($Q114,武学奇术!$A:$ZZ,28,FALSE)</f>
        <v>3.02184</v>
      </c>
      <c r="AK114" s="31">
        <f>VLOOKUP($Q114,武学奇术!$A:$ZZ,29,FALSE)*(1+IF(OR($AG114=$F$4,$AG114=$F$5),$B$22,0))</f>
        <v>423.36</v>
      </c>
      <c r="AL114" s="30" cm="1">
        <f t="array" ref="AL114">$G$3+IFERROR(VLOOKUP($AG114,$F$4:$G$7,2,FALSE),0)+VLOOKUP($Q114,武学奇术!$A:$ZZ,2,FALSE)+SUM(_xlfn.XLOOKUP($R114:$AF114,增益!$A:$A,增益!$B:$B,0))</f>
        <v>0.3741</v>
      </c>
      <c r="AM114" s="30" cm="1">
        <f t="array" ref="AM114">VLOOKUP($Q114,武学奇术!$A:$ZZ,5,FALSE)+SUM(_xlfn.XLOOKUP($R114:$AF114,增益!$A:$A,增益!$E:$E,0))</f>
        <v>0</v>
      </c>
      <c r="AN114" cm="1">
        <f t="array" ref="AN114">$D$10*(1+$AM114)+VLOOKUP($Q114,武学奇术!$A:$ZZ,3,FALSE)+SUM(_xlfn.XLOOKUP($R114:$AF114,增益!$A:$A,增益!$C:$C,0))-$I$2</f>
        <v>3483.8</v>
      </c>
      <c r="AO114" cm="1">
        <f t="array" ref="AO114">$E$10*(1+$AM114)+VLOOKUP($Q114,武学奇术!$A:$ZZ,4,FALSE)+SUM(_xlfn.XLOOKUP($R114:$AF114,增益!$A:$A,增益!$D:$D,0))-$I$2</f>
        <v>3483.8</v>
      </c>
      <c r="AP114" s="35" cm="1">
        <f t="array" ref="AP114">IF($F$10-$I$3+VLOOKUP($Q114,武学奇术!$A:$ZZ,6,FALSE)+SUM(_xlfn.XLOOKUP(R114:AF114,增益!$A:$A,增益!$F:$F,0))&gt;0,($F$10-$I$3+VLOOKUP($Q114,武学奇术!$A:$ZZ,6,FALSE)+SUM(_xlfn.XLOOKUP(R114:AF114,增益!$A:$A,增益!$F:$F,0)))/200,($F$10-$I$3+VLOOKUP($Q114,武学奇术!$A:$ZZ,6,FALSE)+SUM(_xlfn.XLOOKUP(R114:AF114,增益!$A:$A,增益!$F:$F,0)))/100)</f>
        <v>0.2925</v>
      </c>
      <c r="AQ114" s="35" cm="1">
        <f t="array" ref="AQ114">$G$10+VLOOKUP($Q114,武学奇术!$A:$ZZ,7,FALSE)+SUM(_xlfn.XLOOKUP(R114:AF114,增益!$A:$A,增益!$G:$G,0))</f>
        <v>0.028</v>
      </c>
      <c r="AR114" s="30" cm="1">
        <f t="array" ref="AR114">VLOOKUP($Q114,武学奇术!$A:$ZZ,8,FALSE)+SUM(_xlfn.XLOOKUP(R114:AF114,增益!$A:$A,增益!$H:$H,0))</f>
        <v>0</v>
      </c>
      <c r="AS114">
        <f t="shared" si="13"/>
        <v>0</v>
      </c>
      <c r="AT114">
        <f t="shared" si="14"/>
        <v>0</v>
      </c>
      <c r="AU114" s="35" cm="1">
        <f t="array" ref="AU114">IF($F$11-$I$4+VLOOKUP($Q114,武学奇术!$A:$ZZ,9,FALSE)+SUM(_xlfn.XLOOKUP(R114:AF114,增益!$A:$A,增益!$I:$I,0))&gt;0,($F$11-$I$4+VLOOKUP($Q114,武学奇术!$A:$ZZ,9,FALSE)+SUM(_xlfn.XLOOKUP(R114:AF114,增益!$A:$A,增益!$I:$I,0)))/200,($F$11-$I$4+VLOOKUP($Q114,武学奇术!$A:$ZZ,9,FALSE)+SUM(_xlfn.XLOOKUP(R114:AF114,增益!$A:$A,增益!$I:$I,0)))/100)</f>
        <v>-0.3</v>
      </c>
      <c r="AV114" s="35" cm="1">
        <f t="array" ref="AV114">$G$11+VLOOKUP($Q114,武学奇术!$A:$ZZ,10,FALSE)+SUM(_xlfn.XLOOKUP(R114:AF114,增益!$A:$A,增益!$J:$J,0))</f>
        <v>0</v>
      </c>
      <c r="AW114">
        <f t="shared" si="15"/>
        <v>0</v>
      </c>
      <c r="AX114">
        <f t="shared" si="16"/>
        <v>0</v>
      </c>
      <c r="AY114" s="35" cm="1">
        <f t="array" ref="AY114">IF($F$12-$I$4+VLOOKUP($Q114,武学奇术!$A:$ZZ,11,FALSE)+SUM(_xlfn.XLOOKUP(R114:AF114,增益!$A:$A,增益!$K:$K,0))&gt;0,($F$12-$I$4+VLOOKUP($Q114,武学奇术!$A:$ZZ,11,FALSE)+SUM(_xlfn.XLOOKUP(R114:AF114,增益!$A:$A,增益!$K:$K,0)))/200,($F$12-$I$4+VLOOKUP($Q114,武学奇术!$A:$ZZ,11,FALSE)+SUM(_xlfn.XLOOKUP(R114:AF114,增益!$A:$A,增益!$K:$K,0)))/100)</f>
        <v>-0.3</v>
      </c>
      <c r="AZ114" s="35" cm="1">
        <f t="array" ref="AZ114">$G$12+VLOOKUP($Q114,武学奇术!$A:$ZZ,12,FALSE)+SUM(_xlfn.XLOOKUP(R114:AF114,增益!$A:$A,增益!$L:$L,0))</f>
        <v>0</v>
      </c>
      <c r="BA114">
        <f t="shared" si="17"/>
        <v>0</v>
      </c>
      <c r="BB114">
        <f t="shared" si="18"/>
        <v>0</v>
      </c>
      <c r="BC114" s="35" cm="1">
        <f t="array" ref="BC114">IF($F$13-$I$4+VLOOKUP($Q114,武学奇术!$A:$ZZ,13,FALSE)+SUM(_xlfn.XLOOKUP(R114:AF114,增益!$A:$A,增益!$M:$M,0))&gt;0,($F$13-$I$4+VLOOKUP($Q114,武学奇术!$A:$ZZ,13,FALSE)+SUM(_xlfn.XLOOKUP(R114:AF114,增益!$A:$A,增益!$K:$K,0)))/200,($F$13-$I$4+VLOOKUP($Q114,武学奇术!$A:$ZZ,13,FALSE)+SUM(_xlfn.XLOOKUP(R114:AF114,增益!$A:$A,增益!$M:$M,0)))/100)</f>
        <v>-0.3</v>
      </c>
      <c r="BD114" s="35" cm="1">
        <f t="array" ref="BD114">$G$13+VLOOKUP($Q114,武学奇术!$A:$ZZ,14,FALSE)+SUM(_xlfn.XLOOKUP(R114:AF114,增益!$A:$A,增益!$N:$N,0))</f>
        <v>0</v>
      </c>
      <c r="BE114">
        <f t="shared" si="19"/>
        <v>538</v>
      </c>
      <c r="BF114">
        <f t="shared" si="20"/>
        <v>1561.4</v>
      </c>
      <c r="BG114" s="35" cm="1">
        <f t="array" ref="BG114">IF($F$14-$I$4+VLOOKUP($Q114,武学奇术!$A:$ZZ,15,FALSE)+SUM(_xlfn.XLOOKUP(R114:AF114,增益!$A:$A,增益!$O:$O,0))&gt;0,($F$14-$I$4+VLOOKUP($Q114,武学奇术!$A:$ZZ,15,FALSE)+SUM(_xlfn.XLOOKUP(R114:AF114,增益!$A:$A,增益!$O:$O,0)))/200,($F$14-$I$4+VLOOKUP($Q114,武学奇术!$A:$ZZ,15,FALSE)+SUM(_xlfn.XLOOKUP(R114:AF114,增益!$A:$A,增益!$O:$O,0)))/100)</f>
        <v>0</v>
      </c>
      <c r="BH114" s="35" cm="1">
        <f t="array" ref="BH114">$G$14+VLOOKUP($Q114,武学奇术!$A:$ZZ,16,FALSE)+SUM(_xlfn.XLOOKUP(R114:AF114,增益!$A:$A,增益!$P:$P,0))</f>
        <v>0.15</v>
      </c>
      <c r="BI114" s="30">
        <f>MIN(IF(VLOOKUP($Q114,武学奇术!$A:$ZZ,23,FALSE)=1,100%,$B$8),100%)</f>
        <v>0.9712</v>
      </c>
      <c r="BJ114" s="30" cm="1">
        <f t="array" ref="BJ114">IF(VLOOKUP($Q114,武学奇术!$A:$ZZ,23,FALSE)=1,100%,MIN(80%,$B$9+VLOOKUP($Q114,武学奇术!$A:$ZZ,17,FALSE)+SUM(_xlfn.XLOOKUP(R114:AF114,增益!$A:$A,增益!$Q:$Q,0)))+$B$11+SUM(_xlfn.XLOOKUP(R114:AF114,增益!$A:$A,增益!$U:$U,0)))*IF(VLOOKUP($Q114,武学奇术!$A:$ZZ,24,FALSE)=1,0,1)</f>
        <v>0.8773</v>
      </c>
      <c r="BK114" s="30" cm="1">
        <f t="array" ref="BK114">1+$B$13+VLOOKUP($Q114,武学奇术!$A:$ZZ,18,FALSE)+SUM(_xlfn.XLOOKUP(R114:AF114,增益!$A:$A,增益!$R:$R,0))</f>
        <v>1.87</v>
      </c>
      <c r="BL114" s="30" cm="1">
        <f t="array" ref="BL114">IF(VLOOKUP($Q114,武学奇术!$A:$ZZ,24,FALSE)=1,100%,MIN(40%,$B$10+VLOOKUP($Q114,武学奇术!$A:$ZZ,19,FALSE)+SUM(_xlfn.XLOOKUP(R114:AF114,增益!$A:$A,增益!$S:$S,0)))+$B$12+SUM(_xlfn.XLOOKUP(R114:AF114,增益!$A:$A,增益!$V:$V,0)))*IF(VLOOKUP($Q114,武学奇术!$A:$ZZ,23,FALSE)=1,0,1)</f>
        <v>0.0895</v>
      </c>
      <c r="BM114" s="30" cm="1">
        <f t="array" ref="BM114">1+$B$14+VLOOKUP($Q114,武学奇术!$A:$ZZ,20,FALSE)+SUM(_xlfn.XLOOKUP(R114:AF114,增益!$A:$A,增益!$T:$T,0))</f>
        <v>1.35</v>
      </c>
      <c r="BN114" s="30">
        <f t="shared" si="21"/>
        <v>0.85203376</v>
      </c>
      <c r="BO114" s="30">
        <f t="shared" si="22"/>
        <v>0.03224384</v>
      </c>
      <c r="BP114" s="30">
        <f>IF(VLOOKUP($Q114,武学奇术!$A:$ZZ,22,FALSE)=1,0,(1-$BI114))*(1-$BL114)</f>
        <v>0.0262224</v>
      </c>
      <c r="BQ114" s="30" cm="1">
        <f t="array" ref="BQ114">SUM(_xlfn.XLOOKUP(R114:AF114,增益!$A:$A,增益!$W:$W,0))+$I$5</f>
        <v>0.11</v>
      </c>
    </row>
    <row r="115" spans="11:69">
      <c r="K115" s="41">
        <f t="shared" si="25"/>
        <v>32546.5960533531</v>
      </c>
      <c r="L115" s="41">
        <f>((($AN115+$AO115)/2*$AH115+$AI115)*(1+$AP115)*(1+$AQ115)+(($AS115+$AT115)/2*IF($G$1="鸣金",$AJ115,$AH115)+IF($G$1="鸣金",$AK115*1.5,0))*(1+$AU115)*(1+$AV115)+(($AW115+$AX115)/2*IF($G$1="裂石",$AJ115,$AH115)+IF($G$1="裂石",$AK115*1.5,0))*(1+$AY115)*(1+$AZ115)+(($BA115+$BB115)/2*IF($G$1="牵丝",$AJ115,$AH115)+IF($G$1="牵丝",$AK115*1.5,0))*(1+$BC115)*(1+$BD115)+(($BE115+$BF115)/2*IF($G$1="破竹",$AJ115,$AH115)+IF($G$1="破竹",$AK115*1.5,0))*(1+$BG115)*(1+$BH115))*(1+$AL115)*$BK115*$P115*(1+IF(VLOOKUP($Q115,武学奇术!$A:$ZZ,30,FALSE)="回旋伞",$B$21,0))*(1+$BQ115)</f>
        <v>34085.7098567864</v>
      </c>
      <c r="M115" s="41">
        <f>(($AO115*$AH115+$AI115)*(1+$AP115)*(1+$AQ115)+($AT115*IF($G$1="鸣金",$AJ115,$AH115)+IF($G$1="鸣金",$AK115*1.5,0))*(1+$AU115)*(1+$AV115)+($AX115*IF($G$1="裂石",$AJ115,$AH115)+IF($G$1="裂石",$AK115*1.5,0))*(1+$AY115)*(1+$AZ115)+($BB115*IF($G$1="牵丝",$AJ115,$AH115)+IF($G$1="牵丝",$AK115*1.5,0))*(1+$BC115)*(1+$BD115)+($BF115*IF($G$1="破竹",$AJ115,$AH115)+IF($G$1="破竹",$AK115*1.5,0))*(1+$BG115)*(1+$BH115))*(1+$AL115)*$BM115*$P115*(1+IF(VLOOKUP($Q115,武学奇术!$A:$ZZ,30,FALSE)="回旋伞",$B$21,0))*(1+$BQ115)</f>
        <v>27980.2705005996</v>
      </c>
      <c r="N115" s="41">
        <f>((($AN115+$AO115)/2*$AH115+$AI115)*(1+$AP115)*(1+$AQ115)+(($AS115+$AT115)/2*IF($G$1="鸣金",$AJ115,$AH115)+IF($G$1="鸣金",$AK115*1.5,0))*(1+$AU115)*(1+$AV115)+(($AW115+$AX115)/2*IF($G$1="裂石",$AJ115,$AH115)+IF($G$1="裂石",$AK115*1.5,0))*(1+$AY115)*(1+$AZ115)+(($BA115+$BB115)/2*IF($G$1="牵丝",$AJ115,$AH115)+IF($G$1="牵丝",$AK115*1.5,0))*(1+$BC115)*(1+$BD115)+(($BE115+$BF115)/2*IF($G$1="破竹",$AJ115,$AH115)+IF($G$1="破竹",$AK115*1.5,0))*(1+$BG115)*(1+$BH115))*(1+$AL115)*$P115*(1+IF(VLOOKUP($Q115,武学奇术!$A:$ZZ,30,FALSE)="回旋伞",$B$21,0))*(1+$BQ115)</f>
        <v>18227.6523298323</v>
      </c>
      <c r="O115" s="41">
        <f>((($AN115*$AH115+$AI115)*(1+$AP115)*(1+$AQ115)+($AS115*IF($G$1="鸣金",$AJ115,$AH115)+IF($G$1="鸣金",$AK115*1.5,0))*(1+$AU115)*(1+$AV115)+($AW115*IF($G$1="裂石",$AJ115,$AH115)+IF($G$1="裂石",$AK115*1.5,0))*(1+$AY115)*(1+$AZ115)+($BA115*IF($G$1="牵丝",$AJ115,$AH115)+IF($G$1="牵丝",$AK115*1.5,0))*(1+$BC115)*(1+$BD115)+($BE115*IF($G$1="破竹",$AJ115,$AH115)+IF($G$1="破竹",$AK115*1.5,0))*(1+$BG115)*(1+$BH115))*(1+$AL115))*$P115*(1+IF(VLOOKUP($Q115,武学奇术!$A:$ZZ,30,FALSE)="回旋伞",$B$21,0))*(1+$BQ115)</f>
        <v>15729.1783629242</v>
      </c>
      <c r="P115" s="42">
        <v>3</v>
      </c>
      <c r="Q115" s="43" t="s">
        <v>143</v>
      </c>
      <c r="R115" s="43" t="s">
        <v>71</v>
      </c>
      <c r="S115" s="43" t="s">
        <v>91</v>
      </c>
      <c r="T115" s="43" t="s">
        <v>72</v>
      </c>
      <c r="U115" s="43" t="s">
        <v>71</v>
      </c>
      <c r="V115" s="43" t="s">
        <v>167</v>
      </c>
      <c r="W115" s="43" t="s">
        <v>95</v>
      </c>
      <c r="X115" s="43" t="s">
        <v>71</v>
      </c>
      <c r="Y115" s="43" t="s">
        <v>71</v>
      </c>
      <c r="Z115" s="43" t="s">
        <v>71</v>
      </c>
      <c r="AA115" s="43" t="s">
        <v>71</v>
      </c>
      <c r="AB115" s="43" t="s">
        <v>71</v>
      </c>
      <c r="AC115" s="43" t="s">
        <v>71</v>
      </c>
      <c r="AD115" s="43" t="s">
        <v>71</v>
      </c>
      <c r="AE115" s="43" t="s">
        <v>71</v>
      </c>
      <c r="AF115" s="43" t="s">
        <v>76</v>
      </c>
      <c r="AG115" t="str">
        <f>VLOOKUP($Q115,武学奇术!$A:$ZZ,25,FALSE)</f>
        <v>伞</v>
      </c>
      <c r="AH115" s="30">
        <f>VLOOKUP($Q115,武学奇术!$A:$ZZ,26,FALSE)</f>
        <v>0.54</v>
      </c>
      <c r="AI115" s="31">
        <f>VLOOKUP($Q115,武学奇术!$A:$ZZ,27,FALSE)*(1+IF(OR($AG115=$F$4,$AG115=$F$5),$B$22,0))</f>
        <v>0</v>
      </c>
      <c r="AJ115" s="30">
        <f>VLOOKUP($Q115,武学奇术!$A:$ZZ,28,FALSE)</f>
        <v>0.81</v>
      </c>
      <c r="AK115" s="31">
        <f>VLOOKUP($Q115,武学奇术!$A:$ZZ,29,FALSE)*(1+IF(OR($AG115=$F$4,$AG115=$F$5),$B$22,0))</f>
        <v>0</v>
      </c>
      <c r="AL115" s="30" cm="1">
        <f t="array" ref="AL115">$G$3+IFERROR(VLOOKUP($AG115,$F$4:$G$7,2,FALSE),0)+VLOOKUP($Q115,武学奇术!$A:$ZZ,2,FALSE)+SUM(_xlfn.XLOOKUP($R115:$AF115,增益!$A:$A,增益!$B:$B,0))</f>
        <v>0.5741</v>
      </c>
      <c r="AM115" s="30" cm="1">
        <f t="array" ref="AM115">VLOOKUP($Q115,武学奇术!$A:$ZZ,5,FALSE)+SUM(_xlfn.XLOOKUP($R115:$AF115,增益!$A:$A,增益!$E:$E,0))</f>
        <v>0</v>
      </c>
      <c r="AN115" cm="1">
        <f t="array" ref="AN115">$D$10*(1+$AM115)+VLOOKUP($Q115,武学奇术!$A:$ZZ,3,FALSE)+SUM(_xlfn.XLOOKUP($R115:$AF115,增益!$A:$A,增益!$C:$C,0))-$I$2</f>
        <v>3483.8</v>
      </c>
      <c r="AO115" cm="1">
        <f t="array" ref="AO115">$E$10*(1+$AM115)+VLOOKUP($Q115,武学奇术!$A:$ZZ,4,FALSE)+SUM(_xlfn.XLOOKUP($R115:$AF115,增益!$A:$A,增益!$D:$D,0))-$I$2</f>
        <v>3483.8</v>
      </c>
      <c r="AP115" s="35" cm="1">
        <f t="array" ref="AP115">IF($F$10-$I$3+VLOOKUP($Q115,武学奇术!$A:$ZZ,6,FALSE)+SUM(_xlfn.XLOOKUP(R115:AF115,增益!$A:$A,增益!$F:$F,0))&gt;0,($F$10-$I$3+VLOOKUP($Q115,武学奇术!$A:$ZZ,6,FALSE)+SUM(_xlfn.XLOOKUP(R115:AF115,增益!$A:$A,增益!$F:$F,0)))/200,($F$10-$I$3+VLOOKUP($Q115,武学奇术!$A:$ZZ,6,FALSE)+SUM(_xlfn.XLOOKUP(R115:AF115,增益!$A:$A,增益!$F:$F,0)))/100)</f>
        <v>0.2925</v>
      </c>
      <c r="AQ115" s="35" cm="1">
        <f t="array" ref="AQ115">$G$10+VLOOKUP($Q115,武学奇术!$A:$ZZ,7,FALSE)+SUM(_xlfn.XLOOKUP(R115:AF115,增益!$A:$A,增益!$G:$G,0))</f>
        <v>0.028</v>
      </c>
      <c r="AR115" s="30" cm="1">
        <f t="array" ref="AR115">VLOOKUP($Q115,武学奇术!$A:$ZZ,8,FALSE)+SUM(_xlfn.XLOOKUP(R115:AF115,增益!$A:$A,增益!$H:$H,0))</f>
        <v>0</v>
      </c>
      <c r="AS115">
        <f t="shared" si="13"/>
        <v>0</v>
      </c>
      <c r="AT115">
        <f t="shared" si="14"/>
        <v>0</v>
      </c>
      <c r="AU115" s="35" cm="1">
        <f t="array" ref="AU115">IF($F$11-$I$4+VLOOKUP($Q115,武学奇术!$A:$ZZ,9,FALSE)+SUM(_xlfn.XLOOKUP(R115:AF115,增益!$A:$A,增益!$I:$I,0))&gt;0,($F$11-$I$4+VLOOKUP($Q115,武学奇术!$A:$ZZ,9,FALSE)+SUM(_xlfn.XLOOKUP(R115:AF115,增益!$A:$A,增益!$I:$I,0)))/200,($F$11-$I$4+VLOOKUP($Q115,武学奇术!$A:$ZZ,9,FALSE)+SUM(_xlfn.XLOOKUP(R115:AF115,增益!$A:$A,增益!$I:$I,0)))/100)</f>
        <v>-0.3</v>
      </c>
      <c r="AV115" s="35" cm="1">
        <f t="array" ref="AV115">$G$11+VLOOKUP($Q115,武学奇术!$A:$ZZ,10,FALSE)+SUM(_xlfn.XLOOKUP(R115:AF115,增益!$A:$A,增益!$J:$J,0))</f>
        <v>0</v>
      </c>
      <c r="AW115">
        <f t="shared" si="15"/>
        <v>0</v>
      </c>
      <c r="AX115">
        <f t="shared" si="16"/>
        <v>0</v>
      </c>
      <c r="AY115" s="35" cm="1">
        <f t="array" ref="AY115">IF($F$12-$I$4+VLOOKUP($Q115,武学奇术!$A:$ZZ,11,FALSE)+SUM(_xlfn.XLOOKUP(R115:AF115,增益!$A:$A,增益!$K:$K,0))&gt;0,($F$12-$I$4+VLOOKUP($Q115,武学奇术!$A:$ZZ,11,FALSE)+SUM(_xlfn.XLOOKUP(R115:AF115,增益!$A:$A,增益!$K:$K,0)))/200,($F$12-$I$4+VLOOKUP($Q115,武学奇术!$A:$ZZ,11,FALSE)+SUM(_xlfn.XLOOKUP(R115:AF115,增益!$A:$A,增益!$K:$K,0)))/100)</f>
        <v>-0.3</v>
      </c>
      <c r="AZ115" s="35" cm="1">
        <f t="array" ref="AZ115">$G$12+VLOOKUP($Q115,武学奇术!$A:$ZZ,12,FALSE)+SUM(_xlfn.XLOOKUP(R115:AF115,增益!$A:$A,增益!$L:$L,0))</f>
        <v>0</v>
      </c>
      <c r="BA115">
        <f t="shared" si="17"/>
        <v>0</v>
      </c>
      <c r="BB115">
        <f t="shared" si="18"/>
        <v>0</v>
      </c>
      <c r="BC115" s="35" cm="1">
        <f t="array" ref="BC115">IF($F$13-$I$4+VLOOKUP($Q115,武学奇术!$A:$ZZ,13,FALSE)+SUM(_xlfn.XLOOKUP(R115:AF115,增益!$A:$A,增益!$M:$M,0))&gt;0,($F$13-$I$4+VLOOKUP($Q115,武学奇术!$A:$ZZ,13,FALSE)+SUM(_xlfn.XLOOKUP(R115:AF115,增益!$A:$A,增益!$K:$K,0)))/200,($F$13-$I$4+VLOOKUP($Q115,武学奇术!$A:$ZZ,13,FALSE)+SUM(_xlfn.XLOOKUP(R115:AF115,增益!$A:$A,增益!$M:$M,0)))/100)</f>
        <v>-0.3</v>
      </c>
      <c r="BD115" s="35" cm="1">
        <f t="array" ref="BD115">$G$13+VLOOKUP($Q115,武学奇术!$A:$ZZ,14,FALSE)+SUM(_xlfn.XLOOKUP(R115:AF115,增益!$A:$A,增益!$N:$N,0))</f>
        <v>0</v>
      </c>
      <c r="BE115">
        <f t="shared" si="19"/>
        <v>538</v>
      </c>
      <c r="BF115">
        <f t="shared" si="20"/>
        <v>1561.4</v>
      </c>
      <c r="BG115" s="35" cm="1">
        <f t="array" ref="BG115">IF($F$14-$I$4+VLOOKUP($Q115,武学奇术!$A:$ZZ,15,FALSE)+SUM(_xlfn.XLOOKUP(R115:AF115,增益!$A:$A,增益!$O:$O,0))&gt;0,($F$14-$I$4+VLOOKUP($Q115,武学奇术!$A:$ZZ,15,FALSE)+SUM(_xlfn.XLOOKUP(R115:AF115,增益!$A:$A,增益!$O:$O,0)))/200,($F$14-$I$4+VLOOKUP($Q115,武学奇术!$A:$ZZ,15,FALSE)+SUM(_xlfn.XLOOKUP(R115:AF115,增益!$A:$A,增益!$O:$O,0)))/100)</f>
        <v>0</v>
      </c>
      <c r="BH115" s="35" cm="1">
        <f t="array" ref="BH115">$G$14+VLOOKUP($Q115,武学奇术!$A:$ZZ,16,FALSE)+SUM(_xlfn.XLOOKUP(R115:AF115,增益!$A:$A,增益!$P:$P,0))</f>
        <v>0.15</v>
      </c>
      <c r="BI115" s="30">
        <f>MIN(IF(VLOOKUP($Q115,武学奇术!$A:$ZZ,23,FALSE)=1,100%,$B$8),100%)</f>
        <v>0.9712</v>
      </c>
      <c r="BJ115" s="30" cm="1">
        <f t="array" ref="BJ115">IF(VLOOKUP($Q115,武学奇术!$A:$ZZ,23,FALSE)=1,100%,MIN(80%,$B$9+VLOOKUP($Q115,武学奇术!$A:$ZZ,17,FALSE)+SUM(_xlfn.XLOOKUP(R115:AF115,增益!$A:$A,增益!$Q:$Q,0)))+$B$11+SUM(_xlfn.XLOOKUP(R115:AF115,增益!$A:$A,增益!$U:$U,0)))*IF(VLOOKUP($Q115,武学奇术!$A:$ZZ,24,FALSE)=1,0,1)</f>
        <v>0.8773</v>
      </c>
      <c r="BK115" s="30" cm="1">
        <f t="array" ref="BK115">1+$B$13+VLOOKUP($Q115,武学奇术!$A:$ZZ,18,FALSE)+SUM(_xlfn.XLOOKUP(R115:AF115,增益!$A:$A,增益!$R:$R,0))</f>
        <v>1.87</v>
      </c>
      <c r="BL115" s="30" cm="1">
        <f t="array" ref="BL115">IF(VLOOKUP($Q115,武学奇术!$A:$ZZ,24,FALSE)=1,100%,MIN(40%,$B$10+VLOOKUP($Q115,武学奇术!$A:$ZZ,19,FALSE)+SUM(_xlfn.XLOOKUP(R115:AF115,增益!$A:$A,增益!$S:$S,0)))+$B$12+SUM(_xlfn.XLOOKUP(R115:AF115,增益!$A:$A,增益!$V:$V,0)))*IF(VLOOKUP($Q115,武学奇术!$A:$ZZ,23,FALSE)=1,0,1)</f>
        <v>0.0895</v>
      </c>
      <c r="BM115" s="30" cm="1">
        <f t="array" ref="BM115">1+$B$14+VLOOKUP($Q115,武学奇术!$A:$ZZ,20,FALSE)+SUM(_xlfn.XLOOKUP(R115:AF115,增益!$A:$A,增益!$T:$T,0))</f>
        <v>1.35</v>
      </c>
      <c r="BN115" s="30">
        <f t="shared" si="21"/>
        <v>0.85203376</v>
      </c>
      <c r="BO115" s="30">
        <f t="shared" si="22"/>
        <v>0.03224384</v>
      </c>
      <c r="BP115" s="30">
        <f>IF(VLOOKUP($Q115,武学奇术!$A:$ZZ,22,FALSE)=1,0,(1-$BI115))*(1-$BL115)</f>
        <v>0.0262224</v>
      </c>
      <c r="BQ115" s="30" cm="1">
        <f t="array" ref="BQ115">SUM(_xlfn.XLOOKUP(R115:AF115,增益!$A:$A,增益!$W:$W,0))+$I$5</f>
        <v>0.11</v>
      </c>
    </row>
    <row r="116" spans="11:69">
      <c r="K116" s="41">
        <f t="shared" si="25"/>
        <v>146546.923318911</v>
      </c>
      <c r="L116" s="41">
        <f>((($AN116+$AO116)/2*$AH116+$AI116)*(1+$AP116)*(1+$AQ116)+(($AS116+$AT116)/2*IF($G$1="鸣金",$AJ116,$AH116)+IF($G$1="鸣金",$AK116*1.5,0))*(1+$AU116)*(1+$AV116)+(($AW116+$AX116)/2*IF($G$1="裂石",$AJ116,$AH116)+IF($G$1="裂石",$AK116*1.5,0))*(1+$AY116)*(1+$AZ116)+(($BA116+$BB116)/2*IF($G$1="牵丝",$AJ116,$AH116)+IF($G$1="牵丝",$AK116*1.5,0))*(1+$BC116)*(1+$BD116)+(($BE116+$BF116)/2*IF($G$1="破竹",$AJ116,$AH116)+IF($G$1="破竹",$AK116*1.5,0))*(1+$BG116)*(1+$BH116))*(1+$AL116)*$BK116*$P116*(1+IF(VLOOKUP($Q116,武学奇术!$A:$ZZ,30,FALSE)="回旋伞",$B$21,0))*(1+$BQ116)</f>
        <v>155563.433037325</v>
      </c>
      <c r="M116" s="41">
        <f>(($AO116*$AH116+$AI116)*(1+$AP116)*(1+$AQ116)+($AT116*IF($G$1="鸣金",$AJ116,$AH116)+IF($G$1="鸣金",$AK116*1.5,0))*(1+$AU116)*(1+$AV116)+($AX116*IF($G$1="裂石",$AJ116,$AH116)+IF($G$1="裂石",$AK116*1.5,0))*(1+$AY116)*(1+$AZ116)+($BB116*IF($G$1="牵丝",$AJ116,$AH116)+IF($G$1="牵丝",$AK116*1.5,0))*(1+$BC116)*(1+$BD116)+($BF116*IF($G$1="破竹",$AJ116,$AH116)+IF($G$1="破竹",$AK116*1.5,0))*(1+$BG116)*(1+$BH116))*(1+$AL116)*$BM116*$P116*(1+IF(VLOOKUP($Q116,武学奇术!$A:$ZZ,30,FALSE)="回旋伞",$B$21,0))*(1+$BQ116)</f>
        <v>111125.930576671</v>
      </c>
      <c r="N116" s="41">
        <f>((($AN116+$AO116)/2*$AH116+$AI116)*(1+$AP116)*(1+$AQ116)+(($AS116+$AT116)/2*IF($G$1="鸣金",$AJ116,$AH116)+IF($G$1="鸣金",$AK116*1.5,0))*(1+$AU116)*(1+$AV116)+(($AW116+$AX116)/2*IF($G$1="裂石",$AJ116,$AH116)+IF($G$1="裂石",$AK116*1.5,0))*(1+$AY116)*(1+$AZ116)+(($BA116+$BB116)/2*IF($G$1="牵丝",$AJ116,$AH116)+IF($G$1="牵丝",$AK116*1.5,0))*(1+$BC116)*(1+$BD116)+(($BE116+$BF116)/2*IF($G$1="破竹",$AJ116,$AH116)+IF($G$1="破竹",$AK116*1.5,0))*(1+$BG116)*(1+$BH116))*(1+$AL116)*$P116*(1+IF(VLOOKUP($Q116,武学奇术!$A:$ZZ,30,FALSE)="回旋伞",$B$21,0))*(1+$BQ116)</f>
        <v>73378.9778477949</v>
      </c>
      <c r="O116" s="41">
        <f>((($AN116*$AH116+$AI116)*(1+$AP116)*(1+$AQ116)+($AS116*IF($G$1="鸣金",$AJ116,$AH116)+IF($G$1="鸣金",$AK116*1.5,0))*(1+$AU116)*(1+$AV116)+($AW116*IF($G$1="裂石",$AJ116,$AH116)+IF($G$1="裂石",$AK116*1.5,0))*(1+$AY116)*(1+$AZ116)+($BA116*IF($G$1="牵丝",$AJ116,$AH116)+IF($G$1="牵丝",$AK116*1.5,0))*(1+$BC116)*(1+$BD116)+($BE116*IF($G$1="破竹",$AJ116,$AH116)+IF($G$1="破竹",$AK116*1.5,0))*(1+$BG116)*(1+$BH116))*(1+$AL116))*$P116*(1+IF(VLOOKUP($Q116,武学奇术!$A:$ZZ,30,FALSE)="回旋伞",$B$21,0))*(1+$BQ116)</f>
        <v>64442.4515647224</v>
      </c>
      <c r="P116" s="42">
        <v>4</v>
      </c>
      <c r="Q116" s="43" t="s">
        <v>70</v>
      </c>
      <c r="R116" s="43" t="s">
        <v>71</v>
      </c>
      <c r="S116" s="43" t="s">
        <v>91</v>
      </c>
      <c r="T116" s="43" t="s">
        <v>72</v>
      </c>
      <c r="U116" s="43" t="s">
        <v>79</v>
      </c>
      <c r="V116" s="43" t="s">
        <v>167</v>
      </c>
      <c r="W116" s="43" t="s">
        <v>95</v>
      </c>
      <c r="X116" s="43" t="s">
        <v>71</v>
      </c>
      <c r="Y116" s="43" t="s">
        <v>177</v>
      </c>
      <c r="Z116" s="43" t="s">
        <v>71</v>
      </c>
      <c r="AA116" s="43" t="s">
        <v>71</v>
      </c>
      <c r="AB116" s="43" t="s">
        <v>179</v>
      </c>
      <c r="AC116" s="43" t="s">
        <v>71</v>
      </c>
      <c r="AD116" s="43" t="s">
        <v>71</v>
      </c>
      <c r="AE116" s="43" t="s">
        <v>71</v>
      </c>
      <c r="AF116" s="43" t="s">
        <v>76</v>
      </c>
      <c r="AG116" t="str">
        <f>VLOOKUP($Q116,武学奇术!$A:$ZZ,25,FALSE)</f>
        <v>群体奇术</v>
      </c>
      <c r="AH116" s="30">
        <f>VLOOKUP($Q116,武学奇术!$A:$ZZ,26,FALSE)</f>
        <v>1.4904</v>
      </c>
      <c r="AI116" s="31">
        <f>VLOOKUP($Q116,武学奇术!$A:$ZZ,27,FALSE)*(1+IF(OR($AG116=$F$4,$AG116=$F$5),$B$22,0))</f>
        <v>368</v>
      </c>
      <c r="AJ116" s="30">
        <f>VLOOKUP($Q116,武学奇术!$A:$ZZ,28,FALSE)</f>
        <v>2.2353</v>
      </c>
      <c r="AK116" s="31">
        <f>VLOOKUP($Q116,武学奇术!$A:$ZZ,29,FALSE)*(1+IF(OR($AG116=$F$4,$AG116=$F$5),$B$22,0))</f>
        <v>0</v>
      </c>
      <c r="AL116" s="30" cm="1">
        <f t="array" ref="AL116">$G$3+IFERROR(VLOOKUP($AG116,$F$4:$G$7,2,FALSE),0)+VLOOKUP($Q116,武学奇术!$A:$ZZ,2,FALSE)+SUM(_xlfn.XLOOKUP($R116:$AF116,增益!$A:$A,增益!$B:$B,0))</f>
        <v>0.4037</v>
      </c>
      <c r="AM116" s="30" cm="1">
        <f t="array" ref="AM116">VLOOKUP($Q116,武学奇术!$A:$ZZ,5,FALSE)+SUM(_xlfn.XLOOKUP($R116:$AF116,增益!$A:$A,增益!$E:$E,0))</f>
        <v>0</v>
      </c>
      <c r="AN116" cm="1">
        <f t="array" ref="AN116">$D$10*(1+$AM116)+VLOOKUP($Q116,武学奇术!$A:$ZZ,3,FALSE)+SUM(_xlfn.XLOOKUP($R116:$AF116,增益!$A:$A,增益!$C:$C,0))-$I$2</f>
        <v>3483.8</v>
      </c>
      <c r="AO116" cm="1">
        <f t="array" ref="AO116">$E$10*(1+$AM116)+VLOOKUP($Q116,武学奇术!$A:$ZZ,4,FALSE)+SUM(_xlfn.XLOOKUP($R116:$AF116,增益!$A:$A,增益!$D:$D,0))-$I$2</f>
        <v>3483.8</v>
      </c>
      <c r="AP116" s="35" cm="1">
        <f t="array" ref="AP116">IF($F$10-$I$3+VLOOKUP($Q116,武学奇术!$A:$ZZ,6,FALSE)+SUM(_xlfn.XLOOKUP(R116:AF116,增益!$A:$A,增益!$F:$F,0))&gt;0,($F$10-$I$3+VLOOKUP($Q116,武学奇术!$A:$ZZ,6,FALSE)+SUM(_xlfn.XLOOKUP(R116:AF116,增益!$A:$A,增益!$F:$F,0)))/200,($F$10-$I$3+VLOOKUP($Q116,武学奇术!$A:$ZZ,6,FALSE)+SUM(_xlfn.XLOOKUP(R116:AF116,增益!$A:$A,增益!$F:$F,0)))/100)</f>
        <v>0.4175</v>
      </c>
      <c r="AQ116" s="35" cm="1">
        <f t="array" ref="AQ116">$G$10+VLOOKUP($Q116,武学奇术!$A:$ZZ,7,FALSE)+SUM(_xlfn.XLOOKUP(R116:AF116,增益!$A:$A,增益!$G:$G,0))</f>
        <v>0.028</v>
      </c>
      <c r="AR116" s="30" cm="1">
        <f t="array" ref="AR116">VLOOKUP($Q116,武学奇术!$A:$ZZ,8,FALSE)+SUM(_xlfn.XLOOKUP(R116:AF116,增益!$A:$A,增益!$H:$H,0))</f>
        <v>0</v>
      </c>
      <c r="AS116">
        <f t="shared" si="13"/>
        <v>0</v>
      </c>
      <c r="AT116">
        <f t="shared" si="14"/>
        <v>0</v>
      </c>
      <c r="AU116" s="35" cm="1">
        <f t="array" ref="AU116">IF($F$11-$I$4+VLOOKUP($Q116,武学奇术!$A:$ZZ,9,FALSE)+SUM(_xlfn.XLOOKUP(R116:AF116,增益!$A:$A,增益!$I:$I,0))&gt;0,($F$11-$I$4+VLOOKUP($Q116,武学奇术!$A:$ZZ,9,FALSE)+SUM(_xlfn.XLOOKUP(R116:AF116,增益!$A:$A,增益!$I:$I,0)))/200,($F$11-$I$4+VLOOKUP($Q116,武学奇术!$A:$ZZ,9,FALSE)+SUM(_xlfn.XLOOKUP(R116:AF116,增益!$A:$A,增益!$I:$I,0)))/100)</f>
        <v>-0.3</v>
      </c>
      <c r="AV116" s="35" cm="1">
        <f t="array" ref="AV116">$G$11+VLOOKUP($Q116,武学奇术!$A:$ZZ,10,FALSE)+SUM(_xlfn.XLOOKUP(R116:AF116,增益!$A:$A,增益!$J:$J,0))</f>
        <v>0</v>
      </c>
      <c r="AW116">
        <f t="shared" si="15"/>
        <v>0</v>
      </c>
      <c r="AX116">
        <f t="shared" si="16"/>
        <v>0</v>
      </c>
      <c r="AY116" s="35" cm="1">
        <f t="array" ref="AY116">IF($F$12-$I$4+VLOOKUP($Q116,武学奇术!$A:$ZZ,11,FALSE)+SUM(_xlfn.XLOOKUP(R116:AF116,增益!$A:$A,增益!$K:$K,0))&gt;0,($F$12-$I$4+VLOOKUP($Q116,武学奇术!$A:$ZZ,11,FALSE)+SUM(_xlfn.XLOOKUP(R116:AF116,增益!$A:$A,增益!$K:$K,0)))/200,($F$12-$I$4+VLOOKUP($Q116,武学奇术!$A:$ZZ,11,FALSE)+SUM(_xlfn.XLOOKUP(R116:AF116,增益!$A:$A,增益!$K:$K,0)))/100)</f>
        <v>-0.3</v>
      </c>
      <c r="AZ116" s="35" cm="1">
        <f t="array" ref="AZ116">$G$12+VLOOKUP($Q116,武学奇术!$A:$ZZ,12,FALSE)+SUM(_xlfn.XLOOKUP(R116:AF116,增益!$A:$A,增益!$L:$L,0))</f>
        <v>0</v>
      </c>
      <c r="BA116">
        <f t="shared" si="17"/>
        <v>0</v>
      </c>
      <c r="BB116">
        <f t="shared" si="18"/>
        <v>0</v>
      </c>
      <c r="BC116" s="35" cm="1">
        <f t="array" ref="BC116">IF($F$13-$I$4+VLOOKUP($Q116,武学奇术!$A:$ZZ,13,FALSE)+SUM(_xlfn.XLOOKUP(R116:AF116,增益!$A:$A,增益!$M:$M,0))&gt;0,($F$13-$I$4+VLOOKUP($Q116,武学奇术!$A:$ZZ,13,FALSE)+SUM(_xlfn.XLOOKUP(R116:AF116,增益!$A:$A,增益!$K:$K,0)))/200,($F$13-$I$4+VLOOKUP($Q116,武学奇术!$A:$ZZ,13,FALSE)+SUM(_xlfn.XLOOKUP(R116:AF116,增益!$A:$A,增益!$M:$M,0)))/100)</f>
        <v>-0.3</v>
      </c>
      <c r="BD116" s="35" cm="1">
        <f t="array" ref="BD116">$G$13+VLOOKUP($Q116,武学奇术!$A:$ZZ,14,FALSE)+SUM(_xlfn.XLOOKUP(R116:AF116,增益!$A:$A,增益!$N:$N,0))</f>
        <v>0</v>
      </c>
      <c r="BE116">
        <f t="shared" si="19"/>
        <v>538</v>
      </c>
      <c r="BF116">
        <f t="shared" si="20"/>
        <v>1561.4</v>
      </c>
      <c r="BG116" s="35" cm="1">
        <f t="array" ref="BG116">IF($F$14-$I$4+VLOOKUP($Q116,武学奇术!$A:$ZZ,15,FALSE)+SUM(_xlfn.XLOOKUP(R116:AF116,增益!$A:$A,增益!$O:$O,0))&gt;0,($F$14-$I$4+VLOOKUP($Q116,武学奇术!$A:$ZZ,15,FALSE)+SUM(_xlfn.XLOOKUP(R116:AF116,增益!$A:$A,增益!$O:$O,0)))/200,($F$14-$I$4+VLOOKUP($Q116,武学奇术!$A:$ZZ,15,FALSE)+SUM(_xlfn.XLOOKUP(R116:AF116,增益!$A:$A,增益!$O:$O,0)))/100)</f>
        <v>0</v>
      </c>
      <c r="BH116" s="35" cm="1">
        <f t="array" ref="BH116">$G$14+VLOOKUP($Q116,武学奇术!$A:$ZZ,16,FALSE)+SUM(_xlfn.XLOOKUP(R116:AF116,增益!$A:$A,增益!$P:$P,0))</f>
        <v>0.15</v>
      </c>
      <c r="BI116" s="30">
        <f>MIN(IF(VLOOKUP($Q116,武学奇术!$A:$ZZ,23,FALSE)=1,100%,$B$8),100%)</f>
        <v>0.9712</v>
      </c>
      <c r="BJ116" s="30" cm="1">
        <f t="array" ref="BJ116">IF(VLOOKUP($Q116,武学奇术!$A:$ZZ,23,FALSE)=1,100%,MIN(80%,$B$9+VLOOKUP($Q116,武学奇术!$A:$ZZ,17,FALSE)+SUM(_xlfn.XLOOKUP(R116:AF116,增益!$A:$A,增益!$Q:$Q,0)))+$B$11+SUM(_xlfn.XLOOKUP(R116:AF116,增益!$A:$A,增益!$U:$U,0)))*IF(VLOOKUP($Q116,武学奇术!$A:$ZZ,24,FALSE)=1,0,1)</f>
        <v>0.8773</v>
      </c>
      <c r="BK116" s="30" cm="1">
        <f t="array" ref="BK116">1+$B$13+VLOOKUP($Q116,武学奇术!$A:$ZZ,18,FALSE)+SUM(_xlfn.XLOOKUP(R116:AF116,增益!$A:$A,增益!$R:$R,0))</f>
        <v>2.12</v>
      </c>
      <c r="BL116" s="30" cm="1">
        <f t="array" ref="BL116">IF(VLOOKUP($Q116,武学奇术!$A:$ZZ,24,FALSE)=1,100%,MIN(40%,$B$10+VLOOKUP($Q116,武学奇术!$A:$ZZ,19,FALSE)+SUM(_xlfn.XLOOKUP(R116:AF116,增益!$A:$A,增益!$S:$S,0)))+$B$12+SUM(_xlfn.XLOOKUP(R116:AF116,增益!$A:$A,增益!$V:$V,0)))*IF(VLOOKUP($Q116,武学奇术!$A:$ZZ,23,FALSE)=1,0,1)</f>
        <v>0.0895</v>
      </c>
      <c r="BM116" s="30" cm="1">
        <f t="array" ref="BM116">1+$B$14+VLOOKUP($Q116,武学奇术!$A:$ZZ,20,FALSE)+SUM(_xlfn.XLOOKUP(R116:AF116,增益!$A:$A,增益!$T:$T,0))</f>
        <v>1.35</v>
      </c>
      <c r="BN116" s="30">
        <f t="shared" si="21"/>
        <v>0.85203376</v>
      </c>
      <c r="BO116" s="30">
        <f t="shared" si="22"/>
        <v>0.03224384</v>
      </c>
      <c r="BP116" s="30">
        <f>IF(VLOOKUP($Q116,武学奇术!$A:$ZZ,22,FALSE)=1,0,(1-$BI116))*(1-$BL116)</f>
        <v>0.0262224</v>
      </c>
      <c r="BQ116" s="30" cm="1">
        <f t="array" ref="BQ116">SUM(_xlfn.XLOOKUP(R116:AF116,增益!$A:$A,增益!$W:$W,0))+$I$5</f>
        <v>0.21</v>
      </c>
    </row>
    <row r="117" spans="11:69">
      <c r="K117" s="41">
        <f t="shared" si="25"/>
        <v>28050.905550312</v>
      </c>
      <c r="L117" s="41">
        <f>((($AN117+$AO117)/2*$AH117+$AI117)*(1+$AP117)*(1+$AQ117)+(($AS117+$AT117)/2*IF($G$1="鸣金",$AJ117,$AH117)+IF($G$1="鸣金",$AK117*1.5,0))*(1+$AU117)*(1+$AV117)+(($AW117+$AX117)/2*IF($G$1="裂石",$AJ117,$AH117)+IF($G$1="裂石",$AK117*1.5,0))*(1+$AY117)*(1+$AZ117)+(($BA117+$BB117)/2*IF($G$1="牵丝",$AJ117,$AH117)+IF($G$1="牵丝",$AK117*1.5,0))*(1+$BC117)*(1+$BD117)+(($BE117+$BF117)/2*IF($G$1="破竹",$AJ117,$AH117)+IF($G$1="破竹",$AK117*1.5,0))*(1+$BG117)*(1+$BH117))*(1+$AL117)*$BK117*$P117*(1+IF(VLOOKUP($Q117,武学奇术!$A:$ZZ,30,FALSE)="回旋伞",$B$21,0))*(1+$BQ117)</f>
        <v>29387.7860165029</v>
      </c>
      <c r="M117" s="41">
        <f>(($AO117*$AH117+$AI117)*(1+$AP117)*(1+$AQ117)+($AT117*IF($G$1="鸣金",$AJ117,$AH117)+IF($G$1="鸣金",$AK117*1.5,0))*(1+$AU117)*(1+$AV117)+($AX117*IF($G$1="裂石",$AJ117,$AH117)+IF($G$1="裂石",$AK117*1.5,0))*(1+$AY117)*(1+$AZ117)+($BB117*IF($G$1="牵丝",$AJ117,$AH117)+IF($G$1="牵丝",$AK117*1.5,0))*(1+$BC117)*(1+$BD117)+($BF117*IF($G$1="破竹",$AJ117,$AH117)+IF($G$1="破竹",$AK117*1.5,0))*(1+$BG117)*(1+$BH117))*(1+$AL117)*$BM117*$P117*(1+IF(VLOOKUP($Q117,武学奇术!$A:$ZZ,30,FALSE)="回旋伞",$B$21,0))*(1+$BQ117)</f>
        <v>23982.5963560817</v>
      </c>
      <c r="N117" s="41">
        <f>((($AN117+$AO117)/2*$AH117+$AI117)*(1+$AP117)*(1+$AQ117)+(($AS117+$AT117)/2*IF($G$1="鸣金",$AJ117,$AH117)+IF($G$1="鸣金",$AK117*1.5,0))*(1+$AU117)*(1+$AV117)+(($AW117+$AX117)/2*IF($G$1="裂石",$AJ117,$AH117)+IF($G$1="裂石",$AK117*1.5,0))*(1+$AY117)*(1+$AZ117)+(($BA117+$BB117)/2*IF($G$1="牵丝",$AJ117,$AH117)+IF($G$1="牵丝",$AK117*1.5,0))*(1+$BC117)*(1+$BD117)+(($BE117+$BF117)/2*IF($G$1="破竹",$AJ117,$AH117)+IF($G$1="破竹",$AK117*1.5,0))*(1+$BG117)*(1+$BH117))*(1+$AL117)*$P117*(1+IF(VLOOKUP($Q117,武学奇术!$A:$ZZ,30,FALSE)="回旋伞",$B$21,0))*(1+$BQ117)</f>
        <v>15715.3935917128</v>
      </c>
      <c r="O117" s="41">
        <f>((($AN117*$AH117+$AI117)*(1+$AP117)*(1+$AQ117)+($AS117*IF($G$1="鸣金",$AJ117,$AH117)+IF($G$1="鸣金",$AK117*1.5,0))*(1+$AU117)*(1+$AV117)+($AW117*IF($G$1="裂石",$AJ117,$AH117)+IF($G$1="裂石",$AK117*1.5,0))*(1+$AY117)*(1+$AZ117)+($BA117*IF($G$1="牵丝",$AJ117,$AH117)+IF($G$1="牵丝",$AK117*1.5,0))*(1+$BC117)*(1+$BD117)+($BE117*IF($G$1="破竹",$AJ117,$AH117)+IF($G$1="破竹",$AK117*1.5,0))*(1+$BG117)*(1+$BH117))*(1+$AL117))*$P117*(1+IF(VLOOKUP($Q117,武学奇术!$A:$ZZ,30,FALSE)="回旋伞",$B$21,0))*(1+$BQ117)</f>
        <v>13665.9009937354</v>
      </c>
      <c r="P117" s="42">
        <v>1</v>
      </c>
      <c r="Q117" s="43" t="s">
        <v>70</v>
      </c>
      <c r="R117" s="43" t="s">
        <v>71</v>
      </c>
      <c r="S117" s="43" t="s">
        <v>91</v>
      </c>
      <c r="T117" s="43" t="s">
        <v>72</v>
      </c>
      <c r="U117" s="43" t="s">
        <v>79</v>
      </c>
      <c r="V117" s="43" t="s">
        <v>167</v>
      </c>
      <c r="W117" s="43" t="s">
        <v>95</v>
      </c>
      <c r="X117" s="43" t="s">
        <v>71</v>
      </c>
      <c r="Y117" s="43" t="s">
        <v>71</v>
      </c>
      <c r="Z117" s="43" t="s">
        <v>71</v>
      </c>
      <c r="AA117" s="43" t="s">
        <v>71</v>
      </c>
      <c r="AB117" s="43" t="s">
        <v>71</v>
      </c>
      <c r="AC117" s="43" t="s">
        <v>71</v>
      </c>
      <c r="AD117" s="43" t="s">
        <v>71</v>
      </c>
      <c r="AE117" s="43" t="s">
        <v>71</v>
      </c>
      <c r="AF117" s="43" t="s">
        <v>76</v>
      </c>
      <c r="AG117" t="str">
        <f>VLOOKUP($Q117,武学奇术!$A:$ZZ,25,FALSE)</f>
        <v>群体奇术</v>
      </c>
      <c r="AH117" s="30">
        <f>VLOOKUP($Q117,武学奇术!$A:$ZZ,26,FALSE)</f>
        <v>1.4904</v>
      </c>
      <c r="AI117" s="31">
        <f>VLOOKUP($Q117,武学奇术!$A:$ZZ,27,FALSE)*(1+IF(OR($AG117=$F$4,$AG117=$F$5),$B$22,0))</f>
        <v>368</v>
      </c>
      <c r="AJ117" s="30">
        <f>VLOOKUP($Q117,武学奇术!$A:$ZZ,28,FALSE)</f>
        <v>2.2353</v>
      </c>
      <c r="AK117" s="31">
        <f>VLOOKUP($Q117,武学奇术!$A:$ZZ,29,FALSE)*(1+IF(OR($AG117=$F$4,$AG117=$F$5),$B$22,0))</f>
        <v>0</v>
      </c>
      <c r="AL117" s="30" cm="1">
        <f t="array" ref="AL117">$G$3+IFERROR(VLOOKUP($AG117,$F$4:$G$7,2,FALSE),0)+VLOOKUP($Q117,武学奇术!$A:$ZZ,2,FALSE)+SUM(_xlfn.XLOOKUP($R117:$AF117,增益!$A:$A,增益!$B:$B,0))</f>
        <v>0.4037</v>
      </c>
      <c r="AM117" s="30" cm="1">
        <f t="array" ref="AM117">VLOOKUP($Q117,武学奇术!$A:$ZZ,5,FALSE)+SUM(_xlfn.XLOOKUP($R117:$AF117,增益!$A:$A,增益!$E:$E,0))</f>
        <v>0</v>
      </c>
      <c r="AN117" cm="1">
        <f t="array" ref="AN117">$D$10*(1+$AM117)+VLOOKUP($Q117,武学奇术!$A:$ZZ,3,FALSE)+SUM(_xlfn.XLOOKUP($R117:$AF117,增益!$A:$A,增益!$C:$C,0))-$I$2</f>
        <v>3483.8</v>
      </c>
      <c r="AO117" cm="1">
        <f t="array" ref="AO117">$E$10*(1+$AM117)+VLOOKUP($Q117,武学奇术!$A:$ZZ,4,FALSE)+SUM(_xlfn.XLOOKUP($R117:$AF117,增益!$A:$A,增益!$D:$D,0))-$I$2</f>
        <v>3483.8</v>
      </c>
      <c r="AP117" s="35" cm="1">
        <f t="array" ref="AP117">IF($F$10-$I$3+VLOOKUP($Q117,武学奇术!$A:$ZZ,6,FALSE)+SUM(_xlfn.XLOOKUP(R117:AF117,增益!$A:$A,增益!$F:$F,0))&gt;0,($F$10-$I$3+VLOOKUP($Q117,武学奇术!$A:$ZZ,6,FALSE)+SUM(_xlfn.XLOOKUP(R117:AF117,增益!$A:$A,增益!$F:$F,0)))/200,($F$10-$I$3+VLOOKUP($Q117,武学奇术!$A:$ZZ,6,FALSE)+SUM(_xlfn.XLOOKUP(R117:AF117,增益!$A:$A,增益!$F:$F,0)))/100)</f>
        <v>0.2925</v>
      </c>
      <c r="AQ117" s="35" cm="1">
        <f t="array" ref="AQ117">$G$10+VLOOKUP($Q117,武学奇术!$A:$ZZ,7,FALSE)+SUM(_xlfn.XLOOKUP(R117:AF117,增益!$A:$A,增益!$G:$G,0))</f>
        <v>0.028</v>
      </c>
      <c r="AR117" s="30" cm="1">
        <f t="array" ref="AR117">VLOOKUP($Q117,武学奇术!$A:$ZZ,8,FALSE)+SUM(_xlfn.XLOOKUP(R117:AF117,增益!$A:$A,增益!$H:$H,0))</f>
        <v>0</v>
      </c>
      <c r="AS117">
        <f t="shared" si="13"/>
        <v>0</v>
      </c>
      <c r="AT117">
        <f t="shared" si="14"/>
        <v>0</v>
      </c>
      <c r="AU117" s="35" cm="1">
        <f t="array" ref="AU117">IF($F$11-$I$4+VLOOKUP($Q117,武学奇术!$A:$ZZ,9,FALSE)+SUM(_xlfn.XLOOKUP(R117:AF117,增益!$A:$A,增益!$I:$I,0))&gt;0,($F$11-$I$4+VLOOKUP($Q117,武学奇术!$A:$ZZ,9,FALSE)+SUM(_xlfn.XLOOKUP(R117:AF117,增益!$A:$A,增益!$I:$I,0)))/200,($F$11-$I$4+VLOOKUP($Q117,武学奇术!$A:$ZZ,9,FALSE)+SUM(_xlfn.XLOOKUP(R117:AF117,增益!$A:$A,增益!$I:$I,0)))/100)</f>
        <v>-0.3</v>
      </c>
      <c r="AV117" s="35" cm="1">
        <f t="array" ref="AV117">$G$11+VLOOKUP($Q117,武学奇术!$A:$ZZ,10,FALSE)+SUM(_xlfn.XLOOKUP(R117:AF117,增益!$A:$A,增益!$J:$J,0))</f>
        <v>0</v>
      </c>
      <c r="AW117">
        <f t="shared" si="15"/>
        <v>0</v>
      </c>
      <c r="AX117">
        <f t="shared" si="16"/>
        <v>0</v>
      </c>
      <c r="AY117" s="35" cm="1">
        <f t="array" ref="AY117">IF($F$12-$I$4+VLOOKUP($Q117,武学奇术!$A:$ZZ,11,FALSE)+SUM(_xlfn.XLOOKUP(R117:AF117,增益!$A:$A,增益!$K:$K,0))&gt;0,($F$12-$I$4+VLOOKUP($Q117,武学奇术!$A:$ZZ,11,FALSE)+SUM(_xlfn.XLOOKUP(R117:AF117,增益!$A:$A,增益!$K:$K,0)))/200,($F$12-$I$4+VLOOKUP($Q117,武学奇术!$A:$ZZ,11,FALSE)+SUM(_xlfn.XLOOKUP(R117:AF117,增益!$A:$A,增益!$K:$K,0)))/100)</f>
        <v>-0.3</v>
      </c>
      <c r="AZ117" s="35" cm="1">
        <f t="array" ref="AZ117">$G$12+VLOOKUP($Q117,武学奇术!$A:$ZZ,12,FALSE)+SUM(_xlfn.XLOOKUP(R117:AF117,增益!$A:$A,增益!$L:$L,0))</f>
        <v>0</v>
      </c>
      <c r="BA117">
        <f t="shared" si="17"/>
        <v>0</v>
      </c>
      <c r="BB117">
        <f t="shared" si="18"/>
        <v>0</v>
      </c>
      <c r="BC117" s="35" cm="1">
        <f t="array" ref="BC117">IF($F$13-$I$4+VLOOKUP($Q117,武学奇术!$A:$ZZ,13,FALSE)+SUM(_xlfn.XLOOKUP(R117:AF117,增益!$A:$A,增益!$M:$M,0))&gt;0,($F$13-$I$4+VLOOKUP($Q117,武学奇术!$A:$ZZ,13,FALSE)+SUM(_xlfn.XLOOKUP(R117:AF117,增益!$A:$A,增益!$K:$K,0)))/200,($F$13-$I$4+VLOOKUP($Q117,武学奇术!$A:$ZZ,13,FALSE)+SUM(_xlfn.XLOOKUP(R117:AF117,增益!$A:$A,增益!$M:$M,0)))/100)</f>
        <v>-0.3</v>
      </c>
      <c r="BD117" s="35" cm="1">
        <f t="array" ref="BD117">$G$13+VLOOKUP($Q117,武学奇术!$A:$ZZ,14,FALSE)+SUM(_xlfn.XLOOKUP(R117:AF117,增益!$A:$A,增益!$N:$N,0))</f>
        <v>0</v>
      </c>
      <c r="BE117">
        <f t="shared" si="19"/>
        <v>538</v>
      </c>
      <c r="BF117">
        <f t="shared" si="20"/>
        <v>1561.4</v>
      </c>
      <c r="BG117" s="35" cm="1">
        <f t="array" ref="BG117">IF($F$14-$I$4+VLOOKUP($Q117,武学奇术!$A:$ZZ,15,FALSE)+SUM(_xlfn.XLOOKUP(R117:AF117,增益!$A:$A,增益!$O:$O,0))&gt;0,($F$14-$I$4+VLOOKUP($Q117,武学奇术!$A:$ZZ,15,FALSE)+SUM(_xlfn.XLOOKUP(R117:AF117,增益!$A:$A,增益!$O:$O,0)))/200,($F$14-$I$4+VLOOKUP($Q117,武学奇术!$A:$ZZ,15,FALSE)+SUM(_xlfn.XLOOKUP(R117:AF117,增益!$A:$A,增益!$O:$O,0)))/100)</f>
        <v>0</v>
      </c>
      <c r="BH117" s="35" cm="1">
        <f t="array" ref="BH117">$G$14+VLOOKUP($Q117,武学奇术!$A:$ZZ,16,FALSE)+SUM(_xlfn.XLOOKUP(R117:AF117,增益!$A:$A,增益!$P:$P,0))</f>
        <v>0.15</v>
      </c>
      <c r="BI117" s="30">
        <f>MIN(IF(VLOOKUP($Q117,武学奇术!$A:$ZZ,23,FALSE)=1,100%,$B$8),100%)</f>
        <v>0.9712</v>
      </c>
      <c r="BJ117" s="30" cm="1">
        <f t="array" ref="BJ117">IF(VLOOKUP($Q117,武学奇术!$A:$ZZ,23,FALSE)=1,100%,MIN(80%,$B$9+VLOOKUP($Q117,武学奇术!$A:$ZZ,17,FALSE)+SUM(_xlfn.XLOOKUP(R117:AF117,增益!$A:$A,增益!$Q:$Q,0)))+$B$11+SUM(_xlfn.XLOOKUP(R117:AF117,增益!$A:$A,增益!$U:$U,0)))*IF(VLOOKUP($Q117,武学奇术!$A:$ZZ,24,FALSE)=1,0,1)</f>
        <v>0.8773</v>
      </c>
      <c r="BK117" s="30" cm="1">
        <f t="array" ref="BK117">1+$B$13+VLOOKUP($Q117,武学奇术!$A:$ZZ,18,FALSE)+SUM(_xlfn.XLOOKUP(R117:AF117,增益!$A:$A,增益!$R:$R,0))</f>
        <v>1.87</v>
      </c>
      <c r="BL117" s="30" cm="1">
        <f t="array" ref="BL117">IF(VLOOKUP($Q117,武学奇术!$A:$ZZ,24,FALSE)=1,100%,MIN(40%,$B$10+VLOOKUP($Q117,武学奇术!$A:$ZZ,19,FALSE)+SUM(_xlfn.XLOOKUP(R117:AF117,增益!$A:$A,增益!$S:$S,0)))+$B$12+SUM(_xlfn.XLOOKUP(R117:AF117,增益!$A:$A,增益!$V:$V,0)))*IF(VLOOKUP($Q117,武学奇术!$A:$ZZ,23,FALSE)=1,0,1)</f>
        <v>0.0895</v>
      </c>
      <c r="BM117" s="30" cm="1">
        <f t="array" ref="BM117">1+$B$14+VLOOKUP($Q117,武学奇术!$A:$ZZ,20,FALSE)+SUM(_xlfn.XLOOKUP(R117:AF117,增益!$A:$A,增益!$T:$T,0))</f>
        <v>1.35</v>
      </c>
      <c r="BN117" s="30">
        <f t="shared" si="21"/>
        <v>0.85203376</v>
      </c>
      <c r="BO117" s="30">
        <f t="shared" si="22"/>
        <v>0.03224384</v>
      </c>
      <c r="BP117" s="30">
        <f>IF(VLOOKUP($Q117,武学奇术!$A:$ZZ,22,FALSE)=1,0,(1-$BI117))*(1-$BL117)</f>
        <v>0.0262224</v>
      </c>
      <c r="BQ117" s="30" cm="1">
        <f t="array" ref="BQ117">SUM(_xlfn.XLOOKUP(R117:AF117,增益!$A:$A,增益!$W:$W,0))+$I$5</f>
        <v>0.11</v>
      </c>
    </row>
    <row r="118" spans="11:69">
      <c r="K118" s="41">
        <f t="shared" si="25"/>
        <v>68297.2328605798</v>
      </c>
      <c r="L118" s="41">
        <f>((($AN118+$AO118)/2*$AH118+$AI118)*(1+$AP118)*(1+$AQ118)+(($AS118+$AT118)/2*IF($G$1="鸣金",$AJ118,$AH118)+IF($G$1="鸣金",$AK118*1.5,0))*(1+$AU118)*(1+$AV118)+(($AW118+$AX118)/2*IF($G$1="裂石",$AJ118,$AH118)+IF($G$1="裂石",$AK118*1.5,0))*(1+$AY118)*(1+$AZ118)+(($BA118+$BB118)/2*IF($G$1="牵丝",$AJ118,$AH118)+IF($G$1="牵丝",$AK118*1.5,0))*(1+$BC118)*(1+$BD118)+(($BE118+$BF118)/2*IF($G$1="破竹",$AJ118,$AH118)+IF($G$1="破竹",$AK118*1.5,0))*(1+$BG118)*(1+$BH118))*(1+$AL118)*$BK118*$P118*(1+IF(VLOOKUP($Q118,武学奇术!$A:$ZZ,30,FALSE)="回旋伞",$B$21,0))*(1+$BQ118)</f>
        <v>71592.9114690429</v>
      </c>
      <c r="M118" s="41">
        <f>(($AO118*$AH118+$AI118)*(1+$AP118)*(1+$AQ118)+($AT118*IF($G$1="鸣金",$AJ118,$AH118)+IF($G$1="鸣金",$AK118*1.5,0))*(1+$AU118)*(1+$AV118)+($AX118*IF($G$1="裂石",$AJ118,$AH118)+IF($G$1="裂石",$AK118*1.5,0))*(1+$AY118)*(1+$AZ118)+($BB118*IF($G$1="牵丝",$AJ118,$AH118)+IF($G$1="牵丝",$AK118*1.5,0))*(1+$BC118)*(1+$BD118)+($BF118*IF($G$1="破竹",$AJ118,$AH118)+IF($G$1="破竹",$AK118*1.5,0))*(1+$BG118)*(1+$BH118))*(1+$AL118)*$BM118*$P118*(1+IF(VLOOKUP($Q118,武学奇术!$A:$ZZ,30,FALSE)="回旋伞",$B$21,0))*(1+$BQ118)</f>
        <v>57870.7756557982</v>
      </c>
      <c r="N118" s="41">
        <f>((($AN118+$AO118)/2*$AH118+$AI118)*(1+$AP118)*(1+$AQ118)+(($AS118+$AT118)/2*IF($G$1="鸣金",$AJ118,$AH118)+IF($G$1="鸣金",$AK118*1.5,0))*(1+$AU118)*(1+$AV118)+(($AW118+$AX118)/2*IF($G$1="裂石",$AJ118,$AH118)+IF($G$1="裂石",$AK118*1.5,0))*(1+$AY118)*(1+$AZ118)+(($BA118+$BB118)/2*IF($G$1="牵丝",$AJ118,$AH118)+IF($G$1="牵丝",$AK118*1.5,0))*(1+$BC118)*(1+$BD118)+(($BE118+$BF118)/2*IF($G$1="破竹",$AJ118,$AH118)+IF($G$1="破竹",$AK118*1.5,0))*(1+$BG118)*(1+$BH118))*(1+$AL118)*$P118*(1+IF(VLOOKUP($Q118,武学奇术!$A:$ZZ,30,FALSE)="回旋伞",$B$21,0))*(1+$BQ118)</f>
        <v>38284.9793952101</v>
      </c>
      <c r="O118" s="41">
        <f>((($AN118*$AH118+$AI118)*(1+$AP118)*(1+$AQ118)+($AS118*IF($G$1="鸣金",$AJ118,$AH118)+IF($G$1="鸣金",$AK118*1.5,0))*(1+$AU118)*(1+$AV118)+($AW118*IF($G$1="裂石",$AJ118,$AH118)+IF($G$1="裂石",$AK118*1.5,0))*(1+$AY118)*(1+$AZ118)+($BA118*IF($G$1="牵丝",$AJ118,$AH118)+IF($G$1="牵丝",$AK118*1.5,0))*(1+$BC118)*(1+$BD118)+($BE118*IF($G$1="破竹",$AJ118,$AH118)+IF($G$1="破竹",$AK118*1.5,0))*(1+$BG118)*(1+$BH118))*(1+$AL118))*$P118*(1+IF(VLOOKUP($Q118,武学奇术!$A:$ZZ,30,FALSE)="回旋伞",$B$21,0))*(1+$BQ118)</f>
        <v>33702.717563903</v>
      </c>
      <c r="P118" s="42">
        <v>1</v>
      </c>
      <c r="Q118" s="43" t="s">
        <v>104</v>
      </c>
      <c r="R118" s="43" t="s">
        <v>105</v>
      </c>
      <c r="S118" s="43" t="s">
        <v>91</v>
      </c>
      <c r="T118" s="43" t="s">
        <v>72</v>
      </c>
      <c r="U118" s="43" t="s">
        <v>79</v>
      </c>
      <c r="V118" s="43" t="s">
        <v>167</v>
      </c>
      <c r="W118" s="43" t="s">
        <v>95</v>
      </c>
      <c r="X118" s="43" t="s">
        <v>71</v>
      </c>
      <c r="Y118" s="43" t="s">
        <v>71</v>
      </c>
      <c r="Z118" s="43" t="s">
        <v>71</v>
      </c>
      <c r="AA118" s="43" t="s">
        <v>71</v>
      </c>
      <c r="AB118" s="43" t="s">
        <v>71</v>
      </c>
      <c r="AC118" s="43" t="s">
        <v>71</v>
      </c>
      <c r="AD118" s="43" t="s">
        <v>71</v>
      </c>
      <c r="AE118" s="43" t="s">
        <v>71</v>
      </c>
      <c r="AF118" s="43" t="s">
        <v>76</v>
      </c>
      <c r="AG118" t="str">
        <f>VLOOKUP($Q118,武学奇术!$A:$ZZ,25,FALSE)</f>
        <v>伞</v>
      </c>
      <c r="AH118" s="30">
        <f>VLOOKUP($Q118,武学奇术!$A:$ZZ,26,FALSE)</f>
        <v>1.8084</v>
      </c>
      <c r="AI118" s="31">
        <f>VLOOKUP($Q118,武学奇术!$A:$ZZ,27,FALSE)*(1+IF(OR($AG118=$F$4,$AG118=$F$5),$B$22,0))</f>
        <v>700</v>
      </c>
      <c r="AJ118" s="30">
        <f>VLOOKUP($Q118,武学奇术!$A:$ZZ,28,FALSE)</f>
        <v>2.7126</v>
      </c>
      <c r="AK118" s="31">
        <f>VLOOKUP($Q118,武学奇术!$A:$ZZ,29,FALSE)*(1+IF(OR($AG118=$F$4,$AG118=$F$5),$B$22,0))</f>
        <v>380.8</v>
      </c>
      <c r="AL118" s="30" cm="1">
        <f t="array" ref="AL118">$G$3+IFERROR(VLOOKUP($AG118,$F$4:$G$7,2,FALSE),0)+VLOOKUP($Q118,武学奇术!$A:$ZZ,2,FALSE)+SUM(_xlfn.XLOOKUP($R118:$AF118,增益!$A:$A,增益!$B:$B,0))</f>
        <v>0.7741</v>
      </c>
      <c r="AM118" s="30" cm="1">
        <f t="array" ref="AM118">VLOOKUP($Q118,武学奇术!$A:$ZZ,5,FALSE)+SUM(_xlfn.XLOOKUP($R118:$AF118,增益!$A:$A,增益!$E:$E,0))</f>
        <v>0</v>
      </c>
      <c r="AN118" cm="1">
        <f t="array" ref="AN118">$D$10*(1+$AM118)+VLOOKUP($Q118,武学奇术!$A:$ZZ,3,FALSE)+SUM(_xlfn.XLOOKUP($R118:$AF118,增益!$A:$A,增益!$C:$C,0))-$I$2</f>
        <v>3483.8</v>
      </c>
      <c r="AO118" cm="1">
        <f t="array" ref="AO118">$E$10*(1+$AM118)+VLOOKUP($Q118,武学奇术!$A:$ZZ,4,FALSE)+SUM(_xlfn.XLOOKUP($R118:$AF118,增益!$A:$A,增益!$D:$D,0))-$I$2</f>
        <v>3483.8</v>
      </c>
      <c r="AP118" s="35" cm="1">
        <f t="array" ref="AP118">IF($F$10-$I$3+VLOOKUP($Q118,武学奇术!$A:$ZZ,6,FALSE)+SUM(_xlfn.XLOOKUP(R118:AF118,增益!$A:$A,增益!$F:$F,0))&gt;0,($F$10-$I$3+VLOOKUP($Q118,武学奇术!$A:$ZZ,6,FALSE)+SUM(_xlfn.XLOOKUP(R118:AF118,增益!$A:$A,增益!$F:$F,0)))/200,($F$10-$I$3+VLOOKUP($Q118,武学奇术!$A:$ZZ,6,FALSE)+SUM(_xlfn.XLOOKUP(R118:AF118,增益!$A:$A,增益!$F:$F,0)))/100)</f>
        <v>0.2925</v>
      </c>
      <c r="AQ118" s="35" cm="1">
        <f t="array" ref="AQ118">$G$10+VLOOKUP($Q118,武学奇术!$A:$ZZ,7,FALSE)+SUM(_xlfn.XLOOKUP(R118:AF118,增益!$A:$A,增益!$G:$G,0))</f>
        <v>0.148</v>
      </c>
      <c r="AR118" s="30" cm="1">
        <f t="array" ref="AR118">VLOOKUP($Q118,武学奇术!$A:$ZZ,8,FALSE)+SUM(_xlfn.XLOOKUP(R118:AF118,增益!$A:$A,增益!$H:$H,0))</f>
        <v>0</v>
      </c>
      <c r="AS118">
        <f t="shared" si="13"/>
        <v>0</v>
      </c>
      <c r="AT118">
        <f t="shared" si="14"/>
        <v>0</v>
      </c>
      <c r="AU118" s="35" cm="1">
        <f t="array" ref="AU118">IF($F$11-$I$4+VLOOKUP($Q118,武学奇术!$A:$ZZ,9,FALSE)+SUM(_xlfn.XLOOKUP(R118:AF118,增益!$A:$A,增益!$I:$I,0))&gt;0,($F$11-$I$4+VLOOKUP($Q118,武学奇术!$A:$ZZ,9,FALSE)+SUM(_xlfn.XLOOKUP(R118:AF118,增益!$A:$A,增益!$I:$I,0)))/200,($F$11-$I$4+VLOOKUP($Q118,武学奇术!$A:$ZZ,9,FALSE)+SUM(_xlfn.XLOOKUP(R118:AF118,增益!$A:$A,增益!$I:$I,0)))/100)</f>
        <v>-0.3</v>
      </c>
      <c r="AV118" s="35" cm="1">
        <f t="array" ref="AV118">$G$11+VLOOKUP($Q118,武学奇术!$A:$ZZ,10,FALSE)+SUM(_xlfn.XLOOKUP(R118:AF118,增益!$A:$A,增益!$J:$J,0))</f>
        <v>0</v>
      </c>
      <c r="AW118">
        <f t="shared" si="15"/>
        <v>0</v>
      </c>
      <c r="AX118">
        <f t="shared" si="16"/>
        <v>0</v>
      </c>
      <c r="AY118" s="35" cm="1">
        <f t="array" ref="AY118">IF($F$12-$I$4+VLOOKUP($Q118,武学奇术!$A:$ZZ,11,FALSE)+SUM(_xlfn.XLOOKUP(R118:AF118,增益!$A:$A,增益!$K:$K,0))&gt;0,($F$12-$I$4+VLOOKUP($Q118,武学奇术!$A:$ZZ,11,FALSE)+SUM(_xlfn.XLOOKUP(R118:AF118,增益!$A:$A,增益!$K:$K,0)))/200,($F$12-$I$4+VLOOKUP($Q118,武学奇术!$A:$ZZ,11,FALSE)+SUM(_xlfn.XLOOKUP(R118:AF118,增益!$A:$A,增益!$K:$K,0)))/100)</f>
        <v>-0.3</v>
      </c>
      <c r="AZ118" s="35" cm="1">
        <f t="array" ref="AZ118">$G$12+VLOOKUP($Q118,武学奇术!$A:$ZZ,12,FALSE)+SUM(_xlfn.XLOOKUP(R118:AF118,增益!$A:$A,增益!$L:$L,0))</f>
        <v>0</v>
      </c>
      <c r="BA118">
        <f t="shared" si="17"/>
        <v>0</v>
      </c>
      <c r="BB118">
        <f t="shared" si="18"/>
        <v>0</v>
      </c>
      <c r="BC118" s="35" cm="1">
        <f t="array" ref="BC118">IF($F$13-$I$4+VLOOKUP($Q118,武学奇术!$A:$ZZ,13,FALSE)+SUM(_xlfn.XLOOKUP(R118:AF118,增益!$A:$A,增益!$M:$M,0))&gt;0,($F$13-$I$4+VLOOKUP($Q118,武学奇术!$A:$ZZ,13,FALSE)+SUM(_xlfn.XLOOKUP(R118:AF118,增益!$A:$A,增益!$K:$K,0)))/200,($F$13-$I$4+VLOOKUP($Q118,武学奇术!$A:$ZZ,13,FALSE)+SUM(_xlfn.XLOOKUP(R118:AF118,增益!$A:$A,增益!$M:$M,0)))/100)</f>
        <v>-0.3</v>
      </c>
      <c r="BD118" s="35" cm="1">
        <f t="array" ref="BD118">$G$13+VLOOKUP($Q118,武学奇术!$A:$ZZ,14,FALSE)+SUM(_xlfn.XLOOKUP(R118:AF118,增益!$A:$A,增益!$N:$N,0))</f>
        <v>0</v>
      </c>
      <c r="BE118">
        <f t="shared" si="19"/>
        <v>538</v>
      </c>
      <c r="BF118">
        <f t="shared" si="20"/>
        <v>1561.4</v>
      </c>
      <c r="BG118" s="35" cm="1">
        <f t="array" ref="BG118">IF($F$14-$I$4+VLOOKUP($Q118,武学奇术!$A:$ZZ,15,FALSE)+SUM(_xlfn.XLOOKUP(R118:AF118,增益!$A:$A,增益!$O:$O,0))&gt;0,($F$14-$I$4+VLOOKUP($Q118,武学奇术!$A:$ZZ,15,FALSE)+SUM(_xlfn.XLOOKUP(R118:AF118,增益!$A:$A,增益!$O:$O,0)))/200,($F$14-$I$4+VLOOKUP($Q118,武学奇术!$A:$ZZ,15,FALSE)+SUM(_xlfn.XLOOKUP(R118:AF118,增益!$A:$A,增益!$O:$O,0)))/100)</f>
        <v>0</v>
      </c>
      <c r="BH118" s="35" cm="1">
        <f t="array" ref="BH118">$G$14+VLOOKUP($Q118,武学奇术!$A:$ZZ,16,FALSE)+SUM(_xlfn.XLOOKUP(R118:AF118,增益!$A:$A,增益!$P:$P,0))</f>
        <v>0.27</v>
      </c>
      <c r="BI118" s="30">
        <f>MIN(IF(VLOOKUP($Q118,武学奇术!$A:$ZZ,23,FALSE)=1,100%,$B$8),100%)</f>
        <v>0.9712</v>
      </c>
      <c r="BJ118" s="30" cm="1">
        <f t="array" ref="BJ118">IF(VLOOKUP($Q118,武学奇术!$A:$ZZ,23,FALSE)=1,100%,MIN(80%,$B$9+VLOOKUP($Q118,武学奇术!$A:$ZZ,17,FALSE)+SUM(_xlfn.XLOOKUP(R118:AF118,增益!$A:$A,增益!$Q:$Q,0)))+$B$11+SUM(_xlfn.XLOOKUP(R118:AF118,增益!$A:$A,增益!$U:$U,0)))*IF(VLOOKUP($Q118,武学奇术!$A:$ZZ,24,FALSE)=1,0,1)</f>
        <v>0.8773</v>
      </c>
      <c r="BK118" s="30" cm="1">
        <f t="array" ref="BK118">1+$B$13+VLOOKUP($Q118,武学奇术!$A:$ZZ,18,FALSE)+SUM(_xlfn.XLOOKUP(R118:AF118,增益!$A:$A,增益!$R:$R,0))</f>
        <v>1.87</v>
      </c>
      <c r="BL118" s="30" cm="1">
        <f t="array" ref="BL118">IF(VLOOKUP($Q118,武学奇术!$A:$ZZ,24,FALSE)=1,100%,MIN(40%,$B$10+VLOOKUP($Q118,武学奇术!$A:$ZZ,19,FALSE)+SUM(_xlfn.XLOOKUP(R118:AF118,增益!$A:$A,增益!$S:$S,0)))+$B$12+SUM(_xlfn.XLOOKUP(R118:AF118,增益!$A:$A,增益!$V:$V,0)))*IF(VLOOKUP($Q118,武学奇术!$A:$ZZ,23,FALSE)=1,0,1)</f>
        <v>0.0895</v>
      </c>
      <c r="BM118" s="30" cm="1">
        <f t="array" ref="BM118">1+$B$14+VLOOKUP($Q118,武学奇术!$A:$ZZ,20,FALSE)+SUM(_xlfn.XLOOKUP(R118:AF118,增益!$A:$A,增益!$T:$T,0))</f>
        <v>1.35</v>
      </c>
      <c r="BN118" s="30">
        <f t="shared" si="21"/>
        <v>0.85203376</v>
      </c>
      <c r="BO118" s="30">
        <f t="shared" si="22"/>
        <v>0.03224384</v>
      </c>
      <c r="BP118" s="30">
        <f>IF(VLOOKUP($Q118,武学奇术!$A:$ZZ,22,FALSE)=1,0,(1-$BI118))*(1-$BL118)</f>
        <v>0.0262224</v>
      </c>
      <c r="BQ118" s="30" cm="1">
        <f t="array" ref="BQ118">SUM(_xlfn.XLOOKUP(R118:AF118,增益!$A:$A,增益!$W:$W,0))+$I$5</f>
        <v>0.11</v>
      </c>
    </row>
    <row r="119" spans="11:69">
      <c r="K119" s="41">
        <f t="shared" si="25"/>
        <v>68297.2328605798</v>
      </c>
      <c r="L119" s="41">
        <f>((($AN119+$AO119)/2*$AH119+$AI119)*(1+$AP119)*(1+$AQ119)+(($AS119+$AT119)/2*IF($G$1="鸣金",$AJ119,$AH119)+IF($G$1="鸣金",$AK119*1.5,0))*(1+$AU119)*(1+$AV119)+(($AW119+$AX119)/2*IF($G$1="裂石",$AJ119,$AH119)+IF($G$1="裂石",$AK119*1.5,0))*(1+$AY119)*(1+$AZ119)+(($BA119+$BB119)/2*IF($G$1="牵丝",$AJ119,$AH119)+IF($G$1="牵丝",$AK119*1.5,0))*(1+$BC119)*(1+$BD119)+(($BE119+$BF119)/2*IF($G$1="破竹",$AJ119,$AH119)+IF($G$1="破竹",$AK119*1.5,0))*(1+$BG119)*(1+$BH119))*(1+$AL119)*$BK119*$P119*(1+IF(VLOOKUP($Q119,武学奇术!$A:$ZZ,30,FALSE)="回旋伞",$B$21,0))*(1+$BQ119)</f>
        <v>71592.9114690429</v>
      </c>
      <c r="M119" s="41">
        <f>(($AO119*$AH119+$AI119)*(1+$AP119)*(1+$AQ119)+($AT119*IF($G$1="鸣金",$AJ119,$AH119)+IF($G$1="鸣金",$AK119*1.5,0))*(1+$AU119)*(1+$AV119)+($AX119*IF($G$1="裂石",$AJ119,$AH119)+IF($G$1="裂石",$AK119*1.5,0))*(1+$AY119)*(1+$AZ119)+($BB119*IF($G$1="牵丝",$AJ119,$AH119)+IF($G$1="牵丝",$AK119*1.5,0))*(1+$BC119)*(1+$BD119)+($BF119*IF($G$1="破竹",$AJ119,$AH119)+IF($G$1="破竹",$AK119*1.5,0))*(1+$BG119)*(1+$BH119))*(1+$AL119)*$BM119*$P119*(1+IF(VLOOKUP($Q119,武学奇术!$A:$ZZ,30,FALSE)="回旋伞",$B$21,0))*(1+$BQ119)</f>
        <v>57870.7756557982</v>
      </c>
      <c r="N119" s="41">
        <f>((($AN119+$AO119)/2*$AH119+$AI119)*(1+$AP119)*(1+$AQ119)+(($AS119+$AT119)/2*IF($G$1="鸣金",$AJ119,$AH119)+IF($G$1="鸣金",$AK119*1.5,0))*(1+$AU119)*(1+$AV119)+(($AW119+$AX119)/2*IF($G$1="裂石",$AJ119,$AH119)+IF($G$1="裂石",$AK119*1.5,0))*(1+$AY119)*(1+$AZ119)+(($BA119+$BB119)/2*IF($G$1="牵丝",$AJ119,$AH119)+IF($G$1="牵丝",$AK119*1.5,0))*(1+$BC119)*(1+$BD119)+(($BE119+$BF119)/2*IF($G$1="破竹",$AJ119,$AH119)+IF($G$1="破竹",$AK119*1.5,0))*(1+$BG119)*(1+$BH119))*(1+$AL119)*$P119*(1+IF(VLOOKUP($Q119,武学奇术!$A:$ZZ,30,FALSE)="回旋伞",$B$21,0))*(1+$BQ119)</f>
        <v>38284.9793952101</v>
      </c>
      <c r="O119" s="41">
        <f>((($AN119*$AH119+$AI119)*(1+$AP119)*(1+$AQ119)+($AS119*IF($G$1="鸣金",$AJ119,$AH119)+IF($G$1="鸣金",$AK119*1.5,0))*(1+$AU119)*(1+$AV119)+($AW119*IF($G$1="裂石",$AJ119,$AH119)+IF($G$1="裂石",$AK119*1.5,0))*(1+$AY119)*(1+$AZ119)+($BA119*IF($G$1="牵丝",$AJ119,$AH119)+IF($G$1="牵丝",$AK119*1.5,0))*(1+$BC119)*(1+$BD119)+($BE119*IF($G$1="破竹",$AJ119,$AH119)+IF($G$1="破竹",$AK119*1.5,0))*(1+$BG119)*(1+$BH119))*(1+$AL119))*$P119*(1+IF(VLOOKUP($Q119,武学奇术!$A:$ZZ,30,FALSE)="回旋伞",$B$21,0))*(1+$BQ119)</f>
        <v>33702.717563903</v>
      </c>
      <c r="P119" s="42">
        <v>1</v>
      </c>
      <c r="Q119" s="43" t="s">
        <v>104</v>
      </c>
      <c r="R119" s="43" t="s">
        <v>105</v>
      </c>
      <c r="S119" s="43" t="s">
        <v>91</v>
      </c>
      <c r="T119" s="43" t="s">
        <v>72</v>
      </c>
      <c r="U119" s="43" t="s">
        <v>79</v>
      </c>
      <c r="V119" s="43" t="s">
        <v>167</v>
      </c>
      <c r="W119" s="43" t="s">
        <v>95</v>
      </c>
      <c r="X119" s="43" t="s">
        <v>71</v>
      </c>
      <c r="Y119" s="43" t="s">
        <v>71</v>
      </c>
      <c r="Z119" s="43" t="s">
        <v>71</v>
      </c>
      <c r="AA119" s="43" t="s">
        <v>109</v>
      </c>
      <c r="AB119" s="43" t="s">
        <v>71</v>
      </c>
      <c r="AC119" s="43" t="s">
        <v>71</v>
      </c>
      <c r="AD119" s="43" t="s">
        <v>71</v>
      </c>
      <c r="AE119" s="43" t="s">
        <v>71</v>
      </c>
      <c r="AF119" s="43" t="s">
        <v>76</v>
      </c>
      <c r="AG119" t="str">
        <f>VLOOKUP($Q119,武学奇术!$A:$ZZ,25,FALSE)</f>
        <v>伞</v>
      </c>
      <c r="AH119" s="30">
        <f>VLOOKUP($Q119,武学奇术!$A:$ZZ,26,FALSE)</f>
        <v>1.8084</v>
      </c>
      <c r="AI119" s="31">
        <f>VLOOKUP($Q119,武学奇术!$A:$ZZ,27,FALSE)*(1+IF(OR($AG119=$F$4,$AG119=$F$5),$B$22,0))</f>
        <v>700</v>
      </c>
      <c r="AJ119" s="30">
        <f>VLOOKUP($Q119,武学奇术!$A:$ZZ,28,FALSE)</f>
        <v>2.7126</v>
      </c>
      <c r="AK119" s="31">
        <f>VLOOKUP($Q119,武学奇术!$A:$ZZ,29,FALSE)*(1+IF(OR($AG119=$F$4,$AG119=$F$5),$B$22,0))</f>
        <v>380.8</v>
      </c>
      <c r="AL119" s="30" cm="1">
        <f t="array" ref="AL119">$G$3+IFERROR(VLOOKUP($AG119,$F$4:$G$7,2,FALSE),0)+VLOOKUP($Q119,武学奇术!$A:$ZZ,2,FALSE)+SUM(_xlfn.XLOOKUP($R119:$AF119,增益!$A:$A,增益!$B:$B,0))</f>
        <v>0.7741</v>
      </c>
      <c r="AM119" s="30" cm="1">
        <f t="array" ref="AM119">VLOOKUP($Q119,武学奇术!$A:$ZZ,5,FALSE)+SUM(_xlfn.XLOOKUP($R119:$AF119,增益!$A:$A,增益!$E:$E,0))</f>
        <v>0</v>
      </c>
      <c r="AN119" cm="1">
        <f t="array" ref="AN119">$D$10*(1+$AM119)+VLOOKUP($Q119,武学奇术!$A:$ZZ,3,FALSE)+SUM(_xlfn.XLOOKUP($R119:$AF119,增益!$A:$A,增益!$C:$C,0))-$I$2</f>
        <v>3483.8</v>
      </c>
      <c r="AO119" cm="1">
        <f t="array" ref="AO119">$E$10*(1+$AM119)+VLOOKUP($Q119,武学奇术!$A:$ZZ,4,FALSE)+SUM(_xlfn.XLOOKUP($R119:$AF119,增益!$A:$A,增益!$D:$D,0))-$I$2</f>
        <v>3483.8</v>
      </c>
      <c r="AP119" s="35" cm="1">
        <f t="array" ref="AP119">IF($F$10-$I$3+VLOOKUP($Q119,武学奇术!$A:$ZZ,6,FALSE)+SUM(_xlfn.XLOOKUP(R119:AF119,增益!$A:$A,增益!$F:$F,0))&gt;0,($F$10-$I$3+VLOOKUP($Q119,武学奇术!$A:$ZZ,6,FALSE)+SUM(_xlfn.XLOOKUP(R119:AF119,增益!$A:$A,增益!$F:$F,0)))/200,($F$10-$I$3+VLOOKUP($Q119,武学奇术!$A:$ZZ,6,FALSE)+SUM(_xlfn.XLOOKUP(R119:AF119,增益!$A:$A,增益!$F:$F,0)))/100)</f>
        <v>0.2925</v>
      </c>
      <c r="AQ119" s="35" cm="1">
        <f t="array" ref="AQ119">$G$10+VLOOKUP($Q119,武学奇术!$A:$ZZ,7,FALSE)+SUM(_xlfn.XLOOKUP(R119:AF119,增益!$A:$A,增益!$G:$G,0))</f>
        <v>0.148</v>
      </c>
      <c r="AR119" s="30" cm="1">
        <f t="array" ref="AR119">VLOOKUP($Q119,武学奇术!$A:$ZZ,8,FALSE)+SUM(_xlfn.XLOOKUP(R119:AF119,增益!$A:$A,增益!$H:$H,0))</f>
        <v>0</v>
      </c>
      <c r="AS119">
        <f t="shared" si="13"/>
        <v>0</v>
      </c>
      <c r="AT119">
        <f t="shared" si="14"/>
        <v>0</v>
      </c>
      <c r="AU119" s="35" cm="1">
        <f t="array" ref="AU119">IF($F$11-$I$4+VLOOKUP($Q119,武学奇术!$A:$ZZ,9,FALSE)+SUM(_xlfn.XLOOKUP(R119:AF119,增益!$A:$A,增益!$I:$I,0))&gt;0,($F$11-$I$4+VLOOKUP($Q119,武学奇术!$A:$ZZ,9,FALSE)+SUM(_xlfn.XLOOKUP(R119:AF119,增益!$A:$A,增益!$I:$I,0)))/200,($F$11-$I$4+VLOOKUP($Q119,武学奇术!$A:$ZZ,9,FALSE)+SUM(_xlfn.XLOOKUP(R119:AF119,增益!$A:$A,增益!$I:$I,0)))/100)</f>
        <v>-0.3</v>
      </c>
      <c r="AV119" s="35" cm="1">
        <f t="array" ref="AV119">$G$11+VLOOKUP($Q119,武学奇术!$A:$ZZ,10,FALSE)+SUM(_xlfn.XLOOKUP(R119:AF119,增益!$A:$A,增益!$J:$J,0))</f>
        <v>0</v>
      </c>
      <c r="AW119">
        <f t="shared" si="15"/>
        <v>0</v>
      </c>
      <c r="AX119">
        <f t="shared" si="16"/>
        <v>0</v>
      </c>
      <c r="AY119" s="35" cm="1">
        <f t="array" ref="AY119">IF($F$12-$I$4+VLOOKUP($Q119,武学奇术!$A:$ZZ,11,FALSE)+SUM(_xlfn.XLOOKUP(R119:AF119,增益!$A:$A,增益!$K:$K,0))&gt;0,($F$12-$I$4+VLOOKUP($Q119,武学奇术!$A:$ZZ,11,FALSE)+SUM(_xlfn.XLOOKUP(R119:AF119,增益!$A:$A,增益!$K:$K,0)))/200,($F$12-$I$4+VLOOKUP($Q119,武学奇术!$A:$ZZ,11,FALSE)+SUM(_xlfn.XLOOKUP(R119:AF119,增益!$A:$A,增益!$K:$K,0)))/100)</f>
        <v>-0.3</v>
      </c>
      <c r="AZ119" s="35" cm="1">
        <f t="array" ref="AZ119">$G$12+VLOOKUP($Q119,武学奇术!$A:$ZZ,12,FALSE)+SUM(_xlfn.XLOOKUP(R119:AF119,增益!$A:$A,增益!$L:$L,0))</f>
        <v>0</v>
      </c>
      <c r="BA119">
        <f t="shared" si="17"/>
        <v>0</v>
      </c>
      <c r="BB119">
        <f t="shared" si="18"/>
        <v>0</v>
      </c>
      <c r="BC119" s="35" cm="1">
        <f t="array" ref="BC119">IF($F$13-$I$4+VLOOKUP($Q119,武学奇术!$A:$ZZ,13,FALSE)+SUM(_xlfn.XLOOKUP(R119:AF119,增益!$A:$A,增益!$M:$M,0))&gt;0,($F$13-$I$4+VLOOKUP($Q119,武学奇术!$A:$ZZ,13,FALSE)+SUM(_xlfn.XLOOKUP(R119:AF119,增益!$A:$A,增益!$K:$K,0)))/200,($F$13-$I$4+VLOOKUP($Q119,武学奇术!$A:$ZZ,13,FALSE)+SUM(_xlfn.XLOOKUP(R119:AF119,增益!$A:$A,增益!$M:$M,0)))/100)</f>
        <v>-0.3</v>
      </c>
      <c r="BD119" s="35" cm="1">
        <f t="array" ref="BD119">$G$13+VLOOKUP($Q119,武学奇术!$A:$ZZ,14,FALSE)+SUM(_xlfn.XLOOKUP(R119:AF119,增益!$A:$A,增益!$N:$N,0))</f>
        <v>0</v>
      </c>
      <c r="BE119">
        <f t="shared" si="19"/>
        <v>538</v>
      </c>
      <c r="BF119">
        <f t="shared" si="20"/>
        <v>1561.4</v>
      </c>
      <c r="BG119" s="35" cm="1">
        <f t="array" ref="BG119">IF($F$14-$I$4+VLOOKUP($Q119,武学奇术!$A:$ZZ,15,FALSE)+SUM(_xlfn.XLOOKUP(R119:AF119,增益!$A:$A,增益!$O:$O,0))&gt;0,($F$14-$I$4+VLOOKUP($Q119,武学奇术!$A:$ZZ,15,FALSE)+SUM(_xlfn.XLOOKUP(R119:AF119,增益!$A:$A,增益!$O:$O,0)))/200,($F$14-$I$4+VLOOKUP($Q119,武学奇术!$A:$ZZ,15,FALSE)+SUM(_xlfn.XLOOKUP(R119:AF119,增益!$A:$A,增益!$O:$O,0)))/100)</f>
        <v>0</v>
      </c>
      <c r="BH119" s="35" cm="1">
        <f t="array" ref="BH119">$G$14+VLOOKUP($Q119,武学奇术!$A:$ZZ,16,FALSE)+SUM(_xlfn.XLOOKUP(R119:AF119,增益!$A:$A,增益!$P:$P,0))</f>
        <v>0.27</v>
      </c>
      <c r="BI119" s="30">
        <f>MIN(IF(VLOOKUP($Q119,武学奇术!$A:$ZZ,23,FALSE)=1,100%,$B$8),100%)</f>
        <v>0.9712</v>
      </c>
      <c r="BJ119" s="30" cm="1">
        <f t="array" ref="BJ119">IF(VLOOKUP($Q119,武学奇术!$A:$ZZ,23,FALSE)=1,100%,MIN(80%,$B$9+VLOOKUP($Q119,武学奇术!$A:$ZZ,17,FALSE)+SUM(_xlfn.XLOOKUP(R119:AF119,增益!$A:$A,增益!$Q:$Q,0)))+$B$11+SUM(_xlfn.XLOOKUP(R119:AF119,增益!$A:$A,增益!$U:$U,0)))*IF(VLOOKUP($Q119,武学奇术!$A:$ZZ,24,FALSE)=1,0,1)</f>
        <v>0.8773</v>
      </c>
      <c r="BK119" s="30" cm="1">
        <f t="array" ref="BK119">1+$B$13+VLOOKUP($Q119,武学奇术!$A:$ZZ,18,FALSE)+SUM(_xlfn.XLOOKUP(R119:AF119,增益!$A:$A,增益!$R:$R,0))</f>
        <v>1.87</v>
      </c>
      <c r="BL119" s="30" cm="1">
        <f t="array" ref="BL119">IF(VLOOKUP($Q119,武学奇术!$A:$ZZ,24,FALSE)=1,100%,MIN(40%,$B$10+VLOOKUP($Q119,武学奇术!$A:$ZZ,19,FALSE)+SUM(_xlfn.XLOOKUP(R119:AF119,增益!$A:$A,增益!$S:$S,0)))+$B$12+SUM(_xlfn.XLOOKUP(R119:AF119,增益!$A:$A,增益!$V:$V,0)))*IF(VLOOKUP($Q119,武学奇术!$A:$ZZ,23,FALSE)=1,0,1)</f>
        <v>0.0895</v>
      </c>
      <c r="BM119" s="30" cm="1">
        <f t="array" ref="BM119">1+$B$14+VLOOKUP($Q119,武学奇术!$A:$ZZ,20,FALSE)+SUM(_xlfn.XLOOKUP(R119:AF119,增益!$A:$A,增益!$T:$T,0))</f>
        <v>1.35</v>
      </c>
      <c r="BN119" s="30">
        <f t="shared" si="21"/>
        <v>0.85203376</v>
      </c>
      <c r="BO119" s="30">
        <f t="shared" si="22"/>
        <v>0.03224384</v>
      </c>
      <c r="BP119" s="30">
        <f>IF(VLOOKUP($Q119,武学奇术!$A:$ZZ,22,FALSE)=1,0,(1-$BI119))*(1-$BL119)</f>
        <v>0.0262224</v>
      </c>
      <c r="BQ119" s="30" cm="1">
        <f t="array" ref="BQ119">SUM(_xlfn.XLOOKUP(R119:AF119,增益!$A:$A,增益!$W:$W,0))+$I$5</f>
        <v>0.11</v>
      </c>
    </row>
    <row r="120" spans="11:69">
      <c r="K120" s="41">
        <f t="shared" si="25"/>
        <v>88991.6392102794</v>
      </c>
      <c r="L120" s="41">
        <f>((($AN120+$AO120)/2*$AH120+$AI120)*(1+$AP120)*(1+$AQ120)+(($AS120+$AT120)/2*IF($G$1="鸣金",$AJ120,$AH120)+IF($G$1="鸣金",$AK120*1.5,0))*(1+$AU120)*(1+$AV120)+(($AW120+$AX120)/2*IF($G$1="裂石",$AJ120,$AH120)+IF($G$1="裂石",$AK120*1.5,0))*(1+$AY120)*(1+$AZ120)+(($BA120+$BB120)/2*IF($G$1="牵丝",$AJ120,$AH120)+IF($G$1="牵丝",$AK120*1.5,0))*(1+$BC120)*(1+$BD120)+(($BE120+$BF120)/2*IF($G$1="破竹",$AJ120,$AH120)+IF($G$1="破竹",$AK120*1.5,0))*(1+$BG120)*(1+$BH120))*(1+$AL120)*$BK120*$P120*(1+IF(VLOOKUP($Q120,武学奇术!$A:$ZZ,30,FALSE)="回旋伞",$B$21,0))*(1+$BQ120)</f>
        <v>94510.5806703779</v>
      </c>
      <c r="M120" s="41">
        <f>(($AO120*$AH120+$AI120)*(1+$AP120)*(1+$AQ120)+($AT120*IF($G$1="鸣金",$AJ120,$AH120)+IF($G$1="鸣金",$AK120*1.5,0))*(1+$AU120)*(1+$AV120)+($AX120*IF($G$1="裂石",$AJ120,$AH120)+IF($G$1="裂石",$AK120*1.5,0))*(1+$AY120)*(1+$AZ120)+($BB120*IF($G$1="牵丝",$AJ120,$AH120)+IF($G$1="牵丝",$AK120*1.5,0))*(1+$BC120)*(1+$BD120)+($BF120*IF($G$1="破竹",$AJ120,$AH120)+IF($G$1="破竹",$AK120*1.5,0))*(1+$BG120)*(1+$BH120))*(1+$AL120)*$BM120*$P120*(1+IF(VLOOKUP($Q120,武学奇术!$A:$ZZ,30,FALSE)="回旋伞",$B$21,0))*(1+$BQ120)</f>
        <v>66926.9800703784</v>
      </c>
      <c r="N120" s="41">
        <f>((($AN120+$AO120)/2*$AH120+$AI120)*(1+$AP120)*(1+$AQ120)+(($AS120+$AT120)/2*IF($G$1="鸣金",$AJ120,$AH120)+IF($G$1="鸣金",$AK120*1.5,0))*(1+$AU120)*(1+$AV120)+(($AW120+$AX120)/2*IF($G$1="裂石",$AJ120,$AH120)+IF($G$1="裂石",$AK120*1.5,0))*(1+$AY120)*(1+$AZ120)+(($BA120+$BB120)/2*IF($G$1="牵丝",$AJ120,$AH120)+IF($G$1="牵丝",$AK120*1.5,0))*(1+$BC120)*(1+$BD120)+(($BE120+$BF120)/2*IF($G$1="破竹",$AJ120,$AH120)+IF($G$1="破竹",$AK120*1.5,0))*(1+$BG120)*(1+$BH120))*(1+$AL120)*$P120*(1+IF(VLOOKUP($Q120,武学奇术!$A:$ZZ,30,FALSE)="回旋伞",$B$21,0))*(1+$BQ120)</f>
        <v>44580.4625803669</v>
      </c>
      <c r="O120" s="41">
        <f>((($AN120*$AH120+$AI120)*(1+$AP120)*(1+$AQ120)+($AS120*IF($G$1="鸣金",$AJ120,$AH120)+IF($G$1="鸣金",$AK120*1.5,0))*(1+$AU120)*(1+$AV120)+($AW120*IF($G$1="裂石",$AJ120,$AH120)+IF($G$1="裂石",$AK120*1.5,0))*(1+$AY120)*(1+$AZ120)+($BA120*IF($G$1="牵丝",$AJ120,$AH120)+IF($G$1="牵丝",$AK120*1.5,0))*(1+$BC120)*(1+$BD120)+($BE120*IF($G$1="破竹",$AJ120,$AH120)+IF($G$1="破竹",$AK120*1.5,0))*(1+$BG120)*(1+$BH120))*(1+$AL120))*$P120*(1+IF(VLOOKUP($Q120,武学奇术!$A:$ZZ,30,FALSE)="回旋伞",$B$21,0))*(1+$BQ120)</f>
        <v>39585.384367861</v>
      </c>
      <c r="P120" s="42">
        <v>1</v>
      </c>
      <c r="Q120" s="43" t="s">
        <v>104</v>
      </c>
      <c r="R120" s="43" t="s">
        <v>105</v>
      </c>
      <c r="S120" s="43" t="s">
        <v>91</v>
      </c>
      <c r="T120" s="43" t="s">
        <v>72</v>
      </c>
      <c r="U120" s="43" t="s">
        <v>79</v>
      </c>
      <c r="V120" s="43" t="s">
        <v>167</v>
      </c>
      <c r="W120" s="43" t="s">
        <v>95</v>
      </c>
      <c r="X120" s="43" t="s">
        <v>71</v>
      </c>
      <c r="Y120" s="43" t="s">
        <v>177</v>
      </c>
      <c r="Z120" s="43" t="s">
        <v>71</v>
      </c>
      <c r="AA120" s="43" t="s">
        <v>112</v>
      </c>
      <c r="AB120" s="43" t="s">
        <v>179</v>
      </c>
      <c r="AC120" s="43" t="s">
        <v>71</v>
      </c>
      <c r="AD120" s="43" t="s">
        <v>71</v>
      </c>
      <c r="AE120" s="43" t="s">
        <v>71</v>
      </c>
      <c r="AF120" s="43" t="s">
        <v>76</v>
      </c>
      <c r="AG120" t="str">
        <f>VLOOKUP($Q120,武学奇术!$A:$ZZ,25,FALSE)</f>
        <v>伞</v>
      </c>
      <c r="AH120" s="30">
        <f>VLOOKUP($Q120,武学奇术!$A:$ZZ,26,FALSE)</f>
        <v>1.8084</v>
      </c>
      <c r="AI120" s="31">
        <f>VLOOKUP($Q120,武学奇术!$A:$ZZ,27,FALSE)*(1+IF(OR($AG120=$F$4,$AG120=$F$5),$B$22,0))</f>
        <v>700</v>
      </c>
      <c r="AJ120" s="30">
        <f>VLOOKUP($Q120,武学奇术!$A:$ZZ,28,FALSE)</f>
        <v>2.7126</v>
      </c>
      <c r="AK120" s="31">
        <f>VLOOKUP($Q120,武学奇术!$A:$ZZ,29,FALSE)*(1+IF(OR($AG120=$F$4,$AG120=$F$5),$B$22,0))</f>
        <v>380.8</v>
      </c>
      <c r="AL120" s="30" cm="1">
        <f t="array" ref="AL120">$G$3+IFERROR(VLOOKUP($AG120,$F$4:$G$7,2,FALSE),0)+VLOOKUP($Q120,武学奇术!$A:$ZZ,2,FALSE)+SUM(_xlfn.XLOOKUP($R120:$AF120,增益!$A:$A,增益!$B:$B,0))</f>
        <v>0.7741</v>
      </c>
      <c r="AM120" s="30" cm="1">
        <f t="array" ref="AM120">VLOOKUP($Q120,武学奇术!$A:$ZZ,5,FALSE)+SUM(_xlfn.XLOOKUP($R120:$AF120,增益!$A:$A,增益!$E:$E,0))</f>
        <v>0</v>
      </c>
      <c r="AN120" cm="1">
        <f t="array" ref="AN120">$D$10*(1+$AM120)+VLOOKUP($Q120,武学奇术!$A:$ZZ,3,FALSE)+SUM(_xlfn.XLOOKUP($R120:$AF120,增益!$A:$A,增益!$C:$C,0))-$I$2</f>
        <v>3483.8</v>
      </c>
      <c r="AO120" cm="1">
        <f t="array" ref="AO120">$E$10*(1+$AM120)+VLOOKUP($Q120,武学奇术!$A:$ZZ,4,FALSE)+SUM(_xlfn.XLOOKUP($R120:$AF120,增益!$A:$A,增益!$D:$D,0))-$I$2</f>
        <v>3483.8</v>
      </c>
      <c r="AP120" s="35" cm="1">
        <f t="array" ref="AP120">IF($F$10-$I$3+VLOOKUP($Q120,武学奇术!$A:$ZZ,6,FALSE)+SUM(_xlfn.XLOOKUP(R120:AF120,增益!$A:$A,增益!$F:$F,0))&gt;0,($F$10-$I$3+VLOOKUP($Q120,武学奇术!$A:$ZZ,6,FALSE)+SUM(_xlfn.XLOOKUP(R120:AF120,增益!$A:$A,增益!$F:$F,0)))/200,($F$10-$I$3+VLOOKUP($Q120,武学奇术!$A:$ZZ,6,FALSE)+SUM(_xlfn.XLOOKUP(R120:AF120,增益!$A:$A,增益!$F:$F,0)))/100)</f>
        <v>0.4175</v>
      </c>
      <c r="AQ120" s="35" cm="1">
        <f t="array" ref="AQ120">$G$10+VLOOKUP($Q120,武学奇术!$A:$ZZ,7,FALSE)+SUM(_xlfn.XLOOKUP(R120:AF120,增益!$A:$A,增益!$G:$G,0))</f>
        <v>0.148</v>
      </c>
      <c r="AR120" s="30" cm="1">
        <f t="array" ref="AR120">VLOOKUP($Q120,武学奇术!$A:$ZZ,8,FALSE)+SUM(_xlfn.XLOOKUP(R120:AF120,增益!$A:$A,增益!$H:$H,0))</f>
        <v>0</v>
      </c>
      <c r="AS120">
        <f t="shared" si="13"/>
        <v>0</v>
      </c>
      <c r="AT120">
        <f t="shared" si="14"/>
        <v>0</v>
      </c>
      <c r="AU120" s="35" cm="1">
        <f t="array" ref="AU120">IF($F$11-$I$4+VLOOKUP($Q120,武学奇术!$A:$ZZ,9,FALSE)+SUM(_xlfn.XLOOKUP(R120:AF120,增益!$A:$A,增益!$I:$I,0))&gt;0,($F$11-$I$4+VLOOKUP($Q120,武学奇术!$A:$ZZ,9,FALSE)+SUM(_xlfn.XLOOKUP(R120:AF120,增益!$A:$A,增益!$I:$I,0)))/200,($F$11-$I$4+VLOOKUP($Q120,武学奇术!$A:$ZZ,9,FALSE)+SUM(_xlfn.XLOOKUP(R120:AF120,增益!$A:$A,增益!$I:$I,0)))/100)</f>
        <v>-0.3</v>
      </c>
      <c r="AV120" s="35" cm="1">
        <f t="array" ref="AV120">$G$11+VLOOKUP($Q120,武学奇术!$A:$ZZ,10,FALSE)+SUM(_xlfn.XLOOKUP(R120:AF120,增益!$A:$A,增益!$J:$J,0))</f>
        <v>0</v>
      </c>
      <c r="AW120">
        <f t="shared" si="15"/>
        <v>0</v>
      </c>
      <c r="AX120">
        <f t="shared" si="16"/>
        <v>0</v>
      </c>
      <c r="AY120" s="35" cm="1">
        <f t="array" ref="AY120">IF($F$12-$I$4+VLOOKUP($Q120,武学奇术!$A:$ZZ,11,FALSE)+SUM(_xlfn.XLOOKUP(R120:AF120,增益!$A:$A,增益!$K:$K,0))&gt;0,($F$12-$I$4+VLOOKUP($Q120,武学奇术!$A:$ZZ,11,FALSE)+SUM(_xlfn.XLOOKUP(R120:AF120,增益!$A:$A,增益!$K:$K,0)))/200,($F$12-$I$4+VLOOKUP($Q120,武学奇术!$A:$ZZ,11,FALSE)+SUM(_xlfn.XLOOKUP(R120:AF120,增益!$A:$A,增益!$K:$K,0)))/100)</f>
        <v>-0.3</v>
      </c>
      <c r="AZ120" s="35" cm="1">
        <f t="array" ref="AZ120">$G$12+VLOOKUP($Q120,武学奇术!$A:$ZZ,12,FALSE)+SUM(_xlfn.XLOOKUP(R120:AF120,增益!$A:$A,增益!$L:$L,0))</f>
        <v>0</v>
      </c>
      <c r="BA120">
        <f t="shared" si="17"/>
        <v>0</v>
      </c>
      <c r="BB120">
        <f t="shared" si="18"/>
        <v>0</v>
      </c>
      <c r="BC120" s="35" cm="1">
        <f t="array" ref="BC120">IF($F$13-$I$4+VLOOKUP($Q120,武学奇术!$A:$ZZ,13,FALSE)+SUM(_xlfn.XLOOKUP(R120:AF120,增益!$A:$A,增益!$M:$M,0))&gt;0,($F$13-$I$4+VLOOKUP($Q120,武学奇术!$A:$ZZ,13,FALSE)+SUM(_xlfn.XLOOKUP(R120:AF120,增益!$A:$A,增益!$K:$K,0)))/200,($F$13-$I$4+VLOOKUP($Q120,武学奇术!$A:$ZZ,13,FALSE)+SUM(_xlfn.XLOOKUP(R120:AF120,增益!$A:$A,增益!$M:$M,0)))/100)</f>
        <v>-0.3</v>
      </c>
      <c r="BD120" s="35" cm="1">
        <f t="array" ref="BD120">$G$13+VLOOKUP($Q120,武学奇术!$A:$ZZ,14,FALSE)+SUM(_xlfn.XLOOKUP(R120:AF120,增益!$A:$A,增益!$N:$N,0))</f>
        <v>0</v>
      </c>
      <c r="BE120">
        <f t="shared" si="19"/>
        <v>538</v>
      </c>
      <c r="BF120">
        <f t="shared" si="20"/>
        <v>1561.4</v>
      </c>
      <c r="BG120" s="35" cm="1">
        <f t="array" ref="BG120">IF($F$14-$I$4+VLOOKUP($Q120,武学奇术!$A:$ZZ,15,FALSE)+SUM(_xlfn.XLOOKUP(R120:AF120,增益!$A:$A,增益!$O:$O,0))&gt;0,($F$14-$I$4+VLOOKUP($Q120,武学奇术!$A:$ZZ,15,FALSE)+SUM(_xlfn.XLOOKUP(R120:AF120,增益!$A:$A,增益!$O:$O,0)))/200,($F$14-$I$4+VLOOKUP($Q120,武学奇术!$A:$ZZ,15,FALSE)+SUM(_xlfn.XLOOKUP(R120:AF120,增益!$A:$A,增益!$O:$O,0)))/100)</f>
        <v>0</v>
      </c>
      <c r="BH120" s="35" cm="1">
        <f t="array" ref="BH120">$G$14+VLOOKUP($Q120,武学奇术!$A:$ZZ,16,FALSE)+SUM(_xlfn.XLOOKUP(R120:AF120,增益!$A:$A,增益!$P:$P,0))</f>
        <v>0.27</v>
      </c>
      <c r="BI120" s="30">
        <f>MIN(IF(VLOOKUP($Q120,武学奇术!$A:$ZZ,23,FALSE)=1,100%,$B$8),100%)</f>
        <v>0.9712</v>
      </c>
      <c r="BJ120" s="30" cm="1">
        <f t="array" ref="BJ120">IF(VLOOKUP($Q120,武学奇术!$A:$ZZ,23,FALSE)=1,100%,MIN(80%,$B$9+VLOOKUP($Q120,武学奇术!$A:$ZZ,17,FALSE)+SUM(_xlfn.XLOOKUP(R120:AF120,增益!$A:$A,增益!$Q:$Q,0)))+$B$11+SUM(_xlfn.XLOOKUP(R120:AF120,增益!$A:$A,增益!$U:$U,0)))*IF(VLOOKUP($Q120,武学奇术!$A:$ZZ,24,FALSE)=1,0,1)</f>
        <v>0.8773</v>
      </c>
      <c r="BK120" s="30" cm="1">
        <f t="array" ref="BK120">1+$B$13+VLOOKUP($Q120,武学奇术!$A:$ZZ,18,FALSE)+SUM(_xlfn.XLOOKUP(R120:AF120,增益!$A:$A,增益!$R:$R,0))</f>
        <v>2.12</v>
      </c>
      <c r="BL120" s="30" cm="1">
        <f t="array" ref="BL120">IF(VLOOKUP($Q120,武学奇术!$A:$ZZ,24,FALSE)=1,100%,MIN(40%,$B$10+VLOOKUP($Q120,武学奇术!$A:$ZZ,19,FALSE)+SUM(_xlfn.XLOOKUP(R120:AF120,增益!$A:$A,增益!$S:$S,0)))+$B$12+SUM(_xlfn.XLOOKUP(R120:AF120,增益!$A:$A,增益!$V:$V,0)))*IF(VLOOKUP($Q120,武学奇术!$A:$ZZ,23,FALSE)=1,0,1)</f>
        <v>0.0895</v>
      </c>
      <c r="BM120" s="30" cm="1">
        <f t="array" ref="BM120">1+$B$14+VLOOKUP($Q120,武学奇术!$A:$ZZ,20,FALSE)+SUM(_xlfn.XLOOKUP(R120:AF120,增益!$A:$A,增益!$T:$T,0))</f>
        <v>1.35</v>
      </c>
      <c r="BN120" s="30">
        <f t="shared" si="21"/>
        <v>0.85203376</v>
      </c>
      <c r="BO120" s="30">
        <f t="shared" si="22"/>
        <v>0.03224384</v>
      </c>
      <c r="BP120" s="30">
        <f>IF(VLOOKUP($Q120,武学奇术!$A:$ZZ,22,FALSE)=1,0,(1-$BI120))*(1-$BL120)</f>
        <v>0.0262224</v>
      </c>
      <c r="BQ120" s="30" cm="1">
        <f t="array" ref="BQ120">SUM(_xlfn.XLOOKUP(R120:AF120,增益!$A:$A,增益!$W:$W,0))+$I$5</f>
        <v>0.21</v>
      </c>
    </row>
    <row r="121" spans="11:69">
      <c r="K121" s="41">
        <f t="shared" si="25"/>
        <v>420660.249819949</v>
      </c>
      <c r="L121" s="41">
        <f>((($AN121+$AO121)/2*$AH121+$AI121)*(1+$AP121)*(1+$AQ121)+(($AS121+$AT121)/2*IF($G$1="鸣金",$AJ121,$AH121)+IF($G$1="鸣金",$AK121*1.5,0))*(1+$AU121)*(1+$AV121)+(($AW121+$AX121)/2*IF($G$1="裂石",$AJ121,$AH121)+IF($G$1="裂石",$AK121*1.5,0))*(1+$AY121)*(1+$AZ121)+(($BA121+$BB121)/2*IF($G$1="牵丝",$AJ121,$AH121)+IF($G$1="牵丝",$AK121*1.5,0))*(1+$BC121)*(1+$BD121)+(($BE121+$BF121)/2*IF($G$1="破竹",$AJ121,$AH121)+IF($G$1="破竹",$AK121*1.5,0))*(1+$BG121)*(1+$BH121))*(1+$AL121)*$BK121*$P121*(1+IF(VLOOKUP($Q121,武学奇术!$A:$ZZ,30,FALSE)="回旋伞",$B$21,0))*(1+$BQ121)</f>
        <v>420660.249819949</v>
      </c>
      <c r="M121" s="41">
        <f>(($AO121*$AH121+$AI121)*(1+$AP121)*(1+$AQ121)+($AT121*IF($G$1="鸣金",$AJ121,$AH121)+IF($G$1="鸣金",$AK121*1.5,0))*(1+$AU121)*(1+$AV121)+($AX121*IF($G$1="裂石",$AJ121,$AH121)+IF($G$1="裂石",$AK121*1.5,0))*(1+$AY121)*(1+$AZ121)+($BB121*IF($G$1="牵丝",$AJ121,$AH121)+IF($G$1="牵丝",$AK121*1.5,0))*(1+$BC121)*(1+$BD121)+($BF121*IF($G$1="破竹",$AJ121,$AH121)+IF($G$1="破竹",$AK121*1.5,0))*(1+$BG121)*(1+$BH121))*(1+$AL121)*$BM121*$P121*(1+IF(VLOOKUP($Q121,武学奇术!$A:$ZZ,30,FALSE)="回旋伞",$B$21,0))*(1+$BQ121)</f>
        <v>297887.495309022</v>
      </c>
      <c r="N121" s="41">
        <f>((($AN121+$AO121)/2*$AH121+$AI121)*(1+$AP121)*(1+$AQ121)+(($AS121+$AT121)/2*IF($G$1="鸣金",$AJ121,$AH121)+IF($G$1="鸣金",$AK121*1.5,0))*(1+$AU121)*(1+$AV121)+(($AW121+$AX121)/2*IF($G$1="裂石",$AJ121,$AH121)+IF($G$1="裂石",$AK121*1.5,0))*(1+$AY121)*(1+$AZ121)+(($BA121+$BB121)/2*IF($G$1="牵丝",$AJ121,$AH121)+IF($G$1="牵丝",$AK121*1.5,0))*(1+$BC121)*(1+$BD121)+(($BE121+$BF121)/2*IF($G$1="破竹",$AJ121,$AH121)+IF($G$1="破竹",$AK121*1.5,0))*(1+$BG121)*(1+$BH121))*(1+$AL121)*$P121*(1+IF(VLOOKUP($Q121,武学奇术!$A:$ZZ,30,FALSE)="回旋伞",$B$21,0))*(1+$BQ121)</f>
        <v>198424.646141485</v>
      </c>
      <c r="O121" s="41">
        <f>((($AN121*$AH121+$AI121)*(1+$AP121)*(1+$AQ121)+($AS121*IF($G$1="鸣金",$AJ121,$AH121)+IF($G$1="鸣金",$AK121*1.5,0))*(1+$AU121)*(1+$AV121)+($AW121*IF($G$1="裂石",$AJ121,$AH121)+IF($G$1="裂石",$AK121*1.5,0))*(1+$AY121)*(1+$AZ121)+($BA121*IF($G$1="牵丝",$AJ121,$AH121)+IF($G$1="牵丝",$AK121*1.5,0))*(1+$BC121)*(1+$BD121)+($BE121*IF($G$1="破竹",$AJ121,$AH121)+IF($G$1="破竹",$AK121*1.5,0))*(1+$BG121)*(1+$BH121))*(1+$AL121))*$P121*(1+IF(VLOOKUP($Q121,武学奇术!$A:$ZZ,30,FALSE)="回旋伞",$B$21,0))*(1+$BQ121)</f>
        <v>176191.888350362</v>
      </c>
      <c r="P121" s="42">
        <v>4</v>
      </c>
      <c r="Q121" s="43" t="s">
        <v>115</v>
      </c>
      <c r="R121" s="43" t="s">
        <v>105</v>
      </c>
      <c r="S121" s="43" t="s">
        <v>91</v>
      </c>
      <c r="T121" s="43" t="s">
        <v>72</v>
      </c>
      <c r="U121" s="43" t="s">
        <v>79</v>
      </c>
      <c r="V121" s="43" t="s">
        <v>167</v>
      </c>
      <c r="W121" s="43" t="s">
        <v>95</v>
      </c>
      <c r="X121" s="43" t="s">
        <v>71</v>
      </c>
      <c r="Y121" s="43" t="s">
        <v>177</v>
      </c>
      <c r="Z121" s="43" t="s">
        <v>71</v>
      </c>
      <c r="AA121" s="43" t="s">
        <v>116</v>
      </c>
      <c r="AB121" s="43" t="s">
        <v>179</v>
      </c>
      <c r="AC121" s="43" t="s">
        <v>71</v>
      </c>
      <c r="AD121" s="43" t="s">
        <v>71</v>
      </c>
      <c r="AE121" s="43" t="s">
        <v>71</v>
      </c>
      <c r="AF121" s="43" t="s">
        <v>76</v>
      </c>
      <c r="AG121" t="str">
        <f>VLOOKUP($Q121,武学奇术!$A:$ZZ,25,FALSE)</f>
        <v>伞</v>
      </c>
      <c r="AH121" s="30">
        <f>VLOOKUP($Q121,武学奇术!$A:$ZZ,26,FALSE)</f>
        <v>1.8084</v>
      </c>
      <c r="AI121" s="31">
        <f>VLOOKUP($Q121,武学奇术!$A:$ZZ,27,FALSE)*(1+IF(OR($AG121=$F$4,$AG121=$F$5),$B$22,0))</f>
        <v>700</v>
      </c>
      <c r="AJ121" s="30">
        <f>VLOOKUP($Q121,武学奇术!$A:$ZZ,28,FALSE)</f>
        <v>2.7126</v>
      </c>
      <c r="AK121" s="31">
        <f>VLOOKUP($Q121,武学奇术!$A:$ZZ,29,FALSE)*(1+IF(OR($AG121=$F$4,$AG121=$F$5),$B$22,0))</f>
        <v>380.8</v>
      </c>
      <c r="AL121" s="30" cm="1">
        <f t="array" ref="AL121">$G$3+IFERROR(VLOOKUP($AG121,$F$4:$G$7,2,FALSE),0)+VLOOKUP($Q121,武学奇术!$A:$ZZ,2,FALSE)+SUM(_xlfn.XLOOKUP($R121:$AF121,增益!$A:$A,增益!$B:$B,0))</f>
        <v>0.9741</v>
      </c>
      <c r="AM121" s="30" cm="1">
        <f t="array" ref="AM121">VLOOKUP($Q121,武学奇术!$A:$ZZ,5,FALSE)+SUM(_xlfn.XLOOKUP($R121:$AF121,增益!$A:$A,增益!$E:$E,0))</f>
        <v>0</v>
      </c>
      <c r="AN121" cm="1">
        <f t="array" ref="AN121">$D$10*(1+$AM121)+VLOOKUP($Q121,武学奇术!$A:$ZZ,3,FALSE)+SUM(_xlfn.XLOOKUP($R121:$AF121,增益!$A:$A,增益!$C:$C,0))-$I$2</f>
        <v>3483.8</v>
      </c>
      <c r="AO121" cm="1">
        <f t="array" ref="AO121">$E$10*(1+$AM121)+VLOOKUP($Q121,武学奇术!$A:$ZZ,4,FALSE)+SUM(_xlfn.XLOOKUP($R121:$AF121,增益!$A:$A,增益!$D:$D,0))-$I$2</f>
        <v>3483.8</v>
      </c>
      <c r="AP121" s="35" cm="1">
        <f t="array" ref="AP121">IF($F$10-$I$3+VLOOKUP($Q121,武学奇术!$A:$ZZ,6,FALSE)+SUM(_xlfn.XLOOKUP(R121:AF121,增益!$A:$A,增益!$F:$F,0))&gt;0,($F$10-$I$3+VLOOKUP($Q121,武学奇术!$A:$ZZ,6,FALSE)+SUM(_xlfn.XLOOKUP(R121:AF121,增益!$A:$A,增益!$F:$F,0)))/200,($F$10-$I$3+VLOOKUP($Q121,武学奇术!$A:$ZZ,6,FALSE)+SUM(_xlfn.XLOOKUP(R121:AF121,增益!$A:$A,增益!$F:$F,0)))/100)</f>
        <v>0.4175</v>
      </c>
      <c r="AQ121" s="35" cm="1">
        <f t="array" ref="AQ121">$G$10+VLOOKUP($Q121,武学奇术!$A:$ZZ,7,FALSE)+SUM(_xlfn.XLOOKUP(R121:AF121,增益!$A:$A,增益!$G:$G,0))</f>
        <v>0.148</v>
      </c>
      <c r="AR121" s="30" cm="1">
        <f t="array" ref="AR121">VLOOKUP($Q121,武学奇术!$A:$ZZ,8,FALSE)+SUM(_xlfn.XLOOKUP(R121:AF121,增益!$A:$A,增益!$H:$H,0))</f>
        <v>0</v>
      </c>
      <c r="AS121">
        <f t="shared" si="13"/>
        <v>0</v>
      </c>
      <c r="AT121">
        <f t="shared" si="14"/>
        <v>0</v>
      </c>
      <c r="AU121" s="35" cm="1">
        <f t="array" ref="AU121">IF($F$11-$I$4+VLOOKUP($Q121,武学奇术!$A:$ZZ,9,FALSE)+SUM(_xlfn.XLOOKUP(R121:AF121,增益!$A:$A,增益!$I:$I,0))&gt;0,($F$11-$I$4+VLOOKUP($Q121,武学奇术!$A:$ZZ,9,FALSE)+SUM(_xlfn.XLOOKUP(R121:AF121,增益!$A:$A,增益!$I:$I,0)))/200,($F$11-$I$4+VLOOKUP($Q121,武学奇术!$A:$ZZ,9,FALSE)+SUM(_xlfn.XLOOKUP(R121:AF121,增益!$A:$A,增益!$I:$I,0)))/100)</f>
        <v>-0.3</v>
      </c>
      <c r="AV121" s="35" cm="1">
        <f t="array" ref="AV121">$G$11+VLOOKUP($Q121,武学奇术!$A:$ZZ,10,FALSE)+SUM(_xlfn.XLOOKUP(R121:AF121,增益!$A:$A,增益!$J:$J,0))</f>
        <v>0</v>
      </c>
      <c r="AW121">
        <f t="shared" si="15"/>
        <v>0</v>
      </c>
      <c r="AX121">
        <f t="shared" si="16"/>
        <v>0</v>
      </c>
      <c r="AY121" s="35" cm="1">
        <f t="array" ref="AY121">IF($F$12-$I$4+VLOOKUP($Q121,武学奇术!$A:$ZZ,11,FALSE)+SUM(_xlfn.XLOOKUP(R121:AF121,增益!$A:$A,增益!$K:$K,0))&gt;0,($F$12-$I$4+VLOOKUP($Q121,武学奇术!$A:$ZZ,11,FALSE)+SUM(_xlfn.XLOOKUP(R121:AF121,增益!$A:$A,增益!$K:$K,0)))/200,($F$12-$I$4+VLOOKUP($Q121,武学奇术!$A:$ZZ,11,FALSE)+SUM(_xlfn.XLOOKUP(R121:AF121,增益!$A:$A,增益!$K:$K,0)))/100)</f>
        <v>-0.3</v>
      </c>
      <c r="AZ121" s="35" cm="1">
        <f t="array" ref="AZ121">$G$12+VLOOKUP($Q121,武学奇术!$A:$ZZ,12,FALSE)+SUM(_xlfn.XLOOKUP(R121:AF121,增益!$A:$A,增益!$L:$L,0))</f>
        <v>0</v>
      </c>
      <c r="BA121">
        <f t="shared" si="17"/>
        <v>0</v>
      </c>
      <c r="BB121">
        <f t="shared" si="18"/>
        <v>0</v>
      </c>
      <c r="BC121" s="35" cm="1">
        <f t="array" ref="BC121">IF($F$13-$I$4+VLOOKUP($Q121,武学奇术!$A:$ZZ,13,FALSE)+SUM(_xlfn.XLOOKUP(R121:AF121,增益!$A:$A,增益!$M:$M,0))&gt;0,($F$13-$I$4+VLOOKUP($Q121,武学奇术!$A:$ZZ,13,FALSE)+SUM(_xlfn.XLOOKUP(R121:AF121,增益!$A:$A,增益!$K:$K,0)))/200,($F$13-$I$4+VLOOKUP($Q121,武学奇术!$A:$ZZ,13,FALSE)+SUM(_xlfn.XLOOKUP(R121:AF121,增益!$A:$A,增益!$M:$M,0)))/100)</f>
        <v>-0.3</v>
      </c>
      <c r="BD121" s="35" cm="1">
        <f t="array" ref="BD121">$G$13+VLOOKUP($Q121,武学奇术!$A:$ZZ,14,FALSE)+SUM(_xlfn.XLOOKUP(R121:AF121,增益!$A:$A,增益!$N:$N,0))</f>
        <v>0</v>
      </c>
      <c r="BE121">
        <f t="shared" si="19"/>
        <v>538</v>
      </c>
      <c r="BF121">
        <f t="shared" si="20"/>
        <v>1561.4</v>
      </c>
      <c r="BG121" s="35" cm="1">
        <f t="array" ref="BG121">IF($F$14-$I$4+VLOOKUP($Q121,武学奇术!$A:$ZZ,15,FALSE)+SUM(_xlfn.XLOOKUP(R121:AF121,增益!$A:$A,增益!$O:$O,0))&gt;0,($F$14-$I$4+VLOOKUP($Q121,武学奇术!$A:$ZZ,15,FALSE)+SUM(_xlfn.XLOOKUP(R121:AF121,增益!$A:$A,增益!$O:$O,0)))/200,($F$14-$I$4+VLOOKUP($Q121,武学奇术!$A:$ZZ,15,FALSE)+SUM(_xlfn.XLOOKUP(R121:AF121,增益!$A:$A,增益!$O:$O,0)))/100)</f>
        <v>0</v>
      </c>
      <c r="BH121" s="35" cm="1">
        <f t="array" ref="BH121">$G$14+VLOOKUP($Q121,武学奇术!$A:$ZZ,16,FALSE)+SUM(_xlfn.XLOOKUP(R121:AF121,增益!$A:$A,增益!$P:$P,0))</f>
        <v>0.27</v>
      </c>
      <c r="BI121" s="30">
        <f>MIN(IF(VLOOKUP($Q121,武学奇术!$A:$ZZ,23,FALSE)=1,100%,$B$8),100%)</f>
        <v>1</v>
      </c>
      <c r="BJ121" s="30" cm="1">
        <f t="array" ref="BJ121">IF(VLOOKUP($Q121,武学奇术!$A:$ZZ,23,FALSE)=1,100%,MIN(80%,$B$9+VLOOKUP($Q121,武学奇术!$A:$ZZ,17,FALSE)+SUM(_xlfn.XLOOKUP(R121:AF121,增益!$A:$A,增益!$Q:$Q,0)))+$B$11+SUM(_xlfn.XLOOKUP(R121:AF121,增益!$A:$A,增益!$U:$U,0)))*IF(VLOOKUP($Q121,武学奇术!$A:$ZZ,24,FALSE)=1,0,1)</f>
        <v>1</v>
      </c>
      <c r="BK121" s="30" cm="1">
        <f t="array" ref="BK121">1+$B$13+VLOOKUP($Q121,武学奇术!$A:$ZZ,18,FALSE)+SUM(_xlfn.XLOOKUP(R121:AF121,增益!$A:$A,增益!$R:$R,0))</f>
        <v>2.12</v>
      </c>
      <c r="BL121" s="30" cm="1">
        <f t="array" ref="BL121">IF(VLOOKUP($Q121,武学奇术!$A:$ZZ,24,FALSE)=1,100%,MIN(40%,$B$10+VLOOKUP($Q121,武学奇术!$A:$ZZ,19,FALSE)+SUM(_xlfn.XLOOKUP(R121:AF121,增益!$A:$A,增益!$S:$S,0)))+$B$12+SUM(_xlfn.XLOOKUP(R121:AF121,增益!$A:$A,增益!$V:$V,0)))*IF(VLOOKUP($Q121,武学奇术!$A:$ZZ,23,FALSE)=1,0,1)</f>
        <v>0</v>
      </c>
      <c r="BM121" s="30" cm="1">
        <f t="array" ref="BM121">1+$B$14+VLOOKUP($Q121,武学奇术!$A:$ZZ,20,FALSE)+SUM(_xlfn.XLOOKUP(R121:AF121,增益!$A:$A,增益!$T:$T,0))</f>
        <v>1.35</v>
      </c>
      <c r="BN121" s="30">
        <f t="shared" si="21"/>
        <v>1</v>
      </c>
      <c r="BO121" s="30">
        <f t="shared" si="22"/>
        <v>0</v>
      </c>
      <c r="BP121" s="30">
        <f>IF(VLOOKUP($Q121,武学奇术!$A:$ZZ,22,FALSE)=1,0,(1-$BI121))*(1-$BL121)</f>
        <v>0</v>
      </c>
      <c r="BQ121" s="30" cm="1">
        <f t="array" ref="BQ121">SUM(_xlfn.XLOOKUP(R121:AF121,增益!$A:$A,增益!$W:$W,0))+$I$5</f>
        <v>0.21</v>
      </c>
    </row>
    <row r="122" spans="11:69">
      <c r="K122" s="41">
        <f t="shared" si="25"/>
        <v>533949.835261676</v>
      </c>
      <c r="L122" s="41">
        <f>((($AN122+$AO122)/2*$AH122+$AI122)*(1+$AP122)*(1+$AQ122)+(($AS122+$AT122)/2*IF($G$1="鸣金",$AJ122,$AH122)+IF($G$1="鸣金",$AK122*1.5,0))*(1+$AU122)*(1+$AV122)+(($AW122+$AX122)/2*IF($G$1="裂石",$AJ122,$AH122)+IF($G$1="裂石",$AK122*1.5,0))*(1+$AY122)*(1+$AZ122)+(($BA122+$BB122)/2*IF($G$1="牵丝",$AJ122,$AH122)+IF($G$1="牵丝",$AK122*1.5,0))*(1+$BC122)*(1+$BD122)+(($BE122+$BF122)/2*IF($G$1="破竹",$AJ122,$AH122)+IF($G$1="破竹",$AK122*1.5,0))*(1+$BG122)*(1+$BH122))*(1+$AL122)*$BK122*$P122*(1+IF(VLOOKUP($Q122,武学奇术!$A:$ZZ,30,FALSE)="回旋伞",$B$21,0))*(1+$BQ122)</f>
        <v>567063.484022267</v>
      </c>
      <c r="M122" s="41">
        <f>(($AO122*$AH122+$AI122)*(1+$AP122)*(1+$AQ122)+($AT122*IF($G$1="鸣金",$AJ122,$AH122)+IF($G$1="鸣金",$AK122*1.5,0))*(1+$AU122)*(1+$AV122)+($AX122*IF($G$1="裂石",$AJ122,$AH122)+IF($G$1="裂石",$AK122*1.5,0))*(1+$AY122)*(1+$AZ122)+($BB122*IF($G$1="牵丝",$AJ122,$AH122)+IF($G$1="牵丝",$AK122*1.5,0))*(1+$BC122)*(1+$BD122)+($BF122*IF($G$1="破竹",$AJ122,$AH122)+IF($G$1="破竹",$AK122*1.5,0))*(1+$BG122)*(1+$BH122))*(1+$AL122)*$BM122*$P122*(1+IF(VLOOKUP($Q122,武学奇术!$A:$ZZ,30,FALSE)="回旋伞",$B$21,0))*(1+$BQ122)</f>
        <v>401561.88042227</v>
      </c>
      <c r="N122" s="41">
        <f>((($AN122+$AO122)/2*$AH122+$AI122)*(1+$AP122)*(1+$AQ122)+(($AS122+$AT122)/2*IF($G$1="鸣金",$AJ122,$AH122)+IF($G$1="鸣金",$AK122*1.5,0))*(1+$AU122)*(1+$AV122)+(($AW122+$AX122)/2*IF($G$1="裂石",$AJ122,$AH122)+IF($G$1="裂石",$AK122*1.5,0))*(1+$AY122)*(1+$AZ122)+(($BA122+$BB122)/2*IF($G$1="牵丝",$AJ122,$AH122)+IF($G$1="牵丝",$AK122*1.5,0))*(1+$BC122)*(1+$BD122)+(($BE122+$BF122)/2*IF($G$1="破竹",$AJ122,$AH122)+IF($G$1="破竹",$AK122*1.5,0))*(1+$BG122)*(1+$BH122))*(1+$AL122)*$P122*(1+IF(VLOOKUP($Q122,武学奇术!$A:$ZZ,30,FALSE)="回旋伞",$B$21,0))*(1+$BQ122)</f>
        <v>267482.775482202</v>
      </c>
      <c r="O122" s="41">
        <f>((($AN122*$AH122+$AI122)*(1+$AP122)*(1+$AQ122)+($AS122*IF($G$1="鸣金",$AJ122,$AH122)+IF($G$1="鸣金",$AK122*1.5,0))*(1+$AU122)*(1+$AV122)+($AW122*IF($G$1="裂石",$AJ122,$AH122)+IF($G$1="裂石",$AK122*1.5,0))*(1+$AY122)*(1+$AZ122)+($BA122*IF($G$1="牵丝",$AJ122,$AH122)+IF($G$1="牵丝",$AK122*1.5,0))*(1+$BC122)*(1+$BD122)+($BE122*IF($G$1="破竹",$AJ122,$AH122)+IF($G$1="破竹",$AK122*1.5,0))*(1+$BG122)*(1+$BH122))*(1+$AL122))*$P122*(1+IF(VLOOKUP($Q122,武学奇术!$A:$ZZ,30,FALSE)="回旋伞",$B$21,0))*(1+$BQ122)</f>
        <v>237512.306207166</v>
      </c>
      <c r="P122" s="42">
        <v>6</v>
      </c>
      <c r="Q122" s="43" t="s">
        <v>104</v>
      </c>
      <c r="R122" s="43" t="s">
        <v>105</v>
      </c>
      <c r="S122" s="43" t="s">
        <v>91</v>
      </c>
      <c r="T122" s="43" t="s">
        <v>72</v>
      </c>
      <c r="U122" s="43" t="s">
        <v>79</v>
      </c>
      <c r="V122" s="43" t="s">
        <v>167</v>
      </c>
      <c r="W122" s="43" t="s">
        <v>95</v>
      </c>
      <c r="X122" s="43" t="s">
        <v>71</v>
      </c>
      <c r="Y122" s="43" t="s">
        <v>177</v>
      </c>
      <c r="Z122" s="43" t="s">
        <v>71</v>
      </c>
      <c r="AA122" s="43" t="s">
        <v>116</v>
      </c>
      <c r="AB122" s="43" t="s">
        <v>179</v>
      </c>
      <c r="AC122" s="43" t="s">
        <v>71</v>
      </c>
      <c r="AD122" s="43" t="s">
        <v>71</v>
      </c>
      <c r="AE122" s="43" t="s">
        <v>71</v>
      </c>
      <c r="AF122" s="43" t="s">
        <v>76</v>
      </c>
      <c r="AG122" t="str">
        <f>VLOOKUP($Q122,武学奇术!$A:$ZZ,25,FALSE)</f>
        <v>伞</v>
      </c>
      <c r="AH122" s="30">
        <f>VLOOKUP($Q122,武学奇术!$A:$ZZ,26,FALSE)</f>
        <v>1.8084</v>
      </c>
      <c r="AI122" s="31">
        <f>VLOOKUP($Q122,武学奇术!$A:$ZZ,27,FALSE)*(1+IF(OR($AG122=$F$4,$AG122=$F$5),$B$22,0))</f>
        <v>700</v>
      </c>
      <c r="AJ122" s="30">
        <f>VLOOKUP($Q122,武学奇术!$A:$ZZ,28,FALSE)</f>
        <v>2.7126</v>
      </c>
      <c r="AK122" s="31">
        <f>VLOOKUP($Q122,武学奇术!$A:$ZZ,29,FALSE)*(1+IF(OR($AG122=$F$4,$AG122=$F$5),$B$22,0))</f>
        <v>380.8</v>
      </c>
      <c r="AL122" s="30" cm="1">
        <f t="array" ref="AL122">$G$3+IFERROR(VLOOKUP($AG122,$F$4:$G$7,2,FALSE),0)+VLOOKUP($Q122,武学奇术!$A:$ZZ,2,FALSE)+SUM(_xlfn.XLOOKUP($R122:$AF122,增益!$A:$A,增益!$B:$B,0))</f>
        <v>0.7741</v>
      </c>
      <c r="AM122" s="30" cm="1">
        <f t="array" ref="AM122">VLOOKUP($Q122,武学奇术!$A:$ZZ,5,FALSE)+SUM(_xlfn.XLOOKUP($R122:$AF122,增益!$A:$A,增益!$E:$E,0))</f>
        <v>0</v>
      </c>
      <c r="AN122" cm="1">
        <f t="array" ref="AN122">$D$10*(1+$AM122)+VLOOKUP($Q122,武学奇术!$A:$ZZ,3,FALSE)+SUM(_xlfn.XLOOKUP($R122:$AF122,增益!$A:$A,增益!$C:$C,0))-$I$2</f>
        <v>3483.8</v>
      </c>
      <c r="AO122" cm="1">
        <f t="array" ref="AO122">$E$10*(1+$AM122)+VLOOKUP($Q122,武学奇术!$A:$ZZ,4,FALSE)+SUM(_xlfn.XLOOKUP($R122:$AF122,增益!$A:$A,增益!$D:$D,0))-$I$2</f>
        <v>3483.8</v>
      </c>
      <c r="AP122" s="35" cm="1">
        <f t="array" ref="AP122">IF($F$10-$I$3+VLOOKUP($Q122,武学奇术!$A:$ZZ,6,FALSE)+SUM(_xlfn.XLOOKUP(R122:AF122,增益!$A:$A,增益!$F:$F,0))&gt;0,($F$10-$I$3+VLOOKUP($Q122,武学奇术!$A:$ZZ,6,FALSE)+SUM(_xlfn.XLOOKUP(R122:AF122,增益!$A:$A,增益!$F:$F,0)))/200,($F$10-$I$3+VLOOKUP($Q122,武学奇术!$A:$ZZ,6,FALSE)+SUM(_xlfn.XLOOKUP(R122:AF122,增益!$A:$A,增益!$F:$F,0)))/100)</f>
        <v>0.4175</v>
      </c>
      <c r="AQ122" s="35" cm="1">
        <f t="array" ref="AQ122">$G$10+VLOOKUP($Q122,武学奇术!$A:$ZZ,7,FALSE)+SUM(_xlfn.XLOOKUP(R122:AF122,增益!$A:$A,增益!$G:$G,0))</f>
        <v>0.148</v>
      </c>
      <c r="AR122" s="30" cm="1">
        <f t="array" ref="AR122">VLOOKUP($Q122,武学奇术!$A:$ZZ,8,FALSE)+SUM(_xlfn.XLOOKUP(R122:AF122,增益!$A:$A,增益!$H:$H,0))</f>
        <v>0</v>
      </c>
      <c r="AS122">
        <f t="shared" si="13"/>
        <v>0</v>
      </c>
      <c r="AT122">
        <f t="shared" si="14"/>
        <v>0</v>
      </c>
      <c r="AU122" s="35" cm="1">
        <f t="array" ref="AU122">IF($F$11-$I$4+VLOOKUP($Q122,武学奇术!$A:$ZZ,9,FALSE)+SUM(_xlfn.XLOOKUP(R122:AF122,增益!$A:$A,增益!$I:$I,0))&gt;0,($F$11-$I$4+VLOOKUP($Q122,武学奇术!$A:$ZZ,9,FALSE)+SUM(_xlfn.XLOOKUP(R122:AF122,增益!$A:$A,增益!$I:$I,0)))/200,($F$11-$I$4+VLOOKUP($Q122,武学奇术!$A:$ZZ,9,FALSE)+SUM(_xlfn.XLOOKUP(R122:AF122,增益!$A:$A,增益!$I:$I,0)))/100)</f>
        <v>-0.3</v>
      </c>
      <c r="AV122" s="35" cm="1">
        <f t="array" ref="AV122">$G$11+VLOOKUP($Q122,武学奇术!$A:$ZZ,10,FALSE)+SUM(_xlfn.XLOOKUP(R122:AF122,增益!$A:$A,增益!$J:$J,0))</f>
        <v>0</v>
      </c>
      <c r="AW122">
        <f t="shared" si="15"/>
        <v>0</v>
      </c>
      <c r="AX122">
        <f t="shared" si="16"/>
        <v>0</v>
      </c>
      <c r="AY122" s="35" cm="1">
        <f t="array" ref="AY122">IF($F$12-$I$4+VLOOKUP($Q122,武学奇术!$A:$ZZ,11,FALSE)+SUM(_xlfn.XLOOKUP(R122:AF122,增益!$A:$A,增益!$K:$K,0))&gt;0,($F$12-$I$4+VLOOKUP($Q122,武学奇术!$A:$ZZ,11,FALSE)+SUM(_xlfn.XLOOKUP(R122:AF122,增益!$A:$A,增益!$K:$K,0)))/200,($F$12-$I$4+VLOOKUP($Q122,武学奇术!$A:$ZZ,11,FALSE)+SUM(_xlfn.XLOOKUP(R122:AF122,增益!$A:$A,增益!$K:$K,0)))/100)</f>
        <v>-0.3</v>
      </c>
      <c r="AZ122" s="35" cm="1">
        <f t="array" ref="AZ122">$G$12+VLOOKUP($Q122,武学奇术!$A:$ZZ,12,FALSE)+SUM(_xlfn.XLOOKUP(R122:AF122,增益!$A:$A,增益!$L:$L,0))</f>
        <v>0</v>
      </c>
      <c r="BA122">
        <f t="shared" si="17"/>
        <v>0</v>
      </c>
      <c r="BB122">
        <f t="shared" si="18"/>
        <v>0</v>
      </c>
      <c r="BC122" s="35" cm="1">
        <f t="array" ref="BC122">IF($F$13-$I$4+VLOOKUP($Q122,武学奇术!$A:$ZZ,13,FALSE)+SUM(_xlfn.XLOOKUP(R122:AF122,增益!$A:$A,增益!$M:$M,0))&gt;0,($F$13-$I$4+VLOOKUP($Q122,武学奇术!$A:$ZZ,13,FALSE)+SUM(_xlfn.XLOOKUP(R122:AF122,增益!$A:$A,增益!$K:$K,0)))/200,($F$13-$I$4+VLOOKUP($Q122,武学奇术!$A:$ZZ,13,FALSE)+SUM(_xlfn.XLOOKUP(R122:AF122,增益!$A:$A,增益!$M:$M,0)))/100)</f>
        <v>-0.3</v>
      </c>
      <c r="BD122" s="35" cm="1">
        <f t="array" ref="BD122">$G$13+VLOOKUP($Q122,武学奇术!$A:$ZZ,14,FALSE)+SUM(_xlfn.XLOOKUP(R122:AF122,增益!$A:$A,增益!$N:$N,0))</f>
        <v>0</v>
      </c>
      <c r="BE122">
        <f t="shared" si="19"/>
        <v>538</v>
      </c>
      <c r="BF122">
        <f t="shared" si="20"/>
        <v>1561.4</v>
      </c>
      <c r="BG122" s="35" cm="1">
        <f t="array" ref="BG122">IF($F$14-$I$4+VLOOKUP($Q122,武学奇术!$A:$ZZ,15,FALSE)+SUM(_xlfn.XLOOKUP(R122:AF122,增益!$A:$A,增益!$O:$O,0))&gt;0,($F$14-$I$4+VLOOKUP($Q122,武学奇术!$A:$ZZ,15,FALSE)+SUM(_xlfn.XLOOKUP(R122:AF122,增益!$A:$A,增益!$O:$O,0)))/200,($F$14-$I$4+VLOOKUP($Q122,武学奇术!$A:$ZZ,15,FALSE)+SUM(_xlfn.XLOOKUP(R122:AF122,增益!$A:$A,增益!$O:$O,0)))/100)</f>
        <v>0</v>
      </c>
      <c r="BH122" s="35" cm="1">
        <f t="array" ref="BH122">$G$14+VLOOKUP($Q122,武学奇术!$A:$ZZ,16,FALSE)+SUM(_xlfn.XLOOKUP(R122:AF122,增益!$A:$A,增益!$P:$P,0))</f>
        <v>0.27</v>
      </c>
      <c r="BI122" s="30">
        <f>MIN(IF(VLOOKUP($Q122,武学奇术!$A:$ZZ,23,FALSE)=1,100%,$B$8),100%)</f>
        <v>0.9712</v>
      </c>
      <c r="BJ122" s="30" cm="1">
        <f t="array" ref="BJ122">IF(VLOOKUP($Q122,武学奇术!$A:$ZZ,23,FALSE)=1,100%,MIN(80%,$B$9+VLOOKUP($Q122,武学奇术!$A:$ZZ,17,FALSE)+SUM(_xlfn.XLOOKUP(R122:AF122,增益!$A:$A,增益!$Q:$Q,0)))+$B$11+SUM(_xlfn.XLOOKUP(R122:AF122,增益!$A:$A,增益!$U:$U,0)))*IF(VLOOKUP($Q122,武学奇术!$A:$ZZ,24,FALSE)=1,0,1)</f>
        <v>0.8773</v>
      </c>
      <c r="BK122" s="30" cm="1">
        <f t="array" ref="BK122">1+$B$13+VLOOKUP($Q122,武学奇术!$A:$ZZ,18,FALSE)+SUM(_xlfn.XLOOKUP(R122:AF122,增益!$A:$A,增益!$R:$R,0))</f>
        <v>2.12</v>
      </c>
      <c r="BL122" s="30" cm="1">
        <f t="array" ref="BL122">IF(VLOOKUP($Q122,武学奇术!$A:$ZZ,24,FALSE)=1,100%,MIN(40%,$B$10+VLOOKUP($Q122,武学奇术!$A:$ZZ,19,FALSE)+SUM(_xlfn.XLOOKUP(R122:AF122,增益!$A:$A,增益!$S:$S,0)))+$B$12+SUM(_xlfn.XLOOKUP(R122:AF122,增益!$A:$A,增益!$V:$V,0)))*IF(VLOOKUP($Q122,武学奇术!$A:$ZZ,23,FALSE)=1,0,1)</f>
        <v>0.0895</v>
      </c>
      <c r="BM122" s="30" cm="1">
        <f t="array" ref="BM122">1+$B$14+VLOOKUP($Q122,武学奇术!$A:$ZZ,20,FALSE)+SUM(_xlfn.XLOOKUP(R122:AF122,增益!$A:$A,增益!$T:$T,0))</f>
        <v>1.35</v>
      </c>
      <c r="BN122" s="30">
        <f t="shared" si="21"/>
        <v>0.85203376</v>
      </c>
      <c r="BO122" s="30">
        <f t="shared" si="22"/>
        <v>0.03224384</v>
      </c>
      <c r="BP122" s="30">
        <f>IF(VLOOKUP($Q122,武学奇术!$A:$ZZ,22,FALSE)=1,0,(1-$BI122))*(1-$BL122)</f>
        <v>0.0262224</v>
      </c>
      <c r="BQ122" s="30" cm="1">
        <f t="array" ref="BQ122">SUM(_xlfn.XLOOKUP(R122:AF122,增益!$A:$A,增益!$W:$W,0))+$I$5</f>
        <v>0.21</v>
      </c>
    </row>
    <row r="123" spans="11:69">
      <c r="K123" s="41">
        <f t="shared" si="25"/>
        <v>39984.5602092728</v>
      </c>
      <c r="L123" s="41">
        <f>((($AN123+$AO123)/2*$AH123+$AI123)*(1+$AP123)*(1+$AQ123)+(($AS123+$AT123)/2*IF($G$1="鸣金",$AJ123,$AH123)+IF($G$1="鸣金",$AK123*1.5,0))*(1+$AU123)*(1+$AV123)+(($AW123+$AX123)/2*IF($G$1="裂石",$AJ123,$AH123)+IF($G$1="裂石",$AK123*1.5,0))*(1+$AY123)*(1+$AZ123)+(($BA123+$BB123)/2*IF($G$1="牵丝",$AJ123,$AH123)+IF($G$1="牵丝",$AK123*1.5,0))*(1+$BC123)*(1+$BD123)+(($BE123+$BF123)/2*IF($G$1="破竹",$AJ123,$AH123)+IF($G$1="破竹",$AK123*1.5,0))*(1+$BG123)*(1+$BH123))*(1+$AL123)*$BK123*$P123*(1+IF(VLOOKUP($Q123,武学奇术!$A:$ZZ,30,FALSE)="回旋伞",$B$21,0))*(1+$BQ123)</f>
        <v>41877.8437889586</v>
      </c>
      <c r="M123" s="41">
        <f>(($AO123*$AH123+$AI123)*(1+$AP123)*(1+$AQ123)+($AT123*IF($G$1="鸣金",$AJ123,$AH123)+IF($G$1="鸣金",$AK123*1.5,0))*(1+$AU123)*(1+$AV123)+($AX123*IF($G$1="裂石",$AJ123,$AH123)+IF($G$1="裂石",$AK123*1.5,0))*(1+$AY123)*(1+$AZ123)+($BB123*IF($G$1="牵丝",$AJ123,$AH123)+IF($G$1="牵丝",$AK123*1.5,0))*(1+$BC123)*(1+$BD123)+($BF123*IF($G$1="破竹",$AJ123,$AH123)+IF($G$1="破竹",$AK123*1.5,0))*(1+$BG123)*(1+$BH123))*(1+$AL123)*$BM123*$P123*(1+IF(VLOOKUP($Q123,武学奇术!$A:$ZZ,30,FALSE)="回旋伞",$B$21,0))*(1+$BQ123)</f>
        <v>34343.5402133959</v>
      </c>
      <c r="N123" s="41">
        <f>((($AN123+$AO123)/2*$AH123+$AI123)*(1+$AP123)*(1+$AQ123)+(($AS123+$AT123)/2*IF($G$1="鸣金",$AJ123,$AH123)+IF($G$1="鸣金",$AK123*1.5,0))*(1+$AU123)*(1+$AV123)+(($AW123+$AX123)/2*IF($G$1="裂石",$AJ123,$AH123)+IF($G$1="裂石",$AK123*1.5,0))*(1+$AY123)*(1+$AZ123)+(($BA123+$BB123)/2*IF($G$1="牵丝",$AJ123,$AH123)+IF($G$1="牵丝",$AK123*1.5,0))*(1+$BC123)*(1+$BD123)+(($BE123+$BF123)/2*IF($G$1="破竹",$AJ123,$AH123)+IF($G$1="破竹",$AK123*1.5,0))*(1+$BG123)*(1+$BH123))*(1+$AL123)*$P123*(1+IF(VLOOKUP($Q123,武学奇术!$A:$ZZ,30,FALSE)="回旋伞",$B$21,0))*(1+$BQ123)</f>
        <v>22394.5688711008</v>
      </c>
      <c r="O123" s="41">
        <f>((($AN123*$AH123+$AI123)*(1+$AP123)*(1+$AQ123)+($AS123*IF($G$1="鸣金",$AJ123,$AH123)+IF($G$1="鸣金",$AK123*1.5,0))*(1+$AU123)*(1+$AV123)+($AW123*IF($G$1="裂石",$AJ123,$AH123)+IF($G$1="裂石",$AK123*1.5,0))*(1+$AY123)*(1+$AZ123)+($BA123*IF($G$1="牵丝",$AJ123,$AH123)+IF($G$1="牵丝",$AK123*1.5,0))*(1+$BC123)*(1+$BD123)+($BE123*IF($G$1="破竹",$AJ123,$AH123)+IF($G$1="破竹",$AK123*1.5,0))*(1+$BG123)*(1+$BH123))*(1+$AL123))*$P123*(1+IF(VLOOKUP($Q123,武学奇术!$A:$ZZ,30,FALSE)="回旋伞",$B$21,0))*(1+$BQ123)</f>
        <v>19349.4783248713</v>
      </c>
      <c r="P123" s="42">
        <v>2</v>
      </c>
      <c r="Q123" s="43" t="s">
        <v>120</v>
      </c>
      <c r="R123" s="43" t="s">
        <v>105</v>
      </c>
      <c r="S123" s="43" t="s">
        <v>91</v>
      </c>
      <c r="T123" s="43" t="s">
        <v>72</v>
      </c>
      <c r="U123" s="43" t="s">
        <v>79</v>
      </c>
      <c r="V123" s="43" t="s">
        <v>167</v>
      </c>
      <c r="W123" s="43" t="s">
        <v>95</v>
      </c>
      <c r="X123" s="43" t="s">
        <v>71</v>
      </c>
      <c r="Y123" s="43" t="s">
        <v>71</v>
      </c>
      <c r="Z123" s="43" t="s">
        <v>71</v>
      </c>
      <c r="AA123" s="43" t="s">
        <v>71</v>
      </c>
      <c r="AB123" s="43" t="s">
        <v>71</v>
      </c>
      <c r="AC123" s="43" t="s">
        <v>71</v>
      </c>
      <c r="AD123" s="43" t="s">
        <v>71</v>
      </c>
      <c r="AE123" s="43" t="s">
        <v>71</v>
      </c>
      <c r="AF123" s="43" t="s">
        <v>76</v>
      </c>
      <c r="AG123" t="str">
        <f>VLOOKUP($Q123,武学奇术!$A:$ZZ,25,FALSE)</f>
        <v>伞</v>
      </c>
      <c r="AH123" s="30">
        <f>VLOOKUP($Q123,武学奇术!$A:$ZZ,26,FALSE)</f>
        <v>0.54</v>
      </c>
      <c r="AI123" s="31">
        <f>VLOOKUP($Q123,武学奇术!$A:$ZZ,27,FALSE)*(1+IF(OR($AG123=$F$4,$AG123=$F$5),$B$22,0))</f>
        <v>0</v>
      </c>
      <c r="AJ123" s="30">
        <f>VLOOKUP($Q123,武学奇术!$A:$ZZ,28,FALSE)</f>
        <v>0.81</v>
      </c>
      <c r="AK123" s="31">
        <f>VLOOKUP($Q123,武学奇术!$A:$ZZ,29,FALSE)*(1+IF(OR($AG123=$F$4,$AG123=$F$5),$B$22,0))</f>
        <v>0</v>
      </c>
      <c r="AL123" s="30" cm="1">
        <f t="array" ref="AL123">$G$3+IFERROR(VLOOKUP($AG123,$F$4:$G$7,2,FALSE),0)+VLOOKUP($Q123,武学奇术!$A:$ZZ,2,FALSE)+SUM(_xlfn.XLOOKUP($R123:$AF123,增益!$A:$A,增益!$B:$B,0))</f>
        <v>0.9741</v>
      </c>
      <c r="AM123" s="30" cm="1">
        <f t="array" ref="AM123">VLOOKUP($Q123,武学奇术!$A:$ZZ,5,FALSE)+SUM(_xlfn.XLOOKUP($R123:$AF123,增益!$A:$A,增益!$E:$E,0))</f>
        <v>0</v>
      </c>
      <c r="AN123" cm="1">
        <f t="array" ref="AN123">$D$10*(1+$AM123)+VLOOKUP($Q123,武学奇术!$A:$ZZ,3,FALSE)+SUM(_xlfn.XLOOKUP($R123:$AF123,增益!$A:$A,增益!$C:$C,0))-$I$2</f>
        <v>3483.8</v>
      </c>
      <c r="AO123" cm="1">
        <f t="array" ref="AO123">$E$10*(1+$AM123)+VLOOKUP($Q123,武学奇术!$A:$ZZ,4,FALSE)+SUM(_xlfn.XLOOKUP($R123:$AF123,增益!$A:$A,增益!$D:$D,0))-$I$2</f>
        <v>3483.8</v>
      </c>
      <c r="AP123" s="35" cm="1">
        <f t="array" ref="AP123">IF($F$10-$I$3+VLOOKUP($Q123,武学奇术!$A:$ZZ,6,FALSE)+SUM(_xlfn.XLOOKUP(R123:AF123,增益!$A:$A,增益!$F:$F,0))&gt;0,($F$10-$I$3+VLOOKUP($Q123,武学奇术!$A:$ZZ,6,FALSE)+SUM(_xlfn.XLOOKUP(R123:AF123,增益!$A:$A,增益!$F:$F,0)))/200,($F$10-$I$3+VLOOKUP($Q123,武学奇术!$A:$ZZ,6,FALSE)+SUM(_xlfn.XLOOKUP(R123:AF123,增益!$A:$A,增益!$F:$F,0)))/100)</f>
        <v>0.2925</v>
      </c>
      <c r="AQ123" s="35" cm="1">
        <f t="array" ref="AQ123">$G$10+VLOOKUP($Q123,武学奇术!$A:$ZZ,7,FALSE)+SUM(_xlfn.XLOOKUP(R123:AF123,增益!$A:$A,增益!$G:$G,0))</f>
        <v>0.148</v>
      </c>
      <c r="AR123" s="30" cm="1">
        <f t="array" ref="AR123">VLOOKUP($Q123,武学奇术!$A:$ZZ,8,FALSE)+SUM(_xlfn.XLOOKUP(R123:AF123,增益!$A:$A,增益!$H:$H,0))</f>
        <v>0</v>
      </c>
      <c r="AS123">
        <f t="shared" si="13"/>
        <v>0</v>
      </c>
      <c r="AT123">
        <f t="shared" si="14"/>
        <v>0</v>
      </c>
      <c r="AU123" s="35" cm="1">
        <f t="array" ref="AU123">IF($F$11-$I$4+VLOOKUP($Q123,武学奇术!$A:$ZZ,9,FALSE)+SUM(_xlfn.XLOOKUP(R123:AF123,增益!$A:$A,增益!$I:$I,0))&gt;0,($F$11-$I$4+VLOOKUP($Q123,武学奇术!$A:$ZZ,9,FALSE)+SUM(_xlfn.XLOOKUP(R123:AF123,增益!$A:$A,增益!$I:$I,0)))/200,($F$11-$I$4+VLOOKUP($Q123,武学奇术!$A:$ZZ,9,FALSE)+SUM(_xlfn.XLOOKUP(R123:AF123,增益!$A:$A,增益!$I:$I,0)))/100)</f>
        <v>-0.3</v>
      </c>
      <c r="AV123" s="35" cm="1">
        <f t="array" ref="AV123">$G$11+VLOOKUP($Q123,武学奇术!$A:$ZZ,10,FALSE)+SUM(_xlfn.XLOOKUP(R123:AF123,增益!$A:$A,增益!$J:$J,0))</f>
        <v>0</v>
      </c>
      <c r="AW123">
        <f t="shared" si="15"/>
        <v>0</v>
      </c>
      <c r="AX123">
        <f t="shared" si="16"/>
        <v>0</v>
      </c>
      <c r="AY123" s="35" cm="1">
        <f t="array" ref="AY123">IF($F$12-$I$4+VLOOKUP($Q123,武学奇术!$A:$ZZ,11,FALSE)+SUM(_xlfn.XLOOKUP(R123:AF123,增益!$A:$A,增益!$K:$K,0))&gt;0,($F$12-$I$4+VLOOKUP($Q123,武学奇术!$A:$ZZ,11,FALSE)+SUM(_xlfn.XLOOKUP(R123:AF123,增益!$A:$A,增益!$K:$K,0)))/200,($F$12-$I$4+VLOOKUP($Q123,武学奇术!$A:$ZZ,11,FALSE)+SUM(_xlfn.XLOOKUP(R123:AF123,增益!$A:$A,增益!$K:$K,0)))/100)</f>
        <v>-0.3</v>
      </c>
      <c r="AZ123" s="35" cm="1">
        <f t="array" ref="AZ123">$G$12+VLOOKUP($Q123,武学奇术!$A:$ZZ,12,FALSE)+SUM(_xlfn.XLOOKUP(R123:AF123,增益!$A:$A,增益!$L:$L,0))</f>
        <v>0</v>
      </c>
      <c r="BA123">
        <f t="shared" si="17"/>
        <v>0</v>
      </c>
      <c r="BB123">
        <f t="shared" si="18"/>
        <v>0</v>
      </c>
      <c r="BC123" s="35" cm="1">
        <f t="array" ref="BC123">IF($F$13-$I$4+VLOOKUP($Q123,武学奇术!$A:$ZZ,13,FALSE)+SUM(_xlfn.XLOOKUP(R123:AF123,增益!$A:$A,增益!$M:$M,0))&gt;0,($F$13-$I$4+VLOOKUP($Q123,武学奇术!$A:$ZZ,13,FALSE)+SUM(_xlfn.XLOOKUP(R123:AF123,增益!$A:$A,增益!$K:$K,0)))/200,($F$13-$I$4+VLOOKUP($Q123,武学奇术!$A:$ZZ,13,FALSE)+SUM(_xlfn.XLOOKUP(R123:AF123,增益!$A:$A,增益!$M:$M,0)))/100)</f>
        <v>-0.3</v>
      </c>
      <c r="BD123" s="35" cm="1">
        <f t="array" ref="BD123">$G$13+VLOOKUP($Q123,武学奇术!$A:$ZZ,14,FALSE)+SUM(_xlfn.XLOOKUP(R123:AF123,增益!$A:$A,增益!$N:$N,0))</f>
        <v>0</v>
      </c>
      <c r="BE123">
        <f t="shared" si="19"/>
        <v>538</v>
      </c>
      <c r="BF123">
        <f t="shared" si="20"/>
        <v>1561.4</v>
      </c>
      <c r="BG123" s="35" cm="1">
        <f t="array" ref="BG123">IF($F$14-$I$4+VLOOKUP($Q123,武学奇术!$A:$ZZ,15,FALSE)+SUM(_xlfn.XLOOKUP(R123:AF123,增益!$A:$A,增益!$O:$O,0))&gt;0,($F$14-$I$4+VLOOKUP($Q123,武学奇术!$A:$ZZ,15,FALSE)+SUM(_xlfn.XLOOKUP(R123:AF123,增益!$A:$A,增益!$O:$O,0)))/200,($F$14-$I$4+VLOOKUP($Q123,武学奇术!$A:$ZZ,15,FALSE)+SUM(_xlfn.XLOOKUP(R123:AF123,增益!$A:$A,增益!$O:$O,0)))/100)</f>
        <v>0</v>
      </c>
      <c r="BH123" s="35" cm="1">
        <f t="array" ref="BH123">$G$14+VLOOKUP($Q123,武学奇术!$A:$ZZ,16,FALSE)+SUM(_xlfn.XLOOKUP(R123:AF123,增益!$A:$A,增益!$P:$P,0))</f>
        <v>0.27</v>
      </c>
      <c r="BI123" s="30">
        <f>MIN(IF(VLOOKUP($Q123,武学奇术!$A:$ZZ,23,FALSE)=1,100%,$B$8),100%)</f>
        <v>0.9712</v>
      </c>
      <c r="BJ123" s="30" cm="1">
        <f t="array" ref="BJ123">IF(VLOOKUP($Q123,武学奇术!$A:$ZZ,23,FALSE)=1,100%,MIN(80%,$B$9+VLOOKUP($Q123,武学奇术!$A:$ZZ,17,FALSE)+SUM(_xlfn.XLOOKUP(R123:AF123,增益!$A:$A,增益!$Q:$Q,0)))+$B$11+SUM(_xlfn.XLOOKUP(R123:AF123,增益!$A:$A,增益!$U:$U,0)))*IF(VLOOKUP($Q123,武学奇术!$A:$ZZ,24,FALSE)=1,0,1)</f>
        <v>0.8773</v>
      </c>
      <c r="BK123" s="30" cm="1">
        <f t="array" ref="BK123">1+$B$13+VLOOKUP($Q123,武学奇术!$A:$ZZ,18,FALSE)+SUM(_xlfn.XLOOKUP(R123:AF123,增益!$A:$A,增益!$R:$R,0))</f>
        <v>1.87</v>
      </c>
      <c r="BL123" s="30" cm="1">
        <f t="array" ref="BL123">IF(VLOOKUP($Q123,武学奇术!$A:$ZZ,24,FALSE)=1,100%,MIN(40%,$B$10+VLOOKUP($Q123,武学奇术!$A:$ZZ,19,FALSE)+SUM(_xlfn.XLOOKUP(R123:AF123,增益!$A:$A,增益!$S:$S,0)))+$B$12+SUM(_xlfn.XLOOKUP(R123:AF123,增益!$A:$A,增益!$V:$V,0)))*IF(VLOOKUP($Q123,武学奇术!$A:$ZZ,23,FALSE)=1,0,1)</f>
        <v>0.0895</v>
      </c>
      <c r="BM123" s="30" cm="1">
        <f t="array" ref="BM123">1+$B$14+VLOOKUP($Q123,武学奇术!$A:$ZZ,20,FALSE)+SUM(_xlfn.XLOOKUP(R123:AF123,增益!$A:$A,增益!$T:$T,0))</f>
        <v>1.35</v>
      </c>
      <c r="BN123" s="30">
        <f t="shared" si="21"/>
        <v>0.85203376</v>
      </c>
      <c r="BO123" s="30">
        <f t="shared" si="22"/>
        <v>0.03224384</v>
      </c>
      <c r="BP123" s="30">
        <f>IF(VLOOKUP($Q123,武学奇术!$A:$ZZ,22,FALSE)=1,0,(1-$BI123))*(1-$BL123)</f>
        <v>0.0262224</v>
      </c>
      <c r="BQ123" s="30" cm="1">
        <f t="array" ref="BQ123">SUM(_xlfn.XLOOKUP(R123:AF123,增益!$A:$A,增益!$W:$W,0))+$I$5</f>
        <v>0.11</v>
      </c>
    </row>
    <row r="124" spans="11:69">
      <c r="K124" s="41">
        <f t="shared" si="25"/>
        <v>39984.5602092728</v>
      </c>
      <c r="L124" s="41">
        <f>((($AN124+$AO124)/2*$AH124+$AI124)*(1+$AP124)*(1+$AQ124)+(($AS124+$AT124)/2*IF($G$1="鸣金",$AJ124,$AH124)+IF($G$1="鸣金",$AK124*1.5,0))*(1+$AU124)*(1+$AV124)+(($AW124+$AX124)/2*IF($G$1="裂石",$AJ124,$AH124)+IF($G$1="裂石",$AK124*1.5,0))*(1+$AY124)*(1+$AZ124)+(($BA124+$BB124)/2*IF($G$1="牵丝",$AJ124,$AH124)+IF($G$1="牵丝",$AK124*1.5,0))*(1+$BC124)*(1+$BD124)+(($BE124+$BF124)/2*IF($G$1="破竹",$AJ124,$AH124)+IF($G$1="破竹",$AK124*1.5,0))*(1+$BG124)*(1+$BH124))*(1+$AL124)*$BK124*$P124*(1+IF(VLOOKUP($Q124,武学奇术!$A:$ZZ,30,FALSE)="回旋伞",$B$21,0))*(1+$BQ124)</f>
        <v>41877.8437889586</v>
      </c>
      <c r="M124" s="41">
        <f>(($AO124*$AH124+$AI124)*(1+$AP124)*(1+$AQ124)+($AT124*IF($G$1="鸣金",$AJ124,$AH124)+IF($G$1="鸣金",$AK124*1.5,0))*(1+$AU124)*(1+$AV124)+($AX124*IF($G$1="裂石",$AJ124,$AH124)+IF($G$1="裂石",$AK124*1.5,0))*(1+$AY124)*(1+$AZ124)+($BB124*IF($G$1="牵丝",$AJ124,$AH124)+IF($G$1="牵丝",$AK124*1.5,0))*(1+$BC124)*(1+$BD124)+($BF124*IF($G$1="破竹",$AJ124,$AH124)+IF($G$1="破竹",$AK124*1.5,0))*(1+$BG124)*(1+$BH124))*(1+$AL124)*$BM124*$P124*(1+IF(VLOOKUP($Q124,武学奇术!$A:$ZZ,30,FALSE)="回旋伞",$B$21,0))*(1+$BQ124)</f>
        <v>34343.5402133959</v>
      </c>
      <c r="N124" s="41">
        <f>((($AN124+$AO124)/2*$AH124+$AI124)*(1+$AP124)*(1+$AQ124)+(($AS124+$AT124)/2*IF($G$1="鸣金",$AJ124,$AH124)+IF($G$1="鸣金",$AK124*1.5,0))*(1+$AU124)*(1+$AV124)+(($AW124+$AX124)/2*IF($G$1="裂石",$AJ124,$AH124)+IF($G$1="裂石",$AK124*1.5,0))*(1+$AY124)*(1+$AZ124)+(($BA124+$BB124)/2*IF($G$1="牵丝",$AJ124,$AH124)+IF($G$1="牵丝",$AK124*1.5,0))*(1+$BC124)*(1+$BD124)+(($BE124+$BF124)/2*IF($G$1="破竹",$AJ124,$AH124)+IF($G$1="破竹",$AK124*1.5,0))*(1+$BG124)*(1+$BH124))*(1+$AL124)*$P124*(1+IF(VLOOKUP($Q124,武学奇术!$A:$ZZ,30,FALSE)="回旋伞",$B$21,0))*(1+$BQ124)</f>
        <v>22394.5688711008</v>
      </c>
      <c r="O124" s="41">
        <f>((($AN124*$AH124+$AI124)*(1+$AP124)*(1+$AQ124)+($AS124*IF($G$1="鸣金",$AJ124,$AH124)+IF($G$1="鸣金",$AK124*1.5,0))*(1+$AU124)*(1+$AV124)+($AW124*IF($G$1="裂石",$AJ124,$AH124)+IF($G$1="裂石",$AK124*1.5,0))*(1+$AY124)*(1+$AZ124)+($BA124*IF($G$1="牵丝",$AJ124,$AH124)+IF($G$1="牵丝",$AK124*1.5,0))*(1+$BC124)*(1+$BD124)+($BE124*IF($G$1="破竹",$AJ124,$AH124)+IF($G$1="破竹",$AK124*1.5,0))*(1+$BG124)*(1+$BH124))*(1+$AL124))*$P124*(1+IF(VLOOKUP($Q124,武学奇术!$A:$ZZ,30,FALSE)="回旋伞",$B$21,0))*(1+$BQ124)</f>
        <v>19349.4783248713</v>
      </c>
      <c r="P124" s="42">
        <v>2</v>
      </c>
      <c r="Q124" s="43" t="s">
        <v>120</v>
      </c>
      <c r="R124" s="43" t="s">
        <v>105</v>
      </c>
      <c r="S124" s="43" t="s">
        <v>91</v>
      </c>
      <c r="T124" s="43" t="s">
        <v>72</v>
      </c>
      <c r="U124" s="43" t="s">
        <v>79</v>
      </c>
      <c r="V124" s="43" t="s">
        <v>167</v>
      </c>
      <c r="W124" s="43" t="s">
        <v>95</v>
      </c>
      <c r="X124" s="43" t="s">
        <v>71</v>
      </c>
      <c r="Y124" s="43" t="s">
        <v>71</v>
      </c>
      <c r="Z124" s="43" t="s">
        <v>71</v>
      </c>
      <c r="AA124" s="43" t="s">
        <v>109</v>
      </c>
      <c r="AB124" s="43" t="s">
        <v>71</v>
      </c>
      <c r="AC124" s="43" t="s">
        <v>71</v>
      </c>
      <c r="AD124" s="43" t="s">
        <v>71</v>
      </c>
      <c r="AE124" s="43" t="s">
        <v>71</v>
      </c>
      <c r="AF124" s="43" t="s">
        <v>76</v>
      </c>
      <c r="AG124" t="str">
        <f>VLOOKUP($Q124,武学奇术!$A:$ZZ,25,FALSE)</f>
        <v>伞</v>
      </c>
      <c r="AH124" s="30">
        <f>VLOOKUP($Q124,武学奇术!$A:$ZZ,26,FALSE)</f>
        <v>0.54</v>
      </c>
      <c r="AI124" s="31">
        <f>VLOOKUP($Q124,武学奇术!$A:$ZZ,27,FALSE)*(1+IF(OR($AG124=$F$4,$AG124=$F$5),$B$22,0))</f>
        <v>0</v>
      </c>
      <c r="AJ124" s="30">
        <f>VLOOKUP($Q124,武学奇术!$A:$ZZ,28,FALSE)</f>
        <v>0.81</v>
      </c>
      <c r="AK124" s="31">
        <f>VLOOKUP($Q124,武学奇术!$A:$ZZ,29,FALSE)*(1+IF(OR($AG124=$F$4,$AG124=$F$5),$B$22,0))</f>
        <v>0</v>
      </c>
      <c r="AL124" s="30" cm="1">
        <f t="array" ref="AL124">$G$3+IFERROR(VLOOKUP($AG124,$F$4:$G$7,2,FALSE),0)+VLOOKUP($Q124,武学奇术!$A:$ZZ,2,FALSE)+SUM(_xlfn.XLOOKUP($R124:$AF124,增益!$A:$A,增益!$B:$B,0))</f>
        <v>0.9741</v>
      </c>
      <c r="AM124" s="30" cm="1">
        <f t="array" ref="AM124">VLOOKUP($Q124,武学奇术!$A:$ZZ,5,FALSE)+SUM(_xlfn.XLOOKUP($R124:$AF124,增益!$A:$A,增益!$E:$E,0))</f>
        <v>0</v>
      </c>
      <c r="AN124" cm="1">
        <f t="array" ref="AN124">$D$10*(1+$AM124)+VLOOKUP($Q124,武学奇术!$A:$ZZ,3,FALSE)+SUM(_xlfn.XLOOKUP($R124:$AF124,增益!$A:$A,增益!$C:$C,0))-$I$2</f>
        <v>3483.8</v>
      </c>
      <c r="AO124" cm="1">
        <f t="array" ref="AO124">$E$10*(1+$AM124)+VLOOKUP($Q124,武学奇术!$A:$ZZ,4,FALSE)+SUM(_xlfn.XLOOKUP($R124:$AF124,增益!$A:$A,增益!$D:$D,0))-$I$2</f>
        <v>3483.8</v>
      </c>
      <c r="AP124" s="35" cm="1">
        <f t="array" ref="AP124">IF($F$10-$I$3+VLOOKUP($Q124,武学奇术!$A:$ZZ,6,FALSE)+SUM(_xlfn.XLOOKUP(R124:AF124,增益!$A:$A,增益!$F:$F,0))&gt;0,($F$10-$I$3+VLOOKUP($Q124,武学奇术!$A:$ZZ,6,FALSE)+SUM(_xlfn.XLOOKUP(R124:AF124,增益!$A:$A,增益!$F:$F,0)))/200,($F$10-$I$3+VLOOKUP($Q124,武学奇术!$A:$ZZ,6,FALSE)+SUM(_xlfn.XLOOKUP(R124:AF124,增益!$A:$A,增益!$F:$F,0)))/100)</f>
        <v>0.2925</v>
      </c>
      <c r="AQ124" s="35" cm="1">
        <f t="array" ref="AQ124">$G$10+VLOOKUP($Q124,武学奇术!$A:$ZZ,7,FALSE)+SUM(_xlfn.XLOOKUP(R124:AF124,增益!$A:$A,增益!$G:$G,0))</f>
        <v>0.148</v>
      </c>
      <c r="AR124" s="30" cm="1">
        <f t="array" ref="AR124">VLOOKUP($Q124,武学奇术!$A:$ZZ,8,FALSE)+SUM(_xlfn.XLOOKUP(R124:AF124,增益!$A:$A,增益!$H:$H,0))</f>
        <v>0</v>
      </c>
      <c r="AS124">
        <f t="shared" si="13"/>
        <v>0</v>
      </c>
      <c r="AT124">
        <f t="shared" si="14"/>
        <v>0</v>
      </c>
      <c r="AU124" s="35" cm="1">
        <f t="array" ref="AU124">IF($F$11-$I$4+VLOOKUP($Q124,武学奇术!$A:$ZZ,9,FALSE)+SUM(_xlfn.XLOOKUP(R124:AF124,增益!$A:$A,增益!$I:$I,0))&gt;0,($F$11-$I$4+VLOOKUP($Q124,武学奇术!$A:$ZZ,9,FALSE)+SUM(_xlfn.XLOOKUP(R124:AF124,增益!$A:$A,增益!$I:$I,0)))/200,($F$11-$I$4+VLOOKUP($Q124,武学奇术!$A:$ZZ,9,FALSE)+SUM(_xlfn.XLOOKUP(R124:AF124,增益!$A:$A,增益!$I:$I,0)))/100)</f>
        <v>-0.3</v>
      </c>
      <c r="AV124" s="35" cm="1">
        <f t="array" ref="AV124">$G$11+VLOOKUP($Q124,武学奇术!$A:$ZZ,10,FALSE)+SUM(_xlfn.XLOOKUP(R124:AF124,增益!$A:$A,增益!$J:$J,0))</f>
        <v>0</v>
      </c>
      <c r="AW124">
        <f t="shared" si="15"/>
        <v>0</v>
      </c>
      <c r="AX124">
        <f t="shared" si="16"/>
        <v>0</v>
      </c>
      <c r="AY124" s="35" cm="1">
        <f t="array" ref="AY124">IF($F$12-$I$4+VLOOKUP($Q124,武学奇术!$A:$ZZ,11,FALSE)+SUM(_xlfn.XLOOKUP(R124:AF124,增益!$A:$A,增益!$K:$K,0))&gt;0,($F$12-$I$4+VLOOKUP($Q124,武学奇术!$A:$ZZ,11,FALSE)+SUM(_xlfn.XLOOKUP(R124:AF124,增益!$A:$A,增益!$K:$K,0)))/200,($F$12-$I$4+VLOOKUP($Q124,武学奇术!$A:$ZZ,11,FALSE)+SUM(_xlfn.XLOOKUP(R124:AF124,增益!$A:$A,增益!$K:$K,0)))/100)</f>
        <v>-0.3</v>
      </c>
      <c r="AZ124" s="35" cm="1">
        <f t="array" ref="AZ124">$G$12+VLOOKUP($Q124,武学奇术!$A:$ZZ,12,FALSE)+SUM(_xlfn.XLOOKUP(R124:AF124,增益!$A:$A,增益!$L:$L,0))</f>
        <v>0</v>
      </c>
      <c r="BA124">
        <f t="shared" si="17"/>
        <v>0</v>
      </c>
      <c r="BB124">
        <f t="shared" si="18"/>
        <v>0</v>
      </c>
      <c r="BC124" s="35" cm="1">
        <f t="array" ref="BC124">IF($F$13-$I$4+VLOOKUP($Q124,武学奇术!$A:$ZZ,13,FALSE)+SUM(_xlfn.XLOOKUP(R124:AF124,增益!$A:$A,增益!$M:$M,0))&gt;0,($F$13-$I$4+VLOOKUP($Q124,武学奇术!$A:$ZZ,13,FALSE)+SUM(_xlfn.XLOOKUP(R124:AF124,增益!$A:$A,增益!$K:$K,0)))/200,($F$13-$I$4+VLOOKUP($Q124,武学奇术!$A:$ZZ,13,FALSE)+SUM(_xlfn.XLOOKUP(R124:AF124,增益!$A:$A,增益!$M:$M,0)))/100)</f>
        <v>-0.3</v>
      </c>
      <c r="BD124" s="35" cm="1">
        <f t="array" ref="BD124">$G$13+VLOOKUP($Q124,武学奇术!$A:$ZZ,14,FALSE)+SUM(_xlfn.XLOOKUP(R124:AF124,增益!$A:$A,增益!$N:$N,0))</f>
        <v>0</v>
      </c>
      <c r="BE124">
        <f t="shared" si="19"/>
        <v>538</v>
      </c>
      <c r="BF124">
        <f t="shared" si="20"/>
        <v>1561.4</v>
      </c>
      <c r="BG124" s="35" cm="1">
        <f t="array" ref="BG124">IF($F$14-$I$4+VLOOKUP($Q124,武学奇术!$A:$ZZ,15,FALSE)+SUM(_xlfn.XLOOKUP(R124:AF124,增益!$A:$A,增益!$O:$O,0))&gt;0,($F$14-$I$4+VLOOKUP($Q124,武学奇术!$A:$ZZ,15,FALSE)+SUM(_xlfn.XLOOKUP(R124:AF124,增益!$A:$A,增益!$O:$O,0)))/200,($F$14-$I$4+VLOOKUP($Q124,武学奇术!$A:$ZZ,15,FALSE)+SUM(_xlfn.XLOOKUP(R124:AF124,增益!$A:$A,增益!$O:$O,0)))/100)</f>
        <v>0</v>
      </c>
      <c r="BH124" s="35" cm="1">
        <f t="array" ref="BH124">$G$14+VLOOKUP($Q124,武学奇术!$A:$ZZ,16,FALSE)+SUM(_xlfn.XLOOKUP(R124:AF124,增益!$A:$A,增益!$P:$P,0))</f>
        <v>0.27</v>
      </c>
      <c r="BI124" s="30">
        <f>MIN(IF(VLOOKUP($Q124,武学奇术!$A:$ZZ,23,FALSE)=1,100%,$B$8),100%)</f>
        <v>0.9712</v>
      </c>
      <c r="BJ124" s="30" cm="1">
        <f t="array" ref="BJ124">IF(VLOOKUP($Q124,武学奇术!$A:$ZZ,23,FALSE)=1,100%,MIN(80%,$B$9+VLOOKUP($Q124,武学奇术!$A:$ZZ,17,FALSE)+SUM(_xlfn.XLOOKUP(R124:AF124,增益!$A:$A,增益!$Q:$Q,0)))+$B$11+SUM(_xlfn.XLOOKUP(R124:AF124,增益!$A:$A,增益!$U:$U,0)))*IF(VLOOKUP($Q124,武学奇术!$A:$ZZ,24,FALSE)=1,0,1)</f>
        <v>0.8773</v>
      </c>
      <c r="BK124" s="30" cm="1">
        <f t="array" ref="BK124">1+$B$13+VLOOKUP($Q124,武学奇术!$A:$ZZ,18,FALSE)+SUM(_xlfn.XLOOKUP(R124:AF124,增益!$A:$A,增益!$R:$R,0))</f>
        <v>1.87</v>
      </c>
      <c r="BL124" s="30" cm="1">
        <f t="array" ref="BL124">IF(VLOOKUP($Q124,武学奇术!$A:$ZZ,24,FALSE)=1,100%,MIN(40%,$B$10+VLOOKUP($Q124,武学奇术!$A:$ZZ,19,FALSE)+SUM(_xlfn.XLOOKUP(R124:AF124,增益!$A:$A,增益!$S:$S,0)))+$B$12+SUM(_xlfn.XLOOKUP(R124:AF124,增益!$A:$A,增益!$V:$V,0)))*IF(VLOOKUP($Q124,武学奇术!$A:$ZZ,23,FALSE)=1,0,1)</f>
        <v>0.0895</v>
      </c>
      <c r="BM124" s="30" cm="1">
        <f t="array" ref="BM124">1+$B$14+VLOOKUP($Q124,武学奇术!$A:$ZZ,20,FALSE)+SUM(_xlfn.XLOOKUP(R124:AF124,增益!$A:$A,增益!$T:$T,0))</f>
        <v>1.35</v>
      </c>
      <c r="BN124" s="30">
        <f t="shared" si="21"/>
        <v>0.85203376</v>
      </c>
      <c r="BO124" s="30">
        <f t="shared" si="22"/>
        <v>0.03224384</v>
      </c>
      <c r="BP124" s="30">
        <f>IF(VLOOKUP($Q124,武学奇术!$A:$ZZ,22,FALSE)=1,0,(1-$BI124))*(1-$BL124)</f>
        <v>0.0262224</v>
      </c>
      <c r="BQ124" s="30" cm="1">
        <f t="array" ref="BQ124">SUM(_xlfn.XLOOKUP(R124:AF124,增益!$A:$A,增益!$W:$W,0))+$I$5</f>
        <v>0.11</v>
      </c>
    </row>
    <row r="125" spans="11:69">
      <c r="K125" s="41">
        <f t="shared" si="25"/>
        <v>52167.0125086122</v>
      </c>
      <c r="L125" s="41">
        <f>((($AN125+$AO125)/2*$AH125+$AI125)*(1+$AP125)*(1+$AQ125)+(($AS125+$AT125)/2*IF($G$1="鸣金",$AJ125,$AH125)+IF($G$1="鸣金",$AK125*1.5,0))*(1+$AU125)*(1+$AV125)+(($AW125+$AX125)/2*IF($G$1="裂石",$AJ125,$AH125)+IF($G$1="裂石",$AK125*1.5,0))*(1+$AY125)*(1+$AZ125)+(($BA125+$BB125)/2*IF($G$1="牵丝",$AJ125,$AH125)+IF($G$1="牵丝",$AK125*1.5,0))*(1+$BC125)*(1+$BD125)+(($BE125+$BF125)/2*IF($G$1="破竹",$AJ125,$AH125)+IF($G$1="破竹",$AK125*1.5,0))*(1+$BG125)*(1+$BH125))*(1+$AL125)*$BK125*$P125*(1+IF(VLOOKUP($Q125,武学奇术!$A:$ZZ,30,FALSE)="回旋伞",$B$21,0))*(1+$BQ125)</f>
        <v>55362.699264148</v>
      </c>
      <c r="M125" s="41">
        <f>(($AO125*$AH125+$AI125)*(1+$AP125)*(1+$AQ125)+($AT125*IF($G$1="鸣金",$AJ125,$AH125)+IF($G$1="鸣金",$AK125*1.5,0))*(1+$AU125)*(1+$AV125)+($AX125*IF($G$1="裂石",$AJ125,$AH125)+IF($G$1="裂石",$AK125*1.5,0))*(1+$AY125)*(1+$AZ125)+($BB125*IF($G$1="牵丝",$AJ125,$AH125)+IF($G$1="牵丝",$AK125*1.5,0))*(1+$BC125)*(1+$BD125)+($BF125*IF($G$1="破竹",$AJ125,$AH125)+IF($G$1="破竹",$AK125*1.5,0))*(1+$BG125)*(1+$BH125))*(1+$AL125)*$BM125*$P125*(1+IF(VLOOKUP($Q125,武学奇术!$A:$ZZ,30,FALSE)="回旋伞",$B$21,0))*(1+$BQ125)</f>
        <v>39735.7701473438</v>
      </c>
      <c r="N125" s="41">
        <f>((($AN125+$AO125)/2*$AH125+$AI125)*(1+$AP125)*(1+$AQ125)+(($AS125+$AT125)/2*IF($G$1="鸣金",$AJ125,$AH125)+IF($G$1="鸣金",$AK125*1.5,0))*(1+$AU125)*(1+$AV125)+(($AW125+$AX125)/2*IF($G$1="裂石",$AJ125,$AH125)+IF($G$1="裂石",$AK125*1.5,0))*(1+$AY125)*(1+$AZ125)+(($BA125+$BB125)/2*IF($G$1="牵丝",$AJ125,$AH125)+IF($G$1="牵丝",$AK125*1.5,0))*(1+$BC125)*(1+$BD125)+(($BE125+$BF125)/2*IF($G$1="破竹",$AJ125,$AH125)+IF($G$1="破竹",$AK125*1.5,0))*(1+$BG125)*(1+$BH125))*(1+$AL125)*$P125*(1+IF(VLOOKUP($Q125,武学奇术!$A:$ZZ,30,FALSE)="回旋伞",$B$21,0))*(1+$BQ125)</f>
        <v>26114.4807849755</v>
      </c>
      <c r="O125" s="41">
        <f>((($AN125*$AH125+$AI125)*(1+$AP125)*(1+$AQ125)+($AS125*IF($G$1="鸣金",$AJ125,$AH125)+IF($G$1="鸣金",$AK125*1.5,0))*(1+$AU125)*(1+$AV125)+($AW125*IF($G$1="裂石",$AJ125,$AH125)+IF($G$1="裂石",$AK125*1.5,0))*(1+$AY125)*(1+$AZ125)+($BA125*IF($G$1="牵丝",$AJ125,$AH125)+IF($G$1="牵丝",$AK125*1.5,0))*(1+$BC125)*(1+$BD125)+($BE125*IF($G$1="破竹",$AJ125,$AH125)+IF($G$1="破竹",$AK125*1.5,0))*(1+$BG125)*(1+$BH125))*(1+$AL125))*$P125*(1+IF(VLOOKUP($Q125,武学奇术!$A:$ZZ,30,FALSE)="回旋伞",$B$21,0))*(1+$BQ125)</f>
        <v>22795.0577571037</v>
      </c>
      <c r="P125" s="42">
        <v>2</v>
      </c>
      <c r="Q125" s="43" t="s">
        <v>120</v>
      </c>
      <c r="R125" s="43" t="s">
        <v>105</v>
      </c>
      <c r="S125" s="43" t="s">
        <v>91</v>
      </c>
      <c r="T125" s="43" t="s">
        <v>72</v>
      </c>
      <c r="U125" s="43" t="s">
        <v>79</v>
      </c>
      <c r="V125" s="43" t="s">
        <v>167</v>
      </c>
      <c r="W125" s="43" t="s">
        <v>95</v>
      </c>
      <c r="X125" s="43" t="s">
        <v>71</v>
      </c>
      <c r="Y125" s="43" t="s">
        <v>177</v>
      </c>
      <c r="Z125" s="43" t="s">
        <v>71</v>
      </c>
      <c r="AA125" s="43" t="s">
        <v>112</v>
      </c>
      <c r="AB125" s="43" t="s">
        <v>179</v>
      </c>
      <c r="AC125" s="43" t="s">
        <v>71</v>
      </c>
      <c r="AD125" s="43" t="s">
        <v>71</v>
      </c>
      <c r="AE125" s="43" t="s">
        <v>71</v>
      </c>
      <c r="AF125" s="43" t="s">
        <v>76</v>
      </c>
      <c r="AG125" t="str">
        <f>VLOOKUP($Q125,武学奇术!$A:$ZZ,25,FALSE)</f>
        <v>伞</v>
      </c>
      <c r="AH125" s="30">
        <f>VLOOKUP($Q125,武学奇术!$A:$ZZ,26,FALSE)</f>
        <v>0.54</v>
      </c>
      <c r="AI125" s="31">
        <f>VLOOKUP($Q125,武学奇术!$A:$ZZ,27,FALSE)*(1+IF(OR($AG125=$F$4,$AG125=$F$5),$B$22,0))</f>
        <v>0</v>
      </c>
      <c r="AJ125" s="30">
        <f>VLOOKUP($Q125,武学奇术!$A:$ZZ,28,FALSE)</f>
        <v>0.81</v>
      </c>
      <c r="AK125" s="31">
        <f>VLOOKUP($Q125,武学奇术!$A:$ZZ,29,FALSE)*(1+IF(OR($AG125=$F$4,$AG125=$F$5),$B$22,0))</f>
        <v>0</v>
      </c>
      <c r="AL125" s="30" cm="1">
        <f t="array" ref="AL125">$G$3+IFERROR(VLOOKUP($AG125,$F$4:$G$7,2,FALSE),0)+VLOOKUP($Q125,武学奇术!$A:$ZZ,2,FALSE)+SUM(_xlfn.XLOOKUP($R125:$AF125,增益!$A:$A,增益!$B:$B,0))</f>
        <v>0.9741</v>
      </c>
      <c r="AM125" s="30" cm="1">
        <f t="array" ref="AM125">VLOOKUP($Q125,武学奇术!$A:$ZZ,5,FALSE)+SUM(_xlfn.XLOOKUP($R125:$AF125,增益!$A:$A,增益!$E:$E,0))</f>
        <v>0</v>
      </c>
      <c r="AN125" cm="1">
        <f t="array" ref="AN125">$D$10*(1+$AM125)+VLOOKUP($Q125,武学奇术!$A:$ZZ,3,FALSE)+SUM(_xlfn.XLOOKUP($R125:$AF125,增益!$A:$A,增益!$C:$C,0))-$I$2</f>
        <v>3483.8</v>
      </c>
      <c r="AO125" cm="1">
        <f t="array" ref="AO125">$E$10*(1+$AM125)+VLOOKUP($Q125,武学奇术!$A:$ZZ,4,FALSE)+SUM(_xlfn.XLOOKUP($R125:$AF125,增益!$A:$A,增益!$D:$D,0))-$I$2</f>
        <v>3483.8</v>
      </c>
      <c r="AP125" s="35" cm="1">
        <f t="array" ref="AP125">IF($F$10-$I$3+VLOOKUP($Q125,武学奇术!$A:$ZZ,6,FALSE)+SUM(_xlfn.XLOOKUP(R125:AF125,增益!$A:$A,增益!$F:$F,0))&gt;0,($F$10-$I$3+VLOOKUP($Q125,武学奇术!$A:$ZZ,6,FALSE)+SUM(_xlfn.XLOOKUP(R125:AF125,增益!$A:$A,增益!$F:$F,0)))/200,($F$10-$I$3+VLOOKUP($Q125,武学奇术!$A:$ZZ,6,FALSE)+SUM(_xlfn.XLOOKUP(R125:AF125,增益!$A:$A,增益!$F:$F,0)))/100)</f>
        <v>0.4175</v>
      </c>
      <c r="AQ125" s="35" cm="1">
        <f t="array" ref="AQ125">$G$10+VLOOKUP($Q125,武学奇术!$A:$ZZ,7,FALSE)+SUM(_xlfn.XLOOKUP(R125:AF125,增益!$A:$A,增益!$G:$G,0))</f>
        <v>0.148</v>
      </c>
      <c r="AR125" s="30" cm="1">
        <f t="array" ref="AR125">VLOOKUP($Q125,武学奇术!$A:$ZZ,8,FALSE)+SUM(_xlfn.XLOOKUP(R125:AF125,增益!$A:$A,增益!$H:$H,0))</f>
        <v>0</v>
      </c>
      <c r="AS125">
        <f t="shared" si="13"/>
        <v>0</v>
      </c>
      <c r="AT125">
        <f t="shared" si="14"/>
        <v>0</v>
      </c>
      <c r="AU125" s="35" cm="1">
        <f t="array" ref="AU125">IF($F$11-$I$4+VLOOKUP($Q125,武学奇术!$A:$ZZ,9,FALSE)+SUM(_xlfn.XLOOKUP(R125:AF125,增益!$A:$A,增益!$I:$I,0))&gt;0,($F$11-$I$4+VLOOKUP($Q125,武学奇术!$A:$ZZ,9,FALSE)+SUM(_xlfn.XLOOKUP(R125:AF125,增益!$A:$A,增益!$I:$I,0)))/200,($F$11-$I$4+VLOOKUP($Q125,武学奇术!$A:$ZZ,9,FALSE)+SUM(_xlfn.XLOOKUP(R125:AF125,增益!$A:$A,增益!$I:$I,0)))/100)</f>
        <v>-0.3</v>
      </c>
      <c r="AV125" s="35" cm="1">
        <f t="array" ref="AV125">$G$11+VLOOKUP($Q125,武学奇术!$A:$ZZ,10,FALSE)+SUM(_xlfn.XLOOKUP(R125:AF125,增益!$A:$A,增益!$J:$J,0))</f>
        <v>0</v>
      </c>
      <c r="AW125">
        <f t="shared" si="15"/>
        <v>0</v>
      </c>
      <c r="AX125">
        <f t="shared" si="16"/>
        <v>0</v>
      </c>
      <c r="AY125" s="35" cm="1">
        <f t="array" ref="AY125">IF($F$12-$I$4+VLOOKUP($Q125,武学奇术!$A:$ZZ,11,FALSE)+SUM(_xlfn.XLOOKUP(R125:AF125,增益!$A:$A,增益!$K:$K,0))&gt;0,($F$12-$I$4+VLOOKUP($Q125,武学奇术!$A:$ZZ,11,FALSE)+SUM(_xlfn.XLOOKUP(R125:AF125,增益!$A:$A,增益!$K:$K,0)))/200,($F$12-$I$4+VLOOKUP($Q125,武学奇术!$A:$ZZ,11,FALSE)+SUM(_xlfn.XLOOKUP(R125:AF125,增益!$A:$A,增益!$K:$K,0)))/100)</f>
        <v>-0.3</v>
      </c>
      <c r="AZ125" s="35" cm="1">
        <f t="array" ref="AZ125">$G$12+VLOOKUP($Q125,武学奇术!$A:$ZZ,12,FALSE)+SUM(_xlfn.XLOOKUP(R125:AF125,增益!$A:$A,增益!$L:$L,0))</f>
        <v>0</v>
      </c>
      <c r="BA125">
        <f t="shared" si="17"/>
        <v>0</v>
      </c>
      <c r="BB125">
        <f t="shared" si="18"/>
        <v>0</v>
      </c>
      <c r="BC125" s="35" cm="1">
        <f t="array" ref="BC125">IF($F$13-$I$4+VLOOKUP($Q125,武学奇术!$A:$ZZ,13,FALSE)+SUM(_xlfn.XLOOKUP(R125:AF125,增益!$A:$A,增益!$M:$M,0))&gt;0,($F$13-$I$4+VLOOKUP($Q125,武学奇术!$A:$ZZ,13,FALSE)+SUM(_xlfn.XLOOKUP(R125:AF125,增益!$A:$A,增益!$K:$K,0)))/200,($F$13-$I$4+VLOOKUP($Q125,武学奇术!$A:$ZZ,13,FALSE)+SUM(_xlfn.XLOOKUP(R125:AF125,增益!$A:$A,增益!$M:$M,0)))/100)</f>
        <v>-0.3</v>
      </c>
      <c r="BD125" s="35" cm="1">
        <f t="array" ref="BD125">$G$13+VLOOKUP($Q125,武学奇术!$A:$ZZ,14,FALSE)+SUM(_xlfn.XLOOKUP(R125:AF125,增益!$A:$A,增益!$N:$N,0))</f>
        <v>0</v>
      </c>
      <c r="BE125">
        <f t="shared" si="19"/>
        <v>538</v>
      </c>
      <c r="BF125">
        <f t="shared" si="20"/>
        <v>1561.4</v>
      </c>
      <c r="BG125" s="35" cm="1">
        <f t="array" ref="BG125">IF($F$14-$I$4+VLOOKUP($Q125,武学奇术!$A:$ZZ,15,FALSE)+SUM(_xlfn.XLOOKUP(R125:AF125,增益!$A:$A,增益!$O:$O,0))&gt;0,($F$14-$I$4+VLOOKUP($Q125,武学奇术!$A:$ZZ,15,FALSE)+SUM(_xlfn.XLOOKUP(R125:AF125,增益!$A:$A,增益!$O:$O,0)))/200,($F$14-$I$4+VLOOKUP($Q125,武学奇术!$A:$ZZ,15,FALSE)+SUM(_xlfn.XLOOKUP(R125:AF125,增益!$A:$A,增益!$O:$O,0)))/100)</f>
        <v>0</v>
      </c>
      <c r="BH125" s="35" cm="1">
        <f t="array" ref="BH125">$G$14+VLOOKUP($Q125,武学奇术!$A:$ZZ,16,FALSE)+SUM(_xlfn.XLOOKUP(R125:AF125,增益!$A:$A,增益!$P:$P,0))</f>
        <v>0.27</v>
      </c>
      <c r="BI125" s="30">
        <f>MIN(IF(VLOOKUP($Q125,武学奇术!$A:$ZZ,23,FALSE)=1,100%,$B$8),100%)</f>
        <v>0.9712</v>
      </c>
      <c r="BJ125" s="30" cm="1">
        <f t="array" ref="BJ125">IF(VLOOKUP($Q125,武学奇术!$A:$ZZ,23,FALSE)=1,100%,MIN(80%,$B$9+VLOOKUP($Q125,武学奇术!$A:$ZZ,17,FALSE)+SUM(_xlfn.XLOOKUP(R125:AF125,增益!$A:$A,增益!$Q:$Q,0)))+$B$11+SUM(_xlfn.XLOOKUP(R125:AF125,增益!$A:$A,增益!$U:$U,0)))*IF(VLOOKUP($Q125,武学奇术!$A:$ZZ,24,FALSE)=1,0,1)</f>
        <v>0.8773</v>
      </c>
      <c r="BK125" s="30" cm="1">
        <f t="array" ref="BK125">1+$B$13+VLOOKUP($Q125,武学奇术!$A:$ZZ,18,FALSE)+SUM(_xlfn.XLOOKUP(R125:AF125,增益!$A:$A,增益!$R:$R,0))</f>
        <v>2.12</v>
      </c>
      <c r="BL125" s="30" cm="1">
        <f t="array" ref="BL125">IF(VLOOKUP($Q125,武学奇术!$A:$ZZ,24,FALSE)=1,100%,MIN(40%,$B$10+VLOOKUP($Q125,武学奇术!$A:$ZZ,19,FALSE)+SUM(_xlfn.XLOOKUP(R125:AF125,增益!$A:$A,增益!$S:$S,0)))+$B$12+SUM(_xlfn.XLOOKUP(R125:AF125,增益!$A:$A,增益!$V:$V,0)))*IF(VLOOKUP($Q125,武学奇术!$A:$ZZ,23,FALSE)=1,0,1)</f>
        <v>0.0895</v>
      </c>
      <c r="BM125" s="30" cm="1">
        <f t="array" ref="BM125">1+$B$14+VLOOKUP($Q125,武学奇术!$A:$ZZ,20,FALSE)+SUM(_xlfn.XLOOKUP(R125:AF125,增益!$A:$A,增益!$T:$T,0))</f>
        <v>1.35</v>
      </c>
      <c r="BN125" s="30">
        <f t="shared" si="21"/>
        <v>0.85203376</v>
      </c>
      <c r="BO125" s="30">
        <f t="shared" si="22"/>
        <v>0.03224384</v>
      </c>
      <c r="BP125" s="30">
        <f>IF(VLOOKUP($Q125,武学奇术!$A:$ZZ,22,FALSE)=1,0,(1-$BI125))*(1-$BL125)</f>
        <v>0.0262224</v>
      </c>
      <c r="BQ125" s="30" cm="1">
        <f t="array" ref="BQ125">SUM(_xlfn.XLOOKUP(R125:AF125,增益!$A:$A,增益!$W:$W,0))+$I$5</f>
        <v>0.21</v>
      </c>
    </row>
    <row r="126" spans="11:69">
      <c r="K126" s="41">
        <f t="shared" si="25"/>
        <v>213400.615797398</v>
      </c>
      <c r="L126" s="41">
        <f>((($AN126+$AO126)/2*$AH126+$AI126)*(1+$AP126)*(1+$AQ126)+(($AS126+$AT126)/2*IF($G$1="鸣金",$AJ126,$AH126)+IF($G$1="鸣金",$AK126*1.5,0))*(1+$AU126)*(1+$AV126)+(($AW126+$AX126)/2*IF($G$1="裂石",$AJ126,$AH126)+IF($G$1="裂石",$AK126*1.5,0))*(1+$AY126)*(1+$AZ126)+(($BA126+$BB126)/2*IF($G$1="牵丝",$AJ126,$AH126)+IF($G$1="牵丝",$AK126*1.5,0))*(1+$BC126)*(1+$BD126)+(($BE126+$BF126)/2*IF($G$1="破竹",$AJ126,$AH126)+IF($G$1="破竹",$AK126*1.5,0))*(1+$BG126)*(1+$BH126))*(1+$AL126)*$BK126*$P126*(1+IF(VLOOKUP($Q126,武学奇术!$A:$ZZ,30,FALSE)="回旋伞",$B$21,0))*(1+$BQ126)</f>
        <v>213400.615797398</v>
      </c>
      <c r="M126" s="41">
        <f>(($AO126*$AH126+$AI126)*(1+$AP126)*(1+$AQ126)+($AT126*IF($G$1="鸣金",$AJ126,$AH126)+IF($G$1="鸣金",$AK126*1.5,0))*(1+$AU126)*(1+$AV126)+($AX126*IF($G$1="裂石",$AJ126,$AH126)+IF($G$1="裂石",$AK126*1.5,0))*(1+$AY126)*(1+$AZ126)+($BB126*IF($G$1="牵丝",$AJ126,$AH126)+IF($G$1="牵丝",$AK126*1.5,0))*(1+$BC126)*(1+$BD126)+($BF126*IF($G$1="破竹",$AJ126,$AH126)+IF($G$1="破竹",$AK126*1.5,0))*(1+$BG126)*(1+$BH126))*(1+$AL126)*$BM126*$P126*(1+IF(VLOOKUP($Q126,武学奇术!$A:$ZZ,30,FALSE)="回旋伞",$B$21,0))*(1+$BQ126)</f>
        <v>153165.180371152</v>
      </c>
      <c r="N126" s="41">
        <f>((($AN126+$AO126)/2*$AH126+$AI126)*(1+$AP126)*(1+$AQ126)+(($AS126+$AT126)/2*IF($G$1="鸣金",$AJ126,$AH126)+IF($G$1="鸣金",$AK126*1.5,0))*(1+$AU126)*(1+$AV126)+(($AW126+$AX126)/2*IF($G$1="裂石",$AJ126,$AH126)+IF($G$1="裂石",$AK126*1.5,0))*(1+$AY126)*(1+$AZ126)+(($BA126+$BB126)/2*IF($G$1="牵丝",$AJ126,$AH126)+IF($G$1="牵丝",$AK126*1.5,0))*(1+$BC126)*(1+$BD126)+(($BE126+$BF126)/2*IF($G$1="破竹",$AJ126,$AH126)+IF($G$1="破竹",$AK126*1.5,0))*(1+$BG126)*(1+$BH126))*(1+$AL126)*$P126*(1+IF(VLOOKUP($Q126,武学奇术!$A:$ZZ,30,FALSE)="回旋伞",$B$21,0))*(1+$BQ126)</f>
        <v>100660.667828962</v>
      </c>
      <c r="O126" s="41">
        <f>((($AN126*$AH126+$AI126)*(1+$AP126)*(1+$AQ126)+($AS126*IF($G$1="鸣金",$AJ126,$AH126)+IF($G$1="鸣金",$AK126*1.5,0))*(1+$AU126)*(1+$AV126)+($AW126*IF($G$1="裂石",$AJ126,$AH126)+IF($G$1="裂石",$AK126*1.5,0))*(1+$AY126)*(1+$AZ126)+($BA126*IF($G$1="牵丝",$AJ126,$AH126)+IF($G$1="牵丝",$AK126*1.5,0))*(1+$BC126)*(1+$BD126)+($BE126*IF($G$1="破竹",$AJ126,$AH126)+IF($G$1="破竹",$AK126*1.5,0))*(1+$BG126)*(1+$BH126))*(1+$AL126))*$P126*(1+IF(VLOOKUP($Q126,武学奇术!$A:$ZZ,30,FALSE)="回旋伞",$B$21,0))*(1+$BQ126)</f>
        <v>87865.6464941071</v>
      </c>
      <c r="P126" s="42">
        <v>7</v>
      </c>
      <c r="Q126" s="43" t="s">
        <v>130</v>
      </c>
      <c r="R126" s="43" t="s">
        <v>105</v>
      </c>
      <c r="S126" s="43" t="s">
        <v>91</v>
      </c>
      <c r="T126" s="43" t="s">
        <v>72</v>
      </c>
      <c r="U126" s="43" t="s">
        <v>79</v>
      </c>
      <c r="V126" s="43" t="s">
        <v>167</v>
      </c>
      <c r="W126" s="43" t="s">
        <v>95</v>
      </c>
      <c r="X126" s="43" t="s">
        <v>71</v>
      </c>
      <c r="Y126" s="43" t="s">
        <v>177</v>
      </c>
      <c r="Z126" s="43" t="s">
        <v>71</v>
      </c>
      <c r="AA126" s="43" t="s">
        <v>116</v>
      </c>
      <c r="AB126" s="43" t="s">
        <v>179</v>
      </c>
      <c r="AC126" s="43" t="s">
        <v>71</v>
      </c>
      <c r="AD126" s="43" t="s">
        <v>71</v>
      </c>
      <c r="AE126" s="43" t="s">
        <v>71</v>
      </c>
      <c r="AF126" s="43" t="s">
        <v>76</v>
      </c>
      <c r="AG126" t="str">
        <f>VLOOKUP($Q126,武学奇术!$A:$ZZ,25,FALSE)</f>
        <v>伞</v>
      </c>
      <c r="AH126" s="30">
        <f>VLOOKUP($Q126,武学奇术!$A:$ZZ,26,FALSE)</f>
        <v>0.54</v>
      </c>
      <c r="AI126" s="31">
        <f>VLOOKUP($Q126,武学奇术!$A:$ZZ,27,FALSE)*(1+IF(OR($AG126=$F$4,$AG126=$F$5),$B$22,0))</f>
        <v>0</v>
      </c>
      <c r="AJ126" s="30">
        <f>VLOOKUP($Q126,武学奇术!$A:$ZZ,28,FALSE)</f>
        <v>0.81</v>
      </c>
      <c r="AK126" s="31">
        <f>VLOOKUP($Q126,武学奇术!$A:$ZZ,29,FALSE)*(1+IF(OR($AG126=$F$4,$AG126=$F$5),$B$22,0))</f>
        <v>0</v>
      </c>
      <c r="AL126" s="30" cm="1">
        <f t="array" ref="AL126">$G$3+IFERROR(VLOOKUP($AG126,$F$4:$G$7,2,FALSE),0)+VLOOKUP($Q126,武学奇术!$A:$ZZ,2,FALSE)+SUM(_xlfn.XLOOKUP($R126:$AF126,增益!$A:$A,增益!$B:$B,0))</f>
        <v>1.1741</v>
      </c>
      <c r="AM126" s="30" cm="1">
        <f t="array" ref="AM126">VLOOKUP($Q126,武学奇术!$A:$ZZ,5,FALSE)+SUM(_xlfn.XLOOKUP($R126:$AF126,增益!$A:$A,增益!$E:$E,0))</f>
        <v>0</v>
      </c>
      <c r="AN126" cm="1">
        <f t="array" ref="AN126">$D$10*(1+$AM126)+VLOOKUP($Q126,武学奇术!$A:$ZZ,3,FALSE)+SUM(_xlfn.XLOOKUP($R126:$AF126,增益!$A:$A,增益!$C:$C,0))-$I$2</f>
        <v>3483.8</v>
      </c>
      <c r="AO126" cm="1">
        <f t="array" ref="AO126">$E$10*(1+$AM126)+VLOOKUP($Q126,武学奇术!$A:$ZZ,4,FALSE)+SUM(_xlfn.XLOOKUP($R126:$AF126,增益!$A:$A,增益!$D:$D,0))-$I$2</f>
        <v>3483.8</v>
      </c>
      <c r="AP126" s="35" cm="1">
        <f t="array" ref="AP126">IF($F$10-$I$3+VLOOKUP($Q126,武学奇术!$A:$ZZ,6,FALSE)+SUM(_xlfn.XLOOKUP(R126:AF126,增益!$A:$A,增益!$F:$F,0))&gt;0,($F$10-$I$3+VLOOKUP($Q126,武学奇术!$A:$ZZ,6,FALSE)+SUM(_xlfn.XLOOKUP(R126:AF126,增益!$A:$A,增益!$F:$F,0)))/200,($F$10-$I$3+VLOOKUP($Q126,武学奇术!$A:$ZZ,6,FALSE)+SUM(_xlfn.XLOOKUP(R126:AF126,增益!$A:$A,增益!$F:$F,0)))/100)</f>
        <v>0.4175</v>
      </c>
      <c r="AQ126" s="35" cm="1">
        <f t="array" ref="AQ126">$G$10+VLOOKUP($Q126,武学奇术!$A:$ZZ,7,FALSE)+SUM(_xlfn.XLOOKUP(R126:AF126,增益!$A:$A,增益!$G:$G,0))</f>
        <v>0.148</v>
      </c>
      <c r="AR126" s="30" cm="1">
        <f t="array" ref="AR126">VLOOKUP($Q126,武学奇术!$A:$ZZ,8,FALSE)+SUM(_xlfn.XLOOKUP(R126:AF126,增益!$A:$A,增益!$H:$H,0))</f>
        <v>0</v>
      </c>
      <c r="AS126">
        <f t="shared" si="13"/>
        <v>0</v>
      </c>
      <c r="AT126">
        <f t="shared" si="14"/>
        <v>0</v>
      </c>
      <c r="AU126" s="35" cm="1">
        <f t="array" ref="AU126">IF($F$11-$I$4+VLOOKUP($Q126,武学奇术!$A:$ZZ,9,FALSE)+SUM(_xlfn.XLOOKUP(R126:AF126,增益!$A:$A,增益!$I:$I,0))&gt;0,($F$11-$I$4+VLOOKUP($Q126,武学奇术!$A:$ZZ,9,FALSE)+SUM(_xlfn.XLOOKUP(R126:AF126,增益!$A:$A,增益!$I:$I,0)))/200,($F$11-$I$4+VLOOKUP($Q126,武学奇术!$A:$ZZ,9,FALSE)+SUM(_xlfn.XLOOKUP(R126:AF126,增益!$A:$A,增益!$I:$I,0)))/100)</f>
        <v>-0.3</v>
      </c>
      <c r="AV126" s="35" cm="1">
        <f t="array" ref="AV126">$G$11+VLOOKUP($Q126,武学奇术!$A:$ZZ,10,FALSE)+SUM(_xlfn.XLOOKUP(R126:AF126,增益!$A:$A,增益!$J:$J,0))</f>
        <v>0</v>
      </c>
      <c r="AW126">
        <f t="shared" si="15"/>
        <v>0</v>
      </c>
      <c r="AX126">
        <f t="shared" si="16"/>
        <v>0</v>
      </c>
      <c r="AY126" s="35" cm="1">
        <f t="array" ref="AY126">IF($F$12-$I$4+VLOOKUP($Q126,武学奇术!$A:$ZZ,11,FALSE)+SUM(_xlfn.XLOOKUP(R126:AF126,增益!$A:$A,增益!$K:$K,0))&gt;0,($F$12-$I$4+VLOOKUP($Q126,武学奇术!$A:$ZZ,11,FALSE)+SUM(_xlfn.XLOOKUP(R126:AF126,增益!$A:$A,增益!$K:$K,0)))/200,($F$12-$I$4+VLOOKUP($Q126,武学奇术!$A:$ZZ,11,FALSE)+SUM(_xlfn.XLOOKUP(R126:AF126,增益!$A:$A,增益!$K:$K,0)))/100)</f>
        <v>-0.3</v>
      </c>
      <c r="AZ126" s="35" cm="1">
        <f t="array" ref="AZ126">$G$12+VLOOKUP($Q126,武学奇术!$A:$ZZ,12,FALSE)+SUM(_xlfn.XLOOKUP(R126:AF126,增益!$A:$A,增益!$L:$L,0))</f>
        <v>0</v>
      </c>
      <c r="BA126">
        <f t="shared" si="17"/>
        <v>0</v>
      </c>
      <c r="BB126">
        <f t="shared" si="18"/>
        <v>0</v>
      </c>
      <c r="BC126" s="35" cm="1">
        <f t="array" ref="BC126">IF($F$13-$I$4+VLOOKUP($Q126,武学奇术!$A:$ZZ,13,FALSE)+SUM(_xlfn.XLOOKUP(R126:AF126,增益!$A:$A,增益!$M:$M,0))&gt;0,($F$13-$I$4+VLOOKUP($Q126,武学奇术!$A:$ZZ,13,FALSE)+SUM(_xlfn.XLOOKUP(R126:AF126,增益!$A:$A,增益!$K:$K,0)))/200,($F$13-$I$4+VLOOKUP($Q126,武学奇术!$A:$ZZ,13,FALSE)+SUM(_xlfn.XLOOKUP(R126:AF126,增益!$A:$A,增益!$M:$M,0)))/100)</f>
        <v>-0.3</v>
      </c>
      <c r="BD126" s="35" cm="1">
        <f t="array" ref="BD126">$G$13+VLOOKUP($Q126,武学奇术!$A:$ZZ,14,FALSE)+SUM(_xlfn.XLOOKUP(R126:AF126,增益!$A:$A,增益!$N:$N,0))</f>
        <v>0</v>
      </c>
      <c r="BE126">
        <f t="shared" si="19"/>
        <v>538</v>
      </c>
      <c r="BF126">
        <f t="shared" si="20"/>
        <v>1561.4</v>
      </c>
      <c r="BG126" s="35" cm="1">
        <f t="array" ref="BG126">IF($F$14-$I$4+VLOOKUP($Q126,武学奇术!$A:$ZZ,15,FALSE)+SUM(_xlfn.XLOOKUP(R126:AF126,增益!$A:$A,增益!$O:$O,0))&gt;0,($F$14-$I$4+VLOOKUP($Q126,武学奇术!$A:$ZZ,15,FALSE)+SUM(_xlfn.XLOOKUP(R126:AF126,增益!$A:$A,增益!$O:$O,0)))/200,($F$14-$I$4+VLOOKUP($Q126,武学奇术!$A:$ZZ,15,FALSE)+SUM(_xlfn.XLOOKUP(R126:AF126,增益!$A:$A,增益!$O:$O,0)))/100)</f>
        <v>0</v>
      </c>
      <c r="BH126" s="35" cm="1">
        <f t="array" ref="BH126">$G$14+VLOOKUP($Q126,武学奇术!$A:$ZZ,16,FALSE)+SUM(_xlfn.XLOOKUP(R126:AF126,增益!$A:$A,增益!$P:$P,0))</f>
        <v>0.27</v>
      </c>
      <c r="BI126" s="30">
        <f>MIN(IF(VLOOKUP($Q126,武学奇术!$A:$ZZ,23,FALSE)=1,100%,$B$8),100%)</f>
        <v>1</v>
      </c>
      <c r="BJ126" s="30" cm="1">
        <f t="array" ref="BJ126">IF(VLOOKUP($Q126,武学奇术!$A:$ZZ,23,FALSE)=1,100%,MIN(80%,$B$9+VLOOKUP($Q126,武学奇术!$A:$ZZ,17,FALSE)+SUM(_xlfn.XLOOKUP(R126:AF126,增益!$A:$A,增益!$Q:$Q,0)))+$B$11+SUM(_xlfn.XLOOKUP(R126:AF126,增益!$A:$A,增益!$U:$U,0)))*IF(VLOOKUP($Q126,武学奇术!$A:$ZZ,24,FALSE)=1,0,1)</f>
        <v>1</v>
      </c>
      <c r="BK126" s="30" cm="1">
        <f t="array" ref="BK126">1+$B$13+VLOOKUP($Q126,武学奇术!$A:$ZZ,18,FALSE)+SUM(_xlfn.XLOOKUP(R126:AF126,增益!$A:$A,增益!$R:$R,0))</f>
        <v>2.12</v>
      </c>
      <c r="BL126" s="30" cm="1">
        <f t="array" ref="BL126">IF(VLOOKUP($Q126,武学奇术!$A:$ZZ,24,FALSE)=1,100%,MIN(40%,$B$10+VLOOKUP($Q126,武学奇术!$A:$ZZ,19,FALSE)+SUM(_xlfn.XLOOKUP(R126:AF126,增益!$A:$A,增益!$S:$S,0)))+$B$12+SUM(_xlfn.XLOOKUP(R126:AF126,增益!$A:$A,增益!$V:$V,0)))*IF(VLOOKUP($Q126,武学奇术!$A:$ZZ,23,FALSE)=1,0,1)</f>
        <v>0</v>
      </c>
      <c r="BM126" s="30" cm="1">
        <f t="array" ref="BM126">1+$B$14+VLOOKUP($Q126,武学奇术!$A:$ZZ,20,FALSE)+SUM(_xlfn.XLOOKUP(R126:AF126,增益!$A:$A,增益!$T:$T,0))</f>
        <v>1.35</v>
      </c>
      <c r="BN126" s="30">
        <f t="shared" si="21"/>
        <v>1</v>
      </c>
      <c r="BO126" s="30">
        <f t="shared" si="22"/>
        <v>0</v>
      </c>
      <c r="BP126" s="30">
        <f>IF(VLOOKUP($Q126,武学奇术!$A:$ZZ,22,FALSE)=1,0,(1-$BI126))*(1-$BL126)</f>
        <v>0</v>
      </c>
      <c r="BQ126" s="30" cm="1">
        <f t="array" ref="BQ126">SUM(_xlfn.XLOOKUP(R126:AF126,增益!$A:$A,增益!$W:$W,0))+$I$5</f>
        <v>0.21</v>
      </c>
    </row>
    <row r="127" spans="11:69">
      <c r="K127" s="41">
        <f t="shared" si="25"/>
        <v>313002.075051673</v>
      </c>
      <c r="L127" s="41">
        <f>((($AN127+$AO127)/2*$AH127+$AI127)*(1+$AP127)*(1+$AQ127)+(($AS127+$AT127)/2*IF($G$1="鸣金",$AJ127,$AH127)+IF($G$1="鸣金",$AK127*1.5,0))*(1+$AU127)*(1+$AV127)+(($AW127+$AX127)/2*IF($G$1="裂石",$AJ127,$AH127)+IF($G$1="裂石",$AK127*1.5,0))*(1+$AY127)*(1+$AZ127)+(($BA127+$BB127)/2*IF($G$1="牵丝",$AJ127,$AH127)+IF($G$1="牵丝",$AK127*1.5,0))*(1+$BC127)*(1+$BD127)+(($BE127+$BF127)/2*IF($G$1="破竹",$AJ127,$AH127)+IF($G$1="破竹",$AK127*1.5,0))*(1+$BG127)*(1+$BH127))*(1+$AL127)*$BK127*$P127*(1+IF(VLOOKUP($Q127,武学奇术!$A:$ZZ,30,FALSE)="回旋伞",$B$21,0))*(1+$BQ127)</f>
        <v>332176.195584888</v>
      </c>
      <c r="M127" s="41">
        <f>(($AO127*$AH127+$AI127)*(1+$AP127)*(1+$AQ127)+($AT127*IF($G$1="鸣金",$AJ127,$AH127)+IF($G$1="鸣金",$AK127*1.5,0))*(1+$AU127)*(1+$AV127)+($AX127*IF($G$1="裂石",$AJ127,$AH127)+IF($G$1="裂石",$AK127*1.5,0))*(1+$AY127)*(1+$AZ127)+($BB127*IF($G$1="牵丝",$AJ127,$AH127)+IF($G$1="牵丝",$AK127*1.5,0))*(1+$BC127)*(1+$BD127)+($BF127*IF($G$1="破竹",$AJ127,$AH127)+IF($G$1="破竹",$AK127*1.5,0))*(1+$BG127)*(1+$BH127))*(1+$AL127)*$BM127*$P127*(1+IF(VLOOKUP($Q127,武学奇术!$A:$ZZ,30,FALSE)="回旋伞",$B$21,0))*(1+$BQ127)</f>
        <v>238414.620884063</v>
      </c>
      <c r="N127" s="41">
        <f>((($AN127+$AO127)/2*$AH127+$AI127)*(1+$AP127)*(1+$AQ127)+(($AS127+$AT127)/2*IF($G$1="鸣金",$AJ127,$AH127)+IF($G$1="鸣金",$AK127*1.5,0))*(1+$AU127)*(1+$AV127)+(($AW127+$AX127)/2*IF($G$1="裂石",$AJ127,$AH127)+IF($G$1="裂石",$AK127*1.5,0))*(1+$AY127)*(1+$AZ127)+(($BA127+$BB127)/2*IF($G$1="牵丝",$AJ127,$AH127)+IF($G$1="牵丝",$AK127*1.5,0))*(1+$BC127)*(1+$BD127)+(($BE127+$BF127)/2*IF($G$1="破竹",$AJ127,$AH127)+IF($G$1="破竹",$AK127*1.5,0))*(1+$BG127)*(1+$BH127))*(1+$AL127)*$P127*(1+IF(VLOOKUP($Q127,武学奇术!$A:$ZZ,30,FALSE)="回旋伞",$B$21,0))*(1+$BQ127)</f>
        <v>156686.884709853</v>
      </c>
      <c r="O127" s="41">
        <f>((($AN127*$AH127+$AI127)*(1+$AP127)*(1+$AQ127)+($AS127*IF($G$1="鸣金",$AJ127,$AH127)+IF($G$1="鸣金",$AK127*1.5,0))*(1+$AU127)*(1+$AV127)+($AW127*IF($G$1="裂石",$AJ127,$AH127)+IF($G$1="裂石",$AK127*1.5,0))*(1+$AY127)*(1+$AZ127)+($BA127*IF($G$1="牵丝",$AJ127,$AH127)+IF($G$1="牵丝",$AK127*1.5,0))*(1+$BC127)*(1+$BD127)+($BE127*IF($G$1="破竹",$AJ127,$AH127)+IF($G$1="破竹",$AK127*1.5,0))*(1+$BG127)*(1+$BH127))*(1+$AL127))*$P127*(1+IF(VLOOKUP($Q127,武学奇术!$A:$ZZ,30,FALSE)="回旋伞",$B$21,0))*(1+$BQ127)</f>
        <v>136770.346542622</v>
      </c>
      <c r="P127" s="42">
        <v>12</v>
      </c>
      <c r="Q127" s="43" t="s">
        <v>120</v>
      </c>
      <c r="R127" s="43" t="s">
        <v>105</v>
      </c>
      <c r="S127" s="43" t="s">
        <v>91</v>
      </c>
      <c r="T127" s="43" t="s">
        <v>72</v>
      </c>
      <c r="U127" s="43" t="s">
        <v>79</v>
      </c>
      <c r="V127" s="43" t="s">
        <v>167</v>
      </c>
      <c r="W127" s="43" t="s">
        <v>95</v>
      </c>
      <c r="X127" s="43" t="s">
        <v>71</v>
      </c>
      <c r="Y127" s="43" t="s">
        <v>177</v>
      </c>
      <c r="Z127" s="43" t="s">
        <v>71</v>
      </c>
      <c r="AA127" s="43" t="s">
        <v>116</v>
      </c>
      <c r="AB127" s="43" t="s">
        <v>179</v>
      </c>
      <c r="AC127" s="43" t="s">
        <v>71</v>
      </c>
      <c r="AD127" s="43" t="s">
        <v>71</v>
      </c>
      <c r="AE127" s="43" t="s">
        <v>71</v>
      </c>
      <c r="AF127" s="43" t="s">
        <v>76</v>
      </c>
      <c r="AG127" t="str">
        <f>VLOOKUP($Q127,武学奇术!$A:$ZZ,25,FALSE)</f>
        <v>伞</v>
      </c>
      <c r="AH127" s="30">
        <f>VLOOKUP($Q127,武学奇术!$A:$ZZ,26,FALSE)</f>
        <v>0.54</v>
      </c>
      <c r="AI127" s="31">
        <f>VLOOKUP($Q127,武学奇术!$A:$ZZ,27,FALSE)*(1+IF(OR($AG127=$F$4,$AG127=$F$5),$B$22,0))</f>
        <v>0</v>
      </c>
      <c r="AJ127" s="30">
        <f>VLOOKUP($Q127,武学奇术!$A:$ZZ,28,FALSE)</f>
        <v>0.81</v>
      </c>
      <c r="AK127" s="31">
        <f>VLOOKUP($Q127,武学奇术!$A:$ZZ,29,FALSE)*(1+IF(OR($AG127=$F$4,$AG127=$F$5),$B$22,0))</f>
        <v>0</v>
      </c>
      <c r="AL127" s="30" cm="1">
        <f t="array" ref="AL127">$G$3+IFERROR(VLOOKUP($AG127,$F$4:$G$7,2,FALSE),0)+VLOOKUP($Q127,武学奇术!$A:$ZZ,2,FALSE)+SUM(_xlfn.XLOOKUP($R127:$AF127,增益!$A:$A,增益!$B:$B,0))</f>
        <v>0.9741</v>
      </c>
      <c r="AM127" s="30" cm="1">
        <f t="array" ref="AM127">VLOOKUP($Q127,武学奇术!$A:$ZZ,5,FALSE)+SUM(_xlfn.XLOOKUP($R127:$AF127,增益!$A:$A,增益!$E:$E,0))</f>
        <v>0</v>
      </c>
      <c r="AN127" cm="1">
        <f t="array" ref="AN127">$D$10*(1+$AM127)+VLOOKUP($Q127,武学奇术!$A:$ZZ,3,FALSE)+SUM(_xlfn.XLOOKUP($R127:$AF127,增益!$A:$A,增益!$C:$C,0))-$I$2</f>
        <v>3483.8</v>
      </c>
      <c r="AO127" cm="1">
        <f t="array" ref="AO127">$E$10*(1+$AM127)+VLOOKUP($Q127,武学奇术!$A:$ZZ,4,FALSE)+SUM(_xlfn.XLOOKUP($R127:$AF127,增益!$A:$A,增益!$D:$D,0))-$I$2</f>
        <v>3483.8</v>
      </c>
      <c r="AP127" s="35" cm="1">
        <f t="array" ref="AP127">IF($F$10-$I$3+VLOOKUP($Q127,武学奇术!$A:$ZZ,6,FALSE)+SUM(_xlfn.XLOOKUP(R127:AF127,增益!$A:$A,增益!$F:$F,0))&gt;0,($F$10-$I$3+VLOOKUP($Q127,武学奇术!$A:$ZZ,6,FALSE)+SUM(_xlfn.XLOOKUP(R127:AF127,增益!$A:$A,增益!$F:$F,0)))/200,($F$10-$I$3+VLOOKUP($Q127,武学奇术!$A:$ZZ,6,FALSE)+SUM(_xlfn.XLOOKUP(R127:AF127,增益!$A:$A,增益!$F:$F,0)))/100)</f>
        <v>0.4175</v>
      </c>
      <c r="AQ127" s="35" cm="1">
        <f t="array" ref="AQ127">$G$10+VLOOKUP($Q127,武学奇术!$A:$ZZ,7,FALSE)+SUM(_xlfn.XLOOKUP(R127:AF127,增益!$A:$A,增益!$G:$G,0))</f>
        <v>0.148</v>
      </c>
      <c r="AR127" s="30" cm="1">
        <f t="array" ref="AR127">VLOOKUP($Q127,武学奇术!$A:$ZZ,8,FALSE)+SUM(_xlfn.XLOOKUP(R127:AF127,增益!$A:$A,增益!$H:$H,0))</f>
        <v>0</v>
      </c>
      <c r="AS127">
        <f t="shared" si="13"/>
        <v>0</v>
      </c>
      <c r="AT127">
        <f t="shared" si="14"/>
        <v>0</v>
      </c>
      <c r="AU127" s="35" cm="1">
        <f t="array" ref="AU127">IF($F$11-$I$4+VLOOKUP($Q127,武学奇术!$A:$ZZ,9,FALSE)+SUM(_xlfn.XLOOKUP(R127:AF127,增益!$A:$A,增益!$I:$I,0))&gt;0,($F$11-$I$4+VLOOKUP($Q127,武学奇术!$A:$ZZ,9,FALSE)+SUM(_xlfn.XLOOKUP(R127:AF127,增益!$A:$A,增益!$I:$I,0)))/200,($F$11-$I$4+VLOOKUP($Q127,武学奇术!$A:$ZZ,9,FALSE)+SUM(_xlfn.XLOOKUP(R127:AF127,增益!$A:$A,增益!$I:$I,0)))/100)</f>
        <v>-0.3</v>
      </c>
      <c r="AV127" s="35" cm="1">
        <f t="array" ref="AV127">$G$11+VLOOKUP($Q127,武学奇术!$A:$ZZ,10,FALSE)+SUM(_xlfn.XLOOKUP(R127:AF127,增益!$A:$A,增益!$J:$J,0))</f>
        <v>0</v>
      </c>
      <c r="AW127">
        <f t="shared" si="15"/>
        <v>0</v>
      </c>
      <c r="AX127">
        <f t="shared" si="16"/>
        <v>0</v>
      </c>
      <c r="AY127" s="35" cm="1">
        <f t="array" ref="AY127">IF($F$12-$I$4+VLOOKUP($Q127,武学奇术!$A:$ZZ,11,FALSE)+SUM(_xlfn.XLOOKUP(R127:AF127,增益!$A:$A,增益!$K:$K,0))&gt;0,($F$12-$I$4+VLOOKUP($Q127,武学奇术!$A:$ZZ,11,FALSE)+SUM(_xlfn.XLOOKUP(R127:AF127,增益!$A:$A,增益!$K:$K,0)))/200,($F$12-$I$4+VLOOKUP($Q127,武学奇术!$A:$ZZ,11,FALSE)+SUM(_xlfn.XLOOKUP(R127:AF127,增益!$A:$A,增益!$K:$K,0)))/100)</f>
        <v>-0.3</v>
      </c>
      <c r="AZ127" s="35" cm="1">
        <f t="array" ref="AZ127">$G$12+VLOOKUP($Q127,武学奇术!$A:$ZZ,12,FALSE)+SUM(_xlfn.XLOOKUP(R127:AF127,增益!$A:$A,增益!$L:$L,0))</f>
        <v>0</v>
      </c>
      <c r="BA127">
        <f t="shared" si="17"/>
        <v>0</v>
      </c>
      <c r="BB127">
        <f t="shared" si="18"/>
        <v>0</v>
      </c>
      <c r="BC127" s="35" cm="1">
        <f t="array" ref="BC127">IF($F$13-$I$4+VLOOKUP($Q127,武学奇术!$A:$ZZ,13,FALSE)+SUM(_xlfn.XLOOKUP(R127:AF127,增益!$A:$A,增益!$M:$M,0))&gt;0,($F$13-$I$4+VLOOKUP($Q127,武学奇术!$A:$ZZ,13,FALSE)+SUM(_xlfn.XLOOKUP(R127:AF127,增益!$A:$A,增益!$K:$K,0)))/200,($F$13-$I$4+VLOOKUP($Q127,武学奇术!$A:$ZZ,13,FALSE)+SUM(_xlfn.XLOOKUP(R127:AF127,增益!$A:$A,增益!$M:$M,0)))/100)</f>
        <v>-0.3</v>
      </c>
      <c r="BD127" s="35" cm="1">
        <f t="array" ref="BD127">$G$13+VLOOKUP($Q127,武学奇术!$A:$ZZ,14,FALSE)+SUM(_xlfn.XLOOKUP(R127:AF127,增益!$A:$A,增益!$N:$N,0))</f>
        <v>0</v>
      </c>
      <c r="BE127">
        <f t="shared" si="19"/>
        <v>538</v>
      </c>
      <c r="BF127">
        <f t="shared" si="20"/>
        <v>1561.4</v>
      </c>
      <c r="BG127" s="35" cm="1">
        <f t="array" ref="BG127">IF($F$14-$I$4+VLOOKUP($Q127,武学奇术!$A:$ZZ,15,FALSE)+SUM(_xlfn.XLOOKUP(R127:AF127,增益!$A:$A,增益!$O:$O,0))&gt;0,($F$14-$I$4+VLOOKUP($Q127,武学奇术!$A:$ZZ,15,FALSE)+SUM(_xlfn.XLOOKUP(R127:AF127,增益!$A:$A,增益!$O:$O,0)))/200,($F$14-$I$4+VLOOKUP($Q127,武学奇术!$A:$ZZ,15,FALSE)+SUM(_xlfn.XLOOKUP(R127:AF127,增益!$A:$A,增益!$O:$O,0)))/100)</f>
        <v>0</v>
      </c>
      <c r="BH127" s="35" cm="1">
        <f t="array" ref="BH127">$G$14+VLOOKUP($Q127,武学奇术!$A:$ZZ,16,FALSE)+SUM(_xlfn.XLOOKUP(R127:AF127,增益!$A:$A,增益!$P:$P,0))</f>
        <v>0.27</v>
      </c>
      <c r="BI127" s="30">
        <f>MIN(IF(VLOOKUP($Q127,武学奇术!$A:$ZZ,23,FALSE)=1,100%,$B$8),100%)</f>
        <v>0.9712</v>
      </c>
      <c r="BJ127" s="30" cm="1">
        <f t="array" ref="BJ127">IF(VLOOKUP($Q127,武学奇术!$A:$ZZ,23,FALSE)=1,100%,MIN(80%,$B$9+VLOOKUP($Q127,武学奇术!$A:$ZZ,17,FALSE)+SUM(_xlfn.XLOOKUP(R127:AF127,增益!$A:$A,增益!$Q:$Q,0)))+$B$11+SUM(_xlfn.XLOOKUP(R127:AF127,增益!$A:$A,增益!$U:$U,0)))*IF(VLOOKUP($Q127,武学奇术!$A:$ZZ,24,FALSE)=1,0,1)</f>
        <v>0.8773</v>
      </c>
      <c r="BK127" s="30" cm="1">
        <f t="array" ref="BK127">1+$B$13+VLOOKUP($Q127,武学奇术!$A:$ZZ,18,FALSE)+SUM(_xlfn.XLOOKUP(R127:AF127,增益!$A:$A,增益!$R:$R,0))</f>
        <v>2.12</v>
      </c>
      <c r="BL127" s="30" cm="1">
        <f t="array" ref="BL127">IF(VLOOKUP($Q127,武学奇术!$A:$ZZ,24,FALSE)=1,100%,MIN(40%,$B$10+VLOOKUP($Q127,武学奇术!$A:$ZZ,19,FALSE)+SUM(_xlfn.XLOOKUP(R127:AF127,增益!$A:$A,增益!$S:$S,0)))+$B$12+SUM(_xlfn.XLOOKUP(R127:AF127,增益!$A:$A,增益!$V:$V,0)))*IF(VLOOKUP($Q127,武学奇术!$A:$ZZ,23,FALSE)=1,0,1)</f>
        <v>0.0895</v>
      </c>
      <c r="BM127" s="30" cm="1">
        <f t="array" ref="BM127">1+$B$14+VLOOKUP($Q127,武学奇术!$A:$ZZ,20,FALSE)+SUM(_xlfn.XLOOKUP(R127:AF127,增益!$A:$A,增益!$T:$T,0))</f>
        <v>1.35</v>
      </c>
      <c r="BN127" s="30">
        <f t="shared" si="21"/>
        <v>0.85203376</v>
      </c>
      <c r="BO127" s="30">
        <f t="shared" si="22"/>
        <v>0.03224384</v>
      </c>
      <c r="BP127" s="30">
        <f>IF(VLOOKUP($Q127,武学奇术!$A:$ZZ,22,FALSE)=1,0,(1-$BI127))*(1-$BL127)</f>
        <v>0.0262224</v>
      </c>
      <c r="BQ127" s="30" cm="1">
        <f t="array" ref="BQ127">SUM(_xlfn.XLOOKUP(R127:AF127,增益!$A:$A,增益!$W:$W,0))+$I$5</f>
        <v>0.21</v>
      </c>
    </row>
    <row r="128" spans="11:69">
      <c r="K128" s="41">
        <f t="shared" si="25"/>
        <v>62198.8231816221</v>
      </c>
      <c r="L128" s="41">
        <f>((($AN128+$AO128)/2*$AH128+$AI128)*(1+$AP128)*(1+$AQ128)+(($AS128+$AT128)/2*IF($G$1="鸣金",$AJ128,$AH128)+IF($G$1="鸣金",$AK128*1.5,0))*(1+$AU128)*(1+$AV128)+(($AW128+$AX128)/2*IF($G$1="裂石",$AJ128,$AH128)+IF($G$1="裂石",$AK128*1.5,0))*(1+$AY128)*(1+$AZ128)+(($BA128+$BB128)/2*IF($G$1="牵丝",$AJ128,$AH128)+IF($G$1="牵丝",$AK128*1.5,0))*(1+$BC128)*(1+$BD128)+(($BE128+$BF128)/2*IF($G$1="破竹",$AJ128,$AH128)+IF($G$1="破竹",$AK128*1.5,0))*(1+$BG128)*(1+$BH128))*(1+$AL128)*$BK128*$P128*(1+IF(VLOOKUP($Q128,武学奇术!$A:$ZZ,30,FALSE)="回旋伞",$B$21,0))*(1+$BQ128)</f>
        <v>62198.8231816221</v>
      </c>
      <c r="M128" s="41">
        <f>(($AO128*$AH128+$AI128)*(1+$AP128)*(1+$AQ128)+($AT128*IF($G$1="鸣金",$AJ128,$AH128)+IF($G$1="鸣金",$AK128*1.5,0))*(1+$AU128)*(1+$AV128)+($AX128*IF($G$1="裂石",$AJ128,$AH128)+IF($G$1="裂石",$AK128*1.5,0))*(1+$AY128)*(1+$AZ128)+($BB128*IF($G$1="牵丝",$AJ128,$AH128)+IF($G$1="牵丝",$AK128*1.5,0))*(1+$BC128)*(1+$BD128)+($BF128*IF($G$1="破竹",$AJ128,$AH128)+IF($G$1="破竹",$AK128*1.5,0))*(1+$BG128)*(1+$BH128))*(1+$AL128)*$BM128*$P128*(1+IF(VLOOKUP($Q128,武学奇术!$A:$ZZ,30,FALSE)="回旋伞",$B$21,0))*(1+$BQ128)</f>
        <v>44332.6303900556</v>
      </c>
      <c r="N128" s="41">
        <f>((($AN128+$AO128)/2*$AH128+$AI128)*(1+$AP128)*(1+$AQ128)+(($AS128+$AT128)/2*IF($G$1="鸣金",$AJ128,$AH128)+IF($G$1="鸣金",$AK128*1.5,0))*(1+$AU128)*(1+$AV128)+(($AW128+$AX128)/2*IF($G$1="裂石",$AJ128,$AH128)+IF($G$1="裂石",$AK128*1.5,0))*(1+$AY128)*(1+$AZ128)+(($BA128+$BB128)/2*IF($G$1="牵丝",$AJ128,$AH128)+IF($G$1="牵丝",$AK128*1.5,0))*(1+$BC128)*(1+$BD128)+(($BE128+$BF128)/2*IF($G$1="破竹",$AJ128,$AH128)+IF($G$1="破竹",$AK128*1.5,0))*(1+$BG128)*(1+$BH128))*(1+$AL128)*$P128*(1+IF(VLOOKUP($Q128,武学奇术!$A:$ZZ,30,FALSE)="回旋伞",$B$21,0))*(1+$BQ128)</f>
        <v>29339.067538501</v>
      </c>
      <c r="O128" s="41">
        <f>((($AN128*$AH128+$AI128)*(1+$AP128)*(1+$AQ128)+($AS128*IF($G$1="鸣金",$AJ128,$AH128)+IF($G$1="鸣金",$AK128*1.5,0))*(1+$AU128)*(1+$AV128)+($AW128*IF($G$1="裂石",$AJ128,$AH128)+IF($G$1="裂石",$AK128*1.5,0))*(1+$AY128)*(1+$AZ128)+($BA128*IF($G$1="牵丝",$AJ128,$AH128)+IF($G$1="牵丝",$AK128*1.5,0))*(1+$BC128)*(1+$BD128)+($BE128*IF($G$1="破竹",$AJ128,$AH128)+IF($G$1="破竹",$AK128*1.5,0))*(1+$BG128)*(1+$BH128))*(1+$AL128))*$P128*(1+IF(VLOOKUP($Q128,武学奇术!$A:$ZZ,30,FALSE)="回旋伞",$B$21,0))*(1+$BQ128)</f>
        <v>25839.1496028868</v>
      </c>
      <c r="P128" s="42">
        <v>1</v>
      </c>
      <c r="Q128" s="43" t="s">
        <v>150</v>
      </c>
      <c r="R128" s="43" t="s">
        <v>71</v>
      </c>
      <c r="S128" s="43" t="s">
        <v>91</v>
      </c>
      <c r="T128" s="43" t="s">
        <v>72</v>
      </c>
      <c r="U128" s="43" t="s">
        <v>71</v>
      </c>
      <c r="V128" s="43" t="s">
        <v>167</v>
      </c>
      <c r="W128" s="43" t="s">
        <v>95</v>
      </c>
      <c r="X128" s="43" t="s">
        <v>82</v>
      </c>
      <c r="Y128" s="43" t="s">
        <v>71</v>
      </c>
      <c r="Z128" s="43" t="s">
        <v>71</v>
      </c>
      <c r="AA128" s="43" t="s">
        <v>71</v>
      </c>
      <c r="AB128" s="43" t="s">
        <v>179</v>
      </c>
      <c r="AC128" s="43" t="s">
        <v>71</v>
      </c>
      <c r="AD128" s="43" t="s">
        <v>71</v>
      </c>
      <c r="AE128" s="43" t="s">
        <v>71</v>
      </c>
      <c r="AF128" s="43" t="s">
        <v>76</v>
      </c>
      <c r="AG128" t="str">
        <f>VLOOKUP($Q128,武学奇术!$A:$ZZ,25,FALSE)</f>
        <v>绳镖</v>
      </c>
      <c r="AH128" s="30">
        <f>VLOOKUP($Q128,武学奇术!$A:$ZZ,26,FALSE)</f>
        <v>2.2987</v>
      </c>
      <c r="AI128" s="31">
        <f>VLOOKUP($Q128,武学奇术!$A:$ZZ,27,FALSE)*(1+IF(OR($AG128=$F$4,$AG128=$F$5),$B$22,0))</f>
        <v>891.8</v>
      </c>
      <c r="AJ128" s="30">
        <f>VLOOKUP($Q128,武学奇术!$A:$ZZ,28,FALSE)</f>
        <v>3.448</v>
      </c>
      <c r="AK128" s="31">
        <f>VLOOKUP($Q128,武学奇术!$A:$ZZ,29,FALSE)*(1+IF(OR($AG128=$F$4,$AG128=$F$5),$B$22,0))</f>
        <v>485.8</v>
      </c>
      <c r="AL128" s="30" cm="1">
        <f t="array" ref="AL128">$G$3+IFERROR(VLOOKUP($AG128,$F$4:$G$7,2,FALSE),0)+VLOOKUP($Q128,武学奇术!$A:$ZZ,2,FALSE)+SUM(_xlfn.XLOOKUP($R128:$AF128,增益!$A:$A,增益!$B:$B,0))</f>
        <v>0.4389</v>
      </c>
      <c r="AM128" s="30" cm="1">
        <f t="array" ref="AM128">VLOOKUP($Q128,武学奇术!$A:$ZZ,5,FALSE)+SUM(_xlfn.XLOOKUP($R128:$AF128,增益!$A:$A,增益!$E:$E,0))</f>
        <v>0</v>
      </c>
      <c r="AN128" cm="1">
        <f t="array" ref="AN128">$D$10*(1+$AM128)+VLOOKUP($Q128,武学奇术!$A:$ZZ,3,FALSE)+SUM(_xlfn.XLOOKUP($R128:$AF128,增益!$A:$A,增益!$C:$C,0))-$I$2</f>
        <v>3483.8</v>
      </c>
      <c r="AO128" cm="1">
        <f t="array" ref="AO128">$E$10*(1+$AM128)+VLOOKUP($Q128,武学奇术!$A:$ZZ,4,FALSE)+SUM(_xlfn.XLOOKUP($R128:$AF128,增益!$A:$A,增益!$D:$D,0))-$I$2</f>
        <v>3483.8</v>
      </c>
      <c r="AP128" s="35" cm="1">
        <f t="array" ref="AP128">IF($F$10-$I$3+VLOOKUP($Q128,武学奇术!$A:$ZZ,6,FALSE)+SUM(_xlfn.XLOOKUP(R128:AF128,增益!$A:$A,增益!$F:$F,0))&gt;0,($F$10-$I$3+VLOOKUP($Q128,武学奇术!$A:$ZZ,6,FALSE)+SUM(_xlfn.XLOOKUP(R128:AF128,增益!$A:$A,增益!$F:$F,0)))/200,($F$10-$I$3+VLOOKUP($Q128,武学奇术!$A:$ZZ,6,FALSE)+SUM(_xlfn.XLOOKUP(R128:AF128,增益!$A:$A,增益!$F:$F,0)))/100)</f>
        <v>0.4175</v>
      </c>
      <c r="AQ128" s="35" cm="1">
        <f t="array" ref="AQ128">$G$10+VLOOKUP($Q128,武学奇术!$A:$ZZ,7,FALSE)+SUM(_xlfn.XLOOKUP(R128:AF128,增益!$A:$A,增益!$G:$G,0))</f>
        <v>0.028</v>
      </c>
      <c r="AR128" s="30" cm="1">
        <f t="array" ref="AR128">VLOOKUP($Q128,武学奇术!$A:$ZZ,8,FALSE)+SUM(_xlfn.XLOOKUP(R128:AF128,增益!$A:$A,增益!$H:$H,0))</f>
        <v>0</v>
      </c>
      <c r="AS128">
        <f t="shared" si="13"/>
        <v>0</v>
      </c>
      <c r="AT128">
        <f t="shared" si="14"/>
        <v>0</v>
      </c>
      <c r="AU128" s="35" cm="1">
        <f t="array" ref="AU128">IF($F$11-$I$4+VLOOKUP($Q128,武学奇术!$A:$ZZ,9,FALSE)+SUM(_xlfn.XLOOKUP(R128:AF128,增益!$A:$A,增益!$I:$I,0))&gt;0,($F$11-$I$4+VLOOKUP($Q128,武学奇术!$A:$ZZ,9,FALSE)+SUM(_xlfn.XLOOKUP(R128:AF128,增益!$A:$A,增益!$I:$I,0)))/200,($F$11-$I$4+VLOOKUP($Q128,武学奇术!$A:$ZZ,9,FALSE)+SUM(_xlfn.XLOOKUP(R128:AF128,增益!$A:$A,增益!$I:$I,0)))/100)</f>
        <v>-0.14</v>
      </c>
      <c r="AV128" s="35" cm="1">
        <f t="array" ref="AV128">$G$11+VLOOKUP($Q128,武学奇术!$A:$ZZ,10,FALSE)+SUM(_xlfn.XLOOKUP(R128:AF128,增益!$A:$A,增益!$J:$J,0))</f>
        <v>0</v>
      </c>
      <c r="AW128">
        <f t="shared" si="15"/>
        <v>0</v>
      </c>
      <c r="AX128">
        <f t="shared" si="16"/>
        <v>0</v>
      </c>
      <c r="AY128" s="35" cm="1">
        <f t="array" ref="AY128">IF($F$12-$I$4+VLOOKUP($Q128,武学奇术!$A:$ZZ,11,FALSE)+SUM(_xlfn.XLOOKUP(R128:AF128,增益!$A:$A,增益!$K:$K,0))&gt;0,($F$12-$I$4+VLOOKUP($Q128,武学奇术!$A:$ZZ,11,FALSE)+SUM(_xlfn.XLOOKUP(R128:AF128,增益!$A:$A,增益!$K:$K,0)))/200,($F$12-$I$4+VLOOKUP($Q128,武学奇术!$A:$ZZ,11,FALSE)+SUM(_xlfn.XLOOKUP(R128:AF128,增益!$A:$A,增益!$K:$K,0)))/100)</f>
        <v>-0.14</v>
      </c>
      <c r="AZ128" s="35" cm="1">
        <f t="array" ref="AZ128">$G$12+VLOOKUP($Q128,武学奇术!$A:$ZZ,12,FALSE)+SUM(_xlfn.XLOOKUP(R128:AF128,增益!$A:$A,增益!$L:$L,0))</f>
        <v>0</v>
      </c>
      <c r="BA128">
        <f t="shared" si="17"/>
        <v>0</v>
      </c>
      <c r="BB128">
        <f t="shared" si="18"/>
        <v>0</v>
      </c>
      <c r="BC128" s="35" cm="1">
        <f t="array" ref="BC128">IF($F$13-$I$4+VLOOKUP($Q128,武学奇术!$A:$ZZ,13,FALSE)+SUM(_xlfn.XLOOKUP(R128:AF128,增益!$A:$A,增益!$M:$M,0))&gt;0,($F$13-$I$4+VLOOKUP($Q128,武学奇术!$A:$ZZ,13,FALSE)+SUM(_xlfn.XLOOKUP(R128:AF128,增益!$A:$A,增益!$K:$K,0)))/200,($F$13-$I$4+VLOOKUP($Q128,武学奇术!$A:$ZZ,13,FALSE)+SUM(_xlfn.XLOOKUP(R128:AF128,增益!$A:$A,增益!$M:$M,0)))/100)</f>
        <v>-0.14</v>
      </c>
      <c r="BD128" s="35" cm="1">
        <f t="array" ref="BD128">$G$13+VLOOKUP($Q128,武学奇术!$A:$ZZ,14,FALSE)+SUM(_xlfn.XLOOKUP(R128:AF128,增益!$A:$A,增益!$N:$N,0))</f>
        <v>0</v>
      </c>
      <c r="BE128">
        <f t="shared" si="19"/>
        <v>538</v>
      </c>
      <c r="BF128">
        <f t="shared" si="20"/>
        <v>1561.4</v>
      </c>
      <c r="BG128" s="35" cm="1">
        <f t="array" ref="BG128">IF($F$14-$I$4+VLOOKUP($Q128,武学奇术!$A:$ZZ,15,FALSE)+SUM(_xlfn.XLOOKUP(R128:AF128,增益!$A:$A,增益!$O:$O,0))&gt;0,($F$14-$I$4+VLOOKUP($Q128,武学奇术!$A:$ZZ,15,FALSE)+SUM(_xlfn.XLOOKUP(R128:AF128,增益!$A:$A,增益!$O:$O,0)))/200,($F$14-$I$4+VLOOKUP($Q128,武学奇术!$A:$ZZ,15,FALSE)+SUM(_xlfn.XLOOKUP(R128:AF128,增益!$A:$A,增益!$O:$O,0)))/100)</f>
        <v>0.08</v>
      </c>
      <c r="BH128" s="35" cm="1">
        <f t="array" ref="BH128">$G$14+VLOOKUP($Q128,武学奇术!$A:$ZZ,16,FALSE)+SUM(_xlfn.XLOOKUP(R128:AF128,增益!$A:$A,增益!$P:$P,0))</f>
        <v>0.15</v>
      </c>
      <c r="BI128" s="30">
        <f>MIN(IF(VLOOKUP($Q128,武学奇术!$A:$ZZ,23,FALSE)=1,100%,$B$8),100%)</f>
        <v>1</v>
      </c>
      <c r="BJ128" s="30" cm="1">
        <f t="array" ref="BJ128">IF(VLOOKUP($Q128,武学奇术!$A:$ZZ,23,FALSE)=1,100%,MIN(80%,$B$9+VLOOKUP($Q128,武学奇术!$A:$ZZ,17,FALSE)+SUM(_xlfn.XLOOKUP(R128:AF128,增益!$A:$A,增益!$Q:$Q,0)))+$B$11+SUM(_xlfn.XLOOKUP(R128:AF128,增益!$A:$A,增益!$U:$U,0)))*IF(VLOOKUP($Q128,武学奇术!$A:$ZZ,24,FALSE)=1,0,1)</f>
        <v>1</v>
      </c>
      <c r="BK128" s="30" cm="1">
        <f t="array" ref="BK128">1+$B$13+VLOOKUP($Q128,武学奇术!$A:$ZZ,18,FALSE)+SUM(_xlfn.XLOOKUP(R128:AF128,增益!$A:$A,增益!$R:$R,0))</f>
        <v>2.12</v>
      </c>
      <c r="BL128" s="30" cm="1">
        <f t="array" ref="BL128">IF(VLOOKUP($Q128,武学奇术!$A:$ZZ,24,FALSE)=1,100%,MIN(40%,$B$10+VLOOKUP($Q128,武学奇术!$A:$ZZ,19,FALSE)+SUM(_xlfn.XLOOKUP(R128:AF128,增益!$A:$A,增益!$S:$S,0)))+$B$12+SUM(_xlfn.XLOOKUP(R128:AF128,增益!$A:$A,增益!$V:$V,0)))*IF(VLOOKUP($Q128,武学奇术!$A:$ZZ,23,FALSE)=1,0,1)</f>
        <v>0</v>
      </c>
      <c r="BM128" s="30" cm="1">
        <f t="array" ref="BM128">1+$B$14+VLOOKUP($Q128,武学奇术!$A:$ZZ,20,FALSE)+SUM(_xlfn.XLOOKUP(R128:AF128,增益!$A:$A,增益!$T:$T,0))</f>
        <v>1.35</v>
      </c>
      <c r="BN128" s="30">
        <f t="shared" si="21"/>
        <v>1</v>
      </c>
      <c r="BO128" s="30">
        <f t="shared" si="22"/>
        <v>0</v>
      </c>
      <c r="BP128" s="30">
        <f>IF(VLOOKUP($Q128,武学奇术!$A:$ZZ,22,FALSE)=1,0,(1-$BI128))*(1-$BL128)</f>
        <v>0</v>
      </c>
      <c r="BQ128" s="30" cm="1">
        <f t="array" ref="BQ128">SUM(_xlfn.XLOOKUP(R128:AF128,增益!$A:$A,增益!$W:$W,0))+$I$5</f>
        <v>0.11</v>
      </c>
    </row>
    <row r="129" spans="11:69">
      <c r="K129" s="89">
        <f>(SUM(K113:K128)+K150+K151)*10%</f>
        <v>237693.705559709</v>
      </c>
      <c r="L129" s="41">
        <f>((($AN129+$AO129)/2*$AH129+$AI129)*(1+$AP129)*(1+$AQ129)+(($AS129+$AT129)/2*IF($G$1="鸣金",$AJ129,$AH129)+IF($G$1="鸣金",$AK129*1.5,0))*(1+$AU129)*(1+$AV129)+(($AW129+$AX129)/2*IF($G$1="裂石",$AJ129,$AH129)+IF($G$1="裂石",$AK129*1.5,0))*(1+$AY129)*(1+$AZ129)+(($BA129+$BB129)/2*IF($G$1="牵丝",$AJ129,$AH129)+IF($G$1="牵丝",$AK129*1.5,0))*(1+$BC129)*(1+$BD129)+(($BE129+$BF129)/2*IF($G$1="破竹",$AJ129,$AH129)+IF($G$1="破竹",$AK129*1.5,0))*(1+$BG129)*(1+$BH129))*(1+$AL129)*$BK129*$P129*(1+IF(VLOOKUP($Q129,武学奇术!$A:$ZZ,30,FALSE)="回旋伞",$B$21,0))*(1+$BQ129)</f>
        <v>0</v>
      </c>
      <c r="M129" s="41">
        <f>(($AO129*$AH129+$AI129)*(1+$AP129)*(1+$AQ129)+($AT129*IF($G$1="鸣金",$AJ129,$AH129)+IF($G$1="鸣金",$AK129*1.5,0))*(1+$AU129)*(1+$AV129)+($AX129*IF($G$1="裂石",$AJ129,$AH129)+IF($G$1="裂石",$AK129*1.5,0))*(1+$AY129)*(1+$AZ129)+($BB129*IF($G$1="牵丝",$AJ129,$AH129)+IF($G$1="牵丝",$AK129*1.5,0))*(1+$BC129)*(1+$BD129)+($BF129*IF($G$1="破竹",$AJ129,$AH129)+IF($G$1="破竹",$AK129*1.5,0))*(1+$BG129)*(1+$BH129))*(1+$AL129)*$BM129*$P129*(1+IF(VLOOKUP($Q129,武学奇术!$A:$ZZ,30,FALSE)="回旋伞",$B$21,0))*(1+$BQ129)</f>
        <v>0</v>
      </c>
      <c r="N129" s="41">
        <f>((($AN129+$AO129)/2*$AH129+$AI129)*(1+$AP129)*(1+$AQ129)+(($AS129+$AT129)/2*IF($G$1="鸣金",$AJ129,$AH129)+IF($G$1="鸣金",$AK129*1.5,0))*(1+$AU129)*(1+$AV129)+(($AW129+$AX129)/2*IF($G$1="裂石",$AJ129,$AH129)+IF($G$1="裂石",$AK129*1.5,0))*(1+$AY129)*(1+$AZ129)+(($BA129+$BB129)/2*IF($G$1="牵丝",$AJ129,$AH129)+IF($G$1="牵丝",$AK129*1.5,0))*(1+$BC129)*(1+$BD129)+(($BE129+$BF129)/2*IF($G$1="破竹",$AJ129,$AH129)+IF($G$1="破竹",$AK129*1.5,0))*(1+$BG129)*(1+$BH129))*(1+$AL129)*$P129*(1+IF(VLOOKUP($Q129,武学奇术!$A:$ZZ,30,FALSE)="回旋伞",$B$21,0))*(1+$BQ129)</f>
        <v>0</v>
      </c>
      <c r="O129" s="41">
        <f>((($AN129*$AH129+$AI129)*(1+$AP129)*(1+$AQ129)+($AS129*IF($G$1="鸣金",$AJ129,$AH129)+IF($G$1="鸣金",$AK129*1.5,0))*(1+$AU129)*(1+$AV129)+($AW129*IF($G$1="裂石",$AJ129,$AH129)+IF($G$1="裂石",$AK129*1.5,0))*(1+$AY129)*(1+$AZ129)+($BA129*IF($G$1="牵丝",$AJ129,$AH129)+IF($G$1="牵丝",$AK129*1.5,0))*(1+$BC129)*(1+$BD129)+($BE129*IF($G$1="破竹",$AJ129,$AH129)+IF($G$1="破竹",$AK129*1.5,0))*(1+$BG129)*(1+$BH129))*(1+$AL129))*$P129*(1+IF(VLOOKUP($Q129,武学奇术!$A:$ZZ,30,FALSE)="回旋伞",$B$21,0))*(1+$BQ129)</f>
        <v>0</v>
      </c>
      <c r="P129" s="42">
        <v>1</v>
      </c>
      <c r="Q129" s="43" t="s">
        <v>152</v>
      </c>
      <c r="R129" s="43" t="s">
        <v>71</v>
      </c>
      <c r="S129" s="43" t="s">
        <v>71</v>
      </c>
      <c r="T129" s="43" t="s">
        <v>71</v>
      </c>
      <c r="U129" s="43" t="s">
        <v>71</v>
      </c>
      <c r="V129" s="43" t="s">
        <v>71</v>
      </c>
      <c r="W129" s="43" t="s">
        <v>71</v>
      </c>
      <c r="X129" s="43" t="s">
        <v>71</v>
      </c>
      <c r="Y129" s="43" t="s">
        <v>71</v>
      </c>
      <c r="Z129" s="43" t="s">
        <v>71</v>
      </c>
      <c r="AA129" s="43" t="s">
        <v>71</v>
      </c>
      <c r="AB129" s="43" t="s">
        <v>71</v>
      </c>
      <c r="AC129" s="43" t="s">
        <v>71</v>
      </c>
      <c r="AD129" s="43" t="s">
        <v>71</v>
      </c>
      <c r="AE129" s="43" t="s">
        <v>71</v>
      </c>
      <c r="AF129" s="43" t="s">
        <v>76</v>
      </c>
      <c r="AG129" t="str">
        <f>VLOOKUP($Q129,武学奇术!$A:$ZZ,25,FALSE)</f>
        <v>心法</v>
      </c>
      <c r="AH129" s="30">
        <f>VLOOKUP($Q129,武学奇术!$A:$ZZ,26,FALSE)</f>
        <v>0</v>
      </c>
      <c r="AI129" s="31">
        <f>VLOOKUP($Q129,武学奇术!$A:$ZZ,27,FALSE)*(1+IF(OR($AG129=$F$4,$AG129=$F$5),$B$22,0))</f>
        <v>0</v>
      </c>
      <c r="AJ129" s="30">
        <f>VLOOKUP($Q129,武学奇术!$A:$ZZ,28,FALSE)</f>
        <v>0</v>
      </c>
      <c r="AK129" s="31">
        <f>VLOOKUP($Q129,武学奇术!$A:$ZZ,29,FALSE)*(1+IF(OR($AG129=$F$4,$AG129=$F$5),$B$22,0))</f>
        <v>0</v>
      </c>
      <c r="AL129" s="30" cm="1">
        <f t="array" ref="AL129">$G$3+IFERROR(VLOOKUP($AG129,$F$4:$G$7,2,FALSE),0)+VLOOKUP($Q129,武学奇术!$A:$ZZ,2,FALSE)+SUM(_xlfn.XLOOKUP($R129:$AF129,增益!$A:$A,增益!$B:$B,0))</f>
        <v>0.1037</v>
      </c>
      <c r="AM129" s="30" cm="1">
        <f t="array" ref="AM129">VLOOKUP($Q129,武学奇术!$A:$ZZ,5,FALSE)+SUM(_xlfn.XLOOKUP($R129:$AF129,增益!$A:$A,增益!$E:$E,0))</f>
        <v>0</v>
      </c>
      <c r="AN129" cm="1">
        <f t="array" ref="AN129">$D$10*(1+$AM129)+VLOOKUP($Q129,武学奇术!$A:$ZZ,3,FALSE)+SUM(_xlfn.XLOOKUP($R129:$AF129,增益!$A:$A,增益!$C:$C,0))-$I$2</f>
        <v>3483.8</v>
      </c>
      <c r="AO129" cm="1">
        <f t="array" ref="AO129">$E$10*(1+$AM129)+VLOOKUP($Q129,武学奇术!$A:$ZZ,4,FALSE)+SUM(_xlfn.XLOOKUP($R129:$AF129,增益!$A:$A,增益!$D:$D,0))-$I$2</f>
        <v>3483.8</v>
      </c>
      <c r="AP129" s="35" cm="1">
        <f t="array" ref="AP129">IF($F$10-$I$3+VLOOKUP($Q129,武学奇术!$A:$ZZ,6,FALSE)+SUM(_xlfn.XLOOKUP(R129:AF129,增益!$A:$A,增益!$F:$F,0))&gt;0,($F$10-$I$3+VLOOKUP($Q129,武学奇术!$A:$ZZ,6,FALSE)+SUM(_xlfn.XLOOKUP(R129:AF129,增益!$A:$A,增益!$F:$F,0)))/200,($F$10-$I$3+VLOOKUP($Q129,武学奇术!$A:$ZZ,6,FALSE)+SUM(_xlfn.XLOOKUP(R129:AF129,增益!$A:$A,增益!$F:$F,0)))/100)</f>
        <v>0.1925</v>
      </c>
      <c r="AQ129" s="35" cm="1">
        <f t="array" ref="AQ129">$G$10+VLOOKUP($Q129,武学奇术!$A:$ZZ,7,FALSE)+SUM(_xlfn.XLOOKUP(R129:AF129,增益!$A:$A,增益!$G:$G,0))</f>
        <v>0.028</v>
      </c>
      <c r="AR129" s="30" cm="1">
        <f t="array" ref="AR129">VLOOKUP($Q129,武学奇术!$A:$ZZ,8,FALSE)+SUM(_xlfn.XLOOKUP(R129:AF129,增益!$A:$A,增益!$H:$H,0))</f>
        <v>0</v>
      </c>
      <c r="AS129">
        <f t="shared" si="13"/>
        <v>0</v>
      </c>
      <c r="AT129">
        <f t="shared" si="14"/>
        <v>0</v>
      </c>
      <c r="AU129" s="35" cm="1">
        <f t="array" ref="AU129">IF($F$11-$I$4+VLOOKUP($Q129,武学奇术!$A:$ZZ,9,FALSE)+SUM(_xlfn.XLOOKUP(R129:AF129,增益!$A:$A,增益!$I:$I,0))&gt;0,($F$11-$I$4+VLOOKUP($Q129,武学奇术!$A:$ZZ,9,FALSE)+SUM(_xlfn.XLOOKUP(R129:AF129,增益!$A:$A,增益!$I:$I,0)))/200,($F$11-$I$4+VLOOKUP($Q129,武学奇术!$A:$ZZ,9,FALSE)+SUM(_xlfn.XLOOKUP(R129:AF129,增益!$A:$A,增益!$I:$I,0)))/100)</f>
        <v>-0.3</v>
      </c>
      <c r="AV129" s="35" cm="1">
        <f t="array" ref="AV129">$G$11+VLOOKUP($Q129,武学奇术!$A:$ZZ,10,FALSE)+SUM(_xlfn.XLOOKUP(R129:AF129,增益!$A:$A,增益!$J:$J,0))</f>
        <v>0</v>
      </c>
      <c r="AW129">
        <f t="shared" si="15"/>
        <v>0</v>
      </c>
      <c r="AX129">
        <f t="shared" si="16"/>
        <v>0</v>
      </c>
      <c r="AY129" s="35" cm="1">
        <f t="array" ref="AY129">IF($F$12-$I$4+VLOOKUP($Q129,武学奇术!$A:$ZZ,11,FALSE)+SUM(_xlfn.XLOOKUP(R129:AF129,增益!$A:$A,增益!$K:$K,0))&gt;0,($F$12-$I$4+VLOOKUP($Q129,武学奇术!$A:$ZZ,11,FALSE)+SUM(_xlfn.XLOOKUP(R129:AF129,增益!$A:$A,增益!$K:$K,0)))/200,($F$12-$I$4+VLOOKUP($Q129,武学奇术!$A:$ZZ,11,FALSE)+SUM(_xlfn.XLOOKUP(R129:AF129,增益!$A:$A,增益!$K:$K,0)))/100)</f>
        <v>-0.3</v>
      </c>
      <c r="AZ129" s="35" cm="1">
        <f t="array" ref="AZ129">$G$12+VLOOKUP($Q129,武学奇术!$A:$ZZ,12,FALSE)+SUM(_xlfn.XLOOKUP(R129:AF129,增益!$A:$A,增益!$L:$L,0))</f>
        <v>0</v>
      </c>
      <c r="BA129">
        <f t="shared" si="17"/>
        <v>0</v>
      </c>
      <c r="BB129">
        <f t="shared" si="18"/>
        <v>0</v>
      </c>
      <c r="BC129" s="35" cm="1">
        <f t="array" ref="BC129">IF($F$13-$I$4+VLOOKUP($Q129,武学奇术!$A:$ZZ,13,FALSE)+SUM(_xlfn.XLOOKUP(R129:AF129,增益!$A:$A,增益!$M:$M,0))&gt;0,($F$13-$I$4+VLOOKUP($Q129,武学奇术!$A:$ZZ,13,FALSE)+SUM(_xlfn.XLOOKUP(R129:AF129,增益!$A:$A,增益!$K:$K,0)))/200,($F$13-$I$4+VLOOKUP($Q129,武学奇术!$A:$ZZ,13,FALSE)+SUM(_xlfn.XLOOKUP(R129:AF129,增益!$A:$A,增益!$M:$M,0)))/100)</f>
        <v>-0.3</v>
      </c>
      <c r="BD129" s="35" cm="1">
        <f t="array" ref="BD129">$G$13+VLOOKUP($Q129,武学奇术!$A:$ZZ,14,FALSE)+SUM(_xlfn.XLOOKUP(R129:AF129,增益!$A:$A,增益!$N:$N,0))</f>
        <v>0</v>
      </c>
      <c r="BE129">
        <f t="shared" si="19"/>
        <v>538</v>
      </c>
      <c r="BF129">
        <f t="shared" si="20"/>
        <v>1561.4</v>
      </c>
      <c r="BG129" s="35" cm="1">
        <f t="array" ref="BG129">IF($F$14-$I$4+VLOOKUP($Q129,武学奇术!$A:$ZZ,15,FALSE)+SUM(_xlfn.XLOOKUP(R129:AF129,增益!$A:$A,增益!$O:$O,0))&gt;0,($F$14-$I$4+VLOOKUP($Q129,武学奇术!$A:$ZZ,15,FALSE)+SUM(_xlfn.XLOOKUP(R129:AF129,增益!$A:$A,增益!$O:$O,0)))/200,($F$14-$I$4+VLOOKUP($Q129,武学奇术!$A:$ZZ,15,FALSE)+SUM(_xlfn.XLOOKUP(R129:AF129,增益!$A:$A,增益!$O:$O,0)))/100)</f>
        <v>0</v>
      </c>
      <c r="BH129" s="35" cm="1">
        <f t="array" ref="BH129">$G$14+VLOOKUP($Q129,武学奇术!$A:$ZZ,16,FALSE)+SUM(_xlfn.XLOOKUP(R129:AF129,增益!$A:$A,增益!$P:$P,0))</f>
        <v>0.15</v>
      </c>
      <c r="BI129" s="30">
        <f>MIN(IF(VLOOKUP($Q129,武学奇术!$A:$ZZ,23,FALSE)=1,100%,$B$8),100%)</f>
        <v>0.9712</v>
      </c>
      <c r="BJ129" s="30" cm="1">
        <f t="array" ref="BJ129">IF(VLOOKUP($Q129,武学奇术!$A:$ZZ,23,FALSE)=1,100%,MIN(80%,$B$9+VLOOKUP($Q129,武学奇术!$A:$ZZ,17,FALSE)+SUM(_xlfn.XLOOKUP(R129:AF129,增益!$A:$A,增益!$Q:$Q,0)))+$B$11+SUM(_xlfn.XLOOKUP(R129:AF129,增益!$A:$A,增益!$U:$U,0)))*IF(VLOOKUP($Q129,武学奇术!$A:$ZZ,24,FALSE)=1,0,1)</f>
        <v>0.8773</v>
      </c>
      <c r="BK129" s="30" cm="1">
        <f t="array" ref="BK129">1+$B$13+VLOOKUP($Q129,武学奇术!$A:$ZZ,18,FALSE)+SUM(_xlfn.XLOOKUP(R129:AF129,增益!$A:$A,增益!$R:$R,0))</f>
        <v>1.5</v>
      </c>
      <c r="BL129" s="30" cm="1">
        <f t="array" ref="BL129">IF(VLOOKUP($Q129,武学奇术!$A:$ZZ,24,FALSE)=1,100%,MIN(40%,$B$10+VLOOKUP($Q129,武学奇术!$A:$ZZ,19,FALSE)+SUM(_xlfn.XLOOKUP(R129:AF129,增益!$A:$A,增益!$S:$S,0)))+$B$12+SUM(_xlfn.XLOOKUP(R129:AF129,增益!$A:$A,增益!$V:$V,0)))*IF(VLOOKUP($Q129,武学奇术!$A:$ZZ,23,FALSE)=1,0,1)</f>
        <v>0.0895</v>
      </c>
      <c r="BM129" s="30" cm="1">
        <f t="array" ref="BM129">1+$B$14+VLOOKUP($Q129,武学奇术!$A:$ZZ,20,FALSE)+SUM(_xlfn.XLOOKUP(R129:AF129,增益!$A:$A,增益!$T:$T,0))</f>
        <v>1.35</v>
      </c>
      <c r="BN129" s="30">
        <f t="shared" si="21"/>
        <v>0.85203376</v>
      </c>
      <c r="BO129" s="30">
        <f t="shared" si="22"/>
        <v>0.03224384</v>
      </c>
      <c r="BP129" s="30">
        <f>IF(VLOOKUP($Q129,武学奇术!$A:$ZZ,22,FALSE)=1,0,(1-$BI129))*(1-$BL129)</f>
        <v>0.0262224</v>
      </c>
      <c r="BQ129" s="30" cm="1">
        <f t="array" ref="BQ129">SUM(_xlfn.XLOOKUP(R129:AF129,增益!$A:$A,增益!$W:$W,0))+$I$5</f>
        <v>0.11</v>
      </c>
    </row>
    <row r="130" spans="11:69">
      <c r="K130" s="41">
        <f>($L130*$BN130+$M130*$BL130+$N130*$BO130+$O130*$BP130)</f>
        <v>140852.791085458</v>
      </c>
      <c r="L130" s="41">
        <f>((($AN130+$AO130)/2*$AH130+$AI130)*(1+$AP130)*(1+$AQ130)+(($AS130+$AT130)/2*IF($G$1="鸣金",$AJ130,$AH130)+IF($G$1="鸣金",$AK130*1.5,0))*(1+$AU130)*(1+$AV130)+(($AW130+$AX130)/2*IF($G$1="裂石",$AJ130,$AH130)+IF($G$1="裂石",$AK130*1.5,0))*(1+$AY130)*(1+$AZ130)+(($BA130+$BB130)/2*IF($G$1="牵丝",$AJ130,$AH130)+IF($G$1="牵丝",$AK130*1.5,0))*(1+$BC130)*(1+$BD130)+(($BE130+$BF130)/2*IF($G$1="破竹",$AJ130,$AH130)+IF($G$1="破竹",$AK130*1.5,0))*(1+$BG130)*(1+$BH130))*(1+$AL130)*$BK130*$P130*(1+IF(VLOOKUP($Q130,武学奇术!$A:$ZZ,30,FALSE)="回旋伞",$B$21,0))*(1+$BQ130)</f>
        <v>149457.087926755</v>
      </c>
      <c r="M130" s="41">
        <f>(($AO130*$AH130+$AI130)*(1+$AP130)*(1+$AQ130)+($AT130*IF($G$1="鸣金",$AJ130,$AH130)+IF($G$1="鸣金",$AK130*1.5,0))*(1+$AU130)*(1+$AV130)+($AX130*IF($G$1="裂石",$AJ130,$AH130)+IF($G$1="裂石",$AK130*1.5,0))*(1+$AY130)*(1+$AZ130)+($BB130*IF($G$1="牵丝",$AJ130,$AH130)+IF($G$1="牵丝",$AK130*1.5,0))*(1+$BC130)*(1+$BD130)+($BF130*IF($G$1="破竹",$AJ130,$AH130)+IF($G$1="破竹",$AK130*1.5,0))*(1+$BG130)*(1+$BH130))*(1+$AL130)*$BM130*$P130*(1+IF(VLOOKUP($Q130,武学奇术!$A:$ZZ,30,FALSE)="回旋伞",$B$21,0))*(1+$BQ130)</f>
        <v>107595.66343024</v>
      </c>
      <c r="N130" s="41">
        <f>((($AN130+$AO130)/2*$AH130+$AI130)*(1+$AP130)*(1+$AQ130)+(($AS130+$AT130)/2*IF($G$1="鸣金",$AJ130,$AH130)+IF($G$1="鸣金",$AK130*1.5,0))*(1+$AU130)*(1+$AV130)+(($AW130+$AX130)/2*IF($G$1="裂石",$AJ130,$AH130)+IF($G$1="裂石",$AK130*1.5,0))*(1+$AY130)*(1+$AZ130)+(($BA130+$BB130)/2*IF($G$1="牵丝",$AJ130,$AH130)+IF($G$1="牵丝",$AK130*1.5,0))*(1+$BC130)*(1+$BD130)+(($BE130+$BF130)/2*IF($G$1="破竹",$AJ130,$AH130)+IF($G$1="破竹",$AK130*1.5,0))*(1+$BG130)*(1+$BH130))*(1+$AL130)*$P130*(1+IF(VLOOKUP($Q130,武学奇术!$A:$ZZ,30,FALSE)="回旋伞",$B$21,0))*(1+$BQ130)</f>
        <v>70498.6263805449</v>
      </c>
      <c r="O130" s="41">
        <f>((($AN130*$AH130+$AI130)*(1+$AP130)*(1+$AQ130)+($AS130*IF($G$1="鸣金",$AJ130,$AH130)+IF($G$1="鸣金",$AK130*1.5,0))*(1+$AU130)*(1+$AV130)+($AW130*IF($G$1="裂石",$AJ130,$AH130)+IF($G$1="裂石",$AK130*1.5,0))*(1+$AY130)*(1+$AZ130)+($BA130*IF($G$1="牵丝",$AJ130,$AH130)+IF($G$1="牵丝",$AK130*1.5,0))*(1+$BC130)*(1+$BD130)+($BE130*IF($G$1="破竹",$AJ130,$AH130)+IF($G$1="破竹",$AK130*1.5,0))*(1+$BG130)*(1+$BH130))*(1+$AL130))*$P130*(1+IF(VLOOKUP($Q130,武学奇术!$A:$ZZ,30,FALSE)="回旋伞",$B$21,0))*(1+$BQ130)</f>
        <v>61296.7613312824</v>
      </c>
      <c r="P130" s="42">
        <v>1</v>
      </c>
      <c r="Q130" s="43" t="s">
        <v>136</v>
      </c>
      <c r="R130" s="43" t="s">
        <v>71</v>
      </c>
      <c r="S130" s="43" t="s">
        <v>91</v>
      </c>
      <c r="T130" s="43" t="s">
        <v>72</v>
      </c>
      <c r="U130" s="43" t="s">
        <v>73</v>
      </c>
      <c r="V130" s="43" t="s">
        <v>167</v>
      </c>
      <c r="W130" s="43" t="s">
        <v>95</v>
      </c>
      <c r="X130" s="43" t="s">
        <v>82</v>
      </c>
      <c r="Y130" s="43" t="s">
        <v>71</v>
      </c>
      <c r="Z130" s="43" t="s">
        <v>71</v>
      </c>
      <c r="AA130" s="43" t="s">
        <v>71</v>
      </c>
      <c r="AB130" s="43" t="s">
        <v>179</v>
      </c>
      <c r="AC130" s="43" t="s">
        <v>71</v>
      </c>
      <c r="AD130" s="43" t="s">
        <v>71</v>
      </c>
      <c r="AE130" s="43" t="s">
        <v>71</v>
      </c>
      <c r="AF130" s="43" t="s">
        <v>76</v>
      </c>
      <c r="AG130" t="str">
        <f>VLOOKUP($Q130,武学奇术!$A:$ZZ,25,FALSE)</f>
        <v>单体奇术</v>
      </c>
      <c r="AH130" s="30">
        <f>VLOOKUP($Q130,武学奇术!$A:$ZZ,26,FALSE)</f>
        <v>7.1074</v>
      </c>
      <c r="AI130" s="31">
        <f>VLOOKUP($Q130,武学奇术!$A:$ZZ,27,FALSE)*(1+IF(OR($AG130=$F$4,$AG130=$F$5),$B$22,0))</f>
        <v>1320</v>
      </c>
      <c r="AJ130" s="30">
        <f>VLOOKUP($Q130,武学奇术!$A:$ZZ,28,FALSE)</f>
        <v>10.6596</v>
      </c>
      <c r="AK130" s="31">
        <f>VLOOKUP($Q130,武学奇术!$A:$ZZ,29,FALSE)*(1+IF(OR($AG130=$F$4,$AG130=$F$5),$B$22,0))</f>
        <v>0</v>
      </c>
      <c r="AL130" s="30" cm="1">
        <f t="array" ref="AL130">$G$3+IFERROR(VLOOKUP($AG130,$F$4:$G$7,2,FALSE),0)+VLOOKUP($Q130,武学奇术!$A:$ZZ,2,FALSE)+SUM(_xlfn.XLOOKUP($R130:$AF130,增益!$A:$A,增益!$B:$B,0))</f>
        <v>0.2237</v>
      </c>
      <c r="AM130" s="30" cm="1">
        <f t="array" ref="AM130">VLOOKUP($Q130,武学奇术!$A:$ZZ,5,FALSE)+SUM(_xlfn.XLOOKUP($R130:$AF130,增益!$A:$A,增益!$E:$E,0))</f>
        <v>0</v>
      </c>
      <c r="AN130" cm="1">
        <f t="array" ref="AN130">$D$10*(1+$AM130)+VLOOKUP($Q130,武学奇术!$A:$ZZ,3,FALSE)+SUM(_xlfn.XLOOKUP($R130:$AF130,增益!$A:$A,增益!$C:$C,0))-$I$2</f>
        <v>3483.8</v>
      </c>
      <c r="AO130" cm="1">
        <f t="array" ref="AO130">$E$10*(1+$AM130)+VLOOKUP($Q130,武学奇术!$A:$ZZ,4,FALSE)+SUM(_xlfn.XLOOKUP($R130:$AF130,增益!$A:$A,增益!$D:$D,0))-$I$2</f>
        <v>3483.8</v>
      </c>
      <c r="AP130" s="35" cm="1">
        <f t="array" ref="AP130">IF($F$10-$I$3+VLOOKUP($Q130,武学奇术!$A:$ZZ,6,FALSE)+SUM(_xlfn.XLOOKUP(R130:AF130,增益!$A:$A,增益!$F:$F,0))&gt;0,($F$10-$I$3+VLOOKUP($Q130,武学奇术!$A:$ZZ,6,FALSE)+SUM(_xlfn.XLOOKUP(R130:AF130,增益!$A:$A,增益!$F:$F,0)))/200,($F$10-$I$3+VLOOKUP($Q130,武学奇术!$A:$ZZ,6,FALSE)+SUM(_xlfn.XLOOKUP(R130:AF130,增益!$A:$A,增益!$F:$F,0)))/100)</f>
        <v>0.4175</v>
      </c>
      <c r="AQ130" s="35" cm="1">
        <f t="array" ref="AQ130">$G$10+VLOOKUP($Q130,武学奇术!$A:$ZZ,7,FALSE)+SUM(_xlfn.XLOOKUP(R130:AF130,增益!$A:$A,增益!$G:$G,0))</f>
        <v>0.028</v>
      </c>
      <c r="AR130" s="30" cm="1">
        <f t="array" ref="AR130">VLOOKUP($Q130,武学奇术!$A:$ZZ,8,FALSE)+SUM(_xlfn.XLOOKUP(R130:AF130,增益!$A:$A,增益!$H:$H,0))</f>
        <v>0</v>
      </c>
      <c r="AS130">
        <f t="shared" ref="AS130:AS151" si="26">$D$11*(1+$AR130)</f>
        <v>0</v>
      </c>
      <c r="AT130">
        <f t="shared" ref="AT130:AT151" si="27">$E$11*(1+$AR130)</f>
        <v>0</v>
      </c>
      <c r="AU130" s="35" cm="1">
        <f t="array" ref="AU130">IF($F$11-$I$4+VLOOKUP($Q130,武学奇术!$A:$ZZ,9,FALSE)+SUM(_xlfn.XLOOKUP(R130:AF130,增益!$A:$A,增益!$I:$I,0))&gt;0,($F$11-$I$4+VLOOKUP($Q130,武学奇术!$A:$ZZ,9,FALSE)+SUM(_xlfn.XLOOKUP(R130:AF130,增益!$A:$A,增益!$I:$I,0)))/200,($F$11-$I$4+VLOOKUP($Q130,武学奇术!$A:$ZZ,9,FALSE)+SUM(_xlfn.XLOOKUP(R130:AF130,增益!$A:$A,增益!$I:$I,0)))/100)</f>
        <v>-0.14</v>
      </c>
      <c r="AV130" s="35" cm="1">
        <f t="array" ref="AV130">$G$11+VLOOKUP($Q130,武学奇术!$A:$ZZ,10,FALSE)+SUM(_xlfn.XLOOKUP(R130:AF130,增益!$A:$A,增益!$J:$J,0))</f>
        <v>0</v>
      </c>
      <c r="AW130">
        <f t="shared" ref="AW130:AW151" si="28">$D$12*(1+$AR130)</f>
        <v>0</v>
      </c>
      <c r="AX130">
        <f t="shared" ref="AX130:AX151" si="29">$E$12*(1+$AR130)</f>
        <v>0</v>
      </c>
      <c r="AY130" s="35" cm="1">
        <f t="array" ref="AY130">IF($F$12-$I$4+VLOOKUP($Q130,武学奇术!$A:$ZZ,11,FALSE)+SUM(_xlfn.XLOOKUP(R130:AF130,增益!$A:$A,增益!$K:$K,0))&gt;0,($F$12-$I$4+VLOOKUP($Q130,武学奇术!$A:$ZZ,11,FALSE)+SUM(_xlfn.XLOOKUP(R130:AF130,增益!$A:$A,增益!$K:$K,0)))/200,($F$12-$I$4+VLOOKUP($Q130,武学奇术!$A:$ZZ,11,FALSE)+SUM(_xlfn.XLOOKUP(R130:AF130,增益!$A:$A,增益!$K:$K,0)))/100)</f>
        <v>-0.14</v>
      </c>
      <c r="AZ130" s="35" cm="1">
        <f t="array" ref="AZ130">$G$12+VLOOKUP($Q130,武学奇术!$A:$ZZ,12,FALSE)+SUM(_xlfn.XLOOKUP(R130:AF130,增益!$A:$A,增益!$L:$L,0))</f>
        <v>0</v>
      </c>
      <c r="BA130">
        <f t="shared" ref="BA130:BA151" si="30">$D$13*(1+$AR130)</f>
        <v>0</v>
      </c>
      <c r="BB130">
        <f t="shared" ref="BB130:BB151" si="31">$E$13*(1+$AR130)</f>
        <v>0</v>
      </c>
      <c r="BC130" s="35" cm="1">
        <f t="array" ref="BC130">IF($F$13-$I$4+VLOOKUP($Q130,武学奇术!$A:$ZZ,13,FALSE)+SUM(_xlfn.XLOOKUP(R130:AF130,增益!$A:$A,增益!$M:$M,0))&gt;0,($F$13-$I$4+VLOOKUP($Q130,武学奇术!$A:$ZZ,13,FALSE)+SUM(_xlfn.XLOOKUP(R130:AF130,增益!$A:$A,增益!$K:$K,0)))/200,($F$13-$I$4+VLOOKUP($Q130,武学奇术!$A:$ZZ,13,FALSE)+SUM(_xlfn.XLOOKUP(R130:AF130,增益!$A:$A,增益!$M:$M,0)))/100)</f>
        <v>-0.14</v>
      </c>
      <c r="BD130" s="35" cm="1">
        <f t="array" ref="BD130">$G$13+VLOOKUP($Q130,武学奇术!$A:$ZZ,14,FALSE)+SUM(_xlfn.XLOOKUP(R130:AF130,增益!$A:$A,增益!$N:$N,0))</f>
        <v>0</v>
      </c>
      <c r="BE130">
        <f t="shared" ref="BE130:BE151" si="32">$D$14*(1+$AR130)</f>
        <v>538</v>
      </c>
      <c r="BF130">
        <f t="shared" ref="BF130:BF151" si="33">$E$14*(1+$AR130)</f>
        <v>1561.4</v>
      </c>
      <c r="BG130" s="35" cm="1">
        <f t="array" ref="BG130">IF($F$14-$I$4+VLOOKUP($Q130,武学奇术!$A:$ZZ,15,FALSE)+SUM(_xlfn.XLOOKUP(R130:AF130,增益!$A:$A,增益!$O:$O,0))&gt;0,($F$14-$I$4+VLOOKUP($Q130,武学奇术!$A:$ZZ,15,FALSE)+SUM(_xlfn.XLOOKUP(R130:AF130,增益!$A:$A,增益!$O:$O,0)))/200,($F$14-$I$4+VLOOKUP($Q130,武学奇术!$A:$ZZ,15,FALSE)+SUM(_xlfn.XLOOKUP(R130:AF130,增益!$A:$A,增益!$O:$O,0)))/100)</f>
        <v>0.08</v>
      </c>
      <c r="BH130" s="35" cm="1">
        <f t="array" ref="BH130">$G$14+VLOOKUP($Q130,武学奇术!$A:$ZZ,16,FALSE)+SUM(_xlfn.XLOOKUP(R130:AF130,增益!$A:$A,增益!$P:$P,0))</f>
        <v>0.15</v>
      </c>
      <c r="BI130" s="30">
        <f>MIN(IF(VLOOKUP($Q130,武学奇术!$A:$ZZ,23,FALSE)=1,100%,$B$8),100%)</f>
        <v>0.9712</v>
      </c>
      <c r="BJ130" s="30" cm="1">
        <f t="array" ref="BJ130">IF(VLOOKUP($Q130,武学奇术!$A:$ZZ,23,FALSE)=1,100%,MIN(80%,$B$9+VLOOKUP($Q130,武学奇术!$A:$ZZ,17,FALSE)+SUM(_xlfn.XLOOKUP(R130:AF130,增益!$A:$A,增益!$Q:$Q,0)))+$B$11+SUM(_xlfn.XLOOKUP(R130:AF130,增益!$A:$A,增益!$U:$U,0)))*IF(VLOOKUP($Q130,武学奇术!$A:$ZZ,24,FALSE)=1,0,1)</f>
        <v>0.8773</v>
      </c>
      <c r="BK130" s="30" cm="1">
        <f t="array" ref="BK130">1+$B$13+VLOOKUP($Q130,武学奇术!$A:$ZZ,18,FALSE)+SUM(_xlfn.XLOOKUP(R130:AF130,增益!$A:$A,增益!$R:$R,0))</f>
        <v>2.12</v>
      </c>
      <c r="BL130" s="30" cm="1">
        <f t="array" ref="BL130">IF(VLOOKUP($Q130,武学奇术!$A:$ZZ,24,FALSE)=1,100%,MIN(40%,$B$10+VLOOKUP($Q130,武学奇术!$A:$ZZ,19,FALSE)+SUM(_xlfn.XLOOKUP(R130:AF130,增益!$A:$A,增益!$S:$S,0)))+$B$12+SUM(_xlfn.XLOOKUP(R130:AF130,增益!$A:$A,增益!$V:$V,0)))*IF(VLOOKUP($Q130,武学奇术!$A:$ZZ,23,FALSE)=1,0,1)</f>
        <v>0.0895</v>
      </c>
      <c r="BM130" s="30" cm="1">
        <f t="array" ref="BM130">1+$B$14+VLOOKUP($Q130,武学奇术!$A:$ZZ,20,FALSE)+SUM(_xlfn.XLOOKUP(R130:AF130,增益!$A:$A,增益!$T:$T,0))</f>
        <v>1.35</v>
      </c>
      <c r="BN130" s="30">
        <f t="shared" ref="BN130:BN151" si="34">MIN((1-BL130)*BI130,BI130*BJ130)</f>
        <v>0.85203376</v>
      </c>
      <c r="BO130" s="30">
        <f t="shared" ref="BO130:BO151" si="35">1-BL130-BN130-BP130</f>
        <v>0.03224384</v>
      </c>
      <c r="BP130" s="30">
        <f>IF(VLOOKUP($Q130,武学奇术!$A:$ZZ,22,FALSE)=1,0,(1-$BI130))*(1-$BL130)</f>
        <v>0.0262224</v>
      </c>
      <c r="BQ130" s="30" cm="1">
        <f t="array" ref="BQ130">SUM(_xlfn.XLOOKUP(R130:AF130,增益!$A:$A,增益!$W:$W,0))+$I$5</f>
        <v>0.11</v>
      </c>
    </row>
    <row r="131" spans="11:69">
      <c r="K131" s="41">
        <f t="shared" ref="K131:K151" si="36">($L131*$BN131+$M131*$BL131+$N131*$BO131+$O131*$BP131)</f>
        <v>0</v>
      </c>
      <c r="L131" s="41">
        <f>((($AN131+$AO131)/2*$AH131+$AI131)*(1+$AP131)*(1+$AQ131)+(($AS131+$AT131)/2*IF($G$1="鸣金",$AJ131,$AH131)+IF($G$1="鸣金",$AK131*1.5,0))*(1+$AU131)*(1+$AV131)+(($AW131+$AX131)/2*IF($G$1="裂石",$AJ131,$AH131)+IF($G$1="裂石",$AK131*1.5,0))*(1+$AY131)*(1+$AZ131)+(($BA131+$BB131)/2*IF($G$1="牵丝",$AJ131,$AH131)+IF($G$1="牵丝",$AK131*1.5,0))*(1+$BC131)*(1+$BD131)+(($BE131+$BF131)/2*IF($G$1="破竹",$AJ131,$AH131)+IF($G$1="破竹",$AK131*1.5,0))*(1+$BG131)*(1+$BH131))*(1+$AL131)*$BK131*$P131*(1+IF(VLOOKUP($Q131,武学奇术!$A:$ZZ,30,FALSE)="回旋伞",$B$21,0))*(1+$BQ131)</f>
        <v>0</v>
      </c>
      <c r="M131" s="41">
        <f>(($AO131*$AH131+$AI131)*(1+$AP131)*(1+$AQ131)+($AT131*IF($G$1="鸣金",$AJ131,$AH131)+IF($G$1="鸣金",$AK131*1.5,0))*(1+$AU131)*(1+$AV131)+($AX131*IF($G$1="裂石",$AJ131,$AH131)+IF($G$1="裂石",$AK131*1.5,0))*(1+$AY131)*(1+$AZ131)+($BB131*IF($G$1="牵丝",$AJ131,$AH131)+IF($G$1="牵丝",$AK131*1.5,0))*(1+$BC131)*(1+$BD131)+($BF131*IF($G$1="破竹",$AJ131,$AH131)+IF($G$1="破竹",$AK131*1.5,0))*(1+$BG131)*(1+$BH131))*(1+$AL131)*$BM131*$P131*(1+IF(VLOOKUP($Q131,武学奇术!$A:$ZZ,30,FALSE)="回旋伞",$B$21,0))*(1+$BQ131)</f>
        <v>0</v>
      </c>
      <c r="N131" s="41">
        <f>((($AN131+$AO131)/2*$AH131+$AI131)*(1+$AP131)*(1+$AQ131)+(($AS131+$AT131)/2*IF($G$1="鸣金",$AJ131,$AH131)+IF($G$1="鸣金",$AK131*1.5,0))*(1+$AU131)*(1+$AV131)+(($AW131+$AX131)/2*IF($G$1="裂石",$AJ131,$AH131)+IF($G$1="裂石",$AK131*1.5,0))*(1+$AY131)*(1+$AZ131)+(($BA131+$BB131)/2*IF($G$1="牵丝",$AJ131,$AH131)+IF($G$1="牵丝",$AK131*1.5,0))*(1+$BC131)*(1+$BD131)+(($BE131+$BF131)/2*IF($G$1="破竹",$AJ131,$AH131)+IF($G$1="破竹",$AK131*1.5,0))*(1+$BG131)*(1+$BH131))*(1+$AL131)*$P131*(1+IF(VLOOKUP($Q131,武学奇术!$A:$ZZ,30,FALSE)="回旋伞",$B$21,0))*(1+$BQ131)</f>
        <v>0</v>
      </c>
      <c r="O131" s="41">
        <f>((($AN131*$AH131+$AI131)*(1+$AP131)*(1+$AQ131)+($AS131*IF($G$1="鸣金",$AJ131,$AH131)+IF($G$1="鸣金",$AK131*1.5,0))*(1+$AU131)*(1+$AV131)+($AW131*IF($G$1="裂石",$AJ131,$AH131)+IF($G$1="裂石",$AK131*1.5,0))*(1+$AY131)*(1+$AZ131)+($BA131*IF($G$1="牵丝",$AJ131,$AH131)+IF($G$1="牵丝",$AK131*1.5,0))*(1+$BC131)*(1+$BD131)+($BE131*IF($G$1="破竹",$AJ131,$AH131)+IF($G$1="破竹",$AK131*1.5,0))*(1+$BG131)*(1+$BH131))*(1+$AL131))*$P131*(1+IF(VLOOKUP($Q131,武学奇术!$A:$ZZ,30,FALSE)="回旋伞",$B$21,0))*(1+$BQ131)</f>
        <v>0</v>
      </c>
      <c r="P131" s="42">
        <v>1</v>
      </c>
      <c r="Q131" s="43" t="s">
        <v>71</v>
      </c>
      <c r="R131" s="43" t="s">
        <v>71</v>
      </c>
      <c r="S131" s="43" t="s">
        <v>71</v>
      </c>
      <c r="T131" s="43" t="s">
        <v>71</v>
      </c>
      <c r="U131" s="43" t="s">
        <v>71</v>
      </c>
      <c r="V131" s="43" t="s">
        <v>71</v>
      </c>
      <c r="W131" s="43" t="s">
        <v>71</v>
      </c>
      <c r="X131" s="43" t="s">
        <v>71</v>
      </c>
      <c r="Y131" s="43" t="s">
        <v>71</v>
      </c>
      <c r="Z131" s="43" t="s">
        <v>71</v>
      </c>
      <c r="AA131" s="43" t="s">
        <v>71</v>
      </c>
      <c r="AB131" s="43" t="s">
        <v>71</v>
      </c>
      <c r="AC131" s="43" t="s">
        <v>71</v>
      </c>
      <c r="AD131" s="43" t="s">
        <v>71</v>
      </c>
      <c r="AE131" s="43" t="s">
        <v>71</v>
      </c>
      <c r="AF131" s="43" t="s">
        <v>76</v>
      </c>
      <c r="AG131" t="str">
        <f>VLOOKUP($Q131,武学奇术!$A:$ZZ,25,FALSE)</f>
        <v>心法</v>
      </c>
      <c r="AH131" s="30">
        <f>VLOOKUP($Q131,武学奇术!$A:$ZZ,26,FALSE)</f>
        <v>0</v>
      </c>
      <c r="AI131" s="31">
        <f>VLOOKUP($Q131,武学奇术!$A:$ZZ,27,FALSE)*(1+IF(OR($AG131=$F$4,$AG131=$F$5),$B$22,0))</f>
        <v>0</v>
      </c>
      <c r="AJ131" s="30">
        <f>VLOOKUP($Q131,武学奇术!$A:$ZZ,28,FALSE)</f>
        <v>0</v>
      </c>
      <c r="AK131" s="31">
        <f>VLOOKUP($Q131,武学奇术!$A:$ZZ,29,FALSE)*(1+IF(OR($AG131=$F$4,$AG131=$F$5),$B$22,0))</f>
        <v>0</v>
      </c>
      <c r="AL131" s="30" cm="1">
        <f t="array" ref="AL131">$G$3+IFERROR(VLOOKUP($AG131,$F$4:$G$7,2,FALSE),0)+VLOOKUP($Q131,武学奇术!$A:$ZZ,2,FALSE)+SUM(_xlfn.XLOOKUP($R131:$AF131,增益!$A:$A,增益!$B:$B,0))</f>
        <v>0.1037</v>
      </c>
      <c r="AM131" s="30" cm="1">
        <f t="array" ref="AM131">VLOOKUP($Q131,武学奇术!$A:$ZZ,5,FALSE)+SUM(_xlfn.XLOOKUP($R131:$AF131,增益!$A:$A,增益!$E:$E,0))</f>
        <v>0</v>
      </c>
      <c r="AN131" cm="1">
        <f t="array" ref="AN131">$D$10*(1+$AM131)+VLOOKUP($Q131,武学奇术!$A:$ZZ,3,FALSE)+SUM(_xlfn.XLOOKUP($R131:$AF131,增益!$A:$A,增益!$C:$C,0))-$I$2</f>
        <v>3483.8</v>
      </c>
      <c r="AO131" cm="1">
        <f t="array" ref="AO131">$E$10*(1+$AM131)+VLOOKUP($Q131,武学奇术!$A:$ZZ,4,FALSE)+SUM(_xlfn.XLOOKUP($R131:$AF131,增益!$A:$A,增益!$D:$D,0))-$I$2</f>
        <v>3483.8</v>
      </c>
      <c r="AP131" s="35" cm="1">
        <f t="array" ref="AP131">IF($F$10-$I$3+VLOOKUP($Q131,武学奇术!$A:$ZZ,6,FALSE)+SUM(_xlfn.XLOOKUP(R131:AF131,增益!$A:$A,增益!$F:$F,0))&gt;0,($F$10-$I$3+VLOOKUP($Q131,武学奇术!$A:$ZZ,6,FALSE)+SUM(_xlfn.XLOOKUP(R131:AF131,增益!$A:$A,增益!$F:$F,0)))/200,($F$10-$I$3+VLOOKUP($Q131,武学奇术!$A:$ZZ,6,FALSE)+SUM(_xlfn.XLOOKUP(R131:AF131,增益!$A:$A,增益!$F:$F,0)))/100)</f>
        <v>0.1925</v>
      </c>
      <c r="AQ131" s="35" cm="1">
        <f t="array" ref="AQ131">$G$10+VLOOKUP($Q131,武学奇术!$A:$ZZ,7,FALSE)+SUM(_xlfn.XLOOKUP(R131:AF131,增益!$A:$A,增益!$G:$G,0))</f>
        <v>0.028</v>
      </c>
      <c r="AR131" s="30" cm="1">
        <f t="array" ref="AR131">VLOOKUP($Q131,武学奇术!$A:$ZZ,8,FALSE)+SUM(_xlfn.XLOOKUP(R131:AF131,增益!$A:$A,增益!$H:$H,0))</f>
        <v>0</v>
      </c>
      <c r="AS131">
        <f t="shared" si="26"/>
        <v>0</v>
      </c>
      <c r="AT131">
        <f t="shared" si="27"/>
        <v>0</v>
      </c>
      <c r="AU131" s="35" cm="1">
        <f t="array" ref="AU131">IF($F$11-$I$4+VLOOKUP($Q131,武学奇术!$A:$ZZ,9,FALSE)+SUM(_xlfn.XLOOKUP(R131:AF131,增益!$A:$A,增益!$I:$I,0))&gt;0,($F$11-$I$4+VLOOKUP($Q131,武学奇术!$A:$ZZ,9,FALSE)+SUM(_xlfn.XLOOKUP(R131:AF131,增益!$A:$A,增益!$I:$I,0)))/200,($F$11-$I$4+VLOOKUP($Q131,武学奇术!$A:$ZZ,9,FALSE)+SUM(_xlfn.XLOOKUP(R131:AF131,增益!$A:$A,增益!$I:$I,0)))/100)</f>
        <v>-0.3</v>
      </c>
      <c r="AV131" s="35" cm="1">
        <f t="array" ref="AV131">$G$11+VLOOKUP($Q131,武学奇术!$A:$ZZ,10,FALSE)+SUM(_xlfn.XLOOKUP(R131:AF131,增益!$A:$A,增益!$J:$J,0))</f>
        <v>0</v>
      </c>
      <c r="AW131">
        <f t="shared" si="28"/>
        <v>0</v>
      </c>
      <c r="AX131">
        <f t="shared" si="29"/>
        <v>0</v>
      </c>
      <c r="AY131" s="35" cm="1">
        <f t="array" ref="AY131">IF($F$12-$I$4+VLOOKUP($Q131,武学奇术!$A:$ZZ,11,FALSE)+SUM(_xlfn.XLOOKUP(R131:AF131,增益!$A:$A,增益!$K:$K,0))&gt;0,($F$12-$I$4+VLOOKUP($Q131,武学奇术!$A:$ZZ,11,FALSE)+SUM(_xlfn.XLOOKUP(R131:AF131,增益!$A:$A,增益!$K:$K,0)))/200,($F$12-$I$4+VLOOKUP($Q131,武学奇术!$A:$ZZ,11,FALSE)+SUM(_xlfn.XLOOKUP(R131:AF131,增益!$A:$A,增益!$K:$K,0)))/100)</f>
        <v>-0.3</v>
      </c>
      <c r="AZ131" s="35" cm="1">
        <f t="array" ref="AZ131">$G$12+VLOOKUP($Q131,武学奇术!$A:$ZZ,12,FALSE)+SUM(_xlfn.XLOOKUP(R131:AF131,增益!$A:$A,增益!$L:$L,0))</f>
        <v>0</v>
      </c>
      <c r="BA131">
        <f t="shared" si="30"/>
        <v>0</v>
      </c>
      <c r="BB131">
        <f t="shared" si="31"/>
        <v>0</v>
      </c>
      <c r="BC131" s="35" cm="1">
        <f t="array" ref="BC131">IF($F$13-$I$4+VLOOKUP($Q131,武学奇术!$A:$ZZ,13,FALSE)+SUM(_xlfn.XLOOKUP(R131:AF131,增益!$A:$A,增益!$M:$M,0))&gt;0,($F$13-$I$4+VLOOKUP($Q131,武学奇术!$A:$ZZ,13,FALSE)+SUM(_xlfn.XLOOKUP(R131:AF131,增益!$A:$A,增益!$K:$K,0)))/200,($F$13-$I$4+VLOOKUP($Q131,武学奇术!$A:$ZZ,13,FALSE)+SUM(_xlfn.XLOOKUP(R131:AF131,增益!$A:$A,增益!$M:$M,0)))/100)</f>
        <v>-0.3</v>
      </c>
      <c r="BD131" s="35" cm="1">
        <f t="array" ref="BD131">$G$13+VLOOKUP($Q131,武学奇术!$A:$ZZ,14,FALSE)+SUM(_xlfn.XLOOKUP(R131:AF131,增益!$A:$A,增益!$N:$N,0))</f>
        <v>0</v>
      </c>
      <c r="BE131">
        <f t="shared" si="32"/>
        <v>538</v>
      </c>
      <c r="BF131">
        <f t="shared" si="33"/>
        <v>1561.4</v>
      </c>
      <c r="BG131" s="35" cm="1">
        <f t="array" ref="BG131">IF($F$14-$I$4+VLOOKUP($Q131,武学奇术!$A:$ZZ,15,FALSE)+SUM(_xlfn.XLOOKUP(R131:AF131,增益!$A:$A,增益!$O:$O,0))&gt;0,($F$14-$I$4+VLOOKUP($Q131,武学奇术!$A:$ZZ,15,FALSE)+SUM(_xlfn.XLOOKUP(R131:AF131,增益!$A:$A,增益!$O:$O,0)))/200,($F$14-$I$4+VLOOKUP($Q131,武学奇术!$A:$ZZ,15,FALSE)+SUM(_xlfn.XLOOKUP(R131:AF131,增益!$A:$A,增益!$O:$O,0)))/100)</f>
        <v>0</v>
      </c>
      <c r="BH131" s="35" cm="1">
        <f t="array" ref="BH131">$G$14+VLOOKUP($Q131,武学奇术!$A:$ZZ,16,FALSE)+SUM(_xlfn.XLOOKUP(R131:AF131,增益!$A:$A,增益!$P:$P,0))</f>
        <v>0.15</v>
      </c>
      <c r="BI131" s="30">
        <f>MIN(IF(VLOOKUP($Q131,武学奇术!$A:$ZZ,23,FALSE)=1,100%,$B$8),100%)</f>
        <v>0.9712</v>
      </c>
      <c r="BJ131" s="30" cm="1">
        <f t="array" ref="BJ131">IF(VLOOKUP($Q131,武学奇术!$A:$ZZ,23,FALSE)=1,100%,MIN(80%,$B$9+VLOOKUP($Q131,武学奇术!$A:$ZZ,17,FALSE)+SUM(_xlfn.XLOOKUP(R131:AF131,增益!$A:$A,增益!$Q:$Q,0)))+$B$11+SUM(_xlfn.XLOOKUP(R131:AF131,增益!$A:$A,增益!$U:$U,0)))*IF(VLOOKUP($Q131,武学奇术!$A:$ZZ,24,FALSE)=1,0,1)</f>
        <v>0.8773</v>
      </c>
      <c r="BK131" s="30" cm="1">
        <f t="array" ref="BK131">1+$B$13+VLOOKUP($Q131,武学奇术!$A:$ZZ,18,FALSE)+SUM(_xlfn.XLOOKUP(R131:AF131,增益!$A:$A,增益!$R:$R,0))</f>
        <v>1.5</v>
      </c>
      <c r="BL131" s="30" cm="1">
        <f t="array" ref="BL131">IF(VLOOKUP($Q131,武学奇术!$A:$ZZ,24,FALSE)=1,100%,MIN(40%,$B$10+VLOOKUP($Q131,武学奇术!$A:$ZZ,19,FALSE)+SUM(_xlfn.XLOOKUP(R131:AF131,增益!$A:$A,增益!$S:$S,0)))+$B$12+SUM(_xlfn.XLOOKUP(R131:AF131,增益!$A:$A,增益!$V:$V,0)))*IF(VLOOKUP($Q131,武学奇术!$A:$ZZ,23,FALSE)=1,0,1)</f>
        <v>0.0895</v>
      </c>
      <c r="BM131" s="30" cm="1">
        <f t="array" ref="BM131">1+$B$14+VLOOKUP($Q131,武学奇术!$A:$ZZ,20,FALSE)+SUM(_xlfn.XLOOKUP(R131:AF131,增益!$A:$A,增益!$T:$T,0))</f>
        <v>1.35</v>
      </c>
      <c r="BN131" s="30">
        <f t="shared" si="34"/>
        <v>0.85203376</v>
      </c>
      <c r="BO131" s="30">
        <f t="shared" si="35"/>
        <v>0.03224384</v>
      </c>
      <c r="BP131" s="30">
        <f>IF(VLOOKUP($Q131,武学奇术!$A:$ZZ,22,FALSE)=1,0,(1-$BI131))*(1-$BL131)</f>
        <v>0.0262224</v>
      </c>
      <c r="BQ131" s="30" cm="1">
        <f t="array" ref="BQ131">SUM(_xlfn.XLOOKUP(R131:AF131,增益!$A:$A,增益!$W:$W,0))+$I$5</f>
        <v>0.11</v>
      </c>
    </row>
    <row r="132" spans="11:69">
      <c r="K132" s="41">
        <f t="shared" si="36"/>
        <v>0</v>
      </c>
      <c r="L132" s="41">
        <f>((($AN132+$AO132)/2*$AH132+$AI132)*(1+$AP132)*(1+$AQ132)+(($AS132+$AT132)/2*IF($G$1="鸣金",$AJ132,$AH132)+IF($G$1="鸣金",$AK132*1.5,0))*(1+$AU132)*(1+$AV132)+(($AW132+$AX132)/2*IF($G$1="裂石",$AJ132,$AH132)+IF($G$1="裂石",$AK132*1.5,0))*(1+$AY132)*(1+$AZ132)+(($BA132+$BB132)/2*IF($G$1="牵丝",$AJ132,$AH132)+IF($G$1="牵丝",$AK132*1.5,0))*(1+$BC132)*(1+$BD132)+(($BE132+$BF132)/2*IF($G$1="破竹",$AJ132,$AH132)+IF($G$1="破竹",$AK132*1.5,0))*(1+$BG132)*(1+$BH132))*(1+$AL132)*$BK132*$P132*(1+IF(VLOOKUP($Q132,武学奇术!$A:$ZZ,30,FALSE)="回旋伞",$B$21,0))*(1+$BQ132)</f>
        <v>0</v>
      </c>
      <c r="M132" s="41">
        <f>(($AO132*$AH132+$AI132)*(1+$AP132)*(1+$AQ132)+($AT132*IF($G$1="鸣金",$AJ132,$AH132)+IF($G$1="鸣金",$AK132*1.5,0))*(1+$AU132)*(1+$AV132)+($AX132*IF($G$1="裂石",$AJ132,$AH132)+IF($G$1="裂石",$AK132*1.5,0))*(1+$AY132)*(1+$AZ132)+($BB132*IF($G$1="牵丝",$AJ132,$AH132)+IF($G$1="牵丝",$AK132*1.5,0))*(1+$BC132)*(1+$BD132)+($BF132*IF($G$1="破竹",$AJ132,$AH132)+IF($G$1="破竹",$AK132*1.5,0))*(1+$BG132)*(1+$BH132))*(1+$AL132)*$BM132*$P132*(1+IF(VLOOKUP($Q132,武学奇术!$A:$ZZ,30,FALSE)="回旋伞",$B$21,0))*(1+$BQ132)</f>
        <v>0</v>
      </c>
      <c r="N132" s="41">
        <f>((($AN132+$AO132)/2*$AH132+$AI132)*(1+$AP132)*(1+$AQ132)+(($AS132+$AT132)/2*IF($G$1="鸣金",$AJ132,$AH132)+IF($G$1="鸣金",$AK132*1.5,0))*(1+$AU132)*(1+$AV132)+(($AW132+$AX132)/2*IF($G$1="裂石",$AJ132,$AH132)+IF($G$1="裂石",$AK132*1.5,0))*(1+$AY132)*(1+$AZ132)+(($BA132+$BB132)/2*IF($G$1="牵丝",$AJ132,$AH132)+IF($G$1="牵丝",$AK132*1.5,0))*(1+$BC132)*(1+$BD132)+(($BE132+$BF132)/2*IF($G$1="破竹",$AJ132,$AH132)+IF($G$1="破竹",$AK132*1.5,0))*(1+$BG132)*(1+$BH132))*(1+$AL132)*$P132*(1+IF(VLOOKUP($Q132,武学奇术!$A:$ZZ,30,FALSE)="回旋伞",$B$21,0))*(1+$BQ132)</f>
        <v>0</v>
      </c>
      <c r="O132" s="41">
        <f>((($AN132*$AH132+$AI132)*(1+$AP132)*(1+$AQ132)+($AS132*IF($G$1="鸣金",$AJ132,$AH132)+IF($G$1="鸣金",$AK132*1.5,0))*(1+$AU132)*(1+$AV132)+($AW132*IF($G$1="裂石",$AJ132,$AH132)+IF($G$1="裂石",$AK132*1.5,0))*(1+$AY132)*(1+$AZ132)+($BA132*IF($G$1="牵丝",$AJ132,$AH132)+IF($G$1="牵丝",$AK132*1.5,0))*(1+$BC132)*(1+$BD132)+($BE132*IF($G$1="破竹",$AJ132,$AH132)+IF($G$1="破竹",$AK132*1.5,0))*(1+$BG132)*(1+$BH132))*(1+$AL132))*$P132*(1+IF(VLOOKUP($Q132,武学奇术!$A:$ZZ,30,FALSE)="回旋伞",$B$21,0))*(1+$BQ132)</f>
        <v>0</v>
      </c>
      <c r="P132" s="42">
        <v>1</v>
      </c>
      <c r="Q132" s="43" t="s">
        <v>71</v>
      </c>
      <c r="R132" s="43" t="s">
        <v>71</v>
      </c>
      <c r="S132" s="43" t="s">
        <v>71</v>
      </c>
      <c r="T132" s="43" t="s">
        <v>71</v>
      </c>
      <c r="U132" s="43" t="s">
        <v>71</v>
      </c>
      <c r="V132" s="43" t="s">
        <v>71</v>
      </c>
      <c r="W132" s="43" t="s">
        <v>71</v>
      </c>
      <c r="X132" s="43" t="s">
        <v>71</v>
      </c>
      <c r="Y132" s="43" t="s">
        <v>71</v>
      </c>
      <c r="Z132" s="43" t="s">
        <v>71</v>
      </c>
      <c r="AA132" s="43" t="s">
        <v>71</v>
      </c>
      <c r="AB132" s="43" t="s">
        <v>71</v>
      </c>
      <c r="AC132" s="43" t="s">
        <v>71</v>
      </c>
      <c r="AD132" s="43" t="s">
        <v>71</v>
      </c>
      <c r="AE132" s="43" t="s">
        <v>71</v>
      </c>
      <c r="AF132" s="43" t="s">
        <v>76</v>
      </c>
      <c r="AG132" t="str">
        <f>VLOOKUP($Q132,武学奇术!$A:$ZZ,25,FALSE)</f>
        <v>心法</v>
      </c>
      <c r="AH132" s="30">
        <f>VLOOKUP($Q132,武学奇术!$A:$ZZ,26,FALSE)</f>
        <v>0</v>
      </c>
      <c r="AI132" s="31">
        <f>VLOOKUP($Q132,武学奇术!$A:$ZZ,27,FALSE)*(1+IF(OR($AG132=$F$4,$AG132=$F$5),$B$22,0))</f>
        <v>0</v>
      </c>
      <c r="AJ132" s="30">
        <f>VLOOKUP($Q132,武学奇术!$A:$ZZ,28,FALSE)</f>
        <v>0</v>
      </c>
      <c r="AK132" s="31">
        <f>VLOOKUP($Q132,武学奇术!$A:$ZZ,29,FALSE)*(1+IF(OR($AG132=$F$4,$AG132=$F$5),$B$22,0))</f>
        <v>0</v>
      </c>
      <c r="AL132" s="30" cm="1">
        <f t="array" ref="AL132">$G$3+IFERROR(VLOOKUP($AG132,$F$4:$G$7,2,FALSE),0)+VLOOKUP($Q132,武学奇术!$A:$ZZ,2,FALSE)+SUM(_xlfn.XLOOKUP($R132:$AF132,增益!$A:$A,增益!$B:$B,0))</f>
        <v>0.1037</v>
      </c>
      <c r="AM132" s="30" cm="1">
        <f t="array" ref="AM132">VLOOKUP($Q132,武学奇术!$A:$ZZ,5,FALSE)+SUM(_xlfn.XLOOKUP($R132:$AF132,增益!$A:$A,增益!$E:$E,0))</f>
        <v>0</v>
      </c>
      <c r="AN132" cm="1">
        <f t="array" ref="AN132">$D$10*(1+$AM132)+VLOOKUP($Q132,武学奇术!$A:$ZZ,3,FALSE)+SUM(_xlfn.XLOOKUP($R132:$AF132,增益!$A:$A,增益!$C:$C,0))-$I$2</f>
        <v>3483.8</v>
      </c>
      <c r="AO132" cm="1">
        <f t="array" ref="AO132">$E$10*(1+$AM132)+VLOOKUP($Q132,武学奇术!$A:$ZZ,4,FALSE)+SUM(_xlfn.XLOOKUP($R132:$AF132,增益!$A:$A,增益!$D:$D,0))-$I$2</f>
        <v>3483.8</v>
      </c>
      <c r="AP132" s="35" cm="1">
        <f t="array" ref="AP132">IF($F$10-$I$3+VLOOKUP($Q132,武学奇术!$A:$ZZ,6,FALSE)+SUM(_xlfn.XLOOKUP(R132:AF132,增益!$A:$A,增益!$F:$F,0))&gt;0,($F$10-$I$3+VLOOKUP($Q132,武学奇术!$A:$ZZ,6,FALSE)+SUM(_xlfn.XLOOKUP(R132:AF132,增益!$A:$A,增益!$F:$F,0)))/200,($F$10-$I$3+VLOOKUP($Q132,武学奇术!$A:$ZZ,6,FALSE)+SUM(_xlfn.XLOOKUP(R132:AF132,增益!$A:$A,增益!$F:$F,0)))/100)</f>
        <v>0.1925</v>
      </c>
      <c r="AQ132" s="35" cm="1">
        <f t="array" ref="AQ132">$G$10+VLOOKUP($Q132,武学奇术!$A:$ZZ,7,FALSE)+SUM(_xlfn.XLOOKUP(R132:AF132,增益!$A:$A,增益!$G:$G,0))</f>
        <v>0.028</v>
      </c>
      <c r="AR132" s="30" cm="1">
        <f t="array" ref="AR132">VLOOKUP($Q132,武学奇术!$A:$ZZ,8,FALSE)+SUM(_xlfn.XLOOKUP(R132:AF132,增益!$A:$A,增益!$H:$H,0))</f>
        <v>0</v>
      </c>
      <c r="AS132">
        <f t="shared" si="26"/>
        <v>0</v>
      </c>
      <c r="AT132">
        <f t="shared" si="27"/>
        <v>0</v>
      </c>
      <c r="AU132" s="35" cm="1">
        <f t="array" ref="AU132">IF($F$11-$I$4+VLOOKUP($Q132,武学奇术!$A:$ZZ,9,FALSE)+SUM(_xlfn.XLOOKUP(R132:AF132,增益!$A:$A,增益!$I:$I,0))&gt;0,($F$11-$I$4+VLOOKUP($Q132,武学奇术!$A:$ZZ,9,FALSE)+SUM(_xlfn.XLOOKUP(R132:AF132,增益!$A:$A,增益!$I:$I,0)))/200,($F$11-$I$4+VLOOKUP($Q132,武学奇术!$A:$ZZ,9,FALSE)+SUM(_xlfn.XLOOKUP(R132:AF132,增益!$A:$A,增益!$I:$I,0)))/100)</f>
        <v>-0.3</v>
      </c>
      <c r="AV132" s="35" cm="1">
        <f t="array" ref="AV132">$G$11+VLOOKUP($Q132,武学奇术!$A:$ZZ,10,FALSE)+SUM(_xlfn.XLOOKUP(R132:AF132,增益!$A:$A,增益!$J:$J,0))</f>
        <v>0</v>
      </c>
      <c r="AW132">
        <f t="shared" si="28"/>
        <v>0</v>
      </c>
      <c r="AX132">
        <f t="shared" si="29"/>
        <v>0</v>
      </c>
      <c r="AY132" s="35" cm="1">
        <f t="array" ref="AY132">IF($F$12-$I$4+VLOOKUP($Q132,武学奇术!$A:$ZZ,11,FALSE)+SUM(_xlfn.XLOOKUP(R132:AF132,增益!$A:$A,增益!$K:$K,0))&gt;0,($F$12-$I$4+VLOOKUP($Q132,武学奇术!$A:$ZZ,11,FALSE)+SUM(_xlfn.XLOOKUP(R132:AF132,增益!$A:$A,增益!$K:$K,0)))/200,($F$12-$I$4+VLOOKUP($Q132,武学奇术!$A:$ZZ,11,FALSE)+SUM(_xlfn.XLOOKUP(R132:AF132,增益!$A:$A,增益!$K:$K,0)))/100)</f>
        <v>-0.3</v>
      </c>
      <c r="AZ132" s="35" cm="1">
        <f t="array" ref="AZ132">$G$12+VLOOKUP($Q132,武学奇术!$A:$ZZ,12,FALSE)+SUM(_xlfn.XLOOKUP(R132:AF132,增益!$A:$A,增益!$L:$L,0))</f>
        <v>0</v>
      </c>
      <c r="BA132">
        <f t="shared" si="30"/>
        <v>0</v>
      </c>
      <c r="BB132">
        <f t="shared" si="31"/>
        <v>0</v>
      </c>
      <c r="BC132" s="35" cm="1">
        <f t="array" ref="BC132">IF($F$13-$I$4+VLOOKUP($Q132,武学奇术!$A:$ZZ,13,FALSE)+SUM(_xlfn.XLOOKUP(R132:AF132,增益!$A:$A,增益!$M:$M,0))&gt;0,($F$13-$I$4+VLOOKUP($Q132,武学奇术!$A:$ZZ,13,FALSE)+SUM(_xlfn.XLOOKUP(R132:AF132,增益!$A:$A,增益!$K:$K,0)))/200,($F$13-$I$4+VLOOKUP($Q132,武学奇术!$A:$ZZ,13,FALSE)+SUM(_xlfn.XLOOKUP(R132:AF132,增益!$A:$A,增益!$M:$M,0)))/100)</f>
        <v>-0.3</v>
      </c>
      <c r="BD132" s="35" cm="1">
        <f t="array" ref="BD132">$G$13+VLOOKUP($Q132,武学奇术!$A:$ZZ,14,FALSE)+SUM(_xlfn.XLOOKUP(R132:AF132,增益!$A:$A,增益!$N:$N,0))</f>
        <v>0</v>
      </c>
      <c r="BE132">
        <f t="shared" si="32"/>
        <v>538</v>
      </c>
      <c r="BF132">
        <f t="shared" si="33"/>
        <v>1561.4</v>
      </c>
      <c r="BG132" s="35" cm="1">
        <f t="array" ref="BG132">IF($F$14-$I$4+VLOOKUP($Q132,武学奇术!$A:$ZZ,15,FALSE)+SUM(_xlfn.XLOOKUP(R132:AF132,增益!$A:$A,增益!$O:$O,0))&gt;0,($F$14-$I$4+VLOOKUP($Q132,武学奇术!$A:$ZZ,15,FALSE)+SUM(_xlfn.XLOOKUP(R132:AF132,增益!$A:$A,增益!$O:$O,0)))/200,($F$14-$I$4+VLOOKUP($Q132,武学奇术!$A:$ZZ,15,FALSE)+SUM(_xlfn.XLOOKUP(R132:AF132,增益!$A:$A,增益!$O:$O,0)))/100)</f>
        <v>0</v>
      </c>
      <c r="BH132" s="35" cm="1">
        <f t="array" ref="BH132">$G$14+VLOOKUP($Q132,武学奇术!$A:$ZZ,16,FALSE)+SUM(_xlfn.XLOOKUP(R132:AF132,增益!$A:$A,增益!$P:$P,0))</f>
        <v>0.15</v>
      </c>
      <c r="BI132" s="30">
        <f>MIN(IF(VLOOKUP($Q132,武学奇术!$A:$ZZ,23,FALSE)=1,100%,$B$8),100%)</f>
        <v>0.9712</v>
      </c>
      <c r="BJ132" s="30" cm="1">
        <f t="array" ref="BJ132">IF(VLOOKUP($Q132,武学奇术!$A:$ZZ,23,FALSE)=1,100%,MIN(80%,$B$9+VLOOKUP($Q132,武学奇术!$A:$ZZ,17,FALSE)+SUM(_xlfn.XLOOKUP(R132:AF132,增益!$A:$A,增益!$Q:$Q,0)))+$B$11+SUM(_xlfn.XLOOKUP(R132:AF132,增益!$A:$A,增益!$U:$U,0)))*IF(VLOOKUP($Q132,武学奇术!$A:$ZZ,24,FALSE)=1,0,1)</f>
        <v>0.8773</v>
      </c>
      <c r="BK132" s="30" cm="1">
        <f t="array" ref="BK132">1+$B$13+VLOOKUP($Q132,武学奇术!$A:$ZZ,18,FALSE)+SUM(_xlfn.XLOOKUP(R132:AF132,增益!$A:$A,增益!$R:$R,0))</f>
        <v>1.5</v>
      </c>
      <c r="BL132" s="30" cm="1">
        <f t="array" ref="BL132">IF(VLOOKUP($Q132,武学奇术!$A:$ZZ,24,FALSE)=1,100%,MIN(40%,$B$10+VLOOKUP($Q132,武学奇术!$A:$ZZ,19,FALSE)+SUM(_xlfn.XLOOKUP(R132:AF132,增益!$A:$A,增益!$S:$S,0)))+$B$12+SUM(_xlfn.XLOOKUP(R132:AF132,增益!$A:$A,增益!$V:$V,0)))*IF(VLOOKUP($Q132,武学奇术!$A:$ZZ,23,FALSE)=1,0,1)</f>
        <v>0.0895</v>
      </c>
      <c r="BM132" s="30" cm="1">
        <f t="array" ref="BM132">1+$B$14+VLOOKUP($Q132,武学奇术!$A:$ZZ,20,FALSE)+SUM(_xlfn.XLOOKUP(R132:AF132,增益!$A:$A,增益!$T:$T,0))</f>
        <v>1.35</v>
      </c>
      <c r="BN132" s="30">
        <f t="shared" si="34"/>
        <v>0.85203376</v>
      </c>
      <c r="BO132" s="30">
        <f t="shared" si="35"/>
        <v>0.03224384</v>
      </c>
      <c r="BP132" s="30">
        <f>IF(VLOOKUP($Q132,武学奇术!$A:$ZZ,22,FALSE)=1,0,(1-$BI132))*(1-$BL132)</f>
        <v>0.0262224</v>
      </c>
      <c r="BQ132" s="30" cm="1">
        <f t="array" ref="BQ132">SUM(_xlfn.XLOOKUP(R132:AF132,增益!$A:$A,增益!$W:$W,0))+$I$5</f>
        <v>0.11</v>
      </c>
    </row>
    <row r="133" spans="11:69">
      <c r="K133" s="41">
        <f t="shared" si="36"/>
        <v>0</v>
      </c>
      <c r="L133" s="41">
        <f>((($AN133+$AO133)/2*$AH133+$AI133)*(1+$AP133)*(1+$AQ133)+(($AS133+$AT133)/2*IF($G$1="鸣金",$AJ133,$AH133)+IF($G$1="鸣金",$AK133*1.5,0))*(1+$AU133)*(1+$AV133)+(($AW133+$AX133)/2*IF($G$1="裂石",$AJ133,$AH133)+IF($G$1="裂石",$AK133*1.5,0))*(1+$AY133)*(1+$AZ133)+(($BA133+$BB133)/2*IF($G$1="牵丝",$AJ133,$AH133)+IF($G$1="牵丝",$AK133*1.5,0))*(1+$BC133)*(1+$BD133)+(($BE133+$BF133)/2*IF($G$1="破竹",$AJ133,$AH133)+IF($G$1="破竹",$AK133*1.5,0))*(1+$BG133)*(1+$BH133))*(1+$AL133)*$BK133*$P133*(1+IF(VLOOKUP($Q133,武学奇术!$A:$ZZ,30,FALSE)="回旋伞",$B$21,0))*(1+$BQ133)</f>
        <v>0</v>
      </c>
      <c r="M133" s="41">
        <f>(($AO133*$AH133+$AI133)*(1+$AP133)*(1+$AQ133)+($AT133*IF($G$1="鸣金",$AJ133,$AH133)+IF($G$1="鸣金",$AK133*1.5,0))*(1+$AU133)*(1+$AV133)+($AX133*IF($G$1="裂石",$AJ133,$AH133)+IF($G$1="裂石",$AK133*1.5,0))*(1+$AY133)*(1+$AZ133)+($BB133*IF($G$1="牵丝",$AJ133,$AH133)+IF($G$1="牵丝",$AK133*1.5,0))*(1+$BC133)*(1+$BD133)+($BF133*IF($G$1="破竹",$AJ133,$AH133)+IF($G$1="破竹",$AK133*1.5,0))*(1+$BG133)*(1+$BH133))*(1+$AL133)*$BM133*$P133*(1+IF(VLOOKUP($Q133,武学奇术!$A:$ZZ,30,FALSE)="回旋伞",$B$21,0))*(1+$BQ133)</f>
        <v>0</v>
      </c>
      <c r="N133" s="41">
        <f>((($AN133+$AO133)/2*$AH133+$AI133)*(1+$AP133)*(1+$AQ133)+(($AS133+$AT133)/2*IF($G$1="鸣金",$AJ133,$AH133)+IF($G$1="鸣金",$AK133*1.5,0))*(1+$AU133)*(1+$AV133)+(($AW133+$AX133)/2*IF($G$1="裂石",$AJ133,$AH133)+IF($G$1="裂石",$AK133*1.5,0))*(1+$AY133)*(1+$AZ133)+(($BA133+$BB133)/2*IF($G$1="牵丝",$AJ133,$AH133)+IF($G$1="牵丝",$AK133*1.5,0))*(1+$BC133)*(1+$BD133)+(($BE133+$BF133)/2*IF($G$1="破竹",$AJ133,$AH133)+IF($G$1="破竹",$AK133*1.5,0))*(1+$BG133)*(1+$BH133))*(1+$AL133)*$P133*(1+IF(VLOOKUP($Q133,武学奇术!$A:$ZZ,30,FALSE)="回旋伞",$B$21,0))*(1+$BQ133)</f>
        <v>0</v>
      </c>
      <c r="O133" s="41">
        <f>((($AN133*$AH133+$AI133)*(1+$AP133)*(1+$AQ133)+($AS133*IF($G$1="鸣金",$AJ133,$AH133)+IF($G$1="鸣金",$AK133*1.5,0))*(1+$AU133)*(1+$AV133)+($AW133*IF($G$1="裂石",$AJ133,$AH133)+IF($G$1="裂石",$AK133*1.5,0))*(1+$AY133)*(1+$AZ133)+($BA133*IF($G$1="牵丝",$AJ133,$AH133)+IF($G$1="牵丝",$AK133*1.5,0))*(1+$BC133)*(1+$BD133)+($BE133*IF($G$1="破竹",$AJ133,$AH133)+IF($G$1="破竹",$AK133*1.5,0))*(1+$BG133)*(1+$BH133))*(1+$AL133))*$P133*(1+IF(VLOOKUP($Q133,武学奇术!$A:$ZZ,30,FALSE)="回旋伞",$B$21,0))*(1+$BQ133)</f>
        <v>0</v>
      </c>
      <c r="P133" s="42">
        <v>1</v>
      </c>
      <c r="Q133" s="43" t="s">
        <v>71</v>
      </c>
      <c r="R133" s="43" t="s">
        <v>71</v>
      </c>
      <c r="S133" s="43" t="s">
        <v>71</v>
      </c>
      <c r="T133" s="43" t="s">
        <v>71</v>
      </c>
      <c r="U133" s="43" t="s">
        <v>71</v>
      </c>
      <c r="V133" s="43" t="s">
        <v>71</v>
      </c>
      <c r="W133" s="43" t="s">
        <v>71</v>
      </c>
      <c r="X133" s="43" t="s">
        <v>71</v>
      </c>
      <c r="Y133" s="43" t="s">
        <v>71</v>
      </c>
      <c r="Z133" s="43" t="s">
        <v>71</v>
      </c>
      <c r="AA133" s="43" t="s">
        <v>71</v>
      </c>
      <c r="AB133" s="43" t="s">
        <v>71</v>
      </c>
      <c r="AC133" s="43" t="s">
        <v>71</v>
      </c>
      <c r="AD133" s="43" t="s">
        <v>71</v>
      </c>
      <c r="AE133" s="43" t="s">
        <v>71</v>
      </c>
      <c r="AF133" s="43" t="s">
        <v>76</v>
      </c>
      <c r="AG133" t="str">
        <f>VLOOKUP($Q133,武学奇术!$A:$ZZ,25,FALSE)</f>
        <v>心法</v>
      </c>
      <c r="AH133" s="30">
        <f>VLOOKUP($Q133,武学奇术!$A:$ZZ,26,FALSE)</f>
        <v>0</v>
      </c>
      <c r="AI133" s="31">
        <f>VLOOKUP($Q133,武学奇术!$A:$ZZ,27,FALSE)*(1+IF(OR($AG133=$F$4,$AG133=$F$5),$B$22,0))</f>
        <v>0</v>
      </c>
      <c r="AJ133" s="30">
        <f>VLOOKUP($Q133,武学奇术!$A:$ZZ,28,FALSE)</f>
        <v>0</v>
      </c>
      <c r="AK133" s="31">
        <f>VLOOKUP($Q133,武学奇术!$A:$ZZ,29,FALSE)*(1+IF(OR($AG133=$F$4,$AG133=$F$5),$B$22,0))</f>
        <v>0</v>
      </c>
      <c r="AL133" s="30" cm="1">
        <f t="array" ref="AL133">$G$3+IFERROR(VLOOKUP($AG133,$F$4:$G$7,2,FALSE),0)+VLOOKUP($Q133,武学奇术!$A:$ZZ,2,FALSE)+SUM(_xlfn.XLOOKUP($R133:$AF133,增益!$A:$A,增益!$B:$B,0))</f>
        <v>0.1037</v>
      </c>
      <c r="AM133" s="30" cm="1">
        <f t="array" ref="AM133">VLOOKUP($Q133,武学奇术!$A:$ZZ,5,FALSE)+SUM(_xlfn.XLOOKUP($R133:$AF133,增益!$A:$A,增益!$E:$E,0))</f>
        <v>0</v>
      </c>
      <c r="AN133" cm="1">
        <f t="array" ref="AN133">$D$10*(1+$AM133)+VLOOKUP($Q133,武学奇术!$A:$ZZ,3,FALSE)+SUM(_xlfn.XLOOKUP($R133:$AF133,增益!$A:$A,增益!$C:$C,0))-$I$2</f>
        <v>3483.8</v>
      </c>
      <c r="AO133" cm="1">
        <f t="array" ref="AO133">$E$10*(1+$AM133)+VLOOKUP($Q133,武学奇术!$A:$ZZ,4,FALSE)+SUM(_xlfn.XLOOKUP($R133:$AF133,增益!$A:$A,增益!$D:$D,0))-$I$2</f>
        <v>3483.8</v>
      </c>
      <c r="AP133" s="35" cm="1">
        <f t="array" ref="AP133">IF($F$10-$I$3+VLOOKUP($Q133,武学奇术!$A:$ZZ,6,FALSE)+SUM(_xlfn.XLOOKUP(R133:AF133,增益!$A:$A,增益!$F:$F,0))&gt;0,($F$10-$I$3+VLOOKUP($Q133,武学奇术!$A:$ZZ,6,FALSE)+SUM(_xlfn.XLOOKUP(R133:AF133,增益!$A:$A,增益!$F:$F,0)))/200,($F$10-$I$3+VLOOKUP($Q133,武学奇术!$A:$ZZ,6,FALSE)+SUM(_xlfn.XLOOKUP(R133:AF133,增益!$A:$A,增益!$F:$F,0)))/100)</f>
        <v>0.1925</v>
      </c>
      <c r="AQ133" s="35" cm="1">
        <f t="array" ref="AQ133">$G$10+VLOOKUP($Q133,武学奇术!$A:$ZZ,7,FALSE)+SUM(_xlfn.XLOOKUP(R133:AF133,增益!$A:$A,增益!$G:$G,0))</f>
        <v>0.028</v>
      </c>
      <c r="AR133" s="30" cm="1">
        <f t="array" ref="AR133">VLOOKUP($Q133,武学奇术!$A:$ZZ,8,FALSE)+SUM(_xlfn.XLOOKUP(R133:AF133,增益!$A:$A,增益!$H:$H,0))</f>
        <v>0</v>
      </c>
      <c r="AS133">
        <f t="shared" si="26"/>
        <v>0</v>
      </c>
      <c r="AT133">
        <f t="shared" si="27"/>
        <v>0</v>
      </c>
      <c r="AU133" s="35" cm="1">
        <f t="array" ref="AU133">IF($F$11-$I$4+VLOOKUP($Q133,武学奇术!$A:$ZZ,9,FALSE)+SUM(_xlfn.XLOOKUP(R133:AF133,增益!$A:$A,增益!$I:$I,0))&gt;0,($F$11-$I$4+VLOOKUP($Q133,武学奇术!$A:$ZZ,9,FALSE)+SUM(_xlfn.XLOOKUP(R133:AF133,增益!$A:$A,增益!$I:$I,0)))/200,($F$11-$I$4+VLOOKUP($Q133,武学奇术!$A:$ZZ,9,FALSE)+SUM(_xlfn.XLOOKUP(R133:AF133,增益!$A:$A,增益!$I:$I,0)))/100)</f>
        <v>-0.3</v>
      </c>
      <c r="AV133" s="35" cm="1">
        <f t="array" ref="AV133">$G$11+VLOOKUP($Q133,武学奇术!$A:$ZZ,10,FALSE)+SUM(_xlfn.XLOOKUP(R133:AF133,增益!$A:$A,增益!$J:$J,0))</f>
        <v>0</v>
      </c>
      <c r="AW133">
        <f t="shared" si="28"/>
        <v>0</v>
      </c>
      <c r="AX133">
        <f t="shared" si="29"/>
        <v>0</v>
      </c>
      <c r="AY133" s="35" cm="1">
        <f t="array" ref="AY133">IF($F$12-$I$4+VLOOKUP($Q133,武学奇术!$A:$ZZ,11,FALSE)+SUM(_xlfn.XLOOKUP(R133:AF133,增益!$A:$A,增益!$K:$K,0))&gt;0,($F$12-$I$4+VLOOKUP($Q133,武学奇术!$A:$ZZ,11,FALSE)+SUM(_xlfn.XLOOKUP(R133:AF133,增益!$A:$A,增益!$K:$K,0)))/200,($F$12-$I$4+VLOOKUP($Q133,武学奇术!$A:$ZZ,11,FALSE)+SUM(_xlfn.XLOOKUP(R133:AF133,增益!$A:$A,增益!$K:$K,0)))/100)</f>
        <v>-0.3</v>
      </c>
      <c r="AZ133" s="35" cm="1">
        <f t="array" ref="AZ133">$G$12+VLOOKUP($Q133,武学奇术!$A:$ZZ,12,FALSE)+SUM(_xlfn.XLOOKUP(R133:AF133,增益!$A:$A,增益!$L:$L,0))</f>
        <v>0</v>
      </c>
      <c r="BA133">
        <f t="shared" si="30"/>
        <v>0</v>
      </c>
      <c r="BB133">
        <f t="shared" si="31"/>
        <v>0</v>
      </c>
      <c r="BC133" s="35" cm="1">
        <f t="array" ref="BC133">IF($F$13-$I$4+VLOOKUP($Q133,武学奇术!$A:$ZZ,13,FALSE)+SUM(_xlfn.XLOOKUP(R133:AF133,增益!$A:$A,增益!$M:$M,0))&gt;0,($F$13-$I$4+VLOOKUP($Q133,武学奇术!$A:$ZZ,13,FALSE)+SUM(_xlfn.XLOOKUP(R133:AF133,增益!$A:$A,增益!$K:$K,0)))/200,($F$13-$I$4+VLOOKUP($Q133,武学奇术!$A:$ZZ,13,FALSE)+SUM(_xlfn.XLOOKUP(R133:AF133,增益!$A:$A,增益!$M:$M,0)))/100)</f>
        <v>-0.3</v>
      </c>
      <c r="BD133" s="35" cm="1">
        <f t="array" ref="BD133">$G$13+VLOOKUP($Q133,武学奇术!$A:$ZZ,14,FALSE)+SUM(_xlfn.XLOOKUP(R133:AF133,增益!$A:$A,增益!$N:$N,0))</f>
        <v>0</v>
      </c>
      <c r="BE133">
        <f t="shared" si="32"/>
        <v>538</v>
      </c>
      <c r="BF133">
        <f t="shared" si="33"/>
        <v>1561.4</v>
      </c>
      <c r="BG133" s="35" cm="1">
        <f t="array" ref="BG133">IF($F$14-$I$4+VLOOKUP($Q133,武学奇术!$A:$ZZ,15,FALSE)+SUM(_xlfn.XLOOKUP(R133:AF133,增益!$A:$A,增益!$O:$O,0))&gt;0,($F$14-$I$4+VLOOKUP($Q133,武学奇术!$A:$ZZ,15,FALSE)+SUM(_xlfn.XLOOKUP(R133:AF133,增益!$A:$A,增益!$O:$O,0)))/200,($F$14-$I$4+VLOOKUP($Q133,武学奇术!$A:$ZZ,15,FALSE)+SUM(_xlfn.XLOOKUP(R133:AF133,增益!$A:$A,增益!$O:$O,0)))/100)</f>
        <v>0</v>
      </c>
      <c r="BH133" s="35" cm="1">
        <f t="array" ref="BH133">$G$14+VLOOKUP($Q133,武学奇术!$A:$ZZ,16,FALSE)+SUM(_xlfn.XLOOKUP(R133:AF133,增益!$A:$A,增益!$P:$P,0))</f>
        <v>0.15</v>
      </c>
      <c r="BI133" s="30">
        <f>MIN(IF(VLOOKUP($Q133,武学奇术!$A:$ZZ,23,FALSE)=1,100%,$B$8),100%)</f>
        <v>0.9712</v>
      </c>
      <c r="BJ133" s="30" cm="1">
        <f t="array" ref="BJ133">IF(VLOOKUP($Q133,武学奇术!$A:$ZZ,23,FALSE)=1,100%,MIN(80%,$B$9+VLOOKUP($Q133,武学奇术!$A:$ZZ,17,FALSE)+SUM(_xlfn.XLOOKUP(R133:AF133,增益!$A:$A,增益!$Q:$Q,0)))+$B$11+SUM(_xlfn.XLOOKUP(R133:AF133,增益!$A:$A,增益!$U:$U,0)))*IF(VLOOKUP($Q133,武学奇术!$A:$ZZ,24,FALSE)=1,0,1)</f>
        <v>0.8773</v>
      </c>
      <c r="BK133" s="30" cm="1">
        <f t="array" ref="BK133">1+$B$13+VLOOKUP($Q133,武学奇术!$A:$ZZ,18,FALSE)+SUM(_xlfn.XLOOKUP(R133:AF133,增益!$A:$A,增益!$R:$R,0))</f>
        <v>1.5</v>
      </c>
      <c r="BL133" s="30" cm="1">
        <f t="array" ref="BL133">IF(VLOOKUP($Q133,武学奇术!$A:$ZZ,24,FALSE)=1,100%,MIN(40%,$B$10+VLOOKUP($Q133,武学奇术!$A:$ZZ,19,FALSE)+SUM(_xlfn.XLOOKUP(R133:AF133,增益!$A:$A,增益!$S:$S,0)))+$B$12+SUM(_xlfn.XLOOKUP(R133:AF133,增益!$A:$A,增益!$V:$V,0)))*IF(VLOOKUP($Q133,武学奇术!$A:$ZZ,23,FALSE)=1,0,1)</f>
        <v>0.0895</v>
      </c>
      <c r="BM133" s="30" cm="1">
        <f t="array" ref="BM133">1+$B$14+VLOOKUP($Q133,武学奇术!$A:$ZZ,20,FALSE)+SUM(_xlfn.XLOOKUP(R133:AF133,增益!$A:$A,增益!$T:$T,0))</f>
        <v>1.35</v>
      </c>
      <c r="BN133" s="30">
        <f t="shared" si="34"/>
        <v>0.85203376</v>
      </c>
      <c r="BO133" s="30">
        <f t="shared" si="35"/>
        <v>0.03224384</v>
      </c>
      <c r="BP133" s="30">
        <f>IF(VLOOKUP($Q133,武学奇术!$A:$ZZ,22,FALSE)=1,0,(1-$BI133))*(1-$BL133)</f>
        <v>0.0262224</v>
      </c>
      <c r="BQ133" s="30" cm="1">
        <f t="array" ref="BQ133">SUM(_xlfn.XLOOKUP(R133:AF133,增益!$A:$A,增益!$W:$W,0))+$I$5</f>
        <v>0.11</v>
      </c>
    </row>
    <row r="134" spans="11:69">
      <c r="K134" s="41">
        <f t="shared" si="36"/>
        <v>0</v>
      </c>
      <c r="L134" s="41">
        <f>((($AN134+$AO134)/2*$AH134+$AI134)*(1+$AP134)*(1+$AQ134)+(($AS134+$AT134)/2*IF($G$1="鸣金",$AJ134,$AH134)+IF($G$1="鸣金",$AK134*1.5,0))*(1+$AU134)*(1+$AV134)+(($AW134+$AX134)/2*IF($G$1="裂石",$AJ134,$AH134)+IF($G$1="裂石",$AK134*1.5,0))*(1+$AY134)*(1+$AZ134)+(($BA134+$BB134)/2*IF($G$1="牵丝",$AJ134,$AH134)+IF($G$1="牵丝",$AK134*1.5,0))*(1+$BC134)*(1+$BD134)+(($BE134+$BF134)/2*IF($G$1="破竹",$AJ134,$AH134)+IF($G$1="破竹",$AK134*1.5,0))*(1+$BG134)*(1+$BH134))*(1+$AL134)*$BK134*$P134*(1+IF(VLOOKUP($Q134,武学奇术!$A:$ZZ,30,FALSE)="回旋伞",$B$21,0))*(1+$BQ134)</f>
        <v>0</v>
      </c>
      <c r="M134" s="41">
        <f>(($AO134*$AH134+$AI134)*(1+$AP134)*(1+$AQ134)+($AT134*IF($G$1="鸣金",$AJ134,$AH134)+IF($G$1="鸣金",$AK134*1.5,0))*(1+$AU134)*(1+$AV134)+($AX134*IF($G$1="裂石",$AJ134,$AH134)+IF($G$1="裂石",$AK134*1.5,0))*(1+$AY134)*(1+$AZ134)+($BB134*IF($G$1="牵丝",$AJ134,$AH134)+IF($G$1="牵丝",$AK134*1.5,0))*(1+$BC134)*(1+$BD134)+($BF134*IF($G$1="破竹",$AJ134,$AH134)+IF($G$1="破竹",$AK134*1.5,0))*(1+$BG134)*(1+$BH134))*(1+$AL134)*$BM134*$P134*(1+IF(VLOOKUP($Q134,武学奇术!$A:$ZZ,30,FALSE)="回旋伞",$B$21,0))*(1+$BQ134)</f>
        <v>0</v>
      </c>
      <c r="N134" s="41">
        <f>((($AN134+$AO134)/2*$AH134+$AI134)*(1+$AP134)*(1+$AQ134)+(($AS134+$AT134)/2*IF($G$1="鸣金",$AJ134,$AH134)+IF($G$1="鸣金",$AK134*1.5,0))*(1+$AU134)*(1+$AV134)+(($AW134+$AX134)/2*IF($G$1="裂石",$AJ134,$AH134)+IF($G$1="裂石",$AK134*1.5,0))*(1+$AY134)*(1+$AZ134)+(($BA134+$BB134)/2*IF($G$1="牵丝",$AJ134,$AH134)+IF($G$1="牵丝",$AK134*1.5,0))*(1+$BC134)*(1+$BD134)+(($BE134+$BF134)/2*IF($G$1="破竹",$AJ134,$AH134)+IF($G$1="破竹",$AK134*1.5,0))*(1+$BG134)*(1+$BH134))*(1+$AL134)*$P134*(1+IF(VLOOKUP($Q134,武学奇术!$A:$ZZ,30,FALSE)="回旋伞",$B$21,0))*(1+$BQ134)</f>
        <v>0</v>
      </c>
      <c r="O134" s="41">
        <f>((($AN134*$AH134+$AI134)*(1+$AP134)*(1+$AQ134)+($AS134*IF($G$1="鸣金",$AJ134,$AH134)+IF($G$1="鸣金",$AK134*1.5,0))*(1+$AU134)*(1+$AV134)+($AW134*IF($G$1="裂石",$AJ134,$AH134)+IF($G$1="裂石",$AK134*1.5,0))*(1+$AY134)*(1+$AZ134)+($BA134*IF($G$1="牵丝",$AJ134,$AH134)+IF($G$1="牵丝",$AK134*1.5,0))*(1+$BC134)*(1+$BD134)+($BE134*IF($G$1="破竹",$AJ134,$AH134)+IF($G$1="破竹",$AK134*1.5,0))*(1+$BG134)*(1+$BH134))*(1+$AL134))*$P134*(1+IF(VLOOKUP($Q134,武学奇术!$A:$ZZ,30,FALSE)="回旋伞",$B$21,0))*(1+$BQ134)</f>
        <v>0</v>
      </c>
      <c r="P134" s="42">
        <v>1</v>
      </c>
      <c r="Q134" s="43" t="s">
        <v>71</v>
      </c>
      <c r="R134" s="43" t="s">
        <v>71</v>
      </c>
      <c r="S134" s="43" t="s">
        <v>71</v>
      </c>
      <c r="T134" s="43" t="s">
        <v>71</v>
      </c>
      <c r="U134" s="43" t="s">
        <v>71</v>
      </c>
      <c r="V134" s="43" t="s">
        <v>71</v>
      </c>
      <c r="W134" s="43" t="s">
        <v>71</v>
      </c>
      <c r="X134" s="43" t="s">
        <v>71</v>
      </c>
      <c r="Y134" s="43" t="s">
        <v>71</v>
      </c>
      <c r="Z134" s="43" t="s">
        <v>71</v>
      </c>
      <c r="AA134" s="43" t="s">
        <v>71</v>
      </c>
      <c r="AB134" s="43" t="s">
        <v>71</v>
      </c>
      <c r="AC134" s="43" t="s">
        <v>71</v>
      </c>
      <c r="AD134" s="43" t="s">
        <v>71</v>
      </c>
      <c r="AE134" s="43" t="s">
        <v>71</v>
      </c>
      <c r="AF134" s="43" t="s">
        <v>76</v>
      </c>
      <c r="AG134" t="str">
        <f>VLOOKUP($Q134,武学奇术!$A:$ZZ,25,FALSE)</f>
        <v>心法</v>
      </c>
      <c r="AH134" s="30">
        <f>VLOOKUP($Q134,武学奇术!$A:$ZZ,26,FALSE)</f>
        <v>0</v>
      </c>
      <c r="AI134" s="31">
        <f>VLOOKUP($Q134,武学奇术!$A:$ZZ,27,FALSE)*(1+IF(OR($AG134=$F$4,$AG134=$F$5),$B$22,0))</f>
        <v>0</v>
      </c>
      <c r="AJ134" s="30">
        <f>VLOOKUP($Q134,武学奇术!$A:$ZZ,28,FALSE)</f>
        <v>0</v>
      </c>
      <c r="AK134" s="31">
        <f>VLOOKUP($Q134,武学奇术!$A:$ZZ,29,FALSE)*(1+IF(OR($AG134=$F$4,$AG134=$F$5),$B$22,0))</f>
        <v>0</v>
      </c>
      <c r="AL134" s="30" cm="1">
        <f t="array" ref="AL134">$G$3+IFERROR(VLOOKUP($AG134,$F$4:$G$7,2,FALSE),0)+VLOOKUP($Q134,武学奇术!$A:$ZZ,2,FALSE)+SUM(_xlfn.XLOOKUP($R134:$AF134,增益!$A:$A,增益!$B:$B,0))</f>
        <v>0.1037</v>
      </c>
      <c r="AM134" s="30" cm="1">
        <f t="array" ref="AM134">VLOOKUP($Q134,武学奇术!$A:$ZZ,5,FALSE)+SUM(_xlfn.XLOOKUP($R134:$AF134,增益!$A:$A,增益!$E:$E,0))</f>
        <v>0</v>
      </c>
      <c r="AN134" cm="1">
        <f t="array" ref="AN134">$D$10*(1+$AM134)+VLOOKUP($Q134,武学奇术!$A:$ZZ,3,FALSE)+SUM(_xlfn.XLOOKUP($R134:$AF134,增益!$A:$A,增益!$C:$C,0))-$I$2</f>
        <v>3483.8</v>
      </c>
      <c r="AO134" cm="1">
        <f t="array" ref="AO134">$E$10*(1+$AM134)+VLOOKUP($Q134,武学奇术!$A:$ZZ,4,FALSE)+SUM(_xlfn.XLOOKUP($R134:$AF134,增益!$A:$A,增益!$D:$D,0))-$I$2</f>
        <v>3483.8</v>
      </c>
      <c r="AP134" s="35" cm="1">
        <f t="array" ref="AP134">IF($F$10-$I$3+VLOOKUP($Q134,武学奇术!$A:$ZZ,6,FALSE)+SUM(_xlfn.XLOOKUP(R134:AF134,增益!$A:$A,增益!$F:$F,0))&gt;0,($F$10-$I$3+VLOOKUP($Q134,武学奇术!$A:$ZZ,6,FALSE)+SUM(_xlfn.XLOOKUP(R134:AF134,增益!$A:$A,增益!$F:$F,0)))/200,($F$10-$I$3+VLOOKUP($Q134,武学奇术!$A:$ZZ,6,FALSE)+SUM(_xlfn.XLOOKUP(R134:AF134,增益!$A:$A,增益!$F:$F,0)))/100)</f>
        <v>0.1925</v>
      </c>
      <c r="AQ134" s="35" cm="1">
        <f t="array" ref="AQ134">$G$10+VLOOKUP($Q134,武学奇术!$A:$ZZ,7,FALSE)+SUM(_xlfn.XLOOKUP(R134:AF134,增益!$A:$A,增益!$G:$G,0))</f>
        <v>0.028</v>
      </c>
      <c r="AR134" s="30" cm="1">
        <f t="array" ref="AR134">VLOOKUP($Q134,武学奇术!$A:$ZZ,8,FALSE)+SUM(_xlfn.XLOOKUP(R134:AF134,增益!$A:$A,增益!$H:$H,0))</f>
        <v>0</v>
      </c>
      <c r="AS134">
        <f t="shared" si="26"/>
        <v>0</v>
      </c>
      <c r="AT134">
        <f t="shared" si="27"/>
        <v>0</v>
      </c>
      <c r="AU134" s="35" cm="1">
        <f t="array" ref="AU134">IF($F$11-$I$4+VLOOKUP($Q134,武学奇术!$A:$ZZ,9,FALSE)+SUM(_xlfn.XLOOKUP(R134:AF134,增益!$A:$A,增益!$I:$I,0))&gt;0,($F$11-$I$4+VLOOKUP($Q134,武学奇术!$A:$ZZ,9,FALSE)+SUM(_xlfn.XLOOKUP(R134:AF134,增益!$A:$A,增益!$I:$I,0)))/200,($F$11-$I$4+VLOOKUP($Q134,武学奇术!$A:$ZZ,9,FALSE)+SUM(_xlfn.XLOOKUP(R134:AF134,增益!$A:$A,增益!$I:$I,0)))/100)</f>
        <v>-0.3</v>
      </c>
      <c r="AV134" s="35" cm="1">
        <f t="array" ref="AV134">$G$11+VLOOKUP($Q134,武学奇术!$A:$ZZ,10,FALSE)+SUM(_xlfn.XLOOKUP(R134:AF134,增益!$A:$A,增益!$J:$J,0))</f>
        <v>0</v>
      </c>
      <c r="AW134">
        <f t="shared" si="28"/>
        <v>0</v>
      </c>
      <c r="AX134">
        <f t="shared" si="29"/>
        <v>0</v>
      </c>
      <c r="AY134" s="35" cm="1">
        <f t="array" ref="AY134">IF($F$12-$I$4+VLOOKUP($Q134,武学奇术!$A:$ZZ,11,FALSE)+SUM(_xlfn.XLOOKUP(R134:AF134,增益!$A:$A,增益!$K:$K,0))&gt;0,($F$12-$I$4+VLOOKUP($Q134,武学奇术!$A:$ZZ,11,FALSE)+SUM(_xlfn.XLOOKUP(R134:AF134,增益!$A:$A,增益!$K:$K,0)))/200,($F$12-$I$4+VLOOKUP($Q134,武学奇术!$A:$ZZ,11,FALSE)+SUM(_xlfn.XLOOKUP(R134:AF134,增益!$A:$A,增益!$K:$K,0)))/100)</f>
        <v>-0.3</v>
      </c>
      <c r="AZ134" s="35" cm="1">
        <f t="array" ref="AZ134">$G$12+VLOOKUP($Q134,武学奇术!$A:$ZZ,12,FALSE)+SUM(_xlfn.XLOOKUP(R134:AF134,增益!$A:$A,增益!$L:$L,0))</f>
        <v>0</v>
      </c>
      <c r="BA134">
        <f t="shared" si="30"/>
        <v>0</v>
      </c>
      <c r="BB134">
        <f t="shared" si="31"/>
        <v>0</v>
      </c>
      <c r="BC134" s="35" cm="1">
        <f t="array" ref="BC134">IF($F$13-$I$4+VLOOKUP($Q134,武学奇术!$A:$ZZ,13,FALSE)+SUM(_xlfn.XLOOKUP(R134:AF134,增益!$A:$A,增益!$M:$M,0))&gt;0,($F$13-$I$4+VLOOKUP($Q134,武学奇术!$A:$ZZ,13,FALSE)+SUM(_xlfn.XLOOKUP(R134:AF134,增益!$A:$A,增益!$K:$K,0)))/200,($F$13-$I$4+VLOOKUP($Q134,武学奇术!$A:$ZZ,13,FALSE)+SUM(_xlfn.XLOOKUP(R134:AF134,增益!$A:$A,增益!$M:$M,0)))/100)</f>
        <v>-0.3</v>
      </c>
      <c r="BD134" s="35" cm="1">
        <f t="array" ref="BD134">$G$13+VLOOKUP($Q134,武学奇术!$A:$ZZ,14,FALSE)+SUM(_xlfn.XLOOKUP(R134:AF134,增益!$A:$A,增益!$N:$N,0))</f>
        <v>0</v>
      </c>
      <c r="BE134">
        <f t="shared" si="32"/>
        <v>538</v>
      </c>
      <c r="BF134">
        <f t="shared" si="33"/>
        <v>1561.4</v>
      </c>
      <c r="BG134" s="35" cm="1">
        <f t="array" ref="BG134">IF($F$14-$I$4+VLOOKUP($Q134,武学奇术!$A:$ZZ,15,FALSE)+SUM(_xlfn.XLOOKUP(R134:AF134,增益!$A:$A,增益!$O:$O,0))&gt;0,($F$14-$I$4+VLOOKUP($Q134,武学奇术!$A:$ZZ,15,FALSE)+SUM(_xlfn.XLOOKUP(R134:AF134,增益!$A:$A,增益!$O:$O,0)))/200,($F$14-$I$4+VLOOKUP($Q134,武学奇术!$A:$ZZ,15,FALSE)+SUM(_xlfn.XLOOKUP(R134:AF134,增益!$A:$A,增益!$O:$O,0)))/100)</f>
        <v>0</v>
      </c>
      <c r="BH134" s="35" cm="1">
        <f t="array" ref="BH134">$G$14+VLOOKUP($Q134,武学奇术!$A:$ZZ,16,FALSE)+SUM(_xlfn.XLOOKUP(R134:AF134,增益!$A:$A,增益!$P:$P,0))</f>
        <v>0.15</v>
      </c>
      <c r="BI134" s="30">
        <f>MIN(IF(VLOOKUP($Q134,武学奇术!$A:$ZZ,23,FALSE)=1,100%,$B$8),100%)</f>
        <v>0.9712</v>
      </c>
      <c r="BJ134" s="30" cm="1">
        <f t="array" ref="BJ134">IF(VLOOKUP($Q134,武学奇术!$A:$ZZ,23,FALSE)=1,100%,MIN(80%,$B$9+VLOOKUP($Q134,武学奇术!$A:$ZZ,17,FALSE)+SUM(_xlfn.XLOOKUP(R134:AF134,增益!$A:$A,增益!$Q:$Q,0)))+$B$11+SUM(_xlfn.XLOOKUP(R134:AF134,增益!$A:$A,增益!$U:$U,0)))*IF(VLOOKUP($Q134,武学奇术!$A:$ZZ,24,FALSE)=1,0,1)</f>
        <v>0.8773</v>
      </c>
      <c r="BK134" s="30" cm="1">
        <f t="array" ref="BK134">1+$B$13+VLOOKUP($Q134,武学奇术!$A:$ZZ,18,FALSE)+SUM(_xlfn.XLOOKUP(R134:AF134,增益!$A:$A,增益!$R:$R,0))</f>
        <v>1.5</v>
      </c>
      <c r="BL134" s="30" cm="1">
        <f t="array" ref="BL134">IF(VLOOKUP($Q134,武学奇术!$A:$ZZ,24,FALSE)=1,100%,MIN(40%,$B$10+VLOOKUP($Q134,武学奇术!$A:$ZZ,19,FALSE)+SUM(_xlfn.XLOOKUP(R134:AF134,增益!$A:$A,增益!$S:$S,0)))+$B$12+SUM(_xlfn.XLOOKUP(R134:AF134,增益!$A:$A,增益!$V:$V,0)))*IF(VLOOKUP($Q134,武学奇术!$A:$ZZ,23,FALSE)=1,0,1)</f>
        <v>0.0895</v>
      </c>
      <c r="BM134" s="30" cm="1">
        <f t="array" ref="BM134">1+$B$14+VLOOKUP($Q134,武学奇术!$A:$ZZ,20,FALSE)+SUM(_xlfn.XLOOKUP(R134:AF134,增益!$A:$A,增益!$T:$T,0))</f>
        <v>1.35</v>
      </c>
      <c r="BN134" s="30">
        <f t="shared" si="34"/>
        <v>0.85203376</v>
      </c>
      <c r="BO134" s="30">
        <f t="shared" si="35"/>
        <v>0.03224384</v>
      </c>
      <c r="BP134" s="30">
        <f>IF(VLOOKUP($Q134,武学奇术!$A:$ZZ,22,FALSE)=1,0,(1-$BI134))*(1-$BL134)</f>
        <v>0.0262224</v>
      </c>
      <c r="BQ134" s="30" cm="1">
        <f t="array" ref="BQ134">SUM(_xlfn.XLOOKUP(R134:AF134,增益!$A:$A,增益!$W:$W,0))+$I$5</f>
        <v>0.11</v>
      </c>
    </row>
    <row r="135" spans="11:69">
      <c r="K135" s="41">
        <f t="shared" si="36"/>
        <v>0</v>
      </c>
      <c r="L135" s="41">
        <f>((($AN135+$AO135)/2*$AH135+$AI135)*(1+$AP135)*(1+$AQ135)+(($AS135+$AT135)/2*IF($G$1="鸣金",$AJ135,$AH135)+IF($G$1="鸣金",$AK135*1.5,0))*(1+$AU135)*(1+$AV135)+(($AW135+$AX135)/2*IF($G$1="裂石",$AJ135,$AH135)+IF($G$1="裂石",$AK135*1.5,0))*(1+$AY135)*(1+$AZ135)+(($BA135+$BB135)/2*IF($G$1="牵丝",$AJ135,$AH135)+IF($G$1="牵丝",$AK135*1.5,0))*(1+$BC135)*(1+$BD135)+(($BE135+$BF135)/2*IF($G$1="破竹",$AJ135,$AH135)+IF($G$1="破竹",$AK135*1.5,0))*(1+$BG135)*(1+$BH135))*(1+$AL135)*$BK135*$P135*(1+IF(VLOOKUP($Q135,武学奇术!$A:$ZZ,30,FALSE)="回旋伞",$B$21,0))*(1+$BQ135)</f>
        <v>0</v>
      </c>
      <c r="M135" s="41">
        <f>(($AO135*$AH135+$AI135)*(1+$AP135)*(1+$AQ135)+($AT135*IF($G$1="鸣金",$AJ135,$AH135)+IF($G$1="鸣金",$AK135*1.5,0))*(1+$AU135)*(1+$AV135)+($AX135*IF($G$1="裂石",$AJ135,$AH135)+IF($G$1="裂石",$AK135*1.5,0))*(1+$AY135)*(1+$AZ135)+($BB135*IF($G$1="牵丝",$AJ135,$AH135)+IF($G$1="牵丝",$AK135*1.5,0))*(1+$BC135)*(1+$BD135)+($BF135*IF($G$1="破竹",$AJ135,$AH135)+IF($G$1="破竹",$AK135*1.5,0))*(1+$BG135)*(1+$BH135))*(1+$AL135)*$BM135*$P135*(1+IF(VLOOKUP($Q135,武学奇术!$A:$ZZ,30,FALSE)="回旋伞",$B$21,0))*(1+$BQ135)</f>
        <v>0</v>
      </c>
      <c r="N135" s="41">
        <f>((($AN135+$AO135)/2*$AH135+$AI135)*(1+$AP135)*(1+$AQ135)+(($AS135+$AT135)/2*IF($G$1="鸣金",$AJ135,$AH135)+IF($G$1="鸣金",$AK135*1.5,0))*(1+$AU135)*(1+$AV135)+(($AW135+$AX135)/2*IF($G$1="裂石",$AJ135,$AH135)+IF($G$1="裂石",$AK135*1.5,0))*(1+$AY135)*(1+$AZ135)+(($BA135+$BB135)/2*IF($G$1="牵丝",$AJ135,$AH135)+IF($G$1="牵丝",$AK135*1.5,0))*(1+$BC135)*(1+$BD135)+(($BE135+$BF135)/2*IF($G$1="破竹",$AJ135,$AH135)+IF($G$1="破竹",$AK135*1.5,0))*(1+$BG135)*(1+$BH135))*(1+$AL135)*$P135*(1+IF(VLOOKUP($Q135,武学奇术!$A:$ZZ,30,FALSE)="回旋伞",$B$21,0))*(1+$BQ135)</f>
        <v>0</v>
      </c>
      <c r="O135" s="41">
        <f>((($AN135*$AH135+$AI135)*(1+$AP135)*(1+$AQ135)+($AS135*IF($G$1="鸣金",$AJ135,$AH135)+IF($G$1="鸣金",$AK135*1.5,0))*(1+$AU135)*(1+$AV135)+($AW135*IF($G$1="裂石",$AJ135,$AH135)+IF($G$1="裂石",$AK135*1.5,0))*(1+$AY135)*(1+$AZ135)+($BA135*IF($G$1="牵丝",$AJ135,$AH135)+IF($G$1="牵丝",$AK135*1.5,0))*(1+$BC135)*(1+$BD135)+($BE135*IF($G$1="破竹",$AJ135,$AH135)+IF($G$1="破竹",$AK135*1.5,0))*(1+$BG135)*(1+$BH135))*(1+$AL135))*$P135*(1+IF(VLOOKUP($Q135,武学奇术!$A:$ZZ,30,FALSE)="回旋伞",$B$21,0))*(1+$BQ135)</f>
        <v>0</v>
      </c>
      <c r="P135" s="42">
        <v>1</v>
      </c>
      <c r="Q135" s="43" t="s">
        <v>71</v>
      </c>
      <c r="R135" s="43" t="s">
        <v>71</v>
      </c>
      <c r="S135" s="43" t="s">
        <v>71</v>
      </c>
      <c r="T135" s="43" t="s">
        <v>71</v>
      </c>
      <c r="U135" s="43" t="s">
        <v>71</v>
      </c>
      <c r="V135" s="43" t="s">
        <v>71</v>
      </c>
      <c r="W135" s="43" t="s">
        <v>71</v>
      </c>
      <c r="X135" s="43" t="s">
        <v>71</v>
      </c>
      <c r="Y135" s="43" t="s">
        <v>71</v>
      </c>
      <c r="Z135" s="43" t="s">
        <v>71</v>
      </c>
      <c r="AA135" s="43" t="s">
        <v>71</v>
      </c>
      <c r="AB135" s="43" t="s">
        <v>71</v>
      </c>
      <c r="AC135" s="43" t="s">
        <v>71</v>
      </c>
      <c r="AD135" s="43" t="s">
        <v>71</v>
      </c>
      <c r="AE135" s="43" t="s">
        <v>71</v>
      </c>
      <c r="AF135" s="43" t="s">
        <v>76</v>
      </c>
      <c r="AG135" t="str">
        <f>VLOOKUP($Q135,武学奇术!$A:$ZZ,25,FALSE)</f>
        <v>心法</v>
      </c>
      <c r="AH135" s="30">
        <f>VLOOKUP($Q135,武学奇术!$A:$ZZ,26,FALSE)</f>
        <v>0</v>
      </c>
      <c r="AI135" s="31">
        <f>VLOOKUP($Q135,武学奇术!$A:$ZZ,27,FALSE)*(1+IF(OR($AG135=$F$4,$AG135=$F$5),$B$22,0))</f>
        <v>0</v>
      </c>
      <c r="AJ135" s="30">
        <f>VLOOKUP($Q135,武学奇术!$A:$ZZ,28,FALSE)</f>
        <v>0</v>
      </c>
      <c r="AK135" s="31">
        <f>VLOOKUP($Q135,武学奇术!$A:$ZZ,29,FALSE)*(1+IF(OR($AG135=$F$4,$AG135=$F$5),$B$22,0))</f>
        <v>0</v>
      </c>
      <c r="AL135" s="30" cm="1">
        <f t="array" ref="AL135">$G$3+IFERROR(VLOOKUP($AG135,$F$4:$G$7,2,FALSE),0)+VLOOKUP($Q135,武学奇术!$A:$ZZ,2,FALSE)+SUM(_xlfn.XLOOKUP($R135:$AF135,增益!$A:$A,增益!$B:$B,0))</f>
        <v>0.1037</v>
      </c>
      <c r="AM135" s="30" cm="1">
        <f t="array" ref="AM135">VLOOKUP($Q135,武学奇术!$A:$ZZ,5,FALSE)+SUM(_xlfn.XLOOKUP($R135:$AF135,增益!$A:$A,增益!$E:$E,0))</f>
        <v>0</v>
      </c>
      <c r="AN135" cm="1">
        <f t="array" ref="AN135">$D$10*(1+$AM135)+VLOOKUP($Q135,武学奇术!$A:$ZZ,3,FALSE)+SUM(_xlfn.XLOOKUP($R135:$AF135,增益!$A:$A,增益!$C:$C,0))-$I$2</f>
        <v>3483.8</v>
      </c>
      <c r="AO135" cm="1">
        <f t="array" ref="AO135">$E$10*(1+$AM135)+VLOOKUP($Q135,武学奇术!$A:$ZZ,4,FALSE)+SUM(_xlfn.XLOOKUP($R135:$AF135,增益!$A:$A,增益!$D:$D,0))-$I$2</f>
        <v>3483.8</v>
      </c>
      <c r="AP135" s="35" cm="1">
        <f t="array" ref="AP135">IF($F$10-$I$3+VLOOKUP($Q135,武学奇术!$A:$ZZ,6,FALSE)+SUM(_xlfn.XLOOKUP(R135:AF135,增益!$A:$A,增益!$F:$F,0))&gt;0,($F$10-$I$3+VLOOKUP($Q135,武学奇术!$A:$ZZ,6,FALSE)+SUM(_xlfn.XLOOKUP(R135:AF135,增益!$A:$A,增益!$F:$F,0)))/200,($F$10-$I$3+VLOOKUP($Q135,武学奇术!$A:$ZZ,6,FALSE)+SUM(_xlfn.XLOOKUP(R135:AF135,增益!$A:$A,增益!$F:$F,0)))/100)</f>
        <v>0.1925</v>
      </c>
      <c r="AQ135" s="35" cm="1">
        <f t="array" ref="AQ135">$G$10+VLOOKUP($Q135,武学奇术!$A:$ZZ,7,FALSE)+SUM(_xlfn.XLOOKUP(R135:AF135,增益!$A:$A,增益!$G:$G,0))</f>
        <v>0.028</v>
      </c>
      <c r="AR135" s="30" cm="1">
        <f t="array" ref="AR135">VLOOKUP($Q135,武学奇术!$A:$ZZ,8,FALSE)+SUM(_xlfn.XLOOKUP(R135:AF135,增益!$A:$A,增益!$H:$H,0))</f>
        <v>0</v>
      </c>
      <c r="AS135">
        <f t="shared" si="26"/>
        <v>0</v>
      </c>
      <c r="AT135">
        <f t="shared" si="27"/>
        <v>0</v>
      </c>
      <c r="AU135" s="35" cm="1">
        <f t="array" ref="AU135">IF($F$11-$I$4+VLOOKUP($Q135,武学奇术!$A:$ZZ,9,FALSE)+SUM(_xlfn.XLOOKUP(R135:AF135,增益!$A:$A,增益!$I:$I,0))&gt;0,($F$11-$I$4+VLOOKUP($Q135,武学奇术!$A:$ZZ,9,FALSE)+SUM(_xlfn.XLOOKUP(R135:AF135,增益!$A:$A,增益!$I:$I,0)))/200,($F$11-$I$4+VLOOKUP($Q135,武学奇术!$A:$ZZ,9,FALSE)+SUM(_xlfn.XLOOKUP(R135:AF135,增益!$A:$A,增益!$I:$I,0)))/100)</f>
        <v>-0.3</v>
      </c>
      <c r="AV135" s="35" cm="1">
        <f t="array" ref="AV135">$G$11+VLOOKUP($Q135,武学奇术!$A:$ZZ,10,FALSE)+SUM(_xlfn.XLOOKUP(R135:AF135,增益!$A:$A,增益!$J:$J,0))</f>
        <v>0</v>
      </c>
      <c r="AW135">
        <f t="shared" si="28"/>
        <v>0</v>
      </c>
      <c r="AX135">
        <f t="shared" si="29"/>
        <v>0</v>
      </c>
      <c r="AY135" s="35" cm="1">
        <f t="array" ref="AY135">IF($F$12-$I$4+VLOOKUP($Q135,武学奇术!$A:$ZZ,11,FALSE)+SUM(_xlfn.XLOOKUP(R135:AF135,增益!$A:$A,增益!$K:$K,0))&gt;0,($F$12-$I$4+VLOOKUP($Q135,武学奇术!$A:$ZZ,11,FALSE)+SUM(_xlfn.XLOOKUP(R135:AF135,增益!$A:$A,增益!$K:$K,0)))/200,($F$12-$I$4+VLOOKUP($Q135,武学奇术!$A:$ZZ,11,FALSE)+SUM(_xlfn.XLOOKUP(R135:AF135,增益!$A:$A,增益!$K:$K,0)))/100)</f>
        <v>-0.3</v>
      </c>
      <c r="AZ135" s="35" cm="1">
        <f t="array" ref="AZ135">$G$12+VLOOKUP($Q135,武学奇术!$A:$ZZ,12,FALSE)+SUM(_xlfn.XLOOKUP(R135:AF135,增益!$A:$A,增益!$L:$L,0))</f>
        <v>0</v>
      </c>
      <c r="BA135">
        <f t="shared" si="30"/>
        <v>0</v>
      </c>
      <c r="BB135">
        <f t="shared" si="31"/>
        <v>0</v>
      </c>
      <c r="BC135" s="35" cm="1">
        <f t="array" ref="BC135">IF($F$13-$I$4+VLOOKUP($Q135,武学奇术!$A:$ZZ,13,FALSE)+SUM(_xlfn.XLOOKUP(R135:AF135,增益!$A:$A,增益!$M:$M,0))&gt;0,($F$13-$I$4+VLOOKUP($Q135,武学奇术!$A:$ZZ,13,FALSE)+SUM(_xlfn.XLOOKUP(R135:AF135,增益!$A:$A,增益!$K:$K,0)))/200,($F$13-$I$4+VLOOKUP($Q135,武学奇术!$A:$ZZ,13,FALSE)+SUM(_xlfn.XLOOKUP(R135:AF135,增益!$A:$A,增益!$M:$M,0)))/100)</f>
        <v>-0.3</v>
      </c>
      <c r="BD135" s="35" cm="1">
        <f t="array" ref="BD135">$G$13+VLOOKUP($Q135,武学奇术!$A:$ZZ,14,FALSE)+SUM(_xlfn.XLOOKUP(R135:AF135,增益!$A:$A,增益!$N:$N,0))</f>
        <v>0</v>
      </c>
      <c r="BE135">
        <f t="shared" si="32"/>
        <v>538</v>
      </c>
      <c r="BF135">
        <f t="shared" si="33"/>
        <v>1561.4</v>
      </c>
      <c r="BG135" s="35" cm="1">
        <f t="array" ref="BG135">IF($F$14-$I$4+VLOOKUP($Q135,武学奇术!$A:$ZZ,15,FALSE)+SUM(_xlfn.XLOOKUP(R135:AF135,增益!$A:$A,增益!$O:$O,0))&gt;0,($F$14-$I$4+VLOOKUP($Q135,武学奇术!$A:$ZZ,15,FALSE)+SUM(_xlfn.XLOOKUP(R135:AF135,增益!$A:$A,增益!$O:$O,0)))/200,($F$14-$I$4+VLOOKUP($Q135,武学奇术!$A:$ZZ,15,FALSE)+SUM(_xlfn.XLOOKUP(R135:AF135,增益!$A:$A,增益!$O:$O,0)))/100)</f>
        <v>0</v>
      </c>
      <c r="BH135" s="35" cm="1">
        <f t="array" ref="BH135">$G$14+VLOOKUP($Q135,武学奇术!$A:$ZZ,16,FALSE)+SUM(_xlfn.XLOOKUP(R135:AF135,增益!$A:$A,增益!$P:$P,0))</f>
        <v>0.15</v>
      </c>
      <c r="BI135" s="30">
        <f>MIN(IF(VLOOKUP($Q135,武学奇术!$A:$ZZ,23,FALSE)=1,100%,$B$8),100%)</f>
        <v>0.9712</v>
      </c>
      <c r="BJ135" s="30" cm="1">
        <f t="array" ref="BJ135">IF(VLOOKUP($Q135,武学奇术!$A:$ZZ,23,FALSE)=1,100%,MIN(80%,$B$9+VLOOKUP($Q135,武学奇术!$A:$ZZ,17,FALSE)+SUM(_xlfn.XLOOKUP(R135:AF135,增益!$A:$A,增益!$Q:$Q,0)))+$B$11+SUM(_xlfn.XLOOKUP(R135:AF135,增益!$A:$A,增益!$U:$U,0)))*IF(VLOOKUP($Q135,武学奇术!$A:$ZZ,24,FALSE)=1,0,1)</f>
        <v>0.8773</v>
      </c>
      <c r="BK135" s="30" cm="1">
        <f t="array" ref="BK135">1+$B$13+VLOOKUP($Q135,武学奇术!$A:$ZZ,18,FALSE)+SUM(_xlfn.XLOOKUP(R135:AF135,增益!$A:$A,增益!$R:$R,0))</f>
        <v>1.5</v>
      </c>
      <c r="BL135" s="30" cm="1">
        <f t="array" ref="BL135">IF(VLOOKUP($Q135,武学奇术!$A:$ZZ,24,FALSE)=1,100%,MIN(40%,$B$10+VLOOKUP($Q135,武学奇术!$A:$ZZ,19,FALSE)+SUM(_xlfn.XLOOKUP(R135:AF135,增益!$A:$A,增益!$S:$S,0)))+$B$12+SUM(_xlfn.XLOOKUP(R135:AF135,增益!$A:$A,增益!$V:$V,0)))*IF(VLOOKUP($Q135,武学奇术!$A:$ZZ,23,FALSE)=1,0,1)</f>
        <v>0.0895</v>
      </c>
      <c r="BM135" s="30" cm="1">
        <f t="array" ref="BM135">1+$B$14+VLOOKUP($Q135,武学奇术!$A:$ZZ,20,FALSE)+SUM(_xlfn.XLOOKUP(R135:AF135,增益!$A:$A,增益!$T:$T,0))</f>
        <v>1.35</v>
      </c>
      <c r="BN135" s="30">
        <f t="shared" si="34"/>
        <v>0.85203376</v>
      </c>
      <c r="BO135" s="30">
        <f t="shared" si="35"/>
        <v>0.03224384</v>
      </c>
      <c r="BP135" s="30">
        <f>IF(VLOOKUP($Q135,武学奇术!$A:$ZZ,22,FALSE)=1,0,(1-$BI135))*(1-$BL135)</f>
        <v>0.0262224</v>
      </c>
      <c r="BQ135" s="30" cm="1">
        <f t="array" ref="BQ135">SUM(_xlfn.XLOOKUP(R135:AF135,增益!$A:$A,增益!$W:$W,0))+$I$5</f>
        <v>0.11</v>
      </c>
    </row>
    <row r="136" spans="11:69">
      <c r="K136" s="41">
        <f t="shared" si="36"/>
        <v>0</v>
      </c>
      <c r="L136" s="41">
        <f>((($AN136+$AO136)/2*$AH136+$AI136)*(1+$AP136)*(1+$AQ136)+(($AS136+$AT136)/2*IF($G$1="鸣金",$AJ136,$AH136)+IF($G$1="鸣金",$AK136*1.5,0))*(1+$AU136)*(1+$AV136)+(($AW136+$AX136)/2*IF($G$1="裂石",$AJ136,$AH136)+IF($G$1="裂石",$AK136*1.5,0))*(1+$AY136)*(1+$AZ136)+(($BA136+$BB136)/2*IF($G$1="牵丝",$AJ136,$AH136)+IF($G$1="牵丝",$AK136*1.5,0))*(1+$BC136)*(1+$BD136)+(($BE136+$BF136)/2*IF($G$1="破竹",$AJ136,$AH136)+IF($G$1="破竹",$AK136*1.5,0))*(1+$BG136)*(1+$BH136))*(1+$AL136)*$BK136*$P136*(1+IF(VLOOKUP($Q136,武学奇术!$A:$ZZ,30,FALSE)="回旋伞",$B$21,0))*(1+$BQ136)</f>
        <v>0</v>
      </c>
      <c r="M136" s="41">
        <f>(($AO136*$AH136+$AI136)*(1+$AP136)*(1+$AQ136)+($AT136*IF($G$1="鸣金",$AJ136,$AH136)+IF($G$1="鸣金",$AK136*1.5,0))*(1+$AU136)*(1+$AV136)+($AX136*IF($G$1="裂石",$AJ136,$AH136)+IF($G$1="裂石",$AK136*1.5,0))*(1+$AY136)*(1+$AZ136)+($BB136*IF($G$1="牵丝",$AJ136,$AH136)+IF($G$1="牵丝",$AK136*1.5,0))*(1+$BC136)*(1+$BD136)+($BF136*IF($G$1="破竹",$AJ136,$AH136)+IF($G$1="破竹",$AK136*1.5,0))*(1+$BG136)*(1+$BH136))*(1+$AL136)*$BM136*$P136*(1+IF(VLOOKUP($Q136,武学奇术!$A:$ZZ,30,FALSE)="回旋伞",$B$21,0))*(1+$BQ136)</f>
        <v>0</v>
      </c>
      <c r="N136" s="41">
        <f>((($AN136+$AO136)/2*$AH136+$AI136)*(1+$AP136)*(1+$AQ136)+(($AS136+$AT136)/2*IF($G$1="鸣金",$AJ136,$AH136)+IF($G$1="鸣金",$AK136*1.5,0))*(1+$AU136)*(1+$AV136)+(($AW136+$AX136)/2*IF($G$1="裂石",$AJ136,$AH136)+IF($G$1="裂石",$AK136*1.5,0))*(1+$AY136)*(1+$AZ136)+(($BA136+$BB136)/2*IF($G$1="牵丝",$AJ136,$AH136)+IF($G$1="牵丝",$AK136*1.5,0))*(1+$BC136)*(1+$BD136)+(($BE136+$BF136)/2*IF($G$1="破竹",$AJ136,$AH136)+IF($G$1="破竹",$AK136*1.5,0))*(1+$BG136)*(1+$BH136))*(1+$AL136)*$P136*(1+IF(VLOOKUP($Q136,武学奇术!$A:$ZZ,30,FALSE)="回旋伞",$B$21,0))*(1+$BQ136)</f>
        <v>0</v>
      </c>
      <c r="O136" s="41">
        <f>((($AN136*$AH136+$AI136)*(1+$AP136)*(1+$AQ136)+($AS136*IF($G$1="鸣金",$AJ136,$AH136)+IF($G$1="鸣金",$AK136*1.5,0))*(1+$AU136)*(1+$AV136)+($AW136*IF($G$1="裂石",$AJ136,$AH136)+IF($G$1="裂石",$AK136*1.5,0))*(1+$AY136)*(1+$AZ136)+($BA136*IF($G$1="牵丝",$AJ136,$AH136)+IF($G$1="牵丝",$AK136*1.5,0))*(1+$BC136)*(1+$BD136)+($BE136*IF($G$1="破竹",$AJ136,$AH136)+IF($G$1="破竹",$AK136*1.5,0))*(1+$BG136)*(1+$BH136))*(1+$AL136))*$P136*(1+IF(VLOOKUP($Q136,武学奇术!$A:$ZZ,30,FALSE)="回旋伞",$B$21,0))*(1+$BQ136)</f>
        <v>0</v>
      </c>
      <c r="P136" s="42">
        <v>1</v>
      </c>
      <c r="Q136" s="43" t="s">
        <v>71</v>
      </c>
      <c r="R136" s="43" t="s">
        <v>71</v>
      </c>
      <c r="S136" s="43" t="s">
        <v>71</v>
      </c>
      <c r="T136" s="43" t="s">
        <v>71</v>
      </c>
      <c r="U136" s="43" t="s">
        <v>71</v>
      </c>
      <c r="V136" s="43" t="s">
        <v>71</v>
      </c>
      <c r="W136" s="43" t="s">
        <v>71</v>
      </c>
      <c r="X136" s="43" t="s">
        <v>71</v>
      </c>
      <c r="Y136" s="43" t="s">
        <v>71</v>
      </c>
      <c r="Z136" s="43" t="s">
        <v>71</v>
      </c>
      <c r="AA136" s="43" t="s">
        <v>71</v>
      </c>
      <c r="AB136" s="43" t="s">
        <v>71</v>
      </c>
      <c r="AC136" s="43" t="s">
        <v>71</v>
      </c>
      <c r="AD136" s="43" t="s">
        <v>71</v>
      </c>
      <c r="AE136" s="43" t="s">
        <v>71</v>
      </c>
      <c r="AF136" s="43" t="s">
        <v>76</v>
      </c>
      <c r="AG136" t="str">
        <f>VLOOKUP($Q136,武学奇术!$A:$ZZ,25,FALSE)</f>
        <v>心法</v>
      </c>
      <c r="AH136" s="30">
        <f>VLOOKUP($Q136,武学奇术!$A:$ZZ,26,FALSE)</f>
        <v>0</v>
      </c>
      <c r="AI136" s="31">
        <f>VLOOKUP($Q136,武学奇术!$A:$ZZ,27,FALSE)*(1+IF(OR($AG136=$F$4,$AG136=$F$5),$B$22,0))</f>
        <v>0</v>
      </c>
      <c r="AJ136" s="30">
        <f>VLOOKUP($Q136,武学奇术!$A:$ZZ,28,FALSE)</f>
        <v>0</v>
      </c>
      <c r="AK136" s="31">
        <f>VLOOKUP($Q136,武学奇术!$A:$ZZ,29,FALSE)*(1+IF(OR($AG136=$F$4,$AG136=$F$5),$B$22,0))</f>
        <v>0</v>
      </c>
      <c r="AL136" s="30" cm="1">
        <f t="array" ref="AL136">$G$3+IFERROR(VLOOKUP($AG136,$F$4:$G$7,2,FALSE),0)+VLOOKUP($Q136,武学奇术!$A:$ZZ,2,FALSE)+SUM(_xlfn.XLOOKUP($R136:$AF136,增益!$A:$A,增益!$B:$B,0))</f>
        <v>0.1037</v>
      </c>
      <c r="AM136" s="30" cm="1">
        <f t="array" ref="AM136">VLOOKUP($Q136,武学奇术!$A:$ZZ,5,FALSE)+SUM(_xlfn.XLOOKUP($R136:$AF136,增益!$A:$A,增益!$E:$E,0))</f>
        <v>0</v>
      </c>
      <c r="AN136" cm="1">
        <f t="array" ref="AN136">$D$10*(1+$AM136)+VLOOKUP($Q136,武学奇术!$A:$ZZ,3,FALSE)+SUM(_xlfn.XLOOKUP($R136:$AF136,增益!$A:$A,增益!$C:$C,0))-$I$2</f>
        <v>3483.8</v>
      </c>
      <c r="AO136" cm="1">
        <f t="array" ref="AO136">$E$10*(1+$AM136)+VLOOKUP($Q136,武学奇术!$A:$ZZ,4,FALSE)+SUM(_xlfn.XLOOKUP($R136:$AF136,增益!$A:$A,增益!$D:$D,0))-$I$2</f>
        <v>3483.8</v>
      </c>
      <c r="AP136" s="35" cm="1">
        <f t="array" ref="AP136">IF($F$10-$I$3+VLOOKUP($Q136,武学奇术!$A:$ZZ,6,FALSE)+SUM(_xlfn.XLOOKUP(R136:AF136,增益!$A:$A,增益!$F:$F,0))&gt;0,($F$10-$I$3+VLOOKUP($Q136,武学奇术!$A:$ZZ,6,FALSE)+SUM(_xlfn.XLOOKUP(R136:AF136,增益!$A:$A,增益!$F:$F,0)))/200,($F$10-$I$3+VLOOKUP($Q136,武学奇术!$A:$ZZ,6,FALSE)+SUM(_xlfn.XLOOKUP(R136:AF136,增益!$A:$A,增益!$F:$F,0)))/100)</f>
        <v>0.1925</v>
      </c>
      <c r="AQ136" s="35" cm="1">
        <f t="array" ref="AQ136">$G$10+VLOOKUP($Q136,武学奇术!$A:$ZZ,7,FALSE)+SUM(_xlfn.XLOOKUP(R136:AF136,增益!$A:$A,增益!$G:$G,0))</f>
        <v>0.028</v>
      </c>
      <c r="AR136" s="30" cm="1">
        <f t="array" ref="AR136">VLOOKUP($Q136,武学奇术!$A:$ZZ,8,FALSE)+SUM(_xlfn.XLOOKUP(R136:AF136,增益!$A:$A,增益!$H:$H,0))</f>
        <v>0</v>
      </c>
      <c r="AS136">
        <f t="shared" si="26"/>
        <v>0</v>
      </c>
      <c r="AT136">
        <f t="shared" si="27"/>
        <v>0</v>
      </c>
      <c r="AU136" s="35" cm="1">
        <f t="array" ref="AU136">IF($F$11-$I$4+VLOOKUP($Q136,武学奇术!$A:$ZZ,9,FALSE)+SUM(_xlfn.XLOOKUP(R136:AF136,增益!$A:$A,增益!$I:$I,0))&gt;0,($F$11-$I$4+VLOOKUP($Q136,武学奇术!$A:$ZZ,9,FALSE)+SUM(_xlfn.XLOOKUP(R136:AF136,增益!$A:$A,增益!$I:$I,0)))/200,($F$11-$I$4+VLOOKUP($Q136,武学奇术!$A:$ZZ,9,FALSE)+SUM(_xlfn.XLOOKUP(R136:AF136,增益!$A:$A,增益!$I:$I,0)))/100)</f>
        <v>-0.3</v>
      </c>
      <c r="AV136" s="35" cm="1">
        <f t="array" ref="AV136">$G$11+VLOOKUP($Q136,武学奇术!$A:$ZZ,10,FALSE)+SUM(_xlfn.XLOOKUP(R136:AF136,增益!$A:$A,增益!$J:$J,0))</f>
        <v>0</v>
      </c>
      <c r="AW136">
        <f t="shared" si="28"/>
        <v>0</v>
      </c>
      <c r="AX136">
        <f t="shared" si="29"/>
        <v>0</v>
      </c>
      <c r="AY136" s="35" cm="1">
        <f t="array" ref="AY136">IF($F$12-$I$4+VLOOKUP($Q136,武学奇术!$A:$ZZ,11,FALSE)+SUM(_xlfn.XLOOKUP(R136:AF136,增益!$A:$A,增益!$K:$K,0))&gt;0,($F$12-$I$4+VLOOKUP($Q136,武学奇术!$A:$ZZ,11,FALSE)+SUM(_xlfn.XLOOKUP(R136:AF136,增益!$A:$A,增益!$K:$K,0)))/200,($F$12-$I$4+VLOOKUP($Q136,武学奇术!$A:$ZZ,11,FALSE)+SUM(_xlfn.XLOOKUP(R136:AF136,增益!$A:$A,增益!$K:$K,0)))/100)</f>
        <v>-0.3</v>
      </c>
      <c r="AZ136" s="35" cm="1">
        <f t="array" ref="AZ136">$G$12+VLOOKUP($Q136,武学奇术!$A:$ZZ,12,FALSE)+SUM(_xlfn.XLOOKUP(R136:AF136,增益!$A:$A,增益!$L:$L,0))</f>
        <v>0</v>
      </c>
      <c r="BA136">
        <f t="shared" si="30"/>
        <v>0</v>
      </c>
      <c r="BB136">
        <f t="shared" si="31"/>
        <v>0</v>
      </c>
      <c r="BC136" s="35" cm="1">
        <f t="array" ref="BC136">IF($F$13-$I$4+VLOOKUP($Q136,武学奇术!$A:$ZZ,13,FALSE)+SUM(_xlfn.XLOOKUP(R136:AF136,增益!$A:$A,增益!$M:$M,0))&gt;0,($F$13-$I$4+VLOOKUP($Q136,武学奇术!$A:$ZZ,13,FALSE)+SUM(_xlfn.XLOOKUP(R136:AF136,增益!$A:$A,增益!$K:$K,0)))/200,($F$13-$I$4+VLOOKUP($Q136,武学奇术!$A:$ZZ,13,FALSE)+SUM(_xlfn.XLOOKUP(R136:AF136,增益!$A:$A,增益!$M:$M,0)))/100)</f>
        <v>-0.3</v>
      </c>
      <c r="BD136" s="35" cm="1">
        <f t="array" ref="BD136">$G$13+VLOOKUP($Q136,武学奇术!$A:$ZZ,14,FALSE)+SUM(_xlfn.XLOOKUP(R136:AF136,增益!$A:$A,增益!$N:$N,0))</f>
        <v>0</v>
      </c>
      <c r="BE136">
        <f t="shared" si="32"/>
        <v>538</v>
      </c>
      <c r="BF136">
        <f t="shared" si="33"/>
        <v>1561.4</v>
      </c>
      <c r="BG136" s="35" cm="1">
        <f t="array" ref="BG136">IF($F$14-$I$4+VLOOKUP($Q136,武学奇术!$A:$ZZ,15,FALSE)+SUM(_xlfn.XLOOKUP(R136:AF136,增益!$A:$A,增益!$O:$O,0))&gt;0,($F$14-$I$4+VLOOKUP($Q136,武学奇术!$A:$ZZ,15,FALSE)+SUM(_xlfn.XLOOKUP(R136:AF136,增益!$A:$A,增益!$O:$O,0)))/200,($F$14-$I$4+VLOOKUP($Q136,武学奇术!$A:$ZZ,15,FALSE)+SUM(_xlfn.XLOOKUP(R136:AF136,增益!$A:$A,增益!$O:$O,0)))/100)</f>
        <v>0</v>
      </c>
      <c r="BH136" s="35" cm="1">
        <f t="array" ref="BH136">$G$14+VLOOKUP($Q136,武学奇术!$A:$ZZ,16,FALSE)+SUM(_xlfn.XLOOKUP(R136:AF136,增益!$A:$A,增益!$P:$P,0))</f>
        <v>0.15</v>
      </c>
      <c r="BI136" s="30">
        <f>MIN(IF(VLOOKUP($Q136,武学奇术!$A:$ZZ,23,FALSE)=1,100%,$B$8),100%)</f>
        <v>0.9712</v>
      </c>
      <c r="BJ136" s="30" cm="1">
        <f t="array" ref="BJ136">IF(VLOOKUP($Q136,武学奇术!$A:$ZZ,23,FALSE)=1,100%,MIN(80%,$B$9+VLOOKUP($Q136,武学奇术!$A:$ZZ,17,FALSE)+SUM(_xlfn.XLOOKUP(R136:AF136,增益!$A:$A,增益!$Q:$Q,0)))+$B$11+SUM(_xlfn.XLOOKUP(R136:AF136,增益!$A:$A,增益!$U:$U,0)))*IF(VLOOKUP($Q136,武学奇术!$A:$ZZ,24,FALSE)=1,0,1)</f>
        <v>0.8773</v>
      </c>
      <c r="BK136" s="30" cm="1">
        <f t="array" ref="BK136">1+$B$13+VLOOKUP($Q136,武学奇术!$A:$ZZ,18,FALSE)+SUM(_xlfn.XLOOKUP(R136:AF136,增益!$A:$A,增益!$R:$R,0))</f>
        <v>1.5</v>
      </c>
      <c r="BL136" s="30" cm="1">
        <f t="array" ref="BL136">IF(VLOOKUP($Q136,武学奇术!$A:$ZZ,24,FALSE)=1,100%,MIN(40%,$B$10+VLOOKUP($Q136,武学奇术!$A:$ZZ,19,FALSE)+SUM(_xlfn.XLOOKUP(R136:AF136,增益!$A:$A,增益!$S:$S,0)))+$B$12+SUM(_xlfn.XLOOKUP(R136:AF136,增益!$A:$A,增益!$V:$V,0)))*IF(VLOOKUP($Q136,武学奇术!$A:$ZZ,23,FALSE)=1,0,1)</f>
        <v>0.0895</v>
      </c>
      <c r="BM136" s="30" cm="1">
        <f t="array" ref="BM136">1+$B$14+VLOOKUP($Q136,武学奇术!$A:$ZZ,20,FALSE)+SUM(_xlfn.XLOOKUP(R136:AF136,增益!$A:$A,增益!$T:$T,0))</f>
        <v>1.35</v>
      </c>
      <c r="BN136" s="30">
        <f t="shared" si="34"/>
        <v>0.85203376</v>
      </c>
      <c r="BO136" s="30">
        <f t="shared" si="35"/>
        <v>0.03224384</v>
      </c>
      <c r="BP136" s="30">
        <f>IF(VLOOKUP($Q136,武学奇术!$A:$ZZ,22,FALSE)=1,0,(1-$BI136))*(1-$BL136)</f>
        <v>0.0262224</v>
      </c>
      <c r="BQ136" s="30" cm="1">
        <f t="array" ref="BQ136">SUM(_xlfn.XLOOKUP(R136:AF136,增益!$A:$A,增益!$W:$W,0))+$I$5</f>
        <v>0.11</v>
      </c>
    </row>
    <row r="137" spans="11:69">
      <c r="K137" s="41">
        <f t="shared" si="36"/>
        <v>0</v>
      </c>
      <c r="L137" s="41">
        <f>((($AN137+$AO137)/2*$AH137+$AI137)*(1+$AP137)*(1+$AQ137)+(($AS137+$AT137)/2*IF($G$1="鸣金",$AJ137,$AH137)+IF($G$1="鸣金",$AK137*1.5,0))*(1+$AU137)*(1+$AV137)+(($AW137+$AX137)/2*IF($G$1="裂石",$AJ137,$AH137)+IF($G$1="裂石",$AK137*1.5,0))*(1+$AY137)*(1+$AZ137)+(($BA137+$BB137)/2*IF($G$1="牵丝",$AJ137,$AH137)+IF($G$1="牵丝",$AK137*1.5,0))*(1+$BC137)*(1+$BD137)+(($BE137+$BF137)/2*IF($G$1="破竹",$AJ137,$AH137)+IF($G$1="破竹",$AK137*1.5,0))*(1+$BG137)*(1+$BH137))*(1+$AL137)*$BK137*$P137*(1+IF(VLOOKUP($Q137,武学奇术!$A:$ZZ,30,FALSE)="回旋伞",$B$21,0))*(1+$BQ137)</f>
        <v>0</v>
      </c>
      <c r="M137" s="41">
        <f>(($AO137*$AH137+$AI137)*(1+$AP137)*(1+$AQ137)+($AT137*IF($G$1="鸣金",$AJ137,$AH137)+IF($G$1="鸣金",$AK137*1.5,0))*(1+$AU137)*(1+$AV137)+($AX137*IF($G$1="裂石",$AJ137,$AH137)+IF($G$1="裂石",$AK137*1.5,0))*(1+$AY137)*(1+$AZ137)+($BB137*IF($G$1="牵丝",$AJ137,$AH137)+IF($G$1="牵丝",$AK137*1.5,0))*(1+$BC137)*(1+$BD137)+($BF137*IF($G$1="破竹",$AJ137,$AH137)+IF($G$1="破竹",$AK137*1.5,0))*(1+$BG137)*(1+$BH137))*(1+$AL137)*$BM137*$P137*(1+IF(VLOOKUP($Q137,武学奇术!$A:$ZZ,30,FALSE)="回旋伞",$B$21,0))*(1+$BQ137)</f>
        <v>0</v>
      </c>
      <c r="N137" s="41">
        <f>((($AN137+$AO137)/2*$AH137+$AI137)*(1+$AP137)*(1+$AQ137)+(($AS137+$AT137)/2*IF($G$1="鸣金",$AJ137,$AH137)+IF($G$1="鸣金",$AK137*1.5,0))*(1+$AU137)*(1+$AV137)+(($AW137+$AX137)/2*IF($G$1="裂石",$AJ137,$AH137)+IF($G$1="裂石",$AK137*1.5,0))*(1+$AY137)*(1+$AZ137)+(($BA137+$BB137)/2*IF($G$1="牵丝",$AJ137,$AH137)+IF($G$1="牵丝",$AK137*1.5,0))*(1+$BC137)*(1+$BD137)+(($BE137+$BF137)/2*IF($G$1="破竹",$AJ137,$AH137)+IF($G$1="破竹",$AK137*1.5,0))*(1+$BG137)*(1+$BH137))*(1+$AL137)*$P137*(1+IF(VLOOKUP($Q137,武学奇术!$A:$ZZ,30,FALSE)="回旋伞",$B$21,0))*(1+$BQ137)</f>
        <v>0</v>
      </c>
      <c r="O137" s="41">
        <f>((($AN137*$AH137+$AI137)*(1+$AP137)*(1+$AQ137)+($AS137*IF($G$1="鸣金",$AJ137,$AH137)+IF($G$1="鸣金",$AK137*1.5,0))*(1+$AU137)*(1+$AV137)+($AW137*IF($G$1="裂石",$AJ137,$AH137)+IF($G$1="裂石",$AK137*1.5,0))*(1+$AY137)*(1+$AZ137)+($BA137*IF($G$1="牵丝",$AJ137,$AH137)+IF($G$1="牵丝",$AK137*1.5,0))*(1+$BC137)*(1+$BD137)+($BE137*IF($G$1="破竹",$AJ137,$AH137)+IF($G$1="破竹",$AK137*1.5,0))*(1+$BG137)*(1+$BH137))*(1+$AL137))*$P137*(1+IF(VLOOKUP($Q137,武学奇术!$A:$ZZ,30,FALSE)="回旋伞",$B$21,0))*(1+$BQ137)</f>
        <v>0</v>
      </c>
      <c r="P137" s="42">
        <v>1</v>
      </c>
      <c r="Q137" s="43" t="s">
        <v>71</v>
      </c>
      <c r="R137" s="43" t="s">
        <v>71</v>
      </c>
      <c r="S137" s="43" t="s">
        <v>71</v>
      </c>
      <c r="T137" s="43" t="s">
        <v>71</v>
      </c>
      <c r="U137" s="43" t="s">
        <v>71</v>
      </c>
      <c r="V137" s="43" t="s">
        <v>71</v>
      </c>
      <c r="W137" s="43" t="s">
        <v>71</v>
      </c>
      <c r="X137" s="43" t="s">
        <v>71</v>
      </c>
      <c r="Y137" s="43" t="s">
        <v>71</v>
      </c>
      <c r="Z137" s="43" t="s">
        <v>71</v>
      </c>
      <c r="AA137" s="43" t="s">
        <v>71</v>
      </c>
      <c r="AB137" s="43" t="s">
        <v>71</v>
      </c>
      <c r="AC137" s="43" t="s">
        <v>71</v>
      </c>
      <c r="AD137" s="43" t="s">
        <v>71</v>
      </c>
      <c r="AE137" s="43" t="s">
        <v>71</v>
      </c>
      <c r="AF137" s="43" t="s">
        <v>76</v>
      </c>
      <c r="AG137" t="str">
        <f>VLOOKUP($Q137,武学奇术!$A:$ZZ,25,FALSE)</f>
        <v>心法</v>
      </c>
      <c r="AH137" s="30">
        <f>VLOOKUP($Q137,武学奇术!$A:$ZZ,26,FALSE)</f>
        <v>0</v>
      </c>
      <c r="AI137" s="31">
        <f>VLOOKUP($Q137,武学奇术!$A:$ZZ,27,FALSE)*(1+IF(OR($AG137=$F$4,$AG137=$F$5),$B$22,0))</f>
        <v>0</v>
      </c>
      <c r="AJ137" s="30">
        <f>VLOOKUP($Q137,武学奇术!$A:$ZZ,28,FALSE)</f>
        <v>0</v>
      </c>
      <c r="AK137" s="31">
        <f>VLOOKUP($Q137,武学奇术!$A:$ZZ,29,FALSE)*(1+IF(OR($AG137=$F$4,$AG137=$F$5),$B$22,0))</f>
        <v>0</v>
      </c>
      <c r="AL137" s="30" cm="1">
        <f t="array" ref="AL137">$G$3+IFERROR(VLOOKUP($AG137,$F$4:$G$7,2,FALSE),0)+VLOOKUP($Q137,武学奇术!$A:$ZZ,2,FALSE)+SUM(_xlfn.XLOOKUP($R137:$AF137,增益!$A:$A,增益!$B:$B,0))</f>
        <v>0.1037</v>
      </c>
      <c r="AM137" s="30" cm="1">
        <f t="array" ref="AM137">VLOOKUP($Q137,武学奇术!$A:$ZZ,5,FALSE)+SUM(_xlfn.XLOOKUP($R137:$AF137,增益!$A:$A,增益!$E:$E,0))</f>
        <v>0</v>
      </c>
      <c r="AN137" cm="1">
        <f t="array" ref="AN137">$D$10*(1+$AM137)+VLOOKUP($Q137,武学奇术!$A:$ZZ,3,FALSE)+SUM(_xlfn.XLOOKUP($R137:$AF137,增益!$A:$A,增益!$C:$C,0))-$I$2</f>
        <v>3483.8</v>
      </c>
      <c r="AO137" cm="1">
        <f t="array" ref="AO137">$E$10*(1+$AM137)+VLOOKUP($Q137,武学奇术!$A:$ZZ,4,FALSE)+SUM(_xlfn.XLOOKUP($R137:$AF137,增益!$A:$A,增益!$D:$D,0))-$I$2</f>
        <v>3483.8</v>
      </c>
      <c r="AP137" s="35" cm="1">
        <f t="array" ref="AP137">IF($F$10-$I$3+VLOOKUP($Q137,武学奇术!$A:$ZZ,6,FALSE)+SUM(_xlfn.XLOOKUP(R137:AF137,增益!$A:$A,增益!$F:$F,0))&gt;0,($F$10-$I$3+VLOOKUP($Q137,武学奇术!$A:$ZZ,6,FALSE)+SUM(_xlfn.XLOOKUP(R137:AF137,增益!$A:$A,增益!$F:$F,0)))/200,($F$10-$I$3+VLOOKUP($Q137,武学奇术!$A:$ZZ,6,FALSE)+SUM(_xlfn.XLOOKUP(R137:AF137,增益!$A:$A,增益!$F:$F,0)))/100)</f>
        <v>0.1925</v>
      </c>
      <c r="AQ137" s="35" cm="1">
        <f t="array" ref="AQ137">$G$10+VLOOKUP($Q137,武学奇术!$A:$ZZ,7,FALSE)+SUM(_xlfn.XLOOKUP(R137:AF137,增益!$A:$A,增益!$G:$G,0))</f>
        <v>0.028</v>
      </c>
      <c r="AR137" s="30" cm="1">
        <f t="array" ref="AR137">VLOOKUP($Q137,武学奇术!$A:$ZZ,8,FALSE)+SUM(_xlfn.XLOOKUP(R137:AF137,增益!$A:$A,增益!$H:$H,0))</f>
        <v>0</v>
      </c>
      <c r="AS137">
        <f t="shared" si="26"/>
        <v>0</v>
      </c>
      <c r="AT137">
        <f t="shared" si="27"/>
        <v>0</v>
      </c>
      <c r="AU137" s="35" cm="1">
        <f t="array" ref="AU137">IF($F$11-$I$4+VLOOKUP($Q137,武学奇术!$A:$ZZ,9,FALSE)+SUM(_xlfn.XLOOKUP(R137:AF137,增益!$A:$A,增益!$I:$I,0))&gt;0,($F$11-$I$4+VLOOKUP($Q137,武学奇术!$A:$ZZ,9,FALSE)+SUM(_xlfn.XLOOKUP(R137:AF137,增益!$A:$A,增益!$I:$I,0)))/200,($F$11-$I$4+VLOOKUP($Q137,武学奇术!$A:$ZZ,9,FALSE)+SUM(_xlfn.XLOOKUP(R137:AF137,增益!$A:$A,增益!$I:$I,0)))/100)</f>
        <v>-0.3</v>
      </c>
      <c r="AV137" s="35" cm="1">
        <f t="array" ref="AV137">$G$11+VLOOKUP($Q137,武学奇术!$A:$ZZ,10,FALSE)+SUM(_xlfn.XLOOKUP(R137:AF137,增益!$A:$A,增益!$J:$J,0))</f>
        <v>0</v>
      </c>
      <c r="AW137">
        <f t="shared" si="28"/>
        <v>0</v>
      </c>
      <c r="AX137">
        <f t="shared" si="29"/>
        <v>0</v>
      </c>
      <c r="AY137" s="35" cm="1">
        <f t="array" ref="AY137">IF($F$12-$I$4+VLOOKUP($Q137,武学奇术!$A:$ZZ,11,FALSE)+SUM(_xlfn.XLOOKUP(R137:AF137,增益!$A:$A,增益!$K:$K,0))&gt;0,($F$12-$I$4+VLOOKUP($Q137,武学奇术!$A:$ZZ,11,FALSE)+SUM(_xlfn.XLOOKUP(R137:AF137,增益!$A:$A,增益!$K:$K,0)))/200,($F$12-$I$4+VLOOKUP($Q137,武学奇术!$A:$ZZ,11,FALSE)+SUM(_xlfn.XLOOKUP(R137:AF137,增益!$A:$A,增益!$K:$K,0)))/100)</f>
        <v>-0.3</v>
      </c>
      <c r="AZ137" s="35" cm="1">
        <f t="array" ref="AZ137">$G$12+VLOOKUP($Q137,武学奇术!$A:$ZZ,12,FALSE)+SUM(_xlfn.XLOOKUP(R137:AF137,增益!$A:$A,增益!$L:$L,0))</f>
        <v>0</v>
      </c>
      <c r="BA137">
        <f t="shared" si="30"/>
        <v>0</v>
      </c>
      <c r="BB137">
        <f t="shared" si="31"/>
        <v>0</v>
      </c>
      <c r="BC137" s="35" cm="1">
        <f t="array" ref="BC137">IF($F$13-$I$4+VLOOKUP($Q137,武学奇术!$A:$ZZ,13,FALSE)+SUM(_xlfn.XLOOKUP(R137:AF137,增益!$A:$A,增益!$M:$M,0))&gt;0,($F$13-$I$4+VLOOKUP($Q137,武学奇术!$A:$ZZ,13,FALSE)+SUM(_xlfn.XLOOKUP(R137:AF137,增益!$A:$A,增益!$K:$K,0)))/200,($F$13-$I$4+VLOOKUP($Q137,武学奇术!$A:$ZZ,13,FALSE)+SUM(_xlfn.XLOOKUP(R137:AF137,增益!$A:$A,增益!$M:$M,0)))/100)</f>
        <v>-0.3</v>
      </c>
      <c r="BD137" s="35" cm="1">
        <f t="array" ref="BD137">$G$13+VLOOKUP($Q137,武学奇术!$A:$ZZ,14,FALSE)+SUM(_xlfn.XLOOKUP(R137:AF137,增益!$A:$A,增益!$N:$N,0))</f>
        <v>0</v>
      </c>
      <c r="BE137">
        <f t="shared" si="32"/>
        <v>538</v>
      </c>
      <c r="BF137">
        <f t="shared" si="33"/>
        <v>1561.4</v>
      </c>
      <c r="BG137" s="35" cm="1">
        <f t="array" ref="BG137">IF($F$14-$I$4+VLOOKUP($Q137,武学奇术!$A:$ZZ,15,FALSE)+SUM(_xlfn.XLOOKUP(R137:AF137,增益!$A:$A,增益!$O:$O,0))&gt;0,($F$14-$I$4+VLOOKUP($Q137,武学奇术!$A:$ZZ,15,FALSE)+SUM(_xlfn.XLOOKUP(R137:AF137,增益!$A:$A,增益!$O:$O,0)))/200,($F$14-$I$4+VLOOKUP($Q137,武学奇术!$A:$ZZ,15,FALSE)+SUM(_xlfn.XLOOKUP(R137:AF137,增益!$A:$A,增益!$O:$O,0)))/100)</f>
        <v>0</v>
      </c>
      <c r="BH137" s="35" cm="1">
        <f t="array" ref="BH137">$G$14+VLOOKUP($Q137,武学奇术!$A:$ZZ,16,FALSE)+SUM(_xlfn.XLOOKUP(R137:AF137,增益!$A:$A,增益!$P:$P,0))</f>
        <v>0.15</v>
      </c>
      <c r="BI137" s="30">
        <f>MIN(IF(VLOOKUP($Q137,武学奇术!$A:$ZZ,23,FALSE)=1,100%,$B$8),100%)</f>
        <v>0.9712</v>
      </c>
      <c r="BJ137" s="30" cm="1">
        <f t="array" ref="BJ137">IF(VLOOKUP($Q137,武学奇术!$A:$ZZ,23,FALSE)=1,100%,MIN(80%,$B$9+VLOOKUP($Q137,武学奇术!$A:$ZZ,17,FALSE)+SUM(_xlfn.XLOOKUP(R137:AF137,增益!$A:$A,增益!$Q:$Q,0)))+$B$11+SUM(_xlfn.XLOOKUP(R137:AF137,增益!$A:$A,增益!$U:$U,0)))*IF(VLOOKUP($Q137,武学奇术!$A:$ZZ,24,FALSE)=1,0,1)</f>
        <v>0.8773</v>
      </c>
      <c r="BK137" s="30" cm="1">
        <f t="array" ref="BK137">1+$B$13+VLOOKUP($Q137,武学奇术!$A:$ZZ,18,FALSE)+SUM(_xlfn.XLOOKUP(R137:AF137,增益!$A:$A,增益!$R:$R,0))</f>
        <v>1.5</v>
      </c>
      <c r="BL137" s="30" cm="1">
        <f t="array" ref="BL137">IF(VLOOKUP($Q137,武学奇术!$A:$ZZ,24,FALSE)=1,100%,MIN(40%,$B$10+VLOOKUP($Q137,武学奇术!$A:$ZZ,19,FALSE)+SUM(_xlfn.XLOOKUP(R137:AF137,增益!$A:$A,增益!$S:$S,0)))+$B$12+SUM(_xlfn.XLOOKUP(R137:AF137,增益!$A:$A,增益!$V:$V,0)))*IF(VLOOKUP($Q137,武学奇术!$A:$ZZ,23,FALSE)=1,0,1)</f>
        <v>0.0895</v>
      </c>
      <c r="BM137" s="30" cm="1">
        <f t="array" ref="BM137">1+$B$14+VLOOKUP($Q137,武学奇术!$A:$ZZ,20,FALSE)+SUM(_xlfn.XLOOKUP(R137:AF137,增益!$A:$A,增益!$T:$T,0))</f>
        <v>1.35</v>
      </c>
      <c r="BN137" s="30">
        <f t="shared" si="34"/>
        <v>0.85203376</v>
      </c>
      <c r="BO137" s="30">
        <f t="shared" si="35"/>
        <v>0.03224384</v>
      </c>
      <c r="BP137" s="30">
        <f>IF(VLOOKUP($Q137,武学奇术!$A:$ZZ,22,FALSE)=1,0,(1-$BI137))*(1-$BL137)</f>
        <v>0.0262224</v>
      </c>
      <c r="BQ137" s="30" cm="1">
        <f t="array" ref="BQ137">SUM(_xlfn.XLOOKUP(R137:AF137,增益!$A:$A,增益!$W:$W,0))+$I$5</f>
        <v>0.11</v>
      </c>
    </row>
    <row r="138" spans="11:69">
      <c r="K138" s="41">
        <f t="shared" si="36"/>
        <v>0</v>
      </c>
      <c r="L138" s="41">
        <f>((($AN138+$AO138)/2*$AH138+$AI138)*(1+$AP138)*(1+$AQ138)+(($AS138+$AT138)/2*IF($G$1="鸣金",$AJ138,$AH138)+IF($G$1="鸣金",$AK138*1.5,0))*(1+$AU138)*(1+$AV138)+(($AW138+$AX138)/2*IF($G$1="裂石",$AJ138,$AH138)+IF($G$1="裂石",$AK138*1.5,0))*(1+$AY138)*(1+$AZ138)+(($BA138+$BB138)/2*IF($G$1="牵丝",$AJ138,$AH138)+IF($G$1="牵丝",$AK138*1.5,0))*(1+$BC138)*(1+$BD138)+(($BE138+$BF138)/2*IF($G$1="破竹",$AJ138,$AH138)+IF($G$1="破竹",$AK138*1.5,0))*(1+$BG138)*(1+$BH138))*(1+$AL138)*$BK138*$P138*(1+IF(VLOOKUP($Q138,武学奇术!$A:$ZZ,30,FALSE)="回旋伞",$B$21,0))*(1+$BQ138)</f>
        <v>0</v>
      </c>
      <c r="M138" s="41">
        <f>(($AO138*$AH138+$AI138)*(1+$AP138)*(1+$AQ138)+($AT138*IF($G$1="鸣金",$AJ138,$AH138)+IF($G$1="鸣金",$AK138*1.5,0))*(1+$AU138)*(1+$AV138)+($AX138*IF($G$1="裂石",$AJ138,$AH138)+IF($G$1="裂石",$AK138*1.5,0))*(1+$AY138)*(1+$AZ138)+($BB138*IF($G$1="牵丝",$AJ138,$AH138)+IF($G$1="牵丝",$AK138*1.5,0))*(1+$BC138)*(1+$BD138)+($BF138*IF($G$1="破竹",$AJ138,$AH138)+IF($G$1="破竹",$AK138*1.5,0))*(1+$BG138)*(1+$BH138))*(1+$AL138)*$BM138*$P138*(1+IF(VLOOKUP($Q138,武学奇术!$A:$ZZ,30,FALSE)="回旋伞",$B$21,0))*(1+$BQ138)</f>
        <v>0</v>
      </c>
      <c r="N138" s="41">
        <f>((($AN138+$AO138)/2*$AH138+$AI138)*(1+$AP138)*(1+$AQ138)+(($AS138+$AT138)/2*IF($G$1="鸣金",$AJ138,$AH138)+IF($G$1="鸣金",$AK138*1.5,0))*(1+$AU138)*(1+$AV138)+(($AW138+$AX138)/2*IF($G$1="裂石",$AJ138,$AH138)+IF($G$1="裂石",$AK138*1.5,0))*(1+$AY138)*(1+$AZ138)+(($BA138+$BB138)/2*IF($G$1="牵丝",$AJ138,$AH138)+IF($G$1="牵丝",$AK138*1.5,0))*(1+$BC138)*(1+$BD138)+(($BE138+$BF138)/2*IF($G$1="破竹",$AJ138,$AH138)+IF($G$1="破竹",$AK138*1.5,0))*(1+$BG138)*(1+$BH138))*(1+$AL138)*$P138*(1+IF(VLOOKUP($Q138,武学奇术!$A:$ZZ,30,FALSE)="回旋伞",$B$21,0))*(1+$BQ138)</f>
        <v>0</v>
      </c>
      <c r="O138" s="41">
        <f>((($AN138*$AH138+$AI138)*(1+$AP138)*(1+$AQ138)+($AS138*IF($G$1="鸣金",$AJ138,$AH138)+IF($G$1="鸣金",$AK138*1.5,0))*(1+$AU138)*(1+$AV138)+($AW138*IF($G$1="裂石",$AJ138,$AH138)+IF($G$1="裂石",$AK138*1.5,0))*(1+$AY138)*(1+$AZ138)+($BA138*IF($G$1="牵丝",$AJ138,$AH138)+IF($G$1="牵丝",$AK138*1.5,0))*(1+$BC138)*(1+$BD138)+($BE138*IF($G$1="破竹",$AJ138,$AH138)+IF($G$1="破竹",$AK138*1.5,0))*(1+$BG138)*(1+$BH138))*(1+$AL138))*$P138*(1+IF(VLOOKUP($Q138,武学奇术!$A:$ZZ,30,FALSE)="回旋伞",$B$21,0))*(1+$BQ138)</f>
        <v>0</v>
      </c>
      <c r="P138" s="42">
        <v>1</v>
      </c>
      <c r="Q138" s="43" t="s">
        <v>71</v>
      </c>
      <c r="R138" s="43" t="s">
        <v>71</v>
      </c>
      <c r="S138" s="43" t="s">
        <v>71</v>
      </c>
      <c r="T138" s="43" t="s">
        <v>71</v>
      </c>
      <c r="U138" s="43" t="s">
        <v>71</v>
      </c>
      <c r="V138" s="43" t="s">
        <v>71</v>
      </c>
      <c r="W138" s="43" t="s">
        <v>71</v>
      </c>
      <c r="X138" s="43" t="s">
        <v>71</v>
      </c>
      <c r="Y138" s="43" t="s">
        <v>71</v>
      </c>
      <c r="Z138" s="43" t="s">
        <v>71</v>
      </c>
      <c r="AA138" s="43" t="s">
        <v>71</v>
      </c>
      <c r="AB138" s="43" t="s">
        <v>71</v>
      </c>
      <c r="AC138" s="43" t="s">
        <v>71</v>
      </c>
      <c r="AD138" s="43" t="s">
        <v>71</v>
      </c>
      <c r="AE138" s="43" t="s">
        <v>71</v>
      </c>
      <c r="AF138" s="43" t="s">
        <v>76</v>
      </c>
      <c r="AG138" t="str">
        <f>VLOOKUP($Q138,武学奇术!$A:$ZZ,25,FALSE)</f>
        <v>心法</v>
      </c>
      <c r="AH138" s="30">
        <f>VLOOKUP($Q138,武学奇术!$A:$ZZ,26,FALSE)</f>
        <v>0</v>
      </c>
      <c r="AI138" s="31">
        <f>VLOOKUP($Q138,武学奇术!$A:$ZZ,27,FALSE)*(1+IF(OR($AG138=$F$4,$AG138=$F$5),$B$22,0))</f>
        <v>0</v>
      </c>
      <c r="AJ138" s="30">
        <f>VLOOKUP($Q138,武学奇术!$A:$ZZ,28,FALSE)</f>
        <v>0</v>
      </c>
      <c r="AK138" s="31">
        <f>VLOOKUP($Q138,武学奇术!$A:$ZZ,29,FALSE)*(1+IF(OR($AG138=$F$4,$AG138=$F$5),$B$22,0))</f>
        <v>0</v>
      </c>
      <c r="AL138" s="30" cm="1">
        <f t="array" ref="AL138">$G$3+IFERROR(VLOOKUP($AG138,$F$4:$G$7,2,FALSE),0)+VLOOKUP($Q138,武学奇术!$A:$ZZ,2,FALSE)+SUM(_xlfn.XLOOKUP($R138:$AF138,增益!$A:$A,增益!$B:$B,0))</f>
        <v>0.1037</v>
      </c>
      <c r="AM138" s="30" cm="1">
        <f t="array" ref="AM138">VLOOKUP($Q138,武学奇术!$A:$ZZ,5,FALSE)+SUM(_xlfn.XLOOKUP($R138:$AF138,增益!$A:$A,增益!$E:$E,0))</f>
        <v>0</v>
      </c>
      <c r="AN138" cm="1">
        <f t="array" ref="AN138">$D$10*(1+$AM138)+VLOOKUP($Q138,武学奇术!$A:$ZZ,3,FALSE)+SUM(_xlfn.XLOOKUP($R138:$AF138,增益!$A:$A,增益!$C:$C,0))-$I$2</f>
        <v>3483.8</v>
      </c>
      <c r="AO138" cm="1">
        <f t="array" ref="AO138">$E$10*(1+$AM138)+VLOOKUP($Q138,武学奇术!$A:$ZZ,4,FALSE)+SUM(_xlfn.XLOOKUP($R138:$AF138,增益!$A:$A,增益!$D:$D,0))-$I$2</f>
        <v>3483.8</v>
      </c>
      <c r="AP138" s="35" cm="1">
        <f t="array" ref="AP138">IF($F$10-$I$3+VLOOKUP($Q138,武学奇术!$A:$ZZ,6,FALSE)+SUM(_xlfn.XLOOKUP(R138:AF138,增益!$A:$A,增益!$F:$F,0))&gt;0,($F$10-$I$3+VLOOKUP($Q138,武学奇术!$A:$ZZ,6,FALSE)+SUM(_xlfn.XLOOKUP(R138:AF138,增益!$A:$A,增益!$F:$F,0)))/200,($F$10-$I$3+VLOOKUP($Q138,武学奇术!$A:$ZZ,6,FALSE)+SUM(_xlfn.XLOOKUP(R138:AF138,增益!$A:$A,增益!$F:$F,0)))/100)</f>
        <v>0.1925</v>
      </c>
      <c r="AQ138" s="35" cm="1">
        <f t="array" ref="AQ138">$G$10+VLOOKUP($Q138,武学奇术!$A:$ZZ,7,FALSE)+SUM(_xlfn.XLOOKUP(R138:AF138,增益!$A:$A,增益!$G:$G,0))</f>
        <v>0.028</v>
      </c>
      <c r="AR138" s="30" cm="1">
        <f t="array" ref="AR138">VLOOKUP($Q138,武学奇术!$A:$ZZ,8,FALSE)+SUM(_xlfn.XLOOKUP(R138:AF138,增益!$A:$A,增益!$H:$H,0))</f>
        <v>0</v>
      </c>
      <c r="AS138">
        <f t="shared" si="26"/>
        <v>0</v>
      </c>
      <c r="AT138">
        <f t="shared" si="27"/>
        <v>0</v>
      </c>
      <c r="AU138" s="35" cm="1">
        <f t="array" ref="AU138">IF($F$11-$I$4+VLOOKUP($Q138,武学奇术!$A:$ZZ,9,FALSE)+SUM(_xlfn.XLOOKUP(R138:AF138,增益!$A:$A,增益!$I:$I,0))&gt;0,($F$11-$I$4+VLOOKUP($Q138,武学奇术!$A:$ZZ,9,FALSE)+SUM(_xlfn.XLOOKUP(R138:AF138,增益!$A:$A,增益!$I:$I,0)))/200,($F$11-$I$4+VLOOKUP($Q138,武学奇术!$A:$ZZ,9,FALSE)+SUM(_xlfn.XLOOKUP(R138:AF138,增益!$A:$A,增益!$I:$I,0)))/100)</f>
        <v>-0.3</v>
      </c>
      <c r="AV138" s="35" cm="1">
        <f t="array" ref="AV138">$G$11+VLOOKUP($Q138,武学奇术!$A:$ZZ,10,FALSE)+SUM(_xlfn.XLOOKUP(R138:AF138,增益!$A:$A,增益!$J:$J,0))</f>
        <v>0</v>
      </c>
      <c r="AW138">
        <f t="shared" si="28"/>
        <v>0</v>
      </c>
      <c r="AX138">
        <f t="shared" si="29"/>
        <v>0</v>
      </c>
      <c r="AY138" s="35" cm="1">
        <f t="array" ref="AY138">IF($F$12-$I$4+VLOOKUP($Q138,武学奇术!$A:$ZZ,11,FALSE)+SUM(_xlfn.XLOOKUP(R138:AF138,增益!$A:$A,增益!$K:$K,0))&gt;0,($F$12-$I$4+VLOOKUP($Q138,武学奇术!$A:$ZZ,11,FALSE)+SUM(_xlfn.XLOOKUP(R138:AF138,增益!$A:$A,增益!$K:$K,0)))/200,($F$12-$I$4+VLOOKUP($Q138,武学奇术!$A:$ZZ,11,FALSE)+SUM(_xlfn.XLOOKUP(R138:AF138,增益!$A:$A,增益!$K:$K,0)))/100)</f>
        <v>-0.3</v>
      </c>
      <c r="AZ138" s="35" cm="1">
        <f t="array" ref="AZ138">$G$12+VLOOKUP($Q138,武学奇术!$A:$ZZ,12,FALSE)+SUM(_xlfn.XLOOKUP(R138:AF138,增益!$A:$A,增益!$L:$L,0))</f>
        <v>0</v>
      </c>
      <c r="BA138">
        <f t="shared" si="30"/>
        <v>0</v>
      </c>
      <c r="BB138">
        <f t="shared" si="31"/>
        <v>0</v>
      </c>
      <c r="BC138" s="35" cm="1">
        <f t="array" ref="BC138">IF($F$13-$I$4+VLOOKUP($Q138,武学奇术!$A:$ZZ,13,FALSE)+SUM(_xlfn.XLOOKUP(R138:AF138,增益!$A:$A,增益!$M:$M,0))&gt;0,($F$13-$I$4+VLOOKUP($Q138,武学奇术!$A:$ZZ,13,FALSE)+SUM(_xlfn.XLOOKUP(R138:AF138,增益!$A:$A,增益!$K:$K,0)))/200,($F$13-$I$4+VLOOKUP($Q138,武学奇术!$A:$ZZ,13,FALSE)+SUM(_xlfn.XLOOKUP(R138:AF138,增益!$A:$A,增益!$M:$M,0)))/100)</f>
        <v>-0.3</v>
      </c>
      <c r="BD138" s="35" cm="1">
        <f t="array" ref="BD138">$G$13+VLOOKUP($Q138,武学奇术!$A:$ZZ,14,FALSE)+SUM(_xlfn.XLOOKUP(R138:AF138,增益!$A:$A,增益!$N:$N,0))</f>
        <v>0</v>
      </c>
      <c r="BE138">
        <f t="shared" si="32"/>
        <v>538</v>
      </c>
      <c r="BF138">
        <f t="shared" si="33"/>
        <v>1561.4</v>
      </c>
      <c r="BG138" s="35" cm="1">
        <f t="array" ref="BG138">IF($F$14-$I$4+VLOOKUP($Q138,武学奇术!$A:$ZZ,15,FALSE)+SUM(_xlfn.XLOOKUP(R138:AF138,增益!$A:$A,增益!$O:$O,0))&gt;0,($F$14-$I$4+VLOOKUP($Q138,武学奇术!$A:$ZZ,15,FALSE)+SUM(_xlfn.XLOOKUP(R138:AF138,增益!$A:$A,增益!$O:$O,0)))/200,($F$14-$I$4+VLOOKUP($Q138,武学奇术!$A:$ZZ,15,FALSE)+SUM(_xlfn.XLOOKUP(R138:AF138,增益!$A:$A,增益!$O:$O,0)))/100)</f>
        <v>0</v>
      </c>
      <c r="BH138" s="35" cm="1">
        <f t="array" ref="BH138">$G$14+VLOOKUP($Q138,武学奇术!$A:$ZZ,16,FALSE)+SUM(_xlfn.XLOOKUP(R138:AF138,增益!$A:$A,增益!$P:$P,0))</f>
        <v>0.15</v>
      </c>
      <c r="BI138" s="30">
        <f>MIN(IF(VLOOKUP($Q138,武学奇术!$A:$ZZ,23,FALSE)=1,100%,$B$8),100%)</f>
        <v>0.9712</v>
      </c>
      <c r="BJ138" s="30" cm="1">
        <f t="array" ref="BJ138">IF(VLOOKUP($Q138,武学奇术!$A:$ZZ,23,FALSE)=1,100%,MIN(80%,$B$9+VLOOKUP($Q138,武学奇术!$A:$ZZ,17,FALSE)+SUM(_xlfn.XLOOKUP(R138:AF138,增益!$A:$A,增益!$Q:$Q,0)))+$B$11+SUM(_xlfn.XLOOKUP(R138:AF138,增益!$A:$A,增益!$U:$U,0)))*IF(VLOOKUP($Q138,武学奇术!$A:$ZZ,24,FALSE)=1,0,1)</f>
        <v>0.8773</v>
      </c>
      <c r="BK138" s="30" cm="1">
        <f t="array" ref="BK138">1+$B$13+VLOOKUP($Q138,武学奇术!$A:$ZZ,18,FALSE)+SUM(_xlfn.XLOOKUP(R138:AF138,增益!$A:$A,增益!$R:$R,0))</f>
        <v>1.5</v>
      </c>
      <c r="BL138" s="30" cm="1">
        <f t="array" ref="BL138">IF(VLOOKUP($Q138,武学奇术!$A:$ZZ,24,FALSE)=1,100%,MIN(40%,$B$10+VLOOKUP($Q138,武学奇术!$A:$ZZ,19,FALSE)+SUM(_xlfn.XLOOKUP(R138:AF138,增益!$A:$A,增益!$S:$S,0)))+$B$12+SUM(_xlfn.XLOOKUP(R138:AF138,增益!$A:$A,增益!$V:$V,0)))*IF(VLOOKUP($Q138,武学奇术!$A:$ZZ,23,FALSE)=1,0,1)</f>
        <v>0.0895</v>
      </c>
      <c r="BM138" s="30" cm="1">
        <f t="array" ref="BM138">1+$B$14+VLOOKUP($Q138,武学奇术!$A:$ZZ,20,FALSE)+SUM(_xlfn.XLOOKUP(R138:AF138,增益!$A:$A,增益!$T:$T,0))</f>
        <v>1.35</v>
      </c>
      <c r="BN138" s="30">
        <f t="shared" si="34"/>
        <v>0.85203376</v>
      </c>
      <c r="BO138" s="30">
        <f t="shared" si="35"/>
        <v>0.03224384</v>
      </c>
      <c r="BP138" s="30">
        <f>IF(VLOOKUP($Q138,武学奇术!$A:$ZZ,22,FALSE)=1,0,(1-$BI138))*(1-$BL138)</f>
        <v>0.0262224</v>
      </c>
      <c r="BQ138" s="30" cm="1">
        <f t="array" ref="BQ138">SUM(_xlfn.XLOOKUP(R138:AF138,增益!$A:$A,增益!$W:$W,0))+$I$5</f>
        <v>0.11</v>
      </c>
    </row>
    <row r="139" spans="11:69">
      <c r="K139" s="41">
        <f t="shared" si="36"/>
        <v>0</v>
      </c>
      <c r="L139" s="41">
        <f>((($AN139+$AO139)/2*$AH139+$AI139)*(1+$AP139)*(1+$AQ139)+(($AS139+$AT139)/2*IF($G$1="鸣金",$AJ139,$AH139)+IF($G$1="鸣金",$AK139*1.5,0))*(1+$AU139)*(1+$AV139)+(($AW139+$AX139)/2*IF($G$1="裂石",$AJ139,$AH139)+IF($G$1="裂石",$AK139*1.5,0))*(1+$AY139)*(1+$AZ139)+(($BA139+$BB139)/2*IF($G$1="牵丝",$AJ139,$AH139)+IF($G$1="牵丝",$AK139*1.5,0))*(1+$BC139)*(1+$BD139)+(($BE139+$BF139)/2*IF($G$1="破竹",$AJ139,$AH139)+IF($G$1="破竹",$AK139*1.5,0))*(1+$BG139)*(1+$BH139))*(1+$AL139)*$BK139*$P139*(1+IF(VLOOKUP($Q139,武学奇术!$A:$ZZ,30,FALSE)="回旋伞",$B$21,0))*(1+$BQ139)</f>
        <v>0</v>
      </c>
      <c r="M139" s="41">
        <f>(($AO139*$AH139+$AI139)*(1+$AP139)*(1+$AQ139)+($AT139*IF($G$1="鸣金",$AJ139,$AH139)+IF($G$1="鸣金",$AK139*1.5,0))*(1+$AU139)*(1+$AV139)+($AX139*IF($G$1="裂石",$AJ139,$AH139)+IF($G$1="裂石",$AK139*1.5,0))*(1+$AY139)*(1+$AZ139)+($BB139*IF($G$1="牵丝",$AJ139,$AH139)+IF($G$1="牵丝",$AK139*1.5,0))*(1+$BC139)*(1+$BD139)+($BF139*IF($G$1="破竹",$AJ139,$AH139)+IF($G$1="破竹",$AK139*1.5,0))*(1+$BG139)*(1+$BH139))*(1+$AL139)*$BM139*$P139*(1+IF(VLOOKUP($Q139,武学奇术!$A:$ZZ,30,FALSE)="回旋伞",$B$21,0))*(1+$BQ139)</f>
        <v>0</v>
      </c>
      <c r="N139" s="41">
        <f>((($AN139+$AO139)/2*$AH139+$AI139)*(1+$AP139)*(1+$AQ139)+(($AS139+$AT139)/2*IF($G$1="鸣金",$AJ139,$AH139)+IF($G$1="鸣金",$AK139*1.5,0))*(1+$AU139)*(1+$AV139)+(($AW139+$AX139)/2*IF($G$1="裂石",$AJ139,$AH139)+IF($G$1="裂石",$AK139*1.5,0))*(1+$AY139)*(1+$AZ139)+(($BA139+$BB139)/2*IF($G$1="牵丝",$AJ139,$AH139)+IF($G$1="牵丝",$AK139*1.5,0))*(1+$BC139)*(1+$BD139)+(($BE139+$BF139)/2*IF($G$1="破竹",$AJ139,$AH139)+IF($G$1="破竹",$AK139*1.5,0))*(1+$BG139)*(1+$BH139))*(1+$AL139)*$P139*(1+IF(VLOOKUP($Q139,武学奇术!$A:$ZZ,30,FALSE)="回旋伞",$B$21,0))*(1+$BQ139)</f>
        <v>0</v>
      </c>
      <c r="O139" s="41">
        <f>((($AN139*$AH139+$AI139)*(1+$AP139)*(1+$AQ139)+($AS139*IF($G$1="鸣金",$AJ139,$AH139)+IF($G$1="鸣金",$AK139*1.5,0))*(1+$AU139)*(1+$AV139)+($AW139*IF($G$1="裂石",$AJ139,$AH139)+IF($G$1="裂石",$AK139*1.5,0))*(1+$AY139)*(1+$AZ139)+($BA139*IF($G$1="牵丝",$AJ139,$AH139)+IF($G$1="牵丝",$AK139*1.5,0))*(1+$BC139)*(1+$BD139)+($BE139*IF($G$1="破竹",$AJ139,$AH139)+IF($G$1="破竹",$AK139*1.5,0))*(1+$BG139)*(1+$BH139))*(1+$AL139))*$P139*(1+IF(VLOOKUP($Q139,武学奇术!$A:$ZZ,30,FALSE)="回旋伞",$B$21,0))*(1+$BQ139)</f>
        <v>0</v>
      </c>
      <c r="P139" s="42">
        <v>1</v>
      </c>
      <c r="Q139" s="43" t="s">
        <v>71</v>
      </c>
      <c r="R139" s="43" t="s">
        <v>71</v>
      </c>
      <c r="S139" s="43" t="s">
        <v>71</v>
      </c>
      <c r="T139" s="43" t="s">
        <v>71</v>
      </c>
      <c r="U139" s="43" t="s">
        <v>71</v>
      </c>
      <c r="V139" s="43" t="s">
        <v>71</v>
      </c>
      <c r="W139" s="43" t="s">
        <v>71</v>
      </c>
      <c r="X139" s="43" t="s">
        <v>71</v>
      </c>
      <c r="Y139" s="43" t="s">
        <v>71</v>
      </c>
      <c r="Z139" s="43" t="s">
        <v>71</v>
      </c>
      <c r="AA139" s="43" t="s">
        <v>71</v>
      </c>
      <c r="AB139" s="43" t="s">
        <v>71</v>
      </c>
      <c r="AC139" s="43" t="s">
        <v>71</v>
      </c>
      <c r="AD139" s="43" t="s">
        <v>71</v>
      </c>
      <c r="AE139" s="43" t="s">
        <v>71</v>
      </c>
      <c r="AF139" s="43" t="s">
        <v>76</v>
      </c>
      <c r="AG139" t="str">
        <f>VLOOKUP($Q139,武学奇术!$A:$ZZ,25,FALSE)</f>
        <v>心法</v>
      </c>
      <c r="AH139" s="30">
        <f>VLOOKUP($Q139,武学奇术!$A:$ZZ,26,FALSE)</f>
        <v>0</v>
      </c>
      <c r="AI139" s="31">
        <f>VLOOKUP($Q139,武学奇术!$A:$ZZ,27,FALSE)*(1+IF(OR($AG139=$F$4,$AG139=$F$5),$B$22,0))</f>
        <v>0</v>
      </c>
      <c r="AJ139" s="30">
        <f>VLOOKUP($Q139,武学奇术!$A:$ZZ,28,FALSE)</f>
        <v>0</v>
      </c>
      <c r="AK139" s="31">
        <f>VLOOKUP($Q139,武学奇术!$A:$ZZ,29,FALSE)*(1+IF(OR($AG139=$F$4,$AG139=$F$5),$B$22,0))</f>
        <v>0</v>
      </c>
      <c r="AL139" s="30" cm="1">
        <f t="array" ref="AL139">$G$3+IFERROR(VLOOKUP($AG139,$F$4:$G$7,2,FALSE),0)+VLOOKUP($Q139,武学奇术!$A:$ZZ,2,FALSE)+SUM(_xlfn.XLOOKUP($R139:$AF139,增益!$A:$A,增益!$B:$B,0))</f>
        <v>0.1037</v>
      </c>
      <c r="AM139" s="30" cm="1">
        <f t="array" ref="AM139">VLOOKUP($Q139,武学奇术!$A:$ZZ,5,FALSE)+SUM(_xlfn.XLOOKUP($R139:$AF139,增益!$A:$A,增益!$E:$E,0))</f>
        <v>0</v>
      </c>
      <c r="AN139" cm="1">
        <f t="array" ref="AN139">$D$10*(1+$AM139)+VLOOKUP($Q139,武学奇术!$A:$ZZ,3,FALSE)+SUM(_xlfn.XLOOKUP($R139:$AF139,增益!$A:$A,增益!$C:$C,0))-$I$2</f>
        <v>3483.8</v>
      </c>
      <c r="AO139" cm="1">
        <f t="array" ref="AO139">$E$10*(1+$AM139)+VLOOKUP($Q139,武学奇术!$A:$ZZ,4,FALSE)+SUM(_xlfn.XLOOKUP($R139:$AF139,增益!$A:$A,增益!$D:$D,0))-$I$2</f>
        <v>3483.8</v>
      </c>
      <c r="AP139" s="35" cm="1">
        <f t="array" ref="AP139">IF($F$10-$I$3+VLOOKUP($Q139,武学奇术!$A:$ZZ,6,FALSE)+SUM(_xlfn.XLOOKUP(R139:AF139,增益!$A:$A,增益!$F:$F,0))&gt;0,($F$10-$I$3+VLOOKUP($Q139,武学奇术!$A:$ZZ,6,FALSE)+SUM(_xlfn.XLOOKUP(R139:AF139,增益!$A:$A,增益!$F:$F,0)))/200,($F$10-$I$3+VLOOKUP($Q139,武学奇术!$A:$ZZ,6,FALSE)+SUM(_xlfn.XLOOKUP(R139:AF139,增益!$A:$A,增益!$F:$F,0)))/100)</f>
        <v>0.1925</v>
      </c>
      <c r="AQ139" s="35" cm="1">
        <f t="array" ref="AQ139">$G$10+VLOOKUP($Q139,武学奇术!$A:$ZZ,7,FALSE)+SUM(_xlfn.XLOOKUP(R139:AF139,增益!$A:$A,增益!$G:$G,0))</f>
        <v>0.028</v>
      </c>
      <c r="AR139" s="30" cm="1">
        <f t="array" ref="AR139">VLOOKUP($Q139,武学奇术!$A:$ZZ,8,FALSE)+SUM(_xlfn.XLOOKUP(R139:AF139,增益!$A:$A,增益!$H:$H,0))</f>
        <v>0</v>
      </c>
      <c r="AS139">
        <f t="shared" si="26"/>
        <v>0</v>
      </c>
      <c r="AT139">
        <f t="shared" si="27"/>
        <v>0</v>
      </c>
      <c r="AU139" s="35" cm="1">
        <f t="array" ref="AU139">IF($F$11-$I$4+VLOOKUP($Q139,武学奇术!$A:$ZZ,9,FALSE)+SUM(_xlfn.XLOOKUP(R139:AF139,增益!$A:$A,增益!$I:$I,0))&gt;0,($F$11-$I$4+VLOOKUP($Q139,武学奇术!$A:$ZZ,9,FALSE)+SUM(_xlfn.XLOOKUP(R139:AF139,增益!$A:$A,增益!$I:$I,0)))/200,($F$11-$I$4+VLOOKUP($Q139,武学奇术!$A:$ZZ,9,FALSE)+SUM(_xlfn.XLOOKUP(R139:AF139,增益!$A:$A,增益!$I:$I,0)))/100)</f>
        <v>-0.3</v>
      </c>
      <c r="AV139" s="35" cm="1">
        <f t="array" ref="AV139">$G$11+VLOOKUP($Q139,武学奇术!$A:$ZZ,10,FALSE)+SUM(_xlfn.XLOOKUP(R139:AF139,增益!$A:$A,增益!$J:$J,0))</f>
        <v>0</v>
      </c>
      <c r="AW139">
        <f t="shared" si="28"/>
        <v>0</v>
      </c>
      <c r="AX139">
        <f t="shared" si="29"/>
        <v>0</v>
      </c>
      <c r="AY139" s="35" cm="1">
        <f t="array" ref="AY139">IF($F$12-$I$4+VLOOKUP($Q139,武学奇术!$A:$ZZ,11,FALSE)+SUM(_xlfn.XLOOKUP(R139:AF139,增益!$A:$A,增益!$K:$K,0))&gt;0,($F$12-$I$4+VLOOKUP($Q139,武学奇术!$A:$ZZ,11,FALSE)+SUM(_xlfn.XLOOKUP(R139:AF139,增益!$A:$A,增益!$K:$K,0)))/200,($F$12-$I$4+VLOOKUP($Q139,武学奇术!$A:$ZZ,11,FALSE)+SUM(_xlfn.XLOOKUP(R139:AF139,增益!$A:$A,增益!$K:$K,0)))/100)</f>
        <v>-0.3</v>
      </c>
      <c r="AZ139" s="35" cm="1">
        <f t="array" ref="AZ139">$G$12+VLOOKUP($Q139,武学奇术!$A:$ZZ,12,FALSE)+SUM(_xlfn.XLOOKUP(R139:AF139,增益!$A:$A,增益!$L:$L,0))</f>
        <v>0</v>
      </c>
      <c r="BA139">
        <f t="shared" si="30"/>
        <v>0</v>
      </c>
      <c r="BB139">
        <f t="shared" si="31"/>
        <v>0</v>
      </c>
      <c r="BC139" s="35" cm="1">
        <f t="array" ref="BC139">IF($F$13-$I$4+VLOOKUP($Q139,武学奇术!$A:$ZZ,13,FALSE)+SUM(_xlfn.XLOOKUP(R139:AF139,增益!$A:$A,增益!$M:$M,0))&gt;0,($F$13-$I$4+VLOOKUP($Q139,武学奇术!$A:$ZZ,13,FALSE)+SUM(_xlfn.XLOOKUP(R139:AF139,增益!$A:$A,增益!$K:$K,0)))/200,($F$13-$I$4+VLOOKUP($Q139,武学奇术!$A:$ZZ,13,FALSE)+SUM(_xlfn.XLOOKUP(R139:AF139,增益!$A:$A,增益!$M:$M,0)))/100)</f>
        <v>-0.3</v>
      </c>
      <c r="BD139" s="35" cm="1">
        <f t="array" ref="BD139">$G$13+VLOOKUP($Q139,武学奇术!$A:$ZZ,14,FALSE)+SUM(_xlfn.XLOOKUP(R139:AF139,增益!$A:$A,增益!$N:$N,0))</f>
        <v>0</v>
      </c>
      <c r="BE139">
        <f t="shared" si="32"/>
        <v>538</v>
      </c>
      <c r="BF139">
        <f t="shared" si="33"/>
        <v>1561.4</v>
      </c>
      <c r="BG139" s="35" cm="1">
        <f t="array" ref="BG139">IF($F$14-$I$4+VLOOKUP($Q139,武学奇术!$A:$ZZ,15,FALSE)+SUM(_xlfn.XLOOKUP(R139:AF139,增益!$A:$A,增益!$O:$O,0))&gt;0,($F$14-$I$4+VLOOKUP($Q139,武学奇术!$A:$ZZ,15,FALSE)+SUM(_xlfn.XLOOKUP(R139:AF139,增益!$A:$A,增益!$O:$O,0)))/200,($F$14-$I$4+VLOOKUP($Q139,武学奇术!$A:$ZZ,15,FALSE)+SUM(_xlfn.XLOOKUP(R139:AF139,增益!$A:$A,增益!$O:$O,0)))/100)</f>
        <v>0</v>
      </c>
      <c r="BH139" s="35" cm="1">
        <f t="array" ref="BH139">$G$14+VLOOKUP($Q139,武学奇术!$A:$ZZ,16,FALSE)+SUM(_xlfn.XLOOKUP(R139:AF139,增益!$A:$A,增益!$P:$P,0))</f>
        <v>0.15</v>
      </c>
      <c r="BI139" s="30">
        <f>MIN(IF(VLOOKUP($Q139,武学奇术!$A:$ZZ,23,FALSE)=1,100%,$B$8),100%)</f>
        <v>0.9712</v>
      </c>
      <c r="BJ139" s="30" cm="1">
        <f t="array" ref="BJ139">IF(VLOOKUP($Q139,武学奇术!$A:$ZZ,23,FALSE)=1,100%,MIN(80%,$B$9+VLOOKUP($Q139,武学奇术!$A:$ZZ,17,FALSE)+SUM(_xlfn.XLOOKUP(R139:AF139,增益!$A:$A,增益!$Q:$Q,0)))+$B$11+SUM(_xlfn.XLOOKUP(R139:AF139,增益!$A:$A,增益!$U:$U,0)))*IF(VLOOKUP($Q139,武学奇术!$A:$ZZ,24,FALSE)=1,0,1)</f>
        <v>0.8773</v>
      </c>
      <c r="BK139" s="30" cm="1">
        <f t="array" ref="BK139">1+$B$13+VLOOKUP($Q139,武学奇术!$A:$ZZ,18,FALSE)+SUM(_xlfn.XLOOKUP(R139:AF139,增益!$A:$A,增益!$R:$R,0))</f>
        <v>1.5</v>
      </c>
      <c r="BL139" s="30" cm="1">
        <f t="array" ref="BL139">IF(VLOOKUP($Q139,武学奇术!$A:$ZZ,24,FALSE)=1,100%,MIN(40%,$B$10+VLOOKUP($Q139,武学奇术!$A:$ZZ,19,FALSE)+SUM(_xlfn.XLOOKUP(R139:AF139,增益!$A:$A,增益!$S:$S,0)))+$B$12+SUM(_xlfn.XLOOKUP(R139:AF139,增益!$A:$A,增益!$V:$V,0)))*IF(VLOOKUP($Q139,武学奇术!$A:$ZZ,23,FALSE)=1,0,1)</f>
        <v>0.0895</v>
      </c>
      <c r="BM139" s="30" cm="1">
        <f t="array" ref="BM139">1+$B$14+VLOOKUP($Q139,武学奇术!$A:$ZZ,20,FALSE)+SUM(_xlfn.XLOOKUP(R139:AF139,增益!$A:$A,增益!$T:$T,0))</f>
        <v>1.35</v>
      </c>
      <c r="BN139" s="30">
        <f t="shared" si="34"/>
        <v>0.85203376</v>
      </c>
      <c r="BO139" s="30">
        <f t="shared" si="35"/>
        <v>0.03224384</v>
      </c>
      <c r="BP139" s="30">
        <f>IF(VLOOKUP($Q139,武学奇术!$A:$ZZ,22,FALSE)=1,0,(1-$BI139))*(1-$BL139)</f>
        <v>0.0262224</v>
      </c>
      <c r="BQ139" s="30" cm="1">
        <f t="array" ref="BQ139">SUM(_xlfn.XLOOKUP(R139:AF139,增益!$A:$A,增益!$W:$W,0))+$I$5</f>
        <v>0.11</v>
      </c>
    </row>
    <row r="140" spans="11:69">
      <c r="K140" s="41">
        <f t="shared" si="36"/>
        <v>0</v>
      </c>
      <c r="L140" s="41">
        <f>((($AN140+$AO140)/2*$AH140+$AI140)*(1+$AP140)*(1+$AQ140)+(($AS140+$AT140)/2*IF($G$1="鸣金",$AJ140,$AH140)+IF($G$1="鸣金",$AK140*1.5,0))*(1+$AU140)*(1+$AV140)+(($AW140+$AX140)/2*IF($G$1="裂石",$AJ140,$AH140)+IF($G$1="裂石",$AK140*1.5,0))*(1+$AY140)*(1+$AZ140)+(($BA140+$BB140)/2*IF($G$1="牵丝",$AJ140,$AH140)+IF($G$1="牵丝",$AK140*1.5,0))*(1+$BC140)*(1+$BD140)+(($BE140+$BF140)/2*IF($G$1="破竹",$AJ140,$AH140)+IF($G$1="破竹",$AK140*1.5,0))*(1+$BG140)*(1+$BH140))*(1+$AL140)*$BK140*$P140*(1+IF(VLOOKUP($Q140,武学奇术!$A:$ZZ,30,FALSE)="回旋伞",$B$21,0))*(1+$BQ140)</f>
        <v>0</v>
      </c>
      <c r="M140" s="41">
        <f>(($AO140*$AH140+$AI140)*(1+$AP140)*(1+$AQ140)+($AT140*IF($G$1="鸣金",$AJ140,$AH140)+IF($G$1="鸣金",$AK140*1.5,0))*(1+$AU140)*(1+$AV140)+($AX140*IF($G$1="裂石",$AJ140,$AH140)+IF($G$1="裂石",$AK140*1.5,0))*(1+$AY140)*(1+$AZ140)+($BB140*IF($G$1="牵丝",$AJ140,$AH140)+IF($G$1="牵丝",$AK140*1.5,0))*(1+$BC140)*(1+$BD140)+($BF140*IF($G$1="破竹",$AJ140,$AH140)+IF($G$1="破竹",$AK140*1.5,0))*(1+$BG140)*(1+$BH140))*(1+$AL140)*$BM140*$P140*(1+IF(VLOOKUP($Q140,武学奇术!$A:$ZZ,30,FALSE)="回旋伞",$B$21,0))*(1+$BQ140)</f>
        <v>0</v>
      </c>
      <c r="N140" s="41">
        <f>((($AN140+$AO140)/2*$AH140+$AI140)*(1+$AP140)*(1+$AQ140)+(($AS140+$AT140)/2*IF($G$1="鸣金",$AJ140,$AH140)+IF($G$1="鸣金",$AK140*1.5,0))*(1+$AU140)*(1+$AV140)+(($AW140+$AX140)/2*IF($G$1="裂石",$AJ140,$AH140)+IF($G$1="裂石",$AK140*1.5,0))*(1+$AY140)*(1+$AZ140)+(($BA140+$BB140)/2*IF($G$1="牵丝",$AJ140,$AH140)+IF($G$1="牵丝",$AK140*1.5,0))*(1+$BC140)*(1+$BD140)+(($BE140+$BF140)/2*IF($G$1="破竹",$AJ140,$AH140)+IF($G$1="破竹",$AK140*1.5,0))*(1+$BG140)*(1+$BH140))*(1+$AL140)*$P140*(1+IF(VLOOKUP($Q140,武学奇术!$A:$ZZ,30,FALSE)="回旋伞",$B$21,0))*(1+$BQ140)</f>
        <v>0</v>
      </c>
      <c r="O140" s="41">
        <f>((($AN140*$AH140+$AI140)*(1+$AP140)*(1+$AQ140)+($AS140*IF($G$1="鸣金",$AJ140,$AH140)+IF($G$1="鸣金",$AK140*1.5,0))*(1+$AU140)*(1+$AV140)+($AW140*IF($G$1="裂石",$AJ140,$AH140)+IF($G$1="裂石",$AK140*1.5,0))*(1+$AY140)*(1+$AZ140)+($BA140*IF($G$1="牵丝",$AJ140,$AH140)+IF($G$1="牵丝",$AK140*1.5,0))*(1+$BC140)*(1+$BD140)+($BE140*IF($G$1="破竹",$AJ140,$AH140)+IF($G$1="破竹",$AK140*1.5,0))*(1+$BG140)*(1+$BH140))*(1+$AL140))*$P140*(1+IF(VLOOKUP($Q140,武学奇术!$A:$ZZ,30,FALSE)="回旋伞",$B$21,0))*(1+$BQ140)</f>
        <v>0</v>
      </c>
      <c r="P140" s="42">
        <v>1</v>
      </c>
      <c r="Q140" s="43" t="s">
        <v>71</v>
      </c>
      <c r="R140" s="43" t="s">
        <v>71</v>
      </c>
      <c r="S140" s="43" t="s">
        <v>71</v>
      </c>
      <c r="T140" s="43" t="s">
        <v>71</v>
      </c>
      <c r="U140" s="43" t="s">
        <v>71</v>
      </c>
      <c r="V140" s="43" t="s">
        <v>71</v>
      </c>
      <c r="W140" s="43" t="s">
        <v>71</v>
      </c>
      <c r="X140" s="43" t="s">
        <v>71</v>
      </c>
      <c r="Y140" s="43" t="s">
        <v>71</v>
      </c>
      <c r="Z140" s="43" t="s">
        <v>71</v>
      </c>
      <c r="AA140" s="43" t="s">
        <v>71</v>
      </c>
      <c r="AB140" s="43" t="s">
        <v>71</v>
      </c>
      <c r="AC140" s="43" t="s">
        <v>71</v>
      </c>
      <c r="AD140" s="43" t="s">
        <v>71</v>
      </c>
      <c r="AE140" s="43" t="s">
        <v>71</v>
      </c>
      <c r="AF140" s="43" t="s">
        <v>76</v>
      </c>
      <c r="AG140" t="str">
        <f>VLOOKUP($Q140,武学奇术!$A:$ZZ,25,FALSE)</f>
        <v>心法</v>
      </c>
      <c r="AH140" s="30">
        <f>VLOOKUP($Q140,武学奇术!$A:$ZZ,26,FALSE)</f>
        <v>0</v>
      </c>
      <c r="AI140" s="31">
        <f>VLOOKUP($Q140,武学奇术!$A:$ZZ,27,FALSE)*(1+IF(OR($AG140=$F$4,$AG140=$F$5),$B$22,0))</f>
        <v>0</v>
      </c>
      <c r="AJ140" s="30">
        <f>VLOOKUP($Q140,武学奇术!$A:$ZZ,28,FALSE)</f>
        <v>0</v>
      </c>
      <c r="AK140" s="31">
        <f>VLOOKUP($Q140,武学奇术!$A:$ZZ,29,FALSE)*(1+IF(OR($AG140=$F$4,$AG140=$F$5),$B$22,0))</f>
        <v>0</v>
      </c>
      <c r="AL140" s="30" cm="1">
        <f t="array" ref="AL140">$G$3+IFERROR(VLOOKUP($AG140,$F$4:$G$7,2,FALSE),0)+VLOOKUP($Q140,武学奇术!$A:$ZZ,2,FALSE)+SUM(_xlfn.XLOOKUP($R140:$AF140,增益!$A:$A,增益!$B:$B,0))</f>
        <v>0.1037</v>
      </c>
      <c r="AM140" s="30" cm="1">
        <f t="array" ref="AM140">VLOOKUP($Q140,武学奇术!$A:$ZZ,5,FALSE)+SUM(_xlfn.XLOOKUP($R140:$AF140,增益!$A:$A,增益!$E:$E,0))</f>
        <v>0</v>
      </c>
      <c r="AN140" cm="1">
        <f t="array" ref="AN140">$D$10*(1+$AM140)+VLOOKUP($Q140,武学奇术!$A:$ZZ,3,FALSE)+SUM(_xlfn.XLOOKUP($R140:$AF140,增益!$A:$A,增益!$C:$C,0))-$I$2</f>
        <v>3483.8</v>
      </c>
      <c r="AO140" cm="1">
        <f t="array" ref="AO140">$E$10*(1+$AM140)+VLOOKUP($Q140,武学奇术!$A:$ZZ,4,FALSE)+SUM(_xlfn.XLOOKUP($R140:$AF140,增益!$A:$A,增益!$D:$D,0))-$I$2</f>
        <v>3483.8</v>
      </c>
      <c r="AP140" s="35" cm="1">
        <f t="array" ref="AP140">IF($F$10-$I$3+VLOOKUP($Q140,武学奇术!$A:$ZZ,6,FALSE)+SUM(_xlfn.XLOOKUP(R140:AF140,增益!$A:$A,增益!$F:$F,0))&gt;0,($F$10-$I$3+VLOOKUP($Q140,武学奇术!$A:$ZZ,6,FALSE)+SUM(_xlfn.XLOOKUP(R140:AF140,增益!$A:$A,增益!$F:$F,0)))/200,($F$10-$I$3+VLOOKUP($Q140,武学奇术!$A:$ZZ,6,FALSE)+SUM(_xlfn.XLOOKUP(R140:AF140,增益!$A:$A,增益!$F:$F,0)))/100)</f>
        <v>0.1925</v>
      </c>
      <c r="AQ140" s="35" cm="1">
        <f t="array" ref="AQ140">$G$10+VLOOKUP($Q140,武学奇术!$A:$ZZ,7,FALSE)+SUM(_xlfn.XLOOKUP(R140:AF140,增益!$A:$A,增益!$G:$G,0))</f>
        <v>0.028</v>
      </c>
      <c r="AR140" s="30" cm="1">
        <f t="array" ref="AR140">VLOOKUP($Q140,武学奇术!$A:$ZZ,8,FALSE)+SUM(_xlfn.XLOOKUP(R140:AF140,增益!$A:$A,增益!$H:$H,0))</f>
        <v>0</v>
      </c>
      <c r="AS140">
        <f t="shared" si="26"/>
        <v>0</v>
      </c>
      <c r="AT140">
        <f t="shared" si="27"/>
        <v>0</v>
      </c>
      <c r="AU140" s="35" cm="1">
        <f t="array" ref="AU140">IF($F$11-$I$4+VLOOKUP($Q140,武学奇术!$A:$ZZ,9,FALSE)+SUM(_xlfn.XLOOKUP(R140:AF140,增益!$A:$A,增益!$I:$I,0))&gt;0,($F$11-$I$4+VLOOKUP($Q140,武学奇术!$A:$ZZ,9,FALSE)+SUM(_xlfn.XLOOKUP(R140:AF140,增益!$A:$A,增益!$I:$I,0)))/200,($F$11-$I$4+VLOOKUP($Q140,武学奇术!$A:$ZZ,9,FALSE)+SUM(_xlfn.XLOOKUP(R140:AF140,增益!$A:$A,增益!$I:$I,0)))/100)</f>
        <v>-0.3</v>
      </c>
      <c r="AV140" s="35" cm="1">
        <f t="array" ref="AV140">$G$11+VLOOKUP($Q140,武学奇术!$A:$ZZ,10,FALSE)+SUM(_xlfn.XLOOKUP(R140:AF140,增益!$A:$A,增益!$J:$J,0))</f>
        <v>0</v>
      </c>
      <c r="AW140">
        <f t="shared" si="28"/>
        <v>0</v>
      </c>
      <c r="AX140">
        <f t="shared" si="29"/>
        <v>0</v>
      </c>
      <c r="AY140" s="35" cm="1">
        <f t="array" ref="AY140">IF($F$12-$I$4+VLOOKUP($Q140,武学奇术!$A:$ZZ,11,FALSE)+SUM(_xlfn.XLOOKUP(R140:AF140,增益!$A:$A,增益!$K:$K,0))&gt;0,($F$12-$I$4+VLOOKUP($Q140,武学奇术!$A:$ZZ,11,FALSE)+SUM(_xlfn.XLOOKUP(R140:AF140,增益!$A:$A,增益!$K:$K,0)))/200,($F$12-$I$4+VLOOKUP($Q140,武学奇术!$A:$ZZ,11,FALSE)+SUM(_xlfn.XLOOKUP(R140:AF140,增益!$A:$A,增益!$K:$K,0)))/100)</f>
        <v>-0.3</v>
      </c>
      <c r="AZ140" s="35" cm="1">
        <f t="array" ref="AZ140">$G$12+VLOOKUP($Q140,武学奇术!$A:$ZZ,12,FALSE)+SUM(_xlfn.XLOOKUP(R140:AF140,增益!$A:$A,增益!$L:$L,0))</f>
        <v>0</v>
      </c>
      <c r="BA140">
        <f t="shared" si="30"/>
        <v>0</v>
      </c>
      <c r="BB140">
        <f t="shared" si="31"/>
        <v>0</v>
      </c>
      <c r="BC140" s="35" cm="1">
        <f t="array" ref="BC140">IF($F$13-$I$4+VLOOKUP($Q140,武学奇术!$A:$ZZ,13,FALSE)+SUM(_xlfn.XLOOKUP(R140:AF140,增益!$A:$A,增益!$M:$M,0))&gt;0,($F$13-$I$4+VLOOKUP($Q140,武学奇术!$A:$ZZ,13,FALSE)+SUM(_xlfn.XLOOKUP(R140:AF140,增益!$A:$A,增益!$K:$K,0)))/200,($F$13-$I$4+VLOOKUP($Q140,武学奇术!$A:$ZZ,13,FALSE)+SUM(_xlfn.XLOOKUP(R140:AF140,增益!$A:$A,增益!$M:$M,0)))/100)</f>
        <v>-0.3</v>
      </c>
      <c r="BD140" s="35" cm="1">
        <f t="array" ref="BD140">$G$13+VLOOKUP($Q140,武学奇术!$A:$ZZ,14,FALSE)+SUM(_xlfn.XLOOKUP(R140:AF140,增益!$A:$A,增益!$N:$N,0))</f>
        <v>0</v>
      </c>
      <c r="BE140">
        <f t="shared" si="32"/>
        <v>538</v>
      </c>
      <c r="BF140">
        <f t="shared" si="33"/>
        <v>1561.4</v>
      </c>
      <c r="BG140" s="35" cm="1">
        <f t="array" ref="BG140">IF($F$14-$I$4+VLOOKUP($Q140,武学奇术!$A:$ZZ,15,FALSE)+SUM(_xlfn.XLOOKUP(R140:AF140,增益!$A:$A,增益!$O:$O,0))&gt;0,($F$14-$I$4+VLOOKUP($Q140,武学奇术!$A:$ZZ,15,FALSE)+SUM(_xlfn.XLOOKUP(R140:AF140,增益!$A:$A,增益!$O:$O,0)))/200,($F$14-$I$4+VLOOKUP($Q140,武学奇术!$A:$ZZ,15,FALSE)+SUM(_xlfn.XLOOKUP(R140:AF140,增益!$A:$A,增益!$O:$O,0)))/100)</f>
        <v>0</v>
      </c>
      <c r="BH140" s="35" cm="1">
        <f t="array" ref="BH140">$G$14+VLOOKUP($Q140,武学奇术!$A:$ZZ,16,FALSE)+SUM(_xlfn.XLOOKUP(R140:AF140,增益!$A:$A,增益!$P:$P,0))</f>
        <v>0.15</v>
      </c>
      <c r="BI140" s="30">
        <f>MIN(IF(VLOOKUP($Q140,武学奇术!$A:$ZZ,23,FALSE)=1,100%,$B$8),100%)</f>
        <v>0.9712</v>
      </c>
      <c r="BJ140" s="30" cm="1">
        <f t="array" ref="BJ140">IF(VLOOKUP($Q140,武学奇术!$A:$ZZ,23,FALSE)=1,100%,MIN(80%,$B$9+VLOOKUP($Q140,武学奇术!$A:$ZZ,17,FALSE)+SUM(_xlfn.XLOOKUP(R140:AF140,增益!$A:$A,增益!$Q:$Q,0)))+$B$11+SUM(_xlfn.XLOOKUP(R140:AF140,增益!$A:$A,增益!$U:$U,0)))*IF(VLOOKUP($Q140,武学奇术!$A:$ZZ,24,FALSE)=1,0,1)</f>
        <v>0.8773</v>
      </c>
      <c r="BK140" s="30" cm="1">
        <f t="array" ref="BK140">1+$B$13+VLOOKUP($Q140,武学奇术!$A:$ZZ,18,FALSE)+SUM(_xlfn.XLOOKUP(R140:AF140,增益!$A:$A,增益!$R:$R,0))</f>
        <v>1.5</v>
      </c>
      <c r="BL140" s="30" cm="1">
        <f t="array" ref="BL140">IF(VLOOKUP($Q140,武学奇术!$A:$ZZ,24,FALSE)=1,100%,MIN(40%,$B$10+VLOOKUP($Q140,武学奇术!$A:$ZZ,19,FALSE)+SUM(_xlfn.XLOOKUP(R140:AF140,增益!$A:$A,增益!$S:$S,0)))+$B$12+SUM(_xlfn.XLOOKUP(R140:AF140,增益!$A:$A,增益!$V:$V,0)))*IF(VLOOKUP($Q140,武学奇术!$A:$ZZ,23,FALSE)=1,0,1)</f>
        <v>0.0895</v>
      </c>
      <c r="BM140" s="30" cm="1">
        <f t="array" ref="BM140">1+$B$14+VLOOKUP($Q140,武学奇术!$A:$ZZ,20,FALSE)+SUM(_xlfn.XLOOKUP(R140:AF140,增益!$A:$A,增益!$T:$T,0))</f>
        <v>1.35</v>
      </c>
      <c r="BN140" s="30">
        <f t="shared" si="34"/>
        <v>0.85203376</v>
      </c>
      <c r="BO140" s="30">
        <f t="shared" si="35"/>
        <v>0.03224384</v>
      </c>
      <c r="BP140" s="30">
        <f>IF(VLOOKUP($Q140,武学奇术!$A:$ZZ,22,FALSE)=1,0,(1-$BI140))*(1-$BL140)</f>
        <v>0.0262224</v>
      </c>
      <c r="BQ140" s="30" cm="1">
        <f t="array" ref="BQ140">SUM(_xlfn.XLOOKUP(R140:AF140,增益!$A:$A,增益!$W:$W,0))+$I$5</f>
        <v>0.11</v>
      </c>
    </row>
    <row r="141" spans="11:69">
      <c r="K141" s="41">
        <f t="shared" si="36"/>
        <v>15662.9247691765</v>
      </c>
      <c r="L141" s="41">
        <f>((($AN141+$AO141)/2*$AH141+$AI141)*(1+$AP141)*(1+$AQ141)+(($AS141+$AT141)/2*IF($G$1="鸣金",$AJ141,$AH141)+IF($G$1="鸣金",$AK141*1.5,0))*(1+$AU141)*(1+$AV141)+(($AW141+$AX141)/2*IF($G$1="裂石",$AJ141,$AH141)+IF($G$1="裂石",$AK141*1.5,0))*(1+$AY141)*(1+$AZ141)+(($BA141+$BB141)/2*IF($G$1="牵丝",$AJ141,$AH141)+IF($G$1="牵丝",$AK141*1.5,0))*(1+$BC141)*(1+$BD141)+(($BE141+$BF141)/2*IF($G$1="破竹",$AJ141,$AH141)+IF($G$1="破竹",$AK141*1.5,0))*(1+$BG141)*(1+$BH141))*(1+$AL141)*$BK141*$P141*(1+IF(VLOOKUP($Q141,武学奇术!$A:$ZZ,30,FALSE)="回旋伞",$B$21,0))*(1+$BQ141)</f>
        <v>16367.7292428866</v>
      </c>
      <c r="M141" s="41">
        <f>(($AO141*$AH141+$AI141)*(1+$AP141)*(1+$AQ141)+($AT141*IF($G$1="鸣金",$AJ141,$AH141)+IF($G$1="鸣金",$AK141*1.5,0))*(1+$AU141)*(1+$AV141)+($AX141*IF($G$1="裂石",$AJ141,$AH141)+IF($G$1="裂石",$AK141*1.5,0))*(1+$AY141)*(1+$AZ141)+($BB141*IF($G$1="牵丝",$AJ141,$AH141)+IF($G$1="牵丝",$AK141*1.5,0))*(1+$BC141)*(1+$BD141)+($BF141*IF($G$1="破竹",$AJ141,$AH141)+IF($G$1="破竹",$AK141*1.5,0))*(1+$BG141)*(1+$BH141))*(1+$AL141)*$BM141*$P141*(1+IF(VLOOKUP($Q141,武学奇术!$A:$ZZ,30,FALSE)="回旋伞",$B$21,0))*(1+$BQ141)</f>
        <v>13513.5793359897</v>
      </c>
      <c r="N141" s="41">
        <f>((($AN141+$AO141)/2*$AH141+$AI141)*(1+$AP141)*(1+$AQ141)+(($AS141+$AT141)/2*IF($G$1="鸣金",$AJ141,$AH141)+IF($G$1="鸣金",$AK141*1.5,0))*(1+$AU141)*(1+$AV141)+(($AW141+$AX141)/2*IF($G$1="裂石",$AJ141,$AH141)+IF($G$1="裂石",$AK141*1.5,0))*(1+$AY141)*(1+$AZ141)+(($BA141+$BB141)/2*IF($G$1="牵丝",$AJ141,$AH141)+IF($G$1="牵丝",$AK141*1.5,0))*(1+$BC141)*(1+$BD141)+(($BE141+$BF141)/2*IF($G$1="破竹",$AJ141,$AH141)+IF($G$1="破竹",$AK141*1.5,0))*(1+$BG141)*(1+$BH141))*(1+$AL141)*$P141*(1+IF(VLOOKUP($Q141,武学奇术!$A:$ZZ,30,FALSE)="回旋伞",$B$21,0))*(1+$BQ141)</f>
        <v>9093.18291271476</v>
      </c>
      <c r="O141" s="41">
        <f>((($AN141*$AH141+$AI141)*(1+$AP141)*(1+$AQ141)+($AS141*IF($G$1="鸣金",$AJ141,$AH141)+IF($G$1="鸣金",$AK141*1.5,0))*(1+$AU141)*(1+$AV141)+($AW141*IF($G$1="裂石",$AJ141,$AH141)+IF($G$1="裂石",$AK141*1.5,0))*(1+$AY141)*(1+$AZ141)+($BA141*IF($G$1="牵丝",$AJ141,$AH141)+IF($G$1="牵丝",$AK141*1.5,0))*(1+$BC141)*(1+$BD141)+($BE141*IF($G$1="破竹",$AJ141,$AH141)+IF($G$1="破竹",$AK141*1.5,0))*(1+$BG141)*(1+$BH141))*(1+$AL141))*$P141*(1+IF(VLOOKUP($Q141,武学奇术!$A:$ZZ,30,FALSE)="回旋伞",$B$21,0))*(1+$BQ141)</f>
        <v>8176.30705802975</v>
      </c>
      <c r="P141" s="42">
        <f t="shared" ref="P141:P151" si="37">IF($C$24="易水歌",1,0)</f>
        <v>1</v>
      </c>
      <c r="Q141" s="43" t="s">
        <v>187</v>
      </c>
      <c r="R141" s="43" t="s">
        <v>71</v>
      </c>
      <c r="S141" s="43" t="s">
        <v>91</v>
      </c>
      <c r="T141" s="43" t="s">
        <v>72</v>
      </c>
      <c r="U141" s="43" t="s">
        <v>79</v>
      </c>
      <c r="V141" s="43" t="s">
        <v>86</v>
      </c>
      <c r="W141" s="43" t="s">
        <v>95</v>
      </c>
      <c r="X141" s="43" t="s">
        <v>71</v>
      </c>
      <c r="Y141" s="43" t="s">
        <v>71</v>
      </c>
      <c r="Z141" s="43" t="s">
        <v>71</v>
      </c>
      <c r="AA141" s="43" t="s">
        <v>71</v>
      </c>
      <c r="AB141" s="43" t="s">
        <v>71</v>
      </c>
      <c r="AC141" s="43" t="s">
        <v>71</v>
      </c>
      <c r="AD141" s="43" t="s">
        <v>71</v>
      </c>
      <c r="AE141" s="43" t="s">
        <v>71</v>
      </c>
      <c r="AF141" s="43" t="s">
        <v>76</v>
      </c>
      <c r="AG141" t="str">
        <f>VLOOKUP($Q141,武学奇术!$A:$ZZ,25,FALSE)</f>
        <v>心法</v>
      </c>
      <c r="AH141" s="30">
        <f>VLOOKUP($Q141,武学奇术!$A:$ZZ,26,FALSE)</f>
        <v>1</v>
      </c>
      <c r="AI141" s="31">
        <f>VLOOKUP($Q141,武学奇术!$A:$ZZ,27,FALSE)*(1+IF(OR($AG141=$F$4,$AG141=$F$5),$B$22,0))</f>
        <v>0</v>
      </c>
      <c r="AJ141" s="30">
        <f>VLOOKUP($Q141,武学奇术!$A:$ZZ,28,FALSE)</f>
        <v>1</v>
      </c>
      <c r="AK141" s="31">
        <f>VLOOKUP($Q141,武学奇术!$A:$ZZ,29,FALSE)*(1+IF(OR($AG141=$F$4,$AG141=$F$5),$B$22,0))</f>
        <v>0</v>
      </c>
      <c r="AL141" s="30" cm="1">
        <f t="array" ref="AL141">$G$3+IFERROR(VLOOKUP($AG141,$F$4:$G$7,2,FALSE),0)+VLOOKUP($Q141,武学奇术!$A:$ZZ,2,FALSE)+SUM(_xlfn.XLOOKUP($R141:$AF141,增益!$A:$A,增益!$B:$B,0))</f>
        <v>0.4037</v>
      </c>
      <c r="AM141" s="30" cm="1">
        <f t="array" ref="AM141">VLOOKUP($Q141,武学奇术!$A:$ZZ,5,FALSE)+SUM(_xlfn.XLOOKUP($R141:$AF141,增益!$A:$A,增益!$E:$E,0))</f>
        <v>0</v>
      </c>
      <c r="AN141" cm="1">
        <f t="array" ref="AN141">$D$10*(1+$AM141)+VLOOKUP($Q141,武学奇术!$A:$ZZ,3,FALSE)+SUM(_xlfn.XLOOKUP($R141:$AF141,增益!$A:$A,增益!$C:$C,0))-$I$2</f>
        <v>3483.8</v>
      </c>
      <c r="AO141" cm="1">
        <f t="array" ref="AO141">$E$10*(1+$AM141)+VLOOKUP($Q141,武学奇术!$A:$ZZ,4,FALSE)+SUM(_xlfn.XLOOKUP($R141:$AF141,增益!$A:$A,增益!$D:$D,0))-$I$2</f>
        <v>3483.8</v>
      </c>
      <c r="AP141" s="35" cm="1">
        <f t="array" ref="AP141">IF($F$10-$I$3+VLOOKUP($Q141,武学奇术!$A:$ZZ,6,FALSE)+SUM(_xlfn.XLOOKUP(R141:AF141,增益!$A:$A,增益!$F:$F,0))&gt;0,($F$10-$I$3+VLOOKUP($Q141,武学奇术!$A:$ZZ,6,FALSE)+SUM(_xlfn.XLOOKUP(R141:AF141,增益!$A:$A,增益!$F:$F,0)))/200,($F$10-$I$3+VLOOKUP($Q141,武学奇术!$A:$ZZ,6,FALSE)+SUM(_xlfn.XLOOKUP(R141:AF141,增益!$A:$A,增益!$F:$F,0)))/100)</f>
        <v>0.2925</v>
      </c>
      <c r="AQ141" s="35" cm="1">
        <f t="array" ref="AQ141">$G$10+VLOOKUP($Q141,武学奇术!$A:$ZZ,7,FALSE)+SUM(_xlfn.XLOOKUP(R141:AF141,增益!$A:$A,增益!$G:$G,0))</f>
        <v>0.028</v>
      </c>
      <c r="AR141" s="30" cm="1">
        <f t="array" ref="AR141">VLOOKUP($Q141,武学奇术!$A:$ZZ,8,FALSE)+SUM(_xlfn.XLOOKUP(R141:AF141,增益!$A:$A,增益!$H:$H,0))</f>
        <v>0</v>
      </c>
      <c r="AS141">
        <f t="shared" si="26"/>
        <v>0</v>
      </c>
      <c r="AT141">
        <f t="shared" si="27"/>
        <v>0</v>
      </c>
      <c r="AU141" s="35" cm="1">
        <f t="array" ref="AU141">IF($F$11-$I$4+VLOOKUP($Q141,武学奇术!$A:$ZZ,9,FALSE)+SUM(_xlfn.XLOOKUP(R141:AF141,增益!$A:$A,增益!$I:$I,0))&gt;0,($F$11-$I$4+VLOOKUP($Q141,武学奇术!$A:$ZZ,9,FALSE)+SUM(_xlfn.XLOOKUP(R141:AF141,增益!$A:$A,增益!$I:$I,0)))/200,($F$11-$I$4+VLOOKUP($Q141,武学奇术!$A:$ZZ,9,FALSE)+SUM(_xlfn.XLOOKUP(R141:AF141,增益!$A:$A,增益!$I:$I,0)))/100)</f>
        <v>-0.3</v>
      </c>
      <c r="AV141" s="35" cm="1">
        <f t="array" ref="AV141">$G$11+VLOOKUP($Q141,武学奇术!$A:$ZZ,10,FALSE)+SUM(_xlfn.XLOOKUP(R141:AF141,增益!$A:$A,增益!$J:$J,0))</f>
        <v>0</v>
      </c>
      <c r="AW141">
        <f t="shared" si="28"/>
        <v>0</v>
      </c>
      <c r="AX141">
        <f t="shared" si="29"/>
        <v>0</v>
      </c>
      <c r="AY141" s="35" cm="1">
        <f t="array" ref="AY141">IF($F$12-$I$4+VLOOKUP($Q141,武学奇术!$A:$ZZ,11,FALSE)+SUM(_xlfn.XLOOKUP(R141:AF141,增益!$A:$A,增益!$K:$K,0))&gt;0,($F$12-$I$4+VLOOKUP($Q141,武学奇术!$A:$ZZ,11,FALSE)+SUM(_xlfn.XLOOKUP(R141:AF141,增益!$A:$A,增益!$K:$K,0)))/200,($F$12-$I$4+VLOOKUP($Q141,武学奇术!$A:$ZZ,11,FALSE)+SUM(_xlfn.XLOOKUP(R141:AF141,增益!$A:$A,增益!$K:$K,0)))/100)</f>
        <v>-0.3</v>
      </c>
      <c r="AZ141" s="35" cm="1">
        <f t="array" ref="AZ141">$G$12+VLOOKUP($Q141,武学奇术!$A:$ZZ,12,FALSE)+SUM(_xlfn.XLOOKUP(R141:AF141,增益!$A:$A,增益!$L:$L,0))</f>
        <v>0</v>
      </c>
      <c r="BA141">
        <f t="shared" si="30"/>
        <v>0</v>
      </c>
      <c r="BB141">
        <f t="shared" si="31"/>
        <v>0</v>
      </c>
      <c r="BC141" s="35" cm="1">
        <f t="array" ref="BC141">IF($F$13-$I$4+VLOOKUP($Q141,武学奇术!$A:$ZZ,13,FALSE)+SUM(_xlfn.XLOOKUP(R141:AF141,增益!$A:$A,增益!$M:$M,0))&gt;0,($F$13-$I$4+VLOOKUP($Q141,武学奇术!$A:$ZZ,13,FALSE)+SUM(_xlfn.XLOOKUP(R141:AF141,增益!$A:$A,增益!$K:$K,0)))/200,($F$13-$I$4+VLOOKUP($Q141,武学奇术!$A:$ZZ,13,FALSE)+SUM(_xlfn.XLOOKUP(R141:AF141,增益!$A:$A,增益!$M:$M,0)))/100)</f>
        <v>-0.3</v>
      </c>
      <c r="BD141" s="35" cm="1">
        <f t="array" ref="BD141">$G$13+VLOOKUP($Q141,武学奇术!$A:$ZZ,14,FALSE)+SUM(_xlfn.XLOOKUP(R141:AF141,增益!$A:$A,增益!$N:$N,0))</f>
        <v>0</v>
      </c>
      <c r="BE141">
        <f t="shared" si="32"/>
        <v>538</v>
      </c>
      <c r="BF141">
        <f t="shared" si="33"/>
        <v>1561.4</v>
      </c>
      <c r="BG141" s="35" cm="1">
        <f t="array" ref="BG141">IF($F$14-$I$4+VLOOKUP($Q141,武学奇术!$A:$ZZ,15,FALSE)+SUM(_xlfn.XLOOKUP(R141:AF141,增益!$A:$A,增益!$O:$O,0))&gt;0,($F$14-$I$4+VLOOKUP($Q141,武学奇术!$A:$ZZ,15,FALSE)+SUM(_xlfn.XLOOKUP(R141:AF141,增益!$A:$A,增益!$O:$O,0)))/200,($F$14-$I$4+VLOOKUP($Q141,武学奇术!$A:$ZZ,15,FALSE)+SUM(_xlfn.XLOOKUP(R141:AF141,增益!$A:$A,增益!$O:$O,0)))/100)</f>
        <v>0</v>
      </c>
      <c r="BH141" s="35" cm="1">
        <f t="array" ref="BH141">$G$14+VLOOKUP($Q141,武学奇术!$A:$ZZ,16,FALSE)+SUM(_xlfn.XLOOKUP(R141:AF141,增益!$A:$A,增益!$P:$P,0))</f>
        <v>0.15</v>
      </c>
      <c r="BI141" s="30">
        <f>MIN(IF(VLOOKUP($Q141,武学奇术!$A:$ZZ,23,FALSE)=1,100%,$B$8),100%)</f>
        <v>0.9712</v>
      </c>
      <c r="BJ141" s="30" cm="1">
        <f t="array" ref="BJ141">IF(VLOOKUP($Q141,武学奇术!$A:$ZZ,23,FALSE)=1,100%,MIN(80%,$B$9+VLOOKUP($Q141,武学奇术!$A:$ZZ,17,FALSE)+SUM(_xlfn.XLOOKUP(R141:AF141,增益!$A:$A,增益!$Q:$Q,0)))+$B$11+SUM(_xlfn.XLOOKUP(R141:AF141,增益!$A:$A,增益!$U:$U,0)))*IF(VLOOKUP($Q141,武学奇术!$A:$ZZ,24,FALSE)=1,0,1)</f>
        <v>0.8773</v>
      </c>
      <c r="BK141" s="30" cm="1">
        <f t="array" ref="BK141">1+$B$13+VLOOKUP($Q141,武学奇术!$A:$ZZ,18,FALSE)+SUM(_xlfn.XLOOKUP(R141:AF141,增益!$A:$A,增益!$R:$R,0))</f>
        <v>1.8</v>
      </c>
      <c r="BL141" s="30" cm="1">
        <f t="array" ref="BL141">IF(VLOOKUP($Q141,武学奇术!$A:$ZZ,24,FALSE)=1,100%,MIN(40%,$B$10+VLOOKUP($Q141,武学奇术!$A:$ZZ,19,FALSE)+SUM(_xlfn.XLOOKUP(R141:AF141,增益!$A:$A,增益!$S:$S,0)))+$B$12+SUM(_xlfn.XLOOKUP(R141:AF141,增益!$A:$A,增益!$V:$V,0)))*IF(VLOOKUP($Q141,武学奇术!$A:$ZZ,23,FALSE)=1,0,1)</f>
        <v>0.0895</v>
      </c>
      <c r="BM141" s="30" cm="1">
        <f t="array" ref="BM141">1+$B$14+VLOOKUP($Q141,武学奇术!$A:$ZZ,20,FALSE)+SUM(_xlfn.XLOOKUP(R141:AF141,增益!$A:$A,增益!$T:$T,0))</f>
        <v>1.35</v>
      </c>
      <c r="BN141" s="30">
        <f t="shared" si="34"/>
        <v>0.85203376</v>
      </c>
      <c r="BO141" s="30">
        <f t="shared" si="35"/>
        <v>0.03224384</v>
      </c>
      <c r="BP141" s="30">
        <f>IF(VLOOKUP($Q141,武学奇术!$A:$ZZ,22,FALSE)=1,0,(1-$BI141))*(1-$BL141)</f>
        <v>0.0262224</v>
      </c>
      <c r="BQ141" s="30" cm="1">
        <f t="array" ref="BQ141">SUM(_xlfn.XLOOKUP(R141:AF141,增益!$A:$A,增益!$W:$W,0))+$I$5</f>
        <v>0.11</v>
      </c>
    </row>
    <row r="142" spans="11:69">
      <c r="K142" s="41">
        <f t="shared" si="36"/>
        <v>13697.0141396335</v>
      </c>
      <c r="L142" s="41">
        <f>((($AN142+$AO142)/2*$AH142+$AI142)*(1+$AP142)*(1+$AQ142)+(($AS142+$AT142)/2*IF($G$1="鸣金",$AJ142,$AH142)+IF($G$1="鸣金",$AK142*1.5,0))*(1+$AU142)*(1+$AV142)+(($AW142+$AX142)/2*IF($G$1="裂石",$AJ142,$AH142)+IF($G$1="裂石",$AK142*1.5,0))*(1+$AY142)*(1+$AZ142)+(($BA142+$BB142)/2*IF($G$1="牵丝",$AJ142,$AH142)+IF($G$1="牵丝",$AK142*1.5,0))*(1+$BC142)*(1+$BD142)+(($BE142+$BF142)/2*IF($G$1="破竹",$AJ142,$AH142)+IF($G$1="破竹",$AK142*1.5,0))*(1+$BG142)*(1+$BH142))*(1+$AL142)*$BK142*$P142*(1+IF(VLOOKUP($Q142,武学奇术!$A:$ZZ,30,FALSE)="回旋伞",$B$21,0))*(1+$BQ142)</f>
        <v>14347.5488071126</v>
      </c>
      <c r="M142" s="41">
        <f>(($AO142*$AH142+$AI142)*(1+$AP142)*(1+$AQ142)+($AT142*IF($G$1="鸣金",$AJ142,$AH142)+IF($G$1="鸣金",$AK142*1.5,0))*(1+$AU142)*(1+$AV142)+($AX142*IF($G$1="裂石",$AJ142,$AH142)+IF($G$1="裂石",$AK142*1.5,0))*(1+$AY142)*(1+$AZ142)+($BB142*IF($G$1="牵丝",$AJ142,$AH142)+IF($G$1="牵丝",$AK142*1.5,0))*(1+$BC142)*(1+$BD142)+($BF142*IF($G$1="破竹",$AJ142,$AH142)+IF($G$1="破竹",$AK142*1.5,0))*(1+$BG142)*(1+$BH142))*(1+$AL142)*$BM142*$P142*(1+IF(VLOOKUP($Q142,武学奇术!$A:$ZZ,30,FALSE)="回旋伞",$B$21,0))*(1+$BQ142)</f>
        <v>11588.1566194563</v>
      </c>
      <c r="N142" s="41">
        <f>((($AN142+$AO142)/2*$AH142+$AI142)*(1+$AP142)*(1+$AQ142)+(($AS142+$AT142)/2*IF($G$1="鸣金",$AJ142,$AH142)+IF($G$1="鸣金",$AK142*1.5,0))*(1+$AU142)*(1+$AV142)+(($AW142+$AX142)/2*IF($G$1="裂石",$AJ142,$AH142)+IF($G$1="裂石",$AK142*1.5,0))*(1+$AY142)*(1+$AZ142)+(($BA142+$BB142)/2*IF($G$1="牵丝",$AJ142,$AH142)+IF($G$1="牵丝",$AK142*1.5,0))*(1+$BC142)*(1+$BD142)+(($BE142+$BF142)/2*IF($G$1="破竹",$AJ142,$AH142)+IF($G$1="破竹",$AK142*1.5,0))*(1+$BG142)*(1+$BH142))*(1+$AL142)*$P142*(1+IF(VLOOKUP($Q142,武学奇术!$A:$ZZ,30,FALSE)="回旋伞",$B$21,0))*(1+$BQ142)</f>
        <v>7797.58087343075</v>
      </c>
      <c r="O142" s="41">
        <f>((($AN142*$AH142+$AI142)*(1+$AP142)*(1+$AQ142)+($AS142*IF($G$1="鸣金",$AJ142,$AH142)+IF($G$1="鸣金",$AK142*1.5,0))*(1+$AU142)*(1+$AV142)+($AW142*IF($G$1="裂石",$AJ142,$AH142)+IF($G$1="裂石",$AK142*1.5,0))*(1+$AY142)*(1+$AZ142)+($BA142*IF($G$1="牵丝",$AJ142,$AH142)+IF($G$1="牵丝",$AK142*1.5,0))*(1+$BC142)*(1+$BD142)+($BE142*IF($G$1="破竹",$AJ142,$AH142)+IF($G$1="破竹",$AK142*1.5,0))*(1+$BG142)*(1+$BH142))*(1+$AL142))*$P142*(1+IF(VLOOKUP($Q142,武学奇术!$A:$ZZ,30,FALSE)="回旋伞",$B$21,0))*(1+$BQ142)</f>
        <v>7011.34202874575</v>
      </c>
      <c r="P142" s="42">
        <f t="shared" si="37"/>
        <v>1</v>
      </c>
      <c r="Q142" s="43" t="s">
        <v>187</v>
      </c>
      <c r="R142" s="43" t="s">
        <v>71</v>
      </c>
      <c r="S142" s="43" t="s">
        <v>91</v>
      </c>
      <c r="T142" s="43" t="s">
        <v>72</v>
      </c>
      <c r="U142" s="43" t="s">
        <v>71</v>
      </c>
      <c r="V142" s="43" t="s">
        <v>156</v>
      </c>
      <c r="W142" s="43" t="s">
        <v>95</v>
      </c>
      <c r="X142" s="43" t="s">
        <v>71</v>
      </c>
      <c r="Y142" s="43" t="s">
        <v>71</v>
      </c>
      <c r="Z142" s="43" t="s">
        <v>71</v>
      </c>
      <c r="AA142" s="43" t="s">
        <v>71</v>
      </c>
      <c r="AB142" s="43" t="s">
        <v>71</v>
      </c>
      <c r="AC142" s="43" t="s">
        <v>71</v>
      </c>
      <c r="AD142" s="43" t="s">
        <v>71</v>
      </c>
      <c r="AE142" s="43" t="s">
        <v>71</v>
      </c>
      <c r="AF142" s="43" t="s">
        <v>76</v>
      </c>
      <c r="AG142" t="str">
        <f>VLOOKUP($Q142,武学奇术!$A:$ZZ,25,FALSE)</f>
        <v>心法</v>
      </c>
      <c r="AH142" s="30">
        <f>VLOOKUP($Q142,武学奇术!$A:$ZZ,26,FALSE)</f>
        <v>1</v>
      </c>
      <c r="AI142" s="31">
        <f>VLOOKUP($Q142,武学奇术!$A:$ZZ,27,FALSE)*(1+IF(OR($AG142=$F$4,$AG142=$F$5),$B$22,0))</f>
        <v>0</v>
      </c>
      <c r="AJ142" s="30">
        <f>VLOOKUP($Q142,武学奇术!$A:$ZZ,28,FALSE)</f>
        <v>1</v>
      </c>
      <c r="AK142" s="31">
        <f>VLOOKUP($Q142,武学奇术!$A:$ZZ,29,FALSE)*(1+IF(OR($AG142=$F$4,$AG142=$F$5),$B$22,0))</f>
        <v>0</v>
      </c>
      <c r="AL142" s="30" cm="1">
        <f t="array" ref="AL142">$G$3+IFERROR(VLOOKUP($AG142,$F$4:$G$7,2,FALSE),0)+VLOOKUP($Q142,武学奇术!$A:$ZZ,2,FALSE)+SUM(_xlfn.XLOOKUP($R142:$AF142,增益!$A:$A,增益!$B:$B,0))</f>
        <v>0.2037</v>
      </c>
      <c r="AM142" s="30" cm="1">
        <f t="array" ref="AM142">VLOOKUP($Q142,武学奇术!$A:$ZZ,5,FALSE)+SUM(_xlfn.XLOOKUP($R142:$AF142,增益!$A:$A,增益!$E:$E,0))</f>
        <v>0</v>
      </c>
      <c r="AN142" cm="1">
        <f t="array" ref="AN142">$D$10*(1+$AM142)+VLOOKUP($Q142,武学奇术!$A:$ZZ,3,FALSE)+SUM(_xlfn.XLOOKUP($R142:$AF142,增益!$A:$A,增益!$C:$C,0))-$I$2</f>
        <v>3483.8</v>
      </c>
      <c r="AO142" cm="1">
        <f t="array" ref="AO142">$E$10*(1+$AM142)+VLOOKUP($Q142,武学奇术!$A:$ZZ,4,FALSE)+SUM(_xlfn.XLOOKUP($R142:$AF142,增益!$A:$A,增益!$D:$D,0))-$I$2</f>
        <v>3483.8</v>
      </c>
      <c r="AP142" s="35" cm="1">
        <f t="array" ref="AP142">IF($F$10-$I$3+VLOOKUP($Q142,武学奇术!$A:$ZZ,6,FALSE)+SUM(_xlfn.XLOOKUP(R142:AF142,增益!$A:$A,增益!$F:$F,0))&gt;0,($F$10-$I$3+VLOOKUP($Q142,武学奇术!$A:$ZZ,6,FALSE)+SUM(_xlfn.XLOOKUP(R142:AF142,增益!$A:$A,增益!$F:$F,0)))/200,($F$10-$I$3+VLOOKUP($Q142,武学奇术!$A:$ZZ,6,FALSE)+SUM(_xlfn.XLOOKUP(R142:AF142,增益!$A:$A,增益!$F:$F,0)))/100)</f>
        <v>0.2925</v>
      </c>
      <c r="AQ142" s="35" cm="1">
        <f t="array" ref="AQ142">$G$10+VLOOKUP($Q142,武学奇术!$A:$ZZ,7,FALSE)+SUM(_xlfn.XLOOKUP(R142:AF142,增益!$A:$A,增益!$G:$G,0))</f>
        <v>0.028</v>
      </c>
      <c r="AR142" s="30" cm="1">
        <f t="array" ref="AR142">VLOOKUP($Q142,武学奇术!$A:$ZZ,8,FALSE)+SUM(_xlfn.XLOOKUP(R142:AF142,增益!$A:$A,增益!$H:$H,0))</f>
        <v>0</v>
      </c>
      <c r="AS142">
        <f t="shared" si="26"/>
        <v>0</v>
      </c>
      <c r="AT142">
        <f t="shared" si="27"/>
        <v>0</v>
      </c>
      <c r="AU142" s="35" cm="1">
        <f t="array" ref="AU142">IF($F$11-$I$4+VLOOKUP($Q142,武学奇术!$A:$ZZ,9,FALSE)+SUM(_xlfn.XLOOKUP(R142:AF142,增益!$A:$A,增益!$I:$I,0))&gt;0,($F$11-$I$4+VLOOKUP($Q142,武学奇术!$A:$ZZ,9,FALSE)+SUM(_xlfn.XLOOKUP(R142:AF142,增益!$A:$A,增益!$I:$I,0)))/200,($F$11-$I$4+VLOOKUP($Q142,武学奇术!$A:$ZZ,9,FALSE)+SUM(_xlfn.XLOOKUP(R142:AF142,增益!$A:$A,增益!$I:$I,0)))/100)</f>
        <v>-0.3</v>
      </c>
      <c r="AV142" s="35" cm="1">
        <f t="array" ref="AV142">$G$11+VLOOKUP($Q142,武学奇术!$A:$ZZ,10,FALSE)+SUM(_xlfn.XLOOKUP(R142:AF142,增益!$A:$A,增益!$J:$J,0))</f>
        <v>0</v>
      </c>
      <c r="AW142">
        <f t="shared" si="28"/>
        <v>0</v>
      </c>
      <c r="AX142">
        <f t="shared" si="29"/>
        <v>0</v>
      </c>
      <c r="AY142" s="35" cm="1">
        <f t="array" ref="AY142">IF($F$12-$I$4+VLOOKUP($Q142,武学奇术!$A:$ZZ,11,FALSE)+SUM(_xlfn.XLOOKUP(R142:AF142,增益!$A:$A,增益!$K:$K,0))&gt;0,($F$12-$I$4+VLOOKUP($Q142,武学奇术!$A:$ZZ,11,FALSE)+SUM(_xlfn.XLOOKUP(R142:AF142,增益!$A:$A,增益!$K:$K,0)))/200,($F$12-$I$4+VLOOKUP($Q142,武学奇术!$A:$ZZ,11,FALSE)+SUM(_xlfn.XLOOKUP(R142:AF142,增益!$A:$A,增益!$K:$K,0)))/100)</f>
        <v>-0.3</v>
      </c>
      <c r="AZ142" s="35" cm="1">
        <f t="array" ref="AZ142">$G$12+VLOOKUP($Q142,武学奇术!$A:$ZZ,12,FALSE)+SUM(_xlfn.XLOOKUP(R142:AF142,增益!$A:$A,增益!$L:$L,0))</f>
        <v>0</v>
      </c>
      <c r="BA142">
        <f t="shared" si="30"/>
        <v>0</v>
      </c>
      <c r="BB142">
        <f t="shared" si="31"/>
        <v>0</v>
      </c>
      <c r="BC142" s="35" cm="1">
        <f t="array" ref="BC142">IF($F$13-$I$4+VLOOKUP($Q142,武学奇术!$A:$ZZ,13,FALSE)+SUM(_xlfn.XLOOKUP(R142:AF142,增益!$A:$A,增益!$M:$M,0))&gt;0,($F$13-$I$4+VLOOKUP($Q142,武学奇术!$A:$ZZ,13,FALSE)+SUM(_xlfn.XLOOKUP(R142:AF142,增益!$A:$A,增益!$K:$K,0)))/200,($F$13-$I$4+VLOOKUP($Q142,武学奇术!$A:$ZZ,13,FALSE)+SUM(_xlfn.XLOOKUP(R142:AF142,增益!$A:$A,增益!$M:$M,0)))/100)</f>
        <v>-0.3</v>
      </c>
      <c r="BD142" s="35" cm="1">
        <f t="array" ref="BD142">$G$13+VLOOKUP($Q142,武学奇术!$A:$ZZ,14,FALSE)+SUM(_xlfn.XLOOKUP(R142:AF142,增益!$A:$A,增益!$N:$N,0))</f>
        <v>0</v>
      </c>
      <c r="BE142">
        <f t="shared" si="32"/>
        <v>538</v>
      </c>
      <c r="BF142">
        <f t="shared" si="33"/>
        <v>1561.4</v>
      </c>
      <c r="BG142" s="35" cm="1">
        <f t="array" ref="BG142">IF($F$14-$I$4+VLOOKUP($Q142,武学奇术!$A:$ZZ,15,FALSE)+SUM(_xlfn.XLOOKUP(R142:AF142,增益!$A:$A,增益!$O:$O,0))&gt;0,($F$14-$I$4+VLOOKUP($Q142,武学奇术!$A:$ZZ,15,FALSE)+SUM(_xlfn.XLOOKUP(R142:AF142,增益!$A:$A,增益!$O:$O,0)))/200,($F$14-$I$4+VLOOKUP($Q142,武学奇术!$A:$ZZ,15,FALSE)+SUM(_xlfn.XLOOKUP(R142:AF142,增益!$A:$A,增益!$O:$O,0)))/100)</f>
        <v>0</v>
      </c>
      <c r="BH142" s="35" cm="1">
        <f t="array" ref="BH142">$G$14+VLOOKUP($Q142,武学奇术!$A:$ZZ,16,FALSE)+SUM(_xlfn.XLOOKUP(R142:AF142,增益!$A:$A,增益!$P:$P,0))</f>
        <v>0.15</v>
      </c>
      <c r="BI142" s="30">
        <f>MIN(IF(VLOOKUP($Q142,武学奇术!$A:$ZZ,23,FALSE)=1,100%,$B$8),100%)</f>
        <v>0.9712</v>
      </c>
      <c r="BJ142" s="30" cm="1">
        <f t="array" ref="BJ142">IF(VLOOKUP($Q142,武学奇术!$A:$ZZ,23,FALSE)=1,100%,MIN(80%,$B$9+VLOOKUP($Q142,武学奇术!$A:$ZZ,17,FALSE)+SUM(_xlfn.XLOOKUP(R142:AF142,增益!$A:$A,增益!$Q:$Q,0)))+$B$11+SUM(_xlfn.XLOOKUP(R142:AF142,增益!$A:$A,增益!$U:$U,0)))*IF(VLOOKUP($Q142,武学奇术!$A:$ZZ,24,FALSE)=1,0,1)</f>
        <v>0.8773</v>
      </c>
      <c r="BK142" s="30" cm="1">
        <f t="array" ref="BK142">1+$B$13+VLOOKUP($Q142,武学奇术!$A:$ZZ,18,FALSE)+SUM(_xlfn.XLOOKUP(R142:AF142,增益!$A:$A,增益!$R:$R,0))</f>
        <v>1.84</v>
      </c>
      <c r="BL142" s="30" cm="1">
        <f t="array" ref="BL142">IF(VLOOKUP($Q142,武学奇术!$A:$ZZ,24,FALSE)=1,100%,MIN(40%,$B$10+VLOOKUP($Q142,武学奇术!$A:$ZZ,19,FALSE)+SUM(_xlfn.XLOOKUP(R142:AF142,增益!$A:$A,增益!$S:$S,0)))+$B$12+SUM(_xlfn.XLOOKUP(R142:AF142,增益!$A:$A,增益!$V:$V,0)))*IF(VLOOKUP($Q142,武学奇术!$A:$ZZ,23,FALSE)=1,0,1)</f>
        <v>0.0895</v>
      </c>
      <c r="BM142" s="30" cm="1">
        <f t="array" ref="BM142">1+$B$14+VLOOKUP($Q142,武学奇术!$A:$ZZ,20,FALSE)+SUM(_xlfn.XLOOKUP(R142:AF142,增益!$A:$A,增益!$T:$T,0))</f>
        <v>1.35</v>
      </c>
      <c r="BN142" s="30">
        <f t="shared" si="34"/>
        <v>0.85203376</v>
      </c>
      <c r="BO142" s="30">
        <f t="shared" si="35"/>
        <v>0.03224384</v>
      </c>
      <c r="BP142" s="30">
        <f>IF(VLOOKUP($Q142,武学奇术!$A:$ZZ,22,FALSE)=1,0,(1-$BI142))*(1-$BL142)</f>
        <v>0.0262224</v>
      </c>
      <c r="BQ142" s="30" cm="1">
        <f t="array" ref="BQ142">SUM(_xlfn.XLOOKUP(R142:AF142,增益!$A:$A,增益!$W:$W,0))+$I$5</f>
        <v>0.11</v>
      </c>
    </row>
    <row r="143" spans="11:69">
      <c r="K143" s="41">
        <f t="shared" si="36"/>
        <v>13896.3282041483</v>
      </c>
      <c r="L143" s="41">
        <f>((($AN143+$AO143)/2*$AH143+$AI143)*(1+$AP143)*(1+$AQ143)+(($AS143+$AT143)/2*IF($G$1="鸣金",$AJ143,$AH143)+IF($G$1="鸣金",$AK143*1.5,0))*(1+$AU143)*(1+$AV143)+(($AW143+$AX143)/2*IF($G$1="裂石",$AJ143,$AH143)+IF($G$1="裂石",$AK143*1.5,0))*(1+$AY143)*(1+$AZ143)+(($BA143+$BB143)/2*IF($G$1="牵丝",$AJ143,$AH143)+IF($G$1="牵丝",$AK143*1.5,0))*(1+$BC143)*(1+$BD143)+(($BE143+$BF143)/2*IF($G$1="破竹",$AJ143,$AH143)+IF($G$1="破竹",$AK143*1.5,0))*(1+$BG143)*(1+$BH143))*(1+$AL143)*$BK143*$P143*(1+IF(VLOOKUP($Q143,武学奇术!$A:$ZZ,30,FALSE)="回旋伞",$B$21,0))*(1+$BQ143)</f>
        <v>14581.4762333155</v>
      </c>
      <c r="M143" s="41">
        <f>(($AO143*$AH143+$AI143)*(1+$AP143)*(1+$AQ143)+($AT143*IF($G$1="鸣金",$AJ143,$AH143)+IF($G$1="鸣金",$AK143*1.5,0))*(1+$AU143)*(1+$AV143)+($AX143*IF($G$1="裂石",$AJ143,$AH143)+IF($G$1="裂石",$AK143*1.5,0))*(1+$AY143)*(1+$AZ143)+($BB143*IF($G$1="牵丝",$AJ143,$AH143)+IF($G$1="牵丝",$AK143*1.5,0))*(1+$BC143)*(1+$BD143)+($BF143*IF($G$1="破竹",$AJ143,$AH143)+IF($G$1="破竹",$AK143*1.5,0))*(1+$BG143)*(1+$BH143))*(1+$AL143)*$BM143*$P143*(1+IF(VLOOKUP($Q143,武学奇术!$A:$ZZ,30,FALSE)="回旋伞",$B$21,0))*(1+$BQ143)</f>
        <v>11588.1566194563</v>
      </c>
      <c r="N143" s="41">
        <f>((($AN143+$AO143)/2*$AH143+$AI143)*(1+$AP143)*(1+$AQ143)+(($AS143+$AT143)/2*IF($G$1="鸣金",$AJ143,$AH143)+IF($G$1="鸣金",$AK143*1.5,0))*(1+$AU143)*(1+$AV143)+(($AW143+$AX143)/2*IF($G$1="裂石",$AJ143,$AH143)+IF($G$1="裂石",$AK143*1.5,0))*(1+$AY143)*(1+$AZ143)+(($BA143+$BB143)/2*IF($G$1="牵丝",$AJ143,$AH143)+IF($G$1="牵丝",$AK143*1.5,0))*(1+$BC143)*(1+$BD143)+(($BE143+$BF143)/2*IF($G$1="破竹",$AJ143,$AH143)+IF($G$1="破竹",$AK143*1.5,0))*(1+$BG143)*(1+$BH143))*(1+$AL143)*$P143*(1+IF(VLOOKUP($Q143,武学奇术!$A:$ZZ,30,FALSE)="回旋伞",$B$21,0))*(1+$BQ143)</f>
        <v>7797.58087343075</v>
      </c>
      <c r="O143" s="41">
        <f>((($AN143*$AH143+$AI143)*(1+$AP143)*(1+$AQ143)+($AS143*IF($G$1="鸣金",$AJ143,$AH143)+IF($G$1="鸣金",$AK143*1.5,0))*(1+$AU143)*(1+$AV143)+($AW143*IF($G$1="裂石",$AJ143,$AH143)+IF($G$1="裂石",$AK143*1.5,0))*(1+$AY143)*(1+$AZ143)+($BA143*IF($G$1="牵丝",$AJ143,$AH143)+IF($G$1="牵丝",$AK143*1.5,0))*(1+$BC143)*(1+$BD143)+($BE143*IF($G$1="破竹",$AJ143,$AH143)+IF($G$1="破竹",$AK143*1.5,0))*(1+$BG143)*(1+$BH143))*(1+$AL143))*$P143*(1+IF(VLOOKUP($Q143,武学奇术!$A:$ZZ,30,FALSE)="回旋伞",$B$21,0))*(1+$BQ143)</f>
        <v>7011.34202874575</v>
      </c>
      <c r="P143" s="42">
        <f t="shared" si="37"/>
        <v>1</v>
      </c>
      <c r="Q143" s="43" t="s">
        <v>187</v>
      </c>
      <c r="R143" s="43" t="s">
        <v>71</v>
      </c>
      <c r="S143" s="43" t="s">
        <v>91</v>
      </c>
      <c r="T143" s="43" t="s">
        <v>72</v>
      </c>
      <c r="U143" s="43" t="s">
        <v>71</v>
      </c>
      <c r="V143" s="43" t="s">
        <v>167</v>
      </c>
      <c r="W143" s="43" t="s">
        <v>95</v>
      </c>
      <c r="X143" s="43" t="s">
        <v>71</v>
      </c>
      <c r="Y143" s="43" t="s">
        <v>71</v>
      </c>
      <c r="Z143" s="43" t="s">
        <v>71</v>
      </c>
      <c r="AA143" s="43" t="s">
        <v>71</v>
      </c>
      <c r="AB143" s="43" t="s">
        <v>71</v>
      </c>
      <c r="AC143" s="43" t="s">
        <v>71</v>
      </c>
      <c r="AD143" s="43" t="s">
        <v>71</v>
      </c>
      <c r="AE143" s="43" t="s">
        <v>71</v>
      </c>
      <c r="AF143" s="43" t="s">
        <v>76</v>
      </c>
      <c r="AG143" t="str">
        <f>VLOOKUP($Q143,武学奇术!$A:$ZZ,25,FALSE)</f>
        <v>心法</v>
      </c>
      <c r="AH143" s="30">
        <f>VLOOKUP($Q143,武学奇术!$A:$ZZ,26,FALSE)</f>
        <v>1</v>
      </c>
      <c r="AI143" s="31">
        <f>VLOOKUP($Q143,武学奇术!$A:$ZZ,27,FALSE)*(1+IF(OR($AG143=$F$4,$AG143=$F$5),$B$22,0))</f>
        <v>0</v>
      </c>
      <c r="AJ143" s="30">
        <f>VLOOKUP($Q143,武学奇术!$A:$ZZ,28,FALSE)</f>
        <v>1</v>
      </c>
      <c r="AK143" s="31">
        <f>VLOOKUP($Q143,武学奇术!$A:$ZZ,29,FALSE)*(1+IF(OR($AG143=$F$4,$AG143=$F$5),$B$22,0))</f>
        <v>0</v>
      </c>
      <c r="AL143" s="30" cm="1">
        <f t="array" ref="AL143">$G$3+IFERROR(VLOOKUP($AG143,$F$4:$G$7,2,FALSE),0)+VLOOKUP($Q143,武学奇术!$A:$ZZ,2,FALSE)+SUM(_xlfn.XLOOKUP($R143:$AF143,增益!$A:$A,增益!$B:$B,0))</f>
        <v>0.2037</v>
      </c>
      <c r="AM143" s="30" cm="1">
        <f t="array" ref="AM143">VLOOKUP($Q143,武学奇术!$A:$ZZ,5,FALSE)+SUM(_xlfn.XLOOKUP($R143:$AF143,增益!$A:$A,增益!$E:$E,0))</f>
        <v>0</v>
      </c>
      <c r="AN143" cm="1">
        <f t="array" ref="AN143">$D$10*(1+$AM143)+VLOOKUP($Q143,武学奇术!$A:$ZZ,3,FALSE)+SUM(_xlfn.XLOOKUP($R143:$AF143,增益!$A:$A,增益!$C:$C,0))-$I$2</f>
        <v>3483.8</v>
      </c>
      <c r="AO143" cm="1">
        <f t="array" ref="AO143">$E$10*(1+$AM143)+VLOOKUP($Q143,武学奇术!$A:$ZZ,4,FALSE)+SUM(_xlfn.XLOOKUP($R143:$AF143,增益!$A:$A,增益!$D:$D,0))-$I$2</f>
        <v>3483.8</v>
      </c>
      <c r="AP143" s="35" cm="1">
        <f t="array" ref="AP143">IF($F$10-$I$3+VLOOKUP($Q143,武学奇术!$A:$ZZ,6,FALSE)+SUM(_xlfn.XLOOKUP(R143:AF143,增益!$A:$A,增益!$F:$F,0))&gt;0,($F$10-$I$3+VLOOKUP($Q143,武学奇术!$A:$ZZ,6,FALSE)+SUM(_xlfn.XLOOKUP(R143:AF143,增益!$A:$A,增益!$F:$F,0)))/200,($F$10-$I$3+VLOOKUP($Q143,武学奇术!$A:$ZZ,6,FALSE)+SUM(_xlfn.XLOOKUP(R143:AF143,增益!$A:$A,增益!$F:$F,0)))/100)</f>
        <v>0.2925</v>
      </c>
      <c r="AQ143" s="35" cm="1">
        <f t="array" ref="AQ143">$G$10+VLOOKUP($Q143,武学奇术!$A:$ZZ,7,FALSE)+SUM(_xlfn.XLOOKUP(R143:AF143,增益!$A:$A,增益!$G:$G,0))</f>
        <v>0.028</v>
      </c>
      <c r="AR143" s="30" cm="1">
        <f t="array" ref="AR143">VLOOKUP($Q143,武学奇术!$A:$ZZ,8,FALSE)+SUM(_xlfn.XLOOKUP(R143:AF143,增益!$A:$A,增益!$H:$H,0))</f>
        <v>0</v>
      </c>
      <c r="AS143">
        <f t="shared" si="26"/>
        <v>0</v>
      </c>
      <c r="AT143">
        <f t="shared" si="27"/>
        <v>0</v>
      </c>
      <c r="AU143" s="35" cm="1">
        <f t="array" ref="AU143">IF($F$11-$I$4+VLOOKUP($Q143,武学奇术!$A:$ZZ,9,FALSE)+SUM(_xlfn.XLOOKUP(R143:AF143,增益!$A:$A,增益!$I:$I,0))&gt;0,($F$11-$I$4+VLOOKUP($Q143,武学奇术!$A:$ZZ,9,FALSE)+SUM(_xlfn.XLOOKUP(R143:AF143,增益!$A:$A,增益!$I:$I,0)))/200,($F$11-$I$4+VLOOKUP($Q143,武学奇术!$A:$ZZ,9,FALSE)+SUM(_xlfn.XLOOKUP(R143:AF143,增益!$A:$A,增益!$I:$I,0)))/100)</f>
        <v>-0.3</v>
      </c>
      <c r="AV143" s="35" cm="1">
        <f t="array" ref="AV143">$G$11+VLOOKUP($Q143,武学奇术!$A:$ZZ,10,FALSE)+SUM(_xlfn.XLOOKUP(R143:AF143,增益!$A:$A,增益!$J:$J,0))</f>
        <v>0</v>
      </c>
      <c r="AW143">
        <f t="shared" si="28"/>
        <v>0</v>
      </c>
      <c r="AX143">
        <f t="shared" si="29"/>
        <v>0</v>
      </c>
      <c r="AY143" s="35" cm="1">
        <f t="array" ref="AY143">IF($F$12-$I$4+VLOOKUP($Q143,武学奇术!$A:$ZZ,11,FALSE)+SUM(_xlfn.XLOOKUP(R143:AF143,增益!$A:$A,增益!$K:$K,0))&gt;0,($F$12-$I$4+VLOOKUP($Q143,武学奇术!$A:$ZZ,11,FALSE)+SUM(_xlfn.XLOOKUP(R143:AF143,增益!$A:$A,增益!$K:$K,0)))/200,($F$12-$I$4+VLOOKUP($Q143,武学奇术!$A:$ZZ,11,FALSE)+SUM(_xlfn.XLOOKUP(R143:AF143,增益!$A:$A,增益!$K:$K,0)))/100)</f>
        <v>-0.3</v>
      </c>
      <c r="AZ143" s="35" cm="1">
        <f t="array" ref="AZ143">$G$12+VLOOKUP($Q143,武学奇术!$A:$ZZ,12,FALSE)+SUM(_xlfn.XLOOKUP(R143:AF143,增益!$A:$A,增益!$L:$L,0))</f>
        <v>0</v>
      </c>
      <c r="BA143">
        <f t="shared" si="30"/>
        <v>0</v>
      </c>
      <c r="BB143">
        <f t="shared" si="31"/>
        <v>0</v>
      </c>
      <c r="BC143" s="35" cm="1">
        <f t="array" ref="BC143">IF($F$13-$I$4+VLOOKUP($Q143,武学奇术!$A:$ZZ,13,FALSE)+SUM(_xlfn.XLOOKUP(R143:AF143,增益!$A:$A,增益!$M:$M,0))&gt;0,($F$13-$I$4+VLOOKUP($Q143,武学奇术!$A:$ZZ,13,FALSE)+SUM(_xlfn.XLOOKUP(R143:AF143,增益!$A:$A,增益!$K:$K,0)))/200,($F$13-$I$4+VLOOKUP($Q143,武学奇术!$A:$ZZ,13,FALSE)+SUM(_xlfn.XLOOKUP(R143:AF143,增益!$A:$A,增益!$M:$M,0)))/100)</f>
        <v>-0.3</v>
      </c>
      <c r="BD143" s="35" cm="1">
        <f t="array" ref="BD143">$G$13+VLOOKUP($Q143,武学奇术!$A:$ZZ,14,FALSE)+SUM(_xlfn.XLOOKUP(R143:AF143,增益!$A:$A,增益!$N:$N,0))</f>
        <v>0</v>
      </c>
      <c r="BE143">
        <f t="shared" si="32"/>
        <v>538</v>
      </c>
      <c r="BF143">
        <f t="shared" si="33"/>
        <v>1561.4</v>
      </c>
      <c r="BG143" s="35" cm="1">
        <f t="array" ref="BG143">IF($F$14-$I$4+VLOOKUP($Q143,武学奇术!$A:$ZZ,15,FALSE)+SUM(_xlfn.XLOOKUP(R143:AF143,增益!$A:$A,增益!$O:$O,0))&gt;0,($F$14-$I$4+VLOOKUP($Q143,武学奇术!$A:$ZZ,15,FALSE)+SUM(_xlfn.XLOOKUP(R143:AF143,增益!$A:$A,增益!$O:$O,0)))/200,($F$14-$I$4+VLOOKUP($Q143,武学奇术!$A:$ZZ,15,FALSE)+SUM(_xlfn.XLOOKUP(R143:AF143,增益!$A:$A,增益!$O:$O,0)))/100)</f>
        <v>0</v>
      </c>
      <c r="BH143" s="35" cm="1">
        <f t="array" ref="BH143">$G$14+VLOOKUP($Q143,武学奇术!$A:$ZZ,16,FALSE)+SUM(_xlfn.XLOOKUP(R143:AF143,增益!$A:$A,增益!$P:$P,0))</f>
        <v>0.15</v>
      </c>
      <c r="BI143" s="30">
        <f>MIN(IF(VLOOKUP($Q143,武学奇术!$A:$ZZ,23,FALSE)=1,100%,$B$8),100%)</f>
        <v>0.9712</v>
      </c>
      <c r="BJ143" s="30" cm="1">
        <f t="array" ref="BJ143">IF(VLOOKUP($Q143,武学奇术!$A:$ZZ,23,FALSE)=1,100%,MIN(80%,$B$9+VLOOKUP($Q143,武学奇术!$A:$ZZ,17,FALSE)+SUM(_xlfn.XLOOKUP(R143:AF143,增益!$A:$A,增益!$Q:$Q,0)))+$B$11+SUM(_xlfn.XLOOKUP(R143:AF143,增益!$A:$A,增益!$U:$U,0)))*IF(VLOOKUP($Q143,武学奇术!$A:$ZZ,24,FALSE)=1,0,1)</f>
        <v>0.8773</v>
      </c>
      <c r="BK143" s="30" cm="1">
        <f t="array" ref="BK143">1+$B$13+VLOOKUP($Q143,武学奇术!$A:$ZZ,18,FALSE)+SUM(_xlfn.XLOOKUP(R143:AF143,增益!$A:$A,增益!$R:$R,0))</f>
        <v>1.87</v>
      </c>
      <c r="BL143" s="30" cm="1">
        <f t="array" ref="BL143">IF(VLOOKUP($Q143,武学奇术!$A:$ZZ,24,FALSE)=1,100%,MIN(40%,$B$10+VLOOKUP($Q143,武学奇术!$A:$ZZ,19,FALSE)+SUM(_xlfn.XLOOKUP(R143:AF143,增益!$A:$A,增益!$S:$S,0)))+$B$12+SUM(_xlfn.XLOOKUP(R143:AF143,增益!$A:$A,增益!$V:$V,0)))*IF(VLOOKUP($Q143,武学奇术!$A:$ZZ,23,FALSE)=1,0,1)</f>
        <v>0.0895</v>
      </c>
      <c r="BM143" s="30" cm="1">
        <f t="array" ref="BM143">1+$B$14+VLOOKUP($Q143,武学奇术!$A:$ZZ,20,FALSE)+SUM(_xlfn.XLOOKUP(R143:AF143,增益!$A:$A,增益!$T:$T,0))</f>
        <v>1.35</v>
      </c>
      <c r="BN143" s="30">
        <f t="shared" si="34"/>
        <v>0.85203376</v>
      </c>
      <c r="BO143" s="30">
        <f t="shared" si="35"/>
        <v>0.03224384</v>
      </c>
      <c r="BP143" s="30">
        <f>IF(VLOOKUP($Q143,武学奇术!$A:$ZZ,22,FALSE)=1,0,(1-$BI143))*(1-$BL143)</f>
        <v>0.0262224</v>
      </c>
      <c r="BQ143" s="30" cm="1">
        <f t="array" ref="BQ143">SUM(_xlfn.XLOOKUP(R143:AF143,增益!$A:$A,增益!$W:$W,0))+$I$5</f>
        <v>0.11</v>
      </c>
    </row>
    <row r="144" spans="11:69">
      <c r="K144" s="41">
        <f t="shared" si="36"/>
        <v>21286.3814386023</v>
      </c>
      <c r="L144" s="41">
        <f>((($AN144+$AO144)/2*$AH144+$AI144)*(1+$AP144)*(1+$AQ144)+(($AS144+$AT144)/2*IF($G$1="鸣金",$AJ144,$AH144)+IF($G$1="鸣金",$AK144*1.5,0))*(1+$AU144)*(1+$AV144)+(($AW144+$AX144)/2*IF($G$1="裂石",$AJ144,$AH144)+IF($G$1="裂石",$AK144*1.5,0))*(1+$AY144)*(1+$AZ144)+(($BA144+$BB144)/2*IF($G$1="牵丝",$AJ144,$AH144)+IF($G$1="牵丝",$AK144*1.5,0))*(1+$BC144)*(1+$BD144)+(($BE144+$BF144)/2*IF($G$1="破竹",$AJ144,$AH144)+IF($G$1="破竹",$AK144*1.5,0))*(1+$BG144)*(1+$BH144))*(1+$AL144)*$BK144*$P144*(1+IF(VLOOKUP($Q144,武学奇术!$A:$ZZ,30,FALSE)="回旋伞",$B$21,0))*(1+$BQ144)</f>
        <v>22626.2149304167</v>
      </c>
      <c r="M144" s="41">
        <f>(($AO144*$AH144+$AI144)*(1+$AP144)*(1+$AQ144)+($AT144*IF($G$1="鸣金",$AJ144,$AH144)+IF($G$1="鸣金",$AK144*1.5,0))*(1+$AU144)*(1+$AV144)+($AX144*IF($G$1="裂石",$AJ144,$AH144)+IF($G$1="裂石",$AK144*1.5,0))*(1+$AY144)*(1+$AZ144)+($BB144*IF($G$1="牵丝",$AJ144,$AH144)+IF($G$1="牵丝",$AK144*1.5,0))*(1+$BC144)*(1+$BD144)+($BF144*IF($G$1="破竹",$AJ144,$AH144)+IF($G$1="破竹",$AK144*1.5,0))*(1+$BG144)*(1+$BH144))*(1+$AL144)*$BM144*$P144*(1+IF(VLOOKUP($Q144,武学奇术!$A:$ZZ,30,FALSE)="回旋伞",$B$21,0))*(1+$BQ144)</f>
        <v>15757.4972359003</v>
      </c>
      <c r="N144" s="41">
        <f>((($AN144+$AO144)/2*$AH144+$AI144)*(1+$AP144)*(1+$AQ144)+(($AS144+$AT144)/2*IF($G$1="鸣金",$AJ144,$AH144)+IF($G$1="鸣金",$AK144*1.5,0))*(1+$AU144)*(1+$AV144)+(($AW144+$AX144)/2*IF($G$1="裂石",$AJ144,$AH144)+IF($G$1="裂石",$AK144*1.5,0))*(1+$AY144)*(1+$AZ144)+(($BA144+$BB144)/2*IF($G$1="牵丝",$AJ144,$AH144)+IF($G$1="牵丝",$AK144*1.5,0))*(1+$BC144)*(1+$BD144)+(($BE144+$BF144)/2*IF($G$1="破竹",$AJ144,$AH144)+IF($G$1="破竹",$AK144*1.5,0))*(1+$BG144)*(1+$BH144))*(1+$AL144)*$P144*(1+IF(VLOOKUP($Q144,武学奇术!$A:$ZZ,30,FALSE)="回旋伞",$B$21,0))*(1+$BQ144)</f>
        <v>10672.742891706</v>
      </c>
      <c r="O144" s="41">
        <f>((($AN144*$AH144+$AI144)*(1+$AP144)*(1+$AQ144)+($AS144*IF($G$1="鸣金",$AJ144,$AH144)+IF($G$1="鸣金",$AK144*1.5,0))*(1+$AU144)*(1+$AV144)+($AW144*IF($G$1="裂石",$AJ144,$AH144)+IF($G$1="裂石",$AK144*1.5,0))*(1+$AY144)*(1+$AZ144)+($BA144*IF($G$1="牵丝",$AJ144,$AH144)+IF($G$1="牵丝",$AK144*1.5,0))*(1+$BC144)*(1+$BD144)+($BE144*IF($G$1="破竹",$AJ144,$AH144)+IF($G$1="破竹",$AK144*1.5,0))*(1+$BG144)*(1+$BH144))*(1+$AL144))*$P144*(1+IF(VLOOKUP($Q144,武学奇术!$A:$ZZ,30,FALSE)="回旋伞",$B$21,0))*(1+$BQ144)</f>
        <v>9673.26560867099</v>
      </c>
      <c r="P144" s="42">
        <f t="shared" si="37"/>
        <v>1</v>
      </c>
      <c r="Q144" s="43" t="s">
        <v>187</v>
      </c>
      <c r="R144" s="43" t="s">
        <v>71</v>
      </c>
      <c r="S144" s="43" t="s">
        <v>91</v>
      </c>
      <c r="T144" s="43" t="s">
        <v>72</v>
      </c>
      <c r="U144" s="43" t="s">
        <v>79</v>
      </c>
      <c r="V144" s="43" t="s">
        <v>167</v>
      </c>
      <c r="W144" s="43" t="s">
        <v>95</v>
      </c>
      <c r="X144" s="43" t="s">
        <v>71</v>
      </c>
      <c r="Y144" s="43" t="s">
        <v>177</v>
      </c>
      <c r="Z144" s="43" t="s">
        <v>71</v>
      </c>
      <c r="AA144" s="43" t="s">
        <v>71</v>
      </c>
      <c r="AB144" s="43" t="s">
        <v>179</v>
      </c>
      <c r="AC144" s="43" t="s">
        <v>71</v>
      </c>
      <c r="AD144" s="43" t="s">
        <v>71</v>
      </c>
      <c r="AE144" s="43" t="s">
        <v>71</v>
      </c>
      <c r="AF144" s="43" t="s">
        <v>76</v>
      </c>
      <c r="AG144" t="str">
        <f>VLOOKUP($Q144,武学奇术!$A:$ZZ,25,FALSE)</f>
        <v>心法</v>
      </c>
      <c r="AH144" s="30">
        <f>VLOOKUP($Q144,武学奇术!$A:$ZZ,26,FALSE)</f>
        <v>1</v>
      </c>
      <c r="AI144" s="31">
        <f>VLOOKUP($Q144,武学奇术!$A:$ZZ,27,FALSE)*(1+IF(OR($AG144=$F$4,$AG144=$F$5),$B$22,0))</f>
        <v>0</v>
      </c>
      <c r="AJ144" s="30">
        <f>VLOOKUP($Q144,武学奇术!$A:$ZZ,28,FALSE)</f>
        <v>1</v>
      </c>
      <c r="AK144" s="31">
        <f>VLOOKUP($Q144,武学奇术!$A:$ZZ,29,FALSE)*(1+IF(OR($AG144=$F$4,$AG144=$F$5),$B$22,0))</f>
        <v>0</v>
      </c>
      <c r="AL144" s="30" cm="1">
        <f t="array" ref="AL144">$G$3+IFERROR(VLOOKUP($AG144,$F$4:$G$7,2,FALSE),0)+VLOOKUP($Q144,武学奇术!$A:$ZZ,2,FALSE)+SUM(_xlfn.XLOOKUP($R144:$AF144,增益!$A:$A,增益!$B:$B,0))</f>
        <v>0.4037</v>
      </c>
      <c r="AM144" s="30" cm="1">
        <f t="array" ref="AM144">VLOOKUP($Q144,武学奇术!$A:$ZZ,5,FALSE)+SUM(_xlfn.XLOOKUP($R144:$AF144,增益!$A:$A,增益!$E:$E,0))</f>
        <v>0</v>
      </c>
      <c r="AN144" cm="1">
        <f t="array" ref="AN144">$D$10*(1+$AM144)+VLOOKUP($Q144,武学奇术!$A:$ZZ,3,FALSE)+SUM(_xlfn.XLOOKUP($R144:$AF144,增益!$A:$A,增益!$C:$C,0))-$I$2</f>
        <v>3483.8</v>
      </c>
      <c r="AO144" cm="1">
        <f t="array" ref="AO144">$E$10*(1+$AM144)+VLOOKUP($Q144,武学奇术!$A:$ZZ,4,FALSE)+SUM(_xlfn.XLOOKUP($R144:$AF144,增益!$A:$A,增益!$D:$D,0))-$I$2</f>
        <v>3483.8</v>
      </c>
      <c r="AP144" s="35" cm="1">
        <f t="array" ref="AP144">IF($F$10-$I$3+VLOOKUP($Q144,武学奇术!$A:$ZZ,6,FALSE)+SUM(_xlfn.XLOOKUP(R144:AF144,增益!$A:$A,增益!$F:$F,0))&gt;0,($F$10-$I$3+VLOOKUP($Q144,武学奇术!$A:$ZZ,6,FALSE)+SUM(_xlfn.XLOOKUP(R144:AF144,增益!$A:$A,增益!$F:$F,0)))/200,($F$10-$I$3+VLOOKUP($Q144,武学奇术!$A:$ZZ,6,FALSE)+SUM(_xlfn.XLOOKUP(R144:AF144,增益!$A:$A,增益!$F:$F,0)))/100)</f>
        <v>0.4175</v>
      </c>
      <c r="AQ144" s="35" cm="1">
        <f t="array" ref="AQ144">$G$10+VLOOKUP($Q144,武学奇术!$A:$ZZ,7,FALSE)+SUM(_xlfn.XLOOKUP(R144:AF144,增益!$A:$A,增益!$G:$G,0))</f>
        <v>0.028</v>
      </c>
      <c r="AR144" s="30" cm="1">
        <f t="array" ref="AR144">VLOOKUP($Q144,武学奇术!$A:$ZZ,8,FALSE)+SUM(_xlfn.XLOOKUP(R144:AF144,增益!$A:$A,增益!$H:$H,0))</f>
        <v>0</v>
      </c>
      <c r="AS144">
        <f t="shared" si="26"/>
        <v>0</v>
      </c>
      <c r="AT144">
        <f t="shared" si="27"/>
        <v>0</v>
      </c>
      <c r="AU144" s="35" cm="1">
        <f t="array" ref="AU144">IF($F$11-$I$4+VLOOKUP($Q144,武学奇术!$A:$ZZ,9,FALSE)+SUM(_xlfn.XLOOKUP(R144:AF144,增益!$A:$A,增益!$I:$I,0))&gt;0,($F$11-$I$4+VLOOKUP($Q144,武学奇术!$A:$ZZ,9,FALSE)+SUM(_xlfn.XLOOKUP(R144:AF144,增益!$A:$A,增益!$I:$I,0)))/200,($F$11-$I$4+VLOOKUP($Q144,武学奇术!$A:$ZZ,9,FALSE)+SUM(_xlfn.XLOOKUP(R144:AF144,增益!$A:$A,增益!$I:$I,0)))/100)</f>
        <v>-0.3</v>
      </c>
      <c r="AV144" s="35" cm="1">
        <f t="array" ref="AV144">$G$11+VLOOKUP($Q144,武学奇术!$A:$ZZ,10,FALSE)+SUM(_xlfn.XLOOKUP(R144:AF144,增益!$A:$A,增益!$J:$J,0))</f>
        <v>0</v>
      </c>
      <c r="AW144">
        <f t="shared" si="28"/>
        <v>0</v>
      </c>
      <c r="AX144">
        <f t="shared" si="29"/>
        <v>0</v>
      </c>
      <c r="AY144" s="35" cm="1">
        <f t="array" ref="AY144">IF($F$12-$I$4+VLOOKUP($Q144,武学奇术!$A:$ZZ,11,FALSE)+SUM(_xlfn.XLOOKUP(R144:AF144,增益!$A:$A,增益!$K:$K,0))&gt;0,($F$12-$I$4+VLOOKUP($Q144,武学奇术!$A:$ZZ,11,FALSE)+SUM(_xlfn.XLOOKUP(R144:AF144,增益!$A:$A,增益!$K:$K,0)))/200,($F$12-$I$4+VLOOKUP($Q144,武学奇术!$A:$ZZ,11,FALSE)+SUM(_xlfn.XLOOKUP(R144:AF144,增益!$A:$A,增益!$K:$K,0)))/100)</f>
        <v>-0.3</v>
      </c>
      <c r="AZ144" s="35" cm="1">
        <f t="array" ref="AZ144">$G$12+VLOOKUP($Q144,武学奇术!$A:$ZZ,12,FALSE)+SUM(_xlfn.XLOOKUP(R144:AF144,增益!$A:$A,增益!$L:$L,0))</f>
        <v>0</v>
      </c>
      <c r="BA144">
        <f t="shared" si="30"/>
        <v>0</v>
      </c>
      <c r="BB144">
        <f t="shared" si="31"/>
        <v>0</v>
      </c>
      <c r="BC144" s="35" cm="1">
        <f t="array" ref="BC144">IF($F$13-$I$4+VLOOKUP($Q144,武学奇术!$A:$ZZ,13,FALSE)+SUM(_xlfn.XLOOKUP(R144:AF144,增益!$A:$A,增益!$M:$M,0))&gt;0,($F$13-$I$4+VLOOKUP($Q144,武学奇术!$A:$ZZ,13,FALSE)+SUM(_xlfn.XLOOKUP(R144:AF144,增益!$A:$A,增益!$K:$K,0)))/200,($F$13-$I$4+VLOOKUP($Q144,武学奇术!$A:$ZZ,13,FALSE)+SUM(_xlfn.XLOOKUP(R144:AF144,增益!$A:$A,增益!$M:$M,0)))/100)</f>
        <v>-0.3</v>
      </c>
      <c r="BD144" s="35" cm="1">
        <f t="array" ref="BD144">$G$13+VLOOKUP($Q144,武学奇术!$A:$ZZ,14,FALSE)+SUM(_xlfn.XLOOKUP(R144:AF144,增益!$A:$A,增益!$N:$N,0))</f>
        <v>0</v>
      </c>
      <c r="BE144">
        <f t="shared" si="32"/>
        <v>538</v>
      </c>
      <c r="BF144">
        <f t="shared" si="33"/>
        <v>1561.4</v>
      </c>
      <c r="BG144" s="35" cm="1">
        <f t="array" ref="BG144">IF($F$14-$I$4+VLOOKUP($Q144,武学奇术!$A:$ZZ,15,FALSE)+SUM(_xlfn.XLOOKUP(R144:AF144,增益!$A:$A,增益!$O:$O,0))&gt;0,($F$14-$I$4+VLOOKUP($Q144,武学奇术!$A:$ZZ,15,FALSE)+SUM(_xlfn.XLOOKUP(R144:AF144,增益!$A:$A,增益!$O:$O,0)))/200,($F$14-$I$4+VLOOKUP($Q144,武学奇术!$A:$ZZ,15,FALSE)+SUM(_xlfn.XLOOKUP(R144:AF144,增益!$A:$A,增益!$O:$O,0)))/100)</f>
        <v>0</v>
      </c>
      <c r="BH144" s="35" cm="1">
        <f t="array" ref="BH144">$G$14+VLOOKUP($Q144,武学奇术!$A:$ZZ,16,FALSE)+SUM(_xlfn.XLOOKUP(R144:AF144,增益!$A:$A,增益!$P:$P,0))</f>
        <v>0.15</v>
      </c>
      <c r="BI144" s="30">
        <f>MIN(IF(VLOOKUP($Q144,武学奇术!$A:$ZZ,23,FALSE)=1,100%,$B$8),100%)</f>
        <v>0.9712</v>
      </c>
      <c r="BJ144" s="30" cm="1">
        <f t="array" ref="BJ144">IF(VLOOKUP($Q144,武学奇术!$A:$ZZ,23,FALSE)=1,100%,MIN(80%,$B$9+VLOOKUP($Q144,武学奇术!$A:$ZZ,17,FALSE)+SUM(_xlfn.XLOOKUP(R144:AF144,增益!$A:$A,增益!$Q:$Q,0)))+$B$11+SUM(_xlfn.XLOOKUP(R144:AF144,增益!$A:$A,增益!$U:$U,0)))*IF(VLOOKUP($Q144,武学奇术!$A:$ZZ,24,FALSE)=1,0,1)</f>
        <v>0.8773</v>
      </c>
      <c r="BK144" s="30" cm="1">
        <f t="array" ref="BK144">1+$B$13+VLOOKUP($Q144,武学奇术!$A:$ZZ,18,FALSE)+SUM(_xlfn.XLOOKUP(R144:AF144,增益!$A:$A,增益!$R:$R,0))</f>
        <v>2.12</v>
      </c>
      <c r="BL144" s="30" cm="1">
        <f t="array" ref="BL144">IF(VLOOKUP($Q144,武学奇术!$A:$ZZ,24,FALSE)=1,100%,MIN(40%,$B$10+VLOOKUP($Q144,武学奇术!$A:$ZZ,19,FALSE)+SUM(_xlfn.XLOOKUP(R144:AF144,增益!$A:$A,增益!$S:$S,0)))+$B$12+SUM(_xlfn.XLOOKUP(R144:AF144,增益!$A:$A,增益!$V:$V,0)))*IF(VLOOKUP($Q144,武学奇术!$A:$ZZ,23,FALSE)=1,0,1)</f>
        <v>0.0895</v>
      </c>
      <c r="BM144" s="30" cm="1">
        <f t="array" ref="BM144">1+$B$14+VLOOKUP($Q144,武学奇术!$A:$ZZ,20,FALSE)+SUM(_xlfn.XLOOKUP(R144:AF144,增益!$A:$A,增益!$T:$T,0))</f>
        <v>1.35</v>
      </c>
      <c r="BN144" s="30">
        <f t="shared" si="34"/>
        <v>0.85203376</v>
      </c>
      <c r="BO144" s="30">
        <f t="shared" si="35"/>
        <v>0.03224384</v>
      </c>
      <c r="BP144" s="30">
        <f>IF(VLOOKUP($Q144,武学奇术!$A:$ZZ,22,FALSE)=1,0,(1-$BI144))*(1-$BL144)</f>
        <v>0.0262224</v>
      </c>
      <c r="BQ144" s="30" cm="1">
        <f t="array" ref="BQ144">SUM(_xlfn.XLOOKUP(R144:AF144,增益!$A:$A,增益!$W:$W,0))+$I$5</f>
        <v>0.21</v>
      </c>
    </row>
    <row r="145" spans="11:69">
      <c r="K145" s="41">
        <f t="shared" si="36"/>
        <v>13896.3282041483</v>
      </c>
      <c r="L145" s="41">
        <f>((($AN145+$AO145)/2*$AH145+$AI145)*(1+$AP145)*(1+$AQ145)+(($AS145+$AT145)/2*IF($G$1="鸣金",$AJ145,$AH145)+IF($G$1="鸣金",$AK145*1.5,0))*(1+$AU145)*(1+$AV145)+(($AW145+$AX145)/2*IF($G$1="裂石",$AJ145,$AH145)+IF($G$1="裂石",$AK145*1.5,0))*(1+$AY145)*(1+$AZ145)+(($BA145+$BB145)/2*IF($G$1="牵丝",$AJ145,$AH145)+IF($G$1="牵丝",$AK145*1.5,0))*(1+$BC145)*(1+$BD145)+(($BE145+$BF145)/2*IF($G$1="破竹",$AJ145,$AH145)+IF($G$1="破竹",$AK145*1.5,0))*(1+$BG145)*(1+$BH145))*(1+$AL145)*$BK145*$P145*(1+IF(VLOOKUP($Q145,武学奇术!$A:$ZZ,30,FALSE)="回旋伞",$B$21,0))*(1+$BQ145)</f>
        <v>14581.4762333155</v>
      </c>
      <c r="M145" s="41">
        <f>(($AO145*$AH145+$AI145)*(1+$AP145)*(1+$AQ145)+($AT145*IF($G$1="鸣金",$AJ145,$AH145)+IF($G$1="鸣金",$AK145*1.5,0))*(1+$AU145)*(1+$AV145)+($AX145*IF($G$1="裂石",$AJ145,$AH145)+IF($G$1="裂石",$AK145*1.5,0))*(1+$AY145)*(1+$AZ145)+($BB145*IF($G$1="牵丝",$AJ145,$AH145)+IF($G$1="牵丝",$AK145*1.5,0))*(1+$BC145)*(1+$BD145)+($BF145*IF($G$1="破竹",$AJ145,$AH145)+IF($G$1="破竹",$AK145*1.5,0))*(1+$BG145)*(1+$BH145))*(1+$AL145)*$BM145*$P145*(1+IF(VLOOKUP($Q145,武学奇术!$A:$ZZ,30,FALSE)="回旋伞",$B$21,0))*(1+$BQ145)</f>
        <v>11588.1566194563</v>
      </c>
      <c r="N145" s="41">
        <f>((($AN145+$AO145)/2*$AH145+$AI145)*(1+$AP145)*(1+$AQ145)+(($AS145+$AT145)/2*IF($G$1="鸣金",$AJ145,$AH145)+IF($G$1="鸣金",$AK145*1.5,0))*(1+$AU145)*(1+$AV145)+(($AW145+$AX145)/2*IF($G$1="裂石",$AJ145,$AH145)+IF($G$1="裂石",$AK145*1.5,0))*(1+$AY145)*(1+$AZ145)+(($BA145+$BB145)/2*IF($G$1="牵丝",$AJ145,$AH145)+IF($G$1="牵丝",$AK145*1.5,0))*(1+$BC145)*(1+$BD145)+(($BE145+$BF145)/2*IF($G$1="破竹",$AJ145,$AH145)+IF($G$1="破竹",$AK145*1.5,0))*(1+$BG145)*(1+$BH145))*(1+$AL145)*$P145*(1+IF(VLOOKUP($Q145,武学奇术!$A:$ZZ,30,FALSE)="回旋伞",$B$21,0))*(1+$BQ145)</f>
        <v>7797.58087343075</v>
      </c>
      <c r="O145" s="41">
        <f>((($AN145*$AH145+$AI145)*(1+$AP145)*(1+$AQ145)+($AS145*IF($G$1="鸣金",$AJ145,$AH145)+IF($G$1="鸣金",$AK145*1.5,0))*(1+$AU145)*(1+$AV145)+($AW145*IF($G$1="裂石",$AJ145,$AH145)+IF($G$1="裂石",$AK145*1.5,0))*(1+$AY145)*(1+$AZ145)+($BA145*IF($G$1="牵丝",$AJ145,$AH145)+IF($G$1="牵丝",$AK145*1.5,0))*(1+$BC145)*(1+$BD145)+($BE145*IF($G$1="破竹",$AJ145,$AH145)+IF($G$1="破竹",$AK145*1.5,0))*(1+$BG145)*(1+$BH145))*(1+$AL145))*$P145*(1+IF(VLOOKUP($Q145,武学奇术!$A:$ZZ,30,FALSE)="回旋伞",$B$21,0))*(1+$BQ145)</f>
        <v>7011.34202874575</v>
      </c>
      <c r="P145" s="42">
        <f t="shared" si="37"/>
        <v>1</v>
      </c>
      <c r="Q145" s="43" t="s">
        <v>187</v>
      </c>
      <c r="R145" s="43" t="s">
        <v>71</v>
      </c>
      <c r="S145" s="43" t="s">
        <v>91</v>
      </c>
      <c r="T145" s="43" t="s">
        <v>72</v>
      </c>
      <c r="U145" s="43" t="s">
        <v>71</v>
      </c>
      <c r="V145" s="43" t="s">
        <v>167</v>
      </c>
      <c r="W145" s="43" t="s">
        <v>95</v>
      </c>
      <c r="X145" s="43" t="s">
        <v>71</v>
      </c>
      <c r="Y145" s="43" t="s">
        <v>71</v>
      </c>
      <c r="Z145" s="43" t="s">
        <v>71</v>
      </c>
      <c r="AA145" s="43" t="s">
        <v>71</v>
      </c>
      <c r="AB145" s="43" t="s">
        <v>71</v>
      </c>
      <c r="AC145" s="43" t="s">
        <v>71</v>
      </c>
      <c r="AD145" s="43" t="s">
        <v>71</v>
      </c>
      <c r="AE145" s="43" t="s">
        <v>71</v>
      </c>
      <c r="AF145" s="43" t="s">
        <v>76</v>
      </c>
      <c r="AG145" t="str">
        <f>VLOOKUP($Q145,武学奇术!$A:$ZZ,25,FALSE)</f>
        <v>心法</v>
      </c>
      <c r="AH145" s="30">
        <f>VLOOKUP($Q145,武学奇术!$A:$ZZ,26,FALSE)</f>
        <v>1</v>
      </c>
      <c r="AI145" s="31">
        <f>VLOOKUP($Q145,武学奇术!$A:$ZZ,27,FALSE)*(1+IF(OR($AG145=$F$4,$AG145=$F$5),$B$22,0))</f>
        <v>0</v>
      </c>
      <c r="AJ145" s="30">
        <f>VLOOKUP($Q145,武学奇术!$A:$ZZ,28,FALSE)</f>
        <v>1</v>
      </c>
      <c r="AK145" s="31">
        <f>VLOOKUP($Q145,武学奇术!$A:$ZZ,29,FALSE)*(1+IF(OR($AG145=$F$4,$AG145=$F$5),$B$22,0))</f>
        <v>0</v>
      </c>
      <c r="AL145" s="30" cm="1">
        <f t="array" ref="AL145">$G$3+IFERROR(VLOOKUP($AG145,$F$4:$G$7,2,FALSE),0)+VLOOKUP($Q145,武学奇术!$A:$ZZ,2,FALSE)+SUM(_xlfn.XLOOKUP($R145:$AF145,增益!$A:$A,增益!$B:$B,0))</f>
        <v>0.2037</v>
      </c>
      <c r="AM145" s="30" cm="1">
        <f t="array" ref="AM145">VLOOKUP($Q145,武学奇术!$A:$ZZ,5,FALSE)+SUM(_xlfn.XLOOKUP($R145:$AF145,增益!$A:$A,增益!$E:$E,0))</f>
        <v>0</v>
      </c>
      <c r="AN145" cm="1">
        <f t="array" ref="AN145">$D$10*(1+$AM145)+VLOOKUP($Q145,武学奇术!$A:$ZZ,3,FALSE)+SUM(_xlfn.XLOOKUP($R145:$AF145,增益!$A:$A,增益!$C:$C,0))-$I$2</f>
        <v>3483.8</v>
      </c>
      <c r="AO145" cm="1">
        <f t="array" ref="AO145">$E$10*(1+$AM145)+VLOOKUP($Q145,武学奇术!$A:$ZZ,4,FALSE)+SUM(_xlfn.XLOOKUP($R145:$AF145,增益!$A:$A,增益!$D:$D,0))-$I$2</f>
        <v>3483.8</v>
      </c>
      <c r="AP145" s="35" cm="1">
        <f t="array" ref="AP145">IF($F$10-$I$3+VLOOKUP($Q145,武学奇术!$A:$ZZ,6,FALSE)+SUM(_xlfn.XLOOKUP(R145:AF145,增益!$A:$A,增益!$F:$F,0))&gt;0,($F$10-$I$3+VLOOKUP($Q145,武学奇术!$A:$ZZ,6,FALSE)+SUM(_xlfn.XLOOKUP(R145:AF145,增益!$A:$A,增益!$F:$F,0)))/200,($F$10-$I$3+VLOOKUP($Q145,武学奇术!$A:$ZZ,6,FALSE)+SUM(_xlfn.XLOOKUP(R145:AF145,增益!$A:$A,增益!$F:$F,0)))/100)</f>
        <v>0.2925</v>
      </c>
      <c r="AQ145" s="35" cm="1">
        <f t="array" ref="AQ145">$G$10+VLOOKUP($Q145,武学奇术!$A:$ZZ,7,FALSE)+SUM(_xlfn.XLOOKUP(R145:AF145,增益!$A:$A,增益!$G:$G,0))</f>
        <v>0.028</v>
      </c>
      <c r="AR145" s="30" cm="1">
        <f t="array" ref="AR145">VLOOKUP($Q145,武学奇术!$A:$ZZ,8,FALSE)+SUM(_xlfn.XLOOKUP(R145:AF145,增益!$A:$A,增益!$H:$H,0))</f>
        <v>0</v>
      </c>
      <c r="AS145">
        <f t="shared" si="26"/>
        <v>0</v>
      </c>
      <c r="AT145">
        <f t="shared" si="27"/>
        <v>0</v>
      </c>
      <c r="AU145" s="35" cm="1">
        <f t="array" ref="AU145">IF($F$11-$I$4+VLOOKUP($Q145,武学奇术!$A:$ZZ,9,FALSE)+SUM(_xlfn.XLOOKUP(R145:AF145,增益!$A:$A,增益!$I:$I,0))&gt;0,($F$11-$I$4+VLOOKUP($Q145,武学奇术!$A:$ZZ,9,FALSE)+SUM(_xlfn.XLOOKUP(R145:AF145,增益!$A:$A,增益!$I:$I,0)))/200,($F$11-$I$4+VLOOKUP($Q145,武学奇术!$A:$ZZ,9,FALSE)+SUM(_xlfn.XLOOKUP(R145:AF145,增益!$A:$A,增益!$I:$I,0)))/100)</f>
        <v>-0.3</v>
      </c>
      <c r="AV145" s="35" cm="1">
        <f t="array" ref="AV145">$G$11+VLOOKUP($Q145,武学奇术!$A:$ZZ,10,FALSE)+SUM(_xlfn.XLOOKUP(R145:AF145,增益!$A:$A,增益!$J:$J,0))</f>
        <v>0</v>
      </c>
      <c r="AW145">
        <f t="shared" si="28"/>
        <v>0</v>
      </c>
      <c r="AX145">
        <f t="shared" si="29"/>
        <v>0</v>
      </c>
      <c r="AY145" s="35" cm="1">
        <f t="array" ref="AY145">IF($F$12-$I$4+VLOOKUP($Q145,武学奇术!$A:$ZZ,11,FALSE)+SUM(_xlfn.XLOOKUP(R145:AF145,增益!$A:$A,增益!$K:$K,0))&gt;0,($F$12-$I$4+VLOOKUP($Q145,武学奇术!$A:$ZZ,11,FALSE)+SUM(_xlfn.XLOOKUP(R145:AF145,增益!$A:$A,增益!$K:$K,0)))/200,($F$12-$I$4+VLOOKUP($Q145,武学奇术!$A:$ZZ,11,FALSE)+SUM(_xlfn.XLOOKUP(R145:AF145,增益!$A:$A,增益!$K:$K,0)))/100)</f>
        <v>-0.3</v>
      </c>
      <c r="AZ145" s="35" cm="1">
        <f t="array" ref="AZ145">$G$12+VLOOKUP($Q145,武学奇术!$A:$ZZ,12,FALSE)+SUM(_xlfn.XLOOKUP(R145:AF145,增益!$A:$A,增益!$L:$L,0))</f>
        <v>0</v>
      </c>
      <c r="BA145">
        <f t="shared" si="30"/>
        <v>0</v>
      </c>
      <c r="BB145">
        <f t="shared" si="31"/>
        <v>0</v>
      </c>
      <c r="BC145" s="35" cm="1">
        <f t="array" ref="BC145">IF($F$13-$I$4+VLOOKUP($Q145,武学奇术!$A:$ZZ,13,FALSE)+SUM(_xlfn.XLOOKUP(R145:AF145,增益!$A:$A,增益!$M:$M,0))&gt;0,($F$13-$I$4+VLOOKUP($Q145,武学奇术!$A:$ZZ,13,FALSE)+SUM(_xlfn.XLOOKUP(R145:AF145,增益!$A:$A,增益!$K:$K,0)))/200,($F$13-$I$4+VLOOKUP($Q145,武学奇术!$A:$ZZ,13,FALSE)+SUM(_xlfn.XLOOKUP(R145:AF145,增益!$A:$A,增益!$M:$M,0)))/100)</f>
        <v>-0.3</v>
      </c>
      <c r="BD145" s="35" cm="1">
        <f t="array" ref="BD145">$G$13+VLOOKUP($Q145,武学奇术!$A:$ZZ,14,FALSE)+SUM(_xlfn.XLOOKUP(R145:AF145,增益!$A:$A,增益!$N:$N,0))</f>
        <v>0</v>
      </c>
      <c r="BE145">
        <f t="shared" si="32"/>
        <v>538</v>
      </c>
      <c r="BF145">
        <f t="shared" si="33"/>
        <v>1561.4</v>
      </c>
      <c r="BG145" s="35" cm="1">
        <f t="array" ref="BG145">IF($F$14-$I$4+VLOOKUP($Q145,武学奇术!$A:$ZZ,15,FALSE)+SUM(_xlfn.XLOOKUP(R145:AF145,增益!$A:$A,增益!$O:$O,0))&gt;0,($F$14-$I$4+VLOOKUP($Q145,武学奇术!$A:$ZZ,15,FALSE)+SUM(_xlfn.XLOOKUP(R145:AF145,增益!$A:$A,增益!$O:$O,0)))/200,($F$14-$I$4+VLOOKUP($Q145,武学奇术!$A:$ZZ,15,FALSE)+SUM(_xlfn.XLOOKUP(R145:AF145,增益!$A:$A,增益!$O:$O,0)))/100)</f>
        <v>0</v>
      </c>
      <c r="BH145" s="35" cm="1">
        <f t="array" ref="BH145">$G$14+VLOOKUP($Q145,武学奇术!$A:$ZZ,16,FALSE)+SUM(_xlfn.XLOOKUP(R145:AF145,增益!$A:$A,增益!$P:$P,0))</f>
        <v>0.15</v>
      </c>
      <c r="BI145" s="30">
        <f>MIN(IF(VLOOKUP($Q145,武学奇术!$A:$ZZ,23,FALSE)=1,100%,$B$8),100%)</f>
        <v>0.9712</v>
      </c>
      <c r="BJ145" s="30" cm="1">
        <f t="array" ref="BJ145">IF(VLOOKUP($Q145,武学奇术!$A:$ZZ,23,FALSE)=1,100%,MIN(80%,$B$9+VLOOKUP($Q145,武学奇术!$A:$ZZ,17,FALSE)+SUM(_xlfn.XLOOKUP(R145:AF145,增益!$A:$A,增益!$Q:$Q,0)))+$B$11+SUM(_xlfn.XLOOKUP(R145:AF145,增益!$A:$A,增益!$U:$U,0)))*IF(VLOOKUP($Q145,武学奇术!$A:$ZZ,24,FALSE)=1,0,1)</f>
        <v>0.8773</v>
      </c>
      <c r="BK145" s="30" cm="1">
        <f t="array" ref="BK145">1+$B$13+VLOOKUP($Q145,武学奇术!$A:$ZZ,18,FALSE)+SUM(_xlfn.XLOOKUP(R145:AF145,增益!$A:$A,增益!$R:$R,0))</f>
        <v>1.87</v>
      </c>
      <c r="BL145" s="30" cm="1">
        <f t="array" ref="BL145">IF(VLOOKUP($Q145,武学奇术!$A:$ZZ,24,FALSE)=1,100%,MIN(40%,$B$10+VLOOKUP($Q145,武学奇术!$A:$ZZ,19,FALSE)+SUM(_xlfn.XLOOKUP(R145:AF145,增益!$A:$A,增益!$S:$S,0)))+$B$12+SUM(_xlfn.XLOOKUP(R145:AF145,增益!$A:$A,增益!$V:$V,0)))*IF(VLOOKUP($Q145,武学奇术!$A:$ZZ,23,FALSE)=1,0,1)</f>
        <v>0.0895</v>
      </c>
      <c r="BM145" s="30" cm="1">
        <f t="array" ref="BM145">1+$B$14+VLOOKUP($Q145,武学奇术!$A:$ZZ,20,FALSE)+SUM(_xlfn.XLOOKUP(R145:AF145,增益!$A:$A,增益!$T:$T,0))</f>
        <v>1.35</v>
      </c>
      <c r="BN145" s="30">
        <f t="shared" si="34"/>
        <v>0.85203376</v>
      </c>
      <c r="BO145" s="30">
        <f t="shared" si="35"/>
        <v>0.03224384</v>
      </c>
      <c r="BP145" s="30">
        <f>IF(VLOOKUP($Q145,武学奇术!$A:$ZZ,22,FALSE)=1,0,(1-$BI145))*(1-$BL145)</f>
        <v>0.0262224</v>
      </c>
      <c r="BQ145" s="30" cm="1">
        <f t="array" ref="BQ145">SUM(_xlfn.XLOOKUP(R145:AF145,增益!$A:$A,增益!$W:$W,0))+$I$5</f>
        <v>0.11</v>
      </c>
    </row>
    <row r="146" spans="11:69">
      <c r="K146" s="41">
        <f t="shared" si="36"/>
        <v>13896.3282041483</v>
      </c>
      <c r="L146" s="41">
        <f>((($AN146+$AO146)/2*$AH146+$AI146)*(1+$AP146)*(1+$AQ146)+(($AS146+$AT146)/2*IF($G$1="鸣金",$AJ146,$AH146)+IF($G$1="鸣金",$AK146*1.5,0))*(1+$AU146)*(1+$AV146)+(($AW146+$AX146)/2*IF($G$1="裂石",$AJ146,$AH146)+IF($G$1="裂石",$AK146*1.5,0))*(1+$AY146)*(1+$AZ146)+(($BA146+$BB146)/2*IF($G$1="牵丝",$AJ146,$AH146)+IF($G$1="牵丝",$AK146*1.5,0))*(1+$BC146)*(1+$BD146)+(($BE146+$BF146)/2*IF($G$1="破竹",$AJ146,$AH146)+IF($G$1="破竹",$AK146*1.5,0))*(1+$BG146)*(1+$BH146))*(1+$AL146)*$BK146*$P146*(1+IF(VLOOKUP($Q146,武学奇术!$A:$ZZ,30,FALSE)="回旋伞",$B$21,0))*(1+$BQ146)</f>
        <v>14581.4762333155</v>
      </c>
      <c r="M146" s="41">
        <f>(($AO146*$AH146+$AI146)*(1+$AP146)*(1+$AQ146)+($AT146*IF($G$1="鸣金",$AJ146,$AH146)+IF($G$1="鸣金",$AK146*1.5,0))*(1+$AU146)*(1+$AV146)+($AX146*IF($G$1="裂石",$AJ146,$AH146)+IF($G$1="裂石",$AK146*1.5,0))*(1+$AY146)*(1+$AZ146)+($BB146*IF($G$1="牵丝",$AJ146,$AH146)+IF($G$1="牵丝",$AK146*1.5,0))*(1+$BC146)*(1+$BD146)+($BF146*IF($G$1="破竹",$AJ146,$AH146)+IF($G$1="破竹",$AK146*1.5,0))*(1+$BG146)*(1+$BH146))*(1+$AL146)*$BM146*$P146*(1+IF(VLOOKUP($Q146,武学奇术!$A:$ZZ,30,FALSE)="回旋伞",$B$21,0))*(1+$BQ146)</f>
        <v>11588.1566194563</v>
      </c>
      <c r="N146" s="41">
        <f>((($AN146+$AO146)/2*$AH146+$AI146)*(1+$AP146)*(1+$AQ146)+(($AS146+$AT146)/2*IF($G$1="鸣金",$AJ146,$AH146)+IF($G$1="鸣金",$AK146*1.5,0))*(1+$AU146)*(1+$AV146)+(($AW146+$AX146)/2*IF($G$1="裂石",$AJ146,$AH146)+IF($G$1="裂石",$AK146*1.5,0))*(1+$AY146)*(1+$AZ146)+(($BA146+$BB146)/2*IF($G$1="牵丝",$AJ146,$AH146)+IF($G$1="牵丝",$AK146*1.5,0))*(1+$BC146)*(1+$BD146)+(($BE146+$BF146)/2*IF($G$1="破竹",$AJ146,$AH146)+IF($G$1="破竹",$AK146*1.5,0))*(1+$BG146)*(1+$BH146))*(1+$AL146)*$P146*(1+IF(VLOOKUP($Q146,武学奇术!$A:$ZZ,30,FALSE)="回旋伞",$B$21,0))*(1+$BQ146)</f>
        <v>7797.58087343075</v>
      </c>
      <c r="O146" s="41">
        <f>((($AN146*$AH146+$AI146)*(1+$AP146)*(1+$AQ146)+($AS146*IF($G$1="鸣金",$AJ146,$AH146)+IF($G$1="鸣金",$AK146*1.5,0))*(1+$AU146)*(1+$AV146)+($AW146*IF($G$1="裂石",$AJ146,$AH146)+IF($G$1="裂石",$AK146*1.5,0))*(1+$AY146)*(1+$AZ146)+($BA146*IF($G$1="牵丝",$AJ146,$AH146)+IF($G$1="牵丝",$AK146*1.5,0))*(1+$BC146)*(1+$BD146)+($BE146*IF($G$1="破竹",$AJ146,$AH146)+IF($G$1="破竹",$AK146*1.5,0))*(1+$BG146)*(1+$BH146))*(1+$AL146))*$P146*(1+IF(VLOOKUP($Q146,武学奇术!$A:$ZZ,30,FALSE)="回旋伞",$B$21,0))*(1+$BQ146)</f>
        <v>7011.34202874575</v>
      </c>
      <c r="P146" s="42">
        <f t="shared" si="37"/>
        <v>1</v>
      </c>
      <c r="Q146" s="43" t="s">
        <v>187</v>
      </c>
      <c r="R146" s="43" t="s">
        <v>71</v>
      </c>
      <c r="S146" s="43" t="s">
        <v>91</v>
      </c>
      <c r="T146" s="43" t="s">
        <v>72</v>
      </c>
      <c r="U146" s="43" t="s">
        <v>71</v>
      </c>
      <c r="V146" s="43" t="s">
        <v>167</v>
      </c>
      <c r="W146" s="43" t="s">
        <v>95</v>
      </c>
      <c r="X146" s="43" t="s">
        <v>71</v>
      </c>
      <c r="Y146" s="43" t="s">
        <v>71</v>
      </c>
      <c r="Z146" s="43" t="s">
        <v>71</v>
      </c>
      <c r="AA146" s="43" t="s">
        <v>71</v>
      </c>
      <c r="AB146" s="43" t="s">
        <v>71</v>
      </c>
      <c r="AC146" s="43" t="s">
        <v>71</v>
      </c>
      <c r="AD146" s="43" t="s">
        <v>71</v>
      </c>
      <c r="AE146" s="43" t="s">
        <v>71</v>
      </c>
      <c r="AF146" s="43" t="s">
        <v>76</v>
      </c>
      <c r="AG146" t="str">
        <f>VLOOKUP($Q146,武学奇术!$A:$ZZ,25,FALSE)</f>
        <v>心法</v>
      </c>
      <c r="AH146" s="30">
        <f>VLOOKUP($Q146,武学奇术!$A:$ZZ,26,FALSE)</f>
        <v>1</v>
      </c>
      <c r="AI146" s="31">
        <f>VLOOKUP($Q146,武学奇术!$A:$ZZ,27,FALSE)*(1+IF(OR($AG146=$F$4,$AG146=$F$5),$B$22,0))</f>
        <v>0</v>
      </c>
      <c r="AJ146" s="30">
        <f>VLOOKUP($Q146,武学奇术!$A:$ZZ,28,FALSE)</f>
        <v>1</v>
      </c>
      <c r="AK146" s="31">
        <f>VLOOKUP($Q146,武学奇术!$A:$ZZ,29,FALSE)*(1+IF(OR($AG146=$F$4,$AG146=$F$5),$B$22,0))</f>
        <v>0</v>
      </c>
      <c r="AL146" s="30" cm="1">
        <f t="array" ref="AL146">$G$3+IFERROR(VLOOKUP($AG146,$F$4:$G$7,2,FALSE),0)+VLOOKUP($Q146,武学奇术!$A:$ZZ,2,FALSE)+SUM(_xlfn.XLOOKUP($R146:$AF146,增益!$A:$A,增益!$B:$B,0))</f>
        <v>0.2037</v>
      </c>
      <c r="AM146" s="30" cm="1">
        <f t="array" ref="AM146">VLOOKUP($Q146,武学奇术!$A:$ZZ,5,FALSE)+SUM(_xlfn.XLOOKUP($R146:$AF146,增益!$A:$A,增益!$E:$E,0))</f>
        <v>0</v>
      </c>
      <c r="AN146" cm="1">
        <f t="array" ref="AN146">$D$10*(1+$AM146)+VLOOKUP($Q146,武学奇术!$A:$ZZ,3,FALSE)+SUM(_xlfn.XLOOKUP($R146:$AF146,增益!$A:$A,增益!$C:$C,0))-$I$2</f>
        <v>3483.8</v>
      </c>
      <c r="AO146" cm="1">
        <f t="array" ref="AO146">$E$10*(1+$AM146)+VLOOKUP($Q146,武学奇术!$A:$ZZ,4,FALSE)+SUM(_xlfn.XLOOKUP($R146:$AF146,增益!$A:$A,增益!$D:$D,0))-$I$2</f>
        <v>3483.8</v>
      </c>
      <c r="AP146" s="35" cm="1">
        <f t="array" ref="AP146">IF($F$10-$I$3+VLOOKUP($Q146,武学奇术!$A:$ZZ,6,FALSE)+SUM(_xlfn.XLOOKUP(R146:AF146,增益!$A:$A,增益!$F:$F,0))&gt;0,($F$10-$I$3+VLOOKUP($Q146,武学奇术!$A:$ZZ,6,FALSE)+SUM(_xlfn.XLOOKUP(R146:AF146,增益!$A:$A,增益!$F:$F,0)))/200,($F$10-$I$3+VLOOKUP($Q146,武学奇术!$A:$ZZ,6,FALSE)+SUM(_xlfn.XLOOKUP(R146:AF146,增益!$A:$A,增益!$F:$F,0)))/100)</f>
        <v>0.2925</v>
      </c>
      <c r="AQ146" s="35" cm="1">
        <f t="array" ref="AQ146">$G$10+VLOOKUP($Q146,武学奇术!$A:$ZZ,7,FALSE)+SUM(_xlfn.XLOOKUP(R146:AF146,增益!$A:$A,增益!$G:$G,0))</f>
        <v>0.028</v>
      </c>
      <c r="AR146" s="30" cm="1">
        <f t="array" ref="AR146">VLOOKUP($Q146,武学奇术!$A:$ZZ,8,FALSE)+SUM(_xlfn.XLOOKUP(R146:AF146,增益!$A:$A,增益!$H:$H,0))</f>
        <v>0</v>
      </c>
      <c r="AS146">
        <f t="shared" si="26"/>
        <v>0</v>
      </c>
      <c r="AT146">
        <f t="shared" si="27"/>
        <v>0</v>
      </c>
      <c r="AU146" s="35" cm="1">
        <f t="array" ref="AU146">IF($F$11-$I$4+VLOOKUP($Q146,武学奇术!$A:$ZZ,9,FALSE)+SUM(_xlfn.XLOOKUP(R146:AF146,增益!$A:$A,增益!$I:$I,0))&gt;0,($F$11-$I$4+VLOOKUP($Q146,武学奇术!$A:$ZZ,9,FALSE)+SUM(_xlfn.XLOOKUP(R146:AF146,增益!$A:$A,增益!$I:$I,0)))/200,($F$11-$I$4+VLOOKUP($Q146,武学奇术!$A:$ZZ,9,FALSE)+SUM(_xlfn.XLOOKUP(R146:AF146,增益!$A:$A,增益!$I:$I,0)))/100)</f>
        <v>-0.3</v>
      </c>
      <c r="AV146" s="35" cm="1">
        <f t="array" ref="AV146">$G$11+VLOOKUP($Q146,武学奇术!$A:$ZZ,10,FALSE)+SUM(_xlfn.XLOOKUP(R146:AF146,增益!$A:$A,增益!$J:$J,0))</f>
        <v>0</v>
      </c>
      <c r="AW146">
        <f t="shared" si="28"/>
        <v>0</v>
      </c>
      <c r="AX146">
        <f t="shared" si="29"/>
        <v>0</v>
      </c>
      <c r="AY146" s="35" cm="1">
        <f t="array" ref="AY146">IF($F$12-$I$4+VLOOKUP($Q146,武学奇术!$A:$ZZ,11,FALSE)+SUM(_xlfn.XLOOKUP(R146:AF146,增益!$A:$A,增益!$K:$K,0))&gt;0,($F$12-$I$4+VLOOKUP($Q146,武学奇术!$A:$ZZ,11,FALSE)+SUM(_xlfn.XLOOKUP(R146:AF146,增益!$A:$A,增益!$K:$K,0)))/200,($F$12-$I$4+VLOOKUP($Q146,武学奇术!$A:$ZZ,11,FALSE)+SUM(_xlfn.XLOOKUP(R146:AF146,增益!$A:$A,增益!$K:$K,0)))/100)</f>
        <v>-0.3</v>
      </c>
      <c r="AZ146" s="35" cm="1">
        <f t="array" ref="AZ146">$G$12+VLOOKUP($Q146,武学奇术!$A:$ZZ,12,FALSE)+SUM(_xlfn.XLOOKUP(R146:AF146,增益!$A:$A,增益!$L:$L,0))</f>
        <v>0</v>
      </c>
      <c r="BA146">
        <f t="shared" si="30"/>
        <v>0</v>
      </c>
      <c r="BB146">
        <f t="shared" si="31"/>
        <v>0</v>
      </c>
      <c r="BC146" s="35" cm="1">
        <f t="array" ref="BC146">IF($F$13-$I$4+VLOOKUP($Q146,武学奇术!$A:$ZZ,13,FALSE)+SUM(_xlfn.XLOOKUP(R146:AF146,增益!$A:$A,增益!$M:$M,0))&gt;0,($F$13-$I$4+VLOOKUP($Q146,武学奇术!$A:$ZZ,13,FALSE)+SUM(_xlfn.XLOOKUP(R146:AF146,增益!$A:$A,增益!$K:$K,0)))/200,($F$13-$I$4+VLOOKUP($Q146,武学奇术!$A:$ZZ,13,FALSE)+SUM(_xlfn.XLOOKUP(R146:AF146,增益!$A:$A,增益!$M:$M,0)))/100)</f>
        <v>-0.3</v>
      </c>
      <c r="BD146" s="35" cm="1">
        <f t="array" ref="BD146">$G$13+VLOOKUP($Q146,武学奇术!$A:$ZZ,14,FALSE)+SUM(_xlfn.XLOOKUP(R146:AF146,增益!$A:$A,增益!$N:$N,0))</f>
        <v>0</v>
      </c>
      <c r="BE146">
        <f t="shared" si="32"/>
        <v>538</v>
      </c>
      <c r="BF146">
        <f t="shared" si="33"/>
        <v>1561.4</v>
      </c>
      <c r="BG146" s="35" cm="1">
        <f t="array" ref="BG146">IF($F$14-$I$4+VLOOKUP($Q146,武学奇术!$A:$ZZ,15,FALSE)+SUM(_xlfn.XLOOKUP(R146:AF146,增益!$A:$A,增益!$O:$O,0))&gt;0,($F$14-$I$4+VLOOKUP($Q146,武学奇术!$A:$ZZ,15,FALSE)+SUM(_xlfn.XLOOKUP(R146:AF146,增益!$A:$A,增益!$O:$O,0)))/200,($F$14-$I$4+VLOOKUP($Q146,武学奇术!$A:$ZZ,15,FALSE)+SUM(_xlfn.XLOOKUP(R146:AF146,增益!$A:$A,增益!$O:$O,0)))/100)</f>
        <v>0</v>
      </c>
      <c r="BH146" s="35" cm="1">
        <f t="array" ref="BH146">$G$14+VLOOKUP($Q146,武学奇术!$A:$ZZ,16,FALSE)+SUM(_xlfn.XLOOKUP(R146:AF146,增益!$A:$A,增益!$P:$P,0))</f>
        <v>0.15</v>
      </c>
      <c r="BI146" s="30">
        <f>MIN(IF(VLOOKUP($Q146,武学奇术!$A:$ZZ,23,FALSE)=1,100%,$B$8),100%)</f>
        <v>0.9712</v>
      </c>
      <c r="BJ146" s="30" cm="1">
        <f t="array" ref="BJ146">IF(VLOOKUP($Q146,武学奇术!$A:$ZZ,23,FALSE)=1,100%,MIN(80%,$B$9+VLOOKUP($Q146,武学奇术!$A:$ZZ,17,FALSE)+SUM(_xlfn.XLOOKUP(R146:AF146,增益!$A:$A,增益!$Q:$Q,0)))+$B$11+SUM(_xlfn.XLOOKUP(R146:AF146,增益!$A:$A,增益!$U:$U,0)))*IF(VLOOKUP($Q146,武学奇术!$A:$ZZ,24,FALSE)=1,0,1)</f>
        <v>0.8773</v>
      </c>
      <c r="BK146" s="30" cm="1">
        <f t="array" ref="BK146">1+$B$13+VLOOKUP($Q146,武学奇术!$A:$ZZ,18,FALSE)+SUM(_xlfn.XLOOKUP(R146:AF146,增益!$A:$A,增益!$R:$R,0))</f>
        <v>1.87</v>
      </c>
      <c r="BL146" s="30" cm="1">
        <f t="array" ref="BL146">IF(VLOOKUP($Q146,武学奇术!$A:$ZZ,24,FALSE)=1,100%,MIN(40%,$B$10+VLOOKUP($Q146,武学奇术!$A:$ZZ,19,FALSE)+SUM(_xlfn.XLOOKUP(R146:AF146,增益!$A:$A,增益!$S:$S,0)))+$B$12+SUM(_xlfn.XLOOKUP(R146:AF146,增益!$A:$A,增益!$V:$V,0)))*IF(VLOOKUP($Q146,武学奇术!$A:$ZZ,23,FALSE)=1,0,1)</f>
        <v>0.0895</v>
      </c>
      <c r="BM146" s="30" cm="1">
        <f t="array" ref="BM146">1+$B$14+VLOOKUP($Q146,武学奇术!$A:$ZZ,20,FALSE)+SUM(_xlfn.XLOOKUP(R146:AF146,增益!$A:$A,增益!$T:$T,0))</f>
        <v>1.35</v>
      </c>
      <c r="BN146" s="30">
        <f t="shared" si="34"/>
        <v>0.85203376</v>
      </c>
      <c r="BO146" s="30">
        <f t="shared" si="35"/>
        <v>0.03224384</v>
      </c>
      <c r="BP146" s="30">
        <f>IF(VLOOKUP($Q146,武学奇术!$A:$ZZ,22,FALSE)=1,0,(1-$BI146))*(1-$BL146)</f>
        <v>0.0262224</v>
      </c>
      <c r="BQ146" s="30" cm="1">
        <f t="array" ref="BQ146">SUM(_xlfn.XLOOKUP(R146:AF146,增益!$A:$A,增益!$W:$W,0))+$I$5</f>
        <v>0.11</v>
      </c>
    </row>
    <row r="147" spans="11:69">
      <c r="K147" s="41">
        <f t="shared" si="36"/>
        <v>13896.3282041483</v>
      </c>
      <c r="L147" s="41">
        <f>((($AN147+$AO147)/2*$AH147+$AI147)*(1+$AP147)*(1+$AQ147)+(($AS147+$AT147)/2*IF($G$1="鸣金",$AJ147,$AH147)+IF($G$1="鸣金",$AK147*1.5,0))*(1+$AU147)*(1+$AV147)+(($AW147+$AX147)/2*IF($G$1="裂石",$AJ147,$AH147)+IF($G$1="裂石",$AK147*1.5,0))*(1+$AY147)*(1+$AZ147)+(($BA147+$BB147)/2*IF($G$1="牵丝",$AJ147,$AH147)+IF($G$1="牵丝",$AK147*1.5,0))*(1+$BC147)*(1+$BD147)+(($BE147+$BF147)/2*IF($G$1="破竹",$AJ147,$AH147)+IF($G$1="破竹",$AK147*1.5,0))*(1+$BG147)*(1+$BH147))*(1+$AL147)*$BK147*$P147*(1+IF(VLOOKUP($Q147,武学奇术!$A:$ZZ,30,FALSE)="回旋伞",$B$21,0))*(1+$BQ147)</f>
        <v>14581.4762333155</v>
      </c>
      <c r="M147" s="41">
        <f>(($AO147*$AH147+$AI147)*(1+$AP147)*(1+$AQ147)+($AT147*IF($G$1="鸣金",$AJ147,$AH147)+IF($G$1="鸣金",$AK147*1.5,0))*(1+$AU147)*(1+$AV147)+($AX147*IF($G$1="裂石",$AJ147,$AH147)+IF($G$1="裂石",$AK147*1.5,0))*(1+$AY147)*(1+$AZ147)+($BB147*IF($G$1="牵丝",$AJ147,$AH147)+IF($G$1="牵丝",$AK147*1.5,0))*(1+$BC147)*(1+$BD147)+($BF147*IF($G$1="破竹",$AJ147,$AH147)+IF($G$1="破竹",$AK147*1.5,0))*(1+$BG147)*(1+$BH147))*(1+$AL147)*$BM147*$P147*(1+IF(VLOOKUP($Q147,武学奇术!$A:$ZZ,30,FALSE)="回旋伞",$B$21,0))*(1+$BQ147)</f>
        <v>11588.1566194563</v>
      </c>
      <c r="N147" s="41">
        <f>((($AN147+$AO147)/2*$AH147+$AI147)*(1+$AP147)*(1+$AQ147)+(($AS147+$AT147)/2*IF($G$1="鸣金",$AJ147,$AH147)+IF($G$1="鸣金",$AK147*1.5,0))*(1+$AU147)*(1+$AV147)+(($AW147+$AX147)/2*IF($G$1="裂石",$AJ147,$AH147)+IF($G$1="裂石",$AK147*1.5,0))*(1+$AY147)*(1+$AZ147)+(($BA147+$BB147)/2*IF($G$1="牵丝",$AJ147,$AH147)+IF($G$1="牵丝",$AK147*1.5,0))*(1+$BC147)*(1+$BD147)+(($BE147+$BF147)/2*IF($G$1="破竹",$AJ147,$AH147)+IF($G$1="破竹",$AK147*1.5,0))*(1+$BG147)*(1+$BH147))*(1+$AL147)*$P147*(1+IF(VLOOKUP($Q147,武学奇术!$A:$ZZ,30,FALSE)="回旋伞",$B$21,0))*(1+$BQ147)</f>
        <v>7797.58087343075</v>
      </c>
      <c r="O147" s="41">
        <f>((($AN147*$AH147+$AI147)*(1+$AP147)*(1+$AQ147)+($AS147*IF($G$1="鸣金",$AJ147,$AH147)+IF($G$1="鸣金",$AK147*1.5,0))*(1+$AU147)*(1+$AV147)+($AW147*IF($G$1="裂石",$AJ147,$AH147)+IF($G$1="裂石",$AK147*1.5,0))*(1+$AY147)*(1+$AZ147)+($BA147*IF($G$1="牵丝",$AJ147,$AH147)+IF($G$1="牵丝",$AK147*1.5,0))*(1+$BC147)*(1+$BD147)+($BE147*IF($G$1="破竹",$AJ147,$AH147)+IF($G$1="破竹",$AK147*1.5,0))*(1+$BG147)*(1+$BH147))*(1+$AL147))*$P147*(1+IF(VLOOKUP($Q147,武学奇术!$A:$ZZ,30,FALSE)="回旋伞",$B$21,0))*(1+$BQ147)</f>
        <v>7011.34202874575</v>
      </c>
      <c r="P147" s="42">
        <f t="shared" si="37"/>
        <v>1</v>
      </c>
      <c r="Q147" s="43" t="s">
        <v>187</v>
      </c>
      <c r="R147" s="43" t="s">
        <v>71</v>
      </c>
      <c r="S147" s="43" t="s">
        <v>91</v>
      </c>
      <c r="T147" s="43" t="s">
        <v>72</v>
      </c>
      <c r="U147" s="43" t="s">
        <v>71</v>
      </c>
      <c r="V147" s="43" t="s">
        <v>167</v>
      </c>
      <c r="W147" s="43" t="s">
        <v>95</v>
      </c>
      <c r="X147" s="43" t="s">
        <v>71</v>
      </c>
      <c r="Y147" s="43" t="s">
        <v>71</v>
      </c>
      <c r="Z147" s="43" t="s">
        <v>71</v>
      </c>
      <c r="AA147" s="43" t="s">
        <v>71</v>
      </c>
      <c r="AB147" s="43" t="s">
        <v>71</v>
      </c>
      <c r="AC147" s="43" t="s">
        <v>71</v>
      </c>
      <c r="AD147" s="43" t="s">
        <v>71</v>
      </c>
      <c r="AE147" s="43" t="s">
        <v>71</v>
      </c>
      <c r="AF147" s="43" t="s">
        <v>76</v>
      </c>
      <c r="AG147" t="str">
        <f>VLOOKUP($Q147,武学奇术!$A:$ZZ,25,FALSE)</f>
        <v>心法</v>
      </c>
      <c r="AH147" s="30">
        <f>VLOOKUP($Q147,武学奇术!$A:$ZZ,26,FALSE)</f>
        <v>1</v>
      </c>
      <c r="AI147" s="31">
        <f>VLOOKUP($Q147,武学奇术!$A:$ZZ,27,FALSE)*(1+IF(OR($AG147=$F$4,$AG147=$F$5),$B$22,0))</f>
        <v>0</v>
      </c>
      <c r="AJ147" s="30">
        <f>VLOOKUP($Q147,武学奇术!$A:$ZZ,28,FALSE)</f>
        <v>1</v>
      </c>
      <c r="AK147" s="31">
        <f>VLOOKUP($Q147,武学奇术!$A:$ZZ,29,FALSE)*(1+IF(OR($AG147=$F$4,$AG147=$F$5),$B$22,0))</f>
        <v>0</v>
      </c>
      <c r="AL147" s="30" cm="1">
        <f t="array" ref="AL147">$G$3+IFERROR(VLOOKUP($AG147,$F$4:$G$7,2,FALSE),0)+VLOOKUP($Q147,武学奇术!$A:$ZZ,2,FALSE)+SUM(_xlfn.XLOOKUP($R147:$AF147,增益!$A:$A,增益!$B:$B,0))</f>
        <v>0.2037</v>
      </c>
      <c r="AM147" s="30" cm="1">
        <f t="array" ref="AM147">VLOOKUP($Q147,武学奇术!$A:$ZZ,5,FALSE)+SUM(_xlfn.XLOOKUP($R147:$AF147,增益!$A:$A,增益!$E:$E,0))</f>
        <v>0</v>
      </c>
      <c r="AN147" cm="1">
        <f t="array" ref="AN147">$D$10*(1+$AM147)+VLOOKUP($Q147,武学奇术!$A:$ZZ,3,FALSE)+SUM(_xlfn.XLOOKUP($R147:$AF147,增益!$A:$A,增益!$C:$C,0))-$I$2</f>
        <v>3483.8</v>
      </c>
      <c r="AO147" cm="1">
        <f t="array" ref="AO147">$E$10*(1+$AM147)+VLOOKUP($Q147,武学奇术!$A:$ZZ,4,FALSE)+SUM(_xlfn.XLOOKUP($R147:$AF147,增益!$A:$A,增益!$D:$D,0))-$I$2</f>
        <v>3483.8</v>
      </c>
      <c r="AP147" s="35" cm="1">
        <f t="array" ref="AP147">IF($F$10-$I$3+VLOOKUP($Q147,武学奇术!$A:$ZZ,6,FALSE)+SUM(_xlfn.XLOOKUP(R147:AF147,增益!$A:$A,增益!$F:$F,0))&gt;0,($F$10-$I$3+VLOOKUP($Q147,武学奇术!$A:$ZZ,6,FALSE)+SUM(_xlfn.XLOOKUP(R147:AF147,增益!$A:$A,增益!$F:$F,0)))/200,($F$10-$I$3+VLOOKUP($Q147,武学奇术!$A:$ZZ,6,FALSE)+SUM(_xlfn.XLOOKUP(R147:AF147,增益!$A:$A,增益!$F:$F,0)))/100)</f>
        <v>0.2925</v>
      </c>
      <c r="AQ147" s="35" cm="1">
        <f t="array" ref="AQ147">$G$10+VLOOKUP($Q147,武学奇术!$A:$ZZ,7,FALSE)+SUM(_xlfn.XLOOKUP(R147:AF147,增益!$A:$A,增益!$G:$G,0))</f>
        <v>0.028</v>
      </c>
      <c r="AR147" s="30" cm="1">
        <f t="array" ref="AR147">VLOOKUP($Q147,武学奇术!$A:$ZZ,8,FALSE)+SUM(_xlfn.XLOOKUP(R147:AF147,增益!$A:$A,增益!$H:$H,0))</f>
        <v>0</v>
      </c>
      <c r="AS147">
        <f t="shared" si="26"/>
        <v>0</v>
      </c>
      <c r="AT147">
        <f t="shared" si="27"/>
        <v>0</v>
      </c>
      <c r="AU147" s="35" cm="1">
        <f t="array" ref="AU147">IF($F$11-$I$4+VLOOKUP($Q147,武学奇术!$A:$ZZ,9,FALSE)+SUM(_xlfn.XLOOKUP(R147:AF147,增益!$A:$A,增益!$I:$I,0))&gt;0,($F$11-$I$4+VLOOKUP($Q147,武学奇术!$A:$ZZ,9,FALSE)+SUM(_xlfn.XLOOKUP(R147:AF147,增益!$A:$A,增益!$I:$I,0)))/200,($F$11-$I$4+VLOOKUP($Q147,武学奇术!$A:$ZZ,9,FALSE)+SUM(_xlfn.XLOOKUP(R147:AF147,增益!$A:$A,增益!$I:$I,0)))/100)</f>
        <v>-0.3</v>
      </c>
      <c r="AV147" s="35" cm="1">
        <f t="array" ref="AV147">$G$11+VLOOKUP($Q147,武学奇术!$A:$ZZ,10,FALSE)+SUM(_xlfn.XLOOKUP(R147:AF147,增益!$A:$A,增益!$J:$J,0))</f>
        <v>0</v>
      </c>
      <c r="AW147">
        <f t="shared" si="28"/>
        <v>0</v>
      </c>
      <c r="AX147">
        <f t="shared" si="29"/>
        <v>0</v>
      </c>
      <c r="AY147" s="35" cm="1">
        <f t="array" ref="AY147">IF($F$12-$I$4+VLOOKUP($Q147,武学奇术!$A:$ZZ,11,FALSE)+SUM(_xlfn.XLOOKUP(R147:AF147,增益!$A:$A,增益!$K:$K,0))&gt;0,($F$12-$I$4+VLOOKUP($Q147,武学奇术!$A:$ZZ,11,FALSE)+SUM(_xlfn.XLOOKUP(R147:AF147,增益!$A:$A,增益!$K:$K,0)))/200,($F$12-$I$4+VLOOKUP($Q147,武学奇术!$A:$ZZ,11,FALSE)+SUM(_xlfn.XLOOKUP(R147:AF147,增益!$A:$A,增益!$K:$K,0)))/100)</f>
        <v>-0.3</v>
      </c>
      <c r="AZ147" s="35" cm="1">
        <f t="array" ref="AZ147">$G$12+VLOOKUP($Q147,武学奇术!$A:$ZZ,12,FALSE)+SUM(_xlfn.XLOOKUP(R147:AF147,增益!$A:$A,增益!$L:$L,0))</f>
        <v>0</v>
      </c>
      <c r="BA147">
        <f t="shared" si="30"/>
        <v>0</v>
      </c>
      <c r="BB147">
        <f t="shared" si="31"/>
        <v>0</v>
      </c>
      <c r="BC147" s="35" cm="1">
        <f t="array" ref="BC147">IF($F$13-$I$4+VLOOKUP($Q147,武学奇术!$A:$ZZ,13,FALSE)+SUM(_xlfn.XLOOKUP(R147:AF147,增益!$A:$A,增益!$M:$M,0))&gt;0,($F$13-$I$4+VLOOKUP($Q147,武学奇术!$A:$ZZ,13,FALSE)+SUM(_xlfn.XLOOKUP(R147:AF147,增益!$A:$A,增益!$K:$K,0)))/200,($F$13-$I$4+VLOOKUP($Q147,武学奇术!$A:$ZZ,13,FALSE)+SUM(_xlfn.XLOOKUP(R147:AF147,增益!$A:$A,增益!$M:$M,0)))/100)</f>
        <v>-0.3</v>
      </c>
      <c r="BD147" s="35" cm="1">
        <f t="array" ref="BD147">$G$13+VLOOKUP($Q147,武学奇术!$A:$ZZ,14,FALSE)+SUM(_xlfn.XLOOKUP(R147:AF147,增益!$A:$A,增益!$N:$N,0))</f>
        <v>0</v>
      </c>
      <c r="BE147">
        <f t="shared" si="32"/>
        <v>538</v>
      </c>
      <c r="BF147">
        <f t="shared" si="33"/>
        <v>1561.4</v>
      </c>
      <c r="BG147" s="35" cm="1">
        <f t="array" ref="BG147">IF($F$14-$I$4+VLOOKUP($Q147,武学奇术!$A:$ZZ,15,FALSE)+SUM(_xlfn.XLOOKUP(R147:AF147,增益!$A:$A,增益!$O:$O,0))&gt;0,($F$14-$I$4+VLOOKUP($Q147,武学奇术!$A:$ZZ,15,FALSE)+SUM(_xlfn.XLOOKUP(R147:AF147,增益!$A:$A,增益!$O:$O,0)))/200,($F$14-$I$4+VLOOKUP($Q147,武学奇术!$A:$ZZ,15,FALSE)+SUM(_xlfn.XLOOKUP(R147:AF147,增益!$A:$A,增益!$O:$O,0)))/100)</f>
        <v>0</v>
      </c>
      <c r="BH147" s="35" cm="1">
        <f t="array" ref="BH147">$G$14+VLOOKUP($Q147,武学奇术!$A:$ZZ,16,FALSE)+SUM(_xlfn.XLOOKUP(R147:AF147,增益!$A:$A,增益!$P:$P,0))</f>
        <v>0.15</v>
      </c>
      <c r="BI147" s="30">
        <f>MIN(IF(VLOOKUP($Q147,武学奇术!$A:$ZZ,23,FALSE)=1,100%,$B$8),100%)</f>
        <v>0.9712</v>
      </c>
      <c r="BJ147" s="30" cm="1">
        <f t="array" ref="BJ147">IF(VLOOKUP($Q147,武学奇术!$A:$ZZ,23,FALSE)=1,100%,MIN(80%,$B$9+VLOOKUP($Q147,武学奇术!$A:$ZZ,17,FALSE)+SUM(_xlfn.XLOOKUP(R147:AF147,增益!$A:$A,增益!$Q:$Q,0)))+$B$11+SUM(_xlfn.XLOOKUP(R147:AF147,增益!$A:$A,增益!$U:$U,0)))*IF(VLOOKUP($Q147,武学奇术!$A:$ZZ,24,FALSE)=1,0,1)</f>
        <v>0.8773</v>
      </c>
      <c r="BK147" s="30" cm="1">
        <f t="array" ref="BK147">1+$B$13+VLOOKUP($Q147,武学奇术!$A:$ZZ,18,FALSE)+SUM(_xlfn.XLOOKUP(R147:AF147,增益!$A:$A,增益!$R:$R,0))</f>
        <v>1.87</v>
      </c>
      <c r="BL147" s="30" cm="1">
        <f t="array" ref="BL147">IF(VLOOKUP($Q147,武学奇术!$A:$ZZ,24,FALSE)=1,100%,MIN(40%,$B$10+VLOOKUP($Q147,武学奇术!$A:$ZZ,19,FALSE)+SUM(_xlfn.XLOOKUP(R147:AF147,增益!$A:$A,增益!$S:$S,0)))+$B$12+SUM(_xlfn.XLOOKUP(R147:AF147,增益!$A:$A,增益!$V:$V,0)))*IF(VLOOKUP($Q147,武学奇术!$A:$ZZ,23,FALSE)=1,0,1)</f>
        <v>0.0895</v>
      </c>
      <c r="BM147" s="30" cm="1">
        <f t="array" ref="BM147">1+$B$14+VLOOKUP($Q147,武学奇术!$A:$ZZ,20,FALSE)+SUM(_xlfn.XLOOKUP(R147:AF147,增益!$A:$A,增益!$T:$T,0))</f>
        <v>1.35</v>
      </c>
      <c r="BN147" s="30">
        <f t="shared" si="34"/>
        <v>0.85203376</v>
      </c>
      <c r="BO147" s="30">
        <f t="shared" si="35"/>
        <v>0.03224384</v>
      </c>
      <c r="BP147" s="30">
        <f>IF(VLOOKUP($Q147,武学奇术!$A:$ZZ,22,FALSE)=1,0,(1-$BI147))*(1-$BL147)</f>
        <v>0.0262224</v>
      </c>
      <c r="BQ147" s="30" cm="1">
        <f t="array" ref="BQ147">SUM(_xlfn.XLOOKUP(R147:AF147,增益!$A:$A,增益!$W:$W,0))+$I$5</f>
        <v>0.11</v>
      </c>
    </row>
    <row r="148" spans="11:69">
      <c r="K148" s="41">
        <f t="shared" si="36"/>
        <v>16205.2636871006</v>
      </c>
      <c r="L148" s="41">
        <f>((($AN148+$AO148)/2*$AH148+$AI148)*(1+$AP148)*(1+$AQ148)+(($AS148+$AT148)/2*IF($G$1="鸣金",$AJ148,$AH148)+IF($G$1="鸣金",$AK148*1.5,0))*(1+$AU148)*(1+$AV148)+(($AW148+$AX148)/2*IF($G$1="裂石",$AJ148,$AH148)+IF($G$1="裂石",$AK148*1.5,0))*(1+$AY148)*(1+$AZ148)+(($BA148+$BB148)/2*IF($G$1="牵丝",$AJ148,$AH148)+IF($G$1="牵丝",$AK148*1.5,0))*(1+$BC148)*(1+$BD148)+(($BE148+$BF148)/2*IF($G$1="破竹",$AJ148,$AH148)+IF($G$1="破竹",$AK148*1.5,0))*(1+$BG148)*(1+$BH148))*(1+$AL148)*$BK148*$P148*(1+IF(VLOOKUP($Q148,武学奇术!$A:$ZZ,30,FALSE)="回旋伞",$B$21,0))*(1+$BQ148)</f>
        <v>17004.2520467766</v>
      </c>
      <c r="M148" s="41">
        <f>(($AO148*$AH148+$AI148)*(1+$AP148)*(1+$AQ148)+($AT148*IF($G$1="鸣金",$AJ148,$AH148)+IF($G$1="鸣金",$AK148*1.5,0))*(1+$AU148)*(1+$AV148)+($AX148*IF($G$1="裂石",$AJ148,$AH148)+IF($G$1="裂石",$AK148*1.5,0))*(1+$AY148)*(1+$AZ148)+($BB148*IF($G$1="牵丝",$AJ148,$AH148)+IF($G$1="牵丝",$AK148*1.5,0))*(1+$BC148)*(1+$BD148)+($BF148*IF($G$1="破竹",$AJ148,$AH148)+IF($G$1="破竹",$AK148*1.5,0))*(1+$BG148)*(1+$BH148))*(1+$AL148)*$BM148*$P148*(1+IF(VLOOKUP($Q148,武学奇术!$A:$ZZ,30,FALSE)="回旋伞",$B$21,0))*(1+$BQ148)</f>
        <v>13513.5793359897</v>
      </c>
      <c r="N148" s="41">
        <f>((($AN148+$AO148)/2*$AH148+$AI148)*(1+$AP148)*(1+$AQ148)+(($AS148+$AT148)/2*IF($G$1="鸣金",$AJ148,$AH148)+IF($G$1="鸣金",$AK148*1.5,0))*(1+$AU148)*(1+$AV148)+(($AW148+$AX148)/2*IF($G$1="裂石",$AJ148,$AH148)+IF($G$1="裂石",$AK148*1.5,0))*(1+$AY148)*(1+$AZ148)+(($BA148+$BB148)/2*IF($G$1="牵丝",$AJ148,$AH148)+IF($G$1="牵丝",$AK148*1.5,0))*(1+$BC148)*(1+$BD148)+(($BE148+$BF148)/2*IF($G$1="破竹",$AJ148,$AH148)+IF($G$1="破竹",$AK148*1.5,0))*(1+$BG148)*(1+$BH148))*(1+$AL148)*$P148*(1+IF(VLOOKUP($Q148,武学奇术!$A:$ZZ,30,FALSE)="回旋伞",$B$21,0))*(1+$BQ148)</f>
        <v>9093.18291271476</v>
      </c>
      <c r="O148" s="41">
        <f>((($AN148*$AH148+$AI148)*(1+$AP148)*(1+$AQ148)+($AS148*IF($G$1="鸣金",$AJ148,$AH148)+IF($G$1="鸣金",$AK148*1.5,0))*(1+$AU148)*(1+$AV148)+($AW148*IF($G$1="裂石",$AJ148,$AH148)+IF($G$1="裂石",$AK148*1.5,0))*(1+$AY148)*(1+$AZ148)+($BA148*IF($G$1="牵丝",$AJ148,$AH148)+IF($G$1="牵丝",$AK148*1.5,0))*(1+$BC148)*(1+$BD148)+($BE148*IF($G$1="破竹",$AJ148,$AH148)+IF($G$1="破竹",$AK148*1.5,0))*(1+$BG148)*(1+$BH148))*(1+$AL148))*$P148*(1+IF(VLOOKUP($Q148,武学奇术!$A:$ZZ,30,FALSE)="回旋伞",$B$21,0))*(1+$BQ148)</f>
        <v>8176.30705802975</v>
      </c>
      <c r="P148" s="42">
        <f t="shared" si="37"/>
        <v>1</v>
      </c>
      <c r="Q148" s="43" t="s">
        <v>187</v>
      </c>
      <c r="R148" s="43" t="s">
        <v>71</v>
      </c>
      <c r="S148" s="43" t="s">
        <v>91</v>
      </c>
      <c r="T148" s="43" t="s">
        <v>72</v>
      </c>
      <c r="U148" s="43" t="s">
        <v>79</v>
      </c>
      <c r="V148" s="43" t="s">
        <v>167</v>
      </c>
      <c r="W148" s="43" t="s">
        <v>95</v>
      </c>
      <c r="X148" s="43" t="s">
        <v>71</v>
      </c>
      <c r="Y148" s="43" t="s">
        <v>71</v>
      </c>
      <c r="Z148" s="43" t="s">
        <v>71</v>
      </c>
      <c r="AA148" s="43" t="s">
        <v>71</v>
      </c>
      <c r="AB148" s="43" t="s">
        <v>71</v>
      </c>
      <c r="AC148" s="43" t="s">
        <v>71</v>
      </c>
      <c r="AD148" s="43" t="s">
        <v>71</v>
      </c>
      <c r="AE148" s="43" t="s">
        <v>71</v>
      </c>
      <c r="AF148" s="43" t="s">
        <v>76</v>
      </c>
      <c r="AG148" t="str">
        <f>VLOOKUP($Q148,武学奇术!$A:$ZZ,25,FALSE)</f>
        <v>心法</v>
      </c>
      <c r="AH148" s="30">
        <f>VLOOKUP($Q148,武学奇术!$A:$ZZ,26,FALSE)</f>
        <v>1</v>
      </c>
      <c r="AI148" s="31">
        <f>VLOOKUP($Q148,武学奇术!$A:$ZZ,27,FALSE)*(1+IF(OR($AG148=$F$4,$AG148=$F$5),$B$22,0))</f>
        <v>0</v>
      </c>
      <c r="AJ148" s="30">
        <f>VLOOKUP($Q148,武学奇术!$A:$ZZ,28,FALSE)</f>
        <v>1</v>
      </c>
      <c r="AK148" s="31">
        <f>VLOOKUP($Q148,武学奇术!$A:$ZZ,29,FALSE)*(1+IF(OR($AG148=$F$4,$AG148=$F$5),$B$22,0))</f>
        <v>0</v>
      </c>
      <c r="AL148" s="30" cm="1">
        <f t="array" ref="AL148">$G$3+IFERROR(VLOOKUP($AG148,$F$4:$G$7,2,FALSE),0)+VLOOKUP($Q148,武学奇术!$A:$ZZ,2,FALSE)+SUM(_xlfn.XLOOKUP($R148:$AF148,增益!$A:$A,增益!$B:$B,0))</f>
        <v>0.4037</v>
      </c>
      <c r="AM148" s="30" cm="1">
        <f t="array" ref="AM148">VLOOKUP($Q148,武学奇术!$A:$ZZ,5,FALSE)+SUM(_xlfn.XLOOKUP($R148:$AF148,增益!$A:$A,增益!$E:$E,0))</f>
        <v>0</v>
      </c>
      <c r="AN148" cm="1">
        <f t="array" ref="AN148">$D$10*(1+$AM148)+VLOOKUP($Q148,武学奇术!$A:$ZZ,3,FALSE)+SUM(_xlfn.XLOOKUP($R148:$AF148,增益!$A:$A,增益!$C:$C,0))-$I$2</f>
        <v>3483.8</v>
      </c>
      <c r="AO148" cm="1">
        <f t="array" ref="AO148">$E$10*(1+$AM148)+VLOOKUP($Q148,武学奇术!$A:$ZZ,4,FALSE)+SUM(_xlfn.XLOOKUP($R148:$AF148,增益!$A:$A,增益!$D:$D,0))-$I$2</f>
        <v>3483.8</v>
      </c>
      <c r="AP148" s="35" cm="1">
        <f t="array" ref="AP148">IF($F$10-$I$3+VLOOKUP($Q148,武学奇术!$A:$ZZ,6,FALSE)+SUM(_xlfn.XLOOKUP(R148:AF148,增益!$A:$A,增益!$F:$F,0))&gt;0,($F$10-$I$3+VLOOKUP($Q148,武学奇术!$A:$ZZ,6,FALSE)+SUM(_xlfn.XLOOKUP(R148:AF148,增益!$A:$A,增益!$F:$F,0)))/200,($F$10-$I$3+VLOOKUP($Q148,武学奇术!$A:$ZZ,6,FALSE)+SUM(_xlfn.XLOOKUP(R148:AF148,增益!$A:$A,增益!$F:$F,0)))/100)</f>
        <v>0.2925</v>
      </c>
      <c r="AQ148" s="35" cm="1">
        <f t="array" ref="AQ148">$G$10+VLOOKUP($Q148,武学奇术!$A:$ZZ,7,FALSE)+SUM(_xlfn.XLOOKUP(R148:AF148,增益!$A:$A,增益!$G:$G,0))</f>
        <v>0.028</v>
      </c>
      <c r="AR148" s="30" cm="1">
        <f t="array" ref="AR148">VLOOKUP($Q148,武学奇术!$A:$ZZ,8,FALSE)+SUM(_xlfn.XLOOKUP(R148:AF148,增益!$A:$A,增益!$H:$H,0))</f>
        <v>0</v>
      </c>
      <c r="AS148">
        <f t="shared" si="26"/>
        <v>0</v>
      </c>
      <c r="AT148">
        <f t="shared" si="27"/>
        <v>0</v>
      </c>
      <c r="AU148" s="35" cm="1">
        <f t="array" ref="AU148">IF($F$11-$I$4+VLOOKUP($Q148,武学奇术!$A:$ZZ,9,FALSE)+SUM(_xlfn.XLOOKUP(R148:AF148,增益!$A:$A,增益!$I:$I,0))&gt;0,($F$11-$I$4+VLOOKUP($Q148,武学奇术!$A:$ZZ,9,FALSE)+SUM(_xlfn.XLOOKUP(R148:AF148,增益!$A:$A,增益!$I:$I,0)))/200,($F$11-$I$4+VLOOKUP($Q148,武学奇术!$A:$ZZ,9,FALSE)+SUM(_xlfn.XLOOKUP(R148:AF148,增益!$A:$A,增益!$I:$I,0)))/100)</f>
        <v>-0.3</v>
      </c>
      <c r="AV148" s="35" cm="1">
        <f t="array" ref="AV148">$G$11+VLOOKUP($Q148,武学奇术!$A:$ZZ,10,FALSE)+SUM(_xlfn.XLOOKUP(R148:AF148,增益!$A:$A,增益!$J:$J,0))</f>
        <v>0</v>
      </c>
      <c r="AW148">
        <f t="shared" si="28"/>
        <v>0</v>
      </c>
      <c r="AX148">
        <f t="shared" si="29"/>
        <v>0</v>
      </c>
      <c r="AY148" s="35" cm="1">
        <f t="array" ref="AY148">IF($F$12-$I$4+VLOOKUP($Q148,武学奇术!$A:$ZZ,11,FALSE)+SUM(_xlfn.XLOOKUP(R148:AF148,增益!$A:$A,增益!$K:$K,0))&gt;0,($F$12-$I$4+VLOOKUP($Q148,武学奇术!$A:$ZZ,11,FALSE)+SUM(_xlfn.XLOOKUP(R148:AF148,增益!$A:$A,增益!$K:$K,0)))/200,($F$12-$I$4+VLOOKUP($Q148,武学奇术!$A:$ZZ,11,FALSE)+SUM(_xlfn.XLOOKUP(R148:AF148,增益!$A:$A,增益!$K:$K,0)))/100)</f>
        <v>-0.3</v>
      </c>
      <c r="AZ148" s="35" cm="1">
        <f t="array" ref="AZ148">$G$12+VLOOKUP($Q148,武学奇术!$A:$ZZ,12,FALSE)+SUM(_xlfn.XLOOKUP(R148:AF148,增益!$A:$A,增益!$L:$L,0))</f>
        <v>0</v>
      </c>
      <c r="BA148">
        <f t="shared" si="30"/>
        <v>0</v>
      </c>
      <c r="BB148">
        <f t="shared" si="31"/>
        <v>0</v>
      </c>
      <c r="BC148" s="35" cm="1">
        <f t="array" ref="BC148">IF($F$13-$I$4+VLOOKUP($Q148,武学奇术!$A:$ZZ,13,FALSE)+SUM(_xlfn.XLOOKUP(R148:AF148,增益!$A:$A,增益!$M:$M,0))&gt;0,($F$13-$I$4+VLOOKUP($Q148,武学奇术!$A:$ZZ,13,FALSE)+SUM(_xlfn.XLOOKUP(R148:AF148,增益!$A:$A,增益!$K:$K,0)))/200,($F$13-$I$4+VLOOKUP($Q148,武学奇术!$A:$ZZ,13,FALSE)+SUM(_xlfn.XLOOKUP(R148:AF148,增益!$A:$A,增益!$M:$M,0)))/100)</f>
        <v>-0.3</v>
      </c>
      <c r="BD148" s="35" cm="1">
        <f t="array" ref="BD148">$G$13+VLOOKUP($Q148,武学奇术!$A:$ZZ,14,FALSE)+SUM(_xlfn.XLOOKUP(R148:AF148,增益!$A:$A,增益!$N:$N,0))</f>
        <v>0</v>
      </c>
      <c r="BE148">
        <f t="shared" si="32"/>
        <v>538</v>
      </c>
      <c r="BF148">
        <f t="shared" si="33"/>
        <v>1561.4</v>
      </c>
      <c r="BG148" s="35" cm="1">
        <f t="array" ref="BG148">IF($F$14-$I$4+VLOOKUP($Q148,武学奇术!$A:$ZZ,15,FALSE)+SUM(_xlfn.XLOOKUP(R148:AF148,增益!$A:$A,增益!$O:$O,0))&gt;0,($F$14-$I$4+VLOOKUP($Q148,武学奇术!$A:$ZZ,15,FALSE)+SUM(_xlfn.XLOOKUP(R148:AF148,增益!$A:$A,增益!$O:$O,0)))/200,($F$14-$I$4+VLOOKUP($Q148,武学奇术!$A:$ZZ,15,FALSE)+SUM(_xlfn.XLOOKUP(R148:AF148,增益!$A:$A,增益!$O:$O,0)))/100)</f>
        <v>0</v>
      </c>
      <c r="BH148" s="35" cm="1">
        <f t="array" ref="BH148">$G$14+VLOOKUP($Q148,武学奇术!$A:$ZZ,16,FALSE)+SUM(_xlfn.XLOOKUP(R148:AF148,增益!$A:$A,增益!$P:$P,0))</f>
        <v>0.15</v>
      </c>
      <c r="BI148" s="30">
        <f>MIN(IF(VLOOKUP($Q148,武学奇术!$A:$ZZ,23,FALSE)=1,100%,$B$8),100%)</f>
        <v>0.9712</v>
      </c>
      <c r="BJ148" s="30" cm="1">
        <f t="array" ref="BJ148">IF(VLOOKUP($Q148,武学奇术!$A:$ZZ,23,FALSE)=1,100%,MIN(80%,$B$9+VLOOKUP($Q148,武学奇术!$A:$ZZ,17,FALSE)+SUM(_xlfn.XLOOKUP(R148:AF148,增益!$A:$A,增益!$Q:$Q,0)))+$B$11+SUM(_xlfn.XLOOKUP(R148:AF148,增益!$A:$A,增益!$U:$U,0)))*IF(VLOOKUP($Q148,武学奇术!$A:$ZZ,24,FALSE)=1,0,1)</f>
        <v>0.8773</v>
      </c>
      <c r="BK148" s="30" cm="1">
        <f t="array" ref="BK148">1+$B$13+VLOOKUP($Q148,武学奇术!$A:$ZZ,18,FALSE)+SUM(_xlfn.XLOOKUP(R148:AF148,增益!$A:$A,增益!$R:$R,0))</f>
        <v>1.87</v>
      </c>
      <c r="BL148" s="30" cm="1">
        <f t="array" ref="BL148">IF(VLOOKUP($Q148,武学奇术!$A:$ZZ,24,FALSE)=1,100%,MIN(40%,$B$10+VLOOKUP($Q148,武学奇术!$A:$ZZ,19,FALSE)+SUM(_xlfn.XLOOKUP(R148:AF148,增益!$A:$A,增益!$S:$S,0)))+$B$12+SUM(_xlfn.XLOOKUP(R148:AF148,增益!$A:$A,增益!$V:$V,0)))*IF(VLOOKUP($Q148,武学奇术!$A:$ZZ,23,FALSE)=1,0,1)</f>
        <v>0.0895</v>
      </c>
      <c r="BM148" s="30" cm="1">
        <f t="array" ref="BM148">1+$B$14+VLOOKUP($Q148,武学奇术!$A:$ZZ,20,FALSE)+SUM(_xlfn.XLOOKUP(R148:AF148,增益!$A:$A,增益!$T:$T,0))</f>
        <v>1.35</v>
      </c>
      <c r="BN148" s="30">
        <f t="shared" si="34"/>
        <v>0.85203376</v>
      </c>
      <c r="BO148" s="30">
        <f t="shared" si="35"/>
        <v>0.03224384</v>
      </c>
      <c r="BP148" s="30">
        <f>IF(VLOOKUP($Q148,武学奇术!$A:$ZZ,22,FALSE)=1,0,(1-$BI148))*(1-$BL148)</f>
        <v>0.0262224</v>
      </c>
      <c r="BQ148" s="30" cm="1">
        <f t="array" ref="BQ148">SUM(_xlfn.XLOOKUP(R148:AF148,增益!$A:$A,增益!$W:$W,0))+$I$5</f>
        <v>0.11</v>
      </c>
    </row>
    <row r="149" spans="11:69">
      <c r="K149" s="41">
        <f t="shared" si="36"/>
        <v>13896.3282041483</v>
      </c>
      <c r="L149" s="41">
        <f>((($AN149+$AO149)/2*$AH149+$AI149)*(1+$AP149)*(1+$AQ149)+(($AS149+$AT149)/2*IF($G$1="鸣金",$AJ149,$AH149)+IF($G$1="鸣金",$AK149*1.5,0))*(1+$AU149)*(1+$AV149)+(($AW149+$AX149)/2*IF($G$1="裂石",$AJ149,$AH149)+IF($G$1="裂石",$AK149*1.5,0))*(1+$AY149)*(1+$AZ149)+(($BA149+$BB149)/2*IF($G$1="牵丝",$AJ149,$AH149)+IF($G$1="牵丝",$AK149*1.5,0))*(1+$BC149)*(1+$BD149)+(($BE149+$BF149)/2*IF($G$1="破竹",$AJ149,$AH149)+IF($G$1="破竹",$AK149*1.5,0))*(1+$BG149)*(1+$BH149))*(1+$AL149)*$BK149*$P149*(1+IF(VLOOKUP($Q149,武学奇术!$A:$ZZ,30,FALSE)="回旋伞",$B$21,0))*(1+$BQ149)</f>
        <v>14581.4762333155</v>
      </c>
      <c r="M149" s="41">
        <f>(($AO149*$AH149+$AI149)*(1+$AP149)*(1+$AQ149)+($AT149*IF($G$1="鸣金",$AJ149,$AH149)+IF($G$1="鸣金",$AK149*1.5,0))*(1+$AU149)*(1+$AV149)+($AX149*IF($G$1="裂石",$AJ149,$AH149)+IF($G$1="裂石",$AK149*1.5,0))*(1+$AY149)*(1+$AZ149)+($BB149*IF($G$1="牵丝",$AJ149,$AH149)+IF($G$1="牵丝",$AK149*1.5,0))*(1+$BC149)*(1+$BD149)+($BF149*IF($G$1="破竹",$AJ149,$AH149)+IF($G$1="破竹",$AK149*1.5,0))*(1+$BG149)*(1+$BH149))*(1+$AL149)*$BM149*$P149*(1+IF(VLOOKUP($Q149,武学奇术!$A:$ZZ,30,FALSE)="回旋伞",$B$21,0))*(1+$BQ149)</f>
        <v>11588.1566194563</v>
      </c>
      <c r="N149" s="41">
        <f>((($AN149+$AO149)/2*$AH149+$AI149)*(1+$AP149)*(1+$AQ149)+(($AS149+$AT149)/2*IF($G$1="鸣金",$AJ149,$AH149)+IF($G$1="鸣金",$AK149*1.5,0))*(1+$AU149)*(1+$AV149)+(($AW149+$AX149)/2*IF($G$1="裂石",$AJ149,$AH149)+IF($G$1="裂石",$AK149*1.5,0))*(1+$AY149)*(1+$AZ149)+(($BA149+$BB149)/2*IF($G$1="牵丝",$AJ149,$AH149)+IF($G$1="牵丝",$AK149*1.5,0))*(1+$BC149)*(1+$BD149)+(($BE149+$BF149)/2*IF($G$1="破竹",$AJ149,$AH149)+IF($G$1="破竹",$AK149*1.5,0))*(1+$BG149)*(1+$BH149))*(1+$AL149)*$P149*(1+IF(VLOOKUP($Q149,武学奇术!$A:$ZZ,30,FALSE)="回旋伞",$B$21,0))*(1+$BQ149)</f>
        <v>7797.58087343075</v>
      </c>
      <c r="O149" s="41">
        <f>((($AN149*$AH149+$AI149)*(1+$AP149)*(1+$AQ149)+($AS149*IF($G$1="鸣金",$AJ149,$AH149)+IF($G$1="鸣金",$AK149*1.5,0))*(1+$AU149)*(1+$AV149)+($AW149*IF($G$1="裂石",$AJ149,$AH149)+IF($G$1="裂石",$AK149*1.5,0))*(1+$AY149)*(1+$AZ149)+($BA149*IF($G$1="牵丝",$AJ149,$AH149)+IF($G$1="牵丝",$AK149*1.5,0))*(1+$BC149)*(1+$BD149)+($BE149*IF($G$1="破竹",$AJ149,$AH149)+IF($G$1="破竹",$AK149*1.5,0))*(1+$BG149)*(1+$BH149))*(1+$AL149))*$P149*(1+IF(VLOOKUP($Q149,武学奇术!$A:$ZZ,30,FALSE)="回旋伞",$B$21,0))*(1+$BQ149)</f>
        <v>7011.34202874575</v>
      </c>
      <c r="P149" s="42">
        <f t="shared" si="37"/>
        <v>1</v>
      </c>
      <c r="Q149" s="43" t="s">
        <v>187</v>
      </c>
      <c r="R149" s="43" t="s">
        <v>71</v>
      </c>
      <c r="S149" s="43" t="s">
        <v>91</v>
      </c>
      <c r="T149" s="43" t="s">
        <v>72</v>
      </c>
      <c r="U149" s="43" t="s">
        <v>71</v>
      </c>
      <c r="V149" s="43" t="s">
        <v>167</v>
      </c>
      <c r="W149" s="43" t="s">
        <v>95</v>
      </c>
      <c r="X149" s="43" t="s">
        <v>71</v>
      </c>
      <c r="Y149" s="43" t="s">
        <v>71</v>
      </c>
      <c r="Z149" s="43" t="s">
        <v>71</v>
      </c>
      <c r="AA149" s="43" t="s">
        <v>71</v>
      </c>
      <c r="AB149" s="43" t="s">
        <v>71</v>
      </c>
      <c r="AC149" s="43" t="s">
        <v>71</v>
      </c>
      <c r="AD149" s="43" t="s">
        <v>71</v>
      </c>
      <c r="AE149" s="43" t="s">
        <v>71</v>
      </c>
      <c r="AF149" s="43" t="s">
        <v>76</v>
      </c>
      <c r="AG149" t="str">
        <f>VLOOKUP($Q149,武学奇术!$A:$ZZ,25,FALSE)</f>
        <v>心法</v>
      </c>
      <c r="AH149" s="30">
        <f>VLOOKUP($Q149,武学奇术!$A:$ZZ,26,FALSE)</f>
        <v>1</v>
      </c>
      <c r="AI149" s="31">
        <f>VLOOKUP($Q149,武学奇术!$A:$ZZ,27,FALSE)*(1+IF(OR($AG149=$F$4,$AG149=$F$5),$B$22,0))</f>
        <v>0</v>
      </c>
      <c r="AJ149" s="30">
        <f>VLOOKUP($Q149,武学奇术!$A:$ZZ,28,FALSE)</f>
        <v>1</v>
      </c>
      <c r="AK149" s="31">
        <f>VLOOKUP($Q149,武学奇术!$A:$ZZ,29,FALSE)*(1+IF(OR($AG149=$F$4,$AG149=$F$5),$B$22,0))</f>
        <v>0</v>
      </c>
      <c r="AL149" s="30" cm="1">
        <f t="array" ref="AL149">$G$3+IFERROR(VLOOKUP($AG149,$F$4:$G$7,2,FALSE),0)+VLOOKUP($Q149,武学奇术!$A:$ZZ,2,FALSE)+SUM(_xlfn.XLOOKUP($R149:$AF149,增益!$A:$A,增益!$B:$B,0))</f>
        <v>0.2037</v>
      </c>
      <c r="AM149" s="30" cm="1">
        <f t="array" ref="AM149">VLOOKUP($Q149,武学奇术!$A:$ZZ,5,FALSE)+SUM(_xlfn.XLOOKUP($R149:$AF149,增益!$A:$A,增益!$E:$E,0))</f>
        <v>0</v>
      </c>
      <c r="AN149" cm="1">
        <f t="array" ref="AN149">$D$10*(1+$AM149)+VLOOKUP($Q149,武学奇术!$A:$ZZ,3,FALSE)+SUM(_xlfn.XLOOKUP($R149:$AF149,增益!$A:$A,增益!$C:$C,0))-$I$2</f>
        <v>3483.8</v>
      </c>
      <c r="AO149" cm="1">
        <f t="array" ref="AO149">$E$10*(1+$AM149)+VLOOKUP($Q149,武学奇术!$A:$ZZ,4,FALSE)+SUM(_xlfn.XLOOKUP($R149:$AF149,增益!$A:$A,增益!$D:$D,0))-$I$2</f>
        <v>3483.8</v>
      </c>
      <c r="AP149" s="35" cm="1">
        <f t="array" ref="AP149">IF($F$10-$I$3+VLOOKUP($Q149,武学奇术!$A:$ZZ,6,FALSE)+SUM(_xlfn.XLOOKUP(R149:AF149,增益!$A:$A,增益!$F:$F,0))&gt;0,($F$10-$I$3+VLOOKUP($Q149,武学奇术!$A:$ZZ,6,FALSE)+SUM(_xlfn.XLOOKUP(R149:AF149,增益!$A:$A,增益!$F:$F,0)))/200,($F$10-$I$3+VLOOKUP($Q149,武学奇术!$A:$ZZ,6,FALSE)+SUM(_xlfn.XLOOKUP(R149:AF149,增益!$A:$A,增益!$F:$F,0)))/100)</f>
        <v>0.2925</v>
      </c>
      <c r="AQ149" s="35" cm="1">
        <f t="array" ref="AQ149">$G$10+VLOOKUP($Q149,武学奇术!$A:$ZZ,7,FALSE)+SUM(_xlfn.XLOOKUP(R149:AF149,增益!$A:$A,增益!$G:$G,0))</f>
        <v>0.028</v>
      </c>
      <c r="AR149" s="30" cm="1">
        <f t="array" ref="AR149">VLOOKUP($Q149,武学奇术!$A:$ZZ,8,FALSE)+SUM(_xlfn.XLOOKUP(R149:AF149,增益!$A:$A,增益!$H:$H,0))</f>
        <v>0</v>
      </c>
      <c r="AS149">
        <f t="shared" si="26"/>
        <v>0</v>
      </c>
      <c r="AT149">
        <f t="shared" si="27"/>
        <v>0</v>
      </c>
      <c r="AU149" s="35" cm="1">
        <f t="array" ref="AU149">IF($F$11-$I$4+VLOOKUP($Q149,武学奇术!$A:$ZZ,9,FALSE)+SUM(_xlfn.XLOOKUP(R149:AF149,增益!$A:$A,增益!$I:$I,0))&gt;0,($F$11-$I$4+VLOOKUP($Q149,武学奇术!$A:$ZZ,9,FALSE)+SUM(_xlfn.XLOOKUP(R149:AF149,增益!$A:$A,增益!$I:$I,0)))/200,($F$11-$I$4+VLOOKUP($Q149,武学奇术!$A:$ZZ,9,FALSE)+SUM(_xlfn.XLOOKUP(R149:AF149,增益!$A:$A,增益!$I:$I,0)))/100)</f>
        <v>-0.3</v>
      </c>
      <c r="AV149" s="35" cm="1">
        <f t="array" ref="AV149">$G$11+VLOOKUP($Q149,武学奇术!$A:$ZZ,10,FALSE)+SUM(_xlfn.XLOOKUP(R149:AF149,增益!$A:$A,增益!$J:$J,0))</f>
        <v>0</v>
      </c>
      <c r="AW149">
        <f t="shared" si="28"/>
        <v>0</v>
      </c>
      <c r="AX149">
        <f t="shared" si="29"/>
        <v>0</v>
      </c>
      <c r="AY149" s="35" cm="1">
        <f t="array" ref="AY149">IF($F$12-$I$4+VLOOKUP($Q149,武学奇术!$A:$ZZ,11,FALSE)+SUM(_xlfn.XLOOKUP(R149:AF149,增益!$A:$A,增益!$K:$K,0))&gt;0,($F$12-$I$4+VLOOKUP($Q149,武学奇术!$A:$ZZ,11,FALSE)+SUM(_xlfn.XLOOKUP(R149:AF149,增益!$A:$A,增益!$K:$K,0)))/200,($F$12-$I$4+VLOOKUP($Q149,武学奇术!$A:$ZZ,11,FALSE)+SUM(_xlfn.XLOOKUP(R149:AF149,增益!$A:$A,增益!$K:$K,0)))/100)</f>
        <v>-0.3</v>
      </c>
      <c r="AZ149" s="35" cm="1">
        <f t="array" ref="AZ149">$G$12+VLOOKUP($Q149,武学奇术!$A:$ZZ,12,FALSE)+SUM(_xlfn.XLOOKUP(R149:AF149,增益!$A:$A,增益!$L:$L,0))</f>
        <v>0</v>
      </c>
      <c r="BA149">
        <f t="shared" si="30"/>
        <v>0</v>
      </c>
      <c r="BB149">
        <f t="shared" si="31"/>
        <v>0</v>
      </c>
      <c r="BC149" s="35" cm="1">
        <f t="array" ref="BC149">IF($F$13-$I$4+VLOOKUP($Q149,武学奇术!$A:$ZZ,13,FALSE)+SUM(_xlfn.XLOOKUP(R149:AF149,增益!$A:$A,增益!$M:$M,0))&gt;0,($F$13-$I$4+VLOOKUP($Q149,武学奇术!$A:$ZZ,13,FALSE)+SUM(_xlfn.XLOOKUP(R149:AF149,增益!$A:$A,增益!$K:$K,0)))/200,($F$13-$I$4+VLOOKUP($Q149,武学奇术!$A:$ZZ,13,FALSE)+SUM(_xlfn.XLOOKUP(R149:AF149,增益!$A:$A,增益!$M:$M,0)))/100)</f>
        <v>-0.3</v>
      </c>
      <c r="BD149" s="35" cm="1">
        <f t="array" ref="BD149">$G$13+VLOOKUP($Q149,武学奇术!$A:$ZZ,14,FALSE)+SUM(_xlfn.XLOOKUP(R149:AF149,增益!$A:$A,增益!$N:$N,0))</f>
        <v>0</v>
      </c>
      <c r="BE149">
        <f t="shared" si="32"/>
        <v>538</v>
      </c>
      <c r="BF149">
        <f t="shared" si="33"/>
        <v>1561.4</v>
      </c>
      <c r="BG149" s="35" cm="1">
        <f t="array" ref="BG149">IF($F$14-$I$4+VLOOKUP($Q149,武学奇术!$A:$ZZ,15,FALSE)+SUM(_xlfn.XLOOKUP(R149:AF149,增益!$A:$A,增益!$O:$O,0))&gt;0,($F$14-$I$4+VLOOKUP($Q149,武学奇术!$A:$ZZ,15,FALSE)+SUM(_xlfn.XLOOKUP(R149:AF149,增益!$A:$A,增益!$O:$O,0)))/200,($F$14-$I$4+VLOOKUP($Q149,武学奇术!$A:$ZZ,15,FALSE)+SUM(_xlfn.XLOOKUP(R149:AF149,增益!$A:$A,增益!$O:$O,0)))/100)</f>
        <v>0</v>
      </c>
      <c r="BH149" s="35" cm="1">
        <f t="array" ref="BH149">$G$14+VLOOKUP($Q149,武学奇术!$A:$ZZ,16,FALSE)+SUM(_xlfn.XLOOKUP(R149:AF149,增益!$A:$A,增益!$P:$P,0))</f>
        <v>0.15</v>
      </c>
      <c r="BI149" s="30">
        <f>MIN(IF(VLOOKUP($Q149,武学奇术!$A:$ZZ,23,FALSE)=1,100%,$B$8),100%)</f>
        <v>0.9712</v>
      </c>
      <c r="BJ149" s="30" cm="1">
        <f t="array" ref="BJ149">IF(VLOOKUP($Q149,武学奇术!$A:$ZZ,23,FALSE)=1,100%,MIN(80%,$B$9+VLOOKUP($Q149,武学奇术!$A:$ZZ,17,FALSE)+SUM(_xlfn.XLOOKUP(R149:AF149,增益!$A:$A,增益!$Q:$Q,0)))+$B$11+SUM(_xlfn.XLOOKUP(R149:AF149,增益!$A:$A,增益!$U:$U,0)))*IF(VLOOKUP($Q149,武学奇术!$A:$ZZ,24,FALSE)=1,0,1)</f>
        <v>0.8773</v>
      </c>
      <c r="BK149" s="30" cm="1">
        <f t="array" ref="BK149">1+$B$13+VLOOKUP($Q149,武学奇术!$A:$ZZ,18,FALSE)+SUM(_xlfn.XLOOKUP(R149:AF149,增益!$A:$A,增益!$R:$R,0))</f>
        <v>1.87</v>
      </c>
      <c r="BL149" s="30" cm="1">
        <f t="array" ref="BL149">IF(VLOOKUP($Q149,武学奇术!$A:$ZZ,24,FALSE)=1,100%,MIN(40%,$B$10+VLOOKUP($Q149,武学奇术!$A:$ZZ,19,FALSE)+SUM(_xlfn.XLOOKUP(R149:AF149,增益!$A:$A,增益!$S:$S,0)))+$B$12+SUM(_xlfn.XLOOKUP(R149:AF149,增益!$A:$A,增益!$V:$V,0)))*IF(VLOOKUP($Q149,武学奇术!$A:$ZZ,23,FALSE)=1,0,1)</f>
        <v>0.0895</v>
      </c>
      <c r="BM149" s="30" cm="1">
        <f t="array" ref="BM149">1+$B$14+VLOOKUP($Q149,武学奇术!$A:$ZZ,20,FALSE)+SUM(_xlfn.XLOOKUP(R149:AF149,增益!$A:$A,增益!$T:$T,0))</f>
        <v>1.35</v>
      </c>
      <c r="BN149" s="30">
        <f t="shared" si="34"/>
        <v>0.85203376</v>
      </c>
      <c r="BO149" s="30">
        <f t="shared" si="35"/>
        <v>0.03224384</v>
      </c>
      <c r="BP149" s="30">
        <f>IF(VLOOKUP($Q149,武学奇术!$A:$ZZ,22,FALSE)=1,0,(1-$BI149))*(1-$BL149)</f>
        <v>0.0262224</v>
      </c>
      <c r="BQ149" s="30" cm="1">
        <f t="array" ref="BQ149">SUM(_xlfn.XLOOKUP(R149:AF149,增益!$A:$A,增益!$W:$W,0))+$I$5</f>
        <v>0.11</v>
      </c>
    </row>
    <row r="150" spans="11:69">
      <c r="K150" s="41">
        <f t="shared" si="36"/>
        <v>21286.3814386023</v>
      </c>
      <c r="L150" s="41">
        <f>((($AN150+$AO150)/2*$AH150+$AI150)*(1+$AP150)*(1+$AQ150)+(($AS150+$AT150)/2*IF($G$1="鸣金",$AJ150,$AH150)+IF($G$1="鸣金",$AK150*1.5,0))*(1+$AU150)*(1+$AV150)+(($AW150+$AX150)/2*IF($G$1="裂石",$AJ150,$AH150)+IF($G$1="裂石",$AK150*1.5,0))*(1+$AY150)*(1+$AZ150)+(($BA150+$BB150)/2*IF($G$1="牵丝",$AJ150,$AH150)+IF($G$1="牵丝",$AK150*1.5,0))*(1+$BC150)*(1+$BD150)+(($BE150+$BF150)/2*IF($G$1="破竹",$AJ150,$AH150)+IF($G$1="破竹",$AK150*1.5,0))*(1+$BG150)*(1+$BH150))*(1+$AL150)*$BK150*$P150*(1+IF(VLOOKUP($Q150,武学奇术!$A:$ZZ,30,FALSE)="回旋伞",$B$21,0))*(1+$BQ150)</f>
        <v>22626.2149304167</v>
      </c>
      <c r="M150" s="41">
        <f>(($AO150*$AH150+$AI150)*(1+$AP150)*(1+$AQ150)+($AT150*IF($G$1="鸣金",$AJ150,$AH150)+IF($G$1="鸣金",$AK150*1.5,0))*(1+$AU150)*(1+$AV150)+($AX150*IF($G$1="裂石",$AJ150,$AH150)+IF($G$1="裂石",$AK150*1.5,0))*(1+$AY150)*(1+$AZ150)+($BB150*IF($G$1="牵丝",$AJ150,$AH150)+IF($G$1="牵丝",$AK150*1.5,0))*(1+$BC150)*(1+$BD150)+($BF150*IF($G$1="破竹",$AJ150,$AH150)+IF($G$1="破竹",$AK150*1.5,0))*(1+$BG150)*(1+$BH150))*(1+$AL150)*$BM150*$P150*(1+IF(VLOOKUP($Q150,武学奇术!$A:$ZZ,30,FALSE)="回旋伞",$B$21,0))*(1+$BQ150)</f>
        <v>15757.4972359003</v>
      </c>
      <c r="N150" s="41">
        <f>((($AN150+$AO150)/2*$AH150+$AI150)*(1+$AP150)*(1+$AQ150)+(($AS150+$AT150)/2*IF($G$1="鸣金",$AJ150,$AH150)+IF($G$1="鸣金",$AK150*1.5,0))*(1+$AU150)*(1+$AV150)+(($AW150+$AX150)/2*IF($G$1="裂石",$AJ150,$AH150)+IF($G$1="裂石",$AK150*1.5,0))*(1+$AY150)*(1+$AZ150)+(($BA150+$BB150)/2*IF($G$1="牵丝",$AJ150,$AH150)+IF($G$1="牵丝",$AK150*1.5,0))*(1+$BC150)*(1+$BD150)+(($BE150+$BF150)/2*IF($G$1="破竹",$AJ150,$AH150)+IF($G$1="破竹",$AK150*1.5,0))*(1+$BG150)*(1+$BH150))*(1+$AL150)*$P150*(1+IF(VLOOKUP($Q150,武学奇术!$A:$ZZ,30,FALSE)="回旋伞",$B$21,0))*(1+$BQ150)</f>
        <v>10672.742891706</v>
      </c>
      <c r="O150" s="41">
        <f>((($AN150*$AH150+$AI150)*(1+$AP150)*(1+$AQ150)+($AS150*IF($G$1="鸣金",$AJ150,$AH150)+IF($G$1="鸣金",$AK150*1.5,0))*(1+$AU150)*(1+$AV150)+($AW150*IF($G$1="裂石",$AJ150,$AH150)+IF($G$1="裂石",$AK150*1.5,0))*(1+$AY150)*(1+$AZ150)+($BA150*IF($G$1="牵丝",$AJ150,$AH150)+IF($G$1="牵丝",$AK150*1.5,0))*(1+$BC150)*(1+$BD150)+($BE150*IF($G$1="破竹",$AJ150,$AH150)+IF($G$1="破竹",$AK150*1.5,0))*(1+$BG150)*(1+$BH150))*(1+$AL150))*$P150*(1+IF(VLOOKUP($Q150,武学奇术!$A:$ZZ,30,FALSE)="回旋伞",$B$21,0))*(1+$BQ150)</f>
        <v>9673.26560867099</v>
      </c>
      <c r="P150" s="42">
        <f t="shared" si="37"/>
        <v>1</v>
      </c>
      <c r="Q150" s="43" t="s">
        <v>187</v>
      </c>
      <c r="R150" s="43" t="s">
        <v>71</v>
      </c>
      <c r="S150" s="43" t="s">
        <v>91</v>
      </c>
      <c r="T150" s="43" t="s">
        <v>72</v>
      </c>
      <c r="U150" s="43" t="s">
        <v>79</v>
      </c>
      <c r="V150" s="43" t="s">
        <v>167</v>
      </c>
      <c r="W150" s="43" t="s">
        <v>95</v>
      </c>
      <c r="X150" s="43" t="s">
        <v>71</v>
      </c>
      <c r="Y150" s="43" t="s">
        <v>177</v>
      </c>
      <c r="Z150" s="43" t="s">
        <v>71</v>
      </c>
      <c r="AA150" s="43" t="s">
        <v>71</v>
      </c>
      <c r="AB150" s="43" t="s">
        <v>179</v>
      </c>
      <c r="AC150" s="43" t="s">
        <v>71</v>
      </c>
      <c r="AD150" s="43" t="s">
        <v>71</v>
      </c>
      <c r="AE150" s="43" t="s">
        <v>71</v>
      </c>
      <c r="AF150" s="43" t="s">
        <v>76</v>
      </c>
      <c r="AG150" t="str">
        <f>VLOOKUP($Q150,武学奇术!$A:$ZZ,25,FALSE)</f>
        <v>心法</v>
      </c>
      <c r="AH150" s="30">
        <f>VLOOKUP($Q150,武学奇术!$A:$ZZ,26,FALSE)</f>
        <v>1</v>
      </c>
      <c r="AI150" s="31">
        <f>VLOOKUP($Q150,武学奇术!$A:$ZZ,27,FALSE)*(1+IF(OR($AG150=$F$4,$AG150=$F$5),$B$22,0))</f>
        <v>0</v>
      </c>
      <c r="AJ150" s="30">
        <f>VLOOKUP($Q150,武学奇术!$A:$ZZ,28,FALSE)</f>
        <v>1</v>
      </c>
      <c r="AK150" s="31">
        <f>VLOOKUP($Q150,武学奇术!$A:$ZZ,29,FALSE)*(1+IF(OR($AG150=$F$4,$AG150=$F$5),$B$22,0))</f>
        <v>0</v>
      </c>
      <c r="AL150" s="30" cm="1">
        <f t="array" ref="AL150">$G$3+IFERROR(VLOOKUP($AG150,$F$4:$G$7,2,FALSE),0)+VLOOKUP($Q150,武学奇术!$A:$ZZ,2,FALSE)+SUM(_xlfn.XLOOKUP($R150:$AF150,增益!$A:$A,增益!$B:$B,0))</f>
        <v>0.4037</v>
      </c>
      <c r="AM150" s="30" cm="1">
        <f t="array" ref="AM150">VLOOKUP($Q150,武学奇术!$A:$ZZ,5,FALSE)+SUM(_xlfn.XLOOKUP($R150:$AF150,增益!$A:$A,增益!$E:$E,0))</f>
        <v>0</v>
      </c>
      <c r="AN150" cm="1">
        <f t="array" ref="AN150">$D$10*(1+$AM150)+VLOOKUP($Q150,武学奇术!$A:$ZZ,3,FALSE)+SUM(_xlfn.XLOOKUP($R150:$AF150,增益!$A:$A,增益!$C:$C,0))-$I$2</f>
        <v>3483.8</v>
      </c>
      <c r="AO150" cm="1">
        <f t="array" ref="AO150">$E$10*(1+$AM150)+VLOOKUP($Q150,武学奇术!$A:$ZZ,4,FALSE)+SUM(_xlfn.XLOOKUP($R150:$AF150,增益!$A:$A,增益!$D:$D,0))-$I$2</f>
        <v>3483.8</v>
      </c>
      <c r="AP150" s="35" cm="1">
        <f t="array" ref="AP150">IF($F$10-$I$3+VLOOKUP($Q150,武学奇术!$A:$ZZ,6,FALSE)+SUM(_xlfn.XLOOKUP(R150:AF150,增益!$A:$A,增益!$F:$F,0))&gt;0,($F$10-$I$3+VLOOKUP($Q150,武学奇术!$A:$ZZ,6,FALSE)+SUM(_xlfn.XLOOKUP(R150:AF150,增益!$A:$A,增益!$F:$F,0)))/200,($F$10-$I$3+VLOOKUP($Q150,武学奇术!$A:$ZZ,6,FALSE)+SUM(_xlfn.XLOOKUP(R150:AF150,增益!$A:$A,增益!$F:$F,0)))/100)</f>
        <v>0.4175</v>
      </c>
      <c r="AQ150" s="35" cm="1">
        <f t="array" ref="AQ150">$G$10+VLOOKUP($Q150,武学奇术!$A:$ZZ,7,FALSE)+SUM(_xlfn.XLOOKUP(R150:AF150,增益!$A:$A,增益!$G:$G,0))</f>
        <v>0.028</v>
      </c>
      <c r="AR150" s="30" cm="1">
        <f t="array" ref="AR150">VLOOKUP($Q150,武学奇术!$A:$ZZ,8,FALSE)+SUM(_xlfn.XLOOKUP(R150:AF150,增益!$A:$A,增益!$H:$H,0))</f>
        <v>0</v>
      </c>
      <c r="AS150">
        <f t="shared" si="26"/>
        <v>0</v>
      </c>
      <c r="AT150">
        <f t="shared" si="27"/>
        <v>0</v>
      </c>
      <c r="AU150" s="35" cm="1">
        <f t="array" ref="AU150">IF($F$11-$I$4+VLOOKUP($Q150,武学奇术!$A:$ZZ,9,FALSE)+SUM(_xlfn.XLOOKUP(R150:AF150,增益!$A:$A,增益!$I:$I,0))&gt;0,($F$11-$I$4+VLOOKUP($Q150,武学奇术!$A:$ZZ,9,FALSE)+SUM(_xlfn.XLOOKUP(R150:AF150,增益!$A:$A,增益!$I:$I,0)))/200,($F$11-$I$4+VLOOKUP($Q150,武学奇术!$A:$ZZ,9,FALSE)+SUM(_xlfn.XLOOKUP(R150:AF150,增益!$A:$A,增益!$I:$I,0)))/100)</f>
        <v>-0.3</v>
      </c>
      <c r="AV150" s="35" cm="1">
        <f t="array" ref="AV150">$G$11+VLOOKUP($Q150,武学奇术!$A:$ZZ,10,FALSE)+SUM(_xlfn.XLOOKUP(R150:AF150,增益!$A:$A,增益!$J:$J,0))</f>
        <v>0</v>
      </c>
      <c r="AW150">
        <f t="shared" si="28"/>
        <v>0</v>
      </c>
      <c r="AX150">
        <f t="shared" si="29"/>
        <v>0</v>
      </c>
      <c r="AY150" s="35" cm="1">
        <f t="array" ref="AY150">IF($F$12-$I$4+VLOOKUP($Q150,武学奇术!$A:$ZZ,11,FALSE)+SUM(_xlfn.XLOOKUP(R150:AF150,增益!$A:$A,增益!$K:$K,0))&gt;0,($F$12-$I$4+VLOOKUP($Q150,武学奇术!$A:$ZZ,11,FALSE)+SUM(_xlfn.XLOOKUP(R150:AF150,增益!$A:$A,增益!$K:$K,0)))/200,($F$12-$I$4+VLOOKUP($Q150,武学奇术!$A:$ZZ,11,FALSE)+SUM(_xlfn.XLOOKUP(R150:AF150,增益!$A:$A,增益!$K:$K,0)))/100)</f>
        <v>-0.3</v>
      </c>
      <c r="AZ150" s="35" cm="1">
        <f t="array" ref="AZ150">$G$12+VLOOKUP($Q150,武学奇术!$A:$ZZ,12,FALSE)+SUM(_xlfn.XLOOKUP(R150:AF150,增益!$A:$A,增益!$L:$L,0))</f>
        <v>0</v>
      </c>
      <c r="BA150">
        <f t="shared" si="30"/>
        <v>0</v>
      </c>
      <c r="BB150">
        <f t="shared" si="31"/>
        <v>0</v>
      </c>
      <c r="BC150" s="35" cm="1">
        <f t="array" ref="BC150">IF($F$13-$I$4+VLOOKUP($Q150,武学奇术!$A:$ZZ,13,FALSE)+SUM(_xlfn.XLOOKUP(R150:AF150,增益!$A:$A,增益!$M:$M,0))&gt;0,($F$13-$I$4+VLOOKUP($Q150,武学奇术!$A:$ZZ,13,FALSE)+SUM(_xlfn.XLOOKUP(R150:AF150,增益!$A:$A,增益!$K:$K,0)))/200,($F$13-$I$4+VLOOKUP($Q150,武学奇术!$A:$ZZ,13,FALSE)+SUM(_xlfn.XLOOKUP(R150:AF150,增益!$A:$A,增益!$M:$M,0)))/100)</f>
        <v>-0.3</v>
      </c>
      <c r="BD150" s="35" cm="1">
        <f t="array" ref="BD150">$G$13+VLOOKUP($Q150,武学奇术!$A:$ZZ,14,FALSE)+SUM(_xlfn.XLOOKUP(R150:AF150,增益!$A:$A,增益!$N:$N,0))</f>
        <v>0</v>
      </c>
      <c r="BE150">
        <f t="shared" si="32"/>
        <v>538</v>
      </c>
      <c r="BF150">
        <f t="shared" si="33"/>
        <v>1561.4</v>
      </c>
      <c r="BG150" s="35" cm="1">
        <f t="array" ref="BG150">IF($F$14-$I$4+VLOOKUP($Q150,武学奇术!$A:$ZZ,15,FALSE)+SUM(_xlfn.XLOOKUP(R150:AF150,增益!$A:$A,增益!$O:$O,0))&gt;0,($F$14-$I$4+VLOOKUP($Q150,武学奇术!$A:$ZZ,15,FALSE)+SUM(_xlfn.XLOOKUP(R150:AF150,增益!$A:$A,增益!$O:$O,0)))/200,($F$14-$I$4+VLOOKUP($Q150,武学奇术!$A:$ZZ,15,FALSE)+SUM(_xlfn.XLOOKUP(R150:AF150,增益!$A:$A,增益!$O:$O,0)))/100)</f>
        <v>0</v>
      </c>
      <c r="BH150" s="35" cm="1">
        <f t="array" ref="BH150">$G$14+VLOOKUP($Q150,武学奇术!$A:$ZZ,16,FALSE)+SUM(_xlfn.XLOOKUP(R150:AF150,增益!$A:$A,增益!$P:$P,0))</f>
        <v>0.15</v>
      </c>
      <c r="BI150" s="30">
        <f>MIN(IF(VLOOKUP($Q150,武学奇术!$A:$ZZ,23,FALSE)=1,100%,$B$8),100%)</f>
        <v>0.9712</v>
      </c>
      <c r="BJ150" s="30" cm="1">
        <f t="array" ref="BJ150">IF(VLOOKUP($Q150,武学奇术!$A:$ZZ,23,FALSE)=1,100%,MIN(80%,$B$9+VLOOKUP($Q150,武学奇术!$A:$ZZ,17,FALSE)+SUM(_xlfn.XLOOKUP(R150:AF150,增益!$A:$A,增益!$Q:$Q,0)))+$B$11+SUM(_xlfn.XLOOKUP(R150:AF150,增益!$A:$A,增益!$U:$U,0)))*IF(VLOOKUP($Q150,武学奇术!$A:$ZZ,24,FALSE)=1,0,1)</f>
        <v>0.8773</v>
      </c>
      <c r="BK150" s="30" cm="1">
        <f t="array" ref="BK150">1+$B$13+VLOOKUP($Q150,武学奇术!$A:$ZZ,18,FALSE)+SUM(_xlfn.XLOOKUP(R150:AF150,增益!$A:$A,增益!$R:$R,0))</f>
        <v>2.12</v>
      </c>
      <c r="BL150" s="30" cm="1">
        <f t="array" ref="BL150">IF(VLOOKUP($Q150,武学奇术!$A:$ZZ,24,FALSE)=1,100%,MIN(40%,$B$10+VLOOKUP($Q150,武学奇术!$A:$ZZ,19,FALSE)+SUM(_xlfn.XLOOKUP(R150:AF150,增益!$A:$A,增益!$S:$S,0)))+$B$12+SUM(_xlfn.XLOOKUP(R150:AF150,增益!$A:$A,增益!$V:$V,0)))*IF(VLOOKUP($Q150,武学奇术!$A:$ZZ,23,FALSE)=1,0,1)</f>
        <v>0.0895</v>
      </c>
      <c r="BM150" s="30" cm="1">
        <f t="array" ref="BM150">1+$B$14+VLOOKUP($Q150,武学奇术!$A:$ZZ,20,FALSE)+SUM(_xlfn.XLOOKUP(R150:AF150,增益!$A:$A,增益!$T:$T,0))</f>
        <v>1.35</v>
      </c>
      <c r="BN150" s="30">
        <f t="shared" si="34"/>
        <v>0.85203376</v>
      </c>
      <c r="BO150" s="30">
        <f t="shared" si="35"/>
        <v>0.03224384</v>
      </c>
      <c r="BP150" s="30">
        <f>IF(VLOOKUP($Q150,武学奇术!$A:$ZZ,22,FALSE)=1,0,(1-$BI150))*(1-$BL150)</f>
        <v>0.0262224</v>
      </c>
      <c r="BQ150" s="30" cm="1">
        <f t="array" ref="BQ150">SUM(_xlfn.XLOOKUP(R150:AF150,增益!$A:$A,增益!$W:$W,0))+$I$5</f>
        <v>0.21</v>
      </c>
    </row>
    <row r="151" spans="11:69">
      <c r="K151" s="41">
        <f t="shared" si="36"/>
        <v>13896.3282041483</v>
      </c>
      <c r="L151" s="41">
        <f>((($AN151+$AO151)/2*$AH151+$AI151)*(1+$AP151)*(1+$AQ151)+(($AS151+$AT151)/2*IF($G$1="鸣金",$AJ151,$AH151)+IF($G$1="鸣金",$AK151*1.5,0))*(1+$AU151)*(1+$AV151)+(($AW151+$AX151)/2*IF($G$1="裂石",$AJ151,$AH151)+IF($G$1="裂石",$AK151*1.5,0))*(1+$AY151)*(1+$AZ151)+(($BA151+$BB151)/2*IF($G$1="牵丝",$AJ151,$AH151)+IF($G$1="牵丝",$AK151*1.5,0))*(1+$BC151)*(1+$BD151)+(($BE151+$BF151)/2*IF($G$1="破竹",$AJ151,$AH151)+IF($G$1="破竹",$AK151*1.5,0))*(1+$BG151)*(1+$BH151))*(1+$AL151)*$BK151*$P151*(1+IF(VLOOKUP($Q151,武学奇术!$A:$ZZ,30,FALSE)="回旋伞",$B$21,0))*(1+$BQ151)</f>
        <v>14581.4762333155</v>
      </c>
      <c r="M151" s="41">
        <f>(($AO151*$AH151+$AI151)*(1+$AP151)*(1+$AQ151)+($AT151*IF($G$1="鸣金",$AJ151,$AH151)+IF($G$1="鸣金",$AK151*1.5,0))*(1+$AU151)*(1+$AV151)+($AX151*IF($G$1="裂石",$AJ151,$AH151)+IF($G$1="裂石",$AK151*1.5,0))*(1+$AY151)*(1+$AZ151)+($BB151*IF($G$1="牵丝",$AJ151,$AH151)+IF($G$1="牵丝",$AK151*1.5,0))*(1+$BC151)*(1+$BD151)+($BF151*IF($G$1="破竹",$AJ151,$AH151)+IF($G$1="破竹",$AK151*1.5,0))*(1+$BG151)*(1+$BH151))*(1+$AL151)*$BM151*$P151*(1+IF(VLOOKUP($Q151,武学奇术!$A:$ZZ,30,FALSE)="回旋伞",$B$21,0))*(1+$BQ151)</f>
        <v>11588.1566194563</v>
      </c>
      <c r="N151" s="41">
        <f>((($AN151+$AO151)/2*$AH151+$AI151)*(1+$AP151)*(1+$AQ151)+(($AS151+$AT151)/2*IF($G$1="鸣金",$AJ151,$AH151)+IF($G$1="鸣金",$AK151*1.5,0))*(1+$AU151)*(1+$AV151)+(($AW151+$AX151)/2*IF($G$1="裂石",$AJ151,$AH151)+IF($G$1="裂石",$AK151*1.5,0))*(1+$AY151)*(1+$AZ151)+(($BA151+$BB151)/2*IF($G$1="牵丝",$AJ151,$AH151)+IF($G$1="牵丝",$AK151*1.5,0))*(1+$BC151)*(1+$BD151)+(($BE151+$BF151)/2*IF($G$1="破竹",$AJ151,$AH151)+IF($G$1="破竹",$AK151*1.5,0))*(1+$BG151)*(1+$BH151))*(1+$AL151)*$P151*(1+IF(VLOOKUP($Q151,武学奇术!$A:$ZZ,30,FALSE)="回旋伞",$B$21,0))*(1+$BQ151)</f>
        <v>7797.58087343075</v>
      </c>
      <c r="O151" s="41">
        <f>((($AN151*$AH151+$AI151)*(1+$AP151)*(1+$AQ151)+($AS151*IF($G$1="鸣金",$AJ151,$AH151)+IF($G$1="鸣金",$AK151*1.5,0))*(1+$AU151)*(1+$AV151)+($AW151*IF($G$1="裂石",$AJ151,$AH151)+IF($G$1="裂石",$AK151*1.5,0))*(1+$AY151)*(1+$AZ151)+($BA151*IF($G$1="牵丝",$AJ151,$AH151)+IF($G$1="牵丝",$AK151*1.5,0))*(1+$BC151)*(1+$BD151)+($BE151*IF($G$1="破竹",$AJ151,$AH151)+IF($G$1="破竹",$AK151*1.5,0))*(1+$BG151)*(1+$BH151))*(1+$AL151))*$P151*(1+IF(VLOOKUP($Q151,武学奇术!$A:$ZZ,30,FALSE)="回旋伞",$B$21,0))*(1+$BQ151)</f>
        <v>7011.34202874575</v>
      </c>
      <c r="P151" s="42">
        <f t="shared" si="37"/>
        <v>1</v>
      </c>
      <c r="Q151" s="43" t="s">
        <v>187</v>
      </c>
      <c r="R151" s="43" t="s">
        <v>71</v>
      </c>
      <c r="S151" s="43" t="s">
        <v>91</v>
      </c>
      <c r="T151" s="43" t="s">
        <v>72</v>
      </c>
      <c r="U151" s="43" t="s">
        <v>71</v>
      </c>
      <c r="V151" s="43" t="s">
        <v>167</v>
      </c>
      <c r="W151" s="43" t="s">
        <v>95</v>
      </c>
      <c r="X151" s="43" t="s">
        <v>71</v>
      </c>
      <c r="Y151" s="43" t="s">
        <v>71</v>
      </c>
      <c r="Z151" s="43" t="s">
        <v>71</v>
      </c>
      <c r="AA151" s="43" t="s">
        <v>71</v>
      </c>
      <c r="AB151" s="43" t="s">
        <v>71</v>
      </c>
      <c r="AC151" s="43" t="s">
        <v>71</v>
      </c>
      <c r="AD151" s="43" t="s">
        <v>71</v>
      </c>
      <c r="AE151" s="43" t="s">
        <v>71</v>
      </c>
      <c r="AF151" s="43" t="s">
        <v>76</v>
      </c>
      <c r="AG151" t="str">
        <f>VLOOKUP($Q151,武学奇术!$A:$ZZ,25,FALSE)</f>
        <v>心法</v>
      </c>
      <c r="AH151" s="30">
        <f>VLOOKUP($Q151,武学奇术!$A:$ZZ,26,FALSE)</f>
        <v>1</v>
      </c>
      <c r="AI151" s="31">
        <f>VLOOKUP($Q151,武学奇术!$A:$ZZ,27,FALSE)*(1+IF(OR($AG151=$F$4,$AG151=$F$5),$B$22,0))</f>
        <v>0</v>
      </c>
      <c r="AJ151" s="30">
        <f>VLOOKUP($Q151,武学奇术!$A:$ZZ,28,FALSE)</f>
        <v>1</v>
      </c>
      <c r="AK151" s="31">
        <f>VLOOKUP($Q151,武学奇术!$A:$ZZ,29,FALSE)*(1+IF(OR($AG151=$F$4,$AG151=$F$5),$B$22,0))</f>
        <v>0</v>
      </c>
      <c r="AL151" s="30" cm="1">
        <f t="array" ref="AL151">$G$3+IFERROR(VLOOKUP($AG151,$F$4:$G$7,2,FALSE),0)+VLOOKUP($Q151,武学奇术!$A:$ZZ,2,FALSE)+SUM(_xlfn.XLOOKUP($R151:$AF151,增益!$A:$A,增益!$B:$B,0))</f>
        <v>0.2037</v>
      </c>
      <c r="AM151" s="30" cm="1">
        <f t="array" ref="AM151">VLOOKUP($Q151,武学奇术!$A:$ZZ,5,FALSE)+SUM(_xlfn.XLOOKUP($R151:$AF151,增益!$A:$A,增益!$E:$E,0))</f>
        <v>0</v>
      </c>
      <c r="AN151" cm="1">
        <f t="array" ref="AN151">$D$10*(1+$AM151)+VLOOKUP($Q151,武学奇术!$A:$ZZ,3,FALSE)+SUM(_xlfn.XLOOKUP($R151:$AF151,增益!$A:$A,增益!$C:$C,0))-$I$2</f>
        <v>3483.8</v>
      </c>
      <c r="AO151" cm="1">
        <f t="array" ref="AO151">$E$10*(1+$AM151)+VLOOKUP($Q151,武学奇术!$A:$ZZ,4,FALSE)+SUM(_xlfn.XLOOKUP($R151:$AF151,增益!$A:$A,增益!$D:$D,0))-$I$2</f>
        <v>3483.8</v>
      </c>
      <c r="AP151" s="35" cm="1">
        <f t="array" ref="AP151">IF($F$10-$I$3+VLOOKUP($Q151,武学奇术!$A:$ZZ,6,FALSE)+SUM(_xlfn.XLOOKUP(R151:AF151,增益!$A:$A,增益!$F:$F,0))&gt;0,($F$10-$I$3+VLOOKUP($Q151,武学奇术!$A:$ZZ,6,FALSE)+SUM(_xlfn.XLOOKUP(R151:AF151,增益!$A:$A,增益!$F:$F,0)))/200,($F$10-$I$3+VLOOKUP($Q151,武学奇术!$A:$ZZ,6,FALSE)+SUM(_xlfn.XLOOKUP(R151:AF151,增益!$A:$A,增益!$F:$F,0)))/100)</f>
        <v>0.2925</v>
      </c>
      <c r="AQ151" s="35" cm="1">
        <f t="array" ref="AQ151">$G$10+VLOOKUP($Q151,武学奇术!$A:$ZZ,7,FALSE)+SUM(_xlfn.XLOOKUP(R151:AF151,增益!$A:$A,增益!$G:$G,0))</f>
        <v>0.028</v>
      </c>
      <c r="AR151" s="30" cm="1">
        <f t="array" ref="AR151">VLOOKUP($Q151,武学奇术!$A:$ZZ,8,FALSE)+SUM(_xlfn.XLOOKUP(R151:AF151,增益!$A:$A,增益!$H:$H,0))</f>
        <v>0</v>
      </c>
      <c r="AS151">
        <f t="shared" si="26"/>
        <v>0</v>
      </c>
      <c r="AT151">
        <f t="shared" si="27"/>
        <v>0</v>
      </c>
      <c r="AU151" s="35" cm="1">
        <f t="array" ref="AU151">IF($F$11-$I$4+VLOOKUP($Q151,武学奇术!$A:$ZZ,9,FALSE)+SUM(_xlfn.XLOOKUP(R151:AF151,增益!$A:$A,增益!$I:$I,0))&gt;0,($F$11-$I$4+VLOOKUP($Q151,武学奇术!$A:$ZZ,9,FALSE)+SUM(_xlfn.XLOOKUP(R151:AF151,增益!$A:$A,增益!$I:$I,0)))/200,($F$11-$I$4+VLOOKUP($Q151,武学奇术!$A:$ZZ,9,FALSE)+SUM(_xlfn.XLOOKUP(R151:AF151,增益!$A:$A,增益!$I:$I,0)))/100)</f>
        <v>-0.3</v>
      </c>
      <c r="AV151" s="35" cm="1">
        <f t="array" ref="AV151">$G$11+VLOOKUP($Q151,武学奇术!$A:$ZZ,10,FALSE)+SUM(_xlfn.XLOOKUP(R151:AF151,增益!$A:$A,增益!$J:$J,0))</f>
        <v>0</v>
      </c>
      <c r="AW151">
        <f t="shared" si="28"/>
        <v>0</v>
      </c>
      <c r="AX151">
        <f t="shared" si="29"/>
        <v>0</v>
      </c>
      <c r="AY151" s="35" cm="1">
        <f t="array" ref="AY151">IF($F$12-$I$4+VLOOKUP($Q151,武学奇术!$A:$ZZ,11,FALSE)+SUM(_xlfn.XLOOKUP(R151:AF151,增益!$A:$A,增益!$K:$K,0))&gt;0,($F$12-$I$4+VLOOKUP($Q151,武学奇术!$A:$ZZ,11,FALSE)+SUM(_xlfn.XLOOKUP(R151:AF151,增益!$A:$A,增益!$K:$K,0)))/200,($F$12-$I$4+VLOOKUP($Q151,武学奇术!$A:$ZZ,11,FALSE)+SUM(_xlfn.XLOOKUP(R151:AF151,增益!$A:$A,增益!$K:$K,0)))/100)</f>
        <v>-0.3</v>
      </c>
      <c r="AZ151" s="35" cm="1">
        <f t="array" ref="AZ151">$G$12+VLOOKUP($Q151,武学奇术!$A:$ZZ,12,FALSE)+SUM(_xlfn.XLOOKUP(R151:AF151,增益!$A:$A,增益!$L:$L,0))</f>
        <v>0</v>
      </c>
      <c r="BA151">
        <f t="shared" si="30"/>
        <v>0</v>
      </c>
      <c r="BB151">
        <f t="shared" si="31"/>
        <v>0</v>
      </c>
      <c r="BC151" s="35" cm="1">
        <f t="array" ref="BC151">IF($F$13-$I$4+VLOOKUP($Q151,武学奇术!$A:$ZZ,13,FALSE)+SUM(_xlfn.XLOOKUP(R151:AF151,增益!$A:$A,增益!$M:$M,0))&gt;0,($F$13-$I$4+VLOOKUP($Q151,武学奇术!$A:$ZZ,13,FALSE)+SUM(_xlfn.XLOOKUP(R151:AF151,增益!$A:$A,增益!$K:$K,0)))/200,($F$13-$I$4+VLOOKUP($Q151,武学奇术!$A:$ZZ,13,FALSE)+SUM(_xlfn.XLOOKUP(R151:AF151,增益!$A:$A,增益!$M:$M,0)))/100)</f>
        <v>-0.3</v>
      </c>
      <c r="BD151" s="35" cm="1">
        <f t="array" ref="BD151">$G$13+VLOOKUP($Q151,武学奇术!$A:$ZZ,14,FALSE)+SUM(_xlfn.XLOOKUP(R151:AF151,增益!$A:$A,增益!$N:$N,0))</f>
        <v>0</v>
      </c>
      <c r="BE151">
        <f t="shared" si="32"/>
        <v>538</v>
      </c>
      <c r="BF151">
        <f t="shared" si="33"/>
        <v>1561.4</v>
      </c>
      <c r="BG151" s="35" cm="1">
        <f t="array" ref="BG151">IF($F$14-$I$4+VLOOKUP($Q151,武学奇术!$A:$ZZ,15,FALSE)+SUM(_xlfn.XLOOKUP(R151:AF151,增益!$A:$A,增益!$O:$O,0))&gt;0,($F$14-$I$4+VLOOKUP($Q151,武学奇术!$A:$ZZ,15,FALSE)+SUM(_xlfn.XLOOKUP(R151:AF151,增益!$A:$A,增益!$O:$O,0)))/200,($F$14-$I$4+VLOOKUP($Q151,武学奇术!$A:$ZZ,15,FALSE)+SUM(_xlfn.XLOOKUP(R151:AF151,增益!$A:$A,增益!$O:$O,0)))/100)</f>
        <v>0</v>
      </c>
      <c r="BH151" s="35" cm="1">
        <f t="array" ref="BH151">$G$14+VLOOKUP($Q151,武学奇术!$A:$ZZ,16,FALSE)+SUM(_xlfn.XLOOKUP(R151:AF151,增益!$A:$A,增益!$P:$P,0))</f>
        <v>0.15</v>
      </c>
      <c r="BI151" s="30">
        <f>MIN(IF(VLOOKUP($Q151,武学奇术!$A:$ZZ,23,FALSE)=1,100%,$B$8),100%)</f>
        <v>0.9712</v>
      </c>
      <c r="BJ151" s="30" cm="1">
        <f t="array" ref="BJ151">IF(VLOOKUP($Q151,武学奇术!$A:$ZZ,23,FALSE)=1,100%,MIN(80%,$B$9+VLOOKUP($Q151,武学奇术!$A:$ZZ,17,FALSE)+SUM(_xlfn.XLOOKUP(R151:AF151,增益!$A:$A,增益!$Q:$Q,0)))+$B$11+SUM(_xlfn.XLOOKUP(R151:AF151,增益!$A:$A,增益!$U:$U,0)))*IF(VLOOKUP($Q151,武学奇术!$A:$ZZ,24,FALSE)=1,0,1)</f>
        <v>0.8773</v>
      </c>
      <c r="BK151" s="30" cm="1">
        <f t="array" ref="BK151">1+$B$13+VLOOKUP($Q151,武学奇术!$A:$ZZ,18,FALSE)+SUM(_xlfn.XLOOKUP(R151:AF151,增益!$A:$A,增益!$R:$R,0))</f>
        <v>1.87</v>
      </c>
      <c r="BL151" s="30" cm="1">
        <f t="array" ref="BL151">IF(VLOOKUP($Q151,武学奇术!$A:$ZZ,24,FALSE)=1,100%,MIN(40%,$B$10+VLOOKUP($Q151,武学奇术!$A:$ZZ,19,FALSE)+SUM(_xlfn.XLOOKUP(R151:AF151,增益!$A:$A,增益!$S:$S,0)))+$B$12+SUM(_xlfn.XLOOKUP(R151:AF151,增益!$A:$A,增益!$V:$V,0)))*IF(VLOOKUP($Q151,武学奇术!$A:$ZZ,23,FALSE)=1,0,1)</f>
        <v>0.0895</v>
      </c>
      <c r="BM151" s="30" cm="1">
        <f t="array" ref="BM151">1+$B$14+VLOOKUP($Q151,武学奇术!$A:$ZZ,20,FALSE)+SUM(_xlfn.XLOOKUP(R151:AF151,增益!$A:$A,增益!$T:$T,0))</f>
        <v>1.35</v>
      </c>
      <c r="BN151" s="30">
        <f t="shared" si="34"/>
        <v>0.85203376</v>
      </c>
      <c r="BO151" s="30">
        <f t="shared" si="35"/>
        <v>0.03224384</v>
      </c>
      <c r="BP151" s="30">
        <f>IF(VLOOKUP($Q151,武学奇术!$A:$ZZ,22,FALSE)=1,0,(1-$BI151))*(1-$BL151)</f>
        <v>0.0262224</v>
      </c>
      <c r="BQ151" s="30" cm="1">
        <f t="array" ref="BQ151">SUM(_xlfn.XLOOKUP(R151:AF151,增益!$A:$A,增益!$W:$W,0))+$I$5</f>
        <v>0.11</v>
      </c>
    </row>
  </sheetData>
  <mergeCells count="18">
    <mergeCell ref="H1:I1"/>
    <mergeCell ref="C8:G8"/>
    <mergeCell ref="C15:D15"/>
    <mergeCell ref="C21:D21"/>
    <mergeCell ref="C22:D22"/>
    <mergeCell ref="C23:D23"/>
    <mergeCell ref="C24:D24"/>
    <mergeCell ref="A23:A24"/>
    <mergeCell ref="H8:H9"/>
    <mergeCell ref="H10:H11"/>
    <mergeCell ref="H12:H13"/>
    <mergeCell ref="H14:H15"/>
    <mergeCell ref="H16:H17"/>
    <mergeCell ref="I8:J9"/>
    <mergeCell ref="I10:J11"/>
    <mergeCell ref="I12:J13"/>
    <mergeCell ref="I14:J15"/>
    <mergeCell ref="I16:J17"/>
  </mergeCells>
  <dataValidations count="7">
    <dataValidation type="list" allowBlank="1" showInputMessage="1" showErrorMessage="1" sqref="G1">
      <formula1>"鸣金,裂石,牵丝,破竹"</formula1>
    </dataValidation>
    <dataValidation type="list" allowBlank="1" showInputMessage="1" showErrorMessage="1" sqref="G2">
      <formula1>"连星"</formula1>
    </dataValidation>
    <dataValidation type="list" allowBlank="1" showInputMessage="1" showErrorMessage="1" sqref="R2:W2 Y2:AF2 R9:U9 W9 Y9:AB9 R10:U10 Y10:AB10 R11:U11 V11 Y11:AB11 AC11:AF11 R12:U12 V12 W12 Y12:AB12 AC12:AF12 R13:W13 Y13:AB13 AC13:AF13 S14 W14 AA14 AC14:AF14 S15 AA15 AC15:AF15 R16 S16 T16 V16 AA16 R17 S17 T17 V17 W17 AA17 R18 S18 T18 V18:W18 Y18:Z18 AA18 V19 V20 R21 V21 W21 V22 W22 S23 T23 W23 S24:T24 W24 S25 T25 W25 AA26 AA27 AA28 U29 V29 W29 AA29 V30 W30 V31 W31 V32 V33 V34 AA37 AA38 AA39 U40 V40 W40 AA40 V41 W41 AB41:AF41 V42 W42 AB42:AF42 V43 AB43:AF43 V44 AB44:AF44 V45 AB45:AF45 V46 AB46:AF46 V47 AB47:AF47 R48 S48:T48 U48 V48 W48 Y48 Z48 AA48 AB48:AF48 R49 S49 T49 U49 V49 W49 Y49 Z49 AA49 AB49:AF49 R50 U50 V50 W50 Y50 Z50 AA50 AB50:AF50 R51 U51 V51 W51 Y51 Z51 AA51 AB51:AF51 R52 U52 V52 W52 Y52 AA52 AB52:AF52 R53 U53 V53 W53 Y53 AA53 AB53:AF53 R54 S54:T54 U54 W54 Y54 AA54 AB54:AF54 R55 S55:T55 U55 W55 Y55 AA55 AB55:AF55 R56 S56:T56 U56 W56 Y56 AA56 AB56 AC56:AF56 U57 AA57 AB57:AF57 U58 AA58 AB58:AF58 U59 AA59 AC59:AF59 U60 AA60 AC60:AF60 U61 AA61 AC61:AF61 U62 AA62 AC62:AF62 R63:T63 U63 W63 AA63 AC63:AF63 U64 AA64 AB64:AF64 U65 AA65 AB65:AF65 U66 AA66 AC66:AF66 U67 AA67 AC67:AF67 R68:T68 U68 AA68 AC68:AF68 R69 U69 AA69 AC69:AF69 R70 U70 V70 W70 AA70 AC70:AF70 R71 U71 V71 W71 Y71 AA71 AB71 AC71:AF71 R72 S72 T72 U72 V72 W72 Y72 AA72 AB72:AF72 R73 S73:T73 U73 V73 W73 Y73 Z73 AA73 AB73 AC73:AF73 R74 S74:T74 U74 V74 W74 Y74 Z74 AA74 AB74 AC74:AF74 S75:T75 U75 AB75 S76:T76 W77 W78 AA78 AA79 AA80 AA81 AA82 AA83 AA84 AA85 AA86 AA87 AA88 S89:T89 U89 V89 W89 AA89 S90 T90 U90 V90 W90 Y90 Z90 AA90 R91 U91 V91 W91 Y91 Z91 AA91 R92 U92 V92 W92 Y92 Z92 AA92 R93 S93:T93 U93 V93 W93 Y93 Z93 AA93 R94 S94:T94 U94 V94 W94 Y94 Z94 AA94 R95 S95:T95 U95 V95 W95 Y95 Z95 AA95 R96 S96:T96 U96 V96 W96 AA96 U97 AA97 U98 AA98 U99 AA99 U100 AA100 AC100:AF100 U101 AA101 AB101 AC101:AF101 U102 AA102 AB102 AC102:AF102 R103:T103 U103 W103 AA103 AB103 AC103 AD103 AE103 AF103 U104 Y104 Z104 AA104 AB104 AC104 AD104 AE104 AF104 U105 AA105 AB105 AC105 AD105 AE105 AF105 U106 AA106 AB106 AC106 AD106 AE106 AF106 U107 AA107 AB107 AC107 AD107 AE107 AF107 R108:T108 U108 AA108 AB108 AC108 AD108 AE108 AF108 R109 S109:T109 U109 AA109 AB109 AC109 AD109 AE109 AF109 R110:T110 U110 V110 W110 AA110 AB110 AC110 AD110 AE110 AF110 R111 S111:T111 U111 V111 W111 Y111 Z111 AA111 AB111 AC111 AD111 AE111 AF111 R112 S112 T112 U112 V112 W112 Y112 Z112 AA112 AB112 AC112 AD112 AE112 AF112 R113 S113:T113 U113 V113 W113 Y113 AA113 AB113 AC113 AD113 AE113 AF113 R114 S114:T114 V114 W114 Y114 AA114 AB114 AC114 AD114 AE114 AF114 R115 S115:T115 V115 W115 Y115 AA115 AB115 AC115 AD115 AE115 AF115 R116 S116:T116 U116 V116 W116 Y116 AA116 AB116 AC116 AD116 AE116 AF116 R117 S117:T117 U117 V117 W117 Y117 AA117 AB117 AC117 AD117 AE117 AF117 U118 AA118 AB118 AC118 AD118 AE118 AF118 U119 AA119 AB119 AC119 AD119 AE119 AF119 R120:T120 U120 V120 W120 AA120 AB120 AC120 AD120 AE120 AF120 R121:T121 U121 V121 W121 AA121 AB121 AC121 AD121 AE121 AF121 R122:T122 U122 V122 W122 AA122 AB122 AC122 AD122 AE122 AF122 U123 AA123 AB123 AC123 AD123 AE123 AF123 U124 AA124 AB124 AC124 AD124 AE124 AF124 R125:T125 U125 V125 W125 AA125 AB125 AC125 AD125 AE125 AF125 R126:T126 U126 V126 W126 AA126 AB126 AC126 AD126 AE126 AF126 R127:T127 U127 V127 W127 AA127 AB127 AC127:AF127 R128 S128:T128 U128 V128 W128 X128 Y128 Z128 AA128 AB128 AC128:AF128 R129 S129 T129 U129 V129 W129 X129 Y129 Z129 AA129 AB129 AC129:AF129 R130 S130:T130 U130 V130 W130 X130 Y130 Z130 AA130 AB130 AC130:AF130 R131 S131 T131 U131 V131 W131 Y131 AA131 AB131:AF131 R132 S132 T132 U132 V132 W132 Y132 AA132 AB132:AF132 R133 S133 T133 U133 V133 W133 Y133 AA133 AB133:AF133 R134 S134 T134 U134 V134 W134 Y134 AA134 AB134:AF134 R135 S135 T135 U135 V135 W135 Y135 AA135 AB135:AF135 R136 S136 T136 U136 V136 W136 Y136 AA136 AB136:AF136 R142:W142 AA142:AF142 R143:W143 AA143:AF143 R144:W144 Y144 AA144 AB144 AC144:AF144 R145:W145 Y145 AA145:AF145 R146:W146 Y146 AA146:AF146 R147:W147 Y147 AA147:AF147 R148 S148 T148 U148 V148 W148 Y148 AA148 AB148 AC148 AD148 AE148 AF148 R149 S149 T149 U149 V149 W149 Y149 AA149 AB149 AC149 AD149 AE149 AF149 R150 S150 T150 U150 V150 W150 Y150 AA150 AB150 AC150 AD150 AE150 AF150 R151 S151 T151 U151 V151 W151 Y151 AA151 AB151 AC151 AD151 AE151 AF151 R14:R15 R19:R20 R22:R25 R75:R76 R89:R90 U16:U18 U23:U25 U26:U28 U30:U36 U37:U39 U41:U47 U76:U88 U114:U115 V9:V10 V14:V15 V23:V25 V35:V36 V54:V69 V75:V76 V77:V88 V97:V103 V104:V109 V118:V119 V123:V124 W10:W11 W15:W16 W19:W20 W32:W36 W43:W44 W45:W47 W57:W58 W59:W60 W61:W62 W64:W65 W66:W67 W68:W69 W75:W76 W79:W80 W81:W82 W83:W84 W85:W86 W87:W88 W97:W98 W99:W100 W101:W102 W104:W105 W106:W107 W108:W109 W118:W119 W123:W124 X2:X127 X131:X151 Y19:Y25 Y26:Y29 Y30:Y36 Y37:Y40 Y41:Y47 Y57:Y58 Y59:Y63 Y64:Y65 Y66:Y70 Y75:Y89 Y118:Y119 Y120:Y122 Y123:Y124 Y125:Y127 Y137:Y141 Y142:Y143 Z19:Z25 Z26:Z29 Z30:Z36 Z37:Z40 Z41:Z47 Z52:Z72 Z75:Z89 Z113:Z127 Z131:Z151 AA19:AA25 AA30:AA31 AA32:AA36 AA41:AA42 AA43:AA47 AA75:AA77 AB14:AB18 AB19:AB25 AB59:AB63 AB66:AB70 AB76:AB90 AB91:AB100 AC16:AF20 AC21:AF25 AB26:AF30 Y3:AF8 AC9:AF10 T14:U15 S19:U22 Y96:Z103 AB31:AF40 V26:W28 R26:T28 R29:T31 R32:T36 V37:W39 R37:T39 R40:T42 R43:T47 S50:T51 S52:T53 R57:T58 R59:T60 R61:T62 R77:T78 R79:T80 R81:T82 R83:T84 R85:T86 R87:T88 R97:T98 R99:T100 R101:T102 R123:T124 AA137:AF141 R64:T65 R66:T67 R104:T105 R106:T107 R118:T119 R3:W8 S69:T71 Y105:Z110 AC75:AF89 AC90:AF99 S91:T92 Y14:Z17 R137:W141">
      <formula1>增益!$A:$A</formula1>
    </dataValidation>
    <dataValidation type="list" allowBlank="1" showInputMessage="1" showErrorMessage="1" sqref="Q19 Q20 Q21 Q28 Q29 Q30 Q31 Q32 Q33 Q34 Q35 Q36 Q40 Q41 Q42 Q43 Q44 Q45 Q46 Q47 Q48 Q49 Q50 Q51 Q52 Q53 Q54 Q55 Q56 Q59 Q60 Q61 Q62 Q63 Q67 Q68 Q69 Q70 Q71 Q72 Q73 Q74 Q75 Q76 Q79 Q80 Q81 Q82 Q86 Q87 Q88 Q89 Q90 Q91 Q92 Q93 Q94 Q95 Q96 Q99 Q100 Q101 Q102 Q103 Q107 Q108 Q109 Q110 Q111 Q112 Q113 Q114 Q115 Q116 Q117 Q120 Q121 Q122 Q126 Q127 Q128 Q129 Q130 Q131 Q132 Q133 Q134 Q135 Q136 Q148 Q149 Q150 Q151 Q2:Q8 Q9:Q13 Q14:Q18 Q22:Q23 Q24:Q25 Q26:Q27 Q37:Q39 Q57:Q58 Q64:Q66 Q77:Q78 Q83:Q85 Q97:Q98 Q104:Q106 Q118:Q119 Q123:Q125 Q137:Q147">
      <formula1>武学奇术!$A:$A</formula1>
    </dataValidation>
    <dataValidation type="list" allowBlank="1" showInputMessage="1" showErrorMessage="1" sqref="D20 D16:D19 F15:F17">
      <formula1>"√,×"</formula1>
    </dataValidation>
    <dataValidation type="list" allowBlank="1" showInputMessage="1" showErrorMessage="1" sqref="C22:D22">
      <formula1>"大唐歌,断石之构"</formula1>
    </dataValidation>
    <dataValidation type="list" allowBlank="1" showInputMessage="1" showErrorMessage="1" sqref="C24:D24">
      <formula1>"易水歌,征人归"</formula1>
    </dataValidation>
  </dataValidation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31"/>
  <sheetViews>
    <sheetView topLeftCell="H1" workbookViewId="0">
      <selection activeCell="N35" sqref="N35"/>
    </sheetView>
  </sheetViews>
  <sheetFormatPr defaultColWidth="9" defaultRowHeight="13.5"/>
  <cols>
    <col min="1" max="1" width="21.5" customWidth="1"/>
    <col min="2" max="2" width="9.00833333333333" customWidth="1"/>
    <col min="17" max="17" width="9" style="30"/>
    <col min="26" max="26" width="9.375" style="30"/>
    <col min="27" max="27" width="9" style="31"/>
    <col min="28" max="28" width="9.375" style="30"/>
    <col min="29" max="29" width="9" style="31"/>
  </cols>
  <sheetData>
    <row r="1" spans="1:31">
      <c r="B1" t="s">
        <v>34</v>
      </c>
      <c r="C1" t="s">
        <v>190</v>
      </c>
      <c r="D1" t="s">
        <v>191</v>
      </c>
      <c r="E1" t="s">
        <v>192</v>
      </c>
      <c r="F1" t="s">
        <v>193</v>
      </c>
      <c r="G1" t="s">
        <v>194</v>
      </c>
      <c r="H1" t="s">
        <v>195</v>
      </c>
      <c r="I1" t="s">
        <v>43</v>
      </c>
      <c r="J1" t="s">
        <v>44</v>
      </c>
      <c r="K1" t="s">
        <v>47</v>
      </c>
      <c r="L1" t="s">
        <v>48</v>
      </c>
      <c r="M1" t="s">
        <v>51</v>
      </c>
      <c r="N1" t="s">
        <v>52</v>
      </c>
      <c r="O1" t="s">
        <v>55</v>
      </c>
      <c r="P1" t="s">
        <v>56</v>
      </c>
      <c r="Q1" s="30" t="s">
        <v>103</v>
      </c>
      <c r="R1" t="s">
        <v>196</v>
      </c>
      <c r="S1" t="s">
        <v>106</v>
      </c>
      <c r="T1" t="s">
        <v>197</v>
      </c>
      <c r="U1" t="s">
        <v>155</v>
      </c>
      <c r="V1" t="s">
        <v>198</v>
      </c>
      <c r="W1" t="s">
        <v>199</v>
      </c>
      <c r="X1" t="s">
        <v>200</v>
      </c>
      <c r="Y1" t="s">
        <v>29</v>
      </c>
      <c r="Z1" s="30" t="s">
        <v>30</v>
      </c>
      <c r="AA1" s="31" t="s">
        <v>31</v>
      </c>
      <c r="AB1" s="30" t="s">
        <v>32</v>
      </c>
      <c r="AC1" s="31" t="s">
        <v>33</v>
      </c>
      <c r="AD1" t="s">
        <v>201</v>
      </c>
    </row>
    <row r="2" spans="1:31">
      <c r="A2" t="s">
        <v>120</v>
      </c>
      <c r="B2" s="32">
        <v>0.2</v>
      </c>
      <c r="G2" s="32">
        <v>0.12</v>
      </c>
      <c r="P2" s="32">
        <v>0.12</v>
      </c>
      <c r="Y2" t="s">
        <v>84</v>
      </c>
      <c r="Z2" s="30">
        <v>0.54</v>
      </c>
      <c r="AB2" s="30">
        <v>0.81</v>
      </c>
      <c r="AD2" t="s">
        <v>202</v>
      </c>
    </row>
    <row r="3" spans="1:31">
      <c r="A3" t="s">
        <v>104</v>
      </c>
      <c r="B3" s="32"/>
      <c r="G3" s="32">
        <v>0.12</v>
      </c>
      <c r="P3" s="32">
        <v>0.12</v>
      </c>
      <c r="R3" s="32"/>
      <c r="Y3" t="s">
        <v>84</v>
      </c>
      <c r="Z3" s="30">
        <f>108.5%+72.34%</f>
        <v>1.8084</v>
      </c>
      <c r="AA3" s="31">
        <f>300+200</f>
        <v>500</v>
      </c>
      <c r="AB3" s="30">
        <f>162.76%+108.5%</f>
        <v>2.7126</v>
      </c>
      <c r="AC3" s="31">
        <f>163+109</f>
        <v>272</v>
      </c>
      <c r="AD3" t="s">
        <v>202</v>
      </c>
    </row>
    <row r="4" customFormat="1" spans="1:31">
      <c r="A4" t="s">
        <v>130</v>
      </c>
      <c r="B4" s="32">
        <v>0.4</v>
      </c>
      <c r="G4" s="32">
        <v>0.12</v>
      </c>
      <c r="P4" s="32">
        <v>0.12</v>
      </c>
      <c r="Q4" s="30"/>
      <c r="R4"/>
      <c r="W4">
        <v>1</v>
      </c>
      <c r="Y4" t="s">
        <v>84</v>
      </c>
      <c r="Z4" s="30">
        <v>0.54</v>
      </c>
      <c r="AA4" s="31"/>
      <c r="AB4" s="30">
        <v>0.81</v>
      </c>
      <c r="AC4" s="31"/>
      <c r="AD4" t="s">
        <v>202</v>
      </c>
    </row>
    <row r="5" customFormat="1" spans="1:31">
      <c r="A5" t="s">
        <v>115</v>
      </c>
      <c r="B5" s="32">
        <v>0.2</v>
      </c>
      <c r="G5" s="32">
        <v>0.12</v>
      </c>
      <c r="P5" s="32">
        <v>0.12</v>
      </c>
      <c r="Q5" s="30"/>
      <c r="R5" s="32"/>
      <c r="W5">
        <v>1</v>
      </c>
      <c r="Y5" t="s">
        <v>84</v>
      </c>
      <c r="Z5" s="30">
        <f>108.5%+72.34%</f>
        <v>1.8084</v>
      </c>
      <c r="AA5" s="31">
        <f>300+200</f>
        <v>500</v>
      </c>
      <c r="AB5" s="30">
        <f>162.76%+108.5%</f>
        <v>2.7126</v>
      </c>
      <c r="AC5" s="31">
        <f>163+109</f>
        <v>272</v>
      </c>
      <c r="AD5" t="s">
        <v>202</v>
      </c>
    </row>
    <row r="6" customFormat="1" spans="1:31">
      <c r="A6" t="s">
        <v>143</v>
      </c>
      <c r="B6" s="32">
        <v>0.2</v>
      </c>
      <c r="G6" s="32"/>
      <c r="P6" s="32"/>
      <c r="Q6" s="30"/>
      <c r="R6"/>
      <c r="Y6" t="s">
        <v>84</v>
      </c>
      <c r="Z6" s="30">
        <v>0.54</v>
      </c>
      <c r="AA6" s="31"/>
      <c r="AB6" s="30">
        <v>0.81</v>
      </c>
      <c r="AC6" s="31"/>
    </row>
    <row r="7" customFormat="1" spans="1:31">
      <c r="A7" t="s">
        <v>140</v>
      </c>
      <c r="B7" s="32"/>
      <c r="Q7" s="30"/>
      <c r="R7" s="32"/>
      <c r="Y7" t="s">
        <v>84</v>
      </c>
      <c r="Z7" s="30">
        <f>(100.73%+67.15%)*1.2</f>
        <v>2.01456</v>
      </c>
      <c r="AA7" s="31">
        <f>(279+186)*1.2</f>
        <v>558</v>
      </c>
      <c r="AB7" s="30">
        <f>(151.09%+100.73%)*1.2</f>
        <v>3.02184</v>
      </c>
      <c r="AC7" s="31">
        <f>(151+101)*1.2</f>
        <v>302.4</v>
      </c>
    </row>
    <row r="8" customFormat="1" spans="1:31">
      <c r="A8" t="s">
        <v>203</v>
      </c>
      <c r="B8" s="32"/>
      <c r="Q8" s="30"/>
      <c r="R8" s="32"/>
      <c r="Y8" t="s">
        <v>89</v>
      </c>
      <c r="Z8" s="30">
        <f>94.28%+110%+110%</f>
        <v>3.1428</v>
      </c>
      <c r="AA8" s="31">
        <f>261+304*2</f>
        <v>869</v>
      </c>
      <c r="AB8" s="30">
        <f>141.43%+165%*2</f>
        <v>4.7143</v>
      </c>
      <c r="AC8" s="31">
        <f>142+165*2</f>
        <v>472</v>
      </c>
    </row>
    <row r="9" customFormat="1" spans="1:31">
      <c r="A9" t="s">
        <v>98</v>
      </c>
      <c r="B9" s="32">
        <v>0.05</v>
      </c>
      <c r="Q9" s="30"/>
      <c r="R9" s="32"/>
      <c r="Y9" t="s">
        <v>89</v>
      </c>
      <c r="Z9" s="30">
        <v>1.1137</v>
      </c>
      <c r="AA9" s="31">
        <v>309</v>
      </c>
      <c r="AB9" s="30">
        <v>1.6706</v>
      </c>
      <c r="AC9" s="31">
        <v>168</v>
      </c>
    </row>
    <row r="10" customFormat="1" spans="1:31">
      <c r="A10" t="s">
        <v>102</v>
      </c>
      <c r="B10" s="32">
        <v>0.1</v>
      </c>
      <c r="Q10" s="30"/>
      <c r="R10" s="32"/>
      <c r="Y10" t="s">
        <v>89</v>
      </c>
      <c r="Z10" s="30">
        <v>0.7839</v>
      </c>
      <c r="AA10" s="31">
        <v>218</v>
      </c>
      <c r="AB10" s="30">
        <v>1.1759</v>
      </c>
      <c r="AC10" s="31">
        <v>119</v>
      </c>
    </row>
    <row r="11" customFormat="1" spans="1:31">
      <c r="A11" t="s">
        <v>204</v>
      </c>
      <c r="B11" s="32">
        <v>0.15</v>
      </c>
      <c r="Q11" s="30"/>
      <c r="R11" s="32"/>
      <c r="Y11" t="s">
        <v>89</v>
      </c>
      <c r="Z11" s="30">
        <v>1.7242</v>
      </c>
      <c r="AA11" s="31">
        <v>478</v>
      </c>
      <c r="AB11" s="30">
        <v>2.5862</v>
      </c>
      <c r="AC11" s="31">
        <v>260</v>
      </c>
    </row>
    <row r="12" customFormat="1" spans="1:31">
      <c r="A12" t="s">
        <v>150</v>
      </c>
      <c r="B12" s="32">
        <v>0.15</v>
      </c>
      <c r="Q12" s="30"/>
      <c r="R12" s="32"/>
      <c r="W12">
        <v>1</v>
      </c>
      <c r="Y12" t="s">
        <v>89</v>
      </c>
      <c r="Z12" s="30">
        <v>2.2987</v>
      </c>
      <c r="AA12" s="31">
        <v>637</v>
      </c>
      <c r="AB12" s="30">
        <v>3.448</v>
      </c>
      <c r="AC12" s="31">
        <v>347</v>
      </c>
    </row>
    <row r="13" customFormat="1" spans="1:31">
      <c r="A13" t="s">
        <v>152</v>
      </c>
      <c r="B13" s="32"/>
      <c r="Q13" s="30"/>
      <c r="R13" s="32"/>
      <c r="Y13" t="s">
        <v>205</v>
      </c>
      <c r="Z13" s="30">
        <v>0</v>
      </c>
      <c r="AA13" s="31">
        <v>0</v>
      </c>
      <c r="AB13" s="30">
        <v>0</v>
      </c>
      <c r="AC13" s="31">
        <v>0</v>
      </c>
    </row>
    <row r="14" customFormat="1" spans="1:31">
      <c r="A14" t="s">
        <v>176</v>
      </c>
      <c r="B14"/>
      <c r="Q14" s="30"/>
      <c r="R14" s="32"/>
      <c r="Y14" t="s">
        <v>97</v>
      </c>
      <c r="Z14" s="30">
        <f>198.72%*2</f>
        <v>3.9744</v>
      </c>
      <c r="AA14" s="31">
        <f>491*2</f>
        <v>982</v>
      </c>
      <c r="AB14" s="30">
        <v>5.9613</v>
      </c>
      <c r="AC14" s="31"/>
      <c r="AE14">
        <v>1</v>
      </c>
    </row>
    <row r="15" customFormat="1" spans="1:31">
      <c r="A15" t="s">
        <v>70</v>
      </c>
      <c r="B15"/>
      <c r="Q15" s="30"/>
      <c r="R15" s="32"/>
      <c r="Y15" t="s">
        <v>97</v>
      </c>
      <c r="Z15" s="30">
        <f>74.52%*2</f>
        <v>1.4904</v>
      </c>
      <c r="AA15" s="31">
        <f>184*2</f>
        <v>368</v>
      </c>
      <c r="AB15" s="30">
        <v>2.2353</v>
      </c>
      <c r="AC15" s="31"/>
      <c r="AE15">
        <v>1</v>
      </c>
    </row>
    <row r="16" customFormat="1" spans="1:31">
      <c r="A16" t="s">
        <v>146</v>
      </c>
      <c r="B16" s="32"/>
      <c r="R16" s="32"/>
      <c r="Y16" t="s">
        <v>97</v>
      </c>
      <c r="Z16" s="30">
        <v>10.314945</v>
      </c>
      <c r="AA16" s="31">
        <v>1915.65</v>
      </c>
      <c r="AB16" s="30">
        <v>15.4724175</v>
      </c>
      <c r="AC16" s="31"/>
      <c r="AE16">
        <v>1</v>
      </c>
    </row>
    <row r="17" customFormat="1" spans="1:31">
      <c r="A17" t="s">
        <v>136</v>
      </c>
      <c r="B17" s="32"/>
      <c r="Q17" s="30"/>
      <c r="R17" s="32"/>
      <c r="Y17" t="s">
        <v>94</v>
      </c>
      <c r="Z17" s="30">
        <f>319.83%+390.91%</f>
        <v>7.1074</v>
      </c>
      <c r="AA17" s="31">
        <f>594+726</f>
        <v>1320</v>
      </c>
      <c r="AB17" s="30">
        <v>10.6596</v>
      </c>
      <c r="AC17" s="31"/>
      <c r="AE17">
        <v>1</v>
      </c>
    </row>
    <row r="18" customFormat="1" spans="1:31">
      <c r="A18" t="s">
        <v>206</v>
      </c>
      <c r="B18" s="32">
        <v>0.57</v>
      </c>
      <c r="Q18" s="30"/>
      <c r="R18" s="32"/>
      <c r="V18">
        <v>1</v>
      </c>
      <c r="Y18" t="s">
        <v>94</v>
      </c>
      <c r="Z18" s="30">
        <f>1636.39%*2.2*0.7</f>
        <v>25.200406</v>
      </c>
      <c r="AA18" s="31">
        <f>3049*2.2*0.7</f>
        <v>4695.46</v>
      </c>
      <c r="AB18" s="30">
        <f t="shared" ref="AB18:AB29" si="0">Z18*1.5</f>
        <v>37.800609</v>
      </c>
      <c r="AC18" s="31"/>
      <c r="AE18">
        <v>1</v>
      </c>
    </row>
    <row r="19" customFormat="1" spans="1:31">
      <c r="A19" t="s">
        <v>207</v>
      </c>
      <c r="B19"/>
      <c r="Q19" s="30"/>
      <c r="R19" s="32"/>
      <c r="Y19" t="s">
        <v>97</v>
      </c>
      <c r="Z19" s="30">
        <f>(416%+772.56%)*2</f>
        <v>23.7712</v>
      </c>
      <c r="AA19" s="31">
        <f>(773+1436)*2</f>
        <v>4418</v>
      </c>
      <c r="AB19" s="30">
        <f t="shared" si="0"/>
        <v>35.6568</v>
      </c>
      <c r="AC19" s="31"/>
      <c r="AE19">
        <v>1</v>
      </c>
    </row>
    <row r="20" customFormat="1" spans="1:31">
      <c r="A20" t="s">
        <v>208</v>
      </c>
      <c r="B20" s="32"/>
      <c r="Q20" s="30"/>
      <c r="R20" s="32"/>
      <c r="Y20" t="s">
        <v>94</v>
      </c>
      <c r="Z20" s="30">
        <f>256.96%/2</f>
        <v>1.2848</v>
      </c>
      <c r="AA20" s="31">
        <f>483/2</f>
        <v>241.5</v>
      </c>
      <c r="AB20" s="30">
        <f t="shared" si="0"/>
        <v>1.9272</v>
      </c>
      <c r="AC20" s="31"/>
      <c r="AE20">
        <v>1</v>
      </c>
    </row>
    <row r="21" customFormat="1" spans="1:31">
      <c r="A21" t="s">
        <v>209</v>
      </c>
      <c r="B21"/>
      <c r="Q21" s="30"/>
      <c r="R21" s="32"/>
      <c r="Y21" t="s">
        <v>94</v>
      </c>
      <c r="Z21" s="30">
        <f>256.96%+141.59%</f>
        <v>3.9855</v>
      </c>
      <c r="AA21" s="31">
        <f>483+266</f>
        <v>749</v>
      </c>
      <c r="AB21" s="30">
        <f t="shared" si="0"/>
        <v>5.97825</v>
      </c>
      <c r="AC21" s="31"/>
      <c r="AE21">
        <v>1</v>
      </c>
    </row>
    <row r="22" customFormat="1" spans="1:31">
      <c r="A22" t="s">
        <v>210</v>
      </c>
      <c r="B22"/>
      <c r="Q22" s="30"/>
      <c r="R22" s="32"/>
      <c r="T22" s="32">
        <v>0.18</v>
      </c>
      <c r="Y22" t="s">
        <v>94</v>
      </c>
      <c r="Z22" s="30">
        <v>0.236</v>
      </c>
      <c r="AA22" s="31">
        <v>44</v>
      </c>
      <c r="AB22" s="30">
        <f t="shared" si="0"/>
        <v>0.354</v>
      </c>
      <c r="AC22" s="31"/>
      <c r="AE22">
        <v>0.6</v>
      </c>
    </row>
    <row r="23" customFormat="1" spans="1:31">
      <c r="A23" t="s">
        <v>211</v>
      </c>
      <c r="B23" s="32"/>
      <c r="Q23" s="30"/>
      <c r="R23" s="32"/>
      <c r="Y23" t="s">
        <v>94</v>
      </c>
      <c r="Z23" s="30">
        <f>272.37%/2</f>
        <v>1.36185</v>
      </c>
      <c r="AA23" s="31">
        <f>508/2</f>
        <v>254</v>
      </c>
      <c r="AB23" s="30">
        <f t="shared" si="0"/>
        <v>2.042775</v>
      </c>
      <c r="AC23" s="31"/>
      <c r="AE23">
        <v>1</v>
      </c>
    </row>
    <row r="24" customFormat="1" spans="1:31">
      <c r="A24" t="s">
        <v>212</v>
      </c>
      <c r="B24"/>
      <c r="Q24" s="30"/>
      <c r="R24" s="32"/>
      <c r="Y24" t="s">
        <v>94</v>
      </c>
      <c r="Z24" s="30">
        <f>272.37%+150.08%</f>
        <v>4.2245</v>
      </c>
      <c r="AA24" s="31">
        <f>508+280</f>
        <v>788</v>
      </c>
      <c r="AB24" s="30">
        <f t="shared" si="0"/>
        <v>6.33675</v>
      </c>
      <c r="AC24" s="31"/>
      <c r="AE24">
        <v>1</v>
      </c>
    </row>
    <row r="25" customFormat="1" spans="1:31">
      <c r="A25" t="s">
        <v>213</v>
      </c>
      <c r="B25"/>
      <c r="Q25" s="30"/>
      <c r="R25" s="32"/>
      <c r="T25" s="32">
        <v>0.18</v>
      </c>
      <c r="Y25" t="s">
        <v>94</v>
      </c>
      <c r="Z25" s="30">
        <v>0.2957</v>
      </c>
      <c r="AA25" s="31">
        <v>55</v>
      </c>
      <c r="AB25" s="30">
        <f t="shared" si="0"/>
        <v>0.44355</v>
      </c>
      <c r="AC25" s="31"/>
      <c r="AE25">
        <v>0.6</v>
      </c>
    </row>
    <row r="26" customFormat="1" spans="1:31">
      <c r="A26" t="s">
        <v>214</v>
      </c>
      <c r="B26"/>
      <c r="Q26" s="30"/>
      <c r="R26" s="32"/>
      <c r="Y26" t="s">
        <v>94</v>
      </c>
      <c r="Z26" s="30">
        <v>1.0238</v>
      </c>
      <c r="AA26" s="31">
        <v>189</v>
      </c>
      <c r="AB26" s="30">
        <f t="shared" si="0"/>
        <v>1.5357</v>
      </c>
      <c r="AC26" s="31"/>
      <c r="AE26">
        <v>1</v>
      </c>
    </row>
    <row r="27" customFormat="1" spans="1:31">
      <c r="A27" t="s">
        <v>215</v>
      </c>
      <c r="B27" s="32">
        <v>0.8</v>
      </c>
      <c r="Q27" s="30"/>
      <c r="R27" s="32"/>
      <c r="Y27" t="s">
        <v>94</v>
      </c>
      <c r="Z27" s="30">
        <v>1.7063</v>
      </c>
      <c r="AA27" s="31">
        <v>315</v>
      </c>
      <c r="AB27" s="30">
        <f t="shared" si="0"/>
        <v>2.55945</v>
      </c>
      <c r="AC27" s="31"/>
      <c r="AE27">
        <v>1</v>
      </c>
    </row>
    <row r="28" customFormat="1" spans="1:31">
      <c r="A28" t="s">
        <v>216</v>
      </c>
      <c r="B28"/>
      <c r="Q28" s="30"/>
      <c r="R28" s="32"/>
      <c r="Y28" t="s">
        <v>94</v>
      </c>
      <c r="Z28" s="30">
        <v>0.702</v>
      </c>
      <c r="AA28" s="31">
        <v>129</v>
      </c>
      <c r="AB28" s="30">
        <f t="shared" si="0"/>
        <v>1.053</v>
      </c>
      <c r="AC28" s="31"/>
      <c r="AE28">
        <v>1</v>
      </c>
    </row>
    <row r="29" customFormat="1" spans="1:31">
      <c r="A29" t="s">
        <v>217</v>
      </c>
      <c r="B29"/>
      <c r="Q29" s="30"/>
      <c r="R29" s="32"/>
      <c r="Y29" t="s">
        <v>94</v>
      </c>
      <c r="Z29" s="30">
        <v>1.6088</v>
      </c>
      <c r="AA29" s="31">
        <v>297</v>
      </c>
      <c r="AB29" s="30">
        <f t="shared" si="0"/>
        <v>2.4132</v>
      </c>
      <c r="AC29" s="31"/>
      <c r="AE29">
        <v>1</v>
      </c>
    </row>
    <row r="30" customFormat="1" spans="1:31">
      <c r="A30" t="s">
        <v>187</v>
      </c>
      <c r="Q30" s="30"/>
      <c r="R30" s="32"/>
      <c r="Y30" t="s">
        <v>205</v>
      </c>
      <c r="Z30" s="30">
        <v>1</v>
      </c>
      <c r="AA30" s="31"/>
      <c r="AB30" s="30">
        <v>1</v>
      </c>
      <c r="AC30" s="31"/>
      <c r="AE30">
        <v>1</v>
      </c>
    </row>
    <row r="31" customFormat="1" spans="1:31">
      <c r="A31" t="s">
        <v>71</v>
      </c>
      <c r="Q31" s="30"/>
      <c r="Y31" t="s">
        <v>205</v>
      </c>
      <c r="Z31" s="30">
        <v>0</v>
      </c>
      <c r="AA31" s="31"/>
      <c r="AB31" s="30">
        <v>0</v>
      </c>
      <c r="AC31" s="31"/>
      <c r="AE31">
        <v>1</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36"/>
  <sheetViews>
    <sheetView workbookViewId="0">
      <selection activeCell="R20" sqref="R20"/>
    </sheetView>
  </sheetViews>
  <sheetFormatPr defaultColWidth="9" defaultRowHeight="13.5"/>
  <cols>
    <col min="1" max="1" width="15.875" customWidth="1"/>
    <col min="2" max="2" width="9.00833333333333" customWidth="1"/>
    <col min="23" max="23" width="9" style="30"/>
    <col min="24" max="24" width="9.375" style="30"/>
    <col min="25" max="25" width="9" style="31"/>
  </cols>
  <sheetData>
    <row r="1" spans="1:25">
      <c r="B1" t="s">
        <v>34</v>
      </c>
      <c r="C1" t="s">
        <v>190</v>
      </c>
      <c r="D1" t="s">
        <v>191</v>
      </c>
      <c r="E1" t="s">
        <v>192</v>
      </c>
      <c r="F1" t="s">
        <v>193</v>
      </c>
      <c r="G1" t="s">
        <v>194</v>
      </c>
      <c r="H1" t="s">
        <v>195</v>
      </c>
      <c r="I1" t="s">
        <v>43</v>
      </c>
      <c r="J1" t="s">
        <v>44</v>
      </c>
      <c r="K1" t="s">
        <v>47</v>
      </c>
      <c r="L1" t="s">
        <v>48</v>
      </c>
      <c r="M1" t="s">
        <v>51</v>
      </c>
      <c r="N1" t="s">
        <v>52</v>
      </c>
      <c r="O1" t="s">
        <v>55</v>
      </c>
      <c r="P1" t="s">
        <v>56</v>
      </c>
      <c r="Q1" t="s">
        <v>103</v>
      </c>
      <c r="R1" t="s">
        <v>196</v>
      </c>
      <c r="S1" t="s">
        <v>106</v>
      </c>
      <c r="T1" t="s">
        <v>197</v>
      </c>
      <c r="U1" s="30" t="s">
        <v>110</v>
      </c>
      <c r="V1" s="31" t="s">
        <v>113</v>
      </c>
      <c r="W1" s="30" t="s">
        <v>65</v>
      </c>
    </row>
    <row r="2" customFormat="1" spans="1:25">
      <c r="A2" t="s">
        <v>82</v>
      </c>
      <c r="B2" s="32"/>
      <c r="I2">
        <f>IF(期望!$D$19="√",16,0)</f>
        <v>16</v>
      </c>
      <c r="K2">
        <f>IF(期望!$D$19="√",16,0)</f>
        <v>16</v>
      </c>
      <c r="M2">
        <f>IF(期望!$D$19="√",16,0)</f>
        <v>16</v>
      </c>
      <c r="O2">
        <f>IF(期望!$D$19="√",16,0)</f>
        <v>16</v>
      </c>
      <c r="W2" s="33"/>
      <c r="X2" s="33"/>
      <c r="Y2" s="31"/>
    </row>
    <row r="3" spans="1:25">
      <c r="A3" t="s">
        <v>73</v>
      </c>
      <c r="B3" s="32">
        <v>0.02</v>
      </c>
      <c r="R3" s="32"/>
      <c r="W3" s="33"/>
    </row>
    <row r="4" customFormat="1" spans="1:25">
      <c r="A4" t="s">
        <v>79</v>
      </c>
      <c r="B4" s="32">
        <v>0.2</v>
      </c>
      <c r="R4" s="32"/>
      <c r="W4" s="33"/>
      <c r="X4" s="30"/>
      <c r="Y4" s="31"/>
    </row>
    <row r="5" spans="1:25">
      <c r="A5" t="s">
        <v>76</v>
      </c>
      <c r="B5" s="32"/>
      <c r="R5" s="32"/>
      <c r="W5" s="33">
        <v>0.05</v>
      </c>
    </row>
    <row r="6" spans="1:25">
      <c r="A6" t="s">
        <v>177</v>
      </c>
      <c r="B6" s="32"/>
      <c r="W6" s="30">
        <v>0.1</v>
      </c>
    </row>
    <row r="7" spans="1:25">
      <c r="A7" t="s">
        <v>178</v>
      </c>
      <c r="B7" s="32"/>
      <c r="J7" s="32">
        <f>IF(期望!$D$18="√",10%,0)</f>
        <v>0.1</v>
      </c>
      <c r="W7" s="30">
        <f>IF(期望!$D$18="√",10%,0)</f>
        <v>0.1</v>
      </c>
      <c r="X7" s="33"/>
    </row>
    <row r="8" spans="1:25">
      <c r="A8" t="s">
        <v>218</v>
      </c>
      <c r="B8" s="32">
        <v>0.25</v>
      </c>
      <c r="X8" s="33"/>
    </row>
    <row r="9" spans="1:25">
      <c r="A9" t="s">
        <v>219</v>
      </c>
      <c r="C9">
        <v>31</v>
      </c>
      <c r="D9">
        <v>31</v>
      </c>
      <c r="R9" s="32"/>
      <c r="X9" s="33"/>
    </row>
    <row r="10" customFormat="1" spans="1:25">
      <c r="A10" t="s">
        <v>108</v>
      </c>
      <c r="B10" s="32"/>
      <c r="F10">
        <v>4</v>
      </c>
      <c r="R10" s="32"/>
      <c r="S10" s="32"/>
      <c r="T10" s="32"/>
      <c r="W10" s="30"/>
      <c r="X10" s="33"/>
      <c r="Y10" s="31"/>
    </row>
    <row r="11" customFormat="1" spans="1:25">
      <c r="A11" t="s">
        <v>111</v>
      </c>
      <c r="B11" s="32"/>
      <c r="F11">
        <v>8</v>
      </c>
      <c r="R11" s="32"/>
      <c r="S11" s="32"/>
      <c r="T11" s="32"/>
      <c r="W11" s="30"/>
      <c r="X11" s="33"/>
      <c r="Y11" s="31"/>
    </row>
    <row r="12" customFormat="1" spans="1:25">
      <c r="A12" t="s">
        <v>91</v>
      </c>
      <c r="B12" s="32"/>
      <c r="F12">
        <v>10</v>
      </c>
      <c r="R12" s="32"/>
      <c r="S12" s="32"/>
      <c r="T12" s="32"/>
      <c r="W12" s="30"/>
      <c r="X12" s="33"/>
      <c r="Y12" s="31"/>
    </row>
    <row r="13" customFormat="1" spans="1:25">
      <c r="A13" t="s">
        <v>109</v>
      </c>
      <c r="B13" s="32"/>
      <c r="R13" s="32">
        <f>IF(期望!$C$22="大唐歌",6%,0)</f>
        <v>0</v>
      </c>
      <c r="S13" s="32"/>
      <c r="T13" s="32"/>
      <c r="W13" s="30"/>
      <c r="X13" s="33"/>
      <c r="Y13" s="31"/>
    </row>
    <row r="14" customFormat="1" spans="1:25">
      <c r="A14" t="s">
        <v>112</v>
      </c>
      <c r="B14" s="32"/>
      <c r="R14" s="32">
        <f>IF(期望!$C$22="大唐歌",12%,0)</f>
        <v>0</v>
      </c>
      <c r="S14" s="32"/>
      <c r="T14" s="32"/>
      <c r="W14" s="30"/>
      <c r="X14" s="33"/>
      <c r="Y14" s="31"/>
    </row>
    <row r="15" customFormat="1" spans="1:25">
      <c r="A15" t="s">
        <v>116</v>
      </c>
      <c r="B15" s="32"/>
      <c r="R15" s="32">
        <f>IF(期望!$C$22="大唐歌",15%,0)</f>
        <v>0</v>
      </c>
      <c r="S15" s="32"/>
      <c r="T15" s="32"/>
      <c r="W15" s="30"/>
      <c r="X15" s="33"/>
      <c r="Y15" s="31"/>
    </row>
    <row r="16" customFormat="1" spans="1:25">
      <c r="A16" t="s">
        <v>72</v>
      </c>
      <c r="B16" s="32">
        <v>0.05</v>
      </c>
      <c r="R16" s="32">
        <v>0.27</v>
      </c>
      <c r="S16" s="32"/>
      <c r="T16" s="32"/>
      <c r="W16" s="30"/>
      <c r="X16" s="33"/>
      <c r="Y16" s="31"/>
    </row>
    <row r="17" customFormat="1" spans="1:25">
      <c r="A17" t="s">
        <v>105</v>
      </c>
      <c r="B17" s="32">
        <f>IF(期望!$G$2="连星",20%,0)</f>
        <v>0.2</v>
      </c>
      <c r="R17" s="32"/>
      <c r="S17" s="32"/>
      <c r="T17" s="32"/>
      <c r="W17" s="30"/>
      <c r="X17" s="33"/>
      <c r="Y17" s="31"/>
    </row>
    <row r="18" customFormat="1" spans="1:25">
      <c r="A18" t="s">
        <v>220</v>
      </c>
      <c r="B18" s="32">
        <f>IF(期望!$G$2="连星",15%,0)</f>
        <v>0.15</v>
      </c>
      <c r="R18" s="32"/>
      <c r="S18" s="32"/>
      <c r="T18" s="32"/>
      <c r="W18" s="30"/>
      <c r="X18" s="33"/>
      <c r="Y18" s="31"/>
    </row>
    <row r="19" customFormat="1" spans="1:25">
      <c r="A19" t="s">
        <v>179</v>
      </c>
      <c r="F19">
        <f>IF(期望!$C$22="断石之构",25,0)</f>
        <v>25</v>
      </c>
      <c r="R19" s="32">
        <f>IF(期望!$C$22="断石之构",25%,0)</f>
        <v>0.25</v>
      </c>
      <c r="S19" s="32"/>
      <c r="T19" s="32"/>
      <c r="W19" s="30"/>
      <c r="X19" s="33"/>
      <c r="Y19" s="31"/>
    </row>
    <row r="20" spans="1:25">
      <c r="A20" t="s">
        <v>74</v>
      </c>
      <c r="R20" s="32">
        <f>IF(期望!$F$16="√",1%,0)</f>
        <v>0.01</v>
      </c>
      <c r="S20" s="32"/>
      <c r="T20" s="32"/>
      <c r="X20" s="33"/>
    </row>
    <row r="21" spans="1:25">
      <c r="A21" t="s">
        <v>80</v>
      </c>
      <c r="R21" s="32">
        <f>IF(期望!$F$16="√",2%,0)</f>
        <v>0.02</v>
      </c>
      <c r="S21" s="32"/>
      <c r="T21" s="32"/>
      <c r="X21" s="33"/>
    </row>
    <row r="22" spans="1:25">
      <c r="A22" t="s">
        <v>86</v>
      </c>
      <c r="R22" s="32">
        <f>IF(期望!$F$16="√",3%,0)</f>
        <v>0.03</v>
      </c>
      <c r="S22" s="32"/>
      <c r="T22" s="32"/>
      <c r="X22" s="33"/>
    </row>
    <row r="23" spans="1:25">
      <c r="A23" t="s">
        <v>92</v>
      </c>
      <c r="R23" s="32">
        <f>IF(期望!$F$16="√",4%,0)</f>
        <v>0.04</v>
      </c>
      <c r="S23" s="32"/>
      <c r="T23" s="32"/>
      <c r="X23" s="33"/>
    </row>
    <row r="24" spans="1:25">
      <c r="A24" t="s">
        <v>151</v>
      </c>
      <c r="R24" s="32">
        <f>IF(期望!$F$16="√",5%,0)</f>
        <v>0.05</v>
      </c>
      <c r="S24" s="32"/>
      <c r="T24" s="32"/>
      <c r="X24" s="33"/>
    </row>
    <row r="25" spans="1:25">
      <c r="A25" t="s">
        <v>153</v>
      </c>
      <c r="R25" s="32">
        <f>IF(期望!$F$16="√",6%,0)</f>
        <v>0.06</v>
      </c>
      <c r="S25" s="32"/>
      <c r="T25" s="32"/>
      <c r="X25" s="33"/>
    </row>
    <row r="26" spans="1:25">
      <c r="A26" t="s">
        <v>156</v>
      </c>
      <c r="R26" s="32">
        <f>IF(期望!$F$16="√",7%,0)</f>
        <v>0.07</v>
      </c>
      <c r="S26" s="32"/>
      <c r="T26" s="32"/>
      <c r="X26" s="33"/>
    </row>
    <row r="27" spans="1:25">
      <c r="A27" t="s">
        <v>159</v>
      </c>
      <c r="R27" s="32">
        <f>IF(期望!$F$16="√",8%,0)</f>
        <v>0.08</v>
      </c>
      <c r="S27" s="32"/>
      <c r="T27" s="32"/>
      <c r="X27" s="33"/>
    </row>
    <row r="28" spans="1:25">
      <c r="A28" t="s">
        <v>164</v>
      </c>
      <c r="R28" s="32">
        <f>IF(期望!$F$16="√",9%,0)</f>
        <v>0.09</v>
      </c>
      <c r="S28" s="32"/>
      <c r="T28" s="32"/>
      <c r="X28" s="33"/>
    </row>
    <row r="29" spans="1:25">
      <c r="A29" t="s">
        <v>167</v>
      </c>
      <c r="R29" s="32">
        <f>IF(期望!$F$16="√",10%,0)</f>
        <v>0.1</v>
      </c>
      <c r="S29" s="32"/>
      <c r="T29" s="32"/>
      <c r="X29" s="33"/>
    </row>
    <row r="30" spans="1:25">
      <c r="A30" t="s">
        <v>75</v>
      </c>
      <c r="B30" s="32">
        <f>1%*IF(期望!$C$24="易水歌",1,0)</f>
        <v>0.01</v>
      </c>
      <c r="F30">
        <f>2*IF(期望!$C$24="易水歌",1,0)</f>
        <v>2</v>
      </c>
      <c r="X30" s="33"/>
    </row>
    <row r="31" spans="1:25">
      <c r="A31" t="s">
        <v>81</v>
      </c>
      <c r="B31" s="32">
        <f>2%*IF(期望!$C$24="易水歌",1,0)</f>
        <v>0.02</v>
      </c>
      <c r="F31">
        <f>4*IF(期望!$C$24="易水歌",1,0)</f>
        <v>4</v>
      </c>
      <c r="X31" s="33"/>
    </row>
    <row r="32" spans="1:25">
      <c r="A32" t="s">
        <v>87</v>
      </c>
      <c r="B32" s="32">
        <f>3%*IF(期望!$C$24="易水歌",1,0)</f>
        <v>0.03</v>
      </c>
      <c r="F32">
        <f>6*IF(期望!$C$24="易水歌",1,0)</f>
        <v>6</v>
      </c>
      <c r="X32" s="33"/>
    </row>
    <row r="33" spans="1:24">
      <c r="A33" t="s">
        <v>93</v>
      </c>
      <c r="B33" s="32">
        <f>4%*IF(期望!$C$24="易水歌",1,0)</f>
        <v>0.04</v>
      </c>
      <c r="F33">
        <f>8*IF(期望!$C$24="易水歌",1,0)</f>
        <v>8</v>
      </c>
      <c r="X33" s="33"/>
    </row>
    <row r="34" spans="1:24">
      <c r="A34" t="s">
        <v>95</v>
      </c>
      <c r="B34" s="32">
        <f>5%*IF(期望!$C$24="易水歌",1,0)</f>
        <v>0.05</v>
      </c>
      <c r="F34">
        <f>10*IF(期望!$C$24="易水歌",1,0)</f>
        <v>10</v>
      </c>
      <c r="X34" s="33"/>
    </row>
    <row r="35" spans="1:24">
      <c r="A35" t="s">
        <v>71</v>
      </c>
      <c r="X35" s="33"/>
    </row>
    <row r="36" spans="1:24">
      <c r="X36" s="33"/>
    </row>
  </sheetData>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3"/>
  <sheetViews>
    <sheetView tabSelected="1" workbookViewId="0">
      <selection activeCell="C30" sqref="C30"/>
    </sheetView>
  </sheetViews>
  <sheetFormatPr defaultColWidth="9" defaultRowHeight="13.5" outlineLevelCol="3"/>
  <cols>
    <col min="1" max="1" width="9" style="1"/>
    <col min="3" max="3" width="65" customWidth="1"/>
    <col min="4" max="4" width="13.75" customWidth="1"/>
  </cols>
  <sheetData>
    <row r="1" ht="14.25" spans="1:4">
      <c r="A1" s="2" t="s">
        <v>221</v>
      </c>
      <c r="B1" s="3" t="s">
        <v>222</v>
      </c>
      <c r="C1" s="4" t="s">
        <v>223</v>
      </c>
      <c r="D1" s="5" t="s">
        <v>224</v>
      </c>
    </row>
    <row r="2" spans="1:4">
      <c r="A2" s="6">
        <v>0.1</v>
      </c>
      <c r="B2" s="7">
        <v>1</v>
      </c>
      <c r="C2" s="8" t="s">
        <v>225</v>
      </c>
      <c r="D2" s="4" t="s">
        <v>226</v>
      </c>
    </row>
    <row r="3" spans="1:4">
      <c r="A3" s="9"/>
      <c r="B3" s="10">
        <v>2</v>
      </c>
      <c r="C3" s="11" t="s">
        <v>227</v>
      </c>
    </row>
    <row r="4" ht="14.25" spans="1:4">
      <c r="A4" s="12"/>
      <c r="B4" s="13">
        <v>3</v>
      </c>
      <c r="C4" s="14" t="s">
        <v>228</v>
      </c>
    </row>
    <row r="5" ht="14.25" spans="1:4">
      <c r="A5" s="15">
        <v>0.2</v>
      </c>
      <c r="B5" s="16">
        <v>1</v>
      </c>
      <c r="C5" s="17" t="s">
        <v>229</v>
      </c>
    </row>
    <row r="6" ht="14.25" spans="1:4">
      <c r="A6" s="15">
        <v>0.3</v>
      </c>
      <c r="B6" s="16">
        <v>1</v>
      </c>
      <c r="C6" s="17" t="s">
        <v>230</v>
      </c>
    </row>
    <row r="7" ht="14.25" spans="1:4">
      <c r="A7" s="15">
        <v>0.4</v>
      </c>
      <c r="B7" s="16">
        <v>1</v>
      </c>
      <c r="C7" s="17" t="s">
        <v>231</v>
      </c>
    </row>
    <row r="8" ht="14.25" spans="1:4">
      <c r="A8" s="18">
        <v>0.5</v>
      </c>
      <c r="B8" s="19">
        <v>1</v>
      </c>
      <c r="C8" s="8" t="s">
        <v>232</v>
      </c>
    </row>
    <row r="9" spans="1:4">
      <c r="A9" s="18">
        <v>0.6</v>
      </c>
      <c r="B9" s="19">
        <v>1</v>
      </c>
      <c r="C9" s="8" t="s">
        <v>233</v>
      </c>
    </row>
    <row r="10" spans="1:4">
      <c r="A10" s="20"/>
      <c r="B10" s="21">
        <v>2</v>
      </c>
      <c r="C10" s="11" t="s">
        <v>234</v>
      </c>
    </row>
    <row r="11" ht="14.25" spans="1:4">
      <c r="A11" s="22"/>
      <c r="B11" s="23">
        <v>3</v>
      </c>
      <c r="C11" s="14" t="s">
        <v>235</v>
      </c>
    </row>
    <row r="12" ht="14.25" spans="1:4">
      <c r="A12" s="24">
        <v>0.7</v>
      </c>
      <c r="B12" s="16">
        <v>1</v>
      </c>
      <c r="C12" s="17" t="s">
        <v>236</v>
      </c>
    </row>
    <row r="13" ht="14.25" spans="1:4">
      <c r="A13" s="24">
        <v>0.8</v>
      </c>
      <c r="B13" s="16">
        <v>1</v>
      </c>
      <c r="C13" s="17" t="s">
        <v>237</v>
      </c>
    </row>
    <row r="14" ht="14.25" spans="1:4">
      <c r="A14" s="24">
        <v>1</v>
      </c>
      <c r="B14" s="16">
        <v>1</v>
      </c>
      <c r="C14" s="17" t="s">
        <v>238</v>
      </c>
    </row>
    <row r="15" spans="1:4">
      <c r="A15" s="25">
        <v>1.1</v>
      </c>
      <c r="B15" s="19">
        <v>1</v>
      </c>
      <c r="C15" s="26" t="s">
        <v>239</v>
      </c>
    </row>
    <row r="16" spans="1:4">
      <c r="A16" s="27"/>
      <c r="B16" s="21">
        <v>2</v>
      </c>
      <c r="C16" s="11" t="s">
        <v>240</v>
      </c>
    </row>
    <row r="17" spans="1:3">
      <c r="A17" s="27"/>
      <c r="B17" s="21"/>
      <c r="C17" s="11" t="s">
        <v>241</v>
      </c>
    </row>
    <row r="18" spans="1:3">
      <c r="A18" s="27"/>
      <c r="B18" s="21"/>
      <c r="C18" s="11" t="s">
        <v>242</v>
      </c>
    </row>
    <row r="19" spans="1:3">
      <c r="A19" s="27"/>
      <c r="B19" s="21"/>
      <c r="C19" s="11" t="s">
        <v>243</v>
      </c>
    </row>
    <row r="20" spans="1:3">
      <c r="A20" s="27"/>
      <c r="B20" s="21">
        <v>3</v>
      </c>
      <c r="C20" s="11" t="s">
        <v>244</v>
      </c>
    </row>
    <row r="21" ht="14.25" spans="1:3">
      <c r="A21" s="28"/>
      <c r="B21" s="23">
        <v>4</v>
      </c>
      <c r="C21" s="14" t="s">
        <v>245</v>
      </c>
    </row>
    <row r="22" spans="1:3">
      <c r="A22" s="29"/>
      <c r="B22" s="21"/>
      <c r="C22" s="21"/>
    </row>
    <row r="23" spans="1:3">
      <c r="A23" s="29"/>
      <c r="B23" s="21"/>
      <c r="C23" s="21"/>
    </row>
  </sheetData>
  <mergeCells count="3">
    <mergeCell ref="A2:A4"/>
    <mergeCell ref="A9:A11"/>
    <mergeCell ref="A15:A21"/>
  </mergeCells>
  <hyperlinks>
    <hyperlink ref="D1" r:id="rId1" display="BiliBili@片雲"/>
  </hyperlink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期望</vt:lpstr>
      <vt:lpstr>RD</vt:lpstr>
      <vt:lpstr>武学奇术</vt:lpstr>
      <vt:lpstr>增益</vt:lpstr>
      <vt:lpstr>更新日志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haruhi</dc:creator>
  <cp:lastModifiedBy>Violetta</cp:lastModifiedBy>
  <dcterms:created xsi:type="dcterms:W3CDTF">2023-05-12T11:15:00Z</dcterms:created>
  <dcterms:modified xsi:type="dcterms:W3CDTF">2026-07-05T00:45:07Z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A9271B5BCF9E4E1496E8D008C2A94A9E_12</vt:lpwstr>
  </property>
  <property fmtid="{D5CDD505-2E9C-101B-9397-08002B2CF9AE}" pid="4" name="CalculationRule">
    <vt:i4>0</vt:i4>
  </property>
</Properties>
</file>